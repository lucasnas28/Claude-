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8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;(#,##0)"/>
    <numFmt numFmtId="187" formatCode="_(&quot;$&quot;* #,##0.00_);_(&quot;$&quot;* \(#,##0.00\);_(&quot;$&quot;* &quot;-&quot;??_);_(@_)"/>
    <numFmt numFmtId="188" formatCode="0_);\(0\)"/>
    <numFmt numFmtId="189" formatCode="#,##0.0"/>
    <numFmt numFmtId="190" formatCode="0.0x"/>
    <numFmt numFmtId="191" formatCode="0.00x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7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70" fontId="0" fillId="0" borderId="0" pivotButton="0" quotePrefix="0" xfId="0"/>
    <xf numFmtId="189" fontId="5" fillId="2" borderId="0" applyAlignment="1" pivotButton="0" quotePrefix="0" xfId="0">
      <alignment horizontal="center"/>
    </xf>
    <xf numFmtId="189" fontId="2" fillId="0" borderId="0" applyAlignment="1" pivotButton="0" quotePrefix="0" xfId="0">
      <alignment horizontal="center"/>
    </xf>
    <xf numFmtId="3" fontId="5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70" fontId="5" fillId="2" borderId="0" applyAlignment="1" pivotButton="0" quotePrefix="0" xfId="0">
      <alignment horizontal="center"/>
    </xf>
    <xf numFmtId="189" fontId="4" fillId="7" borderId="0" applyAlignment="1" pivotButton="0" quotePrefix="0" xfId="0">
      <alignment horizontal="center"/>
    </xf>
    <xf numFmtId="189" fontId="4" fillId="0" borderId="0" applyAlignment="1" pivotButton="0" quotePrefix="0" xfId="0">
      <alignment horizontal="center"/>
    </xf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90" fontId="4" fillId="7" borderId="0" applyAlignment="1" pivotButton="0" quotePrefix="0" xfId="0">
      <alignment horizontal="center"/>
    </xf>
    <xf numFmtId="190" fontId="4" fillId="0" borderId="0" applyAlignment="1" pivotButton="0" quotePrefix="0" xfId="0">
      <alignment horizontal="center"/>
    </xf>
    <xf numFmtId="191" fontId="4" fillId="7" borderId="0" applyAlignment="1" pivotButton="0" quotePrefix="0" xfId="0">
      <alignment horizontal="center"/>
    </xf>
    <xf numFmtId="191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0.001</v>
      </c>
      <c r="D1" t="inlineStr">
        <is>
          <t>Cury Construtora (CURY3) - fonte: Planilha Fundamentos do RI (abas Resultados Operacionais, Demonstracoes do Resultado, BP Ativo, BP Passivo, Fluxo de Caixa). Moeda: BRL. Brutos em R$ mil. Consolidado. DRE e DFC trimestrais isolados (soma = ano, conferido).</t>
        </is>
      </c>
    </row>
    <row r="2">
      <c r="J2" t="inlineStr">
        <is>
          <t>Trimestre na fonte</t>
        </is>
      </c>
      <c r="K2" t="inlineStr">
        <is>
          <t>1T20</t>
        </is>
      </c>
      <c r="L2" t="inlineStr">
        <is>
          <t>2T20</t>
        </is>
      </c>
      <c r="M2" t="inlineStr">
        <is>
          <t>3T20</t>
        </is>
      </c>
      <c r="N2" t="inlineStr">
        <is>
          <t>4T20</t>
        </is>
      </c>
      <c r="O2" t="inlineStr">
        <is>
          <t>1T21</t>
        </is>
      </c>
      <c r="P2" t="inlineStr">
        <is>
          <t>2T21</t>
        </is>
      </c>
      <c r="Q2" t="inlineStr">
        <is>
          <t>3T21</t>
        </is>
      </c>
      <c r="R2" t="inlineStr">
        <is>
          <t>4T21</t>
        </is>
      </c>
      <c r="S2" t="inlineStr">
        <is>
          <t>1T22</t>
        </is>
      </c>
      <c r="T2" t="inlineStr">
        <is>
          <t>2T22</t>
        </is>
      </c>
      <c r="U2" t="inlineStr">
        <is>
          <t>3T22</t>
        </is>
      </c>
      <c r="V2" t="inlineStr">
        <is>
          <t>4T22</t>
        </is>
      </c>
      <c r="W2" t="inlineStr">
        <is>
          <t>1T23</t>
        </is>
      </c>
      <c r="X2" t="inlineStr">
        <is>
          <t>2T23</t>
        </is>
      </c>
      <c r="Y2" t="inlineStr">
        <is>
          <t>3T23</t>
        </is>
      </c>
      <c r="Z2" t="inlineStr">
        <is>
          <t>4T23</t>
        </is>
      </c>
      <c r="AA2" t="inlineStr">
        <is>
          <t>1T24</t>
        </is>
      </c>
      <c r="AB2" t="inlineStr">
        <is>
          <t>2T24</t>
        </is>
      </c>
      <c r="AC2" t="inlineStr">
        <is>
          <t>3T24</t>
        </is>
      </c>
      <c r="AD2" t="inlineStr">
        <is>
          <t>4T24</t>
        </is>
      </c>
      <c r="AE2" t="inlineStr">
        <is>
          <t>1T25</t>
        </is>
      </c>
      <c r="AF2" t="inlineStr">
        <is>
          <t>2T25</t>
        </is>
      </c>
      <c r="AG2" t="inlineStr">
        <is>
          <t>3T25</t>
        </is>
      </c>
      <c r="AH2" t="inlineStr">
        <is>
          <t>4T25</t>
        </is>
      </c>
      <c r="AI2" t="inlineStr">
        <is>
          <t>1T26</t>
        </is>
      </c>
      <c r="AJ2" t="inlineStr">
        <is>
          <t>2T26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(aba Demonstracoes do Resultado; R$ mil)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liquida (DRE l.4)</t>
        </is>
      </c>
      <c r="J6" t="inlineStr">
        <is>
          <t>fonte</t>
        </is>
      </c>
      <c r="K6" s="258" t="n">
        <v>227321</v>
      </c>
      <c r="L6" s="258" t="n">
        <v>246204</v>
      </c>
      <c r="M6" s="258" t="n">
        <v>325898</v>
      </c>
      <c r="N6" s="258" t="n">
        <v>345259</v>
      </c>
      <c r="O6" s="258" t="n">
        <v>339286</v>
      </c>
      <c r="P6" s="258" t="n">
        <v>451337</v>
      </c>
      <c r="Q6" s="258" t="n">
        <v>456449.58043</v>
      </c>
      <c r="R6" s="258" t="n">
        <v>491223</v>
      </c>
      <c r="S6" s="258" t="n">
        <v>447374</v>
      </c>
      <c r="T6" s="258" t="n">
        <v>602783</v>
      </c>
      <c r="U6" s="258" t="n">
        <v>626659</v>
      </c>
      <c r="V6" s="258" t="n">
        <v>580478</v>
      </c>
      <c r="W6" s="258" t="n">
        <v>594956</v>
      </c>
      <c r="X6" s="258" t="n">
        <v>727746</v>
      </c>
      <c r="Y6" s="258" t="n">
        <v>751874</v>
      </c>
      <c r="Z6" s="258" t="n">
        <v>811596</v>
      </c>
      <c r="AA6" s="258" t="n">
        <v>837382</v>
      </c>
      <c r="AB6" s="258" t="n">
        <v>998085</v>
      </c>
      <c r="AC6" s="258" t="n">
        <v>1055872</v>
      </c>
      <c r="AD6" s="258" t="n">
        <v>1034971</v>
      </c>
      <c r="AE6" s="258" t="n">
        <v>1216184</v>
      </c>
      <c r="AF6" s="258" t="n">
        <v>1346599</v>
      </c>
      <c r="AG6" s="258" t="n">
        <v>1416926</v>
      </c>
      <c r="AH6" s="258" t="n">
        <v>1419715</v>
      </c>
      <c r="AI6" s="258" t="n">
        <v>1612571</v>
      </c>
      <c r="AJ6" s="258" t="n">
        <v>1690594</v>
      </c>
    </row>
    <row r="7">
      <c r="A7" t="n">
        <v>2</v>
      </c>
      <c r="B7" t="n">
        <v>1</v>
      </c>
      <c r="G7" t="inlineStr">
        <is>
          <t>moeda</t>
        </is>
      </c>
      <c r="H7" t="inlineStr">
        <is>
          <t>Custo das vendas e servicos (DRE l.5; inclui juros capitalizados apropriados ao custo)</t>
        </is>
      </c>
      <c r="J7" t="inlineStr">
        <is>
          <t>fonte</t>
        </is>
      </c>
      <c r="K7" s="258" t="n">
        <v>-149181</v>
      </c>
      <c r="L7" s="258" t="n">
        <v>-159137</v>
      </c>
      <c r="M7" s="258" t="n">
        <v>-202541</v>
      </c>
      <c r="N7" s="258" t="n">
        <v>-205433</v>
      </c>
      <c r="O7" s="258" t="n">
        <v>-218944</v>
      </c>
      <c r="P7" s="258" t="n">
        <v>-288421</v>
      </c>
      <c r="Q7" s="258" t="n">
        <v>-281477.73978</v>
      </c>
      <c r="R7" s="258" t="n">
        <v>-304781</v>
      </c>
      <c r="S7" s="258" t="n">
        <v>-281465</v>
      </c>
      <c r="T7" s="258" t="n">
        <v>-387286</v>
      </c>
      <c r="U7" s="258" t="n">
        <v>-392916</v>
      </c>
      <c r="V7" s="258" t="n">
        <v>-358735</v>
      </c>
      <c r="W7" s="258" t="n">
        <v>-371794</v>
      </c>
      <c r="X7" s="258" t="n">
        <v>-453192</v>
      </c>
      <c r="Y7" s="258" t="n">
        <v>-467971</v>
      </c>
      <c r="Z7" s="258" t="n">
        <v>-497862</v>
      </c>
      <c r="AA7" s="258" t="n">
        <v>-520773</v>
      </c>
      <c r="AB7" s="258" t="n">
        <v>-615554</v>
      </c>
      <c r="AC7" s="258" t="n">
        <v>-646426</v>
      </c>
      <c r="AD7" s="258" t="n">
        <v>-630617</v>
      </c>
      <c r="AE7" s="258" t="n">
        <v>-741296</v>
      </c>
      <c r="AF7" s="258" t="n">
        <v>-813823</v>
      </c>
      <c r="AG7" s="258" t="n">
        <v>-850699</v>
      </c>
      <c r="AH7" s="258" t="n">
        <v>-847019</v>
      </c>
      <c r="AI7" s="258" t="n">
        <v>-982915</v>
      </c>
      <c r="AJ7" s="258" t="n">
        <v>-1022232</v>
      </c>
    </row>
    <row r="8">
      <c r="A8" t="n">
        <v>3</v>
      </c>
      <c r="B8" t="n">
        <v>1</v>
      </c>
      <c r="G8" t="inlineStr">
        <is>
          <t>moeda</t>
        </is>
      </c>
      <c r="H8" t="inlineStr">
        <is>
          <t>Despesas com vendas (DRE l.10; inclui depreciacao de estandes, devolvida abaixo)</t>
        </is>
      </c>
      <c r="J8" t="inlineStr">
        <is>
          <t>fonte</t>
        </is>
      </c>
      <c r="K8" s="258" t="n">
        <v>-22046</v>
      </c>
      <c r="L8" s="258" t="n">
        <v>-26343</v>
      </c>
      <c r="M8" s="258" t="n">
        <v>-27428</v>
      </c>
      <c r="N8" s="258" t="n">
        <v>-26987</v>
      </c>
      <c r="O8" s="258" t="n">
        <v>-30360</v>
      </c>
      <c r="P8" s="258" t="n">
        <v>-38953</v>
      </c>
      <c r="Q8" s="258" t="n">
        <v>-47900</v>
      </c>
      <c r="R8" s="258" t="n">
        <v>-46959</v>
      </c>
      <c r="S8" s="258" t="n">
        <v>-44417</v>
      </c>
      <c r="T8" s="258" t="n">
        <v>-53835</v>
      </c>
      <c r="U8" s="258" t="n">
        <v>-59384</v>
      </c>
      <c r="V8" s="258" t="n">
        <v>-54552</v>
      </c>
      <c r="W8" s="258" t="n">
        <v>-62031</v>
      </c>
      <c r="X8" s="258" t="n">
        <v>-66728</v>
      </c>
      <c r="Y8" s="258" t="n">
        <v>-80995</v>
      </c>
      <c r="Z8" s="258" t="n">
        <v>-75476</v>
      </c>
      <c r="AA8" s="258" t="n">
        <v>-76092</v>
      </c>
      <c r="AB8" s="258" t="n">
        <v>-97945.73660999995</v>
      </c>
      <c r="AC8" s="258" t="n">
        <v>-113852</v>
      </c>
      <c r="AD8" s="258" t="n">
        <v>-103983</v>
      </c>
      <c r="AE8" s="258" t="n">
        <v>-106236</v>
      </c>
      <c r="AF8" s="258" t="n">
        <v>-124746.9938999999</v>
      </c>
      <c r="AG8" s="258" t="n">
        <v>-134823</v>
      </c>
      <c r="AH8" s="258" t="n">
        <v>-129085</v>
      </c>
      <c r="AI8" s="258" t="n">
        <v>-119070</v>
      </c>
      <c r="AJ8" s="258" t="n">
        <v>-166790</v>
      </c>
    </row>
    <row r="9">
      <c r="A9" t="n">
        <v>3</v>
      </c>
      <c r="B9" t="n">
        <v>1</v>
      </c>
      <c r="G9" t="inlineStr">
        <is>
          <t>moeda</t>
        </is>
      </c>
      <c r="H9" t="inlineStr">
        <is>
          <t>Despesas gerais e administrativas (DRE l.11)</t>
        </is>
      </c>
      <c r="J9" t="inlineStr">
        <is>
          <t>fonte</t>
        </is>
      </c>
      <c r="K9" s="258" t="n">
        <v>-28376</v>
      </c>
      <c r="L9" s="258" t="n">
        <v>-14508</v>
      </c>
      <c r="M9" s="258" t="n">
        <v>-25631</v>
      </c>
      <c r="N9" s="258" t="n">
        <v>-28377</v>
      </c>
      <c r="O9" s="258" t="n">
        <v>-20615</v>
      </c>
      <c r="P9" s="258" t="n">
        <v>-24043</v>
      </c>
      <c r="Q9" s="258" t="n">
        <v>-31170</v>
      </c>
      <c r="R9" s="258" t="n">
        <v>-26689</v>
      </c>
      <c r="S9" s="258" t="n">
        <v>-22810</v>
      </c>
      <c r="T9" s="258" t="n">
        <v>-34143</v>
      </c>
      <c r="U9" s="258" t="n">
        <v>-49409</v>
      </c>
      <c r="V9" s="258" t="n">
        <v>-30206</v>
      </c>
      <c r="W9" s="258" t="n">
        <v>-33375</v>
      </c>
      <c r="X9" s="258" t="n">
        <v>-42088</v>
      </c>
      <c r="Y9" s="258" t="n">
        <v>-54245</v>
      </c>
      <c r="Z9" s="258" t="n">
        <v>-36075</v>
      </c>
      <c r="AA9" s="258" t="n">
        <v>-41298</v>
      </c>
      <c r="AB9" s="258" t="n">
        <v>-62203</v>
      </c>
      <c r="AC9" s="258" t="n">
        <v>-68034</v>
      </c>
      <c r="AD9" s="258" t="n">
        <v>-52894</v>
      </c>
      <c r="AE9" s="258" t="n">
        <v>-50355</v>
      </c>
      <c r="AF9" s="258" t="n">
        <v>-64401.68264999999</v>
      </c>
      <c r="AG9" s="258" t="n">
        <v>-66007</v>
      </c>
      <c r="AH9" s="258" t="n">
        <v>-58575</v>
      </c>
      <c r="AI9" s="258" t="n">
        <v>-64932</v>
      </c>
      <c r="AJ9" s="258" t="n">
        <v>-78364</v>
      </c>
    </row>
    <row r="10">
      <c r="A10" t="n">
        <v>3</v>
      </c>
      <c r="B10" t="n">
        <v>1</v>
      </c>
      <c r="G10" t="inlineStr">
        <is>
          <t>moeda</t>
        </is>
      </c>
      <c r="H10" t="inlineStr">
        <is>
          <t>Outros resultados operacionais (DRE l.12)</t>
        </is>
      </c>
      <c r="J10" t="inlineStr">
        <is>
          <t>fonte</t>
        </is>
      </c>
      <c r="K10" s="258" t="n">
        <v>-3179</v>
      </c>
      <c r="L10" s="258" t="n">
        <v>2365</v>
      </c>
      <c r="M10" s="258" t="n">
        <v>-3304</v>
      </c>
      <c r="N10" s="258" t="n">
        <v>-1914</v>
      </c>
      <c r="O10" s="258" t="n">
        <v>-6524</v>
      </c>
      <c r="P10" s="258" t="n">
        <v>-10905</v>
      </c>
      <c r="Q10" s="258" t="n">
        <v>-8910</v>
      </c>
      <c r="R10" s="258" t="n">
        <v>23796</v>
      </c>
      <c r="S10" s="258" t="n">
        <v>-19298</v>
      </c>
      <c r="T10" s="258" t="n">
        <v>-15382</v>
      </c>
      <c r="U10" s="258" t="n">
        <v>-11456</v>
      </c>
      <c r="V10" s="258" t="n">
        <v>-12938</v>
      </c>
      <c r="W10" s="258" t="n">
        <v>-12810</v>
      </c>
      <c r="X10" s="258" t="n">
        <v>-18568</v>
      </c>
      <c r="Y10" s="258" t="n">
        <v>-12803</v>
      </c>
      <c r="Z10" s="258" t="n">
        <v>-19866</v>
      </c>
      <c r="AA10" s="258" t="n">
        <v>-21345</v>
      </c>
      <c r="AB10" s="258" t="n">
        <v>-23250</v>
      </c>
      <c r="AC10" s="258" t="n">
        <v>-19747</v>
      </c>
      <c r="AD10" s="258" t="n">
        <v>-21156</v>
      </c>
      <c r="AE10" s="258" t="n">
        <v>-39738</v>
      </c>
      <c r="AF10" s="258" t="n">
        <v>-30493.82557999998</v>
      </c>
      <c r="AG10" s="258" t="n">
        <v>-39204</v>
      </c>
      <c r="AH10" s="258" t="n">
        <v>-42251</v>
      </c>
      <c r="AI10" s="258" t="n">
        <v>-44791</v>
      </c>
      <c r="AJ10" s="258" t="n">
        <v>-45797</v>
      </c>
    </row>
    <row r="11">
      <c r="A11" t="n">
        <v>8</v>
      </c>
      <c r="B11" t="n">
        <v>1</v>
      </c>
      <c r="G11" t="inlineStr">
        <is>
          <t>moeda</t>
        </is>
      </c>
      <c r="H11" t="inlineStr">
        <is>
          <t>Equivalencia patrimonial (DRE l.14)</t>
        </is>
      </c>
      <c r="J11" t="inlineStr">
        <is>
          <t>fonte</t>
        </is>
      </c>
      <c r="K11" s="258" t="n">
        <v>791</v>
      </c>
      <c r="L11" s="258" t="n">
        <v>195</v>
      </c>
      <c r="M11" s="258" t="n">
        <v>336</v>
      </c>
      <c r="N11" s="258" t="n">
        <v>1038</v>
      </c>
      <c r="O11" s="258" t="n">
        <v>1138</v>
      </c>
      <c r="P11" s="258" t="n">
        <v>1726</v>
      </c>
      <c r="Q11" s="258" t="n">
        <v>-950</v>
      </c>
      <c r="R11" s="258" t="n">
        <v>-991</v>
      </c>
      <c r="S11" s="258" t="n">
        <v>-311</v>
      </c>
      <c r="T11" s="258" t="n">
        <v>-141</v>
      </c>
      <c r="U11" s="258" t="n">
        <v>976</v>
      </c>
      <c r="V11" s="258" t="n">
        <v>-145</v>
      </c>
      <c r="W11" s="258" t="n">
        <v>-110</v>
      </c>
      <c r="X11" s="258" t="n">
        <v>696</v>
      </c>
      <c r="Y11" s="258" t="n">
        <v>-295</v>
      </c>
      <c r="Z11" s="258" t="n">
        <v>1356</v>
      </c>
      <c r="AA11" s="258" t="n">
        <v>1299</v>
      </c>
      <c r="AB11" s="258" t="n">
        <v>2807</v>
      </c>
      <c r="AC11" s="258" t="n">
        <v>3389</v>
      </c>
      <c r="AD11" s="258" t="n">
        <v>1044</v>
      </c>
      <c r="AE11" s="258" t="n">
        <v>688</v>
      </c>
      <c r="AF11" s="258" t="n">
        <v>1091.0762</v>
      </c>
      <c r="AG11" s="258" t="n">
        <v>2474</v>
      </c>
      <c r="AH11" s="258" t="n">
        <v>3137</v>
      </c>
      <c r="AI11" s="258" t="n">
        <v>2282</v>
      </c>
      <c r="AJ11" s="258" t="n">
        <v>1014</v>
      </c>
    </row>
    <row r="12">
      <c r="A12" t="n">
        <v>5</v>
      </c>
      <c r="B12" t="n">
        <v>1</v>
      </c>
      <c r="G12" t="inlineStr">
        <is>
          <t>moeda</t>
        </is>
      </c>
      <c r="H12" t="inlineStr">
        <is>
          <t>Despesas financeiras (DRE l.18)</t>
        </is>
      </c>
      <c r="J12" t="inlineStr">
        <is>
          <t>fonte</t>
        </is>
      </c>
      <c r="K12" s="258" t="n">
        <v>-4959</v>
      </c>
      <c r="L12" s="258" t="n">
        <v>-5719</v>
      </c>
      <c r="M12" s="258" t="n">
        <v>-6639</v>
      </c>
      <c r="N12" s="258" t="n">
        <v>-6166</v>
      </c>
      <c r="O12" s="258" t="n">
        <v>-7256</v>
      </c>
      <c r="P12" s="258" t="n">
        <v>-9300</v>
      </c>
      <c r="Q12" s="258" t="n">
        <v>-11430</v>
      </c>
      <c r="R12" s="258" t="n">
        <v>-21731</v>
      </c>
      <c r="S12" s="258" t="n">
        <v>-17062</v>
      </c>
      <c r="T12" s="258" t="n">
        <v>-22214</v>
      </c>
      <c r="U12" s="258" t="n">
        <v>-22860</v>
      </c>
      <c r="V12" s="258" t="n">
        <v>-26332</v>
      </c>
      <c r="W12" s="258" t="n">
        <v>-25672</v>
      </c>
      <c r="X12" s="258" t="n">
        <v>-26026</v>
      </c>
      <c r="Y12" s="258" t="n">
        <v>-23214</v>
      </c>
      <c r="Z12" s="258" t="n">
        <v>-25215</v>
      </c>
      <c r="AA12" s="258" t="n">
        <v>-24806</v>
      </c>
      <c r="AB12" s="258" t="n">
        <v>-31099</v>
      </c>
      <c r="AC12" s="258" t="n">
        <v>-39673</v>
      </c>
      <c r="AD12" s="258" t="n">
        <v>-41587</v>
      </c>
      <c r="AE12" s="258" t="n">
        <v>-51332</v>
      </c>
      <c r="AF12" s="258" t="n">
        <v>-50846.24429000005</v>
      </c>
      <c r="AG12" s="258" t="n">
        <v>-56062</v>
      </c>
      <c r="AH12" s="258" t="n">
        <v>-59596</v>
      </c>
      <c r="AI12" s="258" t="n">
        <v>-59802</v>
      </c>
      <c r="AJ12" s="258" t="n">
        <v>-70288</v>
      </c>
    </row>
    <row r="13">
      <c r="A13" t="n">
        <v>6</v>
      </c>
      <c r="B13" t="n">
        <v>1</v>
      </c>
      <c r="G13" t="inlineStr">
        <is>
          <t>moeda</t>
        </is>
      </c>
      <c r="H13" t="inlineStr">
        <is>
          <t>Receitas financeiras (DRE l.19)</t>
        </is>
      </c>
      <c r="J13" t="inlineStr">
        <is>
          <t>fonte</t>
        </is>
      </c>
      <c r="K13" s="258" t="n">
        <v>2784</v>
      </c>
      <c r="L13" s="258" t="n">
        <v>2827</v>
      </c>
      <c r="M13" s="258" t="n">
        <v>5428</v>
      </c>
      <c r="N13" s="258" t="n">
        <v>3634</v>
      </c>
      <c r="O13" s="258" t="n">
        <v>2222</v>
      </c>
      <c r="P13" s="258" t="n">
        <v>3924</v>
      </c>
      <c r="Q13" s="258" t="n">
        <v>10360</v>
      </c>
      <c r="R13" s="258" t="n">
        <v>8485</v>
      </c>
      <c r="S13" s="258" t="n">
        <v>12977</v>
      </c>
      <c r="T13" s="258" t="n">
        <v>17605</v>
      </c>
      <c r="U13" s="258" t="n">
        <v>18795</v>
      </c>
      <c r="V13" s="258" t="n">
        <v>14654</v>
      </c>
      <c r="W13" s="258" t="n">
        <v>20228</v>
      </c>
      <c r="X13" s="258" t="n">
        <v>20425</v>
      </c>
      <c r="Y13" s="258" t="n">
        <v>19668</v>
      </c>
      <c r="Z13" s="258" t="n">
        <v>25895</v>
      </c>
      <c r="AA13" s="258" t="n">
        <v>19889</v>
      </c>
      <c r="AB13" s="258" t="n">
        <v>25350</v>
      </c>
      <c r="AC13" s="258" t="n">
        <v>32060</v>
      </c>
      <c r="AD13" s="258" t="n">
        <v>28782</v>
      </c>
      <c r="AE13" s="258" t="n">
        <v>36752</v>
      </c>
      <c r="AF13" s="258" t="n">
        <v>35218.01197999997</v>
      </c>
      <c r="AG13" s="258" t="n">
        <v>47368</v>
      </c>
      <c r="AH13" s="258" t="n">
        <v>50684</v>
      </c>
      <c r="AI13" s="258" t="n">
        <v>49093</v>
      </c>
      <c r="AJ13" s="258" t="n">
        <v>48168</v>
      </c>
    </row>
    <row r="14">
      <c r="A14" t="n">
        <v>7</v>
      </c>
      <c r="B14" t="n">
        <v>1</v>
      </c>
      <c r="G14" t="inlineStr">
        <is>
          <t>moeda</t>
        </is>
      </c>
      <c r="H14" t="inlineStr">
        <is>
          <t>IR e CS diferido (DRE l.23)</t>
        </is>
      </c>
      <c r="J14" t="inlineStr">
        <is>
          <t>fonte</t>
        </is>
      </c>
      <c r="K14" s="258" t="n">
        <v>-666</v>
      </c>
      <c r="L14" s="258" t="n">
        <v>186</v>
      </c>
      <c r="M14" s="258" t="n">
        <v>-1002</v>
      </c>
      <c r="N14" s="258" t="n">
        <v>-82</v>
      </c>
      <c r="O14" s="258" t="n">
        <v>-1492</v>
      </c>
      <c r="P14" s="258" t="n">
        <v>-2193</v>
      </c>
      <c r="Q14" s="258" t="n">
        <v>-842</v>
      </c>
      <c r="R14" s="258" t="n">
        <v>89</v>
      </c>
      <c r="S14" s="258" t="n">
        <v>-2130</v>
      </c>
      <c r="T14" s="258" t="n">
        <v>-2124</v>
      </c>
      <c r="U14" s="258" t="n">
        <v>-1635</v>
      </c>
      <c r="V14" s="258" t="n">
        <v>81</v>
      </c>
      <c r="W14" s="258" t="n">
        <v>-1627</v>
      </c>
      <c r="X14" s="258" t="n">
        <v>-2289</v>
      </c>
      <c r="Y14" s="258" t="n">
        <v>-800</v>
      </c>
      <c r="Z14" s="258" t="n">
        <v>133</v>
      </c>
      <c r="AA14" s="258" t="n">
        <v>-2957</v>
      </c>
      <c r="AB14" s="258" t="n">
        <v>-951</v>
      </c>
      <c r="AC14" s="258" t="n">
        <v>-1562</v>
      </c>
      <c r="AD14" s="258" t="n">
        <v>2237</v>
      </c>
      <c r="AE14" s="258" t="n">
        <v>-8693</v>
      </c>
      <c r="AF14" s="258" t="n">
        <v>-2894</v>
      </c>
      <c r="AG14" s="258" t="n">
        <v>260</v>
      </c>
      <c r="AH14" s="258" t="n">
        <v>136</v>
      </c>
      <c r="AI14" s="258" t="n">
        <v>-4003</v>
      </c>
      <c r="AJ14" s="258" t="n">
        <v>-3011</v>
      </c>
    </row>
    <row r="15">
      <c r="A15" t="n">
        <v>7</v>
      </c>
      <c r="B15" t="n">
        <v>1</v>
      </c>
      <c r="G15" t="inlineStr">
        <is>
          <t>moeda</t>
        </is>
      </c>
      <c r="H15" t="inlineStr">
        <is>
          <t>IR e CS corrente (DRE l.24)</t>
        </is>
      </c>
      <c r="J15" t="inlineStr">
        <is>
          <t>fonte</t>
        </is>
      </c>
      <c r="K15" s="258" t="n">
        <v>-7071</v>
      </c>
      <c r="L15" s="258" t="n">
        <v>-5058</v>
      </c>
      <c r="M15" s="258" t="n">
        <v>-5901</v>
      </c>
      <c r="N15" s="258" t="n">
        <v>-6620</v>
      </c>
      <c r="O15" s="258" t="n">
        <v>-5387</v>
      </c>
      <c r="P15" s="258" t="n">
        <v>-6221</v>
      </c>
      <c r="Q15" s="258" t="n">
        <v>-9490</v>
      </c>
      <c r="R15" s="258" t="n">
        <v>-10799</v>
      </c>
      <c r="S15" s="258" t="n">
        <v>-9507</v>
      </c>
      <c r="T15" s="258" t="n">
        <v>-12324</v>
      </c>
      <c r="U15" s="258" t="n">
        <v>-13899</v>
      </c>
      <c r="V15" s="258" t="n">
        <v>-15026</v>
      </c>
      <c r="W15" s="258" t="n">
        <v>-13709</v>
      </c>
      <c r="X15" s="258" t="n">
        <v>-15906</v>
      </c>
      <c r="Y15" s="258" t="n">
        <v>-18328</v>
      </c>
      <c r="Z15" s="258" t="n">
        <v>-19892</v>
      </c>
      <c r="AA15" s="258" t="n">
        <v>-17229</v>
      </c>
      <c r="AB15" s="258" t="n">
        <v>-19957</v>
      </c>
      <c r="AC15" s="258" t="n">
        <v>-21440</v>
      </c>
      <c r="AD15" s="258" t="n">
        <v>-27925</v>
      </c>
      <c r="AE15" s="258" t="n">
        <v>-22310</v>
      </c>
      <c r="AF15" s="258" t="n">
        <v>-28545</v>
      </c>
      <c r="AG15" s="258" t="n">
        <v>-37023</v>
      </c>
      <c r="AH15" s="258" t="n">
        <v>-39957</v>
      </c>
      <c r="AI15" s="258" t="n">
        <v>-37247</v>
      </c>
      <c r="AJ15" s="258" t="n">
        <v>-42103</v>
      </c>
    </row>
    <row r="16">
      <c r="G16" t="inlineStr">
        <is>
          <t>moeda</t>
        </is>
      </c>
      <c r="H16" t="inlineStr">
        <is>
          <t>Lucro liquido do exercicio - 100% (DRE l.26) - memoria</t>
        </is>
      </c>
      <c r="J16" t="inlineStr">
        <is>
          <t>memoria</t>
        </is>
      </c>
      <c r="K16" s="258" t="n">
        <v>15418</v>
      </c>
      <c r="L16" s="258" t="n">
        <v>41012</v>
      </c>
      <c r="M16" s="258" t="n">
        <v>59216</v>
      </c>
      <c r="N16" s="258" t="n">
        <v>74352</v>
      </c>
      <c r="O16" s="258" t="n">
        <v>52068</v>
      </c>
      <c r="P16" s="258" t="n">
        <v>76951</v>
      </c>
      <c r="Q16" s="258" t="n">
        <v>74639.48998000003</v>
      </c>
      <c r="R16" s="258" t="n">
        <v>111644</v>
      </c>
      <c r="S16" s="258" t="n">
        <v>63351</v>
      </c>
      <c r="T16" s="258" t="n">
        <v>92939</v>
      </c>
      <c r="U16" s="258" t="n">
        <v>94871</v>
      </c>
      <c r="V16" s="258" t="n">
        <v>97279</v>
      </c>
      <c r="W16" s="258" t="n">
        <v>94056</v>
      </c>
      <c r="X16" s="258" t="n">
        <v>124070</v>
      </c>
      <c r="Y16" s="258" t="n">
        <v>112891</v>
      </c>
      <c r="Z16" s="258" t="n">
        <v>164594</v>
      </c>
      <c r="AA16" s="258" t="n">
        <v>154070</v>
      </c>
      <c r="AB16" s="258" t="n">
        <v>175282</v>
      </c>
      <c r="AC16" s="258" t="n">
        <v>180588</v>
      </c>
      <c r="AD16" s="258" t="n">
        <v>188872</v>
      </c>
      <c r="AE16" s="258" t="n">
        <v>233664</v>
      </c>
      <c r="AF16" s="258" t="n">
        <v>267157</v>
      </c>
      <c r="AG16" s="258" t="n">
        <v>283210</v>
      </c>
      <c r="AH16" s="258" t="n">
        <v>297189</v>
      </c>
      <c r="AI16" s="258" t="n">
        <v>351186</v>
      </c>
      <c r="AJ16" s="258" t="n">
        <v>311191</v>
      </c>
    </row>
    <row r="17">
      <c r="A17" t="n">
        <v>9</v>
      </c>
      <c r="B17" t="n">
        <v>-1</v>
      </c>
      <c r="G17" t="inlineStr">
        <is>
          <t>moeda</t>
        </is>
      </c>
      <c r="H17" t="inlineStr">
        <is>
          <t>Parcela do lucro atribuida aos nao controladores (DRE l.29; positiva na fonte -&gt; COD 9 com sinal -1)</t>
        </is>
      </c>
      <c r="J17" t="inlineStr">
        <is>
          <t>fonte</t>
        </is>
      </c>
      <c r="K17" s="258" t="n">
        <v>8918</v>
      </c>
      <c r="L17" s="258" t="n">
        <v>4023</v>
      </c>
      <c r="M17" s="258" t="n">
        <v>9861</v>
      </c>
      <c r="N17" s="258" t="n">
        <v>6384</v>
      </c>
      <c r="O17" s="258" t="n">
        <v>2075</v>
      </c>
      <c r="P17" s="258" t="n">
        <v>-1652</v>
      </c>
      <c r="Q17" s="258" t="n">
        <v>7241.72588752408</v>
      </c>
      <c r="R17" s="258" t="n">
        <v>7891</v>
      </c>
      <c r="S17" s="258" t="n">
        <v>1448</v>
      </c>
      <c r="T17" s="258" t="n">
        <v>6614</v>
      </c>
      <c r="U17" s="258" t="n">
        <v>4999</v>
      </c>
      <c r="V17" s="258" t="n">
        <v>5494</v>
      </c>
      <c r="W17" s="258" t="n">
        <v>2207</v>
      </c>
      <c r="X17" s="258" t="n">
        <v>2697</v>
      </c>
      <c r="Y17" s="258" t="n">
        <v>4671</v>
      </c>
      <c r="Z17" s="258" t="n">
        <v>4271</v>
      </c>
      <c r="AA17" s="258" t="n">
        <v>12829</v>
      </c>
      <c r="AB17" s="258" t="n">
        <v>3035</v>
      </c>
      <c r="AC17" s="258" t="n">
        <v>10017</v>
      </c>
      <c r="AD17" s="258" t="n">
        <v>23088</v>
      </c>
      <c r="AE17" s="258" t="n">
        <v>20189</v>
      </c>
      <c r="AF17" s="258" t="n">
        <v>30426.4</v>
      </c>
      <c r="AG17" s="258" t="n">
        <v>27957</v>
      </c>
      <c r="AH17" s="258" t="n">
        <v>27112</v>
      </c>
      <c r="AI17" s="258" t="n">
        <v>48319</v>
      </c>
      <c r="AJ17" s="258" t="n">
        <v>40740</v>
      </c>
    </row>
    <row r="18">
      <c r="A18" t="n">
        <v>44</v>
      </c>
      <c r="B18" t="n">
        <v>1</v>
      </c>
      <c r="G18" t="inlineStr">
        <is>
          <t>moeda</t>
        </is>
      </c>
      <c r="H18" t="inlineStr">
        <is>
          <t>Lucro liquido atribuido aos acionistas da controladora - %Cury (DRE l.30). COD 44 alimenta o check IS do Model (linha 4)</t>
        </is>
      </c>
      <c r="J18" t="inlineStr">
        <is>
          <t>fonte</t>
        </is>
      </c>
      <c r="K18" s="258" t="n">
        <v>6500</v>
      </c>
      <c r="L18" s="258" t="n">
        <v>36989</v>
      </c>
      <c r="M18" s="258" t="n">
        <v>49355</v>
      </c>
      <c r="N18" s="258" t="n">
        <v>67968</v>
      </c>
      <c r="O18" s="258" t="n">
        <v>49993</v>
      </c>
      <c r="P18" s="258" t="n">
        <v>78603</v>
      </c>
      <c r="Q18" s="258" t="n">
        <v>67397.76409247595</v>
      </c>
      <c r="R18" s="258" t="n">
        <v>103753</v>
      </c>
      <c r="S18" s="258" t="n">
        <v>61903</v>
      </c>
      <c r="T18" s="258" t="n">
        <v>86325</v>
      </c>
      <c r="U18" s="258" t="n">
        <v>89872</v>
      </c>
      <c r="V18" s="258" t="n">
        <v>91785</v>
      </c>
      <c r="W18" s="258" t="n">
        <v>91849</v>
      </c>
      <c r="X18" s="258" t="n">
        <v>121373</v>
      </c>
      <c r="Y18" s="258" t="n">
        <v>108220</v>
      </c>
      <c r="Z18" s="258" t="n">
        <v>160323</v>
      </c>
      <c r="AA18" s="258" t="n">
        <v>141241</v>
      </c>
      <c r="AB18" s="258" t="n">
        <v>172247</v>
      </c>
      <c r="AC18" s="258" t="n">
        <v>170571</v>
      </c>
      <c r="AD18" s="258" t="n">
        <v>165784</v>
      </c>
      <c r="AE18" s="258" t="n">
        <v>213475</v>
      </c>
      <c r="AF18" s="258" t="n">
        <v>236730.6</v>
      </c>
      <c r="AG18" s="258" t="n">
        <v>255253</v>
      </c>
      <c r="AH18" s="258" t="n">
        <v>270077</v>
      </c>
      <c r="AI18" s="258" t="n">
        <v>302867</v>
      </c>
      <c r="AJ18" s="258" t="n">
        <v>270451</v>
      </c>
    </row>
    <row r="19">
      <c r="G19" t="inlineStr">
        <is>
          <t>moeda</t>
        </is>
      </c>
      <c r="H19" t="inlineStr">
        <is>
          <t>EBIT - lucro antes do resultado financeiro (DRE l.16) - memoria</t>
        </is>
      </c>
      <c r="J19" t="inlineStr">
        <is>
          <t>memoria</t>
        </is>
      </c>
      <c r="K19" s="258" t="n">
        <v>25330</v>
      </c>
      <c r="L19" s="258" t="n">
        <v>48776</v>
      </c>
      <c r="M19" s="258" t="n">
        <v>67330</v>
      </c>
      <c r="N19" s="258" t="n">
        <v>83586</v>
      </c>
      <c r="O19" s="258" t="n">
        <v>63981</v>
      </c>
      <c r="P19" s="258" t="n">
        <v>90741</v>
      </c>
      <c r="Q19" s="258" t="n">
        <v>86041.84065000003</v>
      </c>
      <c r="R19" s="258" t="n">
        <v>135600</v>
      </c>
      <c r="S19" s="258" t="n">
        <v>79073</v>
      </c>
      <c r="T19" s="258" t="n">
        <v>111996</v>
      </c>
      <c r="U19" s="258" t="n">
        <v>114470</v>
      </c>
      <c r="V19" s="258" t="n">
        <v>123902</v>
      </c>
      <c r="W19" s="258" t="n">
        <v>114836</v>
      </c>
      <c r="X19" s="258" t="n">
        <v>147866</v>
      </c>
      <c r="Y19" s="258" t="n">
        <v>135565</v>
      </c>
      <c r="Z19" s="258" t="n">
        <v>183673</v>
      </c>
      <c r="AA19" s="258" t="n">
        <v>179173</v>
      </c>
      <c r="AB19" s="258" t="n">
        <v>201938.5</v>
      </c>
      <c r="AC19" s="258" t="n">
        <v>211203</v>
      </c>
      <c r="AD19" s="258" t="n">
        <v>227365</v>
      </c>
      <c r="AE19" s="258" t="n">
        <v>279247</v>
      </c>
      <c r="AF19" s="258" t="n">
        <v>314224</v>
      </c>
      <c r="AG19" s="258" t="n">
        <v>328667</v>
      </c>
      <c r="AH19" s="258" t="n">
        <v>345922</v>
      </c>
      <c r="AI19" s="258" t="n">
        <v>403145</v>
      </c>
      <c r="AJ19" s="258" t="n">
        <v>378425</v>
      </c>
    </row>
    <row r="20">
      <c r="G20" t="inlineStr">
        <is>
          <t>moeda</t>
        </is>
      </c>
      <c r="H20" t="inlineStr">
        <is>
          <t>EBITDA (DRE l.34, como divulgado) - memoria</t>
        </is>
      </c>
      <c r="J20" t="inlineStr">
        <is>
          <t>memoria</t>
        </is>
      </c>
      <c r="K20" s="258" t="n">
        <v>28255</v>
      </c>
      <c r="L20" s="258" t="n">
        <v>49083</v>
      </c>
      <c r="M20" s="258" t="n">
        <v>67695</v>
      </c>
      <c r="N20" s="258" t="n">
        <v>83849.71006000004</v>
      </c>
      <c r="O20" s="258" t="n">
        <v>64315.65271000004</v>
      </c>
      <c r="P20" s="258" t="n">
        <v>91096.0585</v>
      </c>
      <c r="Q20" s="258" t="n">
        <v>86417.80101000002</v>
      </c>
      <c r="R20" s="258" t="n">
        <v>135977.7420699999</v>
      </c>
      <c r="S20" s="258" t="n">
        <v>79997.38681</v>
      </c>
      <c r="T20" s="258" t="n">
        <v>117700</v>
      </c>
      <c r="U20" s="258" t="n">
        <v>120185</v>
      </c>
      <c r="V20" s="258" t="n">
        <v>130204</v>
      </c>
      <c r="W20" s="258" t="n">
        <v>121057.0827</v>
      </c>
      <c r="X20" s="258" t="n">
        <v>154166</v>
      </c>
      <c r="Y20" s="258" t="n">
        <v>141905.89385</v>
      </c>
      <c r="Z20" s="258" t="n">
        <v>190683.02345</v>
      </c>
      <c r="AA20" s="258" t="n">
        <v>186290</v>
      </c>
      <c r="AB20" s="258" t="n">
        <v>208950.076789999</v>
      </c>
      <c r="AC20" s="258" t="n">
        <v>219394.1989450003</v>
      </c>
      <c r="AD20" s="258" t="n">
        <v>236176.18731</v>
      </c>
      <c r="AE20" s="258" t="n">
        <v>287780</v>
      </c>
      <c r="AF20" s="258" t="n">
        <v>322978</v>
      </c>
      <c r="AG20" s="258" t="n">
        <v>337188</v>
      </c>
      <c r="AH20" s="258" t="n">
        <v>354992</v>
      </c>
      <c r="AI20" s="258" t="n">
        <v>411494</v>
      </c>
      <c r="AJ20" s="258" t="n">
        <v>386976</v>
      </c>
    </row>
    <row r="21">
      <c r="G21" t="inlineStr">
        <is>
          <t>moeda</t>
        </is>
      </c>
      <c r="H21" t="inlineStr">
        <is>
          <t>EBITDA ajustado (DRE l.36; soma juros capitalizados) - memoria</t>
        </is>
      </c>
      <c r="J21" t="inlineStr">
        <is>
          <t>memoria</t>
        </is>
      </c>
      <c r="K21" s="258" t="n">
        <v>29620</v>
      </c>
      <c r="L21" s="258" t="n">
        <v>50769</v>
      </c>
      <c r="M21" s="258" t="n">
        <v>68104</v>
      </c>
      <c r="N21" s="258" t="n">
        <v>84604.71006000004</v>
      </c>
      <c r="O21" s="258" t="n">
        <v>64437.65271000004</v>
      </c>
      <c r="P21" s="258" t="n">
        <v>91238.0585</v>
      </c>
      <c r="Q21" s="258" t="n">
        <v>86926.40123000002</v>
      </c>
      <c r="R21" s="258" t="n">
        <v>136539.14185</v>
      </c>
      <c r="S21" s="258" t="n">
        <v>80604.38681</v>
      </c>
      <c r="T21" s="258" t="n">
        <v>118450.94069</v>
      </c>
      <c r="U21" s="258" t="n">
        <v>121285.05931</v>
      </c>
      <c r="V21" s="258" t="n">
        <v>131030</v>
      </c>
      <c r="W21" s="258" t="n">
        <v>122355.92273</v>
      </c>
      <c r="X21" s="258" t="n">
        <v>155581.15997</v>
      </c>
      <c r="Y21" s="258" t="n">
        <v>143394.89385</v>
      </c>
      <c r="Z21" s="258" t="n">
        <v>192444.02345</v>
      </c>
      <c r="AA21" s="258" t="n">
        <v>188146.00923</v>
      </c>
      <c r="AB21" s="258" t="n">
        <v>211076</v>
      </c>
      <c r="AC21" s="258" t="n">
        <v>221434.2951550003</v>
      </c>
      <c r="AD21" s="258" t="n">
        <v>238513.68521</v>
      </c>
      <c r="AE21" s="258" t="n">
        <v>289491</v>
      </c>
      <c r="AF21" s="258" t="n">
        <v>326435.3909</v>
      </c>
      <c r="AG21" s="258" t="n">
        <v>340249</v>
      </c>
      <c r="AH21" s="258" t="n">
        <v>359319</v>
      </c>
      <c r="AI21" s="258" t="n">
        <v>415737</v>
      </c>
      <c r="AJ21" s="258" t="n">
        <v>392251</v>
      </c>
    </row>
    <row r="22">
      <c r="G22" t="inlineStr">
        <is>
          <t>moeda</t>
        </is>
      </c>
      <c r="H22" t="inlineStr">
        <is>
          <t>Depreciacao e amortizacao (DRE l.33) - memoria</t>
        </is>
      </c>
      <c r="J22" t="inlineStr">
        <is>
          <t>memoria</t>
        </is>
      </c>
      <c r="K22" s="258" t="n">
        <v>2925</v>
      </c>
      <c r="L22" s="258" t="n">
        <v>307</v>
      </c>
      <c r="M22" s="258" t="n">
        <v>365</v>
      </c>
      <c r="N22" s="258" t="n">
        <v>265</v>
      </c>
      <c r="O22" s="258" t="n">
        <v>334.74295</v>
      </c>
      <c r="P22" s="258" t="n">
        <v>355.0585</v>
      </c>
      <c r="Q22" s="258" t="n">
        <v>370.45284</v>
      </c>
      <c r="R22" s="258" t="n">
        <v>378</v>
      </c>
      <c r="S22" s="258" t="n">
        <v>5875</v>
      </c>
      <c r="T22" s="258" t="n">
        <v>5704</v>
      </c>
      <c r="U22" s="258" t="n">
        <v>5715</v>
      </c>
      <c r="V22" s="258" t="n">
        <v>6302</v>
      </c>
      <c r="W22" s="258" t="n">
        <v>6221.0827</v>
      </c>
      <c r="X22" s="258" t="n">
        <v>6300</v>
      </c>
      <c r="Y22" s="258" t="n">
        <v>6340.89385</v>
      </c>
      <c r="Z22" s="258" t="n">
        <v>7010.023450000001</v>
      </c>
      <c r="AA22" s="258" t="n">
        <v>7117</v>
      </c>
      <c r="AB22" s="258" t="n">
        <v>7009</v>
      </c>
      <c r="AC22" s="258" t="n">
        <v>8191.32722</v>
      </c>
      <c r="AD22" s="258" t="n">
        <v>8811.187310000001</v>
      </c>
      <c r="AE22" s="258" t="n">
        <v>8533</v>
      </c>
      <c r="AF22" s="258" t="n">
        <v>8754</v>
      </c>
      <c r="AG22" s="258" t="n">
        <v>8521</v>
      </c>
      <c r="AH22" s="258" t="n">
        <v>9070</v>
      </c>
      <c r="AI22" s="258" t="n">
        <v>8349</v>
      </c>
      <c r="AJ22" s="258" t="n">
        <v>8551</v>
      </c>
    </row>
    <row r="23">
      <c r="H23" s="254" t="inlineStr">
        <is>
          <t>DFC - TRIMESTRE ISOLADO (aba Fluxo de Caixa; R$ mil)</t>
        </is>
      </c>
    </row>
    <row r="24">
      <c r="A24" t="n">
        <v>10</v>
      </c>
      <c r="B24" t="n">
        <v>1</v>
      </c>
      <c r="G24" t="inlineStr">
        <is>
          <t>moeda</t>
        </is>
      </c>
      <c r="H24" t="inlineStr">
        <is>
          <t>Dividendos pagos a acionistas (DFC l.55; ja negativo na fonte)</t>
        </is>
      </c>
      <c r="J24" t="inlineStr">
        <is>
          <t>fonte</t>
        </is>
      </c>
      <c r="K24" s="258" t="n">
        <v>0</v>
      </c>
      <c r="L24" s="258" t="n">
        <v>0</v>
      </c>
      <c r="M24" s="258" t="n">
        <v>0</v>
      </c>
      <c r="N24" s="258" t="n">
        <v>-170000</v>
      </c>
      <c r="O24" s="258" t="n">
        <v>0</v>
      </c>
      <c r="P24" s="258" t="n">
        <v>0</v>
      </c>
      <c r="Q24" s="258" t="n">
        <v>-115000</v>
      </c>
      <c r="R24" s="258" t="n">
        <v>-50000</v>
      </c>
      <c r="S24" s="258" t="n">
        <v>0</v>
      </c>
      <c r="T24" s="258" t="n">
        <v>0</v>
      </c>
      <c r="U24" s="258" t="n">
        <v>-150000</v>
      </c>
      <c r="V24" s="258" t="n">
        <v>0</v>
      </c>
      <c r="W24" s="258" t="n">
        <v>-60000</v>
      </c>
      <c r="X24" s="258" t="n">
        <v>-18348</v>
      </c>
      <c r="Y24" s="258" t="n">
        <v>0</v>
      </c>
      <c r="Z24" s="258" t="n">
        <v>-250000</v>
      </c>
      <c r="AA24" s="258" t="n">
        <v>0</v>
      </c>
      <c r="AB24" s="258" t="n">
        <v>-118537</v>
      </c>
      <c r="AC24" s="258" t="n">
        <v>-264999.9999999999</v>
      </c>
      <c r="AD24" s="258" t="n">
        <v>-100000.0000000001</v>
      </c>
      <c r="AE24" s="258" t="n">
        <v>-175000</v>
      </c>
      <c r="AF24" s="258" t="n">
        <v>-154338</v>
      </c>
      <c r="AG24" s="258" t="n">
        <v>0</v>
      </c>
      <c r="AH24" s="258" t="n">
        <v>-1023000</v>
      </c>
      <c r="AI24" s="258" t="n">
        <v>0</v>
      </c>
      <c r="AJ24" s="258" t="n">
        <v>-270000</v>
      </c>
    </row>
    <row r="25">
      <c r="G25" t="inlineStr">
        <is>
          <t>moeda</t>
        </is>
      </c>
      <c r="H25" t="inlineStr">
        <is>
          <t>Imobilizado (DFC l.45) - capex - memoria</t>
        </is>
      </c>
      <c r="J25" t="inlineStr">
        <is>
          <t>memoria</t>
        </is>
      </c>
      <c r="K25" s="258" t="n">
        <v>-3482</v>
      </c>
      <c r="L25" s="258" t="n">
        <v>-3535</v>
      </c>
      <c r="M25" s="258" t="n">
        <v>-5230</v>
      </c>
      <c r="N25" s="258" t="n">
        <v>-5452</v>
      </c>
      <c r="O25" s="258" t="n">
        <v>-10124</v>
      </c>
      <c r="P25" s="258" t="n">
        <v>-8154</v>
      </c>
      <c r="Q25" s="258" t="n">
        <v>-7054</v>
      </c>
      <c r="R25" s="258" t="n">
        <v>-6369</v>
      </c>
      <c r="S25" s="258" t="n">
        <v>-3970</v>
      </c>
      <c r="T25" s="258" t="n">
        <v>-3383</v>
      </c>
      <c r="U25" s="258" t="n">
        <v>800</v>
      </c>
      <c r="V25" s="258" t="n">
        <v>-12210</v>
      </c>
      <c r="W25" s="258" t="n">
        <v>-13870</v>
      </c>
      <c r="X25" s="258" t="n">
        <v>-8152</v>
      </c>
      <c r="Y25" s="258" t="n">
        <v>-6189</v>
      </c>
      <c r="Z25" s="258" t="n">
        <v>-7971</v>
      </c>
      <c r="AA25" s="258" t="n">
        <v>-9128</v>
      </c>
      <c r="AB25" s="258" t="n">
        <v>-7072</v>
      </c>
      <c r="AC25" s="258" t="n">
        <v>-10833</v>
      </c>
      <c r="AD25" s="258" t="n">
        <v>-10607</v>
      </c>
      <c r="AE25" s="258" t="n">
        <v>-8816</v>
      </c>
      <c r="AF25" s="258" t="n">
        <v>-7259</v>
      </c>
      <c r="AG25" s="258" t="n">
        <v>-8645</v>
      </c>
      <c r="AH25" s="258" t="n">
        <v>-9760</v>
      </c>
      <c r="AI25" s="258" t="n">
        <v>-13519</v>
      </c>
      <c r="AJ25" s="258" t="n">
        <v>-13320</v>
      </c>
    </row>
    <row r="26">
      <c r="G26" t="inlineStr">
        <is>
          <t>moeda</t>
        </is>
      </c>
      <c r="H26" t="inlineStr">
        <is>
          <t>Fluxo de caixa liquido das atividades operacionais (DFC l.39) - memoria</t>
        </is>
      </c>
      <c r="J26" t="inlineStr">
        <is>
          <t>memoria</t>
        </is>
      </c>
      <c r="K26" s="258" t="n">
        <v>4520.714649999958</v>
      </c>
      <c r="L26" s="258" t="n">
        <v>67057.59267999999</v>
      </c>
      <c r="M26" s="258" t="n">
        <v>55153.82851000002</v>
      </c>
      <c r="N26" s="258" t="n">
        <v>51347.86416</v>
      </c>
      <c r="O26" s="258" t="n">
        <v>14590</v>
      </c>
      <c r="P26" s="258" t="n">
        <v>78624</v>
      </c>
      <c r="Q26" s="258" t="n">
        <v>78369</v>
      </c>
      <c r="R26" s="258" t="n">
        <v>210711</v>
      </c>
      <c r="S26" s="258" t="n">
        <v>27317</v>
      </c>
      <c r="T26" s="258" t="n">
        <v>94261</v>
      </c>
      <c r="U26" s="258" t="n">
        <v>70903</v>
      </c>
      <c r="V26" s="258" t="n">
        <v>154885</v>
      </c>
      <c r="W26" s="258" t="n">
        <v>19409</v>
      </c>
      <c r="X26" s="258" t="n">
        <v>106372</v>
      </c>
      <c r="Y26" s="258" t="n">
        <v>137791</v>
      </c>
      <c r="Z26" s="258" t="n">
        <v>154885</v>
      </c>
      <c r="AA26" s="258" t="n">
        <v>24438</v>
      </c>
      <c r="AB26" s="258" t="n">
        <v>173094</v>
      </c>
      <c r="AC26" s="258" t="n">
        <v>114104</v>
      </c>
      <c r="AD26" s="258" t="n">
        <v>167927.5996000704</v>
      </c>
      <c r="AE26" s="258" t="n">
        <v>57863</v>
      </c>
      <c r="AF26" s="258" t="n">
        <v>105844.9999999999</v>
      </c>
      <c r="AG26" s="258" t="n">
        <v>271006.0000000001</v>
      </c>
      <c r="AH26" s="258" t="n">
        <v>312332</v>
      </c>
      <c r="AI26" s="258" t="n">
        <v>81925</v>
      </c>
      <c r="AJ26" s="258" t="n">
        <v>149981</v>
      </c>
    </row>
    <row r="27">
      <c r="H27" s="254" t="inlineStr">
        <is>
          <t>DERIVADAS (formula nesta aba)</t>
        </is>
      </c>
    </row>
    <row r="28">
      <c r="A28" t="n">
        <v>4</v>
      </c>
      <c r="B28" t="n">
        <v>-1</v>
      </c>
      <c r="C28" t="n">
        <v>3</v>
      </c>
      <c r="D28" t="n">
        <v>1</v>
      </c>
      <c r="G28" t="inlineStr">
        <is>
          <t>moeda</t>
        </is>
      </c>
      <c r="H28" t="inlineStr">
        <is>
          <t>D&amp;A = EBITDA divulgado - EBIT (DRE l.34 - l.16), para o EBITDA do modelo ser o da Cia. Bate com a D&amp;A da l.33 exceto 1T22 (EBITDA divulgado R$ 80,0 mi = EBIT 79,1 + 0,9; l.33 traz 5,9). COD1=4 lanca; COD2=3 devolve as despesas operacionais</t>
        </is>
      </c>
      <c r="J28" t="inlineStr">
        <is>
          <t>derivada</t>
        </is>
      </c>
      <c r="K28" s="258">
        <f>K20-K19</f>
        <v>2925</v>
      </c>
      <c r="L28" s="258">
        <f>L20-L19</f>
        <v>307</v>
      </c>
      <c r="M28" s="258">
        <f>M20-M19</f>
        <v>365</v>
      </c>
      <c r="N28" s="258">
        <f>N20-N19</f>
        <v>263.710060000041</v>
      </c>
      <c r="O28" s="258">
        <f>O20-O19</f>
        <v>334.652710000039</v>
      </c>
      <c r="P28" s="258">
        <f>P20-P19</f>
        <v>355.058499999999</v>
      </c>
      <c r="Q28" s="258">
        <f>Q20-Q19</f>
        <v>375.960359999997</v>
      </c>
      <c r="R28" s="258">
        <f>R20-R19</f>
        <v>377.742069999891</v>
      </c>
      <c r="S28" s="258">
        <f>S20-S19</f>
        <v>924.386809999996</v>
      </c>
      <c r="T28" s="258">
        <f>T20-T19</f>
        <v>5704</v>
      </c>
      <c r="U28" s="258">
        <f>U20-U19</f>
        <v>5715</v>
      </c>
      <c r="V28" s="258">
        <f>V20-V19</f>
        <v>6302</v>
      </c>
      <c r="W28" s="258">
        <f>W20-W19</f>
        <v>6221.0827</v>
      </c>
      <c r="X28" s="258">
        <f>X20-X19</f>
        <v>6300</v>
      </c>
      <c r="Y28" s="258">
        <f>Y20-Y19</f>
        <v>6340.89384999999</v>
      </c>
      <c r="Z28" s="258">
        <f>Z20-Z19</f>
        <v>7010.02345000001</v>
      </c>
      <c r="AA28" s="258">
        <f>AA20-AA19</f>
        <v>7117</v>
      </c>
      <c r="AB28" s="258">
        <f>AB20-AB19</f>
        <v>7011.576789999</v>
      </c>
      <c r="AC28" s="258">
        <f>AC20-AC19</f>
        <v>8191.1989450003</v>
      </c>
      <c r="AD28" s="258">
        <f>AD20-AD19</f>
        <v>8811.18731000001</v>
      </c>
      <c r="AE28" s="258">
        <f>AE20-AE19</f>
        <v>8533</v>
      </c>
      <c r="AF28" s="258">
        <f>AF20-AF19</f>
        <v>8754</v>
      </c>
      <c r="AG28" s="258">
        <f>AG20-AG19</f>
        <v>8521</v>
      </c>
      <c r="AH28" s="258">
        <f>AH20-AH19</f>
        <v>9070</v>
      </c>
      <c r="AI28" s="258">
        <f>AI20-AI19</f>
        <v>8349</v>
      </c>
      <c r="AJ28" s="258">
        <f>AJ20-AJ19</f>
        <v>8551</v>
      </c>
    </row>
    <row r="29">
      <c r="H29" s="254" t="inlineStr">
        <is>
          <t>BALANCO (abas BP Ativo e BP Passivo; R$ mil, fim de trimestre)</t>
        </is>
      </c>
    </row>
    <row r="30">
      <c r="A30" t="n">
        <v>11</v>
      </c>
      <c r="B30" t="n">
        <v>1</v>
      </c>
      <c r="G30" t="inlineStr">
        <is>
          <t>moeda</t>
        </is>
      </c>
      <c r="H30" t="inlineStr">
        <is>
          <t>Ativo: Caixa e equivalentes (l.6)</t>
        </is>
      </c>
      <c r="J30" t="inlineStr">
        <is>
          <t>fonte</t>
        </is>
      </c>
      <c r="K30" s="258" t="n">
        <v>254528</v>
      </c>
      <c r="L30" s="258" t="n">
        <v>358082</v>
      </c>
      <c r="M30" s="258" t="n">
        <v>529672</v>
      </c>
      <c r="N30" s="258" t="n">
        <v>291125</v>
      </c>
      <c r="O30" s="258" t="n">
        <v>329971</v>
      </c>
      <c r="P30" s="258" t="n">
        <v>390596</v>
      </c>
      <c r="Q30" s="258" t="n">
        <v>414633</v>
      </c>
      <c r="R30" s="258" t="n">
        <v>375963</v>
      </c>
      <c r="S30" s="258" t="n">
        <v>360921</v>
      </c>
      <c r="T30" s="258" t="n">
        <v>454074</v>
      </c>
      <c r="U30" s="258" t="n">
        <v>394522</v>
      </c>
      <c r="V30" s="258" t="n">
        <v>562264</v>
      </c>
      <c r="W30" s="258" t="n">
        <v>470159</v>
      </c>
      <c r="X30" s="258" t="n">
        <v>556696</v>
      </c>
      <c r="Y30" s="258" t="n">
        <v>730072</v>
      </c>
      <c r="Z30" s="258" t="n">
        <v>643630</v>
      </c>
      <c r="AA30" s="258" t="n">
        <v>647595</v>
      </c>
      <c r="AB30" s="258" t="n">
        <v>889522</v>
      </c>
      <c r="AC30" s="258" t="n">
        <v>760259</v>
      </c>
      <c r="AD30" s="258" t="n">
        <v>975224</v>
      </c>
      <c r="AE30" s="258" t="n">
        <v>1031724</v>
      </c>
      <c r="AF30" s="258" t="n">
        <v>1035262</v>
      </c>
      <c r="AG30" s="258" t="n">
        <v>1287134</v>
      </c>
      <c r="AH30" s="258" t="n">
        <v>1355394</v>
      </c>
      <c r="AI30" s="258" t="n">
        <v>1397709</v>
      </c>
      <c r="AJ30" s="258" t="n">
        <v>1375239</v>
      </c>
    </row>
    <row r="31">
      <c r="A31" t="n">
        <v>11</v>
      </c>
      <c r="B31" t="n">
        <v>1</v>
      </c>
      <c r="G31" t="inlineStr">
        <is>
          <t>moeda</t>
        </is>
      </c>
      <c r="H31" t="inlineStr">
        <is>
          <t>Ativo: Títulos e valores mobiliários (l.7)</t>
        </is>
      </c>
      <c r="J31" t="inlineStr">
        <is>
          <t>fonte</t>
        </is>
      </c>
      <c r="K31" s="258" t="n">
        <v>71000</v>
      </c>
      <c r="L31" s="258" t="n">
        <v>67765</v>
      </c>
      <c r="M31" s="258" t="n">
        <v>80177</v>
      </c>
      <c r="N31" s="258" t="n">
        <v>139773</v>
      </c>
      <c r="O31" s="258" t="n">
        <v>106673</v>
      </c>
      <c r="P31" s="258" t="n">
        <v>101391</v>
      </c>
      <c r="Q31" s="258" t="n">
        <v>140294</v>
      </c>
      <c r="R31" s="258" t="n">
        <v>218524</v>
      </c>
      <c r="S31" s="258" t="n">
        <v>241647</v>
      </c>
      <c r="T31" s="258" t="n">
        <v>225903</v>
      </c>
      <c r="U31" s="258" t="n">
        <v>240386</v>
      </c>
      <c r="V31" s="258" t="n">
        <v>227162</v>
      </c>
      <c r="W31" s="258" t="n">
        <v>259664</v>
      </c>
      <c r="X31" s="258" t="n">
        <v>278694</v>
      </c>
      <c r="Y31" s="258" t="n">
        <v>379003</v>
      </c>
      <c r="Z31" s="258" t="n">
        <v>348639</v>
      </c>
      <c r="AA31" s="258" t="n">
        <v>364073</v>
      </c>
      <c r="AB31" s="258" t="n">
        <v>668498</v>
      </c>
      <c r="AC31" s="258" t="n">
        <v>664956</v>
      </c>
      <c r="AD31" s="258" t="n">
        <v>441012</v>
      </c>
      <c r="AE31" s="258" t="n">
        <v>512082</v>
      </c>
      <c r="AF31" s="258" t="n">
        <v>495613</v>
      </c>
      <c r="AG31" s="258" t="n">
        <v>486069</v>
      </c>
      <c r="AH31" s="258" t="n">
        <v>435543</v>
      </c>
      <c r="AI31" s="258" t="n">
        <v>359601</v>
      </c>
      <c r="AJ31" s="258" t="n">
        <v>258467</v>
      </c>
    </row>
    <row r="32">
      <c r="A32" t="n">
        <v>12</v>
      </c>
      <c r="B32" t="n">
        <v>1</v>
      </c>
      <c r="G32" t="inlineStr">
        <is>
          <t>moeda</t>
        </is>
      </c>
      <c r="H32" t="inlineStr">
        <is>
          <t>Ativo: Contas a receber de clientes (l.8)</t>
        </is>
      </c>
      <c r="J32" t="inlineStr">
        <is>
          <t>fonte</t>
        </is>
      </c>
      <c r="K32" s="258" t="n">
        <v>448111</v>
      </c>
      <c r="L32" s="258" t="n">
        <v>528330</v>
      </c>
      <c r="M32" s="258" t="n">
        <v>647241</v>
      </c>
      <c r="N32" s="258" t="n">
        <v>627243</v>
      </c>
      <c r="O32" s="258" t="n">
        <v>770187</v>
      </c>
      <c r="P32" s="258" t="n">
        <v>835343</v>
      </c>
      <c r="Q32" s="258" t="n">
        <v>700282</v>
      </c>
      <c r="R32" s="258" t="n">
        <v>731349</v>
      </c>
      <c r="S32" s="258" t="n">
        <v>996524</v>
      </c>
      <c r="T32" s="258" t="n">
        <v>1004386</v>
      </c>
      <c r="U32" s="258" t="n">
        <v>879561.9846584324</v>
      </c>
      <c r="V32" s="258" t="n">
        <v>681536</v>
      </c>
      <c r="W32" s="258" t="n">
        <v>677724</v>
      </c>
      <c r="X32" s="258" t="n">
        <v>678261</v>
      </c>
      <c r="Y32" s="258" t="n">
        <v>489221</v>
      </c>
      <c r="Z32" s="258" t="n">
        <v>481218</v>
      </c>
      <c r="AA32" s="258" t="n">
        <v>649909</v>
      </c>
      <c r="AB32" s="258" t="n">
        <v>494497</v>
      </c>
      <c r="AC32" s="258" t="n">
        <v>371958</v>
      </c>
      <c r="AD32" s="258" t="n">
        <v>345783</v>
      </c>
      <c r="AE32" s="258" t="n">
        <v>602207.9967106327</v>
      </c>
      <c r="AF32" s="258" t="n">
        <v>552497</v>
      </c>
      <c r="AG32" s="258" t="n">
        <v>475943.3407811627</v>
      </c>
      <c r="AH32" s="258" t="n">
        <v>286215</v>
      </c>
      <c r="AI32" s="258" t="n">
        <v>536930</v>
      </c>
      <c r="AJ32" s="258" t="n">
        <v>580014</v>
      </c>
    </row>
    <row r="33">
      <c r="A33" t="n">
        <v>13</v>
      </c>
      <c r="B33" t="n">
        <v>1</v>
      </c>
      <c r="G33" t="inlineStr">
        <is>
          <t>moeda</t>
        </is>
      </c>
      <c r="H33" t="inlineStr">
        <is>
          <t>Ativo: Imóveis a comercializar (l.9)</t>
        </is>
      </c>
      <c r="J33" t="inlineStr">
        <is>
          <t>fonte</t>
        </is>
      </c>
      <c r="K33" s="258" t="n">
        <v>210689</v>
      </c>
      <c r="L33" s="258" t="n">
        <v>190026</v>
      </c>
      <c r="M33" s="258" t="n">
        <v>226704</v>
      </c>
      <c r="N33" s="258" t="n">
        <v>270277</v>
      </c>
      <c r="O33" s="258" t="n">
        <v>382697</v>
      </c>
      <c r="P33" s="258" t="n">
        <v>320995</v>
      </c>
      <c r="Q33" s="258" t="n">
        <v>338886</v>
      </c>
      <c r="R33" s="258" t="n">
        <v>486666</v>
      </c>
      <c r="S33" s="258" t="n">
        <v>454883</v>
      </c>
      <c r="T33" s="258" t="n">
        <v>420684</v>
      </c>
      <c r="U33" s="258" t="n">
        <v>477113</v>
      </c>
      <c r="V33" s="258" t="n">
        <v>534993</v>
      </c>
      <c r="W33" s="258" t="n">
        <v>675394</v>
      </c>
      <c r="X33" s="258" t="n">
        <v>602449</v>
      </c>
      <c r="Y33" s="258" t="n">
        <v>626691</v>
      </c>
      <c r="Z33" s="258" t="n">
        <v>641546</v>
      </c>
      <c r="AA33" s="258" t="n">
        <v>683171</v>
      </c>
      <c r="AB33" s="258" t="n">
        <v>699423</v>
      </c>
      <c r="AC33" s="258" t="n">
        <v>683894</v>
      </c>
      <c r="AD33" s="258" t="n">
        <v>808203</v>
      </c>
      <c r="AE33" s="258" t="n">
        <v>742802</v>
      </c>
      <c r="AF33" s="258" t="n">
        <v>744049</v>
      </c>
      <c r="AG33" s="258" t="n">
        <v>960833</v>
      </c>
      <c r="AH33" s="258" t="n">
        <v>919547</v>
      </c>
      <c r="AI33" s="258" t="n">
        <v>1180633</v>
      </c>
      <c r="AJ33" s="258" t="n">
        <v>1185612</v>
      </c>
    </row>
    <row r="34">
      <c r="A34" t="n">
        <v>15</v>
      </c>
      <c r="B34" t="n">
        <v>1</v>
      </c>
      <c r="G34" t="inlineStr">
        <is>
          <t>moeda</t>
        </is>
      </c>
      <c r="H34" t="inlineStr">
        <is>
          <t>Ativo: Adiantamentos a fornecedores (l.10)</t>
        </is>
      </c>
      <c r="J34" t="inlineStr">
        <is>
          <t>fonte</t>
        </is>
      </c>
      <c r="K34" s="258" t="n">
        <v>11718</v>
      </c>
      <c r="L34" s="258" t="n">
        <v>9125</v>
      </c>
      <c r="M34" s="258" t="n">
        <v>8463</v>
      </c>
      <c r="N34" s="258" t="n">
        <v>7748</v>
      </c>
      <c r="O34" s="258" t="n">
        <v>7755</v>
      </c>
      <c r="P34" s="258" t="n">
        <v>5560</v>
      </c>
      <c r="Q34" s="258" t="n">
        <v>9083</v>
      </c>
      <c r="R34" s="258" t="n">
        <v>6611</v>
      </c>
      <c r="S34" s="258" t="n">
        <v>6676</v>
      </c>
      <c r="T34" s="258" t="n">
        <v>6582</v>
      </c>
      <c r="U34" s="258" t="n">
        <v>8343</v>
      </c>
      <c r="V34" s="258" t="n">
        <v>7297</v>
      </c>
      <c r="W34" s="258" t="n">
        <v>7108</v>
      </c>
      <c r="X34" s="258" t="n">
        <v>9562</v>
      </c>
      <c r="Y34" s="258" t="n">
        <v>11558</v>
      </c>
      <c r="Z34" s="258" t="n">
        <v>13547</v>
      </c>
      <c r="AA34" s="258" t="n">
        <v>9839</v>
      </c>
      <c r="AB34" s="258" t="n">
        <v>26070</v>
      </c>
      <c r="AC34" s="258" t="n">
        <v>15022</v>
      </c>
      <c r="AD34" s="258" t="n">
        <v>17033</v>
      </c>
      <c r="AE34" s="258" t="n">
        <v>15238</v>
      </c>
      <c r="AF34" s="258" t="n">
        <v>8316</v>
      </c>
      <c r="AG34" s="258" t="n">
        <v>9581</v>
      </c>
      <c r="AH34" s="258" t="n">
        <v>11708</v>
      </c>
      <c r="AI34" s="258" t="n">
        <v>10253</v>
      </c>
      <c r="AJ34" s="258" t="n">
        <v>9152</v>
      </c>
    </row>
    <row r="35">
      <c r="A35" t="n">
        <v>16</v>
      </c>
      <c r="B35" t="n">
        <v>1</v>
      </c>
      <c r="G35" t="inlineStr">
        <is>
          <t>moeda</t>
        </is>
      </c>
      <c r="H35" t="inlineStr">
        <is>
          <t>Ativo: Outros créditos (l.11)</t>
        </is>
      </c>
      <c r="J35" t="inlineStr">
        <is>
          <t>fonte</t>
        </is>
      </c>
      <c r="K35" s="258" t="n">
        <v>34332</v>
      </c>
      <c r="L35" s="258" t="n">
        <v>36889</v>
      </c>
      <c r="M35" s="258" t="n">
        <v>42749</v>
      </c>
      <c r="N35" s="258" t="n">
        <v>16345</v>
      </c>
      <c r="O35" s="258" t="n">
        <v>15478</v>
      </c>
      <c r="P35" s="258" t="n">
        <v>19254</v>
      </c>
      <c r="Q35" s="258" t="n">
        <v>24330</v>
      </c>
      <c r="R35" s="258" t="n">
        <v>27836</v>
      </c>
      <c r="S35" s="258" t="n">
        <v>30305</v>
      </c>
      <c r="T35" s="258" t="n">
        <v>36248</v>
      </c>
      <c r="U35" s="258" t="n">
        <v>43329</v>
      </c>
      <c r="V35" s="258" t="n">
        <v>50270</v>
      </c>
      <c r="W35" s="258" t="n">
        <v>58214</v>
      </c>
      <c r="X35" s="258" t="n">
        <v>63169</v>
      </c>
      <c r="Y35" s="258" t="n">
        <v>79675</v>
      </c>
      <c r="Z35" s="258" t="n">
        <v>84228</v>
      </c>
      <c r="AA35" s="258" t="n">
        <v>92050</v>
      </c>
      <c r="AB35" s="258" t="n">
        <v>115011</v>
      </c>
      <c r="AC35" s="258" t="n">
        <v>132338</v>
      </c>
      <c r="AD35" s="258" t="n">
        <v>138882</v>
      </c>
      <c r="AE35" s="258" t="n">
        <v>144504</v>
      </c>
      <c r="AF35" s="258" t="n">
        <v>170013</v>
      </c>
      <c r="AG35" s="258" t="n">
        <v>187277</v>
      </c>
      <c r="AH35" s="258" t="n">
        <v>203465</v>
      </c>
      <c r="AI35" s="258" t="n">
        <v>206713</v>
      </c>
      <c r="AJ35" s="258" t="n">
        <v>230579</v>
      </c>
    </row>
    <row r="36">
      <c r="A36" t="n">
        <v>12</v>
      </c>
      <c r="B36" t="n">
        <v>1</v>
      </c>
      <c r="G36" t="inlineStr">
        <is>
          <t>moeda</t>
        </is>
      </c>
      <c r="H36" t="inlineStr">
        <is>
          <t>Ativo: Contas a receber de clientes (l.14) -&gt; cod 12: contas a receber total (CP + LP), padrao de incorporadora; para separar, trocar para cod 22</t>
        </is>
      </c>
      <c r="J36" t="inlineStr">
        <is>
          <t>fonte</t>
        </is>
      </c>
      <c r="K36" s="258" t="n">
        <v>157343</v>
      </c>
      <c r="L36" s="258" t="n">
        <v>157343</v>
      </c>
      <c r="M36" s="258" t="n">
        <v>183813</v>
      </c>
      <c r="N36" s="258" t="n">
        <v>172079</v>
      </c>
      <c r="O36" s="258" t="n">
        <v>167826</v>
      </c>
      <c r="P36" s="258" t="n">
        <v>213781</v>
      </c>
      <c r="Q36" s="258" t="n">
        <v>406000</v>
      </c>
      <c r="R36" s="258" t="n">
        <v>546316</v>
      </c>
      <c r="S36" s="258" t="n">
        <v>634055</v>
      </c>
      <c r="T36" s="258" t="n">
        <v>552406</v>
      </c>
      <c r="U36" s="258" t="n">
        <v>520139.0153415676</v>
      </c>
      <c r="V36" s="258" t="n">
        <v>497726</v>
      </c>
      <c r="W36" s="258" t="n">
        <v>372912</v>
      </c>
      <c r="X36" s="258" t="n">
        <v>407428</v>
      </c>
      <c r="Y36" s="258" t="n">
        <v>591170</v>
      </c>
      <c r="Z36" s="258" t="n">
        <v>609583</v>
      </c>
      <c r="AA36" s="258" t="n">
        <v>635299</v>
      </c>
      <c r="AB36" s="258" t="n">
        <v>884755</v>
      </c>
      <c r="AC36" s="258" t="n">
        <v>1082272</v>
      </c>
      <c r="AD36" s="258" t="n">
        <v>1091454</v>
      </c>
      <c r="AE36" s="258" t="n">
        <v>1294500.003289367</v>
      </c>
      <c r="AF36" s="258" t="n">
        <v>1581210</v>
      </c>
      <c r="AG36" s="258" t="n">
        <v>1722834.659218837</v>
      </c>
      <c r="AH36" s="258" t="n">
        <v>1871728</v>
      </c>
      <c r="AI36" s="258" t="n">
        <v>2012450</v>
      </c>
      <c r="AJ36" s="258" t="n">
        <v>2142326</v>
      </c>
    </row>
    <row r="37">
      <c r="A37" t="n">
        <v>13</v>
      </c>
      <c r="B37" t="n">
        <v>1</v>
      </c>
      <c r="G37" t="inlineStr">
        <is>
          <t>moeda</t>
        </is>
      </c>
      <c r="H37" t="inlineStr">
        <is>
          <t>Ativo: Imóveis a comercializar (l.15) -&gt; cod 13: imoveis a comercializar total (CP + LP); para separar, trocar para cod 22</t>
        </is>
      </c>
      <c r="J37" t="inlineStr">
        <is>
          <t>fonte</t>
        </is>
      </c>
      <c r="K37" s="258" t="n">
        <v>0</v>
      </c>
      <c r="L37" s="258" t="n">
        <v>0</v>
      </c>
      <c r="M37" s="258" t="n">
        <v>0</v>
      </c>
      <c r="N37" s="258" t="n">
        <v>25981</v>
      </c>
      <c r="O37" s="258" t="n">
        <v>36788</v>
      </c>
      <c r="P37" s="258" t="n">
        <v>44683</v>
      </c>
      <c r="Q37" s="258" t="n">
        <v>42742</v>
      </c>
      <c r="R37" s="258" t="n">
        <v>46042</v>
      </c>
      <c r="S37" s="258" t="n">
        <v>45908</v>
      </c>
      <c r="T37" s="258" t="n">
        <v>49903</v>
      </c>
      <c r="U37" s="258" t="n">
        <v>51027</v>
      </c>
      <c r="V37" s="258" t="n">
        <v>69096</v>
      </c>
      <c r="W37" s="258" t="n">
        <v>37104</v>
      </c>
      <c r="X37" s="258" t="n">
        <v>55154</v>
      </c>
      <c r="Y37" s="258" t="n">
        <v>62334</v>
      </c>
      <c r="Z37" s="258" t="n">
        <v>76002</v>
      </c>
      <c r="AA37" s="258" t="n">
        <v>128214</v>
      </c>
      <c r="AB37" s="258" t="n">
        <v>66628</v>
      </c>
      <c r="AC37" s="258" t="n">
        <v>107723</v>
      </c>
      <c r="AD37" s="258" t="n">
        <v>384925</v>
      </c>
      <c r="AE37" s="258" t="n">
        <v>392141</v>
      </c>
      <c r="AF37" s="258" t="n">
        <v>439808</v>
      </c>
      <c r="AG37" s="258" t="n">
        <v>356022</v>
      </c>
      <c r="AH37" s="258" t="n">
        <v>429102</v>
      </c>
      <c r="AI37" s="258" t="n">
        <v>340955</v>
      </c>
      <c r="AJ37" s="258" t="n">
        <v>344507</v>
      </c>
    </row>
    <row r="38">
      <c r="A38" t="n">
        <v>22</v>
      </c>
      <c r="B38" t="n">
        <v>1</v>
      </c>
      <c r="G38" t="inlineStr">
        <is>
          <t>moeda</t>
        </is>
      </c>
      <c r="H38" t="inlineStr">
        <is>
          <t>Ativo: Valores a receber entre partes relacionadas (l.16)</t>
        </is>
      </c>
      <c r="J38" t="inlineStr">
        <is>
          <t>fonte</t>
        </is>
      </c>
      <c r="K38" s="258" t="n">
        <v>41381</v>
      </c>
      <c r="L38" s="258" t="n">
        <v>41232</v>
      </c>
      <c r="M38" s="258" t="n">
        <v>32688</v>
      </c>
      <c r="N38" s="258" t="n">
        <v>12206</v>
      </c>
      <c r="O38" s="258" t="n">
        <v>12223</v>
      </c>
      <c r="P38" s="258" t="n">
        <v>4771</v>
      </c>
      <c r="Q38" s="258" t="n">
        <v>4788</v>
      </c>
      <c r="R38" s="258" t="n">
        <v>4321</v>
      </c>
      <c r="S38" s="258" t="n">
        <v>4445</v>
      </c>
      <c r="T38" s="258" t="n">
        <v>4724</v>
      </c>
      <c r="U38" s="258" t="n">
        <v>4355</v>
      </c>
      <c r="V38" s="258" t="n">
        <v>5073</v>
      </c>
      <c r="W38" s="258" t="n">
        <v>4990</v>
      </c>
      <c r="X38" s="258" t="n">
        <v>9220</v>
      </c>
      <c r="Y38" s="258" t="n">
        <v>9055</v>
      </c>
      <c r="Z38" s="258" t="n">
        <v>12877</v>
      </c>
      <c r="AA38" s="258" t="n">
        <v>17035</v>
      </c>
      <c r="AB38" s="258" t="n">
        <v>20868</v>
      </c>
      <c r="AC38" s="258" t="n">
        <v>18436</v>
      </c>
      <c r="AD38" s="258" t="n">
        <v>19811</v>
      </c>
      <c r="AE38" s="258" t="n">
        <v>15765</v>
      </c>
      <c r="AF38" s="258" t="n">
        <v>19451</v>
      </c>
      <c r="AG38" s="258" t="n">
        <v>12336</v>
      </c>
      <c r="AH38" s="258" t="n">
        <v>11893</v>
      </c>
      <c r="AI38" s="258" t="n">
        <v>17865</v>
      </c>
      <c r="AJ38" s="258" t="n">
        <v>18291</v>
      </c>
    </row>
    <row r="39">
      <c r="A39" t="n">
        <v>22</v>
      </c>
      <c r="B39" t="n">
        <v>1</v>
      </c>
      <c r="G39" t="inlineStr">
        <is>
          <t>moeda</t>
        </is>
      </c>
      <c r="H39" t="inlineStr">
        <is>
          <t>Ativo: Outros créditos (l.17)</t>
        </is>
      </c>
      <c r="J39" t="inlineStr">
        <is>
          <t>fonte</t>
        </is>
      </c>
      <c r="K39" s="258" t="n">
        <v>3640</v>
      </c>
      <c r="L39" s="258" t="n">
        <v>3725</v>
      </c>
      <c r="M39" s="258" t="n">
        <v>4441</v>
      </c>
      <c r="N39" s="258" t="n">
        <v>40318</v>
      </c>
      <c r="O39" s="258" t="n">
        <v>39751</v>
      </c>
      <c r="P39" s="258" t="n">
        <v>40488</v>
      </c>
      <c r="Q39" s="258" t="n">
        <v>40920</v>
      </c>
      <c r="R39" s="258" t="n">
        <v>35863</v>
      </c>
      <c r="S39" s="258" t="n">
        <v>36988</v>
      </c>
      <c r="T39" s="258" t="n">
        <v>38934</v>
      </c>
      <c r="U39" s="258" t="n">
        <v>39513</v>
      </c>
      <c r="V39" s="258" t="n">
        <v>37485</v>
      </c>
      <c r="W39" s="258" t="n">
        <v>38625</v>
      </c>
      <c r="X39" s="258" t="n">
        <v>40822</v>
      </c>
      <c r="Y39" s="258" t="n">
        <v>40775</v>
      </c>
      <c r="Z39" s="258" t="n">
        <v>37440</v>
      </c>
      <c r="AA39" s="258" t="n">
        <v>40040</v>
      </c>
      <c r="AB39" s="258" t="n">
        <v>36529</v>
      </c>
      <c r="AC39" s="258" t="n">
        <v>37791</v>
      </c>
      <c r="AD39" s="258" t="n">
        <v>33123</v>
      </c>
      <c r="AE39" s="258" t="n">
        <v>37748</v>
      </c>
      <c r="AF39" s="258" t="n">
        <v>56629</v>
      </c>
      <c r="AG39" s="258" t="n">
        <v>52251</v>
      </c>
      <c r="AH39" s="258" t="n">
        <v>47276</v>
      </c>
      <c r="AI39" s="258" t="n">
        <v>48248</v>
      </c>
      <c r="AJ39" s="258" t="n">
        <v>52709</v>
      </c>
    </row>
    <row r="40">
      <c r="A40" t="n">
        <v>17</v>
      </c>
      <c r="B40" t="n">
        <v>1</v>
      </c>
      <c r="G40" t="inlineStr">
        <is>
          <t>moeda</t>
        </is>
      </c>
      <c r="H40" t="inlineStr">
        <is>
          <t>Ativo: Investimentos (l.18)</t>
        </is>
      </c>
      <c r="J40" t="inlineStr">
        <is>
          <t>fonte</t>
        </is>
      </c>
      <c r="K40" s="258" t="n">
        <v>18857</v>
      </c>
      <c r="L40" s="258" t="n">
        <v>24778</v>
      </c>
      <c r="M40" s="258" t="n">
        <v>25680</v>
      </c>
      <c r="N40" s="258" t="n">
        <v>26948</v>
      </c>
      <c r="O40" s="258" t="n">
        <v>28737</v>
      </c>
      <c r="P40" s="258" t="n">
        <v>32139</v>
      </c>
      <c r="Q40" s="258" t="n">
        <v>29674</v>
      </c>
      <c r="R40" s="258" t="n">
        <v>29770</v>
      </c>
      <c r="S40" s="258" t="n">
        <v>30764</v>
      </c>
      <c r="T40" s="258" t="n">
        <v>33604</v>
      </c>
      <c r="U40" s="258" t="n">
        <v>36393</v>
      </c>
      <c r="V40" s="258" t="n">
        <v>34316</v>
      </c>
      <c r="W40" s="258" t="n">
        <v>32327</v>
      </c>
      <c r="X40" s="258" t="n">
        <v>33598</v>
      </c>
      <c r="Y40" s="258" t="n">
        <v>29692</v>
      </c>
      <c r="Z40" s="258" t="n">
        <v>40875</v>
      </c>
      <c r="AA40" s="258" t="n">
        <v>40803</v>
      </c>
      <c r="AB40" s="258" t="n">
        <v>44707</v>
      </c>
      <c r="AC40" s="258" t="n">
        <v>42837</v>
      </c>
      <c r="AD40" s="258" t="n">
        <v>42244</v>
      </c>
      <c r="AE40" s="258" t="n">
        <v>40372</v>
      </c>
      <c r="AF40" s="258" t="n">
        <v>40727</v>
      </c>
      <c r="AG40" s="258" t="n">
        <v>41203</v>
      </c>
      <c r="AH40" s="258" t="n">
        <v>41321</v>
      </c>
      <c r="AI40" s="258" t="n">
        <v>37757</v>
      </c>
      <c r="AJ40" s="258" t="n">
        <v>30471</v>
      </c>
    </row>
    <row r="41">
      <c r="A41" t="n">
        <v>18</v>
      </c>
      <c r="B41" t="n">
        <v>1</v>
      </c>
      <c r="G41" t="inlineStr">
        <is>
          <t>moeda</t>
        </is>
      </c>
      <c r="H41" t="inlineStr">
        <is>
          <t>Ativo: Imobilizado (l.19)</t>
        </is>
      </c>
      <c r="J41" t="inlineStr">
        <is>
          <t>fonte</t>
        </is>
      </c>
      <c r="K41" s="258" t="n">
        <v>12276</v>
      </c>
      <c r="L41" s="258" t="n">
        <v>12871</v>
      </c>
      <c r="M41" s="258" t="n">
        <v>13604</v>
      </c>
      <c r="N41" s="258" t="n">
        <v>14669</v>
      </c>
      <c r="O41" s="258" t="n">
        <v>20211</v>
      </c>
      <c r="P41" s="258" t="n">
        <v>23569</v>
      </c>
      <c r="Q41" s="258" t="n">
        <v>25579</v>
      </c>
      <c r="R41" s="258" t="n">
        <v>25765</v>
      </c>
      <c r="S41" s="258" t="n">
        <v>24330</v>
      </c>
      <c r="T41" s="258" t="n">
        <v>22509</v>
      </c>
      <c r="U41" s="258" t="n">
        <v>22203</v>
      </c>
      <c r="V41" s="258" t="n">
        <v>22931</v>
      </c>
      <c r="W41" s="258" t="n">
        <v>31101</v>
      </c>
      <c r="X41" s="258" t="n">
        <v>33293</v>
      </c>
      <c r="Y41" s="258" t="n">
        <v>33278</v>
      </c>
      <c r="Z41" s="258" t="n">
        <v>34596</v>
      </c>
      <c r="AA41" s="258" t="n">
        <v>36855</v>
      </c>
      <c r="AB41" s="258" t="n">
        <v>37163</v>
      </c>
      <c r="AC41" s="258" t="n">
        <v>39806</v>
      </c>
      <c r="AD41" s="258" t="n">
        <v>41601</v>
      </c>
      <c r="AE41" s="258" t="n">
        <v>41884</v>
      </c>
      <c r="AF41" s="258" t="n">
        <v>40389</v>
      </c>
      <c r="AG41" s="258" t="n">
        <v>40513</v>
      </c>
      <c r="AH41" s="258" t="n">
        <v>41203</v>
      </c>
      <c r="AI41" s="258" t="n">
        <v>46373</v>
      </c>
      <c r="AJ41" s="258" t="n">
        <v>51142</v>
      </c>
    </row>
    <row r="42">
      <c r="A42" t="n">
        <v>21</v>
      </c>
      <c r="B42" t="n">
        <v>1</v>
      </c>
      <c r="G42" t="inlineStr">
        <is>
          <t>moeda</t>
        </is>
      </c>
      <c r="H42" t="inlineStr">
        <is>
          <t>Ativo: Intangível (l.20) [0 em 9 per.: conta vazia/"-" na fonte]</t>
        </is>
      </c>
      <c r="J42" t="inlineStr">
        <is>
          <t>fonte</t>
        </is>
      </c>
      <c r="K42" s="258" t="n">
        <v>0</v>
      </c>
      <c r="L42" s="258" t="n">
        <v>0</v>
      </c>
      <c r="M42" s="258" t="n">
        <v>0</v>
      </c>
      <c r="N42" s="258" t="n">
        <v>0</v>
      </c>
      <c r="O42" s="258" t="n">
        <v>0</v>
      </c>
      <c r="P42" s="258" t="n">
        <v>0</v>
      </c>
      <c r="Q42" s="258" t="n">
        <v>0</v>
      </c>
      <c r="R42" s="258" t="n">
        <v>0</v>
      </c>
      <c r="S42" s="258" t="n">
        <v>0</v>
      </c>
      <c r="T42" s="258" t="n">
        <v>0</v>
      </c>
      <c r="U42" s="258" t="n">
        <v>0</v>
      </c>
      <c r="V42" s="258" t="n">
        <v>0</v>
      </c>
      <c r="W42" s="258" t="n">
        <v>0</v>
      </c>
      <c r="X42" s="258" t="n">
        <v>0</v>
      </c>
      <c r="Y42" s="258" t="n">
        <v>0</v>
      </c>
      <c r="Z42" s="258" t="n">
        <v>0</v>
      </c>
      <c r="AA42" s="258" t="n">
        <v>0</v>
      </c>
      <c r="AB42" s="258" t="n">
        <v>0</v>
      </c>
      <c r="AC42" s="258" t="n">
        <v>0</v>
      </c>
      <c r="AD42" s="258" t="n">
        <v>0</v>
      </c>
      <c r="AE42" s="258" t="n">
        <v>0</v>
      </c>
      <c r="AF42" s="258" t="n">
        <v>0</v>
      </c>
      <c r="AG42" s="258" t="n">
        <v>0</v>
      </c>
      <c r="AH42" s="258" t="n">
        <v>0</v>
      </c>
      <c r="AI42" s="258" t="n">
        <v>0</v>
      </c>
      <c r="AJ42" s="258" t="n">
        <v>0</v>
      </c>
    </row>
    <row r="43">
      <c r="A43" t="n">
        <v>22</v>
      </c>
      <c r="B43" t="n">
        <v>1</v>
      </c>
      <c r="G43" t="inlineStr">
        <is>
          <t>moeda</t>
        </is>
      </c>
      <c r="H43" t="inlineStr">
        <is>
          <t>Ativo: Propriedades para Investimentos (l.21) [0 em 2 per.: conta vazia/"-" na fonte]</t>
        </is>
      </c>
      <c r="J43" t="inlineStr">
        <is>
          <t>fonte</t>
        </is>
      </c>
      <c r="K43" s="258" t="n">
        <v>0</v>
      </c>
      <c r="L43" s="258" t="n">
        <v>0</v>
      </c>
      <c r="M43" s="258" t="n">
        <v>0</v>
      </c>
      <c r="N43" s="258" t="n">
        <v>0</v>
      </c>
      <c r="O43" s="258" t="n">
        <v>0</v>
      </c>
      <c r="P43" s="258" t="n">
        <v>0</v>
      </c>
      <c r="Q43" s="258" t="n">
        <v>0</v>
      </c>
      <c r="R43" s="258" t="n">
        <v>62896</v>
      </c>
      <c r="S43" s="258" t="n">
        <v>66463</v>
      </c>
      <c r="T43" s="258" t="n">
        <v>67674</v>
      </c>
      <c r="U43" s="258" t="n">
        <v>67968</v>
      </c>
      <c r="V43" s="258" t="n">
        <v>68282</v>
      </c>
      <c r="W43" s="258" t="n">
        <v>68514</v>
      </c>
      <c r="X43" s="258" t="n">
        <v>68304</v>
      </c>
      <c r="Y43" s="258" t="n">
        <v>68088</v>
      </c>
      <c r="Z43" s="258" t="n">
        <v>67842</v>
      </c>
      <c r="AA43" s="258" t="n">
        <v>67594</v>
      </c>
      <c r="AB43" s="258" t="n">
        <v>0</v>
      </c>
      <c r="AC43" s="258" t="n">
        <v>0</v>
      </c>
      <c r="AD43" s="258" t="n">
        <v>0</v>
      </c>
      <c r="AE43" s="258" t="n">
        <v>0</v>
      </c>
      <c r="AF43" s="258" t="n">
        <v>0</v>
      </c>
      <c r="AG43" s="258" t="n">
        <v>0</v>
      </c>
      <c r="AH43" s="258" t="n">
        <v>0</v>
      </c>
      <c r="AI43" s="258" t="n">
        <v>0</v>
      </c>
      <c r="AJ43" s="258" t="n">
        <v>0</v>
      </c>
    </row>
    <row r="44">
      <c r="A44" t="n">
        <v>23</v>
      </c>
      <c r="B44" t="n">
        <v>1</v>
      </c>
      <c r="G44" t="inlineStr">
        <is>
          <t>moeda</t>
        </is>
      </c>
      <c r="H44" t="inlineStr">
        <is>
          <t>Passivo/PL: Fornecedores (l.6)</t>
        </is>
      </c>
      <c r="J44" t="inlineStr">
        <is>
          <t>fonte</t>
        </is>
      </c>
      <c r="K44" s="258" t="n">
        <v>54281</v>
      </c>
      <c r="L44" s="258" t="n">
        <v>62684</v>
      </c>
      <c r="M44" s="258" t="n">
        <v>92811</v>
      </c>
      <c r="N44" s="258" t="n">
        <v>43910</v>
      </c>
      <c r="O44" s="258" t="n">
        <v>60296</v>
      </c>
      <c r="P44" s="258" t="n">
        <v>91549</v>
      </c>
      <c r="Q44" s="258" t="n">
        <v>90214</v>
      </c>
      <c r="R44" s="258" t="n">
        <v>87488</v>
      </c>
      <c r="S44" s="258" t="n">
        <v>83823</v>
      </c>
      <c r="T44" s="258" t="n">
        <v>113748</v>
      </c>
      <c r="U44" s="258" t="n">
        <v>104282</v>
      </c>
      <c r="V44" s="258" t="n">
        <v>114591</v>
      </c>
      <c r="W44" s="258" t="n">
        <v>121055</v>
      </c>
      <c r="X44" s="258" t="n">
        <v>118958</v>
      </c>
      <c r="Y44" s="258" t="n">
        <v>144821</v>
      </c>
      <c r="Z44" s="258" t="n">
        <v>171904</v>
      </c>
      <c r="AA44" s="258" t="n">
        <v>172207</v>
      </c>
      <c r="AB44" s="258" t="n">
        <v>141397</v>
      </c>
      <c r="AC44" s="258" t="n">
        <v>182227</v>
      </c>
      <c r="AD44" s="258" t="n">
        <v>187317</v>
      </c>
      <c r="AE44" s="258" t="n">
        <v>256301</v>
      </c>
      <c r="AF44" s="258" t="n">
        <v>286650</v>
      </c>
      <c r="AG44" s="258" t="n">
        <v>283823</v>
      </c>
      <c r="AH44" s="258" t="n">
        <v>278476</v>
      </c>
      <c r="AI44" s="258" t="n">
        <v>339656</v>
      </c>
      <c r="AJ44" s="258" t="n">
        <v>351510</v>
      </c>
    </row>
    <row r="45">
      <c r="A45" t="n">
        <v>27</v>
      </c>
      <c r="B45" t="n">
        <v>1</v>
      </c>
      <c r="G45" t="inlineStr">
        <is>
          <t>moeda</t>
        </is>
      </c>
      <c r="H45" t="inlineStr">
        <is>
          <t>Passivo/PL: Empréstimos e financiamentos (l.7)</t>
        </is>
      </c>
      <c r="J45" t="inlineStr">
        <is>
          <t>fonte</t>
        </is>
      </c>
      <c r="K45" s="258" t="n">
        <v>60662</v>
      </c>
      <c r="L45" s="258" t="n">
        <v>102684</v>
      </c>
      <c r="M45" s="258" t="n">
        <v>93603</v>
      </c>
      <c r="N45" s="258" t="n">
        <v>91704</v>
      </c>
      <c r="O45" s="258" t="n">
        <v>100616</v>
      </c>
      <c r="P45" s="258" t="n">
        <v>116920</v>
      </c>
      <c r="Q45" s="258" t="n">
        <v>63863</v>
      </c>
      <c r="R45" s="258" t="n">
        <v>68020</v>
      </c>
      <c r="S45" s="258" t="n">
        <v>67654</v>
      </c>
      <c r="T45" s="258" t="n">
        <v>75764</v>
      </c>
      <c r="U45" s="258" t="n">
        <v>32789</v>
      </c>
      <c r="V45" s="258" t="n">
        <v>120906</v>
      </c>
      <c r="W45" s="258" t="n">
        <v>114117</v>
      </c>
      <c r="X45" s="258" t="n">
        <v>138967</v>
      </c>
      <c r="Y45" s="258" t="n">
        <v>134940</v>
      </c>
      <c r="Z45" s="258" t="n">
        <v>124271</v>
      </c>
      <c r="AA45" s="258" t="n">
        <v>121622</v>
      </c>
      <c r="AB45" s="258" t="n">
        <v>120030</v>
      </c>
      <c r="AC45" s="258" t="n">
        <v>141500</v>
      </c>
      <c r="AD45" s="258" t="n">
        <v>208869</v>
      </c>
      <c r="AE45" s="258" t="n">
        <v>132078</v>
      </c>
      <c r="AF45" s="258" t="n">
        <v>156104</v>
      </c>
      <c r="AG45" s="258" t="n">
        <v>150698</v>
      </c>
      <c r="AH45" s="258" t="n">
        <v>299859</v>
      </c>
      <c r="AI45" s="258" t="n">
        <v>175806</v>
      </c>
      <c r="AJ45" s="258" t="n">
        <v>178913</v>
      </c>
    </row>
    <row r="46">
      <c r="A46" t="n">
        <v>24</v>
      </c>
      <c r="B46" t="n">
        <v>1</v>
      </c>
      <c r="G46" t="inlineStr">
        <is>
          <t>moeda</t>
        </is>
      </c>
      <c r="H46" t="inlineStr">
        <is>
          <t>Passivo/PL: Obrigações trabalhistas (l.8)</t>
        </is>
      </c>
      <c r="J46" t="inlineStr">
        <is>
          <t>fonte</t>
        </is>
      </c>
      <c r="K46" s="258" t="n">
        <v>11709</v>
      </c>
      <c r="L46" s="258" t="n">
        <v>14812</v>
      </c>
      <c r="M46" s="258" t="n">
        <v>15530</v>
      </c>
      <c r="N46" s="258" t="n">
        <v>11444</v>
      </c>
      <c r="O46" s="258" t="n">
        <v>13813</v>
      </c>
      <c r="P46" s="258" t="n">
        <v>18538</v>
      </c>
      <c r="Q46" s="258" t="n">
        <v>17006</v>
      </c>
      <c r="R46" s="258" t="n">
        <v>16567</v>
      </c>
      <c r="S46" s="258" t="n">
        <v>16264</v>
      </c>
      <c r="T46" s="258" t="n">
        <v>20929</v>
      </c>
      <c r="U46" s="258" t="n">
        <v>23709</v>
      </c>
      <c r="V46" s="258" t="n">
        <v>18487</v>
      </c>
      <c r="W46" s="258" t="n">
        <v>22653</v>
      </c>
      <c r="X46" s="258" t="n">
        <v>26462</v>
      </c>
      <c r="Y46" s="258" t="n">
        <v>29799</v>
      </c>
      <c r="Z46" s="258" t="n">
        <v>22734</v>
      </c>
      <c r="AA46" s="258" t="n">
        <v>27739</v>
      </c>
      <c r="AB46" s="258" t="n">
        <v>35591</v>
      </c>
      <c r="AC46" s="258" t="n">
        <v>49938</v>
      </c>
      <c r="AD46" s="258" t="n">
        <v>32592</v>
      </c>
      <c r="AE46" s="258" t="n">
        <v>38661</v>
      </c>
      <c r="AF46" s="258" t="n">
        <v>49007</v>
      </c>
      <c r="AG46" s="258" t="n">
        <v>56389</v>
      </c>
      <c r="AH46" s="258" t="n">
        <v>43999</v>
      </c>
      <c r="AI46" s="258" t="n">
        <v>54666</v>
      </c>
      <c r="AJ46" s="258" t="n">
        <v>72162</v>
      </c>
    </row>
    <row r="47">
      <c r="A47" t="n">
        <v>25</v>
      </c>
      <c r="B47" t="n">
        <v>1</v>
      </c>
      <c r="G47" t="inlineStr">
        <is>
          <t>moeda</t>
        </is>
      </c>
      <c r="H47" t="inlineStr">
        <is>
          <t>Passivo/PL: Obrigações tributárias (l.9)</t>
        </is>
      </c>
      <c r="J47" t="inlineStr">
        <is>
          <t>fonte</t>
        </is>
      </c>
      <c r="K47" s="258" t="n">
        <v>8131</v>
      </c>
      <c r="L47" s="258" t="n">
        <v>6957</v>
      </c>
      <c r="M47" s="258" t="n">
        <v>9230</v>
      </c>
      <c r="N47" s="258" t="n">
        <v>9201</v>
      </c>
      <c r="O47" s="258" t="n">
        <v>9385</v>
      </c>
      <c r="P47" s="258" t="n">
        <v>8745</v>
      </c>
      <c r="Q47" s="258" t="n">
        <v>9271</v>
      </c>
      <c r="R47" s="258" t="n">
        <v>8366</v>
      </c>
      <c r="S47" s="258" t="n">
        <v>10182</v>
      </c>
      <c r="T47" s="258" t="n">
        <v>12518</v>
      </c>
      <c r="U47" s="258" t="n">
        <v>12142</v>
      </c>
      <c r="V47" s="258" t="n">
        <v>14840</v>
      </c>
      <c r="W47" s="258" t="n">
        <v>14924</v>
      </c>
      <c r="X47" s="258" t="n">
        <v>14002</v>
      </c>
      <c r="Y47" s="258" t="n">
        <v>16903</v>
      </c>
      <c r="Z47" s="258" t="n">
        <v>19051</v>
      </c>
      <c r="AA47" s="258" t="n">
        <v>17695</v>
      </c>
      <c r="AB47" s="258" t="n">
        <v>19541</v>
      </c>
      <c r="AC47" s="258" t="n">
        <v>20725</v>
      </c>
      <c r="AD47" s="258" t="n">
        <v>27898</v>
      </c>
      <c r="AE47" s="258" t="n">
        <v>24510</v>
      </c>
      <c r="AF47" s="258" t="n">
        <v>30682</v>
      </c>
      <c r="AG47" s="258" t="n">
        <v>39048</v>
      </c>
      <c r="AH47" s="258" t="n">
        <v>42103</v>
      </c>
      <c r="AI47" s="258" t="n">
        <v>40189</v>
      </c>
      <c r="AJ47" s="258" t="n">
        <v>45828</v>
      </c>
    </row>
    <row r="48">
      <c r="A48" t="n">
        <v>26</v>
      </c>
      <c r="B48" t="n">
        <v>1</v>
      </c>
      <c r="G48" t="inlineStr">
        <is>
          <t>moeda</t>
        </is>
      </c>
      <c r="H48" t="inlineStr">
        <is>
          <t>Passivo/PL: Credores por imóveis compromissados (l.10) (terrenos a pagar: nao e divida financeira)</t>
        </is>
      </c>
      <c r="J48" t="inlineStr">
        <is>
          <t>fonte</t>
        </is>
      </c>
      <c r="K48" s="258" t="n">
        <v>74798</v>
      </c>
      <c r="L48" s="258" t="n">
        <v>55922</v>
      </c>
      <c r="M48" s="258" t="n">
        <v>119689</v>
      </c>
      <c r="N48" s="258" t="n">
        <v>101121</v>
      </c>
      <c r="O48" s="258" t="n">
        <v>140502</v>
      </c>
      <c r="P48" s="258" t="n">
        <v>180089</v>
      </c>
      <c r="Q48" s="258" t="n">
        <v>140604</v>
      </c>
      <c r="R48" s="258" t="n">
        <v>321259</v>
      </c>
      <c r="S48" s="258" t="n">
        <v>315359</v>
      </c>
      <c r="T48" s="258" t="n">
        <v>316154</v>
      </c>
      <c r="U48" s="258" t="n">
        <v>299651.2813910804</v>
      </c>
      <c r="V48" s="258" t="n">
        <v>346258</v>
      </c>
      <c r="W48" s="258" t="n">
        <v>350278</v>
      </c>
      <c r="X48" s="258" t="n">
        <v>396647</v>
      </c>
      <c r="Y48" s="258" t="n">
        <v>431398</v>
      </c>
      <c r="Z48" s="258" t="n">
        <v>506369</v>
      </c>
      <c r="AA48" s="258" t="n">
        <v>562486</v>
      </c>
      <c r="AB48" s="258" t="n">
        <v>599894</v>
      </c>
      <c r="AC48" s="258" t="n">
        <v>642080</v>
      </c>
      <c r="AD48" s="258" t="n">
        <v>521618</v>
      </c>
      <c r="AE48" s="258" t="n">
        <v>574539</v>
      </c>
      <c r="AF48" s="258" t="n">
        <v>627468</v>
      </c>
      <c r="AG48" s="258" t="n">
        <v>675251</v>
      </c>
      <c r="AH48" s="258" t="n">
        <v>717439</v>
      </c>
      <c r="AI48" s="258" t="n">
        <v>764029</v>
      </c>
      <c r="AJ48" s="258" t="n">
        <v>840714</v>
      </c>
    </row>
    <row r="49">
      <c r="A49" t="n">
        <v>26</v>
      </c>
      <c r="B49" t="n">
        <v>1</v>
      </c>
      <c r="G49" t="inlineStr">
        <is>
          <t>moeda</t>
        </is>
      </c>
      <c r="H49" t="inlineStr">
        <is>
          <t>Passivo/PL: Adiantamento de clientes (l.11)</t>
        </is>
      </c>
      <c r="J49" t="inlineStr">
        <is>
          <t>fonte</t>
        </is>
      </c>
      <c r="K49" s="258" t="n">
        <v>113611</v>
      </c>
      <c r="L49" s="258" t="n">
        <v>193921</v>
      </c>
      <c r="M49" s="258" t="n">
        <v>289238</v>
      </c>
      <c r="N49" s="258" t="n">
        <v>279670</v>
      </c>
      <c r="O49" s="258" t="n">
        <v>336426</v>
      </c>
      <c r="P49" s="258" t="n">
        <v>358402</v>
      </c>
      <c r="Q49" s="258" t="n">
        <v>403842</v>
      </c>
      <c r="R49" s="258" t="n">
        <v>515238</v>
      </c>
      <c r="S49" s="258" t="n">
        <v>806999</v>
      </c>
      <c r="T49" s="258" t="n">
        <v>668553</v>
      </c>
      <c r="U49" s="258" t="n">
        <v>489825</v>
      </c>
      <c r="V49" s="258" t="n">
        <v>342626</v>
      </c>
      <c r="W49" s="258" t="n">
        <v>96307</v>
      </c>
      <c r="X49" s="258" t="n">
        <v>63829</v>
      </c>
      <c r="Y49" s="258" t="n">
        <v>54193</v>
      </c>
      <c r="Z49" s="258" t="n">
        <v>97208</v>
      </c>
      <c r="AA49" s="258" t="n">
        <v>118652</v>
      </c>
      <c r="AB49" s="258" t="n">
        <v>150036</v>
      </c>
      <c r="AC49" s="258" t="n">
        <v>122895</v>
      </c>
      <c r="AD49" s="258" t="n">
        <v>184216</v>
      </c>
      <c r="AE49" s="258" t="n">
        <v>238841</v>
      </c>
      <c r="AF49" s="258" t="n">
        <v>253521</v>
      </c>
      <c r="AG49" s="258" t="n">
        <v>273630</v>
      </c>
      <c r="AH49" s="258" t="n">
        <v>333123</v>
      </c>
      <c r="AI49" s="258" t="n">
        <v>351671</v>
      </c>
      <c r="AJ49" s="258" t="n">
        <v>347634</v>
      </c>
    </row>
    <row r="50">
      <c r="A50" t="n">
        <v>33</v>
      </c>
      <c r="B50" t="n">
        <v>1</v>
      </c>
      <c r="G50" t="inlineStr">
        <is>
          <t>moeda</t>
        </is>
      </c>
      <c r="H50" t="inlineStr">
        <is>
          <t>Passivo/PL: Impostos e contribuições diferidos (l.12) -&gt; cod 33 (impostos diferidos do RET/POC, CP + LP juntos)</t>
        </is>
      </c>
      <c r="J50" t="inlineStr">
        <is>
          <t>fonte</t>
        </is>
      </c>
      <c r="K50" s="258" t="n">
        <v>10985</v>
      </c>
      <c r="L50" s="258" t="n">
        <v>10814</v>
      </c>
      <c r="M50" s="258" t="n">
        <v>8586</v>
      </c>
      <c r="N50" s="258" t="n">
        <v>10089</v>
      </c>
      <c r="O50" s="258" t="n">
        <v>11847</v>
      </c>
      <c r="P50" s="258" t="n">
        <v>13775</v>
      </c>
      <c r="Q50" s="258" t="n">
        <v>14208</v>
      </c>
      <c r="R50" s="258" t="n">
        <v>9527</v>
      </c>
      <c r="S50" s="258" t="n">
        <v>12111</v>
      </c>
      <c r="T50" s="258" t="n">
        <v>14374</v>
      </c>
      <c r="U50" s="258" t="n">
        <v>15787</v>
      </c>
      <c r="V50" s="258" t="n">
        <v>13853</v>
      </c>
      <c r="W50" s="258" t="n">
        <v>16598</v>
      </c>
      <c r="X50" s="258" t="n">
        <v>17632</v>
      </c>
      <c r="Y50" s="258" t="n">
        <v>13172</v>
      </c>
      <c r="Z50" s="258" t="n">
        <v>12772</v>
      </c>
      <c r="AA50" s="258" t="n">
        <v>16238</v>
      </c>
      <c r="AB50" s="258" t="n">
        <v>11403</v>
      </c>
      <c r="AC50" s="258" t="n">
        <v>8335</v>
      </c>
      <c r="AD50" s="258" t="n">
        <v>7330</v>
      </c>
      <c r="AE50" s="258" t="n">
        <v>12640</v>
      </c>
      <c r="AF50" s="258" t="n">
        <v>11134</v>
      </c>
      <c r="AG50" s="258" t="n">
        <v>9258</v>
      </c>
      <c r="AH50" s="258" t="n">
        <v>10146</v>
      </c>
      <c r="AI50" s="258" t="n">
        <v>14430</v>
      </c>
      <c r="AJ50" s="258" t="n">
        <v>14873</v>
      </c>
    </row>
    <row r="51">
      <c r="A51" t="n">
        <v>26</v>
      </c>
      <c r="B51" t="n">
        <v>1</v>
      </c>
      <c r="G51" t="inlineStr">
        <is>
          <t>moeda</t>
        </is>
      </c>
      <c r="H51" t="inlineStr">
        <is>
          <t>Passivo/PL: Dividendos a pagar (l.13) [0 em 1 per.: conta vazia/"-" na fonte]</t>
        </is>
      </c>
      <c r="J51" t="inlineStr">
        <is>
          <t>fonte</t>
        </is>
      </c>
      <c r="K51" s="258" t="n">
        <v>170000</v>
      </c>
      <c r="L51" s="258" t="n">
        <v>170000</v>
      </c>
      <c r="M51" s="258" t="n">
        <v>170000</v>
      </c>
      <c r="N51" s="258" t="n">
        <v>38193</v>
      </c>
      <c r="O51" s="258" t="n">
        <v>38193</v>
      </c>
      <c r="P51" s="258" t="n">
        <v>115000</v>
      </c>
      <c r="Q51" s="258" t="n">
        <v>0</v>
      </c>
      <c r="R51" s="258" t="n">
        <v>71191</v>
      </c>
      <c r="S51" s="258" t="n">
        <v>71191</v>
      </c>
      <c r="T51" s="258" t="n">
        <v>150000</v>
      </c>
      <c r="U51" s="258" t="n">
        <v>0</v>
      </c>
      <c r="V51" s="258" t="n">
        <v>78348</v>
      </c>
      <c r="W51" s="258" t="n">
        <v>18348</v>
      </c>
      <c r="X51" s="258" t="n">
        <v>0</v>
      </c>
      <c r="Y51" s="258" t="n">
        <v>150000</v>
      </c>
      <c r="Z51" s="258" t="n">
        <v>118537</v>
      </c>
      <c r="AA51" s="258" t="n">
        <v>118537</v>
      </c>
      <c r="AB51" s="258" t="n">
        <v>265000</v>
      </c>
      <c r="AC51" s="258" t="n">
        <v>0</v>
      </c>
      <c r="AD51" s="258" t="n">
        <v>54338</v>
      </c>
      <c r="AE51" s="258" t="n">
        <v>54338</v>
      </c>
      <c r="AF51" s="258" t="n">
        <v>0</v>
      </c>
      <c r="AG51" s="258" t="n">
        <v>200000</v>
      </c>
      <c r="AH51" s="258" t="n">
        <v>0</v>
      </c>
      <c r="AI51" s="258" t="n">
        <v>140000</v>
      </c>
      <c r="AJ51" s="258" t="n">
        <v>30000</v>
      </c>
    </row>
    <row r="52">
      <c r="A52" t="n">
        <v>26</v>
      </c>
      <c r="B52" t="n">
        <v>1</v>
      </c>
      <c r="G52" t="inlineStr">
        <is>
          <t>moeda</t>
        </is>
      </c>
      <c r="H52" t="inlineStr">
        <is>
          <t>Passivo/PL: Provisão para riscos cíveis, trabalhistas e tributários (l.14)</t>
        </is>
      </c>
      <c r="J52" t="inlineStr">
        <is>
          <t>fonte</t>
        </is>
      </c>
      <c r="K52" s="258" t="n">
        <v>12700</v>
      </c>
      <c r="L52" s="258" t="n">
        <v>9804</v>
      </c>
      <c r="M52" s="258" t="n">
        <v>9909</v>
      </c>
      <c r="N52" s="258" t="n">
        <v>14696</v>
      </c>
      <c r="O52" s="258" t="n">
        <v>14496</v>
      </c>
      <c r="P52" s="258" t="n">
        <v>13229</v>
      </c>
      <c r="Q52" s="258" t="n">
        <v>12286</v>
      </c>
      <c r="R52" s="258" t="n">
        <v>11780</v>
      </c>
      <c r="S52" s="258" t="n">
        <v>11414</v>
      </c>
      <c r="T52" s="258" t="n">
        <v>11492</v>
      </c>
      <c r="U52" s="258" t="n">
        <v>10266</v>
      </c>
      <c r="V52" s="258" t="n">
        <v>10189</v>
      </c>
      <c r="W52" s="258" t="n">
        <v>10716</v>
      </c>
      <c r="X52" s="258" t="n">
        <v>11097</v>
      </c>
      <c r="Y52" s="258" t="n">
        <v>10925</v>
      </c>
      <c r="Z52" s="258" t="n">
        <v>11390</v>
      </c>
      <c r="AA52" s="258" t="n">
        <v>13291</v>
      </c>
      <c r="AB52" s="258" t="n">
        <v>12885</v>
      </c>
      <c r="AC52" s="258" t="n">
        <v>12641</v>
      </c>
      <c r="AD52" s="258" t="n">
        <v>13493</v>
      </c>
      <c r="AE52" s="258" t="n">
        <v>13600</v>
      </c>
      <c r="AF52" s="258" t="n">
        <v>13623</v>
      </c>
      <c r="AG52" s="258" t="n">
        <v>13826</v>
      </c>
      <c r="AH52" s="258" t="n">
        <v>12388</v>
      </c>
      <c r="AI52" s="258" t="n">
        <v>13254</v>
      </c>
      <c r="AJ52" s="258" t="n">
        <v>12631</v>
      </c>
    </row>
    <row r="53">
      <c r="A53" t="n">
        <v>26</v>
      </c>
      <c r="B53" t="n">
        <v>1</v>
      </c>
      <c r="G53" t="inlineStr">
        <is>
          <t>moeda</t>
        </is>
      </c>
      <c r="H53" t="inlineStr">
        <is>
          <t>Passivo/PL: Outras contas a pagar (l.15)</t>
        </is>
      </c>
      <c r="J53" t="inlineStr">
        <is>
          <t>fonte</t>
        </is>
      </c>
      <c r="K53" s="258" t="n">
        <v>2464</v>
      </c>
      <c r="L53" s="258" t="n">
        <v>1312</v>
      </c>
      <c r="M53" s="258" t="n">
        <v>1876</v>
      </c>
      <c r="N53" s="258" t="n">
        <v>2007</v>
      </c>
      <c r="O53" s="258" t="n">
        <v>13356</v>
      </c>
      <c r="P53" s="258" t="n">
        <v>12838</v>
      </c>
      <c r="Q53" s="258" t="n">
        <v>5274</v>
      </c>
      <c r="R53" s="258" t="n">
        <v>5943</v>
      </c>
      <c r="S53" s="258" t="n">
        <v>5253</v>
      </c>
      <c r="T53" s="258" t="n">
        <v>4414</v>
      </c>
      <c r="U53" s="258" t="n">
        <v>3507</v>
      </c>
      <c r="V53" s="258" t="n">
        <v>7388</v>
      </c>
      <c r="W53" s="258" t="n">
        <v>5088</v>
      </c>
      <c r="X53" s="258" t="n">
        <v>3867</v>
      </c>
      <c r="Y53" s="258" t="n">
        <v>4586</v>
      </c>
      <c r="Z53" s="258" t="n">
        <v>3900</v>
      </c>
      <c r="AA53" s="258" t="n">
        <v>2721</v>
      </c>
      <c r="AB53" s="258" t="n">
        <v>10137</v>
      </c>
      <c r="AC53" s="258" t="n">
        <v>10399</v>
      </c>
      <c r="AD53" s="258" t="n">
        <v>12294</v>
      </c>
      <c r="AE53" s="258" t="n">
        <v>1558</v>
      </c>
      <c r="AF53" s="258" t="n">
        <v>2713</v>
      </c>
      <c r="AG53" s="258" t="n">
        <v>4186</v>
      </c>
      <c r="AH53" s="258" t="n">
        <v>6167</v>
      </c>
      <c r="AI53" s="258" t="n">
        <v>8515</v>
      </c>
      <c r="AJ53" s="258" t="n">
        <v>3611</v>
      </c>
    </row>
    <row r="54">
      <c r="A54" t="n">
        <v>30</v>
      </c>
      <c r="B54" t="n">
        <v>1</v>
      </c>
      <c r="G54" t="inlineStr">
        <is>
          <t>moeda</t>
        </is>
      </c>
      <c r="H54" t="inlineStr">
        <is>
          <t>Passivo/PL: Empréstimos e financiamentos (l.18)</t>
        </is>
      </c>
      <c r="J54" t="inlineStr">
        <is>
          <t>fonte</t>
        </is>
      </c>
      <c r="K54" s="258" t="n">
        <v>234669</v>
      </c>
      <c r="L54" s="258" t="n">
        <v>233112</v>
      </c>
      <c r="M54" s="258" t="n">
        <v>212589</v>
      </c>
      <c r="N54" s="258" t="n">
        <v>184999</v>
      </c>
      <c r="O54" s="258" t="n">
        <v>180173</v>
      </c>
      <c r="P54" s="258" t="n">
        <v>153375</v>
      </c>
      <c r="Q54" s="258" t="n">
        <v>326361</v>
      </c>
      <c r="R54" s="258" t="n">
        <v>323208</v>
      </c>
      <c r="S54" s="258" t="n">
        <v>323208</v>
      </c>
      <c r="T54" s="258" t="n">
        <v>323208</v>
      </c>
      <c r="U54" s="258" t="n">
        <v>423232</v>
      </c>
      <c r="V54" s="258" t="n">
        <v>360082</v>
      </c>
      <c r="W54" s="258" t="n">
        <v>360400</v>
      </c>
      <c r="X54" s="258" t="n">
        <v>360640</v>
      </c>
      <c r="Y54" s="258" t="n">
        <v>510779</v>
      </c>
      <c r="Z54" s="258" t="n">
        <v>489081</v>
      </c>
      <c r="AA54" s="258" t="n">
        <v>480268</v>
      </c>
      <c r="AB54" s="258" t="n">
        <v>960708</v>
      </c>
      <c r="AC54" s="258" t="n">
        <v>961025</v>
      </c>
      <c r="AD54" s="258" t="n">
        <v>777513</v>
      </c>
      <c r="AE54" s="258" t="n">
        <v>1150733</v>
      </c>
      <c r="AF54" s="258" t="n">
        <v>1147008</v>
      </c>
      <c r="AG54" s="258" t="n">
        <v>1172288</v>
      </c>
      <c r="AH54" s="258" t="n">
        <v>1175028</v>
      </c>
      <c r="AI54" s="258" t="n">
        <v>1174610</v>
      </c>
      <c r="AJ54" s="258" t="n">
        <v>1164242</v>
      </c>
    </row>
    <row r="55">
      <c r="A55" t="n">
        <v>34</v>
      </c>
      <c r="B55" t="n">
        <v>1</v>
      </c>
      <c r="G55" t="inlineStr">
        <is>
          <t>moeda</t>
        </is>
      </c>
      <c r="H55" t="inlineStr">
        <is>
          <t>Passivo/PL: Provisão para garantias de obras (l.19)</t>
        </is>
      </c>
      <c r="J55" t="inlineStr">
        <is>
          <t>fonte</t>
        </is>
      </c>
      <c r="K55" s="258" t="n">
        <v>7309</v>
      </c>
      <c r="L55" s="258" t="n">
        <v>8360</v>
      </c>
      <c r="M55" s="258" t="n">
        <v>7761</v>
      </c>
      <c r="N55" s="258" t="n">
        <v>9174</v>
      </c>
      <c r="O55" s="258" t="n">
        <v>9475</v>
      </c>
      <c r="P55" s="258" t="n">
        <v>10377</v>
      </c>
      <c r="Q55" s="258" t="n">
        <v>11427</v>
      </c>
      <c r="R55" s="258" t="n">
        <v>13220</v>
      </c>
      <c r="S55" s="258" t="n">
        <v>15037</v>
      </c>
      <c r="T55" s="258" t="n">
        <v>16723</v>
      </c>
      <c r="U55" s="258" t="n">
        <v>18755</v>
      </c>
      <c r="V55" s="258" t="n">
        <v>21389</v>
      </c>
      <c r="W55" s="258" t="n">
        <v>23738</v>
      </c>
      <c r="X55" s="258" t="n">
        <v>27158</v>
      </c>
      <c r="Y55" s="258" t="n">
        <v>30803</v>
      </c>
      <c r="Z55" s="258" t="n">
        <v>38880</v>
      </c>
      <c r="AA55" s="258" t="n">
        <v>43195</v>
      </c>
      <c r="AB55" s="258" t="n">
        <v>48724</v>
      </c>
      <c r="AC55" s="258" t="n">
        <v>54775</v>
      </c>
      <c r="AD55" s="258" t="n">
        <v>60743</v>
      </c>
      <c r="AE55" s="258" t="n">
        <v>67925</v>
      </c>
      <c r="AF55" s="258" t="n">
        <v>76096</v>
      </c>
      <c r="AG55" s="258" t="n">
        <v>82797</v>
      </c>
      <c r="AH55" s="258" t="n">
        <v>91000</v>
      </c>
      <c r="AI55" s="258" t="n">
        <v>99586</v>
      </c>
      <c r="AJ55" s="258" t="n">
        <v>105495</v>
      </c>
    </row>
    <row r="56">
      <c r="A56" t="n">
        <v>34</v>
      </c>
      <c r="B56" t="n">
        <v>1</v>
      </c>
      <c r="G56" t="inlineStr">
        <is>
          <t>moeda</t>
        </is>
      </c>
      <c r="H56" t="inlineStr">
        <is>
          <t>Passivo/PL: Credores por imóveis compromissados (l.20) (terrenos a pagar: nao e divida financeira)</t>
        </is>
      </c>
      <c r="J56" t="inlineStr">
        <is>
          <t>fonte</t>
        </is>
      </c>
      <c r="K56" s="258" t="n">
        <v>72269</v>
      </c>
      <c r="L56" s="258" t="n">
        <v>86565</v>
      </c>
      <c r="M56" s="258" t="n">
        <v>90466</v>
      </c>
      <c r="N56" s="258" t="n">
        <v>170772</v>
      </c>
      <c r="O56" s="258" t="n">
        <v>266241</v>
      </c>
      <c r="P56" s="258" t="n">
        <v>217357</v>
      </c>
      <c r="Q56" s="258" t="n">
        <v>294980</v>
      </c>
      <c r="R56" s="258" t="n">
        <v>374570</v>
      </c>
      <c r="S56" s="258" t="n">
        <v>367692</v>
      </c>
      <c r="T56" s="258" t="n">
        <v>355650</v>
      </c>
      <c r="U56" s="258" t="n">
        <v>439709.7186089196</v>
      </c>
      <c r="V56" s="258" t="n">
        <v>429912</v>
      </c>
      <c r="W56" s="258" t="n">
        <v>567132</v>
      </c>
      <c r="X56" s="258" t="n">
        <v>507425</v>
      </c>
      <c r="Y56" s="258" t="n">
        <v>509198</v>
      </c>
      <c r="Z56" s="258" t="n">
        <v>423231</v>
      </c>
      <c r="AA56" s="258" t="n">
        <v>497891</v>
      </c>
      <c r="AB56" s="258" t="n">
        <v>490050</v>
      </c>
      <c r="AC56" s="258" t="n">
        <v>447808</v>
      </c>
      <c r="AD56" s="258" t="n">
        <v>843900</v>
      </c>
      <c r="AE56" s="258" t="n">
        <v>828495</v>
      </c>
      <c r="AF56" s="258" t="n">
        <v>841734</v>
      </c>
      <c r="AG56" s="258" t="n">
        <v>910977</v>
      </c>
      <c r="AH56" s="258" t="n">
        <v>864061</v>
      </c>
      <c r="AI56" s="258" t="n">
        <v>993296</v>
      </c>
      <c r="AJ56" s="258" t="n">
        <v>916852</v>
      </c>
    </row>
    <row r="57">
      <c r="A57" t="n">
        <v>34</v>
      </c>
      <c r="B57" t="n">
        <v>1</v>
      </c>
      <c r="G57" t="inlineStr">
        <is>
          <t>moeda</t>
        </is>
      </c>
      <c r="H57" t="inlineStr">
        <is>
          <t>Passivo/PL: Provisão para riscos cíveis, trabalhistas e tributários (l.21)</t>
        </is>
      </c>
      <c r="J57" t="inlineStr">
        <is>
          <t>fonte</t>
        </is>
      </c>
      <c r="K57" s="258" t="n">
        <v>13321</v>
      </c>
      <c r="L57" s="258" t="n">
        <v>18835</v>
      </c>
      <c r="M57" s="258" t="n">
        <v>19035</v>
      </c>
      <c r="N57" s="258" t="n">
        <v>12638</v>
      </c>
      <c r="O57" s="258" t="n">
        <v>12466</v>
      </c>
      <c r="P57" s="258" t="n">
        <v>11086</v>
      </c>
      <c r="Q57" s="258" t="n">
        <v>10089</v>
      </c>
      <c r="R57" s="258" t="n">
        <v>9299</v>
      </c>
      <c r="S57" s="258" t="n">
        <v>8804</v>
      </c>
      <c r="T57" s="258" t="n">
        <v>8607</v>
      </c>
      <c r="U57" s="258" t="n">
        <v>7656</v>
      </c>
      <c r="V57" s="258" t="n">
        <v>8679</v>
      </c>
      <c r="W57" s="258" t="n">
        <v>9016</v>
      </c>
      <c r="X57" s="258" t="n">
        <v>9904</v>
      </c>
      <c r="Y57" s="258" t="n">
        <v>9412</v>
      </c>
      <c r="Z57" s="258" t="n">
        <v>12048</v>
      </c>
      <c r="AA57" s="258" t="n">
        <v>15285</v>
      </c>
      <c r="AB57" s="258" t="n">
        <v>14816</v>
      </c>
      <c r="AC57" s="258" t="n">
        <v>14537</v>
      </c>
      <c r="AD57" s="258" t="n">
        <v>13769</v>
      </c>
      <c r="AE57" s="258" t="n">
        <v>16877</v>
      </c>
      <c r="AF57" s="258" t="n">
        <v>21401</v>
      </c>
      <c r="AG57" s="258" t="n">
        <v>24107</v>
      </c>
      <c r="AH57" s="258" t="n">
        <v>28640</v>
      </c>
      <c r="AI57" s="258" t="n">
        <v>35524</v>
      </c>
      <c r="AJ57" s="258" t="n">
        <v>41411</v>
      </c>
    </row>
    <row r="58">
      <c r="A58" t="n">
        <v>34</v>
      </c>
      <c r="B58" t="n">
        <v>1</v>
      </c>
      <c r="G58" t="inlineStr">
        <is>
          <t>moeda</t>
        </is>
      </c>
      <c r="H58" t="inlineStr">
        <is>
          <t>Passivo/PL: Provisões para perdas com  investimentos (l.22)</t>
        </is>
      </c>
      <c r="J58" t="inlineStr">
        <is>
          <t>fonte</t>
        </is>
      </c>
      <c r="K58" s="258" t="n">
        <v>1796</v>
      </c>
      <c r="L58" s="258" t="n">
        <v>1902</v>
      </c>
      <c r="M58" s="258" t="n">
        <v>597</v>
      </c>
      <c r="N58" s="258" t="n">
        <v>642</v>
      </c>
      <c r="O58" s="258" t="n">
        <v>656</v>
      </c>
      <c r="P58" s="258" t="n">
        <v>696</v>
      </c>
      <c r="Q58" s="258" t="n">
        <v>794</v>
      </c>
      <c r="R58" s="258" t="n">
        <v>755</v>
      </c>
      <c r="S58" s="258" t="n">
        <v>777</v>
      </c>
      <c r="T58" s="258" t="n">
        <v>807</v>
      </c>
      <c r="U58" s="258" t="n">
        <v>750</v>
      </c>
      <c r="V58" s="258" t="n">
        <v>893</v>
      </c>
      <c r="W58" s="258" t="n">
        <v>929</v>
      </c>
      <c r="X58" s="258" t="n">
        <v>932</v>
      </c>
      <c r="Y58" s="258" t="n">
        <v>750</v>
      </c>
      <c r="Z58" s="258" t="n">
        <v>766</v>
      </c>
      <c r="AA58" s="258" t="n">
        <v>695</v>
      </c>
      <c r="AB58" s="258" t="n">
        <v>730</v>
      </c>
      <c r="AC58" s="258" t="n">
        <v>755</v>
      </c>
      <c r="AD58" s="258" t="n">
        <v>756</v>
      </c>
      <c r="AE58" s="258" t="n">
        <v>769</v>
      </c>
      <c r="AF58" s="258" t="n">
        <v>833</v>
      </c>
      <c r="AG58" s="258" t="n">
        <v>835</v>
      </c>
      <c r="AH58" s="258" t="n">
        <v>896</v>
      </c>
      <c r="AI58" s="258" t="n">
        <v>895</v>
      </c>
      <c r="AJ58" s="258" t="n">
        <v>886</v>
      </c>
    </row>
    <row r="59">
      <c r="A59" t="n">
        <v>34</v>
      </c>
      <c r="B59" t="n">
        <v>1</v>
      </c>
      <c r="G59" t="inlineStr">
        <is>
          <t>moeda</t>
        </is>
      </c>
      <c r="H59" t="inlineStr">
        <is>
          <t>Passivo/PL: Adiantamento de clientes (l.23) [0 em 9 per.: conta vazia/"-" na fonte]</t>
        </is>
      </c>
      <c r="J59" t="inlineStr">
        <is>
          <t>fonte</t>
        </is>
      </c>
      <c r="K59" s="258" t="n">
        <v>0</v>
      </c>
      <c r="L59" s="258" t="n">
        <v>0</v>
      </c>
      <c r="M59" s="258" t="n">
        <v>0</v>
      </c>
      <c r="N59" s="258" t="n">
        <v>0</v>
      </c>
      <c r="O59" s="258" t="n">
        <v>0</v>
      </c>
      <c r="P59" s="258" t="n">
        <v>0</v>
      </c>
      <c r="Q59" s="258" t="n">
        <v>0</v>
      </c>
      <c r="R59" s="258" t="n">
        <v>0</v>
      </c>
      <c r="S59" s="258" t="n">
        <v>0</v>
      </c>
      <c r="T59" s="258" t="n">
        <v>0</v>
      </c>
      <c r="U59" s="258" t="n">
        <v>0</v>
      </c>
      <c r="V59" s="258" t="n">
        <v>0</v>
      </c>
      <c r="W59" s="258" t="n">
        <v>0</v>
      </c>
      <c r="X59" s="258" t="n">
        <v>0</v>
      </c>
      <c r="Y59" s="258" t="n">
        <v>0</v>
      </c>
      <c r="Z59" s="258" t="n">
        <v>0</v>
      </c>
      <c r="AA59" s="258" t="n">
        <v>0</v>
      </c>
      <c r="AB59" s="258" t="n">
        <v>0</v>
      </c>
      <c r="AC59" s="258" t="n">
        <v>0</v>
      </c>
      <c r="AD59" s="258" t="n">
        <v>0</v>
      </c>
      <c r="AE59" s="258" t="n">
        <v>0</v>
      </c>
      <c r="AF59" s="258" t="n">
        <v>0</v>
      </c>
      <c r="AG59" s="258" t="n">
        <v>0</v>
      </c>
      <c r="AH59" s="258" t="n">
        <v>0</v>
      </c>
      <c r="AI59" s="258" t="n">
        <v>0</v>
      </c>
      <c r="AJ59" s="258" t="n">
        <v>0</v>
      </c>
    </row>
    <row r="60">
      <c r="A60" t="n">
        <v>33</v>
      </c>
      <c r="B60" t="n">
        <v>1</v>
      </c>
      <c r="G60" t="inlineStr">
        <is>
          <t>moeda</t>
        </is>
      </c>
      <c r="H60" t="inlineStr">
        <is>
          <t>Passivo/PL: Impostos e contribuições diferidos (l.24)</t>
        </is>
      </c>
      <c r="J60" t="inlineStr">
        <is>
          <t>fonte</t>
        </is>
      </c>
      <c r="K60" s="258" t="n">
        <v>11900</v>
      </c>
      <c r="L60" s="258" t="n">
        <v>11715</v>
      </c>
      <c r="M60" s="258" t="n">
        <v>16026</v>
      </c>
      <c r="N60" s="258" t="n">
        <v>14544</v>
      </c>
      <c r="O60" s="258" t="n">
        <v>15899</v>
      </c>
      <c r="P60" s="258" t="n">
        <v>18467</v>
      </c>
      <c r="Q60" s="258" t="n">
        <v>19048</v>
      </c>
      <c r="R60" s="258" t="n">
        <v>23163</v>
      </c>
      <c r="S60" s="258" t="n">
        <v>25999</v>
      </c>
      <c r="T60" s="258" t="n">
        <v>28444</v>
      </c>
      <c r="U60" s="258" t="n">
        <v>30459</v>
      </c>
      <c r="V60" s="258" t="n">
        <v>32242</v>
      </c>
      <c r="W60" s="258" t="n">
        <v>32884</v>
      </c>
      <c r="X60" s="258" t="n">
        <v>36643</v>
      </c>
      <c r="Y60" s="258" t="n">
        <v>42769</v>
      </c>
      <c r="Z60" s="258" t="n">
        <v>42901</v>
      </c>
      <c r="AA60" s="258" t="n">
        <v>45513</v>
      </c>
      <c r="AB60" s="258" t="n">
        <v>49759</v>
      </c>
      <c r="AC60" s="258" t="n">
        <v>54332</v>
      </c>
      <c r="AD60" s="258" t="n">
        <v>50677</v>
      </c>
      <c r="AE60" s="258" t="n">
        <v>63477</v>
      </c>
      <c r="AF60" s="258" t="n">
        <v>71013</v>
      </c>
      <c r="AG60" s="258" t="n">
        <v>72346</v>
      </c>
      <c r="AH60" s="258" t="n">
        <v>71175</v>
      </c>
      <c r="AI60" s="258" t="n">
        <v>75119</v>
      </c>
      <c r="AJ60" s="258" t="n">
        <v>80949</v>
      </c>
    </row>
    <row r="61">
      <c r="A61" t="n">
        <v>34</v>
      </c>
      <c r="B61" t="n">
        <v>1</v>
      </c>
      <c r="G61" t="inlineStr">
        <is>
          <t>moeda</t>
        </is>
      </c>
      <c r="H61" t="inlineStr">
        <is>
          <t>Passivo/PL: Valores a pagar entre partes relacionadas (l.25) [0 em 7 per.: conta vazia/"-" na fonte]</t>
        </is>
      </c>
      <c r="J61" t="inlineStr">
        <is>
          <t>fonte</t>
        </is>
      </c>
      <c r="K61" s="258" t="n">
        <v>27645</v>
      </c>
      <c r="L61" s="258" t="n">
        <v>20995</v>
      </c>
      <c r="M61" s="258" t="n">
        <v>7663</v>
      </c>
      <c r="N61" s="258" t="n">
        <v>7521</v>
      </c>
      <c r="O61" s="258" t="n">
        <v>742</v>
      </c>
      <c r="P61" s="258" t="n">
        <v>742</v>
      </c>
      <c r="Q61" s="258" t="n">
        <v>752</v>
      </c>
      <c r="R61" s="258" t="n">
        <v>0</v>
      </c>
      <c r="S61" s="258" t="n">
        <v>0</v>
      </c>
      <c r="T61" s="258" t="n">
        <v>0</v>
      </c>
      <c r="U61" s="258" t="n">
        <v>0</v>
      </c>
      <c r="V61" s="258" t="n">
        <v>0</v>
      </c>
      <c r="W61" s="258" t="n">
        <v>0</v>
      </c>
      <c r="X61" s="258" t="n">
        <v>0</v>
      </c>
      <c r="Y61" s="258" t="n">
        <v>0</v>
      </c>
      <c r="Z61" s="258" t="n">
        <v>0</v>
      </c>
      <c r="AA61" s="258" t="n">
        <v>0</v>
      </c>
      <c r="AB61" s="258" t="n">
        <v>0</v>
      </c>
      <c r="AC61" s="258" t="n">
        <v>0</v>
      </c>
      <c r="AD61" s="258" t="n">
        <v>0</v>
      </c>
      <c r="AE61" s="258" t="n">
        <v>0</v>
      </c>
      <c r="AF61" s="258" t="n">
        <v>0</v>
      </c>
      <c r="AG61" s="258" t="n">
        <v>0</v>
      </c>
      <c r="AH61" s="258" t="n">
        <v>0</v>
      </c>
      <c r="AI61" s="258" t="n">
        <v>0</v>
      </c>
      <c r="AJ61" s="258" t="n">
        <v>0</v>
      </c>
    </row>
    <row r="62">
      <c r="A62" t="n">
        <v>34</v>
      </c>
      <c r="B62" t="n">
        <v>1</v>
      </c>
      <c r="G62" t="inlineStr">
        <is>
          <t>moeda</t>
        </is>
      </c>
      <c r="H62" t="inlineStr">
        <is>
          <t>Passivo/PL: Outras contas a pagar (l.26) [0 em 8 per.: conta vazia/"-" na fonte]</t>
        </is>
      </c>
      <c r="J62" t="inlineStr">
        <is>
          <t>fonte</t>
        </is>
      </c>
      <c r="K62" s="258" t="n">
        <v>0</v>
      </c>
      <c r="L62" s="258" t="n">
        <v>0</v>
      </c>
      <c r="M62" s="258" t="n">
        <v>0</v>
      </c>
      <c r="N62" s="258" t="n">
        <v>0</v>
      </c>
      <c r="O62" s="258" t="n">
        <v>0</v>
      </c>
      <c r="P62" s="258" t="n">
        <v>0</v>
      </c>
      <c r="Q62" s="258" t="n">
        <v>0</v>
      </c>
      <c r="R62" s="258" t="n">
        <v>0</v>
      </c>
      <c r="S62" s="258" t="n">
        <v>0</v>
      </c>
      <c r="T62" s="258" t="n">
        <v>0</v>
      </c>
      <c r="U62" s="258" t="n">
        <v>0</v>
      </c>
      <c r="V62" s="258" t="n">
        <v>0</v>
      </c>
      <c r="W62" s="258" t="n">
        <v>0</v>
      </c>
      <c r="X62" s="258" t="n">
        <v>0</v>
      </c>
      <c r="Y62" s="258" t="n">
        <v>0</v>
      </c>
      <c r="Z62" s="258" t="n">
        <v>0</v>
      </c>
      <c r="AA62" s="258" t="n">
        <v>0</v>
      </c>
      <c r="AB62" s="258" t="n">
        <v>0</v>
      </c>
      <c r="AC62" s="258" t="n">
        <v>0</v>
      </c>
      <c r="AD62" s="258" t="n">
        <v>32433</v>
      </c>
      <c r="AE62" s="258" t="n">
        <v>34142</v>
      </c>
      <c r="AF62" s="258" t="n">
        <v>16683</v>
      </c>
      <c r="AG62" s="258" t="n">
        <v>20409</v>
      </c>
      <c r="AH62" s="258" t="n">
        <v>17841</v>
      </c>
      <c r="AI62" s="258" t="n">
        <v>22271</v>
      </c>
      <c r="AJ62" s="258" t="n">
        <v>21957</v>
      </c>
    </row>
    <row r="63">
      <c r="A63" t="n">
        <v>37</v>
      </c>
      <c r="B63" t="n">
        <v>1</v>
      </c>
      <c r="G63" t="inlineStr">
        <is>
          <t>moeda</t>
        </is>
      </c>
      <c r="H63" t="inlineStr">
        <is>
          <t>Passivo/PL: Capital social (l.29)</t>
        </is>
      </c>
      <c r="J63" t="inlineStr">
        <is>
          <t>fonte</t>
        </is>
      </c>
      <c r="K63" s="258" t="n">
        <v>106847</v>
      </c>
      <c r="L63" s="258" t="n">
        <v>136847</v>
      </c>
      <c r="M63" s="258" t="n">
        <v>291054</v>
      </c>
      <c r="N63" s="258" t="n">
        <v>291054</v>
      </c>
      <c r="O63" s="258" t="n">
        <v>291054</v>
      </c>
      <c r="P63" s="258" t="n">
        <v>291054</v>
      </c>
      <c r="Q63" s="258" t="n">
        <v>291054</v>
      </c>
      <c r="R63" s="258" t="n">
        <v>291054</v>
      </c>
      <c r="S63" s="258" t="n">
        <v>291054</v>
      </c>
      <c r="T63" s="258" t="n">
        <v>291054</v>
      </c>
      <c r="U63" s="258" t="n">
        <v>291054</v>
      </c>
      <c r="V63" s="258" t="n">
        <v>291054</v>
      </c>
      <c r="W63" s="258" t="n">
        <v>291054</v>
      </c>
      <c r="X63" s="258" t="n">
        <v>291054</v>
      </c>
      <c r="Y63" s="258" t="n">
        <v>291054</v>
      </c>
      <c r="Z63" s="258" t="n">
        <v>291054</v>
      </c>
      <c r="AA63" s="258" t="n">
        <v>291054</v>
      </c>
      <c r="AB63" s="258" t="n">
        <v>291054</v>
      </c>
      <c r="AC63" s="258" t="n">
        <v>291054</v>
      </c>
      <c r="AD63" s="258" t="n">
        <v>491054</v>
      </c>
      <c r="AE63" s="258" t="n">
        <v>491054</v>
      </c>
      <c r="AF63" s="258" t="n">
        <v>491054</v>
      </c>
      <c r="AG63" s="258" t="n">
        <v>491054</v>
      </c>
      <c r="AH63" s="258" t="n">
        <v>642267</v>
      </c>
      <c r="AI63" s="258" t="n">
        <v>642267</v>
      </c>
      <c r="AJ63" s="258" t="n">
        <v>642267</v>
      </c>
    </row>
    <row r="64">
      <c r="A64" t="n">
        <v>37</v>
      </c>
      <c r="B64" t="n">
        <v>1</v>
      </c>
      <c r="G64" t="inlineStr">
        <is>
          <t>moeda</t>
        </is>
      </c>
      <c r="H64" t="inlineStr">
        <is>
          <t>Passivo/PL: Reservas de capital (l.30)</t>
        </is>
      </c>
      <c r="J64" t="inlineStr">
        <is>
          <t>fonte</t>
        </is>
      </c>
      <c r="K64" s="258" t="n">
        <v>17598</v>
      </c>
      <c r="L64" s="258" t="n">
        <v>17598</v>
      </c>
      <c r="M64" s="258" t="n">
        <v>17598</v>
      </c>
      <c r="N64" s="258" t="n">
        <v>17598</v>
      </c>
      <c r="O64" s="258" t="n">
        <v>17598</v>
      </c>
      <c r="P64" s="258" t="n">
        <v>17598</v>
      </c>
      <c r="Q64" s="258" t="n">
        <v>17598</v>
      </c>
      <c r="R64" s="258" t="n">
        <v>17598</v>
      </c>
      <c r="S64" s="258" t="n">
        <v>17598</v>
      </c>
      <c r="T64" s="258" t="n">
        <v>17598</v>
      </c>
      <c r="U64" s="258" t="n">
        <v>17598</v>
      </c>
      <c r="V64" s="258" t="n">
        <v>17598</v>
      </c>
      <c r="W64" s="258" t="n">
        <v>17598</v>
      </c>
      <c r="X64" s="258" t="n">
        <v>17598</v>
      </c>
      <c r="Y64" s="258" t="n">
        <v>17598</v>
      </c>
      <c r="Z64" s="258" t="n">
        <v>17598</v>
      </c>
      <c r="AA64" s="258" t="n">
        <v>17598</v>
      </c>
      <c r="AB64" s="258" t="n">
        <v>17598</v>
      </c>
      <c r="AC64" s="258" t="n">
        <v>17598</v>
      </c>
      <c r="AD64" s="258" t="n">
        <v>17598</v>
      </c>
      <c r="AE64" s="258" t="n">
        <v>17598</v>
      </c>
      <c r="AF64" s="258" t="n">
        <v>64680</v>
      </c>
      <c r="AG64" s="258" t="n">
        <v>64680</v>
      </c>
      <c r="AH64" s="258" t="n">
        <v>462875</v>
      </c>
      <c r="AI64" s="258" t="n">
        <v>462875</v>
      </c>
      <c r="AJ64" s="258" t="n">
        <v>462875</v>
      </c>
    </row>
    <row r="65">
      <c r="A65" t="n">
        <v>41</v>
      </c>
      <c r="B65" t="n">
        <v>1</v>
      </c>
      <c r="G65" t="inlineStr">
        <is>
          <t>moeda</t>
        </is>
      </c>
      <c r="H65" t="inlineStr">
        <is>
          <t>Passivo/PL: Reserva legal (l.31)</t>
        </is>
      </c>
      <c r="J65" t="inlineStr">
        <is>
          <t>fonte</t>
        </is>
      </c>
      <c r="K65" s="258" t="n">
        <v>14227</v>
      </c>
      <c r="L65" s="258" t="n">
        <v>14227</v>
      </c>
      <c r="M65" s="258" t="n">
        <v>14227</v>
      </c>
      <c r="N65" s="258" t="n">
        <v>22268</v>
      </c>
      <c r="O65" s="258" t="n">
        <v>22268</v>
      </c>
      <c r="P65" s="258" t="n">
        <v>22268</v>
      </c>
      <c r="Q65" s="258" t="n">
        <v>22268</v>
      </c>
      <c r="R65" s="258" t="n">
        <v>37256</v>
      </c>
      <c r="S65" s="258" t="n">
        <v>37256</v>
      </c>
      <c r="T65" s="258" t="n">
        <v>37256</v>
      </c>
      <c r="U65" s="258" t="n">
        <v>37256</v>
      </c>
      <c r="V65" s="258" t="n">
        <v>53750</v>
      </c>
      <c r="W65" s="258" t="n">
        <v>53750</v>
      </c>
      <c r="X65" s="258" t="n">
        <v>53750</v>
      </c>
      <c r="Y65" s="258" t="n">
        <v>53750</v>
      </c>
      <c r="Z65" s="258" t="n">
        <v>61368</v>
      </c>
      <c r="AA65" s="258" t="n">
        <v>61368</v>
      </c>
      <c r="AB65" s="258" t="n">
        <v>61368</v>
      </c>
      <c r="AC65" s="258" t="n">
        <v>61368</v>
      </c>
      <c r="AD65" s="258" t="n">
        <v>93860</v>
      </c>
      <c r="AE65" s="258" t="n">
        <v>93860</v>
      </c>
      <c r="AF65" s="258" t="n">
        <v>93860</v>
      </c>
      <c r="AG65" s="258" t="n">
        <v>93860</v>
      </c>
      <c r="AH65" s="258" t="n">
        <v>93860</v>
      </c>
      <c r="AI65" s="258" t="n">
        <v>93860</v>
      </c>
      <c r="AJ65" s="258" t="n">
        <v>93860</v>
      </c>
    </row>
    <row r="66">
      <c r="A66" t="n">
        <v>41</v>
      </c>
      <c r="B66" t="n">
        <v>1</v>
      </c>
      <c r="G66" t="inlineStr">
        <is>
          <t>moeda</t>
        </is>
      </c>
      <c r="H66" t="inlineStr">
        <is>
          <t>Passivo/PL: Reserva de lucros (l.32)</t>
        </is>
      </c>
      <c r="J66" t="inlineStr">
        <is>
          <t>fonte</t>
        </is>
      </c>
      <c r="K66" s="258" t="n">
        <v>81443</v>
      </c>
      <c r="L66" s="258" t="n">
        <v>88432</v>
      </c>
      <c r="M66" s="258" t="n">
        <v>136808</v>
      </c>
      <c r="N66" s="258" t="n">
        <v>158544</v>
      </c>
      <c r="O66" s="258" t="n">
        <v>208537</v>
      </c>
      <c r="P66" s="258" t="n">
        <v>210333</v>
      </c>
      <c r="Q66" s="258" t="n">
        <v>277738</v>
      </c>
      <c r="R66" s="258" t="n">
        <v>245311</v>
      </c>
      <c r="S66" s="258" t="n">
        <v>307214</v>
      </c>
      <c r="T66" s="258" t="n">
        <v>314730</v>
      </c>
      <c r="U66" s="258" t="n">
        <v>404602</v>
      </c>
      <c r="V66" s="258" t="n">
        <v>401545</v>
      </c>
      <c r="W66" s="258" t="n">
        <v>493394</v>
      </c>
      <c r="X66" s="258" t="n">
        <v>614767</v>
      </c>
      <c r="Y66" s="258" t="n">
        <v>572987</v>
      </c>
      <c r="Z66" s="258" t="n">
        <v>507155</v>
      </c>
      <c r="AA66" s="258" t="n">
        <v>648396</v>
      </c>
      <c r="AB66" s="258" t="n">
        <v>555643</v>
      </c>
      <c r="AC66" s="258" t="n">
        <v>726214</v>
      </c>
      <c r="AD66" s="258" t="n">
        <v>505168</v>
      </c>
      <c r="AE66" s="258" t="n">
        <v>543643</v>
      </c>
      <c r="AF66" s="258" t="n">
        <v>680374</v>
      </c>
      <c r="AG66" s="258" t="n">
        <v>735627</v>
      </c>
      <c r="AH66" s="258" t="n">
        <v>182704</v>
      </c>
      <c r="AI66" s="258" t="n">
        <v>345571</v>
      </c>
      <c r="AJ66" s="258" t="n">
        <v>456022</v>
      </c>
    </row>
    <row r="67">
      <c r="A67" t="n">
        <v>38</v>
      </c>
      <c r="B67" t="n">
        <v>1</v>
      </c>
      <c r="G67" t="inlineStr">
        <is>
          <t>moeda</t>
        </is>
      </c>
      <c r="H67" t="inlineStr">
        <is>
          <t>Passivo/PL: Ações em tesouraria (l.33)</t>
        </is>
      </c>
      <c r="J67" t="inlineStr">
        <is>
          <t>fonte</t>
        </is>
      </c>
      <c r="K67" s="258" t="n">
        <v>0</v>
      </c>
      <c r="L67" s="258" t="n">
        <v>0</v>
      </c>
      <c r="M67" s="258" t="n">
        <v>0</v>
      </c>
      <c r="N67" s="258" t="n">
        <v>0</v>
      </c>
      <c r="O67" s="258" t="n">
        <v>0</v>
      </c>
      <c r="P67" s="258" t="n">
        <v>0</v>
      </c>
      <c r="Q67" s="258" t="n">
        <v>0</v>
      </c>
      <c r="R67" s="258" t="n">
        <v>-121</v>
      </c>
      <c r="S67" s="258" t="n">
        <v>-5015</v>
      </c>
      <c r="T67" s="258" t="n">
        <v>-12210</v>
      </c>
      <c r="U67" s="258" t="n">
        <v>-12210</v>
      </c>
      <c r="V67" s="258" t="n">
        <v>-12210</v>
      </c>
      <c r="W67" s="258" t="n">
        <v>-12210</v>
      </c>
      <c r="X67" s="258" t="n">
        <v>-12210</v>
      </c>
      <c r="Y67" s="258" t="n">
        <v>-12210</v>
      </c>
      <c r="Z67" s="258" t="n">
        <v>-12210</v>
      </c>
      <c r="AA67" s="258" t="n">
        <v>-12210</v>
      </c>
      <c r="AB67" s="258" t="n">
        <v>-12210</v>
      </c>
      <c r="AC67" s="258" t="n">
        <v>-12210</v>
      </c>
      <c r="AD67" s="258" t="n">
        <v>-12210</v>
      </c>
      <c r="AE67" s="258" t="n">
        <v>-12210</v>
      </c>
      <c r="AF67" s="258" t="n">
        <v>0</v>
      </c>
      <c r="AG67" s="258" t="n">
        <v>0</v>
      </c>
      <c r="AH67" s="258" t="n">
        <v>0</v>
      </c>
      <c r="AI67" s="258" t="n">
        <v>0</v>
      </c>
      <c r="AJ67" s="258" t="n">
        <v>0</v>
      </c>
    </row>
    <row r="68">
      <c r="A68" t="n">
        <v>35</v>
      </c>
      <c r="B68" t="n">
        <v>1</v>
      </c>
      <c r="G68" t="inlineStr">
        <is>
          <t>moeda</t>
        </is>
      </c>
      <c r="H68" t="inlineStr">
        <is>
          <t>Passivo/PL: Participação dos sócios não controladores (l.35)</t>
        </is>
      </c>
      <c r="J68" t="inlineStr">
        <is>
          <t>fonte</t>
        </is>
      </c>
      <c r="K68" s="258" t="n">
        <v>155510</v>
      </c>
      <c r="L68" s="258" t="n">
        <v>162668</v>
      </c>
      <c r="M68" s="258" t="n">
        <v>170936</v>
      </c>
      <c r="N68" s="258" t="n">
        <v>152923</v>
      </c>
      <c r="O68" s="258" t="n">
        <v>154258</v>
      </c>
      <c r="P68" s="258" t="n">
        <v>150132</v>
      </c>
      <c r="Q68" s="258" t="n">
        <v>148534</v>
      </c>
      <c r="R68" s="258" t="n">
        <v>147230</v>
      </c>
      <c r="S68" s="258" t="n">
        <v>144035</v>
      </c>
      <c r="T68" s="258" t="n">
        <v>147818</v>
      </c>
      <c r="U68" s="258" t="n">
        <v>134033</v>
      </c>
      <c r="V68" s="258" t="n">
        <v>126011</v>
      </c>
      <c r="W68" s="258" t="n">
        <v>126067</v>
      </c>
      <c r="X68" s="258" t="n">
        <v>137528</v>
      </c>
      <c r="Y68" s="258" t="n">
        <v>132985</v>
      </c>
      <c r="Z68" s="258" t="n">
        <v>132015</v>
      </c>
      <c r="AA68" s="258" t="n">
        <v>152236</v>
      </c>
      <c r="AB68" s="258" t="n">
        <v>139517</v>
      </c>
      <c r="AC68" s="258" t="n">
        <v>149296</v>
      </c>
      <c r="AD68" s="258" t="n">
        <v>214069</v>
      </c>
      <c r="AE68" s="258" t="n">
        <v>227539</v>
      </c>
      <c r="AF68" s="258" t="n">
        <v>248326</v>
      </c>
      <c r="AG68" s="258" t="n">
        <v>256908</v>
      </c>
      <c r="AH68" s="258" t="n">
        <v>280348</v>
      </c>
      <c r="AI68" s="258" t="n">
        <v>347397</v>
      </c>
      <c r="AJ68" s="258" t="n">
        <v>393817</v>
      </c>
    </row>
    <row r="69">
      <c r="H69" s="254" t="inlineStr">
        <is>
          <t>BALANCO - totais divulgados (memoria)</t>
        </is>
      </c>
    </row>
    <row r="70">
      <c r="G70" t="inlineStr">
        <is>
          <t>moeda</t>
        </is>
      </c>
      <c r="H70" t="inlineStr">
        <is>
          <t>Total do ativo (BP Ativo l.23)</t>
        </is>
      </c>
      <c r="J70" t="inlineStr">
        <is>
          <t>memoria</t>
        </is>
      </c>
      <c r="K70" s="258" t="n">
        <v>1263875</v>
      </c>
      <c r="L70" s="258" t="n">
        <v>1430166</v>
      </c>
      <c r="M70" s="258" t="n">
        <v>1795232</v>
      </c>
      <c r="N70" s="258" t="n">
        <v>1644712</v>
      </c>
      <c r="O70" s="258" t="n">
        <v>1918297</v>
      </c>
      <c r="P70" s="258" t="n">
        <v>2032570</v>
      </c>
      <c r="Q70" s="258" t="n">
        <v>2177211</v>
      </c>
      <c r="R70" s="258" t="n">
        <v>2597922</v>
      </c>
      <c r="S70" s="258" t="n">
        <v>2933909</v>
      </c>
      <c r="T70" s="258" t="n">
        <v>2917631</v>
      </c>
      <c r="U70" s="258" t="n">
        <v>2784853</v>
      </c>
      <c r="V70" s="258" t="n">
        <v>2798431</v>
      </c>
      <c r="W70" s="258" t="n">
        <v>2733836</v>
      </c>
      <c r="X70" s="258" t="n">
        <v>2836650</v>
      </c>
      <c r="Y70" s="258" t="n">
        <v>3150612</v>
      </c>
      <c r="Z70" s="258" t="n">
        <v>3092023</v>
      </c>
      <c r="AA70" s="258" t="n">
        <v>3412477</v>
      </c>
      <c r="AB70" s="258" t="n">
        <v>3983671</v>
      </c>
      <c r="AC70" s="258" t="n">
        <v>3957292</v>
      </c>
      <c r="AD70" s="258" t="n">
        <v>4339295</v>
      </c>
      <c r="AE70" s="258" t="n">
        <v>4870968</v>
      </c>
      <c r="AF70" s="258" t="n">
        <v>5183964</v>
      </c>
      <c r="AG70" s="258" t="n">
        <v>5631997</v>
      </c>
      <c r="AH70" s="258" t="n">
        <v>5654395</v>
      </c>
      <c r="AI70" s="258" t="n">
        <v>6195487</v>
      </c>
      <c r="AJ70" s="258" t="n">
        <v>6278509</v>
      </c>
    </row>
    <row r="71">
      <c r="G71" t="inlineStr">
        <is>
          <t>moeda</t>
        </is>
      </c>
      <c r="H71" t="inlineStr">
        <is>
          <t>Total do passivo e PL (BP Passivo l.36)</t>
        </is>
      </c>
      <c r="J71" t="inlineStr">
        <is>
          <t>memoria</t>
        </is>
      </c>
      <c r="K71" s="258" t="n">
        <v>1263875</v>
      </c>
      <c r="L71" s="258" t="n">
        <v>1430166</v>
      </c>
      <c r="M71" s="258" t="n">
        <v>1795232</v>
      </c>
      <c r="N71" s="258" t="n">
        <v>1644712</v>
      </c>
      <c r="O71" s="258" t="n">
        <v>1918297</v>
      </c>
      <c r="P71" s="258" t="n">
        <v>2032570</v>
      </c>
      <c r="Q71" s="258" t="n">
        <v>2177211</v>
      </c>
      <c r="R71" s="258" t="n">
        <v>2597922</v>
      </c>
      <c r="S71" s="258" t="n">
        <v>2933909</v>
      </c>
      <c r="T71" s="258" t="n">
        <v>2917631</v>
      </c>
      <c r="U71" s="258" t="n">
        <v>2784853</v>
      </c>
      <c r="V71" s="258" t="n">
        <v>2798431</v>
      </c>
      <c r="W71" s="258" t="n">
        <v>2733836</v>
      </c>
      <c r="X71" s="258" t="n">
        <v>2836650</v>
      </c>
      <c r="Y71" s="258" t="n">
        <v>3150612</v>
      </c>
      <c r="Z71" s="258" t="n">
        <v>3092023</v>
      </c>
      <c r="AA71" s="258" t="n">
        <v>3412477</v>
      </c>
      <c r="AB71" s="258" t="n">
        <v>3983671</v>
      </c>
      <c r="AC71" s="258" t="n">
        <v>3957292</v>
      </c>
      <c r="AD71" s="258" t="n">
        <v>4339295</v>
      </c>
      <c r="AE71" s="258" t="n">
        <v>4870968</v>
      </c>
      <c r="AF71" s="258" t="n">
        <v>5183964</v>
      </c>
      <c r="AG71" s="258" t="n">
        <v>5631997</v>
      </c>
      <c r="AH71" s="258" t="n">
        <v>5654395</v>
      </c>
      <c r="AI71" s="258" t="n">
        <v>6195487</v>
      </c>
      <c r="AJ71" s="258" t="n">
        <v>6278509</v>
      </c>
    </row>
    <row r="72">
      <c r="H72" s="254" t="inlineStr">
        <is>
          <t>CHECKS (devem ser 0)</t>
        </is>
      </c>
    </row>
    <row r="73">
      <c r="G73" t="inlineStr">
        <is>
          <t>moeda</t>
        </is>
      </c>
      <c r="H73" t="inlineStr">
        <is>
          <t>CHECK: receita + custo + despesas op. + equivalencia + resultado financeiro + IR - lucro liquido 100% (arredondamento da fonte: ate R$ 1 mil)</t>
        </is>
      </c>
      <c r="J73" t="inlineStr">
        <is>
          <t>derivada</t>
        </is>
      </c>
      <c r="K73" s="258">
        <f>ROUND(K6+K7+K8+K9+K10+K11+K12+K13+K14+K15-K16,0)</f>
        <v>0</v>
      </c>
      <c r="L73" s="258">
        <f>ROUND(L6+L7+L8+L9+L10+L11+L12+L13+L14+L15-L16,0)</f>
        <v>0</v>
      </c>
      <c r="M73" s="258">
        <f>ROUND(M6+M7+M8+M9+M10+M11+M12+M13+M14+M15-M16,0)</f>
        <v>0</v>
      </c>
      <c r="N73" s="258">
        <f>ROUND(N6+N7+N8+N9+N10+N11+N12+N13+N14+N15-N16,0)</f>
        <v>0</v>
      </c>
      <c r="O73" s="258">
        <f>ROUND(O6+O7+O8+O9+O10+O11+O12+O13+O14+O15-O16,0)</f>
        <v>0</v>
      </c>
      <c r="P73" s="258">
        <f>ROUND(P6+P7+P8+P9+P10+P11+P12+P13+P14+P15-P16,0)</f>
        <v>0</v>
      </c>
      <c r="Q73" s="258">
        <f>ROUND(Q6+Q7+Q8+Q9+Q10+Q11+Q12+Q13+Q14+Q15-Q16,0)</f>
        <v>0</v>
      </c>
      <c r="R73" s="258">
        <f>ROUND(R6+R7+R8+R9+R10+R11+R12+R13+R14+R15-R16,0)</f>
        <v>-1</v>
      </c>
      <c r="S73" s="258">
        <f>ROUND(S6+S7+S8+S9+S10+S11+S12+S13+S14+S15-S16,0)</f>
        <v>0</v>
      </c>
      <c r="T73" s="258">
        <f>ROUND(T6+T7+T8+T9+T10+T11+T12+T13+T14+T15-T16,0)</f>
        <v>0</v>
      </c>
      <c r="U73" s="258">
        <f>ROUND(U6+U7+U8+U9+U10+U11+U12+U13+U14+U15-U16,0)</f>
        <v>0</v>
      </c>
      <c r="V73" s="258">
        <f>ROUND(V6+V7+V8+V9+V10+V11+V12+V13+V14+V15-V16,0)</f>
        <v>0</v>
      </c>
      <c r="W73" s="258">
        <f>ROUND(W6+W7+W8+W9+W10+W11+W12+W13+W14+W15-W16,0)</f>
        <v>0</v>
      </c>
      <c r="X73" s="258">
        <f>ROUND(X6+X7+X8+X9+X10+X11+X12+X13+X14+X15-X16,0)</f>
        <v>0</v>
      </c>
      <c r="Y73" s="258">
        <f>ROUND(Y6+Y7+Y8+Y9+Y10+Y11+Y12+Y13+Y14+Y15-Y16,0)</f>
        <v>0</v>
      </c>
      <c r="Z73" s="258">
        <f>ROUND(Z6+Z7+Z8+Z9+Z10+Z11+Z12+Z13+Z14+Z15-Z16,0)</f>
        <v>0</v>
      </c>
      <c r="AA73" s="258">
        <f>ROUND(AA6+AA7+AA8+AA9+AA10+AA11+AA12+AA13+AA14+AA15-AA16,0)</f>
        <v>0</v>
      </c>
      <c r="AB73" s="258">
        <f>ROUND(AB6+AB7+AB8+AB9+AB10+AB11+AB12+AB13+AB14+AB15-AB16,0)</f>
        <v>0</v>
      </c>
      <c r="AC73" s="258">
        <f>ROUND(AC6+AC7+AC8+AC9+AC10+AC11+AC12+AC13+AC14+AC15-AC16,0)</f>
        <v>-1</v>
      </c>
      <c r="AD73" s="258">
        <f>ROUND(AD6+AD7+AD8+AD9+AD10+AD11+AD12+AD13+AD14+AD15-AD16,0)</f>
        <v>0</v>
      </c>
      <c r="AE73" s="258">
        <f>ROUND(AE6+AE7+AE8+AE9+AE10+AE11+AE12+AE13+AE14+AE15-AE16,0)</f>
        <v>0</v>
      </c>
      <c r="AF73" s="258">
        <f>ROUND(AF6+AF7+AF8+AF9+AF10+AF11+AF12+AF13+AF14+AF15-AF16,0)</f>
        <v>0</v>
      </c>
      <c r="AG73" s="258">
        <f>ROUND(AG6+AG7+AG8+AG9+AG10+AG11+AG12+AG13+AG14+AG15-AG16,0)</f>
        <v>0</v>
      </c>
      <c r="AH73" s="258">
        <f>ROUND(AH6+AH7+AH8+AH9+AH10+AH11+AH12+AH13+AH14+AH15-AH16,0)</f>
        <v>0</v>
      </c>
      <c r="AI73" s="258">
        <f>ROUND(AI6+AI7+AI8+AI9+AI10+AI11+AI12+AI13+AI14+AI15-AI16,0)</f>
        <v>0</v>
      </c>
      <c r="AJ73" s="258">
        <f>ROUND(AJ6+AJ7+AJ8+AJ9+AJ10+AJ11+AJ12+AJ13+AJ14+AJ15-AJ16,0)</f>
        <v>0</v>
      </c>
    </row>
    <row r="74">
      <c r="G74" t="inlineStr">
        <is>
          <t>moeda</t>
        </is>
      </c>
      <c r="H74" t="inlineStr">
        <is>
          <t>CHECK: contas de ativo - ativo total</t>
        </is>
      </c>
      <c r="J74" t="inlineStr">
        <is>
          <t>derivada</t>
        </is>
      </c>
      <c r="K74" s="258">
        <f>ROUND(K30+K31+K32+K33+K34+K35+K36+K37+K38+K39+K40+K41+K42+K43-K70,0)</f>
        <v>0</v>
      </c>
      <c r="L74" s="258">
        <f>ROUND(L30+L31+L32+L33+L34+L35+L36+L37+L38+L39+L40+L41+L42+L43-L70,0)</f>
        <v>0</v>
      </c>
      <c r="M74" s="258">
        <f>ROUND(M30+M31+M32+M33+M34+M35+M36+M37+M38+M39+M40+M41+M42+M43-M70,0)</f>
        <v>0</v>
      </c>
      <c r="N74" s="258">
        <f>ROUND(N30+N31+N32+N33+N34+N35+N36+N37+N38+N39+N40+N41+N42+N43-N70,0)</f>
        <v>0</v>
      </c>
      <c r="O74" s="258">
        <f>ROUND(O30+O31+O32+O33+O34+O35+O36+O37+O38+O39+O40+O41+O42+O43-O70,0)</f>
        <v>0</v>
      </c>
      <c r="P74" s="258">
        <f>ROUND(P30+P31+P32+P33+P34+P35+P36+P37+P38+P39+P40+P41+P42+P43-P70,0)</f>
        <v>0</v>
      </c>
      <c r="Q74" s="258">
        <f>ROUND(Q30+Q31+Q32+Q33+Q34+Q35+Q36+Q37+Q38+Q39+Q40+Q41+Q42+Q43-Q70,0)</f>
        <v>0</v>
      </c>
      <c r="R74" s="258">
        <f>ROUND(R30+R31+R32+R33+R34+R35+R36+R37+R38+R39+R40+R41+R42+R43-R70,0)</f>
        <v>0</v>
      </c>
      <c r="S74" s="258">
        <f>ROUND(S30+S31+S32+S33+S34+S35+S36+S37+S38+S39+S40+S41+S42+S43-S70,0)</f>
        <v>0</v>
      </c>
      <c r="T74" s="258">
        <f>ROUND(T30+T31+T32+T33+T34+T35+T36+T37+T38+T39+T40+T41+T42+T43-T70,0)</f>
        <v>0</v>
      </c>
      <c r="U74" s="258">
        <f>ROUND(U30+U31+U32+U33+U34+U35+U36+U37+U38+U39+U40+U41+U42+U43-U70,0)</f>
        <v>0</v>
      </c>
      <c r="V74" s="258">
        <f>ROUND(V30+V31+V32+V33+V34+V35+V36+V37+V38+V39+V40+V41+V42+V43-V70,0)</f>
        <v>0</v>
      </c>
      <c r="W74" s="258">
        <f>ROUND(W30+W31+W32+W33+W34+W35+W36+W37+W38+W39+W40+W41+W42+W43-W70,0)</f>
        <v>0</v>
      </c>
      <c r="X74" s="258">
        <f>ROUND(X30+X31+X32+X33+X34+X35+X36+X37+X38+X39+X40+X41+X42+X43-X70,0)</f>
        <v>0</v>
      </c>
      <c r="Y74" s="258">
        <f>ROUND(Y30+Y31+Y32+Y33+Y34+Y35+Y36+Y37+Y38+Y39+Y40+Y41+Y42+Y43-Y70,0)</f>
        <v>0</v>
      </c>
      <c r="Z74" s="258">
        <f>ROUND(Z30+Z31+Z32+Z33+Z34+Z35+Z36+Z37+Z38+Z39+Z40+Z41+Z42+Z43-Z70,0)</f>
        <v>0</v>
      </c>
      <c r="AA74" s="258">
        <f>ROUND(AA30+AA31+AA32+AA33+AA34+AA35+AA36+AA37+AA38+AA39+AA40+AA41+AA42+AA43-AA70,0)</f>
        <v>0</v>
      </c>
      <c r="AB74" s="258">
        <f>ROUND(AB30+AB31+AB32+AB33+AB34+AB35+AB36+AB37+AB38+AB39+AB40+AB41+AB42+AB43-AB70,0)</f>
        <v>0</v>
      </c>
      <c r="AC74" s="258">
        <f>ROUND(AC30+AC31+AC32+AC33+AC34+AC35+AC36+AC37+AC38+AC39+AC40+AC41+AC42+AC43-AC70,0)</f>
        <v>0</v>
      </c>
      <c r="AD74" s="258">
        <f>ROUND(AD30+AD31+AD32+AD33+AD34+AD35+AD36+AD37+AD38+AD39+AD40+AD41+AD42+AD43-AD70,0)</f>
        <v>0</v>
      </c>
      <c r="AE74" s="258">
        <f>ROUND(AE30+AE31+AE32+AE33+AE34+AE35+AE36+AE37+AE38+AE39+AE40+AE41+AE42+AE43-AE70,0)</f>
        <v>0</v>
      </c>
      <c r="AF74" s="258">
        <f>ROUND(AF30+AF31+AF32+AF33+AF34+AF35+AF36+AF37+AF38+AF39+AF40+AF41+AF42+AF43-AF70,0)</f>
        <v>0</v>
      </c>
      <c r="AG74" s="258">
        <f>ROUND(AG30+AG31+AG32+AG33+AG34+AG35+AG36+AG37+AG38+AG39+AG40+AG41+AG42+AG43-AG70,0)</f>
        <v>0</v>
      </c>
      <c r="AH74" s="258">
        <f>ROUND(AH30+AH31+AH32+AH33+AH34+AH35+AH36+AH37+AH38+AH39+AH40+AH41+AH42+AH43-AH70,0)</f>
        <v>0</v>
      </c>
      <c r="AI74" s="258">
        <f>ROUND(AI30+AI31+AI32+AI33+AI34+AI35+AI36+AI37+AI38+AI39+AI40+AI41+AI42+AI43-AI70,0)</f>
        <v>0</v>
      </c>
      <c r="AJ74" s="258">
        <f>ROUND(AJ30+AJ31+AJ32+AJ33+AJ34+AJ35+AJ36+AJ37+AJ38+AJ39+AJ40+AJ41+AJ42+AJ43-AJ70,0)</f>
        <v>0</v>
      </c>
    </row>
    <row r="75">
      <c r="G75" t="inlineStr">
        <is>
          <t>moeda</t>
        </is>
      </c>
      <c r="H75" t="inlineStr">
        <is>
          <t>CHECK: passivo + PL - passivo total</t>
        </is>
      </c>
      <c r="J75" t="inlineStr">
        <is>
          <t>derivada</t>
        </is>
      </c>
      <c r="K75" s="258">
        <f>ROUND(K44+K45+K46+K47+K48+K49+K50+K51+K52+K53+K54+K55+K56+K57+K58+K59+K60+K61+K62+K63+K64+K65+K66+K67+K68-K71,0)</f>
        <v>0</v>
      </c>
      <c r="L75" s="258">
        <f>ROUND(L44+L45+L46+L47+L48+L49+L50+L51+L52+L53+L54+L55+L56+L57+L58+L59+L60+L61+L62+L63+L64+L65+L66+L67+L68-L71,0)</f>
        <v>0</v>
      </c>
      <c r="M75" s="258">
        <f>ROUND(M44+M45+M46+M47+M48+M49+M50+M51+M52+M53+M54+M55+M56+M57+M58+M59+M60+M61+M62+M63+M64+M65+M66+M67+M68-M71,0)</f>
        <v>0</v>
      </c>
      <c r="N75" s="258">
        <f>ROUND(N44+N45+N46+N47+N48+N49+N50+N51+N52+N53+N54+N55+N56+N57+N58+N59+N60+N61+N62+N63+N64+N65+N66+N67+N68-N71,0)</f>
        <v>0</v>
      </c>
      <c r="O75" s="258">
        <f>ROUND(O44+O45+O46+O47+O48+O49+O50+O51+O52+O53+O54+O55+O56+O57+O58+O59+O60+O61+O62+O63+O64+O65+O66+O67+O68-O71,0)</f>
        <v>0</v>
      </c>
      <c r="P75" s="258">
        <f>ROUND(P44+P45+P46+P47+P48+P49+P50+P51+P52+P53+P54+P55+P56+P57+P58+P59+P60+P61+P62+P63+P64+P65+P66+P67+P68-P71,0)</f>
        <v>0</v>
      </c>
      <c r="Q75" s="258">
        <f>ROUND(Q44+Q45+Q46+Q47+Q48+Q49+Q50+Q51+Q52+Q53+Q54+Q55+Q56+Q57+Q58+Q59+Q60+Q61+Q62+Q63+Q64+Q65+Q66+Q67+Q68-Q71,0)</f>
        <v>0</v>
      </c>
      <c r="R75" s="258">
        <f>ROUND(R44+R45+R46+R47+R48+R49+R50+R51+R52+R53+R54+R55+R56+R57+R58+R59+R60+R61+R62+R63+R64+R65+R66+R67+R68-R71,0)</f>
        <v>0</v>
      </c>
      <c r="S75" s="258">
        <f>ROUND(S44+S45+S46+S47+S48+S49+S50+S51+S52+S53+S54+S55+S56+S57+S58+S59+S60+S61+S62+S63+S64+S65+S66+S67+S68-S71,0)</f>
        <v>0</v>
      </c>
      <c r="T75" s="258">
        <f>ROUND(T44+T45+T46+T47+T48+T49+T50+T51+T52+T53+T54+T55+T56+T57+T58+T59+T60+T61+T62+T63+T64+T65+T66+T67+T68-T71,0)</f>
        <v>0</v>
      </c>
      <c r="U75" s="258">
        <f>ROUND(U44+U45+U46+U47+U48+U49+U50+U51+U52+U53+U54+U55+U56+U57+U58+U59+U60+U61+U62+U63+U64+U65+U66+U67+U68-U71,0)</f>
        <v>0</v>
      </c>
      <c r="V75" s="258">
        <f>ROUND(V44+V45+V46+V47+V48+V49+V50+V51+V52+V53+V54+V55+V56+V57+V58+V59+V60+V61+V62+V63+V64+V65+V66+V67+V68-V71,0)</f>
        <v>0</v>
      </c>
      <c r="W75" s="258">
        <f>ROUND(W44+W45+W46+W47+W48+W49+W50+W51+W52+W53+W54+W55+W56+W57+W58+W59+W60+W61+W62+W63+W64+W65+W66+W67+W68-W71,0)</f>
        <v>0</v>
      </c>
      <c r="X75" s="258">
        <f>ROUND(X44+X45+X46+X47+X48+X49+X50+X51+X52+X53+X54+X55+X56+X57+X58+X59+X60+X61+X62+X63+X64+X65+X66+X67+X68-X71,0)</f>
        <v>0</v>
      </c>
      <c r="Y75" s="258">
        <f>ROUND(Y44+Y45+Y46+Y47+Y48+Y49+Y50+Y51+Y52+Y53+Y54+Y55+Y56+Y57+Y58+Y59+Y60+Y61+Y62+Y63+Y64+Y65+Y66+Y67+Y68-Y71,0)</f>
        <v>0</v>
      </c>
      <c r="Z75" s="258">
        <f>ROUND(Z44+Z45+Z46+Z47+Z48+Z49+Z50+Z51+Z52+Z53+Z54+Z55+Z56+Z57+Z58+Z59+Z60+Z61+Z62+Z63+Z64+Z65+Z66+Z67+Z68-Z71,0)</f>
        <v>0</v>
      </c>
      <c r="AA75" s="258">
        <f>ROUND(AA44+AA45+AA46+AA47+AA48+AA49+AA50+AA51+AA52+AA53+AA54+AA55+AA56+AA57+AA58+AA59+AA60+AA61+AA62+AA63+AA64+AA65+AA66+AA67+AA68-AA71,0)</f>
        <v>0</v>
      </c>
      <c r="AB75" s="258">
        <f>ROUND(AB44+AB45+AB46+AB47+AB48+AB49+AB50+AB51+AB52+AB53+AB54+AB55+AB56+AB57+AB58+AB59+AB60+AB61+AB62+AB63+AB64+AB65+AB66+AB67+AB68-AB71,0)</f>
        <v>0</v>
      </c>
      <c r="AC75" s="258">
        <f>ROUND(AC44+AC45+AC46+AC47+AC48+AC49+AC50+AC51+AC52+AC53+AC54+AC55+AC56+AC57+AC58+AC59+AC60+AC61+AC62+AC63+AC64+AC65+AC66+AC67+AC68-AC71,0)</f>
        <v>0</v>
      </c>
      <c r="AD75" s="258">
        <f>ROUND(AD44+AD45+AD46+AD47+AD48+AD49+AD50+AD51+AD52+AD53+AD54+AD55+AD56+AD57+AD58+AD59+AD60+AD61+AD62+AD63+AD64+AD65+AD66+AD67+AD68-AD71,0)</f>
        <v>0</v>
      </c>
      <c r="AE75" s="258">
        <f>ROUND(AE44+AE45+AE46+AE47+AE48+AE49+AE50+AE51+AE52+AE53+AE54+AE55+AE56+AE57+AE58+AE59+AE60+AE61+AE62+AE63+AE64+AE65+AE66+AE67+AE68-AE71,0)</f>
        <v>0</v>
      </c>
      <c r="AF75" s="258">
        <f>ROUND(AF44+AF45+AF46+AF47+AF48+AF49+AF50+AF51+AF52+AF53+AF54+AF55+AF56+AF57+AF58+AF59+AF60+AF61+AF62+AF63+AF64+AF65+AF66+AF67+AF68-AF71,0)</f>
        <v>0</v>
      </c>
      <c r="AG75" s="258">
        <f>ROUND(AG44+AG45+AG46+AG47+AG48+AG49+AG50+AG51+AG52+AG53+AG54+AG55+AG56+AG57+AG58+AG59+AG60+AG61+AG62+AG63+AG64+AG65+AG66+AG67+AG68-AG71,0)</f>
        <v>0</v>
      </c>
      <c r="AH75" s="258">
        <f>ROUND(AH44+AH45+AH46+AH47+AH48+AH49+AH50+AH51+AH52+AH53+AH54+AH55+AH56+AH57+AH58+AH59+AH60+AH61+AH62+AH63+AH64+AH65+AH66+AH67+AH68-AH71,0)</f>
        <v>0</v>
      </c>
      <c r="AI75" s="258">
        <f>ROUND(AI44+AI45+AI46+AI47+AI48+AI49+AI50+AI51+AI52+AI53+AI54+AI55+AI56+AI57+AI58+AI59+AI60+AI61+AI62+AI63+AI64+AI65+AI66+AI67+AI68-AI71,0)</f>
        <v>0</v>
      </c>
      <c r="AJ75" s="258">
        <f>ROUND(AJ44+AJ45+AJ46+AJ47+AJ48+AJ49+AJ50+AJ51+AJ52+AJ53+AJ54+AJ55+AJ56+AJ57+AJ58+AJ59+AJ60+AJ61+AJ62+AJ63+AJ64+AJ65+AJ66+AJ67+AJ68-AJ71,0)</f>
        <v>0</v>
      </c>
    </row>
    <row r="76">
      <c r="H76" t="inlineStr">
        <is>
          <t>[vazio] cod 14 Deferred income taxes (ativo): sem linha propria</t>
        </is>
      </c>
    </row>
    <row r="77">
      <c r="H77" t="inlineStr">
        <is>
          <t>[vazio] cod 19 Right-of-use: sem linha propria</t>
        </is>
      </c>
    </row>
    <row r="78">
      <c r="H78" t="inlineStr">
        <is>
          <t>[vazio] cod 20 Goodwill: inexistente</t>
        </is>
      </c>
    </row>
    <row r="79">
      <c r="H79" t="inlineStr">
        <is>
          <t>[vazio] cod 28 Revolver: sem linha propria (emprestimos CP no cod 27)</t>
        </is>
      </c>
    </row>
    <row r="80">
      <c r="H80" t="inlineStr">
        <is>
          <t>[vazio] cod 29 Leases CP: sem linha propria</t>
        </is>
      </c>
    </row>
    <row r="81">
      <c r="H81" t="inlineStr">
        <is>
          <t>[vazio] cod 31 Leases LP: sem linha propria</t>
        </is>
      </c>
    </row>
    <row r="82">
      <c r="H82" t="inlineStr">
        <is>
          <t>[vazio] cod 32 Convertible debt: inexistente</t>
        </is>
      </c>
    </row>
    <row r="83">
      <c r="H83" t="inlineStr">
        <is>
          <t>[vazio] cod 36 Convertible Preferred Stock: inexistente</t>
        </is>
      </c>
    </row>
    <row r="84">
      <c r="H84" t="inlineStr">
        <is>
          <t>[vazio] cod 39 ORA: sem linha propria</t>
        </is>
      </c>
    </row>
    <row r="85">
      <c r="H85" t="inlineStr">
        <is>
          <t>[vazio] cod 40 Other equity: sem linha propria</t>
        </is>
      </c>
    </row>
    <row r="86">
      <c r="H86" t="inlineStr">
        <is>
          <t>Nota: NI do Model = lucro %Cury (atribuido a controladora); nao controladores (SPEs com socios) no cod 9. Juros de financiamento a producao sao capitalizados no custo (EBITDA ajustado da Cia soma esses juros de volta; fica como memoria).</t>
        </is>
      </c>
    </row>
    <row r="88">
      <c r="H88" s="254" t="inlineStr">
        <is>
          <t>DRIVERS DE RECEITA (codigos 45+): abas Resultados Operacionais e Demonstracoes do Resultado (REF). UNID "moeda" = R$ mil com fator; "un" = sem fator (unidades, %, landbank ja em R$ milhoes).</t>
        </is>
      </c>
    </row>
    <row r="89">
      <c r="A89" t="n">
        <v>45</v>
      </c>
      <c r="B89" t="n">
        <v>1</v>
      </c>
      <c r="G89" t="inlineStr">
        <is>
          <t>moeda</t>
        </is>
      </c>
      <c r="H89" t="inlineStr">
        <is>
          <t>Lancamentos - VGV 100% (R$ mil; Res. Operacionais l.7)</t>
        </is>
      </c>
      <c r="J89" t="inlineStr">
        <is>
          <t>fonte</t>
        </is>
      </c>
      <c r="K89" s="260" t="n">
        <v>157587.248</v>
      </c>
      <c r="L89" s="260" t="n">
        <v>311528.135</v>
      </c>
      <c r="M89" s="260" t="n">
        <v>396910.12</v>
      </c>
      <c r="N89" s="260" t="n">
        <v>674753.796</v>
      </c>
      <c r="O89" s="260" t="n">
        <v>590494.8419999999</v>
      </c>
      <c r="P89" s="260" t="n">
        <v>686188.6679999999</v>
      </c>
      <c r="Q89" s="260" t="n">
        <v>720223.748</v>
      </c>
      <c r="R89" s="260" t="n">
        <v>788101.2349561621</v>
      </c>
      <c r="S89" s="260" t="n">
        <v>781150</v>
      </c>
      <c r="T89" s="260" t="n">
        <v>1056318</v>
      </c>
      <c r="U89" s="260" t="n">
        <v>919146.343</v>
      </c>
      <c r="V89" s="260" t="n">
        <v>556159.09318</v>
      </c>
      <c r="W89" s="260" t="n">
        <v>1419980.923</v>
      </c>
      <c r="X89" s="260" t="n">
        <v>1222565.181</v>
      </c>
      <c r="Y89" s="260" t="n">
        <v>941717.108</v>
      </c>
      <c r="Z89" s="260" t="n">
        <v>856606.653</v>
      </c>
      <c r="AA89" s="260" t="n">
        <v>1884338.01</v>
      </c>
      <c r="AB89" s="260" t="n">
        <v>1734686.945</v>
      </c>
      <c r="AC89" s="260" t="n">
        <v>1560697</v>
      </c>
      <c r="AD89" s="260" t="n">
        <v>1399837</v>
      </c>
      <c r="AE89" s="260" t="n">
        <v>2783509</v>
      </c>
      <c r="AF89" s="260" t="n">
        <v>2225285.611</v>
      </c>
      <c r="AG89" s="260" t="n">
        <v>1986377.642</v>
      </c>
      <c r="AH89" s="260" t="n">
        <v>1289513.823</v>
      </c>
      <c r="AI89" s="260" t="n">
        <v>2646758.13942</v>
      </c>
      <c r="AJ89" s="260" t="n">
        <v>2256889.23928</v>
      </c>
    </row>
    <row r="90">
      <c r="A90" t="n">
        <v>46</v>
      </c>
      <c r="B90" t="n">
        <v>1</v>
      </c>
      <c r="G90" t="inlineStr">
        <is>
          <t>moeda</t>
        </is>
      </c>
      <c r="H90" t="inlineStr">
        <is>
          <t>Lancamentos - VGV parte Cury (R$ mil; l.8)</t>
        </is>
      </c>
      <c r="J90" t="inlineStr">
        <is>
          <t>fonte</t>
        </is>
      </c>
      <c r="K90" s="260" t="n">
        <v>72471.069</v>
      </c>
      <c r="L90" s="260" t="n">
        <v>311528.135</v>
      </c>
      <c r="M90" s="260" t="n">
        <v>367288.62</v>
      </c>
      <c r="N90" s="260" t="n">
        <v>625442.978</v>
      </c>
      <c r="O90" s="260" t="n">
        <v>472469.289</v>
      </c>
      <c r="P90" s="260" t="n">
        <v>650171.568</v>
      </c>
      <c r="Q90" s="260" t="n">
        <v>633172.7036</v>
      </c>
      <c r="R90" s="260" t="n">
        <v>719679.3337068072</v>
      </c>
      <c r="S90" s="260" t="n">
        <v>781150</v>
      </c>
      <c r="T90" s="260" t="n">
        <v>1056318</v>
      </c>
      <c r="U90" s="260" t="n">
        <v>876846.343</v>
      </c>
      <c r="V90" s="260" t="n">
        <v>556159.0931800001</v>
      </c>
      <c r="W90" s="260" t="n">
        <v>1419980.923</v>
      </c>
      <c r="X90" s="260" t="n">
        <v>1137966.2765</v>
      </c>
      <c r="Y90" s="260" t="n">
        <v>805577.1061</v>
      </c>
      <c r="Z90" s="260" t="n">
        <v>856606.653</v>
      </c>
      <c r="AA90" s="260" t="n">
        <v>1499854.846</v>
      </c>
      <c r="AB90" s="260" t="n">
        <v>1676918.567</v>
      </c>
      <c r="AC90" s="260" t="n">
        <v>1503046</v>
      </c>
      <c r="AD90" s="260" t="n">
        <v>1060952</v>
      </c>
      <c r="AE90" s="260" t="n">
        <v>2666305</v>
      </c>
      <c r="AF90" s="260" t="n">
        <v>1960487.651</v>
      </c>
      <c r="AG90" s="260" t="n">
        <v>1733913.905</v>
      </c>
      <c r="AH90" s="260" t="n">
        <v>1179132.223</v>
      </c>
      <c r="AI90" s="260" t="n">
        <v>2268903.862852</v>
      </c>
      <c r="AJ90" s="260" t="n">
        <v>1943927.85928</v>
      </c>
    </row>
    <row r="91">
      <c r="A91" t="n">
        <v>47</v>
      </c>
      <c r="B91" t="n">
        <v>1</v>
      </c>
      <c r="G91" t="inlineStr">
        <is>
          <t>un</t>
        </is>
      </c>
      <c r="H91" t="inlineStr">
        <is>
          <t>Lancamentos - unidades (l.10)</t>
        </is>
      </c>
      <c r="J91" t="inlineStr">
        <is>
          <t>fonte</t>
        </is>
      </c>
      <c r="K91" s="260" t="n">
        <v>903</v>
      </c>
      <c r="L91" s="260" t="n">
        <v>1830</v>
      </c>
      <c r="M91" s="260" t="n">
        <v>2061</v>
      </c>
      <c r="N91" s="260" t="n">
        <v>3439</v>
      </c>
      <c r="O91" s="260" t="n">
        <v>2957</v>
      </c>
      <c r="P91" s="260" t="n">
        <v>3244</v>
      </c>
      <c r="Q91" s="260" t="n">
        <v>3163</v>
      </c>
      <c r="R91" s="260" t="n">
        <v>3275</v>
      </c>
      <c r="S91" s="260" t="n">
        <v>3240</v>
      </c>
      <c r="T91" s="260" t="n">
        <v>3548</v>
      </c>
      <c r="U91" s="260" t="n">
        <v>3650</v>
      </c>
      <c r="V91" s="260" t="n">
        <v>2147</v>
      </c>
      <c r="W91" s="260" t="n">
        <v>5095</v>
      </c>
      <c r="X91" s="260" t="n">
        <v>3799</v>
      </c>
      <c r="Y91" s="260" t="n">
        <v>3658</v>
      </c>
      <c r="Z91" s="260" t="n">
        <v>3123</v>
      </c>
      <c r="AA91" s="260" t="n">
        <v>5959</v>
      </c>
      <c r="AB91" s="260" t="n">
        <v>5588</v>
      </c>
      <c r="AC91" s="260" t="n">
        <v>5157</v>
      </c>
      <c r="AD91" s="260" t="n">
        <v>4061</v>
      </c>
      <c r="AE91" s="260" t="n">
        <v>9132</v>
      </c>
      <c r="AF91" s="260" t="n">
        <v>6588</v>
      </c>
      <c r="AG91" s="260" t="n">
        <v>6813</v>
      </c>
      <c r="AH91" s="260" t="n">
        <v>3833</v>
      </c>
      <c r="AI91" s="260" t="n">
        <v>8001</v>
      </c>
      <c r="AJ91" s="260" t="n">
        <v>6549</v>
      </c>
    </row>
    <row r="92">
      <c r="A92" t="n">
        <v>48</v>
      </c>
      <c r="B92" t="n">
        <v>1</v>
      </c>
      <c r="G92" t="inlineStr">
        <is>
          <t>un</t>
        </is>
      </c>
      <c r="H92" t="inlineStr">
        <is>
          <t>Lancamentos - numero de empreendimentos (l.6)</t>
        </is>
      </c>
      <c r="J92" t="inlineStr">
        <is>
          <t>fonte</t>
        </is>
      </c>
      <c r="K92" s="260" t="n">
        <v>2</v>
      </c>
      <c r="L92" s="260" t="n">
        <v>4</v>
      </c>
      <c r="M92" s="260" t="n">
        <v>5</v>
      </c>
      <c r="N92" s="260" t="n">
        <v>6</v>
      </c>
      <c r="O92" s="260" t="n">
        <v>6</v>
      </c>
      <c r="P92" s="260" t="n">
        <v>7</v>
      </c>
      <c r="Q92" s="260" t="n">
        <v>6</v>
      </c>
      <c r="R92" s="260" t="n">
        <v>7</v>
      </c>
      <c r="S92" s="260" t="n">
        <v>5</v>
      </c>
      <c r="T92" s="260" t="n">
        <v>7</v>
      </c>
      <c r="U92" s="260" t="n">
        <v>6</v>
      </c>
      <c r="V92" s="260" t="n">
        <v>5</v>
      </c>
      <c r="W92" s="260" t="n">
        <v>8</v>
      </c>
      <c r="X92" s="260" t="n">
        <v>8</v>
      </c>
      <c r="Y92" s="260" t="n">
        <v>7</v>
      </c>
      <c r="Z92" s="260" t="n">
        <v>6</v>
      </c>
      <c r="AA92" s="260" t="n">
        <v>10</v>
      </c>
      <c r="AB92" s="260" t="n">
        <v>8</v>
      </c>
      <c r="AC92" s="260" t="n">
        <v>9</v>
      </c>
      <c r="AD92" s="260" t="n">
        <v>7</v>
      </c>
      <c r="AE92" s="260" t="n">
        <v>14</v>
      </c>
      <c r="AF92" s="260" t="n">
        <v>9</v>
      </c>
      <c r="AG92" s="260" t="n">
        <v>9</v>
      </c>
      <c r="AH92" s="260" t="n">
        <v>5</v>
      </c>
      <c r="AI92" s="260" t="n">
        <v>10</v>
      </c>
      <c r="AJ92" s="260" t="n">
        <v>11</v>
      </c>
    </row>
    <row r="93">
      <c r="A93" t="n">
        <v>49</v>
      </c>
      <c r="B93" t="n">
        <v>1</v>
      </c>
      <c r="G93" t="inlineStr">
        <is>
          <t>moeda</t>
        </is>
      </c>
      <c r="H93" t="inlineStr">
        <is>
          <t>Vendas brutas - VGV 100% (R$ mil; l.22)</t>
        </is>
      </c>
      <c r="J93" t="inlineStr">
        <is>
          <t>fonte</t>
        </is>
      </c>
      <c r="K93" s="260" t="n">
        <v>279330.052</v>
      </c>
      <c r="L93" s="260" t="n">
        <v>333769.846</v>
      </c>
      <c r="M93" s="260" t="n">
        <v>467432.943</v>
      </c>
      <c r="N93" s="260" t="n">
        <v>448160.527</v>
      </c>
      <c r="O93" s="260" t="n">
        <v>633518.595</v>
      </c>
      <c r="P93" s="260" t="n">
        <v>736468.3912500001</v>
      </c>
      <c r="Q93" s="260" t="n">
        <v>748701.792</v>
      </c>
      <c r="R93" s="260" t="n">
        <v>671693.7785599999</v>
      </c>
      <c r="S93" s="260" t="n">
        <v>812740.16347</v>
      </c>
      <c r="T93" s="260" t="n">
        <v>987420.73506</v>
      </c>
      <c r="U93" s="260" t="n">
        <v>967263.2971599998</v>
      </c>
      <c r="V93" s="260" t="n">
        <v>835511.1194</v>
      </c>
      <c r="W93" s="260" t="n">
        <v>1164037.01824</v>
      </c>
      <c r="X93" s="260" t="n">
        <v>1342268.679</v>
      </c>
      <c r="Y93" s="260" t="n">
        <v>1154323.11335</v>
      </c>
      <c r="Z93" s="260" t="n">
        <v>1025134.116</v>
      </c>
      <c r="AA93" s="260" t="n">
        <v>1679488.91586</v>
      </c>
      <c r="AB93" s="260" t="n">
        <v>1926220.49911</v>
      </c>
      <c r="AC93" s="260" t="n">
        <v>1590241.65394</v>
      </c>
      <c r="AD93" s="260" t="n">
        <v>1531003</v>
      </c>
      <c r="AE93" s="260" t="n">
        <v>2225417.12449</v>
      </c>
      <c r="AF93" s="260" t="n">
        <v>2498004.838020001</v>
      </c>
      <c r="AG93" s="260" t="n">
        <v>2051878.191</v>
      </c>
      <c r="AH93" s="260" t="n">
        <v>1714072.887150001</v>
      </c>
      <c r="AI93" s="260" t="n">
        <v>2533872.327950001</v>
      </c>
      <c r="AJ93" s="260" t="n">
        <v>2216669.664650001</v>
      </c>
    </row>
    <row r="94">
      <c r="A94" t="n">
        <v>50</v>
      </c>
      <c r="B94" t="n">
        <v>1</v>
      </c>
      <c r="G94" t="inlineStr">
        <is>
          <t>moeda</t>
        </is>
      </c>
      <c r="H94" t="inlineStr">
        <is>
          <t>Distratos - VGV (R$ mil; l.23; positivo na fonte)</t>
        </is>
      </c>
      <c r="J94" t="inlineStr">
        <is>
          <t>fonte</t>
        </is>
      </c>
      <c r="K94" s="260" t="n">
        <v>40452.26183</v>
      </c>
      <c r="L94" s="260" t="n">
        <v>41687.63892</v>
      </c>
      <c r="M94" s="260" t="n">
        <v>57087.34247</v>
      </c>
      <c r="N94" s="260" t="n">
        <v>43555.61604</v>
      </c>
      <c r="O94" s="260" t="n">
        <v>43145.2657</v>
      </c>
      <c r="P94" s="260" t="n">
        <v>53890.71489</v>
      </c>
      <c r="Q94" s="260" t="n">
        <v>66331.28406999999</v>
      </c>
      <c r="R94" s="260" t="n">
        <v>60327.68256</v>
      </c>
      <c r="S94" s="260" t="n">
        <v>59374.04231999999</v>
      </c>
      <c r="T94" s="260" t="n">
        <v>89935.35754000001</v>
      </c>
      <c r="U94" s="260" t="n">
        <v>81430.70051</v>
      </c>
      <c r="V94" s="260" t="n">
        <v>82449.07223999999</v>
      </c>
      <c r="W94" s="260" t="n">
        <v>85145.04426999998</v>
      </c>
      <c r="X94" s="260" t="n">
        <v>148317.923</v>
      </c>
      <c r="Y94" s="260" t="n">
        <v>181679.1671</v>
      </c>
      <c r="Z94" s="260" t="n">
        <v>120462.53</v>
      </c>
      <c r="AA94" s="260" t="n">
        <v>127353.59657</v>
      </c>
      <c r="AB94" s="260" t="n">
        <v>176980.55782</v>
      </c>
      <c r="AC94" s="260" t="n">
        <v>153090</v>
      </c>
      <c r="AD94" s="260" t="n">
        <v>107255</v>
      </c>
      <c r="AE94" s="260" t="n">
        <v>119838.22794</v>
      </c>
      <c r="AF94" s="260" t="n">
        <v>236641.65872</v>
      </c>
      <c r="AG94" s="260" t="n">
        <v>224841.948</v>
      </c>
      <c r="AH94" s="260" t="n">
        <v>157737.23287</v>
      </c>
      <c r="AI94" s="260" t="n">
        <v>229252.61925</v>
      </c>
      <c r="AJ94" s="260" t="n">
        <v>171161.95926</v>
      </c>
    </row>
    <row r="95">
      <c r="A95" t="n">
        <v>51</v>
      </c>
      <c r="B95" t="n">
        <v>1</v>
      </c>
      <c r="G95" t="inlineStr">
        <is>
          <t>moeda</t>
        </is>
      </c>
      <c r="H95" t="inlineStr">
        <is>
          <t>Vendas liquidas - VGV 100% (R$ mil; l.24)</t>
        </is>
      </c>
      <c r="J95" t="inlineStr">
        <is>
          <t>fonte</t>
        </is>
      </c>
      <c r="K95" s="260" t="n">
        <v>238877.7902</v>
      </c>
      <c r="L95" s="260" t="n">
        <v>292082.20729</v>
      </c>
      <c r="M95" s="260" t="n">
        <v>410345.60115</v>
      </c>
      <c r="N95" s="260" t="n">
        <v>404604.91135</v>
      </c>
      <c r="O95" s="260" t="n">
        <v>590373.32932</v>
      </c>
      <c r="P95" s="260" t="n">
        <v>682578</v>
      </c>
      <c r="Q95" s="260" t="n">
        <v>682370.50876</v>
      </c>
      <c r="R95" s="260" t="n">
        <v>611366.0959999999</v>
      </c>
      <c r="S95" s="260" t="n">
        <v>753366.12115</v>
      </c>
      <c r="T95" s="260" t="n">
        <v>897485.37752</v>
      </c>
      <c r="U95" s="260" t="n">
        <v>885832.5966499998</v>
      </c>
      <c r="V95" s="260" t="n">
        <v>753062.04716</v>
      </c>
      <c r="W95" s="260" t="n">
        <v>1078891.97397</v>
      </c>
      <c r="X95" s="260" t="n">
        <v>1193950.756</v>
      </c>
      <c r="Y95" s="260" t="n">
        <v>972643.9462500003</v>
      </c>
      <c r="Z95" s="260" t="n">
        <v>904671.586</v>
      </c>
      <c r="AA95" s="260" t="n">
        <v>1552135.31929</v>
      </c>
      <c r="AB95" s="260" t="n">
        <v>1749239.94129</v>
      </c>
      <c r="AC95" s="260" t="n">
        <v>1437151.16322</v>
      </c>
      <c r="AD95" s="260" t="n">
        <v>1423748</v>
      </c>
      <c r="AE95" s="260" t="n">
        <v>2105578.89655</v>
      </c>
      <c r="AF95" s="260" t="n">
        <v>2261363.1793</v>
      </c>
      <c r="AG95" s="260" t="n">
        <v>1827036.243</v>
      </c>
      <c r="AH95" s="260" t="n">
        <v>1556335.654280001</v>
      </c>
      <c r="AI95" s="260" t="n">
        <v>2304619.708700001</v>
      </c>
      <c r="AJ95" s="260" t="n">
        <v>2045507.705390001</v>
      </c>
    </row>
    <row r="96">
      <c r="A96" t="n">
        <v>52</v>
      </c>
      <c r="B96" t="n">
        <v>1</v>
      </c>
      <c r="G96" t="inlineStr">
        <is>
          <t>moeda</t>
        </is>
      </c>
      <c r="H96" t="inlineStr">
        <is>
          <t>Vendas liquidas - parte Cury (R$ mil; l.27)</t>
        </is>
      </c>
      <c r="J96" t="inlineStr">
        <is>
          <t>fonte</t>
        </is>
      </c>
      <c r="K96" s="260" t="n">
        <v>173740.307</v>
      </c>
      <c r="L96" s="260" t="n">
        <v>248207.365</v>
      </c>
      <c r="M96" s="260" t="n">
        <v>363318.772</v>
      </c>
      <c r="N96" s="260" t="n">
        <v>370036.634</v>
      </c>
      <c r="O96" s="260" t="n">
        <v>526078.977</v>
      </c>
      <c r="P96" s="260" t="n">
        <v>618279.072</v>
      </c>
      <c r="Q96" s="260" t="n">
        <v>639576.982</v>
      </c>
      <c r="R96" s="260" t="n">
        <v>565420.452</v>
      </c>
      <c r="S96" s="260" t="n">
        <v>707012.388</v>
      </c>
      <c r="T96" s="260" t="n">
        <v>844809.697</v>
      </c>
      <c r="U96" s="260" t="n">
        <v>836735.121</v>
      </c>
      <c r="V96" s="260" t="n">
        <v>719681.9642810004</v>
      </c>
      <c r="W96" s="260" t="n">
        <v>1061205.88462305</v>
      </c>
      <c r="X96" s="260" t="n">
        <v>1132517</v>
      </c>
      <c r="Y96" s="260" t="n">
        <v>873639.2086279499</v>
      </c>
      <c r="Z96" s="260" t="n">
        <v>850285.464</v>
      </c>
      <c r="AA96" s="260" t="n">
        <v>1327315.3189665</v>
      </c>
      <c r="AB96" s="260" t="n">
        <v>1635318.645691</v>
      </c>
      <c r="AC96" s="260" t="n">
        <v>1359583.314079501</v>
      </c>
      <c r="AD96" s="260" t="n">
        <v>1177287</v>
      </c>
      <c r="AE96" s="260" t="n">
        <v>1919242</v>
      </c>
      <c r="AF96" s="260" t="n">
        <v>2007235.8972826</v>
      </c>
      <c r="AG96" s="260" t="n">
        <v>1630208.965</v>
      </c>
      <c r="AH96" s="260" t="n">
        <v>1434724.903204998</v>
      </c>
      <c r="AI96" s="260" t="n">
        <v>1893602.810242003</v>
      </c>
      <c r="AJ96" s="260" t="n">
        <v>1748768.196760002</v>
      </c>
    </row>
    <row r="97">
      <c r="A97" t="n">
        <v>53</v>
      </c>
      <c r="B97" t="n">
        <v>1</v>
      </c>
      <c r="G97" t="inlineStr">
        <is>
          <t>un</t>
        </is>
      </c>
      <c r="H97" t="inlineStr">
        <is>
          <t>Unidades vendidas liquidas (l.35)</t>
        </is>
      </c>
      <c r="J97" t="inlineStr">
        <is>
          <t>fonte</t>
        </is>
      </c>
      <c r="K97" s="260" t="n">
        <v>1280</v>
      </c>
      <c r="L97" s="260" t="n">
        <v>1622</v>
      </c>
      <c r="M97" s="260" t="n">
        <v>2131</v>
      </c>
      <c r="N97" s="260" t="n">
        <v>2068</v>
      </c>
      <c r="O97" s="260" t="n">
        <v>2874</v>
      </c>
      <c r="P97" s="260" t="n">
        <v>3253</v>
      </c>
      <c r="Q97" s="260" t="n">
        <v>3080</v>
      </c>
      <c r="R97" s="260" t="n">
        <v>2667</v>
      </c>
      <c r="S97" s="260" t="n">
        <v>3264</v>
      </c>
      <c r="T97" s="260" t="n">
        <v>3734</v>
      </c>
      <c r="U97" s="260" t="n">
        <v>3465</v>
      </c>
      <c r="V97" s="260" t="n">
        <v>3073</v>
      </c>
      <c r="W97" s="260" t="n">
        <v>4014</v>
      </c>
      <c r="X97" s="260" t="n">
        <v>4292.47</v>
      </c>
      <c r="Y97" s="260" t="n">
        <v>3496</v>
      </c>
      <c r="Z97" s="260" t="n">
        <v>3215</v>
      </c>
      <c r="AA97" s="260" t="n">
        <v>5321</v>
      </c>
      <c r="AB97" s="260" t="n">
        <v>5769</v>
      </c>
      <c r="AC97" s="260" t="n">
        <v>4688</v>
      </c>
      <c r="AD97" s="260" t="n">
        <v>4464</v>
      </c>
      <c r="AE97" s="260" t="n">
        <v>6790</v>
      </c>
      <c r="AF97" s="260" t="n">
        <v>7712</v>
      </c>
      <c r="AG97" s="260" t="n">
        <v>6117</v>
      </c>
      <c r="AH97" s="260" t="n">
        <v>4956</v>
      </c>
      <c r="AI97" s="260" t="n">
        <v>7058</v>
      </c>
      <c r="AJ97" s="260" t="n">
        <v>6137</v>
      </c>
    </row>
    <row r="98">
      <c r="A98" t="n">
        <v>54</v>
      </c>
      <c r="B98" t="n">
        <v>1</v>
      </c>
      <c r="G98" t="inlineStr">
        <is>
          <t>un</t>
        </is>
      </c>
      <c r="H98" t="inlineStr">
        <is>
          <t>VSO liquido trimestral (l.29)</t>
        </is>
      </c>
      <c r="J98" t="inlineStr">
        <is>
          <t>fonte</t>
        </is>
      </c>
      <c r="K98" s="261" t="n">
        <v>0.3425528126417186</v>
      </c>
      <c r="L98" s="261" t="n">
        <v>0.380240164226647</v>
      </c>
      <c r="M98" s="261" t="n">
        <v>0.4645422533957938</v>
      </c>
      <c r="N98" s="261" t="n">
        <v>0.3510052589796116</v>
      </c>
      <c r="O98" s="261" t="n">
        <v>0.4353482516341477</v>
      </c>
      <c r="P98" s="261" t="n">
        <v>0.468</v>
      </c>
      <c r="Q98" s="261" t="n">
        <v>0.4520505146600908</v>
      </c>
      <c r="R98" s="261" t="n">
        <v>0.3795168614680984</v>
      </c>
      <c r="S98" s="261" t="n">
        <v>0.4137516519818063</v>
      </c>
      <c r="T98" s="261" t="n">
        <v>0.4162943161601206</v>
      </c>
      <c r="U98" s="261" t="n">
        <v>0.4031308322530662</v>
      </c>
      <c r="V98" s="261" t="n">
        <v>0.41</v>
      </c>
      <c r="W98" s="261" t="n">
        <v>0.4340235819227902</v>
      </c>
      <c r="X98" s="261" t="n">
        <v>0.4539376916565295</v>
      </c>
      <c r="Y98" s="261" t="n">
        <v>0.4037393229953916</v>
      </c>
      <c r="Z98" s="261" t="n">
        <v>0.3885</v>
      </c>
      <c r="AA98" s="261" t="n">
        <v>0.4787061163606681</v>
      </c>
      <c r="AB98" s="261" t="n">
        <v>0.5052608264386897</v>
      </c>
      <c r="AC98" s="261" t="n">
        <v>0.4385130035778177</v>
      </c>
      <c r="AD98" s="261" t="n">
        <v>0.4371</v>
      </c>
      <c r="AE98" s="261" t="n">
        <v>0.4541187738350865</v>
      </c>
      <c r="AF98" s="261" t="n">
        <v>0.4751675072939968</v>
      </c>
      <c r="AG98" s="261" t="n">
        <v>0.4055357286813458</v>
      </c>
      <c r="AH98" s="261" t="n">
        <v>0.3927505902861467</v>
      </c>
      <c r="AI98" s="261" t="n">
        <v>0.4510197986135725</v>
      </c>
      <c r="AJ98" s="261" t="n">
        <v>0.4047489716262866</v>
      </c>
    </row>
    <row r="99">
      <c r="A99" t="n">
        <v>55</v>
      </c>
      <c r="B99" t="n">
        <v>1</v>
      </c>
      <c r="G99" t="inlineStr">
        <is>
          <t>un</t>
        </is>
      </c>
      <c r="H99" t="inlineStr">
        <is>
          <t>VSO liquido UDM (l.30)</t>
        </is>
      </c>
      <c r="J99" t="inlineStr">
        <is>
          <t>fonte</t>
        </is>
      </c>
      <c r="K99" s="261" t="n">
        <v>0.6929361944094238</v>
      </c>
      <c r="L99" s="261" t="n">
        <v>0.7019840249849532</v>
      </c>
      <c r="M99" s="261" t="n">
        <v>0.7287414104238271</v>
      </c>
      <c r="N99" s="261" t="n">
        <v>0.643</v>
      </c>
      <c r="O99" s="261" t="n">
        <v>0.689126448391834</v>
      </c>
      <c r="P99" s="261" t="n">
        <v>0.7286771505299043</v>
      </c>
      <c r="Q99" s="261" t="n">
        <v>0.7404721317863734</v>
      </c>
      <c r="R99" s="261" t="n">
        <v>0.72</v>
      </c>
      <c r="S99" s="261" t="n">
        <v>0.719</v>
      </c>
      <c r="T99" s="261" t="n">
        <v>0.701</v>
      </c>
      <c r="U99" s="261" t="n">
        <v>0.706</v>
      </c>
      <c r="V99" s="261" t="n">
        <v>0.753</v>
      </c>
      <c r="W99" s="261" t="n">
        <v>0.72</v>
      </c>
      <c r="X99" s="261" t="n">
        <v>0.731</v>
      </c>
      <c r="Y99" s="261" t="n">
        <v>0.736</v>
      </c>
      <c r="Z99" s="261" t="n">
        <v>0.7445649855699885</v>
      </c>
      <c r="AA99" s="261" t="n">
        <v>0.732289943908684</v>
      </c>
      <c r="AB99" s="261" t="n">
        <v>0.7514677392544293</v>
      </c>
      <c r="AC99" s="261" t="n">
        <v>0.7540979504818748</v>
      </c>
      <c r="AD99" s="261" t="n">
        <v>0.7707000000000001</v>
      </c>
      <c r="AE99" s="261" t="n">
        <v>0.7273323933442972</v>
      </c>
      <c r="AF99" s="261" t="n">
        <v>0.7431796213243753</v>
      </c>
      <c r="AG99" s="261" t="n">
        <v>0.7398773524565559</v>
      </c>
      <c r="AH99" s="261" t="n">
        <v>0.7630789292236807</v>
      </c>
      <c r="AI99" s="261" t="n">
        <v>0.7391632265638106</v>
      </c>
      <c r="AJ99" s="261" t="n">
        <v>0.7199471086043154</v>
      </c>
    </row>
    <row r="100">
      <c r="A100" t="n">
        <v>56</v>
      </c>
      <c r="B100" t="n">
        <v>1</v>
      </c>
      <c r="G100" t="inlineStr">
        <is>
          <t>moeda</t>
        </is>
      </c>
      <c r="H100" t="inlineStr">
        <is>
          <t>Repasses - VGV repassado (R$ mil; l.40)</t>
        </is>
      </c>
      <c r="J100" t="inlineStr">
        <is>
          <t>fonte</t>
        </is>
      </c>
      <c r="K100" s="260" t="n">
        <v>250691.5766600003</v>
      </c>
      <c r="L100" s="260" t="n">
        <v>220252.0175699999</v>
      </c>
      <c r="M100" s="260" t="n">
        <v>384044.4199300001</v>
      </c>
      <c r="N100" s="260" t="n">
        <v>344439</v>
      </c>
      <c r="O100" s="260" t="n">
        <v>296903.31988</v>
      </c>
      <c r="P100" s="260" t="n">
        <v>540584</v>
      </c>
      <c r="Q100" s="260" t="n">
        <v>723118.12501</v>
      </c>
      <c r="R100" s="260" t="n">
        <v>470010.7289700002</v>
      </c>
      <c r="S100" s="260" t="n">
        <v>532336.5948300005</v>
      </c>
      <c r="T100" s="260" t="n">
        <v>728501.1220499995</v>
      </c>
      <c r="U100" s="260" t="n">
        <v>860054.4294500001</v>
      </c>
      <c r="V100" s="260" t="n">
        <v>662004.3918099998</v>
      </c>
      <c r="W100" s="260" t="n">
        <v>578900.0708699997</v>
      </c>
      <c r="X100" s="260" t="n">
        <v>1228870.224</v>
      </c>
      <c r="Y100" s="260" t="n">
        <v>866063.56864</v>
      </c>
      <c r="Z100" s="260" t="n">
        <v>857120.8055900007</v>
      </c>
      <c r="AA100" s="260" t="n">
        <v>886489.75854</v>
      </c>
      <c r="AB100" s="260" t="n">
        <v>1438166</v>
      </c>
      <c r="AC100" s="260" t="n">
        <v>1437600</v>
      </c>
      <c r="AD100" s="260" t="n">
        <v>927749</v>
      </c>
      <c r="AE100" s="260" t="n">
        <v>1122907.571690001</v>
      </c>
      <c r="AF100" s="260" t="n">
        <v>2149317.116250001</v>
      </c>
      <c r="AG100" s="260" t="n">
        <v>1487163.205899999</v>
      </c>
      <c r="AH100" s="260" t="n">
        <v>1492328.34378</v>
      </c>
      <c r="AI100" s="260" t="n">
        <v>1339829.300280001</v>
      </c>
      <c r="AJ100" s="260" t="n">
        <v>2014958.660369998</v>
      </c>
    </row>
    <row r="101">
      <c r="A101" t="n">
        <v>57</v>
      </c>
      <c r="B101" t="n">
        <v>1</v>
      </c>
      <c r="G101" t="inlineStr">
        <is>
          <t>un</t>
        </is>
      </c>
      <c r="H101" t="inlineStr">
        <is>
          <t>Repasses - unidades (l.41)</t>
        </is>
      </c>
      <c r="J101" t="inlineStr">
        <is>
          <t>fonte</t>
        </is>
      </c>
      <c r="K101" s="260" t="n">
        <v>1306</v>
      </c>
      <c r="L101" s="260" t="n">
        <v>1210</v>
      </c>
      <c r="M101" s="260" t="n">
        <v>2068</v>
      </c>
      <c r="N101" s="260" t="n">
        <v>1746</v>
      </c>
      <c r="O101" s="260" t="n">
        <v>1544</v>
      </c>
      <c r="P101" s="260" t="n">
        <v>2819</v>
      </c>
      <c r="Q101" s="260" t="n">
        <v>3275</v>
      </c>
      <c r="R101" s="260" t="n">
        <v>2213</v>
      </c>
      <c r="S101" s="260" t="n">
        <v>2475</v>
      </c>
      <c r="T101" s="260" t="n">
        <v>3085</v>
      </c>
      <c r="U101" s="260" t="n">
        <v>3510</v>
      </c>
      <c r="V101" s="260" t="n">
        <v>2737</v>
      </c>
      <c r="W101" s="260" t="n">
        <v>2451</v>
      </c>
      <c r="X101" s="260" t="n">
        <v>4611</v>
      </c>
      <c r="Y101" s="260" t="n">
        <v>3187</v>
      </c>
      <c r="Z101" s="260" t="n">
        <v>3017</v>
      </c>
      <c r="AA101" s="260" t="n">
        <v>3157</v>
      </c>
      <c r="AB101" s="260" t="n">
        <v>5046</v>
      </c>
      <c r="AC101" s="260" t="n">
        <v>4756</v>
      </c>
      <c r="AD101" s="260" t="n">
        <v>3156</v>
      </c>
      <c r="AE101" s="260" t="n">
        <v>3783</v>
      </c>
      <c r="AF101" s="260" t="n">
        <v>7155</v>
      </c>
      <c r="AG101" s="260" t="n">
        <v>5101</v>
      </c>
      <c r="AH101" s="260" t="n">
        <v>5001</v>
      </c>
      <c r="AI101" s="260" t="n">
        <v>4364</v>
      </c>
      <c r="AJ101" s="260" t="n">
        <v>6296</v>
      </c>
    </row>
    <row r="102">
      <c r="A102" t="n">
        <v>58</v>
      </c>
      <c r="B102" t="n">
        <v>1</v>
      </c>
      <c r="G102" t="inlineStr">
        <is>
          <t>un</t>
        </is>
      </c>
      <c r="H102" t="inlineStr">
        <is>
          <t>Obras em andamento (l.57; media do trimestre)</t>
        </is>
      </c>
      <c r="J102" t="inlineStr">
        <is>
          <t>fonte</t>
        </is>
      </c>
      <c r="K102" s="260" t="n">
        <v>30.33333333333333</v>
      </c>
      <c r="L102" s="260" t="n">
        <v>29</v>
      </c>
      <c r="M102" s="260" t="n">
        <v>27.66666666666667</v>
      </c>
      <c r="N102" s="260" t="n">
        <v>26</v>
      </c>
      <c r="O102" s="260" t="n">
        <v>26.66666666666667</v>
      </c>
      <c r="P102" s="260" t="n">
        <v>31</v>
      </c>
      <c r="Q102" s="260" t="n">
        <v>40.33333333333334</v>
      </c>
      <c r="R102" s="260" t="n">
        <v>47.06666666666667</v>
      </c>
      <c r="S102" s="260" t="n">
        <v>48.66666666666666</v>
      </c>
      <c r="T102" s="260" t="n">
        <v>48</v>
      </c>
      <c r="U102" s="260" t="n">
        <v>49.66666666666666</v>
      </c>
      <c r="V102" s="260" t="n">
        <v>51.33333333333334</v>
      </c>
      <c r="W102" s="260" t="n">
        <v>49</v>
      </c>
      <c r="X102" s="260" t="n">
        <v>52</v>
      </c>
      <c r="Y102" s="260" t="n">
        <v>56</v>
      </c>
      <c r="Z102" s="260" t="n">
        <v>57</v>
      </c>
      <c r="AA102" s="260" t="n">
        <v>66.33333333333333</v>
      </c>
      <c r="AB102" s="260" t="n">
        <v>63.33333333333334</v>
      </c>
      <c r="AC102" s="260" t="n">
        <v>68</v>
      </c>
      <c r="AD102" s="260" t="n">
        <v>70</v>
      </c>
      <c r="AE102" s="260" t="n">
        <v>72</v>
      </c>
      <c r="AF102" s="260" t="n">
        <v>81</v>
      </c>
      <c r="AG102" s="260" t="n">
        <v>82</v>
      </c>
      <c r="AH102" s="260" t="n">
        <v>84</v>
      </c>
      <c r="AI102" s="260" t="n">
        <v>87</v>
      </c>
      <c r="AJ102" s="260" t="n">
        <v>87</v>
      </c>
    </row>
    <row r="103">
      <c r="A103" t="n">
        <v>59</v>
      </c>
      <c r="B103" t="n">
        <v>1</v>
      </c>
      <c r="G103" t="inlineStr">
        <is>
          <t>un</t>
        </is>
      </c>
      <c r="H103" t="inlineStr">
        <is>
          <t>Unidades em producao (l.58; media do trimestre)</t>
        </is>
      </c>
      <c r="J103" t="inlineStr">
        <is>
          <t>fonte</t>
        </is>
      </c>
      <c r="K103" s="260" t="n">
        <v>11805.33333333333</v>
      </c>
      <c r="L103" s="260" t="n">
        <v>11642</v>
      </c>
      <c r="M103" s="260" t="n">
        <v>11470</v>
      </c>
      <c r="N103" s="260" t="n">
        <v>11046</v>
      </c>
      <c r="O103" s="260" t="n">
        <v>11232.66666666667</v>
      </c>
      <c r="P103" s="260" t="n">
        <v>16148</v>
      </c>
      <c r="Q103" s="260" t="n">
        <v>19582</v>
      </c>
      <c r="R103" s="260" t="n">
        <v>17406</v>
      </c>
      <c r="S103" s="260" t="n">
        <v>19454</v>
      </c>
      <c r="T103" s="260" t="n">
        <v>21069</v>
      </c>
      <c r="U103" s="260" t="n">
        <v>21994</v>
      </c>
      <c r="V103" s="260" t="n">
        <v>22946</v>
      </c>
      <c r="W103" s="260" t="n">
        <v>25009</v>
      </c>
      <c r="X103" s="260" t="n">
        <v>25821</v>
      </c>
      <c r="Y103" s="260" t="n">
        <v>30815</v>
      </c>
      <c r="Z103" s="260" t="n">
        <v>31082</v>
      </c>
      <c r="AA103" s="260" t="n">
        <v>33294</v>
      </c>
      <c r="AB103" s="260" t="n">
        <v>35713</v>
      </c>
      <c r="AC103" s="260" t="n">
        <v>39398</v>
      </c>
      <c r="AD103" s="260" t="n">
        <v>40531</v>
      </c>
      <c r="AE103" s="260" t="n">
        <v>46054</v>
      </c>
      <c r="AF103" s="260" t="n">
        <v>51374</v>
      </c>
      <c r="AG103" s="260" t="n">
        <v>53066</v>
      </c>
      <c r="AH103" s="260" t="n">
        <v>57163</v>
      </c>
      <c r="AI103" s="260" t="n">
        <v>62777</v>
      </c>
      <c r="AJ103" s="260" t="n">
        <v>66265</v>
      </c>
    </row>
    <row r="104">
      <c r="A104" t="n">
        <v>60</v>
      </c>
      <c r="B104" t="n">
        <v>1</v>
      </c>
      <c r="G104" t="inlineStr">
        <is>
          <t>un</t>
        </is>
      </c>
      <c r="H104" t="inlineStr">
        <is>
          <t>Unidades produzidas no trimestre (l.60)</t>
        </is>
      </c>
      <c r="J104" t="inlineStr">
        <is>
          <t>fonte</t>
        </is>
      </c>
      <c r="K104" s="260" t="n">
        <v>1380.524508668128</v>
      </c>
      <c r="L104" s="260" t="n">
        <v>1719.704612203133</v>
      </c>
      <c r="M104" s="260" t="n">
        <v>1707.32985963686</v>
      </c>
      <c r="N104" s="260" t="n">
        <v>1588.794178971799</v>
      </c>
      <c r="O104" s="260" t="n">
        <v>1365</v>
      </c>
      <c r="P104" s="260" t="n">
        <v>1832</v>
      </c>
      <c r="Q104" s="260" t="n">
        <v>2182.465159662671</v>
      </c>
      <c r="R104" s="260" t="n">
        <v>2048.959538424939</v>
      </c>
      <c r="S104" s="260" t="n">
        <v>1913.561224071427</v>
      </c>
      <c r="T104" s="260" t="n">
        <v>2613.425809170111</v>
      </c>
      <c r="U104" s="260" t="n">
        <v>2747.701697655712</v>
      </c>
      <c r="V104" s="260" t="n">
        <v>2520</v>
      </c>
      <c r="W104" s="260" t="n">
        <v>2458</v>
      </c>
      <c r="X104" s="260" t="n">
        <v>3090</v>
      </c>
      <c r="Y104" s="260" t="n">
        <v>3473</v>
      </c>
      <c r="Z104" s="260" t="n">
        <v>2817</v>
      </c>
      <c r="AA104" s="260" t="n">
        <v>2932</v>
      </c>
      <c r="AB104" s="260" t="n">
        <v>3694</v>
      </c>
      <c r="AC104" s="260" t="n">
        <v>4168</v>
      </c>
      <c r="AD104" s="260" t="n">
        <v>3225</v>
      </c>
      <c r="AE104" s="260" t="n">
        <v>3363</v>
      </c>
      <c r="AF104" s="260" t="n">
        <v>4046</v>
      </c>
      <c r="AG104" s="260" t="n">
        <v>4908</v>
      </c>
      <c r="AH104" s="260" t="n">
        <v>4472</v>
      </c>
      <c r="AI104" s="260" t="n">
        <v>4634</v>
      </c>
      <c r="AJ104" s="260" t="n">
        <v>5737.13</v>
      </c>
    </row>
    <row r="105">
      <c r="A105" t="n">
        <v>61</v>
      </c>
      <c r="B105" t="n">
        <v>1</v>
      </c>
      <c r="G105" t="inlineStr">
        <is>
          <t>moeda</t>
        </is>
      </c>
      <c r="H105" t="inlineStr">
        <is>
          <t>Estoque a valor de mercado - VGV (R$ mil; l.45; fim do periodo)</t>
        </is>
      </c>
      <c r="J105" t="inlineStr">
        <is>
          <t>fonte</t>
        </is>
      </c>
      <c r="K105" s="260" t="n">
        <v>458468.0828576708</v>
      </c>
      <c r="L105" s="260" t="n">
        <v>476069.6997660381</v>
      </c>
      <c r="M105" s="260" t="n">
        <v>472987.6115995024</v>
      </c>
      <c r="N105" s="260" t="n">
        <v>748098.3630288654</v>
      </c>
      <c r="O105" s="260" t="n">
        <v>765721.0780973755</v>
      </c>
      <c r="P105" s="260" t="n">
        <v>777430</v>
      </c>
      <c r="Q105" s="260" t="n">
        <v>827130.059496389</v>
      </c>
      <c r="R105" s="260" t="n">
        <v>999540.1853046855</v>
      </c>
      <c r="S105" s="260" t="n">
        <v>1067451.070857556</v>
      </c>
      <c r="T105" s="260" t="n">
        <v>1258406.122028596</v>
      </c>
      <c r="U105" s="260" t="n">
        <v>1311549.805730765</v>
      </c>
      <c r="V105" s="260" t="n">
        <v>1081773.871762557</v>
      </c>
      <c r="W105" s="260" t="n">
        <v>1406899.164820996</v>
      </c>
      <c r="X105" s="260" t="n">
        <v>1436257.702</v>
      </c>
      <c r="Y105" s="260" t="n">
        <v>1436445.01499815</v>
      </c>
      <c r="Z105" s="260" t="n">
        <v>1423778.657493937</v>
      </c>
      <c r="AA105" s="260" t="n">
        <v>1689696.89707407</v>
      </c>
      <c r="AB105" s="260" t="n">
        <v>1712813.417604744</v>
      </c>
      <c r="AC105" s="260" t="n">
        <v>1840177.334439855</v>
      </c>
      <c r="AD105" s="260" t="n">
        <v>1833295</v>
      </c>
      <c r="AE105" s="260" t="n">
        <v>2531047.065350097</v>
      </c>
      <c r="AF105" s="260" t="n">
        <v>2497723.131500381</v>
      </c>
      <c r="AG105" s="260" t="n">
        <v>2678204.883203246</v>
      </c>
      <c r="AH105" s="260" t="n">
        <v>2406320.781566728</v>
      </c>
      <c r="AI105" s="260" t="n">
        <v>2805177.501498674</v>
      </c>
      <c r="AJ105" s="260" t="n">
        <v>3008261.047057039</v>
      </c>
    </row>
    <row r="106">
      <c r="A106" t="n">
        <v>62</v>
      </c>
      <c r="B106" t="n">
        <v>1</v>
      </c>
      <c r="G106" t="inlineStr">
        <is>
          <t>un</t>
        </is>
      </c>
      <c r="H106" t="inlineStr">
        <is>
          <t>Estoque - unidades (l.50; fim do periodo)</t>
        </is>
      </c>
      <c r="J106" t="inlineStr">
        <is>
          <t>fonte</t>
        </is>
      </c>
      <c r="K106" s="260" t="n">
        <v>2329</v>
      </c>
      <c r="L106" s="260" t="n">
        <v>2563</v>
      </c>
      <c r="M106" s="260" t="n">
        <v>2466</v>
      </c>
      <c r="N106" s="260" t="n">
        <v>3837</v>
      </c>
      <c r="O106" s="260" t="n">
        <v>3934</v>
      </c>
      <c r="P106" s="260" t="n">
        <v>3904</v>
      </c>
      <c r="Q106" s="260" t="n">
        <v>3989</v>
      </c>
      <c r="R106" s="260" t="n">
        <v>4600</v>
      </c>
      <c r="S106" s="260" t="n">
        <v>4579</v>
      </c>
      <c r="T106" s="260" t="n">
        <v>4393</v>
      </c>
      <c r="U106" s="260" t="n">
        <v>4575</v>
      </c>
      <c r="V106" s="260" t="n">
        <v>3781</v>
      </c>
      <c r="W106" s="260" t="n">
        <v>4859</v>
      </c>
      <c r="X106" s="260" t="n">
        <v>4485</v>
      </c>
      <c r="Y106" s="260" t="n">
        <v>4652</v>
      </c>
      <c r="Z106" s="260" t="n">
        <v>4991</v>
      </c>
      <c r="AA106" s="260" t="n">
        <v>5320</v>
      </c>
      <c r="AB106" s="260" t="n">
        <v>5139</v>
      </c>
      <c r="AC106" s="260" t="n">
        <v>5609</v>
      </c>
      <c r="AD106" s="260" t="n">
        <v>5206</v>
      </c>
      <c r="AE106" s="260" t="n">
        <v>7548</v>
      </c>
      <c r="AF106" s="260" t="n">
        <v>6852</v>
      </c>
      <c r="AG106" s="260" t="n">
        <v>7548</v>
      </c>
      <c r="AH106" s="260" t="n">
        <v>6425</v>
      </c>
      <c r="AI106" s="260" t="n">
        <v>7373</v>
      </c>
      <c r="AJ106" s="260" t="n">
        <v>7785</v>
      </c>
    </row>
    <row r="107">
      <c r="A107" t="n">
        <v>63</v>
      </c>
      <c r="B107" t="n">
        <v>1</v>
      </c>
      <c r="G107" t="inlineStr">
        <is>
          <t>un</t>
        </is>
      </c>
      <c r="H107" t="inlineStr">
        <is>
          <t>Banco de terrenos - VGV (R$ milhoes; l.64; fim do periodo)</t>
        </is>
      </c>
      <c r="J107" t="inlineStr">
        <is>
          <t>fonte</t>
        </is>
      </c>
      <c r="K107" s="260" t="n">
        <v>7469</v>
      </c>
      <c r="L107" s="260" t="n">
        <v>7945</v>
      </c>
      <c r="M107" s="260" t="n">
        <v>8828</v>
      </c>
      <c r="N107" s="260" t="n">
        <v>10531.63929016</v>
      </c>
      <c r="O107" s="260" t="n">
        <v>9966</v>
      </c>
      <c r="P107" s="260" t="n">
        <v>10430</v>
      </c>
      <c r="Q107" s="260" t="n">
        <v>11456.49793456</v>
      </c>
      <c r="R107" s="260" t="n">
        <v>9793.619998300001</v>
      </c>
      <c r="S107" s="260" t="n">
        <v>9952.710604200001</v>
      </c>
      <c r="T107" s="260" t="n">
        <v>9647.1947034</v>
      </c>
      <c r="U107" s="260" t="n">
        <v>10487.09493404</v>
      </c>
      <c r="V107" s="260" t="n">
        <v>10138.416628</v>
      </c>
      <c r="W107" s="260" t="n">
        <v>9905.53126553</v>
      </c>
      <c r="X107" s="260" t="n">
        <v>10182.55484953</v>
      </c>
      <c r="Y107" s="260" t="n">
        <v>11848.093692</v>
      </c>
      <c r="Z107" s="260" t="n">
        <v>14508.048284</v>
      </c>
      <c r="AA107" s="260" t="n">
        <v>15637.376806</v>
      </c>
      <c r="AB107" s="260" t="n">
        <v>17585.580512</v>
      </c>
      <c r="AC107" s="260" t="n">
        <v>19517.275012</v>
      </c>
      <c r="AD107" s="260" t="n">
        <v>20122.4</v>
      </c>
      <c r="AE107" s="260" t="n">
        <v>19805.343512</v>
      </c>
      <c r="AF107" s="260" t="n">
        <v>21114.3781</v>
      </c>
      <c r="AG107" s="260" t="n">
        <v>23343.742622</v>
      </c>
      <c r="AH107" s="260" t="n">
        <v>24641.296078</v>
      </c>
      <c r="AI107" s="260" t="n">
        <v>24924.6126995</v>
      </c>
      <c r="AJ107" s="260" t="n">
        <v>26092.7836228</v>
      </c>
    </row>
    <row r="108">
      <c r="A108" t="n">
        <v>64</v>
      </c>
      <c r="B108" t="n">
        <v>1</v>
      </c>
      <c r="G108" t="inlineStr">
        <is>
          <t>moeda</t>
        </is>
      </c>
      <c r="H108" t="inlineStr">
        <is>
          <t>Receitas de vendas a apropriar - REF (R$ mil; DRE l.40; fim do periodo)</t>
        </is>
      </c>
      <c r="J108" t="inlineStr">
        <is>
          <t>fonte</t>
        </is>
      </c>
      <c r="K108" s="260" t="n">
        <v>641562.5650181803</v>
      </c>
      <c r="L108" s="260" t="n">
        <v>649455.4830679161</v>
      </c>
      <c r="M108" s="260" t="n">
        <v>726078.170683434</v>
      </c>
      <c r="N108" s="260" t="n">
        <v>778549.9559330607</v>
      </c>
      <c r="O108" s="260" t="n">
        <v>972631.165941712</v>
      </c>
      <c r="P108" s="260" t="n">
        <v>1172291</v>
      </c>
      <c r="Q108" s="260" t="n">
        <v>1427093</v>
      </c>
      <c r="R108" s="260" t="n">
        <v>1560016</v>
      </c>
      <c r="S108" s="260" t="n">
        <v>1826371</v>
      </c>
      <c r="T108" s="260" t="n">
        <v>2064638</v>
      </c>
      <c r="U108" s="260" t="n">
        <v>2322205</v>
      </c>
      <c r="V108" s="260" t="n">
        <v>2454399</v>
      </c>
      <c r="W108" s="260" t="n">
        <v>2914433</v>
      </c>
      <c r="X108" s="260" t="n">
        <v>3245796</v>
      </c>
      <c r="Y108" s="260" t="n">
        <v>3439133</v>
      </c>
      <c r="Z108" s="260" t="n">
        <v>3501917</v>
      </c>
      <c r="AA108" s="260" t="n">
        <v>4153406</v>
      </c>
      <c r="AB108" s="260" t="n">
        <v>4837930</v>
      </c>
      <c r="AC108" s="260" t="n">
        <v>5203643</v>
      </c>
      <c r="AD108" s="260" t="n">
        <v>5565297</v>
      </c>
      <c r="AE108" s="260" t="n">
        <v>6430448</v>
      </c>
      <c r="AF108" s="260" t="n">
        <v>7284016</v>
      </c>
      <c r="AG108" s="260" t="n">
        <v>7701127</v>
      </c>
      <c r="AH108" s="260" t="n">
        <v>7802275</v>
      </c>
      <c r="AI108" s="260" t="n">
        <v>8471901</v>
      </c>
      <c r="AJ108" s="260" t="n">
        <v>8831273</v>
      </c>
    </row>
    <row r="109">
      <c r="A109" t="n">
        <v>65</v>
      </c>
      <c r="B109" t="n">
        <v>1</v>
      </c>
      <c r="G109" t="inlineStr">
        <is>
          <t>moeda</t>
        </is>
      </c>
      <c r="H109" t="inlineStr">
        <is>
          <t>(-) Custo orcado das unidades vendidas a apropriar (R$ mil; DRE l.41)</t>
        </is>
      </c>
      <c r="J109" t="inlineStr">
        <is>
          <t>fonte</t>
        </is>
      </c>
      <c r="K109" s="260" t="n">
        <v>-416158.2107865316</v>
      </c>
      <c r="L109" s="260" t="n">
        <v>-409404.4189302426</v>
      </c>
      <c r="M109" s="260" t="n">
        <v>-451569.2945862678</v>
      </c>
      <c r="N109" s="260" t="n">
        <v>-475106.1368920471</v>
      </c>
      <c r="O109" s="260" t="n">
        <v>-608580.971494406</v>
      </c>
      <c r="P109" s="260" t="n">
        <v>-735781</v>
      </c>
      <c r="Q109" s="260" t="n">
        <v>-872072</v>
      </c>
      <c r="R109" s="260" t="n">
        <v>-949761</v>
      </c>
      <c r="S109" s="260" t="n">
        <v>-1101334</v>
      </c>
      <c r="T109" s="260" t="n">
        <v>-1227464</v>
      </c>
      <c r="U109" s="260" t="n">
        <v>-1343940</v>
      </c>
      <c r="V109" s="260" t="n">
        <v>-1426532</v>
      </c>
      <c r="W109" s="260" t="n">
        <v>-1691437</v>
      </c>
      <c r="X109" s="260" t="n">
        <v>-1885672</v>
      </c>
      <c r="Y109" s="260" t="n">
        <v>-1996732</v>
      </c>
      <c r="Z109" s="260" t="n">
        <v>-2032161</v>
      </c>
      <c r="AA109" s="260" t="n">
        <v>-2404100</v>
      </c>
      <c r="AB109" s="260" t="n">
        <v>-2769753</v>
      </c>
      <c r="AC109" s="260" t="n">
        <v>-2950257</v>
      </c>
      <c r="AD109" s="260" t="n">
        <v>-3150416</v>
      </c>
      <c r="AE109" s="260" t="n">
        <v>-3656268</v>
      </c>
      <c r="AF109" s="260" t="n">
        <v>-4123959</v>
      </c>
      <c r="AG109" s="260" t="n">
        <v>-4355125</v>
      </c>
      <c r="AH109" s="260" t="n">
        <v>-4420540</v>
      </c>
      <c r="AI109" s="260" t="n">
        <v>-4834308</v>
      </c>
      <c r="AJ109" s="260" t="n">
        <v>-4988360</v>
      </c>
    </row>
    <row r="110">
      <c r="H110" t="inlineStr">
        <is>
          <t>Nota: a aba Resultados Operacionais ja traz a previa operacional do 3T26 (coluna BA); ela fica fora da grade (ultimo trimestre com DRE/BP = 2T26).</t>
        </is>
      </c>
    </row>
    <row r="143">
      <c r="H143" s="254" t="inlineStr">
        <is>
          <t>CONVENCOES</t>
        </is>
      </c>
    </row>
    <row r="144">
      <c r="H144" t="inlineStr">
        <is>
          <t>Linhas de origem: 5 a 110. As formulas da Inputs (2) varrem as linhas 5 a 140; as linhas 111 a 140 estao livres para novas contas.</t>
        </is>
      </c>
    </row>
    <row r="145">
      <c r="H145" t="inlineStr">
        <is>
          <t>Periodos: colunas K a AJ (1Q20 a 2Q26 = 1T20 a 2T26).</t>
        </is>
      </c>
    </row>
    <row r="146">
      <c r="H146" t="inlineStr">
        <is>
          <t>Brutos em R$ mil, como na fonte. A Inputs (2) multiplica pelo fator da celula B1 (0,001) e entrega R$ milhoes.</t>
        </is>
      </c>
    </row>
    <row r="147">
      <c r="H147" t="inlineStr">
        <is>
          <t>ORIGEM: fonte = copiado da planilha; memoria = como divulgado, sem codigo; derivada = formula nesta aba.</t>
        </is>
      </c>
    </row>
    <row r="148">
      <c r="H148" t="inlineStr">
        <is>
          <t>Codigos 45 a 65: drivers de receita (memoria); alimentam o bloco logo abaixo da receita liquida no Model.</t>
        </is>
      </c>
    </row>
    <row r="153">
      <c r="H153" s="254" t="n"/>
    </row>
    <row r="154"/>
    <row r="155"/>
    <row r="156"/>
    <row r="157"/>
    <row r="158"/>
    <row r="159"/>
    <row r="160"/>
    <row r="161"/>
    <row r="162"/>
    <row r="163"/>
    <row r="16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3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65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6" t="inlineStr">
        <is>
          <t>3Q26</t>
        </is>
      </c>
      <c r="AF2" s="256" t="inlineStr">
        <is>
          <t>4Q26</t>
        </is>
      </c>
      <c r="AG2" s="257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$140=$B4)*ISNUMBER(INDEX(Inputs!$K$5:$AJ$140,0,MATCH(D$2,Inputs!$K$4:$AJ$4,0))))+SUMPRODUCT((Inputs!$C$5:$C$140=$B4)*ISNUMBER(INDEX(Inputs!$K$5:$AJ$140,0,MATCH(D$2,Inputs!$K$4:$AJ$4,0))))+SUMPRODUCT((Inputs!$E$5:$E$140=$B4)*ISNUMBER(INDEX(Inputs!$K$5:$AJ$140,0,MATCH(D$2,Inputs!$K$4:$AJ$4,0))))=0,NA(),SUMPRODUCT((Inputs!$A$5:$A$140=$B4)*Inputs!$B$5:$B$140*(((Inputs!$G$5:$G$140="moeda")+(Inputs!$G$5:$G$140="acoes"))*Inputs!$B$1+((Inputs!$G$5:$G$140&lt;&gt;"moeda")*(Inputs!$G$5:$G$140&lt;&gt;"acoes")))*INDEX(Inputs!$K$5:$AJ$140,0,MATCH(D$2,Inputs!$K$4:$AJ$4,0)))+SUMPRODUCT((Inputs!$C$5:$C$140=$B4)*Inputs!$D$5:$D$140*(((Inputs!$G$5:$G$140="moeda")+(Inputs!$G$5:$G$140="acoes"))*Inputs!$B$1+((Inputs!$G$5:$G$140&lt;&gt;"moeda")*(Inputs!$G$5:$G$140&lt;&gt;"acoes")))*INDEX(Inputs!$K$5:$AJ$140,0,MATCH(D$2,Inputs!$K$4:$AJ$4,0)))+SUMPRODUCT((Inputs!$E$5:$E$140=$B4)*Inputs!$F$5:$F$140*(((Inputs!$G$5:$G$140="moeda")+(Inputs!$G$5:$G$140="acoes"))*Inputs!$B$1+((Inputs!$G$5:$G$140&lt;&gt;"moeda")*(Inputs!$G$5:$G$140&lt;&gt;"acoes")))*INDEX(Inputs!$K$5:$AJ$140,0,MATCH(D$2,Inputs!$K$4:$AJ$4,0)))))</f>
        <v>339.286</v>
      </c>
      <c r="E4" s="6">
        <f>IF(ISNA(MATCH(E$2,Inputs!$K$4:$AJ$4,0)),NA(),IF(SUMPRODUCT((Inputs!$A$5:$A$140=$B4)*ISNUMBER(INDEX(Inputs!$K$5:$AJ$140,0,MATCH(E$2,Inputs!$K$4:$AJ$4,0))))+SUMPRODUCT((Inputs!$C$5:$C$140=$B4)*ISNUMBER(INDEX(Inputs!$K$5:$AJ$140,0,MATCH(E$2,Inputs!$K$4:$AJ$4,0))))+SUMPRODUCT((Inputs!$E$5:$E$140=$B4)*ISNUMBER(INDEX(Inputs!$K$5:$AJ$140,0,MATCH(E$2,Inputs!$K$4:$AJ$4,0))))=0,NA(),SUMPRODUCT((Inputs!$A$5:$A$140=$B4)*Inputs!$B$5:$B$140*(((Inputs!$G$5:$G$140="moeda")+(Inputs!$G$5:$G$140="acoes"))*Inputs!$B$1+((Inputs!$G$5:$G$140&lt;&gt;"moeda")*(Inputs!$G$5:$G$140&lt;&gt;"acoes")))*INDEX(Inputs!$K$5:$AJ$140,0,MATCH(E$2,Inputs!$K$4:$AJ$4,0)))+SUMPRODUCT((Inputs!$C$5:$C$140=$B4)*Inputs!$D$5:$D$140*(((Inputs!$G$5:$G$140="moeda")+(Inputs!$G$5:$G$140="acoes"))*Inputs!$B$1+((Inputs!$G$5:$G$140&lt;&gt;"moeda")*(Inputs!$G$5:$G$140&lt;&gt;"acoes")))*INDEX(Inputs!$K$5:$AJ$140,0,MATCH(E$2,Inputs!$K$4:$AJ$4,0)))+SUMPRODUCT((Inputs!$E$5:$E$140=$B4)*Inputs!$F$5:$F$140*(((Inputs!$G$5:$G$140="moeda")+(Inputs!$G$5:$G$140="acoes"))*Inputs!$B$1+((Inputs!$G$5:$G$140&lt;&gt;"moeda")*(Inputs!$G$5:$G$140&lt;&gt;"acoes")))*INDEX(Inputs!$K$5:$AJ$140,0,MATCH(E$2,Inputs!$K$4:$AJ$4,0)))))</f>
        <v>451.337</v>
      </c>
      <c r="F4" s="6">
        <f>IF(ISNA(MATCH(F$2,Inputs!$K$4:$AJ$4,0)),NA(),IF(SUMPRODUCT((Inputs!$A$5:$A$140=$B4)*ISNUMBER(INDEX(Inputs!$K$5:$AJ$140,0,MATCH(F$2,Inputs!$K$4:$AJ$4,0))))+SUMPRODUCT((Inputs!$C$5:$C$140=$B4)*ISNUMBER(INDEX(Inputs!$K$5:$AJ$140,0,MATCH(F$2,Inputs!$K$4:$AJ$4,0))))+SUMPRODUCT((Inputs!$E$5:$E$140=$B4)*ISNUMBER(INDEX(Inputs!$K$5:$AJ$140,0,MATCH(F$2,Inputs!$K$4:$AJ$4,0))))=0,NA(),SUMPRODUCT((Inputs!$A$5:$A$140=$B4)*Inputs!$B$5:$B$140*(((Inputs!$G$5:$G$140="moeda")+(Inputs!$G$5:$G$140="acoes"))*Inputs!$B$1+((Inputs!$G$5:$G$140&lt;&gt;"moeda")*(Inputs!$G$5:$G$140&lt;&gt;"acoes")))*INDEX(Inputs!$K$5:$AJ$140,0,MATCH(F$2,Inputs!$K$4:$AJ$4,0)))+SUMPRODUCT((Inputs!$C$5:$C$140=$B4)*Inputs!$D$5:$D$140*(((Inputs!$G$5:$G$140="moeda")+(Inputs!$G$5:$G$140="acoes"))*Inputs!$B$1+((Inputs!$G$5:$G$140&lt;&gt;"moeda")*(Inputs!$G$5:$G$140&lt;&gt;"acoes")))*INDEX(Inputs!$K$5:$AJ$140,0,MATCH(F$2,Inputs!$K$4:$AJ$4,0)))+SUMPRODUCT((Inputs!$E$5:$E$140=$B4)*Inputs!$F$5:$F$140*(((Inputs!$G$5:$G$140="moeda")+(Inputs!$G$5:$G$140="acoes"))*Inputs!$B$1+((Inputs!$G$5:$G$140&lt;&gt;"moeda")*(Inputs!$G$5:$G$140&lt;&gt;"acoes")))*INDEX(Inputs!$K$5:$AJ$140,0,MATCH(F$2,Inputs!$K$4:$AJ$4,0)))))</f>
        <v>456.44958043</v>
      </c>
      <c r="G4" s="6">
        <f>IF(ISNA(MATCH(G$2,Inputs!$K$4:$AJ$4,0)),NA(),IF(SUMPRODUCT((Inputs!$A$5:$A$140=$B4)*ISNUMBER(INDEX(Inputs!$K$5:$AJ$140,0,MATCH(G$2,Inputs!$K$4:$AJ$4,0))))+SUMPRODUCT((Inputs!$C$5:$C$140=$B4)*ISNUMBER(INDEX(Inputs!$K$5:$AJ$140,0,MATCH(G$2,Inputs!$K$4:$AJ$4,0))))+SUMPRODUCT((Inputs!$E$5:$E$140=$B4)*ISNUMBER(INDEX(Inputs!$K$5:$AJ$140,0,MATCH(G$2,Inputs!$K$4:$AJ$4,0))))=0,NA(),SUMPRODUCT((Inputs!$A$5:$A$140=$B4)*Inputs!$B$5:$B$140*(((Inputs!$G$5:$G$140="moeda")+(Inputs!$G$5:$G$140="acoes"))*Inputs!$B$1+((Inputs!$G$5:$G$140&lt;&gt;"moeda")*(Inputs!$G$5:$G$140&lt;&gt;"acoes")))*INDEX(Inputs!$K$5:$AJ$140,0,MATCH(G$2,Inputs!$K$4:$AJ$4,0)))+SUMPRODUCT((Inputs!$C$5:$C$140=$B4)*Inputs!$D$5:$D$140*(((Inputs!$G$5:$G$140="moeda")+(Inputs!$G$5:$G$140="acoes"))*Inputs!$B$1+((Inputs!$G$5:$G$140&lt;&gt;"moeda")*(Inputs!$G$5:$G$140&lt;&gt;"acoes")))*INDEX(Inputs!$K$5:$AJ$140,0,MATCH(G$2,Inputs!$K$4:$AJ$4,0)))+SUMPRODUCT((Inputs!$E$5:$E$140=$B4)*Inputs!$F$5:$F$140*(((Inputs!$G$5:$G$140="moeda")+(Inputs!$G$5:$G$140="acoes"))*Inputs!$B$1+((Inputs!$G$5:$G$140&lt;&gt;"moeda")*(Inputs!$G$5:$G$140&lt;&gt;"acoes")))*INDEX(Inputs!$K$5:$AJ$140,0,MATCH(G$2,Inputs!$K$4:$AJ$4,0)))))</f>
        <v>491.223</v>
      </c>
      <c r="H4" s="3">
        <f>SUM(D4:G4)</f>
        <v>1738.29558043</v>
      </c>
      <c r="I4" s="6">
        <f>IF(ISNA(MATCH(I$2,Inputs!$K$4:$AJ$4,0)),NA(),IF(SUMPRODUCT((Inputs!$A$5:$A$140=$B4)*ISNUMBER(INDEX(Inputs!$K$5:$AJ$140,0,MATCH(I$2,Inputs!$K$4:$AJ$4,0))))+SUMPRODUCT((Inputs!$C$5:$C$140=$B4)*ISNUMBER(INDEX(Inputs!$K$5:$AJ$140,0,MATCH(I$2,Inputs!$K$4:$AJ$4,0))))+SUMPRODUCT((Inputs!$E$5:$E$140=$B4)*ISNUMBER(INDEX(Inputs!$K$5:$AJ$140,0,MATCH(I$2,Inputs!$K$4:$AJ$4,0))))=0,NA(),SUMPRODUCT((Inputs!$A$5:$A$140=$B4)*Inputs!$B$5:$B$140*(((Inputs!$G$5:$G$140="moeda")+(Inputs!$G$5:$G$140="acoes"))*Inputs!$B$1+((Inputs!$G$5:$G$140&lt;&gt;"moeda")*(Inputs!$G$5:$G$140&lt;&gt;"acoes")))*INDEX(Inputs!$K$5:$AJ$140,0,MATCH(I$2,Inputs!$K$4:$AJ$4,0)))+SUMPRODUCT((Inputs!$C$5:$C$140=$B4)*Inputs!$D$5:$D$140*(((Inputs!$G$5:$G$140="moeda")+(Inputs!$G$5:$G$140="acoes"))*Inputs!$B$1+((Inputs!$G$5:$G$140&lt;&gt;"moeda")*(Inputs!$G$5:$G$140&lt;&gt;"acoes")))*INDEX(Inputs!$K$5:$AJ$140,0,MATCH(I$2,Inputs!$K$4:$AJ$4,0)))+SUMPRODUCT((Inputs!$E$5:$E$140=$B4)*Inputs!$F$5:$F$140*(((Inputs!$G$5:$G$140="moeda")+(Inputs!$G$5:$G$140="acoes"))*Inputs!$B$1+((Inputs!$G$5:$G$140&lt;&gt;"moeda")*(Inputs!$G$5:$G$140&lt;&gt;"acoes")))*INDEX(Inputs!$K$5:$AJ$140,0,MATCH(I$2,Inputs!$K$4:$AJ$4,0)))))</f>
        <v>447.374</v>
      </c>
      <c r="J4" s="6">
        <f>IF(ISNA(MATCH(J$2,Inputs!$K$4:$AJ$4,0)),NA(),IF(SUMPRODUCT((Inputs!$A$5:$A$140=$B4)*ISNUMBER(INDEX(Inputs!$K$5:$AJ$140,0,MATCH(J$2,Inputs!$K$4:$AJ$4,0))))+SUMPRODUCT((Inputs!$C$5:$C$140=$B4)*ISNUMBER(INDEX(Inputs!$K$5:$AJ$140,0,MATCH(J$2,Inputs!$K$4:$AJ$4,0))))+SUMPRODUCT((Inputs!$E$5:$E$140=$B4)*ISNUMBER(INDEX(Inputs!$K$5:$AJ$140,0,MATCH(J$2,Inputs!$K$4:$AJ$4,0))))=0,NA(),SUMPRODUCT((Inputs!$A$5:$A$140=$B4)*Inputs!$B$5:$B$140*(((Inputs!$G$5:$G$140="moeda")+(Inputs!$G$5:$G$140="acoes"))*Inputs!$B$1+((Inputs!$G$5:$G$140&lt;&gt;"moeda")*(Inputs!$G$5:$G$140&lt;&gt;"acoes")))*INDEX(Inputs!$K$5:$AJ$140,0,MATCH(J$2,Inputs!$K$4:$AJ$4,0)))+SUMPRODUCT((Inputs!$C$5:$C$140=$B4)*Inputs!$D$5:$D$140*(((Inputs!$G$5:$G$140="moeda")+(Inputs!$G$5:$G$140="acoes"))*Inputs!$B$1+((Inputs!$G$5:$G$140&lt;&gt;"moeda")*(Inputs!$G$5:$G$140&lt;&gt;"acoes")))*INDEX(Inputs!$K$5:$AJ$140,0,MATCH(J$2,Inputs!$K$4:$AJ$4,0)))+SUMPRODUCT((Inputs!$E$5:$E$140=$B4)*Inputs!$F$5:$F$140*(((Inputs!$G$5:$G$140="moeda")+(Inputs!$G$5:$G$140="acoes"))*Inputs!$B$1+((Inputs!$G$5:$G$140&lt;&gt;"moeda")*(Inputs!$G$5:$G$140&lt;&gt;"acoes")))*INDEX(Inputs!$K$5:$AJ$140,0,MATCH(J$2,Inputs!$K$4:$AJ$4,0)))))</f>
        <v>602.783</v>
      </c>
      <c r="K4" s="6">
        <f>IF(ISNA(MATCH(K$2,Inputs!$K$4:$AJ$4,0)),NA(),IF(SUMPRODUCT((Inputs!$A$5:$A$140=$B4)*ISNUMBER(INDEX(Inputs!$K$5:$AJ$140,0,MATCH(K$2,Inputs!$K$4:$AJ$4,0))))+SUMPRODUCT((Inputs!$C$5:$C$140=$B4)*ISNUMBER(INDEX(Inputs!$K$5:$AJ$140,0,MATCH(K$2,Inputs!$K$4:$AJ$4,0))))+SUMPRODUCT((Inputs!$E$5:$E$140=$B4)*ISNUMBER(INDEX(Inputs!$K$5:$AJ$140,0,MATCH(K$2,Inputs!$K$4:$AJ$4,0))))=0,NA(),SUMPRODUCT((Inputs!$A$5:$A$140=$B4)*Inputs!$B$5:$B$140*(((Inputs!$G$5:$G$140="moeda")+(Inputs!$G$5:$G$140="acoes"))*Inputs!$B$1+((Inputs!$G$5:$G$140&lt;&gt;"moeda")*(Inputs!$G$5:$G$140&lt;&gt;"acoes")))*INDEX(Inputs!$K$5:$AJ$140,0,MATCH(K$2,Inputs!$K$4:$AJ$4,0)))+SUMPRODUCT((Inputs!$C$5:$C$140=$B4)*Inputs!$D$5:$D$140*(((Inputs!$G$5:$G$140="moeda")+(Inputs!$G$5:$G$140="acoes"))*Inputs!$B$1+((Inputs!$G$5:$G$140&lt;&gt;"moeda")*(Inputs!$G$5:$G$140&lt;&gt;"acoes")))*INDEX(Inputs!$K$5:$AJ$140,0,MATCH(K$2,Inputs!$K$4:$AJ$4,0)))+SUMPRODUCT((Inputs!$E$5:$E$140=$B4)*Inputs!$F$5:$F$140*(((Inputs!$G$5:$G$140="moeda")+(Inputs!$G$5:$G$140="acoes"))*Inputs!$B$1+((Inputs!$G$5:$G$140&lt;&gt;"moeda")*(Inputs!$G$5:$G$140&lt;&gt;"acoes")))*INDEX(Inputs!$K$5:$AJ$140,0,MATCH(K$2,Inputs!$K$4:$AJ$4,0)))))</f>
        <v>626.659</v>
      </c>
      <c r="L4" s="6">
        <f>IF(ISNA(MATCH(L$2,Inputs!$K$4:$AJ$4,0)),NA(),IF(SUMPRODUCT((Inputs!$A$5:$A$140=$B4)*ISNUMBER(INDEX(Inputs!$K$5:$AJ$140,0,MATCH(L$2,Inputs!$K$4:$AJ$4,0))))+SUMPRODUCT((Inputs!$C$5:$C$140=$B4)*ISNUMBER(INDEX(Inputs!$K$5:$AJ$140,0,MATCH(L$2,Inputs!$K$4:$AJ$4,0))))+SUMPRODUCT((Inputs!$E$5:$E$140=$B4)*ISNUMBER(INDEX(Inputs!$K$5:$AJ$140,0,MATCH(L$2,Inputs!$K$4:$AJ$4,0))))=0,NA(),SUMPRODUCT((Inputs!$A$5:$A$140=$B4)*Inputs!$B$5:$B$140*(((Inputs!$G$5:$G$140="moeda")+(Inputs!$G$5:$G$140="acoes"))*Inputs!$B$1+((Inputs!$G$5:$G$140&lt;&gt;"moeda")*(Inputs!$G$5:$G$140&lt;&gt;"acoes")))*INDEX(Inputs!$K$5:$AJ$140,0,MATCH(L$2,Inputs!$K$4:$AJ$4,0)))+SUMPRODUCT((Inputs!$C$5:$C$140=$B4)*Inputs!$D$5:$D$140*(((Inputs!$G$5:$G$140="moeda")+(Inputs!$G$5:$G$140="acoes"))*Inputs!$B$1+((Inputs!$G$5:$G$140&lt;&gt;"moeda")*(Inputs!$G$5:$G$140&lt;&gt;"acoes")))*INDEX(Inputs!$K$5:$AJ$140,0,MATCH(L$2,Inputs!$K$4:$AJ$4,0)))+SUMPRODUCT((Inputs!$E$5:$E$140=$B4)*Inputs!$F$5:$F$140*(((Inputs!$G$5:$G$140="moeda")+(Inputs!$G$5:$G$140="acoes"))*Inputs!$B$1+((Inputs!$G$5:$G$140&lt;&gt;"moeda")*(Inputs!$G$5:$G$140&lt;&gt;"acoes")))*INDEX(Inputs!$K$5:$AJ$140,0,MATCH(L$2,Inputs!$K$4:$AJ$4,0)))))</f>
        <v>580.478</v>
      </c>
      <c r="M4" s="3">
        <f>SUM(I4:L4)</f>
        <v>2257.294</v>
      </c>
      <c r="N4" s="6">
        <f>IF(ISNA(MATCH(N$2,Inputs!$K$4:$AJ$4,0)),NA(),IF(SUMPRODUCT((Inputs!$A$5:$A$140=$B4)*ISNUMBER(INDEX(Inputs!$K$5:$AJ$140,0,MATCH(N$2,Inputs!$K$4:$AJ$4,0))))+SUMPRODUCT((Inputs!$C$5:$C$140=$B4)*ISNUMBER(INDEX(Inputs!$K$5:$AJ$140,0,MATCH(N$2,Inputs!$K$4:$AJ$4,0))))+SUMPRODUCT((Inputs!$E$5:$E$140=$B4)*ISNUMBER(INDEX(Inputs!$K$5:$AJ$140,0,MATCH(N$2,Inputs!$K$4:$AJ$4,0))))=0,NA(),SUMPRODUCT((Inputs!$A$5:$A$140=$B4)*Inputs!$B$5:$B$140*(((Inputs!$G$5:$G$140="moeda")+(Inputs!$G$5:$G$140="acoes"))*Inputs!$B$1+((Inputs!$G$5:$G$140&lt;&gt;"moeda")*(Inputs!$G$5:$G$140&lt;&gt;"acoes")))*INDEX(Inputs!$K$5:$AJ$140,0,MATCH(N$2,Inputs!$K$4:$AJ$4,0)))+SUMPRODUCT((Inputs!$C$5:$C$140=$B4)*Inputs!$D$5:$D$140*(((Inputs!$G$5:$G$140="moeda")+(Inputs!$G$5:$G$140="acoes"))*Inputs!$B$1+((Inputs!$G$5:$G$140&lt;&gt;"moeda")*(Inputs!$G$5:$G$140&lt;&gt;"acoes")))*INDEX(Inputs!$K$5:$AJ$140,0,MATCH(N$2,Inputs!$K$4:$AJ$4,0)))+SUMPRODUCT((Inputs!$E$5:$E$140=$B4)*Inputs!$F$5:$F$140*(((Inputs!$G$5:$G$140="moeda")+(Inputs!$G$5:$G$140="acoes"))*Inputs!$B$1+((Inputs!$G$5:$G$140&lt;&gt;"moeda")*(Inputs!$G$5:$G$140&lt;&gt;"acoes")))*INDEX(Inputs!$K$5:$AJ$140,0,MATCH(N$2,Inputs!$K$4:$AJ$4,0)))))</f>
        <v>594.956</v>
      </c>
      <c r="O4" s="6">
        <f>IF(ISNA(MATCH(O$2,Inputs!$K$4:$AJ$4,0)),NA(),IF(SUMPRODUCT((Inputs!$A$5:$A$140=$B4)*ISNUMBER(INDEX(Inputs!$K$5:$AJ$140,0,MATCH(O$2,Inputs!$K$4:$AJ$4,0))))+SUMPRODUCT((Inputs!$C$5:$C$140=$B4)*ISNUMBER(INDEX(Inputs!$K$5:$AJ$140,0,MATCH(O$2,Inputs!$K$4:$AJ$4,0))))+SUMPRODUCT((Inputs!$E$5:$E$140=$B4)*ISNUMBER(INDEX(Inputs!$K$5:$AJ$140,0,MATCH(O$2,Inputs!$K$4:$AJ$4,0))))=0,NA(),SUMPRODUCT((Inputs!$A$5:$A$140=$B4)*Inputs!$B$5:$B$140*(((Inputs!$G$5:$G$140="moeda")+(Inputs!$G$5:$G$140="acoes"))*Inputs!$B$1+((Inputs!$G$5:$G$140&lt;&gt;"moeda")*(Inputs!$G$5:$G$140&lt;&gt;"acoes")))*INDEX(Inputs!$K$5:$AJ$140,0,MATCH(O$2,Inputs!$K$4:$AJ$4,0)))+SUMPRODUCT((Inputs!$C$5:$C$140=$B4)*Inputs!$D$5:$D$140*(((Inputs!$G$5:$G$140="moeda")+(Inputs!$G$5:$G$140="acoes"))*Inputs!$B$1+((Inputs!$G$5:$G$140&lt;&gt;"moeda")*(Inputs!$G$5:$G$140&lt;&gt;"acoes")))*INDEX(Inputs!$K$5:$AJ$140,0,MATCH(O$2,Inputs!$K$4:$AJ$4,0)))+SUMPRODUCT((Inputs!$E$5:$E$140=$B4)*Inputs!$F$5:$F$140*(((Inputs!$G$5:$G$140="moeda")+(Inputs!$G$5:$G$140="acoes"))*Inputs!$B$1+((Inputs!$G$5:$G$140&lt;&gt;"moeda")*(Inputs!$G$5:$G$140&lt;&gt;"acoes")))*INDEX(Inputs!$K$5:$AJ$140,0,MATCH(O$2,Inputs!$K$4:$AJ$4,0)))))</f>
        <v>727.746</v>
      </c>
      <c r="P4" s="6">
        <f>IF(ISNA(MATCH(P$2,Inputs!$K$4:$AJ$4,0)),NA(),IF(SUMPRODUCT((Inputs!$A$5:$A$140=$B4)*ISNUMBER(INDEX(Inputs!$K$5:$AJ$140,0,MATCH(P$2,Inputs!$K$4:$AJ$4,0))))+SUMPRODUCT((Inputs!$C$5:$C$140=$B4)*ISNUMBER(INDEX(Inputs!$K$5:$AJ$140,0,MATCH(P$2,Inputs!$K$4:$AJ$4,0))))+SUMPRODUCT((Inputs!$E$5:$E$140=$B4)*ISNUMBER(INDEX(Inputs!$K$5:$AJ$140,0,MATCH(P$2,Inputs!$K$4:$AJ$4,0))))=0,NA(),SUMPRODUCT((Inputs!$A$5:$A$140=$B4)*Inputs!$B$5:$B$140*(((Inputs!$G$5:$G$140="moeda")+(Inputs!$G$5:$G$140="acoes"))*Inputs!$B$1+((Inputs!$G$5:$G$140&lt;&gt;"moeda")*(Inputs!$G$5:$G$140&lt;&gt;"acoes")))*INDEX(Inputs!$K$5:$AJ$140,0,MATCH(P$2,Inputs!$K$4:$AJ$4,0)))+SUMPRODUCT((Inputs!$C$5:$C$140=$B4)*Inputs!$D$5:$D$140*(((Inputs!$G$5:$G$140="moeda")+(Inputs!$G$5:$G$140="acoes"))*Inputs!$B$1+((Inputs!$G$5:$G$140&lt;&gt;"moeda")*(Inputs!$G$5:$G$140&lt;&gt;"acoes")))*INDEX(Inputs!$K$5:$AJ$140,0,MATCH(P$2,Inputs!$K$4:$AJ$4,0)))+SUMPRODUCT((Inputs!$E$5:$E$140=$B4)*Inputs!$F$5:$F$140*(((Inputs!$G$5:$G$140="moeda")+(Inputs!$G$5:$G$140="acoes"))*Inputs!$B$1+((Inputs!$G$5:$G$140&lt;&gt;"moeda")*(Inputs!$G$5:$G$140&lt;&gt;"acoes")))*INDEX(Inputs!$K$5:$AJ$140,0,MATCH(P$2,Inputs!$K$4:$AJ$4,0)))))</f>
        <v>751.874</v>
      </c>
      <c r="Q4" s="6">
        <f>IF(ISNA(MATCH(Q$2,Inputs!$K$4:$AJ$4,0)),NA(),IF(SUMPRODUCT((Inputs!$A$5:$A$140=$B4)*ISNUMBER(INDEX(Inputs!$K$5:$AJ$140,0,MATCH(Q$2,Inputs!$K$4:$AJ$4,0))))+SUMPRODUCT((Inputs!$C$5:$C$140=$B4)*ISNUMBER(INDEX(Inputs!$K$5:$AJ$140,0,MATCH(Q$2,Inputs!$K$4:$AJ$4,0))))+SUMPRODUCT((Inputs!$E$5:$E$140=$B4)*ISNUMBER(INDEX(Inputs!$K$5:$AJ$140,0,MATCH(Q$2,Inputs!$K$4:$AJ$4,0))))=0,NA(),SUMPRODUCT((Inputs!$A$5:$A$140=$B4)*Inputs!$B$5:$B$140*(((Inputs!$G$5:$G$140="moeda")+(Inputs!$G$5:$G$140="acoes"))*Inputs!$B$1+((Inputs!$G$5:$G$140&lt;&gt;"moeda")*(Inputs!$G$5:$G$140&lt;&gt;"acoes")))*INDEX(Inputs!$K$5:$AJ$140,0,MATCH(Q$2,Inputs!$K$4:$AJ$4,0)))+SUMPRODUCT((Inputs!$C$5:$C$140=$B4)*Inputs!$D$5:$D$140*(((Inputs!$G$5:$G$140="moeda")+(Inputs!$G$5:$G$140="acoes"))*Inputs!$B$1+((Inputs!$G$5:$G$140&lt;&gt;"moeda")*(Inputs!$G$5:$G$140&lt;&gt;"acoes")))*INDEX(Inputs!$K$5:$AJ$140,0,MATCH(Q$2,Inputs!$K$4:$AJ$4,0)))+SUMPRODUCT((Inputs!$E$5:$E$140=$B4)*Inputs!$F$5:$F$140*(((Inputs!$G$5:$G$140="moeda")+(Inputs!$G$5:$G$140="acoes"))*Inputs!$B$1+((Inputs!$G$5:$G$140&lt;&gt;"moeda")*(Inputs!$G$5:$G$140&lt;&gt;"acoes")))*INDEX(Inputs!$K$5:$AJ$140,0,MATCH(Q$2,Inputs!$K$4:$AJ$4,0)))))</f>
        <v>811.596</v>
      </c>
      <c r="R4" s="3">
        <f>SUM(N4:Q4)</f>
        <v>2886.172</v>
      </c>
      <c r="S4" s="6">
        <f>IF(ISNA(MATCH(S$2,Inputs!$K$4:$AJ$4,0)),NA(),IF(SUMPRODUCT((Inputs!$A$5:$A$140=$B4)*ISNUMBER(INDEX(Inputs!$K$5:$AJ$140,0,MATCH(S$2,Inputs!$K$4:$AJ$4,0))))+SUMPRODUCT((Inputs!$C$5:$C$140=$B4)*ISNUMBER(INDEX(Inputs!$K$5:$AJ$140,0,MATCH(S$2,Inputs!$K$4:$AJ$4,0))))+SUMPRODUCT((Inputs!$E$5:$E$140=$B4)*ISNUMBER(INDEX(Inputs!$K$5:$AJ$140,0,MATCH(S$2,Inputs!$K$4:$AJ$4,0))))=0,NA(),SUMPRODUCT((Inputs!$A$5:$A$140=$B4)*Inputs!$B$5:$B$140*(((Inputs!$G$5:$G$140="moeda")+(Inputs!$G$5:$G$140="acoes"))*Inputs!$B$1+((Inputs!$G$5:$G$140&lt;&gt;"moeda")*(Inputs!$G$5:$G$140&lt;&gt;"acoes")))*INDEX(Inputs!$K$5:$AJ$140,0,MATCH(S$2,Inputs!$K$4:$AJ$4,0)))+SUMPRODUCT((Inputs!$C$5:$C$140=$B4)*Inputs!$D$5:$D$140*(((Inputs!$G$5:$G$140="moeda")+(Inputs!$G$5:$G$140="acoes"))*Inputs!$B$1+((Inputs!$G$5:$G$140&lt;&gt;"moeda")*(Inputs!$G$5:$G$140&lt;&gt;"acoes")))*INDEX(Inputs!$K$5:$AJ$140,0,MATCH(S$2,Inputs!$K$4:$AJ$4,0)))+SUMPRODUCT((Inputs!$E$5:$E$140=$B4)*Inputs!$F$5:$F$140*(((Inputs!$G$5:$G$140="moeda")+(Inputs!$G$5:$G$140="acoes"))*Inputs!$B$1+((Inputs!$G$5:$G$140&lt;&gt;"moeda")*(Inputs!$G$5:$G$140&lt;&gt;"acoes")))*INDEX(Inputs!$K$5:$AJ$140,0,MATCH(S$2,Inputs!$K$4:$AJ$4,0)))))</f>
        <v>837.382</v>
      </c>
      <c r="T4" s="6">
        <f>IF(ISNA(MATCH(T$2,Inputs!$K$4:$AJ$4,0)),NA(),IF(SUMPRODUCT((Inputs!$A$5:$A$140=$B4)*ISNUMBER(INDEX(Inputs!$K$5:$AJ$140,0,MATCH(T$2,Inputs!$K$4:$AJ$4,0))))+SUMPRODUCT((Inputs!$C$5:$C$140=$B4)*ISNUMBER(INDEX(Inputs!$K$5:$AJ$140,0,MATCH(T$2,Inputs!$K$4:$AJ$4,0))))+SUMPRODUCT((Inputs!$E$5:$E$140=$B4)*ISNUMBER(INDEX(Inputs!$K$5:$AJ$140,0,MATCH(T$2,Inputs!$K$4:$AJ$4,0))))=0,NA(),SUMPRODUCT((Inputs!$A$5:$A$140=$B4)*Inputs!$B$5:$B$140*(((Inputs!$G$5:$G$140="moeda")+(Inputs!$G$5:$G$140="acoes"))*Inputs!$B$1+((Inputs!$G$5:$G$140&lt;&gt;"moeda")*(Inputs!$G$5:$G$140&lt;&gt;"acoes")))*INDEX(Inputs!$K$5:$AJ$140,0,MATCH(T$2,Inputs!$K$4:$AJ$4,0)))+SUMPRODUCT((Inputs!$C$5:$C$140=$B4)*Inputs!$D$5:$D$140*(((Inputs!$G$5:$G$140="moeda")+(Inputs!$G$5:$G$140="acoes"))*Inputs!$B$1+((Inputs!$G$5:$G$140&lt;&gt;"moeda")*(Inputs!$G$5:$G$140&lt;&gt;"acoes")))*INDEX(Inputs!$K$5:$AJ$140,0,MATCH(T$2,Inputs!$K$4:$AJ$4,0)))+SUMPRODUCT((Inputs!$E$5:$E$140=$B4)*Inputs!$F$5:$F$140*(((Inputs!$G$5:$G$140="moeda")+(Inputs!$G$5:$G$140="acoes"))*Inputs!$B$1+((Inputs!$G$5:$G$140&lt;&gt;"moeda")*(Inputs!$G$5:$G$140&lt;&gt;"acoes")))*INDEX(Inputs!$K$5:$AJ$140,0,MATCH(T$2,Inputs!$K$4:$AJ$4,0)))))</f>
        <v>998.085</v>
      </c>
      <c r="U4" s="6">
        <f>IF(ISNA(MATCH(U$2,Inputs!$K$4:$AJ$4,0)),NA(),IF(SUMPRODUCT((Inputs!$A$5:$A$140=$B4)*ISNUMBER(INDEX(Inputs!$K$5:$AJ$140,0,MATCH(U$2,Inputs!$K$4:$AJ$4,0))))+SUMPRODUCT((Inputs!$C$5:$C$140=$B4)*ISNUMBER(INDEX(Inputs!$K$5:$AJ$140,0,MATCH(U$2,Inputs!$K$4:$AJ$4,0))))+SUMPRODUCT((Inputs!$E$5:$E$140=$B4)*ISNUMBER(INDEX(Inputs!$K$5:$AJ$140,0,MATCH(U$2,Inputs!$K$4:$AJ$4,0))))=0,NA(),SUMPRODUCT((Inputs!$A$5:$A$140=$B4)*Inputs!$B$5:$B$140*(((Inputs!$G$5:$G$140="moeda")+(Inputs!$G$5:$G$140="acoes"))*Inputs!$B$1+((Inputs!$G$5:$G$140&lt;&gt;"moeda")*(Inputs!$G$5:$G$140&lt;&gt;"acoes")))*INDEX(Inputs!$K$5:$AJ$140,0,MATCH(U$2,Inputs!$K$4:$AJ$4,0)))+SUMPRODUCT((Inputs!$C$5:$C$140=$B4)*Inputs!$D$5:$D$140*(((Inputs!$G$5:$G$140="moeda")+(Inputs!$G$5:$G$140="acoes"))*Inputs!$B$1+((Inputs!$G$5:$G$140&lt;&gt;"moeda")*(Inputs!$G$5:$G$140&lt;&gt;"acoes")))*INDEX(Inputs!$K$5:$AJ$140,0,MATCH(U$2,Inputs!$K$4:$AJ$4,0)))+SUMPRODUCT((Inputs!$E$5:$E$140=$B4)*Inputs!$F$5:$F$140*(((Inputs!$G$5:$G$140="moeda")+(Inputs!$G$5:$G$140="acoes"))*Inputs!$B$1+((Inputs!$G$5:$G$140&lt;&gt;"moeda")*(Inputs!$G$5:$G$140&lt;&gt;"acoes")))*INDEX(Inputs!$K$5:$AJ$140,0,MATCH(U$2,Inputs!$K$4:$AJ$4,0)))))</f>
        <v>1055.872</v>
      </c>
      <c r="V4" s="6">
        <f>IF(ISNA(MATCH(V$2,Inputs!$K$4:$AJ$4,0)),NA(),IF(SUMPRODUCT((Inputs!$A$5:$A$140=$B4)*ISNUMBER(INDEX(Inputs!$K$5:$AJ$140,0,MATCH(V$2,Inputs!$K$4:$AJ$4,0))))+SUMPRODUCT((Inputs!$C$5:$C$140=$B4)*ISNUMBER(INDEX(Inputs!$K$5:$AJ$140,0,MATCH(V$2,Inputs!$K$4:$AJ$4,0))))+SUMPRODUCT((Inputs!$E$5:$E$140=$B4)*ISNUMBER(INDEX(Inputs!$K$5:$AJ$140,0,MATCH(V$2,Inputs!$K$4:$AJ$4,0))))=0,NA(),SUMPRODUCT((Inputs!$A$5:$A$140=$B4)*Inputs!$B$5:$B$140*(((Inputs!$G$5:$G$140="moeda")+(Inputs!$G$5:$G$140="acoes"))*Inputs!$B$1+((Inputs!$G$5:$G$140&lt;&gt;"moeda")*(Inputs!$G$5:$G$140&lt;&gt;"acoes")))*INDEX(Inputs!$K$5:$AJ$140,0,MATCH(V$2,Inputs!$K$4:$AJ$4,0)))+SUMPRODUCT((Inputs!$C$5:$C$140=$B4)*Inputs!$D$5:$D$140*(((Inputs!$G$5:$G$140="moeda")+(Inputs!$G$5:$G$140="acoes"))*Inputs!$B$1+((Inputs!$G$5:$G$140&lt;&gt;"moeda")*(Inputs!$G$5:$G$140&lt;&gt;"acoes")))*INDEX(Inputs!$K$5:$AJ$140,0,MATCH(V$2,Inputs!$K$4:$AJ$4,0)))+SUMPRODUCT((Inputs!$E$5:$E$140=$B4)*Inputs!$F$5:$F$140*(((Inputs!$G$5:$G$140="moeda")+(Inputs!$G$5:$G$140="acoes"))*Inputs!$B$1+((Inputs!$G$5:$G$140&lt;&gt;"moeda")*(Inputs!$G$5:$G$140&lt;&gt;"acoes")))*INDEX(Inputs!$K$5:$AJ$140,0,MATCH(V$2,Inputs!$K$4:$AJ$4,0)))))</f>
        <v>1034.971</v>
      </c>
      <c r="W4" s="3">
        <f>SUM(S4:V4)</f>
        <v>3926.31</v>
      </c>
      <c r="X4" s="6">
        <f>IF(ISNA(MATCH(X$2,Inputs!$K$4:$AJ$4,0)),NA(),IF(SUMPRODUCT((Inputs!$A$5:$A$140=$B4)*ISNUMBER(INDEX(Inputs!$K$5:$AJ$140,0,MATCH(X$2,Inputs!$K$4:$AJ$4,0))))+SUMPRODUCT((Inputs!$C$5:$C$140=$B4)*ISNUMBER(INDEX(Inputs!$K$5:$AJ$140,0,MATCH(X$2,Inputs!$K$4:$AJ$4,0))))+SUMPRODUCT((Inputs!$E$5:$E$140=$B4)*ISNUMBER(INDEX(Inputs!$K$5:$AJ$140,0,MATCH(X$2,Inputs!$K$4:$AJ$4,0))))=0,NA(),SUMPRODUCT((Inputs!$A$5:$A$140=$B4)*Inputs!$B$5:$B$140*(((Inputs!$G$5:$G$140="moeda")+(Inputs!$G$5:$G$140="acoes"))*Inputs!$B$1+((Inputs!$G$5:$G$140&lt;&gt;"moeda")*(Inputs!$G$5:$G$140&lt;&gt;"acoes")))*INDEX(Inputs!$K$5:$AJ$140,0,MATCH(X$2,Inputs!$K$4:$AJ$4,0)))+SUMPRODUCT((Inputs!$C$5:$C$140=$B4)*Inputs!$D$5:$D$140*(((Inputs!$G$5:$G$140="moeda")+(Inputs!$G$5:$G$140="acoes"))*Inputs!$B$1+((Inputs!$G$5:$G$140&lt;&gt;"moeda")*(Inputs!$G$5:$G$140&lt;&gt;"acoes")))*INDEX(Inputs!$K$5:$AJ$140,0,MATCH(X$2,Inputs!$K$4:$AJ$4,0)))+SUMPRODUCT((Inputs!$E$5:$E$140=$B4)*Inputs!$F$5:$F$140*(((Inputs!$G$5:$G$140="moeda")+(Inputs!$G$5:$G$140="acoes"))*Inputs!$B$1+((Inputs!$G$5:$G$140&lt;&gt;"moeda")*(Inputs!$G$5:$G$140&lt;&gt;"acoes")))*INDEX(Inputs!$K$5:$AJ$140,0,MATCH(X$2,Inputs!$K$4:$AJ$4,0)))))</f>
        <v>1216.184</v>
      </c>
      <c r="Y4" s="6">
        <f>IF(ISNA(MATCH(Y$2,Inputs!$K$4:$AJ$4,0)),NA(),IF(SUMPRODUCT((Inputs!$A$5:$A$140=$B4)*ISNUMBER(INDEX(Inputs!$K$5:$AJ$140,0,MATCH(Y$2,Inputs!$K$4:$AJ$4,0))))+SUMPRODUCT((Inputs!$C$5:$C$140=$B4)*ISNUMBER(INDEX(Inputs!$K$5:$AJ$140,0,MATCH(Y$2,Inputs!$K$4:$AJ$4,0))))+SUMPRODUCT((Inputs!$E$5:$E$140=$B4)*ISNUMBER(INDEX(Inputs!$K$5:$AJ$140,0,MATCH(Y$2,Inputs!$K$4:$AJ$4,0))))=0,NA(),SUMPRODUCT((Inputs!$A$5:$A$140=$B4)*Inputs!$B$5:$B$140*(((Inputs!$G$5:$G$140="moeda")+(Inputs!$G$5:$G$140="acoes"))*Inputs!$B$1+((Inputs!$G$5:$G$140&lt;&gt;"moeda")*(Inputs!$G$5:$G$140&lt;&gt;"acoes")))*INDEX(Inputs!$K$5:$AJ$140,0,MATCH(Y$2,Inputs!$K$4:$AJ$4,0)))+SUMPRODUCT((Inputs!$C$5:$C$140=$B4)*Inputs!$D$5:$D$140*(((Inputs!$G$5:$G$140="moeda")+(Inputs!$G$5:$G$140="acoes"))*Inputs!$B$1+((Inputs!$G$5:$G$140&lt;&gt;"moeda")*(Inputs!$G$5:$G$140&lt;&gt;"acoes")))*INDEX(Inputs!$K$5:$AJ$140,0,MATCH(Y$2,Inputs!$K$4:$AJ$4,0)))+SUMPRODUCT((Inputs!$E$5:$E$140=$B4)*Inputs!$F$5:$F$140*(((Inputs!$G$5:$G$140="moeda")+(Inputs!$G$5:$G$140="acoes"))*Inputs!$B$1+((Inputs!$G$5:$G$140&lt;&gt;"moeda")*(Inputs!$G$5:$G$140&lt;&gt;"acoes")))*INDEX(Inputs!$K$5:$AJ$140,0,MATCH(Y$2,Inputs!$K$4:$AJ$4,0)))))</f>
        <v>1346.599</v>
      </c>
      <c r="Z4" s="6">
        <f>IF(ISNA(MATCH(Z$2,Inputs!$K$4:$AJ$4,0)),NA(),IF(SUMPRODUCT((Inputs!$A$5:$A$140=$B4)*ISNUMBER(INDEX(Inputs!$K$5:$AJ$140,0,MATCH(Z$2,Inputs!$K$4:$AJ$4,0))))+SUMPRODUCT((Inputs!$C$5:$C$140=$B4)*ISNUMBER(INDEX(Inputs!$K$5:$AJ$140,0,MATCH(Z$2,Inputs!$K$4:$AJ$4,0))))+SUMPRODUCT((Inputs!$E$5:$E$140=$B4)*ISNUMBER(INDEX(Inputs!$K$5:$AJ$140,0,MATCH(Z$2,Inputs!$K$4:$AJ$4,0))))=0,NA(),SUMPRODUCT((Inputs!$A$5:$A$140=$B4)*Inputs!$B$5:$B$140*(((Inputs!$G$5:$G$140="moeda")+(Inputs!$G$5:$G$140="acoes"))*Inputs!$B$1+((Inputs!$G$5:$G$140&lt;&gt;"moeda")*(Inputs!$G$5:$G$140&lt;&gt;"acoes")))*INDEX(Inputs!$K$5:$AJ$140,0,MATCH(Z$2,Inputs!$K$4:$AJ$4,0)))+SUMPRODUCT((Inputs!$C$5:$C$140=$B4)*Inputs!$D$5:$D$140*(((Inputs!$G$5:$G$140="moeda")+(Inputs!$G$5:$G$140="acoes"))*Inputs!$B$1+((Inputs!$G$5:$G$140&lt;&gt;"moeda")*(Inputs!$G$5:$G$140&lt;&gt;"acoes")))*INDEX(Inputs!$K$5:$AJ$140,0,MATCH(Z$2,Inputs!$K$4:$AJ$4,0)))+SUMPRODUCT((Inputs!$E$5:$E$140=$B4)*Inputs!$F$5:$F$140*(((Inputs!$G$5:$G$140="moeda")+(Inputs!$G$5:$G$140="acoes"))*Inputs!$B$1+((Inputs!$G$5:$G$140&lt;&gt;"moeda")*(Inputs!$G$5:$G$140&lt;&gt;"acoes")))*INDEX(Inputs!$K$5:$AJ$140,0,MATCH(Z$2,Inputs!$K$4:$AJ$4,0)))))</f>
        <v>1416.926</v>
      </c>
      <c r="AA4" s="6">
        <f>IF(ISNA(MATCH(AA$2,Inputs!$K$4:$AJ$4,0)),NA(),IF(SUMPRODUCT((Inputs!$A$5:$A$140=$B4)*ISNUMBER(INDEX(Inputs!$K$5:$AJ$140,0,MATCH(AA$2,Inputs!$K$4:$AJ$4,0))))+SUMPRODUCT((Inputs!$C$5:$C$140=$B4)*ISNUMBER(INDEX(Inputs!$K$5:$AJ$140,0,MATCH(AA$2,Inputs!$K$4:$AJ$4,0))))+SUMPRODUCT((Inputs!$E$5:$E$140=$B4)*ISNUMBER(INDEX(Inputs!$K$5:$AJ$140,0,MATCH(AA$2,Inputs!$K$4:$AJ$4,0))))=0,NA(),SUMPRODUCT((Inputs!$A$5:$A$140=$B4)*Inputs!$B$5:$B$140*(((Inputs!$G$5:$G$140="moeda")+(Inputs!$G$5:$G$140="acoes"))*Inputs!$B$1+((Inputs!$G$5:$G$140&lt;&gt;"moeda")*(Inputs!$G$5:$G$140&lt;&gt;"acoes")))*INDEX(Inputs!$K$5:$AJ$140,0,MATCH(AA$2,Inputs!$K$4:$AJ$4,0)))+SUMPRODUCT((Inputs!$C$5:$C$140=$B4)*Inputs!$D$5:$D$140*(((Inputs!$G$5:$G$140="moeda")+(Inputs!$G$5:$G$140="acoes"))*Inputs!$B$1+((Inputs!$G$5:$G$140&lt;&gt;"moeda")*(Inputs!$G$5:$G$140&lt;&gt;"acoes")))*INDEX(Inputs!$K$5:$AJ$140,0,MATCH(AA$2,Inputs!$K$4:$AJ$4,0)))+SUMPRODUCT((Inputs!$E$5:$E$140=$B4)*Inputs!$F$5:$F$140*(((Inputs!$G$5:$G$140="moeda")+(Inputs!$G$5:$G$140="acoes"))*Inputs!$B$1+((Inputs!$G$5:$G$140&lt;&gt;"moeda")*(Inputs!$G$5:$G$140&lt;&gt;"acoes")))*INDEX(Inputs!$K$5:$AJ$140,0,MATCH(AA$2,Inputs!$K$4:$AJ$4,0)))))</f>
        <v>1419.715</v>
      </c>
      <c r="AB4" s="3">
        <f>SUM(X4:AA4)</f>
        <v>5399.424</v>
      </c>
      <c r="AC4" s="6">
        <f>IF(ISNA(MATCH(AC$2,Inputs!$K$4:$AJ$4,0)),NA(),IF(SUMPRODUCT((Inputs!$A$5:$A$140=$B4)*ISNUMBER(INDEX(Inputs!$K$5:$AJ$140,0,MATCH(AC$2,Inputs!$K$4:$AJ$4,0))))+SUMPRODUCT((Inputs!$C$5:$C$140=$B4)*ISNUMBER(INDEX(Inputs!$K$5:$AJ$140,0,MATCH(AC$2,Inputs!$K$4:$AJ$4,0))))+SUMPRODUCT((Inputs!$E$5:$E$140=$B4)*ISNUMBER(INDEX(Inputs!$K$5:$AJ$140,0,MATCH(AC$2,Inputs!$K$4:$AJ$4,0))))=0,NA(),SUMPRODUCT((Inputs!$A$5:$A$140=$B4)*Inputs!$B$5:$B$140*(((Inputs!$G$5:$G$140="moeda")+(Inputs!$G$5:$G$140="acoes"))*Inputs!$B$1+((Inputs!$G$5:$G$140&lt;&gt;"moeda")*(Inputs!$G$5:$G$140&lt;&gt;"acoes")))*INDEX(Inputs!$K$5:$AJ$140,0,MATCH(AC$2,Inputs!$K$4:$AJ$4,0)))+SUMPRODUCT((Inputs!$C$5:$C$140=$B4)*Inputs!$D$5:$D$140*(((Inputs!$G$5:$G$140="moeda")+(Inputs!$G$5:$G$140="acoes"))*Inputs!$B$1+((Inputs!$G$5:$G$140&lt;&gt;"moeda")*(Inputs!$G$5:$G$140&lt;&gt;"acoes")))*INDEX(Inputs!$K$5:$AJ$140,0,MATCH(AC$2,Inputs!$K$4:$AJ$4,0)))+SUMPRODUCT((Inputs!$E$5:$E$140=$B4)*Inputs!$F$5:$F$140*(((Inputs!$G$5:$G$140="moeda")+(Inputs!$G$5:$G$140="acoes"))*Inputs!$B$1+((Inputs!$G$5:$G$140&lt;&gt;"moeda")*(Inputs!$G$5:$G$140&lt;&gt;"acoes")))*INDEX(Inputs!$K$5:$AJ$140,0,MATCH(AC$2,Inputs!$K$4:$AJ$4,0)))))</f>
        <v>1612.571</v>
      </c>
      <c r="AD4" s="6">
        <f>IF(ISNA(MATCH(AD$2,Inputs!$K$4:$AJ$4,0)),NA(),IF(SUMPRODUCT((Inputs!$A$5:$A$140=$B4)*ISNUMBER(INDEX(Inputs!$K$5:$AJ$140,0,MATCH(AD$2,Inputs!$K$4:$AJ$4,0))))+SUMPRODUCT((Inputs!$C$5:$C$140=$B4)*ISNUMBER(INDEX(Inputs!$K$5:$AJ$140,0,MATCH(AD$2,Inputs!$K$4:$AJ$4,0))))+SUMPRODUCT((Inputs!$E$5:$E$140=$B4)*ISNUMBER(INDEX(Inputs!$K$5:$AJ$140,0,MATCH(AD$2,Inputs!$K$4:$AJ$4,0))))=0,NA(),SUMPRODUCT((Inputs!$A$5:$A$140=$B4)*Inputs!$B$5:$B$140*(((Inputs!$G$5:$G$140="moeda")+(Inputs!$G$5:$G$140="acoes"))*Inputs!$B$1+((Inputs!$G$5:$G$140&lt;&gt;"moeda")*(Inputs!$G$5:$G$140&lt;&gt;"acoes")))*INDEX(Inputs!$K$5:$AJ$140,0,MATCH(AD$2,Inputs!$K$4:$AJ$4,0)))+SUMPRODUCT((Inputs!$C$5:$C$140=$B4)*Inputs!$D$5:$D$140*(((Inputs!$G$5:$G$140="moeda")+(Inputs!$G$5:$G$140="acoes"))*Inputs!$B$1+((Inputs!$G$5:$G$140&lt;&gt;"moeda")*(Inputs!$G$5:$G$140&lt;&gt;"acoes")))*INDEX(Inputs!$K$5:$AJ$140,0,MATCH(AD$2,Inputs!$K$4:$AJ$4,0)))+SUMPRODUCT((Inputs!$E$5:$E$140=$B4)*Inputs!$F$5:$F$140*(((Inputs!$G$5:$G$140="moeda")+(Inputs!$G$5:$G$140="acoes"))*Inputs!$B$1+((Inputs!$G$5:$G$140&lt;&gt;"moeda")*(Inputs!$G$5:$G$140&lt;&gt;"acoes")))*INDEX(Inputs!$K$5:$AJ$140,0,MATCH(AD$2,Inputs!$K$4:$AJ$4,0)))))</f>
        <v>1690.594</v>
      </c>
      <c r="AE4" s="6" t="e">
        <f>IF(ISNA(MATCH(AE$2,Inputs!$K$4:$AJ$4,0)),NA(),IF(SUMPRODUCT((Inputs!$A$5:$A$140=$B4)*ISNUMBER(INDEX(Inputs!$K$5:$AJ$140,0,MATCH(AE$2,Inputs!$K$4:$AJ$4,0))))+SUMPRODUCT((Inputs!$C$5:$C$140=$B4)*ISNUMBER(INDEX(Inputs!$K$5:$AJ$140,0,MATCH(AE$2,Inputs!$K$4:$AJ$4,0))))+SUMPRODUCT((Inputs!$E$5:$E$140=$B4)*ISNUMBER(INDEX(Inputs!$K$5:$AJ$140,0,MATCH(AE$2,Inputs!$K$4:$AJ$4,0))))=0,NA(),SUMPRODUCT((Inputs!$A$5:$A$140=$B4)*Inputs!$B$5:$B$140*(((Inputs!$G$5:$G$140="moeda")+(Inputs!$G$5:$G$140="acoes"))*Inputs!$B$1+((Inputs!$G$5:$G$140&lt;&gt;"moeda")*(Inputs!$G$5:$G$140&lt;&gt;"acoes")))*INDEX(Inputs!$K$5:$AJ$140,0,MATCH(AE$2,Inputs!$K$4:$AJ$4,0)))+SUMPRODUCT((Inputs!$C$5:$C$140=$B4)*Inputs!$D$5:$D$140*(((Inputs!$G$5:$G$140="moeda")+(Inputs!$G$5:$G$140="acoes"))*Inputs!$B$1+((Inputs!$G$5:$G$140&lt;&gt;"moeda")*(Inputs!$G$5:$G$140&lt;&gt;"acoes")))*INDEX(Inputs!$K$5:$AJ$140,0,MATCH(AE$2,Inputs!$K$4:$AJ$4,0)))+SUMPRODUCT((Inputs!$E$5:$E$140=$B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" s="6" t="e">
        <f>IF(ISNA(MATCH(AF$2,Inputs!$K$4:$AJ$4,0)),NA(),IF(SUMPRODUCT((Inputs!$A$5:$A$140=$B4)*ISNUMBER(INDEX(Inputs!$K$5:$AJ$140,0,MATCH(AF$2,Inputs!$K$4:$AJ$4,0))))+SUMPRODUCT((Inputs!$C$5:$C$140=$B4)*ISNUMBER(INDEX(Inputs!$K$5:$AJ$140,0,MATCH(AF$2,Inputs!$K$4:$AJ$4,0))))+SUMPRODUCT((Inputs!$E$5:$E$140=$B4)*ISNUMBER(INDEX(Inputs!$K$5:$AJ$140,0,MATCH(AF$2,Inputs!$K$4:$AJ$4,0))))=0,NA(),SUMPRODUCT((Inputs!$A$5:$A$140=$B4)*Inputs!$B$5:$B$140*(((Inputs!$G$5:$G$140="moeda")+(Inputs!$G$5:$G$140="acoes"))*Inputs!$B$1+((Inputs!$G$5:$G$140&lt;&gt;"moeda")*(Inputs!$G$5:$G$140&lt;&gt;"acoes")))*INDEX(Inputs!$K$5:$AJ$140,0,MATCH(AF$2,Inputs!$K$4:$AJ$4,0)))+SUMPRODUCT((Inputs!$C$5:$C$140=$B4)*Inputs!$D$5:$D$140*(((Inputs!$G$5:$G$140="moeda")+(Inputs!$G$5:$G$140="acoes"))*Inputs!$B$1+((Inputs!$G$5:$G$140&lt;&gt;"moeda")*(Inputs!$G$5:$G$140&lt;&gt;"acoes")))*INDEX(Inputs!$K$5:$AJ$140,0,MATCH(AF$2,Inputs!$K$4:$AJ$4,0)))+SUMPRODUCT((Inputs!$E$5:$E$140=$B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" s="3" t="e">
        <f>SUM(AC4:AF4)</f>
        <v>#N/A</v>
      </c>
      <c r="AH4" s="6">
        <f>IF(ISNA(MATCH(AH$2,Inputs!$K$4:$AJ$4,0)),NA(),IF(SUMPRODUCT((Inputs!$A$5:$A$140=$B4)*ISNUMBER(INDEX(Inputs!$K$5:$AJ$140,0,MATCH(AH$2,Inputs!$K$4:$AJ$4,0))))+SUMPRODUCT((Inputs!$C$5:$C$140=$B4)*ISNUMBER(INDEX(Inputs!$K$5:$AJ$140,0,MATCH(AH$2,Inputs!$K$4:$AJ$4,0))))+SUMPRODUCT((Inputs!$E$5:$E$140=$B4)*ISNUMBER(INDEX(Inputs!$K$5:$AJ$140,0,MATCH(AH$2,Inputs!$K$4:$AJ$4,0))))=0,NA(),SUMPRODUCT((Inputs!$A$5:$A$140=$B4)*Inputs!$B$5:$B$140*(((Inputs!$G$5:$G$140="moeda")+(Inputs!$G$5:$G$140="acoes"))*Inputs!$B$1+((Inputs!$G$5:$G$140&lt;&gt;"moeda")*(Inputs!$G$5:$G$140&lt;&gt;"acoes")))*INDEX(Inputs!$K$5:$AJ$140,0,MATCH(AH$2,Inputs!$K$4:$AJ$4,0)))+SUMPRODUCT((Inputs!$C$5:$C$140=$B4)*Inputs!$D$5:$D$140*(((Inputs!$G$5:$G$140="moeda")+(Inputs!$G$5:$G$140="acoes"))*Inputs!$B$1+((Inputs!$G$5:$G$140&lt;&gt;"moeda")*(Inputs!$G$5:$G$140&lt;&gt;"acoes")))*INDEX(Inputs!$K$5:$AJ$140,0,MATCH(AH$2,Inputs!$K$4:$AJ$4,0)))+SUMPRODUCT((Inputs!$E$5:$E$140=$B4)*Inputs!$F$5:$F$140*(((Inputs!$G$5:$G$140="moeda")+(Inputs!$G$5:$G$140="acoes"))*Inputs!$B$1+((Inputs!$G$5:$G$140&lt;&gt;"moeda")*(Inputs!$G$5:$G$140&lt;&gt;"acoes")))*INDEX(Inputs!$K$5:$AJ$140,0,MATCH(AH$2,Inputs!$K$4:$AJ$4,0)))))</f>
        <v>227.321</v>
      </c>
      <c r="AI4" s="6">
        <f>IF(ISNA(MATCH(AI$2,Inputs!$K$4:$AJ$4,0)),NA(),IF(SUMPRODUCT((Inputs!$A$5:$A$140=$B4)*ISNUMBER(INDEX(Inputs!$K$5:$AJ$140,0,MATCH(AI$2,Inputs!$K$4:$AJ$4,0))))+SUMPRODUCT((Inputs!$C$5:$C$140=$B4)*ISNUMBER(INDEX(Inputs!$K$5:$AJ$140,0,MATCH(AI$2,Inputs!$K$4:$AJ$4,0))))+SUMPRODUCT((Inputs!$E$5:$E$140=$B4)*ISNUMBER(INDEX(Inputs!$K$5:$AJ$140,0,MATCH(AI$2,Inputs!$K$4:$AJ$4,0))))=0,NA(),SUMPRODUCT((Inputs!$A$5:$A$140=$B4)*Inputs!$B$5:$B$140*(((Inputs!$G$5:$G$140="moeda")+(Inputs!$G$5:$G$140="acoes"))*Inputs!$B$1+((Inputs!$G$5:$G$140&lt;&gt;"moeda")*(Inputs!$G$5:$G$140&lt;&gt;"acoes")))*INDEX(Inputs!$K$5:$AJ$140,0,MATCH(AI$2,Inputs!$K$4:$AJ$4,0)))+SUMPRODUCT((Inputs!$C$5:$C$140=$B4)*Inputs!$D$5:$D$140*(((Inputs!$G$5:$G$140="moeda")+(Inputs!$G$5:$G$140="acoes"))*Inputs!$B$1+((Inputs!$G$5:$G$140&lt;&gt;"moeda")*(Inputs!$G$5:$G$140&lt;&gt;"acoes")))*INDEX(Inputs!$K$5:$AJ$140,0,MATCH(AI$2,Inputs!$K$4:$AJ$4,0)))+SUMPRODUCT((Inputs!$E$5:$E$140=$B4)*Inputs!$F$5:$F$140*(((Inputs!$G$5:$G$140="moeda")+(Inputs!$G$5:$G$140="acoes"))*Inputs!$B$1+((Inputs!$G$5:$G$140&lt;&gt;"moeda")*(Inputs!$G$5:$G$140&lt;&gt;"acoes")))*INDEX(Inputs!$K$5:$AJ$140,0,MATCH(AI$2,Inputs!$K$4:$AJ$4,0)))))</f>
        <v>246.204</v>
      </c>
      <c r="AJ4" s="6">
        <f>IF(ISNA(MATCH(AJ$2,Inputs!$K$4:$AJ$4,0)),NA(),IF(SUMPRODUCT((Inputs!$A$5:$A$140=$B4)*ISNUMBER(INDEX(Inputs!$K$5:$AJ$140,0,MATCH(AJ$2,Inputs!$K$4:$AJ$4,0))))+SUMPRODUCT((Inputs!$C$5:$C$140=$B4)*ISNUMBER(INDEX(Inputs!$K$5:$AJ$140,0,MATCH(AJ$2,Inputs!$K$4:$AJ$4,0))))+SUMPRODUCT((Inputs!$E$5:$E$140=$B4)*ISNUMBER(INDEX(Inputs!$K$5:$AJ$140,0,MATCH(AJ$2,Inputs!$K$4:$AJ$4,0))))=0,NA(),SUMPRODUCT((Inputs!$A$5:$A$140=$B4)*Inputs!$B$5:$B$140*(((Inputs!$G$5:$G$140="moeda")+(Inputs!$G$5:$G$140="acoes"))*Inputs!$B$1+((Inputs!$G$5:$G$140&lt;&gt;"moeda")*(Inputs!$G$5:$G$140&lt;&gt;"acoes")))*INDEX(Inputs!$K$5:$AJ$140,0,MATCH(AJ$2,Inputs!$K$4:$AJ$4,0)))+SUMPRODUCT((Inputs!$C$5:$C$140=$B4)*Inputs!$D$5:$D$140*(((Inputs!$G$5:$G$140="moeda")+(Inputs!$G$5:$G$140="acoes"))*Inputs!$B$1+((Inputs!$G$5:$G$140&lt;&gt;"moeda")*(Inputs!$G$5:$G$140&lt;&gt;"acoes")))*INDEX(Inputs!$K$5:$AJ$140,0,MATCH(AJ$2,Inputs!$K$4:$AJ$4,0)))+SUMPRODUCT((Inputs!$E$5:$E$140=$B4)*Inputs!$F$5:$F$140*(((Inputs!$G$5:$G$140="moeda")+(Inputs!$G$5:$G$140="acoes"))*Inputs!$B$1+((Inputs!$G$5:$G$140&lt;&gt;"moeda")*(Inputs!$G$5:$G$140&lt;&gt;"acoes")))*INDEX(Inputs!$K$5:$AJ$140,0,MATCH(AJ$2,Inputs!$K$4:$AJ$4,0)))))</f>
        <v>325.898</v>
      </c>
      <c r="AK4" s="6">
        <f>IF(ISNA(MATCH(AK$2,Inputs!$K$4:$AJ$4,0)),NA(),IF(SUMPRODUCT((Inputs!$A$5:$A$140=$B4)*ISNUMBER(INDEX(Inputs!$K$5:$AJ$140,0,MATCH(AK$2,Inputs!$K$4:$AJ$4,0))))+SUMPRODUCT((Inputs!$C$5:$C$140=$B4)*ISNUMBER(INDEX(Inputs!$K$5:$AJ$140,0,MATCH(AK$2,Inputs!$K$4:$AJ$4,0))))+SUMPRODUCT((Inputs!$E$5:$E$140=$B4)*ISNUMBER(INDEX(Inputs!$K$5:$AJ$140,0,MATCH(AK$2,Inputs!$K$4:$AJ$4,0))))=0,NA(),SUMPRODUCT((Inputs!$A$5:$A$140=$B4)*Inputs!$B$5:$B$140*(((Inputs!$G$5:$G$140="moeda")+(Inputs!$G$5:$G$140="acoes"))*Inputs!$B$1+((Inputs!$G$5:$G$140&lt;&gt;"moeda")*(Inputs!$G$5:$G$140&lt;&gt;"acoes")))*INDEX(Inputs!$K$5:$AJ$140,0,MATCH(AK$2,Inputs!$K$4:$AJ$4,0)))+SUMPRODUCT((Inputs!$C$5:$C$140=$B4)*Inputs!$D$5:$D$140*(((Inputs!$G$5:$G$140="moeda")+(Inputs!$G$5:$G$140="acoes"))*Inputs!$B$1+((Inputs!$G$5:$G$140&lt;&gt;"moeda")*(Inputs!$G$5:$G$140&lt;&gt;"acoes")))*INDEX(Inputs!$K$5:$AJ$140,0,MATCH(AK$2,Inputs!$K$4:$AJ$4,0)))+SUMPRODUCT((Inputs!$E$5:$E$140=$B4)*Inputs!$F$5:$F$140*(((Inputs!$G$5:$G$140="moeda")+(Inputs!$G$5:$G$140="acoes"))*Inputs!$B$1+((Inputs!$G$5:$G$140&lt;&gt;"moeda")*(Inputs!$G$5:$G$140&lt;&gt;"acoes")))*INDEX(Inputs!$K$5:$AJ$140,0,MATCH(AK$2,Inputs!$K$4:$AJ$4,0)))))</f>
        <v>345.259</v>
      </c>
      <c r="AL4" s="3">
        <f>SUM(AH4:AK4)</f>
        <v>1144.682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$140=$B5)*ISNUMBER(INDEX(Inputs!$K$5:$AJ$140,0,MATCH(D$2,Inputs!$K$4:$AJ$4,0))))+SUMPRODUCT((Inputs!$C$5:$C$140=$B5)*ISNUMBER(INDEX(Inputs!$K$5:$AJ$140,0,MATCH(D$2,Inputs!$K$4:$AJ$4,0))))+SUMPRODUCT((Inputs!$E$5:$E$140=$B5)*ISNUMBER(INDEX(Inputs!$K$5:$AJ$140,0,MATCH(D$2,Inputs!$K$4:$AJ$4,0))))=0,NA(),SUMPRODUCT((Inputs!$A$5:$A$140=$B5)*Inputs!$B$5:$B$140*(((Inputs!$G$5:$G$140="moeda")+(Inputs!$G$5:$G$140="acoes"))*Inputs!$B$1+((Inputs!$G$5:$G$140&lt;&gt;"moeda")*(Inputs!$G$5:$G$140&lt;&gt;"acoes")))*INDEX(Inputs!$K$5:$AJ$140,0,MATCH(D$2,Inputs!$K$4:$AJ$4,0)))+SUMPRODUCT((Inputs!$C$5:$C$140=$B5)*Inputs!$D$5:$D$140*(((Inputs!$G$5:$G$140="moeda")+(Inputs!$G$5:$G$140="acoes"))*Inputs!$B$1+((Inputs!$G$5:$G$140&lt;&gt;"moeda")*(Inputs!$G$5:$G$140&lt;&gt;"acoes")))*INDEX(Inputs!$K$5:$AJ$140,0,MATCH(D$2,Inputs!$K$4:$AJ$4,0)))+SUMPRODUCT((Inputs!$E$5:$E$140=$B5)*Inputs!$F$5:$F$140*(((Inputs!$G$5:$G$140="moeda")+(Inputs!$G$5:$G$140="acoes"))*Inputs!$B$1+((Inputs!$G$5:$G$140&lt;&gt;"moeda")*(Inputs!$G$5:$G$140&lt;&gt;"acoes")))*INDEX(Inputs!$K$5:$AJ$140,0,MATCH(D$2,Inputs!$K$4:$AJ$4,0)))))</f>
        <v>-218.944</v>
      </c>
      <c r="E5" s="6">
        <f>IF(ISNA(MATCH(E$2,Inputs!$K$4:$AJ$4,0)),NA(),IF(SUMPRODUCT((Inputs!$A$5:$A$140=$B5)*ISNUMBER(INDEX(Inputs!$K$5:$AJ$140,0,MATCH(E$2,Inputs!$K$4:$AJ$4,0))))+SUMPRODUCT((Inputs!$C$5:$C$140=$B5)*ISNUMBER(INDEX(Inputs!$K$5:$AJ$140,0,MATCH(E$2,Inputs!$K$4:$AJ$4,0))))+SUMPRODUCT((Inputs!$E$5:$E$140=$B5)*ISNUMBER(INDEX(Inputs!$K$5:$AJ$140,0,MATCH(E$2,Inputs!$K$4:$AJ$4,0))))=0,NA(),SUMPRODUCT((Inputs!$A$5:$A$140=$B5)*Inputs!$B$5:$B$140*(((Inputs!$G$5:$G$140="moeda")+(Inputs!$G$5:$G$140="acoes"))*Inputs!$B$1+((Inputs!$G$5:$G$140&lt;&gt;"moeda")*(Inputs!$G$5:$G$140&lt;&gt;"acoes")))*INDEX(Inputs!$K$5:$AJ$140,0,MATCH(E$2,Inputs!$K$4:$AJ$4,0)))+SUMPRODUCT((Inputs!$C$5:$C$140=$B5)*Inputs!$D$5:$D$140*(((Inputs!$G$5:$G$140="moeda")+(Inputs!$G$5:$G$140="acoes"))*Inputs!$B$1+((Inputs!$G$5:$G$140&lt;&gt;"moeda")*(Inputs!$G$5:$G$140&lt;&gt;"acoes")))*INDEX(Inputs!$K$5:$AJ$140,0,MATCH(E$2,Inputs!$K$4:$AJ$4,0)))+SUMPRODUCT((Inputs!$E$5:$E$140=$B5)*Inputs!$F$5:$F$140*(((Inputs!$G$5:$G$140="moeda")+(Inputs!$G$5:$G$140="acoes"))*Inputs!$B$1+((Inputs!$G$5:$G$140&lt;&gt;"moeda")*(Inputs!$G$5:$G$140&lt;&gt;"acoes")))*INDEX(Inputs!$K$5:$AJ$140,0,MATCH(E$2,Inputs!$K$4:$AJ$4,0)))))</f>
        <v>-288.421</v>
      </c>
      <c r="F5" s="6">
        <f>IF(ISNA(MATCH(F$2,Inputs!$K$4:$AJ$4,0)),NA(),IF(SUMPRODUCT((Inputs!$A$5:$A$140=$B5)*ISNUMBER(INDEX(Inputs!$K$5:$AJ$140,0,MATCH(F$2,Inputs!$K$4:$AJ$4,0))))+SUMPRODUCT((Inputs!$C$5:$C$140=$B5)*ISNUMBER(INDEX(Inputs!$K$5:$AJ$140,0,MATCH(F$2,Inputs!$K$4:$AJ$4,0))))+SUMPRODUCT((Inputs!$E$5:$E$140=$B5)*ISNUMBER(INDEX(Inputs!$K$5:$AJ$140,0,MATCH(F$2,Inputs!$K$4:$AJ$4,0))))=0,NA(),SUMPRODUCT((Inputs!$A$5:$A$140=$B5)*Inputs!$B$5:$B$140*(((Inputs!$G$5:$G$140="moeda")+(Inputs!$G$5:$G$140="acoes"))*Inputs!$B$1+((Inputs!$G$5:$G$140&lt;&gt;"moeda")*(Inputs!$G$5:$G$140&lt;&gt;"acoes")))*INDEX(Inputs!$K$5:$AJ$140,0,MATCH(F$2,Inputs!$K$4:$AJ$4,0)))+SUMPRODUCT((Inputs!$C$5:$C$140=$B5)*Inputs!$D$5:$D$140*(((Inputs!$G$5:$G$140="moeda")+(Inputs!$G$5:$G$140="acoes"))*Inputs!$B$1+((Inputs!$G$5:$G$140&lt;&gt;"moeda")*(Inputs!$G$5:$G$140&lt;&gt;"acoes")))*INDEX(Inputs!$K$5:$AJ$140,0,MATCH(F$2,Inputs!$K$4:$AJ$4,0)))+SUMPRODUCT((Inputs!$E$5:$E$140=$B5)*Inputs!$F$5:$F$140*(((Inputs!$G$5:$G$140="moeda")+(Inputs!$G$5:$G$140="acoes"))*Inputs!$B$1+((Inputs!$G$5:$G$140&lt;&gt;"moeda")*(Inputs!$G$5:$G$140&lt;&gt;"acoes")))*INDEX(Inputs!$K$5:$AJ$140,0,MATCH(F$2,Inputs!$K$4:$AJ$4,0)))))</f>
        <v>-281.47773978</v>
      </c>
      <c r="G5" s="6">
        <f>IF(ISNA(MATCH(G$2,Inputs!$K$4:$AJ$4,0)),NA(),IF(SUMPRODUCT((Inputs!$A$5:$A$140=$B5)*ISNUMBER(INDEX(Inputs!$K$5:$AJ$140,0,MATCH(G$2,Inputs!$K$4:$AJ$4,0))))+SUMPRODUCT((Inputs!$C$5:$C$140=$B5)*ISNUMBER(INDEX(Inputs!$K$5:$AJ$140,0,MATCH(G$2,Inputs!$K$4:$AJ$4,0))))+SUMPRODUCT((Inputs!$E$5:$E$140=$B5)*ISNUMBER(INDEX(Inputs!$K$5:$AJ$140,0,MATCH(G$2,Inputs!$K$4:$AJ$4,0))))=0,NA(),SUMPRODUCT((Inputs!$A$5:$A$140=$B5)*Inputs!$B$5:$B$140*(((Inputs!$G$5:$G$140="moeda")+(Inputs!$G$5:$G$140="acoes"))*Inputs!$B$1+((Inputs!$G$5:$G$140&lt;&gt;"moeda")*(Inputs!$G$5:$G$140&lt;&gt;"acoes")))*INDEX(Inputs!$K$5:$AJ$140,0,MATCH(G$2,Inputs!$K$4:$AJ$4,0)))+SUMPRODUCT((Inputs!$C$5:$C$140=$B5)*Inputs!$D$5:$D$140*(((Inputs!$G$5:$G$140="moeda")+(Inputs!$G$5:$G$140="acoes"))*Inputs!$B$1+((Inputs!$G$5:$G$140&lt;&gt;"moeda")*(Inputs!$G$5:$G$140&lt;&gt;"acoes")))*INDEX(Inputs!$K$5:$AJ$140,0,MATCH(G$2,Inputs!$K$4:$AJ$4,0)))+SUMPRODUCT((Inputs!$E$5:$E$140=$B5)*Inputs!$F$5:$F$140*(((Inputs!$G$5:$G$140="moeda")+(Inputs!$G$5:$G$140="acoes"))*Inputs!$B$1+((Inputs!$G$5:$G$140&lt;&gt;"moeda")*(Inputs!$G$5:$G$140&lt;&gt;"acoes")))*INDEX(Inputs!$K$5:$AJ$140,0,MATCH(G$2,Inputs!$K$4:$AJ$4,0)))))</f>
        <v>-304.781</v>
      </c>
      <c r="H5" s="3">
        <f>SUM(D5:G5)</f>
        <v>-1093.62373978</v>
      </c>
      <c r="I5" s="6">
        <f>IF(ISNA(MATCH(I$2,Inputs!$K$4:$AJ$4,0)),NA(),IF(SUMPRODUCT((Inputs!$A$5:$A$140=$B5)*ISNUMBER(INDEX(Inputs!$K$5:$AJ$140,0,MATCH(I$2,Inputs!$K$4:$AJ$4,0))))+SUMPRODUCT((Inputs!$C$5:$C$140=$B5)*ISNUMBER(INDEX(Inputs!$K$5:$AJ$140,0,MATCH(I$2,Inputs!$K$4:$AJ$4,0))))+SUMPRODUCT((Inputs!$E$5:$E$140=$B5)*ISNUMBER(INDEX(Inputs!$K$5:$AJ$140,0,MATCH(I$2,Inputs!$K$4:$AJ$4,0))))=0,NA(),SUMPRODUCT((Inputs!$A$5:$A$140=$B5)*Inputs!$B$5:$B$140*(((Inputs!$G$5:$G$140="moeda")+(Inputs!$G$5:$G$140="acoes"))*Inputs!$B$1+((Inputs!$G$5:$G$140&lt;&gt;"moeda")*(Inputs!$G$5:$G$140&lt;&gt;"acoes")))*INDEX(Inputs!$K$5:$AJ$140,0,MATCH(I$2,Inputs!$K$4:$AJ$4,0)))+SUMPRODUCT((Inputs!$C$5:$C$140=$B5)*Inputs!$D$5:$D$140*(((Inputs!$G$5:$G$140="moeda")+(Inputs!$G$5:$G$140="acoes"))*Inputs!$B$1+((Inputs!$G$5:$G$140&lt;&gt;"moeda")*(Inputs!$G$5:$G$140&lt;&gt;"acoes")))*INDEX(Inputs!$K$5:$AJ$140,0,MATCH(I$2,Inputs!$K$4:$AJ$4,0)))+SUMPRODUCT((Inputs!$E$5:$E$140=$B5)*Inputs!$F$5:$F$140*(((Inputs!$G$5:$G$140="moeda")+(Inputs!$G$5:$G$140="acoes"))*Inputs!$B$1+((Inputs!$G$5:$G$140&lt;&gt;"moeda")*(Inputs!$G$5:$G$140&lt;&gt;"acoes")))*INDEX(Inputs!$K$5:$AJ$140,0,MATCH(I$2,Inputs!$K$4:$AJ$4,0)))))</f>
        <v>-281.465</v>
      </c>
      <c r="J5" s="6">
        <f>IF(ISNA(MATCH(J$2,Inputs!$K$4:$AJ$4,0)),NA(),IF(SUMPRODUCT((Inputs!$A$5:$A$140=$B5)*ISNUMBER(INDEX(Inputs!$K$5:$AJ$140,0,MATCH(J$2,Inputs!$K$4:$AJ$4,0))))+SUMPRODUCT((Inputs!$C$5:$C$140=$B5)*ISNUMBER(INDEX(Inputs!$K$5:$AJ$140,0,MATCH(J$2,Inputs!$K$4:$AJ$4,0))))+SUMPRODUCT((Inputs!$E$5:$E$140=$B5)*ISNUMBER(INDEX(Inputs!$K$5:$AJ$140,0,MATCH(J$2,Inputs!$K$4:$AJ$4,0))))=0,NA(),SUMPRODUCT((Inputs!$A$5:$A$140=$B5)*Inputs!$B$5:$B$140*(((Inputs!$G$5:$G$140="moeda")+(Inputs!$G$5:$G$140="acoes"))*Inputs!$B$1+((Inputs!$G$5:$G$140&lt;&gt;"moeda")*(Inputs!$G$5:$G$140&lt;&gt;"acoes")))*INDEX(Inputs!$K$5:$AJ$140,0,MATCH(J$2,Inputs!$K$4:$AJ$4,0)))+SUMPRODUCT((Inputs!$C$5:$C$140=$B5)*Inputs!$D$5:$D$140*(((Inputs!$G$5:$G$140="moeda")+(Inputs!$G$5:$G$140="acoes"))*Inputs!$B$1+((Inputs!$G$5:$G$140&lt;&gt;"moeda")*(Inputs!$G$5:$G$140&lt;&gt;"acoes")))*INDEX(Inputs!$K$5:$AJ$140,0,MATCH(J$2,Inputs!$K$4:$AJ$4,0)))+SUMPRODUCT((Inputs!$E$5:$E$140=$B5)*Inputs!$F$5:$F$140*(((Inputs!$G$5:$G$140="moeda")+(Inputs!$G$5:$G$140="acoes"))*Inputs!$B$1+((Inputs!$G$5:$G$140&lt;&gt;"moeda")*(Inputs!$G$5:$G$140&lt;&gt;"acoes")))*INDEX(Inputs!$K$5:$AJ$140,0,MATCH(J$2,Inputs!$K$4:$AJ$4,0)))))</f>
        <v>-387.286</v>
      </c>
      <c r="K5" s="6">
        <f>IF(ISNA(MATCH(K$2,Inputs!$K$4:$AJ$4,0)),NA(),IF(SUMPRODUCT((Inputs!$A$5:$A$140=$B5)*ISNUMBER(INDEX(Inputs!$K$5:$AJ$140,0,MATCH(K$2,Inputs!$K$4:$AJ$4,0))))+SUMPRODUCT((Inputs!$C$5:$C$140=$B5)*ISNUMBER(INDEX(Inputs!$K$5:$AJ$140,0,MATCH(K$2,Inputs!$K$4:$AJ$4,0))))+SUMPRODUCT((Inputs!$E$5:$E$140=$B5)*ISNUMBER(INDEX(Inputs!$K$5:$AJ$140,0,MATCH(K$2,Inputs!$K$4:$AJ$4,0))))=0,NA(),SUMPRODUCT((Inputs!$A$5:$A$140=$B5)*Inputs!$B$5:$B$140*(((Inputs!$G$5:$G$140="moeda")+(Inputs!$G$5:$G$140="acoes"))*Inputs!$B$1+((Inputs!$G$5:$G$140&lt;&gt;"moeda")*(Inputs!$G$5:$G$140&lt;&gt;"acoes")))*INDEX(Inputs!$K$5:$AJ$140,0,MATCH(K$2,Inputs!$K$4:$AJ$4,0)))+SUMPRODUCT((Inputs!$C$5:$C$140=$B5)*Inputs!$D$5:$D$140*(((Inputs!$G$5:$G$140="moeda")+(Inputs!$G$5:$G$140="acoes"))*Inputs!$B$1+((Inputs!$G$5:$G$140&lt;&gt;"moeda")*(Inputs!$G$5:$G$140&lt;&gt;"acoes")))*INDEX(Inputs!$K$5:$AJ$140,0,MATCH(K$2,Inputs!$K$4:$AJ$4,0)))+SUMPRODUCT((Inputs!$E$5:$E$140=$B5)*Inputs!$F$5:$F$140*(((Inputs!$G$5:$G$140="moeda")+(Inputs!$G$5:$G$140="acoes"))*Inputs!$B$1+((Inputs!$G$5:$G$140&lt;&gt;"moeda")*(Inputs!$G$5:$G$140&lt;&gt;"acoes")))*INDEX(Inputs!$K$5:$AJ$140,0,MATCH(K$2,Inputs!$K$4:$AJ$4,0)))))</f>
        <v>-392.916</v>
      </c>
      <c r="L5" s="6">
        <f>IF(ISNA(MATCH(L$2,Inputs!$K$4:$AJ$4,0)),NA(),IF(SUMPRODUCT((Inputs!$A$5:$A$140=$B5)*ISNUMBER(INDEX(Inputs!$K$5:$AJ$140,0,MATCH(L$2,Inputs!$K$4:$AJ$4,0))))+SUMPRODUCT((Inputs!$C$5:$C$140=$B5)*ISNUMBER(INDEX(Inputs!$K$5:$AJ$140,0,MATCH(L$2,Inputs!$K$4:$AJ$4,0))))+SUMPRODUCT((Inputs!$E$5:$E$140=$B5)*ISNUMBER(INDEX(Inputs!$K$5:$AJ$140,0,MATCH(L$2,Inputs!$K$4:$AJ$4,0))))=0,NA(),SUMPRODUCT((Inputs!$A$5:$A$140=$B5)*Inputs!$B$5:$B$140*(((Inputs!$G$5:$G$140="moeda")+(Inputs!$G$5:$G$140="acoes"))*Inputs!$B$1+((Inputs!$G$5:$G$140&lt;&gt;"moeda")*(Inputs!$G$5:$G$140&lt;&gt;"acoes")))*INDEX(Inputs!$K$5:$AJ$140,0,MATCH(L$2,Inputs!$K$4:$AJ$4,0)))+SUMPRODUCT((Inputs!$C$5:$C$140=$B5)*Inputs!$D$5:$D$140*(((Inputs!$G$5:$G$140="moeda")+(Inputs!$G$5:$G$140="acoes"))*Inputs!$B$1+((Inputs!$G$5:$G$140&lt;&gt;"moeda")*(Inputs!$G$5:$G$140&lt;&gt;"acoes")))*INDEX(Inputs!$K$5:$AJ$140,0,MATCH(L$2,Inputs!$K$4:$AJ$4,0)))+SUMPRODUCT((Inputs!$E$5:$E$140=$B5)*Inputs!$F$5:$F$140*(((Inputs!$G$5:$G$140="moeda")+(Inputs!$G$5:$G$140="acoes"))*Inputs!$B$1+((Inputs!$G$5:$G$140&lt;&gt;"moeda")*(Inputs!$G$5:$G$140&lt;&gt;"acoes")))*INDEX(Inputs!$K$5:$AJ$140,0,MATCH(L$2,Inputs!$K$4:$AJ$4,0)))))</f>
        <v>-358.735</v>
      </c>
      <c r="M5" s="3">
        <f>SUM(I5:L5)</f>
        <v>-1420.402</v>
      </c>
      <c r="N5" s="6">
        <f>IF(ISNA(MATCH(N$2,Inputs!$K$4:$AJ$4,0)),NA(),IF(SUMPRODUCT((Inputs!$A$5:$A$140=$B5)*ISNUMBER(INDEX(Inputs!$K$5:$AJ$140,0,MATCH(N$2,Inputs!$K$4:$AJ$4,0))))+SUMPRODUCT((Inputs!$C$5:$C$140=$B5)*ISNUMBER(INDEX(Inputs!$K$5:$AJ$140,0,MATCH(N$2,Inputs!$K$4:$AJ$4,0))))+SUMPRODUCT((Inputs!$E$5:$E$140=$B5)*ISNUMBER(INDEX(Inputs!$K$5:$AJ$140,0,MATCH(N$2,Inputs!$K$4:$AJ$4,0))))=0,NA(),SUMPRODUCT((Inputs!$A$5:$A$140=$B5)*Inputs!$B$5:$B$140*(((Inputs!$G$5:$G$140="moeda")+(Inputs!$G$5:$G$140="acoes"))*Inputs!$B$1+((Inputs!$G$5:$G$140&lt;&gt;"moeda")*(Inputs!$G$5:$G$140&lt;&gt;"acoes")))*INDEX(Inputs!$K$5:$AJ$140,0,MATCH(N$2,Inputs!$K$4:$AJ$4,0)))+SUMPRODUCT((Inputs!$C$5:$C$140=$B5)*Inputs!$D$5:$D$140*(((Inputs!$G$5:$G$140="moeda")+(Inputs!$G$5:$G$140="acoes"))*Inputs!$B$1+((Inputs!$G$5:$G$140&lt;&gt;"moeda")*(Inputs!$G$5:$G$140&lt;&gt;"acoes")))*INDEX(Inputs!$K$5:$AJ$140,0,MATCH(N$2,Inputs!$K$4:$AJ$4,0)))+SUMPRODUCT((Inputs!$E$5:$E$140=$B5)*Inputs!$F$5:$F$140*(((Inputs!$G$5:$G$140="moeda")+(Inputs!$G$5:$G$140="acoes"))*Inputs!$B$1+((Inputs!$G$5:$G$140&lt;&gt;"moeda")*(Inputs!$G$5:$G$140&lt;&gt;"acoes")))*INDEX(Inputs!$K$5:$AJ$140,0,MATCH(N$2,Inputs!$K$4:$AJ$4,0)))))</f>
        <v>-371.794</v>
      </c>
      <c r="O5" s="6">
        <f>IF(ISNA(MATCH(O$2,Inputs!$K$4:$AJ$4,0)),NA(),IF(SUMPRODUCT((Inputs!$A$5:$A$140=$B5)*ISNUMBER(INDEX(Inputs!$K$5:$AJ$140,0,MATCH(O$2,Inputs!$K$4:$AJ$4,0))))+SUMPRODUCT((Inputs!$C$5:$C$140=$B5)*ISNUMBER(INDEX(Inputs!$K$5:$AJ$140,0,MATCH(O$2,Inputs!$K$4:$AJ$4,0))))+SUMPRODUCT((Inputs!$E$5:$E$140=$B5)*ISNUMBER(INDEX(Inputs!$K$5:$AJ$140,0,MATCH(O$2,Inputs!$K$4:$AJ$4,0))))=0,NA(),SUMPRODUCT((Inputs!$A$5:$A$140=$B5)*Inputs!$B$5:$B$140*(((Inputs!$G$5:$G$140="moeda")+(Inputs!$G$5:$G$140="acoes"))*Inputs!$B$1+((Inputs!$G$5:$G$140&lt;&gt;"moeda")*(Inputs!$G$5:$G$140&lt;&gt;"acoes")))*INDEX(Inputs!$K$5:$AJ$140,0,MATCH(O$2,Inputs!$K$4:$AJ$4,0)))+SUMPRODUCT((Inputs!$C$5:$C$140=$B5)*Inputs!$D$5:$D$140*(((Inputs!$G$5:$G$140="moeda")+(Inputs!$G$5:$G$140="acoes"))*Inputs!$B$1+((Inputs!$G$5:$G$140&lt;&gt;"moeda")*(Inputs!$G$5:$G$140&lt;&gt;"acoes")))*INDEX(Inputs!$K$5:$AJ$140,0,MATCH(O$2,Inputs!$K$4:$AJ$4,0)))+SUMPRODUCT((Inputs!$E$5:$E$140=$B5)*Inputs!$F$5:$F$140*(((Inputs!$G$5:$G$140="moeda")+(Inputs!$G$5:$G$140="acoes"))*Inputs!$B$1+((Inputs!$G$5:$G$140&lt;&gt;"moeda")*(Inputs!$G$5:$G$140&lt;&gt;"acoes")))*INDEX(Inputs!$K$5:$AJ$140,0,MATCH(O$2,Inputs!$K$4:$AJ$4,0)))))</f>
        <v>-453.192</v>
      </c>
      <c r="P5" s="6">
        <f>IF(ISNA(MATCH(P$2,Inputs!$K$4:$AJ$4,0)),NA(),IF(SUMPRODUCT((Inputs!$A$5:$A$140=$B5)*ISNUMBER(INDEX(Inputs!$K$5:$AJ$140,0,MATCH(P$2,Inputs!$K$4:$AJ$4,0))))+SUMPRODUCT((Inputs!$C$5:$C$140=$B5)*ISNUMBER(INDEX(Inputs!$K$5:$AJ$140,0,MATCH(P$2,Inputs!$K$4:$AJ$4,0))))+SUMPRODUCT((Inputs!$E$5:$E$140=$B5)*ISNUMBER(INDEX(Inputs!$K$5:$AJ$140,0,MATCH(P$2,Inputs!$K$4:$AJ$4,0))))=0,NA(),SUMPRODUCT((Inputs!$A$5:$A$140=$B5)*Inputs!$B$5:$B$140*(((Inputs!$G$5:$G$140="moeda")+(Inputs!$G$5:$G$140="acoes"))*Inputs!$B$1+((Inputs!$G$5:$G$140&lt;&gt;"moeda")*(Inputs!$G$5:$G$140&lt;&gt;"acoes")))*INDEX(Inputs!$K$5:$AJ$140,0,MATCH(P$2,Inputs!$K$4:$AJ$4,0)))+SUMPRODUCT((Inputs!$C$5:$C$140=$B5)*Inputs!$D$5:$D$140*(((Inputs!$G$5:$G$140="moeda")+(Inputs!$G$5:$G$140="acoes"))*Inputs!$B$1+((Inputs!$G$5:$G$140&lt;&gt;"moeda")*(Inputs!$G$5:$G$140&lt;&gt;"acoes")))*INDEX(Inputs!$K$5:$AJ$140,0,MATCH(P$2,Inputs!$K$4:$AJ$4,0)))+SUMPRODUCT((Inputs!$E$5:$E$140=$B5)*Inputs!$F$5:$F$140*(((Inputs!$G$5:$G$140="moeda")+(Inputs!$G$5:$G$140="acoes"))*Inputs!$B$1+((Inputs!$G$5:$G$140&lt;&gt;"moeda")*(Inputs!$G$5:$G$140&lt;&gt;"acoes")))*INDEX(Inputs!$K$5:$AJ$140,0,MATCH(P$2,Inputs!$K$4:$AJ$4,0)))))</f>
        <v>-467.971</v>
      </c>
      <c r="Q5" s="6">
        <f>IF(ISNA(MATCH(Q$2,Inputs!$K$4:$AJ$4,0)),NA(),IF(SUMPRODUCT((Inputs!$A$5:$A$140=$B5)*ISNUMBER(INDEX(Inputs!$K$5:$AJ$140,0,MATCH(Q$2,Inputs!$K$4:$AJ$4,0))))+SUMPRODUCT((Inputs!$C$5:$C$140=$B5)*ISNUMBER(INDEX(Inputs!$K$5:$AJ$140,0,MATCH(Q$2,Inputs!$K$4:$AJ$4,0))))+SUMPRODUCT((Inputs!$E$5:$E$140=$B5)*ISNUMBER(INDEX(Inputs!$K$5:$AJ$140,0,MATCH(Q$2,Inputs!$K$4:$AJ$4,0))))=0,NA(),SUMPRODUCT((Inputs!$A$5:$A$140=$B5)*Inputs!$B$5:$B$140*(((Inputs!$G$5:$G$140="moeda")+(Inputs!$G$5:$G$140="acoes"))*Inputs!$B$1+((Inputs!$G$5:$G$140&lt;&gt;"moeda")*(Inputs!$G$5:$G$140&lt;&gt;"acoes")))*INDEX(Inputs!$K$5:$AJ$140,0,MATCH(Q$2,Inputs!$K$4:$AJ$4,0)))+SUMPRODUCT((Inputs!$C$5:$C$140=$B5)*Inputs!$D$5:$D$140*(((Inputs!$G$5:$G$140="moeda")+(Inputs!$G$5:$G$140="acoes"))*Inputs!$B$1+((Inputs!$G$5:$G$140&lt;&gt;"moeda")*(Inputs!$G$5:$G$140&lt;&gt;"acoes")))*INDEX(Inputs!$K$5:$AJ$140,0,MATCH(Q$2,Inputs!$K$4:$AJ$4,0)))+SUMPRODUCT((Inputs!$E$5:$E$140=$B5)*Inputs!$F$5:$F$140*(((Inputs!$G$5:$G$140="moeda")+(Inputs!$G$5:$G$140="acoes"))*Inputs!$B$1+((Inputs!$G$5:$G$140&lt;&gt;"moeda")*(Inputs!$G$5:$G$140&lt;&gt;"acoes")))*INDEX(Inputs!$K$5:$AJ$140,0,MATCH(Q$2,Inputs!$K$4:$AJ$4,0)))))</f>
        <v>-497.862</v>
      </c>
      <c r="R5" s="3">
        <f>SUM(N5:Q5)</f>
        <v>-1790.819</v>
      </c>
      <c r="S5" s="6">
        <f>IF(ISNA(MATCH(S$2,Inputs!$K$4:$AJ$4,0)),NA(),IF(SUMPRODUCT((Inputs!$A$5:$A$140=$B5)*ISNUMBER(INDEX(Inputs!$K$5:$AJ$140,0,MATCH(S$2,Inputs!$K$4:$AJ$4,0))))+SUMPRODUCT((Inputs!$C$5:$C$140=$B5)*ISNUMBER(INDEX(Inputs!$K$5:$AJ$140,0,MATCH(S$2,Inputs!$K$4:$AJ$4,0))))+SUMPRODUCT((Inputs!$E$5:$E$140=$B5)*ISNUMBER(INDEX(Inputs!$K$5:$AJ$140,0,MATCH(S$2,Inputs!$K$4:$AJ$4,0))))=0,NA(),SUMPRODUCT((Inputs!$A$5:$A$140=$B5)*Inputs!$B$5:$B$140*(((Inputs!$G$5:$G$140="moeda")+(Inputs!$G$5:$G$140="acoes"))*Inputs!$B$1+((Inputs!$G$5:$G$140&lt;&gt;"moeda")*(Inputs!$G$5:$G$140&lt;&gt;"acoes")))*INDEX(Inputs!$K$5:$AJ$140,0,MATCH(S$2,Inputs!$K$4:$AJ$4,0)))+SUMPRODUCT((Inputs!$C$5:$C$140=$B5)*Inputs!$D$5:$D$140*(((Inputs!$G$5:$G$140="moeda")+(Inputs!$G$5:$G$140="acoes"))*Inputs!$B$1+((Inputs!$G$5:$G$140&lt;&gt;"moeda")*(Inputs!$G$5:$G$140&lt;&gt;"acoes")))*INDEX(Inputs!$K$5:$AJ$140,0,MATCH(S$2,Inputs!$K$4:$AJ$4,0)))+SUMPRODUCT((Inputs!$E$5:$E$140=$B5)*Inputs!$F$5:$F$140*(((Inputs!$G$5:$G$140="moeda")+(Inputs!$G$5:$G$140="acoes"))*Inputs!$B$1+((Inputs!$G$5:$G$140&lt;&gt;"moeda")*(Inputs!$G$5:$G$140&lt;&gt;"acoes")))*INDEX(Inputs!$K$5:$AJ$140,0,MATCH(S$2,Inputs!$K$4:$AJ$4,0)))))</f>
        <v>-520.773</v>
      </c>
      <c r="T5" s="6">
        <f>IF(ISNA(MATCH(T$2,Inputs!$K$4:$AJ$4,0)),NA(),IF(SUMPRODUCT((Inputs!$A$5:$A$140=$B5)*ISNUMBER(INDEX(Inputs!$K$5:$AJ$140,0,MATCH(T$2,Inputs!$K$4:$AJ$4,0))))+SUMPRODUCT((Inputs!$C$5:$C$140=$B5)*ISNUMBER(INDEX(Inputs!$K$5:$AJ$140,0,MATCH(T$2,Inputs!$K$4:$AJ$4,0))))+SUMPRODUCT((Inputs!$E$5:$E$140=$B5)*ISNUMBER(INDEX(Inputs!$K$5:$AJ$140,0,MATCH(T$2,Inputs!$K$4:$AJ$4,0))))=0,NA(),SUMPRODUCT((Inputs!$A$5:$A$140=$B5)*Inputs!$B$5:$B$140*(((Inputs!$G$5:$G$140="moeda")+(Inputs!$G$5:$G$140="acoes"))*Inputs!$B$1+((Inputs!$G$5:$G$140&lt;&gt;"moeda")*(Inputs!$G$5:$G$140&lt;&gt;"acoes")))*INDEX(Inputs!$K$5:$AJ$140,0,MATCH(T$2,Inputs!$K$4:$AJ$4,0)))+SUMPRODUCT((Inputs!$C$5:$C$140=$B5)*Inputs!$D$5:$D$140*(((Inputs!$G$5:$G$140="moeda")+(Inputs!$G$5:$G$140="acoes"))*Inputs!$B$1+((Inputs!$G$5:$G$140&lt;&gt;"moeda")*(Inputs!$G$5:$G$140&lt;&gt;"acoes")))*INDEX(Inputs!$K$5:$AJ$140,0,MATCH(T$2,Inputs!$K$4:$AJ$4,0)))+SUMPRODUCT((Inputs!$E$5:$E$140=$B5)*Inputs!$F$5:$F$140*(((Inputs!$G$5:$G$140="moeda")+(Inputs!$G$5:$G$140="acoes"))*Inputs!$B$1+((Inputs!$G$5:$G$140&lt;&gt;"moeda")*(Inputs!$G$5:$G$140&lt;&gt;"acoes")))*INDEX(Inputs!$K$5:$AJ$140,0,MATCH(T$2,Inputs!$K$4:$AJ$4,0)))))</f>
        <v>-615.554</v>
      </c>
      <c r="U5" s="6">
        <f>IF(ISNA(MATCH(U$2,Inputs!$K$4:$AJ$4,0)),NA(),IF(SUMPRODUCT((Inputs!$A$5:$A$140=$B5)*ISNUMBER(INDEX(Inputs!$K$5:$AJ$140,0,MATCH(U$2,Inputs!$K$4:$AJ$4,0))))+SUMPRODUCT((Inputs!$C$5:$C$140=$B5)*ISNUMBER(INDEX(Inputs!$K$5:$AJ$140,0,MATCH(U$2,Inputs!$K$4:$AJ$4,0))))+SUMPRODUCT((Inputs!$E$5:$E$140=$B5)*ISNUMBER(INDEX(Inputs!$K$5:$AJ$140,0,MATCH(U$2,Inputs!$K$4:$AJ$4,0))))=0,NA(),SUMPRODUCT((Inputs!$A$5:$A$140=$B5)*Inputs!$B$5:$B$140*(((Inputs!$G$5:$G$140="moeda")+(Inputs!$G$5:$G$140="acoes"))*Inputs!$B$1+((Inputs!$G$5:$G$140&lt;&gt;"moeda")*(Inputs!$G$5:$G$140&lt;&gt;"acoes")))*INDEX(Inputs!$K$5:$AJ$140,0,MATCH(U$2,Inputs!$K$4:$AJ$4,0)))+SUMPRODUCT((Inputs!$C$5:$C$140=$B5)*Inputs!$D$5:$D$140*(((Inputs!$G$5:$G$140="moeda")+(Inputs!$G$5:$G$140="acoes"))*Inputs!$B$1+((Inputs!$G$5:$G$140&lt;&gt;"moeda")*(Inputs!$G$5:$G$140&lt;&gt;"acoes")))*INDEX(Inputs!$K$5:$AJ$140,0,MATCH(U$2,Inputs!$K$4:$AJ$4,0)))+SUMPRODUCT((Inputs!$E$5:$E$140=$B5)*Inputs!$F$5:$F$140*(((Inputs!$G$5:$G$140="moeda")+(Inputs!$G$5:$G$140="acoes"))*Inputs!$B$1+((Inputs!$G$5:$G$140&lt;&gt;"moeda")*(Inputs!$G$5:$G$140&lt;&gt;"acoes")))*INDEX(Inputs!$K$5:$AJ$140,0,MATCH(U$2,Inputs!$K$4:$AJ$4,0)))))</f>
        <v>-646.426</v>
      </c>
      <c r="V5" s="6">
        <f>IF(ISNA(MATCH(V$2,Inputs!$K$4:$AJ$4,0)),NA(),IF(SUMPRODUCT((Inputs!$A$5:$A$140=$B5)*ISNUMBER(INDEX(Inputs!$K$5:$AJ$140,0,MATCH(V$2,Inputs!$K$4:$AJ$4,0))))+SUMPRODUCT((Inputs!$C$5:$C$140=$B5)*ISNUMBER(INDEX(Inputs!$K$5:$AJ$140,0,MATCH(V$2,Inputs!$K$4:$AJ$4,0))))+SUMPRODUCT((Inputs!$E$5:$E$140=$B5)*ISNUMBER(INDEX(Inputs!$K$5:$AJ$140,0,MATCH(V$2,Inputs!$K$4:$AJ$4,0))))=0,NA(),SUMPRODUCT((Inputs!$A$5:$A$140=$B5)*Inputs!$B$5:$B$140*(((Inputs!$G$5:$G$140="moeda")+(Inputs!$G$5:$G$140="acoes"))*Inputs!$B$1+((Inputs!$G$5:$G$140&lt;&gt;"moeda")*(Inputs!$G$5:$G$140&lt;&gt;"acoes")))*INDEX(Inputs!$K$5:$AJ$140,0,MATCH(V$2,Inputs!$K$4:$AJ$4,0)))+SUMPRODUCT((Inputs!$C$5:$C$140=$B5)*Inputs!$D$5:$D$140*(((Inputs!$G$5:$G$140="moeda")+(Inputs!$G$5:$G$140="acoes"))*Inputs!$B$1+((Inputs!$G$5:$G$140&lt;&gt;"moeda")*(Inputs!$G$5:$G$140&lt;&gt;"acoes")))*INDEX(Inputs!$K$5:$AJ$140,0,MATCH(V$2,Inputs!$K$4:$AJ$4,0)))+SUMPRODUCT((Inputs!$E$5:$E$140=$B5)*Inputs!$F$5:$F$140*(((Inputs!$G$5:$G$140="moeda")+(Inputs!$G$5:$G$140="acoes"))*Inputs!$B$1+((Inputs!$G$5:$G$140&lt;&gt;"moeda")*(Inputs!$G$5:$G$140&lt;&gt;"acoes")))*INDEX(Inputs!$K$5:$AJ$140,0,MATCH(V$2,Inputs!$K$4:$AJ$4,0)))))</f>
        <v>-630.617</v>
      </c>
      <c r="W5" s="3">
        <f>SUM(S5:V5)</f>
        <v>-2413.37</v>
      </c>
      <c r="X5" s="6">
        <f>IF(ISNA(MATCH(X$2,Inputs!$K$4:$AJ$4,0)),NA(),IF(SUMPRODUCT((Inputs!$A$5:$A$140=$B5)*ISNUMBER(INDEX(Inputs!$K$5:$AJ$140,0,MATCH(X$2,Inputs!$K$4:$AJ$4,0))))+SUMPRODUCT((Inputs!$C$5:$C$140=$B5)*ISNUMBER(INDEX(Inputs!$K$5:$AJ$140,0,MATCH(X$2,Inputs!$K$4:$AJ$4,0))))+SUMPRODUCT((Inputs!$E$5:$E$140=$B5)*ISNUMBER(INDEX(Inputs!$K$5:$AJ$140,0,MATCH(X$2,Inputs!$K$4:$AJ$4,0))))=0,NA(),SUMPRODUCT((Inputs!$A$5:$A$140=$B5)*Inputs!$B$5:$B$140*(((Inputs!$G$5:$G$140="moeda")+(Inputs!$G$5:$G$140="acoes"))*Inputs!$B$1+((Inputs!$G$5:$G$140&lt;&gt;"moeda")*(Inputs!$G$5:$G$140&lt;&gt;"acoes")))*INDEX(Inputs!$K$5:$AJ$140,0,MATCH(X$2,Inputs!$K$4:$AJ$4,0)))+SUMPRODUCT((Inputs!$C$5:$C$140=$B5)*Inputs!$D$5:$D$140*(((Inputs!$G$5:$G$140="moeda")+(Inputs!$G$5:$G$140="acoes"))*Inputs!$B$1+((Inputs!$G$5:$G$140&lt;&gt;"moeda")*(Inputs!$G$5:$G$140&lt;&gt;"acoes")))*INDEX(Inputs!$K$5:$AJ$140,0,MATCH(X$2,Inputs!$K$4:$AJ$4,0)))+SUMPRODUCT((Inputs!$E$5:$E$140=$B5)*Inputs!$F$5:$F$140*(((Inputs!$G$5:$G$140="moeda")+(Inputs!$G$5:$G$140="acoes"))*Inputs!$B$1+((Inputs!$G$5:$G$140&lt;&gt;"moeda")*(Inputs!$G$5:$G$140&lt;&gt;"acoes")))*INDEX(Inputs!$K$5:$AJ$140,0,MATCH(X$2,Inputs!$K$4:$AJ$4,0)))))</f>
        <v>-741.296</v>
      </c>
      <c r="Y5" s="6">
        <f>IF(ISNA(MATCH(Y$2,Inputs!$K$4:$AJ$4,0)),NA(),IF(SUMPRODUCT((Inputs!$A$5:$A$140=$B5)*ISNUMBER(INDEX(Inputs!$K$5:$AJ$140,0,MATCH(Y$2,Inputs!$K$4:$AJ$4,0))))+SUMPRODUCT((Inputs!$C$5:$C$140=$B5)*ISNUMBER(INDEX(Inputs!$K$5:$AJ$140,0,MATCH(Y$2,Inputs!$K$4:$AJ$4,0))))+SUMPRODUCT((Inputs!$E$5:$E$140=$B5)*ISNUMBER(INDEX(Inputs!$K$5:$AJ$140,0,MATCH(Y$2,Inputs!$K$4:$AJ$4,0))))=0,NA(),SUMPRODUCT((Inputs!$A$5:$A$140=$B5)*Inputs!$B$5:$B$140*(((Inputs!$G$5:$G$140="moeda")+(Inputs!$G$5:$G$140="acoes"))*Inputs!$B$1+((Inputs!$G$5:$G$140&lt;&gt;"moeda")*(Inputs!$G$5:$G$140&lt;&gt;"acoes")))*INDEX(Inputs!$K$5:$AJ$140,0,MATCH(Y$2,Inputs!$K$4:$AJ$4,0)))+SUMPRODUCT((Inputs!$C$5:$C$140=$B5)*Inputs!$D$5:$D$140*(((Inputs!$G$5:$G$140="moeda")+(Inputs!$G$5:$G$140="acoes"))*Inputs!$B$1+((Inputs!$G$5:$G$140&lt;&gt;"moeda")*(Inputs!$G$5:$G$140&lt;&gt;"acoes")))*INDEX(Inputs!$K$5:$AJ$140,0,MATCH(Y$2,Inputs!$K$4:$AJ$4,0)))+SUMPRODUCT((Inputs!$E$5:$E$140=$B5)*Inputs!$F$5:$F$140*(((Inputs!$G$5:$G$140="moeda")+(Inputs!$G$5:$G$140="acoes"))*Inputs!$B$1+((Inputs!$G$5:$G$140&lt;&gt;"moeda")*(Inputs!$G$5:$G$140&lt;&gt;"acoes")))*INDEX(Inputs!$K$5:$AJ$140,0,MATCH(Y$2,Inputs!$K$4:$AJ$4,0)))))</f>
        <v>-813.823</v>
      </c>
      <c r="Z5" s="6">
        <f>IF(ISNA(MATCH(Z$2,Inputs!$K$4:$AJ$4,0)),NA(),IF(SUMPRODUCT((Inputs!$A$5:$A$140=$B5)*ISNUMBER(INDEX(Inputs!$K$5:$AJ$140,0,MATCH(Z$2,Inputs!$K$4:$AJ$4,0))))+SUMPRODUCT((Inputs!$C$5:$C$140=$B5)*ISNUMBER(INDEX(Inputs!$K$5:$AJ$140,0,MATCH(Z$2,Inputs!$K$4:$AJ$4,0))))+SUMPRODUCT((Inputs!$E$5:$E$140=$B5)*ISNUMBER(INDEX(Inputs!$K$5:$AJ$140,0,MATCH(Z$2,Inputs!$K$4:$AJ$4,0))))=0,NA(),SUMPRODUCT((Inputs!$A$5:$A$140=$B5)*Inputs!$B$5:$B$140*(((Inputs!$G$5:$G$140="moeda")+(Inputs!$G$5:$G$140="acoes"))*Inputs!$B$1+((Inputs!$G$5:$G$140&lt;&gt;"moeda")*(Inputs!$G$5:$G$140&lt;&gt;"acoes")))*INDEX(Inputs!$K$5:$AJ$140,0,MATCH(Z$2,Inputs!$K$4:$AJ$4,0)))+SUMPRODUCT((Inputs!$C$5:$C$140=$B5)*Inputs!$D$5:$D$140*(((Inputs!$G$5:$G$140="moeda")+(Inputs!$G$5:$G$140="acoes"))*Inputs!$B$1+((Inputs!$G$5:$G$140&lt;&gt;"moeda")*(Inputs!$G$5:$G$140&lt;&gt;"acoes")))*INDEX(Inputs!$K$5:$AJ$140,0,MATCH(Z$2,Inputs!$K$4:$AJ$4,0)))+SUMPRODUCT((Inputs!$E$5:$E$140=$B5)*Inputs!$F$5:$F$140*(((Inputs!$G$5:$G$140="moeda")+(Inputs!$G$5:$G$140="acoes"))*Inputs!$B$1+((Inputs!$G$5:$G$140&lt;&gt;"moeda")*(Inputs!$G$5:$G$140&lt;&gt;"acoes")))*INDEX(Inputs!$K$5:$AJ$140,0,MATCH(Z$2,Inputs!$K$4:$AJ$4,0)))))</f>
        <v>-850.699</v>
      </c>
      <c r="AA5" s="6">
        <f>IF(ISNA(MATCH(AA$2,Inputs!$K$4:$AJ$4,0)),NA(),IF(SUMPRODUCT((Inputs!$A$5:$A$140=$B5)*ISNUMBER(INDEX(Inputs!$K$5:$AJ$140,0,MATCH(AA$2,Inputs!$K$4:$AJ$4,0))))+SUMPRODUCT((Inputs!$C$5:$C$140=$B5)*ISNUMBER(INDEX(Inputs!$K$5:$AJ$140,0,MATCH(AA$2,Inputs!$K$4:$AJ$4,0))))+SUMPRODUCT((Inputs!$E$5:$E$140=$B5)*ISNUMBER(INDEX(Inputs!$K$5:$AJ$140,0,MATCH(AA$2,Inputs!$K$4:$AJ$4,0))))=0,NA(),SUMPRODUCT((Inputs!$A$5:$A$140=$B5)*Inputs!$B$5:$B$140*(((Inputs!$G$5:$G$140="moeda")+(Inputs!$G$5:$G$140="acoes"))*Inputs!$B$1+((Inputs!$G$5:$G$140&lt;&gt;"moeda")*(Inputs!$G$5:$G$140&lt;&gt;"acoes")))*INDEX(Inputs!$K$5:$AJ$140,0,MATCH(AA$2,Inputs!$K$4:$AJ$4,0)))+SUMPRODUCT((Inputs!$C$5:$C$140=$B5)*Inputs!$D$5:$D$140*(((Inputs!$G$5:$G$140="moeda")+(Inputs!$G$5:$G$140="acoes"))*Inputs!$B$1+((Inputs!$G$5:$G$140&lt;&gt;"moeda")*(Inputs!$G$5:$G$140&lt;&gt;"acoes")))*INDEX(Inputs!$K$5:$AJ$140,0,MATCH(AA$2,Inputs!$K$4:$AJ$4,0)))+SUMPRODUCT((Inputs!$E$5:$E$140=$B5)*Inputs!$F$5:$F$140*(((Inputs!$G$5:$G$140="moeda")+(Inputs!$G$5:$G$140="acoes"))*Inputs!$B$1+((Inputs!$G$5:$G$140&lt;&gt;"moeda")*(Inputs!$G$5:$G$140&lt;&gt;"acoes")))*INDEX(Inputs!$K$5:$AJ$140,0,MATCH(AA$2,Inputs!$K$4:$AJ$4,0)))))</f>
        <v>-847.019</v>
      </c>
      <c r="AB5" s="3">
        <f>SUM(X5:AA5)</f>
        <v>-3252.837</v>
      </c>
      <c r="AC5" s="6">
        <f>IF(ISNA(MATCH(AC$2,Inputs!$K$4:$AJ$4,0)),NA(),IF(SUMPRODUCT((Inputs!$A$5:$A$140=$B5)*ISNUMBER(INDEX(Inputs!$K$5:$AJ$140,0,MATCH(AC$2,Inputs!$K$4:$AJ$4,0))))+SUMPRODUCT((Inputs!$C$5:$C$140=$B5)*ISNUMBER(INDEX(Inputs!$K$5:$AJ$140,0,MATCH(AC$2,Inputs!$K$4:$AJ$4,0))))+SUMPRODUCT((Inputs!$E$5:$E$140=$B5)*ISNUMBER(INDEX(Inputs!$K$5:$AJ$140,0,MATCH(AC$2,Inputs!$K$4:$AJ$4,0))))=0,NA(),SUMPRODUCT((Inputs!$A$5:$A$140=$B5)*Inputs!$B$5:$B$140*(((Inputs!$G$5:$G$140="moeda")+(Inputs!$G$5:$G$140="acoes"))*Inputs!$B$1+((Inputs!$G$5:$G$140&lt;&gt;"moeda")*(Inputs!$G$5:$G$140&lt;&gt;"acoes")))*INDEX(Inputs!$K$5:$AJ$140,0,MATCH(AC$2,Inputs!$K$4:$AJ$4,0)))+SUMPRODUCT((Inputs!$C$5:$C$140=$B5)*Inputs!$D$5:$D$140*(((Inputs!$G$5:$G$140="moeda")+(Inputs!$G$5:$G$140="acoes"))*Inputs!$B$1+((Inputs!$G$5:$G$140&lt;&gt;"moeda")*(Inputs!$G$5:$G$140&lt;&gt;"acoes")))*INDEX(Inputs!$K$5:$AJ$140,0,MATCH(AC$2,Inputs!$K$4:$AJ$4,0)))+SUMPRODUCT((Inputs!$E$5:$E$140=$B5)*Inputs!$F$5:$F$140*(((Inputs!$G$5:$G$140="moeda")+(Inputs!$G$5:$G$140="acoes"))*Inputs!$B$1+((Inputs!$G$5:$G$140&lt;&gt;"moeda")*(Inputs!$G$5:$G$140&lt;&gt;"acoes")))*INDEX(Inputs!$K$5:$AJ$140,0,MATCH(AC$2,Inputs!$K$4:$AJ$4,0)))))</f>
        <v>-982.915</v>
      </c>
      <c r="AD5" s="6">
        <f>IF(ISNA(MATCH(AD$2,Inputs!$K$4:$AJ$4,0)),NA(),IF(SUMPRODUCT((Inputs!$A$5:$A$140=$B5)*ISNUMBER(INDEX(Inputs!$K$5:$AJ$140,0,MATCH(AD$2,Inputs!$K$4:$AJ$4,0))))+SUMPRODUCT((Inputs!$C$5:$C$140=$B5)*ISNUMBER(INDEX(Inputs!$K$5:$AJ$140,0,MATCH(AD$2,Inputs!$K$4:$AJ$4,0))))+SUMPRODUCT((Inputs!$E$5:$E$140=$B5)*ISNUMBER(INDEX(Inputs!$K$5:$AJ$140,0,MATCH(AD$2,Inputs!$K$4:$AJ$4,0))))=0,NA(),SUMPRODUCT((Inputs!$A$5:$A$140=$B5)*Inputs!$B$5:$B$140*(((Inputs!$G$5:$G$140="moeda")+(Inputs!$G$5:$G$140="acoes"))*Inputs!$B$1+((Inputs!$G$5:$G$140&lt;&gt;"moeda")*(Inputs!$G$5:$G$140&lt;&gt;"acoes")))*INDEX(Inputs!$K$5:$AJ$140,0,MATCH(AD$2,Inputs!$K$4:$AJ$4,0)))+SUMPRODUCT((Inputs!$C$5:$C$140=$B5)*Inputs!$D$5:$D$140*(((Inputs!$G$5:$G$140="moeda")+(Inputs!$G$5:$G$140="acoes"))*Inputs!$B$1+((Inputs!$G$5:$G$140&lt;&gt;"moeda")*(Inputs!$G$5:$G$140&lt;&gt;"acoes")))*INDEX(Inputs!$K$5:$AJ$140,0,MATCH(AD$2,Inputs!$K$4:$AJ$4,0)))+SUMPRODUCT((Inputs!$E$5:$E$140=$B5)*Inputs!$F$5:$F$140*(((Inputs!$G$5:$G$140="moeda")+(Inputs!$G$5:$G$140="acoes"))*Inputs!$B$1+((Inputs!$G$5:$G$140&lt;&gt;"moeda")*(Inputs!$G$5:$G$140&lt;&gt;"acoes")))*INDEX(Inputs!$K$5:$AJ$140,0,MATCH(AD$2,Inputs!$K$4:$AJ$4,0)))))</f>
        <v>-1022.232</v>
      </c>
      <c r="AE5" s="6" t="e">
        <f>IF(ISNA(MATCH(AE$2,Inputs!$K$4:$AJ$4,0)),NA(),IF(SUMPRODUCT((Inputs!$A$5:$A$140=$B5)*ISNUMBER(INDEX(Inputs!$K$5:$AJ$140,0,MATCH(AE$2,Inputs!$K$4:$AJ$4,0))))+SUMPRODUCT((Inputs!$C$5:$C$140=$B5)*ISNUMBER(INDEX(Inputs!$K$5:$AJ$140,0,MATCH(AE$2,Inputs!$K$4:$AJ$4,0))))+SUMPRODUCT((Inputs!$E$5:$E$140=$B5)*ISNUMBER(INDEX(Inputs!$K$5:$AJ$140,0,MATCH(AE$2,Inputs!$K$4:$AJ$4,0))))=0,NA(),SUMPRODUCT((Inputs!$A$5:$A$140=$B5)*Inputs!$B$5:$B$140*(((Inputs!$G$5:$G$140="moeda")+(Inputs!$G$5:$G$140="acoes"))*Inputs!$B$1+((Inputs!$G$5:$G$140&lt;&gt;"moeda")*(Inputs!$G$5:$G$140&lt;&gt;"acoes")))*INDEX(Inputs!$K$5:$AJ$140,0,MATCH(AE$2,Inputs!$K$4:$AJ$4,0)))+SUMPRODUCT((Inputs!$C$5:$C$140=$B5)*Inputs!$D$5:$D$140*(((Inputs!$G$5:$G$140="moeda")+(Inputs!$G$5:$G$140="acoes"))*Inputs!$B$1+((Inputs!$G$5:$G$140&lt;&gt;"moeda")*(Inputs!$G$5:$G$140&lt;&gt;"acoes")))*INDEX(Inputs!$K$5:$AJ$140,0,MATCH(AE$2,Inputs!$K$4:$AJ$4,0)))+SUMPRODUCT((Inputs!$E$5:$E$140=$B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" s="6" t="e">
        <f>IF(ISNA(MATCH(AF$2,Inputs!$K$4:$AJ$4,0)),NA(),IF(SUMPRODUCT((Inputs!$A$5:$A$140=$B5)*ISNUMBER(INDEX(Inputs!$K$5:$AJ$140,0,MATCH(AF$2,Inputs!$K$4:$AJ$4,0))))+SUMPRODUCT((Inputs!$C$5:$C$140=$B5)*ISNUMBER(INDEX(Inputs!$K$5:$AJ$140,0,MATCH(AF$2,Inputs!$K$4:$AJ$4,0))))+SUMPRODUCT((Inputs!$E$5:$E$140=$B5)*ISNUMBER(INDEX(Inputs!$K$5:$AJ$140,0,MATCH(AF$2,Inputs!$K$4:$AJ$4,0))))=0,NA(),SUMPRODUCT((Inputs!$A$5:$A$140=$B5)*Inputs!$B$5:$B$140*(((Inputs!$G$5:$G$140="moeda")+(Inputs!$G$5:$G$140="acoes"))*Inputs!$B$1+((Inputs!$G$5:$G$140&lt;&gt;"moeda")*(Inputs!$G$5:$G$140&lt;&gt;"acoes")))*INDEX(Inputs!$K$5:$AJ$140,0,MATCH(AF$2,Inputs!$K$4:$AJ$4,0)))+SUMPRODUCT((Inputs!$C$5:$C$140=$B5)*Inputs!$D$5:$D$140*(((Inputs!$G$5:$G$140="moeda")+(Inputs!$G$5:$G$140="acoes"))*Inputs!$B$1+((Inputs!$G$5:$G$140&lt;&gt;"moeda")*(Inputs!$G$5:$G$140&lt;&gt;"acoes")))*INDEX(Inputs!$K$5:$AJ$140,0,MATCH(AF$2,Inputs!$K$4:$AJ$4,0)))+SUMPRODUCT((Inputs!$E$5:$E$140=$B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" s="3" t="e">
        <f>SUM(AC5:AF5)</f>
        <v>#N/A</v>
      </c>
      <c r="AH5" s="6">
        <f>IF(ISNA(MATCH(AH$2,Inputs!$K$4:$AJ$4,0)),NA(),IF(SUMPRODUCT((Inputs!$A$5:$A$140=$B5)*ISNUMBER(INDEX(Inputs!$K$5:$AJ$140,0,MATCH(AH$2,Inputs!$K$4:$AJ$4,0))))+SUMPRODUCT((Inputs!$C$5:$C$140=$B5)*ISNUMBER(INDEX(Inputs!$K$5:$AJ$140,0,MATCH(AH$2,Inputs!$K$4:$AJ$4,0))))+SUMPRODUCT((Inputs!$E$5:$E$140=$B5)*ISNUMBER(INDEX(Inputs!$K$5:$AJ$140,0,MATCH(AH$2,Inputs!$K$4:$AJ$4,0))))=0,NA(),SUMPRODUCT((Inputs!$A$5:$A$140=$B5)*Inputs!$B$5:$B$140*(((Inputs!$G$5:$G$140="moeda")+(Inputs!$G$5:$G$140="acoes"))*Inputs!$B$1+((Inputs!$G$5:$G$140&lt;&gt;"moeda")*(Inputs!$G$5:$G$140&lt;&gt;"acoes")))*INDEX(Inputs!$K$5:$AJ$140,0,MATCH(AH$2,Inputs!$K$4:$AJ$4,0)))+SUMPRODUCT((Inputs!$C$5:$C$140=$B5)*Inputs!$D$5:$D$140*(((Inputs!$G$5:$G$140="moeda")+(Inputs!$G$5:$G$140="acoes"))*Inputs!$B$1+((Inputs!$G$5:$G$140&lt;&gt;"moeda")*(Inputs!$G$5:$G$140&lt;&gt;"acoes")))*INDEX(Inputs!$K$5:$AJ$140,0,MATCH(AH$2,Inputs!$K$4:$AJ$4,0)))+SUMPRODUCT((Inputs!$E$5:$E$140=$B5)*Inputs!$F$5:$F$140*(((Inputs!$G$5:$G$140="moeda")+(Inputs!$G$5:$G$140="acoes"))*Inputs!$B$1+((Inputs!$G$5:$G$140&lt;&gt;"moeda")*(Inputs!$G$5:$G$140&lt;&gt;"acoes")))*INDEX(Inputs!$K$5:$AJ$140,0,MATCH(AH$2,Inputs!$K$4:$AJ$4,0)))))</f>
        <v>-149.181</v>
      </c>
      <c r="AI5" s="6">
        <f>IF(ISNA(MATCH(AI$2,Inputs!$K$4:$AJ$4,0)),NA(),IF(SUMPRODUCT((Inputs!$A$5:$A$140=$B5)*ISNUMBER(INDEX(Inputs!$K$5:$AJ$140,0,MATCH(AI$2,Inputs!$K$4:$AJ$4,0))))+SUMPRODUCT((Inputs!$C$5:$C$140=$B5)*ISNUMBER(INDEX(Inputs!$K$5:$AJ$140,0,MATCH(AI$2,Inputs!$K$4:$AJ$4,0))))+SUMPRODUCT((Inputs!$E$5:$E$140=$B5)*ISNUMBER(INDEX(Inputs!$K$5:$AJ$140,0,MATCH(AI$2,Inputs!$K$4:$AJ$4,0))))=0,NA(),SUMPRODUCT((Inputs!$A$5:$A$140=$B5)*Inputs!$B$5:$B$140*(((Inputs!$G$5:$G$140="moeda")+(Inputs!$G$5:$G$140="acoes"))*Inputs!$B$1+((Inputs!$G$5:$G$140&lt;&gt;"moeda")*(Inputs!$G$5:$G$140&lt;&gt;"acoes")))*INDEX(Inputs!$K$5:$AJ$140,0,MATCH(AI$2,Inputs!$K$4:$AJ$4,0)))+SUMPRODUCT((Inputs!$C$5:$C$140=$B5)*Inputs!$D$5:$D$140*(((Inputs!$G$5:$G$140="moeda")+(Inputs!$G$5:$G$140="acoes"))*Inputs!$B$1+((Inputs!$G$5:$G$140&lt;&gt;"moeda")*(Inputs!$G$5:$G$140&lt;&gt;"acoes")))*INDEX(Inputs!$K$5:$AJ$140,0,MATCH(AI$2,Inputs!$K$4:$AJ$4,0)))+SUMPRODUCT((Inputs!$E$5:$E$140=$B5)*Inputs!$F$5:$F$140*(((Inputs!$G$5:$G$140="moeda")+(Inputs!$G$5:$G$140="acoes"))*Inputs!$B$1+((Inputs!$G$5:$G$140&lt;&gt;"moeda")*(Inputs!$G$5:$G$140&lt;&gt;"acoes")))*INDEX(Inputs!$K$5:$AJ$140,0,MATCH(AI$2,Inputs!$K$4:$AJ$4,0)))))</f>
        <v>-159.137</v>
      </c>
      <c r="AJ5" s="6">
        <f>IF(ISNA(MATCH(AJ$2,Inputs!$K$4:$AJ$4,0)),NA(),IF(SUMPRODUCT((Inputs!$A$5:$A$140=$B5)*ISNUMBER(INDEX(Inputs!$K$5:$AJ$140,0,MATCH(AJ$2,Inputs!$K$4:$AJ$4,0))))+SUMPRODUCT((Inputs!$C$5:$C$140=$B5)*ISNUMBER(INDEX(Inputs!$K$5:$AJ$140,0,MATCH(AJ$2,Inputs!$K$4:$AJ$4,0))))+SUMPRODUCT((Inputs!$E$5:$E$140=$B5)*ISNUMBER(INDEX(Inputs!$K$5:$AJ$140,0,MATCH(AJ$2,Inputs!$K$4:$AJ$4,0))))=0,NA(),SUMPRODUCT((Inputs!$A$5:$A$140=$B5)*Inputs!$B$5:$B$140*(((Inputs!$G$5:$G$140="moeda")+(Inputs!$G$5:$G$140="acoes"))*Inputs!$B$1+((Inputs!$G$5:$G$140&lt;&gt;"moeda")*(Inputs!$G$5:$G$140&lt;&gt;"acoes")))*INDEX(Inputs!$K$5:$AJ$140,0,MATCH(AJ$2,Inputs!$K$4:$AJ$4,0)))+SUMPRODUCT((Inputs!$C$5:$C$140=$B5)*Inputs!$D$5:$D$140*(((Inputs!$G$5:$G$140="moeda")+(Inputs!$G$5:$G$140="acoes"))*Inputs!$B$1+((Inputs!$G$5:$G$140&lt;&gt;"moeda")*(Inputs!$G$5:$G$140&lt;&gt;"acoes")))*INDEX(Inputs!$K$5:$AJ$140,0,MATCH(AJ$2,Inputs!$K$4:$AJ$4,0)))+SUMPRODUCT((Inputs!$E$5:$E$140=$B5)*Inputs!$F$5:$F$140*(((Inputs!$G$5:$G$140="moeda")+(Inputs!$G$5:$G$140="acoes"))*Inputs!$B$1+((Inputs!$G$5:$G$140&lt;&gt;"moeda")*(Inputs!$G$5:$G$140&lt;&gt;"acoes")))*INDEX(Inputs!$K$5:$AJ$140,0,MATCH(AJ$2,Inputs!$K$4:$AJ$4,0)))))</f>
        <v>-202.541</v>
      </c>
      <c r="AK5" s="6">
        <f>IF(ISNA(MATCH(AK$2,Inputs!$K$4:$AJ$4,0)),NA(),IF(SUMPRODUCT((Inputs!$A$5:$A$140=$B5)*ISNUMBER(INDEX(Inputs!$K$5:$AJ$140,0,MATCH(AK$2,Inputs!$K$4:$AJ$4,0))))+SUMPRODUCT((Inputs!$C$5:$C$140=$B5)*ISNUMBER(INDEX(Inputs!$K$5:$AJ$140,0,MATCH(AK$2,Inputs!$K$4:$AJ$4,0))))+SUMPRODUCT((Inputs!$E$5:$E$140=$B5)*ISNUMBER(INDEX(Inputs!$K$5:$AJ$140,0,MATCH(AK$2,Inputs!$K$4:$AJ$4,0))))=0,NA(),SUMPRODUCT((Inputs!$A$5:$A$140=$B5)*Inputs!$B$5:$B$140*(((Inputs!$G$5:$G$140="moeda")+(Inputs!$G$5:$G$140="acoes"))*Inputs!$B$1+((Inputs!$G$5:$G$140&lt;&gt;"moeda")*(Inputs!$G$5:$G$140&lt;&gt;"acoes")))*INDEX(Inputs!$K$5:$AJ$140,0,MATCH(AK$2,Inputs!$K$4:$AJ$4,0)))+SUMPRODUCT((Inputs!$C$5:$C$140=$B5)*Inputs!$D$5:$D$140*(((Inputs!$G$5:$G$140="moeda")+(Inputs!$G$5:$G$140="acoes"))*Inputs!$B$1+((Inputs!$G$5:$G$140&lt;&gt;"moeda")*(Inputs!$G$5:$G$140&lt;&gt;"acoes")))*INDEX(Inputs!$K$5:$AJ$140,0,MATCH(AK$2,Inputs!$K$4:$AJ$4,0)))+SUMPRODUCT((Inputs!$E$5:$E$140=$B5)*Inputs!$F$5:$F$140*(((Inputs!$G$5:$G$140="moeda")+(Inputs!$G$5:$G$140="acoes"))*Inputs!$B$1+((Inputs!$G$5:$G$140&lt;&gt;"moeda")*(Inputs!$G$5:$G$140&lt;&gt;"acoes")))*INDEX(Inputs!$K$5:$AJ$140,0,MATCH(AK$2,Inputs!$K$4:$AJ$4,0)))))</f>
        <v>-205.433</v>
      </c>
      <c r="AL5" s="3">
        <f>SUM(AH5:AK5)</f>
        <v>-716.292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$140=$B6)*ISNUMBER(INDEX(Inputs!$K$5:$AJ$140,0,MATCH(D$2,Inputs!$K$4:$AJ$4,0))))+SUMPRODUCT((Inputs!$C$5:$C$140=$B6)*ISNUMBER(INDEX(Inputs!$K$5:$AJ$140,0,MATCH(D$2,Inputs!$K$4:$AJ$4,0))))+SUMPRODUCT((Inputs!$E$5:$E$140=$B6)*ISNUMBER(INDEX(Inputs!$K$5:$AJ$140,0,MATCH(D$2,Inputs!$K$4:$AJ$4,0))))=0,NA(),SUMPRODUCT((Inputs!$A$5:$A$140=$B6)*Inputs!$B$5:$B$140*(((Inputs!$G$5:$G$140="moeda")+(Inputs!$G$5:$G$140="acoes"))*Inputs!$B$1+((Inputs!$G$5:$G$140&lt;&gt;"moeda")*(Inputs!$G$5:$G$140&lt;&gt;"acoes")))*INDEX(Inputs!$K$5:$AJ$140,0,MATCH(D$2,Inputs!$K$4:$AJ$4,0)))+SUMPRODUCT((Inputs!$C$5:$C$140=$B6)*Inputs!$D$5:$D$140*(((Inputs!$G$5:$G$140="moeda")+(Inputs!$G$5:$G$140="acoes"))*Inputs!$B$1+((Inputs!$G$5:$G$140&lt;&gt;"moeda")*(Inputs!$G$5:$G$140&lt;&gt;"acoes")))*INDEX(Inputs!$K$5:$AJ$140,0,MATCH(D$2,Inputs!$K$4:$AJ$4,0)))+SUMPRODUCT((Inputs!$E$5:$E$140=$B6)*Inputs!$F$5:$F$140*(((Inputs!$G$5:$G$140="moeda")+(Inputs!$G$5:$G$140="acoes"))*Inputs!$B$1+((Inputs!$G$5:$G$140&lt;&gt;"moeda")*(Inputs!$G$5:$G$140&lt;&gt;"acoes")))*INDEX(Inputs!$K$5:$AJ$140,0,MATCH(D$2,Inputs!$K$4:$AJ$4,0)))))</f>
        <v>-57.16434729</v>
      </c>
      <c r="E6" s="6">
        <f>IF(ISNA(MATCH(E$2,Inputs!$K$4:$AJ$4,0)),NA(),IF(SUMPRODUCT((Inputs!$A$5:$A$140=$B6)*ISNUMBER(INDEX(Inputs!$K$5:$AJ$140,0,MATCH(E$2,Inputs!$K$4:$AJ$4,0))))+SUMPRODUCT((Inputs!$C$5:$C$140=$B6)*ISNUMBER(INDEX(Inputs!$K$5:$AJ$140,0,MATCH(E$2,Inputs!$K$4:$AJ$4,0))))+SUMPRODUCT((Inputs!$E$5:$E$140=$B6)*ISNUMBER(INDEX(Inputs!$K$5:$AJ$140,0,MATCH(E$2,Inputs!$K$4:$AJ$4,0))))=0,NA(),SUMPRODUCT((Inputs!$A$5:$A$140=$B6)*Inputs!$B$5:$B$140*(((Inputs!$G$5:$G$140="moeda")+(Inputs!$G$5:$G$140="acoes"))*Inputs!$B$1+((Inputs!$G$5:$G$140&lt;&gt;"moeda")*(Inputs!$G$5:$G$140&lt;&gt;"acoes")))*INDEX(Inputs!$K$5:$AJ$140,0,MATCH(E$2,Inputs!$K$4:$AJ$4,0)))+SUMPRODUCT((Inputs!$C$5:$C$140=$B6)*Inputs!$D$5:$D$140*(((Inputs!$G$5:$G$140="moeda")+(Inputs!$G$5:$G$140="acoes"))*Inputs!$B$1+((Inputs!$G$5:$G$140&lt;&gt;"moeda")*(Inputs!$G$5:$G$140&lt;&gt;"acoes")))*INDEX(Inputs!$K$5:$AJ$140,0,MATCH(E$2,Inputs!$K$4:$AJ$4,0)))+SUMPRODUCT((Inputs!$E$5:$E$140=$B6)*Inputs!$F$5:$F$140*(((Inputs!$G$5:$G$140="moeda")+(Inputs!$G$5:$G$140="acoes"))*Inputs!$B$1+((Inputs!$G$5:$G$140&lt;&gt;"moeda")*(Inputs!$G$5:$G$140&lt;&gt;"acoes")))*INDEX(Inputs!$K$5:$AJ$140,0,MATCH(E$2,Inputs!$K$4:$AJ$4,0)))))</f>
        <v>-73.5459415</v>
      </c>
      <c r="F6" s="6">
        <f>IF(ISNA(MATCH(F$2,Inputs!$K$4:$AJ$4,0)),NA(),IF(SUMPRODUCT((Inputs!$A$5:$A$140=$B6)*ISNUMBER(INDEX(Inputs!$K$5:$AJ$140,0,MATCH(F$2,Inputs!$K$4:$AJ$4,0))))+SUMPRODUCT((Inputs!$C$5:$C$140=$B6)*ISNUMBER(INDEX(Inputs!$K$5:$AJ$140,0,MATCH(F$2,Inputs!$K$4:$AJ$4,0))))+SUMPRODUCT((Inputs!$E$5:$E$140=$B6)*ISNUMBER(INDEX(Inputs!$K$5:$AJ$140,0,MATCH(F$2,Inputs!$K$4:$AJ$4,0))))=0,NA(),SUMPRODUCT((Inputs!$A$5:$A$140=$B6)*Inputs!$B$5:$B$140*(((Inputs!$G$5:$G$140="moeda")+(Inputs!$G$5:$G$140="acoes"))*Inputs!$B$1+((Inputs!$G$5:$G$140&lt;&gt;"moeda")*(Inputs!$G$5:$G$140&lt;&gt;"acoes")))*INDEX(Inputs!$K$5:$AJ$140,0,MATCH(F$2,Inputs!$K$4:$AJ$4,0)))+SUMPRODUCT((Inputs!$C$5:$C$140=$B6)*Inputs!$D$5:$D$140*(((Inputs!$G$5:$G$140="moeda")+(Inputs!$G$5:$G$140="acoes"))*Inputs!$B$1+((Inputs!$G$5:$G$140&lt;&gt;"moeda")*(Inputs!$G$5:$G$140&lt;&gt;"acoes")))*INDEX(Inputs!$K$5:$AJ$140,0,MATCH(F$2,Inputs!$K$4:$AJ$4,0)))+SUMPRODUCT((Inputs!$E$5:$E$140=$B6)*Inputs!$F$5:$F$140*(((Inputs!$G$5:$G$140="moeda")+(Inputs!$G$5:$G$140="acoes"))*Inputs!$B$1+((Inputs!$G$5:$G$140&lt;&gt;"moeda")*(Inputs!$G$5:$G$140&lt;&gt;"acoes")))*INDEX(Inputs!$K$5:$AJ$140,0,MATCH(F$2,Inputs!$K$4:$AJ$4,0)))))</f>
        <v>-87.60403964</v>
      </c>
      <c r="G6" s="6">
        <f>IF(ISNA(MATCH(G$2,Inputs!$K$4:$AJ$4,0)),NA(),IF(SUMPRODUCT((Inputs!$A$5:$A$140=$B6)*ISNUMBER(INDEX(Inputs!$K$5:$AJ$140,0,MATCH(G$2,Inputs!$K$4:$AJ$4,0))))+SUMPRODUCT((Inputs!$C$5:$C$140=$B6)*ISNUMBER(INDEX(Inputs!$K$5:$AJ$140,0,MATCH(G$2,Inputs!$K$4:$AJ$4,0))))+SUMPRODUCT((Inputs!$E$5:$E$140=$B6)*ISNUMBER(INDEX(Inputs!$K$5:$AJ$140,0,MATCH(G$2,Inputs!$K$4:$AJ$4,0))))=0,NA(),SUMPRODUCT((Inputs!$A$5:$A$140=$B6)*Inputs!$B$5:$B$140*(((Inputs!$G$5:$G$140="moeda")+(Inputs!$G$5:$G$140="acoes"))*Inputs!$B$1+((Inputs!$G$5:$G$140&lt;&gt;"moeda")*(Inputs!$G$5:$G$140&lt;&gt;"acoes")))*INDEX(Inputs!$K$5:$AJ$140,0,MATCH(G$2,Inputs!$K$4:$AJ$4,0)))+SUMPRODUCT((Inputs!$C$5:$C$140=$B6)*Inputs!$D$5:$D$140*(((Inputs!$G$5:$G$140="moeda")+(Inputs!$G$5:$G$140="acoes"))*Inputs!$B$1+((Inputs!$G$5:$G$140&lt;&gt;"moeda")*(Inputs!$G$5:$G$140&lt;&gt;"acoes")))*INDEX(Inputs!$K$5:$AJ$140,0,MATCH(G$2,Inputs!$K$4:$AJ$4,0)))+SUMPRODUCT((Inputs!$E$5:$E$140=$B6)*Inputs!$F$5:$F$140*(((Inputs!$G$5:$G$140="moeda")+(Inputs!$G$5:$G$140="acoes"))*Inputs!$B$1+((Inputs!$G$5:$G$140&lt;&gt;"moeda")*(Inputs!$G$5:$G$140&lt;&gt;"acoes")))*INDEX(Inputs!$K$5:$AJ$140,0,MATCH(G$2,Inputs!$K$4:$AJ$4,0)))))</f>
        <v>-49.4742579300001</v>
      </c>
      <c r="H6" s="3">
        <f>SUM(D6:G6)</f>
        <v>-267.78858636</v>
      </c>
      <c r="I6" s="6">
        <f>IF(ISNA(MATCH(I$2,Inputs!$K$4:$AJ$4,0)),NA(),IF(SUMPRODUCT((Inputs!$A$5:$A$140=$B6)*ISNUMBER(INDEX(Inputs!$K$5:$AJ$140,0,MATCH(I$2,Inputs!$K$4:$AJ$4,0))))+SUMPRODUCT((Inputs!$C$5:$C$140=$B6)*ISNUMBER(INDEX(Inputs!$K$5:$AJ$140,0,MATCH(I$2,Inputs!$K$4:$AJ$4,0))))+SUMPRODUCT((Inputs!$E$5:$E$140=$B6)*ISNUMBER(INDEX(Inputs!$K$5:$AJ$140,0,MATCH(I$2,Inputs!$K$4:$AJ$4,0))))=0,NA(),SUMPRODUCT((Inputs!$A$5:$A$140=$B6)*Inputs!$B$5:$B$140*(((Inputs!$G$5:$G$140="moeda")+(Inputs!$G$5:$G$140="acoes"))*Inputs!$B$1+((Inputs!$G$5:$G$140&lt;&gt;"moeda")*(Inputs!$G$5:$G$140&lt;&gt;"acoes")))*INDEX(Inputs!$K$5:$AJ$140,0,MATCH(I$2,Inputs!$K$4:$AJ$4,0)))+SUMPRODUCT((Inputs!$C$5:$C$140=$B6)*Inputs!$D$5:$D$140*(((Inputs!$G$5:$G$140="moeda")+(Inputs!$G$5:$G$140="acoes"))*Inputs!$B$1+((Inputs!$G$5:$G$140&lt;&gt;"moeda")*(Inputs!$G$5:$G$140&lt;&gt;"acoes")))*INDEX(Inputs!$K$5:$AJ$140,0,MATCH(I$2,Inputs!$K$4:$AJ$4,0)))+SUMPRODUCT((Inputs!$E$5:$E$140=$B6)*Inputs!$F$5:$F$140*(((Inputs!$G$5:$G$140="moeda")+(Inputs!$G$5:$G$140="acoes"))*Inputs!$B$1+((Inputs!$G$5:$G$140&lt;&gt;"moeda")*(Inputs!$G$5:$G$140&lt;&gt;"acoes")))*INDEX(Inputs!$K$5:$AJ$140,0,MATCH(I$2,Inputs!$K$4:$AJ$4,0)))))</f>
        <v>-85.60061319</v>
      </c>
      <c r="J6" s="6">
        <f>IF(ISNA(MATCH(J$2,Inputs!$K$4:$AJ$4,0)),NA(),IF(SUMPRODUCT((Inputs!$A$5:$A$140=$B6)*ISNUMBER(INDEX(Inputs!$K$5:$AJ$140,0,MATCH(J$2,Inputs!$K$4:$AJ$4,0))))+SUMPRODUCT((Inputs!$C$5:$C$140=$B6)*ISNUMBER(INDEX(Inputs!$K$5:$AJ$140,0,MATCH(J$2,Inputs!$K$4:$AJ$4,0))))+SUMPRODUCT((Inputs!$E$5:$E$140=$B6)*ISNUMBER(INDEX(Inputs!$K$5:$AJ$140,0,MATCH(J$2,Inputs!$K$4:$AJ$4,0))))=0,NA(),SUMPRODUCT((Inputs!$A$5:$A$140=$B6)*Inputs!$B$5:$B$140*(((Inputs!$G$5:$G$140="moeda")+(Inputs!$G$5:$G$140="acoes"))*Inputs!$B$1+((Inputs!$G$5:$G$140&lt;&gt;"moeda")*(Inputs!$G$5:$G$140&lt;&gt;"acoes")))*INDEX(Inputs!$K$5:$AJ$140,0,MATCH(J$2,Inputs!$K$4:$AJ$4,0)))+SUMPRODUCT((Inputs!$C$5:$C$140=$B6)*Inputs!$D$5:$D$140*(((Inputs!$G$5:$G$140="moeda")+(Inputs!$G$5:$G$140="acoes"))*Inputs!$B$1+((Inputs!$G$5:$G$140&lt;&gt;"moeda")*(Inputs!$G$5:$G$140&lt;&gt;"acoes")))*INDEX(Inputs!$K$5:$AJ$140,0,MATCH(J$2,Inputs!$K$4:$AJ$4,0)))+SUMPRODUCT((Inputs!$E$5:$E$140=$B6)*Inputs!$F$5:$F$140*(((Inputs!$G$5:$G$140="moeda")+(Inputs!$G$5:$G$140="acoes"))*Inputs!$B$1+((Inputs!$G$5:$G$140&lt;&gt;"moeda")*(Inputs!$G$5:$G$140&lt;&gt;"acoes")))*INDEX(Inputs!$K$5:$AJ$140,0,MATCH(J$2,Inputs!$K$4:$AJ$4,0)))))</f>
        <v>-97.656</v>
      </c>
      <c r="K6" s="6">
        <f>IF(ISNA(MATCH(K$2,Inputs!$K$4:$AJ$4,0)),NA(),IF(SUMPRODUCT((Inputs!$A$5:$A$140=$B6)*ISNUMBER(INDEX(Inputs!$K$5:$AJ$140,0,MATCH(K$2,Inputs!$K$4:$AJ$4,0))))+SUMPRODUCT((Inputs!$C$5:$C$140=$B6)*ISNUMBER(INDEX(Inputs!$K$5:$AJ$140,0,MATCH(K$2,Inputs!$K$4:$AJ$4,0))))+SUMPRODUCT((Inputs!$E$5:$E$140=$B6)*ISNUMBER(INDEX(Inputs!$K$5:$AJ$140,0,MATCH(K$2,Inputs!$K$4:$AJ$4,0))))=0,NA(),SUMPRODUCT((Inputs!$A$5:$A$140=$B6)*Inputs!$B$5:$B$140*(((Inputs!$G$5:$G$140="moeda")+(Inputs!$G$5:$G$140="acoes"))*Inputs!$B$1+((Inputs!$G$5:$G$140&lt;&gt;"moeda")*(Inputs!$G$5:$G$140&lt;&gt;"acoes")))*INDEX(Inputs!$K$5:$AJ$140,0,MATCH(K$2,Inputs!$K$4:$AJ$4,0)))+SUMPRODUCT((Inputs!$C$5:$C$140=$B6)*Inputs!$D$5:$D$140*(((Inputs!$G$5:$G$140="moeda")+(Inputs!$G$5:$G$140="acoes"))*Inputs!$B$1+((Inputs!$G$5:$G$140&lt;&gt;"moeda")*(Inputs!$G$5:$G$140&lt;&gt;"acoes")))*INDEX(Inputs!$K$5:$AJ$140,0,MATCH(K$2,Inputs!$K$4:$AJ$4,0)))+SUMPRODUCT((Inputs!$E$5:$E$140=$B6)*Inputs!$F$5:$F$140*(((Inputs!$G$5:$G$140="moeda")+(Inputs!$G$5:$G$140="acoes"))*Inputs!$B$1+((Inputs!$G$5:$G$140&lt;&gt;"moeda")*(Inputs!$G$5:$G$140&lt;&gt;"acoes")))*INDEX(Inputs!$K$5:$AJ$140,0,MATCH(K$2,Inputs!$K$4:$AJ$4,0)))))</f>
        <v>-114.534</v>
      </c>
      <c r="L6" s="6">
        <f>IF(ISNA(MATCH(L$2,Inputs!$K$4:$AJ$4,0)),NA(),IF(SUMPRODUCT((Inputs!$A$5:$A$140=$B6)*ISNUMBER(INDEX(Inputs!$K$5:$AJ$140,0,MATCH(L$2,Inputs!$K$4:$AJ$4,0))))+SUMPRODUCT((Inputs!$C$5:$C$140=$B6)*ISNUMBER(INDEX(Inputs!$K$5:$AJ$140,0,MATCH(L$2,Inputs!$K$4:$AJ$4,0))))+SUMPRODUCT((Inputs!$E$5:$E$140=$B6)*ISNUMBER(INDEX(Inputs!$K$5:$AJ$140,0,MATCH(L$2,Inputs!$K$4:$AJ$4,0))))=0,NA(),SUMPRODUCT((Inputs!$A$5:$A$140=$B6)*Inputs!$B$5:$B$140*(((Inputs!$G$5:$G$140="moeda")+(Inputs!$G$5:$G$140="acoes"))*Inputs!$B$1+((Inputs!$G$5:$G$140&lt;&gt;"moeda")*(Inputs!$G$5:$G$140&lt;&gt;"acoes")))*INDEX(Inputs!$K$5:$AJ$140,0,MATCH(L$2,Inputs!$K$4:$AJ$4,0)))+SUMPRODUCT((Inputs!$C$5:$C$140=$B6)*Inputs!$D$5:$D$140*(((Inputs!$G$5:$G$140="moeda")+(Inputs!$G$5:$G$140="acoes"))*Inputs!$B$1+((Inputs!$G$5:$G$140&lt;&gt;"moeda")*(Inputs!$G$5:$G$140&lt;&gt;"acoes")))*INDEX(Inputs!$K$5:$AJ$140,0,MATCH(L$2,Inputs!$K$4:$AJ$4,0)))+SUMPRODUCT((Inputs!$E$5:$E$140=$B6)*Inputs!$F$5:$F$140*(((Inputs!$G$5:$G$140="moeda")+(Inputs!$G$5:$G$140="acoes"))*Inputs!$B$1+((Inputs!$G$5:$G$140&lt;&gt;"moeda")*(Inputs!$G$5:$G$140&lt;&gt;"acoes")))*INDEX(Inputs!$K$5:$AJ$140,0,MATCH(L$2,Inputs!$K$4:$AJ$4,0)))))</f>
        <v>-91.394</v>
      </c>
      <c r="M6" s="3">
        <f>SUM(I6:L6)</f>
        <v>-389.18461319</v>
      </c>
      <c r="N6" s="6">
        <f>IF(ISNA(MATCH(N$2,Inputs!$K$4:$AJ$4,0)),NA(),IF(SUMPRODUCT((Inputs!$A$5:$A$140=$B6)*ISNUMBER(INDEX(Inputs!$K$5:$AJ$140,0,MATCH(N$2,Inputs!$K$4:$AJ$4,0))))+SUMPRODUCT((Inputs!$C$5:$C$140=$B6)*ISNUMBER(INDEX(Inputs!$K$5:$AJ$140,0,MATCH(N$2,Inputs!$K$4:$AJ$4,0))))+SUMPRODUCT((Inputs!$E$5:$E$140=$B6)*ISNUMBER(INDEX(Inputs!$K$5:$AJ$140,0,MATCH(N$2,Inputs!$K$4:$AJ$4,0))))=0,NA(),SUMPRODUCT((Inputs!$A$5:$A$140=$B6)*Inputs!$B$5:$B$140*(((Inputs!$G$5:$G$140="moeda")+(Inputs!$G$5:$G$140="acoes"))*Inputs!$B$1+((Inputs!$G$5:$G$140&lt;&gt;"moeda")*(Inputs!$G$5:$G$140&lt;&gt;"acoes")))*INDEX(Inputs!$K$5:$AJ$140,0,MATCH(N$2,Inputs!$K$4:$AJ$4,0)))+SUMPRODUCT((Inputs!$C$5:$C$140=$B6)*Inputs!$D$5:$D$140*(((Inputs!$G$5:$G$140="moeda")+(Inputs!$G$5:$G$140="acoes"))*Inputs!$B$1+((Inputs!$G$5:$G$140&lt;&gt;"moeda")*(Inputs!$G$5:$G$140&lt;&gt;"acoes")))*INDEX(Inputs!$K$5:$AJ$140,0,MATCH(N$2,Inputs!$K$4:$AJ$4,0)))+SUMPRODUCT((Inputs!$E$5:$E$140=$B6)*Inputs!$F$5:$F$140*(((Inputs!$G$5:$G$140="moeda")+(Inputs!$G$5:$G$140="acoes"))*Inputs!$B$1+((Inputs!$G$5:$G$140&lt;&gt;"moeda")*(Inputs!$G$5:$G$140&lt;&gt;"acoes")))*INDEX(Inputs!$K$5:$AJ$140,0,MATCH(N$2,Inputs!$K$4:$AJ$4,0)))))</f>
        <v>-101.9949173</v>
      </c>
      <c r="O6" s="6">
        <f>IF(ISNA(MATCH(O$2,Inputs!$K$4:$AJ$4,0)),NA(),IF(SUMPRODUCT((Inputs!$A$5:$A$140=$B6)*ISNUMBER(INDEX(Inputs!$K$5:$AJ$140,0,MATCH(O$2,Inputs!$K$4:$AJ$4,0))))+SUMPRODUCT((Inputs!$C$5:$C$140=$B6)*ISNUMBER(INDEX(Inputs!$K$5:$AJ$140,0,MATCH(O$2,Inputs!$K$4:$AJ$4,0))))+SUMPRODUCT((Inputs!$E$5:$E$140=$B6)*ISNUMBER(INDEX(Inputs!$K$5:$AJ$140,0,MATCH(O$2,Inputs!$K$4:$AJ$4,0))))=0,NA(),SUMPRODUCT((Inputs!$A$5:$A$140=$B6)*Inputs!$B$5:$B$140*(((Inputs!$G$5:$G$140="moeda")+(Inputs!$G$5:$G$140="acoes"))*Inputs!$B$1+((Inputs!$G$5:$G$140&lt;&gt;"moeda")*(Inputs!$G$5:$G$140&lt;&gt;"acoes")))*INDEX(Inputs!$K$5:$AJ$140,0,MATCH(O$2,Inputs!$K$4:$AJ$4,0)))+SUMPRODUCT((Inputs!$C$5:$C$140=$B6)*Inputs!$D$5:$D$140*(((Inputs!$G$5:$G$140="moeda")+(Inputs!$G$5:$G$140="acoes"))*Inputs!$B$1+((Inputs!$G$5:$G$140&lt;&gt;"moeda")*(Inputs!$G$5:$G$140&lt;&gt;"acoes")))*INDEX(Inputs!$K$5:$AJ$140,0,MATCH(O$2,Inputs!$K$4:$AJ$4,0)))+SUMPRODUCT((Inputs!$E$5:$E$140=$B6)*Inputs!$F$5:$F$140*(((Inputs!$G$5:$G$140="moeda")+(Inputs!$G$5:$G$140="acoes"))*Inputs!$B$1+((Inputs!$G$5:$G$140&lt;&gt;"moeda")*(Inputs!$G$5:$G$140&lt;&gt;"acoes")))*INDEX(Inputs!$K$5:$AJ$140,0,MATCH(O$2,Inputs!$K$4:$AJ$4,0)))))</f>
        <v>-121.084</v>
      </c>
      <c r="P6" s="6">
        <f>IF(ISNA(MATCH(P$2,Inputs!$K$4:$AJ$4,0)),NA(),IF(SUMPRODUCT((Inputs!$A$5:$A$140=$B6)*ISNUMBER(INDEX(Inputs!$K$5:$AJ$140,0,MATCH(P$2,Inputs!$K$4:$AJ$4,0))))+SUMPRODUCT((Inputs!$C$5:$C$140=$B6)*ISNUMBER(INDEX(Inputs!$K$5:$AJ$140,0,MATCH(P$2,Inputs!$K$4:$AJ$4,0))))+SUMPRODUCT((Inputs!$E$5:$E$140=$B6)*ISNUMBER(INDEX(Inputs!$K$5:$AJ$140,0,MATCH(P$2,Inputs!$K$4:$AJ$4,0))))=0,NA(),SUMPRODUCT((Inputs!$A$5:$A$140=$B6)*Inputs!$B$5:$B$140*(((Inputs!$G$5:$G$140="moeda")+(Inputs!$G$5:$G$140="acoes"))*Inputs!$B$1+((Inputs!$G$5:$G$140&lt;&gt;"moeda")*(Inputs!$G$5:$G$140&lt;&gt;"acoes")))*INDEX(Inputs!$K$5:$AJ$140,0,MATCH(P$2,Inputs!$K$4:$AJ$4,0)))+SUMPRODUCT((Inputs!$C$5:$C$140=$B6)*Inputs!$D$5:$D$140*(((Inputs!$G$5:$G$140="moeda")+(Inputs!$G$5:$G$140="acoes"))*Inputs!$B$1+((Inputs!$G$5:$G$140&lt;&gt;"moeda")*(Inputs!$G$5:$G$140&lt;&gt;"acoes")))*INDEX(Inputs!$K$5:$AJ$140,0,MATCH(P$2,Inputs!$K$4:$AJ$4,0)))+SUMPRODUCT((Inputs!$E$5:$E$140=$B6)*Inputs!$F$5:$F$140*(((Inputs!$G$5:$G$140="moeda")+(Inputs!$G$5:$G$140="acoes"))*Inputs!$B$1+((Inputs!$G$5:$G$140&lt;&gt;"moeda")*(Inputs!$G$5:$G$140&lt;&gt;"acoes")))*INDEX(Inputs!$K$5:$AJ$140,0,MATCH(P$2,Inputs!$K$4:$AJ$4,0)))))</f>
        <v>-141.70210615</v>
      </c>
      <c r="Q6" s="6">
        <f>IF(ISNA(MATCH(Q$2,Inputs!$K$4:$AJ$4,0)),NA(),IF(SUMPRODUCT((Inputs!$A$5:$A$140=$B6)*ISNUMBER(INDEX(Inputs!$K$5:$AJ$140,0,MATCH(Q$2,Inputs!$K$4:$AJ$4,0))))+SUMPRODUCT((Inputs!$C$5:$C$140=$B6)*ISNUMBER(INDEX(Inputs!$K$5:$AJ$140,0,MATCH(Q$2,Inputs!$K$4:$AJ$4,0))))+SUMPRODUCT((Inputs!$E$5:$E$140=$B6)*ISNUMBER(INDEX(Inputs!$K$5:$AJ$140,0,MATCH(Q$2,Inputs!$K$4:$AJ$4,0))))=0,NA(),SUMPRODUCT((Inputs!$A$5:$A$140=$B6)*Inputs!$B$5:$B$140*(((Inputs!$G$5:$G$140="moeda")+(Inputs!$G$5:$G$140="acoes"))*Inputs!$B$1+((Inputs!$G$5:$G$140&lt;&gt;"moeda")*(Inputs!$G$5:$G$140&lt;&gt;"acoes")))*INDEX(Inputs!$K$5:$AJ$140,0,MATCH(Q$2,Inputs!$K$4:$AJ$4,0)))+SUMPRODUCT((Inputs!$C$5:$C$140=$B6)*Inputs!$D$5:$D$140*(((Inputs!$G$5:$G$140="moeda")+(Inputs!$G$5:$G$140="acoes"))*Inputs!$B$1+((Inputs!$G$5:$G$140&lt;&gt;"moeda")*(Inputs!$G$5:$G$140&lt;&gt;"acoes")))*INDEX(Inputs!$K$5:$AJ$140,0,MATCH(Q$2,Inputs!$K$4:$AJ$4,0)))+SUMPRODUCT((Inputs!$E$5:$E$140=$B6)*Inputs!$F$5:$F$140*(((Inputs!$G$5:$G$140="moeda")+(Inputs!$G$5:$G$140="acoes"))*Inputs!$B$1+((Inputs!$G$5:$G$140&lt;&gt;"moeda")*(Inputs!$G$5:$G$140&lt;&gt;"acoes")))*INDEX(Inputs!$K$5:$AJ$140,0,MATCH(Q$2,Inputs!$K$4:$AJ$4,0)))))</f>
        <v>-124.40697655</v>
      </c>
      <c r="R6" s="3">
        <f>SUM(N6:Q6)</f>
        <v>-489.188</v>
      </c>
      <c r="S6" s="6">
        <f>IF(ISNA(MATCH(S$2,Inputs!$K$4:$AJ$4,0)),NA(),IF(SUMPRODUCT((Inputs!$A$5:$A$140=$B6)*ISNUMBER(INDEX(Inputs!$K$5:$AJ$140,0,MATCH(S$2,Inputs!$K$4:$AJ$4,0))))+SUMPRODUCT((Inputs!$C$5:$C$140=$B6)*ISNUMBER(INDEX(Inputs!$K$5:$AJ$140,0,MATCH(S$2,Inputs!$K$4:$AJ$4,0))))+SUMPRODUCT((Inputs!$E$5:$E$140=$B6)*ISNUMBER(INDEX(Inputs!$K$5:$AJ$140,0,MATCH(S$2,Inputs!$K$4:$AJ$4,0))))=0,NA(),SUMPRODUCT((Inputs!$A$5:$A$140=$B6)*Inputs!$B$5:$B$140*(((Inputs!$G$5:$G$140="moeda")+(Inputs!$G$5:$G$140="acoes"))*Inputs!$B$1+((Inputs!$G$5:$G$140&lt;&gt;"moeda")*(Inputs!$G$5:$G$140&lt;&gt;"acoes")))*INDEX(Inputs!$K$5:$AJ$140,0,MATCH(S$2,Inputs!$K$4:$AJ$4,0)))+SUMPRODUCT((Inputs!$C$5:$C$140=$B6)*Inputs!$D$5:$D$140*(((Inputs!$G$5:$G$140="moeda")+(Inputs!$G$5:$G$140="acoes"))*Inputs!$B$1+((Inputs!$G$5:$G$140&lt;&gt;"moeda")*(Inputs!$G$5:$G$140&lt;&gt;"acoes")))*INDEX(Inputs!$K$5:$AJ$140,0,MATCH(S$2,Inputs!$K$4:$AJ$4,0)))+SUMPRODUCT((Inputs!$E$5:$E$140=$B6)*Inputs!$F$5:$F$140*(((Inputs!$G$5:$G$140="moeda")+(Inputs!$G$5:$G$140="acoes"))*Inputs!$B$1+((Inputs!$G$5:$G$140&lt;&gt;"moeda")*(Inputs!$G$5:$G$140&lt;&gt;"acoes")))*INDEX(Inputs!$K$5:$AJ$140,0,MATCH(S$2,Inputs!$K$4:$AJ$4,0)))))</f>
        <v>-131.618</v>
      </c>
      <c r="T6" s="6">
        <f>IF(ISNA(MATCH(T$2,Inputs!$K$4:$AJ$4,0)),NA(),IF(SUMPRODUCT((Inputs!$A$5:$A$140=$B6)*ISNUMBER(INDEX(Inputs!$K$5:$AJ$140,0,MATCH(T$2,Inputs!$K$4:$AJ$4,0))))+SUMPRODUCT((Inputs!$C$5:$C$140=$B6)*ISNUMBER(INDEX(Inputs!$K$5:$AJ$140,0,MATCH(T$2,Inputs!$K$4:$AJ$4,0))))+SUMPRODUCT((Inputs!$E$5:$E$140=$B6)*ISNUMBER(INDEX(Inputs!$K$5:$AJ$140,0,MATCH(T$2,Inputs!$K$4:$AJ$4,0))))=0,NA(),SUMPRODUCT((Inputs!$A$5:$A$140=$B6)*Inputs!$B$5:$B$140*(((Inputs!$G$5:$G$140="moeda")+(Inputs!$G$5:$G$140="acoes"))*Inputs!$B$1+((Inputs!$G$5:$G$140&lt;&gt;"moeda")*(Inputs!$G$5:$G$140&lt;&gt;"acoes")))*INDEX(Inputs!$K$5:$AJ$140,0,MATCH(T$2,Inputs!$K$4:$AJ$4,0)))+SUMPRODUCT((Inputs!$C$5:$C$140=$B6)*Inputs!$D$5:$D$140*(((Inputs!$G$5:$G$140="moeda")+(Inputs!$G$5:$G$140="acoes"))*Inputs!$B$1+((Inputs!$G$5:$G$140&lt;&gt;"moeda")*(Inputs!$G$5:$G$140&lt;&gt;"acoes")))*INDEX(Inputs!$K$5:$AJ$140,0,MATCH(T$2,Inputs!$K$4:$AJ$4,0)))+SUMPRODUCT((Inputs!$E$5:$E$140=$B6)*Inputs!$F$5:$F$140*(((Inputs!$G$5:$G$140="moeda")+(Inputs!$G$5:$G$140="acoes"))*Inputs!$B$1+((Inputs!$G$5:$G$140&lt;&gt;"moeda")*(Inputs!$G$5:$G$140&lt;&gt;"acoes")))*INDEX(Inputs!$K$5:$AJ$140,0,MATCH(T$2,Inputs!$K$4:$AJ$4,0)))))</f>
        <v>-176.387159820001</v>
      </c>
      <c r="U6" s="6">
        <f>IF(ISNA(MATCH(U$2,Inputs!$K$4:$AJ$4,0)),NA(),IF(SUMPRODUCT((Inputs!$A$5:$A$140=$B6)*ISNUMBER(INDEX(Inputs!$K$5:$AJ$140,0,MATCH(U$2,Inputs!$K$4:$AJ$4,0))))+SUMPRODUCT((Inputs!$C$5:$C$140=$B6)*ISNUMBER(INDEX(Inputs!$K$5:$AJ$140,0,MATCH(U$2,Inputs!$K$4:$AJ$4,0))))+SUMPRODUCT((Inputs!$E$5:$E$140=$B6)*ISNUMBER(INDEX(Inputs!$K$5:$AJ$140,0,MATCH(U$2,Inputs!$K$4:$AJ$4,0))))=0,NA(),SUMPRODUCT((Inputs!$A$5:$A$140=$B6)*Inputs!$B$5:$B$140*(((Inputs!$G$5:$G$140="moeda")+(Inputs!$G$5:$G$140="acoes"))*Inputs!$B$1+((Inputs!$G$5:$G$140&lt;&gt;"moeda")*(Inputs!$G$5:$G$140&lt;&gt;"acoes")))*INDEX(Inputs!$K$5:$AJ$140,0,MATCH(U$2,Inputs!$K$4:$AJ$4,0)))+SUMPRODUCT((Inputs!$C$5:$C$140=$B6)*Inputs!$D$5:$D$140*(((Inputs!$G$5:$G$140="moeda")+(Inputs!$G$5:$G$140="acoes"))*Inputs!$B$1+((Inputs!$G$5:$G$140&lt;&gt;"moeda")*(Inputs!$G$5:$G$140&lt;&gt;"acoes")))*INDEX(Inputs!$K$5:$AJ$140,0,MATCH(U$2,Inputs!$K$4:$AJ$4,0)))+SUMPRODUCT((Inputs!$E$5:$E$140=$B6)*Inputs!$F$5:$F$140*(((Inputs!$G$5:$G$140="moeda")+(Inputs!$G$5:$G$140="acoes"))*Inputs!$B$1+((Inputs!$G$5:$G$140&lt;&gt;"moeda")*(Inputs!$G$5:$G$140&lt;&gt;"acoes")))*INDEX(Inputs!$K$5:$AJ$140,0,MATCH(U$2,Inputs!$K$4:$AJ$4,0)))))</f>
        <v>-193.441801055</v>
      </c>
      <c r="V6" s="6">
        <f>IF(ISNA(MATCH(V$2,Inputs!$K$4:$AJ$4,0)),NA(),IF(SUMPRODUCT((Inputs!$A$5:$A$140=$B6)*ISNUMBER(INDEX(Inputs!$K$5:$AJ$140,0,MATCH(V$2,Inputs!$K$4:$AJ$4,0))))+SUMPRODUCT((Inputs!$C$5:$C$140=$B6)*ISNUMBER(INDEX(Inputs!$K$5:$AJ$140,0,MATCH(V$2,Inputs!$K$4:$AJ$4,0))))+SUMPRODUCT((Inputs!$E$5:$E$140=$B6)*ISNUMBER(INDEX(Inputs!$K$5:$AJ$140,0,MATCH(V$2,Inputs!$K$4:$AJ$4,0))))=0,NA(),SUMPRODUCT((Inputs!$A$5:$A$140=$B6)*Inputs!$B$5:$B$140*(((Inputs!$G$5:$G$140="moeda")+(Inputs!$G$5:$G$140="acoes"))*Inputs!$B$1+((Inputs!$G$5:$G$140&lt;&gt;"moeda")*(Inputs!$G$5:$G$140&lt;&gt;"acoes")))*INDEX(Inputs!$K$5:$AJ$140,0,MATCH(V$2,Inputs!$K$4:$AJ$4,0)))+SUMPRODUCT((Inputs!$C$5:$C$140=$B6)*Inputs!$D$5:$D$140*(((Inputs!$G$5:$G$140="moeda")+(Inputs!$G$5:$G$140="acoes"))*Inputs!$B$1+((Inputs!$G$5:$G$140&lt;&gt;"moeda")*(Inputs!$G$5:$G$140&lt;&gt;"acoes")))*INDEX(Inputs!$K$5:$AJ$140,0,MATCH(V$2,Inputs!$K$4:$AJ$4,0)))+SUMPRODUCT((Inputs!$E$5:$E$140=$B6)*Inputs!$F$5:$F$140*(((Inputs!$G$5:$G$140="moeda")+(Inputs!$G$5:$G$140="acoes"))*Inputs!$B$1+((Inputs!$G$5:$G$140&lt;&gt;"moeda")*(Inputs!$G$5:$G$140&lt;&gt;"acoes")))*INDEX(Inputs!$K$5:$AJ$140,0,MATCH(V$2,Inputs!$K$4:$AJ$4,0)))))</f>
        <v>-169.22181269</v>
      </c>
      <c r="W6" s="3">
        <f>SUM(S6:V6)</f>
        <v>-670.668773565001</v>
      </c>
      <c r="X6" s="6">
        <f>IF(ISNA(MATCH(X$2,Inputs!$K$4:$AJ$4,0)),NA(),IF(SUMPRODUCT((Inputs!$A$5:$A$140=$B6)*ISNUMBER(INDEX(Inputs!$K$5:$AJ$140,0,MATCH(X$2,Inputs!$K$4:$AJ$4,0))))+SUMPRODUCT((Inputs!$C$5:$C$140=$B6)*ISNUMBER(INDEX(Inputs!$K$5:$AJ$140,0,MATCH(X$2,Inputs!$K$4:$AJ$4,0))))+SUMPRODUCT((Inputs!$E$5:$E$140=$B6)*ISNUMBER(INDEX(Inputs!$K$5:$AJ$140,0,MATCH(X$2,Inputs!$K$4:$AJ$4,0))))=0,NA(),SUMPRODUCT((Inputs!$A$5:$A$140=$B6)*Inputs!$B$5:$B$140*(((Inputs!$G$5:$G$140="moeda")+(Inputs!$G$5:$G$140="acoes"))*Inputs!$B$1+((Inputs!$G$5:$G$140&lt;&gt;"moeda")*(Inputs!$G$5:$G$140&lt;&gt;"acoes")))*INDEX(Inputs!$K$5:$AJ$140,0,MATCH(X$2,Inputs!$K$4:$AJ$4,0)))+SUMPRODUCT((Inputs!$C$5:$C$140=$B6)*Inputs!$D$5:$D$140*(((Inputs!$G$5:$G$140="moeda")+(Inputs!$G$5:$G$140="acoes"))*Inputs!$B$1+((Inputs!$G$5:$G$140&lt;&gt;"moeda")*(Inputs!$G$5:$G$140&lt;&gt;"acoes")))*INDEX(Inputs!$K$5:$AJ$140,0,MATCH(X$2,Inputs!$K$4:$AJ$4,0)))+SUMPRODUCT((Inputs!$E$5:$E$140=$B6)*Inputs!$F$5:$F$140*(((Inputs!$G$5:$G$140="moeda")+(Inputs!$G$5:$G$140="acoes"))*Inputs!$B$1+((Inputs!$G$5:$G$140&lt;&gt;"moeda")*(Inputs!$G$5:$G$140&lt;&gt;"acoes")))*INDEX(Inputs!$K$5:$AJ$140,0,MATCH(X$2,Inputs!$K$4:$AJ$4,0)))))</f>
        <v>-187.796</v>
      </c>
      <c r="Y6" s="6">
        <f>IF(ISNA(MATCH(Y$2,Inputs!$K$4:$AJ$4,0)),NA(),IF(SUMPRODUCT((Inputs!$A$5:$A$140=$B6)*ISNUMBER(INDEX(Inputs!$K$5:$AJ$140,0,MATCH(Y$2,Inputs!$K$4:$AJ$4,0))))+SUMPRODUCT((Inputs!$C$5:$C$140=$B6)*ISNUMBER(INDEX(Inputs!$K$5:$AJ$140,0,MATCH(Y$2,Inputs!$K$4:$AJ$4,0))))+SUMPRODUCT((Inputs!$E$5:$E$140=$B6)*ISNUMBER(INDEX(Inputs!$K$5:$AJ$140,0,MATCH(Y$2,Inputs!$K$4:$AJ$4,0))))=0,NA(),SUMPRODUCT((Inputs!$A$5:$A$140=$B6)*Inputs!$B$5:$B$140*(((Inputs!$G$5:$G$140="moeda")+(Inputs!$G$5:$G$140="acoes"))*Inputs!$B$1+((Inputs!$G$5:$G$140&lt;&gt;"moeda")*(Inputs!$G$5:$G$140&lt;&gt;"acoes")))*INDEX(Inputs!$K$5:$AJ$140,0,MATCH(Y$2,Inputs!$K$4:$AJ$4,0)))+SUMPRODUCT((Inputs!$C$5:$C$140=$B6)*Inputs!$D$5:$D$140*(((Inputs!$G$5:$G$140="moeda")+(Inputs!$G$5:$G$140="acoes"))*Inputs!$B$1+((Inputs!$G$5:$G$140&lt;&gt;"moeda")*(Inputs!$G$5:$G$140&lt;&gt;"acoes")))*INDEX(Inputs!$K$5:$AJ$140,0,MATCH(Y$2,Inputs!$K$4:$AJ$4,0)))+SUMPRODUCT((Inputs!$E$5:$E$140=$B6)*Inputs!$F$5:$F$140*(((Inputs!$G$5:$G$140="moeda")+(Inputs!$G$5:$G$140="acoes"))*Inputs!$B$1+((Inputs!$G$5:$G$140&lt;&gt;"moeda")*(Inputs!$G$5:$G$140&lt;&gt;"acoes")))*INDEX(Inputs!$K$5:$AJ$140,0,MATCH(Y$2,Inputs!$K$4:$AJ$4,0)))))</f>
        <v>-210.88850213</v>
      </c>
      <c r="Z6" s="6">
        <f>IF(ISNA(MATCH(Z$2,Inputs!$K$4:$AJ$4,0)),NA(),IF(SUMPRODUCT((Inputs!$A$5:$A$140=$B6)*ISNUMBER(INDEX(Inputs!$K$5:$AJ$140,0,MATCH(Z$2,Inputs!$K$4:$AJ$4,0))))+SUMPRODUCT((Inputs!$C$5:$C$140=$B6)*ISNUMBER(INDEX(Inputs!$K$5:$AJ$140,0,MATCH(Z$2,Inputs!$K$4:$AJ$4,0))))+SUMPRODUCT((Inputs!$E$5:$E$140=$B6)*ISNUMBER(INDEX(Inputs!$K$5:$AJ$140,0,MATCH(Z$2,Inputs!$K$4:$AJ$4,0))))=0,NA(),SUMPRODUCT((Inputs!$A$5:$A$140=$B6)*Inputs!$B$5:$B$140*(((Inputs!$G$5:$G$140="moeda")+(Inputs!$G$5:$G$140="acoes"))*Inputs!$B$1+((Inputs!$G$5:$G$140&lt;&gt;"moeda")*(Inputs!$G$5:$G$140&lt;&gt;"acoes")))*INDEX(Inputs!$K$5:$AJ$140,0,MATCH(Z$2,Inputs!$K$4:$AJ$4,0)))+SUMPRODUCT((Inputs!$C$5:$C$140=$B6)*Inputs!$D$5:$D$140*(((Inputs!$G$5:$G$140="moeda")+(Inputs!$G$5:$G$140="acoes"))*Inputs!$B$1+((Inputs!$G$5:$G$140&lt;&gt;"moeda")*(Inputs!$G$5:$G$140&lt;&gt;"acoes")))*INDEX(Inputs!$K$5:$AJ$140,0,MATCH(Z$2,Inputs!$K$4:$AJ$4,0)))+SUMPRODUCT((Inputs!$E$5:$E$140=$B6)*Inputs!$F$5:$F$140*(((Inputs!$G$5:$G$140="moeda")+(Inputs!$G$5:$G$140="acoes"))*Inputs!$B$1+((Inputs!$G$5:$G$140&lt;&gt;"moeda")*(Inputs!$G$5:$G$140&lt;&gt;"acoes")))*INDEX(Inputs!$K$5:$AJ$140,0,MATCH(Z$2,Inputs!$K$4:$AJ$4,0)))))</f>
        <v>-231.513</v>
      </c>
      <c r="AA6" s="6">
        <f>IF(ISNA(MATCH(AA$2,Inputs!$K$4:$AJ$4,0)),NA(),IF(SUMPRODUCT((Inputs!$A$5:$A$140=$B6)*ISNUMBER(INDEX(Inputs!$K$5:$AJ$140,0,MATCH(AA$2,Inputs!$K$4:$AJ$4,0))))+SUMPRODUCT((Inputs!$C$5:$C$140=$B6)*ISNUMBER(INDEX(Inputs!$K$5:$AJ$140,0,MATCH(AA$2,Inputs!$K$4:$AJ$4,0))))+SUMPRODUCT((Inputs!$E$5:$E$140=$B6)*ISNUMBER(INDEX(Inputs!$K$5:$AJ$140,0,MATCH(AA$2,Inputs!$K$4:$AJ$4,0))))=0,NA(),SUMPRODUCT((Inputs!$A$5:$A$140=$B6)*Inputs!$B$5:$B$140*(((Inputs!$G$5:$G$140="moeda")+(Inputs!$G$5:$G$140="acoes"))*Inputs!$B$1+((Inputs!$G$5:$G$140&lt;&gt;"moeda")*(Inputs!$G$5:$G$140&lt;&gt;"acoes")))*INDEX(Inputs!$K$5:$AJ$140,0,MATCH(AA$2,Inputs!$K$4:$AJ$4,0)))+SUMPRODUCT((Inputs!$C$5:$C$140=$B6)*Inputs!$D$5:$D$140*(((Inputs!$G$5:$G$140="moeda")+(Inputs!$G$5:$G$140="acoes"))*Inputs!$B$1+((Inputs!$G$5:$G$140&lt;&gt;"moeda")*(Inputs!$G$5:$G$140&lt;&gt;"acoes")))*INDEX(Inputs!$K$5:$AJ$140,0,MATCH(AA$2,Inputs!$K$4:$AJ$4,0)))+SUMPRODUCT((Inputs!$E$5:$E$140=$B6)*Inputs!$F$5:$F$140*(((Inputs!$G$5:$G$140="moeda")+(Inputs!$G$5:$G$140="acoes"))*Inputs!$B$1+((Inputs!$G$5:$G$140&lt;&gt;"moeda")*(Inputs!$G$5:$G$140&lt;&gt;"acoes")))*INDEX(Inputs!$K$5:$AJ$140,0,MATCH(AA$2,Inputs!$K$4:$AJ$4,0)))))</f>
        <v>-220.841</v>
      </c>
      <c r="AB6" s="3">
        <f>SUM(X6:AA6)</f>
        <v>-851.03850213</v>
      </c>
      <c r="AC6" s="6">
        <f>IF(ISNA(MATCH(AC$2,Inputs!$K$4:$AJ$4,0)),NA(),IF(SUMPRODUCT((Inputs!$A$5:$A$140=$B6)*ISNUMBER(INDEX(Inputs!$K$5:$AJ$140,0,MATCH(AC$2,Inputs!$K$4:$AJ$4,0))))+SUMPRODUCT((Inputs!$C$5:$C$140=$B6)*ISNUMBER(INDEX(Inputs!$K$5:$AJ$140,0,MATCH(AC$2,Inputs!$K$4:$AJ$4,0))))+SUMPRODUCT((Inputs!$E$5:$E$140=$B6)*ISNUMBER(INDEX(Inputs!$K$5:$AJ$140,0,MATCH(AC$2,Inputs!$K$4:$AJ$4,0))))=0,NA(),SUMPRODUCT((Inputs!$A$5:$A$140=$B6)*Inputs!$B$5:$B$140*(((Inputs!$G$5:$G$140="moeda")+(Inputs!$G$5:$G$140="acoes"))*Inputs!$B$1+((Inputs!$G$5:$G$140&lt;&gt;"moeda")*(Inputs!$G$5:$G$140&lt;&gt;"acoes")))*INDEX(Inputs!$K$5:$AJ$140,0,MATCH(AC$2,Inputs!$K$4:$AJ$4,0)))+SUMPRODUCT((Inputs!$C$5:$C$140=$B6)*Inputs!$D$5:$D$140*(((Inputs!$G$5:$G$140="moeda")+(Inputs!$G$5:$G$140="acoes"))*Inputs!$B$1+((Inputs!$G$5:$G$140&lt;&gt;"moeda")*(Inputs!$G$5:$G$140&lt;&gt;"acoes")))*INDEX(Inputs!$K$5:$AJ$140,0,MATCH(AC$2,Inputs!$K$4:$AJ$4,0)))+SUMPRODUCT((Inputs!$E$5:$E$140=$B6)*Inputs!$F$5:$F$140*(((Inputs!$G$5:$G$140="moeda")+(Inputs!$G$5:$G$140="acoes"))*Inputs!$B$1+((Inputs!$G$5:$G$140&lt;&gt;"moeda")*(Inputs!$G$5:$G$140&lt;&gt;"acoes")))*INDEX(Inputs!$K$5:$AJ$140,0,MATCH(AC$2,Inputs!$K$4:$AJ$4,0)))))</f>
        <v>-220.444</v>
      </c>
      <c r="AD6" s="6">
        <f>IF(ISNA(MATCH(AD$2,Inputs!$K$4:$AJ$4,0)),NA(),IF(SUMPRODUCT((Inputs!$A$5:$A$140=$B6)*ISNUMBER(INDEX(Inputs!$K$5:$AJ$140,0,MATCH(AD$2,Inputs!$K$4:$AJ$4,0))))+SUMPRODUCT((Inputs!$C$5:$C$140=$B6)*ISNUMBER(INDEX(Inputs!$K$5:$AJ$140,0,MATCH(AD$2,Inputs!$K$4:$AJ$4,0))))+SUMPRODUCT((Inputs!$E$5:$E$140=$B6)*ISNUMBER(INDEX(Inputs!$K$5:$AJ$140,0,MATCH(AD$2,Inputs!$K$4:$AJ$4,0))))=0,NA(),SUMPRODUCT((Inputs!$A$5:$A$140=$B6)*Inputs!$B$5:$B$140*(((Inputs!$G$5:$G$140="moeda")+(Inputs!$G$5:$G$140="acoes"))*Inputs!$B$1+((Inputs!$G$5:$G$140&lt;&gt;"moeda")*(Inputs!$G$5:$G$140&lt;&gt;"acoes")))*INDEX(Inputs!$K$5:$AJ$140,0,MATCH(AD$2,Inputs!$K$4:$AJ$4,0)))+SUMPRODUCT((Inputs!$C$5:$C$140=$B6)*Inputs!$D$5:$D$140*(((Inputs!$G$5:$G$140="moeda")+(Inputs!$G$5:$G$140="acoes"))*Inputs!$B$1+((Inputs!$G$5:$G$140&lt;&gt;"moeda")*(Inputs!$G$5:$G$140&lt;&gt;"acoes")))*INDEX(Inputs!$K$5:$AJ$140,0,MATCH(AD$2,Inputs!$K$4:$AJ$4,0)))+SUMPRODUCT((Inputs!$E$5:$E$140=$B6)*Inputs!$F$5:$F$140*(((Inputs!$G$5:$G$140="moeda")+(Inputs!$G$5:$G$140="acoes"))*Inputs!$B$1+((Inputs!$G$5:$G$140&lt;&gt;"moeda")*(Inputs!$G$5:$G$140&lt;&gt;"acoes")))*INDEX(Inputs!$K$5:$AJ$140,0,MATCH(AD$2,Inputs!$K$4:$AJ$4,0)))))</f>
        <v>-282.4</v>
      </c>
      <c r="AE6" s="6" t="e">
        <f>IF(ISNA(MATCH(AE$2,Inputs!$K$4:$AJ$4,0)),NA(),IF(SUMPRODUCT((Inputs!$A$5:$A$140=$B6)*ISNUMBER(INDEX(Inputs!$K$5:$AJ$140,0,MATCH(AE$2,Inputs!$K$4:$AJ$4,0))))+SUMPRODUCT((Inputs!$C$5:$C$140=$B6)*ISNUMBER(INDEX(Inputs!$K$5:$AJ$140,0,MATCH(AE$2,Inputs!$K$4:$AJ$4,0))))+SUMPRODUCT((Inputs!$E$5:$E$140=$B6)*ISNUMBER(INDEX(Inputs!$K$5:$AJ$140,0,MATCH(AE$2,Inputs!$K$4:$AJ$4,0))))=0,NA(),SUMPRODUCT((Inputs!$A$5:$A$140=$B6)*Inputs!$B$5:$B$140*(((Inputs!$G$5:$G$140="moeda")+(Inputs!$G$5:$G$140="acoes"))*Inputs!$B$1+((Inputs!$G$5:$G$140&lt;&gt;"moeda")*(Inputs!$G$5:$G$140&lt;&gt;"acoes")))*INDEX(Inputs!$K$5:$AJ$140,0,MATCH(AE$2,Inputs!$K$4:$AJ$4,0)))+SUMPRODUCT((Inputs!$C$5:$C$140=$B6)*Inputs!$D$5:$D$140*(((Inputs!$G$5:$G$140="moeda")+(Inputs!$G$5:$G$140="acoes"))*Inputs!$B$1+((Inputs!$G$5:$G$140&lt;&gt;"moeda")*(Inputs!$G$5:$G$140&lt;&gt;"acoes")))*INDEX(Inputs!$K$5:$AJ$140,0,MATCH(AE$2,Inputs!$K$4:$AJ$4,0)))+SUMPRODUCT((Inputs!$E$5:$E$140=$B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" s="6" t="e">
        <f>IF(ISNA(MATCH(AF$2,Inputs!$K$4:$AJ$4,0)),NA(),IF(SUMPRODUCT((Inputs!$A$5:$A$140=$B6)*ISNUMBER(INDEX(Inputs!$K$5:$AJ$140,0,MATCH(AF$2,Inputs!$K$4:$AJ$4,0))))+SUMPRODUCT((Inputs!$C$5:$C$140=$B6)*ISNUMBER(INDEX(Inputs!$K$5:$AJ$140,0,MATCH(AF$2,Inputs!$K$4:$AJ$4,0))))+SUMPRODUCT((Inputs!$E$5:$E$140=$B6)*ISNUMBER(INDEX(Inputs!$K$5:$AJ$140,0,MATCH(AF$2,Inputs!$K$4:$AJ$4,0))))=0,NA(),SUMPRODUCT((Inputs!$A$5:$A$140=$B6)*Inputs!$B$5:$B$140*(((Inputs!$G$5:$G$140="moeda")+(Inputs!$G$5:$G$140="acoes"))*Inputs!$B$1+((Inputs!$G$5:$G$140&lt;&gt;"moeda")*(Inputs!$G$5:$G$140&lt;&gt;"acoes")))*INDEX(Inputs!$K$5:$AJ$140,0,MATCH(AF$2,Inputs!$K$4:$AJ$4,0)))+SUMPRODUCT((Inputs!$C$5:$C$140=$B6)*Inputs!$D$5:$D$140*(((Inputs!$G$5:$G$140="moeda")+(Inputs!$G$5:$G$140="acoes"))*Inputs!$B$1+((Inputs!$G$5:$G$140&lt;&gt;"moeda")*(Inputs!$G$5:$G$140&lt;&gt;"acoes")))*INDEX(Inputs!$K$5:$AJ$140,0,MATCH(AF$2,Inputs!$K$4:$AJ$4,0)))+SUMPRODUCT((Inputs!$E$5:$E$140=$B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" s="3" t="e">
        <f>SUM(AC6:AF6)</f>
        <v>#N/A</v>
      </c>
      <c r="AH6" s="6">
        <f>IF(ISNA(MATCH(AH$2,Inputs!$K$4:$AJ$4,0)),NA(),IF(SUMPRODUCT((Inputs!$A$5:$A$140=$B6)*ISNUMBER(INDEX(Inputs!$K$5:$AJ$140,0,MATCH(AH$2,Inputs!$K$4:$AJ$4,0))))+SUMPRODUCT((Inputs!$C$5:$C$140=$B6)*ISNUMBER(INDEX(Inputs!$K$5:$AJ$140,0,MATCH(AH$2,Inputs!$K$4:$AJ$4,0))))+SUMPRODUCT((Inputs!$E$5:$E$140=$B6)*ISNUMBER(INDEX(Inputs!$K$5:$AJ$140,0,MATCH(AH$2,Inputs!$K$4:$AJ$4,0))))=0,NA(),SUMPRODUCT((Inputs!$A$5:$A$140=$B6)*Inputs!$B$5:$B$140*(((Inputs!$G$5:$G$140="moeda")+(Inputs!$G$5:$G$140="acoes"))*Inputs!$B$1+((Inputs!$G$5:$G$140&lt;&gt;"moeda")*(Inputs!$G$5:$G$140&lt;&gt;"acoes")))*INDEX(Inputs!$K$5:$AJ$140,0,MATCH(AH$2,Inputs!$K$4:$AJ$4,0)))+SUMPRODUCT((Inputs!$C$5:$C$140=$B6)*Inputs!$D$5:$D$140*(((Inputs!$G$5:$G$140="moeda")+(Inputs!$G$5:$G$140="acoes"))*Inputs!$B$1+((Inputs!$G$5:$G$140&lt;&gt;"moeda")*(Inputs!$G$5:$G$140&lt;&gt;"acoes")))*INDEX(Inputs!$K$5:$AJ$140,0,MATCH(AH$2,Inputs!$K$4:$AJ$4,0)))+SUMPRODUCT((Inputs!$E$5:$E$140=$B6)*Inputs!$F$5:$F$140*(((Inputs!$G$5:$G$140="moeda")+(Inputs!$G$5:$G$140="acoes"))*Inputs!$B$1+((Inputs!$G$5:$G$140&lt;&gt;"moeda")*(Inputs!$G$5:$G$140&lt;&gt;"acoes")))*INDEX(Inputs!$K$5:$AJ$140,0,MATCH(AH$2,Inputs!$K$4:$AJ$4,0)))))</f>
        <v>-50.676</v>
      </c>
      <c r="AI6" s="6">
        <f>IF(ISNA(MATCH(AI$2,Inputs!$K$4:$AJ$4,0)),NA(),IF(SUMPRODUCT((Inputs!$A$5:$A$140=$B6)*ISNUMBER(INDEX(Inputs!$K$5:$AJ$140,0,MATCH(AI$2,Inputs!$K$4:$AJ$4,0))))+SUMPRODUCT((Inputs!$C$5:$C$140=$B6)*ISNUMBER(INDEX(Inputs!$K$5:$AJ$140,0,MATCH(AI$2,Inputs!$K$4:$AJ$4,0))))+SUMPRODUCT((Inputs!$E$5:$E$140=$B6)*ISNUMBER(INDEX(Inputs!$K$5:$AJ$140,0,MATCH(AI$2,Inputs!$K$4:$AJ$4,0))))=0,NA(),SUMPRODUCT((Inputs!$A$5:$A$140=$B6)*Inputs!$B$5:$B$140*(((Inputs!$G$5:$G$140="moeda")+(Inputs!$G$5:$G$140="acoes"))*Inputs!$B$1+((Inputs!$G$5:$G$140&lt;&gt;"moeda")*(Inputs!$G$5:$G$140&lt;&gt;"acoes")))*INDEX(Inputs!$K$5:$AJ$140,0,MATCH(AI$2,Inputs!$K$4:$AJ$4,0)))+SUMPRODUCT((Inputs!$C$5:$C$140=$B6)*Inputs!$D$5:$D$140*(((Inputs!$G$5:$G$140="moeda")+(Inputs!$G$5:$G$140="acoes"))*Inputs!$B$1+((Inputs!$G$5:$G$140&lt;&gt;"moeda")*(Inputs!$G$5:$G$140&lt;&gt;"acoes")))*INDEX(Inputs!$K$5:$AJ$140,0,MATCH(AI$2,Inputs!$K$4:$AJ$4,0)))+SUMPRODUCT((Inputs!$E$5:$E$140=$B6)*Inputs!$F$5:$F$140*(((Inputs!$G$5:$G$140="moeda")+(Inputs!$G$5:$G$140="acoes"))*Inputs!$B$1+((Inputs!$G$5:$G$140&lt;&gt;"moeda")*(Inputs!$G$5:$G$140&lt;&gt;"acoes")))*INDEX(Inputs!$K$5:$AJ$140,0,MATCH(AI$2,Inputs!$K$4:$AJ$4,0)))))</f>
        <v>-38.179</v>
      </c>
      <c r="AJ6" s="6">
        <f>IF(ISNA(MATCH(AJ$2,Inputs!$K$4:$AJ$4,0)),NA(),IF(SUMPRODUCT((Inputs!$A$5:$A$140=$B6)*ISNUMBER(INDEX(Inputs!$K$5:$AJ$140,0,MATCH(AJ$2,Inputs!$K$4:$AJ$4,0))))+SUMPRODUCT((Inputs!$C$5:$C$140=$B6)*ISNUMBER(INDEX(Inputs!$K$5:$AJ$140,0,MATCH(AJ$2,Inputs!$K$4:$AJ$4,0))))+SUMPRODUCT((Inputs!$E$5:$E$140=$B6)*ISNUMBER(INDEX(Inputs!$K$5:$AJ$140,0,MATCH(AJ$2,Inputs!$K$4:$AJ$4,0))))=0,NA(),SUMPRODUCT((Inputs!$A$5:$A$140=$B6)*Inputs!$B$5:$B$140*(((Inputs!$G$5:$G$140="moeda")+(Inputs!$G$5:$G$140="acoes"))*Inputs!$B$1+((Inputs!$G$5:$G$140&lt;&gt;"moeda")*(Inputs!$G$5:$G$140&lt;&gt;"acoes")))*INDEX(Inputs!$K$5:$AJ$140,0,MATCH(AJ$2,Inputs!$K$4:$AJ$4,0)))+SUMPRODUCT((Inputs!$C$5:$C$140=$B6)*Inputs!$D$5:$D$140*(((Inputs!$G$5:$G$140="moeda")+(Inputs!$G$5:$G$140="acoes"))*Inputs!$B$1+((Inputs!$G$5:$G$140&lt;&gt;"moeda")*(Inputs!$G$5:$G$140&lt;&gt;"acoes")))*INDEX(Inputs!$K$5:$AJ$140,0,MATCH(AJ$2,Inputs!$K$4:$AJ$4,0)))+SUMPRODUCT((Inputs!$E$5:$E$140=$B6)*Inputs!$F$5:$F$140*(((Inputs!$G$5:$G$140="moeda")+(Inputs!$G$5:$G$140="acoes"))*Inputs!$B$1+((Inputs!$G$5:$G$140&lt;&gt;"moeda")*(Inputs!$G$5:$G$140&lt;&gt;"acoes")))*INDEX(Inputs!$K$5:$AJ$140,0,MATCH(AJ$2,Inputs!$K$4:$AJ$4,0)))))</f>
        <v>-55.998</v>
      </c>
      <c r="AK6" s="6">
        <f>IF(ISNA(MATCH(AK$2,Inputs!$K$4:$AJ$4,0)),NA(),IF(SUMPRODUCT((Inputs!$A$5:$A$140=$B6)*ISNUMBER(INDEX(Inputs!$K$5:$AJ$140,0,MATCH(AK$2,Inputs!$K$4:$AJ$4,0))))+SUMPRODUCT((Inputs!$C$5:$C$140=$B6)*ISNUMBER(INDEX(Inputs!$K$5:$AJ$140,0,MATCH(AK$2,Inputs!$K$4:$AJ$4,0))))+SUMPRODUCT((Inputs!$E$5:$E$140=$B6)*ISNUMBER(INDEX(Inputs!$K$5:$AJ$140,0,MATCH(AK$2,Inputs!$K$4:$AJ$4,0))))=0,NA(),SUMPRODUCT((Inputs!$A$5:$A$140=$B6)*Inputs!$B$5:$B$140*(((Inputs!$G$5:$G$140="moeda")+(Inputs!$G$5:$G$140="acoes"))*Inputs!$B$1+((Inputs!$G$5:$G$140&lt;&gt;"moeda")*(Inputs!$G$5:$G$140&lt;&gt;"acoes")))*INDEX(Inputs!$K$5:$AJ$140,0,MATCH(AK$2,Inputs!$K$4:$AJ$4,0)))+SUMPRODUCT((Inputs!$C$5:$C$140=$B6)*Inputs!$D$5:$D$140*(((Inputs!$G$5:$G$140="moeda")+(Inputs!$G$5:$G$140="acoes"))*Inputs!$B$1+((Inputs!$G$5:$G$140&lt;&gt;"moeda")*(Inputs!$G$5:$G$140&lt;&gt;"acoes")))*INDEX(Inputs!$K$5:$AJ$140,0,MATCH(AK$2,Inputs!$K$4:$AJ$4,0)))+SUMPRODUCT((Inputs!$E$5:$E$140=$B6)*Inputs!$F$5:$F$140*(((Inputs!$G$5:$G$140="moeda")+(Inputs!$G$5:$G$140="acoes"))*Inputs!$B$1+((Inputs!$G$5:$G$140&lt;&gt;"moeda")*(Inputs!$G$5:$G$140&lt;&gt;"acoes")))*INDEX(Inputs!$K$5:$AJ$140,0,MATCH(AK$2,Inputs!$K$4:$AJ$4,0)))))</f>
        <v>-57.01428994</v>
      </c>
      <c r="AL6" s="3">
        <f>SUM(AH6:AK6)</f>
        <v>-201.86728994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$140=$B7)*ISNUMBER(INDEX(Inputs!$K$5:$AJ$140,0,MATCH(D$2,Inputs!$K$4:$AJ$4,0))))+SUMPRODUCT((Inputs!$C$5:$C$140=$B7)*ISNUMBER(INDEX(Inputs!$K$5:$AJ$140,0,MATCH(D$2,Inputs!$K$4:$AJ$4,0))))+SUMPRODUCT((Inputs!$E$5:$E$140=$B7)*ISNUMBER(INDEX(Inputs!$K$5:$AJ$140,0,MATCH(D$2,Inputs!$K$4:$AJ$4,0))))=0,NA(),SUMPRODUCT((Inputs!$A$5:$A$140=$B7)*Inputs!$B$5:$B$140*(((Inputs!$G$5:$G$140="moeda")+(Inputs!$G$5:$G$140="acoes"))*Inputs!$B$1+((Inputs!$G$5:$G$140&lt;&gt;"moeda")*(Inputs!$G$5:$G$140&lt;&gt;"acoes")))*INDEX(Inputs!$K$5:$AJ$140,0,MATCH(D$2,Inputs!$K$4:$AJ$4,0)))+SUMPRODUCT((Inputs!$C$5:$C$140=$B7)*Inputs!$D$5:$D$140*(((Inputs!$G$5:$G$140="moeda")+(Inputs!$G$5:$G$140="acoes"))*Inputs!$B$1+((Inputs!$G$5:$G$140&lt;&gt;"moeda")*(Inputs!$G$5:$G$140&lt;&gt;"acoes")))*INDEX(Inputs!$K$5:$AJ$140,0,MATCH(D$2,Inputs!$K$4:$AJ$4,0)))+SUMPRODUCT((Inputs!$E$5:$E$140=$B7)*Inputs!$F$5:$F$140*(((Inputs!$G$5:$G$140="moeda")+(Inputs!$G$5:$G$140="acoes"))*Inputs!$B$1+((Inputs!$G$5:$G$140&lt;&gt;"moeda")*(Inputs!$G$5:$G$140&lt;&gt;"acoes")))*INDEX(Inputs!$K$5:$AJ$140,0,MATCH(D$2,Inputs!$K$4:$AJ$4,0)))))</f>
        <v>-0.334652710000039</v>
      </c>
      <c r="E7" s="6">
        <f>IF(ISNA(MATCH(E$2,Inputs!$K$4:$AJ$4,0)),NA(),IF(SUMPRODUCT((Inputs!$A$5:$A$140=$B7)*ISNUMBER(INDEX(Inputs!$K$5:$AJ$140,0,MATCH(E$2,Inputs!$K$4:$AJ$4,0))))+SUMPRODUCT((Inputs!$C$5:$C$140=$B7)*ISNUMBER(INDEX(Inputs!$K$5:$AJ$140,0,MATCH(E$2,Inputs!$K$4:$AJ$4,0))))+SUMPRODUCT((Inputs!$E$5:$E$140=$B7)*ISNUMBER(INDEX(Inputs!$K$5:$AJ$140,0,MATCH(E$2,Inputs!$K$4:$AJ$4,0))))=0,NA(),SUMPRODUCT((Inputs!$A$5:$A$140=$B7)*Inputs!$B$5:$B$140*(((Inputs!$G$5:$G$140="moeda")+(Inputs!$G$5:$G$140="acoes"))*Inputs!$B$1+((Inputs!$G$5:$G$140&lt;&gt;"moeda")*(Inputs!$G$5:$G$140&lt;&gt;"acoes")))*INDEX(Inputs!$K$5:$AJ$140,0,MATCH(E$2,Inputs!$K$4:$AJ$4,0)))+SUMPRODUCT((Inputs!$C$5:$C$140=$B7)*Inputs!$D$5:$D$140*(((Inputs!$G$5:$G$140="moeda")+(Inputs!$G$5:$G$140="acoes"))*Inputs!$B$1+((Inputs!$G$5:$G$140&lt;&gt;"moeda")*(Inputs!$G$5:$G$140&lt;&gt;"acoes")))*INDEX(Inputs!$K$5:$AJ$140,0,MATCH(E$2,Inputs!$K$4:$AJ$4,0)))+SUMPRODUCT((Inputs!$E$5:$E$140=$B7)*Inputs!$F$5:$F$140*(((Inputs!$G$5:$G$140="moeda")+(Inputs!$G$5:$G$140="acoes"))*Inputs!$B$1+((Inputs!$G$5:$G$140&lt;&gt;"moeda")*(Inputs!$G$5:$G$140&lt;&gt;"acoes")))*INDEX(Inputs!$K$5:$AJ$140,0,MATCH(E$2,Inputs!$K$4:$AJ$4,0)))))</f>
        <v>-0.355058499999999</v>
      </c>
      <c r="F7" s="6">
        <f>IF(ISNA(MATCH(F$2,Inputs!$K$4:$AJ$4,0)),NA(),IF(SUMPRODUCT((Inputs!$A$5:$A$140=$B7)*ISNUMBER(INDEX(Inputs!$K$5:$AJ$140,0,MATCH(F$2,Inputs!$K$4:$AJ$4,0))))+SUMPRODUCT((Inputs!$C$5:$C$140=$B7)*ISNUMBER(INDEX(Inputs!$K$5:$AJ$140,0,MATCH(F$2,Inputs!$K$4:$AJ$4,0))))+SUMPRODUCT((Inputs!$E$5:$E$140=$B7)*ISNUMBER(INDEX(Inputs!$K$5:$AJ$140,0,MATCH(F$2,Inputs!$K$4:$AJ$4,0))))=0,NA(),SUMPRODUCT((Inputs!$A$5:$A$140=$B7)*Inputs!$B$5:$B$140*(((Inputs!$G$5:$G$140="moeda")+(Inputs!$G$5:$G$140="acoes"))*Inputs!$B$1+((Inputs!$G$5:$G$140&lt;&gt;"moeda")*(Inputs!$G$5:$G$140&lt;&gt;"acoes")))*INDEX(Inputs!$K$5:$AJ$140,0,MATCH(F$2,Inputs!$K$4:$AJ$4,0)))+SUMPRODUCT((Inputs!$C$5:$C$140=$B7)*Inputs!$D$5:$D$140*(((Inputs!$G$5:$G$140="moeda")+(Inputs!$G$5:$G$140="acoes"))*Inputs!$B$1+((Inputs!$G$5:$G$140&lt;&gt;"moeda")*(Inputs!$G$5:$G$140&lt;&gt;"acoes")))*INDEX(Inputs!$K$5:$AJ$140,0,MATCH(F$2,Inputs!$K$4:$AJ$4,0)))+SUMPRODUCT((Inputs!$E$5:$E$140=$B7)*Inputs!$F$5:$F$140*(((Inputs!$G$5:$G$140="moeda")+(Inputs!$G$5:$G$140="acoes"))*Inputs!$B$1+((Inputs!$G$5:$G$140&lt;&gt;"moeda")*(Inputs!$G$5:$G$140&lt;&gt;"acoes")))*INDEX(Inputs!$K$5:$AJ$140,0,MATCH(F$2,Inputs!$K$4:$AJ$4,0)))))</f>
        <v>-0.375960359999997</v>
      </c>
      <c r="G7" s="6">
        <f>IF(ISNA(MATCH(G$2,Inputs!$K$4:$AJ$4,0)),NA(),IF(SUMPRODUCT((Inputs!$A$5:$A$140=$B7)*ISNUMBER(INDEX(Inputs!$K$5:$AJ$140,0,MATCH(G$2,Inputs!$K$4:$AJ$4,0))))+SUMPRODUCT((Inputs!$C$5:$C$140=$B7)*ISNUMBER(INDEX(Inputs!$K$5:$AJ$140,0,MATCH(G$2,Inputs!$K$4:$AJ$4,0))))+SUMPRODUCT((Inputs!$E$5:$E$140=$B7)*ISNUMBER(INDEX(Inputs!$K$5:$AJ$140,0,MATCH(G$2,Inputs!$K$4:$AJ$4,0))))=0,NA(),SUMPRODUCT((Inputs!$A$5:$A$140=$B7)*Inputs!$B$5:$B$140*(((Inputs!$G$5:$G$140="moeda")+(Inputs!$G$5:$G$140="acoes"))*Inputs!$B$1+((Inputs!$G$5:$G$140&lt;&gt;"moeda")*(Inputs!$G$5:$G$140&lt;&gt;"acoes")))*INDEX(Inputs!$K$5:$AJ$140,0,MATCH(G$2,Inputs!$K$4:$AJ$4,0)))+SUMPRODUCT((Inputs!$C$5:$C$140=$B7)*Inputs!$D$5:$D$140*(((Inputs!$G$5:$G$140="moeda")+(Inputs!$G$5:$G$140="acoes"))*Inputs!$B$1+((Inputs!$G$5:$G$140&lt;&gt;"moeda")*(Inputs!$G$5:$G$140&lt;&gt;"acoes")))*INDEX(Inputs!$K$5:$AJ$140,0,MATCH(G$2,Inputs!$K$4:$AJ$4,0)))+SUMPRODUCT((Inputs!$E$5:$E$140=$B7)*Inputs!$F$5:$F$140*(((Inputs!$G$5:$G$140="moeda")+(Inputs!$G$5:$G$140="acoes"))*Inputs!$B$1+((Inputs!$G$5:$G$140&lt;&gt;"moeda")*(Inputs!$G$5:$G$140&lt;&gt;"acoes")))*INDEX(Inputs!$K$5:$AJ$140,0,MATCH(G$2,Inputs!$K$4:$AJ$4,0)))))</f>
        <v>-0.377742069999891</v>
      </c>
      <c r="H7" s="3">
        <f>SUM(D7:G7)</f>
        <v>-1.44341363999993</v>
      </c>
      <c r="I7" s="6">
        <f>IF(ISNA(MATCH(I$2,Inputs!$K$4:$AJ$4,0)),NA(),IF(SUMPRODUCT((Inputs!$A$5:$A$140=$B7)*ISNUMBER(INDEX(Inputs!$K$5:$AJ$140,0,MATCH(I$2,Inputs!$K$4:$AJ$4,0))))+SUMPRODUCT((Inputs!$C$5:$C$140=$B7)*ISNUMBER(INDEX(Inputs!$K$5:$AJ$140,0,MATCH(I$2,Inputs!$K$4:$AJ$4,0))))+SUMPRODUCT((Inputs!$E$5:$E$140=$B7)*ISNUMBER(INDEX(Inputs!$K$5:$AJ$140,0,MATCH(I$2,Inputs!$K$4:$AJ$4,0))))=0,NA(),SUMPRODUCT((Inputs!$A$5:$A$140=$B7)*Inputs!$B$5:$B$140*(((Inputs!$G$5:$G$140="moeda")+(Inputs!$G$5:$G$140="acoes"))*Inputs!$B$1+((Inputs!$G$5:$G$140&lt;&gt;"moeda")*(Inputs!$G$5:$G$140&lt;&gt;"acoes")))*INDEX(Inputs!$K$5:$AJ$140,0,MATCH(I$2,Inputs!$K$4:$AJ$4,0)))+SUMPRODUCT((Inputs!$C$5:$C$140=$B7)*Inputs!$D$5:$D$140*(((Inputs!$G$5:$G$140="moeda")+(Inputs!$G$5:$G$140="acoes"))*Inputs!$B$1+((Inputs!$G$5:$G$140&lt;&gt;"moeda")*(Inputs!$G$5:$G$140&lt;&gt;"acoes")))*INDEX(Inputs!$K$5:$AJ$140,0,MATCH(I$2,Inputs!$K$4:$AJ$4,0)))+SUMPRODUCT((Inputs!$E$5:$E$140=$B7)*Inputs!$F$5:$F$140*(((Inputs!$G$5:$G$140="moeda")+(Inputs!$G$5:$G$140="acoes"))*Inputs!$B$1+((Inputs!$G$5:$G$140&lt;&gt;"moeda")*(Inputs!$G$5:$G$140&lt;&gt;"acoes")))*INDEX(Inputs!$K$5:$AJ$140,0,MATCH(I$2,Inputs!$K$4:$AJ$4,0)))))</f>
        <v>-0.924386809999996</v>
      </c>
      <c r="J7" s="6">
        <f>IF(ISNA(MATCH(J$2,Inputs!$K$4:$AJ$4,0)),NA(),IF(SUMPRODUCT((Inputs!$A$5:$A$140=$B7)*ISNUMBER(INDEX(Inputs!$K$5:$AJ$140,0,MATCH(J$2,Inputs!$K$4:$AJ$4,0))))+SUMPRODUCT((Inputs!$C$5:$C$140=$B7)*ISNUMBER(INDEX(Inputs!$K$5:$AJ$140,0,MATCH(J$2,Inputs!$K$4:$AJ$4,0))))+SUMPRODUCT((Inputs!$E$5:$E$140=$B7)*ISNUMBER(INDEX(Inputs!$K$5:$AJ$140,0,MATCH(J$2,Inputs!$K$4:$AJ$4,0))))=0,NA(),SUMPRODUCT((Inputs!$A$5:$A$140=$B7)*Inputs!$B$5:$B$140*(((Inputs!$G$5:$G$140="moeda")+(Inputs!$G$5:$G$140="acoes"))*Inputs!$B$1+((Inputs!$G$5:$G$140&lt;&gt;"moeda")*(Inputs!$G$5:$G$140&lt;&gt;"acoes")))*INDEX(Inputs!$K$5:$AJ$140,0,MATCH(J$2,Inputs!$K$4:$AJ$4,0)))+SUMPRODUCT((Inputs!$C$5:$C$140=$B7)*Inputs!$D$5:$D$140*(((Inputs!$G$5:$G$140="moeda")+(Inputs!$G$5:$G$140="acoes"))*Inputs!$B$1+((Inputs!$G$5:$G$140&lt;&gt;"moeda")*(Inputs!$G$5:$G$140&lt;&gt;"acoes")))*INDEX(Inputs!$K$5:$AJ$140,0,MATCH(J$2,Inputs!$K$4:$AJ$4,0)))+SUMPRODUCT((Inputs!$E$5:$E$140=$B7)*Inputs!$F$5:$F$140*(((Inputs!$G$5:$G$140="moeda")+(Inputs!$G$5:$G$140="acoes"))*Inputs!$B$1+((Inputs!$G$5:$G$140&lt;&gt;"moeda")*(Inputs!$G$5:$G$140&lt;&gt;"acoes")))*INDEX(Inputs!$K$5:$AJ$140,0,MATCH(J$2,Inputs!$K$4:$AJ$4,0)))))</f>
        <v>-5.704</v>
      </c>
      <c r="K7" s="6">
        <f>IF(ISNA(MATCH(K$2,Inputs!$K$4:$AJ$4,0)),NA(),IF(SUMPRODUCT((Inputs!$A$5:$A$140=$B7)*ISNUMBER(INDEX(Inputs!$K$5:$AJ$140,0,MATCH(K$2,Inputs!$K$4:$AJ$4,0))))+SUMPRODUCT((Inputs!$C$5:$C$140=$B7)*ISNUMBER(INDEX(Inputs!$K$5:$AJ$140,0,MATCH(K$2,Inputs!$K$4:$AJ$4,0))))+SUMPRODUCT((Inputs!$E$5:$E$140=$B7)*ISNUMBER(INDEX(Inputs!$K$5:$AJ$140,0,MATCH(K$2,Inputs!$K$4:$AJ$4,0))))=0,NA(),SUMPRODUCT((Inputs!$A$5:$A$140=$B7)*Inputs!$B$5:$B$140*(((Inputs!$G$5:$G$140="moeda")+(Inputs!$G$5:$G$140="acoes"))*Inputs!$B$1+((Inputs!$G$5:$G$140&lt;&gt;"moeda")*(Inputs!$G$5:$G$140&lt;&gt;"acoes")))*INDEX(Inputs!$K$5:$AJ$140,0,MATCH(K$2,Inputs!$K$4:$AJ$4,0)))+SUMPRODUCT((Inputs!$C$5:$C$140=$B7)*Inputs!$D$5:$D$140*(((Inputs!$G$5:$G$140="moeda")+(Inputs!$G$5:$G$140="acoes"))*Inputs!$B$1+((Inputs!$G$5:$G$140&lt;&gt;"moeda")*(Inputs!$G$5:$G$140&lt;&gt;"acoes")))*INDEX(Inputs!$K$5:$AJ$140,0,MATCH(K$2,Inputs!$K$4:$AJ$4,0)))+SUMPRODUCT((Inputs!$E$5:$E$140=$B7)*Inputs!$F$5:$F$140*(((Inputs!$G$5:$G$140="moeda")+(Inputs!$G$5:$G$140="acoes"))*Inputs!$B$1+((Inputs!$G$5:$G$140&lt;&gt;"moeda")*(Inputs!$G$5:$G$140&lt;&gt;"acoes")))*INDEX(Inputs!$K$5:$AJ$140,0,MATCH(K$2,Inputs!$K$4:$AJ$4,0)))))</f>
        <v>-5.715</v>
      </c>
      <c r="L7" s="6">
        <f>IF(ISNA(MATCH(L$2,Inputs!$K$4:$AJ$4,0)),NA(),IF(SUMPRODUCT((Inputs!$A$5:$A$140=$B7)*ISNUMBER(INDEX(Inputs!$K$5:$AJ$140,0,MATCH(L$2,Inputs!$K$4:$AJ$4,0))))+SUMPRODUCT((Inputs!$C$5:$C$140=$B7)*ISNUMBER(INDEX(Inputs!$K$5:$AJ$140,0,MATCH(L$2,Inputs!$K$4:$AJ$4,0))))+SUMPRODUCT((Inputs!$E$5:$E$140=$B7)*ISNUMBER(INDEX(Inputs!$K$5:$AJ$140,0,MATCH(L$2,Inputs!$K$4:$AJ$4,0))))=0,NA(),SUMPRODUCT((Inputs!$A$5:$A$140=$B7)*Inputs!$B$5:$B$140*(((Inputs!$G$5:$G$140="moeda")+(Inputs!$G$5:$G$140="acoes"))*Inputs!$B$1+((Inputs!$G$5:$G$140&lt;&gt;"moeda")*(Inputs!$G$5:$G$140&lt;&gt;"acoes")))*INDEX(Inputs!$K$5:$AJ$140,0,MATCH(L$2,Inputs!$K$4:$AJ$4,0)))+SUMPRODUCT((Inputs!$C$5:$C$140=$B7)*Inputs!$D$5:$D$140*(((Inputs!$G$5:$G$140="moeda")+(Inputs!$G$5:$G$140="acoes"))*Inputs!$B$1+((Inputs!$G$5:$G$140&lt;&gt;"moeda")*(Inputs!$G$5:$G$140&lt;&gt;"acoes")))*INDEX(Inputs!$K$5:$AJ$140,0,MATCH(L$2,Inputs!$K$4:$AJ$4,0)))+SUMPRODUCT((Inputs!$E$5:$E$140=$B7)*Inputs!$F$5:$F$140*(((Inputs!$G$5:$G$140="moeda")+(Inputs!$G$5:$G$140="acoes"))*Inputs!$B$1+((Inputs!$G$5:$G$140&lt;&gt;"moeda")*(Inputs!$G$5:$G$140&lt;&gt;"acoes")))*INDEX(Inputs!$K$5:$AJ$140,0,MATCH(L$2,Inputs!$K$4:$AJ$4,0)))))</f>
        <v>-6.302</v>
      </c>
      <c r="M7" s="3">
        <f>SUM(I7:L7)</f>
        <v>-18.64538681</v>
      </c>
      <c r="N7" s="6">
        <f>IF(ISNA(MATCH(N$2,Inputs!$K$4:$AJ$4,0)),NA(),IF(SUMPRODUCT((Inputs!$A$5:$A$140=$B7)*ISNUMBER(INDEX(Inputs!$K$5:$AJ$140,0,MATCH(N$2,Inputs!$K$4:$AJ$4,0))))+SUMPRODUCT((Inputs!$C$5:$C$140=$B7)*ISNUMBER(INDEX(Inputs!$K$5:$AJ$140,0,MATCH(N$2,Inputs!$K$4:$AJ$4,0))))+SUMPRODUCT((Inputs!$E$5:$E$140=$B7)*ISNUMBER(INDEX(Inputs!$K$5:$AJ$140,0,MATCH(N$2,Inputs!$K$4:$AJ$4,0))))=0,NA(),SUMPRODUCT((Inputs!$A$5:$A$140=$B7)*Inputs!$B$5:$B$140*(((Inputs!$G$5:$G$140="moeda")+(Inputs!$G$5:$G$140="acoes"))*Inputs!$B$1+((Inputs!$G$5:$G$140&lt;&gt;"moeda")*(Inputs!$G$5:$G$140&lt;&gt;"acoes")))*INDEX(Inputs!$K$5:$AJ$140,0,MATCH(N$2,Inputs!$K$4:$AJ$4,0)))+SUMPRODUCT((Inputs!$C$5:$C$140=$B7)*Inputs!$D$5:$D$140*(((Inputs!$G$5:$G$140="moeda")+(Inputs!$G$5:$G$140="acoes"))*Inputs!$B$1+((Inputs!$G$5:$G$140&lt;&gt;"moeda")*(Inputs!$G$5:$G$140&lt;&gt;"acoes")))*INDEX(Inputs!$K$5:$AJ$140,0,MATCH(N$2,Inputs!$K$4:$AJ$4,0)))+SUMPRODUCT((Inputs!$E$5:$E$140=$B7)*Inputs!$F$5:$F$140*(((Inputs!$G$5:$G$140="moeda")+(Inputs!$G$5:$G$140="acoes"))*Inputs!$B$1+((Inputs!$G$5:$G$140&lt;&gt;"moeda")*(Inputs!$G$5:$G$140&lt;&gt;"acoes")))*INDEX(Inputs!$K$5:$AJ$140,0,MATCH(N$2,Inputs!$K$4:$AJ$4,0)))))</f>
        <v>-6.2210827</v>
      </c>
      <c r="O7" s="6">
        <f>IF(ISNA(MATCH(O$2,Inputs!$K$4:$AJ$4,0)),NA(),IF(SUMPRODUCT((Inputs!$A$5:$A$140=$B7)*ISNUMBER(INDEX(Inputs!$K$5:$AJ$140,0,MATCH(O$2,Inputs!$K$4:$AJ$4,0))))+SUMPRODUCT((Inputs!$C$5:$C$140=$B7)*ISNUMBER(INDEX(Inputs!$K$5:$AJ$140,0,MATCH(O$2,Inputs!$K$4:$AJ$4,0))))+SUMPRODUCT((Inputs!$E$5:$E$140=$B7)*ISNUMBER(INDEX(Inputs!$K$5:$AJ$140,0,MATCH(O$2,Inputs!$K$4:$AJ$4,0))))=0,NA(),SUMPRODUCT((Inputs!$A$5:$A$140=$B7)*Inputs!$B$5:$B$140*(((Inputs!$G$5:$G$140="moeda")+(Inputs!$G$5:$G$140="acoes"))*Inputs!$B$1+((Inputs!$G$5:$G$140&lt;&gt;"moeda")*(Inputs!$G$5:$G$140&lt;&gt;"acoes")))*INDEX(Inputs!$K$5:$AJ$140,0,MATCH(O$2,Inputs!$K$4:$AJ$4,0)))+SUMPRODUCT((Inputs!$C$5:$C$140=$B7)*Inputs!$D$5:$D$140*(((Inputs!$G$5:$G$140="moeda")+(Inputs!$G$5:$G$140="acoes"))*Inputs!$B$1+((Inputs!$G$5:$G$140&lt;&gt;"moeda")*(Inputs!$G$5:$G$140&lt;&gt;"acoes")))*INDEX(Inputs!$K$5:$AJ$140,0,MATCH(O$2,Inputs!$K$4:$AJ$4,0)))+SUMPRODUCT((Inputs!$E$5:$E$140=$B7)*Inputs!$F$5:$F$140*(((Inputs!$G$5:$G$140="moeda")+(Inputs!$G$5:$G$140="acoes"))*Inputs!$B$1+((Inputs!$G$5:$G$140&lt;&gt;"moeda")*(Inputs!$G$5:$G$140&lt;&gt;"acoes")))*INDEX(Inputs!$K$5:$AJ$140,0,MATCH(O$2,Inputs!$K$4:$AJ$4,0)))))</f>
        <v>-6.3</v>
      </c>
      <c r="P7" s="6">
        <f>IF(ISNA(MATCH(P$2,Inputs!$K$4:$AJ$4,0)),NA(),IF(SUMPRODUCT((Inputs!$A$5:$A$140=$B7)*ISNUMBER(INDEX(Inputs!$K$5:$AJ$140,0,MATCH(P$2,Inputs!$K$4:$AJ$4,0))))+SUMPRODUCT((Inputs!$C$5:$C$140=$B7)*ISNUMBER(INDEX(Inputs!$K$5:$AJ$140,0,MATCH(P$2,Inputs!$K$4:$AJ$4,0))))+SUMPRODUCT((Inputs!$E$5:$E$140=$B7)*ISNUMBER(INDEX(Inputs!$K$5:$AJ$140,0,MATCH(P$2,Inputs!$K$4:$AJ$4,0))))=0,NA(),SUMPRODUCT((Inputs!$A$5:$A$140=$B7)*Inputs!$B$5:$B$140*(((Inputs!$G$5:$G$140="moeda")+(Inputs!$G$5:$G$140="acoes"))*Inputs!$B$1+((Inputs!$G$5:$G$140&lt;&gt;"moeda")*(Inputs!$G$5:$G$140&lt;&gt;"acoes")))*INDEX(Inputs!$K$5:$AJ$140,0,MATCH(P$2,Inputs!$K$4:$AJ$4,0)))+SUMPRODUCT((Inputs!$C$5:$C$140=$B7)*Inputs!$D$5:$D$140*(((Inputs!$G$5:$G$140="moeda")+(Inputs!$G$5:$G$140="acoes"))*Inputs!$B$1+((Inputs!$G$5:$G$140&lt;&gt;"moeda")*(Inputs!$G$5:$G$140&lt;&gt;"acoes")))*INDEX(Inputs!$K$5:$AJ$140,0,MATCH(P$2,Inputs!$K$4:$AJ$4,0)))+SUMPRODUCT((Inputs!$E$5:$E$140=$B7)*Inputs!$F$5:$F$140*(((Inputs!$G$5:$G$140="moeda")+(Inputs!$G$5:$G$140="acoes"))*Inputs!$B$1+((Inputs!$G$5:$G$140&lt;&gt;"moeda")*(Inputs!$G$5:$G$140&lt;&gt;"acoes")))*INDEX(Inputs!$K$5:$AJ$140,0,MATCH(P$2,Inputs!$K$4:$AJ$4,0)))))</f>
        <v>-6.34089384999999</v>
      </c>
      <c r="Q7" s="6">
        <f>IF(ISNA(MATCH(Q$2,Inputs!$K$4:$AJ$4,0)),NA(),IF(SUMPRODUCT((Inputs!$A$5:$A$140=$B7)*ISNUMBER(INDEX(Inputs!$K$5:$AJ$140,0,MATCH(Q$2,Inputs!$K$4:$AJ$4,0))))+SUMPRODUCT((Inputs!$C$5:$C$140=$B7)*ISNUMBER(INDEX(Inputs!$K$5:$AJ$140,0,MATCH(Q$2,Inputs!$K$4:$AJ$4,0))))+SUMPRODUCT((Inputs!$E$5:$E$140=$B7)*ISNUMBER(INDEX(Inputs!$K$5:$AJ$140,0,MATCH(Q$2,Inputs!$K$4:$AJ$4,0))))=0,NA(),SUMPRODUCT((Inputs!$A$5:$A$140=$B7)*Inputs!$B$5:$B$140*(((Inputs!$G$5:$G$140="moeda")+(Inputs!$G$5:$G$140="acoes"))*Inputs!$B$1+((Inputs!$G$5:$G$140&lt;&gt;"moeda")*(Inputs!$G$5:$G$140&lt;&gt;"acoes")))*INDEX(Inputs!$K$5:$AJ$140,0,MATCH(Q$2,Inputs!$K$4:$AJ$4,0)))+SUMPRODUCT((Inputs!$C$5:$C$140=$B7)*Inputs!$D$5:$D$140*(((Inputs!$G$5:$G$140="moeda")+(Inputs!$G$5:$G$140="acoes"))*Inputs!$B$1+((Inputs!$G$5:$G$140&lt;&gt;"moeda")*(Inputs!$G$5:$G$140&lt;&gt;"acoes")))*INDEX(Inputs!$K$5:$AJ$140,0,MATCH(Q$2,Inputs!$K$4:$AJ$4,0)))+SUMPRODUCT((Inputs!$E$5:$E$140=$B7)*Inputs!$F$5:$F$140*(((Inputs!$G$5:$G$140="moeda")+(Inputs!$G$5:$G$140="acoes"))*Inputs!$B$1+((Inputs!$G$5:$G$140&lt;&gt;"moeda")*(Inputs!$G$5:$G$140&lt;&gt;"acoes")))*INDEX(Inputs!$K$5:$AJ$140,0,MATCH(Q$2,Inputs!$K$4:$AJ$4,0)))))</f>
        <v>-7.01002345000001</v>
      </c>
      <c r="R7" s="3">
        <f>SUM(N7:Q7)</f>
        <v>-25.872</v>
      </c>
      <c r="S7" s="6">
        <f>IF(ISNA(MATCH(S$2,Inputs!$K$4:$AJ$4,0)),NA(),IF(SUMPRODUCT((Inputs!$A$5:$A$140=$B7)*ISNUMBER(INDEX(Inputs!$K$5:$AJ$140,0,MATCH(S$2,Inputs!$K$4:$AJ$4,0))))+SUMPRODUCT((Inputs!$C$5:$C$140=$B7)*ISNUMBER(INDEX(Inputs!$K$5:$AJ$140,0,MATCH(S$2,Inputs!$K$4:$AJ$4,0))))+SUMPRODUCT((Inputs!$E$5:$E$140=$B7)*ISNUMBER(INDEX(Inputs!$K$5:$AJ$140,0,MATCH(S$2,Inputs!$K$4:$AJ$4,0))))=0,NA(),SUMPRODUCT((Inputs!$A$5:$A$140=$B7)*Inputs!$B$5:$B$140*(((Inputs!$G$5:$G$140="moeda")+(Inputs!$G$5:$G$140="acoes"))*Inputs!$B$1+((Inputs!$G$5:$G$140&lt;&gt;"moeda")*(Inputs!$G$5:$G$140&lt;&gt;"acoes")))*INDEX(Inputs!$K$5:$AJ$140,0,MATCH(S$2,Inputs!$K$4:$AJ$4,0)))+SUMPRODUCT((Inputs!$C$5:$C$140=$B7)*Inputs!$D$5:$D$140*(((Inputs!$G$5:$G$140="moeda")+(Inputs!$G$5:$G$140="acoes"))*Inputs!$B$1+((Inputs!$G$5:$G$140&lt;&gt;"moeda")*(Inputs!$G$5:$G$140&lt;&gt;"acoes")))*INDEX(Inputs!$K$5:$AJ$140,0,MATCH(S$2,Inputs!$K$4:$AJ$4,0)))+SUMPRODUCT((Inputs!$E$5:$E$140=$B7)*Inputs!$F$5:$F$140*(((Inputs!$G$5:$G$140="moeda")+(Inputs!$G$5:$G$140="acoes"))*Inputs!$B$1+((Inputs!$G$5:$G$140&lt;&gt;"moeda")*(Inputs!$G$5:$G$140&lt;&gt;"acoes")))*INDEX(Inputs!$K$5:$AJ$140,0,MATCH(S$2,Inputs!$K$4:$AJ$4,0)))))</f>
        <v>-7.117</v>
      </c>
      <c r="T7" s="6">
        <f>IF(ISNA(MATCH(T$2,Inputs!$K$4:$AJ$4,0)),NA(),IF(SUMPRODUCT((Inputs!$A$5:$A$140=$B7)*ISNUMBER(INDEX(Inputs!$K$5:$AJ$140,0,MATCH(T$2,Inputs!$K$4:$AJ$4,0))))+SUMPRODUCT((Inputs!$C$5:$C$140=$B7)*ISNUMBER(INDEX(Inputs!$K$5:$AJ$140,0,MATCH(T$2,Inputs!$K$4:$AJ$4,0))))+SUMPRODUCT((Inputs!$E$5:$E$140=$B7)*ISNUMBER(INDEX(Inputs!$K$5:$AJ$140,0,MATCH(T$2,Inputs!$K$4:$AJ$4,0))))=0,NA(),SUMPRODUCT((Inputs!$A$5:$A$140=$B7)*Inputs!$B$5:$B$140*(((Inputs!$G$5:$G$140="moeda")+(Inputs!$G$5:$G$140="acoes"))*Inputs!$B$1+((Inputs!$G$5:$G$140&lt;&gt;"moeda")*(Inputs!$G$5:$G$140&lt;&gt;"acoes")))*INDEX(Inputs!$K$5:$AJ$140,0,MATCH(T$2,Inputs!$K$4:$AJ$4,0)))+SUMPRODUCT((Inputs!$C$5:$C$140=$B7)*Inputs!$D$5:$D$140*(((Inputs!$G$5:$G$140="moeda")+(Inputs!$G$5:$G$140="acoes"))*Inputs!$B$1+((Inputs!$G$5:$G$140&lt;&gt;"moeda")*(Inputs!$G$5:$G$140&lt;&gt;"acoes")))*INDEX(Inputs!$K$5:$AJ$140,0,MATCH(T$2,Inputs!$K$4:$AJ$4,0)))+SUMPRODUCT((Inputs!$E$5:$E$140=$B7)*Inputs!$F$5:$F$140*(((Inputs!$G$5:$G$140="moeda")+(Inputs!$G$5:$G$140="acoes"))*Inputs!$B$1+((Inputs!$G$5:$G$140&lt;&gt;"moeda")*(Inputs!$G$5:$G$140&lt;&gt;"acoes")))*INDEX(Inputs!$K$5:$AJ$140,0,MATCH(T$2,Inputs!$K$4:$AJ$4,0)))))</f>
        <v>-7.011576789999</v>
      </c>
      <c r="U7" s="6">
        <f>IF(ISNA(MATCH(U$2,Inputs!$K$4:$AJ$4,0)),NA(),IF(SUMPRODUCT((Inputs!$A$5:$A$140=$B7)*ISNUMBER(INDEX(Inputs!$K$5:$AJ$140,0,MATCH(U$2,Inputs!$K$4:$AJ$4,0))))+SUMPRODUCT((Inputs!$C$5:$C$140=$B7)*ISNUMBER(INDEX(Inputs!$K$5:$AJ$140,0,MATCH(U$2,Inputs!$K$4:$AJ$4,0))))+SUMPRODUCT((Inputs!$E$5:$E$140=$B7)*ISNUMBER(INDEX(Inputs!$K$5:$AJ$140,0,MATCH(U$2,Inputs!$K$4:$AJ$4,0))))=0,NA(),SUMPRODUCT((Inputs!$A$5:$A$140=$B7)*Inputs!$B$5:$B$140*(((Inputs!$G$5:$G$140="moeda")+(Inputs!$G$5:$G$140="acoes"))*Inputs!$B$1+((Inputs!$G$5:$G$140&lt;&gt;"moeda")*(Inputs!$G$5:$G$140&lt;&gt;"acoes")))*INDEX(Inputs!$K$5:$AJ$140,0,MATCH(U$2,Inputs!$K$4:$AJ$4,0)))+SUMPRODUCT((Inputs!$C$5:$C$140=$B7)*Inputs!$D$5:$D$140*(((Inputs!$G$5:$G$140="moeda")+(Inputs!$G$5:$G$140="acoes"))*Inputs!$B$1+((Inputs!$G$5:$G$140&lt;&gt;"moeda")*(Inputs!$G$5:$G$140&lt;&gt;"acoes")))*INDEX(Inputs!$K$5:$AJ$140,0,MATCH(U$2,Inputs!$K$4:$AJ$4,0)))+SUMPRODUCT((Inputs!$E$5:$E$140=$B7)*Inputs!$F$5:$F$140*(((Inputs!$G$5:$G$140="moeda")+(Inputs!$G$5:$G$140="acoes"))*Inputs!$B$1+((Inputs!$G$5:$G$140&lt;&gt;"moeda")*(Inputs!$G$5:$G$140&lt;&gt;"acoes")))*INDEX(Inputs!$K$5:$AJ$140,0,MATCH(U$2,Inputs!$K$4:$AJ$4,0)))))</f>
        <v>-8.1911989450003</v>
      </c>
      <c r="V7" s="6">
        <f>IF(ISNA(MATCH(V$2,Inputs!$K$4:$AJ$4,0)),NA(),IF(SUMPRODUCT((Inputs!$A$5:$A$140=$B7)*ISNUMBER(INDEX(Inputs!$K$5:$AJ$140,0,MATCH(V$2,Inputs!$K$4:$AJ$4,0))))+SUMPRODUCT((Inputs!$C$5:$C$140=$B7)*ISNUMBER(INDEX(Inputs!$K$5:$AJ$140,0,MATCH(V$2,Inputs!$K$4:$AJ$4,0))))+SUMPRODUCT((Inputs!$E$5:$E$140=$B7)*ISNUMBER(INDEX(Inputs!$K$5:$AJ$140,0,MATCH(V$2,Inputs!$K$4:$AJ$4,0))))=0,NA(),SUMPRODUCT((Inputs!$A$5:$A$140=$B7)*Inputs!$B$5:$B$140*(((Inputs!$G$5:$G$140="moeda")+(Inputs!$G$5:$G$140="acoes"))*Inputs!$B$1+((Inputs!$G$5:$G$140&lt;&gt;"moeda")*(Inputs!$G$5:$G$140&lt;&gt;"acoes")))*INDEX(Inputs!$K$5:$AJ$140,0,MATCH(V$2,Inputs!$K$4:$AJ$4,0)))+SUMPRODUCT((Inputs!$C$5:$C$140=$B7)*Inputs!$D$5:$D$140*(((Inputs!$G$5:$G$140="moeda")+(Inputs!$G$5:$G$140="acoes"))*Inputs!$B$1+((Inputs!$G$5:$G$140&lt;&gt;"moeda")*(Inputs!$G$5:$G$140&lt;&gt;"acoes")))*INDEX(Inputs!$K$5:$AJ$140,0,MATCH(V$2,Inputs!$K$4:$AJ$4,0)))+SUMPRODUCT((Inputs!$E$5:$E$140=$B7)*Inputs!$F$5:$F$140*(((Inputs!$G$5:$G$140="moeda")+(Inputs!$G$5:$G$140="acoes"))*Inputs!$B$1+((Inputs!$G$5:$G$140&lt;&gt;"moeda")*(Inputs!$G$5:$G$140&lt;&gt;"acoes")))*INDEX(Inputs!$K$5:$AJ$140,0,MATCH(V$2,Inputs!$K$4:$AJ$4,0)))))</f>
        <v>-8.81118731000001</v>
      </c>
      <c r="W7" s="3">
        <f>SUM(S7:V7)</f>
        <v>-31.1309630449993</v>
      </c>
      <c r="X7" s="6">
        <f>IF(ISNA(MATCH(X$2,Inputs!$K$4:$AJ$4,0)),NA(),IF(SUMPRODUCT((Inputs!$A$5:$A$140=$B7)*ISNUMBER(INDEX(Inputs!$K$5:$AJ$140,0,MATCH(X$2,Inputs!$K$4:$AJ$4,0))))+SUMPRODUCT((Inputs!$C$5:$C$140=$B7)*ISNUMBER(INDEX(Inputs!$K$5:$AJ$140,0,MATCH(X$2,Inputs!$K$4:$AJ$4,0))))+SUMPRODUCT((Inputs!$E$5:$E$140=$B7)*ISNUMBER(INDEX(Inputs!$K$5:$AJ$140,0,MATCH(X$2,Inputs!$K$4:$AJ$4,0))))=0,NA(),SUMPRODUCT((Inputs!$A$5:$A$140=$B7)*Inputs!$B$5:$B$140*(((Inputs!$G$5:$G$140="moeda")+(Inputs!$G$5:$G$140="acoes"))*Inputs!$B$1+((Inputs!$G$5:$G$140&lt;&gt;"moeda")*(Inputs!$G$5:$G$140&lt;&gt;"acoes")))*INDEX(Inputs!$K$5:$AJ$140,0,MATCH(X$2,Inputs!$K$4:$AJ$4,0)))+SUMPRODUCT((Inputs!$C$5:$C$140=$B7)*Inputs!$D$5:$D$140*(((Inputs!$G$5:$G$140="moeda")+(Inputs!$G$5:$G$140="acoes"))*Inputs!$B$1+((Inputs!$G$5:$G$140&lt;&gt;"moeda")*(Inputs!$G$5:$G$140&lt;&gt;"acoes")))*INDEX(Inputs!$K$5:$AJ$140,0,MATCH(X$2,Inputs!$K$4:$AJ$4,0)))+SUMPRODUCT((Inputs!$E$5:$E$140=$B7)*Inputs!$F$5:$F$140*(((Inputs!$G$5:$G$140="moeda")+(Inputs!$G$5:$G$140="acoes"))*Inputs!$B$1+((Inputs!$G$5:$G$140&lt;&gt;"moeda")*(Inputs!$G$5:$G$140&lt;&gt;"acoes")))*INDEX(Inputs!$K$5:$AJ$140,0,MATCH(X$2,Inputs!$K$4:$AJ$4,0)))))</f>
        <v>-8.533</v>
      </c>
      <c r="Y7" s="6">
        <f>IF(ISNA(MATCH(Y$2,Inputs!$K$4:$AJ$4,0)),NA(),IF(SUMPRODUCT((Inputs!$A$5:$A$140=$B7)*ISNUMBER(INDEX(Inputs!$K$5:$AJ$140,0,MATCH(Y$2,Inputs!$K$4:$AJ$4,0))))+SUMPRODUCT((Inputs!$C$5:$C$140=$B7)*ISNUMBER(INDEX(Inputs!$K$5:$AJ$140,0,MATCH(Y$2,Inputs!$K$4:$AJ$4,0))))+SUMPRODUCT((Inputs!$E$5:$E$140=$B7)*ISNUMBER(INDEX(Inputs!$K$5:$AJ$140,0,MATCH(Y$2,Inputs!$K$4:$AJ$4,0))))=0,NA(),SUMPRODUCT((Inputs!$A$5:$A$140=$B7)*Inputs!$B$5:$B$140*(((Inputs!$G$5:$G$140="moeda")+(Inputs!$G$5:$G$140="acoes"))*Inputs!$B$1+((Inputs!$G$5:$G$140&lt;&gt;"moeda")*(Inputs!$G$5:$G$140&lt;&gt;"acoes")))*INDEX(Inputs!$K$5:$AJ$140,0,MATCH(Y$2,Inputs!$K$4:$AJ$4,0)))+SUMPRODUCT((Inputs!$C$5:$C$140=$B7)*Inputs!$D$5:$D$140*(((Inputs!$G$5:$G$140="moeda")+(Inputs!$G$5:$G$140="acoes"))*Inputs!$B$1+((Inputs!$G$5:$G$140&lt;&gt;"moeda")*(Inputs!$G$5:$G$140&lt;&gt;"acoes")))*INDEX(Inputs!$K$5:$AJ$140,0,MATCH(Y$2,Inputs!$K$4:$AJ$4,0)))+SUMPRODUCT((Inputs!$E$5:$E$140=$B7)*Inputs!$F$5:$F$140*(((Inputs!$G$5:$G$140="moeda")+(Inputs!$G$5:$G$140="acoes"))*Inputs!$B$1+((Inputs!$G$5:$G$140&lt;&gt;"moeda")*(Inputs!$G$5:$G$140&lt;&gt;"acoes")))*INDEX(Inputs!$K$5:$AJ$140,0,MATCH(Y$2,Inputs!$K$4:$AJ$4,0)))))</f>
        <v>-8.754</v>
      </c>
      <c r="Z7" s="6">
        <f>IF(ISNA(MATCH(Z$2,Inputs!$K$4:$AJ$4,0)),NA(),IF(SUMPRODUCT((Inputs!$A$5:$A$140=$B7)*ISNUMBER(INDEX(Inputs!$K$5:$AJ$140,0,MATCH(Z$2,Inputs!$K$4:$AJ$4,0))))+SUMPRODUCT((Inputs!$C$5:$C$140=$B7)*ISNUMBER(INDEX(Inputs!$K$5:$AJ$140,0,MATCH(Z$2,Inputs!$K$4:$AJ$4,0))))+SUMPRODUCT((Inputs!$E$5:$E$140=$B7)*ISNUMBER(INDEX(Inputs!$K$5:$AJ$140,0,MATCH(Z$2,Inputs!$K$4:$AJ$4,0))))=0,NA(),SUMPRODUCT((Inputs!$A$5:$A$140=$B7)*Inputs!$B$5:$B$140*(((Inputs!$G$5:$G$140="moeda")+(Inputs!$G$5:$G$140="acoes"))*Inputs!$B$1+((Inputs!$G$5:$G$140&lt;&gt;"moeda")*(Inputs!$G$5:$G$140&lt;&gt;"acoes")))*INDEX(Inputs!$K$5:$AJ$140,0,MATCH(Z$2,Inputs!$K$4:$AJ$4,0)))+SUMPRODUCT((Inputs!$C$5:$C$140=$B7)*Inputs!$D$5:$D$140*(((Inputs!$G$5:$G$140="moeda")+(Inputs!$G$5:$G$140="acoes"))*Inputs!$B$1+((Inputs!$G$5:$G$140&lt;&gt;"moeda")*(Inputs!$G$5:$G$140&lt;&gt;"acoes")))*INDEX(Inputs!$K$5:$AJ$140,0,MATCH(Z$2,Inputs!$K$4:$AJ$4,0)))+SUMPRODUCT((Inputs!$E$5:$E$140=$B7)*Inputs!$F$5:$F$140*(((Inputs!$G$5:$G$140="moeda")+(Inputs!$G$5:$G$140="acoes"))*Inputs!$B$1+((Inputs!$G$5:$G$140&lt;&gt;"moeda")*(Inputs!$G$5:$G$140&lt;&gt;"acoes")))*INDEX(Inputs!$K$5:$AJ$140,0,MATCH(Z$2,Inputs!$K$4:$AJ$4,0)))))</f>
        <v>-8.521</v>
      </c>
      <c r="AA7" s="6">
        <f>IF(ISNA(MATCH(AA$2,Inputs!$K$4:$AJ$4,0)),NA(),IF(SUMPRODUCT((Inputs!$A$5:$A$140=$B7)*ISNUMBER(INDEX(Inputs!$K$5:$AJ$140,0,MATCH(AA$2,Inputs!$K$4:$AJ$4,0))))+SUMPRODUCT((Inputs!$C$5:$C$140=$B7)*ISNUMBER(INDEX(Inputs!$K$5:$AJ$140,0,MATCH(AA$2,Inputs!$K$4:$AJ$4,0))))+SUMPRODUCT((Inputs!$E$5:$E$140=$B7)*ISNUMBER(INDEX(Inputs!$K$5:$AJ$140,0,MATCH(AA$2,Inputs!$K$4:$AJ$4,0))))=0,NA(),SUMPRODUCT((Inputs!$A$5:$A$140=$B7)*Inputs!$B$5:$B$140*(((Inputs!$G$5:$G$140="moeda")+(Inputs!$G$5:$G$140="acoes"))*Inputs!$B$1+((Inputs!$G$5:$G$140&lt;&gt;"moeda")*(Inputs!$G$5:$G$140&lt;&gt;"acoes")))*INDEX(Inputs!$K$5:$AJ$140,0,MATCH(AA$2,Inputs!$K$4:$AJ$4,0)))+SUMPRODUCT((Inputs!$C$5:$C$140=$B7)*Inputs!$D$5:$D$140*(((Inputs!$G$5:$G$140="moeda")+(Inputs!$G$5:$G$140="acoes"))*Inputs!$B$1+((Inputs!$G$5:$G$140&lt;&gt;"moeda")*(Inputs!$G$5:$G$140&lt;&gt;"acoes")))*INDEX(Inputs!$K$5:$AJ$140,0,MATCH(AA$2,Inputs!$K$4:$AJ$4,0)))+SUMPRODUCT((Inputs!$E$5:$E$140=$B7)*Inputs!$F$5:$F$140*(((Inputs!$G$5:$G$140="moeda")+(Inputs!$G$5:$G$140="acoes"))*Inputs!$B$1+((Inputs!$G$5:$G$140&lt;&gt;"moeda")*(Inputs!$G$5:$G$140&lt;&gt;"acoes")))*INDEX(Inputs!$K$5:$AJ$140,0,MATCH(AA$2,Inputs!$K$4:$AJ$4,0)))))</f>
        <v>-9.07</v>
      </c>
      <c r="AB7" s="3">
        <f>SUM(X7:AA7)</f>
        <v>-34.878</v>
      </c>
      <c r="AC7" s="6">
        <f>IF(ISNA(MATCH(AC$2,Inputs!$K$4:$AJ$4,0)),NA(),IF(SUMPRODUCT((Inputs!$A$5:$A$140=$B7)*ISNUMBER(INDEX(Inputs!$K$5:$AJ$140,0,MATCH(AC$2,Inputs!$K$4:$AJ$4,0))))+SUMPRODUCT((Inputs!$C$5:$C$140=$B7)*ISNUMBER(INDEX(Inputs!$K$5:$AJ$140,0,MATCH(AC$2,Inputs!$K$4:$AJ$4,0))))+SUMPRODUCT((Inputs!$E$5:$E$140=$B7)*ISNUMBER(INDEX(Inputs!$K$5:$AJ$140,0,MATCH(AC$2,Inputs!$K$4:$AJ$4,0))))=0,NA(),SUMPRODUCT((Inputs!$A$5:$A$140=$B7)*Inputs!$B$5:$B$140*(((Inputs!$G$5:$G$140="moeda")+(Inputs!$G$5:$G$140="acoes"))*Inputs!$B$1+((Inputs!$G$5:$G$140&lt;&gt;"moeda")*(Inputs!$G$5:$G$140&lt;&gt;"acoes")))*INDEX(Inputs!$K$5:$AJ$140,0,MATCH(AC$2,Inputs!$K$4:$AJ$4,0)))+SUMPRODUCT((Inputs!$C$5:$C$140=$B7)*Inputs!$D$5:$D$140*(((Inputs!$G$5:$G$140="moeda")+(Inputs!$G$5:$G$140="acoes"))*Inputs!$B$1+((Inputs!$G$5:$G$140&lt;&gt;"moeda")*(Inputs!$G$5:$G$140&lt;&gt;"acoes")))*INDEX(Inputs!$K$5:$AJ$140,0,MATCH(AC$2,Inputs!$K$4:$AJ$4,0)))+SUMPRODUCT((Inputs!$E$5:$E$140=$B7)*Inputs!$F$5:$F$140*(((Inputs!$G$5:$G$140="moeda")+(Inputs!$G$5:$G$140="acoes"))*Inputs!$B$1+((Inputs!$G$5:$G$140&lt;&gt;"moeda")*(Inputs!$G$5:$G$140&lt;&gt;"acoes")))*INDEX(Inputs!$K$5:$AJ$140,0,MATCH(AC$2,Inputs!$K$4:$AJ$4,0)))))</f>
        <v>-8.349</v>
      </c>
      <c r="AD7" s="6">
        <f>IF(ISNA(MATCH(AD$2,Inputs!$K$4:$AJ$4,0)),NA(),IF(SUMPRODUCT((Inputs!$A$5:$A$140=$B7)*ISNUMBER(INDEX(Inputs!$K$5:$AJ$140,0,MATCH(AD$2,Inputs!$K$4:$AJ$4,0))))+SUMPRODUCT((Inputs!$C$5:$C$140=$B7)*ISNUMBER(INDEX(Inputs!$K$5:$AJ$140,0,MATCH(AD$2,Inputs!$K$4:$AJ$4,0))))+SUMPRODUCT((Inputs!$E$5:$E$140=$B7)*ISNUMBER(INDEX(Inputs!$K$5:$AJ$140,0,MATCH(AD$2,Inputs!$K$4:$AJ$4,0))))=0,NA(),SUMPRODUCT((Inputs!$A$5:$A$140=$B7)*Inputs!$B$5:$B$140*(((Inputs!$G$5:$G$140="moeda")+(Inputs!$G$5:$G$140="acoes"))*Inputs!$B$1+((Inputs!$G$5:$G$140&lt;&gt;"moeda")*(Inputs!$G$5:$G$140&lt;&gt;"acoes")))*INDEX(Inputs!$K$5:$AJ$140,0,MATCH(AD$2,Inputs!$K$4:$AJ$4,0)))+SUMPRODUCT((Inputs!$C$5:$C$140=$B7)*Inputs!$D$5:$D$140*(((Inputs!$G$5:$G$140="moeda")+(Inputs!$G$5:$G$140="acoes"))*Inputs!$B$1+((Inputs!$G$5:$G$140&lt;&gt;"moeda")*(Inputs!$G$5:$G$140&lt;&gt;"acoes")))*INDEX(Inputs!$K$5:$AJ$140,0,MATCH(AD$2,Inputs!$K$4:$AJ$4,0)))+SUMPRODUCT((Inputs!$E$5:$E$140=$B7)*Inputs!$F$5:$F$140*(((Inputs!$G$5:$G$140="moeda")+(Inputs!$G$5:$G$140="acoes"))*Inputs!$B$1+((Inputs!$G$5:$G$140&lt;&gt;"moeda")*(Inputs!$G$5:$G$140&lt;&gt;"acoes")))*INDEX(Inputs!$K$5:$AJ$140,0,MATCH(AD$2,Inputs!$K$4:$AJ$4,0)))))</f>
        <v>-8.551</v>
      </c>
      <c r="AE7" s="6" t="e">
        <f>IF(ISNA(MATCH(AE$2,Inputs!$K$4:$AJ$4,0)),NA(),IF(SUMPRODUCT((Inputs!$A$5:$A$140=$B7)*ISNUMBER(INDEX(Inputs!$K$5:$AJ$140,0,MATCH(AE$2,Inputs!$K$4:$AJ$4,0))))+SUMPRODUCT((Inputs!$C$5:$C$140=$B7)*ISNUMBER(INDEX(Inputs!$K$5:$AJ$140,0,MATCH(AE$2,Inputs!$K$4:$AJ$4,0))))+SUMPRODUCT((Inputs!$E$5:$E$140=$B7)*ISNUMBER(INDEX(Inputs!$K$5:$AJ$140,0,MATCH(AE$2,Inputs!$K$4:$AJ$4,0))))=0,NA(),SUMPRODUCT((Inputs!$A$5:$A$140=$B7)*Inputs!$B$5:$B$140*(((Inputs!$G$5:$G$140="moeda")+(Inputs!$G$5:$G$140="acoes"))*Inputs!$B$1+((Inputs!$G$5:$G$140&lt;&gt;"moeda")*(Inputs!$G$5:$G$140&lt;&gt;"acoes")))*INDEX(Inputs!$K$5:$AJ$140,0,MATCH(AE$2,Inputs!$K$4:$AJ$4,0)))+SUMPRODUCT((Inputs!$C$5:$C$140=$B7)*Inputs!$D$5:$D$140*(((Inputs!$G$5:$G$140="moeda")+(Inputs!$G$5:$G$140="acoes"))*Inputs!$B$1+((Inputs!$G$5:$G$140&lt;&gt;"moeda")*(Inputs!$G$5:$G$140&lt;&gt;"acoes")))*INDEX(Inputs!$K$5:$AJ$140,0,MATCH(AE$2,Inputs!$K$4:$AJ$4,0)))+SUMPRODUCT((Inputs!$E$5:$E$140=$B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7" s="6" t="e">
        <f>IF(ISNA(MATCH(AF$2,Inputs!$K$4:$AJ$4,0)),NA(),IF(SUMPRODUCT((Inputs!$A$5:$A$140=$B7)*ISNUMBER(INDEX(Inputs!$K$5:$AJ$140,0,MATCH(AF$2,Inputs!$K$4:$AJ$4,0))))+SUMPRODUCT((Inputs!$C$5:$C$140=$B7)*ISNUMBER(INDEX(Inputs!$K$5:$AJ$140,0,MATCH(AF$2,Inputs!$K$4:$AJ$4,0))))+SUMPRODUCT((Inputs!$E$5:$E$140=$B7)*ISNUMBER(INDEX(Inputs!$K$5:$AJ$140,0,MATCH(AF$2,Inputs!$K$4:$AJ$4,0))))=0,NA(),SUMPRODUCT((Inputs!$A$5:$A$140=$B7)*Inputs!$B$5:$B$140*(((Inputs!$G$5:$G$140="moeda")+(Inputs!$G$5:$G$140="acoes"))*Inputs!$B$1+((Inputs!$G$5:$G$140&lt;&gt;"moeda")*(Inputs!$G$5:$G$140&lt;&gt;"acoes")))*INDEX(Inputs!$K$5:$AJ$140,0,MATCH(AF$2,Inputs!$K$4:$AJ$4,0)))+SUMPRODUCT((Inputs!$C$5:$C$140=$B7)*Inputs!$D$5:$D$140*(((Inputs!$G$5:$G$140="moeda")+(Inputs!$G$5:$G$140="acoes"))*Inputs!$B$1+((Inputs!$G$5:$G$140&lt;&gt;"moeda")*(Inputs!$G$5:$G$140&lt;&gt;"acoes")))*INDEX(Inputs!$K$5:$AJ$140,0,MATCH(AF$2,Inputs!$K$4:$AJ$4,0)))+SUMPRODUCT((Inputs!$E$5:$E$140=$B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7" s="3" t="e">
        <f>SUM(AC7:AF7)</f>
        <v>#N/A</v>
      </c>
      <c r="AH7" s="6">
        <f>IF(ISNA(MATCH(AH$2,Inputs!$K$4:$AJ$4,0)),NA(),IF(SUMPRODUCT((Inputs!$A$5:$A$140=$B7)*ISNUMBER(INDEX(Inputs!$K$5:$AJ$140,0,MATCH(AH$2,Inputs!$K$4:$AJ$4,0))))+SUMPRODUCT((Inputs!$C$5:$C$140=$B7)*ISNUMBER(INDEX(Inputs!$K$5:$AJ$140,0,MATCH(AH$2,Inputs!$K$4:$AJ$4,0))))+SUMPRODUCT((Inputs!$E$5:$E$140=$B7)*ISNUMBER(INDEX(Inputs!$K$5:$AJ$140,0,MATCH(AH$2,Inputs!$K$4:$AJ$4,0))))=0,NA(),SUMPRODUCT((Inputs!$A$5:$A$140=$B7)*Inputs!$B$5:$B$140*(((Inputs!$G$5:$G$140="moeda")+(Inputs!$G$5:$G$140="acoes"))*Inputs!$B$1+((Inputs!$G$5:$G$140&lt;&gt;"moeda")*(Inputs!$G$5:$G$140&lt;&gt;"acoes")))*INDEX(Inputs!$K$5:$AJ$140,0,MATCH(AH$2,Inputs!$K$4:$AJ$4,0)))+SUMPRODUCT((Inputs!$C$5:$C$140=$B7)*Inputs!$D$5:$D$140*(((Inputs!$G$5:$G$140="moeda")+(Inputs!$G$5:$G$140="acoes"))*Inputs!$B$1+((Inputs!$G$5:$G$140&lt;&gt;"moeda")*(Inputs!$G$5:$G$140&lt;&gt;"acoes")))*INDEX(Inputs!$K$5:$AJ$140,0,MATCH(AH$2,Inputs!$K$4:$AJ$4,0)))+SUMPRODUCT((Inputs!$E$5:$E$140=$B7)*Inputs!$F$5:$F$140*(((Inputs!$G$5:$G$140="moeda")+(Inputs!$G$5:$G$140="acoes"))*Inputs!$B$1+((Inputs!$G$5:$G$140&lt;&gt;"moeda")*(Inputs!$G$5:$G$140&lt;&gt;"acoes")))*INDEX(Inputs!$K$5:$AJ$140,0,MATCH(AH$2,Inputs!$K$4:$AJ$4,0)))))</f>
        <v>-2.925</v>
      </c>
      <c r="AI7" s="6">
        <f>IF(ISNA(MATCH(AI$2,Inputs!$K$4:$AJ$4,0)),NA(),IF(SUMPRODUCT((Inputs!$A$5:$A$140=$B7)*ISNUMBER(INDEX(Inputs!$K$5:$AJ$140,0,MATCH(AI$2,Inputs!$K$4:$AJ$4,0))))+SUMPRODUCT((Inputs!$C$5:$C$140=$B7)*ISNUMBER(INDEX(Inputs!$K$5:$AJ$140,0,MATCH(AI$2,Inputs!$K$4:$AJ$4,0))))+SUMPRODUCT((Inputs!$E$5:$E$140=$B7)*ISNUMBER(INDEX(Inputs!$K$5:$AJ$140,0,MATCH(AI$2,Inputs!$K$4:$AJ$4,0))))=0,NA(),SUMPRODUCT((Inputs!$A$5:$A$140=$B7)*Inputs!$B$5:$B$140*(((Inputs!$G$5:$G$140="moeda")+(Inputs!$G$5:$G$140="acoes"))*Inputs!$B$1+((Inputs!$G$5:$G$140&lt;&gt;"moeda")*(Inputs!$G$5:$G$140&lt;&gt;"acoes")))*INDEX(Inputs!$K$5:$AJ$140,0,MATCH(AI$2,Inputs!$K$4:$AJ$4,0)))+SUMPRODUCT((Inputs!$C$5:$C$140=$B7)*Inputs!$D$5:$D$140*(((Inputs!$G$5:$G$140="moeda")+(Inputs!$G$5:$G$140="acoes"))*Inputs!$B$1+((Inputs!$G$5:$G$140&lt;&gt;"moeda")*(Inputs!$G$5:$G$140&lt;&gt;"acoes")))*INDEX(Inputs!$K$5:$AJ$140,0,MATCH(AI$2,Inputs!$K$4:$AJ$4,0)))+SUMPRODUCT((Inputs!$E$5:$E$140=$B7)*Inputs!$F$5:$F$140*(((Inputs!$G$5:$G$140="moeda")+(Inputs!$G$5:$G$140="acoes"))*Inputs!$B$1+((Inputs!$G$5:$G$140&lt;&gt;"moeda")*(Inputs!$G$5:$G$140&lt;&gt;"acoes")))*INDEX(Inputs!$K$5:$AJ$140,0,MATCH(AI$2,Inputs!$K$4:$AJ$4,0)))))</f>
        <v>-0.307</v>
      </c>
      <c r="AJ7" s="6">
        <f>IF(ISNA(MATCH(AJ$2,Inputs!$K$4:$AJ$4,0)),NA(),IF(SUMPRODUCT((Inputs!$A$5:$A$140=$B7)*ISNUMBER(INDEX(Inputs!$K$5:$AJ$140,0,MATCH(AJ$2,Inputs!$K$4:$AJ$4,0))))+SUMPRODUCT((Inputs!$C$5:$C$140=$B7)*ISNUMBER(INDEX(Inputs!$K$5:$AJ$140,0,MATCH(AJ$2,Inputs!$K$4:$AJ$4,0))))+SUMPRODUCT((Inputs!$E$5:$E$140=$B7)*ISNUMBER(INDEX(Inputs!$K$5:$AJ$140,0,MATCH(AJ$2,Inputs!$K$4:$AJ$4,0))))=0,NA(),SUMPRODUCT((Inputs!$A$5:$A$140=$B7)*Inputs!$B$5:$B$140*(((Inputs!$G$5:$G$140="moeda")+(Inputs!$G$5:$G$140="acoes"))*Inputs!$B$1+((Inputs!$G$5:$G$140&lt;&gt;"moeda")*(Inputs!$G$5:$G$140&lt;&gt;"acoes")))*INDEX(Inputs!$K$5:$AJ$140,0,MATCH(AJ$2,Inputs!$K$4:$AJ$4,0)))+SUMPRODUCT((Inputs!$C$5:$C$140=$B7)*Inputs!$D$5:$D$140*(((Inputs!$G$5:$G$140="moeda")+(Inputs!$G$5:$G$140="acoes"))*Inputs!$B$1+((Inputs!$G$5:$G$140&lt;&gt;"moeda")*(Inputs!$G$5:$G$140&lt;&gt;"acoes")))*INDEX(Inputs!$K$5:$AJ$140,0,MATCH(AJ$2,Inputs!$K$4:$AJ$4,0)))+SUMPRODUCT((Inputs!$E$5:$E$140=$B7)*Inputs!$F$5:$F$140*(((Inputs!$G$5:$G$140="moeda")+(Inputs!$G$5:$G$140="acoes"))*Inputs!$B$1+((Inputs!$G$5:$G$140&lt;&gt;"moeda")*(Inputs!$G$5:$G$140&lt;&gt;"acoes")))*INDEX(Inputs!$K$5:$AJ$140,0,MATCH(AJ$2,Inputs!$K$4:$AJ$4,0)))))</f>
        <v>-0.365</v>
      </c>
      <c r="AK7" s="6">
        <f>IF(ISNA(MATCH(AK$2,Inputs!$K$4:$AJ$4,0)),NA(),IF(SUMPRODUCT((Inputs!$A$5:$A$140=$B7)*ISNUMBER(INDEX(Inputs!$K$5:$AJ$140,0,MATCH(AK$2,Inputs!$K$4:$AJ$4,0))))+SUMPRODUCT((Inputs!$C$5:$C$140=$B7)*ISNUMBER(INDEX(Inputs!$K$5:$AJ$140,0,MATCH(AK$2,Inputs!$K$4:$AJ$4,0))))+SUMPRODUCT((Inputs!$E$5:$E$140=$B7)*ISNUMBER(INDEX(Inputs!$K$5:$AJ$140,0,MATCH(AK$2,Inputs!$K$4:$AJ$4,0))))=0,NA(),SUMPRODUCT((Inputs!$A$5:$A$140=$B7)*Inputs!$B$5:$B$140*(((Inputs!$G$5:$G$140="moeda")+(Inputs!$G$5:$G$140="acoes"))*Inputs!$B$1+((Inputs!$G$5:$G$140&lt;&gt;"moeda")*(Inputs!$G$5:$G$140&lt;&gt;"acoes")))*INDEX(Inputs!$K$5:$AJ$140,0,MATCH(AK$2,Inputs!$K$4:$AJ$4,0)))+SUMPRODUCT((Inputs!$C$5:$C$140=$B7)*Inputs!$D$5:$D$140*(((Inputs!$G$5:$G$140="moeda")+(Inputs!$G$5:$G$140="acoes"))*Inputs!$B$1+((Inputs!$G$5:$G$140&lt;&gt;"moeda")*(Inputs!$G$5:$G$140&lt;&gt;"acoes")))*INDEX(Inputs!$K$5:$AJ$140,0,MATCH(AK$2,Inputs!$K$4:$AJ$4,0)))+SUMPRODUCT((Inputs!$E$5:$E$140=$B7)*Inputs!$F$5:$F$140*(((Inputs!$G$5:$G$140="moeda")+(Inputs!$G$5:$G$140="acoes"))*Inputs!$B$1+((Inputs!$G$5:$G$140&lt;&gt;"moeda")*(Inputs!$G$5:$G$140&lt;&gt;"acoes")))*INDEX(Inputs!$K$5:$AJ$140,0,MATCH(AK$2,Inputs!$K$4:$AJ$4,0)))))</f>
        <v>-0.263710060000041</v>
      </c>
      <c r="AL7" s="3">
        <f>SUM(AH7:AK7)</f>
        <v>-3.86071006000004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$140=$B8)*ISNUMBER(INDEX(Inputs!$K$5:$AJ$140,0,MATCH(D$2,Inputs!$K$4:$AJ$4,0))))+SUMPRODUCT((Inputs!$C$5:$C$140=$B8)*ISNUMBER(INDEX(Inputs!$K$5:$AJ$140,0,MATCH(D$2,Inputs!$K$4:$AJ$4,0))))+SUMPRODUCT((Inputs!$E$5:$E$140=$B8)*ISNUMBER(INDEX(Inputs!$K$5:$AJ$140,0,MATCH(D$2,Inputs!$K$4:$AJ$4,0))))=0,NA(),SUMPRODUCT((Inputs!$A$5:$A$140=$B8)*Inputs!$B$5:$B$140*(((Inputs!$G$5:$G$140="moeda")+(Inputs!$G$5:$G$140="acoes"))*Inputs!$B$1+((Inputs!$G$5:$G$140&lt;&gt;"moeda")*(Inputs!$G$5:$G$140&lt;&gt;"acoes")))*INDEX(Inputs!$K$5:$AJ$140,0,MATCH(D$2,Inputs!$K$4:$AJ$4,0)))+SUMPRODUCT((Inputs!$C$5:$C$140=$B8)*Inputs!$D$5:$D$140*(((Inputs!$G$5:$G$140="moeda")+(Inputs!$G$5:$G$140="acoes"))*Inputs!$B$1+((Inputs!$G$5:$G$140&lt;&gt;"moeda")*(Inputs!$G$5:$G$140&lt;&gt;"acoes")))*INDEX(Inputs!$K$5:$AJ$140,0,MATCH(D$2,Inputs!$K$4:$AJ$4,0)))+SUMPRODUCT((Inputs!$E$5:$E$140=$B8)*Inputs!$F$5:$F$140*(((Inputs!$G$5:$G$140="moeda")+(Inputs!$G$5:$G$140="acoes"))*Inputs!$B$1+((Inputs!$G$5:$G$140&lt;&gt;"moeda")*(Inputs!$G$5:$G$140&lt;&gt;"acoes")))*INDEX(Inputs!$K$5:$AJ$140,0,MATCH(D$2,Inputs!$K$4:$AJ$4,0)))))</f>
        <v>-7.256</v>
      </c>
      <c r="E8" s="6">
        <f>IF(ISNA(MATCH(E$2,Inputs!$K$4:$AJ$4,0)),NA(),IF(SUMPRODUCT((Inputs!$A$5:$A$140=$B8)*ISNUMBER(INDEX(Inputs!$K$5:$AJ$140,0,MATCH(E$2,Inputs!$K$4:$AJ$4,0))))+SUMPRODUCT((Inputs!$C$5:$C$140=$B8)*ISNUMBER(INDEX(Inputs!$K$5:$AJ$140,0,MATCH(E$2,Inputs!$K$4:$AJ$4,0))))+SUMPRODUCT((Inputs!$E$5:$E$140=$B8)*ISNUMBER(INDEX(Inputs!$K$5:$AJ$140,0,MATCH(E$2,Inputs!$K$4:$AJ$4,0))))=0,NA(),SUMPRODUCT((Inputs!$A$5:$A$140=$B8)*Inputs!$B$5:$B$140*(((Inputs!$G$5:$G$140="moeda")+(Inputs!$G$5:$G$140="acoes"))*Inputs!$B$1+((Inputs!$G$5:$G$140&lt;&gt;"moeda")*(Inputs!$G$5:$G$140&lt;&gt;"acoes")))*INDEX(Inputs!$K$5:$AJ$140,0,MATCH(E$2,Inputs!$K$4:$AJ$4,0)))+SUMPRODUCT((Inputs!$C$5:$C$140=$B8)*Inputs!$D$5:$D$140*(((Inputs!$G$5:$G$140="moeda")+(Inputs!$G$5:$G$140="acoes"))*Inputs!$B$1+((Inputs!$G$5:$G$140&lt;&gt;"moeda")*(Inputs!$G$5:$G$140&lt;&gt;"acoes")))*INDEX(Inputs!$K$5:$AJ$140,0,MATCH(E$2,Inputs!$K$4:$AJ$4,0)))+SUMPRODUCT((Inputs!$E$5:$E$140=$B8)*Inputs!$F$5:$F$140*(((Inputs!$G$5:$G$140="moeda")+(Inputs!$G$5:$G$140="acoes"))*Inputs!$B$1+((Inputs!$G$5:$G$140&lt;&gt;"moeda")*(Inputs!$G$5:$G$140&lt;&gt;"acoes")))*INDEX(Inputs!$K$5:$AJ$140,0,MATCH(E$2,Inputs!$K$4:$AJ$4,0)))))</f>
        <v>-9.3</v>
      </c>
      <c r="F8" s="6">
        <f>IF(ISNA(MATCH(F$2,Inputs!$K$4:$AJ$4,0)),NA(),IF(SUMPRODUCT((Inputs!$A$5:$A$140=$B8)*ISNUMBER(INDEX(Inputs!$K$5:$AJ$140,0,MATCH(F$2,Inputs!$K$4:$AJ$4,0))))+SUMPRODUCT((Inputs!$C$5:$C$140=$B8)*ISNUMBER(INDEX(Inputs!$K$5:$AJ$140,0,MATCH(F$2,Inputs!$K$4:$AJ$4,0))))+SUMPRODUCT((Inputs!$E$5:$E$140=$B8)*ISNUMBER(INDEX(Inputs!$K$5:$AJ$140,0,MATCH(F$2,Inputs!$K$4:$AJ$4,0))))=0,NA(),SUMPRODUCT((Inputs!$A$5:$A$140=$B8)*Inputs!$B$5:$B$140*(((Inputs!$G$5:$G$140="moeda")+(Inputs!$G$5:$G$140="acoes"))*Inputs!$B$1+((Inputs!$G$5:$G$140&lt;&gt;"moeda")*(Inputs!$G$5:$G$140&lt;&gt;"acoes")))*INDEX(Inputs!$K$5:$AJ$140,0,MATCH(F$2,Inputs!$K$4:$AJ$4,0)))+SUMPRODUCT((Inputs!$C$5:$C$140=$B8)*Inputs!$D$5:$D$140*(((Inputs!$G$5:$G$140="moeda")+(Inputs!$G$5:$G$140="acoes"))*Inputs!$B$1+((Inputs!$G$5:$G$140&lt;&gt;"moeda")*(Inputs!$G$5:$G$140&lt;&gt;"acoes")))*INDEX(Inputs!$K$5:$AJ$140,0,MATCH(F$2,Inputs!$K$4:$AJ$4,0)))+SUMPRODUCT((Inputs!$E$5:$E$140=$B8)*Inputs!$F$5:$F$140*(((Inputs!$G$5:$G$140="moeda")+(Inputs!$G$5:$G$140="acoes"))*Inputs!$B$1+((Inputs!$G$5:$G$140&lt;&gt;"moeda")*(Inputs!$G$5:$G$140&lt;&gt;"acoes")))*INDEX(Inputs!$K$5:$AJ$140,0,MATCH(F$2,Inputs!$K$4:$AJ$4,0)))))</f>
        <v>-11.43</v>
      </c>
      <c r="G8" s="6">
        <f>IF(ISNA(MATCH(G$2,Inputs!$K$4:$AJ$4,0)),NA(),IF(SUMPRODUCT((Inputs!$A$5:$A$140=$B8)*ISNUMBER(INDEX(Inputs!$K$5:$AJ$140,0,MATCH(G$2,Inputs!$K$4:$AJ$4,0))))+SUMPRODUCT((Inputs!$C$5:$C$140=$B8)*ISNUMBER(INDEX(Inputs!$K$5:$AJ$140,0,MATCH(G$2,Inputs!$K$4:$AJ$4,0))))+SUMPRODUCT((Inputs!$E$5:$E$140=$B8)*ISNUMBER(INDEX(Inputs!$K$5:$AJ$140,0,MATCH(G$2,Inputs!$K$4:$AJ$4,0))))=0,NA(),SUMPRODUCT((Inputs!$A$5:$A$140=$B8)*Inputs!$B$5:$B$140*(((Inputs!$G$5:$G$140="moeda")+(Inputs!$G$5:$G$140="acoes"))*Inputs!$B$1+((Inputs!$G$5:$G$140&lt;&gt;"moeda")*(Inputs!$G$5:$G$140&lt;&gt;"acoes")))*INDEX(Inputs!$K$5:$AJ$140,0,MATCH(G$2,Inputs!$K$4:$AJ$4,0)))+SUMPRODUCT((Inputs!$C$5:$C$140=$B8)*Inputs!$D$5:$D$140*(((Inputs!$G$5:$G$140="moeda")+(Inputs!$G$5:$G$140="acoes"))*Inputs!$B$1+((Inputs!$G$5:$G$140&lt;&gt;"moeda")*(Inputs!$G$5:$G$140&lt;&gt;"acoes")))*INDEX(Inputs!$K$5:$AJ$140,0,MATCH(G$2,Inputs!$K$4:$AJ$4,0)))+SUMPRODUCT((Inputs!$E$5:$E$140=$B8)*Inputs!$F$5:$F$140*(((Inputs!$G$5:$G$140="moeda")+(Inputs!$G$5:$G$140="acoes"))*Inputs!$B$1+((Inputs!$G$5:$G$140&lt;&gt;"moeda")*(Inputs!$G$5:$G$140&lt;&gt;"acoes")))*INDEX(Inputs!$K$5:$AJ$140,0,MATCH(G$2,Inputs!$K$4:$AJ$4,0)))))</f>
        <v>-21.731</v>
      </c>
      <c r="H8" s="3">
        <f>SUM(D8:G8)</f>
        <v>-49.717</v>
      </c>
      <c r="I8" s="6">
        <f>IF(ISNA(MATCH(I$2,Inputs!$K$4:$AJ$4,0)),NA(),IF(SUMPRODUCT((Inputs!$A$5:$A$140=$B8)*ISNUMBER(INDEX(Inputs!$K$5:$AJ$140,0,MATCH(I$2,Inputs!$K$4:$AJ$4,0))))+SUMPRODUCT((Inputs!$C$5:$C$140=$B8)*ISNUMBER(INDEX(Inputs!$K$5:$AJ$140,0,MATCH(I$2,Inputs!$K$4:$AJ$4,0))))+SUMPRODUCT((Inputs!$E$5:$E$140=$B8)*ISNUMBER(INDEX(Inputs!$K$5:$AJ$140,0,MATCH(I$2,Inputs!$K$4:$AJ$4,0))))=0,NA(),SUMPRODUCT((Inputs!$A$5:$A$140=$B8)*Inputs!$B$5:$B$140*(((Inputs!$G$5:$G$140="moeda")+(Inputs!$G$5:$G$140="acoes"))*Inputs!$B$1+((Inputs!$G$5:$G$140&lt;&gt;"moeda")*(Inputs!$G$5:$G$140&lt;&gt;"acoes")))*INDEX(Inputs!$K$5:$AJ$140,0,MATCH(I$2,Inputs!$K$4:$AJ$4,0)))+SUMPRODUCT((Inputs!$C$5:$C$140=$B8)*Inputs!$D$5:$D$140*(((Inputs!$G$5:$G$140="moeda")+(Inputs!$G$5:$G$140="acoes"))*Inputs!$B$1+((Inputs!$G$5:$G$140&lt;&gt;"moeda")*(Inputs!$G$5:$G$140&lt;&gt;"acoes")))*INDEX(Inputs!$K$5:$AJ$140,0,MATCH(I$2,Inputs!$K$4:$AJ$4,0)))+SUMPRODUCT((Inputs!$E$5:$E$140=$B8)*Inputs!$F$5:$F$140*(((Inputs!$G$5:$G$140="moeda")+(Inputs!$G$5:$G$140="acoes"))*Inputs!$B$1+((Inputs!$G$5:$G$140&lt;&gt;"moeda")*(Inputs!$G$5:$G$140&lt;&gt;"acoes")))*INDEX(Inputs!$K$5:$AJ$140,0,MATCH(I$2,Inputs!$K$4:$AJ$4,0)))))</f>
        <v>-17.062</v>
      </c>
      <c r="J8" s="6">
        <f>IF(ISNA(MATCH(J$2,Inputs!$K$4:$AJ$4,0)),NA(),IF(SUMPRODUCT((Inputs!$A$5:$A$140=$B8)*ISNUMBER(INDEX(Inputs!$K$5:$AJ$140,0,MATCH(J$2,Inputs!$K$4:$AJ$4,0))))+SUMPRODUCT((Inputs!$C$5:$C$140=$B8)*ISNUMBER(INDEX(Inputs!$K$5:$AJ$140,0,MATCH(J$2,Inputs!$K$4:$AJ$4,0))))+SUMPRODUCT((Inputs!$E$5:$E$140=$B8)*ISNUMBER(INDEX(Inputs!$K$5:$AJ$140,0,MATCH(J$2,Inputs!$K$4:$AJ$4,0))))=0,NA(),SUMPRODUCT((Inputs!$A$5:$A$140=$B8)*Inputs!$B$5:$B$140*(((Inputs!$G$5:$G$140="moeda")+(Inputs!$G$5:$G$140="acoes"))*Inputs!$B$1+((Inputs!$G$5:$G$140&lt;&gt;"moeda")*(Inputs!$G$5:$G$140&lt;&gt;"acoes")))*INDEX(Inputs!$K$5:$AJ$140,0,MATCH(J$2,Inputs!$K$4:$AJ$4,0)))+SUMPRODUCT((Inputs!$C$5:$C$140=$B8)*Inputs!$D$5:$D$140*(((Inputs!$G$5:$G$140="moeda")+(Inputs!$G$5:$G$140="acoes"))*Inputs!$B$1+((Inputs!$G$5:$G$140&lt;&gt;"moeda")*(Inputs!$G$5:$G$140&lt;&gt;"acoes")))*INDEX(Inputs!$K$5:$AJ$140,0,MATCH(J$2,Inputs!$K$4:$AJ$4,0)))+SUMPRODUCT((Inputs!$E$5:$E$140=$B8)*Inputs!$F$5:$F$140*(((Inputs!$G$5:$G$140="moeda")+(Inputs!$G$5:$G$140="acoes"))*Inputs!$B$1+((Inputs!$G$5:$G$140&lt;&gt;"moeda")*(Inputs!$G$5:$G$140&lt;&gt;"acoes")))*INDEX(Inputs!$K$5:$AJ$140,0,MATCH(J$2,Inputs!$K$4:$AJ$4,0)))))</f>
        <v>-22.214</v>
      </c>
      <c r="K8" s="6">
        <f>IF(ISNA(MATCH(K$2,Inputs!$K$4:$AJ$4,0)),NA(),IF(SUMPRODUCT((Inputs!$A$5:$A$140=$B8)*ISNUMBER(INDEX(Inputs!$K$5:$AJ$140,0,MATCH(K$2,Inputs!$K$4:$AJ$4,0))))+SUMPRODUCT((Inputs!$C$5:$C$140=$B8)*ISNUMBER(INDEX(Inputs!$K$5:$AJ$140,0,MATCH(K$2,Inputs!$K$4:$AJ$4,0))))+SUMPRODUCT((Inputs!$E$5:$E$140=$B8)*ISNUMBER(INDEX(Inputs!$K$5:$AJ$140,0,MATCH(K$2,Inputs!$K$4:$AJ$4,0))))=0,NA(),SUMPRODUCT((Inputs!$A$5:$A$140=$B8)*Inputs!$B$5:$B$140*(((Inputs!$G$5:$G$140="moeda")+(Inputs!$G$5:$G$140="acoes"))*Inputs!$B$1+((Inputs!$G$5:$G$140&lt;&gt;"moeda")*(Inputs!$G$5:$G$140&lt;&gt;"acoes")))*INDEX(Inputs!$K$5:$AJ$140,0,MATCH(K$2,Inputs!$K$4:$AJ$4,0)))+SUMPRODUCT((Inputs!$C$5:$C$140=$B8)*Inputs!$D$5:$D$140*(((Inputs!$G$5:$G$140="moeda")+(Inputs!$G$5:$G$140="acoes"))*Inputs!$B$1+((Inputs!$G$5:$G$140&lt;&gt;"moeda")*(Inputs!$G$5:$G$140&lt;&gt;"acoes")))*INDEX(Inputs!$K$5:$AJ$140,0,MATCH(K$2,Inputs!$K$4:$AJ$4,0)))+SUMPRODUCT((Inputs!$E$5:$E$140=$B8)*Inputs!$F$5:$F$140*(((Inputs!$G$5:$G$140="moeda")+(Inputs!$G$5:$G$140="acoes"))*Inputs!$B$1+((Inputs!$G$5:$G$140&lt;&gt;"moeda")*(Inputs!$G$5:$G$140&lt;&gt;"acoes")))*INDEX(Inputs!$K$5:$AJ$140,0,MATCH(K$2,Inputs!$K$4:$AJ$4,0)))))</f>
        <v>-22.86</v>
      </c>
      <c r="L8" s="6">
        <f>IF(ISNA(MATCH(L$2,Inputs!$K$4:$AJ$4,0)),NA(),IF(SUMPRODUCT((Inputs!$A$5:$A$140=$B8)*ISNUMBER(INDEX(Inputs!$K$5:$AJ$140,0,MATCH(L$2,Inputs!$K$4:$AJ$4,0))))+SUMPRODUCT((Inputs!$C$5:$C$140=$B8)*ISNUMBER(INDEX(Inputs!$K$5:$AJ$140,0,MATCH(L$2,Inputs!$K$4:$AJ$4,0))))+SUMPRODUCT((Inputs!$E$5:$E$140=$B8)*ISNUMBER(INDEX(Inputs!$K$5:$AJ$140,0,MATCH(L$2,Inputs!$K$4:$AJ$4,0))))=0,NA(),SUMPRODUCT((Inputs!$A$5:$A$140=$B8)*Inputs!$B$5:$B$140*(((Inputs!$G$5:$G$140="moeda")+(Inputs!$G$5:$G$140="acoes"))*Inputs!$B$1+((Inputs!$G$5:$G$140&lt;&gt;"moeda")*(Inputs!$G$5:$G$140&lt;&gt;"acoes")))*INDEX(Inputs!$K$5:$AJ$140,0,MATCH(L$2,Inputs!$K$4:$AJ$4,0)))+SUMPRODUCT((Inputs!$C$5:$C$140=$B8)*Inputs!$D$5:$D$140*(((Inputs!$G$5:$G$140="moeda")+(Inputs!$G$5:$G$140="acoes"))*Inputs!$B$1+((Inputs!$G$5:$G$140&lt;&gt;"moeda")*(Inputs!$G$5:$G$140&lt;&gt;"acoes")))*INDEX(Inputs!$K$5:$AJ$140,0,MATCH(L$2,Inputs!$K$4:$AJ$4,0)))+SUMPRODUCT((Inputs!$E$5:$E$140=$B8)*Inputs!$F$5:$F$140*(((Inputs!$G$5:$G$140="moeda")+(Inputs!$G$5:$G$140="acoes"))*Inputs!$B$1+((Inputs!$G$5:$G$140&lt;&gt;"moeda")*(Inputs!$G$5:$G$140&lt;&gt;"acoes")))*INDEX(Inputs!$K$5:$AJ$140,0,MATCH(L$2,Inputs!$K$4:$AJ$4,0)))))</f>
        <v>-26.332</v>
      </c>
      <c r="M8" s="3">
        <f>SUM(I8:L8)</f>
        <v>-88.468</v>
      </c>
      <c r="N8" s="6">
        <f>IF(ISNA(MATCH(N$2,Inputs!$K$4:$AJ$4,0)),NA(),IF(SUMPRODUCT((Inputs!$A$5:$A$140=$B8)*ISNUMBER(INDEX(Inputs!$K$5:$AJ$140,0,MATCH(N$2,Inputs!$K$4:$AJ$4,0))))+SUMPRODUCT((Inputs!$C$5:$C$140=$B8)*ISNUMBER(INDEX(Inputs!$K$5:$AJ$140,0,MATCH(N$2,Inputs!$K$4:$AJ$4,0))))+SUMPRODUCT((Inputs!$E$5:$E$140=$B8)*ISNUMBER(INDEX(Inputs!$K$5:$AJ$140,0,MATCH(N$2,Inputs!$K$4:$AJ$4,0))))=0,NA(),SUMPRODUCT((Inputs!$A$5:$A$140=$B8)*Inputs!$B$5:$B$140*(((Inputs!$G$5:$G$140="moeda")+(Inputs!$G$5:$G$140="acoes"))*Inputs!$B$1+((Inputs!$G$5:$G$140&lt;&gt;"moeda")*(Inputs!$G$5:$G$140&lt;&gt;"acoes")))*INDEX(Inputs!$K$5:$AJ$140,0,MATCH(N$2,Inputs!$K$4:$AJ$4,0)))+SUMPRODUCT((Inputs!$C$5:$C$140=$B8)*Inputs!$D$5:$D$140*(((Inputs!$G$5:$G$140="moeda")+(Inputs!$G$5:$G$140="acoes"))*Inputs!$B$1+((Inputs!$G$5:$G$140&lt;&gt;"moeda")*(Inputs!$G$5:$G$140&lt;&gt;"acoes")))*INDEX(Inputs!$K$5:$AJ$140,0,MATCH(N$2,Inputs!$K$4:$AJ$4,0)))+SUMPRODUCT((Inputs!$E$5:$E$140=$B8)*Inputs!$F$5:$F$140*(((Inputs!$G$5:$G$140="moeda")+(Inputs!$G$5:$G$140="acoes"))*Inputs!$B$1+((Inputs!$G$5:$G$140&lt;&gt;"moeda")*(Inputs!$G$5:$G$140&lt;&gt;"acoes")))*INDEX(Inputs!$K$5:$AJ$140,0,MATCH(N$2,Inputs!$K$4:$AJ$4,0)))))</f>
        <v>-25.672</v>
      </c>
      <c r="O8" s="6">
        <f>IF(ISNA(MATCH(O$2,Inputs!$K$4:$AJ$4,0)),NA(),IF(SUMPRODUCT((Inputs!$A$5:$A$140=$B8)*ISNUMBER(INDEX(Inputs!$K$5:$AJ$140,0,MATCH(O$2,Inputs!$K$4:$AJ$4,0))))+SUMPRODUCT((Inputs!$C$5:$C$140=$B8)*ISNUMBER(INDEX(Inputs!$K$5:$AJ$140,0,MATCH(O$2,Inputs!$K$4:$AJ$4,0))))+SUMPRODUCT((Inputs!$E$5:$E$140=$B8)*ISNUMBER(INDEX(Inputs!$K$5:$AJ$140,0,MATCH(O$2,Inputs!$K$4:$AJ$4,0))))=0,NA(),SUMPRODUCT((Inputs!$A$5:$A$140=$B8)*Inputs!$B$5:$B$140*(((Inputs!$G$5:$G$140="moeda")+(Inputs!$G$5:$G$140="acoes"))*Inputs!$B$1+((Inputs!$G$5:$G$140&lt;&gt;"moeda")*(Inputs!$G$5:$G$140&lt;&gt;"acoes")))*INDEX(Inputs!$K$5:$AJ$140,0,MATCH(O$2,Inputs!$K$4:$AJ$4,0)))+SUMPRODUCT((Inputs!$C$5:$C$140=$B8)*Inputs!$D$5:$D$140*(((Inputs!$G$5:$G$140="moeda")+(Inputs!$G$5:$G$140="acoes"))*Inputs!$B$1+((Inputs!$G$5:$G$140&lt;&gt;"moeda")*(Inputs!$G$5:$G$140&lt;&gt;"acoes")))*INDEX(Inputs!$K$5:$AJ$140,0,MATCH(O$2,Inputs!$K$4:$AJ$4,0)))+SUMPRODUCT((Inputs!$E$5:$E$140=$B8)*Inputs!$F$5:$F$140*(((Inputs!$G$5:$G$140="moeda")+(Inputs!$G$5:$G$140="acoes"))*Inputs!$B$1+((Inputs!$G$5:$G$140&lt;&gt;"moeda")*(Inputs!$G$5:$G$140&lt;&gt;"acoes")))*INDEX(Inputs!$K$5:$AJ$140,0,MATCH(O$2,Inputs!$K$4:$AJ$4,0)))))</f>
        <v>-26.026</v>
      </c>
      <c r="P8" s="6">
        <f>IF(ISNA(MATCH(P$2,Inputs!$K$4:$AJ$4,0)),NA(),IF(SUMPRODUCT((Inputs!$A$5:$A$140=$B8)*ISNUMBER(INDEX(Inputs!$K$5:$AJ$140,0,MATCH(P$2,Inputs!$K$4:$AJ$4,0))))+SUMPRODUCT((Inputs!$C$5:$C$140=$B8)*ISNUMBER(INDEX(Inputs!$K$5:$AJ$140,0,MATCH(P$2,Inputs!$K$4:$AJ$4,0))))+SUMPRODUCT((Inputs!$E$5:$E$140=$B8)*ISNUMBER(INDEX(Inputs!$K$5:$AJ$140,0,MATCH(P$2,Inputs!$K$4:$AJ$4,0))))=0,NA(),SUMPRODUCT((Inputs!$A$5:$A$140=$B8)*Inputs!$B$5:$B$140*(((Inputs!$G$5:$G$140="moeda")+(Inputs!$G$5:$G$140="acoes"))*Inputs!$B$1+((Inputs!$G$5:$G$140&lt;&gt;"moeda")*(Inputs!$G$5:$G$140&lt;&gt;"acoes")))*INDEX(Inputs!$K$5:$AJ$140,0,MATCH(P$2,Inputs!$K$4:$AJ$4,0)))+SUMPRODUCT((Inputs!$C$5:$C$140=$B8)*Inputs!$D$5:$D$140*(((Inputs!$G$5:$G$140="moeda")+(Inputs!$G$5:$G$140="acoes"))*Inputs!$B$1+((Inputs!$G$5:$G$140&lt;&gt;"moeda")*(Inputs!$G$5:$G$140&lt;&gt;"acoes")))*INDEX(Inputs!$K$5:$AJ$140,0,MATCH(P$2,Inputs!$K$4:$AJ$4,0)))+SUMPRODUCT((Inputs!$E$5:$E$140=$B8)*Inputs!$F$5:$F$140*(((Inputs!$G$5:$G$140="moeda")+(Inputs!$G$5:$G$140="acoes"))*Inputs!$B$1+((Inputs!$G$5:$G$140&lt;&gt;"moeda")*(Inputs!$G$5:$G$140&lt;&gt;"acoes")))*INDEX(Inputs!$K$5:$AJ$140,0,MATCH(P$2,Inputs!$K$4:$AJ$4,0)))))</f>
        <v>-23.214</v>
      </c>
      <c r="Q8" s="6">
        <f>IF(ISNA(MATCH(Q$2,Inputs!$K$4:$AJ$4,0)),NA(),IF(SUMPRODUCT((Inputs!$A$5:$A$140=$B8)*ISNUMBER(INDEX(Inputs!$K$5:$AJ$140,0,MATCH(Q$2,Inputs!$K$4:$AJ$4,0))))+SUMPRODUCT((Inputs!$C$5:$C$140=$B8)*ISNUMBER(INDEX(Inputs!$K$5:$AJ$140,0,MATCH(Q$2,Inputs!$K$4:$AJ$4,0))))+SUMPRODUCT((Inputs!$E$5:$E$140=$B8)*ISNUMBER(INDEX(Inputs!$K$5:$AJ$140,0,MATCH(Q$2,Inputs!$K$4:$AJ$4,0))))=0,NA(),SUMPRODUCT((Inputs!$A$5:$A$140=$B8)*Inputs!$B$5:$B$140*(((Inputs!$G$5:$G$140="moeda")+(Inputs!$G$5:$G$140="acoes"))*Inputs!$B$1+((Inputs!$G$5:$G$140&lt;&gt;"moeda")*(Inputs!$G$5:$G$140&lt;&gt;"acoes")))*INDEX(Inputs!$K$5:$AJ$140,0,MATCH(Q$2,Inputs!$K$4:$AJ$4,0)))+SUMPRODUCT((Inputs!$C$5:$C$140=$B8)*Inputs!$D$5:$D$140*(((Inputs!$G$5:$G$140="moeda")+(Inputs!$G$5:$G$140="acoes"))*Inputs!$B$1+((Inputs!$G$5:$G$140&lt;&gt;"moeda")*(Inputs!$G$5:$G$140&lt;&gt;"acoes")))*INDEX(Inputs!$K$5:$AJ$140,0,MATCH(Q$2,Inputs!$K$4:$AJ$4,0)))+SUMPRODUCT((Inputs!$E$5:$E$140=$B8)*Inputs!$F$5:$F$140*(((Inputs!$G$5:$G$140="moeda")+(Inputs!$G$5:$G$140="acoes"))*Inputs!$B$1+((Inputs!$G$5:$G$140&lt;&gt;"moeda")*(Inputs!$G$5:$G$140&lt;&gt;"acoes")))*INDEX(Inputs!$K$5:$AJ$140,0,MATCH(Q$2,Inputs!$K$4:$AJ$4,0)))))</f>
        <v>-25.215</v>
      </c>
      <c r="R8" s="3">
        <f>SUM(N8:Q8)</f>
        <v>-100.127</v>
      </c>
      <c r="S8" s="6">
        <f>IF(ISNA(MATCH(S$2,Inputs!$K$4:$AJ$4,0)),NA(),IF(SUMPRODUCT((Inputs!$A$5:$A$140=$B8)*ISNUMBER(INDEX(Inputs!$K$5:$AJ$140,0,MATCH(S$2,Inputs!$K$4:$AJ$4,0))))+SUMPRODUCT((Inputs!$C$5:$C$140=$B8)*ISNUMBER(INDEX(Inputs!$K$5:$AJ$140,0,MATCH(S$2,Inputs!$K$4:$AJ$4,0))))+SUMPRODUCT((Inputs!$E$5:$E$140=$B8)*ISNUMBER(INDEX(Inputs!$K$5:$AJ$140,0,MATCH(S$2,Inputs!$K$4:$AJ$4,0))))=0,NA(),SUMPRODUCT((Inputs!$A$5:$A$140=$B8)*Inputs!$B$5:$B$140*(((Inputs!$G$5:$G$140="moeda")+(Inputs!$G$5:$G$140="acoes"))*Inputs!$B$1+((Inputs!$G$5:$G$140&lt;&gt;"moeda")*(Inputs!$G$5:$G$140&lt;&gt;"acoes")))*INDEX(Inputs!$K$5:$AJ$140,0,MATCH(S$2,Inputs!$K$4:$AJ$4,0)))+SUMPRODUCT((Inputs!$C$5:$C$140=$B8)*Inputs!$D$5:$D$140*(((Inputs!$G$5:$G$140="moeda")+(Inputs!$G$5:$G$140="acoes"))*Inputs!$B$1+((Inputs!$G$5:$G$140&lt;&gt;"moeda")*(Inputs!$G$5:$G$140&lt;&gt;"acoes")))*INDEX(Inputs!$K$5:$AJ$140,0,MATCH(S$2,Inputs!$K$4:$AJ$4,0)))+SUMPRODUCT((Inputs!$E$5:$E$140=$B8)*Inputs!$F$5:$F$140*(((Inputs!$G$5:$G$140="moeda")+(Inputs!$G$5:$G$140="acoes"))*Inputs!$B$1+((Inputs!$G$5:$G$140&lt;&gt;"moeda")*(Inputs!$G$5:$G$140&lt;&gt;"acoes")))*INDEX(Inputs!$K$5:$AJ$140,0,MATCH(S$2,Inputs!$K$4:$AJ$4,0)))))</f>
        <v>-24.806</v>
      </c>
      <c r="T8" s="6">
        <f>IF(ISNA(MATCH(T$2,Inputs!$K$4:$AJ$4,0)),NA(),IF(SUMPRODUCT((Inputs!$A$5:$A$140=$B8)*ISNUMBER(INDEX(Inputs!$K$5:$AJ$140,0,MATCH(T$2,Inputs!$K$4:$AJ$4,0))))+SUMPRODUCT((Inputs!$C$5:$C$140=$B8)*ISNUMBER(INDEX(Inputs!$K$5:$AJ$140,0,MATCH(T$2,Inputs!$K$4:$AJ$4,0))))+SUMPRODUCT((Inputs!$E$5:$E$140=$B8)*ISNUMBER(INDEX(Inputs!$K$5:$AJ$140,0,MATCH(T$2,Inputs!$K$4:$AJ$4,0))))=0,NA(),SUMPRODUCT((Inputs!$A$5:$A$140=$B8)*Inputs!$B$5:$B$140*(((Inputs!$G$5:$G$140="moeda")+(Inputs!$G$5:$G$140="acoes"))*Inputs!$B$1+((Inputs!$G$5:$G$140&lt;&gt;"moeda")*(Inputs!$G$5:$G$140&lt;&gt;"acoes")))*INDEX(Inputs!$K$5:$AJ$140,0,MATCH(T$2,Inputs!$K$4:$AJ$4,0)))+SUMPRODUCT((Inputs!$C$5:$C$140=$B8)*Inputs!$D$5:$D$140*(((Inputs!$G$5:$G$140="moeda")+(Inputs!$G$5:$G$140="acoes"))*Inputs!$B$1+((Inputs!$G$5:$G$140&lt;&gt;"moeda")*(Inputs!$G$5:$G$140&lt;&gt;"acoes")))*INDEX(Inputs!$K$5:$AJ$140,0,MATCH(T$2,Inputs!$K$4:$AJ$4,0)))+SUMPRODUCT((Inputs!$E$5:$E$140=$B8)*Inputs!$F$5:$F$140*(((Inputs!$G$5:$G$140="moeda")+(Inputs!$G$5:$G$140="acoes"))*Inputs!$B$1+((Inputs!$G$5:$G$140&lt;&gt;"moeda")*(Inputs!$G$5:$G$140&lt;&gt;"acoes")))*INDEX(Inputs!$K$5:$AJ$140,0,MATCH(T$2,Inputs!$K$4:$AJ$4,0)))))</f>
        <v>-31.099</v>
      </c>
      <c r="U8" s="6">
        <f>IF(ISNA(MATCH(U$2,Inputs!$K$4:$AJ$4,0)),NA(),IF(SUMPRODUCT((Inputs!$A$5:$A$140=$B8)*ISNUMBER(INDEX(Inputs!$K$5:$AJ$140,0,MATCH(U$2,Inputs!$K$4:$AJ$4,0))))+SUMPRODUCT((Inputs!$C$5:$C$140=$B8)*ISNUMBER(INDEX(Inputs!$K$5:$AJ$140,0,MATCH(U$2,Inputs!$K$4:$AJ$4,0))))+SUMPRODUCT((Inputs!$E$5:$E$140=$B8)*ISNUMBER(INDEX(Inputs!$K$5:$AJ$140,0,MATCH(U$2,Inputs!$K$4:$AJ$4,0))))=0,NA(),SUMPRODUCT((Inputs!$A$5:$A$140=$B8)*Inputs!$B$5:$B$140*(((Inputs!$G$5:$G$140="moeda")+(Inputs!$G$5:$G$140="acoes"))*Inputs!$B$1+((Inputs!$G$5:$G$140&lt;&gt;"moeda")*(Inputs!$G$5:$G$140&lt;&gt;"acoes")))*INDEX(Inputs!$K$5:$AJ$140,0,MATCH(U$2,Inputs!$K$4:$AJ$4,0)))+SUMPRODUCT((Inputs!$C$5:$C$140=$B8)*Inputs!$D$5:$D$140*(((Inputs!$G$5:$G$140="moeda")+(Inputs!$G$5:$G$140="acoes"))*Inputs!$B$1+((Inputs!$G$5:$G$140&lt;&gt;"moeda")*(Inputs!$G$5:$G$140&lt;&gt;"acoes")))*INDEX(Inputs!$K$5:$AJ$140,0,MATCH(U$2,Inputs!$K$4:$AJ$4,0)))+SUMPRODUCT((Inputs!$E$5:$E$140=$B8)*Inputs!$F$5:$F$140*(((Inputs!$G$5:$G$140="moeda")+(Inputs!$G$5:$G$140="acoes"))*Inputs!$B$1+((Inputs!$G$5:$G$140&lt;&gt;"moeda")*(Inputs!$G$5:$G$140&lt;&gt;"acoes")))*INDEX(Inputs!$K$5:$AJ$140,0,MATCH(U$2,Inputs!$K$4:$AJ$4,0)))))</f>
        <v>-39.673</v>
      </c>
      <c r="V8" s="6">
        <f>IF(ISNA(MATCH(V$2,Inputs!$K$4:$AJ$4,0)),NA(),IF(SUMPRODUCT((Inputs!$A$5:$A$140=$B8)*ISNUMBER(INDEX(Inputs!$K$5:$AJ$140,0,MATCH(V$2,Inputs!$K$4:$AJ$4,0))))+SUMPRODUCT((Inputs!$C$5:$C$140=$B8)*ISNUMBER(INDEX(Inputs!$K$5:$AJ$140,0,MATCH(V$2,Inputs!$K$4:$AJ$4,0))))+SUMPRODUCT((Inputs!$E$5:$E$140=$B8)*ISNUMBER(INDEX(Inputs!$K$5:$AJ$140,0,MATCH(V$2,Inputs!$K$4:$AJ$4,0))))=0,NA(),SUMPRODUCT((Inputs!$A$5:$A$140=$B8)*Inputs!$B$5:$B$140*(((Inputs!$G$5:$G$140="moeda")+(Inputs!$G$5:$G$140="acoes"))*Inputs!$B$1+((Inputs!$G$5:$G$140&lt;&gt;"moeda")*(Inputs!$G$5:$G$140&lt;&gt;"acoes")))*INDEX(Inputs!$K$5:$AJ$140,0,MATCH(V$2,Inputs!$K$4:$AJ$4,0)))+SUMPRODUCT((Inputs!$C$5:$C$140=$B8)*Inputs!$D$5:$D$140*(((Inputs!$G$5:$G$140="moeda")+(Inputs!$G$5:$G$140="acoes"))*Inputs!$B$1+((Inputs!$G$5:$G$140&lt;&gt;"moeda")*(Inputs!$G$5:$G$140&lt;&gt;"acoes")))*INDEX(Inputs!$K$5:$AJ$140,0,MATCH(V$2,Inputs!$K$4:$AJ$4,0)))+SUMPRODUCT((Inputs!$E$5:$E$140=$B8)*Inputs!$F$5:$F$140*(((Inputs!$G$5:$G$140="moeda")+(Inputs!$G$5:$G$140="acoes"))*Inputs!$B$1+((Inputs!$G$5:$G$140&lt;&gt;"moeda")*(Inputs!$G$5:$G$140&lt;&gt;"acoes")))*INDEX(Inputs!$K$5:$AJ$140,0,MATCH(V$2,Inputs!$K$4:$AJ$4,0)))))</f>
        <v>-41.587</v>
      </c>
      <c r="W8" s="3">
        <f>SUM(S8:V8)</f>
        <v>-137.165</v>
      </c>
      <c r="X8" s="6">
        <f>IF(ISNA(MATCH(X$2,Inputs!$K$4:$AJ$4,0)),NA(),IF(SUMPRODUCT((Inputs!$A$5:$A$140=$B8)*ISNUMBER(INDEX(Inputs!$K$5:$AJ$140,0,MATCH(X$2,Inputs!$K$4:$AJ$4,0))))+SUMPRODUCT((Inputs!$C$5:$C$140=$B8)*ISNUMBER(INDEX(Inputs!$K$5:$AJ$140,0,MATCH(X$2,Inputs!$K$4:$AJ$4,0))))+SUMPRODUCT((Inputs!$E$5:$E$140=$B8)*ISNUMBER(INDEX(Inputs!$K$5:$AJ$140,0,MATCH(X$2,Inputs!$K$4:$AJ$4,0))))=0,NA(),SUMPRODUCT((Inputs!$A$5:$A$140=$B8)*Inputs!$B$5:$B$140*(((Inputs!$G$5:$G$140="moeda")+(Inputs!$G$5:$G$140="acoes"))*Inputs!$B$1+((Inputs!$G$5:$G$140&lt;&gt;"moeda")*(Inputs!$G$5:$G$140&lt;&gt;"acoes")))*INDEX(Inputs!$K$5:$AJ$140,0,MATCH(X$2,Inputs!$K$4:$AJ$4,0)))+SUMPRODUCT((Inputs!$C$5:$C$140=$B8)*Inputs!$D$5:$D$140*(((Inputs!$G$5:$G$140="moeda")+(Inputs!$G$5:$G$140="acoes"))*Inputs!$B$1+((Inputs!$G$5:$G$140&lt;&gt;"moeda")*(Inputs!$G$5:$G$140&lt;&gt;"acoes")))*INDEX(Inputs!$K$5:$AJ$140,0,MATCH(X$2,Inputs!$K$4:$AJ$4,0)))+SUMPRODUCT((Inputs!$E$5:$E$140=$B8)*Inputs!$F$5:$F$140*(((Inputs!$G$5:$G$140="moeda")+(Inputs!$G$5:$G$140="acoes"))*Inputs!$B$1+((Inputs!$G$5:$G$140&lt;&gt;"moeda")*(Inputs!$G$5:$G$140&lt;&gt;"acoes")))*INDEX(Inputs!$K$5:$AJ$140,0,MATCH(X$2,Inputs!$K$4:$AJ$4,0)))))</f>
        <v>-51.332</v>
      </c>
      <c r="Y8" s="6">
        <f>IF(ISNA(MATCH(Y$2,Inputs!$K$4:$AJ$4,0)),NA(),IF(SUMPRODUCT((Inputs!$A$5:$A$140=$B8)*ISNUMBER(INDEX(Inputs!$K$5:$AJ$140,0,MATCH(Y$2,Inputs!$K$4:$AJ$4,0))))+SUMPRODUCT((Inputs!$C$5:$C$140=$B8)*ISNUMBER(INDEX(Inputs!$K$5:$AJ$140,0,MATCH(Y$2,Inputs!$K$4:$AJ$4,0))))+SUMPRODUCT((Inputs!$E$5:$E$140=$B8)*ISNUMBER(INDEX(Inputs!$K$5:$AJ$140,0,MATCH(Y$2,Inputs!$K$4:$AJ$4,0))))=0,NA(),SUMPRODUCT((Inputs!$A$5:$A$140=$B8)*Inputs!$B$5:$B$140*(((Inputs!$G$5:$G$140="moeda")+(Inputs!$G$5:$G$140="acoes"))*Inputs!$B$1+((Inputs!$G$5:$G$140&lt;&gt;"moeda")*(Inputs!$G$5:$G$140&lt;&gt;"acoes")))*INDEX(Inputs!$K$5:$AJ$140,0,MATCH(Y$2,Inputs!$K$4:$AJ$4,0)))+SUMPRODUCT((Inputs!$C$5:$C$140=$B8)*Inputs!$D$5:$D$140*(((Inputs!$G$5:$G$140="moeda")+(Inputs!$G$5:$G$140="acoes"))*Inputs!$B$1+((Inputs!$G$5:$G$140&lt;&gt;"moeda")*(Inputs!$G$5:$G$140&lt;&gt;"acoes")))*INDEX(Inputs!$K$5:$AJ$140,0,MATCH(Y$2,Inputs!$K$4:$AJ$4,0)))+SUMPRODUCT((Inputs!$E$5:$E$140=$B8)*Inputs!$F$5:$F$140*(((Inputs!$G$5:$G$140="moeda")+(Inputs!$G$5:$G$140="acoes"))*Inputs!$B$1+((Inputs!$G$5:$G$140&lt;&gt;"moeda")*(Inputs!$G$5:$G$140&lt;&gt;"acoes")))*INDEX(Inputs!$K$5:$AJ$140,0,MATCH(Y$2,Inputs!$K$4:$AJ$4,0)))))</f>
        <v>-50.8462442900001</v>
      </c>
      <c r="Z8" s="6">
        <f>IF(ISNA(MATCH(Z$2,Inputs!$K$4:$AJ$4,0)),NA(),IF(SUMPRODUCT((Inputs!$A$5:$A$140=$B8)*ISNUMBER(INDEX(Inputs!$K$5:$AJ$140,0,MATCH(Z$2,Inputs!$K$4:$AJ$4,0))))+SUMPRODUCT((Inputs!$C$5:$C$140=$B8)*ISNUMBER(INDEX(Inputs!$K$5:$AJ$140,0,MATCH(Z$2,Inputs!$K$4:$AJ$4,0))))+SUMPRODUCT((Inputs!$E$5:$E$140=$B8)*ISNUMBER(INDEX(Inputs!$K$5:$AJ$140,0,MATCH(Z$2,Inputs!$K$4:$AJ$4,0))))=0,NA(),SUMPRODUCT((Inputs!$A$5:$A$140=$B8)*Inputs!$B$5:$B$140*(((Inputs!$G$5:$G$140="moeda")+(Inputs!$G$5:$G$140="acoes"))*Inputs!$B$1+((Inputs!$G$5:$G$140&lt;&gt;"moeda")*(Inputs!$G$5:$G$140&lt;&gt;"acoes")))*INDEX(Inputs!$K$5:$AJ$140,0,MATCH(Z$2,Inputs!$K$4:$AJ$4,0)))+SUMPRODUCT((Inputs!$C$5:$C$140=$B8)*Inputs!$D$5:$D$140*(((Inputs!$G$5:$G$140="moeda")+(Inputs!$G$5:$G$140="acoes"))*Inputs!$B$1+((Inputs!$G$5:$G$140&lt;&gt;"moeda")*(Inputs!$G$5:$G$140&lt;&gt;"acoes")))*INDEX(Inputs!$K$5:$AJ$140,0,MATCH(Z$2,Inputs!$K$4:$AJ$4,0)))+SUMPRODUCT((Inputs!$E$5:$E$140=$B8)*Inputs!$F$5:$F$140*(((Inputs!$G$5:$G$140="moeda")+(Inputs!$G$5:$G$140="acoes"))*Inputs!$B$1+((Inputs!$G$5:$G$140&lt;&gt;"moeda")*(Inputs!$G$5:$G$140&lt;&gt;"acoes")))*INDEX(Inputs!$K$5:$AJ$140,0,MATCH(Z$2,Inputs!$K$4:$AJ$4,0)))))</f>
        <v>-56.062</v>
      </c>
      <c r="AA8" s="6">
        <f>IF(ISNA(MATCH(AA$2,Inputs!$K$4:$AJ$4,0)),NA(),IF(SUMPRODUCT((Inputs!$A$5:$A$140=$B8)*ISNUMBER(INDEX(Inputs!$K$5:$AJ$140,0,MATCH(AA$2,Inputs!$K$4:$AJ$4,0))))+SUMPRODUCT((Inputs!$C$5:$C$140=$B8)*ISNUMBER(INDEX(Inputs!$K$5:$AJ$140,0,MATCH(AA$2,Inputs!$K$4:$AJ$4,0))))+SUMPRODUCT((Inputs!$E$5:$E$140=$B8)*ISNUMBER(INDEX(Inputs!$K$5:$AJ$140,0,MATCH(AA$2,Inputs!$K$4:$AJ$4,0))))=0,NA(),SUMPRODUCT((Inputs!$A$5:$A$140=$B8)*Inputs!$B$5:$B$140*(((Inputs!$G$5:$G$140="moeda")+(Inputs!$G$5:$G$140="acoes"))*Inputs!$B$1+((Inputs!$G$5:$G$140&lt;&gt;"moeda")*(Inputs!$G$5:$G$140&lt;&gt;"acoes")))*INDEX(Inputs!$K$5:$AJ$140,0,MATCH(AA$2,Inputs!$K$4:$AJ$4,0)))+SUMPRODUCT((Inputs!$C$5:$C$140=$B8)*Inputs!$D$5:$D$140*(((Inputs!$G$5:$G$140="moeda")+(Inputs!$G$5:$G$140="acoes"))*Inputs!$B$1+((Inputs!$G$5:$G$140&lt;&gt;"moeda")*(Inputs!$G$5:$G$140&lt;&gt;"acoes")))*INDEX(Inputs!$K$5:$AJ$140,0,MATCH(AA$2,Inputs!$K$4:$AJ$4,0)))+SUMPRODUCT((Inputs!$E$5:$E$140=$B8)*Inputs!$F$5:$F$140*(((Inputs!$G$5:$G$140="moeda")+(Inputs!$G$5:$G$140="acoes"))*Inputs!$B$1+((Inputs!$G$5:$G$140&lt;&gt;"moeda")*(Inputs!$G$5:$G$140&lt;&gt;"acoes")))*INDEX(Inputs!$K$5:$AJ$140,0,MATCH(AA$2,Inputs!$K$4:$AJ$4,0)))))</f>
        <v>-59.596</v>
      </c>
      <c r="AB8" s="3">
        <f>SUM(X8:AA8)</f>
        <v>-217.83624429</v>
      </c>
      <c r="AC8" s="6">
        <f>IF(ISNA(MATCH(AC$2,Inputs!$K$4:$AJ$4,0)),NA(),IF(SUMPRODUCT((Inputs!$A$5:$A$140=$B8)*ISNUMBER(INDEX(Inputs!$K$5:$AJ$140,0,MATCH(AC$2,Inputs!$K$4:$AJ$4,0))))+SUMPRODUCT((Inputs!$C$5:$C$140=$B8)*ISNUMBER(INDEX(Inputs!$K$5:$AJ$140,0,MATCH(AC$2,Inputs!$K$4:$AJ$4,0))))+SUMPRODUCT((Inputs!$E$5:$E$140=$B8)*ISNUMBER(INDEX(Inputs!$K$5:$AJ$140,0,MATCH(AC$2,Inputs!$K$4:$AJ$4,0))))=0,NA(),SUMPRODUCT((Inputs!$A$5:$A$140=$B8)*Inputs!$B$5:$B$140*(((Inputs!$G$5:$G$140="moeda")+(Inputs!$G$5:$G$140="acoes"))*Inputs!$B$1+((Inputs!$G$5:$G$140&lt;&gt;"moeda")*(Inputs!$G$5:$G$140&lt;&gt;"acoes")))*INDEX(Inputs!$K$5:$AJ$140,0,MATCH(AC$2,Inputs!$K$4:$AJ$4,0)))+SUMPRODUCT((Inputs!$C$5:$C$140=$B8)*Inputs!$D$5:$D$140*(((Inputs!$G$5:$G$140="moeda")+(Inputs!$G$5:$G$140="acoes"))*Inputs!$B$1+((Inputs!$G$5:$G$140&lt;&gt;"moeda")*(Inputs!$G$5:$G$140&lt;&gt;"acoes")))*INDEX(Inputs!$K$5:$AJ$140,0,MATCH(AC$2,Inputs!$K$4:$AJ$4,0)))+SUMPRODUCT((Inputs!$E$5:$E$140=$B8)*Inputs!$F$5:$F$140*(((Inputs!$G$5:$G$140="moeda")+(Inputs!$G$5:$G$140="acoes"))*Inputs!$B$1+((Inputs!$G$5:$G$140&lt;&gt;"moeda")*(Inputs!$G$5:$G$140&lt;&gt;"acoes")))*INDEX(Inputs!$K$5:$AJ$140,0,MATCH(AC$2,Inputs!$K$4:$AJ$4,0)))))</f>
        <v>-59.802</v>
      </c>
      <c r="AD8" s="6">
        <f>IF(ISNA(MATCH(AD$2,Inputs!$K$4:$AJ$4,0)),NA(),IF(SUMPRODUCT((Inputs!$A$5:$A$140=$B8)*ISNUMBER(INDEX(Inputs!$K$5:$AJ$140,0,MATCH(AD$2,Inputs!$K$4:$AJ$4,0))))+SUMPRODUCT((Inputs!$C$5:$C$140=$B8)*ISNUMBER(INDEX(Inputs!$K$5:$AJ$140,0,MATCH(AD$2,Inputs!$K$4:$AJ$4,0))))+SUMPRODUCT((Inputs!$E$5:$E$140=$B8)*ISNUMBER(INDEX(Inputs!$K$5:$AJ$140,0,MATCH(AD$2,Inputs!$K$4:$AJ$4,0))))=0,NA(),SUMPRODUCT((Inputs!$A$5:$A$140=$B8)*Inputs!$B$5:$B$140*(((Inputs!$G$5:$G$140="moeda")+(Inputs!$G$5:$G$140="acoes"))*Inputs!$B$1+((Inputs!$G$5:$G$140&lt;&gt;"moeda")*(Inputs!$G$5:$G$140&lt;&gt;"acoes")))*INDEX(Inputs!$K$5:$AJ$140,0,MATCH(AD$2,Inputs!$K$4:$AJ$4,0)))+SUMPRODUCT((Inputs!$C$5:$C$140=$B8)*Inputs!$D$5:$D$140*(((Inputs!$G$5:$G$140="moeda")+(Inputs!$G$5:$G$140="acoes"))*Inputs!$B$1+((Inputs!$G$5:$G$140&lt;&gt;"moeda")*(Inputs!$G$5:$G$140&lt;&gt;"acoes")))*INDEX(Inputs!$K$5:$AJ$140,0,MATCH(AD$2,Inputs!$K$4:$AJ$4,0)))+SUMPRODUCT((Inputs!$E$5:$E$140=$B8)*Inputs!$F$5:$F$140*(((Inputs!$G$5:$G$140="moeda")+(Inputs!$G$5:$G$140="acoes"))*Inputs!$B$1+((Inputs!$G$5:$G$140&lt;&gt;"moeda")*(Inputs!$G$5:$G$140&lt;&gt;"acoes")))*INDEX(Inputs!$K$5:$AJ$140,0,MATCH(AD$2,Inputs!$K$4:$AJ$4,0)))))</f>
        <v>-70.288</v>
      </c>
      <c r="AE8" s="6" t="e">
        <f>IF(ISNA(MATCH(AE$2,Inputs!$K$4:$AJ$4,0)),NA(),IF(SUMPRODUCT((Inputs!$A$5:$A$140=$B8)*ISNUMBER(INDEX(Inputs!$K$5:$AJ$140,0,MATCH(AE$2,Inputs!$K$4:$AJ$4,0))))+SUMPRODUCT((Inputs!$C$5:$C$140=$B8)*ISNUMBER(INDEX(Inputs!$K$5:$AJ$140,0,MATCH(AE$2,Inputs!$K$4:$AJ$4,0))))+SUMPRODUCT((Inputs!$E$5:$E$140=$B8)*ISNUMBER(INDEX(Inputs!$K$5:$AJ$140,0,MATCH(AE$2,Inputs!$K$4:$AJ$4,0))))=0,NA(),SUMPRODUCT((Inputs!$A$5:$A$140=$B8)*Inputs!$B$5:$B$140*(((Inputs!$G$5:$G$140="moeda")+(Inputs!$G$5:$G$140="acoes"))*Inputs!$B$1+((Inputs!$G$5:$G$140&lt;&gt;"moeda")*(Inputs!$G$5:$G$140&lt;&gt;"acoes")))*INDEX(Inputs!$K$5:$AJ$140,0,MATCH(AE$2,Inputs!$K$4:$AJ$4,0)))+SUMPRODUCT((Inputs!$C$5:$C$140=$B8)*Inputs!$D$5:$D$140*(((Inputs!$G$5:$G$140="moeda")+(Inputs!$G$5:$G$140="acoes"))*Inputs!$B$1+((Inputs!$G$5:$G$140&lt;&gt;"moeda")*(Inputs!$G$5:$G$140&lt;&gt;"acoes")))*INDEX(Inputs!$K$5:$AJ$140,0,MATCH(AE$2,Inputs!$K$4:$AJ$4,0)))+SUMPRODUCT((Inputs!$E$5:$E$140=$B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8" s="6" t="e">
        <f>IF(ISNA(MATCH(AF$2,Inputs!$K$4:$AJ$4,0)),NA(),IF(SUMPRODUCT((Inputs!$A$5:$A$140=$B8)*ISNUMBER(INDEX(Inputs!$K$5:$AJ$140,0,MATCH(AF$2,Inputs!$K$4:$AJ$4,0))))+SUMPRODUCT((Inputs!$C$5:$C$140=$B8)*ISNUMBER(INDEX(Inputs!$K$5:$AJ$140,0,MATCH(AF$2,Inputs!$K$4:$AJ$4,0))))+SUMPRODUCT((Inputs!$E$5:$E$140=$B8)*ISNUMBER(INDEX(Inputs!$K$5:$AJ$140,0,MATCH(AF$2,Inputs!$K$4:$AJ$4,0))))=0,NA(),SUMPRODUCT((Inputs!$A$5:$A$140=$B8)*Inputs!$B$5:$B$140*(((Inputs!$G$5:$G$140="moeda")+(Inputs!$G$5:$G$140="acoes"))*Inputs!$B$1+((Inputs!$G$5:$G$140&lt;&gt;"moeda")*(Inputs!$G$5:$G$140&lt;&gt;"acoes")))*INDEX(Inputs!$K$5:$AJ$140,0,MATCH(AF$2,Inputs!$K$4:$AJ$4,0)))+SUMPRODUCT((Inputs!$C$5:$C$140=$B8)*Inputs!$D$5:$D$140*(((Inputs!$G$5:$G$140="moeda")+(Inputs!$G$5:$G$140="acoes"))*Inputs!$B$1+((Inputs!$G$5:$G$140&lt;&gt;"moeda")*(Inputs!$G$5:$G$140&lt;&gt;"acoes")))*INDEX(Inputs!$K$5:$AJ$140,0,MATCH(AF$2,Inputs!$K$4:$AJ$4,0)))+SUMPRODUCT((Inputs!$E$5:$E$140=$B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8" s="3" t="e">
        <f>SUM(AC8:AF8)</f>
        <v>#N/A</v>
      </c>
      <c r="AH8" s="6">
        <f>IF(ISNA(MATCH(AH$2,Inputs!$K$4:$AJ$4,0)),NA(),IF(SUMPRODUCT((Inputs!$A$5:$A$140=$B8)*ISNUMBER(INDEX(Inputs!$K$5:$AJ$140,0,MATCH(AH$2,Inputs!$K$4:$AJ$4,0))))+SUMPRODUCT((Inputs!$C$5:$C$140=$B8)*ISNUMBER(INDEX(Inputs!$K$5:$AJ$140,0,MATCH(AH$2,Inputs!$K$4:$AJ$4,0))))+SUMPRODUCT((Inputs!$E$5:$E$140=$B8)*ISNUMBER(INDEX(Inputs!$K$5:$AJ$140,0,MATCH(AH$2,Inputs!$K$4:$AJ$4,0))))=0,NA(),SUMPRODUCT((Inputs!$A$5:$A$140=$B8)*Inputs!$B$5:$B$140*(((Inputs!$G$5:$G$140="moeda")+(Inputs!$G$5:$G$140="acoes"))*Inputs!$B$1+((Inputs!$G$5:$G$140&lt;&gt;"moeda")*(Inputs!$G$5:$G$140&lt;&gt;"acoes")))*INDEX(Inputs!$K$5:$AJ$140,0,MATCH(AH$2,Inputs!$K$4:$AJ$4,0)))+SUMPRODUCT((Inputs!$C$5:$C$140=$B8)*Inputs!$D$5:$D$140*(((Inputs!$G$5:$G$140="moeda")+(Inputs!$G$5:$G$140="acoes"))*Inputs!$B$1+((Inputs!$G$5:$G$140&lt;&gt;"moeda")*(Inputs!$G$5:$G$140&lt;&gt;"acoes")))*INDEX(Inputs!$K$5:$AJ$140,0,MATCH(AH$2,Inputs!$K$4:$AJ$4,0)))+SUMPRODUCT((Inputs!$E$5:$E$140=$B8)*Inputs!$F$5:$F$140*(((Inputs!$G$5:$G$140="moeda")+(Inputs!$G$5:$G$140="acoes"))*Inputs!$B$1+((Inputs!$G$5:$G$140&lt;&gt;"moeda")*(Inputs!$G$5:$G$140&lt;&gt;"acoes")))*INDEX(Inputs!$K$5:$AJ$140,0,MATCH(AH$2,Inputs!$K$4:$AJ$4,0)))))</f>
        <v>-4.959</v>
      </c>
      <c r="AI8" s="6">
        <f>IF(ISNA(MATCH(AI$2,Inputs!$K$4:$AJ$4,0)),NA(),IF(SUMPRODUCT((Inputs!$A$5:$A$140=$B8)*ISNUMBER(INDEX(Inputs!$K$5:$AJ$140,0,MATCH(AI$2,Inputs!$K$4:$AJ$4,0))))+SUMPRODUCT((Inputs!$C$5:$C$140=$B8)*ISNUMBER(INDEX(Inputs!$K$5:$AJ$140,0,MATCH(AI$2,Inputs!$K$4:$AJ$4,0))))+SUMPRODUCT((Inputs!$E$5:$E$140=$B8)*ISNUMBER(INDEX(Inputs!$K$5:$AJ$140,0,MATCH(AI$2,Inputs!$K$4:$AJ$4,0))))=0,NA(),SUMPRODUCT((Inputs!$A$5:$A$140=$B8)*Inputs!$B$5:$B$140*(((Inputs!$G$5:$G$140="moeda")+(Inputs!$G$5:$G$140="acoes"))*Inputs!$B$1+((Inputs!$G$5:$G$140&lt;&gt;"moeda")*(Inputs!$G$5:$G$140&lt;&gt;"acoes")))*INDEX(Inputs!$K$5:$AJ$140,0,MATCH(AI$2,Inputs!$K$4:$AJ$4,0)))+SUMPRODUCT((Inputs!$C$5:$C$140=$B8)*Inputs!$D$5:$D$140*(((Inputs!$G$5:$G$140="moeda")+(Inputs!$G$5:$G$140="acoes"))*Inputs!$B$1+((Inputs!$G$5:$G$140&lt;&gt;"moeda")*(Inputs!$G$5:$G$140&lt;&gt;"acoes")))*INDEX(Inputs!$K$5:$AJ$140,0,MATCH(AI$2,Inputs!$K$4:$AJ$4,0)))+SUMPRODUCT((Inputs!$E$5:$E$140=$B8)*Inputs!$F$5:$F$140*(((Inputs!$G$5:$G$140="moeda")+(Inputs!$G$5:$G$140="acoes"))*Inputs!$B$1+((Inputs!$G$5:$G$140&lt;&gt;"moeda")*(Inputs!$G$5:$G$140&lt;&gt;"acoes")))*INDEX(Inputs!$K$5:$AJ$140,0,MATCH(AI$2,Inputs!$K$4:$AJ$4,0)))))</f>
        <v>-5.719</v>
      </c>
      <c r="AJ8" s="6">
        <f>IF(ISNA(MATCH(AJ$2,Inputs!$K$4:$AJ$4,0)),NA(),IF(SUMPRODUCT((Inputs!$A$5:$A$140=$B8)*ISNUMBER(INDEX(Inputs!$K$5:$AJ$140,0,MATCH(AJ$2,Inputs!$K$4:$AJ$4,0))))+SUMPRODUCT((Inputs!$C$5:$C$140=$B8)*ISNUMBER(INDEX(Inputs!$K$5:$AJ$140,0,MATCH(AJ$2,Inputs!$K$4:$AJ$4,0))))+SUMPRODUCT((Inputs!$E$5:$E$140=$B8)*ISNUMBER(INDEX(Inputs!$K$5:$AJ$140,0,MATCH(AJ$2,Inputs!$K$4:$AJ$4,0))))=0,NA(),SUMPRODUCT((Inputs!$A$5:$A$140=$B8)*Inputs!$B$5:$B$140*(((Inputs!$G$5:$G$140="moeda")+(Inputs!$G$5:$G$140="acoes"))*Inputs!$B$1+((Inputs!$G$5:$G$140&lt;&gt;"moeda")*(Inputs!$G$5:$G$140&lt;&gt;"acoes")))*INDEX(Inputs!$K$5:$AJ$140,0,MATCH(AJ$2,Inputs!$K$4:$AJ$4,0)))+SUMPRODUCT((Inputs!$C$5:$C$140=$B8)*Inputs!$D$5:$D$140*(((Inputs!$G$5:$G$140="moeda")+(Inputs!$G$5:$G$140="acoes"))*Inputs!$B$1+((Inputs!$G$5:$G$140&lt;&gt;"moeda")*(Inputs!$G$5:$G$140&lt;&gt;"acoes")))*INDEX(Inputs!$K$5:$AJ$140,0,MATCH(AJ$2,Inputs!$K$4:$AJ$4,0)))+SUMPRODUCT((Inputs!$E$5:$E$140=$B8)*Inputs!$F$5:$F$140*(((Inputs!$G$5:$G$140="moeda")+(Inputs!$G$5:$G$140="acoes"))*Inputs!$B$1+((Inputs!$G$5:$G$140&lt;&gt;"moeda")*(Inputs!$G$5:$G$140&lt;&gt;"acoes")))*INDEX(Inputs!$K$5:$AJ$140,0,MATCH(AJ$2,Inputs!$K$4:$AJ$4,0)))))</f>
        <v>-6.639</v>
      </c>
      <c r="AK8" s="6">
        <f>IF(ISNA(MATCH(AK$2,Inputs!$K$4:$AJ$4,0)),NA(),IF(SUMPRODUCT((Inputs!$A$5:$A$140=$B8)*ISNUMBER(INDEX(Inputs!$K$5:$AJ$140,0,MATCH(AK$2,Inputs!$K$4:$AJ$4,0))))+SUMPRODUCT((Inputs!$C$5:$C$140=$B8)*ISNUMBER(INDEX(Inputs!$K$5:$AJ$140,0,MATCH(AK$2,Inputs!$K$4:$AJ$4,0))))+SUMPRODUCT((Inputs!$E$5:$E$140=$B8)*ISNUMBER(INDEX(Inputs!$K$5:$AJ$140,0,MATCH(AK$2,Inputs!$K$4:$AJ$4,0))))=0,NA(),SUMPRODUCT((Inputs!$A$5:$A$140=$B8)*Inputs!$B$5:$B$140*(((Inputs!$G$5:$G$140="moeda")+(Inputs!$G$5:$G$140="acoes"))*Inputs!$B$1+((Inputs!$G$5:$G$140&lt;&gt;"moeda")*(Inputs!$G$5:$G$140&lt;&gt;"acoes")))*INDEX(Inputs!$K$5:$AJ$140,0,MATCH(AK$2,Inputs!$K$4:$AJ$4,0)))+SUMPRODUCT((Inputs!$C$5:$C$140=$B8)*Inputs!$D$5:$D$140*(((Inputs!$G$5:$G$140="moeda")+(Inputs!$G$5:$G$140="acoes"))*Inputs!$B$1+((Inputs!$G$5:$G$140&lt;&gt;"moeda")*(Inputs!$G$5:$G$140&lt;&gt;"acoes")))*INDEX(Inputs!$K$5:$AJ$140,0,MATCH(AK$2,Inputs!$K$4:$AJ$4,0)))+SUMPRODUCT((Inputs!$E$5:$E$140=$B8)*Inputs!$F$5:$F$140*(((Inputs!$G$5:$G$140="moeda")+(Inputs!$G$5:$G$140="acoes"))*Inputs!$B$1+((Inputs!$G$5:$G$140&lt;&gt;"moeda")*(Inputs!$G$5:$G$140&lt;&gt;"acoes")))*INDEX(Inputs!$K$5:$AJ$140,0,MATCH(AK$2,Inputs!$K$4:$AJ$4,0)))))</f>
        <v>-6.166</v>
      </c>
      <c r="AL8" s="3">
        <f>SUM(AH8:AK8)</f>
        <v>-23.483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$140=$B9)*ISNUMBER(INDEX(Inputs!$K$5:$AJ$140,0,MATCH(D$2,Inputs!$K$4:$AJ$4,0))))+SUMPRODUCT((Inputs!$C$5:$C$140=$B9)*ISNUMBER(INDEX(Inputs!$K$5:$AJ$140,0,MATCH(D$2,Inputs!$K$4:$AJ$4,0))))+SUMPRODUCT((Inputs!$E$5:$E$140=$B9)*ISNUMBER(INDEX(Inputs!$K$5:$AJ$140,0,MATCH(D$2,Inputs!$K$4:$AJ$4,0))))=0,NA(),SUMPRODUCT((Inputs!$A$5:$A$140=$B9)*Inputs!$B$5:$B$140*(((Inputs!$G$5:$G$140="moeda")+(Inputs!$G$5:$G$140="acoes"))*Inputs!$B$1+((Inputs!$G$5:$G$140&lt;&gt;"moeda")*(Inputs!$G$5:$G$140&lt;&gt;"acoes")))*INDEX(Inputs!$K$5:$AJ$140,0,MATCH(D$2,Inputs!$K$4:$AJ$4,0)))+SUMPRODUCT((Inputs!$C$5:$C$140=$B9)*Inputs!$D$5:$D$140*(((Inputs!$G$5:$G$140="moeda")+(Inputs!$G$5:$G$140="acoes"))*Inputs!$B$1+((Inputs!$G$5:$G$140&lt;&gt;"moeda")*(Inputs!$G$5:$G$140&lt;&gt;"acoes")))*INDEX(Inputs!$K$5:$AJ$140,0,MATCH(D$2,Inputs!$K$4:$AJ$4,0)))+SUMPRODUCT((Inputs!$E$5:$E$140=$B9)*Inputs!$F$5:$F$140*(((Inputs!$G$5:$G$140="moeda")+(Inputs!$G$5:$G$140="acoes"))*Inputs!$B$1+((Inputs!$G$5:$G$140&lt;&gt;"moeda")*(Inputs!$G$5:$G$140&lt;&gt;"acoes")))*INDEX(Inputs!$K$5:$AJ$140,0,MATCH(D$2,Inputs!$K$4:$AJ$4,0)))))</f>
        <v>2.222</v>
      </c>
      <c r="E9" s="6">
        <f>IF(ISNA(MATCH(E$2,Inputs!$K$4:$AJ$4,0)),NA(),IF(SUMPRODUCT((Inputs!$A$5:$A$140=$B9)*ISNUMBER(INDEX(Inputs!$K$5:$AJ$140,0,MATCH(E$2,Inputs!$K$4:$AJ$4,0))))+SUMPRODUCT((Inputs!$C$5:$C$140=$B9)*ISNUMBER(INDEX(Inputs!$K$5:$AJ$140,0,MATCH(E$2,Inputs!$K$4:$AJ$4,0))))+SUMPRODUCT((Inputs!$E$5:$E$140=$B9)*ISNUMBER(INDEX(Inputs!$K$5:$AJ$140,0,MATCH(E$2,Inputs!$K$4:$AJ$4,0))))=0,NA(),SUMPRODUCT((Inputs!$A$5:$A$140=$B9)*Inputs!$B$5:$B$140*(((Inputs!$G$5:$G$140="moeda")+(Inputs!$G$5:$G$140="acoes"))*Inputs!$B$1+((Inputs!$G$5:$G$140&lt;&gt;"moeda")*(Inputs!$G$5:$G$140&lt;&gt;"acoes")))*INDEX(Inputs!$K$5:$AJ$140,0,MATCH(E$2,Inputs!$K$4:$AJ$4,0)))+SUMPRODUCT((Inputs!$C$5:$C$140=$B9)*Inputs!$D$5:$D$140*(((Inputs!$G$5:$G$140="moeda")+(Inputs!$G$5:$G$140="acoes"))*Inputs!$B$1+((Inputs!$G$5:$G$140&lt;&gt;"moeda")*(Inputs!$G$5:$G$140&lt;&gt;"acoes")))*INDEX(Inputs!$K$5:$AJ$140,0,MATCH(E$2,Inputs!$K$4:$AJ$4,0)))+SUMPRODUCT((Inputs!$E$5:$E$140=$B9)*Inputs!$F$5:$F$140*(((Inputs!$G$5:$G$140="moeda")+(Inputs!$G$5:$G$140="acoes"))*Inputs!$B$1+((Inputs!$G$5:$G$140&lt;&gt;"moeda")*(Inputs!$G$5:$G$140&lt;&gt;"acoes")))*INDEX(Inputs!$K$5:$AJ$140,0,MATCH(E$2,Inputs!$K$4:$AJ$4,0)))))</f>
        <v>3.924</v>
      </c>
      <c r="F9" s="6">
        <f>IF(ISNA(MATCH(F$2,Inputs!$K$4:$AJ$4,0)),NA(),IF(SUMPRODUCT((Inputs!$A$5:$A$140=$B9)*ISNUMBER(INDEX(Inputs!$K$5:$AJ$140,0,MATCH(F$2,Inputs!$K$4:$AJ$4,0))))+SUMPRODUCT((Inputs!$C$5:$C$140=$B9)*ISNUMBER(INDEX(Inputs!$K$5:$AJ$140,0,MATCH(F$2,Inputs!$K$4:$AJ$4,0))))+SUMPRODUCT((Inputs!$E$5:$E$140=$B9)*ISNUMBER(INDEX(Inputs!$K$5:$AJ$140,0,MATCH(F$2,Inputs!$K$4:$AJ$4,0))))=0,NA(),SUMPRODUCT((Inputs!$A$5:$A$140=$B9)*Inputs!$B$5:$B$140*(((Inputs!$G$5:$G$140="moeda")+(Inputs!$G$5:$G$140="acoes"))*Inputs!$B$1+((Inputs!$G$5:$G$140&lt;&gt;"moeda")*(Inputs!$G$5:$G$140&lt;&gt;"acoes")))*INDEX(Inputs!$K$5:$AJ$140,0,MATCH(F$2,Inputs!$K$4:$AJ$4,0)))+SUMPRODUCT((Inputs!$C$5:$C$140=$B9)*Inputs!$D$5:$D$140*(((Inputs!$G$5:$G$140="moeda")+(Inputs!$G$5:$G$140="acoes"))*Inputs!$B$1+((Inputs!$G$5:$G$140&lt;&gt;"moeda")*(Inputs!$G$5:$G$140&lt;&gt;"acoes")))*INDEX(Inputs!$K$5:$AJ$140,0,MATCH(F$2,Inputs!$K$4:$AJ$4,0)))+SUMPRODUCT((Inputs!$E$5:$E$140=$B9)*Inputs!$F$5:$F$140*(((Inputs!$G$5:$G$140="moeda")+(Inputs!$G$5:$G$140="acoes"))*Inputs!$B$1+((Inputs!$G$5:$G$140&lt;&gt;"moeda")*(Inputs!$G$5:$G$140&lt;&gt;"acoes")))*INDEX(Inputs!$K$5:$AJ$140,0,MATCH(F$2,Inputs!$K$4:$AJ$4,0)))))</f>
        <v>10.36</v>
      </c>
      <c r="G9" s="6">
        <f>IF(ISNA(MATCH(G$2,Inputs!$K$4:$AJ$4,0)),NA(),IF(SUMPRODUCT((Inputs!$A$5:$A$140=$B9)*ISNUMBER(INDEX(Inputs!$K$5:$AJ$140,0,MATCH(G$2,Inputs!$K$4:$AJ$4,0))))+SUMPRODUCT((Inputs!$C$5:$C$140=$B9)*ISNUMBER(INDEX(Inputs!$K$5:$AJ$140,0,MATCH(G$2,Inputs!$K$4:$AJ$4,0))))+SUMPRODUCT((Inputs!$E$5:$E$140=$B9)*ISNUMBER(INDEX(Inputs!$K$5:$AJ$140,0,MATCH(G$2,Inputs!$K$4:$AJ$4,0))))=0,NA(),SUMPRODUCT((Inputs!$A$5:$A$140=$B9)*Inputs!$B$5:$B$140*(((Inputs!$G$5:$G$140="moeda")+(Inputs!$G$5:$G$140="acoes"))*Inputs!$B$1+((Inputs!$G$5:$G$140&lt;&gt;"moeda")*(Inputs!$G$5:$G$140&lt;&gt;"acoes")))*INDEX(Inputs!$K$5:$AJ$140,0,MATCH(G$2,Inputs!$K$4:$AJ$4,0)))+SUMPRODUCT((Inputs!$C$5:$C$140=$B9)*Inputs!$D$5:$D$140*(((Inputs!$G$5:$G$140="moeda")+(Inputs!$G$5:$G$140="acoes"))*Inputs!$B$1+((Inputs!$G$5:$G$140&lt;&gt;"moeda")*(Inputs!$G$5:$G$140&lt;&gt;"acoes")))*INDEX(Inputs!$K$5:$AJ$140,0,MATCH(G$2,Inputs!$K$4:$AJ$4,0)))+SUMPRODUCT((Inputs!$E$5:$E$140=$B9)*Inputs!$F$5:$F$140*(((Inputs!$G$5:$G$140="moeda")+(Inputs!$G$5:$G$140="acoes"))*Inputs!$B$1+((Inputs!$G$5:$G$140&lt;&gt;"moeda")*(Inputs!$G$5:$G$140&lt;&gt;"acoes")))*INDEX(Inputs!$K$5:$AJ$140,0,MATCH(G$2,Inputs!$K$4:$AJ$4,0)))))</f>
        <v>8.485</v>
      </c>
      <c r="H9" s="3">
        <f>SUM(D9:G9)</f>
        <v>24.991</v>
      </c>
      <c r="I9" s="6">
        <f>IF(ISNA(MATCH(I$2,Inputs!$K$4:$AJ$4,0)),NA(),IF(SUMPRODUCT((Inputs!$A$5:$A$140=$B9)*ISNUMBER(INDEX(Inputs!$K$5:$AJ$140,0,MATCH(I$2,Inputs!$K$4:$AJ$4,0))))+SUMPRODUCT((Inputs!$C$5:$C$140=$B9)*ISNUMBER(INDEX(Inputs!$K$5:$AJ$140,0,MATCH(I$2,Inputs!$K$4:$AJ$4,0))))+SUMPRODUCT((Inputs!$E$5:$E$140=$B9)*ISNUMBER(INDEX(Inputs!$K$5:$AJ$140,0,MATCH(I$2,Inputs!$K$4:$AJ$4,0))))=0,NA(),SUMPRODUCT((Inputs!$A$5:$A$140=$B9)*Inputs!$B$5:$B$140*(((Inputs!$G$5:$G$140="moeda")+(Inputs!$G$5:$G$140="acoes"))*Inputs!$B$1+((Inputs!$G$5:$G$140&lt;&gt;"moeda")*(Inputs!$G$5:$G$140&lt;&gt;"acoes")))*INDEX(Inputs!$K$5:$AJ$140,0,MATCH(I$2,Inputs!$K$4:$AJ$4,0)))+SUMPRODUCT((Inputs!$C$5:$C$140=$B9)*Inputs!$D$5:$D$140*(((Inputs!$G$5:$G$140="moeda")+(Inputs!$G$5:$G$140="acoes"))*Inputs!$B$1+((Inputs!$G$5:$G$140&lt;&gt;"moeda")*(Inputs!$G$5:$G$140&lt;&gt;"acoes")))*INDEX(Inputs!$K$5:$AJ$140,0,MATCH(I$2,Inputs!$K$4:$AJ$4,0)))+SUMPRODUCT((Inputs!$E$5:$E$140=$B9)*Inputs!$F$5:$F$140*(((Inputs!$G$5:$G$140="moeda")+(Inputs!$G$5:$G$140="acoes"))*Inputs!$B$1+((Inputs!$G$5:$G$140&lt;&gt;"moeda")*(Inputs!$G$5:$G$140&lt;&gt;"acoes")))*INDEX(Inputs!$K$5:$AJ$140,0,MATCH(I$2,Inputs!$K$4:$AJ$4,0)))))</f>
        <v>12.977</v>
      </c>
      <c r="J9" s="6">
        <f>IF(ISNA(MATCH(J$2,Inputs!$K$4:$AJ$4,0)),NA(),IF(SUMPRODUCT((Inputs!$A$5:$A$140=$B9)*ISNUMBER(INDEX(Inputs!$K$5:$AJ$140,0,MATCH(J$2,Inputs!$K$4:$AJ$4,0))))+SUMPRODUCT((Inputs!$C$5:$C$140=$B9)*ISNUMBER(INDEX(Inputs!$K$5:$AJ$140,0,MATCH(J$2,Inputs!$K$4:$AJ$4,0))))+SUMPRODUCT((Inputs!$E$5:$E$140=$B9)*ISNUMBER(INDEX(Inputs!$K$5:$AJ$140,0,MATCH(J$2,Inputs!$K$4:$AJ$4,0))))=0,NA(),SUMPRODUCT((Inputs!$A$5:$A$140=$B9)*Inputs!$B$5:$B$140*(((Inputs!$G$5:$G$140="moeda")+(Inputs!$G$5:$G$140="acoes"))*Inputs!$B$1+((Inputs!$G$5:$G$140&lt;&gt;"moeda")*(Inputs!$G$5:$G$140&lt;&gt;"acoes")))*INDEX(Inputs!$K$5:$AJ$140,0,MATCH(J$2,Inputs!$K$4:$AJ$4,0)))+SUMPRODUCT((Inputs!$C$5:$C$140=$B9)*Inputs!$D$5:$D$140*(((Inputs!$G$5:$G$140="moeda")+(Inputs!$G$5:$G$140="acoes"))*Inputs!$B$1+((Inputs!$G$5:$G$140&lt;&gt;"moeda")*(Inputs!$G$5:$G$140&lt;&gt;"acoes")))*INDEX(Inputs!$K$5:$AJ$140,0,MATCH(J$2,Inputs!$K$4:$AJ$4,0)))+SUMPRODUCT((Inputs!$E$5:$E$140=$B9)*Inputs!$F$5:$F$140*(((Inputs!$G$5:$G$140="moeda")+(Inputs!$G$5:$G$140="acoes"))*Inputs!$B$1+((Inputs!$G$5:$G$140&lt;&gt;"moeda")*(Inputs!$G$5:$G$140&lt;&gt;"acoes")))*INDEX(Inputs!$K$5:$AJ$140,0,MATCH(J$2,Inputs!$K$4:$AJ$4,0)))))</f>
        <v>17.605</v>
      </c>
      <c r="K9" s="6">
        <f>IF(ISNA(MATCH(K$2,Inputs!$K$4:$AJ$4,0)),NA(),IF(SUMPRODUCT((Inputs!$A$5:$A$140=$B9)*ISNUMBER(INDEX(Inputs!$K$5:$AJ$140,0,MATCH(K$2,Inputs!$K$4:$AJ$4,0))))+SUMPRODUCT((Inputs!$C$5:$C$140=$B9)*ISNUMBER(INDEX(Inputs!$K$5:$AJ$140,0,MATCH(K$2,Inputs!$K$4:$AJ$4,0))))+SUMPRODUCT((Inputs!$E$5:$E$140=$B9)*ISNUMBER(INDEX(Inputs!$K$5:$AJ$140,0,MATCH(K$2,Inputs!$K$4:$AJ$4,0))))=0,NA(),SUMPRODUCT((Inputs!$A$5:$A$140=$B9)*Inputs!$B$5:$B$140*(((Inputs!$G$5:$G$140="moeda")+(Inputs!$G$5:$G$140="acoes"))*Inputs!$B$1+((Inputs!$G$5:$G$140&lt;&gt;"moeda")*(Inputs!$G$5:$G$140&lt;&gt;"acoes")))*INDEX(Inputs!$K$5:$AJ$140,0,MATCH(K$2,Inputs!$K$4:$AJ$4,0)))+SUMPRODUCT((Inputs!$C$5:$C$140=$B9)*Inputs!$D$5:$D$140*(((Inputs!$G$5:$G$140="moeda")+(Inputs!$G$5:$G$140="acoes"))*Inputs!$B$1+((Inputs!$G$5:$G$140&lt;&gt;"moeda")*(Inputs!$G$5:$G$140&lt;&gt;"acoes")))*INDEX(Inputs!$K$5:$AJ$140,0,MATCH(K$2,Inputs!$K$4:$AJ$4,0)))+SUMPRODUCT((Inputs!$E$5:$E$140=$B9)*Inputs!$F$5:$F$140*(((Inputs!$G$5:$G$140="moeda")+(Inputs!$G$5:$G$140="acoes"))*Inputs!$B$1+((Inputs!$G$5:$G$140&lt;&gt;"moeda")*(Inputs!$G$5:$G$140&lt;&gt;"acoes")))*INDEX(Inputs!$K$5:$AJ$140,0,MATCH(K$2,Inputs!$K$4:$AJ$4,0)))))</f>
        <v>18.795</v>
      </c>
      <c r="L9" s="6">
        <f>IF(ISNA(MATCH(L$2,Inputs!$K$4:$AJ$4,0)),NA(),IF(SUMPRODUCT((Inputs!$A$5:$A$140=$B9)*ISNUMBER(INDEX(Inputs!$K$5:$AJ$140,0,MATCH(L$2,Inputs!$K$4:$AJ$4,0))))+SUMPRODUCT((Inputs!$C$5:$C$140=$B9)*ISNUMBER(INDEX(Inputs!$K$5:$AJ$140,0,MATCH(L$2,Inputs!$K$4:$AJ$4,0))))+SUMPRODUCT((Inputs!$E$5:$E$140=$B9)*ISNUMBER(INDEX(Inputs!$K$5:$AJ$140,0,MATCH(L$2,Inputs!$K$4:$AJ$4,0))))=0,NA(),SUMPRODUCT((Inputs!$A$5:$A$140=$B9)*Inputs!$B$5:$B$140*(((Inputs!$G$5:$G$140="moeda")+(Inputs!$G$5:$G$140="acoes"))*Inputs!$B$1+((Inputs!$G$5:$G$140&lt;&gt;"moeda")*(Inputs!$G$5:$G$140&lt;&gt;"acoes")))*INDEX(Inputs!$K$5:$AJ$140,0,MATCH(L$2,Inputs!$K$4:$AJ$4,0)))+SUMPRODUCT((Inputs!$C$5:$C$140=$B9)*Inputs!$D$5:$D$140*(((Inputs!$G$5:$G$140="moeda")+(Inputs!$G$5:$G$140="acoes"))*Inputs!$B$1+((Inputs!$G$5:$G$140&lt;&gt;"moeda")*(Inputs!$G$5:$G$140&lt;&gt;"acoes")))*INDEX(Inputs!$K$5:$AJ$140,0,MATCH(L$2,Inputs!$K$4:$AJ$4,0)))+SUMPRODUCT((Inputs!$E$5:$E$140=$B9)*Inputs!$F$5:$F$140*(((Inputs!$G$5:$G$140="moeda")+(Inputs!$G$5:$G$140="acoes"))*Inputs!$B$1+((Inputs!$G$5:$G$140&lt;&gt;"moeda")*(Inputs!$G$5:$G$140&lt;&gt;"acoes")))*INDEX(Inputs!$K$5:$AJ$140,0,MATCH(L$2,Inputs!$K$4:$AJ$4,0)))))</f>
        <v>14.654</v>
      </c>
      <c r="M9" s="3">
        <f>SUM(I9:L9)</f>
        <v>64.031</v>
      </c>
      <c r="N9" s="6">
        <f>IF(ISNA(MATCH(N$2,Inputs!$K$4:$AJ$4,0)),NA(),IF(SUMPRODUCT((Inputs!$A$5:$A$140=$B9)*ISNUMBER(INDEX(Inputs!$K$5:$AJ$140,0,MATCH(N$2,Inputs!$K$4:$AJ$4,0))))+SUMPRODUCT((Inputs!$C$5:$C$140=$B9)*ISNUMBER(INDEX(Inputs!$K$5:$AJ$140,0,MATCH(N$2,Inputs!$K$4:$AJ$4,0))))+SUMPRODUCT((Inputs!$E$5:$E$140=$B9)*ISNUMBER(INDEX(Inputs!$K$5:$AJ$140,0,MATCH(N$2,Inputs!$K$4:$AJ$4,0))))=0,NA(),SUMPRODUCT((Inputs!$A$5:$A$140=$B9)*Inputs!$B$5:$B$140*(((Inputs!$G$5:$G$140="moeda")+(Inputs!$G$5:$G$140="acoes"))*Inputs!$B$1+((Inputs!$G$5:$G$140&lt;&gt;"moeda")*(Inputs!$G$5:$G$140&lt;&gt;"acoes")))*INDEX(Inputs!$K$5:$AJ$140,0,MATCH(N$2,Inputs!$K$4:$AJ$4,0)))+SUMPRODUCT((Inputs!$C$5:$C$140=$B9)*Inputs!$D$5:$D$140*(((Inputs!$G$5:$G$140="moeda")+(Inputs!$G$5:$G$140="acoes"))*Inputs!$B$1+((Inputs!$G$5:$G$140&lt;&gt;"moeda")*(Inputs!$G$5:$G$140&lt;&gt;"acoes")))*INDEX(Inputs!$K$5:$AJ$140,0,MATCH(N$2,Inputs!$K$4:$AJ$4,0)))+SUMPRODUCT((Inputs!$E$5:$E$140=$B9)*Inputs!$F$5:$F$140*(((Inputs!$G$5:$G$140="moeda")+(Inputs!$G$5:$G$140="acoes"))*Inputs!$B$1+((Inputs!$G$5:$G$140&lt;&gt;"moeda")*(Inputs!$G$5:$G$140&lt;&gt;"acoes")))*INDEX(Inputs!$K$5:$AJ$140,0,MATCH(N$2,Inputs!$K$4:$AJ$4,0)))))</f>
        <v>20.228</v>
      </c>
      <c r="O9" s="6">
        <f>IF(ISNA(MATCH(O$2,Inputs!$K$4:$AJ$4,0)),NA(),IF(SUMPRODUCT((Inputs!$A$5:$A$140=$B9)*ISNUMBER(INDEX(Inputs!$K$5:$AJ$140,0,MATCH(O$2,Inputs!$K$4:$AJ$4,0))))+SUMPRODUCT((Inputs!$C$5:$C$140=$B9)*ISNUMBER(INDEX(Inputs!$K$5:$AJ$140,0,MATCH(O$2,Inputs!$K$4:$AJ$4,0))))+SUMPRODUCT((Inputs!$E$5:$E$140=$B9)*ISNUMBER(INDEX(Inputs!$K$5:$AJ$140,0,MATCH(O$2,Inputs!$K$4:$AJ$4,0))))=0,NA(),SUMPRODUCT((Inputs!$A$5:$A$140=$B9)*Inputs!$B$5:$B$140*(((Inputs!$G$5:$G$140="moeda")+(Inputs!$G$5:$G$140="acoes"))*Inputs!$B$1+((Inputs!$G$5:$G$140&lt;&gt;"moeda")*(Inputs!$G$5:$G$140&lt;&gt;"acoes")))*INDEX(Inputs!$K$5:$AJ$140,0,MATCH(O$2,Inputs!$K$4:$AJ$4,0)))+SUMPRODUCT((Inputs!$C$5:$C$140=$B9)*Inputs!$D$5:$D$140*(((Inputs!$G$5:$G$140="moeda")+(Inputs!$G$5:$G$140="acoes"))*Inputs!$B$1+((Inputs!$G$5:$G$140&lt;&gt;"moeda")*(Inputs!$G$5:$G$140&lt;&gt;"acoes")))*INDEX(Inputs!$K$5:$AJ$140,0,MATCH(O$2,Inputs!$K$4:$AJ$4,0)))+SUMPRODUCT((Inputs!$E$5:$E$140=$B9)*Inputs!$F$5:$F$140*(((Inputs!$G$5:$G$140="moeda")+(Inputs!$G$5:$G$140="acoes"))*Inputs!$B$1+((Inputs!$G$5:$G$140&lt;&gt;"moeda")*(Inputs!$G$5:$G$140&lt;&gt;"acoes")))*INDEX(Inputs!$K$5:$AJ$140,0,MATCH(O$2,Inputs!$K$4:$AJ$4,0)))))</f>
        <v>20.425</v>
      </c>
      <c r="P9" s="6">
        <f>IF(ISNA(MATCH(P$2,Inputs!$K$4:$AJ$4,0)),NA(),IF(SUMPRODUCT((Inputs!$A$5:$A$140=$B9)*ISNUMBER(INDEX(Inputs!$K$5:$AJ$140,0,MATCH(P$2,Inputs!$K$4:$AJ$4,0))))+SUMPRODUCT((Inputs!$C$5:$C$140=$B9)*ISNUMBER(INDEX(Inputs!$K$5:$AJ$140,0,MATCH(P$2,Inputs!$K$4:$AJ$4,0))))+SUMPRODUCT((Inputs!$E$5:$E$140=$B9)*ISNUMBER(INDEX(Inputs!$K$5:$AJ$140,0,MATCH(P$2,Inputs!$K$4:$AJ$4,0))))=0,NA(),SUMPRODUCT((Inputs!$A$5:$A$140=$B9)*Inputs!$B$5:$B$140*(((Inputs!$G$5:$G$140="moeda")+(Inputs!$G$5:$G$140="acoes"))*Inputs!$B$1+((Inputs!$G$5:$G$140&lt;&gt;"moeda")*(Inputs!$G$5:$G$140&lt;&gt;"acoes")))*INDEX(Inputs!$K$5:$AJ$140,0,MATCH(P$2,Inputs!$K$4:$AJ$4,0)))+SUMPRODUCT((Inputs!$C$5:$C$140=$B9)*Inputs!$D$5:$D$140*(((Inputs!$G$5:$G$140="moeda")+(Inputs!$G$5:$G$140="acoes"))*Inputs!$B$1+((Inputs!$G$5:$G$140&lt;&gt;"moeda")*(Inputs!$G$5:$G$140&lt;&gt;"acoes")))*INDEX(Inputs!$K$5:$AJ$140,0,MATCH(P$2,Inputs!$K$4:$AJ$4,0)))+SUMPRODUCT((Inputs!$E$5:$E$140=$B9)*Inputs!$F$5:$F$140*(((Inputs!$G$5:$G$140="moeda")+(Inputs!$G$5:$G$140="acoes"))*Inputs!$B$1+((Inputs!$G$5:$G$140&lt;&gt;"moeda")*(Inputs!$G$5:$G$140&lt;&gt;"acoes")))*INDEX(Inputs!$K$5:$AJ$140,0,MATCH(P$2,Inputs!$K$4:$AJ$4,0)))))</f>
        <v>19.668</v>
      </c>
      <c r="Q9" s="6">
        <f>IF(ISNA(MATCH(Q$2,Inputs!$K$4:$AJ$4,0)),NA(),IF(SUMPRODUCT((Inputs!$A$5:$A$140=$B9)*ISNUMBER(INDEX(Inputs!$K$5:$AJ$140,0,MATCH(Q$2,Inputs!$K$4:$AJ$4,0))))+SUMPRODUCT((Inputs!$C$5:$C$140=$B9)*ISNUMBER(INDEX(Inputs!$K$5:$AJ$140,0,MATCH(Q$2,Inputs!$K$4:$AJ$4,0))))+SUMPRODUCT((Inputs!$E$5:$E$140=$B9)*ISNUMBER(INDEX(Inputs!$K$5:$AJ$140,0,MATCH(Q$2,Inputs!$K$4:$AJ$4,0))))=0,NA(),SUMPRODUCT((Inputs!$A$5:$A$140=$B9)*Inputs!$B$5:$B$140*(((Inputs!$G$5:$G$140="moeda")+(Inputs!$G$5:$G$140="acoes"))*Inputs!$B$1+((Inputs!$G$5:$G$140&lt;&gt;"moeda")*(Inputs!$G$5:$G$140&lt;&gt;"acoes")))*INDEX(Inputs!$K$5:$AJ$140,0,MATCH(Q$2,Inputs!$K$4:$AJ$4,0)))+SUMPRODUCT((Inputs!$C$5:$C$140=$B9)*Inputs!$D$5:$D$140*(((Inputs!$G$5:$G$140="moeda")+(Inputs!$G$5:$G$140="acoes"))*Inputs!$B$1+((Inputs!$G$5:$G$140&lt;&gt;"moeda")*(Inputs!$G$5:$G$140&lt;&gt;"acoes")))*INDEX(Inputs!$K$5:$AJ$140,0,MATCH(Q$2,Inputs!$K$4:$AJ$4,0)))+SUMPRODUCT((Inputs!$E$5:$E$140=$B9)*Inputs!$F$5:$F$140*(((Inputs!$G$5:$G$140="moeda")+(Inputs!$G$5:$G$140="acoes"))*Inputs!$B$1+((Inputs!$G$5:$G$140&lt;&gt;"moeda")*(Inputs!$G$5:$G$140&lt;&gt;"acoes")))*INDEX(Inputs!$K$5:$AJ$140,0,MATCH(Q$2,Inputs!$K$4:$AJ$4,0)))))</f>
        <v>25.895</v>
      </c>
      <c r="R9" s="3">
        <f>SUM(N9:Q9)</f>
        <v>86.216</v>
      </c>
      <c r="S9" s="6">
        <f>IF(ISNA(MATCH(S$2,Inputs!$K$4:$AJ$4,0)),NA(),IF(SUMPRODUCT((Inputs!$A$5:$A$140=$B9)*ISNUMBER(INDEX(Inputs!$K$5:$AJ$140,0,MATCH(S$2,Inputs!$K$4:$AJ$4,0))))+SUMPRODUCT((Inputs!$C$5:$C$140=$B9)*ISNUMBER(INDEX(Inputs!$K$5:$AJ$140,0,MATCH(S$2,Inputs!$K$4:$AJ$4,0))))+SUMPRODUCT((Inputs!$E$5:$E$140=$B9)*ISNUMBER(INDEX(Inputs!$K$5:$AJ$140,0,MATCH(S$2,Inputs!$K$4:$AJ$4,0))))=0,NA(),SUMPRODUCT((Inputs!$A$5:$A$140=$B9)*Inputs!$B$5:$B$140*(((Inputs!$G$5:$G$140="moeda")+(Inputs!$G$5:$G$140="acoes"))*Inputs!$B$1+((Inputs!$G$5:$G$140&lt;&gt;"moeda")*(Inputs!$G$5:$G$140&lt;&gt;"acoes")))*INDEX(Inputs!$K$5:$AJ$140,0,MATCH(S$2,Inputs!$K$4:$AJ$4,0)))+SUMPRODUCT((Inputs!$C$5:$C$140=$B9)*Inputs!$D$5:$D$140*(((Inputs!$G$5:$G$140="moeda")+(Inputs!$G$5:$G$140="acoes"))*Inputs!$B$1+((Inputs!$G$5:$G$140&lt;&gt;"moeda")*(Inputs!$G$5:$G$140&lt;&gt;"acoes")))*INDEX(Inputs!$K$5:$AJ$140,0,MATCH(S$2,Inputs!$K$4:$AJ$4,0)))+SUMPRODUCT((Inputs!$E$5:$E$140=$B9)*Inputs!$F$5:$F$140*(((Inputs!$G$5:$G$140="moeda")+(Inputs!$G$5:$G$140="acoes"))*Inputs!$B$1+((Inputs!$G$5:$G$140&lt;&gt;"moeda")*(Inputs!$G$5:$G$140&lt;&gt;"acoes")))*INDEX(Inputs!$K$5:$AJ$140,0,MATCH(S$2,Inputs!$K$4:$AJ$4,0)))))</f>
        <v>19.889</v>
      </c>
      <c r="T9" s="6">
        <f>IF(ISNA(MATCH(T$2,Inputs!$K$4:$AJ$4,0)),NA(),IF(SUMPRODUCT((Inputs!$A$5:$A$140=$B9)*ISNUMBER(INDEX(Inputs!$K$5:$AJ$140,0,MATCH(T$2,Inputs!$K$4:$AJ$4,0))))+SUMPRODUCT((Inputs!$C$5:$C$140=$B9)*ISNUMBER(INDEX(Inputs!$K$5:$AJ$140,0,MATCH(T$2,Inputs!$K$4:$AJ$4,0))))+SUMPRODUCT((Inputs!$E$5:$E$140=$B9)*ISNUMBER(INDEX(Inputs!$K$5:$AJ$140,0,MATCH(T$2,Inputs!$K$4:$AJ$4,0))))=0,NA(),SUMPRODUCT((Inputs!$A$5:$A$140=$B9)*Inputs!$B$5:$B$140*(((Inputs!$G$5:$G$140="moeda")+(Inputs!$G$5:$G$140="acoes"))*Inputs!$B$1+((Inputs!$G$5:$G$140&lt;&gt;"moeda")*(Inputs!$G$5:$G$140&lt;&gt;"acoes")))*INDEX(Inputs!$K$5:$AJ$140,0,MATCH(T$2,Inputs!$K$4:$AJ$4,0)))+SUMPRODUCT((Inputs!$C$5:$C$140=$B9)*Inputs!$D$5:$D$140*(((Inputs!$G$5:$G$140="moeda")+(Inputs!$G$5:$G$140="acoes"))*Inputs!$B$1+((Inputs!$G$5:$G$140&lt;&gt;"moeda")*(Inputs!$G$5:$G$140&lt;&gt;"acoes")))*INDEX(Inputs!$K$5:$AJ$140,0,MATCH(T$2,Inputs!$K$4:$AJ$4,0)))+SUMPRODUCT((Inputs!$E$5:$E$140=$B9)*Inputs!$F$5:$F$140*(((Inputs!$G$5:$G$140="moeda")+(Inputs!$G$5:$G$140="acoes"))*Inputs!$B$1+((Inputs!$G$5:$G$140&lt;&gt;"moeda")*(Inputs!$G$5:$G$140&lt;&gt;"acoes")))*INDEX(Inputs!$K$5:$AJ$140,0,MATCH(T$2,Inputs!$K$4:$AJ$4,0)))))</f>
        <v>25.35</v>
      </c>
      <c r="U9" s="6">
        <f>IF(ISNA(MATCH(U$2,Inputs!$K$4:$AJ$4,0)),NA(),IF(SUMPRODUCT((Inputs!$A$5:$A$140=$B9)*ISNUMBER(INDEX(Inputs!$K$5:$AJ$140,0,MATCH(U$2,Inputs!$K$4:$AJ$4,0))))+SUMPRODUCT((Inputs!$C$5:$C$140=$B9)*ISNUMBER(INDEX(Inputs!$K$5:$AJ$140,0,MATCH(U$2,Inputs!$K$4:$AJ$4,0))))+SUMPRODUCT((Inputs!$E$5:$E$140=$B9)*ISNUMBER(INDEX(Inputs!$K$5:$AJ$140,0,MATCH(U$2,Inputs!$K$4:$AJ$4,0))))=0,NA(),SUMPRODUCT((Inputs!$A$5:$A$140=$B9)*Inputs!$B$5:$B$140*(((Inputs!$G$5:$G$140="moeda")+(Inputs!$G$5:$G$140="acoes"))*Inputs!$B$1+((Inputs!$G$5:$G$140&lt;&gt;"moeda")*(Inputs!$G$5:$G$140&lt;&gt;"acoes")))*INDEX(Inputs!$K$5:$AJ$140,0,MATCH(U$2,Inputs!$K$4:$AJ$4,0)))+SUMPRODUCT((Inputs!$C$5:$C$140=$B9)*Inputs!$D$5:$D$140*(((Inputs!$G$5:$G$140="moeda")+(Inputs!$G$5:$G$140="acoes"))*Inputs!$B$1+((Inputs!$G$5:$G$140&lt;&gt;"moeda")*(Inputs!$G$5:$G$140&lt;&gt;"acoes")))*INDEX(Inputs!$K$5:$AJ$140,0,MATCH(U$2,Inputs!$K$4:$AJ$4,0)))+SUMPRODUCT((Inputs!$E$5:$E$140=$B9)*Inputs!$F$5:$F$140*(((Inputs!$G$5:$G$140="moeda")+(Inputs!$G$5:$G$140="acoes"))*Inputs!$B$1+((Inputs!$G$5:$G$140&lt;&gt;"moeda")*(Inputs!$G$5:$G$140&lt;&gt;"acoes")))*INDEX(Inputs!$K$5:$AJ$140,0,MATCH(U$2,Inputs!$K$4:$AJ$4,0)))))</f>
        <v>32.06</v>
      </c>
      <c r="V9" s="6">
        <f>IF(ISNA(MATCH(V$2,Inputs!$K$4:$AJ$4,0)),NA(),IF(SUMPRODUCT((Inputs!$A$5:$A$140=$B9)*ISNUMBER(INDEX(Inputs!$K$5:$AJ$140,0,MATCH(V$2,Inputs!$K$4:$AJ$4,0))))+SUMPRODUCT((Inputs!$C$5:$C$140=$B9)*ISNUMBER(INDEX(Inputs!$K$5:$AJ$140,0,MATCH(V$2,Inputs!$K$4:$AJ$4,0))))+SUMPRODUCT((Inputs!$E$5:$E$140=$B9)*ISNUMBER(INDEX(Inputs!$K$5:$AJ$140,0,MATCH(V$2,Inputs!$K$4:$AJ$4,0))))=0,NA(),SUMPRODUCT((Inputs!$A$5:$A$140=$B9)*Inputs!$B$5:$B$140*(((Inputs!$G$5:$G$140="moeda")+(Inputs!$G$5:$G$140="acoes"))*Inputs!$B$1+((Inputs!$G$5:$G$140&lt;&gt;"moeda")*(Inputs!$G$5:$G$140&lt;&gt;"acoes")))*INDEX(Inputs!$K$5:$AJ$140,0,MATCH(V$2,Inputs!$K$4:$AJ$4,0)))+SUMPRODUCT((Inputs!$C$5:$C$140=$B9)*Inputs!$D$5:$D$140*(((Inputs!$G$5:$G$140="moeda")+(Inputs!$G$5:$G$140="acoes"))*Inputs!$B$1+((Inputs!$G$5:$G$140&lt;&gt;"moeda")*(Inputs!$G$5:$G$140&lt;&gt;"acoes")))*INDEX(Inputs!$K$5:$AJ$140,0,MATCH(V$2,Inputs!$K$4:$AJ$4,0)))+SUMPRODUCT((Inputs!$E$5:$E$140=$B9)*Inputs!$F$5:$F$140*(((Inputs!$G$5:$G$140="moeda")+(Inputs!$G$5:$G$140="acoes"))*Inputs!$B$1+((Inputs!$G$5:$G$140&lt;&gt;"moeda")*(Inputs!$G$5:$G$140&lt;&gt;"acoes")))*INDEX(Inputs!$K$5:$AJ$140,0,MATCH(V$2,Inputs!$K$4:$AJ$4,0)))))</f>
        <v>28.782</v>
      </c>
      <c r="W9" s="3">
        <f>SUM(S9:V9)</f>
        <v>106.081</v>
      </c>
      <c r="X9" s="6">
        <f>IF(ISNA(MATCH(X$2,Inputs!$K$4:$AJ$4,0)),NA(),IF(SUMPRODUCT((Inputs!$A$5:$A$140=$B9)*ISNUMBER(INDEX(Inputs!$K$5:$AJ$140,0,MATCH(X$2,Inputs!$K$4:$AJ$4,0))))+SUMPRODUCT((Inputs!$C$5:$C$140=$B9)*ISNUMBER(INDEX(Inputs!$K$5:$AJ$140,0,MATCH(X$2,Inputs!$K$4:$AJ$4,0))))+SUMPRODUCT((Inputs!$E$5:$E$140=$B9)*ISNUMBER(INDEX(Inputs!$K$5:$AJ$140,0,MATCH(X$2,Inputs!$K$4:$AJ$4,0))))=0,NA(),SUMPRODUCT((Inputs!$A$5:$A$140=$B9)*Inputs!$B$5:$B$140*(((Inputs!$G$5:$G$140="moeda")+(Inputs!$G$5:$G$140="acoes"))*Inputs!$B$1+((Inputs!$G$5:$G$140&lt;&gt;"moeda")*(Inputs!$G$5:$G$140&lt;&gt;"acoes")))*INDEX(Inputs!$K$5:$AJ$140,0,MATCH(X$2,Inputs!$K$4:$AJ$4,0)))+SUMPRODUCT((Inputs!$C$5:$C$140=$B9)*Inputs!$D$5:$D$140*(((Inputs!$G$5:$G$140="moeda")+(Inputs!$G$5:$G$140="acoes"))*Inputs!$B$1+((Inputs!$G$5:$G$140&lt;&gt;"moeda")*(Inputs!$G$5:$G$140&lt;&gt;"acoes")))*INDEX(Inputs!$K$5:$AJ$140,0,MATCH(X$2,Inputs!$K$4:$AJ$4,0)))+SUMPRODUCT((Inputs!$E$5:$E$140=$B9)*Inputs!$F$5:$F$140*(((Inputs!$G$5:$G$140="moeda")+(Inputs!$G$5:$G$140="acoes"))*Inputs!$B$1+((Inputs!$G$5:$G$140&lt;&gt;"moeda")*(Inputs!$G$5:$G$140&lt;&gt;"acoes")))*INDEX(Inputs!$K$5:$AJ$140,0,MATCH(X$2,Inputs!$K$4:$AJ$4,0)))))</f>
        <v>36.752</v>
      </c>
      <c r="Y9" s="6">
        <f>IF(ISNA(MATCH(Y$2,Inputs!$K$4:$AJ$4,0)),NA(),IF(SUMPRODUCT((Inputs!$A$5:$A$140=$B9)*ISNUMBER(INDEX(Inputs!$K$5:$AJ$140,0,MATCH(Y$2,Inputs!$K$4:$AJ$4,0))))+SUMPRODUCT((Inputs!$C$5:$C$140=$B9)*ISNUMBER(INDEX(Inputs!$K$5:$AJ$140,0,MATCH(Y$2,Inputs!$K$4:$AJ$4,0))))+SUMPRODUCT((Inputs!$E$5:$E$140=$B9)*ISNUMBER(INDEX(Inputs!$K$5:$AJ$140,0,MATCH(Y$2,Inputs!$K$4:$AJ$4,0))))=0,NA(),SUMPRODUCT((Inputs!$A$5:$A$140=$B9)*Inputs!$B$5:$B$140*(((Inputs!$G$5:$G$140="moeda")+(Inputs!$G$5:$G$140="acoes"))*Inputs!$B$1+((Inputs!$G$5:$G$140&lt;&gt;"moeda")*(Inputs!$G$5:$G$140&lt;&gt;"acoes")))*INDEX(Inputs!$K$5:$AJ$140,0,MATCH(Y$2,Inputs!$K$4:$AJ$4,0)))+SUMPRODUCT((Inputs!$C$5:$C$140=$B9)*Inputs!$D$5:$D$140*(((Inputs!$G$5:$G$140="moeda")+(Inputs!$G$5:$G$140="acoes"))*Inputs!$B$1+((Inputs!$G$5:$G$140&lt;&gt;"moeda")*(Inputs!$G$5:$G$140&lt;&gt;"acoes")))*INDEX(Inputs!$K$5:$AJ$140,0,MATCH(Y$2,Inputs!$K$4:$AJ$4,0)))+SUMPRODUCT((Inputs!$E$5:$E$140=$B9)*Inputs!$F$5:$F$140*(((Inputs!$G$5:$G$140="moeda")+(Inputs!$G$5:$G$140="acoes"))*Inputs!$B$1+((Inputs!$G$5:$G$140&lt;&gt;"moeda")*(Inputs!$G$5:$G$140&lt;&gt;"acoes")))*INDEX(Inputs!$K$5:$AJ$140,0,MATCH(Y$2,Inputs!$K$4:$AJ$4,0)))))</f>
        <v>35.21801198</v>
      </c>
      <c r="Z9" s="6">
        <f>IF(ISNA(MATCH(Z$2,Inputs!$K$4:$AJ$4,0)),NA(),IF(SUMPRODUCT((Inputs!$A$5:$A$140=$B9)*ISNUMBER(INDEX(Inputs!$K$5:$AJ$140,0,MATCH(Z$2,Inputs!$K$4:$AJ$4,0))))+SUMPRODUCT((Inputs!$C$5:$C$140=$B9)*ISNUMBER(INDEX(Inputs!$K$5:$AJ$140,0,MATCH(Z$2,Inputs!$K$4:$AJ$4,0))))+SUMPRODUCT((Inputs!$E$5:$E$140=$B9)*ISNUMBER(INDEX(Inputs!$K$5:$AJ$140,0,MATCH(Z$2,Inputs!$K$4:$AJ$4,0))))=0,NA(),SUMPRODUCT((Inputs!$A$5:$A$140=$B9)*Inputs!$B$5:$B$140*(((Inputs!$G$5:$G$140="moeda")+(Inputs!$G$5:$G$140="acoes"))*Inputs!$B$1+((Inputs!$G$5:$G$140&lt;&gt;"moeda")*(Inputs!$G$5:$G$140&lt;&gt;"acoes")))*INDEX(Inputs!$K$5:$AJ$140,0,MATCH(Z$2,Inputs!$K$4:$AJ$4,0)))+SUMPRODUCT((Inputs!$C$5:$C$140=$B9)*Inputs!$D$5:$D$140*(((Inputs!$G$5:$G$140="moeda")+(Inputs!$G$5:$G$140="acoes"))*Inputs!$B$1+((Inputs!$G$5:$G$140&lt;&gt;"moeda")*(Inputs!$G$5:$G$140&lt;&gt;"acoes")))*INDEX(Inputs!$K$5:$AJ$140,0,MATCH(Z$2,Inputs!$K$4:$AJ$4,0)))+SUMPRODUCT((Inputs!$E$5:$E$140=$B9)*Inputs!$F$5:$F$140*(((Inputs!$G$5:$G$140="moeda")+(Inputs!$G$5:$G$140="acoes"))*Inputs!$B$1+((Inputs!$G$5:$G$140&lt;&gt;"moeda")*(Inputs!$G$5:$G$140&lt;&gt;"acoes")))*INDEX(Inputs!$K$5:$AJ$140,0,MATCH(Z$2,Inputs!$K$4:$AJ$4,0)))))</f>
        <v>47.368</v>
      </c>
      <c r="AA9" s="6">
        <f>IF(ISNA(MATCH(AA$2,Inputs!$K$4:$AJ$4,0)),NA(),IF(SUMPRODUCT((Inputs!$A$5:$A$140=$B9)*ISNUMBER(INDEX(Inputs!$K$5:$AJ$140,0,MATCH(AA$2,Inputs!$K$4:$AJ$4,0))))+SUMPRODUCT((Inputs!$C$5:$C$140=$B9)*ISNUMBER(INDEX(Inputs!$K$5:$AJ$140,0,MATCH(AA$2,Inputs!$K$4:$AJ$4,0))))+SUMPRODUCT((Inputs!$E$5:$E$140=$B9)*ISNUMBER(INDEX(Inputs!$K$5:$AJ$140,0,MATCH(AA$2,Inputs!$K$4:$AJ$4,0))))=0,NA(),SUMPRODUCT((Inputs!$A$5:$A$140=$B9)*Inputs!$B$5:$B$140*(((Inputs!$G$5:$G$140="moeda")+(Inputs!$G$5:$G$140="acoes"))*Inputs!$B$1+((Inputs!$G$5:$G$140&lt;&gt;"moeda")*(Inputs!$G$5:$G$140&lt;&gt;"acoes")))*INDEX(Inputs!$K$5:$AJ$140,0,MATCH(AA$2,Inputs!$K$4:$AJ$4,0)))+SUMPRODUCT((Inputs!$C$5:$C$140=$B9)*Inputs!$D$5:$D$140*(((Inputs!$G$5:$G$140="moeda")+(Inputs!$G$5:$G$140="acoes"))*Inputs!$B$1+((Inputs!$G$5:$G$140&lt;&gt;"moeda")*(Inputs!$G$5:$G$140&lt;&gt;"acoes")))*INDEX(Inputs!$K$5:$AJ$140,0,MATCH(AA$2,Inputs!$K$4:$AJ$4,0)))+SUMPRODUCT((Inputs!$E$5:$E$140=$B9)*Inputs!$F$5:$F$140*(((Inputs!$G$5:$G$140="moeda")+(Inputs!$G$5:$G$140="acoes"))*Inputs!$B$1+((Inputs!$G$5:$G$140&lt;&gt;"moeda")*(Inputs!$G$5:$G$140&lt;&gt;"acoes")))*INDEX(Inputs!$K$5:$AJ$140,0,MATCH(AA$2,Inputs!$K$4:$AJ$4,0)))))</f>
        <v>50.684</v>
      </c>
      <c r="AB9" s="3">
        <f>SUM(X9:AA9)</f>
        <v>170.02201198</v>
      </c>
      <c r="AC9" s="6">
        <f>IF(ISNA(MATCH(AC$2,Inputs!$K$4:$AJ$4,0)),NA(),IF(SUMPRODUCT((Inputs!$A$5:$A$140=$B9)*ISNUMBER(INDEX(Inputs!$K$5:$AJ$140,0,MATCH(AC$2,Inputs!$K$4:$AJ$4,0))))+SUMPRODUCT((Inputs!$C$5:$C$140=$B9)*ISNUMBER(INDEX(Inputs!$K$5:$AJ$140,0,MATCH(AC$2,Inputs!$K$4:$AJ$4,0))))+SUMPRODUCT((Inputs!$E$5:$E$140=$B9)*ISNUMBER(INDEX(Inputs!$K$5:$AJ$140,0,MATCH(AC$2,Inputs!$K$4:$AJ$4,0))))=0,NA(),SUMPRODUCT((Inputs!$A$5:$A$140=$B9)*Inputs!$B$5:$B$140*(((Inputs!$G$5:$G$140="moeda")+(Inputs!$G$5:$G$140="acoes"))*Inputs!$B$1+((Inputs!$G$5:$G$140&lt;&gt;"moeda")*(Inputs!$G$5:$G$140&lt;&gt;"acoes")))*INDEX(Inputs!$K$5:$AJ$140,0,MATCH(AC$2,Inputs!$K$4:$AJ$4,0)))+SUMPRODUCT((Inputs!$C$5:$C$140=$B9)*Inputs!$D$5:$D$140*(((Inputs!$G$5:$G$140="moeda")+(Inputs!$G$5:$G$140="acoes"))*Inputs!$B$1+((Inputs!$G$5:$G$140&lt;&gt;"moeda")*(Inputs!$G$5:$G$140&lt;&gt;"acoes")))*INDEX(Inputs!$K$5:$AJ$140,0,MATCH(AC$2,Inputs!$K$4:$AJ$4,0)))+SUMPRODUCT((Inputs!$E$5:$E$140=$B9)*Inputs!$F$5:$F$140*(((Inputs!$G$5:$G$140="moeda")+(Inputs!$G$5:$G$140="acoes"))*Inputs!$B$1+((Inputs!$G$5:$G$140&lt;&gt;"moeda")*(Inputs!$G$5:$G$140&lt;&gt;"acoes")))*INDEX(Inputs!$K$5:$AJ$140,0,MATCH(AC$2,Inputs!$K$4:$AJ$4,0)))))</f>
        <v>49.093</v>
      </c>
      <c r="AD9" s="6">
        <f>IF(ISNA(MATCH(AD$2,Inputs!$K$4:$AJ$4,0)),NA(),IF(SUMPRODUCT((Inputs!$A$5:$A$140=$B9)*ISNUMBER(INDEX(Inputs!$K$5:$AJ$140,0,MATCH(AD$2,Inputs!$K$4:$AJ$4,0))))+SUMPRODUCT((Inputs!$C$5:$C$140=$B9)*ISNUMBER(INDEX(Inputs!$K$5:$AJ$140,0,MATCH(AD$2,Inputs!$K$4:$AJ$4,0))))+SUMPRODUCT((Inputs!$E$5:$E$140=$B9)*ISNUMBER(INDEX(Inputs!$K$5:$AJ$140,0,MATCH(AD$2,Inputs!$K$4:$AJ$4,0))))=0,NA(),SUMPRODUCT((Inputs!$A$5:$A$140=$B9)*Inputs!$B$5:$B$140*(((Inputs!$G$5:$G$140="moeda")+(Inputs!$G$5:$G$140="acoes"))*Inputs!$B$1+((Inputs!$G$5:$G$140&lt;&gt;"moeda")*(Inputs!$G$5:$G$140&lt;&gt;"acoes")))*INDEX(Inputs!$K$5:$AJ$140,0,MATCH(AD$2,Inputs!$K$4:$AJ$4,0)))+SUMPRODUCT((Inputs!$C$5:$C$140=$B9)*Inputs!$D$5:$D$140*(((Inputs!$G$5:$G$140="moeda")+(Inputs!$G$5:$G$140="acoes"))*Inputs!$B$1+((Inputs!$G$5:$G$140&lt;&gt;"moeda")*(Inputs!$G$5:$G$140&lt;&gt;"acoes")))*INDEX(Inputs!$K$5:$AJ$140,0,MATCH(AD$2,Inputs!$K$4:$AJ$4,0)))+SUMPRODUCT((Inputs!$E$5:$E$140=$B9)*Inputs!$F$5:$F$140*(((Inputs!$G$5:$G$140="moeda")+(Inputs!$G$5:$G$140="acoes"))*Inputs!$B$1+((Inputs!$G$5:$G$140&lt;&gt;"moeda")*(Inputs!$G$5:$G$140&lt;&gt;"acoes")))*INDEX(Inputs!$K$5:$AJ$140,0,MATCH(AD$2,Inputs!$K$4:$AJ$4,0)))))</f>
        <v>48.168</v>
      </c>
      <c r="AE9" s="6" t="e">
        <f>IF(ISNA(MATCH(AE$2,Inputs!$K$4:$AJ$4,0)),NA(),IF(SUMPRODUCT((Inputs!$A$5:$A$140=$B9)*ISNUMBER(INDEX(Inputs!$K$5:$AJ$140,0,MATCH(AE$2,Inputs!$K$4:$AJ$4,0))))+SUMPRODUCT((Inputs!$C$5:$C$140=$B9)*ISNUMBER(INDEX(Inputs!$K$5:$AJ$140,0,MATCH(AE$2,Inputs!$K$4:$AJ$4,0))))+SUMPRODUCT((Inputs!$E$5:$E$140=$B9)*ISNUMBER(INDEX(Inputs!$K$5:$AJ$140,0,MATCH(AE$2,Inputs!$K$4:$AJ$4,0))))=0,NA(),SUMPRODUCT((Inputs!$A$5:$A$140=$B9)*Inputs!$B$5:$B$140*(((Inputs!$G$5:$G$140="moeda")+(Inputs!$G$5:$G$140="acoes"))*Inputs!$B$1+((Inputs!$G$5:$G$140&lt;&gt;"moeda")*(Inputs!$G$5:$G$140&lt;&gt;"acoes")))*INDEX(Inputs!$K$5:$AJ$140,0,MATCH(AE$2,Inputs!$K$4:$AJ$4,0)))+SUMPRODUCT((Inputs!$C$5:$C$140=$B9)*Inputs!$D$5:$D$140*(((Inputs!$G$5:$G$140="moeda")+(Inputs!$G$5:$G$140="acoes"))*Inputs!$B$1+((Inputs!$G$5:$G$140&lt;&gt;"moeda")*(Inputs!$G$5:$G$140&lt;&gt;"acoes")))*INDEX(Inputs!$K$5:$AJ$140,0,MATCH(AE$2,Inputs!$K$4:$AJ$4,0)))+SUMPRODUCT((Inputs!$E$5:$E$140=$B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9" s="6" t="e">
        <f>IF(ISNA(MATCH(AF$2,Inputs!$K$4:$AJ$4,0)),NA(),IF(SUMPRODUCT((Inputs!$A$5:$A$140=$B9)*ISNUMBER(INDEX(Inputs!$K$5:$AJ$140,0,MATCH(AF$2,Inputs!$K$4:$AJ$4,0))))+SUMPRODUCT((Inputs!$C$5:$C$140=$B9)*ISNUMBER(INDEX(Inputs!$K$5:$AJ$140,0,MATCH(AF$2,Inputs!$K$4:$AJ$4,0))))+SUMPRODUCT((Inputs!$E$5:$E$140=$B9)*ISNUMBER(INDEX(Inputs!$K$5:$AJ$140,0,MATCH(AF$2,Inputs!$K$4:$AJ$4,0))))=0,NA(),SUMPRODUCT((Inputs!$A$5:$A$140=$B9)*Inputs!$B$5:$B$140*(((Inputs!$G$5:$G$140="moeda")+(Inputs!$G$5:$G$140="acoes"))*Inputs!$B$1+((Inputs!$G$5:$G$140&lt;&gt;"moeda")*(Inputs!$G$5:$G$140&lt;&gt;"acoes")))*INDEX(Inputs!$K$5:$AJ$140,0,MATCH(AF$2,Inputs!$K$4:$AJ$4,0)))+SUMPRODUCT((Inputs!$C$5:$C$140=$B9)*Inputs!$D$5:$D$140*(((Inputs!$G$5:$G$140="moeda")+(Inputs!$G$5:$G$140="acoes"))*Inputs!$B$1+((Inputs!$G$5:$G$140&lt;&gt;"moeda")*(Inputs!$G$5:$G$140&lt;&gt;"acoes")))*INDEX(Inputs!$K$5:$AJ$140,0,MATCH(AF$2,Inputs!$K$4:$AJ$4,0)))+SUMPRODUCT((Inputs!$E$5:$E$140=$B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9" s="3" t="e">
        <f>SUM(AC9:AF9)</f>
        <v>#N/A</v>
      </c>
      <c r="AH9" s="6">
        <f>IF(ISNA(MATCH(AH$2,Inputs!$K$4:$AJ$4,0)),NA(),IF(SUMPRODUCT((Inputs!$A$5:$A$140=$B9)*ISNUMBER(INDEX(Inputs!$K$5:$AJ$140,0,MATCH(AH$2,Inputs!$K$4:$AJ$4,0))))+SUMPRODUCT((Inputs!$C$5:$C$140=$B9)*ISNUMBER(INDEX(Inputs!$K$5:$AJ$140,0,MATCH(AH$2,Inputs!$K$4:$AJ$4,0))))+SUMPRODUCT((Inputs!$E$5:$E$140=$B9)*ISNUMBER(INDEX(Inputs!$K$5:$AJ$140,0,MATCH(AH$2,Inputs!$K$4:$AJ$4,0))))=0,NA(),SUMPRODUCT((Inputs!$A$5:$A$140=$B9)*Inputs!$B$5:$B$140*(((Inputs!$G$5:$G$140="moeda")+(Inputs!$G$5:$G$140="acoes"))*Inputs!$B$1+((Inputs!$G$5:$G$140&lt;&gt;"moeda")*(Inputs!$G$5:$G$140&lt;&gt;"acoes")))*INDEX(Inputs!$K$5:$AJ$140,0,MATCH(AH$2,Inputs!$K$4:$AJ$4,0)))+SUMPRODUCT((Inputs!$C$5:$C$140=$B9)*Inputs!$D$5:$D$140*(((Inputs!$G$5:$G$140="moeda")+(Inputs!$G$5:$G$140="acoes"))*Inputs!$B$1+((Inputs!$G$5:$G$140&lt;&gt;"moeda")*(Inputs!$G$5:$G$140&lt;&gt;"acoes")))*INDEX(Inputs!$K$5:$AJ$140,0,MATCH(AH$2,Inputs!$K$4:$AJ$4,0)))+SUMPRODUCT((Inputs!$E$5:$E$140=$B9)*Inputs!$F$5:$F$140*(((Inputs!$G$5:$G$140="moeda")+(Inputs!$G$5:$G$140="acoes"))*Inputs!$B$1+((Inputs!$G$5:$G$140&lt;&gt;"moeda")*(Inputs!$G$5:$G$140&lt;&gt;"acoes")))*INDEX(Inputs!$K$5:$AJ$140,0,MATCH(AH$2,Inputs!$K$4:$AJ$4,0)))))</f>
        <v>2.784</v>
      </c>
      <c r="AI9" s="6">
        <f>IF(ISNA(MATCH(AI$2,Inputs!$K$4:$AJ$4,0)),NA(),IF(SUMPRODUCT((Inputs!$A$5:$A$140=$B9)*ISNUMBER(INDEX(Inputs!$K$5:$AJ$140,0,MATCH(AI$2,Inputs!$K$4:$AJ$4,0))))+SUMPRODUCT((Inputs!$C$5:$C$140=$B9)*ISNUMBER(INDEX(Inputs!$K$5:$AJ$140,0,MATCH(AI$2,Inputs!$K$4:$AJ$4,0))))+SUMPRODUCT((Inputs!$E$5:$E$140=$B9)*ISNUMBER(INDEX(Inputs!$K$5:$AJ$140,0,MATCH(AI$2,Inputs!$K$4:$AJ$4,0))))=0,NA(),SUMPRODUCT((Inputs!$A$5:$A$140=$B9)*Inputs!$B$5:$B$140*(((Inputs!$G$5:$G$140="moeda")+(Inputs!$G$5:$G$140="acoes"))*Inputs!$B$1+((Inputs!$G$5:$G$140&lt;&gt;"moeda")*(Inputs!$G$5:$G$140&lt;&gt;"acoes")))*INDEX(Inputs!$K$5:$AJ$140,0,MATCH(AI$2,Inputs!$K$4:$AJ$4,0)))+SUMPRODUCT((Inputs!$C$5:$C$140=$B9)*Inputs!$D$5:$D$140*(((Inputs!$G$5:$G$140="moeda")+(Inputs!$G$5:$G$140="acoes"))*Inputs!$B$1+((Inputs!$G$5:$G$140&lt;&gt;"moeda")*(Inputs!$G$5:$G$140&lt;&gt;"acoes")))*INDEX(Inputs!$K$5:$AJ$140,0,MATCH(AI$2,Inputs!$K$4:$AJ$4,0)))+SUMPRODUCT((Inputs!$E$5:$E$140=$B9)*Inputs!$F$5:$F$140*(((Inputs!$G$5:$G$140="moeda")+(Inputs!$G$5:$G$140="acoes"))*Inputs!$B$1+((Inputs!$G$5:$G$140&lt;&gt;"moeda")*(Inputs!$G$5:$G$140&lt;&gt;"acoes")))*INDEX(Inputs!$K$5:$AJ$140,0,MATCH(AI$2,Inputs!$K$4:$AJ$4,0)))))</f>
        <v>2.827</v>
      </c>
      <c r="AJ9" s="6">
        <f>IF(ISNA(MATCH(AJ$2,Inputs!$K$4:$AJ$4,0)),NA(),IF(SUMPRODUCT((Inputs!$A$5:$A$140=$B9)*ISNUMBER(INDEX(Inputs!$K$5:$AJ$140,0,MATCH(AJ$2,Inputs!$K$4:$AJ$4,0))))+SUMPRODUCT((Inputs!$C$5:$C$140=$B9)*ISNUMBER(INDEX(Inputs!$K$5:$AJ$140,0,MATCH(AJ$2,Inputs!$K$4:$AJ$4,0))))+SUMPRODUCT((Inputs!$E$5:$E$140=$B9)*ISNUMBER(INDEX(Inputs!$K$5:$AJ$140,0,MATCH(AJ$2,Inputs!$K$4:$AJ$4,0))))=0,NA(),SUMPRODUCT((Inputs!$A$5:$A$140=$B9)*Inputs!$B$5:$B$140*(((Inputs!$G$5:$G$140="moeda")+(Inputs!$G$5:$G$140="acoes"))*Inputs!$B$1+((Inputs!$G$5:$G$140&lt;&gt;"moeda")*(Inputs!$G$5:$G$140&lt;&gt;"acoes")))*INDEX(Inputs!$K$5:$AJ$140,0,MATCH(AJ$2,Inputs!$K$4:$AJ$4,0)))+SUMPRODUCT((Inputs!$C$5:$C$140=$B9)*Inputs!$D$5:$D$140*(((Inputs!$G$5:$G$140="moeda")+(Inputs!$G$5:$G$140="acoes"))*Inputs!$B$1+((Inputs!$G$5:$G$140&lt;&gt;"moeda")*(Inputs!$G$5:$G$140&lt;&gt;"acoes")))*INDEX(Inputs!$K$5:$AJ$140,0,MATCH(AJ$2,Inputs!$K$4:$AJ$4,0)))+SUMPRODUCT((Inputs!$E$5:$E$140=$B9)*Inputs!$F$5:$F$140*(((Inputs!$G$5:$G$140="moeda")+(Inputs!$G$5:$G$140="acoes"))*Inputs!$B$1+((Inputs!$G$5:$G$140&lt;&gt;"moeda")*(Inputs!$G$5:$G$140&lt;&gt;"acoes")))*INDEX(Inputs!$K$5:$AJ$140,0,MATCH(AJ$2,Inputs!$K$4:$AJ$4,0)))))</f>
        <v>5.428</v>
      </c>
      <c r="AK9" s="6">
        <f>IF(ISNA(MATCH(AK$2,Inputs!$K$4:$AJ$4,0)),NA(),IF(SUMPRODUCT((Inputs!$A$5:$A$140=$B9)*ISNUMBER(INDEX(Inputs!$K$5:$AJ$140,0,MATCH(AK$2,Inputs!$K$4:$AJ$4,0))))+SUMPRODUCT((Inputs!$C$5:$C$140=$B9)*ISNUMBER(INDEX(Inputs!$K$5:$AJ$140,0,MATCH(AK$2,Inputs!$K$4:$AJ$4,0))))+SUMPRODUCT((Inputs!$E$5:$E$140=$B9)*ISNUMBER(INDEX(Inputs!$K$5:$AJ$140,0,MATCH(AK$2,Inputs!$K$4:$AJ$4,0))))=0,NA(),SUMPRODUCT((Inputs!$A$5:$A$140=$B9)*Inputs!$B$5:$B$140*(((Inputs!$G$5:$G$140="moeda")+(Inputs!$G$5:$G$140="acoes"))*Inputs!$B$1+((Inputs!$G$5:$G$140&lt;&gt;"moeda")*(Inputs!$G$5:$G$140&lt;&gt;"acoes")))*INDEX(Inputs!$K$5:$AJ$140,0,MATCH(AK$2,Inputs!$K$4:$AJ$4,0)))+SUMPRODUCT((Inputs!$C$5:$C$140=$B9)*Inputs!$D$5:$D$140*(((Inputs!$G$5:$G$140="moeda")+(Inputs!$G$5:$G$140="acoes"))*Inputs!$B$1+((Inputs!$G$5:$G$140&lt;&gt;"moeda")*(Inputs!$G$5:$G$140&lt;&gt;"acoes")))*INDEX(Inputs!$K$5:$AJ$140,0,MATCH(AK$2,Inputs!$K$4:$AJ$4,0)))+SUMPRODUCT((Inputs!$E$5:$E$140=$B9)*Inputs!$F$5:$F$140*(((Inputs!$G$5:$G$140="moeda")+(Inputs!$G$5:$G$140="acoes"))*Inputs!$B$1+((Inputs!$G$5:$G$140&lt;&gt;"moeda")*(Inputs!$G$5:$G$140&lt;&gt;"acoes")))*INDEX(Inputs!$K$5:$AJ$140,0,MATCH(AK$2,Inputs!$K$4:$AJ$4,0)))))</f>
        <v>3.634</v>
      </c>
      <c r="AL9" s="3">
        <f>SUM(AH9:AK9)</f>
        <v>14.673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$140=$B10)*ISNUMBER(INDEX(Inputs!$K$5:$AJ$140,0,MATCH(D$2,Inputs!$K$4:$AJ$4,0))))+SUMPRODUCT((Inputs!$C$5:$C$140=$B10)*ISNUMBER(INDEX(Inputs!$K$5:$AJ$140,0,MATCH(D$2,Inputs!$K$4:$AJ$4,0))))+SUMPRODUCT((Inputs!$E$5:$E$140=$B10)*ISNUMBER(INDEX(Inputs!$K$5:$AJ$140,0,MATCH(D$2,Inputs!$K$4:$AJ$4,0))))=0,NA(),SUMPRODUCT((Inputs!$A$5:$A$140=$B10)*Inputs!$B$5:$B$140*(((Inputs!$G$5:$G$140="moeda")+(Inputs!$G$5:$G$140="acoes"))*Inputs!$B$1+((Inputs!$G$5:$G$140&lt;&gt;"moeda")*(Inputs!$G$5:$G$140&lt;&gt;"acoes")))*INDEX(Inputs!$K$5:$AJ$140,0,MATCH(D$2,Inputs!$K$4:$AJ$4,0)))+SUMPRODUCT((Inputs!$C$5:$C$140=$B10)*Inputs!$D$5:$D$140*(((Inputs!$G$5:$G$140="moeda")+(Inputs!$G$5:$G$140="acoes"))*Inputs!$B$1+((Inputs!$G$5:$G$140&lt;&gt;"moeda")*(Inputs!$G$5:$G$140&lt;&gt;"acoes")))*INDEX(Inputs!$K$5:$AJ$140,0,MATCH(D$2,Inputs!$K$4:$AJ$4,0)))+SUMPRODUCT((Inputs!$E$5:$E$140=$B10)*Inputs!$F$5:$F$140*(((Inputs!$G$5:$G$140="moeda")+(Inputs!$G$5:$G$140="acoes"))*Inputs!$B$1+((Inputs!$G$5:$G$140&lt;&gt;"moeda")*(Inputs!$G$5:$G$140&lt;&gt;"acoes")))*INDEX(Inputs!$K$5:$AJ$140,0,MATCH(D$2,Inputs!$K$4:$AJ$4,0)))))</f>
        <v>-6.879</v>
      </c>
      <c r="E10" s="6">
        <f>IF(ISNA(MATCH(E$2,Inputs!$K$4:$AJ$4,0)),NA(),IF(SUMPRODUCT((Inputs!$A$5:$A$140=$B10)*ISNUMBER(INDEX(Inputs!$K$5:$AJ$140,0,MATCH(E$2,Inputs!$K$4:$AJ$4,0))))+SUMPRODUCT((Inputs!$C$5:$C$140=$B10)*ISNUMBER(INDEX(Inputs!$K$5:$AJ$140,0,MATCH(E$2,Inputs!$K$4:$AJ$4,0))))+SUMPRODUCT((Inputs!$E$5:$E$140=$B10)*ISNUMBER(INDEX(Inputs!$K$5:$AJ$140,0,MATCH(E$2,Inputs!$K$4:$AJ$4,0))))=0,NA(),SUMPRODUCT((Inputs!$A$5:$A$140=$B10)*Inputs!$B$5:$B$140*(((Inputs!$G$5:$G$140="moeda")+(Inputs!$G$5:$G$140="acoes"))*Inputs!$B$1+((Inputs!$G$5:$G$140&lt;&gt;"moeda")*(Inputs!$G$5:$G$140&lt;&gt;"acoes")))*INDEX(Inputs!$K$5:$AJ$140,0,MATCH(E$2,Inputs!$K$4:$AJ$4,0)))+SUMPRODUCT((Inputs!$C$5:$C$140=$B10)*Inputs!$D$5:$D$140*(((Inputs!$G$5:$G$140="moeda")+(Inputs!$G$5:$G$140="acoes"))*Inputs!$B$1+((Inputs!$G$5:$G$140&lt;&gt;"moeda")*(Inputs!$G$5:$G$140&lt;&gt;"acoes")))*INDEX(Inputs!$K$5:$AJ$140,0,MATCH(E$2,Inputs!$K$4:$AJ$4,0)))+SUMPRODUCT((Inputs!$E$5:$E$140=$B10)*Inputs!$F$5:$F$140*(((Inputs!$G$5:$G$140="moeda")+(Inputs!$G$5:$G$140="acoes"))*Inputs!$B$1+((Inputs!$G$5:$G$140&lt;&gt;"moeda")*(Inputs!$G$5:$G$140&lt;&gt;"acoes")))*INDEX(Inputs!$K$5:$AJ$140,0,MATCH(E$2,Inputs!$K$4:$AJ$4,0)))))</f>
        <v>-8.414</v>
      </c>
      <c r="F10" s="6">
        <f>IF(ISNA(MATCH(F$2,Inputs!$K$4:$AJ$4,0)),NA(),IF(SUMPRODUCT((Inputs!$A$5:$A$140=$B10)*ISNUMBER(INDEX(Inputs!$K$5:$AJ$140,0,MATCH(F$2,Inputs!$K$4:$AJ$4,0))))+SUMPRODUCT((Inputs!$C$5:$C$140=$B10)*ISNUMBER(INDEX(Inputs!$K$5:$AJ$140,0,MATCH(F$2,Inputs!$K$4:$AJ$4,0))))+SUMPRODUCT((Inputs!$E$5:$E$140=$B10)*ISNUMBER(INDEX(Inputs!$K$5:$AJ$140,0,MATCH(F$2,Inputs!$K$4:$AJ$4,0))))=0,NA(),SUMPRODUCT((Inputs!$A$5:$A$140=$B10)*Inputs!$B$5:$B$140*(((Inputs!$G$5:$G$140="moeda")+(Inputs!$G$5:$G$140="acoes"))*Inputs!$B$1+((Inputs!$G$5:$G$140&lt;&gt;"moeda")*(Inputs!$G$5:$G$140&lt;&gt;"acoes")))*INDEX(Inputs!$K$5:$AJ$140,0,MATCH(F$2,Inputs!$K$4:$AJ$4,0)))+SUMPRODUCT((Inputs!$C$5:$C$140=$B10)*Inputs!$D$5:$D$140*(((Inputs!$G$5:$G$140="moeda")+(Inputs!$G$5:$G$140="acoes"))*Inputs!$B$1+((Inputs!$G$5:$G$140&lt;&gt;"moeda")*(Inputs!$G$5:$G$140&lt;&gt;"acoes")))*INDEX(Inputs!$K$5:$AJ$140,0,MATCH(F$2,Inputs!$K$4:$AJ$4,0)))+SUMPRODUCT((Inputs!$E$5:$E$140=$B10)*Inputs!$F$5:$F$140*(((Inputs!$G$5:$G$140="moeda")+(Inputs!$G$5:$G$140="acoes"))*Inputs!$B$1+((Inputs!$G$5:$G$140&lt;&gt;"moeda")*(Inputs!$G$5:$G$140&lt;&gt;"acoes")))*INDEX(Inputs!$K$5:$AJ$140,0,MATCH(F$2,Inputs!$K$4:$AJ$4,0)))))</f>
        <v>-10.332</v>
      </c>
      <c r="G10" s="6">
        <f>IF(ISNA(MATCH(G$2,Inputs!$K$4:$AJ$4,0)),NA(),IF(SUMPRODUCT((Inputs!$A$5:$A$140=$B10)*ISNUMBER(INDEX(Inputs!$K$5:$AJ$140,0,MATCH(G$2,Inputs!$K$4:$AJ$4,0))))+SUMPRODUCT((Inputs!$C$5:$C$140=$B10)*ISNUMBER(INDEX(Inputs!$K$5:$AJ$140,0,MATCH(G$2,Inputs!$K$4:$AJ$4,0))))+SUMPRODUCT((Inputs!$E$5:$E$140=$B10)*ISNUMBER(INDEX(Inputs!$K$5:$AJ$140,0,MATCH(G$2,Inputs!$K$4:$AJ$4,0))))=0,NA(),SUMPRODUCT((Inputs!$A$5:$A$140=$B10)*Inputs!$B$5:$B$140*(((Inputs!$G$5:$G$140="moeda")+(Inputs!$G$5:$G$140="acoes"))*Inputs!$B$1+((Inputs!$G$5:$G$140&lt;&gt;"moeda")*(Inputs!$G$5:$G$140&lt;&gt;"acoes")))*INDEX(Inputs!$K$5:$AJ$140,0,MATCH(G$2,Inputs!$K$4:$AJ$4,0)))+SUMPRODUCT((Inputs!$C$5:$C$140=$B10)*Inputs!$D$5:$D$140*(((Inputs!$G$5:$G$140="moeda")+(Inputs!$G$5:$G$140="acoes"))*Inputs!$B$1+((Inputs!$G$5:$G$140&lt;&gt;"moeda")*(Inputs!$G$5:$G$140&lt;&gt;"acoes")))*INDEX(Inputs!$K$5:$AJ$140,0,MATCH(G$2,Inputs!$K$4:$AJ$4,0)))+SUMPRODUCT((Inputs!$E$5:$E$140=$B10)*Inputs!$F$5:$F$140*(((Inputs!$G$5:$G$140="moeda")+(Inputs!$G$5:$G$140="acoes"))*Inputs!$B$1+((Inputs!$G$5:$G$140&lt;&gt;"moeda")*(Inputs!$G$5:$G$140&lt;&gt;"acoes")))*INDEX(Inputs!$K$5:$AJ$140,0,MATCH(G$2,Inputs!$K$4:$AJ$4,0)))))</f>
        <v>-10.71</v>
      </c>
      <c r="H10" s="3">
        <f>SUM(D10:G10)</f>
        <v>-36.335</v>
      </c>
      <c r="I10" s="6">
        <f>IF(ISNA(MATCH(I$2,Inputs!$K$4:$AJ$4,0)),NA(),IF(SUMPRODUCT((Inputs!$A$5:$A$140=$B10)*ISNUMBER(INDEX(Inputs!$K$5:$AJ$140,0,MATCH(I$2,Inputs!$K$4:$AJ$4,0))))+SUMPRODUCT((Inputs!$C$5:$C$140=$B10)*ISNUMBER(INDEX(Inputs!$K$5:$AJ$140,0,MATCH(I$2,Inputs!$K$4:$AJ$4,0))))+SUMPRODUCT((Inputs!$E$5:$E$140=$B10)*ISNUMBER(INDEX(Inputs!$K$5:$AJ$140,0,MATCH(I$2,Inputs!$K$4:$AJ$4,0))))=0,NA(),SUMPRODUCT((Inputs!$A$5:$A$140=$B10)*Inputs!$B$5:$B$140*(((Inputs!$G$5:$G$140="moeda")+(Inputs!$G$5:$G$140="acoes"))*Inputs!$B$1+((Inputs!$G$5:$G$140&lt;&gt;"moeda")*(Inputs!$G$5:$G$140&lt;&gt;"acoes")))*INDEX(Inputs!$K$5:$AJ$140,0,MATCH(I$2,Inputs!$K$4:$AJ$4,0)))+SUMPRODUCT((Inputs!$C$5:$C$140=$B10)*Inputs!$D$5:$D$140*(((Inputs!$G$5:$G$140="moeda")+(Inputs!$G$5:$G$140="acoes"))*Inputs!$B$1+((Inputs!$G$5:$G$140&lt;&gt;"moeda")*(Inputs!$G$5:$G$140&lt;&gt;"acoes")))*INDEX(Inputs!$K$5:$AJ$140,0,MATCH(I$2,Inputs!$K$4:$AJ$4,0)))+SUMPRODUCT((Inputs!$E$5:$E$140=$B10)*Inputs!$F$5:$F$140*(((Inputs!$G$5:$G$140="moeda")+(Inputs!$G$5:$G$140="acoes"))*Inputs!$B$1+((Inputs!$G$5:$G$140&lt;&gt;"moeda")*(Inputs!$G$5:$G$140&lt;&gt;"acoes")))*INDEX(Inputs!$K$5:$AJ$140,0,MATCH(I$2,Inputs!$K$4:$AJ$4,0)))))</f>
        <v>-11.637</v>
      </c>
      <c r="J10" s="6">
        <f>IF(ISNA(MATCH(J$2,Inputs!$K$4:$AJ$4,0)),NA(),IF(SUMPRODUCT((Inputs!$A$5:$A$140=$B10)*ISNUMBER(INDEX(Inputs!$K$5:$AJ$140,0,MATCH(J$2,Inputs!$K$4:$AJ$4,0))))+SUMPRODUCT((Inputs!$C$5:$C$140=$B10)*ISNUMBER(INDEX(Inputs!$K$5:$AJ$140,0,MATCH(J$2,Inputs!$K$4:$AJ$4,0))))+SUMPRODUCT((Inputs!$E$5:$E$140=$B10)*ISNUMBER(INDEX(Inputs!$K$5:$AJ$140,0,MATCH(J$2,Inputs!$K$4:$AJ$4,0))))=0,NA(),SUMPRODUCT((Inputs!$A$5:$A$140=$B10)*Inputs!$B$5:$B$140*(((Inputs!$G$5:$G$140="moeda")+(Inputs!$G$5:$G$140="acoes"))*Inputs!$B$1+((Inputs!$G$5:$G$140&lt;&gt;"moeda")*(Inputs!$G$5:$G$140&lt;&gt;"acoes")))*INDEX(Inputs!$K$5:$AJ$140,0,MATCH(J$2,Inputs!$K$4:$AJ$4,0)))+SUMPRODUCT((Inputs!$C$5:$C$140=$B10)*Inputs!$D$5:$D$140*(((Inputs!$G$5:$G$140="moeda")+(Inputs!$G$5:$G$140="acoes"))*Inputs!$B$1+((Inputs!$G$5:$G$140&lt;&gt;"moeda")*(Inputs!$G$5:$G$140&lt;&gt;"acoes")))*INDEX(Inputs!$K$5:$AJ$140,0,MATCH(J$2,Inputs!$K$4:$AJ$4,0)))+SUMPRODUCT((Inputs!$E$5:$E$140=$B10)*Inputs!$F$5:$F$140*(((Inputs!$G$5:$G$140="moeda")+(Inputs!$G$5:$G$140="acoes"))*Inputs!$B$1+((Inputs!$G$5:$G$140&lt;&gt;"moeda")*(Inputs!$G$5:$G$140&lt;&gt;"acoes")))*INDEX(Inputs!$K$5:$AJ$140,0,MATCH(J$2,Inputs!$K$4:$AJ$4,0)))))</f>
        <v>-14.448</v>
      </c>
      <c r="K10" s="6">
        <f>IF(ISNA(MATCH(K$2,Inputs!$K$4:$AJ$4,0)),NA(),IF(SUMPRODUCT((Inputs!$A$5:$A$140=$B10)*ISNUMBER(INDEX(Inputs!$K$5:$AJ$140,0,MATCH(K$2,Inputs!$K$4:$AJ$4,0))))+SUMPRODUCT((Inputs!$C$5:$C$140=$B10)*ISNUMBER(INDEX(Inputs!$K$5:$AJ$140,0,MATCH(K$2,Inputs!$K$4:$AJ$4,0))))+SUMPRODUCT((Inputs!$E$5:$E$140=$B10)*ISNUMBER(INDEX(Inputs!$K$5:$AJ$140,0,MATCH(K$2,Inputs!$K$4:$AJ$4,0))))=0,NA(),SUMPRODUCT((Inputs!$A$5:$A$140=$B10)*Inputs!$B$5:$B$140*(((Inputs!$G$5:$G$140="moeda")+(Inputs!$G$5:$G$140="acoes"))*Inputs!$B$1+((Inputs!$G$5:$G$140&lt;&gt;"moeda")*(Inputs!$G$5:$G$140&lt;&gt;"acoes")))*INDEX(Inputs!$K$5:$AJ$140,0,MATCH(K$2,Inputs!$K$4:$AJ$4,0)))+SUMPRODUCT((Inputs!$C$5:$C$140=$B10)*Inputs!$D$5:$D$140*(((Inputs!$G$5:$G$140="moeda")+(Inputs!$G$5:$G$140="acoes"))*Inputs!$B$1+((Inputs!$G$5:$G$140&lt;&gt;"moeda")*(Inputs!$G$5:$G$140&lt;&gt;"acoes")))*INDEX(Inputs!$K$5:$AJ$140,0,MATCH(K$2,Inputs!$K$4:$AJ$4,0)))+SUMPRODUCT((Inputs!$E$5:$E$140=$B10)*Inputs!$F$5:$F$140*(((Inputs!$G$5:$G$140="moeda")+(Inputs!$G$5:$G$140="acoes"))*Inputs!$B$1+((Inputs!$G$5:$G$140&lt;&gt;"moeda")*(Inputs!$G$5:$G$140&lt;&gt;"acoes")))*INDEX(Inputs!$K$5:$AJ$140,0,MATCH(K$2,Inputs!$K$4:$AJ$4,0)))))</f>
        <v>-15.534</v>
      </c>
      <c r="L10" s="6">
        <f>IF(ISNA(MATCH(L$2,Inputs!$K$4:$AJ$4,0)),NA(),IF(SUMPRODUCT((Inputs!$A$5:$A$140=$B10)*ISNUMBER(INDEX(Inputs!$K$5:$AJ$140,0,MATCH(L$2,Inputs!$K$4:$AJ$4,0))))+SUMPRODUCT((Inputs!$C$5:$C$140=$B10)*ISNUMBER(INDEX(Inputs!$K$5:$AJ$140,0,MATCH(L$2,Inputs!$K$4:$AJ$4,0))))+SUMPRODUCT((Inputs!$E$5:$E$140=$B10)*ISNUMBER(INDEX(Inputs!$K$5:$AJ$140,0,MATCH(L$2,Inputs!$K$4:$AJ$4,0))))=0,NA(),SUMPRODUCT((Inputs!$A$5:$A$140=$B10)*Inputs!$B$5:$B$140*(((Inputs!$G$5:$G$140="moeda")+(Inputs!$G$5:$G$140="acoes"))*Inputs!$B$1+((Inputs!$G$5:$G$140&lt;&gt;"moeda")*(Inputs!$G$5:$G$140&lt;&gt;"acoes")))*INDEX(Inputs!$K$5:$AJ$140,0,MATCH(L$2,Inputs!$K$4:$AJ$4,0)))+SUMPRODUCT((Inputs!$C$5:$C$140=$B10)*Inputs!$D$5:$D$140*(((Inputs!$G$5:$G$140="moeda")+(Inputs!$G$5:$G$140="acoes"))*Inputs!$B$1+((Inputs!$G$5:$G$140&lt;&gt;"moeda")*(Inputs!$G$5:$G$140&lt;&gt;"acoes")))*INDEX(Inputs!$K$5:$AJ$140,0,MATCH(L$2,Inputs!$K$4:$AJ$4,0)))+SUMPRODUCT((Inputs!$E$5:$E$140=$B10)*Inputs!$F$5:$F$140*(((Inputs!$G$5:$G$140="moeda")+(Inputs!$G$5:$G$140="acoes"))*Inputs!$B$1+((Inputs!$G$5:$G$140&lt;&gt;"moeda")*(Inputs!$G$5:$G$140&lt;&gt;"acoes")))*INDEX(Inputs!$K$5:$AJ$140,0,MATCH(L$2,Inputs!$K$4:$AJ$4,0)))))</f>
        <v>-14.945</v>
      </c>
      <c r="M10" s="3">
        <f>SUM(I10:L10)</f>
        <v>-56.564</v>
      </c>
      <c r="N10" s="6">
        <f>IF(ISNA(MATCH(N$2,Inputs!$K$4:$AJ$4,0)),NA(),IF(SUMPRODUCT((Inputs!$A$5:$A$140=$B10)*ISNUMBER(INDEX(Inputs!$K$5:$AJ$140,0,MATCH(N$2,Inputs!$K$4:$AJ$4,0))))+SUMPRODUCT((Inputs!$C$5:$C$140=$B10)*ISNUMBER(INDEX(Inputs!$K$5:$AJ$140,0,MATCH(N$2,Inputs!$K$4:$AJ$4,0))))+SUMPRODUCT((Inputs!$E$5:$E$140=$B10)*ISNUMBER(INDEX(Inputs!$K$5:$AJ$140,0,MATCH(N$2,Inputs!$K$4:$AJ$4,0))))=0,NA(),SUMPRODUCT((Inputs!$A$5:$A$140=$B10)*Inputs!$B$5:$B$140*(((Inputs!$G$5:$G$140="moeda")+(Inputs!$G$5:$G$140="acoes"))*Inputs!$B$1+((Inputs!$G$5:$G$140&lt;&gt;"moeda")*(Inputs!$G$5:$G$140&lt;&gt;"acoes")))*INDEX(Inputs!$K$5:$AJ$140,0,MATCH(N$2,Inputs!$K$4:$AJ$4,0)))+SUMPRODUCT((Inputs!$C$5:$C$140=$B10)*Inputs!$D$5:$D$140*(((Inputs!$G$5:$G$140="moeda")+(Inputs!$G$5:$G$140="acoes"))*Inputs!$B$1+((Inputs!$G$5:$G$140&lt;&gt;"moeda")*(Inputs!$G$5:$G$140&lt;&gt;"acoes")))*INDEX(Inputs!$K$5:$AJ$140,0,MATCH(N$2,Inputs!$K$4:$AJ$4,0)))+SUMPRODUCT((Inputs!$E$5:$E$140=$B10)*Inputs!$F$5:$F$140*(((Inputs!$G$5:$G$140="moeda")+(Inputs!$G$5:$G$140="acoes"))*Inputs!$B$1+((Inputs!$G$5:$G$140&lt;&gt;"moeda")*(Inputs!$G$5:$G$140&lt;&gt;"acoes")))*INDEX(Inputs!$K$5:$AJ$140,0,MATCH(N$2,Inputs!$K$4:$AJ$4,0)))))</f>
        <v>-15.336</v>
      </c>
      <c r="O10" s="6">
        <f>IF(ISNA(MATCH(O$2,Inputs!$K$4:$AJ$4,0)),NA(),IF(SUMPRODUCT((Inputs!$A$5:$A$140=$B10)*ISNUMBER(INDEX(Inputs!$K$5:$AJ$140,0,MATCH(O$2,Inputs!$K$4:$AJ$4,0))))+SUMPRODUCT((Inputs!$C$5:$C$140=$B10)*ISNUMBER(INDEX(Inputs!$K$5:$AJ$140,0,MATCH(O$2,Inputs!$K$4:$AJ$4,0))))+SUMPRODUCT((Inputs!$E$5:$E$140=$B10)*ISNUMBER(INDEX(Inputs!$K$5:$AJ$140,0,MATCH(O$2,Inputs!$K$4:$AJ$4,0))))=0,NA(),SUMPRODUCT((Inputs!$A$5:$A$140=$B10)*Inputs!$B$5:$B$140*(((Inputs!$G$5:$G$140="moeda")+(Inputs!$G$5:$G$140="acoes"))*Inputs!$B$1+((Inputs!$G$5:$G$140&lt;&gt;"moeda")*(Inputs!$G$5:$G$140&lt;&gt;"acoes")))*INDEX(Inputs!$K$5:$AJ$140,0,MATCH(O$2,Inputs!$K$4:$AJ$4,0)))+SUMPRODUCT((Inputs!$C$5:$C$140=$B10)*Inputs!$D$5:$D$140*(((Inputs!$G$5:$G$140="moeda")+(Inputs!$G$5:$G$140="acoes"))*Inputs!$B$1+((Inputs!$G$5:$G$140&lt;&gt;"moeda")*(Inputs!$G$5:$G$140&lt;&gt;"acoes")))*INDEX(Inputs!$K$5:$AJ$140,0,MATCH(O$2,Inputs!$K$4:$AJ$4,0)))+SUMPRODUCT((Inputs!$E$5:$E$140=$B10)*Inputs!$F$5:$F$140*(((Inputs!$G$5:$G$140="moeda")+(Inputs!$G$5:$G$140="acoes"))*Inputs!$B$1+((Inputs!$G$5:$G$140&lt;&gt;"moeda")*(Inputs!$G$5:$G$140&lt;&gt;"acoes")))*INDEX(Inputs!$K$5:$AJ$140,0,MATCH(O$2,Inputs!$K$4:$AJ$4,0)))))</f>
        <v>-18.195</v>
      </c>
      <c r="P10" s="6">
        <f>IF(ISNA(MATCH(P$2,Inputs!$K$4:$AJ$4,0)),NA(),IF(SUMPRODUCT((Inputs!$A$5:$A$140=$B10)*ISNUMBER(INDEX(Inputs!$K$5:$AJ$140,0,MATCH(P$2,Inputs!$K$4:$AJ$4,0))))+SUMPRODUCT((Inputs!$C$5:$C$140=$B10)*ISNUMBER(INDEX(Inputs!$K$5:$AJ$140,0,MATCH(P$2,Inputs!$K$4:$AJ$4,0))))+SUMPRODUCT((Inputs!$E$5:$E$140=$B10)*ISNUMBER(INDEX(Inputs!$K$5:$AJ$140,0,MATCH(P$2,Inputs!$K$4:$AJ$4,0))))=0,NA(),SUMPRODUCT((Inputs!$A$5:$A$140=$B10)*Inputs!$B$5:$B$140*(((Inputs!$G$5:$G$140="moeda")+(Inputs!$G$5:$G$140="acoes"))*Inputs!$B$1+((Inputs!$G$5:$G$140&lt;&gt;"moeda")*(Inputs!$G$5:$G$140&lt;&gt;"acoes")))*INDEX(Inputs!$K$5:$AJ$140,0,MATCH(P$2,Inputs!$K$4:$AJ$4,0)))+SUMPRODUCT((Inputs!$C$5:$C$140=$B10)*Inputs!$D$5:$D$140*(((Inputs!$G$5:$G$140="moeda")+(Inputs!$G$5:$G$140="acoes"))*Inputs!$B$1+((Inputs!$G$5:$G$140&lt;&gt;"moeda")*(Inputs!$G$5:$G$140&lt;&gt;"acoes")))*INDEX(Inputs!$K$5:$AJ$140,0,MATCH(P$2,Inputs!$K$4:$AJ$4,0)))+SUMPRODUCT((Inputs!$E$5:$E$140=$B10)*Inputs!$F$5:$F$140*(((Inputs!$G$5:$G$140="moeda")+(Inputs!$G$5:$G$140="acoes"))*Inputs!$B$1+((Inputs!$G$5:$G$140&lt;&gt;"moeda")*(Inputs!$G$5:$G$140&lt;&gt;"acoes")))*INDEX(Inputs!$K$5:$AJ$140,0,MATCH(P$2,Inputs!$K$4:$AJ$4,0)))))</f>
        <v>-19.128</v>
      </c>
      <c r="Q10" s="6">
        <f>IF(ISNA(MATCH(Q$2,Inputs!$K$4:$AJ$4,0)),NA(),IF(SUMPRODUCT((Inputs!$A$5:$A$140=$B10)*ISNUMBER(INDEX(Inputs!$K$5:$AJ$140,0,MATCH(Q$2,Inputs!$K$4:$AJ$4,0))))+SUMPRODUCT((Inputs!$C$5:$C$140=$B10)*ISNUMBER(INDEX(Inputs!$K$5:$AJ$140,0,MATCH(Q$2,Inputs!$K$4:$AJ$4,0))))+SUMPRODUCT((Inputs!$E$5:$E$140=$B10)*ISNUMBER(INDEX(Inputs!$K$5:$AJ$140,0,MATCH(Q$2,Inputs!$K$4:$AJ$4,0))))=0,NA(),SUMPRODUCT((Inputs!$A$5:$A$140=$B10)*Inputs!$B$5:$B$140*(((Inputs!$G$5:$G$140="moeda")+(Inputs!$G$5:$G$140="acoes"))*Inputs!$B$1+((Inputs!$G$5:$G$140&lt;&gt;"moeda")*(Inputs!$G$5:$G$140&lt;&gt;"acoes")))*INDEX(Inputs!$K$5:$AJ$140,0,MATCH(Q$2,Inputs!$K$4:$AJ$4,0)))+SUMPRODUCT((Inputs!$C$5:$C$140=$B10)*Inputs!$D$5:$D$140*(((Inputs!$G$5:$G$140="moeda")+(Inputs!$G$5:$G$140="acoes"))*Inputs!$B$1+((Inputs!$G$5:$G$140&lt;&gt;"moeda")*(Inputs!$G$5:$G$140&lt;&gt;"acoes")))*INDEX(Inputs!$K$5:$AJ$140,0,MATCH(Q$2,Inputs!$K$4:$AJ$4,0)))+SUMPRODUCT((Inputs!$E$5:$E$140=$B10)*Inputs!$F$5:$F$140*(((Inputs!$G$5:$G$140="moeda")+(Inputs!$G$5:$G$140="acoes"))*Inputs!$B$1+((Inputs!$G$5:$G$140&lt;&gt;"moeda")*(Inputs!$G$5:$G$140&lt;&gt;"acoes")))*INDEX(Inputs!$K$5:$AJ$140,0,MATCH(Q$2,Inputs!$K$4:$AJ$4,0)))))</f>
        <v>-19.759</v>
      </c>
      <c r="R10" s="3">
        <f>SUM(N10:Q10)</f>
        <v>-72.418</v>
      </c>
      <c r="S10" s="6">
        <f>IF(ISNA(MATCH(S$2,Inputs!$K$4:$AJ$4,0)),NA(),IF(SUMPRODUCT((Inputs!$A$5:$A$140=$B10)*ISNUMBER(INDEX(Inputs!$K$5:$AJ$140,0,MATCH(S$2,Inputs!$K$4:$AJ$4,0))))+SUMPRODUCT((Inputs!$C$5:$C$140=$B10)*ISNUMBER(INDEX(Inputs!$K$5:$AJ$140,0,MATCH(S$2,Inputs!$K$4:$AJ$4,0))))+SUMPRODUCT((Inputs!$E$5:$E$140=$B10)*ISNUMBER(INDEX(Inputs!$K$5:$AJ$140,0,MATCH(S$2,Inputs!$K$4:$AJ$4,0))))=0,NA(),SUMPRODUCT((Inputs!$A$5:$A$140=$B10)*Inputs!$B$5:$B$140*(((Inputs!$G$5:$G$140="moeda")+(Inputs!$G$5:$G$140="acoes"))*Inputs!$B$1+((Inputs!$G$5:$G$140&lt;&gt;"moeda")*(Inputs!$G$5:$G$140&lt;&gt;"acoes")))*INDEX(Inputs!$K$5:$AJ$140,0,MATCH(S$2,Inputs!$K$4:$AJ$4,0)))+SUMPRODUCT((Inputs!$C$5:$C$140=$B10)*Inputs!$D$5:$D$140*(((Inputs!$G$5:$G$140="moeda")+(Inputs!$G$5:$G$140="acoes"))*Inputs!$B$1+((Inputs!$G$5:$G$140&lt;&gt;"moeda")*(Inputs!$G$5:$G$140&lt;&gt;"acoes")))*INDEX(Inputs!$K$5:$AJ$140,0,MATCH(S$2,Inputs!$K$4:$AJ$4,0)))+SUMPRODUCT((Inputs!$E$5:$E$140=$B10)*Inputs!$F$5:$F$140*(((Inputs!$G$5:$G$140="moeda")+(Inputs!$G$5:$G$140="acoes"))*Inputs!$B$1+((Inputs!$G$5:$G$140&lt;&gt;"moeda")*(Inputs!$G$5:$G$140&lt;&gt;"acoes")))*INDEX(Inputs!$K$5:$AJ$140,0,MATCH(S$2,Inputs!$K$4:$AJ$4,0)))))</f>
        <v>-20.186</v>
      </c>
      <c r="T10" s="6">
        <f>IF(ISNA(MATCH(T$2,Inputs!$K$4:$AJ$4,0)),NA(),IF(SUMPRODUCT((Inputs!$A$5:$A$140=$B10)*ISNUMBER(INDEX(Inputs!$K$5:$AJ$140,0,MATCH(T$2,Inputs!$K$4:$AJ$4,0))))+SUMPRODUCT((Inputs!$C$5:$C$140=$B10)*ISNUMBER(INDEX(Inputs!$K$5:$AJ$140,0,MATCH(T$2,Inputs!$K$4:$AJ$4,0))))+SUMPRODUCT((Inputs!$E$5:$E$140=$B10)*ISNUMBER(INDEX(Inputs!$K$5:$AJ$140,0,MATCH(T$2,Inputs!$K$4:$AJ$4,0))))=0,NA(),SUMPRODUCT((Inputs!$A$5:$A$140=$B10)*Inputs!$B$5:$B$140*(((Inputs!$G$5:$G$140="moeda")+(Inputs!$G$5:$G$140="acoes"))*Inputs!$B$1+((Inputs!$G$5:$G$140&lt;&gt;"moeda")*(Inputs!$G$5:$G$140&lt;&gt;"acoes")))*INDEX(Inputs!$K$5:$AJ$140,0,MATCH(T$2,Inputs!$K$4:$AJ$4,0)))+SUMPRODUCT((Inputs!$C$5:$C$140=$B10)*Inputs!$D$5:$D$140*(((Inputs!$G$5:$G$140="moeda")+(Inputs!$G$5:$G$140="acoes"))*Inputs!$B$1+((Inputs!$G$5:$G$140&lt;&gt;"moeda")*(Inputs!$G$5:$G$140&lt;&gt;"acoes")))*INDEX(Inputs!$K$5:$AJ$140,0,MATCH(T$2,Inputs!$K$4:$AJ$4,0)))+SUMPRODUCT((Inputs!$E$5:$E$140=$B10)*Inputs!$F$5:$F$140*(((Inputs!$G$5:$G$140="moeda")+(Inputs!$G$5:$G$140="acoes"))*Inputs!$B$1+((Inputs!$G$5:$G$140&lt;&gt;"moeda")*(Inputs!$G$5:$G$140&lt;&gt;"acoes")))*INDEX(Inputs!$K$5:$AJ$140,0,MATCH(T$2,Inputs!$K$4:$AJ$4,0)))))</f>
        <v>-20.908</v>
      </c>
      <c r="U10" s="6">
        <f>IF(ISNA(MATCH(U$2,Inputs!$K$4:$AJ$4,0)),NA(),IF(SUMPRODUCT((Inputs!$A$5:$A$140=$B10)*ISNUMBER(INDEX(Inputs!$K$5:$AJ$140,0,MATCH(U$2,Inputs!$K$4:$AJ$4,0))))+SUMPRODUCT((Inputs!$C$5:$C$140=$B10)*ISNUMBER(INDEX(Inputs!$K$5:$AJ$140,0,MATCH(U$2,Inputs!$K$4:$AJ$4,0))))+SUMPRODUCT((Inputs!$E$5:$E$140=$B10)*ISNUMBER(INDEX(Inputs!$K$5:$AJ$140,0,MATCH(U$2,Inputs!$K$4:$AJ$4,0))))=0,NA(),SUMPRODUCT((Inputs!$A$5:$A$140=$B10)*Inputs!$B$5:$B$140*(((Inputs!$G$5:$G$140="moeda")+(Inputs!$G$5:$G$140="acoes"))*Inputs!$B$1+((Inputs!$G$5:$G$140&lt;&gt;"moeda")*(Inputs!$G$5:$G$140&lt;&gt;"acoes")))*INDEX(Inputs!$K$5:$AJ$140,0,MATCH(U$2,Inputs!$K$4:$AJ$4,0)))+SUMPRODUCT((Inputs!$C$5:$C$140=$B10)*Inputs!$D$5:$D$140*(((Inputs!$G$5:$G$140="moeda")+(Inputs!$G$5:$G$140="acoes"))*Inputs!$B$1+((Inputs!$G$5:$G$140&lt;&gt;"moeda")*(Inputs!$G$5:$G$140&lt;&gt;"acoes")))*INDEX(Inputs!$K$5:$AJ$140,0,MATCH(U$2,Inputs!$K$4:$AJ$4,0)))+SUMPRODUCT((Inputs!$E$5:$E$140=$B10)*Inputs!$F$5:$F$140*(((Inputs!$G$5:$G$140="moeda")+(Inputs!$G$5:$G$140="acoes"))*Inputs!$B$1+((Inputs!$G$5:$G$140&lt;&gt;"moeda")*(Inputs!$G$5:$G$140&lt;&gt;"acoes")))*INDEX(Inputs!$K$5:$AJ$140,0,MATCH(U$2,Inputs!$K$4:$AJ$4,0)))))</f>
        <v>-23.002</v>
      </c>
      <c r="V10" s="6">
        <f>IF(ISNA(MATCH(V$2,Inputs!$K$4:$AJ$4,0)),NA(),IF(SUMPRODUCT((Inputs!$A$5:$A$140=$B10)*ISNUMBER(INDEX(Inputs!$K$5:$AJ$140,0,MATCH(V$2,Inputs!$K$4:$AJ$4,0))))+SUMPRODUCT((Inputs!$C$5:$C$140=$B10)*ISNUMBER(INDEX(Inputs!$K$5:$AJ$140,0,MATCH(V$2,Inputs!$K$4:$AJ$4,0))))+SUMPRODUCT((Inputs!$E$5:$E$140=$B10)*ISNUMBER(INDEX(Inputs!$K$5:$AJ$140,0,MATCH(V$2,Inputs!$K$4:$AJ$4,0))))=0,NA(),SUMPRODUCT((Inputs!$A$5:$A$140=$B10)*Inputs!$B$5:$B$140*(((Inputs!$G$5:$G$140="moeda")+(Inputs!$G$5:$G$140="acoes"))*Inputs!$B$1+((Inputs!$G$5:$G$140&lt;&gt;"moeda")*(Inputs!$G$5:$G$140&lt;&gt;"acoes")))*INDEX(Inputs!$K$5:$AJ$140,0,MATCH(V$2,Inputs!$K$4:$AJ$4,0)))+SUMPRODUCT((Inputs!$C$5:$C$140=$B10)*Inputs!$D$5:$D$140*(((Inputs!$G$5:$G$140="moeda")+(Inputs!$G$5:$G$140="acoes"))*Inputs!$B$1+((Inputs!$G$5:$G$140&lt;&gt;"moeda")*(Inputs!$G$5:$G$140&lt;&gt;"acoes")))*INDEX(Inputs!$K$5:$AJ$140,0,MATCH(V$2,Inputs!$K$4:$AJ$4,0)))+SUMPRODUCT((Inputs!$E$5:$E$140=$B10)*Inputs!$F$5:$F$140*(((Inputs!$G$5:$G$140="moeda")+(Inputs!$G$5:$G$140="acoes"))*Inputs!$B$1+((Inputs!$G$5:$G$140&lt;&gt;"moeda")*(Inputs!$G$5:$G$140&lt;&gt;"acoes")))*INDEX(Inputs!$K$5:$AJ$140,0,MATCH(V$2,Inputs!$K$4:$AJ$4,0)))))</f>
        <v>-25.688</v>
      </c>
      <c r="W10" s="3">
        <f>SUM(S10:V10)</f>
        <v>-89.784</v>
      </c>
      <c r="X10" s="6">
        <f>IF(ISNA(MATCH(X$2,Inputs!$K$4:$AJ$4,0)),NA(),IF(SUMPRODUCT((Inputs!$A$5:$A$140=$B10)*ISNUMBER(INDEX(Inputs!$K$5:$AJ$140,0,MATCH(X$2,Inputs!$K$4:$AJ$4,0))))+SUMPRODUCT((Inputs!$C$5:$C$140=$B10)*ISNUMBER(INDEX(Inputs!$K$5:$AJ$140,0,MATCH(X$2,Inputs!$K$4:$AJ$4,0))))+SUMPRODUCT((Inputs!$E$5:$E$140=$B10)*ISNUMBER(INDEX(Inputs!$K$5:$AJ$140,0,MATCH(X$2,Inputs!$K$4:$AJ$4,0))))=0,NA(),SUMPRODUCT((Inputs!$A$5:$A$140=$B10)*Inputs!$B$5:$B$140*(((Inputs!$G$5:$G$140="moeda")+(Inputs!$G$5:$G$140="acoes"))*Inputs!$B$1+((Inputs!$G$5:$G$140&lt;&gt;"moeda")*(Inputs!$G$5:$G$140&lt;&gt;"acoes")))*INDEX(Inputs!$K$5:$AJ$140,0,MATCH(X$2,Inputs!$K$4:$AJ$4,0)))+SUMPRODUCT((Inputs!$C$5:$C$140=$B10)*Inputs!$D$5:$D$140*(((Inputs!$G$5:$G$140="moeda")+(Inputs!$G$5:$G$140="acoes"))*Inputs!$B$1+((Inputs!$G$5:$G$140&lt;&gt;"moeda")*(Inputs!$G$5:$G$140&lt;&gt;"acoes")))*INDEX(Inputs!$K$5:$AJ$140,0,MATCH(X$2,Inputs!$K$4:$AJ$4,0)))+SUMPRODUCT((Inputs!$E$5:$E$140=$B10)*Inputs!$F$5:$F$140*(((Inputs!$G$5:$G$140="moeda")+(Inputs!$G$5:$G$140="acoes"))*Inputs!$B$1+((Inputs!$G$5:$G$140&lt;&gt;"moeda")*(Inputs!$G$5:$G$140&lt;&gt;"acoes")))*INDEX(Inputs!$K$5:$AJ$140,0,MATCH(X$2,Inputs!$K$4:$AJ$4,0)))))</f>
        <v>-31.003</v>
      </c>
      <c r="Y10" s="6">
        <f>IF(ISNA(MATCH(Y$2,Inputs!$K$4:$AJ$4,0)),NA(),IF(SUMPRODUCT((Inputs!$A$5:$A$140=$B10)*ISNUMBER(INDEX(Inputs!$K$5:$AJ$140,0,MATCH(Y$2,Inputs!$K$4:$AJ$4,0))))+SUMPRODUCT((Inputs!$C$5:$C$140=$B10)*ISNUMBER(INDEX(Inputs!$K$5:$AJ$140,0,MATCH(Y$2,Inputs!$K$4:$AJ$4,0))))+SUMPRODUCT((Inputs!$E$5:$E$140=$B10)*ISNUMBER(INDEX(Inputs!$K$5:$AJ$140,0,MATCH(Y$2,Inputs!$K$4:$AJ$4,0))))=0,NA(),SUMPRODUCT((Inputs!$A$5:$A$140=$B10)*Inputs!$B$5:$B$140*(((Inputs!$G$5:$G$140="moeda")+(Inputs!$G$5:$G$140="acoes"))*Inputs!$B$1+((Inputs!$G$5:$G$140&lt;&gt;"moeda")*(Inputs!$G$5:$G$140&lt;&gt;"acoes")))*INDEX(Inputs!$K$5:$AJ$140,0,MATCH(Y$2,Inputs!$K$4:$AJ$4,0)))+SUMPRODUCT((Inputs!$C$5:$C$140=$B10)*Inputs!$D$5:$D$140*(((Inputs!$G$5:$G$140="moeda")+(Inputs!$G$5:$G$140="acoes"))*Inputs!$B$1+((Inputs!$G$5:$G$140&lt;&gt;"moeda")*(Inputs!$G$5:$G$140&lt;&gt;"acoes")))*INDEX(Inputs!$K$5:$AJ$140,0,MATCH(Y$2,Inputs!$K$4:$AJ$4,0)))+SUMPRODUCT((Inputs!$E$5:$E$140=$B10)*Inputs!$F$5:$F$140*(((Inputs!$G$5:$G$140="moeda")+(Inputs!$G$5:$G$140="acoes"))*Inputs!$B$1+((Inputs!$G$5:$G$140&lt;&gt;"moeda")*(Inputs!$G$5:$G$140&lt;&gt;"acoes")))*INDEX(Inputs!$K$5:$AJ$140,0,MATCH(Y$2,Inputs!$K$4:$AJ$4,0)))))</f>
        <v>-31.439</v>
      </c>
      <c r="Z10" s="6">
        <f>IF(ISNA(MATCH(Z$2,Inputs!$K$4:$AJ$4,0)),NA(),IF(SUMPRODUCT((Inputs!$A$5:$A$140=$B10)*ISNUMBER(INDEX(Inputs!$K$5:$AJ$140,0,MATCH(Z$2,Inputs!$K$4:$AJ$4,0))))+SUMPRODUCT((Inputs!$C$5:$C$140=$B10)*ISNUMBER(INDEX(Inputs!$K$5:$AJ$140,0,MATCH(Z$2,Inputs!$K$4:$AJ$4,0))))+SUMPRODUCT((Inputs!$E$5:$E$140=$B10)*ISNUMBER(INDEX(Inputs!$K$5:$AJ$140,0,MATCH(Z$2,Inputs!$K$4:$AJ$4,0))))=0,NA(),SUMPRODUCT((Inputs!$A$5:$A$140=$B10)*Inputs!$B$5:$B$140*(((Inputs!$G$5:$G$140="moeda")+(Inputs!$G$5:$G$140="acoes"))*Inputs!$B$1+((Inputs!$G$5:$G$140&lt;&gt;"moeda")*(Inputs!$G$5:$G$140&lt;&gt;"acoes")))*INDEX(Inputs!$K$5:$AJ$140,0,MATCH(Z$2,Inputs!$K$4:$AJ$4,0)))+SUMPRODUCT((Inputs!$C$5:$C$140=$B10)*Inputs!$D$5:$D$140*(((Inputs!$G$5:$G$140="moeda")+(Inputs!$G$5:$G$140="acoes"))*Inputs!$B$1+((Inputs!$G$5:$G$140&lt;&gt;"moeda")*(Inputs!$G$5:$G$140&lt;&gt;"acoes")))*INDEX(Inputs!$K$5:$AJ$140,0,MATCH(Z$2,Inputs!$K$4:$AJ$4,0)))+SUMPRODUCT((Inputs!$E$5:$E$140=$B10)*Inputs!$F$5:$F$140*(((Inputs!$G$5:$G$140="moeda")+(Inputs!$G$5:$G$140="acoes"))*Inputs!$B$1+((Inputs!$G$5:$G$140&lt;&gt;"moeda")*(Inputs!$G$5:$G$140&lt;&gt;"acoes")))*INDEX(Inputs!$K$5:$AJ$140,0,MATCH(Z$2,Inputs!$K$4:$AJ$4,0)))))</f>
        <v>-36.763</v>
      </c>
      <c r="AA10" s="6">
        <f>IF(ISNA(MATCH(AA$2,Inputs!$K$4:$AJ$4,0)),NA(),IF(SUMPRODUCT((Inputs!$A$5:$A$140=$B10)*ISNUMBER(INDEX(Inputs!$K$5:$AJ$140,0,MATCH(AA$2,Inputs!$K$4:$AJ$4,0))))+SUMPRODUCT((Inputs!$C$5:$C$140=$B10)*ISNUMBER(INDEX(Inputs!$K$5:$AJ$140,0,MATCH(AA$2,Inputs!$K$4:$AJ$4,0))))+SUMPRODUCT((Inputs!$E$5:$E$140=$B10)*ISNUMBER(INDEX(Inputs!$K$5:$AJ$140,0,MATCH(AA$2,Inputs!$K$4:$AJ$4,0))))=0,NA(),SUMPRODUCT((Inputs!$A$5:$A$140=$B10)*Inputs!$B$5:$B$140*(((Inputs!$G$5:$G$140="moeda")+(Inputs!$G$5:$G$140="acoes"))*Inputs!$B$1+((Inputs!$G$5:$G$140&lt;&gt;"moeda")*(Inputs!$G$5:$G$140&lt;&gt;"acoes")))*INDEX(Inputs!$K$5:$AJ$140,0,MATCH(AA$2,Inputs!$K$4:$AJ$4,0)))+SUMPRODUCT((Inputs!$C$5:$C$140=$B10)*Inputs!$D$5:$D$140*(((Inputs!$G$5:$G$140="moeda")+(Inputs!$G$5:$G$140="acoes"))*Inputs!$B$1+((Inputs!$G$5:$G$140&lt;&gt;"moeda")*(Inputs!$G$5:$G$140&lt;&gt;"acoes")))*INDEX(Inputs!$K$5:$AJ$140,0,MATCH(AA$2,Inputs!$K$4:$AJ$4,0)))+SUMPRODUCT((Inputs!$E$5:$E$140=$B10)*Inputs!$F$5:$F$140*(((Inputs!$G$5:$G$140="moeda")+(Inputs!$G$5:$G$140="acoes"))*Inputs!$B$1+((Inputs!$G$5:$G$140&lt;&gt;"moeda")*(Inputs!$G$5:$G$140&lt;&gt;"acoes")))*INDEX(Inputs!$K$5:$AJ$140,0,MATCH(AA$2,Inputs!$K$4:$AJ$4,0)))))</f>
        <v>-39.821</v>
      </c>
      <c r="AB10" s="3">
        <f>SUM(X10:AA10)</f>
        <v>-139.026</v>
      </c>
      <c r="AC10" s="6">
        <f>IF(ISNA(MATCH(AC$2,Inputs!$K$4:$AJ$4,0)),NA(),IF(SUMPRODUCT((Inputs!$A$5:$A$140=$B10)*ISNUMBER(INDEX(Inputs!$K$5:$AJ$140,0,MATCH(AC$2,Inputs!$K$4:$AJ$4,0))))+SUMPRODUCT((Inputs!$C$5:$C$140=$B10)*ISNUMBER(INDEX(Inputs!$K$5:$AJ$140,0,MATCH(AC$2,Inputs!$K$4:$AJ$4,0))))+SUMPRODUCT((Inputs!$E$5:$E$140=$B10)*ISNUMBER(INDEX(Inputs!$K$5:$AJ$140,0,MATCH(AC$2,Inputs!$K$4:$AJ$4,0))))=0,NA(),SUMPRODUCT((Inputs!$A$5:$A$140=$B10)*Inputs!$B$5:$B$140*(((Inputs!$G$5:$G$140="moeda")+(Inputs!$G$5:$G$140="acoes"))*Inputs!$B$1+((Inputs!$G$5:$G$140&lt;&gt;"moeda")*(Inputs!$G$5:$G$140&lt;&gt;"acoes")))*INDEX(Inputs!$K$5:$AJ$140,0,MATCH(AC$2,Inputs!$K$4:$AJ$4,0)))+SUMPRODUCT((Inputs!$C$5:$C$140=$B10)*Inputs!$D$5:$D$140*(((Inputs!$G$5:$G$140="moeda")+(Inputs!$G$5:$G$140="acoes"))*Inputs!$B$1+((Inputs!$G$5:$G$140&lt;&gt;"moeda")*(Inputs!$G$5:$G$140&lt;&gt;"acoes")))*INDEX(Inputs!$K$5:$AJ$140,0,MATCH(AC$2,Inputs!$K$4:$AJ$4,0)))+SUMPRODUCT((Inputs!$E$5:$E$140=$B10)*Inputs!$F$5:$F$140*(((Inputs!$G$5:$G$140="moeda")+(Inputs!$G$5:$G$140="acoes"))*Inputs!$B$1+((Inputs!$G$5:$G$140&lt;&gt;"moeda")*(Inputs!$G$5:$G$140&lt;&gt;"acoes")))*INDEX(Inputs!$K$5:$AJ$140,0,MATCH(AC$2,Inputs!$K$4:$AJ$4,0)))))</f>
        <v>-41.25</v>
      </c>
      <c r="AD10" s="6">
        <f>IF(ISNA(MATCH(AD$2,Inputs!$K$4:$AJ$4,0)),NA(),IF(SUMPRODUCT((Inputs!$A$5:$A$140=$B10)*ISNUMBER(INDEX(Inputs!$K$5:$AJ$140,0,MATCH(AD$2,Inputs!$K$4:$AJ$4,0))))+SUMPRODUCT((Inputs!$C$5:$C$140=$B10)*ISNUMBER(INDEX(Inputs!$K$5:$AJ$140,0,MATCH(AD$2,Inputs!$K$4:$AJ$4,0))))+SUMPRODUCT((Inputs!$E$5:$E$140=$B10)*ISNUMBER(INDEX(Inputs!$K$5:$AJ$140,0,MATCH(AD$2,Inputs!$K$4:$AJ$4,0))))=0,NA(),SUMPRODUCT((Inputs!$A$5:$A$140=$B10)*Inputs!$B$5:$B$140*(((Inputs!$G$5:$G$140="moeda")+(Inputs!$G$5:$G$140="acoes"))*Inputs!$B$1+((Inputs!$G$5:$G$140&lt;&gt;"moeda")*(Inputs!$G$5:$G$140&lt;&gt;"acoes")))*INDEX(Inputs!$K$5:$AJ$140,0,MATCH(AD$2,Inputs!$K$4:$AJ$4,0)))+SUMPRODUCT((Inputs!$C$5:$C$140=$B10)*Inputs!$D$5:$D$140*(((Inputs!$G$5:$G$140="moeda")+(Inputs!$G$5:$G$140="acoes"))*Inputs!$B$1+((Inputs!$G$5:$G$140&lt;&gt;"moeda")*(Inputs!$G$5:$G$140&lt;&gt;"acoes")))*INDEX(Inputs!$K$5:$AJ$140,0,MATCH(AD$2,Inputs!$K$4:$AJ$4,0)))+SUMPRODUCT((Inputs!$E$5:$E$140=$B10)*Inputs!$F$5:$F$140*(((Inputs!$G$5:$G$140="moeda")+(Inputs!$G$5:$G$140="acoes"))*Inputs!$B$1+((Inputs!$G$5:$G$140&lt;&gt;"moeda")*(Inputs!$G$5:$G$140&lt;&gt;"acoes")))*INDEX(Inputs!$K$5:$AJ$140,0,MATCH(AD$2,Inputs!$K$4:$AJ$4,0)))))</f>
        <v>-45.114</v>
      </c>
      <c r="AE10" s="6" t="e">
        <f>IF(ISNA(MATCH(AE$2,Inputs!$K$4:$AJ$4,0)),NA(),IF(SUMPRODUCT((Inputs!$A$5:$A$140=$B10)*ISNUMBER(INDEX(Inputs!$K$5:$AJ$140,0,MATCH(AE$2,Inputs!$K$4:$AJ$4,0))))+SUMPRODUCT((Inputs!$C$5:$C$140=$B10)*ISNUMBER(INDEX(Inputs!$K$5:$AJ$140,0,MATCH(AE$2,Inputs!$K$4:$AJ$4,0))))+SUMPRODUCT((Inputs!$E$5:$E$140=$B10)*ISNUMBER(INDEX(Inputs!$K$5:$AJ$140,0,MATCH(AE$2,Inputs!$K$4:$AJ$4,0))))=0,NA(),SUMPRODUCT((Inputs!$A$5:$A$140=$B10)*Inputs!$B$5:$B$140*(((Inputs!$G$5:$G$140="moeda")+(Inputs!$G$5:$G$140="acoes"))*Inputs!$B$1+((Inputs!$G$5:$G$140&lt;&gt;"moeda")*(Inputs!$G$5:$G$140&lt;&gt;"acoes")))*INDEX(Inputs!$K$5:$AJ$140,0,MATCH(AE$2,Inputs!$K$4:$AJ$4,0)))+SUMPRODUCT((Inputs!$C$5:$C$140=$B10)*Inputs!$D$5:$D$140*(((Inputs!$G$5:$G$140="moeda")+(Inputs!$G$5:$G$140="acoes"))*Inputs!$B$1+((Inputs!$G$5:$G$140&lt;&gt;"moeda")*(Inputs!$G$5:$G$140&lt;&gt;"acoes")))*INDEX(Inputs!$K$5:$AJ$140,0,MATCH(AE$2,Inputs!$K$4:$AJ$4,0)))+SUMPRODUCT((Inputs!$E$5:$E$140=$B10)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0" s="6" t="e">
        <f>IF(ISNA(MATCH(AF$2,Inputs!$K$4:$AJ$4,0)),NA(),IF(SUMPRODUCT((Inputs!$A$5:$A$140=$B10)*ISNUMBER(INDEX(Inputs!$K$5:$AJ$140,0,MATCH(AF$2,Inputs!$K$4:$AJ$4,0))))+SUMPRODUCT((Inputs!$C$5:$C$140=$B10)*ISNUMBER(INDEX(Inputs!$K$5:$AJ$140,0,MATCH(AF$2,Inputs!$K$4:$AJ$4,0))))+SUMPRODUCT((Inputs!$E$5:$E$140=$B10)*ISNUMBER(INDEX(Inputs!$K$5:$AJ$140,0,MATCH(AF$2,Inputs!$K$4:$AJ$4,0))))=0,NA(),SUMPRODUCT((Inputs!$A$5:$A$140=$B10)*Inputs!$B$5:$B$140*(((Inputs!$G$5:$G$140="moeda")+(Inputs!$G$5:$G$140="acoes"))*Inputs!$B$1+((Inputs!$G$5:$G$140&lt;&gt;"moeda")*(Inputs!$G$5:$G$140&lt;&gt;"acoes")))*INDEX(Inputs!$K$5:$AJ$140,0,MATCH(AF$2,Inputs!$K$4:$AJ$4,0)))+SUMPRODUCT((Inputs!$C$5:$C$140=$B10)*Inputs!$D$5:$D$140*(((Inputs!$G$5:$G$140="moeda")+(Inputs!$G$5:$G$140="acoes"))*Inputs!$B$1+((Inputs!$G$5:$G$140&lt;&gt;"moeda")*(Inputs!$G$5:$G$140&lt;&gt;"acoes")))*INDEX(Inputs!$K$5:$AJ$140,0,MATCH(AF$2,Inputs!$K$4:$AJ$4,0)))+SUMPRODUCT((Inputs!$E$5:$E$140=$B10)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$140=$B10)*ISNUMBER(INDEX(Inputs!$K$5:$AJ$140,0,MATCH(AH$2,Inputs!$K$4:$AJ$4,0))))+SUMPRODUCT((Inputs!$C$5:$C$140=$B10)*ISNUMBER(INDEX(Inputs!$K$5:$AJ$140,0,MATCH(AH$2,Inputs!$K$4:$AJ$4,0))))+SUMPRODUCT((Inputs!$E$5:$E$140=$B10)*ISNUMBER(INDEX(Inputs!$K$5:$AJ$140,0,MATCH(AH$2,Inputs!$K$4:$AJ$4,0))))=0,NA(),SUMPRODUCT((Inputs!$A$5:$A$140=$B10)*Inputs!$B$5:$B$140*(((Inputs!$G$5:$G$140="moeda")+(Inputs!$G$5:$G$140="acoes"))*Inputs!$B$1+((Inputs!$G$5:$G$140&lt;&gt;"moeda")*(Inputs!$G$5:$G$140&lt;&gt;"acoes")))*INDEX(Inputs!$K$5:$AJ$140,0,MATCH(AH$2,Inputs!$K$4:$AJ$4,0)))+SUMPRODUCT((Inputs!$C$5:$C$140=$B10)*Inputs!$D$5:$D$140*(((Inputs!$G$5:$G$140="moeda")+(Inputs!$G$5:$G$140="acoes"))*Inputs!$B$1+((Inputs!$G$5:$G$140&lt;&gt;"moeda")*(Inputs!$G$5:$G$140&lt;&gt;"acoes")))*INDEX(Inputs!$K$5:$AJ$140,0,MATCH(AH$2,Inputs!$K$4:$AJ$4,0)))+SUMPRODUCT((Inputs!$E$5:$E$140=$B10)*Inputs!$F$5:$F$140*(((Inputs!$G$5:$G$140="moeda")+(Inputs!$G$5:$G$140="acoes"))*Inputs!$B$1+((Inputs!$G$5:$G$140&lt;&gt;"moeda")*(Inputs!$G$5:$G$140&lt;&gt;"acoes")))*INDEX(Inputs!$K$5:$AJ$140,0,MATCH(AH$2,Inputs!$K$4:$AJ$4,0)))))</f>
        <v>-7.737</v>
      </c>
      <c r="AI10" s="6">
        <f>IF(ISNA(MATCH(AI$2,Inputs!$K$4:$AJ$4,0)),NA(),IF(SUMPRODUCT((Inputs!$A$5:$A$140=$B10)*ISNUMBER(INDEX(Inputs!$K$5:$AJ$140,0,MATCH(AI$2,Inputs!$K$4:$AJ$4,0))))+SUMPRODUCT((Inputs!$C$5:$C$140=$B10)*ISNUMBER(INDEX(Inputs!$K$5:$AJ$140,0,MATCH(AI$2,Inputs!$K$4:$AJ$4,0))))+SUMPRODUCT((Inputs!$E$5:$E$140=$B10)*ISNUMBER(INDEX(Inputs!$K$5:$AJ$140,0,MATCH(AI$2,Inputs!$K$4:$AJ$4,0))))=0,NA(),SUMPRODUCT((Inputs!$A$5:$A$140=$B10)*Inputs!$B$5:$B$140*(((Inputs!$G$5:$G$140="moeda")+(Inputs!$G$5:$G$140="acoes"))*Inputs!$B$1+((Inputs!$G$5:$G$140&lt;&gt;"moeda")*(Inputs!$G$5:$G$140&lt;&gt;"acoes")))*INDEX(Inputs!$K$5:$AJ$140,0,MATCH(AI$2,Inputs!$K$4:$AJ$4,0)))+SUMPRODUCT((Inputs!$C$5:$C$140=$B10)*Inputs!$D$5:$D$140*(((Inputs!$G$5:$G$140="moeda")+(Inputs!$G$5:$G$140="acoes"))*Inputs!$B$1+((Inputs!$G$5:$G$140&lt;&gt;"moeda")*(Inputs!$G$5:$G$140&lt;&gt;"acoes")))*INDEX(Inputs!$K$5:$AJ$140,0,MATCH(AI$2,Inputs!$K$4:$AJ$4,0)))+SUMPRODUCT((Inputs!$E$5:$E$140=$B10)*Inputs!$F$5:$F$140*(((Inputs!$G$5:$G$140="moeda")+(Inputs!$G$5:$G$140="acoes"))*Inputs!$B$1+((Inputs!$G$5:$G$140&lt;&gt;"moeda")*(Inputs!$G$5:$G$140&lt;&gt;"acoes")))*INDEX(Inputs!$K$5:$AJ$140,0,MATCH(AI$2,Inputs!$K$4:$AJ$4,0)))))</f>
        <v>-4.872</v>
      </c>
      <c r="AJ10" s="6">
        <f>IF(ISNA(MATCH(AJ$2,Inputs!$K$4:$AJ$4,0)),NA(),IF(SUMPRODUCT((Inputs!$A$5:$A$140=$B10)*ISNUMBER(INDEX(Inputs!$K$5:$AJ$140,0,MATCH(AJ$2,Inputs!$K$4:$AJ$4,0))))+SUMPRODUCT((Inputs!$C$5:$C$140=$B10)*ISNUMBER(INDEX(Inputs!$K$5:$AJ$140,0,MATCH(AJ$2,Inputs!$K$4:$AJ$4,0))))+SUMPRODUCT((Inputs!$E$5:$E$140=$B10)*ISNUMBER(INDEX(Inputs!$K$5:$AJ$140,0,MATCH(AJ$2,Inputs!$K$4:$AJ$4,0))))=0,NA(),SUMPRODUCT((Inputs!$A$5:$A$140=$B10)*Inputs!$B$5:$B$140*(((Inputs!$G$5:$G$140="moeda")+(Inputs!$G$5:$G$140="acoes"))*Inputs!$B$1+((Inputs!$G$5:$G$140&lt;&gt;"moeda")*(Inputs!$G$5:$G$140&lt;&gt;"acoes")))*INDEX(Inputs!$K$5:$AJ$140,0,MATCH(AJ$2,Inputs!$K$4:$AJ$4,0)))+SUMPRODUCT((Inputs!$C$5:$C$140=$B10)*Inputs!$D$5:$D$140*(((Inputs!$G$5:$G$140="moeda")+(Inputs!$G$5:$G$140="acoes"))*Inputs!$B$1+((Inputs!$G$5:$G$140&lt;&gt;"moeda")*(Inputs!$G$5:$G$140&lt;&gt;"acoes")))*INDEX(Inputs!$K$5:$AJ$140,0,MATCH(AJ$2,Inputs!$K$4:$AJ$4,0)))+SUMPRODUCT((Inputs!$E$5:$E$140=$B10)*Inputs!$F$5:$F$140*(((Inputs!$G$5:$G$140="moeda")+(Inputs!$G$5:$G$140="acoes"))*Inputs!$B$1+((Inputs!$G$5:$G$140&lt;&gt;"moeda")*(Inputs!$G$5:$G$140&lt;&gt;"acoes")))*INDEX(Inputs!$K$5:$AJ$140,0,MATCH(AJ$2,Inputs!$K$4:$AJ$4,0)))))</f>
        <v>-6.903</v>
      </c>
      <c r="AK10" s="6">
        <f>IF(ISNA(MATCH(AK$2,Inputs!$K$4:$AJ$4,0)),NA(),IF(SUMPRODUCT((Inputs!$A$5:$A$140=$B10)*ISNUMBER(INDEX(Inputs!$K$5:$AJ$140,0,MATCH(AK$2,Inputs!$K$4:$AJ$4,0))))+SUMPRODUCT((Inputs!$C$5:$C$140=$B10)*ISNUMBER(INDEX(Inputs!$K$5:$AJ$140,0,MATCH(AK$2,Inputs!$K$4:$AJ$4,0))))+SUMPRODUCT((Inputs!$E$5:$E$140=$B10)*ISNUMBER(INDEX(Inputs!$K$5:$AJ$140,0,MATCH(AK$2,Inputs!$K$4:$AJ$4,0))))=0,NA(),SUMPRODUCT((Inputs!$A$5:$A$140=$B10)*Inputs!$B$5:$B$140*(((Inputs!$G$5:$G$140="moeda")+(Inputs!$G$5:$G$140="acoes"))*Inputs!$B$1+((Inputs!$G$5:$G$140&lt;&gt;"moeda")*(Inputs!$G$5:$G$140&lt;&gt;"acoes")))*INDEX(Inputs!$K$5:$AJ$140,0,MATCH(AK$2,Inputs!$K$4:$AJ$4,0)))+SUMPRODUCT((Inputs!$C$5:$C$140=$B10)*Inputs!$D$5:$D$140*(((Inputs!$G$5:$G$140="moeda")+(Inputs!$G$5:$G$140="acoes"))*Inputs!$B$1+((Inputs!$G$5:$G$140&lt;&gt;"moeda")*(Inputs!$G$5:$G$140&lt;&gt;"acoes")))*INDEX(Inputs!$K$5:$AJ$140,0,MATCH(AK$2,Inputs!$K$4:$AJ$4,0)))+SUMPRODUCT((Inputs!$E$5:$E$140=$B10)*Inputs!$F$5:$F$140*(((Inputs!$G$5:$G$140="moeda")+(Inputs!$G$5:$G$140="acoes"))*Inputs!$B$1+((Inputs!$G$5:$G$140&lt;&gt;"moeda")*(Inputs!$G$5:$G$140&lt;&gt;"acoes")))*INDEX(Inputs!$K$5:$AJ$140,0,MATCH(AK$2,Inputs!$K$4:$AJ$4,0)))))</f>
        <v>-6.702</v>
      </c>
      <c r="AL10" s="3">
        <f>SUM(AH10:AK10)</f>
        <v>-26.214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$140=$B11)*ISNUMBER(INDEX(Inputs!$K$5:$AJ$140,0,MATCH(D$2,Inputs!$K$4:$AJ$4,0))))+SUMPRODUCT((Inputs!$C$5:$C$140=$B11)*ISNUMBER(INDEX(Inputs!$K$5:$AJ$140,0,MATCH(D$2,Inputs!$K$4:$AJ$4,0))))+SUMPRODUCT((Inputs!$E$5:$E$140=$B11)*ISNUMBER(INDEX(Inputs!$K$5:$AJ$140,0,MATCH(D$2,Inputs!$K$4:$AJ$4,0))))=0,NA(),SUMPRODUCT((Inputs!$A$5:$A$140=$B11)*Inputs!$B$5:$B$140*(((Inputs!$G$5:$G$140="moeda")+(Inputs!$G$5:$G$140="acoes"))*Inputs!$B$1+((Inputs!$G$5:$G$140&lt;&gt;"moeda")*(Inputs!$G$5:$G$140&lt;&gt;"acoes")))*INDEX(Inputs!$K$5:$AJ$140,0,MATCH(D$2,Inputs!$K$4:$AJ$4,0)))+SUMPRODUCT((Inputs!$C$5:$C$140=$B11)*Inputs!$D$5:$D$140*(((Inputs!$G$5:$G$140="moeda")+(Inputs!$G$5:$G$140="acoes"))*Inputs!$B$1+((Inputs!$G$5:$G$140&lt;&gt;"moeda")*(Inputs!$G$5:$G$140&lt;&gt;"acoes")))*INDEX(Inputs!$K$5:$AJ$140,0,MATCH(D$2,Inputs!$K$4:$AJ$4,0)))+SUMPRODUCT((Inputs!$E$5:$E$140=$B11)*Inputs!$F$5:$F$140*(((Inputs!$G$5:$G$140="moeda")+(Inputs!$G$5:$G$140="acoes"))*Inputs!$B$1+((Inputs!$G$5:$G$140&lt;&gt;"moeda")*(Inputs!$G$5:$G$140&lt;&gt;"acoes")))*INDEX(Inputs!$K$5:$AJ$140,0,MATCH(D$2,Inputs!$K$4:$AJ$4,0)))))</f>
        <v>1.138</v>
      </c>
      <c r="E11" s="6">
        <f>IF(ISNA(MATCH(E$2,Inputs!$K$4:$AJ$4,0)),NA(),IF(SUMPRODUCT((Inputs!$A$5:$A$140=$B11)*ISNUMBER(INDEX(Inputs!$K$5:$AJ$140,0,MATCH(E$2,Inputs!$K$4:$AJ$4,0))))+SUMPRODUCT((Inputs!$C$5:$C$140=$B11)*ISNUMBER(INDEX(Inputs!$K$5:$AJ$140,0,MATCH(E$2,Inputs!$K$4:$AJ$4,0))))+SUMPRODUCT((Inputs!$E$5:$E$140=$B11)*ISNUMBER(INDEX(Inputs!$K$5:$AJ$140,0,MATCH(E$2,Inputs!$K$4:$AJ$4,0))))=0,NA(),SUMPRODUCT((Inputs!$A$5:$A$140=$B11)*Inputs!$B$5:$B$140*(((Inputs!$G$5:$G$140="moeda")+(Inputs!$G$5:$G$140="acoes"))*Inputs!$B$1+((Inputs!$G$5:$G$140&lt;&gt;"moeda")*(Inputs!$G$5:$G$140&lt;&gt;"acoes")))*INDEX(Inputs!$K$5:$AJ$140,0,MATCH(E$2,Inputs!$K$4:$AJ$4,0)))+SUMPRODUCT((Inputs!$C$5:$C$140=$B11)*Inputs!$D$5:$D$140*(((Inputs!$G$5:$G$140="moeda")+(Inputs!$G$5:$G$140="acoes"))*Inputs!$B$1+((Inputs!$G$5:$G$140&lt;&gt;"moeda")*(Inputs!$G$5:$G$140&lt;&gt;"acoes")))*INDEX(Inputs!$K$5:$AJ$140,0,MATCH(E$2,Inputs!$K$4:$AJ$4,0)))+SUMPRODUCT((Inputs!$E$5:$E$140=$B11)*Inputs!$F$5:$F$140*(((Inputs!$G$5:$G$140="moeda")+(Inputs!$G$5:$G$140="acoes"))*Inputs!$B$1+((Inputs!$G$5:$G$140&lt;&gt;"moeda")*(Inputs!$G$5:$G$140&lt;&gt;"acoes")))*INDEX(Inputs!$K$5:$AJ$140,0,MATCH(E$2,Inputs!$K$4:$AJ$4,0)))))</f>
        <v>1.726</v>
      </c>
      <c r="F11" s="6">
        <f>IF(ISNA(MATCH(F$2,Inputs!$K$4:$AJ$4,0)),NA(),IF(SUMPRODUCT((Inputs!$A$5:$A$140=$B11)*ISNUMBER(INDEX(Inputs!$K$5:$AJ$140,0,MATCH(F$2,Inputs!$K$4:$AJ$4,0))))+SUMPRODUCT((Inputs!$C$5:$C$140=$B11)*ISNUMBER(INDEX(Inputs!$K$5:$AJ$140,0,MATCH(F$2,Inputs!$K$4:$AJ$4,0))))+SUMPRODUCT((Inputs!$E$5:$E$140=$B11)*ISNUMBER(INDEX(Inputs!$K$5:$AJ$140,0,MATCH(F$2,Inputs!$K$4:$AJ$4,0))))=0,NA(),SUMPRODUCT((Inputs!$A$5:$A$140=$B11)*Inputs!$B$5:$B$140*(((Inputs!$G$5:$G$140="moeda")+(Inputs!$G$5:$G$140="acoes"))*Inputs!$B$1+((Inputs!$G$5:$G$140&lt;&gt;"moeda")*(Inputs!$G$5:$G$140&lt;&gt;"acoes")))*INDEX(Inputs!$K$5:$AJ$140,0,MATCH(F$2,Inputs!$K$4:$AJ$4,0)))+SUMPRODUCT((Inputs!$C$5:$C$140=$B11)*Inputs!$D$5:$D$140*(((Inputs!$G$5:$G$140="moeda")+(Inputs!$G$5:$G$140="acoes"))*Inputs!$B$1+((Inputs!$G$5:$G$140&lt;&gt;"moeda")*(Inputs!$G$5:$G$140&lt;&gt;"acoes")))*INDEX(Inputs!$K$5:$AJ$140,0,MATCH(F$2,Inputs!$K$4:$AJ$4,0)))+SUMPRODUCT((Inputs!$E$5:$E$140=$B11)*Inputs!$F$5:$F$140*(((Inputs!$G$5:$G$140="moeda")+(Inputs!$G$5:$G$140="acoes"))*Inputs!$B$1+((Inputs!$G$5:$G$140&lt;&gt;"moeda")*(Inputs!$G$5:$G$140&lt;&gt;"acoes")))*INDEX(Inputs!$K$5:$AJ$140,0,MATCH(F$2,Inputs!$K$4:$AJ$4,0)))))</f>
        <v>-0.95</v>
      </c>
      <c r="G11" s="6">
        <f>IF(ISNA(MATCH(G$2,Inputs!$K$4:$AJ$4,0)),NA(),IF(SUMPRODUCT((Inputs!$A$5:$A$140=$B11)*ISNUMBER(INDEX(Inputs!$K$5:$AJ$140,0,MATCH(G$2,Inputs!$K$4:$AJ$4,0))))+SUMPRODUCT((Inputs!$C$5:$C$140=$B11)*ISNUMBER(INDEX(Inputs!$K$5:$AJ$140,0,MATCH(G$2,Inputs!$K$4:$AJ$4,0))))+SUMPRODUCT((Inputs!$E$5:$E$140=$B11)*ISNUMBER(INDEX(Inputs!$K$5:$AJ$140,0,MATCH(G$2,Inputs!$K$4:$AJ$4,0))))=0,NA(),SUMPRODUCT((Inputs!$A$5:$A$140=$B11)*Inputs!$B$5:$B$140*(((Inputs!$G$5:$G$140="moeda")+(Inputs!$G$5:$G$140="acoes"))*Inputs!$B$1+((Inputs!$G$5:$G$140&lt;&gt;"moeda")*(Inputs!$G$5:$G$140&lt;&gt;"acoes")))*INDEX(Inputs!$K$5:$AJ$140,0,MATCH(G$2,Inputs!$K$4:$AJ$4,0)))+SUMPRODUCT((Inputs!$C$5:$C$140=$B11)*Inputs!$D$5:$D$140*(((Inputs!$G$5:$G$140="moeda")+(Inputs!$G$5:$G$140="acoes"))*Inputs!$B$1+((Inputs!$G$5:$G$140&lt;&gt;"moeda")*(Inputs!$G$5:$G$140&lt;&gt;"acoes")))*INDEX(Inputs!$K$5:$AJ$140,0,MATCH(G$2,Inputs!$K$4:$AJ$4,0)))+SUMPRODUCT((Inputs!$E$5:$E$140=$B11)*Inputs!$F$5:$F$140*(((Inputs!$G$5:$G$140="moeda")+(Inputs!$G$5:$G$140="acoes"))*Inputs!$B$1+((Inputs!$G$5:$G$140&lt;&gt;"moeda")*(Inputs!$G$5:$G$140&lt;&gt;"acoes")))*INDEX(Inputs!$K$5:$AJ$140,0,MATCH(G$2,Inputs!$K$4:$AJ$4,0)))))</f>
        <v>-0.991</v>
      </c>
      <c r="H11" s="3">
        <f>SUM(D11:G11)</f>
        <v>0.923</v>
      </c>
      <c r="I11" s="6">
        <f>IF(ISNA(MATCH(I$2,Inputs!$K$4:$AJ$4,0)),NA(),IF(SUMPRODUCT((Inputs!$A$5:$A$140=$B11)*ISNUMBER(INDEX(Inputs!$K$5:$AJ$140,0,MATCH(I$2,Inputs!$K$4:$AJ$4,0))))+SUMPRODUCT((Inputs!$C$5:$C$140=$B11)*ISNUMBER(INDEX(Inputs!$K$5:$AJ$140,0,MATCH(I$2,Inputs!$K$4:$AJ$4,0))))+SUMPRODUCT((Inputs!$E$5:$E$140=$B11)*ISNUMBER(INDEX(Inputs!$K$5:$AJ$140,0,MATCH(I$2,Inputs!$K$4:$AJ$4,0))))=0,NA(),SUMPRODUCT((Inputs!$A$5:$A$140=$B11)*Inputs!$B$5:$B$140*(((Inputs!$G$5:$G$140="moeda")+(Inputs!$G$5:$G$140="acoes"))*Inputs!$B$1+((Inputs!$G$5:$G$140&lt;&gt;"moeda")*(Inputs!$G$5:$G$140&lt;&gt;"acoes")))*INDEX(Inputs!$K$5:$AJ$140,0,MATCH(I$2,Inputs!$K$4:$AJ$4,0)))+SUMPRODUCT((Inputs!$C$5:$C$140=$B11)*Inputs!$D$5:$D$140*(((Inputs!$G$5:$G$140="moeda")+(Inputs!$G$5:$G$140="acoes"))*Inputs!$B$1+((Inputs!$G$5:$G$140&lt;&gt;"moeda")*(Inputs!$G$5:$G$140&lt;&gt;"acoes")))*INDEX(Inputs!$K$5:$AJ$140,0,MATCH(I$2,Inputs!$K$4:$AJ$4,0)))+SUMPRODUCT((Inputs!$E$5:$E$140=$B11)*Inputs!$F$5:$F$140*(((Inputs!$G$5:$G$140="moeda")+(Inputs!$G$5:$G$140="acoes"))*Inputs!$B$1+((Inputs!$G$5:$G$140&lt;&gt;"moeda")*(Inputs!$G$5:$G$140&lt;&gt;"acoes")))*INDEX(Inputs!$K$5:$AJ$140,0,MATCH(I$2,Inputs!$K$4:$AJ$4,0)))))</f>
        <v>-0.311</v>
      </c>
      <c r="J11" s="6">
        <f>IF(ISNA(MATCH(J$2,Inputs!$K$4:$AJ$4,0)),NA(),IF(SUMPRODUCT((Inputs!$A$5:$A$140=$B11)*ISNUMBER(INDEX(Inputs!$K$5:$AJ$140,0,MATCH(J$2,Inputs!$K$4:$AJ$4,0))))+SUMPRODUCT((Inputs!$C$5:$C$140=$B11)*ISNUMBER(INDEX(Inputs!$K$5:$AJ$140,0,MATCH(J$2,Inputs!$K$4:$AJ$4,0))))+SUMPRODUCT((Inputs!$E$5:$E$140=$B11)*ISNUMBER(INDEX(Inputs!$K$5:$AJ$140,0,MATCH(J$2,Inputs!$K$4:$AJ$4,0))))=0,NA(),SUMPRODUCT((Inputs!$A$5:$A$140=$B11)*Inputs!$B$5:$B$140*(((Inputs!$G$5:$G$140="moeda")+(Inputs!$G$5:$G$140="acoes"))*Inputs!$B$1+((Inputs!$G$5:$G$140&lt;&gt;"moeda")*(Inputs!$G$5:$G$140&lt;&gt;"acoes")))*INDEX(Inputs!$K$5:$AJ$140,0,MATCH(J$2,Inputs!$K$4:$AJ$4,0)))+SUMPRODUCT((Inputs!$C$5:$C$140=$B11)*Inputs!$D$5:$D$140*(((Inputs!$G$5:$G$140="moeda")+(Inputs!$G$5:$G$140="acoes"))*Inputs!$B$1+((Inputs!$G$5:$G$140&lt;&gt;"moeda")*(Inputs!$G$5:$G$140&lt;&gt;"acoes")))*INDEX(Inputs!$K$5:$AJ$140,0,MATCH(J$2,Inputs!$K$4:$AJ$4,0)))+SUMPRODUCT((Inputs!$E$5:$E$140=$B11)*Inputs!$F$5:$F$140*(((Inputs!$G$5:$G$140="moeda")+(Inputs!$G$5:$G$140="acoes"))*Inputs!$B$1+((Inputs!$G$5:$G$140&lt;&gt;"moeda")*(Inputs!$G$5:$G$140&lt;&gt;"acoes")))*INDEX(Inputs!$K$5:$AJ$140,0,MATCH(J$2,Inputs!$K$4:$AJ$4,0)))))</f>
        <v>-0.141</v>
      </c>
      <c r="K11" s="6">
        <f>IF(ISNA(MATCH(K$2,Inputs!$K$4:$AJ$4,0)),NA(),IF(SUMPRODUCT((Inputs!$A$5:$A$140=$B11)*ISNUMBER(INDEX(Inputs!$K$5:$AJ$140,0,MATCH(K$2,Inputs!$K$4:$AJ$4,0))))+SUMPRODUCT((Inputs!$C$5:$C$140=$B11)*ISNUMBER(INDEX(Inputs!$K$5:$AJ$140,0,MATCH(K$2,Inputs!$K$4:$AJ$4,0))))+SUMPRODUCT((Inputs!$E$5:$E$140=$B11)*ISNUMBER(INDEX(Inputs!$K$5:$AJ$140,0,MATCH(K$2,Inputs!$K$4:$AJ$4,0))))=0,NA(),SUMPRODUCT((Inputs!$A$5:$A$140=$B11)*Inputs!$B$5:$B$140*(((Inputs!$G$5:$G$140="moeda")+(Inputs!$G$5:$G$140="acoes"))*Inputs!$B$1+((Inputs!$G$5:$G$140&lt;&gt;"moeda")*(Inputs!$G$5:$G$140&lt;&gt;"acoes")))*INDEX(Inputs!$K$5:$AJ$140,0,MATCH(K$2,Inputs!$K$4:$AJ$4,0)))+SUMPRODUCT((Inputs!$C$5:$C$140=$B11)*Inputs!$D$5:$D$140*(((Inputs!$G$5:$G$140="moeda")+(Inputs!$G$5:$G$140="acoes"))*Inputs!$B$1+((Inputs!$G$5:$G$140&lt;&gt;"moeda")*(Inputs!$G$5:$G$140&lt;&gt;"acoes")))*INDEX(Inputs!$K$5:$AJ$140,0,MATCH(K$2,Inputs!$K$4:$AJ$4,0)))+SUMPRODUCT((Inputs!$E$5:$E$140=$B11)*Inputs!$F$5:$F$140*(((Inputs!$G$5:$G$140="moeda")+(Inputs!$G$5:$G$140="acoes"))*Inputs!$B$1+((Inputs!$G$5:$G$140&lt;&gt;"moeda")*(Inputs!$G$5:$G$140&lt;&gt;"acoes")))*INDEX(Inputs!$K$5:$AJ$140,0,MATCH(K$2,Inputs!$K$4:$AJ$4,0)))))</f>
        <v>0.976</v>
      </c>
      <c r="L11" s="6">
        <f>IF(ISNA(MATCH(L$2,Inputs!$K$4:$AJ$4,0)),NA(),IF(SUMPRODUCT((Inputs!$A$5:$A$140=$B11)*ISNUMBER(INDEX(Inputs!$K$5:$AJ$140,0,MATCH(L$2,Inputs!$K$4:$AJ$4,0))))+SUMPRODUCT((Inputs!$C$5:$C$140=$B11)*ISNUMBER(INDEX(Inputs!$K$5:$AJ$140,0,MATCH(L$2,Inputs!$K$4:$AJ$4,0))))+SUMPRODUCT((Inputs!$E$5:$E$140=$B11)*ISNUMBER(INDEX(Inputs!$K$5:$AJ$140,0,MATCH(L$2,Inputs!$K$4:$AJ$4,0))))=0,NA(),SUMPRODUCT((Inputs!$A$5:$A$140=$B11)*Inputs!$B$5:$B$140*(((Inputs!$G$5:$G$140="moeda")+(Inputs!$G$5:$G$140="acoes"))*Inputs!$B$1+((Inputs!$G$5:$G$140&lt;&gt;"moeda")*(Inputs!$G$5:$G$140&lt;&gt;"acoes")))*INDEX(Inputs!$K$5:$AJ$140,0,MATCH(L$2,Inputs!$K$4:$AJ$4,0)))+SUMPRODUCT((Inputs!$C$5:$C$140=$B11)*Inputs!$D$5:$D$140*(((Inputs!$G$5:$G$140="moeda")+(Inputs!$G$5:$G$140="acoes"))*Inputs!$B$1+((Inputs!$G$5:$G$140&lt;&gt;"moeda")*(Inputs!$G$5:$G$140&lt;&gt;"acoes")))*INDEX(Inputs!$K$5:$AJ$140,0,MATCH(L$2,Inputs!$K$4:$AJ$4,0)))+SUMPRODUCT((Inputs!$E$5:$E$140=$B11)*Inputs!$F$5:$F$140*(((Inputs!$G$5:$G$140="moeda")+(Inputs!$G$5:$G$140="acoes"))*Inputs!$B$1+((Inputs!$G$5:$G$140&lt;&gt;"moeda")*(Inputs!$G$5:$G$140&lt;&gt;"acoes")))*INDEX(Inputs!$K$5:$AJ$140,0,MATCH(L$2,Inputs!$K$4:$AJ$4,0)))))</f>
        <v>-0.145</v>
      </c>
      <c r="M11" s="3">
        <f>SUM(I11:L11)</f>
        <v>0.379</v>
      </c>
      <c r="N11" s="6">
        <f>IF(ISNA(MATCH(N$2,Inputs!$K$4:$AJ$4,0)),NA(),IF(SUMPRODUCT((Inputs!$A$5:$A$140=$B11)*ISNUMBER(INDEX(Inputs!$K$5:$AJ$140,0,MATCH(N$2,Inputs!$K$4:$AJ$4,0))))+SUMPRODUCT((Inputs!$C$5:$C$140=$B11)*ISNUMBER(INDEX(Inputs!$K$5:$AJ$140,0,MATCH(N$2,Inputs!$K$4:$AJ$4,0))))+SUMPRODUCT((Inputs!$E$5:$E$140=$B11)*ISNUMBER(INDEX(Inputs!$K$5:$AJ$140,0,MATCH(N$2,Inputs!$K$4:$AJ$4,0))))=0,NA(),SUMPRODUCT((Inputs!$A$5:$A$140=$B11)*Inputs!$B$5:$B$140*(((Inputs!$G$5:$G$140="moeda")+(Inputs!$G$5:$G$140="acoes"))*Inputs!$B$1+((Inputs!$G$5:$G$140&lt;&gt;"moeda")*(Inputs!$G$5:$G$140&lt;&gt;"acoes")))*INDEX(Inputs!$K$5:$AJ$140,0,MATCH(N$2,Inputs!$K$4:$AJ$4,0)))+SUMPRODUCT((Inputs!$C$5:$C$140=$B11)*Inputs!$D$5:$D$140*(((Inputs!$G$5:$G$140="moeda")+(Inputs!$G$5:$G$140="acoes"))*Inputs!$B$1+((Inputs!$G$5:$G$140&lt;&gt;"moeda")*(Inputs!$G$5:$G$140&lt;&gt;"acoes")))*INDEX(Inputs!$K$5:$AJ$140,0,MATCH(N$2,Inputs!$K$4:$AJ$4,0)))+SUMPRODUCT((Inputs!$E$5:$E$140=$B11)*Inputs!$F$5:$F$140*(((Inputs!$G$5:$G$140="moeda")+(Inputs!$G$5:$G$140="acoes"))*Inputs!$B$1+((Inputs!$G$5:$G$140&lt;&gt;"moeda")*(Inputs!$G$5:$G$140&lt;&gt;"acoes")))*INDEX(Inputs!$K$5:$AJ$140,0,MATCH(N$2,Inputs!$K$4:$AJ$4,0)))))</f>
        <v>-0.11</v>
      </c>
      <c r="O11" s="6">
        <f>IF(ISNA(MATCH(O$2,Inputs!$K$4:$AJ$4,0)),NA(),IF(SUMPRODUCT((Inputs!$A$5:$A$140=$B11)*ISNUMBER(INDEX(Inputs!$K$5:$AJ$140,0,MATCH(O$2,Inputs!$K$4:$AJ$4,0))))+SUMPRODUCT((Inputs!$C$5:$C$140=$B11)*ISNUMBER(INDEX(Inputs!$K$5:$AJ$140,0,MATCH(O$2,Inputs!$K$4:$AJ$4,0))))+SUMPRODUCT((Inputs!$E$5:$E$140=$B11)*ISNUMBER(INDEX(Inputs!$K$5:$AJ$140,0,MATCH(O$2,Inputs!$K$4:$AJ$4,0))))=0,NA(),SUMPRODUCT((Inputs!$A$5:$A$140=$B11)*Inputs!$B$5:$B$140*(((Inputs!$G$5:$G$140="moeda")+(Inputs!$G$5:$G$140="acoes"))*Inputs!$B$1+((Inputs!$G$5:$G$140&lt;&gt;"moeda")*(Inputs!$G$5:$G$140&lt;&gt;"acoes")))*INDEX(Inputs!$K$5:$AJ$140,0,MATCH(O$2,Inputs!$K$4:$AJ$4,0)))+SUMPRODUCT((Inputs!$C$5:$C$140=$B11)*Inputs!$D$5:$D$140*(((Inputs!$G$5:$G$140="moeda")+(Inputs!$G$5:$G$140="acoes"))*Inputs!$B$1+((Inputs!$G$5:$G$140&lt;&gt;"moeda")*(Inputs!$G$5:$G$140&lt;&gt;"acoes")))*INDEX(Inputs!$K$5:$AJ$140,0,MATCH(O$2,Inputs!$K$4:$AJ$4,0)))+SUMPRODUCT((Inputs!$E$5:$E$140=$B11)*Inputs!$F$5:$F$140*(((Inputs!$G$5:$G$140="moeda")+(Inputs!$G$5:$G$140="acoes"))*Inputs!$B$1+((Inputs!$G$5:$G$140&lt;&gt;"moeda")*(Inputs!$G$5:$G$140&lt;&gt;"acoes")))*INDEX(Inputs!$K$5:$AJ$140,0,MATCH(O$2,Inputs!$K$4:$AJ$4,0)))))</f>
        <v>0.696</v>
      </c>
      <c r="P11" s="6">
        <f>IF(ISNA(MATCH(P$2,Inputs!$K$4:$AJ$4,0)),NA(),IF(SUMPRODUCT((Inputs!$A$5:$A$140=$B11)*ISNUMBER(INDEX(Inputs!$K$5:$AJ$140,0,MATCH(P$2,Inputs!$K$4:$AJ$4,0))))+SUMPRODUCT((Inputs!$C$5:$C$140=$B11)*ISNUMBER(INDEX(Inputs!$K$5:$AJ$140,0,MATCH(P$2,Inputs!$K$4:$AJ$4,0))))+SUMPRODUCT((Inputs!$E$5:$E$140=$B11)*ISNUMBER(INDEX(Inputs!$K$5:$AJ$140,0,MATCH(P$2,Inputs!$K$4:$AJ$4,0))))=0,NA(),SUMPRODUCT((Inputs!$A$5:$A$140=$B11)*Inputs!$B$5:$B$140*(((Inputs!$G$5:$G$140="moeda")+(Inputs!$G$5:$G$140="acoes"))*Inputs!$B$1+((Inputs!$G$5:$G$140&lt;&gt;"moeda")*(Inputs!$G$5:$G$140&lt;&gt;"acoes")))*INDEX(Inputs!$K$5:$AJ$140,0,MATCH(P$2,Inputs!$K$4:$AJ$4,0)))+SUMPRODUCT((Inputs!$C$5:$C$140=$B11)*Inputs!$D$5:$D$140*(((Inputs!$G$5:$G$140="moeda")+(Inputs!$G$5:$G$140="acoes"))*Inputs!$B$1+((Inputs!$G$5:$G$140&lt;&gt;"moeda")*(Inputs!$G$5:$G$140&lt;&gt;"acoes")))*INDEX(Inputs!$K$5:$AJ$140,0,MATCH(P$2,Inputs!$K$4:$AJ$4,0)))+SUMPRODUCT((Inputs!$E$5:$E$140=$B11)*Inputs!$F$5:$F$140*(((Inputs!$G$5:$G$140="moeda")+(Inputs!$G$5:$G$140="acoes"))*Inputs!$B$1+((Inputs!$G$5:$G$140&lt;&gt;"moeda")*(Inputs!$G$5:$G$140&lt;&gt;"acoes")))*INDEX(Inputs!$K$5:$AJ$140,0,MATCH(P$2,Inputs!$K$4:$AJ$4,0)))))</f>
        <v>-0.295</v>
      </c>
      <c r="Q11" s="6">
        <f>IF(ISNA(MATCH(Q$2,Inputs!$K$4:$AJ$4,0)),NA(),IF(SUMPRODUCT((Inputs!$A$5:$A$140=$B11)*ISNUMBER(INDEX(Inputs!$K$5:$AJ$140,0,MATCH(Q$2,Inputs!$K$4:$AJ$4,0))))+SUMPRODUCT((Inputs!$C$5:$C$140=$B11)*ISNUMBER(INDEX(Inputs!$K$5:$AJ$140,0,MATCH(Q$2,Inputs!$K$4:$AJ$4,0))))+SUMPRODUCT((Inputs!$E$5:$E$140=$B11)*ISNUMBER(INDEX(Inputs!$K$5:$AJ$140,0,MATCH(Q$2,Inputs!$K$4:$AJ$4,0))))=0,NA(),SUMPRODUCT((Inputs!$A$5:$A$140=$B11)*Inputs!$B$5:$B$140*(((Inputs!$G$5:$G$140="moeda")+(Inputs!$G$5:$G$140="acoes"))*Inputs!$B$1+((Inputs!$G$5:$G$140&lt;&gt;"moeda")*(Inputs!$G$5:$G$140&lt;&gt;"acoes")))*INDEX(Inputs!$K$5:$AJ$140,0,MATCH(Q$2,Inputs!$K$4:$AJ$4,0)))+SUMPRODUCT((Inputs!$C$5:$C$140=$B11)*Inputs!$D$5:$D$140*(((Inputs!$G$5:$G$140="moeda")+(Inputs!$G$5:$G$140="acoes"))*Inputs!$B$1+((Inputs!$G$5:$G$140&lt;&gt;"moeda")*(Inputs!$G$5:$G$140&lt;&gt;"acoes")))*INDEX(Inputs!$K$5:$AJ$140,0,MATCH(Q$2,Inputs!$K$4:$AJ$4,0)))+SUMPRODUCT((Inputs!$E$5:$E$140=$B11)*Inputs!$F$5:$F$140*(((Inputs!$G$5:$G$140="moeda")+(Inputs!$G$5:$G$140="acoes"))*Inputs!$B$1+((Inputs!$G$5:$G$140&lt;&gt;"moeda")*(Inputs!$G$5:$G$140&lt;&gt;"acoes")))*INDEX(Inputs!$K$5:$AJ$140,0,MATCH(Q$2,Inputs!$K$4:$AJ$4,0)))))</f>
        <v>1.356</v>
      </c>
      <c r="R11" s="3">
        <f>SUM(N11:Q11)</f>
        <v>1.647</v>
      </c>
      <c r="S11" s="6">
        <f>IF(ISNA(MATCH(S$2,Inputs!$K$4:$AJ$4,0)),NA(),IF(SUMPRODUCT((Inputs!$A$5:$A$140=$B11)*ISNUMBER(INDEX(Inputs!$K$5:$AJ$140,0,MATCH(S$2,Inputs!$K$4:$AJ$4,0))))+SUMPRODUCT((Inputs!$C$5:$C$140=$B11)*ISNUMBER(INDEX(Inputs!$K$5:$AJ$140,0,MATCH(S$2,Inputs!$K$4:$AJ$4,0))))+SUMPRODUCT((Inputs!$E$5:$E$140=$B11)*ISNUMBER(INDEX(Inputs!$K$5:$AJ$140,0,MATCH(S$2,Inputs!$K$4:$AJ$4,0))))=0,NA(),SUMPRODUCT((Inputs!$A$5:$A$140=$B11)*Inputs!$B$5:$B$140*(((Inputs!$G$5:$G$140="moeda")+(Inputs!$G$5:$G$140="acoes"))*Inputs!$B$1+((Inputs!$G$5:$G$140&lt;&gt;"moeda")*(Inputs!$G$5:$G$140&lt;&gt;"acoes")))*INDEX(Inputs!$K$5:$AJ$140,0,MATCH(S$2,Inputs!$K$4:$AJ$4,0)))+SUMPRODUCT((Inputs!$C$5:$C$140=$B11)*Inputs!$D$5:$D$140*(((Inputs!$G$5:$G$140="moeda")+(Inputs!$G$5:$G$140="acoes"))*Inputs!$B$1+((Inputs!$G$5:$G$140&lt;&gt;"moeda")*(Inputs!$G$5:$G$140&lt;&gt;"acoes")))*INDEX(Inputs!$K$5:$AJ$140,0,MATCH(S$2,Inputs!$K$4:$AJ$4,0)))+SUMPRODUCT((Inputs!$E$5:$E$140=$B11)*Inputs!$F$5:$F$140*(((Inputs!$G$5:$G$140="moeda")+(Inputs!$G$5:$G$140="acoes"))*Inputs!$B$1+((Inputs!$G$5:$G$140&lt;&gt;"moeda")*(Inputs!$G$5:$G$140&lt;&gt;"acoes")))*INDEX(Inputs!$K$5:$AJ$140,0,MATCH(S$2,Inputs!$K$4:$AJ$4,0)))))</f>
        <v>1.299</v>
      </c>
      <c r="T11" s="6">
        <f>IF(ISNA(MATCH(T$2,Inputs!$K$4:$AJ$4,0)),NA(),IF(SUMPRODUCT((Inputs!$A$5:$A$140=$B11)*ISNUMBER(INDEX(Inputs!$K$5:$AJ$140,0,MATCH(T$2,Inputs!$K$4:$AJ$4,0))))+SUMPRODUCT((Inputs!$C$5:$C$140=$B11)*ISNUMBER(INDEX(Inputs!$K$5:$AJ$140,0,MATCH(T$2,Inputs!$K$4:$AJ$4,0))))+SUMPRODUCT((Inputs!$E$5:$E$140=$B11)*ISNUMBER(INDEX(Inputs!$K$5:$AJ$140,0,MATCH(T$2,Inputs!$K$4:$AJ$4,0))))=0,NA(),SUMPRODUCT((Inputs!$A$5:$A$140=$B11)*Inputs!$B$5:$B$140*(((Inputs!$G$5:$G$140="moeda")+(Inputs!$G$5:$G$140="acoes"))*Inputs!$B$1+((Inputs!$G$5:$G$140&lt;&gt;"moeda")*(Inputs!$G$5:$G$140&lt;&gt;"acoes")))*INDEX(Inputs!$K$5:$AJ$140,0,MATCH(T$2,Inputs!$K$4:$AJ$4,0)))+SUMPRODUCT((Inputs!$C$5:$C$140=$B11)*Inputs!$D$5:$D$140*(((Inputs!$G$5:$G$140="moeda")+(Inputs!$G$5:$G$140="acoes"))*Inputs!$B$1+((Inputs!$G$5:$G$140&lt;&gt;"moeda")*(Inputs!$G$5:$G$140&lt;&gt;"acoes")))*INDEX(Inputs!$K$5:$AJ$140,0,MATCH(T$2,Inputs!$K$4:$AJ$4,0)))+SUMPRODUCT((Inputs!$E$5:$E$140=$B11)*Inputs!$F$5:$F$140*(((Inputs!$G$5:$G$140="moeda")+(Inputs!$G$5:$G$140="acoes"))*Inputs!$B$1+((Inputs!$G$5:$G$140&lt;&gt;"moeda")*(Inputs!$G$5:$G$140&lt;&gt;"acoes")))*INDEX(Inputs!$K$5:$AJ$140,0,MATCH(T$2,Inputs!$K$4:$AJ$4,0)))))</f>
        <v>2.807</v>
      </c>
      <c r="U11" s="6">
        <f>IF(ISNA(MATCH(U$2,Inputs!$K$4:$AJ$4,0)),NA(),IF(SUMPRODUCT((Inputs!$A$5:$A$140=$B11)*ISNUMBER(INDEX(Inputs!$K$5:$AJ$140,0,MATCH(U$2,Inputs!$K$4:$AJ$4,0))))+SUMPRODUCT((Inputs!$C$5:$C$140=$B11)*ISNUMBER(INDEX(Inputs!$K$5:$AJ$140,0,MATCH(U$2,Inputs!$K$4:$AJ$4,0))))+SUMPRODUCT((Inputs!$E$5:$E$140=$B11)*ISNUMBER(INDEX(Inputs!$K$5:$AJ$140,0,MATCH(U$2,Inputs!$K$4:$AJ$4,0))))=0,NA(),SUMPRODUCT((Inputs!$A$5:$A$140=$B11)*Inputs!$B$5:$B$140*(((Inputs!$G$5:$G$140="moeda")+(Inputs!$G$5:$G$140="acoes"))*Inputs!$B$1+((Inputs!$G$5:$G$140&lt;&gt;"moeda")*(Inputs!$G$5:$G$140&lt;&gt;"acoes")))*INDEX(Inputs!$K$5:$AJ$140,0,MATCH(U$2,Inputs!$K$4:$AJ$4,0)))+SUMPRODUCT((Inputs!$C$5:$C$140=$B11)*Inputs!$D$5:$D$140*(((Inputs!$G$5:$G$140="moeda")+(Inputs!$G$5:$G$140="acoes"))*Inputs!$B$1+((Inputs!$G$5:$G$140&lt;&gt;"moeda")*(Inputs!$G$5:$G$140&lt;&gt;"acoes")))*INDEX(Inputs!$K$5:$AJ$140,0,MATCH(U$2,Inputs!$K$4:$AJ$4,0)))+SUMPRODUCT((Inputs!$E$5:$E$140=$B11)*Inputs!$F$5:$F$140*(((Inputs!$G$5:$G$140="moeda")+(Inputs!$G$5:$G$140="acoes"))*Inputs!$B$1+((Inputs!$G$5:$G$140&lt;&gt;"moeda")*(Inputs!$G$5:$G$140&lt;&gt;"acoes")))*INDEX(Inputs!$K$5:$AJ$140,0,MATCH(U$2,Inputs!$K$4:$AJ$4,0)))))</f>
        <v>3.389</v>
      </c>
      <c r="V11" s="6">
        <f>IF(ISNA(MATCH(V$2,Inputs!$K$4:$AJ$4,0)),NA(),IF(SUMPRODUCT((Inputs!$A$5:$A$140=$B11)*ISNUMBER(INDEX(Inputs!$K$5:$AJ$140,0,MATCH(V$2,Inputs!$K$4:$AJ$4,0))))+SUMPRODUCT((Inputs!$C$5:$C$140=$B11)*ISNUMBER(INDEX(Inputs!$K$5:$AJ$140,0,MATCH(V$2,Inputs!$K$4:$AJ$4,0))))+SUMPRODUCT((Inputs!$E$5:$E$140=$B11)*ISNUMBER(INDEX(Inputs!$K$5:$AJ$140,0,MATCH(V$2,Inputs!$K$4:$AJ$4,0))))=0,NA(),SUMPRODUCT((Inputs!$A$5:$A$140=$B11)*Inputs!$B$5:$B$140*(((Inputs!$G$5:$G$140="moeda")+(Inputs!$G$5:$G$140="acoes"))*Inputs!$B$1+((Inputs!$G$5:$G$140&lt;&gt;"moeda")*(Inputs!$G$5:$G$140&lt;&gt;"acoes")))*INDEX(Inputs!$K$5:$AJ$140,0,MATCH(V$2,Inputs!$K$4:$AJ$4,0)))+SUMPRODUCT((Inputs!$C$5:$C$140=$B11)*Inputs!$D$5:$D$140*(((Inputs!$G$5:$G$140="moeda")+(Inputs!$G$5:$G$140="acoes"))*Inputs!$B$1+((Inputs!$G$5:$G$140&lt;&gt;"moeda")*(Inputs!$G$5:$G$140&lt;&gt;"acoes")))*INDEX(Inputs!$K$5:$AJ$140,0,MATCH(V$2,Inputs!$K$4:$AJ$4,0)))+SUMPRODUCT((Inputs!$E$5:$E$140=$B11)*Inputs!$F$5:$F$140*(((Inputs!$G$5:$G$140="moeda")+(Inputs!$G$5:$G$140="acoes"))*Inputs!$B$1+((Inputs!$G$5:$G$140&lt;&gt;"moeda")*(Inputs!$G$5:$G$140&lt;&gt;"acoes")))*INDEX(Inputs!$K$5:$AJ$140,0,MATCH(V$2,Inputs!$K$4:$AJ$4,0)))))</f>
        <v>1.044</v>
      </c>
      <c r="W11" s="3">
        <f>SUM(S11:V11)</f>
        <v>8.539</v>
      </c>
      <c r="X11" s="6">
        <f>IF(ISNA(MATCH(X$2,Inputs!$K$4:$AJ$4,0)),NA(),IF(SUMPRODUCT((Inputs!$A$5:$A$140=$B11)*ISNUMBER(INDEX(Inputs!$K$5:$AJ$140,0,MATCH(X$2,Inputs!$K$4:$AJ$4,0))))+SUMPRODUCT((Inputs!$C$5:$C$140=$B11)*ISNUMBER(INDEX(Inputs!$K$5:$AJ$140,0,MATCH(X$2,Inputs!$K$4:$AJ$4,0))))+SUMPRODUCT((Inputs!$E$5:$E$140=$B11)*ISNUMBER(INDEX(Inputs!$K$5:$AJ$140,0,MATCH(X$2,Inputs!$K$4:$AJ$4,0))))=0,NA(),SUMPRODUCT((Inputs!$A$5:$A$140=$B11)*Inputs!$B$5:$B$140*(((Inputs!$G$5:$G$140="moeda")+(Inputs!$G$5:$G$140="acoes"))*Inputs!$B$1+((Inputs!$G$5:$G$140&lt;&gt;"moeda")*(Inputs!$G$5:$G$140&lt;&gt;"acoes")))*INDEX(Inputs!$K$5:$AJ$140,0,MATCH(X$2,Inputs!$K$4:$AJ$4,0)))+SUMPRODUCT((Inputs!$C$5:$C$140=$B11)*Inputs!$D$5:$D$140*(((Inputs!$G$5:$G$140="moeda")+(Inputs!$G$5:$G$140="acoes"))*Inputs!$B$1+((Inputs!$G$5:$G$140&lt;&gt;"moeda")*(Inputs!$G$5:$G$140&lt;&gt;"acoes")))*INDEX(Inputs!$K$5:$AJ$140,0,MATCH(X$2,Inputs!$K$4:$AJ$4,0)))+SUMPRODUCT((Inputs!$E$5:$E$140=$B11)*Inputs!$F$5:$F$140*(((Inputs!$G$5:$G$140="moeda")+(Inputs!$G$5:$G$140="acoes"))*Inputs!$B$1+((Inputs!$G$5:$G$140&lt;&gt;"moeda")*(Inputs!$G$5:$G$140&lt;&gt;"acoes")))*INDEX(Inputs!$K$5:$AJ$140,0,MATCH(X$2,Inputs!$K$4:$AJ$4,0)))))</f>
        <v>0.688</v>
      </c>
      <c r="Y11" s="6">
        <f>IF(ISNA(MATCH(Y$2,Inputs!$K$4:$AJ$4,0)),NA(),IF(SUMPRODUCT((Inputs!$A$5:$A$140=$B11)*ISNUMBER(INDEX(Inputs!$K$5:$AJ$140,0,MATCH(Y$2,Inputs!$K$4:$AJ$4,0))))+SUMPRODUCT((Inputs!$C$5:$C$140=$B11)*ISNUMBER(INDEX(Inputs!$K$5:$AJ$140,0,MATCH(Y$2,Inputs!$K$4:$AJ$4,0))))+SUMPRODUCT((Inputs!$E$5:$E$140=$B11)*ISNUMBER(INDEX(Inputs!$K$5:$AJ$140,0,MATCH(Y$2,Inputs!$K$4:$AJ$4,0))))=0,NA(),SUMPRODUCT((Inputs!$A$5:$A$140=$B11)*Inputs!$B$5:$B$140*(((Inputs!$G$5:$G$140="moeda")+(Inputs!$G$5:$G$140="acoes"))*Inputs!$B$1+((Inputs!$G$5:$G$140&lt;&gt;"moeda")*(Inputs!$G$5:$G$140&lt;&gt;"acoes")))*INDEX(Inputs!$K$5:$AJ$140,0,MATCH(Y$2,Inputs!$K$4:$AJ$4,0)))+SUMPRODUCT((Inputs!$C$5:$C$140=$B11)*Inputs!$D$5:$D$140*(((Inputs!$G$5:$G$140="moeda")+(Inputs!$G$5:$G$140="acoes"))*Inputs!$B$1+((Inputs!$G$5:$G$140&lt;&gt;"moeda")*(Inputs!$G$5:$G$140&lt;&gt;"acoes")))*INDEX(Inputs!$K$5:$AJ$140,0,MATCH(Y$2,Inputs!$K$4:$AJ$4,0)))+SUMPRODUCT((Inputs!$E$5:$E$140=$B11)*Inputs!$F$5:$F$140*(((Inputs!$G$5:$G$140="moeda")+(Inputs!$G$5:$G$140="acoes"))*Inputs!$B$1+((Inputs!$G$5:$G$140&lt;&gt;"moeda")*(Inputs!$G$5:$G$140&lt;&gt;"acoes")))*INDEX(Inputs!$K$5:$AJ$140,0,MATCH(Y$2,Inputs!$K$4:$AJ$4,0)))))</f>
        <v>1.0910762</v>
      </c>
      <c r="Z11" s="6">
        <f>IF(ISNA(MATCH(Z$2,Inputs!$K$4:$AJ$4,0)),NA(),IF(SUMPRODUCT((Inputs!$A$5:$A$140=$B11)*ISNUMBER(INDEX(Inputs!$K$5:$AJ$140,0,MATCH(Z$2,Inputs!$K$4:$AJ$4,0))))+SUMPRODUCT((Inputs!$C$5:$C$140=$B11)*ISNUMBER(INDEX(Inputs!$K$5:$AJ$140,0,MATCH(Z$2,Inputs!$K$4:$AJ$4,0))))+SUMPRODUCT((Inputs!$E$5:$E$140=$B11)*ISNUMBER(INDEX(Inputs!$K$5:$AJ$140,0,MATCH(Z$2,Inputs!$K$4:$AJ$4,0))))=0,NA(),SUMPRODUCT((Inputs!$A$5:$A$140=$B11)*Inputs!$B$5:$B$140*(((Inputs!$G$5:$G$140="moeda")+(Inputs!$G$5:$G$140="acoes"))*Inputs!$B$1+((Inputs!$G$5:$G$140&lt;&gt;"moeda")*(Inputs!$G$5:$G$140&lt;&gt;"acoes")))*INDEX(Inputs!$K$5:$AJ$140,0,MATCH(Z$2,Inputs!$K$4:$AJ$4,0)))+SUMPRODUCT((Inputs!$C$5:$C$140=$B11)*Inputs!$D$5:$D$140*(((Inputs!$G$5:$G$140="moeda")+(Inputs!$G$5:$G$140="acoes"))*Inputs!$B$1+((Inputs!$G$5:$G$140&lt;&gt;"moeda")*(Inputs!$G$5:$G$140&lt;&gt;"acoes")))*INDEX(Inputs!$K$5:$AJ$140,0,MATCH(Z$2,Inputs!$K$4:$AJ$4,0)))+SUMPRODUCT((Inputs!$E$5:$E$140=$B11)*Inputs!$F$5:$F$140*(((Inputs!$G$5:$G$140="moeda")+(Inputs!$G$5:$G$140="acoes"))*Inputs!$B$1+((Inputs!$G$5:$G$140&lt;&gt;"moeda")*(Inputs!$G$5:$G$140&lt;&gt;"acoes")))*INDEX(Inputs!$K$5:$AJ$140,0,MATCH(Z$2,Inputs!$K$4:$AJ$4,0)))))</f>
        <v>2.474</v>
      </c>
      <c r="AA11" s="6">
        <f>IF(ISNA(MATCH(AA$2,Inputs!$K$4:$AJ$4,0)),NA(),IF(SUMPRODUCT((Inputs!$A$5:$A$140=$B11)*ISNUMBER(INDEX(Inputs!$K$5:$AJ$140,0,MATCH(AA$2,Inputs!$K$4:$AJ$4,0))))+SUMPRODUCT((Inputs!$C$5:$C$140=$B11)*ISNUMBER(INDEX(Inputs!$K$5:$AJ$140,0,MATCH(AA$2,Inputs!$K$4:$AJ$4,0))))+SUMPRODUCT((Inputs!$E$5:$E$140=$B11)*ISNUMBER(INDEX(Inputs!$K$5:$AJ$140,0,MATCH(AA$2,Inputs!$K$4:$AJ$4,0))))=0,NA(),SUMPRODUCT((Inputs!$A$5:$A$140=$B11)*Inputs!$B$5:$B$140*(((Inputs!$G$5:$G$140="moeda")+(Inputs!$G$5:$G$140="acoes"))*Inputs!$B$1+((Inputs!$G$5:$G$140&lt;&gt;"moeda")*(Inputs!$G$5:$G$140&lt;&gt;"acoes")))*INDEX(Inputs!$K$5:$AJ$140,0,MATCH(AA$2,Inputs!$K$4:$AJ$4,0)))+SUMPRODUCT((Inputs!$C$5:$C$140=$B11)*Inputs!$D$5:$D$140*(((Inputs!$G$5:$G$140="moeda")+(Inputs!$G$5:$G$140="acoes"))*Inputs!$B$1+((Inputs!$G$5:$G$140&lt;&gt;"moeda")*(Inputs!$G$5:$G$140&lt;&gt;"acoes")))*INDEX(Inputs!$K$5:$AJ$140,0,MATCH(AA$2,Inputs!$K$4:$AJ$4,0)))+SUMPRODUCT((Inputs!$E$5:$E$140=$B11)*Inputs!$F$5:$F$140*(((Inputs!$G$5:$G$140="moeda")+(Inputs!$G$5:$G$140="acoes"))*Inputs!$B$1+((Inputs!$G$5:$G$140&lt;&gt;"moeda")*(Inputs!$G$5:$G$140&lt;&gt;"acoes")))*INDEX(Inputs!$K$5:$AJ$140,0,MATCH(AA$2,Inputs!$K$4:$AJ$4,0)))))</f>
        <v>3.137</v>
      </c>
      <c r="AB11" s="3">
        <f>SUM(X11:AA11)</f>
        <v>7.3900762</v>
      </c>
      <c r="AC11" s="6">
        <f>IF(ISNA(MATCH(AC$2,Inputs!$K$4:$AJ$4,0)),NA(),IF(SUMPRODUCT((Inputs!$A$5:$A$140=$B11)*ISNUMBER(INDEX(Inputs!$K$5:$AJ$140,0,MATCH(AC$2,Inputs!$K$4:$AJ$4,0))))+SUMPRODUCT((Inputs!$C$5:$C$140=$B11)*ISNUMBER(INDEX(Inputs!$K$5:$AJ$140,0,MATCH(AC$2,Inputs!$K$4:$AJ$4,0))))+SUMPRODUCT((Inputs!$E$5:$E$140=$B11)*ISNUMBER(INDEX(Inputs!$K$5:$AJ$140,0,MATCH(AC$2,Inputs!$K$4:$AJ$4,0))))=0,NA(),SUMPRODUCT((Inputs!$A$5:$A$140=$B11)*Inputs!$B$5:$B$140*(((Inputs!$G$5:$G$140="moeda")+(Inputs!$G$5:$G$140="acoes"))*Inputs!$B$1+((Inputs!$G$5:$G$140&lt;&gt;"moeda")*(Inputs!$G$5:$G$140&lt;&gt;"acoes")))*INDEX(Inputs!$K$5:$AJ$140,0,MATCH(AC$2,Inputs!$K$4:$AJ$4,0)))+SUMPRODUCT((Inputs!$C$5:$C$140=$B11)*Inputs!$D$5:$D$140*(((Inputs!$G$5:$G$140="moeda")+(Inputs!$G$5:$G$140="acoes"))*Inputs!$B$1+((Inputs!$G$5:$G$140&lt;&gt;"moeda")*(Inputs!$G$5:$G$140&lt;&gt;"acoes")))*INDEX(Inputs!$K$5:$AJ$140,0,MATCH(AC$2,Inputs!$K$4:$AJ$4,0)))+SUMPRODUCT((Inputs!$E$5:$E$140=$B11)*Inputs!$F$5:$F$140*(((Inputs!$G$5:$G$140="moeda")+(Inputs!$G$5:$G$140="acoes"))*Inputs!$B$1+((Inputs!$G$5:$G$140&lt;&gt;"moeda")*(Inputs!$G$5:$G$140&lt;&gt;"acoes")))*INDEX(Inputs!$K$5:$AJ$140,0,MATCH(AC$2,Inputs!$K$4:$AJ$4,0)))))</f>
        <v>2.282</v>
      </c>
      <c r="AD11" s="6">
        <f>IF(ISNA(MATCH(AD$2,Inputs!$K$4:$AJ$4,0)),NA(),IF(SUMPRODUCT((Inputs!$A$5:$A$140=$B11)*ISNUMBER(INDEX(Inputs!$K$5:$AJ$140,0,MATCH(AD$2,Inputs!$K$4:$AJ$4,0))))+SUMPRODUCT((Inputs!$C$5:$C$140=$B11)*ISNUMBER(INDEX(Inputs!$K$5:$AJ$140,0,MATCH(AD$2,Inputs!$K$4:$AJ$4,0))))+SUMPRODUCT((Inputs!$E$5:$E$140=$B11)*ISNUMBER(INDEX(Inputs!$K$5:$AJ$140,0,MATCH(AD$2,Inputs!$K$4:$AJ$4,0))))=0,NA(),SUMPRODUCT((Inputs!$A$5:$A$140=$B11)*Inputs!$B$5:$B$140*(((Inputs!$G$5:$G$140="moeda")+(Inputs!$G$5:$G$140="acoes"))*Inputs!$B$1+((Inputs!$G$5:$G$140&lt;&gt;"moeda")*(Inputs!$G$5:$G$140&lt;&gt;"acoes")))*INDEX(Inputs!$K$5:$AJ$140,0,MATCH(AD$2,Inputs!$K$4:$AJ$4,0)))+SUMPRODUCT((Inputs!$C$5:$C$140=$B11)*Inputs!$D$5:$D$140*(((Inputs!$G$5:$G$140="moeda")+(Inputs!$G$5:$G$140="acoes"))*Inputs!$B$1+((Inputs!$G$5:$G$140&lt;&gt;"moeda")*(Inputs!$G$5:$G$140&lt;&gt;"acoes")))*INDEX(Inputs!$K$5:$AJ$140,0,MATCH(AD$2,Inputs!$K$4:$AJ$4,0)))+SUMPRODUCT((Inputs!$E$5:$E$140=$B11)*Inputs!$F$5:$F$140*(((Inputs!$G$5:$G$140="moeda")+(Inputs!$G$5:$G$140="acoes"))*Inputs!$B$1+((Inputs!$G$5:$G$140&lt;&gt;"moeda")*(Inputs!$G$5:$G$140&lt;&gt;"acoes")))*INDEX(Inputs!$K$5:$AJ$140,0,MATCH(AD$2,Inputs!$K$4:$AJ$4,0)))))</f>
        <v>1.014</v>
      </c>
      <c r="AE11" s="6" t="e">
        <f>IF(ISNA(MATCH(AE$2,Inputs!$K$4:$AJ$4,0)),NA(),IF(SUMPRODUCT((Inputs!$A$5:$A$140=$B11)*ISNUMBER(INDEX(Inputs!$K$5:$AJ$140,0,MATCH(AE$2,Inputs!$K$4:$AJ$4,0))))+SUMPRODUCT((Inputs!$C$5:$C$140=$B11)*ISNUMBER(INDEX(Inputs!$K$5:$AJ$140,0,MATCH(AE$2,Inputs!$K$4:$AJ$4,0))))+SUMPRODUCT((Inputs!$E$5:$E$140=$B11)*ISNUMBER(INDEX(Inputs!$K$5:$AJ$140,0,MATCH(AE$2,Inputs!$K$4:$AJ$4,0))))=0,NA(),SUMPRODUCT((Inputs!$A$5:$A$140=$B11)*Inputs!$B$5:$B$140*(((Inputs!$G$5:$G$140="moeda")+(Inputs!$G$5:$G$140="acoes"))*Inputs!$B$1+((Inputs!$G$5:$G$140&lt;&gt;"moeda")*(Inputs!$G$5:$G$140&lt;&gt;"acoes")))*INDEX(Inputs!$K$5:$AJ$140,0,MATCH(AE$2,Inputs!$K$4:$AJ$4,0)))+SUMPRODUCT((Inputs!$C$5:$C$140=$B11)*Inputs!$D$5:$D$140*(((Inputs!$G$5:$G$140="moeda")+(Inputs!$G$5:$G$140="acoes"))*Inputs!$B$1+((Inputs!$G$5:$G$140&lt;&gt;"moeda")*(Inputs!$G$5:$G$140&lt;&gt;"acoes")))*INDEX(Inputs!$K$5:$AJ$140,0,MATCH(AE$2,Inputs!$K$4:$AJ$4,0)))+SUMPRODUCT((Inputs!$E$5:$E$140=$B11)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1" s="6" t="e">
        <f>IF(ISNA(MATCH(AF$2,Inputs!$K$4:$AJ$4,0)),NA(),IF(SUMPRODUCT((Inputs!$A$5:$A$140=$B11)*ISNUMBER(INDEX(Inputs!$K$5:$AJ$140,0,MATCH(AF$2,Inputs!$K$4:$AJ$4,0))))+SUMPRODUCT((Inputs!$C$5:$C$140=$B11)*ISNUMBER(INDEX(Inputs!$K$5:$AJ$140,0,MATCH(AF$2,Inputs!$K$4:$AJ$4,0))))+SUMPRODUCT((Inputs!$E$5:$E$140=$B11)*ISNUMBER(INDEX(Inputs!$K$5:$AJ$140,0,MATCH(AF$2,Inputs!$K$4:$AJ$4,0))))=0,NA(),SUMPRODUCT((Inputs!$A$5:$A$140=$B11)*Inputs!$B$5:$B$140*(((Inputs!$G$5:$G$140="moeda")+(Inputs!$G$5:$G$140="acoes"))*Inputs!$B$1+((Inputs!$G$5:$G$140&lt;&gt;"moeda")*(Inputs!$G$5:$G$140&lt;&gt;"acoes")))*INDEX(Inputs!$K$5:$AJ$140,0,MATCH(AF$2,Inputs!$K$4:$AJ$4,0)))+SUMPRODUCT((Inputs!$C$5:$C$140=$B11)*Inputs!$D$5:$D$140*(((Inputs!$G$5:$G$140="moeda")+(Inputs!$G$5:$G$140="acoes"))*Inputs!$B$1+((Inputs!$G$5:$G$140&lt;&gt;"moeda")*(Inputs!$G$5:$G$140&lt;&gt;"acoes")))*INDEX(Inputs!$K$5:$AJ$140,0,MATCH(AF$2,Inputs!$K$4:$AJ$4,0)))+SUMPRODUCT((Inputs!$E$5:$E$140=$B11)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$140=$B11)*ISNUMBER(INDEX(Inputs!$K$5:$AJ$140,0,MATCH(AH$2,Inputs!$K$4:$AJ$4,0))))+SUMPRODUCT((Inputs!$C$5:$C$140=$B11)*ISNUMBER(INDEX(Inputs!$K$5:$AJ$140,0,MATCH(AH$2,Inputs!$K$4:$AJ$4,0))))+SUMPRODUCT((Inputs!$E$5:$E$140=$B11)*ISNUMBER(INDEX(Inputs!$K$5:$AJ$140,0,MATCH(AH$2,Inputs!$K$4:$AJ$4,0))))=0,NA(),SUMPRODUCT((Inputs!$A$5:$A$140=$B11)*Inputs!$B$5:$B$140*(((Inputs!$G$5:$G$140="moeda")+(Inputs!$G$5:$G$140="acoes"))*Inputs!$B$1+((Inputs!$G$5:$G$140&lt;&gt;"moeda")*(Inputs!$G$5:$G$140&lt;&gt;"acoes")))*INDEX(Inputs!$K$5:$AJ$140,0,MATCH(AH$2,Inputs!$K$4:$AJ$4,0)))+SUMPRODUCT((Inputs!$C$5:$C$140=$B11)*Inputs!$D$5:$D$140*(((Inputs!$G$5:$G$140="moeda")+(Inputs!$G$5:$G$140="acoes"))*Inputs!$B$1+((Inputs!$G$5:$G$140&lt;&gt;"moeda")*(Inputs!$G$5:$G$140&lt;&gt;"acoes")))*INDEX(Inputs!$K$5:$AJ$140,0,MATCH(AH$2,Inputs!$K$4:$AJ$4,0)))+SUMPRODUCT((Inputs!$E$5:$E$140=$B11)*Inputs!$F$5:$F$140*(((Inputs!$G$5:$G$140="moeda")+(Inputs!$G$5:$G$140="acoes"))*Inputs!$B$1+((Inputs!$G$5:$G$140&lt;&gt;"moeda")*(Inputs!$G$5:$G$140&lt;&gt;"acoes")))*INDEX(Inputs!$K$5:$AJ$140,0,MATCH(AH$2,Inputs!$K$4:$AJ$4,0)))))</f>
        <v>0.791</v>
      </c>
      <c r="AI11" s="6">
        <f>IF(ISNA(MATCH(AI$2,Inputs!$K$4:$AJ$4,0)),NA(),IF(SUMPRODUCT((Inputs!$A$5:$A$140=$B11)*ISNUMBER(INDEX(Inputs!$K$5:$AJ$140,0,MATCH(AI$2,Inputs!$K$4:$AJ$4,0))))+SUMPRODUCT((Inputs!$C$5:$C$140=$B11)*ISNUMBER(INDEX(Inputs!$K$5:$AJ$140,0,MATCH(AI$2,Inputs!$K$4:$AJ$4,0))))+SUMPRODUCT((Inputs!$E$5:$E$140=$B11)*ISNUMBER(INDEX(Inputs!$K$5:$AJ$140,0,MATCH(AI$2,Inputs!$K$4:$AJ$4,0))))=0,NA(),SUMPRODUCT((Inputs!$A$5:$A$140=$B11)*Inputs!$B$5:$B$140*(((Inputs!$G$5:$G$140="moeda")+(Inputs!$G$5:$G$140="acoes"))*Inputs!$B$1+((Inputs!$G$5:$G$140&lt;&gt;"moeda")*(Inputs!$G$5:$G$140&lt;&gt;"acoes")))*INDEX(Inputs!$K$5:$AJ$140,0,MATCH(AI$2,Inputs!$K$4:$AJ$4,0)))+SUMPRODUCT((Inputs!$C$5:$C$140=$B11)*Inputs!$D$5:$D$140*(((Inputs!$G$5:$G$140="moeda")+(Inputs!$G$5:$G$140="acoes"))*Inputs!$B$1+((Inputs!$G$5:$G$140&lt;&gt;"moeda")*(Inputs!$G$5:$G$140&lt;&gt;"acoes")))*INDEX(Inputs!$K$5:$AJ$140,0,MATCH(AI$2,Inputs!$K$4:$AJ$4,0)))+SUMPRODUCT((Inputs!$E$5:$E$140=$B11)*Inputs!$F$5:$F$140*(((Inputs!$G$5:$G$140="moeda")+(Inputs!$G$5:$G$140="acoes"))*Inputs!$B$1+((Inputs!$G$5:$G$140&lt;&gt;"moeda")*(Inputs!$G$5:$G$140&lt;&gt;"acoes")))*INDEX(Inputs!$K$5:$AJ$140,0,MATCH(AI$2,Inputs!$K$4:$AJ$4,0)))))</f>
        <v>0.195</v>
      </c>
      <c r="AJ11" s="6">
        <f>IF(ISNA(MATCH(AJ$2,Inputs!$K$4:$AJ$4,0)),NA(),IF(SUMPRODUCT((Inputs!$A$5:$A$140=$B11)*ISNUMBER(INDEX(Inputs!$K$5:$AJ$140,0,MATCH(AJ$2,Inputs!$K$4:$AJ$4,0))))+SUMPRODUCT((Inputs!$C$5:$C$140=$B11)*ISNUMBER(INDEX(Inputs!$K$5:$AJ$140,0,MATCH(AJ$2,Inputs!$K$4:$AJ$4,0))))+SUMPRODUCT((Inputs!$E$5:$E$140=$B11)*ISNUMBER(INDEX(Inputs!$K$5:$AJ$140,0,MATCH(AJ$2,Inputs!$K$4:$AJ$4,0))))=0,NA(),SUMPRODUCT((Inputs!$A$5:$A$140=$B11)*Inputs!$B$5:$B$140*(((Inputs!$G$5:$G$140="moeda")+(Inputs!$G$5:$G$140="acoes"))*Inputs!$B$1+((Inputs!$G$5:$G$140&lt;&gt;"moeda")*(Inputs!$G$5:$G$140&lt;&gt;"acoes")))*INDEX(Inputs!$K$5:$AJ$140,0,MATCH(AJ$2,Inputs!$K$4:$AJ$4,0)))+SUMPRODUCT((Inputs!$C$5:$C$140=$B11)*Inputs!$D$5:$D$140*(((Inputs!$G$5:$G$140="moeda")+(Inputs!$G$5:$G$140="acoes"))*Inputs!$B$1+((Inputs!$G$5:$G$140&lt;&gt;"moeda")*(Inputs!$G$5:$G$140&lt;&gt;"acoes")))*INDEX(Inputs!$K$5:$AJ$140,0,MATCH(AJ$2,Inputs!$K$4:$AJ$4,0)))+SUMPRODUCT((Inputs!$E$5:$E$140=$B11)*Inputs!$F$5:$F$140*(((Inputs!$G$5:$G$140="moeda")+(Inputs!$G$5:$G$140="acoes"))*Inputs!$B$1+((Inputs!$G$5:$G$140&lt;&gt;"moeda")*(Inputs!$G$5:$G$140&lt;&gt;"acoes")))*INDEX(Inputs!$K$5:$AJ$140,0,MATCH(AJ$2,Inputs!$K$4:$AJ$4,0)))))</f>
        <v>0.336</v>
      </c>
      <c r="AK11" s="6">
        <f>IF(ISNA(MATCH(AK$2,Inputs!$K$4:$AJ$4,0)),NA(),IF(SUMPRODUCT((Inputs!$A$5:$A$140=$B11)*ISNUMBER(INDEX(Inputs!$K$5:$AJ$140,0,MATCH(AK$2,Inputs!$K$4:$AJ$4,0))))+SUMPRODUCT((Inputs!$C$5:$C$140=$B11)*ISNUMBER(INDEX(Inputs!$K$5:$AJ$140,0,MATCH(AK$2,Inputs!$K$4:$AJ$4,0))))+SUMPRODUCT((Inputs!$E$5:$E$140=$B11)*ISNUMBER(INDEX(Inputs!$K$5:$AJ$140,0,MATCH(AK$2,Inputs!$K$4:$AJ$4,0))))=0,NA(),SUMPRODUCT((Inputs!$A$5:$A$140=$B11)*Inputs!$B$5:$B$140*(((Inputs!$G$5:$G$140="moeda")+(Inputs!$G$5:$G$140="acoes"))*Inputs!$B$1+((Inputs!$G$5:$G$140&lt;&gt;"moeda")*(Inputs!$G$5:$G$140&lt;&gt;"acoes")))*INDEX(Inputs!$K$5:$AJ$140,0,MATCH(AK$2,Inputs!$K$4:$AJ$4,0)))+SUMPRODUCT((Inputs!$C$5:$C$140=$B11)*Inputs!$D$5:$D$140*(((Inputs!$G$5:$G$140="moeda")+(Inputs!$G$5:$G$140="acoes"))*Inputs!$B$1+((Inputs!$G$5:$G$140&lt;&gt;"moeda")*(Inputs!$G$5:$G$140&lt;&gt;"acoes")))*INDEX(Inputs!$K$5:$AJ$140,0,MATCH(AK$2,Inputs!$K$4:$AJ$4,0)))+SUMPRODUCT((Inputs!$E$5:$E$140=$B11)*Inputs!$F$5:$F$140*(((Inputs!$G$5:$G$140="moeda")+(Inputs!$G$5:$G$140="acoes"))*Inputs!$B$1+((Inputs!$G$5:$G$140&lt;&gt;"moeda")*(Inputs!$G$5:$G$140&lt;&gt;"acoes")))*INDEX(Inputs!$K$5:$AJ$140,0,MATCH(AK$2,Inputs!$K$4:$AJ$4,0)))))</f>
        <v>1.038</v>
      </c>
      <c r="AL11" s="3">
        <f>SUM(AH11:AK11)</f>
        <v>2.36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$140=$B12)*ISNUMBER(INDEX(Inputs!$K$5:$AJ$140,0,MATCH(D$2,Inputs!$K$4:$AJ$4,0))))+SUMPRODUCT((Inputs!$C$5:$C$140=$B12)*ISNUMBER(INDEX(Inputs!$K$5:$AJ$140,0,MATCH(D$2,Inputs!$K$4:$AJ$4,0))))+SUMPRODUCT((Inputs!$E$5:$E$140=$B12)*ISNUMBER(INDEX(Inputs!$K$5:$AJ$140,0,MATCH(D$2,Inputs!$K$4:$AJ$4,0))))=0,NA(),SUMPRODUCT((Inputs!$A$5:$A$140=$B12)*Inputs!$B$5:$B$140*(((Inputs!$G$5:$G$140="moeda")+(Inputs!$G$5:$G$140="acoes"))*Inputs!$B$1+((Inputs!$G$5:$G$140&lt;&gt;"moeda")*(Inputs!$G$5:$G$140&lt;&gt;"acoes")))*INDEX(Inputs!$K$5:$AJ$140,0,MATCH(D$2,Inputs!$K$4:$AJ$4,0)))+SUMPRODUCT((Inputs!$C$5:$C$140=$B12)*Inputs!$D$5:$D$140*(((Inputs!$G$5:$G$140="moeda")+(Inputs!$G$5:$G$140="acoes"))*Inputs!$B$1+((Inputs!$G$5:$G$140&lt;&gt;"moeda")*(Inputs!$G$5:$G$140&lt;&gt;"acoes")))*INDEX(Inputs!$K$5:$AJ$140,0,MATCH(D$2,Inputs!$K$4:$AJ$4,0)))+SUMPRODUCT((Inputs!$E$5:$E$140=$B12)*Inputs!$F$5:$F$140*(((Inputs!$G$5:$G$140="moeda")+(Inputs!$G$5:$G$140="acoes"))*Inputs!$B$1+((Inputs!$G$5:$G$140&lt;&gt;"moeda")*(Inputs!$G$5:$G$140&lt;&gt;"acoes")))*INDEX(Inputs!$K$5:$AJ$140,0,MATCH(D$2,Inputs!$K$4:$AJ$4,0)))))</f>
        <v>-2.075</v>
      </c>
      <c r="E12" s="6">
        <f>IF(ISNA(MATCH(E$2,Inputs!$K$4:$AJ$4,0)),NA(),IF(SUMPRODUCT((Inputs!$A$5:$A$140=$B12)*ISNUMBER(INDEX(Inputs!$K$5:$AJ$140,0,MATCH(E$2,Inputs!$K$4:$AJ$4,0))))+SUMPRODUCT((Inputs!$C$5:$C$140=$B12)*ISNUMBER(INDEX(Inputs!$K$5:$AJ$140,0,MATCH(E$2,Inputs!$K$4:$AJ$4,0))))+SUMPRODUCT((Inputs!$E$5:$E$140=$B12)*ISNUMBER(INDEX(Inputs!$K$5:$AJ$140,0,MATCH(E$2,Inputs!$K$4:$AJ$4,0))))=0,NA(),SUMPRODUCT((Inputs!$A$5:$A$140=$B12)*Inputs!$B$5:$B$140*(((Inputs!$G$5:$G$140="moeda")+(Inputs!$G$5:$G$140="acoes"))*Inputs!$B$1+((Inputs!$G$5:$G$140&lt;&gt;"moeda")*(Inputs!$G$5:$G$140&lt;&gt;"acoes")))*INDEX(Inputs!$K$5:$AJ$140,0,MATCH(E$2,Inputs!$K$4:$AJ$4,0)))+SUMPRODUCT((Inputs!$C$5:$C$140=$B12)*Inputs!$D$5:$D$140*(((Inputs!$G$5:$G$140="moeda")+(Inputs!$G$5:$G$140="acoes"))*Inputs!$B$1+((Inputs!$G$5:$G$140&lt;&gt;"moeda")*(Inputs!$G$5:$G$140&lt;&gt;"acoes")))*INDEX(Inputs!$K$5:$AJ$140,0,MATCH(E$2,Inputs!$K$4:$AJ$4,0)))+SUMPRODUCT((Inputs!$E$5:$E$140=$B12)*Inputs!$F$5:$F$140*(((Inputs!$G$5:$G$140="moeda")+(Inputs!$G$5:$G$140="acoes"))*Inputs!$B$1+((Inputs!$G$5:$G$140&lt;&gt;"moeda")*(Inputs!$G$5:$G$140&lt;&gt;"acoes")))*INDEX(Inputs!$K$5:$AJ$140,0,MATCH(E$2,Inputs!$K$4:$AJ$4,0)))))</f>
        <v>1.652</v>
      </c>
      <c r="F12" s="6">
        <f>IF(ISNA(MATCH(F$2,Inputs!$K$4:$AJ$4,0)),NA(),IF(SUMPRODUCT((Inputs!$A$5:$A$140=$B12)*ISNUMBER(INDEX(Inputs!$K$5:$AJ$140,0,MATCH(F$2,Inputs!$K$4:$AJ$4,0))))+SUMPRODUCT((Inputs!$C$5:$C$140=$B12)*ISNUMBER(INDEX(Inputs!$K$5:$AJ$140,0,MATCH(F$2,Inputs!$K$4:$AJ$4,0))))+SUMPRODUCT((Inputs!$E$5:$E$140=$B12)*ISNUMBER(INDEX(Inputs!$K$5:$AJ$140,0,MATCH(F$2,Inputs!$K$4:$AJ$4,0))))=0,NA(),SUMPRODUCT((Inputs!$A$5:$A$140=$B12)*Inputs!$B$5:$B$140*(((Inputs!$G$5:$G$140="moeda")+(Inputs!$G$5:$G$140="acoes"))*Inputs!$B$1+((Inputs!$G$5:$G$140&lt;&gt;"moeda")*(Inputs!$G$5:$G$140&lt;&gt;"acoes")))*INDEX(Inputs!$K$5:$AJ$140,0,MATCH(F$2,Inputs!$K$4:$AJ$4,0)))+SUMPRODUCT((Inputs!$C$5:$C$140=$B12)*Inputs!$D$5:$D$140*(((Inputs!$G$5:$G$140="moeda")+(Inputs!$G$5:$G$140="acoes"))*Inputs!$B$1+((Inputs!$G$5:$G$140&lt;&gt;"moeda")*(Inputs!$G$5:$G$140&lt;&gt;"acoes")))*INDEX(Inputs!$K$5:$AJ$140,0,MATCH(F$2,Inputs!$K$4:$AJ$4,0)))+SUMPRODUCT((Inputs!$E$5:$E$140=$B12)*Inputs!$F$5:$F$140*(((Inputs!$G$5:$G$140="moeda")+(Inputs!$G$5:$G$140="acoes"))*Inputs!$B$1+((Inputs!$G$5:$G$140&lt;&gt;"moeda")*(Inputs!$G$5:$G$140&lt;&gt;"acoes")))*INDEX(Inputs!$K$5:$AJ$140,0,MATCH(F$2,Inputs!$K$4:$AJ$4,0)))))</f>
        <v>-7.24172588752408</v>
      </c>
      <c r="G12" s="6">
        <f>IF(ISNA(MATCH(G$2,Inputs!$K$4:$AJ$4,0)),NA(),IF(SUMPRODUCT((Inputs!$A$5:$A$140=$B12)*ISNUMBER(INDEX(Inputs!$K$5:$AJ$140,0,MATCH(G$2,Inputs!$K$4:$AJ$4,0))))+SUMPRODUCT((Inputs!$C$5:$C$140=$B12)*ISNUMBER(INDEX(Inputs!$K$5:$AJ$140,0,MATCH(G$2,Inputs!$K$4:$AJ$4,0))))+SUMPRODUCT((Inputs!$E$5:$E$140=$B12)*ISNUMBER(INDEX(Inputs!$K$5:$AJ$140,0,MATCH(G$2,Inputs!$K$4:$AJ$4,0))))=0,NA(),SUMPRODUCT((Inputs!$A$5:$A$140=$B12)*Inputs!$B$5:$B$140*(((Inputs!$G$5:$G$140="moeda")+(Inputs!$G$5:$G$140="acoes"))*Inputs!$B$1+((Inputs!$G$5:$G$140&lt;&gt;"moeda")*(Inputs!$G$5:$G$140&lt;&gt;"acoes")))*INDEX(Inputs!$K$5:$AJ$140,0,MATCH(G$2,Inputs!$K$4:$AJ$4,0)))+SUMPRODUCT((Inputs!$C$5:$C$140=$B12)*Inputs!$D$5:$D$140*(((Inputs!$G$5:$G$140="moeda")+(Inputs!$G$5:$G$140="acoes"))*Inputs!$B$1+((Inputs!$G$5:$G$140&lt;&gt;"moeda")*(Inputs!$G$5:$G$140&lt;&gt;"acoes")))*INDEX(Inputs!$K$5:$AJ$140,0,MATCH(G$2,Inputs!$K$4:$AJ$4,0)))+SUMPRODUCT((Inputs!$E$5:$E$140=$B12)*Inputs!$F$5:$F$140*(((Inputs!$G$5:$G$140="moeda")+(Inputs!$G$5:$G$140="acoes"))*Inputs!$B$1+((Inputs!$G$5:$G$140&lt;&gt;"moeda")*(Inputs!$G$5:$G$140&lt;&gt;"acoes")))*INDEX(Inputs!$K$5:$AJ$140,0,MATCH(G$2,Inputs!$K$4:$AJ$4,0)))))</f>
        <v>-7.891</v>
      </c>
      <c r="H12" s="3">
        <f>SUM(D12:G12)</f>
        <v>-15.5557258875241</v>
      </c>
      <c r="I12" s="6">
        <f>IF(ISNA(MATCH(I$2,Inputs!$K$4:$AJ$4,0)),NA(),IF(SUMPRODUCT((Inputs!$A$5:$A$140=$B12)*ISNUMBER(INDEX(Inputs!$K$5:$AJ$140,0,MATCH(I$2,Inputs!$K$4:$AJ$4,0))))+SUMPRODUCT((Inputs!$C$5:$C$140=$B12)*ISNUMBER(INDEX(Inputs!$K$5:$AJ$140,0,MATCH(I$2,Inputs!$K$4:$AJ$4,0))))+SUMPRODUCT((Inputs!$E$5:$E$140=$B12)*ISNUMBER(INDEX(Inputs!$K$5:$AJ$140,0,MATCH(I$2,Inputs!$K$4:$AJ$4,0))))=0,NA(),SUMPRODUCT((Inputs!$A$5:$A$140=$B12)*Inputs!$B$5:$B$140*(((Inputs!$G$5:$G$140="moeda")+(Inputs!$G$5:$G$140="acoes"))*Inputs!$B$1+((Inputs!$G$5:$G$140&lt;&gt;"moeda")*(Inputs!$G$5:$G$140&lt;&gt;"acoes")))*INDEX(Inputs!$K$5:$AJ$140,0,MATCH(I$2,Inputs!$K$4:$AJ$4,0)))+SUMPRODUCT((Inputs!$C$5:$C$140=$B12)*Inputs!$D$5:$D$140*(((Inputs!$G$5:$G$140="moeda")+(Inputs!$G$5:$G$140="acoes"))*Inputs!$B$1+((Inputs!$G$5:$G$140&lt;&gt;"moeda")*(Inputs!$G$5:$G$140&lt;&gt;"acoes")))*INDEX(Inputs!$K$5:$AJ$140,0,MATCH(I$2,Inputs!$K$4:$AJ$4,0)))+SUMPRODUCT((Inputs!$E$5:$E$140=$B12)*Inputs!$F$5:$F$140*(((Inputs!$G$5:$G$140="moeda")+(Inputs!$G$5:$G$140="acoes"))*Inputs!$B$1+((Inputs!$G$5:$G$140&lt;&gt;"moeda")*(Inputs!$G$5:$G$140&lt;&gt;"acoes")))*INDEX(Inputs!$K$5:$AJ$140,0,MATCH(I$2,Inputs!$K$4:$AJ$4,0)))))</f>
        <v>-1.448</v>
      </c>
      <c r="J12" s="6">
        <f>IF(ISNA(MATCH(J$2,Inputs!$K$4:$AJ$4,0)),NA(),IF(SUMPRODUCT((Inputs!$A$5:$A$140=$B12)*ISNUMBER(INDEX(Inputs!$K$5:$AJ$140,0,MATCH(J$2,Inputs!$K$4:$AJ$4,0))))+SUMPRODUCT((Inputs!$C$5:$C$140=$B12)*ISNUMBER(INDEX(Inputs!$K$5:$AJ$140,0,MATCH(J$2,Inputs!$K$4:$AJ$4,0))))+SUMPRODUCT((Inputs!$E$5:$E$140=$B12)*ISNUMBER(INDEX(Inputs!$K$5:$AJ$140,0,MATCH(J$2,Inputs!$K$4:$AJ$4,0))))=0,NA(),SUMPRODUCT((Inputs!$A$5:$A$140=$B12)*Inputs!$B$5:$B$140*(((Inputs!$G$5:$G$140="moeda")+(Inputs!$G$5:$G$140="acoes"))*Inputs!$B$1+((Inputs!$G$5:$G$140&lt;&gt;"moeda")*(Inputs!$G$5:$G$140&lt;&gt;"acoes")))*INDEX(Inputs!$K$5:$AJ$140,0,MATCH(J$2,Inputs!$K$4:$AJ$4,0)))+SUMPRODUCT((Inputs!$C$5:$C$140=$B12)*Inputs!$D$5:$D$140*(((Inputs!$G$5:$G$140="moeda")+(Inputs!$G$5:$G$140="acoes"))*Inputs!$B$1+((Inputs!$G$5:$G$140&lt;&gt;"moeda")*(Inputs!$G$5:$G$140&lt;&gt;"acoes")))*INDEX(Inputs!$K$5:$AJ$140,0,MATCH(J$2,Inputs!$K$4:$AJ$4,0)))+SUMPRODUCT((Inputs!$E$5:$E$140=$B12)*Inputs!$F$5:$F$140*(((Inputs!$G$5:$G$140="moeda")+(Inputs!$G$5:$G$140="acoes"))*Inputs!$B$1+((Inputs!$G$5:$G$140&lt;&gt;"moeda")*(Inputs!$G$5:$G$140&lt;&gt;"acoes")))*INDEX(Inputs!$K$5:$AJ$140,0,MATCH(J$2,Inputs!$K$4:$AJ$4,0)))))</f>
        <v>-6.614</v>
      </c>
      <c r="K12" s="6">
        <f>IF(ISNA(MATCH(K$2,Inputs!$K$4:$AJ$4,0)),NA(),IF(SUMPRODUCT((Inputs!$A$5:$A$140=$B12)*ISNUMBER(INDEX(Inputs!$K$5:$AJ$140,0,MATCH(K$2,Inputs!$K$4:$AJ$4,0))))+SUMPRODUCT((Inputs!$C$5:$C$140=$B12)*ISNUMBER(INDEX(Inputs!$K$5:$AJ$140,0,MATCH(K$2,Inputs!$K$4:$AJ$4,0))))+SUMPRODUCT((Inputs!$E$5:$E$140=$B12)*ISNUMBER(INDEX(Inputs!$K$5:$AJ$140,0,MATCH(K$2,Inputs!$K$4:$AJ$4,0))))=0,NA(),SUMPRODUCT((Inputs!$A$5:$A$140=$B12)*Inputs!$B$5:$B$140*(((Inputs!$G$5:$G$140="moeda")+(Inputs!$G$5:$G$140="acoes"))*Inputs!$B$1+((Inputs!$G$5:$G$140&lt;&gt;"moeda")*(Inputs!$G$5:$G$140&lt;&gt;"acoes")))*INDEX(Inputs!$K$5:$AJ$140,0,MATCH(K$2,Inputs!$K$4:$AJ$4,0)))+SUMPRODUCT((Inputs!$C$5:$C$140=$B12)*Inputs!$D$5:$D$140*(((Inputs!$G$5:$G$140="moeda")+(Inputs!$G$5:$G$140="acoes"))*Inputs!$B$1+((Inputs!$G$5:$G$140&lt;&gt;"moeda")*(Inputs!$G$5:$G$140&lt;&gt;"acoes")))*INDEX(Inputs!$K$5:$AJ$140,0,MATCH(K$2,Inputs!$K$4:$AJ$4,0)))+SUMPRODUCT((Inputs!$E$5:$E$140=$B12)*Inputs!$F$5:$F$140*(((Inputs!$G$5:$G$140="moeda")+(Inputs!$G$5:$G$140="acoes"))*Inputs!$B$1+((Inputs!$G$5:$G$140&lt;&gt;"moeda")*(Inputs!$G$5:$G$140&lt;&gt;"acoes")))*INDEX(Inputs!$K$5:$AJ$140,0,MATCH(K$2,Inputs!$K$4:$AJ$4,0)))))</f>
        <v>-4.999</v>
      </c>
      <c r="L12" s="6">
        <f>IF(ISNA(MATCH(L$2,Inputs!$K$4:$AJ$4,0)),NA(),IF(SUMPRODUCT((Inputs!$A$5:$A$140=$B12)*ISNUMBER(INDEX(Inputs!$K$5:$AJ$140,0,MATCH(L$2,Inputs!$K$4:$AJ$4,0))))+SUMPRODUCT((Inputs!$C$5:$C$140=$B12)*ISNUMBER(INDEX(Inputs!$K$5:$AJ$140,0,MATCH(L$2,Inputs!$K$4:$AJ$4,0))))+SUMPRODUCT((Inputs!$E$5:$E$140=$B12)*ISNUMBER(INDEX(Inputs!$K$5:$AJ$140,0,MATCH(L$2,Inputs!$K$4:$AJ$4,0))))=0,NA(),SUMPRODUCT((Inputs!$A$5:$A$140=$B12)*Inputs!$B$5:$B$140*(((Inputs!$G$5:$G$140="moeda")+(Inputs!$G$5:$G$140="acoes"))*Inputs!$B$1+((Inputs!$G$5:$G$140&lt;&gt;"moeda")*(Inputs!$G$5:$G$140&lt;&gt;"acoes")))*INDEX(Inputs!$K$5:$AJ$140,0,MATCH(L$2,Inputs!$K$4:$AJ$4,0)))+SUMPRODUCT((Inputs!$C$5:$C$140=$B12)*Inputs!$D$5:$D$140*(((Inputs!$G$5:$G$140="moeda")+(Inputs!$G$5:$G$140="acoes"))*Inputs!$B$1+((Inputs!$G$5:$G$140&lt;&gt;"moeda")*(Inputs!$G$5:$G$140&lt;&gt;"acoes")))*INDEX(Inputs!$K$5:$AJ$140,0,MATCH(L$2,Inputs!$K$4:$AJ$4,0)))+SUMPRODUCT((Inputs!$E$5:$E$140=$B12)*Inputs!$F$5:$F$140*(((Inputs!$G$5:$G$140="moeda")+(Inputs!$G$5:$G$140="acoes"))*Inputs!$B$1+((Inputs!$G$5:$G$140&lt;&gt;"moeda")*(Inputs!$G$5:$G$140&lt;&gt;"acoes")))*INDEX(Inputs!$K$5:$AJ$140,0,MATCH(L$2,Inputs!$K$4:$AJ$4,0)))))</f>
        <v>-5.494</v>
      </c>
      <c r="M12" s="3">
        <f>SUM(I12:L12)</f>
        <v>-18.555</v>
      </c>
      <c r="N12" s="6">
        <f>IF(ISNA(MATCH(N$2,Inputs!$K$4:$AJ$4,0)),NA(),IF(SUMPRODUCT((Inputs!$A$5:$A$140=$B12)*ISNUMBER(INDEX(Inputs!$K$5:$AJ$140,0,MATCH(N$2,Inputs!$K$4:$AJ$4,0))))+SUMPRODUCT((Inputs!$C$5:$C$140=$B12)*ISNUMBER(INDEX(Inputs!$K$5:$AJ$140,0,MATCH(N$2,Inputs!$K$4:$AJ$4,0))))+SUMPRODUCT((Inputs!$E$5:$E$140=$B12)*ISNUMBER(INDEX(Inputs!$K$5:$AJ$140,0,MATCH(N$2,Inputs!$K$4:$AJ$4,0))))=0,NA(),SUMPRODUCT((Inputs!$A$5:$A$140=$B12)*Inputs!$B$5:$B$140*(((Inputs!$G$5:$G$140="moeda")+(Inputs!$G$5:$G$140="acoes"))*Inputs!$B$1+((Inputs!$G$5:$G$140&lt;&gt;"moeda")*(Inputs!$G$5:$G$140&lt;&gt;"acoes")))*INDEX(Inputs!$K$5:$AJ$140,0,MATCH(N$2,Inputs!$K$4:$AJ$4,0)))+SUMPRODUCT((Inputs!$C$5:$C$140=$B12)*Inputs!$D$5:$D$140*(((Inputs!$G$5:$G$140="moeda")+(Inputs!$G$5:$G$140="acoes"))*Inputs!$B$1+((Inputs!$G$5:$G$140&lt;&gt;"moeda")*(Inputs!$G$5:$G$140&lt;&gt;"acoes")))*INDEX(Inputs!$K$5:$AJ$140,0,MATCH(N$2,Inputs!$K$4:$AJ$4,0)))+SUMPRODUCT((Inputs!$E$5:$E$140=$B12)*Inputs!$F$5:$F$140*(((Inputs!$G$5:$G$140="moeda")+(Inputs!$G$5:$G$140="acoes"))*Inputs!$B$1+((Inputs!$G$5:$G$140&lt;&gt;"moeda")*(Inputs!$G$5:$G$140&lt;&gt;"acoes")))*INDEX(Inputs!$K$5:$AJ$140,0,MATCH(N$2,Inputs!$K$4:$AJ$4,0)))))</f>
        <v>-2.207</v>
      </c>
      <c r="O12" s="6">
        <f>IF(ISNA(MATCH(O$2,Inputs!$K$4:$AJ$4,0)),NA(),IF(SUMPRODUCT((Inputs!$A$5:$A$140=$B12)*ISNUMBER(INDEX(Inputs!$K$5:$AJ$140,0,MATCH(O$2,Inputs!$K$4:$AJ$4,0))))+SUMPRODUCT((Inputs!$C$5:$C$140=$B12)*ISNUMBER(INDEX(Inputs!$K$5:$AJ$140,0,MATCH(O$2,Inputs!$K$4:$AJ$4,0))))+SUMPRODUCT((Inputs!$E$5:$E$140=$B12)*ISNUMBER(INDEX(Inputs!$K$5:$AJ$140,0,MATCH(O$2,Inputs!$K$4:$AJ$4,0))))=0,NA(),SUMPRODUCT((Inputs!$A$5:$A$140=$B12)*Inputs!$B$5:$B$140*(((Inputs!$G$5:$G$140="moeda")+(Inputs!$G$5:$G$140="acoes"))*Inputs!$B$1+((Inputs!$G$5:$G$140&lt;&gt;"moeda")*(Inputs!$G$5:$G$140&lt;&gt;"acoes")))*INDEX(Inputs!$K$5:$AJ$140,0,MATCH(O$2,Inputs!$K$4:$AJ$4,0)))+SUMPRODUCT((Inputs!$C$5:$C$140=$B12)*Inputs!$D$5:$D$140*(((Inputs!$G$5:$G$140="moeda")+(Inputs!$G$5:$G$140="acoes"))*Inputs!$B$1+((Inputs!$G$5:$G$140&lt;&gt;"moeda")*(Inputs!$G$5:$G$140&lt;&gt;"acoes")))*INDEX(Inputs!$K$5:$AJ$140,0,MATCH(O$2,Inputs!$K$4:$AJ$4,0)))+SUMPRODUCT((Inputs!$E$5:$E$140=$B12)*Inputs!$F$5:$F$140*(((Inputs!$G$5:$G$140="moeda")+(Inputs!$G$5:$G$140="acoes"))*Inputs!$B$1+((Inputs!$G$5:$G$140&lt;&gt;"moeda")*(Inputs!$G$5:$G$140&lt;&gt;"acoes")))*INDEX(Inputs!$K$5:$AJ$140,0,MATCH(O$2,Inputs!$K$4:$AJ$4,0)))))</f>
        <v>-2.697</v>
      </c>
      <c r="P12" s="6">
        <f>IF(ISNA(MATCH(P$2,Inputs!$K$4:$AJ$4,0)),NA(),IF(SUMPRODUCT((Inputs!$A$5:$A$140=$B12)*ISNUMBER(INDEX(Inputs!$K$5:$AJ$140,0,MATCH(P$2,Inputs!$K$4:$AJ$4,0))))+SUMPRODUCT((Inputs!$C$5:$C$140=$B12)*ISNUMBER(INDEX(Inputs!$K$5:$AJ$140,0,MATCH(P$2,Inputs!$K$4:$AJ$4,0))))+SUMPRODUCT((Inputs!$E$5:$E$140=$B12)*ISNUMBER(INDEX(Inputs!$K$5:$AJ$140,0,MATCH(P$2,Inputs!$K$4:$AJ$4,0))))=0,NA(),SUMPRODUCT((Inputs!$A$5:$A$140=$B12)*Inputs!$B$5:$B$140*(((Inputs!$G$5:$G$140="moeda")+(Inputs!$G$5:$G$140="acoes"))*Inputs!$B$1+((Inputs!$G$5:$G$140&lt;&gt;"moeda")*(Inputs!$G$5:$G$140&lt;&gt;"acoes")))*INDEX(Inputs!$K$5:$AJ$140,0,MATCH(P$2,Inputs!$K$4:$AJ$4,0)))+SUMPRODUCT((Inputs!$C$5:$C$140=$B12)*Inputs!$D$5:$D$140*(((Inputs!$G$5:$G$140="moeda")+(Inputs!$G$5:$G$140="acoes"))*Inputs!$B$1+((Inputs!$G$5:$G$140&lt;&gt;"moeda")*(Inputs!$G$5:$G$140&lt;&gt;"acoes")))*INDEX(Inputs!$K$5:$AJ$140,0,MATCH(P$2,Inputs!$K$4:$AJ$4,0)))+SUMPRODUCT((Inputs!$E$5:$E$140=$B12)*Inputs!$F$5:$F$140*(((Inputs!$G$5:$G$140="moeda")+(Inputs!$G$5:$G$140="acoes"))*Inputs!$B$1+((Inputs!$G$5:$G$140&lt;&gt;"moeda")*(Inputs!$G$5:$G$140&lt;&gt;"acoes")))*INDEX(Inputs!$K$5:$AJ$140,0,MATCH(P$2,Inputs!$K$4:$AJ$4,0)))))</f>
        <v>-4.671</v>
      </c>
      <c r="Q12" s="6">
        <f>IF(ISNA(MATCH(Q$2,Inputs!$K$4:$AJ$4,0)),NA(),IF(SUMPRODUCT((Inputs!$A$5:$A$140=$B12)*ISNUMBER(INDEX(Inputs!$K$5:$AJ$140,0,MATCH(Q$2,Inputs!$K$4:$AJ$4,0))))+SUMPRODUCT((Inputs!$C$5:$C$140=$B12)*ISNUMBER(INDEX(Inputs!$K$5:$AJ$140,0,MATCH(Q$2,Inputs!$K$4:$AJ$4,0))))+SUMPRODUCT((Inputs!$E$5:$E$140=$B12)*ISNUMBER(INDEX(Inputs!$K$5:$AJ$140,0,MATCH(Q$2,Inputs!$K$4:$AJ$4,0))))=0,NA(),SUMPRODUCT((Inputs!$A$5:$A$140=$B12)*Inputs!$B$5:$B$140*(((Inputs!$G$5:$G$140="moeda")+(Inputs!$G$5:$G$140="acoes"))*Inputs!$B$1+((Inputs!$G$5:$G$140&lt;&gt;"moeda")*(Inputs!$G$5:$G$140&lt;&gt;"acoes")))*INDEX(Inputs!$K$5:$AJ$140,0,MATCH(Q$2,Inputs!$K$4:$AJ$4,0)))+SUMPRODUCT((Inputs!$C$5:$C$140=$B12)*Inputs!$D$5:$D$140*(((Inputs!$G$5:$G$140="moeda")+(Inputs!$G$5:$G$140="acoes"))*Inputs!$B$1+((Inputs!$G$5:$G$140&lt;&gt;"moeda")*(Inputs!$G$5:$G$140&lt;&gt;"acoes")))*INDEX(Inputs!$K$5:$AJ$140,0,MATCH(Q$2,Inputs!$K$4:$AJ$4,0)))+SUMPRODUCT((Inputs!$E$5:$E$140=$B12)*Inputs!$F$5:$F$140*(((Inputs!$G$5:$G$140="moeda")+(Inputs!$G$5:$G$140="acoes"))*Inputs!$B$1+((Inputs!$G$5:$G$140&lt;&gt;"moeda")*(Inputs!$G$5:$G$140&lt;&gt;"acoes")))*INDEX(Inputs!$K$5:$AJ$140,0,MATCH(Q$2,Inputs!$K$4:$AJ$4,0)))))</f>
        <v>-4.271</v>
      </c>
      <c r="R12" s="3">
        <f>SUM(N12:Q12)</f>
        <v>-13.846</v>
      </c>
      <c r="S12" s="6">
        <f>IF(ISNA(MATCH(S$2,Inputs!$K$4:$AJ$4,0)),NA(),IF(SUMPRODUCT((Inputs!$A$5:$A$140=$B12)*ISNUMBER(INDEX(Inputs!$K$5:$AJ$140,0,MATCH(S$2,Inputs!$K$4:$AJ$4,0))))+SUMPRODUCT((Inputs!$C$5:$C$140=$B12)*ISNUMBER(INDEX(Inputs!$K$5:$AJ$140,0,MATCH(S$2,Inputs!$K$4:$AJ$4,0))))+SUMPRODUCT((Inputs!$E$5:$E$140=$B12)*ISNUMBER(INDEX(Inputs!$K$5:$AJ$140,0,MATCH(S$2,Inputs!$K$4:$AJ$4,0))))=0,NA(),SUMPRODUCT((Inputs!$A$5:$A$140=$B12)*Inputs!$B$5:$B$140*(((Inputs!$G$5:$G$140="moeda")+(Inputs!$G$5:$G$140="acoes"))*Inputs!$B$1+((Inputs!$G$5:$G$140&lt;&gt;"moeda")*(Inputs!$G$5:$G$140&lt;&gt;"acoes")))*INDEX(Inputs!$K$5:$AJ$140,0,MATCH(S$2,Inputs!$K$4:$AJ$4,0)))+SUMPRODUCT((Inputs!$C$5:$C$140=$B12)*Inputs!$D$5:$D$140*(((Inputs!$G$5:$G$140="moeda")+(Inputs!$G$5:$G$140="acoes"))*Inputs!$B$1+((Inputs!$G$5:$G$140&lt;&gt;"moeda")*(Inputs!$G$5:$G$140&lt;&gt;"acoes")))*INDEX(Inputs!$K$5:$AJ$140,0,MATCH(S$2,Inputs!$K$4:$AJ$4,0)))+SUMPRODUCT((Inputs!$E$5:$E$140=$B12)*Inputs!$F$5:$F$140*(((Inputs!$G$5:$G$140="moeda")+(Inputs!$G$5:$G$140="acoes"))*Inputs!$B$1+((Inputs!$G$5:$G$140&lt;&gt;"moeda")*(Inputs!$G$5:$G$140&lt;&gt;"acoes")))*INDEX(Inputs!$K$5:$AJ$140,0,MATCH(S$2,Inputs!$K$4:$AJ$4,0)))))</f>
        <v>-12.829</v>
      </c>
      <c r="T12" s="6">
        <f>IF(ISNA(MATCH(T$2,Inputs!$K$4:$AJ$4,0)),NA(),IF(SUMPRODUCT((Inputs!$A$5:$A$140=$B12)*ISNUMBER(INDEX(Inputs!$K$5:$AJ$140,0,MATCH(T$2,Inputs!$K$4:$AJ$4,0))))+SUMPRODUCT((Inputs!$C$5:$C$140=$B12)*ISNUMBER(INDEX(Inputs!$K$5:$AJ$140,0,MATCH(T$2,Inputs!$K$4:$AJ$4,0))))+SUMPRODUCT((Inputs!$E$5:$E$140=$B12)*ISNUMBER(INDEX(Inputs!$K$5:$AJ$140,0,MATCH(T$2,Inputs!$K$4:$AJ$4,0))))=0,NA(),SUMPRODUCT((Inputs!$A$5:$A$140=$B12)*Inputs!$B$5:$B$140*(((Inputs!$G$5:$G$140="moeda")+(Inputs!$G$5:$G$140="acoes"))*Inputs!$B$1+((Inputs!$G$5:$G$140&lt;&gt;"moeda")*(Inputs!$G$5:$G$140&lt;&gt;"acoes")))*INDEX(Inputs!$K$5:$AJ$140,0,MATCH(T$2,Inputs!$K$4:$AJ$4,0)))+SUMPRODUCT((Inputs!$C$5:$C$140=$B12)*Inputs!$D$5:$D$140*(((Inputs!$G$5:$G$140="moeda")+(Inputs!$G$5:$G$140="acoes"))*Inputs!$B$1+((Inputs!$G$5:$G$140&lt;&gt;"moeda")*(Inputs!$G$5:$G$140&lt;&gt;"acoes")))*INDEX(Inputs!$K$5:$AJ$140,0,MATCH(T$2,Inputs!$K$4:$AJ$4,0)))+SUMPRODUCT((Inputs!$E$5:$E$140=$B12)*Inputs!$F$5:$F$140*(((Inputs!$G$5:$G$140="moeda")+(Inputs!$G$5:$G$140="acoes"))*Inputs!$B$1+((Inputs!$G$5:$G$140&lt;&gt;"moeda")*(Inputs!$G$5:$G$140&lt;&gt;"acoes")))*INDEX(Inputs!$K$5:$AJ$140,0,MATCH(T$2,Inputs!$K$4:$AJ$4,0)))))</f>
        <v>-3.035</v>
      </c>
      <c r="U12" s="6">
        <f>IF(ISNA(MATCH(U$2,Inputs!$K$4:$AJ$4,0)),NA(),IF(SUMPRODUCT((Inputs!$A$5:$A$140=$B12)*ISNUMBER(INDEX(Inputs!$K$5:$AJ$140,0,MATCH(U$2,Inputs!$K$4:$AJ$4,0))))+SUMPRODUCT((Inputs!$C$5:$C$140=$B12)*ISNUMBER(INDEX(Inputs!$K$5:$AJ$140,0,MATCH(U$2,Inputs!$K$4:$AJ$4,0))))+SUMPRODUCT((Inputs!$E$5:$E$140=$B12)*ISNUMBER(INDEX(Inputs!$K$5:$AJ$140,0,MATCH(U$2,Inputs!$K$4:$AJ$4,0))))=0,NA(),SUMPRODUCT((Inputs!$A$5:$A$140=$B12)*Inputs!$B$5:$B$140*(((Inputs!$G$5:$G$140="moeda")+(Inputs!$G$5:$G$140="acoes"))*Inputs!$B$1+((Inputs!$G$5:$G$140&lt;&gt;"moeda")*(Inputs!$G$5:$G$140&lt;&gt;"acoes")))*INDEX(Inputs!$K$5:$AJ$140,0,MATCH(U$2,Inputs!$K$4:$AJ$4,0)))+SUMPRODUCT((Inputs!$C$5:$C$140=$B12)*Inputs!$D$5:$D$140*(((Inputs!$G$5:$G$140="moeda")+(Inputs!$G$5:$G$140="acoes"))*Inputs!$B$1+((Inputs!$G$5:$G$140&lt;&gt;"moeda")*(Inputs!$G$5:$G$140&lt;&gt;"acoes")))*INDEX(Inputs!$K$5:$AJ$140,0,MATCH(U$2,Inputs!$K$4:$AJ$4,0)))+SUMPRODUCT((Inputs!$E$5:$E$140=$B12)*Inputs!$F$5:$F$140*(((Inputs!$G$5:$G$140="moeda")+(Inputs!$G$5:$G$140="acoes"))*Inputs!$B$1+((Inputs!$G$5:$G$140&lt;&gt;"moeda")*(Inputs!$G$5:$G$140&lt;&gt;"acoes")))*INDEX(Inputs!$K$5:$AJ$140,0,MATCH(U$2,Inputs!$K$4:$AJ$4,0)))))</f>
        <v>-10.017</v>
      </c>
      <c r="V12" s="6">
        <f>IF(ISNA(MATCH(V$2,Inputs!$K$4:$AJ$4,0)),NA(),IF(SUMPRODUCT((Inputs!$A$5:$A$140=$B12)*ISNUMBER(INDEX(Inputs!$K$5:$AJ$140,0,MATCH(V$2,Inputs!$K$4:$AJ$4,0))))+SUMPRODUCT((Inputs!$C$5:$C$140=$B12)*ISNUMBER(INDEX(Inputs!$K$5:$AJ$140,0,MATCH(V$2,Inputs!$K$4:$AJ$4,0))))+SUMPRODUCT((Inputs!$E$5:$E$140=$B12)*ISNUMBER(INDEX(Inputs!$K$5:$AJ$140,0,MATCH(V$2,Inputs!$K$4:$AJ$4,0))))=0,NA(),SUMPRODUCT((Inputs!$A$5:$A$140=$B12)*Inputs!$B$5:$B$140*(((Inputs!$G$5:$G$140="moeda")+(Inputs!$G$5:$G$140="acoes"))*Inputs!$B$1+((Inputs!$G$5:$G$140&lt;&gt;"moeda")*(Inputs!$G$5:$G$140&lt;&gt;"acoes")))*INDEX(Inputs!$K$5:$AJ$140,0,MATCH(V$2,Inputs!$K$4:$AJ$4,0)))+SUMPRODUCT((Inputs!$C$5:$C$140=$B12)*Inputs!$D$5:$D$140*(((Inputs!$G$5:$G$140="moeda")+(Inputs!$G$5:$G$140="acoes"))*Inputs!$B$1+((Inputs!$G$5:$G$140&lt;&gt;"moeda")*(Inputs!$G$5:$G$140&lt;&gt;"acoes")))*INDEX(Inputs!$K$5:$AJ$140,0,MATCH(V$2,Inputs!$K$4:$AJ$4,0)))+SUMPRODUCT((Inputs!$E$5:$E$140=$B12)*Inputs!$F$5:$F$140*(((Inputs!$G$5:$G$140="moeda")+(Inputs!$G$5:$G$140="acoes"))*Inputs!$B$1+((Inputs!$G$5:$G$140&lt;&gt;"moeda")*(Inputs!$G$5:$G$140&lt;&gt;"acoes")))*INDEX(Inputs!$K$5:$AJ$140,0,MATCH(V$2,Inputs!$K$4:$AJ$4,0)))))</f>
        <v>-23.088</v>
      </c>
      <c r="W12" s="3">
        <f>SUM(S12:V12)</f>
        <v>-48.969</v>
      </c>
      <c r="X12" s="6">
        <f>IF(ISNA(MATCH(X$2,Inputs!$K$4:$AJ$4,0)),NA(),IF(SUMPRODUCT((Inputs!$A$5:$A$140=$B12)*ISNUMBER(INDEX(Inputs!$K$5:$AJ$140,0,MATCH(X$2,Inputs!$K$4:$AJ$4,0))))+SUMPRODUCT((Inputs!$C$5:$C$140=$B12)*ISNUMBER(INDEX(Inputs!$K$5:$AJ$140,0,MATCH(X$2,Inputs!$K$4:$AJ$4,0))))+SUMPRODUCT((Inputs!$E$5:$E$140=$B12)*ISNUMBER(INDEX(Inputs!$K$5:$AJ$140,0,MATCH(X$2,Inputs!$K$4:$AJ$4,0))))=0,NA(),SUMPRODUCT((Inputs!$A$5:$A$140=$B12)*Inputs!$B$5:$B$140*(((Inputs!$G$5:$G$140="moeda")+(Inputs!$G$5:$G$140="acoes"))*Inputs!$B$1+((Inputs!$G$5:$G$140&lt;&gt;"moeda")*(Inputs!$G$5:$G$140&lt;&gt;"acoes")))*INDEX(Inputs!$K$5:$AJ$140,0,MATCH(X$2,Inputs!$K$4:$AJ$4,0)))+SUMPRODUCT((Inputs!$C$5:$C$140=$B12)*Inputs!$D$5:$D$140*(((Inputs!$G$5:$G$140="moeda")+(Inputs!$G$5:$G$140="acoes"))*Inputs!$B$1+((Inputs!$G$5:$G$140&lt;&gt;"moeda")*(Inputs!$G$5:$G$140&lt;&gt;"acoes")))*INDEX(Inputs!$K$5:$AJ$140,0,MATCH(X$2,Inputs!$K$4:$AJ$4,0)))+SUMPRODUCT((Inputs!$E$5:$E$140=$B12)*Inputs!$F$5:$F$140*(((Inputs!$G$5:$G$140="moeda")+(Inputs!$G$5:$G$140="acoes"))*Inputs!$B$1+((Inputs!$G$5:$G$140&lt;&gt;"moeda")*(Inputs!$G$5:$G$140&lt;&gt;"acoes")))*INDEX(Inputs!$K$5:$AJ$140,0,MATCH(X$2,Inputs!$K$4:$AJ$4,0)))))</f>
        <v>-20.189</v>
      </c>
      <c r="Y12" s="6">
        <f>IF(ISNA(MATCH(Y$2,Inputs!$K$4:$AJ$4,0)),NA(),IF(SUMPRODUCT((Inputs!$A$5:$A$140=$B12)*ISNUMBER(INDEX(Inputs!$K$5:$AJ$140,0,MATCH(Y$2,Inputs!$K$4:$AJ$4,0))))+SUMPRODUCT((Inputs!$C$5:$C$140=$B12)*ISNUMBER(INDEX(Inputs!$K$5:$AJ$140,0,MATCH(Y$2,Inputs!$K$4:$AJ$4,0))))+SUMPRODUCT((Inputs!$E$5:$E$140=$B12)*ISNUMBER(INDEX(Inputs!$K$5:$AJ$140,0,MATCH(Y$2,Inputs!$K$4:$AJ$4,0))))=0,NA(),SUMPRODUCT((Inputs!$A$5:$A$140=$B12)*Inputs!$B$5:$B$140*(((Inputs!$G$5:$G$140="moeda")+(Inputs!$G$5:$G$140="acoes"))*Inputs!$B$1+((Inputs!$G$5:$G$140&lt;&gt;"moeda")*(Inputs!$G$5:$G$140&lt;&gt;"acoes")))*INDEX(Inputs!$K$5:$AJ$140,0,MATCH(Y$2,Inputs!$K$4:$AJ$4,0)))+SUMPRODUCT((Inputs!$C$5:$C$140=$B12)*Inputs!$D$5:$D$140*(((Inputs!$G$5:$G$140="moeda")+(Inputs!$G$5:$G$140="acoes"))*Inputs!$B$1+((Inputs!$G$5:$G$140&lt;&gt;"moeda")*(Inputs!$G$5:$G$140&lt;&gt;"acoes")))*INDEX(Inputs!$K$5:$AJ$140,0,MATCH(Y$2,Inputs!$K$4:$AJ$4,0)))+SUMPRODUCT((Inputs!$E$5:$E$140=$B12)*Inputs!$F$5:$F$140*(((Inputs!$G$5:$G$140="moeda")+(Inputs!$G$5:$G$140="acoes"))*Inputs!$B$1+((Inputs!$G$5:$G$140&lt;&gt;"moeda")*(Inputs!$G$5:$G$140&lt;&gt;"acoes")))*INDEX(Inputs!$K$5:$AJ$140,0,MATCH(Y$2,Inputs!$K$4:$AJ$4,0)))))</f>
        <v>-30.4264</v>
      </c>
      <c r="Z12" s="6">
        <f>IF(ISNA(MATCH(Z$2,Inputs!$K$4:$AJ$4,0)),NA(),IF(SUMPRODUCT((Inputs!$A$5:$A$140=$B12)*ISNUMBER(INDEX(Inputs!$K$5:$AJ$140,0,MATCH(Z$2,Inputs!$K$4:$AJ$4,0))))+SUMPRODUCT((Inputs!$C$5:$C$140=$B12)*ISNUMBER(INDEX(Inputs!$K$5:$AJ$140,0,MATCH(Z$2,Inputs!$K$4:$AJ$4,0))))+SUMPRODUCT((Inputs!$E$5:$E$140=$B12)*ISNUMBER(INDEX(Inputs!$K$5:$AJ$140,0,MATCH(Z$2,Inputs!$K$4:$AJ$4,0))))=0,NA(),SUMPRODUCT((Inputs!$A$5:$A$140=$B12)*Inputs!$B$5:$B$140*(((Inputs!$G$5:$G$140="moeda")+(Inputs!$G$5:$G$140="acoes"))*Inputs!$B$1+((Inputs!$G$5:$G$140&lt;&gt;"moeda")*(Inputs!$G$5:$G$140&lt;&gt;"acoes")))*INDEX(Inputs!$K$5:$AJ$140,0,MATCH(Z$2,Inputs!$K$4:$AJ$4,0)))+SUMPRODUCT((Inputs!$C$5:$C$140=$B12)*Inputs!$D$5:$D$140*(((Inputs!$G$5:$G$140="moeda")+(Inputs!$G$5:$G$140="acoes"))*Inputs!$B$1+((Inputs!$G$5:$G$140&lt;&gt;"moeda")*(Inputs!$G$5:$G$140&lt;&gt;"acoes")))*INDEX(Inputs!$K$5:$AJ$140,0,MATCH(Z$2,Inputs!$K$4:$AJ$4,0)))+SUMPRODUCT((Inputs!$E$5:$E$140=$B12)*Inputs!$F$5:$F$140*(((Inputs!$G$5:$G$140="moeda")+(Inputs!$G$5:$G$140="acoes"))*Inputs!$B$1+((Inputs!$G$5:$G$140&lt;&gt;"moeda")*(Inputs!$G$5:$G$140&lt;&gt;"acoes")))*INDEX(Inputs!$K$5:$AJ$140,0,MATCH(Z$2,Inputs!$K$4:$AJ$4,0)))))</f>
        <v>-27.957</v>
      </c>
      <c r="AA12" s="6">
        <f>IF(ISNA(MATCH(AA$2,Inputs!$K$4:$AJ$4,0)),NA(),IF(SUMPRODUCT((Inputs!$A$5:$A$140=$B12)*ISNUMBER(INDEX(Inputs!$K$5:$AJ$140,0,MATCH(AA$2,Inputs!$K$4:$AJ$4,0))))+SUMPRODUCT((Inputs!$C$5:$C$140=$B12)*ISNUMBER(INDEX(Inputs!$K$5:$AJ$140,0,MATCH(AA$2,Inputs!$K$4:$AJ$4,0))))+SUMPRODUCT((Inputs!$E$5:$E$140=$B12)*ISNUMBER(INDEX(Inputs!$K$5:$AJ$140,0,MATCH(AA$2,Inputs!$K$4:$AJ$4,0))))=0,NA(),SUMPRODUCT((Inputs!$A$5:$A$140=$B12)*Inputs!$B$5:$B$140*(((Inputs!$G$5:$G$140="moeda")+(Inputs!$G$5:$G$140="acoes"))*Inputs!$B$1+((Inputs!$G$5:$G$140&lt;&gt;"moeda")*(Inputs!$G$5:$G$140&lt;&gt;"acoes")))*INDEX(Inputs!$K$5:$AJ$140,0,MATCH(AA$2,Inputs!$K$4:$AJ$4,0)))+SUMPRODUCT((Inputs!$C$5:$C$140=$B12)*Inputs!$D$5:$D$140*(((Inputs!$G$5:$G$140="moeda")+(Inputs!$G$5:$G$140="acoes"))*Inputs!$B$1+((Inputs!$G$5:$G$140&lt;&gt;"moeda")*(Inputs!$G$5:$G$140&lt;&gt;"acoes")))*INDEX(Inputs!$K$5:$AJ$140,0,MATCH(AA$2,Inputs!$K$4:$AJ$4,0)))+SUMPRODUCT((Inputs!$E$5:$E$140=$B12)*Inputs!$F$5:$F$140*(((Inputs!$G$5:$G$140="moeda")+(Inputs!$G$5:$G$140="acoes"))*Inputs!$B$1+((Inputs!$G$5:$G$140&lt;&gt;"moeda")*(Inputs!$G$5:$G$140&lt;&gt;"acoes")))*INDEX(Inputs!$K$5:$AJ$140,0,MATCH(AA$2,Inputs!$K$4:$AJ$4,0)))))</f>
        <v>-27.112</v>
      </c>
      <c r="AB12" s="3">
        <f>SUM(X12:AA12)</f>
        <v>-105.6844</v>
      </c>
      <c r="AC12" s="6">
        <f>IF(ISNA(MATCH(AC$2,Inputs!$K$4:$AJ$4,0)),NA(),IF(SUMPRODUCT((Inputs!$A$5:$A$140=$B12)*ISNUMBER(INDEX(Inputs!$K$5:$AJ$140,0,MATCH(AC$2,Inputs!$K$4:$AJ$4,0))))+SUMPRODUCT((Inputs!$C$5:$C$140=$B12)*ISNUMBER(INDEX(Inputs!$K$5:$AJ$140,0,MATCH(AC$2,Inputs!$K$4:$AJ$4,0))))+SUMPRODUCT((Inputs!$E$5:$E$140=$B12)*ISNUMBER(INDEX(Inputs!$K$5:$AJ$140,0,MATCH(AC$2,Inputs!$K$4:$AJ$4,0))))=0,NA(),SUMPRODUCT((Inputs!$A$5:$A$140=$B12)*Inputs!$B$5:$B$140*(((Inputs!$G$5:$G$140="moeda")+(Inputs!$G$5:$G$140="acoes"))*Inputs!$B$1+((Inputs!$G$5:$G$140&lt;&gt;"moeda")*(Inputs!$G$5:$G$140&lt;&gt;"acoes")))*INDEX(Inputs!$K$5:$AJ$140,0,MATCH(AC$2,Inputs!$K$4:$AJ$4,0)))+SUMPRODUCT((Inputs!$C$5:$C$140=$B12)*Inputs!$D$5:$D$140*(((Inputs!$G$5:$G$140="moeda")+(Inputs!$G$5:$G$140="acoes"))*Inputs!$B$1+((Inputs!$G$5:$G$140&lt;&gt;"moeda")*(Inputs!$G$5:$G$140&lt;&gt;"acoes")))*INDEX(Inputs!$K$5:$AJ$140,0,MATCH(AC$2,Inputs!$K$4:$AJ$4,0)))+SUMPRODUCT((Inputs!$E$5:$E$140=$B12)*Inputs!$F$5:$F$140*(((Inputs!$G$5:$G$140="moeda")+(Inputs!$G$5:$G$140="acoes"))*Inputs!$B$1+((Inputs!$G$5:$G$140&lt;&gt;"moeda")*(Inputs!$G$5:$G$140&lt;&gt;"acoes")))*INDEX(Inputs!$K$5:$AJ$140,0,MATCH(AC$2,Inputs!$K$4:$AJ$4,0)))))</f>
        <v>-48.319</v>
      </c>
      <c r="AD12" s="6">
        <f>IF(ISNA(MATCH(AD$2,Inputs!$K$4:$AJ$4,0)),NA(),IF(SUMPRODUCT((Inputs!$A$5:$A$140=$B12)*ISNUMBER(INDEX(Inputs!$K$5:$AJ$140,0,MATCH(AD$2,Inputs!$K$4:$AJ$4,0))))+SUMPRODUCT((Inputs!$C$5:$C$140=$B12)*ISNUMBER(INDEX(Inputs!$K$5:$AJ$140,0,MATCH(AD$2,Inputs!$K$4:$AJ$4,0))))+SUMPRODUCT((Inputs!$E$5:$E$140=$B12)*ISNUMBER(INDEX(Inputs!$K$5:$AJ$140,0,MATCH(AD$2,Inputs!$K$4:$AJ$4,0))))=0,NA(),SUMPRODUCT((Inputs!$A$5:$A$140=$B12)*Inputs!$B$5:$B$140*(((Inputs!$G$5:$G$140="moeda")+(Inputs!$G$5:$G$140="acoes"))*Inputs!$B$1+((Inputs!$G$5:$G$140&lt;&gt;"moeda")*(Inputs!$G$5:$G$140&lt;&gt;"acoes")))*INDEX(Inputs!$K$5:$AJ$140,0,MATCH(AD$2,Inputs!$K$4:$AJ$4,0)))+SUMPRODUCT((Inputs!$C$5:$C$140=$B12)*Inputs!$D$5:$D$140*(((Inputs!$G$5:$G$140="moeda")+(Inputs!$G$5:$G$140="acoes"))*Inputs!$B$1+((Inputs!$G$5:$G$140&lt;&gt;"moeda")*(Inputs!$G$5:$G$140&lt;&gt;"acoes")))*INDEX(Inputs!$K$5:$AJ$140,0,MATCH(AD$2,Inputs!$K$4:$AJ$4,0)))+SUMPRODUCT((Inputs!$E$5:$E$140=$B12)*Inputs!$F$5:$F$140*(((Inputs!$G$5:$G$140="moeda")+(Inputs!$G$5:$G$140="acoes"))*Inputs!$B$1+((Inputs!$G$5:$G$140&lt;&gt;"moeda")*(Inputs!$G$5:$G$140&lt;&gt;"acoes")))*INDEX(Inputs!$K$5:$AJ$140,0,MATCH(AD$2,Inputs!$K$4:$AJ$4,0)))))</f>
        <v>-40.74</v>
      </c>
      <c r="AE12" s="6" t="e">
        <f>IF(ISNA(MATCH(AE$2,Inputs!$K$4:$AJ$4,0)),NA(),IF(SUMPRODUCT((Inputs!$A$5:$A$140=$B12)*ISNUMBER(INDEX(Inputs!$K$5:$AJ$140,0,MATCH(AE$2,Inputs!$K$4:$AJ$4,0))))+SUMPRODUCT((Inputs!$C$5:$C$140=$B12)*ISNUMBER(INDEX(Inputs!$K$5:$AJ$140,0,MATCH(AE$2,Inputs!$K$4:$AJ$4,0))))+SUMPRODUCT((Inputs!$E$5:$E$140=$B12)*ISNUMBER(INDEX(Inputs!$K$5:$AJ$140,0,MATCH(AE$2,Inputs!$K$4:$AJ$4,0))))=0,NA(),SUMPRODUCT((Inputs!$A$5:$A$140=$B12)*Inputs!$B$5:$B$140*(((Inputs!$G$5:$G$140="moeda")+(Inputs!$G$5:$G$140="acoes"))*Inputs!$B$1+((Inputs!$G$5:$G$140&lt;&gt;"moeda")*(Inputs!$G$5:$G$140&lt;&gt;"acoes")))*INDEX(Inputs!$K$5:$AJ$140,0,MATCH(AE$2,Inputs!$K$4:$AJ$4,0)))+SUMPRODUCT((Inputs!$C$5:$C$140=$B12)*Inputs!$D$5:$D$140*(((Inputs!$G$5:$G$140="moeda")+(Inputs!$G$5:$G$140="acoes"))*Inputs!$B$1+((Inputs!$G$5:$G$140&lt;&gt;"moeda")*(Inputs!$G$5:$G$140&lt;&gt;"acoes")))*INDEX(Inputs!$K$5:$AJ$140,0,MATCH(AE$2,Inputs!$K$4:$AJ$4,0)))+SUMPRODUCT((Inputs!$E$5:$E$140=$B12)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2" s="6" t="e">
        <f>IF(ISNA(MATCH(AF$2,Inputs!$K$4:$AJ$4,0)),NA(),IF(SUMPRODUCT((Inputs!$A$5:$A$140=$B12)*ISNUMBER(INDEX(Inputs!$K$5:$AJ$140,0,MATCH(AF$2,Inputs!$K$4:$AJ$4,0))))+SUMPRODUCT((Inputs!$C$5:$C$140=$B12)*ISNUMBER(INDEX(Inputs!$K$5:$AJ$140,0,MATCH(AF$2,Inputs!$K$4:$AJ$4,0))))+SUMPRODUCT((Inputs!$E$5:$E$140=$B12)*ISNUMBER(INDEX(Inputs!$K$5:$AJ$140,0,MATCH(AF$2,Inputs!$K$4:$AJ$4,0))))=0,NA(),SUMPRODUCT((Inputs!$A$5:$A$140=$B12)*Inputs!$B$5:$B$140*(((Inputs!$G$5:$G$140="moeda")+(Inputs!$G$5:$G$140="acoes"))*Inputs!$B$1+((Inputs!$G$5:$G$140&lt;&gt;"moeda")*(Inputs!$G$5:$G$140&lt;&gt;"acoes")))*INDEX(Inputs!$K$5:$AJ$140,0,MATCH(AF$2,Inputs!$K$4:$AJ$4,0)))+SUMPRODUCT((Inputs!$C$5:$C$140=$B12)*Inputs!$D$5:$D$140*(((Inputs!$G$5:$G$140="moeda")+(Inputs!$G$5:$G$140="acoes"))*Inputs!$B$1+((Inputs!$G$5:$G$140&lt;&gt;"moeda")*(Inputs!$G$5:$G$140&lt;&gt;"acoes")))*INDEX(Inputs!$K$5:$AJ$140,0,MATCH(AF$2,Inputs!$K$4:$AJ$4,0)))+SUMPRODUCT((Inputs!$E$5:$E$140=$B12)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$140=$B12)*ISNUMBER(INDEX(Inputs!$K$5:$AJ$140,0,MATCH(AH$2,Inputs!$K$4:$AJ$4,0))))+SUMPRODUCT((Inputs!$C$5:$C$140=$B12)*ISNUMBER(INDEX(Inputs!$K$5:$AJ$140,0,MATCH(AH$2,Inputs!$K$4:$AJ$4,0))))+SUMPRODUCT((Inputs!$E$5:$E$140=$B12)*ISNUMBER(INDEX(Inputs!$K$5:$AJ$140,0,MATCH(AH$2,Inputs!$K$4:$AJ$4,0))))=0,NA(),SUMPRODUCT((Inputs!$A$5:$A$140=$B12)*Inputs!$B$5:$B$140*(((Inputs!$G$5:$G$140="moeda")+(Inputs!$G$5:$G$140="acoes"))*Inputs!$B$1+((Inputs!$G$5:$G$140&lt;&gt;"moeda")*(Inputs!$G$5:$G$140&lt;&gt;"acoes")))*INDEX(Inputs!$K$5:$AJ$140,0,MATCH(AH$2,Inputs!$K$4:$AJ$4,0)))+SUMPRODUCT((Inputs!$C$5:$C$140=$B12)*Inputs!$D$5:$D$140*(((Inputs!$G$5:$G$140="moeda")+(Inputs!$G$5:$G$140="acoes"))*Inputs!$B$1+((Inputs!$G$5:$G$140&lt;&gt;"moeda")*(Inputs!$G$5:$G$140&lt;&gt;"acoes")))*INDEX(Inputs!$K$5:$AJ$140,0,MATCH(AH$2,Inputs!$K$4:$AJ$4,0)))+SUMPRODUCT((Inputs!$E$5:$E$140=$B12)*Inputs!$F$5:$F$140*(((Inputs!$G$5:$G$140="moeda")+(Inputs!$G$5:$G$140="acoes"))*Inputs!$B$1+((Inputs!$G$5:$G$140&lt;&gt;"moeda")*(Inputs!$G$5:$G$140&lt;&gt;"acoes")))*INDEX(Inputs!$K$5:$AJ$140,0,MATCH(AH$2,Inputs!$K$4:$AJ$4,0)))))</f>
        <v>-8.918</v>
      </c>
      <c r="AI12" s="6">
        <f>IF(ISNA(MATCH(AI$2,Inputs!$K$4:$AJ$4,0)),NA(),IF(SUMPRODUCT((Inputs!$A$5:$A$140=$B12)*ISNUMBER(INDEX(Inputs!$K$5:$AJ$140,0,MATCH(AI$2,Inputs!$K$4:$AJ$4,0))))+SUMPRODUCT((Inputs!$C$5:$C$140=$B12)*ISNUMBER(INDEX(Inputs!$K$5:$AJ$140,0,MATCH(AI$2,Inputs!$K$4:$AJ$4,0))))+SUMPRODUCT((Inputs!$E$5:$E$140=$B12)*ISNUMBER(INDEX(Inputs!$K$5:$AJ$140,0,MATCH(AI$2,Inputs!$K$4:$AJ$4,0))))=0,NA(),SUMPRODUCT((Inputs!$A$5:$A$140=$B12)*Inputs!$B$5:$B$140*(((Inputs!$G$5:$G$140="moeda")+(Inputs!$G$5:$G$140="acoes"))*Inputs!$B$1+((Inputs!$G$5:$G$140&lt;&gt;"moeda")*(Inputs!$G$5:$G$140&lt;&gt;"acoes")))*INDEX(Inputs!$K$5:$AJ$140,0,MATCH(AI$2,Inputs!$K$4:$AJ$4,0)))+SUMPRODUCT((Inputs!$C$5:$C$140=$B12)*Inputs!$D$5:$D$140*(((Inputs!$G$5:$G$140="moeda")+(Inputs!$G$5:$G$140="acoes"))*Inputs!$B$1+((Inputs!$G$5:$G$140&lt;&gt;"moeda")*(Inputs!$G$5:$G$140&lt;&gt;"acoes")))*INDEX(Inputs!$K$5:$AJ$140,0,MATCH(AI$2,Inputs!$K$4:$AJ$4,0)))+SUMPRODUCT((Inputs!$E$5:$E$140=$B12)*Inputs!$F$5:$F$140*(((Inputs!$G$5:$G$140="moeda")+(Inputs!$G$5:$G$140="acoes"))*Inputs!$B$1+((Inputs!$G$5:$G$140&lt;&gt;"moeda")*(Inputs!$G$5:$G$140&lt;&gt;"acoes")))*INDEX(Inputs!$K$5:$AJ$140,0,MATCH(AI$2,Inputs!$K$4:$AJ$4,0)))))</f>
        <v>-4.023</v>
      </c>
      <c r="AJ12" s="6">
        <f>IF(ISNA(MATCH(AJ$2,Inputs!$K$4:$AJ$4,0)),NA(),IF(SUMPRODUCT((Inputs!$A$5:$A$140=$B12)*ISNUMBER(INDEX(Inputs!$K$5:$AJ$140,0,MATCH(AJ$2,Inputs!$K$4:$AJ$4,0))))+SUMPRODUCT((Inputs!$C$5:$C$140=$B12)*ISNUMBER(INDEX(Inputs!$K$5:$AJ$140,0,MATCH(AJ$2,Inputs!$K$4:$AJ$4,0))))+SUMPRODUCT((Inputs!$E$5:$E$140=$B12)*ISNUMBER(INDEX(Inputs!$K$5:$AJ$140,0,MATCH(AJ$2,Inputs!$K$4:$AJ$4,0))))=0,NA(),SUMPRODUCT((Inputs!$A$5:$A$140=$B12)*Inputs!$B$5:$B$140*(((Inputs!$G$5:$G$140="moeda")+(Inputs!$G$5:$G$140="acoes"))*Inputs!$B$1+((Inputs!$G$5:$G$140&lt;&gt;"moeda")*(Inputs!$G$5:$G$140&lt;&gt;"acoes")))*INDEX(Inputs!$K$5:$AJ$140,0,MATCH(AJ$2,Inputs!$K$4:$AJ$4,0)))+SUMPRODUCT((Inputs!$C$5:$C$140=$B12)*Inputs!$D$5:$D$140*(((Inputs!$G$5:$G$140="moeda")+(Inputs!$G$5:$G$140="acoes"))*Inputs!$B$1+((Inputs!$G$5:$G$140&lt;&gt;"moeda")*(Inputs!$G$5:$G$140&lt;&gt;"acoes")))*INDEX(Inputs!$K$5:$AJ$140,0,MATCH(AJ$2,Inputs!$K$4:$AJ$4,0)))+SUMPRODUCT((Inputs!$E$5:$E$140=$B12)*Inputs!$F$5:$F$140*(((Inputs!$G$5:$G$140="moeda")+(Inputs!$G$5:$G$140="acoes"))*Inputs!$B$1+((Inputs!$G$5:$G$140&lt;&gt;"moeda")*(Inputs!$G$5:$G$140&lt;&gt;"acoes")))*INDEX(Inputs!$K$5:$AJ$140,0,MATCH(AJ$2,Inputs!$K$4:$AJ$4,0)))))</f>
        <v>-9.861</v>
      </c>
      <c r="AK12" s="6">
        <f>IF(ISNA(MATCH(AK$2,Inputs!$K$4:$AJ$4,0)),NA(),IF(SUMPRODUCT((Inputs!$A$5:$A$140=$B12)*ISNUMBER(INDEX(Inputs!$K$5:$AJ$140,0,MATCH(AK$2,Inputs!$K$4:$AJ$4,0))))+SUMPRODUCT((Inputs!$C$5:$C$140=$B12)*ISNUMBER(INDEX(Inputs!$K$5:$AJ$140,0,MATCH(AK$2,Inputs!$K$4:$AJ$4,0))))+SUMPRODUCT((Inputs!$E$5:$E$140=$B12)*ISNUMBER(INDEX(Inputs!$K$5:$AJ$140,0,MATCH(AK$2,Inputs!$K$4:$AJ$4,0))))=0,NA(),SUMPRODUCT((Inputs!$A$5:$A$140=$B12)*Inputs!$B$5:$B$140*(((Inputs!$G$5:$G$140="moeda")+(Inputs!$G$5:$G$140="acoes"))*Inputs!$B$1+((Inputs!$G$5:$G$140&lt;&gt;"moeda")*(Inputs!$G$5:$G$140&lt;&gt;"acoes")))*INDEX(Inputs!$K$5:$AJ$140,0,MATCH(AK$2,Inputs!$K$4:$AJ$4,0)))+SUMPRODUCT((Inputs!$C$5:$C$140=$B12)*Inputs!$D$5:$D$140*(((Inputs!$G$5:$G$140="moeda")+(Inputs!$G$5:$G$140="acoes"))*Inputs!$B$1+((Inputs!$G$5:$G$140&lt;&gt;"moeda")*(Inputs!$G$5:$G$140&lt;&gt;"acoes")))*INDEX(Inputs!$K$5:$AJ$140,0,MATCH(AK$2,Inputs!$K$4:$AJ$4,0)))+SUMPRODUCT((Inputs!$E$5:$E$140=$B12)*Inputs!$F$5:$F$140*(((Inputs!$G$5:$G$140="moeda")+(Inputs!$G$5:$G$140="acoes"))*Inputs!$B$1+((Inputs!$G$5:$G$140&lt;&gt;"moeda")*(Inputs!$G$5:$G$140&lt;&gt;"acoes")))*INDEX(Inputs!$K$5:$AJ$140,0,MATCH(AK$2,Inputs!$K$4:$AJ$4,0)))))</f>
        <v>-6.384</v>
      </c>
      <c r="AL12" s="3">
        <f>SUM(AH12:AK12)</f>
        <v>-29.186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$140=$B13)*ISNUMBER(INDEX(Inputs!$K$5:$AJ$140,0,MATCH(D$2,Inputs!$K$4:$AJ$4,0))))+SUMPRODUCT((Inputs!$C$5:$C$140=$B13)*ISNUMBER(INDEX(Inputs!$K$5:$AJ$140,0,MATCH(D$2,Inputs!$K$4:$AJ$4,0))))+SUMPRODUCT((Inputs!$E$5:$E$140=$B13)*ISNUMBER(INDEX(Inputs!$K$5:$AJ$140,0,MATCH(D$2,Inputs!$K$4:$AJ$4,0))))=0,NA(),SUMPRODUCT((Inputs!$A$5:$A$140=$B13)*Inputs!$B$5:$B$140*(((Inputs!$G$5:$G$140="moeda")+(Inputs!$G$5:$G$140="acoes"))*Inputs!$B$1+((Inputs!$G$5:$G$140&lt;&gt;"moeda")*(Inputs!$G$5:$G$140&lt;&gt;"acoes")))*INDEX(Inputs!$K$5:$AJ$140,0,MATCH(D$2,Inputs!$K$4:$AJ$4,0)))+SUMPRODUCT((Inputs!$C$5:$C$140=$B13)*Inputs!$D$5:$D$140*(((Inputs!$G$5:$G$140="moeda")+(Inputs!$G$5:$G$140="acoes"))*Inputs!$B$1+((Inputs!$G$5:$G$140&lt;&gt;"moeda")*(Inputs!$G$5:$G$140&lt;&gt;"acoes")))*INDEX(Inputs!$K$5:$AJ$140,0,MATCH(D$2,Inputs!$K$4:$AJ$4,0)))+SUMPRODUCT((Inputs!$E$5:$E$140=$B13)*Inputs!$F$5:$F$140*(((Inputs!$G$5:$G$140="moeda")+(Inputs!$G$5:$G$140="acoes"))*Inputs!$B$1+((Inputs!$G$5:$G$140&lt;&gt;"moeda")*(Inputs!$G$5:$G$140&lt;&gt;"acoes")))*INDEX(Inputs!$K$5:$AJ$140,0,MATCH(D$2,Inputs!$K$4:$AJ$4,0)))))</f>
        <v>0</v>
      </c>
      <c r="E13" s="6">
        <f>IF(ISNA(MATCH(E$2,Inputs!$K$4:$AJ$4,0)),NA(),IF(SUMPRODUCT((Inputs!$A$5:$A$140=$B13)*ISNUMBER(INDEX(Inputs!$K$5:$AJ$140,0,MATCH(E$2,Inputs!$K$4:$AJ$4,0))))+SUMPRODUCT((Inputs!$C$5:$C$140=$B13)*ISNUMBER(INDEX(Inputs!$K$5:$AJ$140,0,MATCH(E$2,Inputs!$K$4:$AJ$4,0))))+SUMPRODUCT((Inputs!$E$5:$E$140=$B13)*ISNUMBER(INDEX(Inputs!$K$5:$AJ$140,0,MATCH(E$2,Inputs!$K$4:$AJ$4,0))))=0,NA(),SUMPRODUCT((Inputs!$A$5:$A$140=$B13)*Inputs!$B$5:$B$140*(((Inputs!$G$5:$G$140="moeda")+(Inputs!$G$5:$G$140="acoes"))*Inputs!$B$1+((Inputs!$G$5:$G$140&lt;&gt;"moeda")*(Inputs!$G$5:$G$140&lt;&gt;"acoes")))*INDEX(Inputs!$K$5:$AJ$140,0,MATCH(E$2,Inputs!$K$4:$AJ$4,0)))+SUMPRODUCT((Inputs!$C$5:$C$140=$B13)*Inputs!$D$5:$D$140*(((Inputs!$G$5:$G$140="moeda")+(Inputs!$G$5:$G$140="acoes"))*Inputs!$B$1+((Inputs!$G$5:$G$140&lt;&gt;"moeda")*(Inputs!$G$5:$G$140&lt;&gt;"acoes")))*INDEX(Inputs!$K$5:$AJ$140,0,MATCH(E$2,Inputs!$K$4:$AJ$4,0)))+SUMPRODUCT((Inputs!$E$5:$E$140=$B13)*Inputs!$F$5:$F$140*(((Inputs!$G$5:$G$140="moeda")+(Inputs!$G$5:$G$140="acoes"))*Inputs!$B$1+((Inputs!$G$5:$G$140&lt;&gt;"moeda")*(Inputs!$G$5:$G$140&lt;&gt;"acoes")))*INDEX(Inputs!$K$5:$AJ$140,0,MATCH(E$2,Inputs!$K$4:$AJ$4,0)))))</f>
        <v>0</v>
      </c>
      <c r="F13" s="6">
        <f>IF(ISNA(MATCH(F$2,Inputs!$K$4:$AJ$4,0)),NA(),IF(SUMPRODUCT((Inputs!$A$5:$A$140=$B13)*ISNUMBER(INDEX(Inputs!$K$5:$AJ$140,0,MATCH(F$2,Inputs!$K$4:$AJ$4,0))))+SUMPRODUCT((Inputs!$C$5:$C$140=$B13)*ISNUMBER(INDEX(Inputs!$K$5:$AJ$140,0,MATCH(F$2,Inputs!$K$4:$AJ$4,0))))+SUMPRODUCT((Inputs!$E$5:$E$140=$B13)*ISNUMBER(INDEX(Inputs!$K$5:$AJ$140,0,MATCH(F$2,Inputs!$K$4:$AJ$4,0))))=0,NA(),SUMPRODUCT((Inputs!$A$5:$A$140=$B13)*Inputs!$B$5:$B$140*(((Inputs!$G$5:$G$140="moeda")+(Inputs!$G$5:$G$140="acoes"))*Inputs!$B$1+((Inputs!$G$5:$G$140&lt;&gt;"moeda")*(Inputs!$G$5:$G$140&lt;&gt;"acoes")))*INDEX(Inputs!$K$5:$AJ$140,0,MATCH(F$2,Inputs!$K$4:$AJ$4,0)))+SUMPRODUCT((Inputs!$C$5:$C$140=$B13)*Inputs!$D$5:$D$140*(((Inputs!$G$5:$G$140="moeda")+(Inputs!$G$5:$G$140="acoes"))*Inputs!$B$1+((Inputs!$G$5:$G$140&lt;&gt;"moeda")*(Inputs!$G$5:$G$140&lt;&gt;"acoes")))*INDEX(Inputs!$K$5:$AJ$140,0,MATCH(F$2,Inputs!$K$4:$AJ$4,0)))+SUMPRODUCT((Inputs!$E$5:$E$140=$B13)*Inputs!$F$5:$F$140*(((Inputs!$G$5:$G$140="moeda")+(Inputs!$G$5:$G$140="acoes"))*Inputs!$B$1+((Inputs!$G$5:$G$140&lt;&gt;"moeda")*(Inputs!$G$5:$G$140&lt;&gt;"acoes")))*INDEX(Inputs!$K$5:$AJ$140,0,MATCH(F$2,Inputs!$K$4:$AJ$4,0)))))</f>
        <v>-115</v>
      </c>
      <c r="G13" s="6">
        <f>IF(ISNA(MATCH(G$2,Inputs!$K$4:$AJ$4,0)),NA(),IF(SUMPRODUCT((Inputs!$A$5:$A$140=$B13)*ISNUMBER(INDEX(Inputs!$K$5:$AJ$140,0,MATCH(G$2,Inputs!$K$4:$AJ$4,0))))+SUMPRODUCT((Inputs!$C$5:$C$140=$B13)*ISNUMBER(INDEX(Inputs!$K$5:$AJ$140,0,MATCH(G$2,Inputs!$K$4:$AJ$4,0))))+SUMPRODUCT((Inputs!$E$5:$E$140=$B13)*ISNUMBER(INDEX(Inputs!$K$5:$AJ$140,0,MATCH(G$2,Inputs!$K$4:$AJ$4,0))))=0,NA(),SUMPRODUCT((Inputs!$A$5:$A$140=$B13)*Inputs!$B$5:$B$140*(((Inputs!$G$5:$G$140="moeda")+(Inputs!$G$5:$G$140="acoes"))*Inputs!$B$1+((Inputs!$G$5:$G$140&lt;&gt;"moeda")*(Inputs!$G$5:$G$140&lt;&gt;"acoes")))*INDEX(Inputs!$K$5:$AJ$140,0,MATCH(G$2,Inputs!$K$4:$AJ$4,0)))+SUMPRODUCT((Inputs!$C$5:$C$140=$B13)*Inputs!$D$5:$D$140*(((Inputs!$G$5:$G$140="moeda")+(Inputs!$G$5:$G$140="acoes"))*Inputs!$B$1+((Inputs!$G$5:$G$140&lt;&gt;"moeda")*(Inputs!$G$5:$G$140&lt;&gt;"acoes")))*INDEX(Inputs!$K$5:$AJ$140,0,MATCH(G$2,Inputs!$K$4:$AJ$4,0)))+SUMPRODUCT((Inputs!$E$5:$E$140=$B13)*Inputs!$F$5:$F$140*(((Inputs!$G$5:$G$140="moeda")+(Inputs!$G$5:$G$140="acoes"))*Inputs!$B$1+((Inputs!$G$5:$G$140&lt;&gt;"moeda")*(Inputs!$G$5:$G$140&lt;&gt;"acoes")))*INDEX(Inputs!$K$5:$AJ$140,0,MATCH(G$2,Inputs!$K$4:$AJ$4,0)))))</f>
        <v>-50</v>
      </c>
      <c r="H13" s="3">
        <f>SUM(D13:G13)</f>
        <v>-165</v>
      </c>
      <c r="I13" s="6">
        <f>IF(ISNA(MATCH(I$2,Inputs!$K$4:$AJ$4,0)),NA(),IF(SUMPRODUCT((Inputs!$A$5:$A$140=$B13)*ISNUMBER(INDEX(Inputs!$K$5:$AJ$140,0,MATCH(I$2,Inputs!$K$4:$AJ$4,0))))+SUMPRODUCT((Inputs!$C$5:$C$140=$B13)*ISNUMBER(INDEX(Inputs!$K$5:$AJ$140,0,MATCH(I$2,Inputs!$K$4:$AJ$4,0))))+SUMPRODUCT((Inputs!$E$5:$E$140=$B13)*ISNUMBER(INDEX(Inputs!$K$5:$AJ$140,0,MATCH(I$2,Inputs!$K$4:$AJ$4,0))))=0,NA(),SUMPRODUCT((Inputs!$A$5:$A$140=$B13)*Inputs!$B$5:$B$140*(((Inputs!$G$5:$G$140="moeda")+(Inputs!$G$5:$G$140="acoes"))*Inputs!$B$1+((Inputs!$G$5:$G$140&lt;&gt;"moeda")*(Inputs!$G$5:$G$140&lt;&gt;"acoes")))*INDEX(Inputs!$K$5:$AJ$140,0,MATCH(I$2,Inputs!$K$4:$AJ$4,0)))+SUMPRODUCT((Inputs!$C$5:$C$140=$B13)*Inputs!$D$5:$D$140*(((Inputs!$G$5:$G$140="moeda")+(Inputs!$G$5:$G$140="acoes"))*Inputs!$B$1+((Inputs!$G$5:$G$140&lt;&gt;"moeda")*(Inputs!$G$5:$G$140&lt;&gt;"acoes")))*INDEX(Inputs!$K$5:$AJ$140,0,MATCH(I$2,Inputs!$K$4:$AJ$4,0)))+SUMPRODUCT((Inputs!$E$5:$E$140=$B13)*Inputs!$F$5:$F$140*(((Inputs!$G$5:$G$140="moeda")+(Inputs!$G$5:$G$140="acoes"))*Inputs!$B$1+((Inputs!$G$5:$G$140&lt;&gt;"moeda")*(Inputs!$G$5:$G$140&lt;&gt;"acoes")))*INDEX(Inputs!$K$5:$AJ$140,0,MATCH(I$2,Inputs!$K$4:$AJ$4,0)))))</f>
        <v>0</v>
      </c>
      <c r="J13" s="6">
        <f>IF(ISNA(MATCH(J$2,Inputs!$K$4:$AJ$4,0)),NA(),IF(SUMPRODUCT((Inputs!$A$5:$A$140=$B13)*ISNUMBER(INDEX(Inputs!$K$5:$AJ$140,0,MATCH(J$2,Inputs!$K$4:$AJ$4,0))))+SUMPRODUCT((Inputs!$C$5:$C$140=$B13)*ISNUMBER(INDEX(Inputs!$K$5:$AJ$140,0,MATCH(J$2,Inputs!$K$4:$AJ$4,0))))+SUMPRODUCT((Inputs!$E$5:$E$140=$B13)*ISNUMBER(INDEX(Inputs!$K$5:$AJ$140,0,MATCH(J$2,Inputs!$K$4:$AJ$4,0))))=0,NA(),SUMPRODUCT((Inputs!$A$5:$A$140=$B13)*Inputs!$B$5:$B$140*(((Inputs!$G$5:$G$140="moeda")+(Inputs!$G$5:$G$140="acoes"))*Inputs!$B$1+((Inputs!$G$5:$G$140&lt;&gt;"moeda")*(Inputs!$G$5:$G$140&lt;&gt;"acoes")))*INDEX(Inputs!$K$5:$AJ$140,0,MATCH(J$2,Inputs!$K$4:$AJ$4,0)))+SUMPRODUCT((Inputs!$C$5:$C$140=$B13)*Inputs!$D$5:$D$140*(((Inputs!$G$5:$G$140="moeda")+(Inputs!$G$5:$G$140="acoes"))*Inputs!$B$1+((Inputs!$G$5:$G$140&lt;&gt;"moeda")*(Inputs!$G$5:$G$140&lt;&gt;"acoes")))*INDEX(Inputs!$K$5:$AJ$140,0,MATCH(J$2,Inputs!$K$4:$AJ$4,0)))+SUMPRODUCT((Inputs!$E$5:$E$140=$B13)*Inputs!$F$5:$F$140*(((Inputs!$G$5:$G$140="moeda")+(Inputs!$G$5:$G$140="acoes"))*Inputs!$B$1+((Inputs!$G$5:$G$140&lt;&gt;"moeda")*(Inputs!$G$5:$G$140&lt;&gt;"acoes")))*INDEX(Inputs!$K$5:$AJ$140,0,MATCH(J$2,Inputs!$K$4:$AJ$4,0)))))</f>
        <v>0</v>
      </c>
      <c r="K13" s="6">
        <f>IF(ISNA(MATCH(K$2,Inputs!$K$4:$AJ$4,0)),NA(),IF(SUMPRODUCT((Inputs!$A$5:$A$140=$B13)*ISNUMBER(INDEX(Inputs!$K$5:$AJ$140,0,MATCH(K$2,Inputs!$K$4:$AJ$4,0))))+SUMPRODUCT((Inputs!$C$5:$C$140=$B13)*ISNUMBER(INDEX(Inputs!$K$5:$AJ$140,0,MATCH(K$2,Inputs!$K$4:$AJ$4,0))))+SUMPRODUCT((Inputs!$E$5:$E$140=$B13)*ISNUMBER(INDEX(Inputs!$K$5:$AJ$140,0,MATCH(K$2,Inputs!$K$4:$AJ$4,0))))=0,NA(),SUMPRODUCT((Inputs!$A$5:$A$140=$B13)*Inputs!$B$5:$B$140*(((Inputs!$G$5:$G$140="moeda")+(Inputs!$G$5:$G$140="acoes"))*Inputs!$B$1+((Inputs!$G$5:$G$140&lt;&gt;"moeda")*(Inputs!$G$5:$G$140&lt;&gt;"acoes")))*INDEX(Inputs!$K$5:$AJ$140,0,MATCH(K$2,Inputs!$K$4:$AJ$4,0)))+SUMPRODUCT((Inputs!$C$5:$C$140=$B13)*Inputs!$D$5:$D$140*(((Inputs!$G$5:$G$140="moeda")+(Inputs!$G$5:$G$140="acoes"))*Inputs!$B$1+((Inputs!$G$5:$G$140&lt;&gt;"moeda")*(Inputs!$G$5:$G$140&lt;&gt;"acoes")))*INDEX(Inputs!$K$5:$AJ$140,0,MATCH(K$2,Inputs!$K$4:$AJ$4,0)))+SUMPRODUCT((Inputs!$E$5:$E$140=$B13)*Inputs!$F$5:$F$140*(((Inputs!$G$5:$G$140="moeda")+(Inputs!$G$5:$G$140="acoes"))*Inputs!$B$1+((Inputs!$G$5:$G$140&lt;&gt;"moeda")*(Inputs!$G$5:$G$140&lt;&gt;"acoes")))*INDEX(Inputs!$K$5:$AJ$140,0,MATCH(K$2,Inputs!$K$4:$AJ$4,0)))))</f>
        <v>-150</v>
      </c>
      <c r="L13" s="6">
        <f>IF(ISNA(MATCH(L$2,Inputs!$K$4:$AJ$4,0)),NA(),IF(SUMPRODUCT((Inputs!$A$5:$A$140=$B13)*ISNUMBER(INDEX(Inputs!$K$5:$AJ$140,0,MATCH(L$2,Inputs!$K$4:$AJ$4,0))))+SUMPRODUCT((Inputs!$C$5:$C$140=$B13)*ISNUMBER(INDEX(Inputs!$K$5:$AJ$140,0,MATCH(L$2,Inputs!$K$4:$AJ$4,0))))+SUMPRODUCT((Inputs!$E$5:$E$140=$B13)*ISNUMBER(INDEX(Inputs!$K$5:$AJ$140,0,MATCH(L$2,Inputs!$K$4:$AJ$4,0))))=0,NA(),SUMPRODUCT((Inputs!$A$5:$A$140=$B13)*Inputs!$B$5:$B$140*(((Inputs!$G$5:$G$140="moeda")+(Inputs!$G$5:$G$140="acoes"))*Inputs!$B$1+((Inputs!$G$5:$G$140&lt;&gt;"moeda")*(Inputs!$G$5:$G$140&lt;&gt;"acoes")))*INDEX(Inputs!$K$5:$AJ$140,0,MATCH(L$2,Inputs!$K$4:$AJ$4,0)))+SUMPRODUCT((Inputs!$C$5:$C$140=$B13)*Inputs!$D$5:$D$140*(((Inputs!$G$5:$G$140="moeda")+(Inputs!$G$5:$G$140="acoes"))*Inputs!$B$1+((Inputs!$G$5:$G$140&lt;&gt;"moeda")*(Inputs!$G$5:$G$140&lt;&gt;"acoes")))*INDEX(Inputs!$K$5:$AJ$140,0,MATCH(L$2,Inputs!$K$4:$AJ$4,0)))+SUMPRODUCT((Inputs!$E$5:$E$140=$B13)*Inputs!$F$5:$F$140*(((Inputs!$G$5:$G$140="moeda")+(Inputs!$G$5:$G$140="acoes"))*Inputs!$B$1+((Inputs!$G$5:$G$140&lt;&gt;"moeda")*(Inputs!$G$5:$G$140&lt;&gt;"acoes")))*INDEX(Inputs!$K$5:$AJ$140,0,MATCH(L$2,Inputs!$K$4:$AJ$4,0)))))</f>
        <v>0</v>
      </c>
      <c r="M13" s="3">
        <f>SUM(I13:L13)</f>
        <v>-150</v>
      </c>
      <c r="N13" s="6">
        <f>IF(ISNA(MATCH(N$2,Inputs!$K$4:$AJ$4,0)),NA(),IF(SUMPRODUCT((Inputs!$A$5:$A$140=$B13)*ISNUMBER(INDEX(Inputs!$K$5:$AJ$140,0,MATCH(N$2,Inputs!$K$4:$AJ$4,0))))+SUMPRODUCT((Inputs!$C$5:$C$140=$B13)*ISNUMBER(INDEX(Inputs!$K$5:$AJ$140,0,MATCH(N$2,Inputs!$K$4:$AJ$4,0))))+SUMPRODUCT((Inputs!$E$5:$E$140=$B13)*ISNUMBER(INDEX(Inputs!$K$5:$AJ$140,0,MATCH(N$2,Inputs!$K$4:$AJ$4,0))))=0,NA(),SUMPRODUCT((Inputs!$A$5:$A$140=$B13)*Inputs!$B$5:$B$140*(((Inputs!$G$5:$G$140="moeda")+(Inputs!$G$5:$G$140="acoes"))*Inputs!$B$1+((Inputs!$G$5:$G$140&lt;&gt;"moeda")*(Inputs!$G$5:$G$140&lt;&gt;"acoes")))*INDEX(Inputs!$K$5:$AJ$140,0,MATCH(N$2,Inputs!$K$4:$AJ$4,0)))+SUMPRODUCT((Inputs!$C$5:$C$140=$B13)*Inputs!$D$5:$D$140*(((Inputs!$G$5:$G$140="moeda")+(Inputs!$G$5:$G$140="acoes"))*Inputs!$B$1+((Inputs!$G$5:$G$140&lt;&gt;"moeda")*(Inputs!$G$5:$G$140&lt;&gt;"acoes")))*INDEX(Inputs!$K$5:$AJ$140,0,MATCH(N$2,Inputs!$K$4:$AJ$4,0)))+SUMPRODUCT((Inputs!$E$5:$E$140=$B13)*Inputs!$F$5:$F$140*(((Inputs!$G$5:$G$140="moeda")+(Inputs!$G$5:$G$140="acoes"))*Inputs!$B$1+((Inputs!$G$5:$G$140&lt;&gt;"moeda")*(Inputs!$G$5:$G$140&lt;&gt;"acoes")))*INDEX(Inputs!$K$5:$AJ$140,0,MATCH(N$2,Inputs!$K$4:$AJ$4,0)))))</f>
        <v>-60</v>
      </c>
      <c r="O13" s="6">
        <f>IF(ISNA(MATCH(O$2,Inputs!$K$4:$AJ$4,0)),NA(),IF(SUMPRODUCT((Inputs!$A$5:$A$140=$B13)*ISNUMBER(INDEX(Inputs!$K$5:$AJ$140,0,MATCH(O$2,Inputs!$K$4:$AJ$4,0))))+SUMPRODUCT((Inputs!$C$5:$C$140=$B13)*ISNUMBER(INDEX(Inputs!$K$5:$AJ$140,0,MATCH(O$2,Inputs!$K$4:$AJ$4,0))))+SUMPRODUCT((Inputs!$E$5:$E$140=$B13)*ISNUMBER(INDEX(Inputs!$K$5:$AJ$140,0,MATCH(O$2,Inputs!$K$4:$AJ$4,0))))=0,NA(),SUMPRODUCT((Inputs!$A$5:$A$140=$B13)*Inputs!$B$5:$B$140*(((Inputs!$G$5:$G$140="moeda")+(Inputs!$G$5:$G$140="acoes"))*Inputs!$B$1+((Inputs!$G$5:$G$140&lt;&gt;"moeda")*(Inputs!$G$5:$G$140&lt;&gt;"acoes")))*INDEX(Inputs!$K$5:$AJ$140,0,MATCH(O$2,Inputs!$K$4:$AJ$4,0)))+SUMPRODUCT((Inputs!$C$5:$C$140=$B13)*Inputs!$D$5:$D$140*(((Inputs!$G$5:$G$140="moeda")+(Inputs!$G$5:$G$140="acoes"))*Inputs!$B$1+((Inputs!$G$5:$G$140&lt;&gt;"moeda")*(Inputs!$G$5:$G$140&lt;&gt;"acoes")))*INDEX(Inputs!$K$5:$AJ$140,0,MATCH(O$2,Inputs!$K$4:$AJ$4,0)))+SUMPRODUCT((Inputs!$E$5:$E$140=$B13)*Inputs!$F$5:$F$140*(((Inputs!$G$5:$G$140="moeda")+(Inputs!$G$5:$G$140="acoes"))*Inputs!$B$1+((Inputs!$G$5:$G$140&lt;&gt;"moeda")*(Inputs!$G$5:$G$140&lt;&gt;"acoes")))*INDEX(Inputs!$K$5:$AJ$140,0,MATCH(O$2,Inputs!$K$4:$AJ$4,0)))))</f>
        <v>-18.348</v>
      </c>
      <c r="P13" s="6">
        <f>IF(ISNA(MATCH(P$2,Inputs!$K$4:$AJ$4,0)),NA(),IF(SUMPRODUCT((Inputs!$A$5:$A$140=$B13)*ISNUMBER(INDEX(Inputs!$K$5:$AJ$140,0,MATCH(P$2,Inputs!$K$4:$AJ$4,0))))+SUMPRODUCT((Inputs!$C$5:$C$140=$B13)*ISNUMBER(INDEX(Inputs!$K$5:$AJ$140,0,MATCH(P$2,Inputs!$K$4:$AJ$4,0))))+SUMPRODUCT((Inputs!$E$5:$E$140=$B13)*ISNUMBER(INDEX(Inputs!$K$5:$AJ$140,0,MATCH(P$2,Inputs!$K$4:$AJ$4,0))))=0,NA(),SUMPRODUCT((Inputs!$A$5:$A$140=$B13)*Inputs!$B$5:$B$140*(((Inputs!$G$5:$G$140="moeda")+(Inputs!$G$5:$G$140="acoes"))*Inputs!$B$1+((Inputs!$G$5:$G$140&lt;&gt;"moeda")*(Inputs!$G$5:$G$140&lt;&gt;"acoes")))*INDEX(Inputs!$K$5:$AJ$140,0,MATCH(P$2,Inputs!$K$4:$AJ$4,0)))+SUMPRODUCT((Inputs!$C$5:$C$140=$B13)*Inputs!$D$5:$D$140*(((Inputs!$G$5:$G$140="moeda")+(Inputs!$G$5:$G$140="acoes"))*Inputs!$B$1+((Inputs!$G$5:$G$140&lt;&gt;"moeda")*(Inputs!$G$5:$G$140&lt;&gt;"acoes")))*INDEX(Inputs!$K$5:$AJ$140,0,MATCH(P$2,Inputs!$K$4:$AJ$4,0)))+SUMPRODUCT((Inputs!$E$5:$E$140=$B13)*Inputs!$F$5:$F$140*(((Inputs!$G$5:$G$140="moeda")+(Inputs!$G$5:$G$140="acoes"))*Inputs!$B$1+((Inputs!$G$5:$G$140&lt;&gt;"moeda")*(Inputs!$G$5:$G$140&lt;&gt;"acoes")))*INDEX(Inputs!$K$5:$AJ$140,0,MATCH(P$2,Inputs!$K$4:$AJ$4,0)))))</f>
        <v>0</v>
      </c>
      <c r="Q13" s="6">
        <f>IF(ISNA(MATCH(Q$2,Inputs!$K$4:$AJ$4,0)),NA(),IF(SUMPRODUCT((Inputs!$A$5:$A$140=$B13)*ISNUMBER(INDEX(Inputs!$K$5:$AJ$140,0,MATCH(Q$2,Inputs!$K$4:$AJ$4,0))))+SUMPRODUCT((Inputs!$C$5:$C$140=$B13)*ISNUMBER(INDEX(Inputs!$K$5:$AJ$140,0,MATCH(Q$2,Inputs!$K$4:$AJ$4,0))))+SUMPRODUCT((Inputs!$E$5:$E$140=$B13)*ISNUMBER(INDEX(Inputs!$K$5:$AJ$140,0,MATCH(Q$2,Inputs!$K$4:$AJ$4,0))))=0,NA(),SUMPRODUCT((Inputs!$A$5:$A$140=$B13)*Inputs!$B$5:$B$140*(((Inputs!$G$5:$G$140="moeda")+(Inputs!$G$5:$G$140="acoes"))*Inputs!$B$1+((Inputs!$G$5:$G$140&lt;&gt;"moeda")*(Inputs!$G$5:$G$140&lt;&gt;"acoes")))*INDEX(Inputs!$K$5:$AJ$140,0,MATCH(Q$2,Inputs!$K$4:$AJ$4,0)))+SUMPRODUCT((Inputs!$C$5:$C$140=$B13)*Inputs!$D$5:$D$140*(((Inputs!$G$5:$G$140="moeda")+(Inputs!$G$5:$G$140="acoes"))*Inputs!$B$1+((Inputs!$G$5:$G$140&lt;&gt;"moeda")*(Inputs!$G$5:$G$140&lt;&gt;"acoes")))*INDEX(Inputs!$K$5:$AJ$140,0,MATCH(Q$2,Inputs!$K$4:$AJ$4,0)))+SUMPRODUCT((Inputs!$E$5:$E$140=$B13)*Inputs!$F$5:$F$140*(((Inputs!$G$5:$G$140="moeda")+(Inputs!$G$5:$G$140="acoes"))*Inputs!$B$1+((Inputs!$G$5:$G$140&lt;&gt;"moeda")*(Inputs!$G$5:$G$140&lt;&gt;"acoes")))*INDEX(Inputs!$K$5:$AJ$140,0,MATCH(Q$2,Inputs!$K$4:$AJ$4,0)))))</f>
        <v>-250</v>
      </c>
      <c r="R13" s="3">
        <f>SUM(N13:Q13)</f>
        <v>-328.348</v>
      </c>
      <c r="S13" s="6">
        <f>IF(ISNA(MATCH(S$2,Inputs!$K$4:$AJ$4,0)),NA(),IF(SUMPRODUCT((Inputs!$A$5:$A$140=$B13)*ISNUMBER(INDEX(Inputs!$K$5:$AJ$140,0,MATCH(S$2,Inputs!$K$4:$AJ$4,0))))+SUMPRODUCT((Inputs!$C$5:$C$140=$B13)*ISNUMBER(INDEX(Inputs!$K$5:$AJ$140,0,MATCH(S$2,Inputs!$K$4:$AJ$4,0))))+SUMPRODUCT((Inputs!$E$5:$E$140=$B13)*ISNUMBER(INDEX(Inputs!$K$5:$AJ$140,0,MATCH(S$2,Inputs!$K$4:$AJ$4,0))))=0,NA(),SUMPRODUCT((Inputs!$A$5:$A$140=$B13)*Inputs!$B$5:$B$140*(((Inputs!$G$5:$G$140="moeda")+(Inputs!$G$5:$G$140="acoes"))*Inputs!$B$1+((Inputs!$G$5:$G$140&lt;&gt;"moeda")*(Inputs!$G$5:$G$140&lt;&gt;"acoes")))*INDEX(Inputs!$K$5:$AJ$140,0,MATCH(S$2,Inputs!$K$4:$AJ$4,0)))+SUMPRODUCT((Inputs!$C$5:$C$140=$B13)*Inputs!$D$5:$D$140*(((Inputs!$G$5:$G$140="moeda")+(Inputs!$G$5:$G$140="acoes"))*Inputs!$B$1+((Inputs!$G$5:$G$140&lt;&gt;"moeda")*(Inputs!$G$5:$G$140&lt;&gt;"acoes")))*INDEX(Inputs!$K$5:$AJ$140,0,MATCH(S$2,Inputs!$K$4:$AJ$4,0)))+SUMPRODUCT((Inputs!$E$5:$E$140=$B13)*Inputs!$F$5:$F$140*(((Inputs!$G$5:$G$140="moeda")+(Inputs!$G$5:$G$140="acoes"))*Inputs!$B$1+((Inputs!$G$5:$G$140&lt;&gt;"moeda")*(Inputs!$G$5:$G$140&lt;&gt;"acoes")))*INDEX(Inputs!$K$5:$AJ$140,0,MATCH(S$2,Inputs!$K$4:$AJ$4,0)))))</f>
        <v>0</v>
      </c>
      <c r="T13" s="6">
        <f>IF(ISNA(MATCH(T$2,Inputs!$K$4:$AJ$4,0)),NA(),IF(SUMPRODUCT((Inputs!$A$5:$A$140=$B13)*ISNUMBER(INDEX(Inputs!$K$5:$AJ$140,0,MATCH(T$2,Inputs!$K$4:$AJ$4,0))))+SUMPRODUCT((Inputs!$C$5:$C$140=$B13)*ISNUMBER(INDEX(Inputs!$K$5:$AJ$140,0,MATCH(T$2,Inputs!$K$4:$AJ$4,0))))+SUMPRODUCT((Inputs!$E$5:$E$140=$B13)*ISNUMBER(INDEX(Inputs!$K$5:$AJ$140,0,MATCH(T$2,Inputs!$K$4:$AJ$4,0))))=0,NA(),SUMPRODUCT((Inputs!$A$5:$A$140=$B13)*Inputs!$B$5:$B$140*(((Inputs!$G$5:$G$140="moeda")+(Inputs!$G$5:$G$140="acoes"))*Inputs!$B$1+((Inputs!$G$5:$G$140&lt;&gt;"moeda")*(Inputs!$G$5:$G$140&lt;&gt;"acoes")))*INDEX(Inputs!$K$5:$AJ$140,0,MATCH(T$2,Inputs!$K$4:$AJ$4,0)))+SUMPRODUCT((Inputs!$C$5:$C$140=$B13)*Inputs!$D$5:$D$140*(((Inputs!$G$5:$G$140="moeda")+(Inputs!$G$5:$G$140="acoes"))*Inputs!$B$1+((Inputs!$G$5:$G$140&lt;&gt;"moeda")*(Inputs!$G$5:$G$140&lt;&gt;"acoes")))*INDEX(Inputs!$K$5:$AJ$140,0,MATCH(T$2,Inputs!$K$4:$AJ$4,0)))+SUMPRODUCT((Inputs!$E$5:$E$140=$B13)*Inputs!$F$5:$F$140*(((Inputs!$G$5:$G$140="moeda")+(Inputs!$G$5:$G$140="acoes"))*Inputs!$B$1+((Inputs!$G$5:$G$140&lt;&gt;"moeda")*(Inputs!$G$5:$G$140&lt;&gt;"acoes")))*INDEX(Inputs!$K$5:$AJ$140,0,MATCH(T$2,Inputs!$K$4:$AJ$4,0)))))</f>
        <v>-118.537</v>
      </c>
      <c r="U13" s="6">
        <f>IF(ISNA(MATCH(U$2,Inputs!$K$4:$AJ$4,0)),NA(),IF(SUMPRODUCT((Inputs!$A$5:$A$140=$B13)*ISNUMBER(INDEX(Inputs!$K$5:$AJ$140,0,MATCH(U$2,Inputs!$K$4:$AJ$4,0))))+SUMPRODUCT((Inputs!$C$5:$C$140=$B13)*ISNUMBER(INDEX(Inputs!$K$5:$AJ$140,0,MATCH(U$2,Inputs!$K$4:$AJ$4,0))))+SUMPRODUCT((Inputs!$E$5:$E$140=$B13)*ISNUMBER(INDEX(Inputs!$K$5:$AJ$140,0,MATCH(U$2,Inputs!$K$4:$AJ$4,0))))=0,NA(),SUMPRODUCT((Inputs!$A$5:$A$140=$B13)*Inputs!$B$5:$B$140*(((Inputs!$G$5:$G$140="moeda")+(Inputs!$G$5:$G$140="acoes"))*Inputs!$B$1+((Inputs!$G$5:$G$140&lt;&gt;"moeda")*(Inputs!$G$5:$G$140&lt;&gt;"acoes")))*INDEX(Inputs!$K$5:$AJ$140,0,MATCH(U$2,Inputs!$K$4:$AJ$4,0)))+SUMPRODUCT((Inputs!$C$5:$C$140=$B13)*Inputs!$D$5:$D$140*(((Inputs!$G$5:$G$140="moeda")+(Inputs!$G$5:$G$140="acoes"))*Inputs!$B$1+((Inputs!$G$5:$G$140&lt;&gt;"moeda")*(Inputs!$G$5:$G$140&lt;&gt;"acoes")))*INDEX(Inputs!$K$5:$AJ$140,0,MATCH(U$2,Inputs!$K$4:$AJ$4,0)))+SUMPRODUCT((Inputs!$E$5:$E$140=$B13)*Inputs!$F$5:$F$140*(((Inputs!$G$5:$G$140="moeda")+(Inputs!$G$5:$G$140="acoes"))*Inputs!$B$1+((Inputs!$G$5:$G$140&lt;&gt;"moeda")*(Inputs!$G$5:$G$140&lt;&gt;"acoes")))*INDEX(Inputs!$K$5:$AJ$140,0,MATCH(U$2,Inputs!$K$4:$AJ$4,0)))))</f>
        <v>-265</v>
      </c>
      <c r="V13" s="6">
        <f>IF(ISNA(MATCH(V$2,Inputs!$K$4:$AJ$4,0)),NA(),IF(SUMPRODUCT((Inputs!$A$5:$A$140=$B13)*ISNUMBER(INDEX(Inputs!$K$5:$AJ$140,0,MATCH(V$2,Inputs!$K$4:$AJ$4,0))))+SUMPRODUCT((Inputs!$C$5:$C$140=$B13)*ISNUMBER(INDEX(Inputs!$K$5:$AJ$140,0,MATCH(V$2,Inputs!$K$4:$AJ$4,0))))+SUMPRODUCT((Inputs!$E$5:$E$140=$B13)*ISNUMBER(INDEX(Inputs!$K$5:$AJ$140,0,MATCH(V$2,Inputs!$K$4:$AJ$4,0))))=0,NA(),SUMPRODUCT((Inputs!$A$5:$A$140=$B13)*Inputs!$B$5:$B$140*(((Inputs!$G$5:$G$140="moeda")+(Inputs!$G$5:$G$140="acoes"))*Inputs!$B$1+((Inputs!$G$5:$G$140&lt;&gt;"moeda")*(Inputs!$G$5:$G$140&lt;&gt;"acoes")))*INDEX(Inputs!$K$5:$AJ$140,0,MATCH(V$2,Inputs!$K$4:$AJ$4,0)))+SUMPRODUCT((Inputs!$C$5:$C$140=$B13)*Inputs!$D$5:$D$140*(((Inputs!$G$5:$G$140="moeda")+(Inputs!$G$5:$G$140="acoes"))*Inputs!$B$1+((Inputs!$G$5:$G$140&lt;&gt;"moeda")*(Inputs!$G$5:$G$140&lt;&gt;"acoes")))*INDEX(Inputs!$K$5:$AJ$140,0,MATCH(V$2,Inputs!$K$4:$AJ$4,0)))+SUMPRODUCT((Inputs!$E$5:$E$140=$B13)*Inputs!$F$5:$F$140*(((Inputs!$G$5:$G$140="moeda")+(Inputs!$G$5:$G$140="acoes"))*Inputs!$B$1+((Inputs!$G$5:$G$140&lt;&gt;"moeda")*(Inputs!$G$5:$G$140&lt;&gt;"acoes")))*INDEX(Inputs!$K$5:$AJ$140,0,MATCH(V$2,Inputs!$K$4:$AJ$4,0)))))</f>
        <v>-100</v>
      </c>
      <c r="W13" s="3">
        <f>SUM(S13:V13)</f>
        <v>-483.537</v>
      </c>
      <c r="X13" s="6">
        <f>IF(ISNA(MATCH(X$2,Inputs!$K$4:$AJ$4,0)),NA(),IF(SUMPRODUCT((Inputs!$A$5:$A$140=$B13)*ISNUMBER(INDEX(Inputs!$K$5:$AJ$140,0,MATCH(X$2,Inputs!$K$4:$AJ$4,0))))+SUMPRODUCT((Inputs!$C$5:$C$140=$B13)*ISNUMBER(INDEX(Inputs!$K$5:$AJ$140,0,MATCH(X$2,Inputs!$K$4:$AJ$4,0))))+SUMPRODUCT((Inputs!$E$5:$E$140=$B13)*ISNUMBER(INDEX(Inputs!$K$5:$AJ$140,0,MATCH(X$2,Inputs!$K$4:$AJ$4,0))))=0,NA(),SUMPRODUCT((Inputs!$A$5:$A$140=$B13)*Inputs!$B$5:$B$140*(((Inputs!$G$5:$G$140="moeda")+(Inputs!$G$5:$G$140="acoes"))*Inputs!$B$1+((Inputs!$G$5:$G$140&lt;&gt;"moeda")*(Inputs!$G$5:$G$140&lt;&gt;"acoes")))*INDEX(Inputs!$K$5:$AJ$140,0,MATCH(X$2,Inputs!$K$4:$AJ$4,0)))+SUMPRODUCT((Inputs!$C$5:$C$140=$B13)*Inputs!$D$5:$D$140*(((Inputs!$G$5:$G$140="moeda")+(Inputs!$G$5:$G$140="acoes"))*Inputs!$B$1+((Inputs!$G$5:$G$140&lt;&gt;"moeda")*(Inputs!$G$5:$G$140&lt;&gt;"acoes")))*INDEX(Inputs!$K$5:$AJ$140,0,MATCH(X$2,Inputs!$K$4:$AJ$4,0)))+SUMPRODUCT((Inputs!$E$5:$E$140=$B13)*Inputs!$F$5:$F$140*(((Inputs!$G$5:$G$140="moeda")+(Inputs!$G$5:$G$140="acoes"))*Inputs!$B$1+((Inputs!$G$5:$G$140&lt;&gt;"moeda")*(Inputs!$G$5:$G$140&lt;&gt;"acoes")))*INDEX(Inputs!$K$5:$AJ$140,0,MATCH(X$2,Inputs!$K$4:$AJ$4,0)))))</f>
        <v>-175</v>
      </c>
      <c r="Y13" s="6">
        <f>IF(ISNA(MATCH(Y$2,Inputs!$K$4:$AJ$4,0)),NA(),IF(SUMPRODUCT((Inputs!$A$5:$A$140=$B13)*ISNUMBER(INDEX(Inputs!$K$5:$AJ$140,0,MATCH(Y$2,Inputs!$K$4:$AJ$4,0))))+SUMPRODUCT((Inputs!$C$5:$C$140=$B13)*ISNUMBER(INDEX(Inputs!$K$5:$AJ$140,0,MATCH(Y$2,Inputs!$K$4:$AJ$4,0))))+SUMPRODUCT((Inputs!$E$5:$E$140=$B13)*ISNUMBER(INDEX(Inputs!$K$5:$AJ$140,0,MATCH(Y$2,Inputs!$K$4:$AJ$4,0))))=0,NA(),SUMPRODUCT((Inputs!$A$5:$A$140=$B13)*Inputs!$B$5:$B$140*(((Inputs!$G$5:$G$140="moeda")+(Inputs!$G$5:$G$140="acoes"))*Inputs!$B$1+((Inputs!$G$5:$G$140&lt;&gt;"moeda")*(Inputs!$G$5:$G$140&lt;&gt;"acoes")))*INDEX(Inputs!$K$5:$AJ$140,0,MATCH(Y$2,Inputs!$K$4:$AJ$4,0)))+SUMPRODUCT((Inputs!$C$5:$C$140=$B13)*Inputs!$D$5:$D$140*(((Inputs!$G$5:$G$140="moeda")+(Inputs!$G$5:$G$140="acoes"))*Inputs!$B$1+((Inputs!$G$5:$G$140&lt;&gt;"moeda")*(Inputs!$G$5:$G$140&lt;&gt;"acoes")))*INDEX(Inputs!$K$5:$AJ$140,0,MATCH(Y$2,Inputs!$K$4:$AJ$4,0)))+SUMPRODUCT((Inputs!$E$5:$E$140=$B13)*Inputs!$F$5:$F$140*(((Inputs!$G$5:$G$140="moeda")+(Inputs!$G$5:$G$140="acoes"))*Inputs!$B$1+((Inputs!$G$5:$G$140&lt;&gt;"moeda")*(Inputs!$G$5:$G$140&lt;&gt;"acoes")))*INDEX(Inputs!$K$5:$AJ$140,0,MATCH(Y$2,Inputs!$K$4:$AJ$4,0)))))</f>
        <v>-154.338</v>
      </c>
      <c r="Z13" s="6">
        <f>IF(ISNA(MATCH(Z$2,Inputs!$K$4:$AJ$4,0)),NA(),IF(SUMPRODUCT((Inputs!$A$5:$A$140=$B13)*ISNUMBER(INDEX(Inputs!$K$5:$AJ$140,0,MATCH(Z$2,Inputs!$K$4:$AJ$4,0))))+SUMPRODUCT((Inputs!$C$5:$C$140=$B13)*ISNUMBER(INDEX(Inputs!$K$5:$AJ$140,0,MATCH(Z$2,Inputs!$K$4:$AJ$4,0))))+SUMPRODUCT((Inputs!$E$5:$E$140=$B13)*ISNUMBER(INDEX(Inputs!$K$5:$AJ$140,0,MATCH(Z$2,Inputs!$K$4:$AJ$4,0))))=0,NA(),SUMPRODUCT((Inputs!$A$5:$A$140=$B13)*Inputs!$B$5:$B$140*(((Inputs!$G$5:$G$140="moeda")+(Inputs!$G$5:$G$140="acoes"))*Inputs!$B$1+((Inputs!$G$5:$G$140&lt;&gt;"moeda")*(Inputs!$G$5:$G$140&lt;&gt;"acoes")))*INDEX(Inputs!$K$5:$AJ$140,0,MATCH(Z$2,Inputs!$K$4:$AJ$4,0)))+SUMPRODUCT((Inputs!$C$5:$C$140=$B13)*Inputs!$D$5:$D$140*(((Inputs!$G$5:$G$140="moeda")+(Inputs!$G$5:$G$140="acoes"))*Inputs!$B$1+((Inputs!$G$5:$G$140&lt;&gt;"moeda")*(Inputs!$G$5:$G$140&lt;&gt;"acoes")))*INDEX(Inputs!$K$5:$AJ$140,0,MATCH(Z$2,Inputs!$K$4:$AJ$4,0)))+SUMPRODUCT((Inputs!$E$5:$E$140=$B13)*Inputs!$F$5:$F$140*(((Inputs!$G$5:$G$140="moeda")+(Inputs!$G$5:$G$140="acoes"))*Inputs!$B$1+((Inputs!$G$5:$G$140&lt;&gt;"moeda")*(Inputs!$G$5:$G$140&lt;&gt;"acoes")))*INDEX(Inputs!$K$5:$AJ$140,0,MATCH(Z$2,Inputs!$K$4:$AJ$4,0)))))</f>
        <v>0</v>
      </c>
      <c r="AA13" s="6">
        <f>IF(ISNA(MATCH(AA$2,Inputs!$K$4:$AJ$4,0)),NA(),IF(SUMPRODUCT((Inputs!$A$5:$A$140=$B13)*ISNUMBER(INDEX(Inputs!$K$5:$AJ$140,0,MATCH(AA$2,Inputs!$K$4:$AJ$4,0))))+SUMPRODUCT((Inputs!$C$5:$C$140=$B13)*ISNUMBER(INDEX(Inputs!$K$5:$AJ$140,0,MATCH(AA$2,Inputs!$K$4:$AJ$4,0))))+SUMPRODUCT((Inputs!$E$5:$E$140=$B13)*ISNUMBER(INDEX(Inputs!$K$5:$AJ$140,0,MATCH(AA$2,Inputs!$K$4:$AJ$4,0))))=0,NA(),SUMPRODUCT((Inputs!$A$5:$A$140=$B13)*Inputs!$B$5:$B$140*(((Inputs!$G$5:$G$140="moeda")+(Inputs!$G$5:$G$140="acoes"))*Inputs!$B$1+((Inputs!$G$5:$G$140&lt;&gt;"moeda")*(Inputs!$G$5:$G$140&lt;&gt;"acoes")))*INDEX(Inputs!$K$5:$AJ$140,0,MATCH(AA$2,Inputs!$K$4:$AJ$4,0)))+SUMPRODUCT((Inputs!$C$5:$C$140=$B13)*Inputs!$D$5:$D$140*(((Inputs!$G$5:$G$140="moeda")+(Inputs!$G$5:$G$140="acoes"))*Inputs!$B$1+((Inputs!$G$5:$G$140&lt;&gt;"moeda")*(Inputs!$G$5:$G$140&lt;&gt;"acoes")))*INDEX(Inputs!$K$5:$AJ$140,0,MATCH(AA$2,Inputs!$K$4:$AJ$4,0)))+SUMPRODUCT((Inputs!$E$5:$E$140=$B13)*Inputs!$F$5:$F$140*(((Inputs!$G$5:$G$140="moeda")+(Inputs!$G$5:$G$140="acoes"))*Inputs!$B$1+((Inputs!$G$5:$G$140&lt;&gt;"moeda")*(Inputs!$G$5:$G$140&lt;&gt;"acoes")))*INDEX(Inputs!$K$5:$AJ$140,0,MATCH(AA$2,Inputs!$K$4:$AJ$4,0)))))</f>
        <v>-1023</v>
      </c>
      <c r="AB13" s="3">
        <f>SUM(X13:AA13)</f>
        <v>-1352.338</v>
      </c>
      <c r="AC13" s="6">
        <f>IF(ISNA(MATCH(AC$2,Inputs!$K$4:$AJ$4,0)),NA(),IF(SUMPRODUCT((Inputs!$A$5:$A$140=$B13)*ISNUMBER(INDEX(Inputs!$K$5:$AJ$140,0,MATCH(AC$2,Inputs!$K$4:$AJ$4,0))))+SUMPRODUCT((Inputs!$C$5:$C$140=$B13)*ISNUMBER(INDEX(Inputs!$K$5:$AJ$140,0,MATCH(AC$2,Inputs!$K$4:$AJ$4,0))))+SUMPRODUCT((Inputs!$E$5:$E$140=$B13)*ISNUMBER(INDEX(Inputs!$K$5:$AJ$140,0,MATCH(AC$2,Inputs!$K$4:$AJ$4,0))))=0,NA(),SUMPRODUCT((Inputs!$A$5:$A$140=$B13)*Inputs!$B$5:$B$140*(((Inputs!$G$5:$G$140="moeda")+(Inputs!$G$5:$G$140="acoes"))*Inputs!$B$1+((Inputs!$G$5:$G$140&lt;&gt;"moeda")*(Inputs!$G$5:$G$140&lt;&gt;"acoes")))*INDEX(Inputs!$K$5:$AJ$140,0,MATCH(AC$2,Inputs!$K$4:$AJ$4,0)))+SUMPRODUCT((Inputs!$C$5:$C$140=$B13)*Inputs!$D$5:$D$140*(((Inputs!$G$5:$G$140="moeda")+(Inputs!$G$5:$G$140="acoes"))*Inputs!$B$1+((Inputs!$G$5:$G$140&lt;&gt;"moeda")*(Inputs!$G$5:$G$140&lt;&gt;"acoes")))*INDEX(Inputs!$K$5:$AJ$140,0,MATCH(AC$2,Inputs!$K$4:$AJ$4,0)))+SUMPRODUCT((Inputs!$E$5:$E$140=$B13)*Inputs!$F$5:$F$140*(((Inputs!$G$5:$G$140="moeda")+(Inputs!$G$5:$G$140="acoes"))*Inputs!$B$1+((Inputs!$G$5:$G$140&lt;&gt;"moeda")*(Inputs!$G$5:$G$140&lt;&gt;"acoes")))*INDEX(Inputs!$K$5:$AJ$140,0,MATCH(AC$2,Inputs!$K$4:$AJ$4,0)))))</f>
        <v>0</v>
      </c>
      <c r="AD13" s="6">
        <f>IF(ISNA(MATCH(AD$2,Inputs!$K$4:$AJ$4,0)),NA(),IF(SUMPRODUCT((Inputs!$A$5:$A$140=$B13)*ISNUMBER(INDEX(Inputs!$K$5:$AJ$140,0,MATCH(AD$2,Inputs!$K$4:$AJ$4,0))))+SUMPRODUCT((Inputs!$C$5:$C$140=$B13)*ISNUMBER(INDEX(Inputs!$K$5:$AJ$140,0,MATCH(AD$2,Inputs!$K$4:$AJ$4,0))))+SUMPRODUCT((Inputs!$E$5:$E$140=$B13)*ISNUMBER(INDEX(Inputs!$K$5:$AJ$140,0,MATCH(AD$2,Inputs!$K$4:$AJ$4,0))))=0,NA(),SUMPRODUCT((Inputs!$A$5:$A$140=$B13)*Inputs!$B$5:$B$140*(((Inputs!$G$5:$G$140="moeda")+(Inputs!$G$5:$G$140="acoes"))*Inputs!$B$1+((Inputs!$G$5:$G$140&lt;&gt;"moeda")*(Inputs!$G$5:$G$140&lt;&gt;"acoes")))*INDEX(Inputs!$K$5:$AJ$140,0,MATCH(AD$2,Inputs!$K$4:$AJ$4,0)))+SUMPRODUCT((Inputs!$C$5:$C$140=$B13)*Inputs!$D$5:$D$140*(((Inputs!$G$5:$G$140="moeda")+(Inputs!$G$5:$G$140="acoes"))*Inputs!$B$1+((Inputs!$G$5:$G$140&lt;&gt;"moeda")*(Inputs!$G$5:$G$140&lt;&gt;"acoes")))*INDEX(Inputs!$K$5:$AJ$140,0,MATCH(AD$2,Inputs!$K$4:$AJ$4,0)))+SUMPRODUCT((Inputs!$E$5:$E$140=$B13)*Inputs!$F$5:$F$140*(((Inputs!$G$5:$G$140="moeda")+(Inputs!$G$5:$G$140="acoes"))*Inputs!$B$1+((Inputs!$G$5:$G$140&lt;&gt;"moeda")*(Inputs!$G$5:$G$140&lt;&gt;"acoes")))*INDEX(Inputs!$K$5:$AJ$140,0,MATCH(AD$2,Inputs!$K$4:$AJ$4,0)))))</f>
        <v>-270</v>
      </c>
      <c r="AE13" s="6" t="e">
        <f>IF(ISNA(MATCH(AE$2,Inputs!$K$4:$AJ$4,0)),NA(),IF(SUMPRODUCT((Inputs!$A$5:$A$140=$B13)*ISNUMBER(INDEX(Inputs!$K$5:$AJ$140,0,MATCH(AE$2,Inputs!$K$4:$AJ$4,0))))+SUMPRODUCT((Inputs!$C$5:$C$140=$B13)*ISNUMBER(INDEX(Inputs!$K$5:$AJ$140,0,MATCH(AE$2,Inputs!$K$4:$AJ$4,0))))+SUMPRODUCT((Inputs!$E$5:$E$140=$B13)*ISNUMBER(INDEX(Inputs!$K$5:$AJ$140,0,MATCH(AE$2,Inputs!$K$4:$AJ$4,0))))=0,NA(),SUMPRODUCT((Inputs!$A$5:$A$140=$B13)*Inputs!$B$5:$B$140*(((Inputs!$G$5:$G$140="moeda")+(Inputs!$G$5:$G$140="acoes"))*Inputs!$B$1+((Inputs!$G$5:$G$140&lt;&gt;"moeda")*(Inputs!$G$5:$G$140&lt;&gt;"acoes")))*INDEX(Inputs!$K$5:$AJ$140,0,MATCH(AE$2,Inputs!$K$4:$AJ$4,0)))+SUMPRODUCT((Inputs!$C$5:$C$140=$B13)*Inputs!$D$5:$D$140*(((Inputs!$G$5:$G$140="moeda")+(Inputs!$G$5:$G$140="acoes"))*Inputs!$B$1+((Inputs!$G$5:$G$140&lt;&gt;"moeda")*(Inputs!$G$5:$G$140&lt;&gt;"acoes")))*INDEX(Inputs!$K$5:$AJ$140,0,MATCH(AE$2,Inputs!$K$4:$AJ$4,0)))+SUMPRODUCT((Inputs!$E$5:$E$140=$B13)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3" s="6" t="e">
        <f>IF(ISNA(MATCH(AF$2,Inputs!$K$4:$AJ$4,0)),NA(),IF(SUMPRODUCT((Inputs!$A$5:$A$140=$B13)*ISNUMBER(INDEX(Inputs!$K$5:$AJ$140,0,MATCH(AF$2,Inputs!$K$4:$AJ$4,0))))+SUMPRODUCT((Inputs!$C$5:$C$140=$B13)*ISNUMBER(INDEX(Inputs!$K$5:$AJ$140,0,MATCH(AF$2,Inputs!$K$4:$AJ$4,0))))+SUMPRODUCT((Inputs!$E$5:$E$140=$B13)*ISNUMBER(INDEX(Inputs!$K$5:$AJ$140,0,MATCH(AF$2,Inputs!$K$4:$AJ$4,0))))=0,NA(),SUMPRODUCT((Inputs!$A$5:$A$140=$B13)*Inputs!$B$5:$B$140*(((Inputs!$G$5:$G$140="moeda")+(Inputs!$G$5:$G$140="acoes"))*Inputs!$B$1+((Inputs!$G$5:$G$140&lt;&gt;"moeda")*(Inputs!$G$5:$G$140&lt;&gt;"acoes")))*INDEX(Inputs!$K$5:$AJ$140,0,MATCH(AF$2,Inputs!$K$4:$AJ$4,0)))+SUMPRODUCT((Inputs!$C$5:$C$140=$B13)*Inputs!$D$5:$D$140*(((Inputs!$G$5:$G$140="moeda")+(Inputs!$G$5:$G$140="acoes"))*Inputs!$B$1+((Inputs!$G$5:$G$140&lt;&gt;"moeda")*(Inputs!$G$5:$G$140&lt;&gt;"acoes")))*INDEX(Inputs!$K$5:$AJ$140,0,MATCH(AF$2,Inputs!$K$4:$AJ$4,0)))+SUMPRODUCT((Inputs!$E$5:$E$140=$B13)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$140=$B13)*ISNUMBER(INDEX(Inputs!$K$5:$AJ$140,0,MATCH(AH$2,Inputs!$K$4:$AJ$4,0))))+SUMPRODUCT((Inputs!$C$5:$C$140=$B13)*ISNUMBER(INDEX(Inputs!$K$5:$AJ$140,0,MATCH(AH$2,Inputs!$K$4:$AJ$4,0))))+SUMPRODUCT((Inputs!$E$5:$E$140=$B13)*ISNUMBER(INDEX(Inputs!$K$5:$AJ$140,0,MATCH(AH$2,Inputs!$K$4:$AJ$4,0))))=0,NA(),SUMPRODUCT((Inputs!$A$5:$A$140=$B13)*Inputs!$B$5:$B$140*(((Inputs!$G$5:$G$140="moeda")+(Inputs!$G$5:$G$140="acoes"))*Inputs!$B$1+((Inputs!$G$5:$G$140&lt;&gt;"moeda")*(Inputs!$G$5:$G$140&lt;&gt;"acoes")))*INDEX(Inputs!$K$5:$AJ$140,0,MATCH(AH$2,Inputs!$K$4:$AJ$4,0)))+SUMPRODUCT((Inputs!$C$5:$C$140=$B13)*Inputs!$D$5:$D$140*(((Inputs!$G$5:$G$140="moeda")+(Inputs!$G$5:$G$140="acoes"))*Inputs!$B$1+((Inputs!$G$5:$G$140&lt;&gt;"moeda")*(Inputs!$G$5:$G$140&lt;&gt;"acoes")))*INDEX(Inputs!$K$5:$AJ$140,0,MATCH(AH$2,Inputs!$K$4:$AJ$4,0)))+SUMPRODUCT((Inputs!$E$5:$E$140=$B13)*Inputs!$F$5:$F$140*(((Inputs!$G$5:$G$140="moeda")+(Inputs!$G$5:$G$140="acoes"))*Inputs!$B$1+((Inputs!$G$5:$G$140&lt;&gt;"moeda")*(Inputs!$G$5:$G$140&lt;&gt;"acoes")))*INDEX(Inputs!$K$5:$AJ$140,0,MATCH(AH$2,Inputs!$K$4:$AJ$4,0)))))</f>
        <v>0</v>
      </c>
      <c r="AI13" s="6">
        <f>IF(ISNA(MATCH(AI$2,Inputs!$K$4:$AJ$4,0)),NA(),IF(SUMPRODUCT((Inputs!$A$5:$A$140=$B13)*ISNUMBER(INDEX(Inputs!$K$5:$AJ$140,0,MATCH(AI$2,Inputs!$K$4:$AJ$4,0))))+SUMPRODUCT((Inputs!$C$5:$C$140=$B13)*ISNUMBER(INDEX(Inputs!$K$5:$AJ$140,0,MATCH(AI$2,Inputs!$K$4:$AJ$4,0))))+SUMPRODUCT((Inputs!$E$5:$E$140=$B13)*ISNUMBER(INDEX(Inputs!$K$5:$AJ$140,0,MATCH(AI$2,Inputs!$K$4:$AJ$4,0))))=0,NA(),SUMPRODUCT((Inputs!$A$5:$A$140=$B13)*Inputs!$B$5:$B$140*(((Inputs!$G$5:$G$140="moeda")+(Inputs!$G$5:$G$140="acoes"))*Inputs!$B$1+((Inputs!$G$5:$G$140&lt;&gt;"moeda")*(Inputs!$G$5:$G$140&lt;&gt;"acoes")))*INDEX(Inputs!$K$5:$AJ$140,0,MATCH(AI$2,Inputs!$K$4:$AJ$4,0)))+SUMPRODUCT((Inputs!$C$5:$C$140=$B13)*Inputs!$D$5:$D$140*(((Inputs!$G$5:$G$140="moeda")+(Inputs!$G$5:$G$140="acoes"))*Inputs!$B$1+((Inputs!$G$5:$G$140&lt;&gt;"moeda")*(Inputs!$G$5:$G$140&lt;&gt;"acoes")))*INDEX(Inputs!$K$5:$AJ$140,0,MATCH(AI$2,Inputs!$K$4:$AJ$4,0)))+SUMPRODUCT((Inputs!$E$5:$E$140=$B13)*Inputs!$F$5:$F$140*(((Inputs!$G$5:$G$140="moeda")+(Inputs!$G$5:$G$140="acoes"))*Inputs!$B$1+((Inputs!$G$5:$G$140&lt;&gt;"moeda")*(Inputs!$G$5:$G$140&lt;&gt;"acoes")))*INDEX(Inputs!$K$5:$AJ$140,0,MATCH(AI$2,Inputs!$K$4:$AJ$4,0)))))</f>
        <v>0</v>
      </c>
      <c r="AJ13" s="6">
        <f>IF(ISNA(MATCH(AJ$2,Inputs!$K$4:$AJ$4,0)),NA(),IF(SUMPRODUCT((Inputs!$A$5:$A$140=$B13)*ISNUMBER(INDEX(Inputs!$K$5:$AJ$140,0,MATCH(AJ$2,Inputs!$K$4:$AJ$4,0))))+SUMPRODUCT((Inputs!$C$5:$C$140=$B13)*ISNUMBER(INDEX(Inputs!$K$5:$AJ$140,0,MATCH(AJ$2,Inputs!$K$4:$AJ$4,0))))+SUMPRODUCT((Inputs!$E$5:$E$140=$B13)*ISNUMBER(INDEX(Inputs!$K$5:$AJ$140,0,MATCH(AJ$2,Inputs!$K$4:$AJ$4,0))))=0,NA(),SUMPRODUCT((Inputs!$A$5:$A$140=$B13)*Inputs!$B$5:$B$140*(((Inputs!$G$5:$G$140="moeda")+(Inputs!$G$5:$G$140="acoes"))*Inputs!$B$1+((Inputs!$G$5:$G$140&lt;&gt;"moeda")*(Inputs!$G$5:$G$140&lt;&gt;"acoes")))*INDEX(Inputs!$K$5:$AJ$140,0,MATCH(AJ$2,Inputs!$K$4:$AJ$4,0)))+SUMPRODUCT((Inputs!$C$5:$C$140=$B13)*Inputs!$D$5:$D$140*(((Inputs!$G$5:$G$140="moeda")+(Inputs!$G$5:$G$140="acoes"))*Inputs!$B$1+((Inputs!$G$5:$G$140&lt;&gt;"moeda")*(Inputs!$G$5:$G$140&lt;&gt;"acoes")))*INDEX(Inputs!$K$5:$AJ$140,0,MATCH(AJ$2,Inputs!$K$4:$AJ$4,0)))+SUMPRODUCT((Inputs!$E$5:$E$140=$B13)*Inputs!$F$5:$F$140*(((Inputs!$G$5:$G$140="moeda")+(Inputs!$G$5:$G$140="acoes"))*Inputs!$B$1+((Inputs!$G$5:$G$140&lt;&gt;"moeda")*(Inputs!$G$5:$G$140&lt;&gt;"acoes")))*INDEX(Inputs!$K$5:$AJ$140,0,MATCH(AJ$2,Inputs!$K$4:$AJ$4,0)))))</f>
        <v>0</v>
      </c>
      <c r="AK13" s="6">
        <f>IF(ISNA(MATCH(AK$2,Inputs!$K$4:$AJ$4,0)),NA(),IF(SUMPRODUCT((Inputs!$A$5:$A$140=$B13)*ISNUMBER(INDEX(Inputs!$K$5:$AJ$140,0,MATCH(AK$2,Inputs!$K$4:$AJ$4,0))))+SUMPRODUCT((Inputs!$C$5:$C$140=$B13)*ISNUMBER(INDEX(Inputs!$K$5:$AJ$140,0,MATCH(AK$2,Inputs!$K$4:$AJ$4,0))))+SUMPRODUCT((Inputs!$E$5:$E$140=$B13)*ISNUMBER(INDEX(Inputs!$K$5:$AJ$140,0,MATCH(AK$2,Inputs!$K$4:$AJ$4,0))))=0,NA(),SUMPRODUCT((Inputs!$A$5:$A$140=$B13)*Inputs!$B$5:$B$140*(((Inputs!$G$5:$G$140="moeda")+(Inputs!$G$5:$G$140="acoes"))*Inputs!$B$1+((Inputs!$G$5:$G$140&lt;&gt;"moeda")*(Inputs!$G$5:$G$140&lt;&gt;"acoes")))*INDEX(Inputs!$K$5:$AJ$140,0,MATCH(AK$2,Inputs!$K$4:$AJ$4,0)))+SUMPRODUCT((Inputs!$C$5:$C$140=$B13)*Inputs!$D$5:$D$140*(((Inputs!$G$5:$G$140="moeda")+(Inputs!$G$5:$G$140="acoes"))*Inputs!$B$1+((Inputs!$G$5:$G$140&lt;&gt;"moeda")*(Inputs!$G$5:$G$140&lt;&gt;"acoes")))*INDEX(Inputs!$K$5:$AJ$140,0,MATCH(AK$2,Inputs!$K$4:$AJ$4,0)))+SUMPRODUCT((Inputs!$E$5:$E$140=$B13)*Inputs!$F$5:$F$140*(((Inputs!$G$5:$G$140="moeda")+(Inputs!$G$5:$G$140="acoes"))*Inputs!$B$1+((Inputs!$G$5:$G$140&lt;&gt;"moeda")*(Inputs!$G$5:$G$140&lt;&gt;"acoes")))*INDEX(Inputs!$K$5:$AJ$140,0,MATCH(AK$2,Inputs!$K$4:$AJ$4,0)))))</f>
        <v>-170</v>
      </c>
      <c r="AL13" s="3">
        <f>SUM(AH13:AK13)</f>
        <v>-170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$140=$B15)*ISNUMBER(INDEX(Inputs!$K$5:$AJ$140,0,MATCH(D$2,Inputs!$K$4:$AJ$4,0))))+SUMPRODUCT((Inputs!$C$5:$C$140=$B15)*ISNUMBER(INDEX(Inputs!$K$5:$AJ$140,0,MATCH(D$2,Inputs!$K$4:$AJ$4,0))))+SUMPRODUCT((Inputs!$E$5:$E$140=$B15)*ISNUMBER(INDEX(Inputs!$K$5:$AJ$140,0,MATCH(D$2,Inputs!$K$4:$AJ$4,0))))=0,NA(),SUMPRODUCT((Inputs!$A$5:$A$140=$B15)*Inputs!$B$5:$B$140*(((Inputs!$G$5:$G$140="moeda")+(Inputs!$G$5:$G$140="acoes"))*Inputs!$B$1+((Inputs!$G$5:$G$140&lt;&gt;"moeda")*(Inputs!$G$5:$G$140&lt;&gt;"acoes")))*INDEX(Inputs!$K$5:$AJ$140,0,MATCH(D$2,Inputs!$K$4:$AJ$4,0)))+SUMPRODUCT((Inputs!$C$5:$C$140=$B15)*Inputs!$D$5:$D$140*(((Inputs!$G$5:$G$140="moeda")+(Inputs!$G$5:$G$140="acoes"))*Inputs!$B$1+((Inputs!$G$5:$G$140&lt;&gt;"moeda")*(Inputs!$G$5:$G$140&lt;&gt;"acoes")))*INDEX(Inputs!$K$5:$AJ$140,0,MATCH(D$2,Inputs!$K$4:$AJ$4,0)))+SUMPRODUCT((Inputs!$E$5:$E$140=$B15)*Inputs!$F$5:$F$140*(((Inputs!$G$5:$G$140="moeda")+(Inputs!$G$5:$G$140="acoes"))*Inputs!$B$1+((Inputs!$G$5:$G$140&lt;&gt;"moeda")*(Inputs!$G$5:$G$140&lt;&gt;"acoes")))*INDEX(Inputs!$K$5:$AJ$140,0,MATCH(D$2,Inputs!$K$4:$AJ$4,0)))))</f>
        <v>436.644</v>
      </c>
      <c r="E15" s="6">
        <f>IF(ISNA(MATCH(E$2,Inputs!$K$4:$AJ$4,0)),NA(),IF(SUMPRODUCT((Inputs!$A$5:$A$140=$B15)*ISNUMBER(INDEX(Inputs!$K$5:$AJ$140,0,MATCH(E$2,Inputs!$K$4:$AJ$4,0))))+SUMPRODUCT((Inputs!$C$5:$C$140=$B15)*ISNUMBER(INDEX(Inputs!$K$5:$AJ$140,0,MATCH(E$2,Inputs!$K$4:$AJ$4,0))))+SUMPRODUCT((Inputs!$E$5:$E$140=$B15)*ISNUMBER(INDEX(Inputs!$K$5:$AJ$140,0,MATCH(E$2,Inputs!$K$4:$AJ$4,0))))=0,NA(),SUMPRODUCT((Inputs!$A$5:$A$140=$B15)*Inputs!$B$5:$B$140*(((Inputs!$G$5:$G$140="moeda")+(Inputs!$G$5:$G$140="acoes"))*Inputs!$B$1+((Inputs!$G$5:$G$140&lt;&gt;"moeda")*(Inputs!$G$5:$G$140&lt;&gt;"acoes")))*INDEX(Inputs!$K$5:$AJ$140,0,MATCH(E$2,Inputs!$K$4:$AJ$4,0)))+SUMPRODUCT((Inputs!$C$5:$C$140=$B15)*Inputs!$D$5:$D$140*(((Inputs!$G$5:$G$140="moeda")+(Inputs!$G$5:$G$140="acoes"))*Inputs!$B$1+((Inputs!$G$5:$G$140&lt;&gt;"moeda")*(Inputs!$G$5:$G$140&lt;&gt;"acoes")))*INDEX(Inputs!$K$5:$AJ$140,0,MATCH(E$2,Inputs!$K$4:$AJ$4,0)))+SUMPRODUCT((Inputs!$E$5:$E$140=$B15)*Inputs!$F$5:$F$140*(((Inputs!$G$5:$G$140="moeda")+(Inputs!$G$5:$G$140="acoes"))*Inputs!$B$1+((Inputs!$G$5:$G$140&lt;&gt;"moeda")*(Inputs!$G$5:$G$140&lt;&gt;"acoes")))*INDEX(Inputs!$K$5:$AJ$140,0,MATCH(E$2,Inputs!$K$4:$AJ$4,0)))))</f>
        <v>491.987</v>
      </c>
      <c r="F15" s="6">
        <f>IF(ISNA(MATCH(F$2,Inputs!$K$4:$AJ$4,0)),NA(),IF(SUMPRODUCT((Inputs!$A$5:$A$140=$B15)*ISNUMBER(INDEX(Inputs!$K$5:$AJ$140,0,MATCH(F$2,Inputs!$K$4:$AJ$4,0))))+SUMPRODUCT((Inputs!$C$5:$C$140=$B15)*ISNUMBER(INDEX(Inputs!$K$5:$AJ$140,0,MATCH(F$2,Inputs!$K$4:$AJ$4,0))))+SUMPRODUCT((Inputs!$E$5:$E$140=$B15)*ISNUMBER(INDEX(Inputs!$K$5:$AJ$140,0,MATCH(F$2,Inputs!$K$4:$AJ$4,0))))=0,NA(),SUMPRODUCT((Inputs!$A$5:$A$140=$B15)*Inputs!$B$5:$B$140*(((Inputs!$G$5:$G$140="moeda")+(Inputs!$G$5:$G$140="acoes"))*Inputs!$B$1+((Inputs!$G$5:$G$140&lt;&gt;"moeda")*(Inputs!$G$5:$G$140&lt;&gt;"acoes")))*INDEX(Inputs!$K$5:$AJ$140,0,MATCH(F$2,Inputs!$K$4:$AJ$4,0)))+SUMPRODUCT((Inputs!$C$5:$C$140=$B15)*Inputs!$D$5:$D$140*(((Inputs!$G$5:$G$140="moeda")+(Inputs!$G$5:$G$140="acoes"))*Inputs!$B$1+((Inputs!$G$5:$G$140&lt;&gt;"moeda")*(Inputs!$G$5:$G$140&lt;&gt;"acoes")))*INDEX(Inputs!$K$5:$AJ$140,0,MATCH(F$2,Inputs!$K$4:$AJ$4,0)))+SUMPRODUCT((Inputs!$E$5:$E$140=$B15)*Inputs!$F$5:$F$140*(((Inputs!$G$5:$G$140="moeda")+(Inputs!$G$5:$G$140="acoes"))*Inputs!$B$1+((Inputs!$G$5:$G$140&lt;&gt;"moeda")*(Inputs!$G$5:$G$140&lt;&gt;"acoes")))*INDEX(Inputs!$K$5:$AJ$140,0,MATCH(F$2,Inputs!$K$4:$AJ$4,0)))))</f>
        <v>554.927</v>
      </c>
      <c r="G15" s="6">
        <f>IF(ISNA(MATCH(G$2,Inputs!$K$4:$AJ$4,0)),NA(),IF(SUMPRODUCT((Inputs!$A$5:$A$140=$B15)*ISNUMBER(INDEX(Inputs!$K$5:$AJ$140,0,MATCH(G$2,Inputs!$K$4:$AJ$4,0))))+SUMPRODUCT((Inputs!$C$5:$C$140=$B15)*ISNUMBER(INDEX(Inputs!$K$5:$AJ$140,0,MATCH(G$2,Inputs!$K$4:$AJ$4,0))))+SUMPRODUCT((Inputs!$E$5:$E$140=$B15)*ISNUMBER(INDEX(Inputs!$K$5:$AJ$140,0,MATCH(G$2,Inputs!$K$4:$AJ$4,0))))=0,NA(),SUMPRODUCT((Inputs!$A$5:$A$140=$B15)*Inputs!$B$5:$B$140*(((Inputs!$G$5:$G$140="moeda")+(Inputs!$G$5:$G$140="acoes"))*Inputs!$B$1+((Inputs!$G$5:$G$140&lt;&gt;"moeda")*(Inputs!$G$5:$G$140&lt;&gt;"acoes")))*INDEX(Inputs!$K$5:$AJ$140,0,MATCH(G$2,Inputs!$K$4:$AJ$4,0)))+SUMPRODUCT((Inputs!$C$5:$C$140=$B15)*Inputs!$D$5:$D$140*(((Inputs!$G$5:$G$140="moeda")+(Inputs!$G$5:$G$140="acoes"))*Inputs!$B$1+((Inputs!$G$5:$G$140&lt;&gt;"moeda")*(Inputs!$G$5:$G$140&lt;&gt;"acoes")))*INDEX(Inputs!$K$5:$AJ$140,0,MATCH(G$2,Inputs!$K$4:$AJ$4,0)))+SUMPRODUCT((Inputs!$E$5:$E$140=$B15)*Inputs!$F$5:$F$140*(((Inputs!$G$5:$G$140="moeda")+(Inputs!$G$5:$G$140="acoes"))*Inputs!$B$1+((Inputs!$G$5:$G$140&lt;&gt;"moeda")*(Inputs!$G$5:$G$140&lt;&gt;"acoes")))*INDEX(Inputs!$K$5:$AJ$140,0,MATCH(G$2,Inputs!$K$4:$AJ$4,0)))))</f>
        <v>594.487</v>
      </c>
      <c r="H15" s="3">
        <f>G15</f>
        <v>594.487</v>
      </c>
      <c r="I15" s="6">
        <f>IF(ISNA(MATCH(I$2,Inputs!$K$4:$AJ$4,0)),NA(),IF(SUMPRODUCT((Inputs!$A$5:$A$140=$B15)*ISNUMBER(INDEX(Inputs!$K$5:$AJ$140,0,MATCH(I$2,Inputs!$K$4:$AJ$4,0))))+SUMPRODUCT((Inputs!$C$5:$C$140=$B15)*ISNUMBER(INDEX(Inputs!$K$5:$AJ$140,0,MATCH(I$2,Inputs!$K$4:$AJ$4,0))))+SUMPRODUCT((Inputs!$E$5:$E$140=$B15)*ISNUMBER(INDEX(Inputs!$K$5:$AJ$140,0,MATCH(I$2,Inputs!$K$4:$AJ$4,0))))=0,NA(),SUMPRODUCT((Inputs!$A$5:$A$140=$B15)*Inputs!$B$5:$B$140*(((Inputs!$G$5:$G$140="moeda")+(Inputs!$G$5:$G$140="acoes"))*Inputs!$B$1+((Inputs!$G$5:$G$140&lt;&gt;"moeda")*(Inputs!$G$5:$G$140&lt;&gt;"acoes")))*INDEX(Inputs!$K$5:$AJ$140,0,MATCH(I$2,Inputs!$K$4:$AJ$4,0)))+SUMPRODUCT((Inputs!$C$5:$C$140=$B15)*Inputs!$D$5:$D$140*(((Inputs!$G$5:$G$140="moeda")+(Inputs!$G$5:$G$140="acoes"))*Inputs!$B$1+((Inputs!$G$5:$G$140&lt;&gt;"moeda")*(Inputs!$G$5:$G$140&lt;&gt;"acoes")))*INDEX(Inputs!$K$5:$AJ$140,0,MATCH(I$2,Inputs!$K$4:$AJ$4,0)))+SUMPRODUCT((Inputs!$E$5:$E$140=$B15)*Inputs!$F$5:$F$140*(((Inputs!$G$5:$G$140="moeda")+(Inputs!$G$5:$G$140="acoes"))*Inputs!$B$1+((Inputs!$G$5:$G$140&lt;&gt;"moeda")*(Inputs!$G$5:$G$140&lt;&gt;"acoes")))*INDEX(Inputs!$K$5:$AJ$140,0,MATCH(I$2,Inputs!$K$4:$AJ$4,0)))))</f>
        <v>602.568</v>
      </c>
      <c r="J15" s="6">
        <f>IF(ISNA(MATCH(J$2,Inputs!$K$4:$AJ$4,0)),NA(),IF(SUMPRODUCT((Inputs!$A$5:$A$140=$B15)*ISNUMBER(INDEX(Inputs!$K$5:$AJ$140,0,MATCH(J$2,Inputs!$K$4:$AJ$4,0))))+SUMPRODUCT((Inputs!$C$5:$C$140=$B15)*ISNUMBER(INDEX(Inputs!$K$5:$AJ$140,0,MATCH(J$2,Inputs!$K$4:$AJ$4,0))))+SUMPRODUCT((Inputs!$E$5:$E$140=$B15)*ISNUMBER(INDEX(Inputs!$K$5:$AJ$140,0,MATCH(J$2,Inputs!$K$4:$AJ$4,0))))=0,NA(),SUMPRODUCT((Inputs!$A$5:$A$140=$B15)*Inputs!$B$5:$B$140*(((Inputs!$G$5:$G$140="moeda")+(Inputs!$G$5:$G$140="acoes"))*Inputs!$B$1+((Inputs!$G$5:$G$140&lt;&gt;"moeda")*(Inputs!$G$5:$G$140&lt;&gt;"acoes")))*INDEX(Inputs!$K$5:$AJ$140,0,MATCH(J$2,Inputs!$K$4:$AJ$4,0)))+SUMPRODUCT((Inputs!$C$5:$C$140=$B15)*Inputs!$D$5:$D$140*(((Inputs!$G$5:$G$140="moeda")+(Inputs!$G$5:$G$140="acoes"))*Inputs!$B$1+((Inputs!$G$5:$G$140&lt;&gt;"moeda")*(Inputs!$G$5:$G$140&lt;&gt;"acoes")))*INDEX(Inputs!$K$5:$AJ$140,0,MATCH(J$2,Inputs!$K$4:$AJ$4,0)))+SUMPRODUCT((Inputs!$E$5:$E$140=$B15)*Inputs!$F$5:$F$140*(((Inputs!$G$5:$G$140="moeda")+(Inputs!$G$5:$G$140="acoes"))*Inputs!$B$1+((Inputs!$G$5:$G$140&lt;&gt;"moeda")*(Inputs!$G$5:$G$140&lt;&gt;"acoes")))*INDEX(Inputs!$K$5:$AJ$140,0,MATCH(J$2,Inputs!$K$4:$AJ$4,0)))))</f>
        <v>679.977</v>
      </c>
      <c r="K15" s="6">
        <f>IF(ISNA(MATCH(K$2,Inputs!$K$4:$AJ$4,0)),NA(),IF(SUMPRODUCT((Inputs!$A$5:$A$140=$B15)*ISNUMBER(INDEX(Inputs!$K$5:$AJ$140,0,MATCH(K$2,Inputs!$K$4:$AJ$4,0))))+SUMPRODUCT((Inputs!$C$5:$C$140=$B15)*ISNUMBER(INDEX(Inputs!$K$5:$AJ$140,0,MATCH(K$2,Inputs!$K$4:$AJ$4,0))))+SUMPRODUCT((Inputs!$E$5:$E$140=$B15)*ISNUMBER(INDEX(Inputs!$K$5:$AJ$140,0,MATCH(K$2,Inputs!$K$4:$AJ$4,0))))=0,NA(),SUMPRODUCT((Inputs!$A$5:$A$140=$B15)*Inputs!$B$5:$B$140*(((Inputs!$G$5:$G$140="moeda")+(Inputs!$G$5:$G$140="acoes"))*Inputs!$B$1+((Inputs!$G$5:$G$140&lt;&gt;"moeda")*(Inputs!$G$5:$G$140&lt;&gt;"acoes")))*INDEX(Inputs!$K$5:$AJ$140,0,MATCH(K$2,Inputs!$K$4:$AJ$4,0)))+SUMPRODUCT((Inputs!$C$5:$C$140=$B15)*Inputs!$D$5:$D$140*(((Inputs!$G$5:$G$140="moeda")+(Inputs!$G$5:$G$140="acoes"))*Inputs!$B$1+((Inputs!$G$5:$G$140&lt;&gt;"moeda")*(Inputs!$G$5:$G$140&lt;&gt;"acoes")))*INDEX(Inputs!$K$5:$AJ$140,0,MATCH(K$2,Inputs!$K$4:$AJ$4,0)))+SUMPRODUCT((Inputs!$E$5:$E$140=$B15)*Inputs!$F$5:$F$140*(((Inputs!$G$5:$G$140="moeda")+(Inputs!$G$5:$G$140="acoes"))*Inputs!$B$1+((Inputs!$G$5:$G$140&lt;&gt;"moeda")*(Inputs!$G$5:$G$140&lt;&gt;"acoes")))*INDEX(Inputs!$K$5:$AJ$140,0,MATCH(K$2,Inputs!$K$4:$AJ$4,0)))))</f>
        <v>634.908</v>
      </c>
      <c r="L15" s="6">
        <f>IF(ISNA(MATCH(L$2,Inputs!$K$4:$AJ$4,0)),NA(),IF(SUMPRODUCT((Inputs!$A$5:$A$140=$B15)*ISNUMBER(INDEX(Inputs!$K$5:$AJ$140,0,MATCH(L$2,Inputs!$K$4:$AJ$4,0))))+SUMPRODUCT((Inputs!$C$5:$C$140=$B15)*ISNUMBER(INDEX(Inputs!$K$5:$AJ$140,0,MATCH(L$2,Inputs!$K$4:$AJ$4,0))))+SUMPRODUCT((Inputs!$E$5:$E$140=$B15)*ISNUMBER(INDEX(Inputs!$K$5:$AJ$140,0,MATCH(L$2,Inputs!$K$4:$AJ$4,0))))=0,NA(),SUMPRODUCT((Inputs!$A$5:$A$140=$B15)*Inputs!$B$5:$B$140*(((Inputs!$G$5:$G$140="moeda")+(Inputs!$G$5:$G$140="acoes"))*Inputs!$B$1+((Inputs!$G$5:$G$140&lt;&gt;"moeda")*(Inputs!$G$5:$G$140&lt;&gt;"acoes")))*INDEX(Inputs!$K$5:$AJ$140,0,MATCH(L$2,Inputs!$K$4:$AJ$4,0)))+SUMPRODUCT((Inputs!$C$5:$C$140=$B15)*Inputs!$D$5:$D$140*(((Inputs!$G$5:$G$140="moeda")+(Inputs!$G$5:$G$140="acoes"))*Inputs!$B$1+((Inputs!$G$5:$G$140&lt;&gt;"moeda")*(Inputs!$G$5:$G$140&lt;&gt;"acoes")))*INDEX(Inputs!$K$5:$AJ$140,0,MATCH(L$2,Inputs!$K$4:$AJ$4,0)))+SUMPRODUCT((Inputs!$E$5:$E$140=$B15)*Inputs!$F$5:$F$140*(((Inputs!$G$5:$G$140="moeda")+(Inputs!$G$5:$G$140="acoes"))*Inputs!$B$1+((Inputs!$G$5:$G$140&lt;&gt;"moeda")*(Inputs!$G$5:$G$140&lt;&gt;"acoes")))*INDEX(Inputs!$K$5:$AJ$140,0,MATCH(L$2,Inputs!$K$4:$AJ$4,0)))))</f>
        <v>789.426</v>
      </c>
      <c r="M15" s="3">
        <f>L15</f>
        <v>789.426</v>
      </c>
      <c r="N15" s="6">
        <f>IF(ISNA(MATCH(N$2,Inputs!$K$4:$AJ$4,0)),NA(),IF(SUMPRODUCT((Inputs!$A$5:$A$140=$B15)*ISNUMBER(INDEX(Inputs!$K$5:$AJ$140,0,MATCH(N$2,Inputs!$K$4:$AJ$4,0))))+SUMPRODUCT((Inputs!$C$5:$C$140=$B15)*ISNUMBER(INDEX(Inputs!$K$5:$AJ$140,0,MATCH(N$2,Inputs!$K$4:$AJ$4,0))))+SUMPRODUCT((Inputs!$E$5:$E$140=$B15)*ISNUMBER(INDEX(Inputs!$K$5:$AJ$140,0,MATCH(N$2,Inputs!$K$4:$AJ$4,0))))=0,NA(),SUMPRODUCT((Inputs!$A$5:$A$140=$B15)*Inputs!$B$5:$B$140*(((Inputs!$G$5:$G$140="moeda")+(Inputs!$G$5:$G$140="acoes"))*Inputs!$B$1+((Inputs!$G$5:$G$140&lt;&gt;"moeda")*(Inputs!$G$5:$G$140&lt;&gt;"acoes")))*INDEX(Inputs!$K$5:$AJ$140,0,MATCH(N$2,Inputs!$K$4:$AJ$4,0)))+SUMPRODUCT((Inputs!$C$5:$C$140=$B15)*Inputs!$D$5:$D$140*(((Inputs!$G$5:$G$140="moeda")+(Inputs!$G$5:$G$140="acoes"))*Inputs!$B$1+((Inputs!$G$5:$G$140&lt;&gt;"moeda")*(Inputs!$G$5:$G$140&lt;&gt;"acoes")))*INDEX(Inputs!$K$5:$AJ$140,0,MATCH(N$2,Inputs!$K$4:$AJ$4,0)))+SUMPRODUCT((Inputs!$E$5:$E$140=$B15)*Inputs!$F$5:$F$140*(((Inputs!$G$5:$G$140="moeda")+(Inputs!$G$5:$G$140="acoes"))*Inputs!$B$1+((Inputs!$G$5:$G$140&lt;&gt;"moeda")*(Inputs!$G$5:$G$140&lt;&gt;"acoes")))*INDEX(Inputs!$K$5:$AJ$140,0,MATCH(N$2,Inputs!$K$4:$AJ$4,0)))))</f>
        <v>729.823</v>
      </c>
      <c r="O15" s="6">
        <f>IF(ISNA(MATCH(O$2,Inputs!$K$4:$AJ$4,0)),NA(),IF(SUMPRODUCT((Inputs!$A$5:$A$140=$B15)*ISNUMBER(INDEX(Inputs!$K$5:$AJ$140,0,MATCH(O$2,Inputs!$K$4:$AJ$4,0))))+SUMPRODUCT((Inputs!$C$5:$C$140=$B15)*ISNUMBER(INDEX(Inputs!$K$5:$AJ$140,0,MATCH(O$2,Inputs!$K$4:$AJ$4,0))))+SUMPRODUCT((Inputs!$E$5:$E$140=$B15)*ISNUMBER(INDEX(Inputs!$K$5:$AJ$140,0,MATCH(O$2,Inputs!$K$4:$AJ$4,0))))=0,NA(),SUMPRODUCT((Inputs!$A$5:$A$140=$B15)*Inputs!$B$5:$B$140*(((Inputs!$G$5:$G$140="moeda")+(Inputs!$G$5:$G$140="acoes"))*Inputs!$B$1+((Inputs!$G$5:$G$140&lt;&gt;"moeda")*(Inputs!$G$5:$G$140&lt;&gt;"acoes")))*INDEX(Inputs!$K$5:$AJ$140,0,MATCH(O$2,Inputs!$K$4:$AJ$4,0)))+SUMPRODUCT((Inputs!$C$5:$C$140=$B15)*Inputs!$D$5:$D$140*(((Inputs!$G$5:$G$140="moeda")+(Inputs!$G$5:$G$140="acoes"))*Inputs!$B$1+((Inputs!$G$5:$G$140&lt;&gt;"moeda")*(Inputs!$G$5:$G$140&lt;&gt;"acoes")))*INDEX(Inputs!$K$5:$AJ$140,0,MATCH(O$2,Inputs!$K$4:$AJ$4,0)))+SUMPRODUCT((Inputs!$E$5:$E$140=$B15)*Inputs!$F$5:$F$140*(((Inputs!$G$5:$G$140="moeda")+(Inputs!$G$5:$G$140="acoes"))*Inputs!$B$1+((Inputs!$G$5:$G$140&lt;&gt;"moeda")*(Inputs!$G$5:$G$140&lt;&gt;"acoes")))*INDEX(Inputs!$K$5:$AJ$140,0,MATCH(O$2,Inputs!$K$4:$AJ$4,0)))))</f>
        <v>835.39</v>
      </c>
      <c r="P15" s="6">
        <f>IF(ISNA(MATCH(P$2,Inputs!$K$4:$AJ$4,0)),NA(),IF(SUMPRODUCT((Inputs!$A$5:$A$140=$B15)*ISNUMBER(INDEX(Inputs!$K$5:$AJ$140,0,MATCH(P$2,Inputs!$K$4:$AJ$4,0))))+SUMPRODUCT((Inputs!$C$5:$C$140=$B15)*ISNUMBER(INDEX(Inputs!$K$5:$AJ$140,0,MATCH(P$2,Inputs!$K$4:$AJ$4,0))))+SUMPRODUCT((Inputs!$E$5:$E$140=$B15)*ISNUMBER(INDEX(Inputs!$K$5:$AJ$140,0,MATCH(P$2,Inputs!$K$4:$AJ$4,0))))=0,NA(),SUMPRODUCT((Inputs!$A$5:$A$140=$B15)*Inputs!$B$5:$B$140*(((Inputs!$G$5:$G$140="moeda")+(Inputs!$G$5:$G$140="acoes"))*Inputs!$B$1+((Inputs!$G$5:$G$140&lt;&gt;"moeda")*(Inputs!$G$5:$G$140&lt;&gt;"acoes")))*INDEX(Inputs!$K$5:$AJ$140,0,MATCH(P$2,Inputs!$K$4:$AJ$4,0)))+SUMPRODUCT((Inputs!$C$5:$C$140=$B15)*Inputs!$D$5:$D$140*(((Inputs!$G$5:$G$140="moeda")+(Inputs!$G$5:$G$140="acoes"))*Inputs!$B$1+((Inputs!$G$5:$G$140&lt;&gt;"moeda")*(Inputs!$G$5:$G$140&lt;&gt;"acoes")))*INDEX(Inputs!$K$5:$AJ$140,0,MATCH(P$2,Inputs!$K$4:$AJ$4,0)))+SUMPRODUCT((Inputs!$E$5:$E$140=$B15)*Inputs!$F$5:$F$140*(((Inputs!$G$5:$G$140="moeda")+(Inputs!$G$5:$G$140="acoes"))*Inputs!$B$1+((Inputs!$G$5:$G$140&lt;&gt;"moeda")*(Inputs!$G$5:$G$140&lt;&gt;"acoes")))*INDEX(Inputs!$K$5:$AJ$140,0,MATCH(P$2,Inputs!$K$4:$AJ$4,0)))))</f>
        <v>1109.075</v>
      </c>
      <c r="Q15" s="6">
        <f>IF(ISNA(MATCH(Q$2,Inputs!$K$4:$AJ$4,0)),NA(),IF(SUMPRODUCT((Inputs!$A$5:$A$140=$B15)*ISNUMBER(INDEX(Inputs!$K$5:$AJ$140,0,MATCH(Q$2,Inputs!$K$4:$AJ$4,0))))+SUMPRODUCT((Inputs!$C$5:$C$140=$B15)*ISNUMBER(INDEX(Inputs!$K$5:$AJ$140,0,MATCH(Q$2,Inputs!$K$4:$AJ$4,0))))+SUMPRODUCT((Inputs!$E$5:$E$140=$B15)*ISNUMBER(INDEX(Inputs!$K$5:$AJ$140,0,MATCH(Q$2,Inputs!$K$4:$AJ$4,0))))=0,NA(),SUMPRODUCT((Inputs!$A$5:$A$140=$B15)*Inputs!$B$5:$B$140*(((Inputs!$G$5:$G$140="moeda")+(Inputs!$G$5:$G$140="acoes"))*Inputs!$B$1+((Inputs!$G$5:$G$140&lt;&gt;"moeda")*(Inputs!$G$5:$G$140&lt;&gt;"acoes")))*INDEX(Inputs!$K$5:$AJ$140,0,MATCH(Q$2,Inputs!$K$4:$AJ$4,0)))+SUMPRODUCT((Inputs!$C$5:$C$140=$B15)*Inputs!$D$5:$D$140*(((Inputs!$G$5:$G$140="moeda")+(Inputs!$G$5:$G$140="acoes"))*Inputs!$B$1+((Inputs!$G$5:$G$140&lt;&gt;"moeda")*(Inputs!$G$5:$G$140&lt;&gt;"acoes")))*INDEX(Inputs!$K$5:$AJ$140,0,MATCH(Q$2,Inputs!$K$4:$AJ$4,0)))+SUMPRODUCT((Inputs!$E$5:$E$140=$B15)*Inputs!$F$5:$F$140*(((Inputs!$G$5:$G$140="moeda")+(Inputs!$G$5:$G$140="acoes"))*Inputs!$B$1+((Inputs!$G$5:$G$140&lt;&gt;"moeda")*(Inputs!$G$5:$G$140&lt;&gt;"acoes")))*INDEX(Inputs!$K$5:$AJ$140,0,MATCH(Q$2,Inputs!$K$4:$AJ$4,0)))))</f>
        <v>992.269</v>
      </c>
      <c r="R15" s="3">
        <f>Q15</f>
        <v>992.269</v>
      </c>
      <c r="S15" s="6">
        <f>IF(ISNA(MATCH(S$2,Inputs!$K$4:$AJ$4,0)),NA(),IF(SUMPRODUCT((Inputs!$A$5:$A$140=$B15)*ISNUMBER(INDEX(Inputs!$K$5:$AJ$140,0,MATCH(S$2,Inputs!$K$4:$AJ$4,0))))+SUMPRODUCT((Inputs!$C$5:$C$140=$B15)*ISNUMBER(INDEX(Inputs!$K$5:$AJ$140,0,MATCH(S$2,Inputs!$K$4:$AJ$4,0))))+SUMPRODUCT((Inputs!$E$5:$E$140=$B15)*ISNUMBER(INDEX(Inputs!$K$5:$AJ$140,0,MATCH(S$2,Inputs!$K$4:$AJ$4,0))))=0,NA(),SUMPRODUCT((Inputs!$A$5:$A$140=$B15)*Inputs!$B$5:$B$140*(((Inputs!$G$5:$G$140="moeda")+(Inputs!$G$5:$G$140="acoes"))*Inputs!$B$1+((Inputs!$G$5:$G$140&lt;&gt;"moeda")*(Inputs!$G$5:$G$140&lt;&gt;"acoes")))*INDEX(Inputs!$K$5:$AJ$140,0,MATCH(S$2,Inputs!$K$4:$AJ$4,0)))+SUMPRODUCT((Inputs!$C$5:$C$140=$B15)*Inputs!$D$5:$D$140*(((Inputs!$G$5:$G$140="moeda")+(Inputs!$G$5:$G$140="acoes"))*Inputs!$B$1+((Inputs!$G$5:$G$140&lt;&gt;"moeda")*(Inputs!$G$5:$G$140&lt;&gt;"acoes")))*INDEX(Inputs!$K$5:$AJ$140,0,MATCH(S$2,Inputs!$K$4:$AJ$4,0)))+SUMPRODUCT((Inputs!$E$5:$E$140=$B15)*Inputs!$F$5:$F$140*(((Inputs!$G$5:$G$140="moeda")+(Inputs!$G$5:$G$140="acoes"))*Inputs!$B$1+((Inputs!$G$5:$G$140&lt;&gt;"moeda")*(Inputs!$G$5:$G$140&lt;&gt;"acoes")))*INDEX(Inputs!$K$5:$AJ$140,0,MATCH(S$2,Inputs!$K$4:$AJ$4,0)))))</f>
        <v>1011.668</v>
      </c>
      <c r="T15" s="6">
        <f>IF(ISNA(MATCH(T$2,Inputs!$K$4:$AJ$4,0)),NA(),IF(SUMPRODUCT((Inputs!$A$5:$A$140=$B15)*ISNUMBER(INDEX(Inputs!$K$5:$AJ$140,0,MATCH(T$2,Inputs!$K$4:$AJ$4,0))))+SUMPRODUCT((Inputs!$C$5:$C$140=$B15)*ISNUMBER(INDEX(Inputs!$K$5:$AJ$140,0,MATCH(T$2,Inputs!$K$4:$AJ$4,0))))+SUMPRODUCT((Inputs!$E$5:$E$140=$B15)*ISNUMBER(INDEX(Inputs!$K$5:$AJ$140,0,MATCH(T$2,Inputs!$K$4:$AJ$4,0))))=0,NA(),SUMPRODUCT((Inputs!$A$5:$A$140=$B15)*Inputs!$B$5:$B$140*(((Inputs!$G$5:$G$140="moeda")+(Inputs!$G$5:$G$140="acoes"))*Inputs!$B$1+((Inputs!$G$5:$G$140&lt;&gt;"moeda")*(Inputs!$G$5:$G$140&lt;&gt;"acoes")))*INDEX(Inputs!$K$5:$AJ$140,0,MATCH(T$2,Inputs!$K$4:$AJ$4,0)))+SUMPRODUCT((Inputs!$C$5:$C$140=$B15)*Inputs!$D$5:$D$140*(((Inputs!$G$5:$G$140="moeda")+(Inputs!$G$5:$G$140="acoes"))*Inputs!$B$1+((Inputs!$G$5:$G$140&lt;&gt;"moeda")*(Inputs!$G$5:$G$140&lt;&gt;"acoes")))*INDEX(Inputs!$K$5:$AJ$140,0,MATCH(T$2,Inputs!$K$4:$AJ$4,0)))+SUMPRODUCT((Inputs!$E$5:$E$140=$B15)*Inputs!$F$5:$F$140*(((Inputs!$G$5:$G$140="moeda")+(Inputs!$G$5:$G$140="acoes"))*Inputs!$B$1+((Inputs!$G$5:$G$140&lt;&gt;"moeda")*(Inputs!$G$5:$G$140&lt;&gt;"acoes")))*INDEX(Inputs!$K$5:$AJ$140,0,MATCH(T$2,Inputs!$K$4:$AJ$4,0)))))</f>
        <v>1558.02</v>
      </c>
      <c r="U15" s="6">
        <f>IF(ISNA(MATCH(U$2,Inputs!$K$4:$AJ$4,0)),NA(),IF(SUMPRODUCT((Inputs!$A$5:$A$140=$B15)*ISNUMBER(INDEX(Inputs!$K$5:$AJ$140,0,MATCH(U$2,Inputs!$K$4:$AJ$4,0))))+SUMPRODUCT((Inputs!$C$5:$C$140=$B15)*ISNUMBER(INDEX(Inputs!$K$5:$AJ$140,0,MATCH(U$2,Inputs!$K$4:$AJ$4,0))))+SUMPRODUCT((Inputs!$E$5:$E$140=$B15)*ISNUMBER(INDEX(Inputs!$K$5:$AJ$140,0,MATCH(U$2,Inputs!$K$4:$AJ$4,0))))=0,NA(),SUMPRODUCT((Inputs!$A$5:$A$140=$B15)*Inputs!$B$5:$B$140*(((Inputs!$G$5:$G$140="moeda")+(Inputs!$G$5:$G$140="acoes"))*Inputs!$B$1+((Inputs!$G$5:$G$140&lt;&gt;"moeda")*(Inputs!$G$5:$G$140&lt;&gt;"acoes")))*INDEX(Inputs!$K$5:$AJ$140,0,MATCH(U$2,Inputs!$K$4:$AJ$4,0)))+SUMPRODUCT((Inputs!$C$5:$C$140=$B15)*Inputs!$D$5:$D$140*(((Inputs!$G$5:$G$140="moeda")+(Inputs!$G$5:$G$140="acoes"))*Inputs!$B$1+((Inputs!$G$5:$G$140&lt;&gt;"moeda")*(Inputs!$G$5:$G$140&lt;&gt;"acoes")))*INDEX(Inputs!$K$5:$AJ$140,0,MATCH(U$2,Inputs!$K$4:$AJ$4,0)))+SUMPRODUCT((Inputs!$E$5:$E$140=$B15)*Inputs!$F$5:$F$140*(((Inputs!$G$5:$G$140="moeda")+(Inputs!$G$5:$G$140="acoes"))*Inputs!$B$1+((Inputs!$G$5:$G$140&lt;&gt;"moeda")*(Inputs!$G$5:$G$140&lt;&gt;"acoes")))*INDEX(Inputs!$K$5:$AJ$140,0,MATCH(U$2,Inputs!$K$4:$AJ$4,0)))))</f>
        <v>1425.215</v>
      </c>
      <c r="V15" s="6">
        <f>IF(ISNA(MATCH(V$2,Inputs!$K$4:$AJ$4,0)),NA(),IF(SUMPRODUCT((Inputs!$A$5:$A$140=$B15)*ISNUMBER(INDEX(Inputs!$K$5:$AJ$140,0,MATCH(V$2,Inputs!$K$4:$AJ$4,0))))+SUMPRODUCT((Inputs!$C$5:$C$140=$B15)*ISNUMBER(INDEX(Inputs!$K$5:$AJ$140,0,MATCH(V$2,Inputs!$K$4:$AJ$4,0))))+SUMPRODUCT((Inputs!$E$5:$E$140=$B15)*ISNUMBER(INDEX(Inputs!$K$5:$AJ$140,0,MATCH(V$2,Inputs!$K$4:$AJ$4,0))))=0,NA(),SUMPRODUCT((Inputs!$A$5:$A$140=$B15)*Inputs!$B$5:$B$140*(((Inputs!$G$5:$G$140="moeda")+(Inputs!$G$5:$G$140="acoes"))*Inputs!$B$1+((Inputs!$G$5:$G$140&lt;&gt;"moeda")*(Inputs!$G$5:$G$140&lt;&gt;"acoes")))*INDEX(Inputs!$K$5:$AJ$140,0,MATCH(V$2,Inputs!$K$4:$AJ$4,0)))+SUMPRODUCT((Inputs!$C$5:$C$140=$B15)*Inputs!$D$5:$D$140*(((Inputs!$G$5:$G$140="moeda")+(Inputs!$G$5:$G$140="acoes"))*Inputs!$B$1+((Inputs!$G$5:$G$140&lt;&gt;"moeda")*(Inputs!$G$5:$G$140&lt;&gt;"acoes")))*INDEX(Inputs!$K$5:$AJ$140,0,MATCH(V$2,Inputs!$K$4:$AJ$4,0)))+SUMPRODUCT((Inputs!$E$5:$E$140=$B15)*Inputs!$F$5:$F$140*(((Inputs!$G$5:$G$140="moeda")+(Inputs!$G$5:$G$140="acoes"))*Inputs!$B$1+((Inputs!$G$5:$G$140&lt;&gt;"moeda")*(Inputs!$G$5:$G$140&lt;&gt;"acoes")))*INDEX(Inputs!$K$5:$AJ$140,0,MATCH(V$2,Inputs!$K$4:$AJ$4,0)))))</f>
        <v>1416.236</v>
      </c>
      <c r="W15" s="3">
        <f>V15</f>
        <v>1416.236</v>
      </c>
      <c r="X15" s="6">
        <f>IF(ISNA(MATCH(X$2,Inputs!$K$4:$AJ$4,0)),NA(),IF(SUMPRODUCT((Inputs!$A$5:$A$140=$B15)*ISNUMBER(INDEX(Inputs!$K$5:$AJ$140,0,MATCH(X$2,Inputs!$K$4:$AJ$4,0))))+SUMPRODUCT((Inputs!$C$5:$C$140=$B15)*ISNUMBER(INDEX(Inputs!$K$5:$AJ$140,0,MATCH(X$2,Inputs!$K$4:$AJ$4,0))))+SUMPRODUCT((Inputs!$E$5:$E$140=$B15)*ISNUMBER(INDEX(Inputs!$K$5:$AJ$140,0,MATCH(X$2,Inputs!$K$4:$AJ$4,0))))=0,NA(),SUMPRODUCT((Inputs!$A$5:$A$140=$B15)*Inputs!$B$5:$B$140*(((Inputs!$G$5:$G$140="moeda")+(Inputs!$G$5:$G$140="acoes"))*Inputs!$B$1+((Inputs!$G$5:$G$140&lt;&gt;"moeda")*(Inputs!$G$5:$G$140&lt;&gt;"acoes")))*INDEX(Inputs!$K$5:$AJ$140,0,MATCH(X$2,Inputs!$K$4:$AJ$4,0)))+SUMPRODUCT((Inputs!$C$5:$C$140=$B15)*Inputs!$D$5:$D$140*(((Inputs!$G$5:$G$140="moeda")+(Inputs!$G$5:$G$140="acoes"))*Inputs!$B$1+((Inputs!$G$5:$G$140&lt;&gt;"moeda")*(Inputs!$G$5:$G$140&lt;&gt;"acoes")))*INDEX(Inputs!$K$5:$AJ$140,0,MATCH(X$2,Inputs!$K$4:$AJ$4,0)))+SUMPRODUCT((Inputs!$E$5:$E$140=$B15)*Inputs!$F$5:$F$140*(((Inputs!$G$5:$G$140="moeda")+(Inputs!$G$5:$G$140="acoes"))*Inputs!$B$1+((Inputs!$G$5:$G$140&lt;&gt;"moeda")*(Inputs!$G$5:$G$140&lt;&gt;"acoes")))*INDEX(Inputs!$K$5:$AJ$140,0,MATCH(X$2,Inputs!$K$4:$AJ$4,0)))))</f>
        <v>1543.806</v>
      </c>
      <c r="Y15" s="6">
        <f>IF(ISNA(MATCH(Y$2,Inputs!$K$4:$AJ$4,0)),NA(),IF(SUMPRODUCT((Inputs!$A$5:$A$140=$B15)*ISNUMBER(INDEX(Inputs!$K$5:$AJ$140,0,MATCH(Y$2,Inputs!$K$4:$AJ$4,0))))+SUMPRODUCT((Inputs!$C$5:$C$140=$B15)*ISNUMBER(INDEX(Inputs!$K$5:$AJ$140,0,MATCH(Y$2,Inputs!$K$4:$AJ$4,0))))+SUMPRODUCT((Inputs!$E$5:$E$140=$B15)*ISNUMBER(INDEX(Inputs!$K$5:$AJ$140,0,MATCH(Y$2,Inputs!$K$4:$AJ$4,0))))=0,NA(),SUMPRODUCT((Inputs!$A$5:$A$140=$B15)*Inputs!$B$5:$B$140*(((Inputs!$G$5:$G$140="moeda")+(Inputs!$G$5:$G$140="acoes"))*Inputs!$B$1+((Inputs!$G$5:$G$140&lt;&gt;"moeda")*(Inputs!$G$5:$G$140&lt;&gt;"acoes")))*INDEX(Inputs!$K$5:$AJ$140,0,MATCH(Y$2,Inputs!$K$4:$AJ$4,0)))+SUMPRODUCT((Inputs!$C$5:$C$140=$B15)*Inputs!$D$5:$D$140*(((Inputs!$G$5:$G$140="moeda")+(Inputs!$G$5:$G$140="acoes"))*Inputs!$B$1+((Inputs!$G$5:$G$140&lt;&gt;"moeda")*(Inputs!$G$5:$G$140&lt;&gt;"acoes")))*INDEX(Inputs!$K$5:$AJ$140,0,MATCH(Y$2,Inputs!$K$4:$AJ$4,0)))+SUMPRODUCT((Inputs!$E$5:$E$140=$B15)*Inputs!$F$5:$F$140*(((Inputs!$G$5:$G$140="moeda")+(Inputs!$G$5:$G$140="acoes"))*Inputs!$B$1+((Inputs!$G$5:$G$140&lt;&gt;"moeda")*(Inputs!$G$5:$G$140&lt;&gt;"acoes")))*INDEX(Inputs!$K$5:$AJ$140,0,MATCH(Y$2,Inputs!$K$4:$AJ$4,0)))))</f>
        <v>1530.875</v>
      </c>
      <c r="Z15" s="6">
        <f>IF(ISNA(MATCH(Z$2,Inputs!$K$4:$AJ$4,0)),NA(),IF(SUMPRODUCT((Inputs!$A$5:$A$140=$B15)*ISNUMBER(INDEX(Inputs!$K$5:$AJ$140,0,MATCH(Z$2,Inputs!$K$4:$AJ$4,0))))+SUMPRODUCT((Inputs!$C$5:$C$140=$B15)*ISNUMBER(INDEX(Inputs!$K$5:$AJ$140,0,MATCH(Z$2,Inputs!$K$4:$AJ$4,0))))+SUMPRODUCT((Inputs!$E$5:$E$140=$B15)*ISNUMBER(INDEX(Inputs!$K$5:$AJ$140,0,MATCH(Z$2,Inputs!$K$4:$AJ$4,0))))=0,NA(),SUMPRODUCT((Inputs!$A$5:$A$140=$B15)*Inputs!$B$5:$B$140*(((Inputs!$G$5:$G$140="moeda")+(Inputs!$G$5:$G$140="acoes"))*Inputs!$B$1+((Inputs!$G$5:$G$140&lt;&gt;"moeda")*(Inputs!$G$5:$G$140&lt;&gt;"acoes")))*INDEX(Inputs!$K$5:$AJ$140,0,MATCH(Z$2,Inputs!$K$4:$AJ$4,0)))+SUMPRODUCT((Inputs!$C$5:$C$140=$B15)*Inputs!$D$5:$D$140*(((Inputs!$G$5:$G$140="moeda")+(Inputs!$G$5:$G$140="acoes"))*Inputs!$B$1+((Inputs!$G$5:$G$140&lt;&gt;"moeda")*(Inputs!$G$5:$G$140&lt;&gt;"acoes")))*INDEX(Inputs!$K$5:$AJ$140,0,MATCH(Z$2,Inputs!$K$4:$AJ$4,0)))+SUMPRODUCT((Inputs!$E$5:$E$140=$B15)*Inputs!$F$5:$F$140*(((Inputs!$G$5:$G$140="moeda")+(Inputs!$G$5:$G$140="acoes"))*Inputs!$B$1+((Inputs!$G$5:$G$140&lt;&gt;"moeda")*(Inputs!$G$5:$G$140&lt;&gt;"acoes")))*INDEX(Inputs!$K$5:$AJ$140,0,MATCH(Z$2,Inputs!$K$4:$AJ$4,0)))))</f>
        <v>1773.203</v>
      </c>
      <c r="AA15" s="6">
        <f>IF(ISNA(MATCH(AA$2,Inputs!$K$4:$AJ$4,0)),NA(),IF(SUMPRODUCT((Inputs!$A$5:$A$140=$B15)*ISNUMBER(INDEX(Inputs!$K$5:$AJ$140,0,MATCH(AA$2,Inputs!$K$4:$AJ$4,0))))+SUMPRODUCT((Inputs!$C$5:$C$140=$B15)*ISNUMBER(INDEX(Inputs!$K$5:$AJ$140,0,MATCH(AA$2,Inputs!$K$4:$AJ$4,0))))+SUMPRODUCT((Inputs!$E$5:$E$140=$B15)*ISNUMBER(INDEX(Inputs!$K$5:$AJ$140,0,MATCH(AA$2,Inputs!$K$4:$AJ$4,0))))=0,NA(),SUMPRODUCT((Inputs!$A$5:$A$140=$B15)*Inputs!$B$5:$B$140*(((Inputs!$G$5:$G$140="moeda")+(Inputs!$G$5:$G$140="acoes"))*Inputs!$B$1+((Inputs!$G$5:$G$140&lt;&gt;"moeda")*(Inputs!$G$5:$G$140&lt;&gt;"acoes")))*INDEX(Inputs!$K$5:$AJ$140,0,MATCH(AA$2,Inputs!$K$4:$AJ$4,0)))+SUMPRODUCT((Inputs!$C$5:$C$140=$B15)*Inputs!$D$5:$D$140*(((Inputs!$G$5:$G$140="moeda")+(Inputs!$G$5:$G$140="acoes"))*Inputs!$B$1+((Inputs!$G$5:$G$140&lt;&gt;"moeda")*(Inputs!$G$5:$G$140&lt;&gt;"acoes")))*INDEX(Inputs!$K$5:$AJ$140,0,MATCH(AA$2,Inputs!$K$4:$AJ$4,0)))+SUMPRODUCT((Inputs!$E$5:$E$140=$B15)*Inputs!$F$5:$F$140*(((Inputs!$G$5:$G$140="moeda")+(Inputs!$G$5:$G$140="acoes"))*Inputs!$B$1+((Inputs!$G$5:$G$140&lt;&gt;"moeda")*(Inputs!$G$5:$G$140&lt;&gt;"acoes")))*INDEX(Inputs!$K$5:$AJ$140,0,MATCH(AA$2,Inputs!$K$4:$AJ$4,0)))))</f>
        <v>1790.937</v>
      </c>
      <c r="AB15" s="3">
        <f>AA15</f>
        <v>1790.937</v>
      </c>
      <c r="AC15" s="6">
        <f>IF(ISNA(MATCH(AC$2,Inputs!$K$4:$AJ$4,0)),NA(),IF(SUMPRODUCT((Inputs!$A$5:$A$140=$B15)*ISNUMBER(INDEX(Inputs!$K$5:$AJ$140,0,MATCH(AC$2,Inputs!$K$4:$AJ$4,0))))+SUMPRODUCT((Inputs!$C$5:$C$140=$B15)*ISNUMBER(INDEX(Inputs!$K$5:$AJ$140,0,MATCH(AC$2,Inputs!$K$4:$AJ$4,0))))+SUMPRODUCT((Inputs!$E$5:$E$140=$B15)*ISNUMBER(INDEX(Inputs!$K$5:$AJ$140,0,MATCH(AC$2,Inputs!$K$4:$AJ$4,0))))=0,NA(),SUMPRODUCT((Inputs!$A$5:$A$140=$B15)*Inputs!$B$5:$B$140*(((Inputs!$G$5:$G$140="moeda")+(Inputs!$G$5:$G$140="acoes"))*Inputs!$B$1+((Inputs!$G$5:$G$140&lt;&gt;"moeda")*(Inputs!$G$5:$G$140&lt;&gt;"acoes")))*INDEX(Inputs!$K$5:$AJ$140,0,MATCH(AC$2,Inputs!$K$4:$AJ$4,0)))+SUMPRODUCT((Inputs!$C$5:$C$140=$B15)*Inputs!$D$5:$D$140*(((Inputs!$G$5:$G$140="moeda")+(Inputs!$G$5:$G$140="acoes"))*Inputs!$B$1+((Inputs!$G$5:$G$140&lt;&gt;"moeda")*(Inputs!$G$5:$G$140&lt;&gt;"acoes")))*INDEX(Inputs!$K$5:$AJ$140,0,MATCH(AC$2,Inputs!$K$4:$AJ$4,0)))+SUMPRODUCT((Inputs!$E$5:$E$140=$B15)*Inputs!$F$5:$F$140*(((Inputs!$G$5:$G$140="moeda")+(Inputs!$G$5:$G$140="acoes"))*Inputs!$B$1+((Inputs!$G$5:$G$140&lt;&gt;"moeda")*(Inputs!$G$5:$G$140&lt;&gt;"acoes")))*INDEX(Inputs!$K$5:$AJ$140,0,MATCH(AC$2,Inputs!$K$4:$AJ$4,0)))))</f>
        <v>1757.31</v>
      </c>
      <c r="AD15" s="6">
        <f>IF(ISNA(MATCH(AD$2,Inputs!$K$4:$AJ$4,0)),NA(),IF(SUMPRODUCT((Inputs!$A$5:$A$140=$B15)*ISNUMBER(INDEX(Inputs!$K$5:$AJ$140,0,MATCH(AD$2,Inputs!$K$4:$AJ$4,0))))+SUMPRODUCT((Inputs!$C$5:$C$140=$B15)*ISNUMBER(INDEX(Inputs!$K$5:$AJ$140,0,MATCH(AD$2,Inputs!$K$4:$AJ$4,0))))+SUMPRODUCT((Inputs!$E$5:$E$140=$B15)*ISNUMBER(INDEX(Inputs!$K$5:$AJ$140,0,MATCH(AD$2,Inputs!$K$4:$AJ$4,0))))=0,NA(),SUMPRODUCT((Inputs!$A$5:$A$140=$B15)*Inputs!$B$5:$B$140*(((Inputs!$G$5:$G$140="moeda")+(Inputs!$G$5:$G$140="acoes"))*Inputs!$B$1+((Inputs!$G$5:$G$140&lt;&gt;"moeda")*(Inputs!$G$5:$G$140&lt;&gt;"acoes")))*INDEX(Inputs!$K$5:$AJ$140,0,MATCH(AD$2,Inputs!$K$4:$AJ$4,0)))+SUMPRODUCT((Inputs!$C$5:$C$140=$B15)*Inputs!$D$5:$D$140*(((Inputs!$G$5:$G$140="moeda")+(Inputs!$G$5:$G$140="acoes"))*Inputs!$B$1+((Inputs!$G$5:$G$140&lt;&gt;"moeda")*(Inputs!$G$5:$G$140&lt;&gt;"acoes")))*INDEX(Inputs!$K$5:$AJ$140,0,MATCH(AD$2,Inputs!$K$4:$AJ$4,0)))+SUMPRODUCT((Inputs!$E$5:$E$140=$B15)*Inputs!$F$5:$F$140*(((Inputs!$G$5:$G$140="moeda")+(Inputs!$G$5:$G$140="acoes"))*Inputs!$B$1+((Inputs!$G$5:$G$140&lt;&gt;"moeda")*(Inputs!$G$5:$G$140&lt;&gt;"acoes")))*INDEX(Inputs!$K$5:$AJ$140,0,MATCH(AD$2,Inputs!$K$4:$AJ$4,0)))))</f>
        <v>1633.706</v>
      </c>
      <c r="AE15" s="6" t="e">
        <f>IF(ISNA(MATCH(AE$2,Inputs!$K$4:$AJ$4,0)),NA(),IF(SUMPRODUCT((Inputs!$A$5:$A$140=$B15)*ISNUMBER(INDEX(Inputs!$K$5:$AJ$140,0,MATCH(AE$2,Inputs!$K$4:$AJ$4,0))))+SUMPRODUCT((Inputs!$C$5:$C$140=$B15)*ISNUMBER(INDEX(Inputs!$K$5:$AJ$140,0,MATCH(AE$2,Inputs!$K$4:$AJ$4,0))))+SUMPRODUCT((Inputs!$E$5:$E$140=$B15)*ISNUMBER(INDEX(Inputs!$K$5:$AJ$140,0,MATCH(AE$2,Inputs!$K$4:$AJ$4,0))))=0,NA(),SUMPRODUCT((Inputs!$A$5:$A$140=$B15)*Inputs!$B$5:$B$140*(((Inputs!$G$5:$G$140="moeda")+(Inputs!$G$5:$G$140="acoes"))*Inputs!$B$1+((Inputs!$G$5:$G$140&lt;&gt;"moeda")*(Inputs!$G$5:$G$140&lt;&gt;"acoes")))*INDEX(Inputs!$K$5:$AJ$140,0,MATCH(AE$2,Inputs!$K$4:$AJ$4,0)))+SUMPRODUCT((Inputs!$C$5:$C$140=$B15)*Inputs!$D$5:$D$140*(((Inputs!$G$5:$G$140="moeda")+(Inputs!$G$5:$G$140="acoes"))*Inputs!$B$1+((Inputs!$G$5:$G$140&lt;&gt;"moeda")*(Inputs!$G$5:$G$140&lt;&gt;"acoes")))*INDEX(Inputs!$K$5:$AJ$140,0,MATCH(AE$2,Inputs!$K$4:$AJ$4,0)))+SUMPRODUCT((Inputs!$E$5:$E$140=$B15)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5" s="6" t="e">
        <f>IF(ISNA(MATCH(AF$2,Inputs!$K$4:$AJ$4,0)),NA(),IF(SUMPRODUCT((Inputs!$A$5:$A$140=$B15)*ISNUMBER(INDEX(Inputs!$K$5:$AJ$140,0,MATCH(AF$2,Inputs!$K$4:$AJ$4,0))))+SUMPRODUCT((Inputs!$C$5:$C$140=$B15)*ISNUMBER(INDEX(Inputs!$K$5:$AJ$140,0,MATCH(AF$2,Inputs!$K$4:$AJ$4,0))))+SUMPRODUCT((Inputs!$E$5:$E$140=$B15)*ISNUMBER(INDEX(Inputs!$K$5:$AJ$140,0,MATCH(AF$2,Inputs!$K$4:$AJ$4,0))))=0,NA(),SUMPRODUCT((Inputs!$A$5:$A$140=$B15)*Inputs!$B$5:$B$140*(((Inputs!$G$5:$G$140="moeda")+(Inputs!$G$5:$G$140="acoes"))*Inputs!$B$1+((Inputs!$G$5:$G$140&lt;&gt;"moeda")*(Inputs!$G$5:$G$140&lt;&gt;"acoes")))*INDEX(Inputs!$K$5:$AJ$140,0,MATCH(AF$2,Inputs!$K$4:$AJ$4,0)))+SUMPRODUCT((Inputs!$C$5:$C$140=$B15)*Inputs!$D$5:$D$140*(((Inputs!$G$5:$G$140="moeda")+(Inputs!$G$5:$G$140="acoes"))*Inputs!$B$1+((Inputs!$G$5:$G$140&lt;&gt;"moeda")*(Inputs!$G$5:$G$140&lt;&gt;"acoes")))*INDEX(Inputs!$K$5:$AJ$140,0,MATCH(AF$2,Inputs!$K$4:$AJ$4,0)))+SUMPRODUCT((Inputs!$E$5:$E$140=$B15)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5" s="3" t="e">
        <f>AF15</f>
        <v>#N/A</v>
      </c>
      <c r="AH15" s="6">
        <f>IF(ISNA(MATCH(AH$2,Inputs!$K$4:$AJ$4,0)),NA(),IF(SUMPRODUCT((Inputs!$A$5:$A$140=$B15)*ISNUMBER(INDEX(Inputs!$K$5:$AJ$140,0,MATCH(AH$2,Inputs!$K$4:$AJ$4,0))))+SUMPRODUCT((Inputs!$C$5:$C$140=$B15)*ISNUMBER(INDEX(Inputs!$K$5:$AJ$140,0,MATCH(AH$2,Inputs!$K$4:$AJ$4,0))))+SUMPRODUCT((Inputs!$E$5:$E$140=$B15)*ISNUMBER(INDEX(Inputs!$K$5:$AJ$140,0,MATCH(AH$2,Inputs!$K$4:$AJ$4,0))))=0,NA(),SUMPRODUCT((Inputs!$A$5:$A$140=$B15)*Inputs!$B$5:$B$140*(((Inputs!$G$5:$G$140="moeda")+(Inputs!$G$5:$G$140="acoes"))*Inputs!$B$1+((Inputs!$G$5:$G$140&lt;&gt;"moeda")*(Inputs!$G$5:$G$140&lt;&gt;"acoes")))*INDEX(Inputs!$K$5:$AJ$140,0,MATCH(AH$2,Inputs!$K$4:$AJ$4,0)))+SUMPRODUCT((Inputs!$C$5:$C$140=$B15)*Inputs!$D$5:$D$140*(((Inputs!$G$5:$G$140="moeda")+(Inputs!$G$5:$G$140="acoes"))*Inputs!$B$1+((Inputs!$G$5:$G$140&lt;&gt;"moeda")*(Inputs!$G$5:$G$140&lt;&gt;"acoes")))*INDEX(Inputs!$K$5:$AJ$140,0,MATCH(AH$2,Inputs!$K$4:$AJ$4,0)))+SUMPRODUCT((Inputs!$E$5:$E$140=$B15)*Inputs!$F$5:$F$140*(((Inputs!$G$5:$G$140="moeda")+(Inputs!$G$5:$G$140="acoes"))*Inputs!$B$1+((Inputs!$G$5:$G$140&lt;&gt;"moeda")*(Inputs!$G$5:$G$140&lt;&gt;"acoes")))*INDEX(Inputs!$K$5:$AJ$140,0,MATCH(AH$2,Inputs!$K$4:$AJ$4,0)))))</f>
        <v>325.528</v>
      </c>
      <c r="AI15" s="6">
        <f>IF(ISNA(MATCH(AI$2,Inputs!$K$4:$AJ$4,0)),NA(),IF(SUMPRODUCT((Inputs!$A$5:$A$140=$B15)*ISNUMBER(INDEX(Inputs!$K$5:$AJ$140,0,MATCH(AI$2,Inputs!$K$4:$AJ$4,0))))+SUMPRODUCT((Inputs!$C$5:$C$140=$B15)*ISNUMBER(INDEX(Inputs!$K$5:$AJ$140,0,MATCH(AI$2,Inputs!$K$4:$AJ$4,0))))+SUMPRODUCT((Inputs!$E$5:$E$140=$B15)*ISNUMBER(INDEX(Inputs!$K$5:$AJ$140,0,MATCH(AI$2,Inputs!$K$4:$AJ$4,0))))=0,NA(),SUMPRODUCT((Inputs!$A$5:$A$140=$B15)*Inputs!$B$5:$B$140*(((Inputs!$G$5:$G$140="moeda")+(Inputs!$G$5:$G$140="acoes"))*Inputs!$B$1+((Inputs!$G$5:$G$140&lt;&gt;"moeda")*(Inputs!$G$5:$G$140&lt;&gt;"acoes")))*INDEX(Inputs!$K$5:$AJ$140,0,MATCH(AI$2,Inputs!$K$4:$AJ$4,0)))+SUMPRODUCT((Inputs!$C$5:$C$140=$B15)*Inputs!$D$5:$D$140*(((Inputs!$G$5:$G$140="moeda")+(Inputs!$G$5:$G$140="acoes"))*Inputs!$B$1+((Inputs!$G$5:$G$140&lt;&gt;"moeda")*(Inputs!$G$5:$G$140&lt;&gt;"acoes")))*INDEX(Inputs!$K$5:$AJ$140,0,MATCH(AI$2,Inputs!$K$4:$AJ$4,0)))+SUMPRODUCT((Inputs!$E$5:$E$140=$B15)*Inputs!$F$5:$F$140*(((Inputs!$G$5:$G$140="moeda")+(Inputs!$G$5:$G$140="acoes"))*Inputs!$B$1+((Inputs!$G$5:$G$140&lt;&gt;"moeda")*(Inputs!$G$5:$G$140&lt;&gt;"acoes")))*INDEX(Inputs!$K$5:$AJ$140,0,MATCH(AI$2,Inputs!$K$4:$AJ$4,0)))))</f>
        <v>425.847</v>
      </c>
      <c r="AJ15" s="6">
        <f>IF(ISNA(MATCH(AJ$2,Inputs!$K$4:$AJ$4,0)),NA(),IF(SUMPRODUCT((Inputs!$A$5:$A$140=$B15)*ISNUMBER(INDEX(Inputs!$K$5:$AJ$140,0,MATCH(AJ$2,Inputs!$K$4:$AJ$4,0))))+SUMPRODUCT((Inputs!$C$5:$C$140=$B15)*ISNUMBER(INDEX(Inputs!$K$5:$AJ$140,0,MATCH(AJ$2,Inputs!$K$4:$AJ$4,0))))+SUMPRODUCT((Inputs!$E$5:$E$140=$B15)*ISNUMBER(INDEX(Inputs!$K$5:$AJ$140,0,MATCH(AJ$2,Inputs!$K$4:$AJ$4,0))))=0,NA(),SUMPRODUCT((Inputs!$A$5:$A$140=$B15)*Inputs!$B$5:$B$140*(((Inputs!$G$5:$G$140="moeda")+(Inputs!$G$5:$G$140="acoes"))*Inputs!$B$1+((Inputs!$G$5:$G$140&lt;&gt;"moeda")*(Inputs!$G$5:$G$140&lt;&gt;"acoes")))*INDEX(Inputs!$K$5:$AJ$140,0,MATCH(AJ$2,Inputs!$K$4:$AJ$4,0)))+SUMPRODUCT((Inputs!$C$5:$C$140=$B15)*Inputs!$D$5:$D$140*(((Inputs!$G$5:$G$140="moeda")+(Inputs!$G$5:$G$140="acoes"))*Inputs!$B$1+((Inputs!$G$5:$G$140&lt;&gt;"moeda")*(Inputs!$G$5:$G$140&lt;&gt;"acoes")))*INDEX(Inputs!$K$5:$AJ$140,0,MATCH(AJ$2,Inputs!$K$4:$AJ$4,0)))+SUMPRODUCT((Inputs!$E$5:$E$140=$B15)*Inputs!$F$5:$F$140*(((Inputs!$G$5:$G$140="moeda")+(Inputs!$G$5:$G$140="acoes"))*Inputs!$B$1+((Inputs!$G$5:$G$140&lt;&gt;"moeda")*(Inputs!$G$5:$G$140&lt;&gt;"acoes")))*INDEX(Inputs!$K$5:$AJ$140,0,MATCH(AJ$2,Inputs!$K$4:$AJ$4,0)))))</f>
        <v>609.849</v>
      </c>
      <c r="AK15" s="6">
        <f>IF(ISNA(MATCH(AK$2,Inputs!$K$4:$AJ$4,0)),NA(),IF(SUMPRODUCT((Inputs!$A$5:$A$140=$B15)*ISNUMBER(INDEX(Inputs!$K$5:$AJ$140,0,MATCH(AK$2,Inputs!$K$4:$AJ$4,0))))+SUMPRODUCT((Inputs!$C$5:$C$140=$B15)*ISNUMBER(INDEX(Inputs!$K$5:$AJ$140,0,MATCH(AK$2,Inputs!$K$4:$AJ$4,0))))+SUMPRODUCT((Inputs!$E$5:$E$140=$B15)*ISNUMBER(INDEX(Inputs!$K$5:$AJ$140,0,MATCH(AK$2,Inputs!$K$4:$AJ$4,0))))=0,NA(),SUMPRODUCT((Inputs!$A$5:$A$140=$B15)*Inputs!$B$5:$B$140*(((Inputs!$G$5:$G$140="moeda")+(Inputs!$G$5:$G$140="acoes"))*Inputs!$B$1+((Inputs!$G$5:$G$140&lt;&gt;"moeda")*(Inputs!$G$5:$G$140&lt;&gt;"acoes")))*INDEX(Inputs!$K$5:$AJ$140,0,MATCH(AK$2,Inputs!$K$4:$AJ$4,0)))+SUMPRODUCT((Inputs!$C$5:$C$140=$B15)*Inputs!$D$5:$D$140*(((Inputs!$G$5:$G$140="moeda")+(Inputs!$G$5:$G$140="acoes"))*Inputs!$B$1+((Inputs!$G$5:$G$140&lt;&gt;"moeda")*(Inputs!$G$5:$G$140&lt;&gt;"acoes")))*INDEX(Inputs!$K$5:$AJ$140,0,MATCH(AK$2,Inputs!$K$4:$AJ$4,0)))+SUMPRODUCT((Inputs!$E$5:$E$140=$B15)*Inputs!$F$5:$F$140*(((Inputs!$G$5:$G$140="moeda")+(Inputs!$G$5:$G$140="acoes"))*Inputs!$B$1+((Inputs!$G$5:$G$140&lt;&gt;"moeda")*(Inputs!$G$5:$G$140&lt;&gt;"acoes")))*INDEX(Inputs!$K$5:$AJ$140,0,MATCH(AK$2,Inputs!$K$4:$AJ$4,0)))))</f>
        <v>430.898</v>
      </c>
      <c r="AL15" s="3">
        <f>AK15</f>
        <v>430.898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$140=$B16)*ISNUMBER(INDEX(Inputs!$K$5:$AJ$140,0,MATCH(D$2,Inputs!$K$4:$AJ$4,0))))+SUMPRODUCT((Inputs!$C$5:$C$140=$B16)*ISNUMBER(INDEX(Inputs!$K$5:$AJ$140,0,MATCH(D$2,Inputs!$K$4:$AJ$4,0))))+SUMPRODUCT((Inputs!$E$5:$E$140=$B16)*ISNUMBER(INDEX(Inputs!$K$5:$AJ$140,0,MATCH(D$2,Inputs!$K$4:$AJ$4,0))))=0,NA(),SUMPRODUCT((Inputs!$A$5:$A$140=$B16)*Inputs!$B$5:$B$140*(((Inputs!$G$5:$G$140="moeda")+(Inputs!$G$5:$G$140="acoes"))*Inputs!$B$1+((Inputs!$G$5:$G$140&lt;&gt;"moeda")*(Inputs!$G$5:$G$140&lt;&gt;"acoes")))*INDEX(Inputs!$K$5:$AJ$140,0,MATCH(D$2,Inputs!$K$4:$AJ$4,0)))+SUMPRODUCT((Inputs!$C$5:$C$140=$B16)*Inputs!$D$5:$D$140*(((Inputs!$G$5:$G$140="moeda")+(Inputs!$G$5:$G$140="acoes"))*Inputs!$B$1+((Inputs!$G$5:$G$140&lt;&gt;"moeda")*(Inputs!$G$5:$G$140&lt;&gt;"acoes")))*INDEX(Inputs!$K$5:$AJ$140,0,MATCH(D$2,Inputs!$K$4:$AJ$4,0)))+SUMPRODUCT((Inputs!$E$5:$E$140=$B16)*Inputs!$F$5:$F$140*(((Inputs!$G$5:$G$140="moeda")+(Inputs!$G$5:$G$140="acoes"))*Inputs!$B$1+((Inputs!$G$5:$G$140&lt;&gt;"moeda")*(Inputs!$G$5:$G$140&lt;&gt;"acoes")))*INDEX(Inputs!$K$5:$AJ$140,0,MATCH(D$2,Inputs!$K$4:$AJ$4,0)))))</f>
        <v>938.013</v>
      </c>
      <c r="E16" s="6">
        <f>IF(ISNA(MATCH(E$2,Inputs!$K$4:$AJ$4,0)),NA(),IF(SUMPRODUCT((Inputs!$A$5:$A$140=$B16)*ISNUMBER(INDEX(Inputs!$K$5:$AJ$140,0,MATCH(E$2,Inputs!$K$4:$AJ$4,0))))+SUMPRODUCT((Inputs!$C$5:$C$140=$B16)*ISNUMBER(INDEX(Inputs!$K$5:$AJ$140,0,MATCH(E$2,Inputs!$K$4:$AJ$4,0))))+SUMPRODUCT((Inputs!$E$5:$E$140=$B16)*ISNUMBER(INDEX(Inputs!$K$5:$AJ$140,0,MATCH(E$2,Inputs!$K$4:$AJ$4,0))))=0,NA(),SUMPRODUCT((Inputs!$A$5:$A$140=$B16)*Inputs!$B$5:$B$140*(((Inputs!$G$5:$G$140="moeda")+(Inputs!$G$5:$G$140="acoes"))*Inputs!$B$1+((Inputs!$G$5:$G$140&lt;&gt;"moeda")*(Inputs!$G$5:$G$140&lt;&gt;"acoes")))*INDEX(Inputs!$K$5:$AJ$140,0,MATCH(E$2,Inputs!$K$4:$AJ$4,0)))+SUMPRODUCT((Inputs!$C$5:$C$140=$B16)*Inputs!$D$5:$D$140*(((Inputs!$G$5:$G$140="moeda")+(Inputs!$G$5:$G$140="acoes"))*Inputs!$B$1+((Inputs!$G$5:$G$140&lt;&gt;"moeda")*(Inputs!$G$5:$G$140&lt;&gt;"acoes")))*INDEX(Inputs!$K$5:$AJ$140,0,MATCH(E$2,Inputs!$K$4:$AJ$4,0)))+SUMPRODUCT((Inputs!$E$5:$E$140=$B16)*Inputs!$F$5:$F$140*(((Inputs!$G$5:$G$140="moeda")+(Inputs!$G$5:$G$140="acoes"))*Inputs!$B$1+((Inputs!$G$5:$G$140&lt;&gt;"moeda")*(Inputs!$G$5:$G$140&lt;&gt;"acoes")))*INDEX(Inputs!$K$5:$AJ$140,0,MATCH(E$2,Inputs!$K$4:$AJ$4,0)))))</f>
        <v>1049.124</v>
      </c>
      <c r="F16" s="6">
        <f>IF(ISNA(MATCH(F$2,Inputs!$K$4:$AJ$4,0)),NA(),IF(SUMPRODUCT((Inputs!$A$5:$A$140=$B16)*ISNUMBER(INDEX(Inputs!$K$5:$AJ$140,0,MATCH(F$2,Inputs!$K$4:$AJ$4,0))))+SUMPRODUCT((Inputs!$C$5:$C$140=$B16)*ISNUMBER(INDEX(Inputs!$K$5:$AJ$140,0,MATCH(F$2,Inputs!$K$4:$AJ$4,0))))+SUMPRODUCT((Inputs!$E$5:$E$140=$B16)*ISNUMBER(INDEX(Inputs!$K$5:$AJ$140,0,MATCH(F$2,Inputs!$K$4:$AJ$4,0))))=0,NA(),SUMPRODUCT((Inputs!$A$5:$A$140=$B16)*Inputs!$B$5:$B$140*(((Inputs!$G$5:$G$140="moeda")+(Inputs!$G$5:$G$140="acoes"))*Inputs!$B$1+((Inputs!$G$5:$G$140&lt;&gt;"moeda")*(Inputs!$G$5:$G$140&lt;&gt;"acoes")))*INDEX(Inputs!$K$5:$AJ$140,0,MATCH(F$2,Inputs!$K$4:$AJ$4,0)))+SUMPRODUCT((Inputs!$C$5:$C$140=$B16)*Inputs!$D$5:$D$140*(((Inputs!$G$5:$G$140="moeda")+(Inputs!$G$5:$G$140="acoes"))*Inputs!$B$1+((Inputs!$G$5:$G$140&lt;&gt;"moeda")*(Inputs!$G$5:$G$140&lt;&gt;"acoes")))*INDEX(Inputs!$K$5:$AJ$140,0,MATCH(F$2,Inputs!$K$4:$AJ$4,0)))+SUMPRODUCT((Inputs!$E$5:$E$140=$B16)*Inputs!$F$5:$F$140*(((Inputs!$G$5:$G$140="moeda")+(Inputs!$G$5:$G$140="acoes"))*Inputs!$B$1+((Inputs!$G$5:$G$140&lt;&gt;"moeda")*(Inputs!$G$5:$G$140&lt;&gt;"acoes")))*INDEX(Inputs!$K$5:$AJ$140,0,MATCH(F$2,Inputs!$K$4:$AJ$4,0)))))</f>
        <v>1106.282</v>
      </c>
      <c r="G16" s="6">
        <f>IF(ISNA(MATCH(G$2,Inputs!$K$4:$AJ$4,0)),NA(),IF(SUMPRODUCT((Inputs!$A$5:$A$140=$B16)*ISNUMBER(INDEX(Inputs!$K$5:$AJ$140,0,MATCH(G$2,Inputs!$K$4:$AJ$4,0))))+SUMPRODUCT((Inputs!$C$5:$C$140=$B16)*ISNUMBER(INDEX(Inputs!$K$5:$AJ$140,0,MATCH(G$2,Inputs!$K$4:$AJ$4,0))))+SUMPRODUCT((Inputs!$E$5:$E$140=$B16)*ISNUMBER(INDEX(Inputs!$K$5:$AJ$140,0,MATCH(G$2,Inputs!$K$4:$AJ$4,0))))=0,NA(),SUMPRODUCT((Inputs!$A$5:$A$140=$B16)*Inputs!$B$5:$B$140*(((Inputs!$G$5:$G$140="moeda")+(Inputs!$G$5:$G$140="acoes"))*Inputs!$B$1+((Inputs!$G$5:$G$140&lt;&gt;"moeda")*(Inputs!$G$5:$G$140&lt;&gt;"acoes")))*INDEX(Inputs!$K$5:$AJ$140,0,MATCH(G$2,Inputs!$K$4:$AJ$4,0)))+SUMPRODUCT((Inputs!$C$5:$C$140=$B16)*Inputs!$D$5:$D$140*(((Inputs!$G$5:$G$140="moeda")+(Inputs!$G$5:$G$140="acoes"))*Inputs!$B$1+((Inputs!$G$5:$G$140&lt;&gt;"moeda")*(Inputs!$G$5:$G$140&lt;&gt;"acoes")))*INDEX(Inputs!$K$5:$AJ$140,0,MATCH(G$2,Inputs!$K$4:$AJ$4,0)))+SUMPRODUCT((Inputs!$E$5:$E$140=$B16)*Inputs!$F$5:$F$140*(((Inputs!$G$5:$G$140="moeda")+(Inputs!$G$5:$G$140="acoes"))*Inputs!$B$1+((Inputs!$G$5:$G$140&lt;&gt;"moeda")*(Inputs!$G$5:$G$140&lt;&gt;"acoes")))*INDEX(Inputs!$K$5:$AJ$140,0,MATCH(G$2,Inputs!$K$4:$AJ$4,0)))))</f>
        <v>1277.665</v>
      </c>
      <c r="H16" s="3">
        <f>G16</f>
        <v>1277.665</v>
      </c>
      <c r="I16" s="6">
        <f>IF(ISNA(MATCH(I$2,Inputs!$K$4:$AJ$4,0)),NA(),IF(SUMPRODUCT((Inputs!$A$5:$A$140=$B16)*ISNUMBER(INDEX(Inputs!$K$5:$AJ$140,0,MATCH(I$2,Inputs!$K$4:$AJ$4,0))))+SUMPRODUCT((Inputs!$C$5:$C$140=$B16)*ISNUMBER(INDEX(Inputs!$K$5:$AJ$140,0,MATCH(I$2,Inputs!$K$4:$AJ$4,0))))+SUMPRODUCT((Inputs!$E$5:$E$140=$B16)*ISNUMBER(INDEX(Inputs!$K$5:$AJ$140,0,MATCH(I$2,Inputs!$K$4:$AJ$4,0))))=0,NA(),SUMPRODUCT((Inputs!$A$5:$A$140=$B16)*Inputs!$B$5:$B$140*(((Inputs!$G$5:$G$140="moeda")+(Inputs!$G$5:$G$140="acoes"))*Inputs!$B$1+((Inputs!$G$5:$G$140&lt;&gt;"moeda")*(Inputs!$G$5:$G$140&lt;&gt;"acoes")))*INDEX(Inputs!$K$5:$AJ$140,0,MATCH(I$2,Inputs!$K$4:$AJ$4,0)))+SUMPRODUCT((Inputs!$C$5:$C$140=$B16)*Inputs!$D$5:$D$140*(((Inputs!$G$5:$G$140="moeda")+(Inputs!$G$5:$G$140="acoes"))*Inputs!$B$1+((Inputs!$G$5:$G$140&lt;&gt;"moeda")*(Inputs!$G$5:$G$140&lt;&gt;"acoes")))*INDEX(Inputs!$K$5:$AJ$140,0,MATCH(I$2,Inputs!$K$4:$AJ$4,0)))+SUMPRODUCT((Inputs!$E$5:$E$140=$B16)*Inputs!$F$5:$F$140*(((Inputs!$G$5:$G$140="moeda")+(Inputs!$G$5:$G$140="acoes"))*Inputs!$B$1+((Inputs!$G$5:$G$140&lt;&gt;"moeda")*(Inputs!$G$5:$G$140&lt;&gt;"acoes")))*INDEX(Inputs!$K$5:$AJ$140,0,MATCH(I$2,Inputs!$K$4:$AJ$4,0)))))</f>
        <v>1630.579</v>
      </c>
      <c r="J16" s="6">
        <f>IF(ISNA(MATCH(J$2,Inputs!$K$4:$AJ$4,0)),NA(),IF(SUMPRODUCT((Inputs!$A$5:$A$140=$B16)*ISNUMBER(INDEX(Inputs!$K$5:$AJ$140,0,MATCH(J$2,Inputs!$K$4:$AJ$4,0))))+SUMPRODUCT((Inputs!$C$5:$C$140=$B16)*ISNUMBER(INDEX(Inputs!$K$5:$AJ$140,0,MATCH(J$2,Inputs!$K$4:$AJ$4,0))))+SUMPRODUCT((Inputs!$E$5:$E$140=$B16)*ISNUMBER(INDEX(Inputs!$K$5:$AJ$140,0,MATCH(J$2,Inputs!$K$4:$AJ$4,0))))=0,NA(),SUMPRODUCT((Inputs!$A$5:$A$140=$B16)*Inputs!$B$5:$B$140*(((Inputs!$G$5:$G$140="moeda")+(Inputs!$G$5:$G$140="acoes"))*Inputs!$B$1+((Inputs!$G$5:$G$140&lt;&gt;"moeda")*(Inputs!$G$5:$G$140&lt;&gt;"acoes")))*INDEX(Inputs!$K$5:$AJ$140,0,MATCH(J$2,Inputs!$K$4:$AJ$4,0)))+SUMPRODUCT((Inputs!$C$5:$C$140=$B16)*Inputs!$D$5:$D$140*(((Inputs!$G$5:$G$140="moeda")+(Inputs!$G$5:$G$140="acoes"))*Inputs!$B$1+((Inputs!$G$5:$G$140&lt;&gt;"moeda")*(Inputs!$G$5:$G$140&lt;&gt;"acoes")))*INDEX(Inputs!$K$5:$AJ$140,0,MATCH(J$2,Inputs!$K$4:$AJ$4,0)))+SUMPRODUCT((Inputs!$E$5:$E$140=$B16)*Inputs!$F$5:$F$140*(((Inputs!$G$5:$G$140="moeda")+(Inputs!$G$5:$G$140="acoes"))*Inputs!$B$1+((Inputs!$G$5:$G$140&lt;&gt;"moeda")*(Inputs!$G$5:$G$140&lt;&gt;"acoes")))*INDEX(Inputs!$K$5:$AJ$140,0,MATCH(J$2,Inputs!$K$4:$AJ$4,0)))))</f>
        <v>1556.792</v>
      </c>
      <c r="K16" s="6">
        <f>IF(ISNA(MATCH(K$2,Inputs!$K$4:$AJ$4,0)),NA(),IF(SUMPRODUCT((Inputs!$A$5:$A$140=$B16)*ISNUMBER(INDEX(Inputs!$K$5:$AJ$140,0,MATCH(K$2,Inputs!$K$4:$AJ$4,0))))+SUMPRODUCT((Inputs!$C$5:$C$140=$B16)*ISNUMBER(INDEX(Inputs!$K$5:$AJ$140,0,MATCH(K$2,Inputs!$K$4:$AJ$4,0))))+SUMPRODUCT((Inputs!$E$5:$E$140=$B16)*ISNUMBER(INDEX(Inputs!$K$5:$AJ$140,0,MATCH(K$2,Inputs!$K$4:$AJ$4,0))))=0,NA(),SUMPRODUCT((Inputs!$A$5:$A$140=$B16)*Inputs!$B$5:$B$140*(((Inputs!$G$5:$G$140="moeda")+(Inputs!$G$5:$G$140="acoes"))*Inputs!$B$1+((Inputs!$G$5:$G$140&lt;&gt;"moeda")*(Inputs!$G$5:$G$140&lt;&gt;"acoes")))*INDEX(Inputs!$K$5:$AJ$140,0,MATCH(K$2,Inputs!$K$4:$AJ$4,0)))+SUMPRODUCT((Inputs!$C$5:$C$140=$B16)*Inputs!$D$5:$D$140*(((Inputs!$G$5:$G$140="moeda")+(Inputs!$G$5:$G$140="acoes"))*Inputs!$B$1+((Inputs!$G$5:$G$140&lt;&gt;"moeda")*(Inputs!$G$5:$G$140&lt;&gt;"acoes")))*INDEX(Inputs!$K$5:$AJ$140,0,MATCH(K$2,Inputs!$K$4:$AJ$4,0)))+SUMPRODUCT((Inputs!$E$5:$E$140=$B16)*Inputs!$F$5:$F$140*(((Inputs!$G$5:$G$140="moeda")+(Inputs!$G$5:$G$140="acoes"))*Inputs!$B$1+((Inputs!$G$5:$G$140&lt;&gt;"moeda")*(Inputs!$G$5:$G$140&lt;&gt;"acoes")))*INDEX(Inputs!$K$5:$AJ$140,0,MATCH(K$2,Inputs!$K$4:$AJ$4,0)))))</f>
        <v>1399.701</v>
      </c>
      <c r="L16" s="6">
        <f>IF(ISNA(MATCH(L$2,Inputs!$K$4:$AJ$4,0)),NA(),IF(SUMPRODUCT((Inputs!$A$5:$A$140=$B16)*ISNUMBER(INDEX(Inputs!$K$5:$AJ$140,0,MATCH(L$2,Inputs!$K$4:$AJ$4,0))))+SUMPRODUCT((Inputs!$C$5:$C$140=$B16)*ISNUMBER(INDEX(Inputs!$K$5:$AJ$140,0,MATCH(L$2,Inputs!$K$4:$AJ$4,0))))+SUMPRODUCT((Inputs!$E$5:$E$140=$B16)*ISNUMBER(INDEX(Inputs!$K$5:$AJ$140,0,MATCH(L$2,Inputs!$K$4:$AJ$4,0))))=0,NA(),SUMPRODUCT((Inputs!$A$5:$A$140=$B16)*Inputs!$B$5:$B$140*(((Inputs!$G$5:$G$140="moeda")+(Inputs!$G$5:$G$140="acoes"))*Inputs!$B$1+((Inputs!$G$5:$G$140&lt;&gt;"moeda")*(Inputs!$G$5:$G$140&lt;&gt;"acoes")))*INDEX(Inputs!$K$5:$AJ$140,0,MATCH(L$2,Inputs!$K$4:$AJ$4,0)))+SUMPRODUCT((Inputs!$C$5:$C$140=$B16)*Inputs!$D$5:$D$140*(((Inputs!$G$5:$G$140="moeda")+(Inputs!$G$5:$G$140="acoes"))*Inputs!$B$1+((Inputs!$G$5:$G$140&lt;&gt;"moeda")*(Inputs!$G$5:$G$140&lt;&gt;"acoes")))*INDEX(Inputs!$K$5:$AJ$140,0,MATCH(L$2,Inputs!$K$4:$AJ$4,0)))+SUMPRODUCT((Inputs!$E$5:$E$140=$B16)*Inputs!$F$5:$F$140*(((Inputs!$G$5:$G$140="moeda")+(Inputs!$G$5:$G$140="acoes"))*Inputs!$B$1+((Inputs!$G$5:$G$140&lt;&gt;"moeda")*(Inputs!$G$5:$G$140&lt;&gt;"acoes")))*INDEX(Inputs!$K$5:$AJ$140,0,MATCH(L$2,Inputs!$K$4:$AJ$4,0)))))</f>
        <v>1179.262</v>
      </c>
      <c r="M16" s="3">
        <f>L16</f>
        <v>1179.262</v>
      </c>
      <c r="N16" s="6">
        <f>IF(ISNA(MATCH(N$2,Inputs!$K$4:$AJ$4,0)),NA(),IF(SUMPRODUCT((Inputs!$A$5:$A$140=$B16)*ISNUMBER(INDEX(Inputs!$K$5:$AJ$140,0,MATCH(N$2,Inputs!$K$4:$AJ$4,0))))+SUMPRODUCT((Inputs!$C$5:$C$140=$B16)*ISNUMBER(INDEX(Inputs!$K$5:$AJ$140,0,MATCH(N$2,Inputs!$K$4:$AJ$4,0))))+SUMPRODUCT((Inputs!$E$5:$E$140=$B16)*ISNUMBER(INDEX(Inputs!$K$5:$AJ$140,0,MATCH(N$2,Inputs!$K$4:$AJ$4,0))))=0,NA(),SUMPRODUCT((Inputs!$A$5:$A$140=$B16)*Inputs!$B$5:$B$140*(((Inputs!$G$5:$G$140="moeda")+(Inputs!$G$5:$G$140="acoes"))*Inputs!$B$1+((Inputs!$G$5:$G$140&lt;&gt;"moeda")*(Inputs!$G$5:$G$140&lt;&gt;"acoes")))*INDEX(Inputs!$K$5:$AJ$140,0,MATCH(N$2,Inputs!$K$4:$AJ$4,0)))+SUMPRODUCT((Inputs!$C$5:$C$140=$B16)*Inputs!$D$5:$D$140*(((Inputs!$G$5:$G$140="moeda")+(Inputs!$G$5:$G$140="acoes"))*Inputs!$B$1+((Inputs!$G$5:$G$140&lt;&gt;"moeda")*(Inputs!$G$5:$G$140&lt;&gt;"acoes")))*INDEX(Inputs!$K$5:$AJ$140,0,MATCH(N$2,Inputs!$K$4:$AJ$4,0)))+SUMPRODUCT((Inputs!$E$5:$E$140=$B16)*Inputs!$F$5:$F$140*(((Inputs!$G$5:$G$140="moeda")+(Inputs!$G$5:$G$140="acoes"))*Inputs!$B$1+((Inputs!$G$5:$G$140&lt;&gt;"moeda")*(Inputs!$G$5:$G$140&lt;&gt;"acoes")))*INDEX(Inputs!$K$5:$AJ$140,0,MATCH(N$2,Inputs!$K$4:$AJ$4,0)))))</f>
        <v>1050.636</v>
      </c>
      <c r="O16" s="6">
        <f>IF(ISNA(MATCH(O$2,Inputs!$K$4:$AJ$4,0)),NA(),IF(SUMPRODUCT((Inputs!$A$5:$A$140=$B16)*ISNUMBER(INDEX(Inputs!$K$5:$AJ$140,0,MATCH(O$2,Inputs!$K$4:$AJ$4,0))))+SUMPRODUCT((Inputs!$C$5:$C$140=$B16)*ISNUMBER(INDEX(Inputs!$K$5:$AJ$140,0,MATCH(O$2,Inputs!$K$4:$AJ$4,0))))+SUMPRODUCT((Inputs!$E$5:$E$140=$B16)*ISNUMBER(INDEX(Inputs!$K$5:$AJ$140,0,MATCH(O$2,Inputs!$K$4:$AJ$4,0))))=0,NA(),SUMPRODUCT((Inputs!$A$5:$A$140=$B16)*Inputs!$B$5:$B$140*(((Inputs!$G$5:$G$140="moeda")+(Inputs!$G$5:$G$140="acoes"))*Inputs!$B$1+((Inputs!$G$5:$G$140&lt;&gt;"moeda")*(Inputs!$G$5:$G$140&lt;&gt;"acoes")))*INDEX(Inputs!$K$5:$AJ$140,0,MATCH(O$2,Inputs!$K$4:$AJ$4,0)))+SUMPRODUCT((Inputs!$C$5:$C$140=$B16)*Inputs!$D$5:$D$140*(((Inputs!$G$5:$G$140="moeda")+(Inputs!$G$5:$G$140="acoes"))*Inputs!$B$1+((Inputs!$G$5:$G$140&lt;&gt;"moeda")*(Inputs!$G$5:$G$140&lt;&gt;"acoes")))*INDEX(Inputs!$K$5:$AJ$140,0,MATCH(O$2,Inputs!$K$4:$AJ$4,0)))+SUMPRODUCT((Inputs!$E$5:$E$140=$B16)*Inputs!$F$5:$F$140*(((Inputs!$G$5:$G$140="moeda")+(Inputs!$G$5:$G$140="acoes"))*Inputs!$B$1+((Inputs!$G$5:$G$140&lt;&gt;"moeda")*(Inputs!$G$5:$G$140&lt;&gt;"acoes")))*INDEX(Inputs!$K$5:$AJ$140,0,MATCH(O$2,Inputs!$K$4:$AJ$4,0)))))</f>
        <v>1085.689</v>
      </c>
      <c r="P16" s="6">
        <f>IF(ISNA(MATCH(P$2,Inputs!$K$4:$AJ$4,0)),NA(),IF(SUMPRODUCT((Inputs!$A$5:$A$140=$B16)*ISNUMBER(INDEX(Inputs!$K$5:$AJ$140,0,MATCH(P$2,Inputs!$K$4:$AJ$4,0))))+SUMPRODUCT((Inputs!$C$5:$C$140=$B16)*ISNUMBER(INDEX(Inputs!$K$5:$AJ$140,0,MATCH(P$2,Inputs!$K$4:$AJ$4,0))))+SUMPRODUCT((Inputs!$E$5:$E$140=$B16)*ISNUMBER(INDEX(Inputs!$K$5:$AJ$140,0,MATCH(P$2,Inputs!$K$4:$AJ$4,0))))=0,NA(),SUMPRODUCT((Inputs!$A$5:$A$140=$B16)*Inputs!$B$5:$B$140*(((Inputs!$G$5:$G$140="moeda")+(Inputs!$G$5:$G$140="acoes"))*Inputs!$B$1+((Inputs!$G$5:$G$140&lt;&gt;"moeda")*(Inputs!$G$5:$G$140&lt;&gt;"acoes")))*INDEX(Inputs!$K$5:$AJ$140,0,MATCH(P$2,Inputs!$K$4:$AJ$4,0)))+SUMPRODUCT((Inputs!$C$5:$C$140=$B16)*Inputs!$D$5:$D$140*(((Inputs!$G$5:$G$140="moeda")+(Inputs!$G$5:$G$140="acoes"))*Inputs!$B$1+((Inputs!$G$5:$G$140&lt;&gt;"moeda")*(Inputs!$G$5:$G$140&lt;&gt;"acoes")))*INDEX(Inputs!$K$5:$AJ$140,0,MATCH(P$2,Inputs!$K$4:$AJ$4,0)))+SUMPRODUCT((Inputs!$E$5:$E$140=$B16)*Inputs!$F$5:$F$140*(((Inputs!$G$5:$G$140="moeda")+(Inputs!$G$5:$G$140="acoes"))*Inputs!$B$1+((Inputs!$G$5:$G$140&lt;&gt;"moeda")*(Inputs!$G$5:$G$140&lt;&gt;"acoes")))*INDEX(Inputs!$K$5:$AJ$140,0,MATCH(P$2,Inputs!$K$4:$AJ$4,0)))))</f>
        <v>1080.391</v>
      </c>
      <c r="Q16" s="6">
        <f>IF(ISNA(MATCH(Q$2,Inputs!$K$4:$AJ$4,0)),NA(),IF(SUMPRODUCT((Inputs!$A$5:$A$140=$B16)*ISNUMBER(INDEX(Inputs!$K$5:$AJ$140,0,MATCH(Q$2,Inputs!$K$4:$AJ$4,0))))+SUMPRODUCT((Inputs!$C$5:$C$140=$B16)*ISNUMBER(INDEX(Inputs!$K$5:$AJ$140,0,MATCH(Q$2,Inputs!$K$4:$AJ$4,0))))+SUMPRODUCT((Inputs!$E$5:$E$140=$B16)*ISNUMBER(INDEX(Inputs!$K$5:$AJ$140,0,MATCH(Q$2,Inputs!$K$4:$AJ$4,0))))=0,NA(),SUMPRODUCT((Inputs!$A$5:$A$140=$B16)*Inputs!$B$5:$B$140*(((Inputs!$G$5:$G$140="moeda")+(Inputs!$G$5:$G$140="acoes"))*Inputs!$B$1+((Inputs!$G$5:$G$140&lt;&gt;"moeda")*(Inputs!$G$5:$G$140&lt;&gt;"acoes")))*INDEX(Inputs!$K$5:$AJ$140,0,MATCH(Q$2,Inputs!$K$4:$AJ$4,0)))+SUMPRODUCT((Inputs!$C$5:$C$140=$B16)*Inputs!$D$5:$D$140*(((Inputs!$G$5:$G$140="moeda")+(Inputs!$G$5:$G$140="acoes"))*Inputs!$B$1+((Inputs!$G$5:$G$140&lt;&gt;"moeda")*(Inputs!$G$5:$G$140&lt;&gt;"acoes")))*INDEX(Inputs!$K$5:$AJ$140,0,MATCH(Q$2,Inputs!$K$4:$AJ$4,0)))+SUMPRODUCT((Inputs!$E$5:$E$140=$B16)*Inputs!$F$5:$F$140*(((Inputs!$G$5:$G$140="moeda")+(Inputs!$G$5:$G$140="acoes"))*Inputs!$B$1+((Inputs!$G$5:$G$140&lt;&gt;"moeda")*(Inputs!$G$5:$G$140&lt;&gt;"acoes")))*INDEX(Inputs!$K$5:$AJ$140,0,MATCH(Q$2,Inputs!$K$4:$AJ$4,0)))))</f>
        <v>1090.801</v>
      </c>
      <c r="R16" s="3">
        <f>Q16</f>
        <v>1090.801</v>
      </c>
      <c r="S16" s="6">
        <f>IF(ISNA(MATCH(S$2,Inputs!$K$4:$AJ$4,0)),NA(),IF(SUMPRODUCT((Inputs!$A$5:$A$140=$B16)*ISNUMBER(INDEX(Inputs!$K$5:$AJ$140,0,MATCH(S$2,Inputs!$K$4:$AJ$4,0))))+SUMPRODUCT((Inputs!$C$5:$C$140=$B16)*ISNUMBER(INDEX(Inputs!$K$5:$AJ$140,0,MATCH(S$2,Inputs!$K$4:$AJ$4,0))))+SUMPRODUCT((Inputs!$E$5:$E$140=$B16)*ISNUMBER(INDEX(Inputs!$K$5:$AJ$140,0,MATCH(S$2,Inputs!$K$4:$AJ$4,0))))=0,NA(),SUMPRODUCT((Inputs!$A$5:$A$140=$B16)*Inputs!$B$5:$B$140*(((Inputs!$G$5:$G$140="moeda")+(Inputs!$G$5:$G$140="acoes"))*Inputs!$B$1+((Inputs!$G$5:$G$140&lt;&gt;"moeda")*(Inputs!$G$5:$G$140&lt;&gt;"acoes")))*INDEX(Inputs!$K$5:$AJ$140,0,MATCH(S$2,Inputs!$K$4:$AJ$4,0)))+SUMPRODUCT((Inputs!$C$5:$C$140=$B16)*Inputs!$D$5:$D$140*(((Inputs!$G$5:$G$140="moeda")+(Inputs!$G$5:$G$140="acoes"))*Inputs!$B$1+((Inputs!$G$5:$G$140&lt;&gt;"moeda")*(Inputs!$G$5:$G$140&lt;&gt;"acoes")))*INDEX(Inputs!$K$5:$AJ$140,0,MATCH(S$2,Inputs!$K$4:$AJ$4,0)))+SUMPRODUCT((Inputs!$E$5:$E$140=$B16)*Inputs!$F$5:$F$140*(((Inputs!$G$5:$G$140="moeda")+(Inputs!$G$5:$G$140="acoes"))*Inputs!$B$1+((Inputs!$G$5:$G$140&lt;&gt;"moeda")*(Inputs!$G$5:$G$140&lt;&gt;"acoes")))*INDEX(Inputs!$K$5:$AJ$140,0,MATCH(S$2,Inputs!$K$4:$AJ$4,0)))))</f>
        <v>1285.208</v>
      </c>
      <c r="T16" s="6">
        <f>IF(ISNA(MATCH(T$2,Inputs!$K$4:$AJ$4,0)),NA(),IF(SUMPRODUCT((Inputs!$A$5:$A$140=$B16)*ISNUMBER(INDEX(Inputs!$K$5:$AJ$140,0,MATCH(T$2,Inputs!$K$4:$AJ$4,0))))+SUMPRODUCT((Inputs!$C$5:$C$140=$B16)*ISNUMBER(INDEX(Inputs!$K$5:$AJ$140,0,MATCH(T$2,Inputs!$K$4:$AJ$4,0))))+SUMPRODUCT((Inputs!$E$5:$E$140=$B16)*ISNUMBER(INDEX(Inputs!$K$5:$AJ$140,0,MATCH(T$2,Inputs!$K$4:$AJ$4,0))))=0,NA(),SUMPRODUCT((Inputs!$A$5:$A$140=$B16)*Inputs!$B$5:$B$140*(((Inputs!$G$5:$G$140="moeda")+(Inputs!$G$5:$G$140="acoes"))*Inputs!$B$1+((Inputs!$G$5:$G$140&lt;&gt;"moeda")*(Inputs!$G$5:$G$140&lt;&gt;"acoes")))*INDEX(Inputs!$K$5:$AJ$140,0,MATCH(T$2,Inputs!$K$4:$AJ$4,0)))+SUMPRODUCT((Inputs!$C$5:$C$140=$B16)*Inputs!$D$5:$D$140*(((Inputs!$G$5:$G$140="moeda")+(Inputs!$G$5:$G$140="acoes"))*Inputs!$B$1+((Inputs!$G$5:$G$140&lt;&gt;"moeda")*(Inputs!$G$5:$G$140&lt;&gt;"acoes")))*INDEX(Inputs!$K$5:$AJ$140,0,MATCH(T$2,Inputs!$K$4:$AJ$4,0)))+SUMPRODUCT((Inputs!$E$5:$E$140=$B16)*Inputs!$F$5:$F$140*(((Inputs!$G$5:$G$140="moeda")+(Inputs!$G$5:$G$140="acoes"))*Inputs!$B$1+((Inputs!$G$5:$G$140&lt;&gt;"moeda")*(Inputs!$G$5:$G$140&lt;&gt;"acoes")))*INDEX(Inputs!$K$5:$AJ$140,0,MATCH(T$2,Inputs!$K$4:$AJ$4,0)))))</f>
        <v>1379.252</v>
      </c>
      <c r="U16" s="6">
        <f>IF(ISNA(MATCH(U$2,Inputs!$K$4:$AJ$4,0)),NA(),IF(SUMPRODUCT((Inputs!$A$5:$A$140=$B16)*ISNUMBER(INDEX(Inputs!$K$5:$AJ$140,0,MATCH(U$2,Inputs!$K$4:$AJ$4,0))))+SUMPRODUCT((Inputs!$C$5:$C$140=$B16)*ISNUMBER(INDEX(Inputs!$K$5:$AJ$140,0,MATCH(U$2,Inputs!$K$4:$AJ$4,0))))+SUMPRODUCT((Inputs!$E$5:$E$140=$B16)*ISNUMBER(INDEX(Inputs!$K$5:$AJ$140,0,MATCH(U$2,Inputs!$K$4:$AJ$4,0))))=0,NA(),SUMPRODUCT((Inputs!$A$5:$A$140=$B16)*Inputs!$B$5:$B$140*(((Inputs!$G$5:$G$140="moeda")+(Inputs!$G$5:$G$140="acoes"))*Inputs!$B$1+((Inputs!$G$5:$G$140&lt;&gt;"moeda")*(Inputs!$G$5:$G$140&lt;&gt;"acoes")))*INDEX(Inputs!$K$5:$AJ$140,0,MATCH(U$2,Inputs!$K$4:$AJ$4,0)))+SUMPRODUCT((Inputs!$C$5:$C$140=$B16)*Inputs!$D$5:$D$140*(((Inputs!$G$5:$G$140="moeda")+(Inputs!$G$5:$G$140="acoes"))*Inputs!$B$1+((Inputs!$G$5:$G$140&lt;&gt;"moeda")*(Inputs!$G$5:$G$140&lt;&gt;"acoes")))*INDEX(Inputs!$K$5:$AJ$140,0,MATCH(U$2,Inputs!$K$4:$AJ$4,0)))+SUMPRODUCT((Inputs!$E$5:$E$140=$B16)*Inputs!$F$5:$F$140*(((Inputs!$G$5:$G$140="moeda")+(Inputs!$G$5:$G$140="acoes"))*Inputs!$B$1+((Inputs!$G$5:$G$140&lt;&gt;"moeda")*(Inputs!$G$5:$G$140&lt;&gt;"acoes")))*INDEX(Inputs!$K$5:$AJ$140,0,MATCH(U$2,Inputs!$K$4:$AJ$4,0)))))</f>
        <v>1454.23</v>
      </c>
      <c r="V16" s="6">
        <f>IF(ISNA(MATCH(V$2,Inputs!$K$4:$AJ$4,0)),NA(),IF(SUMPRODUCT((Inputs!$A$5:$A$140=$B16)*ISNUMBER(INDEX(Inputs!$K$5:$AJ$140,0,MATCH(V$2,Inputs!$K$4:$AJ$4,0))))+SUMPRODUCT((Inputs!$C$5:$C$140=$B16)*ISNUMBER(INDEX(Inputs!$K$5:$AJ$140,0,MATCH(V$2,Inputs!$K$4:$AJ$4,0))))+SUMPRODUCT((Inputs!$E$5:$E$140=$B16)*ISNUMBER(INDEX(Inputs!$K$5:$AJ$140,0,MATCH(V$2,Inputs!$K$4:$AJ$4,0))))=0,NA(),SUMPRODUCT((Inputs!$A$5:$A$140=$B16)*Inputs!$B$5:$B$140*(((Inputs!$G$5:$G$140="moeda")+(Inputs!$G$5:$G$140="acoes"))*Inputs!$B$1+((Inputs!$G$5:$G$140&lt;&gt;"moeda")*(Inputs!$G$5:$G$140&lt;&gt;"acoes")))*INDEX(Inputs!$K$5:$AJ$140,0,MATCH(V$2,Inputs!$K$4:$AJ$4,0)))+SUMPRODUCT((Inputs!$C$5:$C$140=$B16)*Inputs!$D$5:$D$140*(((Inputs!$G$5:$G$140="moeda")+(Inputs!$G$5:$G$140="acoes"))*Inputs!$B$1+((Inputs!$G$5:$G$140&lt;&gt;"moeda")*(Inputs!$G$5:$G$140&lt;&gt;"acoes")))*INDEX(Inputs!$K$5:$AJ$140,0,MATCH(V$2,Inputs!$K$4:$AJ$4,0)))+SUMPRODUCT((Inputs!$E$5:$E$140=$B16)*Inputs!$F$5:$F$140*(((Inputs!$G$5:$G$140="moeda")+(Inputs!$G$5:$G$140="acoes"))*Inputs!$B$1+((Inputs!$G$5:$G$140&lt;&gt;"moeda")*(Inputs!$G$5:$G$140&lt;&gt;"acoes")))*INDEX(Inputs!$K$5:$AJ$140,0,MATCH(V$2,Inputs!$K$4:$AJ$4,0)))))</f>
        <v>1437.237</v>
      </c>
      <c r="W16" s="3">
        <f>V16</f>
        <v>1437.237</v>
      </c>
      <c r="X16" s="6">
        <f>IF(ISNA(MATCH(X$2,Inputs!$K$4:$AJ$4,0)),NA(),IF(SUMPRODUCT((Inputs!$A$5:$A$140=$B16)*ISNUMBER(INDEX(Inputs!$K$5:$AJ$140,0,MATCH(X$2,Inputs!$K$4:$AJ$4,0))))+SUMPRODUCT((Inputs!$C$5:$C$140=$B16)*ISNUMBER(INDEX(Inputs!$K$5:$AJ$140,0,MATCH(X$2,Inputs!$K$4:$AJ$4,0))))+SUMPRODUCT((Inputs!$E$5:$E$140=$B16)*ISNUMBER(INDEX(Inputs!$K$5:$AJ$140,0,MATCH(X$2,Inputs!$K$4:$AJ$4,0))))=0,NA(),SUMPRODUCT((Inputs!$A$5:$A$140=$B16)*Inputs!$B$5:$B$140*(((Inputs!$G$5:$G$140="moeda")+(Inputs!$G$5:$G$140="acoes"))*Inputs!$B$1+((Inputs!$G$5:$G$140&lt;&gt;"moeda")*(Inputs!$G$5:$G$140&lt;&gt;"acoes")))*INDEX(Inputs!$K$5:$AJ$140,0,MATCH(X$2,Inputs!$K$4:$AJ$4,0)))+SUMPRODUCT((Inputs!$C$5:$C$140=$B16)*Inputs!$D$5:$D$140*(((Inputs!$G$5:$G$140="moeda")+(Inputs!$G$5:$G$140="acoes"))*Inputs!$B$1+((Inputs!$G$5:$G$140&lt;&gt;"moeda")*(Inputs!$G$5:$G$140&lt;&gt;"acoes")))*INDEX(Inputs!$K$5:$AJ$140,0,MATCH(X$2,Inputs!$K$4:$AJ$4,0)))+SUMPRODUCT((Inputs!$E$5:$E$140=$B16)*Inputs!$F$5:$F$140*(((Inputs!$G$5:$G$140="moeda")+(Inputs!$G$5:$G$140="acoes"))*Inputs!$B$1+((Inputs!$G$5:$G$140&lt;&gt;"moeda")*(Inputs!$G$5:$G$140&lt;&gt;"acoes")))*INDEX(Inputs!$K$5:$AJ$140,0,MATCH(X$2,Inputs!$K$4:$AJ$4,0)))))</f>
        <v>1896.708</v>
      </c>
      <c r="Y16" s="6">
        <f>IF(ISNA(MATCH(Y$2,Inputs!$K$4:$AJ$4,0)),NA(),IF(SUMPRODUCT((Inputs!$A$5:$A$140=$B16)*ISNUMBER(INDEX(Inputs!$K$5:$AJ$140,0,MATCH(Y$2,Inputs!$K$4:$AJ$4,0))))+SUMPRODUCT((Inputs!$C$5:$C$140=$B16)*ISNUMBER(INDEX(Inputs!$K$5:$AJ$140,0,MATCH(Y$2,Inputs!$K$4:$AJ$4,0))))+SUMPRODUCT((Inputs!$E$5:$E$140=$B16)*ISNUMBER(INDEX(Inputs!$K$5:$AJ$140,0,MATCH(Y$2,Inputs!$K$4:$AJ$4,0))))=0,NA(),SUMPRODUCT((Inputs!$A$5:$A$140=$B16)*Inputs!$B$5:$B$140*(((Inputs!$G$5:$G$140="moeda")+(Inputs!$G$5:$G$140="acoes"))*Inputs!$B$1+((Inputs!$G$5:$G$140&lt;&gt;"moeda")*(Inputs!$G$5:$G$140&lt;&gt;"acoes")))*INDEX(Inputs!$K$5:$AJ$140,0,MATCH(Y$2,Inputs!$K$4:$AJ$4,0)))+SUMPRODUCT((Inputs!$C$5:$C$140=$B16)*Inputs!$D$5:$D$140*(((Inputs!$G$5:$G$140="moeda")+(Inputs!$G$5:$G$140="acoes"))*Inputs!$B$1+((Inputs!$G$5:$G$140&lt;&gt;"moeda")*(Inputs!$G$5:$G$140&lt;&gt;"acoes")))*INDEX(Inputs!$K$5:$AJ$140,0,MATCH(Y$2,Inputs!$K$4:$AJ$4,0)))+SUMPRODUCT((Inputs!$E$5:$E$140=$B16)*Inputs!$F$5:$F$140*(((Inputs!$G$5:$G$140="moeda")+(Inputs!$G$5:$G$140="acoes"))*Inputs!$B$1+((Inputs!$G$5:$G$140&lt;&gt;"moeda")*(Inputs!$G$5:$G$140&lt;&gt;"acoes")))*INDEX(Inputs!$K$5:$AJ$140,0,MATCH(Y$2,Inputs!$K$4:$AJ$4,0)))))</f>
        <v>2133.707</v>
      </c>
      <c r="Z16" s="6">
        <f>IF(ISNA(MATCH(Z$2,Inputs!$K$4:$AJ$4,0)),NA(),IF(SUMPRODUCT((Inputs!$A$5:$A$140=$B16)*ISNUMBER(INDEX(Inputs!$K$5:$AJ$140,0,MATCH(Z$2,Inputs!$K$4:$AJ$4,0))))+SUMPRODUCT((Inputs!$C$5:$C$140=$B16)*ISNUMBER(INDEX(Inputs!$K$5:$AJ$140,0,MATCH(Z$2,Inputs!$K$4:$AJ$4,0))))+SUMPRODUCT((Inputs!$E$5:$E$140=$B16)*ISNUMBER(INDEX(Inputs!$K$5:$AJ$140,0,MATCH(Z$2,Inputs!$K$4:$AJ$4,0))))=0,NA(),SUMPRODUCT((Inputs!$A$5:$A$140=$B16)*Inputs!$B$5:$B$140*(((Inputs!$G$5:$G$140="moeda")+(Inputs!$G$5:$G$140="acoes"))*Inputs!$B$1+((Inputs!$G$5:$G$140&lt;&gt;"moeda")*(Inputs!$G$5:$G$140&lt;&gt;"acoes")))*INDEX(Inputs!$K$5:$AJ$140,0,MATCH(Z$2,Inputs!$K$4:$AJ$4,0)))+SUMPRODUCT((Inputs!$C$5:$C$140=$B16)*Inputs!$D$5:$D$140*(((Inputs!$G$5:$G$140="moeda")+(Inputs!$G$5:$G$140="acoes"))*Inputs!$B$1+((Inputs!$G$5:$G$140&lt;&gt;"moeda")*(Inputs!$G$5:$G$140&lt;&gt;"acoes")))*INDEX(Inputs!$K$5:$AJ$140,0,MATCH(Z$2,Inputs!$K$4:$AJ$4,0)))+SUMPRODUCT((Inputs!$E$5:$E$140=$B16)*Inputs!$F$5:$F$140*(((Inputs!$G$5:$G$140="moeda")+(Inputs!$G$5:$G$140="acoes"))*Inputs!$B$1+((Inputs!$G$5:$G$140&lt;&gt;"moeda")*(Inputs!$G$5:$G$140&lt;&gt;"acoes")))*INDEX(Inputs!$K$5:$AJ$140,0,MATCH(Z$2,Inputs!$K$4:$AJ$4,0)))))</f>
        <v>2198.778</v>
      </c>
      <c r="AA16" s="6">
        <f>IF(ISNA(MATCH(AA$2,Inputs!$K$4:$AJ$4,0)),NA(),IF(SUMPRODUCT((Inputs!$A$5:$A$140=$B16)*ISNUMBER(INDEX(Inputs!$K$5:$AJ$140,0,MATCH(AA$2,Inputs!$K$4:$AJ$4,0))))+SUMPRODUCT((Inputs!$C$5:$C$140=$B16)*ISNUMBER(INDEX(Inputs!$K$5:$AJ$140,0,MATCH(AA$2,Inputs!$K$4:$AJ$4,0))))+SUMPRODUCT((Inputs!$E$5:$E$140=$B16)*ISNUMBER(INDEX(Inputs!$K$5:$AJ$140,0,MATCH(AA$2,Inputs!$K$4:$AJ$4,0))))=0,NA(),SUMPRODUCT((Inputs!$A$5:$A$140=$B16)*Inputs!$B$5:$B$140*(((Inputs!$G$5:$G$140="moeda")+(Inputs!$G$5:$G$140="acoes"))*Inputs!$B$1+((Inputs!$G$5:$G$140&lt;&gt;"moeda")*(Inputs!$G$5:$G$140&lt;&gt;"acoes")))*INDEX(Inputs!$K$5:$AJ$140,0,MATCH(AA$2,Inputs!$K$4:$AJ$4,0)))+SUMPRODUCT((Inputs!$C$5:$C$140=$B16)*Inputs!$D$5:$D$140*(((Inputs!$G$5:$G$140="moeda")+(Inputs!$G$5:$G$140="acoes"))*Inputs!$B$1+((Inputs!$G$5:$G$140&lt;&gt;"moeda")*(Inputs!$G$5:$G$140&lt;&gt;"acoes")))*INDEX(Inputs!$K$5:$AJ$140,0,MATCH(AA$2,Inputs!$K$4:$AJ$4,0)))+SUMPRODUCT((Inputs!$E$5:$E$140=$B16)*Inputs!$F$5:$F$140*(((Inputs!$G$5:$G$140="moeda")+(Inputs!$G$5:$G$140="acoes"))*Inputs!$B$1+((Inputs!$G$5:$G$140&lt;&gt;"moeda")*(Inputs!$G$5:$G$140&lt;&gt;"acoes")))*INDEX(Inputs!$K$5:$AJ$140,0,MATCH(AA$2,Inputs!$K$4:$AJ$4,0)))))</f>
        <v>2157.943</v>
      </c>
      <c r="AB16" s="3">
        <f>AA16</f>
        <v>2157.943</v>
      </c>
      <c r="AC16" s="6">
        <f>IF(ISNA(MATCH(AC$2,Inputs!$K$4:$AJ$4,0)),NA(),IF(SUMPRODUCT((Inputs!$A$5:$A$140=$B16)*ISNUMBER(INDEX(Inputs!$K$5:$AJ$140,0,MATCH(AC$2,Inputs!$K$4:$AJ$4,0))))+SUMPRODUCT((Inputs!$C$5:$C$140=$B16)*ISNUMBER(INDEX(Inputs!$K$5:$AJ$140,0,MATCH(AC$2,Inputs!$K$4:$AJ$4,0))))+SUMPRODUCT((Inputs!$E$5:$E$140=$B16)*ISNUMBER(INDEX(Inputs!$K$5:$AJ$140,0,MATCH(AC$2,Inputs!$K$4:$AJ$4,0))))=0,NA(),SUMPRODUCT((Inputs!$A$5:$A$140=$B16)*Inputs!$B$5:$B$140*(((Inputs!$G$5:$G$140="moeda")+(Inputs!$G$5:$G$140="acoes"))*Inputs!$B$1+((Inputs!$G$5:$G$140&lt;&gt;"moeda")*(Inputs!$G$5:$G$140&lt;&gt;"acoes")))*INDEX(Inputs!$K$5:$AJ$140,0,MATCH(AC$2,Inputs!$K$4:$AJ$4,0)))+SUMPRODUCT((Inputs!$C$5:$C$140=$B16)*Inputs!$D$5:$D$140*(((Inputs!$G$5:$G$140="moeda")+(Inputs!$G$5:$G$140="acoes"))*Inputs!$B$1+((Inputs!$G$5:$G$140&lt;&gt;"moeda")*(Inputs!$G$5:$G$140&lt;&gt;"acoes")))*INDEX(Inputs!$K$5:$AJ$140,0,MATCH(AC$2,Inputs!$K$4:$AJ$4,0)))+SUMPRODUCT((Inputs!$E$5:$E$140=$B16)*Inputs!$F$5:$F$140*(((Inputs!$G$5:$G$140="moeda")+(Inputs!$G$5:$G$140="acoes"))*Inputs!$B$1+((Inputs!$G$5:$G$140&lt;&gt;"moeda")*(Inputs!$G$5:$G$140&lt;&gt;"acoes")))*INDEX(Inputs!$K$5:$AJ$140,0,MATCH(AC$2,Inputs!$K$4:$AJ$4,0)))))</f>
        <v>2549.38</v>
      </c>
      <c r="AD16" s="6">
        <f>IF(ISNA(MATCH(AD$2,Inputs!$K$4:$AJ$4,0)),NA(),IF(SUMPRODUCT((Inputs!$A$5:$A$140=$B16)*ISNUMBER(INDEX(Inputs!$K$5:$AJ$140,0,MATCH(AD$2,Inputs!$K$4:$AJ$4,0))))+SUMPRODUCT((Inputs!$C$5:$C$140=$B16)*ISNUMBER(INDEX(Inputs!$K$5:$AJ$140,0,MATCH(AD$2,Inputs!$K$4:$AJ$4,0))))+SUMPRODUCT((Inputs!$E$5:$E$140=$B16)*ISNUMBER(INDEX(Inputs!$K$5:$AJ$140,0,MATCH(AD$2,Inputs!$K$4:$AJ$4,0))))=0,NA(),SUMPRODUCT((Inputs!$A$5:$A$140=$B16)*Inputs!$B$5:$B$140*(((Inputs!$G$5:$G$140="moeda")+(Inputs!$G$5:$G$140="acoes"))*Inputs!$B$1+((Inputs!$G$5:$G$140&lt;&gt;"moeda")*(Inputs!$G$5:$G$140&lt;&gt;"acoes")))*INDEX(Inputs!$K$5:$AJ$140,0,MATCH(AD$2,Inputs!$K$4:$AJ$4,0)))+SUMPRODUCT((Inputs!$C$5:$C$140=$B16)*Inputs!$D$5:$D$140*(((Inputs!$G$5:$G$140="moeda")+(Inputs!$G$5:$G$140="acoes"))*Inputs!$B$1+((Inputs!$G$5:$G$140&lt;&gt;"moeda")*(Inputs!$G$5:$G$140&lt;&gt;"acoes")))*INDEX(Inputs!$K$5:$AJ$140,0,MATCH(AD$2,Inputs!$K$4:$AJ$4,0)))+SUMPRODUCT((Inputs!$E$5:$E$140=$B16)*Inputs!$F$5:$F$140*(((Inputs!$G$5:$G$140="moeda")+(Inputs!$G$5:$G$140="acoes"))*Inputs!$B$1+((Inputs!$G$5:$G$140&lt;&gt;"moeda")*(Inputs!$G$5:$G$140&lt;&gt;"acoes")))*INDEX(Inputs!$K$5:$AJ$140,0,MATCH(AD$2,Inputs!$K$4:$AJ$4,0)))))</f>
        <v>2722.34</v>
      </c>
      <c r="AE16" s="6" t="e">
        <f>IF(ISNA(MATCH(AE$2,Inputs!$K$4:$AJ$4,0)),NA(),IF(SUMPRODUCT((Inputs!$A$5:$A$140=$B16)*ISNUMBER(INDEX(Inputs!$K$5:$AJ$140,0,MATCH(AE$2,Inputs!$K$4:$AJ$4,0))))+SUMPRODUCT((Inputs!$C$5:$C$140=$B16)*ISNUMBER(INDEX(Inputs!$K$5:$AJ$140,0,MATCH(AE$2,Inputs!$K$4:$AJ$4,0))))+SUMPRODUCT((Inputs!$E$5:$E$140=$B16)*ISNUMBER(INDEX(Inputs!$K$5:$AJ$140,0,MATCH(AE$2,Inputs!$K$4:$AJ$4,0))))=0,NA(),SUMPRODUCT((Inputs!$A$5:$A$140=$B16)*Inputs!$B$5:$B$140*(((Inputs!$G$5:$G$140="moeda")+(Inputs!$G$5:$G$140="acoes"))*Inputs!$B$1+((Inputs!$G$5:$G$140&lt;&gt;"moeda")*(Inputs!$G$5:$G$140&lt;&gt;"acoes")))*INDEX(Inputs!$K$5:$AJ$140,0,MATCH(AE$2,Inputs!$K$4:$AJ$4,0)))+SUMPRODUCT((Inputs!$C$5:$C$140=$B16)*Inputs!$D$5:$D$140*(((Inputs!$G$5:$G$140="moeda")+(Inputs!$G$5:$G$140="acoes"))*Inputs!$B$1+((Inputs!$G$5:$G$140&lt;&gt;"moeda")*(Inputs!$G$5:$G$140&lt;&gt;"acoes")))*INDEX(Inputs!$K$5:$AJ$140,0,MATCH(AE$2,Inputs!$K$4:$AJ$4,0)))+SUMPRODUCT((Inputs!$E$5:$E$140=$B16)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6" s="6" t="e">
        <f>IF(ISNA(MATCH(AF$2,Inputs!$K$4:$AJ$4,0)),NA(),IF(SUMPRODUCT((Inputs!$A$5:$A$140=$B16)*ISNUMBER(INDEX(Inputs!$K$5:$AJ$140,0,MATCH(AF$2,Inputs!$K$4:$AJ$4,0))))+SUMPRODUCT((Inputs!$C$5:$C$140=$B16)*ISNUMBER(INDEX(Inputs!$K$5:$AJ$140,0,MATCH(AF$2,Inputs!$K$4:$AJ$4,0))))+SUMPRODUCT((Inputs!$E$5:$E$140=$B16)*ISNUMBER(INDEX(Inputs!$K$5:$AJ$140,0,MATCH(AF$2,Inputs!$K$4:$AJ$4,0))))=0,NA(),SUMPRODUCT((Inputs!$A$5:$A$140=$B16)*Inputs!$B$5:$B$140*(((Inputs!$G$5:$G$140="moeda")+(Inputs!$G$5:$G$140="acoes"))*Inputs!$B$1+((Inputs!$G$5:$G$140&lt;&gt;"moeda")*(Inputs!$G$5:$G$140&lt;&gt;"acoes")))*INDEX(Inputs!$K$5:$AJ$140,0,MATCH(AF$2,Inputs!$K$4:$AJ$4,0)))+SUMPRODUCT((Inputs!$C$5:$C$140=$B16)*Inputs!$D$5:$D$140*(((Inputs!$G$5:$G$140="moeda")+(Inputs!$G$5:$G$140="acoes"))*Inputs!$B$1+((Inputs!$G$5:$G$140&lt;&gt;"moeda")*(Inputs!$G$5:$G$140&lt;&gt;"acoes")))*INDEX(Inputs!$K$5:$AJ$140,0,MATCH(AF$2,Inputs!$K$4:$AJ$4,0)))+SUMPRODUCT((Inputs!$E$5:$E$140=$B16)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6" s="3" t="e">
        <f>AF16</f>
        <v>#N/A</v>
      </c>
      <c r="AH16" s="6">
        <f>IF(ISNA(MATCH(AH$2,Inputs!$K$4:$AJ$4,0)),NA(),IF(SUMPRODUCT((Inputs!$A$5:$A$140=$B16)*ISNUMBER(INDEX(Inputs!$K$5:$AJ$140,0,MATCH(AH$2,Inputs!$K$4:$AJ$4,0))))+SUMPRODUCT((Inputs!$C$5:$C$140=$B16)*ISNUMBER(INDEX(Inputs!$K$5:$AJ$140,0,MATCH(AH$2,Inputs!$K$4:$AJ$4,0))))+SUMPRODUCT((Inputs!$E$5:$E$140=$B16)*ISNUMBER(INDEX(Inputs!$K$5:$AJ$140,0,MATCH(AH$2,Inputs!$K$4:$AJ$4,0))))=0,NA(),SUMPRODUCT((Inputs!$A$5:$A$140=$B16)*Inputs!$B$5:$B$140*(((Inputs!$G$5:$G$140="moeda")+(Inputs!$G$5:$G$140="acoes"))*Inputs!$B$1+((Inputs!$G$5:$G$140&lt;&gt;"moeda")*(Inputs!$G$5:$G$140&lt;&gt;"acoes")))*INDEX(Inputs!$K$5:$AJ$140,0,MATCH(AH$2,Inputs!$K$4:$AJ$4,0)))+SUMPRODUCT((Inputs!$C$5:$C$140=$B16)*Inputs!$D$5:$D$140*(((Inputs!$G$5:$G$140="moeda")+(Inputs!$G$5:$G$140="acoes"))*Inputs!$B$1+((Inputs!$G$5:$G$140&lt;&gt;"moeda")*(Inputs!$G$5:$G$140&lt;&gt;"acoes")))*INDEX(Inputs!$K$5:$AJ$140,0,MATCH(AH$2,Inputs!$K$4:$AJ$4,0)))+SUMPRODUCT((Inputs!$E$5:$E$140=$B16)*Inputs!$F$5:$F$140*(((Inputs!$G$5:$G$140="moeda")+(Inputs!$G$5:$G$140="acoes"))*Inputs!$B$1+((Inputs!$G$5:$G$140&lt;&gt;"moeda")*(Inputs!$G$5:$G$140&lt;&gt;"acoes")))*INDEX(Inputs!$K$5:$AJ$140,0,MATCH(AH$2,Inputs!$K$4:$AJ$4,0)))))</f>
        <v>605.454</v>
      </c>
      <c r="AI16" s="6">
        <f>IF(ISNA(MATCH(AI$2,Inputs!$K$4:$AJ$4,0)),NA(),IF(SUMPRODUCT((Inputs!$A$5:$A$140=$B16)*ISNUMBER(INDEX(Inputs!$K$5:$AJ$140,0,MATCH(AI$2,Inputs!$K$4:$AJ$4,0))))+SUMPRODUCT((Inputs!$C$5:$C$140=$B16)*ISNUMBER(INDEX(Inputs!$K$5:$AJ$140,0,MATCH(AI$2,Inputs!$K$4:$AJ$4,0))))+SUMPRODUCT((Inputs!$E$5:$E$140=$B16)*ISNUMBER(INDEX(Inputs!$K$5:$AJ$140,0,MATCH(AI$2,Inputs!$K$4:$AJ$4,0))))=0,NA(),SUMPRODUCT((Inputs!$A$5:$A$140=$B16)*Inputs!$B$5:$B$140*(((Inputs!$G$5:$G$140="moeda")+(Inputs!$G$5:$G$140="acoes"))*Inputs!$B$1+((Inputs!$G$5:$G$140&lt;&gt;"moeda")*(Inputs!$G$5:$G$140&lt;&gt;"acoes")))*INDEX(Inputs!$K$5:$AJ$140,0,MATCH(AI$2,Inputs!$K$4:$AJ$4,0)))+SUMPRODUCT((Inputs!$C$5:$C$140=$B16)*Inputs!$D$5:$D$140*(((Inputs!$G$5:$G$140="moeda")+(Inputs!$G$5:$G$140="acoes"))*Inputs!$B$1+((Inputs!$G$5:$G$140&lt;&gt;"moeda")*(Inputs!$G$5:$G$140&lt;&gt;"acoes")))*INDEX(Inputs!$K$5:$AJ$140,0,MATCH(AI$2,Inputs!$K$4:$AJ$4,0)))+SUMPRODUCT((Inputs!$E$5:$E$140=$B16)*Inputs!$F$5:$F$140*(((Inputs!$G$5:$G$140="moeda")+(Inputs!$G$5:$G$140="acoes"))*Inputs!$B$1+((Inputs!$G$5:$G$140&lt;&gt;"moeda")*(Inputs!$G$5:$G$140&lt;&gt;"acoes")))*INDEX(Inputs!$K$5:$AJ$140,0,MATCH(AI$2,Inputs!$K$4:$AJ$4,0)))))</f>
        <v>685.673</v>
      </c>
      <c r="AJ16" s="6">
        <f>IF(ISNA(MATCH(AJ$2,Inputs!$K$4:$AJ$4,0)),NA(),IF(SUMPRODUCT((Inputs!$A$5:$A$140=$B16)*ISNUMBER(INDEX(Inputs!$K$5:$AJ$140,0,MATCH(AJ$2,Inputs!$K$4:$AJ$4,0))))+SUMPRODUCT((Inputs!$C$5:$C$140=$B16)*ISNUMBER(INDEX(Inputs!$K$5:$AJ$140,0,MATCH(AJ$2,Inputs!$K$4:$AJ$4,0))))+SUMPRODUCT((Inputs!$E$5:$E$140=$B16)*ISNUMBER(INDEX(Inputs!$K$5:$AJ$140,0,MATCH(AJ$2,Inputs!$K$4:$AJ$4,0))))=0,NA(),SUMPRODUCT((Inputs!$A$5:$A$140=$B16)*Inputs!$B$5:$B$140*(((Inputs!$G$5:$G$140="moeda")+(Inputs!$G$5:$G$140="acoes"))*Inputs!$B$1+((Inputs!$G$5:$G$140&lt;&gt;"moeda")*(Inputs!$G$5:$G$140&lt;&gt;"acoes")))*INDEX(Inputs!$K$5:$AJ$140,0,MATCH(AJ$2,Inputs!$K$4:$AJ$4,0)))+SUMPRODUCT((Inputs!$C$5:$C$140=$B16)*Inputs!$D$5:$D$140*(((Inputs!$G$5:$G$140="moeda")+(Inputs!$G$5:$G$140="acoes"))*Inputs!$B$1+((Inputs!$G$5:$G$140&lt;&gt;"moeda")*(Inputs!$G$5:$G$140&lt;&gt;"acoes")))*INDEX(Inputs!$K$5:$AJ$140,0,MATCH(AJ$2,Inputs!$K$4:$AJ$4,0)))+SUMPRODUCT((Inputs!$E$5:$E$140=$B16)*Inputs!$F$5:$F$140*(((Inputs!$G$5:$G$140="moeda")+(Inputs!$G$5:$G$140="acoes"))*Inputs!$B$1+((Inputs!$G$5:$G$140&lt;&gt;"moeda")*(Inputs!$G$5:$G$140&lt;&gt;"acoes")))*INDEX(Inputs!$K$5:$AJ$140,0,MATCH(AJ$2,Inputs!$K$4:$AJ$4,0)))))</f>
        <v>831.054</v>
      </c>
      <c r="AK16" s="6">
        <f>IF(ISNA(MATCH(AK$2,Inputs!$K$4:$AJ$4,0)),NA(),IF(SUMPRODUCT((Inputs!$A$5:$A$140=$B16)*ISNUMBER(INDEX(Inputs!$K$5:$AJ$140,0,MATCH(AK$2,Inputs!$K$4:$AJ$4,0))))+SUMPRODUCT((Inputs!$C$5:$C$140=$B16)*ISNUMBER(INDEX(Inputs!$K$5:$AJ$140,0,MATCH(AK$2,Inputs!$K$4:$AJ$4,0))))+SUMPRODUCT((Inputs!$E$5:$E$140=$B16)*ISNUMBER(INDEX(Inputs!$K$5:$AJ$140,0,MATCH(AK$2,Inputs!$K$4:$AJ$4,0))))=0,NA(),SUMPRODUCT((Inputs!$A$5:$A$140=$B16)*Inputs!$B$5:$B$140*(((Inputs!$G$5:$G$140="moeda")+(Inputs!$G$5:$G$140="acoes"))*Inputs!$B$1+((Inputs!$G$5:$G$140&lt;&gt;"moeda")*(Inputs!$G$5:$G$140&lt;&gt;"acoes")))*INDEX(Inputs!$K$5:$AJ$140,0,MATCH(AK$2,Inputs!$K$4:$AJ$4,0)))+SUMPRODUCT((Inputs!$C$5:$C$140=$B16)*Inputs!$D$5:$D$140*(((Inputs!$G$5:$G$140="moeda")+(Inputs!$G$5:$G$140="acoes"))*Inputs!$B$1+((Inputs!$G$5:$G$140&lt;&gt;"moeda")*(Inputs!$G$5:$G$140&lt;&gt;"acoes")))*INDEX(Inputs!$K$5:$AJ$140,0,MATCH(AK$2,Inputs!$K$4:$AJ$4,0)))+SUMPRODUCT((Inputs!$E$5:$E$140=$B16)*Inputs!$F$5:$F$140*(((Inputs!$G$5:$G$140="moeda")+(Inputs!$G$5:$G$140="acoes"))*Inputs!$B$1+((Inputs!$G$5:$G$140&lt;&gt;"moeda")*(Inputs!$G$5:$G$140&lt;&gt;"acoes")))*INDEX(Inputs!$K$5:$AJ$140,0,MATCH(AK$2,Inputs!$K$4:$AJ$4,0)))))</f>
        <v>799.322</v>
      </c>
      <c r="AL16" s="3">
        <f>AK16</f>
        <v>799.322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$140=$B17)*ISNUMBER(INDEX(Inputs!$K$5:$AJ$140,0,MATCH(D$2,Inputs!$K$4:$AJ$4,0))))+SUMPRODUCT((Inputs!$C$5:$C$140=$B17)*ISNUMBER(INDEX(Inputs!$K$5:$AJ$140,0,MATCH(D$2,Inputs!$K$4:$AJ$4,0))))+SUMPRODUCT((Inputs!$E$5:$E$140=$B17)*ISNUMBER(INDEX(Inputs!$K$5:$AJ$140,0,MATCH(D$2,Inputs!$K$4:$AJ$4,0))))=0,NA(),SUMPRODUCT((Inputs!$A$5:$A$140=$B17)*Inputs!$B$5:$B$140*(((Inputs!$G$5:$G$140="moeda")+(Inputs!$G$5:$G$140="acoes"))*Inputs!$B$1+((Inputs!$G$5:$G$140&lt;&gt;"moeda")*(Inputs!$G$5:$G$140&lt;&gt;"acoes")))*INDEX(Inputs!$K$5:$AJ$140,0,MATCH(D$2,Inputs!$K$4:$AJ$4,0)))+SUMPRODUCT((Inputs!$C$5:$C$140=$B17)*Inputs!$D$5:$D$140*(((Inputs!$G$5:$G$140="moeda")+(Inputs!$G$5:$G$140="acoes"))*Inputs!$B$1+((Inputs!$G$5:$G$140&lt;&gt;"moeda")*(Inputs!$G$5:$G$140&lt;&gt;"acoes")))*INDEX(Inputs!$K$5:$AJ$140,0,MATCH(D$2,Inputs!$K$4:$AJ$4,0)))+SUMPRODUCT((Inputs!$E$5:$E$140=$B17)*Inputs!$F$5:$F$140*(((Inputs!$G$5:$G$140="moeda")+(Inputs!$G$5:$G$140="acoes"))*Inputs!$B$1+((Inputs!$G$5:$G$140&lt;&gt;"moeda")*(Inputs!$G$5:$G$140&lt;&gt;"acoes")))*INDEX(Inputs!$K$5:$AJ$140,0,MATCH(D$2,Inputs!$K$4:$AJ$4,0)))))</f>
        <v>419.485</v>
      </c>
      <c r="E17" s="6">
        <f>IF(ISNA(MATCH(E$2,Inputs!$K$4:$AJ$4,0)),NA(),IF(SUMPRODUCT((Inputs!$A$5:$A$140=$B17)*ISNUMBER(INDEX(Inputs!$K$5:$AJ$140,0,MATCH(E$2,Inputs!$K$4:$AJ$4,0))))+SUMPRODUCT((Inputs!$C$5:$C$140=$B17)*ISNUMBER(INDEX(Inputs!$K$5:$AJ$140,0,MATCH(E$2,Inputs!$K$4:$AJ$4,0))))+SUMPRODUCT((Inputs!$E$5:$E$140=$B17)*ISNUMBER(INDEX(Inputs!$K$5:$AJ$140,0,MATCH(E$2,Inputs!$K$4:$AJ$4,0))))=0,NA(),SUMPRODUCT((Inputs!$A$5:$A$140=$B17)*Inputs!$B$5:$B$140*(((Inputs!$G$5:$G$140="moeda")+(Inputs!$G$5:$G$140="acoes"))*Inputs!$B$1+((Inputs!$G$5:$G$140&lt;&gt;"moeda")*(Inputs!$G$5:$G$140&lt;&gt;"acoes")))*INDEX(Inputs!$K$5:$AJ$140,0,MATCH(E$2,Inputs!$K$4:$AJ$4,0)))+SUMPRODUCT((Inputs!$C$5:$C$140=$B17)*Inputs!$D$5:$D$140*(((Inputs!$G$5:$G$140="moeda")+(Inputs!$G$5:$G$140="acoes"))*Inputs!$B$1+((Inputs!$G$5:$G$140&lt;&gt;"moeda")*(Inputs!$G$5:$G$140&lt;&gt;"acoes")))*INDEX(Inputs!$K$5:$AJ$140,0,MATCH(E$2,Inputs!$K$4:$AJ$4,0)))+SUMPRODUCT((Inputs!$E$5:$E$140=$B17)*Inputs!$F$5:$F$140*(((Inputs!$G$5:$G$140="moeda")+(Inputs!$G$5:$G$140="acoes"))*Inputs!$B$1+((Inputs!$G$5:$G$140&lt;&gt;"moeda")*(Inputs!$G$5:$G$140&lt;&gt;"acoes")))*INDEX(Inputs!$K$5:$AJ$140,0,MATCH(E$2,Inputs!$K$4:$AJ$4,0)))))</f>
        <v>365.678</v>
      </c>
      <c r="F17" s="6">
        <f>IF(ISNA(MATCH(F$2,Inputs!$K$4:$AJ$4,0)),NA(),IF(SUMPRODUCT((Inputs!$A$5:$A$140=$B17)*ISNUMBER(INDEX(Inputs!$K$5:$AJ$140,0,MATCH(F$2,Inputs!$K$4:$AJ$4,0))))+SUMPRODUCT((Inputs!$C$5:$C$140=$B17)*ISNUMBER(INDEX(Inputs!$K$5:$AJ$140,0,MATCH(F$2,Inputs!$K$4:$AJ$4,0))))+SUMPRODUCT((Inputs!$E$5:$E$140=$B17)*ISNUMBER(INDEX(Inputs!$K$5:$AJ$140,0,MATCH(F$2,Inputs!$K$4:$AJ$4,0))))=0,NA(),SUMPRODUCT((Inputs!$A$5:$A$140=$B17)*Inputs!$B$5:$B$140*(((Inputs!$G$5:$G$140="moeda")+(Inputs!$G$5:$G$140="acoes"))*Inputs!$B$1+((Inputs!$G$5:$G$140&lt;&gt;"moeda")*(Inputs!$G$5:$G$140&lt;&gt;"acoes")))*INDEX(Inputs!$K$5:$AJ$140,0,MATCH(F$2,Inputs!$K$4:$AJ$4,0)))+SUMPRODUCT((Inputs!$C$5:$C$140=$B17)*Inputs!$D$5:$D$140*(((Inputs!$G$5:$G$140="moeda")+(Inputs!$G$5:$G$140="acoes"))*Inputs!$B$1+((Inputs!$G$5:$G$140&lt;&gt;"moeda")*(Inputs!$G$5:$G$140&lt;&gt;"acoes")))*INDEX(Inputs!$K$5:$AJ$140,0,MATCH(F$2,Inputs!$K$4:$AJ$4,0)))+SUMPRODUCT((Inputs!$E$5:$E$140=$B17)*Inputs!$F$5:$F$140*(((Inputs!$G$5:$G$140="moeda")+(Inputs!$G$5:$G$140="acoes"))*Inputs!$B$1+((Inputs!$G$5:$G$140&lt;&gt;"moeda")*(Inputs!$G$5:$G$140&lt;&gt;"acoes")))*INDEX(Inputs!$K$5:$AJ$140,0,MATCH(F$2,Inputs!$K$4:$AJ$4,0)))))</f>
        <v>381.628</v>
      </c>
      <c r="G17" s="6">
        <f>IF(ISNA(MATCH(G$2,Inputs!$K$4:$AJ$4,0)),NA(),IF(SUMPRODUCT((Inputs!$A$5:$A$140=$B17)*ISNUMBER(INDEX(Inputs!$K$5:$AJ$140,0,MATCH(G$2,Inputs!$K$4:$AJ$4,0))))+SUMPRODUCT((Inputs!$C$5:$C$140=$B17)*ISNUMBER(INDEX(Inputs!$K$5:$AJ$140,0,MATCH(G$2,Inputs!$K$4:$AJ$4,0))))+SUMPRODUCT((Inputs!$E$5:$E$140=$B17)*ISNUMBER(INDEX(Inputs!$K$5:$AJ$140,0,MATCH(G$2,Inputs!$K$4:$AJ$4,0))))=0,NA(),SUMPRODUCT((Inputs!$A$5:$A$140=$B17)*Inputs!$B$5:$B$140*(((Inputs!$G$5:$G$140="moeda")+(Inputs!$G$5:$G$140="acoes"))*Inputs!$B$1+((Inputs!$G$5:$G$140&lt;&gt;"moeda")*(Inputs!$G$5:$G$140&lt;&gt;"acoes")))*INDEX(Inputs!$K$5:$AJ$140,0,MATCH(G$2,Inputs!$K$4:$AJ$4,0)))+SUMPRODUCT((Inputs!$C$5:$C$140=$B17)*Inputs!$D$5:$D$140*(((Inputs!$G$5:$G$140="moeda")+(Inputs!$G$5:$G$140="acoes"))*Inputs!$B$1+((Inputs!$G$5:$G$140&lt;&gt;"moeda")*(Inputs!$G$5:$G$140&lt;&gt;"acoes")))*INDEX(Inputs!$K$5:$AJ$140,0,MATCH(G$2,Inputs!$K$4:$AJ$4,0)))+SUMPRODUCT((Inputs!$E$5:$E$140=$B17)*Inputs!$F$5:$F$140*(((Inputs!$G$5:$G$140="moeda")+(Inputs!$G$5:$G$140="acoes"))*Inputs!$B$1+((Inputs!$G$5:$G$140&lt;&gt;"moeda")*(Inputs!$G$5:$G$140&lt;&gt;"acoes")))*INDEX(Inputs!$K$5:$AJ$140,0,MATCH(G$2,Inputs!$K$4:$AJ$4,0)))))</f>
        <v>532.708</v>
      </c>
      <c r="H17" s="3">
        <f>G17</f>
        <v>532.708</v>
      </c>
      <c r="I17" s="6">
        <f>IF(ISNA(MATCH(I$2,Inputs!$K$4:$AJ$4,0)),NA(),IF(SUMPRODUCT((Inputs!$A$5:$A$140=$B17)*ISNUMBER(INDEX(Inputs!$K$5:$AJ$140,0,MATCH(I$2,Inputs!$K$4:$AJ$4,0))))+SUMPRODUCT((Inputs!$C$5:$C$140=$B17)*ISNUMBER(INDEX(Inputs!$K$5:$AJ$140,0,MATCH(I$2,Inputs!$K$4:$AJ$4,0))))+SUMPRODUCT((Inputs!$E$5:$E$140=$B17)*ISNUMBER(INDEX(Inputs!$K$5:$AJ$140,0,MATCH(I$2,Inputs!$K$4:$AJ$4,0))))=0,NA(),SUMPRODUCT((Inputs!$A$5:$A$140=$B17)*Inputs!$B$5:$B$140*(((Inputs!$G$5:$G$140="moeda")+(Inputs!$G$5:$G$140="acoes"))*Inputs!$B$1+((Inputs!$G$5:$G$140&lt;&gt;"moeda")*(Inputs!$G$5:$G$140&lt;&gt;"acoes")))*INDEX(Inputs!$K$5:$AJ$140,0,MATCH(I$2,Inputs!$K$4:$AJ$4,0)))+SUMPRODUCT((Inputs!$C$5:$C$140=$B17)*Inputs!$D$5:$D$140*(((Inputs!$G$5:$G$140="moeda")+(Inputs!$G$5:$G$140="acoes"))*Inputs!$B$1+((Inputs!$G$5:$G$140&lt;&gt;"moeda")*(Inputs!$G$5:$G$140&lt;&gt;"acoes")))*INDEX(Inputs!$K$5:$AJ$140,0,MATCH(I$2,Inputs!$K$4:$AJ$4,0)))+SUMPRODUCT((Inputs!$E$5:$E$140=$B17)*Inputs!$F$5:$F$140*(((Inputs!$G$5:$G$140="moeda")+(Inputs!$G$5:$G$140="acoes"))*Inputs!$B$1+((Inputs!$G$5:$G$140&lt;&gt;"moeda")*(Inputs!$G$5:$G$140&lt;&gt;"acoes")))*INDEX(Inputs!$K$5:$AJ$140,0,MATCH(I$2,Inputs!$K$4:$AJ$4,0)))))</f>
        <v>500.791</v>
      </c>
      <c r="J17" s="6">
        <f>IF(ISNA(MATCH(J$2,Inputs!$K$4:$AJ$4,0)),NA(),IF(SUMPRODUCT((Inputs!$A$5:$A$140=$B17)*ISNUMBER(INDEX(Inputs!$K$5:$AJ$140,0,MATCH(J$2,Inputs!$K$4:$AJ$4,0))))+SUMPRODUCT((Inputs!$C$5:$C$140=$B17)*ISNUMBER(INDEX(Inputs!$K$5:$AJ$140,0,MATCH(J$2,Inputs!$K$4:$AJ$4,0))))+SUMPRODUCT((Inputs!$E$5:$E$140=$B17)*ISNUMBER(INDEX(Inputs!$K$5:$AJ$140,0,MATCH(J$2,Inputs!$K$4:$AJ$4,0))))=0,NA(),SUMPRODUCT((Inputs!$A$5:$A$140=$B17)*Inputs!$B$5:$B$140*(((Inputs!$G$5:$G$140="moeda")+(Inputs!$G$5:$G$140="acoes"))*Inputs!$B$1+((Inputs!$G$5:$G$140&lt;&gt;"moeda")*(Inputs!$G$5:$G$140&lt;&gt;"acoes")))*INDEX(Inputs!$K$5:$AJ$140,0,MATCH(J$2,Inputs!$K$4:$AJ$4,0)))+SUMPRODUCT((Inputs!$C$5:$C$140=$B17)*Inputs!$D$5:$D$140*(((Inputs!$G$5:$G$140="moeda")+(Inputs!$G$5:$G$140="acoes"))*Inputs!$B$1+((Inputs!$G$5:$G$140&lt;&gt;"moeda")*(Inputs!$G$5:$G$140&lt;&gt;"acoes")))*INDEX(Inputs!$K$5:$AJ$140,0,MATCH(J$2,Inputs!$K$4:$AJ$4,0)))+SUMPRODUCT((Inputs!$E$5:$E$140=$B17)*Inputs!$F$5:$F$140*(((Inputs!$G$5:$G$140="moeda")+(Inputs!$G$5:$G$140="acoes"))*Inputs!$B$1+((Inputs!$G$5:$G$140&lt;&gt;"moeda")*(Inputs!$G$5:$G$140&lt;&gt;"acoes")))*INDEX(Inputs!$K$5:$AJ$140,0,MATCH(J$2,Inputs!$K$4:$AJ$4,0)))))</f>
        <v>470.587</v>
      </c>
      <c r="K17" s="6">
        <f>IF(ISNA(MATCH(K$2,Inputs!$K$4:$AJ$4,0)),NA(),IF(SUMPRODUCT((Inputs!$A$5:$A$140=$B17)*ISNUMBER(INDEX(Inputs!$K$5:$AJ$140,0,MATCH(K$2,Inputs!$K$4:$AJ$4,0))))+SUMPRODUCT((Inputs!$C$5:$C$140=$B17)*ISNUMBER(INDEX(Inputs!$K$5:$AJ$140,0,MATCH(K$2,Inputs!$K$4:$AJ$4,0))))+SUMPRODUCT((Inputs!$E$5:$E$140=$B17)*ISNUMBER(INDEX(Inputs!$K$5:$AJ$140,0,MATCH(K$2,Inputs!$K$4:$AJ$4,0))))=0,NA(),SUMPRODUCT((Inputs!$A$5:$A$140=$B17)*Inputs!$B$5:$B$140*(((Inputs!$G$5:$G$140="moeda")+(Inputs!$G$5:$G$140="acoes"))*Inputs!$B$1+((Inputs!$G$5:$G$140&lt;&gt;"moeda")*(Inputs!$G$5:$G$140&lt;&gt;"acoes")))*INDEX(Inputs!$K$5:$AJ$140,0,MATCH(K$2,Inputs!$K$4:$AJ$4,0)))+SUMPRODUCT((Inputs!$C$5:$C$140=$B17)*Inputs!$D$5:$D$140*(((Inputs!$G$5:$G$140="moeda")+(Inputs!$G$5:$G$140="acoes"))*Inputs!$B$1+((Inputs!$G$5:$G$140&lt;&gt;"moeda")*(Inputs!$G$5:$G$140&lt;&gt;"acoes")))*INDEX(Inputs!$K$5:$AJ$140,0,MATCH(K$2,Inputs!$K$4:$AJ$4,0)))+SUMPRODUCT((Inputs!$E$5:$E$140=$B17)*Inputs!$F$5:$F$140*(((Inputs!$G$5:$G$140="moeda")+(Inputs!$G$5:$G$140="acoes"))*Inputs!$B$1+((Inputs!$G$5:$G$140&lt;&gt;"moeda")*(Inputs!$G$5:$G$140&lt;&gt;"acoes")))*INDEX(Inputs!$K$5:$AJ$140,0,MATCH(K$2,Inputs!$K$4:$AJ$4,0)))))</f>
        <v>528.14</v>
      </c>
      <c r="L17" s="6">
        <f>IF(ISNA(MATCH(L$2,Inputs!$K$4:$AJ$4,0)),NA(),IF(SUMPRODUCT((Inputs!$A$5:$A$140=$B17)*ISNUMBER(INDEX(Inputs!$K$5:$AJ$140,0,MATCH(L$2,Inputs!$K$4:$AJ$4,0))))+SUMPRODUCT((Inputs!$C$5:$C$140=$B17)*ISNUMBER(INDEX(Inputs!$K$5:$AJ$140,0,MATCH(L$2,Inputs!$K$4:$AJ$4,0))))+SUMPRODUCT((Inputs!$E$5:$E$140=$B17)*ISNUMBER(INDEX(Inputs!$K$5:$AJ$140,0,MATCH(L$2,Inputs!$K$4:$AJ$4,0))))=0,NA(),SUMPRODUCT((Inputs!$A$5:$A$140=$B17)*Inputs!$B$5:$B$140*(((Inputs!$G$5:$G$140="moeda")+(Inputs!$G$5:$G$140="acoes"))*Inputs!$B$1+((Inputs!$G$5:$G$140&lt;&gt;"moeda")*(Inputs!$G$5:$G$140&lt;&gt;"acoes")))*INDEX(Inputs!$K$5:$AJ$140,0,MATCH(L$2,Inputs!$K$4:$AJ$4,0)))+SUMPRODUCT((Inputs!$C$5:$C$140=$B17)*Inputs!$D$5:$D$140*(((Inputs!$G$5:$G$140="moeda")+(Inputs!$G$5:$G$140="acoes"))*Inputs!$B$1+((Inputs!$G$5:$G$140&lt;&gt;"moeda")*(Inputs!$G$5:$G$140&lt;&gt;"acoes")))*INDEX(Inputs!$K$5:$AJ$140,0,MATCH(L$2,Inputs!$K$4:$AJ$4,0)))+SUMPRODUCT((Inputs!$E$5:$E$140=$B17)*Inputs!$F$5:$F$140*(((Inputs!$G$5:$G$140="moeda")+(Inputs!$G$5:$G$140="acoes"))*Inputs!$B$1+((Inputs!$G$5:$G$140&lt;&gt;"moeda")*(Inputs!$G$5:$G$140&lt;&gt;"acoes")))*INDEX(Inputs!$K$5:$AJ$140,0,MATCH(L$2,Inputs!$K$4:$AJ$4,0)))))</f>
        <v>604.089</v>
      </c>
      <c r="M17" s="3">
        <f>L17</f>
        <v>604.089</v>
      </c>
      <c r="N17" s="6">
        <f>IF(ISNA(MATCH(N$2,Inputs!$K$4:$AJ$4,0)),NA(),IF(SUMPRODUCT((Inputs!$A$5:$A$140=$B17)*ISNUMBER(INDEX(Inputs!$K$5:$AJ$140,0,MATCH(N$2,Inputs!$K$4:$AJ$4,0))))+SUMPRODUCT((Inputs!$C$5:$C$140=$B17)*ISNUMBER(INDEX(Inputs!$K$5:$AJ$140,0,MATCH(N$2,Inputs!$K$4:$AJ$4,0))))+SUMPRODUCT((Inputs!$E$5:$E$140=$B17)*ISNUMBER(INDEX(Inputs!$K$5:$AJ$140,0,MATCH(N$2,Inputs!$K$4:$AJ$4,0))))=0,NA(),SUMPRODUCT((Inputs!$A$5:$A$140=$B17)*Inputs!$B$5:$B$140*(((Inputs!$G$5:$G$140="moeda")+(Inputs!$G$5:$G$140="acoes"))*Inputs!$B$1+((Inputs!$G$5:$G$140&lt;&gt;"moeda")*(Inputs!$G$5:$G$140&lt;&gt;"acoes")))*INDEX(Inputs!$K$5:$AJ$140,0,MATCH(N$2,Inputs!$K$4:$AJ$4,0)))+SUMPRODUCT((Inputs!$C$5:$C$140=$B17)*Inputs!$D$5:$D$140*(((Inputs!$G$5:$G$140="moeda")+(Inputs!$G$5:$G$140="acoes"))*Inputs!$B$1+((Inputs!$G$5:$G$140&lt;&gt;"moeda")*(Inputs!$G$5:$G$140&lt;&gt;"acoes")))*INDEX(Inputs!$K$5:$AJ$140,0,MATCH(N$2,Inputs!$K$4:$AJ$4,0)))+SUMPRODUCT((Inputs!$E$5:$E$140=$B17)*Inputs!$F$5:$F$140*(((Inputs!$G$5:$G$140="moeda")+(Inputs!$G$5:$G$140="acoes"))*Inputs!$B$1+((Inputs!$G$5:$G$140&lt;&gt;"moeda")*(Inputs!$G$5:$G$140&lt;&gt;"acoes")))*INDEX(Inputs!$K$5:$AJ$140,0,MATCH(N$2,Inputs!$K$4:$AJ$4,0)))))</f>
        <v>712.498</v>
      </c>
      <c r="O17" s="6">
        <f>IF(ISNA(MATCH(O$2,Inputs!$K$4:$AJ$4,0)),NA(),IF(SUMPRODUCT((Inputs!$A$5:$A$140=$B17)*ISNUMBER(INDEX(Inputs!$K$5:$AJ$140,0,MATCH(O$2,Inputs!$K$4:$AJ$4,0))))+SUMPRODUCT((Inputs!$C$5:$C$140=$B17)*ISNUMBER(INDEX(Inputs!$K$5:$AJ$140,0,MATCH(O$2,Inputs!$K$4:$AJ$4,0))))+SUMPRODUCT((Inputs!$E$5:$E$140=$B17)*ISNUMBER(INDEX(Inputs!$K$5:$AJ$140,0,MATCH(O$2,Inputs!$K$4:$AJ$4,0))))=0,NA(),SUMPRODUCT((Inputs!$A$5:$A$140=$B17)*Inputs!$B$5:$B$140*(((Inputs!$G$5:$G$140="moeda")+(Inputs!$G$5:$G$140="acoes"))*Inputs!$B$1+((Inputs!$G$5:$G$140&lt;&gt;"moeda")*(Inputs!$G$5:$G$140&lt;&gt;"acoes")))*INDEX(Inputs!$K$5:$AJ$140,0,MATCH(O$2,Inputs!$K$4:$AJ$4,0)))+SUMPRODUCT((Inputs!$C$5:$C$140=$B17)*Inputs!$D$5:$D$140*(((Inputs!$G$5:$G$140="moeda")+(Inputs!$G$5:$G$140="acoes"))*Inputs!$B$1+((Inputs!$G$5:$G$140&lt;&gt;"moeda")*(Inputs!$G$5:$G$140&lt;&gt;"acoes")))*INDEX(Inputs!$K$5:$AJ$140,0,MATCH(O$2,Inputs!$K$4:$AJ$4,0)))+SUMPRODUCT((Inputs!$E$5:$E$140=$B17)*Inputs!$F$5:$F$140*(((Inputs!$G$5:$G$140="moeda")+(Inputs!$G$5:$G$140="acoes"))*Inputs!$B$1+((Inputs!$G$5:$G$140&lt;&gt;"moeda")*(Inputs!$G$5:$G$140&lt;&gt;"acoes")))*INDEX(Inputs!$K$5:$AJ$140,0,MATCH(O$2,Inputs!$K$4:$AJ$4,0)))))</f>
        <v>657.603</v>
      </c>
      <c r="P17" s="6">
        <f>IF(ISNA(MATCH(P$2,Inputs!$K$4:$AJ$4,0)),NA(),IF(SUMPRODUCT((Inputs!$A$5:$A$140=$B17)*ISNUMBER(INDEX(Inputs!$K$5:$AJ$140,0,MATCH(P$2,Inputs!$K$4:$AJ$4,0))))+SUMPRODUCT((Inputs!$C$5:$C$140=$B17)*ISNUMBER(INDEX(Inputs!$K$5:$AJ$140,0,MATCH(P$2,Inputs!$K$4:$AJ$4,0))))+SUMPRODUCT((Inputs!$E$5:$E$140=$B17)*ISNUMBER(INDEX(Inputs!$K$5:$AJ$140,0,MATCH(P$2,Inputs!$K$4:$AJ$4,0))))=0,NA(),SUMPRODUCT((Inputs!$A$5:$A$140=$B17)*Inputs!$B$5:$B$140*(((Inputs!$G$5:$G$140="moeda")+(Inputs!$G$5:$G$140="acoes"))*Inputs!$B$1+((Inputs!$G$5:$G$140&lt;&gt;"moeda")*(Inputs!$G$5:$G$140&lt;&gt;"acoes")))*INDEX(Inputs!$K$5:$AJ$140,0,MATCH(P$2,Inputs!$K$4:$AJ$4,0)))+SUMPRODUCT((Inputs!$C$5:$C$140=$B17)*Inputs!$D$5:$D$140*(((Inputs!$G$5:$G$140="moeda")+(Inputs!$G$5:$G$140="acoes"))*Inputs!$B$1+((Inputs!$G$5:$G$140&lt;&gt;"moeda")*(Inputs!$G$5:$G$140&lt;&gt;"acoes")))*INDEX(Inputs!$K$5:$AJ$140,0,MATCH(P$2,Inputs!$K$4:$AJ$4,0)))+SUMPRODUCT((Inputs!$E$5:$E$140=$B17)*Inputs!$F$5:$F$140*(((Inputs!$G$5:$G$140="moeda")+(Inputs!$G$5:$G$140="acoes"))*Inputs!$B$1+((Inputs!$G$5:$G$140&lt;&gt;"moeda")*(Inputs!$G$5:$G$140&lt;&gt;"acoes")))*INDEX(Inputs!$K$5:$AJ$140,0,MATCH(P$2,Inputs!$K$4:$AJ$4,0)))))</f>
        <v>689.025</v>
      </c>
      <c r="Q17" s="6">
        <f>IF(ISNA(MATCH(Q$2,Inputs!$K$4:$AJ$4,0)),NA(),IF(SUMPRODUCT((Inputs!$A$5:$A$140=$B17)*ISNUMBER(INDEX(Inputs!$K$5:$AJ$140,0,MATCH(Q$2,Inputs!$K$4:$AJ$4,0))))+SUMPRODUCT((Inputs!$C$5:$C$140=$B17)*ISNUMBER(INDEX(Inputs!$K$5:$AJ$140,0,MATCH(Q$2,Inputs!$K$4:$AJ$4,0))))+SUMPRODUCT((Inputs!$E$5:$E$140=$B17)*ISNUMBER(INDEX(Inputs!$K$5:$AJ$140,0,MATCH(Q$2,Inputs!$K$4:$AJ$4,0))))=0,NA(),SUMPRODUCT((Inputs!$A$5:$A$140=$B17)*Inputs!$B$5:$B$140*(((Inputs!$G$5:$G$140="moeda")+(Inputs!$G$5:$G$140="acoes"))*Inputs!$B$1+((Inputs!$G$5:$G$140&lt;&gt;"moeda")*(Inputs!$G$5:$G$140&lt;&gt;"acoes")))*INDEX(Inputs!$K$5:$AJ$140,0,MATCH(Q$2,Inputs!$K$4:$AJ$4,0)))+SUMPRODUCT((Inputs!$C$5:$C$140=$B17)*Inputs!$D$5:$D$140*(((Inputs!$G$5:$G$140="moeda")+(Inputs!$G$5:$G$140="acoes"))*Inputs!$B$1+((Inputs!$G$5:$G$140&lt;&gt;"moeda")*(Inputs!$G$5:$G$140&lt;&gt;"acoes")))*INDEX(Inputs!$K$5:$AJ$140,0,MATCH(Q$2,Inputs!$K$4:$AJ$4,0)))+SUMPRODUCT((Inputs!$E$5:$E$140=$B17)*Inputs!$F$5:$F$140*(((Inputs!$G$5:$G$140="moeda")+(Inputs!$G$5:$G$140="acoes"))*Inputs!$B$1+((Inputs!$G$5:$G$140&lt;&gt;"moeda")*(Inputs!$G$5:$G$140&lt;&gt;"acoes")))*INDEX(Inputs!$K$5:$AJ$140,0,MATCH(Q$2,Inputs!$K$4:$AJ$4,0)))))</f>
        <v>717.548</v>
      </c>
      <c r="R17" s="3">
        <f>Q17</f>
        <v>717.548</v>
      </c>
      <c r="S17" s="6">
        <f>IF(ISNA(MATCH(S$2,Inputs!$K$4:$AJ$4,0)),NA(),IF(SUMPRODUCT((Inputs!$A$5:$A$140=$B17)*ISNUMBER(INDEX(Inputs!$K$5:$AJ$140,0,MATCH(S$2,Inputs!$K$4:$AJ$4,0))))+SUMPRODUCT((Inputs!$C$5:$C$140=$B17)*ISNUMBER(INDEX(Inputs!$K$5:$AJ$140,0,MATCH(S$2,Inputs!$K$4:$AJ$4,0))))+SUMPRODUCT((Inputs!$E$5:$E$140=$B17)*ISNUMBER(INDEX(Inputs!$K$5:$AJ$140,0,MATCH(S$2,Inputs!$K$4:$AJ$4,0))))=0,NA(),SUMPRODUCT((Inputs!$A$5:$A$140=$B17)*Inputs!$B$5:$B$140*(((Inputs!$G$5:$G$140="moeda")+(Inputs!$G$5:$G$140="acoes"))*Inputs!$B$1+((Inputs!$G$5:$G$140&lt;&gt;"moeda")*(Inputs!$G$5:$G$140&lt;&gt;"acoes")))*INDEX(Inputs!$K$5:$AJ$140,0,MATCH(S$2,Inputs!$K$4:$AJ$4,0)))+SUMPRODUCT((Inputs!$C$5:$C$140=$B17)*Inputs!$D$5:$D$140*(((Inputs!$G$5:$G$140="moeda")+(Inputs!$G$5:$G$140="acoes"))*Inputs!$B$1+((Inputs!$G$5:$G$140&lt;&gt;"moeda")*(Inputs!$G$5:$G$140&lt;&gt;"acoes")))*INDEX(Inputs!$K$5:$AJ$140,0,MATCH(S$2,Inputs!$K$4:$AJ$4,0)))+SUMPRODUCT((Inputs!$E$5:$E$140=$B17)*Inputs!$F$5:$F$140*(((Inputs!$G$5:$G$140="moeda")+(Inputs!$G$5:$G$140="acoes"))*Inputs!$B$1+((Inputs!$G$5:$G$140&lt;&gt;"moeda")*(Inputs!$G$5:$G$140&lt;&gt;"acoes")))*INDEX(Inputs!$K$5:$AJ$140,0,MATCH(S$2,Inputs!$K$4:$AJ$4,0)))))</f>
        <v>811.385</v>
      </c>
      <c r="T17" s="6">
        <f>IF(ISNA(MATCH(T$2,Inputs!$K$4:$AJ$4,0)),NA(),IF(SUMPRODUCT((Inputs!$A$5:$A$140=$B17)*ISNUMBER(INDEX(Inputs!$K$5:$AJ$140,0,MATCH(T$2,Inputs!$K$4:$AJ$4,0))))+SUMPRODUCT((Inputs!$C$5:$C$140=$B17)*ISNUMBER(INDEX(Inputs!$K$5:$AJ$140,0,MATCH(T$2,Inputs!$K$4:$AJ$4,0))))+SUMPRODUCT((Inputs!$E$5:$E$140=$B17)*ISNUMBER(INDEX(Inputs!$K$5:$AJ$140,0,MATCH(T$2,Inputs!$K$4:$AJ$4,0))))=0,NA(),SUMPRODUCT((Inputs!$A$5:$A$140=$B17)*Inputs!$B$5:$B$140*(((Inputs!$G$5:$G$140="moeda")+(Inputs!$G$5:$G$140="acoes"))*Inputs!$B$1+((Inputs!$G$5:$G$140&lt;&gt;"moeda")*(Inputs!$G$5:$G$140&lt;&gt;"acoes")))*INDEX(Inputs!$K$5:$AJ$140,0,MATCH(T$2,Inputs!$K$4:$AJ$4,0)))+SUMPRODUCT((Inputs!$C$5:$C$140=$B17)*Inputs!$D$5:$D$140*(((Inputs!$G$5:$G$140="moeda")+(Inputs!$G$5:$G$140="acoes"))*Inputs!$B$1+((Inputs!$G$5:$G$140&lt;&gt;"moeda")*(Inputs!$G$5:$G$140&lt;&gt;"acoes")))*INDEX(Inputs!$K$5:$AJ$140,0,MATCH(T$2,Inputs!$K$4:$AJ$4,0)))+SUMPRODUCT((Inputs!$E$5:$E$140=$B17)*Inputs!$F$5:$F$140*(((Inputs!$G$5:$G$140="moeda")+(Inputs!$G$5:$G$140="acoes"))*Inputs!$B$1+((Inputs!$G$5:$G$140&lt;&gt;"moeda")*(Inputs!$G$5:$G$140&lt;&gt;"acoes")))*INDEX(Inputs!$K$5:$AJ$140,0,MATCH(T$2,Inputs!$K$4:$AJ$4,0)))))</f>
        <v>766.051</v>
      </c>
      <c r="U17" s="6">
        <f>IF(ISNA(MATCH(U$2,Inputs!$K$4:$AJ$4,0)),NA(),IF(SUMPRODUCT((Inputs!$A$5:$A$140=$B17)*ISNUMBER(INDEX(Inputs!$K$5:$AJ$140,0,MATCH(U$2,Inputs!$K$4:$AJ$4,0))))+SUMPRODUCT((Inputs!$C$5:$C$140=$B17)*ISNUMBER(INDEX(Inputs!$K$5:$AJ$140,0,MATCH(U$2,Inputs!$K$4:$AJ$4,0))))+SUMPRODUCT((Inputs!$E$5:$E$140=$B17)*ISNUMBER(INDEX(Inputs!$K$5:$AJ$140,0,MATCH(U$2,Inputs!$K$4:$AJ$4,0))))=0,NA(),SUMPRODUCT((Inputs!$A$5:$A$140=$B17)*Inputs!$B$5:$B$140*(((Inputs!$G$5:$G$140="moeda")+(Inputs!$G$5:$G$140="acoes"))*Inputs!$B$1+((Inputs!$G$5:$G$140&lt;&gt;"moeda")*(Inputs!$G$5:$G$140&lt;&gt;"acoes")))*INDEX(Inputs!$K$5:$AJ$140,0,MATCH(U$2,Inputs!$K$4:$AJ$4,0)))+SUMPRODUCT((Inputs!$C$5:$C$140=$B17)*Inputs!$D$5:$D$140*(((Inputs!$G$5:$G$140="moeda")+(Inputs!$G$5:$G$140="acoes"))*Inputs!$B$1+((Inputs!$G$5:$G$140&lt;&gt;"moeda")*(Inputs!$G$5:$G$140&lt;&gt;"acoes")))*INDEX(Inputs!$K$5:$AJ$140,0,MATCH(U$2,Inputs!$K$4:$AJ$4,0)))+SUMPRODUCT((Inputs!$E$5:$E$140=$B17)*Inputs!$F$5:$F$140*(((Inputs!$G$5:$G$140="moeda")+(Inputs!$G$5:$G$140="acoes"))*Inputs!$B$1+((Inputs!$G$5:$G$140&lt;&gt;"moeda")*(Inputs!$G$5:$G$140&lt;&gt;"acoes")))*INDEX(Inputs!$K$5:$AJ$140,0,MATCH(U$2,Inputs!$K$4:$AJ$4,0)))))</f>
        <v>791.617</v>
      </c>
      <c r="V17" s="6">
        <f>IF(ISNA(MATCH(V$2,Inputs!$K$4:$AJ$4,0)),NA(),IF(SUMPRODUCT((Inputs!$A$5:$A$140=$B17)*ISNUMBER(INDEX(Inputs!$K$5:$AJ$140,0,MATCH(V$2,Inputs!$K$4:$AJ$4,0))))+SUMPRODUCT((Inputs!$C$5:$C$140=$B17)*ISNUMBER(INDEX(Inputs!$K$5:$AJ$140,0,MATCH(V$2,Inputs!$K$4:$AJ$4,0))))+SUMPRODUCT((Inputs!$E$5:$E$140=$B17)*ISNUMBER(INDEX(Inputs!$K$5:$AJ$140,0,MATCH(V$2,Inputs!$K$4:$AJ$4,0))))=0,NA(),SUMPRODUCT((Inputs!$A$5:$A$140=$B17)*Inputs!$B$5:$B$140*(((Inputs!$G$5:$G$140="moeda")+(Inputs!$G$5:$G$140="acoes"))*Inputs!$B$1+((Inputs!$G$5:$G$140&lt;&gt;"moeda")*(Inputs!$G$5:$G$140&lt;&gt;"acoes")))*INDEX(Inputs!$K$5:$AJ$140,0,MATCH(V$2,Inputs!$K$4:$AJ$4,0)))+SUMPRODUCT((Inputs!$C$5:$C$140=$B17)*Inputs!$D$5:$D$140*(((Inputs!$G$5:$G$140="moeda")+(Inputs!$G$5:$G$140="acoes"))*Inputs!$B$1+((Inputs!$G$5:$G$140&lt;&gt;"moeda")*(Inputs!$G$5:$G$140&lt;&gt;"acoes")))*INDEX(Inputs!$K$5:$AJ$140,0,MATCH(V$2,Inputs!$K$4:$AJ$4,0)))+SUMPRODUCT((Inputs!$E$5:$E$140=$B17)*Inputs!$F$5:$F$140*(((Inputs!$G$5:$G$140="moeda")+(Inputs!$G$5:$G$140="acoes"))*Inputs!$B$1+((Inputs!$G$5:$G$140&lt;&gt;"moeda")*(Inputs!$G$5:$G$140&lt;&gt;"acoes")))*INDEX(Inputs!$K$5:$AJ$140,0,MATCH(V$2,Inputs!$K$4:$AJ$4,0)))))</f>
        <v>1193.128</v>
      </c>
      <c r="W17" s="3">
        <f>V17</f>
        <v>1193.128</v>
      </c>
      <c r="X17" s="6">
        <f>IF(ISNA(MATCH(X$2,Inputs!$K$4:$AJ$4,0)),NA(),IF(SUMPRODUCT((Inputs!$A$5:$A$140=$B17)*ISNUMBER(INDEX(Inputs!$K$5:$AJ$140,0,MATCH(X$2,Inputs!$K$4:$AJ$4,0))))+SUMPRODUCT((Inputs!$C$5:$C$140=$B17)*ISNUMBER(INDEX(Inputs!$K$5:$AJ$140,0,MATCH(X$2,Inputs!$K$4:$AJ$4,0))))+SUMPRODUCT((Inputs!$E$5:$E$140=$B17)*ISNUMBER(INDEX(Inputs!$K$5:$AJ$140,0,MATCH(X$2,Inputs!$K$4:$AJ$4,0))))=0,NA(),SUMPRODUCT((Inputs!$A$5:$A$140=$B17)*Inputs!$B$5:$B$140*(((Inputs!$G$5:$G$140="moeda")+(Inputs!$G$5:$G$140="acoes"))*Inputs!$B$1+((Inputs!$G$5:$G$140&lt;&gt;"moeda")*(Inputs!$G$5:$G$140&lt;&gt;"acoes")))*INDEX(Inputs!$K$5:$AJ$140,0,MATCH(X$2,Inputs!$K$4:$AJ$4,0)))+SUMPRODUCT((Inputs!$C$5:$C$140=$B17)*Inputs!$D$5:$D$140*(((Inputs!$G$5:$G$140="moeda")+(Inputs!$G$5:$G$140="acoes"))*Inputs!$B$1+((Inputs!$G$5:$G$140&lt;&gt;"moeda")*(Inputs!$G$5:$G$140&lt;&gt;"acoes")))*INDEX(Inputs!$K$5:$AJ$140,0,MATCH(X$2,Inputs!$K$4:$AJ$4,0)))+SUMPRODUCT((Inputs!$E$5:$E$140=$B17)*Inputs!$F$5:$F$140*(((Inputs!$G$5:$G$140="moeda")+(Inputs!$G$5:$G$140="acoes"))*Inputs!$B$1+((Inputs!$G$5:$G$140&lt;&gt;"moeda")*(Inputs!$G$5:$G$140&lt;&gt;"acoes")))*INDEX(Inputs!$K$5:$AJ$140,0,MATCH(X$2,Inputs!$K$4:$AJ$4,0)))))</f>
        <v>1134.943</v>
      </c>
      <c r="Y17" s="6">
        <f>IF(ISNA(MATCH(Y$2,Inputs!$K$4:$AJ$4,0)),NA(),IF(SUMPRODUCT((Inputs!$A$5:$A$140=$B17)*ISNUMBER(INDEX(Inputs!$K$5:$AJ$140,0,MATCH(Y$2,Inputs!$K$4:$AJ$4,0))))+SUMPRODUCT((Inputs!$C$5:$C$140=$B17)*ISNUMBER(INDEX(Inputs!$K$5:$AJ$140,0,MATCH(Y$2,Inputs!$K$4:$AJ$4,0))))+SUMPRODUCT((Inputs!$E$5:$E$140=$B17)*ISNUMBER(INDEX(Inputs!$K$5:$AJ$140,0,MATCH(Y$2,Inputs!$K$4:$AJ$4,0))))=0,NA(),SUMPRODUCT((Inputs!$A$5:$A$140=$B17)*Inputs!$B$5:$B$140*(((Inputs!$G$5:$G$140="moeda")+(Inputs!$G$5:$G$140="acoes"))*Inputs!$B$1+((Inputs!$G$5:$G$140&lt;&gt;"moeda")*(Inputs!$G$5:$G$140&lt;&gt;"acoes")))*INDEX(Inputs!$K$5:$AJ$140,0,MATCH(Y$2,Inputs!$K$4:$AJ$4,0)))+SUMPRODUCT((Inputs!$C$5:$C$140=$B17)*Inputs!$D$5:$D$140*(((Inputs!$G$5:$G$140="moeda")+(Inputs!$G$5:$G$140="acoes"))*Inputs!$B$1+((Inputs!$G$5:$G$140&lt;&gt;"moeda")*(Inputs!$G$5:$G$140&lt;&gt;"acoes")))*INDEX(Inputs!$K$5:$AJ$140,0,MATCH(Y$2,Inputs!$K$4:$AJ$4,0)))+SUMPRODUCT((Inputs!$E$5:$E$140=$B17)*Inputs!$F$5:$F$140*(((Inputs!$G$5:$G$140="moeda")+(Inputs!$G$5:$G$140="acoes"))*Inputs!$B$1+((Inputs!$G$5:$G$140&lt;&gt;"moeda")*(Inputs!$G$5:$G$140&lt;&gt;"acoes")))*INDEX(Inputs!$K$5:$AJ$140,0,MATCH(Y$2,Inputs!$K$4:$AJ$4,0)))))</f>
        <v>1183.857</v>
      </c>
      <c r="Z17" s="6">
        <f>IF(ISNA(MATCH(Z$2,Inputs!$K$4:$AJ$4,0)),NA(),IF(SUMPRODUCT((Inputs!$A$5:$A$140=$B17)*ISNUMBER(INDEX(Inputs!$K$5:$AJ$140,0,MATCH(Z$2,Inputs!$K$4:$AJ$4,0))))+SUMPRODUCT((Inputs!$C$5:$C$140=$B17)*ISNUMBER(INDEX(Inputs!$K$5:$AJ$140,0,MATCH(Z$2,Inputs!$K$4:$AJ$4,0))))+SUMPRODUCT((Inputs!$E$5:$E$140=$B17)*ISNUMBER(INDEX(Inputs!$K$5:$AJ$140,0,MATCH(Z$2,Inputs!$K$4:$AJ$4,0))))=0,NA(),SUMPRODUCT((Inputs!$A$5:$A$140=$B17)*Inputs!$B$5:$B$140*(((Inputs!$G$5:$G$140="moeda")+(Inputs!$G$5:$G$140="acoes"))*Inputs!$B$1+((Inputs!$G$5:$G$140&lt;&gt;"moeda")*(Inputs!$G$5:$G$140&lt;&gt;"acoes")))*INDEX(Inputs!$K$5:$AJ$140,0,MATCH(Z$2,Inputs!$K$4:$AJ$4,0)))+SUMPRODUCT((Inputs!$C$5:$C$140=$B17)*Inputs!$D$5:$D$140*(((Inputs!$G$5:$G$140="moeda")+(Inputs!$G$5:$G$140="acoes"))*Inputs!$B$1+((Inputs!$G$5:$G$140&lt;&gt;"moeda")*(Inputs!$G$5:$G$140&lt;&gt;"acoes")))*INDEX(Inputs!$K$5:$AJ$140,0,MATCH(Z$2,Inputs!$K$4:$AJ$4,0)))+SUMPRODUCT((Inputs!$E$5:$E$140=$B17)*Inputs!$F$5:$F$140*(((Inputs!$G$5:$G$140="moeda")+(Inputs!$G$5:$G$140="acoes"))*Inputs!$B$1+((Inputs!$G$5:$G$140&lt;&gt;"moeda")*(Inputs!$G$5:$G$140&lt;&gt;"acoes")))*INDEX(Inputs!$K$5:$AJ$140,0,MATCH(Z$2,Inputs!$K$4:$AJ$4,0)))))</f>
        <v>1316.855</v>
      </c>
      <c r="AA17" s="6">
        <f>IF(ISNA(MATCH(AA$2,Inputs!$K$4:$AJ$4,0)),NA(),IF(SUMPRODUCT((Inputs!$A$5:$A$140=$B17)*ISNUMBER(INDEX(Inputs!$K$5:$AJ$140,0,MATCH(AA$2,Inputs!$K$4:$AJ$4,0))))+SUMPRODUCT((Inputs!$C$5:$C$140=$B17)*ISNUMBER(INDEX(Inputs!$K$5:$AJ$140,0,MATCH(AA$2,Inputs!$K$4:$AJ$4,0))))+SUMPRODUCT((Inputs!$E$5:$E$140=$B17)*ISNUMBER(INDEX(Inputs!$K$5:$AJ$140,0,MATCH(AA$2,Inputs!$K$4:$AJ$4,0))))=0,NA(),SUMPRODUCT((Inputs!$A$5:$A$140=$B17)*Inputs!$B$5:$B$140*(((Inputs!$G$5:$G$140="moeda")+(Inputs!$G$5:$G$140="acoes"))*Inputs!$B$1+((Inputs!$G$5:$G$140&lt;&gt;"moeda")*(Inputs!$G$5:$G$140&lt;&gt;"acoes")))*INDEX(Inputs!$K$5:$AJ$140,0,MATCH(AA$2,Inputs!$K$4:$AJ$4,0)))+SUMPRODUCT((Inputs!$C$5:$C$140=$B17)*Inputs!$D$5:$D$140*(((Inputs!$G$5:$G$140="moeda")+(Inputs!$G$5:$G$140="acoes"))*Inputs!$B$1+((Inputs!$G$5:$G$140&lt;&gt;"moeda")*(Inputs!$G$5:$G$140&lt;&gt;"acoes")))*INDEX(Inputs!$K$5:$AJ$140,0,MATCH(AA$2,Inputs!$K$4:$AJ$4,0)))+SUMPRODUCT((Inputs!$E$5:$E$140=$B17)*Inputs!$F$5:$F$140*(((Inputs!$G$5:$G$140="moeda")+(Inputs!$G$5:$G$140="acoes"))*Inputs!$B$1+((Inputs!$G$5:$G$140&lt;&gt;"moeda")*(Inputs!$G$5:$G$140&lt;&gt;"acoes")))*INDEX(Inputs!$K$5:$AJ$140,0,MATCH(AA$2,Inputs!$K$4:$AJ$4,0)))))</f>
        <v>1348.649</v>
      </c>
      <c r="AB17" s="3">
        <f>AA17</f>
        <v>1348.649</v>
      </c>
      <c r="AC17" s="6">
        <f>IF(ISNA(MATCH(AC$2,Inputs!$K$4:$AJ$4,0)),NA(),IF(SUMPRODUCT((Inputs!$A$5:$A$140=$B17)*ISNUMBER(INDEX(Inputs!$K$5:$AJ$140,0,MATCH(AC$2,Inputs!$K$4:$AJ$4,0))))+SUMPRODUCT((Inputs!$C$5:$C$140=$B17)*ISNUMBER(INDEX(Inputs!$K$5:$AJ$140,0,MATCH(AC$2,Inputs!$K$4:$AJ$4,0))))+SUMPRODUCT((Inputs!$E$5:$E$140=$B17)*ISNUMBER(INDEX(Inputs!$K$5:$AJ$140,0,MATCH(AC$2,Inputs!$K$4:$AJ$4,0))))=0,NA(),SUMPRODUCT((Inputs!$A$5:$A$140=$B17)*Inputs!$B$5:$B$140*(((Inputs!$G$5:$G$140="moeda")+(Inputs!$G$5:$G$140="acoes"))*Inputs!$B$1+((Inputs!$G$5:$G$140&lt;&gt;"moeda")*(Inputs!$G$5:$G$140&lt;&gt;"acoes")))*INDEX(Inputs!$K$5:$AJ$140,0,MATCH(AC$2,Inputs!$K$4:$AJ$4,0)))+SUMPRODUCT((Inputs!$C$5:$C$140=$B17)*Inputs!$D$5:$D$140*(((Inputs!$G$5:$G$140="moeda")+(Inputs!$G$5:$G$140="acoes"))*Inputs!$B$1+((Inputs!$G$5:$G$140&lt;&gt;"moeda")*(Inputs!$G$5:$G$140&lt;&gt;"acoes")))*INDEX(Inputs!$K$5:$AJ$140,0,MATCH(AC$2,Inputs!$K$4:$AJ$4,0)))+SUMPRODUCT((Inputs!$E$5:$E$140=$B17)*Inputs!$F$5:$F$140*(((Inputs!$G$5:$G$140="moeda")+(Inputs!$G$5:$G$140="acoes"))*Inputs!$B$1+((Inputs!$G$5:$G$140&lt;&gt;"moeda")*(Inputs!$G$5:$G$140&lt;&gt;"acoes")))*INDEX(Inputs!$K$5:$AJ$140,0,MATCH(AC$2,Inputs!$K$4:$AJ$4,0)))))</f>
        <v>1521.588</v>
      </c>
      <c r="AD17" s="6">
        <f>IF(ISNA(MATCH(AD$2,Inputs!$K$4:$AJ$4,0)),NA(),IF(SUMPRODUCT((Inputs!$A$5:$A$140=$B17)*ISNUMBER(INDEX(Inputs!$K$5:$AJ$140,0,MATCH(AD$2,Inputs!$K$4:$AJ$4,0))))+SUMPRODUCT((Inputs!$C$5:$C$140=$B17)*ISNUMBER(INDEX(Inputs!$K$5:$AJ$140,0,MATCH(AD$2,Inputs!$K$4:$AJ$4,0))))+SUMPRODUCT((Inputs!$E$5:$E$140=$B17)*ISNUMBER(INDEX(Inputs!$K$5:$AJ$140,0,MATCH(AD$2,Inputs!$K$4:$AJ$4,0))))=0,NA(),SUMPRODUCT((Inputs!$A$5:$A$140=$B17)*Inputs!$B$5:$B$140*(((Inputs!$G$5:$G$140="moeda")+(Inputs!$G$5:$G$140="acoes"))*Inputs!$B$1+((Inputs!$G$5:$G$140&lt;&gt;"moeda")*(Inputs!$G$5:$G$140&lt;&gt;"acoes")))*INDEX(Inputs!$K$5:$AJ$140,0,MATCH(AD$2,Inputs!$K$4:$AJ$4,0)))+SUMPRODUCT((Inputs!$C$5:$C$140=$B17)*Inputs!$D$5:$D$140*(((Inputs!$G$5:$G$140="moeda")+(Inputs!$G$5:$G$140="acoes"))*Inputs!$B$1+((Inputs!$G$5:$G$140&lt;&gt;"moeda")*(Inputs!$G$5:$G$140&lt;&gt;"acoes")))*INDEX(Inputs!$K$5:$AJ$140,0,MATCH(AD$2,Inputs!$K$4:$AJ$4,0)))+SUMPRODUCT((Inputs!$E$5:$E$140=$B17)*Inputs!$F$5:$F$140*(((Inputs!$G$5:$G$140="moeda")+(Inputs!$G$5:$G$140="acoes"))*Inputs!$B$1+((Inputs!$G$5:$G$140&lt;&gt;"moeda")*(Inputs!$G$5:$G$140&lt;&gt;"acoes")))*INDEX(Inputs!$K$5:$AJ$140,0,MATCH(AD$2,Inputs!$K$4:$AJ$4,0)))))</f>
        <v>1530.119</v>
      </c>
      <c r="AE17" s="6" t="e">
        <f>IF(ISNA(MATCH(AE$2,Inputs!$K$4:$AJ$4,0)),NA(),IF(SUMPRODUCT((Inputs!$A$5:$A$140=$B17)*ISNUMBER(INDEX(Inputs!$K$5:$AJ$140,0,MATCH(AE$2,Inputs!$K$4:$AJ$4,0))))+SUMPRODUCT((Inputs!$C$5:$C$140=$B17)*ISNUMBER(INDEX(Inputs!$K$5:$AJ$140,0,MATCH(AE$2,Inputs!$K$4:$AJ$4,0))))+SUMPRODUCT((Inputs!$E$5:$E$140=$B17)*ISNUMBER(INDEX(Inputs!$K$5:$AJ$140,0,MATCH(AE$2,Inputs!$K$4:$AJ$4,0))))=0,NA(),SUMPRODUCT((Inputs!$A$5:$A$140=$B17)*Inputs!$B$5:$B$140*(((Inputs!$G$5:$G$140="moeda")+(Inputs!$G$5:$G$140="acoes"))*Inputs!$B$1+((Inputs!$G$5:$G$140&lt;&gt;"moeda")*(Inputs!$G$5:$G$140&lt;&gt;"acoes")))*INDEX(Inputs!$K$5:$AJ$140,0,MATCH(AE$2,Inputs!$K$4:$AJ$4,0)))+SUMPRODUCT((Inputs!$C$5:$C$140=$B17)*Inputs!$D$5:$D$140*(((Inputs!$G$5:$G$140="moeda")+(Inputs!$G$5:$G$140="acoes"))*Inputs!$B$1+((Inputs!$G$5:$G$140&lt;&gt;"moeda")*(Inputs!$G$5:$G$140&lt;&gt;"acoes")))*INDEX(Inputs!$K$5:$AJ$140,0,MATCH(AE$2,Inputs!$K$4:$AJ$4,0)))+SUMPRODUCT((Inputs!$E$5:$E$140=$B17)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7" s="6" t="e">
        <f>IF(ISNA(MATCH(AF$2,Inputs!$K$4:$AJ$4,0)),NA(),IF(SUMPRODUCT((Inputs!$A$5:$A$140=$B17)*ISNUMBER(INDEX(Inputs!$K$5:$AJ$140,0,MATCH(AF$2,Inputs!$K$4:$AJ$4,0))))+SUMPRODUCT((Inputs!$C$5:$C$140=$B17)*ISNUMBER(INDEX(Inputs!$K$5:$AJ$140,0,MATCH(AF$2,Inputs!$K$4:$AJ$4,0))))+SUMPRODUCT((Inputs!$E$5:$E$140=$B17)*ISNUMBER(INDEX(Inputs!$K$5:$AJ$140,0,MATCH(AF$2,Inputs!$K$4:$AJ$4,0))))=0,NA(),SUMPRODUCT((Inputs!$A$5:$A$140=$B17)*Inputs!$B$5:$B$140*(((Inputs!$G$5:$G$140="moeda")+(Inputs!$G$5:$G$140="acoes"))*Inputs!$B$1+((Inputs!$G$5:$G$140&lt;&gt;"moeda")*(Inputs!$G$5:$G$140&lt;&gt;"acoes")))*INDEX(Inputs!$K$5:$AJ$140,0,MATCH(AF$2,Inputs!$K$4:$AJ$4,0)))+SUMPRODUCT((Inputs!$C$5:$C$140=$B17)*Inputs!$D$5:$D$140*(((Inputs!$G$5:$G$140="moeda")+(Inputs!$G$5:$G$140="acoes"))*Inputs!$B$1+((Inputs!$G$5:$G$140&lt;&gt;"moeda")*(Inputs!$G$5:$G$140&lt;&gt;"acoes")))*INDEX(Inputs!$K$5:$AJ$140,0,MATCH(AF$2,Inputs!$K$4:$AJ$4,0)))+SUMPRODUCT((Inputs!$E$5:$E$140=$B17)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7" s="3" t="e">
        <f>AF17</f>
        <v>#N/A</v>
      </c>
      <c r="AH17" s="6">
        <f>IF(ISNA(MATCH(AH$2,Inputs!$K$4:$AJ$4,0)),NA(),IF(SUMPRODUCT((Inputs!$A$5:$A$140=$B17)*ISNUMBER(INDEX(Inputs!$K$5:$AJ$140,0,MATCH(AH$2,Inputs!$K$4:$AJ$4,0))))+SUMPRODUCT((Inputs!$C$5:$C$140=$B17)*ISNUMBER(INDEX(Inputs!$K$5:$AJ$140,0,MATCH(AH$2,Inputs!$K$4:$AJ$4,0))))+SUMPRODUCT((Inputs!$E$5:$E$140=$B17)*ISNUMBER(INDEX(Inputs!$K$5:$AJ$140,0,MATCH(AH$2,Inputs!$K$4:$AJ$4,0))))=0,NA(),SUMPRODUCT((Inputs!$A$5:$A$140=$B17)*Inputs!$B$5:$B$140*(((Inputs!$G$5:$G$140="moeda")+(Inputs!$G$5:$G$140="acoes"))*Inputs!$B$1+((Inputs!$G$5:$G$140&lt;&gt;"moeda")*(Inputs!$G$5:$G$140&lt;&gt;"acoes")))*INDEX(Inputs!$K$5:$AJ$140,0,MATCH(AH$2,Inputs!$K$4:$AJ$4,0)))+SUMPRODUCT((Inputs!$C$5:$C$140=$B17)*Inputs!$D$5:$D$140*(((Inputs!$G$5:$G$140="moeda")+(Inputs!$G$5:$G$140="acoes"))*Inputs!$B$1+((Inputs!$G$5:$G$140&lt;&gt;"moeda")*(Inputs!$G$5:$G$140&lt;&gt;"acoes")))*INDEX(Inputs!$K$5:$AJ$140,0,MATCH(AH$2,Inputs!$K$4:$AJ$4,0)))+SUMPRODUCT((Inputs!$E$5:$E$140=$B17)*Inputs!$F$5:$F$140*(((Inputs!$G$5:$G$140="moeda")+(Inputs!$G$5:$G$140="acoes"))*Inputs!$B$1+((Inputs!$G$5:$G$140&lt;&gt;"moeda")*(Inputs!$G$5:$G$140&lt;&gt;"acoes")))*INDEX(Inputs!$K$5:$AJ$140,0,MATCH(AH$2,Inputs!$K$4:$AJ$4,0)))))</f>
        <v>210.689</v>
      </c>
      <c r="AI17" s="6">
        <f>IF(ISNA(MATCH(AI$2,Inputs!$K$4:$AJ$4,0)),NA(),IF(SUMPRODUCT((Inputs!$A$5:$A$140=$B17)*ISNUMBER(INDEX(Inputs!$K$5:$AJ$140,0,MATCH(AI$2,Inputs!$K$4:$AJ$4,0))))+SUMPRODUCT((Inputs!$C$5:$C$140=$B17)*ISNUMBER(INDEX(Inputs!$K$5:$AJ$140,0,MATCH(AI$2,Inputs!$K$4:$AJ$4,0))))+SUMPRODUCT((Inputs!$E$5:$E$140=$B17)*ISNUMBER(INDEX(Inputs!$K$5:$AJ$140,0,MATCH(AI$2,Inputs!$K$4:$AJ$4,0))))=0,NA(),SUMPRODUCT((Inputs!$A$5:$A$140=$B17)*Inputs!$B$5:$B$140*(((Inputs!$G$5:$G$140="moeda")+(Inputs!$G$5:$G$140="acoes"))*Inputs!$B$1+((Inputs!$G$5:$G$140&lt;&gt;"moeda")*(Inputs!$G$5:$G$140&lt;&gt;"acoes")))*INDEX(Inputs!$K$5:$AJ$140,0,MATCH(AI$2,Inputs!$K$4:$AJ$4,0)))+SUMPRODUCT((Inputs!$C$5:$C$140=$B17)*Inputs!$D$5:$D$140*(((Inputs!$G$5:$G$140="moeda")+(Inputs!$G$5:$G$140="acoes"))*Inputs!$B$1+((Inputs!$G$5:$G$140&lt;&gt;"moeda")*(Inputs!$G$5:$G$140&lt;&gt;"acoes")))*INDEX(Inputs!$K$5:$AJ$140,0,MATCH(AI$2,Inputs!$K$4:$AJ$4,0)))+SUMPRODUCT((Inputs!$E$5:$E$140=$B17)*Inputs!$F$5:$F$140*(((Inputs!$G$5:$G$140="moeda")+(Inputs!$G$5:$G$140="acoes"))*Inputs!$B$1+((Inputs!$G$5:$G$140&lt;&gt;"moeda")*(Inputs!$G$5:$G$140&lt;&gt;"acoes")))*INDEX(Inputs!$K$5:$AJ$140,0,MATCH(AI$2,Inputs!$K$4:$AJ$4,0)))))</f>
        <v>190.026</v>
      </c>
      <c r="AJ17" s="6">
        <f>IF(ISNA(MATCH(AJ$2,Inputs!$K$4:$AJ$4,0)),NA(),IF(SUMPRODUCT((Inputs!$A$5:$A$140=$B17)*ISNUMBER(INDEX(Inputs!$K$5:$AJ$140,0,MATCH(AJ$2,Inputs!$K$4:$AJ$4,0))))+SUMPRODUCT((Inputs!$C$5:$C$140=$B17)*ISNUMBER(INDEX(Inputs!$K$5:$AJ$140,0,MATCH(AJ$2,Inputs!$K$4:$AJ$4,0))))+SUMPRODUCT((Inputs!$E$5:$E$140=$B17)*ISNUMBER(INDEX(Inputs!$K$5:$AJ$140,0,MATCH(AJ$2,Inputs!$K$4:$AJ$4,0))))=0,NA(),SUMPRODUCT((Inputs!$A$5:$A$140=$B17)*Inputs!$B$5:$B$140*(((Inputs!$G$5:$G$140="moeda")+(Inputs!$G$5:$G$140="acoes"))*Inputs!$B$1+((Inputs!$G$5:$G$140&lt;&gt;"moeda")*(Inputs!$G$5:$G$140&lt;&gt;"acoes")))*INDEX(Inputs!$K$5:$AJ$140,0,MATCH(AJ$2,Inputs!$K$4:$AJ$4,0)))+SUMPRODUCT((Inputs!$C$5:$C$140=$B17)*Inputs!$D$5:$D$140*(((Inputs!$G$5:$G$140="moeda")+(Inputs!$G$5:$G$140="acoes"))*Inputs!$B$1+((Inputs!$G$5:$G$140&lt;&gt;"moeda")*(Inputs!$G$5:$G$140&lt;&gt;"acoes")))*INDEX(Inputs!$K$5:$AJ$140,0,MATCH(AJ$2,Inputs!$K$4:$AJ$4,0)))+SUMPRODUCT((Inputs!$E$5:$E$140=$B17)*Inputs!$F$5:$F$140*(((Inputs!$G$5:$G$140="moeda")+(Inputs!$G$5:$G$140="acoes"))*Inputs!$B$1+((Inputs!$G$5:$G$140&lt;&gt;"moeda")*(Inputs!$G$5:$G$140&lt;&gt;"acoes")))*INDEX(Inputs!$K$5:$AJ$140,0,MATCH(AJ$2,Inputs!$K$4:$AJ$4,0)))))</f>
        <v>226.704</v>
      </c>
      <c r="AK17" s="6">
        <f>IF(ISNA(MATCH(AK$2,Inputs!$K$4:$AJ$4,0)),NA(),IF(SUMPRODUCT((Inputs!$A$5:$A$140=$B17)*ISNUMBER(INDEX(Inputs!$K$5:$AJ$140,0,MATCH(AK$2,Inputs!$K$4:$AJ$4,0))))+SUMPRODUCT((Inputs!$C$5:$C$140=$B17)*ISNUMBER(INDEX(Inputs!$K$5:$AJ$140,0,MATCH(AK$2,Inputs!$K$4:$AJ$4,0))))+SUMPRODUCT((Inputs!$E$5:$E$140=$B17)*ISNUMBER(INDEX(Inputs!$K$5:$AJ$140,0,MATCH(AK$2,Inputs!$K$4:$AJ$4,0))))=0,NA(),SUMPRODUCT((Inputs!$A$5:$A$140=$B17)*Inputs!$B$5:$B$140*(((Inputs!$G$5:$G$140="moeda")+(Inputs!$G$5:$G$140="acoes"))*Inputs!$B$1+((Inputs!$G$5:$G$140&lt;&gt;"moeda")*(Inputs!$G$5:$G$140&lt;&gt;"acoes")))*INDEX(Inputs!$K$5:$AJ$140,0,MATCH(AK$2,Inputs!$K$4:$AJ$4,0)))+SUMPRODUCT((Inputs!$C$5:$C$140=$B17)*Inputs!$D$5:$D$140*(((Inputs!$G$5:$G$140="moeda")+(Inputs!$G$5:$G$140="acoes"))*Inputs!$B$1+((Inputs!$G$5:$G$140&lt;&gt;"moeda")*(Inputs!$G$5:$G$140&lt;&gt;"acoes")))*INDEX(Inputs!$K$5:$AJ$140,0,MATCH(AK$2,Inputs!$K$4:$AJ$4,0)))+SUMPRODUCT((Inputs!$E$5:$E$140=$B17)*Inputs!$F$5:$F$140*(((Inputs!$G$5:$G$140="moeda")+(Inputs!$G$5:$G$140="acoes"))*Inputs!$B$1+((Inputs!$G$5:$G$140&lt;&gt;"moeda")*(Inputs!$G$5:$G$140&lt;&gt;"acoes")))*INDEX(Inputs!$K$5:$AJ$140,0,MATCH(AK$2,Inputs!$K$4:$AJ$4,0)))))</f>
        <v>296.258</v>
      </c>
      <c r="AL17" s="3">
        <f>AK17</f>
        <v>296.258</v>
      </c>
    </row>
    <row r="18">
      <c r="B18" s="46" t="n">
        <v>14</v>
      </c>
      <c r="C18" s="26" t="inlineStr">
        <is>
          <t>Deferred income taxes</t>
        </is>
      </c>
      <c r="D18" s="6" t="e">
        <f>IF(ISNA(MATCH(D$2,Inputs!$K$4:$AJ$4,0)),NA(),IF(SUMPRODUCT((Inputs!$A$5:$A$140=$B18)*ISNUMBER(INDEX(Inputs!$K$5:$AJ$140,0,MATCH(D$2,Inputs!$K$4:$AJ$4,0))))+SUMPRODUCT((Inputs!$C$5:$C$140=$B18)*ISNUMBER(INDEX(Inputs!$K$5:$AJ$140,0,MATCH(D$2,Inputs!$K$4:$AJ$4,0))))+SUMPRODUCT((Inputs!$E$5:$E$140=$B18)*ISNUMBER(INDEX(Inputs!$K$5:$AJ$140,0,MATCH(D$2,Inputs!$K$4:$AJ$4,0))))=0,NA(),SUMPRODUCT((Inputs!$A$5:$A$140=$B18)*Inputs!$B$5:$B$140*(((Inputs!$G$5:$G$140="moeda")+(Inputs!$G$5:$G$140="acoes"))*Inputs!$B$1+((Inputs!$G$5:$G$140&lt;&gt;"moeda")*(Inputs!$G$5:$G$140&lt;&gt;"acoes")))*INDEX(Inputs!$K$5:$AJ$140,0,MATCH(D$2,Inputs!$K$4:$AJ$4,0)))+SUMPRODUCT((Inputs!$C$5:$C$140=$B18)*Inputs!$D$5:$D$140*(((Inputs!$G$5:$G$140="moeda")+(Inputs!$G$5:$G$140="acoes"))*Inputs!$B$1+((Inputs!$G$5:$G$140&lt;&gt;"moeda")*(Inputs!$G$5:$G$140&lt;&gt;"acoes")))*INDEX(Inputs!$K$5:$AJ$140,0,MATCH(D$2,Inputs!$K$4:$AJ$4,0)))+SUMPRODUCT((Inputs!$E$5:$E$140=$B18)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18" s="6" t="e">
        <f>IF(ISNA(MATCH(E$2,Inputs!$K$4:$AJ$4,0)),NA(),IF(SUMPRODUCT((Inputs!$A$5:$A$140=$B18)*ISNUMBER(INDEX(Inputs!$K$5:$AJ$140,0,MATCH(E$2,Inputs!$K$4:$AJ$4,0))))+SUMPRODUCT((Inputs!$C$5:$C$140=$B18)*ISNUMBER(INDEX(Inputs!$K$5:$AJ$140,0,MATCH(E$2,Inputs!$K$4:$AJ$4,0))))+SUMPRODUCT((Inputs!$E$5:$E$140=$B18)*ISNUMBER(INDEX(Inputs!$K$5:$AJ$140,0,MATCH(E$2,Inputs!$K$4:$AJ$4,0))))=0,NA(),SUMPRODUCT((Inputs!$A$5:$A$140=$B18)*Inputs!$B$5:$B$140*(((Inputs!$G$5:$G$140="moeda")+(Inputs!$G$5:$G$140="acoes"))*Inputs!$B$1+((Inputs!$G$5:$G$140&lt;&gt;"moeda")*(Inputs!$G$5:$G$140&lt;&gt;"acoes")))*INDEX(Inputs!$K$5:$AJ$140,0,MATCH(E$2,Inputs!$K$4:$AJ$4,0)))+SUMPRODUCT((Inputs!$C$5:$C$140=$B18)*Inputs!$D$5:$D$140*(((Inputs!$G$5:$G$140="moeda")+(Inputs!$G$5:$G$140="acoes"))*Inputs!$B$1+((Inputs!$G$5:$G$140&lt;&gt;"moeda")*(Inputs!$G$5:$G$140&lt;&gt;"acoes")))*INDEX(Inputs!$K$5:$AJ$140,0,MATCH(E$2,Inputs!$K$4:$AJ$4,0)))+SUMPRODUCT((Inputs!$E$5:$E$140=$B18)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18" s="6" t="e">
        <f>IF(ISNA(MATCH(F$2,Inputs!$K$4:$AJ$4,0)),NA(),IF(SUMPRODUCT((Inputs!$A$5:$A$140=$B18)*ISNUMBER(INDEX(Inputs!$K$5:$AJ$140,0,MATCH(F$2,Inputs!$K$4:$AJ$4,0))))+SUMPRODUCT((Inputs!$C$5:$C$140=$B18)*ISNUMBER(INDEX(Inputs!$K$5:$AJ$140,0,MATCH(F$2,Inputs!$K$4:$AJ$4,0))))+SUMPRODUCT((Inputs!$E$5:$E$140=$B18)*ISNUMBER(INDEX(Inputs!$K$5:$AJ$140,0,MATCH(F$2,Inputs!$K$4:$AJ$4,0))))=0,NA(),SUMPRODUCT((Inputs!$A$5:$A$140=$B18)*Inputs!$B$5:$B$140*(((Inputs!$G$5:$G$140="moeda")+(Inputs!$G$5:$G$140="acoes"))*Inputs!$B$1+((Inputs!$G$5:$G$140&lt;&gt;"moeda")*(Inputs!$G$5:$G$140&lt;&gt;"acoes")))*INDEX(Inputs!$K$5:$AJ$140,0,MATCH(F$2,Inputs!$K$4:$AJ$4,0)))+SUMPRODUCT((Inputs!$C$5:$C$140=$B18)*Inputs!$D$5:$D$140*(((Inputs!$G$5:$G$140="moeda")+(Inputs!$G$5:$G$140="acoes"))*Inputs!$B$1+((Inputs!$G$5:$G$140&lt;&gt;"moeda")*(Inputs!$G$5:$G$140&lt;&gt;"acoes")))*INDEX(Inputs!$K$5:$AJ$140,0,MATCH(F$2,Inputs!$K$4:$AJ$4,0)))+SUMPRODUCT((Inputs!$E$5:$E$140=$B18)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18" s="6" t="e">
        <f>IF(ISNA(MATCH(G$2,Inputs!$K$4:$AJ$4,0)),NA(),IF(SUMPRODUCT((Inputs!$A$5:$A$140=$B18)*ISNUMBER(INDEX(Inputs!$K$5:$AJ$140,0,MATCH(G$2,Inputs!$K$4:$AJ$4,0))))+SUMPRODUCT((Inputs!$C$5:$C$140=$B18)*ISNUMBER(INDEX(Inputs!$K$5:$AJ$140,0,MATCH(G$2,Inputs!$K$4:$AJ$4,0))))+SUMPRODUCT((Inputs!$E$5:$E$140=$B18)*ISNUMBER(INDEX(Inputs!$K$5:$AJ$140,0,MATCH(G$2,Inputs!$K$4:$AJ$4,0))))=0,NA(),SUMPRODUCT((Inputs!$A$5:$A$140=$B18)*Inputs!$B$5:$B$140*(((Inputs!$G$5:$G$140="moeda")+(Inputs!$G$5:$G$140="acoes"))*Inputs!$B$1+((Inputs!$G$5:$G$140&lt;&gt;"moeda")*(Inputs!$G$5:$G$140&lt;&gt;"acoes")))*INDEX(Inputs!$K$5:$AJ$140,0,MATCH(G$2,Inputs!$K$4:$AJ$4,0)))+SUMPRODUCT((Inputs!$C$5:$C$140=$B18)*Inputs!$D$5:$D$140*(((Inputs!$G$5:$G$140="moeda")+(Inputs!$G$5:$G$140="acoes"))*Inputs!$B$1+((Inputs!$G$5:$G$140&lt;&gt;"moeda")*(Inputs!$G$5:$G$140&lt;&gt;"acoes")))*INDEX(Inputs!$K$5:$AJ$140,0,MATCH(G$2,Inputs!$K$4:$AJ$4,0)))+SUMPRODUCT((Inputs!$E$5:$E$140=$B18)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18" s="3" t="e">
        <f>G18</f>
        <v>#N/A</v>
      </c>
      <c r="I18" s="6" t="e">
        <f>IF(ISNA(MATCH(I$2,Inputs!$K$4:$AJ$4,0)),NA(),IF(SUMPRODUCT((Inputs!$A$5:$A$140=$B18)*ISNUMBER(INDEX(Inputs!$K$5:$AJ$140,0,MATCH(I$2,Inputs!$K$4:$AJ$4,0))))+SUMPRODUCT((Inputs!$C$5:$C$140=$B18)*ISNUMBER(INDEX(Inputs!$K$5:$AJ$140,0,MATCH(I$2,Inputs!$K$4:$AJ$4,0))))+SUMPRODUCT((Inputs!$E$5:$E$140=$B18)*ISNUMBER(INDEX(Inputs!$K$5:$AJ$140,0,MATCH(I$2,Inputs!$K$4:$AJ$4,0))))=0,NA(),SUMPRODUCT((Inputs!$A$5:$A$140=$B18)*Inputs!$B$5:$B$140*(((Inputs!$G$5:$G$140="moeda")+(Inputs!$G$5:$G$140="acoes"))*Inputs!$B$1+((Inputs!$G$5:$G$140&lt;&gt;"moeda")*(Inputs!$G$5:$G$140&lt;&gt;"acoes")))*INDEX(Inputs!$K$5:$AJ$140,0,MATCH(I$2,Inputs!$K$4:$AJ$4,0)))+SUMPRODUCT((Inputs!$C$5:$C$140=$B18)*Inputs!$D$5:$D$140*(((Inputs!$G$5:$G$140="moeda")+(Inputs!$G$5:$G$140="acoes"))*Inputs!$B$1+((Inputs!$G$5:$G$140&lt;&gt;"moeda")*(Inputs!$G$5:$G$140&lt;&gt;"acoes")))*INDEX(Inputs!$K$5:$AJ$140,0,MATCH(I$2,Inputs!$K$4:$AJ$4,0)))+SUMPRODUCT((Inputs!$E$5:$E$140=$B18)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18" s="6" t="e">
        <f>IF(ISNA(MATCH(J$2,Inputs!$K$4:$AJ$4,0)),NA(),IF(SUMPRODUCT((Inputs!$A$5:$A$140=$B18)*ISNUMBER(INDEX(Inputs!$K$5:$AJ$140,0,MATCH(J$2,Inputs!$K$4:$AJ$4,0))))+SUMPRODUCT((Inputs!$C$5:$C$140=$B18)*ISNUMBER(INDEX(Inputs!$K$5:$AJ$140,0,MATCH(J$2,Inputs!$K$4:$AJ$4,0))))+SUMPRODUCT((Inputs!$E$5:$E$140=$B18)*ISNUMBER(INDEX(Inputs!$K$5:$AJ$140,0,MATCH(J$2,Inputs!$K$4:$AJ$4,0))))=0,NA(),SUMPRODUCT((Inputs!$A$5:$A$140=$B18)*Inputs!$B$5:$B$140*(((Inputs!$G$5:$G$140="moeda")+(Inputs!$G$5:$G$140="acoes"))*Inputs!$B$1+((Inputs!$G$5:$G$140&lt;&gt;"moeda")*(Inputs!$G$5:$G$140&lt;&gt;"acoes")))*INDEX(Inputs!$K$5:$AJ$140,0,MATCH(J$2,Inputs!$K$4:$AJ$4,0)))+SUMPRODUCT((Inputs!$C$5:$C$140=$B18)*Inputs!$D$5:$D$140*(((Inputs!$G$5:$G$140="moeda")+(Inputs!$G$5:$G$140="acoes"))*Inputs!$B$1+((Inputs!$G$5:$G$140&lt;&gt;"moeda")*(Inputs!$G$5:$G$140&lt;&gt;"acoes")))*INDEX(Inputs!$K$5:$AJ$140,0,MATCH(J$2,Inputs!$K$4:$AJ$4,0)))+SUMPRODUCT((Inputs!$E$5:$E$140=$B18)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18" s="6" t="e">
        <f>IF(ISNA(MATCH(K$2,Inputs!$K$4:$AJ$4,0)),NA(),IF(SUMPRODUCT((Inputs!$A$5:$A$140=$B18)*ISNUMBER(INDEX(Inputs!$K$5:$AJ$140,0,MATCH(K$2,Inputs!$K$4:$AJ$4,0))))+SUMPRODUCT((Inputs!$C$5:$C$140=$B18)*ISNUMBER(INDEX(Inputs!$K$5:$AJ$140,0,MATCH(K$2,Inputs!$K$4:$AJ$4,0))))+SUMPRODUCT((Inputs!$E$5:$E$140=$B18)*ISNUMBER(INDEX(Inputs!$K$5:$AJ$140,0,MATCH(K$2,Inputs!$K$4:$AJ$4,0))))=0,NA(),SUMPRODUCT((Inputs!$A$5:$A$140=$B18)*Inputs!$B$5:$B$140*(((Inputs!$G$5:$G$140="moeda")+(Inputs!$G$5:$G$140="acoes"))*Inputs!$B$1+((Inputs!$G$5:$G$140&lt;&gt;"moeda")*(Inputs!$G$5:$G$140&lt;&gt;"acoes")))*INDEX(Inputs!$K$5:$AJ$140,0,MATCH(K$2,Inputs!$K$4:$AJ$4,0)))+SUMPRODUCT((Inputs!$C$5:$C$140=$B18)*Inputs!$D$5:$D$140*(((Inputs!$G$5:$G$140="moeda")+(Inputs!$G$5:$G$140="acoes"))*Inputs!$B$1+((Inputs!$G$5:$G$140&lt;&gt;"moeda")*(Inputs!$G$5:$G$140&lt;&gt;"acoes")))*INDEX(Inputs!$K$5:$AJ$140,0,MATCH(K$2,Inputs!$K$4:$AJ$4,0)))+SUMPRODUCT((Inputs!$E$5:$E$140=$B18)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18" s="6" t="e">
        <f>IF(ISNA(MATCH(L$2,Inputs!$K$4:$AJ$4,0)),NA(),IF(SUMPRODUCT((Inputs!$A$5:$A$140=$B18)*ISNUMBER(INDEX(Inputs!$K$5:$AJ$140,0,MATCH(L$2,Inputs!$K$4:$AJ$4,0))))+SUMPRODUCT((Inputs!$C$5:$C$140=$B18)*ISNUMBER(INDEX(Inputs!$K$5:$AJ$140,0,MATCH(L$2,Inputs!$K$4:$AJ$4,0))))+SUMPRODUCT((Inputs!$E$5:$E$140=$B18)*ISNUMBER(INDEX(Inputs!$K$5:$AJ$140,0,MATCH(L$2,Inputs!$K$4:$AJ$4,0))))=0,NA(),SUMPRODUCT((Inputs!$A$5:$A$140=$B18)*Inputs!$B$5:$B$140*(((Inputs!$G$5:$G$140="moeda")+(Inputs!$G$5:$G$140="acoes"))*Inputs!$B$1+((Inputs!$G$5:$G$140&lt;&gt;"moeda")*(Inputs!$G$5:$G$140&lt;&gt;"acoes")))*INDEX(Inputs!$K$5:$AJ$140,0,MATCH(L$2,Inputs!$K$4:$AJ$4,0)))+SUMPRODUCT((Inputs!$C$5:$C$140=$B18)*Inputs!$D$5:$D$140*(((Inputs!$G$5:$G$140="moeda")+(Inputs!$G$5:$G$140="acoes"))*Inputs!$B$1+((Inputs!$G$5:$G$140&lt;&gt;"moeda")*(Inputs!$G$5:$G$140&lt;&gt;"acoes")))*INDEX(Inputs!$K$5:$AJ$140,0,MATCH(L$2,Inputs!$K$4:$AJ$4,0)))+SUMPRODUCT((Inputs!$E$5:$E$140=$B18)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18" s="3" t="e">
        <f>L18</f>
        <v>#N/A</v>
      </c>
      <c r="N18" s="6" t="e">
        <f>IF(ISNA(MATCH(N$2,Inputs!$K$4:$AJ$4,0)),NA(),IF(SUMPRODUCT((Inputs!$A$5:$A$140=$B18)*ISNUMBER(INDEX(Inputs!$K$5:$AJ$140,0,MATCH(N$2,Inputs!$K$4:$AJ$4,0))))+SUMPRODUCT((Inputs!$C$5:$C$140=$B18)*ISNUMBER(INDEX(Inputs!$K$5:$AJ$140,0,MATCH(N$2,Inputs!$K$4:$AJ$4,0))))+SUMPRODUCT((Inputs!$E$5:$E$140=$B18)*ISNUMBER(INDEX(Inputs!$K$5:$AJ$140,0,MATCH(N$2,Inputs!$K$4:$AJ$4,0))))=0,NA(),SUMPRODUCT((Inputs!$A$5:$A$140=$B18)*Inputs!$B$5:$B$140*(((Inputs!$G$5:$G$140="moeda")+(Inputs!$G$5:$G$140="acoes"))*Inputs!$B$1+((Inputs!$G$5:$G$140&lt;&gt;"moeda")*(Inputs!$G$5:$G$140&lt;&gt;"acoes")))*INDEX(Inputs!$K$5:$AJ$140,0,MATCH(N$2,Inputs!$K$4:$AJ$4,0)))+SUMPRODUCT((Inputs!$C$5:$C$140=$B18)*Inputs!$D$5:$D$140*(((Inputs!$G$5:$G$140="moeda")+(Inputs!$G$5:$G$140="acoes"))*Inputs!$B$1+((Inputs!$G$5:$G$140&lt;&gt;"moeda")*(Inputs!$G$5:$G$140&lt;&gt;"acoes")))*INDEX(Inputs!$K$5:$AJ$140,0,MATCH(N$2,Inputs!$K$4:$AJ$4,0)))+SUMPRODUCT((Inputs!$E$5:$E$140=$B18)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18" s="6" t="e">
        <f>IF(ISNA(MATCH(O$2,Inputs!$K$4:$AJ$4,0)),NA(),IF(SUMPRODUCT((Inputs!$A$5:$A$140=$B18)*ISNUMBER(INDEX(Inputs!$K$5:$AJ$140,0,MATCH(O$2,Inputs!$K$4:$AJ$4,0))))+SUMPRODUCT((Inputs!$C$5:$C$140=$B18)*ISNUMBER(INDEX(Inputs!$K$5:$AJ$140,0,MATCH(O$2,Inputs!$K$4:$AJ$4,0))))+SUMPRODUCT((Inputs!$E$5:$E$140=$B18)*ISNUMBER(INDEX(Inputs!$K$5:$AJ$140,0,MATCH(O$2,Inputs!$K$4:$AJ$4,0))))=0,NA(),SUMPRODUCT((Inputs!$A$5:$A$140=$B18)*Inputs!$B$5:$B$140*(((Inputs!$G$5:$G$140="moeda")+(Inputs!$G$5:$G$140="acoes"))*Inputs!$B$1+((Inputs!$G$5:$G$140&lt;&gt;"moeda")*(Inputs!$G$5:$G$140&lt;&gt;"acoes")))*INDEX(Inputs!$K$5:$AJ$140,0,MATCH(O$2,Inputs!$K$4:$AJ$4,0)))+SUMPRODUCT((Inputs!$C$5:$C$140=$B18)*Inputs!$D$5:$D$140*(((Inputs!$G$5:$G$140="moeda")+(Inputs!$G$5:$G$140="acoes"))*Inputs!$B$1+((Inputs!$G$5:$G$140&lt;&gt;"moeda")*(Inputs!$G$5:$G$140&lt;&gt;"acoes")))*INDEX(Inputs!$K$5:$AJ$140,0,MATCH(O$2,Inputs!$K$4:$AJ$4,0)))+SUMPRODUCT((Inputs!$E$5:$E$140=$B18)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18" s="6" t="e">
        <f>IF(ISNA(MATCH(P$2,Inputs!$K$4:$AJ$4,0)),NA(),IF(SUMPRODUCT((Inputs!$A$5:$A$140=$B18)*ISNUMBER(INDEX(Inputs!$K$5:$AJ$140,0,MATCH(P$2,Inputs!$K$4:$AJ$4,0))))+SUMPRODUCT((Inputs!$C$5:$C$140=$B18)*ISNUMBER(INDEX(Inputs!$K$5:$AJ$140,0,MATCH(P$2,Inputs!$K$4:$AJ$4,0))))+SUMPRODUCT((Inputs!$E$5:$E$140=$B18)*ISNUMBER(INDEX(Inputs!$K$5:$AJ$140,0,MATCH(P$2,Inputs!$K$4:$AJ$4,0))))=0,NA(),SUMPRODUCT((Inputs!$A$5:$A$140=$B18)*Inputs!$B$5:$B$140*(((Inputs!$G$5:$G$140="moeda")+(Inputs!$G$5:$G$140="acoes"))*Inputs!$B$1+((Inputs!$G$5:$G$140&lt;&gt;"moeda")*(Inputs!$G$5:$G$140&lt;&gt;"acoes")))*INDEX(Inputs!$K$5:$AJ$140,0,MATCH(P$2,Inputs!$K$4:$AJ$4,0)))+SUMPRODUCT((Inputs!$C$5:$C$140=$B18)*Inputs!$D$5:$D$140*(((Inputs!$G$5:$G$140="moeda")+(Inputs!$G$5:$G$140="acoes"))*Inputs!$B$1+((Inputs!$G$5:$G$140&lt;&gt;"moeda")*(Inputs!$G$5:$G$140&lt;&gt;"acoes")))*INDEX(Inputs!$K$5:$AJ$140,0,MATCH(P$2,Inputs!$K$4:$AJ$4,0)))+SUMPRODUCT((Inputs!$E$5:$E$140=$B18)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18" s="6" t="e">
        <f>IF(ISNA(MATCH(Q$2,Inputs!$K$4:$AJ$4,0)),NA(),IF(SUMPRODUCT((Inputs!$A$5:$A$140=$B18)*ISNUMBER(INDEX(Inputs!$K$5:$AJ$140,0,MATCH(Q$2,Inputs!$K$4:$AJ$4,0))))+SUMPRODUCT((Inputs!$C$5:$C$140=$B18)*ISNUMBER(INDEX(Inputs!$K$5:$AJ$140,0,MATCH(Q$2,Inputs!$K$4:$AJ$4,0))))+SUMPRODUCT((Inputs!$E$5:$E$140=$B18)*ISNUMBER(INDEX(Inputs!$K$5:$AJ$140,0,MATCH(Q$2,Inputs!$K$4:$AJ$4,0))))=0,NA(),SUMPRODUCT((Inputs!$A$5:$A$140=$B18)*Inputs!$B$5:$B$140*(((Inputs!$G$5:$G$140="moeda")+(Inputs!$G$5:$G$140="acoes"))*Inputs!$B$1+((Inputs!$G$5:$G$140&lt;&gt;"moeda")*(Inputs!$G$5:$G$140&lt;&gt;"acoes")))*INDEX(Inputs!$K$5:$AJ$140,0,MATCH(Q$2,Inputs!$K$4:$AJ$4,0)))+SUMPRODUCT((Inputs!$C$5:$C$140=$B18)*Inputs!$D$5:$D$140*(((Inputs!$G$5:$G$140="moeda")+(Inputs!$G$5:$G$140="acoes"))*Inputs!$B$1+((Inputs!$G$5:$G$140&lt;&gt;"moeda")*(Inputs!$G$5:$G$140&lt;&gt;"acoes")))*INDEX(Inputs!$K$5:$AJ$140,0,MATCH(Q$2,Inputs!$K$4:$AJ$4,0)))+SUMPRODUCT((Inputs!$E$5:$E$140=$B18)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18" s="3" t="e">
        <f>Q18</f>
        <v>#N/A</v>
      </c>
      <c r="S18" s="6" t="e">
        <f>IF(ISNA(MATCH(S$2,Inputs!$K$4:$AJ$4,0)),NA(),IF(SUMPRODUCT((Inputs!$A$5:$A$140=$B18)*ISNUMBER(INDEX(Inputs!$K$5:$AJ$140,0,MATCH(S$2,Inputs!$K$4:$AJ$4,0))))+SUMPRODUCT((Inputs!$C$5:$C$140=$B18)*ISNUMBER(INDEX(Inputs!$K$5:$AJ$140,0,MATCH(S$2,Inputs!$K$4:$AJ$4,0))))+SUMPRODUCT((Inputs!$E$5:$E$140=$B18)*ISNUMBER(INDEX(Inputs!$K$5:$AJ$140,0,MATCH(S$2,Inputs!$K$4:$AJ$4,0))))=0,NA(),SUMPRODUCT((Inputs!$A$5:$A$140=$B18)*Inputs!$B$5:$B$140*(((Inputs!$G$5:$G$140="moeda")+(Inputs!$G$5:$G$140="acoes"))*Inputs!$B$1+((Inputs!$G$5:$G$140&lt;&gt;"moeda")*(Inputs!$G$5:$G$140&lt;&gt;"acoes")))*INDEX(Inputs!$K$5:$AJ$140,0,MATCH(S$2,Inputs!$K$4:$AJ$4,0)))+SUMPRODUCT((Inputs!$C$5:$C$140=$B18)*Inputs!$D$5:$D$140*(((Inputs!$G$5:$G$140="moeda")+(Inputs!$G$5:$G$140="acoes"))*Inputs!$B$1+((Inputs!$G$5:$G$140&lt;&gt;"moeda")*(Inputs!$G$5:$G$140&lt;&gt;"acoes")))*INDEX(Inputs!$K$5:$AJ$140,0,MATCH(S$2,Inputs!$K$4:$AJ$4,0)))+SUMPRODUCT((Inputs!$E$5:$E$140=$B18)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18" s="6" t="e">
        <f>IF(ISNA(MATCH(T$2,Inputs!$K$4:$AJ$4,0)),NA(),IF(SUMPRODUCT((Inputs!$A$5:$A$140=$B18)*ISNUMBER(INDEX(Inputs!$K$5:$AJ$140,0,MATCH(T$2,Inputs!$K$4:$AJ$4,0))))+SUMPRODUCT((Inputs!$C$5:$C$140=$B18)*ISNUMBER(INDEX(Inputs!$K$5:$AJ$140,0,MATCH(T$2,Inputs!$K$4:$AJ$4,0))))+SUMPRODUCT((Inputs!$E$5:$E$140=$B18)*ISNUMBER(INDEX(Inputs!$K$5:$AJ$140,0,MATCH(T$2,Inputs!$K$4:$AJ$4,0))))=0,NA(),SUMPRODUCT((Inputs!$A$5:$A$140=$B18)*Inputs!$B$5:$B$140*(((Inputs!$G$5:$G$140="moeda")+(Inputs!$G$5:$G$140="acoes"))*Inputs!$B$1+((Inputs!$G$5:$G$140&lt;&gt;"moeda")*(Inputs!$G$5:$G$140&lt;&gt;"acoes")))*INDEX(Inputs!$K$5:$AJ$140,0,MATCH(T$2,Inputs!$K$4:$AJ$4,0)))+SUMPRODUCT((Inputs!$C$5:$C$140=$B18)*Inputs!$D$5:$D$140*(((Inputs!$G$5:$G$140="moeda")+(Inputs!$G$5:$G$140="acoes"))*Inputs!$B$1+((Inputs!$G$5:$G$140&lt;&gt;"moeda")*(Inputs!$G$5:$G$140&lt;&gt;"acoes")))*INDEX(Inputs!$K$5:$AJ$140,0,MATCH(T$2,Inputs!$K$4:$AJ$4,0)))+SUMPRODUCT((Inputs!$E$5:$E$140=$B18)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18" s="6" t="e">
        <f>IF(ISNA(MATCH(U$2,Inputs!$K$4:$AJ$4,0)),NA(),IF(SUMPRODUCT((Inputs!$A$5:$A$140=$B18)*ISNUMBER(INDEX(Inputs!$K$5:$AJ$140,0,MATCH(U$2,Inputs!$K$4:$AJ$4,0))))+SUMPRODUCT((Inputs!$C$5:$C$140=$B18)*ISNUMBER(INDEX(Inputs!$K$5:$AJ$140,0,MATCH(U$2,Inputs!$K$4:$AJ$4,0))))+SUMPRODUCT((Inputs!$E$5:$E$140=$B18)*ISNUMBER(INDEX(Inputs!$K$5:$AJ$140,0,MATCH(U$2,Inputs!$K$4:$AJ$4,0))))=0,NA(),SUMPRODUCT((Inputs!$A$5:$A$140=$B18)*Inputs!$B$5:$B$140*(((Inputs!$G$5:$G$140="moeda")+(Inputs!$G$5:$G$140="acoes"))*Inputs!$B$1+((Inputs!$G$5:$G$140&lt;&gt;"moeda")*(Inputs!$G$5:$G$140&lt;&gt;"acoes")))*INDEX(Inputs!$K$5:$AJ$140,0,MATCH(U$2,Inputs!$K$4:$AJ$4,0)))+SUMPRODUCT((Inputs!$C$5:$C$140=$B18)*Inputs!$D$5:$D$140*(((Inputs!$G$5:$G$140="moeda")+(Inputs!$G$5:$G$140="acoes"))*Inputs!$B$1+((Inputs!$G$5:$G$140&lt;&gt;"moeda")*(Inputs!$G$5:$G$140&lt;&gt;"acoes")))*INDEX(Inputs!$K$5:$AJ$140,0,MATCH(U$2,Inputs!$K$4:$AJ$4,0)))+SUMPRODUCT((Inputs!$E$5:$E$140=$B18)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18" s="6" t="e">
        <f>IF(ISNA(MATCH(V$2,Inputs!$K$4:$AJ$4,0)),NA(),IF(SUMPRODUCT((Inputs!$A$5:$A$140=$B18)*ISNUMBER(INDEX(Inputs!$K$5:$AJ$140,0,MATCH(V$2,Inputs!$K$4:$AJ$4,0))))+SUMPRODUCT((Inputs!$C$5:$C$140=$B18)*ISNUMBER(INDEX(Inputs!$K$5:$AJ$140,0,MATCH(V$2,Inputs!$K$4:$AJ$4,0))))+SUMPRODUCT((Inputs!$E$5:$E$140=$B18)*ISNUMBER(INDEX(Inputs!$K$5:$AJ$140,0,MATCH(V$2,Inputs!$K$4:$AJ$4,0))))=0,NA(),SUMPRODUCT((Inputs!$A$5:$A$140=$B18)*Inputs!$B$5:$B$140*(((Inputs!$G$5:$G$140="moeda")+(Inputs!$G$5:$G$140="acoes"))*Inputs!$B$1+((Inputs!$G$5:$G$140&lt;&gt;"moeda")*(Inputs!$G$5:$G$140&lt;&gt;"acoes")))*INDEX(Inputs!$K$5:$AJ$140,0,MATCH(V$2,Inputs!$K$4:$AJ$4,0)))+SUMPRODUCT((Inputs!$C$5:$C$140=$B18)*Inputs!$D$5:$D$140*(((Inputs!$G$5:$G$140="moeda")+(Inputs!$G$5:$G$140="acoes"))*Inputs!$B$1+((Inputs!$G$5:$G$140&lt;&gt;"moeda")*(Inputs!$G$5:$G$140&lt;&gt;"acoes")))*INDEX(Inputs!$K$5:$AJ$140,0,MATCH(V$2,Inputs!$K$4:$AJ$4,0)))+SUMPRODUCT((Inputs!$E$5:$E$140=$B18)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18" s="3" t="e">
        <f>V18</f>
        <v>#N/A</v>
      </c>
      <c r="X18" s="6" t="e">
        <f>IF(ISNA(MATCH(X$2,Inputs!$K$4:$AJ$4,0)),NA(),IF(SUMPRODUCT((Inputs!$A$5:$A$140=$B18)*ISNUMBER(INDEX(Inputs!$K$5:$AJ$140,0,MATCH(X$2,Inputs!$K$4:$AJ$4,0))))+SUMPRODUCT((Inputs!$C$5:$C$140=$B18)*ISNUMBER(INDEX(Inputs!$K$5:$AJ$140,0,MATCH(X$2,Inputs!$K$4:$AJ$4,0))))+SUMPRODUCT((Inputs!$E$5:$E$140=$B18)*ISNUMBER(INDEX(Inputs!$K$5:$AJ$140,0,MATCH(X$2,Inputs!$K$4:$AJ$4,0))))=0,NA(),SUMPRODUCT((Inputs!$A$5:$A$140=$B18)*Inputs!$B$5:$B$140*(((Inputs!$G$5:$G$140="moeda")+(Inputs!$G$5:$G$140="acoes"))*Inputs!$B$1+((Inputs!$G$5:$G$140&lt;&gt;"moeda")*(Inputs!$G$5:$G$140&lt;&gt;"acoes")))*INDEX(Inputs!$K$5:$AJ$140,0,MATCH(X$2,Inputs!$K$4:$AJ$4,0)))+SUMPRODUCT((Inputs!$C$5:$C$140=$B18)*Inputs!$D$5:$D$140*(((Inputs!$G$5:$G$140="moeda")+(Inputs!$G$5:$G$140="acoes"))*Inputs!$B$1+((Inputs!$G$5:$G$140&lt;&gt;"moeda")*(Inputs!$G$5:$G$140&lt;&gt;"acoes")))*INDEX(Inputs!$K$5:$AJ$140,0,MATCH(X$2,Inputs!$K$4:$AJ$4,0)))+SUMPRODUCT((Inputs!$E$5:$E$140=$B18)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18" s="6" t="e">
        <f>IF(ISNA(MATCH(Y$2,Inputs!$K$4:$AJ$4,0)),NA(),IF(SUMPRODUCT((Inputs!$A$5:$A$140=$B18)*ISNUMBER(INDEX(Inputs!$K$5:$AJ$140,0,MATCH(Y$2,Inputs!$K$4:$AJ$4,0))))+SUMPRODUCT((Inputs!$C$5:$C$140=$B18)*ISNUMBER(INDEX(Inputs!$K$5:$AJ$140,0,MATCH(Y$2,Inputs!$K$4:$AJ$4,0))))+SUMPRODUCT((Inputs!$E$5:$E$140=$B18)*ISNUMBER(INDEX(Inputs!$K$5:$AJ$140,0,MATCH(Y$2,Inputs!$K$4:$AJ$4,0))))=0,NA(),SUMPRODUCT((Inputs!$A$5:$A$140=$B18)*Inputs!$B$5:$B$140*(((Inputs!$G$5:$G$140="moeda")+(Inputs!$G$5:$G$140="acoes"))*Inputs!$B$1+((Inputs!$G$5:$G$140&lt;&gt;"moeda")*(Inputs!$G$5:$G$140&lt;&gt;"acoes")))*INDEX(Inputs!$K$5:$AJ$140,0,MATCH(Y$2,Inputs!$K$4:$AJ$4,0)))+SUMPRODUCT((Inputs!$C$5:$C$140=$B18)*Inputs!$D$5:$D$140*(((Inputs!$G$5:$G$140="moeda")+(Inputs!$G$5:$G$140="acoes"))*Inputs!$B$1+((Inputs!$G$5:$G$140&lt;&gt;"moeda")*(Inputs!$G$5:$G$140&lt;&gt;"acoes")))*INDEX(Inputs!$K$5:$AJ$140,0,MATCH(Y$2,Inputs!$K$4:$AJ$4,0)))+SUMPRODUCT((Inputs!$E$5:$E$140=$B18)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18" s="6" t="e">
        <f>IF(ISNA(MATCH(Z$2,Inputs!$K$4:$AJ$4,0)),NA(),IF(SUMPRODUCT((Inputs!$A$5:$A$140=$B18)*ISNUMBER(INDEX(Inputs!$K$5:$AJ$140,0,MATCH(Z$2,Inputs!$K$4:$AJ$4,0))))+SUMPRODUCT((Inputs!$C$5:$C$140=$B18)*ISNUMBER(INDEX(Inputs!$K$5:$AJ$140,0,MATCH(Z$2,Inputs!$K$4:$AJ$4,0))))+SUMPRODUCT((Inputs!$E$5:$E$140=$B18)*ISNUMBER(INDEX(Inputs!$K$5:$AJ$140,0,MATCH(Z$2,Inputs!$K$4:$AJ$4,0))))=0,NA(),SUMPRODUCT((Inputs!$A$5:$A$140=$B18)*Inputs!$B$5:$B$140*(((Inputs!$G$5:$G$140="moeda")+(Inputs!$G$5:$G$140="acoes"))*Inputs!$B$1+((Inputs!$G$5:$G$140&lt;&gt;"moeda")*(Inputs!$G$5:$G$140&lt;&gt;"acoes")))*INDEX(Inputs!$K$5:$AJ$140,0,MATCH(Z$2,Inputs!$K$4:$AJ$4,0)))+SUMPRODUCT((Inputs!$C$5:$C$140=$B18)*Inputs!$D$5:$D$140*(((Inputs!$G$5:$G$140="moeda")+(Inputs!$G$5:$G$140="acoes"))*Inputs!$B$1+((Inputs!$G$5:$G$140&lt;&gt;"moeda")*(Inputs!$G$5:$G$140&lt;&gt;"acoes")))*INDEX(Inputs!$K$5:$AJ$140,0,MATCH(Z$2,Inputs!$K$4:$AJ$4,0)))+SUMPRODUCT((Inputs!$E$5:$E$140=$B18)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18" s="6" t="e">
        <f>IF(ISNA(MATCH(AA$2,Inputs!$K$4:$AJ$4,0)),NA(),IF(SUMPRODUCT((Inputs!$A$5:$A$140=$B18)*ISNUMBER(INDEX(Inputs!$K$5:$AJ$140,0,MATCH(AA$2,Inputs!$K$4:$AJ$4,0))))+SUMPRODUCT((Inputs!$C$5:$C$140=$B18)*ISNUMBER(INDEX(Inputs!$K$5:$AJ$140,0,MATCH(AA$2,Inputs!$K$4:$AJ$4,0))))+SUMPRODUCT((Inputs!$E$5:$E$140=$B18)*ISNUMBER(INDEX(Inputs!$K$5:$AJ$140,0,MATCH(AA$2,Inputs!$K$4:$AJ$4,0))))=0,NA(),SUMPRODUCT((Inputs!$A$5:$A$140=$B18)*Inputs!$B$5:$B$140*(((Inputs!$G$5:$G$140="moeda")+(Inputs!$G$5:$G$140="acoes"))*Inputs!$B$1+((Inputs!$G$5:$G$140&lt;&gt;"moeda")*(Inputs!$G$5:$G$140&lt;&gt;"acoes")))*INDEX(Inputs!$K$5:$AJ$140,0,MATCH(AA$2,Inputs!$K$4:$AJ$4,0)))+SUMPRODUCT((Inputs!$C$5:$C$140=$B18)*Inputs!$D$5:$D$140*(((Inputs!$G$5:$G$140="moeda")+(Inputs!$G$5:$G$140="acoes"))*Inputs!$B$1+((Inputs!$G$5:$G$140&lt;&gt;"moeda")*(Inputs!$G$5:$G$140&lt;&gt;"acoes")))*INDEX(Inputs!$K$5:$AJ$140,0,MATCH(AA$2,Inputs!$K$4:$AJ$4,0)))+SUMPRODUCT((Inputs!$E$5:$E$140=$B18)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18" s="3" t="e">
        <f>AA18</f>
        <v>#N/A</v>
      </c>
      <c r="AC18" s="6" t="e">
        <f>IF(ISNA(MATCH(AC$2,Inputs!$K$4:$AJ$4,0)),NA(),IF(SUMPRODUCT((Inputs!$A$5:$A$140=$B18)*ISNUMBER(INDEX(Inputs!$K$5:$AJ$140,0,MATCH(AC$2,Inputs!$K$4:$AJ$4,0))))+SUMPRODUCT((Inputs!$C$5:$C$140=$B18)*ISNUMBER(INDEX(Inputs!$K$5:$AJ$140,0,MATCH(AC$2,Inputs!$K$4:$AJ$4,0))))+SUMPRODUCT((Inputs!$E$5:$E$140=$B18)*ISNUMBER(INDEX(Inputs!$K$5:$AJ$140,0,MATCH(AC$2,Inputs!$K$4:$AJ$4,0))))=0,NA(),SUMPRODUCT((Inputs!$A$5:$A$140=$B18)*Inputs!$B$5:$B$140*(((Inputs!$G$5:$G$140="moeda")+(Inputs!$G$5:$G$140="acoes"))*Inputs!$B$1+((Inputs!$G$5:$G$140&lt;&gt;"moeda")*(Inputs!$G$5:$G$140&lt;&gt;"acoes")))*INDEX(Inputs!$K$5:$AJ$140,0,MATCH(AC$2,Inputs!$K$4:$AJ$4,0)))+SUMPRODUCT((Inputs!$C$5:$C$140=$B18)*Inputs!$D$5:$D$140*(((Inputs!$G$5:$G$140="moeda")+(Inputs!$G$5:$G$140="acoes"))*Inputs!$B$1+((Inputs!$G$5:$G$140&lt;&gt;"moeda")*(Inputs!$G$5:$G$140&lt;&gt;"acoes")))*INDEX(Inputs!$K$5:$AJ$140,0,MATCH(AC$2,Inputs!$K$4:$AJ$4,0)))+SUMPRODUCT((Inputs!$E$5:$E$140=$B18)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18" s="6" t="e">
        <f>IF(ISNA(MATCH(AD$2,Inputs!$K$4:$AJ$4,0)),NA(),IF(SUMPRODUCT((Inputs!$A$5:$A$140=$B18)*ISNUMBER(INDEX(Inputs!$K$5:$AJ$140,0,MATCH(AD$2,Inputs!$K$4:$AJ$4,0))))+SUMPRODUCT((Inputs!$C$5:$C$140=$B18)*ISNUMBER(INDEX(Inputs!$K$5:$AJ$140,0,MATCH(AD$2,Inputs!$K$4:$AJ$4,0))))+SUMPRODUCT((Inputs!$E$5:$E$140=$B18)*ISNUMBER(INDEX(Inputs!$K$5:$AJ$140,0,MATCH(AD$2,Inputs!$K$4:$AJ$4,0))))=0,NA(),SUMPRODUCT((Inputs!$A$5:$A$140=$B18)*Inputs!$B$5:$B$140*(((Inputs!$G$5:$G$140="moeda")+(Inputs!$G$5:$G$140="acoes"))*Inputs!$B$1+((Inputs!$G$5:$G$140&lt;&gt;"moeda")*(Inputs!$G$5:$G$140&lt;&gt;"acoes")))*INDEX(Inputs!$K$5:$AJ$140,0,MATCH(AD$2,Inputs!$K$4:$AJ$4,0)))+SUMPRODUCT((Inputs!$C$5:$C$140=$B18)*Inputs!$D$5:$D$140*(((Inputs!$G$5:$G$140="moeda")+(Inputs!$G$5:$G$140="acoes"))*Inputs!$B$1+((Inputs!$G$5:$G$140&lt;&gt;"moeda")*(Inputs!$G$5:$G$140&lt;&gt;"acoes")))*INDEX(Inputs!$K$5:$AJ$140,0,MATCH(AD$2,Inputs!$K$4:$AJ$4,0)))+SUMPRODUCT((Inputs!$E$5:$E$140=$B18)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18" s="6" t="e">
        <f>IF(ISNA(MATCH(AE$2,Inputs!$K$4:$AJ$4,0)),NA(),IF(SUMPRODUCT((Inputs!$A$5:$A$140=$B18)*ISNUMBER(INDEX(Inputs!$K$5:$AJ$140,0,MATCH(AE$2,Inputs!$K$4:$AJ$4,0))))+SUMPRODUCT((Inputs!$C$5:$C$140=$B18)*ISNUMBER(INDEX(Inputs!$K$5:$AJ$140,0,MATCH(AE$2,Inputs!$K$4:$AJ$4,0))))+SUMPRODUCT((Inputs!$E$5:$E$140=$B18)*ISNUMBER(INDEX(Inputs!$K$5:$AJ$140,0,MATCH(AE$2,Inputs!$K$4:$AJ$4,0))))=0,NA(),SUMPRODUCT((Inputs!$A$5:$A$140=$B18)*Inputs!$B$5:$B$140*(((Inputs!$G$5:$G$140="moeda")+(Inputs!$G$5:$G$140="acoes"))*Inputs!$B$1+((Inputs!$G$5:$G$140&lt;&gt;"moeda")*(Inputs!$G$5:$G$140&lt;&gt;"acoes")))*INDEX(Inputs!$K$5:$AJ$140,0,MATCH(AE$2,Inputs!$K$4:$AJ$4,0)))+SUMPRODUCT((Inputs!$C$5:$C$140=$B18)*Inputs!$D$5:$D$140*(((Inputs!$G$5:$G$140="moeda")+(Inputs!$G$5:$G$140="acoes"))*Inputs!$B$1+((Inputs!$G$5:$G$140&lt;&gt;"moeda")*(Inputs!$G$5:$G$140&lt;&gt;"acoes")))*INDEX(Inputs!$K$5:$AJ$140,0,MATCH(AE$2,Inputs!$K$4:$AJ$4,0)))+SUMPRODUCT((Inputs!$E$5:$E$140=$B18)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8" s="6" t="e">
        <f>IF(ISNA(MATCH(AF$2,Inputs!$K$4:$AJ$4,0)),NA(),IF(SUMPRODUCT((Inputs!$A$5:$A$140=$B18)*ISNUMBER(INDEX(Inputs!$K$5:$AJ$140,0,MATCH(AF$2,Inputs!$K$4:$AJ$4,0))))+SUMPRODUCT((Inputs!$C$5:$C$140=$B18)*ISNUMBER(INDEX(Inputs!$K$5:$AJ$140,0,MATCH(AF$2,Inputs!$K$4:$AJ$4,0))))+SUMPRODUCT((Inputs!$E$5:$E$140=$B18)*ISNUMBER(INDEX(Inputs!$K$5:$AJ$140,0,MATCH(AF$2,Inputs!$K$4:$AJ$4,0))))=0,NA(),SUMPRODUCT((Inputs!$A$5:$A$140=$B18)*Inputs!$B$5:$B$140*(((Inputs!$G$5:$G$140="moeda")+(Inputs!$G$5:$G$140="acoes"))*Inputs!$B$1+((Inputs!$G$5:$G$140&lt;&gt;"moeda")*(Inputs!$G$5:$G$140&lt;&gt;"acoes")))*INDEX(Inputs!$K$5:$AJ$140,0,MATCH(AF$2,Inputs!$K$4:$AJ$4,0)))+SUMPRODUCT((Inputs!$C$5:$C$140=$B18)*Inputs!$D$5:$D$140*(((Inputs!$G$5:$G$140="moeda")+(Inputs!$G$5:$G$140="acoes"))*Inputs!$B$1+((Inputs!$G$5:$G$140&lt;&gt;"moeda")*(Inputs!$G$5:$G$140&lt;&gt;"acoes")))*INDEX(Inputs!$K$5:$AJ$140,0,MATCH(AF$2,Inputs!$K$4:$AJ$4,0)))+SUMPRODUCT((Inputs!$E$5:$E$140=$B18)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8" s="3" t="e">
        <f>AF18</f>
        <v>#N/A</v>
      </c>
      <c r="AH18" s="6" t="e">
        <f>IF(ISNA(MATCH(AH$2,Inputs!$K$4:$AJ$4,0)),NA(),IF(SUMPRODUCT((Inputs!$A$5:$A$140=$B18)*ISNUMBER(INDEX(Inputs!$K$5:$AJ$140,0,MATCH(AH$2,Inputs!$K$4:$AJ$4,0))))+SUMPRODUCT((Inputs!$C$5:$C$140=$B18)*ISNUMBER(INDEX(Inputs!$K$5:$AJ$140,0,MATCH(AH$2,Inputs!$K$4:$AJ$4,0))))+SUMPRODUCT((Inputs!$E$5:$E$140=$B18)*ISNUMBER(INDEX(Inputs!$K$5:$AJ$140,0,MATCH(AH$2,Inputs!$K$4:$AJ$4,0))))=0,NA(),SUMPRODUCT((Inputs!$A$5:$A$140=$B18)*Inputs!$B$5:$B$140*(((Inputs!$G$5:$G$140="moeda")+(Inputs!$G$5:$G$140="acoes"))*Inputs!$B$1+((Inputs!$G$5:$G$140&lt;&gt;"moeda")*(Inputs!$G$5:$G$140&lt;&gt;"acoes")))*INDEX(Inputs!$K$5:$AJ$140,0,MATCH(AH$2,Inputs!$K$4:$AJ$4,0)))+SUMPRODUCT((Inputs!$C$5:$C$140=$B18)*Inputs!$D$5:$D$140*(((Inputs!$G$5:$G$140="moeda")+(Inputs!$G$5:$G$140="acoes"))*Inputs!$B$1+((Inputs!$G$5:$G$140&lt;&gt;"moeda")*(Inputs!$G$5:$G$140&lt;&gt;"acoes")))*INDEX(Inputs!$K$5:$AJ$140,0,MATCH(AH$2,Inputs!$K$4:$AJ$4,0)))+SUMPRODUCT((Inputs!$E$5:$E$140=$B18)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18" s="6" t="e">
        <f>IF(ISNA(MATCH(AI$2,Inputs!$K$4:$AJ$4,0)),NA(),IF(SUMPRODUCT((Inputs!$A$5:$A$140=$B18)*ISNUMBER(INDEX(Inputs!$K$5:$AJ$140,0,MATCH(AI$2,Inputs!$K$4:$AJ$4,0))))+SUMPRODUCT((Inputs!$C$5:$C$140=$B18)*ISNUMBER(INDEX(Inputs!$K$5:$AJ$140,0,MATCH(AI$2,Inputs!$K$4:$AJ$4,0))))+SUMPRODUCT((Inputs!$E$5:$E$140=$B18)*ISNUMBER(INDEX(Inputs!$K$5:$AJ$140,0,MATCH(AI$2,Inputs!$K$4:$AJ$4,0))))=0,NA(),SUMPRODUCT((Inputs!$A$5:$A$140=$B18)*Inputs!$B$5:$B$140*(((Inputs!$G$5:$G$140="moeda")+(Inputs!$G$5:$G$140="acoes"))*Inputs!$B$1+((Inputs!$G$5:$G$140&lt;&gt;"moeda")*(Inputs!$G$5:$G$140&lt;&gt;"acoes")))*INDEX(Inputs!$K$5:$AJ$140,0,MATCH(AI$2,Inputs!$K$4:$AJ$4,0)))+SUMPRODUCT((Inputs!$C$5:$C$140=$B18)*Inputs!$D$5:$D$140*(((Inputs!$G$5:$G$140="moeda")+(Inputs!$G$5:$G$140="acoes"))*Inputs!$B$1+((Inputs!$G$5:$G$140&lt;&gt;"moeda")*(Inputs!$G$5:$G$140&lt;&gt;"acoes")))*INDEX(Inputs!$K$5:$AJ$140,0,MATCH(AI$2,Inputs!$K$4:$AJ$4,0)))+SUMPRODUCT((Inputs!$E$5:$E$140=$B18)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18" s="6" t="e">
        <f>IF(ISNA(MATCH(AJ$2,Inputs!$K$4:$AJ$4,0)),NA(),IF(SUMPRODUCT((Inputs!$A$5:$A$140=$B18)*ISNUMBER(INDEX(Inputs!$K$5:$AJ$140,0,MATCH(AJ$2,Inputs!$K$4:$AJ$4,0))))+SUMPRODUCT((Inputs!$C$5:$C$140=$B18)*ISNUMBER(INDEX(Inputs!$K$5:$AJ$140,0,MATCH(AJ$2,Inputs!$K$4:$AJ$4,0))))+SUMPRODUCT((Inputs!$E$5:$E$140=$B18)*ISNUMBER(INDEX(Inputs!$K$5:$AJ$140,0,MATCH(AJ$2,Inputs!$K$4:$AJ$4,0))))=0,NA(),SUMPRODUCT((Inputs!$A$5:$A$140=$B18)*Inputs!$B$5:$B$140*(((Inputs!$G$5:$G$140="moeda")+(Inputs!$G$5:$G$140="acoes"))*Inputs!$B$1+((Inputs!$G$5:$G$140&lt;&gt;"moeda")*(Inputs!$G$5:$G$140&lt;&gt;"acoes")))*INDEX(Inputs!$K$5:$AJ$140,0,MATCH(AJ$2,Inputs!$K$4:$AJ$4,0)))+SUMPRODUCT((Inputs!$C$5:$C$140=$B18)*Inputs!$D$5:$D$140*(((Inputs!$G$5:$G$140="moeda")+(Inputs!$G$5:$G$140="acoes"))*Inputs!$B$1+((Inputs!$G$5:$G$140&lt;&gt;"moeda")*(Inputs!$G$5:$G$140&lt;&gt;"acoes")))*INDEX(Inputs!$K$5:$AJ$140,0,MATCH(AJ$2,Inputs!$K$4:$AJ$4,0)))+SUMPRODUCT((Inputs!$E$5:$E$140=$B18)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18" s="6" t="e">
        <f>IF(ISNA(MATCH(AK$2,Inputs!$K$4:$AJ$4,0)),NA(),IF(SUMPRODUCT((Inputs!$A$5:$A$140=$B18)*ISNUMBER(INDEX(Inputs!$K$5:$AJ$140,0,MATCH(AK$2,Inputs!$K$4:$AJ$4,0))))+SUMPRODUCT((Inputs!$C$5:$C$140=$B18)*ISNUMBER(INDEX(Inputs!$K$5:$AJ$140,0,MATCH(AK$2,Inputs!$K$4:$AJ$4,0))))+SUMPRODUCT((Inputs!$E$5:$E$140=$B18)*ISNUMBER(INDEX(Inputs!$K$5:$AJ$140,0,MATCH(AK$2,Inputs!$K$4:$AJ$4,0))))=0,NA(),SUMPRODUCT((Inputs!$A$5:$A$140=$B18)*Inputs!$B$5:$B$140*(((Inputs!$G$5:$G$140="moeda")+(Inputs!$G$5:$G$140="acoes"))*Inputs!$B$1+((Inputs!$G$5:$G$140&lt;&gt;"moeda")*(Inputs!$G$5:$G$140&lt;&gt;"acoes")))*INDEX(Inputs!$K$5:$AJ$140,0,MATCH(AK$2,Inputs!$K$4:$AJ$4,0)))+SUMPRODUCT((Inputs!$C$5:$C$140=$B18)*Inputs!$D$5:$D$140*(((Inputs!$G$5:$G$140="moeda")+(Inputs!$G$5:$G$140="acoes"))*Inputs!$B$1+((Inputs!$G$5:$G$140&lt;&gt;"moeda")*(Inputs!$G$5:$G$140&lt;&gt;"acoes")))*INDEX(Inputs!$K$5:$AJ$140,0,MATCH(AK$2,Inputs!$K$4:$AJ$4,0)))+SUMPRODUCT((Inputs!$E$5:$E$140=$B18)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18" s="3" t="e">
        <f>AK18</f>
        <v>#N/A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$140=$B19)*ISNUMBER(INDEX(Inputs!$K$5:$AJ$140,0,MATCH(D$2,Inputs!$K$4:$AJ$4,0))))+SUMPRODUCT((Inputs!$C$5:$C$140=$B19)*ISNUMBER(INDEX(Inputs!$K$5:$AJ$140,0,MATCH(D$2,Inputs!$K$4:$AJ$4,0))))+SUMPRODUCT((Inputs!$E$5:$E$140=$B19)*ISNUMBER(INDEX(Inputs!$K$5:$AJ$140,0,MATCH(D$2,Inputs!$K$4:$AJ$4,0))))=0,NA(),SUMPRODUCT((Inputs!$A$5:$A$140=$B19)*Inputs!$B$5:$B$140*(((Inputs!$G$5:$G$140="moeda")+(Inputs!$G$5:$G$140="acoes"))*Inputs!$B$1+((Inputs!$G$5:$G$140&lt;&gt;"moeda")*(Inputs!$G$5:$G$140&lt;&gt;"acoes")))*INDEX(Inputs!$K$5:$AJ$140,0,MATCH(D$2,Inputs!$K$4:$AJ$4,0)))+SUMPRODUCT((Inputs!$C$5:$C$140=$B19)*Inputs!$D$5:$D$140*(((Inputs!$G$5:$G$140="moeda")+(Inputs!$G$5:$G$140="acoes"))*Inputs!$B$1+((Inputs!$G$5:$G$140&lt;&gt;"moeda")*(Inputs!$G$5:$G$140&lt;&gt;"acoes")))*INDEX(Inputs!$K$5:$AJ$140,0,MATCH(D$2,Inputs!$K$4:$AJ$4,0)))+SUMPRODUCT((Inputs!$E$5:$E$140=$B19)*Inputs!$F$5:$F$140*(((Inputs!$G$5:$G$140="moeda")+(Inputs!$G$5:$G$140="acoes"))*Inputs!$B$1+((Inputs!$G$5:$G$140&lt;&gt;"moeda")*(Inputs!$G$5:$G$140&lt;&gt;"acoes")))*INDEX(Inputs!$K$5:$AJ$140,0,MATCH(D$2,Inputs!$K$4:$AJ$4,0)))))</f>
        <v>7.755</v>
      </c>
      <c r="E19" s="6">
        <f>IF(ISNA(MATCH(E$2,Inputs!$K$4:$AJ$4,0)),NA(),IF(SUMPRODUCT((Inputs!$A$5:$A$140=$B19)*ISNUMBER(INDEX(Inputs!$K$5:$AJ$140,0,MATCH(E$2,Inputs!$K$4:$AJ$4,0))))+SUMPRODUCT((Inputs!$C$5:$C$140=$B19)*ISNUMBER(INDEX(Inputs!$K$5:$AJ$140,0,MATCH(E$2,Inputs!$K$4:$AJ$4,0))))+SUMPRODUCT((Inputs!$E$5:$E$140=$B19)*ISNUMBER(INDEX(Inputs!$K$5:$AJ$140,0,MATCH(E$2,Inputs!$K$4:$AJ$4,0))))=0,NA(),SUMPRODUCT((Inputs!$A$5:$A$140=$B19)*Inputs!$B$5:$B$140*(((Inputs!$G$5:$G$140="moeda")+(Inputs!$G$5:$G$140="acoes"))*Inputs!$B$1+((Inputs!$G$5:$G$140&lt;&gt;"moeda")*(Inputs!$G$5:$G$140&lt;&gt;"acoes")))*INDEX(Inputs!$K$5:$AJ$140,0,MATCH(E$2,Inputs!$K$4:$AJ$4,0)))+SUMPRODUCT((Inputs!$C$5:$C$140=$B19)*Inputs!$D$5:$D$140*(((Inputs!$G$5:$G$140="moeda")+(Inputs!$G$5:$G$140="acoes"))*Inputs!$B$1+((Inputs!$G$5:$G$140&lt;&gt;"moeda")*(Inputs!$G$5:$G$140&lt;&gt;"acoes")))*INDEX(Inputs!$K$5:$AJ$140,0,MATCH(E$2,Inputs!$K$4:$AJ$4,0)))+SUMPRODUCT((Inputs!$E$5:$E$140=$B19)*Inputs!$F$5:$F$140*(((Inputs!$G$5:$G$140="moeda")+(Inputs!$G$5:$G$140="acoes"))*Inputs!$B$1+((Inputs!$G$5:$G$140&lt;&gt;"moeda")*(Inputs!$G$5:$G$140&lt;&gt;"acoes")))*INDEX(Inputs!$K$5:$AJ$140,0,MATCH(E$2,Inputs!$K$4:$AJ$4,0)))))</f>
        <v>5.56</v>
      </c>
      <c r="F19" s="6">
        <f>IF(ISNA(MATCH(F$2,Inputs!$K$4:$AJ$4,0)),NA(),IF(SUMPRODUCT((Inputs!$A$5:$A$140=$B19)*ISNUMBER(INDEX(Inputs!$K$5:$AJ$140,0,MATCH(F$2,Inputs!$K$4:$AJ$4,0))))+SUMPRODUCT((Inputs!$C$5:$C$140=$B19)*ISNUMBER(INDEX(Inputs!$K$5:$AJ$140,0,MATCH(F$2,Inputs!$K$4:$AJ$4,0))))+SUMPRODUCT((Inputs!$E$5:$E$140=$B19)*ISNUMBER(INDEX(Inputs!$K$5:$AJ$140,0,MATCH(F$2,Inputs!$K$4:$AJ$4,0))))=0,NA(),SUMPRODUCT((Inputs!$A$5:$A$140=$B19)*Inputs!$B$5:$B$140*(((Inputs!$G$5:$G$140="moeda")+(Inputs!$G$5:$G$140="acoes"))*Inputs!$B$1+((Inputs!$G$5:$G$140&lt;&gt;"moeda")*(Inputs!$G$5:$G$140&lt;&gt;"acoes")))*INDEX(Inputs!$K$5:$AJ$140,0,MATCH(F$2,Inputs!$K$4:$AJ$4,0)))+SUMPRODUCT((Inputs!$C$5:$C$140=$B19)*Inputs!$D$5:$D$140*(((Inputs!$G$5:$G$140="moeda")+(Inputs!$G$5:$G$140="acoes"))*Inputs!$B$1+((Inputs!$G$5:$G$140&lt;&gt;"moeda")*(Inputs!$G$5:$G$140&lt;&gt;"acoes")))*INDEX(Inputs!$K$5:$AJ$140,0,MATCH(F$2,Inputs!$K$4:$AJ$4,0)))+SUMPRODUCT((Inputs!$E$5:$E$140=$B19)*Inputs!$F$5:$F$140*(((Inputs!$G$5:$G$140="moeda")+(Inputs!$G$5:$G$140="acoes"))*Inputs!$B$1+((Inputs!$G$5:$G$140&lt;&gt;"moeda")*(Inputs!$G$5:$G$140&lt;&gt;"acoes")))*INDEX(Inputs!$K$5:$AJ$140,0,MATCH(F$2,Inputs!$K$4:$AJ$4,0)))))</f>
        <v>9.083</v>
      </c>
      <c r="G19" s="6">
        <f>IF(ISNA(MATCH(G$2,Inputs!$K$4:$AJ$4,0)),NA(),IF(SUMPRODUCT((Inputs!$A$5:$A$140=$B19)*ISNUMBER(INDEX(Inputs!$K$5:$AJ$140,0,MATCH(G$2,Inputs!$K$4:$AJ$4,0))))+SUMPRODUCT((Inputs!$C$5:$C$140=$B19)*ISNUMBER(INDEX(Inputs!$K$5:$AJ$140,0,MATCH(G$2,Inputs!$K$4:$AJ$4,0))))+SUMPRODUCT((Inputs!$E$5:$E$140=$B19)*ISNUMBER(INDEX(Inputs!$K$5:$AJ$140,0,MATCH(G$2,Inputs!$K$4:$AJ$4,0))))=0,NA(),SUMPRODUCT((Inputs!$A$5:$A$140=$B19)*Inputs!$B$5:$B$140*(((Inputs!$G$5:$G$140="moeda")+(Inputs!$G$5:$G$140="acoes"))*Inputs!$B$1+((Inputs!$G$5:$G$140&lt;&gt;"moeda")*(Inputs!$G$5:$G$140&lt;&gt;"acoes")))*INDEX(Inputs!$K$5:$AJ$140,0,MATCH(G$2,Inputs!$K$4:$AJ$4,0)))+SUMPRODUCT((Inputs!$C$5:$C$140=$B19)*Inputs!$D$5:$D$140*(((Inputs!$G$5:$G$140="moeda")+(Inputs!$G$5:$G$140="acoes"))*Inputs!$B$1+((Inputs!$G$5:$G$140&lt;&gt;"moeda")*(Inputs!$G$5:$G$140&lt;&gt;"acoes")))*INDEX(Inputs!$K$5:$AJ$140,0,MATCH(G$2,Inputs!$K$4:$AJ$4,0)))+SUMPRODUCT((Inputs!$E$5:$E$140=$B19)*Inputs!$F$5:$F$140*(((Inputs!$G$5:$G$140="moeda")+(Inputs!$G$5:$G$140="acoes"))*Inputs!$B$1+((Inputs!$G$5:$G$140&lt;&gt;"moeda")*(Inputs!$G$5:$G$140&lt;&gt;"acoes")))*INDEX(Inputs!$K$5:$AJ$140,0,MATCH(G$2,Inputs!$K$4:$AJ$4,0)))))</f>
        <v>6.611</v>
      </c>
      <c r="H19" s="3">
        <f>G19</f>
        <v>6.611</v>
      </c>
      <c r="I19" s="6">
        <f>IF(ISNA(MATCH(I$2,Inputs!$K$4:$AJ$4,0)),NA(),IF(SUMPRODUCT((Inputs!$A$5:$A$140=$B19)*ISNUMBER(INDEX(Inputs!$K$5:$AJ$140,0,MATCH(I$2,Inputs!$K$4:$AJ$4,0))))+SUMPRODUCT((Inputs!$C$5:$C$140=$B19)*ISNUMBER(INDEX(Inputs!$K$5:$AJ$140,0,MATCH(I$2,Inputs!$K$4:$AJ$4,0))))+SUMPRODUCT((Inputs!$E$5:$E$140=$B19)*ISNUMBER(INDEX(Inputs!$K$5:$AJ$140,0,MATCH(I$2,Inputs!$K$4:$AJ$4,0))))=0,NA(),SUMPRODUCT((Inputs!$A$5:$A$140=$B19)*Inputs!$B$5:$B$140*(((Inputs!$G$5:$G$140="moeda")+(Inputs!$G$5:$G$140="acoes"))*Inputs!$B$1+((Inputs!$G$5:$G$140&lt;&gt;"moeda")*(Inputs!$G$5:$G$140&lt;&gt;"acoes")))*INDEX(Inputs!$K$5:$AJ$140,0,MATCH(I$2,Inputs!$K$4:$AJ$4,0)))+SUMPRODUCT((Inputs!$C$5:$C$140=$B19)*Inputs!$D$5:$D$140*(((Inputs!$G$5:$G$140="moeda")+(Inputs!$G$5:$G$140="acoes"))*Inputs!$B$1+((Inputs!$G$5:$G$140&lt;&gt;"moeda")*(Inputs!$G$5:$G$140&lt;&gt;"acoes")))*INDEX(Inputs!$K$5:$AJ$140,0,MATCH(I$2,Inputs!$K$4:$AJ$4,0)))+SUMPRODUCT((Inputs!$E$5:$E$140=$B19)*Inputs!$F$5:$F$140*(((Inputs!$G$5:$G$140="moeda")+(Inputs!$G$5:$G$140="acoes"))*Inputs!$B$1+((Inputs!$G$5:$G$140&lt;&gt;"moeda")*(Inputs!$G$5:$G$140&lt;&gt;"acoes")))*INDEX(Inputs!$K$5:$AJ$140,0,MATCH(I$2,Inputs!$K$4:$AJ$4,0)))))</f>
        <v>6.676</v>
      </c>
      <c r="J19" s="6">
        <f>IF(ISNA(MATCH(J$2,Inputs!$K$4:$AJ$4,0)),NA(),IF(SUMPRODUCT((Inputs!$A$5:$A$140=$B19)*ISNUMBER(INDEX(Inputs!$K$5:$AJ$140,0,MATCH(J$2,Inputs!$K$4:$AJ$4,0))))+SUMPRODUCT((Inputs!$C$5:$C$140=$B19)*ISNUMBER(INDEX(Inputs!$K$5:$AJ$140,0,MATCH(J$2,Inputs!$K$4:$AJ$4,0))))+SUMPRODUCT((Inputs!$E$5:$E$140=$B19)*ISNUMBER(INDEX(Inputs!$K$5:$AJ$140,0,MATCH(J$2,Inputs!$K$4:$AJ$4,0))))=0,NA(),SUMPRODUCT((Inputs!$A$5:$A$140=$B19)*Inputs!$B$5:$B$140*(((Inputs!$G$5:$G$140="moeda")+(Inputs!$G$5:$G$140="acoes"))*Inputs!$B$1+((Inputs!$G$5:$G$140&lt;&gt;"moeda")*(Inputs!$G$5:$G$140&lt;&gt;"acoes")))*INDEX(Inputs!$K$5:$AJ$140,0,MATCH(J$2,Inputs!$K$4:$AJ$4,0)))+SUMPRODUCT((Inputs!$C$5:$C$140=$B19)*Inputs!$D$5:$D$140*(((Inputs!$G$5:$G$140="moeda")+(Inputs!$G$5:$G$140="acoes"))*Inputs!$B$1+((Inputs!$G$5:$G$140&lt;&gt;"moeda")*(Inputs!$G$5:$G$140&lt;&gt;"acoes")))*INDEX(Inputs!$K$5:$AJ$140,0,MATCH(J$2,Inputs!$K$4:$AJ$4,0)))+SUMPRODUCT((Inputs!$E$5:$E$140=$B19)*Inputs!$F$5:$F$140*(((Inputs!$G$5:$G$140="moeda")+(Inputs!$G$5:$G$140="acoes"))*Inputs!$B$1+((Inputs!$G$5:$G$140&lt;&gt;"moeda")*(Inputs!$G$5:$G$140&lt;&gt;"acoes")))*INDEX(Inputs!$K$5:$AJ$140,0,MATCH(J$2,Inputs!$K$4:$AJ$4,0)))))</f>
        <v>6.582</v>
      </c>
      <c r="K19" s="6">
        <f>IF(ISNA(MATCH(K$2,Inputs!$K$4:$AJ$4,0)),NA(),IF(SUMPRODUCT((Inputs!$A$5:$A$140=$B19)*ISNUMBER(INDEX(Inputs!$K$5:$AJ$140,0,MATCH(K$2,Inputs!$K$4:$AJ$4,0))))+SUMPRODUCT((Inputs!$C$5:$C$140=$B19)*ISNUMBER(INDEX(Inputs!$K$5:$AJ$140,0,MATCH(K$2,Inputs!$K$4:$AJ$4,0))))+SUMPRODUCT((Inputs!$E$5:$E$140=$B19)*ISNUMBER(INDEX(Inputs!$K$5:$AJ$140,0,MATCH(K$2,Inputs!$K$4:$AJ$4,0))))=0,NA(),SUMPRODUCT((Inputs!$A$5:$A$140=$B19)*Inputs!$B$5:$B$140*(((Inputs!$G$5:$G$140="moeda")+(Inputs!$G$5:$G$140="acoes"))*Inputs!$B$1+((Inputs!$G$5:$G$140&lt;&gt;"moeda")*(Inputs!$G$5:$G$140&lt;&gt;"acoes")))*INDEX(Inputs!$K$5:$AJ$140,0,MATCH(K$2,Inputs!$K$4:$AJ$4,0)))+SUMPRODUCT((Inputs!$C$5:$C$140=$B19)*Inputs!$D$5:$D$140*(((Inputs!$G$5:$G$140="moeda")+(Inputs!$G$5:$G$140="acoes"))*Inputs!$B$1+((Inputs!$G$5:$G$140&lt;&gt;"moeda")*(Inputs!$G$5:$G$140&lt;&gt;"acoes")))*INDEX(Inputs!$K$5:$AJ$140,0,MATCH(K$2,Inputs!$K$4:$AJ$4,0)))+SUMPRODUCT((Inputs!$E$5:$E$140=$B19)*Inputs!$F$5:$F$140*(((Inputs!$G$5:$G$140="moeda")+(Inputs!$G$5:$G$140="acoes"))*Inputs!$B$1+((Inputs!$G$5:$G$140&lt;&gt;"moeda")*(Inputs!$G$5:$G$140&lt;&gt;"acoes")))*INDEX(Inputs!$K$5:$AJ$140,0,MATCH(K$2,Inputs!$K$4:$AJ$4,0)))))</f>
        <v>8.343</v>
      </c>
      <c r="L19" s="6">
        <f>IF(ISNA(MATCH(L$2,Inputs!$K$4:$AJ$4,0)),NA(),IF(SUMPRODUCT((Inputs!$A$5:$A$140=$B19)*ISNUMBER(INDEX(Inputs!$K$5:$AJ$140,0,MATCH(L$2,Inputs!$K$4:$AJ$4,0))))+SUMPRODUCT((Inputs!$C$5:$C$140=$B19)*ISNUMBER(INDEX(Inputs!$K$5:$AJ$140,0,MATCH(L$2,Inputs!$K$4:$AJ$4,0))))+SUMPRODUCT((Inputs!$E$5:$E$140=$B19)*ISNUMBER(INDEX(Inputs!$K$5:$AJ$140,0,MATCH(L$2,Inputs!$K$4:$AJ$4,0))))=0,NA(),SUMPRODUCT((Inputs!$A$5:$A$140=$B19)*Inputs!$B$5:$B$140*(((Inputs!$G$5:$G$140="moeda")+(Inputs!$G$5:$G$140="acoes"))*Inputs!$B$1+((Inputs!$G$5:$G$140&lt;&gt;"moeda")*(Inputs!$G$5:$G$140&lt;&gt;"acoes")))*INDEX(Inputs!$K$5:$AJ$140,0,MATCH(L$2,Inputs!$K$4:$AJ$4,0)))+SUMPRODUCT((Inputs!$C$5:$C$140=$B19)*Inputs!$D$5:$D$140*(((Inputs!$G$5:$G$140="moeda")+(Inputs!$G$5:$G$140="acoes"))*Inputs!$B$1+((Inputs!$G$5:$G$140&lt;&gt;"moeda")*(Inputs!$G$5:$G$140&lt;&gt;"acoes")))*INDEX(Inputs!$K$5:$AJ$140,0,MATCH(L$2,Inputs!$K$4:$AJ$4,0)))+SUMPRODUCT((Inputs!$E$5:$E$140=$B19)*Inputs!$F$5:$F$140*(((Inputs!$G$5:$G$140="moeda")+(Inputs!$G$5:$G$140="acoes"))*Inputs!$B$1+((Inputs!$G$5:$G$140&lt;&gt;"moeda")*(Inputs!$G$5:$G$140&lt;&gt;"acoes")))*INDEX(Inputs!$K$5:$AJ$140,0,MATCH(L$2,Inputs!$K$4:$AJ$4,0)))))</f>
        <v>7.297</v>
      </c>
      <c r="M19" s="3">
        <f>L19</f>
        <v>7.297</v>
      </c>
      <c r="N19" s="6">
        <f>IF(ISNA(MATCH(N$2,Inputs!$K$4:$AJ$4,0)),NA(),IF(SUMPRODUCT((Inputs!$A$5:$A$140=$B19)*ISNUMBER(INDEX(Inputs!$K$5:$AJ$140,0,MATCH(N$2,Inputs!$K$4:$AJ$4,0))))+SUMPRODUCT((Inputs!$C$5:$C$140=$B19)*ISNUMBER(INDEX(Inputs!$K$5:$AJ$140,0,MATCH(N$2,Inputs!$K$4:$AJ$4,0))))+SUMPRODUCT((Inputs!$E$5:$E$140=$B19)*ISNUMBER(INDEX(Inputs!$K$5:$AJ$140,0,MATCH(N$2,Inputs!$K$4:$AJ$4,0))))=0,NA(),SUMPRODUCT((Inputs!$A$5:$A$140=$B19)*Inputs!$B$5:$B$140*(((Inputs!$G$5:$G$140="moeda")+(Inputs!$G$5:$G$140="acoes"))*Inputs!$B$1+((Inputs!$G$5:$G$140&lt;&gt;"moeda")*(Inputs!$G$5:$G$140&lt;&gt;"acoes")))*INDEX(Inputs!$K$5:$AJ$140,0,MATCH(N$2,Inputs!$K$4:$AJ$4,0)))+SUMPRODUCT((Inputs!$C$5:$C$140=$B19)*Inputs!$D$5:$D$140*(((Inputs!$G$5:$G$140="moeda")+(Inputs!$G$5:$G$140="acoes"))*Inputs!$B$1+((Inputs!$G$5:$G$140&lt;&gt;"moeda")*(Inputs!$G$5:$G$140&lt;&gt;"acoes")))*INDEX(Inputs!$K$5:$AJ$140,0,MATCH(N$2,Inputs!$K$4:$AJ$4,0)))+SUMPRODUCT((Inputs!$E$5:$E$140=$B19)*Inputs!$F$5:$F$140*(((Inputs!$G$5:$G$140="moeda")+(Inputs!$G$5:$G$140="acoes"))*Inputs!$B$1+((Inputs!$G$5:$G$140&lt;&gt;"moeda")*(Inputs!$G$5:$G$140&lt;&gt;"acoes")))*INDEX(Inputs!$K$5:$AJ$140,0,MATCH(N$2,Inputs!$K$4:$AJ$4,0)))))</f>
        <v>7.108</v>
      </c>
      <c r="O19" s="6">
        <f>IF(ISNA(MATCH(O$2,Inputs!$K$4:$AJ$4,0)),NA(),IF(SUMPRODUCT((Inputs!$A$5:$A$140=$B19)*ISNUMBER(INDEX(Inputs!$K$5:$AJ$140,0,MATCH(O$2,Inputs!$K$4:$AJ$4,0))))+SUMPRODUCT((Inputs!$C$5:$C$140=$B19)*ISNUMBER(INDEX(Inputs!$K$5:$AJ$140,0,MATCH(O$2,Inputs!$K$4:$AJ$4,0))))+SUMPRODUCT((Inputs!$E$5:$E$140=$B19)*ISNUMBER(INDEX(Inputs!$K$5:$AJ$140,0,MATCH(O$2,Inputs!$K$4:$AJ$4,0))))=0,NA(),SUMPRODUCT((Inputs!$A$5:$A$140=$B19)*Inputs!$B$5:$B$140*(((Inputs!$G$5:$G$140="moeda")+(Inputs!$G$5:$G$140="acoes"))*Inputs!$B$1+((Inputs!$G$5:$G$140&lt;&gt;"moeda")*(Inputs!$G$5:$G$140&lt;&gt;"acoes")))*INDEX(Inputs!$K$5:$AJ$140,0,MATCH(O$2,Inputs!$K$4:$AJ$4,0)))+SUMPRODUCT((Inputs!$C$5:$C$140=$B19)*Inputs!$D$5:$D$140*(((Inputs!$G$5:$G$140="moeda")+(Inputs!$G$5:$G$140="acoes"))*Inputs!$B$1+((Inputs!$G$5:$G$140&lt;&gt;"moeda")*(Inputs!$G$5:$G$140&lt;&gt;"acoes")))*INDEX(Inputs!$K$5:$AJ$140,0,MATCH(O$2,Inputs!$K$4:$AJ$4,0)))+SUMPRODUCT((Inputs!$E$5:$E$140=$B19)*Inputs!$F$5:$F$140*(((Inputs!$G$5:$G$140="moeda")+(Inputs!$G$5:$G$140="acoes"))*Inputs!$B$1+((Inputs!$G$5:$G$140&lt;&gt;"moeda")*(Inputs!$G$5:$G$140&lt;&gt;"acoes")))*INDEX(Inputs!$K$5:$AJ$140,0,MATCH(O$2,Inputs!$K$4:$AJ$4,0)))))</f>
        <v>9.562</v>
      </c>
      <c r="P19" s="6">
        <f>IF(ISNA(MATCH(P$2,Inputs!$K$4:$AJ$4,0)),NA(),IF(SUMPRODUCT((Inputs!$A$5:$A$140=$B19)*ISNUMBER(INDEX(Inputs!$K$5:$AJ$140,0,MATCH(P$2,Inputs!$K$4:$AJ$4,0))))+SUMPRODUCT((Inputs!$C$5:$C$140=$B19)*ISNUMBER(INDEX(Inputs!$K$5:$AJ$140,0,MATCH(P$2,Inputs!$K$4:$AJ$4,0))))+SUMPRODUCT((Inputs!$E$5:$E$140=$B19)*ISNUMBER(INDEX(Inputs!$K$5:$AJ$140,0,MATCH(P$2,Inputs!$K$4:$AJ$4,0))))=0,NA(),SUMPRODUCT((Inputs!$A$5:$A$140=$B19)*Inputs!$B$5:$B$140*(((Inputs!$G$5:$G$140="moeda")+(Inputs!$G$5:$G$140="acoes"))*Inputs!$B$1+((Inputs!$G$5:$G$140&lt;&gt;"moeda")*(Inputs!$G$5:$G$140&lt;&gt;"acoes")))*INDEX(Inputs!$K$5:$AJ$140,0,MATCH(P$2,Inputs!$K$4:$AJ$4,0)))+SUMPRODUCT((Inputs!$C$5:$C$140=$B19)*Inputs!$D$5:$D$140*(((Inputs!$G$5:$G$140="moeda")+(Inputs!$G$5:$G$140="acoes"))*Inputs!$B$1+((Inputs!$G$5:$G$140&lt;&gt;"moeda")*(Inputs!$G$5:$G$140&lt;&gt;"acoes")))*INDEX(Inputs!$K$5:$AJ$140,0,MATCH(P$2,Inputs!$K$4:$AJ$4,0)))+SUMPRODUCT((Inputs!$E$5:$E$140=$B19)*Inputs!$F$5:$F$140*(((Inputs!$G$5:$G$140="moeda")+(Inputs!$G$5:$G$140="acoes"))*Inputs!$B$1+((Inputs!$G$5:$G$140&lt;&gt;"moeda")*(Inputs!$G$5:$G$140&lt;&gt;"acoes")))*INDEX(Inputs!$K$5:$AJ$140,0,MATCH(P$2,Inputs!$K$4:$AJ$4,0)))))</f>
        <v>11.558</v>
      </c>
      <c r="Q19" s="6">
        <f>IF(ISNA(MATCH(Q$2,Inputs!$K$4:$AJ$4,0)),NA(),IF(SUMPRODUCT((Inputs!$A$5:$A$140=$B19)*ISNUMBER(INDEX(Inputs!$K$5:$AJ$140,0,MATCH(Q$2,Inputs!$K$4:$AJ$4,0))))+SUMPRODUCT((Inputs!$C$5:$C$140=$B19)*ISNUMBER(INDEX(Inputs!$K$5:$AJ$140,0,MATCH(Q$2,Inputs!$K$4:$AJ$4,0))))+SUMPRODUCT((Inputs!$E$5:$E$140=$B19)*ISNUMBER(INDEX(Inputs!$K$5:$AJ$140,0,MATCH(Q$2,Inputs!$K$4:$AJ$4,0))))=0,NA(),SUMPRODUCT((Inputs!$A$5:$A$140=$B19)*Inputs!$B$5:$B$140*(((Inputs!$G$5:$G$140="moeda")+(Inputs!$G$5:$G$140="acoes"))*Inputs!$B$1+((Inputs!$G$5:$G$140&lt;&gt;"moeda")*(Inputs!$G$5:$G$140&lt;&gt;"acoes")))*INDEX(Inputs!$K$5:$AJ$140,0,MATCH(Q$2,Inputs!$K$4:$AJ$4,0)))+SUMPRODUCT((Inputs!$C$5:$C$140=$B19)*Inputs!$D$5:$D$140*(((Inputs!$G$5:$G$140="moeda")+(Inputs!$G$5:$G$140="acoes"))*Inputs!$B$1+((Inputs!$G$5:$G$140&lt;&gt;"moeda")*(Inputs!$G$5:$G$140&lt;&gt;"acoes")))*INDEX(Inputs!$K$5:$AJ$140,0,MATCH(Q$2,Inputs!$K$4:$AJ$4,0)))+SUMPRODUCT((Inputs!$E$5:$E$140=$B19)*Inputs!$F$5:$F$140*(((Inputs!$G$5:$G$140="moeda")+(Inputs!$G$5:$G$140="acoes"))*Inputs!$B$1+((Inputs!$G$5:$G$140&lt;&gt;"moeda")*(Inputs!$G$5:$G$140&lt;&gt;"acoes")))*INDEX(Inputs!$K$5:$AJ$140,0,MATCH(Q$2,Inputs!$K$4:$AJ$4,0)))))</f>
        <v>13.547</v>
      </c>
      <c r="R19" s="3">
        <f>Q19</f>
        <v>13.547</v>
      </c>
      <c r="S19" s="6">
        <f>IF(ISNA(MATCH(S$2,Inputs!$K$4:$AJ$4,0)),NA(),IF(SUMPRODUCT((Inputs!$A$5:$A$140=$B19)*ISNUMBER(INDEX(Inputs!$K$5:$AJ$140,0,MATCH(S$2,Inputs!$K$4:$AJ$4,0))))+SUMPRODUCT((Inputs!$C$5:$C$140=$B19)*ISNUMBER(INDEX(Inputs!$K$5:$AJ$140,0,MATCH(S$2,Inputs!$K$4:$AJ$4,0))))+SUMPRODUCT((Inputs!$E$5:$E$140=$B19)*ISNUMBER(INDEX(Inputs!$K$5:$AJ$140,0,MATCH(S$2,Inputs!$K$4:$AJ$4,0))))=0,NA(),SUMPRODUCT((Inputs!$A$5:$A$140=$B19)*Inputs!$B$5:$B$140*(((Inputs!$G$5:$G$140="moeda")+(Inputs!$G$5:$G$140="acoes"))*Inputs!$B$1+((Inputs!$G$5:$G$140&lt;&gt;"moeda")*(Inputs!$G$5:$G$140&lt;&gt;"acoes")))*INDEX(Inputs!$K$5:$AJ$140,0,MATCH(S$2,Inputs!$K$4:$AJ$4,0)))+SUMPRODUCT((Inputs!$C$5:$C$140=$B19)*Inputs!$D$5:$D$140*(((Inputs!$G$5:$G$140="moeda")+(Inputs!$G$5:$G$140="acoes"))*Inputs!$B$1+((Inputs!$G$5:$G$140&lt;&gt;"moeda")*(Inputs!$G$5:$G$140&lt;&gt;"acoes")))*INDEX(Inputs!$K$5:$AJ$140,0,MATCH(S$2,Inputs!$K$4:$AJ$4,0)))+SUMPRODUCT((Inputs!$E$5:$E$140=$B19)*Inputs!$F$5:$F$140*(((Inputs!$G$5:$G$140="moeda")+(Inputs!$G$5:$G$140="acoes"))*Inputs!$B$1+((Inputs!$G$5:$G$140&lt;&gt;"moeda")*(Inputs!$G$5:$G$140&lt;&gt;"acoes")))*INDEX(Inputs!$K$5:$AJ$140,0,MATCH(S$2,Inputs!$K$4:$AJ$4,0)))))</f>
        <v>9.839</v>
      </c>
      <c r="T19" s="6">
        <f>IF(ISNA(MATCH(T$2,Inputs!$K$4:$AJ$4,0)),NA(),IF(SUMPRODUCT((Inputs!$A$5:$A$140=$B19)*ISNUMBER(INDEX(Inputs!$K$5:$AJ$140,0,MATCH(T$2,Inputs!$K$4:$AJ$4,0))))+SUMPRODUCT((Inputs!$C$5:$C$140=$B19)*ISNUMBER(INDEX(Inputs!$K$5:$AJ$140,0,MATCH(T$2,Inputs!$K$4:$AJ$4,0))))+SUMPRODUCT((Inputs!$E$5:$E$140=$B19)*ISNUMBER(INDEX(Inputs!$K$5:$AJ$140,0,MATCH(T$2,Inputs!$K$4:$AJ$4,0))))=0,NA(),SUMPRODUCT((Inputs!$A$5:$A$140=$B19)*Inputs!$B$5:$B$140*(((Inputs!$G$5:$G$140="moeda")+(Inputs!$G$5:$G$140="acoes"))*Inputs!$B$1+((Inputs!$G$5:$G$140&lt;&gt;"moeda")*(Inputs!$G$5:$G$140&lt;&gt;"acoes")))*INDEX(Inputs!$K$5:$AJ$140,0,MATCH(T$2,Inputs!$K$4:$AJ$4,0)))+SUMPRODUCT((Inputs!$C$5:$C$140=$B19)*Inputs!$D$5:$D$140*(((Inputs!$G$5:$G$140="moeda")+(Inputs!$G$5:$G$140="acoes"))*Inputs!$B$1+((Inputs!$G$5:$G$140&lt;&gt;"moeda")*(Inputs!$G$5:$G$140&lt;&gt;"acoes")))*INDEX(Inputs!$K$5:$AJ$140,0,MATCH(T$2,Inputs!$K$4:$AJ$4,0)))+SUMPRODUCT((Inputs!$E$5:$E$140=$B19)*Inputs!$F$5:$F$140*(((Inputs!$G$5:$G$140="moeda")+(Inputs!$G$5:$G$140="acoes"))*Inputs!$B$1+((Inputs!$G$5:$G$140&lt;&gt;"moeda")*(Inputs!$G$5:$G$140&lt;&gt;"acoes")))*INDEX(Inputs!$K$5:$AJ$140,0,MATCH(T$2,Inputs!$K$4:$AJ$4,0)))))</f>
        <v>26.07</v>
      </c>
      <c r="U19" s="6">
        <f>IF(ISNA(MATCH(U$2,Inputs!$K$4:$AJ$4,0)),NA(),IF(SUMPRODUCT((Inputs!$A$5:$A$140=$B19)*ISNUMBER(INDEX(Inputs!$K$5:$AJ$140,0,MATCH(U$2,Inputs!$K$4:$AJ$4,0))))+SUMPRODUCT((Inputs!$C$5:$C$140=$B19)*ISNUMBER(INDEX(Inputs!$K$5:$AJ$140,0,MATCH(U$2,Inputs!$K$4:$AJ$4,0))))+SUMPRODUCT((Inputs!$E$5:$E$140=$B19)*ISNUMBER(INDEX(Inputs!$K$5:$AJ$140,0,MATCH(U$2,Inputs!$K$4:$AJ$4,0))))=0,NA(),SUMPRODUCT((Inputs!$A$5:$A$140=$B19)*Inputs!$B$5:$B$140*(((Inputs!$G$5:$G$140="moeda")+(Inputs!$G$5:$G$140="acoes"))*Inputs!$B$1+((Inputs!$G$5:$G$140&lt;&gt;"moeda")*(Inputs!$G$5:$G$140&lt;&gt;"acoes")))*INDEX(Inputs!$K$5:$AJ$140,0,MATCH(U$2,Inputs!$K$4:$AJ$4,0)))+SUMPRODUCT((Inputs!$C$5:$C$140=$B19)*Inputs!$D$5:$D$140*(((Inputs!$G$5:$G$140="moeda")+(Inputs!$G$5:$G$140="acoes"))*Inputs!$B$1+((Inputs!$G$5:$G$140&lt;&gt;"moeda")*(Inputs!$G$5:$G$140&lt;&gt;"acoes")))*INDEX(Inputs!$K$5:$AJ$140,0,MATCH(U$2,Inputs!$K$4:$AJ$4,0)))+SUMPRODUCT((Inputs!$E$5:$E$140=$B19)*Inputs!$F$5:$F$140*(((Inputs!$G$5:$G$140="moeda")+(Inputs!$G$5:$G$140="acoes"))*Inputs!$B$1+((Inputs!$G$5:$G$140&lt;&gt;"moeda")*(Inputs!$G$5:$G$140&lt;&gt;"acoes")))*INDEX(Inputs!$K$5:$AJ$140,0,MATCH(U$2,Inputs!$K$4:$AJ$4,0)))))</f>
        <v>15.022</v>
      </c>
      <c r="V19" s="6">
        <f>IF(ISNA(MATCH(V$2,Inputs!$K$4:$AJ$4,0)),NA(),IF(SUMPRODUCT((Inputs!$A$5:$A$140=$B19)*ISNUMBER(INDEX(Inputs!$K$5:$AJ$140,0,MATCH(V$2,Inputs!$K$4:$AJ$4,0))))+SUMPRODUCT((Inputs!$C$5:$C$140=$B19)*ISNUMBER(INDEX(Inputs!$K$5:$AJ$140,0,MATCH(V$2,Inputs!$K$4:$AJ$4,0))))+SUMPRODUCT((Inputs!$E$5:$E$140=$B19)*ISNUMBER(INDEX(Inputs!$K$5:$AJ$140,0,MATCH(V$2,Inputs!$K$4:$AJ$4,0))))=0,NA(),SUMPRODUCT((Inputs!$A$5:$A$140=$B19)*Inputs!$B$5:$B$140*(((Inputs!$G$5:$G$140="moeda")+(Inputs!$G$5:$G$140="acoes"))*Inputs!$B$1+((Inputs!$G$5:$G$140&lt;&gt;"moeda")*(Inputs!$G$5:$G$140&lt;&gt;"acoes")))*INDEX(Inputs!$K$5:$AJ$140,0,MATCH(V$2,Inputs!$K$4:$AJ$4,0)))+SUMPRODUCT((Inputs!$C$5:$C$140=$B19)*Inputs!$D$5:$D$140*(((Inputs!$G$5:$G$140="moeda")+(Inputs!$G$5:$G$140="acoes"))*Inputs!$B$1+((Inputs!$G$5:$G$140&lt;&gt;"moeda")*(Inputs!$G$5:$G$140&lt;&gt;"acoes")))*INDEX(Inputs!$K$5:$AJ$140,0,MATCH(V$2,Inputs!$K$4:$AJ$4,0)))+SUMPRODUCT((Inputs!$E$5:$E$140=$B19)*Inputs!$F$5:$F$140*(((Inputs!$G$5:$G$140="moeda")+(Inputs!$G$5:$G$140="acoes"))*Inputs!$B$1+((Inputs!$G$5:$G$140&lt;&gt;"moeda")*(Inputs!$G$5:$G$140&lt;&gt;"acoes")))*INDEX(Inputs!$K$5:$AJ$140,0,MATCH(V$2,Inputs!$K$4:$AJ$4,0)))))</f>
        <v>17.033</v>
      </c>
      <c r="W19" s="3">
        <f>V19</f>
        <v>17.033</v>
      </c>
      <c r="X19" s="6">
        <f>IF(ISNA(MATCH(X$2,Inputs!$K$4:$AJ$4,0)),NA(),IF(SUMPRODUCT((Inputs!$A$5:$A$140=$B19)*ISNUMBER(INDEX(Inputs!$K$5:$AJ$140,0,MATCH(X$2,Inputs!$K$4:$AJ$4,0))))+SUMPRODUCT((Inputs!$C$5:$C$140=$B19)*ISNUMBER(INDEX(Inputs!$K$5:$AJ$140,0,MATCH(X$2,Inputs!$K$4:$AJ$4,0))))+SUMPRODUCT((Inputs!$E$5:$E$140=$B19)*ISNUMBER(INDEX(Inputs!$K$5:$AJ$140,0,MATCH(X$2,Inputs!$K$4:$AJ$4,0))))=0,NA(),SUMPRODUCT((Inputs!$A$5:$A$140=$B19)*Inputs!$B$5:$B$140*(((Inputs!$G$5:$G$140="moeda")+(Inputs!$G$5:$G$140="acoes"))*Inputs!$B$1+((Inputs!$G$5:$G$140&lt;&gt;"moeda")*(Inputs!$G$5:$G$140&lt;&gt;"acoes")))*INDEX(Inputs!$K$5:$AJ$140,0,MATCH(X$2,Inputs!$K$4:$AJ$4,0)))+SUMPRODUCT((Inputs!$C$5:$C$140=$B19)*Inputs!$D$5:$D$140*(((Inputs!$G$5:$G$140="moeda")+(Inputs!$G$5:$G$140="acoes"))*Inputs!$B$1+((Inputs!$G$5:$G$140&lt;&gt;"moeda")*(Inputs!$G$5:$G$140&lt;&gt;"acoes")))*INDEX(Inputs!$K$5:$AJ$140,0,MATCH(X$2,Inputs!$K$4:$AJ$4,0)))+SUMPRODUCT((Inputs!$E$5:$E$140=$B19)*Inputs!$F$5:$F$140*(((Inputs!$G$5:$G$140="moeda")+(Inputs!$G$5:$G$140="acoes"))*Inputs!$B$1+((Inputs!$G$5:$G$140&lt;&gt;"moeda")*(Inputs!$G$5:$G$140&lt;&gt;"acoes")))*INDEX(Inputs!$K$5:$AJ$140,0,MATCH(X$2,Inputs!$K$4:$AJ$4,0)))))</f>
        <v>15.238</v>
      </c>
      <c r="Y19" s="6">
        <f>IF(ISNA(MATCH(Y$2,Inputs!$K$4:$AJ$4,0)),NA(),IF(SUMPRODUCT((Inputs!$A$5:$A$140=$B19)*ISNUMBER(INDEX(Inputs!$K$5:$AJ$140,0,MATCH(Y$2,Inputs!$K$4:$AJ$4,0))))+SUMPRODUCT((Inputs!$C$5:$C$140=$B19)*ISNUMBER(INDEX(Inputs!$K$5:$AJ$140,0,MATCH(Y$2,Inputs!$K$4:$AJ$4,0))))+SUMPRODUCT((Inputs!$E$5:$E$140=$B19)*ISNUMBER(INDEX(Inputs!$K$5:$AJ$140,0,MATCH(Y$2,Inputs!$K$4:$AJ$4,0))))=0,NA(),SUMPRODUCT((Inputs!$A$5:$A$140=$B19)*Inputs!$B$5:$B$140*(((Inputs!$G$5:$G$140="moeda")+(Inputs!$G$5:$G$140="acoes"))*Inputs!$B$1+((Inputs!$G$5:$G$140&lt;&gt;"moeda")*(Inputs!$G$5:$G$140&lt;&gt;"acoes")))*INDEX(Inputs!$K$5:$AJ$140,0,MATCH(Y$2,Inputs!$K$4:$AJ$4,0)))+SUMPRODUCT((Inputs!$C$5:$C$140=$B19)*Inputs!$D$5:$D$140*(((Inputs!$G$5:$G$140="moeda")+(Inputs!$G$5:$G$140="acoes"))*Inputs!$B$1+((Inputs!$G$5:$G$140&lt;&gt;"moeda")*(Inputs!$G$5:$G$140&lt;&gt;"acoes")))*INDEX(Inputs!$K$5:$AJ$140,0,MATCH(Y$2,Inputs!$K$4:$AJ$4,0)))+SUMPRODUCT((Inputs!$E$5:$E$140=$B19)*Inputs!$F$5:$F$140*(((Inputs!$G$5:$G$140="moeda")+(Inputs!$G$5:$G$140="acoes"))*Inputs!$B$1+((Inputs!$G$5:$G$140&lt;&gt;"moeda")*(Inputs!$G$5:$G$140&lt;&gt;"acoes")))*INDEX(Inputs!$K$5:$AJ$140,0,MATCH(Y$2,Inputs!$K$4:$AJ$4,0)))))</f>
        <v>8.316</v>
      </c>
      <c r="Z19" s="6">
        <f>IF(ISNA(MATCH(Z$2,Inputs!$K$4:$AJ$4,0)),NA(),IF(SUMPRODUCT((Inputs!$A$5:$A$140=$B19)*ISNUMBER(INDEX(Inputs!$K$5:$AJ$140,0,MATCH(Z$2,Inputs!$K$4:$AJ$4,0))))+SUMPRODUCT((Inputs!$C$5:$C$140=$B19)*ISNUMBER(INDEX(Inputs!$K$5:$AJ$140,0,MATCH(Z$2,Inputs!$K$4:$AJ$4,0))))+SUMPRODUCT((Inputs!$E$5:$E$140=$B19)*ISNUMBER(INDEX(Inputs!$K$5:$AJ$140,0,MATCH(Z$2,Inputs!$K$4:$AJ$4,0))))=0,NA(),SUMPRODUCT((Inputs!$A$5:$A$140=$B19)*Inputs!$B$5:$B$140*(((Inputs!$G$5:$G$140="moeda")+(Inputs!$G$5:$G$140="acoes"))*Inputs!$B$1+((Inputs!$G$5:$G$140&lt;&gt;"moeda")*(Inputs!$G$5:$G$140&lt;&gt;"acoes")))*INDEX(Inputs!$K$5:$AJ$140,0,MATCH(Z$2,Inputs!$K$4:$AJ$4,0)))+SUMPRODUCT((Inputs!$C$5:$C$140=$B19)*Inputs!$D$5:$D$140*(((Inputs!$G$5:$G$140="moeda")+(Inputs!$G$5:$G$140="acoes"))*Inputs!$B$1+((Inputs!$G$5:$G$140&lt;&gt;"moeda")*(Inputs!$G$5:$G$140&lt;&gt;"acoes")))*INDEX(Inputs!$K$5:$AJ$140,0,MATCH(Z$2,Inputs!$K$4:$AJ$4,0)))+SUMPRODUCT((Inputs!$E$5:$E$140=$B19)*Inputs!$F$5:$F$140*(((Inputs!$G$5:$G$140="moeda")+(Inputs!$G$5:$G$140="acoes"))*Inputs!$B$1+((Inputs!$G$5:$G$140&lt;&gt;"moeda")*(Inputs!$G$5:$G$140&lt;&gt;"acoes")))*INDEX(Inputs!$K$5:$AJ$140,0,MATCH(Z$2,Inputs!$K$4:$AJ$4,0)))))</f>
        <v>9.581</v>
      </c>
      <c r="AA19" s="6">
        <f>IF(ISNA(MATCH(AA$2,Inputs!$K$4:$AJ$4,0)),NA(),IF(SUMPRODUCT((Inputs!$A$5:$A$140=$B19)*ISNUMBER(INDEX(Inputs!$K$5:$AJ$140,0,MATCH(AA$2,Inputs!$K$4:$AJ$4,0))))+SUMPRODUCT((Inputs!$C$5:$C$140=$B19)*ISNUMBER(INDEX(Inputs!$K$5:$AJ$140,0,MATCH(AA$2,Inputs!$K$4:$AJ$4,0))))+SUMPRODUCT((Inputs!$E$5:$E$140=$B19)*ISNUMBER(INDEX(Inputs!$K$5:$AJ$140,0,MATCH(AA$2,Inputs!$K$4:$AJ$4,0))))=0,NA(),SUMPRODUCT((Inputs!$A$5:$A$140=$B19)*Inputs!$B$5:$B$140*(((Inputs!$G$5:$G$140="moeda")+(Inputs!$G$5:$G$140="acoes"))*Inputs!$B$1+((Inputs!$G$5:$G$140&lt;&gt;"moeda")*(Inputs!$G$5:$G$140&lt;&gt;"acoes")))*INDEX(Inputs!$K$5:$AJ$140,0,MATCH(AA$2,Inputs!$K$4:$AJ$4,0)))+SUMPRODUCT((Inputs!$C$5:$C$140=$B19)*Inputs!$D$5:$D$140*(((Inputs!$G$5:$G$140="moeda")+(Inputs!$G$5:$G$140="acoes"))*Inputs!$B$1+((Inputs!$G$5:$G$140&lt;&gt;"moeda")*(Inputs!$G$5:$G$140&lt;&gt;"acoes")))*INDEX(Inputs!$K$5:$AJ$140,0,MATCH(AA$2,Inputs!$K$4:$AJ$4,0)))+SUMPRODUCT((Inputs!$E$5:$E$140=$B19)*Inputs!$F$5:$F$140*(((Inputs!$G$5:$G$140="moeda")+(Inputs!$G$5:$G$140="acoes"))*Inputs!$B$1+((Inputs!$G$5:$G$140&lt;&gt;"moeda")*(Inputs!$G$5:$G$140&lt;&gt;"acoes")))*INDEX(Inputs!$K$5:$AJ$140,0,MATCH(AA$2,Inputs!$K$4:$AJ$4,0)))))</f>
        <v>11.708</v>
      </c>
      <c r="AB19" s="3">
        <f>AA19</f>
        <v>11.708</v>
      </c>
      <c r="AC19" s="6">
        <f>IF(ISNA(MATCH(AC$2,Inputs!$K$4:$AJ$4,0)),NA(),IF(SUMPRODUCT((Inputs!$A$5:$A$140=$B19)*ISNUMBER(INDEX(Inputs!$K$5:$AJ$140,0,MATCH(AC$2,Inputs!$K$4:$AJ$4,0))))+SUMPRODUCT((Inputs!$C$5:$C$140=$B19)*ISNUMBER(INDEX(Inputs!$K$5:$AJ$140,0,MATCH(AC$2,Inputs!$K$4:$AJ$4,0))))+SUMPRODUCT((Inputs!$E$5:$E$140=$B19)*ISNUMBER(INDEX(Inputs!$K$5:$AJ$140,0,MATCH(AC$2,Inputs!$K$4:$AJ$4,0))))=0,NA(),SUMPRODUCT((Inputs!$A$5:$A$140=$B19)*Inputs!$B$5:$B$140*(((Inputs!$G$5:$G$140="moeda")+(Inputs!$G$5:$G$140="acoes"))*Inputs!$B$1+((Inputs!$G$5:$G$140&lt;&gt;"moeda")*(Inputs!$G$5:$G$140&lt;&gt;"acoes")))*INDEX(Inputs!$K$5:$AJ$140,0,MATCH(AC$2,Inputs!$K$4:$AJ$4,0)))+SUMPRODUCT((Inputs!$C$5:$C$140=$B19)*Inputs!$D$5:$D$140*(((Inputs!$G$5:$G$140="moeda")+(Inputs!$G$5:$G$140="acoes"))*Inputs!$B$1+((Inputs!$G$5:$G$140&lt;&gt;"moeda")*(Inputs!$G$5:$G$140&lt;&gt;"acoes")))*INDEX(Inputs!$K$5:$AJ$140,0,MATCH(AC$2,Inputs!$K$4:$AJ$4,0)))+SUMPRODUCT((Inputs!$E$5:$E$140=$B19)*Inputs!$F$5:$F$140*(((Inputs!$G$5:$G$140="moeda")+(Inputs!$G$5:$G$140="acoes"))*Inputs!$B$1+((Inputs!$G$5:$G$140&lt;&gt;"moeda")*(Inputs!$G$5:$G$140&lt;&gt;"acoes")))*INDEX(Inputs!$K$5:$AJ$140,0,MATCH(AC$2,Inputs!$K$4:$AJ$4,0)))))</f>
        <v>10.253</v>
      </c>
      <c r="AD19" s="6">
        <f>IF(ISNA(MATCH(AD$2,Inputs!$K$4:$AJ$4,0)),NA(),IF(SUMPRODUCT((Inputs!$A$5:$A$140=$B19)*ISNUMBER(INDEX(Inputs!$K$5:$AJ$140,0,MATCH(AD$2,Inputs!$K$4:$AJ$4,0))))+SUMPRODUCT((Inputs!$C$5:$C$140=$B19)*ISNUMBER(INDEX(Inputs!$K$5:$AJ$140,0,MATCH(AD$2,Inputs!$K$4:$AJ$4,0))))+SUMPRODUCT((Inputs!$E$5:$E$140=$B19)*ISNUMBER(INDEX(Inputs!$K$5:$AJ$140,0,MATCH(AD$2,Inputs!$K$4:$AJ$4,0))))=0,NA(),SUMPRODUCT((Inputs!$A$5:$A$140=$B19)*Inputs!$B$5:$B$140*(((Inputs!$G$5:$G$140="moeda")+(Inputs!$G$5:$G$140="acoes"))*Inputs!$B$1+((Inputs!$G$5:$G$140&lt;&gt;"moeda")*(Inputs!$G$5:$G$140&lt;&gt;"acoes")))*INDEX(Inputs!$K$5:$AJ$140,0,MATCH(AD$2,Inputs!$K$4:$AJ$4,0)))+SUMPRODUCT((Inputs!$C$5:$C$140=$B19)*Inputs!$D$5:$D$140*(((Inputs!$G$5:$G$140="moeda")+(Inputs!$G$5:$G$140="acoes"))*Inputs!$B$1+((Inputs!$G$5:$G$140&lt;&gt;"moeda")*(Inputs!$G$5:$G$140&lt;&gt;"acoes")))*INDEX(Inputs!$K$5:$AJ$140,0,MATCH(AD$2,Inputs!$K$4:$AJ$4,0)))+SUMPRODUCT((Inputs!$E$5:$E$140=$B19)*Inputs!$F$5:$F$140*(((Inputs!$G$5:$G$140="moeda")+(Inputs!$G$5:$G$140="acoes"))*Inputs!$B$1+((Inputs!$G$5:$G$140&lt;&gt;"moeda")*(Inputs!$G$5:$G$140&lt;&gt;"acoes")))*INDEX(Inputs!$K$5:$AJ$140,0,MATCH(AD$2,Inputs!$K$4:$AJ$4,0)))))</f>
        <v>9.152</v>
      </c>
      <c r="AE19" s="6" t="e">
        <f>IF(ISNA(MATCH(AE$2,Inputs!$K$4:$AJ$4,0)),NA(),IF(SUMPRODUCT((Inputs!$A$5:$A$140=$B19)*ISNUMBER(INDEX(Inputs!$K$5:$AJ$140,0,MATCH(AE$2,Inputs!$K$4:$AJ$4,0))))+SUMPRODUCT((Inputs!$C$5:$C$140=$B19)*ISNUMBER(INDEX(Inputs!$K$5:$AJ$140,0,MATCH(AE$2,Inputs!$K$4:$AJ$4,0))))+SUMPRODUCT((Inputs!$E$5:$E$140=$B19)*ISNUMBER(INDEX(Inputs!$K$5:$AJ$140,0,MATCH(AE$2,Inputs!$K$4:$AJ$4,0))))=0,NA(),SUMPRODUCT((Inputs!$A$5:$A$140=$B19)*Inputs!$B$5:$B$140*(((Inputs!$G$5:$G$140="moeda")+(Inputs!$G$5:$G$140="acoes"))*Inputs!$B$1+((Inputs!$G$5:$G$140&lt;&gt;"moeda")*(Inputs!$G$5:$G$140&lt;&gt;"acoes")))*INDEX(Inputs!$K$5:$AJ$140,0,MATCH(AE$2,Inputs!$K$4:$AJ$4,0)))+SUMPRODUCT((Inputs!$C$5:$C$140=$B19)*Inputs!$D$5:$D$140*(((Inputs!$G$5:$G$140="moeda")+(Inputs!$G$5:$G$140="acoes"))*Inputs!$B$1+((Inputs!$G$5:$G$140&lt;&gt;"moeda")*(Inputs!$G$5:$G$140&lt;&gt;"acoes")))*INDEX(Inputs!$K$5:$AJ$140,0,MATCH(AE$2,Inputs!$K$4:$AJ$4,0)))+SUMPRODUCT((Inputs!$E$5:$E$140=$B19)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19" s="6" t="e">
        <f>IF(ISNA(MATCH(AF$2,Inputs!$K$4:$AJ$4,0)),NA(),IF(SUMPRODUCT((Inputs!$A$5:$A$140=$B19)*ISNUMBER(INDEX(Inputs!$K$5:$AJ$140,0,MATCH(AF$2,Inputs!$K$4:$AJ$4,0))))+SUMPRODUCT((Inputs!$C$5:$C$140=$B19)*ISNUMBER(INDEX(Inputs!$K$5:$AJ$140,0,MATCH(AF$2,Inputs!$K$4:$AJ$4,0))))+SUMPRODUCT((Inputs!$E$5:$E$140=$B19)*ISNUMBER(INDEX(Inputs!$K$5:$AJ$140,0,MATCH(AF$2,Inputs!$K$4:$AJ$4,0))))=0,NA(),SUMPRODUCT((Inputs!$A$5:$A$140=$B19)*Inputs!$B$5:$B$140*(((Inputs!$G$5:$G$140="moeda")+(Inputs!$G$5:$G$140="acoes"))*Inputs!$B$1+((Inputs!$G$5:$G$140&lt;&gt;"moeda")*(Inputs!$G$5:$G$140&lt;&gt;"acoes")))*INDEX(Inputs!$K$5:$AJ$140,0,MATCH(AF$2,Inputs!$K$4:$AJ$4,0)))+SUMPRODUCT((Inputs!$C$5:$C$140=$B19)*Inputs!$D$5:$D$140*(((Inputs!$G$5:$G$140="moeda")+(Inputs!$G$5:$G$140="acoes"))*Inputs!$B$1+((Inputs!$G$5:$G$140&lt;&gt;"moeda")*(Inputs!$G$5:$G$140&lt;&gt;"acoes")))*INDEX(Inputs!$K$5:$AJ$140,0,MATCH(AF$2,Inputs!$K$4:$AJ$4,0)))+SUMPRODUCT((Inputs!$E$5:$E$140=$B19)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19" s="3" t="e">
        <f>AF19</f>
        <v>#N/A</v>
      </c>
      <c r="AH19" s="6">
        <f>IF(ISNA(MATCH(AH$2,Inputs!$K$4:$AJ$4,0)),NA(),IF(SUMPRODUCT((Inputs!$A$5:$A$140=$B19)*ISNUMBER(INDEX(Inputs!$K$5:$AJ$140,0,MATCH(AH$2,Inputs!$K$4:$AJ$4,0))))+SUMPRODUCT((Inputs!$C$5:$C$140=$B19)*ISNUMBER(INDEX(Inputs!$K$5:$AJ$140,0,MATCH(AH$2,Inputs!$K$4:$AJ$4,0))))+SUMPRODUCT((Inputs!$E$5:$E$140=$B19)*ISNUMBER(INDEX(Inputs!$K$5:$AJ$140,0,MATCH(AH$2,Inputs!$K$4:$AJ$4,0))))=0,NA(),SUMPRODUCT((Inputs!$A$5:$A$140=$B19)*Inputs!$B$5:$B$140*(((Inputs!$G$5:$G$140="moeda")+(Inputs!$G$5:$G$140="acoes"))*Inputs!$B$1+((Inputs!$G$5:$G$140&lt;&gt;"moeda")*(Inputs!$G$5:$G$140&lt;&gt;"acoes")))*INDEX(Inputs!$K$5:$AJ$140,0,MATCH(AH$2,Inputs!$K$4:$AJ$4,0)))+SUMPRODUCT((Inputs!$C$5:$C$140=$B19)*Inputs!$D$5:$D$140*(((Inputs!$G$5:$G$140="moeda")+(Inputs!$G$5:$G$140="acoes"))*Inputs!$B$1+((Inputs!$G$5:$G$140&lt;&gt;"moeda")*(Inputs!$G$5:$G$140&lt;&gt;"acoes")))*INDEX(Inputs!$K$5:$AJ$140,0,MATCH(AH$2,Inputs!$K$4:$AJ$4,0)))+SUMPRODUCT((Inputs!$E$5:$E$140=$B19)*Inputs!$F$5:$F$140*(((Inputs!$G$5:$G$140="moeda")+(Inputs!$G$5:$G$140="acoes"))*Inputs!$B$1+((Inputs!$G$5:$G$140&lt;&gt;"moeda")*(Inputs!$G$5:$G$140&lt;&gt;"acoes")))*INDEX(Inputs!$K$5:$AJ$140,0,MATCH(AH$2,Inputs!$K$4:$AJ$4,0)))))</f>
        <v>11.718</v>
      </c>
      <c r="AI19" s="6">
        <f>IF(ISNA(MATCH(AI$2,Inputs!$K$4:$AJ$4,0)),NA(),IF(SUMPRODUCT((Inputs!$A$5:$A$140=$B19)*ISNUMBER(INDEX(Inputs!$K$5:$AJ$140,0,MATCH(AI$2,Inputs!$K$4:$AJ$4,0))))+SUMPRODUCT((Inputs!$C$5:$C$140=$B19)*ISNUMBER(INDEX(Inputs!$K$5:$AJ$140,0,MATCH(AI$2,Inputs!$K$4:$AJ$4,0))))+SUMPRODUCT((Inputs!$E$5:$E$140=$B19)*ISNUMBER(INDEX(Inputs!$K$5:$AJ$140,0,MATCH(AI$2,Inputs!$K$4:$AJ$4,0))))=0,NA(),SUMPRODUCT((Inputs!$A$5:$A$140=$B19)*Inputs!$B$5:$B$140*(((Inputs!$G$5:$G$140="moeda")+(Inputs!$G$5:$G$140="acoes"))*Inputs!$B$1+((Inputs!$G$5:$G$140&lt;&gt;"moeda")*(Inputs!$G$5:$G$140&lt;&gt;"acoes")))*INDEX(Inputs!$K$5:$AJ$140,0,MATCH(AI$2,Inputs!$K$4:$AJ$4,0)))+SUMPRODUCT((Inputs!$C$5:$C$140=$B19)*Inputs!$D$5:$D$140*(((Inputs!$G$5:$G$140="moeda")+(Inputs!$G$5:$G$140="acoes"))*Inputs!$B$1+((Inputs!$G$5:$G$140&lt;&gt;"moeda")*(Inputs!$G$5:$G$140&lt;&gt;"acoes")))*INDEX(Inputs!$K$5:$AJ$140,0,MATCH(AI$2,Inputs!$K$4:$AJ$4,0)))+SUMPRODUCT((Inputs!$E$5:$E$140=$B19)*Inputs!$F$5:$F$140*(((Inputs!$G$5:$G$140="moeda")+(Inputs!$G$5:$G$140="acoes"))*Inputs!$B$1+((Inputs!$G$5:$G$140&lt;&gt;"moeda")*(Inputs!$G$5:$G$140&lt;&gt;"acoes")))*INDEX(Inputs!$K$5:$AJ$140,0,MATCH(AI$2,Inputs!$K$4:$AJ$4,0)))))</f>
        <v>9.125</v>
      </c>
      <c r="AJ19" s="6">
        <f>IF(ISNA(MATCH(AJ$2,Inputs!$K$4:$AJ$4,0)),NA(),IF(SUMPRODUCT((Inputs!$A$5:$A$140=$B19)*ISNUMBER(INDEX(Inputs!$K$5:$AJ$140,0,MATCH(AJ$2,Inputs!$K$4:$AJ$4,0))))+SUMPRODUCT((Inputs!$C$5:$C$140=$B19)*ISNUMBER(INDEX(Inputs!$K$5:$AJ$140,0,MATCH(AJ$2,Inputs!$K$4:$AJ$4,0))))+SUMPRODUCT((Inputs!$E$5:$E$140=$B19)*ISNUMBER(INDEX(Inputs!$K$5:$AJ$140,0,MATCH(AJ$2,Inputs!$K$4:$AJ$4,0))))=0,NA(),SUMPRODUCT((Inputs!$A$5:$A$140=$B19)*Inputs!$B$5:$B$140*(((Inputs!$G$5:$G$140="moeda")+(Inputs!$G$5:$G$140="acoes"))*Inputs!$B$1+((Inputs!$G$5:$G$140&lt;&gt;"moeda")*(Inputs!$G$5:$G$140&lt;&gt;"acoes")))*INDEX(Inputs!$K$5:$AJ$140,0,MATCH(AJ$2,Inputs!$K$4:$AJ$4,0)))+SUMPRODUCT((Inputs!$C$5:$C$140=$B19)*Inputs!$D$5:$D$140*(((Inputs!$G$5:$G$140="moeda")+(Inputs!$G$5:$G$140="acoes"))*Inputs!$B$1+((Inputs!$G$5:$G$140&lt;&gt;"moeda")*(Inputs!$G$5:$G$140&lt;&gt;"acoes")))*INDEX(Inputs!$K$5:$AJ$140,0,MATCH(AJ$2,Inputs!$K$4:$AJ$4,0)))+SUMPRODUCT((Inputs!$E$5:$E$140=$B19)*Inputs!$F$5:$F$140*(((Inputs!$G$5:$G$140="moeda")+(Inputs!$G$5:$G$140="acoes"))*Inputs!$B$1+((Inputs!$G$5:$G$140&lt;&gt;"moeda")*(Inputs!$G$5:$G$140&lt;&gt;"acoes")))*INDEX(Inputs!$K$5:$AJ$140,0,MATCH(AJ$2,Inputs!$K$4:$AJ$4,0)))))</f>
        <v>8.463</v>
      </c>
      <c r="AK19" s="6">
        <f>IF(ISNA(MATCH(AK$2,Inputs!$K$4:$AJ$4,0)),NA(),IF(SUMPRODUCT((Inputs!$A$5:$A$140=$B19)*ISNUMBER(INDEX(Inputs!$K$5:$AJ$140,0,MATCH(AK$2,Inputs!$K$4:$AJ$4,0))))+SUMPRODUCT((Inputs!$C$5:$C$140=$B19)*ISNUMBER(INDEX(Inputs!$K$5:$AJ$140,0,MATCH(AK$2,Inputs!$K$4:$AJ$4,0))))+SUMPRODUCT((Inputs!$E$5:$E$140=$B19)*ISNUMBER(INDEX(Inputs!$K$5:$AJ$140,0,MATCH(AK$2,Inputs!$K$4:$AJ$4,0))))=0,NA(),SUMPRODUCT((Inputs!$A$5:$A$140=$B19)*Inputs!$B$5:$B$140*(((Inputs!$G$5:$G$140="moeda")+(Inputs!$G$5:$G$140="acoes"))*Inputs!$B$1+((Inputs!$G$5:$G$140&lt;&gt;"moeda")*(Inputs!$G$5:$G$140&lt;&gt;"acoes")))*INDEX(Inputs!$K$5:$AJ$140,0,MATCH(AK$2,Inputs!$K$4:$AJ$4,0)))+SUMPRODUCT((Inputs!$C$5:$C$140=$B19)*Inputs!$D$5:$D$140*(((Inputs!$G$5:$G$140="moeda")+(Inputs!$G$5:$G$140="acoes"))*Inputs!$B$1+((Inputs!$G$5:$G$140&lt;&gt;"moeda")*(Inputs!$G$5:$G$140&lt;&gt;"acoes")))*INDEX(Inputs!$K$5:$AJ$140,0,MATCH(AK$2,Inputs!$K$4:$AJ$4,0)))+SUMPRODUCT((Inputs!$E$5:$E$140=$B19)*Inputs!$F$5:$F$140*(((Inputs!$G$5:$G$140="moeda")+(Inputs!$G$5:$G$140="acoes"))*Inputs!$B$1+((Inputs!$G$5:$G$140&lt;&gt;"moeda")*(Inputs!$G$5:$G$140&lt;&gt;"acoes")))*INDEX(Inputs!$K$5:$AJ$140,0,MATCH(AK$2,Inputs!$K$4:$AJ$4,0)))))</f>
        <v>7.748</v>
      </c>
      <c r="AL19" s="3">
        <f>AK19</f>
        <v>7.748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$140=$B20)*ISNUMBER(INDEX(Inputs!$K$5:$AJ$140,0,MATCH(D$2,Inputs!$K$4:$AJ$4,0))))+SUMPRODUCT((Inputs!$C$5:$C$140=$B20)*ISNUMBER(INDEX(Inputs!$K$5:$AJ$140,0,MATCH(D$2,Inputs!$K$4:$AJ$4,0))))+SUMPRODUCT((Inputs!$E$5:$E$140=$B20)*ISNUMBER(INDEX(Inputs!$K$5:$AJ$140,0,MATCH(D$2,Inputs!$K$4:$AJ$4,0))))=0,NA(),SUMPRODUCT((Inputs!$A$5:$A$140=$B20)*Inputs!$B$5:$B$140*(((Inputs!$G$5:$G$140="moeda")+(Inputs!$G$5:$G$140="acoes"))*Inputs!$B$1+((Inputs!$G$5:$G$140&lt;&gt;"moeda")*(Inputs!$G$5:$G$140&lt;&gt;"acoes")))*INDEX(Inputs!$K$5:$AJ$140,0,MATCH(D$2,Inputs!$K$4:$AJ$4,0)))+SUMPRODUCT((Inputs!$C$5:$C$140=$B20)*Inputs!$D$5:$D$140*(((Inputs!$G$5:$G$140="moeda")+(Inputs!$G$5:$G$140="acoes"))*Inputs!$B$1+((Inputs!$G$5:$G$140&lt;&gt;"moeda")*(Inputs!$G$5:$G$140&lt;&gt;"acoes")))*INDEX(Inputs!$K$5:$AJ$140,0,MATCH(D$2,Inputs!$K$4:$AJ$4,0)))+SUMPRODUCT((Inputs!$E$5:$E$140=$B20)*Inputs!$F$5:$F$140*(((Inputs!$G$5:$G$140="moeda")+(Inputs!$G$5:$G$140="acoes"))*Inputs!$B$1+((Inputs!$G$5:$G$140&lt;&gt;"moeda")*(Inputs!$G$5:$G$140&lt;&gt;"acoes")))*INDEX(Inputs!$K$5:$AJ$140,0,MATCH(D$2,Inputs!$K$4:$AJ$4,0)))))</f>
        <v>15.478</v>
      </c>
      <c r="E20" s="6">
        <f>IF(ISNA(MATCH(E$2,Inputs!$K$4:$AJ$4,0)),NA(),IF(SUMPRODUCT((Inputs!$A$5:$A$140=$B20)*ISNUMBER(INDEX(Inputs!$K$5:$AJ$140,0,MATCH(E$2,Inputs!$K$4:$AJ$4,0))))+SUMPRODUCT((Inputs!$C$5:$C$140=$B20)*ISNUMBER(INDEX(Inputs!$K$5:$AJ$140,0,MATCH(E$2,Inputs!$K$4:$AJ$4,0))))+SUMPRODUCT((Inputs!$E$5:$E$140=$B20)*ISNUMBER(INDEX(Inputs!$K$5:$AJ$140,0,MATCH(E$2,Inputs!$K$4:$AJ$4,0))))=0,NA(),SUMPRODUCT((Inputs!$A$5:$A$140=$B20)*Inputs!$B$5:$B$140*(((Inputs!$G$5:$G$140="moeda")+(Inputs!$G$5:$G$140="acoes"))*Inputs!$B$1+((Inputs!$G$5:$G$140&lt;&gt;"moeda")*(Inputs!$G$5:$G$140&lt;&gt;"acoes")))*INDEX(Inputs!$K$5:$AJ$140,0,MATCH(E$2,Inputs!$K$4:$AJ$4,0)))+SUMPRODUCT((Inputs!$C$5:$C$140=$B20)*Inputs!$D$5:$D$140*(((Inputs!$G$5:$G$140="moeda")+(Inputs!$G$5:$G$140="acoes"))*Inputs!$B$1+((Inputs!$G$5:$G$140&lt;&gt;"moeda")*(Inputs!$G$5:$G$140&lt;&gt;"acoes")))*INDEX(Inputs!$K$5:$AJ$140,0,MATCH(E$2,Inputs!$K$4:$AJ$4,0)))+SUMPRODUCT((Inputs!$E$5:$E$140=$B20)*Inputs!$F$5:$F$140*(((Inputs!$G$5:$G$140="moeda")+(Inputs!$G$5:$G$140="acoes"))*Inputs!$B$1+((Inputs!$G$5:$G$140&lt;&gt;"moeda")*(Inputs!$G$5:$G$140&lt;&gt;"acoes")))*INDEX(Inputs!$K$5:$AJ$140,0,MATCH(E$2,Inputs!$K$4:$AJ$4,0)))))</f>
        <v>19.254</v>
      </c>
      <c r="F20" s="6">
        <f>IF(ISNA(MATCH(F$2,Inputs!$K$4:$AJ$4,0)),NA(),IF(SUMPRODUCT((Inputs!$A$5:$A$140=$B20)*ISNUMBER(INDEX(Inputs!$K$5:$AJ$140,0,MATCH(F$2,Inputs!$K$4:$AJ$4,0))))+SUMPRODUCT((Inputs!$C$5:$C$140=$B20)*ISNUMBER(INDEX(Inputs!$K$5:$AJ$140,0,MATCH(F$2,Inputs!$K$4:$AJ$4,0))))+SUMPRODUCT((Inputs!$E$5:$E$140=$B20)*ISNUMBER(INDEX(Inputs!$K$5:$AJ$140,0,MATCH(F$2,Inputs!$K$4:$AJ$4,0))))=0,NA(),SUMPRODUCT((Inputs!$A$5:$A$140=$B20)*Inputs!$B$5:$B$140*(((Inputs!$G$5:$G$140="moeda")+(Inputs!$G$5:$G$140="acoes"))*Inputs!$B$1+((Inputs!$G$5:$G$140&lt;&gt;"moeda")*(Inputs!$G$5:$G$140&lt;&gt;"acoes")))*INDEX(Inputs!$K$5:$AJ$140,0,MATCH(F$2,Inputs!$K$4:$AJ$4,0)))+SUMPRODUCT((Inputs!$C$5:$C$140=$B20)*Inputs!$D$5:$D$140*(((Inputs!$G$5:$G$140="moeda")+(Inputs!$G$5:$G$140="acoes"))*Inputs!$B$1+((Inputs!$G$5:$G$140&lt;&gt;"moeda")*(Inputs!$G$5:$G$140&lt;&gt;"acoes")))*INDEX(Inputs!$K$5:$AJ$140,0,MATCH(F$2,Inputs!$K$4:$AJ$4,0)))+SUMPRODUCT((Inputs!$E$5:$E$140=$B20)*Inputs!$F$5:$F$140*(((Inputs!$G$5:$G$140="moeda")+(Inputs!$G$5:$G$140="acoes"))*Inputs!$B$1+((Inputs!$G$5:$G$140&lt;&gt;"moeda")*(Inputs!$G$5:$G$140&lt;&gt;"acoes")))*INDEX(Inputs!$K$5:$AJ$140,0,MATCH(F$2,Inputs!$K$4:$AJ$4,0)))))</f>
        <v>24.33</v>
      </c>
      <c r="G20" s="6">
        <f>IF(ISNA(MATCH(G$2,Inputs!$K$4:$AJ$4,0)),NA(),IF(SUMPRODUCT((Inputs!$A$5:$A$140=$B20)*ISNUMBER(INDEX(Inputs!$K$5:$AJ$140,0,MATCH(G$2,Inputs!$K$4:$AJ$4,0))))+SUMPRODUCT((Inputs!$C$5:$C$140=$B20)*ISNUMBER(INDEX(Inputs!$K$5:$AJ$140,0,MATCH(G$2,Inputs!$K$4:$AJ$4,0))))+SUMPRODUCT((Inputs!$E$5:$E$140=$B20)*ISNUMBER(INDEX(Inputs!$K$5:$AJ$140,0,MATCH(G$2,Inputs!$K$4:$AJ$4,0))))=0,NA(),SUMPRODUCT((Inputs!$A$5:$A$140=$B20)*Inputs!$B$5:$B$140*(((Inputs!$G$5:$G$140="moeda")+(Inputs!$G$5:$G$140="acoes"))*Inputs!$B$1+((Inputs!$G$5:$G$140&lt;&gt;"moeda")*(Inputs!$G$5:$G$140&lt;&gt;"acoes")))*INDEX(Inputs!$K$5:$AJ$140,0,MATCH(G$2,Inputs!$K$4:$AJ$4,0)))+SUMPRODUCT((Inputs!$C$5:$C$140=$B20)*Inputs!$D$5:$D$140*(((Inputs!$G$5:$G$140="moeda")+(Inputs!$G$5:$G$140="acoes"))*Inputs!$B$1+((Inputs!$G$5:$G$140&lt;&gt;"moeda")*(Inputs!$G$5:$G$140&lt;&gt;"acoes")))*INDEX(Inputs!$K$5:$AJ$140,0,MATCH(G$2,Inputs!$K$4:$AJ$4,0)))+SUMPRODUCT((Inputs!$E$5:$E$140=$B20)*Inputs!$F$5:$F$140*(((Inputs!$G$5:$G$140="moeda")+(Inputs!$G$5:$G$140="acoes"))*Inputs!$B$1+((Inputs!$G$5:$G$140&lt;&gt;"moeda")*(Inputs!$G$5:$G$140&lt;&gt;"acoes")))*INDEX(Inputs!$K$5:$AJ$140,0,MATCH(G$2,Inputs!$K$4:$AJ$4,0)))))</f>
        <v>27.836</v>
      </c>
      <c r="H20" s="3">
        <f>G20</f>
        <v>27.836</v>
      </c>
      <c r="I20" s="6">
        <f>IF(ISNA(MATCH(I$2,Inputs!$K$4:$AJ$4,0)),NA(),IF(SUMPRODUCT((Inputs!$A$5:$A$140=$B20)*ISNUMBER(INDEX(Inputs!$K$5:$AJ$140,0,MATCH(I$2,Inputs!$K$4:$AJ$4,0))))+SUMPRODUCT((Inputs!$C$5:$C$140=$B20)*ISNUMBER(INDEX(Inputs!$K$5:$AJ$140,0,MATCH(I$2,Inputs!$K$4:$AJ$4,0))))+SUMPRODUCT((Inputs!$E$5:$E$140=$B20)*ISNUMBER(INDEX(Inputs!$K$5:$AJ$140,0,MATCH(I$2,Inputs!$K$4:$AJ$4,0))))=0,NA(),SUMPRODUCT((Inputs!$A$5:$A$140=$B20)*Inputs!$B$5:$B$140*(((Inputs!$G$5:$G$140="moeda")+(Inputs!$G$5:$G$140="acoes"))*Inputs!$B$1+((Inputs!$G$5:$G$140&lt;&gt;"moeda")*(Inputs!$G$5:$G$140&lt;&gt;"acoes")))*INDEX(Inputs!$K$5:$AJ$140,0,MATCH(I$2,Inputs!$K$4:$AJ$4,0)))+SUMPRODUCT((Inputs!$C$5:$C$140=$B20)*Inputs!$D$5:$D$140*(((Inputs!$G$5:$G$140="moeda")+(Inputs!$G$5:$G$140="acoes"))*Inputs!$B$1+((Inputs!$G$5:$G$140&lt;&gt;"moeda")*(Inputs!$G$5:$G$140&lt;&gt;"acoes")))*INDEX(Inputs!$K$5:$AJ$140,0,MATCH(I$2,Inputs!$K$4:$AJ$4,0)))+SUMPRODUCT((Inputs!$E$5:$E$140=$B20)*Inputs!$F$5:$F$140*(((Inputs!$G$5:$G$140="moeda")+(Inputs!$G$5:$G$140="acoes"))*Inputs!$B$1+((Inputs!$G$5:$G$140&lt;&gt;"moeda")*(Inputs!$G$5:$G$140&lt;&gt;"acoes")))*INDEX(Inputs!$K$5:$AJ$140,0,MATCH(I$2,Inputs!$K$4:$AJ$4,0)))))</f>
        <v>30.305</v>
      </c>
      <c r="J20" s="6">
        <f>IF(ISNA(MATCH(J$2,Inputs!$K$4:$AJ$4,0)),NA(),IF(SUMPRODUCT((Inputs!$A$5:$A$140=$B20)*ISNUMBER(INDEX(Inputs!$K$5:$AJ$140,0,MATCH(J$2,Inputs!$K$4:$AJ$4,0))))+SUMPRODUCT((Inputs!$C$5:$C$140=$B20)*ISNUMBER(INDEX(Inputs!$K$5:$AJ$140,0,MATCH(J$2,Inputs!$K$4:$AJ$4,0))))+SUMPRODUCT((Inputs!$E$5:$E$140=$B20)*ISNUMBER(INDEX(Inputs!$K$5:$AJ$140,0,MATCH(J$2,Inputs!$K$4:$AJ$4,0))))=0,NA(),SUMPRODUCT((Inputs!$A$5:$A$140=$B20)*Inputs!$B$5:$B$140*(((Inputs!$G$5:$G$140="moeda")+(Inputs!$G$5:$G$140="acoes"))*Inputs!$B$1+((Inputs!$G$5:$G$140&lt;&gt;"moeda")*(Inputs!$G$5:$G$140&lt;&gt;"acoes")))*INDEX(Inputs!$K$5:$AJ$140,0,MATCH(J$2,Inputs!$K$4:$AJ$4,0)))+SUMPRODUCT((Inputs!$C$5:$C$140=$B20)*Inputs!$D$5:$D$140*(((Inputs!$G$5:$G$140="moeda")+(Inputs!$G$5:$G$140="acoes"))*Inputs!$B$1+((Inputs!$G$5:$G$140&lt;&gt;"moeda")*(Inputs!$G$5:$G$140&lt;&gt;"acoes")))*INDEX(Inputs!$K$5:$AJ$140,0,MATCH(J$2,Inputs!$K$4:$AJ$4,0)))+SUMPRODUCT((Inputs!$E$5:$E$140=$B20)*Inputs!$F$5:$F$140*(((Inputs!$G$5:$G$140="moeda")+(Inputs!$G$5:$G$140="acoes"))*Inputs!$B$1+((Inputs!$G$5:$G$140&lt;&gt;"moeda")*(Inputs!$G$5:$G$140&lt;&gt;"acoes")))*INDEX(Inputs!$K$5:$AJ$140,0,MATCH(J$2,Inputs!$K$4:$AJ$4,0)))))</f>
        <v>36.248</v>
      </c>
      <c r="K20" s="6">
        <f>IF(ISNA(MATCH(K$2,Inputs!$K$4:$AJ$4,0)),NA(),IF(SUMPRODUCT((Inputs!$A$5:$A$140=$B20)*ISNUMBER(INDEX(Inputs!$K$5:$AJ$140,0,MATCH(K$2,Inputs!$K$4:$AJ$4,0))))+SUMPRODUCT((Inputs!$C$5:$C$140=$B20)*ISNUMBER(INDEX(Inputs!$K$5:$AJ$140,0,MATCH(K$2,Inputs!$K$4:$AJ$4,0))))+SUMPRODUCT((Inputs!$E$5:$E$140=$B20)*ISNUMBER(INDEX(Inputs!$K$5:$AJ$140,0,MATCH(K$2,Inputs!$K$4:$AJ$4,0))))=0,NA(),SUMPRODUCT((Inputs!$A$5:$A$140=$B20)*Inputs!$B$5:$B$140*(((Inputs!$G$5:$G$140="moeda")+(Inputs!$G$5:$G$140="acoes"))*Inputs!$B$1+((Inputs!$G$5:$G$140&lt;&gt;"moeda")*(Inputs!$G$5:$G$140&lt;&gt;"acoes")))*INDEX(Inputs!$K$5:$AJ$140,0,MATCH(K$2,Inputs!$K$4:$AJ$4,0)))+SUMPRODUCT((Inputs!$C$5:$C$140=$B20)*Inputs!$D$5:$D$140*(((Inputs!$G$5:$G$140="moeda")+(Inputs!$G$5:$G$140="acoes"))*Inputs!$B$1+((Inputs!$G$5:$G$140&lt;&gt;"moeda")*(Inputs!$G$5:$G$140&lt;&gt;"acoes")))*INDEX(Inputs!$K$5:$AJ$140,0,MATCH(K$2,Inputs!$K$4:$AJ$4,0)))+SUMPRODUCT((Inputs!$E$5:$E$140=$B20)*Inputs!$F$5:$F$140*(((Inputs!$G$5:$G$140="moeda")+(Inputs!$G$5:$G$140="acoes"))*Inputs!$B$1+((Inputs!$G$5:$G$140&lt;&gt;"moeda")*(Inputs!$G$5:$G$140&lt;&gt;"acoes")))*INDEX(Inputs!$K$5:$AJ$140,0,MATCH(K$2,Inputs!$K$4:$AJ$4,0)))))</f>
        <v>43.329</v>
      </c>
      <c r="L20" s="6">
        <f>IF(ISNA(MATCH(L$2,Inputs!$K$4:$AJ$4,0)),NA(),IF(SUMPRODUCT((Inputs!$A$5:$A$140=$B20)*ISNUMBER(INDEX(Inputs!$K$5:$AJ$140,0,MATCH(L$2,Inputs!$K$4:$AJ$4,0))))+SUMPRODUCT((Inputs!$C$5:$C$140=$B20)*ISNUMBER(INDEX(Inputs!$K$5:$AJ$140,0,MATCH(L$2,Inputs!$K$4:$AJ$4,0))))+SUMPRODUCT((Inputs!$E$5:$E$140=$B20)*ISNUMBER(INDEX(Inputs!$K$5:$AJ$140,0,MATCH(L$2,Inputs!$K$4:$AJ$4,0))))=0,NA(),SUMPRODUCT((Inputs!$A$5:$A$140=$B20)*Inputs!$B$5:$B$140*(((Inputs!$G$5:$G$140="moeda")+(Inputs!$G$5:$G$140="acoes"))*Inputs!$B$1+((Inputs!$G$5:$G$140&lt;&gt;"moeda")*(Inputs!$G$5:$G$140&lt;&gt;"acoes")))*INDEX(Inputs!$K$5:$AJ$140,0,MATCH(L$2,Inputs!$K$4:$AJ$4,0)))+SUMPRODUCT((Inputs!$C$5:$C$140=$B20)*Inputs!$D$5:$D$140*(((Inputs!$G$5:$G$140="moeda")+(Inputs!$G$5:$G$140="acoes"))*Inputs!$B$1+((Inputs!$G$5:$G$140&lt;&gt;"moeda")*(Inputs!$G$5:$G$140&lt;&gt;"acoes")))*INDEX(Inputs!$K$5:$AJ$140,0,MATCH(L$2,Inputs!$K$4:$AJ$4,0)))+SUMPRODUCT((Inputs!$E$5:$E$140=$B20)*Inputs!$F$5:$F$140*(((Inputs!$G$5:$G$140="moeda")+(Inputs!$G$5:$G$140="acoes"))*Inputs!$B$1+((Inputs!$G$5:$G$140&lt;&gt;"moeda")*(Inputs!$G$5:$G$140&lt;&gt;"acoes")))*INDEX(Inputs!$K$5:$AJ$140,0,MATCH(L$2,Inputs!$K$4:$AJ$4,0)))))</f>
        <v>50.27</v>
      </c>
      <c r="M20" s="3">
        <f>L20</f>
        <v>50.27</v>
      </c>
      <c r="N20" s="6">
        <f>IF(ISNA(MATCH(N$2,Inputs!$K$4:$AJ$4,0)),NA(),IF(SUMPRODUCT((Inputs!$A$5:$A$140=$B20)*ISNUMBER(INDEX(Inputs!$K$5:$AJ$140,0,MATCH(N$2,Inputs!$K$4:$AJ$4,0))))+SUMPRODUCT((Inputs!$C$5:$C$140=$B20)*ISNUMBER(INDEX(Inputs!$K$5:$AJ$140,0,MATCH(N$2,Inputs!$K$4:$AJ$4,0))))+SUMPRODUCT((Inputs!$E$5:$E$140=$B20)*ISNUMBER(INDEX(Inputs!$K$5:$AJ$140,0,MATCH(N$2,Inputs!$K$4:$AJ$4,0))))=0,NA(),SUMPRODUCT((Inputs!$A$5:$A$140=$B20)*Inputs!$B$5:$B$140*(((Inputs!$G$5:$G$140="moeda")+(Inputs!$G$5:$G$140="acoes"))*Inputs!$B$1+((Inputs!$G$5:$G$140&lt;&gt;"moeda")*(Inputs!$G$5:$G$140&lt;&gt;"acoes")))*INDEX(Inputs!$K$5:$AJ$140,0,MATCH(N$2,Inputs!$K$4:$AJ$4,0)))+SUMPRODUCT((Inputs!$C$5:$C$140=$B20)*Inputs!$D$5:$D$140*(((Inputs!$G$5:$G$140="moeda")+(Inputs!$G$5:$G$140="acoes"))*Inputs!$B$1+((Inputs!$G$5:$G$140&lt;&gt;"moeda")*(Inputs!$G$5:$G$140&lt;&gt;"acoes")))*INDEX(Inputs!$K$5:$AJ$140,0,MATCH(N$2,Inputs!$K$4:$AJ$4,0)))+SUMPRODUCT((Inputs!$E$5:$E$140=$B20)*Inputs!$F$5:$F$140*(((Inputs!$G$5:$G$140="moeda")+(Inputs!$G$5:$G$140="acoes"))*Inputs!$B$1+((Inputs!$G$5:$G$140&lt;&gt;"moeda")*(Inputs!$G$5:$G$140&lt;&gt;"acoes")))*INDEX(Inputs!$K$5:$AJ$140,0,MATCH(N$2,Inputs!$K$4:$AJ$4,0)))))</f>
        <v>58.214</v>
      </c>
      <c r="O20" s="6">
        <f>IF(ISNA(MATCH(O$2,Inputs!$K$4:$AJ$4,0)),NA(),IF(SUMPRODUCT((Inputs!$A$5:$A$140=$B20)*ISNUMBER(INDEX(Inputs!$K$5:$AJ$140,0,MATCH(O$2,Inputs!$K$4:$AJ$4,0))))+SUMPRODUCT((Inputs!$C$5:$C$140=$B20)*ISNUMBER(INDEX(Inputs!$K$5:$AJ$140,0,MATCH(O$2,Inputs!$K$4:$AJ$4,0))))+SUMPRODUCT((Inputs!$E$5:$E$140=$B20)*ISNUMBER(INDEX(Inputs!$K$5:$AJ$140,0,MATCH(O$2,Inputs!$K$4:$AJ$4,0))))=0,NA(),SUMPRODUCT((Inputs!$A$5:$A$140=$B20)*Inputs!$B$5:$B$140*(((Inputs!$G$5:$G$140="moeda")+(Inputs!$G$5:$G$140="acoes"))*Inputs!$B$1+((Inputs!$G$5:$G$140&lt;&gt;"moeda")*(Inputs!$G$5:$G$140&lt;&gt;"acoes")))*INDEX(Inputs!$K$5:$AJ$140,0,MATCH(O$2,Inputs!$K$4:$AJ$4,0)))+SUMPRODUCT((Inputs!$C$5:$C$140=$B20)*Inputs!$D$5:$D$140*(((Inputs!$G$5:$G$140="moeda")+(Inputs!$G$5:$G$140="acoes"))*Inputs!$B$1+((Inputs!$G$5:$G$140&lt;&gt;"moeda")*(Inputs!$G$5:$G$140&lt;&gt;"acoes")))*INDEX(Inputs!$K$5:$AJ$140,0,MATCH(O$2,Inputs!$K$4:$AJ$4,0)))+SUMPRODUCT((Inputs!$E$5:$E$140=$B20)*Inputs!$F$5:$F$140*(((Inputs!$G$5:$G$140="moeda")+(Inputs!$G$5:$G$140="acoes"))*Inputs!$B$1+((Inputs!$G$5:$G$140&lt;&gt;"moeda")*(Inputs!$G$5:$G$140&lt;&gt;"acoes")))*INDEX(Inputs!$K$5:$AJ$140,0,MATCH(O$2,Inputs!$K$4:$AJ$4,0)))))</f>
        <v>63.169</v>
      </c>
      <c r="P20" s="6">
        <f>IF(ISNA(MATCH(P$2,Inputs!$K$4:$AJ$4,0)),NA(),IF(SUMPRODUCT((Inputs!$A$5:$A$140=$B20)*ISNUMBER(INDEX(Inputs!$K$5:$AJ$140,0,MATCH(P$2,Inputs!$K$4:$AJ$4,0))))+SUMPRODUCT((Inputs!$C$5:$C$140=$B20)*ISNUMBER(INDEX(Inputs!$K$5:$AJ$140,0,MATCH(P$2,Inputs!$K$4:$AJ$4,0))))+SUMPRODUCT((Inputs!$E$5:$E$140=$B20)*ISNUMBER(INDEX(Inputs!$K$5:$AJ$140,0,MATCH(P$2,Inputs!$K$4:$AJ$4,0))))=0,NA(),SUMPRODUCT((Inputs!$A$5:$A$140=$B20)*Inputs!$B$5:$B$140*(((Inputs!$G$5:$G$140="moeda")+(Inputs!$G$5:$G$140="acoes"))*Inputs!$B$1+((Inputs!$G$5:$G$140&lt;&gt;"moeda")*(Inputs!$G$5:$G$140&lt;&gt;"acoes")))*INDEX(Inputs!$K$5:$AJ$140,0,MATCH(P$2,Inputs!$K$4:$AJ$4,0)))+SUMPRODUCT((Inputs!$C$5:$C$140=$B20)*Inputs!$D$5:$D$140*(((Inputs!$G$5:$G$140="moeda")+(Inputs!$G$5:$G$140="acoes"))*Inputs!$B$1+((Inputs!$G$5:$G$140&lt;&gt;"moeda")*(Inputs!$G$5:$G$140&lt;&gt;"acoes")))*INDEX(Inputs!$K$5:$AJ$140,0,MATCH(P$2,Inputs!$K$4:$AJ$4,0)))+SUMPRODUCT((Inputs!$E$5:$E$140=$B20)*Inputs!$F$5:$F$140*(((Inputs!$G$5:$G$140="moeda")+(Inputs!$G$5:$G$140="acoes"))*Inputs!$B$1+((Inputs!$G$5:$G$140&lt;&gt;"moeda")*(Inputs!$G$5:$G$140&lt;&gt;"acoes")))*INDEX(Inputs!$K$5:$AJ$140,0,MATCH(P$2,Inputs!$K$4:$AJ$4,0)))))</f>
        <v>79.675</v>
      </c>
      <c r="Q20" s="6">
        <f>IF(ISNA(MATCH(Q$2,Inputs!$K$4:$AJ$4,0)),NA(),IF(SUMPRODUCT((Inputs!$A$5:$A$140=$B20)*ISNUMBER(INDEX(Inputs!$K$5:$AJ$140,0,MATCH(Q$2,Inputs!$K$4:$AJ$4,0))))+SUMPRODUCT((Inputs!$C$5:$C$140=$B20)*ISNUMBER(INDEX(Inputs!$K$5:$AJ$140,0,MATCH(Q$2,Inputs!$K$4:$AJ$4,0))))+SUMPRODUCT((Inputs!$E$5:$E$140=$B20)*ISNUMBER(INDEX(Inputs!$K$5:$AJ$140,0,MATCH(Q$2,Inputs!$K$4:$AJ$4,0))))=0,NA(),SUMPRODUCT((Inputs!$A$5:$A$140=$B20)*Inputs!$B$5:$B$140*(((Inputs!$G$5:$G$140="moeda")+(Inputs!$G$5:$G$140="acoes"))*Inputs!$B$1+((Inputs!$G$5:$G$140&lt;&gt;"moeda")*(Inputs!$G$5:$G$140&lt;&gt;"acoes")))*INDEX(Inputs!$K$5:$AJ$140,0,MATCH(Q$2,Inputs!$K$4:$AJ$4,0)))+SUMPRODUCT((Inputs!$C$5:$C$140=$B20)*Inputs!$D$5:$D$140*(((Inputs!$G$5:$G$140="moeda")+(Inputs!$G$5:$G$140="acoes"))*Inputs!$B$1+((Inputs!$G$5:$G$140&lt;&gt;"moeda")*(Inputs!$G$5:$G$140&lt;&gt;"acoes")))*INDEX(Inputs!$K$5:$AJ$140,0,MATCH(Q$2,Inputs!$K$4:$AJ$4,0)))+SUMPRODUCT((Inputs!$E$5:$E$140=$B20)*Inputs!$F$5:$F$140*(((Inputs!$G$5:$G$140="moeda")+(Inputs!$G$5:$G$140="acoes"))*Inputs!$B$1+((Inputs!$G$5:$G$140&lt;&gt;"moeda")*(Inputs!$G$5:$G$140&lt;&gt;"acoes")))*INDEX(Inputs!$K$5:$AJ$140,0,MATCH(Q$2,Inputs!$K$4:$AJ$4,0)))))</f>
        <v>84.228</v>
      </c>
      <c r="R20" s="3">
        <f>Q20</f>
        <v>84.228</v>
      </c>
      <c r="S20" s="6">
        <f>IF(ISNA(MATCH(S$2,Inputs!$K$4:$AJ$4,0)),NA(),IF(SUMPRODUCT((Inputs!$A$5:$A$140=$B20)*ISNUMBER(INDEX(Inputs!$K$5:$AJ$140,0,MATCH(S$2,Inputs!$K$4:$AJ$4,0))))+SUMPRODUCT((Inputs!$C$5:$C$140=$B20)*ISNUMBER(INDEX(Inputs!$K$5:$AJ$140,0,MATCH(S$2,Inputs!$K$4:$AJ$4,0))))+SUMPRODUCT((Inputs!$E$5:$E$140=$B20)*ISNUMBER(INDEX(Inputs!$K$5:$AJ$140,0,MATCH(S$2,Inputs!$K$4:$AJ$4,0))))=0,NA(),SUMPRODUCT((Inputs!$A$5:$A$140=$B20)*Inputs!$B$5:$B$140*(((Inputs!$G$5:$G$140="moeda")+(Inputs!$G$5:$G$140="acoes"))*Inputs!$B$1+((Inputs!$G$5:$G$140&lt;&gt;"moeda")*(Inputs!$G$5:$G$140&lt;&gt;"acoes")))*INDEX(Inputs!$K$5:$AJ$140,0,MATCH(S$2,Inputs!$K$4:$AJ$4,0)))+SUMPRODUCT((Inputs!$C$5:$C$140=$B20)*Inputs!$D$5:$D$140*(((Inputs!$G$5:$G$140="moeda")+(Inputs!$G$5:$G$140="acoes"))*Inputs!$B$1+((Inputs!$G$5:$G$140&lt;&gt;"moeda")*(Inputs!$G$5:$G$140&lt;&gt;"acoes")))*INDEX(Inputs!$K$5:$AJ$140,0,MATCH(S$2,Inputs!$K$4:$AJ$4,0)))+SUMPRODUCT((Inputs!$E$5:$E$140=$B20)*Inputs!$F$5:$F$140*(((Inputs!$G$5:$G$140="moeda")+(Inputs!$G$5:$G$140="acoes"))*Inputs!$B$1+((Inputs!$G$5:$G$140&lt;&gt;"moeda")*(Inputs!$G$5:$G$140&lt;&gt;"acoes")))*INDEX(Inputs!$K$5:$AJ$140,0,MATCH(S$2,Inputs!$K$4:$AJ$4,0)))))</f>
        <v>92.05</v>
      </c>
      <c r="T20" s="6">
        <f>IF(ISNA(MATCH(T$2,Inputs!$K$4:$AJ$4,0)),NA(),IF(SUMPRODUCT((Inputs!$A$5:$A$140=$B20)*ISNUMBER(INDEX(Inputs!$K$5:$AJ$140,0,MATCH(T$2,Inputs!$K$4:$AJ$4,0))))+SUMPRODUCT((Inputs!$C$5:$C$140=$B20)*ISNUMBER(INDEX(Inputs!$K$5:$AJ$140,0,MATCH(T$2,Inputs!$K$4:$AJ$4,0))))+SUMPRODUCT((Inputs!$E$5:$E$140=$B20)*ISNUMBER(INDEX(Inputs!$K$5:$AJ$140,0,MATCH(T$2,Inputs!$K$4:$AJ$4,0))))=0,NA(),SUMPRODUCT((Inputs!$A$5:$A$140=$B20)*Inputs!$B$5:$B$140*(((Inputs!$G$5:$G$140="moeda")+(Inputs!$G$5:$G$140="acoes"))*Inputs!$B$1+((Inputs!$G$5:$G$140&lt;&gt;"moeda")*(Inputs!$G$5:$G$140&lt;&gt;"acoes")))*INDEX(Inputs!$K$5:$AJ$140,0,MATCH(T$2,Inputs!$K$4:$AJ$4,0)))+SUMPRODUCT((Inputs!$C$5:$C$140=$B20)*Inputs!$D$5:$D$140*(((Inputs!$G$5:$G$140="moeda")+(Inputs!$G$5:$G$140="acoes"))*Inputs!$B$1+((Inputs!$G$5:$G$140&lt;&gt;"moeda")*(Inputs!$G$5:$G$140&lt;&gt;"acoes")))*INDEX(Inputs!$K$5:$AJ$140,0,MATCH(T$2,Inputs!$K$4:$AJ$4,0)))+SUMPRODUCT((Inputs!$E$5:$E$140=$B20)*Inputs!$F$5:$F$140*(((Inputs!$G$5:$G$140="moeda")+(Inputs!$G$5:$G$140="acoes"))*Inputs!$B$1+((Inputs!$G$5:$G$140&lt;&gt;"moeda")*(Inputs!$G$5:$G$140&lt;&gt;"acoes")))*INDEX(Inputs!$K$5:$AJ$140,0,MATCH(T$2,Inputs!$K$4:$AJ$4,0)))))</f>
        <v>115.011</v>
      </c>
      <c r="U20" s="6">
        <f>IF(ISNA(MATCH(U$2,Inputs!$K$4:$AJ$4,0)),NA(),IF(SUMPRODUCT((Inputs!$A$5:$A$140=$B20)*ISNUMBER(INDEX(Inputs!$K$5:$AJ$140,0,MATCH(U$2,Inputs!$K$4:$AJ$4,0))))+SUMPRODUCT((Inputs!$C$5:$C$140=$B20)*ISNUMBER(INDEX(Inputs!$K$5:$AJ$140,0,MATCH(U$2,Inputs!$K$4:$AJ$4,0))))+SUMPRODUCT((Inputs!$E$5:$E$140=$B20)*ISNUMBER(INDEX(Inputs!$K$5:$AJ$140,0,MATCH(U$2,Inputs!$K$4:$AJ$4,0))))=0,NA(),SUMPRODUCT((Inputs!$A$5:$A$140=$B20)*Inputs!$B$5:$B$140*(((Inputs!$G$5:$G$140="moeda")+(Inputs!$G$5:$G$140="acoes"))*Inputs!$B$1+((Inputs!$G$5:$G$140&lt;&gt;"moeda")*(Inputs!$G$5:$G$140&lt;&gt;"acoes")))*INDEX(Inputs!$K$5:$AJ$140,0,MATCH(U$2,Inputs!$K$4:$AJ$4,0)))+SUMPRODUCT((Inputs!$C$5:$C$140=$B20)*Inputs!$D$5:$D$140*(((Inputs!$G$5:$G$140="moeda")+(Inputs!$G$5:$G$140="acoes"))*Inputs!$B$1+((Inputs!$G$5:$G$140&lt;&gt;"moeda")*(Inputs!$G$5:$G$140&lt;&gt;"acoes")))*INDEX(Inputs!$K$5:$AJ$140,0,MATCH(U$2,Inputs!$K$4:$AJ$4,0)))+SUMPRODUCT((Inputs!$E$5:$E$140=$B20)*Inputs!$F$5:$F$140*(((Inputs!$G$5:$G$140="moeda")+(Inputs!$G$5:$G$140="acoes"))*Inputs!$B$1+((Inputs!$G$5:$G$140&lt;&gt;"moeda")*(Inputs!$G$5:$G$140&lt;&gt;"acoes")))*INDEX(Inputs!$K$5:$AJ$140,0,MATCH(U$2,Inputs!$K$4:$AJ$4,0)))))</f>
        <v>132.338</v>
      </c>
      <c r="V20" s="6">
        <f>IF(ISNA(MATCH(V$2,Inputs!$K$4:$AJ$4,0)),NA(),IF(SUMPRODUCT((Inputs!$A$5:$A$140=$B20)*ISNUMBER(INDEX(Inputs!$K$5:$AJ$140,0,MATCH(V$2,Inputs!$K$4:$AJ$4,0))))+SUMPRODUCT((Inputs!$C$5:$C$140=$B20)*ISNUMBER(INDEX(Inputs!$K$5:$AJ$140,0,MATCH(V$2,Inputs!$K$4:$AJ$4,0))))+SUMPRODUCT((Inputs!$E$5:$E$140=$B20)*ISNUMBER(INDEX(Inputs!$K$5:$AJ$140,0,MATCH(V$2,Inputs!$K$4:$AJ$4,0))))=0,NA(),SUMPRODUCT((Inputs!$A$5:$A$140=$B20)*Inputs!$B$5:$B$140*(((Inputs!$G$5:$G$140="moeda")+(Inputs!$G$5:$G$140="acoes"))*Inputs!$B$1+((Inputs!$G$5:$G$140&lt;&gt;"moeda")*(Inputs!$G$5:$G$140&lt;&gt;"acoes")))*INDEX(Inputs!$K$5:$AJ$140,0,MATCH(V$2,Inputs!$K$4:$AJ$4,0)))+SUMPRODUCT((Inputs!$C$5:$C$140=$B20)*Inputs!$D$5:$D$140*(((Inputs!$G$5:$G$140="moeda")+(Inputs!$G$5:$G$140="acoes"))*Inputs!$B$1+((Inputs!$G$5:$G$140&lt;&gt;"moeda")*(Inputs!$G$5:$G$140&lt;&gt;"acoes")))*INDEX(Inputs!$K$5:$AJ$140,0,MATCH(V$2,Inputs!$K$4:$AJ$4,0)))+SUMPRODUCT((Inputs!$E$5:$E$140=$B20)*Inputs!$F$5:$F$140*(((Inputs!$G$5:$G$140="moeda")+(Inputs!$G$5:$G$140="acoes"))*Inputs!$B$1+((Inputs!$G$5:$G$140&lt;&gt;"moeda")*(Inputs!$G$5:$G$140&lt;&gt;"acoes")))*INDEX(Inputs!$K$5:$AJ$140,0,MATCH(V$2,Inputs!$K$4:$AJ$4,0)))))</f>
        <v>138.882</v>
      </c>
      <c r="W20" s="3">
        <f>V20</f>
        <v>138.882</v>
      </c>
      <c r="X20" s="6">
        <f>IF(ISNA(MATCH(X$2,Inputs!$K$4:$AJ$4,0)),NA(),IF(SUMPRODUCT((Inputs!$A$5:$A$140=$B20)*ISNUMBER(INDEX(Inputs!$K$5:$AJ$140,0,MATCH(X$2,Inputs!$K$4:$AJ$4,0))))+SUMPRODUCT((Inputs!$C$5:$C$140=$B20)*ISNUMBER(INDEX(Inputs!$K$5:$AJ$140,0,MATCH(X$2,Inputs!$K$4:$AJ$4,0))))+SUMPRODUCT((Inputs!$E$5:$E$140=$B20)*ISNUMBER(INDEX(Inputs!$K$5:$AJ$140,0,MATCH(X$2,Inputs!$K$4:$AJ$4,0))))=0,NA(),SUMPRODUCT((Inputs!$A$5:$A$140=$B20)*Inputs!$B$5:$B$140*(((Inputs!$G$5:$G$140="moeda")+(Inputs!$G$5:$G$140="acoes"))*Inputs!$B$1+((Inputs!$G$5:$G$140&lt;&gt;"moeda")*(Inputs!$G$5:$G$140&lt;&gt;"acoes")))*INDEX(Inputs!$K$5:$AJ$140,0,MATCH(X$2,Inputs!$K$4:$AJ$4,0)))+SUMPRODUCT((Inputs!$C$5:$C$140=$B20)*Inputs!$D$5:$D$140*(((Inputs!$G$5:$G$140="moeda")+(Inputs!$G$5:$G$140="acoes"))*Inputs!$B$1+((Inputs!$G$5:$G$140&lt;&gt;"moeda")*(Inputs!$G$5:$G$140&lt;&gt;"acoes")))*INDEX(Inputs!$K$5:$AJ$140,0,MATCH(X$2,Inputs!$K$4:$AJ$4,0)))+SUMPRODUCT((Inputs!$E$5:$E$140=$B20)*Inputs!$F$5:$F$140*(((Inputs!$G$5:$G$140="moeda")+(Inputs!$G$5:$G$140="acoes"))*Inputs!$B$1+((Inputs!$G$5:$G$140&lt;&gt;"moeda")*(Inputs!$G$5:$G$140&lt;&gt;"acoes")))*INDEX(Inputs!$K$5:$AJ$140,0,MATCH(X$2,Inputs!$K$4:$AJ$4,0)))))</f>
        <v>144.504</v>
      </c>
      <c r="Y20" s="6">
        <f>IF(ISNA(MATCH(Y$2,Inputs!$K$4:$AJ$4,0)),NA(),IF(SUMPRODUCT((Inputs!$A$5:$A$140=$B20)*ISNUMBER(INDEX(Inputs!$K$5:$AJ$140,0,MATCH(Y$2,Inputs!$K$4:$AJ$4,0))))+SUMPRODUCT((Inputs!$C$5:$C$140=$B20)*ISNUMBER(INDEX(Inputs!$K$5:$AJ$140,0,MATCH(Y$2,Inputs!$K$4:$AJ$4,0))))+SUMPRODUCT((Inputs!$E$5:$E$140=$B20)*ISNUMBER(INDEX(Inputs!$K$5:$AJ$140,0,MATCH(Y$2,Inputs!$K$4:$AJ$4,0))))=0,NA(),SUMPRODUCT((Inputs!$A$5:$A$140=$B20)*Inputs!$B$5:$B$140*(((Inputs!$G$5:$G$140="moeda")+(Inputs!$G$5:$G$140="acoes"))*Inputs!$B$1+((Inputs!$G$5:$G$140&lt;&gt;"moeda")*(Inputs!$G$5:$G$140&lt;&gt;"acoes")))*INDEX(Inputs!$K$5:$AJ$140,0,MATCH(Y$2,Inputs!$K$4:$AJ$4,0)))+SUMPRODUCT((Inputs!$C$5:$C$140=$B20)*Inputs!$D$5:$D$140*(((Inputs!$G$5:$G$140="moeda")+(Inputs!$G$5:$G$140="acoes"))*Inputs!$B$1+((Inputs!$G$5:$G$140&lt;&gt;"moeda")*(Inputs!$G$5:$G$140&lt;&gt;"acoes")))*INDEX(Inputs!$K$5:$AJ$140,0,MATCH(Y$2,Inputs!$K$4:$AJ$4,0)))+SUMPRODUCT((Inputs!$E$5:$E$140=$B20)*Inputs!$F$5:$F$140*(((Inputs!$G$5:$G$140="moeda")+(Inputs!$G$5:$G$140="acoes"))*Inputs!$B$1+((Inputs!$G$5:$G$140&lt;&gt;"moeda")*(Inputs!$G$5:$G$140&lt;&gt;"acoes")))*INDEX(Inputs!$K$5:$AJ$140,0,MATCH(Y$2,Inputs!$K$4:$AJ$4,0)))))</f>
        <v>170.013</v>
      </c>
      <c r="Z20" s="6">
        <f>IF(ISNA(MATCH(Z$2,Inputs!$K$4:$AJ$4,0)),NA(),IF(SUMPRODUCT((Inputs!$A$5:$A$140=$B20)*ISNUMBER(INDEX(Inputs!$K$5:$AJ$140,0,MATCH(Z$2,Inputs!$K$4:$AJ$4,0))))+SUMPRODUCT((Inputs!$C$5:$C$140=$B20)*ISNUMBER(INDEX(Inputs!$K$5:$AJ$140,0,MATCH(Z$2,Inputs!$K$4:$AJ$4,0))))+SUMPRODUCT((Inputs!$E$5:$E$140=$B20)*ISNUMBER(INDEX(Inputs!$K$5:$AJ$140,0,MATCH(Z$2,Inputs!$K$4:$AJ$4,0))))=0,NA(),SUMPRODUCT((Inputs!$A$5:$A$140=$B20)*Inputs!$B$5:$B$140*(((Inputs!$G$5:$G$140="moeda")+(Inputs!$G$5:$G$140="acoes"))*Inputs!$B$1+((Inputs!$G$5:$G$140&lt;&gt;"moeda")*(Inputs!$G$5:$G$140&lt;&gt;"acoes")))*INDEX(Inputs!$K$5:$AJ$140,0,MATCH(Z$2,Inputs!$K$4:$AJ$4,0)))+SUMPRODUCT((Inputs!$C$5:$C$140=$B20)*Inputs!$D$5:$D$140*(((Inputs!$G$5:$G$140="moeda")+(Inputs!$G$5:$G$140="acoes"))*Inputs!$B$1+((Inputs!$G$5:$G$140&lt;&gt;"moeda")*(Inputs!$G$5:$G$140&lt;&gt;"acoes")))*INDEX(Inputs!$K$5:$AJ$140,0,MATCH(Z$2,Inputs!$K$4:$AJ$4,0)))+SUMPRODUCT((Inputs!$E$5:$E$140=$B20)*Inputs!$F$5:$F$140*(((Inputs!$G$5:$G$140="moeda")+(Inputs!$G$5:$G$140="acoes"))*Inputs!$B$1+((Inputs!$G$5:$G$140&lt;&gt;"moeda")*(Inputs!$G$5:$G$140&lt;&gt;"acoes")))*INDEX(Inputs!$K$5:$AJ$140,0,MATCH(Z$2,Inputs!$K$4:$AJ$4,0)))))</f>
        <v>187.277</v>
      </c>
      <c r="AA20" s="6">
        <f>IF(ISNA(MATCH(AA$2,Inputs!$K$4:$AJ$4,0)),NA(),IF(SUMPRODUCT((Inputs!$A$5:$A$140=$B20)*ISNUMBER(INDEX(Inputs!$K$5:$AJ$140,0,MATCH(AA$2,Inputs!$K$4:$AJ$4,0))))+SUMPRODUCT((Inputs!$C$5:$C$140=$B20)*ISNUMBER(INDEX(Inputs!$K$5:$AJ$140,0,MATCH(AA$2,Inputs!$K$4:$AJ$4,0))))+SUMPRODUCT((Inputs!$E$5:$E$140=$B20)*ISNUMBER(INDEX(Inputs!$K$5:$AJ$140,0,MATCH(AA$2,Inputs!$K$4:$AJ$4,0))))=0,NA(),SUMPRODUCT((Inputs!$A$5:$A$140=$B20)*Inputs!$B$5:$B$140*(((Inputs!$G$5:$G$140="moeda")+(Inputs!$G$5:$G$140="acoes"))*Inputs!$B$1+((Inputs!$G$5:$G$140&lt;&gt;"moeda")*(Inputs!$G$5:$G$140&lt;&gt;"acoes")))*INDEX(Inputs!$K$5:$AJ$140,0,MATCH(AA$2,Inputs!$K$4:$AJ$4,0)))+SUMPRODUCT((Inputs!$C$5:$C$140=$B20)*Inputs!$D$5:$D$140*(((Inputs!$G$5:$G$140="moeda")+(Inputs!$G$5:$G$140="acoes"))*Inputs!$B$1+((Inputs!$G$5:$G$140&lt;&gt;"moeda")*(Inputs!$G$5:$G$140&lt;&gt;"acoes")))*INDEX(Inputs!$K$5:$AJ$140,0,MATCH(AA$2,Inputs!$K$4:$AJ$4,0)))+SUMPRODUCT((Inputs!$E$5:$E$140=$B20)*Inputs!$F$5:$F$140*(((Inputs!$G$5:$G$140="moeda")+(Inputs!$G$5:$G$140="acoes"))*Inputs!$B$1+((Inputs!$G$5:$G$140&lt;&gt;"moeda")*(Inputs!$G$5:$G$140&lt;&gt;"acoes")))*INDEX(Inputs!$K$5:$AJ$140,0,MATCH(AA$2,Inputs!$K$4:$AJ$4,0)))))</f>
        <v>203.465</v>
      </c>
      <c r="AB20" s="3">
        <f>AA20</f>
        <v>203.465</v>
      </c>
      <c r="AC20" s="6">
        <f>IF(ISNA(MATCH(AC$2,Inputs!$K$4:$AJ$4,0)),NA(),IF(SUMPRODUCT((Inputs!$A$5:$A$140=$B20)*ISNUMBER(INDEX(Inputs!$K$5:$AJ$140,0,MATCH(AC$2,Inputs!$K$4:$AJ$4,0))))+SUMPRODUCT((Inputs!$C$5:$C$140=$B20)*ISNUMBER(INDEX(Inputs!$K$5:$AJ$140,0,MATCH(AC$2,Inputs!$K$4:$AJ$4,0))))+SUMPRODUCT((Inputs!$E$5:$E$140=$B20)*ISNUMBER(INDEX(Inputs!$K$5:$AJ$140,0,MATCH(AC$2,Inputs!$K$4:$AJ$4,0))))=0,NA(),SUMPRODUCT((Inputs!$A$5:$A$140=$B20)*Inputs!$B$5:$B$140*(((Inputs!$G$5:$G$140="moeda")+(Inputs!$G$5:$G$140="acoes"))*Inputs!$B$1+((Inputs!$G$5:$G$140&lt;&gt;"moeda")*(Inputs!$G$5:$G$140&lt;&gt;"acoes")))*INDEX(Inputs!$K$5:$AJ$140,0,MATCH(AC$2,Inputs!$K$4:$AJ$4,0)))+SUMPRODUCT((Inputs!$C$5:$C$140=$B20)*Inputs!$D$5:$D$140*(((Inputs!$G$5:$G$140="moeda")+(Inputs!$G$5:$G$140="acoes"))*Inputs!$B$1+((Inputs!$G$5:$G$140&lt;&gt;"moeda")*(Inputs!$G$5:$G$140&lt;&gt;"acoes")))*INDEX(Inputs!$K$5:$AJ$140,0,MATCH(AC$2,Inputs!$K$4:$AJ$4,0)))+SUMPRODUCT((Inputs!$E$5:$E$140=$B20)*Inputs!$F$5:$F$140*(((Inputs!$G$5:$G$140="moeda")+(Inputs!$G$5:$G$140="acoes"))*Inputs!$B$1+((Inputs!$G$5:$G$140&lt;&gt;"moeda")*(Inputs!$G$5:$G$140&lt;&gt;"acoes")))*INDEX(Inputs!$K$5:$AJ$140,0,MATCH(AC$2,Inputs!$K$4:$AJ$4,0)))))</f>
        <v>206.713</v>
      </c>
      <c r="AD20" s="6">
        <f>IF(ISNA(MATCH(AD$2,Inputs!$K$4:$AJ$4,0)),NA(),IF(SUMPRODUCT((Inputs!$A$5:$A$140=$B20)*ISNUMBER(INDEX(Inputs!$K$5:$AJ$140,0,MATCH(AD$2,Inputs!$K$4:$AJ$4,0))))+SUMPRODUCT((Inputs!$C$5:$C$140=$B20)*ISNUMBER(INDEX(Inputs!$K$5:$AJ$140,0,MATCH(AD$2,Inputs!$K$4:$AJ$4,0))))+SUMPRODUCT((Inputs!$E$5:$E$140=$B20)*ISNUMBER(INDEX(Inputs!$K$5:$AJ$140,0,MATCH(AD$2,Inputs!$K$4:$AJ$4,0))))=0,NA(),SUMPRODUCT((Inputs!$A$5:$A$140=$B20)*Inputs!$B$5:$B$140*(((Inputs!$G$5:$G$140="moeda")+(Inputs!$G$5:$G$140="acoes"))*Inputs!$B$1+((Inputs!$G$5:$G$140&lt;&gt;"moeda")*(Inputs!$G$5:$G$140&lt;&gt;"acoes")))*INDEX(Inputs!$K$5:$AJ$140,0,MATCH(AD$2,Inputs!$K$4:$AJ$4,0)))+SUMPRODUCT((Inputs!$C$5:$C$140=$B20)*Inputs!$D$5:$D$140*(((Inputs!$G$5:$G$140="moeda")+(Inputs!$G$5:$G$140="acoes"))*Inputs!$B$1+((Inputs!$G$5:$G$140&lt;&gt;"moeda")*(Inputs!$G$5:$G$140&lt;&gt;"acoes")))*INDEX(Inputs!$K$5:$AJ$140,0,MATCH(AD$2,Inputs!$K$4:$AJ$4,0)))+SUMPRODUCT((Inputs!$E$5:$E$140=$B20)*Inputs!$F$5:$F$140*(((Inputs!$G$5:$G$140="moeda")+(Inputs!$G$5:$G$140="acoes"))*Inputs!$B$1+((Inputs!$G$5:$G$140&lt;&gt;"moeda")*(Inputs!$G$5:$G$140&lt;&gt;"acoes")))*INDEX(Inputs!$K$5:$AJ$140,0,MATCH(AD$2,Inputs!$K$4:$AJ$4,0)))))</f>
        <v>230.579</v>
      </c>
      <c r="AE20" s="6" t="e">
        <f>IF(ISNA(MATCH(AE$2,Inputs!$K$4:$AJ$4,0)),NA(),IF(SUMPRODUCT((Inputs!$A$5:$A$140=$B20)*ISNUMBER(INDEX(Inputs!$K$5:$AJ$140,0,MATCH(AE$2,Inputs!$K$4:$AJ$4,0))))+SUMPRODUCT((Inputs!$C$5:$C$140=$B20)*ISNUMBER(INDEX(Inputs!$K$5:$AJ$140,0,MATCH(AE$2,Inputs!$K$4:$AJ$4,0))))+SUMPRODUCT((Inputs!$E$5:$E$140=$B20)*ISNUMBER(INDEX(Inputs!$K$5:$AJ$140,0,MATCH(AE$2,Inputs!$K$4:$AJ$4,0))))=0,NA(),SUMPRODUCT((Inputs!$A$5:$A$140=$B20)*Inputs!$B$5:$B$140*(((Inputs!$G$5:$G$140="moeda")+(Inputs!$G$5:$G$140="acoes"))*Inputs!$B$1+((Inputs!$G$5:$G$140&lt;&gt;"moeda")*(Inputs!$G$5:$G$140&lt;&gt;"acoes")))*INDEX(Inputs!$K$5:$AJ$140,0,MATCH(AE$2,Inputs!$K$4:$AJ$4,0)))+SUMPRODUCT((Inputs!$C$5:$C$140=$B20)*Inputs!$D$5:$D$140*(((Inputs!$G$5:$G$140="moeda")+(Inputs!$G$5:$G$140="acoes"))*Inputs!$B$1+((Inputs!$G$5:$G$140&lt;&gt;"moeda")*(Inputs!$G$5:$G$140&lt;&gt;"acoes")))*INDEX(Inputs!$K$5:$AJ$140,0,MATCH(AE$2,Inputs!$K$4:$AJ$4,0)))+SUMPRODUCT((Inputs!$E$5:$E$140=$B20)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0" s="6" t="e">
        <f>IF(ISNA(MATCH(AF$2,Inputs!$K$4:$AJ$4,0)),NA(),IF(SUMPRODUCT((Inputs!$A$5:$A$140=$B20)*ISNUMBER(INDEX(Inputs!$K$5:$AJ$140,0,MATCH(AF$2,Inputs!$K$4:$AJ$4,0))))+SUMPRODUCT((Inputs!$C$5:$C$140=$B20)*ISNUMBER(INDEX(Inputs!$K$5:$AJ$140,0,MATCH(AF$2,Inputs!$K$4:$AJ$4,0))))+SUMPRODUCT((Inputs!$E$5:$E$140=$B20)*ISNUMBER(INDEX(Inputs!$K$5:$AJ$140,0,MATCH(AF$2,Inputs!$K$4:$AJ$4,0))))=0,NA(),SUMPRODUCT((Inputs!$A$5:$A$140=$B20)*Inputs!$B$5:$B$140*(((Inputs!$G$5:$G$140="moeda")+(Inputs!$G$5:$G$140="acoes"))*Inputs!$B$1+((Inputs!$G$5:$G$140&lt;&gt;"moeda")*(Inputs!$G$5:$G$140&lt;&gt;"acoes")))*INDEX(Inputs!$K$5:$AJ$140,0,MATCH(AF$2,Inputs!$K$4:$AJ$4,0)))+SUMPRODUCT((Inputs!$C$5:$C$140=$B20)*Inputs!$D$5:$D$140*(((Inputs!$G$5:$G$140="moeda")+(Inputs!$G$5:$G$140="acoes"))*Inputs!$B$1+((Inputs!$G$5:$G$140&lt;&gt;"moeda")*(Inputs!$G$5:$G$140&lt;&gt;"acoes")))*INDEX(Inputs!$K$5:$AJ$140,0,MATCH(AF$2,Inputs!$K$4:$AJ$4,0)))+SUMPRODUCT((Inputs!$E$5:$E$140=$B20)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0" s="3" t="e">
        <f>AF20</f>
        <v>#N/A</v>
      </c>
      <c r="AH20" s="6">
        <f>IF(ISNA(MATCH(AH$2,Inputs!$K$4:$AJ$4,0)),NA(),IF(SUMPRODUCT((Inputs!$A$5:$A$140=$B20)*ISNUMBER(INDEX(Inputs!$K$5:$AJ$140,0,MATCH(AH$2,Inputs!$K$4:$AJ$4,0))))+SUMPRODUCT((Inputs!$C$5:$C$140=$B20)*ISNUMBER(INDEX(Inputs!$K$5:$AJ$140,0,MATCH(AH$2,Inputs!$K$4:$AJ$4,0))))+SUMPRODUCT((Inputs!$E$5:$E$140=$B20)*ISNUMBER(INDEX(Inputs!$K$5:$AJ$140,0,MATCH(AH$2,Inputs!$K$4:$AJ$4,0))))=0,NA(),SUMPRODUCT((Inputs!$A$5:$A$140=$B20)*Inputs!$B$5:$B$140*(((Inputs!$G$5:$G$140="moeda")+(Inputs!$G$5:$G$140="acoes"))*Inputs!$B$1+((Inputs!$G$5:$G$140&lt;&gt;"moeda")*(Inputs!$G$5:$G$140&lt;&gt;"acoes")))*INDEX(Inputs!$K$5:$AJ$140,0,MATCH(AH$2,Inputs!$K$4:$AJ$4,0)))+SUMPRODUCT((Inputs!$C$5:$C$140=$B20)*Inputs!$D$5:$D$140*(((Inputs!$G$5:$G$140="moeda")+(Inputs!$G$5:$G$140="acoes"))*Inputs!$B$1+((Inputs!$G$5:$G$140&lt;&gt;"moeda")*(Inputs!$G$5:$G$140&lt;&gt;"acoes")))*INDEX(Inputs!$K$5:$AJ$140,0,MATCH(AH$2,Inputs!$K$4:$AJ$4,0)))+SUMPRODUCT((Inputs!$E$5:$E$140=$B20)*Inputs!$F$5:$F$140*(((Inputs!$G$5:$G$140="moeda")+(Inputs!$G$5:$G$140="acoes"))*Inputs!$B$1+((Inputs!$G$5:$G$140&lt;&gt;"moeda")*(Inputs!$G$5:$G$140&lt;&gt;"acoes")))*INDEX(Inputs!$K$5:$AJ$140,0,MATCH(AH$2,Inputs!$K$4:$AJ$4,0)))))</f>
        <v>34.332</v>
      </c>
      <c r="AI20" s="6">
        <f>IF(ISNA(MATCH(AI$2,Inputs!$K$4:$AJ$4,0)),NA(),IF(SUMPRODUCT((Inputs!$A$5:$A$140=$B20)*ISNUMBER(INDEX(Inputs!$K$5:$AJ$140,0,MATCH(AI$2,Inputs!$K$4:$AJ$4,0))))+SUMPRODUCT((Inputs!$C$5:$C$140=$B20)*ISNUMBER(INDEX(Inputs!$K$5:$AJ$140,0,MATCH(AI$2,Inputs!$K$4:$AJ$4,0))))+SUMPRODUCT((Inputs!$E$5:$E$140=$B20)*ISNUMBER(INDEX(Inputs!$K$5:$AJ$140,0,MATCH(AI$2,Inputs!$K$4:$AJ$4,0))))=0,NA(),SUMPRODUCT((Inputs!$A$5:$A$140=$B20)*Inputs!$B$5:$B$140*(((Inputs!$G$5:$G$140="moeda")+(Inputs!$G$5:$G$140="acoes"))*Inputs!$B$1+((Inputs!$G$5:$G$140&lt;&gt;"moeda")*(Inputs!$G$5:$G$140&lt;&gt;"acoes")))*INDEX(Inputs!$K$5:$AJ$140,0,MATCH(AI$2,Inputs!$K$4:$AJ$4,0)))+SUMPRODUCT((Inputs!$C$5:$C$140=$B20)*Inputs!$D$5:$D$140*(((Inputs!$G$5:$G$140="moeda")+(Inputs!$G$5:$G$140="acoes"))*Inputs!$B$1+((Inputs!$G$5:$G$140&lt;&gt;"moeda")*(Inputs!$G$5:$G$140&lt;&gt;"acoes")))*INDEX(Inputs!$K$5:$AJ$140,0,MATCH(AI$2,Inputs!$K$4:$AJ$4,0)))+SUMPRODUCT((Inputs!$E$5:$E$140=$B20)*Inputs!$F$5:$F$140*(((Inputs!$G$5:$G$140="moeda")+(Inputs!$G$5:$G$140="acoes"))*Inputs!$B$1+((Inputs!$G$5:$G$140&lt;&gt;"moeda")*(Inputs!$G$5:$G$140&lt;&gt;"acoes")))*INDEX(Inputs!$K$5:$AJ$140,0,MATCH(AI$2,Inputs!$K$4:$AJ$4,0)))))</f>
        <v>36.889</v>
      </c>
      <c r="AJ20" s="6">
        <f>IF(ISNA(MATCH(AJ$2,Inputs!$K$4:$AJ$4,0)),NA(),IF(SUMPRODUCT((Inputs!$A$5:$A$140=$B20)*ISNUMBER(INDEX(Inputs!$K$5:$AJ$140,0,MATCH(AJ$2,Inputs!$K$4:$AJ$4,0))))+SUMPRODUCT((Inputs!$C$5:$C$140=$B20)*ISNUMBER(INDEX(Inputs!$K$5:$AJ$140,0,MATCH(AJ$2,Inputs!$K$4:$AJ$4,0))))+SUMPRODUCT((Inputs!$E$5:$E$140=$B20)*ISNUMBER(INDEX(Inputs!$K$5:$AJ$140,0,MATCH(AJ$2,Inputs!$K$4:$AJ$4,0))))=0,NA(),SUMPRODUCT((Inputs!$A$5:$A$140=$B20)*Inputs!$B$5:$B$140*(((Inputs!$G$5:$G$140="moeda")+(Inputs!$G$5:$G$140="acoes"))*Inputs!$B$1+((Inputs!$G$5:$G$140&lt;&gt;"moeda")*(Inputs!$G$5:$G$140&lt;&gt;"acoes")))*INDEX(Inputs!$K$5:$AJ$140,0,MATCH(AJ$2,Inputs!$K$4:$AJ$4,0)))+SUMPRODUCT((Inputs!$C$5:$C$140=$B20)*Inputs!$D$5:$D$140*(((Inputs!$G$5:$G$140="moeda")+(Inputs!$G$5:$G$140="acoes"))*Inputs!$B$1+((Inputs!$G$5:$G$140&lt;&gt;"moeda")*(Inputs!$G$5:$G$140&lt;&gt;"acoes")))*INDEX(Inputs!$K$5:$AJ$140,0,MATCH(AJ$2,Inputs!$K$4:$AJ$4,0)))+SUMPRODUCT((Inputs!$E$5:$E$140=$B20)*Inputs!$F$5:$F$140*(((Inputs!$G$5:$G$140="moeda")+(Inputs!$G$5:$G$140="acoes"))*Inputs!$B$1+((Inputs!$G$5:$G$140&lt;&gt;"moeda")*(Inputs!$G$5:$G$140&lt;&gt;"acoes")))*INDEX(Inputs!$K$5:$AJ$140,0,MATCH(AJ$2,Inputs!$K$4:$AJ$4,0)))))</f>
        <v>42.749</v>
      </c>
      <c r="AK20" s="6">
        <f>IF(ISNA(MATCH(AK$2,Inputs!$K$4:$AJ$4,0)),NA(),IF(SUMPRODUCT((Inputs!$A$5:$A$140=$B20)*ISNUMBER(INDEX(Inputs!$K$5:$AJ$140,0,MATCH(AK$2,Inputs!$K$4:$AJ$4,0))))+SUMPRODUCT((Inputs!$C$5:$C$140=$B20)*ISNUMBER(INDEX(Inputs!$K$5:$AJ$140,0,MATCH(AK$2,Inputs!$K$4:$AJ$4,0))))+SUMPRODUCT((Inputs!$E$5:$E$140=$B20)*ISNUMBER(INDEX(Inputs!$K$5:$AJ$140,0,MATCH(AK$2,Inputs!$K$4:$AJ$4,0))))=0,NA(),SUMPRODUCT((Inputs!$A$5:$A$140=$B20)*Inputs!$B$5:$B$140*(((Inputs!$G$5:$G$140="moeda")+(Inputs!$G$5:$G$140="acoes"))*Inputs!$B$1+((Inputs!$G$5:$G$140&lt;&gt;"moeda")*(Inputs!$G$5:$G$140&lt;&gt;"acoes")))*INDEX(Inputs!$K$5:$AJ$140,0,MATCH(AK$2,Inputs!$K$4:$AJ$4,0)))+SUMPRODUCT((Inputs!$C$5:$C$140=$B20)*Inputs!$D$5:$D$140*(((Inputs!$G$5:$G$140="moeda")+(Inputs!$G$5:$G$140="acoes"))*Inputs!$B$1+((Inputs!$G$5:$G$140&lt;&gt;"moeda")*(Inputs!$G$5:$G$140&lt;&gt;"acoes")))*INDEX(Inputs!$K$5:$AJ$140,0,MATCH(AK$2,Inputs!$K$4:$AJ$4,0)))+SUMPRODUCT((Inputs!$E$5:$E$140=$B20)*Inputs!$F$5:$F$140*(((Inputs!$G$5:$G$140="moeda")+(Inputs!$G$5:$G$140="acoes"))*Inputs!$B$1+((Inputs!$G$5:$G$140&lt;&gt;"moeda")*(Inputs!$G$5:$G$140&lt;&gt;"acoes")))*INDEX(Inputs!$K$5:$AJ$140,0,MATCH(AK$2,Inputs!$K$4:$AJ$4,0)))))</f>
        <v>16.345</v>
      </c>
      <c r="AL20" s="3">
        <f>AK20</f>
        <v>16.345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$140=$B21)*ISNUMBER(INDEX(Inputs!$K$5:$AJ$140,0,MATCH(D$2,Inputs!$K$4:$AJ$4,0))))+SUMPRODUCT((Inputs!$C$5:$C$140=$B21)*ISNUMBER(INDEX(Inputs!$K$5:$AJ$140,0,MATCH(D$2,Inputs!$K$4:$AJ$4,0))))+SUMPRODUCT((Inputs!$E$5:$E$140=$B21)*ISNUMBER(INDEX(Inputs!$K$5:$AJ$140,0,MATCH(D$2,Inputs!$K$4:$AJ$4,0))))=0,NA(),SUMPRODUCT((Inputs!$A$5:$A$140=$B21)*Inputs!$B$5:$B$140*(((Inputs!$G$5:$G$140="moeda")+(Inputs!$G$5:$G$140="acoes"))*Inputs!$B$1+((Inputs!$G$5:$G$140&lt;&gt;"moeda")*(Inputs!$G$5:$G$140&lt;&gt;"acoes")))*INDEX(Inputs!$K$5:$AJ$140,0,MATCH(D$2,Inputs!$K$4:$AJ$4,0)))+SUMPRODUCT((Inputs!$C$5:$C$140=$B21)*Inputs!$D$5:$D$140*(((Inputs!$G$5:$G$140="moeda")+(Inputs!$G$5:$G$140="acoes"))*Inputs!$B$1+((Inputs!$G$5:$G$140&lt;&gt;"moeda")*(Inputs!$G$5:$G$140&lt;&gt;"acoes")))*INDEX(Inputs!$K$5:$AJ$140,0,MATCH(D$2,Inputs!$K$4:$AJ$4,0)))+SUMPRODUCT((Inputs!$E$5:$E$140=$B21)*Inputs!$F$5:$F$140*(((Inputs!$G$5:$G$140="moeda")+(Inputs!$G$5:$G$140="acoes"))*Inputs!$B$1+((Inputs!$G$5:$G$140&lt;&gt;"moeda")*(Inputs!$G$5:$G$140&lt;&gt;"acoes")))*INDEX(Inputs!$K$5:$AJ$140,0,MATCH(D$2,Inputs!$K$4:$AJ$4,0)))))</f>
        <v>28.737</v>
      </c>
      <c r="E21" s="6">
        <f>IF(ISNA(MATCH(E$2,Inputs!$K$4:$AJ$4,0)),NA(),IF(SUMPRODUCT((Inputs!$A$5:$A$140=$B21)*ISNUMBER(INDEX(Inputs!$K$5:$AJ$140,0,MATCH(E$2,Inputs!$K$4:$AJ$4,0))))+SUMPRODUCT((Inputs!$C$5:$C$140=$B21)*ISNUMBER(INDEX(Inputs!$K$5:$AJ$140,0,MATCH(E$2,Inputs!$K$4:$AJ$4,0))))+SUMPRODUCT((Inputs!$E$5:$E$140=$B21)*ISNUMBER(INDEX(Inputs!$K$5:$AJ$140,0,MATCH(E$2,Inputs!$K$4:$AJ$4,0))))=0,NA(),SUMPRODUCT((Inputs!$A$5:$A$140=$B21)*Inputs!$B$5:$B$140*(((Inputs!$G$5:$G$140="moeda")+(Inputs!$G$5:$G$140="acoes"))*Inputs!$B$1+((Inputs!$G$5:$G$140&lt;&gt;"moeda")*(Inputs!$G$5:$G$140&lt;&gt;"acoes")))*INDEX(Inputs!$K$5:$AJ$140,0,MATCH(E$2,Inputs!$K$4:$AJ$4,0)))+SUMPRODUCT((Inputs!$C$5:$C$140=$B21)*Inputs!$D$5:$D$140*(((Inputs!$G$5:$G$140="moeda")+(Inputs!$G$5:$G$140="acoes"))*Inputs!$B$1+((Inputs!$G$5:$G$140&lt;&gt;"moeda")*(Inputs!$G$5:$G$140&lt;&gt;"acoes")))*INDEX(Inputs!$K$5:$AJ$140,0,MATCH(E$2,Inputs!$K$4:$AJ$4,0)))+SUMPRODUCT((Inputs!$E$5:$E$140=$B21)*Inputs!$F$5:$F$140*(((Inputs!$G$5:$G$140="moeda")+(Inputs!$G$5:$G$140="acoes"))*Inputs!$B$1+((Inputs!$G$5:$G$140&lt;&gt;"moeda")*(Inputs!$G$5:$G$140&lt;&gt;"acoes")))*INDEX(Inputs!$K$5:$AJ$140,0,MATCH(E$2,Inputs!$K$4:$AJ$4,0)))))</f>
        <v>32.139</v>
      </c>
      <c r="F21" s="6">
        <f>IF(ISNA(MATCH(F$2,Inputs!$K$4:$AJ$4,0)),NA(),IF(SUMPRODUCT((Inputs!$A$5:$A$140=$B21)*ISNUMBER(INDEX(Inputs!$K$5:$AJ$140,0,MATCH(F$2,Inputs!$K$4:$AJ$4,0))))+SUMPRODUCT((Inputs!$C$5:$C$140=$B21)*ISNUMBER(INDEX(Inputs!$K$5:$AJ$140,0,MATCH(F$2,Inputs!$K$4:$AJ$4,0))))+SUMPRODUCT((Inputs!$E$5:$E$140=$B21)*ISNUMBER(INDEX(Inputs!$K$5:$AJ$140,0,MATCH(F$2,Inputs!$K$4:$AJ$4,0))))=0,NA(),SUMPRODUCT((Inputs!$A$5:$A$140=$B21)*Inputs!$B$5:$B$140*(((Inputs!$G$5:$G$140="moeda")+(Inputs!$G$5:$G$140="acoes"))*Inputs!$B$1+((Inputs!$G$5:$G$140&lt;&gt;"moeda")*(Inputs!$G$5:$G$140&lt;&gt;"acoes")))*INDEX(Inputs!$K$5:$AJ$140,0,MATCH(F$2,Inputs!$K$4:$AJ$4,0)))+SUMPRODUCT((Inputs!$C$5:$C$140=$B21)*Inputs!$D$5:$D$140*(((Inputs!$G$5:$G$140="moeda")+(Inputs!$G$5:$G$140="acoes"))*Inputs!$B$1+((Inputs!$G$5:$G$140&lt;&gt;"moeda")*(Inputs!$G$5:$G$140&lt;&gt;"acoes")))*INDEX(Inputs!$K$5:$AJ$140,0,MATCH(F$2,Inputs!$K$4:$AJ$4,0)))+SUMPRODUCT((Inputs!$E$5:$E$140=$B21)*Inputs!$F$5:$F$140*(((Inputs!$G$5:$G$140="moeda")+(Inputs!$G$5:$G$140="acoes"))*Inputs!$B$1+((Inputs!$G$5:$G$140&lt;&gt;"moeda")*(Inputs!$G$5:$G$140&lt;&gt;"acoes")))*INDEX(Inputs!$K$5:$AJ$140,0,MATCH(F$2,Inputs!$K$4:$AJ$4,0)))))</f>
        <v>29.674</v>
      </c>
      <c r="G21" s="6">
        <f>IF(ISNA(MATCH(G$2,Inputs!$K$4:$AJ$4,0)),NA(),IF(SUMPRODUCT((Inputs!$A$5:$A$140=$B21)*ISNUMBER(INDEX(Inputs!$K$5:$AJ$140,0,MATCH(G$2,Inputs!$K$4:$AJ$4,0))))+SUMPRODUCT((Inputs!$C$5:$C$140=$B21)*ISNUMBER(INDEX(Inputs!$K$5:$AJ$140,0,MATCH(G$2,Inputs!$K$4:$AJ$4,0))))+SUMPRODUCT((Inputs!$E$5:$E$140=$B21)*ISNUMBER(INDEX(Inputs!$K$5:$AJ$140,0,MATCH(G$2,Inputs!$K$4:$AJ$4,0))))=0,NA(),SUMPRODUCT((Inputs!$A$5:$A$140=$B21)*Inputs!$B$5:$B$140*(((Inputs!$G$5:$G$140="moeda")+(Inputs!$G$5:$G$140="acoes"))*Inputs!$B$1+((Inputs!$G$5:$G$140&lt;&gt;"moeda")*(Inputs!$G$5:$G$140&lt;&gt;"acoes")))*INDEX(Inputs!$K$5:$AJ$140,0,MATCH(G$2,Inputs!$K$4:$AJ$4,0)))+SUMPRODUCT((Inputs!$C$5:$C$140=$B21)*Inputs!$D$5:$D$140*(((Inputs!$G$5:$G$140="moeda")+(Inputs!$G$5:$G$140="acoes"))*Inputs!$B$1+((Inputs!$G$5:$G$140&lt;&gt;"moeda")*(Inputs!$G$5:$G$140&lt;&gt;"acoes")))*INDEX(Inputs!$K$5:$AJ$140,0,MATCH(G$2,Inputs!$K$4:$AJ$4,0)))+SUMPRODUCT((Inputs!$E$5:$E$140=$B21)*Inputs!$F$5:$F$140*(((Inputs!$G$5:$G$140="moeda")+(Inputs!$G$5:$G$140="acoes"))*Inputs!$B$1+((Inputs!$G$5:$G$140&lt;&gt;"moeda")*(Inputs!$G$5:$G$140&lt;&gt;"acoes")))*INDEX(Inputs!$K$5:$AJ$140,0,MATCH(G$2,Inputs!$K$4:$AJ$4,0)))))</f>
        <v>29.77</v>
      </c>
      <c r="H21" s="3">
        <f>G21</f>
        <v>29.77</v>
      </c>
      <c r="I21" s="6">
        <f>IF(ISNA(MATCH(I$2,Inputs!$K$4:$AJ$4,0)),NA(),IF(SUMPRODUCT((Inputs!$A$5:$A$140=$B21)*ISNUMBER(INDEX(Inputs!$K$5:$AJ$140,0,MATCH(I$2,Inputs!$K$4:$AJ$4,0))))+SUMPRODUCT((Inputs!$C$5:$C$140=$B21)*ISNUMBER(INDEX(Inputs!$K$5:$AJ$140,0,MATCH(I$2,Inputs!$K$4:$AJ$4,0))))+SUMPRODUCT((Inputs!$E$5:$E$140=$B21)*ISNUMBER(INDEX(Inputs!$K$5:$AJ$140,0,MATCH(I$2,Inputs!$K$4:$AJ$4,0))))=0,NA(),SUMPRODUCT((Inputs!$A$5:$A$140=$B21)*Inputs!$B$5:$B$140*(((Inputs!$G$5:$G$140="moeda")+(Inputs!$G$5:$G$140="acoes"))*Inputs!$B$1+((Inputs!$G$5:$G$140&lt;&gt;"moeda")*(Inputs!$G$5:$G$140&lt;&gt;"acoes")))*INDEX(Inputs!$K$5:$AJ$140,0,MATCH(I$2,Inputs!$K$4:$AJ$4,0)))+SUMPRODUCT((Inputs!$C$5:$C$140=$B21)*Inputs!$D$5:$D$140*(((Inputs!$G$5:$G$140="moeda")+(Inputs!$G$5:$G$140="acoes"))*Inputs!$B$1+((Inputs!$G$5:$G$140&lt;&gt;"moeda")*(Inputs!$G$5:$G$140&lt;&gt;"acoes")))*INDEX(Inputs!$K$5:$AJ$140,0,MATCH(I$2,Inputs!$K$4:$AJ$4,0)))+SUMPRODUCT((Inputs!$E$5:$E$140=$B21)*Inputs!$F$5:$F$140*(((Inputs!$G$5:$G$140="moeda")+(Inputs!$G$5:$G$140="acoes"))*Inputs!$B$1+((Inputs!$G$5:$G$140&lt;&gt;"moeda")*(Inputs!$G$5:$G$140&lt;&gt;"acoes")))*INDEX(Inputs!$K$5:$AJ$140,0,MATCH(I$2,Inputs!$K$4:$AJ$4,0)))))</f>
        <v>30.764</v>
      </c>
      <c r="J21" s="6">
        <f>IF(ISNA(MATCH(J$2,Inputs!$K$4:$AJ$4,0)),NA(),IF(SUMPRODUCT((Inputs!$A$5:$A$140=$B21)*ISNUMBER(INDEX(Inputs!$K$5:$AJ$140,0,MATCH(J$2,Inputs!$K$4:$AJ$4,0))))+SUMPRODUCT((Inputs!$C$5:$C$140=$B21)*ISNUMBER(INDEX(Inputs!$K$5:$AJ$140,0,MATCH(J$2,Inputs!$K$4:$AJ$4,0))))+SUMPRODUCT((Inputs!$E$5:$E$140=$B21)*ISNUMBER(INDEX(Inputs!$K$5:$AJ$140,0,MATCH(J$2,Inputs!$K$4:$AJ$4,0))))=0,NA(),SUMPRODUCT((Inputs!$A$5:$A$140=$B21)*Inputs!$B$5:$B$140*(((Inputs!$G$5:$G$140="moeda")+(Inputs!$G$5:$G$140="acoes"))*Inputs!$B$1+((Inputs!$G$5:$G$140&lt;&gt;"moeda")*(Inputs!$G$5:$G$140&lt;&gt;"acoes")))*INDEX(Inputs!$K$5:$AJ$140,0,MATCH(J$2,Inputs!$K$4:$AJ$4,0)))+SUMPRODUCT((Inputs!$C$5:$C$140=$B21)*Inputs!$D$5:$D$140*(((Inputs!$G$5:$G$140="moeda")+(Inputs!$G$5:$G$140="acoes"))*Inputs!$B$1+((Inputs!$G$5:$G$140&lt;&gt;"moeda")*(Inputs!$G$5:$G$140&lt;&gt;"acoes")))*INDEX(Inputs!$K$5:$AJ$140,0,MATCH(J$2,Inputs!$K$4:$AJ$4,0)))+SUMPRODUCT((Inputs!$E$5:$E$140=$B21)*Inputs!$F$5:$F$140*(((Inputs!$G$5:$G$140="moeda")+(Inputs!$G$5:$G$140="acoes"))*Inputs!$B$1+((Inputs!$G$5:$G$140&lt;&gt;"moeda")*(Inputs!$G$5:$G$140&lt;&gt;"acoes")))*INDEX(Inputs!$K$5:$AJ$140,0,MATCH(J$2,Inputs!$K$4:$AJ$4,0)))))</f>
        <v>33.604</v>
      </c>
      <c r="K21" s="6">
        <f>IF(ISNA(MATCH(K$2,Inputs!$K$4:$AJ$4,0)),NA(),IF(SUMPRODUCT((Inputs!$A$5:$A$140=$B21)*ISNUMBER(INDEX(Inputs!$K$5:$AJ$140,0,MATCH(K$2,Inputs!$K$4:$AJ$4,0))))+SUMPRODUCT((Inputs!$C$5:$C$140=$B21)*ISNUMBER(INDEX(Inputs!$K$5:$AJ$140,0,MATCH(K$2,Inputs!$K$4:$AJ$4,0))))+SUMPRODUCT((Inputs!$E$5:$E$140=$B21)*ISNUMBER(INDEX(Inputs!$K$5:$AJ$140,0,MATCH(K$2,Inputs!$K$4:$AJ$4,0))))=0,NA(),SUMPRODUCT((Inputs!$A$5:$A$140=$B21)*Inputs!$B$5:$B$140*(((Inputs!$G$5:$G$140="moeda")+(Inputs!$G$5:$G$140="acoes"))*Inputs!$B$1+((Inputs!$G$5:$G$140&lt;&gt;"moeda")*(Inputs!$G$5:$G$140&lt;&gt;"acoes")))*INDEX(Inputs!$K$5:$AJ$140,0,MATCH(K$2,Inputs!$K$4:$AJ$4,0)))+SUMPRODUCT((Inputs!$C$5:$C$140=$B21)*Inputs!$D$5:$D$140*(((Inputs!$G$5:$G$140="moeda")+(Inputs!$G$5:$G$140="acoes"))*Inputs!$B$1+((Inputs!$G$5:$G$140&lt;&gt;"moeda")*(Inputs!$G$5:$G$140&lt;&gt;"acoes")))*INDEX(Inputs!$K$5:$AJ$140,0,MATCH(K$2,Inputs!$K$4:$AJ$4,0)))+SUMPRODUCT((Inputs!$E$5:$E$140=$B21)*Inputs!$F$5:$F$140*(((Inputs!$G$5:$G$140="moeda")+(Inputs!$G$5:$G$140="acoes"))*Inputs!$B$1+((Inputs!$G$5:$G$140&lt;&gt;"moeda")*(Inputs!$G$5:$G$140&lt;&gt;"acoes")))*INDEX(Inputs!$K$5:$AJ$140,0,MATCH(K$2,Inputs!$K$4:$AJ$4,0)))))</f>
        <v>36.393</v>
      </c>
      <c r="L21" s="6">
        <f>IF(ISNA(MATCH(L$2,Inputs!$K$4:$AJ$4,0)),NA(),IF(SUMPRODUCT((Inputs!$A$5:$A$140=$B21)*ISNUMBER(INDEX(Inputs!$K$5:$AJ$140,0,MATCH(L$2,Inputs!$K$4:$AJ$4,0))))+SUMPRODUCT((Inputs!$C$5:$C$140=$B21)*ISNUMBER(INDEX(Inputs!$K$5:$AJ$140,0,MATCH(L$2,Inputs!$K$4:$AJ$4,0))))+SUMPRODUCT((Inputs!$E$5:$E$140=$B21)*ISNUMBER(INDEX(Inputs!$K$5:$AJ$140,0,MATCH(L$2,Inputs!$K$4:$AJ$4,0))))=0,NA(),SUMPRODUCT((Inputs!$A$5:$A$140=$B21)*Inputs!$B$5:$B$140*(((Inputs!$G$5:$G$140="moeda")+(Inputs!$G$5:$G$140="acoes"))*Inputs!$B$1+((Inputs!$G$5:$G$140&lt;&gt;"moeda")*(Inputs!$G$5:$G$140&lt;&gt;"acoes")))*INDEX(Inputs!$K$5:$AJ$140,0,MATCH(L$2,Inputs!$K$4:$AJ$4,0)))+SUMPRODUCT((Inputs!$C$5:$C$140=$B21)*Inputs!$D$5:$D$140*(((Inputs!$G$5:$G$140="moeda")+(Inputs!$G$5:$G$140="acoes"))*Inputs!$B$1+((Inputs!$G$5:$G$140&lt;&gt;"moeda")*(Inputs!$G$5:$G$140&lt;&gt;"acoes")))*INDEX(Inputs!$K$5:$AJ$140,0,MATCH(L$2,Inputs!$K$4:$AJ$4,0)))+SUMPRODUCT((Inputs!$E$5:$E$140=$B21)*Inputs!$F$5:$F$140*(((Inputs!$G$5:$G$140="moeda")+(Inputs!$G$5:$G$140="acoes"))*Inputs!$B$1+((Inputs!$G$5:$G$140&lt;&gt;"moeda")*(Inputs!$G$5:$G$140&lt;&gt;"acoes")))*INDEX(Inputs!$K$5:$AJ$140,0,MATCH(L$2,Inputs!$K$4:$AJ$4,0)))))</f>
        <v>34.316</v>
      </c>
      <c r="M21" s="3">
        <f>L21</f>
        <v>34.316</v>
      </c>
      <c r="N21" s="6">
        <f>IF(ISNA(MATCH(N$2,Inputs!$K$4:$AJ$4,0)),NA(),IF(SUMPRODUCT((Inputs!$A$5:$A$140=$B21)*ISNUMBER(INDEX(Inputs!$K$5:$AJ$140,0,MATCH(N$2,Inputs!$K$4:$AJ$4,0))))+SUMPRODUCT((Inputs!$C$5:$C$140=$B21)*ISNUMBER(INDEX(Inputs!$K$5:$AJ$140,0,MATCH(N$2,Inputs!$K$4:$AJ$4,0))))+SUMPRODUCT((Inputs!$E$5:$E$140=$B21)*ISNUMBER(INDEX(Inputs!$K$5:$AJ$140,0,MATCH(N$2,Inputs!$K$4:$AJ$4,0))))=0,NA(),SUMPRODUCT((Inputs!$A$5:$A$140=$B21)*Inputs!$B$5:$B$140*(((Inputs!$G$5:$G$140="moeda")+(Inputs!$G$5:$G$140="acoes"))*Inputs!$B$1+((Inputs!$G$5:$G$140&lt;&gt;"moeda")*(Inputs!$G$5:$G$140&lt;&gt;"acoes")))*INDEX(Inputs!$K$5:$AJ$140,0,MATCH(N$2,Inputs!$K$4:$AJ$4,0)))+SUMPRODUCT((Inputs!$C$5:$C$140=$B21)*Inputs!$D$5:$D$140*(((Inputs!$G$5:$G$140="moeda")+(Inputs!$G$5:$G$140="acoes"))*Inputs!$B$1+((Inputs!$G$5:$G$140&lt;&gt;"moeda")*(Inputs!$G$5:$G$140&lt;&gt;"acoes")))*INDEX(Inputs!$K$5:$AJ$140,0,MATCH(N$2,Inputs!$K$4:$AJ$4,0)))+SUMPRODUCT((Inputs!$E$5:$E$140=$B21)*Inputs!$F$5:$F$140*(((Inputs!$G$5:$G$140="moeda")+(Inputs!$G$5:$G$140="acoes"))*Inputs!$B$1+((Inputs!$G$5:$G$140&lt;&gt;"moeda")*(Inputs!$G$5:$G$140&lt;&gt;"acoes")))*INDEX(Inputs!$K$5:$AJ$140,0,MATCH(N$2,Inputs!$K$4:$AJ$4,0)))))</f>
        <v>32.327</v>
      </c>
      <c r="O21" s="6">
        <f>IF(ISNA(MATCH(O$2,Inputs!$K$4:$AJ$4,0)),NA(),IF(SUMPRODUCT((Inputs!$A$5:$A$140=$B21)*ISNUMBER(INDEX(Inputs!$K$5:$AJ$140,0,MATCH(O$2,Inputs!$K$4:$AJ$4,0))))+SUMPRODUCT((Inputs!$C$5:$C$140=$B21)*ISNUMBER(INDEX(Inputs!$K$5:$AJ$140,0,MATCH(O$2,Inputs!$K$4:$AJ$4,0))))+SUMPRODUCT((Inputs!$E$5:$E$140=$B21)*ISNUMBER(INDEX(Inputs!$K$5:$AJ$140,0,MATCH(O$2,Inputs!$K$4:$AJ$4,0))))=0,NA(),SUMPRODUCT((Inputs!$A$5:$A$140=$B21)*Inputs!$B$5:$B$140*(((Inputs!$G$5:$G$140="moeda")+(Inputs!$G$5:$G$140="acoes"))*Inputs!$B$1+((Inputs!$G$5:$G$140&lt;&gt;"moeda")*(Inputs!$G$5:$G$140&lt;&gt;"acoes")))*INDEX(Inputs!$K$5:$AJ$140,0,MATCH(O$2,Inputs!$K$4:$AJ$4,0)))+SUMPRODUCT((Inputs!$C$5:$C$140=$B21)*Inputs!$D$5:$D$140*(((Inputs!$G$5:$G$140="moeda")+(Inputs!$G$5:$G$140="acoes"))*Inputs!$B$1+((Inputs!$G$5:$G$140&lt;&gt;"moeda")*(Inputs!$G$5:$G$140&lt;&gt;"acoes")))*INDEX(Inputs!$K$5:$AJ$140,0,MATCH(O$2,Inputs!$K$4:$AJ$4,0)))+SUMPRODUCT((Inputs!$E$5:$E$140=$B21)*Inputs!$F$5:$F$140*(((Inputs!$G$5:$G$140="moeda")+(Inputs!$G$5:$G$140="acoes"))*Inputs!$B$1+((Inputs!$G$5:$G$140&lt;&gt;"moeda")*(Inputs!$G$5:$G$140&lt;&gt;"acoes")))*INDEX(Inputs!$K$5:$AJ$140,0,MATCH(O$2,Inputs!$K$4:$AJ$4,0)))))</f>
        <v>33.598</v>
      </c>
      <c r="P21" s="6">
        <f>IF(ISNA(MATCH(P$2,Inputs!$K$4:$AJ$4,0)),NA(),IF(SUMPRODUCT((Inputs!$A$5:$A$140=$B21)*ISNUMBER(INDEX(Inputs!$K$5:$AJ$140,0,MATCH(P$2,Inputs!$K$4:$AJ$4,0))))+SUMPRODUCT((Inputs!$C$5:$C$140=$B21)*ISNUMBER(INDEX(Inputs!$K$5:$AJ$140,0,MATCH(P$2,Inputs!$K$4:$AJ$4,0))))+SUMPRODUCT((Inputs!$E$5:$E$140=$B21)*ISNUMBER(INDEX(Inputs!$K$5:$AJ$140,0,MATCH(P$2,Inputs!$K$4:$AJ$4,0))))=0,NA(),SUMPRODUCT((Inputs!$A$5:$A$140=$B21)*Inputs!$B$5:$B$140*(((Inputs!$G$5:$G$140="moeda")+(Inputs!$G$5:$G$140="acoes"))*Inputs!$B$1+((Inputs!$G$5:$G$140&lt;&gt;"moeda")*(Inputs!$G$5:$G$140&lt;&gt;"acoes")))*INDEX(Inputs!$K$5:$AJ$140,0,MATCH(P$2,Inputs!$K$4:$AJ$4,0)))+SUMPRODUCT((Inputs!$C$5:$C$140=$B21)*Inputs!$D$5:$D$140*(((Inputs!$G$5:$G$140="moeda")+(Inputs!$G$5:$G$140="acoes"))*Inputs!$B$1+((Inputs!$G$5:$G$140&lt;&gt;"moeda")*(Inputs!$G$5:$G$140&lt;&gt;"acoes")))*INDEX(Inputs!$K$5:$AJ$140,0,MATCH(P$2,Inputs!$K$4:$AJ$4,0)))+SUMPRODUCT((Inputs!$E$5:$E$140=$B21)*Inputs!$F$5:$F$140*(((Inputs!$G$5:$G$140="moeda")+(Inputs!$G$5:$G$140="acoes"))*Inputs!$B$1+((Inputs!$G$5:$G$140&lt;&gt;"moeda")*(Inputs!$G$5:$G$140&lt;&gt;"acoes")))*INDEX(Inputs!$K$5:$AJ$140,0,MATCH(P$2,Inputs!$K$4:$AJ$4,0)))))</f>
        <v>29.692</v>
      </c>
      <c r="Q21" s="6">
        <f>IF(ISNA(MATCH(Q$2,Inputs!$K$4:$AJ$4,0)),NA(),IF(SUMPRODUCT((Inputs!$A$5:$A$140=$B21)*ISNUMBER(INDEX(Inputs!$K$5:$AJ$140,0,MATCH(Q$2,Inputs!$K$4:$AJ$4,0))))+SUMPRODUCT((Inputs!$C$5:$C$140=$B21)*ISNUMBER(INDEX(Inputs!$K$5:$AJ$140,0,MATCH(Q$2,Inputs!$K$4:$AJ$4,0))))+SUMPRODUCT((Inputs!$E$5:$E$140=$B21)*ISNUMBER(INDEX(Inputs!$K$5:$AJ$140,0,MATCH(Q$2,Inputs!$K$4:$AJ$4,0))))=0,NA(),SUMPRODUCT((Inputs!$A$5:$A$140=$B21)*Inputs!$B$5:$B$140*(((Inputs!$G$5:$G$140="moeda")+(Inputs!$G$5:$G$140="acoes"))*Inputs!$B$1+((Inputs!$G$5:$G$140&lt;&gt;"moeda")*(Inputs!$G$5:$G$140&lt;&gt;"acoes")))*INDEX(Inputs!$K$5:$AJ$140,0,MATCH(Q$2,Inputs!$K$4:$AJ$4,0)))+SUMPRODUCT((Inputs!$C$5:$C$140=$B21)*Inputs!$D$5:$D$140*(((Inputs!$G$5:$G$140="moeda")+(Inputs!$G$5:$G$140="acoes"))*Inputs!$B$1+((Inputs!$G$5:$G$140&lt;&gt;"moeda")*(Inputs!$G$5:$G$140&lt;&gt;"acoes")))*INDEX(Inputs!$K$5:$AJ$140,0,MATCH(Q$2,Inputs!$K$4:$AJ$4,0)))+SUMPRODUCT((Inputs!$E$5:$E$140=$B21)*Inputs!$F$5:$F$140*(((Inputs!$G$5:$G$140="moeda")+(Inputs!$G$5:$G$140="acoes"))*Inputs!$B$1+((Inputs!$G$5:$G$140&lt;&gt;"moeda")*(Inputs!$G$5:$G$140&lt;&gt;"acoes")))*INDEX(Inputs!$K$5:$AJ$140,0,MATCH(Q$2,Inputs!$K$4:$AJ$4,0)))))</f>
        <v>40.875</v>
      </c>
      <c r="R21" s="3">
        <f>Q21</f>
        <v>40.875</v>
      </c>
      <c r="S21" s="6">
        <f>IF(ISNA(MATCH(S$2,Inputs!$K$4:$AJ$4,0)),NA(),IF(SUMPRODUCT((Inputs!$A$5:$A$140=$B21)*ISNUMBER(INDEX(Inputs!$K$5:$AJ$140,0,MATCH(S$2,Inputs!$K$4:$AJ$4,0))))+SUMPRODUCT((Inputs!$C$5:$C$140=$B21)*ISNUMBER(INDEX(Inputs!$K$5:$AJ$140,0,MATCH(S$2,Inputs!$K$4:$AJ$4,0))))+SUMPRODUCT((Inputs!$E$5:$E$140=$B21)*ISNUMBER(INDEX(Inputs!$K$5:$AJ$140,0,MATCH(S$2,Inputs!$K$4:$AJ$4,0))))=0,NA(),SUMPRODUCT((Inputs!$A$5:$A$140=$B21)*Inputs!$B$5:$B$140*(((Inputs!$G$5:$G$140="moeda")+(Inputs!$G$5:$G$140="acoes"))*Inputs!$B$1+((Inputs!$G$5:$G$140&lt;&gt;"moeda")*(Inputs!$G$5:$G$140&lt;&gt;"acoes")))*INDEX(Inputs!$K$5:$AJ$140,0,MATCH(S$2,Inputs!$K$4:$AJ$4,0)))+SUMPRODUCT((Inputs!$C$5:$C$140=$B21)*Inputs!$D$5:$D$140*(((Inputs!$G$5:$G$140="moeda")+(Inputs!$G$5:$G$140="acoes"))*Inputs!$B$1+((Inputs!$G$5:$G$140&lt;&gt;"moeda")*(Inputs!$G$5:$G$140&lt;&gt;"acoes")))*INDEX(Inputs!$K$5:$AJ$140,0,MATCH(S$2,Inputs!$K$4:$AJ$4,0)))+SUMPRODUCT((Inputs!$E$5:$E$140=$B21)*Inputs!$F$5:$F$140*(((Inputs!$G$5:$G$140="moeda")+(Inputs!$G$5:$G$140="acoes"))*Inputs!$B$1+((Inputs!$G$5:$G$140&lt;&gt;"moeda")*(Inputs!$G$5:$G$140&lt;&gt;"acoes")))*INDEX(Inputs!$K$5:$AJ$140,0,MATCH(S$2,Inputs!$K$4:$AJ$4,0)))))</f>
        <v>40.803</v>
      </c>
      <c r="T21" s="6">
        <f>IF(ISNA(MATCH(T$2,Inputs!$K$4:$AJ$4,0)),NA(),IF(SUMPRODUCT((Inputs!$A$5:$A$140=$B21)*ISNUMBER(INDEX(Inputs!$K$5:$AJ$140,0,MATCH(T$2,Inputs!$K$4:$AJ$4,0))))+SUMPRODUCT((Inputs!$C$5:$C$140=$B21)*ISNUMBER(INDEX(Inputs!$K$5:$AJ$140,0,MATCH(T$2,Inputs!$K$4:$AJ$4,0))))+SUMPRODUCT((Inputs!$E$5:$E$140=$B21)*ISNUMBER(INDEX(Inputs!$K$5:$AJ$140,0,MATCH(T$2,Inputs!$K$4:$AJ$4,0))))=0,NA(),SUMPRODUCT((Inputs!$A$5:$A$140=$B21)*Inputs!$B$5:$B$140*(((Inputs!$G$5:$G$140="moeda")+(Inputs!$G$5:$G$140="acoes"))*Inputs!$B$1+((Inputs!$G$5:$G$140&lt;&gt;"moeda")*(Inputs!$G$5:$G$140&lt;&gt;"acoes")))*INDEX(Inputs!$K$5:$AJ$140,0,MATCH(T$2,Inputs!$K$4:$AJ$4,0)))+SUMPRODUCT((Inputs!$C$5:$C$140=$B21)*Inputs!$D$5:$D$140*(((Inputs!$G$5:$G$140="moeda")+(Inputs!$G$5:$G$140="acoes"))*Inputs!$B$1+((Inputs!$G$5:$G$140&lt;&gt;"moeda")*(Inputs!$G$5:$G$140&lt;&gt;"acoes")))*INDEX(Inputs!$K$5:$AJ$140,0,MATCH(T$2,Inputs!$K$4:$AJ$4,0)))+SUMPRODUCT((Inputs!$E$5:$E$140=$B21)*Inputs!$F$5:$F$140*(((Inputs!$G$5:$G$140="moeda")+(Inputs!$G$5:$G$140="acoes"))*Inputs!$B$1+((Inputs!$G$5:$G$140&lt;&gt;"moeda")*(Inputs!$G$5:$G$140&lt;&gt;"acoes")))*INDEX(Inputs!$K$5:$AJ$140,0,MATCH(T$2,Inputs!$K$4:$AJ$4,0)))))</f>
        <v>44.707</v>
      </c>
      <c r="U21" s="6">
        <f>IF(ISNA(MATCH(U$2,Inputs!$K$4:$AJ$4,0)),NA(),IF(SUMPRODUCT((Inputs!$A$5:$A$140=$B21)*ISNUMBER(INDEX(Inputs!$K$5:$AJ$140,0,MATCH(U$2,Inputs!$K$4:$AJ$4,0))))+SUMPRODUCT((Inputs!$C$5:$C$140=$B21)*ISNUMBER(INDEX(Inputs!$K$5:$AJ$140,0,MATCH(U$2,Inputs!$K$4:$AJ$4,0))))+SUMPRODUCT((Inputs!$E$5:$E$140=$B21)*ISNUMBER(INDEX(Inputs!$K$5:$AJ$140,0,MATCH(U$2,Inputs!$K$4:$AJ$4,0))))=0,NA(),SUMPRODUCT((Inputs!$A$5:$A$140=$B21)*Inputs!$B$5:$B$140*(((Inputs!$G$5:$G$140="moeda")+(Inputs!$G$5:$G$140="acoes"))*Inputs!$B$1+((Inputs!$G$5:$G$140&lt;&gt;"moeda")*(Inputs!$G$5:$G$140&lt;&gt;"acoes")))*INDEX(Inputs!$K$5:$AJ$140,0,MATCH(U$2,Inputs!$K$4:$AJ$4,0)))+SUMPRODUCT((Inputs!$C$5:$C$140=$B21)*Inputs!$D$5:$D$140*(((Inputs!$G$5:$G$140="moeda")+(Inputs!$G$5:$G$140="acoes"))*Inputs!$B$1+((Inputs!$G$5:$G$140&lt;&gt;"moeda")*(Inputs!$G$5:$G$140&lt;&gt;"acoes")))*INDEX(Inputs!$K$5:$AJ$140,0,MATCH(U$2,Inputs!$K$4:$AJ$4,0)))+SUMPRODUCT((Inputs!$E$5:$E$140=$B21)*Inputs!$F$5:$F$140*(((Inputs!$G$5:$G$140="moeda")+(Inputs!$G$5:$G$140="acoes"))*Inputs!$B$1+((Inputs!$G$5:$G$140&lt;&gt;"moeda")*(Inputs!$G$5:$G$140&lt;&gt;"acoes")))*INDEX(Inputs!$K$5:$AJ$140,0,MATCH(U$2,Inputs!$K$4:$AJ$4,0)))))</f>
        <v>42.837</v>
      </c>
      <c r="V21" s="6">
        <f>IF(ISNA(MATCH(V$2,Inputs!$K$4:$AJ$4,0)),NA(),IF(SUMPRODUCT((Inputs!$A$5:$A$140=$B21)*ISNUMBER(INDEX(Inputs!$K$5:$AJ$140,0,MATCH(V$2,Inputs!$K$4:$AJ$4,0))))+SUMPRODUCT((Inputs!$C$5:$C$140=$B21)*ISNUMBER(INDEX(Inputs!$K$5:$AJ$140,0,MATCH(V$2,Inputs!$K$4:$AJ$4,0))))+SUMPRODUCT((Inputs!$E$5:$E$140=$B21)*ISNUMBER(INDEX(Inputs!$K$5:$AJ$140,0,MATCH(V$2,Inputs!$K$4:$AJ$4,0))))=0,NA(),SUMPRODUCT((Inputs!$A$5:$A$140=$B21)*Inputs!$B$5:$B$140*(((Inputs!$G$5:$G$140="moeda")+(Inputs!$G$5:$G$140="acoes"))*Inputs!$B$1+((Inputs!$G$5:$G$140&lt;&gt;"moeda")*(Inputs!$G$5:$G$140&lt;&gt;"acoes")))*INDEX(Inputs!$K$5:$AJ$140,0,MATCH(V$2,Inputs!$K$4:$AJ$4,0)))+SUMPRODUCT((Inputs!$C$5:$C$140=$B21)*Inputs!$D$5:$D$140*(((Inputs!$G$5:$G$140="moeda")+(Inputs!$G$5:$G$140="acoes"))*Inputs!$B$1+((Inputs!$G$5:$G$140&lt;&gt;"moeda")*(Inputs!$G$5:$G$140&lt;&gt;"acoes")))*INDEX(Inputs!$K$5:$AJ$140,0,MATCH(V$2,Inputs!$K$4:$AJ$4,0)))+SUMPRODUCT((Inputs!$E$5:$E$140=$B21)*Inputs!$F$5:$F$140*(((Inputs!$G$5:$G$140="moeda")+(Inputs!$G$5:$G$140="acoes"))*Inputs!$B$1+((Inputs!$G$5:$G$140&lt;&gt;"moeda")*(Inputs!$G$5:$G$140&lt;&gt;"acoes")))*INDEX(Inputs!$K$5:$AJ$140,0,MATCH(V$2,Inputs!$K$4:$AJ$4,0)))))</f>
        <v>42.244</v>
      </c>
      <c r="W21" s="3">
        <f>V21</f>
        <v>42.244</v>
      </c>
      <c r="X21" s="6">
        <f>IF(ISNA(MATCH(X$2,Inputs!$K$4:$AJ$4,0)),NA(),IF(SUMPRODUCT((Inputs!$A$5:$A$140=$B21)*ISNUMBER(INDEX(Inputs!$K$5:$AJ$140,0,MATCH(X$2,Inputs!$K$4:$AJ$4,0))))+SUMPRODUCT((Inputs!$C$5:$C$140=$B21)*ISNUMBER(INDEX(Inputs!$K$5:$AJ$140,0,MATCH(X$2,Inputs!$K$4:$AJ$4,0))))+SUMPRODUCT((Inputs!$E$5:$E$140=$B21)*ISNUMBER(INDEX(Inputs!$K$5:$AJ$140,0,MATCH(X$2,Inputs!$K$4:$AJ$4,0))))=0,NA(),SUMPRODUCT((Inputs!$A$5:$A$140=$B21)*Inputs!$B$5:$B$140*(((Inputs!$G$5:$G$140="moeda")+(Inputs!$G$5:$G$140="acoes"))*Inputs!$B$1+((Inputs!$G$5:$G$140&lt;&gt;"moeda")*(Inputs!$G$5:$G$140&lt;&gt;"acoes")))*INDEX(Inputs!$K$5:$AJ$140,0,MATCH(X$2,Inputs!$K$4:$AJ$4,0)))+SUMPRODUCT((Inputs!$C$5:$C$140=$B21)*Inputs!$D$5:$D$140*(((Inputs!$G$5:$G$140="moeda")+(Inputs!$G$5:$G$140="acoes"))*Inputs!$B$1+((Inputs!$G$5:$G$140&lt;&gt;"moeda")*(Inputs!$G$5:$G$140&lt;&gt;"acoes")))*INDEX(Inputs!$K$5:$AJ$140,0,MATCH(X$2,Inputs!$K$4:$AJ$4,0)))+SUMPRODUCT((Inputs!$E$5:$E$140=$B21)*Inputs!$F$5:$F$140*(((Inputs!$G$5:$G$140="moeda")+(Inputs!$G$5:$G$140="acoes"))*Inputs!$B$1+((Inputs!$G$5:$G$140&lt;&gt;"moeda")*(Inputs!$G$5:$G$140&lt;&gt;"acoes")))*INDEX(Inputs!$K$5:$AJ$140,0,MATCH(X$2,Inputs!$K$4:$AJ$4,0)))))</f>
        <v>40.372</v>
      </c>
      <c r="Y21" s="6">
        <f>IF(ISNA(MATCH(Y$2,Inputs!$K$4:$AJ$4,0)),NA(),IF(SUMPRODUCT((Inputs!$A$5:$A$140=$B21)*ISNUMBER(INDEX(Inputs!$K$5:$AJ$140,0,MATCH(Y$2,Inputs!$K$4:$AJ$4,0))))+SUMPRODUCT((Inputs!$C$5:$C$140=$B21)*ISNUMBER(INDEX(Inputs!$K$5:$AJ$140,0,MATCH(Y$2,Inputs!$K$4:$AJ$4,0))))+SUMPRODUCT((Inputs!$E$5:$E$140=$B21)*ISNUMBER(INDEX(Inputs!$K$5:$AJ$140,0,MATCH(Y$2,Inputs!$K$4:$AJ$4,0))))=0,NA(),SUMPRODUCT((Inputs!$A$5:$A$140=$B21)*Inputs!$B$5:$B$140*(((Inputs!$G$5:$G$140="moeda")+(Inputs!$G$5:$G$140="acoes"))*Inputs!$B$1+((Inputs!$G$5:$G$140&lt;&gt;"moeda")*(Inputs!$G$5:$G$140&lt;&gt;"acoes")))*INDEX(Inputs!$K$5:$AJ$140,0,MATCH(Y$2,Inputs!$K$4:$AJ$4,0)))+SUMPRODUCT((Inputs!$C$5:$C$140=$B21)*Inputs!$D$5:$D$140*(((Inputs!$G$5:$G$140="moeda")+(Inputs!$G$5:$G$140="acoes"))*Inputs!$B$1+((Inputs!$G$5:$G$140&lt;&gt;"moeda")*(Inputs!$G$5:$G$140&lt;&gt;"acoes")))*INDEX(Inputs!$K$5:$AJ$140,0,MATCH(Y$2,Inputs!$K$4:$AJ$4,0)))+SUMPRODUCT((Inputs!$E$5:$E$140=$B21)*Inputs!$F$5:$F$140*(((Inputs!$G$5:$G$140="moeda")+(Inputs!$G$5:$G$140="acoes"))*Inputs!$B$1+((Inputs!$G$5:$G$140&lt;&gt;"moeda")*(Inputs!$G$5:$G$140&lt;&gt;"acoes")))*INDEX(Inputs!$K$5:$AJ$140,0,MATCH(Y$2,Inputs!$K$4:$AJ$4,0)))))</f>
        <v>40.727</v>
      </c>
      <c r="Z21" s="6">
        <f>IF(ISNA(MATCH(Z$2,Inputs!$K$4:$AJ$4,0)),NA(),IF(SUMPRODUCT((Inputs!$A$5:$A$140=$B21)*ISNUMBER(INDEX(Inputs!$K$5:$AJ$140,0,MATCH(Z$2,Inputs!$K$4:$AJ$4,0))))+SUMPRODUCT((Inputs!$C$5:$C$140=$B21)*ISNUMBER(INDEX(Inputs!$K$5:$AJ$140,0,MATCH(Z$2,Inputs!$K$4:$AJ$4,0))))+SUMPRODUCT((Inputs!$E$5:$E$140=$B21)*ISNUMBER(INDEX(Inputs!$K$5:$AJ$140,0,MATCH(Z$2,Inputs!$K$4:$AJ$4,0))))=0,NA(),SUMPRODUCT((Inputs!$A$5:$A$140=$B21)*Inputs!$B$5:$B$140*(((Inputs!$G$5:$G$140="moeda")+(Inputs!$G$5:$G$140="acoes"))*Inputs!$B$1+((Inputs!$G$5:$G$140&lt;&gt;"moeda")*(Inputs!$G$5:$G$140&lt;&gt;"acoes")))*INDEX(Inputs!$K$5:$AJ$140,0,MATCH(Z$2,Inputs!$K$4:$AJ$4,0)))+SUMPRODUCT((Inputs!$C$5:$C$140=$B21)*Inputs!$D$5:$D$140*(((Inputs!$G$5:$G$140="moeda")+(Inputs!$G$5:$G$140="acoes"))*Inputs!$B$1+((Inputs!$G$5:$G$140&lt;&gt;"moeda")*(Inputs!$G$5:$G$140&lt;&gt;"acoes")))*INDEX(Inputs!$K$5:$AJ$140,0,MATCH(Z$2,Inputs!$K$4:$AJ$4,0)))+SUMPRODUCT((Inputs!$E$5:$E$140=$B21)*Inputs!$F$5:$F$140*(((Inputs!$G$5:$G$140="moeda")+(Inputs!$G$5:$G$140="acoes"))*Inputs!$B$1+((Inputs!$G$5:$G$140&lt;&gt;"moeda")*(Inputs!$G$5:$G$140&lt;&gt;"acoes")))*INDEX(Inputs!$K$5:$AJ$140,0,MATCH(Z$2,Inputs!$K$4:$AJ$4,0)))))</f>
        <v>41.203</v>
      </c>
      <c r="AA21" s="6">
        <f>IF(ISNA(MATCH(AA$2,Inputs!$K$4:$AJ$4,0)),NA(),IF(SUMPRODUCT((Inputs!$A$5:$A$140=$B21)*ISNUMBER(INDEX(Inputs!$K$5:$AJ$140,0,MATCH(AA$2,Inputs!$K$4:$AJ$4,0))))+SUMPRODUCT((Inputs!$C$5:$C$140=$B21)*ISNUMBER(INDEX(Inputs!$K$5:$AJ$140,0,MATCH(AA$2,Inputs!$K$4:$AJ$4,0))))+SUMPRODUCT((Inputs!$E$5:$E$140=$B21)*ISNUMBER(INDEX(Inputs!$K$5:$AJ$140,0,MATCH(AA$2,Inputs!$K$4:$AJ$4,0))))=0,NA(),SUMPRODUCT((Inputs!$A$5:$A$140=$B21)*Inputs!$B$5:$B$140*(((Inputs!$G$5:$G$140="moeda")+(Inputs!$G$5:$G$140="acoes"))*Inputs!$B$1+((Inputs!$G$5:$G$140&lt;&gt;"moeda")*(Inputs!$G$5:$G$140&lt;&gt;"acoes")))*INDEX(Inputs!$K$5:$AJ$140,0,MATCH(AA$2,Inputs!$K$4:$AJ$4,0)))+SUMPRODUCT((Inputs!$C$5:$C$140=$B21)*Inputs!$D$5:$D$140*(((Inputs!$G$5:$G$140="moeda")+(Inputs!$G$5:$G$140="acoes"))*Inputs!$B$1+((Inputs!$G$5:$G$140&lt;&gt;"moeda")*(Inputs!$G$5:$G$140&lt;&gt;"acoes")))*INDEX(Inputs!$K$5:$AJ$140,0,MATCH(AA$2,Inputs!$K$4:$AJ$4,0)))+SUMPRODUCT((Inputs!$E$5:$E$140=$B21)*Inputs!$F$5:$F$140*(((Inputs!$G$5:$G$140="moeda")+(Inputs!$G$5:$G$140="acoes"))*Inputs!$B$1+((Inputs!$G$5:$G$140&lt;&gt;"moeda")*(Inputs!$G$5:$G$140&lt;&gt;"acoes")))*INDEX(Inputs!$K$5:$AJ$140,0,MATCH(AA$2,Inputs!$K$4:$AJ$4,0)))))</f>
        <v>41.321</v>
      </c>
      <c r="AB21" s="3">
        <f>AA21</f>
        <v>41.321</v>
      </c>
      <c r="AC21" s="6">
        <f>IF(ISNA(MATCH(AC$2,Inputs!$K$4:$AJ$4,0)),NA(),IF(SUMPRODUCT((Inputs!$A$5:$A$140=$B21)*ISNUMBER(INDEX(Inputs!$K$5:$AJ$140,0,MATCH(AC$2,Inputs!$K$4:$AJ$4,0))))+SUMPRODUCT((Inputs!$C$5:$C$140=$B21)*ISNUMBER(INDEX(Inputs!$K$5:$AJ$140,0,MATCH(AC$2,Inputs!$K$4:$AJ$4,0))))+SUMPRODUCT((Inputs!$E$5:$E$140=$B21)*ISNUMBER(INDEX(Inputs!$K$5:$AJ$140,0,MATCH(AC$2,Inputs!$K$4:$AJ$4,0))))=0,NA(),SUMPRODUCT((Inputs!$A$5:$A$140=$B21)*Inputs!$B$5:$B$140*(((Inputs!$G$5:$G$140="moeda")+(Inputs!$G$5:$G$140="acoes"))*Inputs!$B$1+((Inputs!$G$5:$G$140&lt;&gt;"moeda")*(Inputs!$G$5:$G$140&lt;&gt;"acoes")))*INDEX(Inputs!$K$5:$AJ$140,0,MATCH(AC$2,Inputs!$K$4:$AJ$4,0)))+SUMPRODUCT((Inputs!$C$5:$C$140=$B21)*Inputs!$D$5:$D$140*(((Inputs!$G$5:$G$140="moeda")+(Inputs!$G$5:$G$140="acoes"))*Inputs!$B$1+((Inputs!$G$5:$G$140&lt;&gt;"moeda")*(Inputs!$G$5:$G$140&lt;&gt;"acoes")))*INDEX(Inputs!$K$5:$AJ$140,0,MATCH(AC$2,Inputs!$K$4:$AJ$4,0)))+SUMPRODUCT((Inputs!$E$5:$E$140=$B21)*Inputs!$F$5:$F$140*(((Inputs!$G$5:$G$140="moeda")+(Inputs!$G$5:$G$140="acoes"))*Inputs!$B$1+((Inputs!$G$5:$G$140&lt;&gt;"moeda")*(Inputs!$G$5:$G$140&lt;&gt;"acoes")))*INDEX(Inputs!$K$5:$AJ$140,0,MATCH(AC$2,Inputs!$K$4:$AJ$4,0)))))</f>
        <v>37.757</v>
      </c>
      <c r="AD21" s="6">
        <f>IF(ISNA(MATCH(AD$2,Inputs!$K$4:$AJ$4,0)),NA(),IF(SUMPRODUCT((Inputs!$A$5:$A$140=$B21)*ISNUMBER(INDEX(Inputs!$K$5:$AJ$140,0,MATCH(AD$2,Inputs!$K$4:$AJ$4,0))))+SUMPRODUCT((Inputs!$C$5:$C$140=$B21)*ISNUMBER(INDEX(Inputs!$K$5:$AJ$140,0,MATCH(AD$2,Inputs!$K$4:$AJ$4,0))))+SUMPRODUCT((Inputs!$E$5:$E$140=$B21)*ISNUMBER(INDEX(Inputs!$K$5:$AJ$140,0,MATCH(AD$2,Inputs!$K$4:$AJ$4,0))))=0,NA(),SUMPRODUCT((Inputs!$A$5:$A$140=$B21)*Inputs!$B$5:$B$140*(((Inputs!$G$5:$G$140="moeda")+(Inputs!$G$5:$G$140="acoes"))*Inputs!$B$1+((Inputs!$G$5:$G$140&lt;&gt;"moeda")*(Inputs!$G$5:$G$140&lt;&gt;"acoes")))*INDEX(Inputs!$K$5:$AJ$140,0,MATCH(AD$2,Inputs!$K$4:$AJ$4,0)))+SUMPRODUCT((Inputs!$C$5:$C$140=$B21)*Inputs!$D$5:$D$140*(((Inputs!$G$5:$G$140="moeda")+(Inputs!$G$5:$G$140="acoes"))*Inputs!$B$1+((Inputs!$G$5:$G$140&lt;&gt;"moeda")*(Inputs!$G$5:$G$140&lt;&gt;"acoes")))*INDEX(Inputs!$K$5:$AJ$140,0,MATCH(AD$2,Inputs!$K$4:$AJ$4,0)))+SUMPRODUCT((Inputs!$E$5:$E$140=$B21)*Inputs!$F$5:$F$140*(((Inputs!$G$5:$G$140="moeda")+(Inputs!$G$5:$G$140="acoes"))*Inputs!$B$1+((Inputs!$G$5:$G$140&lt;&gt;"moeda")*(Inputs!$G$5:$G$140&lt;&gt;"acoes")))*INDEX(Inputs!$K$5:$AJ$140,0,MATCH(AD$2,Inputs!$K$4:$AJ$4,0)))))</f>
        <v>30.471</v>
      </c>
      <c r="AE21" s="6" t="e">
        <f>IF(ISNA(MATCH(AE$2,Inputs!$K$4:$AJ$4,0)),NA(),IF(SUMPRODUCT((Inputs!$A$5:$A$140=$B21)*ISNUMBER(INDEX(Inputs!$K$5:$AJ$140,0,MATCH(AE$2,Inputs!$K$4:$AJ$4,0))))+SUMPRODUCT((Inputs!$C$5:$C$140=$B21)*ISNUMBER(INDEX(Inputs!$K$5:$AJ$140,0,MATCH(AE$2,Inputs!$K$4:$AJ$4,0))))+SUMPRODUCT((Inputs!$E$5:$E$140=$B21)*ISNUMBER(INDEX(Inputs!$K$5:$AJ$140,0,MATCH(AE$2,Inputs!$K$4:$AJ$4,0))))=0,NA(),SUMPRODUCT((Inputs!$A$5:$A$140=$B21)*Inputs!$B$5:$B$140*(((Inputs!$G$5:$G$140="moeda")+(Inputs!$G$5:$G$140="acoes"))*Inputs!$B$1+((Inputs!$G$5:$G$140&lt;&gt;"moeda")*(Inputs!$G$5:$G$140&lt;&gt;"acoes")))*INDEX(Inputs!$K$5:$AJ$140,0,MATCH(AE$2,Inputs!$K$4:$AJ$4,0)))+SUMPRODUCT((Inputs!$C$5:$C$140=$B21)*Inputs!$D$5:$D$140*(((Inputs!$G$5:$G$140="moeda")+(Inputs!$G$5:$G$140="acoes"))*Inputs!$B$1+((Inputs!$G$5:$G$140&lt;&gt;"moeda")*(Inputs!$G$5:$G$140&lt;&gt;"acoes")))*INDEX(Inputs!$K$5:$AJ$140,0,MATCH(AE$2,Inputs!$K$4:$AJ$4,0)))+SUMPRODUCT((Inputs!$E$5:$E$140=$B21)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1" s="6" t="e">
        <f>IF(ISNA(MATCH(AF$2,Inputs!$K$4:$AJ$4,0)),NA(),IF(SUMPRODUCT((Inputs!$A$5:$A$140=$B21)*ISNUMBER(INDEX(Inputs!$K$5:$AJ$140,0,MATCH(AF$2,Inputs!$K$4:$AJ$4,0))))+SUMPRODUCT((Inputs!$C$5:$C$140=$B21)*ISNUMBER(INDEX(Inputs!$K$5:$AJ$140,0,MATCH(AF$2,Inputs!$K$4:$AJ$4,0))))+SUMPRODUCT((Inputs!$E$5:$E$140=$B21)*ISNUMBER(INDEX(Inputs!$K$5:$AJ$140,0,MATCH(AF$2,Inputs!$K$4:$AJ$4,0))))=0,NA(),SUMPRODUCT((Inputs!$A$5:$A$140=$B21)*Inputs!$B$5:$B$140*(((Inputs!$G$5:$G$140="moeda")+(Inputs!$G$5:$G$140="acoes"))*Inputs!$B$1+((Inputs!$G$5:$G$140&lt;&gt;"moeda")*(Inputs!$G$5:$G$140&lt;&gt;"acoes")))*INDEX(Inputs!$K$5:$AJ$140,0,MATCH(AF$2,Inputs!$K$4:$AJ$4,0)))+SUMPRODUCT((Inputs!$C$5:$C$140=$B21)*Inputs!$D$5:$D$140*(((Inputs!$G$5:$G$140="moeda")+(Inputs!$G$5:$G$140="acoes"))*Inputs!$B$1+((Inputs!$G$5:$G$140&lt;&gt;"moeda")*(Inputs!$G$5:$G$140&lt;&gt;"acoes")))*INDEX(Inputs!$K$5:$AJ$140,0,MATCH(AF$2,Inputs!$K$4:$AJ$4,0)))+SUMPRODUCT((Inputs!$E$5:$E$140=$B21)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1" s="3" t="e">
        <f>AF21</f>
        <v>#N/A</v>
      </c>
      <c r="AH21" s="6">
        <f>IF(ISNA(MATCH(AH$2,Inputs!$K$4:$AJ$4,0)),NA(),IF(SUMPRODUCT((Inputs!$A$5:$A$140=$B21)*ISNUMBER(INDEX(Inputs!$K$5:$AJ$140,0,MATCH(AH$2,Inputs!$K$4:$AJ$4,0))))+SUMPRODUCT((Inputs!$C$5:$C$140=$B21)*ISNUMBER(INDEX(Inputs!$K$5:$AJ$140,0,MATCH(AH$2,Inputs!$K$4:$AJ$4,0))))+SUMPRODUCT((Inputs!$E$5:$E$140=$B21)*ISNUMBER(INDEX(Inputs!$K$5:$AJ$140,0,MATCH(AH$2,Inputs!$K$4:$AJ$4,0))))=0,NA(),SUMPRODUCT((Inputs!$A$5:$A$140=$B21)*Inputs!$B$5:$B$140*(((Inputs!$G$5:$G$140="moeda")+(Inputs!$G$5:$G$140="acoes"))*Inputs!$B$1+((Inputs!$G$5:$G$140&lt;&gt;"moeda")*(Inputs!$G$5:$G$140&lt;&gt;"acoes")))*INDEX(Inputs!$K$5:$AJ$140,0,MATCH(AH$2,Inputs!$K$4:$AJ$4,0)))+SUMPRODUCT((Inputs!$C$5:$C$140=$B21)*Inputs!$D$5:$D$140*(((Inputs!$G$5:$G$140="moeda")+(Inputs!$G$5:$G$140="acoes"))*Inputs!$B$1+((Inputs!$G$5:$G$140&lt;&gt;"moeda")*(Inputs!$G$5:$G$140&lt;&gt;"acoes")))*INDEX(Inputs!$K$5:$AJ$140,0,MATCH(AH$2,Inputs!$K$4:$AJ$4,0)))+SUMPRODUCT((Inputs!$E$5:$E$140=$B21)*Inputs!$F$5:$F$140*(((Inputs!$G$5:$G$140="moeda")+(Inputs!$G$5:$G$140="acoes"))*Inputs!$B$1+((Inputs!$G$5:$G$140&lt;&gt;"moeda")*(Inputs!$G$5:$G$140&lt;&gt;"acoes")))*INDEX(Inputs!$K$5:$AJ$140,0,MATCH(AH$2,Inputs!$K$4:$AJ$4,0)))))</f>
        <v>18.857</v>
      </c>
      <c r="AI21" s="6">
        <f>IF(ISNA(MATCH(AI$2,Inputs!$K$4:$AJ$4,0)),NA(),IF(SUMPRODUCT((Inputs!$A$5:$A$140=$B21)*ISNUMBER(INDEX(Inputs!$K$5:$AJ$140,0,MATCH(AI$2,Inputs!$K$4:$AJ$4,0))))+SUMPRODUCT((Inputs!$C$5:$C$140=$B21)*ISNUMBER(INDEX(Inputs!$K$5:$AJ$140,0,MATCH(AI$2,Inputs!$K$4:$AJ$4,0))))+SUMPRODUCT((Inputs!$E$5:$E$140=$B21)*ISNUMBER(INDEX(Inputs!$K$5:$AJ$140,0,MATCH(AI$2,Inputs!$K$4:$AJ$4,0))))=0,NA(),SUMPRODUCT((Inputs!$A$5:$A$140=$B21)*Inputs!$B$5:$B$140*(((Inputs!$G$5:$G$140="moeda")+(Inputs!$G$5:$G$140="acoes"))*Inputs!$B$1+((Inputs!$G$5:$G$140&lt;&gt;"moeda")*(Inputs!$G$5:$G$140&lt;&gt;"acoes")))*INDEX(Inputs!$K$5:$AJ$140,0,MATCH(AI$2,Inputs!$K$4:$AJ$4,0)))+SUMPRODUCT((Inputs!$C$5:$C$140=$B21)*Inputs!$D$5:$D$140*(((Inputs!$G$5:$G$140="moeda")+(Inputs!$G$5:$G$140="acoes"))*Inputs!$B$1+((Inputs!$G$5:$G$140&lt;&gt;"moeda")*(Inputs!$G$5:$G$140&lt;&gt;"acoes")))*INDEX(Inputs!$K$5:$AJ$140,0,MATCH(AI$2,Inputs!$K$4:$AJ$4,0)))+SUMPRODUCT((Inputs!$E$5:$E$140=$B21)*Inputs!$F$5:$F$140*(((Inputs!$G$5:$G$140="moeda")+(Inputs!$G$5:$G$140="acoes"))*Inputs!$B$1+((Inputs!$G$5:$G$140&lt;&gt;"moeda")*(Inputs!$G$5:$G$140&lt;&gt;"acoes")))*INDEX(Inputs!$K$5:$AJ$140,0,MATCH(AI$2,Inputs!$K$4:$AJ$4,0)))))</f>
        <v>24.778</v>
      </c>
      <c r="AJ21" s="6">
        <f>IF(ISNA(MATCH(AJ$2,Inputs!$K$4:$AJ$4,0)),NA(),IF(SUMPRODUCT((Inputs!$A$5:$A$140=$B21)*ISNUMBER(INDEX(Inputs!$K$5:$AJ$140,0,MATCH(AJ$2,Inputs!$K$4:$AJ$4,0))))+SUMPRODUCT((Inputs!$C$5:$C$140=$B21)*ISNUMBER(INDEX(Inputs!$K$5:$AJ$140,0,MATCH(AJ$2,Inputs!$K$4:$AJ$4,0))))+SUMPRODUCT((Inputs!$E$5:$E$140=$B21)*ISNUMBER(INDEX(Inputs!$K$5:$AJ$140,0,MATCH(AJ$2,Inputs!$K$4:$AJ$4,0))))=0,NA(),SUMPRODUCT((Inputs!$A$5:$A$140=$B21)*Inputs!$B$5:$B$140*(((Inputs!$G$5:$G$140="moeda")+(Inputs!$G$5:$G$140="acoes"))*Inputs!$B$1+((Inputs!$G$5:$G$140&lt;&gt;"moeda")*(Inputs!$G$5:$G$140&lt;&gt;"acoes")))*INDEX(Inputs!$K$5:$AJ$140,0,MATCH(AJ$2,Inputs!$K$4:$AJ$4,0)))+SUMPRODUCT((Inputs!$C$5:$C$140=$B21)*Inputs!$D$5:$D$140*(((Inputs!$G$5:$G$140="moeda")+(Inputs!$G$5:$G$140="acoes"))*Inputs!$B$1+((Inputs!$G$5:$G$140&lt;&gt;"moeda")*(Inputs!$G$5:$G$140&lt;&gt;"acoes")))*INDEX(Inputs!$K$5:$AJ$140,0,MATCH(AJ$2,Inputs!$K$4:$AJ$4,0)))+SUMPRODUCT((Inputs!$E$5:$E$140=$B21)*Inputs!$F$5:$F$140*(((Inputs!$G$5:$G$140="moeda")+(Inputs!$G$5:$G$140="acoes"))*Inputs!$B$1+((Inputs!$G$5:$G$140&lt;&gt;"moeda")*(Inputs!$G$5:$G$140&lt;&gt;"acoes")))*INDEX(Inputs!$K$5:$AJ$140,0,MATCH(AJ$2,Inputs!$K$4:$AJ$4,0)))))</f>
        <v>25.68</v>
      </c>
      <c r="AK21" s="6">
        <f>IF(ISNA(MATCH(AK$2,Inputs!$K$4:$AJ$4,0)),NA(),IF(SUMPRODUCT((Inputs!$A$5:$A$140=$B21)*ISNUMBER(INDEX(Inputs!$K$5:$AJ$140,0,MATCH(AK$2,Inputs!$K$4:$AJ$4,0))))+SUMPRODUCT((Inputs!$C$5:$C$140=$B21)*ISNUMBER(INDEX(Inputs!$K$5:$AJ$140,0,MATCH(AK$2,Inputs!$K$4:$AJ$4,0))))+SUMPRODUCT((Inputs!$E$5:$E$140=$B21)*ISNUMBER(INDEX(Inputs!$K$5:$AJ$140,0,MATCH(AK$2,Inputs!$K$4:$AJ$4,0))))=0,NA(),SUMPRODUCT((Inputs!$A$5:$A$140=$B21)*Inputs!$B$5:$B$140*(((Inputs!$G$5:$G$140="moeda")+(Inputs!$G$5:$G$140="acoes"))*Inputs!$B$1+((Inputs!$G$5:$G$140&lt;&gt;"moeda")*(Inputs!$G$5:$G$140&lt;&gt;"acoes")))*INDEX(Inputs!$K$5:$AJ$140,0,MATCH(AK$2,Inputs!$K$4:$AJ$4,0)))+SUMPRODUCT((Inputs!$C$5:$C$140=$B21)*Inputs!$D$5:$D$140*(((Inputs!$G$5:$G$140="moeda")+(Inputs!$G$5:$G$140="acoes"))*Inputs!$B$1+((Inputs!$G$5:$G$140&lt;&gt;"moeda")*(Inputs!$G$5:$G$140&lt;&gt;"acoes")))*INDEX(Inputs!$K$5:$AJ$140,0,MATCH(AK$2,Inputs!$K$4:$AJ$4,0)))+SUMPRODUCT((Inputs!$E$5:$E$140=$B21)*Inputs!$F$5:$F$140*(((Inputs!$G$5:$G$140="moeda")+(Inputs!$G$5:$G$140="acoes"))*Inputs!$B$1+((Inputs!$G$5:$G$140&lt;&gt;"moeda")*(Inputs!$G$5:$G$140&lt;&gt;"acoes")))*INDEX(Inputs!$K$5:$AJ$140,0,MATCH(AK$2,Inputs!$K$4:$AJ$4,0)))))</f>
        <v>26.948</v>
      </c>
      <c r="AL21" s="3">
        <f>AK21</f>
        <v>26.948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$140=$B22)*ISNUMBER(INDEX(Inputs!$K$5:$AJ$140,0,MATCH(D$2,Inputs!$K$4:$AJ$4,0))))+SUMPRODUCT((Inputs!$C$5:$C$140=$B22)*ISNUMBER(INDEX(Inputs!$K$5:$AJ$140,0,MATCH(D$2,Inputs!$K$4:$AJ$4,0))))+SUMPRODUCT((Inputs!$E$5:$E$140=$B22)*ISNUMBER(INDEX(Inputs!$K$5:$AJ$140,0,MATCH(D$2,Inputs!$K$4:$AJ$4,0))))=0,NA(),SUMPRODUCT((Inputs!$A$5:$A$140=$B22)*Inputs!$B$5:$B$140*(((Inputs!$G$5:$G$140="moeda")+(Inputs!$G$5:$G$140="acoes"))*Inputs!$B$1+((Inputs!$G$5:$G$140&lt;&gt;"moeda")*(Inputs!$G$5:$G$140&lt;&gt;"acoes")))*INDEX(Inputs!$K$5:$AJ$140,0,MATCH(D$2,Inputs!$K$4:$AJ$4,0)))+SUMPRODUCT((Inputs!$C$5:$C$140=$B22)*Inputs!$D$5:$D$140*(((Inputs!$G$5:$G$140="moeda")+(Inputs!$G$5:$G$140="acoes"))*Inputs!$B$1+((Inputs!$G$5:$G$140&lt;&gt;"moeda")*(Inputs!$G$5:$G$140&lt;&gt;"acoes")))*INDEX(Inputs!$K$5:$AJ$140,0,MATCH(D$2,Inputs!$K$4:$AJ$4,0)))+SUMPRODUCT((Inputs!$E$5:$E$140=$B22)*Inputs!$F$5:$F$140*(((Inputs!$G$5:$G$140="moeda")+(Inputs!$G$5:$G$140="acoes"))*Inputs!$B$1+((Inputs!$G$5:$G$140&lt;&gt;"moeda")*(Inputs!$G$5:$G$140&lt;&gt;"acoes")))*INDEX(Inputs!$K$5:$AJ$140,0,MATCH(D$2,Inputs!$K$4:$AJ$4,0)))))</f>
        <v>20.211</v>
      </c>
      <c r="E22" s="6">
        <f>IF(ISNA(MATCH(E$2,Inputs!$K$4:$AJ$4,0)),NA(),IF(SUMPRODUCT((Inputs!$A$5:$A$140=$B22)*ISNUMBER(INDEX(Inputs!$K$5:$AJ$140,0,MATCH(E$2,Inputs!$K$4:$AJ$4,0))))+SUMPRODUCT((Inputs!$C$5:$C$140=$B22)*ISNUMBER(INDEX(Inputs!$K$5:$AJ$140,0,MATCH(E$2,Inputs!$K$4:$AJ$4,0))))+SUMPRODUCT((Inputs!$E$5:$E$140=$B22)*ISNUMBER(INDEX(Inputs!$K$5:$AJ$140,0,MATCH(E$2,Inputs!$K$4:$AJ$4,0))))=0,NA(),SUMPRODUCT((Inputs!$A$5:$A$140=$B22)*Inputs!$B$5:$B$140*(((Inputs!$G$5:$G$140="moeda")+(Inputs!$G$5:$G$140="acoes"))*Inputs!$B$1+((Inputs!$G$5:$G$140&lt;&gt;"moeda")*(Inputs!$G$5:$G$140&lt;&gt;"acoes")))*INDEX(Inputs!$K$5:$AJ$140,0,MATCH(E$2,Inputs!$K$4:$AJ$4,0)))+SUMPRODUCT((Inputs!$C$5:$C$140=$B22)*Inputs!$D$5:$D$140*(((Inputs!$G$5:$G$140="moeda")+(Inputs!$G$5:$G$140="acoes"))*Inputs!$B$1+((Inputs!$G$5:$G$140&lt;&gt;"moeda")*(Inputs!$G$5:$G$140&lt;&gt;"acoes")))*INDEX(Inputs!$K$5:$AJ$140,0,MATCH(E$2,Inputs!$K$4:$AJ$4,0)))+SUMPRODUCT((Inputs!$E$5:$E$140=$B22)*Inputs!$F$5:$F$140*(((Inputs!$G$5:$G$140="moeda")+(Inputs!$G$5:$G$140="acoes"))*Inputs!$B$1+((Inputs!$G$5:$G$140&lt;&gt;"moeda")*(Inputs!$G$5:$G$140&lt;&gt;"acoes")))*INDEX(Inputs!$K$5:$AJ$140,0,MATCH(E$2,Inputs!$K$4:$AJ$4,0)))))</f>
        <v>23.569</v>
      </c>
      <c r="F22" s="6">
        <f>IF(ISNA(MATCH(F$2,Inputs!$K$4:$AJ$4,0)),NA(),IF(SUMPRODUCT((Inputs!$A$5:$A$140=$B22)*ISNUMBER(INDEX(Inputs!$K$5:$AJ$140,0,MATCH(F$2,Inputs!$K$4:$AJ$4,0))))+SUMPRODUCT((Inputs!$C$5:$C$140=$B22)*ISNUMBER(INDEX(Inputs!$K$5:$AJ$140,0,MATCH(F$2,Inputs!$K$4:$AJ$4,0))))+SUMPRODUCT((Inputs!$E$5:$E$140=$B22)*ISNUMBER(INDEX(Inputs!$K$5:$AJ$140,0,MATCH(F$2,Inputs!$K$4:$AJ$4,0))))=0,NA(),SUMPRODUCT((Inputs!$A$5:$A$140=$B22)*Inputs!$B$5:$B$140*(((Inputs!$G$5:$G$140="moeda")+(Inputs!$G$5:$G$140="acoes"))*Inputs!$B$1+((Inputs!$G$5:$G$140&lt;&gt;"moeda")*(Inputs!$G$5:$G$140&lt;&gt;"acoes")))*INDEX(Inputs!$K$5:$AJ$140,0,MATCH(F$2,Inputs!$K$4:$AJ$4,0)))+SUMPRODUCT((Inputs!$C$5:$C$140=$B22)*Inputs!$D$5:$D$140*(((Inputs!$G$5:$G$140="moeda")+(Inputs!$G$5:$G$140="acoes"))*Inputs!$B$1+((Inputs!$G$5:$G$140&lt;&gt;"moeda")*(Inputs!$G$5:$G$140&lt;&gt;"acoes")))*INDEX(Inputs!$K$5:$AJ$140,0,MATCH(F$2,Inputs!$K$4:$AJ$4,0)))+SUMPRODUCT((Inputs!$E$5:$E$140=$B22)*Inputs!$F$5:$F$140*(((Inputs!$G$5:$G$140="moeda")+(Inputs!$G$5:$G$140="acoes"))*Inputs!$B$1+((Inputs!$G$5:$G$140&lt;&gt;"moeda")*(Inputs!$G$5:$G$140&lt;&gt;"acoes")))*INDEX(Inputs!$K$5:$AJ$140,0,MATCH(F$2,Inputs!$K$4:$AJ$4,0)))))</f>
        <v>25.579</v>
      </c>
      <c r="G22" s="6">
        <f>IF(ISNA(MATCH(G$2,Inputs!$K$4:$AJ$4,0)),NA(),IF(SUMPRODUCT((Inputs!$A$5:$A$140=$B22)*ISNUMBER(INDEX(Inputs!$K$5:$AJ$140,0,MATCH(G$2,Inputs!$K$4:$AJ$4,0))))+SUMPRODUCT((Inputs!$C$5:$C$140=$B22)*ISNUMBER(INDEX(Inputs!$K$5:$AJ$140,0,MATCH(G$2,Inputs!$K$4:$AJ$4,0))))+SUMPRODUCT((Inputs!$E$5:$E$140=$B22)*ISNUMBER(INDEX(Inputs!$K$5:$AJ$140,0,MATCH(G$2,Inputs!$K$4:$AJ$4,0))))=0,NA(),SUMPRODUCT((Inputs!$A$5:$A$140=$B22)*Inputs!$B$5:$B$140*(((Inputs!$G$5:$G$140="moeda")+(Inputs!$G$5:$G$140="acoes"))*Inputs!$B$1+((Inputs!$G$5:$G$140&lt;&gt;"moeda")*(Inputs!$G$5:$G$140&lt;&gt;"acoes")))*INDEX(Inputs!$K$5:$AJ$140,0,MATCH(G$2,Inputs!$K$4:$AJ$4,0)))+SUMPRODUCT((Inputs!$C$5:$C$140=$B22)*Inputs!$D$5:$D$140*(((Inputs!$G$5:$G$140="moeda")+(Inputs!$G$5:$G$140="acoes"))*Inputs!$B$1+((Inputs!$G$5:$G$140&lt;&gt;"moeda")*(Inputs!$G$5:$G$140&lt;&gt;"acoes")))*INDEX(Inputs!$K$5:$AJ$140,0,MATCH(G$2,Inputs!$K$4:$AJ$4,0)))+SUMPRODUCT((Inputs!$E$5:$E$140=$B22)*Inputs!$F$5:$F$140*(((Inputs!$G$5:$G$140="moeda")+(Inputs!$G$5:$G$140="acoes"))*Inputs!$B$1+((Inputs!$G$5:$G$140&lt;&gt;"moeda")*(Inputs!$G$5:$G$140&lt;&gt;"acoes")))*INDEX(Inputs!$K$5:$AJ$140,0,MATCH(G$2,Inputs!$K$4:$AJ$4,0)))))</f>
        <v>25.765</v>
      </c>
      <c r="H22" s="3">
        <f>G22</f>
        <v>25.765</v>
      </c>
      <c r="I22" s="6">
        <f>IF(ISNA(MATCH(I$2,Inputs!$K$4:$AJ$4,0)),NA(),IF(SUMPRODUCT((Inputs!$A$5:$A$140=$B22)*ISNUMBER(INDEX(Inputs!$K$5:$AJ$140,0,MATCH(I$2,Inputs!$K$4:$AJ$4,0))))+SUMPRODUCT((Inputs!$C$5:$C$140=$B22)*ISNUMBER(INDEX(Inputs!$K$5:$AJ$140,0,MATCH(I$2,Inputs!$K$4:$AJ$4,0))))+SUMPRODUCT((Inputs!$E$5:$E$140=$B22)*ISNUMBER(INDEX(Inputs!$K$5:$AJ$140,0,MATCH(I$2,Inputs!$K$4:$AJ$4,0))))=0,NA(),SUMPRODUCT((Inputs!$A$5:$A$140=$B22)*Inputs!$B$5:$B$140*(((Inputs!$G$5:$G$140="moeda")+(Inputs!$G$5:$G$140="acoes"))*Inputs!$B$1+((Inputs!$G$5:$G$140&lt;&gt;"moeda")*(Inputs!$G$5:$G$140&lt;&gt;"acoes")))*INDEX(Inputs!$K$5:$AJ$140,0,MATCH(I$2,Inputs!$K$4:$AJ$4,0)))+SUMPRODUCT((Inputs!$C$5:$C$140=$B22)*Inputs!$D$5:$D$140*(((Inputs!$G$5:$G$140="moeda")+(Inputs!$G$5:$G$140="acoes"))*Inputs!$B$1+((Inputs!$G$5:$G$140&lt;&gt;"moeda")*(Inputs!$G$5:$G$140&lt;&gt;"acoes")))*INDEX(Inputs!$K$5:$AJ$140,0,MATCH(I$2,Inputs!$K$4:$AJ$4,0)))+SUMPRODUCT((Inputs!$E$5:$E$140=$B22)*Inputs!$F$5:$F$140*(((Inputs!$G$5:$G$140="moeda")+(Inputs!$G$5:$G$140="acoes"))*Inputs!$B$1+((Inputs!$G$5:$G$140&lt;&gt;"moeda")*(Inputs!$G$5:$G$140&lt;&gt;"acoes")))*INDEX(Inputs!$K$5:$AJ$140,0,MATCH(I$2,Inputs!$K$4:$AJ$4,0)))))</f>
        <v>24.33</v>
      </c>
      <c r="J22" s="6">
        <f>IF(ISNA(MATCH(J$2,Inputs!$K$4:$AJ$4,0)),NA(),IF(SUMPRODUCT((Inputs!$A$5:$A$140=$B22)*ISNUMBER(INDEX(Inputs!$K$5:$AJ$140,0,MATCH(J$2,Inputs!$K$4:$AJ$4,0))))+SUMPRODUCT((Inputs!$C$5:$C$140=$B22)*ISNUMBER(INDEX(Inputs!$K$5:$AJ$140,0,MATCH(J$2,Inputs!$K$4:$AJ$4,0))))+SUMPRODUCT((Inputs!$E$5:$E$140=$B22)*ISNUMBER(INDEX(Inputs!$K$5:$AJ$140,0,MATCH(J$2,Inputs!$K$4:$AJ$4,0))))=0,NA(),SUMPRODUCT((Inputs!$A$5:$A$140=$B22)*Inputs!$B$5:$B$140*(((Inputs!$G$5:$G$140="moeda")+(Inputs!$G$5:$G$140="acoes"))*Inputs!$B$1+((Inputs!$G$5:$G$140&lt;&gt;"moeda")*(Inputs!$G$5:$G$140&lt;&gt;"acoes")))*INDEX(Inputs!$K$5:$AJ$140,0,MATCH(J$2,Inputs!$K$4:$AJ$4,0)))+SUMPRODUCT((Inputs!$C$5:$C$140=$B22)*Inputs!$D$5:$D$140*(((Inputs!$G$5:$G$140="moeda")+(Inputs!$G$5:$G$140="acoes"))*Inputs!$B$1+((Inputs!$G$5:$G$140&lt;&gt;"moeda")*(Inputs!$G$5:$G$140&lt;&gt;"acoes")))*INDEX(Inputs!$K$5:$AJ$140,0,MATCH(J$2,Inputs!$K$4:$AJ$4,0)))+SUMPRODUCT((Inputs!$E$5:$E$140=$B22)*Inputs!$F$5:$F$140*(((Inputs!$G$5:$G$140="moeda")+(Inputs!$G$5:$G$140="acoes"))*Inputs!$B$1+((Inputs!$G$5:$G$140&lt;&gt;"moeda")*(Inputs!$G$5:$G$140&lt;&gt;"acoes")))*INDEX(Inputs!$K$5:$AJ$140,0,MATCH(J$2,Inputs!$K$4:$AJ$4,0)))))</f>
        <v>22.509</v>
      </c>
      <c r="K22" s="6">
        <f>IF(ISNA(MATCH(K$2,Inputs!$K$4:$AJ$4,0)),NA(),IF(SUMPRODUCT((Inputs!$A$5:$A$140=$B22)*ISNUMBER(INDEX(Inputs!$K$5:$AJ$140,0,MATCH(K$2,Inputs!$K$4:$AJ$4,0))))+SUMPRODUCT((Inputs!$C$5:$C$140=$B22)*ISNUMBER(INDEX(Inputs!$K$5:$AJ$140,0,MATCH(K$2,Inputs!$K$4:$AJ$4,0))))+SUMPRODUCT((Inputs!$E$5:$E$140=$B22)*ISNUMBER(INDEX(Inputs!$K$5:$AJ$140,0,MATCH(K$2,Inputs!$K$4:$AJ$4,0))))=0,NA(),SUMPRODUCT((Inputs!$A$5:$A$140=$B22)*Inputs!$B$5:$B$140*(((Inputs!$G$5:$G$140="moeda")+(Inputs!$G$5:$G$140="acoes"))*Inputs!$B$1+((Inputs!$G$5:$G$140&lt;&gt;"moeda")*(Inputs!$G$5:$G$140&lt;&gt;"acoes")))*INDEX(Inputs!$K$5:$AJ$140,0,MATCH(K$2,Inputs!$K$4:$AJ$4,0)))+SUMPRODUCT((Inputs!$C$5:$C$140=$B22)*Inputs!$D$5:$D$140*(((Inputs!$G$5:$G$140="moeda")+(Inputs!$G$5:$G$140="acoes"))*Inputs!$B$1+((Inputs!$G$5:$G$140&lt;&gt;"moeda")*(Inputs!$G$5:$G$140&lt;&gt;"acoes")))*INDEX(Inputs!$K$5:$AJ$140,0,MATCH(K$2,Inputs!$K$4:$AJ$4,0)))+SUMPRODUCT((Inputs!$E$5:$E$140=$B22)*Inputs!$F$5:$F$140*(((Inputs!$G$5:$G$140="moeda")+(Inputs!$G$5:$G$140="acoes"))*Inputs!$B$1+((Inputs!$G$5:$G$140&lt;&gt;"moeda")*(Inputs!$G$5:$G$140&lt;&gt;"acoes")))*INDEX(Inputs!$K$5:$AJ$140,0,MATCH(K$2,Inputs!$K$4:$AJ$4,0)))))</f>
        <v>22.203</v>
      </c>
      <c r="L22" s="6">
        <f>IF(ISNA(MATCH(L$2,Inputs!$K$4:$AJ$4,0)),NA(),IF(SUMPRODUCT((Inputs!$A$5:$A$140=$B22)*ISNUMBER(INDEX(Inputs!$K$5:$AJ$140,0,MATCH(L$2,Inputs!$K$4:$AJ$4,0))))+SUMPRODUCT((Inputs!$C$5:$C$140=$B22)*ISNUMBER(INDEX(Inputs!$K$5:$AJ$140,0,MATCH(L$2,Inputs!$K$4:$AJ$4,0))))+SUMPRODUCT((Inputs!$E$5:$E$140=$B22)*ISNUMBER(INDEX(Inputs!$K$5:$AJ$140,0,MATCH(L$2,Inputs!$K$4:$AJ$4,0))))=0,NA(),SUMPRODUCT((Inputs!$A$5:$A$140=$B22)*Inputs!$B$5:$B$140*(((Inputs!$G$5:$G$140="moeda")+(Inputs!$G$5:$G$140="acoes"))*Inputs!$B$1+((Inputs!$G$5:$G$140&lt;&gt;"moeda")*(Inputs!$G$5:$G$140&lt;&gt;"acoes")))*INDEX(Inputs!$K$5:$AJ$140,0,MATCH(L$2,Inputs!$K$4:$AJ$4,0)))+SUMPRODUCT((Inputs!$C$5:$C$140=$B22)*Inputs!$D$5:$D$140*(((Inputs!$G$5:$G$140="moeda")+(Inputs!$G$5:$G$140="acoes"))*Inputs!$B$1+((Inputs!$G$5:$G$140&lt;&gt;"moeda")*(Inputs!$G$5:$G$140&lt;&gt;"acoes")))*INDEX(Inputs!$K$5:$AJ$140,0,MATCH(L$2,Inputs!$K$4:$AJ$4,0)))+SUMPRODUCT((Inputs!$E$5:$E$140=$B22)*Inputs!$F$5:$F$140*(((Inputs!$G$5:$G$140="moeda")+(Inputs!$G$5:$G$140="acoes"))*Inputs!$B$1+((Inputs!$G$5:$G$140&lt;&gt;"moeda")*(Inputs!$G$5:$G$140&lt;&gt;"acoes")))*INDEX(Inputs!$K$5:$AJ$140,0,MATCH(L$2,Inputs!$K$4:$AJ$4,0)))))</f>
        <v>22.931</v>
      </c>
      <c r="M22" s="3">
        <f>L22</f>
        <v>22.931</v>
      </c>
      <c r="N22" s="6">
        <f>IF(ISNA(MATCH(N$2,Inputs!$K$4:$AJ$4,0)),NA(),IF(SUMPRODUCT((Inputs!$A$5:$A$140=$B22)*ISNUMBER(INDEX(Inputs!$K$5:$AJ$140,0,MATCH(N$2,Inputs!$K$4:$AJ$4,0))))+SUMPRODUCT((Inputs!$C$5:$C$140=$B22)*ISNUMBER(INDEX(Inputs!$K$5:$AJ$140,0,MATCH(N$2,Inputs!$K$4:$AJ$4,0))))+SUMPRODUCT((Inputs!$E$5:$E$140=$B22)*ISNUMBER(INDEX(Inputs!$K$5:$AJ$140,0,MATCH(N$2,Inputs!$K$4:$AJ$4,0))))=0,NA(),SUMPRODUCT((Inputs!$A$5:$A$140=$B22)*Inputs!$B$5:$B$140*(((Inputs!$G$5:$G$140="moeda")+(Inputs!$G$5:$G$140="acoes"))*Inputs!$B$1+((Inputs!$G$5:$G$140&lt;&gt;"moeda")*(Inputs!$G$5:$G$140&lt;&gt;"acoes")))*INDEX(Inputs!$K$5:$AJ$140,0,MATCH(N$2,Inputs!$K$4:$AJ$4,0)))+SUMPRODUCT((Inputs!$C$5:$C$140=$B22)*Inputs!$D$5:$D$140*(((Inputs!$G$5:$G$140="moeda")+(Inputs!$G$5:$G$140="acoes"))*Inputs!$B$1+((Inputs!$G$5:$G$140&lt;&gt;"moeda")*(Inputs!$G$5:$G$140&lt;&gt;"acoes")))*INDEX(Inputs!$K$5:$AJ$140,0,MATCH(N$2,Inputs!$K$4:$AJ$4,0)))+SUMPRODUCT((Inputs!$E$5:$E$140=$B22)*Inputs!$F$5:$F$140*(((Inputs!$G$5:$G$140="moeda")+(Inputs!$G$5:$G$140="acoes"))*Inputs!$B$1+((Inputs!$G$5:$G$140&lt;&gt;"moeda")*(Inputs!$G$5:$G$140&lt;&gt;"acoes")))*INDEX(Inputs!$K$5:$AJ$140,0,MATCH(N$2,Inputs!$K$4:$AJ$4,0)))))</f>
        <v>31.101</v>
      </c>
      <c r="O22" s="6">
        <f>IF(ISNA(MATCH(O$2,Inputs!$K$4:$AJ$4,0)),NA(),IF(SUMPRODUCT((Inputs!$A$5:$A$140=$B22)*ISNUMBER(INDEX(Inputs!$K$5:$AJ$140,0,MATCH(O$2,Inputs!$K$4:$AJ$4,0))))+SUMPRODUCT((Inputs!$C$5:$C$140=$B22)*ISNUMBER(INDEX(Inputs!$K$5:$AJ$140,0,MATCH(O$2,Inputs!$K$4:$AJ$4,0))))+SUMPRODUCT((Inputs!$E$5:$E$140=$B22)*ISNUMBER(INDEX(Inputs!$K$5:$AJ$140,0,MATCH(O$2,Inputs!$K$4:$AJ$4,0))))=0,NA(),SUMPRODUCT((Inputs!$A$5:$A$140=$B22)*Inputs!$B$5:$B$140*(((Inputs!$G$5:$G$140="moeda")+(Inputs!$G$5:$G$140="acoes"))*Inputs!$B$1+((Inputs!$G$5:$G$140&lt;&gt;"moeda")*(Inputs!$G$5:$G$140&lt;&gt;"acoes")))*INDEX(Inputs!$K$5:$AJ$140,0,MATCH(O$2,Inputs!$K$4:$AJ$4,0)))+SUMPRODUCT((Inputs!$C$5:$C$140=$B22)*Inputs!$D$5:$D$140*(((Inputs!$G$5:$G$140="moeda")+(Inputs!$G$5:$G$140="acoes"))*Inputs!$B$1+((Inputs!$G$5:$G$140&lt;&gt;"moeda")*(Inputs!$G$5:$G$140&lt;&gt;"acoes")))*INDEX(Inputs!$K$5:$AJ$140,0,MATCH(O$2,Inputs!$K$4:$AJ$4,0)))+SUMPRODUCT((Inputs!$E$5:$E$140=$B22)*Inputs!$F$5:$F$140*(((Inputs!$G$5:$G$140="moeda")+(Inputs!$G$5:$G$140="acoes"))*Inputs!$B$1+((Inputs!$G$5:$G$140&lt;&gt;"moeda")*(Inputs!$G$5:$G$140&lt;&gt;"acoes")))*INDEX(Inputs!$K$5:$AJ$140,0,MATCH(O$2,Inputs!$K$4:$AJ$4,0)))))</f>
        <v>33.293</v>
      </c>
      <c r="P22" s="6">
        <f>IF(ISNA(MATCH(P$2,Inputs!$K$4:$AJ$4,0)),NA(),IF(SUMPRODUCT((Inputs!$A$5:$A$140=$B22)*ISNUMBER(INDEX(Inputs!$K$5:$AJ$140,0,MATCH(P$2,Inputs!$K$4:$AJ$4,0))))+SUMPRODUCT((Inputs!$C$5:$C$140=$B22)*ISNUMBER(INDEX(Inputs!$K$5:$AJ$140,0,MATCH(P$2,Inputs!$K$4:$AJ$4,0))))+SUMPRODUCT((Inputs!$E$5:$E$140=$B22)*ISNUMBER(INDEX(Inputs!$K$5:$AJ$140,0,MATCH(P$2,Inputs!$K$4:$AJ$4,0))))=0,NA(),SUMPRODUCT((Inputs!$A$5:$A$140=$B22)*Inputs!$B$5:$B$140*(((Inputs!$G$5:$G$140="moeda")+(Inputs!$G$5:$G$140="acoes"))*Inputs!$B$1+((Inputs!$G$5:$G$140&lt;&gt;"moeda")*(Inputs!$G$5:$G$140&lt;&gt;"acoes")))*INDEX(Inputs!$K$5:$AJ$140,0,MATCH(P$2,Inputs!$K$4:$AJ$4,0)))+SUMPRODUCT((Inputs!$C$5:$C$140=$B22)*Inputs!$D$5:$D$140*(((Inputs!$G$5:$G$140="moeda")+(Inputs!$G$5:$G$140="acoes"))*Inputs!$B$1+((Inputs!$G$5:$G$140&lt;&gt;"moeda")*(Inputs!$G$5:$G$140&lt;&gt;"acoes")))*INDEX(Inputs!$K$5:$AJ$140,0,MATCH(P$2,Inputs!$K$4:$AJ$4,0)))+SUMPRODUCT((Inputs!$E$5:$E$140=$B22)*Inputs!$F$5:$F$140*(((Inputs!$G$5:$G$140="moeda")+(Inputs!$G$5:$G$140="acoes"))*Inputs!$B$1+((Inputs!$G$5:$G$140&lt;&gt;"moeda")*(Inputs!$G$5:$G$140&lt;&gt;"acoes")))*INDEX(Inputs!$K$5:$AJ$140,0,MATCH(P$2,Inputs!$K$4:$AJ$4,0)))))</f>
        <v>33.278</v>
      </c>
      <c r="Q22" s="6">
        <f>IF(ISNA(MATCH(Q$2,Inputs!$K$4:$AJ$4,0)),NA(),IF(SUMPRODUCT((Inputs!$A$5:$A$140=$B22)*ISNUMBER(INDEX(Inputs!$K$5:$AJ$140,0,MATCH(Q$2,Inputs!$K$4:$AJ$4,0))))+SUMPRODUCT((Inputs!$C$5:$C$140=$B22)*ISNUMBER(INDEX(Inputs!$K$5:$AJ$140,0,MATCH(Q$2,Inputs!$K$4:$AJ$4,0))))+SUMPRODUCT((Inputs!$E$5:$E$140=$B22)*ISNUMBER(INDEX(Inputs!$K$5:$AJ$140,0,MATCH(Q$2,Inputs!$K$4:$AJ$4,0))))=0,NA(),SUMPRODUCT((Inputs!$A$5:$A$140=$B22)*Inputs!$B$5:$B$140*(((Inputs!$G$5:$G$140="moeda")+(Inputs!$G$5:$G$140="acoes"))*Inputs!$B$1+((Inputs!$G$5:$G$140&lt;&gt;"moeda")*(Inputs!$G$5:$G$140&lt;&gt;"acoes")))*INDEX(Inputs!$K$5:$AJ$140,0,MATCH(Q$2,Inputs!$K$4:$AJ$4,0)))+SUMPRODUCT((Inputs!$C$5:$C$140=$B22)*Inputs!$D$5:$D$140*(((Inputs!$G$5:$G$140="moeda")+(Inputs!$G$5:$G$140="acoes"))*Inputs!$B$1+((Inputs!$G$5:$G$140&lt;&gt;"moeda")*(Inputs!$G$5:$G$140&lt;&gt;"acoes")))*INDEX(Inputs!$K$5:$AJ$140,0,MATCH(Q$2,Inputs!$K$4:$AJ$4,0)))+SUMPRODUCT((Inputs!$E$5:$E$140=$B22)*Inputs!$F$5:$F$140*(((Inputs!$G$5:$G$140="moeda")+(Inputs!$G$5:$G$140="acoes"))*Inputs!$B$1+((Inputs!$G$5:$G$140&lt;&gt;"moeda")*(Inputs!$G$5:$G$140&lt;&gt;"acoes")))*INDEX(Inputs!$K$5:$AJ$140,0,MATCH(Q$2,Inputs!$K$4:$AJ$4,0)))))</f>
        <v>34.596</v>
      </c>
      <c r="R22" s="3">
        <f>Q22</f>
        <v>34.596</v>
      </c>
      <c r="S22" s="6">
        <f>IF(ISNA(MATCH(S$2,Inputs!$K$4:$AJ$4,0)),NA(),IF(SUMPRODUCT((Inputs!$A$5:$A$140=$B22)*ISNUMBER(INDEX(Inputs!$K$5:$AJ$140,0,MATCH(S$2,Inputs!$K$4:$AJ$4,0))))+SUMPRODUCT((Inputs!$C$5:$C$140=$B22)*ISNUMBER(INDEX(Inputs!$K$5:$AJ$140,0,MATCH(S$2,Inputs!$K$4:$AJ$4,0))))+SUMPRODUCT((Inputs!$E$5:$E$140=$B22)*ISNUMBER(INDEX(Inputs!$K$5:$AJ$140,0,MATCH(S$2,Inputs!$K$4:$AJ$4,0))))=0,NA(),SUMPRODUCT((Inputs!$A$5:$A$140=$B22)*Inputs!$B$5:$B$140*(((Inputs!$G$5:$G$140="moeda")+(Inputs!$G$5:$G$140="acoes"))*Inputs!$B$1+((Inputs!$G$5:$G$140&lt;&gt;"moeda")*(Inputs!$G$5:$G$140&lt;&gt;"acoes")))*INDEX(Inputs!$K$5:$AJ$140,0,MATCH(S$2,Inputs!$K$4:$AJ$4,0)))+SUMPRODUCT((Inputs!$C$5:$C$140=$B22)*Inputs!$D$5:$D$140*(((Inputs!$G$5:$G$140="moeda")+(Inputs!$G$5:$G$140="acoes"))*Inputs!$B$1+((Inputs!$G$5:$G$140&lt;&gt;"moeda")*(Inputs!$G$5:$G$140&lt;&gt;"acoes")))*INDEX(Inputs!$K$5:$AJ$140,0,MATCH(S$2,Inputs!$K$4:$AJ$4,0)))+SUMPRODUCT((Inputs!$E$5:$E$140=$B22)*Inputs!$F$5:$F$140*(((Inputs!$G$5:$G$140="moeda")+(Inputs!$G$5:$G$140="acoes"))*Inputs!$B$1+((Inputs!$G$5:$G$140&lt;&gt;"moeda")*(Inputs!$G$5:$G$140&lt;&gt;"acoes")))*INDEX(Inputs!$K$5:$AJ$140,0,MATCH(S$2,Inputs!$K$4:$AJ$4,0)))))</f>
        <v>36.855</v>
      </c>
      <c r="T22" s="6">
        <f>IF(ISNA(MATCH(T$2,Inputs!$K$4:$AJ$4,0)),NA(),IF(SUMPRODUCT((Inputs!$A$5:$A$140=$B22)*ISNUMBER(INDEX(Inputs!$K$5:$AJ$140,0,MATCH(T$2,Inputs!$K$4:$AJ$4,0))))+SUMPRODUCT((Inputs!$C$5:$C$140=$B22)*ISNUMBER(INDEX(Inputs!$K$5:$AJ$140,0,MATCH(T$2,Inputs!$K$4:$AJ$4,0))))+SUMPRODUCT((Inputs!$E$5:$E$140=$B22)*ISNUMBER(INDEX(Inputs!$K$5:$AJ$140,0,MATCH(T$2,Inputs!$K$4:$AJ$4,0))))=0,NA(),SUMPRODUCT((Inputs!$A$5:$A$140=$B22)*Inputs!$B$5:$B$140*(((Inputs!$G$5:$G$140="moeda")+(Inputs!$G$5:$G$140="acoes"))*Inputs!$B$1+((Inputs!$G$5:$G$140&lt;&gt;"moeda")*(Inputs!$G$5:$G$140&lt;&gt;"acoes")))*INDEX(Inputs!$K$5:$AJ$140,0,MATCH(T$2,Inputs!$K$4:$AJ$4,0)))+SUMPRODUCT((Inputs!$C$5:$C$140=$B22)*Inputs!$D$5:$D$140*(((Inputs!$G$5:$G$140="moeda")+(Inputs!$G$5:$G$140="acoes"))*Inputs!$B$1+((Inputs!$G$5:$G$140&lt;&gt;"moeda")*(Inputs!$G$5:$G$140&lt;&gt;"acoes")))*INDEX(Inputs!$K$5:$AJ$140,0,MATCH(T$2,Inputs!$K$4:$AJ$4,0)))+SUMPRODUCT((Inputs!$E$5:$E$140=$B22)*Inputs!$F$5:$F$140*(((Inputs!$G$5:$G$140="moeda")+(Inputs!$G$5:$G$140="acoes"))*Inputs!$B$1+((Inputs!$G$5:$G$140&lt;&gt;"moeda")*(Inputs!$G$5:$G$140&lt;&gt;"acoes")))*INDEX(Inputs!$K$5:$AJ$140,0,MATCH(T$2,Inputs!$K$4:$AJ$4,0)))))</f>
        <v>37.163</v>
      </c>
      <c r="U22" s="6">
        <f>IF(ISNA(MATCH(U$2,Inputs!$K$4:$AJ$4,0)),NA(),IF(SUMPRODUCT((Inputs!$A$5:$A$140=$B22)*ISNUMBER(INDEX(Inputs!$K$5:$AJ$140,0,MATCH(U$2,Inputs!$K$4:$AJ$4,0))))+SUMPRODUCT((Inputs!$C$5:$C$140=$B22)*ISNUMBER(INDEX(Inputs!$K$5:$AJ$140,0,MATCH(U$2,Inputs!$K$4:$AJ$4,0))))+SUMPRODUCT((Inputs!$E$5:$E$140=$B22)*ISNUMBER(INDEX(Inputs!$K$5:$AJ$140,0,MATCH(U$2,Inputs!$K$4:$AJ$4,0))))=0,NA(),SUMPRODUCT((Inputs!$A$5:$A$140=$B22)*Inputs!$B$5:$B$140*(((Inputs!$G$5:$G$140="moeda")+(Inputs!$G$5:$G$140="acoes"))*Inputs!$B$1+((Inputs!$G$5:$G$140&lt;&gt;"moeda")*(Inputs!$G$5:$G$140&lt;&gt;"acoes")))*INDEX(Inputs!$K$5:$AJ$140,0,MATCH(U$2,Inputs!$K$4:$AJ$4,0)))+SUMPRODUCT((Inputs!$C$5:$C$140=$B22)*Inputs!$D$5:$D$140*(((Inputs!$G$5:$G$140="moeda")+(Inputs!$G$5:$G$140="acoes"))*Inputs!$B$1+((Inputs!$G$5:$G$140&lt;&gt;"moeda")*(Inputs!$G$5:$G$140&lt;&gt;"acoes")))*INDEX(Inputs!$K$5:$AJ$140,0,MATCH(U$2,Inputs!$K$4:$AJ$4,0)))+SUMPRODUCT((Inputs!$E$5:$E$140=$B22)*Inputs!$F$5:$F$140*(((Inputs!$G$5:$G$140="moeda")+(Inputs!$G$5:$G$140="acoes"))*Inputs!$B$1+((Inputs!$G$5:$G$140&lt;&gt;"moeda")*(Inputs!$G$5:$G$140&lt;&gt;"acoes")))*INDEX(Inputs!$K$5:$AJ$140,0,MATCH(U$2,Inputs!$K$4:$AJ$4,0)))))</f>
        <v>39.806</v>
      </c>
      <c r="V22" s="6">
        <f>IF(ISNA(MATCH(V$2,Inputs!$K$4:$AJ$4,0)),NA(),IF(SUMPRODUCT((Inputs!$A$5:$A$140=$B22)*ISNUMBER(INDEX(Inputs!$K$5:$AJ$140,0,MATCH(V$2,Inputs!$K$4:$AJ$4,0))))+SUMPRODUCT((Inputs!$C$5:$C$140=$B22)*ISNUMBER(INDEX(Inputs!$K$5:$AJ$140,0,MATCH(V$2,Inputs!$K$4:$AJ$4,0))))+SUMPRODUCT((Inputs!$E$5:$E$140=$B22)*ISNUMBER(INDEX(Inputs!$K$5:$AJ$140,0,MATCH(V$2,Inputs!$K$4:$AJ$4,0))))=0,NA(),SUMPRODUCT((Inputs!$A$5:$A$140=$B22)*Inputs!$B$5:$B$140*(((Inputs!$G$5:$G$140="moeda")+(Inputs!$G$5:$G$140="acoes"))*Inputs!$B$1+((Inputs!$G$5:$G$140&lt;&gt;"moeda")*(Inputs!$G$5:$G$140&lt;&gt;"acoes")))*INDEX(Inputs!$K$5:$AJ$140,0,MATCH(V$2,Inputs!$K$4:$AJ$4,0)))+SUMPRODUCT((Inputs!$C$5:$C$140=$B22)*Inputs!$D$5:$D$140*(((Inputs!$G$5:$G$140="moeda")+(Inputs!$G$5:$G$140="acoes"))*Inputs!$B$1+((Inputs!$G$5:$G$140&lt;&gt;"moeda")*(Inputs!$G$5:$G$140&lt;&gt;"acoes")))*INDEX(Inputs!$K$5:$AJ$140,0,MATCH(V$2,Inputs!$K$4:$AJ$4,0)))+SUMPRODUCT((Inputs!$E$5:$E$140=$B22)*Inputs!$F$5:$F$140*(((Inputs!$G$5:$G$140="moeda")+(Inputs!$G$5:$G$140="acoes"))*Inputs!$B$1+((Inputs!$G$5:$G$140&lt;&gt;"moeda")*(Inputs!$G$5:$G$140&lt;&gt;"acoes")))*INDEX(Inputs!$K$5:$AJ$140,0,MATCH(V$2,Inputs!$K$4:$AJ$4,0)))))</f>
        <v>41.601</v>
      </c>
      <c r="W22" s="3">
        <f>V22</f>
        <v>41.601</v>
      </c>
      <c r="X22" s="6">
        <f>IF(ISNA(MATCH(X$2,Inputs!$K$4:$AJ$4,0)),NA(),IF(SUMPRODUCT((Inputs!$A$5:$A$140=$B22)*ISNUMBER(INDEX(Inputs!$K$5:$AJ$140,0,MATCH(X$2,Inputs!$K$4:$AJ$4,0))))+SUMPRODUCT((Inputs!$C$5:$C$140=$B22)*ISNUMBER(INDEX(Inputs!$K$5:$AJ$140,0,MATCH(X$2,Inputs!$K$4:$AJ$4,0))))+SUMPRODUCT((Inputs!$E$5:$E$140=$B22)*ISNUMBER(INDEX(Inputs!$K$5:$AJ$140,0,MATCH(X$2,Inputs!$K$4:$AJ$4,0))))=0,NA(),SUMPRODUCT((Inputs!$A$5:$A$140=$B22)*Inputs!$B$5:$B$140*(((Inputs!$G$5:$G$140="moeda")+(Inputs!$G$5:$G$140="acoes"))*Inputs!$B$1+((Inputs!$G$5:$G$140&lt;&gt;"moeda")*(Inputs!$G$5:$G$140&lt;&gt;"acoes")))*INDEX(Inputs!$K$5:$AJ$140,0,MATCH(X$2,Inputs!$K$4:$AJ$4,0)))+SUMPRODUCT((Inputs!$C$5:$C$140=$B22)*Inputs!$D$5:$D$140*(((Inputs!$G$5:$G$140="moeda")+(Inputs!$G$5:$G$140="acoes"))*Inputs!$B$1+((Inputs!$G$5:$G$140&lt;&gt;"moeda")*(Inputs!$G$5:$G$140&lt;&gt;"acoes")))*INDEX(Inputs!$K$5:$AJ$140,0,MATCH(X$2,Inputs!$K$4:$AJ$4,0)))+SUMPRODUCT((Inputs!$E$5:$E$140=$B22)*Inputs!$F$5:$F$140*(((Inputs!$G$5:$G$140="moeda")+(Inputs!$G$5:$G$140="acoes"))*Inputs!$B$1+((Inputs!$G$5:$G$140&lt;&gt;"moeda")*(Inputs!$G$5:$G$140&lt;&gt;"acoes")))*INDEX(Inputs!$K$5:$AJ$140,0,MATCH(X$2,Inputs!$K$4:$AJ$4,0)))))</f>
        <v>41.884</v>
      </c>
      <c r="Y22" s="6">
        <f>IF(ISNA(MATCH(Y$2,Inputs!$K$4:$AJ$4,0)),NA(),IF(SUMPRODUCT((Inputs!$A$5:$A$140=$B22)*ISNUMBER(INDEX(Inputs!$K$5:$AJ$140,0,MATCH(Y$2,Inputs!$K$4:$AJ$4,0))))+SUMPRODUCT((Inputs!$C$5:$C$140=$B22)*ISNUMBER(INDEX(Inputs!$K$5:$AJ$140,0,MATCH(Y$2,Inputs!$K$4:$AJ$4,0))))+SUMPRODUCT((Inputs!$E$5:$E$140=$B22)*ISNUMBER(INDEX(Inputs!$K$5:$AJ$140,0,MATCH(Y$2,Inputs!$K$4:$AJ$4,0))))=0,NA(),SUMPRODUCT((Inputs!$A$5:$A$140=$B22)*Inputs!$B$5:$B$140*(((Inputs!$G$5:$G$140="moeda")+(Inputs!$G$5:$G$140="acoes"))*Inputs!$B$1+((Inputs!$G$5:$G$140&lt;&gt;"moeda")*(Inputs!$G$5:$G$140&lt;&gt;"acoes")))*INDEX(Inputs!$K$5:$AJ$140,0,MATCH(Y$2,Inputs!$K$4:$AJ$4,0)))+SUMPRODUCT((Inputs!$C$5:$C$140=$B22)*Inputs!$D$5:$D$140*(((Inputs!$G$5:$G$140="moeda")+(Inputs!$G$5:$G$140="acoes"))*Inputs!$B$1+((Inputs!$G$5:$G$140&lt;&gt;"moeda")*(Inputs!$G$5:$G$140&lt;&gt;"acoes")))*INDEX(Inputs!$K$5:$AJ$140,0,MATCH(Y$2,Inputs!$K$4:$AJ$4,0)))+SUMPRODUCT((Inputs!$E$5:$E$140=$B22)*Inputs!$F$5:$F$140*(((Inputs!$G$5:$G$140="moeda")+(Inputs!$G$5:$G$140="acoes"))*Inputs!$B$1+((Inputs!$G$5:$G$140&lt;&gt;"moeda")*(Inputs!$G$5:$G$140&lt;&gt;"acoes")))*INDEX(Inputs!$K$5:$AJ$140,0,MATCH(Y$2,Inputs!$K$4:$AJ$4,0)))))</f>
        <v>40.389</v>
      </c>
      <c r="Z22" s="6">
        <f>IF(ISNA(MATCH(Z$2,Inputs!$K$4:$AJ$4,0)),NA(),IF(SUMPRODUCT((Inputs!$A$5:$A$140=$B22)*ISNUMBER(INDEX(Inputs!$K$5:$AJ$140,0,MATCH(Z$2,Inputs!$K$4:$AJ$4,0))))+SUMPRODUCT((Inputs!$C$5:$C$140=$B22)*ISNUMBER(INDEX(Inputs!$K$5:$AJ$140,0,MATCH(Z$2,Inputs!$K$4:$AJ$4,0))))+SUMPRODUCT((Inputs!$E$5:$E$140=$B22)*ISNUMBER(INDEX(Inputs!$K$5:$AJ$140,0,MATCH(Z$2,Inputs!$K$4:$AJ$4,0))))=0,NA(),SUMPRODUCT((Inputs!$A$5:$A$140=$B22)*Inputs!$B$5:$B$140*(((Inputs!$G$5:$G$140="moeda")+(Inputs!$G$5:$G$140="acoes"))*Inputs!$B$1+((Inputs!$G$5:$G$140&lt;&gt;"moeda")*(Inputs!$G$5:$G$140&lt;&gt;"acoes")))*INDEX(Inputs!$K$5:$AJ$140,0,MATCH(Z$2,Inputs!$K$4:$AJ$4,0)))+SUMPRODUCT((Inputs!$C$5:$C$140=$B22)*Inputs!$D$5:$D$140*(((Inputs!$G$5:$G$140="moeda")+(Inputs!$G$5:$G$140="acoes"))*Inputs!$B$1+((Inputs!$G$5:$G$140&lt;&gt;"moeda")*(Inputs!$G$5:$G$140&lt;&gt;"acoes")))*INDEX(Inputs!$K$5:$AJ$140,0,MATCH(Z$2,Inputs!$K$4:$AJ$4,0)))+SUMPRODUCT((Inputs!$E$5:$E$140=$B22)*Inputs!$F$5:$F$140*(((Inputs!$G$5:$G$140="moeda")+(Inputs!$G$5:$G$140="acoes"))*Inputs!$B$1+((Inputs!$G$5:$G$140&lt;&gt;"moeda")*(Inputs!$G$5:$G$140&lt;&gt;"acoes")))*INDEX(Inputs!$K$5:$AJ$140,0,MATCH(Z$2,Inputs!$K$4:$AJ$4,0)))))</f>
        <v>40.513</v>
      </c>
      <c r="AA22" s="6">
        <f>IF(ISNA(MATCH(AA$2,Inputs!$K$4:$AJ$4,0)),NA(),IF(SUMPRODUCT((Inputs!$A$5:$A$140=$B22)*ISNUMBER(INDEX(Inputs!$K$5:$AJ$140,0,MATCH(AA$2,Inputs!$K$4:$AJ$4,0))))+SUMPRODUCT((Inputs!$C$5:$C$140=$B22)*ISNUMBER(INDEX(Inputs!$K$5:$AJ$140,0,MATCH(AA$2,Inputs!$K$4:$AJ$4,0))))+SUMPRODUCT((Inputs!$E$5:$E$140=$B22)*ISNUMBER(INDEX(Inputs!$K$5:$AJ$140,0,MATCH(AA$2,Inputs!$K$4:$AJ$4,0))))=0,NA(),SUMPRODUCT((Inputs!$A$5:$A$140=$B22)*Inputs!$B$5:$B$140*(((Inputs!$G$5:$G$140="moeda")+(Inputs!$G$5:$G$140="acoes"))*Inputs!$B$1+((Inputs!$G$5:$G$140&lt;&gt;"moeda")*(Inputs!$G$5:$G$140&lt;&gt;"acoes")))*INDEX(Inputs!$K$5:$AJ$140,0,MATCH(AA$2,Inputs!$K$4:$AJ$4,0)))+SUMPRODUCT((Inputs!$C$5:$C$140=$B22)*Inputs!$D$5:$D$140*(((Inputs!$G$5:$G$140="moeda")+(Inputs!$G$5:$G$140="acoes"))*Inputs!$B$1+((Inputs!$G$5:$G$140&lt;&gt;"moeda")*(Inputs!$G$5:$G$140&lt;&gt;"acoes")))*INDEX(Inputs!$K$5:$AJ$140,0,MATCH(AA$2,Inputs!$K$4:$AJ$4,0)))+SUMPRODUCT((Inputs!$E$5:$E$140=$B22)*Inputs!$F$5:$F$140*(((Inputs!$G$5:$G$140="moeda")+(Inputs!$G$5:$G$140="acoes"))*Inputs!$B$1+((Inputs!$G$5:$G$140&lt;&gt;"moeda")*(Inputs!$G$5:$G$140&lt;&gt;"acoes")))*INDEX(Inputs!$K$5:$AJ$140,0,MATCH(AA$2,Inputs!$K$4:$AJ$4,0)))))</f>
        <v>41.203</v>
      </c>
      <c r="AB22" s="3">
        <f>AA22</f>
        <v>41.203</v>
      </c>
      <c r="AC22" s="6">
        <f>IF(ISNA(MATCH(AC$2,Inputs!$K$4:$AJ$4,0)),NA(),IF(SUMPRODUCT((Inputs!$A$5:$A$140=$B22)*ISNUMBER(INDEX(Inputs!$K$5:$AJ$140,0,MATCH(AC$2,Inputs!$K$4:$AJ$4,0))))+SUMPRODUCT((Inputs!$C$5:$C$140=$B22)*ISNUMBER(INDEX(Inputs!$K$5:$AJ$140,0,MATCH(AC$2,Inputs!$K$4:$AJ$4,0))))+SUMPRODUCT((Inputs!$E$5:$E$140=$B22)*ISNUMBER(INDEX(Inputs!$K$5:$AJ$140,0,MATCH(AC$2,Inputs!$K$4:$AJ$4,0))))=0,NA(),SUMPRODUCT((Inputs!$A$5:$A$140=$B22)*Inputs!$B$5:$B$140*(((Inputs!$G$5:$G$140="moeda")+(Inputs!$G$5:$G$140="acoes"))*Inputs!$B$1+((Inputs!$G$5:$G$140&lt;&gt;"moeda")*(Inputs!$G$5:$G$140&lt;&gt;"acoes")))*INDEX(Inputs!$K$5:$AJ$140,0,MATCH(AC$2,Inputs!$K$4:$AJ$4,0)))+SUMPRODUCT((Inputs!$C$5:$C$140=$B22)*Inputs!$D$5:$D$140*(((Inputs!$G$5:$G$140="moeda")+(Inputs!$G$5:$G$140="acoes"))*Inputs!$B$1+((Inputs!$G$5:$G$140&lt;&gt;"moeda")*(Inputs!$G$5:$G$140&lt;&gt;"acoes")))*INDEX(Inputs!$K$5:$AJ$140,0,MATCH(AC$2,Inputs!$K$4:$AJ$4,0)))+SUMPRODUCT((Inputs!$E$5:$E$140=$B22)*Inputs!$F$5:$F$140*(((Inputs!$G$5:$G$140="moeda")+(Inputs!$G$5:$G$140="acoes"))*Inputs!$B$1+((Inputs!$G$5:$G$140&lt;&gt;"moeda")*(Inputs!$G$5:$G$140&lt;&gt;"acoes")))*INDEX(Inputs!$K$5:$AJ$140,0,MATCH(AC$2,Inputs!$K$4:$AJ$4,0)))))</f>
        <v>46.373</v>
      </c>
      <c r="AD22" s="6">
        <f>IF(ISNA(MATCH(AD$2,Inputs!$K$4:$AJ$4,0)),NA(),IF(SUMPRODUCT((Inputs!$A$5:$A$140=$B22)*ISNUMBER(INDEX(Inputs!$K$5:$AJ$140,0,MATCH(AD$2,Inputs!$K$4:$AJ$4,0))))+SUMPRODUCT((Inputs!$C$5:$C$140=$B22)*ISNUMBER(INDEX(Inputs!$K$5:$AJ$140,0,MATCH(AD$2,Inputs!$K$4:$AJ$4,0))))+SUMPRODUCT((Inputs!$E$5:$E$140=$B22)*ISNUMBER(INDEX(Inputs!$K$5:$AJ$140,0,MATCH(AD$2,Inputs!$K$4:$AJ$4,0))))=0,NA(),SUMPRODUCT((Inputs!$A$5:$A$140=$B22)*Inputs!$B$5:$B$140*(((Inputs!$G$5:$G$140="moeda")+(Inputs!$G$5:$G$140="acoes"))*Inputs!$B$1+((Inputs!$G$5:$G$140&lt;&gt;"moeda")*(Inputs!$G$5:$G$140&lt;&gt;"acoes")))*INDEX(Inputs!$K$5:$AJ$140,0,MATCH(AD$2,Inputs!$K$4:$AJ$4,0)))+SUMPRODUCT((Inputs!$C$5:$C$140=$B22)*Inputs!$D$5:$D$140*(((Inputs!$G$5:$G$140="moeda")+(Inputs!$G$5:$G$140="acoes"))*Inputs!$B$1+((Inputs!$G$5:$G$140&lt;&gt;"moeda")*(Inputs!$G$5:$G$140&lt;&gt;"acoes")))*INDEX(Inputs!$K$5:$AJ$140,0,MATCH(AD$2,Inputs!$K$4:$AJ$4,0)))+SUMPRODUCT((Inputs!$E$5:$E$140=$B22)*Inputs!$F$5:$F$140*(((Inputs!$G$5:$G$140="moeda")+(Inputs!$G$5:$G$140="acoes"))*Inputs!$B$1+((Inputs!$G$5:$G$140&lt;&gt;"moeda")*(Inputs!$G$5:$G$140&lt;&gt;"acoes")))*INDEX(Inputs!$K$5:$AJ$140,0,MATCH(AD$2,Inputs!$K$4:$AJ$4,0)))))</f>
        <v>51.142</v>
      </c>
      <c r="AE22" s="6" t="e">
        <f>IF(ISNA(MATCH(AE$2,Inputs!$K$4:$AJ$4,0)),NA(),IF(SUMPRODUCT((Inputs!$A$5:$A$140=$B22)*ISNUMBER(INDEX(Inputs!$K$5:$AJ$140,0,MATCH(AE$2,Inputs!$K$4:$AJ$4,0))))+SUMPRODUCT((Inputs!$C$5:$C$140=$B22)*ISNUMBER(INDEX(Inputs!$K$5:$AJ$140,0,MATCH(AE$2,Inputs!$K$4:$AJ$4,0))))+SUMPRODUCT((Inputs!$E$5:$E$140=$B22)*ISNUMBER(INDEX(Inputs!$K$5:$AJ$140,0,MATCH(AE$2,Inputs!$K$4:$AJ$4,0))))=0,NA(),SUMPRODUCT((Inputs!$A$5:$A$140=$B22)*Inputs!$B$5:$B$140*(((Inputs!$G$5:$G$140="moeda")+(Inputs!$G$5:$G$140="acoes"))*Inputs!$B$1+((Inputs!$G$5:$G$140&lt;&gt;"moeda")*(Inputs!$G$5:$G$140&lt;&gt;"acoes")))*INDEX(Inputs!$K$5:$AJ$140,0,MATCH(AE$2,Inputs!$K$4:$AJ$4,0)))+SUMPRODUCT((Inputs!$C$5:$C$140=$B22)*Inputs!$D$5:$D$140*(((Inputs!$G$5:$G$140="moeda")+(Inputs!$G$5:$G$140="acoes"))*Inputs!$B$1+((Inputs!$G$5:$G$140&lt;&gt;"moeda")*(Inputs!$G$5:$G$140&lt;&gt;"acoes")))*INDEX(Inputs!$K$5:$AJ$140,0,MATCH(AE$2,Inputs!$K$4:$AJ$4,0)))+SUMPRODUCT((Inputs!$E$5:$E$140=$B22)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2" s="6" t="e">
        <f>IF(ISNA(MATCH(AF$2,Inputs!$K$4:$AJ$4,0)),NA(),IF(SUMPRODUCT((Inputs!$A$5:$A$140=$B22)*ISNUMBER(INDEX(Inputs!$K$5:$AJ$140,0,MATCH(AF$2,Inputs!$K$4:$AJ$4,0))))+SUMPRODUCT((Inputs!$C$5:$C$140=$B22)*ISNUMBER(INDEX(Inputs!$K$5:$AJ$140,0,MATCH(AF$2,Inputs!$K$4:$AJ$4,0))))+SUMPRODUCT((Inputs!$E$5:$E$140=$B22)*ISNUMBER(INDEX(Inputs!$K$5:$AJ$140,0,MATCH(AF$2,Inputs!$K$4:$AJ$4,0))))=0,NA(),SUMPRODUCT((Inputs!$A$5:$A$140=$B22)*Inputs!$B$5:$B$140*(((Inputs!$G$5:$G$140="moeda")+(Inputs!$G$5:$G$140="acoes"))*Inputs!$B$1+((Inputs!$G$5:$G$140&lt;&gt;"moeda")*(Inputs!$G$5:$G$140&lt;&gt;"acoes")))*INDEX(Inputs!$K$5:$AJ$140,0,MATCH(AF$2,Inputs!$K$4:$AJ$4,0)))+SUMPRODUCT((Inputs!$C$5:$C$140=$B22)*Inputs!$D$5:$D$140*(((Inputs!$G$5:$G$140="moeda")+(Inputs!$G$5:$G$140="acoes"))*Inputs!$B$1+((Inputs!$G$5:$G$140&lt;&gt;"moeda")*(Inputs!$G$5:$G$140&lt;&gt;"acoes")))*INDEX(Inputs!$K$5:$AJ$140,0,MATCH(AF$2,Inputs!$K$4:$AJ$4,0)))+SUMPRODUCT((Inputs!$E$5:$E$140=$B22)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2" s="3" t="e">
        <f>AF22</f>
        <v>#N/A</v>
      </c>
      <c r="AH22" s="6">
        <f>IF(ISNA(MATCH(AH$2,Inputs!$K$4:$AJ$4,0)),NA(),IF(SUMPRODUCT((Inputs!$A$5:$A$140=$B22)*ISNUMBER(INDEX(Inputs!$K$5:$AJ$140,0,MATCH(AH$2,Inputs!$K$4:$AJ$4,0))))+SUMPRODUCT((Inputs!$C$5:$C$140=$B22)*ISNUMBER(INDEX(Inputs!$K$5:$AJ$140,0,MATCH(AH$2,Inputs!$K$4:$AJ$4,0))))+SUMPRODUCT((Inputs!$E$5:$E$140=$B22)*ISNUMBER(INDEX(Inputs!$K$5:$AJ$140,0,MATCH(AH$2,Inputs!$K$4:$AJ$4,0))))=0,NA(),SUMPRODUCT((Inputs!$A$5:$A$140=$B22)*Inputs!$B$5:$B$140*(((Inputs!$G$5:$G$140="moeda")+(Inputs!$G$5:$G$140="acoes"))*Inputs!$B$1+((Inputs!$G$5:$G$140&lt;&gt;"moeda")*(Inputs!$G$5:$G$140&lt;&gt;"acoes")))*INDEX(Inputs!$K$5:$AJ$140,0,MATCH(AH$2,Inputs!$K$4:$AJ$4,0)))+SUMPRODUCT((Inputs!$C$5:$C$140=$B22)*Inputs!$D$5:$D$140*(((Inputs!$G$5:$G$140="moeda")+(Inputs!$G$5:$G$140="acoes"))*Inputs!$B$1+((Inputs!$G$5:$G$140&lt;&gt;"moeda")*(Inputs!$G$5:$G$140&lt;&gt;"acoes")))*INDEX(Inputs!$K$5:$AJ$140,0,MATCH(AH$2,Inputs!$K$4:$AJ$4,0)))+SUMPRODUCT((Inputs!$E$5:$E$140=$B22)*Inputs!$F$5:$F$140*(((Inputs!$G$5:$G$140="moeda")+(Inputs!$G$5:$G$140="acoes"))*Inputs!$B$1+((Inputs!$G$5:$G$140&lt;&gt;"moeda")*(Inputs!$G$5:$G$140&lt;&gt;"acoes")))*INDEX(Inputs!$K$5:$AJ$140,0,MATCH(AH$2,Inputs!$K$4:$AJ$4,0)))))</f>
        <v>12.276</v>
      </c>
      <c r="AI22" s="6">
        <f>IF(ISNA(MATCH(AI$2,Inputs!$K$4:$AJ$4,0)),NA(),IF(SUMPRODUCT((Inputs!$A$5:$A$140=$B22)*ISNUMBER(INDEX(Inputs!$K$5:$AJ$140,0,MATCH(AI$2,Inputs!$K$4:$AJ$4,0))))+SUMPRODUCT((Inputs!$C$5:$C$140=$B22)*ISNUMBER(INDEX(Inputs!$K$5:$AJ$140,0,MATCH(AI$2,Inputs!$K$4:$AJ$4,0))))+SUMPRODUCT((Inputs!$E$5:$E$140=$B22)*ISNUMBER(INDEX(Inputs!$K$5:$AJ$140,0,MATCH(AI$2,Inputs!$K$4:$AJ$4,0))))=0,NA(),SUMPRODUCT((Inputs!$A$5:$A$140=$B22)*Inputs!$B$5:$B$140*(((Inputs!$G$5:$G$140="moeda")+(Inputs!$G$5:$G$140="acoes"))*Inputs!$B$1+((Inputs!$G$5:$G$140&lt;&gt;"moeda")*(Inputs!$G$5:$G$140&lt;&gt;"acoes")))*INDEX(Inputs!$K$5:$AJ$140,0,MATCH(AI$2,Inputs!$K$4:$AJ$4,0)))+SUMPRODUCT((Inputs!$C$5:$C$140=$B22)*Inputs!$D$5:$D$140*(((Inputs!$G$5:$G$140="moeda")+(Inputs!$G$5:$G$140="acoes"))*Inputs!$B$1+((Inputs!$G$5:$G$140&lt;&gt;"moeda")*(Inputs!$G$5:$G$140&lt;&gt;"acoes")))*INDEX(Inputs!$K$5:$AJ$140,0,MATCH(AI$2,Inputs!$K$4:$AJ$4,0)))+SUMPRODUCT((Inputs!$E$5:$E$140=$B22)*Inputs!$F$5:$F$140*(((Inputs!$G$5:$G$140="moeda")+(Inputs!$G$5:$G$140="acoes"))*Inputs!$B$1+((Inputs!$G$5:$G$140&lt;&gt;"moeda")*(Inputs!$G$5:$G$140&lt;&gt;"acoes")))*INDEX(Inputs!$K$5:$AJ$140,0,MATCH(AI$2,Inputs!$K$4:$AJ$4,0)))))</f>
        <v>12.871</v>
      </c>
      <c r="AJ22" s="6">
        <f>IF(ISNA(MATCH(AJ$2,Inputs!$K$4:$AJ$4,0)),NA(),IF(SUMPRODUCT((Inputs!$A$5:$A$140=$B22)*ISNUMBER(INDEX(Inputs!$K$5:$AJ$140,0,MATCH(AJ$2,Inputs!$K$4:$AJ$4,0))))+SUMPRODUCT((Inputs!$C$5:$C$140=$B22)*ISNUMBER(INDEX(Inputs!$K$5:$AJ$140,0,MATCH(AJ$2,Inputs!$K$4:$AJ$4,0))))+SUMPRODUCT((Inputs!$E$5:$E$140=$B22)*ISNUMBER(INDEX(Inputs!$K$5:$AJ$140,0,MATCH(AJ$2,Inputs!$K$4:$AJ$4,0))))=0,NA(),SUMPRODUCT((Inputs!$A$5:$A$140=$B22)*Inputs!$B$5:$B$140*(((Inputs!$G$5:$G$140="moeda")+(Inputs!$G$5:$G$140="acoes"))*Inputs!$B$1+((Inputs!$G$5:$G$140&lt;&gt;"moeda")*(Inputs!$G$5:$G$140&lt;&gt;"acoes")))*INDEX(Inputs!$K$5:$AJ$140,0,MATCH(AJ$2,Inputs!$K$4:$AJ$4,0)))+SUMPRODUCT((Inputs!$C$5:$C$140=$B22)*Inputs!$D$5:$D$140*(((Inputs!$G$5:$G$140="moeda")+(Inputs!$G$5:$G$140="acoes"))*Inputs!$B$1+((Inputs!$G$5:$G$140&lt;&gt;"moeda")*(Inputs!$G$5:$G$140&lt;&gt;"acoes")))*INDEX(Inputs!$K$5:$AJ$140,0,MATCH(AJ$2,Inputs!$K$4:$AJ$4,0)))+SUMPRODUCT((Inputs!$E$5:$E$140=$B22)*Inputs!$F$5:$F$140*(((Inputs!$G$5:$G$140="moeda")+(Inputs!$G$5:$G$140="acoes"))*Inputs!$B$1+((Inputs!$G$5:$G$140&lt;&gt;"moeda")*(Inputs!$G$5:$G$140&lt;&gt;"acoes")))*INDEX(Inputs!$K$5:$AJ$140,0,MATCH(AJ$2,Inputs!$K$4:$AJ$4,0)))))</f>
        <v>13.604</v>
      </c>
      <c r="AK22" s="6">
        <f>IF(ISNA(MATCH(AK$2,Inputs!$K$4:$AJ$4,0)),NA(),IF(SUMPRODUCT((Inputs!$A$5:$A$140=$B22)*ISNUMBER(INDEX(Inputs!$K$5:$AJ$140,0,MATCH(AK$2,Inputs!$K$4:$AJ$4,0))))+SUMPRODUCT((Inputs!$C$5:$C$140=$B22)*ISNUMBER(INDEX(Inputs!$K$5:$AJ$140,0,MATCH(AK$2,Inputs!$K$4:$AJ$4,0))))+SUMPRODUCT((Inputs!$E$5:$E$140=$B22)*ISNUMBER(INDEX(Inputs!$K$5:$AJ$140,0,MATCH(AK$2,Inputs!$K$4:$AJ$4,0))))=0,NA(),SUMPRODUCT((Inputs!$A$5:$A$140=$B22)*Inputs!$B$5:$B$140*(((Inputs!$G$5:$G$140="moeda")+(Inputs!$G$5:$G$140="acoes"))*Inputs!$B$1+((Inputs!$G$5:$G$140&lt;&gt;"moeda")*(Inputs!$G$5:$G$140&lt;&gt;"acoes")))*INDEX(Inputs!$K$5:$AJ$140,0,MATCH(AK$2,Inputs!$K$4:$AJ$4,0)))+SUMPRODUCT((Inputs!$C$5:$C$140=$B22)*Inputs!$D$5:$D$140*(((Inputs!$G$5:$G$140="moeda")+(Inputs!$G$5:$G$140="acoes"))*Inputs!$B$1+((Inputs!$G$5:$G$140&lt;&gt;"moeda")*(Inputs!$G$5:$G$140&lt;&gt;"acoes")))*INDEX(Inputs!$K$5:$AJ$140,0,MATCH(AK$2,Inputs!$K$4:$AJ$4,0)))+SUMPRODUCT((Inputs!$E$5:$E$140=$B22)*Inputs!$F$5:$F$140*(((Inputs!$G$5:$G$140="moeda")+(Inputs!$G$5:$G$140="acoes"))*Inputs!$B$1+((Inputs!$G$5:$G$140&lt;&gt;"moeda")*(Inputs!$G$5:$G$140&lt;&gt;"acoes")))*INDEX(Inputs!$K$5:$AJ$140,0,MATCH(AK$2,Inputs!$K$4:$AJ$4,0)))))</f>
        <v>14.669</v>
      </c>
      <c r="AL22" s="3">
        <f>AK22</f>
        <v>14.669</v>
      </c>
    </row>
    <row r="23">
      <c r="B23" s="46" t="n">
        <v>19</v>
      </c>
      <c r="C23" s="26" t="inlineStr">
        <is>
          <t>Right-of-use-assets</t>
        </is>
      </c>
      <c r="D23" s="6" t="e">
        <f>IF(ISNA(MATCH(D$2,Inputs!$K$4:$AJ$4,0)),NA(),IF(SUMPRODUCT((Inputs!$A$5:$A$140=$B23)*ISNUMBER(INDEX(Inputs!$K$5:$AJ$140,0,MATCH(D$2,Inputs!$K$4:$AJ$4,0))))+SUMPRODUCT((Inputs!$C$5:$C$140=$B23)*ISNUMBER(INDEX(Inputs!$K$5:$AJ$140,0,MATCH(D$2,Inputs!$K$4:$AJ$4,0))))+SUMPRODUCT((Inputs!$E$5:$E$140=$B23)*ISNUMBER(INDEX(Inputs!$K$5:$AJ$140,0,MATCH(D$2,Inputs!$K$4:$AJ$4,0))))=0,NA(),SUMPRODUCT((Inputs!$A$5:$A$140=$B23)*Inputs!$B$5:$B$140*(((Inputs!$G$5:$G$140="moeda")+(Inputs!$G$5:$G$140="acoes"))*Inputs!$B$1+((Inputs!$G$5:$G$140&lt;&gt;"moeda")*(Inputs!$G$5:$G$140&lt;&gt;"acoes")))*INDEX(Inputs!$K$5:$AJ$140,0,MATCH(D$2,Inputs!$K$4:$AJ$4,0)))+SUMPRODUCT((Inputs!$C$5:$C$140=$B23)*Inputs!$D$5:$D$140*(((Inputs!$G$5:$G$140="moeda")+(Inputs!$G$5:$G$140="acoes"))*Inputs!$B$1+((Inputs!$G$5:$G$140&lt;&gt;"moeda")*(Inputs!$G$5:$G$140&lt;&gt;"acoes")))*INDEX(Inputs!$K$5:$AJ$140,0,MATCH(D$2,Inputs!$K$4:$AJ$4,0)))+SUMPRODUCT((Inputs!$E$5:$E$140=$B23)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23" s="6" t="e">
        <f>IF(ISNA(MATCH(E$2,Inputs!$K$4:$AJ$4,0)),NA(),IF(SUMPRODUCT((Inputs!$A$5:$A$140=$B23)*ISNUMBER(INDEX(Inputs!$K$5:$AJ$140,0,MATCH(E$2,Inputs!$K$4:$AJ$4,0))))+SUMPRODUCT((Inputs!$C$5:$C$140=$B23)*ISNUMBER(INDEX(Inputs!$K$5:$AJ$140,0,MATCH(E$2,Inputs!$K$4:$AJ$4,0))))+SUMPRODUCT((Inputs!$E$5:$E$140=$B23)*ISNUMBER(INDEX(Inputs!$K$5:$AJ$140,0,MATCH(E$2,Inputs!$K$4:$AJ$4,0))))=0,NA(),SUMPRODUCT((Inputs!$A$5:$A$140=$B23)*Inputs!$B$5:$B$140*(((Inputs!$G$5:$G$140="moeda")+(Inputs!$G$5:$G$140="acoes"))*Inputs!$B$1+((Inputs!$G$5:$G$140&lt;&gt;"moeda")*(Inputs!$G$5:$G$140&lt;&gt;"acoes")))*INDEX(Inputs!$K$5:$AJ$140,0,MATCH(E$2,Inputs!$K$4:$AJ$4,0)))+SUMPRODUCT((Inputs!$C$5:$C$140=$B23)*Inputs!$D$5:$D$140*(((Inputs!$G$5:$G$140="moeda")+(Inputs!$G$5:$G$140="acoes"))*Inputs!$B$1+((Inputs!$G$5:$G$140&lt;&gt;"moeda")*(Inputs!$G$5:$G$140&lt;&gt;"acoes")))*INDEX(Inputs!$K$5:$AJ$140,0,MATCH(E$2,Inputs!$K$4:$AJ$4,0)))+SUMPRODUCT((Inputs!$E$5:$E$140=$B23)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23" s="6" t="e">
        <f>IF(ISNA(MATCH(F$2,Inputs!$K$4:$AJ$4,0)),NA(),IF(SUMPRODUCT((Inputs!$A$5:$A$140=$B23)*ISNUMBER(INDEX(Inputs!$K$5:$AJ$140,0,MATCH(F$2,Inputs!$K$4:$AJ$4,0))))+SUMPRODUCT((Inputs!$C$5:$C$140=$B23)*ISNUMBER(INDEX(Inputs!$K$5:$AJ$140,0,MATCH(F$2,Inputs!$K$4:$AJ$4,0))))+SUMPRODUCT((Inputs!$E$5:$E$140=$B23)*ISNUMBER(INDEX(Inputs!$K$5:$AJ$140,0,MATCH(F$2,Inputs!$K$4:$AJ$4,0))))=0,NA(),SUMPRODUCT((Inputs!$A$5:$A$140=$B23)*Inputs!$B$5:$B$140*(((Inputs!$G$5:$G$140="moeda")+(Inputs!$G$5:$G$140="acoes"))*Inputs!$B$1+((Inputs!$G$5:$G$140&lt;&gt;"moeda")*(Inputs!$G$5:$G$140&lt;&gt;"acoes")))*INDEX(Inputs!$K$5:$AJ$140,0,MATCH(F$2,Inputs!$K$4:$AJ$4,0)))+SUMPRODUCT((Inputs!$C$5:$C$140=$B23)*Inputs!$D$5:$D$140*(((Inputs!$G$5:$G$140="moeda")+(Inputs!$G$5:$G$140="acoes"))*Inputs!$B$1+((Inputs!$G$5:$G$140&lt;&gt;"moeda")*(Inputs!$G$5:$G$140&lt;&gt;"acoes")))*INDEX(Inputs!$K$5:$AJ$140,0,MATCH(F$2,Inputs!$K$4:$AJ$4,0)))+SUMPRODUCT((Inputs!$E$5:$E$140=$B23)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23" s="6" t="e">
        <f>IF(ISNA(MATCH(G$2,Inputs!$K$4:$AJ$4,0)),NA(),IF(SUMPRODUCT((Inputs!$A$5:$A$140=$B23)*ISNUMBER(INDEX(Inputs!$K$5:$AJ$140,0,MATCH(G$2,Inputs!$K$4:$AJ$4,0))))+SUMPRODUCT((Inputs!$C$5:$C$140=$B23)*ISNUMBER(INDEX(Inputs!$K$5:$AJ$140,0,MATCH(G$2,Inputs!$K$4:$AJ$4,0))))+SUMPRODUCT((Inputs!$E$5:$E$140=$B23)*ISNUMBER(INDEX(Inputs!$K$5:$AJ$140,0,MATCH(G$2,Inputs!$K$4:$AJ$4,0))))=0,NA(),SUMPRODUCT((Inputs!$A$5:$A$140=$B23)*Inputs!$B$5:$B$140*(((Inputs!$G$5:$G$140="moeda")+(Inputs!$G$5:$G$140="acoes"))*Inputs!$B$1+((Inputs!$G$5:$G$140&lt;&gt;"moeda")*(Inputs!$G$5:$G$140&lt;&gt;"acoes")))*INDEX(Inputs!$K$5:$AJ$140,0,MATCH(G$2,Inputs!$K$4:$AJ$4,0)))+SUMPRODUCT((Inputs!$C$5:$C$140=$B23)*Inputs!$D$5:$D$140*(((Inputs!$G$5:$G$140="moeda")+(Inputs!$G$5:$G$140="acoes"))*Inputs!$B$1+((Inputs!$G$5:$G$140&lt;&gt;"moeda")*(Inputs!$G$5:$G$140&lt;&gt;"acoes")))*INDEX(Inputs!$K$5:$AJ$140,0,MATCH(G$2,Inputs!$K$4:$AJ$4,0)))+SUMPRODUCT((Inputs!$E$5:$E$140=$B23)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23" s="3" t="e">
        <f>G23</f>
        <v>#N/A</v>
      </c>
      <c r="I23" s="6" t="e">
        <f>IF(ISNA(MATCH(I$2,Inputs!$K$4:$AJ$4,0)),NA(),IF(SUMPRODUCT((Inputs!$A$5:$A$140=$B23)*ISNUMBER(INDEX(Inputs!$K$5:$AJ$140,0,MATCH(I$2,Inputs!$K$4:$AJ$4,0))))+SUMPRODUCT((Inputs!$C$5:$C$140=$B23)*ISNUMBER(INDEX(Inputs!$K$5:$AJ$140,0,MATCH(I$2,Inputs!$K$4:$AJ$4,0))))+SUMPRODUCT((Inputs!$E$5:$E$140=$B23)*ISNUMBER(INDEX(Inputs!$K$5:$AJ$140,0,MATCH(I$2,Inputs!$K$4:$AJ$4,0))))=0,NA(),SUMPRODUCT((Inputs!$A$5:$A$140=$B23)*Inputs!$B$5:$B$140*(((Inputs!$G$5:$G$140="moeda")+(Inputs!$G$5:$G$140="acoes"))*Inputs!$B$1+((Inputs!$G$5:$G$140&lt;&gt;"moeda")*(Inputs!$G$5:$G$140&lt;&gt;"acoes")))*INDEX(Inputs!$K$5:$AJ$140,0,MATCH(I$2,Inputs!$K$4:$AJ$4,0)))+SUMPRODUCT((Inputs!$C$5:$C$140=$B23)*Inputs!$D$5:$D$140*(((Inputs!$G$5:$G$140="moeda")+(Inputs!$G$5:$G$140="acoes"))*Inputs!$B$1+((Inputs!$G$5:$G$140&lt;&gt;"moeda")*(Inputs!$G$5:$G$140&lt;&gt;"acoes")))*INDEX(Inputs!$K$5:$AJ$140,0,MATCH(I$2,Inputs!$K$4:$AJ$4,0)))+SUMPRODUCT((Inputs!$E$5:$E$140=$B23)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23" s="6" t="e">
        <f>IF(ISNA(MATCH(J$2,Inputs!$K$4:$AJ$4,0)),NA(),IF(SUMPRODUCT((Inputs!$A$5:$A$140=$B23)*ISNUMBER(INDEX(Inputs!$K$5:$AJ$140,0,MATCH(J$2,Inputs!$K$4:$AJ$4,0))))+SUMPRODUCT((Inputs!$C$5:$C$140=$B23)*ISNUMBER(INDEX(Inputs!$K$5:$AJ$140,0,MATCH(J$2,Inputs!$K$4:$AJ$4,0))))+SUMPRODUCT((Inputs!$E$5:$E$140=$B23)*ISNUMBER(INDEX(Inputs!$K$5:$AJ$140,0,MATCH(J$2,Inputs!$K$4:$AJ$4,0))))=0,NA(),SUMPRODUCT((Inputs!$A$5:$A$140=$B23)*Inputs!$B$5:$B$140*(((Inputs!$G$5:$G$140="moeda")+(Inputs!$G$5:$G$140="acoes"))*Inputs!$B$1+((Inputs!$G$5:$G$140&lt;&gt;"moeda")*(Inputs!$G$5:$G$140&lt;&gt;"acoes")))*INDEX(Inputs!$K$5:$AJ$140,0,MATCH(J$2,Inputs!$K$4:$AJ$4,0)))+SUMPRODUCT((Inputs!$C$5:$C$140=$B23)*Inputs!$D$5:$D$140*(((Inputs!$G$5:$G$140="moeda")+(Inputs!$G$5:$G$140="acoes"))*Inputs!$B$1+((Inputs!$G$5:$G$140&lt;&gt;"moeda")*(Inputs!$G$5:$G$140&lt;&gt;"acoes")))*INDEX(Inputs!$K$5:$AJ$140,0,MATCH(J$2,Inputs!$K$4:$AJ$4,0)))+SUMPRODUCT((Inputs!$E$5:$E$140=$B23)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23" s="6" t="e">
        <f>IF(ISNA(MATCH(K$2,Inputs!$K$4:$AJ$4,0)),NA(),IF(SUMPRODUCT((Inputs!$A$5:$A$140=$B23)*ISNUMBER(INDEX(Inputs!$K$5:$AJ$140,0,MATCH(K$2,Inputs!$K$4:$AJ$4,0))))+SUMPRODUCT((Inputs!$C$5:$C$140=$B23)*ISNUMBER(INDEX(Inputs!$K$5:$AJ$140,0,MATCH(K$2,Inputs!$K$4:$AJ$4,0))))+SUMPRODUCT((Inputs!$E$5:$E$140=$B23)*ISNUMBER(INDEX(Inputs!$K$5:$AJ$140,0,MATCH(K$2,Inputs!$K$4:$AJ$4,0))))=0,NA(),SUMPRODUCT((Inputs!$A$5:$A$140=$B23)*Inputs!$B$5:$B$140*(((Inputs!$G$5:$G$140="moeda")+(Inputs!$G$5:$G$140="acoes"))*Inputs!$B$1+((Inputs!$G$5:$G$140&lt;&gt;"moeda")*(Inputs!$G$5:$G$140&lt;&gt;"acoes")))*INDEX(Inputs!$K$5:$AJ$140,0,MATCH(K$2,Inputs!$K$4:$AJ$4,0)))+SUMPRODUCT((Inputs!$C$5:$C$140=$B23)*Inputs!$D$5:$D$140*(((Inputs!$G$5:$G$140="moeda")+(Inputs!$G$5:$G$140="acoes"))*Inputs!$B$1+((Inputs!$G$5:$G$140&lt;&gt;"moeda")*(Inputs!$G$5:$G$140&lt;&gt;"acoes")))*INDEX(Inputs!$K$5:$AJ$140,0,MATCH(K$2,Inputs!$K$4:$AJ$4,0)))+SUMPRODUCT((Inputs!$E$5:$E$140=$B23)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23" s="6" t="e">
        <f>IF(ISNA(MATCH(L$2,Inputs!$K$4:$AJ$4,0)),NA(),IF(SUMPRODUCT((Inputs!$A$5:$A$140=$B23)*ISNUMBER(INDEX(Inputs!$K$5:$AJ$140,0,MATCH(L$2,Inputs!$K$4:$AJ$4,0))))+SUMPRODUCT((Inputs!$C$5:$C$140=$B23)*ISNUMBER(INDEX(Inputs!$K$5:$AJ$140,0,MATCH(L$2,Inputs!$K$4:$AJ$4,0))))+SUMPRODUCT((Inputs!$E$5:$E$140=$B23)*ISNUMBER(INDEX(Inputs!$K$5:$AJ$140,0,MATCH(L$2,Inputs!$K$4:$AJ$4,0))))=0,NA(),SUMPRODUCT((Inputs!$A$5:$A$140=$B23)*Inputs!$B$5:$B$140*(((Inputs!$G$5:$G$140="moeda")+(Inputs!$G$5:$G$140="acoes"))*Inputs!$B$1+((Inputs!$G$5:$G$140&lt;&gt;"moeda")*(Inputs!$G$5:$G$140&lt;&gt;"acoes")))*INDEX(Inputs!$K$5:$AJ$140,0,MATCH(L$2,Inputs!$K$4:$AJ$4,0)))+SUMPRODUCT((Inputs!$C$5:$C$140=$B23)*Inputs!$D$5:$D$140*(((Inputs!$G$5:$G$140="moeda")+(Inputs!$G$5:$G$140="acoes"))*Inputs!$B$1+((Inputs!$G$5:$G$140&lt;&gt;"moeda")*(Inputs!$G$5:$G$140&lt;&gt;"acoes")))*INDEX(Inputs!$K$5:$AJ$140,0,MATCH(L$2,Inputs!$K$4:$AJ$4,0)))+SUMPRODUCT((Inputs!$E$5:$E$140=$B23)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23" s="3" t="e">
        <f>L23</f>
        <v>#N/A</v>
      </c>
      <c r="N23" s="6" t="e">
        <f>IF(ISNA(MATCH(N$2,Inputs!$K$4:$AJ$4,0)),NA(),IF(SUMPRODUCT((Inputs!$A$5:$A$140=$B23)*ISNUMBER(INDEX(Inputs!$K$5:$AJ$140,0,MATCH(N$2,Inputs!$K$4:$AJ$4,0))))+SUMPRODUCT((Inputs!$C$5:$C$140=$B23)*ISNUMBER(INDEX(Inputs!$K$5:$AJ$140,0,MATCH(N$2,Inputs!$K$4:$AJ$4,0))))+SUMPRODUCT((Inputs!$E$5:$E$140=$B23)*ISNUMBER(INDEX(Inputs!$K$5:$AJ$140,0,MATCH(N$2,Inputs!$K$4:$AJ$4,0))))=0,NA(),SUMPRODUCT((Inputs!$A$5:$A$140=$B23)*Inputs!$B$5:$B$140*(((Inputs!$G$5:$G$140="moeda")+(Inputs!$G$5:$G$140="acoes"))*Inputs!$B$1+((Inputs!$G$5:$G$140&lt;&gt;"moeda")*(Inputs!$G$5:$G$140&lt;&gt;"acoes")))*INDEX(Inputs!$K$5:$AJ$140,0,MATCH(N$2,Inputs!$K$4:$AJ$4,0)))+SUMPRODUCT((Inputs!$C$5:$C$140=$B23)*Inputs!$D$5:$D$140*(((Inputs!$G$5:$G$140="moeda")+(Inputs!$G$5:$G$140="acoes"))*Inputs!$B$1+((Inputs!$G$5:$G$140&lt;&gt;"moeda")*(Inputs!$G$5:$G$140&lt;&gt;"acoes")))*INDEX(Inputs!$K$5:$AJ$140,0,MATCH(N$2,Inputs!$K$4:$AJ$4,0)))+SUMPRODUCT((Inputs!$E$5:$E$140=$B23)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23" s="6" t="e">
        <f>IF(ISNA(MATCH(O$2,Inputs!$K$4:$AJ$4,0)),NA(),IF(SUMPRODUCT((Inputs!$A$5:$A$140=$B23)*ISNUMBER(INDEX(Inputs!$K$5:$AJ$140,0,MATCH(O$2,Inputs!$K$4:$AJ$4,0))))+SUMPRODUCT((Inputs!$C$5:$C$140=$B23)*ISNUMBER(INDEX(Inputs!$K$5:$AJ$140,0,MATCH(O$2,Inputs!$K$4:$AJ$4,0))))+SUMPRODUCT((Inputs!$E$5:$E$140=$B23)*ISNUMBER(INDEX(Inputs!$K$5:$AJ$140,0,MATCH(O$2,Inputs!$K$4:$AJ$4,0))))=0,NA(),SUMPRODUCT((Inputs!$A$5:$A$140=$B23)*Inputs!$B$5:$B$140*(((Inputs!$G$5:$G$140="moeda")+(Inputs!$G$5:$G$140="acoes"))*Inputs!$B$1+((Inputs!$G$5:$G$140&lt;&gt;"moeda")*(Inputs!$G$5:$G$140&lt;&gt;"acoes")))*INDEX(Inputs!$K$5:$AJ$140,0,MATCH(O$2,Inputs!$K$4:$AJ$4,0)))+SUMPRODUCT((Inputs!$C$5:$C$140=$B23)*Inputs!$D$5:$D$140*(((Inputs!$G$5:$G$140="moeda")+(Inputs!$G$5:$G$140="acoes"))*Inputs!$B$1+((Inputs!$G$5:$G$140&lt;&gt;"moeda")*(Inputs!$G$5:$G$140&lt;&gt;"acoes")))*INDEX(Inputs!$K$5:$AJ$140,0,MATCH(O$2,Inputs!$K$4:$AJ$4,0)))+SUMPRODUCT((Inputs!$E$5:$E$140=$B23)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23" s="6" t="e">
        <f>IF(ISNA(MATCH(P$2,Inputs!$K$4:$AJ$4,0)),NA(),IF(SUMPRODUCT((Inputs!$A$5:$A$140=$B23)*ISNUMBER(INDEX(Inputs!$K$5:$AJ$140,0,MATCH(P$2,Inputs!$K$4:$AJ$4,0))))+SUMPRODUCT((Inputs!$C$5:$C$140=$B23)*ISNUMBER(INDEX(Inputs!$K$5:$AJ$140,0,MATCH(P$2,Inputs!$K$4:$AJ$4,0))))+SUMPRODUCT((Inputs!$E$5:$E$140=$B23)*ISNUMBER(INDEX(Inputs!$K$5:$AJ$140,0,MATCH(P$2,Inputs!$K$4:$AJ$4,0))))=0,NA(),SUMPRODUCT((Inputs!$A$5:$A$140=$B23)*Inputs!$B$5:$B$140*(((Inputs!$G$5:$G$140="moeda")+(Inputs!$G$5:$G$140="acoes"))*Inputs!$B$1+((Inputs!$G$5:$G$140&lt;&gt;"moeda")*(Inputs!$G$5:$G$140&lt;&gt;"acoes")))*INDEX(Inputs!$K$5:$AJ$140,0,MATCH(P$2,Inputs!$K$4:$AJ$4,0)))+SUMPRODUCT((Inputs!$C$5:$C$140=$B23)*Inputs!$D$5:$D$140*(((Inputs!$G$5:$G$140="moeda")+(Inputs!$G$5:$G$140="acoes"))*Inputs!$B$1+((Inputs!$G$5:$G$140&lt;&gt;"moeda")*(Inputs!$G$5:$G$140&lt;&gt;"acoes")))*INDEX(Inputs!$K$5:$AJ$140,0,MATCH(P$2,Inputs!$K$4:$AJ$4,0)))+SUMPRODUCT((Inputs!$E$5:$E$140=$B23)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23" s="6" t="e">
        <f>IF(ISNA(MATCH(Q$2,Inputs!$K$4:$AJ$4,0)),NA(),IF(SUMPRODUCT((Inputs!$A$5:$A$140=$B23)*ISNUMBER(INDEX(Inputs!$K$5:$AJ$140,0,MATCH(Q$2,Inputs!$K$4:$AJ$4,0))))+SUMPRODUCT((Inputs!$C$5:$C$140=$B23)*ISNUMBER(INDEX(Inputs!$K$5:$AJ$140,0,MATCH(Q$2,Inputs!$K$4:$AJ$4,0))))+SUMPRODUCT((Inputs!$E$5:$E$140=$B23)*ISNUMBER(INDEX(Inputs!$K$5:$AJ$140,0,MATCH(Q$2,Inputs!$K$4:$AJ$4,0))))=0,NA(),SUMPRODUCT((Inputs!$A$5:$A$140=$B23)*Inputs!$B$5:$B$140*(((Inputs!$G$5:$G$140="moeda")+(Inputs!$G$5:$G$140="acoes"))*Inputs!$B$1+((Inputs!$G$5:$G$140&lt;&gt;"moeda")*(Inputs!$G$5:$G$140&lt;&gt;"acoes")))*INDEX(Inputs!$K$5:$AJ$140,0,MATCH(Q$2,Inputs!$K$4:$AJ$4,0)))+SUMPRODUCT((Inputs!$C$5:$C$140=$B23)*Inputs!$D$5:$D$140*(((Inputs!$G$5:$G$140="moeda")+(Inputs!$G$5:$G$140="acoes"))*Inputs!$B$1+((Inputs!$G$5:$G$140&lt;&gt;"moeda")*(Inputs!$G$5:$G$140&lt;&gt;"acoes")))*INDEX(Inputs!$K$5:$AJ$140,0,MATCH(Q$2,Inputs!$K$4:$AJ$4,0)))+SUMPRODUCT((Inputs!$E$5:$E$140=$B23)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23" s="3" t="e">
        <f>Q23</f>
        <v>#N/A</v>
      </c>
      <c r="S23" s="6" t="e">
        <f>IF(ISNA(MATCH(S$2,Inputs!$K$4:$AJ$4,0)),NA(),IF(SUMPRODUCT((Inputs!$A$5:$A$140=$B23)*ISNUMBER(INDEX(Inputs!$K$5:$AJ$140,0,MATCH(S$2,Inputs!$K$4:$AJ$4,0))))+SUMPRODUCT((Inputs!$C$5:$C$140=$B23)*ISNUMBER(INDEX(Inputs!$K$5:$AJ$140,0,MATCH(S$2,Inputs!$K$4:$AJ$4,0))))+SUMPRODUCT((Inputs!$E$5:$E$140=$B23)*ISNUMBER(INDEX(Inputs!$K$5:$AJ$140,0,MATCH(S$2,Inputs!$K$4:$AJ$4,0))))=0,NA(),SUMPRODUCT((Inputs!$A$5:$A$140=$B23)*Inputs!$B$5:$B$140*(((Inputs!$G$5:$G$140="moeda")+(Inputs!$G$5:$G$140="acoes"))*Inputs!$B$1+((Inputs!$G$5:$G$140&lt;&gt;"moeda")*(Inputs!$G$5:$G$140&lt;&gt;"acoes")))*INDEX(Inputs!$K$5:$AJ$140,0,MATCH(S$2,Inputs!$K$4:$AJ$4,0)))+SUMPRODUCT((Inputs!$C$5:$C$140=$B23)*Inputs!$D$5:$D$140*(((Inputs!$G$5:$G$140="moeda")+(Inputs!$G$5:$G$140="acoes"))*Inputs!$B$1+((Inputs!$G$5:$G$140&lt;&gt;"moeda")*(Inputs!$G$5:$G$140&lt;&gt;"acoes")))*INDEX(Inputs!$K$5:$AJ$140,0,MATCH(S$2,Inputs!$K$4:$AJ$4,0)))+SUMPRODUCT((Inputs!$E$5:$E$140=$B23)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23" s="6" t="e">
        <f>IF(ISNA(MATCH(T$2,Inputs!$K$4:$AJ$4,0)),NA(),IF(SUMPRODUCT((Inputs!$A$5:$A$140=$B23)*ISNUMBER(INDEX(Inputs!$K$5:$AJ$140,0,MATCH(T$2,Inputs!$K$4:$AJ$4,0))))+SUMPRODUCT((Inputs!$C$5:$C$140=$B23)*ISNUMBER(INDEX(Inputs!$K$5:$AJ$140,0,MATCH(T$2,Inputs!$K$4:$AJ$4,0))))+SUMPRODUCT((Inputs!$E$5:$E$140=$B23)*ISNUMBER(INDEX(Inputs!$K$5:$AJ$140,0,MATCH(T$2,Inputs!$K$4:$AJ$4,0))))=0,NA(),SUMPRODUCT((Inputs!$A$5:$A$140=$B23)*Inputs!$B$5:$B$140*(((Inputs!$G$5:$G$140="moeda")+(Inputs!$G$5:$G$140="acoes"))*Inputs!$B$1+((Inputs!$G$5:$G$140&lt;&gt;"moeda")*(Inputs!$G$5:$G$140&lt;&gt;"acoes")))*INDEX(Inputs!$K$5:$AJ$140,0,MATCH(T$2,Inputs!$K$4:$AJ$4,0)))+SUMPRODUCT((Inputs!$C$5:$C$140=$B23)*Inputs!$D$5:$D$140*(((Inputs!$G$5:$G$140="moeda")+(Inputs!$G$5:$G$140="acoes"))*Inputs!$B$1+((Inputs!$G$5:$G$140&lt;&gt;"moeda")*(Inputs!$G$5:$G$140&lt;&gt;"acoes")))*INDEX(Inputs!$K$5:$AJ$140,0,MATCH(T$2,Inputs!$K$4:$AJ$4,0)))+SUMPRODUCT((Inputs!$E$5:$E$140=$B23)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23" s="6" t="e">
        <f>IF(ISNA(MATCH(U$2,Inputs!$K$4:$AJ$4,0)),NA(),IF(SUMPRODUCT((Inputs!$A$5:$A$140=$B23)*ISNUMBER(INDEX(Inputs!$K$5:$AJ$140,0,MATCH(U$2,Inputs!$K$4:$AJ$4,0))))+SUMPRODUCT((Inputs!$C$5:$C$140=$B23)*ISNUMBER(INDEX(Inputs!$K$5:$AJ$140,0,MATCH(U$2,Inputs!$K$4:$AJ$4,0))))+SUMPRODUCT((Inputs!$E$5:$E$140=$B23)*ISNUMBER(INDEX(Inputs!$K$5:$AJ$140,0,MATCH(U$2,Inputs!$K$4:$AJ$4,0))))=0,NA(),SUMPRODUCT((Inputs!$A$5:$A$140=$B23)*Inputs!$B$5:$B$140*(((Inputs!$G$5:$G$140="moeda")+(Inputs!$G$5:$G$140="acoes"))*Inputs!$B$1+((Inputs!$G$5:$G$140&lt;&gt;"moeda")*(Inputs!$G$5:$G$140&lt;&gt;"acoes")))*INDEX(Inputs!$K$5:$AJ$140,0,MATCH(U$2,Inputs!$K$4:$AJ$4,0)))+SUMPRODUCT((Inputs!$C$5:$C$140=$B23)*Inputs!$D$5:$D$140*(((Inputs!$G$5:$G$140="moeda")+(Inputs!$G$5:$G$140="acoes"))*Inputs!$B$1+((Inputs!$G$5:$G$140&lt;&gt;"moeda")*(Inputs!$G$5:$G$140&lt;&gt;"acoes")))*INDEX(Inputs!$K$5:$AJ$140,0,MATCH(U$2,Inputs!$K$4:$AJ$4,0)))+SUMPRODUCT((Inputs!$E$5:$E$140=$B23)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23" s="6" t="e">
        <f>IF(ISNA(MATCH(V$2,Inputs!$K$4:$AJ$4,0)),NA(),IF(SUMPRODUCT((Inputs!$A$5:$A$140=$B23)*ISNUMBER(INDEX(Inputs!$K$5:$AJ$140,0,MATCH(V$2,Inputs!$K$4:$AJ$4,0))))+SUMPRODUCT((Inputs!$C$5:$C$140=$B23)*ISNUMBER(INDEX(Inputs!$K$5:$AJ$140,0,MATCH(V$2,Inputs!$K$4:$AJ$4,0))))+SUMPRODUCT((Inputs!$E$5:$E$140=$B23)*ISNUMBER(INDEX(Inputs!$K$5:$AJ$140,0,MATCH(V$2,Inputs!$K$4:$AJ$4,0))))=0,NA(),SUMPRODUCT((Inputs!$A$5:$A$140=$B23)*Inputs!$B$5:$B$140*(((Inputs!$G$5:$G$140="moeda")+(Inputs!$G$5:$G$140="acoes"))*Inputs!$B$1+((Inputs!$G$5:$G$140&lt;&gt;"moeda")*(Inputs!$G$5:$G$140&lt;&gt;"acoes")))*INDEX(Inputs!$K$5:$AJ$140,0,MATCH(V$2,Inputs!$K$4:$AJ$4,0)))+SUMPRODUCT((Inputs!$C$5:$C$140=$B23)*Inputs!$D$5:$D$140*(((Inputs!$G$5:$G$140="moeda")+(Inputs!$G$5:$G$140="acoes"))*Inputs!$B$1+((Inputs!$G$5:$G$140&lt;&gt;"moeda")*(Inputs!$G$5:$G$140&lt;&gt;"acoes")))*INDEX(Inputs!$K$5:$AJ$140,0,MATCH(V$2,Inputs!$K$4:$AJ$4,0)))+SUMPRODUCT((Inputs!$E$5:$E$140=$B23)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23" s="3" t="e">
        <f>V23</f>
        <v>#N/A</v>
      </c>
      <c r="X23" s="6" t="e">
        <f>IF(ISNA(MATCH(X$2,Inputs!$K$4:$AJ$4,0)),NA(),IF(SUMPRODUCT((Inputs!$A$5:$A$140=$B23)*ISNUMBER(INDEX(Inputs!$K$5:$AJ$140,0,MATCH(X$2,Inputs!$K$4:$AJ$4,0))))+SUMPRODUCT((Inputs!$C$5:$C$140=$B23)*ISNUMBER(INDEX(Inputs!$K$5:$AJ$140,0,MATCH(X$2,Inputs!$K$4:$AJ$4,0))))+SUMPRODUCT((Inputs!$E$5:$E$140=$B23)*ISNUMBER(INDEX(Inputs!$K$5:$AJ$140,0,MATCH(X$2,Inputs!$K$4:$AJ$4,0))))=0,NA(),SUMPRODUCT((Inputs!$A$5:$A$140=$B23)*Inputs!$B$5:$B$140*(((Inputs!$G$5:$G$140="moeda")+(Inputs!$G$5:$G$140="acoes"))*Inputs!$B$1+((Inputs!$G$5:$G$140&lt;&gt;"moeda")*(Inputs!$G$5:$G$140&lt;&gt;"acoes")))*INDEX(Inputs!$K$5:$AJ$140,0,MATCH(X$2,Inputs!$K$4:$AJ$4,0)))+SUMPRODUCT((Inputs!$C$5:$C$140=$B23)*Inputs!$D$5:$D$140*(((Inputs!$G$5:$G$140="moeda")+(Inputs!$G$5:$G$140="acoes"))*Inputs!$B$1+((Inputs!$G$5:$G$140&lt;&gt;"moeda")*(Inputs!$G$5:$G$140&lt;&gt;"acoes")))*INDEX(Inputs!$K$5:$AJ$140,0,MATCH(X$2,Inputs!$K$4:$AJ$4,0)))+SUMPRODUCT((Inputs!$E$5:$E$140=$B23)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23" s="6" t="e">
        <f>IF(ISNA(MATCH(Y$2,Inputs!$K$4:$AJ$4,0)),NA(),IF(SUMPRODUCT((Inputs!$A$5:$A$140=$B23)*ISNUMBER(INDEX(Inputs!$K$5:$AJ$140,0,MATCH(Y$2,Inputs!$K$4:$AJ$4,0))))+SUMPRODUCT((Inputs!$C$5:$C$140=$B23)*ISNUMBER(INDEX(Inputs!$K$5:$AJ$140,0,MATCH(Y$2,Inputs!$K$4:$AJ$4,0))))+SUMPRODUCT((Inputs!$E$5:$E$140=$B23)*ISNUMBER(INDEX(Inputs!$K$5:$AJ$140,0,MATCH(Y$2,Inputs!$K$4:$AJ$4,0))))=0,NA(),SUMPRODUCT((Inputs!$A$5:$A$140=$B23)*Inputs!$B$5:$B$140*(((Inputs!$G$5:$G$140="moeda")+(Inputs!$G$5:$G$140="acoes"))*Inputs!$B$1+((Inputs!$G$5:$G$140&lt;&gt;"moeda")*(Inputs!$G$5:$G$140&lt;&gt;"acoes")))*INDEX(Inputs!$K$5:$AJ$140,0,MATCH(Y$2,Inputs!$K$4:$AJ$4,0)))+SUMPRODUCT((Inputs!$C$5:$C$140=$B23)*Inputs!$D$5:$D$140*(((Inputs!$G$5:$G$140="moeda")+(Inputs!$G$5:$G$140="acoes"))*Inputs!$B$1+((Inputs!$G$5:$G$140&lt;&gt;"moeda")*(Inputs!$G$5:$G$140&lt;&gt;"acoes")))*INDEX(Inputs!$K$5:$AJ$140,0,MATCH(Y$2,Inputs!$K$4:$AJ$4,0)))+SUMPRODUCT((Inputs!$E$5:$E$140=$B23)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23" s="6" t="e">
        <f>IF(ISNA(MATCH(Z$2,Inputs!$K$4:$AJ$4,0)),NA(),IF(SUMPRODUCT((Inputs!$A$5:$A$140=$B23)*ISNUMBER(INDEX(Inputs!$K$5:$AJ$140,0,MATCH(Z$2,Inputs!$K$4:$AJ$4,0))))+SUMPRODUCT((Inputs!$C$5:$C$140=$B23)*ISNUMBER(INDEX(Inputs!$K$5:$AJ$140,0,MATCH(Z$2,Inputs!$K$4:$AJ$4,0))))+SUMPRODUCT((Inputs!$E$5:$E$140=$B23)*ISNUMBER(INDEX(Inputs!$K$5:$AJ$140,0,MATCH(Z$2,Inputs!$K$4:$AJ$4,0))))=0,NA(),SUMPRODUCT((Inputs!$A$5:$A$140=$B23)*Inputs!$B$5:$B$140*(((Inputs!$G$5:$G$140="moeda")+(Inputs!$G$5:$G$140="acoes"))*Inputs!$B$1+((Inputs!$G$5:$G$140&lt;&gt;"moeda")*(Inputs!$G$5:$G$140&lt;&gt;"acoes")))*INDEX(Inputs!$K$5:$AJ$140,0,MATCH(Z$2,Inputs!$K$4:$AJ$4,0)))+SUMPRODUCT((Inputs!$C$5:$C$140=$B23)*Inputs!$D$5:$D$140*(((Inputs!$G$5:$G$140="moeda")+(Inputs!$G$5:$G$140="acoes"))*Inputs!$B$1+((Inputs!$G$5:$G$140&lt;&gt;"moeda")*(Inputs!$G$5:$G$140&lt;&gt;"acoes")))*INDEX(Inputs!$K$5:$AJ$140,0,MATCH(Z$2,Inputs!$K$4:$AJ$4,0)))+SUMPRODUCT((Inputs!$E$5:$E$140=$B23)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23" s="6" t="e">
        <f>IF(ISNA(MATCH(AA$2,Inputs!$K$4:$AJ$4,0)),NA(),IF(SUMPRODUCT((Inputs!$A$5:$A$140=$B23)*ISNUMBER(INDEX(Inputs!$K$5:$AJ$140,0,MATCH(AA$2,Inputs!$K$4:$AJ$4,0))))+SUMPRODUCT((Inputs!$C$5:$C$140=$B23)*ISNUMBER(INDEX(Inputs!$K$5:$AJ$140,0,MATCH(AA$2,Inputs!$K$4:$AJ$4,0))))+SUMPRODUCT((Inputs!$E$5:$E$140=$B23)*ISNUMBER(INDEX(Inputs!$K$5:$AJ$140,0,MATCH(AA$2,Inputs!$K$4:$AJ$4,0))))=0,NA(),SUMPRODUCT((Inputs!$A$5:$A$140=$B23)*Inputs!$B$5:$B$140*(((Inputs!$G$5:$G$140="moeda")+(Inputs!$G$5:$G$140="acoes"))*Inputs!$B$1+((Inputs!$G$5:$G$140&lt;&gt;"moeda")*(Inputs!$G$5:$G$140&lt;&gt;"acoes")))*INDEX(Inputs!$K$5:$AJ$140,0,MATCH(AA$2,Inputs!$K$4:$AJ$4,0)))+SUMPRODUCT((Inputs!$C$5:$C$140=$B23)*Inputs!$D$5:$D$140*(((Inputs!$G$5:$G$140="moeda")+(Inputs!$G$5:$G$140="acoes"))*Inputs!$B$1+((Inputs!$G$5:$G$140&lt;&gt;"moeda")*(Inputs!$G$5:$G$140&lt;&gt;"acoes")))*INDEX(Inputs!$K$5:$AJ$140,0,MATCH(AA$2,Inputs!$K$4:$AJ$4,0)))+SUMPRODUCT((Inputs!$E$5:$E$140=$B23)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23" s="3" t="e">
        <f>AA23</f>
        <v>#N/A</v>
      </c>
      <c r="AC23" s="6" t="e">
        <f>IF(ISNA(MATCH(AC$2,Inputs!$K$4:$AJ$4,0)),NA(),IF(SUMPRODUCT((Inputs!$A$5:$A$140=$B23)*ISNUMBER(INDEX(Inputs!$K$5:$AJ$140,0,MATCH(AC$2,Inputs!$K$4:$AJ$4,0))))+SUMPRODUCT((Inputs!$C$5:$C$140=$B23)*ISNUMBER(INDEX(Inputs!$K$5:$AJ$140,0,MATCH(AC$2,Inputs!$K$4:$AJ$4,0))))+SUMPRODUCT((Inputs!$E$5:$E$140=$B23)*ISNUMBER(INDEX(Inputs!$K$5:$AJ$140,0,MATCH(AC$2,Inputs!$K$4:$AJ$4,0))))=0,NA(),SUMPRODUCT((Inputs!$A$5:$A$140=$B23)*Inputs!$B$5:$B$140*(((Inputs!$G$5:$G$140="moeda")+(Inputs!$G$5:$G$140="acoes"))*Inputs!$B$1+((Inputs!$G$5:$G$140&lt;&gt;"moeda")*(Inputs!$G$5:$G$140&lt;&gt;"acoes")))*INDEX(Inputs!$K$5:$AJ$140,0,MATCH(AC$2,Inputs!$K$4:$AJ$4,0)))+SUMPRODUCT((Inputs!$C$5:$C$140=$B23)*Inputs!$D$5:$D$140*(((Inputs!$G$5:$G$140="moeda")+(Inputs!$G$5:$G$140="acoes"))*Inputs!$B$1+((Inputs!$G$5:$G$140&lt;&gt;"moeda")*(Inputs!$G$5:$G$140&lt;&gt;"acoes")))*INDEX(Inputs!$K$5:$AJ$140,0,MATCH(AC$2,Inputs!$K$4:$AJ$4,0)))+SUMPRODUCT((Inputs!$E$5:$E$140=$B23)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23" s="6" t="e">
        <f>IF(ISNA(MATCH(AD$2,Inputs!$K$4:$AJ$4,0)),NA(),IF(SUMPRODUCT((Inputs!$A$5:$A$140=$B23)*ISNUMBER(INDEX(Inputs!$K$5:$AJ$140,0,MATCH(AD$2,Inputs!$K$4:$AJ$4,0))))+SUMPRODUCT((Inputs!$C$5:$C$140=$B23)*ISNUMBER(INDEX(Inputs!$K$5:$AJ$140,0,MATCH(AD$2,Inputs!$K$4:$AJ$4,0))))+SUMPRODUCT((Inputs!$E$5:$E$140=$B23)*ISNUMBER(INDEX(Inputs!$K$5:$AJ$140,0,MATCH(AD$2,Inputs!$K$4:$AJ$4,0))))=0,NA(),SUMPRODUCT((Inputs!$A$5:$A$140=$B23)*Inputs!$B$5:$B$140*(((Inputs!$G$5:$G$140="moeda")+(Inputs!$G$5:$G$140="acoes"))*Inputs!$B$1+((Inputs!$G$5:$G$140&lt;&gt;"moeda")*(Inputs!$G$5:$G$140&lt;&gt;"acoes")))*INDEX(Inputs!$K$5:$AJ$140,0,MATCH(AD$2,Inputs!$K$4:$AJ$4,0)))+SUMPRODUCT((Inputs!$C$5:$C$140=$B23)*Inputs!$D$5:$D$140*(((Inputs!$G$5:$G$140="moeda")+(Inputs!$G$5:$G$140="acoes"))*Inputs!$B$1+((Inputs!$G$5:$G$140&lt;&gt;"moeda")*(Inputs!$G$5:$G$140&lt;&gt;"acoes")))*INDEX(Inputs!$K$5:$AJ$140,0,MATCH(AD$2,Inputs!$K$4:$AJ$4,0)))+SUMPRODUCT((Inputs!$E$5:$E$140=$B23)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23" s="6" t="e">
        <f>IF(ISNA(MATCH(AE$2,Inputs!$K$4:$AJ$4,0)),NA(),IF(SUMPRODUCT((Inputs!$A$5:$A$140=$B23)*ISNUMBER(INDEX(Inputs!$K$5:$AJ$140,0,MATCH(AE$2,Inputs!$K$4:$AJ$4,0))))+SUMPRODUCT((Inputs!$C$5:$C$140=$B23)*ISNUMBER(INDEX(Inputs!$K$5:$AJ$140,0,MATCH(AE$2,Inputs!$K$4:$AJ$4,0))))+SUMPRODUCT((Inputs!$E$5:$E$140=$B23)*ISNUMBER(INDEX(Inputs!$K$5:$AJ$140,0,MATCH(AE$2,Inputs!$K$4:$AJ$4,0))))=0,NA(),SUMPRODUCT((Inputs!$A$5:$A$140=$B23)*Inputs!$B$5:$B$140*(((Inputs!$G$5:$G$140="moeda")+(Inputs!$G$5:$G$140="acoes"))*Inputs!$B$1+((Inputs!$G$5:$G$140&lt;&gt;"moeda")*(Inputs!$G$5:$G$140&lt;&gt;"acoes")))*INDEX(Inputs!$K$5:$AJ$140,0,MATCH(AE$2,Inputs!$K$4:$AJ$4,0)))+SUMPRODUCT((Inputs!$C$5:$C$140=$B23)*Inputs!$D$5:$D$140*(((Inputs!$G$5:$G$140="moeda")+(Inputs!$G$5:$G$140="acoes"))*Inputs!$B$1+((Inputs!$G$5:$G$140&lt;&gt;"moeda")*(Inputs!$G$5:$G$140&lt;&gt;"acoes")))*INDEX(Inputs!$K$5:$AJ$140,0,MATCH(AE$2,Inputs!$K$4:$AJ$4,0)))+SUMPRODUCT((Inputs!$E$5:$E$140=$B23)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3" s="6" t="e">
        <f>IF(ISNA(MATCH(AF$2,Inputs!$K$4:$AJ$4,0)),NA(),IF(SUMPRODUCT((Inputs!$A$5:$A$140=$B23)*ISNUMBER(INDEX(Inputs!$K$5:$AJ$140,0,MATCH(AF$2,Inputs!$K$4:$AJ$4,0))))+SUMPRODUCT((Inputs!$C$5:$C$140=$B23)*ISNUMBER(INDEX(Inputs!$K$5:$AJ$140,0,MATCH(AF$2,Inputs!$K$4:$AJ$4,0))))+SUMPRODUCT((Inputs!$E$5:$E$140=$B23)*ISNUMBER(INDEX(Inputs!$K$5:$AJ$140,0,MATCH(AF$2,Inputs!$K$4:$AJ$4,0))))=0,NA(),SUMPRODUCT((Inputs!$A$5:$A$140=$B23)*Inputs!$B$5:$B$140*(((Inputs!$G$5:$G$140="moeda")+(Inputs!$G$5:$G$140="acoes"))*Inputs!$B$1+((Inputs!$G$5:$G$140&lt;&gt;"moeda")*(Inputs!$G$5:$G$140&lt;&gt;"acoes")))*INDEX(Inputs!$K$5:$AJ$140,0,MATCH(AF$2,Inputs!$K$4:$AJ$4,0)))+SUMPRODUCT((Inputs!$C$5:$C$140=$B23)*Inputs!$D$5:$D$140*(((Inputs!$G$5:$G$140="moeda")+(Inputs!$G$5:$G$140="acoes"))*Inputs!$B$1+((Inputs!$G$5:$G$140&lt;&gt;"moeda")*(Inputs!$G$5:$G$140&lt;&gt;"acoes")))*INDEX(Inputs!$K$5:$AJ$140,0,MATCH(AF$2,Inputs!$K$4:$AJ$4,0)))+SUMPRODUCT((Inputs!$E$5:$E$140=$B23)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3" s="3" t="e">
        <f>AF23</f>
        <v>#N/A</v>
      </c>
      <c r="AH23" s="6" t="e">
        <f>IF(ISNA(MATCH(AH$2,Inputs!$K$4:$AJ$4,0)),NA(),IF(SUMPRODUCT((Inputs!$A$5:$A$140=$B23)*ISNUMBER(INDEX(Inputs!$K$5:$AJ$140,0,MATCH(AH$2,Inputs!$K$4:$AJ$4,0))))+SUMPRODUCT((Inputs!$C$5:$C$140=$B23)*ISNUMBER(INDEX(Inputs!$K$5:$AJ$140,0,MATCH(AH$2,Inputs!$K$4:$AJ$4,0))))+SUMPRODUCT((Inputs!$E$5:$E$140=$B23)*ISNUMBER(INDEX(Inputs!$K$5:$AJ$140,0,MATCH(AH$2,Inputs!$K$4:$AJ$4,0))))=0,NA(),SUMPRODUCT((Inputs!$A$5:$A$140=$B23)*Inputs!$B$5:$B$140*(((Inputs!$G$5:$G$140="moeda")+(Inputs!$G$5:$G$140="acoes"))*Inputs!$B$1+((Inputs!$G$5:$G$140&lt;&gt;"moeda")*(Inputs!$G$5:$G$140&lt;&gt;"acoes")))*INDEX(Inputs!$K$5:$AJ$140,0,MATCH(AH$2,Inputs!$K$4:$AJ$4,0)))+SUMPRODUCT((Inputs!$C$5:$C$140=$B23)*Inputs!$D$5:$D$140*(((Inputs!$G$5:$G$140="moeda")+(Inputs!$G$5:$G$140="acoes"))*Inputs!$B$1+((Inputs!$G$5:$G$140&lt;&gt;"moeda")*(Inputs!$G$5:$G$140&lt;&gt;"acoes")))*INDEX(Inputs!$K$5:$AJ$140,0,MATCH(AH$2,Inputs!$K$4:$AJ$4,0)))+SUMPRODUCT((Inputs!$E$5:$E$140=$B23)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3" s="6" t="e">
        <f>IF(ISNA(MATCH(AI$2,Inputs!$K$4:$AJ$4,0)),NA(),IF(SUMPRODUCT((Inputs!$A$5:$A$140=$B23)*ISNUMBER(INDEX(Inputs!$K$5:$AJ$140,0,MATCH(AI$2,Inputs!$K$4:$AJ$4,0))))+SUMPRODUCT((Inputs!$C$5:$C$140=$B23)*ISNUMBER(INDEX(Inputs!$K$5:$AJ$140,0,MATCH(AI$2,Inputs!$K$4:$AJ$4,0))))+SUMPRODUCT((Inputs!$E$5:$E$140=$B23)*ISNUMBER(INDEX(Inputs!$K$5:$AJ$140,0,MATCH(AI$2,Inputs!$K$4:$AJ$4,0))))=0,NA(),SUMPRODUCT((Inputs!$A$5:$A$140=$B23)*Inputs!$B$5:$B$140*(((Inputs!$G$5:$G$140="moeda")+(Inputs!$G$5:$G$140="acoes"))*Inputs!$B$1+((Inputs!$G$5:$G$140&lt;&gt;"moeda")*(Inputs!$G$5:$G$140&lt;&gt;"acoes")))*INDEX(Inputs!$K$5:$AJ$140,0,MATCH(AI$2,Inputs!$K$4:$AJ$4,0)))+SUMPRODUCT((Inputs!$C$5:$C$140=$B23)*Inputs!$D$5:$D$140*(((Inputs!$G$5:$G$140="moeda")+(Inputs!$G$5:$G$140="acoes"))*Inputs!$B$1+((Inputs!$G$5:$G$140&lt;&gt;"moeda")*(Inputs!$G$5:$G$140&lt;&gt;"acoes")))*INDEX(Inputs!$K$5:$AJ$140,0,MATCH(AI$2,Inputs!$K$4:$AJ$4,0)))+SUMPRODUCT((Inputs!$E$5:$E$140=$B23)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23" s="6" t="e">
        <f>IF(ISNA(MATCH(AJ$2,Inputs!$K$4:$AJ$4,0)),NA(),IF(SUMPRODUCT((Inputs!$A$5:$A$140=$B23)*ISNUMBER(INDEX(Inputs!$K$5:$AJ$140,0,MATCH(AJ$2,Inputs!$K$4:$AJ$4,0))))+SUMPRODUCT((Inputs!$C$5:$C$140=$B23)*ISNUMBER(INDEX(Inputs!$K$5:$AJ$140,0,MATCH(AJ$2,Inputs!$K$4:$AJ$4,0))))+SUMPRODUCT((Inputs!$E$5:$E$140=$B23)*ISNUMBER(INDEX(Inputs!$K$5:$AJ$140,0,MATCH(AJ$2,Inputs!$K$4:$AJ$4,0))))=0,NA(),SUMPRODUCT((Inputs!$A$5:$A$140=$B23)*Inputs!$B$5:$B$140*(((Inputs!$G$5:$G$140="moeda")+(Inputs!$G$5:$G$140="acoes"))*Inputs!$B$1+((Inputs!$G$5:$G$140&lt;&gt;"moeda")*(Inputs!$G$5:$G$140&lt;&gt;"acoes")))*INDEX(Inputs!$K$5:$AJ$140,0,MATCH(AJ$2,Inputs!$K$4:$AJ$4,0)))+SUMPRODUCT((Inputs!$C$5:$C$140=$B23)*Inputs!$D$5:$D$140*(((Inputs!$G$5:$G$140="moeda")+(Inputs!$G$5:$G$140="acoes"))*Inputs!$B$1+((Inputs!$G$5:$G$140&lt;&gt;"moeda")*(Inputs!$G$5:$G$140&lt;&gt;"acoes")))*INDEX(Inputs!$K$5:$AJ$140,0,MATCH(AJ$2,Inputs!$K$4:$AJ$4,0)))+SUMPRODUCT((Inputs!$E$5:$E$140=$B23)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23" s="6" t="e">
        <f>IF(ISNA(MATCH(AK$2,Inputs!$K$4:$AJ$4,0)),NA(),IF(SUMPRODUCT((Inputs!$A$5:$A$140=$B23)*ISNUMBER(INDEX(Inputs!$K$5:$AJ$140,0,MATCH(AK$2,Inputs!$K$4:$AJ$4,0))))+SUMPRODUCT((Inputs!$C$5:$C$140=$B23)*ISNUMBER(INDEX(Inputs!$K$5:$AJ$140,0,MATCH(AK$2,Inputs!$K$4:$AJ$4,0))))+SUMPRODUCT((Inputs!$E$5:$E$140=$B23)*ISNUMBER(INDEX(Inputs!$K$5:$AJ$140,0,MATCH(AK$2,Inputs!$K$4:$AJ$4,0))))=0,NA(),SUMPRODUCT((Inputs!$A$5:$A$140=$B23)*Inputs!$B$5:$B$140*(((Inputs!$G$5:$G$140="moeda")+(Inputs!$G$5:$G$140="acoes"))*Inputs!$B$1+((Inputs!$G$5:$G$140&lt;&gt;"moeda")*(Inputs!$G$5:$G$140&lt;&gt;"acoes")))*INDEX(Inputs!$K$5:$AJ$140,0,MATCH(AK$2,Inputs!$K$4:$AJ$4,0)))+SUMPRODUCT((Inputs!$C$5:$C$140=$B23)*Inputs!$D$5:$D$140*(((Inputs!$G$5:$G$140="moeda")+(Inputs!$G$5:$G$140="acoes"))*Inputs!$B$1+((Inputs!$G$5:$G$140&lt;&gt;"moeda")*(Inputs!$G$5:$G$140&lt;&gt;"acoes")))*INDEX(Inputs!$K$5:$AJ$140,0,MATCH(AK$2,Inputs!$K$4:$AJ$4,0)))+SUMPRODUCT((Inputs!$E$5:$E$140=$B23)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23" s="3" t="e">
        <f>AK23</f>
        <v>#N/A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$140=$B24)*ISNUMBER(INDEX(Inputs!$K$5:$AJ$140,0,MATCH(D$2,Inputs!$K$4:$AJ$4,0))))+SUMPRODUCT((Inputs!$C$5:$C$140=$B24)*ISNUMBER(INDEX(Inputs!$K$5:$AJ$140,0,MATCH(D$2,Inputs!$K$4:$AJ$4,0))))+SUMPRODUCT((Inputs!$E$5:$E$140=$B24)*ISNUMBER(INDEX(Inputs!$K$5:$AJ$140,0,MATCH(D$2,Inputs!$K$4:$AJ$4,0))))=0,NA(),SUMPRODUCT((Inputs!$A$5:$A$140=$B24)*Inputs!$B$5:$B$140*(((Inputs!$G$5:$G$140="moeda")+(Inputs!$G$5:$G$140="acoes"))*Inputs!$B$1+((Inputs!$G$5:$G$140&lt;&gt;"moeda")*(Inputs!$G$5:$G$140&lt;&gt;"acoes")))*INDEX(Inputs!$K$5:$AJ$140,0,MATCH(D$2,Inputs!$K$4:$AJ$4,0)))+SUMPRODUCT((Inputs!$C$5:$C$140=$B24)*Inputs!$D$5:$D$140*(((Inputs!$G$5:$G$140="moeda")+(Inputs!$G$5:$G$140="acoes"))*Inputs!$B$1+((Inputs!$G$5:$G$140&lt;&gt;"moeda")*(Inputs!$G$5:$G$140&lt;&gt;"acoes")))*INDEX(Inputs!$K$5:$AJ$140,0,MATCH(D$2,Inputs!$K$4:$AJ$4,0)))+SUMPRODUCT((Inputs!$E$5:$E$140=$B24)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24" s="6" t="e">
        <f>IF(ISNA(MATCH(E$2,Inputs!$K$4:$AJ$4,0)),NA(),IF(SUMPRODUCT((Inputs!$A$5:$A$140=$B24)*ISNUMBER(INDEX(Inputs!$K$5:$AJ$140,0,MATCH(E$2,Inputs!$K$4:$AJ$4,0))))+SUMPRODUCT((Inputs!$C$5:$C$140=$B24)*ISNUMBER(INDEX(Inputs!$K$5:$AJ$140,0,MATCH(E$2,Inputs!$K$4:$AJ$4,0))))+SUMPRODUCT((Inputs!$E$5:$E$140=$B24)*ISNUMBER(INDEX(Inputs!$K$5:$AJ$140,0,MATCH(E$2,Inputs!$K$4:$AJ$4,0))))=0,NA(),SUMPRODUCT((Inputs!$A$5:$A$140=$B24)*Inputs!$B$5:$B$140*(((Inputs!$G$5:$G$140="moeda")+(Inputs!$G$5:$G$140="acoes"))*Inputs!$B$1+((Inputs!$G$5:$G$140&lt;&gt;"moeda")*(Inputs!$G$5:$G$140&lt;&gt;"acoes")))*INDEX(Inputs!$K$5:$AJ$140,0,MATCH(E$2,Inputs!$K$4:$AJ$4,0)))+SUMPRODUCT((Inputs!$C$5:$C$140=$B24)*Inputs!$D$5:$D$140*(((Inputs!$G$5:$G$140="moeda")+(Inputs!$G$5:$G$140="acoes"))*Inputs!$B$1+((Inputs!$G$5:$G$140&lt;&gt;"moeda")*(Inputs!$G$5:$G$140&lt;&gt;"acoes")))*INDEX(Inputs!$K$5:$AJ$140,0,MATCH(E$2,Inputs!$K$4:$AJ$4,0)))+SUMPRODUCT((Inputs!$E$5:$E$140=$B24)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24" s="6" t="e">
        <f>IF(ISNA(MATCH(F$2,Inputs!$K$4:$AJ$4,0)),NA(),IF(SUMPRODUCT((Inputs!$A$5:$A$140=$B24)*ISNUMBER(INDEX(Inputs!$K$5:$AJ$140,0,MATCH(F$2,Inputs!$K$4:$AJ$4,0))))+SUMPRODUCT((Inputs!$C$5:$C$140=$B24)*ISNUMBER(INDEX(Inputs!$K$5:$AJ$140,0,MATCH(F$2,Inputs!$K$4:$AJ$4,0))))+SUMPRODUCT((Inputs!$E$5:$E$140=$B24)*ISNUMBER(INDEX(Inputs!$K$5:$AJ$140,0,MATCH(F$2,Inputs!$K$4:$AJ$4,0))))=0,NA(),SUMPRODUCT((Inputs!$A$5:$A$140=$B24)*Inputs!$B$5:$B$140*(((Inputs!$G$5:$G$140="moeda")+(Inputs!$G$5:$G$140="acoes"))*Inputs!$B$1+((Inputs!$G$5:$G$140&lt;&gt;"moeda")*(Inputs!$G$5:$G$140&lt;&gt;"acoes")))*INDEX(Inputs!$K$5:$AJ$140,0,MATCH(F$2,Inputs!$K$4:$AJ$4,0)))+SUMPRODUCT((Inputs!$C$5:$C$140=$B24)*Inputs!$D$5:$D$140*(((Inputs!$G$5:$G$140="moeda")+(Inputs!$G$5:$G$140="acoes"))*Inputs!$B$1+((Inputs!$G$5:$G$140&lt;&gt;"moeda")*(Inputs!$G$5:$G$140&lt;&gt;"acoes")))*INDEX(Inputs!$K$5:$AJ$140,0,MATCH(F$2,Inputs!$K$4:$AJ$4,0)))+SUMPRODUCT((Inputs!$E$5:$E$140=$B24)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24" s="6" t="e">
        <f>IF(ISNA(MATCH(G$2,Inputs!$K$4:$AJ$4,0)),NA(),IF(SUMPRODUCT((Inputs!$A$5:$A$140=$B24)*ISNUMBER(INDEX(Inputs!$K$5:$AJ$140,0,MATCH(G$2,Inputs!$K$4:$AJ$4,0))))+SUMPRODUCT((Inputs!$C$5:$C$140=$B24)*ISNUMBER(INDEX(Inputs!$K$5:$AJ$140,0,MATCH(G$2,Inputs!$K$4:$AJ$4,0))))+SUMPRODUCT((Inputs!$E$5:$E$140=$B24)*ISNUMBER(INDEX(Inputs!$K$5:$AJ$140,0,MATCH(G$2,Inputs!$K$4:$AJ$4,0))))=0,NA(),SUMPRODUCT((Inputs!$A$5:$A$140=$B24)*Inputs!$B$5:$B$140*(((Inputs!$G$5:$G$140="moeda")+(Inputs!$G$5:$G$140="acoes"))*Inputs!$B$1+((Inputs!$G$5:$G$140&lt;&gt;"moeda")*(Inputs!$G$5:$G$140&lt;&gt;"acoes")))*INDEX(Inputs!$K$5:$AJ$140,0,MATCH(G$2,Inputs!$K$4:$AJ$4,0)))+SUMPRODUCT((Inputs!$C$5:$C$140=$B24)*Inputs!$D$5:$D$140*(((Inputs!$G$5:$G$140="moeda")+(Inputs!$G$5:$G$140="acoes"))*Inputs!$B$1+((Inputs!$G$5:$G$140&lt;&gt;"moeda")*(Inputs!$G$5:$G$140&lt;&gt;"acoes")))*INDEX(Inputs!$K$5:$AJ$140,0,MATCH(G$2,Inputs!$K$4:$AJ$4,0)))+SUMPRODUCT((Inputs!$E$5:$E$140=$B24)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24" s="3" t="e">
        <f>G24</f>
        <v>#N/A</v>
      </c>
      <c r="I24" s="6" t="e">
        <f>IF(ISNA(MATCH(I$2,Inputs!$K$4:$AJ$4,0)),NA(),IF(SUMPRODUCT((Inputs!$A$5:$A$140=$B24)*ISNUMBER(INDEX(Inputs!$K$5:$AJ$140,0,MATCH(I$2,Inputs!$K$4:$AJ$4,0))))+SUMPRODUCT((Inputs!$C$5:$C$140=$B24)*ISNUMBER(INDEX(Inputs!$K$5:$AJ$140,0,MATCH(I$2,Inputs!$K$4:$AJ$4,0))))+SUMPRODUCT((Inputs!$E$5:$E$140=$B24)*ISNUMBER(INDEX(Inputs!$K$5:$AJ$140,0,MATCH(I$2,Inputs!$K$4:$AJ$4,0))))=0,NA(),SUMPRODUCT((Inputs!$A$5:$A$140=$B24)*Inputs!$B$5:$B$140*(((Inputs!$G$5:$G$140="moeda")+(Inputs!$G$5:$G$140="acoes"))*Inputs!$B$1+((Inputs!$G$5:$G$140&lt;&gt;"moeda")*(Inputs!$G$5:$G$140&lt;&gt;"acoes")))*INDEX(Inputs!$K$5:$AJ$140,0,MATCH(I$2,Inputs!$K$4:$AJ$4,0)))+SUMPRODUCT((Inputs!$C$5:$C$140=$B24)*Inputs!$D$5:$D$140*(((Inputs!$G$5:$G$140="moeda")+(Inputs!$G$5:$G$140="acoes"))*Inputs!$B$1+((Inputs!$G$5:$G$140&lt;&gt;"moeda")*(Inputs!$G$5:$G$140&lt;&gt;"acoes")))*INDEX(Inputs!$K$5:$AJ$140,0,MATCH(I$2,Inputs!$K$4:$AJ$4,0)))+SUMPRODUCT((Inputs!$E$5:$E$140=$B24)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24" s="6" t="e">
        <f>IF(ISNA(MATCH(J$2,Inputs!$K$4:$AJ$4,0)),NA(),IF(SUMPRODUCT((Inputs!$A$5:$A$140=$B24)*ISNUMBER(INDEX(Inputs!$K$5:$AJ$140,0,MATCH(J$2,Inputs!$K$4:$AJ$4,0))))+SUMPRODUCT((Inputs!$C$5:$C$140=$B24)*ISNUMBER(INDEX(Inputs!$K$5:$AJ$140,0,MATCH(J$2,Inputs!$K$4:$AJ$4,0))))+SUMPRODUCT((Inputs!$E$5:$E$140=$B24)*ISNUMBER(INDEX(Inputs!$K$5:$AJ$140,0,MATCH(J$2,Inputs!$K$4:$AJ$4,0))))=0,NA(),SUMPRODUCT((Inputs!$A$5:$A$140=$B24)*Inputs!$B$5:$B$140*(((Inputs!$G$5:$G$140="moeda")+(Inputs!$G$5:$G$140="acoes"))*Inputs!$B$1+((Inputs!$G$5:$G$140&lt;&gt;"moeda")*(Inputs!$G$5:$G$140&lt;&gt;"acoes")))*INDEX(Inputs!$K$5:$AJ$140,0,MATCH(J$2,Inputs!$K$4:$AJ$4,0)))+SUMPRODUCT((Inputs!$C$5:$C$140=$B24)*Inputs!$D$5:$D$140*(((Inputs!$G$5:$G$140="moeda")+(Inputs!$G$5:$G$140="acoes"))*Inputs!$B$1+((Inputs!$G$5:$G$140&lt;&gt;"moeda")*(Inputs!$G$5:$G$140&lt;&gt;"acoes")))*INDEX(Inputs!$K$5:$AJ$140,0,MATCH(J$2,Inputs!$K$4:$AJ$4,0)))+SUMPRODUCT((Inputs!$E$5:$E$140=$B24)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24" s="6" t="e">
        <f>IF(ISNA(MATCH(K$2,Inputs!$K$4:$AJ$4,0)),NA(),IF(SUMPRODUCT((Inputs!$A$5:$A$140=$B24)*ISNUMBER(INDEX(Inputs!$K$5:$AJ$140,0,MATCH(K$2,Inputs!$K$4:$AJ$4,0))))+SUMPRODUCT((Inputs!$C$5:$C$140=$B24)*ISNUMBER(INDEX(Inputs!$K$5:$AJ$140,0,MATCH(K$2,Inputs!$K$4:$AJ$4,0))))+SUMPRODUCT((Inputs!$E$5:$E$140=$B24)*ISNUMBER(INDEX(Inputs!$K$5:$AJ$140,0,MATCH(K$2,Inputs!$K$4:$AJ$4,0))))=0,NA(),SUMPRODUCT((Inputs!$A$5:$A$140=$B24)*Inputs!$B$5:$B$140*(((Inputs!$G$5:$G$140="moeda")+(Inputs!$G$5:$G$140="acoes"))*Inputs!$B$1+((Inputs!$G$5:$G$140&lt;&gt;"moeda")*(Inputs!$G$5:$G$140&lt;&gt;"acoes")))*INDEX(Inputs!$K$5:$AJ$140,0,MATCH(K$2,Inputs!$K$4:$AJ$4,0)))+SUMPRODUCT((Inputs!$C$5:$C$140=$B24)*Inputs!$D$5:$D$140*(((Inputs!$G$5:$G$140="moeda")+(Inputs!$G$5:$G$140="acoes"))*Inputs!$B$1+((Inputs!$G$5:$G$140&lt;&gt;"moeda")*(Inputs!$G$5:$G$140&lt;&gt;"acoes")))*INDEX(Inputs!$K$5:$AJ$140,0,MATCH(K$2,Inputs!$K$4:$AJ$4,0)))+SUMPRODUCT((Inputs!$E$5:$E$140=$B24)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24" s="6" t="e">
        <f>IF(ISNA(MATCH(L$2,Inputs!$K$4:$AJ$4,0)),NA(),IF(SUMPRODUCT((Inputs!$A$5:$A$140=$B24)*ISNUMBER(INDEX(Inputs!$K$5:$AJ$140,0,MATCH(L$2,Inputs!$K$4:$AJ$4,0))))+SUMPRODUCT((Inputs!$C$5:$C$140=$B24)*ISNUMBER(INDEX(Inputs!$K$5:$AJ$140,0,MATCH(L$2,Inputs!$K$4:$AJ$4,0))))+SUMPRODUCT((Inputs!$E$5:$E$140=$B24)*ISNUMBER(INDEX(Inputs!$K$5:$AJ$140,0,MATCH(L$2,Inputs!$K$4:$AJ$4,0))))=0,NA(),SUMPRODUCT((Inputs!$A$5:$A$140=$B24)*Inputs!$B$5:$B$140*(((Inputs!$G$5:$G$140="moeda")+(Inputs!$G$5:$G$140="acoes"))*Inputs!$B$1+((Inputs!$G$5:$G$140&lt;&gt;"moeda")*(Inputs!$G$5:$G$140&lt;&gt;"acoes")))*INDEX(Inputs!$K$5:$AJ$140,0,MATCH(L$2,Inputs!$K$4:$AJ$4,0)))+SUMPRODUCT((Inputs!$C$5:$C$140=$B24)*Inputs!$D$5:$D$140*(((Inputs!$G$5:$G$140="moeda")+(Inputs!$G$5:$G$140="acoes"))*Inputs!$B$1+((Inputs!$G$5:$G$140&lt;&gt;"moeda")*(Inputs!$G$5:$G$140&lt;&gt;"acoes")))*INDEX(Inputs!$K$5:$AJ$140,0,MATCH(L$2,Inputs!$K$4:$AJ$4,0)))+SUMPRODUCT((Inputs!$E$5:$E$140=$B24)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24" s="3" t="e">
        <f>L24</f>
        <v>#N/A</v>
      </c>
      <c r="N24" s="6" t="e">
        <f>IF(ISNA(MATCH(N$2,Inputs!$K$4:$AJ$4,0)),NA(),IF(SUMPRODUCT((Inputs!$A$5:$A$140=$B24)*ISNUMBER(INDEX(Inputs!$K$5:$AJ$140,0,MATCH(N$2,Inputs!$K$4:$AJ$4,0))))+SUMPRODUCT((Inputs!$C$5:$C$140=$B24)*ISNUMBER(INDEX(Inputs!$K$5:$AJ$140,0,MATCH(N$2,Inputs!$K$4:$AJ$4,0))))+SUMPRODUCT((Inputs!$E$5:$E$140=$B24)*ISNUMBER(INDEX(Inputs!$K$5:$AJ$140,0,MATCH(N$2,Inputs!$K$4:$AJ$4,0))))=0,NA(),SUMPRODUCT((Inputs!$A$5:$A$140=$B24)*Inputs!$B$5:$B$140*(((Inputs!$G$5:$G$140="moeda")+(Inputs!$G$5:$G$140="acoes"))*Inputs!$B$1+((Inputs!$G$5:$G$140&lt;&gt;"moeda")*(Inputs!$G$5:$G$140&lt;&gt;"acoes")))*INDEX(Inputs!$K$5:$AJ$140,0,MATCH(N$2,Inputs!$K$4:$AJ$4,0)))+SUMPRODUCT((Inputs!$C$5:$C$140=$B24)*Inputs!$D$5:$D$140*(((Inputs!$G$5:$G$140="moeda")+(Inputs!$G$5:$G$140="acoes"))*Inputs!$B$1+((Inputs!$G$5:$G$140&lt;&gt;"moeda")*(Inputs!$G$5:$G$140&lt;&gt;"acoes")))*INDEX(Inputs!$K$5:$AJ$140,0,MATCH(N$2,Inputs!$K$4:$AJ$4,0)))+SUMPRODUCT((Inputs!$E$5:$E$140=$B24)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24" s="6" t="e">
        <f>IF(ISNA(MATCH(O$2,Inputs!$K$4:$AJ$4,0)),NA(),IF(SUMPRODUCT((Inputs!$A$5:$A$140=$B24)*ISNUMBER(INDEX(Inputs!$K$5:$AJ$140,0,MATCH(O$2,Inputs!$K$4:$AJ$4,0))))+SUMPRODUCT((Inputs!$C$5:$C$140=$B24)*ISNUMBER(INDEX(Inputs!$K$5:$AJ$140,0,MATCH(O$2,Inputs!$K$4:$AJ$4,0))))+SUMPRODUCT((Inputs!$E$5:$E$140=$B24)*ISNUMBER(INDEX(Inputs!$K$5:$AJ$140,0,MATCH(O$2,Inputs!$K$4:$AJ$4,0))))=0,NA(),SUMPRODUCT((Inputs!$A$5:$A$140=$B24)*Inputs!$B$5:$B$140*(((Inputs!$G$5:$G$140="moeda")+(Inputs!$G$5:$G$140="acoes"))*Inputs!$B$1+((Inputs!$G$5:$G$140&lt;&gt;"moeda")*(Inputs!$G$5:$G$140&lt;&gt;"acoes")))*INDEX(Inputs!$K$5:$AJ$140,0,MATCH(O$2,Inputs!$K$4:$AJ$4,0)))+SUMPRODUCT((Inputs!$C$5:$C$140=$B24)*Inputs!$D$5:$D$140*(((Inputs!$G$5:$G$140="moeda")+(Inputs!$G$5:$G$140="acoes"))*Inputs!$B$1+((Inputs!$G$5:$G$140&lt;&gt;"moeda")*(Inputs!$G$5:$G$140&lt;&gt;"acoes")))*INDEX(Inputs!$K$5:$AJ$140,0,MATCH(O$2,Inputs!$K$4:$AJ$4,0)))+SUMPRODUCT((Inputs!$E$5:$E$140=$B24)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24" s="6" t="e">
        <f>IF(ISNA(MATCH(P$2,Inputs!$K$4:$AJ$4,0)),NA(),IF(SUMPRODUCT((Inputs!$A$5:$A$140=$B24)*ISNUMBER(INDEX(Inputs!$K$5:$AJ$140,0,MATCH(P$2,Inputs!$K$4:$AJ$4,0))))+SUMPRODUCT((Inputs!$C$5:$C$140=$B24)*ISNUMBER(INDEX(Inputs!$K$5:$AJ$140,0,MATCH(P$2,Inputs!$K$4:$AJ$4,0))))+SUMPRODUCT((Inputs!$E$5:$E$140=$B24)*ISNUMBER(INDEX(Inputs!$K$5:$AJ$140,0,MATCH(P$2,Inputs!$K$4:$AJ$4,0))))=0,NA(),SUMPRODUCT((Inputs!$A$5:$A$140=$B24)*Inputs!$B$5:$B$140*(((Inputs!$G$5:$G$140="moeda")+(Inputs!$G$5:$G$140="acoes"))*Inputs!$B$1+((Inputs!$G$5:$G$140&lt;&gt;"moeda")*(Inputs!$G$5:$G$140&lt;&gt;"acoes")))*INDEX(Inputs!$K$5:$AJ$140,0,MATCH(P$2,Inputs!$K$4:$AJ$4,0)))+SUMPRODUCT((Inputs!$C$5:$C$140=$B24)*Inputs!$D$5:$D$140*(((Inputs!$G$5:$G$140="moeda")+(Inputs!$G$5:$G$140="acoes"))*Inputs!$B$1+((Inputs!$G$5:$G$140&lt;&gt;"moeda")*(Inputs!$G$5:$G$140&lt;&gt;"acoes")))*INDEX(Inputs!$K$5:$AJ$140,0,MATCH(P$2,Inputs!$K$4:$AJ$4,0)))+SUMPRODUCT((Inputs!$E$5:$E$140=$B24)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24" s="6" t="e">
        <f>IF(ISNA(MATCH(Q$2,Inputs!$K$4:$AJ$4,0)),NA(),IF(SUMPRODUCT((Inputs!$A$5:$A$140=$B24)*ISNUMBER(INDEX(Inputs!$K$5:$AJ$140,0,MATCH(Q$2,Inputs!$K$4:$AJ$4,0))))+SUMPRODUCT((Inputs!$C$5:$C$140=$B24)*ISNUMBER(INDEX(Inputs!$K$5:$AJ$140,0,MATCH(Q$2,Inputs!$K$4:$AJ$4,0))))+SUMPRODUCT((Inputs!$E$5:$E$140=$B24)*ISNUMBER(INDEX(Inputs!$K$5:$AJ$140,0,MATCH(Q$2,Inputs!$K$4:$AJ$4,0))))=0,NA(),SUMPRODUCT((Inputs!$A$5:$A$140=$B24)*Inputs!$B$5:$B$140*(((Inputs!$G$5:$G$140="moeda")+(Inputs!$G$5:$G$140="acoes"))*Inputs!$B$1+((Inputs!$G$5:$G$140&lt;&gt;"moeda")*(Inputs!$G$5:$G$140&lt;&gt;"acoes")))*INDEX(Inputs!$K$5:$AJ$140,0,MATCH(Q$2,Inputs!$K$4:$AJ$4,0)))+SUMPRODUCT((Inputs!$C$5:$C$140=$B24)*Inputs!$D$5:$D$140*(((Inputs!$G$5:$G$140="moeda")+(Inputs!$G$5:$G$140="acoes"))*Inputs!$B$1+((Inputs!$G$5:$G$140&lt;&gt;"moeda")*(Inputs!$G$5:$G$140&lt;&gt;"acoes")))*INDEX(Inputs!$K$5:$AJ$140,0,MATCH(Q$2,Inputs!$K$4:$AJ$4,0)))+SUMPRODUCT((Inputs!$E$5:$E$140=$B24)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24" s="3" t="e">
        <f>Q24</f>
        <v>#N/A</v>
      </c>
      <c r="S24" s="6" t="e">
        <f>IF(ISNA(MATCH(S$2,Inputs!$K$4:$AJ$4,0)),NA(),IF(SUMPRODUCT((Inputs!$A$5:$A$140=$B24)*ISNUMBER(INDEX(Inputs!$K$5:$AJ$140,0,MATCH(S$2,Inputs!$K$4:$AJ$4,0))))+SUMPRODUCT((Inputs!$C$5:$C$140=$B24)*ISNUMBER(INDEX(Inputs!$K$5:$AJ$140,0,MATCH(S$2,Inputs!$K$4:$AJ$4,0))))+SUMPRODUCT((Inputs!$E$5:$E$140=$B24)*ISNUMBER(INDEX(Inputs!$K$5:$AJ$140,0,MATCH(S$2,Inputs!$K$4:$AJ$4,0))))=0,NA(),SUMPRODUCT((Inputs!$A$5:$A$140=$B24)*Inputs!$B$5:$B$140*(((Inputs!$G$5:$G$140="moeda")+(Inputs!$G$5:$G$140="acoes"))*Inputs!$B$1+((Inputs!$G$5:$G$140&lt;&gt;"moeda")*(Inputs!$G$5:$G$140&lt;&gt;"acoes")))*INDEX(Inputs!$K$5:$AJ$140,0,MATCH(S$2,Inputs!$K$4:$AJ$4,0)))+SUMPRODUCT((Inputs!$C$5:$C$140=$B24)*Inputs!$D$5:$D$140*(((Inputs!$G$5:$G$140="moeda")+(Inputs!$G$5:$G$140="acoes"))*Inputs!$B$1+((Inputs!$G$5:$G$140&lt;&gt;"moeda")*(Inputs!$G$5:$G$140&lt;&gt;"acoes")))*INDEX(Inputs!$K$5:$AJ$140,0,MATCH(S$2,Inputs!$K$4:$AJ$4,0)))+SUMPRODUCT((Inputs!$E$5:$E$140=$B24)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24" s="6" t="e">
        <f>IF(ISNA(MATCH(T$2,Inputs!$K$4:$AJ$4,0)),NA(),IF(SUMPRODUCT((Inputs!$A$5:$A$140=$B24)*ISNUMBER(INDEX(Inputs!$K$5:$AJ$140,0,MATCH(T$2,Inputs!$K$4:$AJ$4,0))))+SUMPRODUCT((Inputs!$C$5:$C$140=$B24)*ISNUMBER(INDEX(Inputs!$K$5:$AJ$140,0,MATCH(T$2,Inputs!$K$4:$AJ$4,0))))+SUMPRODUCT((Inputs!$E$5:$E$140=$B24)*ISNUMBER(INDEX(Inputs!$K$5:$AJ$140,0,MATCH(T$2,Inputs!$K$4:$AJ$4,0))))=0,NA(),SUMPRODUCT((Inputs!$A$5:$A$140=$B24)*Inputs!$B$5:$B$140*(((Inputs!$G$5:$G$140="moeda")+(Inputs!$G$5:$G$140="acoes"))*Inputs!$B$1+((Inputs!$G$5:$G$140&lt;&gt;"moeda")*(Inputs!$G$5:$G$140&lt;&gt;"acoes")))*INDEX(Inputs!$K$5:$AJ$140,0,MATCH(T$2,Inputs!$K$4:$AJ$4,0)))+SUMPRODUCT((Inputs!$C$5:$C$140=$B24)*Inputs!$D$5:$D$140*(((Inputs!$G$5:$G$140="moeda")+(Inputs!$G$5:$G$140="acoes"))*Inputs!$B$1+((Inputs!$G$5:$G$140&lt;&gt;"moeda")*(Inputs!$G$5:$G$140&lt;&gt;"acoes")))*INDEX(Inputs!$K$5:$AJ$140,0,MATCH(T$2,Inputs!$K$4:$AJ$4,0)))+SUMPRODUCT((Inputs!$E$5:$E$140=$B24)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24" s="6" t="e">
        <f>IF(ISNA(MATCH(U$2,Inputs!$K$4:$AJ$4,0)),NA(),IF(SUMPRODUCT((Inputs!$A$5:$A$140=$B24)*ISNUMBER(INDEX(Inputs!$K$5:$AJ$140,0,MATCH(U$2,Inputs!$K$4:$AJ$4,0))))+SUMPRODUCT((Inputs!$C$5:$C$140=$B24)*ISNUMBER(INDEX(Inputs!$K$5:$AJ$140,0,MATCH(U$2,Inputs!$K$4:$AJ$4,0))))+SUMPRODUCT((Inputs!$E$5:$E$140=$B24)*ISNUMBER(INDEX(Inputs!$K$5:$AJ$140,0,MATCH(U$2,Inputs!$K$4:$AJ$4,0))))=0,NA(),SUMPRODUCT((Inputs!$A$5:$A$140=$B24)*Inputs!$B$5:$B$140*(((Inputs!$G$5:$G$140="moeda")+(Inputs!$G$5:$G$140="acoes"))*Inputs!$B$1+((Inputs!$G$5:$G$140&lt;&gt;"moeda")*(Inputs!$G$5:$G$140&lt;&gt;"acoes")))*INDEX(Inputs!$K$5:$AJ$140,0,MATCH(U$2,Inputs!$K$4:$AJ$4,0)))+SUMPRODUCT((Inputs!$C$5:$C$140=$B24)*Inputs!$D$5:$D$140*(((Inputs!$G$5:$G$140="moeda")+(Inputs!$G$5:$G$140="acoes"))*Inputs!$B$1+((Inputs!$G$5:$G$140&lt;&gt;"moeda")*(Inputs!$G$5:$G$140&lt;&gt;"acoes")))*INDEX(Inputs!$K$5:$AJ$140,0,MATCH(U$2,Inputs!$K$4:$AJ$4,0)))+SUMPRODUCT((Inputs!$E$5:$E$140=$B24)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24" s="6" t="e">
        <f>IF(ISNA(MATCH(V$2,Inputs!$K$4:$AJ$4,0)),NA(),IF(SUMPRODUCT((Inputs!$A$5:$A$140=$B24)*ISNUMBER(INDEX(Inputs!$K$5:$AJ$140,0,MATCH(V$2,Inputs!$K$4:$AJ$4,0))))+SUMPRODUCT((Inputs!$C$5:$C$140=$B24)*ISNUMBER(INDEX(Inputs!$K$5:$AJ$140,0,MATCH(V$2,Inputs!$K$4:$AJ$4,0))))+SUMPRODUCT((Inputs!$E$5:$E$140=$B24)*ISNUMBER(INDEX(Inputs!$K$5:$AJ$140,0,MATCH(V$2,Inputs!$K$4:$AJ$4,0))))=0,NA(),SUMPRODUCT((Inputs!$A$5:$A$140=$B24)*Inputs!$B$5:$B$140*(((Inputs!$G$5:$G$140="moeda")+(Inputs!$G$5:$G$140="acoes"))*Inputs!$B$1+((Inputs!$G$5:$G$140&lt;&gt;"moeda")*(Inputs!$G$5:$G$140&lt;&gt;"acoes")))*INDEX(Inputs!$K$5:$AJ$140,0,MATCH(V$2,Inputs!$K$4:$AJ$4,0)))+SUMPRODUCT((Inputs!$C$5:$C$140=$B24)*Inputs!$D$5:$D$140*(((Inputs!$G$5:$G$140="moeda")+(Inputs!$G$5:$G$140="acoes"))*Inputs!$B$1+((Inputs!$G$5:$G$140&lt;&gt;"moeda")*(Inputs!$G$5:$G$140&lt;&gt;"acoes")))*INDEX(Inputs!$K$5:$AJ$140,0,MATCH(V$2,Inputs!$K$4:$AJ$4,0)))+SUMPRODUCT((Inputs!$E$5:$E$140=$B24)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24" s="3" t="e">
        <f>V24</f>
        <v>#N/A</v>
      </c>
      <c r="X24" s="6" t="e">
        <f>IF(ISNA(MATCH(X$2,Inputs!$K$4:$AJ$4,0)),NA(),IF(SUMPRODUCT((Inputs!$A$5:$A$140=$B24)*ISNUMBER(INDEX(Inputs!$K$5:$AJ$140,0,MATCH(X$2,Inputs!$K$4:$AJ$4,0))))+SUMPRODUCT((Inputs!$C$5:$C$140=$B24)*ISNUMBER(INDEX(Inputs!$K$5:$AJ$140,0,MATCH(X$2,Inputs!$K$4:$AJ$4,0))))+SUMPRODUCT((Inputs!$E$5:$E$140=$B24)*ISNUMBER(INDEX(Inputs!$K$5:$AJ$140,0,MATCH(X$2,Inputs!$K$4:$AJ$4,0))))=0,NA(),SUMPRODUCT((Inputs!$A$5:$A$140=$B24)*Inputs!$B$5:$B$140*(((Inputs!$G$5:$G$140="moeda")+(Inputs!$G$5:$G$140="acoes"))*Inputs!$B$1+((Inputs!$G$5:$G$140&lt;&gt;"moeda")*(Inputs!$G$5:$G$140&lt;&gt;"acoes")))*INDEX(Inputs!$K$5:$AJ$140,0,MATCH(X$2,Inputs!$K$4:$AJ$4,0)))+SUMPRODUCT((Inputs!$C$5:$C$140=$B24)*Inputs!$D$5:$D$140*(((Inputs!$G$5:$G$140="moeda")+(Inputs!$G$5:$G$140="acoes"))*Inputs!$B$1+((Inputs!$G$5:$G$140&lt;&gt;"moeda")*(Inputs!$G$5:$G$140&lt;&gt;"acoes")))*INDEX(Inputs!$K$5:$AJ$140,0,MATCH(X$2,Inputs!$K$4:$AJ$4,0)))+SUMPRODUCT((Inputs!$E$5:$E$140=$B24)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24" s="6" t="e">
        <f>IF(ISNA(MATCH(Y$2,Inputs!$K$4:$AJ$4,0)),NA(),IF(SUMPRODUCT((Inputs!$A$5:$A$140=$B24)*ISNUMBER(INDEX(Inputs!$K$5:$AJ$140,0,MATCH(Y$2,Inputs!$K$4:$AJ$4,0))))+SUMPRODUCT((Inputs!$C$5:$C$140=$B24)*ISNUMBER(INDEX(Inputs!$K$5:$AJ$140,0,MATCH(Y$2,Inputs!$K$4:$AJ$4,0))))+SUMPRODUCT((Inputs!$E$5:$E$140=$B24)*ISNUMBER(INDEX(Inputs!$K$5:$AJ$140,0,MATCH(Y$2,Inputs!$K$4:$AJ$4,0))))=0,NA(),SUMPRODUCT((Inputs!$A$5:$A$140=$B24)*Inputs!$B$5:$B$140*(((Inputs!$G$5:$G$140="moeda")+(Inputs!$G$5:$G$140="acoes"))*Inputs!$B$1+((Inputs!$G$5:$G$140&lt;&gt;"moeda")*(Inputs!$G$5:$G$140&lt;&gt;"acoes")))*INDEX(Inputs!$K$5:$AJ$140,0,MATCH(Y$2,Inputs!$K$4:$AJ$4,0)))+SUMPRODUCT((Inputs!$C$5:$C$140=$B24)*Inputs!$D$5:$D$140*(((Inputs!$G$5:$G$140="moeda")+(Inputs!$G$5:$G$140="acoes"))*Inputs!$B$1+((Inputs!$G$5:$G$140&lt;&gt;"moeda")*(Inputs!$G$5:$G$140&lt;&gt;"acoes")))*INDEX(Inputs!$K$5:$AJ$140,0,MATCH(Y$2,Inputs!$K$4:$AJ$4,0)))+SUMPRODUCT((Inputs!$E$5:$E$140=$B24)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24" s="6" t="e">
        <f>IF(ISNA(MATCH(Z$2,Inputs!$K$4:$AJ$4,0)),NA(),IF(SUMPRODUCT((Inputs!$A$5:$A$140=$B24)*ISNUMBER(INDEX(Inputs!$K$5:$AJ$140,0,MATCH(Z$2,Inputs!$K$4:$AJ$4,0))))+SUMPRODUCT((Inputs!$C$5:$C$140=$B24)*ISNUMBER(INDEX(Inputs!$K$5:$AJ$140,0,MATCH(Z$2,Inputs!$K$4:$AJ$4,0))))+SUMPRODUCT((Inputs!$E$5:$E$140=$B24)*ISNUMBER(INDEX(Inputs!$K$5:$AJ$140,0,MATCH(Z$2,Inputs!$K$4:$AJ$4,0))))=0,NA(),SUMPRODUCT((Inputs!$A$5:$A$140=$B24)*Inputs!$B$5:$B$140*(((Inputs!$G$5:$G$140="moeda")+(Inputs!$G$5:$G$140="acoes"))*Inputs!$B$1+((Inputs!$G$5:$G$140&lt;&gt;"moeda")*(Inputs!$G$5:$G$140&lt;&gt;"acoes")))*INDEX(Inputs!$K$5:$AJ$140,0,MATCH(Z$2,Inputs!$K$4:$AJ$4,0)))+SUMPRODUCT((Inputs!$C$5:$C$140=$B24)*Inputs!$D$5:$D$140*(((Inputs!$G$5:$G$140="moeda")+(Inputs!$G$5:$G$140="acoes"))*Inputs!$B$1+((Inputs!$G$5:$G$140&lt;&gt;"moeda")*(Inputs!$G$5:$G$140&lt;&gt;"acoes")))*INDEX(Inputs!$K$5:$AJ$140,0,MATCH(Z$2,Inputs!$K$4:$AJ$4,0)))+SUMPRODUCT((Inputs!$E$5:$E$140=$B24)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24" s="6" t="e">
        <f>IF(ISNA(MATCH(AA$2,Inputs!$K$4:$AJ$4,0)),NA(),IF(SUMPRODUCT((Inputs!$A$5:$A$140=$B24)*ISNUMBER(INDEX(Inputs!$K$5:$AJ$140,0,MATCH(AA$2,Inputs!$K$4:$AJ$4,0))))+SUMPRODUCT((Inputs!$C$5:$C$140=$B24)*ISNUMBER(INDEX(Inputs!$K$5:$AJ$140,0,MATCH(AA$2,Inputs!$K$4:$AJ$4,0))))+SUMPRODUCT((Inputs!$E$5:$E$140=$B24)*ISNUMBER(INDEX(Inputs!$K$5:$AJ$140,0,MATCH(AA$2,Inputs!$K$4:$AJ$4,0))))=0,NA(),SUMPRODUCT((Inputs!$A$5:$A$140=$B24)*Inputs!$B$5:$B$140*(((Inputs!$G$5:$G$140="moeda")+(Inputs!$G$5:$G$140="acoes"))*Inputs!$B$1+((Inputs!$G$5:$G$140&lt;&gt;"moeda")*(Inputs!$G$5:$G$140&lt;&gt;"acoes")))*INDEX(Inputs!$K$5:$AJ$140,0,MATCH(AA$2,Inputs!$K$4:$AJ$4,0)))+SUMPRODUCT((Inputs!$C$5:$C$140=$B24)*Inputs!$D$5:$D$140*(((Inputs!$G$5:$G$140="moeda")+(Inputs!$G$5:$G$140="acoes"))*Inputs!$B$1+((Inputs!$G$5:$G$140&lt;&gt;"moeda")*(Inputs!$G$5:$G$140&lt;&gt;"acoes")))*INDEX(Inputs!$K$5:$AJ$140,0,MATCH(AA$2,Inputs!$K$4:$AJ$4,0)))+SUMPRODUCT((Inputs!$E$5:$E$140=$B24)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24" s="3" t="e">
        <f>AA24</f>
        <v>#N/A</v>
      </c>
      <c r="AC24" s="6" t="e">
        <f>IF(ISNA(MATCH(AC$2,Inputs!$K$4:$AJ$4,0)),NA(),IF(SUMPRODUCT((Inputs!$A$5:$A$140=$B24)*ISNUMBER(INDEX(Inputs!$K$5:$AJ$140,0,MATCH(AC$2,Inputs!$K$4:$AJ$4,0))))+SUMPRODUCT((Inputs!$C$5:$C$140=$B24)*ISNUMBER(INDEX(Inputs!$K$5:$AJ$140,0,MATCH(AC$2,Inputs!$K$4:$AJ$4,0))))+SUMPRODUCT((Inputs!$E$5:$E$140=$B24)*ISNUMBER(INDEX(Inputs!$K$5:$AJ$140,0,MATCH(AC$2,Inputs!$K$4:$AJ$4,0))))=0,NA(),SUMPRODUCT((Inputs!$A$5:$A$140=$B24)*Inputs!$B$5:$B$140*(((Inputs!$G$5:$G$140="moeda")+(Inputs!$G$5:$G$140="acoes"))*Inputs!$B$1+((Inputs!$G$5:$G$140&lt;&gt;"moeda")*(Inputs!$G$5:$G$140&lt;&gt;"acoes")))*INDEX(Inputs!$K$5:$AJ$140,0,MATCH(AC$2,Inputs!$K$4:$AJ$4,0)))+SUMPRODUCT((Inputs!$C$5:$C$140=$B24)*Inputs!$D$5:$D$140*(((Inputs!$G$5:$G$140="moeda")+(Inputs!$G$5:$G$140="acoes"))*Inputs!$B$1+((Inputs!$G$5:$G$140&lt;&gt;"moeda")*(Inputs!$G$5:$G$140&lt;&gt;"acoes")))*INDEX(Inputs!$K$5:$AJ$140,0,MATCH(AC$2,Inputs!$K$4:$AJ$4,0)))+SUMPRODUCT((Inputs!$E$5:$E$140=$B24)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24" s="6" t="e">
        <f>IF(ISNA(MATCH(AD$2,Inputs!$K$4:$AJ$4,0)),NA(),IF(SUMPRODUCT((Inputs!$A$5:$A$140=$B24)*ISNUMBER(INDEX(Inputs!$K$5:$AJ$140,0,MATCH(AD$2,Inputs!$K$4:$AJ$4,0))))+SUMPRODUCT((Inputs!$C$5:$C$140=$B24)*ISNUMBER(INDEX(Inputs!$K$5:$AJ$140,0,MATCH(AD$2,Inputs!$K$4:$AJ$4,0))))+SUMPRODUCT((Inputs!$E$5:$E$140=$B24)*ISNUMBER(INDEX(Inputs!$K$5:$AJ$140,0,MATCH(AD$2,Inputs!$K$4:$AJ$4,0))))=0,NA(),SUMPRODUCT((Inputs!$A$5:$A$140=$B24)*Inputs!$B$5:$B$140*(((Inputs!$G$5:$G$140="moeda")+(Inputs!$G$5:$G$140="acoes"))*Inputs!$B$1+((Inputs!$G$5:$G$140&lt;&gt;"moeda")*(Inputs!$G$5:$G$140&lt;&gt;"acoes")))*INDEX(Inputs!$K$5:$AJ$140,0,MATCH(AD$2,Inputs!$K$4:$AJ$4,0)))+SUMPRODUCT((Inputs!$C$5:$C$140=$B24)*Inputs!$D$5:$D$140*(((Inputs!$G$5:$G$140="moeda")+(Inputs!$G$5:$G$140="acoes"))*Inputs!$B$1+((Inputs!$G$5:$G$140&lt;&gt;"moeda")*(Inputs!$G$5:$G$140&lt;&gt;"acoes")))*INDEX(Inputs!$K$5:$AJ$140,0,MATCH(AD$2,Inputs!$K$4:$AJ$4,0)))+SUMPRODUCT((Inputs!$E$5:$E$140=$B24)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24" s="6" t="e">
        <f>IF(ISNA(MATCH(AE$2,Inputs!$K$4:$AJ$4,0)),NA(),IF(SUMPRODUCT((Inputs!$A$5:$A$140=$B24)*ISNUMBER(INDEX(Inputs!$K$5:$AJ$140,0,MATCH(AE$2,Inputs!$K$4:$AJ$4,0))))+SUMPRODUCT((Inputs!$C$5:$C$140=$B24)*ISNUMBER(INDEX(Inputs!$K$5:$AJ$140,0,MATCH(AE$2,Inputs!$K$4:$AJ$4,0))))+SUMPRODUCT((Inputs!$E$5:$E$140=$B24)*ISNUMBER(INDEX(Inputs!$K$5:$AJ$140,0,MATCH(AE$2,Inputs!$K$4:$AJ$4,0))))=0,NA(),SUMPRODUCT((Inputs!$A$5:$A$140=$B24)*Inputs!$B$5:$B$140*(((Inputs!$G$5:$G$140="moeda")+(Inputs!$G$5:$G$140="acoes"))*Inputs!$B$1+((Inputs!$G$5:$G$140&lt;&gt;"moeda")*(Inputs!$G$5:$G$140&lt;&gt;"acoes")))*INDEX(Inputs!$K$5:$AJ$140,0,MATCH(AE$2,Inputs!$K$4:$AJ$4,0)))+SUMPRODUCT((Inputs!$C$5:$C$140=$B24)*Inputs!$D$5:$D$140*(((Inputs!$G$5:$G$140="moeda")+(Inputs!$G$5:$G$140="acoes"))*Inputs!$B$1+((Inputs!$G$5:$G$140&lt;&gt;"moeda")*(Inputs!$G$5:$G$140&lt;&gt;"acoes")))*INDEX(Inputs!$K$5:$AJ$140,0,MATCH(AE$2,Inputs!$K$4:$AJ$4,0)))+SUMPRODUCT((Inputs!$E$5:$E$140=$B24)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4" s="6" t="e">
        <f>IF(ISNA(MATCH(AF$2,Inputs!$K$4:$AJ$4,0)),NA(),IF(SUMPRODUCT((Inputs!$A$5:$A$140=$B24)*ISNUMBER(INDEX(Inputs!$K$5:$AJ$140,0,MATCH(AF$2,Inputs!$K$4:$AJ$4,0))))+SUMPRODUCT((Inputs!$C$5:$C$140=$B24)*ISNUMBER(INDEX(Inputs!$K$5:$AJ$140,0,MATCH(AF$2,Inputs!$K$4:$AJ$4,0))))+SUMPRODUCT((Inputs!$E$5:$E$140=$B24)*ISNUMBER(INDEX(Inputs!$K$5:$AJ$140,0,MATCH(AF$2,Inputs!$K$4:$AJ$4,0))))=0,NA(),SUMPRODUCT((Inputs!$A$5:$A$140=$B24)*Inputs!$B$5:$B$140*(((Inputs!$G$5:$G$140="moeda")+(Inputs!$G$5:$G$140="acoes"))*Inputs!$B$1+((Inputs!$G$5:$G$140&lt;&gt;"moeda")*(Inputs!$G$5:$G$140&lt;&gt;"acoes")))*INDEX(Inputs!$K$5:$AJ$140,0,MATCH(AF$2,Inputs!$K$4:$AJ$4,0)))+SUMPRODUCT((Inputs!$C$5:$C$140=$B24)*Inputs!$D$5:$D$140*(((Inputs!$G$5:$G$140="moeda")+(Inputs!$G$5:$G$140="acoes"))*Inputs!$B$1+((Inputs!$G$5:$G$140&lt;&gt;"moeda")*(Inputs!$G$5:$G$140&lt;&gt;"acoes")))*INDEX(Inputs!$K$5:$AJ$140,0,MATCH(AF$2,Inputs!$K$4:$AJ$4,0)))+SUMPRODUCT((Inputs!$E$5:$E$140=$B24)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4" s="3" t="e">
        <f>AF24</f>
        <v>#N/A</v>
      </c>
      <c r="AH24" s="6" t="e">
        <f>IF(ISNA(MATCH(AH$2,Inputs!$K$4:$AJ$4,0)),NA(),IF(SUMPRODUCT((Inputs!$A$5:$A$140=$B24)*ISNUMBER(INDEX(Inputs!$K$5:$AJ$140,0,MATCH(AH$2,Inputs!$K$4:$AJ$4,0))))+SUMPRODUCT((Inputs!$C$5:$C$140=$B24)*ISNUMBER(INDEX(Inputs!$K$5:$AJ$140,0,MATCH(AH$2,Inputs!$K$4:$AJ$4,0))))+SUMPRODUCT((Inputs!$E$5:$E$140=$B24)*ISNUMBER(INDEX(Inputs!$K$5:$AJ$140,0,MATCH(AH$2,Inputs!$K$4:$AJ$4,0))))=0,NA(),SUMPRODUCT((Inputs!$A$5:$A$140=$B24)*Inputs!$B$5:$B$140*(((Inputs!$G$5:$G$140="moeda")+(Inputs!$G$5:$G$140="acoes"))*Inputs!$B$1+((Inputs!$G$5:$G$140&lt;&gt;"moeda")*(Inputs!$G$5:$G$140&lt;&gt;"acoes")))*INDEX(Inputs!$K$5:$AJ$140,0,MATCH(AH$2,Inputs!$K$4:$AJ$4,0)))+SUMPRODUCT((Inputs!$C$5:$C$140=$B24)*Inputs!$D$5:$D$140*(((Inputs!$G$5:$G$140="moeda")+(Inputs!$G$5:$G$140="acoes"))*Inputs!$B$1+((Inputs!$G$5:$G$140&lt;&gt;"moeda")*(Inputs!$G$5:$G$140&lt;&gt;"acoes")))*INDEX(Inputs!$K$5:$AJ$140,0,MATCH(AH$2,Inputs!$K$4:$AJ$4,0)))+SUMPRODUCT((Inputs!$E$5:$E$140=$B24)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24" s="6" t="e">
        <f>IF(ISNA(MATCH(AI$2,Inputs!$K$4:$AJ$4,0)),NA(),IF(SUMPRODUCT((Inputs!$A$5:$A$140=$B24)*ISNUMBER(INDEX(Inputs!$K$5:$AJ$140,0,MATCH(AI$2,Inputs!$K$4:$AJ$4,0))))+SUMPRODUCT((Inputs!$C$5:$C$140=$B24)*ISNUMBER(INDEX(Inputs!$K$5:$AJ$140,0,MATCH(AI$2,Inputs!$K$4:$AJ$4,0))))+SUMPRODUCT((Inputs!$E$5:$E$140=$B24)*ISNUMBER(INDEX(Inputs!$K$5:$AJ$140,0,MATCH(AI$2,Inputs!$K$4:$AJ$4,0))))=0,NA(),SUMPRODUCT((Inputs!$A$5:$A$140=$B24)*Inputs!$B$5:$B$140*(((Inputs!$G$5:$G$140="moeda")+(Inputs!$G$5:$G$140="acoes"))*Inputs!$B$1+((Inputs!$G$5:$G$140&lt;&gt;"moeda")*(Inputs!$G$5:$G$140&lt;&gt;"acoes")))*INDEX(Inputs!$K$5:$AJ$140,0,MATCH(AI$2,Inputs!$K$4:$AJ$4,0)))+SUMPRODUCT((Inputs!$C$5:$C$140=$B24)*Inputs!$D$5:$D$140*(((Inputs!$G$5:$G$140="moeda")+(Inputs!$G$5:$G$140="acoes"))*Inputs!$B$1+((Inputs!$G$5:$G$140&lt;&gt;"moeda")*(Inputs!$G$5:$G$140&lt;&gt;"acoes")))*INDEX(Inputs!$K$5:$AJ$140,0,MATCH(AI$2,Inputs!$K$4:$AJ$4,0)))+SUMPRODUCT((Inputs!$E$5:$E$140=$B24)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24" s="6" t="e">
        <f>IF(ISNA(MATCH(AJ$2,Inputs!$K$4:$AJ$4,0)),NA(),IF(SUMPRODUCT((Inputs!$A$5:$A$140=$B24)*ISNUMBER(INDEX(Inputs!$K$5:$AJ$140,0,MATCH(AJ$2,Inputs!$K$4:$AJ$4,0))))+SUMPRODUCT((Inputs!$C$5:$C$140=$B24)*ISNUMBER(INDEX(Inputs!$K$5:$AJ$140,0,MATCH(AJ$2,Inputs!$K$4:$AJ$4,0))))+SUMPRODUCT((Inputs!$E$5:$E$140=$B24)*ISNUMBER(INDEX(Inputs!$K$5:$AJ$140,0,MATCH(AJ$2,Inputs!$K$4:$AJ$4,0))))=0,NA(),SUMPRODUCT((Inputs!$A$5:$A$140=$B24)*Inputs!$B$5:$B$140*(((Inputs!$G$5:$G$140="moeda")+(Inputs!$G$5:$G$140="acoes"))*Inputs!$B$1+((Inputs!$G$5:$G$140&lt;&gt;"moeda")*(Inputs!$G$5:$G$140&lt;&gt;"acoes")))*INDEX(Inputs!$K$5:$AJ$140,0,MATCH(AJ$2,Inputs!$K$4:$AJ$4,0)))+SUMPRODUCT((Inputs!$C$5:$C$140=$B24)*Inputs!$D$5:$D$140*(((Inputs!$G$5:$G$140="moeda")+(Inputs!$G$5:$G$140="acoes"))*Inputs!$B$1+((Inputs!$G$5:$G$140&lt;&gt;"moeda")*(Inputs!$G$5:$G$140&lt;&gt;"acoes")))*INDEX(Inputs!$K$5:$AJ$140,0,MATCH(AJ$2,Inputs!$K$4:$AJ$4,0)))+SUMPRODUCT((Inputs!$E$5:$E$140=$B24)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24" s="6" t="e">
        <f>IF(ISNA(MATCH(AK$2,Inputs!$K$4:$AJ$4,0)),NA(),IF(SUMPRODUCT((Inputs!$A$5:$A$140=$B24)*ISNUMBER(INDEX(Inputs!$K$5:$AJ$140,0,MATCH(AK$2,Inputs!$K$4:$AJ$4,0))))+SUMPRODUCT((Inputs!$C$5:$C$140=$B24)*ISNUMBER(INDEX(Inputs!$K$5:$AJ$140,0,MATCH(AK$2,Inputs!$K$4:$AJ$4,0))))+SUMPRODUCT((Inputs!$E$5:$E$140=$B24)*ISNUMBER(INDEX(Inputs!$K$5:$AJ$140,0,MATCH(AK$2,Inputs!$K$4:$AJ$4,0))))=0,NA(),SUMPRODUCT((Inputs!$A$5:$A$140=$B24)*Inputs!$B$5:$B$140*(((Inputs!$G$5:$G$140="moeda")+(Inputs!$G$5:$G$140="acoes"))*Inputs!$B$1+((Inputs!$G$5:$G$140&lt;&gt;"moeda")*(Inputs!$G$5:$G$140&lt;&gt;"acoes")))*INDEX(Inputs!$K$5:$AJ$140,0,MATCH(AK$2,Inputs!$K$4:$AJ$4,0)))+SUMPRODUCT((Inputs!$C$5:$C$140=$B24)*Inputs!$D$5:$D$140*(((Inputs!$G$5:$G$140="moeda")+(Inputs!$G$5:$G$140="acoes"))*Inputs!$B$1+((Inputs!$G$5:$G$140&lt;&gt;"moeda")*(Inputs!$G$5:$G$140&lt;&gt;"acoes")))*INDEX(Inputs!$K$5:$AJ$140,0,MATCH(AK$2,Inputs!$K$4:$AJ$4,0)))+SUMPRODUCT((Inputs!$E$5:$E$140=$B24)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$140=$B25)*ISNUMBER(INDEX(Inputs!$K$5:$AJ$140,0,MATCH(D$2,Inputs!$K$4:$AJ$4,0))))+SUMPRODUCT((Inputs!$C$5:$C$140=$B25)*ISNUMBER(INDEX(Inputs!$K$5:$AJ$140,0,MATCH(D$2,Inputs!$K$4:$AJ$4,0))))+SUMPRODUCT((Inputs!$E$5:$E$140=$B25)*ISNUMBER(INDEX(Inputs!$K$5:$AJ$140,0,MATCH(D$2,Inputs!$K$4:$AJ$4,0))))=0,NA(),SUMPRODUCT((Inputs!$A$5:$A$140=$B25)*Inputs!$B$5:$B$140*(((Inputs!$G$5:$G$140="moeda")+(Inputs!$G$5:$G$140="acoes"))*Inputs!$B$1+((Inputs!$G$5:$G$140&lt;&gt;"moeda")*(Inputs!$G$5:$G$140&lt;&gt;"acoes")))*INDEX(Inputs!$K$5:$AJ$140,0,MATCH(D$2,Inputs!$K$4:$AJ$4,0)))+SUMPRODUCT((Inputs!$C$5:$C$140=$B25)*Inputs!$D$5:$D$140*(((Inputs!$G$5:$G$140="moeda")+(Inputs!$G$5:$G$140="acoes"))*Inputs!$B$1+((Inputs!$G$5:$G$140&lt;&gt;"moeda")*(Inputs!$G$5:$G$140&lt;&gt;"acoes")))*INDEX(Inputs!$K$5:$AJ$140,0,MATCH(D$2,Inputs!$K$4:$AJ$4,0)))+SUMPRODUCT((Inputs!$E$5:$E$140=$B25)*Inputs!$F$5:$F$140*(((Inputs!$G$5:$G$140="moeda")+(Inputs!$G$5:$G$140="acoes"))*Inputs!$B$1+((Inputs!$G$5:$G$140&lt;&gt;"moeda")*(Inputs!$G$5:$G$140&lt;&gt;"acoes")))*INDEX(Inputs!$K$5:$AJ$140,0,MATCH(D$2,Inputs!$K$4:$AJ$4,0)))))</f>
        <v>0</v>
      </c>
      <c r="E25" s="6">
        <f>IF(ISNA(MATCH(E$2,Inputs!$K$4:$AJ$4,0)),NA(),IF(SUMPRODUCT((Inputs!$A$5:$A$140=$B25)*ISNUMBER(INDEX(Inputs!$K$5:$AJ$140,0,MATCH(E$2,Inputs!$K$4:$AJ$4,0))))+SUMPRODUCT((Inputs!$C$5:$C$140=$B25)*ISNUMBER(INDEX(Inputs!$K$5:$AJ$140,0,MATCH(E$2,Inputs!$K$4:$AJ$4,0))))+SUMPRODUCT((Inputs!$E$5:$E$140=$B25)*ISNUMBER(INDEX(Inputs!$K$5:$AJ$140,0,MATCH(E$2,Inputs!$K$4:$AJ$4,0))))=0,NA(),SUMPRODUCT((Inputs!$A$5:$A$140=$B25)*Inputs!$B$5:$B$140*(((Inputs!$G$5:$G$140="moeda")+(Inputs!$G$5:$G$140="acoes"))*Inputs!$B$1+((Inputs!$G$5:$G$140&lt;&gt;"moeda")*(Inputs!$G$5:$G$140&lt;&gt;"acoes")))*INDEX(Inputs!$K$5:$AJ$140,0,MATCH(E$2,Inputs!$K$4:$AJ$4,0)))+SUMPRODUCT((Inputs!$C$5:$C$140=$B25)*Inputs!$D$5:$D$140*(((Inputs!$G$5:$G$140="moeda")+(Inputs!$G$5:$G$140="acoes"))*Inputs!$B$1+((Inputs!$G$5:$G$140&lt;&gt;"moeda")*(Inputs!$G$5:$G$140&lt;&gt;"acoes")))*INDEX(Inputs!$K$5:$AJ$140,0,MATCH(E$2,Inputs!$K$4:$AJ$4,0)))+SUMPRODUCT((Inputs!$E$5:$E$140=$B25)*Inputs!$F$5:$F$140*(((Inputs!$G$5:$G$140="moeda")+(Inputs!$G$5:$G$140="acoes"))*Inputs!$B$1+((Inputs!$G$5:$G$140&lt;&gt;"moeda")*(Inputs!$G$5:$G$140&lt;&gt;"acoes")))*INDEX(Inputs!$K$5:$AJ$140,0,MATCH(E$2,Inputs!$K$4:$AJ$4,0)))))</f>
        <v>0</v>
      </c>
      <c r="F25" s="6">
        <f>IF(ISNA(MATCH(F$2,Inputs!$K$4:$AJ$4,0)),NA(),IF(SUMPRODUCT((Inputs!$A$5:$A$140=$B25)*ISNUMBER(INDEX(Inputs!$K$5:$AJ$140,0,MATCH(F$2,Inputs!$K$4:$AJ$4,0))))+SUMPRODUCT((Inputs!$C$5:$C$140=$B25)*ISNUMBER(INDEX(Inputs!$K$5:$AJ$140,0,MATCH(F$2,Inputs!$K$4:$AJ$4,0))))+SUMPRODUCT((Inputs!$E$5:$E$140=$B25)*ISNUMBER(INDEX(Inputs!$K$5:$AJ$140,0,MATCH(F$2,Inputs!$K$4:$AJ$4,0))))=0,NA(),SUMPRODUCT((Inputs!$A$5:$A$140=$B25)*Inputs!$B$5:$B$140*(((Inputs!$G$5:$G$140="moeda")+(Inputs!$G$5:$G$140="acoes"))*Inputs!$B$1+((Inputs!$G$5:$G$140&lt;&gt;"moeda")*(Inputs!$G$5:$G$140&lt;&gt;"acoes")))*INDEX(Inputs!$K$5:$AJ$140,0,MATCH(F$2,Inputs!$K$4:$AJ$4,0)))+SUMPRODUCT((Inputs!$C$5:$C$140=$B25)*Inputs!$D$5:$D$140*(((Inputs!$G$5:$G$140="moeda")+(Inputs!$G$5:$G$140="acoes"))*Inputs!$B$1+((Inputs!$G$5:$G$140&lt;&gt;"moeda")*(Inputs!$G$5:$G$140&lt;&gt;"acoes")))*INDEX(Inputs!$K$5:$AJ$140,0,MATCH(F$2,Inputs!$K$4:$AJ$4,0)))+SUMPRODUCT((Inputs!$E$5:$E$140=$B25)*Inputs!$F$5:$F$140*(((Inputs!$G$5:$G$140="moeda")+(Inputs!$G$5:$G$140="acoes"))*Inputs!$B$1+((Inputs!$G$5:$G$140&lt;&gt;"moeda")*(Inputs!$G$5:$G$140&lt;&gt;"acoes")))*INDEX(Inputs!$K$5:$AJ$140,0,MATCH(F$2,Inputs!$K$4:$AJ$4,0)))))</f>
        <v>0</v>
      </c>
      <c r="G25" s="6">
        <f>IF(ISNA(MATCH(G$2,Inputs!$K$4:$AJ$4,0)),NA(),IF(SUMPRODUCT((Inputs!$A$5:$A$140=$B25)*ISNUMBER(INDEX(Inputs!$K$5:$AJ$140,0,MATCH(G$2,Inputs!$K$4:$AJ$4,0))))+SUMPRODUCT((Inputs!$C$5:$C$140=$B25)*ISNUMBER(INDEX(Inputs!$K$5:$AJ$140,0,MATCH(G$2,Inputs!$K$4:$AJ$4,0))))+SUMPRODUCT((Inputs!$E$5:$E$140=$B25)*ISNUMBER(INDEX(Inputs!$K$5:$AJ$140,0,MATCH(G$2,Inputs!$K$4:$AJ$4,0))))=0,NA(),SUMPRODUCT((Inputs!$A$5:$A$140=$B25)*Inputs!$B$5:$B$140*(((Inputs!$G$5:$G$140="moeda")+(Inputs!$G$5:$G$140="acoes"))*Inputs!$B$1+((Inputs!$G$5:$G$140&lt;&gt;"moeda")*(Inputs!$G$5:$G$140&lt;&gt;"acoes")))*INDEX(Inputs!$K$5:$AJ$140,0,MATCH(G$2,Inputs!$K$4:$AJ$4,0)))+SUMPRODUCT((Inputs!$C$5:$C$140=$B25)*Inputs!$D$5:$D$140*(((Inputs!$G$5:$G$140="moeda")+(Inputs!$G$5:$G$140="acoes"))*Inputs!$B$1+((Inputs!$G$5:$G$140&lt;&gt;"moeda")*(Inputs!$G$5:$G$140&lt;&gt;"acoes")))*INDEX(Inputs!$K$5:$AJ$140,0,MATCH(G$2,Inputs!$K$4:$AJ$4,0)))+SUMPRODUCT((Inputs!$E$5:$E$140=$B25)*Inputs!$F$5:$F$140*(((Inputs!$G$5:$G$140="moeda")+(Inputs!$G$5:$G$140="acoes"))*Inputs!$B$1+((Inputs!$G$5:$G$140&lt;&gt;"moeda")*(Inputs!$G$5:$G$140&lt;&gt;"acoes")))*INDEX(Inputs!$K$5:$AJ$140,0,MATCH(G$2,Inputs!$K$4:$AJ$4,0)))))</f>
        <v>0</v>
      </c>
      <c r="H25" s="3">
        <f>G25</f>
        <v>0</v>
      </c>
      <c r="I25" s="6">
        <f>IF(ISNA(MATCH(I$2,Inputs!$K$4:$AJ$4,0)),NA(),IF(SUMPRODUCT((Inputs!$A$5:$A$140=$B25)*ISNUMBER(INDEX(Inputs!$K$5:$AJ$140,0,MATCH(I$2,Inputs!$K$4:$AJ$4,0))))+SUMPRODUCT((Inputs!$C$5:$C$140=$B25)*ISNUMBER(INDEX(Inputs!$K$5:$AJ$140,0,MATCH(I$2,Inputs!$K$4:$AJ$4,0))))+SUMPRODUCT((Inputs!$E$5:$E$140=$B25)*ISNUMBER(INDEX(Inputs!$K$5:$AJ$140,0,MATCH(I$2,Inputs!$K$4:$AJ$4,0))))=0,NA(),SUMPRODUCT((Inputs!$A$5:$A$140=$B25)*Inputs!$B$5:$B$140*(((Inputs!$G$5:$G$140="moeda")+(Inputs!$G$5:$G$140="acoes"))*Inputs!$B$1+((Inputs!$G$5:$G$140&lt;&gt;"moeda")*(Inputs!$G$5:$G$140&lt;&gt;"acoes")))*INDEX(Inputs!$K$5:$AJ$140,0,MATCH(I$2,Inputs!$K$4:$AJ$4,0)))+SUMPRODUCT((Inputs!$C$5:$C$140=$B25)*Inputs!$D$5:$D$140*(((Inputs!$G$5:$G$140="moeda")+(Inputs!$G$5:$G$140="acoes"))*Inputs!$B$1+((Inputs!$G$5:$G$140&lt;&gt;"moeda")*(Inputs!$G$5:$G$140&lt;&gt;"acoes")))*INDEX(Inputs!$K$5:$AJ$140,0,MATCH(I$2,Inputs!$K$4:$AJ$4,0)))+SUMPRODUCT((Inputs!$E$5:$E$140=$B25)*Inputs!$F$5:$F$140*(((Inputs!$G$5:$G$140="moeda")+(Inputs!$G$5:$G$140="acoes"))*Inputs!$B$1+((Inputs!$G$5:$G$140&lt;&gt;"moeda")*(Inputs!$G$5:$G$140&lt;&gt;"acoes")))*INDEX(Inputs!$K$5:$AJ$140,0,MATCH(I$2,Inputs!$K$4:$AJ$4,0)))))</f>
        <v>0</v>
      </c>
      <c r="J25" s="6">
        <f>IF(ISNA(MATCH(J$2,Inputs!$K$4:$AJ$4,0)),NA(),IF(SUMPRODUCT((Inputs!$A$5:$A$140=$B25)*ISNUMBER(INDEX(Inputs!$K$5:$AJ$140,0,MATCH(J$2,Inputs!$K$4:$AJ$4,0))))+SUMPRODUCT((Inputs!$C$5:$C$140=$B25)*ISNUMBER(INDEX(Inputs!$K$5:$AJ$140,0,MATCH(J$2,Inputs!$K$4:$AJ$4,0))))+SUMPRODUCT((Inputs!$E$5:$E$140=$B25)*ISNUMBER(INDEX(Inputs!$K$5:$AJ$140,0,MATCH(J$2,Inputs!$K$4:$AJ$4,0))))=0,NA(),SUMPRODUCT((Inputs!$A$5:$A$140=$B25)*Inputs!$B$5:$B$140*(((Inputs!$G$5:$G$140="moeda")+(Inputs!$G$5:$G$140="acoes"))*Inputs!$B$1+((Inputs!$G$5:$G$140&lt;&gt;"moeda")*(Inputs!$G$5:$G$140&lt;&gt;"acoes")))*INDEX(Inputs!$K$5:$AJ$140,0,MATCH(J$2,Inputs!$K$4:$AJ$4,0)))+SUMPRODUCT((Inputs!$C$5:$C$140=$B25)*Inputs!$D$5:$D$140*(((Inputs!$G$5:$G$140="moeda")+(Inputs!$G$5:$G$140="acoes"))*Inputs!$B$1+((Inputs!$G$5:$G$140&lt;&gt;"moeda")*(Inputs!$G$5:$G$140&lt;&gt;"acoes")))*INDEX(Inputs!$K$5:$AJ$140,0,MATCH(J$2,Inputs!$K$4:$AJ$4,0)))+SUMPRODUCT((Inputs!$E$5:$E$140=$B25)*Inputs!$F$5:$F$140*(((Inputs!$G$5:$G$140="moeda")+(Inputs!$G$5:$G$140="acoes"))*Inputs!$B$1+((Inputs!$G$5:$G$140&lt;&gt;"moeda")*(Inputs!$G$5:$G$140&lt;&gt;"acoes")))*INDEX(Inputs!$K$5:$AJ$140,0,MATCH(J$2,Inputs!$K$4:$AJ$4,0)))))</f>
        <v>0</v>
      </c>
      <c r="K25" s="6">
        <f>IF(ISNA(MATCH(K$2,Inputs!$K$4:$AJ$4,0)),NA(),IF(SUMPRODUCT((Inputs!$A$5:$A$140=$B25)*ISNUMBER(INDEX(Inputs!$K$5:$AJ$140,0,MATCH(K$2,Inputs!$K$4:$AJ$4,0))))+SUMPRODUCT((Inputs!$C$5:$C$140=$B25)*ISNUMBER(INDEX(Inputs!$K$5:$AJ$140,0,MATCH(K$2,Inputs!$K$4:$AJ$4,0))))+SUMPRODUCT((Inputs!$E$5:$E$140=$B25)*ISNUMBER(INDEX(Inputs!$K$5:$AJ$140,0,MATCH(K$2,Inputs!$K$4:$AJ$4,0))))=0,NA(),SUMPRODUCT((Inputs!$A$5:$A$140=$B25)*Inputs!$B$5:$B$140*(((Inputs!$G$5:$G$140="moeda")+(Inputs!$G$5:$G$140="acoes"))*Inputs!$B$1+((Inputs!$G$5:$G$140&lt;&gt;"moeda")*(Inputs!$G$5:$G$140&lt;&gt;"acoes")))*INDEX(Inputs!$K$5:$AJ$140,0,MATCH(K$2,Inputs!$K$4:$AJ$4,0)))+SUMPRODUCT((Inputs!$C$5:$C$140=$B25)*Inputs!$D$5:$D$140*(((Inputs!$G$5:$G$140="moeda")+(Inputs!$G$5:$G$140="acoes"))*Inputs!$B$1+((Inputs!$G$5:$G$140&lt;&gt;"moeda")*(Inputs!$G$5:$G$140&lt;&gt;"acoes")))*INDEX(Inputs!$K$5:$AJ$140,0,MATCH(K$2,Inputs!$K$4:$AJ$4,0)))+SUMPRODUCT((Inputs!$E$5:$E$140=$B25)*Inputs!$F$5:$F$140*(((Inputs!$G$5:$G$140="moeda")+(Inputs!$G$5:$G$140="acoes"))*Inputs!$B$1+((Inputs!$G$5:$G$140&lt;&gt;"moeda")*(Inputs!$G$5:$G$140&lt;&gt;"acoes")))*INDEX(Inputs!$K$5:$AJ$140,0,MATCH(K$2,Inputs!$K$4:$AJ$4,0)))))</f>
        <v>0</v>
      </c>
      <c r="L25" s="6">
        <f>IF(ISNA(MATCH(L$2,Inputs!$K$4:$AJ$4,0)),NA(),IF(SUMPRODUCT((Inputs!$A$5:$A$140=$B25)*ISNUMBER(INDEX(Inputs!$K$5:$AJ$140,0,MATCH(L$2,Inputs!$K$4:$AJ$4,0))))+SUMPRODUCT((Inputs!$C$5:$C$140=$B25)*ISNUMBER(INDEX(Inputs!$K$5:$AJ$140,0,MATCH(L$2,Inputs!$K$4:$AJ$4,0))))+SUMPRODUCT((Inputs!$E$5:$E$140=$B25)*ISNUMBER(INDEX(Inputs!$K$5:$AJ$140,0,MATCH(L$2,Inputs!$K$4:$AJ$4,0))))=0,NA(),SUMPRODUCT((Inputs!$A$5:$A$140=$B25)*Inputs!$B$5:$B$140*(((Inputs!$G$5:$G$140="moeda")+(Inputs!$G$5:$G$140="acoes"))*Inputs!$B$1+((Inputs!$G$5:$G$140&lt;&gt;"moeda")*(Inputs!$G$5:$G$140&lt;&gt;"acoes")))*INDEX(Inputs!$K$5:$AJ$140,0,MATCH(L$2,Inputs!$K$4:$AJ$4,0)))+SUMPRODUCT((Inputs!$C$5:$C$140=$B25)*Inputs!$D$5:$D$140*(((Inputs!$G$5:$G$140="moeda")+(Inputs!$G$5:$G$140="acoes"))*Inputs!$B$1+((Inputs!$G$5:$G$140&lt;&gt;"moeda")*(Inputs!$G$5:$G$140&lt;&gt;"acoes")))*INDEX(Inputs!$K$5:$AJ$140,0,MATCH(L$2,Inputs!$K$4:$AJ$4,0)))+SUMPRODUCT((Inputs!$E$5:$E$140=$B25)*Inputs!$F$5:$F$140*(((Inputs!$G$5:$G$140="moeda")+(Inputs!$G$5:$G$140="acoes"))*Inputs!$B$1+((Inputs!$G$5:$G$140&lt;&gt;"moeda")*(Inputs!$G$5:$G$140&lt;&gt;"acoes")))*INDEX(Inputs!$K$5:$AJ$140,0,MATCH(L$2,Inputs!$K$4:$AJ$4,0)))))</f>
        <v>0</v>
      </c>
      <c r="M25" s="3">
        <f>L25</f>
        <v>0</v>
      </c>
      <c r="N25" s="6">
        <f>IF(ISNA(MATCH(N$2,Inputs!$K$4:$AJ$4,0)),NA(),IF(SUMPRODUCT((Inputs!$A$5:$A$140=$B25)*ISNUMBER(INDEX(Inputs!$K$5:$AJ$140,0,MATCH(N$2,Inputs!$K$4:$AJ$4,0))))+SUMPRODUCT((Inputs!$C$5:$C$140=$B25)*ISNUMBER(INDEX(Inputs!$K$5:$AJ$140,0,MATCH(N$2,Inputs!$K$4:$AJ$4,0))))+SUMPRODUCT((Inputs!$E$5:$E$140=$B25)*ISNUMBER(INDEX(Inputs!$K$5:$AJ$140,0,MATCH(N$2,Inputs!$K$4:$AJ$4,0))))=0,NA(),SUMPRODUCT((Inputs!$A$5:$A$140=$B25)*Inputs!$B$5:$B$140*(((Inputs!$G$5:$G$140="moeda")+(Inputs!$G$5:$G$140="acoes"))*Inputs!$B$1+((Inputs!$G$5:$G$140&lt;&gt;"moeda")*(Inputs!$G$5:$G$140&lt;&gt;"acoes")))*INDEX(Inputs!$K$5:$AJ$140,0,MATCH(N$2,Inputs!$K$4:$AJ$4,0)))+SUMPRODUCT((Inputs!$C$5:$C$140=$B25)*Inputs!$D$5:$D$140*(((Inputs!$G$5:$G$140="moeda")+(Inputs!$G$5:$G$140="acoes"))*Inputs!$B$1+((Inputs!$G$5:$G$140&lt;&gt;"moeda")*(Inputs!$G$5:$G$140&lt;&gt;"acoes")))*INDEX(Inputs!$K$5:$AJ$140,0,MATCH(N$2,Inputs!$K$4:$AJ$4,0)))+SUMPRODUCT((Inputs!$E$5:$E$140=$B25)*Inputs!$F$5:$F$140*(((Inputs!$G$5:$G$140="moeda")+(Inputs!$G$5:$G$140="acoes"))*Inputs!$B$1+((Inputs!$G$5:$G$140&lt;&gt;"moeda")*(Inputs!$G$5:$G$140&lt;&gt;"acoes")))*INDEX(Inputs!$K$5:$AJ$140,0,MATCH(N$2,Inputs!$K$4:$AJ$4,0)))))</f>
        <v>0</v>
      </c>
      <c r="O25" s="6">
        <f>IF(ISNA(MATCH(O$2,Inputs!$K$4:$AJ$4,0)),NA(),IF(SUMPRODUCT((Inputs!$A$5:$A$140=$B25)*ISNUMBER(INDEX(Inputs!$K$5:$AJ$140,0,MATCH(O$2,Inputs!$K$4:$AJ$4,0))))+SUMPRODUCT((Inputs!$C$5:$C$140=$B25)*ISNUMBER(INDEX(Inputs!$K$5:$AJ$140,0,MATCH(O$2,Inputs!$K$4:$AJ$4,0))))+SUMPRODUCT((Inputs!$E$5:$E$140=$B25)*ISNUMBER(INDEX(Inputs!$K$5:$AJ$140,0,MATCH(O$2,Inputs!$K$4:$AJ$4,0))))=0,NA(),SUMPRODUCT((Inputs!$A$5:$A$140=$B25)*Inputs!$B$5:$B$140*(((Inputs!$G$5:$G$140="moeda")+(Inputs!$G$5:$G$140="acoes"))*Inputs!$B$1+((Inputs!$G$5:$G$140&lt;&gt;"moeda")*(Inputs!$G$5:$G$140&lt;&gt;"acoes")))*INDEX(Inputs!$K$5:$AJ$140,0,MATCH(O$2,Inputs!$K$4:$AJ$4,0)))+SUMPRODUCT((Inputs!$C$5:$C$140=$B25)*Inputs!$D$5:$D$140*(((Inputs!$G$5:$G$140="moeda")+(Inputs!$G$5:$G$140="acoes"))*Inputs!$B$1+((Inputs!$G$5:$G$140&lt;&gt;"moeda")*(Inputs!$G$5:$G$140&lt;&gt;"acoes")))*INDEX(Inputs!$K$5:$AJ$140,0,MATCH(O$2,Inputs!$K$4:$AJ$4,0)))+SUMPRODUCT((Inputs!$E$5:$E$140=$B25)*Inputs!$F$5:$F$140*(((Inputs!$G$5:$G$140="moeda")+(Inputs!$G$5:$G$140="acoes"))*Inputs!$B$1+((Inputs!$G$5:$G$140&lt;&gt;"moeda")*(Inputs!$G$5:$G$140&lt;&gt;"acoes")))*INDEX(Inputs!$K$5:$AJ$140,0,MATCH(O$2,Inputs!$K$4:$AJ$4,0)))))</f>
        <v>0</v>
      </c>
      <c r="P25" s="6">
        <f>IF(ISNA(MATCH(P$2,Inputs!$K$4:$AJ$4,0)),NA(),IF(SUMPRODUCT((Inputs!$A$5:$A$140=$B25)*ISNUMBER(INDEX(Inputs!$K$5:$AJ$140,0,MATCH(P$2,Inputs!$K$4:$AJ$4,0))))+SUMPRODUCT((Inputs!$C$5:$C$140=$B25)*ISNUMBER(INDEX(Inputs!$K$5:$AJ$140,0,MATCH(P$2,Inputs!$K$4:$AJ$4,0))))+SUMPRODUCT((Inputs!$E$5:$E$140=$B25)*ISNUMBER(INDEX(Inputs!$K$5:$AJ$140,0,MATCH(P$2,Inputs!$K$4:$AJ$4,0))))=0,NA(),SUMPRODUCT((Inputs!$A$5:$A$140=$B25)*Inputs!$B$5:$B$140*(((Inputs!$G$5:$G$140="moeda")+(Inputs!$G$5:$G$140="acoes"))*Inputs!$B$1+((Inputs!$G$5:$G$140&lt;&gt;"moeda")*(Inputs!$G$5:$G$140&lt;&gt;"acoes")))*INDEX(Inputs!$K$5:$AJ$140,0,MATCH(P$2,Inputs!$K$4:$AJ$4,0)))+SUMPRODUCT((Inputs!$C$5:$C$140=$B25)*Inputs!$D$5:$D$140*(((Inputs!$G$5:$G$140="moeda")+(Inputs!$G$5:$G$140="acoes"))*Inputs!$B$1+((Inputs!$G$5:$G$140&lt;&gt;"moeda")*(Inputs!$G$5:$G$140&lt;&gt;"acoes")))*INDEX(Inputs!$K$5:$AJ$140,0,MATCH(P$2,Inputs!$K$4:$AJ$4,0)))+SUMPRODUCT((Inputs!$E$5:$E$140=$B25)*Inputs!$F$5:$F$140*(((Inputs!$G$5:$G$140="moeda")+(Inputs!$G$5:$G$140="acoes"))*Inputs!$B$1+((Inputs!$G$5:$G$140&lt;&gt;"moeda")*(Inputs!$G$5:$G$140&lt;&gt;"acoes")))*INDEX(Inputs!$K$5:$AJ$140,0,MATCH(P$2,Inputs!$K$4:$AJ$4,0)))))</f>
        <v>0</v>
      </c>
      <c r="Q25" s="6">
        <f>IF(ISNA(MATCH(Q$2,Inputs!$K$4:$AJ$4,0)),NA(),IF(SUMPRODUCT((Inputs!$A$5:$A$140=$B25)*ISNUMBER(INDEX(Inputs!$K$5:$AJ$140,0,MATCH(Q$2,Inputs!$K$4:$AJ$4,0))))+SUMPRODUCT((Inputs!$C$5:$C$140=$B25)*ISNUMBER(INDEX(Inputs!$K$5:$AJ$140,0,MATCH(Q$2,Inputs!$K$4:$AJ$4,0))))+SUMPRODUCT((Inputs!$E$5:$E$140=$B25)*ISNUMBER(INDEX(Inputs!$K$5:$AJ$140,0,MATCH(Q$2,Inputs!$K$4:$AJ$4,0))))=0,NA(),SUMPRODUCT((Inputs!$A$5:$A$140=$B25)*Inputs!$B$5:$B$140*(((Inputs!$G$5:$G$140="moeda")+(Inputs!$G$5:$G$140="acoes"))*Inputs!$B$1+((Inputs!$G$5:$G$140&lt;&gt;"moeda")*(Inputs!$G$5:$G$140&lt;&gt;"acoes")))*INDEX(Inputs!$K$5:$AJ$140,0,MATCH(Q$2,Inputs!$K$4:$AJ$4,0)))+SUMPRODUCT((Inputs!$C$5:$C$140=$B25)*Inputs!$D$5:$D$140*(((Inputs!$G$5:$G$140="moeda")+(Inputs!$G$5:$G$140="acoes"))*Inputs!$B$1+((Inputs!$G$5:$G$140&lt;&gt;"moeda")*(Inputs!$G$5:$G$140&lt;&gt;"acoes")))*INDEX(Inputs!$K$5:$AJ$140,0,MATCH(Q$2,Inputs!$K$4:$AJ$4,0)))+SUMPRODUCT((Inputs!$E$5:$E$140=$B25)*Inputs!$F$5:$F$140*(((Inputs!$G$5:$G$140="moeda")+(Inputs!$G$5:$G$140="acoes"))*Inputs!$B$1+((Inputs!$G$5:$G$140&lt;&gt;"moeda")*(Inputs!$G$5:$G$140&lt;&gt;"acoes")))*INDEX(Inputs!$K$5:$AJ$140,0,MATCH(Q$2,Inputs!$K$4:$AJ$4,0)))))</f>
        <v>0</v>
      </c>
      <c r="R25" s="3">
        <f>Q25</f>
        <v>0</v>
      </c>
      <c r="S25" s="6">
        <f>IF(ISNA(MATCH(S$2,Inputs!$K$4:$AJ$4,0)),NA(),IF(SUMPRODUCT((Inputs!$A$5:$A$140=$B25)*ISNUMBER(INDEX(Inputs!$K$5:$AJ$140,0,MATCH(S$2,Inputs!$K$4:$AJ$4,0))))+SUMPRODUCT((Inputs!$C$5:$C$140=$B25)*ISNUMBER(INDEX(Inputs!$K$5:$AJ$140,0,MATCH(S$2,Inputs!$K$4:$AJ$4,0))))+SUMPRODUCT((Inputs!$E$5:$E$140=$B25)*ISNUMBER(INDEX(Inputs!$K$5:$AJ$140,0,MATCH(S$2,Inputs!$K$4:$AJ$4,0))))=0,NA(),SUMPRODUCT((Inputs!$A$5:$A$140=$B25)*Inputs!$B$5:$B$140*(((Inputs!$G$5:$G$140="moeda")+(Inputs!$G$5:$G$140="acoes"))*Inputs!$B$1+((Inputs!$G$5:$G$140&lt;&gt;"moeda")*(Inputs!$G$5:$G$140&lt;&gt;"acoes")))*INDEX(Inputs!$K$5:$AJ$140,0,MATCH(S$2,Inputs!$K$4:$AJ$4,0)))+SUMPRODUCT((Inputs!$C$5:$C$140=$B25)*Inputs!$D$5:$D$140*(((Inputs!$G$5:$G$140="moeda")+(Inputs!$G$5:$G$140="acoes"))*Inputs!$B$1+((Inputs!$G$5:$G$140&lt;&gt;"moeda")*(Inputs!$G$5:$G$140&lt;&gt;"acoes")))*INDEX(Inputs!$K$5:$AJ$140,0,MATCH(S$2,Inputs!$K$4:$AJ$4,0)))+SUMPRODUCT((Inputs!$E$5:$E$140=$B25)*Inputs!$F$5:$F$140*(((Inputs!$G$5:$G$140="moeda")+(Inputs!$G$5:$G$140="acoes"))*Inputs!$B$1+((Inputs!$G$5:$G$140&lt;&gt;"moeda")*(Inputs!$G$5:$G$140&lt;&gt;"acoes")))*INDEX(Inputs!$K$5:$AJ$140,0,MATCH(S$2,Inputs!$K$4:$AJ$4,0)))))</f>
        <v>0</v>
      </c>
      <c r="T25" s="6">
        <f>IF(ISNA(MATCH(T$2,Inputs!$K$4:$AJ$4,0)),NA(),IF(SUMPRODUCT((Inputs!$A$5:$A$140=$B25)*ISNUMBER(INDEX(Inputs!$K$5:$AJ$140,0,MATCH(T$2,Inputs!$K$4:$AJ$4,0))))+SUMPRODUCT((Inputs!$C$5:$C$140=$B25)*ISNUMBER(INDEX(Inputs!$K$5:$AJ$140,0,MATCH(T$2,Inputs!$K$4:$AJ$4,0))))+SUMPRODUCT((Inputs!$E$5:$E$140=$B25)*ISNUMBER(INDEX(Inputs!$K$5:$AJ$140,0,MATCH(T$2,Inputs!$K$4:$AJ$4,0))))=0,NA(),SUMPRODUCT((Inputs!$A$5:$A$140=$B25)*Inputs!$B$5:$B$140*(((Inputs!$G$5:$G$140="moeda")+(Inputs!$G$5:$G$140="acoes"))*Inputs!$B$1+((Inputs!$G$5:$G$140&lt;&gt;"moeda")*(Inputs!$G$5:$G$140&lt;&gt;"acoes")))*INDEX(Inputs!$K$5:$AJ$140,0,MATCH(T$2,Inputs!$K$4:$AJ$4,0)))+SUMPRODUCT((Inputs!$C$5:$C$140=$B25)*Inputs!$D$5:$D$140*(((Inputs!$G$5:$G$140="moeda")+(Inputs!$G$5:$G$140="acoes"))*Inputs!$B$1+((Inputs!$G$5:$G$140&lt;&gt;"moeda")*(Inputs!$G$5:$G$140&lt;&gt;"acoes")))*INDEX(Inputs!$K$5:$AJ$140,0,MATCH(T$2,Inputs!$K$4:$AJ$4,0)))+SUMPRODUCT((Inputs!$E$5:$E$140=$B25)*Inputs!$F$5:$F$140*(((Inputs!$G$5:$G$140="moeda")+(Inputs!$G$5:$G$140="acoes"))*Inputs!$B$1+((Inputs!$G$5:$G$140&lt;&gt;"moeda")*(Inputs!$G$5:$G$140&lt;&gt;"acoes")))*INDEX(Inputs!$K$5:$AJ$140,0,MATCH(T$2,Inputs!$K$4:$AJ$4,0)))))</f>
        <v>0</v>
      </c>
      <c r="U25" s="6">
        <f>IF(ISNA(MATCH(U$2,Inputs!$K$4:$AJ$4,0)),NA(),IF(SUMPRODUCT((Inputs!$A$5:$A$140=$B25)*ISNUMBER(INDEX(Inputs!$K$5:$AJ$140,0,MATCH(U$2,Inputs!$K$4:$AJ$4,0))))+SUMPRODUCT((Inputs!$C$5:$C$140=$B25)*ISNUMBER(INDEX(Inputs!$K$5:$AJ$140,0,MATCH(U$2,Inputs!$K$4:$AJ$4,0))))+SUMPRODUCT((Inputs!$E$5:$E$140=$B25)*ISNUMBER(INDEX(Inputs!$K$5:$AJ$140,0,MATCH(U$2,Inputs!$K$4:$AJ$4,0))))=0,NA(),SUMPRODUCT((Inputs!$A$5:$A$140=$B25)*Inputs!$B$5:$B$140*(((Inputs!$G$5:$G$140="moeda")+(Inputs!$G$5:$G$140="acoes"))*Inputs!$B$1+((Inputs!$G$5:$G$140&lt;&gt;"moeda")*(Inputs!$G$5:$G$140&lt;&gt;"acoes")))*INDEX(Inputs!$K$5:$AJ$140,0,MATCH(U$2,Inputs!$K$4:$AJ$4,0)))+SUMPRODUCT((Inputs!$C$5:$C$140=$B25)*Inputs!$D$5:$D$140*(((Inputs!$G$5:$G$140="moeda")+(Inputs!$G$5:$G$140="acoes"))*Inputs!$B$1+((Inputs!$G$5:$G$140&lt;&gt;"moeda")*(Inputs!$G$5:$G$140&lt;&gt;"acoes")))*INDEX(Inputs!$K$5:$AJ$140,0,MATCH(U$2,Inputs!$K$4:$AJ$4,0)))+SUMPRODUCT((Inputs!$E$5:$E$140=$B25)*Inputs!$F$5:$F$140*(((Inputs!$G$5:$G$140="moeda")+(Inputs!$G$5:$G$140="acoes"))*Inputs!$B$1+((Inputs!$G$5:$G$140&lt;&gt;"moeda")*(Inputs!$G$5:$G$140&lt;&gt;"acoes")))*INDEX(Inputs!$K$5:$AJ$140,0,MATCH(U$2,Inputs!$K$4:$AJ$4,0)))))</f>
        <v>0</v>
      </c>
      <c r="V25" s="6">
        <f>IF(ISNA(MATCH(V$2,Inputs!$K$4:$AJ$4,0)),NA(),IF(SUMPRODUCT((Inputs!$A$5:$A$140=$B25)*ISNUMBER(INDEX(Inputs!$K$5:$AJ$140,0,MATCH(V$2,Inputs!$K$4:$AJ$4,0))))+SUMPRODUCT((Inputs!$C$5:$C$140=$B25)*ISNUMBER(INDEX(Inputs!$K$5:$AJ$140,0,MATCH(V$2,Inputs!$K$4:$AJ$4,0))))+SUMPRODUCT((Inputs!$E$5:$E$140=$B25)*ISNUMBER(INDEX(Inputs!$K$5:$AJ$140,0,MATCH(V$2,Inputs!$K$4:$AJ$4,0))))=0,NA(),SUMPRODUCT((Inputs!$A$5:$A$140=$B25)*Inputs!$B$5:$B$140*(((Inputs!$G$5:$G$140="moeda")+(Inputs!$G$5:$G$140="acoes"))*Inputs!$B$1+((Inputs!$G$5:$G$140&lt;&gt;"moeda")*(Inputs!$G$5:$G$140&lt;&gt;"acoes")))*INDEX(Inputs!$K$5:$AJ$140,0,MATCH(V$2,Inputs!$K$4:$AJ$4,0)))+SUMPRODUCT((Inputs!$C$5:$C$140=$B25)*Inputs!$D$5:$D$140*(((Inputs!$G$5:$G$140="moeda")+(Inputs!$G$5:$G$140="acoes"))*Inputs!$B$1+((Inputs!$G$5:$G$140&lt;&gt;"moeda")*(Inputs!$G$5:$G$140&lt;&gt;"acoes")))*INDEX(Inputs!$K$5:$AJ$140,0,MATCH(V$2,Inputs!$K$4:$AJ$4,0)))+SUMPRODUCT((Inputs!$E$5:$E$140=$B25)*Inputs!$F$5:$F$140*(((Inputs!$G$5:$G$140="moeda")+(Inputs!$G$5:$G$140="acoes"))*Inputs!$B$1+((Inputs!$G$5:$G$140&lt;&gt;"moeda")*(Inputs!$G$5:$G$140&lt;&gt;"acoes")))*INDEX(Inputs!$K$5:$AJ$140,0,MATCH(V$2,Inputs!$K$4:$AJ$4,0)))))</f>
        <v>0</v>
      </c>
      <c r="W25" s="3">
        <f>V25</f>
        <v>0</v>
      </c>
      <c r="X25" s="6">
        <f>IF(ISNA(MATCH(X$2,Inputs!$K$4:$AJ$4,0)),NA(),IF(SUMPRODUCT((Inputs!$A$5:$A$140=$B25)*ISNUMBER(INDEX(Inputs!$K$5:$AJ$140,0,MATCH(X$2,Inputs!$K$4:$AJ$4,0))))+SUMPRODUCT((Inputs!$C$5:$C$140=$B25)*ISNUMBER(INDEX(Inputs!$K$5:$AJ$140,0,MATCH(X$2,Inputs!$K$4:$AJ$4,0))))+SUMPRODUCT((Inputs!$E$5:$E$140=$B25)*ISNUMBER(INDEX(Inputs!$K$5:$AJ$140,0,MATCH(X$2,Inputs!$K$4:$AJ$4,0))))=0,NA(),SUMPRODUCT((Inputs!$A$5:$A$140=$B25)*Inputs!$B$5:$B$140*(((Inputs!$G$5:$G$140="moeda")+(Inputs!$G$5:$G$140="acoes"))*Inputs!$B$1+((Inputs!$G$5:$G$140&lt;&gt;"moeda")*(Inputs!$G$5:$G$140&lt;&gt;"acoes")))*INDEX(Inputs!$K$5:$AJ$140,0,MATCH(X$2,Inputs!$K$4:$AJ$4,0)))+SUMPRODUCT((Inputs!$C$5:$C$140=$B25)*Inputs!$D$5:$D$140*(((Inputs!$G$5:$G$140="moeda")+(Inputs!$G$5:$G$140="acoes"))*Inputs!$B$1+((Inputs!$G$5:$G$140&lt;&gt;"moeda")*(Inputs!$G$5:$G$140&lt;&gt;"acoes")))*INDEX(Inputs!$K$5:$AJ$140,0,MATCH(X$2,Inputs!$K$4:$AJ$4,0)))+SUMPRODUCT((Inputs!$E$5:$E$140=$B25)*Inputs!$F$5:$F$140*(((Inputs!$G$5:$G$140="moeda")+(Inputs!$G$5:$G$140="acoes"))*Inputs!$B$1+((Inputs!$G$5:$G$140&lt;&gt;"moeda")*(Inputs!$G$5:$G$140&lt;&gt;"acoes")))*INDEX(Inputs!$K$5:$AJ$140,0,MATCH(X$2,Inputs!$K$4:$AJ$4,0)))))</f>
        <v>0</v>
      </c>
      <c r="Y25" s="6">
        <f>IF(ISNA(MATCH(Y$2,Inputs!$K$4:$AJ$4,0)),NA(),IF(SUMPRODUCT((Inputs!$A$5:$A$140=$B25)*ISNUMBER(INDEX(Inputs!$K$5:$AJ$140,0,MATCH(Y$2,Inputs!$K$4:$AJ$4,0))))+SUMPRODUCT((Inputs!$C$5:$C$140=$B25)*ISNUMBER(INDEX(Inputs!$K$5:$AJ$140,0,MATCH(Y$2,Inputs!$K$4:$AJ$4,0))))+SUMPRODUCT((Inputs!$E$5:$E$140=$B25)*ISNUMBER(INDEX(Inputs!$K$5:$AJ$140,0,MATCH(Y$2,Inputs!$K$4:$AJ$4,0))))=0,NA(),SUMPRODUCT((Inputs!$A$5:$A$140=$B25)*Inputs!$B$5:$B$140*(((Inputs!$G$5:$G$140="moeda")+(Inputs!$G$5:$G$140="acoes"))*Inputs!$B$1+((Inputs!$G$5:$G$140&lt;&gt;"moeda")*(Inputs!$G$5:$G$140&lt;&gt;"acoes")))*INDEX(Inputs!$K$5:$AJ$140,0,MATCH(Y$2,Inputs!$K$4:$AJ$4,0)))+SUMPRODUCT((Inputs!$C$5:$C$140=$B25)*Inputs!$D$5:$D$140*(((Inputs!$G$5:$G$140="moeda")+(Inputs!$G$5:$G$140="acoes"))*Inputs!$B$1+((Inputs!$G$5:$G$140&lt;&gt;"moeda")*(Inputs!$G$5:$G$140&lt;&gt;"acoes")))*INDEX(Inputs!$K$5:$AJ$140,0,MATCH(Y$2,Inputs!$K$4:$AJ$4,0)))+SUMPRODUCT((Inputs!$E$5:$E$140=$B25)*Inputs!$F$5:$F$140*(((Inputs!$G$5:$G$140="moeda")+(Inputs!$G$5:$G$140="acoes"))*Inputs!$B$1+((Inputs!$G$5:$G$140&lt;&gt;"moeda")*(Inputs!$G$5:$G$140&lt;&gt;"acoes")))*INDEX(Inputs!$K$5:$AJ$140,0,MATCH(Y$2,Inputs!$K$4:$AJ$4,0)))))</f>
        <v>0</v>
      </c>
      <c r="Z25" s="6">
        <f>IF(ISNA(MATCH(Z$2,Inputs!$K$4:$AJ$4,0)),NA(),IF(SUMPRODUCT((Inputs!$A$5:$A$140=$B25)*ISNUMBER(INDEX(Inputs!$K$5:$AJ$140,0,MATCH(Z$2,Inputs!$K$4:$AJ$4,0))))+SUMPRODUCT((Inputs!$C$5:$C$140=$B25)*ISNUMBER(INDEX(Inputs!$K$5:$AJ$140,0,MATCH(Z$2,Inputs!$K$4:$AJ$4,0))))+SUMPRODUCT((Inputs!$E$5:$E$140=$B25)*ISNUMBER(INDEX(Inputs!$K$5:$AJ$140,0,MATCH(Z$2,Inputs!$K$4:$AJ$4,0))))=0,NA(),SUMPRODUCT((Inputs!$A$5:$A$140=$B25)*Inputs!$B$5:$B$140*(((Inputs!$G$5:$G$140="moeda")+(Inputs!$G$5:$G$140="acoes"))*Inputs!$B$1+((Inputs!$G$5:$G$140&lt;&gt;"moeda")*(Inputs!$G$5:$G$140&lt;&gt;"acoes")))*INDEX(Inputs!$K$5:$AJ$140,0,MATCH(Z$2,Inputs!$K$4:$AJ$4,0)))+SUMPRODUCT((Inputs!$C$5:$C$140=$B25)*Inputs!$D$5:$D$140*(((Inputs!$G$5:$G$140="moeda")+(Inputs!$G$5:$G$140="acoes"))*Inputs!$B$1+((Inputs!$G$5:$G$140&lt;&gt;"moeda")*(Inputs!$G$5:$G$140&lt;&gt;"acoes")))*INDEX(Inputs!$K$5:$AJ$140,0,MATCH(Z$2,Inputs!$K$4:$AJ$4,0)))+SUMPRODUCT((Inputs!$E$5:$E$140=$B25)*Inputs!$F$5:$F$140*(((Inputs!$G$5:$G$140="moeda")+(Inputs!$G$5:$G$140="acoes"))*Inputs!$B$1+((Inputs!$G$5:$G$140&lt;&gt;"moeda")*(Inputs!$G$5:$G$140&lt;&gt;"acoes")))*INDEX(Inputs!$K$5:$AJ$140,0,MATCH(Z$2,Inputs!$K$4:$AJ$4,0)))))</f>
        <v>0</v>
      </c>
      <c r="AA25" s="6">
        <f>IF(ISNA(MATCH(AA$2,Inputs!$K$4:$AJ$4,0)),NA(),IF(SUMPRODUCT((Inputs!$A$5:$A$140=$B25)*ISNUMBER(INDEX(Inputs!$K$5:$AJ$140,0,MATCH(AA$2,Inputs!$K$4:$AJ$4,0))))+SUMPRODUCT((Inputs!$C$5:$C$140=$B25)*ISNUMBER(INDEX(Inputs!$K$5:$AJ$140,0,MATCH(AA$2,Inputs!$K$4:$AJ$4,0))))+SUMPRODUCT((Inputs!$E$5:$E$140=$B25)*ISNUMBER(INDEX(Inputs!$K$5:$AJ$140,0,MATCH(AA$2,Inputs!$K$4:$AJ$4,0))))=0,NA(),SUMPRODUCT((Inputs!$A$5:$A$140=$B25)*Inputs!$B$5:$B$140*(((Inputs!$G$5:$G$140="moeda")+(Inputs!$G$5:$G$140="acoes"))*Inputs!$B$1+((Inputs!$G$5:$G$140&lt;&gt;"moeda")*(Inputs!$G$5:$G$140&lt;&gt;"acoes")))*INDEX(Inputs!$K$5:$AJ$140,0,MATCH(AA$2,Inputs!$K$4:$AJ$4,0)))+SUMPRODUCT((Inputs!$C$5:$C$140=$B25)*Inputs!$D$5:$D$140*(((Inputs!$G$5:$G$140="moeda")+(Inputs!$G$5:$G$140="acoes"))*Inputs!$B$1+((Inputs!$G$5:$G$140&lt;&gt;"moeda")*(Inputs!$G$5:$G$140&lt;&gt;"acoes")))*INDEX(Inputs!$K$5:$AJ$140,0,MATCH(AA$2,Inputs!$K$4:$AJ$4,0)))+SUMPRODUCT((Inputs!$E$5:$E$140=$B25)*Inputs!$F$5:$F$140*(((Inputs!$G$5:$G$140="moeda")+(Inputs!$G$5:$G$140="acoes"))*Inputs!$B$1+((Inputs!$G$5:$G$140&lt;&gt;"moeda")*(Inputs!$G$5:$G$140&lt;&gt;"acoes")))*INDEX(Inputs!$K$5:$AJ$140,0,MATCH(AA$2,Inputs!$K$4:$AJ$4,0)))))</f>
        <v>0</v>
      </c>
      <c r="AB25" s="3">
        <f>AA25</f>
        <v>0</v>
      </c>
      <c r="AC25" s="6">
        <f>IF(ISNA(MATCH(AC$2,Inputs!$K$4:$AJ$4,0)),NA(),IF(SUMPRODUCT((Inputs!$A$5:$A$140=$B25)*ISNUMBER(INDEX(Inputs!$K$5:$AJ$140,0,MATCH(AC$2,Inputs!$K$4:$AJ$4,0))))+SUMPRODUCT((Inputs!$C$5:$C$140=$B25)*ISNUMBER(INDEX(Inputs!$K$5:$AJ$140,0,MATCH(AC$2,Inputs!$K$4:$AJ$4,0))))+SUMPRODUCT((Inputs!$E$5:$E$140=$B25)*ISNUMBER(INDEX(Inputs!$K$5:$AJ$140,0,MATCH(AC$2,Inputs!$K$4:$AJ$4,0))))=0,NA(),SUMPRODUCT((Inputs!$A$5:$A$140=$B25)*Inputs!$B$5:$B$140*(((Inputs!$G$5:$G$140="moeda")+(Inputs!$G$5:$G$140="acoes"))*Inputs!$B$1+((Inputs!$G$5:$G$140&lt;&gt;"moeda")*(Inputs!$G$5:$G$140&lt;&gt;"acoes")))*INDEX(Inputs!$K$5:$AJ$140,0,MATCH(AC$2,Inputs!$K$4:$AJ$4,0)))+SUMPRODUCT((Inputs!$C$5:$C$140=$B25)*Inputs!$D$5:$D$140*(((Inputs!$G$5:$G$140="moeda")+(Inputs!$G$5:$G$140="acoes"))*Inputs!$B$1+((Inputs!$G$5:$G$140&lt;&gt;"moeda")*(Inputs!$G$5:$G$140&lt;&gt;"acoes")))*INDEX(Inputs!$K$5:$AJ$140,0,MATCH(AC$2,Inputs!$K$4:$AJ$4,0)))+SUMPRODUCT((Inputs!$E$5:$E$140=$B25)*Inputs!$F$5:$F$140*(((Inputs!$G$5:$G$140="moeda")+(Inputs!$G$5:$G$140="acoes"))*Inputs!$B$1+((Inputs!$G$5:$G$140&lt;&gt;"moeda")*(Inputs!$G$5:$G$140&lt;&gt;"acoes")))*INDEX(Inputs!$K$5:$AJ$140,0,MATCH(AC$2,Inputs!$K$4:$AJ$4,0)))))</f>
        <v>0</v>
      </c>
      <c r="AD25" s="6">
        <f>IF(ISNA(MATCH(AD$2,Inputs!$K$4:$AJ$4,0)),NA(),IF(SUMPRODUCT((Inputs!$A$5:$A$140=$B25)*ISNUMBER(INDEX(Inputs!$K$5:$AJ$140,0,MATCH(AD$2,Inputs!$K$4:$AJ$4,0))))+SUMPRODUCT((Inputs!$C$5:$C$140=$B25)*ISNUMBER(INDEX(Inputs!$K$5:$AJ$140,0,MATCH(AD$2,Inputs!$K$4:$AJ$4,0))))+SUMPRODUCT((Inputs!$E$5:$E$140=$B25)*ISNUMBER(INDEX(Inputs!$K$5:$AJ$140,0,MATCH(AD$2,Inputs!$K$4:$AJ$4,0))))=0,NA(),SUMPRODUCT((Inputs!$A$5:$A$140=$B25)*Inputs!$B$5:$B$140*(((Inputs!$G$5:$G$140="moeda")+(Inputs!$G$5:$G$140="acoes"))*Inputs!$B$1+((Inputs!$G$5:$G$140&lt;&gt;"moeda")*(Inputs!$G$5:$G$140&lt;&gt;"acoes")))*INDEX(Inputs!$K$5:$AJ$140,0,MATCH(AD$2,Inputs!$K$4:$AJ$4,0)))+SUMPRODUCT((Inputs!$C$5:$C$140=$B25)*Inputs!$D$5:$D$140*(((Inputs!$G$5:$G$140="moeda")+(Inputs!$G$5:$G$140="acoes"))*Inputs!$B$1+((Inputs!$G$5:$G$140&lt;&gt;"moeda")*(Inputs!$G$5:$G$140&lt;&gt;"acoes")))*INDEX(Inputs!$K$5:$AJ$140,0,MATCH(AD$2,Inputs!$K$4:$AJ$4,0)))+SUMPRODUCT((Inputs!$E$5:$E$140=$B25)*Inputs!$F$5:$F$140*(((Inputs!$G$5:$G$140="moeda")+(Inputs!$G$5:$G$140="acoes"))*Inputs!$B$1+((Inputs!$G$5:$G$140&lt;&gt;"moeda")*(Inputs!$G$5:$G$140&lt;&gt;"acoes")))*INDEX(Inputs!$K$5:$AJ$140,0,MATCH(AD$2,Inputs!$K$4:$AJ$4,0)))))</f>
        <v>0</v>
      </c>
      <c r="AE25" s="6" t="e">
        <f>IF(ISNA(MATCH(AE$2,Inputs!$K$4:$AJ$4,0)),NA(),IF(SUMPRODUCT((Inputs!$A$5:$A$140=$B25)*ISNUMBER(INDEX(Inputs!$K$5:$AJ$140,0,MATCH(AE$2,Inputs!$K$4:$AJ$4,0))))+SUMPRODUCT((Inputs!$C$5:$C$140=$B25)*ISNUMBER(INDEX(Inputs!$K$5:$AJ$140,0,MATCH(AE$2,Inputs!$K$4:$AJ$4,0))))+SUMPRODUCT((Inputs!$E$5:$E$140=$B25)*ISNUMBER(INDEX(Inputs!$K$5:$AJ$140,0,MATCH(AE$2,Inputs!$K$4:$AJ$4,0))))=0,NA(),SUMPRODUCT((Inputs!$A$5:$A$140=$B25)*Inputs!$B$5:$B$140*(((Inputs!$G$5:$G$140="moeda")+(Inputs!$G$5:$G$140="acoes"))*Inputs!$B$1+((Inputs!$G$5:$G$140&lt;&gt;"moeda")*(Inputs!$G$5:$G$140&lt;&gt;"acoes")))*INDEX(Inputs!$K$5:$AJ$140,0,MATCH(AE$2,Inputs!$K$4:$AJ$4,0)))+SUMPRODUCT((Inputs!$C$5:$C$140=$B25)*Inputs!$D$5:$D$140*(((Inputs!$G$5:$G$140="moeda")+(Inputs!$G$5:$G$140="acoes"))*Inputs!$B$1+((Inputs!$G$5:$G$140&lt;&gt;"moeda")*(Inputs!$G$5:$G$140&lt;&gt;"acoes")))*INDEX(Inputs!$K$5:$AJ$140,0,MATCH(AE$2,Inputs!$K$4:$AJ$4,0)))+SUMPRODUCT((Inputs!$E$5:$E$140=$B25)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5" s="6" t="e">
        <f>IF(ISNA(MATCH(AF$2,Inputs!$K$4:$AJ$4,0)),NA(),IF(SUMPRODUCT((Inputs!$A$5:$A$140=$B25)*ISNUMBER(INDEX(Inputs!$K$5:$AJ$140,0,MATCH(AF$2,Inputs!$K$4:$AJ$4,0))))+SUMPRODUCT((Inputs!$C$5:$C$140=$B25)*ISNUMBER(INDEX(Inputs!$K$5:$AJ$140,0,MATCH(AF$2,Inputs!$K$4:$AJ$4,0))))+SUMPRODUCT((Inputs!$E$5:$E$140=$B25)*ISNUMBER(INDEX(Inputs!$K$5:$AJ$140,0,MATCH(AF$2,Inputs!$K$4:$AJ$4,0))))=0,NA(),SUMPRODUCT((Inputs!$A$5:$A$140=$B25)*Inputs!$B$5:$B$140*(((Inputs!$G$5:$G$140="moeda")+(Inputs!$G$5:$G$140="acoes"))*Inputs!$B$1+((Inputs!$G$5:$G$140&lt;&gt;"moeda")*(Inputs!$G$5:$G$140&lt;&gt;"acoes")))*INDEX(Inputs!$K$5:$AJ$140,0,MATCH(AF$2,Inputs!$K$4:$AJ$4,0)))+SUMPRODUCT((Inputs!$C$5:$C$140=$B25)*Inputs!$D$5:$D$140*(((Inputs!$G$5:$G$140="moeda")+(Inputs!$G$5:$G$140="acoes"))*Inputs!$B$1+((Inputs!$G$5:$G$140&lt;&gt;"moeda")*(Inputs!$G$5:$G$140&lt;&gt;"acoes")))*INDEX(Inputs!$K$5:$AJ$140,0,MATCH(AF$2,Inputs!$K$4:$AJ$4,0)))+SUMPRODUCT((Inputs!$E$5:$E$140=$B25)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5" s="3" t="e">
        <f>AF25</f>
        <v>#N/A</v>
      </c>
      <c r="AH25" s="6">
        <f>IF(ISNA(MATCH(AH$2,Inputs!$K$4:$AJ$4,0)),NA(),IF(SUMPRODUCT((Inputs!$A$5:$A$140=$B25)*ISNUMBER(INDEX(Inputs!$K$5:$AJ$140,0,MATCH(AH$2,Inputs!$K$4:$AJ$4,0))))+SUMPRODUCT((Inputs!$C$5:$C$140=$B25)*ISNUMBER(INDEX(Inputs!$K$5:$AJ$140,0,MATCH(AH$2,Inputs!$K$4:$AJ$4,0))))+SUMPRODUCT((Inputs!$E$5:$E$140=$B25)*ISNUMBER(INDEX(Inputs!$K$5:$AJ$140,0,MATCH(AH$2,Inputs!$K$4:$AJ$4,0))))=0,NA(),SUMPRODUCT((Inputs!$A$5:$A$140=$B25)*Inputs!$B$5:$B$140*(((Inputs!$G$5:$G$140="moeda")+(Inputs!$G$5:$G$140="acoes"))*Inputs!$B$1+((Inputs!$G$5:$G$140&lt;&gt;"moeda")*(Inputs!$G$5:$G$140&lt;&gt;"acoes")))*INDEX(Inputs!$K$5:$AJ$140,0,MATCH(AH$2,Inputs!$K$4:$AJ$4,0)))+SUMPRODUCT((Inputs!$C$5:$C$140=$B25)*Inputs!$D$5:$D$140*(((Inputs!$G$5:$G$140="moeda")+(Inputs!$G$5:$G$140="acoes"))*Inputs!$B$1+((Inputs!$G$5:$G$140&lt;&gt;"moeda")*(Inputs!$G$5:$G$140&lt;&gt;"acoes")))*INDEX(Inputs!$K$5:$AJ$140,0,MATCH(AH$2,Inputs!$K$4:$AJ$4,0)))+SUMPRODUCT((Inputs!$E$5:$E$140=$B25)*Inputs!$F$5:$F$140*(((Inputs!$G$5:$G$140="moeda")+(Inputs!$G$5:$G$140="acoes"))*Inputs!$B$1+((Inputs!$G$5:$G$140&lt;&gt;"moeda")*(Inputs!$G$5:$G$140&lt;&gt;"acoes")))*INDEX(Inputs!$K$5:$AJ$140,0,MATCH(AH$2,Inputs!$K$4:$AJ$4,0)))))</f>
        <v>0</v>
      </c>
      <c r="AI25" s="6">
        <f>IF(ISNA(MATCH(AI$2,Inputs!$K$4:$AJ$4,0)),NA(),IF(SUMPRODUCT((Inputs!$A$5:$A$140=$B25)*ISNUMBER(INDEX(Inputs!$K$5:$AJ$140,0,MATCH(AI$2,Inputs!$K$4:$AJ$4,0))))+SUMPRODUCT((Inputs!$C$5:$C$140=$B25)*ISNUMBER(INDEX(Inputs!$K$5:$AJ$140,0,MATCH(AI$2,Inputs!$K$4:$AJ$4,0))))+SUMPRODUCT((Inputs!$E$5:$E$140=$B25)*ISNUMBER(INDEX(Inputs!$K$5:$AJ$140,0,MATCH(AI$2,Inputs!$K$4:$AJ$4,0))))=0,NA(),SUMPRODUCT((Inputs!$A$5:$A$140=$B25)*Inputs!$B$5:$B$140*(((Inputs!$G$5:$G$140="moeda")+(Inputs!$G$5:$G$140="acoes"))*Inputs!$B$1+((Inputs!$G$5:$G$140&lt;&gt;"moeda")*(Inputs!$G$5:$G$140&lt;&gt;"acoes")))*INDEX(Inputs!$K$5:$AJ$140,0,MATCH(AI$2,Inputs!$K$4:$AJ$4,0)))+SUMPRODUCT((Inputs!$C$5:$C$140=$B25)*Inputs!$D$5:$D$140*(((Inputs!$G$5:$G$140="moeda")+(Inputs!$G$5:$G$140="acoes"))*Inputs!$B$1+((Inputs!$G$5:$G$140&lt;&gt;"moeda")*(Inputs!$G$5:$G$140&lt;&gt;"acoes")))*INDEX(Inputs!$K$5:$AJ$140,0,MATCH(AI$2,Inputs!$K$4:$AJ$4,0)))+SUMPRODUCT((Inputs!$E$5:$E$140=$B25)*Inputs!$F$5:$F$140*(((Inputs!$G$5:$G$140="moeda")+(Inputs!$G$5:$G$140="acoes"))*Inputs!$B$1+((Inputs!$G$5:$G$140&lt;&gt;"moeda")*(Inputs!$G$5:$G$140&lt;&gt;"acoes")))*INDEX(Inputs!$K$5:$AJ$140,0,MATCH(AI$2,Inputs!$K$4:$AJ$4,0)))))</f>
        <v>0</v>
      </c>
      <c r="AJ25" s="6">
        <f>IF(ISNA(MATCH(AJ$2,Inputs!$K$4:$AJ$4,0)),NA(),IF(SUMPRODUCT((Inputs!$A$5:$A$140=$B25)*ISNUMBER(INDEX(Inputs!$K$5:$AJ$140,0,MATCH(AJ$2,Inputs!$K$4:$AJ$4,0))))+SUMPRODUCT((Inputs!$C$5:$C$140=$B25)*ISNUMBER(INDEX(Inputs!$K$5:$AJ$140,0,MATCH(AJ$2,Inputs!$K$4:$AJ$4,0))))+SUMPRODUCT((Inputs!$E$5:$E$140=$B25)*ISNUMBER(INDEX(Inputs!$K$5:$AJ$140,0,MATCH(AJ$2,Inputs!$K$4:$AJ$4,0))))=0,NA(),SUMPRODUCT((Inputs!$A$5:$A$140=$B25)*Inputs!$B$5:$B$140*(((Inputs!$G$5:$G$140="moeda")+(Inputs!$G$5:$G$140="acoes"))*Inputs!$B$1+((Inputs!$G$5:$G$140&lt;&gt;"moeda")*(Inputs!$G$5:$G$140&lt;&gt;"acoes")))*INDEX(Inputs!$K$5:$AJ$140,0,MATCH(AJ$2,Inputs!$K$4:$AJ$4,0)))+SUMPRODUCT((Inputs!$C$5:$C$140=$B25)*Inputs!$D$5:$D$140*(((Inputs!$G$5:$G$140="moeda")+(Inputs!$G$5:$G$140="acoes"))*Inputs!$B$1+((Inputs!$G$5:$G$140&lt;&gt;"moeda")*(Inputs!$G$5:$G$140&lt;&gt;"acoes")))*INDEX(Inputs!$K$5:$AJ$140,0,MATCH(AJ$2,Inputs!$K$4:$AJ$4,0)))+SUMPRODUCT((Inputs!$E$5:$E$140=$B25)*Inputs!$F$5:$F$140*(((Inputs!$G$5:$G$140="moeda")+(Inputs!$G$5:$G$140="acoes"))*Inputs!$B$1+((Inputs!$G$5:$G$140&lt;&gt;"moeda")*(Inputs!$G$5:$G$140&lt;&gt;"acoes")))*INDEX(Inputs!$K$5:$AJ$140,0,MATCH(AJ$2,Inputs!$K$4:$AJ$4,0)))))</f>
        <v>0</v>
      </c>
      <c r="AK25" s="6">
        <f>IF(ISNA(MATCH(AK$2,Inputs!$K$4:$AJ$4,0)),NA(),IF(SUMPRODUCT((Inputs!$A$5:$A$140=$B25)*ISNUMBER(INDEX(Inputs!$K$5:$AJ$140,0,MATCH(AK$2,Inputs!$K$4:$AJ$4,0))))+SUMPRODUCT((Inputs!$C$5:$C$140=$B25)*ISNUMBER(INDEX(Inputs!$K$5:$AJ$140,0,MATCH(AK$2,Inputs!$K$4:$AJ$4,0))))+SUMPRODUCT((Inputs!$E$5:$E$140=$B25)*ISNUMBER(INDEX(Inputs!$K$5:$AJ$140,0,MATCH(AK$2,Inputs!$K$4:$AJ$4,0))))=0,NA(),SUMPRODUCT((Inputs!$A$5:$A$140=$B25)*Inputs!$B$5:$B$140*(((Inputs!$G$5:$G$140="moeda")+(Inputs!$G$5:$G$140="acoes"))*Inputs!$B$1+((Inputs!$G$5:$G$140&lt;&gt;"moeda")*(Inputs!$G$5:$G$140&lt;&gt;"acoes")))*INDEX(Inputs!$K$5:$AJ$140,0,MATCH(AK$2,Inputs!$K$4:$AJ$4,0)))+SUMPRODUCT((Inputs!$C$5:$C$140=$B25)*Inputs!$D$5:$D$140*(((Inputs!$G$5:$G$140="moeda")+(Inputs!$G$5:$G$140="acoes"))*Inputs!$B$1+((Inputs!$G$5:$G$140&lt;&gt;"moeda")*(Inputs!$G$5:$G$140&lt;&gt;"acoes")))*INDEX(Inputs!$K$5:$AJ$140,0,MATCH(AK$2,Inputs!$K$4:$AJ$4,0)))+SUMPRODUCT((Inputs!$E$5:$E$140=$B25)*Inputs!$F$5:$F$140*(((Inputs!$G$5:$G$140="moeda")+(Inputs!$G$5:$G$140="acoes"))*Inputs!$B$1+((Inputs!$G$5:$G$140&lt;&gt;"moeda")*(Inputs!$G$5:$G$140&lt;&gt;"acoes")))*INDEX(Inputs!$K$5:$AJ$140,0,MATCH(AK$2,Inputs!$K$4:$AJ$4,0)))))</f>
        <v>0</v>
      </c>
      <c r="AL25" s="3">
        <f>AK25</f>
        <v>0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$140=$B26)*ISNUMBER(INDEX(Inputs!$K$5:$AJ$140,0,MATCH(D$2,Inputs!$K$4:$AJ$4,0))))+SUMPRODUCT((Inputs!$C$5:$C$140=$B26)*ISNUMBER(INDEX(Inputs!$K$5:$AJ$140,0,MATCH(D$2,Inputs!$K$4:$AJ$4,0))))+SUMPRODUCT((Inputs!$E$5:$E$140=$B26)*ISNUMBER(INDEX(Inputs!$K$5:$AJ$140,0,MATCH(D$2,Inputs!$K$4:$AJ$4,0))))=0,NA(),SUMPRODUCT((Inputs!$A$5:$A$140=$B26)*Inputs!$B$5:$B$140*(((Inputs!$G$5:$G$140="moeda")+(Inputs!$G$5:$G$140="acoes"))*Inputs!$B$1+((Inputs!$G$5:$G$140&lt;&gt;"moeda")*(Inputs!$G$5:$G$140&lt;&gt;"acoes")))*INDEX(Inputs!$K$5:$AJ$140,0,MATCH(D$2,Inputs!$K$4:$AJ$4,0)))+SUMPRODUCT((Inputs!$C$5:$C$140=$B26)*Inputs!$D$5:$D$140*(((Inputs!$G$5:$G$140="moeda")+(Inputs!$G$5:$G$140="acoes"))*Inputs!$B$1+((Inputs!$G$5:$G$140&lt;&gt;"moeda")*(Inputs!$G$5:$G$140&lt;&gt;"acoes")))*INDEX(Inputs!$K$5:$AJ$140,0,MATCH(D$2,Inputs!$K$4:$AJ$4,0)))+SUMPRODUCT((Inputs!$E$5:$E$140=$B26)*Inputs!$F$5:$F$140*(((Inputs!$G$5:$G$140="moeda")+(Inputs!$G$5:$G$140="acoes"))*Inputs!$B$1+((Inputs!$G$5:$G$140&lt;&gt;"moeda")*(Inputs!$G$5:$G$140&lt;&gt;"acoes")))*INDEX(Inputs!$K$5:$AJ$140,0,MATCH(D$2,Inputs!$K$4:$AJ$4,0)))))</f>
        <v>51.974</v>
      </c>
      <c r="E26" s="6">
        <f>IF(ISNA(MATCH(E$2,Inputs!$K$4:$AJ$4,0)),NA(),IF(SUMPRODUCT((Inputs!$A$5:$A$140=$B26)*ISNUMBER(INDEX(Inputs!$K$5:$AJ$140,0,MATCH(E$2,Inputs!$K$4:$AJ$4,0))))+SUMPRODUCT((Inputs!$C$5:$C$140=$B26)*ISNUMBER(INDEX(Inputs!$K$5:$AJ$140,0,MATCH(E$2,Inputs!$K$4:$AJ$4,0))))+SUMPRODUCT((Inputs!$E$5:$E$140=$B26)*ISNUMBER(INDEX(Inputs!$K$5:$AJ$140,0,MATCH(E$2,Inputs!$K$4:$AJ$4,0))))=0,NA(),SUMPRODUCT((Inputs!$A$5:$A$140=$B26)*Inputs!$B$5:$B$140*(((Inputs!$G$5:$G$140="moeda")+(Inputs!$G$5:$G$140="acoes"))*Inputs!$B$1+((Inputs!$G$5:$G$140&lt;&gt;"moeda")*(Inputs!$G$5:$G$140&lt;&gt;"acoes")))*INDEX(Inputs!$K$5:$AJ$140,0,MATCH(E$2,Inputs!$K$4:$AJ$4,0)))+SUMPRODUCT((Inputs!$C$5:$C$140=$B26)*Inputs!$D$5:$D$140*(((Inputs!$G$5:$G$140="moeda")+(Inputs!$G$5:$G$140="acoes"))*Inputs!$B$1+((Inputs!$G$5:$G$140&lt;&gt;"moeda")*(Inputs!$G$5:$G$140&lt;&gt;"acoes")))*INDEX(Inputs!$K$5:$AJ$140,0,MATCH(E$2,Inputs!$K$4:$AJ$4,0)))+SUMPRODUCT((Inputs!$E$5:$E$140=$B26)*Inputs!$F$5:$F$140*(((Inputs!$G$5:$G$140="moeda")+(Inputs!$G$5:$G$140="acoes"))*Inputs!$B$1+((Inputs!$G$5:$G$140&lt;&gt;"moeda")*(Inputs!$G$5:$G$140&lt;&gt;"acoes")))*INDEX(Inputs!$K$5:$AJ$140,0,MATCH(E$2,Inputs!$K$4:$AJ$4,0)))))</f>
        <v>45.259</v>
      </c>
      <c r="F26" s="6">
        <f>IF(ISNA(MATCH(F$2,Inputs!$K$4:$AJ$4,0)),NA(),IF(SUMPRODUCT((Inputs!$A$5:$A$140=$B26)*ISNUMBER(INDEX(Inputs!$K$5:$AJ$140,0,MATCH(F$2,Inputs!$K$4:$AJ$4,0))))+SUMPRODUCT((Inputs!$C$5:$C$140=$B26)*ISNUMBER(INDEX(Inputs!$K$5:$AJ$140,0,MATCH(F$2,Inputs!$K$4:$AJ$4,0))))+SUMPRODUCT((Inputs!$E$5:$E$140=$B26)*ISNUMBER(INDEX(Inputs!$K$5:$AJ$140,0,MATCH(F$2,Inputs!$K$4:$AJ$4,0))))=0,NA(),SUMPRODUCT((Inputs!$A$5:$A$140=$B26)*Inputs!$B$5:$B$140*(((Inputs!$G$5:$G$140="moeda")+(Inputs!$G$5:$G$140="acoes"))*Inputs!$B$1+((Inputs!$G$5:$G$140&lt;&gt;"moeda")*(Inputs!$G$5:$G$140&lt;&gt;"acoes")))*INDEX(Inputs!$K$5:$AJ$140,0,MATCH(F$2,Inputs!$K$4:$AJ$4,0)))+SUMPRODUCT((Inputs!$C$5:$C$140=$B26)*Inputs!$D$5:$D$140*(((Inputs!$G$5:$G$140="moeda")+(Inputs!$G$5:$G$140="acoes"))*Inputs!$B$1+((Inputs!$G$5:$G$140&lt;&gt;"moeda")*(Inputs!$G$5:$G$140&lt;&gt;"acoes")))*INDEX(Inputs!$K$5:$AJ$140,0,MATCH(F$2,Inputs!$K$4:$AJ$4,0)))+SUMPRODUCT((Inputs!$E$5:$E$140=$B26)*Inputs!$F$5:$F$140*(((Inputs!$G$5:$G$140="moeda")+(Inputs!$G$5:$G$140="acoes"))*Inputs!$B$1+((Inputs!$G$5:$G$140&lt;&gt;"moeda")*(Inputs!$G$5:$G$140&lt;&gt;"acoes")))*INDEX(Inputs!$K$5:$AJ$140,0,MATCH(F$2,Inputs!$K$4:$AJ$4,0)))))</f>
        <v>45.708</v>
      </c>
      <c r="G26" s="6">
        <f>IF(ISNA(MATCH(G$2,Inputs!$K$4:$AJ$4,0)),NA(),IF(SUMPRODUCT((Inputs!$A$5:$A$140=$B26)*ISNUMBER(INDEX(Inputs!$K$5:$AJ$140,0,MATCH(G$2,Inputs!$K$4:$AJ$4,0))))+SUMPRODUCT((Inputs!$C$5:$C$140=$B26)*ISNUMBER(INDEX(Inputs!$K$5:$AJ$140,0,MATCH(G$2,Inputs!$K$4:$AJ$4,0))))+SUMPRODUCT((Inputs!$E$5:$E$140=$B26)*ISNUMBER(INDEX(Inputs!$K$5:$AJ$140,0,MATCH(G$2,Inputs!$K$4:$AJ$4,0))))=0,NA(),SUMPRODUCT((Inputs!$A$5:$A$140=$B26)*Inputs!$B$5:$B$140*(((Inputs!$G$5:$G$140="moeda")+(Inputs!$G$5:$G$140="acoes"))*Inputs!$B$1+((Inputs!$G$5:$G$140&lt;&gt;"moeda")*(Inputs!$G$5:$G$140&lt;&gt;"acoes")))*INDEX(Inputs!$K$5:$AJ$140,0,MATCH(G$2,Inputs!$K$4:$AJ$4,0)))+SUMPRODUCT((Inputs!$C$5:$C$140=$B26)*Inputs!$D$5:$D$140*(((Inputs!$G$5:$G$140="moeda")+(Inputs!$G$5:$G$140="acoes"))*Inputs!$B$1+((Inputs!$G$5:$G$140&lt;&gt;"moeda")*(Inputs!$G$5:$G$140&lt;&gt;"acoes")))*INDEX(Inputs!$K$5:$AJ$140,0,MATCH(G$2,Inputs!$K$4:$AJ$4,0)))+SUMPRODUCT((Inputs!$E$5:$E$140=$B26)*Inputs!$F$5:$F$140*(((Inputs!$G$5:$G$140="moeda")+(Inputs!$G$5:$G$140="acoes"))*Inputs!$B$1+((Inputs!$G$5:$G$140&lt;&gt;"moeda")*(Inputs!$G$5:$G$140&lt;&gt;"acoes")))*INDEX(Inputs!$K$5:$AJ$140,0,MATCH(G$2,Inputs!$K$4:$AJ$4,0)))))</f>
        <v>103.08</v>
      </c>
      <c r="H26" s="3">
        <f>G26</f>
        <v>103.08</v>
      </c>
      <c r="I26" s="6">
        <f>IF(ISNA(MATCH(I$2,Inputs!$K$4:$AJ$4,0)),NA(),IF(SUMPRODUCT((Inputs!$A$5:$A$140=$B26)*ISNUMBER(INDEX(Inputs!$K$5:$AJ$140,0,MATCH(I$2,Inputs!$K$4:$AJ$4,0))))+SUMPRODUCT((Inputs!$C$5:$C$140=$B26)*ISNUMBER(INDEX(Inputs!$K$5:$AJ$140,0,MATCH(I$2,Inputs!$K$4:$AJ$4,0))))+SUMPRODUCT((Inputs!$E$5:$E$140=$B26)*ISNUMBER(INDEX(Inputs!$K$5:$AJ$140,0,MATCH(I$2,Inputs!$K$4:$AJ$4,0))))=0,NA(),SUMPRODUCT((Inputs!$A$5:$A$140=$B26)*Inputs!$B$5:$B$140*(((Inputs!$G$5:$G$140="moeda")+(Inputs!$G$5:$G$140="acoes"))*Inputs!$B$1+((Inputs!$G$5:$G$140&lt;&gt;"moeda")*(Inputs!$G$5:$G$140&lt;&gt;"acoes")))*INDEX(Inputs!$K$5:$AJ$140,0,MATCH(I$2,Inputs!$K$4:$AJ$4,0)))+SUMPRODUCT((Inputs!$C$5:$C$140=$B26)*Inputs!$D$5:$D$140*(((Inputs!$G$5:$G$140="moeda")+(Inputs!$G$5:$G$140="acoes"))*Inputs!$B$1+((Inputs!$G$5:$G$140&lt;&gt;"moeda")*(Inputs!$G$5:$G$140&lt;&gt;"acoes")))*INDEX(Inputs!$K$5:$AJ$140,0,MATCH(I$2,Inputs!$K$4:$AJ$4,0)))+SUMPRODUCT((Inputs!$E$5:$E$140=$B26)*Inputs!$F$5:$F$140*(((Inputs!$G$5:$G$140="moeda")+(Inputs!$G$5:$G$140="acoes"))*Inputs!$B$1+((Inputs!$G$5:$G$140&lt;&gt;"moeda")*(Inputs!$G$5:$G$140&lt;&gt;"acoes")))*INDEX(Inputs!$K$5:$AJ$140,0,MATCH(I$2,Inputs!$K$4:$AJ$4,0)))))</f>
        <v>107.896</v>
      </c>
      <c r="J26" s="6">
        <f>IF(ISNA(MATCH(J$2,Inputs!$K$4:$AJ$4,0)),NA(),IF(SUMPRODUCT((Inputs!$A$5:$A$140=$B26)*ISNUMBER(INDEX(Inputs!$K$5:$AJ$140,0,MATCH(J$2,Inputs!$K$4:$AJ$4,0))))+SUMPRODUCT((Inputs!$C$5:$C$140=$B26)*ISNUMBER(INDEX(Inputs!$K$5:$AJ$140,0,MATCH(J$2,Inputs!$K$4:$AJ$4,0))))+SUMPRODUCT((Inputs!$E$5:$E$140=$B26)*ISNUMBER(INDEX(Inputs!$K$5:$AJ$140,0,MATCH(J$2,Inputs!$K$4:$AJ$4,0))))=0,NA(),SUMPRODUCT((Inputs!$A$5:$A$140=$B26)*Inputs!$B$5:$B$140*(((Inputs!$G$5:$G$140="moeda")+(Inputs!$G$5:$G$140="acoes"))*Inputs!$B$1+((Inputs!$G$5:$G$140&lt;&gt;"moeda")*(Inputs!$G$5:$G$140&lt;&gt;"acoes")))*INDEX(Inputs!$K$5:$AJ$140,0,MATCH(J$2,Inputs!$K$4:$AJ$4,0)))+SUMPRODUCT((Inputs!$C$5:$C$140=$B26)*Inputs!$D$5:$D$140*(((Inputs!$G$5:$G$140="moeda")+(Inputs!$G$5:$G$140="acoes"))*Inputs!$B$1+((Inputs!$G$5:$G$140&lt;&gt;"moeda")*(Inputs!$G$5:$G$140&lt;&gt;"acoes")))*INDEX(Inputs!$K$5:$AJ$140,0,MATCH(J$2,Inputs!$K$4:$AJ$4,0)))+SUMPRODUCT((Inputs!$E$5:$E$140=$B26)*Inputs!$F$5:$F$140*(((Inputs!$G$5:$G$140="moeda")+(Inputs!$G$5:$G$140="acoes"))*Inputs!$B$1+((Inputs!$G$5:$G$140&lt;&gt;"moeda")*(Inputs!$G$5:$G$140&lt;&gt;"acoes")))*INDEX(Inputs!$K$5:$AJ$140,0,MATCH(J$2,Inputs!$K$4:$AJ$4,0)))))</f>
        <v>111.332</v>
      </c>
      <c r="K26" s="6">
        <f>IF(ISNA(MATCH(K$2,Inputs!$K$4:$AJ$4,0)),NA(),IF(SUMPRODUCT((Inputs!$A$5:$A$140=$B26)*ISNUMBER(INDEX(Inputs!$K$5:$AJ$140,0,MATCH(K$2,Inputs!$K$4:$AJ$4,0))))+SUMPRODUCT((Inputs!$C$5:$C$140=$B26)*ISNUMBER(INDEX(Inputs!$K$5:$AJ$140,0,MATCH(K$2,Inputs!$K$4:$AJ$4,0))))+SUMPRODUCT((Inputs!$E$5:$E$140=$B26)*ISNUMBER(INDEX(Inputs!$K$5:$AJ$140,0,MATCH(K$2,Inputs!$K$4:$AJ$4,0))))=0,NA(),SUMPRODUCT((Inputs!$A$5:$A$140=$B26)*Inputs!$B$5:$B$140*(((Inputs!$G$5:$G$140="moeda")+(Inputs!$G$5:$G$140="acoes"))*Inputs!$B$1+((Inputs!$G$5:$G$140&lt;&gt;"moeda")*(Inputs!$G$5:$G$140&lt;&gt;"acoes")))*INDEX(Inputs!$K$5:$AJ$140,0,MATCH(K$2,Inputs!$K$4:$AJ$4,0)))+SUMPRODUCT((Inputs!$C$5:$C$140=$B26)*Inputs!$D$5:$D$140*(((Inputs!$G$5:$G$140="moeda")+(Inputs!$G$5:$G$140="acoes"))*Inputs!$B$1+((Inputs!$G$5:$G$140&lt;&gt;"moeda")*(Inputs!$G$5:$G$140&lt;&gt;"acoes")))*INDEX(Inputs!$K$5:$AJ$140,0,MATCH(K$2,Inputs!$K$4:$AJ$4,0)))+SUMPRODUCT((Inputs!$E$5:$E$140=$B26)*Inputs!$F$5:$F$140*(((Inputs!$G$5:$G$140="moeda")+(Inputs!$G$5:$G$140="acoes"))*Inputs!$B$1+((Inputs!$G$5:$G$140&lt;&gt;"moeda")*(Inputs!$G$5:$G$140&lt;&gt;"acoes")))*INDEX(Inputs!$K$5:$AJ$140,0,MATCH(K$2,Inputs!$K$4:$AJ$4,0)))))</f>
        <v>111.836</v>
      </c>
      <c r="L26" s="6">
        <f>IF(ISNA(MATCH(L$2,Inputs!$K$4:$AJ$4,0)),NA(),IF(SUMPRODUCT((Inputs!$A$5:$A$140=$B26)*ISNUMBER(INDEX(Inputs!$K$5:$AJ$140,0,MATCH(L$2,Inputs!$K$4:$AJ$4,0))))+SUMPRODUCT((Inputs!$C$5:$C$140=$B26)*ISNUMBER(INDEX(Inputs!$K$5:$AJ$140,0,MATCH(L$2,Inputs!$K$4:$AJ$4,0))))+SUMPRODUCT((Inputs!$E$5:$E$140=$B26)*ISNUMBER(INDEX(Inputs!$K$5:$AJ$140,0,MATCH(L$2,Inputs!$K$4:$AJ$4,0))))=0,NA(),SUMPRODUCT((Inputs!$A$5:$A$140=$B26)*Inputs!$B$5:$B$140*(((Inputs!$G$5:$G$140="moeda")+(Inputs!$G$5:$G$140="acoes"))*Inputs!$B$1+((Inputs!$G$5:$G$140&lt;&gt;"moeda")*(Inputs!$G$5:$G$140&lt;&gt;"acoes")))*INDEX(Inputs!$K$5:$AJ$140,0,MATCH(L$2,Inputs!$K$4:$AJ$4,0)))+SUMPRODUCT((Inputs!$C$5:$C$140=$B26)*Inputs!$D$5:$D$140*(((Inputs!$G$5:$G$140="moeda")+(Inputs!$G$5:$G$140="acoes"))*Inputs!$B$1+((Inputs!$G$5:$G$140&lt;&gt;"moeda")*(Inputs!$G$5:$G$140&lt;&gt;"acoes")))*INDEX(Inputs!$K$5:$AJ$140,0,MATCH(L$2,Inputs!$K$4:$AJ$4,0)))+SUMPRODUCT((Inputs!$E$5:$E$140=$B26)*Inputs!$F$5:$F$140*(((Inputs!$G$5:$G$140="moeda")+(Inputs!$G$5:$G$140="acoes"))*Inputs!$B$1+((Inputs!$G$5:$G$140&lt;&gt;"moeda")*(Inputs!$G$5:$G$140&lt;&gt;"acoes")))*INDEX(Inputs!$K$5:$AJ$140,0,MATCH(L$2,Inputs!$K$4:$AJ$4,0)))))</f>
        <v>110.84</v>
      </c>
      <c r="M26" s="3">
        <f>L26</f>
        <v>110.84</v>
      </c>
      <c r="N26" s="6">
        <f>IF(ISNA(MATCH(N$2,Inputs!$K$4:$AJ$4,0)),NA(),IF(SUMPRODUCT((Inputs!$A$5:$A$140=$B26)*ISNUMBER(INDEX(Inputs!$K$5:$AJ$140,0,MATCH(N$2,Inputs!$K$4:$AJ$4,0))))+SUMPRODUCT((Inputs!$C$5:$C$140=$B26)*ISNUMBER(INDEX(Inputs!$K$5:$AJ$140,0,MATCH(N$2,Inputs!$K$4:$AJ$4,0))))+SUMPRODUCT((Inputs!$E$5:$E$140=$B26)*ISNUMBER(INDEX(Inputs!$K$5:$AJ$140,0,MATCH(N$2,Inputs!$K$4:$AJ$4,0))))=0,NA(),SUMPRODUCT((Inputs!$A$5:$A$140=$B26)*Inputs!$B$5:$B$140*(((Inputs!$G$5:$G$140="moeda")+(Inputs!$G$5:$G$140="acoes"))*Inputs!$B$1+((Inputs!$G$5:$G$140&lt;&gt;"moeda")*(Inputs!$G$5:$G$140&lt;&gt;"acoes")))*INDEX(Inputs!$K$5:$AJ$140,0,MATCH(N$2,Inputs!$K$4:$AJ$4,0)))+SUMPRODUCT((Inputs!$C$5:$C$140=$B26)*Inputs!$D$5:$D$140*(((Inputs!$G$5:$G$140="moeda")+(Inputs!$G$5:$G$140="acoes"))*Inputs!$B$1+((Inputs!$G$5:$G$140&lt;&gt;"moeda")*(Inputs!$G$5:$G$140&lt;&gt;"acoes")))*INDEX(Inputs!$K$5:$AJ$140,0,MATCH(N$2,Inputs!$K$4:$AJ$4,0)))+SUMPRODUCT((Inputs!$E$5:$E$140=$B26)*Inputs!$F$5:$F$140*(((Inputs!$G$5:$G$140="moeda")+(Inputs!$G$5:$G$140="acoes"))*Inputs!$B$1+((Inputs!$G$5:$G$140&lt;&gt;"moeda")*(Inputs!$G$5:$G$140&lt;&gt;"acoes")))*INDEX(Inputs!$K$5:$AJ$140,0,MATCH(N$2,Inputs!$K$4:$AJ$4,0)))))</f>
        <v>112.129</v>
      </c>
      <c r="O26" s="6">
        <f>IF(ISNA(MATCH(O$2,Inputs!$K$4:$AJ$4,0)),NA(),IF(SUMPRODUCT((Inputs!$A$5:$A$140=$B26)*ISNUMBER(INDEX(Inputs!$K$5:$AJ$140,0,MATCH(O$2,Inputs!$K$4:$AJ$4,0))))+SUMPRODUCT((Inputs!$C$5:$C$140=$B26)*ISNUMBER(INDEX(Inputs!$K$5:$AJ$140,0,MATCH(O$2,Inputs!$K$4:$AJ$4,0))))+SUMPRODUCT((Inputs!$E$5:$E$140=$B26)*ISNUMBER(INDEX(Inputs!$K$5:$AJ$140,0,MATCH(O$2,Inputs!$K$4:$AJ$4,0))))=0,NA(),SUMPRODUCT((Inputs!$A$5:$A$140=$B26)*Inputs!$B$5:$B$140*(((Inputs!$G$5:$G$140="moeda")+(Inputs!$G$5:$G$140="acoes"))*Inputs!$B$1+((Inputs!$G$5:$G$140&lt;&gt;"moeda")*(Inputs!$G$5:$G$140&lt;&gt;"acoes")))*INDEX(Inputs!$K$5:$AJ$140,0,MATCH(O$2,Inputs!$K$4:$AJ$4,0)))+SUMPRODUCT((Inputs!$C$5:$C$140=$B26)*Inputs!$D$5:$D$140*(((Inputs!$G$5:$G$140="moeda")+(Inputs!$G$5:$G$140="acoes"))*Inputs!$B$1+((Inputs!$G$5:$G$140&lt;&gt;"moeda")*(Inputs!$G$5:$G$140&lt;&gt;"acoes")))*INDEX(Inputs!$K$5:$AJ$140,0,MATCH(O$2,Inputs!$K$4:$AJ$4,0)))+SUMPRODUCT((Inputs!$E$5:$E$140=$B26)*Inputs!$F$5:$F$140*(((Inputs!$G$5:$G$140="moeda")+(Inputs!$G$5:$G$140="acoes"))*Inputs!$B$1+((Inputs!$G$5:$G$140&lt;&gt;"moeda")*(Inputs!$G$5:$G$140&lt;&gt;"acoes")))*INDEX(Inputs!$K$5:$AJ$140,0,MATCH(O$2,Inputs!$K$4:$AJ$4,0)))))</f>
        <v>118.346</v>
      </c>
      <c r="P26" s="6">
        <f>IF(ISNA(MATCH(P$2,Inputs!$K$4:$AJ$4,0)),NA(),IF(SUMPRODUCT((Inputs!$A$5:$A$140=$B26)*ISNUMBER(INDEX(Inputs!$K$5:$AJ$140,0,MATCH(P$2,Inputs!$K$4:$AJ$4,0))))+SUMPRODUCT((Inputs!$C$5:$C$140=$B26)*ISNUMBER(INDEX(Inputs!$K$5:$AJ$140,0,MATCH(P$2,Inputs!$K$4:$AJ$4,0))))+SUMPRODUCT((Inputs!$E$5:$E$140=$B26)*ISNUMBER(INDEX(Inputs!$K$5:$AJ$140,0,MATCH(P$2,Inputs!$K$4:$AJ$4,0))))=0,NA(),SUMPRODUCT((Inputs!$A$5:$A$140=$B26)*Inputs!$B$5:$B$140*(((Inputs!$G$5:$G$140="moeda")+(Inputs!$G$5:$G$140="acoes"))*Inputs!$B$1+((Inputs!$G$5:$G$140&lt;&gt;"moeda")*(Inputs!$G$5:$G$140&lt;&gt;"acoes")))*INDEX(Inputs!$K$5:$AJ$140,0,MATCH(P$2,Inputs!$K$4:$AJ$4,0)))+SUMPRODUCT((Inputs!$C$5:$C$140=$B26)*Inputs!$D$5:$D$140*(((Inputs!$G$5:$G$140="moeda")+(Inputs!$G$5:$G$140="acoes"))*Inputs!$B$1+((Inputs!$G$5:$G$140&lt;&gt;"moeda")*(Inputs!$G$5:$G$140&lt;&gt;"acoes")))*INDEX(Inputs!$K$5:$AJ$140,0,MATCH(P$2,Inputs!$K$4:$AJ$4,0)))+SUMPRODUCT((Inputs!$E$5:$E$140=$B26)*Inputs!$F$5:$F$140*(((Inputs!$G$5:$G$140="moeda")+(Inputs!$G$5:$G$140="acoes"))*Inputs!$B$1+((Inputs!$G$5:$G$140&lt;&gt;"moeda")*(Inputs!$G$5:$G$140&lt;&gt;"acoes")))*INDEX(Inputs!$K$5:$AJ$140,0,MATCH(P$2,Inputs!$K$4:$AJ$4,0)))))</f>
        <v>117.918</v>
      </c>
      <c r="Q26" s="6">
        <f>IF(ISNA(MATCH(Q$2,Inputs!$K$4:$AJ$4,0)),NA(),IF(SUMPRODUCT((Inputs!$A$5:$A$140=$B26)*ISNUMBER(INDEX(Inputs!$K$5:$AJ$140,0,MATCH(Q$2,Inputs!$K$4:$AJ$4,0))))+SUMPRODUCT((Inputs!$C$5:$C$140=$B26)*ISNUMBER(INDEX(Inputs!$K$5:$AJ$140,0,MATCH(Q$2,Inputs!$K$4:$AJ$4,0))))+SUMPRODUCT((Inputs!$E$5:$E$140=$B26)*ISNUMBER(INDEX(Inputs!$K$5:$AJ$140,0,MATCH(Q$2,Inputs!$K$4:$AJ$4,0))))=0,NA(),SUMPRODUCT((Inputs!$A$5:$A$140=$B26)*Inputs!$B$5:$B$140*(((Inputs!$G$5:$G$140="moeda")+(Inputs!$G$5:$G$140="acoes"))*Inputs!$B$1+((Inputs!$G$5:$G$140&lt;&gt;"moeda")*(Inputs!$G$5:$G$140&lt;&gt;"acoes")))*INDEX(Inputs!$K$5:$AJ$140,0,MATCH(Q$2,Inputs!$K$4:$AJ$4,0)))+SUMPRODUCT((Inputs!$C$5:$C$140=$B26)*Inputs!$D$5:$D$140*(((Inputs!$G$5:$G$140="moeda")+(Inputs!$G$5:$G$140="acoes"))*Inputs!$B$1+((Inputs!$G$5:$G$140&lt;&gt;"moeda")*(Inputs!$G$5:$G$140&lt;&gt;"acoes")))*INDEX(Inputs!$K$5:$AJ$140,0,MATCH(Q$2,Inputs!$K$4:$AJ$4,0)))+SUMPRODUCT((Inputs!$E$5:$E$140=$B26)*Inputs!$F$5:$F$140*(((Inputs!$G$5:$G$140="moeda")+(Inputs!$G$5:$G$140="acoes"))*Inputs!$B$1+((Inputs!$G$5:$G$140&lt;&gt;"moeda")*(Inputs!$G$5:$G$140&lt;&gt;"acoes")))*INDEX(Inputs!$K$5:$AJ$140,0,MATCH(Q$2,Inputs!$K$4:$AJ$4,0)))))</f>
        <v>118.159</v>
      </c>
      <c r="R26" s="3">
        <f>Q26</f>
        <v>118.159</v>
      </c>
      <c r="S26" s="6">
        <f>IF(ISNA(MATCH(S$2,Inputs!$K$4:$AJ$4,0)),NA(),IF(SUMPRODUCT((Inputs!$A$5:$A$140=$B26)*ISNUMBER(INDEX(Inputs!$K$5:$AJ$140,0,MATCH(S$2,Inputs!$K$4:$AJ$4,0))))+SUMPRODUCT((Inputs!$C$5:$C$140=$B26)*ISNUMBER(INDEX(Inputs!$K$5:$AJ$140,0,MATCH(S$2,Inputs!$K$4:$AJ$4,0))))+SUMPRODUCT((Inputs!$E$5:$E$140=$B26)*ISNUMBER(INDEX(Inputs!$K$5:$AJ$140,0,MATCH(S$2,Inputs!$K$4:$AJ$4,0))))=0,NA(),SUMPRODUCT((Inputs!$A$5:$A$140=$B26)*Inputs!$B$5:$B$140*(((Inputs!$G$5:$G$140="moeda")+(Inputs!$G$5:$G$140="acoes"))*Inputs!$B$1+((Inputs!$G$5:$G$140&lt;&gt;"moeda")*(Inputs!$G$5:$G$140&lt;&gt;"acoes")))*INDEX(Inputs!$K$5:$AJ$140,0,MATCH(S$2,Inputs!$K$4:$AJ$4,0)))+SUMPRODUCT((Inputs!$C$5:$C$140=$B26)*Inputs!$D$5:$D$140*(((Inputs!$G$5:$G$140="moeda")+(Inputs!$G$5:$G$140="acoes"))*Inputs!$B$1+((Inputs!$G$5:$G$140&lt;&gt;"moeda")*(Inputs!$G$5:$G$140&lt;&gt;"acoes")))*INDEX(Inputs!$K$5:$AJ$140,0,MATCH(S$2,Inputs!$K$4:$AJ$4,0)))+SUMPRODUCT((Inputs!$E$5:$E$140=$B26)*Inputs!$F$5:$F$140*(((Inputs!$G$5:$G$140="moeda")+(Inputs!$G$5:$G$140="acoes"))*Inputs!$B$1+((Inputs!$G$5:$G$140&lt;&gt;"moeda")*(Inputs!$G$5:$G$140&lt;&gt;"acoes")))*INDEX(Inputs!$K$5:$AJ$140,0,MATCH(S$2,Inputs!$K$4:$AJ$4,0)))))</f>
        <v>124.669</v>
      </c>
      <c r="T26" s="6">
        <f>IF(ISNA(MATCH(T$2,Inputs!$K$4:$AJ$4,0)),NA(),IF(SUMPRODUCT((Inputs!$A$5:$A$140=$B26)*ISNUMBER(INDEX(Inputs!$K$5:$AJ$140,0,MATCH(T$2,Inputs!$K$4:$AJ$4,0))))+SUMPRODUCT((Inputs!$C$5:$C$140=$B26)*ISNUMBER(INDEX(Inputs!$K$5:$AJ$140,0,MATCH(T$2,Inputs!$K$4:$AJ$4,0))))+SUMPRODUCT((Inputs!$E$5:$E$140=$B26)*ISNUMBER(INDEX(Inputs!$K$5:$AJ$140,0,MATCH(T$2,Inputs!$K$4:$AJ$4,0))))=0,NA(),SUMPRODUCT((Inputs!$A$5:$A$140=$B26)*Inputs!$B$5:$B$140*(((Inputs!$G$5:$G$140="moeda")+(Inputs!$G$5:$G$140="acoes"))*Inputs!$B$1+((Inputs!$G$5:$G$140&lt;&gt;"moeda")*(Inputs!$G$5:$G$140&lt;&gt;"acoes")))*INDEX(Inputs!$K$5:$AJ$140,0,MATCH(T$2,Inputs!$K$4:$AJ$4,0)))+SUMPRODUCT((Inputs!$C$5:$C$140=$B26)*Inputs!$D$5:$D$140*(((Inputs!$G$5:$G$140="moeda")+(Inputs!$G$5:$G$140="acoes"))*Inputs!$B$1+((Inputs!$G$5:$G$140&lt;&gt;"moeda")*(Inputs!$G$5:$G$140&lt;&gt;"acoes")))*INDEX(Inputs!$K$5:$AJ$140,0,MATCH(T$2,Inputs!$K$4:$AJ$4,0)))+SUMPRODUCT((Inputs!$E$5:$E$140=$B26)*Inputs!$F$5:$F$140*(((Inputs!$G$5:$G$140="moeda")+(Inputs!$G$5:$G$140="acoes"))*Inputs!$B$1+((Inputs!$G$5:$G$140&lt;&gt;"moeda")*(Inputs!$G$5:$G$140&lt;&gt;"acoes")))*INDEX(Inputs!$K$5:$AJ$140,0,MATCH(T$2,Inputs!$K$4:$AJ$4,0)))))</f>
        <v>57.397</v>
      </c>
      <c r="U26" s="6">
        <f>IF(ISNA(MATCH(U$2,Inputs!$K$4:$AJ$4,0)),NA(),IF(SUMPRODUCT((Inputs!$A$5:$A$140=$B26)*ISNUMBER(INDEX(Inputs!$K$5:$AJ$140,0,MATCH(U$2,Inputs!$K$4:$AJ$4,0))))+SUMPRODUCT((Inputs!$C$5:$C$140=$B26)*ISNUMBER(INDEX(Inputs!$K$5:$AJ$140,0,MATCH(U$2,Inputs!$K$4:$AJ$4,0))))+SUMPRODUCT((Inputs!$E$5:$E$140=$B26)*ISNUMBER(INDEX(Inputs!$K$5:$AJ$140,0,MATCH(U$2,Inputs!$K$4:$AJ$4,0))))=0,NA(),SUMPRODUCT((Inputs!$A$5:$A$140=$B26)*Inputs!$B$5:$B$140*(((Inputs!$G$5:$G$140="moeda")+(Inputs!$G$5:$G$140="acoes"))*Inputs!$B$1+((Inputs!$G$5:$G$140&lt;&gt;"moeda")*(Inputs!$G$5:$G$140&lt;&gt;"acoes")))*INDEX(Inputs!$K$5:$AJ$140,0,MATCH(U$2,Inputs!$K$4:$AJ$4,0)))+SUMPRODUCT((Inputs!$C$5:$C$140=$B26)*Inputs!$D$5:$D$140*(((Inputs!$G$5:$G$140="moeda")+(Inputs!$G$5:$G$140="acoes"))*Inputs!$B$1+((Inputs!$G$5:$G$140&lt;&gt;"moeda")*(Inputs!$G$5:$G$140&lt;&gt;"acoes")))*INDEX(Inputs!$K$5:$AJ$140,0,MATCH(U$2,Inputs!$K$4:$AJ$4,0)))+SUMPRODUCT((Inputs!$E$5:$E$140=$B26)*Inputs!$F$5:$F$140*(((Inputs!$G$5:$G$140="moeda")+(Inputs!$G$5:$G$140="acoes"))*Inputs!$B$1+((Inputs!$G$5:$G$140&lt;&gt;"moeda")*(Inputs!$G$5:$G$140&lt;&gt;"acoes")))*INDEX(Inputs!$K$5:$AJ$140,0,MATCH(U$2,Inputs!$K$4:$AJ$4,0)))))</f>
        <v>56.227</v>
      </c>
      <c r="V26" s="6">
        <f>IF(ISNA(MATCH(V$2,Inputs!$K$4:$AJ$4,0)),NA(),IF(SUMPRODUCT((Inputs!$A$5:$A$140=$B26)*ISNUMBER(INDEX(Inputs!$K$5:$AJ$140,0,MATCH(V$2,Inputs!$K$4:$AJ$4,0))))+SUMPRODUCT((Inputs!$C$5:$C$140=$B26)*ISNUMBER(INDEX(Inputs!$K$5:$AJ$140,0,MATCH(V$2,Inputs!$K$4:$AJ$4,0))))+SUMPRODUCT((Inputs!$E$5:$E$140=$B26)*ISNUMBER(INDEX(Inputs!$K$5:$AJ$140,0,MATCH(V$2,Inputs!$K$4:$AJ$4,0))))=0,NA(),SUMPRODUCT((Inputs!$A$5:$A$140=$B26)*Inputs!$B$5:$B$140*(((Inputs!$G$5:$G$140="moeda")+(Inputs!$G$5:$G$140="acoes"))*Inputs!$B$1+((Inputs!$G$5:$G$140&lt;&gt;"moeda")*(Inputs!$G$5:$G$140&lt;&gt;"acoes")))*INDEX(Inputs!$K$5:$AJ$140,0,MATCH(V$2,Inputs!$K$4:$AJ$4,0)))+SUMPRODUCT((Inputs!$C$5:$C$140=$B26)*Inputs!$D$5:$D$140*(((Inputs!$G$5:$G$140="moeda")+(Inputs!$G$5:$G$140="acoes"))*Inputs!$B$1+((Inputs!$G$5:$G$140&lt;&gt;"moeda")*(Inputs!$G$5:$G$140&lt;&gt;"acoes")))*INDEX(Inputs!$K$5:$AJ$140,0,MATCH(V$2,Inputs!$K$4:$AJ$4,0)))+SUMPRODUCT((Inputs!$E$5:$E$140=$B26)*Inputs!$F$5:$F$140*(((Inputs!$G$5:$G$140="moeda")+(Inputs!$G$5:$G$140="acoes"))*Inputs!$B$1+((Inputs!$G$5:$G$140&lt;&gt;"moeda")*(Inputs!$G$5:$G$140&lt;&gt;"acoes")))*INDEX(Inputs!$K$5:$AJ$140,0,MATCH(V$2,Inputs!$K$4:$AJ$4,0)))))</f>
        <v>52.934</v>
      </c>
      <c r="W26" s="3">
        <f>V26</f>
        <v>52.934</v>
      </c>
      <c r="X26" s="6">
        <f>IF(ISNA(MATCH(X$2,Inputs!$K$4:$AJ$4,0)),NA(),IF(SUMPRODUCT((Inputs!$A$5:$A$140=$B26)*ISNUMBER(INDEX(Inputs!$K$5:$AJ$140,0,MATCH(X$2,Inputs!$K$4:$AJ$4,0))))+SUMPRODUCT((Inputs!$C$5:$C$140=$B26)*ISNUMBER(INDEX(Inputs!$K$5:$AJ$140,0,MATCH(X$2,Inputs!$K$4:$AJ$4,0))))+SUMPRODUCT((Inputs!$E$5:$E$140=$B26)*ISNUMBER(INDEX(Inputs!$K$5:$AJ$140,0,MATCH(X$2,Inputs!$K$4:$AJ$4,0))))=0,NA(),SUMPRODUCT((Inputs!$A$5:$A$140=$B26)*Inputs!$B$5:$B$140*(((Inputs!$G$5:$G$140="moeda")+(Inputs!$G$5:$G$140="acoes"))*Inputs!$B$1+((Inputs!$G$5:$G$140&lt;&gt;"moeda")*(Inputs!$G$5:$G$140&lt;&gt;"acoes")))*INDEX(Inputs!$K$5:$AJ$140,0,MATCH(X$2,Inputs!$K$4:$AJ$4,0)))+SUMPRODUCT((Inputs!$C$5:$C$140=$B26)*Inputs!$D$5:$D$140*(((Inputs!$G$5:$G$140="moeda")+(Inputs!$G$5:$G$140="acoes"))*Inputs!$B$1+((Inputs!$G$5:$G$140&lt;&gt;"moeda")*(Inputs!$G$5:$G$140&lt;&gt;"acoes")))*INDEX(Inputs!$K$5:$AJ$140,0,MATCH(X$2,Inputs!$K$4:$AJ$4,0)))+SUMPRODUCT((Inputs!$E$5:$E$140=$B26)*Inputs!$F$5:$F$140*(((Inputs!$G$5:$G$140="moeda")+(Inputs!$G$5:$G$140="acoes"))*Inputs!$B$1+((Inputs!$G$5:$G$140&lt;&gt;"moeda")*(Inputs!$G$5:$G$140&lt;&gt;"acoes")))*INDEX(Inputs!$K$5:$AJ$140,0,MATCH(X$2,Inputs!$K$4:$AJ$4,0)))))</f>
        <v>53.513</v>
      </c>
      <c r="Y26" s="6">
        <f>IF(ISNA(MATCH(Y$2,Inputs!$K$4:$AJ$4,0)),NA(),IF(SUMPRODUCT((Inputs!$A$5:$A$140=$B26)*ISNUMBER(INDEX(Inputs!$K$5:$AJ$140,0,MATCH(Y$2,Inputs!$K$4:$AJ$4,0))))+SUMPRODUCT((Inputs!$C$5:$C$140=$B26)*ISNUMBER(INDEX(Inputs!$K$5:$AJ$140,0,MATCH(Y$2,Inputs!$K$4:$AJ$4,0))))+SUMPRODUCT((Inputs!$E$5:$E$140=$B26)*ISNUMBER(INDEX(Inputs!$K$5:$AJ$140,0,MATCH(Y$2,Inputs!$K$4:$AJ$4,0))))=0,NA(),SUMPRODUCT((Inputs!$A$5:$A$140=$B26)*Inputs!$B$5:$B$140*(((Inputs!$G$5:$G$140="moeda")+(Inputs!$G$5:$G$140="acoes"))*Inputs!$B$1+((Inputs!$G$5:$G$140&lt;&gt;"moeda")*(Inputs!$G$5:$G$140&lt;&gt;"acoes")))*INDEX(Inputs!$K$5:$AJ$140,0,MATCH(Y$2,Inputs!$K$4:$AJ$4,0)))+SUMPRODUCT((Inputs!$C$5:$C$140=$B26)*Inputs!$D$5:$D$140*(((Inputs!$G$5:$G$140="moeda")+(Inputs!$G$5:$G$140="acoes"))*Inputs!$B$1+((Inputs!$G$5:$G$140&lt;&gt;"moeda")*(Inputs!$G$5:$G$140&lt;&gt;"acoes")))*INDEX(Inputs!$K$5:$AJ$140,0,MATCH(Y$2,Inputs!$K$4:$AJ$4,0)))+SUMPRODUCT((Inputs!$E$5:$E$140=$B26)*Inputs!$F$5:$F$140*(((Inputs!$G$5:$G$140="moeda")+(Inputs!$G$5:$G$140="acoes"))*Inputs!$B$1+((Inputs!$G$5:$G$140&lt;&gt;"moeda")*(Inputs!$G$5:$G$140&lt;&gt;"acoes")))*INDEX(Inputs!$K$5:$AJ$140,0,MATCH(Y$2,Inputs!$K$4:$AJ$4,0)))))</f>
        <v>76.08</v>
      </c>
      <c r="Z26" s="6">
        <f>IF(ISNA(MATCH(Z$2,Inputs!$K$4:$AJ$4,0)),NA(),IF(SUMPRODUCT((Inputs!$A$5:$A$140=$B26)*ISNUMBER(INDEX(Inputs!$K$5:$AJ$140,0,MATCH(Z$2,Inputs!$K$4:$AJ$4,0))))+SUMPRODUCT((Inputs!$C$5:$C$140=$B26)*ISNUMBER(INDEX(Inputs!$K$5:$AJ$140,0,MATCH(Z$2,Inputs!$K$4:$AJ$4,0))))+SUMPRODUCT((Inputs!$E$5:$E$140=$B26)*ISNUMBER(INDEX(Inputs!$K$5:$AJ$140,0,MATCH(Z$2,Inputs!$K$4:$AJ$4,0))))=0,NA(),SUMPRODUCT((Inputs!$A$5:$A$140=$B26)*Inputs!$B$5:$B$140*(((Inputs!$G$5:$G$140="moeda")+(Inputs!$G$5:$G$140="acoes"))*Inputs!$B$1+((Inputs!$G$5:$G$140&lt;&gt;"moeda")*(Inputs!$G$5:$G$140&lt;&gt;"acoes")))*INDEX(Inputs!$K$5:$AJ$140,0,MATCH(Z$2,Inputs!$K$4:$AJ$4,0)))+SUMPRODUCT((Inputs!$C$5:$C$140=$B26)*Inputs!$D$5:$D$140*(((Inputs!$G$5:$G$140="moeda")+(Inputs!$G$5:$G$140="acoes"))*Inputs!$B$1+((Inputs!$G$5:$G$140&lt;&gt;"moeda")*(Inputs!$G$5:$G$140&lt;&gt;"acoes")))*INDEX(Inputs!$K$5:$AJ$140,0,MATCH(Z$2,Inputs!$K$4:$AJ$4,0)))+SUMPRODUCT((Inputs!$E$5:$E$140=$B26)*Inputs!$F$5:$F$140*(((Inputs!$G$5:$G$140="moeda")+(Inputs!$G$5:$G$140="acoes"))*Inputs!$B$1+((Inputs!$G$5:$G$140&lt;&gt;"moeda")*(Inputs!$G$5:$G$140&lt;&gt;"acoes")))*INDEX(Inputs!$K$5:$AJ$140,0,MATCH(Z$2,Inputs!$K$4:$AJ$4,0)))))</f>
        <v>64.587</v>
      </c>
      <c r="AA26" s="6">
        <f>IF(ISNA(MATCH(AA$2,Inputs!$K$4:$AJ$4,0)),NA(),IF(SUMPRODUCT((Inputs!$A$5:$A$140=$B26)*ISNUMBER(INDEX(Inputs!$K$5:$AJ$140,0,MATCH(AA$2,Inputs!$K$4:$AJ$4,0))))+SUMPRODUCT((Inputs!$C$5:$C$140=$B26)*ISNUMBER(INDEX(Inputs!$K$5:$AJ$140,0,MATCH(AA$2,Inputs!$K$4:$AJ$4,0))))+SUMPRODUCT((Inputs!$E$5:$E$140=$B26)*ISNUMBER(INDEX(Inputs!$K$5:$AJ$140,0,MATCH(AA$2,Inputs!$K$4:$AJ$4,0))))=0,NA(),SUMPRODUCT((Inputs!$A$5:$A$140=$B26)*Inputs!$B$5:$B$140*(((Inputs!$G$5:$G$140="moeda")+(Inputs!$G$5:$G$140="acoes"))*Inputs!$B$1+((Inputs!$G$5:$G$140&lt;&gt;"moeda")*(Inputs!$G$5:$G$140&lt;&gt;"acoes")))*INDEX(Inputs!$K$5:$AJ$140,0,MATCH(AA$2,Inputs!$K$4:$AJ$4,0)))+SUMPRODUCT((Inputs!$C$5:$C$140=$B26)*Inputs!$D$5:$D$140*(((Inputs!$G$5:$G$140="moeda")+(Inputs!$G$5:$G$140="acoes"))*Inputs!$B$1+((Inputs!$G$5:$G$140&lt;&gt;"moeda")*(Inputs!$G$5:$G$140&lt;&gt;"acoes")))*INDEX(Inputs!$K$5:$AJ$140,0,MATCH(AA$2,Inputs!$K$4:$AJ$4,0)))+SUMPRODUCT((Inputs!$E$5:$E$140=$B26)*Inputs!$F$5:$F$140*(((Inputs!$G$5:$G$140="moeda")+(Inputs!$G$5:$G$140="acoes"))*Inputs!$B$1+((Inputs!$G$5:$G$140&lt;&gt;"moeda")*(Inputs!$G$5:$G$140&lt;&gt;"acoes")))*INDEX(Inputs!$K$5:$AJ$140,0,MATCH(AA$2,Inputs!$K$4:$AJ$4,0)))))</f>
        <v>59.169</v>
      </c>
      <c r="AB26" s="3">
        <f>AA26</f>
        <v>59.169</v>
      </c>
      <c r="AC26" s="6">
        <f>IF(ISNA(MATCH(AC$2,Inputs!$K$4:$AJ$4,0)),NA(),IF(SUMPRODUCT((Inputs!$A$5:$A$140=$B26)*ISNUMBER(INDEX(Inputs!$K$5:$AJ$140,0,MATCH(AC$2,Inputs!$K$4:$AJ$4,0))))+SUMPRODUCT((Inputs!$C$5:$C$140=$B26)*ISNUMBER(INDEX(Inputs!$K$5:$AJ$140,0,MATCH(AC$2,Inputs!$K$4:$AJ$4,0))))+SUMPRODUCT((Inputs!$E$5:$E$140=$B26)*ISNUMBER(INDEX(Inputs!$K$5:$AJ$140,0,MATCH(AC$2,Inputs!$K$4:$AJ$4,0))))=0,NA(),SUMPRODUCT((Inputs!$A$5:$A$140=$B26)*Inputs!$B$5:$B$140*(((Inputs!$G$5:$G$140="moeda")+(Inputs!$G$5:$G$140="acoes"))*Inputs!$B$1+((Inputs!$G$5:$G$140&lt;&gt;"moeda")*(Inputs!$G$5:$G$140&lt;&gt;"acoes")))*INDEX(Inputs!$K$5:$AJ$140,0,MATCH(AC$2,Inputs!$K$4:$AJ$4,0)))+SUMPRODUCT((Inputs!$C$5:$C$140=$B26)*Inputs!$D$5:$D$140*(((Inputs!$G$5:$G$140="moeda")+(Inputs!$G$5:$G$140="acoes"))*Inputs!$B$1+((Inputs!$G$5:$G$140&lt;&gt;"moeda")*(Inputs!$G$5:$G$140&lt;&gt;"acoes")))*INDEX(Inputs!$K$5:$AJ$140,0,MATCH(AC$2,Inputs!$K$4:$AJ$4,0)))+SUMPRODUCT((Inputs!$E$5:$E$140=$B26)*Inputs!$F$5:$F$140*(((Inputs!$G$5:$G$140="moeda")+(Inputs!$G$5:$G$140="acoes"))*Inputs!$B$1+((Inputs!$G$5:$G$140&lt;&gt;"moeda")*(Inputs!$G$5:$G$140&lt;&gt;"acoes")))*INDEX(Inputs!$K$5:$AJ$140,0,MATCH(AC$2,Inputs!$K$4:$AJ$4,0)))))</f>
        <v>66.113</v>
      </c>
      <c r="AD26" s="6">
        <f>IF(ISNA(MATCH(AD$2,Inputs!$K$4:$AJ$4,0)),NA(),IF(SUMPRODUCT((Inputs!$A$5:$A$140=$B26)*ISNUMBER(INDEX(Inputs!$K$5:$AJ$140,0,MATCH(AD$2,Inputs!$K$4:$AJ$4,0))))+SUMPRODUCT((Inputs!$C$5:$C$140=$B26)*ISNUMBER(INDEX(Inputs!$K$5:$AJ$140,0,MATCH(AD$2,Inputs!$K$4:$AJ$4,0))))+SUMPRODUCT((Inputs!$E$5:$E$140=$B26)*ISNUMBER(INDEX(Inputs!$K$5:$AJ$140,0,MATCH(AD$2,Inputs!$K$4:$AJ$4,0))))=0,NA(),SUMPRODUCT((Inputs!$A$5:$A$140=$B26)*Inputs!$B$5:$B$140*(((Inputs!$G$5:$G$140="moeda")+(Inputs!$G$5:$G$140="acoes"))*Inputs!$B$1+((Inputs!$G$5:$G$140&lt;&gt;"moeda")*(Inputs!$G$5:$G$140&lt;&gt;"acoes")))*INDEX(Inputs!$K$5:$AJ$140,0,MATCH(AD$2,Inputs!$K$4:$AJ$4,0)))+SUMPRODUCT((Inputs!$C$5:$C$140=$B26)*Inputs!$D$5:$D$140*(((Inputs!$G$5:$G$140="moeda")+(Inputs!$G$5:$G$140="acoes"))*Inputs!$B$1+((Inputs!$G$5:$G$140&lt;&gt;"moeda")*(Inputs!$G$5:$G$140&lt;&gt;"acoes")))*INDEX(Inputs!$K$5:$AJ$140,0,MATCH(AD$2,Inputs!$K$4:$AJ$4,0)))+SUMPRODUCT((Inputs!$E$5:$E$140=$B26)*Inputs!$F$5:$F$140*(((Inputs!$G$5:$G$140="moeda")+(Inputs!$G$5:$G$140="acoes"))*Inputs!$B$1+((Inputs!$G$5:$G$140&lt;&gt;"moeda")*(Inputs!$G$5:$G$140&lt;&gt;"acoes")))*INDEX(Inputs!$K$5:$AJ$140,0,MATCH(AD$2,Inputs!$K$4:$AJ$4,0)))))</f>
        <v>71</v>
      </c>
      <c r="AE26" s="6" t="e">
        <f>IF(ISNA(MATCH(AE$2,Inputs!$K$4:$AJ$4,0)),NA(),IF(SUMPRODUCT((Inputs!$A$5:$A$140=$B26)*ISNUMBER(INDEX(Inputs!$K$5:$AJ$140,0,MATCH(AE$2,Inputs!$K$4:$AJ$4,0))))+SUMPRODUCT((Inputs!$C$5:$C$140=$B26)*ISNUMBER(INDEX(Inputs!$K$5:$AJ$140,0,MATCH(AE$2,Inputs!$K$4:$AJ$4,0))))+SUMPRODUCT((Inputs!$E$5:$E$140=$B26)*ISNUMBER(INDEX(Inputs!$K$5:$AJ$140,0,MATCH(AE$2,Inputs!$K$4:$AJ$4,0))))=0,NA(),SUMPRODUCT((Inputs!$A$5:$A$140=$B26)*Inputs!$B$5:$B$140*(((Inputs!$G$5:$G$140="moeda")+(Inputs!$G$5:$G$140="acoes"))*Inputs!$B$1+((Inputs!$G$5:$G$140&lt;&gt;"moeda")*(Inputs!$G$5:$G$140&lt;&gt;"acoes")))*INDEX(Inputs!$K$5:$AJ$140,0,MATCH(AE$2,Inputs!$K$4:$AJ$4,0)))+SUMPRODUCT((Inputs!$C$5:$C$140=$B26)*Inputs!$D$5:$D$140*(((Inputs!$G$5:$G$140="moeda")+(Inputs!$G$5:$G$140="acoes"))*Inputs!$B$1+((Inputs!$G$5:$G$140&lt;&gt;"moeda")*(Inputs!$G$5:$G$140&lt;&gt;"acoes")))*INDEX(Inputs!$K$5:$AJ$140,0,MATCH(AE$2,Inputs!$K$4:$AJ$4,0)))+SUMPRODUCT((Inputs!$E$5:$E$140=$B26)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6" s="6" t="e">
        <f>IF(ISNA(MATCH(AF$2,Inputs!$K$4:$AJ$4,0)),NA(),IF(SUMPRODUCT((Inputs!$A$5:$A$140=$B26)*ISNUMBER(INDEX(Inputs!$K$5:$AJ$140,0,MATCH(AF$2,Inputs!$K$4:$AJ$4,0))))+SUMPRODUCT((Inputs!$C$5:$C$140=$B26)*ISNUMBER(INDEX(Inputs!$K$5:$AJ$140,0,MATCH(AF$2,Inputs!$K$4:$AJ$4,0))))+SUMPRODUCT((Inputs!$E$5:$E$140=$B26)*ISNUMBER(INDEX(Inputs!$K$5:$AJ$140,0,MATCH(AF$2,Inputs!$K$4:$AJ$4,0))))=0,NA(),SUMPRODUCT((Inputs!$A$5:$A$140=$B26)*Inputs!$B$5:$B$140*(((Inputs!$G$5:$G$140="moeda")+(Inputs!$G$5:$G$140="acoes"))*Inputs!$B$1+((Inputs!$G$5:$G$140&lt;&gt;"moeda")*(Inputs!$G$5:$G$140&lt;&gt;"acoes")))*INDEX(Inputs!$K$5:$AJ$140,0,MATCH(AF$2,Inputs!$K$4:$AJ$4,0)))+SUMPRODUCT((Inputs!$C$5:$C$140=$B26)*Inputs!$D$5:$D$140*(((Inputs!$G$5:$G$140="moeda")+(Inputs!$G$5:$G$140="acoes"))*Inputs!$B$1+((Inputs!$G$5:$G$140&lt;&gt;"moeda")*(Inputs!$G$5:$G$140&lt;&gt;"acoes")))*INDEX(Inputs!$K$5:$AJ$140,0,MATCH(AF$2,Inputs!$K$4:$AJ$4,0)))+SUMPRODUCT((Inputs!$E$5:$E$140=$B26)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6" s="3" t="e">
        <f>AF26</f>
        <v>#N/A</v>
      </c>
      <c r="AH26" s="6">
        <f>IF(ISNA(MATCH(AH$2,Inputs!$K$4:$AJ$4,0)),NA(),IF(SUMPRODUCT((Inputs!$A$5:$A$140=$B26)*ISNUMBER(INDEX(Inputs!$K$5:$AJ$140,0,MATCH(AH$2,Inputs!$K$4:$AJ$4,0))))+SUMPRODUCT((Inputs!$C$5:$C$140=$B26)*ISNUMBER(INDEX(Inputs!$K$5:$AJ$140,0,MATCH(AH$2,Inputs!$K$4:$AJ$4,0))))+SUMPRODUCT((Inputs!$E$5:$E$140=$B26)*ISNUMBER(INDEX(Inputs!$K$5:$AJ$140,0,MATCH(AH$2,Inputs!$K$4:$AJ$4,0))))=0,NA(),SUMPRODUCT((Inputs!$A$5:$A$140=$B26)*Inputs!$B$5:$B$140*(((Inputs!$G$5:$G$140="moeda")+(Inputs!$G$5:$G$140="acoes"))*Inputs!$B$1+((Inputs!$G$5:$G$140&lt;&gt;"moeda")*(Inputs!$G$5:$G$140&lt;&gt;"acoes")))*INDEX(Inputs!$K$5:$AJ$140,0,MATCH(AH$2,Inputs!$K$4:$AJ$4,0)))+SUMPRODUCT((Inputs!$C$5:$C$140=$B26)*Inputs!$D$5:$D$140*(((Inputs!$G$5:$G$140="moeda")+(Inputs!$G$5:$G$140="acoes"))*Inputs!$B$1+((Inputs!$G$5:$G$140&lt;&gt;"moeda")*(Inputs!$G$5:$G$140&lt;&gt;"acoes")))*INDEX(Inputs!$K$5:$AJ$140,0,MATCH(AH$2,Inputs!$K$4:$AJ$4,0)))+SUMPRODUCT((Inputs!$E$5:$E$140=$B26)*Inputs!$F$5:$F$140*(((Inputs!$G$5:$G$140="moeda")+(Inputs!$G$5:$G$140="acoes"))*Inputs!$B$1+((Inputs!$G$5:$G$140&lt;&gt;"moeda")*(Inputs!$G$5:$G$140&lt;&gt;"acoes")))*INDEX(Inputs!$K$5:$AJ$140,0,MATCH(AH$2,Inputs!$K$4:$AJ$4,0)))))</f>
        <v>45.021</v>
      </c>
      <c r="AI26" s="6">
        <f>IF(ISNA(MATCH(AI$2,Inputs!$K$4:$AJ$4,0)),NA(),IF(SUMPRODUCT((Inputs!$A$5:$A$140=$B26)*ISNUMBER(INDEX(Inputs!$K$5:$AJ$140,0,MATCH(AI$2,Inputs!$K$4:$AJ$4,0))))+SUMPRODUCT((Inputs!$C$5:$C$140=$B26)*ISNUMBER(INDEX(Inputs!$K$5:$AJ$140,0,MATCH(AI$2,Inputs!$K$4:$AJ$4,0))))+SUMPRODUCT((Inputs!$E$5:$E$140=$B26)*ISNUMBER(INDEX(Inputs!$K$5:$AJ$140,0,MATCH(AI$2,Inputs!$K$4:$AJ$4,0))))=0,NA(),SUMPRODUCT((Inputs!$A$5:$A$140=$B26)*Inputs!$B$5:$B$140*(((Inputs!$G$5:$G$140="moeda")+(Inputs!$G$5:$G$140="acoes"))*Inputs!$B$1+((Inputs!$G$5:$G$140&lt;&gt;"moeda")*(Inputs!$G$5:$G$140&lt;&gt;"acoes")))*INDEX(Inputs!$K$5:$AJ$140,0,MATCH(AI$2,Inputs!$K$4:$AJ$4,0)))+SUMPRODUCT((Inputs!$C$5:$C$140=$B26)*Inputs!$D$5:$D$140*(((Inputs!$G$5:$G$140="moeda")+(Inputs!$G$5:$G$140="acoes"))*Inputs!$B$1+((Inputs!$G$5:$G$140&lt;&gt;"moeda")*(Inputs!$G$5:$G$140&lt;&gt;"acoes")))*INDEX(Inputs!$K$5:$AJ$140,0,MATCH(AI$2,Inputs!$K$4:$AJ$4,0)))+SUMPRODUCT((Inputs!$E$5:$E$140=$B26)*Inputs!$F$5:$F$140*(((Inputs!$G$5:$G$140="moeda")+(Inputs!$G$5:$G$140="acoes"))*Inputs!$B$1+((Inputs!$G$5:$G$140&lt;&gt;"moeda")*(Inputs!$G$5:$G$140&lt;&gt;"acoes")))*INDEX(Inputs!$K$5:$AJ$140,0,MATCH(AI$2,Inputs!$K$4:$AJ$4,0)))))</f>
        <v>44.957</v>
      </c>
      <c r="AJ26" s="6">
        <f>IF(ISNA(MATCH(AJ$2,Inputs!$K$4:$AJ$4,0)),NA(),IF(SUMPRODUCT((Inputs!$A$5:$A$140=$B26)*ISNUMBER(INDEX(Inputs!$K$5:$AJ$140,0,MATCH(AJ$2,Inputs!$K$4:$AJ$4,0))))+SUMPRODUCT((Inputs!$C$5:$C$140=$B26)*ISNUMBER(INDEX(Inputs!$K$5:$AJ$140,0,MATCH(AJ$2,Inputs!$K$4:$AJ$4,0))))+SUMPRODUCT((Inputs!$E$5:$E$140=$B26)*ISNUMBER(INDEX(Inputs!$K$5:$AJ$140,0,MATCH(AJ$2,Inputs!$K$4:$AJ$4,0))))=0,NA(),SUMPRODUCT((Inputs!$A$5:$A$140=$B26)*Inputs!$B$5:$B$140*(((Inputs!$G$5:$G$140="moeda")+(Inputs!$G$5:$G$140="acoes"))*Inputs!$B$1+((Inputs!$G$5:$G$140&lt;&gt;"moeda")*(Inputs!$G$5:$G$140&lt;&gt;"acoes")))*INDEX(Inputs!$K$5:$AJ$140,0,MATCH(AJ$2,Inputs!$K$4:$AJ$4,0)))+SUMPRODUCT((Inputs!$C$5:$C$140=$B26)*Inputs!$D$5:$D$140*(((Inputs!$G$5:$G$140="moeda")+(Inputs!$G$5:$G$140="acoes"))*Inputs!$B$1+((Inputs!$G$5:$G$140&lt;&gt;"moeda")*(Inputs!$G$5:$G$140&lt;&gt;"acoes")))*INDEX(Inputs!$K$5:$AJ$140,0,MATCH(AJ$2,Inputs!$K$4:$AJ$4,0)))+SUMPRODUCT((Inputs!$E$5:$E$140=$B26)*Inputs!$F$5:$F$140*(((Inputs!$G$5:$G$140="moeda")+(Inputs!$G$5:$G$140="acoes"))*Inputs!$B$1+((Inputs!$G$5:$G$140&lt;&gt;"moeda")*(Inputs!$G$5:$G$140&lt;&gt;"acoes")))*INDEX(Inputs!$K$5:$AJ$140,0,MATCH(AJ$2,Inputs!$K$4:$AJ$4,0)))))</f>
        <v>37.129</v>
      </c>
      <c r="AK26" s="6">
        <f>IF(ISNA(MATCH(AK$2,Inputs!$K$4:$AJ$4,0)),NA(),IF(SUMPRODUCT((Inputs!$A$5:$A$140=$B26)*ISNUMBER(INDEX(Inputs!$K$5:$AJ$140,0,MATCH(AK$2,Inputs!$K$4:$AJ$4,0))))+SUMPRODUCT((Inputs!$C$5:$C$140=$B26)*ISNUMBER(INDEX(Inputs!$K$5:$AJ$140,0,MATCH(AK$2,Inputs!$K$4:$AJ$4,0))))+SUMPRODUCT((Inputs!$E$5:$E$140=$B26)*ISNUMBER(INDEX(Inputs!$K$5:$AJ$140,0,MATCH(AK$2,Inputs!$K$4:$AJ$4,0))))=0,NA(),SUMPRODUCT((Inputs!$A$5:$A$140=$B26)*Inputs!$B$5:$B$140*(((Inputs!$G$5:$G$140="moeda")+(Inputs!$G$5:$G$140="acoes"))*Inputs!$B$1+((Inputs!$G$5:$G$140&lt;&gt;"moeda")*(Inputs!$G$5:$G$140&lt;&gt;"acoes")))*INDEX(Inputs!$K$5:$AJ$140,0,MATCH(AK$2,Inputs!$K$4:$AJ$4,0)))+SUMPRODUCT((Inputs!$C$5:$C$140=$B26)*Inputs!$D$5:$D$140*(((Inputs!$G$5:$G$140="moeda")+(Inputs!$G$5:$G$140="acoes"))*Inputs!$B$1+((Inputs!$G$5:$G$140&lt;&gt;"moeda")*(Inputs!$G$5:$G$140&lt;&gt;"acoes")))*INDEX(Inputs!$K$5:$AJ$140,0,MATCH(AK$2,Inputs!$K$4:$AJ$4,0)))+SUMPRODUCT((Inputs!$E$5:$E$140=$B26)*Inputs!$F$5:$F$140*(((Inputs!$G$5:$G$140="moeda")+(Inputs!$G$5:$G$140="acoes"))*Inputs!$B$1+((Inputs!$G$5:$G$140&lt;&gt;"moeda")*(Inputs!$G$5:$G$140&lt;&gt;"acoes")))*INDEX(Inputs!$K$5:$AJ$140,0,MATCH(AK$2,Inputs!$K$4:$AJ$4,0)))))</f>
        <v>52.524</v>
      </c>
      <c r="AL26" s="3">
        <f>AK26</f>
        <v>52.524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$140=$B28)*ISNUMBER(INDEX(Inputs!$K$5:$AJ$140,0,MATCH(D$2,Inputs!$K$4:$AJ$4,0))))+SUMPRODUCT((Inputs!$C$5:$C$140=$B28)*ISNUMBER(INDEX(Inputs!$K$5:$AJ$140,0,MATCH(D$2,Inputs!$K$4:$AJ$4,0))))+SUMPRODUCT((Inputs!$E$5:$E$140=$B28)*ISNUMBER(INDEX(Inputs!$K$5:$AJ$140,0,MATCH(D$2,Inputs!$K$4:$AJ$4,0))))=0,NA(),SUMPRODUCT((Inputs!$A$5:$A$140=$B28)*Inputs!$B$5:$B$140*(((Inputs!$G$5:$G$140="moeda")+(Inputs!$G$5:$G$140="acoes"))*Inputs!$B$1+((Inputs!$G$5:$G$140&lt;&gt;"moeda")*(Inputs!$G$5:$G$140&lt;&gt;"acoes")))*INDEX(Inputs!$K$5:$AJ$140,0,MATCH(D$2,Inputs!$K$4:$AJ$4,0)))+SUMPRODUCT((Inputs!$C$5:$C$140=$B28)*Inputs!$D$5:$D$140*(((Inputs!$G$5:$G$140="moeda")+(Inputs!$G$5:$G$140="acoes"))*Inputs!$B$1+((Inputs!$G$5:$G$140&lt;&gt;"moeda")*(Inputs!$G$5:$G$140&lt;&gt;"acoes")))*INDEX(Inputs!$K$5:$AJ$140,0,MATCH(D$2,Inputs!$K$4:$AJ$4,0)))+SUMPRODUCT((Inputs!$E$5:$E$140=$B28)*Inputs!$F$5:$F$140*(((Inputs!$G$5:$G$140="moeda")+(Inputs!$G$5:$G$140="acoes"))*Inputs!$B$1+((Inputs!$G$5:$G$140&lt;&gt;"moeda")*(Inputs!$G$5:$G$140&lt;&gt;"acoes")))*INDEX(Inputs!$K$5:$AJ$140,0,MATCH(D$2,Inputs!$K$4:$AJ$4,0)))))</f>
        <v>60.296</v>
      </c>
      <c r="E28" s="6">
        <f>IF(ISNA(MATCH(E$2,Inputs!$K$4:$AJ$4,0)),NA(),IF(SUMPRODUCT((Inputs!$A$5:$A$140=$B28)*ISNUMBER(INDEX(Inputs!$K$5:$AJ$140,0,MATCH(E$2,Inputs!$K$4:$AJ$4,0))))+SUMPRODUCT((Inputs!$C$5:$C$140=$B28)*ISNUMBER(INDEX(Inputs!$K$5:$AJ$140,0,MATCH(E$2,Inputs!$K$4:$AJ$4,0))))+SUMPRODUCT((Inputs!$E$5:$E$140=$B28)*ISNUMBER(INDEX(Inputs!$K$5:$AJ$140,0,MATCH(E$2,Inputs!$K$4:$AJ$4,0))))=0,NA(),SUMPRODUCT((Inputs!$A$5:$A$140=$B28)*Inputs!$B$5:$B$140*(((Inputs!$G$5:$G$140="moeda")+(Inputs!$G$5:$G$140="acoes"))*Inputs!$B$1+((Inputs!$G$5:$G$140&lt;&gt;"moeda")*(Inputs!$G$5:$G$140&lt;&gt;"acoes")))*INDEX(Inputs!$K$5:$AJ$140,0,MATCH(E$2,Inputs!$K$4:$AJ$4,0)))+SUMPRODUCT((Inputs!$C$5:$C$140=$B28)*Inputs!$D$5:$D$140*(((Inputs!$G$5:$G$140="moeda")+(Inputs!$G$5:$G$140="acoes"))*Inputs!$B$1+((Inputs!$G$5:$G$140&lt;&gt;"moeda")*(Inputs!$G$5:$G$140&lt;&gt;"acoes")))*INDEX(Inputs!$K$5:$AJ$140,0,MATCH(E$2,Inputs!$K$4:$AJ$4,0)))+SUMPRODUCT((Inputs!$E$5:$E$140=$B28)*Inputs!$F$5:$F$140*(((Inputs!$G$5:$G$140="moeda")+(Inputs!$G$5:$G$140="acoes"))*Inputs!$B$1+((Inputs!$G$5:$G$140&lt;&gt;"moeda")*(Inputs!$G$5:$G$140&lt;&gt;"acoes")))*INDEX(Inputs!$K$5:$AJ$140,0,MATCH(E$2,Inputs!$K$4:$AJ$4,0)))))</f>
        <v>91.549</v>
      </c>
      <c r="F28" s="6">
        <f>IF(ISNA(MATCH(F$2,Inputs!$K$4:$AJ$4,0)),NA(),IF(SUMPRODUCT((Inputs!$A$5:$A$140=$B28)*ISNUMBER(INDEX(Inputs!$K$5:$AJ$140,0,MATCH(F$2,Inputs!$K$4:$AJ$4,0))))+SUMPRODUCT((Inputs!$C$5:$C$140=$B28)*ISNUMBER(INDEX(Inputs!$K$5:$AJ$140,0,MATCH(F$2,Inputs!$K$4:$AJ$4,0))))+SUMPRODUCT((Inputs!$E$5:$E$140=$B28)*ISNUMBER(INDEX(Inputs!$K$5:$AJ$140,0,MATCH(F$2,Inputs!$K$4:$AJ$4,0))))=0,NA(),SUMPRODUCT((Inputs!$A$5:$A$140=$B28)*Inputs!$B$5:$B$140*(((Inputs!$G$5:$G$140="moeda")+(Inputs!$G$5:$G$140="acoes"))*Inputs!$B$1+((Inputs!$G$5:$G$140&lt;&gt;"moeda")*(Inputs!$G$5:$G$140&lt;&gt;"acoes")))*INDEX(Inputs!$K$5:$AJ$140,0,MATCH(F$2,Inputs!$K$4:$AJ$4,0)))+SUMPRODUCT((Inputs!$C$5:$C$140=$B28)*Inputs!$D$5:$D$140*(((Inputs!$G$5:$G$140="moeda")+(Inputs!$G$5:$G$140="acoes"))*Inputs!$B$1+((Inputs!$G$5:$G$140&lt;&gt;"moeda")*(Inputs!$G$5:$G$140&lt;&gt;"acoes")))*INDEX(Inputs!$K$5:$AJ$140,0,MATCH(F$2,Inputs!$K$4:$AJ$4,0)))+SUMPRODUCT((Inputs!$E$5:$E$140=$B28)*Inputs!$F$5:$F$140*(((Inputs!$G$5:$G$140="moeda")+(Inputs!$G$5:$G$140="acoes"))*Inputs!$B$1+((Inputs!$G$5:$G$140&lt;&gt;"moeda")*(Inputs!$G$5:$G$140&lt;&gt;"acoes")))*INDEX(Inputs!$K$5:$AJ$140,0,MATCH(F$2,Inputs!$K$4:$AJ$4,0)))))</f>
        <v>90.214</v>
      </c>
      <c r="G28" s="6">
        <f>IF(ISNA(MATCH(G$2,Inputs!$K$4:$AJ$4,0)),NA(),IF(SUMPRODUCT((Inputs!$A$5:$A$140=$B28)*ISNUMBER(INDEX(Inputs!$K$5:$AJ$140,0,MATCH(G$2,Inputs!$K$4:$AJ$4,0))))+SUMPRODUCT((Inputs!$C$5:$C$140=$B28)*ISNUMBER(INDEX(Inputs!$K$5:$AJ$140,0,MATCH(G$2,Inputs!$K$4:$AJ$4,0))))+SUMPRODUCT((Inputs!$E$5:$E$140=$B28)*ISNUMBER(INDEX(Inputs!$K$5:$AJ$140,0,MATCH(G$2,Inputs!$K$4:$AJ$4,0))))=0,NA(),SUMPRODUCT((Inputs!$A$5:$A$140=$B28)*Inputs!$B$5:$B$140*(((Inputs!$G$5:$G$140="moeda")+(Inputs!$G$5:$G$140="acoes"))*Inputs!$B$1+((Inputs!$G$5:$G$140&lt;&gt;"moeda")*(Inputs!$G$5:$G$140&lt;&gt;"acoes")))*INDEX(Inputs!$K$5:$AJ$140,0,MATCH(G$2,Inputs!$K$4:$AJ$4,0)))+SUMPRODUCT((Inputs!$C$5:$C$140=$B28)*Inputs!$D$5:$D$140*(((Inputs!$G$5:$G$140="moeda")+(Inputs!$G$5:$G$140="acoes"))*Inputs!$B$1+((Inputs!$G$5:$G$140&lt;&gt;"moeda")*(Inputs!$G$5:$G$140&lt;&gt;"acoes")))*INDEX(Inputs!$K$5:$AJ$140,0,MATCH(G$2,Inputs!$K$4:$AJ$4,0)))+SUMPRODUCT((Inputs!$E$5:$E$140=$B28)*Inputs!$F$5:$F$140*(((Inputs!$G$5:$G$140="moeda")+(Inputs!$G$5:$G$140="acoes"))*Inputs!$B$1+((Inputs!$G$5:$G$140&lt;&gt;"moeda")*(Inputs!$G$5:$G$140&lt;&gt;"acoes")))*INDEX(Inputs!$K$5:$AJ$140,0,MATCH(G$2,Inputs!$K$4:$AJ$4,0)))))</f>
        <v>87.488</v>
      </c>
      <c r="H28" s="3">
        <f>G28</f>
        <v>87.488</v>
      </c>
      <c r="I28" s="6">
        <f>IF(ISNA(MATCH(I$2,Inputs!$K$4:$AJ$4,0)),NA(),IF(SUMPRODUCT((Inputs!$A$5:$A$140=$B28)*ISNUMBER(INDEX(Inputs!$K$5:$AJ$140,0,MATCH(I$2,Inputs!$K$4:$AJ$4,0))))+SUMPRODUCT((Inputs!$C$5:$C$140=$B28)*ISNUMBER(INDEX(Inputs!$K$5:$AJ$140,0,MATCH(I$2,Inputs!$K$4:$AJ$4,0))))+SUMPRODUCT((Inputs!$E$5:$E$140=$B28)*ISNUMBER(INDEX(Inputs!$K$5:$AJ$140,0,MATCH(I$2,Inputs!$K$4:$AJ$4,0))))=0,NA(),SUMPRODUCT((Inputs!$A$5:$A$140=$B28)*Inputs!$B$5:$B$140*(((Inputs!$G$5:$G$140="moeda")+(Inputs!$G$5:$G$140="acoes"))*Inputs!$B$1+((Inputs!$G$5:$G$140&lt;&gt;"moeda")*(Inputs!$G$5:$G$140&lt;&gt;"acoes")))*INDEX(Inputs!$K$5:$AJ$140,0,MATCH(I$2,Inputs!$K$4:$AJ$4,0)))+SUMPRODUCT((Inputs!$C$5:$C$140=$B28)*Inputs!$D$5:$D$140*(((Inputs!$G$5:$G$140="moeda")+(Inputs!$G$5:$G$140="acoes"))*Inputs!$B$1+((Inputs!$G$5:$G$140&lt;&gt;"moeda")*(Inputs!$G$5:$G$140&lt;&gt;"acoes")))*INDEX(Inputs!$K$5:$AJ$140,0,MATCH(I$2,Inputs!$K$4:$AJ$4,0)))+SUMPRODUCT((Inputs!$E$5:$E$140=$B28)*Inputs!$F$5:$F$140*(((Inputs!$G$5:$G$140="moeda")+(Inputs!$G$5:$G$140="acoes"))*Inputs!$B$1+((Inputs!$G$5:$G$140&lt;&gt;"moeda")*(Inputs!$G$5:$G$140&lt;&gt;"acoes")))*INDEX(Inputs!$K$5:$AJ$140,0,MATCH(I$2,Inputs!$K$4:$AJ$4,0)))))</f>
        <v>83.823</v>
      </c>
      <c r="J28" s="6">
        <f>IF(ISNA(MATCH(J$2,Inputs!$K$4:$AJ$4,0)),NA(),IF(SUMPRODUCT((Inputs!$A$5:$A$140=$B28)*ISNUMBER(INDEX(Inputs!$K$5:$AJ$140,0,MATCH(J$2,Inputs!$K$4:$AJ$4,0))))+SUMPRODUCT((Inputs!$C$5:$C$140=$B28)*ISNUMBER(INDEX(Inputs!$K$5:$AJ$140,0,MATCH(J$2,Inputs!$K$4:$AJ$4,0))))+SUMPRODUCT((Inputs!$E$5:$E$140=$B28)*ISNUMBER(INDEX(Inputs!$K$5:$AJ$140,0,MATCH(J$2,Inputs!$K$4:$AJ$4,0))))=0,NA(),SUMPRODUCT((Inputs!$A$5:$A$140=$B28)*Inputs!$B$5:$B$140*(((Inputs!$G$5:$G$140="moeda")+(Inputs!$G$5:$G$140="acoes"))*Inputs!$B$1+((Inputs!$G$5:$G$140&lt;&gt;"moeda")*(Inputs!$G$5:$G$140&lt;&gt;"acoes")))*INDEX(Inputs!$K$5:$AJ$140,0,MATCH(J$2,Inputs!$K$4:$AJ$4,0)))+SUMPRODUCT((Inputs!$C$5:$C$140=$B28)*Inputs!$D$5:$D$140*(((Inputs!$G$5:$G$140="moeda")+(Inputs!$G$5:$G$140="acoes"))*Inputs!$B$1+((Inputs!$G$5:$G$140&lt;&gt;"moeda")*(Inputs!$G$5:$G$140&lt;&gt;"acoes")))*INDEX(Inputs!$K$5:$AJ$140,0,MATCH(J$2,Inputs!$K$4:$AJ$4,0)))+SUMPRODUCT((Inputs!$E$5:$E$140=$B28)*Inputs!$F$5:$F$140*(((Inputs!$G$5:$G$140="moeda")+(Inputs!$G$5:$G$140="acoes"))*Inputs!$B$1+((Inputs!$G$5:$G$140&lt;&gt;"moeda")*(Inputs!$G$5:$G$140&lt;&gt;"acoes")))*INDEX(Inputs!$K$5:$AJ$140,0,MATCH(J$2,Inputs!$K$4:$AJ$4,0)))))</f>
        <v>113.748</v>
      </c>
      <c r="K28" s="6">
        <f>IF(ISNA(MATCH(K$2,Inputs!$K$4:$AJ$4,0)),NA(),IF(SUMPRODUCT((Inputs!$A$5:$A$140=$B28)*ISNUMBER(INDEX(Inputs!$K$5:$AJ$140,0,MATCH(K$2,Inputs!$K$4:$AJ$4,0))))+SUMPRODUCT((Inputs!$C$5:$C$140=$B28)*ISNUMBER(INDEX(Inputs!$K$5:$AJ$140,0,MATCH(K$2,Inputs!$K$4:$AJ$4,0))))+SUMPRODUCT((Inputs!$E$5:$E$140=$B28)*ISNUMBER(INDEX(Inputs!$K$5:$AJ$140,0,MATCH(K$2,Inputs!$K$4:$AJ$4,0))))=0,NA(),SUMPRODUCT((Inputs!$A$5:$A$140=$B28)*Inputs!$B$5:$B$140*(((Inputs!$G$5:$G$140="moeda")+(Inputs!$G$5:$G$140="acoes"))*Inputs!$B$1+((Inputs!$G$5:$G$140&lt;&gt;"moeda")*(Inputs!$G$5:$G$140&lt;&gt;"acoes")))*INDEX(Inputs!$K$5:$AJ$140,0,MATCH(K$2,Inputs!$K$4:$AJ$4,0)))+SUMPRODUCT((Inputs!$C$5:$C$140=$B28)*Inputs!$D$5:$D$140*(((Inputs!$G$5:$G$140="moeda")+(Inputs!$G$5:$G$140="acoes"))*Inputs!$B$1+((Inputs!$G$5:$G$140&lt;&gt;"moeda")*(Inputs!$G$5:$G$140&lt;&gt;"acoes")))*INDEX(Inputs!$K$5:$AJ$140,0,MATCH(K$2,Inputs!$K$4:$AJ$4,0)))+SUMPRODUCT((Inputs!$E$5:$E$140=$B28)*Inputs!$F$5:$F$140*(((Inputs!$G$5:$G$140="moeda")+(Inputs!$G$5:$G$140="acoes"))*Inputs!$B$1+((Inputs!$G$5:$G$140&lt;&gt;"moeda")*(Inputs!$G$5:$G$140&lt;&gt;"acoes")))*INDEX(Inputs!$K$5:$AJ$140,0,MATCH(K$2,Inputs!$K$4:$AJ$4,0)))))</f>
        <v>104.282</v>
      </c>
      <c r="L28" s="6">
        <f>IF(ISNA(MATCH(L$2,Inputs!$K$4:$AJ$4,0)),NA(),IF(SUMPRODUCT((Inputs!$A$5:$A$140=$B28)*ISNUMBER(INDEX(Inputs!$K$5:$AJ$140,0,MATCH(L$2,Inputs!$K$4:$AJ$4,0))))+SUMPRODUCT((Inputs!$C$5:$C$140=$B28)*ISNUMBER(INDEX(Inputs!$K$5:$AJ$140,0,MATCH(L$2,Inputs!$K$4:$AJ$4,0))))+SUMPRODUCT((Inputs!$E$5:$E$140=$B28)*ISNUMBER(INDEX(Inputs!$K$5:$AJ$140,0,MATCH(L$2,Inputs!$K$4:$AJ$4,0))))=0,NA(),SUMPRODUCT((Inputs!$A$5:$A$140=$B28)*Inputs!$B$5:$B$140*(((Inputs!$G$5:$G$140="moeda")+(Inputs!$G$5:$G$140="acoes"))*Inputs!$B$1+((Inputs!$G$5:$G$140&lt;&gt;"moeda")*(Inputs!$G$5:$G$140&lt;&gt;"acoes")))*INDEX(Inputs!$K$5:$AJ$140,0,MATCH(L$2,Inputs!$K$4:$AJ$4,0)))+SUMPRODUCT((Inputs!$C$5:$C$140=$B28)*Inputs!$D$5:$D$140*(((Inputs!$G$5:$G$140="moeda")+(Inputs!$G$5:$G$140="acoes"))*Inputs!$B$1+((Inputs!$G$5:$G$140&lt;&gt;"moeda")*(Inputs!$G$5:$G$140&lt;&gt;"acoes")))*INDEX(Inputs!$K$5:$AJ$140,0,MATCH(L$2,Inputs!$K$4:$AJ$4,0)))+SUMPRODUCT((Inputs!$E$5:$E$140=$B28)*Inputs!$F$5:$F$140*(((Inputs!$G$5:$G$140="moeda")+(Inputs!$G$5:$G$140="acoes"))*Inputs!$B$1+((Inputs!$G$5:$G$140&lt;&gt;"moeda")*(Inputs!$G$5:$G$140&lt;&gt;"acoes")))*INDEX(Inputs!$K$5:$AJ$140,0,MATCH(L$2,Inputs!$K$4:$AJ$4,0)))))</f>
        <v>114.591</v>
      </c>
      <c r="M28" s="3">
        <f>L28</f>
        <v>114.591</v>
      </c>
      <c r="N28" s="6">
        <f>IF(ISNA(MATCH(N$2,Inputs!$K$4:$AJ$4,0)),NA(),IF(SUMPRODUCT((Inputs!$A$5:$A$140=$B28)*ISNUMBER(INDEX(Inputs!$K$5:$AJ$140,0,MATCH(N$2,Inputs!$K$4:$AJ$4,0))))+SUMPRODUCT((Inputs!$C$5:$C$140=$B28)*ISNUMBER(INDEX(Inputs!$K$5:$AJ$140,0,MATCH(N$2,Inputs!$K$4:$AJ$4,0))))+SUMPRODUCT((Inputs!$E$5:$E$140=$B28)*ISNUMBER(INDEX(Inputs!$K$5:$AJ$140,0,MATCH(N$2,Inputs!$K$4:$AJ$4,0))))=0,NA(),SUMPRODUCT((Inputs!$A$5:$A$140=$B28)*Inputs!$B$5:$B$140*(((Inputs!$G$5:$G$140="moeda")+(Inputs!$G$5:$G$140="acoes"))*Inputs!$B$1+((Inputs!$G$5:$G$140&lt;&gt;"moeda")*(Inputs!$G$5:$G$140&lt;&gt;"acoes")))*INDEX(Inputs!$K$5:$AJ$140,0,MATCH(N$2,Inputs!$K$4:$AJ$4,0)))+SUMPRODUCT((Inputs!$C$5:$C$140=$B28)*Inputs!$D$5:$D$140*(((Inputs!$G$5:$G$140="moeda")+(Inputs!$G$5:$G$140="acoes"))*Inputs!$B$1+((Inputs!$G$5:$G$140&lt;&gt;"moeda")*(Inputs!$G$5:$G$140&lt;&gt;"acoes")))*INDEX(Inputs!$K$5:$AJ$140,0,MATCH(N$2,Inputs!$K$4:$AJ$4,0)))+SUMPRODUCT((Inputs!$E$5:$E$140=$B28)*Inputs!$F$5:$F$140*(((Inputs!$G$5:$G$140="moeda")+(Inputs!$G$5:$G$140="acoes"))*Inputs!$B$1+((Inputs!$G$5:$G$140&lt;&gt;"moeda")*(Inputs!$G$5:$G$140&lt;&gt;"acoes")))*INDEX(Inputs!$K$5:$AJ$140,0,MATCH(N$2,Inputs!$K$4:$AJ$4,0)))))</f>
        <v>121.055</v>
      </c>
      <c r="O28" s="6">
        <f>IF(ISNA(MATCH(O$2,Inputs!$K$4:$AJ$4,0)),NA(),IF(SUMPRODUCT((Inputs!$A$5:$A$140=$B28)*ISNUMBER(INDEX(Inputs!$K$5:$AJ$140,0,MATCH(O$2,Inputs!$K$4:$AJ$4,0))))+SUMPRODUCT((Inputs!$C$5:$C$140=$B28)*ISNUMBER(INDEX(Inputs!$K$5:$AJ$140,0,MATCH(O$2,Inputs!$K$4:$AJ$4,0))))+SUMPRODUCT((Inputs!$E$5:$E$140=$B28)*ISNUMBER(INDEX(Inputs!$K$5:$AJ$140,0,MATCH(O$2,Inputs!$K$4:$AJ$4,0))))=0,NA(),SUMPRODUCT((Inputs!$A$5:$A$140=$B28)*Inputs!$B$5:$B$140*(((Inputs!$G$5:$G$140="moeda")+(Inputs!$G$5:$G$140="acoes"))*Inputs!$B$1+((Inputs!$G$5:$G$140&lt;&gt;"moeda")*(Inputs!$G$5:$G$140&lt;&gt;"acoes")))*INDEX(Inputs!$K$5:$AJ$140,0,MATCH(O$2,Inputs!$K$4:$AJ$4,0)))+SUMPRODUCT((Inputs!$C$5:$C$140=$B28)*Inputs!$D$5:$D$140*(((Inputs!$G$5:$G$140="moeda")+(Inputs!$G$5:$G$140="acoes"))*Inputs!$B$1+((Inputs!$G$5:$G$140&lt;&gt;"moeda")*(Inputs!$G$5:$G$140&lt;&gt;"acoes")))*INDEX(Inputs!$K$5:$AJ$140,0,MATCH(O$2,Inputs!$K$4:$AJ$4,0)))+SUMPRODUCT((Inputs!$E$5:$E$140=$B28)*Inputs!$F$5:$F$140*(((Inputs!$G$5:$G$140="moeda")+(Inputs!$G$5:$G$140="acoes"))*Inputs!$B$1+((Inputs!$G$5:$G$140&lt;&gt;"moeda")*(Inputs!$G$5:$G$140&lt;&gt;"acoes")))*INDEX(Inputs!$K$5:$AJ$140,0,MATCH(O$2,Inputs!$K$4:$AJ$4,0)))))</f>
        <v>118.958</v>
      </c>
      <c r="P28" s="6">
        <f>IF(ISNA(MATCH(P$2,Inputs!$K$4:$AJ$4,0)),NA(),IF(SUMPRODUCT((Inputs!$A$5:$A$140=$B28)*ISNUMBER(INDEX(Inputs!$K$5:$AJ$140,0,MATCH(P$2,Inputs!$K$4:$AJ$4,0))))+SUMPRODUCT((Inputs!$C$5:$C$140=$B28)*ISNUMBER(INDEX(Inputs!$K$5:$AJ$140,0,MATCH(P$2,Inputs!$K$4:$AJ$4,0))))+SUMPRODUCT((Inputs!$E$5:$E$140=$B28)*ISNUMBER(INDEX(Inputs!$K$5:$AJ$140,0,MATCH(P$2,Inputs!$K$4:$AJ$4,0))))=0,NA(),SUMPRODUCT((Inputs!$A$5:$A$140=$B28)*Inputs!$B$5:$B$140*(((Inputs!$G$5:$G$140="moeda")+(Inputs!$G$5:$G$140="acoes"))*Inputs!$B$1+((Inputs!$G$5:$G$140&lt;&gt;"moeda")*(Inputs!$G$5:$G$140&lt;&gt;"acoes")))*INDEX(Inputs!$K$5:$AJ$140,0,MATCH(P$2,Inputs!$K$4:$AJ$4,0)))+SUMPRODUCT((Inputs!$C$5:$C$140=$B28)*Inputs!$D$5:$D$140*(((Inputs!$G$5:$G$140="moeda")+(Inputs!$G$5:$G$140="acoes"))*Inputs!$B$1+((Inputs!$G$5:$G$140&lt;&gt;"moeda")*(Inputs!$G$5:$G$140&lt;&gt;"acoes")))*INDEX(Inputs!$K$5:$AJ$140,0,MATCH(P$2,Inputs!$K$4:$AJ$4,0)))+SUMPRODUCT((Inputs!$E$5:$E$140=$B28)*Inputs!$F$5:$F$140*(((Inputs!$G$5:$G$140="moeda")+(Inputs!$G$5:$G$140="acoes"))*Inputs!$B$1+((Inputs!$G$5:$G$140&lt;&gt;"moeda")*(Inputs!$G$5:$G$140&lt;&gt;"acoes")))*INDEX(Inputs!$K$5:$AJ$140,0,MATCH(P$2,Inputs!$K$4:$AJ$4,0)))))</f>
        <v>144.821</v>
      </c>
      <c r="Q28" s="6">
        <f>IF(ISNA(MATCH(Q$2,Inputs!$K$4:$AJ$4,0)),NA(),IF(SUMPRODUCT((Inputs!$A$5:$A$140=$B28)*ISNUMBER(INDEX(Inputs!$K$5:$AJ$140,0,MATCH(Q$2,Inputs!$K$4:$AJ$4,0))))+SUMPRODUCT((Inputs!$C$5:$C$140=$B28)*ISNUMBER(INDEX(Inputs!$K$5:$AJ$140,0,MATCH(Q$2,Inputs!$K$4:$AJ$4,0))))+SUMPRODUCT((Inputs!$E$5:$E$140=$B28)*ISNUMBER(INDEX(Inputs!$K$5:$AJ$140,0,MATCH(Q$2,Inputs!$K$4:$AJ$4,0))))=0,NA(),SUMPRODUCT((Inputs!$A$5:$A$140=$B28)*Inputs!$B$5:$B$140*(((Inputs!$G$5:$G$140="moeda")+(Inputs!$G$5:$G$140="acoes"))*Inputs!$B$1+((Inputs!$G$5:$G$140&lt;&gt;"moeda")*(Inputs!$G$5:$G$140&lt;&gt;"acoes")))*INDEX(Inputs!$K$5:$AJ$140,0,MATCH(Q$2,Inputs!$K$4:$AJ$4,0)))+SUMPRODUCT((Inputs!$C$5:$C$140=$B28)*Inputs!$D$5:$D$140*(((Inputs!$G$5:$G$140="moeda")+(Inputs!$G$5:$G$140="acoes"))*Inputs!$B$1+((Inputs!$G$5:$G$140&lt;&gt;"moeda")*(Inputs!$G$5:$G$140&lt;&gt;"acoes")))*INDEX(Inputs!$K$5:$AJ$140,0,MATCH(Q$2,Inputs!$K$4:$AJ$4,0)))+SUMPRODUCT((Inputs!$E$5:$E$140=$B28)*Inputs!$F$5:$F$140*(((Inputs!$G$5:$G$140="moeda")+(Inputs!$G$5:$G$140="acoes"))*Inputs!$B$1+((Inputs!$G$5:$G$140&lt;&gt;"moeda")*(Inputs!$G$5:$G$140&lt;&gt;"acoes")))*INDEX(Inputs!$K$5:$AJ$140,0,MATCH(Q$2,Inputs!$K$4:$AJ$4,0)))))</f>
        <v>171.904</v>
      </c>
      <c r="R28" s="3">
        <f>Q28</f>
        <v>171.904</v>
      </c>
      <c r="S28" s="6">
        <f>IF(ISNA(MATCH(S$2,Inputs!$K$4:$AJ$4,0)),NA(),IF(SUMPRODUCT((Inputs!$A$5:$A$140=$B28)*ISNUMBER(INDEX(Inputs!$K$5:$AJ$140,0,MATCH(S$2,Inputs!$K$4:$AJ$4,0))))+SUMPRODUCT((Inputs!$C$5:$C$140=$B28)*ISNUMBER(INDEX(Inputs!$K$5:$AJ$140,0,MATCH(S$2,Inputs!$K$4:$AJ$4,0))))+SUMPRODUCT((Inputs!$E$5:$E$140=$B28)*ISNUMBER(INDEX(Inputs!$K$5:$AJ$140,0,MATCH(S$2,Inputs!$K$4:$AJ$4,0))))=0,NA(),SUMPRODUCT((Inputs!$A$5:$A$140=$B28)*Inputs!$B$5:$B$140*(((Inputs!$G$5:$G$140="moeda")+(Inputs!$G$5:$G$140="acoes"))*Inputs!$B$1+((Inputs!$G$5:$G$140&lt;&gt;"moeda")*(Inputs!$G$5:$G$140&lt;&gt;"acoes")))*INDEX(Inputs!$K$5:$AJ$140,0,MATCH(S$2,Inputs!$K$4:$AJ$4,0)))+SUMPRODUCT((Inputs!$C$5:$C$140=$B28)*Inputs!$D$5:$D$140*(((Inputs!$G$5:$G$140="moeda")+(Inputs!$G$5:$G$140="acoes"))*Inputs!$B$1+((Inputs!$G$5:$G$140&lt;&gt;"moeda")*(Inputs!$G$5:$G$140&lt;&gt;"acoes")))*INDEX(Inputs!$K$5:$AJ$140,0,MATCH(S$2,Inputs!$K$4:$AJ$4,0)))+SUMPRODUCT((Inputs!$E$5:$E$140=$B28)*Inputs!$F$5:$F$140*(((Inputs!$G$5:$G$140="moeda")+(Inputs!$G$5:$G$140="acoes"))*Inputs!$B$1+((Inputs!$G$5:$G$140&lt;&gt;"moeda")*(Inputs!$G$5:$G$140&lt;&gt;"acoes")))*INDEX(Inputs!$K$5:$AJ$140,0,MATCH(S$2,Inputs!$K$4:$AJ$4,0)))))</f>
        <v>172.207</v>
      </c>
      <c r="T28" s="6">
        <f>IF(ISNA(MATCH(T$2,Inputs!$K$4:$AJ$4,0)),NA(),IF(SUMPRODUCT((Inputs!$A$5:$A$140=$B28)*ISNUMBER(INDEX(Inputs!$K$5:$AJ$140,0,MATCH(T$2,Inputs!$K$4:$AJ$4,0))))+SUMPRODUCT((Inputs!$C$5:$C$140=$B28)*ISNUMBER(INDEX(Inputs!$K$5:$AJ$140,0,MATCH(T$2,Inputs!$K$4:$AJ$4,0))))+SUMPRODUCT((Inputs!$E$5:$E$140=$B28)*ISNUMBER(INDEX(Inputs!$K$5:$AJ$140,0,MATCH(T$2,Inputs!$K$4:$AJ$4,0))))=0,NA(),SUMPRODUCT((Inputs!$A$5:$A$140=$B28)*Inputs!$B$5:$B$140*(((Inputs!$G$5:$G$140="moeda")+(Inputs!$G$5:$G$140="acoes"))*Inputs!$B$1+((Inputs!$G$5:$G$140&lt;&gt;"moeda")*(Inputs!$G$5:$G$140&lt;&gt;"acoes")))*INDEX(Inputs!$K$5:$AJ$140,0,MATCH(T$2,Inputs!$K$4:$AJ$4,0)))+SUMPRODUCT((Inputs!$C$5:$C$140=$B28)*Inputs!$D$5:$D$140*(((Inputs!$G$5:$G$140="moeda")+(Inputs!$G$5:$G$140="acoes"))*Inputs!$B$1+((Inputs!$G$5:$G$140&lt;&gt;"moeda")*(Inputs!$G$5:$G$140&lt;&gt;"acoes")))*INDEX(Inputs!$K$5:$AJ$140,0,MATCH(T$2,Inputs!$K$4:$AJ$4,0)))+SUMPRODUCT((Inputs!$E$5:$E$140=$B28)*Inputs!$F$5:$F$140*(((Inputs!$G$5:$G$140="moeda")+(Inputs!$G$5:$G$140="acoes"))*Inputs!$B$1+((Inputs!$G$5:$G$140&lt;&gt;"moeda")*(Inputs!$G$5:$G$140&lt;&gt;"acoes")))*INDEX(Inputs!$K$5:$AJ$140,0,MATCH(T$2,Inputs!$K$4:$AJ$4,0)))))</f>
        <v>141.397</v>
      </c>
      <c r="U28" s="6">
        <f>IF(ISNA(MATCH(U$2,Inputs!$K$4:$AJ$4,0)),NA(),IF(SUMPRODUCT((Inputs!$A$5:$A$140=$B28)*ISNUMBER(INDEX(Inputs!$K$5:$AJ$140,0,MATCH(U$2,Inputs!$K$4:$AJ$4,0))))+SUMPRODUCT((Inputs!$C$5:$C$140=$B28)*ISNUMBER(INDEX(Inputs!$K$5:$AJ$140,0,MATCH(U$2,Inputs!$K$4:$AJ$4,0))))+SUMPRODUCT((Inputs!$E$5:$E$140=$B28)*ISNUMBER(INDEX(Inputs!$K$5:$AJ$140,0,MATCH(U$2,Inputs!$K$4:$AJ$4,0))))=0,NA(),SUMPRODUCT((Inputs!$A$5:$A$140=$B28)*Inputs!$B$5:$B$140*(((Inputs!$G$5:$G$140="moeda")+(Inputs!$G$5:$G$140="acoes"))*Inputs!$B$1+((Inputs!$G$5:$G$140&lt;&gt;"moeda")*(Inputs!$G$5:$G$140&lt;&gt;"acoes")))*INDEX(Inputs!$K$5:$AJ$140,0,MATCH(U$2,Inputs!$K$4:$AJ$4,0)))+SUMPRODUCT((Inputs!$C$5:$C$140=$B28)*Inputs!$D$5:$D$140*(((Inputs!$G$5:$G$140="moeda")+(Inputs!$G$5:$G$140="acoes"))*Inputs!$B$1+((Inputs!$G$5:$G$140&lt;&gt;"moeda")*(Inputs!$G$5:$G$140&lt;&gt;"acoes")))*INDEX(Inputs!$K$5:$AJ$140,0,MATCH(U$2,Inputs!$K$4:$AJ$4,0)))+SUMPRODUCT((Inputs!$E$5:$E$140=$B28)*Inputs!$F$5:$F$140*(((Inputs!$G$5:$G$140="moeda")+(Inputs!$G$5:$G$140="acoes"))*Inputs!$B$1+((Inputs!$G$5:$G$140&lt;&gt;"moeda")*(Inputs!$G$5:$G$140&lt;&gt;"acoes")))*INDEX(Inputs!$K$5:$AJ$140,0,MATCH(U$2,Inputs!$K$4:$AJ$4,0)))))</f>
        <v>182.227</v>
      </c>
      <c r="V28" s="6">
        <f>IF(ISNA(MATCH(V$2,Inputs!$K$4:$AJ$4,0)),NA(),IF(SUMPRODUCT((Inputs!$A$5:$A$140=$B28)*ISNUMBER(INDEX(Inputs!$K$5:$AJ$140,0,MATCH(V$2,Inputs!$K$4:$AJ$4,0))))+SUMPRODUCT((Inputs!$C$5:$C$140=$B28)*ISNUMBER(INDEX(Inputs!$K$5:$AJ$140,0,MATCH(V$2,Inputs!$K$4:$AJ$4,0))))+SUMPRODUCT((Inputs!$E$5:$E$140=$B28)*ISNUMBER(INDEX(Inputs!$K$5:$AJ$140,0,MATCH(V$2,Inputs!$K$4:$AJ$4,0))))=0,NA(),SUMPRODUCT((Inputs!$A$5:$A$140=$B28)*Inputs!$B$5:$B$140*(((Inputs!$G$5:$G$140="moeda")+(Inputs!$G$5:$G$140="acoes"))*Inputs!$B$1+((Inputs!$G$5:$G$140&lt;&gt;"moeda")*(Inputs!$G$5:$G$140&lt;&gt;"acoes")))*INDEX(Inputs!$K$5:$AJ$140,0,MATCH(V$2,Inputs!$K$4:$AJ$4,0)))+SUMPRODUCT((Inputs!$C$5:$C$140=$B28)*Inputs!$D$5:$D$140*(((Inputs!$G$5:$G$140="moeda")+(Inputs!$G$5:$G$140="acoes"))*Inputs!$B$1+((Inputs!$G$5:$G$140&lt;&gt;"moeda")*(Inputs!$G$5:$G$140&lt;&gt;"acoes")))*INDEX(Inputs!$K$5:$AJ$140,0,MATCH(V$2,Inputs!$K$4:$AJ$4,0)))+SUMPRODUCT((Inputs!$E$5:$E$140=$B28)*Inputs!$F$5:$F$140*(((Inputs!$G$5:$G$140="moeda")+(Inputs!$G$5:$G$140="acoes"))*Inputs!$B$1+((Inputs!$G$5:$G$140&lt;&gt;"moeda")*(Inputs!$G$5:$G$140&lt;&gt;"acoes")))*INDEX(Inputs!$K$5:$AJ$140,0,MATCH(V$2,Inputs!$K$4:$AJ$4,0)))))</f>
        <v>187.317</v>
      </c>
      <c r="W28" s="3">
        <f>V28</f>
        <v>187.317</v>
      </c>
      <c r="X28" s="6">
        <f>IF(ISNA(MATCH(X$2,Inputs!$K$4:$AJ$4,0)),NA(),IF(SUMPRODUCT((Inputs!$A$5:$A$140=$B28)*ISNUMBER(INDEX(Inputs!$K$5:$AJ$140,0,MATCH(X$2,Inputs!$K$4:$AJ$4,0))))+SUMPRODUCT((Inputs!$C$5:$C$140=$B28)*ISNUMBER(INDEX(Inputs!$K$5:$AJ$140,0,MATCH(X$2,Inputs!$K$4:$AJ$4,0))))+SUMPRODUCT((Inputs!$E$5:$E$140=$B28)*ISNUMBER(INDEX(Inputs!$K$5:$AJ$140,0,MATCH(X$2,Inputs!$K$4:$AJ$4,0))))=0,NA(),SUMPRODUCT((Inputs!$A$5:$A$140=$B28)*Inputs!$B$5:$B$140*(((Inputs!$G$5:$G$140="moeda")+(Inputs!$G$5:$G$140="acoes"))*Inputs!$B$1+((Inputs!$G$5:$G$140&lt;&gt;"moeda")*(Inputs!$G$5:$G$140&lt;&gt;"acoes")))*INDEX(Inputs!$K$5:$AJ$140,0,MATCH(X$2,Inputs!$K$4:$AJ$4,0)))+SUMPRODUCT((Inputs!$C$5:$C$140=$B28)*Inputs!$D$5:$D$140*(((Inputs!$G$5:$G$140="moeda")+(Inputs!$G$5:$G$140="acoes"))*Inputs!$B$1+((Inputs!$G$5:$G$140&lt;&gt;"moeda")*(Inputs!$G$5:$G$140&lt;&gt;"acoes")))*INDEX(Inputs!$K$5:$AJ$140,0,MATCH(X$2,Inputs!$K$4:$AJ$4,0)))+SUMPRODUCT((Inputs!$E$5:$E$140=$B28)*Inputs!$F$5:$F$140*(((Inputs!$G$5:$G$140="moeda")+(Inputs!$G$5:$G$140="acoes"))*Inputs!$B$1+((Inputs!$G$5:$G$140&lt;&gt;"moeda")*(Inputs!$G$5:$G$140&lt;&gt;"acoes")))*INDEX(Inputs!$K$5:$AJ$140,0,MATCH(X$2,Inputs!$K$4:$AJ$4,0)))))</f>
        <v>256.301</v>
      </c>
      <c r="Y28" s="6">
        <f>IF(ISNA(MATCH(Y$2,Inputs!$K$4:$AJ$4,0)),NA(),IF(SUMPRODUCT((Inputs!$A$5:$A$140=$B28)*ISNUMBER(INDEX(Inputs!$K$5:$AJ$140,0,MATCH(Y$2,Inputs!$K$4:$AJ$4,0))))+SUMPRODUCT((Inputs!$C$5:$C$140=$B28)*ISNUMBER(INDEX(Inputs!$K$5:$AJ$140,0,MATCH(Y$2,Inputs!$K$4:$AJ$4,0))))+SUMPRODUCT((Inputs!$E$5:$E$140=$B28)*ISNUMBER(INDEX(Inputs!$K$5:$AJ$140,0,MATCH(Y$2,Inputs!$K$4:$AJ$4,0))))=0,NA(),SUMPRODUCT((Inputs!$A$5:$A$140=$B28)*Inputs!$B$5:$B$140*(((Inputs!$G$5:$G$140="moeda")+(Inputs!$G$5:$G$140="acoes"))*Inputs!$B$1+((Inputs!$G$5:$G$140&lt;&gt;"moeda")*(Inputs!$G$5:$G$140&lt;&gt;"acoes")))*INDEX(Inputs!$K$5:$AJ$140,0,MATCH(Y$2,Inputs!$K$4:$AJ$4,0)))+SUMPRODUCT((Inputs!$C$5:$C$140=$B28)*Inputs!$D$5:$D$140*(((Inputs!$G$5:$G$140="moeda")+(Inputs!$G$5:$G$140="acoes"))*Inputs!$B$1+((Inputs!$G$5:$G$140&lt;&gt;"moeda")*(Inputs!$G$5:$G$140&lt;&gt;"acoes")))*INDEX(Inputs!$K$5:$AJ$140,0,MATCH(Y$2,Inputs!$K$4:$AJ$4,0)))+SUMPRODUCT((Inputs!$E$5:$E$140=$B28)*Inputs!$F$5:$F$140*(((Inputs!$G$5:$G$140="moeda")+(Inputs!$G$5:$G$140="acoes"))*Inputs!$B$1+((Inputs!$G$5:$G$140&lt;&gt;"moeda")*(Inputs!$G$5:$G$140&lt;&gt;"acoes")))*INDEX(Inputs!$K$5:$AJ$140,0,MATCH(Y$2,Inputs!$K$4:$AJ$4,0)))))</f>
        <v>286.65</v>
      </c>
      <c r="Z28" s="6">
        <f>IF(ISNA(MATCH(Z$2,Inputs!$K$4:$AJ$4,0)),NA(),IF(SUMPRODUCT((Inputs!$A$5:$A$140=$B28)*ISNUMBER(INDEX(Inputs!$K$5:$AJ$140,0,MATCH(Z$2,Inputs!$K$4:$AJ$4,0))))+SUMPRODUCT((Inputs!$C$5:$C$140=$B28)*ISNUMBER(INDEX(Inputs!$K$5:$AJ$140,0,MATCH(Z$2,Inputs!$K$4:$AJ$4,0))))+SUMPRODUCT((Inputs!$E$5:$E$140=$B28)*ISNUMBER(INDEX(Inputs!$K$5:$AJ$140,0,MATCH(Z$2,Inputs!$K$4:$AJ$4,0))))=0,NA(),SUMPRODUCT((Inputs!$A$5:$A$140=$B28)*Inputs!$B$5:$B$140*(((Inputs!$G$5:$G$140="moeda")+(Inputs!$G$5:$G$140="acoes"))*Inputs!$B$1+((Inputs!$G$5:$G$140&lt;&gt;"moeda")*(Inputs!$G$5:$G$140&lt;&gt;"acoes")))*INDEX(Inputs!$K$5:$AJ$140,0,MATCH(Z$2,Inputs!$K$4:$AJ$4,0)))+SUMPRODUCT((Inputs!$C$5:$C$140=$B28)*Inputs!$D$5:$D$140*(((Inputs!$G$5:$G$140="moeda")+(Inputs!$G$5:$G$140="acoes"))*Inputs!$B$1+((Inputs!$G$5:$G$140&lt;&gt;"moeda")*(Inputs!$G$5:$G$140&lt;&gt;"acoes")))*INDEX(Inputs!$K$5:$AJ$140,0,MATCH(Z$2,Inputs!$K$4:$AJ$4,0)))+SUMPRODUCT((Inputs!$E$5:$E$140=$B28)*Inputs!$F$5:$F$140*(((Inputs!$G$5:$G$140="moeda")+(Inputs!$G$5:$G$140="acoes"))*Inputs!$B$1+((Inputs!$G$5:$G$140&lt;&gt;"moeda")*(Inputs!$G$5:$G$140&lt;&gt;"acoes")))*INDEX(Inputs!$K$5:$AJ$140,0,MATCH(Z$2,Inputs!$K$4:$AJ$4,0)))))</f>
        <v>283.823</v>
      </c>
      <c r="AA28" s="6">
        <f>IF(ISNA(MATCH(AA$2,Inputs!$K$4:$AJ$4,0)),NA(),IF(SUMPRODUCT((Inputs!$A$5:$A$140=$B28)*ISNUMBER(INDEX(Inputs!$K$5:$AJ$140,0,MATCH(AA$2,Inputs!$K$4:$AJ$4,0))))+SUMPRODUCT((Inputs!$C$5:$C$140=$B28)*ISNUMBER(INDEX(Inputs!$K$5:$AJ$140,0,MATCH(AA$2,Inputs!$K$4:$AJ$4,0))))+SUMPRODUCT((Inputs!$E$5:$E$140=$B28)*ISNUMBER(INDEX(Inputs!$K$5:$AJ$140,0,MATCH(AA$2,Inputs!$K$4:$AJ$4,0))))=0,NA(),SUMPRODUCT((Inputs!$A$5:$A$140=$B28)*Inputs!$B$5:$B$140*(((Inputs!$G$5:$G$140="moeda")+(Inputs!$G$5:$G$140="acoes"))*Inputs!$B$1+((Inputs!$G$5:$G$140&lt;&gt;"moeda")*(Inputs!$G$5:$G$140&lt;&gt;"acoes")))*INDEX(Inputs!$K$5:$AJ$140,0,MATCH(AA$2,Inputs!$K$4:$AJ$4,0)))+SUMPRODUCT((Inputs!$C$5:$C$140=$B28)*Inputs!$D$5:$D$140*(((Inputs!$G$5:$G$140="moeda")+(Inputs!$G$5:$G$140="acoes"))*Inputs!$B$1+((Inputs!$G$5:$G$140&lt;&gt;"moeda")*(Inputs!$G$5:$G$140&lt;&gt;"acoes")))*INDEX(Inputs!$K$5:$AJ$140,0,MATCH(AA$2,Inputs!$K$4:$AJ$4,0)))+SUMPRODUCT((Inputs!$E$5:$E$140=$B28)*Inputs!$F$5:$F$140*(((Inputs!$G$5:$G$140="moeda")+(Inputs!$G$5:$G$140="acoes"))*Inputs!$B$1+((Inputs!$G$5:$G$140&lt;&gt;"moeda")*(Inputs!$G$5:$G$140&lt;&gt;"acoes")))*INDEX(Inputs!$K$5:$AJ$140,0,MATCH(AA$2,Inputs!$K$4:$AJ$4,0)))))</f>
        <v>278.476</v>
      </c>
      <c r="AB28" s="3">
        <f>AA28</f>
        <v>278.476</v>
      </c>
      <c r="AC28" s="6">
        <f>IF(ISNA(MATCH(AC$2,Inputs!$K$4:$AJ$4,0)),NA(),IF(SUMPRODUCT((Inputs!$A$5:$A$140=$B28)*ISNUMBER(INDEX(Inputs!$K$5:$AJ$140,0,MATCH(AC$2,Inputs!$K$4:$AJ$4,0))))+SUMPRODUCT((Inputs!$C$5:$C$140=$B28)*ISNUMBER(INDEX(Inputs!$K$5:$AJ$140,0,MATCH(AC$2,Inputs!$K$4:$AJ$4,0))))+SUMPRODUCT((Inputs!$E$5:$E$140=$B28)*ISNUMBER(INDEX(Inputs!$K$5:$AJ$140,0,MATCH(AC$2,Inputs!$K$4:$AJ$4,0))))=0,NA(),SUMPRODUCT((Inputs!$A$5:$A$140=$B28)*Inputs!$B$5:$B$140*(((Inputs!$G$5:$G$140="moeda")+(Inputs!$G$5:$G$140="acoes"))*Inputs!$B$1+((Inputs!$G$5:$G$140&lt;&gt;"moeda")*(Inputs!$G$5:$G$140&lt;&gt;"acoes")))*INDEX(Inputs!$K$5:$AJ$140,0,MATCH(AC$2,Inputs!$K$4:$AJ$4,0)))+SUMPRODUCT((Inputs!$C$5:$C$140=$B28)*Inputs!$D$5:$D$140*(((Inputs!$G$5:$G$140="moeda")+(Inputs!$G$5:$G$140="acoes"))*Inputs!$B$1+((Inputs!$G$5:$G$140&lt;&gt;"moeda")*(Inputs!$G$5:$G$140&lt;&gt;"acoes")))*INDEX(Inputs!$K$5:$AJ$140,0,MATCH(AC$2,Inputs!$K$4:$AJ$4,0)))+SUMPRODUCT((Inputs!$E$5:$E$140=$B28)*Inputs!$F$5:$F$140*(((Inputs!$G$5:$G$140="moeda")+(Inputs!$G$5:$G$140="acoes"))*Inputs!$B$1+((Inputs!$G$5:$G$140&lt;&gt;"moeda")*(Inputs!$G$5:$G$140&lt;&gt;"acoes")))*INDEX(Inputs!$K$5:$AJ$140,0,MATCH(AC$2,Inputs!$K$4:$AJ$4,0)))))</f>
        <v>339.656</v>
      </c>
      <c r="AD28" s="6">
        <f>IF(ISNA(MATCH(AD$2,Inputs!$K$4:$AJ$4,0)),NA(),IF(SUMPRODUCT((Inputs!$A$5:$A$140=$B28)*ISNUMBER(INDEX(Inputs!$K$5:$AJ$140,0,MATCH(AD$2,Inputs!$K$4:$AJ$4,0))))+SUMPRODUCT((Inputs!$C$5:$C$140=$B28)*ISNUMBER(INDEX(Inputs!$K$5:$AJ$140,0,MATCH(AD$2,Inputs!$K$4:$AJ$4,0))))+SUMPRODUCT((Inputs!$E$5:$E$140=$B28)*ISNUMBER(INDEX(Inputs!$K$5:$AJ$140,0,MATCH(AD$2,Inputs!$K$4:$AJ$4,0))))=0,NA(),SUMPRODUCT((Inputs!$A$5:$A$140=$B28)*Inputs!$B$5:$B$140*(((Inputs!$G$5:$G$140="moeda")+(Inputs!$G$5:$G$140="acoes"))*Inputs!$B$1+((Inputs!$G$5:$G$140&lt;&gt;"moeda")*(Inputs!$G$5:$G$140&lt;&gt;"acoes")))*INDEX(Inputs!$K$5:$AJ$140,0,MATCH(AD$2,Inputs!$K$4:$AJ$4,0)))+SUMPRODUCT((Inputs!$C$5:$C$140=$B28)*Inputs!$D$5:$D$140*(((Inputs!$G$5:$G$140="moeda")+(Inputs!$G$5:$G$140="acoes"))*Inputs!$B$1+((Inputs!$G$5:$G$140&lt;&gt;"moeda")*(Inputs!$G$5:$G$140&lt;&gt;"acoes")))*INDEX(Inputs!$K$5:$AJ$140,0,MATCH(AD$2,Inputs!$K$4:$AJ$4,0)))+SUMPRODUCT((Inputs!$E$5:$E$140=$B28)*Inputs!$F$5:$F$140*(((Inputs!$G$5:$G$140="moeda")+(Inputs!$G$5:$G$140="acoes"))*Inputs!$B$1+((Inputs!$G$5:$G$140&lt;&gt;"moeda")*(Inputs!$G$5:$G$140&lt;&gt;"acoes")))*INDEX(Inputs!$K$5:$AJ$140,0,MATCH(AD$2,Inputs!$K$4:$AJ$4,0)))))</f>
        <v>351.51</v>
      </c>
      <c r="AE28" s="6" t="e">
        <f>IF(ISNA(MATCH(AE$2,Inputs!$K$4:$AJ$4,0)),NA(),IF(SUMPRODUCT((Inputs!$A$5:$A$140=$B28)*ISNUMBER(INDEX(Inputs!$K$5:$AJ$140,0,MATCH(AE$2,Inputs!$K$4:$AJ$4,0))))+SUMPRODUCT((Inputs!$C$5:$C$140=$B28)*ISNUMBER(INDEX(Inputs!$K$5:$AJ$140,0,MATCH(AE$2,Inputs!$K$4:$AJ$4,0))))+SUMPRODUCT((Inputs!$E$5:$E$140=$B28)*ISNUMBER(INDEX(Inputs!$K$5:$AJ$140,0,MATCH(AE$2,Inputs!$K$4:$AJ$4,0))))=0,NA(),SUMPRODUCT((Inputs!$A$5:$A$140=$B28)*Inputs!$B$5:$B$140*(((Inputs!$G$5:$G$140="moeda")+(Inputs!$G$5:$G$140="acoes"))*Inputs!$B$1+((Inputs!$G$5:$G$140&lt;&gt;"moeda")*(Inputs!$G$5:$G$140&lt;&gt;"acoes")))*INDEX(Inputs!$K$5:$AJ$140,0,MATCH(AE$2,Inputs!$K$4:$AJ$4,0)))+SUMPRODUCT((Inputs!$C$5:$C$140=$B28)*Inputs!$D$5:$D$140*(((Inputs!$G$5:$G$140="moeda")+(Inputs!$G$5:$G$140="acoes"))*Inputs!$B$1+((Inputs!$G$5:$G$140&lt;&gt;"moeda")*(Inputs!$G$5:$G$140&lt;&gt;"acoes")))*INDEX(Inputs!$K$5:$AJ$140,0,MATCH(AE$2,Inputs!$K$4:$AJ$4,0)))+SUMPRODUCT((Inputs!$E$5:$E$140=$B28)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8" s="6" t="e">
        <f>IF(ISNA(MATCH(AF$2,Inputs!$K$4:$AJ$4,0)),NA(),IF(SUMPRODUCT((Inputs!$A$5:$A$140=$B28)*ISNUMBER(INDEX(Inputs!$K$5:$AJ$140,0,MATCH(AF$2,Inputs!$K$4:$AJ$4,0))))+SUMPRODUCT((Inputs!$C$5:$C$140=$B28)*ISNUMBER(INDEX(Inputs!$K$5:$AJ$140,0,MATCH(AF$2,Inputs!$K$4:$AJ$4,0))))+SUMPRODUCT((Inputs!$E$5:$E$140=$B28)*ISNUMBER(INDEX(Inputs!$K$5:$AJ$140,0,MATCH(AF$2,Inputs!$K$4:$AJ$4,0))))=0,NA(),SUMPRODUCT((Inputs!$A$5:$A$140=$B28)*Inputs!$B$5:$B$140*(((Inputs!$G$5:$G$140="moeda")+(Inputs!$G$5:$G$140="acoes"))*Inputs!$B$1+((Inputs!$G$5:$G$140&lt;&gt;"moeda")*(Inputs!$G$5:$G$140&lt;&gt;"acoes")))*INDEX(Inputs!$K$5:$AJ$140,0,MATCH(AF$2,Inputs!$K$4:$AJ$4,0)))+SUMPRODUCT((Inputs!$C$5:$C$140=$B28)*Inputs!$D$5:$D$140*(((Inputs!$G$5:$G$140="moeda")+(Inputs!$G$5:$G$140="acoes"))*Inputs!$B$1+((Inputs!$G$5:$G$140&lt;&gt;"moeda")*(Inputs!$G$5:$G$140&lt;&gt;"acoes")))*INDEX(Inputs!$K$5:$AJ$140,0,MATCH(AF$2,Inputs!$K$4:$AJ$4,0)))+SUMPRODUCT((Inputs!$E$5:$E$140=$B28)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8" s="3" t="e">
        <f>AF28</f>
        <v>#N/A</v>
      </c>
      <c r="AH28" s="6">
        <f>IF(ISNA(MATCH(AH$2,Inputs!$K$4:$AJ$4,0)),NA(),IF(SUMPRODUCT((Inputs!$A$5:$A$140=$B28)*ISNUMBER(INDEX(Inputs!$K$5:$AJ$140,0,MATCH(AH$2,Inputs!$K$4:$AJ$4,0))))+SUMPRODUCT((Inputs!$C$5:$C$140=$B28)*ISNUMBER(INDEX(Inputs!$K$5:$AJ$140,0,MATCH(AH$2,Inputs!$K$4:$AJ$4,0))))+SUMPRODUCT((Inputs!$E$5:$E$140=$B28)*ISNUMBER(INDEX(Inputs!$K$5:$AJ$140,0,MATCH(AH$2,Inputs!$K$4:$AJ$4,0))))=0,NA(),SUMPRODUCT((Inputs!$A$5:$A$140=$B28)*Inputs!$B$5:$B$140*(((Inputs!$G$5:$G$140="moeda")+(Inputs!$G$5:$G$140="acoes"))*Inputs!$B$1+((Inputs!$G$5:$G$140&lt;&gt;"moeda")*(Inputs!$G$5:$G$140&lt;&gt;"acoes")))*INDEX(Inputs!$K$5:$AJ$140,0,MATCH(AH$2,Inputs!$K$4:$AJ$4,0)))+SUMPRODUCT((Inputs!$C$5:$C$140=$B28)*Inputs!$D$5:$D$140*(((Inputs!$G$5:$G$140="moeda")+(Inputs!$G$5:$G$140="acoes"))*Inputs!$B$1+((Inputs!$G$5:$G$140&lt;&gt;"moeda")*(Inputs!$G$5:$G$140&lt;&gt;"acoes")))*INDEX(Inputs!$K$5:$AJ$140,0,MATCH(AH$2,Inputs!$K$4:$AJ$4,0)))+SUMPRODUCT((Inputs!$E$5:$E$140=$B28)*Inputs!$F$5:$F$140*(((Inputs!$G$5:$G$140="moeda")+(Inputs!$G$5:$G$140="acoes"))*Inputs!$B$1+((Inputs!$G$5:$G$140&lt;&gt;"moeda")*(Inputs!$G$5:$G$140&lt;&gt;"acoes")))*INDEX(Inputs!$K$5:$AJ$140,0,MATCH(AH$2,Inputs!$K$4:$AJ$4,0)))))</f>
        <v>54.281</v>
      </c>
      <c r="AI28" s="6">
        <f>IF(ISNA(MATCH(AI$2,Inputs!$K$4:$AJ$4,0)),NA(),IF(SUMPRODUCT((Inputs!$A$5:$A$140=$B28)*ISNUMBER(INDEX(Inputs!$K$5:$AJ$140,0,MATCH(AI$2,Inputs!$K$4:$AJ$4,0))))+SUMPRODUCT((Inputs!$C$5:$C$140=$B28)*ISNUMBER(INDEX(Inputs!$K$5:$AJ$140,0,MATCH(AI$2,Inputs!$K$4:$AJ$4,0))))+SUMPRODUCT((Inputs!$E$5:$E$140=$B28)*ISNUMBER(INDEX(Inputs!$K$5:$AJ$140,0,MATCH(AI$2,Inputs!$K$4:$AJ$4,0))))=0,NA(),SUMPRODUCT((Inputs!$A$5:$A$140=$B28)*Inputs!$B$5:$B$140*(((Inputs!$G$5:$G$140="moeda")+(Inputs!$G$5:$G$140="acoes"))*Inputs!$B$1+((Inputs!$G$5:$G$140&lt;&gt;"moeda")*(Inputs!$G$5:$G$140&lt;&gt;"acoes")))*INDEX(Inputs!$K$5:$AJ$140,0,MATCH(AI$2,Inputs!$K$4:$AJ$4,0)))+SUMPRODUCT((Inputs!$C$5:$C$140=$B28)*Inputs!$D$5:$D$140*(((Inputs!$G$5:$G$140="moeda")+(Inputs!$G$5:$G$140="acoes"))*Inputs!$B$1+((Inputs!$G$5:$G$140&lt;&gt;"moeda")*(Inputs!$G$5:$G$140&lt;&gt;"acoes")))*INDEX(Inputs!$K$5:$AJ$140,0,MATCH(AI$2,Inputs!$K$4:$AJ$4,0)))+SUMPRODUCT((Inputs!$E$5:$E$140=$B28)*Inputs!$F$5:$F$140*(((Inputs!$G$5:$G$140="moeda")+(Inputs!$G$5:$G$140="acoes"))*Inputs!$B$1+((Inputs!$G$5:$G$140&lt;&gt;"moeda")*(Inputs!$G$5:$G$140&lt;&gt;"acoes")))*INDEX(Inputs!$K$5:$AJ$140,0,MATCH(AI$2,Inputs!$K$4:$AJ$4,0)))))</f>
        <v>62.684</v>
      </c>
      <c r="AJ28" s="6">
        <f>IF(ISNA(MATCH(AJ$2,Inputs!$K$4:$AJ$4,0)),NA(),IF(SUMPRODUCT((Inputs!$A$5:$A$140=$B28)*ISNUMBER(INDEX(Inputs!$K$5:$AJ$140,0,MATCH(AJ$2,Inputs!$K$4:$AJ$4,0))))+SUMPRODUCT((Inputs!$C$5:$C$140=$B28)*ISNUMBER(INDEX(Inputs!$K$5:$AJ$140,0,MATCH(AJ$2,Inputs!$K$4:$AJ$4,0))))+SUMPRODUCT((Inputs!$E$5:$E$140=$B28)*ISNUMBER(INDEX(Inputs!$K$5:$AJ$140,0,MATCH(AJ$2,Inputs!$K$4:$AJ$4,0))))=0,NA(),SUMPRODUCT((Inputs!$A$5:$A$140=$B28)*Inputs!$B$5:$B$140*(((Inputs!$G$5:$G$140="moeda")+(Inputs!$G$5:$G$140="acoes"))*Inputs!$B$1+((Inputs!$G$5:$G$140&lt;&gt;"moeda")*(Inputs!$G$5:$G$140&lt;&gt;"acoes")))*INDEX(Inputs!$K$5:$AJ$140,0,MATCH(AJ$2,Inputs!$K$4:$AJ$4,0)))+SUMPRODUCT((Inputs!$C$5:$C$140=$B28)*Inputs!$D$5:$D$140*(((Inputs!$G$5:$G$140="moeda")+(Inputs!$G$5:$G$140="acoes"))*Inputs!$B$1+((Inputs!$G$5:$G$140&lt;&gt;"moeda")*(Inputs!$G$5:$G$140&lt;&gt;"acoes")))*INDEX(Inputs!$K$5:$AJ$140,0,MATCH(AJ$2,Inputs!$K$4:$AJ$4,0)))+SUMPRODUCT((Inputs!$E$5:$E$140=$B28)*Inputs!$F$5:$F$140*(((Inputs!$G$5:$G$140="moeda")+(Inputs!$G$5:$G$140="acoes"))*Inputs!$B$1+((Inputs!$G$5:$G$140&lt;&gt;"moeda")*(Inputs!$G$5:$G$140&lt;&gt;"acoes")))*INDEX(Inputs!$K$5:$AJ$140,0,MATCH(AJ$2,Inputs!$K$4:$AJ$4,0)))))</f>
        <v>92.811</v>
      </c>
      <c r="AK28" s="6">
        <f>IF(ISNA(MATCH(AK$2,Inputs!$K$4:$AJ$4,0)),NA(),IF(SUMPRODUCT((Inputs!$A$5:$A$140=$B28)*ISNUMBER(INDEX(Inputs!$K$5:$AJ$140,0,MATCH(AK$2,Inputs!$K$4:$AJ$4,0))))+SUMPRODUCT((Inputs!$C$5:$C$140=$B28)*ISNUMBER(INDEX(Inputs!$K$5:$AJ$140,0,MATCH(AK$2,Inputs!$K$4:$AJ$4,0))))+SUMPRODUCT((Inputs!$E$5:$E$140=$B28)*ISNUMBER(INDEX(Inputs!$K$5:$AJ$140,0,MATCH(AK$2,Inputs!$K$4:$AJ$4,0))))=0,NA(),SUMPRODUCT((Inputs!$A$5:$A$140=$B28)*Inputs!$B$5:$B$140*(((Inputs!$G$5:$G$140="moeda")+(Inputs!$G$5:$G$140="acoes"))*Inputs!$B$1+((Inputs!$G$5:$G$140&lt;&gt;"moeda")*(Inputs!$G$5:$G$140&lt;&gt;"acoes")))*INDEX(Inputs!$K$5:$AJ$140,0,MATCH(AK$2,Inputs!$K$4:$AJ$4,0)))+SUMPRODUCT((Inputs!$C$5:$C$140=$B28)*Inputs!$D$5:$D$140*(((Inputs!$G$5:$G$140="moeda")+(Inputs!$G$5:$G$140="acoes"))*Inputs!$B$1+((Inputs!$G$5:$G$140&lt;&gt;"moeda")*(Inputs!$G$5:$G$140&lt;&gt;"acoes")))*INDEX(Inputs!$K$5:$AJ$140,0,MATCH(AK$2,Inputs!$K$4:$AJ$4,0)))+SUMPRODUCT((Inputs!$E$5:$E$140=$B28)*Inputs!$F$5:$F$140*(((Inputs!$G$5:$G$140="moeda")+(Inputs!$G$5:$G$140="acoes"))*Inputs!$B$1+((Inputs!$G$5:$G$140&lt;&gt;"moeda")*(Inputs!$G$5:$G$140&lt;&gt;"acoes")))*INDEX(Inputs!$K$5:$AJ$140,0,MATCH(AK$2,Inputs!$K$4:$AJ$4,0)))))</f>
        <v>43.91</v>
      </c>
      <c r="AL28" s="3">
        <f>AK28</f>
        <v>43.91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$140=$B29)*ISNUMBER(INDEX(Inputs!$K$5:$AJ$140,0,MATCH(D$2,Inputs!$K$4:$AJ$4,0))))+SUMPRODUCT((Inputs!$C$5:$C$140=$B29)*ISNUMBER(INDEX(Inputs!$K$5:$AJ$140,0,MATCH(D$2,Inputs!$K$4:$AJ$4,0))))+SUMPRODUCT((Inputs!$E$5:$E$140=$B29)*ISNUMBER(INDEX(Inputs!$K$5:$AJ$140,0,MATCH(D$2,Inputs!$K$4:$AJ$4,0))))=0,NA(),SUMPRODUCT((Inputs!$A$5:$A$140=$B29)*Inputs!$B$5:$B$140*(((Inputs!$G$5:$G$140="moeda")+(Inputs!$G$5:$G$140="acoes"))*Inputs!$B$1+((Inputs!$G$5:$G$140&lt;&gt;"moeda")*(Inputs!$G$5:$G$140&lt;&gt;"acoes")))*INDEX(Inputs!$K$5:$AJ$140,0,MATCH(D$2,Inputs!$K$4:$AJ$4,0)))+SUMPRODUCT((Inputs!$C$5:$C$140=$B29)*Inputs!$D$5:$D$140*(((Inputs!$G$5:$G$140="moeda")+(Inputs!$G$5:$G$140="acoes"))*Inputs!$B$1+((Inputs!$G$5:$G$140&lt;&gt;"moeda")*(Inputs!$G$5:$G$140&lt;&gt;"acoes")))*INDEX(Inputs!$K$5:$AJ$140,0,MATCH(D$2,Inputs!$K$4:$AJ$4,0)))+SUMPRODUCT((Inputs!$E$5:$E$140=$B29)*Inputs!$F$5:$F$140*(((Inputs!$G$5:$G$140="moeda")+(Inputs!$G$5:$G$140="acoes"))*Inputs!$B$1+((Inputs!$G$5:$G$140&lt;&gt;"moeda")*(Inputs!$G$5:$G$140&lt;&gt;"acoes")))*INDEX(Inputs!$K$5:$AJ$140,0,MATCH(D$2,Inputs!$K$4:$AJ$4,0)))))</f>
        <v>13.813</v>
      </c>
      <c r="E29" s="6">
        <f>IF(ISNA(MATCH(E$2,Inputs!$K$4:$AJ$4,0)),NA(),IF(SUMPRODUCT((Inputs!$A$5:$A$140=$B29)*ISNUMBER(INDEX(Inputs!$K$5:$AJ$140,0,MATCH(E$2,Inputs!$K$4:$AJ$4,0))))+SUMPRODUCT((Inputs!$C$5:$C$140=$B29)*ISNUMBER(INDEX(Inputs!$K$5:$AJ$140,0,MATCH(E$2,Inputs!$K$4:$AJ$4,0))))+SUMPRODUCT((Inputs!$E$5:$E$140=$B29)*ISNUMBER(INDEX(Inputs!$K$5:$AJ$140,0,MATCH(E$2,Inputs!$K$4:$AJ$4,0))))=0,NA(),SUMPRODUCT((Inputs!$A$5:$A$140=$B29)*Inputs!$B$5:$B$140*(((Inputs!$G$5:$G$140="moeda")+(Inputs!$G$5:$G$140="acoes"))*Inputs!$B$1+((Inputs!$G$5:$G$140&lt;&gt;"moeda")*(Inputs!$G$5:$G$140&lt;&gt;"acoes")))*INDEX(Inputs!$K$5:$AJ$140,0,MATCH(E$2,Inputs!$K$4:$AJ$4,0)))+SUMPRODUCT((Inputs!$C$5:$C$140=$B29)*Inputs!$D$5:$D$140*(((Inputs!$G$5:$G$140="moeda")+(Inputs!$G$5:$G$140="acoes"))*Inputs!$B$1+((Inputs!$G$5:$G$140&lt;&gt;"moeda")*(Inputs!$G$5:$G$140&lt;&gt;"acoes")))*INDEX(Inputs!$K$5:$AJ$140,0,MATCH(E$2,Inputs!$K$4:$AJ$4,0)))+SUMPRODUCT((Inputs!$E$5:$E$140=$B29)*Inputs!$F$5:$F$140*(((Inputs!$G$5:$G$140="moeda")+(Inputs!$G$5:$G$140="acoes"))*Inputs!$B$1+((Inputs!$G$5:$G$140&lt;&gt;"moeda")*(Inputs!$G$5:$G$140&lt;&gt;"acoes")))*INDEX(Inputs!$K$5:$AJ$140,0,MATCH(E$2,Inputs!$K$4:$AJ$4,0)))))</f>
        <v>18.538</v>
      </c>
      <c r="F29" s="6">
        <f>IF(ISNA(MATCH(F$2,Inputs!$K$4:$AJ$4,0)),NA(),IF(SUMPRODUCT((Inputs!$A$5:$A$140=$B29)*ISNUMBER(INDEX(Inputs!$K$5:$AJ$140,0,MATCH(F$2,Inputs!$K$4:$AJ$4,0))))+SUMPRODUCT((Inputs!$C$5:$C$140=$B29)*ISNUMBER(INDEX(Inputs!$K$5:$AJ$140,0,MATCH(F$2,Inputs!$K$4:$AJ$4,0))))+SUMPRODUCT((Inputs!$E$5:$E$140=$B29)*ISNUMBER(INDEX(Inputs!$K$5:$AJ$140,0,MATCH(F$2,Inputs!$K$4:$AJ$4,0))))=0,NA(),SUMPRODUCT((Inputs!$A$5:$A$140=$B29)*Inputs!$B$5:$B$140*(((Inputs!$G$5:$G$140="moeda")+(Inputs!$G$5:$G$140="acoes"))*Inputs!$B$1+((Inputs!$G$5:$G$140&lt;&gt;"moeda")*(Inputs!$G$5:$G$140&lt;&gt;"acoes")))*INDEX(Inputs!$K$5:$AJ$140,0,MATCH(F$2,Inputs!$K$4:$AJ$4,0)))+SUMPRODUCT((Inputs!$C$5:$C$140=$B29)*Inputs!$D$5:$D$140*(((Inputs!$G$5:$G$140="moeda")+(Inputs!$G$5:$G$140="acoes"))*Inputs!$B$1+((Inputs!$G$5:$G$140&lt;&gt;"moeda")*(Inputs!$G$5:$G$140&lt;&gt;"acoes")))*INDEX(Inputs!$K$5:$AJ$140,0,MATCH(F$2,Inputs!$K$4:$AJ$4,0)))+SUMPRODUCT((Inputs!$E$5:$E$140=$B29)*Inputs!$F$5:$F$140*(((Inputs!$G$5:$G$140="moeda")+(Inputs!$G$5:$G$140="acoes"))*Inputs!$B$1+((Inputs!$G$5:$G$140&lt;&gt;"moeda")*(Inputs!$G$5:$G$140&lt;&gt;"acoes")))*INDEX(Inputs!$K$5:$AJ$140,0,MATCH(F$2,Inputs!$K$4:$AJ$4,0)))))</f>
        <v>17.006</v>
      </c>
      <c r="G29" s="6">
        <f>IF(ISNA(MATCH(G$2,Inputs!$K$4:$AJ$4,0)),NA(),IF(SUMPRODUCT((Inputs!$A$5:$A$140=$B29)*ISNUMBER(INDEX(Inputs!$K$5:$AJ$140,0,MATCH(G$2,Inputs!$K$4:$AJ$4,0))))+SUMPRODUCT((Inputs!$C$5:$C$140=$B29)*ISNUMBER(INDEX(Inputs!$K$5:$AJ$140,0,MATCH(G$2,Inputs!$K$4:$AJ$4,0))))+SUMPRODUCT((Inputs!$E$5:$E$140=$B29)*ISNUMBER(INDEX(Inputs!$K$5:$AJ$140,0,MATCH(G$2,Inputs!$K$4:$AJ$4,0))))=0,NA(),SUMPRODUCT((Inputs!$A$5:$A$140=$B29)*Inputs!$B$5:$B$140*(((Inputs!$G$5:$G$140="moeda")+(Inputs!$G$5:$G$140="acoes"))*Inputs!$B$1+((Inputs!$G$5:$G$140&lt;&gt;"moeda")*(Inputs!$G$5:$G$140&lt;&gt;"acoes")))*INDEX(Inputs!$K$5:$AJ$140,0,MATCH(G$2,Inputs!$K$4:$AJ$4,0)))+SUMPRODUCT((Inputs!$C$5:$C$140=$B29)*Inputs!$D$5:$D$140*(((Inputs!$G$5:$G$140="moeda")+(Inputs!$G$5:$G$140="acoes"))*Inputs!$B$1+((Inputs!$G$5:$G$140&lt;&gt;"moeda")*(Inputs!$G$5:$G$140&lt;&gt;"acoes")))*INDEX(Inputs!$K$5:$AJ$140,0,MATCH(G$2,Inputs!$K$4:$AJ$4,0)))+SUMPRODUCT((Inputs!$E$5:$E$140=$B29)*Inputs!$F$5:$F$140*(((Inputs!$G$5:$G$140="moeda")+(Inputs!$G$5:$G$140="acoes"))*Inputs!$B$1+((Inputs!$G$5:$G$140&lt;&gt;"moeda")*(Inputs!$G$5:$G$140&lt;&gt;"acoes")))*INDEX(Inputs!$K$5:$AJ$140,0,MATCH(G$2,Inputs!$K$4:$AJ$4,0)))))</f>
        <v>16.567</v>
      </c>
      <c r="H29" s="3">
        <f>G29</f>
        <v>16.567</v>
      </c>
      <c r="I29" s="6">
        <f>IF(ISNA(MATCH(I$2,Inputs!$K$4:$AJ$4,0)),NA(),IF(SUMPRODUCT((Inputs!$A$5:$A$140=$B29)*ISNUMBER(INDEX(Inputs!$K$5:$AJ$140,0,MATCH(I$2,Inputs!$K$4:$AJ$4,0))))+SUMPRODUCT((Inputs!$C$5:$C$140=$B29)*ISNUMBER(INDEX(Inputs!$K$5:$AJ$140,0,MATCH(I$2,Inputs!$K$4:$AJ$4,0))))+SUMPRODUCT((Inputs!$E$5:$E$140=$B29)*ISNUMBER(INDEX(Inputs!$K$5:$AJ$140,0,MATCH(I$2,Inputs!$K$4:$AJ$4,0))))=0,NA(),SUMPRODUCT((Inputs!$A$5:$A$140=$B29)*Inputs!$B$5:$B$140*(((Inputs!$G$5:$G$140="moeda")+(Inputs!$G$5:$G$140="acoes"))*Inputs!$B$1+((Inputs!$G$5:$G$140&lt;&gt;"moeda")*(Inputs!$G$5:$G$140&lt;&gt;"acoes")))*INDEX(Inputs!$K$5:$AJ$140,0,MATCH(I$2,Inputs!$K$4:$AJ$4,0)))+SUMPRODUCT((Inputs!$C$5:$C$140=$B29)*Inputs!$D$5:$D$140*(((Inputs!$G$5:$G$140="moeda")+(Inputs!$G$5:$G$140="acoes"))*Inputs!$B$1+((Inputs!$G$5:$G$140&lt;&gt;"moeda")*(Inputs!$G$5:$G$140&lt;&gt;"acoes")))*INDEX(Inputs!$K$5:$AJ$140,0,MATCH(I$2,Inputs!$K$4:$AJ$4,0)))+SUMPRODUCT((Inputs!$E$5:$E$140=$B29)*Inputs!$F$5:$F$140*(((Inputs!$G$5:$G$140="moeda")+(Inputs!$G$5:$G$140="acoes"))*Inputs!$B$1+((Inputs!$G$5:$G$140&lt;&gt;"moeda")*(Inputs!$G$5:$G$140&lt;&gt;"acoes")))*INDEX(Inputs!$K$5:$AJ$140,0,MATCH(I$2,Inputs!$K$4:$AJ$4,0)))))</f>
        <v>16.264</v>
      </c>
      <c r="J29" s="6">
        <f>IF(ISNA(MATCH(J$2,Inputs!$K$4:$AJ$4,0)),NA(),IF(SUMPRODUCT((Inputs!$A$5:$A$140=$B29)*ISNUMBER(INDEX(Inputs!$K$5:$AJ$140,0,MATCH(J$2,Inputs!$K$4:$AJ$4,0))))+SUMPRODUCT((Inputs!$C$5:$C$140=$B29)*ISNUMBER(INDEX(Inputs!$K$5:$AJ$140,0,MATCH(J$2,Inputs!$K$4:$AJ$4,0))))+SUMPRODUCT((Inputs!$E$5:$E$140=$B29)*ISNUMBER(INDEX(Inputs!$K$5:$AJ$140,0,MATCH(J$2,Inputs!$K$4:$AJ$4,0))))=0,NA(),SUMPRODUCT((Inputs!$A$5:$A$140=$B29)*Inputs!$B$5:$B$140*(((Inputs!$G$5:$G$140="moeda")+(Inputs!$G$5:$G$140="acoes"))*Inputs!$B$1+((Inputs!$G$5:$G$140&lt;&gt;"moeda")*(Inputs!$G$5:$G$140&lt;&gt;"acoes")))*INDEX(Inputs!$K$5:$AJ$140,0,MATCH(J$2,Inputs!$K$4:$AJ$4,0)))+SUMPRODUCT((Inputs!$C$5:$C$140=$B29)*Inputs!$D$5:$D$140*(((Inputs!$G$5:$G$140="moeda")+(Inputs!$G$5:$G$140="acoes"))*Inputs!$B$1+((Inputs!$G$5:$G$140&lt;&gt;"moeda")*(Inputs!$G$5:$G$140&lt;&gt;"acoes")))*INDEX(Inputs!$K$5:$AJ$140,0,MATCH(J$2,Inputs!$K$4:$AJ$4,0)))+SUMPRODUCT((Inputs!$E$5:$E$140=$B29)*Inputs!$F$5:$F$140*(((Inputs!$G$5:$G$140="moeda")+(Inputs!$G$5:$G$140="acoes"))*Inputs!$B$1+((Inputs!$G$5:$G$140&lt;&gt;"moeda")*(Inputs!$G$5:$G$140&lt;&gt;"acoes")))*INDEX(Inputs!$K$5:$AJ$140,0,MATCH(J$2,Inputs!$K$4:$AJ$4,0)))))</f>
        <v>20.929</v>
      </c>
      <c r="K29" s="6">
        <f>IF(ISNA(MATCH(K$2,Inputs!$K$4:$AJ$4,0)),NA(),IF(SUMPRODUCT((Inputs!$A$5:$A$140=$B29)*ISNUMBER(INDEX(Inputs!$K$5:$AJ$140,0,MATCH(K$2,Inputs!$K$4:$AJ$4,0))))+SUMPRODUCT((Inputs!$C$5:$C$140=$B29)*ISNUMBER(INDEX(Inputs!$K$5:$AJ$140,0,MATCH(K$2,Inputs!$K$4:$AJ$4,0))))+SUMPRODUCT((Inputs!$E$5:$E$140=$B29)*ISNUMBER(INDEX(Inputs!$K$5:$AJ$140,0,MATCH(K$2,Inputs!$K$4:$AJ$4,0))))=0,NA(),SUMPRODUCT((Inputs!$A$5:$A$140=$B29)*Inputs!$B$5:$B$140*(((Inputs!$G$5:$G$140="moeda")+(Inputs!$G$5:$G$140="acoes"))*Inputs!$B$1+((Inputs!$G$5:$G$140&lt;&gt;"moeda")*(Inputs!$G$5:$G$140&lt;&gt;"acoes")))*INDEX(Inputs!$K$5:$AJ$140,0,MATCH(K$2,Inputs!$K$4:$AJ$4,0)))+SUMPRODUCT((Inputs!$C$5:$C$140=$B29)*Inputs!$D$5:$D$140*(((Inputs!$G$5:$G$140="moeda")+(Inputs!$G$5:$G$140="acoes"))*Inputs!$B$1+((Inputs!$G$5:$G$140&lt;&gt;"moeda")*(Inputs!$G$5:$G$140&lt;&gt;"acoes")))*INDEX(Inputs!$K$5:$AJ$140,0,MATCH(K$2,Inputs!$K$4:$AJ$4,0)))+SUMPRODUCT((Inputs!$E$5:$E$140=$B29)*Inputs!$F$5:$F$140*(((Inputs!$G$5:$G$140="moeda")+(Inputs!$G$5:$G$140="acoes"))*Inputs!$B$1+((Inputs!$G$5:$G$140&lt;&gt;"moeda")*(Inputs!$G$5:$G$140&lt;&gt;"acoes")))*INDEX(Inputs!$K$5:$AJ$140,0,MATCH(K$2,Inputs!$K$4:$AJ$4,0)))))</f>
        <v>23.709</v>
      </c>
      <c r="L29" s="6">
        <f>IF(ISNA(MATCH(L$2,Inputs!$K$4:$AJ$4,0)),NA(),IF(SUMPRODUCT((Inputs!$A$5:$A$140=$B29)*ISNUMBER(INDEX(Inputs!$K$5:$AJ$140,0,MATCH(L$2,Inputs!$K$4:$AJ$4,0))))+SUMPRODUCT((Inputs!$C$5:$C$140=$B29)*ISNUMBER(INDEX(Inputs!$K$5:$AJ$140,0,MATCH(L$2,Inputs!$K$4:$AJ$4,0))))+SUMPRODUCT((Inputs!$E$5:$E$140=$B29)*ISNUMBER(INDEX(Inputs!$K$5:$AJ$140,0,MATCH(L$2,Inputs!$K$4:$AJ$4,0))))=0,NA(),SUMPRODUCT((Inputs!$A$5:$A$140=$B29)*Inputs!$B$5:$B$140*(((Inputs!$G$5:$G$140="moeda")+(Inputs!$G$5:$G$140="acoes"))*Inputs!$B$1+((Inputs!$G$5:$G$140&lt;&gt;"moeda")*(Inputs!$G$5:$G$140&lt;&gt;"acoes")))*INDEX(Inputs!$K$5:$AJ$140,0,MATCH(L$2,Inputs!$K$4:$AJ$4,0)))+SUMPRODUCT((Inputs!$C$5:$C$140=$B29)*Inputs!$D$5:$D$140*(((Inputs!$G$5:$G$140="moeda")+(Inputs!$G$5:$G$140="acoes"))*Inputs!$B$1+((Inputs!$G$5:$G$140&lt;&gt;"moeda")*(Inputs!$G$5:$G$140&lt;&gt;"acoes")))*INDEX(Inputs!$K$5:$AJ$140,0,MATCH(L$2,Inputs!$K$4:$AJ$4,0)))+SUMPRODUCT((Inputs!$E$5:$E$140=$B29)*Inputs!$F$5:$F$140*(((Inputs!$G$5:$G$140="moeda")+(Inputs!$G$5:$G$140="acoes"))*Inputs!$B$1+((Inputs!$G$5:$G$140&lt;&gt;"moeda")*(Inputs!$G$5:$G$140&lt;&gt;"acoes")))*INDEX(Inputs!$K$5:$AJ$140,0,MATCH(L$2,Inputs!$K$4:$AJ$4,0)))))</f>
        <v>18.487</v>
      </c>
      <c r="M29" s="3">
        <f>L29</f>
        <v>18.487</v>
      </c>
      <c r="N29" s="6">
        <f>IF(ISNA(MATCH(N$2,Inputs!$K$4:$AJ$4,0)),NA(),IF(SUMPRODUCT((Inputs!$A$5:$A$140=$B29)*ISNUMBER(INDEX(Inputs!$K$5:$AJ$140,0,MATCH(N$2,Inputs!$K$4:$AJ$4,0))))+SUMPRODUCT((Inputs!$C$5:$C$140=$B29)*ISNUMBER(INDEX(Inputs!$K$5:$AJ$140,0,MATCH(N$2,Inputs!$K$4:$AJ$4,0))))+SUMPRODUCT((Inputs!$E$5:$E$140=$B29)*ISNUMBER(INDEX(Inputs!$K$5:$AJ$140,0,MATCH(N$2,Inputs!$K$4:$AJ$4,0))))=0,NA(),SUMPRODUCT((Inputs!$A$5:$A$140=$B29)*Inputs!$B$5:$B$140*(((Inputs!$G$5:$G$140="moeda")+(Inputs!$G$5:$G$140="acoes"))*Inputs!$B$1+((Inputs!$G$5:$G$140&lt;&gt;"moeda")*(Inputs!$G$5:$G$140&lt;&gt;"acoes")))*INDEX(Inputs!$K$5:$AJ$140,0,MATCH(N$2,Inputs!$K$4:$AJ$4,0)))+SUMPRODUCT((Inputs!$C$5:$C$140=$B29)*Inputs!$D$5:$D$140*(((Inputs!$G$5:$G$140="moeda")+(Inputs!$G$5:$G$140="acoes"))*Inputs!$B$1+((Inputs!$G$5:$G$140&lt;&gt;"moeda")*(Inputs!$G$5:$G$140&lt;&gt;"acoes")))*INDEX(Inputs!$K$5:$AJ$140,0,MATCH(N$2,Inputs!$K$4:$AJ$4,0)))+SUMPRODUCT((Inputs!$E$5:$E$140=$B29)*Inputs!$F$5:$F$140*(((Inputs!$G$5:$G$140="moeda")+(Inputs!$G$5:$G$140="acoes"))*Inputs!$B$1+((Inputs!$G$5:$G$140&lt;&gt;"moeda")*(Inputs!$G$5:$G$140&lt;&gt;"acoes")))*INDEX(Inputs!$K$5:$AJ$140,0,MATCH(N$2,Inputs!$K$4:$AJ$4,0)))))</f>
        <v>22.653</v>
      </c>
      <c r="O29" s="6">
        <f>IF(ISNA(MATCH(O$2,Inputs!$K$4:$AJ$4,0)),NA(),IF(SUMPRODUCT((Inputs!$A$5:$A$140=$B29)*ISNUMBER(INDEX(Inputs!$K$5:$AJ$140,0,MATCH(O$2,Inputs!$K$4:$AJ$4,0))))+SUMPRODUCT((Inputs!$C$5:$C$140=$B29)*ISNUMBER(INDEX(Inputs!$K$5:$AJ$140,0,MATCH(O$2,Inputs!$K$4:$AJ$4,0))))+SUMPRODUCT((Inputs!$E$5:$E$140=$B29)*ISNUMBER(INDEX(Inputs!$K$5:$AJ$140,0,MATCH(O$2,Inputs!$K$4:$AJ$4,0))))=0,NA(),SUMPRODUCT((Inputs!$A$5:$A$140=$B29)*Inputs!$B$5:$B$140*(((Inputs!$G$5:$G$140="moeda")+(Inputs!$G$5:$G$140="acoes"))*Inputs!$B$1+((Inputs!$G$5:$G$140&lt;&gt;"moeda")*(Inputs!$G$5:$G$140&lt;&gt;"acoes")))*INDEX(Inputs!$K$5:$AJ$140,0,MATCH(O$2,Inputs!$K$4:$AJ$4,0)))+SUMPRODUCT((Inputs!$C$5:$C$140=$B29)*Inputs!$D$5:$D$140*(((Inputs!$G$5:$G$140="moeda")+(Inputs!$G$5:$G$140="acoes"))*Inputs!$B$1+((Inputs!$G$5:$G$140&lt;&gt;"moeda")*(Inputs!$G$5:$G$140&lt;&gt;"acoes")))*INDEX(Inputs!$K$5:$AJ$140,0,MATCH(O$2,Inputs!$K$4:$AJ$4,0)))+SUMPRODUCT((Inputs!$E$5:$E$140=$B29)*Inputs!$F$5:$F$140*(((Inputs!$G$5:$G$140="moeda")+(Inputs!$G$5:$G$140="acoes"))*Inputs!$B$1+((Inputs!$G$5:$G$140&lt;&gt;"moeda")*(Inputs!$G$5:$G$140&lt;&gt;"acoes")))*INDEX(Inputs!$K$5:$AJ$140,0,MATCH(O$2,Inputs!$K$4:$AJ$4,0)))))</f>
        <v>26.462</v>
      </c>
      <c r="P29" s="6">
        <f>IF(ISNA(MATCH(P$2,Inputs!$K$4:$AJ$4,0)),NA(),IF(SUMPRODUCT((Inputs!$A$5:$A$140=$B29)*ISNUMBER(INDEX(Inputs!$K$5:$AJ$140,0,MATCH(P$2,Inputs!$K$4:$AJ$4,0))))+SUMPRODUCT((Inputs!$C$5:$C$140=$B29)*ISNUMBER(INDEX(Inputs!$K$5:$AJ$140,0,MATCH(P$2,Inputs!$K$4:$AJ$4,0))))+SUMPRODUCT((Inputs!$E$5:$E$140=$B29)*ISNUMBER(INDEX(Inputs!$K$5:$AJ$140,0,MATCH(P$2,Inputs!$K$4:$AJ$4,0))))=0,NA(),SUMPRODUCT((Inputs!$A$5:$A$140=$B29)*Inputs!$B$5:$B$140*(((Inputs!$G$5:$G$140="moeda")+(Inputs!$G$5:$G$140="acoes"))*Inputs!$B$1+((Inputs!$G$5:$G$140&lt;&gt;"moeda")*(Inputs!$G$5:$G$140&lt;&gt;"acoes")))*INDEX(Inputs!$K$5:$AJ$140,0,MATCH(P$2,Inputs!$K$4:$AJ$4,0)))+SUMPRODUCT((Inputs!$C$5:$C$140=$B29)*Inputs!$D$5:$D$140*(((Inputs!$G$5:$G$140="moeda")+(Inputs!$G$5:$G$140="acoes"))*Inputs!$B$1+((Inputs!$G$5:$G$140&lt;&gt;"moeda")*(Inputs!$G$5:$G$140&lt;&gt;"acoes")))*INDEX(Inputs!$K$5:$AJ$140,0,MATCH(P$2,Inputs!$K$4:$AJ$4,0)))+SUMPRODUCT((Inputs!$E$5:$E$140=$B29)*Inputs!$F$5:$F$140*(((Inputs!$G$5:$G$140="moeda")+(Inputs!$G$5:$G$140="acoes"))*Inputs!$B$1+((Inputs!$G$5:$G$140&lt;&gt;"moeda")*(Inputs!$G$5:$G$140&lt;&gt;"acoes")))*INDEX(Inputs!$K$5:$AJ$140,0,MATCH(P$2,Inputs!$K$4:$AJ$4,0)))))</f>
        <v>29.799</v>
      </c>
      <c r="Q29" s="6">
        <f>IF(ISNA(MATCH(Q$2,Inputs!$K$4:$AJ$4,0)),NA(),IF(SUMPRODUCT((Inputs!$A$5:$A$140=$B29)*ISNUMBER(INDEX(Inputs!$K$5:$AJ$140,0,MATCH(Q$2,Inputs!$K$4:$AJ$4,0))))+SUMPRODUCT((Inputs!$C$5:$C$140=$B29)*ISNUMBER(INDEX(Inputs!$K$5:$AJ$140,0,MATCH(Q$2,Inputs!$K$4:$AJ$4,0))))+SUMPRODUCT((Inputs!$E$5:$E$140=$B29)*ISNUMBER(INDEX(Inputs!$K$5:$AJ$140,0,MATCH(Q$2,Inputs!$K$4:$AJ$4,0))))=0,NA(),SUMPRODUCT((Inputs!$A$5:$A$140=$B29)*Inputs!$B$5:$B$140*(((Inputs!$G$5:$G$140="moeda")+(Inputs!$G$5:$G$140="acoes"))*Inputs!$B$1+((Inputs!$G$5:$G$140&lt;&gt;"moeda")*(Inputs!$G$5:$G$140&lt;&gt;"acoes")))*INDEX(Inputs!$K$5:$AJ$140,0,MATCH(Q$2,Inputs!$K$4:$AJ$4,0)))+SUMPRODUCT((Inputs!$C$5:$C$140=$B29)*Inputs!$D$5:$D$140*(((Inputs!$G$5:$G$140="moeda")+(Inputs!$G$5:$G$140="acoes"))*Inputs!$B$1+((Inputs!$G$5:$G$140&lt;&gt;"moeda")*(Inputs!$G$5:$G$140&lt;&gt;"acoes")))*INDEX(Inputs!$K$5:$AJ$140,0,MATCH(Q$2,Inputs!$K$4:$AJ$4,0)))+SUMPRODUCT((Inputs!$E$5:$E$140=$B29)*Inputs!$F$5:$F$140*(((Inputs!$G$5:$G$140="moeda")+(Inputs!$G$5:$G$140="acoes"))*Inputs!$B$1+((Inputs!$G$5:$G$140&lt;&gt;"moeda")*(Inputs!$G$5:$G$140&lt;&gt;"acoes")))*INDEX(Inputs!$K$5:$AJ$140,0,MATCH(Q$2,Inputs!$K$4:$AJ$4,0)))))</f>
        <v>22.734</v>
      </c>
      <c r="R29" s="3">
        <f>Q29</f>
        <v>22.734</v>
      </c>
      <c r="S29" s="6">
        <f>IF(ISNA(MATCH(S$2,Inputs!$K$4:$AJ$4,0)),NA(),IF(SUMPRODUCT((Inputs!$A$5:$A$140=$B29)*ISNUMBER(INDEX(Inputs!$K$5:$AJ$140,0,MATCH(S$2,Inputs!$K$4:$AJ$4,0))))+SUMPRODUCT((Inputs!$C$5:$C$140=$B29)*ISNUMBER(INDEX(Inputs!$K$5:$AJ$140,0,MATCH(S$2,Inputs!$K$4:$AJ$4,0))))+SUMPRODUCT((Inputs!$E$5:$E$140=$B29)*ISNUMBER(INDEX(Inputs!$K$5:$AJ$140,0,MATCH(S$2,Inputs!$K$4:$AJ$4,0))))=0,NA(),SUMPRODUCT((Inputs!$A$5:$A$140=$B29)*Inputs!$B$5:$B$140*(((Inputs!$G$5:$G$140="moeda")+(Inputs!$G$5:$G$140="acoes"))*Inputs!$B$1+((Inputs!$G$5:$G$140&lt;&gt;"moeda")*(Inputs!$G$5:$G$140&lt;&gt;"acoes")))*INDEX(Inputs!$K$5:$AJ$140,0,MATCH(S$2,Inputs!$K$4:$AJ$4,0)))+SUMPRODUCT((Inputs!$C$5:$C$140=$B29)*Inputs!$D$5:$D$140*(((Inputs!$G$5:$G$140="moeda")+(Inputs!$G$5:$G$140="acoes"))*Inputs!$B$1+((Inputs!$G$5:$G$140&lt;&gt;"moeda")*(Inputs!$G$5:$G$140&lt;&gt;"acoes")))*INDEX(Inputs!$K$5:$AJ$140,0,MATCH(S$2,Inputs!$K$4:$AJ$4,0)))+SUMPRODUCT((Inputs!$E$5:$E$140=$B29)*Inputs!$F$5:$F$140*(((Inputs!$G$5:$G$140="moeda")+(Inputs!$G$5:$G$140="acoes"))*Inputs!$B$1+((Inputs!$G$5:$G$140&lt;&gt;"moeda")*(Inputs!$G$5:$G$140&lt;&gt;"acoes")))*INDEX(Inputs!$K$5:$AJ$140,0,MATCH(S$2,Inputs!$K$4:$AJ$4,0)))))</f>
        <v>27.739</v>
      </c>
      <c r="T29" s="6">
        <f>IF(ISNA(MATCH(T$2,Inputs!$K$4:$AJ$4,0)),NA(),IF(SUMPRODUCT((Inputs!$A$5:$A$140=$B29)*ISNUMBER(INDEX(Inputs!$K$5:$AJ$140,0,MATCH(T$2,Inputs!$K$4:$AJ$4,0))))+SUMPRODUCT((Inputs!$C$5:$C$140=$B29)*ISNUMBER(INDEX(Inputs!$K$5:$AJ$140,0,MATCH(T$2,Inputs!$K$4:$AJ$4,0))))+SUMPRODUCT((Inputs!$E$5:$E$140=$B29)*ISNUMBER(INDEX(Inputs!$K$5:$AJ$140,0,MATCH(T$2,Inputs!$K$4:$AJ$4,0))))=0,NA(),SUMPRODUCT((Inputs!$A$5:$A$140=$B29)*Inputs!$B$5:$B$140*(((Inputs!$G$5:$G$140="moeda")+(Inputs!$G$5:$G$140="acoes"))*Inputs!$B$1+((Inputs!$G$5:$G$140&lt;&gt;"moeda")*(Inputs!$G$5:$G$140&lt;&gt;"acoes")))*INDEX(Inputs!$K$5:$AJ$140,0,MATCH(T$2,Inputs!$K$4:$AJ$4,0)))+SUMPRODUCT((Inputs!$C$5:$C$140=$B29)*Inputs!$D$5:$D$140*(((Inputs!$G$5:$G$140="moeda")+(Inputs!$G$5:$G$140="acoes"))*Inputs!$B$1+((Inputs!$G$5:$G$140&lt;&gt;"moeda")*(Inputs!$G$5:$G$140&lt;&gt;"acoes")))*INDEX(Inputs!$K$5:$AJ$140,0,MATCH(T$2,Inputs!$K$4:$AJ$4,0)))+SUMPRODUCT((Inputs!$E$5:$E$140=$B29)*Inputs!$F$5:$F$140*(((Inputs!$G$5:$G$140="moeda")+(Inputs!$G$5:$G$140="acoes"))*Inputs!$B$1+((Inputs!$G$5:$G$140&lt;&gt;"moeda")*(Inputs!$G$5:$G$140&lt;&gt;"acoes")))*INDEX(Inputs!$K$5:$AJ$140,0,MATCH(T$2,Inputs!$K$4:$AJ$4,0)))))</f>
        <v>35.591</v>
      </c>
      <c r="U29" s="6">
        <f>IF(ISNA(MATCH(U$2,Inputs!$K$4:$AJ$4,0)),NA(),IF(SUMPRODUCT((Inputs!$A$5:$A$140=$B29)*ISNUMBER(INDEX(Inputs!$K$5:$AJ$140,0,MATCH(U$2,Inputs!$K$4:$AJ$4,0))))+SUMPRODUCT((Inputs!$C$5:$C$140=$B29)*ISNUMBER(INDEX(Inputs!$K$5:$AJ$140,0,MATCH(U$2,Inputs!$K$4:$AJ$4,0))))+SUMPRODUCT((Inputs!$E$5:$E$140=$B29)*ISNUMBER(INDEX(Inputs!$K$5:$AJ$140,0,MATCH(U$2,Inputs!$K$4:$AJ$4,0))))=0,NA(),SUMPRODUCT((Inputs!$A$5:$A$140=$B29)*Inputs!$B$5:$B$140*(((Inputs!$G$5:$G$140="moeda")+(Inputs!$G$5:$G$140="acoes"))*Inputs!$B$1+((Inputs!$G$5:$G$140&lt;&gt;"moeda")*(Inputs!$G$5:$G$140&lt;&gt;"acoes")))*INDEX(Inputs!$K$5:$AJ$140,0,MATCH(U$2,Inputs!$K$4:$AJ$4,0)))+SUMPRODUCT((Inputs!$C$5:$C$140=$B29)*Inputs!$D$5:$D$140*(((Inputs!$G$5:$G$140="moeda")+(Inputs!$G$5:$G$140="acoes"))*Inputs!$B$1+((Inputs!$G$5:$G$140&lt;&gt;"moeda")*(Inputs!$G$5:$G$140&lt;&gt;"acoes")))*INDEX(Inputs!$K$5:$AJ$140,0,MATCH(U$2,Inputs!$K$4:$AJ$4,0)))+SUMPRODUCT((Inputs!$E$5:$E$140=$B29)*Inputs!$F$5:$F$140*(((Inputs!$G$5:$G$140="moeda")+(Inputs!$G$5:$G$140="acoes"))*Inputs!$B$1+((Inputs!$G$5:$G$140&lt;&gt;"moeda")*(Inputs!$G$5:$G$140&lt;&gt;"acoes")))*INDEX(Inputs!$K$5:$AJ$140,0,MATCH(U$2,Inputs!$K$4:$AJ$4,0)))))</f>
        <v>49.938</v>
      </c>
      <c r="V29" s="6">
        <f>IF(ISNA(MATCH(V$2,Inputs!$K$4:$AJ$4,0)),NA(),IF(SUMPRODUCT((Inputs!$A$5:$A$140=$B29)*ISNUMBER(INDEX(Inputs!$K$5:$AJ$140,0,MATCH(V$2,Inputs!$K$4:$AJ$4,0))))+SUMPRODUCT((Inputs!$C$5:$C$140=$B29)*ISNUMBER(INDEX(Inputs!$K$5:$AJ$140,0,MATCH(V$2,Inputs!$K$4:$AJ$4,0))))+SUMPRODUCT((Inputs!$E$5:$E$140=$B29)*ISNUMBER(INDEX(Inputs!$K$5:$AJ$140,0,MATCH(V$2,Inputs!$K$4:$AJ$4,0))))=0,NA(),SUMPRODUCT((Inputs!$A$5:$A$140=$B29)*Inputs!$B$5:$B$140*(((Inputs!$G$5:$G$140="moeda")+(Inputs!$G$5:$G$140="acoes"))*Inputs!$B$1+((Inputs!$G$5:$G$140&lt;&gt;"moeda")*(Inputs!$G$5:$G$140&lt;&gt;"acoes")))*INDEX(Inputs!$K$5:$AJ$140,0,MATCH(V$2,Inputs!$K$4:$AJ$4,0)))+SUMPRODUCT((Inputs!$C$5:$C$140=$B29)*Inputs!$D$5:$D$140*(((Inputs!$G$5:$G$140="moeda")+(Inputs!$G$5:$G$140="acoes"))*Inputs!$B$1+((Inputs!$G$5:$G$140&lt;&gt;"moeda")*(Inputs!$G$5:$G$140&lt;&gt;"acoes")))*INDEX(Inputs!$K$5:$AJ$140,0,MATCH(V$2,Inputs!$K$4:$AJ$4,0)))+SUMPRODUCT((Inputs!$E$5:$E$140=$B29)*Inputs!$F$5:$F$140*(((Inputs!$G$5:$G$140="moeda")+(Inputs!$G$5:$G$140="acoes"))*Inputs!$B$1+((Inputs!$G$5:$G$140&lt;&gt;"moeda")*(Inputs!$G$5:$G$140&lt;&gt;"acoes")))*INDEX(Inputs!$K$5:$AJ$140,0,MATCH(V$2,Inputs!$K$4:$AJ$4,0)))))</f>
        <v>32.592</v>
      </c>
      <c r="W29" s="3">
        <f>V29</f>
        <v>32.592</v>
      </c>
      <c r="X29" s="6">
        <f>IF(ISNA(MATCH(X$2,Inputs!$K$4:$AJ$4,0)),NA(),IF(SUMPRODUCT((Inputs!$A$5:$A$140=$B29)*ISNUMBER(INDEX(Inputs!$K$5:$AJ$140,0,MATCH(X$2,Inputs!$K$4:$AJ$4,0))))+SUMPRODUCT((Inputs!$C$5:$C$140=$B29)*ISNUMBER(INDEX(Inputs!$K$5:$AJ$140,0,MATCH(X$2,Inputs!$K$4:$AJ$4,0))))+SUMPRODUCT((Inputs!$E$5:$E$140=$B29)*ISNUMBER(INDEX(Inputs!$K$5:$AJ$140,0,MATCH(X$2,Inputs!$K$4:$AJ$4,0))))=0,NA(),SUMPRODUCT((Inputs!$A$5:$A$140=$B29)*Inputs!$B$5:$B$140*(((Inputs!$G$5:$G$140="moeda")+(Inputs!$G$5:$G$140="acoes"))*Inputs!$B$1+((Inputs!$G$5:$G$140&lt;&gt;"moeda")*(Inputs!$G$5:$G$140&lt;&gt;"acoes")))*INDEX(Inputs!$K$5:$AJ$140,0,MATCH(X$2,Inputs!$K$4:$AJ$4,0)))+SUMPRODUCT((Inputs!$C$5:$C$140=$B29)*Inputs!$D$5:$D$140*(((Inputs!$G$5:$G$140="moeda")+(Inputs!$G$5:$G$140="acoes"))*Inputs!$B$1+((Inputs!$G$5:$G$140&lt;&gt;"moeda")*(Inputs!$G$5:$G$140&lt;&gt;"acoes")))*INDEX(Inputs!$K$5:$AJ$140,0,MATCH(X$2,Inputs!$K$4:$AJ$4,0)))+SUMPRODUCT((Inputs!$E$5:$E$140=$B29)*Inputs!$F$5:$F$140*(((Inputs!$G$5:$G$140="moeda")+(Inputs!$G$5:$G$140="acoes"))*Inputs!$B$1+((Inputs!$G$5:$G$140&lt;&gt;"moeda")*(Inputs!$G$5:$G$140&lt;&gt;"acoes")))*INDEX(Inputs!$K$5:$AJ$140,0,MATCH(X$2,Inputs!$K$4:$AJ$4,0)))))</f>
        <v>38.661</v>
      </c>
      <c r="Y29" s="6">
        <f>IF(ISNA(MATCH(Y$2,Inputs!$K$4:$AJ$4,0)),NA(),IF(SUMPRODUCT((Inputs!$A$5:$A$140=$B29)*ISNUMBER(INDEX(Inputs!$K$5:$AJ$140,0,MATCH(Y$2,Inputs!$K$4:$AJ$4,0))))+SUMPRODUCT((Inputs!$C$5:$C$140=$B29)*ISNUMBER(INDEX(Inputs!$K$5:$AJ$140,0,MATCH(Y$2,Inputs!$K$4:$AJ$4,0))))+SUMPRODUCT((Inputs!$E$5:$E$140=$B29)*ISNUMBER(INDEX(Inputs!$K$5:$AJ$140,0,MATCH(Y$2,Inputs!$K$4:$AJ$4,0))))=0,NA(),SUMPRODUCT((Inputs!$A$5:$A$140=$B29)*Inputs!$B$5:$B$140*(((Inputs!$G$5:$G$140="moeda")+(Inputs!$G$5:$G$140="acoes"))*Inputs!$B$1+((Inputs!$G$5:$G$140&lt;&gt;"moeda")*(Inputs!$G$5:$G$140&lt;&gt;"acoes")))*INDEX(Inputs!$K$5:$AJ$140,0,MATCH(Y$2,Inputs!$K$4:$AJ$4,0)))+SUMPRODUCT((Inputs!$C$5:$C$140=$B29)*Inputs!$D$5:$D$140*(((Inputs!$G$5:$G$140="moeda")+(Inputs!$G$5:$G$140="acoes"))*Inputs!$B$1+((Inputs!$G$5:$G$140&lt;&gt;"moeda")*(Inputs!$G$5:$G$140&lt;&gt;"acoes")))*INDEX(Inputs!$K$5:$AJ$140,0,MATCH(Y$2,Inputs!$K$4:$AJ$4,0)))+SUMPRODUCT((Inputs!$E$5:$E$140=$B29)*Inputs!$F$5:$F$140*(((Inputs!$G$5:$G$140="moeda")+(Inputs!$G$5:$G$140="acoes"))*Inputs!$B$1+((Inputs!$G$5:$G$140&lt;&gt;"moeda")*(Inputs!$G$5:$G$140&lt;&gt;"acoes")))*INDEX(Inputs!$K$5:$AJ$140,0,MATCH(Y$2,Inputs!$K$4:$AJ$4,0)))))</f>
        <v>49.007</v>
      </c>
      <c r="Z29" s="6">
        <f>IF(ISNA(MATCH(Z$2,Inputs!$K$4:$AJ$4,0)),NA(),IF(SUMPRODUCT((Inputs!$A$5:$A$140=$B29)*ISNUMBER(INDEX(Inputs!$K$5:$AJ$140,0,MATCH(Z$2,Inputs!$K$4:$AJ$4,0))))+SUMPRODUCT((Inputs!$C$5:$C$140=$B29)*ISNUMBER(INDEX(Inputs!$K$5:$AJ$140,0,MATCH(Z$2,Inputs!$K$4:$AJ$4,0))))+SUMPRODUCT((Inputs!$E$5:$E$140=$B29)*ISNUMBER(INDEX(Inputs!$K$5:$AJ$140,0,MATCH(Z$2,Inputs!$K$4:$AJ$4,0))))=0,NA(),SUMPRODUCT((Inputs!$A$5:$A$140=$B29)*Inputs!$B$5:$B$140*(((Inputs!$G$5:$G$140="moeda")+(Inputs!$G$5:$G$140="acoes"))*Inputs!$B$1+((Inputs!$G$5:$G$140&lt;&gt;"moeda")*(Inputs!$G$5:$G$140&lt;&gt;"acoes")))*INDEX(Inputs!$K$5:$AJ$140,0,MATCH(Z$2,Inputs!$K$4:$AJ$4,0)))+SUMPRODUCT((Inputs!$C$5:$C$140=$B29)*Inputs!$D$5:$D$140*(((Inputs!$G$5:$G$140="moeda")+(Inputs!$G$5:$G$140="acoes"))*Inputs!$B$1+((Inputs!$G$5:$G$140&lt;&gt;"moeda")*(Inputs!$G$5:$G$140&lt;&gt;"acoes")))*INDEX(Inputs!$K$5:$AJ$140,0,MATCH(Z$2,Inputs!$K$4:$AJ$4,0)))+SUMPRODUCT((Inputs!$E$5:$E$140=$B29)*Inputs!$F$5:$F$140*(((Inputs!$G$5:$G$140="moeda")+(Inputs!$G$5:$G$140="acoes"))*Inputs!$B$1+((Inputs!$G$5:$G$140&lt;&gt;"moeda")*(Inputs!$G$5:$G$140&lt;&gt;"acoes")))*INDEX(Inputs!$K$5:$AJ$140,0,MATCH(Z$2,Inputs!$K$4:$AJ$4,0)))))</f>
        <v>56.389</v>
      </c>
      <c r="AA29" s="6">
        <f>IF(ISNA(MATCH(AA$2,Inputs!$K$4:$AJ$4,0)),NA(),IF(SUMPRODUCT((Inputs!$A$5:$A$140=$B29)*ISNUMBER(INDEX(Inputs!$K$5:$AJ$140,0,MATCH(AA$2,Inputs!$K$4:$AJ$4,0))))+SUMPRODUCT((Inputs!$C$5:$C$140=$B29)*ISNUMBER(INDEX(Inputs!$K$5:$AJ$140,0,MATCH(AA$2,Inputs!$K$4:$AJ$4,0))))+SUMPRODUCT((Inputs!$E$5:$E$140=$B29)*ISNUMBER(INDEX(Inputs!$K$5:$AJ$140,0,MATCH(AA$2,Inputs!$K$4:$AJ$4,0))))=0,NA(),SUMPRODUCT((Inputs!$A$5:$A$140=$B29)*Inputs!$B$5:$B$140*(((Inputs!$G$5:$G$140="moeda")+(Inputs!$G$5:$G$140="acoes"))*Inputs!$B$1+((Inputs!$G$5:$G$140&lt;&gt;"moeda")*(Inputs!$G$5:$G$140&lt;&gt;"acoes")))*INDEX(Inputs!$K$5:$AJ$140,0,MATCH(AA$2,Inputs!$K$4:$AJ$4,0)))+SUMPRODUCT((Inputs!$C$5:$C$140=$B29)*Inputs!$D$5:$D$140*(((Inputs!$G$5:$G$140="moeda")+(Inputs!$G$5:$G$140="acoes"))*Inputs!$B$1+((Inputs!$G$5:$G$140&lt;&gt;"moeda")*(Inputs!$G$5:$G$140&lt;&gt;"acoes")))*INDEX(Inputs!$K$5:$AJ$140,0,MATCH(AA$2,Inputs!$K$4:$AJ$4,0)))+SUMPRODUCT((Inputs!$E$5:$E$140=$B29)*Inputs!$F$5:$F$140*(((Inputs!$G$5:$G$140="moeda")+(Inputs!$G$5:$G$140="acoes"))*Inputs!$B$1+((Inputs!$G$5:$G$140&lt;&gt;"moeda")*(Inputs!$G$5:$G$140&lt;&gt;"acoes")))*INDEX(Inputs!$K$5:$AJ$140,0,MATCH(AA$2,Inputs!$K$4:$AJ$4,0)))))</f>
        <v>43.999</v>
      </c>
      <c r="AB29" s="3">
        <f>AA29</f>
        <v>43.999</v>
      </c>
      <c r="AC29" s="6">
        <f>IF(ISNA(MATCH(AC$2,Inputs!$K$4:$AJ$4,0)),NA(),IF(SUMPRODUCT((Inputs!$A$5:$A$140=$B29)*ISNUMBER(INDEX(Inputs!$K$5:$AJ$140,0,MATCH(AC$2,Inputs!$K$4:$AJ$4,0))))+SUMPRODUCT((Inputs!$C$5:$C$140=$B29)*ISNUMBER(INDEX(Inputs!$K$5:$AJ$140,0,MATCH(AC$2,Inputs!$K$4:$AJ$4,0))))+SUMPRODUCT((Inputs!$E$5:$E$140=$B29)*ISNUMBER(INDEX(Inputs!$K$5:$AJ$140,0,MATCH(AC$2,Inputs!$K$4:$AJ$4,0))))=0,NA(),SUMPRODUCT((Inputs!$A$5:$A$140=$B29)*Inputs!$B$5:$B$140*(((Inputs!$G$5:$G$140="moeda")+(Inputs!$G$5:$G$140="acoes"))*Inputs!$B$1+((Inputs!$G$5:$G$140&lt;&gt;"moeda")*(Inputs!$G$5:$G$140&lt;&gt;"acoes")))*INDEX(Inputs!$K$5:$AJ$140,0,MATCH(AC$2,Inputs!$K$4:$AJ$4,0)))+SUMPRODUCT((Inputs!$C$5:$C$140=$B29)*Inputs!$D$5:$D$140*(((Inputs!$G$5:$G$140="moeda")+(Inputs!$G$5:$G$140="acoes"))*Inputs!$B$1+((Inputs!$G$5:$G$140&lt;&gt;"moeda")*(Inputs!$G$5:$G$140&lt;&gt;"acoes")))*INDEX(Inputs!$K$5:$AJ$140,0,MATCH(AC$2,Inputs!$K$4:$AJ$4,0)))+SUMPRODUCT((Inputs!$E$5:$E$140=$B29)*Inputs!$F$5:$F$140*(((Inputs!$G$5:$G$140="moeda")+(Inputs!$G$5:$G$140="acoes"))*Inputs!$B$1+((Inputs!$G$5:$G$140&lt;&gt;"moeda")*(Inputs!$G$5:$G$140&lt;&gt;"acoes")))*INDEX(Inputs!$K$5:$AJ$140,0,MATCH(AC$2,Inputs!$K$4:$AJ$4,0)))))</f>
        <v>54.666</v>
      </c>
      <c r="AD29" s="6">
        <f>IF(ISNA(MATCH(AD$2,Inputs!$K$4:$AJ$4,0)),NA(),IF(SUMPRODUCT((Inputs!$A$5:$A$140=$B29)*ISNUMBER(INDEX(Inputs!$K$5:$AJ$140,0,MATCH(AD$2,Inputs!$K$4:$AJ$4,0))))+SUMPRODUCT((Inputs!$C$5:$C$140=$B29)*ISNUMBER(INDEX(Inputs!$K$5:$AJ$140,0,MATCH(AD$2,Inputs!$K$4:$AJ$4,0))))+SUMPRODUCT((Inputs!$E$5:$E$140=$B29)*ISNUMBER(INDEX(Inputs!$K$5:$AJ$140,0,MATCH(AD$2,Inputs!$K$4:$AJ$4,0))))=0,NA(),SUMPRODUCT((Inputs!$A$5:$A$140=$B29)*Inputs!$B$5:$B$140*(((Inputs!$G$5:$G$140="moeda")+(Inputs!$G$5:$G$140="acoes"))*Inputs!$B$1+((Inputs!$G$5:$G$140&lt;&gt;"moeda")*(Inputs!$G$5:$G$140&lt;&gt;"acoes")))*INDEX(Inputs!$K$5:$AJ$140,0,MATCH(AD$2,Inputs!$K$4:$AJ$4,0)))+SUMPRODUCT((Inputs!$C$5:$C$140=$B29)*Inputs!$D$5:$D$140*(((Inputs!$G$5:$G$140="moeda")+(Inputs!$G$5:$G$140="acoes"))*Inputs!$B$1+((Inputs!$G$5:$G$140&lt;&gt;"moeda")*(Inputs!$G$5:$G$140&lt;&gt;"acoes")))*INDEX(Inputs!$K$5:$AJ$140,0,MATCH(AD$2,Inputs!$K$4:$AJ$4,0)))+SUMPRODUCT((Inputs!$E$5:$E$140=$B29)*Inputs!$F$5:$F$140*(((Inputs!$G$5:$G$140="moeda")+(Inputs!$G$5:$G$140="acoes"))*Inputs!$B$1+((Inputs!$G$5:$G$140&lt;&gt;"moeda")*(Inputs!$G$5:$G$140&lt;&gt;"acoes")))*INDEX(Inputs!$K$5:$AJ$140,0,MATCH(AD$2,Inputs!$K$4:$AJ$4,0)))))</f>
        <v>72.162</v>
      </c>
      <c r="AE29" s="6" t="e">
        <f>IF(ISNA(MATCH(AE$2,Inputs!$K$4:$AJ$4,0)),NA(),IF(SUMPRODUCT((Inputs!$A$5:$A$140=$B29)*ISNUMBER(INDEX(Inputs!$K$5:$AJ$140,0,MATCH(AE$2,Inputs!$K$4:$AJ$4,0))))+SUMPRODUCT((Inputs!$C$5:$C$140=$B29)*ISNUMBER(INDEX(Inputs!$K$5:$AJ$140,0,MATCH(AE$2,Inputs!$K$4:$AJ$4,0))))+SUMPRODUCT((Inputs!$E$5:$E$140=$B29)*ISNUMBER(INDEX(Inputs!$K$5:$AJ$140,0,MATCH(AE$2,Inputs!$K$4:$AJ$4,0))))=0,NA(),SUMPRODUCT((Inputs!$A$5:$A$140=$B29)*Inputs!$B$5:$B$140*(((Inputs!$G$5:$G$140="moeda")+(Inputs!$G$5:$G$140="acoes"))*Inputs!$B$1+((Inputs!$G$5:$G$140&lt;&gt;"moeda")*(Inputs!$G$5:$G$140&lt;&gt;"acoes")))*INDEX(Inputs!$K$5:$AJ$140,0,MATCH(AE$2,Inputs!$K$4:$AJ$4,0)))+SUMPRODUCT((Inputs!$C$5:$C$140=$B29)*Inputs!$D$5:$D$140*(((Inputs!$G$5:$G$140="moeda")+(Inputs!$G$5:$G$140="acoes"))*Inputs!$B$1+((Inputs!$G$5:$G$140&lt;&gt;"moeda")*(Inputs!$G$5:$G$140&lt;&gt;"acoes")))*INDEX(Inputs!$K$5:$AJ$140,0,MATCH(AE$2,Inputs!$K$4:$AJ$4,0)))+SUMPRODUCT((Inputs!$E$5:$E$140=$B29)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29" s="6" t="e">
        <f>IF(ISNA(MATCH(AF$2,Inputs!$K$4:$AJ$4,0)),NA(),IF(SUMPRODUCT((Inputs!$A$5:$A$140=$B29)*ISNUMBER(INDEX(Inputs!$K$5:$AJ$140,0,MATCH(AF$2,Inputs!$K$4:$AJ$4,0))))+SUMPRODUCT((Inputs!$C$5:$C$140=$B29)*ISNUMBER(INDEX(Inputs!$K$5:$AJ$140,0,MATCH(AF$2,Inputs!$K$4:$AJ$4,0))))+SUMPRODUCT((Inputs!$E$5:$E$140=$B29)*ISNUMBER(INDEX(Inputs!$K$5:$AJ$140,0,MATCH(AF$2,Inputs!$K$4:$AJ$4,0))))=0,NA(),SUMPRODUCT((Inputs!$A$5:$A$140=$B29)*Inputs!$B$5:$B$140*(((Inputs!$G$5:$G$140="moeda")+(Inputs!$G$5:$G$140="acoes"))*Inputs!$B$1+((Inputs!$G$5:$G$140&lt;&gt;"moeda")*(Inputs!$G$5:$G$140&lt;&gt;"acoes")))*INDEX(Inputs!$K$5:$AJ$140,0,MATCH(AF$2,Inputs!$K$4:$AJ$4,0)))+SUMPRODUCT((Inputs!$C$5:$C$140=$B29)*Inputs!$D$5:$D$140*(((Inputs!$G$5:$G$140="moeda")+(Inputs!$G$5:$G$140="acoes"))*Inputs!$B$1+((Inputs!$G$5:$G$140&lt;&gt;"moeda")*(Inputs!$G$5:$G$140&lt;&gt;"acoes")))*INDEX(Inputs!$K$5:$AJ$140,0,MATCH(AF$2,Inputs!$K$4:$AJ$4,0)))+SUMPRODUCT((Inputs!$E$5:$E$140=$B29)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29" s="3" t="e">
        <f>AF29</f>
        <v>#N/A</v>
      </c>
      <c r="AH29" s="6">
        <f>IF(ISNA(MATCH(AH$2,Inputs!$K$4:$AJ$4,0)),NA(),IF(SUMPRODUCT((Inputs!$A$5:$A$140=$B29)*ISNUMBER(INDEX(Inputs!$K$5:$AJ$140,0,MATCH(AH$2,Inputs!$K$4:$AJ$4,0))))+SUMPRODUCT((Inputs!$C$5:$C$140=$B29)*ISNUMBER(INDEX(Inputs!$K$5:$AJ$140,0,MATCH(AH$2,Inputs!$K$4:$AJ$4,0))))+SUMPRODUCT((Inputs!$E$5:$E$140=$B29)*ISNUMBER(INDEX(Inputs!$K$5:$AJ$140,0,MATCH(AH$2,Inputs!$K$4:$AJ$4,0))))=0,NA(),SUMPRODUCT((Inputs!$A$5:$A$140=$B29)*Inputs!$B$5:$B$140*(((Inputs!$G$5:$G$140="moeda")+(Inputs!$G$5:$G$140="acoes"))*Inputs!$B$1+((Inputs!$G$5:$G$140&lt;&gt;"moeda")*(Inputs!$G$5:$G$140&lt;&gt;"acoes")))*INDEX(Inputs!$K$5:$AJ$140,0,MATCH(AH$2,Inputs!$K$4:$AJ$4,0)))+SUMPRODUCT((Inputs!$C$5:$C$140=$B29)*Inputs!$D$5:$D$140*(((Inputs!$G$5:$G$140="moeda")+(Inputs!$G$5:$G$140="acoes"))*Inputs!$B$1+((Inputs!$G$5:$G$140&lt;&gt;"moeda")*(Inputs!$G$5:$G$140&lt;&gt;"acoes")))*INDEX(Inputs!$K$5:$AJ$140,0,MATCH(AH$2,Inputs!$K$4:$AJ$4,0)))+SUMPRODUCT((Inputs!$E$5:$E$140=$B29)*Inputs!$F$5:$F$140*(((Inputs!$G$5:$G$140="moeda")+(Inputs!$G$5:$G$140="acoes"))*Inputs!$B$1+((Inputs!$G$5:$G$140&lt;&gt;"moeda")*(Inputs!$G$5:$G$140&lt;&gt;"acoes")))*INDEX(Inputs!$K$5:$AJ$140,0,MATCH(AH$2,Inputs!$K$4:$AJ$4,0)))))</f>
        <v>11.709</v>
      </c>
      <c r="AI29" s="6">
        <f>IF(ISNA(MATCH(AI$2,Inputs!$K$4:$AJ$4,0)),NA(),IF(SUMPRODUCT((Inputs!$A$5:$A$140=$B29)*ISNUMBER(INDEX(Inputs!$K$5:$AJ$140,0,MATCH(AI$2,Inputs!$K$4:$AJ$4,0))))+SUMPRODUCT((Inputs!$C$5:$C$140=$B29)*ISNUMBER(INDEX(Inputs!$K$5:$AJ$140,0,MATCH(AI$2,Inputs!$K$4:$AJ$4,0))))+SUMPRODUCT((Inputs!$E$5:$E$140=$B29)*ISNUMBER(INDEX(Inputs!$K$5:$AJ$140,0,MATCH(AI$2,Inputs!$K$4:$AJ$4,0))))=0,NA(),SUMPRODUCT((Inputs!$A$5:$A$140=$B29)*Inputs!$B$5:$B$140*(((Inputs!$G$5:$G$140="moeda")+(Inputs!$G$5:$G$140="acoes"))*Inputs!$B$1+((Inputs!$G$5:$G$140&lt;&gt;"moeda")*(Inputs!$G$5:$G$140&lt;&gt;"acoes")))*INDEX(Inputs!$K$5:$AJ$140,0,MATCH(AI$2,Inputs!$K$4:$AJ$4,0)))+SUMPRODUCT((Inputs!$C$5:$C$140=$B29)*Inputs!$D$5:$D$140*(((Inputs!$G$5:$G$140="moeda")+(Inputs!$G$5:$G$140="acoes"))*Inputs!$B$1+((Inputs!$G$5:$G$140&lt;&gt;"moeda")*(Inputs!$G$5:$G$140&lt;&gt;"acoes")))*INDEX(Inputs!$K$5:$AJ$140,0,MATCH(AI$2,Inputs!$K$4:$AJ$4,0)))+SUMPRODUCT((Inputs!$E$5:$E$140=$B29)*Inputs!$F$5:$F$140*(((Inputs!$G$5:$G$140="moeda")+(Inputs!$G$5:$G$140="acoes"))*Inputs!$B$1+((Inputs!$G$5:$G$140&lt;&gt;"moeda")*(Inputs!$G$5:$G$140&lt;&gt;"acoes")))*INDEX(Inputs!$K$5:$AJ$140,0,MATCH(AI$2,Inputs!$K$4:$AJ$4,0)))))</f>
        <v>14.812</v>
      </c>
      <c r="AJ29" s="6">
        <f>IF(ISNA(MATCH(AJ$2,Inputs!$K$4:$AJ$4,0)),NA(),IF(SUMPRODUCT((Inputs!$A$5:$A$140=$B29)*ISNUMBER(INDEX(Inputs!$K$5:$AJ$140,0,MATCH(AJ$2,Inputs!$K$4:$AJ$4,0))))+SUMPRODUCT((Inputs!$C$5:$C$140=$B29)*ISNUMBER(INDEX(Inputs!$K$5:$AJ$140,0,MATCH(AJ$2,Inputs!$K$4:$AJ$4,0))))+SUMPRODUCT((Inputs!$E$5:$E$140=$B29)*ISNUMBER(INDEX(Inputs!$K$5:$AJ$140,0,MATCH(AJ$2,Inputs!$K$4:$AJ$4,0))))=0,NA(),SUMPRODUCT((Inputs!$A$5:$A$140=$B29)*Inputs!$B$5:$B$140*(((Inputs!$G$5:$G$140="moeda")+(Inputs!$G$5:$G$140="acoes"))*Inputs!$B$1+((Inputs!$G$5:$G$140&lt;&gt;"moeda")*(Inputs!$G$5:$G$140&lt;&gt;"acoes")))*INDEX(Inputs!$K$5:$AJ$140,0,MATCH(AJ$2,Inputs!$K$4:$AJ$4,0)))+SUMPRODUCT((Inputs!$C$5:$C$140=$B29)*Inputs!$D$5:$D$140*(((Inputs!$G$5:$G$140="moeda")+(Inputs!$G$5:$G$140="acoes"))*Inputs!$B$1+((Inputs!$G$5:$G$140&lt;&gt;"moeda")*(Inputs!$G$5:$G$140&lt;&gt;"acoes")))*INDEX(Inputs!$K$5:$AJ$140,0,MATCH(AJ$2,Inputs!$K$4:$AJ$4,0)))+SUMPRODUCT((Inputs!$E$5:$E$140=$B29)*Inputs!$F$5:$F$140*(((Inputs!$G$5:$G$140="moeda")+(Inputs!$G$5:$G$140="acoes"))*Inputs!$B$1+((Inputs!$G$5:$G$140&lt;&gt;"moeda")*(Inputs!$G$5:$G$140&lt;&gt;"acoes")))*INDEX(Inputs!$K$5:$AJ$140,0,MATCH(AJ$2,Inputs!$K$4:$AJ$4,0)))))</f>
        <v>15.53</v>
      </c>
      <c r="AK29" s="6">
        <f>IF(ISNA(MATCH(AK$2,Inputs!$K$4:$AJ$4,0)),NA(),IF(SUMPRODUCT((Inputs!$A$5:$A$140=$B29)*ISNUMBER(INDEX(Inputs!$K$5:$AJ$140,0,MATCH(AK$2,Inputs!$K$4:$AJ$4,0))))+SUMPRODUCT((Inputs!$C$5:$C$140=$B29)*ISNUMBER(INDEX(Inputs!$K$5:$AJ$140,0,MATCH(AK$2,Inputs!$K$4:$AJ$4,0))))+SUMPRODUCT((Inputs!$E$5:$E$140=$B29)*ISNUMBER(INDEX(Inputs!$K$5:$AJ$140,0,MATCH(AK$2,Inputs!$K$4:$AJ$4,0))))=0,NA(),SUMPRODUCT((Inputs!$A$5:$A$140=$B29)*Inputs!$B$5:$B$140*(((Inputs!$G$5:$G$140="moeda")+(Inputs!$G$5:$G$140="acoes"))*Inputs!$B$1+((Inputs!$G$5:$G$140&lt;&gt;"moeda")*(Inputs!$G$5:$G$140&lt;&gt;"acoes")))*INDEX(Inputs!$K$5:$AJ$140,0,MATCH(AK$2,Inputs!$K$4:$AJ$4,0)))+SUMPRODUCT((Inputs!$C$5:$C$140=$B29)*Inputs!$D$5:$D$140*(((Inputs!$G$5:$G$140="moeda")+(Inputs!$G$5:$G$140="acoes"))*Inputs!$B$1+((Inputs!$G$5:$G$140&lt;&gt;"moeda")*(Inputs!$G$5:$G$140&lt;&gt;"acoes")))*INDEX(Inputs!$K$5:$AJ$140,0,MATCH(AK$2,Inputs!$K$4:$AJ$4,0)))+SUMPRODUCT((Inputs!$E$5:$E$140=$B29)*Inputs!$F$5:$F$140*(((Inputs!$G$5:$G$140="moeda")+(Inputs!$G$5:$G$140="acoes"))*Inputs!$B$1+((Inputs!$G$5:$G$140&lt;&gt;"moeda")*(Inputs!$G$5:$G$140&lt;&gt;"acoes")))*INDEX(Inputs!$K$5:$AJ$140,0,MATCH(AK$2,Inputs!$K$4:$AJ$4,0)))))</f>
        <v>11.444</v>
      </c>
      <c r="AL29" s="3">
        <f>AK29</f>
        <v>11.444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$140=$B30)*ISNUMBER(INDEX(Inputs!$K$5:$AJ$140,0,MATCH(D$2,Inputs!$K$4:$AJ$4,0))))+SUMPRODUCT((Inputs!$C$5:$C$140=$B30)*ISNUMBER(INDEX(Inputs!$K$5:$AJ$140,0,MATCH(D$2,Inputs!$K$4:$AJ$4,0))))+SUMPRODUCT((Inputs!$E$5:$E$140=$B30)*ISNUMBER(INDEX(Inputs!$K$5:$AJ$140,0,MATCH(D$2,Inputs!$K$4:$AJ$4,0))))=0,NA(),SUMPRODUCT((Inputs!$A$5:$A$140=$B30)*Inputs!$B$5:$B$140*(((Inputs!$G$5:$G$140="moeda")+(Inputs!$G$5:$G$140="acoes"))*Inputs!$B$1+((Inputs!$G$5:$G$140&lt;&gt;"moeda")*(Inputs!$G$5:$G$140&lt;&gt;"acoes")))*INDEX(Inputs!$K$5:$AJ$140,0,MATCH(D$2,Inputs!$K$4:$AJ$4,0)))+SUMPRODUCT((Inputs!$C$5:$C$140=$B30)*Inputs!$D$5:$D$140*(((Inputs!$G$5:$G$140="moeda")+(Inputs!$G$5:$G$140="acoes"))*Inputs!$B$1+((Inputs!$G$5:$G$140&lt;&gt;"moeda")*(Inputs!$G$5:$G$140&lt;&gt;"acoes")))*INDEX(Inputs!$K$5:$AJ$140,0,MATCH(D$2,Inputs!$K$4:$AJ$4,0)))+SUMPRODUCT((Inputs!$E$5:$E$140=$B30)*Inputs!$F$5:$F$140*(((Inputs!$G$5:$G$140="moeda")+(Inputs!$G$5:$G$140="acoes"))*Inputs!$B$1+((Inputs!$G$5:$G$140&lt;&gt;"moeda")*(Inputs!$G$5:$G$140&lt;&gt;"acoes")))*INDEX(Inputs!$K$5:$AJ$140,0,MATCH(D$2,Inputs!$K$4:$AJ$4,0)))))</f>
        <v>9.385</v>
      </c>
      <c r="E30" s="6">
        <f>IF(ISNA(MATCH(E$2,Inputs!$K$4:$AJ$4,0)),NA(),IF(SUMPRODUCT((Inputs!$A$5:$A$140=$B30)*ISNUMBER(INDEX(Inputs!$K$5:$AJ$140,0,MATCH(E$2,Inputs!$K$4:$AJ$4,0))))+SUMPRODUCT((Inputs!$C$5:$C$140=$B30)*ISNUMBER(INDEX(Inputs!$K$5:$AJ$140,0,MATCH(E$2,Inputs!$K$4:$AJ$4,0))))+SUMPRODUCT((Inputs!$E$5:$E$140=$B30)*ISNUMBER(INDEX(Inputs!$K$5:$AJ$140,0,MATCH(E$2,Inputs!$K$4:$AJ$4,0))))=0,NA(),SUMPRODUCT((Inputs!$A$5:$A$140=$B30)*Inputs!$B$5:$B$140*(((Inputs!$G$5:$G$140="moeda")+(Inputs!$G$5:$G$140="acoes"))*Inputs!$B$1+((Inputs!$G$5:$G$140&lt;&gt;"moeda")*(Inputs!$G$5:$G$140&lt;&gt;"acoes")))*INDEX(Inputs!$K$5:$AJ$140,0,MATCH(E$2,Inputs!$K$4:$AJ$4,0)))+SUMPRODUCT((Inputs!$C$5:$C$140=$B30)*Inputs!$D$5:$D$140*(((Inputs!$G$5:$G$140="moeda")+(Inputs!$G$5:$G$140="acoes"))*Inputs!$B$1+((Inputs!$G$5:$G$140&lt;&gt;"moeda")*(Inputs!$G$5:$G$140&lt;&gt;"acoes")))*INDEX(Inputs!$K$5:$AJ$140,0,MATCH(E$2,Inputs!$K$4:$AJ$4,0)))+SUMPRODUCT((Inputs!$E$5:$E$140=$B30)*Inputs!$F$5:$F$140*(((Inputs!$G$5:$G$140="moeda")+(Inputs!$G$5:$G$140="acoes"))*Inputs!$B$1+((Inputs!$G$5:$G$140&lt;&gt;"moeda")*(Inputs!$G$5:$G$140&lt;&gt;"acoes")))*INDEX(Inputs!$K$5:$AJ$140,0,MATCH(E$2,Inputs!$K$4:$AJ$4,0)))))</f>
        <v>8.745</v>
      </c>
      <c r="F30" s="6">
        <f>IF(ISNA(MATCH(F$2,Inputs!$K$4:$AJ$4,0)),NA(),IF(SUMPRODUCT((Inputs!$A$5:$A$140=$B30)*ISNUMBER(INDEX(Inputs!$K$5:$AJ$140,0,MATCH(F$2,Inputs!$K$4:$AJ$4,0))))+SUMPRODUCT((Inputs!$C$5:$C$140=$B30)*ISNUMBER(INDEX(Inputs!$K$5:$AJ$140,0,MATCH(F$2,Inputs!$K$4:$AJ$4,0))))+SUMPRODUCT((Inputs!$E$5:$E$140=$B30)*ISNUMBER(INDEX(Inputs!$K$5:$AJ$140,0,MATCH(F$2,Inputs!$K$4:$AJ$4,0))))=0,NA(),SUMPRODUCT((Inputs!$A$5:$A$140=$B30)*Inputs!$B$5:$B$140*(((Inputs!$G$5:$G$140="moeda")+(Inputs!$G$5:$G$140="acoes"))*Inputs!$B$1+((Inputs!$G$5:$G$140&lt;&gt;"moeda")*(Inputs!$G$5:$G$140&lt;&gt;"acoes")))*INDEX(Inputs!$K$5:$AJ$140,0,MATCH(F$2,Inputs!$K$4:$AJ$4,0)))+SUMPRODUCT((Inputs!$C$5:$C$140=$B30)*Inputs!$D$5:$D$140*(((Inputs!$G$5:$G$140="moeda")+(Inputs!$G$5:$G$140="acoes"))*Inputs!$B$1+((Inputs!$G$5:$G$140&lt;&gt;"moeda")*(Inputs!$G$5:$G$140&lt;&gt;"acoes")))*INDEX(Inputs!$K$5:$AJ$140,0,MATCH(F$2,Inputs!$K$4:$AJ$4,0)))+SUMPRODUCT((Inputs!$E$5:$E$140=$B30)*Inputs!$F$5:$F$140*(((Inputs!$G$5:$G$140="moeda")+(Inputs!$G$5:$G$140="acoes"))*Inputs!$B$1+((Inputs!$G$5:$G$140&lt;&gt;"moeda")*(Inputs!$G$5:$G$140&lt;&gt;"acoes")))*INDEX(Inputs!$K$5:$AJ$140,0,MATCH(F$2,Inputs!$K$4:$AJ$4,0)))))</f>
        <v>9.271</v>
      </c>
      <c r="G30" s="6">
        <f>IF(ISNA(MATCH(G$2,Inputs!$K$4:$AJ$4,0)),NA(),IF(SUMPRODUCT((Inputs!$A$5:$A$140=$B30)*ISNUMBER(INDEX(Inputs!$K$5:$AJ$140,0,MATCH(G$2,Inputs!$K$4:$AJ$4,0))))+SUMPRODUCT((Inputs!$C$5:$C$140=$B30)*ISNUMBER(INDEX(Inputs!$K$5:$AJ$140,0,MATCH(G$2,Inputs!$K$4:$AJ$4,0))))+SUMPRODUCT((Inputs!$E$5:$E$140=$B30)*ISNUMBER(INDEX(Inputs!$K$5:$AJ$140,0,MATCH(G$2,Inputs!$K$4:$AJ$4,0))))=0,NA(),SUMPRODUCT((Inputs!$A$5:$A$140=$B30)*Inputs!$B$5:$B$140*(((Inputs!$G$5:$G$140="moeda")+(Inputs!$G$5:$G$140="acoes"))*Inputs!$B$1+((Inputs!$G$5:$G$140&lt;&gt;"moeda")*(Inputs!$G$5:$G$140&lt;&gt;"acoes")))*INDEX(Inputs!$K$5:$AJ$140,0,MATCH(G$2,Inputs!$K$4:$AJ$4,0)))+SUMPRODUCT((Inputs!$C$5:$C$140=$B30)*Inputs!$D$5:$D$140*(((Inputs!$G$5:$G$140="moeda")+(Inputs!$G$5:$G$140="acoes"))*Inputs!$B$1+((Inputs!$G$5:$G$140&lt;&gt;"moeda")*(Inputs!$G$5:$G$140&lt;&gt;"acoes")))*INDEX(Inputs!$K$5:$AJ$140,0,MATCH(G$2,Inputs!$K$4:$AJ$4,0)))+SUMPRODUCT((Inputs!$E$5:$E$140=$B30)*Inputs!$F$5:$F$140*(((Inputs!$G$5:$G$140="moeda")+(Inputs!$G$5:$G$140="acoes"))*Inputs!$B$1+((Inputs!$G$5:$G$140&lt;&gt;"moeda")*(Inputs!$G$5:$G$140&lt;&gt;"acoes")))*INDEX(Inputs!$K$5:$AJ$140,0,MATCH(G$2,Inputs!$K$4:$AJ$4,0)))))</f>
        <v>8.366</v>
      </c>
      <c r="H30" s="3">
        <f>G30</f>
        <v>8.366</v>
      </c>
      <c r="I30" s="6">
        <f>IF(ISNA(MATCH(I$2,Inputs!$K$4:$AJ$4,0)),NA(),IF(SUMPRODUCT((Inputs!$A$5:$A$140=$B30)*ISNUMBER(INDEX(Inputs!$K$5:$AJ$140,0,MATCH(I$2,Inputs!$K$4:$AJ$4,0))))+SUMPRODUCT((Inputs!$C$5:$C$140=$B30)*ISNUMBER(INDEX(Inputs!$K$5:$AJ$140,0,MATCH(I$2,Inputs!$K$4:$AJ$4,0))))+SUMPRODUCT((Inputs!$E$5:$E$140=$B30)*ISNUMBER(INDEX(Inputs!$K$5:$AJ$140,0,MATCH(I$2,Inputs!$K$4:$AJ$4,0))))=0,NA(),SUMPRODUCT((Inputs!$A$5:$A$140=$B30)*Inputs!$B$5:$B$140*(((Inputs!$G$5:$G$140="moeda")+(Inputs!$G$5:$G$140="acoes"))*Inputs!$B$1+((Inputs!$G$5:$G$140&lt;&gt;"moeda")*(Inputs!$G$5:$G$140&lt;&gt;"acoes")))*INDEX(Inputs!$K$5:$AJ$140,0,MATCH(I$2,Inputs!$K$4:$AJ$4,0)))+SUMPRODUCT((Inputs!$C$5:$C$140=$B30)*Inputs!$D$5:$D$140*(((Inputs!$G$5:$G$140="moeda")+(Inputs!$G$5:$G$140="acoes"))*Inputs!$B$1+((Inputs!$G$5:$G$140&lt;&gt;"moeda")*(Inputs!$G$5:$G$140&lt;&gt;"acoes")))*INDEX(Inputs!$K$5:$AJ$140,0,MATCH(I$2,Inputs!$K$4:$AJ$4,0)))+SUMPRODUCT((Inputs!$E$5:$E$140=$B30)*Inputs!$F$5:$F$140*(((Inputs!$G$5:$G$140="moeda")+(Inputs!$G$5:$G$140="acoes"))*Inputs!$B$1+((Inputs!$G$5:$G$140&lt;&gt;"moeda")*(Inputs!$G$5:$G$140&lt;&gt;"acoes")))*INDEX(Inputs!$K$5:$AJ$140,0,MATCH(I$2,Inputs!$K$4:$AJ$4,0)))))</f>
        <v>10.182</v>
      </c>
      <c r="J30" s="6">
        <f>IF(ISNA(MATCH(J$2,Inputs!$K$4:$AJ$4,0)),NA(),IF(SUMPRODUCT((Inputs!$A$5:$A$140=$B30)*ISNUMBER(INDEX(Inputs!$K$5:$AJ$140,0,MATCH(J$2,Inputs!$K$4:$AJ$4,0))))+SUMPRODUCT((Inputs!$C$5:$C$140=$B30)*ISNUMBER(INDEX(Inputs!$K$5:$AJ$140,0,MATCH(J$2,Inputs!$K$4:$AJ$4,0))))+SUMPRODUCT((Inputs!$E$5:$E$140=$B30)*ISNUMBER(INDEX(Inputs!$K$5:$AJ$140,0,MATCH(J$2,Inputs!$K$4:$AJ$4,0))))=0,NA(),SUMPRODUCT((Inputs!$A$5:$A$140=$B30)*Inputs!$B$5:$B$140*(((Inputs!$G$5:$G$140="moeda")+(Inputs!$G$5:$G$140="acoes"))*Inputs!$B$1+((Inputs!$G$5:$G$140&lt;&gt;"moeda")*(Inputs!$G$5:$G$140&lt;&gt;"acoes")))*INDEX(Inputs!$K$5:$AJ$140,0,MATCH(J$2,Inputs!$K$4:$AJ$4,0)))+SUMPRODUCT((Inputs!$C$5:$C$140=$B30)*Inputs!$D$5:$D$140*(((Inputs!$G$5:$G$140="moeda")+(Inputs!$G$5:$G$140="acoes"))*Inputs!$B$1+((Inputs!$G$5:$G$140&lt;&gt;"moeda")*(Inputs!$G$5:$G$140&lt;&gt;"acoes")))*INDEX(Inputs!$K$5:$AJ$140,0,MATCH(J$2,Inputs!$K$4:$AJ$4,0)))+SUMPRODUCT((Inputs!$E$5:$E$140=$B30)*Inputs!$F$5:$F$140*(((Inputs!$G$5:$G$140="moeda")+(Inputs!$G$5:$G$140="acoes"))*Inputs!$B$1+((Inputs!$G$5:$G$140&lt;&gt;"moeda")*(Inputs!$G$5:$G$140&lt;&gt;"acoes")))*INDEX(Inputs!$K$5:$AJ$140,0,MATCH(J$2,Inputs!$K$4:$AJ$4,0)))))</f>
        <v>12.518</v>
      </c>
      <c r="K30" s="6">
        <f>IF(ISNA(MATCH(K$2,Inputs!$K$4:$AJ$4,0)),NA(),IF(SUMPRODUCT((Inputs!$A$5:$A$140=$B30)*ISNUMBER(INDEX(Inputs!$K$5:$AJ$140,0,MATCH(K$2,Inputs!$K$4:$AJ$4,0))))+SUMPRODUCT((Inputs!$C$5:$C$140=$B30)*ISNUMBER(INDEX(Inputs!$K$5:$AJ$140,0,MATCH(K$2,Inputs!$K$4:$AJ$4,0))))+SUMPRODUCT((Inputs!$E$5:$E$140=$B30)*ISNUMBER(INDEX(Inputs!$K$5:$AJ$140,0,MATCH(K$2,Inputs!$K$4:$AJ$4,0))))=0,NA(),SUMPRODUCT((Inputs!$A$5:$A$140=$B30)*Inputs!$B$5:$B$140*(((Inputs!$G$5:$G$140="moeda")+(Inputs!$G$5:$G$140="acoes"))*Inputs!$B$1+((Inputs!$G$5:$G$140&lt;&gt;"moeda")*(Inputs!$G$5:$G$140&lt;&gt;"acoes")))*INDEX(Inputs!$K$5:$AJ$140,0,MATCH(K$2,Inputs!$K$4:$AJ$4,0)))+SUMPRODUCT((Inputs!$C$5:$C$140=$B30)*Inputs!$D$5:$D$140*(((Inputs!$G$5:$G$140="moeda")+(Inputs!$G$5:$G$140="acoes"))*Inputs!$B$1+((Inputs!$G$5:$G$140&lt;&gt;"moeda")*(Inputs!$G$5:$G$140&lt;&gt;"acoes")))*INDEX(Inputs!$K$5:$AJ$140,0,MATCH(K$2,Inputs!$K$4:$AJ$4,0)))+SUMPRODUCT((Inputs!$E$5:$E$140=$B30)*Inputs!$F$5:$F$140*(((Inputs!$G$5:$G$140="moeda")+(Inputs!$G$5:$G$140="acoes"))*Inputs!$B$1+((Inputs!$G$5:$G$140&lt;&gt;"moeda")*(Inputs!$G$5:$G$140&lt;&gt;"acoes")))*INDEX(Inputs!$K$5:$AJ$140,0,MATCH(K$2,Inputs!$K$4:$AJ$4,0)))))</f>
        <v>12.142</v>
      </c>
      <c r="L30" s="6">
        <f>IF(ISNA(MATCH(L$2,Inputs!$K$4:$AJ$4,0)),NA(),IF(SUMPRODUCT((Inputs!$A$5:$A$140=$B30)*ISNUMBER(INDEX(Inputs!$K$5:$AJ$140,0,MATCH(L$2,Inputs!$K$4:$AJ$4,0))))+SUMPRODUCT((Inputs!$C$5:$C$140=$B30)*ISNUMBER(INDEX(Inputs!$K$5:$AJ$140,0,MATCH(L$2,Inputs!$K$4:$AJ$4,0))))+SUMPRODUCT((Inputs!$E$5:$E$140=$B30)*ISNUMBER(INDEX(Inputs!$K$5:$AJ$140,0,MATCH(L$2,Inputs!$K$4:$AJ$4,0))))=0,NA(),SUMPRODUCT((Inputs!$A$5:$A$140=$B30)*Inputs!$B$5:$B$140*(((Inputs!$G$5:$G$140="moeda")+(Inputs!$G$5:$G$140="acoes"))*Inputs!$B$1+((Inputs!$G$5:$G$140&lt;&gt;"moeda")*(Inputs!$G$5:$G$140&lt;&gt;"acoes")))*INDEX(Inputs!$K$5:$AJ$140,0,MATCH(L$2,Inputs!$K$4:$AJ$4,0)))+SUMPRODUCT((Inputs!$C$5:$C$140=$B30)*Inputs!$D$5:$D$140*(((Inputs!$G$5:$G$140="moeda")+(Inputs!$G$5:$G$140="acoes"))*Inputs!$B$1+((Inputs!$G$5:$G$140&lt;&gt;"moeda")*(Inputs!$G$5:$G$140&lt;&gt;"acoes")))*INDEX(Inputs!$K$5:$AJ$140,0,MATCH(L$2,Inputs!$K$4:$AJ$4,0)))+SUMPRODUCT((Inputs!$E$5:$E$140=$B30)*Inputs!$F$5:$F$140*(((Inputs!$G$5:$G$140="moeda")+(Inputs!$G$5:$G$140="acoes"))*Inputs!$B$1+((Inputs!$G$5:$G$140&lt;&gt;"moeda")*(Inputs!$G$5:$G$140&lt;&gt;"acoes")))*INDEX(Inputs!$K$5:$AJ$140,0,MATCH(L$2,Inputs!$K$4:$AJ$4,0)))))</f>
        <v>14.84</v>
      </c>
      <c r="M30" s="3">
        <f>L30</f>
        <v>14.84</v>
      </c>
      <c r="N30" s="6">
        <f>IF(ISNA(MATCH(N$2,Inputs!$K$4:$AJ$4,0)),NA(),IF(SUMPRODUCT((Inputs!$A$5:$A$140=$B30)*ISNUMBER(INDEX(Inputs!$K$5:$AJ$140,0,MATCH(N$2,Inputs!$K$4:$AJ$4,0))))+SUMPRODUCT((Inputs!$C$5:$C$140=$B30)*ISNUMBER(INDEX(Inputs!$K$5:$AJ$140,0,MATCH(N$2,Inputs!$K$4:$AJ$4,0))))+SUMPRODUCT((Inputs!$E$5:$E$140=$B30)*ISNUMBER(INDEX(Inputs!$K$5:$AJ$140,0,MATCH(N$2,Inputs!$K$4:$AJ$4,0))))=0,NA(),SUMPRODUCT((Inputs!$A$5:$A$140=$B30)*Inputs!$B$5:$B$140*(((Inputs!$G$5:$G$140="moeda")+(Inputs!$G$5:$G$140="acoes"))*Inputs!$B$1+((Inputs!$G$5:$G$140&lt;&gt;"moeda")*(Inputs!$G$5:$G$140&lt;&gt;"acoes")))*INDEX(Inputs!$K$5:$AJ$140,0,MATCH(N$2,Inputs!$K$4:$AJ$4,0)))+SUMPRODUCT((Inputs!$C$5:$C$140=$B30)*Inputs!$D$5:$D$140*(((Inputs!$G$5:$G$140="moeda")+(Inputs!$G$5:$G$140="acoes"))*Inputs!$B$1+((Inputs!$G$5:$G$140&lt;&gt;"moeda")*(Inputs!$G$5:$G$140&lt;&gt;"acoes")))*INDEX(Inputs!$K$5:$AJ$140,0,MATCH(N$2,Inputs!$K$4:$AJ$4,0)))+SUMPRODUCT((Inputs!$E$5:$E$140=$B30)*Inputs!$F$5:$F$140*(((Inputs!$G$5:$G$140="moeda")+(Inputs!$G$5:$G$140="acoes"))*Inputs!$B$1+((Inputs!$G$5:$G$140&lt;&gt;"moeda")*(Inputs!$G$5:$G$140&lt;&gt;"acoes")))*INDEX(Inputs!$K$5:$AJ$140,0,MATCH(N$2,Inputs!$K$4:$AJ$4,0)))))</f>
        <v>14.924</v>
      </c>
      <c r="O30" s="6">
        <f>IF(ISNA(MATCH(O$2,Inputs!$K$4:$AJ$4,0)),NA(),IF(SUMPRODUCT((Inputs!$A$5:$A$140=$B30)*ISNUMBER(INDEX(Inputs!$K$5:$AJ$140,0,MATCH(O$2,Inputs!$K$4:$AJ$4,0))))+SUMPRODUCT((Inputs!$C$5:$C$140=$B30)*ISNUMBER(INDEX(Inputs!$K$5:$AJ$140,0,MATCH(O$2,Inputs!$K$4:$AJ$4,0))))+SUMPRODUCT((Inputs!$E$5:$E$140=$B30)*ISNUMBER(INDEX(Inputs!$K$5:$AJ$140,0,MATCH(O$2,Inputs!$K$4:$AJ$4,0))))=0,NA(),SUMPRODUCT((Inputs!$A$5:$A$140=$B30)*Inputs!$B$5:$B$140*(((Inputs!$G$5:$G$140="moeda")+(Inputs!$G$5:$G$140="acoes"))*Inputs!$B$1+((Inputs!$G$5:$G$140&lt;&gt;"moeda")*(Inputs!$G$5:$G$140&lt;&gt;"acoes")))*INDEX(Inputs!$K$5:$AJ$140,0,MATCH(O$2,Inputs!$K$4:$AJ$4,0)))+SUMPRODUCT((Inputs!$C$5:$C$140=$B30)*Inputs!$D$5:$D$140*(((Inputs!$G$5:$G$140="moeda")+(Inputs!$G$5:$G$140="acoes"))*Inputs!$B$1+((Inputs!$G$5:$G$140&lt;&gt;"moeda")*(Inputs!$G$5:$G$140&lt;&gt;"acoes")))*INDEX(Inputs!$K$5:$AJ$140,0,MATCH(O$2,Inputs!$K$4:$AJ$4,0)))+SUMPRODUCT((Inputs!$E$5:$E$140=$B30)*Inputs!$F$5:$F$140*(((Inputs!$G$5:$G$140="moeda")+(Inputs!$G$5:$G$140="acoes"))*Inputs!$B$1+((Inputs!$G$5:$G$140&lt;&gt;"moeda")*(Inputs!$G$5:$G$140&lt;&gt;"acoes")))*INDEX(Inputs!$K$5:$AJ$140,0,MATCH(O$2,Inputs!$K$4:$AJ$4,0)))))</f>
        <v>14.002</v>
      </c>
      <c r="P30" s="6">
        <f>IF(ISNA(MATCH(P$2,Inputs!$K$4:$AJ$4,0)),NA(),IF(SUMPRODUCT((Inputs!$A$5:$A$140=$B30)*ISNUMBER(INDEX(Inputs!$K$5:$AJ$140,0,MATCH(P$2,Inputs!$K$4:$AJ$4,0))))+SUMPRODUCT((Inputs!$C$5:$C$140=$B30)*ISNUMBER(INDEX(Inputs!$K$5:$AJ$140,0,MATCH(P$2,Inputs!$K$4:$AJ$4,0))))+SUMPRODUCT((Inputs!$E$5:$E$140=$B30)*ISNUMBER(INDEX(Inputs!$K$5:$AJ$140,0,MATCH(P$2,Inputs!$K$4:$AJ$4,0))))=0,NA(),SUMPRODUCT((Inputs!$A$5:$A$140=$B30)*Inputs!$B$5:$B$140*(((Inputs!$G$5:$G$140="moeda")+(Inputs!$G$5:$G$140="acoes"))*Inputs!$B$1+((Inputs!$G$5:$G$140&lt;&gt;"moeda")*(Inputs!$G$5:$G$140&lt;&gt;"acoes")))*INDEX(Inputs!$K$5:$AJ$140,0,MATCH(P$2,Inputs!$K$4:$AJ$4,0)))+SUMPRODUCT((Inputs!$C$5:$C$140=$B30)*Inputs!$D$5:$D$140*(((Inputs!$G$5:$G$140="moeda")+(Inputs!$G$5:$G$140="acoes"))*Inputs!$B$1+((Inputs!$G$5:$G$140&lt;&gt;"moeda")*(Inputs!$G$5:$G$140&lt;&gt;"acoes")))*INDEX(Inputs!$K$5:$AJ$140,0,MATCH(P$2,Inputs!$K$4:$AJ$4,0)))+SUMPRODUCT((Inputs!$E$5:$E$140=$B30)*Inputs!$F$5:$F$140*(((Inputs!$G$5:$G$140="moeda")+(Inputs!$G$5:$G$140="acoes"))*Inputs!$B$1+((Inputs!$G$5:$G$140&lt;&gt;"moeda")*(Inputs!$G$5:$G$140&lt;&gt;"acoes")))*INDEX(Inputs!$K$5:$AJ$140,0,MATCH(P$2,Inputs!$K$4:$AJ$4,0)))))</f>
        <v>16.903</v>
      </c>
      <c r="Q30" s="6">
        <f>IF(ISNA(MATCH(Q$2,Inputs!$K$4:$AJ$4,0)),NA(),IF(SUMPRODUCT((Inputs!$A$5:$A$140=$B30)*ISNUMBER(INDEX(Inputs!$K$5:$AJ$140,0,MATCH(Q$2,Inputs!$K$4:$AJ$4,0))))+SUMPRODUCT((Inputs!$C$5:$C$140=$B30)*ISNUMBER(INDEX(Inputs!$K$5:$AJ$140,0,MATCH(Q$2,Inputs!$K$4:$AJ$4,0))))+SUMPRODUCT((Inputs!$E$5:$E$140=$B30)*ISNUMBER(INDEX(Inputs!$K$5:$AJ$140,0,MATCH(Q$2,Inputs!$K$4:$AJ$4,0))))=0,NA(),SUMPRODUCT((Inputs!$A$5:$A$140=$B30)*Inputs!$B$5:$B$140*(((Inputs!$G$5:$G$140="moeda")+(Inputs!$G$5:$G$140="acoes"))*Inputs!$B$1+((Inputs!$G$5:$G$140&lt;&gt;"moeda")*(Inputs!$G$5:$G$140&lt;&gt;"acoes")))*INDEX(Inputs!$K$5:$AJ$140,0,MATCH(Q$2,Inputs!$K$4:$AJ$4,0)))+SUMPRODUCT((Inputs!$C$5:$C$140=$B30)*Inputs!$D$5:$D$140*(((Inputs!$G$5:$G$140="moeda")+(Inputs!$G$5:$G$140="acoes"))*Inputs!$B$1+((Inputs!$G$5:$G$140&lt;&gt;"moeda")*(Inputs!$G$5:$G$140&lt;&gt;"acoes")))*INDEX(Inputs!$K$5:$AJ$140,0,MATCH(Q$2,Inputs!$K$4:$AJ$4,0)))+SUMPRODUCT((Inputs!$E$5:$E$140=$B30)*Inputs!$F$5:$F$140*(((Inputs!$G$5:$G$140="moeda")+(Inputs!$G$5:$G$140="acoes"))*Inputs!$B$1+((Inputs!$G$5:$G$140&lt;&gt;"moeda")*(Inputs!$G$5:$G$140&lt;&gt;"acoes")))*INDEX(Inputs!$K$5:$AJ$140,0,MATCH(Q$2,Inputs!$K$4:$AJ$4,0)))))</f>
        <v>19.051</v>
      </c>
      <c r="R30" s="3">
        <f>Q30</f>
        <v>19.051</v>
      </c>
      <c r="S30" s="6">
        <f>IF(ISNA(MATCH(S$2,Inputs!$K$4:$AJ$4,0)),NA(),IF(SUMPRODUCT((Inputs!$A$5:$A$140=$B30)*ISNUMBER(INDEX(Inputs!$K$5:$AJ$140,0,MATCH(S$2,Inputs!$K$4:$AJ$4,0))))+SUMPRODUCT((Inputs!$C$5:$C$140=$B30)*ISNUMBER(INDEX(Inputs!$K$5:$AJ$140,0,MATCH(S$2,Inputs!$K$4:$AJ$4,0))))+SUMPRODUCT((Inputs!$E$5:$E$140=$B30)*ISNUMBER(INDEX(Inputs!$K$5:$AJ$140,0,MATCH(S$2,Inputs!$K$4:$AJ$4,0))))=0,NA(),SUMPRODUCT((Inputs!$A$5:$A$140=$B30)*Inputs!$B$5:$B$140*(((Inputs!$G$5:$G$140="moeda")+(Inputs!$G$5:$G$140="acoes"))*Inputs!$B$1+((Inputs!$G$5:$G$140&lt;&gt;"moeda")*(Inputs!$G$5:$G$140&lt;&gt;"acoes")))*INDEX(Inputs!$K$5:$AJ$140,0,MATCH(S$2,Inputs!$K$4:$AJ$4,0)))+SUMPRODUCT((Inputs!$C$5:$C$140=$B30)*Inputs!$D$5:$D$140*(((Inputs!$G$5:$G$140="moeda")+(Inputs!$G$5:$G$140="acoes"))*Inputs!$B$1+((Inputs!$G$5:$G$140&lt;&gt;"moeda")*(Inputs!$G$5:$G$140&lt;&gt;"acoes")))*INDEX(Inputs!$K$5:$AJ$140,0,MATCH(S$2,Inputs!$K$4:$AJ$4,0)))+SUMPRODUCT((Inputs!$E$5:$E$140=$B30)*Inputs!$F$5:$F$140*(((Inputs!$G$5:$G$140="moeda")+(Inputs!$G$5:$G$140="acoes"))*Inputs!$B$1+((Inputs!$G$5:$G$140&lt;&gt;"moeda")*(Inputs!$G$5:$G$140&lt;&gt;"acoes")))*INDEX(Inputs!$K$5:$AJ$140,0,MATCH(S$2,Inputs!$K$4:$AJ$4,0)))))</f>
        <v>17.695</v>
      </c>
      <c r="T30" s="6">
        <f>IF(ISNA(MATCH(T$2,Inputs!$K$4:$AJ$4,0)),NA(),IF(SUMPRODUCT((Inputs!$A$5:$A$140=$B30)*ISNUMBER(INDEX(Inputs!$K$5:$AJ$140,0,MATCH(T$2,Inputs!$K$4:$AJ$4,0))))+SUMPRODUCT((Inputs!$C$5:$C$140=$B30)*ISNUMBER(INDEX(Inputs!$K$5:$AJ$140,0,MATCH(T$2,Inputs!$K$4:$AJ$4,0))))+SUMPRODUCT((Inputs!$E$5:$E$140=$B30)*ISNUMBER(INDEX(Inputs!$K$5:$AJ$140,0,MATCH(T$2,Inputs!$K$4:$AJ$4,0))))=0,NA(),SUMPRODUCT((Inputs!$A$5:$A$140=$B30)*Inputs!$B$5:$B$140*(((Inputs!$G$5:$G$140="moeda")+(Inputs!$G$5:$G$140="acoes"))*Inputs!$B$1+((Inputs!$G$5:$G$140&lt;&gt;"moeda")*(Inputs!$G$5:$G$140&lt;&gt;"acoes")))*INDEX(Inputs!$K$5:$AJ$140,0,MATCH(T$2,Inputs!$K$4:$AJ$4,0)))+SUMPRODUCT((Inputs!$C$5:$C$140=$B30)*Inputs!$D$5:$D$140*(((Inputs!$G$5:$G$140="moeda")+(Inputs!$G$5:$G$140="acoes"))*Inputs!$B$1+((Inputs!$G$5:$G$140&lt;&gt;"moeda")*(Inputs!$G$5:$G$140&lt;&gt;"acoes")))*INDEX(Inputs!$K$5:$AJ$140,0,MATCH(T$2,Inputs!$K$4:$AJ$4,0)))+SUMPRODUCT((Inputs!$E$5:$E$140=$B30)*Inputs!$F$5:$F$140*(((Inputs!$G$5:$G$140="moeda")+(Inputs!$G$5:$G$140="acoes"))*Inputs!$B$1+((Inputs!$G$5:$G$140&lt;&gt;"moeda")*(Inputs!$G$5:$G$140&lt;&gt;"acoes")))*INDEX(Inputs!$K$5:$AJ$140,0,MATCH(T$2,Inputs!$K$4:$AJ$4,0)))))</f>
        <v>19.541</v>
      </c>
      <c r="U30" s="6">
        <f>IF(ISNA(MATCH(U$2,Inputs!$K$4:$AJ$4,0)),NA(),IF(SUMPRODUCT((Inputs!$A$5:$A$140=$B30)*ISNUMBER(INDEX(Inputs!$K$5:$AJ$140,0,MATCH(U$2,Inputs!$K$4:$AJ$4,0))))+SUMPRODUCT((Inputs!$C$5:$C$140=$B30)*ISNUMBER(INDEX(Inputs!$K$5:$AJ$140,0,MATCH(U$2,Inputs!$K$4:$AJ$4,0))))+SUMPRODUCT((Inputs!$E$5:$E$140=$B30)*ISNUMBER(INDEX(Inputs!$K$5:$AJ$140,0,MATCH(U$2,Inputs!$K$4:$AJ$4,0))))=0,NA(),SUMPRODUCT((Inputs!$A$5:$A$140=$B30)*Inputs!$B$5:$B$140*(((Inputs!$G$5:$G$140="moeda")+(Inputs!$G$5:$G$140="acoes"))*Inputs!$B$1+((Inputs!$G$5:$G$140&lt;&gt;"moeda")*(Inputs!$G$5:$G$140&lt;&gt;"acoes")))*INDEX(Inputs!$K$5:$AJ$140,0,MATCH(U$2,Inputs!$K$4:$AJ$4,0)))+SUMPRODUCT((Inputs!$C$5:$C$140=$B30)*Inputs!$D$5:$D$140*(((Inputs!$G$5:$G$140="moeda")+(Inputs!$G$5:$G$140="acoes"))*Inputs!$B$1+((Inputs!$G$5:$G$140&lt;&gt;"moeda")*(Inputs!$G$5:$G$140&lt;&gt;"acoes")))*INDEX(Inputs!$K$5:$AJ$140,0,MATCH(U$2,Inputs!$K$4:$AJ$4,0)))+SUMPRODUCT((Inputs!$E$5:$E$140=$B30)*Inputs!$F$5:$F$140*(((Inputs!$G$5:$G$140="moeda")+(Inputs!$G$5:$G$140="acoes"))*Inputs!$B$1+((Inputs!$G$5:$G$140&lt;&gt;"moeda")*(Inputs!$G$5:$G$140&lt;&gt;"acoes")))*INDEX(Inputs!$K$5:$AJ$140,0,MATCH(U$2,Inputs!$K$4:$AJ$4,0)))))</f>
        <v>20.725</v>
      </c>
      <c r="V30" s="6">
        <f>IF(ISNA(MATCH(V$2,Inputs!$K$4:$AJ$4,0)),NA(),IF(SUMPRODUCT((Inputs!$A$5:$A$140=$B30)*ISNUMBER(INDEX(Inputs!$K$5:$AJ$140,0,MATCH(V$2,Inputs!$K$4:$AJ$4,0))))+SUMPRODUCT((Inputs!$C$5:$C$140=$B30)*ISNUMBER(INDEX(Inputs!$K$5:$AJ$140,0,MATCH(V$2,Inputs!$K$4:$AJ$4,0))))+SUMPRODUCT((Inputs!$E$5:$E$140=$B30)*ISNUMBER(INDEX(Inputs!$K$5:$AJ$140,0,MATCH(V$2,Inputs!$K$4:$AJ$4,0))))=0,NA(),SUMPRODUCT((Inputs!$A$5:$A$140=$B30)*Inputs!$B$5:$B$140*(((Inputs!$G$5:$G$140="moeda")+(Inputs!$G$5:$G$140="acoes"))*Inputs!$B$1+((Inputs!$G$5:$G$140&lt;&gt;"moeda")*(Inputs!$G$5:$G$140&lt;&gt;"acoes")))*INDEX(Inputs!$K$5:$AJ$140,0,MATCH(V$2,Inputs!$K$4:$AJ$4,0)))+SUMPRODUCT((Inputs!$C$5:$C$140=$B30)*Inputs!$D$5:$D$140*(((Inputs!$G$5:$G$140="moeda")+(Inputs!$G$5:$G$140="acoes"))*Inputs!$B$1+((Inputs!$G$5:$G$140&lt;&gt;"moeda")*(Inputs!$G$5:$G$140&lt;&gt;"acoes")))*INDEX(Inputs!$K$5:$AJ$140,0,MATCH(V$2,Inputs!$K$4:$AJ$4,0)))+SUMPRODUCT((Inputs!$E$5:$E$140=$B30)*Inputs!$F$5:$F$140*(((Inputs!$G$5:$G$140="moeda")+(Inputs!$G$5:$G$140="acoes"))*Inputs!$B$1+((Inputs!$G$5:$G$140&lt;&gt;"moeda")*(Inputs!$G$5:$G$140&lt;&gt;"acoes")))*INDEX(Inputs!$K$5:$AJ$140,0,MATCH(V$2,Inputs!$K$4:$AJ$4,0)))))</f>
        <v>27.898</v>
      </c>
      <c r="W30" s="3">
        <f>V30</f>
        <v>27.898</v>
      </c>
      <c r="X30" s="6">
        <f>IF(ISNA(MATCH(X$2,Inputs!$K$4:$AJ$4,0)),NA(),IF(SUMPRODUCT((Inputs!$A$5:$A$140=$B30)*ISNUMBER(INDEX(Inputs!$K$5:$AJ$140,0,MATCH(X$2,Inputs!$K$4:$AJ$4,0))))+SUMPRODUCT((Inputs!$C$5:$C$140=$B30)*ISNUMBER(INDEX(Inputs!$K$5:$AJ$140,0,MATCH(X$2,Inputs!$K$4:$AJ$4,0))))+SUMPRODUCT((Inputs!$E$5:$E$140=$B30)*ISNUMBER(INDEX(Inputs!$K$5:$AJ$140,0,MATCH(X$2,Inputs!$K$4:$AJ$4,0))))=0,NA(),SUMPRODUCT((Inputs!$A$5:$A$140=$B30)*Inputs!$B$5:$B$140*(((Inputs!$G$5:$G$140="moeda")+(Inputs!$G$5:$G$140="acoes"))*Inputs!$B$1+((Inputs!$G$5:$G$140&lt;&gt;"moeda")*(Inputs!$G$5:$G$140&lt;&gt;"acoes")))*INDEX(Inputs!$K$5:$AJ$140,0,MATCH(X$2,Inputs!$K$4:$AJ$4,0)))+SUMPRODUCT((Inputs!$C$5:$C$140=$B30)*Inputs!$D$5:$D$140*(((Inputs!$G$5:$G$140="moeda")+(Inputs!$G$5:$G$140="acoes"))*Inputs!$B$1+((Inputs!$G$5:$G$140&lt;&gt;"moeda")*(Inputs!$G$5:$G$140&lt;&gt;"acoes")))*INDEX(Inputs!$K$5:$AJ$140,0,MATCH(X$2,Inputs!$K$4:$AJ$4,0)))+SUMPRODUCT((Inputs!$E$5:$E$140=$B30)*Inputs!$F$5:$F$140*(((Inputs!$G$5:$G$140="moeda")+(Inputs!$G$5:$G$140="acoes"))*Inputs!$B$1+((Inputs!$G$5:$G$140&lt;&gt;"moeda")*(Inputs!$G$5:$G$140&lt;&gt;"acoes")))*INDEX(Inputs!$K$5:$AJ$140,0,MATCH(X$2,Inputs!$K$4:$AJ$4,0)))))</f>
        <v>24.51</v>
      </c>
      <c r="Y30" s="6">
        <f>IF(ISNA(MATCH(Y$2,Inputs!$K$4:$AJ$4,0)),NA(),IF(SUMPRODUCT((Inputs!$A$5:$A$140=$B30)*ISNUMBER(INDEX(Inputs!$K$5:$AJ$140,0,MATCH(Y$2,Inputs!$K$4:$AJ$4,0))))+SUMPRODUCT((Inputs!$C$5:$C$140=$B30)*ISNUMBER(INDEX(Inputs!$K$5:$AJ$140,0,MATCH(Y$2,Inputs!$K$4:$AJ$4,0))))+SUMPRODUCT((Inputs!$E$5:$E$140=$B30)*ISNUMBER(INDEX(Inputs!$K$5:$AJ$140,0,MATCH(Y$2,Inputs!$K$4:$AJ$4,0))))=0,NA(),SUMPRODUCT((Inputs!$A$5:$A$140=$B30)*Inputs!$B$5:$B$140*(((Inputs!$G$5:$G$140="moeda")+(Inputs!$G$5:$G$140="acoes"))*Inputs!$B$1+((Inputs!$G$5:$G$140&lt;&gt;"moeda")*(Inputs!$G$5:$G$140&lt;&gt;"acoes")))*INDEX(Inputs!$K$5:$AJ$140,0,MATCH(Y$2,Inputs!$K$4:$AJ$4,0)))+SUMPRODUCT((Inputs!$C$5:$C$140=$B30)*Inputs!$D$5:$D$140*(((Inputs!$G$5:$G$140="moeda")+(Inputs!$G$5:$G$140="acoes"))*Inputs!$B$1+((Inputs!$G$5:$G$140&lt;&gt;"moeda")*(Inputs!$G$5:$G$140&lt;&gt;"acoes")))*INDEX(Inputs!$K$5:$AJ$140,0,MATCH(Y$2,Inputs!$K$4:$AJ$4,0)))+SUMPRODUCT((Inputs!$E$5:$E$140=$B30)*Inputs!$F$5:$F$140*(((Inputs!$G$5:$G$140="moeda")+(Inputs!$G$5:$G$140="acoes"))*Inputs!$B$1+((Inputs!$G$5:$G$140&lt;&gt;"moeda")*(Inputs!$G$5:$G$140&lt;&gt;"acoes")))*INDEX(Inputs!$K$5:$AJ$140,0,MATCH(Y$2,Inputs!$K$4:$AJ$4,0)))))</f>
        <v>30.682</v>
      </c>
      <c r="Z30" s="6">
        <f>IF(ISNA(MATCH(Z$2,Inputs!$K$4:$AJ$4,0)),NA(),IF(SUMPRODUCT((Inputs!$A$5:$A$140=$B30)*ISNUMBER(INDEX(Inputs!$K$5:$AJ$140,0,MATCH(Z$2,Inputs!$K$4:$AJ$4,0))))+SUMPRODUCT((Inputs!$C$5:$C$140=$B30)*ISNUMBER(INDEX(Inputs!$K$5:$AJ$140,0,MATCH(Z$2,Inputs!$K$4:$AJ$4,0))))+SUMPRODUCT((Inputs!$E$5:$E$140=$B30)*ISNUMBER(INDEX(Inputs!$K$5:$AJ$140,0,MATCH(Z$2,Inputs!$K$4:$AJ$4,0))))=0,NA(),SUMPRODUCT((Inputs!$A$5:$A$140=$B30)*Inputs!$B$5:$B$140*(((Inputs!$G$5:$G$140="moeda")+(Inputs!$G$5:$G$140="acoes"))*Inputs!$B$1+((Inputs!$G$5:$G$140&lt;&gt;"moeda")*(Inputs!$G$5:$G$140&lt;&gt;"acoes")))*INDEX(Inputs!$K$5:$AJ$140,0,MATCH(Z$2,Inputs!$K$4:$AJ$4,0)))+SUMPRODUCT((Inputs!$C$5:$C$140=$B30)*Inputs!$D$5:$D$140*(((Inputs!$G$5:$G$140="moeda")+(Inputs!$G$5:$G$140="acoes"))*Inputs!$B$1+((Inputs!$G$5:$G$140&lt;&gt;"moeda")*(Inputs!$G$5:$G$140&lt;&gt;"acoes")))*INDEX(Inputs!$K$5:$AJ$140,0,MATCH(Z$2,Inputs!$K$4:$AJ$4,0)))+SUMPRODUCT((Inputs!$E$5:$E$140=$B30)*Inputs!$F$5:$F$140*(((Inputs!$G$5:$G$140="moeda")+(Inputs!$G$5:$G$140="acoes"))*Inputs!$B$1+((Inputs!$G$5:$G$140&lt;&gt;"moeda")*(Inputs!$G$5:$G$140&lt;&gt;"acoes")))*INDEX(Inputs!$K$5:$AJ$140,0,MATCH(Z$2,Inputs!$K$4:$AJ$4,0)))))</f>
        <v>39.048</v>
      </c>
      <c r="AA30" s="6">
        <f>IF(ISNA(MATCH(AA$2,Inputs!$K$4:$AJ$4,0)),NA(),IF(SUMPRODUCT((Inputs!$A$5:$A$140=$B30)*ISNUMBER(INDEX(Inputs!$K$5:$AJ$140,0,MATCH(AA$2,Inputs!$K$4:$AJ$4,0))))+SUMPRODUCT((Inputs!$C$5:$C$140=$B30)*ISNUMBER(INDEX(Inputs!$K$5:$AJ$140,0,MATCH(AA$2,Inputs!$K$4:$AJ$4,0))))+SUMPRODUCT((Inputs!$E$5:$E$140=$B30)*ISNUMBER(INDEX(Inputs!$K$5:$AJ$140,0,MATCH(AA$2,Inputs!$K$4:$AJ$4,0))))=0,NA(),SUMPRODUCT((Inputs!$A$5:$A$140=$B30)*Inputs!$B$5:$B$140*(((Inputs!$G$5:$G$140="moeda")+(Inputs!$G$5:$G$140="acoes"))*Inputs!$B$1+((Inputs!$G$5:$G$140&lt;&gt;"moeda")*(Inputs!$G$5:$G$140&lt;&gt;"acoes")))*INDEX(Inputs!$K$5:$AJ$140,0,MATCH(AA$2,Inputs!$K$4:$AJ$4,0)))+SUMPRODUCT((Inputs!$C$5:$C$140=$B30)*Inputs!$D$5:$D$140*(((Inputs!$G$5:$G$140="moeda")+(Inputs!$G$5:$G$140="acoes"))*Inputs!$B$1+((Inputs!$G$5:$G$140&lt;&gt;"moeda")*(Inputs!$G$5:$G$140&lt;&gt;"acoes")))*INDEX(Inputs!$K$5:$AJ$140,0,MATCH(AA$2,Inputs!$K$4:$AJ$4,0)))+SUMPRODUCT((Inputs!$E$5:$E$140=$B30)*Inputs!$F$5:$F$140*(((Inputs!$G$5:$G$140="moeda")+(Inputs!$G$5:$G$140="acoes"))*Inputs!$B$1+((Inputs!$G$5:$G$140&lt;&gt;"moeda")*(Inputs!$G$5:$G$140&lt;&gt;"acoes")))*INDEX(Inputs!$K$5:$AJ$140,0,MATCH(AA$2,Inputs!$K$4:$AJ$4,0)))))</f>
        <v>42.103</v>
      </c>
      <c r="AB30" s="3">
        <f>AA30</f>
        <v>42.103</v>
      </c>
      <c r="AC30" s="6">
        <f>IF(ISNA(MATCH(AC$2,Inputs!$K$4:$AJ$4,0)),NA(),IF(SUMPRODUCT((Inputs!$A$5:$A$140=$B30)*ISNUMBER(INDEX(Inputs!$K$5:$AJ$140,0,MATCH(AC$2,Inputs!$K$4:$AJ$4,0))))+SUMPRODUCT((Inputs!$C$5:$C$140=$B30)*ISNUMBER(INDEX(Inputs!$K$5:$AJ$140,0,MATCH(AC$2,Inputs!$K$4:$AJ$4,0))))+SUMPRODUCT((Inputs!$E$5:$E$140=$B30)*ISNUMBER(INDEX(Inputs!$K$5:$AJ$140,0,MATCH(AC$2,Inputs!$K$4:$AJ$4,0))))=0,NA(),SUMPRODUCT((Inputs!$A$5:$A$140=$B30)*Inputs!$B$5:$B$140*(((Inputs!$G$5:$G$140="moeda")+(Inputs!$G$5:$G$140="acoes"))*Inputs!$B$1+((Inputs!$G$5:$G$140&lt;&gt;"moeda")*(Inputs!$G$5:$G$140&lt;&gt;"acoes")))*INDEX(Inputs!$K$5:$AJ$140,0,MATCH(AC$2,Inputs!$K$4:$AJ$4,0)))+SUMPRODUCT((Inputs!$C$5:$C$140=$B30)*Inputs!$D$5:$D$140*(((Inputs!$G$5:$G$140="moeda")+(Inputs!$G$5:$G$140="acoes"))*Inputs!$B$1+((Inputs!$G$5:$G$140&lt;&gt;"moeda")*(Inputs!$G$5:$G$140&lt;&gt;"acoes")))*INDEX(Inputs!$K$5:$AJ$140,0,MATCH(AC$2,Inputs!$K$4:$AJ$4,0)))+SUMPRODUCT((Inputs!$E$5:$E$140=$B30)*Inputs!$F$5:$F$140*(((Inputs!$G$5:$G$140="moeda")+(Inputs!$G$5:$G$140="acoes"))*Inputs!$B$1+((Inputs!$G$5:$G$140&lt;&gt;"moeda")*(Inputs!$G$5:$G$140&lt;&gt;"acoes")))*INDEX(Inputs!$K$5:$AJ$140,0,MATCH(AC$2,Inputs!$K$4:$AJ$4,0)))))</f>
        <v>40.189</v>
      </c>
      <c r="AD30" s="6">
        <f>IF(ISNA(MATCH(AD$2,Inputs!$K$4:$AJ$4,0)),NA(),IF(SUMPRODUCT((Inputs!$A$5:$A$140=$B30)*ISNUMBER(INDEX(Inputs!$K$5:$AJ$140,0,MATCH(AD$2,Inputs!$K$4:$AJ$4,0))))+SUMPRODUCT((Inputs!$C$5:$C$140=$B30)*ISNUMBER(INDEX(Inputs!$K$5:$AJ$140,0,MATCH(AD$2,Inputs!$K$4:$AJ$4,0))))+SUMPRODUCT((Inputs!$E$5:$E$140=$B30)*ISNUMBER(INDEX(Inputs!$K$5:$AJ$140,0,MATCH(AD$2,Inputs!$K$4:$AJ$4,0))))=0,NA(),SUMPRODUCT((Inputs!$A$5:$A$140=$B30)*Inputs!$B$5:$B$140*(((Inputs!$G$5:$G$140="moeda")+(Inputs!$G$5:$G$140="acoes"))*Inputs!$B$1+((Inputs!$G$5:$G$140&lt;&gt;"moeda")*(Inputs!$G$5:$G$140&lt;&gt;"acoes")))*INDEX(Inputs!$K$5:$AJ$140,0,MATCH(AD$2,Inputs!$K$4:$AJ$4,0)))+SUMPRODUCT((Inputs!$C$5:$C$140=$B30)*Inputs!$D$5:$D$140*(((Inputs!$G$5:$G$140="moeda")+(Inputs!$G$5:$G$140="acoes"))*Inputs!$B$1+((Inputs!$G$5:$G$140&lt;&gt;"moeda")*(Inputs!$G$5:$G$140&lt;&gt;"acoes")))*INDEX(Inputs!$K$5:$AJ$140,0,MATCH(AD$2,Inputs!$K$4:$AJ$4,0)))+SUMPRODUCT((Inputs!$E$5:$E$140=$B30)*Inputs!$F$5:$F$140*(((Inputs!$G$5:$G$140="moeda")+(Inputs!$G$5:$G$140="acoes"))*Inputs!$B$1+((Inputs!$G$5:$G$140&lt;&gt;"moeda")*(Inputs!$G$5:$G$140&lt;&gt;"acoes")))*INDEX(Inputs!$K$5:$AJ$140,0,MATCH(AD$2,Inputs!$K$4:$AJ$4,0)))))</f>
        <v>45.828</v>
      </c>
      <c r="AE30" s="6" t="e">
        <f>IF(ISNA(MATCH(AE$2,Inputs!$K$4:$AJ$4,0)),NA(),IF(SUMPRODUCT((Inputs!$A$5:$A$140=$B30)*ISNUMBER(INDEX(Inputs!$K$5:$AJ$140,0,MATCH(AE$2,Inputs!$K$4:$AJ$4,0))))+SUMPRODUCT((Inputs!$C$5:$C$140=$B30)*ISNUMBER(INDEX(Inputs!$K$5:$AJ$140,0,MATCH(AE$2,Inputs!$K$4:$AJ$4,0))))+SUMPRODUCT((Inputs!$E$5:$E$140=$B30)*ISNUMBER(INDEX(Inputs!$K$5:$AJ$140,0,MATCH(AE$2,Inputs!$K$4:$AJ$4,0))))=0,NA(),SUMPRODUCT((Inputs!$A$5:$A$140=$B30)*Inputs!$B$5:$B$140*(((Inputs!$G$5:$G$140="moeda")+(Inputs!$G$5:$G$140="acoes"))*Inputs!$B$1+((Inputs!$G$5:$G$140&lt;&gt;"moeda")*(Inputs!$G$5:$G$140&lt;&gt;"acoes")))*INDEX(Inputs!$K$5:$AJ$140,0,MATCH(AE$2,Inputs!$K$4:$AJ$4,0)))+SUMPRODUCT((Inputs!$C$5:$C$140=$B30)*Inputs!$D$5:$D$140*(((Inputs!$G$5:$G$140="moeda")+(Inputs!$G$5:$G$140="acoes"))*Inputs!$B$1+((Inputs!$G$5:$G$140&lt;&gt;"moeda")*(Inputs!$G$5:$G$140&lt;&gt;"acoes")))*INDEX(Inputs!$K$5:$AJ$140,0,MATCH(AE$2,Inputs!$K$4:$AJ$4,0)))+SUMPRODUCT((Inputs!$E$5:$E$140=$B30)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0" s="6" t="e">
        <f>IF(ISNA(MATCH(AF$2,Inputs!$K$4:$AJ$4,0)),NA(),IF(SUMPRODUCT((Inputs!$A$5:$A$140=$B30)*ISNUMBER(INDEX(Inputs!$K$5:$AJ$140,0,MATCH(AF$2,Inputs!$K$4:$AJ$4,0))))+SUMPRODUCT((Inputs!$C$5:$C$140=$B30)*ISNUMBER(INDEX(Inputs!$K$5:$AJ$140,0,MATCH(AF$2,Inputs!$K$4:$AJ$4,0))))+SUMPRODUCT((Inputs!$E$5:$E$140=$B30)*ISNUMBER(INDEX(Inputs!$K$5:$AJ$140,0,MATCH(AF$2,Inputs!$K$4:$AJ$4,0))))=0,NA(),SUMPRODUCT((Inputs!$A$5:$A$140=$B30)*Inputs!$B$5:$B$140*(((Inputs!$G$5:$G$140="moeda")+(Inputs!$G$5:$G$140="acoes"))*Inputs!$B$1+((Inputs!$G$5:$G$140&lt;&gt;"moeda")*(Inputs!$G$5:$G$140&lt;&gt;"acoes")))*INDEX(Inputs!$K$5:$AJ$140,0,MATCH(AF$2,Inputs!$K$4:$AJ$4,0)))+SUMPRODUCT((Inputs!$C$5:$C$140=$B30)*Inputs!$D$5:$D$140*(((Inputs!$G$5:$G$140="moeda")+(Inputs!$G$5:$G$140="acoes"))*Inputs!$B$1+((Inputs!$G$5:$G$140&lt;&gt;"moeda")*(Inputs!$G$5:$G$140&lt;&gt;"acoes")))*INDEX(Inputs!$K$5:$AJ$140,0,MATCH(AF$2,Inputs!$K$4:$AJ$4,0)))+SUMPRODUCT((Inputs!$E$5:$E$140=$B30)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0" s="3" t="e">
        <f>AF30</f>
        <v>#N/A</v>
      </c>
      <c r="AH30" s="6">
        <f>IF(ISNA(MATCH(AH$2,Inputs!$K$4:$AJ$4,0)),NA(),IF(SUMPRODUCT((Inputs!$A$5:$A$140=$B30)*ISNUMBER(INDEX(Inputs!$K$5:$AJ$140,0,MATCH(AH$2,Inputs!$K$4:$AJ$4,0))))+SUMPRODUCT((Inputs!$C$5:$C$140=$B30)*ISNUMBER(INDEX(Inputs!$K$5:$AJ$140,0,MATCH(AH$2,Inputs!$K$4:$AJ$4,0))))+SUMPRODUCT((Inputs!$E$5:$E$140=$B30)*ISNUMBER(INDEX(Inputs!$K$5:$AJ$140,0,MATCH(AH$2,Inputs!$K$4:$AJ$4,0))))=0,NA(),SUMPRODUCT((Inputs!$A$5:$A$140=$B30)*Inputs!$B$5:$B$140*(((Inputs!$G$5:$G$140="moeda")+(Inputs!$G$5:$G$140="acoes"))*Inputs!$B$1+((Inputs!$G$5:$G$140&lt;&gt;"moeda")*(Inputs!$G$5:$G$140&lt;&gt;"acoes")))*INDEX(Inputs!$K$5:$AJ$140,0,MATCH(AH$2,Inputs!$K$4:$AJ$4,0)))+SUMPRODUCT((Inputs!$C$5:$C$140=$B30)*Inputs!$D$5:$D$140*(((Inputs!$G$5:$G$140="moeda")+(Inputs!$G$5:$G$140="acoes"))*Inputs!$B$1+((Inputs!$G$5:$G$140&lt;&gt;"moeda")*(Inputs!$G$5:$G$140&lt;&gt;"acoes")))*INDEX(Inputs!$K$5:$AJ$140,0,MATCH(AH$2,Inputs!$K$4:$AJ$4,0)))+SUMPRODUCT((Inputs!$E$5:$E$140=$B30)*Inputs!$F$5:$F$140*(((Inputs!$G$5:$G$140="moeda")+(Inputs!$G$5:$G$140="acoes"))*Inputs!$B$1+((Inputs!$G$5:$G$140&lt;&gt;"moeda")*(Inputs!$G$5:$G$140&lt;&gt;"acoes")))*INDEX(Inputs!$K$5:$AJ$140,0,MATCH(AH$2,Inputs!$K$4:$AJ$4,0)))))</f>
        <v>8.131</v>
      </c>
      <c r="AI30" s="6">
        <f>IF(ISNA(MATCH(AI$2,Inputs!$K$4:$AJ$4,0)),NA(),IF(SUMPRODUCT((Inputs!$A$5:$A$140=$B30)*ISNUMBER(INDEX(Inputs!$K$5:$AJ$140,0,MATCH(AI$2,Inputs!$K$4:$AJ$4,0))))+SUMPRODUCT((Inputs!$C$5:$C$140=$B30)*ISNUMBER(INDEX(Inputs!$K$5:$AJ$140,0,MATCH(AI$2,Inputs!$K$4:$AJ$4,0))))+SUMPRODUCT((Inputs!$E$5:$E$140=$B30)*ISNUMBER(INDEX(Inputs!$K$5:$AJ$140,0,MATCH(AI$2,Inputs!$K$4:$AJ$4,0))))=0,NA(),SUMPRODUCT((Inputs!$A$5:$A$140=$B30)*Inputs!$B$5:$B$140*(((Inputs!$G$5:$G$140="moeda")+(Inputs!$G$5:$G$140="acoes"))*Inputs!$B$1+((Inputs!$G$5:$G$140&lt;&gt;"moeda")*(Inputs!$G$5:$G$140&lt;&gt;"acoes")))*INDEX(Inputs!$K$5:$AJ$140,0,MATCH(AI$2,Inputs!$K$4:$AJ$4,0)))+SUMPRODUCT((Inputs!$C$5:$C$140=$B30)*Inputs!$D$5:$D$140*(((Inputs!$G$5:$G$140="moeda")+(Inputs!$G$5:$G$140="acoes"))*Inputs!$B$1+((Inputs!$G$5:$G$140&lt;&gt;"moeda")*(Inputs!$G$5:$G$140&lt;&gt;"acoes")))*INDEX(Inputs!$K$5:$AJ$140,0,MATCH(AI$2,Inputs!$K$4:$AJ$4,0)))+SUMPRODUCT((Inputs!$E$5:$E$140=$B30)*Inputs!$F$5:$F$140*(((Inputs!$G$5:$G$140="moeda")+(Inputs!$G$5:$G$140="acoes"))*Inputs!$B$1+((Inputs!$G$5:$G$140&lt;&gt;"moeda")*(Inputs!$G$5:$G$140&lt;&gt;"acoes")))*INDEX(Inputs!$K$5:$AJ$140,0,MATCH(AI$2,Inputs!$K$4:$AJ$4,0)))))</f>
        <v>6.957</v>
      </c>
      <c r="AJ30" s="6">
        <f>IF(ISNA(MATCH(AJ$2,Inputs!$K$4:$AJ$4,0)),NA(),IF(SUMPRODUCT((Inputs!$A$5:$A$140=$B30)*ISNUMBER(INDEX(Inputs!$K$5:$AJ$140,0,MATCH(AJ$2,Inputs!$K$4:$AJ$4,0))))+SUMPRODUCT((Inputs!$C$5:$C$140=$B30)*ISNUMBER(INDEX(Inputs!$K$5:$AJ$140,0,MATCH(AJ$2,Inputs!$K$4:$AJ$4,0))))+SUMPRODUCT((Inputs!$E$5:$E$140=$B30)*ISNUMBER(INDEX(Inputs!$K$5:$AJ$140,0,MATCH(AJ$2,Inputs!$K$4:$AJ$4,0))))=0,NA(),SUMPRODUCT((Inputs!$A$5:$A$140=$B30)*Inputs!$B$5:$B$140*(((Inputs!$G$5:$G$140="moeda")+(Inputs!$G$5:$G$140="acoes"))*Inputs!$B$1+((Inputs!$G$5:$G$140&lt;&gt;"moeda")*(Inputs!$G$5:$G$140&lt;&gt;"acoes")))*INDEX(Inputs!$K$5:$AJ$140,0,MATCH(AJ$2,Inputs!$K$4:$AJ$4,0)))+SUMPRODUCT((Inputs!$C$5:$C$140=$B30)*Inputs!$D$5:$D$140*(((Inputs!$G$5:$G$140="moeda")+(Inputs!$G$5:$G$140="acoes"))*Inputs!$B$1+((Inputs!$G$5:$G$140&lt;&gt;"moeda")*(Inputs!$G$5:$G$140&lt;&gt;"acoes")))*INDEX(Inputs!$K$5:$AJ$140,0,MATCH(AJ$2,Inputs!$K$4:$AJ$4,0)))+SUMPRODUCT((Inputs!$E$5:$E$140=$B30)*Inputs!$F$5:$F$140*(((Inputs!$G$5:$G$140="moeda")+(Inputs!$G$5:$G$140="acoes"))*Inputs!$B$1+((Inputs!$G$5:$G$140&lt;&gt;"moeda")*(Inputs!$G$5:$G$140&lt;&gt;"acoes")))*INDEX(Inputs!$K$5:$AJ$140,0,MATCH(AJ$2,Inputs!$K$4:$AJ$4,0)))))</f>
        <v>9.23</v>
      </c>
      <c r="AK30" s="6">
        <f>IF(ISNA(MATCH(AK$2,Inputs!$K$4:$AJ$4,0)),NA(),IF(SUMPRODUCT((Inputs!$A$5:$A$140=$B30)*ISNUMBER(INDEX(Inputs!$K$5:$AJ$140,0,MATCH(AK$2,Inputs!$K$4:$AJ$4,0))))+SUMPRODUCT((Inputs!$C$5:$C$140=$B30)*ISNUMBER(INDEX(Inputs!$K$5:$AJ$140,0,MATCH(AK$2,Inputs!$K$4:$AJ$4,0))))+SUMPRODUCT((Inputs!$E$5:$E$140=$B30)*ISNUMBER(INDEX(Inputs!$K$5:$AJ$140,0,MATCH(AK$2,Inputs!$K$4:$AJ$4,0))))=0,NA(),SUMPRODUCT((Inputs!$A$5:$A$140=$B30)*Inputs!$B$5:$B$140*(((Inputs!$G$5:$G$140="moeda")+(Inputs!$G$5:$G$140="acoes"))*Inputs!$B$1+((Inputs!$G$5:$G$140&lt;&gt;"moeda")*(Inputs!$G$5:$G$140&lt;&gt;"acoes")))*INDEX(Inputs!$K$5:$AJ$140,0,MATCH(AK$2,Inputs!$K$4:$AJ$4,0)))+SUMPRODUCT((Inputs!$C$5:$C$140=$B30)*Inputs!$D$5:$D$140*(((Inputs!$G$5:$G$140="moeda")+(Inputs!$G$5:$G$140="acoes"))*Inputs!$B$1+((Inputs!$G$5:$G$140&lt;&gt;"moeda")*(Inputs!$G$5:$G$140&lt;&gt;"acoes")))*INDEX(Inputs!$K$5:$AJ$140,0,MATCH(AK$2,Inputs!$K$4:$AJ$4,0)))+SUMPRODUCT((Inputs!$E$5:$E$140=$B30)*Inputs!$F$5:$F$140*(((Inputs!$G$5:$G$140="moeda")+(Inputs!$G$5:$G$140="acoes"))*Inputs!$B$1+((Inputs!$G$5:$G$140&lt;&gt;"moeda")*(Inputs!$G$5:$G$140&lt;&gt;"acoes")))*INDEX(Inputs!$K$5:$AJ$140,0,MATCH(AK$2,Inputs!$K$4:$AJ$4,0)))))</f>
        <v>9.201</v>
      </c>
      <c r="AL30" s="3">
        <f>AK30</f>
        <v>9.201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$140=$B31)*ISNUMBER(INDEX(Inputs!$K$5:$AJ$140,0,MATCH(D$2,Inputs!$K$4:$AJ$4,0))))+SUMPRODUCT((Inputs!$C$5:$C$140=$B31)*ISNUMBER(INDEX(Inputs!$K$5:$AJ$140,0,MATCH(D$2,Inputs!$K$4:$AJ$4,0))))+SUMPRODUCT((Inputs!$E$5:$E$140=$B31)*ISNUMBER(INDEX(Inputs!$K$5:$AJ$140,0,MATCH(D$2,Inputs!$K$4:$AJ$4,0))))=0,NA(),SUMPRODUCT((Inputs!$A$5:$A$140=$B31)*Inputs!$B$5:$B$140*(((Inputs!$G$5:$G$140="moeda")+(Inputs!$G$5:$G$140="acoes"))*Inputs!$B$1+((Inputs!$G$5:$G$140&lt;&gt;"moeda")*(Inputs!$G$5:$G$140&lt;&gt;"acoes")))*INDEX(Inputs!$K$5:$AJ$140,0,MATCH(D$2,Inputs!$K$4:$AJ$4,0)))+SUMPRODUCT((Inputs!$C$5:$C$140=$B31)*Inputs!$D$5:$D$140*(((Inputs!$G$5:$G$140="moeda")+(Inputs!$G$5:$G$140="acoes"))*Inputs!$B$1+((Inputs!$G$5:$G$140&lt;&gt;"moeda")*(Inputs!$G$5:$G$140&lt;&gt;"acoes")))*INDEX(Inputs!$K$5:$AJ$140,0,MATCH(D$2,Inputs!$K$4:$AJ$4,0)))+SUMPRODUCT((Inputs!$E$5:$E$140=$B31)*Inputs!$F$5:$F$140*(((Inputs!$G$5:$G$140="moeda")+(Inputs!$G$5:$G$140="acoes"))*Inputs!$B$1+((Inputs!$G$5:$G$140&lt;&gt;"moeda")*(Inputs!$G$5:$G$140&lt;&gt;"acoes")))*INDEX(Inputs!$K$5:$AJ$140,0,MATCH(D$2,Inputs!$K$4:$AJ$4,0)))))</f>
        <v>542.973</v>
      </c>
      <c r="E31" s="6">
        <f>IF(ISNA(MATCH(E$2,Inputs!$K$4:$AJ$4,0)),NA(),IF(SUMPRODUCT((Inputs!$A$5:$A$140=$B31)*ISNUMBER(INDEX(Inputs!$K$5:$AJ$140,0,MATCH(E$2,Inputs!$K$4:$AJ$4,0))))+SUMPRODUCT((Inputs!$C$5:$C$140=$B31)*ISNUMBER(INDEX(Inputs!$K$5:$AJ$140,0,MATCH(E$2,Inputs!$K$4:$AJ$4,0))))+SUMPRODUCT((Inputs!$E$5:$E$140=$B31)*ISNUMBER(INDEX(Inputs!$K$5:$AJ$140,0,MATCH(E$2,Inputs!$K$4:$AJ$4,0))))=0,NA(),SUMPRODUCT((Inputs!$A$5:$A$140=$B31)*Inputs!$B$5:$B$140*(((Inputs!$G$5:$G$140="moeda")+(Inputs!$G$5:$G$140="acoes"))*Inputs!$B$1+((Inputs!$G$5:$G$140&lt;&gt;"moeda")*(Inputs!$G$5:$G$140&lt;&gt;"acoes")))*INDEX(Inputs!$K$5:$AJ$140,0,MATCH(E$2,Inputs!$K$4:$AJ$4,0)))+SUMPRODUCT((Inputs!$C$5:$C$140=$B31)*Inputs!$D$5:$D$140*(((Inputs!$G$5:$G$140="moeda")+(Inputs!$G$5:$G$140="acoes"))*Inputs!$B$1+((Inputs!$G$5:$G$140&lt;&gt;"moeda")*(Inputs!$G$5:$G$140&lt;&gt;"acoes")))*INDEX(Inputs!$K$5:$AJ$140,0,MATCH(E$2,Inputs!$K$4:$AJ$4,0)))+SUMPRODUCT((Inputs!$E$5:$E$140=$B31)*Inputs!$F$5:$F$140*(((Inputs!$G$5:$G$140="moeda")+(Inputs!$G$5:$G$140="acoes"))*Inputs!$B$1+((Inputs!$G$5:$G$140&lt;&gt;"moeda")*(Inputs!$G$5:$G$140&lt;&gt;"acoes")))*INDEX(Inputs!$K$5:$AJ$140,0,MATCH(E$2,Inputs!$K$4:$AJ$4,0)))))</f>
        <v>679.558</v>
      </c>
      <c r="F31" s="6">
        <f>IF(ISNA(MATCH(F$2,Inputs!$K$4:$AJ$4,0)),NA(),IF(SUMPRODUCT((Inputs!$A$5:$A$140=$B31)*ISNUMBER(INDEX(Inputs!$K$5:$AJ$140,0,MATCH(F$2,Inputs!$K$4:$AJ$4,0))))+SUMPRODUCT((Inputs!$C$5:$C$140=$B31)*ISNUMBER(INDEX(Inputs!$K$5:$AJ$140,0,MATCH(F$2,Inputs!$K$4:$AJ$4,0))))+SUMPRODUCT((Inputs!$E$5:$E$140=$B31)*ISNUMBER(INDEX(Inputs!$K$5:$AJ$140,0,MATCH(F$2,Inputs!$K$4:$AJ$4,0))))=0,NA(),SUMPRODUCT((Inputs!$A$5:$A$140=$B31)*Inputs!$B$5:$B$140*(((Inputs!$G$5:$G$140="moeda")+(Inputs!$G$5:$G$140="acoes"))*Inputs!$B$1+((Inputs!$G$5:$G$140&lt;&gt;"moeda")*(Inputs!$G$5:$G$140&lt;&gt;"acoes")))*INDEX(Inputs!$K$5:$AJ$140,0,MATCH(F$2,Inputs!$K$4:$AJ$4,0)))+SUMPRODUCT((Inputs!$C$5:$C$140=$B31)*Inputs!$D$5:$D$140*(((Inputs!$G$5:$G$140="moeda")+(Inputs!$G$5:$G$140="acoes"))*Inputs!$B$1+((Inputs!$G$5:$G$140&lt;&gt;"moeda")*(Inputs!$G$5:$G$140&lt;&gt;"acoes")))*INDEX(Inputs!$K$5:$AJ$140,0,MATCH(F$2,Inputs!$K$4:$AJ$4,0)))+SUMPRODUCT((Inputs!$E$5:$E$140=$B31)*Inputs!$F$5:$F$140*(((Inputs!$G$5:$G$140="moeda")+(Inputs!$G$5:$G$140="acoes"))*Inputs!$B$1+((Inputs!$G$5:$G$140&lt;&gt;"moeda")*(Inputs!$G$5:$G$140&lt;&gt;"acoes")))*INDEX(Inputs!$K$5:$AJ$140,0,MATCH(F$2,Inputs!$K$4:$AJ$4,0)))))</f>
        <v>562.006</v>
      </c>
      <c r="G31" s="6">
        <f>IF(ISNA(MATCH(G$2,Inputs!$K$4:$AJ$4,0)),NA(),IF(SUMPRODUCT((Inputs!$A$5:$A$140=$B31)*ISNUMBER(INDEX(Inputs!$K$5:$AJ$140,0,MATCH(G$2,Inputs!$K$4:$AJ$4,0))))+SUMPRODUCT((Inputs!$C$5:$C$140=$B31)*ISNUMBER(INDEX(Inputs!$K$5:$AJ$140,0,MATCH(G$2,Inputs!$K$4:$AJ$4,0))))+SUMPRODUCT((Inputs!$E$5:$E$140=$B31)*ISNUMBER(INDEX(Inputs!$K$5:$AJ$140,0,MATCH(G$2,Inputs!$K$4:$AJ$4,0))))=0,NA(),SUMPRODUCT((Inputs!$A$5:$A$140=$B31)*Inputs!$B$5:$B$140*(((Inputs!$G$5:$G$140="moeda")+(Inputs!$G$5:$G$140="acoes"))*Inputs!$B$1+((Inputs!$G$5:$G$140&lt;&gt;"moeda")*(Inputs!$G$5:$G$140&lt;&gt;"acoes")))*INDEX(Inputs!$K$5:$AJ$140,0,MATCH(G$2,Inputs!$K$4:$AJ$4,0)))+SUMPRODUCT((Inputs!$C$5:$C$140=$B31)*Inputs!$D$5:$D$140*(((Inputs!$G$5:$G$140="moeda")+(Inputs!$G$5:$G$140="acoes"))*Inputs!$B$1+((Inputs!$G$5:$G$140&lt;&gt;"moeda")*(Inputs!$G$5:$G$140&lt;&gt;"acoes")))*INDEX(Inputs!$K$5:$AJ$140,0,MATCH(G$2,Inputs!$K$4:$AJ$4,0)))+SUMPRODUCT((Inputs!$E$5:$E$140=$B31)*Inputs!$F$5:$F$140*(((Inputs!$G$5:$G$140="moeda")+(Inputs!$G$5:$G$140="acoes"))*Inputs!$B$1+((Inputs!$G$5:$G$140&lt;&gt;"moeda")*(Inputs!$G$5:$G$140&lt;&gt;"acoes")))*INDEX(Inputs!$K$5:$AJ$140,0,MATCH(G$2,Inputs!$K$4:$AJ$4,0)))))</f>
        <v>925.411</v>
      </c>
      <c r="H31" s="3">
        <f>G31</f>
        <v>925.411</v>
      </c>
      <c r="I31" s="6">
        <f>IF(ISNA(MATCH(I$2,Inputs!$K$4:$AJ$4,0)),NA(),IF(SUMPRODUCT((Inputs!$A$5:$A$140=$B31)*ISNUMBER(INDEX(Inputs!$K$5:$AJ$140,0,MATCH(I$2,Inputs!$K$4:$AJ$4,0))))+SUMPRODUCT((Inputs!$C$5:$C$140=$B31)*ISNUMBER(INDEX(Inputs!$K$5:$AJ$140,0,MATCH(I$2,Inputs!$K$4:$AJ$4,0))))+SUMPRODUCT((Inputs!$E$5:$E$140=$B31)*ISNUMBER(INDEX(Inputs!$K$5:$AJ$140,0,MATCH(I$2,Inputs!$K$4:$AJ$4,0))))=0,NA(),SUMPRODUCT((Inputs!$A$5:$A$140=$B31)*Inputs!$B$5:$B$140*(((Inputs!$G$5:$G$140="moeda")+(Inputs!$G$5:$G$140="acoes"))*Inputs!$B$1+((Inputs!$G$5:$G$140&lt;&gt;"moeda")*(Inputs!$G$5:$G$140&lt;&gt;"acoes")))*INDEX(Inputs!$K$5:$AJ$140,0,MATCH(I$2,Inputs!$K$4:$AJ$4,0)))+SUMPRODUCT((Inputs!$C$5:$C$140=$B31)*Inputs!$D$5:$D$140*(((Inputs!$G$5:$G$140="moeda")+(Inputs!$G$5:$G$140="acoes"))*Inputs!$B$1+((Inputs!$G$5:$G$140&lt;&gt;"moeda")*(Inputs!$G$5:$G$140&lt;&gt;"acoes")))*INDEX(Inputs!$K$5:$AJ$140,0,MATCH(I$2,Inputs!$K$4:$AJ$4,0)))+SUMPRODUCT((Inputs!$E$5:$E$140=$B31)*Inputs!$F$5:$F$140*(((Inputs!$G$5:$G$140="moeda")+(Inputs!$G$5:$G$140="acoes"))*Inputs!$B$1+((Inputs!$G$5:$G$140&lt;&gt;"moeda")*(Inputs!$G$5:$G$140&lt;&gt;"acoes")))*INDEX(Inputs!$K$5:$AJ$140,0,MATCH(I$2,Inputs!$K$4:$AJ$4,0)))))</f>
        <v>1210.216</v>
      </c>
      <c r="J31" s="6">
        <f>IF(ISNA(MATCH(J$2,Inputs!$K$4:$AJ$4,0)),NA(),IF(SUMPRODUCT((Inputs!$A$5:$A$140=$B31)*ISNUMBER(INDEX(Inputs!$K$5:$AJ$140,0,MATCH(J$2,Inputs!$K$4:$AJ$4,0))))+SUMPRODUCT((Inputs!$C$5:$C$140=$B31)*ISNUMBER(INDEX(Inputs!$K$5:$AJ$140,0,MATCH(J$2,Inputs!$K$4:$AJ$4,0))))+SUMPRODUCT((Inputs!$E$5:$E$140=$B31)*ISNUMBER(INDEX(Inputs!$K$5:$AJ$140,0,MATCH(J$2,Inputs!$K$4:$AJ$4,0))))=0,NA(),SUMPRODUCT((Inputs!$A$5:$A$140=$B31)*Inputs!$B$5:$B$140*(((Inputs!$G$5:$G$140="moeda")+(Inputs!$G$5:$G$140="acoes"))*Inputs!$B$1+((Inputs!$G$5:$G$140&lt;&gt;"moeda")*(Inputs!$G$5:$G$140&lt;&gt;"acoes")))*INDEX(Inputs!$K$5:$AJ$140,0,MATCH(J$2,Inputs!$K$4:$AJ$4,0)))+SUMPRODUCT((Inputs!$C$5:$C$140=$B31)*Inputs!$D$5:$D$140*(((Inputs!$G$5:$G$140="moeda")+(Inputs!$G$5:$G$140="acoes"))*Inputs!$B$1+((Inputs!$G$5:$G$140&lt;&gt;"moeda")*(Inputs!$G$5:$G$140&lt;&gt;"acoes")))*INDEX(Inputs!$K$5:$AJ$140,0,MATCH(J$2,Inputs!$K$4:$AJ$4,0)))+SUMPRODUCT((Inputs!$E$5:$E$140=$B31)*Inputs!$F$5:$F$140*(((Inputs!$G$5:$G$140="moeda")+(Inputs!$G$5:$G$140="acoes"))*Inputs!$B$1+((Inputs!$G$5:$G$140&lt;&gt;"moeda")*(Inputs!$G$5:$G$140&lt;&gt;"acoes")))*INDEX(Inputs!$K$5:$AJ$140,0,MATCH(J$2,Inputs!$K$4:$AJ$4,0)))))</f>
        <v>1150.613</v>
      </c>
      <c r="K31" s="6">
        <f>IF(ISNA(MATCH(K$2,Inputs!$K$4:$AJ$4,0)),NA(),IF(SUMPRODUCT((Inputs!$A$5:$A$140=$B31)*ISNUMBER(INDEX(Inputs!$K$5:$AJ$140,0,MATCH(K$2,Inputs!$K$4:$AJ$4,0))))+SUMPRODUCT((Inputs!$C$5:$C$140=$B31)*ISNUMBER(INDEX(Inputs!$K$5:$AJ$140,0,MATCH(K$2,Inputs!$K$4:$AJ$4,0))))+SUMPRODUCT((Inputs!$E$5:$E$140=$B31)*ISNUMBER(INDEX(Inputs!$K$5:$AJ$140,0,MATCH(K$2,Inputs!$K$4:$AJ$4,0))))=0,NA(),SUMPRODUCT((Inputs!$A$5:$A$140=$B31)*Inputs!$B$5:$B$140*(((Inputs!$G$5:$G$140="moeda")+(Inputs!$G$5:$G$140="acoes"))*Inputs!$B$1+((Inputs!$G$5:$G$140&lt;&gt;"moeda")*(Inputs!$G$5:$G$140&lt;&gt;"acoes")))*INDEX(Inputs!$K$5:$AJ$140,0,MATCH(K$2,Inputs!$K$4:$AJ$4,0)))+SUMPRODUCT((Inputs!$C$5:$C$140=$B31)*Inputs!$D$5:$D$140*(((Inputs!$G$5:$G$140="moeda")+(Inputs!$G$5:$G$140="acoes"))*Inputs!$B$1+((Inputs!$G$5:$G$140&lt;&gt;"moeda")*(Inputs!$G$5:$G$140&lt;&gt;"acoes")))*INDEX(Inputs!$K$5:$AJ$140,0,MATCH(K$2,Inputs!$K$4:$AJ$4,0)))+SUMPRODUCT((Inputs!$E$5:$E$140=$B31)*Inputs!$F$5:$F$140*(((Inputs!$G$5:$G$140="moeda")+(Inputs!$G$5:$G$140="acoes"))*Inputs!$B$1+((Inputs!$G$5:$G$140&lt;&gt;"moeda")*(Inputs!$G$5:$G$140&lt;&gt;"acoes")))*INDEX(Inputs!$K$5:$AJ$140,0,MATCH(K$2,Inputs!$K$4:$AJ$4,0)))))</f>
        <v>803.24928139108</v>
      </c>
      <c r="L31" s="6">
        <f>IF(ISNA(MATCH(L$2,Inputs!$K$4:$AJ$4,0)),NA(),IF(SUMPRODUCT((Inputs!$A$5:$A$140=$B31)*ISNUMBER(INDEX(Inputs!$K$5:$AJ$140,0,MATCH(L$2,Inputs!$K$4:$AJ$4,0))))+SUMPRODUCT((Inputs!$C$5:$C$140=$B31)*ISNUMBER(INDEX(Inputs!$K$5:$AJ$140,0,MATCH(L$2,Inputs!$K$4:$AJ$4,0))))+SUMPRODUCT((Inputs!$E$5:$E$140=$B31)*ISNUMBER(INDEX(Inputs!$K$5:$AJ$140,0,MATCH(L$2,Inputs!$K$4:$AJ$4,0))))=0,NA(),SUMPRODUCT((Inputs!$A$5:$A$140=$B31)*Inputs!$B$5:$B$140*(((Inputs!$G$5:$G$140="moeda")+(Inputs!$G$5:$G$140="acoes"))*Inputs!$B$1+((Inputs!$G$5:$G$140&lt;&gt;"moeda")*(Inputs!$G$5:$G$140&lt;&gt;"acoes")))*INDEX(Inputs!$K$5:$AJ$140,0,MATCH(L$2,Inputs!$K$4:$AJ$4,0)))+SUMPRODUCT((Inputs!$C$5:$C$140=$B31)*Inputs!$D$5:$D$140*(((Inputs!$G$5:$G$140="moeda")+(Inputs!$G$5:$G$140="acoes"))*Inputs!$B$1+((Inputs!$G$5:$G$140&lt;&gt;"moeda")*(Inputs!$G$5:$G$140&lt;&gt;"acoes")))*INDEX(Inputs!$K$5:$AJ$140,0,MATCH(L$2,Inputs!$K$4:$AJ$4,0)))+SUMPRODUCT((Inputs!$E$5:$E$140=$B31)*Inputs!$F$5:$F$140*(((Inputs!$G$5:$G$140="moeda")+(Inputs!$G$5:$G$140="acoes"))*Inputs!$B$1+((Inputs!$G$5:$G$140&lt;&gt;"moeda")*(Inputs!$G$5:$G$140&lt;&gt;"acoes")))*INDEX(Inputs!$K$5:$AJ$140,0,MATCH(L$2,Inputs!$K$4:$AJ$4,0)))))</f>
        <v>784.809</v>
      </c>
      <c r="M31" s="3">
        <f>L31</f>
        <v>784.809</v>
      </c>
      <c r="N31" s="6">
        <f>IF(ISNA(MATCH(N$2,Inputs!$K$4:$AJ$4,0)),NA(),IF(SUMPRODUCT((Inputs!$A$5:$A$140=$B31)*ISNUMBER(INDEX(Inputs!$K$5:$AJ$140,0,MATCH(N$2,Inputs!$K$4:$AJ$4,0))))+SUMPRODUCT((Inputs!$C$5:$C$140=$B31)*ISNUMBER(INDEX(Inputs!$K$5:$AJ$140,0,MATCH(N$2,Inputs!$K$4:$AJ$4,0))))+SUMPRODUCT((Inputs!$E$5:$E$140=$B31)*ISNUMBER(INDEX(Inputs!$K$5:$AJ$140,0,MATCH(N$2,Inputs!$K$4:$AJ$4,0))))=0,NA(),SUMPRODUCT((Inputs!$A$5:$A$140=$B31)*Inputs!$B$5:$B$140*(((Inputs!$G$5:$G$140="moeda")+(Inputs!$G$5:$G$140="acoes"))*Inputs!$B$1+((Inputs!$G$5:$G$140&lt;&gt;"moeda")*(Inputs!$G$5:$G$140&lt;&gt;"acoes")))*INDEX(Inputs!$K$5:$AJ$140,0,MATCH(N$2,Inputs!$K$4:$AJ$4,0)))+SUMPRODUCT((Inputs!$C$5:$C$140=$B31)*Inputs!$D$5:$D$140*(((Inputs!$G$5:$G$140="moeda")+(Inputs!$G$5:$G$140="acoes"))*Inputs!$B$1+((Inputs!$G$5:$G$140&lt;&gt;"moeda")*(Inputs!$G$5:$G$140&lt;&gt;"acoes")))*INDEX(Inputs!$K$5:$AJ$140,0,MATCH(N$2,Inputs!$K$4:$AJ$4,0)))+SUMPRODUCT((Inputs!$E$5:$E$140=$B31)*Inputs!$F$5:$F$140*(((Inputs!$G$5:$G$140="moeda")+(Inputs!$G$5:$G$140="acoes"))*Inputs!$B$1+((Inputs!$G$5:$G$140&lt;&gt;"moeda")*(Inputs!$G$5:$G$140&lt;&gt;"acoes")))*INDEX(Inputs!$K$5:$AJ$140,0,MATCH(N$2,Inputs!$K$4:$AJ$4,0)))))</f>
        <v>480.737</v>
      </c>
      <c r="O31" s="6">
        <f>IF(ISNA(MATCH(O$2,Inputs!$K$4:$AJ$4,0)),NA(),IF(SUMPRODUCT((Inputs!$A$5:$A$140=$B31)*ISNUMBER(INDEX(Inputs!$K$5:$AJ$140,0,MATCH(O$2,Inputs!$K$4:$AJ$4,0))))+SUMPRODUCT((Inputs!$C$5:$C$140=$B31)*ISNUMBER(INDEX(Inputs!$K$5:$AJ$140,0,MATCH(O$2,Inputs!$K$4:$AJ$4,0))))+SUMPRODUCT((Inputs!$E$5:$E$140=$B31)*ISNUMBER(INDEX(Inputs!$K$5:$AJ$140,0,MATCH(O$2,Inputs!$K$4:$AJ$4,0))))=0,NA(),SUMPRODUCT((Inputs!$A$5:$A$140=$B31)*Inputs!$B$5:$B$140*(((Inputs!$G$5:$G$140="moeda")+(Inputs!$G$5:$G$140="acoes"))*Inputs!$B$1+((Inputs!$G$5:$G$140&lt;&gt;"moeda")*(Inputs!$G$5:$G$140&lt;&gt;"acoes")))*INDEX(Inputs!$K$5:$AJ$140,0,MATCH(O$2,Inputs!$K$4:$AJ$4,0)))+SUMPRODUCT((Inputs!$C$5:$C$140=$B31)*Inputs!$D$5:$D$140*(((Inputs!$G$5:$G$140="moeda")+(Inputs!$G$5:$G$140="acoes"))*Inputs!$B$1+((Inputs!$G$5:$G$140&lt;&gt;"moeda")*(Inputs!$G$5:$G$140&lt;&gt;"acoes")))*INDEX(Inputs!$K$5:$AJ$140,0,MATCH(O$2,Inputs!$K$4:$AJ$4,0)))+SUMPRODUCT((Inputs!$E$5:$E$140=$B31)*Inputs!$F$5:$F$140*(((Inputs!$G$5:$G$140="moeda")+(Inputs!$G$5:$G$140="acoes"))*Inputs!$B$1+((Inputs!$G$5:$G$140&lt;&gt;"moeda")*(Inputs!$G$5:$G$140&lt;&gt;"acoes")))*INDEX(Inputs!$K$5:$AJ$140,0,MATCH(O$2,Inputs!$K$4:$AJ$4,0)))))</f>
        <v>475.44</v>
      </c>
      <c r="P31" s="6">
        <f>IF(ISNA(MATCH(P$2,Inputs!$K$4:$AJ$4,0)),NA(),IF(SUMPRODUCT((Inputs!$A$5:$A$140=$B31)*ISNUMBER(INDEX(Inputs!$K$5:$AJ$140,0,MATCH(P$2,Inputs!$K$4:$AJ$4,0))))+SUMPRODUCT((Inputs!$C$5:$C$140=$B31)*ISNUMBER(INDEX(Inputs!$K$5:$AJ$140,0,MATCH(P$2,Inputs!$K$4:$AJ$4,0))))+SUMPRODUCT((Inputs!$E$5:$E$140=$B31)*ISNUMBER(INDEX(Inputs!$K$5:$AJ$140,0,MATCH(P$2,Inputs!$K$4:$AJ$4,0))))=0,NA(),SUMPRODUCT((Inputs!$A$5:$A$140=$B31)*Inputs!$B$5:$B$140*(((Inputs!$G$5:$G$140="moeda")+(Inputs!$G$5:$G$140="acoes"))*Inputs!$B$1+((Inputs!$G$5:$G$140&lt;&gt;"moeda")*(Inputs!$G$5:$G$140&lt;&gt;"acoes")))*INDEX(Inputs!$K$5:$AJ$140,0,MATCH(P$2,Inputs!$K$4:$AJ$4,0)))+SUMPRODUCT((Inputs!$C$5:$C$140=$B31)*Inputs!$D$5:$D$140*(((Inputs!$G$5:$G$140="moeda")+(Inputs!$G$5:$G$140="acoes"))*Inputs!$B$1+((Inputs!$G$5:$G$140&lt;&gt;"moeda")*(Inputs!$G$5:$G$140&lt;&gt;"acoes")))*INDEX(Inputs!$K$5:$AJ$140,0,MATCH(P$2,Inputs!$K$4:$AJ$4,0)))+SUMPRODUCT((Inputs!$E$5:$E$140=$B31)*Inputs!$F$5:$F$140*(((Inputs!$G$5:$G$140="moeda")+(Inputs!$G$5:$G$140="acoes"))*Inputs!$B$1+((Inputs!$G$5:$G$140&lt;&gt;"moeda")*(Inputs!$G$5:$G$140&lt;&gt;"acoes")))*INDEX(Inputs!$K$5:$AJ$140,0,MATCH(P$2,Inputs!$K$4:$AJ$4,0)))))</f>
        <v>651.102</v>
      </c>
      <c r="Q31" s="6">
        <f>IF(ISNA(MATCH(Q$2,Inputs!$K$4:$AJ$4,0)),NA(),IF(SUMPRODUCT((Inputs!$A$5:$A$140=$B31)*ISNUMBER(INDEX(Inputs!$K$5:$AJ$140,0,MATCH(Q$2,Inputs!$K$4:$AJ$4,0))))+SUMPRODUCT((Inputs!$C$5:$C$140=$B31)*ISNUMBER(INDEX(Inputs!$K$5:$AJ$140,0,MATCH(Q$2,Inputs!$K$4:$AJ$4,0))))+SUMPRODUCT((Inputs!$E$5:$E$140=$B31)*ISNUMBER(INDEX(Inputs!$K$5:$AJ$140,0,MATCH(Q$2,Inputs!$K$4:$AJ$4,0))))=0,NA(),SUMPRODUCT((Inputs!$A$5:$A$140=$B31)*Inputs!$B$5:$B$140*(((Inputs!$G$5:$G$140="moeda")+(Inputs!$G$5:$G$140="acoes"))*Inputs!$B$1+((Inputs!$G$5:$G$140&lt;&gt;"moeda")*(Inputs!$G$5:$G$140&lt;&gt;"acoes")))*INDEX(Inputs!$K$5:$AJ$140,0,MATCH(Q$2,Inputs!$K$4:$AJ$4,0)))+SUMPRODUCT((Inputs!$C$5:$C$140=$B31)*Inputs!$D$5:$D$140*(((Inputs!$G$5:$G$140="moeda")+(Inputs!$G$5:$G$140="acoes"))*Inputs!$B$1+((Inputs!$G$5:$G$140&lt;&gt;"moeda")*(Inputs!$G$5:$G$140&lt;&gt;"acoes")))*INDEX(Inputs!$K$5:$AJ$140,0,MATCH(Q$2,Inputs!$K$4:$AJ$4,0)))+SUMPRODUCT((Inputs!$E$5:$E$140=$B31)*Inputs!$F$5:$F$140*(((Inputs!$G$5:$G$140="moeda")+(Inputs!$G$5:$G$140="acoes"))*Inputs!$B$1+((Inputs!$G$5:$G$140&lt;&gt;"moeda")*(Inputs!$G$5:$G$140&lt;&gt;"acoes")))*INDEX(Inputs!$K$5:$AJ$140,0,MATCH(Q$2,Inputs!$K$4:$AJ$4,0)))))</f>
        <v>737.404</v>
      </c>
      <c r="R31" s="3">
        <f>Q31</f>
        <v>737.404</v>
      </c>
      <c r="S31" s="6">
        <f>IF(ISNA(MATCH(S$2,Inputs!$K$4:$AJ$4,0)),NA(),IF(SUMPRODUCT((Inputs!$A$5:$A$140=$B31)*ISNUMBER(INDEX(Inputs!$K$5:$AJ$140,0,MATCH(S$2,Inputs!$K$4:$AJ$4,0))))+SUMPRODUCT((Inputs!$C$5:$C$140=$B31)*ISNUMBER(INDEX(Inputs!$K$5:$AJ$140,0,MATCH(S$2,Inputs!$K$4:$AJ$4,0))))+SUMPRODUCT((Inputs!$E$5:$E$140=$B31)*ISNUMBER(INDEX(Inputs!$K$5:$AJ$140,0,MATCH(S$2,Inputs!$K$4:$AJ$4,0))))=0,NA(),SUMPRODUCT((Inputs!$A$5:$A$140=$B31)*Inputs!$B$5:$B$140*(((Inputs!$G$5:$G$140="moeda")+(Inputs!$G$5:$G$140="acoes"))*Inputs!$B$1+((Inputs!$G$5:$G$140&lt;&gt;"moeda")*(Inputs!$G$5:$G$140&lt;&gt;"acoes")))*INDEX(Inputs!$K$5:$AJ$140,0,MATCH(S$2,Inputs!$K$4:$AJ$4,0)))+SUMPRODUCT((Inputs!$C$5:$C$140=$B31)*Inputs!$D$5:$D$140*(((Inputs!$G$5:$G$140="moeda")+(Inputs!$G$5:$G$140="acoes"))*Inputs!$B$1+((Inputs!$G$5:$G$140&lt;&gt;"moeda")*(Inputs!$G$5:$G$140&lt;&gt;"acoes")))*INDEX(Inputs!$K$5:$AJ$140,0,MATCH(S$2,Inputs!$K$4:$AJ$4,0)))+SUMPRODUCT((Inputs!$E$5:$E$140=$B31)*Inputs!$F$5:$F$140*(((Inputs!$G$5:$G$140="moeda")+(Inputs!$G$5:$G$140="acoes"))*Inputs!$B$1+((Inputs!$G$5:$G$140&lt;&gt;"moeda")*(Inputs!$G$5:$G$140&lt;&gt;"acoes")))*INDEX(Inputs!$K$5:$AJ$140,0,MATCH(S$2,Inputs!$K$4:$AJ$4,0)))))</f>
        <v>815.687</v>
      </c>
      <c r="T31" s="6">
        <f>IF(ISNA(MATCH(T$2,Inputs!$K$4:$AJ$4,0)),NA(),IF(SUMPRODUCT((Inputs!$A$5:$A$140=$B31)*ISNUMBER(INDEX(Inputs!$K$5:$AJ$140,0,MATCH(T$2,Inputs!$K$4:$AJ$4,0))))+SUMPRODUCT((Inputs!$C$5:$C$140=$B31)*ISNUMBER(INDEX(Inputs!$K$5:$AJ$140,0,MATCH(T$2,Inputs!$K$4:$AJ$4,0))))+SUMPRODUCT((Inputs!$E$5:$E$140=$B31)*ISNUMBER(INDEX(Inputs!$K$5:$AJ$140,0,MATCH(T$2,Inputs!$K$4:$AJ$4,0))))=0,NA(),SUMPRODUCT((Inputs!$A$5:$A$140=$B31)*Inputs!$B$5:$B$140*(((Inputs!$G$5:$G$140="moeda")+(Inputs!$G$5:$G$140="acoes"))*Inputs!$B$1+((Inputs!$G$5:$G$140&lt;&gt;"moeda")*(Inputs!$G$5:$G$140&lt;&gt;"acoes")))*INDEX(Inputs!$K$5:$AJ$140,0,MATCH(T$2,Inputs!$K$4:$AJ$4,0)))+SUMPRODUCT((Inputs!$C$5:$C$140=$B31)*Inputs!$D$5:$D$140*(((Inputs!$G$5:$G$140="moeda")+(Inputs!$G$5:$G$140="acoes"))*Inputs!$B$1+((Inputs!$G$5:$G$140&lt;&gt;"moeda")*(Inputs!$G$5:$G$140&lt;&gt;"acoes")))*INDEX(Inputs!$K$5:$AJ$140,0,MATCH(T$2,Inputs!$K$4:$AJ$4,0)))+SUMPRODUCT((Inputs!$E$5:$E$140=$B31)*Inputs!$F$5:$F$140*(((Inputs!$G$5:$G$140="moeda")+(Inputs!$G$5:$G$140="acoes"))*Inputs!$B$1+((Inputs!$G$5:$G$140&lt;&gt;"moeda")*(Inputs!$G$5:$G$140&lt;&gt;"acoes")))*INDEX(Inputs!$K$5:$AJ$140,0,MATCH(T$2,Inputs!$K$4:$AJ$4,0)))))</f>
        <v>1037.952</v>
      </c>
      <c r="U31" s="6">
        <f>IF(ISNA(MATCH(U$2,Inputs!$K$4:$AJ$4,0)),NA(),IF(SUMPRODUCT((Inputs!$A$5:$A$140=$B31)*ISNUMBER(INDEX(Inputs!$K$5:$AJ$140,0,MATCH(U$2,Inputs!$K$4:$AJ$4,0))))+SUMPRODUCT((Inputs!$C$5:$C$140=$B31)*ISNUMBER(INDEX(Inputs!$K$5:$AJ$140,0,MATCH(U$2,Inputs!$K$4:$AJ$4,0))))+SUMPRODUCT((Inputs!$E$5:$E$140=$B31)*ISNUMBER(INDEX(Inputs!$K$5:$AJ$140,0,MATCH(U$2,Inputs!$K$4:$AJ$4,0))))=0,NA(),SUMPRODUCT((Inputs!$A$5:$A$140=$B31)*Inputs!$B$5:$B$140*(((Inputs!$G$5:$G$140="moeda")+(Inputs!$G$5:$G$140="acoes"))*Inputs!$B$1+((Inputs!$G$5:$G$140&lt;&gt;"moeda")*(Inputs!$G$5:$G$140&lt;&gt;"acoes")))*INDEX(Inputs!$K$5:$AJ$140,0,MATCH(U$2,Inputs!$K$4:$AJ$4,0)))+SUMPRODUCT((Inputs!$C$5:$C$140=$B31)*Inputs!$D$5:$D$140*(((Inputs!$G$5:$G$140="moeda")+(Inputs!$G$5:$G$140="acoes"))*Inputs!$B$1+((Inputs!$G$5:$G$140&lt;&gt;"moeda")*(Inputs!$G$5:$G$140&lt;&gt;"acoes")))*INDEX(Inputs!$K$5:$AJ$140,0,MATCH(U$2,Inputs!$K$4:$AJ$4,0)))+SUMPRODUCT((Inputs!$E$5:$E$140=$B31)*Inputs!$F$5:$F$140*(((Inputs!$G$5:$G$140="moeda")+(Inputs!$G$5:$G$140="acoes"))*Inputs!$B$1+((Inputs!$G$5:$G$140&lt;&gt;"moeda")*(Inputs!$G$5:$G$140&lt;&gt;"acoes")))*INDEX(Inputs!$K$5:$AJ$140,0,MATCH(U$2,Inputs!$K$4:$AJ$4,0)))))</f>
        <v>788.015</v>
      </c>
      <c r="V31" s="6">
        <f>IF(ISNA(MATCH(V$2,Inputs!$K$4:$AJ$4,0)),NA(),IF(SUMPRODUCT((Inputs!$A$5:$A$140=$B31)*ISNUMBER(INDEX(Inputs!$K$5:$AJ$140,0,MATCH(V$2,Inputs!$K$4:$AJ$4,0))))+SUMPRODUCT((Inputs!$C$5:$C$140=$B31)*ISNUMBER(INDEX(Inputs!$K$5:$AJ$140,0,MATCH(V$2,Inputs!$K$4:$AJ$4,0))))+SUMPRODUCT((Inputs!$E$5:$E$140=$B31)*ISNUMBER(INDEX(Inputs!$K$5:$AJ$140,0,MATCH(V$2,Inputs!$K$4:$AJ$4,0))))=0,NA(),SUMPRODUCT((Inputs!$A$5:$A$140=$B31)*Inputs!$B$5:$B$140*(((Inputs!$G$5:$G$140="moeda")+(Inputs!$G$5:$G$140="acoes"))*Inputs!$B$1+((Inputs!$G$5:$G$140&lt;&gt;"moeda")*(Inputs!$G$5:$G$140&lt;&gt;"acoes")))*INDEX(Inputs!$K$5:$AJ$140,0,MATCH(V$2,Inputs!$K$4:$AJ$4,0)))+SUMPRODUCT((Inputs!$C$5:$C$140=$B31)*Inputs!$D$5:$D$140*(((Inputs!$G$5:$G$140="moeda")+(Inputs!$G$5:$G$140="acoes"))*Inputs!$B$1+((Inputs!$G$5:$G$140&lt;&gt;"moeda")*(Inputs!$G$5:$G$140&lt;&gt;"acoes")))*INDEX(Inputs!$K$5:$AJ$140,0,MATCH(V$2,Inputs!$K$4:$AJ$4,0)))+SUMPRODUCT((Inputs!$E$5:$E$140=$B31)*Inputs!$F$5:$F$140*(((Inputs!$G$5:$G$140="moeda")+(Inputs!$G$5:$G$140="acoes"))*Inputs!$B$1+((Inputs!$G$5:$G$140&lt;&gt;"moeda")*(Inputs!$G$5:$G$140&lt;&gt;"acoes")))*INDEX(Inputs!$K$5:$AJ$140,0,MATCH(V$2,Inputs!$K$4:$AJ$4,0)))))</f>
        <v>785.959</v>
      </c>
      <c r="W31" s="3">
        <f>V31</f>
        <v>785.959</v>
      </c>
      <c r="X31" s="6">
        <f>IF(ISNA(MATCH(X$2,Inputs!$K$4:$AJ$4,0)),NA(),IF(SUMPRODUCT((Inputs!$A$5:$A$140=$B31)*ISNUMBER(INDEX(Inputs!$K$5:$AJ$140,0,MATCH(X$2,Inputs!$K$4:$AJ$4,0))))+SUMPRODUCT((Inputs!$C$5:$C$140=$B31)*ISNUMBER(INDEX(Inputs!$K$5:$AJ$140,0,MATCH(X$2,Inputs!$K$4:$AJ$4,0))))+SUMPRODUCT((Inputs!$E$5:$E$140=$B31)*ISNUMBER(INDEX(Inputs!$K$5:$AJ$140,0,MATCH(X$2,Inputs!$K$4:$AJ$4,0))))=0,NA(),SUMPRODUCT((Inputs!$A$5:$A$140=$B31)*Inputs!$B$5:$B$140*(((Inputs!$G$5:$G$140="moeda")+(Inputs!$G$5:$G$140="acoes"))*Inputs!$B$1+((Inputs!$G$5:$G$140&lt;&gt;"moeda")*(Inputs!$G$5:$G$140&lt;&gt;"acoes")))*INDEX(Inputs!$K$5:$AJ$140,0,MATCH(X$2,Inputs!$K$4:$AJ$4,0)))+SUMPRODUCT((Inputs!$C$5:$C$140=$B31)*Inputs!$D$5:$D$140*(((Inputs!$G$5:$G$140="moeda")+(Inputs!$G$5:$G$140="acoes"))*Inputs!$B$1+((Inputs!$G$5:$G$140&lt;&gt;"moeda")*(Inputs!$G$5:$G$140&lt;&gt;"acoes")))*INDEX(Inputs!$K$5:$AJ$140,0,MATCH(X$2,Inputs!$K$4:$AJ$4,0)))+SUMPRODUCT((Inputs!$E$5:$E$140=$B31)*Inputs!$F$5:$F$140*(((Inputs!$G$5:$G$140="moeda")+(Inputs!$G$5:$G$140="acoes"))*Inputs!$B$1+((Inputs!$G$5:$G$140&lt;&gt;"moeda")*(Inputs!$G$5:$G$140&lt;&gt;"acoes")))*INDEX(Inputs!$K$5:$AJ$140,0,MATCH(X$2,Inputs!$K$4:$AJ$4,0)))))</f>
        <v>882.876</v>
      </c>
      <c r="Y31" s="6">
        <f>IF(ISNA(MATCH(Y$2,Inputs!$K$4:$AJ$4,0)),NA(),IF(SUMPRODUCT((Inputs!$A$5:$A$140=$B31)*ISNUMBER(INDEX(Inputs!$K$5:$AJ$140,0,MATCH(Y$2,Inputs!$K$4:$AJ$4,0))))+SUMPRODUCT((Inputs!$C$5:$C$140=$B31)*ISNUMBER(INDEX(Inputs!$K$5:$AJ$140,0,MATCH(Y$2,Inputs!$K$4:$AJ$4,0))))+SUMPRODUCT((Inputs!$E$5:$E$140=$B31)*ISNUMBER(INDEX(Inputs!$K$5:$AJ$140,0,MATCH(Y$2,Inputs!$K$4:$AJ$4,0))))=0,NA(),SUMPRODUCT((Inputs!$A$5:$A$140=$B31)*Inputs!$B$5:$B$140*(((Inputs!$G$5:$G$140="moeda")+(Inputs!$G$5:$G$140="acoes"))*Inputs!$B$1+((Inputs!$G$5:$G$140&lt;&gt;"moeda")*(Inputs!$G$5:$G$140&lt;&gt;"acoes")))*INDEX(Inputs!$K$5:$AJ$140,0,MATCH(Y$2,Inputs!$K$4:$AJ$4,0)))+SUMPRODUCT((Inputs!$C$5:$C$140=$B31)*Inputs!$D$5:$D$140*(((Inputs!$G$5:$G$140="moeda")+(Inputs!$G$5:$G$140="acoes"))*Inputs!$B$1+((Inputs!$G$5:$G$140&lt;&gt;"moeda")*(Inputs!$G$5:$G$140&lt;&gt;"acoes")))*INDEX(Inputs!$K$5:$AJ$140,0,MATCH(Y$2,Inputs!$K$4:$AJ$4,0)))+SUMPRODUCT((Inputs!$E$5:$E$140=$B31)*Inputs!$F$5:$F$140*(((Inputs!$G$5:$G$140="moeda")+(Inputs!$G$5:$G$140="acoes"))*Inputs!$B$1+((Inputs!$G$5:$G$140&lt;&gt;"moeda")*(Inputs!$G$5:$G$140&lt;&gt;"acoes")))*INDEX(Inputs!$K$5:$AJ$140,0,MATCH(Y$2,Inputs!$K$4:$AJ$4,0)))))</f>
        <v>897.325</v>
      </c>
      <c r="Z31" s="6">
        <f>IF(ISNA(MATCH(Z$2,Inputs!$K$4:$AJ$4,0)),NA(),IF(SUMPRODUCT((Inputs!$A$5:$A$140=$B31)*ISNUMBER(INDEX(Inputs!$K$5:$AJ$140,0,MATCH(Z$2,Inputs!$K$4:$AJ$4,0))))+SUMPRODUCT((Inputs!$C$5:$C$140=$B31)*ISNUMBER(INDEX(Inputs!$K$5:$AJ$140,0,MATCH(Z$2,Inputs!$K$4:$AJ$4,0))))+SUMPRODUCT((Inputs!$E$5:$E$140=$B31)*ISNUMBER(INDEX(Inputs!$K$5:$AJ$140,0,MATCH(Z$2,Inputs!$K$4:$AJ$4,0))))=0,NA(),SUMPRODUCT((Inputs!$A$5:$A$140=$B31)*Inputs!$B$5:$B$140*(((Inputs!$G$5:$G$140="moeda")+(Inputs!$G$5:$G$140="acoes"))*Inputs!$B$1+((Inputs!$G$5:$G$140&lt;&gt;"moeda")*(Inputs!$G$5:$G$140&lt;&gt;"acoes")))*INDEX(Inputs!$K$5:$AJ$140,0,MATCH(Z$2,Inputs!$K$4:$AJ$4,0)))+SUMPRODUCT((Inputs!$C$5:$C$140=$B31)*Inputs!$D$5:$D$140*(((Inputs!$G$5:$G$140="moeda")+(Inputs!$G$5:$G$140="acoes"))*Inputs!$B$1+((Inputs!$G$5:$G$140&lt;&gt;"moeda")*(Inputs!$G$5:$G$140&lt;&gt;"acoes")))*INDEX(Inputs!$K$5:$AJ$140,0,MATCH(Z$2,Inputs!$K$4:$AJ$4,0)))+SUMPRODUCT((Inputs!$E$5:$E$140=$B31)*Inputs!$F$5:$F$140*(((Inputs!$G$5:$G$140="moeda")+(Inputs!$G$5:$G$140="acoes"))*Inputs!$B$1+((Inputs!$G$5:$G$140&lt;&gt;"moeda")*(Inputs!$G$5:$G$140&lt;&gt;"acoes")))*INDEX(Inputs!$K$5:$AJ$140,0,MATCH(Z$2,Inputs!$K$4:$AJ$4,0)))))</f>
        <v>1166.893</v>
      </c>
      <c r="AA31" s="6">
        <f>IF(ISNA(MATCH(AA$2,Inputs!$K$4:$AJ$4,0)),NA(),IF(SUMPRODUCT((Inputs!$A$5:$A$140=$B31)*ISNUMBER(INDEX(Inputs!$K$5:$AJ$140,0,MATCH(AA$2,Inputs!$K$4:$AJ$4,0))))+SUMPRODUCT((Inputs!$C$5:$C$140=$B31)*ISNUMBER(INDEX(Inputs!$K$5:$AJ$140,0,MATCH(AA$2,Inputs!$K$4:$AJ$4,0))))+SUMPRODUCT((Inputs!$E$5:$E$140=$B31)*ISNUMBER(INDEX(Inputs!$K$5:$AJ$140,0,MATCH(AA$2,Inputs!$K$4:$AJ$4,0))))=0,NA(),SUMPRODUCT((Inputs!$A$5:$A$140=$B31)*Inputs!$B$5:$B$140*(((Inputs!$G$5:$G$140="moeda")+(Inputs!$G$5:$G$140="acoes"))*Inputs!$B$1+((Inputs!$G$5:$G$140&lt;&gt;"moeda")*(Inputs!$G$5:$G$140&lt;&gt;"acoes")))*INDEX(Inputs!$K$5:$AJ$140,0,MATCH(AA$2,Inputs!$K$4:$AJ$4,0)))+SUMPRODUCT((Inputs!$C$5:$C$140=$B31)*Inputs!$D$5:$D$140*(((Inputs!$G$5:$G$140="moeda")+(Inputs!$G$5:$G$140="acoes"))*Inputs!$B$1+((Inputs!$G$5:$G$140&lt;&gt;"moeda")*(Inputs!$G$5:$G$140&lt;&gt;"acoes")))*INDEX(Inputs!$K$5:$AJ$140,0,MATCH(AA$2,Inputs!$K$4:$AJ$4,0)))+SUMPRODUCT((Inputs!$E$5:$E$140=$B31)*Inputs!$F$5:$F$140*(((Inputs!$G$5:$G$140="moeda")+(Inputs!$G$5:$G$140="acoes"))*Inputs!$B$1+((Inputs!$G$5:$G$140&lt;&gt;"moeda")*(Inputs!$G$5:$G$140&lt;&gt;"acoes")))*INDEX(Inputs!$K$5:$AJ$140,0,MATCH(AA$2,Inputs!$K$4:$AJ$4,0)))))</f>
        <v>1069.117</v>
      </c>
      <c r="AB31" s="3">
        <f>AA31</f>
        <v>1069.117</v>
      </c>
      <c r="AC31" s="6">
        <f>IF(ISNA(MATCH(AC$2,Inputs!$K$4:$AJ$4,0)),NA(),IF(SUMPRODUCT((Inputs!$A$5:$A$140=$B31)*ISNUMBER(INDEX(Inputs!$K$5:$AJ$140,0,MATCH(AC$2,Inputs!$K$4:$AJ$4,0))))+SUMPRODUCT((Inputs!$C$5:$C$140=$B31)*ISNUMBER(INDEX(Inputs!$K$5:$AJ$140,0,MATCH(AC$2,Inputs!$K$4:$AJ$4,0))))+SUMPRODUCT((Inputs!$E$5:$E$140=$B31)*ISNUMBER(INDEX(Inputs!$K$5:$AJ$140,0,MATCH(AC$2,Inputs!$K$4:$AJ$4,0))))=0,NA(),SUMPRODUCT((Inputs!$A$5:$A$140=$B31)*Inputs!$B$5:$B$140*(((Inputs!$G$5:$G$140="moeda")+(Inputs!$G$5:$G$140="acoes"))*Inputs!$B$1+((Inputs!$G$5:$G$140&lt;&gt;"moeda")*(Inputs!$G$5:$G$140&lt;&gt;"acoes")))*INDEX(Inputs!$K$5:$AJ$140,0,MATCH(AC$2,Inputs!$K$4:$AJ$4,0)))+SUMPRODUCT((Inputs!$C$5:$C$140=$B31)*Inputs!$D$5:$D$140*(((Inputs!$G$5:$G$140="moeda")+(Inputs!$G$5:$G$140="acoes"))*Inputs!$B$1+((Inputs!$G$5:$G$140&lt;&gt;"moeda")*(Inputs!$G$5:$G$140&lt;&gt;"acoes")))*INDEX(Inputs!$K$5:$AJ$140,0,MATCH(AC$2,Inputs!$K$4:$AJ$4,0)))+SUMPRODUCT((Inputs!$E$5:$E$140=$B31)*Inputs!$F$5:$F$140*(((Inputs!$G$5:$G$140="moeda")+(Inputs!$G$5:$G$140="acoes"))*Inputs!$B$1+((Inputs!$G$5:$G$140&lt;&gt;"moeda")*(Inputs!$G$5:$G$140&lt;&gt;"acoes")))*INDEX(Inputs!$K$5:$AJ$140,0,MATCH(AC$2,Inputs!$K$4:$AJ$4,0)))))</f>
        <v>1277.469</v>
      </c>
      <c r="AD31" s="6">
        <f>IF(ISNA(MATCH(AD$2,Inputs!$K$4:$AJ$4,0)),NA(),IF(SUMPRODUCT((Inputs!$A$5:$A$140=$B31)*ISNUMBER(INDEX(Inputs!$K$5:$AJ$140,0,MATCH(AD$2,Inputs!$K$4:$AJ$4,0))))+SUMPRODUCT((Inputs!$C$5:$C$140=$B31)*ISNUMBER(INDEX(Inputs!$K$5:$AJ$140,0,MATCH(AD$2,Inputs!$K$4:$AJ$4,0))))+SUMPRODUCT((Inputs!$E$5:$E$140=$B31)*ISNUMBER(INDEX(Inputs!$K$5:$AJ$140,0,MATCH(AD$2,Inputs!$K$4:$AJ$4,0))))=0,NA(),SUMPRODUCT((Inputs!$A$5:$A$140=$B31)*Inputs!$B$5:$B$140*(((Inputs!$G$5:$G$140="moeda")+(Inputs!$G$5:$G$140="acoes"))*Inputs!$B$1+((Inputs!$G$5:$G$140&lt;&gt;"moeda")*(Inputs!$G$5:$G$140&lt;&gt;"acoes")))*INDEX(Inputs!$K$5:$AJ$140,0,MATCH(AD$2,Inputs!$K$4:$AJ$4,0)))+SUMPRODUCT((Inputs!$C$5:$C$140=$B31)*Inputs!$D$5:$D$140*(((Inputs!$G$5:$G$140="moeda")+(Inputs!$G$5:$G$140="acoes"))*Inputs!$B$1+((Inputs!$G$5:$G$140&lt;&gt;"moeda")*(Inputs!$G$5:$G$140&lt;&gt;"acoes")))*INDEX(Inputs!$K$5:$AJ$140,0,MATCH(AD$2,Inputs!$K$4:$AJ$4,0)))+SUMPRODUCT((Inputs!$E$5:$E$140=$B31)*Inputs!$F$5:$F$140*(((Inputs!$G$5:$G$140="moeda")+(Inputs!$G$5:$G$140="acoes"))*Inputs!$B$1+((Inputs!$G$5:$G$140&lt;&gt;"moeda")*(Inputs!$G$5:$G$140&lt;&gt;"acoes")))*INDEX(Inputs!$K$5:$AJ$140,0,MATCH(AD$2,Inputs!$K$4:$AJ$4,0)))))</f>
        <v>1234.59</v>
      </c>
      <c r="AE31" s="6" t="e">
        <f>IF(ISNA(MATCH(AE$2,Inputs!$K$4:$AJ$4,0)),NA(),IF(SUMPRODUCT((Inputs!$A$5:$A$140=$B31)*ISNUMBER(INDEX(Inputs!$K$5:$AJ$140,0,MATCH(AE$2,Inputs!$K$4:$AJ$4,0))))+SUMPRODUCT((Inputs!$C$5:$C$140=$B31)*ISNUMBER(INDEX(Inputs!$K$5:$AJ$140,0,MATCH(AE$2,Inputs!$K$4:$AJ$4,0))))+SUMPRODUCT((Inputs!$E$5:$E$140=$B31)*ISNUMBER(INDEX(Inputs!$K$5:$AJ$140,0,MATCH(AE$2,Inputs!$K$4:$AJ$4,0))))=0,NA(),SUMPRODUCT((Inputs!$A$5:$A$140=$B31)*Inputs!$B$5:$B$140*(((Inputs!$G$5:$G$140="moeda")+(Inputs!$G$5:$G$140="acoes"))*Inputs!$B$1+((Inputs!$G$5:$G$140&lt;&gt;"moeda")*(Inputs!$G$5:$G$140&lt;&gt;"acoes")))*INDEX(Inputs!$K$5:$AJ$140,0,MATCH(AE$2,Inputs!$K$4:$AJ$4,0)))+SUMPRODUCT((Inputs!$C$5:$C$140=$B31)*Inputs!$D$5:$D$140*(((Inputs!$G$5:$G$140="moeda")+(Inputs!$G$5:$G$140="acoes"))*Inputs!$B$1+((Inputs!$G$5:$G$140&lt;&gt;"moeda")*(Inputs!$G$5:$G$140&lt;&gt;"acoes")))*INDEX(Inputs!$K$5:$AJ$140,0,MATCH(AE$2,Inputs!$K$4:$AJ$4,0)))+SUMPRODUCT((Inputs!$E$5:$E$140=$B31)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1" s="6" t="e">
        <f>IF(ISNA(MATCH(AF$2,Inputs!$K$4:$AJ$4,0)),NA(),IF(SUMPRODUCT((Inputs!$A$5:$A$140=$B31)*ISNUMBER(INDEX(Inputs!$K$5:$AJ$140,0,MATCH(AF$2,Inputs!$K$4:$AJ$4,0))))+SUMPRODUCT((Inputs!$C$5:$C$140=$B31)*ISNUMBER(INDEX(Inputs!$K$5:$AJ$140,0,MATCH(AF$2,Inputs!$K$4:$AJ$4,0))))+SUMPRODUCT((Inputs!$E$5:$E$140=$B31)*ISNUMBER(INDEX(Inputs!$K$5:$AJ$140,0,MATCH(AF$2,Inputs!$K$4:$AJ$4,0))))=0,NA(),SUMPRODUCT((Inputs!$A$5:$A$140=$B31)*Inputs!$B$5:$B$140*(((Inputs!$G$5:$G$140="moeda")+(Inputs!$G$5:$G$140="acoes"))*Inputs!$B$1+((Inputs!$G$5:$G$140&lt;&gt;"moeda")*(Inputs!$G$5:$G$140&lt;&gt;"acoes")))*INDEX(Inputs!$K$5:$AJ$140,0,MATCH(AF$2,Inputs!$K$4:$AJ$4,0)))+SUMPRODUCT((Inputs!$C$5:$C$140=$B31)*Inputs!$D$5:$D$140*(((Inputs!$G$5:$G$140="moeda")+(Inputs!$G$5:$G$140="acoes"))*Inputs!$B$1+((Inputs!$G$5:$G$140&lt;&gt;"moeda")*(Inputs!$G$5:$G$140&lt;&gt;"acoes")))*INDEX(Inputs!$K$5:$AJ$140,0,MATCH(AF$2,Inputs!$K$4:$AJ$4,0)))+SUMPRODUCT((Inputs!$E$5:$E$140=$B31)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1" s="3" t="e">
        <f>AF31</f>
        <v>#N/A</v>
      </c>
      <c r="AH31" s="6">
        <f>IF(ISNA(MATCH(AH$2,Inputs!$K$4:$AJ$4,0)),NA(),IF(SUMPRODUCT((Inputs!$A$5:$A$140=$B31)*ISNUMBER(INDEX(Inputs!$K$5:$AJ$140,0,MATCH(AH$2,Inputs!$K$4:$AJ$4,0))))+SUMPRODUCT((Inputs!$C$5:$C$140=$B31)*ISNUMBER(INDEX(Inputs!$K$5:$AJ$140,0,MATCH(AH$2,Inputs!$K$4:$AJ$4,0))))+SUMPRODUCT((Inputs!$E$5:$E$140=$B31)*ISNUMBER(INDEX(Inputs!$K$5:$AJ$140,0,MATCH(AH$2,Inputs!$K$4:$AJ$4,0))))=0,NA(),SUMPRODUCT((Inputs!$A$5:$A$140=$B31)*Inputs!$B$5:$B$140*(((Inputs!$G$5:$G$140="moeda")+(Inputs!$G$5:$G$140="acoes"))*Inputs!$B$1+((Inputs!$G$5:$G$140&lt;&gt;"moeda")*(Inputs!$G$5:$G$140&lt;&gt;"acoes")))*INDEX(Inputs!$K$5:$AJ$140,0,MATCH(AH$2,Inputs!$K$4:$AJ$4,0)))+SUMPRODUCT((Inputs!$C$5:$C$140=$B31)*Inputs!$D$5:$D$140*(((Inputs!$G$5:$G$140="moeda")+(Inputs!$G$5:$G$140="acoes"))*Inputs!$B$1+((Inputs!$G$5:$G$140&lt;&gt;"moeda")*(Inputs!$G$5:$G$140&lt;&gt;"acoes")))*INDEX(Inputs!$K$5:$AJ$140,0,MATCH(AH$2,Inputs!$K$4:$AJ$4,0)))+SUMPRODUCT((Inputs!$E$5:$E$140=$B31)*Inputs!$F$5:$F$140*(((Inputs!$G$5:$G$140="moeda")+(Inputs!$G$5:$G$140="acoes"))*Inputs!$B$1+((Inputs!$G$5:$G$140&lt;&gt;"moeda")*(Inputs!$G$5:$G$140&lt;&gt;"acoes")))*INDEX(Inputs!$K$5:$AJ$140,0,MATCH(AH$2,Inputs!$K$4:$AJ$4,0)))))</f>
        <v>373.573</v>
      </c>
      <c r="AI31" s="6">
        <f>IF(ISNA(MATCH(AI$2,Inputs!$K$4:$AJ$4,0)),NA(),IF(SUMPRODUCT((Inputs!$A$5:$A$140=$B31)*ISNUMBER(INDEX(Inputs!$K$5:$AJ$140,0,MATCH(AI$2,Inputs!$K$4:$AJ$4,0))))+SUMPRODUCT((Inputs!$C$5:$C$140=$B31)*ISNUMBER(INDEX(Inputs!$K$5:$AJ$140,0,MATCH(AI$2,Inputs!$K$4:$AJ$4,0))))+SUMPRODUCT((Inputs!$E$5:$E$140=$B31)*ISNUMBER(INDEX(Inputs!$K$5:$AJ$140,0,MATCH(AI$2,Inputs!$K$4:$AJ$4,0))))=0,NA(),SUMPRODUCT((Inputs!$A$5:$A$140=$B31)*Inputs!$B$5:$B$140*(((Inputs!$G$5:$G$140="moeda")+(Inputs!$G$5:$G$140="acoes"))*Inputs!$B$1+((Inputs!$G$5:$G$140&lt;&gt;"moeda")*(Inputs!$G$5:$G$140&lt;&gt;"acoes")))*INDEX(Inputs!$K$5:$AJ$140,0,MATCH(AI$2,Inputs!$K$4:$AJ$4,0)))+SUMPRODUCT((Inputs!$C$5:$C$140=$B31)*Inputs!$D$5:$D$140*(((Inputs!$G$5:$G$140="moeda")+(Inputs!$G$5:$G$140="acoes"))*Inputs!$B$1+((Inputs!$G$5:$G$140&lt;&gt;"moeda")*(Inputs!$G$5:$G$140&lt;&gt;"acoes")))*INDEX(Inputs!$K$5:$AJ$140,0,MATCH(AI$2,Inputs!$K$4:$AJ$4,0)))+SUMPRODUCT((Inputs!$E$5:$E$140=$B31)*Inputs!$F$5:$F$140*(((Inputs!$G$5:$G$140="moeda")+(Inputs!$G$5:$G$140="acoes"))*Inputs!$B$1+((Inputs!$G$5:$G$140&lt;&gt;"moeda")*(Inputs!$G$5:$G$140&lt;&gt;"acoes")))*INDEX(Inputs!$K$5:$AJ$140,0,MATCH(AI$2,Inputs!$K$4:$AJ$4,0)))))</f>
        <v>430.959</v>
      </c>
      <c r="AJ31" s="6">
        <f>IF(ISNA(MATCH(AJ$2,Inputs!$K$4:$AJ$4,0)),NA(),IF(SUMPRODUCT((Inputs!$A$5:$A$140=$B31)*ISNUMBER(INDEX(Inputs!$K$5:$AJ$140,0,MATCH(AJ$2,Inputs!$K$4:$AJ$4,0))))+SUMPRODUCT((Inputs!$C$5:$C$140=$B31)*ISNUMBER(INDEX(Inputs!$K$5:$AJ$140,0,MATCH(AJ$2,Inputs!$K$4:$AJ$4,0))))+SUMPRODUCT((Inputs!$E$5:$E$140=$B31)*ISNUMBER(INDEX(Inputs!$K$5:$AJ$140,0,MATCH(AJ$2,Inputs!$K$4:$AJ$4,0))))=0,NA(),SUMPRODUCT((Inputs!$A$5:$A$140=$B31)*Inputs!$B$5:$B$140*(((Inputs!$G$5:$G$140="moeda")+(Inputs!$G$5:$G$140="acoes"))*Inputs!$B$1+((Inputs!$G$5:$G$140&lt;&gt;"moeda")*(Inputs!$G$5:$G$140&lt;&gt;"acoes")))*INDEX(Inputs!$K$5:$AJ$140,0,MATCH(AJ$2,Inputs!$K$4:$AJ$4,0)))+SUMPRODUCT((Inputs!$C$5:$C$140=$B31)*Inputs!$D$5:$D$140*(((Inputs!$G$5:$G$140="moeda")+(Inputs!$G$5:$G$140="acoes"))*Inputs!$B$1+((Inputs!$G$5:$G$140&lt;&gt;"moeda")*(Inputs!$G$5:$G$140&lt;&gt;"acoes")))*INDEX(Inputs!$K$5:$AJ$140,0,MATCH(AJ$2,Inputs!$K$4:$AJ$4,0)))+SUMPRODUCT((Inputs!$E$5:$E$140=$B31)*Inputs!$F$5:$F$140*(((Inputs!$G$5:$G$140="moeda")+(Inputs!$G$5:$G$140="acoes"))*Inputs!$B$1+((Inputs!$G$5:$G$140&lt;&gt;"moeda")*(Inputs!$G$5:$G$140&lt;&gt;"acoes")))*INDEX(Inputs!$K$5:$AJ$140,0,MATCH(AJ$2,Inputs!$K$4:$AJ$4,0)))))</f>
        <v>590.712</v>
      </c>
      <c r="AK31" s="6">
        <f>IF(ISNA(MATCH(AK$2,Inputs!$K$4:$AJ$4,0)),NA(),IF(SUMPRODUCT((Inputs!$A$5:$A$140=$B31)*ISNUMBER(INDEX(Inputs!$K$5:$AJ$140,0,MATCH(AK$2,Inputs!$K$4:$AJ$4,0))))+SUMPRODUCT((Inputs!$C$5:$C$140=$B31)*ISNUMBER(INDEX(Inputs!$K$5:$AJ$140,0,MATCH(AK$2,Inputs!$K$4:$AJ$4,0))))+SUMPRODUCT((Inputs!$E$5:$E$140=$B31)*ISNUMBER(INDEX(Inputs!$K$5:$AJ$140,0,MATCH(AK$2,Inputs!$K$4:$AJ$4,0))))=0,NA(),SUMPRODUCT((Inputs!$A$5:$A$140=$B31)*Inputs!$B$5:$B$140*(((Inputs!$G$5:$G$140="moeda")+(Inputs!$G$5:$G$140="acoes"))*Inputs!$B$1+((Inputs!$G$5:$G$140&lt;&gt;"moeda")*(Inputs!$G$5:$G$140&lt;&gt;"acoes")))*INDEX(Inputs!$K$5:$AJ$140,0,MATCH(AK$2,Inputs!$K$4:$AJ$4,0)))+SUMPRODUCT((Inputs!$C$5:$C$140=$B31)*Inputs!$D$5:$D$140*(((Inputs!$G$5:$G$140="moeda")+(Inputs!$G$5:$G$140="acoes"))*Inputs!$B$1+((Inputs!$G$5:$G$140&lt;&gt;"moeda")*(Inputs!$G$5:$G$140&lt;&gt;"acoes")))*INDEX(Inputs!$K$5:$AJ$140,0,MATCH(AK$2,Inputs!$K$4:$AJ$4,0)))+SUMPRODUCT((Inputs!$E$5:$E$140=$B31)*Inputs!$F$5:$F$140*(((Inputs!$G$5:$G$140="moeda")+(Inputs!$G$5:$G$140="acoes"))*Inputs!$B$1+((Inputs!$G$5:$G$140&lt;&gt;"moeda")*(Inputs!$G$5:$G$140&lt;&gt;"acoes")))*INDEX(Inputs!$K$5:$AJ$140,0,MATCH(AK$2,Inputs!$K$4:$AJ$4,0)))))</f>
        <v>435.687</v>
      </c>
      <c r="AL31" s="3">
        <f>AK31</f>
        <v>435.687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$140=$B32)*ISNUMBER(INDEX(Inputs!$K$5:$AJ$140,0,MATCH(D$2,Inputs!$K$4:$AJ$4,0))))+SUMPRODUCT((Inputs!$C$5:$C$140=$B32)*ISNUMBER(INDEX(Inputs!$K$5:$AJ$140,0,MATCH(D$2,Inputs!$K$4:$AJ$4,0))))+SUMPRODUCT((Inputs!$E$5:$E$140=$B32)*ISNUMBER(INDEX(Inputs!$K$5:$AJ$140,0,MATCH(D$2,Inputs!$K$4:$AJ$4,0))))=0,NA(),SUMPRODUCT((Inputs!$A$5:$A$140=$B32)*Inputs!$B$5:$B$140*(((Inputs!$G$5:$G$140="moeda")+(Inputs!$G$5:$G$140="acoes"))*Inputs!$B$1+((Inputs!$G$5:$G$140&lt;&gt;"moeda")*(Inputs!$G$5:$G$140&lt;&gt;"acoes")))*INDEX(Inputs!$K$5:$AJ$140,0,MATCH(D$2,Inputs!$K$4:$AJ$4,0)))+SUMPRODUCT((Inputs!$C$5:$C$140=$B32)*Inputs!$D$5:$D$140*(((Inputs!$G$5:$G$140="moeda")+(Inputs!$G$5:$G$140="acoes"))*Inputs!$B$1+((Inputs!$G$5:$G$140&lt;&gt;"moeda")*(Inputs!$G$5:$G$140&lt;&gt;"acoes")))*INDEX(Inputs!$K$5:$AJ$140,0,MATCH(D$2,Inputs!$K$4:$AJ$4,0)))+SUMPRODUCT((Inputs!$E$5:$E$140=$B32)*Inputs!$F$5:$F$140*(((Inputs!$G$5:$G$140="moeda")+(Inputs!$G$5:$G$140="acoes"))*Inputs!$B$1+((Inputs!$G$5:$G$140&lt;&gt;"moeda")*(Inputs!$G$5:$G$140&lt;&gt;"acoes")))*INDEX(Inputs!$K$5:$AJ$140,0,MATCH(D$2,Inputs!$K$4:$AJ$4,0)))))</f>
        <v>100.616</v>
      </c>
      <c r="E32" s="6">
        <f>IF(ISNA(MATCH(E$2,Inputs!$K$4:$AJ$4,0)),NA(),IF(SUMPRODUCT((Inputs!$A$5:$A$140=$B32)*ISNUMBER(INDEX(Inputs!$K$5:$AJ$140,0,MATCH(E$2,Inputs!$K$4:$AJ$4,0))))+SUMPRODUCT((Inputs!$C$5:$C$140=$B32)*ISNUMBER(INDEX(Inputs!$K$5:$AJ$140,0,MATCH(E$2,Inputs!$K$4:$AJ$4,0))))+SUMPRODUCT((Inputs!$E$5:$E$140=$B32)*ISNUMBER(INDEX(Inputs!$K$5:$AJ$140,0,MATCH(E$2,Inputs!$K$4:$AJ$4,0))))=0,NA(),SUMPRODUCT((Inputs!$A$5:$A$140=$B32)*Inputs!$B$5:$B$140*(((Inputs!$G$5:$G$140="moeda")+(Inputs!$G$5:$G$140="acoes"))*Inputs!$B$1+((Inputs!$G$5:$G$140&lt;&gt;"moeda")*(Inputs!$G$5:$G$140&lt;&gt;"acoes")))*INDEX(Inputs!$K$5:$AJ$140,0,MATCH(E$2,Inputs!$K$4:$AJ$4,0)))+SUMPRODUCT((Inputs!$C$5:$C$140=$B32)*Inputs!$D$5:$D$140*(((Inputs!$G$5:$G$140="moeda")+(Inputs!$G$5:$G$140="acoes"))*Inputs!$B$1+((Inputs!$G$5:$G$140&lt;&gt;"moeda")*(Inputs!$G$5:$G$140&lt;&gt;"acoes")))*INDEX(Inputs!$K$5:$AJ$140,0,MATCH(E$2,Inputs!$K$4:$AJ$4,0)))+SUMPRODUCT((Inputs!$E$5:$E$140=$B32)*Inputs!$F$5:$F$140*(((Inputs!$G$5:$G$140="moeda")+(Inputs!$G$5:$G$140="acoes"))*Inputs!$B$1+((Inputs!$G$5:$G$140&lt;&gt;"moeda")*(Inputs!$G$5:$G$140&lt;&gt;"acoes")))*INDEX(Inputs!$K$5:$AJ$140,0,MATCH(E$2,Inputs!$K$4:$AJ$4,0)))))</f>
        <v>116.92</v>
      </c>
      <c r="F32" s="6">
        <f>IF(ISNA(MATCH(F$2,Inputs!$K$4:$AJ$4,0)),NA(),IF(SUMPRODUCT((Inputs!$A$5:$A$140=$B32)*ISNUMBER(INDEX(Inputs!$K$5:$AJ$140,0,MATCH(F$2,Inputs!$K$4:$AJ$4,0))))+SUMPRODUCT((Inputs!$C$5:$C$140=$B32)*ISNUMBER(INDEX(Inputs!$K$5:$AJ$140,0,MATCH(F$2,Inputs!$K$4:$AJ$4,0))))+SUMPRODUCT((Inputs!$E$5:$E$140=$B32)*ISNUMBER(INDEX(Inputs!$K$5:$AJ$140,0,MATCH(F$2,Inputs!$K$4:$AJ$4,0))))=0,NA(),SUMPRODUCT((Inputs!$A$5:$A$140=$B32)*Inputs!$B$5:$B$140*(((Inputs!$G$5:$G$140="moeda")+(Inputs!$G$5:$G$140="acoes"))*Inputs!$B$1+((Inputs!$G$5:$G$140&lt;&gt;"moeda")*(Inputs!$G$5:$G$140&lt;&gt;"acoes")))*INDEX(Inputs!$K$5:$AJ$140,0,MATCH(F$2,Inputs!$K$4:$AJ$4,0)))+SUMPRODUCT((Inputs!$C$5:$C$140=$B32)*Inputs!$D$5:$D$140*(((Inputs!$G$5:$G$140="moeda")+(Inputs!$G$5:$G$140="acoes"))*Inputs!$B$1+((Inputs!$G$5:$G$140&lt;&gt;"moeda")*(Inputs!$G$5:$G$140&lt;&gt;"acoes")))*INDEX(Inputs!$K$5:$AJ$140,0,MATCH(F$2,Inputs!$K$4:$AJ$4,0)))+SUMPRODUCT((Inputs!$E$5:$E$140=$B32)*Inputs!$F$5:$F$140*(((Inputs!$G$5:$G$140="moeda")+(Inputs!$G$5:$G$140="acoes"))*Inputs!$B$1+((Inputs!$G$5:$G$140&lt;&gt;"moeda")*(Inputs!$G$5:$G$140&lt;&gt;"acoes")))*INDEX(Inputs!$K$5:$AJ$140,0,MATCH(F$2,Inputs!$K$4:$AJ$4,0)))))</f>
        <v>63.863</v>
      </c>
      <c r="G32" s="6">
        <f>IF(ISNA(MATCH(G$2,Inputs!$K$4:$AJ$4,0)),NA(),IF(SUMPRODUCT((Inputs!$A$5:$A$140=$B32)*ISNUMBER(INDEX(Inputs!$K$5:$AJ$140,0,MATCH(G$2,Inputs!$K$4:$AJ$4,0))))+SUMPRODUCT((Inputs!$C$5:$C$140=$B32)*ISNUMBER(INDEX(Inputs!$K$5:$AJ$140,0,MATCH(G$2,Inputs!$K$4:$AJ$4,0))))+SUMPRODUCT((Inputs!$E$5:$E$140=$B32)*ISNUMBER(INDEX(Inputs!$K$5:$AJ$140,0,MATCH(G$2,Inputs!$K$4:$AJ$4,0))))=0,NA(),SUMPRODUCT((Inputs!$A$5:$A$140=$B32)*Inputs!$B$5:$B$140*(((Inputs!$G$5:$G$140="moeda")+(Inputs!$G$5:$G$140="acoes"))*Inputs!$B$1+((Inputs!$G$5:$G$140&lt;&gt;"moeda")*(Inputs!$G$5:$G$140&lt;&gt;"acoes")))*INDEX(Inputs!$K$5:$AJ$140,0,MATCH(G$2,Inputs!$K$4:$AJ$4,0)))+SUMPRODUCT((Inputs!$C$5:$C$140=$B32)*Inputs!$D$5:$D$140*(((Inputs!$G$5:$G$140="moeda")+(Inputs!$G$5:$G$140="acoes"))*Inputs!$B$1+((Inputs!$G$5:$G$140&lt;&gt;"moeda")*(Inputs!$G$5:$G$140&lt;&gt;"acoes")))*INDEX(Inputs!$K$5:$AJ$140,0,MATCH(G$2,Inputs!$K$4:$AJ$4,0)))+SUMPRODUCT((Inputs!$E$5:$E$140=$B32)*Inputs!$F$5:$F$140*(((Inputs!$G$5:$G$140="moeda")+(Inputs!$G$5:$G$140="acoes"))*Inputs!$B$1+((Inputs!$G$5:$G$140&lt;&gt;"moeda")*(Inputs!$G$5:$G$140&lt;&gt;"acoes")))*INDEX(Inputs!$K$5:$AJ$140,0,MATCH(G$2,Inputs!$K$4:$AJ$4,0)))))</f>
        <v>68.02</v>
      </c>
      <c r="H32" s="3">
        <f>G32</f>
        <v>68.02</v>
      </c>
      <c r="I32" s="6">
        <f>IF(ISNA(MATCH(I$2,Inputs!$K$4:$AJ$4,0)),NA(),IF(SUMPRODUCT((Inputs!$A$5:$A$140=$B32)*ISNUMBER(INDEX(Inputs!$K$5:$AJ$140,0,MATCH(I$2,Inputs!$K$4:$AJ$4,0))))+SUMPRODUCT((Inputs!$C$5:$C$140=$B32)*ISNUMBER(INDEX(Inputs!$K$5:$AJ$140,0,MATCH(I$2,Inputs!$K$4:$AJ$4,0))))+SUMPRODUCT((Inputs!$E$5:$E$140=$B32)*ISNUMBER(INDEX(Inputs!$K$5:$AJ$140,0,MATCH(I$2,Inputs!$K$4:$AJ$4,0))))=0,NA(),SUMPRODUCT((Inputs!$A$5:$A$140=$B32)*Inputs!$B$5:$B$140*(((Inputs!$G$5:$G$140="moeda")+(Inputs!$G$5:$G$140="acoes"))*Inputs!$B$1+((Inputs!$G$5:$G$140&lt;&gt;"moeda")*(Inputs!$G$5:$G$140&lt;&gt;"acoes")))*INDEX(Inputs!$K$5:$AJ$140,0,MATCH(I$2,Inputs!$K$4:$AJ$4,0)))+SUMPRODUCT((Inputs!$C$5:$C$140=$B32)*Inputs!$D$5:$D$140*(((Inputs!$G$5:$G$140="moeda")+(Inputs!$G$5:$G$140="acoes"))*Inputs!$B$1+((Inputs!$G$5:$G$140&lt;&gt;"moeda")*(Inputs!$G$5:$G$140&lt;&gt;"acoes")))*INDEX(Inputs!$K$5:$AJ$140,0,MATCH(I$2,Inputs!$K$4:$AJ$4,0)))+SUMPRODUCT((Inputs!$E$5:$E$140=$B32)*Inputs!$F$5:$F$140*(((Inputs!$G$5:$G$140="moeda")+(Inputs!$G$5:$G$140="acoes"))*Inputs!$B$1+((Inputs!$G$5:$G$140&lt;&gt;"moeda")*(Inputs!$G$5:$G$140&lt;&gt;"acoes")))*INDEX(Inputs!$K$5:$AJ$140,0,MATCH(I$2,Inputs!$K$4:$AJ$4,0)))))</f>
        <v>67.654</v>
      </c>
      <c r="J32" s="6">
        <f>IF(ISNA(MATCH(J$2,Inputs!$K$4:$AJ$4,0)),NA(),IF(SUMPRODUCT((Inputs!$A$5:$A$140=$B32)*ISNUMBER(INDEX(Inputs!$K$5:$AJ$140,0,MATCH(J$2,Inputs!$K$4:$AJ$4,0))))+SUMPRODUCT((Inputs!$C$5:$C$140=$B32)*ISNUMBER(INDEX(Inputs!$K$5:$AJ$140,0,MATCH(J$2,Inputs!$K$4:$AJ$4,0))))+SUMPRODUCT((Inputs!$E$5:$E$140=$B32)*ISNUMBER(INDEX(Inputs!$K$5:$AJ$140,0,MATCH(J$2,Inputs!$K$4:$AJ$4,0))))=0,NA(),SUMPRODUCT((Inputs!$A$5:$A$140=$B32)*Inputs!$B$5:$B$140*(((Inputs!$G$5:$G$140="moeda")+(Inputs!$G$5:$G$140="acoes"))*Inputs!$B$1+((Inputs!$G$5:$G$140&lt;&gt;"moeda")*(Inputs!$G$5:$G$140&lt;&gt;"acoes")))*INDEX(Inputs!$K$5:$AJ$140,0,MATCH(J$2,Inputs!$K$4:$AJ$4,0)))+SUMPRODUCT((Inputs!$C$5:$C$140=$B32)*Inputs!$D$5:$D$140*(((Inputs!$G$5:$G$140="moeda")+(Inputs!$G$5:$G$140="acoes"))*Inputs!$B$1+((Inputs!$G$5:$G$140&lt;&gt;"moeda")*(Inputs!$G$5:$G$140&lt;&gt;"acoes")))*INDEX(Inputs!$K$5:$AJ$140,0,MATCH(J$2,Inputs!$K$4:$AJ$4,0)))+SUMPRODUCT((Inputs!$E$5:$E$140=$B32)*Inputs!$F$5:$F$140*(((Inputs!$G$5:$G$140="moeda")+(Inputs!$G$5:$G$140="acoes"))*Inputs!$B$1+((Inputs!$G$5:$G$140&lt;&gt;"moeda")*(Inputs!$G$5:$G$140&lt;&gt;"acoes")))*INDEX(Inputs!$K$5:$AJ$140,0,MATCH(J$2,Inputs!$K$4:$AJ$4,0)))))</f>
        <v>75.764</v>
      </c>
      <c r="K32" s="6">
        <f>IF(ISNA(MATCH(K$2,Inputs!$K$4:$AJ$4,0)),NA(),IF(SUMPRODUCT((Inputs!$A$5:$A$140=$B32)*ISNUMBER(INDEX(Inputs!$K$5:$AJ$140,0,MATCH(K$2,Inputs!$K$4:$AJ$4,0))))+SUMPRODUCT((Inputs!$C$5:$C$140=$B32)*ISNUMBER(INDEX(Inputs!$K$5:$AJ$140,0,MATCH(K$2,Inputs!$K$4:$AJ$4,0))))+SUMPRODUCT((Inputs!$E$5:$E$140=$B32)*ISNUMBER(INDEX(Inputs!$K$5:$AJ$140,0,MATCH(K$2,Inputs!$K$4:$AJ$4,0))))=0,NA(),SUMPRODUCT((Inputs!$A$5:$A$140=$B32)*Inputs!$B$5:$B$140*(((Inputs!$G$5:$G$140="moeda")+(Inputs!$G$5:$G$140="acoes"))*Inputs!$B$1+((Inputs!$G$5:$G$140&lt;&gt;"moeda")*(Inputs!$G$5:$G$140&lt;&gt;"acoes")))*INDEX(Inputs!$K$5:$AJ$140,0,MATCH(K$2,Inputs!$K$4:$AJ$4,0)))+SUMPRODUCT((Inputs!$C$5:$C$140=$B32)*Inputs!$D$5:$D$140*(((Inputs!$G$5:$G$140="moeda")+(Inputs!$G$5:$G$140="acoes"))*Inputs!$B$1+((Inputs!$G$5:$G$140&lt;&gt;"moeda")*(Inputs!$G$5:$G$140&lt;&gt;"acoes")))*INDEX(Inputs!$K$5:$AJ$140,0,MATCH(K$2,Inputs!$K$4:$AJ$4,0)))+SUMPRODUCT((Inputs!$E$5:$E$140=$B32)*Inputs!$F$5:$F$140*(((Inputs!$G$5:$G$140="moeda")+(Inputs!$G$5:$G$140="acoes"))*Inputs!$B$1+((Inputs!$G$5:$G$140&lt;&gt;"moeda")*(Inputs!$G$5:$G$140&lt;&gt;"acoes")))*INDEX(Inputs!$K$5:$AJ$140,0,MATCH(K$2,Inputs!$K$4:$AJ$4,0)))))</f>
        <v>32.789</v>
      </c>
      <c r="L32" s="6">
        <f>IF(ISNA(MATCH(L$2,Inputs!$K$4:$AJ$4,0)),NA(),IF(SUMPRODUCT((Inputs!$A$5:$A$140=$B32)*ISNUMBER(INDEX(Inputs!$K$5:$AJ$140,0,MATCH(L$2,Inputs!$K$4:$AJ$4,0))))+SUMPRODUCT((Inputs!$C$5:$C$140=$B32)*ISNUMBER(INDEX(Inputs!$K$5:$AJ$140,0,MATCH(L$2,Inputs!$K$4:$AJ$4,0))))+SUMPRODUCT((Inputs!$E$5:$E$140=$B32)*ISNUMBER(INDEX(Inputs!$K$5:$AJ$140,0,MATCH(L$2,Inputs!$K$4:$AJ$4,0))))=0,NA(),SUMPRODUCT((Inputs!$A$5:$A$140=$B32)*Inputs!$B$5:$B$140*(((Inputs!$G$5:$G$140="moeda")+(Inputs!$G$5:$G$140="acoes"))*Inputs!$B$1+((Inputs!$G$5:$G$140&lt;&gt;"moeda")*(Inputs!$G$5:$G$140&lt;&gt;"acoes")))*INDEX(Inputs!$K$5:$AJ$140,0,MATCH(L$2,Inputs!$K$4:$AJ$4,0)))+SUMPRODUCT((Inputs!$C$5:$C$140=$B32)*Inputs!$D$5:$D$140*(((Inputs!$G$5:$G$140="moeda")+(Inputs!$G$5:$G$140="acoes"))*Inputs!$B$1+((Inputs!$G$5:$G$140&lt;&gt;"moeda")*(Inputs!$G$5:$G$140&lt;&gt;"acoes")))*INDEX(Inputs!$K$5:$AJ$140,0,MATCH(L$2,Inputs!$K$4:$AJ$4,0)))+SUMPRODUCT((Inputs!$E$5:$E$140=$B32)*Inputs!$F$5:$F$140*(((Inputs!$G$5:$G$140="moeda")+(Inputs!$G$5:$G$140="acoes"))*Inputs!$B$1+((Inputs!$G$5:$G$140&lt;&gt;"moeda")*(Inputs!$G$5:$G$140&lt;&gt;"acoes")))*INDEX(Inputs!$K$5:$AJ$140,0,MATCH(L$2,Inputs!$K$4:$AJ$4,0)))))</f>
        <v>120.906</v>
      </c>
      <c r="M32" s="3">
        <f>L32</f>
        <v>120.906</v>
      </c>
      <c r="N32" s="6">
        <f>IF(ISNA(MATCH(N$2,Inputs!$K$4:$AJ$4,0)),NA(),IF(SUMPRODUCT((Inputs!$A$5:$A$140=$B32)*ISNUMBER(INDEX(Inputs!$K$5:$AJ$140,0,MATCH(N$2,Inputs!$K$4:$AJ$4,0))))+SUMPRODUCT((Inputs!$C$5:$C$140=$B32)*ISNUMBER(INDEX(Inputs!$K$5:$AJ$140,0,MATCH(N$2,Inputs!$K$4:$AJ$4,0))))+SUMPRODUCT((Inputs!$E$5:$E$140=$B32)*ISNUMBER(INDEX(Inputs!$K$5:$AJ$140,0,MATCH(N$2,Inputs!$K$4:$AJ$4,0))))=0,NA(),SUMPRODUCT((Inputs!$A$5:$A$140=$B32)*Inputs!$B$5:$B$140*(((Inputs!$G$5:$G$140="moeda")+(Inputs!$G$5:$G$140="acoes"))*Inputs!$B$1+((Inputs!$G$5:$G$140&lt;&gt;"moeda")*(Inputs!$G$5:$G$140&lt;&gt;"acoes")))*INDEX(Inputs!$K$5:$AJ$140,0,MATCH(N$2,Inputs!$K$4:$AJ$4,0)))+SUMPRODUCT((Inputs!$C$5:$C$140=$B32)*Inputs!$D$5:$D$140*(((Inputs!$G$5:$G$140="moeda")+(Inputs!$G$5:$G$140="acoes"))*Inputs!$B$1+((Inputs!$G$5:$G$140&lt;&gt;"moeda")*(Inputs!$G$5:$G$140&lt;&gt;"acoes")))*INDEX(Inputs!$K$5:$AJ$140,0,MATCH(N$2,Inputs!$K$4:$AJ$4,0)))+SUMPRODUCT((Inputs!$E$5:$E$140=$B32)*Inputs!$F$5:$F$140*(((Inputs!$G$5:$G$140="moeda")+(Inputs!$G$5:$G$140="acoes"))*Inputs!$B$1+((Inputs!$G$5:$G$140&lt;&gt;"moeda")*(Inputs!$G$5:$G$140&lt;&gt;"acoes")))*INDEX(Inputs!$K$5:$AJ$140,0,MATCH(N$2,Inputs!$K$4:$AJ$4,0)))))</f>
        <v>114.117</v>
      </c>
      <c r="O32" s="6">
        <f>IF(ISNA(MATCH(O$2,Inputs!$K$4:$AJ$4,0)),NA(),IF(SUMPRODUCT((Inputs!$A$5:$A$140=$B32)*ISNUMBER(INDEX(Inputs!$K$5:$AJ$140,0,MATCH(O$2,Inputs!$K$4:$AJ$4,0))))+SUMPRODUCT((Inputs!$C$5:$C$140=$B32)*ISNUMBER(INDEX(Inputs!$K$5:$AJ$140,0,MATCH(O$2,Inputs!$K$4:$AJ$4,0))))+SUMPRODUCT((Inputs!$E$5:$E$140=$B32)*ISNUMBER(INDEX(Inputs!$K$5:$AJ$140,0,MATCH(O$2,Inputs!$K$4:$AJ$4,0))))=0,NA(),SUMPRODUCT((Inputs!$A$5:$A$140=$B32)*Inputs!$B$5:$B$140*(((Inputs!$G$5:$G$140="moeda")+(Inputs!$G$5:$G$140="acoes"))*Inputs!$B$1+((Inputs!$G$5:$G$140&lt;&gt;"moeda")*(Inputs!$G$5:$G$140&lt;&gt;"acoes")))*INDEX(Inputs!$K$5:$AJ$140,0,MATCH(O$2,Inputs!$K$4:$AJ$4,0)))+SUMPRODUCT((Inputs!$C$5:$C$140=$B32)*Inputs!$D$5:$D$140*(((Inputs!$G$5:$G$140="moeda")+(Inputs!$G$5:$G$140="acoes"))*Inputs!$B$1+((Inputs!$G$5:$G$140&lt;&gt;"moeda")*(Inputs!$G$5:$G$140&lt;&gt;"acoes")))*INDEX(Inputs!$K$5:$AJ$140,0,MATCH(O$2,Inputs!$K$4:$AJ$4,0)))+SUMPRODUCT((Inputs!$E$5:$E$140=$B32)*Inputs!$F$5:$F$140*(((Inputs!$G$5:$G$140="moeda")+(Inputs!$G$5:$G$140="acoes"))*Inputs!$B$1+((Inputs!$G$5:$G$140&lt;&gt;"moeda")*(Inputs!$G$5:$G$140&lt;&gt;"acoes")))*INDEX(Inputs!$K$5:$AJ$140,0,MATCH(O$2,Inputs!$K$4:$AJ$4,0)))))</f>
        <v>138.967</v>
      </c>
      <c r="P32" s="6">
        <f>IF(ISNA(MATCH(P$2,Inputs!$K$4:$AJ$4,0)),NA(),IF(SUMPRODUCT((Inputs!$A$5:$A$140=$B32)*ISNUMBER(INDEX(Inputs!$K$5:$AJ$140,0,MATCH(P$2,Inputs!$K$4:$AJ$4,0))))+SUMPRODUCT((Inputs!$C$5:$C$140=$B32)*ISNUMBER(INDEX(Inputs!$K$5:$AJ$140,0,MATCH(P$2,Inputs!$K$4:$AJ$4,0))))+SUMPRODUCT((Inputs!$E$5:$E$140=$B32)*ISNUMBER(INDEX(Inputs!$K$5:$AJ$140,0,MATCH(P$2,Inputs!$K$4:$AJ$4,0))))=0,NA(),SUMPRODUCT((Inputs!$A$5:$A$140=$B32)*Inputs!$B$5:$B$140*(((Inputs!$G$5:$G$140="moeda")+(Inputs!$G$5:$G$140="acoes"))*Inputs!$B$1+((Inputs!$G$5:$G$140&lt;&gt;"moeda")*(Inputs!$G$5:$G$140&lt;&gt;"acoes")))*INDEX(Inputs!$K$5:$AJ$140,0,MATCH(P$2,Inputs!$K$4:$AJ$4,0)))+SUMPRODUCT((Inputs!$C$5:$C$140=$B32)*Inputs!$D$5:$D$140*(((Inputs!$G$5:$G$140="moeda")+(Inputs!$G$5:$G$140="acoes"))*Inputs!$B$1+((Inputs!$G$5:$G$140&lt;&gt;"moeda")*(Inputs!$G$5:$G$140&lt;&gt;"acoes")))*INDEX(Inputs!$K$5:$AJ$140,0,MATCH(P$2,Inputs!$K$4:$AJ$4,0)))+SUMPRODUCT((Inputs!$E$5:$E$140=$B32)*Inputs!$F$5:$F$140*(((Inputs!$G$5:$G$140="moeda")+(Inputs!$G$5:$G$140="acoes"))*Inputs!$B$1+((Inputs!$G$5:$G$140&lt;&gt;"moeda")*(Inputs!$G$5:$G$140&lt;&gt;"acoes")))*INDEX(Inputs!$K$5:$AJ$140,0,MATCH(P$2,Inputs!$K$4:$AJ$4,0)))))</f>
        <v>134.94</v>
      </c>
      <c r="Q32" s="6">
        <f>IF(ISNA(MATCH(Q$2,Inputs!$K$4:$AJ$4,0)),NA(),IF(SUMPRODUCT((Inputs!$A$5:$A$140=$B32)*ISNUMBER(INDEX(Inputs!$K$5:$AJ$140,0,MATCH(Q$2,Inputs!$K$4:$AJ$4,0))))+SUMPRODUCT((Inputs!$C$5:$C$140=$B32)*ISNUMBER(INDEX(Inputs!$K$5:$AJ$140,0,MATCH(Q$2,Inputs!$K$4:$AJ$4,0))))+SUMPRODUCT((Inputs!$E$5:$E$140=$B32)*ISNUMBER(INDEX(Inputs!$K$5:$AJ$140,0,MATCH(Q$2,Inputs!$K$4:$AJ$4,0))))=0,NA(),SUMPRODUCT((Inputs!$A$5:$A$140=$B32)*Inputs!$B$5:$B$140*(((Inputs!$G$5:$G$140="moeda")+(Inputs!$G$5:$G$140="acoes"))*Inputs!$B$1+((Inputs!$G$5:$G$140&lt;&gt;"moeda")*(Inputs!$G$5:$G$140&lt;&gt;"acoes")))*INDEX(Inputs!$K$5:$AJ$140,0,MATCH(Q$2,Inputs!$K$4:$AJ$4,0)))+SUMPRODUCT((Inputs!$C$5:$C$140=$B32)*Inputs!$D$5:$D$140*(((Inputs!$G$5:$G$140="moeda")+(Inputs!$G$5:$G$140="acoes"))*Inputs!$B$1+((Inputs!$G$5:$G$140&lt;&gt;"moeda")*(Inputs!$G$5:$G$140&lt;&gt;"acoes")))*INDEX(Inputs!$K$5:$AJ$140,0,MATCH(Q$2,Inputs!$K$4:$AJ$4,0)))+SUMPRODUCT((Inputs!$E$5:$E$140=$B32)*Inputs!$F$5:$F$140*(((Inputs!$G$5:$G$140="moeda")+(Inputs!$G$5:$G$140="acoes"))*Inputs!$B$1+((Inputs!$G$5:$G$140&lt;&gt;"moeda")*(Inputs!$G$5:$G$140&lt;&gt;"acoes")))*INDEX(Inputs!$K$5:$AJ$140,0,MATCH(Q$2,Inputs!$K$4:$AJ$4,0)))))</f>
        <v>124.271</v>
      </c>
      <c r="R32" s="3">
        <f>Q32</f>
        <v>124.271</v>
      </c>
      <c r="S32" s="6">
        <f>IF(ISNA(MATCH(S$2,Inputs!$K$4:$AJ$4,0)),NA(),IF(SUMPRODUCT((Inputs!$A$5:$A$140=$B32)*ISNUMBER(INDEX(Inputs!$K$5:$AJ$140,0,MATCH(S$2,Inputs!$K$4:$AJ$4,0))))+SUMPRODUCT((Inputs!$C$5:$C$140=$B32)*ISNUMBER(INDEX(Inputs!$K$5:$AJ$140,0,MATCH(S$2,Inputs!$K$4:$AJ$4,0))))+SUMPRODUCT((Inputs!$E$5:$E$140=$B32)*ISNUMBER(INDEX(Inputs!$K$5:$AJ$140,0,MATCH(S$2,Inputs!$K$4:$AJ$4,0))))=0,NA(),SUMPRODUCT((Inputs!$A$5:$A$140=$B32)*Inputs!$B$5:$B$140*(((Inputs!$G$5:$G$140="moeda")+(Inputs!$G$5:$G$140="acoes"))*Inputs!$B$1+((Inputs!$G$5:$G$140&lt;&gt;"moeda")*(Inputs!$G$5:$G$140&lt;&gt;"acoes")))*INDEX(Inputs!$K$5:$AJ$140,0,MATCH(S$2,Inputs!$K$4:$AJ$4,0)))+SUMPRODUCT((Inputs!$C$5:$C$140=$B32)*Inputs!$D$5:$D$140*(((Inputs!$G$5:$G$140="moeda")+(Inputs!$G$5:$G$140="acoes"))*Inputs!$B$1+((Inputs!$G$5:$G$140&lt;&gt;"moeda")*(Inputs!$G$5:$G$140&lt;&gt;"acoes")))*INDEX(Inputs!$K$5:$AJ$140,0,MATCH(S$2,Inputs!$K$4:$AJ$4,0)))+SUMPRODUCT((Inputs!$E$5:$E$140=$B32)*Inputs!$F$5:$F$140*(((Inputs!$G$5:$G$140="moeda")+(Inputs!$G$5:$G$140="acoes"))*Inputs!$B$1+((Inputs!$G$5:$G$140&lt;&gt;"moeda")*(Inputs!$G$5:$G$140&lt;&gt;"acoes")))*INDEX(Inputs!$K$5:$AJ$140,0,MATCH(S$2,Inputs!$K$4:$AJ$4,0)))))</f>
        <v>121.622</v>
      </c>
      <c r="T32" s="6">
        <f>IF(ISNA(MATCH(T$2,Inputs!$K$4:$AJ$4,0)),NA(),IF(SUMPRODUCT((Inputs!$A$5:$A$140=$B32)*ISNUMBER(INDEX(Inputs!$K$5:$AJ$140,0,MATCH(T$2,Inputs!$K$4:$AJ$4,0))))+SUMPRODUCT((Inputs!$C$5:$C$140=$B32)*ISNUMBER(INDEX(Inputs!$K$5:$AJ$140,0,MATCH(T$2,Inputs!$K$4:$AJ$4,0))))+SUMPRODUCT((Inputs!$E$5:$E$140=$B32)*ISNUMBER(INDEX(Inputs!$K$5:$AJ$140,0,MATCH(T$2,Inputs!$K$4:$AJ$4,0))))=0,NA(),SUMPRODUCT((Inputs!$A$5:$A$140=$B32)*Inputs!$B$5:$B$140*(((Inputs!$G$5:$G$140="moeda")+(Inputs!$G$5:$G$140="acoes"))*Inputs!$B$1+((Inputs!$G$5:$G$140&lt;&gt;"moeda")*(Inputs!$G$5:$G$140&lt;&gt;"acoes")))*INDEX(Inputs!$K$5:$AJ$140,0,MATCH(T$2,Inputs!$K$4:$AJ$4,0)))+SUMPRODUCT((Inputs!$C$5:$C$140=$B32)*Inputs!$D$5:$D$140*(((Inputs!$G$5:$G$140="moeda")+(Inputs!$G$5:$G$140="acoes"))*Inputs!$B$1+((Inputs!$G$5:$G$140&lt;&gt;"moeda")*(Inputs!$G$5:$G$140&lt;&gt;"acoes")))*INDEX(Inputs!$K$5:$AJ$140,0,MATCH(T$2,Inputs!$K$4:$AJ$4,0)))+SUMPRODUCT((Inputs!$E$5:$E$140=$B32)*Inputs!$F$5:$F$140*(((Inputs!$G$5:$G$140="moeda")+(Inputs!$G$5:$G$140="acoes"))*Inputs!$B$1+((Inputs!$G$5:$G$140&lt;&gt;"moeda")*(Inputs!$G$5:$G$140&lt;&gt;"acoes")))*INDEX(Inputs!$K$5:$AJ$140,0,MATCH(T$2,Inputs!$K$4:$AJ$4,0)))))</f>
        <v>120.03</v>
      </c>
      <c r="U32" s="6">
        <f>IF(ISNA(MATCH(U$2,Inputs!$K$4:$AJ$4,0)),NA(),IF(SUMPRODUCT((Inputs!$A$5:$A$140=$B32)*ISNUMBER(INDEX(Inputs!$K$5:$AJ$140,0,MATCH(U$2,Inputs!$K$4:$AJ$4,0))))+SUMPRODUCT((Inputs!$C$5:$C$140=$B32)*ISNUMBER(INDEX(Inputs!$K$5:$AJ$140,0,MATCH(U$2,Inputs!$K$4:$AJ$4,0))))+SUMPRODUCT((Inputs!$E$5:$E$140=$B32)*ISNUMBER(INDEX(Inputs!$K$5:$AJ$140,0,MATCH(U$2,Inputs!$K$4:$AJ$4,0))))=0,NA(),SUMPRODUCT((Inputs!$A$5:$A$140=$B32)*Inputs!$B$5:$B$140*(((Inputs!$G$5:$G$140="moeda")+(Inputs!$G$5:$G$140="acoes"))*Inputs!$B$1+((Inputs!$G$5:$G$140&lt;&gt;"moeda")*(Inputs!$G$5:$G$140&lt;&gt;"acoes")))*INDEX(Inputs!$K$5:$AJ$140,0,MATCH(U$2,Inputs!$K$4:$AJ$4,0)))+SUMPRODUCT((Inputs!$C$5:$C$140=$B32)*Inputs!$D$5:$D$140*(((Inputs!$G$5:$G$140="moeda")+(Inputs!$G$5:$G$140="acoes"))*Inputs!$B$1+((Inputs!$G$5:$G$140&lt;&gt;"moeda")*(Inputs!$G$5:$G$140&lt;&gt;"acoes")))*INDEX(Inputs!$K$5:$AJ$140,0,MATCH(U$2,Inputs!$K$4:$AJ$4,0)))+SUMPRODUCT((Inputs!$E$5:$E$140=$B32)*Inputs!$F$5:$F$140*(((Inputs!$G$5:$G$140="moeda")+(Inputs!$G$5:$G$140="acoes"))*Inputs!$B$1+((Inputs!$G$5:$G$140&lt;&gt;"moeda")*(Inputs!$G$5:$G$140&lt;&gt;"acoes")))*INDEX(Inputs!$K$5:$AJ$140,0,MATCH(U$2,Inputs!$K$4:$AJ$4,0)))))</f>
        <v>141.5</v>
      </c>
      <c r="V32" s="6">
        <f>IF(ISNA(MATCH(V$2,Inputs!$K$4:$AJ$4,0)),NA(),IF(SUMPRODUCT((Inputs!$A$5:$A$140=$B32)*ISNUMBER(INDEX(Inputs!$K$5:$AJ$140,0,MATCH(V$2,Inputs!$K$4:$AJ$4,0))))+SUMPRODUCT((Inputs!$C$5:$C$140=$B32)*ISNUMBER(INDEX(Inputs!$K$5:$AJ$140,0,MATCH(V$2,Inputs!$K$4:$AJ$4,0))))+SUMPRODUCT((Inputs!$E$5:$E$140=$B32)*ISNUMBER(INDEX(Inputs!$K$5:$AJ$140,0,MATCH(V$2,Inputs!$K$4:$AJ$4,0))))=0,NA(),SUMPRODUCT((Inputs!$A$5:$A$140=$B32)*Inputs!$B$5:$B$140*(((Inputs!$G$5:$G$140="moeda")+(Inputs!$G$5:$G$140="acoes"))*Inputs!$B$1+((Inputs!$G$5:$G$140&lt;&gt;"moeda")*(Inputs!$G$5:$G$140&lt;&gt;"acoes")))*INDEX(Inputs!$K$5:$AJ$140,0,MATCH(V$2,Inputs!$K$4:$AJ$4,0)))+SUMPRODUCT((Inputs!$C$5:$C$140=$B32)*Inputs!$D$5:$D$140*(((Inputs!$G$5:$G$140="moeda")+(Inputs!$G$5:$G$140="acoes"))*Inputs!$B$1+((Inputs!$G$5:$G$140&lt;&gt;"moeda")*(Inputs!$G$5:$G$140&lt;&gt;"acoes")))*INDEX(Inputs!$K$5:$AJ$140,0,MATCH(V$2,Inputs!$K$4:$AJ$4,0)))+SUMPRODUCT((Inputs!$E$5:$E$140=$B32)*Inputs!$F$5:$F$140*(((Inputs!$G$5:$G$140="moeda")+(Inputs!$G$5:$G$140="acoes"))*Inputs!$B$1+((Inputs!$G$5:$G$140&lt;&gt;"moeda")*(Inputs!$G$5:$G$140&lt;&gt;"acoes")))*INDEX(Inputs!$K$5:$AJ$140,0,MATCH(V$2,Inputs!$K$4:$AJ$4,0)))))</f>
        <v>208.869</v>
      </c>
      <c r="W32" s="3">
        <f>V32</f>
        <v>208.869</v>
      </c>
      <c r="X32" s="6">
        <f>IF(ISNA(MATCH(X$2,Inputs!$K$4:$AJ$4,0)),NA(),IF(SUMPRODUCT((Inputs!$A$5:$A$140=$B32)*ISNUMBER(INDEX(Inputs!$K$5:$AJ$140,0,MATCH(X$2,Inputs!$K$4:$AJ$4,0))))+SUMPRODUCT((Inputs!$C$5:$C$140=$B32)*ISNUMBER(INDEX(Inputs!$K$5:$AJ$140,0,MATCH(X$2,Inputs!$K$4:$AJ$4,0))))+SUMPRODUCT((Inputs!$E$5:$E$140=$B32)*ISNUMBER(INDEX(Inputs!$K$5:$AJ$140,0,MATCH(X$2,Inputs!$K$4:$AJ$4,0))))=0,NA(),SUMPRODUCT((Inputs!$A$5:$A$140=$B32)*Inputs!$B$5:$B$140*(((Inputs!$G$5:$G$140="moeda")+(Inputs!$G$5:$G$140="acoes"))*Inputs!$B$1+((Inputs!$G$5:$G$140&lt;&gt;"moeda")*(Inputs!$G$5:$G$140&lt;&gt;"acoes")))*INDEX(Inputs!$K$5:$AJ$140,0,MATCH(X$2,Inputs!$K$4:$AJ$4,0)))+SUMPRODUCT((Inputs!$C$5:$C$140=$B32)*Inputs!$D$5:$D$140*(((Inputs!$G$5:$G$140="moeda")+(Inputs!$G$5:$G$140="acoes"))*Inputs!$B$1+((Inputs!$G$5:$G$140&lt;&gt;"moeda")*(Inputs!$G$5:$G$140&lt;&gt;"acoes")))*INDEX(Inputs!$K$5:$AJ$140,0,MATCH(X$2,Inputs!$K$4:$AJ$4,0)))+SUMPRODUCT((Inputs!$E$5:$E$140=$B32)*Inputs!$F$5:$F$140*(((Inputs!$G$5:$G$140="moeda")+(Inputs!$G$5:$G$140="acoes"))*Inputs!$B$1+((Inputs!$G$5:$G$140&lt;&gt;"moeda")*(Inputs!$G$5:$G$140&lt;&gt;"acoes")))*INDEX(Inputs!$K$5:$AJ$140,0,MATCH(X$2,Inputs!$K$4:$AJ$4,0)))))</f>
        <v>132.078</v>
      </c>
      <c r="Y32" s="6">
        <f>IF(ISNA(MATCH(Y$2,Inputs!$K$4:$AJ$4,0)),NA(),IF(SUMPRODUCT((Inputs!$A$5:$A$140=$B32)*ISNUMBER(INDEX(Inputs!$K$5:$AJ$140,0,MATCH(Y$2,Inputs!$K$4:$AJ$4,0))))+SUMPRODUCT((Inputs!$C$5:$C$140=$B32)*ISNUMBER(INDEX(Inputs!$K$5:$AJ$140,0,MATCH(Y$2,Inputs!$K$4:$AJ$4,0))))+SUMPRODUCT((Inputs!$E$5:$E$140=$B32)*ISNUMBER(INDEX(Inputs!$K$5:$AJ$140,0,MATCH(Y$2,Inputs!$K$4:$AJ$4,0))))=0,NA(),SUMPRODUCT((Inputs!$A$5:$A$140=$B32)*Inputs!$B$5:$B$140*(((Inputs!$G$5:$G$140="moeda")+(Inputs!$G$5:$G$140="acoes"))*Inputs!$B$1+((Inputs!$G$5:$G$140&lt;&gt;"moeda")*(Inputs!$G$5:$G$140&lt;&gt;"acoes")))*INDEX(Inputs!$K$5:$AJ$140,0,MATCH(Y$2,Inputs!$K$4:$AJ$4,0)))+SUMPRODUCT((Inputs!$C$5:$C$140=$B32)*Inputs!$D$5:$D$140*(((Inputs!$G$5:$G$140="moeda")+(Inputs!$G$5:$G$140="acoes"))*Inputs!$B$1+((Inputs!$G$5:$G$140&lt;&gt;"moeda")*(Inputs!$G$5:$G$140&lt;&gt;"acoes")))*INDEX(Inputs!$K$5:$AJ$140,0,MATCH(Y$2,Inputs!$K$4:$AJ$4,0)))+SUMPRODUCT((Inputs!$E$5:$E$140=$B32)*Inputs!$F$5:$F$140*(((Inputs!$G$5:$G$140="moeda")+(Inputs!$G$5:$G$140="acoes"))*Inputs!$B$1+((Inputs!$G$5:$G$140&lt;&gt;"moeda")*(Inputs!$G$5:$G$140&lt;&gt;"acoes")))*INDEX(Inputs!$K$5:$AJ$140,0,MATCH(Y$2,Inputs!$K$4:$AJ$4,0)))))</f>
        <v>156.104</v>
      </c>
      <c r="Z32" s="6">
        <f>IF(ISNA(MATCH(Z$2,Inputs!$K$4:$AJ$4,0)),NA(),IF(SUMPRODUCT((Inputs!$A$5:$A$140=$B32)*ISNUMBER(INDEX(Inputs!$K$5:$AJ$140,0,MATCH(Z$2,Inputs!$K$4:$AJ$4,0))))+SUMPRODUCT((Inputs!$C$5:$C$140=$B32)*ISNUMBER(INDEX(Inputs!$K$5:$AJ$140,0,MATCH(Z$2,Inputs!$K$4:$AJ$4,0))))+SUMPRODUCT((Inputs!$E$5:$E$140=$B32)*ISNUMBER(INDEX(Inputs!$K$5:$AJ$140,0,MATCH(Z$2,Inputs!$K$4:$AJ$4,0))))=0,NA(),SUMPRODUCT((Inputs!$A$5:$A$140=$B32)*Inputs!$B$5:$B$140*(((Inputs!$G$5:$G$140="moeda")+(Inputs!$G$5:$G$140="acoes"))*Inputs!$B$1+((Inputs!$G$5:$G$140&lt;&gt;"moeda")*(Inputs!$G$5:$G$140&lt;&gt;"acoes")))*INDEX(Inputs!$K$5:$AJ$140,0,MATCH(Z$2,Inputs!$K$4:$AJ$4,0)))+SUMPRODUCT((Inputs!$C$5:$C$140=$B32)*Inputs!$D$5:$D$140*(((Inputs!$G$5:$G$140="moeda")+(Inputs!$G$5:$G$140="acoes"))*Inputs!$B$1+((Inputs!$G$5:$G$140&lt;&gt;"moeda")*(Inputs!$G$5:$G$140&lt;&gt;"acoes")))*INDEX(Inputs!$K$5:$AJ$140,0,MATCH(Z$2,Inputs!$K$4:$AJ$4,0)))+SUMPRODUCT((Inputs!$E$5:$E$140=$B32)*Inputs!$F$5:$F$140*(((Inputs!$G$5:$G$140="moeda")+(Inputs!$G$5:$G$140="acoes"))*Inputs!$B$1+((Inputs!$G$5:$G$140&lt;&gt;"moeda")*(Inputs!$G$5:$G$140&lt;&gt;"acoes")))*INDEX(Inputs!$K$5:$AJ$140,0,MATCH(Z$2,Inputs!$K$4:$AJ$4,0)))))</f>
        <v>150.698</v>
      </c>
      <c r="AA32" s="6">
        <f>IF(ISNA(MATCH(AA$2,Inputs!$K$4:$AJ$4,0)),NA(),IF(SUMPRODUCT((Inputs!$A$5:$A$140=$B32)*ISNUMBER(INDEX(Inputs!$K$5:$AJ$140,0,MATCH(AA$2,Inputs!$K$4:$AJ$4,0))))+SUMPRODUCT((Inputs!$C$5:$C$140=$B32)*ISNUMBER(INDEX(Inputs!$K$5:$AJ$140,0,MATCH(AA$2,Inputs!$K$4:$AJ$4,0))))+SUMPRODUCT((Inputs!$E$5:$E$140=$B32)*ISNUMBER(INDEX(Inputs!$K$5:$AJ$140,0,MATCH(AA$2,Inputs!$K$4:$AJ$4,0))))=0,NA(),SUMPRODUCT((Inputs!$A$5:$A$140=$B32)*Inputs!$B$5:$B$140*(((Inputs!$G$5:$G$140="moeda")+(Inputs!$G$5:$G$140="acoes"))*Inputs!$B$1+((Inputs!$G$5:$G$140&lt;&gt;"moeda")*(Inputs!$G$5:$G$140&lt;&gt;"acoes")))*INDEX(Inputs!$K$5:$AJ$140,0,MATCH(AA$2,Inputs!$K$4:$AJ$4,0)))+SUMPRODUCT((Inputs!$C$5:$C$140=$B32)*Inputs!$D$5:$D$140*(((Inputs!$G$5:$G$140="moeda")+(Inputs!$G$5:$G$140="acoes"))*Inputs!$B$1+((Inputs!$G$5:$G$140&lt;&gt;"moeda")*(Inputs!$G$5:$G$140&lt;&gt;"acoes")))*INDEX(Inputs!$K$5:$AJ$140,0,MATCH(AA$2,Inputs!$K$4:$AJ$4,0)))+SUMPRODUCT((Inputs!$E$5:$E$140=$B32)*Inputs!$F$5:$F$140*(((Inputs!$G$5:$G$140="moeda")+(Inputs!$G$5:$G$140="acoes"))*Inputs!$B$1+((Inputs!$G$5:$G$140&lt;&gt;"moeda")*(Inputs!$G$5:$G$140&lt;&gt;"acoes")))*INDEX(Inputs!$K$5:$AJ$140,0,MATCH(AA$2,Inputs!$K$4:$AJ$4,0)))))</f>
        <v>299.859</v>
      </c>
      <c r="AB32" s="3">
        <f>AA32</f>
        <v>299.859</v>
      </c>
      <c r="AC32" s="6">
        <f>IF(ISNA(MATCH(AC$2,Inputs!$K$4:$AJ$4,0)),NA(),IF(SUMPRODUCT((Inputs!$A$5:$A$140=$B32)*ISNUMBER(INDEX(Inputs!$K$5:$AJ$140,0,MATCH(AC$2,Inputs!$K$4:$AJ$4,0))))+SUMPRODUCT((Inputs!$C$5:$C$140=$B32)*ISNUMBER(INDEX(Inputs!$K$5:$AJ$140,0,MATCH(AC$2,Inputs!$K$4:$AJ$4,0))))+SUMPRODUCT((Inputs!$E$5:$E$140=$B32)*ISNUMBER(INDEX(Inputs!$K$5:$AJ$140,0,MATCH(AC$2,Inputs!$K$4:$AJ$4,0))))=0,NA(),SUMPRODUCT((Inputs!$A$5:$A$140=$B32)*Inputs!$B$5:$B$140*(((Inputs!$G$5:$G$140="moeda")+(Inputs!$G$5:$G$140="acoes"))*Inputs!$B$1+((Inputs!$G$5:$G$140&lt;&gt;"moeda")*(Inputs!$G$5:$G$140&lt;&gt;"acoes")))*INDEX(Inputs!$K$5:$AJ$140,0,MATCH(AC$2,Inputs!$K$4:$AJ$4,0)))+SUMPRODUCT((Inputs!$C$5:$C$140=$B32)*Inputs!$D$5:$D$140*(((Inputs!$G$5:$G$140="moeda")+(Inputs!$G$5:$G$140="acoes"))*Inputs!$B$1+((Inputs!$G$5:$G$140&lt;&gt;"moeda")*(Inputs!$G$5:$G$140&lt;&gt;"acoes")))*INDEX(Inputs!$K$5:$AJ$140,0,MATCH(AC$2,Inputs!$K$4:$AJ$4,0)))+SUMPRODUCT((Inputs!$E$5:$E$140=$B32)*Inputs!$F$5:$F$140*(((Inputs!$G$5:$G$140="moeda")+(Inputs!$G$5:$G$140="acoes"))*Inputs!$B$1+((Inputs!$G$5:$G$140&lt;&gt;"moeda")*(Inputs!$G$5:$G$140&lt;&gt;"acoes")))*INDEX(Inputs!$K$5:$AJ$140,0,MATCH(AC$2,Inputs!$K$4:$AJ$4,0)))))</f>
        <v>175.806</v>
      </c>
      <c r="AD32" s="6">
        <f>IF(ISNA(MATCH(AD$2,Inputs!$K$4:$AJ$4,0)),NA(),IF(SUMPRODUCT((Inputs!$A$5:$A$140=$B32)*ISNUMBER(INDEX(Inputs!$K$5:$AJ$140,0,MATCH(AD$2,Inputs!$K$4:$AJ$4,0))))+SUMPRODUCT((Inputs!$C$5:$C$140=$B32)*ISNUMBER(INDEX(Inputs!$K$5:$AJ$140,0,MATCH(AD$2,Inputs!$K$4:$AJ$4,0))))+SUMPRODUCT((Inputs!$E$5:$E$140=$B32)*ISNUMBER(INDEX(Inputs!$K$5:$AJ$140,0,MATCH(AD$2,Inputs!$K$4:$AJ$4,0))))=0,NA(),SUMPRODUCT((Inputs!$A$5:$A$140=$B32)*Inputs!$B$5:$B$140*(((Inputs!$G$5:$G$140="moeda")+(Inputs!$G$5:$G$140="acoes"))*Inputs!$B$1+((Inputs!$G$5:$G$140&lt;&gt;"moeda")*(Inputs!$G$5:$G$140&lt;&gt;"acoes")))*INDEX(Inputs!$K$5:$AJ$140,0,MATCH(AD$2,Inputs!$K$4:$AJ$4,0)))+SUMPRODUCT((Inputs!$C$5:$C$140=$B32)*Inputs!$D$5:$D$140*(((Inputs!$G$5:$G$140="moeda")+(Inputs!$G$5:$G$140="acoes"))*Inputs!$B$1+((Inputs!$G$5:$G$140&lt;&gt;"moeda")*(Inputs!$G$5:$G$140&lt;&gt;"acoes")))*INDEX(Inputs!$K$5:$AJ$140,0,MATCH(AD$2,Inputs!$K$4:$AJ$4,0)))+SUMPRODUCT((Inputs!$E$5:$E$140=$B32)*Inputs!$F$5:$F$140*(((Inputs!$G$5:$G$140="moeda")+(Inputs!$G$5:$G$140="acoes"))*Inputs!$B$1+((Inputs!$G$5:$G$140&lt;&gt;"moeda")*(Inputs!$G$5:$G$140&lt;&gt;"acoes")))*INDEX(Inputs!$K$5:$AJ$140,0,MATCH(AD$2,Inputs!$K$4:$AJ$4,0)))))</f>
        <v>178.913</v>
      </c>
      <c r="AE32" s="6" t="e">
        <f>IF(ISNA(MATCH(AE$2,Inputs!$K$4:$AJ$4,0)),NA(),IF(SUMPRODUCT((Inputs!$A$5:$A$140=$B32)*ISNUMBER(INDEX(Inputs!$K$5:$AJ$140,0,MATCH(AE$2,Inputs!$K$4:$AJ$4,0))))+SUMPRODUCT((Inputs!$C$5:$C$140=$B32)*ISNUMBER(INDEX(Inputs!$K$5:$AJ$140,0,MATCH(AE$2,Inputs!$K$4:$AJ$4,0))))+SUMPRODUCT((Inputs!$E$5:$E$140=$B32)*ISNUMBER(INDEX(Inputs!$K$5:$AJ$140,0,MATCH(AE$2,Inputs!$K$4:$AJ$4,0))))=0,NA(),SUMPRODUCT((Inputs!$A$5:$A$140=$B32)*Inputs!$B$5:$B$140*(((Inputs!$G$5:$G$140="moeda")+(Inputs!$G$5:$G$140="acoes"))*Inputs!$B$1+((Inputs!$G$5:$G$140&lt;&gt;"moeda")*(Inputs!$G$5:$G$140&lt;&gt;"acoes")))*INDEX(Inputs!$K$5:$AJ$140,0,MATCH(AE$2,Inputs!$K$4:$AJ$4,0)))+SUMPRODUCT((Inputs!$C$5:$C$140=$B32)*Inputs!$D$5:$D$140*(((Inputs!$G$5:$G$140="moeda")+(Inputs!$G$5:$G$140="acoes"))*Inputs!$B$1+((Inputs!$G$5:$G$140&lt;&gt;"moeda")*(Inputs!$G$5:$G$140&lt;&gt;"acoes")))*INDEX(Inputs!$K$5:$AJ$140,0,MATCH(AE$2,Inputs!$K$4:$AJ$4,0)))+SUMPRODUCT((Inputs!$E$5:$E$140=$B32)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2" s="6" t="e">
        <f>IF(ISNA(MATCH(AF$2,Inputs!$K$4:$AJ$4,0)),NA(),IF(SUMPRODUCT((Inputs!$A$5:$A$140=$B32)*ISNUMBER(INDEX(Inputs!$K$5:$AJ$140,0,MATCH(AF$2,Inputs!$K$4:$AJ$4,0))))+SUMPRODUCT((Inputs!$C$5:$C$140=$B32)*ISNUMBER(INDEX(Inputs!$K$5:$AJ$140,0,MATCH(AF$2,Inputs!$K$4:$AJ$4,0))))+SUMPRODUCT((Inputs!$E$5:$E$140=$B32)*ISNUMBER(INDEX(Inputs!$K$5:$AJ$140,0,MATCH(AF$2,Inputs!$K$4:$AJ$4,0))))=0,NA(),SUMPRODUCT((Inputs!$A$5:$A$140=$B32)*Inputs!$B$5:$B$140*(((Inputs!$G$5:$G$140="moeda")+(Inputs!$G$5:$G$140="acoes"))*Inputs!$B$1+((Inputs!$G$5:$G$140&lt;&gt;"moeda")*(Inputs!$G$5:$G$140&lt;&gt;"acoes")))*INDEX(Inputs!$K$5:$AJ$140,0,MATCH(AF$2,Inputs!$K$4:$AJ$4,0)))+SUMPRODUCT((Inputs!$C$5:$C$140=$B32)*Inputs!$D$5:$D$140*(((Inputs!$G$5:$G$140="moeda")+(Inputs!$G$5:$G$140="acoes"))*Inputs!$B$1+((Inputs!$G$5:$G$140&lt;&gt;"moeda")*(Inputs!$G$5:$G$140&lt;&gt;"acoes")))*INDEX(Inputs!$K$5:$AJ$140,0,MATCH(AF$2,Inputs!$K$4:$AJ$4,0)))+SUMPRODUCT((Inputs!$E$5:$E$140=$B32)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2" s="3" t="e">
        <f>AF32</f>
        <v>#N/A</v>
      </c>
      <c r="AH32" s="6">
        <f>IF(ISNA(MATCH(AH$2,Inputs!$K$4:$AJ$4,0)),NA(),IF(SUMPRODUCT((Inputs!$A$5:$A$140=$B32)*ISNUMBER(INDEX(Inputs!$K$5:$AJ$140,0,MATCH(AH$2,Inputs!$K$4:$AJ$4,0))))+SUMPRODUCT((Inputs!$C$5:$C$140=$B32)*ISNUMBER(INDEX(Inputs!$K$5:$AJ$140,0,MATCH(AH$2,Inputs!$K$4:$AJ$4,0))))+SUMPRODUCT((Inputs!$E$5:$E$140=$B32)*ISNUMBER(INDEX(Inputs!$K$5:$AJ$140,0,MATCH(AH$2,Inputs!$K$4:$AJ$4,0))))=0,NA(),SUMPRODUCT((Inputs!$A$5:$A$140=$B32)*Inputs!$B$5:$B$140*(((Inputs!$G$5:$G$140="moeda")+(Inputs!$G$5:$G$140="acoes"))*Inputs!$B$1+((Inputs!$G$5:$G$140&lt;&gt;"moeda")*(Inputs!$G$5:$G$140&lt;&gt;"acoes")))*INDEX(Inputs!$K$5:$AJ$140,0,MATCH(AH$2,Inputs!$K$4:$AJ$4,0)))+SUMPRODUCT((Inputs!$C$5:$C$140=$B32)*Inputs!$D$5:$D$140*(((Inputs!$G$5:$G$140="moeda")+(Inputs!$G$5:$G$140="acoes"))*Inputs!$B$1+((Inputs!$G$5:$G$140&lt;&gt;"moeda")*(Inputs!$G$5:$G$140&lt;&gt;"acoes")))*INDEX(Inputs!$K$5:$AJ$140,0,MATCH(AH$2,Inputs!$K$4:$AJ$4,0)))+SUMPRODUCT((Inputs!$E$5:$E$140=$B32)*Inputs!$F$5:$F$140*(((Inputs!$G$5:$G$140="moeda")+(Inputs!$G$5:$G$140="acoes"))*Inputs!$B$1+((Inputs!$G$5:$G$140&lt;&gt;"moeda")*(Inputs!$G$5:$G$140&lt;&gt;"acoes")))*INDEX(Inputs!$K$5:$AJ$140,0,MATCH(AH$2,Inputs!$K$4:$AJ$4,0)))))</f>
        <v>60.662</v>
      </c>
      <c r="AI32" s="6">
        <f>IF(ISNA(MATCH(AI$2,Inputs!$K$4:$AJ$4,0)),NA(),IF(SUMPRODUCT((Inputs!$A$5:$A$140=$B32)*ISNUMBER(INDEX(Inputs!$K$5:$AJ$140,0,MATCH(AI$2,Inputs!$K$4:$AJ$4,0))))+SUMPRODUCT((Inputs!$C$5:$C$140=$B32)*ISNUMBER(INDEX(Inputs!$K$5:$AJ$140,0,MATCH(AI$2,Inputs!$K$4:$AJ$4,0))))+SUMPRODUCT((Inputs!$E$5:$E$140=$B32)*ISNUMBER(INDEX(Inputs!$K$5:$AJ$140,0,MATCH(AI$2,Inputs!$K$4:$AJ$4,0))))=0,NA(),SUMPRODUCT((Inputs!$A$5:$A$140=$B32)*Inputs!$B$5:$B$140*(((Inputs!$G$5:$G$140="moeda")+(Inputs!$G$5:$G$140="acoes"))*Inputs!$B$1+((Inputs!$G$5:$G$140&lt;&gt;"moeda")*(Inputs!$G$5:$G$140&lt;&gt;"acoes")))*INDEX(Inputs!$K$5:$AJ$140,0,MATCH(AI$2,Inputs!$K$4:$AJ$4,0)))+SUMPRODUCT((Inputs!$C$5:$C$140=$B32)*Inputs!$D$5:$D$140*(((Inputs!$G$5:$G$140="moeda")+(Inputs!$G$5:$G$140="acoes"))*Inputs!$B$1+((Inputs!$G$5:$G$140&lt;&gt;"moeda")*(Inputs!$G$5:$G$140&lt;&gt;"acoes")))*INDEX(Inputs!$K$5:$AJ$140,0,MATCH(AI$2,Inputs!$K$4:$AJ$4,0)))+SUMPRODUCT((Inputs!$E$5:$E$140=$B32)*Inputs!$F$5:$F$140*(((Inputs!$G$5:$G$140="moeda")+(Inputs!$G$5:$G$140="acoes"))*Inputs!$B$1+((Inputs!$G$5:$G$140&lt;&gt;"moeda")*(Inputs!$G$5:$G$140&lt;&gt;"acoes")))*INDEX(Inputs!$K$5:$AJ$140,0,MATCH(AI$2,Inputs!$K$4:$AJ$4,0)))))</f>
        <v>102.684</v>
      </c>
      <c r="AJ32" s="6">
        <f>IF(ISNA(MATCH(AJ$2,Inputs!$K$4:$AJ$4,0)),NA(),IF(SUMPRODUCT((Inputs!$A$5:$A$140=$B32)*ISNUMBER(INDEX(Inputs!$K$5:$AJ$140,0,MATCH(AJ$2,Inputs!$K$4:$AJ$4,0))))+SUMPRODUCT((Inputs!$C$5:$C$140=$B32)*ISNUMBER(INDEX(Inputs!$K$5:$AJ$140,0,MATCH(AJ$2,Inputs!$K$4:$AJ$4,0))))+SUMPRODUCT((Inputs!$E$5:$E$140=$B32)*ISNUMBER(INDEX(Inputs!$K$5:$AJ$140,0,MATCH(AJ$2,Inputs!$K$4:$AJ$4,0))))=0,NA(),SUMPRODUCT((Inputs!$A$5:$A$140=$B32)*Inputs!$B$5:$B$140*(((Inputs!$G$5:$G$140="moeda")+(Inputs!$G$5:$G$140="acoes"))*Inputs!$B$1+((Inputs!$G$5:$G$140&lt;&gt;"moeda")*(Inputs!$G$5:$G$140&lt;&gt;"acoes")))*INDEX(Inputs!$K$5:$AJ$140,0,MATCH(AJ$2,Inputs!$K$4:$AJ$4,0)))+SUMPRODUCT((Inputs!$C$5:$C$140=$B32)*Inputs!$D$5:$D$140*(((Inputs!$G$5:$G$140="moeda")+(Inputs!$G$5:$G$140="acoes"))*Inputs!$B$1+((Inputs!$G$5:$G$140&lt;&gt;"moeda")*(Inputs!$G$5:$G$140&lt;&gt;"acoes")))*INDEX(Inputs!$K$5:$AJ$140,0,MATCH(AJ$2,Inputs!$K$4:$AJ$4,0)))+SUMPRODUCT((Inputs!$E$5:$E$140=$B32)*Inputs!$F$5:$F$140*(((Inputs!$G$5:$G$140="moeda")+(Inputs!$G$5:$G$140="acoes"))*Inputs!$B$1+((Inputs!$G$5:$G$140&lt;&gt;"moeda")*(Inputs!$G$5:$G$140&lt;&gt;"acoes")))*INDEX(Inputs!$K$5:$AJ$140,0,MATCH(AJ$2,Inputs!$K$4:$AJ$4,0)))))</f>
        <v>93.603</v>
      </c>
      <c r="AK32" s="6">
        <f>IF(ISNA(MATCH(AK$2,Inputs!$K$4:$AJ$4,0)),NA(),IF(SUMPRODUCT((Inputs!$A$5:$A$140=$B32)*ISNUMBER(INDEX(Inputs!$K$5:$AJ$140,0,MATCH(AK$2,Inputs!$K$4:$AJ$4,0))))+SUMPRODUCT((Inputs!$C$5:$C$140=$B32)*ISNUMBER(INDEX(Inputs!$K$5:$AJ$140,0,MATCH(AK$2,Inputs!$K$4:$AJ$4,0))))+SUMPRODUCT((Inputs!$E$5:$E$140=$B32)*ISNUMBER(INDEX(Inputs!$K$5:$AJ$140,0,MATCH(AK$2,Inputs!$K$4:$AJ$4,0))))=0,NA(),SUMPRODUCT((Inputs!$A$5:$A$140=$B32)*Inputs!$B$5:$B$140*(((Inputs!$G$5:$G$140="moeda")+(Inputs!$G$5:$G$140="acoes"))*Inputs!$B$1+((Inputs!$G$5:$G$140&lt;&gt;"moeda")*(Inputs!$G$5:$G$140&lt;&gt;"acoes")))*INDEX(Inputs!$K$5:$AJ$140,0,MATCH(AK$2,Inputs!$K$4:$AJ$4,0)))+SUMPRODUCT((Inputs!$C$5:$C$140=$B32)*Inputs!$D$5:$D$140*(((Inputs!$G$5:$G$140="moeda")+(Inputs!$G$5:$G$140="acoes"))*Inputs!$B$1+((Inputs!$G$5:$G$140&lt;&gt;"moeda")*(Inputs!$G$5:$G$140&lt;&gt;"acoes")))*INDEX(Inputs!$K$5:$AJ$140,0,MATCH(AK$2,Inputs!$K$4:$AJ$4,0)))+SUMPRODUCT((Inputs!$E$5:$E$140=$B32)*Inputs!$F$5:$F$140*(((Inputs!$G$5:$G$140="moeda")+(Inputs!$G$5:$G$140="acoes"))*Inputs!$B$1+((Inputs!$G$5:$G$140&lt;&gt;"moeda")*(Inputs!$G$5:$G$140&lt;&gt;"acoes")))*INDEX(Inputs!$K$5:$AJ$140,0,MATCH(AK$2,Inputs!$K$4:$AJ$4,0)))))</f>
        <v>91.704</v>
      </c>
      <c r="AL32" s="3">
        <f>AK32</f>
        <v>91.704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$140=$B33)*ISNUMBER(INDEX(Inputs!$K$5:$AJ$140,0,MATCH(D$2,Inputs!$K$4:$AJ$4,0))))+SUMPRODUCT((Inputs!$C$5:$C$140=$B33)*ISNUMBER(INDEX(Inputs!$K$5:$AJ$140,0,MATCH(D$2,Inputs!$K$4:$AJ$4,0))))+SUMPRODUCT((Inputs!$E$5:$E$140=$B33)*ISNUMBER(INDEX(Inputs!$K$5:$AJ$140,0,MATCH(D$2,Inputs!$K$4:$AJ$4,0))))=0,NA(),SUMPRODUCT((Inputs!$A$5:$A$140=$B33)*Inputs!$B$5:$B$140*(((Inputs!$G$5:$G$140="moeda")+(Inputs!$G$5:$G$140="acoes"))*Inputs!$B$1+((Inputs!$G$5:$G$140&lt;&gt;"moeda")*(Inputs!$G$5:$G$140&lt;&gt;"acoes")))*INDEX(Inputs!$K$5:$AJ$140,0,MATCH(D$2,Inputs!$K$4:$AJ$4,0)))+SUMPRODUCT((Inputs!$C$5:$C$140=$B33)*Inputs!$D$5:$D$140*(((Inputs!$G$5:$G$140="moeda")+(Inputs!$G$5:$G$140="acoes"))*Inputs!$B$1+((Inputs!$G$5:$G$140&lt;&gt;"moeda")*(Inputs!$G$5:$G$140&lt;&gt;"acoes")))*INDEX(Inputs!$K$5:$AJ$140,0,MATCH(D$2,Inputs!$K$4:$AJ$4,0)))+SUMPRODUCT((Inputs!$E$5:$E$140=$B33)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3" s="6" t="e">
        <f>IF(ISNA(MATCH(E$2,Inputs!$K$4:$AJ$4,0)),NA(),IF(SUMPRODUCT((Inputs!$A$5:$A$140=$B33)*ISNUMBER(INDEX(Inputs!$K$5:$AJ$140,0,MATCH(E$2,Inputs!$K$4:$AJ$4,0))))+SUMPRODUCT((Inputs!$C$5:$C$140=$B33)*ISNUMBER(INDEX(Inputs!$K$5:$AJ$140,0,MATCH(E$2,Inputs!$K$4:$AJ$4,0))))+SUMPRODUCT((Inputs!$E$5:$E$140=$B33)*ISNUMBER(INDEX(Inputs!$K$5:$AJ$140,0,MATCH(E$2,Inputs!$K$4:$AJ$4,0))))=0,NA(),SUMPRODUCT((Inputs!$A$5:$A$140=$B33)*Inputs!$B$5:$B$140*(((Inputs!$G$5:$G$140="moeda")+(Inputs!$G$5:$G$140="acoes"))*Inputs!$B$1+((Inputs!$G$5:$G$140&lt;&gt;"moeda")*(Inputs!$G$5:$G$140&lt;&gt;"acoes")))*INDEX(Inputs!$K$5:$AJ$140,0,MATCH(E$2,Inputs!$K$4:$AJ$4,0)))+SUMPRODUCT((Inputs!$C$5:$C$140=$B33)*Inputs!$D$5:$D$140*(((Inputs!$G$5:$G$140="moeda")+(Inputs!$G$5:$G$140="acoes"))*Inputs!$B$1+((Inputs!$G$5:$G$140&lt;&gt;"moeda")*(Inputs!$G$5:$G$140&lt;&gt;"acoes")))*INDEX(Inputs!$K$5:$AJ$140,0,MATCH(E$2,Inputs!$K$4:$AJ$4,0)))+SUMPRODUCT((Inputs!$E$5:$E$140=$B33)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3" s="6" t="e">
        <f>IF(ISNA(MATCH(F$2,Inputs!$K$4:$AJ$4,0)),NA(),IF(SUMPRODUCT((Inputs!$A$5:$A$140=$B33)*ISNUMBER(INDEX(Inputs!$K$5:$AJ$140,0,MATCH(F$2,Inputs!$K$4:$AJ$4,0))))+SUMPRODUCT((Inputs!$C$5:$C$140=$B33)*ISNUMBER(INDEX(Inputs!$K$5:$AJ$140,0,MATCH(F$2,Inputs!$K$4:$AJ$4,0))))+SUMPRODUCT((Inputs!$E$5:$E$140=$B33)*ISNUMBER(INDEX(Inputs!$K$5:$AJ$140,0,MATCH(F$2,Inputs!$K$4:$AJ$4,0))))=0,NA(),SUMPRODUCT((Inputs!$A$5:$A$140=$B33)*Inputs!$B$5:$B$140*(((Inputs!$G$5:$G$140="moeda")+(Inputs!$G$5:$G$140="acoes"))*Inputs!$B$1+((Inputs!$G$5:$G$140&lt;&gt;"moeda")*(Inputs!$G$5:$G$140&lt;&gt;"acoes")))*INDEX(Inputs!$K$5:$AJ$140,0,MATCH(F$2,Inputs!$K$4:$AJ$4,0)))+SUMPRODUCT((Inputs!$C$5:$C$140=$B33)*Inputs!$D$5:$D$140*(((Inputs!$G$5:$G$140="moeda")+(Inputs!$G$5:$G$140="acoes"))*Inputs!$B$1+((Inputs!$G$5:$G$140&lt;&gt;"moeda")*(Inputs!$G$5:$G$140&lt;&gt;"acoes")))*INDEX(Inputs!$K$5:$AJ$140,0,MATCH(F$2,Inputs!$K$4:$AJ$4,0)))+SUMPRODUCT((Inputs!$E$5:$E$140=$B33)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3" s="6" t="e">
        <f>IF(ISNA(MATCH(G$2,Inputs!$K$4:$AJ$4,0)),NA(),IF(SUMPRODUCT((Inputs!$A$5:$A$140=$B33)*ISNUMBER(INDEX(Inputs!$K$5:$AJ$140,0,MATCH(G$2,Inputs!$K$4:$AJ$4,0))))+SUMPRODUCT((Inputs!$C$5:$C$140=$B33)*ISNUMBER(INDEX(Inputs!$K$5:$AJ$140,0,MATCH(G$2,Inputs!$K$4:$AJ$4,0))))+SUMPRODUCT((Inputs!$E$5:$E$140=$B33)*ISNUMBER(INDEX(Inputs!$K$5:$AJ$140,0,MATCH(G$2,Inputs!$K$4:$AJ$4,0))))=0,NA(),SUMPRODUCT((Inputs!$A$5:$A$140=$B33)*Inputs!$B$5:$B$140*(((Inputs!$G$5:$G$140="moeda")+(Inputs!$G$5:$G$140="acoes"))*Inputs!$B$1+((Inputs!$G$5:$G$140&lt;&gt;"moeda")*(Inputs!$G$5:$G$140&lt;&gt;"acoes")))*INDEX(Inputs!$K$5:$AJ$140,0,MATCH(G$2,Inputs!$K$4:$AJ$4,0)))+SUMPRODUCT((Inputs!$C$5:$C$140=$B33)*Inputs!$D$5:$D$140*(((Inputs!$G$5:$G$140="moeda")+(Inputs!$G$5:$G$140="acoes"))*Inputs!$B$1+((Inputs!$G$5:$G$140&lt;&gt;"moeda")*(Inputs!$G$5:$G$140&lt;&gt;"acoes")))*INDEX(Inputs!$K$5:$AJ$140,0,MATCH(G$2,Inputs!$K$4:$AJ$4,0)))+SUMPRODUCT((Inputs!$E$5:$E$140=$B33)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3" s="3" t="e">
        <f>G33</f>
        <v>#N/A</v>
      </c>
      <c r="I33" s="6" t="e">
        <f>IF(ISNA(MATCH(I$2,Inputs!$K$4:$AJ$4,0)),NA(),IF(SUMPRODUCT((Inputs!$A$5:$A$140=$B33)*ISNUMBER(INDEX(Inputs!$K$5:$AJ$140,0,MATCH(I$2,Inputs!$K$4:$AJ$4,0))))+SUMPRODUCT((Inputs!$C$5:$C$140=$B33)*ISNUMBER(INDEX(Inputs!$K$5:$AJ$140,0,MATCH(I$2,Inputs!$K$4:$AJ$4,0))))+SUMPRODUCT((Inputs!$E$5:$E$140=$B33)*ISNUMBER(INDEX(Inputs!$K$5:$AJ$140,0,MATCH(I$2,Inputs!$K$4:$AJ$4,0))))=0,NA(),SUMPRODUCT((Inputs!$A$5:$A$140=$B33)*Inputs!$B$5:$B$140*(((Inputs!$G$5:$G$140="moeda")+(Inputs!$G$5:$G$140="acoes"))*Inputs!$B$1+((Inputs!$G$5:$G$140&lt;&gt;"moeda")*(Inputs!$G$5:$G$140&lt;&gt;"acoes")))*INDEX(Inputs!$K$5:$AJ$140,0,MATCH(I$2,Inputs!$K$4:$AJ$4,0)))+SUMPRODUCT((Inputs!$C$5:$C$140=$B33)*Inputs!$D$5:$D$140*(((Inputs!$G$5:$G$140="moeda")+(Inputs!$G$5:$G$140="acoes"))*Inputs!$B$1+((Inputs!$G$5:$G$140&lt;&gt;"moeda")*(Inputs!$G$5:$G$140&lt;&gt;"acoes")))*INDEX(Inputs!$K$5:$AJ$140,0,MATCH(I$2,Inputs!$K$4:$AJ$4,0)))+SUMPRODUCT((Inputs!$E$5:$E$140=$B33)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3" s="6" t="e">
        <f>IF(ISNA(MATCH(J$2,Inputs!$K$4:$AJ$4,0)),NA(),IF(SUMPRODUCT((Inputs!$A$5:$A$140=$B33)*ISNUMBER(INDEX(Inputs!$K$5:$AJ$140,0,MATCH(J$2,Inputs!$K$4:$AJ$4,0))))+SUMPRODUCT((Inputs!$C$5:$C$140=$B33)*ISNUMBER(INDEX(Inputs!$K$5:$AJ$140,0,MATCH(J$2,Inputs!$K$4:$AJ$4,0))))+SUMPRODUCT((Inputs!$E$5:$E$140=$B33)*ISNUMBER(INDEX(Inputs!$K$5:$AJ$140,0,MATCH(J$2,Inputs!$K$4:$AJ$4,0))))=0,NA(),SUMPRODUCT((Inputs!$A$5:$A$140=$B33)*Inputs!$B$5:$B$140*(((Inputs!$G$5:$G$140="moeda")+(Inputs!$G$5:$G$140="acoes"))*Inputs!$B$1+((Inputs!$G$5:$G$140&lt;&gt;"moeda")*(Inputs!$G$5:$G$140&lt;&gt;"acoes")))*INDEX(Inputs!$K$5:$AJ$140,0,MATCH(J$2,Inputs!$K$4:$AJ$4,0)))+SUMPRODUCT((Inputs!$C$5:$C$140=$B33)*Inputs!$D$5:$D$140*(((Inputs!$G$5:$G$140="moeda")+(Inputs!$G$5:$G$140="acoes"))*Inputs!$B$1+((Inputs!$G$5:$G$140&lt;&gt;"moeda")*(Inputs!$G$5:$G$140&lt;&gt;"acoes")))*INDEX(Inputs!$K$5:$AJ$140,0,MATCH(J$2,Inputs!$K$4:$AJ$4,0)))+SUMPRODUCT((Inputs!$E$5:$E$140=$B33)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3" s="6" t="e">
        <f>IF(ISNA(MATCH(K$2,Inputs!$K$4:$AJ$4,0)),NA(),IF(SUMPRODUCT((Inputs!$A$5:$A$140=$B33)*ISNUMBER(INDEX(Inputs!$K$5:$AJ$140,0,MATCH(K$2,Inputs!$K$4:$AJ$4,0))))+SUMPRODUCT((Inputs!$C$5:$C$140=$B33)*ISNUMBER(INDEX(Inputs!$K$5:$AJ$140,0,MATCH(K$2,Inputs!$K$4:$AJ$4,0))))+SUMPRODUCT((Inputs!$E$5:$E$140=$B33)*ISNUMBER(INDEX(Inputs!$K$5:$AJ$140,0,MATCH(K$2,Inputs!$K$4:$AJ$4,0))))=0,NA(),SUMPRODUCT((Inputs!$A$5:$A$140=$B33)*Inputs!$B$5:$B$140*(((Inputs!$G$5:$G$140="moeda")+(Inputs!$G$5:$G$140="acoes"))*Inputs!$B$1+((Inputs!$G$5:$G$140&lt;&gt;"moeda")*(Inputs!$G$5:$G$140&lt;&gt;"acoes")))*INDEX(Inputs!$K$5:$AJ$140,0,MATCH(K$2,Inputs!$K$4:$AJ$4,0)))+SUMPRODUCT((Inputs!$C$5:$C$140=$B33)*Inputs!$D$5:$D$140*(((Inputs!$G$5:$G$140="moeda")+(Inputs!$G$5:$G$140="acoes"))*Inputs!$B$1+((Inputs!$G$5:$G$140&lt;&gt;"moeda")*(Inputs!$G$5:$G$140&lt;&gt;"acoes")))*INDEX(Inputs!$K$5:$AJ$140,0,MATCH(K$2,Inputs!$K$4:$AJ$4,0)))+SUMPRODUCT((Inputs!$E$5:$E$140=$B33)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3" s="6" t="e">
        <f>IF(ISNA(MATCH(L$2,Inputs!$K$4:$AJ$4,0)),NA(),IF(SUMPRODUCT((Inputs!$A$5:$A$140=$B33)*ISNUMBER(INDEX(Inputs!$K$5:$AJ$140,0,MATCH(L$2,Inputs!$K$4:$AJ$4,0))))+SUMPRODUCT((Inputs!$C$5:$C$140=$B33)*ISNUMBER(INDEX(Inputs!$K$5:$AJ$140,0,MATCH(L$2,Inputs!$K$4:$AJ$4,0))))+SUMPRODUCT((Inputs!$E$5:$E$140=$B33)*ISNUMBER(INDEX(Inputs!$K$5:$AJ$140,0,MATCH(L$2,Inputs!$K$4:$AJ$4,0))))=0,NA(),SUMPRODUCT((Inputs!$A$5:$A$140=$B33)*Inputs!$B$5:$B$140*(((Inputs!$G$5:$G$140="moeda")+(Inputs!$G$5:$G$140="acoes"))*Inputs!$B$1+((Inputs!$G$5:$G$140&lt;&gt;"moeda")*(Inputs!$G$5:$G$140&lt;&gt;"acoes")))*INDEX(Inputs!$K$5:$AJ$140,0,MATCH(L$2,Inputs!$K$4:$AJ$4,0)))+SUMPRODUCT((Inputs!$C$5:$C$140=$B33)*Inputs!$D$5:$D$140*(((Inputs!$G$5:$G$140="moeda")+(Inputs!$G$5:$G$140="acoes"))*Inputs!$B$1+((Inputs!$G$5:$G$140&lt;&gt;"moeda")*(Inputs!$G$5:$G$140&lt;&gt;"acoes")))*INDEX(Inputs!$K$5:$AJ$140,0,MATCH(L$2,Inputs!$K$4:$AJ$4,0)))+SUMPRODUCT((Inputs!$E$5:$E$140=$B33)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3" s="3" t="e">
        <f>L33</f>
        <v>#N/A</v>
      </c>
      <c r="N33" s="6" t="e">
        <f>IF(ISNA(MATCH(N$2,Inputs!$K$4:$AJ$4,0)),NA(),IF(SUMPRODUCT((Inputs!$A$5:$A$140=$B33)*ISNUMBER(INDEX(Inputs!$K$5:$AJ$140,0,MATCH(N$2,Inputs!$K$4:$AJ$4,0))))+SUMPRODUCT((Inputs!$C$5:$C$140=$B33)*ISNUMBER(INDEX(Inputs!$K$5:$AJ$140,0,MATCH(N$2,Inputs!$K$4:$AJ$4,0))))+SUMPRODUCT((Inputs!$E$5:$E$140=$B33)*ISNUMBER(INDEX(Inputs!$K$5:$AJ$140,0,MATCH(N$2,Inputs!$K$4:$AJ$4,0))))=0,NA(),SUMPRODUCT((Inputs!$A$5:$A$140=$B33)*Inputs!$B$5:$B$140*(((Inputs!$G$5:$G$140="moeda")+(Inputs!$G$5:$G$140="acoes"))*Inputs!$B$1+((Inputs!$G$5:$G$140&lt;&gt;"moeda")*(Inputs!$G$5:$G$140&lt;&gt;"acoes")))*INDEX(Inputs!$K$5:$AJ$140,0,MATCH(N$2,Inputs!$K$4:$AJ$4,0)))+SUMPRODUCT((Inputs!$C$5:$C$140=$B33)*Inputs!$D$5:$D$140*(((Inputs!$G$5:$G$140="moeda")+(Inputs!$G$5:$G$140="acoes"))*Inputs!$B$1+((Inputs!$G$5:$G$140&lt;&gt;"moeda")*(Inputs!$G$5:$G$140&lt;&gt;"acoes")))*INDEX(Inputs!$K$5:$AJ$140,0,MATCH(N$2,Inputs!$K$4:$AJ$4,0)))+SUMPRODUCT((Inputs!$E$5:$E$140=$B33)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3" s="6" t="e">
        <f>IF(ISNA(MATCH(O$2,Inputs!$K$4:$AJ$4,0)),NA(),IF(SUMPRODUCT((Inputs!$A$5:$A$140=$B33)*ISNUMBER(INDEX(Inputs!$K$5:$AJ$140,0,MATCH(O$2,Inputs!$K$4:$AJ$4,0))))+SUMPRODUCT((Inputs!$C$5:$C$140=$B33)*ISNUMBER(INDEX(Inputs!$K$5:$AJ$140,0,MATCH(O$2,Inputs!$K$4:$AJ$4,0))))+SUMPRODUCT((Inputs!$E$5:$E$140=$B33)*ISNUMBER(INDEX(Inputs!$K$5:$AJ$140,0,MATCH(O$2,Inputs!$K$4:$AJ$4,0))))=0,NA(),SUMPRODUCT((Inputs!$A$5:$A$140=$B33)*Inputs!$B$5:$B$140*(((Inputs!$G$5:$G$140="moeda")+(Inputs!$G$5:$G$140="acoes"))*Inputs!$B$1+((Inputs!$G$5:$G$140&lt;&gt;"moeda")*(Inputs!$G$5:$G$140&lt;&gt;"acoes")))*INDEX(Inputs!$K$5:$AJ$140,0,MATCH(O$2,Inputs!$K$4:$AJ$4,0)))+SUMPRODUCT((Inputs!$C$5:$C$140=$B33)*Inputs!$D$5:$D$140*(((Inputs!$G$5:$G$140="moeda")+(Inputs!$G$5:$G$140="acoes"))*Inputs!$B$1+((Inputs!$G$5:$G$140&lt;&gt;"moeda")*(Inputs!$G$5:$G$140&lt;&gt;"acoes")))*INDEX(Inputs!$K$5:$AJ$140,0,MATCH(O$2,Inputs!$K$4:$AJ$4,0)))+SUMPRODUCT((Inputs!$E$5:$E$140=$B33)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3" s="6" t="e">
        <f>IF(ISNA(MATCH(P$2,Inputs!$K$4:$AJ$4,0)),NA(),IF(SUMPRODUCT((Inputs!$A$5:$A$140=$B33)*ISNUMBER(INDEX(Inputs!$K$5:$AJ$140,0,MATCH(P$2,Inputs!$K$4:$AJ$4,0))))+SUMPRODUCT((Inputs!$C$5:$C$140=$B33)*ISNUMBER(INDEX(Inputs!$K$5:$AJ$140,0,MATCH(P$2,Inputs!$K$4:$AJ$4,0))))+SUMPRODUCT((Inputs!$E$5:$E$140=$B33)*ISNUMBER(INDEX(Inputs!$K$5:$AJ$140,0,MATCH(P$2,Inputs!$K$4:$AJ$4,0))))=0,NA(),SUMPRODUCT((Inputs!$A$5:$A$140=$B33)*Inputs!$B$5:$B$140*(((Inputs!$G$5:$G$140="moeda")+(Inputs!$G$5:$G$140="acoes"))*Inputs!$B$1+((Inputs!$G$5:$G$140&lt;&gt;"moeda")*(Inputs!$G$5:$G$140&lt;&gt;"acoes")))*INDEX(Inputs!$K$5:$AJ$140,0,MATCH(P$2,Inputs!$K$4:$AJ$4,0)))+SUMPRODUCT((Inputs!$C$5:$C$140=$B33)*Inputs!$D$5:$D$140*(((Inputs!$G$5:$G$140="moeda")+(Inputs!$G$5:$G$140="acoes"))*Inputs!$B$1+((Inputs!$G$5:$G$140&lt;&gt;"moeda")*(Inputs!$G$5:$G$140&lt;&gt;"acoes")))*INDEX(Inputs!$K$5:$AJ$140,0,MATCH(P$2,Inputs!$K$4:$AJ$4,0)))+SUMPRODUCT((Inputs!$E$5:$E$140=$B33)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3" s="6" t="e">
        <f>IF(ISNA(MATCH(Q$2,Inputs!$K$4:$AJ$4,0)),NA(),IF(SUMPRODUCT((Inputs!$A$5:$A$140=$B33)*ISNUMBER(INDEX(Inputs!$K$5:$AJ$140,0,MATCH(Q$2,Inputs!$K$4:$AJ$4,0))))+SUMPRODUCT((Inputs!$C$5:$C$140=$B33)*ISNUMBER(INDEX(Inputs!$K$5:$AJ$140,0,MATCH(Q$2,Inputs!$K$4:$AJ$4,0))))+SUMPRODUCT((Inputs!$E$5:$E$140=$B33)*ISNUMBER(INDEX(Inputs!$K$5:$AJ$140,0,MATCH(Q$2,Inputs!$K$4:$AJ$4,0))))=0,NA(),SUMPRODUCT((Inputs!$A$5:$A$140=$B33)*Inputs!$B$5:$B$140*(((Inputs!$G$5:$G$140="moeda")+(Inputs!$G$5:$G$140="acoes"))*Inputs!$B$1+((Inputs!$G$5:$G$140&lt;&gt;"moeda")*(Inputs!$G$5:$G$140&lt;&gt;"acoes")))*INDEX(Inputs!$K$5:$AJ$140,0,MATCH(Q$2,Inputs!$K$4:$AJ$4,0)))+SUMPRODUCT((Inputs!$C$5:$C$140=$B33)*Inputs!$D$5:$D$140*(((Inputs!$G$5:$G$140="moeda")+(Inputs!$G$5:$G$140="acoes"))*Inputs!$B$1+((Inputs!$G$5:$G$140&lt;&gt;"moeda")*(Inputs!$G$5:$G$140&lt;&gt;"acoes")))*INDEX(Inputs!$K$5:$AJ$140,0,MATCH(Q$2,Inputs!$K$4:$AJ$4,0)))+SUMPRODUCT((Inputs!$E$5:$E$140=$B33)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3" s="3" t="e">
        <f>Q33</f>
        <v>#N/A</v>
      </c>
      <c r="S33" s="6" t="e">
        <f>IF(ISNA(MATCH(S$2,Inputs!$K$4:$AJ$4,0)),NA(),IF(SUMPRODUCT((Inputs!$A$5:$A$140=$B33)*ISNUMBER(INDEX(Inputs!$K$5:$AJ$140,0,MATCH(S$2,Inputs!$K$4:$AJ$4,0))))+SUMPRODUCT((Inputs!$C$5:$C$140=$B33)*ISNUMBER(INDEX(Inputs!$K$5:$AJ$140,0,MATCH(S$2,Inputs!$K$4:$AJ$4,0))))+SUMPRODUCT((Inputs!$E$5:$E$140=$B33)*ISNUMBER(INDEX(Inputs!$K$5:$AJ$140,0,MATCH(S$2,Inputs!$K$4:$AJ$4,0))))=0,NA(),SUMPRODUCT((Inputs!$A$5:$A$140=$B33)*Inputs!$B$5:$B$140*(((Inputs!$G$5:$G$140="moeda")+(Inputs!$G$5:$G$140="acoes"))*Inputs!$B$1+((Inputs!$G$5:$G$140&lt;&gt;"moeda")*(Inputs!$G$5:$G$140&lt;&gt;"acoes")))*INDEX(Inputs!$K$5:$AJ$140,0,MATCH(S$2,Inputs!$K$4:$AJ$4,0)))+SUMPRODUCT((Inputs!$C$5:$C$140=$B33)*Inputs!$D$5:$D$140*(((Inputs!$G$5:$G$140="moeda")+(Inputs!$G$5:$G$140="acoes"))*Inputs!$B$1+((Inputs!$G$5:$G$140&lt;&gt;"moeda")*(Inputs!$G$5:$G$140&lt;&gt;"acoes")))*INDEX(Inputs!$K$5:$AJ$140,0,MATCH(S$2,Inputs!$K$4:$AJ$4,0)))+SUMPRODUCT((Inputs!$E$5:$E$140=$B33)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3" s="6" t="e">
        <f>IF(ISNA(MATCH(T$2,Inputs!$K$4:$AJ$4,0)),NA(),IF(SUMPRODUCT((Inputs!$A$5:$A$140=$B33)*ISNUMBER(INDEX(Inputs!$K$5:$AJ$140,0,MATCH(T$2,Inputs!$K$4:$AJ$4,0))))+SUMPRODUCT((Inputs!$C$5:$C$140=$B33)*ISNUMBER(INDEX(Inputs!$K$5:$AJ$140,0,MATCH(T$2,Inputs!$K$4:$AJ$4,0))))+SUMPRODUCT((Inputs!$E$5:$E$140=$B33)*ISNUMBER(INDEX(Inputs!$K$5:$AJ$140,0,MATCH(T$2,Inputs!$K$4:$AJ$4,0))))=0,NA(),SUMPRODUCT((Inputs!$A$5:$A$140=$B33)*Inputs!$B$5:$B$140*(((Inputs!$G$5:$G$140="moeda")+(Inputs!$G$5:$G$140="acoes"))*Inputs!$B$1+((Inputs!$G$5:$G$140&lt;&gt;"moeda")*(Inputs!$G$5:$G$140&lt;&gt;"acoes")))*INDEX(Inputs!$K$5:$AJ$140,0,MATCH(T$2,Inputs!$K$4:$AJ$4,0)))+SUMPRODUCT((Inputs!$C$5:$C$140=$B33)*Inputs!$D$5:$D$140*(((Inputs!$G$5:$G$140="moeda")+(Inputs!$G$5:$G$140="acoes"))*Inputs!$B$1+((Inputs!$G$5:$G$140&lt;&gt;"moeda")*(Inputs!$G$5:$G$140&lt;&gt;"acoes")))*INDEX(Inputs!$K$5:$AJ$140,0,MATCH(T$2,Inputs!$K$4:$AJ$4,0)))+SUMPRODUCT((Inputs!$E$5:$E$140=$B33)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3" s="6" t="e">
        <f>IF(ISNA(MATCH(U$2,Inputs!$K$4:$AJ$4,0)),NA(),IF(SUMPRODUCT((Inputs!$A$5:$A$140=$B33)*ISNUMBER(INDEX(Inputs!$K$5:$AJ$140,0,MATCH(U$2,Inputs!$K$4:$AJ$4,0))))+SUMPRODUCT((Inputs!$C$5:$C$140=$B33)*ISNUMBER(INDEX(Inputs!$K$5:$AJ$140,0,MATCH(U$2,Inputs!$K$4:$AJ$4,0))))+SUMPRODUCT((Inputs!$E$5:$E$140=$B33)*ISNUMBER(INDEX(Inputs!$K$5:$AJ$140,0,MATCH(U$2,Inputs!$K$4:$AJ$4,0))))=0,NA(),SUMPRODUCT((Inputs!$A$5:$A$140=$B33)*Inputs!$B$5:$B$140*(((Inputs!$G$5:$G$140="moeda")+(Inputs!$G$5:$G$140="acoes"))*Inputs!$B$1+((Inputs!$G$5:$G$140&lt;&gt;"moeda")*(Inputs!$G$5:$G$140&lt;&gt;"acoes")))*INDEX(Inputs!$K$5:$AJ$140,0,MATCH(U$2,Inputs!$K$4:$AJ$4,0)))+SUMPRODUCT((Inputs!$C$5:$C$140=$B33)*Inputs!$D$5:$D$140*(((Inputs!$G$5:$G$140="moeda")+(Inputs!$G$5:$G$140="acoes"))*Inputs!$B$1+((Inputs!$G$5:$G$140&lt;&gt;"moeda")*(Inputs!$G$5:$G$140&lt;&gt;"acoes")))*INDEX(Inputs!$K$5:$AJ$140,0,MATCH(U$2,Inputs!$K$4:$AJ$4,0)))+SUMPRODUCT((Inputs!$E$5:$E$140=$B33)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3" s="6" t="e">
        <f>IF(ISNA(MATCH(V$2,Inputs!$K$4:$AJ$4,0)),NA(),IF(SUMPRODUCT((Inputs!$A$5:$A$140=$B33)*ISNUMBER(INDEX(Inputs!$K$5:$AJ$140,0,MATCH(V$2,Inputs!$K$4:$AJ$4,0))))+SUMPRODUCT((Inputs!$C$5:$C$140=$B33)*ISNUMBER(INDEX(Inputs!$K$5:$AJ$140,0,MATCH(V$2,Inputs!$K$4:$AJ$4,0))))+SUMPRODUCT((Inputs!$E$5:$E$140=$B33)*ISNUMBER(INDEX(Inputs!$K$5:$AJ$140,0,MATCH(V$2,Inputs!$K$4:$AJ$4,0))))=0,NA(),SUMPRODUCT((Inputs!$A$5:$A$140=$B33)*Inputs!$B$5:$B$140*(((Inputs!$G$5:$G$140="moeda")+(Inputs!$G$5:$G$140="acoes"))*Inputs!$B$1+((Inputs!$G$5:$G$140&lt;&gt;"moeda")*(Inputs!$G$5:$G$140&lt;&gt;"acoes")))*INDEX(Inputs!$K$5:$AJ$140,0,MATCH(V$2,Inputs!$K$4:$AJ$4,0)))+SUMPRODUCT((Inputs!$C$5:$C$140=$B33)*Inputs!$D$5:$D$140*(((Inputs!$G$5:$G$140="moeda")+(Inputs!$G$5:$G$140="acoes"))*Inputs!$B$1+((Inputs!$G$5:$G$140&lt;&gt;"moeda")*(Inputs!$G$5:$G$140&lt;&gt;"acoes")))*INDEX(Inputs!$K$5:$AJ$140,0,MATCH(V$2,Inputs!$K$4:$AJ$4,0)))+SUMPRODUCT((Inputs!$E$5:$E$140=$B33)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3" s="3" t="e">
        <f>V33</f>
        <v>#N/A</v>
      </c>
      <c r="X33" s="6" t="e">
        <f>IF(ISNA(MATCH(X$2,Inputs!$K$4:$AJ$4,0)),NA(),IF(SUMPRODUCT((Inputs!$A$5:$A$140=$B33)*ISNUMBER(INDEX(Inputs!$K$5:$AJ$140,0,MATCH(X$2,Inputs!$K$4:$AJ$4,0))))+SUMPRODUCT((Inputs!$C$5:$C$140=$B33)*ISNUMBER(INDEX(Inputs!$K$5:$AJ$140,0,MATCH(X$2,Inputs!$K$4:$AJ$4,0))))+SUMPRODUCT((Inputs!$E$5:$E$140=$B33)*ISNUMBER(INDEX(Inputs!$K$5:$AJ$140,0,MATCH(X$2,Inputs!$K$4:$AJ$4,0))))=0,NA(),SUMPRODUCT((Inputs!$A$5:$A$140=$B33)*Inputs!$B$5:$B$140*(((Inputs!$G$5:$G$140="moeda")+(Inputs!$G$5:$G$140="acoes"))*Inputs!$B$1+((Inputs!$G$5:$G$140&lt;&gt;"moeda")*(Inputs!$G$5:$G$140&lt;&gt;"acoes")))*INDEX(Inputs!$K$5:$AJ$140,0,MATCH(X$2,Inputs!$K$4:$AJ$4,0)))+SUMPRODUCT((Inputs!$C$5:$C$140=$B33)*Inputs!$D$5:$D$140*(((Inputs!$G$5:$G$140="moeda")+(Inputs!$G$5:$G$140="acoes"))*Inputs!$B$1+((Inputs!$G$5:$G$140&lt;&gt;"moeda")*(Inputs!$G$5:$G$140&lt;&gt;"acoes")))*INDEX(Inputs!$K$5:$AJ$140,0,MATCH(X$2,Inputs!$K$4:$AJ$4,0)))+SUMPRODUCT((Inputs!$E$5:$E$140=$B33)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3" s="6" t="e">
        <f>IF(ISNA(MATCH(Y$2,Inputs!$K$4:$AJ$4,0)),NA(),IF(SUMPRODUCT((Inputs!$A$5:$A$140=$B33)*ISNUMBER(INDEX(Inputs!$K$5:$AJ$140,0,MATCH(Y$2,Inputs!$K$4:$AJ$4,0))))+SUMPRODUCT((Inputs!$C$5:$C$140=$B33)*ISNUMBER(INDEX(Inputs!$K$5:$AJ$140,0,MATCH(Y$2,Inputs!$K$4:$AJ$4,0))))+SUMPRODUCT((Inputs!$E$5:$E$140=$B33)*ISNUMBER(INDEX(Inputs!$K$5:$AJ$140,0,MATCH(Y$2,Inputs!$K$4:$AJ$4,0))))=0,NA(),SUMPRODUCT((Inputs!$A$5:$A$140=$B33)*Inputs!$B$5:$B$140*(((Inputs!$G$5:$G$140="moeda")+(Inputs!$G$5:$G$140="acoes"))*Inputs!$B$1+((Inputs!$G$5:$G$140&lt;&gt;"moeda")*(Inputs!$G$5:$G$140&lt;&gt;"acoes")))*INDEX(Inputs!$K$5:$AJ$140,0,MATCH(Y$2,Inputs!$K$4:$AJ$4,0)))+SUMPRODUCT((Inputs!$C$5:$C$140=$B33)*Inputs!$D$5:$D$140*(((Inputs!$G$5:$G$140="moeda")+(Inputs!$G$5:$G$140="acoes"))*Inputs!$B$1+((Inputs!$G$5:$G$140&lt;&gt;"moeda")*(Inputs!$G$5:$G$140&lt;&gt;"acoes")))*INDEX(Inputs!$K$5:$AJ$140,0,MATCH(Y$2,Inputs!$K$4:$AJ$4,0)))+SUMPRODUCT((Inputs!$E$5:$E$140=$B33)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3" s="6" t="e">
        <f>IF(ISNA(MATCH(Z$2,Inputs!$K$4:$AJ$4,0)),NA(),IF(SUMPRODUCT((Inputs!$A$5:$A$140=$B33)*ISNUMBER(INDEX(Inputs!$K$5:$AJ$140,0,MATCH(Z$2,Inputs!$K$4:$AJ$4,0))))+SUMPRODUCT((Inputs!$C$5:$C$140=$B33)*ISNUMBER(INDEX(Inputs!$K$5:$AJ$140,0,MATCH(Z$2,Inputs!$K$4:$AJ$4,0))))+SUMPRODUCT((Inputs!$E$5:$E$140=$B33)*ISNUMBER(INDEX(Inputs!$K$5:$AJ$140,0,MATCH(Z$2,Inputs!$K$4:$AJ$4,0))))=0,NA(),SUMPRODUCT((Inputs!$A$5:$A$140=$B33)*Inputs!$B$5:$B$140*(((Inputs!$G$5:$G$140="moeda")+(Inputs!$G$5:$G$140="acoes"))*Inputs!$B$1+((Inputs!$G$5:$G$140&lt;&gt;"moeda")*(Inputs!$G$5:$G$140&lt;&gt;"acoes")))*INDEX(Inputs!$K$5:$AJ$140,0,MATCH(Z$2,Inputs!$K$4:$AJ$4,0)))+SUMPRODUCT((Inputs!$C$5:$C$140=$B33)*Inputs!$D$5:$D$140*(((Inputs!$G$5:$G$140="moeda")+(Inputs!$G$5:$G$140="acoes"))*Inputs!$B$1+((Inputs!$G$5:$G$140&lt;&gt;"moeda")*(Inputs!$G$5:$G$140&lt;&gt;"acoes")))*INDEX(Inputs!$K$5:$AJ$140,0,MATCH(Z$2,Inputs!$K$4:$AJ$4,0)))+SUMPRODUCT((Inputs!$E$5:$E$140=$B33)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3" s="6" t="e">
        <f>IF(ISNA(MATCH(AA$2,Inputs!$K$4:$AJ$4,0)),NA(),IF(SUMPRODUCT((Inputs!$A$5:$A$140=$B33)*ISNUMBER(INDEX(Inputs!$K$5:$AJ$140,0,MATCH(AA$2,Inputs!$K$4:$AJ$4,0))))+SUMPRODUCT((Inputs!$C$5:$C$140=$B33)*ISNUMBER(INDEX(Inputs!$K$5:$AJ$140,0,MATCH(AA$2,Inputs!$K$4:$AJ$4,0))))+SUMPRODUCT((Inputs!$E$5:$E$140=$B33)*ISNUMBER(INDEX(Inputs!$K$5:$AJ$140,0,MATCH(AA$2,Inputs!$K$4:$AJ$4,0))))=0,NA(),SUMPRODUCT((Inputs!$A$5:$A$140=$B33)*Inputs!$B$5:$B$140*(((Inputs!$G$5:$G$140="moeda")+(Inputs!$G$5:$G$140="acoes"))*Inputs!$B$1+((Inputs!$G$5:$G$140&lt;&gt;"moeda")*(Inputs!$G$5:$G$140&lt;&gt;"acoes")))*INDEX(Inputs!$K$5:$AJ$140,0,MATCH(AA$2,Inputs!$K$4:$AJ$4,0)))+SUMPRODUCT((Inputs!$C$5:$C$140=$B33)*Inputs!$D$5:$D$140*(((Inputs!$G$5:$G$140="moeda")+(Inputs!$G$5:$G$140="acoes"))*Inputs!$B$1+((Inputs!$G$5:$G$140&lt;&gt;"moeda")*(Inputs!$G$5:$G$140&lt;&gt;"acoes")))*INDEX(Inputs!$K$5:$AJ$140,0,MATCH(AA$2,Inputs!$K$4:$AJ$4,0)))+SUMPRODUCT((Inputs!$E$5:$E$140=$B33)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3" s="3" t="e">
        <f>AA33</f>
        <v>#N/A</v>
      </c>
      <c r="AC33" s="6" t="e">
        <f>IF(ISNA(MATCH(AC$2,Inputs!$K$4:$AJ$4,0)),NA(),IF(SUMPRODUCT((Inputs!$A$5:$A$140=$B33)*ISNUMBER(INDEX(Inputs!$K$5:$AJ$140,0,MATCH(AC$2,Inputs!$K$4:$AJ$4,0))))+SUMPRODUCT((Inputs!$C$5:$C$140=$B33)*ISNUMBER(INDEX(Inputs!$K$5:$AJ$140,0,MATCH(AC$2,Inputs!$K$4:$AJ$4,0))))+SUMPRODUCT((Inputs!$E$5:$E$140=$B33)*ISNUMBER(INDEX(Inputs!$K$5:$AJ$140,0,MATCH(AC$2,Inputs!$K$4:$AJ$4,0))))=0,NA(),SUMPRODUCT((Inputs!$A$5:$A$140=$B33)*Inputs!$B$5:$B$140*(((Inputs!$G$5:$G$140="moeda")+(Inputs!$G$5:$G$140="acoes"))*Inputs!$B$1+((Inputs!$G$5:$G$140&lt;&gt;"moeda")*(Inputs!$G$5:$G$140&lt;&gt;"acoes")))*INDEX(Inputs!$K$5:$AJ$140,0,MATCH(AC$2,Inputs!$K$4:$AJ$4,0)))+SUMPRODUCT((Inputs!$C$5:$C$140=$B33)*Inputs!$D$5:$D$140*(((Inputs!$G$5:$G$140="moeda")+(Inputs!$G$5:$G$140="acoes"))*Inputs!$B$1+((Inputs!$G$5:$G$140&lt;&gt;"moeda")*(Inputs!$G$5:$G$140&lt;&gt;"acoes")))*INDEX(Inputs!$K$5:$AJ$140,0,MATCH(AC$2,Inputs!$K$4:$AJ$4,0)))+SUMPRODUCT((Inputs!$E$5:$E$140=$B33)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3" s="6" t="e">
        <f>IF(ISNA(MATCH(AD$2,Inputs!$K$4:$AJ$4,0)),NA(),IF(SUMPRODUCT((Inputs!$A$5:$A$140=$B33)*ISNUMBER(INDEX(Inputs!$K$5:$AJ$140,0,MATCH(AD$2,Inputs!$K$4:$AJ$4,0))))+SUMPRODUCT((Inputs!$C$5:$C$140=$B33)*ISNUMBER(INDEX(Inputs!$K$5:$AJ$140,0,MATCH(AD$2,Inputs!$K$4:$AJ$4,0))))+SUMPRODUCT((Inputs!$E$5:$E$140=$B33)*ISNUMBER(INDEX(Inputs!$K$5:$AJ$140,0,MATCH(AD$2,Inputs!$K$4:$AJ$4,0))))=0,NA(),SUMPRODUCT((Inputs!$A$5:$A$140=$B33)*Inputs!$B$5:$B$140*(((Inputs!$G$5:$G$140="moeda")+(Inputs!$G$5:$G$140="acoes"))*Inputs!$B$1+((Inputs!$G$5:$G$140&lt;&gt;"moeda")*(Inputs!$G$5:$G$140&lt;&gt;"acoes")))*INDEX(Inputs!$K$5:$AJ$140,0,MATCH(AD$2,Inputs!$K$4:$AJ$4,0)))+SUMPRODUCT((Inputs!$C$5:$C$140=$B33)*Inputs!$D$5:$D$140*(((Inputs!$G$5:$G$140="moeda")+(Inputs!$G$5:$G$140="acoes"))*Inputs!$B$1+((Inputs!$G$5:$G$140&lt;&gt;"moeda")*(Inputs!$G$5:$G$140&lt;&gt;"acoes")))*INDEX(Inputs!$K$5:$AJ$140,0,MATCH(AD$2,Inputs!$K$4:$AJ$4,0)))+SUMPRODUCT((Inputs!$E$5:$E$140=$B33)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3" s="6" t="e">
        <f>IF(ISNA(MATCH(AE$2,Inputs!$K$4:$AJ$4,0)),NA(),IF(SUMPRODUCT((Inputs!$A$5:$A$140=$B33)*ISNUMBER(INDEX(Inputs!$K$5:$AJ$140,0,MATCH(AE$2,Inputs!$K$4:$AJ$4,0))))+SUMPRODUCT((Inputs!$C$5:$C$140=$B33)*ISNUMBER(INDEX(Inputs!$K$5:$AJ$140,0,MATCH(AE$2,Inputs!$K$4:$AJ$4,0))))+SUMPRODUCT((Inputs!$E$5:$E$140=$B33)*ISNUMBER(INDEX(Inputs!$K$5:$AJ$140,0,MATCH(AE$2,Inputs!$K$4:$AJ$4,0))))=0,NA(),SUMPRODUCT((Inputs!$A$5:$A$140=$B33)*Inputs!$B$5:$B$140*(((Inputs!$G$5:$G$140="moeda")+(Inputs!$G$5:$G$140="acoes"))*Inputs!$B$1+((Inputs!$G$5:$G$140&lt;&gt;"moeda")*(Inputs!$G$5:$G$140&lt;&gt;"acoes")))*INDEX(Inputs!$K$5:$AJ$140,0,MATCH(AE$2,Inputs!$K$4:$AJ$4,0)))+SUMPRODUCT((Inputs!$C$5:$C$140=$B33)*Inputs!$D$5:$D$140*(((Inputs!$G$5:$G$140="moeda")+(Inputs!$G$5:$G$140="acoes"))*Inputs!$B$1+((Inputs!$G$5:$G$140&lt;&gt;"moeda")*(Inputs!$G$5:$G$140&lt;&gt;"acoes")))*INDEX(Inputs!$K$5:$AJ$140,0,MATCH(AE$2,Inputs!$K$4:$AJ$4,0)))+SUMPRODUCT((Inputs!$E$5:$E$140=$B33)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3" s="6" t="e">
        <f>IF(ISNA(MATCH(AF$2,Inputs!$K$4:$AJ$4,0)),NA(),IF(SUMPRODUCT((Inputs!$A$5:$A$140=$B33)*ISNUMBER(INDEX(Inputs!$K$5:$AJ$140,0,MATCH(AF$2,Inputs!$K$4:$AJ$4,0))))+SUMPRODUCT((Inputs!$C$5:$C$140=$B33)*ISNUMBER(INDEX(Inputs!$K$5:$AJ$140,0,MATCH(AF$2,Inputs!$K$4:$AJ$4,0))))+SUMPRODUCT((Inputs!$E$5:$E$140=$B33)*ISNUMBER(INDEX(Inputs!$K$5:$AJ$140,0,MATCH(AF$2,Inputs!$K$4:$AJ$4,0))))=0,NA(),SUMPRODUCT((Inputs!$A$5:$A$140=$B33)*Inputs!$B$5:$B$140*(((Inputs!$G$5:$G$140="moeda")+(Inputs!$G$5:$G$140="acoes"))*Inputs!$B$1+((Inputs!$G$5:$G$140&lt;&gt;"moeda")*(Inputs!$G$5:$G$140&lt;&gt;"acoes")))*INDEX(Inputs!$K$5:$AJ$140,0,MATCH(AF$2,Inputs!$K$4:$AJ$4,0)))+SUMPRODUCT((Inputs!$C$5:$C$140=$B33)*Inputs!$D$5:$D$140*(((Inputs!$G$5:$G$140="moeda")+(Inputs!$G$5:$G$140="acoes"))*Inputs!$B$1+((Inputs!$G$5:$G$140&lt;&gt;"moeda")*(Inputs!$G$5:$G$140&lt;&gt;"acoes")))*INDEX(Inputs!$K$5:$AJ$140,0,MATCH(AF$2,Inputs!$K$4:$AJ$4,0)))+SUMPRODUCT((Inputs!$E$5:$E$140=$B33)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3" s="3" t="e">
        <f>AF33</f>
        <v>#N/A</v>
      </c>
      <c r="AH33" s="6" t="e">
        <f>IF(ISNA(MATCH(AH$2,Inputs!$K$4:$AJ$4,0)),NA(),IF(SUMPRODUCT((Inputs!$A$5:$A$140=$B33)*ISNUMBER(INDEX(Inputs!$K$5:$AJ$140,0,MATCH(AH$2,Inputs!$K$4:$AJ$4,0))))+SUMPRODUCT((Inputs!$C$5:$C$140=$B33)*ISNUMBER(INDEX(Inputs!$K$5:$AJ$140,0,MATCH(AH$2,Inputs!$K$4:$AJ$4,0))))+SUMPRODUCT((Inputs!$E$5:$E$140=$B33)*ISNUMBER(INDEX(Inputs!$K$5:$AJ$140,0,MATCH(AH$2,Inputs!$K$4:$AJ$4,0))))=0,NA(),SUMPRODUCT((Inputs!$A$5:$A$140=$B33)*Inputs!$B$5:$B$140*(((Inputs!$G$5:$G$140="moeda")+(Inputs!$G$5:$G$140="acoes"))*Inputs!$B$1+((Inputs!$G$5:$G$140&lt;&gt;"moeda")*(Inputs!$G$5:$G$140&lt;&gt;"acoes")))*INDEX(Inputs!$K$5:$AJ$140,0,MATCH(AH$2,Inputs!$K$4:$AJ$4,0)))+SUMPRODUCT((Inputs!$C$5:$C$140=$B33)*Inputs!$D$5:$D$140*(((Inputs!$G$5:$G$140="moeda")+(Inputs!$G$5:$G$140="acoes"))*Inputs!$B$1+((Inputs!$G$5:$G$140&lt;&gt;"moeda")*(Inputs!$G$5:$G$140&lt;&gt;"acoes")))*INDEX(Inputs!$K$5:$AJ$140,0,MATCH(AH$2,Inputs!$K$4:$AJ$4,0)))+SUMPRODUCT((Inputs!$E$5:$E$140=$B33)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3" s="6" t="e">
        <f>IF(ISNA(MATCH(AI$2,Inputs!$K$4:$AJ$4,0)),NA(),IF(SUMPRODUCT((Inputs!$A$5:$A$140=$B33)*ISNUMBER(INDEX(Inputs!$K$5:$AJ$140,0,MATCH(AI$2,Inputs!$K$4:$AJ$4,0))))+SUMPRODUCT((Inputs!$C$5:$C$140=$B33)*ISNUMBER(INDEX(Inputs!$K$5:$AJ$140,0,MATCH(AI$2,Inputs!$K$4:$AJ$4,0))))+SUMPRODUCT((Inputs!$E$5:$E$140=$B33)*ISNUMBER(INDEX(Inputs!$K$5:$AJ$140,0,MATCH(AI$2,Inputs!$K$4:$AJ$4,0))))=0,NA(),SUMPRODUCT((Inputs!$A$5:$A$140=$B33)*Inputs!$B$5:$B$140*(((Inputs!$G$5:$G$140="moeda")+(Inputs!$G$5:$G$140="acoes"))*Inputs!$B$1+((Inputs!$G$5:$G$140&lt;&gt;"moeda")*(Inputs!$G$5:$G$140&lt;&gt;"acoes")))*INDEX(Inputs!$K$5:$AJ$140,0,MATCH(AI$2,Inputs!$K$4:$AJ$4,0)))+SUMPRODUCT((Inputs!$C$5:$C$140=$B33)*Inputs!$D$5:$D$140*(((Inputs!$G$5:$G$140="moeda")+(Inputs!$G$5:$G$140="acoes"))*Inputs!$B$1+((Inputs!$G$5:$G$140&lt;&gt;"moeda")*(Inputs!$G$5:$G$140&lt;&gt;"acoes")))*INDEX(Inputs!$K$5:$AJ$140,0,MATCH(AI$2,Inputs!$K$4:$AJ$4,0)))+SUMPRODUCT((Inputs!$E$5:$E$140=$B33)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3" s="6" t="e">
        <f>IF(ISNA(MATCH(AJ$2,Inputs!$K$4:$AJ$4,0)),NA(),IF(SUMPRODUCT((Inputs!$A$5:$A$140=$B33)*ISNUMBER(INDEX(Inputs!$K$5:$AJ$140,0,MATCH(AJ$2,Inputs!$K$4:$AJ$4,0))))+SUMPRODUCT((Inputs!$C$5:$C$140=$B33)*ISNUMBER(INDEX(Inputs!$K$5:$AJ$140,0,MATCH(AJ$2,Inputs!$K$4:$AJ$4,0))))+SUMPRODUCT((Inputs!$E$5:$E$140=$B33)*ISNUMBER(INDEX(Inputs!$K$5:$AJ$140,0,MATCH(AJ$2,Inputs!$K$4:$AJ$4,0))))=0,NA(),SUMPRODUCT((Inputs!$A$5:$A$140=$B33)*Inputs!$B$5:$B$140*(((Inputs!$G$5:$G$140="moeda")+(Inputs!$G$5:$G$140="acoes"))*Inputs!$B$1+((Inputs!$G$5:$G$140&lt;&gt;"moeda")*(Inputs!$G$5:$G$140&lt;&gt;"acoes")))*INDEX(Inputs!$K$5:$AJ$140,0,MATCH(AJ$2,Inputs!$K$4:$AJ$4,0)))+SUMPRODUCT((Inputs!$C$5:$C$140=$B33)*Inputs!$D$5:$D$140*(((Inputs!$G$5:$G$140="moeda")+(Inputs!$G$5:$G$140="acoes"))*Inputs!$B$1+((Inputs!$G$5:$G$140&lt;&gt;"moeda")*(Inputs!$G$5:$G$140&lt;&gt;"acoes")))*INDEX(Inputs!$K$5:$AJ$140,0,MATCH(AJ$2,Inputs!$K$4:$AJ$4,0)))+SUMPRODUCT((Inputs!$E$5:$E$140=$B33)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3" s="6" t="e">
        <f>IF(ISNA(MATCH(AK$2,Inputs!$K$4:$AJ$4,0)),NA(),IF(SUMPRODUCT((Inputs!$A$5:$A$140=$B33)*ISNUMBER(INDEX(Inputs!$K$5:$AJ$140,0,MATCH(AK$2,Inputs!$K$4:$AJ$4,0))))+SUMPRODUCT((Inputs!$C$5:$C$140=$B33)*ISNUMBER(INDEX(Inputs!$K$5:$AJ$140,0,MATCH(AK$2,Inputs!$K$4:$AJ$4,0))))+SUMPRODUCT((Inputs!$E$5:$E$140=$B33)*ISNUMBER(INDEX(Inputs!$K$5:$AJ$140,0,MATCH(AK$2,Inputs!$K$4:$AJ$4,0))))=0,NA(),SUMPRODUCT((Inputs!$A$5:$A$140=$B33)*Inputs!$B$5:$B$140*(((Inputs!$G$5:$G$140="moeda")+(Inputs!$G$5:$G$140="acoes"))*Inputs!$B$1+((Inputs!$G$5:$G$140&lt;&gt;"moeda")*(Inputs!$G$5:$G$140&lt;&gt;"acoes")))*INDEX(Inputs!$K$5:$AJ$140,0,MATCH(AK$2,Inputs!$K$4:$AJ$4,0)))+SUMPRODUCT((Inputs!$C$5:$C$140=$B33)*Inputs!$D$5:$D$140*(((Inputs!$G$5:$G$140="moeda")+(Inputs!$G$5:$G$140="acoes"))*Inputs!$B$1+((Inputs!$G$5:$G$140&lt;&gt;"moeda")*(Inputs!$G$5:$G$140&lt;&gt;"acoes")))*INDEX(Inputs!$K$5:$AJ$140,0,MATCH(AK$2,Inputs!$K$4:$AJ$4,0)))+SUMPRODUCT((Inputs!$E$5:$E$140=$B33)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 t="e">
        <f>IF(ISNA(MATCH(D$2,Inputs!$K$4:$AJ$4,0)),NA(),IF(SUMPRODUCT((Inputs!$A$5:$A$140=$B34)*ISNUMBER(INDEX(Inputs!$K$5:$AJ$140,0,MATCH(D$2,Inputs!$K$4:$AJ$4,0))))+SUMPRODUCT((Inputs!$C$5:$C$140=$B34)*ISNUMBER(INDEX(Inputs!$K$5:$AJ$140,0,MATCH(D$2,Inputs!$K$4:$AJ$4,0))))+SUMPRODUCT((Inputs!$E$5:$E$140=$B34)*ISNUMBER(INDEX(Inputs!$K$5:$AJ$140,0,MATCH(D$2,Inputs!$K$4:$AJ$4,0))))=0,NA(),SUMPRODUCT((Inputs!$A$5:$A$140=$B34)*Inputs!$B$5:$B$140*(((Inputs!$G$5:$G$140="moeda")+(Inputs!$G$5:$G$140="acoes"))*Inputs!$B$1+((Inputs!$G$5:$G$140&lt;&gt;"moeda")*(Inputs!$G$5:$G$140&lt;&gt;"acoes")))*INDEX(Inputs!$K$5:$AJ$140,0,MATCH(D$2,Inputs!$K$4:$AJ$4,0)))+SUMPRODUCT((Inputs!$C$5:$C$140=$B34)*Inputs!$D$5:$D$140*(((Inputs!$G$5:$G$140="moeda")+(Inputs!$G$5:$G$140="acoes"))*Inputs!$B$1+((Inputs!$G$5:$G$140&lt;&gt;"moeda")*(Inputs!$G$5:$G$140&lt;&gt;"acoes")))*INDEX(Inputs!$K$5:$AJ$140,0,MATCH(D$2,Inputs!$K$4:$AJ$4,0)))+SUMPRODUCT((Inputs!$E$5:$E$140=$B34)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4" s="6" t="e">
        <f>IF(ISNA(MATCH(E$2,Inputs!$K$4:$AJ$4,0)),NA(),IF(SUMPRODUCT((Inputs!$A$5:$A$140=$B34)*ISNUMBER(INDEX(Inputs!$K$5:$AJ$140,0,MATCH(E$2,Inputs!$K$4:$AJ$4,0))))+SUMPRODUCT((Inputs!$C$5:$C$140=$B34)*ISNUMBER(INDEX(Inputs!$K$5:$AJ$140,0,MATCH(E$2,Inputs!$K$4:$AJ$4,0))))+SUMPRODUCT((Inputs!$E$5:$E$140=$B34)*ISNUMBER(INDEX(Inputs!$K$5:$AJ$140,0,MATCH(E$2,Inputs!$K$4:$AJ$4,0))))=0,NA(),SUMPRODUCT((Inputs!$A$5:$A$140=$B34)*Inputs!$B$5:$B$140*(((Inputs!$G$5:$G$140="moeda")+(Inputs!$G$5:$G$140="acoes"))*Inputs!$B$1+((Inputs!$G$5:$G$140&lt;&gt;"moeda")*(Inputs!$G$5:$G$140&lt;&gt;"acoes")))*INDEX(Inputs!$K$5:$AJ$140,0,MATCH(E$2,Inputs!$K$4:$AJ$4,0)))+SUMPRODUCT((Inputs!$C$5:$C$140=$B34)*Inputs!$D$5:$D$140*(((Inputs!$G$5:$G$140="moeda")+(Inputs!$G$5:$G$140="acoes"))*Inputs!$B$1+((Inputs!$G$5:$G$140&lt;&gt;"moeda")*(Inputs!$G$5:$G$140&lt;&gt;"acoes")))*INDEX(Inputs!$K$5:$AJ$140,0,MATCH(E$2,Inputs!$K$4:$AJ$4,0)))+SUMPRODUCT((Inputs!$E$5:$E$140=$B34)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4" s="6" t="e">
        <f>IF(ISNA(MATCH(F$2,Inputs!$K$4:$AJ$4,0)),NA(),IF(SUMPRODUCT((Inputs!$A$5:$A$140=$B34)*ISNUMBER(INDEX(Inputs!$K$5:$AJ$140,0,MATCH(F$2,Inputs!$K$4:$AJ$4,0))))+SUMPRODUCT((Inputs!$C$5:$C$140=$B34)*ISNUMBER(INDEX(Inputs!$K$5:$AJ$140,0,MATCH(F$2,Inputs!$K$4:$AJ$4,0))))+SUMPRODUCT((Inputs!$E$5:$E$140=$B34)*ISNUMBER(INDEX(Inputs!$K$5:$AJ$140,0,MATCH(F$2,Inputs!$K$4:$AJ$4,0))))=0,NA(),SUMPRODUCT((Inputs!$A$5:$A$140=$B34)*Inputs!$B$5:$B$140*(((Inputs!$G$5:$G$140="moeda")+(Inputs!$G$5:$G$140="acoes"))*Inputs!$B$1+((Inputs!$G$5:$G$140&lt;&gt;"moeda")*(Inputs!$G$5:$G$140&lt;&gt;"acoes")))*INDEX(Inputs!$K$5:$AJ$140,0,MATCH(F$2,Inputs!$K$4:$AJ$4,0)))+SUMPRODUCT((Inputs!$C$5:$C$140=$B34)*Inputs!$D$5:$D$140*(((Inputs!$G$5:$G$140="moeda")+(Inputs!$G$5:$G$140="acoes"))*Inputs!$B$1+((Inputs!$G$5:$G$140&lt;&gt;"moeda")*(Inputs!$G$5:$G$140&lt;&gt;"acoes")))*INDEX(Inputs!$K$5:$AJ$140,0,MATCH(F$2,Inputs!$K$4:$AJ$4,0)))+SUMPRODUCT((Inputs!$E$5:$E$140=$B34)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4" s="6" t="e">
        <f>IF(ISNA(MATCH(G$2,Inputs!$K$4:$AJ$4,0)),NA(),IF(SUMPRODUCT((Inputs!$A$5:$A$140=$B34)*ISNUMBER(INDEX(Inputs!$K$5:$AJ$140,0,MATCH(G$2,Inputs!$K$4:$AJ$4,0))))+SUMPRODUCT((Inputs!$C$5:$C$140=$B34)*ISNUMBER(INDEX(Inputs!$K$5:$AJ$140,0,MATCH(G$2,Inputs!$K$4:$AJ$4,0))))+SUMPRODUCT((Inputs!$E$5:$E$140=$B34)*ISNUMBER(INDEX(Inputs!$K$5:$AJ$140,0,MATCH(G$2,Inputs!$K$4:$AJ$4,0))))=0,NA(),SUMPRODUCT((Inputs!$A$5:$A$140=$B34)*Inputs!$B$5:$B$140*(((Inputs!$G$5:$G$140="moeda")+(Inputs!$G$5:$G$140="acoes"))*Inputs!$B$1+((Inputs!$G$5:$G$140&lt;&gt;"moeda")*(Inputs!$G$5:$G$140&lt;&gt;"acoes")))*INDEX(Inputs!$K$5:$AJ$140,0,MATCH(G$2,Inputs!$K$4:$AJ$4,0)))+SUMPRODUCT((Inputs!$C$5:$C$140=$B34)*Inputs!$D$5:$D$140*(((Inputs!$G$5:$G$140="moeda")+(Inputs!$G$5:$G$140="acoes"))*Inputs!$B$1+((Inputs!$G$5:$G$140&lt;&gt;"moeda")*(Inputs!$G$5:$G$140&lt;&gt;"acoes")))*INDEX(Inputs!$K$5:$AJ$140,0,MATCH(G$2,Inputs!$K$4:$AJ$4,0)))+SUMPRODUCT((Inputs!$E$5:$E$140=$B34)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4" s="3" t="e">
        <f>G34</f>
        <v>#N/A</v>
      </c>
      <c r="I34" s="6" t="e">
        <f>IF(ISNA(MATCH(I$2,Inputs!$K$4:$AJ$4,0)),NA(),IF(SUMPRODUCT((Inputs!$A$5:$A$140=$B34)*ISNUMBER(INDEX(Inputs!$K$5:$AJ$140,0,MATCH(I$2,Inputs!$K$4:$AJ$4,0))))+SUMPRODUCT((Inputs!$C$5:$C$140=$B34)*ISNUMBER(INDEX(Inputs!$K$5:$AJ$140,0,MATCH(I$2,Inputs!$K$4:$AJ$4,0))))+SUMPRODUCT((Inputs!$E$5:$E$140=$B34)*ISNUMBER(INDEX(Inputs!$K$5:$AJ$140,0,MATCH(I$2,Inputs!$K$4:$AJ$4,0))))=0,NA(),SUMPRODUCT((Inputs!$A$5:$A$140=$B34)*Inputs!$B$5:$B$140*(((Inputs!$G$5:$G$140="moeda")+(Inputs!$G$5:$G$140="acoes"))*Inputs!$B$1+((Inputs!$G$5:$G$140&lt;&gt;"moeda")*(Inputs!$G$5:$G$140&lt;&gt;"acoes")))*INDEX(Inputs!$K$5:$AJ$140,0,MATCH(I$2,Inputs!$K$4:$AJ$4,0)))+SUMPRODUCT((Inputs!$C$5:$C$140=$B34)*Inputs!$D$5:$D$140*(((Inputs!$G$5:$G$140="moeda")+(Inputs!$G$5:$G$140="acoes"))*Inputs!$B$1+((Inputs!$G$5:$G$140&lt;&gt;"moeda")*(Inputs!$G$5:$G$140&lt;&gt;"acoes")))*INDEX(Inputs!$K$5:$AJ$140,0,MATCH(I$2,Inputs!$K$4:$AJ$4,0)))+SUMPRODUCT((Inputs!$E$5:$E$140=$B34)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4" s="6" t="e">
        <f>IF(ISNA(MATCH(J$2,Inputs!$K$4:$AJ$4,0)),NA(),IF(SUMPRODUCT((Inputs!$A$5:$A$140=$B34)*ISNUMBER(INDEX(Inputs!$K$5:$AJ$140,0,MATCH(J$2,Inputs!$K$4:$AJ$4,0))))+SUMPRODUCT((Inputs!$C$5:$C$140=$B34)*ISNUMBER(INDEX(Inputs!$K$5:$AJ$140,0,MATCH(J$2,Inputs!$K$4:$AJ$4,0))))+SUMPRODUCT((Inputs!$E$5:$E$140=$B34)*ISNUMBER(INDEX(Inputs!$K$5:$AJ$140,0,MATCH(J$2,Inputs!$K$4:$AJ$4,0))))=0,NA(),SUMPRODUCT((Inputs!$A$5:$A$140=$B34)*Inputs!$B$5:$B$140*(((Inputs!$G$5:$G$140="moeda")+(Inputs!$G$5:$G$140="acoes"))*Inputs!$B$1+((Inputs!$G$5:$G$140&lt;&gt;"moeda")*(Inputs!$G$5:$G$140&lt;&gt;"acoes")))*INDEX(Inputs!$K$5:$AJ$140,0,MATCH(J$2,Inputs!$K$4:$AJ$4,0)))+SUMPRODUCT((Inputs!$C$5:$C$140=$B34)*Inputs!$D$5:$D$140*(((Inputs!$G$5:$G$140="moeda")+(Inputs!$G$5:$G$140="acoes"))*Inputs!$B$1+((Inputs!$G$5:$G$140&lt;&gt;"moeda")*(Inputs!$G$5:$G$140&lt;&gt;"acoes")))*INDEX(Inputs!$K$5:$AJ$140,0,MATCH(J$2,Inputs!$K$4:$AJ$4,0)))+SUMPRODUCT((Inputs!$E$5:$E$140=$B34)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4" s="6" t="e">
        <f>IF(ISNA(MATCH(K$2,Inputs!$K$4:$AJ$4,0)),NA(),IF(SUMPRODUCT((Inputs!$A$5:$A$140=$B34)*ISNUMBER(INDEX(Inputs!$K$5:$AJ$140,0,MATCH(K$2,Inputs!$K$4:$AJ$4,0))))+SUMPRODUCT((Inputs!$C$5:$C$140=$B34)*ISNUMBER(INDEX(Inputs!$K$5:$AJ$140,0,MATCH(K$2,Inputs!$K$4:$AJ$4,0))))+SUMPRODUCT((Inputs!$E$5:$E$140=$B34)*ISNUMBER(INDEX(Inputs!$K$5:$AJ$140,0,MATCH(K$2,Inputs!$K$4:$AJ$4,0))))=0,NA(),SUMPRODUCT((Inputs!$A$5:$A$140=$B34)*Inputs!$B$5:$B$140*(((Inputs!$G$5:$G$140="moeda")+(Inputs!$G$5:$G$140="acoes"))*Inputs!$B$1+((Inputs!$G$5:$G$140&lt;&gt;"moeda")*(Inputs!$G$5:$G$140&lt;&gt;"acoes")))*INDEX(Inputs!$K$5:$AJ$140,0,MATCH(K$2,Inputs!$K$4:$AJ$4,0)))+SUMPRODUCT((Inputs!$C$5:$C$140=$B34)*Inputs!$D$5:$D$140*(((Inputs!$G$5:$G$140="moeda")+(Inputs!$G$5:$G$140="acoes"))*Inputs!$B$1+((Inputs!$G$5:$G$140&lt;&gt;"moeda")*(Inputs!$G$5:$G$140&lt;&gt;"acoes")))*INDEX(Inputs!$K$5:$AJ$140,0,MATCH(K$2,Inputs!$K$4:$AJ$4,0)))+SUMPRODUCT((Inputs!$E$5:$E$140=$B34)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4" s="6" t="e">
        <f>IF(ISNA(MATCH(L$2,Inputs!$K$4:$AJ$4,0)),NA(),IF(SUMPRODUCT((Inputs!$A$5:$A$140=$B34)*ISNUMBER(INDEX(Inputs!$K$5:$AJ$140,0,MATCH(L$2,Inputs!$K$4:$AJ$4,0))))+SUMPRODUCT((Inputs!$C$5:$C$140=$B34)*ISNUMBER(INDEX(Inputs!$K$5:$AJ$140,0,MATCH(L$2,Inputs!$K$4:$AJ$4,0))))+SUMPRODUCT((Inputs!$E$5:$E$140=$B34)*ISNUMBER(INDEX(Inputs!$K$5:$AJ$140,0,MATCH(L$2,Inputs!$K$4:$AJ$4,0))))=0,NA(),SUMPRODUCT((Inputs!$A$5:$A$140=$B34)*Inputs!$B$5:$B$140*(((Inputs!$G$5:$G$140="moeda")+(Inputs!$G$5:$G$140="acoes"))*Inputs!$B$1+((Inputs!$G$5:$G$140&lt;&gt;"moeda")*(Inputs!$G$5:$G$140&lt;&gt;"acoes")))*INDEX(Inputs!$K$5:$AJ$140,0,MATCH(L$2,Inputs!$K$4:$AJ$4,0)))+SUMPRODUCT((Inputs!$C$5:$C$140=$B34)*Inputs!$D$5:$D$140*(((Inputs!$G$5:$G$140="moeda")+(Inputs!$G$5:$G$140="acoes"))*Inputs!$B$1+((Inputs!$G$5:$G$140&lt;&gt;"moeda")*(Inputs!$G$5:$G$140&lt;&gt;"acoes")))*INDEX(Inputs!$K$5:$AJ$140,0,MATCH(L$2,Inputs!$K$4:$AJ$4,0)))+SUMPRODUCT((Inputs!$E$5:$E$140=$B34)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4" s="3" t="e">
        <f>L34</f>
        <v>#N/A</v>
      </c>
      <c r="N34" s="6" t="e">
        <f>IF(ISNA(MATCH(N$2,Inputs!$K$4:$AJ$4,0)),NA(),IF(SUMPRODUCT((Inputs!$A$5:$A$140=$B34)*ISNUMBER(INDEX(Inputs!$K$5:$AJ$140,0,MATCH(N$2,Inputs!$K$4:$AJ$4,0))))+SUMPRODUCT((Inputs!$C$5:$C$140=$B34)*ISNUMBER(INDEX(Inputs!$K$5:$AJ$140,0,MATCH(N$2,Inputs!$K$4:$AJ$4,0))))+SUMPRODUCT((Inputs!$E$5:$E$140=$B34)*ISNUMBER(INDEX(Inputs!$K$5:$AJ$140,0,MATCH(N$2,Inputs!$K$4:$AJ$4,0))))=0,NA(),SUMPRODUCT((Inputs!$A$5:$A$140=$B34)*Inputs!$B$5:$B$140*(((Inputs!$G$5:$G$140="moeda")+(Inputs!$G$5:$G$140="acoes"))*Inputs!$B$1+((Inputs!$G$5:$G$140&lt;&gt;"moeda")*(Inputs!$G$5:$G$140&lt;&gt;"acoes")))*INDEX(Inputs!$K$5:$AJ$140,0,MATCH(N$2,Inputs!$K$4:$AJ$4,0)))+SUMPRODUCT((Inputs!$C$5:$C$140=$B34)*Inputs!$D$5:$D$140*(((Inputs!$G$5:$G$140="moeda")+(Inputs!$G$5:$G$140="acoes"))*Inputs!$B$1+((Inputs!$G$5:$G$140&lt;&gt;"moeda")*(Inputs!$G$5:$G$140&lt;&gt;"acoes")))*INDEX(Inputs!$K$5:$AJ$140,0,MATCH(N$2,Inputs!$K$4:$AJ$4,0)))+SUMPRODUCT((Inputs!$E$5:$E$140=$B34)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4" s="6" t="e">
        <f>IF(ISNA(MATCH(O$2,Inputs!$K$4:$AJ$4,0)),NA(),IF(SUMPRODUCT((Inputs!$A$5:$A$140=$B34)*ISNUMBER(INDEX(Inputs!$K$5:$AJ$140,0,MATCH(O$2,Inputs!$K$4:$AJ$4,0))))+SUMPRODUCT((Inputs!$C$5:$C$140=$B34)*ISNUMBER(INDEX(Inputs!$K$5:$AJ$140,0,MATCH(O$2,Inputs!$K$4:$AJ$4,0))))+SUMPRODUCT((Inputs!$E$5:$E$140=$B34)*ISNUMBER(INDEX(Inputs!$K$5:$AJ$140,0,MATCH(O$2,Inputs!$K$4:$AJ$4,0))))=0,NA(),SUMPRODUCT((Inputs!$A$5:$A$140=$B34)*Inputs!$B$5:$B$140*(((Inputs!$G$5:$G$140="moeda")+(Inputs!$G$5:$G$140="acoes"))*Inputs!$B$1+((Inputs!$G$5:$G$140&lt;&gt;"moeda")*(Inputs!$G$5:$G$140&lt;&gt;"acoes")))*INDEX(Inputs!$K$5:$AJ$140,0,MATCH(O$2,Inputs!$K$4:$AJ$4,0)))+SUMPRODUCT((Inputs!$C$5:$C$140=$B34)*Inputs!$D$5:$D$140*(((Inputs!$G$5:$G$140="moeda")+(Inputs!$G$5:$G$140="acoes"))*Inputs!$B$1+((Inputs!$G$5:$G$140&lt;&gt;"moeda")*(Inputs!$G$5:$G$140&lt;&gt;"acoes")))*INDEX(Inputs!$K$5:$AJ$140,0,MATCH(O$2,Inputs!$K$4:$AJ$4,0)))+SUMPRODUCT((Inputs!$E$5:$E$140=$B34)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4" s="6" t="e">
        <f>IF(ISNA(MATCH(P$2,Inputs!$K$4:$AJ$4,0)),NA(),IF(SUMPRODUCT((Inputs!$A$5:$A$140=$B34)*ISNUMBER(INDEX(Inputs!$K$5:$AJ$140,0,MATCH(P$2,Inputs!$K$4:$AJ$4,0))))+SUMPRODUCT((Inputs!$C$5:$C$140=$B34)*ISNUMBER(INDEX(Inputs!$K$5:$AJ$140,0,MATCH(P$2,Inputs!$K$4:$AJ$4,0))))+SUMPRODUCT((Inputs!$E$5:$E$140=$B34)*ISNUMBER(INDEX(Inputs!$K$5:$AJ$140,0,MATCH(P$2,Inputs!$K$4:$AJ$4,0))))=0,NA(),SUMPRODUCT((Inputs!$A$5:$A$140=$B34)*Inputs!$B$5:$B$140*(((Inputs!$G$5:$G$140="moeda")+(Inputs!$G$5:$G$140="acoes"))*Inputs!$B$1+((Inputs!$G$5:$G$140&lt;&gt;"moeda")*(Inputs!$G$5:$G$140&lt;&gt;"acoes")))*INDEX(Inputs!$K$5:$AJ$140,0,MATCH(P$2,Inputs!$K$4:$AJ$4,0)))+SUMPRODUCT((Inputs!$C$5:$C$140=$B34)*Inputs!$D$5:$D$140*(((Inputs!$G$5:$G$140="moeda")+(Inputs!$G$5:$G$140="acoes"))*Inputs!$B$1+((Inputs!$G$5:$G$140&lt;&gt;"moeda")*(Inputs!$G$5:$G$140&lt;&gt;"acoes")))*INDEX(Inputs!$K$5:$AJ$140,0,MATCH(P$2,Inputs!$K$4:$AJ$4,0)))+SUMPRODUCT((Inputs!$E$5:$E$140=$B34)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4" s="6" t="e">
        <f>IF(ISNA(MATCH(Q$2,Inputs!$K$4:$AJ$4,0)),NA(),IF(SUMPRODUCT((Inputs!$A$5:$A$140=$B34)*ISNUMBER(INDEX(Inputs!$K$5:$AJ$140,0,MATCH(Q$2,Inputs!$K$4:$AJ$4,0))))+SUMPRODUCT((Inputs!$C$5:$C$140=$B34)*ISNUMBER(INDEX(Inputs!$K$5:$AJ$140,0,MATCH(Q$2,Inputs!$K$4:$AJ$4,0))))+SUMPRODUCT((Inputs!$E$5:$E$140=$B34)*ISNUMBER(INDEX(Inputs!$K$5:$AJ$140,0,MATCH(Q$2,Inputs!$K$4:$AJ$4,0))))=0,NA(),SUMPRODUCT((Inputs!$A$5:$A$140=$B34)*Inputs!$B$5:$B$140*(((Inputs!$G$5:$G$140="moeda")+(Inputs!$G$5:$G$140="acoes"))*Inputs!$B$1+((Inputs!$G$5:$G$140&lt;&gt;"moeda")*(Inputs!$G$5:$G$140&lt;&gt;"acoes")))*INDEX(Inputs!$K$5:$AJ$140,0,MATCH(Q$2,Inputs!$K$4:$AJ$4,0)))+SUMPRODUCT((Inputs!$C$5:$C$140=$B34)*Inputs!$D$5:$D$140*(((Inputs!$G$5:$G$140="moeda")+(Inputs!$G$5:$G$140="acoes"))*Inputs!$B$1+((Inputs!$G$5:$G$140&lt;&gt;"moeda")*(Inputs!$G$5:$G$140&lt;&gt;"acoes")))*INDEX(Inputs!$K$5:$AJ$140,0,MATCH(Q$2,Inputs!$K$4:$AJ$4,0)))+SUMPRODUCT((Inputs!$E$5:$E$140=$B34)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4" s="3" t="e">
        <f>Q34</f>
        <v>#N/A</v>
      </c>
      <c r="S34" s="6" t="e">
        <f>IF(ISNA(MATCH(S$2,Inputs!$K$4:$AJ$4,0)),NA(),IF(SUMPRODUCT((Inputs!$A$5:$A$140=$B34)*ISNUMBER(INDEX(Inputs!$K$5:$AJ$140,0,MATCH(S$2,Inputs!$K$4:$AJ$4,0))))+SUMPRODUCT((Inputs!$C$5:$C$140=$B34)*ISNUMBER(INDEX(Inputs!$K$5:$AJ$140,0,MATCH(S$2,Inputs!$K$4:$AJ$4,0))))+SUMPRODUCT((Inputs!$E$5:$E$140=$B34)*ISNUMBER(INDEX(Inputs!$K$5:$AJ$140,0,MATCH(S$2,Inputs!$K$4:$AJ$4,0))))=0,NA(),SUMPRODUCT((Inputs!$A$5:$A$140=$B34)*Inputs!$B$5:$B$140*(((Inputs!$G$5:$G$140="moeda")+(Inputs!$G$5:$G$140="acoes"))*Inputs!$B$1+((Inputs!$G$5:$G$140&lt;&gt;"moeda")*(Inputs!$G$5:$G$140&lt;&gt;"acoes")))*INDEX(Inputs!$K$5:$AJ$140,0,MATCH(S$2,Inputs!$K$4:$AJ$4,0)))+SUMPRODUCT((Inputs!$C$5:$C$140=$B34)*Inputs!$D$5:$D$140*(((Inputs!$G$5:$G$140="moeda")+(Inputs!$G$5:$G$140="acoes"))*Inputs!$B$1+((Inputs!$G$5:$G$140&lt;&gt;"moeda")*(Inputs!$G$5:$G$140&lt;&gt;"acoes")))*INDEX(Inputs!$K$5:$AJ$140,0,MATCH(S$2,Inputs!$K$4:$AJ$4,0)))+SUMPRODUCT((Inputs!$E$5:$E$140=$B34)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4" s="6" t="e">
        <f>IF(ISNA(MATCH(T$2,Inputs!$K$4:$AJ$4,0)),NA(),IF(SUMPRODUCT((Inputs!$A$5:$A$140=$B34)*ISNUMBER(INDEX(Inputs!$K$5:$AJ$140,0,MATCH(T$2,Inputs!$K$4:$AJ$4,0))))+SUMPRODUCT((Inputs!$C$5:$C$140=$B34)*ISNUMBER(INDEX(Inputs!$K$5:$AJ$140,0,MATCH(T$2,Inputs!$K$4:$AJ$4,0))))+SUMPRODUCT((Inputs!$E$5:$E$140=$B34)*ISNUMBER(INDEX(Inputs!$K$5:$AJ$140,0,MATCH(T$2,Inputs!$K$4:$AJ$4,0))))=0,NA(),SUMPRODUCT((Inputs!$A$5:$A$140=$B34)*Inputs!$B$5:$B$140*(((Inputs!$G$5:$G$140="moeda")+(Inputs!$G$5:$G$140="acoes"))*Inputs!$B$1+((Inputs!$G$5:$G$140&lt;&gt;"moeda")*(Inputs!$G$5:$G$140&lt;&gt;"acoes")))*INDEX(Inputs!$K$5:$AJ$140,0,MATCH(T$2,Inputs!$K$4:$AJ$4,0)))+SUMPRODUCT((Inputs!$C$5:$C$140=$B34)*Inputs!$D$5:$D$140*(((Inputs!$G$5:$G$140="moeda")+(Inputs!$G$5:$G$140="acoes"))*Inputs!$B$1+((Inputs!$G$5:$G$140&lt;&gt;"moeda")*(Inputs!$G$5:$G$140&lt;&gt;"acoes")))*INDEX(Inputs!$K$5:$AJ$140,0,MATCH(T$2,Inputs!$K$4:$AJ$4,0)))+SUMPRODUCT((Inputs!$E$5:$E$140=$B34)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4" s="6" t="e">
        <f>IF(ISNA(MATCH(U$2,Inputs!$K$4:$AJ$4,0)),NA(),IF(SUMPRODUCT((Inputs!$A$5:$A$140=$B34)*ISNUMBER(INDEX(Inputs!$K$5:$AJ$140,0,MATCH(U$2,Inputs!$K$4:$AJ$4,0))))+SUMPRODUCT((Inputs!$C$5:$C$140=$B34)*ISNUMBER(INDEX(Inputs!$K$5:$AJ$140,0,MATCH(U$2,Inputs!$K$4:$AJ$4,0))))+SUMPRODUCT((Inputs!$E$5:$E$140=$B34)*ISNUMBER(INDEX(Inputs!$K$5:$AJ$140,0,MATCH(U$2,Inputs!$K$4:$AJ$4,0))))=0,NA(),SUMPRODUCT((Inputs!$A$5:$A$140=$B34)*Inputs!$B$5:$B$140*(((Inputs!$G$5:$G$140="moeda")+(Inputs!$G$5:$G$140="acoes"))*Inputs!$B$1+((Inputs!$G$5:$G$140&lt;&gt;"moeda")*(Inputs!$G$5:$G$140&lt;&gt;"acoes")))*INDEX(Inputs!$K$5:$AJ$140,0,MATCH(U$2,Inputs!$K$4:$AJ$4,0)))+SUMPRODUCT((Inputs!$C$5:$C$140=$B34)*Inputs!$D$5:$D$140*(((Inputs!$G$5:$G$140="moeda")+(Inputs!$G$5:$G$140="acoes"))*Inputs!$B$1+((Inputs!$G$5:$G$140&lt;&gt;"moeda")*(Inputs!$G$5:$G$140&lt;&gt;"acoes")))*INDEX(Inputs!$K$5:$AJ$140,0,MATCH(U$2,Inputs!$K$4:$AJ$4,0)))+SUMPRODUCT((Inputs!$E$5:$E$140=$B34)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4" s="6" t="e">
        <f>IF(ISNA(MATCH(V$2,Inputs!$K$4:$AJ$4,0)),NA(),IF(SUMPRODUCT((Inputs!$A$5:$A$140=$B34)*ISNUMBER(INDEX(Inputs!$K$5:$AJ$140,0,MATCH(V$2,Inputs!$K$4:$AJ$4,0))))+SUMPRODUCT((Inputs!$C$5:$C$140=$B34)*ISNUMBER(INDEX(Inputs!$K$5:$AJ$140,0,MATCH(V$2,Inputs!$K$4:$AJ$4,0))))+SUMPRODUCT((Inputs!$E$5:$E$140=$B34)*ISNUMBER(INDEX(Inputs!$K$5:$AJ$140,0,MATCH(V$2,Inputs!$K$4:$AJ$4,0))))=0,NA(),SUMPRODUCT((Inputs!$A$5:$A$140=$B34)*Inputs!$B$5:$B$140*(((Inputs!$G$5:$G$140="moeda")+(Inputs!$G$5:$G$140="acoes"))*Inputs!$B$1+((Inputs!$G$5:$G$140&lt;&gt;"moeda")*(Inputs!$G$5:$G$140&lt;&gt;"acoes")))*INDEX(Inputs!$K$5:$AJ$140,0,MATCH(V$2,Inputs!$K$4:$AJ$4,0)))+SUMPRODUCT((Inputs!$C$5:$C$140=$B34)*Inputs!$D$5:$D$140*(((Inputs!$G$5:$G$140="moeda")+(Inputs!$G$5:$G$140="acoes"))*Inputs!$B$1+((Inputs!$G$5:$G$140&lt;&gt;"moeda")*(Inputs!$G$5:$G$140&lt;&gt;"acoes")))*INDEX(Inputs!$K$5:$AJ$140,0,MATCH(V$2,Inputs!$K$4:$AJ$4,0)))+SUMPRODUCT((Inputs!$E$5:$E$140=$B34)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4" s="3" t="e">
        <f>V34</f>
        <v>#N/A</v>
      </c>
      <c r="X34" s="6" t="e">
        <f>IF(ISNA(MATCH(X$2,Inputs!$K$4:$AJ$4,0)),NA(),IF(SUMPRODUCT((Inputs!$A$5:$A$140=$B34)*ISNUMBER(INDEX(Inputs!$K$5:$AJ$140,0,MATCH(X$2,Inputs!$K$4:$AJ$4,0))))+SUMPRODUCT((Inputs!$C$5:$C$140=$B34)*ISNUMBER(INDEX(Inputs!$K$5:$AJ$140,0,MATCH(X$2,Inputs!$K$4:$AJ$4,0))))+SUMPRODUCT((Inputs!$E$5:$E$140=$B34)*ISNUMBER(INDEX(Inputs!$K$5:$AJ$140,0,MATCH(X$2,Inputs!$K$4:$AJ$4,0))))=0,NA(),SUMPRODUCT((Inputs!$A$5:$A$140=$B34)*Inputs!$B$5:$B$140*(((Inputs!$G$5:$G$140="moeda")+(Inputs!$G$5:$G$140="acoes"))*Inputs!$B$1+((Inputs!$G$5:$G$140&lt;&gt;"moeda")*(Inputs!$G$5:$G$140&lt;&gt;"acoes")))*INDEX(Inputs!$K$5:$AJ$140,0,MATCH(X$2,Inputs!$K$4:$AJ$4,0)))+SUMPRODUCT((Inputs!$C$5:$C$140=$B34)*Inputs!$D$5:$D$140*(((Inputs!$G$5:$G$140="moeda")+(Inputs!$G$5:$G$140="acoes"))*Inputs!$B$1+((Inputs!$G$5:$G$140&lt;&gt;"moeda")*(Inputs!$G$5:$G$140&lt;&gt;"acoes")))*INDEX(Inputs!$K$5:$AJ$140,0,MATCH(X$2,Inputs!$K$4:$AJ$4,0)))+SUMPRODUCT((Inputs!$E$5:$E$140=$B34)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4" s="6" t="e">
        <f>IF(ISNA(MATCH(Y$2,Inputs!$K$4:$AJ$4,0)),NA(),IF(SUMPRODUCT((Inputs!$A$5:$A$140=$B34)*ISNUMBER(INDEX(Inputs!$K$5:$AJ$140,0,MATCH(Y$2,Inputs!$K$4:$AJ$4,0))))+SUMPRODUCT((Inputs!$C$5:$C$140=$B34)*ISNUMBER(INDEX(Inputs!$K$5:$AJ$140,0,MATCH(Y$2,Inputs!$K$4:$AJ$4,0))))+SUMPRODUCT((Inputs!$E$5:$E$140=$B34)*ISNUMBER(INDEX(Inputs!$K$5:$AJ$140,0,MATCH(Y$2,Inputs!$K$4:$AJ$4,0))))=0,NA(),SUMPRODUCT((Inputs!$A$5:$A$140=$B34)*Inputs!$B$5:$B$140*(((Inputs!$G$5:$G$140="moeda")+(Inputs!$G$5:$G$140="acoes"))*Inputs!$B$1+((Inputs!$G$5:$G$140&lt;&gt;"moeda")*(Inputs!$G$5:$G$140&lt;&gt;"acoes")))*INDEX(Inputs!$K$5:$AJ$140,0,MATCH(Y$2,Inputs!$K$4:$AJ$4,0)))+SUMPRODUCT((Inputs!$C$5:$C$140=$B34)*Inputs!$D$5:$D$140*(((Inputs!$G$5:$G$140="moeda")+(Inputs!$G$5:$G$140="acoes"))*Inputs!$B$1+((Inputs!$G$5:$G$140&lt;&gt;"moeda")*(Inputs!$G$5:$G$140&lt;&gt;"acoes")))*INDEX(Inputs!$K$5:$AJ$140,0,MATCH(Y$2,Inputs!$K$4:$AJ$4,0)))+SUMPRODUCT((Inputs!$E$5:$E$140=$B34)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4" s="6" t="e">
        <f>IF(ISNA(MATCH(Z$2,Inputs!$K$4:$AJ$4,0)),NA(),IF(SUMPRODUCT((Inputs!$A$5:$A$140=$B34)*ISNUMBER(INDEX(Inputs!$K$5:$AJ$140,0,MATCH(Z$2,Inputs!$K$4:$AJ$4,0))))+SUMPRODUCT((Inputs!$C$5:$C$140=$B34)*ISNUMBER(INDEX(Inputs!$K$5:$AJ$140,0,MATCH(Z$2,Inputs!$K$4:$AJ$4,0))))+SUMPRODUCT((Inputs!$E$5:$E$140=$B34)*ISNUMBER(INDEX(Inputs!$K$5:$AJ$140,0,MATCH(Z$2,Inputs!$K$4:$AJ$4,0))))=0,NA(),SUMPRODUCT((Inputs!$A$5:$A$140=$B34)*Inputs!$B$5:$B$140*(((Inputs!$G$5:$G$140="moeda")+(Inputs!$G$5:$G$140="acoes"))*Inputs!$B$1+((Inputs!$G$5:$G$140&lt;&gt;"moeda")*(Inputs!$G$5:$G$140&lt;&gt;"acoes")))*INDEX(Inputs!$K$5:$AJ$140,0,MATCH(Z$2,Inputs!$K$4:$AJ$4,0)))+SUMPRODUCT((Inputs!$C$5:$C$140=$B34)*Inputs!$D$5:$D$140*(((Inputs!$G$5:$G$140="moeda")+(Inputs!$G$5:$G$140="acoes"))*Inputs!$B$1+((Inputs!$G$5:$G$140&lt;&gt;"moeda")*(Inputs!$G$5:$G$140&lt;&gt;"acoes")))*INDEX(Inputs!$K$5:$AJ$140,0,MATCH(Z$2,Inputs!$K$4:$AJ$4,0)))+SUMPRODUCT((Inputs!$E$5:$E$140=$B34)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4" s="6" t="e">
        <f>IF(ISNA(MATCH(AA$2,Inputs!$K$4:$AJ$4,0)),NA(),IF(SUMPRODUCT((Inputs!$A$5:$A$140=$B34)*ISNUMBER(INDEX(Inputs!$K$5:$AJ$140,0,MATCH(AA$2,Inputs!$K$4:$AJ$4,0))))+SUMPRODUCT((Inputs!$C$5:$C$140=$B34)*ISNUMBER(INDEX(Inputs!$K$5:$AJ$140,0,MATCH(AA$2,Inputs!$K$4:$AJ$4,0))))+SUMPRODUCT((Inputs!$E$5:$E$140=$B34)*ISNUMBER(INDEX(Inputs!$K$5:$AJ$140,0,MATCH(AA$2,Inputs!$K$4:$AJ$4,0))))=0,NA(),SUMPRODUCT((Inputs!$A$5:$A$140=$B34)*Inputs!$B$5:$B$140*(((Inputs!$G$5:$G$140="moeda")+(Inputs!$G$5:$G$140="acoes"))*Inputs!$B$1+((Inputs!$G$5:$G$140&lt;&gt;"moeda")*(Inputs!$G$5:$G$140&lt;&gt;"acoes")))*INDEX(Inputs!$K$5:$AJ$140,0,MATCH(AA$2,Inputs!$K$4:$AJ$4,0)))+SUMPRODUCT((Inputs!$C$5:$C$140=$B34)*Inputs!$D$5:$D$140*(((Inputs!$G$5:$G$140="moeda")+(Inputs!$G$5:$G$140="acoes"))*Inputs!$B$1+((Inputs!$G$5:$G$140&lt;&gt;"moeda")*(Inputs!$G$5:$G$140&lt;&gt;"acoes")))*INDEX(Inputs!$K$5:$AJ$140,0,MATCH(AA$2,Inputs!$K$4:$AJ$4,0)))+SUMPRODUCT((Inputs!$E$5:$E$140=$B34)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4" s="3" t="e">
        <f>AA34</f>
        <v>#N/A</v>
      </c>
      <c r="AC34" s="6" t="e">
        <f>IF(ISNA(MATCH(AC$2,Inputs!$K$4:$AJ$4,0)),NA(),IF(SUMPRODUCT((Inputs!$A$5:$A$140=$B34)*ISNUMBER(INDEX(Inputs!$K$5:$AJ$140,0,MATCH(AC$2,Inputs!$K$4:$AJ$4,0))))+SUMPRODUCT((Inputs!$C$5:$C$140=$B34)*ISNUMBER(INDEX(Inputs!$K$5:$AJ$140,0,MATCH(AC$2,Inputs!$K$4:$AJ$4,0))))+SUMPRODUCT((Inputs!$E$5:$E$140=$B34)*ISNUMBER(INDEX(Inputs!$K$5:$AJ$140,0,MATCH(AC$2,Inputs!$K$4:$AJ$4,0))))=0,NA(),SUMPRODUCT((Inputs!$A$5:$A$140=$B34)*Inputs!$B$5:$B$140*(((Inputs!$G$5:$G$140="moeda")+(Inputs!$G$5:$G$140="acoes"))*Inputs!$B$1+((Inputs!$G$5:$G$140&lt;&gt;"moeda")*(Inputs!$G$5:$G$140&lt;&gt;"acoes")))*INDEX(Inputs!$K$5:$AJ$140,0,MATCH(AC$2,Inputs!$K$4:$AJ$4,0)))+SUMPRODUCT((Inputs!$C$5:$C$140=$B34)*Inputs!$D$5:$D$140*(((Inputs!$G$5:$G$140="moeda")+(Inputs!$G$5:$G$140="acoes"))*Inputs!$B$1+((Inputs!$G$5:$G$140&lt;&gt;"moeda")*(Inputs!$G$5:$G$140&lt;&gt;"acoes")))*INDEX(Inputs!$K$5:$AJ$140,0,MATCH(AC$2,Inputs!$K$4:$AJ$4,0)))+SUMPRODUCT((Inputs!$E$5:$E$140=$B34)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4" s="6" t="e">
        <f>IF(ISNA(MATCH(AD$2,Inputs!$K$4:$AJ$4,0)),NA(),IF(SUMPRODUCT((Inputs!$A$5:$A$140=$B34)*ISNUMBER(INDEX(Inputs!$K$5:$AJ$140,0,MATCH(AD$2,Inputs!$K$4:$AJ$4,0))))+SUMPRODUCT((Inputs!$C$5:$C$140=$B34)*ISNUMBER(INDEX(Inputs!$K$5:$AJ$140,0,MATCH(AD$2,Inputs!$K$4:$AJ$4,0))))+SUMPRODUCT((Inputs!$E$5:$E$140=$B34)*ISNUMBER(INDEX(Inputs!$K$5:$AJ$140,0,MATCH(AD$2,Inputs!$K$4:$AJ$4,0))))=0,NA(),SUMPRODUCT((Inputs!$A$5:$A$140=$B34)*Inputs!$B$5:$B$140*(((Inputs!$G$5:$G$140="moeda")+(Inputs!$G$5:$G$140="acoes"))*Inputs!$B$1+((Inputs!$G$5:$G$140&lt;&gt;"moeda")*(Inputs!$G$5:$G$140&lt;&gt;"acoes")))*INDEX(Inputs!$K$5:$AJ$140,0,MATCH(AD$2,Inputs!$K$4:$AJ$4,0)))+SUMPRODUCT((Inputs!$C$5:$C$140=$B34)*Inputs!$D$5:$D$140*(((Inputs!$G$5:$G$140="moeda")+(Inputs!$G$5:$G$140="acoes"))*Inputs!$B$1+((Inputs!$G$5:$G$140&lt;&gt;"moeda")*(Inputs!$G$5:$G$140&lt;&gt;"acoes")))*INDEX(Inputs!$K$5:$AJ$140,0,MATCH(AD$2,Inputs!$K$4:$AJ$4,0)))+SUMPRODUCT((Inputs!$E$5:$E$140=$B34)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4" s="6" t="e">
        <f>IF(ISNA(MATCH(AE$2,Inputs!$K$4:$AJ$4,0)),NA(),IF(SUMPRODUCT((Inputs!$A$5:$A$140=$B34)*ISNUMBER(INDEX(Inputs!$K$5:$AJ$140,0,MATCH(AE$2,Inputs!$K$4:$AJ$4,0))))+SUMPRODUCT((Inputs!$C$5:$C$140=$B34)*ISNUMBER(INDEX(Inputs!$K$5:$AJ$140,0,MATCH(AE$2,Inputs!$K$4:$AJ$4,0))))+SUMPRODUCT((Inputs!$E$5:$E$140=$B34)*ISNUMBER(INDEX(Inputs!$K$5:$AJ$140,0,MATCH(AE$2,Inputs!$K$4:$AJ$4,0))))=0,NA(),SUMPRODUCT((Inputs!$A$5:$A$140=$B34)*Inputs!$B$5:$B$140*(((Inputs!$G$5:$G$140="moeda")+(Inputs!$G$5:$G$140="acoes"))*Inputs!$B$1+((Inputs!$G$5:$G$140&lt;&gt;"moeda")*(Inputs!$G$5:$G$140&lt;&gt;"acoes")))*INDEX(Inputs!$K$5:$AJ$140,0,MATCH(AE$2,Inputs!$K$4:$AJ$4,0)))+SUMPRODUCT((Inputs!$C$5:$C$140=$B34)*Inputs!$D$5:$D$140*(((Inputs!$G$5:$G$140="moeda")+(Inputs!$G$5:$G$140="acoes"))*Inputs!$B$1+((Inputs!$G$5:$G$140&lt;&gt;"moeda")*(Inputs!$G$5:$G$140&lt;&gt;"acoes")))*INDEX(Inputs!$K$5:$AJ$140,0,MATCH(AE$2,Inputs!$K$4:$AJ$4,0)))+SUMPRODUCT((Inputs!$E$5:$E$140=$B34)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4" s="6" t="e">
        <f>IF(ISNA(MATCH(AF$2,Inputs!$K$4:$AJ$4,0)),NA(),IF(SUMPRODUCT((Inputs!$A$5:$A$140=$B34)*ISNUMBER(INDEX(Inputs!$K$5:$AJ$140,0,MATCH(AF$2,Inputs!$K$4:$AJ$4,0))))+SUMPRODUCT((Inputs!$C$5:$C$140=$B34)*ISNUMBER(INDEX(Inputs!$K$5:$AJ$140,0,MATCH(AF$2,Inputs!$K$4:$AJ$4,0))))+SUMPRODUCT((Inputs!$E$5:$E$140=$B34)*ISNUMBER(INDEX(Inputs!$K$5:$AJ$140,0,MATCH(AF$2,Inputs!$K$4:$AJ$4,0))))=0,NA(),SUMPRODUCT((Inputs!$A$5:$A$140=$B34)*Inputs!$B$5:$B$140*(((Inputs!$G$5:$G$140="moeda")+(Inputs!$G$5:$G$140="acoes"))*Inputs!$B$1+((Inputs!$G$5:$G$140&lt;&gt;"moeda")*(Inputs!$G$5:$G$140&lt;&gt;"acoes")))*INDEX(Inputs!$K$5:$AJ$140,0,MATCH(AF$2,Inputs!$K$4:$AJ$4,0)))+SUMPRODUCT((Inputs!$C$5:$C$140=$B34)*Inputs!$D$5:$D$140*(((Inputs!$G$5:$G$140="moeda")+(Inputs!$G$5:$G$140="acoes"))*Inputs!$B$1+((Inputs!$G$5:$G$140&lt;&gt;"moeda")*(Inputs!$G$5:$G$140&lt;&gt;"acoes")))*INDEX(Inputs!$K$5:$AJ$140,0,MATCH(AF$2,Inputs!$K$4:$AJ$4,0)))+SUMPRODUCT((Inputs!$E$5:$E$140=$B34)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4" s="3" t="e">
        <f>AF34</f>
        <v>#N/A</v>
      </c>
      <c r="AH34" s="6" t="e">
        <f>IF(ISNA(MATCH(AH$2,Inputs!$K$4:$AJ$4,0)),NA(),IF(SUMPRODUCT((Inputs!$A$5:$A$140=$B34)*ISNUMBER(INDEX(Inputs!$K$5:$AJ$140,0,MATCH(AH$2,Inputs!$K$4:$AJ$4,0))))+SUMPRODUCT((Inputs!$C$5:$C$140=$B34)*ISNUMBER(INDEX(Inputs!$K$5:$AJ$140,0,MATCH(AH$2,Inputs!$K$4:$AJ$4,0))))+SUMPRODUCT((Inputs!$E$5:$E$140=$B34)*ISNUMBER(INDEX(Inputs!$K$5:$AJ$140,0,MATCH(AH$2,Inputs!$K$4:$AJ$4,0))))=0,NA(),SUMPRODUCT((Inputs!$A$5:$A$140=$B34)*Inputs!$B$5:$B$140*(((Inputs!$G$5:$G$140="moeda")+(Inputs!$G$5:$G$140="acoes"))*Inputs!$B$1+((Inputs!$G$5:$G$140&lt;&gt;"moeda")*(Inputs!$G$5:$G$140&lt;&gt;"acoes")))*INDEX(Inputs!$K$5:$AJ$140,0,MATCH(AH$2,Inputs!$K$4:$AJ$4,0)))+SUMPRODUCT((Inputs!$C$5:$C$140=$B34)*Inputs!$D$5:$D$140*(((Inputs!$G$5:$G$140="moeda")+(Inputs!$G$5:$G$140="acoes"))*Inputs!$B$1+((Inputs!$G$5:$G$140&lt;&gt;"moeda")*(Inputs!$G$5:$G$140&lt;&gt;"acoes")))*INDEX(Inputs!$K$5:$AJ$140,0,MATCH(AH$2,Inputs!$K$4:$AJ$4,0)))+SUMPRODUCT((Inputs!$E$5:$E$140=$B34)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4" s="6" t="e">
        <f>IF(ISNA(MATCH(AI$2,Inputs!$K$4:$AJ$4,0)),NA(),IF(SUMPRODUCT((Inputs!$A$5:$A$140=$B34)*ISNUMBER(INDEX(Inputs!$K$5:$AJ$140,0,MATCH(AI$2,Inputs!$K$4:$AJ$4,0))))+SUMPRODUCT((Inputs!$C$5:$C$140=$B34)*ISNUMBER(INDEX(Inputs!$K$5:$AJ$140,0,MATCH(AI$2,Inputs!$K$4:$AJ$4,0))))+SUMPRODUCT((Inputs!$E$5:$E$140=$B34)*ISNUMBER(INDEX(Inputs!$K$5:$AJ$140,0,MATCH(AI$2,Inputs!$K$4:$AJ$4,0))))=0,NA(),SUMPRODUCT((Inputs!$A$5:$A$140=$B34)*Inputs!$B$5:$B$140*(((Inputs!$G$5:$G$140="moeda")+(Inputs!$G$5:$G$140="acoes"))*Inputs!$B$1+((Inputs!$G$5:$G$140&lt;&gt;"moeda")*(Inputs!$G$5:$G$140&lt;&gt;"acoes")))*INDEX(Inputs!$K$5:$AJ$140,0,MATCH(AI$2,Inputs!$K$4:$AJ$4,0)))+SUMPRODUCT((Inputs!$C$5:$C$140=$B34)*Inputs!$D$5:$D$140*(((Inputs!$G$5:$G$140="moeda")+(Inputs!$G$5:$G$140="acoes"))*Inputs!$B$1+((Inputs!$G$5:$G$140&lt;&gt;"moeda")*(Inputs!$G$5:$G$140&lt;&gt;"acoes")))*INDEX(Inputs!$K$5:$AJ$140,0,MATCH(AI$2,Inputs!$K$4:$AJ$4,0)))+SUMPRODUCT((Inputs!$E$5:$E$140=$B34)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4" s="6" t="e">
        <f>IF(ISNA(MATCH(AJ$2,Inputs!$K$4:$AJ$4,0)),NA(),IF(SUMPRODUCT((Inputs!$A$5:$A$140=$B34)*ISNUMBER(INDEX(Inputs!$K$5:$AJ$140,0,MATCH(AJ$2,Inputs!$K$4:$AJ$4,0))))+SUMPRODUCT((Inputs!$C$5:$C$140=$B34)*ISNUMBER(INDEX(Inputs!$K$5:$AJ$140,0,MATCH(AJ$2,Inputs!$K$4:$AJ$4,0))))+SUMPRODUCT((Inputs!$E$5:$E$140=$B34)*ISNUMBER(INDEX(Inputs!$K$5:$AJ$140,0,MATCH(AJ$2,Inputs!$K$4:$AJ$4,0))))=0,NA(),SUMPRODUCT((Inputs!$A$5:$A$140=$B34)*Inputs!$B$5:$B$140*(((Inputs!$G$5:$G$140="moeda")+(Inputs!$G$5:$G$140="acoes"))*Inputs!$B$1+((Inputs!$G$5:$G$140&lt;&gt;"moeda")*(Inputs!$G$5:$G$140&lt;&gt;"acoes")))*INDEX(Inputs!$K$5:$AJ$140,0,MATCH(AJ$2,Inputs!$K$4:$AJ$4,0)))+SUMPRODUCT((Inputs!$C$5:$C$140=$B34)*Inputs!$D$5:$D$140*(((Inputs!$G$5:$G$140="moeda")+(Inputs!$G$5:$G$140="acoes"))*Inputs!$B$1+((Inputs!$G$5:$G$140&lt;&gt;"moeda")*(Inputs!$G$5:$G$140&lt;&gt;"acoes")))*INDEX(Inputs!$K$5:$AJ$140,0,MATCH(AJ$2,Inputs!$K$4:$AJ$4,0)))+SUMPRODUCT((Inputs!$E$5:$E$140=$B34)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4" s="6" t="e">
        <f>IF(ISNA(MATCH(AK$2,Inputs!$K$4:$AJ$4,0)),NA(),IF(SUMPRODUCT((Inputs!$A$5:$A$140=$B34)*ISNUMBER(INDEX(Inputs!$K$5:$AJ$140,0,MATCH(AK$2,Inputs!$K$4:$AJ$4,0))))+SUMPRODUCT((Inputs!$C$5:$C$140=$B34)*ISNUMBER(INDEX(Inputs!$K$5:$AJ$140,0,MATCH(AK$2,Inputs!$K$4:$AJ$4,0))))+SUMPRODUCT((Inputs!$E$5:$E$140=$B34)*ISNUMBER(INDEX(Inputs!$K$5:$AJ$140,0,MATCH(AK$2,Inputs!$K$4:$AJ$4,0))))=0,NA(),SUMPRODUCT((Inputs!$A$5:$A$140=$B34)*Inputs!$B$5:$B$140*(((Inputs!$G$5:$G$140="moeda")+(Inputs!$G$5:$G$140="acoes"))*Inputs!$B$1+((Inputs!$G$5:$G$140&lt;&gt;"moeda")*(Inputs!$G$5:$G$140&lt;&gt;"acoes")))*INDEX(Inputs!$K$5:$AJ$140,0,MATCH(AK$2,Inputs!$K$4:$AJ$4,0)))+SUMPRODUCT((Inputs!$C$5:$C$140=$B34)*Inputs!$D$5:$D$140*(((Inputs!$G$5:$G$140="moeda")+(Inputs!$G$5:$G$140="acoes"))*Inputs!$B$1+((Inputs!$G$5:$G$140&lt;&gt;"moeda")*(Inputs!$G$5:$G$140&lt;&gt;"acoes")))*INDEX(Inputs!$K$5:$AJ$140,0,MATCH(AK$2,Inputs!$K$4:$AJ$4,0)))+SUMPRODUCT((Inputs!$E$5:$E$140=$B34)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4" s="3" t="e">
        <f>AK34</f>
        <v>#N/A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$140=$B35)*ISNUMBER(INDEX(Inputs!$K$5:$AJ$140,0,MATCH(D$2,Inputs!$K$4:$AJ$4,0))))+SUMPRODUCT((Inputs!$C$5:$C$140=$B35)*ISNUMBER(INDEX(Inputs!$K$5:$AJ$140,0,MATCH(D$2,Inputs!$K$4:$AJ$4,0))))+SUMPRODUCT((Inputs!$E$5:$E$140=$B35)*ISNUMBER(INDEX(Inputs!$K$5:$AJ$140,0,MATCH(D$2,Inputs!$K$4:$AJ$4,0))))=0,NA(),SUMPRODUCT((Inputs!$A$5:$A$140=$B35)*Inputs!$B$5:$B$140*(((Inputs!$G$5:$G$140="moeda")+(Inputs!$G$5:$G$140="acoes"))*Inputs!$B$1+((Inputs!$G$5:$G$140&lt;&gt;"moeda")*(Inputs!$G$5:$G$140&lt;&gt;"acoes")))*INDEX(Inputs!$K$5:$AJ$140,0,MATCH(D$2,Inputs!$K$4:$AJ$4,0)))+SUMPRODUCT((Inputs!$C$5:$C$140=$B35)*Inputs!$D$5:$D$140*(((Inputs!$G$5:$G$140="moeda")+(Inputs!$G$5:$G$140="acoes"))*Inputs!$B$1+((Inputs!$G$5:$G$140&lt;&gt;"moeda")*(Inputs!$G$5:$G$140&lt;&gt;"acoes")))*INDEX(Inputs!$K$5:$AJ$140,0,MATCH(D$2,Inputs!$K$4:$AJ$4,0)))+SUMPRODUCT((Inputs!$E$5:$E$140=$B35)*Inputs!$F$5:$F$140*(((Inputs!$G$5:$G$140="moeda")+(Inputs!$G$5:$G$140="acoes"))*Inputs!$B$1+((Inputs!$G$5:$G$140&lt;&gt;"moeda")*(Inputs!$G$5:$G$140&lt;&gt;"acoes")))*INDEX(Inputs!$K$5:$AJ$140,0,MATCH(D$2,Inputs!$K$4:$AJ$4,0)))))</f>
        <v>180.173</v>
      </c>
      <c r="E35" s="6">
        <f>IF(ISNA(MATCH(E$2,Inputs!$K$4:$AJ$4,0)),NA(),IF(SUMPRODUCT((Inputs!$A$5:$A$140=$B35)*ISNUMBER(INDEX(Inputs!$K$5:$AJ$140,0,MATCH(E$2,Inputs!$K$4:$AJ$4,0))))+SUMPRODUCT((Inputs!$C$5:$C$140=$B35)*ISNUMBER(INDEX(Inputs!$K$5:$AJ$140,0,MATCH(E$2,Inputs!$K$4:$AJ$4,0))))+SUMPRODUCT((Inputs!$E$5:$E$140=$B35)*ISNUMBER(INDEX(Inputs!$K$5:$AJ$140,0,MATCH(E$2,Inputs!$K$4:$AJ$4,0))))=0,NA(),SUMPRODUCT((Inputs!$A$5:$A$140=$B35)*Inputs!$B$5:$B$140*(((Inputs!$G$5:$G$140="moeda")+(Inputs!$G$5:$G$140="acoes"))*Inputs!$B$1+((Inputs!$G$5:$G$140&lt;&gt;"moeda")*(Inputs!$G$5:$G$140&lt;&gt;"acoes")))*INDEX(Inputs!$K$5:$AJ$140,0,MATCH(E$2,Inputs!$K$4:$AJ$4,0)))+SUMPRODUCT((Inputs!$C$5:$C$140=$B35)*Inputs!$D$5:$D$140*(((Inputs!$G$5:$G$140="moeda")+(Inputs!$G$5:$G$140="acoes"))*Inputs!$B$1+((Inputs!$G$5:$G$140&lt;&gt;"moeda")*(Inputs!$G$5:$G$140&lt;&gt;"acoes")))*INDEX(Inputs!$K$5:$AJ$140,0,MATCH(E$2,Inputs!$K$4:$AJ$4,0)))+SUMPRODUCT((Inputs!$E$5:$E$140=$B35)*Inputs!$F$5:$F$140*(((Inputs!$G$5:$G$140="moeda")+(Inputs!$G$5:$G$140="acoes"))*Inputs!$B$1+((Inputs!$G$5:$G$140&lt;&gt;"moeda")*(Inputs!$G$5:$G$140&lt;&gt;"acoes")))*INDEX(Inputs!$K$5:$AJ$140,0,MATCH(E$2,Inputs!$K$4:$AJ$4,0)))))</f>
        <v>153.375</v>
      </c>
      <c r="F35" s="6">
        <f>IF(ISNA(MATCH(F$2,Inputs!$K$4:$AJ$4,0)),NA(),IF(SUMPRODUCT((Inputs!$A$5:$A$140=$B35)*ISNUMBER(INDEX(Inputs!$K$5:$AJ$140,0,MATCH(F$2,Inputs!$K$4:$AJ$4,0))))+SUMPRODUCT((Inputs!$C$5:$C$140=$B35)*ISNUMBER(INDEX(Inputs!$K$5:$AJ$140,0,MATCH(F$2,Inputs!$K$4:$AJ$4,0))))+SUMPRODUCT((Inputs!$E$5:$E$140=$B35)*ISNUMBER(INDEX(Inputs!$K$5:$AJ$140,0,MATCH(F$2,Inputs!$K$4:$AJ$4,0))))=0,NA(),SUMPRODUCT((Inputs!$A$5:$A$140=$B35)*Inputs!$B$5:$B$140*(((Inputs!$G$5:$G$140="moeda")+(Inputs!$G$5:$G$140="acoes"))*Inputs!$B$1+((Inputs!$G$5:$G$140&lt;&gt;"moeda")*(Inputs!$G$5:$G$140&lt;&gt;"acoes")))*INDEX(Inputs!$K$5:$AJ$140,0,MATCH(F$2,Inputs!$K$4:$AJ$4,0)))+SUMPRODUCT((Inputs!$C$5:$C$140=$B35)*Inputs!$D$5:$D$140*(((Inputs!$G$5:$G$140="moeda")+(Inputs!$G$5:$G$140="acoes"))*Inputs!$B$1+((Inputs!$G$5:$G$140&lt;&gt;"moeda")*(Inputs!$G$5:$G$140&lt;&gt;"acoes")))*INDEX(Inputs!$K$5:$AJ$140,0,MATCH(F$2,Inputs!$K$4:$AJ$4,0)))+SUMPRODUCT((Inputs!$E$5:$E$140=$B35)*Inputs!$F$5:$F$140*(((Inputs!$G$5:$G$140="moeda")+(Inputs!$G$5:$G$140="acoes"))*Inputs!$B$1+((Inputs!$G$5:$G$140&lt;&gt;"moeda")*(Inputs!$G$5:$G$140&lt;&gt;"acoes")))*INDEX(Inputs!$K$5:$AJ$140,0,MATCH(F$2,Inputs!$K$4:$AJ$4,0)))))</f>
        <v>326.361</v>
      </c>
      <c r="G35" s="6">
        <f>IF(ISNA(MATCH(G$2,Inputs!$K$4:$AJ$4,0)),NA(),IF(SUMPRODUCT((Inputs!$A$5:$A$140=$B35)*ISNUMBER(INDEX(Inputs!$K$5:$AJ$140,0,MATCH(G$2,Inputs!$K$4:$AJ$4,0))))+SUMPRODUCT((Inputs!$C$5:$C$140=$B35)*ISNUMBER(INDEX(Inputs!$K$5:$AJ$140,0,MATCH(G$2,Inputs!$K$4:$AJ$4,0))))+SUMPRODUCT((Inputs!$E$5:$E$140=$B35)*ISNUMBER(INDEX(Inputs!$K$5:$AJ$140,0,MATCH(G$2,Inputs!$K$4:$AJ$4,0))))=0,NA(),SUMPRODUCT((Inputs!$A$5:$A$140=$B35)*Inputs!$B$5:$B$140*(((Inputs!$G$5:$G$140="moeda")+(Inputs!$G$5:$G$140="acoes"))*Inputs!$B$1+((Inputs!$G$5:$G$140&lt;&gt;"moeda")*(Inputs!$G$5:$G$140&lt;&gt;"acoes")))*INDEX(Inputs!$K$5:$AJ$140,0,MATCH(G$2,Inputs!$K$4:$AJ$4,0)))+SUMPRODUCT((Inputs!$C$5:$C$140=$B35)*Inputs!$D$5:$D$140*(((Inputs!$G$5:$G$140="moeda")+(Inputs!$G$5:$G$140="acoes"))*Inputs!$B$1+((Inputs!$G$5:$G$140&lt;&gt;"moeda")*(Inputs!$G$5:$G$140&lt;&gt;"acoes")))*INDEX(Inputs!$K$5:$AJ$140,0,MATCH(G$2,Inputs!$K$4:$AJ$4,0)))+SUMPRODUCT((Inputs!$E$5:$E$140=$B35)*Inputs!$F$5:$F$140*(((Inputs!$G$5:$G$140="moeda")+(Inputs!$G$5:$G$140="acoes"))*Inputs!$B$1+((Inputs!$G$5:$G$140&lt;&gt;"moeda")*(Inputs!$G$5:$G$140&lt;&gt;"acoes")))*INDEX(Inputs!$K$5:$AJ$140,0,MATCH(G$2,Inputs!$K$4:$AJ$4,0)))))</f>
        <v>323.208</v>
      </c>
      <c r="H35" s="3">
        <f>G35</f>
        <v>323.208</v>
      </c>
      <c r="I35" s="6">
        <f>IF(ISNA(MATCH(I$2,Inputs!$K$4:$AJ$4,0)),NA(),IF(SUMPRODUCT((Inputs!$A$5:$A$140=$B35)*ISNUMBER(INDEX(Inputs!$K$5:$AJ$140,0,MATCH(I$2,Inputs!$K$4:$AJ$4,0))))+SUMPRODUCT((Inputs!$C$5:$C$140=$B35)*ISNUMBER(INDEX(Inputs!$K$5:$AJ$140,0,MATCH(I$2,Inputs!$K$4:$AJ$4,0))))+SUMPRODUCT((Inputs!$E$5:$E$140=$B35)*ISNUMBER(INDEX(Inputs!$K$5:$AJ$140,0,MATCH(I$2,Inputs!$K$4:$AJ$4,0))))=0,NA(),SUMPRODUCT((Inputs!$A$5:$A$140=$B35)*Inputs!$B$5:$B$140*(((Inputs!$G$5:$G$140="moeda")+(Inputs!$G$5:$G$140="acoes"))*Inputs!$B$1+((Inputs!$G$5:$G$140&lt;&gt;"moeda")*(Inputs!$G$5:$G$140&lt;&gt;"acoes")))*INDEX(Inputs!$K$5:$AJ$140,0,MATCH(I$2,Inputs!$K$4:$AJ$4,0)))+SUMPRODUCT((Inputs!$C$5:$C$140=$B35)*Inputs!$D$5:$D$140*(((Inputs!$G$5:$G$140="moeda")+(Inputs!$G$5:$G$140="acoes"))*Inputs!$B$1+((Inputs!$G$5:$G$140&lt;&gt;"moeda")*(Inputs!$G$5:$G$140&lt;&gt;"acoes")))*INDEX(Inputs!$K$5:$AJ$140,0,MATCH(I$2,Inputs!$K$4:$AJ$4,0)))+SUMPRODUCT((Inputs!$E$5:$E$140=$B35)*Inputs!$F$5:$F$140*(((Inputs!$G$5:$G$140="moeda")+(Inputs!$G$5:$G$140="acoes"))*Inputs!$B$1+((Inputs!$G$5:$G$140&lt;&gt;"moeda")*(Inputs!$G$5:$G$140&lt;&gt;"acoes")))*INDEX(Inputs!$K$5:$AJ$140,0,MATCH(I$2,Inputs!$K$4:$AJ$4,0)))))</f>
        <v>323.208</v>
      </c>
      <c r="J35" s="6">
        <f>IF(ISNA(MATCH(J$2,Inputs!$K$4:$AJ$4,0)),NA(),IF(SUMPRODUCT((Inputs!$A$5:$A$140=$B35)*ISNUMBER(INDEX(Inputs!$K$5:$AJ$140,0,MATCH(J$2,Inputs!$K$4:$AJ$4,0))))+SUMPRODUCT((Inputs!$C$5:$C$140=$B35)*ISNUMBER(INDEX(Inputs!$K$5:$AJ$140,0,MATCH(J$2,Inputs!$K$4:$AJ$4,0))))+SUMPRODUCT((Inputs!$E$5:$E$140=$B35)*ISNUMBER(INDEX(Inputs!$K$5:$AJ$140,0,MATCH(J$2,Inputs!$K$4:$AJ$4,0))))=0,NA(),SUMPRODUCT((Inputs!$A$5:$A$140=$B35)*Inputs!$B$5:$B$140*(((Inputs!$G$5:$G$140="moeda")+(Inputs!$G$5:$G$140="acoes"))*Inputs!$B$1+((Inputs!$G$5:$G$140&lt;&gt;"moeda")*(Inputs!$G$5:$G$140&lt;&gt;"acoes")))*INDEX(Inputs!$K$5:$AJ$140,0,MATCH(J$2,Inputs!$K$4:$AJ$4,0)))+SUMPRODUCT((Inputs!$C$5:$C$140=$B35)*Inputs!$D$5:$D$140*(((Inputs!$G$5:$G$140="moeda")+(Inputs!$G$5:$G$140="acoes"))*Inputs!$B$1+((Inputs!$G$5:$G$140&lt;&gt;"moeda")*(Inputs!$G$5:$G$140&lt;&gt;"acoes")))*INDEX(Inputs!$K$5:$AJ$140,0,MATCH(J$2,Inputs!$K$4:$AJ$4,0)))+SUMPRODUCT((Inputs!$E$5:$E$140=$B35)*Inputs!$F$5:$F$140*(((Inputs!$G$5:$G$140="moeda")+(Inputs!$G$5:$G$140="acoes"))*Inputs!$B$1+((Inputs!$G$5:$G$140&lt;&gt;"moeda")*(Inputs!$G$5:$G$140&lt;&gt;"acoes")))*INDEX(Inputs!$K$5:$AJ$140,0,MATCH(J$2,Inputs!$K$4:$AJ$4,0)))))</f>
        <v>323.208</v>
      </c>
      <c r="K35" s="6">
        <f>IF(ISNA(MATCH(K$2,Inputs!$K$4:$AJ$4,0)),NA(),IF(SUMPRODUCT((Inputs!$A$5:$A$140=$B35)*ISNUMBER(INDEX(Inputs!$K$5:$AJ$140,0,MATCH(K$2,Inputs!$K$4:$AJ$4,0))))+SUMPRODUCT((Inputs!$C$5:$C$140=$B35)*ISNUMBER(INDEX(Inputs!$K$5:$AJ$140,0,MATCH(K$2,Inputs!$K$4:$AJ$4,0))))+SUMPRODUCT((Inputs!$E$5:$E$140=$B35)*ISNUMBER(INDEX(Inputs!$K$5:$AJ$140,0,MATCH(K$2,Inputs!$K$4:$AJ$4,0))))=0,NA(),SUMPRODUCT((Inputs!$A$5:$A$140=$B35)*Inputs!$B$5:$B$140*(((Inputs!$G$5:$G$140="moeda")+(Inputs!$G$5:$G$140="acoes"))*Inputs!$B$1+((Inputs!$G$5:$G$140&lt;&gt;"moeda")*(Inputs!$G$5:$G$140&lt;&gt;"acoes")))*INDEX(Inputs!$K$5:$AJ$140,0,MATCH(K$2,Inputs!$K$4:$AJ$4,0)))+SUMPRODUCT((Inputs!$C$5:$C$140=$B35)*Inputs!$D$5:$D$140*(((Inputs!$G$5:$G$140="moeda")+(Inputs!$G$5:$G$140="acoes"))*Inputs!$B$1+((Inputs!$G$5:$G$140&lt;&gt;"moeda")*(Inputs!$G$5:$G$140&lt;&gt;"acoes")))*INDEX(Inputs!$K$5:$AJ$140,0,MATCH(K$2,Inputs!$K$4:$AJ$4,0)))+SUMPRODUCT((Inputs!$E$5:$E$140=$B35)*Inputs!$F$5:$F$140*(((Inputs!$G$5:$G$140="moeda")+(Inputs!$G$5:$G$140="acoes"))*Inputs!$B$1+((Inputs!$G$5:$G$140&lt;&gt;"moeda")*(Inputs!$G$5:$G$140&lt;&gt;"acoes")))*INDEX(Inputs!$K$5:$AJ$140,0,MATCH(K$2,Inputs!$K$4:$AJ$4,0)))))</f>
        <v>423.232</v>
      </c>
      <c r="L35" s="6">
        <f>IF(ISNA(MATCH(L$2,Inputs!$K$4:$AJ$4,0)),NA(),IF(SUMPRODUCT((Inputs!$A$5:$A$140=$B35)*ISNUMBER(INDEX(Inputs!$K$5:$AJ$140,0,MATCH(L$2,Inputs!$K$4:$AJ$4,0))))+SUMPRODUCT((Inputs!$C$5:$C$140=$B35)*ISNUMBER(INDEX(Inputs!$K$5:$AJ$140,0,MATCH(L$2,Inputs!$K$4:$AJ$4,0))))+SUMPRODUCT((Inputs!$E$5:$E$140=$B35)*ISNUMBER(INDEX(Inputs!$K$5:$AJ$140,0,MATCH(L$2,Inputs!$K$4:$AJ$4,0))))=0,NA(),SUMPRODUCT((Inputs!$A$5:$A$140=$B35)*Inputs!$B$5:$B$140*(((Inputs!$G$5:$G$140="moeda")+(Inputs!$G$5:$G$140="acoes"))*Inputs!$B$1+((Inputs!$G$5:$G$140&lt;&gt;"moeda")*(Inputs!$G$5:$G$140&lt;&gt;"acoes")))*INDEX(Inputs!$K$5:$AJ$140,0,MATCH(L$2,Inputs!$K$4:$AJ$4,0)))+SUMPRODUCT((Inputs!$C$5:$C$140=$B35)*Inputs!$D$5:$D$140*(((Inputs!$G$5:$G$140="moeda")+(Inputs!$G$5:$G$140="acoes"))*Inputs!$B$1+((Inputs!$G$5:$G$140&lt;&gt;"moeda")*(Inputs!$G$5:$G$140&lt;&gt;"acoes")))*INDEX(Inputs!$K$5:$AJ$140,0,MATCH(L$2,Inputs!$K$4:$AJ$4,0)))+SUMPRODUCT((Inputs!$E$5:$E$140=$B35)*Inputs!$F$5:$F$140*(((Inputs!$G$5:$G$140="moeda")+(Inputs!$G$5:$G$140="acoes"))*Inputs!$B$1+((Inputs!$G$5:$G$140&lt;&gt;"moeda")*(Inputs!$G$5:$G$140&lt;&gt;"acoes")))*INDEX(Inputs!$K$5:$AJ$140,0,MATCH(L$2,Inputs!$K$4:$AJ$4,0)))))</f>
        <v>360.082</v>
      </c>
      <c r="M35" s="3">
        <f>L35</f>
        <v>360.082</v>
      </c>
      <c r="N35" s="6">
        <f>IF(ISNA(MATCH(N$2,Inputs!$K$4:$AJ$4,0)),NA(),IF(SUMPRODUCT((Inputs!$A$5:$A$140=$B35)*ISNUMBER(INDEX(Inputs!$K$5:$AJ$140,0,MATCH(N$2,Inputs!$K$4:$AJ$4,0))))+SUMPRODUCT((Inputs!$C$5:$C$140=$B35)*ISNUMBER(INDEX(Inputs!$K$5:$AJ$140,0,MATCH(N$2,Inputs!$K$4:$AJ$4,0))))+SUMPRODUCT((Inputs!$E$5:$E$140=$B35)*ISNUMBER(INDEX(Inputs!$K$5:$AJ$140,0,MATCH(N$2,Inputs!$K$4:$AJ$4,0))))=0,NA(),SUMPRODUCT((Inputs!$A$5:$A$140=$B35)*Inputs!$B$5:$B$140*(((Inputs!$G$5:$G$140="moeda")+(Inputs!$G$5:$G$140="acoes"))*Inputs!$B$1+((Inputs!$G$5:$G$140&lt;&gt;"moeda")*(Inputs!$G$5:$G$140&lt;&gt;"acoes")))*INDEX(Inputs!$K$5:$AJ$140,0,MATCH(N$2,Inputs!$K$4:$AJ$4,0)))+SUMPRODUCT((Inputs!$C$5:$C$140=$B35)*Inputs!$D$5:$D$140*(((Inputs!$G$5:$G$140="moeda")+(Inputs!$G$5:$G$140="acoes"))*Inputs!$B$1+((Inputs!$G$5:$G$140&lt;&gt;"moeda")*(Inputs!$G$5:$G$140&lt;&gt;"acoes")))*INDEX(Inputs!$K$5:$AJ$140,0,MATCH(N$2,Inputs!$K$4:$AJ$4,0)))+SUMPRODUCT((Inputs!$E$5:$E$140=$B35)*Inputs!$F$5:$F$140*(((Inputs!$G$5:$G$140="moeda")+(Inputs!$G$5:$G$140="acoes"))*Inputs!$B$1+((Inputs!$G$5:$G$140&lt;&gt;"moeda")*(Inputs!$G$5:$G$140&lt;&gt;"acoes")))*INDEX(Inputs!$K$5:$AJ$140,0,MATCH(N$2,Inputs!$K$4:$AJ$4,0)))))</f>
        <v>360.4</v>
      </c>
      <c r="O35" s="6">
        <f>IF(ISNA(MATCH(O$2,Inputs!$K$4:$AJ$4,0)),NA(),IF(SUMPRODUCT((Inputs!$A$5:$A$140=$B35)*ISNUMBER(INDEX(Inputs!$K$5:$AJ$140,0,MATCH(O$2,Inputs!$K$4:$AJ$4,0))))+SUMPRODUCT((Inputs!$C$5:$C$140=$B35)*ISNUMBER(INDEX(Inputs!$K$5:$AJ$140,0,MATCH(O$2,Inputs!$K$4:$AJ$4,0))))+SUMPRODUCT((Inputs!$E$5:$E$140=$B35)*ISNUMBER(INDEX(Inputs!$K$5:$AJ$140,0,MATCH(O$2,Inputs!$K$4:$AJ$4,0))))=0,NA(),SUMPRODUCT((Inputs!$A$5:$A$140=$B35)*Inputs!$B$5:$B$140*(((Inputs!$G$5:$G$140="moeda")+(Inputs!$G$5:$G$140="acoes"))*Inputs!$B$1+((Inputs!$G$5:$G$140&lt;&gt;"moeda")*(Inputs!$G$5:$G$140&lt;&gt;"acoes")))*INDEX(Inputs!$K$5:$AJ$140,0,MATCH(O$2,Inputs!$K$4:$AJ$4,0)))+SUMPRODUCT((Inputs!$C$5:$C$140=$B35)*Inputs!$D$5:$D$140*(((Inputs!$G$5:$G$140="moeda")+(Inputs!$G$5:$G$140="acoes"))*Inputs!$B$1+((Inputs!$G$5:$G$140&lt;&gt;"moeda")*(Inputs!$G$5:$G$140&lt;&gt;"acoes")))*INDEX(Inputs!$K$5:$AJ$140,0,MATCH(O$2,Inputs!$K$4:$AJ$4,0)))+SUMPRODUCT((Inputs!$E$5:$E$140=$B35)*Inputs!$F$5:$F$140*(((Inputs!$G$5:$G$140="moeda")+(Inputs!$G$5:$G$140="acoes"))*Inputs!$B$1+((Inputs!$G$5:$G$140&lt;&gt;"moeda")*(Inputs!$G$5:$G$140&lt;&gt;"acoes")))*INDEX(Inputs!$K$5:$AJ$140,0,MATCH(O$2,Inputs!$K$4:$AJ$4,0)))))</f>
        <v>360.64</v>
      </c>
      <c r="P35" s="6">
        <f>IF(ISNA(MATCH(P$2,Inputs!$K$4:$AJ$4,0)),NA(),IF(SUMPRODUCT((Inputs!$A$5:$A$140=$B35)*ISNUMBER(INDEX(Inputs!$K$5:$AJ$140,0,MATCH(P$2,Inputs!$K$4:$AJ$4,0))))+SUMPRODUCT((Inputs!$C$5:$C$140=$B35)*ISNUMBER(INDEX(Inputs!$K$5:$AJ$140,0,MATCH(P$2,Inputs!$K$4:$AJ$4,0))))+SUMPRODUCT((Inputs!$E$5:$E$140=$B35)*ISNUMBER(INDEX(Inputs!$K$5:$AJ$140,0,MATCH(P$2,Inputs!$K$4:$AJ$4,0))))=0,NA(),SUMPRODUCT((Inputs!$A$5:$A$140=$B35)*Inputs!$B$5:$B$140*(((Inputs!$G$5:$G$140="moeda")+(Inputs!$G$5:$G$140="acoes"))*Inputs!$B$1+((Inputs!$G$5:$G$140&lt;&gt;"moeda")*(Inputs!$G$5:$G$140&lt;&gt;"acoes")))*INDEX(Inputs!$K$5:$AJ$140,0,MATCH(P$2,Inputs!$K$4:$AJ$4,0)))+SUMPRODUCT((Inputs!$C$5:$C$140=$B35)*Inputs!$D$5:$D$140*(((Inputs!$G$5:$G$140="moeda")+(Inputs!$G$5:$G$140="acoes"))*Inputs!$B$1+((Inputs!$G$5:$G$140&lt;&gt;"moeda")*(Inputs!$G$5:$G$140&lt;&gt;"acoes")))*INDEX(Inputs!$K$5:$AJ$140,0,MATCH(P$2,Inputs!$K$4:$AJ$4,0)))+SUMPRODUCT((Inputs!$E$5:$E$140=$B35)*Inputs!$F$5:$F$140*(((Inputs!$G$5:$G$140="moeda")+(Inputs!$G$5:$G$140="acoes"))*Inputs!$B$1+((Inputs!$G$5:$G$140&lt;&gt;"moeda")*(Inputs!$G$5:$G$140&lt;&gt;"acoes")))*INDEX(Inputs!$K$5:$AJ$140,0,MATCH(P$2,Inputs!$K$4:$AJ$4,0)))))</f>
        <v>510.779</v>
      </c>
      <c r="Q35" s="6">
        <f>IF(ISNA(MATCH(Q$2,Inputs!$K$4:$AJ$4,0)),NA(),IF(SUMPRODUCT((Inputs!$A$5:$A$140=$B35)*ISNUMBER(INDEX(Inputs!$K$5:$AJ$140,0,MATCH(Q$2,Inputs!$K$4:$AJ$4,0))))+SUMPRODUCT((Inputs!$C$5:$C$140=$B35)*ISNUMBER(INDEX(Inputs!$K$5:$AJ$140,0,MATCH(Q$2,Inputs!$K$4:$AJ$4,0))))+SUMPRODUCT((Inputs!$E$5:$E$140=$B35)*ISNUMBER(INDEX(Inputs!$K$5:$AJ$140,0,MATCH(Q$2,Inputs!$K$4:$AJ$4,0))))=0,NA(),SUMPRODUCT((Inputs!$A$5:$A$140=$B35)*Inputs!$B$5:$B$140*(((Inputs!$G$5:$G$140="moeda")+(Inputs!$G$5:$G$140="acoes"))*Inputs!$B$1+((Inputs!$G$5:$G$140&lt;&gt;"moeda")*(Inputs!$G$5:$G$140&lt;&gt;"acoes")))*INDEX(Inputs!$K$5:$AJ$140,0,MATCH(Q$2,Inputs!$K$4:$AJ$4,0)))+SUMPRODUCT((Inputs!$C$5:$C$140=$B35)*Inputs!$D$5:$D$140*(((Inputs!$G$5:$G$140="moeda")+(Inputs!$G$5:$G$140="acoes"))*Inputs!$B$1+((Inputs!$G$5:$G$140&lt;&gt;"moeda")*(Inputs!$G$5:$G$140&lt;&gt;"acoes")))*INDEX(Inputs!$K$5:$AJ$140,0,MATCH(Q$2,Inputs!$K$4:$AJ$4,0)))+SUMPRODUCT((Inputs!$E$5:$E$140=$B35)*Inputs!$F$5:$F$140*(((Inputs!$G$5:$G$140="moeda")+(Inputs!$G$5:$G$140="acoes"))*Inputs!$B$1+((Inputs!$G$5:$G$140&lt;&gt;"moeda")*(Inputs!$G$5:$G$140&lt;&gt;"acoes")))*INDEX(Inputs!$K$5:$AJ$140,0,MATCH(Q$2,Inputs!$K$4:$AJ$4,0)))))</f>
        <v>489.081</v>
      </c>
      <c r="R35" s="3">
        <f>Q35</f>
        <v>489.081</v>
      </c>
      <c r="S35" s="6">
        <f>IF(ISNA(MATCH(S$2,Inputs!$K$4:$AJ$4,0)),NA(),IF(SUMPRODUCT((Inputs!$A$5:$A$140=$B35)*ISNUMBER(INDEX(Inputs!$K$5:$AJ$140,0,MATCH(S$2,Inputs!$K$4:$AJ$4,0))))+SUMPRODUCT((Inputs!$C$5:$C$140=$B35)*ISNUMBER(INDEX(Inputs!$K$5:$AJ$140,0,MATCH(S$2,Inputs!$K$4:$AJ$4,0))))+SUMPRODUCT((Inputs!$E$5:$E$140=$B35)*ISNUMBER(INDEX(Inputs!$K$5:$AJ$140,0,MATCH(S$2,Inputs!$K$4:$AJ$4,0))))=0,NA(),SUMPRODUCT((Inputs!$A$5:$A$140=$B35)*Inputs!$B$5:$B$140*(((Inputs!$G$5:$G$140="moeda")+(Inputs!$G$5:$G$140="acoes"))*Inputs!$B$1+((Inputs!$G$5:$G$140&lt;&gt;"moeda")*(Inputs!$G$5:$G$140&lt;&gt;"acoes")))*INDEX(Inputs!$K$5:$AJ$140,0,MATCH(S$2,Inputs!$K$4:$AJ$4,0)))+SUMPRODUCT((Inputs!$C$5:$C$140=$B35)*Inputs!$D$5:$D$140*(((Inputs!$G$5:$G$140="moeda")+(Inputs!$G$5:$G$140="acoes"))*Inputs!$B$1+((Inputs!$G$5:$G$140&lt;&gt;"moeda")*(Inputs!$G$5:$G$140&lt;&gt;"acoes")))*INDEX(Inputs!$K$5:$AJ$140,0,MATCH(S$2,Inputs!$K$4:$AJ$4,0)))+SUMPRODUCT((Inputs!$E$5:$E$140=$B35)*Inputs!$F$5:$F$140*(((Inputs!$G$5:$G$140="moeda")+(Inputs!$G$5:$G$140="acoes"))*Inputs!$B$1+((Inputs!$G$5:$G$140&lt;&gt;"moeda")*(Inputs!$G$5:$G$140&lt;&gt;"acoes")))*INDEX(Inputs!$K$5:$AJ$140,0,MATCH(S$2,Inputs!$K$4:$AJ$4,0)))))</f>
        <v>480.268</v>
      </c>
      <c r="T35" s="6">
        <f>IF(ISNA(MATCH(T$2,Inputs!$K$4:$AJ$4,0)),NA(),IF(SUMPRODUCT((Inputs!$A$5:$A$140=$B35)*ISNUMBER(INDEX(Inputs!$K$5:$AJ$140,0,MATCH(T$2,Inputs!$K$4:$AJ$4,0))))+SUMPRODUCT((Inputs!$C$5:$C$140=$B35)*ISNUMBER(INDEX(Inputs!$K$5:$AJ$140,0,MATCH(T$2,Inputs!$K$4:$AJ$4,0))))+SUMPRODUCT((Inputs!$E$5:$E$140=$B35)*ISNUMBER(INDEX(Inputs!$K$5:$AJ$140,0,MATCH(T$2,Inputs!$K$4:$AJ$4,0))))=0,NA(),SUMPRODUCT((Inputs!$A$5:$A$140=$B35)*Inputs!$B$5:$B$140*(((Inputs!$G$5:$G$140="moeda")+(Inputs!$G$5:$G$140="acoes"))*Inputs!$B$1+((Inputs!$G$5:$G$140&lt;&gt;"moeda")*(Inputs!$G$5:$G$140&lt;&gt;"acoes")))*INDEX(Inputs!$K$5:$AJ$140,0,MATCH(T$2,Inputs!$K$4:$AJ$4,0)))+SUMPRODUCT((Inputs!$C$5:$C$140=$B35)*Inputs!$D$5:$D$140*(((Inputs!$G$5:$G$140="moeda")+(Inputs!$G$5:$G$140="acoes"))*Inputs!$B$1+((Inputs!$G$5:$G$140&lt;&gt;"moeda")*(Inputs!$G$5:$G$140&lt;&gt;"acoes")))*INDEX(Inputs!$K$5:$AJ$140,0,MATCH(T$2,Inputs!$K$4:$AJ$4,0)))+SUMPRODUCT((Inputs!$E$5:$E$140=$B35)*Inputs!$F$5:$F$140*(((Inputs!$G$5:$G$140="moeda")+(Inputs!$G$5:$G$140="acoes"))*Inputs!$B$1+((Inputs!$G$5:$G$140&lt;&gt;"moeda")*(Inputs!$G$5:$G$140&lt;&gt;"acoes")))*INDEX(Inputs!$K$5:$AJ$140,0,MATCH(T$2,Inputs!$K$4:$AJ$4,0)))))</f>
        <v>960.708</v>
      </c>
      <c r="U35" s="6">
        <f>IF(ISNA(MATCH(U$2,Inputs!$K$4:$AJ$4,0)),NA(),IF(SUMPRODUCT((Inputs!$A$5:$A$140=$B35)*ISNUMBER(INDEX(Inputs!$K$5:$AJ$140,0,MATCH(U$2,Inputs!$K$4:$AJ$4,0))))+SUMPRODUCT((Inputs!$C$5:$C$140=$B35)*ISNUMBER(INDEX(Inputs!$K$5:$AJ$140,0,MATCH(U$2,Inputs!$K$4:$AJ$4,0))))+SUMPRODUCT((Inputs!$E$5:$E$140=$B35)*ISNUMBER(INDEX(Inputs!$K$5:$AJ$140,0,MATCH(U$2,Inputs!$K$4:$AJ$4,0))))=0,NA(),SUMPRODUCT((Inputs!$A$5:$A$140=$B35)*Inputs!$B$5:$B$140*(((Inputs!$G$5:$G$140="moeda")+(Inputs!$G$5:$G$140="acoes"))*Inputs!$B$1+((Inputs!$G$5:$G$140&lt;&gt;"moeda")*(Inputs!$G$5:$G$140&lt;&gt;"acoes")))*INDEX(Inputs!$K$5:$AJ$140,0,MATCH(U$2,Inputs!$K$4:$AJ$4,0)))+SUMPRODUCT((Inputs!$C$5:$C$140=$B35)*Inputs!$D$5:$D$140*(((Inputs!$G$5:$G$140="moeda")+(Inputs!$G$5:$G$140="acoes"))*Inputs!$B$1+((Inputs!$G$5:$G$140&lt;&gt;"moeda")*(Inputs!$G$5:$G$140&lt;&gt;"acoes")))*INDEX(Inputs!$K$5:$AJ$140,0,MATCH(U$2,Inputs!$K$4:$AJ$4,0)))+SUMPRODUCT((Inputs!$E$5:$E$140=$B35)*Inputs!$F$5:$F$140*(((Inputs!$G$5:$G$140="moeda")+(Inputs!$G$5:$G$140="acoes"))*Inputs!$B$1+((Inputs!$G$5:$G$140&lt;&gt;"moeda")*(Inputs!$G$5:$G$140&lt;&gt;"acoes")))*INDEX(Inputs!$K$5:$AJ$140,0,MATCH(U$2,Inputs!$K$4:$AJ$4,0)))))</f>
        <v>961.025</v>
      </c>
      <c r="V35" s="6">
        <f>IF(ISNA(MATCH(V$2,Inputs!$K$4:$AJ$4,0)),NA(),IF(SUMPRODUCT((Inputs!$A$5:$A$140=$B35)*ISNUMBER(INDEX(Inputs!$K$5:$AJ$140,0,MATCH(V$2,Inputs!$K$4:$AJ$4,0))))+SUMPRODUCT((Inputs!$C$5:$C$140=$B35)*ISNUMBER(INDEX(Inputs!$K$5:$AJ$140,0,MATCH(V$2,Inputs!$K$4:$AJ$4,0))))+SUMPRODUCT((Inputs!$E$5:$E$140=$B35)*ISNUMBER(INDEX(Inputs!$K$5:$AJ$140,0,MATCH(V$2,Inputs!$K$4:$AJ$4,0))))=0,NA(),SUMPRODUCT((Inputs!$A$5:$A$140=$B35)*Inputs!$B$5:$B$140*(((Inputs!$G$5:$G$140="moeda")+(Inputs!$G$5:$G$140="acoes"))*Inputs!$B$1+((Inputs!$G$5:$G$140&lt;&gt;"moeda")*(Inputs!$G$5:$G$140&lt;&gt;"acoes")))*INDEX(Inputs!$K$5:$AJ$140,0,MATCH(V$2,Inputs!$K$4:$AJ$4,0)))+SUMPRODUCT((Inputs!$C$5:$C$140=$B35)*Inputs!$D$5:$D$140*(((Inputs!$G$5:$G$140="moeda")+(Inputs!$G$5:$G$140="acoes"))*Inputs!$B$1+((Inputs!$G$5:$G$140&lt;&gt;"moeda")*(Inputs!$G$5:$G$140&lt;&gt;"acoes")))*INDEX(Inputs!$K$5:$AJ$140,0,MATCH(V$2,Inputs!$K$4:$AJ$4,0)))+SUMPRODUCT((Inputs!$E$5:$E$140=$B35)*Inputs!$F$5:$F$140*(((Inputs!$G$5:$G$140="moeda")+(Inputs!$G$5:$G$140="acoes"))*Inputs!$B$1+((Inputs!$G$5:$G$140&lt;&gt;"moeda")*(Inputs!$G$5:$G$140&lt;&gt;"acoes")))*INDEX(Inputs!$K$5:$AJ$140,0,MATCH(V$2,Inputs!$K$4:$AJ$4,0)))))</f>
        <v>777.513</v>
      </c>
      <c r="W35" s="3">
        <f>V35</f>
        <v>777.513</v>
      </c>
      <c r="X35" s="6">
        <f>IF(ISNA(MATCH(X$2,Inputs!$K$4:$AJ$4,0)),NA(),IF(SUMPRODUCT((Inputs!$A$5:$A$140=$B35)*ISNUMBER(INDEX(Inputs!$K$5:$AJ$140,0,MATCH(X$2,Inputs!$K$4:$AJ$4,0))))+SUMPRODUCT((Inputs!$C$5:$C$140=$B35)*ISNUMBER(INDEX(Inputs!$K$5:$AJ$140,0,MATCH(X$2,Inputs!$K$4:$AJ$4,0))))+SUMPRODUCT((Inputs!$E$5:$E$140=$B35)*ISNUMBER(INDEX(Inputs!$K$5:$AJ$140,0,MATCH(X$2,Inputs!$K$4:$AJ$4,0))))=0,NA(),SUMPRODUCT((Inputs!$A$5:$A$140=$B35)*Inputs!$B$5:$B$140*(((Inputs!$G$5:$G$140="moeda")+(Inputs!$G$5:$G$140="acoes"))*Inputs!$B$1+((Inputs!$G$5:$G$140&lt;&gt;"moeda")*(Inputs!$G$5:$G$140&lt;&gt;"acoes")))*INDEX(Inputs!$K$5:$AJ$140,0,MATCH(X$2,Inputs!$K$4:$AJ$4,0)))+SUMPRODUCT((Inputs!$C$5:$C$140=$B35)*Inputs!$D$5:$D$140*(((Inputs!$G$5:$G$140="moeda")+(Inputs!$G$5:$G$140="acoes"))*Inputs!$B$1+((Inputs!$G$5:$G$140&lt;&gt;"moeda")*(Inputs!$G$5:$G$140&lt;&gt;"acoes")))*INDEX(Inputs!$K$5:$AJ$140,0,MATCH(X$2,Inputs!$K$4:$AJ$4,0)))+SUMPRODUCT((Inputs!$E$5:$E$140=$B35)*Inputs!$F$5:$F$140*(((Inputs!$G$5:$G$140="moeda")+(Inputs!$G$5:$G$140="acoes"))*Inputs!$B$1+((Inputs!$G$5:$G$140&lt;&gt;"moeda")*(Inputs!$G$5:$G$140&lt;&gt;"acoes")))*INDEX(Inputs!$K$5:$AJ$140,0,MATCH(X$2,Inputs!$K$4:$AJ$4,0)))))</f>
        <v>1150.733</v>
      </c>
      <c r="Y35" s="6">
        <f>IF(ISNA(MATCH(Y$2,Inputs!$K$4:$AJ$4,0)),NA(),IF(SUMPRODUCT((Inputs!$A$5:$A$140=$B35)*ISNUMBER(INDEX(Inputs!$K$5:$AJ$140,0,MATCH(Y$2,Inputs!$K$4:$AJ$4,0))))+SUMPRODUCT((Inputs!$C$5:$C$140=$B35)*ISNUMBER(INDEX(Inputs!$K$5:$AJ$140,0,MATCH(Y$2,Inputs!$K$4:$AJ$4,0))))+SUMPRODUCT((Inputs!$E$5:$E$140=$B35)*ISNUMBER(INDEX(Inputs!$K$5:$AJ$140,0,MATCH(Y$2,Inputs!$K$4:$AJ$4,0))))=0,NA(),SUMPRODUCT((Inputs!$A$5:$A$140=$B35)*Inputs!$B$5:$B$140*(((Inputs!$G$5:$G$140="moeda")+(Inputs!$G$5:$G$140="acoes"))*Inputs!$B$1+((Inputs!$G$5:$G$140&lt;&gt;"moeda")*(Inputs!$G$5:$G$140&lt;&gt;"acoes")))*INDEX(Inputs!$K$5:$AJ$140,0,MATCH(Y$2,Inputs!$K$4:$AJ$4,0)))+SUMPRODUCT((Inputs!$C$5:$C$140=$B35)*Inputs!$D$5:$D$140*(((Inputs!$G$5:$G$140="moeda")+(Inputs!$G$5:$G$140="acoes"))*Inputs!$B$1+((Inputs!$G$5:$G$140&lt;&gt;"moeda")*(Inputs!$G$5:$G$140&lt;&gt;"acoes")))*INDEX(Inputs!$K$5:$AJ$140,0,MATCH(Y$2,Inputs!$K$4:$AJ$4,0)))+SUMPRODUCT((Inputs!$E$5:$E$140=$B35)*Inputs!$F$5:$F$140*(((Inputs!$G$5:$G$140="moeda")+(Inputs!$G$5:$G$140="acoes"))*Inputs!$B$1+((Inputs!$G$5:$G$140&lt;&gt;"moeda")*(Inputs!$G$5:$G$140&lt;&gt;"acoes")))*INDEX(Inputs!$K$5:$AJ$140,0,MATCH(Y$2,Inputs!$K$4:$AJ$4,0)))))</f>
        <v>1147.008</v>
      </c>
      <c r="Z35" s="6">
        <f>IF(ISNA(MATCH(Z$2,Inputs!$K$4:$AJ$4,0)),NA(),IF(SUMPRODUCT((Inputs!$A$5:$A$140=$B35)*ISNUMBER(INDEX(Inputs!$K$5:$AJ$140,0,MATCH(Z$2,Inputs!$K$4:$AJ$4,0))))+SUMPRODUCT((Inputs!$C$5:$C$140=$B35)*ISNUMBER(INDEX(Inputs!$K$5:$AJ$140,0,MATCH(Z$2,Inputs!$K$4:$AJ$4,0))))+SUMPRODUCT((Inputs!$E$5:$E$140=$B35)*ISNUMBER(INDEX(Inputs!$K$5:$AJ$140,0,MATCH(Z$2,Inputs!$K$4:$AJ$4,0))))=0,NA(),SUMPRODUCT((Inputs!$A$5:$A$140=$B35)*Inputs!$B$5:$B$140*(((Inputs!$G$5:$G$140="moeda")+(Inputs!$G$5:$G$140="acoes"))*Inputs!$B$1+((Inputs!$G$5:$G$140&lt;&gt;"moeda")*(Inputs!$G$5:$G$140&lt;&gt;"acoes")))*INDEX(Inputs!$K$5:$AJ$140,0,MATCH(Z$2,Inputs!$K$4:$AJ$4,0)))+SUMPRODUCT((Inputs!$C$5:$C$140=$B35)*Inputs!$D$5:$D$140*(((Inputs!$G$5:$G$140="moeda")+(Inputs!$G$5:$G$140="acoes"))*Inputs!$B$1+((Inputs!$G$5:$G$140&lt;&gt;"moeda")*(Inputs!$G$5:$G$140&lt;&gt;"acoes")))*INDEX(Inputs!$K$5:$AJ$140,0,MATCH(Z$2,Inputs!$K$4:$AJ$4,0)))+SUMPRODUCT((Inputs!$E$5:$E$140=$B35)*Inputs!$F$5:$F$140*(((Inputs!$G$5:$G$140="moeda")+(Inputs!$G$5:$G$140="acoes"))*Inputs!$B$1+((Inputs!$G$5:$G$140&lt;&gt;"moeda")*(Inputs!$G$5:$G$140&lt;&gt;"acoes")))*INDEX(Inputs!$K$5:$AJ$140,0,MATCH(Z$2,Inputs!$K$4:$AJ$4,0)))))</f>
        <v>1172.288</v>
      </c>
      <c r="AA35" s="6">
        <f>IF(ISNA(MATCH(AA$2,Inputs!$K$4:$AJ$4,0)),NA(),IF(SUMPRODUCT((Inputs!$A$5:$A$140=$B35)*ISNUMBER(INDEX(Inputs!$K$5:$AJ$140,0,MATCH(AA$2,Inputs!$K$4:$AJ$4,0))))+SUMPRODUCT((Inputs!$C$5:$C$140=$B35)*ISNUMBER(INDEX(Inputs!$K$5:$AJ$140,0,MATCH(AA$2,Inputs!$K$4:$AJ$4,0))))+SUMPRODUCT((Inputs!$E$5:$E$140=$B35)*ISNUMBER(INDEX(Inputs!$K$5:$AJ$140,0,MATCH(AA$2,Inputs!$K$4:$AJ$4,0))))=0,NA(),SUMPRODUCT((Inputs!$A$5:$A$140=$B35)*Inputs!$B$5:$B$140*(((Inputs!$G$5:$G$140="moeda")+(Inputs!$G$5:$G$140="acoes"))*Inputs!$B$1+((Inputs!$G$5:$G$140&lt;&gt;"moeda")*(Inputs!$G$5:$G$140&lt;&gt;"acoes")))*INDEX(Inputs!$K$5:$AJ$140,0,MATCH(AA$2,Inputs!$K$4:$AJ$4,0)))+SUMPRODUCT((Inputs!$C$5:$C$140=$B35)*Inputs!$D$5:$D$140*(((Inputs!$G$5:$G$140="moeda")+(Inputs!$G$5:$G$140="acoes"))*Inputs!$B$1+((Inputs!$G$5:$G$140&lt;&gt;"moeda")*(Inputs!$G$5:$G$140&lt;&gt;"acoes")))*INDEX(Inputs!$K$5:$AJ$140,0,MATCH(AA$2,Inputs!$K$4:$AJ$4,0)))+SUMPRODUCT((Inputs!$E$5:$E$140=$B35)*Inputs!$F$5:$F$140*(((Inputs!$G$5:$G$140="moeda")+(Inputs!$G$5:$G$140="acoes"))*Inputs!$B$1+((Inputs!$G$5:$G$140&lt;&gt;"moeda")*(Inputs!$G$5:$G$140&lt;&gt;"acoes")))*INDEX(Inputs!$K$5:$AJ$140,0,MATCH(AA$2,Inputs!$K$4:$AJ$4,0)))))</f>
        <v>1175.028</v>
      </c>
      <c r="AB35" s="3">
        <f>AA35</f>
        <v>1175.028</v>
      </c>
      <c r="AC35" s="6">
        <f>IF(ISNA(MATCH(AC$2,Inputs!$K$4:$AJ$4,0)),NA(),IF(SUMPRODUCT((Inputs!$A$5:$A$140=$B35)*ISNUMBER(INDEX(Inputs!$K$5:$AJ$140,0,MATCH(AC$2,Inputs!$K$4:$AJ$4,0))))+SUMPRODUCT((Inputs!$C$5:$C$140=$B35)*ISNUMBER(INDEX(Inputs!$K$5:$AJ$140,0,MATCH(AC$2,Inputs!$K$4:$AJ$4,0))))+SUMPRODUCT((Inputs!$E$5:$E$140=$B35)*ISNUMBER(INDEX(Inputs!$K$5:$AJ$140,0,MATCH(AC$2,Inputs!$K$4:$AJ$4,0))))=0,NA(),SUMPRODUCT((Inputs!$A$5:$A$140=$B35)*Inputs!$B$5:$B$140*(((Inputs!$G$5:$G$140="moeda")+(Inputs!$G$5:$G$140="acoes"))*Inputs!$B$1+((Inputs!$G$5:$G$140&lt;&gt;"moeda")*(Inputs!$G$5:$G$140&lt;&gt;"acoes")))*INDEX(Inputs!$K$5:$AJ$140,0,MATCH(AC$2,Inputs!$K$4:$AJ$4,0)))+SUMPRODUCT((Inputs!$C$5:$C$140=$B35)*Inputs!$D$5:$D$140*(((Inputs!$G$5:$G$140="moeda")+(Inputs!$G$5:$G$140="acoes"))*Inputs!$B$1+((Inputs!$G$5:$G$140&lt;&gt;"moeda")*(Inputs!$G$5:$G$140&lt;&gt;"acoes")))*INDEX(Inputs!$K$5:$AJ$140,0,MATCH(AC$2,Inputs!$K$4:$AJ$4,0)))+SUMPRODUCT((Inputs!$E$5:$E$140=$B35)*Inputs!$F$5:$F$140*(((Inputs!$G$5:$G$140="moeda")+(Inputs!$G$5:$G$140="acoes"))*Inputs!$B$1+((Inputs!$G$5:$G$140&lt;&gt;"moeda")*(Inputs!$G$5:$G$140&lt;&gt;"acoes")))*INDEX(Inputs!$K$5:$AJ$140,0,MATCH(AC$2,Inputs!$K$4:$AJ$4,0)))))</f>
        <v>1174.61</v>
      </c>
      <c r="AD35" s="6">
        <f>IF(ISNA(MATCH(AD$2,Inputs!$K$4:$AJ$4,0)),NA(),IF(SUMPRODUCT((Inputs!$A$5:$A$140=$B35)*ISNUMBER(INDEX(Inputs!$K$5:$AJ$140,0,MATCH(AD$2,Inputs!$K$4:$AJ$4,0))))+SUMPRODUCT((Inputs!$C$5:$C$140=$B35)*ISNUMBER(INDEX(Inputs!$K$5:$AJ$140,0,MATCH(AD$2,Inputs!$K$4:$AJ$4,0))))+SUMPRODUCT((Inputs!$E$5:$E$140=$B35)*ISNUMBER(INDEX(Inputs!$K$5:$AJ$140,0,MATCH(AD$2,Inputs!$K$4:$AJ$4,0))))=0,NA(),SUMPRODUCT((Inputs!$A$5:$A$140=$B35)*Inputs!$B$5:$B$140*(((Inputs!$G$5:$G$140="moeda")+(Inputs!$G$5:$G$140="acoes"))*Inputs!$B$1+((Inputs!$G$5:$G$140&lt;&gt;"moeda")*(Inputs!$G$5:$G$140&lt;&gt;"acoes")))*INDEX(Inputs!$K$5:$AJ$140,0,MATCH(AD$2,Inputs!$K$4:$AJ$4,0)))+SUMPRODUCT((Inputs!$C$5:$C$140=$B35)*Inputs!$D$5:$D$140*(((Inputs!$G$5:$G$140="moeda")+(Inputs!$G$5:$G$140="acoes"))*Inputs!$B$1+((Inputs!$G$5:$G$140&lt;&gt;"moeda")*(Inputs!$G$5:$G$140&lt;&gt;"acoes")))*INDEX(Inputs!$K$5:$AJ$140,0,MATCH(AD$2,Inputs!$K$4:$AJ$4,0)))+SUMPRODUCT((Inputs!$E$5:$E$140=$B35)*Inputs!$F$5:$F$140*(((Inputs!$G$5:$G$140="moeda")+(Inputs!$G$5:$G$140="acoes"))*Inputs!$B$1+((Inputs!$G$5:$G$140&lt;&gt;"moeda")*(Inputs!$G$5:$G$140&lt;&gt;"acoes")))*INDEX(Inputs!$K$5:$AJ$140,0,MATCH(AD$2,Inputs!$K$4:$AJ$4,0)))))</f>
        <v>1164.242</v>
      </c>
      <c r="AE35" s="6" t="e">
        <f>IF(ISNA(MATCH(AE$2,Inputs!$K$4:$AJ$4,0)),NA(),IF(SUMPRODUCT((Inputs!$A$5:$A$140=$B35)*ISNUMBER(INDEX(Inputs!$K$5:$AJ$140,0,MATCH(AE$2,Inputs!$K$4:$AJ$4,0))))+SUMPRODUCT((Inputs!$C$5:$C$140=$B35)*ISNUMBER(INDEX(Inputs!$K$5:$AJ$140,0,MATCH(AE$2,Inputs!$K$4:$AJ$4,0))))+SUMPRODUCT((Inputs!$E$5:$E$140=$B35)*ISNUMBER(INDEX(Inputs!$K$5:$AJ$140,0,MATCH(AE$2,Inputs!$K$4:$AJ$4,0))))=0,NA(),SUMPRODUCT((Inputs!$A$5:$A$140=$B35)*Inputs!$B$5:$B$140*(((Inputs!$G$5:$G$140="moeda")+(Inputs!$G$5:$G$140="acoes"))*Inputs!$B$1+((Inputs!$G$5:$G$140&lt;&gt;"moeda")*(Inputs!$G$5:$G$140&lt;&gt;"acoes")))*INDEX(Inputs!$K$5:$AJ$140,0,MATCH(AE$2,Inputs!$K$4:$AJ$4,0)))+SUMPRODUCT((Inputs!$C$5:$C$140=$B35)*Inputs!$D$5:$D$140*(((Inputs!$G$5:$G$140="moeda")+(Inputs!$G$5:$G$140="acoes"))*Inputs!$B$1+((Inputs!$G$5:$G$140&lt;&gt;"moeda")*(Inputs!$G$5:$G$140&lt;&gt;"acoes")))*INDEX(Inputs!$K$5:$AJ$140,0,MATCH(AE$2,Inputs!$K$4:$AJ$4,0)))+SUMPRODUCT((Inputs!$E$5:$E$140=$B35)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5" s="6" t="e">
        <f>IF(ISNA(MATCH(AF$2,Inputs!$K$4:$AJ$4,0)),NA(),IF(SUMPRODUCT((Inputs!$A$5:$A$140=$B35)*ISNUMBER(INDEX(Inputs!$K$5:$AJ$140,0,MATCH(AF$2,Inputs!$K$4:$AJ$4,0))))+SUMPRODUCT((Inputs!$C$5:$C$140=$B35)*ISNUMBER(INDEX(Inputs!$K$5:$AJ$140,0,MATCH(AF$2,Inputs!$K$4:$AJ$4,0))))+SUMPRODUCT((Inputs!$E$5:$E$140=$B35)*ISNUMBER(INDEX(Inputs!$K$5:$AJ$140,0,MATCH(AF$2,Inputs!$K$4:$AJ$4,0))))=0,NA(),SUMPRODUCT((Inputs!$A$5:$A$140=$B35)*Inputs!$B$5:$B$140*(((Inputs!$G$5:$G$140="moeda")+(Inputs!$G$5:$G$140="acoes"))*Inputs!$B$1+((Inputs!$G$5:$G$140&lt;&gt;"moeda")*(Inputs!$G$5:$G$140&lt;&gt;"acoes")))*INDEX(Inputs!$K$5:$AJ$140,0,MATCH(AF$2,Inputs!$K$4:$AJ$4,0)))+SUMPRODUCT((Inputs!$C$5:$C$140=$B35)*Inputs!$D$5:$D$140*(((Inputs!$G$5:$G$140="moeda")+(Inputs!$G$5:$G$140="acoes"))*Inputs!$B$1+((Inputs!$G$5:$G$140&lt;&gt;"moeda")*(Inputs!$G$5:$G$140&lt;&gt;"acoes")))*INDEX(Inputs!$K$5:$AJ$140,0,MATCH(AF$2,Inputs!$K$4:$AJ$4,0)))+SUMPRODUCT((Inputs!$E$5:$E$140=$B35)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5" s="3" t="e">
        <f>AF35</f>
        <v>#N/A</v>
      </c>
      <c r="AH35" s="6">
        <f>IF(ISNA(MATCH(AH$2,Inputs!$K$4:$AJ$4,0)),NA(),IF(SUMPRODUCT((Inputs!$A$5:$A$140=$B35)*ISNUMBER(INDEX(Inputs!$K$5:$AJ$140,0,MATCH(AH$2,Inputs!$K$4:$AJ$4,0))))+SUMPRODUCT((Inputs!$C$5:$C$140=$B35)*ISNUMBER(INDEX(Inputs!$K$5:$AJ$140,0,MATCH(AH$2,Inputs!$K$4:$AJ$4,0))))+SUMPRODUCT((Inputs!$E$5:$E$140=$B35)*ISNUMBER(INDEX(Inputs!$K$5:$AJ$140,0,MATCH(AH$2,Inputs!$K$4:$AJ$4,0))))=0,NA(),SUMPRODUCT((Inputs!$A$5:$A$140=$B35)*Inputs!$B$5:$B$140*(((Inputs!$G$5:$G$140="moeda")+(Inputs!$G$5:$G$140="acoes"))*Inputs!$B$1+((Inputs!$G$5:$G$140&lt;&gt;"moeda")*(Inputs!$G$5:$G$140&lt;&gt;"acoes")))*INDEX(Inputs!$K$5:$AJ$140,0,MATCH(AH$2,Inputs!$K$4:$AJ$4,0)))+SUMPRODUCT((Inputs!$C$5:$C$140=$B35)*Inputs!$D$5:$D$140*(((Inputs!$G$5:$G$140="moeda")+(Inputs!$G$5:$G$140="acoes"))*Inputs!$B$1+((Inputs!$G$5:$G$140&lt;&gt;"moeda")*(Inputs!$G$5:$G$140&lt;&gt;"acoes")))*INDEX(Inputs!$K$5:$AJ$140,0,MATCH(AH$2,Inputs!$K$4:$AJ$4,0)))+SUMPRODUCT((Inputs!$E$5:$E$140=$B35)*Inputs!$F$5:$F$140*(((Inputs!$G$5:$G$140="moeda")+(Inputs!$G$5:$G$140="acoes"))*Inputs!$B$1+((Inputs!$G$5:$G$140&lt;&gt;"moeda")*(Inputs!$G$5:$G$140&lt;&gt;"acoes")))*INDEX(Inputs!$K$5:$AJ$140,0,MATCH(AH$2,Inputs!$K$4:$AJ$4,0)))))</f>
        <v>234.669</v>
      </c>
      <c r="AI35" s="6">
        <f>IF(ISNA(MATCH(AI$2,Inputs!$K$4:$AJ$4,0)),NA(),IF(SUMPRODUCT((Inputs!$A$5:$A$140=$B35)*ISNUMBER(INDEX(Inputs!$K$5:$AJ$140,0,MATCH(AI$2,Inputs!$K$4:$AJ$4,0))))+SUMPRODUCT((Inputs!$C$5:$C$140=$B35)*ISNUMBER(INDEX(Inputs!$K$5:$AJ$140,0,MATCH(AI$2,Inputs!$K$4:$AJ$4,0))))+SUMPRODUCT((Inputs!$E$5:$E$140=$B35)*ISNUMBER(INDEX(Inputs!$K$5:$AJ$140,0,MATCH(AI$2,Inputs!$K$4:$AJ$4,0))))=0,NA(),SUMPRODUCT((Inputs!$A$5:$A$140=$B35)*Inputs!$B$5:$B$140*(((Inputs!$G$5:$G$140="moeda")+(Inputs!$G$5:$G$140="acoes"))*Inputs!$B$1+((Inputs!$G$5:$G$140&lt;&gt;"moeda")*(Inputs!$G$5:$G$140&lt;&gt;"acoes")))*INDEX(Inputs!$K$5:$AJ$140,0,MATCH(AI$2,Inputs!$K$4:$AJ$4,0)))+SUMPRODUCT((Inputs!$C$5:$C$140=$B35)*Inputs!$D$5:$D$140*(((Inputs!$G$5:$G$140="moeda")+(Inputs!$G$5:$G$140="acoes"))*Inputs!$B$1+((Inputs!$G$5:$G$140&lt;&gt;"moeda")*(Inputs!$G$5:$G$140&lt;&gt;"acoes")))*INDEX(Inputs!$K$5:$AJ$140,0,MATCH(AI$2,Inputs!$K$4:$AJ$4,0)))+SUMPRODUCT((Inputs!$E$5:$E$140=$B35)*Inputs!$F$5:$F$140*(((Inputs!$G$5:$G$140="moeda")+(Inputs!$G$5:$G$140="acoes"))*Inputs!$B$1+((Inputs!$G$5:$G$140&lt;&gt;"moeda")*(Inputs!$G$5:$G$140&lt;&gt;"acoes")))*INDEX(Inputs!$K$5:$AJ$140,0,MATCH(AI$2,Inputs!$K$4:$AJ$4,0)))))</f>
        <v>233.112</v>
      </c>
      <c r="AJ35" s="6">
        <f>IF(ISNA(MATCH(AJ$2,Inputs!$K$4:$AJ$4,0)),NA(),IF(SUMPRODUCT((Inputs!$A$5:$A$140=$B35)*ISNUMBER(INDEX(Inputs!$K$5:$AJ$140,0,MATCH(AJ$2,Inputs!$K$4:$AJ$4,0))))+SUMPRODUCT((Inputs!$C$5:$C$140=$B35)*ISNUMBER(INDEX(Inputs!$K$5:$AJ$140,0,MATCH(AJ$2,Inputs!$K$4:$AJ$4,0))))+SUMPRODUCT((Inputs!$E$5:$E$140=$B35)*ISNUMBER(INDEX(Inputs!$K$5:$AJ$140,0,MATCH(AJ$2,Inputs!$K$4:$AJ$4,0))))=0,NA(),SUMPRODUCT((Inputs!$A$5:$A$140=$B35)*Inputs!$B$5:$B$140*(((Inputs!$G$5:$G$140="moeda")+(Inputs!$G$5:$G$140="acoes"))*Inputs!$B$1+((Inputs!$G$5:$G$140&lt;&gt;"moeda")*(Inputs!$G$5:$G$140&lt;&gt;"acoes")))*INDEX(Inputs!$K$5:$AJ$140,0,MATCH(AJ$2,Inputs!$K$4:$AJ$4,0)))+SUMPRODUCT((Inputs!$C$5:$C$140=$B35)*Inputs!$D$5:$D$140*(((Inputs!$G$5:$G$140="moeda")+(Inputs!$G$5:$G$140="acoes"))*Inputs!$B$1+((Inputs!$G$5:$G$140&lt;&gt;"moeda")*(Inputs!$G$5:$G$140&lt;&gt;"acoes")))*INDEX(Inputs!$K$5:$AJ$140,0,MATCH(AJ$2,Inputs!$K$4:$AJ$4,0)))+SUMPRODUCT((Inputs!$E$5:$E$140=$B35)*Inputs!$F$5:$F$140*(((Inputs!$G$5:$G$140="moeda")+(Inputs!$G$5:$G$140="acoes"))*Inputs!$B$1+((Inputs!$G$5:$G$140&lt;&gt;"moeda")*(Inputs!$G$5:$G$140&lt;&gt;"acoes")))*INDEX(Inputs!$K$5:$AJ$140,0,MATCH(AJ$2,Inputs!$K$4:$AJ$4,0)))))</f>
        <v>212.589</v>
      </c>
      <c r="AK35" s="6">
        <f>IF(ISNA(MATCH(AK$2,Inputs!$K$4:$AJ$4,0)),NA(),IF(SUMPRODUCT((Inputs!$A$5:$A$140=$B35)*ISNUMBER(INDEX(Inputs!$K$5:$AJ$140,0,MATCH(AK$2,Inputs!$K$4:$AJ$4,0))))+SUMPRODUCT((Inputs!$C$5:$C$140=$B35)*ISNUMBER(INDEX(Inputs!$K$5:$AJ$140,0,MATCH(AK$2,Inputs!$K$4:$AJ$4,0))))+SUMPRODUCT((Inputs!$E$5:$E$140=$B35)*ISNUMBER(INDEX(Inputs!$K$5:$AJ$140,0,MATCH(AK$2,Inputs!$K$4:$AJ$4,0))))=0,NA(),SUMPRODUCT((Inputs!$A$5:$A$140=$B35)*Inputs!$B$5:$B$140*(((Inputs!$G$5:$G$140="moeda")+(Inputs!$G$5:$G$140="acoes"))*Inputs!$B$1+((Inputs!$G$5:$G$140&lt;&gt;"moeda")*(Inputs!$G$5:$G$140&lt;&gt;"acoes")))*INDEX(Inputs!$K$5:$AJ$140,0,MATCH(AK$2,Inputs!$K$4:$AJ$4,0)))+SUMPRODUCT((Inputs!$C$5:$C$140=$B35)*Inputs!$D$5:$D$140*(((Inputs!$G$5:$G$140="moeda")+(Inputs!$G$5:$G$140="acoes"))*Inputs!$B$1+((Inputs!$G$5:$G$140&lt;&gt;"moeda")*(Inputs!$G$5:$G$140&lt;&gt;"acoes")))*INDEX(Inputs!$K$5:$AJ$140,0,MATCH(AK$2,Inputs!$K$4:$AJ$4,0)))+SUMPRODUCT((Inputs!$E$5:$E$140=$B35)*Inputs!$F$5:$F$140*(((Inputs!$G$5:$G$140="moeda")+(Inputs!$G$5:$G$140="acoes"))*Inputs!$B$1+((Inputs!$G$5:$G$140&lt;&gt;"moeda")*(Inputs!$G$5:$G$140&lt;&gt;"acoes")))*INDEX(Inputs!$K$5:$AJ$140,0,MATCH(AK$2,Inputs!$K$4:$AJ$4,0)))))</f>
        <v>184.999</v>
      </c>
      <c r="AL35" s="3">
        <f>AK35</f>
        <v>184.999</v>
      </c>
    </row>
    <row r="36">
      <c r="B36" s="46" t="n">
        <v>31</v>
      </c>
      <c r="C36" s="26" t="inlineStr">
        <is>
          <t>Long term operating leases</t>
        </is>
      </c>
      <c r="D36" s="6" t="e">
        <f>IF(ISNA(MATCH(D$2,Inputs!$K$4:$AJ$4,0)),NA(),IF(SUMPRODUCT((Inputs!$A$5:$A$140=$B36)*ISNUMBER(INDEX(Inputs!$K$5:$AJ$140,0,MATCH(D$2,Inputs!$K$4:$AJ$4,0))))+SUMPRODUCT((Inputs!$C$5:$C$140=$B36)*ISNUMBER(INDEX(Inputs!$K$5:$AJ$140,0,MATCH(D$2,Inputs!$K$4:$AJ$4,0))))+SUMPRODUCT((Inputs!$E$5:$E$140=$B36)*ISNUMBER(INDEX(Inputs!$K$5:$AJ$140,0,MATCH(D$2,Inputs!$K$4:$AJ$4,0))))=0,NA(),SUMPRODUCT((Inputs!$A$5:$A$140=$B36)*Inputs!$B$5:$B$140*(((Inputs!$G$5:$G$140="moeda")+(Inputs!$G$5:$G$140="acoes"))*Inputs!$B$1+((Inputs!$G$5:$G$140&lt;&gt;"moeda")*(Inputs!$G$5:$G$140&lt;&gt;"acoes")))*INDEX(Inputs!$K$5:$AJ$140,0,MATCH(D$2,Inputs!$K$4:$AJ$4,0)))+SUMPRODUCT((Inputs!$C$5:$C$140=$B36)*Inputs!$D$5:$D$140*(((Inputs!$G$5:$G$140="moeda")+(Inputs!$G$5:$G$140="acoes"))*Inputs!$B$1+((Inputs!$G$5:$G$140&lt;&gt;"moeda")*(Inputs!$G$5:$G$140&lt;&gt;"acoes")))*INDEX(Inputs!$K$5:$AJ$140,0,MATCH(D$2,Inputs!$K$4:$AJ$4,0)))+SUMPRODUCT((Inputs!$E$5:$E$140=$B36)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6" s="6" t="e">
        <f>IF(ISNA(MATCH(E$2,Inputs!$K$4:$AJ$4,0)),NA(),IF(SUMPRODUCT((Inputs!$A$5:$A$140=$B36)*ISNUMBER(INDEX(Inputs!$K$5:$AJ$140,0,MATCH(E$2,Inputs!$K$4:$AJ$4,0))))+SUMPRODUCT((Inputs!$C$5:$C$140=$B36)*ISNUMBER(INDEX(Inputs!$K$5:$AJ$140,0,MATCH(E$2,Inputs!$K$4:$AJ$4,0))))+SUMPRODUCT((Inputs!$E$5:$E$140=$B36)*ISNUMBER(INDEX(Inputs!$K$5:$AJ$140,0,MATCH(E$2,Inputs!$K$4:$AJ$4,0))))=0,NA(),SUMPRODUCT((Inputs!$A$5:$A$140=$B36)*Inputs!$B$5:$B$140*(((Inputs!$G$5:$G$140="moeda")+(Inputs!$G$5:$G$140="acoes"))*Inputs!$B$1+((Inputs!$G$5:$G$140&lt;&gt;"moeda")*(Inputs!$G$5:$G$140&lt;&gt;"acoes")))*INDEX(Inputs!$K$5:$AJ$140,0,MATCH(E$2,Inputs!$K$4:$AJ$4,0)))+SUMPRODUCT((Inputs!$C$5:$C$140=$B36)*Inputs!$D$5:$D$140*(((Inputs!$G$5:$G$140="moeda")+(Inputs!$G$5:$G$140="acoes"))*Inputs!$B$1+((Inputs!$G$5:$G$140&lt;&gt;"moeda")*(Inputs!$G$5:$G$140&lt;&gt;"acoes")))*INDEX(Inputs!$K$5:$AJ$140,0,MATCH(E$2,Inputs!$K$4:$AJ$4,0)))+SUMPRODUCT((Inputs!$E$5:$E$140=$B36)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6" s="6" t="e">
        <f>IF(ISNA(MATCH(F$2,Inputs!$K$4:$AJ$4,0)),NA(),IF(SUMPRODUCT((Inputs!$A$5:$A$140=$B36)*ISNUMBER(INDEX(Inputs!$K$5:$AJ$140,0,MATCH(F$2,Inputs!$K$4:$AJ$4,0))))+SUMPRODUCT((Inputs!$C$5:$C$140=$B36)*ISNUMBER(INDEX(Inputs!$K$5:$AJ$140,0,MATCH(F$2,Inputs!$K$4:$AJ$4,0))))+SUMPRODUCT((Inputs!$E$5:$E$140=$B36)*ISNUMBER(INDEX(Inputs!$K$5:$AJ$140,0,MATCH(F$2,Inputs!$K$4:$AJ$4,0))))=0,NA(),SUMPRODUCT((Inputs!$A$5:$A$140=$B36)*Inputs!$B$5:$B$140*(((Inputs!$G$5:$G$140="moeda")+(Inputs!$G$5:$G$140="acoes"))*Inputs!$B$1+((Inputs!$G$5:$G$140&lt;&gt;"moeda")*(Inputs!$G$5:$G$140&lt;&gt;"acoes")))*INDEX(Inputs!$K$5:$AJ$140,0,MATCH(F$2,Inputs!$K$4:$AJ$4,0)))+SUMPRODUCT((Inputs!$C$5:$C$140=$B36)*Inputs!$D$5:$D$140*(((Inputs!$G$5:$G$140="moeda")+(Inputs!$G$5:$G$140="acoes"))*Inputs!$B$1+((Inputs!$G$5:$G$140&lt;&gt;"moeda")*(Inputs!$G$5:$G$140&lt;&gt;"acoes")))*INDEX(Inputs!$K$5:$AJ$140,0,MATCH(F$2,Inputs!$K$4:$AJ$4,0)))+SUMPRODUCT((Inputs!$E$5:$E$140=$B36)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6" s="6" t="e">
        <f>IF(ISNA(MATCH(G$2,Inputs!$K$4:$AJ$4,0)),NA(),IF(SUMPRODUCT((Inputs!$A$5:$A$140=$B36)*ISNUMBER(INDEX(Inputs!$K$5:$AJ$140,0,MATCH(G$2,Inputs!$K$4:$AJ$4,0))))+SUMPRODUCT((Inputs!$C$5:$C$140=$B36)*ISNUMBER(INDEX(Inputs!$K$5:$AJ$140,0,MATCH(G$2,Inputs!$K$4:$AJ$4,0))))+SUMPRODUCT((Inputs!$E$5:$E$140=$B36)*ISNUMBER(INDEX(Inputs!$K$5:$AJ$140,0,MATCH(G$2,Inputs!$K$4:$AJ$4,0))))=0,NA(),SUMPRODUCT((Inputs!$A$5:$A$140=$B36)*Inputs!$B$5:$B$140*(((Inputs!$G$5:$G$140="moeda")+(Inputs!$G$5:$G$140="acoes"))*Inputs!$B$1+((Inputs!$G$5:$G$140&lt;&gt;"moeda")*(Inputs!$G$5:$G$140&lt;&gt;"acoes")))*INDEX(Inputs!$K$5:$AJ$140,0,MATCH(G$2,Inputs!$K$4:$AJ$4,0)))+SUMPRODUCT((Inputs!$C$5:$C$140=$B36)*Inputs!$D$5:$D$140*(((Inputs!$G$5:$G$140="moeda")+(Inputs!$G$5:$G$140="acoes"))*Inputs!$B$1+((Inputs!$G$5:$G$140&lt;&gt;"moeda")*(Inputs!$G$5:$G$140&lt;&gt;"acoes")))*INDEX(Inputs!$K$5:$AJ$140,0,MATCH(G$2,Inputs!$K$4:$AJ$4,0)))+SUMPRODUCT((Inputs!$E$5:$E$140=$B36)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6" s="3" t="e">
        <f>G36</f>
        <v>#N/A</v>
      </c>
      <c r="I36" s="6" t="e">
        <f>IF(ISNA(MATCH(I$2,Inputs!$K$4:$AJ$4,0)),NA(),IF(SUMPRODUCT((Inputs!$A$5:$A$140=$B36)*ISNUMBER(INDEX(Inputs!$K$5:$AJ$140,0,MATCH(I$2,Inputs!$K$4:$AJ$4,0))))+SUMPRODUCT((Inputs!$C$5:$C$140=$B36)*ISNUMBER(INDEX(Inputs!$K$5:$AJ$140,0,MATCH(I$2,Inputs!$K$4:$AJ$4,0))))+SUMPRODUCT((Inputs!$E$5:$E$140=$B36)*ISNUMBER(INDEX(Inputs!$K$5:$AJ$140,0,MATCH(I$2,Inputs!$K$4:$AJ$4,0))))=0,NA(),SUMPRODUCT((Inputs!$A$5:$A$140=$B36)*Inputs!$B$5:$B$140*(((Inputs!$G$5:$G$140="moeda")+(Inputs!$G$5:$G$140="acoes"))*Inputs!$B$1+((Inputs!$G$5:$G$140&lt;&gt;"moeda")*(Inputs!$G$5:$G$140&lt;&gt;"acoes")))*INDEX(Inputs!$K$5:$AJ$140,0,MATCH(I$2,Inputs!$K$4:$AJ$4,0)))+SUMPRODUCT((Inputs!$C$5:$C$140=$B36)*Inputs!$D$5:$D$140*(((Inputs!$G$5:$G$140="moeda")+(Inputs!$G$5:$G$140="acoes"))*Inputs!$B$1+((Inputs!$G$5:$G$140&lt;&gt;"moeda")*(Inputs!$G$5:$G$140&lt;&gt;"acoes")))*INDEX(Inputs!$K$5:$AJ$140,0,MATCH(I$2,Inputs!$K$4:$AJ$4,0)))+SUMPRODUCT((Inputs!$E$5:$E$140=$B36)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6" s="6" t="e">
        <f>IF(ISNA(MATCH(J$2,Inputs!$K$4:$AJ$4,0)),NA(),IF(SUMPRODUCT((Inputs!$A$5:$A$140=$B36)*ISNUMBER(INDEX(Inputs!$K$5:$AJ$140,0,MATCH(J$2,Inputs!$K$4:$AJ$4,0))))+SUMPRODUCT((Inputs!$C$5:$C$140=$B36)*ISNUMBER(INDEX(Inputs!$K$5:$AJ$140,0,MATCH(J$2,Inputs!$K$4:$AJ$4,0))))+SUMPRODUCT((Inputs!$E$5:$E$140=$B36)*ISNUMBER(INDEX(Inputs!$K$5:$AJ$140,0,MATCH(J$2,Inputs!$K$4:$AJ$4,0))))=0,NA(),SUMPRODUCT((Inputs!$A$5:$A$140=$B36)*Inputs!$B$5:$B$140*(((Inputs!$G$5:$G$140="moeda")+(Inputs!$G$5:$G$140="acoes"))*Inputs!$B$1+((Inputs!$G$5:$G$140&lt;&gt;"moeda")*(Inputs!$G$5:$G$140&lt;&gt;"acoes")))*INDEX(Inputs!$K$5:$AJ$140,0,MATCH(J$2,Inputs!$K$4:$AJ$4,0)))+SUMPRODUCT((Inputs!$C$5:$C$140=$B36)*Inputs!$D$5:$D$140*(((Inputs!$G$5:$G$140="moeda")+(Inputs!$G$5:$G$140="acoes"))*Inputs!$B$1+((Inputs!$G$5:$G$140&lt;&gt;"moeda")*(Inputs!$G$5:$G$140&lt;&gt;"acoes")))*INDEX(Inputs!$K$5:$AJ$140,0,MATCH(J$2,Inputs!$K$4:$AJ$4,0)))+SUMPRODUCT((Inputs!$E$5:$E$140=$B36)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6" s="6" t="e">
        <f>IF(ISNA(MATCH(K$2,Inputs!$K$4:$AJ$4,0)),NA(),IF(SUMPRODUCT((Inputs!$A$5:$A$140=$B36)*ISNUMBER(INDEX(Inputs!$K$5:$AJ$140,0,MATCH(K$2,Inputs!$K$4:$AJ$4,0))))+SUMPRODUCT((Inputs!$C$5:$C$140=$B36)*ISNUMBER(INDEX(Inputs!$K$5:$AJ$140,0,MATCH(K$2,Inputs!$K$4:$AJ$4,0))))+SUMPRODUCT((Inputs!$E$5:$E$140=$B36)*ISNUMBER(INDEX(Inputs!$K$5:$AJ$140,0,MATCH(K$2,Inputs!$K$4:$AJ$4,0))))=0,NA(),SUMPRODUCT((Inputs!$A$5:$A$140=$B36)*Inputs!$B$5:$B$140*(((Inputs!$G$5:$G$140="moeda")+(Inputs!$G$5:$G$140="acoes"))*Inputs!$B$1+((Inputs!$G$5:$G$140&lt;&gt;"moeda")*(Inputs!$G$5:$G$140&lt;&gt;"acoes")))*INDEX(Inputs!$K$5:$AJ$140,0,MATCH(K$2,Inputs!$K$4:$AJ$4,0)))+SUMPRODUCT((Inputs!$C$5:$C$140=$B36)*Inputs!$D$5:$D$140*(((Inputs!$G$5:$G$140="moeda")+(Inputs!$G$5:$G$140="acoes"))*Inputs!$B$1+((Inputs!$G$5:$G$140&lt;&gt;"moeda")*(Inputs!$G$5:$G$140&lt;&gt;"acoes")))*INDEX(Inputs!$K$5:$AJ$140,0,MATCH(K$2,Inputs!$K$4:$AJ$4,0)))+SUMPRODUCT((Inputs!$E$5:$E$140=$B36)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6" s="6" t="e">
        <f>IF(ISNA(MATCH(L$2,Inputs!$K$4:$AJ$4,0)),NA(),IF(SUMPRODUCT((Inputs!$A$5:$A$140=$B36)*ISNUMBER(INDEX(Inputs!$K$5:$AJ$140,0,MATCH(L$2,Inputs!$K$4:$AJ$4,0))))+SUMPRODUCT((Inputs!$C$5:$C$140=$B36)*ISNUMBER(INDEX(Inputs!$K$5:$AJ$140,0,MATCH(L$2,Inputs!$K$4:$AJ$4,0))))+SUMPRODUCT((Inputs!$E$5:$E$140=$B36)*ISNUMBER(INDEX(Inputs!$K$5:$AJ$140,0,MATCH(L$2,Inputs!$K$4:$AJ$4,0))))=0,NA(),SUMPRODUCT((Inputs!$A$5:$A$140=$B36)*Inputs!$B$5:$B$140*(((Inputs!$G$5:$G$140="moeda")+(Inputs!$G$5:$G$140="acoes"))*Inputs!$B$1+((Inputs!$G$5:$G$140&lt;&gt;"moeda")*(Inputs!$G$5:$G$140&lt;&gt;"acoes")))*INDEX(Inputs!$K$5:$AJ$140,0,MATCH(L$2,Inputs!$K$4:$AJ$4,0)))+SUMPRODUCT((Inputs!$C$5:$C$140=$B36)*Inputs!$D$5:$D$140*(((Inputs!$G$5:$G$140="moeda")+(Inputs!$G$5:$G$140="acoes"))*Inputs!$B$1+((Inputs!$G$5:$G$140&lt;&gt;"moeda")*(Inputs!$G$5:$G$140&lt;&gt;"acoes")))*INDEX(Inputs!$K$5:$AJ$140,0,MATCH(L$2,Inputs!$K$4:$AJ$4,0)))+SUMPRODUCT((Inputs!$E$5:$E$140=$B36)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6" s="3" t="e">
        <f>L36</f>
        <v>#N/A</v>
      </c>
      <c r="N36" s="6" t="e">
        <f>IF(ISNA(MATCH(N$2,Inputs!$K$4:$AJ$4,0)),NA(),IF(SUMPRODUCT((Inputs!$A$5:$A$140=$B36)*ISNUMBER(INDEX(Inputs!$K$5:$AJ$140,0,MATCH(N$2,Inputs!$K$4:$AJ$4,0))))+SUMPRODUCT((Inputs!$C$5:$C$140=$B36)*ISNUMBER(INDEX(Inputs!$K$5:$AJ$140,0,MATCH(N$2,Inputs!$K$4:$AJ$4,0))))+SUMPRODUCT((Inputs!$E$5:$E$140=$B36)*ISNUMBER(INDEX(Inputs!$K$5:$AJ$140,0,MATCH(N$2,Inputs!$K$4:$AJ$4,0))))=0,NA(),SUMPRODUCT((Inputs!$A$5:$A$140=$B36)*Inputs!$B$5:$B$140*(((Inputs!$G$5:$G$140="moeda")+(Inputs!$G$5:$G$140="acoes"))*Inputs!$B$1+((Inputs!$G$5:$G$140&lt;&gt;"moeda")*(Inputs!$G$5:$G$140&lt;&gt;"acoes")))*INDEX(Inputs!$K$5:$AJ$140,0,MATCH(N$2,Inputs!$K$4:$AJ$4,0)))+SUMPRODUCT((Inputs!$C$5:$C$140=$B36)*Inputs!$D$5:$D$140*(((Inputs!$G$5:$G$140="moeda")+(Inputs!$G$5:$G$140="acoes"))*Inputs!$B$1+((Inputs!$G$5:$G$140&lt;&gt;"moeda")*(Inputs!$G$5:$G$140&lt;&gt;"acoes")))*INDEX(Inputs!$K$5:$AJ$140,0,MATCH(N$2,Inputs!$K$4:$AJ$4,0)))+SUMPRODUCT((Inputs!$E$5:$E$140=$B36)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6" s="6" t="e">
        <f>IF(ISNA(MATCH(O$2,Inputs!$K$4:$AJ$4,0)),NA(),IF(SUMPRODUCT((Inputs!$A$5:$A$140=$B36)*ISNUMBER(INDEX(Inputs!$K$5:$AJ$140,0,MATCH(O$2,Inputs!$K$4:$AJ$4,0))))+SUMPRODUCT((Inputs!$C$5:$C$140=$B36)*ISNUMBER(INDEX(Inputs!$K$5:$AJ$140,0,MATCH(O$2,Inputs!$K$4:$AJ$4,0))))+SUMPRODUCT((Inputs!$E$5:$E$140=$B36)*ISNUMBER(INDEX(Inputs!$K$5:$AJ$140,0,MATCH(O$2,Inputs!$K$4:$AJ$4,0))))=0,NA(),SUMPRODUCT((Inputs!$A$5:$A$140=$B36)*Inputs!$B$5:$B$140*(((Inputs!$G$5:$G$140="moeda")+(Inputs!$G$5:$G$140="acoes"))*Inputs!$B$1+((Inputs!$G$5:$G$140&lt;&gt;"moeda")*(Inputs!$G$5:$G$140&lt;&gt;"acoes")))*INDEX(Inputs!$K$5:$AJ$140,0,MATCH(O$2,Inputs!$K$4:$AJ$4,0)))+SUMPRODUCT((Inputs!$C$5:$C$140=$B36)*Inputs!$D$5:$D$140*(((Inputs!$G$5:$G$140="moeda")+(Inputs!$G$5:$G$140="acoes"))*Inputs!$B$1+((Inputs!$G$5:$G$140&lt;&gt;"moeda")*(Inputs!$G$5:$G$140&lt;&gt;"acoes")))*INDEX(Inputs!$K$5:$AJ$140,0,MATCH(O$2,Inputs!$K$4:$AJ$4,0)))+SUMPRODUCT((Inputs!$E$5:$E$140=$B36)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6" s="6" t="e">
        <f>IF(ISNA(MATCH(P$2,Inputs!$K$4:$AJ$4,0)),NA(),IF(SUMPRODUCT((Inputs!$A$5:$A$140=$B36)*ISNUMBER(INDEX(Inputs!$K$5:$AJ$140,0,MATCH(P$2,Inputs!$K$4:$AJ$4,0))))+SUMPRODUCT((Inputs!$C$5:$C$140=$B36)*ISNUMBER(INDEX(Inputs!$K$5:$AJ$140,0,MATCH(P$2,Inputs!$K$4:$AJ$4,0))))+SUMPRODUCT((Inputs!$E$5:$E$140=$B36)*ISNUMBER(INDEX(Inputs!$K$5:$AJ$140,0,MATCH(P$2,Inputs!$K$4:$AJ$4,0))))=0,NA(),SUMPRODUCT((Inputs!$A$5:$A$140=$B36)*Inputs!$B$5:$B$140*(((Inputs!$G$5:$G$140="moeda")+(Inputs!$G$5:$G$140="acoes"))*Inputs!$B$1+((Inputs!$G$5:$G$140&lt;&gt;"moeda")*(Inputs!$G$5:$G$140&lt;&gt;"acoes")))*INDEX(Inputs!$K$5:$AJ$140,0,MATCH(P$2,Inputs!$K$4:$AJ$4,0)))+SUMPRODUCT((Inputs!$C$5:$C$140=$B36)*Inputs!$D$5:$D$140*(((Inputs!$G$5:$G$140="moeda")+(Inputs!$G$5:$G$140="acoes"))*Inputs!$B$1+((Inputs!$G$5:$G$140&lt;&gt;"moeda")*(Inputs!$G$5:$G$140&lt;&gt;"acoes")))*INDEX(Inputs!$K$5:$AJ$140,0,MATCH(P$2,Inputs!$K$4:$AJ$4,0)))+SUMPRODUCT((Inputs!$E$5:$E$140=$B36)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6" s="6" t="e">
        <f>IF(ISNA(MATCH(Q$2,Inputs!$K$4:$AJ$4,0)),NA(),IF(SUMPRODUCT((Inputs!$A$5:$A$140=$B36)*ISNUMBER(INDEX(Inputs!$K$5:$AJ$140,0,MATCH(Q$2,Inputs!$K$4:$AJ$4,0))))+SUMPRODUCT((Inputs!$C$5:$C$140=$B36)*ISNUMBER(INDEX(Inputs!$K$5:$AJ$140,0,MATCH(Q$2,Inputs!$K$4:$AJ$4,0))))+SUMPRODUCT((Inputs!$E$5:$E$140=$B36)*ISNUMBER(INDEX(Inputs!$K$5:$AJ$140,0,MATCH(Q$2,Inputs!$K$4:$AJ$4,0))))=0,NA(),SUMPRODUCT((Inputs!$A$5:$A$140=$B36)*Inputs!$B$5:$B$140*(((Inputs!$G$5:$G$140="moeda")+(Inputs!$G$5:$G$140="acoes"))*Inputs!$B$1+((Inputs!$G$5:$G$140&lt;&gt;"moeda")*(Inputs!$G$5:$G$140&lt;&gt;"acoes")))*INDEX(Inputs!$K$5:$AJ$140,0,MATCH(Q$2,Inputs!$K$4:$AJ$4,0)))+SUMPRODUCT((Inputs!$C$5:$C$140=$B36)*Inputs!$D$5:$D$140*(((Inputs!$G$5:$G$140="moeda")+(Inputs!$G$5:$G$140="acoes"))*Inputs!$B$1+((Inputs!$G$5:$G$140&lt;&gt;"moeda")*(Inputs!$G$5:$G$140&lt;&gt;"acoes")))*INDEX(Inputs!$K$5:$AJ$140,0,MATCH(Q$2,Inputs!$K$4:$AJ$4,0)))+SUMPRODUCT((Inputs!$E$5:$E$140=$B36)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6" s="3" t="e">
        <f>Q36</f>
        <v>#N/A</v>
      </c>
      <c r="S36" s="6" t="e">
        <f>IF(ISNA(MATCH(S$2,Inputs!$K$4:$AJ$4,0)),NA(),IF(SUMPRODUCT((Inputs!$A$5:$A$140=$B36)*ISNUMBER(INDEX(Inputs!$K$5:$AJ$140,0,MATCH(S$2,Inputs!$K$4:$AJ$4,0))))+SUMPRODUCT((Inputs!$C$5:$C$140=$B36)*ISNUMBER(INDEX(Inputs!$K$5:$AJ$140,0,MATCH(S$2,Inputs!$K$4:$AJ$4,0))))+SUMPRODUCT((Inputs!$E$5:$E$140=$B36)*ISNUMBER(INDEX(Inputs!$K$5:$AJ$140,0,MATCH(S$2,Inputs!$K$4:$AJ$4,0))))=0,NA(),SUMPRODUCT((Inputs!$A$5:$A$140=$B36)*Inputs!$B$5:$B$140*(((Inputs!$G$5:$G$140="moeda")+(Inputs!$G$5:$G$140="acoes"))*Inputs!$B$1+((Inputs!$G$5:$G$140&lt;&gt;"moeda")*(Inputs!$G$5:$G$140&lt;&gt;"acoes")))*INDEX(Inputs!$K$5:$AJ$140,0,MATCH(S$2,Inputs!$K$4:$AJ$4,0)))+SUMPRODUCT((Inputs!$C$5:$C$140=$B36)*Inputs!$D$5:$D$140*(((Inputs!$G$5:$G$140="moeda")+(Inputs!$G$5:$G$140="acoes"))*Inputs!$B$1+((Inputs!$G$5:$G$140&lt;&gt;"moeda")*(Inputs!$G$5:$G$140&lt;&gt;"acoes")))*INDEX(Inputs!$K$5:$AJ$140,0,MATCH(S$2,Inputs!$K$4:$AJ$4,0)))+SUMPRODUCT((Inputs!$E$5:$E$140=$B36)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6" s="6" t="e">
        <f>IF(ISNA(MATCH(T$2,Inputs!$K$4:$AJ$4,0)),NA(),IF(SUMPRODUCT((Inputs!$A$5:$A$140=$B36)*ISNUMBER(INDEX(Inputs!$K$5:$AJ$140,0,MATCH(T$2,Inputs!$K$4:$AJ$4,0))))+SUMPRODUCT((Inputs!$C$5:$C$140=$B36)*ISNUMBER(INDEX(Inputs!$K$5:$AJ$140,0,MATCH(T$2,Inputs!$K$4:$AJ$4,0))))+SUMPRODUCT((Inputs!$E$5:$E$140=$B36)*ISNUMBER(INDEX(Inputs!$K$5:$AJ$140,0,MATCH(T$2,Inputs!$K$4:$AJ$4,0))))=0,NA(),SUMPRODUCT((Inputs!$A$5:$A$140=$B36)*Inputs!$B$5:$B$140*(((Inputs!$G$5:$G$140="moeda")+(Inputs!$G$5:$G$140="acoes"))*Inputs!$B$1+((Inputs!$G$5:$G$140&lt;&gt;"moeda")*(Inputs!$G$5:$G$140&lt;&gt;"acoes")))*INDEX(Inputs!$K$5:$AJ$140,0,MATCH(T$2,Inputs!$K$4:$AJ$4,0)))+SUMPRODUCT((Inputs!$C$5:$C$140=$B36)*Inputs!$D$5:$D$140*(((Inputs!$G$5:$G$140="moeda")+(Inputs!$G$5:$G$140="acoes"))*Inputs!$B$1+((Inputs!$G$5:$G$140&lt;&gt;"moeda")*(Inputs!$G$5:$G$140&lt;&gt;"acoes")))*INDEX(Inputs!$K$5:$AJ$140,0,MATCH(T$2,Inputs!$K$4:$AJ$4,0)))+SUMPRODUCT((Inputs!$E$5:$E$140=$B36)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6" s="6" t="e">
        <f>IF(ISNA(MATCH(U$2,Inputs!$K$4:$AJ$4,0)),NA(),IF(SUMPRODUCT((Inputs!$A$5:$A$140=$B36)*ISNUMBER(INDEX(Inputs!$K$5:$AJ$140,0,MATCH(U$2,Inputs!$K$4:$AJ$4,0))))+SUMPRODUCT((Inputs!$C$5:$C$140=$B36)*ISNUMBER(INDEX(Inputs!$K$5:$AJ$140,0,MATCH(U$2,Inputs!$K$4:$AJ$4,0))))+SUMPRODUCT((Inputs!$E$5:$E$140=$B36)*ISNUMBER(INDEX(Inputs!$K$5:$AJ$140,0,MATCH(U$2,Inputs!$K$4:$AJ$4,0))))=0,NA(),SUMPRODUCT((Inputs!$A$5:$A$140=$B36)*Inputs!$B$5:$B$140*(((Inputs!$G$5:$G$140="moeda")+(Inputs!$G$5:$G$140="acoes"))*Inputs!$B$1+((Inputs!$G$5:$G$140&lt;&gt;"moeda")*(Inputs!$G$5:$G$140&lt;&gt;"acoes")))*INDEX(Inputs!$K$5:$AJ$140,0,MATCH(U$2,Inputs!$K$4:$AJ$4,0)))+SUMPRODUCT((Inputs!$C$5:$C$140=$B36)*Inputs!$D$5:$D$140*(((Inputs!$G$5:$G$140="moeda")+(Inputs!$G$5:$G$140="acoes"))*Inputs!$B$1+((Inputs!$G$5:$G$140&lt;&gt;"moeda")*(Inputs!$G$5:$G$140&lt;&gt;"acoes")))*INDEX(Inputs!$K$5:$AJ$140,0,MATCH(U$2,Inputs!$K$4:$AJ$4,0)))+SUMPRODUCT((Inputs!$E$5:$E$140=$B36)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6" s="6" t="e">
        <f>IF(ISNA(MATCH(V$2,Inputs!$K$4:$AJ$4,0)),NA(),IF(SUMPRODUCT((Inputs!$A$5:$A$140=$B36)*ISNUMBER(INDEX(Inputs!$K$5:$AJ$140,0,MATCH(V$2,Inputs!$K$4:$AJ$4,0))))+SUMPRODUCT((Inputs!$C$5:$C$140=$B36)*ISNUMBER(INDEX(Inputs!$K$5:$AJ$140,0,MATCH(V$2,Inputs!$K$4:$AJ$4,0))))+SUMPRODUCT((Inputs!$E$5:$E$140=$B36)*ISNUMBER(INDEX(Inputs!$K$5:$AJ$140,0,MATCH(V$2,Inputs!$K$4:$AJ$4,0))))=0,NA(),SUMPRODUCT((Inputs!$A$5:$A$140=$B36)*Inputs!$B$5:$B$140*(((Inputs!$G$5:$G$140="moeda")+(Inputs!$G$5:$G$140="acoes"))*Inputs!$B$1+((Inputs!$G$5:$G$140&lt;&gt;"moeda")*(Inputs!$G$5:$G$140&lt;&gt;"acoes")))*INDEX(Inputs!$K$5:$AJ$140,0,MATCH(V$2,Inputs!$K$4:$AJ$4,0)))+SUMPRODUCT((Inputs!$C$5:$C$140=$B36)*Inputs!$D$5:$D$140*(((Inputs!$G$5:$G$140="moeda")+(Inputs!$G$5:$G$140="acoes"))*Inputs!$B$1+((Inputs!$G$5:$G$140&lt;&gt;"moeda")*(Inputs!$G$5:$G$140&lt;&gt;"acoes")))*INDEX(Inputs!$K$5:$AJ$140,0,MATCH(V$2,Inputs!$K$4:$AJ$4,0)))+SUMPRODUCT((Inputs!$E$5:$E$140=$B36)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6" s="3" t="e">
        <f>V36</f>
        <v>#N/A</v>
      </c>
      <c r="X36" s="6" t="e">
        <f>IF(ISNA(MATCH(X$2,Inputs!$K$4:$AJ$4,0)),NA(),IF(SUMPRODUCT((Inputs!$A$5:$A$140=$B36)*ISNUMBER(INDEX(Inputs!$K$5:$AJ$140,0,MATCH(X$2,Inputs!$K$4:$AJ$4,0))))+SUMPRODUCT((Inputs!$C$5:$C$140=$B36)*ISNUMBER(INDEX(Inputs!$K$5:$AJ$140,0,MATCH(X$2,Inputs!$K$4:$AJ$4,0))))+SUMPRODUCT((Inputs!$E$5:$E$140=$B36)*ISNUMBER(INDEX(Inputs!$K$5:$AJ$140,0,MATCH(X$2,Inputs!$K$4:$AJ$4,0))))=0,NA(),SUMPRODUCT((Inputs!$A$5:$A$140=$B36)*Inputs!$B$5:$B$140*(((Inputs!$G$5:$G$140="moeda")+(Inputs!$G$5:$G$140="acoes"))*Inputs!$B$1+((Inputs!$G$5:$G$140&lt;&gt;"moeda")*(Inputs!$G$5:$G$140&lt;&gt;"acoes")))*INDEX(Inputs!$K$5:$AJ$140,0,MATCH(X$2,Inputs!$K$4:$AJ$4,0)))+SUMPRODUCT((Inputs!$C$5:$C$140=$B36)*Inputs!$D$5:$D$140*(((Inputs!$G$5:$G$140="moeda")+(Inputs!$G$5:$G$140="acoes"))*Inputs!$B$1+((Inputs!$G$5:$G$140&lt;&gt;"moeda")*(Inputs!$G$5:$G$140&lt;&gt;"acoes")))*INDEX(Inputs!$K$5:$AJ$140,0,MATCH(X$2,Inputs!$K$4:$AJ$4,0)))+SUMPRODUCT((Inputs!$E$5:$E$140=$B36)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6" s="6" t="e">
        <f>IF(ISNA(MATCH(Y$2,Inputs!$K$4:$AJ$4,0)),NA(),IF(SUMPRODUCT((Inputs!$A$5:$A$140=$B36)*ISNUMBER(INDEX(Inputs!$K$5:$AJ$140,0,MATCH(Y$2,Inputs!$K$4:$AJ$4,0))))+SUMPRODUCT((Inputs!$C$5:$C$140=$B36)*ISNUMBER(INDEX(Inputs!$K$5:$AJ$140,0,MATCH(Y$2,Inputs!$K$4:$AJ$4,0))))+SUMPRODUCT((Inputs!$E$5:$E$140=$B36)*ISNUMBER(INDEX(Inputs!$K$5:$AJ$140,0,MATCH(Y$2,Inputs!$K$4:$AJ$4,0))))=0,NA(),SUMPRODUCT((Inputs!$A$5:$A$140=$B36)*Inputs!$B$5:$B$140*(((Inputs!$G$5:$G$140="moeda")+(Inputs!$G$5:$G$140="acoes"))*Inputs!$B$1+((Inputs!$G$5:$G$140&lt;&gt;"moeda")*(Inputs!$G$5:$G$140&lt;&gt;"acoes")))*INDEX(Inputs!$K$5:$AJ$140,0,MATCH(Y$2,Inputs!$K$4:$AJ$4,0)))+SUMPRODUCT((Inputs!$C$5:$C$140=$B36)*Inputs!$D$5:$D$140*(((Inputs!$G$5:$G$140="moeda")+(Inputs!$G$5:$G$140="acoes"))*Inputs!$B$1+((Inputs!$G$5:$G$140&lt;&gt;"moeda")*(Inputs!$G$5:$G$140&lt;&gt;"acoes")))*INDEX(Inputs!$K$5:$AJ$140,0,MATCH(Y$2,Inputs!$K$4:$AJ$4,0)))+SUMPRODUCT((Inputs!$E$5:$E$140=$B36)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6" s="6" t="e">
        <f>IF(ISNA(MATCH(Z$2,Inputs!$K$4:$AJ$4,0)),NA(),IF(SUMPRODUCT((Inputs!$A$5:$A$140=$B36)*ISNUMBER(INDEX(Inputs!$K$5:$AJ$140,0,MATCH(Z$2,Inputs!$K$4:$AJ$4,0))))+SUMPRODUCT((Inputs!$C$5:$C$140=$B36)*ISNUMBER(INDEX(Inputs!$K$5:$AJ$140,0,MATCH(Z$2,Inputs!$K$4:$AJ$4,0))))+SUMPRODUCT((Inputs!$E$5:$E$140=$B36)*ISNUMBER(INDEX(Inputs!$K$5:$AJ$140,0,MATCH(Z$2,Inputs!$K$4:$AJ$4,0))))=0,NA(),SUMPRODUCT((Inputs!$A$5:$A$140=$B36)*Inputs!$B$5:$B$140*(((Inputs!$G$5:$G$140="moeda")+(Inputs!$G$5:$G$140="acoes"))*Inputs!$B$1+((Inputs!$G$5:$G$140&lt;&gt;"moeda")*(Inputs!$G$5:$G$140&lt;&gt;"acoes")))*INDEX(Inputs!$K$5:$AJ$140,0,MATCH(Z$2,Inputs!$K$4:$AJ$4,0)))+SUMPRODUCT((Inputs!$C$5:$C$140=$B36)*Inputs!$D$5:$D$140*(((Inputs!$G$5:$G$140="moeda")+(Inputs!$G$5:$G$140="acoes"))*Inputs!$B$1+((Inputs!$G$5:$G$140&lt;&gt;"moeda")*(Inputs!$G$5:$G$140&lt;&gt;"acoes")))*INDEX(Inputs!$K$5:$AJ$140,0,MATCH(Z$2,Inputs!$K$4:$AJ$4,0)))+SUMPRODUCT((Inputs!$E$5:$E$140=$B36)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6" s="6" t="e">
        <f>IF(ISNA(MATCH(AA$2,Inputs!$K$4:$AJ$4,0)),NA(),IF(SUMPRODUCT((Inputs!$A$5:$A$140=$B36)*ISNUMBER(INDEX(Inputs!$K$5:$AJ$140,0,MATCH(AA$2,Inputs!$K$4:$AJ$4,0))))+SUMPRODUCT((Inputs!$C$5:$C$140=$B36)*ISNUMBER(INDEX(Inputs!$K$5:$AJ$140,0,MATCH(AA$2,Inputs!$K$4:$AJ$4,0))))+SUMPRODUCT((Inputs!$E$5:$E$140=$B36)*ISNUMBER(INDEX(Inputs!$K$5:$AJ$140,0,MATCH(AA$2,Inputs!$K$4:$AJ$4,0))))=0,NA(),SUMPRODUCT((Inputs!$A$5:$A$140=$B36)*Inputs!$B$5:$B$140*(((Inputs!$G$5:$G$140="moeda")+(Inputs!$G$5:$G$140="acoes"))*Inputs!$B$1+((Inputs!$G$5:$G$140&lt;&gt;"moeda")*(Inputs!$G$5:$G$140&lt;&gt;"acoes")))*INDEX(Inputs!$K$5:$AJ$140,0,MATCH(AA$2,Inputs!$K$4:$AJ$4,0)))+SUMPRODUCT((Inputs!$C$5:$C$140=$B36)*Inputs!$D$5:$D$140*(((Inputs!$G$5:$G$140="moeda")+(Inputs!$G$5:$G$140="acoes"))*Inputs!$B$1+((Inputs!$G$5:$G$140&lt;&gt;"moeda")*(Inputs!$G$5:$G$140&lt;&gt;"acoes")))*INDEX(Inputs!$K$5:$AJ$140,0,MATCH(AA$2,Inputs!$K$4:$AJ$4,0)))+SUMPRODUCT((Inputs!$E$5:$E$140=$B36)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6" s="3" t="e">
        <f>AA36</f>
        <v>#N/A</v>
      </c>
      <c r="AC36" s="6" t="e">
        <f>IF(ISNA(MATCH(AC$2,Inputs!$K$4:$AJ$4,0)),NA(),IF(SUMPRODUCT((Inputs!$A$5:$A$140=$B36)*ISNUMBER(INDEX(Inputs!$K$5:$AJ$140,0,MATCH(AC$2,Inputs!$K$4:$AJ$4,0))))+SUMPRODUCT((Inputs!$C$5:$C$140=$B36)*ISNUMBER(INDEX(Inputs!$K$5:$AJ$140,0,MATCH(AC$2,Inputs!$K$4:$AJ$4,0))))+SUMPRODUCT((Inputs!$E$5:$E$140=$B36)*ISNUMBER(INDEX(Inputs!$K$5:$AJ$140,0,MATCH(AC$2,Inputs!$K$4:$AJ$4,0))))=0,NA(),SUMPRODUCT((Inputs!$A$5:$A$140=$B36)*Inputs!$B$5:$B$140*(((Inputs!$G$5:$G$140="moeda")+(Inputs!$G$5:$G$140="acoes"))*Inputs!$B$1+((Inputs!$G$5:$G$140&lt;&gt;"moeda")*(Inputs!$G$5:$G$140&lt;&gt;"acoes")))*INDEX(Inputs!$K$5:$AJ$140,0,MATCH(AC$2,Inputs!$K$4:$AJ$4,0)))+SUMPRODUCT((Inputs!$C$5:$C$140=$B36)*Inputs!$D$5:$D$140*(((Inputs!$G$5:$G$140="moeda")+(Inputs!$G$5:$G$140="acoes"))*Inputs!$B$1+((Inputs!$G$5:$G$140&lt;&gt;"moeda")*(Inputs!$G$5:$G$140&lt;&gt;"acoes")))*INDEX(Inputs!$K$5:$AJ$140,0,MATCH(AC$2,Inputs!$K$4:$AJ$4,0)))+SUMPRODUCT((Inputs!$E$5:$E$140=$B36)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6" s="6" t="e">
        <f>IF(ISNA(MATCH(AD$2,Inputs!$K$4:$AJ$4,0)),NA(),IF(SUMPRODUCT((Inputs!$A$5:$A$140=$B36)*ISNUMBER(INDEX(Inputs!$K$5:$AJ$140,0,MATCH(AD$2,Inputs!$K$4:$AJ$4,0))))+SUMPRODUCT((Inputs!$C$5:$C$140=$B36)*ISNUMBER(INDEX(Inputs!$K$5:$AJ$140,0,MATCH(AD$2,Inputs!$K$4:$AJ$4,0))))+SUMPRODUCT((Inputs!$E$5:$E$140=$B36)*ISNUMBER(INDEX(Inputs!$K$5:$AJ$140,0,MATCH(AD$2,Inputs!$K$4:$AJ$4,0))))=0,NA(),SUMPRODUCT((Inputs!$A$5:$A$140=$B36)*Inputs!$B$5:$B$140*(((Inputs!$G$5:$G$140="moeda")+(Inputs!$G$5:$G$140="acoes"))*Inputs!$B$1+((Inputs!$G$5:$G$140&lt;&gt;"moeda")*(Inputs!$G$5:$G$140&lt;&gt;"acoes")))*INDEX(Inputs!$K$5:$AJ$140,0,MATCH(AD$2,Inputs!$K$4:$AJ$4,0)))+SUMPRODUCT((Inputs!$C$5:$C$140=$B36)*Inputs!$D$5:$D$140*(((Inputs!$G$5:$G$140="moeda")+(Inputs!$G$5:$G$140="acoes"))*Inputs!$B$1+((Inputs!$G$5:$G$140&lt;&gt;"moeda")*(Inputs!$G$5:$G$140&lt;&gt;"acoes")))*INDEX(Inputs!$K$5:$AJ$140,0,MATCH(AD$2,Inputs!$K$4:$AJ$4,0)))+SUMPRODUCT((Inputs!$E$5:$E$140=$B36)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6" s="6" t="e">
        <f>IF(ISNA(MATCH(AE$2,Inputs!$K$4:$AJ$4,0)),NA(),IF(SUMPRODUCT((Inputs!$A$5:$A$140=$B36)*ISNUMBER(INDEX(Inputs!$K$5:$AJ$140,0,MATCH(AE$2,Inputs!$K$4:$AJ$4,0))))+SUMPRODUCT((Inputs!$C$5:$C$140=$B36)*ISNUMBER(INDEX(Inputs!$K$5:$AJ$140,0,MATCH(AE$2,Inputs!$K$4:$AJ$4,0))))+SUMPRODUCT((Inputs!$E$5:$E$140=$B36)*ISNUMBER(INDEX(Inputs!$K$5:$AJ$140,0,MATCH(AE$2,Inputs!$K$4:$AJ$4,0))))=0,NA(),SUMPRODUCT((Inputs!$A$5:$A$140=$B36)*Inputs!$B$5:$B$140*(((Inputs!$G$5:$G$140="moeda")+(Inputs!$G$5:$G$140="acoes"))*Inputs!$B$1+((Inputs!$G$5:$G$140&lt;&gt;"moeda")*(Inputs!$G$5:$G$140&lt;&gt;"acoes")))*INDEX(Inputs!$K$5:$AJ$140,0,MATCH(AE$2,Inputs!$K$4:$AJ$4,0)))+SUMPRODUCT((Inputs!$C$5:$C$140=$B36)*Inputs!$D$5:$D$140*(((Inputs!$G$5:$G$140="moeda")+(Inputs!$G$5:$G$140="acoes"))*Inputs!$B$1+((Inputs!$G$5:$G$140&lt;&gt;"moeda")*(Inputs!$G$5:$G$140&lt;&gt;"acoes")))*INDEX(Inputs!$K$5:$AJ$140,0,MATCH(AE$2,Inputs!$K$4:$AJ$4,0)))+SUMPRODUCT((Inputs!$E$5:$E$140=$B36)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6" s="6" t="e">
        <f>IF(ISNA(MATCH(AF$2,Inputs!$K$4:$AJ$4,0)),NA(),IF(SUMPRODUCT((Inputs!$A$5:$A$140=$B36)*ISNUMBER(INDEX(Inputs!$K$5:$AJ$140,0,MATCH(AF$2,Inputs!$K$4:$AJ$4,0))))+SUMPRODUCT((Inputs!$C$5:$C$140=$B36)*ISNUMBER(INDEX(Inputs!$K$5:$AJ$140,0,MATCH(AF$2,Inputs!$K$4:$AJ$4,0))))+SUMPRODUCT((Inputs!$E$5:$E$140=$B36)*ISNUMBER(INDEX(Inputs!$K$5:$AJ$140,0,MATCH(AF$2,Inputs!$K$4:$AJ$4,0))))=0,NA(),SUMPRODUCT((Inputs!$A$5:$A$140=$B36)*Inputs!$B$5:$B$140*(((Inputs!$G$5:$G$140="moeda")+(Inputs!$G$5:$G$140="acoes"))*Inputs!$B$1+((Inputs!$G$5:$G$140&lt;&gt;"moeda")*(Inputs!$G$5:$G$140&lt;&gt;"acoes")))*INDEX(Inputs!$K$5:$AJ$140,0,MATCH(AF$2,Inputs!$K$4:$AJ$4,0)))+SUMPRODUCT((Inputs!$C$5:$C$140=$B36)*Inputs!$D$5:$D$140*(((Inputs!$G$5:$G$140="moeda")+(Inputs!$G$5:$G$140="acoes"))*Inputs!$B$1+((Inputs!$G$5:$G$140&lt;&gt;"moeda")*(Inputs!$G$5:$G$140&lt;&gt;"acoes")))*INDEX(Inputs!$K$5:$AJ$140,0,MATCH(AF$2,Inputs!$K$4:$AJ$4,0)))+SUMPRODUCT((Inputs!$E$5:$E$140=$B36)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6" s="3" t="e">
        <f>AF36</f>
        <v>#N/A</v>
      </c>
      <c r="AH36" s="6" t="e">
        <f>IF(ISNA(MATCH(AH$2,Inputs!$K$4:$AJ$4,0)),NA(),IF(SUMPRODUCT((Inputs!$A$5:$A$140=$B36)*ISNUMBER(INDEX(Inputs!$K$5:$AJ$140,0,MATCH(AH$2,Inputs!$K$4:$AJ$4,0))))+SUMPRODUCT((Inputs!$C$5:$C$140=$B36)*ISNUMBER(INDEX(Inputs!$K$5:$AJ$140,0,MATCH(AH$2,Inputs!$K$4:$AJ$4,0))))+SUMPRODUCT((Inputs!$E$5:$E$140=$B36)*ISNUMBER(INDEX(Inputs!$K$5:$AJ$140,0,MATCH(AH$2,Inputs!$K$4:$AJ$4,0))))=0,NA(),SUMPRODUCT((Inputs!$A$5:$A$140=$B36)*Inputs!$B$5:$B$140*(((Inputs!$G$5:$G$140="moeda")+(Inputs!$G$5:$G$140="acoes"))*Inputs!$B$1+((Inputs!$G$5:$G$140&lt;&gt;"moeda")*(Inputs!$G$5:$G$140&lt;&gt;"acoes")))*INDEX(Inputs!$K$5:$AJ$140,0,MATCH(AH$2,Inputs!$K$4:$AJ$4,0)))+SUMPRODUCT((Inputs!$C$5:$C$140=$B36)*Inputs!$D$5:$D$140*(((Inputs!$G$5:$G$140="moeda")+(Inputs!$G$5:$G$140="acoes"))*Inputs!$B$1+((Inputs!$G$5:$G$140&lt;&gt;"moeda")*(Inputs!$G$5:$G$140&lt;&gt;"acoes")))*INDEX(Inputs!$K$5:$AJ$140,0,MATCH(AH$2,Inputs!$K$4:$AJ$4,0)))+SUMPRODUCT((Inputs!$E$5:$E$140=$B36)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6" s="6" t="e">
        <f>IF(ISNA(MATCH(AI$2,Inputs!$K$4:$AJ$4,0)),NA(),IF(SUMPRODUCT((Inputs!$A$5:$A$140=$B36)*ISNUMBER(INDEX(Inputs!$K$5:$AJ$140,0,MATCH(AI$2,Inputs!$K$4:$AJ$4,0))))+SUMPRODUCT((Inputs!$C$5:$C$140=$B36)*ISNUMBER(INDEX(Inputs!$K$5:$AJ$140,0,MATCH(AI$2,Inputs!$K$4:$AJ$4,0))))+SUMPRODUCT((Inputs!$E$5:$E$140=$B36)*ISNUMBER(INDEX(Inputs!$K$5:$AJ$140,0,MATCH(AI$2,Inputs!$K$4:$AJ$4,0))))=0,NA(),SUMPRODUCT((Inputs!$A$5:$A$140=$B36)*Inputs!$B$5:$B$140*(((Inputs!$G$5:$G$140="moeda")+(Inputs!$G$5:$G$140="acoes"))*Inputs!$B$1+((Inputs!$G$5:$G$140&lt;&gt;"moeda")*(Inputs!$G$5:$G$140&lt;&gt;"acoes")))*INDEX(Inputs!$K$5:$AJ$140,0,MATCH(AI$2,Inputs!$K$4:$AJ$4,0)))+SUMPRODUCT((Inputs!$C$5:$C$140=$B36)*Inputs!$D$5:$D$140*(((Inputs!$G$5:$G$140="moeda")+(Inputs!$G$5:$G$140="acoes"))*Inputs!$B$1+((Inputs!$G$5:$G$140&lt;&gt;"moeda")*(Inputs!$G$5:$G$140&lt;&gt;"acoes")))*INDEX(Inputs!$K$5:$AJ$140,0,MATCH(AI$2,Inputs!$K$4:$AJ$4,0)))+SUMPRODUCT((Inputs!$E$5:$E$140=$B36)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6" s="6" t="e">
        <f>IF(ISNA(MATCH(AJ$2,Inputs!$K$4:$AJ$4,0)),NA(),IF(SUMPRODUCT((Inputs!$A$5:$A$140=$B36)*ISNUMBER(INDEX(Inputs!$K$5:$AJ$140,0,MATCH(AJ$2,Inputs!$K$4:$AJ$4,0))))+SUMPRODUCT((Inputs!$C$5:$C$140=$B36)*ISNUMBER(INDEX(Inputs!$K$5:$AJ$140,0,MATCH(AJ$2,Inputs!$K$4:$AJ$4,0))))+SUMPRODUCT((Inputs!$E$5:$E$140=$B36)*ISNUMBER(INDEX(Inputs!$K$5:$AJ$140,0,MATCH(AJ$2,Inputs!$K$4:$AJ$4,0))))=0,NA(),SUMPRODUCT((Inputs!$A$5:$A$140=$B36)*Inputs!$B$5:$B$140*(((Inputs!$G$5:$G$140="moeda")+(Inputs!$G$5:$G$140="acoes"))*Inputs!$B$1+((Inputs!$G$5:$G$140&lt;&gt;"moeda")*(Inputs!$G$5:$G$140&lt;&gt;"acoes")))*INDEX(Inputs!$K$5:$AJ$140,0,MATCH(AJ$2,Inputs!$K$4:$AJ$4,0)))+SUMPRODUCT((Inputs!$C$5:$C$140=$B36)*Inputs!$D$5:$D$140*(((Inputs!$G$5:$G$140="moeda")+(Inputs!$G$5:$G$140="acoes"))*Inputs!$B$1+((Inputs!$G$5:$G$140&lt;&gt;"moeda")*(Inputs!$G$5:$G$140&lt;&gt;"acoes")))*INDEX(Inputs!$K$5:$AJ$140,0,MATCH(AJ$2,Inputs!$K$4:$AJ$4,0)))+SUMPRODUCT((Inputs!$E$5:$E$140=$B36)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6" s="6" t="e">
        <f>IF(ISNA(MATCH(AK$2,Inputs!$K$4:$AJ$4,0)),NA(),IF(SUMPRODUCT((Inputs!$A$5:$A$140=$B36)*ISNUMBER(INDEX(Inputs!$K$5:$AJ$140,0,MATCH(AK$2,Inputs!$K$4:$AJ$4,0))))+SUMPRODUCT((Inputs!$C$5:$C$140=$B36)*ISNUMBER(INDEX(Inputs!$K$5:$AJ$140,0,MATCH(AK$2,Inputs!$K$4:$AJ$4,0))))+SUMPRODUCT((Inputs!$E$5:$E$140=$B36)*ISNUMBER(INDEX(Inputs!$K$5:$AJ$140,0,MATCH(AK$2,Inputs!$K$4:$AJ$4,0))))=0,NA(),SUMPRODUCT((Inputs!$A$5:$A$140=$B36)*Inputs!$B$5:$B$140*(((Inputs!$G$5:$G$140="moeda")+(Inputs!$G$5:$G$140="acoes"))*Inputs!$B$1+((Inputs!$G$5:$G$140&lt;&gt;"moeda")*(Inputs!$G$5:$G$140&lt;&gt;"acoes")))*INDEX(Inputs!$K$5:$AJ$140,0,MATCH(AK$2,Inputs!$K$4:$AJ$4,0)))+SUMPRODUCT((Inputs!$C$5:$C$140=$B36)*Inputs!$D$5:$D$140*(((Inputs!$G$5:$G$140="moeda")+(Inputs!$G$5:$G$140="acoes"))*Inputs!$B$1+((Inputs!$G$5:$G$140&lt;&gt;"moeda")*(Inputs!$G$5:$G$140&lt;&gt;"acoes")))*INDEX(Inputs!$K$5:$AJ$140,0,MATCH(AK$2,Inputs!$K$4:$AJ$4,0)))+SUMPRODUCT((Inputs!$E$5:$E$140=$B36)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6" s="3" t="e">
        <f>AK36</f>
        <v>#N/A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$140=$B37)*ISNUMBER(INDEX(Inputs!$K$5:$AJ$140,0,MATCH(D$2,Inputs!$K$4:$AJ$4,0))))+SUMPRODUCT((Inputs!$C$5:$C$140=$B37)*ISNUMBER(INDEX(Inputs!$K$5:$AJ$140,0,MATCH(D$2,Inputs!$K$4:$AJ$4,0))))+SUMPRODUCT((Inputs!$E$5:$E$140=$B37)*ISNUMBER(INDEX(Inputs!$K$5:$AJ$140,0,MATCH(D$2,Inputs!$K$4:$AJ$4,0))))=0,NA(),SUMPRODUCT((Inputs!$A$5:$A$140=$B37)*Inputs!$B$5:$B$140*(((Inputs!$G$5:$G$140="moeda")+(Inputs!$G$5:$G$140="acoes"))*Inputs!$B$1+((Inputs!$G$5:$G$140&lt;&gt;"moeda")*(Inputs!$G$5:$G$140&lt;&gt;"acoes")))*INDEX(Inputs!$K$5:$AJ$140,0,MATCH(D$2,Inputs!$K$4:$AJ$4,0)))+SUMPRODUCT((Inputs!$C$5:$C$140=$B37)*Inputs!$D$5:$D$140*(((Inputs!$G$5:$G$140="moeda")+(Inputs!$G$5:$G$140="acoes"))*Inputs!$B$1+((Inputs!$G$5:$G$140&lt;&gt;"moeda")*(Inputs!$G$5:$G$140&lt;&gt;"acoes")))*INDEX(Inputs!$K$5:$AJ$140,0,MATCH(D$2,Inputs!$K$4:$AJ$4,0)))+SUMPRODUCT((Inputs!$E$5:$E$140=$B37)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37" s="6" t="e">
        <f>IF(ISNA(MATCH(E$2,Inputs!$K$4:$AJ$4,0)),NA(),IF(SUMPRODUCT((Inputs!$A$5:$A$140=$B37)*ISNUMBER(INDEX(Inputs!$K$5:$AJ$140,0,MATCH(E$2,Inputs!$K$4:$AJ$4,0))))+SUMPRODUCT((Inputs!$C$5:$C$140=$B37)*ISNUMBER(INDEX(Inputs!$K$5:$AJ$140,0,MATCH(E$2,Inputs!$K$4:$AJ$4,0))))+SUMPRODUCT((Inputs!$E$5:$E$140=$B37)*ISNUMBER(INDEX(Inputs!$K$5:$AJ$140,0,MATCH(E$2,Inputs!$K$4:$AJ$4,0))))=0,NA(),SUMPRODUCT((Inputs!$A$5:$A$140=$B37)*Inputs!$B$5:$B$140*(((Inputs!$G$5:$G$140="moeda")+(Inputs!$G$5:$G$140="acoes"))*Inputs!$B$1+((Inputs!$G$5:$G$140&lt;&gt;"moeda")*(Inputs!$G$5:$G$140&lt;&gt;"acoes")))*INDEX(Inputs!$K$5:$AJ$140,0,MATCH(E$2,Inputs!$K$4:$AJ$4,0)))+SUMPRODUCT((Inputs!$C$5:$C$140=$B37)*Inputs!$D$5:$D$140*(((Inputs!$G$5:$G$140="moeda")+(Inputs!$G$5:$G$140="acoes"))*Inputs!$B$1+((Inputs!$G$5:$G$140&lt;&gt;"moeda")*(Inputs!$G$5:$G$140&lt;&gt;"acoes")))*INDEX(Inputs!$K$5:$AJ$140,0,MATCH(E$2,Inputs!$K$4:$AJ$4,0)))+SUMPRODUCT((Inputs!$E$5:$E$140=$B37)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37" s="6" t="e">
        <f>IF(ISNA(MATCH(F$2,Inputs!$K$4:$AJ$4,0)),NA(),IF(SUMPRODUCT((Inputs!$A$5:$A$140=$B37)*ISNUMBER(INDEX(Inputs!$K$5:$AJ$140,0,MATCH(F$2,Inputs!$K$4:$AJ$4,0))))+SUMPRODUCT((Inputs!$C$5:$C$140=$B37)*ISNUMBER(INDEX(Inputs!$K$5:$AJ$140,0,MATCH(F$2,Inputs!$K$4:$AJ$4,0))))+SUMPRODUCT((Inputs!$E$5:$E$140=$B37)*ISNUMBER(INDEX(Inputs!$K$5:$AJ$140,0,MATCH(F$2,Inputs!$K$4:$AJ$4,0))))=0,NA(),SUMPRODUCT((Inputs!$A$5:$A$140=$B37)*Inputs!$B$5:$B$140*(((Inputs!$G$5:$G$140="moeda")+(Inputs!$G$5:$G$140="acoes"))*Inputs!$B$1+((Inputs!$G$5:$G$140&lt;&gt;"moeda")*(Inputs!$G$5:$G$140&lt;&gt;"acoes")))*INDEX(Inputs!$K$5:$AJ$140,0,MATCH(F$2,Inputs!$K$4:$AJ$4,0)))+SUMPRODUCT((Inputs!$C$5:$C$140=$B37)*Inputs!$D$5:$D$140*(((Inputs!$G$5:$G$140="moeda")+(Inputs!$G$5:$G$140="acoes"))*Inputs!$B$1+((Inputs!$G$5:$G$140&lt;&gt;"moeda")*(Inputs!$G$5:$G$140&lt;&gt;"acoes")))*INDEX(Inputs!$K$5:$AJ$140,0,MATCH(F$2,Inputs!$K$4:$AJ$4,0)))+SUMPRODUCT((Inputs!$E$5:$E$140=$B37)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37" s="6" t="e">
        <f>IF(ISNA(MATCH(G$2,Inputs!$K$4:$AJ$4,0)),NA(),IF(SUMPRODUCT((Inputs!$A$5:$A$140=$B37)*ISNUMBER(INDEX(Inputs!$K$5:$AJ$140,0,MATCH(G$2,Inputs!$K$4:$AJ$4,0))))+SUMPRODUCT((Inputs!$C$5:$C$140=$B37)*ISNUMBER(INDEX(Inputs!$K$5:$AJ$140,0,MATCH(G$2,Inputs!$K$4:$AJ$4,0))))+SUMPRODUCT((Inputs!$E$5:$E$140=$B37)*ISNUMBER(INDEX(Inputs!$K$5:$AJ$140,0,MATCH(G$2,Inputs!$K$4:$AJ$4,0))))=0,NA(),SUMPRODUCT((Inputs!$A$5:$A$140=$B37)*Inputs!$B$5:$B$140*(((Inputs!$G$5:$G$140="moeda")+(Inputs!$G$5:$G$140="acoes"))*Inputs!$B$1+((Inputs!$G$5:$G$140&lt;&gt;"moeda")*(Inputs!$G$5:$G$140&lt;&gt;"acoes")))*INDEX(Inputs!$K$5:$AJ$140,0,MATCH(G$2,Inputs!$K$4:$AJ$4,0)))+SUMPRODUCT((Inputs!$C$5:$C$140=$B37)*Inputs!$D$5:$D$140*(((Inputs!$G$5:$G$140="moeda")+(Inputs!$G$5:$G$140="acoes"))*Inputs!$B$1+((Inputs!$G$5:$G$140&lt;&gt;"moeda")*(Inputs!$G$5:$G$140&lt;&gt;"acoes")))*INDEX(Inputs!$K$5:$AJ$140,0,MATCH(G$2,Inputs!$K$4:$AJ$4,0)))+SUMPRODUCT((Inputs!$E$5:$E$140=$B37)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37" s="3" t="e">
        <f>G37</f>
        <v>#N/A</v>
      </c>
      <c r="I37" s="6" t="e">
        <f>IF(ISNA(MATCH(I$2,Inputs!$K$4:$AJ$4,0)),NA(),IF(SUMPRODUCT((Inputs!$A$5:$A$140=$B37)*ISNUMBER(INDEX(Inputs!$K$5:$AJ$140,0,MATCH(I$2,Inputs!$K$4:$AJ$4,0))))+SUMPRODUCT((Inputs!$C$5:$C$140=$B37)*ISNUMBER(INDEX(Inputs!$K$5:$AJ$140,0,MATCH(I$2,Inputs!$K$4:$AJ$4,0))))+SUMPRODUCT((Inputs!$E$5:$E$140=$B37)*ISNUMBER(INDEX(Inputs!$K$5:$AJ$140,0,MATCH(I$2,Inputs!$K$4:$AJ$4,0))))=0,NA(),SUMPRODUCT((Inputs!$A$5:$A$140=$B37)*Inputs!$B$5:$B$140*(((Inputs!$G$5:$G$140="moeda")+(Inputs!$G$5:$G$140="acoes"))*Inputs!$B$1+((Inputs!$G$5:$G$140&lt;&gt;"moeda")*(Inputs!$G$5:$G$140&lt;&gt;"acoes")))*INDEX(Inputs!$K$5:$AJ$140,0,MATCH(I$2,Inputs!$K$4:$AJ$4,0)))+SUMPRODUCT((Inputs!$C$5:$C$140=$B37)*Inputs!$D$5:$D$140*(((Inputs!$G$5:$G$140="moeda")+(Inputs!$G$5:$G$140="acoes"))*Inputs!$B$1+((Inputs!$G$5:$G$140&lt;&gt;"moeda")*(Inputs!$G$5:$G$140&lt;&gt;"acoes")))*INDEX(Inputs!$K$5:$AJ$140,0,MATCH(I$2,Inputs!$K$4:$AJ$4,0)))+SUMPRODUCT((Inputs!$E$5:$E$140=$B37)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37" s="6" t="e">
        <f>IF(ISNA(MATCH(J$2,Inputs!$K$4:$AJ$4,0)),NA(),IF(SUMPRODUCT((Inputs!$A$5:$A$140=$B37)*ISNUMBER(INDEX(Inputs!$K$5:$AJ$140,0,MATCH(J$2,Inputs!$K$4:$AJ$4,0))))+SUMPRODUCT((Inputs!$C$5:$C$140=$B37)*ISNUMBER(INDEX(Inputs!$K$5:$AJ$140,0,MATCH(J$2,Inputs!$K$4:$AJ$4,0))))+SUMPRODUCT((Inputs!$E$5:$E$140=$B37)*ISNUMBER(INDEX(Inputs!$K$5:$AJ$140,0,MATCH(J$2,Inputs!$K$4:$AJ$4,0))))=0,NA(),SUMPRODUCT((Inputs!$A$5:$A$140=$B37)*Inputs!$B$5:$B$140*(((Inputs!$G$5:$G$140="moeda")+(Inputs!$G$5:$G$140="acoes"))*Inputs!$B$1+((Inputs!$G$5:$G$140&lt;&gt;"moeda")*(Inputs!$G$5:$G$140&lt;&gt;"acoes")))*INDEX(Inputs!$K$5:$AJ$140,0,MATCH(J$2,Inputs!$K$4:$AJ$4,0)))+SUMPRODUCT((Inputs!$C$5:$C$140=$B37)*Inputs!$D$5:$D$140*(((Inputs!$G$5:$G$140="moeda")+(Inputs!$G$5:$G$140="acoes"))*Inputs!$B$1+((Inputs!$G$5:$G$140&lt;&gt;"moeda")*(Inputs!$G$5:$G$140&lt;&gt;"acoes")))*INDEX(Inputs!$K$5:$AJ$140,0,MATCH(J$2,Inputs!$K$4:$AJ$4,0)))+SUMPRODUCT((Inputs!$E$5:$E$140=$B37)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37" s="6" t="e">
        <f>IF(ISNA(MATCH(K$2,Inputs!$K$4:$AJ$4,0)),NA(),IF(SUMPRODUCT((Inputs!$A$5:$A$140=$B37)*ISNUMBER(INDEX(Inputs!$K$5:$AJ$140,0,MATCH(K$2,Inputs!$K$4:$AJ$4,0))))+SUMPRODUCT((Inputs!$C$5:$C$140=$B37)*ISNUMBER(INDEX(Inputs!$K$5:$AJ$140,0,MATCH(K$2,Inputs!$K$4:$AJ$4,0))))+SUMPRODUCT((Inputs!$E$5:$E$140=$B37)*ISNUMBER(INDEX(Inputs!$K$5:$AJ$140,0,MATCH(K$2,Inputs!$K$4:$AJ$4,0))))=0,NA(),SUMPRODUCT((Inputs!$A$5:$A$140=$B37)*Inputs!$B$5:$B$140*(((Inputs!$G$5:$G$140="moeda")+(Inputs!$G$5:$G$140="acoes"))*Inputs!$B$1+((Inputs!$G$5:$G$140&lt;&gt;"moeda")*(Inputs!$G$5:$G$140&lt;&gt;"acoes")))*INDEX(Inputs!$K$5:$AJ$140,0,MATCH(K$2,Inputs!$K$4:$AJ$4,0)))+SUMPRODUCT((Inputs!$C$5:$C$140=$B37)*Inputs!$D$5:$D$140*(((Inputs!$G$5:$G$140="moeda")+(Inputs!$G$5:$G$140="acoes"))*Inputs!$B$1+((Inputs!$G$5:$G$140&lt;&gt;"moeda")*(Inputs!$G$5:$G$140&lt;&gt;"acoes")))*INDEX(Inputs!$K$5:$AJ$140,0,MATCH(K$2,Inputs!$K$4:$AJ$4,0)))+SUMPRODUCT((Inputs!$E$5:$E$140=$B37)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37" s="6" t="e">
        <f>IF(ISNA(MATCH(L$2,Inputs!$K$4:$AJ$4,0)),NA(),IF(SUMPRODUCT((Inputs!$A$5:$A$140=$B37)*ISNUMBER(INDEX(Inputs!$K$5:$AJ$140,0,MATCH(L$2,Inputs!$K$4:$AJ$4,0))))+SUMPRODUCT((Inputs!$C$5:$C$140=$B37)*ISNUMBER(INDEX(Inputs!$K$5:$AJ$140,0,MATCH(L$2,Inputs!$K$4:$AJ$4,0))))+SUMPRODUCT((Inputs!$E$5:$E$140=$B37)*ISNUMBER(INDEX(Inputs!$K$5:$AJ$140,0,MATCH(L$2,Inputs!$K$4:$AJ$4,0))))=0,NA(),SUMPRODUCT((Inputs!$A$5:$A$140=$B37)*Inputs!$B$5:$B$140*(((Inputs!$G$5:$G$140="moeda")+(Inputs!$G$5:$G$140="acoes"))*Inputs!$B$1+((Inputs!$G$5:$G$140&lt;&gt;"moeda")*(Inputs!$G$5:$G$140&lt;&gt;"acoes")))*INDEX(Inputs!$K$5:$AJ$140,0,MATCH(L$2,Inputs!$K$4:$AJ$4,0)))+SUMPRODUCT((Inputs!$C$5:$C$140=$B37)*Inputs!$D$5:$D$140*(((Inputs!$G$5:$G$140="moeda")+(Inputs!$G$5:$G$140="acoes"))*Inputs!$B$1+((Inputs!$G$5:$G$140&lt;&gt;"moeda")*(Inputs!$G$5:$G$140&lt;&gt;"acoes")))*INDEX(Inputs!$K$5:$AJ$140,0,MATCH(L$2,Inputs!$K$4:$AJ$4,0)))+SUMPRODUCT((Inputs!$E$5:$E$140=$B37)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37" s="3" t="e">
        <f>L37</f>
        <v>#N/A</v>
      </c>
      <c r="N37" s="6" t="e">
        <f>IF(ISNA(MATCH(N$2,Inputs!$K$4:$AJ$4,0)),NA(),IF(SUMPRODUCT((Inputs!$A$5:$A$140=$B37)*ISNUMBER(INDEX(Inputs!$K$5:$AJ$140,0,MATCH(N$2,Inputs!$K$4:$AJ$4,0))))+SUMPRODUCT((Inputs!$C$5:$C$140=$B37)*ISNUMBER(INDEX(Inputs!$K$5:$AJ$140,0,MATCH(N$2,Inputs!$K$4:$AJ$4,0))))+SUMPRODUCT((Inputs!$E$5:$E$140=$B37)*ISNUMBER(INDEX(Inputs!$K$5:$AJ$140,0,MATCH(N$2,Inputs!$K$4:$AJ$4,0))))=0,NA(),SUMPRODUCT((Inputs!$A$5:$A$140=$B37)*Inputs!$B$5:$B$140*(((Inputs!$G$5:$G$140="moeda")+(Inputs!$G$5:$G$140="acoes"))*Inputs!$B$1+((Inputs!$G$5:$G$140&lt;&gt;"moeda")*(Inputs!$G$5:$G$140&lt;&gt;"acoes")))*INDEX(Inputs!$K$5:$AJ$140,0,MATCH(N$2,Inputs!$K$4:$AJ$4,0)))+SUMPRODUCT((Inputs!$C$5:$C$140=$B37)*Inputs!$D$5:$D$140*(((Inputs!$G$5:$G$140="moeda")+(Inputs!$G$5:$G$140="acoes"))*Inputs!$B$1+((Inputs!$G$5:$G$140&lt;&gt;"moeda")*(Inputs!$G$5:$G$140&lt;&gt;"acoes")))*INDEX(Inputs!$K$5:$AJ$140,0,MATCH(N$2,Inputs!$K$4:$AJ$4,0)))+SUMPRODUCT((Inputs!$E$5:$E$140=$B37)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37" s="6" t="e">
        <f>IF(ISNA(MATCH(O$2,Inputs!$K$4:$AJ$4,0)),NA(),IF(SUMPRODUCT((Inputs!$A$5:$A$140=$B37)*ISNUMBER(INDEX(Inputs!$K$5:$AJ$140,0,MATCH(O$2,Inputs!$K$4:$AJ$4,0))))+SUMPRODUCT((Inputs!$C$5:$C$140=$B37)*ISNUMBER(INDEX(Inputs!$K$5:$AJ$140,0,MATCH(O$2,Inputs!$K$4:$AJ$4,0))))+SUMPRODUCT((Inputs!$E$5:$E$140=$B37)*ISNUMBER(INDEX(Inputs!$K$5:$AJ$140,0,MATCH(O$2,Inputs!$K$4:$AJ$4,0))))=0,NA(),SUMPRODUCT((Inputs!$A$5:$A$140=$B37)*Inputs!$B$5:$B$140*(((Inputs!$G$5:$G$140="moeda")+(Inputs!$G$5:$G$140="acoes"))*Inputs!$B$1+((Inputs!$G$5:$G$140&lt;&gt;"moeda")*(Inputs!$G$5:$G$140&lt;&gt;"acoes")))*INDEX(Inputs!$K$5:$AJ$140,0,MATCH(O$2,Inputs!$K$4:$AJ$4,0)))+SUMPRODUCT((Inputs!$C$5:$C$140=$B37)*Inputs!$D$5:$D$140*(((Inputs!$G$5:$G$140="moeda")+(Inputs!$G$5:$G$140="acoes"))*Inputs!$B$1+((Inputs!$G$5:$G$140&lt;&gt;"moeda")*(Inputs!$G$5:$G$140&lt;&gt;"acoes")))*INDEX(Inputs!$K$5:$AJ$140,0,MATCH(O$2,Inputs!$K$4:$AJ$4,0)))+SUMPRODUCT((Inputs!$E$5:$E$140=$B37)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37" s="6" t="e">
        <f>IF(ISNA(MATCH(P$2,Inputs!$K$4:$AJ$4,0)),NA(),IF(SUMPRODUCT((Inputs!$A$5:$A$140=$B37)*ISNUMBER(INDEX(Inputs!$K$5:$AJ$140,0,MATCH(P$2,Inputs!$K$4:$AJ$4,0))))+SUMPRODUCT((Inputs!$C$5:$C$140=$B37)*ISNUMBER(INDEX(Inputs!$K$5:$AJ$140,0,MATCH(P$2,Inputs!$K$4:$AJ$4,0))))+SUMPRODUCT((Inputs!$E$5:$E$140=$B37)*ISNUMBER(INDEX(Inputs!$K$5:$AJ$140,0,MATCH(P$2,Inputs!$K$4:$AJ$4,0))))=0,NA(),SUMPRODUCT((Inputs!$A$5:$A$140=$B37)*Inputs!$B$5:$B$140*(((Inputs!$G$5:$G$140="moeda")+(Inputs!$G$5:$G$140="acoes"))*Inputs!$B$1+((Inputs!$G$5:$G$140&lt;&gt;"moeda")*(Inputs!$G$5:$G$140&lt;&gt;"acoes")))*INDEX(Inputs!$K$5:$AJ$140,0,MATCH(P$2,Inputs!$K$4:$AJ$4,0)))+SUMPRODUCT((Inputs!$C$5:$C$140=$B37)*Inputs!$D$5:$D$140*(((Inputs!$G$5:$G$140="moeda")+(Inputs!$G$5:$G$140="acoes"))*Inputs!$B$1+((Inputs!$G$5:$G$140&lt;&gt;"moeda")*(Inputs!$G$5:$G$140&lt;&gt;"acoes")))*INDEX(Inputs!$K$5:$AJ$140,0,MATCH(P$2,Inputs!$K$4:$AJ$4,0)))+SUMPRODUCT((Inputs!$E$5:$E$140=$B37)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37" s="6" t="e">
        <f>IF(ISNA(MATCH(Q$2,Inputs!$K$4:$AJ$4,0)),NA(),IF(SUMPRODUCT((Inputs!$A$5:$A$140=$B37)*ISNUMBER(INDEX(Inputs!$K$5:$AJ$140,0,MATCH(Q$2,Inputs!$K$4:$AJ$4,0))))+SUMPRODUCT((Inputs!$C$5:$C$140=$B37)*ISNUMBER(INDEX(Inputs!$K$5:$AJ$140,0,MATCH(Q$2,Inputs!$K$4:$AJ$4,0))))+SUMPRODUCT((Inputs!$E$5:$E$140=$B37)*ISNUMBER(INDEX(Inputs!$K$5:$AJ$140,0,MATCH(Q$2,Inputs!$K$4:$AJ$4,0))))=0,NA(),SUMPRODUCT((Inputs!$A$5:$A$140=$B37)*Inputs!$B$5:$B$140*(((Inputs!$G$5:$G$140="moeda")+(Inputs!$G$5:$G$140="acoes"))*Inputs!$B$1+((Inputs!$G$5:$G$140&lt;&gt;"moeda")*(Inputs!$G$5:$G$140&lt;&gt;"acoes")))*INDEX(Inputs!$K$5:$AJ$140,0,MATCH(Q$2,Inputs!$K$4:$AJ$4,0)))+SUMPRODUCT((Inputs!$C$5:$C$140=$B37)*Inputs!$D$5:$D$140*(((Inputs!$G$5:$G$140="moeda")+(Inputs!$G$5:$G$140="acoes"))*Inputs!$B$1+((Inputs!$G$5:$G$140&lt;&gt;"moeda")*(Inputs!$G$5:$G$140&lt;&gt;"acoes")))*INDEX(Inputs!$K$5:$AJ$140,0,MATCH(Q$2,Inputs!$K$4:$AJ$4,0)))+SUMPRODUCT((Inputs!$E$5:$E$140=$B37)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37" s="3" t="e">
        <f>Q37</f>
        <v>#N/A</v>
      </c>
      <c r="S37" s="6" t="e">
        <f>IF(ISNA(MATCH(S$2,Inputs!$K$4:$AJ$4,0)),NA(),IF(SUMPRODUCT((Inputs!$A$5:$A$140=$B37)*ISNUMBER(INDEX(Inputs!$K$5:$AJ$140,0,MATCH(S$2,Inputs!$K$4:$AJ$4,0))))+SUMPRODUCT((Inputs!$C$5:$C$140=$B37)*ISNUMBER(INDEX(Inputs!$K$5:$AJ$140,0,MATCH(S$2,Inputs!$K$4:$AJ$4,0))))+SUMPRODUCT((Inputs!$E$5:$E$140=$B37)*ISNUMBER(INDEX(Inputs!$K$5:$AJ$140,0,MATCH(S$2,Inputs!$K$4:$AJ$4,0))))=0,NA(),SUMPRODUCT((Inputs!$A$5:$A$140=$B37)*Inputs!$B$5:$B$140*(((Inputs!$G$5:$G$140="moeda")+(Inputs!$G$5:$G$140="acoes"))*Inputs!$B$1+((Inputs!$G$5:$G$140&lt;&gt;"moeda")*(Inputs!$G$5:$G$140&lt;&gt;"acoes")))*INDEX(Inputs!$K$5:$AJ$140,0,MATCH(S$2,Inputs!$K$4:$AJ$4,0)))+SUMPRODUCT((Inputs!$C$5:$C$140=$B37)*Inputs!$D$5:$D$140*(((Inputs!$G$5:$G$140="moeda")+(Inputs!$G$5:$G$140="acoes"))*Inputs!$B$1+((Inputs!$G$5:$G$140&lt;&gt;"moeda")*(Inputs!$G$5:$G$140&lt;&gt;"acoes")))*INDEX(Inputs!$K$5:$AJ$140,0,MATCH(S$2,Inputs!$K$4:$AJ$4,0)))+SUMPRODUCT((Inputs!$E$5:$E$140=$B37)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37" s="6" t="e">
        <f>IF(ISNA(MATCH(T$2,Inputs!$K$4:$AJ$4,0)),NA(),IF(SUMPRODUCT((Inputs!$A$5:$A$140=$B37)*ISNUMBER(INDEX(Inputs!$K$5:$AJ$140,0,MATCH(T$2,Inputs!$K$4:$AJ$4,0))))+SUMPRODUCT((Inputs!$C$5:$C$140=$B37)*ISNUMBER(INDEX(Inputs!$K$5:$AJ$140,0,MATCH(T$2,Inputs!$K$4:$AJ$4,0))))+SUMPRODUCT((Inputs!$E$5:$E$140=$B37)*ISNUMBER(INDEX(Inputs!$K$5:$AJ$140,0,MATCH(T$2,Inputs!$K$4:$AJ$4,0))))=0,NA(),SUMPRODUCT((Inputs!$A$5:$A$140=$B37)*Inputs!$B$5:$B$140*(((Inputs!$G$5:$G$140="moeda")+(Inputs!$G$5:$G$140="acoes"))*Inputs!$B$1+((Inputs!$G$5:$G$140&lt;&gt;"moeda")*(Inputs!$G$5:$G$140&lt;&gt;"acoes")))*INDEX(Inputs!$K$5:$AJ$140,0,MATCH(T$2,Inputs!$K$4:$AJ$4,0)))+SUMPRODUCT((Inputs!$C$5:$C$140=$B37)*Inputs!$D$5:$D$140*(((Inputs!$G$5:$G$140="moeda")+(Inputs!$G$5:$G$140="acoes"))*Inputs!$B$1+((Inputs!$G$5:$G$140&lt;&gt;"moeda")*(Inputs!$G$5:$G$140&lt;&gt;"acoes")))*INDEX(Inputs!$K$5:$AJ$140,0,MATCH(T$2,Inputs!$K$4:$AJ$4,0)))+SUMPRODUCT((Inputs!$E$5:$E$140=$B37)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37" s="6" t="e">
        <f>IF(ISNA(MATCH(U$2,Inputs!$K$4:$AJ$4,0)),NA(),IF(SUMPRODUCT((Inputs!$A$5:$A$140=$B37)*ISNUMBER(INDEX(Inputs!$K$5:$AJ$140,0,MATCH(U$2,Inputs!$K$4:$AJ$4,0))))+SUMPRODUCT((Inputs!$C$5:$C$140=$B37)*ISNUMBER(INDEX(Inputs!$K$5:$AJ$140,0,MATCH(U$2,Inputs!$K$4:$AJ$4,0))))+SUMPRODUCT((Inputs!$E$5:$E$140=$B37)*ISNUMBER(INDEX(Inputs!$K$5:$AJ$140,0,MATCH(U$2,Inputs!$K$4:$AJ$4,0))))=0,NA(),SUMPRODUCT((Inputs!$A$5:$A$140=$B37)*Inputs!$B$5:$B$140*(((Inputs!$G$5:$G$140="moeda")+(Inputs!$G$5:$G$140="acoes"))*Inputs!$B$1+((Inputs!$G$5:$G$140&lt;&gt;"moeda")*(Inputs!$G$5:$G$140&lt;&gt;"acoes")))*INDEX(Inputs!$K$5:$AJ$140,0,MATCH(U$2,Inputs!$K$4:$AJ$4,0)))+SUMPRODUCT((Inputs!$C$5:$C$140=$B37)*Inputs!$D$5:$D$140*(((Inputs!$G$5:$G$140="moeda")+(Inputs!$G$5:$G$140="acoes"))*Inputs!$B$1+((Inputs!$G$5:$G$140&lt;&gt;"moeda")*(Inputs!$G$5:$G$140&lt;&gt;"acoes")))*INDEX(Inputs!$K$5:$AJ$140,0,MATCH(U$2,Inputs!$K$4:$AJ$4,0)))+SUMPRODUCT((Inputs!$E$5:$E$140=$B37)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37" s="6" t="e">
        <f>IF(ISNA(MATCH(V$2,Inputs!$K$4:$AJ$4,0)),NA(),IF(SUMPRODUCT((Inputs!$A$5:$A$140=$B37)*ISNUMBER(INDEX(Inputs!$K$5:$AJ$140,0,MATCH(V$2,Inputs!$K$4:$AJ$4,0))))+SUMPRODUCT((Inputs!$C$5:$C$140=$B37)*ISNUMBER(INDEX(Inputs!$K$5:$AJ$140,0,MATCH(V$2,Inputs!$K$4:$AJ$4,0))))+SUMPRODUCT((Inputs!$E$5:$E$140=$B37)*ISNUMBER(INDEX(Inputs!$K$5:$AJ$140,0,MATCH(V$2,Inputs!$K$4:$AJ$4,0))))=0,NA(),SUMPRODUCT((Inputs!$A$5:$A$140=$B37)*Inputs!$B$5:$B$140*(((Inputs!$G$5:$G$140="moeda")+(Inputs!$G$5:$G$140="acoes"))*Inputs!$B$1+((Inputs!$G$5:$G$140&lt;&gt;"moeda")*(Inputs!$G$5:$G$140&lt;&gt;"acoes")))*INDEX(Inputs!$K$5:$AJ$140,0,MATCH(V$2,Inputs!$K$4:$AJ$4,0)))+SUMPRODUCT((Inputs!$C$5:$C$140=$B37)*Inputs!$D$5:$D$140*(((Inputs!$G$5:$G$140="moeda")+(Inputs!$G$5:$G$140="acoes"))*Inputs!$B$1+((Inputs!$G$5:$G$140&lt;&gt;"moeda")*(Inputs!$G$5:$G$140&lt;&gt;"acoes")))*INDEX(Inputs!$K$5:$AJ$140,0,MATCH(V$2,Inputs!$K$4:$AJ$4,0)))+SUMPRODUCT((Inputs!$E$5:$E$140=$B37)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37" s="3" t="e">
        <f>V37</f>
        <v>#N/A</v>
      </c>
      <c r="X37" s="6" t="e">
        <f>IF(ISNA(MATCH(X$2,Inputs!$K$4:$AJ$4,0)),NA(),IF(SUMPRODUCT((Inputs!$A$5:$A$140=$B37)*ISNUMBER(INDEX(Inputs!$K$5:$AJ$140,0,MATCH(X$2,Inputs!$K$4:$AJ$4,0))))+SUMPRODUCT((Inputs!$C$5:$C$140=$B37)*ISNUMBER(INDEX(Inputs!$K$5:$AJ$140,0,MATCH(X$2,Inputs!$K$4:$AJ$4,0))))+SUMPRODUCT((Inputs!$E$5:$E$140=$B37)*ISNUMBER(INDEX(Inputs!$K$5:$AJ$140,0,MATCH(X$2,Inputs!$K$4:$AJ$4,0))))=0,NA(),SUMPRODUCT((Inputs!$A$5:$A$140=$B37)*Inputs!$B$5:$B$140*(((Inputs!$G$5:$G$140="moeda")+(Inputs!$G$5:$G$140="acoes"))*Inputs!$B$1+((Inputs!$G$5:$G$140&lt;&gt;"moeda")*(Inputs!$G$5:$G$140&lt;&gt;"acoes")))*INDEX(Inputs!$K$5:$AJ$140,0,MATCH(X$2,Inputs!$K$4:$AJ$4,0)))+SUMPRODUCT((Inputs!$C$5:$C$140=$B37)*Inputs!$D$5:$D$140*(((Inputs!$G$5:$G$140="moeda")+(Inputs!$G$5:$G$140="acoes"))*Inputs!$B$1+((Inputs!$G$5:$G$140&lt;&gt;"moeda")*(Inputs!$G$5:$G$140&lt;&gt;"acoes")))*INDEX(Inputs!$K$5:$AJ$140,0,MATCH(X$2,Inputs!$K$4:$AJ$4,0)))+SUMPRODUCT((Inputs!$E$5:$E$140=$B37)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37" s="6" t="e">
        <f>IF(ISNA(MATCH(Y$2,Inputs!$K$4:$AJ$4,0)),NA(),IF(SUMPRODUCT((Inputs!$A$5:$A$140=$B37)*ISNUMBER(INDEX(Inputs!$K$5:$AJ$140,0,MATCH(Y$2,Inputs!$K$4:$AJ$4,0))))+SUMPRODUCT((Inputs!$C$5:$C$140=$B37)*ISNUMBER(INDEX(Inputs!$K$5:$AJ$140,0,MATCH(Y$2,Inputs!$K$4:$AJ$4,0))))+SUMPRODUCT((Inputs!$E$5:$E$140=$B37)*ISNUMBER(INDEX(Inputs!$K$5:$AJ$140,0,MATCH(Y$2,Inputs!$K$4:$AJ$4,0))))=0,NA(),SUMPRODUCT((Inputs!$A$5:$A$140=$B37)*Inputs!$B$5:$B$140*(((Inputs!$G$5:$G$140="moeda")+(Inputs!$G$5:$G$140="acoes"))*Inputs!$B$1+((Inputs!$G$5:$G$140&lt;&gt;"moeda")*(Inputs!$G$5:$G$140&lt;&gt;"acoes")))*INDEX(Inputs!$K$5:$AJ$140,0,MATCH(Y$2,Inputs!$K$4:$AJ$4,0)))+SUMPRODUCT((Inputs!$C$5:$C$140=$B37)*Inputs!$D$5:$D$140*(((Inputs!$G$5:$G$140="moeda")+(Inputs!$G$5:$G$140="acoes"))*Inputs!$B$1+((Inputs!$G$5:$G$140&lt;&gt;"moeda")*(Inputs!$G$5:$G$140&lt;&gt;"acoes")))*INDEX(Inputs!$K$5:$AJ$140,0,MATCH(Y$2,Inputs!$K$4:$AJ$4,0)))+SUMPRODUCT((Inputs!$E$5:$E$140=$B37)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37" s="6" t="e">
        <f>IF(ISNA(MATCH(Z$2,Inputs!$K$4:$AJ$4,0)),NA(),IF(SUMPRODUCT((Inputs!$A$5:$A$140=$B37)*ISNUMBER(INDEX(Inputs!$K$5:$AJ$140,0,MATCH(Z$2,Inputs!$K$4:$AJ$4,0))))+SUMPRODUCT((Inputs!$C$5:$C$140=$B37)*ISNUMBER(INDEX(Inputs!$K$5:$AJ$140,0,MATCH(Z$2,Inputs!$K$4:$AJ$4,0))))+SUMPRODUCT((Inputs!$E$5:$E$140=$B37)*ISNUMBER(INDEX(Inputs!$K$5:$AJ$140,0,MATCH(Z$2,Inputs!$K$4:$AJ$4,0))))=0,NA(),SUMPRODUCT((Inputs!$A$5:$A$140=$B37)*Inputs!$B$5:$B$140*(((Inputs!$G$5:$G$140="moeda")+(Inputs!$G$5:$G$140="acoes"))*Inputs!$B$1+((Inputs!$G$5:$G$140&lt;&gt;"moeda")*(Inputs!$G$5:$G$140&lt;&gt;"acoes")))*INDEX(Inputs!$K$5:$AJ$140,0,MATCH(Z$2,Inputs!$K$4:$AJ$4,0)))+SUMPRODUCT((Inputs!$C$5:$C$140=$B37)*Inputs!$D$5:$D$140*(((Inputs!$G$5:$G$140="moeda")+(Inputs!$G$5:$G$140="acoes"))*Inputs!$B$1+((Inputs!$G$5:$G$140&lt;&gt;"moeda")*(Inputs!$G$5:$G$140&lt;&gt;"acoes")))*INDEX(Inputs!$K$5:$AJ$140,0,MATCH(Z$2,Inputs!$K$4:$AJ$4,0)))+SUMPRODUCT((Inputs!$E$5:$E$140=$B37)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37" s="6" t="e">
        <f>IF(ISNA(MATCH(AA$2,Inputs!$K$4:$AJ$4,0)),NA(),IF(SUMPRODUCT((Inputs!$A$5:$A$140=$B37)*ISNUMBER(INDEX(Inputs!$K$5:$AJ$140,0,MATCH(AA$2,Inputs!$K$4:$AJ$4,0))))+SUMPRODUCT((Inputs!$C$5:$C$140=$B37)*ISNUMBER(INDEX(Inputs!$K$5:$AJ$140,0,MATCH(AA$2,Inputs!$K$4:$AJ$4,0))))+SUMPRODUCT((Inputs!$E$5:$E$140=$B37)*ISNUMBER(INDEX(Inputs!$K$5:$AJ$140,0,MATCH(AA$2,Inputs!$K$4:$AJ$4,0))))=0,NA(),SUMPRODUCT((Inputs!$A$5:$A$140=$B37)*Inputs!$B$5:$B$140*(((Inputs!$G$5:$G$140="moeda")+(Inputs!$G$5:$G$140="acoes"))*Inputs!$B$1+((Inputs!$G$5:$G$140&lt;&gt;"moeda")*(Inputs!$G$5:$G$140&lt;&gt;"acoes")))*INDEX(Inputs!$K$5:$AJ$140,0,MATCH(AA$2,Inputs!$K$4:$AJ$4,0)))+SUMPRODUCT((Inputs!$C$5:$C$140=$B37)*Inputs!$D$5:$D$140*(((Inputs!$G$5:$G$140="moeda")+(Inputs!$G$5:$G$140="acoes"))*Inputs!$B$1+((Inputs!$G$5:$G$140&lt;&gt;"moeda")*(Inputs!$G$5:$G$140&lt;&gt;"acoes")))*INDEX(Inputs!$K$5:$AJ$140,0,MATCH(AA$2,Inputs!$K$4:$AJ$4,0)))+SUMPRODUCT((Inputs!$E$5:$E$140=$B37)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37" s="3" t="e">
        <f>AA37</f>
        <v>#N/A</v>
      </c>
      <c r="AC37" s="6" t="e">
        <f>IF(ISNA(MATCH(AC$2,Inputs!$K$4:$AJ$4,0)),NA(),IF(SUMPRODUCT((Inputs!$A$5:$A$140=$B37)*ISNUMBER(INDEX(Inputs!$K$5:$AJ$140,0,MATCH(AC$2,Inputs!$K$4:$AJ$4,0))))+SUMPRODUCT((Inputs!$C$5:$C$140=$B37)*ISNUMBER(INDEX(Inputs!$K$5:$AJ$140,0,MATCH(AC$2,Inputs!$K$4:$AJ$4,0))))+SUMPRODUCT((Inputs!$E$5:$E$140=$B37)*ISNUMBER(INDEX(Inputs!$K$5:$AJ$140,0,MATCH(AC$2,Inputs!$K$4:$AJ$4,0))))=0,NA(),SUMPRODUCT((Inputs!$A$5:$A$140=$B37)*Inputs!$B$5:$B$140*(((Inputs!$G$5:$G$140="moeda")+(Inputs!$G$5:$G$140="acoes"))*Inputs!$B$1+((Inputs!$G$5:$G$140&lt;&gt;"moeda")*(Inputs!$G$5:$G$140&lt;&gt;"acoes")))*INDEX(Inputs!$K$5:$AJ$140,0,MATCH(AC$2,Inputs!$K$4:$AJ$4,0)))+SUMPRODUCT((Inputs!$C$5:$C$140=$B37)*Inputs!$D$5:$D$140*(((Inputs!$G$5:$G$140="moeda")+(Inputs!$G$5:$G$140="acoes"))*Inputs!$B$1+((Inputs!$G$5:$G$140&lt;&gt;"moeda")*(Inputs!$G$5:$G$140&lt;&gt;"acoes")))*INDEX(Inputs!$K$5:$AJ$140,0,MATCH(AC$2,Inputs!$K$4:$AJ$4,0)))+SUMPRODUCT((Inputs!$E$5:$E$140=$B37)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37" s="6" t="e">
        <f>IF(ISNA(MATCH(AD$2,Inputs!$K$4:$AJ$4,0)),NA(),IF(SUMPRODUCT((Inputs!$A$5:$A$140=$B37)*ISNUMBER(INDEX(Inputs!$K$5:$AJ$140,0,MATCH(AD$2,Inputs!$K$4:$AJ$4,0))))+SUMPRODUCT((Inputs!$C$5:$C$140=$B37)*ISNUMBER(INDEX(Inputs!$K$5:$AJ$140,0,MATCH(AD$2,Inputs!$K$4:$AJ$4,0))))+SUMPRODUCT((Inputs!$E$5:$E$140=$B37)*ISNUMBER(INDEX(Inputs!$K$5:$AJ$140,0,MATCH(AD$2,Inputs!$K$4:$AJ$4,0))))=0,NA(),SUMPRODUCT((Inputs!$A$5:$A$140=$B37)*Inputs!$B$5:$B$140*(((Inputs!$G$5:$G$140="moeda")+(Inputs!$G$5:$G$140="acoes"))*Inputs!$B$1+((Inputs!$G$5:$G$140&lt;&gt;"moeda")*(Inputs!$G$5:$G$140&lt;&gt;"acoes")))*INDEX(Inputs!$K$5:$AJ$140,0,MATCH(AD$2,Inputs!$K$4:$AJ$4,0)))+SUMPRODUCT((Inputs!$C$5:$C$140=$B37)*Inputs!$D$5:$D$140*(((Inputs!$G$5:$G$140="moeda")+(Inputs!$G$5:$G$140="acoes"))*Inputs!$B$1+((Inputs!$G$5:$G$140&lt;&gt;"moeda")*(Inputs!$G$5:$G$140&lt;&gt;"acoes")))*INDEX(Inputs!$K$5:$AJ$140,0,MATCH(AD$2,Inputs!$K$4:$AJ$4,0)))+SUMPRODUCT((Inputs!$E$5:$E$140=$B37)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37" s="6" t="e">
        <f>IF(ISNA(MATCH(AE$2,Inputs!$K$4:$AJ$4,0)),NA(),IF(SUMPRODUCT((Inputs!$A$5:$A$140=$B37)*ISNUMBER(INDEX(Inputs!$K$5:$AJ$140,0,MATCH(AE$2,Inputs!$K$4:$AJ$4,0))))+SUMPRODUCT((Inputs!$C$5:$C$140=$B37)*ISNUMBER(INDEX(Inputs!$K$5:$AJ$140,0,MATCH(AE$2,Inputs!$K$4:$AJ$4,0))))+SUMPRODUCT((Inputs!$E$5:$E$140=$B37)*ISNUMBER(INDEX(Inputs!$K$5:$AJ$140,0,MATCH(AE$2,Inputs!$K$4:$AJ$4,0))))=0,NA(),SUMPRODUCT((Inputs!$A$5:$A$140=$B37)*Inputs!$B$5:$B$140*(((Inputs!$G$5:$G$140="moeda")+(Inputs!$G$5:$G$140="acoes"))*Inputs!$B$1+((Inputs!$G$5:$G$140&lt;&gt;"moeda")*(Inputs!$G$5:$G$140&lt;&gt;"acoes")))*INDEX(Inputs!$K$5:$AJ$140,0,MATCH(AE$2,Inputs!$K$4:$AJ$4,0)))+SUMPRODUCT((Inputs!$C$5:$C$140=$B37)*Inputs!$D$5:$D$140*(((Inputs!$G$5:$G$140="moeda")+(Inputs!$G$5:$G$140="acoes"))*Inputs!$B$1+((Inputs!$G$5:$G$140&lt;&gt;"moeda")*(Inputs!$G$5:$G$140&lt;&gt;"acoes")))*INDEX(Inputs!$K$5:$AJ$140,0,MATCH(AE$2,Inputs!$K$4:$AJ$4,0)))+SUMPRODUCT((Inputs!$E$5:$E$140=$B37)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7" s="6" t="e">
        <f>IF(ISNA(MATCH(AF$2,Inputs!$K$4:$AJ$4,0)),NA(),IF(SUMPRODUCT((Inputs!$A$5:$A$140=$B37)*ISNUMBER(INDEX(Inputs!$K$5:$AJ$140,0,MATCH(AF$2,Inputs!$K$4:$AJ$4,0))))+SUMPRODUCT((Inputs!$C$5:$C$140=$B37)*ISNUMBER(INDEX(Inputs!$K$5:$AJ$140,0,MATCH(AF$2,Inputs!$K$4:$AJ$4,0))))+SUMPRODUCT((Inputs!$E$5:$E$140=$B37)*ISNUMBER(INDEX(Inputs!$K$5:$AJ$140,0,MATCH(AF$2,Inputs!$K$4:$AJ$4,0))))=0,NA(),SUMPRODUCT((Inputs!$A$5:$A$140=$B37)*Inputs!$B$5:$B$140*(((Inputs!$G$5:$G$140="moeda")+(Inputs!$G$5:$G$140="acoes"))*Inputs!$B$1+((Inputs!$G$5:$G$140&lt;&gt;"moeda")*(Inputs!$G$5:$G$140&lt;&gt;"acoes")))*INDEX(Inputs!$K$5:$AJ$140,0,MATCH(AF$2,Inputs!$K$4:$AJ$4,0)))+SUMPRODUCT((Inputs!$C$5:$C$140=$B37)*Inputs!$D$5:$D$140*(((Inputs!$G$5:$G$140="moeda")+(Inputs!$G$5:$G$140="acoes"))*Inputs!$B$1+((Inputs!$G$5:$G$140&lt;&gt;"moeda")*(Inputs!$G$5:$G$140&lt;&gt;"acoes")))*INDEX(Inputs!$K$5:$AJ$140,0,MATCH(AF$2,Inputs!$K$4:$AJ$4,0)))+SUMPRODUCT((Inputs!$E$5:$E$140=$B37)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7" s="3" t="e">
        <f>AF37</f>
        <v>#N/A</v>
      </c>
      <c r="AH37" s="6" t="e">
        <f>IF(ISNA(MATCH(AH$2,Inputs!$K$4:$AJ$4,0)),NA(),IF(SUMPRODUCT((Inputs!$A$5:$A$140=$B37)*ISNUMBER(INDEX(Inputs!$K$5:$AJ$140,0,MATCH(AH$2,Inputs!$K$4:$AJ$4,0))))+SUMPRODUCT((Inputs!$C$5:$C$140=$B37)*ISNUMBER(INDEX(Inputs!$K$5:$AJ$140,0,MATCH(AH$2,Inputs!$K$4:$AJ$4,0))))+SUMPRODUCT((Inputs!$E$5:$E$140=$B37)*ISNUMBER(INDEX(Inputs!$K$5:$AJ$140,0,MATCH(AH$2,Inputs!$K$4:$AJ$4,0))))=0,NA(),SUMPRODUCT((Inputs!$A$5:$A$140=$B37)*Inputs!$B$5:$B$140*(((Inputs!$G$5:$G$140="moeda")+(Inputs!$G$5:$G$140="acoes"))*Inputs!$B$1+((Inputs!$G$5:$G$140&lt;&gt;"moeda")*(Inputs!$G$5:$G$140&lt;&gt;"acoes")))*INDEX(Inputs!$K$5:$AJ$140,0,MATCH(AH$2,Inputs!$K$4:$AJ$4,0)))+SUMPRODUCT((Inputs!$C$5:$C$140=$B37)*Inputs!$D$5:$D$140*(((Inputs!$G$5:$G$140="moeda")+(Inputs!$G$5:$G$140="acoes"))*Inputs!$B$1+((Inputs!$G$5:$G$140&lt;&gt;"moeda")*(Inputs!$G$5:$G$140&lt;&gt;"acoes")))*INDEX(Inputs!$K$5:$AJ$140,0,MATCH(AH$2,Inputs!$K$4:$AJ$4,0)))+SUMPRODUCT((Inputs!$E$5:$E$140=$B37)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37" s="6" t="e">
        <f>IF(ISNA(MATCH(AI$2,Inputs!$K$4:$AJ$4,0)),NA(),IF(SUMPRODUCT((Inputs!$A$5:$A$140=$B37)*ISNUMBER(INDEX(Inputs!$K$5:$AJ$140,0,MATCH(AI$2,Inputs!$K$4:$AJ$4,0))))+SUMPRODUCT((Inputs!$C$5:$C$140=$B37)*ISNUMBER(INDEX(Inputs!$K$5:$AJ$140,0,MATCH(AI$2,Inputs!$K$4:$AJ$4,0))))+SUMPRODUCT((Inputs!$E$5:$E$140=$B37)*ISNUMBER(INDEX(Inputs!$K$5:$AJ$140,0,MATCH(AI$2,Inputs!$K$4:$AJ$4,0))))=0,NA(),SUMPRODUCT((Inputs!$A$5:$A$140=$B37)*Inputs!$B$5:$B$140*(((Inputs!$G$5:$G$140="moeda")+(Inputs!$G$5:$G$140="acoes"))*Inputs!$B$1+((Inputs!$G$5:$G$140&lt;&gt;"moeda")*(Inputs!$G$5:$G$140&lt;&gt;"acoes")))*INDEX(Inputs!$K$5:$AJ$140,0,MATCH(AI$2,Inputs!$K$4:$AJ$4,0)))+SUMPRODUCT((Inputs!$C$5:$C$140=$B37)*Inputs!$D$5:$D$140*(((Inputs!$G$5:$G$140="moeda")+(Inputs!$G$5:$G$140="acoes"))*Inputs!$B$1+((Inputs!$G$5:$G$140&lt;&gt;"moeda")*(Inputs!$G$5:$G$140&lt;&gt;"acoes")))*INDEX(Inputs!$K$5:$AJ$140,0,MATCH(AI$2,Inputs!$K$4:$AJ$4,0)))+SUMPRODUCT((Inputs!$E$5:$E$140=$B37)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37" s="6" t="e">
        <f>IF(ISNA(MATCH(AJ$2,Inputs!$K$4:$AJ$4,0)),NA(),IF(SUMPRODUCT((Inputs!$A$5:$A$140=$B37)*ISNUMBER(INDEX(Inputs!$K$5:$AJ$140,0,MATCH(AJ$2,Inputs!$K$4:$AJ$4,0))))+SUMPRODUCT((Inputs!$C$5:$C$140=$B37)*ISNUMBER(INDEX(Inputs!$K$5:$AJ$140,0,MATCH(AJ$2,Inputs!$K$4:$AJ$4,0))))+SUMPRODUCT((Inputs!$E$5:$E$140=$B37)*ISNUMBER(INDEX(Inputs!$K$5:$AJ$140,0,MATCH(AJ$2,Inputs!$K$4:$AJ$4,0))))=0,NA(),SUMPRODUCT((Inputs!$A$5:$A$140=$B37)*Inputs!$B$5:$B$140*(((Inputs!$G$5:$G$140="moeda")+(Inputs!$G$5:$G$140="acoes"))*Inputs!$B$1+((Inputs!$G$5:$G$140&lt;&gt;"moeda")*(Inputs!$G$5:$G$140&lt;&gt;"acoes")))*INDEX(Inputs!$K$5:$AJ$140,0,MATCH(AJ$2,Inputs!$K$4:$AJ$4,0)))+SUMPRODUCT((Inputs!$C$5:$C$140=$B37)*Inputs!$D$5:$D$140*(((Inputs!$G$5:$G$140="moeda")+(Inputs!$G$5:$G$140="acoes"))*Inputs!$B$1+((Inputs!$G$5:$G$140&lt;&gt;"moeda")*(Inputs!$G$5:$G$140&lt;&gt;"acoes")))*INDEX(Inputs!$K$5:$AJ$140,0,MATCH(AJ$2,Inputs!$K$4:$AJ$4,0)))+SUMPRODUCT((Inputs!$E$5:$E$140=$B37)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37" s="6" t="e">
        <f>IF(ISNA(MATCH(AK$2,Inputs!$K$4:$AJ$4,0)),NA(),IF(SUMPRODUCT((Inputs!$A$5:$A$140=$B37)*ISNUMBER(INDEX(Inputs!$K$5:$AJ$140,0,MATCH(AK$2,Inputs!$K$4:$AJ$4,0))))+SUMPRODUCT((Inputs!$C$5:$C$140=$B37)*ISNUMBER(INDEX(Inputs!$K$5:$AJ$140,0,MATCH(AK$2,Inputs!$K$4:$AJ$4,0))))+SUMPRODUCT((Inputs!$E$5:$E$140=$B37)*ISNUMBER(INDEX(Inputs!$K$5:$AJ$140,0,MATCH(AK$2,Inputs!$K$4:$AJ$4,0))))=0,NA(),SUMPRODUCT((Inputs!$A$5:$A$140=$B37)*Inputs!$B$5:$B$140*(((Inputs!$G$5:$G$140="moeda")+(Inputs!$G$5:$G$140="acoes"))*Inputs!$B$1+((Inputs!$G$5:$G$140&lt;&gt;"moeda")*(Inputs!$G$5:$G$140&lt;&gt;"acoes")))*INDEX(Inputs!$K$5:$AJ$140,0,MATCH(AK$2,Inputs!$K$4:$AJ$4,0)))+SUMPRODUCT((Inputs!$C$5:$C$140=$B37)*Inputs!$D$5:$D$140*(((Inputs!$G$5:$G$140="moeda")+(Inputs!$G$5:$G$140="acoes"))*Inputs!$B$1+((Inputs!$G$5:$G$140&lt;&gt;"moeda")*(Inputs!$G$5:$G$140&lt;&gt;"acoes")))*INDEX(Inputs!$K$5:$AJ$140,0,MATCH(AK$2,Inputs!$K$4:$AJ$4,0)))+SUMPRODUCT((Inputs!$E$5:$E$140=$B37)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$140=$B38)*ISNUMBER(INDEX(Inputs!$K$5:$AJ$140,0,MATCH(D$2,Inputs!$K$4:$AJ$4,0))))+SUMPRODUCT((Inputs!$C$5:$C$140=$B38)*ISNUMBER(INDEX(Inputs!$K$5:$AJ$140,0,MATCH(D$2,Inputs!$K$4:$AJ$4,0))))+SUMPRODUCT((Inputs!$E$5:$E$140=$B38)*ISNUMBER(INDEX(Inputs!$K$5:$AJ$140,0,MATCH(D$2,Inputs!$K$4:$AJ$4,0))))=0,NA(),SUMPRODUCT((Inputs!$A$5:$A$140=$B38)*Inputs!$B$5:$B$140*(((Inputs!$G$5:$G$140="moeda")+(Inputs!$G$5:$G$140="acoes"))*Inputs!$B$1+((Inputs!$G$5:$G$140&lt;&gt;"moeda")*(Inputs!$G$5:$G$140&lt;&gt;"acoes")))*INDEX(Inputs!$K$5:$AJ$140,0,MATCH(D$2,Inputs!$K$4:$AJ$4,0)))+SUMPRODUCT((Inputs!$C$5:$C$140=$B38)*Inputs!$D$5:$D$140*(((Inputs!$G$5:$G$140="moeda")+(Inputs!$G$5:$G$140="acoes"))*Inputs!$B$1+((Inputs!$G$5:$G$140&lt;&gt;"moeda")*(Inputs!$G$5:$G$140&lt;&gt;"acoes")))*INDEX(Inputs!$K$5:$AJ$140,0,MATCH(D$2,Inputs!$K$4:$AJ$4,0)))+SUMPRODUCT((Inputs!$E$5:$E$140=$B38)*Inputs!$F$5:$F$140*(((Inputs!$G$5:$G$140="moeda")+(Inputs!$G$5:$G$140="acoes"))*Inputs!$B$1+((Inputs!$G$5:$G$140&lt;&gt;"moeda")*(Inputs!$G$5:$G$140&lt;&gt;"acoes")))*INDEX(Inputs!$K$5:$AJ$140,0,MATCH(D$2,Inputs!$K$4:$AJ$4,0)))))</f>
        <v>27.746</v>
      </c>
      <c r="E38" s="6">
        <f>IF(ISNA(MATCH(E$2,Inputs!$K$4:$AJ$4,0)),NA(),IF(SUMPRODUCT((Inputs!$A$5:$A$140=$B38)*ISNUMBER(INDEX(Inputs!$K$5:$AJ$140,0,MATCH(E$2,Inputs!$K$4:$AJ$4,0))))+SUMPRODUCT((Inputs!$C$5:$C$140=$B38)*ISNUMBER(INDEX(Inputs!$K$5:$AJ$140,0,MATCH(E$2,Inputs!$K$4:$AJ$4,0))))+SUMPRODUCT((Inputs!$E$5:$E$140=$B38)*ISNUMBER(INDEX(Inputs!$K$5:$AJ$140,0,MATCH(E$2,Inputs!$K$4:$AJ$4,0))))=0,NA(),SUMPRODUCT((Inputs!$A$5:$A$140=$B38)*Inputs!$B$5:$B$140*(((Inputs!$G$5:$G$140="moeda")+(Inputs!$G$5:$G$140="acoes"))*Inputs!$B$1+((Inputs!$G$5:$G$140&lt;&gt;"moeda")*(Inputs!$G$5:$G$140&lt;&gt;"acoes")))*INDEX(Inputs!$K$5:$AJ$140,0,MATCH(E$2,Inputs!$K$4:$AJ$4,0)))+SUMPRODUCT((Inputs!$C$5:$C$140=$B38)*Inputs!$D$5:$D$140*(((Inputs!$G$5:$G$140="moeda")+(Inputs!$G$5:$G$140="acoes"))*Inputs!$B$1+((Inputs!$G$5:$G$140&lt;&gt;"moeda")*(Inputs!$G$5:$G$140&lt;&gt;"acoes")))*INDEX(Inputs!$K$5:$AJ$140,0,MATCH(E$2,Inputs!$K$4:$AJ$4,0)))+SUMPRODUCT((Inputs!$E$5:$E$140=$B38)*Inputs!$F$5:$F$140*(((Inputs!$G$5:$G$140="moeda")+(Inputs!$G$5:$G$140="acoes"))*Inputs!$B$1+((Inputs!$G$5:$G$140&lt;&gt;"moeda")*(Inputs!$G$5:$G$140&lt;&gt;"acoes")))*INDEX(Inputs!$K$5:$AJ$140,0,MATCH(E$2,Inputs!$K$4:$AJ$4,0)))))</f>
        <v>32.242</v>
      </c>
      <c r="F38" s="6">
        <f>IF(ISNA(MATCH(F$2,Inputs!$K$4:$AJ$4,0)),NA(),IF(SUMPRODUCT((Inputs!$A$5:$A$140=$B38)*ISNUMBER(INDEX(Inputs!$K$5:$AJ$140,0,MATCH(F$2,Inputs!$K$4:$AJ$4,0))))+SUMPRODUCT((Inputs!$C$5:$C$140=$B38)*ISNUMBER(INDEX(Inputs!$K$5:$AJ$140,0,MATCH(F$2,Inputs!$K$4:$AJ$4,0))))+SUMPRODUCT((Inputs!$E$5:$E$140=$B38)*ISNUMBER(INDEX(Inputs!$K$5:$AJ$140,0,MATCH(F$2,Inputs!$K$4:$AJ$4,0))))=0,NA(),SUMPRODUCT((Inputs!$A$5:$A$140=$B38)*Inputs!$B$5:$B$140*(((Inputs!$G$5:$G$140="moeda")+(Inputs!$G$5:$G$140="acoes"))*Inputs!$B$1+((Inputs!$G$5:$G$140&lt;&gt;"moeda")*(Inputs!$G$5:$G$140&lt;&gt;"acoes")))*INDEX(Inputs!$K$5:$AJ$140,0,MATCH(F$2,Inputs!$K$4:$AJ$4,0)))+SUMPRODUCT((Inputs!$C$5:$C$140=$B38)*Inputs!$D$5:$D$140*(((Inputs!$G$5:$G$140="moeda")+(Inputs!$G$5:$G$140="acoes"))*Inputs!$B$1+((Inputs!$G$5:$G$140&lt;&gt;"moeda")*(Inputs!$G$5:$G$140&lt;&gt;"acoes")))*INDEX(Inputs!$K$5:$AJ$140,0,MATCH(F$2,Inputs!$K$4:$AJ$4,0)))+SUMPRODUCT((Inputs!$E$5:$E$140=$B38)*Inputs!$F$5:$F$140*(((Inputs!$G$5:$G$140="moeda")+(Inputs!$G$5:$G$140="acoes"))*Inputs!$B$1+((Inputs!$G$5:$G$140&lt;&gt;"moeda")*(Inputs!$G$5:$G$140&lt;&gt;"acoes")))*INDEX(Inputs!$K$5:$AJ$140,0,MATCH(F$2,Inputs!$K$4:$AJ$4,0)))))</f>
        <v>33.256</v>
      </c>
      <c r="G38" s="6">
        <f>IF(ISNA(MATCH(G$2,Inputs!$K$4:$AJ$4,0)),NA(),IF(SUMPRODUCT((Inputs!$A$5:$A$140=$B38)*ISNUMBER(INDEX(Inputs!$K$5:$AJ$140,0,MATCH(G$2,Inputs!$K$4:$AJ$4,0))))+SUMPRODUCT((Inputs!$C$5:$C$140=$B38)*ISNUMBER(INDEX(Inputs!$K$5:$AJ$140,0,MATCH(G$2,Inputs!$K$4:$AJ$4,0))))+SUMPRODUCT((Inputs!$E$5:$E$140=$B38)*ISNUMBER(INDEX(Inputs!$K$5:$AJ$140,0,MATCH(G$2,Inputs!$K$4:$AJ$4,0))))=0,NA(),SUMPRODUCT((Inputs!$A$5:$A$140=$B38)*Inputs!$B$5:$B$140*(((Inputs!$G$5:$G$140="moeda")+(Inputs!$G$5:$G$140="acoes"))*Inputs!$B$1+((Inputs!$G$5:$G$140&lt;&gt;"moeda")*(Inputs!$G$5:$G$140&lt;&gt;"acoes")))*INDEX(Inputs!$K$5:$AJ$140,0,MATCH(G$2,Inputs!$K$4:$AJ$4,0)))+SUMPRODUCT((Inputs!$C$5:$C$140=$B38)*Inputs!$D$5:$D$140*(((Inputs!$G$5:$G$140="moeda")+(Inputs!$G$5:$G$140="acoes"))*Inputs!$B$1+((Inputs!$G$5:$G$140&lt;&gt;"moeda")*(Inputs!$G$5:$G$140&lt;&gt;"acoes")))*INDEX(Inputs!$K$5:$AJ$140,0,MATCH(G$2,Inputs!$K$4:$AJ$4,0)))+SUMPRODUCT((Inputs!$E$5:$E$140=$B38)*Inputs!$F$5:$F$140*(((Inputs!$G$5:$G$140="moeda")+(Inputs!$G$5:$G$140="acoes"))*Inputs!$B$1+((Inputs!$G$5:$G$140&lt;&gt;"moeda")*(Inputs!$G$5:$G$140&lt;&gt;"acoes")))*INDEX(Inputs!$K$5:$AJ$140,0,MATCH(G$2,Inputs!$K$4:$AJ$4,0)))))</f>
        <v>32.69</v>
      </c>
      <c r="H38" s="3">
        <f>G38</f>
        <v>32.69</v>
      </c>
      <c r="I38" s="6">
        <f>IF(ISNA(MATCH(I$2,Inputs!$K$4:$AJ$4,0)),NA(),IF(SUMPRODUCT((Inputs!$A$5:$A$140=$B38)*ISNUMBER(INDEX(Inputs!$K$5:$AJ$140,0,MATCH(I$2,Inputs!$K$4:$AJ$4,0))))+SUMPRODUCT((Inputs!$C$5:$C$140=$B38)*ISNUMBER(INDEX(Inputs!$K$5:$AJ$140,0,MATCH(I$2,Inputs!$K$4:$AJ$4,0))))+SUMPRODUCT((Inputs!$E$5:$E$140=$B38)*ISNUMBER(INDEX(Inputs!$K$5:$AJ$140,0,MATCH(I$2,Inputs!$K$4:$AJ$4,0))))=0,NA(),SUMPRODUCT((Inputs!$A$5:$A$140=$B38)*Inputs!$B$5:$B$140*(((Inputs!$G$5:$G$140="moeda")+(Inputs!$G$5:$G$140="acoes"))*Inputs!$B$1+((Inputs!$G$5:$G$140&lt;&gt;"moeda")*(Inputs!$G$5:$G$140&lt;&gt;"acoes")))*INDEX(Inputs!$K$5:$AJ$140,0,MATCH(I$2,Inputs!$K$4:$AJ$4,0)))+SUMPRODUCT((Inputs!$C$5:$C$140=$B38)*Inputs!$D$5:$D$140*(((Inputs!$G$5:$G$140="moeda")+(Inputs!$G$5:$G$140="acoes"))*Inputs!$B$1+((Inputs!$G$5:$G$140&lt;&gt;"moeda")*(Inputs!$G$5:$G$140&lt;&gt;"acoes")))*INDEX(Inputs!$K$5:$AJ$140,0,MATCH(I$2,Inputs!$K$4:$AJ$4,0)))+SUMPRODUCT((Inputs!$E$5:$E$140=$B38)*Inputs!$F$5:$F$140*(((Inputs!$G$5:$G$140="moeda")+(Inputs!$G$5:$G$140="acoes"))*Inputs!$B$1+((Inputs!$G$5:$G$140&lt;&gt;"moeda")*(Inputs!$G$5:$G$140&lt;&gt;"acoes")))*INDEX(Inputs!$K$5:$AJ$140,0,MATCH(I$2,Inputs!$K$4:$AJ$4,0)))))</f>
        <v>38.11</v>
      </c>
      <c r="J38" s="6">
        <f>IF(ISNA(MATCH(J$2,Inputs!$K$4:$AJ$4,0)),NA(),IF(SUMPRODUCT((Inputs!$A$5:$A$140=$B38)*ISNUMBER(INDEX(Inputs!$K$5:$AJ$140,0,MATCH(J$2,Inputs!$K$4:$AJ$4,0))))+SUMPRODUCT((Inputs!$C$5:$C$140=$B38)*ISNUMBER(INDEX(Inputs!$K$5:$AJ$140,0,MATCH(J$2,Inputs!$K$4:$AJ$4,0))))+SUMPRODUCT((Inputs!$E$5:$E$140=$B38)*ISNUMBER(INDEX(Inputs!$K$5:$AJ$140,0,MATCH(J$2,Inputs!$K$4:$AJ$4,0))))=0,NA(),SUMPRODUCT((Inputs!$A$5:$A$140=$B38)*Inputs!$B$5:$B$140*(((Inputs!$G$5:$G$140="moeda")+(Inputs!$G$5:$G$140="acoes"))*Inputs!$B$1+((Inputs!$G$5:$G$140&lt;&gt;"moeda")*(Inputs!$G$5:$G$140&lt;&gt;"acoes")))*INDEX(Inputs!$K$5:$AJ$140,0,MATCH(J$2,Inputs!$K$4:$AJ$4,0)))+SUMPRODUCT((Inputs!$C$5:$C$140=$B38)*Inputs!$D$5:$D$140*(((Inputs!$G$5:$G$140="moeda")+(Inputs!$G$5:$G$140="acoes"))*Inputs!$B$1+((Inputs!$G$5:$G$140&lt;&gt;"moeda")*(Inputs!$G$5:$G$140&lt;&gt;"acoes")))*INDEX(Inputs!$K$5:$AJ$140,0,MATCH(J$2,Inputs!$K$4:$AJ$4,0)))+SUMPRODUCT((Inputs!$E$5:$E$140=$B38)*Inputs!$F$5:$F$140*(((Inputs!$G$5:$G$140="moeda")+(Inputs!$G$5:$G$140="acoes"))*Inputs!$B$1+((Inputs!$G$5:$G$140&lt;&gt;"moeda")*(Inputs!$G$5:$G$140&lt;&gt;"acoes")))*INDEX(Inputs!$K$5:$AJ$140,0,MATCH(J$2,Inputs!$K$4:$AJ$4,0)))))</f>
        <v>42.818</v>
      </c>
      <c r="K38" s="6">
        <f>IF(ISNA(MATCH(K$2,Inputs!$K$4:$AJ$4,0)),NA(),IF(SUMPRODUCT((Inputs!$A$5:$A$140=$B38)*ISNUMBER(INDEX(Inputs!$K$5:$AJ$140,0,MATCH(K$2,Inputs!$K$4:$AJ$4,0))))+SUMPRODUCT((Inputs!$C$5:$C$140=$B38)*ISNUMBER(INDEX(Inputs!$K$5:$AJ$140,0,MATCH(K$2,Inputs!$K$4:$AJ$4,0))))+SUMPRODUCT((Inputs!$E$5:$E$140=$B38)*ISNUMBER(INDEX(Inputs!$K$5:$AJ$140,0,MATCH(K$2,Inputs!$K$4:$AJ$4,0))))=0,NA(),SUMPRODUCT((Inputs!$A$5:$A$140=$B38)*Inputs!$B$5:$B$140*(((Inputs!$G$5:$G$140="moeda")+(Inputs!$G$5:$G$140="acoes"))*Inputs!$B$1+((Inputs!$G$5:$G$140&lt;&gt;"moeda")*(Inputs!$G$5:$G$140&lt;&gt;"acoes")))*INDEX(Inputs!$K$5:$AJ$140,0,MATCH(K$2,Inputs!$K$4:$AJ$4,0)))+SUMPRODUCT((Inputs!$C$5:$C$140=$B38)*Inputs!$D$5:$D$140*(((Inputs!$G$5:$G$140="moeda")+(Inputs!$G$5:$G$140="acoes"))*Inputs!$B$1+((Inputs!$G$5:$G$140&lt;&gt;"moeda")*(Inputs!$G$5:$G$140&lt;&gt;"acoes")))*INDEX(Inputs!$K$5:$AJ$140,0,MATCH(K$2,Inputs!$K$4:$AJ$4,0)))+SUMPRODUCT((Inputs!$E$5:$E$140=$B38)*Inputs!$F$5:$F$140*(((Inputs!$G$5:$G$140="moeda")+(Inputs!$G$5:$G$140="acoes"))*Inputs!$B$1+((Inputs!$G$5:$G$140&lt;&gt;"moeda")*(Inputs!$G$5:$G$140&lt;&gt;"acoes")))*INDEX(Inputs!$K$5:$AJ$140,0,MATCH(K$2,Inputs!$K$4:$AJ$4,0)))))</f>
        <v>46.246</v>
      </c>
      <c r="L38" s="6">
        <f>IF(ISNA(MATCH(L$2,Inputs!$K$4:$AJ$4,0)),NA(),IF(SUMPRODUCT((Inputs!$A$5:$A$140=$B38)*ISNUMBER(INDEX(Inputs!$K$5:$AJ$140,0,MATCH(L$2,Inputs!$K$4:$AJ$4,0))))+SUMPRODUCT((Inputs!$C$5:$C$140=$B38)*ISNUMBER(INDEX(Inputs!$K$5:$AJ$140,0,MATCH(L$2,Inputs!$K$4:$AJ$4,0))))+SUMPRODUCT((Inputs!$E$5:$E$140=$B38)*ISNUMBER(INDEX(Inputs!$K$5:$AJ$140,0,MATCH(L$2,Inputs!$K$4:$AJ$4,0))))=0,NA(),SUMPRODUCT((Inputs!$A$5:$A$140=$B38)*Inputs!$B$5:$B$140*(((Inputs!$G$5:$G$140="moeda")+(Inputs!$G$5:$G$140="acoes"))*Inputs!$B$1+((Inputs!$G$5:$G$140&lt;&gt;"moeda")*(Inputs!$G$5:$G$140&lt;&gt;"acoes")))*INDEX(Inputs!$K$5:$AJ$140,0,MATCH(L$2,Inputs!$K$4:$AJ$4,0)))+SUMPRODUCT((Inputs!$C$5:$C$140=$B38)*Inputs!$D$5:$D$140*(((Inputs!$G$5:$G$140="moeda")+(Inputs!$G$5:$G$140="acoes"))*Inputs!$B$1+((Inputs!$G$5:$G$140&lt;&gt;"moeda")*(Inputs!$G$5:$G$140&lt;&gt;"acoes")))*INDEX(Inputs!$K$5:$AJ$140,0,MATCH(L$2,Inputs!$K$4:$AJ$4,0)))+SUMPRODUCT((Inputs!$E$5:$E$140=$B38)*Inputs!$F$5:$F$140*(((Inputs!$G$5:$G$140="moeda")+(Inputs!$G$5:$G$140="acoes"))*Inputs!$B$1+((Inputs!$G$5:$G$140&lt;&gt;"moeda")*(Inputs!$G$5:$G$140&lt;&gt;"acoes")))*INDEX(Inputs!$K$5:$AJ$140,0,MATCH(L$2,Inputs!$K$4:$AJ$4,0)))))</f>
        <v>46.095</v>
      </c>
      <c r="M38" s="3">
        <f>L38</f>
        <v>46.095</v>
      </c>
      <c r="N38" s="6">
        <f>IF(ISNA(MATCH(N$2,Inputs!$K$4:$AJ$4,0)),NA(),IF(SUMPRODUCT((Inputs!$A$5:$A$140=$B38)*ISNUMBER(INDEX(Inputs!$K$5:$AJ$140,0,MATCH(N$2,Inputs!$K$4:$AJ$4,0))))+SUMPRODUCT((Inputs!$C$5:$C$140=$B38)*ISNUMBER(INDEX(Inputs!$K$5:$AJ$140,0,MATCH(N$2,Inputs!$K$4:$AJ$4,0))))+SUMPRODUCT((Inputs!$E$5:$E$140=$B38)*ISNUMBER(INDEX(Inputs!$K$5:$AJ$140,0,MATCH(N$2,Inputs!$K$4:$AJ$4,0))))=0,NA(),SUMPRODUCT((Inputs!$A$5:$A$140=$B38)*Inputs!$B$5:$B$140*(((Inputs!$G$5:$G$140="moeda")+(Inputs!$G$5:$G$140="acoes"))*Inputs!$B$1+((Inputs!$G$5:$G$140&lt;&gt;"moeda")*(Inputs!$G$5:$G$140&lt;&gt;"acoes")))*INDEX(Inputs!$K$5:$AJ$140,0,MATCH(N$2,Inputs!$K$4:$AJ$4,0)))+SUMPRODUCT((Inputs!$C$5:$C$140=$B38)*Inputs!$D$5:$D$140*(((Inputs!$G$5:$G$140="moeda")+(Inputs!$G$5:$G$140="acoes"))*Inputs!$B$1+((Inputs!$G$5:$G$140&lt;&gt;"moeda")*(Inputs!$G$5:$G$140&lt;&gt;"acoes")))*INDEX(Inputs!$K$5:$AJ$140,0,MATCH(N$2,Inputs!$K$4:$AJ$4,0)))+SUMPRODUCT((Inputs!$E$5:$E$140=$B38)*Inputs!$F$5:$F$140*(((Inputs!$G$5:$G$140="moeda")+(Inputs!$G$5:$G$140="acoes"))*Inputs!$B$1+((Inputs!$G$5:$G$140&lt;&gt;"moeda")*(Inputs!$G$5:$G$140&lt;&gt;"acoes")))*INDEX(Inputs!$K$5:$AJ$140,0,MATCH(N$2,Inputs!$K$4:$AJ$4,0)))))</f>
        <v>49.482</v>
      </c>
      <c r="O38" s="6">
        <f>IF(ISNA(MATCH(O$2,Inputs!$K$4:$AJ$4,0)),NA(),IF(SUMPRODUCT((Inputs!$A$5:$A$140=$B38)*ISNUMBER(INDEX(Inputs!$K$5:$AJ$140,0,MATCH(O$2,Inputs!$K$4:$AJ$4,0))))+SUMPRODUCT((Inputs!$C$5:$C$140=$B38)*ISNUMBER(INDEX(Inputs!$K$5:$AJ$140,0,MATCH(O$2,Inputs!$K$4:$AJ$4,0))))+SUMPRODUCT((Inputs!$E$5:$E$140=$B38)*ISNUMBER(INDEX(Inputs!$K$5:$AJ$140,0,MATCH(O$2,Inputs!$K$4:$AJ$4,0))))=0,NA(),SUMPRODUCT((Inputs!$A$5:$A$140=$B38)*Inputs!$B$5:$B$140*(((Inputs!$G$5:$G$140="moeda")+(Inputs!$G$5:$G$140="acoes"))*Inputs!$B$1+((Inputs!$G$5:$G$140&lt;&gt;"moeda")*(Inputs!$G$5:$G$140&lt;&gt;"acoes")))*INDEX(Inputs!$K$5:$AJ$140,0,MATCH(O$2,Inputs!$K$4:$AJ$4,0)))+SUMPRODUCT((Inputs!$C$5:$C$140=$B38)*Inputs!$D$5:$D$140*(((Inputs!$G$5:$G$140="moeda")+(Inputs!$G$5:$G$140="acoes"))*Inputs!$B$1+((Inputs!$G$5:$G$140&lt;&gt;"moeda")*(Inputs!$G$5:$G$140&lt;&gt;"acoes")))*INDEX(Inputs!$K$5:$AJ$140,0,MATCH(O$2,Inputs!$K$4:$AJ$4,0)))+SUMPRODUCT((Inputs!$E$5:$E$140=$B38)*Inputs!$F$5:$F$140*(((Inputs!$G$5:$G$140="moeda")+(Inputs!$G$5:$G$140="acoes"))*Inputs!$B$1+((Inputs!$G$5:$G$140&lt;&gt;"moeda")*(Inputs!$G$5:$G$140&lt;&gt;"acoes")))*INDEX(Inputs!$K$5:$AJ$140,0,MATCH(O$2,Inputs!$K$4:$AJ$4,0)))))</f>
        <v>54.275</v>
      </c>
      <c r="P38" s="6">
        <f>IF(ISNA(MATCH(P$2,Inputs!$K$4:$AJ$4,0)),NA(),IF(SUMPRODUCT((Inputs!$A$5:$A$140=$B38)*ISNUMBER(INDEX(Inputs!$K$5:$AJ$140,0,MATCH(P$2,Inputs!$K$4:$AJ$4,0))))+SUMPRODUCT((Inputs!$C$5:$C$140=$B38)*ISNUMBER(INDEX(Inputs!$K$5:$AJ$140,0,MATCH(P$2,Inputs!$K$4:$AJ$4,0))))+SUMPRODUCT((Inputs!$E$5:$E$140=$B38)*ISNUMBER(INDEX(Inputs!$K$5:$AJ$140,0,MATCH(P$2,Inputs!$K$4:$AJ$4,0))))=0,NA(),SUMPRODUCT((Inputs!$A$5:$A$140=$B38)*Inputs!$B$5:$B$140*(((Inputs!$G$5:$G$140="moeda")+(Inputs!$G$5:$G$140="acoes"))*Inputs!$B$1+((Inputs!$G$5:$G$140&lt;&gt;"moeda")*(Inputs!$G$5:$G$140&lt;&gt;"acoes")))*INDEX(Inputs!$K$5:$AJ$140,0,MATCH(P$2,Inputs!$K$4:$AJ$4,0)))+SUMPRODUCT((Inputs!$C$5:$C$140=$B38)*Inputs!$D$5:$D$140*(((Inputs!$G$5:$G$140="moeda")+(Inputs!$G$5:$G$140="acoes"))*Inputs!$B$1+((Inputs!$G$5:$G$140&lt;&gt;"moeda")*(Inputs!$G$5:$G$140&lt;&gt;"acoes")))*INDEX(Inputs!$K$5:$AJ$140,0,MATCH(P$2,Inputs!$K$4:$AJ$4,0)))+SUMPRODUCT((Inputs!$E$5:$E$140=$B38)*Inputs!$F$5:$F$140*(((Inputs!$G$5:$G$140="moeda")+(Inputs!$G$5:$G$140="acoes"))*Inputs!$B$1+((Inputs!$G$5:$G$140&lt;&gt;"moeda")*(Inputs!$G$5:$G$140&lt;&gt;"acoes")))*INDEX(Inputs!$K$5:$AJ$140,0,MATCH(P$2,Inputs!$K$4:$AJ$4,0)))))</f>
        <v>55.941</v>
      </c>
      <c r="Q38" s="6">
        <f>IF(ISNA(MATCH(Q$2,Inputs!$K$4:$AJ$4,0)),NA(),IF(SUMPRODUCT((Inputs!$A$5:$A$140=$B38)*ISNUMBER(INDEX(Inputs!$K$5:$AJ$140,0,MATCH(Q$2,Inputs!$K$4:$AJ$4,0))))+SUMPRODUCT((Inputs!$C$5:$C$140=$B38)*ISNUMBER(INDEX(Inputs!$K$5:$AJ$140,0,MATCH(Q$2,Inputs!$K$4:$AJ$4,0))))+SUMPRODUCT((Inputs!$E$5:$E$140=$B38)*ISNUMBER(INDEX(Inputs!$K$5:$AJ$140,0,MATCH(Q$2,Inputs!$K$4:$AJ$4,0))))=0,NA(),SUMPRODUCT((Inputs!$A$5:$A$140=$B38)*Inputs!$B$5:$B$140*(((Inputs!$G$5:$G$140="moeda")+(Inputs!$G$5:$G$140="acoes"))*Inputs!$B$1+((Inputs!$G$5:$G$140&lt;&gt;"moeda")*(Inputs!$G$5:$G$140&lt;&gt;"acoes")))*INDEX(Inputs!$K$5:$AJ$140,0,MATCH(Q$2,Inputs!$K$4:$AJ$4,0)))+SUMPRODUCT((Inputs!$C$5:$C$140=$B38)*Inputs!$D$5:$D$140*(((Inputs!$G$5:$G$140="moeda")+(Inputs!$G$5:$G$140="acoes"))*Inputs!$B$1+((Inputs!$G$5:$G$140&lt;&gt;"moeda")*(Inputs!$G$5:$G$140&lt;&gt;"acoes")))*INDEX(Inputs!$K$5:$AJ$140,0,MATCH(Q$2,Inputs!$K$4:$AJ$4,0)))+SUMPRODUCT((Inputs!$E$5:$E$140=$B38)*Inputs!$F$5:$F$140*(((Inputs!$G$5:$G$140="moeda")+(Inputs!$G$5:$G$140="acoes"))*Inputs!$B$1+((Inputs!$G$5:$G$140&lt;&gt;"moeda")*(Inputs!$G$5:$G$140&lt;&gt;"acoes")))*INDEX(Inputs!$K$5:$AJ$140,0,MATCH(Q$2,Inputs!$K$4:$AJ$4,0)))))</f>
        <v>55.673</v>
      </c>
      <c r="R38" s="3">
        <f>Q38</f>
        <v>55.673</v>
      </c>
      <c r="S38" s="6">
        <f>IF(ISNA(MATCH(S$2,Inputs!$K$4:$AJ$4,0)),NA(),IF(SUMPRODUCT((Inputs!$A$5:$A$140=$B38)*ISNUMBER(INDEX(Inputs!$K$5:$AJ$140,0,MATCH(S$2,Inputs!$K$4:$AJ$4,0))))+SUMPRODUCT((Inputs!$C$5:$C$140=$B38)*ISNUMBER(INDEX(Inputs!$K$5:$AJ$140,0,MATCH(S$2,Inputs!$K$4:$AJ$4,0))))+SUMPRODUCT((Inputs!$E$5:$E$140=$B38)*ISNUMBER(INDEX(Inputs!$K$5:$AJ$140,0,MATCH(S$2,Inputs!$K$4:$AJ$4,0))))=0,NA(),SUMPRODUCT((Inputs!$A$5:$A$140=$B38)*Inputs!$B$5:$B$140*(((Inputs!$G$5:$G$140="moeda")+(Inputs!$G$5:$G$140="acoes"))*Inputs!$B$1+((Inputs!$G$5:$G$140&lt;&gt;"moeda")*(Inputs!$G$5:$G$140&lt;&gt;"acoes")))*INDEX(Inputs!$K$5:$AJ$140,0,MATCH(S$2,Inputs!$K$4:$AJ$4,0)))+SUMPRODUCT((Inputs!$C$5:$C$140=$B38)*Inputs!$D$5:$D$140*(((Inputs!$G$5:$G$140="moeda")+(Inputs!$G$5:$G$140="acoes"))*Inputs!$B$1+((Inputs!$G$5:$G$140&lt;&gt;"moeda")*(Inputs!$G$5:$G$140&lt;&gt;"acoes")))*INDEX(Inputs!$K$5:$AJ$140,0,MATCH(S$2,Inputs!$K$4:$AJ$4,0)))+SUMPRODUCT((Inputs!$E$5:$E$140=$B38)*Inputs!$F$5:$F$140*(((Inputs!$G$5:$G$140="moeda")+(Inputs!$G$5:$G$140="acoes"))*Inputs!$B$1+((Inputs!$G$5:$G$140&lt;&gt;"moeda")*(Inputs!$G$5:$G$140&lt;&gt;"acoes")))*INDEX(Inputs!$K$5:$AJ$140,0,MATCH(S$2,Inputs!$K$4:$AJ$4,0)))))</f>
        <v>61.751</v>
      </c>
      <c r="T38" s="6">
        <f>IF(ISNA(MATCH(T$2,Inputs!$K$4:$AJ$4,0)),NA(),IF(SUMPRODUCT((Inputs!$A$5:$A$140=$B38)*ISNUMBER(INDEX(Inputs!$K$5:$AJ$140,0,MATCH(T$2,Inputs!$K$4:$AJ$4,0))))+SUMPRODUCT((Inputs!$C$5:$C$140=$B38)*ISNUMBER(INDEX(Inputs!$K$5:$AJ$140,0,MATCH(T$2,Inputs!$K$4:$AJ$4,0))))+SUMPRODUCT((Inputs!$E$5:$E$140=$B38)*ISNUMBER(INDEX(Inputs!$K$5:$AJ$140,0,MATCH(T$2,Inputs!$K$4:$AJ$4,0))))=0,NA(),SUMPRODUCT((Inputs!$A$5:$A$140=$B38)*Inputs!$B$5:$B$140*(((Inputs!$G$5:$G$140="moeda")+(Inputs!$G$5:$G$140="acoes"))*Inputs!$B$1+((Inputs!$G$5:$G$140&lt;&gt;"moeda")*(Inputs!$G$5:$G$140&lt;&gt;"acoes")))*INDEX(Inputs!$K$5:$AJ$140,0,MATCH(T$2,Inputs!$K$4:$AJ$4,0)))+SUMPRODUCT((Inputs!$C$5:$C$140=$B38)*Inputs!$D$5:$D$140*(((Inputs!$G$5:$G$140="moeda")+(Inputs!$G$5:$G$140="acoes"))*Inputs!$B$1+((Inputs!$G$5:$G$140&lt;&gt;"moeda")*(Inputs!$G$5:$G$140&lt;&gt;"acoes")))*INDEX(Inputs!$K$5:$AJ$140,0,MATCH(T$2,Inputs!$K$4:$AJ$4,0)))+SUMPRODUCT((Inputs!$E$5:$E$140=$B38)*Inputs!$F$5:$F$140*(((Inputs!$G$5:$G$140="moeda")+(Inputs!$G$5:$G$140="acoes"))*Inputs!$B$1+((Inputs!$G$5:$G$140&lt;&gt;"moeda")*(Inputs!$G$5:$G$140&lt;&gt;"acoes")))*INDEX(Inputs!$K$5:$AJ$140,0,MATCH(T$2,Inputs!$K$4:$AJ$4,0)))))</f>
        <v>61.162</v>
      </c>
      <c r="U38" s="6">
        <f>IF(ISNA(MATCH(U$2,Inputs!$K$4:$AJ$4,0)),NA(),IF(SUMPRODUCT((Inputs!$A$5:$A$140=$B38)*ISNUMBER(INDEX(Inputs!$K$5:$AJ$140,0,MATCH(U$2,Inputs!$K$4:$AJ$4,0))))+SUMPRODUCT((Inputs!$C$5:$C$140=$B38)*ISNUMBER(INDEX(Inputs!$K$5:$AJ$140,0,MATCH(U$2,Inputs!$K$4:$AJ$4,0))))+SUMPRODUCT((Inputs!$E$5:$E$140=$B38)*ISNUMBER(INDEX(Inputs!$K$5:$AJ$140,0,MATCH(U$2,Inputs!$K$4:$AJ$4,0))))=0,NA(),SUMPRODUCT((Inputs!$A$5:$A$140=$B38)*Inputs!$B$5:$B$140*(((Inputs!$G$5:$G$140="moeda")+(Inputs!$G$5:$G$140="acoes"))*Inputs!$B$1+((Inputs!$G$5:$G$140&lt;&gt;"moeda")*(Inputs!$G$5:$G$140&lt;&gt;"acoes")))*INDEX(Inputs!$K$5:$AJ$140,0,MATCH(U$2,Inputs!$K$4:$AJ$4,0)))+SUMPRODUCT((Inputs!$C$5:$C$140=$B38)*Inputs!$D$5:$D$140*(((Inputs!$G$5:$G$140="moeda")+(Inputs!$G$5:$G$140="acoes"))*Inputs!$B$1+((Inputs!$G$5:$G$140&lt;&gt;"moeda")*(Inputs!$G$5:$G$140&lt;&gt;"acoes")))*INDEX(Inputs!$K$5:$AJ$140,0,MATCH(U$2,Inputs!$K$4:$AJ$4,0)))+SUMPRODUCT((Inputs!$E$5:$E$140=$B38)*Inputs!$F$5:$F$140*(((Inputs!$G$5:$G$140="moeda")+(Inputs!$G$5:$G$140="acoes"))*Inputs!$B$1+((Inputs!$G$5:$G$140&lt;&gt;"moeda")*(Inputs!$G$5:$G$140&lt;&gt;"acoes")))*INDEX(Inputs!$K$5:$AJ$140,0,MATCH(U$2,Inputs!$K$4:$AJ$4,0)))))</f>
        <v>62.667</v>
      </c>
      <c r="V38" s="6">
        <f>IF(ISNA(MATCH(V$2,Inputs!$K$4:$AJ$4,0)),NA(),IF(SUMPRODUCT((Inputs!$A$5:$A$140=$B38)*ISNUMBER(INDEX(Inputs!$K$5:$AJ$140,0,MATCH(V$2,Inputs!$K$4:$AJ$4,0))))+SUMPRODUCT((Inputs!$C$5:$C$140=$B38)*ISNUMBER(INDEX(Inputs!$K$5:$AJ$140,0,MATCH(V$2,Inputs!$K$4:$AJ$4,0))))+SUMPRODUCT((Inputs!$E$5:$E$140=$B38)*ISNUMBER(INDEX(Inputs!$K$5:$AJ$140,0,MATCH(V$2,Inputs!$K$4:$AJ$4,0))))=0,NA(),SUMPRODUCT((Inputs!$A$5:$A$140=$B38)*Inputs!$B$5:$B$140*(((Inputs!$G$5:$G$140="moeda")+(Inputs!$G$5:$G$140="acoes"))*Inputs!$B$1+((Inputs!$G$5:$G$140&lt;&gt;"moeda")*(Inputs!$G$5:$G$140&lt;&gt;"acoes")))*INDEX(Inputs!$K$5:$AJ$140,0,MATCH(V$2,Inputs!$K$4:$AJ$4,0)))+SUMPRODUCT((Inputs!$C$5:$C$140=$B38)*Inputs!$D$5:$D$140*(((Inputs!$G$5:$G$140="moeda")+(Inputs!$G$5:$G$140="acoes"))*Inputs!$B$1+((Inputs!$G$5:$G$140&lt;&gt;"moeda")*(Inputs!$G$5:$G$140&lt;&gt;"acoes")))*INDEX(Inputs!$K$5:$AJ$140,0,MATCH(V$2,Inputs!$K$4:$AJ$4,0)))+SUMPRODUCT((Inputs!$E$5:$E$140=$B38)*Inputs!$F$5:$F$140*(((Inputs!$G$5:$G$140="moeda")+(Inputs!$G$5:$G$140="acoes"))*Inputs!$B$1+((Inputs!$G$5:$G$140&lt;&gt;"moeda")*(Inputs!$G$5:$G$140&lt;&gt;"acoes")))*INDEX(Inputs!$K$5:$AJ$140,0,MATCH(V$2,Inputs!$K$4:$AJ$4,0)))))</f>
        <v>58.007</v>
      </c>
      <c r="W38" s="3">
        <f>V38</f>
        <v>58.007</v>
      </c>
      <c r="X38" s="6">
        <f>IF(ISNA(MATCH(X$2,Inputs!$K$4:$AJ$4,0)),NA(),IF(SUMPRODUCT((Inputs!$A$5:$A$140=$B38)*ISNUMBER(INDEX(Inputs!$K$5:$AJ$140,0,MATCH(X$2,Inputs!$K$4:$AJ$4,0))))+SUMPRODUCT((Inputs!$C$5:$C$140=$B38)*ISNUMBER(INDEX(Inputs!$K$5:$AJ$140,0,MATCH(X$2,Inputs!$K$4:$AJ$4,0))))+SUMPRODUCT((Inputs!$E$5:$E$140=$B38)*ISNUMBER(INDEX(Inputs!$K$5:$AJ$140,0,MATCH(X$2,Inputs!$K$4:$AJ$4,0))))=0,NA(),SUMPRODUCT((Inputs!$A$5:$A$140=$B38)*Inputs!$B$5:$B$140*(((Inputs!$G$5:$G$140="moeda")+(Inputs!$G$5:$G$140="acoes"))*Inputs!$B$1+((Inputs!$G$5:$G$140&lt;&gt;"moeda")*(Inputs!$G$5:$G$140&lt;&gt;"acoes")))*INDEX(Inputs!$K$5:$AJ$140,0,MATCH(X$2,Inputs!$K$4:$AJ$4,0)))+SUMPRODUCT((Inputs!$C$5:$C$140=$B38)*Inputs!$D$5:$D$140*(((Inputs!$G$5:$G$140="moeda")+(Inputs!$G$5:$G$140="acoes"))*Inputs!$B$1+((Inputs!$G$5:$G$140&lt;&gt;"moeda")*(Inputs!$G$5:$G$140&lt;&gt;"acoes")))*INDEX(Inputs!$K$5:$AJ$140,0,MATCH(X$2,Inputs!$K$4:$AJ$4,0)))+SUMPRODUCT((Inputs!$E$5:$E$140=$B38)*Inputs!$F$5:$F$140*(((Inputs!$G$5:$G$140="moeda")+(Inputs!$G$5:$G$140="acoes"))*Inputs!$B$1+((Inputs!$G$5:$G$140&lt;&gt;"moeda")*(Inputs!$G$5:$G$140&lt;&gt;"acoes")))*INDEX(Inputs!$K$5:$AJ$140,0,MATCH(X$2,Inputs!$K$4:$AJ$4,0)))))</f>
        <v>76.117</v>
      </c>
      <c r="Y38" s="6">
        <f>IF(ISNA(MATCH(Y$2,Inputs!$K$4:$AJ$4,0)),NA(),IF(SUMPRODUCT((Inputs!$A$5:$A$140=$B38)*ISNUMBER(INDEX(Inputs!$K$5:$AJ$140,0,MATCH(Y$2,Inputs!$K$4:$AJ$4,0))))+SUMPRODUCT((Inputs!$C$5:$C$140=$B38)*ISNUMBER(INDEX(Inputs!$K$5:$AJ$140,0,MATCH(Y$2,Inputs!$K$4:$AJ$4,0))))+SUMPRODUCT((Inputs!$E$5:$E$140=$B38)*ISNUMBER(INDEX(Inputs!$K$5:$AJ$140,0,MATCH(Y$2,Inputs!$K$4:$AJ$4,0))))=0,NA(),SUMPRODUCT((Inputs!$A$5:$A$140=$B38)*Inputs!$B$5:$B$140*(((Inputs!$G$5:$G$140="moeda")+(Inputs!$G$5:$G$140="acoes"))*Inputs!$B$1+((Inputs!$G$5:$G$140&lt;&gt;"moeda")*(Inputs!$G$5:$G$140&lt;&gt;"acoes")))*INDEX(Inputs!$K$5:$AJ$140,0,MATCH(Y$2,Inputs!$K$4:$AJ$4,0)))+SUMPRODUCT((Inputs!$C$5:$C$140=$B38)*Inputs!$D$5:$D$140*(((Inputs!$G$5:$G$140="moeda")+(Inputs!$G$5:$G$140="acoes"))*Inputs!$B$1+((Inputs!$G$5:$G$140&lt;&gt;"moeda")*(Inputs!$G$5:$G$140&lt;&gt;"acoes")))*INDEX(Inputs!$K$5:$AJ$140,0,MATCH(Y$2,Inputs!$K$4:$AJ$4,0)))+SUMPRODUCT((Inputs!$E$5:$E$140=$B38)*Inputs!$F$5:$F$140*(((Inputs!$G$5:$G$140="moeda")+(Inputs!$G$5:$G$140="acoes"))*Inputs!$B$1+((Inputs!$G$5:$G$140&lt;&gt;"moeda")*(Inputs!$G$5:$G$140&lt;&gt;"acoes")))*INDEX(Inputs!$K$5:$AJ$140,0,MATCH(Y$2,Inputs!$K$4:$AJ$4,0)))))</f>
        <v>82.147</v>
      </c>
      <c r="Z38" s="6">
        <f>IF(ISNA(MATCH(Z$2,Inputs!$K$4:$AJ$4,0)),NA(),IF(SUMPRODUCT((Inputs!$A$5:$A$140=$B38)*ISNUMBER(INDEX(Inputs!$K$5:$AJ$140,0,MATCH(Z$2,Inputs!$K$4:$AJ$4,0))))+SUMPRODUCT((Inputs!$C$5:$C$140=$B38)*ISNUMBER(INDEX(Inputs!$K$5:$AJ$140,0,MATCH(Z$2,Inputs!$K$4:$AJ$4,0))))+SUMPRODUCT((Inputs!$E$5:$E$140=$B38)*ISNUMBER(INDEX(Inputs!$K$5:$AJ$140,0,MATCH(Z$2,Inputs!$K$4:$AJ$4,0))))=0,NA(),SUMPRODUCT((Inputs!$A$5:$A$140=$B38)*Inputs!$B$5:$B$140*(((Inputs!$G$5:$G$140="moeda")+(Inputs!$G$5:$G$140="acoes"))*Inputs!$B$1+((Inputs!$G$5:$G$140&lt;&gt;"moeda")*(Inputs!$G$5:$G$140&lt;&gt;"acoes")))*INDEX(Inputs!$K$5:$AJ$140,0,MATCH(Z$2,Inputs!$K$4:$AJ$4,0)))+SUMPRODUCT((Inputs!$C$5:$C$140=$B38)*Inputs!$D$5:$D$140*(((Inputs!$G$5:$G$140="moeda")+(Inputs!$G$5:$G$140="acoes"))*Inputs!$B$1+((Inputs!$G$5:$G$140&lt;&gt;"moeda")*(Inputs!$G$5:$G$140&lt;&gt;"acoes")))*INDEX(Inputs!$K$5:$AJ$140,0,MATCH(Z$2,Inputs!$K$4:$AJ$4,0)))+SUMPRODUCT((Inputs!$E$5:$E$140=$B38)*Inputs!$F$5:$F$140*(((Inputs!$G$5:$G$140="moeda")+(Inputs!$G$5:$G$140="acoes"))*Inputs!$B$1+((Inputs!$G$5:$G$140&lt;&gt;"moeda")*(Inputs!$G$5:$G$140&lt;&gt;"acoes")))*INDEX(Inputs!$K$5:$AJ$140,0,MATCH(Z$2,Inputs!$K$4:$AJ$4,0)))))</f>
        <v>81.604</v>
      </c>
      <c r="AA38" s="6">
        <f>IF(ISNA(MATCH(AA$2,Inputs!$K$4:$AJ$4,0)),NA(),IF(SUMPRODUCT((Inputs!$A$5:$A$140=$B38)*ISNUMBER(INDEX(Inputs!$K$5:$AJ$140,0,MATCH(AA$2,Inputs!$K$4:$AJ$4,0))))+SUMPRODUCT((Inputs!$C$5:$C$140=$B38)*ISNUMBER(INDEX(Inputs!$K$5:$AJ$140,0,MATCH(AA$2,Inputs!$K$4:$AJ$4,0))))+SUMPRODUCT((Inputs!$E$5:$E$140=$B38)*ISNUMBER(INDEX(Inputs!$K$5:$AJ$140,0,MATCH(AA$2,Inputs!$K$4:$AJ$4,0))))=0,NA(),SUMPRODUCT((Inputs!$A$5:$A$140=$B38)*Inputs!$B$5:$B$140*(((Inputs!$G$5:$G$140="moeda")+(Inputs!$G$5:$G$140="acoes"))*Inputs!$B$1+((Inputs!$G$5:$G$140&lt;&gt;"moeda")*(Inputs!$G$5:$G$140&lt;&gt;"acoes")))*INDEX(Inputs!$K$5:$AJ$140,0,MATCH(AA$2,Inputs!$K$4:$AJ$4,0)))+SUMPRODUCT((Inputs!$C$5:$C$140=$B38)*Inputs!$D$5:$D$140*(((Inputs!$G$5:$G$140="moeda")+(Inputs!$G$5:$G$140="acoes"))*Inputs!$B$1+((Inputs!$G$5:$G$140&lt;&gt;"moeda")*(Inputs!$G$5:$G$140&lt;&gt;"acoes")))*INDEX(Inputs!$K$5:$AJ$140,0,MATCH(AA$2,Inputs!$K$4:$AJ$4,0)))+SUMPRODUCT((Inputs!$E$5:$E$140=$B38)*Inputs!$F$5:$F$140*(((Inputs!$G$5:$G$140="moeda")+(Inputs!$G$5:$G$140="acoes"))*Inputs!$B$1+((Inputs!$G$5:$G$140&lt;&gt;"moeda")*(Inputs!$G$5:$G$140&lt;&gt;"acoes")))*INDEX(Inputs!$K$5:$AJ$140,0,MATCH(AA$2,Inputs!$K$4:$AJ$4,0)))))</f>
        <v>81.321</v>
      </c>
      <c r="AB38" s="3">
        <f>AA38</f>
        <v>81.321</v>
      </c>
      <c r="AC38" s="6">
        <f>IF(ISNA(MATCH(AC$2,Inputs!$K$4:$AJ$4,0)),NA(),IF(SUMPRODUCT((Inputs!$A$5:$A$140=$B38)*ISNUMBER(INDEX(Inputs!$K$5:$AJ$140,0,MATCH(AC$2,Inputs!$K$4:$AJ$4,0))))+SUMPRODUCT((Inputs!$C$5:$C$140=$B38)*ISNUMBER(INDEX(Inputs!$K$5:$AJ$140,0,MATCH(AC$2,Inputs!$K$4:$AJ$4,0))))+SUMPRODUCT((Inputs!$E$5:$E$140=$B38)*ISNUMBER(INDEX(Inputs!$K$5:$AJ$140,0,MATCH(AC$2,Inputs!$K$4:$AJ$4,0))))=0,NA(),SUMPRODUCT((Inputs!$A$5:$A$140=$B38)*Inputs!$B$5:$B$140*(((Inputs!$G$5:$G$140="moeda")+(Inputs!$G$5:$G$140="acoes"))*Inputs!$B$1+((Inputs!$G$5:$G$140&lt;&gt;"moeda")*(Inputs!$G$5:$G$140&lt;&gt;"acoes")))*INDEX(Inputs!$K$5:$AJ$140,0,MATCH(AC$2,Inputs!$K$4:$AJ$4,0)))+SUMPRODUCT((Inputs!$C$5:$C$140=$B38)*Inputs!$D$5:$D$140*(((Inputs!$G$5:$G$140="moeda")+(Inputs!$G$5:$G$140="acoes"))*Inputs!$B$1+((Inputs!$G$5:$G$140&lt;&gt;"moeda")*(Inputs!$G$5:$G$140&lt;&gt;"acoes")))*INDEX(Inputs!$K$5:$AJ$140,0,MATCH(AC$2,Inputs!$K$4:$AJ$4,0)))+SUMPRODUCT((Inputs!$E$5:$E$140=$B38)*Inputs!$F$5:$F$140*(((Inputs!$G$5:$G$140="moeda")+(Inputs!$G$5:$G$140="acoes"))*Inputs!$B$1+((Inputs!$G$5:$G$140&lt;&gt;"moeda")*(Inputs!$G$5:$G$140&lt;&gt;"acoes")))*INDEX(Inputs!$K$5:$AJ$140,0,MATCH(AC$2,Inputs!$K$4:$AJ$4,0)))))</f>
        <v>89.549</v>
      </c>
      <c r="AD38" s="6">
        <f>IF(ISNA(MATCH(AD$2,Inputs!$K$4:$AJ$4,0)),NA(),IF(SUMPRODUCT((Inputs!$A$5:$A$140=$B38)*ISNUMBER(INDEX(Inputs!$K$5:$AJ$140,0,MATCH(AD$2,Inputs!$K$4:$AJ$4,0))))+SUMPRODUCT((Inputs!$C$5:$C$140=$B38)*ISNUMBER(INDEX(Inputs!$K$5:$AJ$140,0,MATCH(AD$2,Inputs!$K$4:$AJ$4,0))))+SUMPRODUCT((Inputs!$E$5:$E$140=$B38)*ISNUMBER(INDEX(Inputs!$K$5:$AJ$140,0,MATCH(AD$2,Inputs!$K$4:$AJ$4,0))))=0,NA(),SUMPRODUCT((Inputs!$A$5:$A$140=$B38)*Inputs!$B$5:$B$140*(((Inputs!$G$5:$G$140="moeda")+(Inputs!$G$5:$G$140="acoes"))*Inputs!$B$1+((Inputs!$G$5:$G$140&lt;&gt;"moeda")*(Inputs!$G$5:$G$140&lt;&gt;"acoes")))*INDEX(Inputs!$K$5:$AJ$140,0,MATCH(AD$2,Inputs!$K$4:$AJ$4,0)))+SUMPRODUCT((Inputs!$C$5:$C$140=$B38)*Inputs!$D$5:$D$140*(((Inputs!$G$5:$G$140="moeda")+(Inputs!$G$5:$G$140="acoes"))*Inputs!$B$1+((Inputs!$G$5:$G$140&lt;&gt;"moeda")*(Inputs!$G$5:$G$140&lt;&gt;"acoes")))*INDEX(Inputs!$K$5:$AJ$140,0,MATCH(AD$2,Inputs!$K$4:$AJ$4,0)))+SUMPRODUCT((Inputs!$E$5:$E$140=$B38)*Inputs!$F$5:$F$140*(((Inputs!$G$5:$G$140="moeda")+(Inputs!$G$5:$G$140="acoes"))*Inputs!$B$1+((Inputs!$G$5:$G$140&lt;&gt;"moeda")*(Inputs!$G$5:$G$140&lt;&gt;"acoes")))*INDEX(Inputs!$K$5:$AJ$140,0,MATCH(AD$2,Inputs!$K$4:$AJ$4,0)))))</f>
        <v>95.822</v>
      </c>
      <c r="AE38" s="6" t="e">
        <f>IF(ISNA(MATCH(AE$2,Inputs!$K$4:$AJ$4,0)),NA(),IF(SUMPRODUCT((Inputs!$A$5:$A$140=$B38)*ISNUMBER(INDEX(Inputs!$K$5:$AJ$140,0,MATCH(AE$2,Inputs!$K$4:$AJ$4,0))))+SUMPRODUCT((Inputs!$C$5:$C$140=$B38)*ISNUMBER(INDEX(Inputs!$K$5:$AJ$140,0,MATCH(AE$2,Inputs!$K$4:$AJ$4,0))))+SUMPRODUCT((Inputs!$E$5:$E$140=$B38)*ISNUMBER(INDEX(Inputs!$K$5:$AJ$140,0,MATCH(AE$2,Inputs!$K$4:$AJ$4,0))))=0,NA(),SUMPRODUCT((Inputs!$A$5:$A$140=$B38)*Inputs!$B$5:$B$140*(((Inputs!$G$5:$G$140="moeda")+(Inputs!$G$5:$G$140="acoes"))*Inputs!$B$1+((Inputs!$G$5:$G$140&lt;&gt;"moeda")*(Inputs!$G$5:$G$140&lt;&gt;"acoes")))*INDEX(Inputs!$K$5:$AJ$140,0,MATCH(AE$2,Inputs!$K$4:$AJ$4,0)))+SUMPRODUCT((Inputs!$C$5:$C$140=$B38)*Inputs!$D$5:$D$140*(((Inputs!$G$5:$G$140="moeda")+(Inputs!$G$5:$G$140="acoes"))*Inputs!$B$1+((Inputs!$G$5:$G$140&lt;&gt;"moeda")*(Inputs!$G$5:$G$140&lt;&gt;"acoes")))*INDEX(Inputs!$K$5:$AJ$140,0,MATCH(AE$2,Inputs!$K$4:$AJ$4,0)))+SUMPRODUCT((Inputs!$E$5:$E$140=$B38)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8" s="6" t="e">
        <f>IF(ISNA(MATCH(AF$2,Inputs!$K$4:$AJ$4,0)),NA(),IF(SUMPRODUCT((Inputs!$A$5:$A$140=$B38)*ISNUMBER(INDEX(Inputs!$K$5:$AJ$140,0,MATCH(AF$2,Inputs!$K$4:$AJ$4,0))))+SUMPRODUCT((Inputs!$C$5:$C$140=$B38)*ISNUMBER(INDEX(Inputs!$K$5:$AJ$140,0,MATCH(AF$2,Inputs!$K$4:$AJ$4,0))))+SUMPRODUCT((Inputs!$E$5:$E$140=$B38)*ISNUMBER(INDEX(Inputs!$K$5:$AJ$140,0,MATCH(AF$2,Inputs!$K$4:$AJ$4,0))))=0,NA(),SUMPRODUCT((Inputs!$A$5:$A$140=$B38)*Inputs!$B$5:$B$140*(((Inputs!$G$5:$G$140="moeda")+(Inputs!$G$5:$G$140="acoes"))*Inputs!$B$1+((Inputs!$G$5:$G$140&lt;&gt;"moeda")*(Inputs!$G$5:$G$140&lt;&gt;"acoes")))*INDEX(Inputs!$K$5:$AJ$140,0,MATCH(AF$2,Inputs!$K$4:$AJ$4,0)))+SUMPRODUCT((Inputs!$C$5:$C$140=$B38)*Inputs!$D$5:$D$140*(((Inputs!$G$5:$G$140="moeda")+(Inputs!$G$5:$G$140="acoes"))*Inputs!$B$1+((Inputs!$G$5:$G$140&lt;&gt;"moeda")*(Inputs!$G$5:$G$140&lt;&gt;"acoes")))*INDEX(Inputs!$K$5:$AJ$140,0,MATCH(AF$2,Inputs!$K$4:$AJ$4,0)))+SUMPRODUCT((Inputs!$E$5:$E$140=$B38)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8" s="3" t="e">
        <f>AF38</f>
        <v>#N/A</v>
      </c>
      <c r="AH38" s="6">
        <f>IF(ISNA(MATCH(AH$2,Inputs!$K$4:$AJ$4,0)),NA(),IF(SUMPRODUCT((Inputs!$A$5:$A$140=$B38)*ISNUMBER(INDEX(Inputs!$K$5:$AJ$140,0,MATCH(AH$2,Inputs!$K$4:$AJ$4,0))))+SUMPRODUCT((Inputs!$C$5:$C$140=$B38)*ISNUMBER(INDEX(Inputs!$K$5:$AJ$140,0,MATCH(AH$2,Inputs!$K$4:$AJ$4,0))))+SUMPRODUCT((Inputs!$E$5:$E$140=$B38)*ISNUMBER(INDEX(Inputs!$K$5:$AJ$140,0,MATCH(AH$2,Inputs!$K$4:$AJ$4,0))))=0,NA(),SUMPRODUCT((Inputs!$A$5:$A$140=$B38)*Inputs!$B$5:$B$140*(((Inputs!$G$5:$G$140="moeda")+(Inputs!$G$5:$G$140="acoes"))*Inputs!$B$1+((Inputs!$G$5:$G$140&lt;&gt;"moeda")*(Inputs!$G$5:$G$140&lt;&gt;"acoes")))*INDEX(Inputs!$K$5:$AJ$140,0,MATCH(AH$2,Inputs!$K$4:$AJ$4,0)))+SUMPRODUCT((Inputs!$C$5:$C$140=$B38)*Inputs!$D$5:$D$140*(((Inputs!$G$5:$G$140="moeda")+(Inputs!$G$5:$G$140="acoes"))*Inputs!$B$1+((Inputs!$G$5:$G$140&lt;&gt;"moeda")*(Inputs!$G$5:$G$140&lt;&gt;"acoes")))*INDEX(Inputs!$K$5:$AJ$140,0,MATCH(AH$2,Inputs!$K$4:$AJ$4,0)))+SUMPRODUCT((Inputs!$E$5:$E$140=$B38)*Inputs!$F$5:$F$140*(((Inputs!$G$5:$G$140="moeda")+(Inputs!$G$5:$G$140="acoes"))*Inputs!$B$1+((Inputs!$G$5:$G$140&lt;&gt;"moeda")*(Inputs!$G$5:$G$140&lt;&gt;"acoes")))*INDEX(Inputs!$K$5:$AJ$140,0,MATCH(AH$2,Inputs!$K$4:$AJ$4,0)))))</f>
        <v>22.885</v>
      </c>
      <c r="AI38" s="6">
        <f>IF(ISNA(MATCH(AI$2,Inputs!$K$4:$AJ$4,0)),NA(),IF(SUMPRODUCT((Inputs!$A$5:$A$140=$B38)*ISNUMBER(INDEX(Inputs!$K$5:$AJ$140,0,MATCH(AI$2,Inputs!$K$4:$AJ$4,0))))+SUMPRODUCT((Inputs!$C$5:$C$140=$B38)*ISNUMBER(INDEX(Inputs!$K$5:$AJ$140,0,MATCH(AI$2,Inputs!$K$4:$AJ$4,0))))+SUMPRODUCT((Inputs!$E$5:$E$140=$B38)*ISNUMBER(INDEX(Inputs!$K$5:$AJ$140,0,MATCH(AI$2,Inputs!$K$4:$AJ$4,0))))=0,NA(),SUMPRODUCT((Inputs!$A$5:$A$140=$B38)*Inputs!$B$5:$B$140*(((Inputs!$G$5:$G$140="moeda")+(Inputs!$G$5:$G$140="acoes"))*Inputs!$B$1+((Inputs!$G$5:$G$140&lt;&gt;"moeda")*(Inputs!$G$5:$G$140&lt;&gt;"acoes")))*INDEX(Inputs!$K$5:$AJ$140,0,MATCH(AI$2,Inputs!$K$4:$AJ$4,0)))+SUMPRODUCT((Inputs!$C$5:$C$140=$B38)*Inputs!$D$5:$D$140*(((Inputs!$G$5:$G$140="moeda")+(Inputs!$G$5:$G$140="acoes"))*Inputs!$B$1+((Inputs!$G$5:$G$140&lt;&gt;"moeda")*(Inputs!$G$5:$G$140&lt;&gt;"acoes")))*INDEX(Inputs!$K$5:$AJ$140,0,MATCH(AI$2,Inputs!$K$4:$AJ$4,0)))+SUMPRODUCT((Inputs!$E$5:$E$140=$B38)*Inputs!$F$5:$F$140*(((Inputs!$G$5:$G$140="moeda")+(Inputs!$G$5:$G$140="acoes"))*Inputs!$B$1+((Inputs!$G$5:$G$140&lt;&gt;"moeda")*(Inputs!$G$5:$G$140&lt;&gt;"acoes")))*INDEX(Inputs!$K$5:$AJ$140,0,MATCH(AI$2,Inputs!$K$4:$AJ$4,0)))))</f>
        <v>22.529</v>
      </c>
      <c r="AJ38" s="6">
        <f>IF(ISNA(MATCH(AJ$2,Inputs!$K$4:$AJ$4,0)),NA(),IF(SUMPRODUCT((Inputs!$A$5:$A$140=$B38)*ISNUMBER(INDEX(Inputs!$K$5:$AJ$140,0,MATCH(AJ$2,Inputs!$K$4:$AJ$4,0))))+SUMPRODUCT((Inputs!$C$5:$C$140=$B38)*ISNUMBER(INDEX(Inputs!$K$5:$AJ$140,0,MATCH(AJ$2,Inputs!$K$4:$AJ$4,0))))+SUMPRODUCT((Inputs!$E$5:$E$140=$B38)*ISNUMBER(INDEX(Inputs!$K$5:$AJ$140,0,MATCH(AJ$2,Inputs!$K$4:$AJ$4,0))))=0,NA(),SUMPRODUCT((Inputs!$A$5:$A$140=$B38)*Inputs!$B$5:$B$140*(((Inputs!$G$5:$G$140="moeda")+(Inputs!$G$5:$G$140="acoes"))*Inputs!$B$1+((Inputs!$G$5:$G$140&lt;&gt;"moeda")*(Inputs!$G$5:$G$140&lt;&gt;"acoes")))*INDEX(Inputs!$K$5:$AJ$140,0,MATCH(AJ$2,Inputs!$K$4:$AJ$4,0)))+SUMPRODUCT((Inputs!$C$5:$C$140=$B38)*Inputs!$D$5:$D$140*(((Inputs!$G$5:$G$140="moeda")+(Inputs!$G$5:$G$140="acoes"))*Inputs!$B$1+((Inputs!$G$5:$G$140&lt;&gt;"moeda")*(Inputs!$G$5:$G$140&lt;&gt;"acoes")))*INDEX(Inputs!$K$5:$AJ$140,0,MATCH(AJ$2,Inputs!$K$4:$AJ$4,0)))+SUMPRODUCT((Inputs!$E$5:$E$140=$B38)*Inputs!$F$5:$F$140*(((Inputs!$G$5:$G$140="moeda")+(Inputs!$G$5:$G$140="acoes"))*Inputs!$B$1+((Inputs!$G$5:$G$140&lt;&gt;"moeda")*(Inputs!$G$5:$G$140&lt;&gt;"acoes")))*INDEX(Inputs!$K$5:$AJ$140,0,MATCH(AJ$2,Inputs!$K$4:$AJ$4,0)))))</f>
        <v>24.612</v>
      </c>
      <c r="AK38" s="6">
        <f>IF(ISNA(MATCH(AK$2,Inputs!$K$4:$AJ$4,0)),NA(),IF(SUMPRODUCT((Inputs!$A$5:$A$140=$B38)*ISNUMBER(INDEX(Inputs!$K$5:$AJ$140,0,MATCH(AK$2,Inputs!$K$4:$AJ$4,0))))+SUMPRODUCT((Inputs!$C$5:$C$140=$B38)*ISNUMBER(INDEX(Inputs!$K$5:$AJ$140,0,MATCH(AK$2,Inputs!$K$4:$AJ$4,0))))+SUMPRODUCT((Inputs!$E$5:$E$140=$B38)*ISNUMBER(INDEX(Inputs!$K$5:$AJ$140,0,MATCH(AK$2,Inputs!$K$4:$AJ$4,0))))=0,NA(),SUMPRODUCT((Inputs!$A$5:$A$140=$B38)*Inputs!$B$5:$B$140*(((Inputs!$G$5:$G$140="moeda")+(Inputs!$G$5:$G$140="acoes"))*Inputs!$B$1+((Inputs!$G$5:$G$140&lt;&gt;"moeda")*(Inputs!$G$5:$G$140&lt;&gt;"acoes")))*INDEX(Inputs!$K$5:$AJ$140,0,MATCH(AK$2,Inputs!$K$4:$AJ$4,0)))+SUMPRODUCT((Inputs!$C$5:$C$140=$B38)*Inputs!$D$5:$D$140*(((Inputs!$G$5:$G$140="moeda")+(Inputs!$G$5:$G$140="acoes"))*Inputs!$B$1+((Inputs!$G$5:$G$140&lt;&gt;"moeda")*(Inputs!$G$5:$G$140&lt;&gt;"acoes")))*INDEX(Inputs!$K$5:$AJ$140,0,MATCH(AK$2,Inputs!$K$4:$AJ$4,0)))+SUMPRODUCT((Inputs!$E$5:$E$140=$B38)*Inputs!$F$5:$F$140*(((Inputs!$G$5:$G$140="moeda")+(Inputs!$G$5:$G$140="acoes"))*Inputs!$B$1+((Inputs!$G$5:$G$140&lt;&gt;"moeda")*(Inputs!$G$5:$G$140&lt;&gt;"acoes")))*INDEX(Inputs!$K$5:$AJ$140,0,MATCH(AK$2,Inputs!$K$4:$AJ$4,0)))))</f>
        <v>24.633</v>
      </c>
      <c r="AL38" s="3">
        <f>AK38</f>
        <v>24.633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$140=$B39)*ISNUMBER(INDEX(Inputs!$K$5:$AJ$140,0,MATCH(D$2,Inputs!$K$4:$AJ$4,0))))+SUMPRODUCT((Inputs!$C$5:$C$140=$B39)*ISNUMBER(INDEX(Inputs!$K$5:$AJ$140,0,MATCH(D$2,Inputs!$K$4:$AJ$4,0))))+SUMPRODUCT((Inputs!$E$5:$E$140=$B39)*ISNUMBER(INDEX(Inputs!$K$5:$AJ$140,0,MATCH(D$2,Inputs!$K$4:$AJ$4,0))))=0,NA(),SUMPRODUCT((Inputs!$A$5:$A$140=$B39)*Inputs!$B$5:$B$140*(((Inputs!$G$5:$G$140="moeda")+(Inputs!$G$5:$G$140="acoes"))*Inputs!$B$1+((Inputs!$G$5:$G$140&lt;&gt;"moeda")*(Inputs!$G$5:$G$140&lt;&gt;"acoes")))*INDEX(Inputs!$K$5:$AJ$140,0,MATCH(D$2,Inputs!$K$4:$AJ$4,0)))+SUMPRODUCT((Inputs!$C$5:$C$140=$B39)*Inputs!$D$5:$D$140*(((Inputs!$G$5:$G$140="moeda")+(Inputs!$G$5:$G$140="acoes"))*Inputs!$B$1+((Inputs!$G$5:$G$140&lt;&gt;"moeda")*(Inputs!$G$5:$G$140&lt;&gt;"acoes")))*INDEX(Inputs!$K$5:$AJ$140,0,MATCH(D$2,Inputs!$K$4:$AJ$4,0)))+SUMPRODUCT((Inputs!$E$5:$E$140=$B39)*Inputs!$F$5:$F$140*(((Inputs!$G$5:$G$140="moeda")+(Inputs!$G$5:$G$140="acoes"))*Inputs!$B$1+((Inputs!$G$5:$G$140&lt;&gt;"moeda")*(Inputs!$G$5:$G$140&lt;&gt;"acoes")))*INDEX(Inputs!$K$5:$AJ$140,0,MATCH(D$2,Inputs!$K$4:$AJ$4,0)))))</f>
        <v>289.58</v>
      </c>
      <c r="E39" s="6">
        <f>IF(ISNA(MATCH(E$2,Inputs!$K$4:$AJ$4,0)),NA(),IF(SUMPRODUCT((Inputs!$A$5:$A$140=$B39)*ISNUMBER(INDEX(Inputs!$K$5:$AJ$140,0,MATCH(E$2,Inputs!$K$4:$AJ$4,0))))+SUMPRODUCT((Inputs!$C$5:$C$140=$B39)*ISNUMBER(INDEX(Inputs!$K$5:$AJ$140,0,MATCH(E$2,Inputs!$K$4:$AJ$4,0))))+SUMPRODUCT((Inputs!$E$5:$E$140=$B39)*ISNUMBER(INDEX(Inputs!$K$5:$AJ$140,0,MATCH(E$2,Inputs!$K$4:$AJ$4,0))))=0,NA(),SUMPRODUCT((Inputs!$A$5:$A$140=$B39)*Inputs!$B$5:$B$140*(((Inputs!$G$5:$G$140="moeda")+(Inputs!$G$5:$G$140="acoes"))*Inputs!$B$1+((Inputs!$G$5:$G$140&lt;&gt;"moeda")*(Inputs!$G$5:$G$140&lt;&gt;"acoes")))*INDEX(Inputs!$K$5:$AJ$140,0,MATCH(E$2,Inputs!$K$4:$AJ$4,0)))+SUMPRODUCT((Inputs!$C$5:$C$140=$B39)*Inputs!$D$5:$D$140*(((Inputs!$G$5:$G$140="moeda")+(Inputs!$G$5:$G$140="acoes"))*Inputs!$B$1+((Inputs!$G$5:$G$140&lt;&gt;"moeda")*(Inputs!$G$5:$G$140&lt;&gt;"acoes")))*INDEX(Inputs!$K$5:$AJ$140,0,MATCH(E$2,Inputs!$K$4:$AJ$4,0)))+SUMPRODUCT((Inputs!$E$5:$E$140=$B39)*Inputs!$F$5:$F$140*(((Inputs!$G$5:$G$140="moeda")+(Inputs!$G$5:$G$140="acoes"))*Inputs!$B$1+((Inputs!$G$5:$G$140&lt;&gt;"moeda")*(Inputs!$G$5:$G$140&lt;&gt;"acoes")))*INDEX(Inputs!$K$5:$AJ$140,0,MATCH(E$2,Inputs!$K$4:$AJ$4,0)))))</f>
        <v>240.258</v>
      </c>
      <c r="F39" s="6">
        <f>IF(ISNA(MATCH(F$2,Inputs!$K$4:$AJ$4,0)),NA(),IF(SUMPRODUCT((Inputs!$A$5:$A$140=$B39)*ISNUMBER(INDEX(Inputs!$K$5:$AJ$140,0,MATCH(F$2,Inputs!$K$4:$AJ$4,0))))+SUMPRODUCT((Inputs!$C$5:$C$140=$B39)*ISNUMBER(INDEX(Inputs!$K$5:$AJ$140,0,MATCH(F$2,Inputs!$K$4:$AJ$4,0))))+SUMPRODUCT((Inputs!$E$5:$E$140=$B39)*ISNUMBER(INDEX(Inputs!$K$5:$AJ$140,0,MATCH(F$2,Inputs!$K$4:$AJ$4,0))))=0,NA(),SUMPRODUCT((Inputs!$A$5:$A$140=$B39)*Inputs!$B$5:$B$140*(((Inputs!$G$5:$G$140="moeda")+(Inputs!$G$5:$G$140="acoes"))*Inputs!$B$1+((Inputs!$G$5:$G$140&lt;&gt;"moeda")*(Inputs!$G$5:$G$140&lt;&gt;"acoes")))*INDEX(Inputs!$K$5:$AJ$140,0,MATCH(F$2,Inputs!$K$4:$AJ$4,0)))+SUMPRODUCT((Inputs!$C$5:$C$140=$B39)*Inputs!$D$5:$D$140*(((Inputs!$G$5:$G$140="moeda")+(Inputs!$G$5:$G$140="acoes"))*Inputs!$B$1+((Inputs!$G$5:$G$140&lt;&gt;"moeda")*(Inputs!$G$5:$G$140&lt;&gt;"acoes")))*INDEX(Inputs!$K$5:$AJ$140,0,MATCH(F$2,Inputs!$K$4:$AJ$4,0)))+SUMPRODUCT((Inputs!$E$5:$E$140=$B39)*Inputs!$F$5:$F$140*(((Inputs!$G$5:$G$140="moeda")+(Inputs!$G$5:$G$140="acoes"))*Inputs!$B$1+((Inputs!$G$5:$G$140&lt;&gt;"moeda")*(Inputs!$G$5:$G$140&lt;&gt;"acoes")))*INDEX(Inputs!$K$5:$AJ$140,0,MATCH(F$2,Inputs!$K$4:$AJ$4,0)))))</f>
        <v>318.042</v>
      </c>
      <c r="G39" s="6">
        <f>IF(ISNA(MATCH(G$2,Inputs!$K$4:$AJ$4,0)),NA(),IF(SUMPRODUCT((Inputs!$A$5:$A$140=$B39)*ISNUMBER(INDEX(Inputs!$K$5:$AJ$140,0,MATCH(G$2,Inputs!$K$4:$AJ$4,0))))+SUMPRODUCT((Inputs!$C$5:$C$140=$B39)*ISNUMBER(INDEX(Inputs!$K$5:$AJ$140,0,MATCH(G$2,Inputs!$K$4:$AJ$4,0))))+SUMPRODUCT((Inputs!$E$5:$E$140=$B39)*ISNUMBER(INDEX(Inputs!$K$5:$AJ$140,0,MATCH(G$2,Inputs!$K$4:$AJ$4,0))))=0,NA(),SUMPRODUCT((Inputs!$A$5:$A$140=$B39)*Inputs!$B$5:$B$140*(((Inputs!$G$5:$G$140="moeda")+(Inputs!$G$5:$G$140="acoes"))*Inputs!$B$1+((Inputs!$G$5:$G$140&lt;&gt;"moeda")*(Inputs!$G$5:$G$140&lt;&gt;"acoes")))*INDEX(Inputs!$K$5:$AJ$140,0,MATCH(G$2,Inputs!$K$4:$AJ$4,0)))+SUMPRODUCT((Inputs!$C$5:$C$140=$B39)*Inputs!$D$5:$D$140*(((Inputs!$G$5:$G$140="moeda")+(Inputs!$G$5:$G$140="acoes"))*Inputs!$B$1+((Inputs!$G$5:$G$140&lt;&gt;"moeda")*(Inputs!$G$5:$G$140&lt;&gt;"acoes")))*INDEX(Inputs!$K$5:$AJ$140,0,MATCH(G$2,Inputs!$K$4:$AJ$4,0)))+SUMPRODUCT((Inputs!$E$5:$E$140=$B39)*Inputs!$F$5:$F$140*(((Inputs!$G$5:$G$140="moeda")+(Inputs!$G$5:$G$140="acoes"))*Inputs!$B$1+((Inputs!$G$5:$G$140&lt;&gt;"moeda")*(Inputs!$G$5:$G$140&lt;&gt;"acoes")))*INDEX(Inputs!$K$5:$AJ$140,0,MATCH(G$2,Inputs!$K$4:$AJ$4,0)))))</f>
        <v>397.844</v>
      </c>
      <c r="H39" s="3">
        <f>G39</f>
        <v>397.844</v>
      </c>
      <c r="I39" s="6">
        <f>IF(ISNA(MATCH(I$2,Inputs!$K$4:$AJ$4,0)),NA(),IF(SUMPRODUCT((Inputs!$A$5:$A$140=$B39)*ISNUMBER(INDEX(Inputs!$K$5:$AJ$140,0,MATCH(I$2,Inputs!$K$4:$AJ$4,0))))+SUMPRODUCT((Inputs!$C$5:$C$140=$B39)*ISNUMBER(INDEX(Inputs!$K$5:$AJ$140,0,MATCH(I$2,Inputs!$K$4:$AJ$4,0))))+SUMPRODUCT((Inputs!$E$5:$E$140=$B39)*ISNUMBER(INDEX(Inputs!$K$5:$AJ$140,0,MATCH(I$2,Inputs!$K$4:$AJ$4,0))))=0,NA(),SUMPRODUCT((Inputs!$A$5:$A$140=$B39)*Inputs!$B$5:$B$140*(((Inputs!$G$5:$G$140="moeda")+(Inputs!$G$5:$G$140="acoes"))*Inputs!$B$1+((Inputs!$G$5:$G$140&lt;&gt;"moeda")*(Inputs!$G$5:$G$140&lt;&gt;"acoes")))*INDEX(Inputs!$K$5:$AJ$140,0,MATCH(I$2,Inputs!$K$4:$AJ$4,0)))+SUMPRODUCT((Inputs!$C$5:$C$140=$B39)*Inputs!$D$5:$D$140*(((Inputs!$G$5:$G$140="moeda")+(Inputs!$G$5:$G$140="acoes"))*Inputs!$B$1+((Inputs!$G$5:$G$140&lt;&gt;"moeda")*(Inputs!$G$5:$G$140&lt;&gt;"acoes")))*INDEX(Inputs!$K$5:$AJ$140,0,MATCH(I$2,Inputs!$K$4:$AJ$4,0)))+SUMPRODUCT((Inputs!$E$5:$E$140=$B39)*Inputs!$F$5:$F$140*(((Inputs!$G$5:$G$140="moeda")+(Inputs!$G$5:$G$140="acoes"))*Inputs!$B$1+((Inputs!$G$5:$G$140&lt;&gt;"moeda")*(Inputs!$G$5:$G$140&lt;&gt;"acoes")))*INDEX(Inputs!$K$5:$AJ$140,0,MATCH(I$2,Inputs!$K$4:$AJ$4,0)))))</f>
        <v>392.31</v>
      </c>
      <c r="J39" s="6">
        <f>IF(ISNA(MATCH(J$2,Inputs!$K$4:$AJ$4,0)),NA(),IF(SUMPRODUCT((Inputs!$A$5:$A$140=$B39)*ISNUMBER(INDEX(Inputs!$K$5:$AJ$140,0,MATCH(J$2,Inputs!$K$4:$AJ$4,0))))+SUMPRODUCT((Inputs!$C$5:$C$140=$B39)*ISNUMBER(INDEX(Inputs!$K$5:$AJ$140,0,MATCH(J$2,Inputs!$K$4:$AJ$4,0))))+SUMPRODUCT((Inputs!$E$5:$E$140=$B39)*ISNUMBER(INDEX(Inputs!$K$5:$AJ$140,0,MATCH(J$2,Inputs!$K$4:$AJ$4,0))))=0,NA(),SUMPRODUCT((Inputs!$A$5:$A$140=$B39)*Inputs!$B$5:$B$140*(((Inputs!$G$5:$G$140="moeda")+(Inputs!$G$5:$G$140="acoes"))*Inputs!$B$1+((Inputs!$G$5:$G$140&lt;&gt;"moeda")*(Inputs!$G$5:$G$140&lt;&gt;"acoes")))*INDEX(Inputs!$K$5:$AJ$140,0,MATCH(J$2,Inputs!$K$4:$AJ$4,0)))+SUMPRODUCT((Inputs!$C$5:$C$140=$B39)*Inputs!$D$5:$D$140*(((Inputs!$G$5:$G$140="moeda")+(Inputs!$G$5:$G$140="acoes"))*Inputs!$B$1+((Inputs!$G$5:$G$140&lt;&gt;"moeda")*(Inputs!$G$5:$G$140&lt;&gt;"acoes")))*INDEX(Inputs!$K$5:$AJ$140,0,MATCH(J$2,Inputs!$K$4:$AJ$4,0)))+SUMPRODUCT((Inputs!$E$5:$E$140=$B39)*Inputs!$F$5:$F$140*(((Inputs!$G$5:$G$140="moeda")+(Inputs!$G$5:$G$140="acoes"))*Inputs!$B$1+((Inputs!$G$5:$G$140&lt;&gt;"moeda")*(Inputs!$G$5:$G$140&lt;&gt;"acoes")))*INDEX(Inputs!$K$5:$AJ$140,0,MATCH(J$2,Inputs!$K$4:$AJ$4,0)))))</f>
        <v>381.787</v>
      </c>
      <c r="K39" s="6">
        <f>IF(ISNA(MATCH(K$2,Inputs!$K$4:$AJ$4,0)),NA(),IF(SUMPRODUCT((Inputs!$A$5:$A$140=$B39)*ISNUMBER(INDEX(Inputs!$K$5:$AJ$140,0,MATCH(K$2,Inputs!$K$4:$AJ$4,0))))+SUMPRODUCT((Inputs!$C$5:$C$140=$B39)*ISNUMBER(INDEX(Inputs!$K$5:$AJ$140,0,MATCH(K$2,Inputs!$K$4:$AJ$4,0))))+SUMPRODUCT((Inputs!$E$5:$E$140=$B39)*ISNUMBER(INDEX(Inputs!$K$5:$AJ$140,0,MATCH(K$2,Inputs!$K$4:$AJ$4,0))))=0,NA(),SUMPRODUCT((Inputs!$A$5:$A$140=$B39)*Inputs!$B$5:$B$140*(((Inputs!$G$5:$G$140="moeda")+(Inputs!$G$5:$G$140="acoes"))*Inputs!$B$1+((Inputs!$G$5:$G$140&lt;&gt;"moeda")*(Inputs!$G$5:$G$140&lt;&gt;"acoes")))*INDEX(Inputs!$K$5:$AJ$140,0,MATCH(K$2,Inputs!$K$4:$AJ$4,0)))+SUMPRODUCT((Inputs!$C$5:$C$140=$B39)*Inputs!$D$5:$D$140*(((Inputs!$G$5:$G$140="moeda")+(Inputs!$G$5:$G$140="acoes"))*Inputs!$B$1+((Inputs!$G$5:$G$140&lt;&gt;"moeda")*(Inputs!$G$5:$G$140&lt;&gt;"acoes")))*INDEX(Inputs!$K$5:$AJ$140,0,MATCH(K$2,Inputs!$K$4:$AJ$4,0)))+SUMPRODUCT((Inputs!$E$5:$E$140=$B39)*Inputs!$F$5:$F$140*(((Inputs!$G$5:$G$140="moeda")+(Inputs!$G$5:$G$140="acoes"))*Inputs!$B$1+((Inputs!$G$5:$G$140&lt;&gt;"moeda")*(Inputs!$G$5:$G$140&lt;&gt;"acoes")))*INDEX(Inputs!$K$5:$AJ$140,0,MATCH(K$2,Inputs!$K$4:$AJ$4,0)))))</f>
        <v>466.87071860892</v>
      </c>
      <c r="L39" s="6">
        <f>IF(ISNA(MATCH(L$2,Inputs!$K$4:$AJ$4,0)),NA(),IF(SUMPRODUCT((Inputs!$A$5:$A$140=$B39)*ISNUMBER(INDEX(Inputs!$K$5:$AJ$140,0,MATCH(L$2,Inputs!$K$4:$AJ$4,0))))+SUMPRODUCT((Inputs!$C$5:$C$140=$B39)*ISNUMBER(INDEX(Inputs!$K$5:$AJ$140,0,MATCH(L$2,Inputs!$K$4:$AJ$4,0))))+SUMPRODUCT((Inputs!$E$5:$E$140=$B39)*ISNUMBER(INDEX(Inputs!$K$5:$AJ$140,0,MATCH(L$2,Inputs!$K$4:$AJ$4,0))))=0,NA(),SUMPRODUCT((Inputs!$A$5:$A$140=$B39)*Inputs!$B$5:$B$140*(((Inputs!$G$5:$G$140="moeda")+(Inputs!$G$5:$G$140="acoes"))*Inputs!$B$1+((Inputs!$G$5:$G$140&lt;&gt;"moeda")*(Inputs!$G$5:$G$140&lt;&gt;"acoes")))*INDEX(Inputs!$K$5:$AJ$140,0,MATCH(L$2,Inputs!$K$4:$AJ$4,0)))+SUMPRODUCT((Inputs!$C$5:$C$140=$B39)*Inputs!$D$5:$D$140*(((Inputs!$G$5:$G$140="moeda")+(Inputs!$G$5:$G$140="acoes"))*Inputs!$B$1+((Inputs!$G$5:$G$140&lt;&gt;"moeda")*(Inputs!$G$5:$G$140&lt;&gt;"acoes")))*INDEX(Inputs!$K$5:$AJ$140,0,MATCH(L$2,Inputs!$K$4:$AJ$4,0)))+SUMPRODUCT((Inputs!$E$5:$E$140=$B39)*Inputs!$F$5:$F$140*(((Inputs!$G$5:$G$140="moeda")+(Inputs!$G$5:$G$140="acoes"))*Inputs!$B$1+((Inputs!$G$5:$G$140&lt;&gt;"moeda")*(Inputs!$G$5:$G$140&lt;&gt;"acoes")))*INDEX(Inputs!$K$5:$AJ$140,0,MATCH(L$2,Inputs!$K$4:$AJ$4,0)))))</f>
        <v>460.873</v>
      </c>
      <c r="M39" s="3">
        <f>L39</f>
        <v>460.873</v>
      </c>
      <c r="N39" s="6">
        <f>IF(ISNA(MATCH(N$2,Inputs!$K$4:$AJ$4,0)),NA(),IF(SUMPRODUCT((Inputs!$A$5:$A$140=$B39)*ISNUMBER(INDEX(Inputs!$K$5:$AJ$140,0,MATCH(N$2,Inputs!$K$4:$AJ$4,0))))+SUMPRODUCT((Inputs!$C$5:$C$140=$B39)*ISNUMBER(INDEX(Inputs!$K$5:$AJ$140,0,MATCH(N$2,Inputs!$K$4:$AJ$4,0))))+SUMPRODUCT((Inputs!$E$5:$E$140=$B39)*ISNUMBER(INDEX(Inputs!$K$5:$AJ$140,0,MATCH(N$2,Inputs!$K$4:$AJ$4,0))))=0,NA(),SUMPRODUCT((Inputs!$A$5:$A$140=$B39)*Inputs!$B$5:$B$140*(((Inputs!$G$5:$G$140="moeda")+(Inputs!$G$5:$G$140="acoes"))*Inputs!$B$1+((Inputs!$G$5:$G$140&lt;&gt;"moeda")*(Inputs!$G$5:$G$140&lt;&gt;"acoes")))*INDEX(Inputs!$K$5:$AJ$140,0,MATCH(N$2,Inputs!$K$4:$AJ$4,0)))+SUMPRODUCT((Inputs!$C$5:$C$140=$B39)*Inputs!$D$5:$D$140*(((Inputs!$G$5:$G$140="moeda")+(Inputs!$G$5:$G$140="acoes"))*Inputs!$B$1+((Inputs!$G$5:$G$140&lt;&gt;"moeda")*(Inputs!$G$5:$G$140&lt;&gt;"acoes")))*INDEX(Inputs!$K$5:$AJ$140,0,MATCH(N$2,Inputs!$K$4:$AJ$4,0)))+SUMPRODUCT((Inputs!$E$5:$E$140=$B39)*Inputs!$F$5:$F$140*(((Inputs!$G$5:$G$140="moeda")+(Inputs!$G$5:$G$140="acoes"))*Inputs!$B$1+((Inputs!$G$5:$G$140&lt;&gt;"moeda")*(Inputs!$G$5:$G$140&lt;&gt;"acoes")))*INDEX(Inputs!$K$5:$AJ$140,0,MATCH(N$2,Inputs!$K$4:$AJ$4,0)))))</f>
        <v>600.815</v>
      </c>
      <c r="O39" s="6">
        <f>IF(ISNA(MATCH(O$2,Inputs!$K$4:$AJ$4,0)),NA(),IF(SUMPRODUCT((Inputs!$A$5:$A$140=$B39)*ISNUMBER(INDEX(Inputs!$K$5:$AJ$140,0,MATCH(O$2,Inputs!$K$4:$AJ$4,0))))+SUMPRODUCT((Inputs!$C$5:$C$140=$B39)*ISNUMBER(INDEX(Inputs!$K$5:$AJ$140,0,MATCH(O$2,Inputs!$K$4:$AJ$4,0))))+SUMPRODUCT((Inputs!$E$5:$E$140=$B39)*ISNUMBER(INDEX(Inputs!$K$5:$AJ$140,0,MATCH(O$2,Inputs!$K$4:$AJ$4,0))))=0,NA(),SUMPRODUCT((Inputs!$A$5:$A$140=$B39)*Inputs!$B$5:$B$140*(((Inputs!$G$5:$G$140="moeda")+(Inputs!$G$5:$G$140="acoes"))*Inputs!$B$1+((Inputs!$G$5:$G$140&lt;&gt;"moeda")*(Inputs!$G$5:$G$140&lt;&gt;"acoes")))*INDEX(Inputs!$K$5:$AJ$140,0,MATCH(O$2,Inputs!$K$4:$AJ$4,0)))+SUMPRODUCT((Inputs!$C$5:$C$140=$B39)*Inputs!$D$5:$D$140*(((Inputs!$G$5:$G$140="moeda")+(Inputs!$G$5:$G$140="acoes"))*Inputs!$B$1+((Inputs!$G$5:$G$140&lt;&gt;"moeda")*(Inputs!$G$5:$G$140&lt;&gt;"acoes")))*INDEX(Inputs!$K$5:$AJ$140,0,MATCH(O$2,Inputs!$K$4:$AJ$4,0)))+SUMPRODUCT((Inputs!$E$5:$E$140=$B39)*Inputs!$F$5:$F$140*(((Inputs!$G$5:$G$140="moeda")+(Inputs!$G$5:$G$140="acoes"))*Inputs!$B$1+((Inputs!$G$5:$G$140&lt;&gt;"moeda")*(Inputs!$G$5:$G$140&lt;&gt;"acoes")))*INDEX(Inputs!$K$5:$AJ$140,0,MATCH(O$2,Inputs!$K$4:$AJ$4,0)))))</f>
        <v>545.419</v>
      </c>
      <c r="P39" s="6">
        <f>IF(ISNA(MATCH(P$2,Inputs!$K$4:$AJ$4,0)),NA(),IF(SUMPRODUCT((Inputs!$A$5:$A$140=$B39)*ISNUMBER(INDEX(Inputs!$K$5:$AJ$140,0,MATCH(P$2,Inputs!$K$4:$AJ$4,0))))+SUMPRODUCT((Inputs!$C$5:$C$140=$B39)*ISNUMBER(INDEX(Inputs!$K$5:$AJ$140,0,MATCH(P$2,Inputs!$K$4:$AJ$4,0))))+SUMPRODUCT((Inputs!$E$5:$E$140=$B39)*ISNUMBER(INDEX(Inputs!$K$5:$AJ$140,0,MATCH(P$2,Inputs!$K$4:$AJ$4,0))))=0,NA(),SUMPRODUCT((Inputs!$A$5:$A$140=$B39)*Inputs!$B$5:$B$140*(((Inputs!$G$5:$G$140="moeda")+(Inputs!$G$5:$G$140="acoes"))*Inputs!$B$1+((Inputs!$G$5:$G$140&lt;&gt;"moeda")*(Inputs!$G$5:$G$140&lt;&gt;"acoes")))*INDEX(Inputs!$K$5:$AJ$140,0,MATCH(P$2,Inputs!$K$4:$AJ$4,0)))+SUMPRODUCT((Inputs!$C$5:$C$140=$B39)*Inputs!$D$5:$D$140*(((Inputs!$G$5:$G$140="moeda")+(Inputs!$G$5:$G$140="acoes"))*Inputs!$B$1+((Inputs!$G$5:$G$140&lt;&gt;"moeda")*(Inputs!$G$5:$G$140&lt;&gt;"acoes")))*INDEX(Inputs!$K$5:$AJ$140,0,MATCH(P$2,Inputs!$K$4:$AJ$4,0)))+SUMPRODUCT((Inputs!$E$5:$E$140=$B39)*Inputs!$F$5:$F$140*(((Inputs!$G$5:$G$140="moeda")+(Inputs!$G$5:$G$140="acoes"))*Inputs!$B$1+((Inputs!$G$5:$G$140&lt;&gt;"moeda")*(Inputs!$G$5:$G$140&lt;&gt;"acoes")))*INDEX(Inputs!$K$5:$AJ$140,0,MATCH(P$2,Inputs!$K$4:$AJ$4,0)))))</f>
        <v>550.163</v>
      </c>
      <c r="Q39" s="6">
        <f>IF(ISNA(MATCH(Q$2,Inputs!$K$4:$AJ$4,0)),NA(),IF(SUMPRODUCT((Inputs!$A$5:$A$140=$B39)*ISNUMBER(INDEX(Inputs!$K$5:$AJ$140,0,MATCH(Q$2,Inputs!$K$4:$AJ$4,0))))+SUMPRODUCT((Inputs!$C$5:$C$140=$B39)*ISNUMBER(INDEX(Inputs!$K$5:$AJ$140,0,MATCH(Q$2,Inputs!$K$4:$AJ$4,0))))+SUMPRODUCT((Inputs!$E$5:$E$140=$B39)*ISNUMBER(INDEX(Inputs!$K$5:$AJ$140,0,MATCH(Q$2,Inputs!$K$4:$AJ$4,0))))=0,NA(),SUMPRODUCT((Inputs!$A$5:$A$140=$B39)*Inputs!$B$5:$B$140*(((Inputs!$G$5:$G$140="moeda")+(Inputs!$G$5:$G$140="acoes"))*Inputs!$B$1+((Inputs!$G$5:$G$140&lt;&gt;"moeda")*(Inputs!$G$5:$G$140&lt;&gt;"acoes")))*INDEX(Inputs!$K$5:$AJ$140,0,MATCH(Q$2,Inputs!$K$4:$AJ$4,0)))+SUMPRODUCT((Inputs!$C$5:$C$140=$B39)*Inputs!$D$5:$D$140*(((Inputs!$G$5:$G$140="moeda")+(Inputs!$G$5:$G$140="acoes"))*Inputs!$B$1+((Inputs!$G$5:$G$140&lt;&gt;"moeda")*(Inputs!$G$5:$G$140&lt;&gt;"acoes")))*INDEX(Inputs!$K$5:$AJ$140,0,MATCH(Q$2,Inputs!$K$4:$AJ$4,0)))+SUMPRODUCT((Inputs!$E$5:$E$140=$B39)*Inputs!$F$5:$F$140*(((Inputs!$G$5:$G$140="moeda")+(Inputs!$G$5:$G$140="acoes"))*Inputs!$B$1+((Inputs!$G$5:$G$140&lt;&gt;"moeda")*(Inputs!$G$5:$G$140&lt;&gt;"acoes")))*INDEX(Inputs!$K$5:$AJ$140,0,MATCH(Q$2,Inputs!$K$4:$AJ$4,0)))))</f>
        <v>474.925</v>
      </c>
      <c r="R39" s="3">
        <f>Q39</f>
        <v>474.925</v>
      </c>
      <c r="S39" s="6">
        <f>IF(ISNA(MATCH(S$2,Inputs!$K$4:$AJ$4,0)),NA(),IF(SUMPRODUCT((Inputs!$A$5:$A$140=$B39)*ISNUMBER(INDEX(Inputs!$K$5:$AJ$140,0,MATCH(S$2,Inputs!$K$4:$AJ$4,0))))+SUMPRODUCT((Inputs!$C$5:$C$140=$B39)*ISNUMBER(INDEX(Inputs!$K$5:$AJ$140,0,MATCH(S$2,Inputs!$K$4:$AJ$4,0))))+SUMPRODUCT((Inputs!$E$5:$E$140=$B39)*ISNUMBER(INDEX(Inputs!$K$5:$AJ$140,0,MATCH(S$2,Inputs!$K$4:$AJ$4,0))))=0,NA(),SUMPRODUCT((Inputs!$A$5:$A$140=$B39)*Inputs!$B$5:$B$140*(((Inputs!$G$5:$G$140="moeda")+(Inputs!$G$5:$G$140="acoes"))*Inputs!$B$1+((Inputs!$G$5:$G$140&lt;&gt;"moeda")*(Inputs!$G$5:$G$140&lt;&gt;"acoes")))*INDEX(Inputs!$K$5:$AJ$140,0,MATCH(S$2,Inputs!$K$4:$AJ$4,0)))+SUMPRODUCT((Inputs!$C$5:$C$140=$B39)*Inputs!$D$5:$D$140*(((Inputs!$G$5:$G$140="moeda")+(Inputs!$G$5:$G$140="acoes"))*Inputs!$B$1+((Inputs!$G$5:$G$140&lt;&gt;"moeda")*(Inputs!$G$5:$G$140&lt;&gt;"acoes")))*INDEX(Inputs!$K$5:$AJ$140,0,MATCH(S$2,Inputs!$K$4:$AJ$4,0)))+SUMPRODUCT((Inputs!$E$5:$E$140=$B39)*Inputs!$F$5:$F$140*(((Inputs!$G$5:$G$140="moeda")+(Inputs!$G$5:$G$140="acoes"))*Inputs!$B$1+((Inputs!$G$5:$G$140&lt;&gt;"moeda")*(Inputs!$G$5:$G$140&lt;&gt;"acoes")))*INDEX(Inputs!$K$5:$AJ$140,0,MATCH(S$2,Inputs!$K$4:$AJ$4,0)))))</f>
        <v>557.066</v>
      </c>
      <c r="T39" s="6">
        <f>IF(ISNA(MATCH(T$2,Inputs!$K$4:$AJ$4,0)),NA(),IF(SUMPRODUCT((Inputs!$A$5:$A$140=$B39)*ISNUMBER(INDEX(Inputs!$K$5:$AJ$140,0,MATCH(T$2,Inputs!$K$4:$AJ$4,0))))+SUMPRODUCT((Inputs!$C$5:$C$140=$B39)*ISNUMBER(INDEX(Inputs!$K$5:$AJ$140,0,MATCH(T$2,Inputs!$K$4:$AJ$4,0))))+SUMPRODUCT((Inputs!$E$5:$E$140=$B39)*ISNUMBER(INDEX(Inputs!$K$5:$AJ$140,0,MATCH(T$2,Inputs!$K$4:$AJ$4,0))))=0,NA(),SUMPRODUCT((Inputs!$A$5:$A$140=$B39)*Inputs!$B$5:$B$140*(((Inputs!$G$5:$G$140="moeda")+(Inputs!$G$5:$G$140="acoes"))*Inputs!$B$1+((Inputs!$G$5:$G$140&lt;&gt;"moeda")*(Inputs!$G$5:$G$140&lt;&gt;"acoes")))*INDEX(Inputs!$K$5:$AJ$140,0,MATCH(T$2,Inputs!$K$4:$AJ$4,0)))+SUMPRODUCT((Inputs!$C$5:$C$140=$B39)*Inputs!$D$5:$D$140*(((Inputs!$G$5:$G$140="moeda")+(Inputs!$G$5:$G$140="acoes"))*Inputs!$B$1+((Inputs!$G$5:$G$140&lt;&gt;"moeda")*(Inputs!$G$5:$G$140&lt;&gt;"acoes")))*INDEX(Inputs!$K$5:$AJ$140,0,MATCH(T$2,Inputs!$K$4:$AJ$4,0)))+SUMPRODUCT((Inputs!$E$5:$E$140=$B39)*Inputs!$F$5:$F$140*(((Inputs!$G$5:$G$140="moeda")+(Inputs!$G$5:$G$140="acoes"))*Inputs!$B$1+((Inputs!$G$5:$G$140&lt;&gt;"moeda")*(Inputs!$G$5:$G$140&lt;&gt;"acoes")))*INDEX(Inputs!$K$5:$AJ$140,0,MATCH(T$2,Inputs!$K$4:$AJ$4,0)))))</f>
        <v>554.32</v>
      </c>
      <c r="U39" s="6">
        <f>IF(ISNA(MATCH(U$2,Inputs!$K$4:$AJ$4,0)),NA(),IF(SUMPRODUCT((Inputs!$A$5:$A$140=$B39)*ISNUMBER(INDEX(Inputs!$K$5:$AJ$140,0,MATCH(U$2,Inputs!$K$4:$AJ$4,0))))+SUMPRODUCT((Inputs!$C$5:$C$140=$B39)*ISNUMBER(INDEX(Inputs!$K$5:$AJ$140,0,MATCH(U$2,Inputs!$K$4:$AJ$4,0))))+SUMPRODUCT((Inputs!$E$5:$E$140=$B39)*ISNUMBER(INDEX(Inputs!$K$5:$AJ$140,0,MATCH(U$2,Inputs!$K$4:$AJ$4,0))))=0,NA(),SUMPRODUCT((Inputs!$A$5:$A$140=$B39)*Inputs!$B$5:$B$140*(((Inputs!$G$5:$G$140="moeda")+(Inputs!$G$5:$G$140="acoes"))*Inputs!$B$1+((Inputs!$G$5:$G$140&lt;&gt;"moeda")*(Inputs!$G$5:$G$140&lt;&gt;"acoes")))*INDEX(Inputs!$K$5:$AJ$140,0,MATCH(U$2,Inputs!$K$4:$AJ$4,0)))+SUMPRODUCT((Inputs!$C$5:$C$140=$B39)*Inputs!$D$5:$D$140*(((Inputs!$G$5:$G$140="moeda")+(Inputs!$G$5:$G$140="acoes"))*Inputs!$B$1+((Inputs!$G$5:$G$140&lt;&gt;"moeda")*(Inputs!$G$5:$G$140&lt;&gt;"acoes")))*INDEX(Inputs!$K$5:$AJ$140,0,MATCH(U$2,Inputs!$K$4:$AJ$4,0)))+SUMPRODUCT((Inputs!$E$5:$E$140=$B39)*Inputs!$F$5:$F$140*(((Inputs!$G$5:$G$140="moeda")+(Inputs!$G$5:$G$140="acoes"))*Inputs!$B$1+((Inputs!$G$5:$G$140&lt;&gt;"moeda")*(Inputs!$G$5:$G$140&lt;&gt;"acoes")))*INDEX(Inputs!$K$5:$AJ$140,0,MATCH(U$2,Inputs!$K$4:$AJ$4,0)))))</f>
        <v>517.875</v>
      </c>
      <c r="V39" s="6">
        <f>IF(ISNA(MATCH(V$2,Inputs!$K$4:$AJ$4,0)),NA(),IF(SUMPRODUCT((Inputs!$A$5:$A$140=$B39)*ISNUMBER(INDEX(Inputs!$K$5:$AJ$140,0,MATCH(V$2,Inputs!$K$4:$AJ$4,0))))+SUMPRODUCT((Inputs!$C$5:$C$140=$B39)*ISNUMBER(INDEX(Inputs!$K$5:$AJ$140,0,MATCH(V$2,Inputs!$K$4:$AJ$4,0))))+SUMPRODUCT((Inputs!$E$5:$E$140=$B39)*ISNUMBER(INDEX(Inputs!$K$5:$AJ$140,0,MATCH(V$2,Inputs!$K$4:$AJ$4,0))))=0,NA(),SUMPRODUCT((Inputs!$A$5:$A$140=$B39)*Inputs!$B$5:$B$140*(((Inputs!$G$5:$G$140="moeda")+(Inputs!$G$5:$G$140="acoes"))*Inputs!$B$1+((Inputs!$G$5:$G$140&lt;&gt;"moeda")*(Inputs!$G$5:$G$140&lt;&gt;"acoes")))*INDEX(Inputs!$K$5:$AJ$140,0,MATCH(V$2,Inputs!$K$4:$AJ$4,0)))+SUMPRODUCT((Inputs!$C$5:$C$140=$B39)*Inputs!$D$5:$D$140*(((Inputs!$G$5:$G$140="moeda")+(Inputs!$G$5:$G$140="acoes"))*Inputs!$B$1+((Inputs!$G$5:$G$140&lt;&gt;"moeda")*(Inputs!$G$5:$G$140&lt;&gt;"acoes")))*INDEX(Inputs!$K$5:$AJ$140,0,MATCH(V$2,Inputs!$K$4:$AJ$4,0)))+SUMPRODUCT((Inputs!$E$5:$E$140=$B39)*Inputs!$F$5:$F$140*(((Inputs!$G$5:$G$140="moeda")+(Inputs!$G$5:$G$140="acoes"))*Inputs!$B$1+((Inputs!$G$5:$G$140&lt;&gt;"moeda")*(Inputs!$G$5:$G$140&lt;&gt;"acoes")))*INDEX(Inputs!$K$5:$AJ$140,0,MATCH(V$2,Inputs!$K$4:$AJ$4,0)))))</f>
        <v>951.601</v>
      </c>
      <c r="W39" s="3">
        <f>V39</f>
        <v>951.601</v>
      </c>
      <c r="X39" s="6">
        <f>IF(ISNA(MATCH(X$2,Inputs!$K$4:$AJ$4,0)),NA(),IF(SUMPRODUCT((Inputs!$A$5:$A$140=$B39)*ISNUMBER(INDEX(Inputs!$K$5:$AJ$140,0,MATCH(X$2,Inputs!$K$4:$AJ$4,0))))+SUMPRODUCT((Inputs!$C$5:$C$140=$B39)*ISNUMBER(INDEX(Inputs!$K$5:$AJ$140,0,MATCH(X$2,Inputs!$K$4:$AJ$4,0))))+SUMPRODUCT((Inputs!$E$5:$E$140=$B39)*ISNUMBER(INDEX(Inputs!$K$5:$AJ$140,0,MATCH(X$2,Inputs!$K$4:$AJ$4,0))))=0,NA(),SUMPRODUCT((Inputs!$A$5:$A$140=$B39)*Inputs!$B$5:$B$140*(((Inputs!$G$5:$G$140="moeda")+(Inputs!$G$5:$G$140="acoes"))*Inputs!$B$1+((Inputs!$G$5:$G$140&lt;&gt;"moeda")*(Inputs!$G$5:$G$140&lt;&gt;"acoes")))*INDEX(Inputs!$K$5:$AJ$140,0,MATCH(X$2,Inputs!$K$4:$AJ$4,0)))+SUMPRODUCT((Inputs!$C$5:$C$140=$B39)*Inputs!$D$5:$D$140*(((Inputs!$G$5:$G$140="moeda")+(Inputs!$G$5:$G$140="acoes"))*Inputs!$B$1+((Inputs!$G$5:$G$140&lt;&gt;"moeda")*(Inputs!$G$5:$G$140&lt;&gt;"acoes")))*INDEX(Inputs!$K$5:$AJ$140,0,MATCH(X$2,Inputs!$K$4:$AJ$4,0)))+SUMPRODUCT((Inputs!$E$5:$E$140=$B39)*Inputs!$F$5:$F$140*(((Inputs!$G$5:$G$140="moeda")+(Inputs!$G$5:$G$140="acoes"))*Inputs!$B$1+((Inputs!$G$5:$G$140&lt;&gt;"moeda")*(Inputs!$G$5:$G$140&lt;&gt;"acoes")))*INDEX(Inputs!$K$5:$AJ$140,0,MATCH(X$2,Inputs!$K$4:$AJ$4,0)))))</f>
        <v>948.208</v>
      </c>
      <c r="Y39" s="6">
        <f>IF(ISNA(MATCH(Y$2,Inputs!$K$4:$AJ$4,0)),NA(),IF(SUMPRODUCT((Inputs!$A$5:$A$140=$B39)*ISNUMBER(INDEX(Inputs!$K$5:$AJ$140,0,MATCH(Y$2,Inputs!$K$4:$AJ$4,0))))+SUMPRODUCT((Inputs!$C$5:$C$140=$B39)*ISNUMBER(INDEX(Inputs!$K$5:$AJ$140,0,MATCH(Y$2,Inputs!$K$4:$AJ$4,0))))+SUMPRODUCT((Inputs!$E$5:$E$140=$B39)*ISNUMBER(INDEX(Inputs!$K$5:$AJ$140,0,MATCH(Y$2,Inputs!$K$4:$AJ$4,0))))=0,NA(),SUMPRODUCT((Inputs!$A$5:$A$140=$B39)*Inputs!$B$5:$B$140*(((Inputs!$G$5:$G$140="moeda")+(Inputs!$G$5:$G$140="acoes"))*Inputs!$B$1+((Inputs!$G$5:$G$140&lt;&gt;"moeda")*(Inputs!$G$5:$G$140&lt;&gt;"acoes")))*INDEX(Inputs!$K$5:$AJ$140,0,MATCH(Y$2,Inputs!$K$4:$AJ$4,0)))+SUMPRODUCT((Inputs!$C$5:$C$140=$B39)*Inputs!$D$5:$D$140*(((Inputs!$G$5:$G$140="moeda")+(Inputs!$G$5:$G$140="acoes"))*Inputs!$B$1+((Inputs!$G$5:$G$140&lt;&gt;"moeda")*(Inputs!$G$5:$G$140&lt;&gt;"acoes")))*INDEX(Inputs!$K$5:$AJ$140,0,MATCH(Y$2,Inputs!$K$4:$AJ$4,0)))+SUMPRODUCT((Inputs!$E$5:$E$140=$B39)*Inputs!$F$5:$F$140*(((Inputs!$G$5:$G$140="moeda")+(Inputs!$G$5:$G$140="acoes"))*Inputs!$B$1+((Inputs!$G$5:$G$140&lt;&gt;"moeda")*(Inputs!$G$5:$G$140&lt;&gt;"acoes")))*INDEX(Inputs!$K$5:$AJ$140,0,MATCH(Y$2,Inputs!$K$4:$AJ$4,0)))))</f>
        <v>956.747</v>
      </c>
      <c r="Z39" s="6">
        <f>IF(ISNA(MATCH(Z$2,Inputs!$K$4:$AJ$4,0)),NA(),IF(SUMPRODUCT((Inputs!$A$5:$A$140=$B39)*ISNUMBER(INDEX(Inputs!$K$5:$AJ$140,0,MATCH(Z$2,Inputs!$K$4:$AJ$4,0))))+SUMPRODUCT((Inputs!$C$5:$C$140=$B39)*ISNUMBER(INDEX(Inputs!$K$5:$AJ$140,0,MATCH(Z$2,Inputs!$K$4:$AJ$4,0))))+SUMPRODUCT((Inputs!$E$5:$E$140=$B39)*ISNUMBER(INDEX(Inputs!$K$5:$AJ$140,0,MATCH(Z$2,Inputs!$K$4:$AJ$4,0))))=0,NA(),SUMPRODUCT((Inputs!$A$5:$A$140=$B39)*Inputs!$B$5:$B$140*(((Inputs!$G$5:$G$140="moeda")+(Inputs!$G$5:$G$140="acoes"))*Inputs!$B$1+((Inputs!$G$5:$G$140&lt;&gt;"moeda")*(Inputs!$G$5:$G$140&lt;&gt;"acoes")))*INDEX(Inputs!$K$5:$AJ$140,0,MATCH(Z$2,Inputs!$K$4:$AJ$4,0)))+SUMPRODUCT((Inputs!$C$5:$C$140=$B39)*Inputs!$D$5:$D$140*(((Inputs!$G$5:$G$140="moeda")+(Inputs!$G$5:$G$140="acoes"))*Inputs!$B$1+((Inputs!$G$5:$G$140&lt;&gt;"moeda")*(Inputs!$G$5:$G$140&lt;&gt;"acoes")))*INDEX(Inputs!$K$5:$AJ$140,0,MATCH(Z$2,Inputs!$K$4:$AJ$4,0)))+SUMPRODUCT((Inputs!$E$5:$E$140=$B39)*Inputs!$F$5:$F$140*(((Inputs!$G$5:$G$140="moeda")+(Inputs!$G$5:$G$140="acoes"))*Inputs!$B$1+((Inputs!$G$5:$G$140&lt;&gt;"moeda")*(Inputs!$G$5:$G$140&lt;&gt;"acoes")))*INDEX(Inputs!$K$5:$AJ$140,0,MATCH(Z$2,Inputs!$K$4:$AJ$4,0)))))</f>
        <v>1039.125</v>
      </c>
      <c r="AA39" s="6">
        <f>IF(ISNA(MATCH(AA$2,Inputs!$K$4:$AJ$4,0)),NA(),IF(SUMPRODUCT((Inputs!$A$5:$A$140=$B39)*ISNUMBER(INDEX(Inputs!$K$5:$AJ$140,0,MATCH(AA$2,Inputs!$K$4:$AJ$4,0))))+SUMPRODUCT((Inputs!$C$5:$C$140=$B39)*ISNUMBER(INDEX(Inputs!$K$5:$AJ$140,0,MATCH(AA$2,Inputs!$K$4:$AJ$4,0))))+SUMPRODUCT((Inputs!$E$5:$E$140=$B39)*ISNUMBER(INDEX(Inputs!$K$5:$AJ$140,0,MATCH(AA$2,Inputs!$K$4:$AJ$4,0))))=0,NA(),SUMPRODUCT((Inputs!$A$5:$A$140=$B39)*Inputs!$B$5:$B$140*(((Inputs!$G$5:$G$140="moeda")+(Inputs!$G$5:$G$140="acoes"))*Inputs!$B$1+((Inputs!$G$5:$G$140&lt;&gt;"moeda")*(Inputs!$G$5:$G$140&lt;&gt;"acoes")))*INDEX(Inputs!$K$5:$AJ$140,0,MATCH(AA$2,Inputs!$K$4:$AJ$4,0)))+SUMPRODUCT((Inputs!$C$5:$C$140=$B39)*Inputs!$D$5:$D$140*(((Inputs!$G$5:$G$140="moeda")+(Inputs!$G$5:$G$140="acoes"))*Inputs!$B$1+((Inputs!$G$5:$G$140&lt;&gt;"moeda")*(Inputs!$G$5:$G$140&lt;&gt;"acoes")))*INDEX(Inputs!$K$5:$AJ$140,0,MATCH(AA$2,Inputs!$K$4:$AJ$4,0)))+SUMPRODUCT((Inputs!$E$5:$E$140=$B39)*Inputs!$F$5:$F$140*(((Inputs!$G$5:$G$140="moeda")+(Inputs!$G$5:$G$140="acoes"))*Inputs!$B$1+((Inputs!$G$5:$G$140&lt;&gt;"moeda")*(Inputs!$G$5:$G$140&lt;&gt;"acoes")))*INDEX(Inputs!$K$5:$AJ$140,0,MATCH(AA$2,Inputs!$K$4:$AJ$4,0)))))</f>
        <v>1002.438</v>
      </c>
      <c r="AB39" s="3">
        <f>AA39</f>
        <v>1002.438</v>
      </c>
      <c r="AC39" s="6">
        <f>IF(ISNA(MATCH(AC$2,Inputs!$K$4:$AJ$4,0)),NA(),IF(SUMPRODUCT((Inputs!$A$5:$A$140=$B39)*ISNUMBER(INDEX(Inputs!$K$5:$AJ$140,0,MATCH(AC$2,Inputs!$K$4:$AJ$4,0))))+SUMPRODUCT((Inputs!$C$5:$C$140=$B39)*ISNUMBER(INDEX(Inputs!$K$5:$AJ$140,0,MATCH(AC$2,Inputs!$K$4:$AJ$4,0))))+SUMPRODUCT((Inputs!$E$5:$E$140=$B39)*ISNUMBER(INDEX(Inputs!$K$5:$AJ$140,0,MATCH(AC$2,Inputs!$K$4:$AJ$4,0))))=0,NA(),SUMPRODUCT((Inputs!$A$5:$A$140=$B39)*Inputs!$B$5:$B$140*(((Inputs!$G$5:$G$140="moeda")+(Inputs!$G$5:$G$140="acoes"))*Inputs!$B$1+((Inputs!$G$5:$G$140&lt;&gt;"moeda")*(Inputs!$G$5:$G$140&lt;&gt;"acoes")))*INDEX(Inputs!$K$5:$AJ$140,0,MATCH(AC$2,Inputs!$K$4:$AJ$4,0)))+SUMPRODUCT((Inputs!$C$5:$C$140=$B39)*Inputs!$D$5:$D$140*(((Inputs!$G$5:$G$140="moeda")+(Inputs!$G$5:$G$140="acoes"))*Inputs!$B$1+((Inputs!$G$5:$G$140&lt;&gt;"moeda")*(Inputs!$G$5:$G$140&lt;&gt;"acoes")))*INDEX(Inputs!$K$5:$AJ$140,0,MATCH(AC$2,Inputs!$K$4:$AJ$4,0)))+SUMPRODUCT((Inputs!$E$5:$E$140=$B39)*Inputs!$F$5:$F$140*(((Inputs!$G$5:$G$140="moeda")+(Inputs!$G$5:$G$140="acoes"))*Inputs!$B$1+((Inputs!$G$5:$G$140&lt;&gt;"moeda")*(Inputs!$G$5:$G$140&lt;&gt;"acoes")))*INDEX(Inputs!$K$5:$AJ$140,0,MATCH(AC$2,Inputs!$K$4:$AJ$4,0)))))</f>
        <v>1151.572</v>
      </c>
      <c r="AD39" s="6">
        <f>IF(ISNA(MATCH(AD$2,Inputs!$K$4:$AJ$4,0)),NA(),IF(SUMPRODUCT((Inputs!$A$5:$A$140=$B39)*ISNUMBER(INDEX(Inputs!$K$5:$AJ$140,0,MATCH(AD$2,Inputs!$K$4:$AJ$4,0))))+SUMPRODUCT((Inputs!$C$5:$C$140=$B39)*ISNUMBER(INDEX(Inputs!$K$5:$AJ$140,0,MATCH(AD$2,Inputs!$K$4:$AJ$4,0))))+SUMPRODUCT((Inputs!$E$5:$E$140=$B39)*ISNUMBER(INDEX(Inputs!$K$5:$AJ$140,0,MATCH(AD$2,Inputs!$K$4:$AJ$4,0))))=0,NA(),SUMPRODUCT((Inputs!$A$5:$A$140=$B39)*Inputs!$B$5:$B$140*(((Inputs!$G$5:$G$140="moeda")+(Inputs!$G$5:$G$140="acoes"))*Inputs!$B$1+((Inputs!$G$5:$G$140&lt;&gt;"moeda")*(Inputs!$G$5:$G$140&lt;&gt;"acoes")))*INDEX(Inputs!$K$5:$AJ$140,0,MATCH(AD$2,Inputs!$K$4:$AJ$4,0)))+SUMPRODUCT((Inputs!$C$5:$C$140=$B39)*Inputs!$D$5:$D$140*(((Inputs!$G$5:$G$140="moeda")+(Inputs!$G$5:$G$140="acoes"))*Inputs!$B$1+((Inputs!$G$5:$G$140&lt;&gt;"moeda")*(Inputs!$G$5:$G$140&lt;&gt;"acoes")))*INDEX(Inputs!$K$5:$AJ$140,0,MATCH(AD$2,Inputs!$K$4:$AJ$4,0)))+SUMPRODUCT((Inputs!$E$5:$E$140=$B39)*Inputs!$F$5:$F$140*(((Inputs!$G$5:$G$140="moeda")+(Inputs!$G$5:$G$140="acoes"))*Inputs!$B$1+((Inputs!$G$5:$G$140&lt;&gt;"moeda")*(Inputs!$G$5:$G$140&lt;&gt;"acoes")))*INDEX(Inputs!$K$5:$AJ$140,0,MATCH(AD$2,Inputs!$K$4:$AJ$4,0)))))</f>
        <v>1086.601</v>
      </c>
      <c r="AE39" s="6" t="e">
        <f>IF(ISNA(MATCH(AE$2,Inputs!$K$4:$AJ$4,0)),NA(),IF(SUMPRODUCT((Inputs!$A$5:$A$140=$B39)*ISNUMBER(INDEX(Inputs!$K$5:$AJ$140,0,MATCH(AE$2,Inputs!$K$4:$AJ$4,0))))+SUMPRODUCT((Inputs!$C$5:$C$140=$B39)*ISNUMBER(INDEX(Inputs!$K$5:$AJ$140,0,MATCH(AE$2,Inputs!$K$4:$AJ$4,0))))+SUMPRODUCT((Inputs!$E$5:$E$140=$B39)*ISNUMBER(INDEX(Inputs!$K$5:$AJ$140,0,MATCH(AE$2,Inputs!$K$4:$AJ$4,0))))=0,NA(),SUMPRODUCT((Inputs!$A$5:$A$140=$B39)*Inputs!$B$5:$B$140*(((Inputs!$G$5:$G$140="moeda")+(Inputs!$G$5:$G$140="acoes"))*Inputs!$B$1+((Inputs!$G$5:$G$140&lt;&gt;"moeda")*(Inputs!$G$5:$G$140&lt;&gt;"acoes")))*INDEX(Inputs!$K$5:$AJ$140,0,MATCH(AE$2,Inputs!$K$4:$AJ$4,0)))+SUMPRODUCT((Inputs!$C$5:$C$140=$B39)*Inputs!$D$5:$D$140*(((Inputs!$G$5:$G$140="moeda")+(Inputs!$G$5:$G$140="acoes"))*Inputs!$B$1+((Inputs!$G$5:$G$140&lt;&gt;"moeda")*(Inputs!$G$5:$G$140&lt;&gt;"acoes")))*INDEX(Inputs!$K$5:$AJ$140,0,MATCH(AE$2,Inputs!$K$4:$AJ$4,0)))+SUMPRODUCT((Inputs!$E$5:$E$140=$B39)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39" s="6" t="e">
        <f>IF(ISNA(MATCH(AF$2,Inputs!$K$4:$AJ$4,0)),NA(),IF(SUMPRODUCT((Inputs!$A$5:$A$140=$B39)*ISNUMBER(INDEX(Inputs!$K$5:$AJ$140,0,MATCH(AF$2,Inputs!$K$4:$AJ$4,0))))+SUMPRODUCT((Inputs!$C$5:$C$140=$B39)*ISNUMBER(INDEX(Inputs!$K$5:$AJ$140,0,MATCH(AF$2,Inputs!$K$4:$AJ$4,0))))+SUMPRODUCT((Inputs!$E$5:$E$140=$B39)*ISNUMBER(INDEX(Inputs!$K$5:$AJ$140,0,MATCH(AF$2,Inputs!$K$4:$AJ$4,0))))=0,NA(),SUMPRODUCT((Inputs!$A$5:$A$140=$B39)*Inputs!$B$5:$B$140*(((Inputs!$G$5:$G$140="moeda")+(Inputs!$G$5:$G$140="acoes"))*Inputs!$B$1+((Inputs!$G$5:$G$140&lt;&gt;"moeda")*(Inputs!$G$5:$G$140&lt;&gt;"acoes")))*INDEX(Inputs!$K$5:$AJ$140,0,MATCH(AF$2,Inputs!$K$4:$AJ$4,0)))+SUMPRODUCT((Inputs!$C$5:$C$140=$B39)*Inputs!$D$5:$D$140*(((Inputs!$G$5:$G$140="moeda")+(Inputs!$G$5:$G$140="acoes"))*Inputs!$B$1+((Inputs!$G$5:$G$140&lt;&gt;"moeda")*(Inputs!$G$5:$G$140&lt;&gt;"acoes")))*INDEX(Inputs!$K$5:$AJ$140,0,MATCH(AF$2,Inputs!$K$4:$AJ$4,0)))+SUMPRODUCT((Inputs!$E$5:$E$140=$B39)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39" s="3" t="e">
        <f>AF39</f>
        <v>#N/A</v>
      </c>
      <c r="AH39" s="6">
        <f>IF(ISNA(MATCH(AH$2,Inputs!$K$4:$AJ$4,0)),NA(),IF(SUMPRODUCT((Inputs!$A$5:$A$140=$B39)*ISNUMBER(INDEX(Inputs!$K$5:$AJ$140,0,MATCH(AH$2,Inputs!$K$4:$AJ$4,0))))+SUMPRODUCT((Inputs!$C$5:$C$140=$B39)*ISNUMBER(INDEX(Inputs!$K$5:$AJ$140,0,MATCH(AH$2,Inputs!$K$4:$AJ$4,0))))+SUMPRODUCT((Inputs!$E$5:$E$140=$B39)*ISNUMBER(INDEX(Inputs!$K$5:$AJ$140,0,MATCH(AH$2,Inputs!$K$4:$AJ$4,0))))=0,NA(),SUMPRODUCT((Inputs!$A$5:$A$140=$B39)*Inputs!$B$5:$B$140*(((Inputs!$G$5:$G$140="moeda")+(Inputs!$G$5:$G$140="acoes"))*Inputs!$B$1+((Inputs!$G$5:$G$140&lt;&gt;"moeda")*(Inputs!$G$5:$G$140&lt;&gt;"acoes")))*INDEX(Inputs!$K$5:$AJ$140,0,MATCH(AH$2,Inputs!$K$4:$AJ$4,0)))+SUMPRODUCT((Inputs!$C$5:$C$140=$B39)*Inputs!$D$5:$D$140*(((Inputs!$G$5:$G$140="moeda")+(Inputs!$G$5:$G$140="acoes"))*Inputs!$B$1+((Inputs!$G$5:$G$140&lt;&gt;"moeda")*(Inputs!$G$5:$G$140&lt;&gt;"acoes")))*INDEX(Inputs!$K$5:$AJ$140,0,MATCH(AH$2,Inputs!$K$4:$AJ$4,0)))+SUMPRODUCT((Inputs!$E$5:$E$140=$B39)*Inputs!$F$5:$F$140*(((Inputs!$G$5:$G$140="moeda")+(Inputs!$G$5:$G$140="acoes"))*Inputs!$B$1+((Inputs!$G$5:$G$140&lt;&gt;"moeda")*(Inputs!$G$5:$G$140&lt;&gt;"acoes")))*INDEX(Inputs!$K$5:$AJ$140,0,MATCH(AH$2,Inputs!$K$4:$AJ$4,0)))))</f>
        <v>122.34</v>
      </c>
      <c r="AI39" s="6">
        <f>IF(ISNA(MATCH(AI$2,Inputs!$K$4:$AJ$4,0)),NA(),IF(SUMPRODUCT((Inputs!$A$5:$A$140=$B39)*ISNUMBER(INDEX(Inputs!$K$5:$AJ$140,0,MATCH(AI$2,Inputs!$K$4:$AJ$4,0))))+SUMPRODUCT((Inputs!$C$5:$C$140=$B39)*ISNUMBER(INDEX(Inputs!$K$5:$AJ$140,0,MATCH(AI$2,Inputs!$K$4:$AJ$4,0))))+SUMPRODUCT((Inputs!$E$5:$E$140=$B39)*ISNUMBER(INDEX(Inputs!$K$5:$AJ$140,0,MATCH(AI$2,Inputs!$K$4:$AJ$4,0))))=0,NA(),SUMPRODUCT((Inputs!$A$5:$A$140=$B39)*Inputs!$B$5:$B$140*(((Inputs!$G$5:$G$140="moeda")+(Inputs!$G$5:$G$140="acoes"))*Inputs!$B$1+((Inputs!$G$5:$G$140&lt;&gt;"moeda")*(Inputs!$G$5:$G$140&lt;&gt;"acoes")))*INDEX(Inputs!$K$5:$AJ$140,0,MATCH(AI$2,Inputs!$K$4:$AJ$4,0)))+SUMPRODUCT((Inputs!$C$5:$C$140=$B39)*Inputs!$D$5:$D$140*(((Inputs!$G$5:$G$140="moeda")+(Inputs!$G$5:$G$140="acoes"))*Inputs!$B$1+((Inputs!$G$5:$G$140&lt;&gt;"moeda")*(Inputs!$G$5:$G$140&lt;&gt;"acoes")))*INDEX(Inputs!$K$5:$AJ$140,0,MATCH(AI$2,Inputs!$K$4:$AJ$4,0)))+SUMPRODUCT((Inputs!$E$5:$E$140=$B39)*Inputs!$F$5:$F$140*(((Inputs!$G$5:$G$140="moeda")+(Inputs!$G$5:$G$140="acoes"))*Inputs!$B$1+((Inputs!$G$5:$G$140&lt;&gt;"moeda")*(Inputs!$G$5:$G$140&lt;&gt;"acoes")))*INDEX(Inputs!$K$5:$AJ$140,0,MATCH(AI$2,Inputs!$K$4:$AJ$4,0)))))</f>
        <v>136.657</v>
      </c>
      <c r="AJ39" s="6">
        <f>IF(ISNA(MATCH(AJ$2,Inputs!$K$4:$AJ$4,0)),NA(),IF(SUMPRODUCT((Inputs!$A$5:$A$140=$B39)*ISNUMBER(INDEX(Inputs!$K$5:$AJ$140,0,MATCH(AJ$2,Inputs!$K$4:$AJ$4,0))))+SUMPRODUCT((Inputs!$C$5:$C$140=$B39)*ISNUMBER(INDEX(Inputs!$K$5:$AJ$140,0,MATCH(AJ$2,Inputs!$K$4:$AJ$4,0))))+SUMPRODUCT((Inputs!$E$5:$E$140=$B39)*ISNUMBER(INDEX(Inputs!$K$5:$AJ$140,0,MATCH(AJ$2,Inputs!$K$4:$AJ$4,0))))=0,NA(),SUMPRODUCT((Inputs!$A$5:$A$140=$B39)*Inputs!$B$5:$B$140*(((Inputs!$G$5:$G$140="moeda")+(Inputs!$G$5:$G$140="acoes"))*Inputs!$B$1+((Inputs!$G$5:$G$140&lt;&gt;"moeda")*(Inputs!$G$5:$G$140&lt;&gt;"acoes")))*INDEX(Inputs!$K$5:$AJ$140,0,MATCH(AJ$2,Inputs!$K$4:$AJ$4,0)))+SUMPRODUCT((Inputs!$C$5:$C$140=$B39)*Inputs!$D$5:$D$140*(((Inputs!$G$5:$G$140="moeda")+(Inputs!$G$5:$G$140="acoes"))*Inputs!$B$1+((Inputs!$G$5:$G$140&lt;&gt;"moeda")*(Inputs!$G$5:$G$140&lt;&gt;"acoes")))*INDEX(Inputs!$K$5:$AJ$140,0,MATCH(AJ$2,Inputs!$K$4:$AJ$4,0)))+SUMPRODUCT((Inputs!$E$5:$E$140=$B39)*Inputs!$F$5:$F$140*(((Inputs!$G$5:$G$140="moeda")+(Inputs!$G$5:$G$140="acoes"))*Inputs!$B$1+((Inputs!$G$5:$G$140&lt;&gt;"moeda")*(Inputs!$G$5:$G$140&lt;&gt;"acoes")))*INDEX(Inputs!$K$5:$AJ$140,0,MATCH(AJ$2,Inputs!$K$4:$AJ$4,0)))))</f>
        <v>125.522</v>
      </c>
      <c r="AK39" s="6">
        <f>IF(ISNA(MATCH(AK$2,Inputs!$K$4:$AJ$4,0)),NA(),IF(SUMPRODUCT((Inputs!$A$5:$A$140=$B39)*ISNUMBER(INDEX(Inputs!$K$5:$AJ$140,0,MATCH(AK$2,Inputs!$K$4:$AJ$4,0))))+SUMPRODUCT((Inputs!$C$5:$C$140=$B39)*ISNUMBER(INDEX(Inputs!$K$5:$AJ$140,0,MATCH(AK$2,Inputs!$K$4:$AJ$4,0))))+SUMPRODUCT((Inputs!$E$5:$E$140=$B39)*ISNUMBER(INDEX(Inputs!$K$5:$AJ$140,0,MATCH(AK$2,Inputs!$K$4:$AJ$4,0))))=0,NA(),SUMPRODUCT((Inputs!$A$5:$A$140=$B39)*Inputs!$B$5:$B$140*(((Inputs!$G$5:$G$140="moeda")+(Inputs!$G$5:$G$140="acoes"))*Inputs!$B$1+((Inputs!$G$5:$G$140&lt;&gt;"moeda")*(Inputs!$G$5:$G$140&lt;&gt;"acoes")))*INDEX(Inputs!$K$5:$AJ$140,0,MATCH(AK$2,Inputs!$K$4:$AJ$4,0)))+SUMPRODUCT((Inputs!$C$5:$C$140=$B39)*Inputs!$D$5:$D$140*(((Inputs!$G$5:$G$140="moeda")+(Inputs!$G$5:$G$140="acoes"))*Inputs!$B$1+((Inputs!$G$5:$G$140&lt;&gt;"moeda")*(Inputs!$G$5:$G$140&lt;&gt;"acoes")))*INDEX(Inputs!$K$5:$AJ$140,0,MATCH(AK$2,Inputs!$K$4:$AJ$4,0)))+SUMPRODUCT((Inputs!$E$5:$E$140=$B39)*Inputs!$F$5:$F$140*(((Inputs!$G$5:$G$140="moeda")+(Inputs!$G$5:$G$140="acoes"))*Inputs!$B$1+((Inputs!$G$5:$G$140&lt;&gt;"moeda")*(Inputs!$G$5:$G$140&lt;&gt;"acoes")))*INDEX(Inputs!$K$5:$AJ$140,0,MATCH(AK$2,Inputs!$K$4:$AJ$4,0)))))</f>
        <v>200.747</v>
      </c>
      <c r="AL39" s="3">
        <f>AK39</f>
        <v>200.747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$140=$B41)*ISNUMBER(INDEX(Inputs!$K$5:$AJ$140,0,MATCH(D$2,Inputs!$K$4:$AJ$4,0))))+SUMPRODUCT((Inputs!$C$5:$C$140=$B41)*ISNUMBER(INDEX(Inputs!$K$5:$AJ$140,0,MATCH(D$2,Inputs!$K$4:$AJ$4,0))))+SUMPRODUCT((Inputs!$E$5:$E$140=$B41)*ISNUMBER(INDEX(Inputs!$K$5:$AJ$140,0,MATCH(D$2,Inputs!$K$4:$AJ$4,0))))=0,NA(),SUMPRODUCT((Inputs!$A$5:$A$140=$B41)*Inputs!$B$5:$B$140*(((Inputs!$G$5:$G$140="moeda")+(Inputs!$G$5:$G$140="acoes"))*Inputs!$B$1+((Inputs!$G$5:$G$140&lt;&gt;"moeda")*(Inputs!$G$5:$G$140&lt;&gt;"acoes")))*INDEX(Inputs!$K$5:$AJ$140,0,MATCH(D$2,Inputs!$K$4:$AJ$4,0)))+SUMPRODUCT((Inputs!$C$5:$C$140=$B41)*Inputs!$D$5:$D$140*(((Inputs!$G$5:$G$140="moeda")+(Inputs!$G$5:$G$140="acoes"))*Inputs!$B$1+((Inputs!$G$5:$G$140&lt;&gt;"moeda")*(Inputs!$G$5:$G$140&lt;&gt;"acoes")))*INDEX(Inputs!$K$5:$AJ$140,0,MATCH(D$2,Inputs!$K$4:$AJ$4,0)))+SUMPRODUCT((Inputs!$E$5:$E$140=$B41)*Inputs!$F$5:$F$140*(((Inputs!$G$5:$G$140="moeda")+(Inputs!$G$5:$G$140="acoes"))*Inputs!$B$1+((Inputs!$G$5:$G$140&lt;&gt;"moeda")*(Inputs!$G$5:$G$140&lt;&gt;"acoes")))*INDEX(Inputs!$K$5:$AJ$140,0,MATCH(D$2,Inputs!$K$4:$AJ$4,0)))))</f>
        <v>154.258</v>
      </c>
      <c r="E41" s="6">
        <f>IF(ISNA(MATCH(E$2,Inputs!$K$4:$AJ$4,0)),NA(),IF(SUMPRODUCT((Inputs!$A$5:$A$140=$B41)*ISNUMBER(INDEX(Inputs!$K$5:$AJ$140,0,MATCH(E$2,Inputs!$K$4:$AJ$4,0))))+SUMPRODUCT((Inputs!$C$5:$C$140=$B41)*ISNUMBER(INDEX(Inputs!$K$5:$AJ$140,0,MATCH(E$2,Inputs!$K$4:$AJ$4,0))))+SUMPRODUCT((Inputs!$E$5:$E$140=$B41)*ISNUMBER(INDEX(Inputs!$K$5:$AJ$140,0,MATCH(E$2,Inputs!$K$4:$AJ$4,0))))=0,NA(),SUMPRODUCT((Inputs!$A$5:$A$140=$B41)*Inputs!$B$5:$B$140*(((Inputs!$G$5:$G$140="moeda")+(Inputs!$G$5:$G$140="acoes"))*Inputs!$B$1+((Inputs!$G$5:$G$140&lt;&gt;"moeda")*(Inputs!$G$5:$G$140&lt;&gt;"acoes")))*INDEX(Inputs!$K$5:$AJ$140,0,MATCH(E$2,Inputs!$K$4:$AJ$4,0)))+SUMPRODUCT((Inputs!$C$5:$C$140=$B41)*Inputs!$D$5:$D$140*(((Inputs!$G$5:$G$140="moeda")+(Inputs!$G$5:$G$140="acoes"))*Inputs!$B$1+((Inputs!$G$5:$G$140&lt;&gt;"moeda")*(Inputs!$G$5:$G$140&lt;&gt;"acoes")))*INDEX(Inputs!$K$5:$AJ$140,0,MATCH(E$2,Inputs!$K$4:$AJ$4,0)))+SUMPRODUCT((Inputs!$E$5:$E$140=$B41)*Inputs!$F$5:$F$140*(((Inputs!$G$5:$G$140="moeda")+(Inputs!$G$5:$G$140="acoes"))*Inputs!$B$1+((Inputs!$G$5:$G$140&lt;&gt;"moeda")*(Inputs!$G$5:$G$140&lt;&gt;"acoes")))*INDEX(Inputs!$K$5:$AJ$140,0,MATCH(E$2,Inputs!$K$4:$AJ$4,0)))))</f>
        <v>150.132</v>
      </c>
      <c r="F41" s="6">
        <f>IF(ISNA(MATCH(F$2,Inputs!$K$4:$AJ$4,0)),NA(),IF(SUMPRODUCT((Inputs!$A$5:$A$140=$B41)*ISNUMBER(INDEX(Inputs!$K$5:$AJ$140,0,MATCH(F$2,Inputs!$K$4:$AJ$4,0))))+SUMPRODUCT((Inputs!$C$5:$C$140=$B41)*ISNUMBER(INDEX(Inputs!$K$5:$AJ$140,0,MATCH(F$2,Inputs!$K$4:$AJ$4,0))))+SUMPRODUCT((Inputs!$E$5:$E$140=$B41)*ISNUMBER(INDEX(Inputs!$K$5:$AJ$140,0,MATCH(F$2,Inputs!$K$4:$AJ$4,0))))=0,NA(),SUMPRODUCT((Inputs!$A$5:$A$140=$B41)*Inputs!$B$5:$B$140*(((Inputs!$G$5:$G$140="moeda")+(Inputs!$G$5:$G$140="acoes"))*Inputs!$B$1+((Inputs!$G$5:$G$140&lt;&gt;"moeda")*(Inputs!$G$5:$G$140&lt;&gt;"acoes")))*INDEX(Inputs!$K$5:$AJ$140,0,MATCH(F$2,Inputs!$K$4:$AJ$4,0)))+SUMPRODUCT((Inputs!$C$5:$C$140=$B41)*Inputs!$D$5:$D$140*(((Inputs!$G$5:$G$140="moeda")+(Inputs!$G$5:$G$140="acoes"))*Inputs!$B$1+((Inputs!$G$5:$G$140&lt;&gt;"moeda")*(Inputs!$G$5:$G$140&lt;&gt;"acoes")))*INDEX(Inputs!$K$5:$AJ$140,0,MATCH(F$2,Inputs!$K$4:$AJ$4,0)))+SUMPRODUCT((Inputs!$E$5:$E$140=$B41)*Inputs!$F$5:$F$140*(((Inputs!$G$5:$G$140="moeda")+(Inputs!$G$5:$G$140="acoes"))*Inputs!$B$1+((Inputs!$G$5:$G$140&lt;&gt;"moeda")*(Inputs!$G$5:$G$140&lt;&gt;"acoes")))*INDEX(Inputs!$K$5:$AJ$140,0,MATCH(F$2,Inputs!$K$4:$AJ$4,0)))))</f>
        <v>148.534</v>
      </c>
      <c r="G41" s="6">
        <f>IF(ISNA(MATCH(G$2,Inputs!$K$4:$AJ$4,0)),NA(),IF(SUMPRODUCT((Inputs!$A$5:$A$140=$B41)*ISNUMBER(INDEX(Inputs!$K$5:$AJ$140,0,MATCH(G$2,Inputs!$K$4:$AJ$4,0))))+SUMPRODUCT((Inputs!$C$5:$C$140=$B41)*ISNUMBER(INDEX(Inputs!$K$5:$AJ$140,0,MATCH(G$2,Inputs!$K$4:$AJ$4,0))))+SUMPRODUCT((Inputs!$E$5:$E$140=$B41)*ISNUMBER(INDEX(Inputs!$K$5:$AJ$140,0,MATCH(G$2,Inputs!$K$4:$AJ$4,0))))=0,NA(),SUMPRODUCT((Inputs!$A$5:$A$140=$B41)*Inputs!$B$5:$B$140*(((Inputs!$G$5:$G$140="moeda")+(Inputs!$G$5:$G$140="acoes"))*Inputs!$B$1+((Inputs!$G$5:$G$140&lt;&gt;"moeda")*(Inputs!$G$5:$G$140&lt;&gt;"acoes")))*INDEX(Inputs!$K$5:$AJ$140,0,MATCH(G$2,Inputs!$K$4:$AJ$4,0)))+SUMPRODUCT((Inputs!$C$5:$C$140=$B41)*Inputs!$D$5:$D$140*(((Inputs!$G$5:$G$140="moeda")+(Inputs!$G$5:$G$140="acoes"))*Inputs!$B$1+((Inputs!$G$5:$G$140&lt;&gt;"moeda")*(Inputs!$G$5:$G$140&lt;&gt;"acoes")))*INDEX(Inputs!$K$5:$AJ$140,0,MATCH(G$2,Inputs!$K$4:$AJ$4,0)))+SUMPRODUCT((Inputs!$E$5:$E$140=$B41)*Inputs!$F$5:$F$140*(((Inputs!$G$5:$G$140="moeda")+(Inputs!$G$5:$G$140="acoes"))*Inputs!$B$1+((Inputs!$G$5:$G$140&lt;&gt;"moeda")*(Inputs!$G$5:$G$140&lt;&gt;"acoes")))*INDEX(Inputs!$K$5:$AJ$140,0,MATCH(G$2,Inputs!$K$4:$AJ$4,0)))))</f>
        <v>147.23</v>
      </c>
      <c r="H41" s="3">
        <f>G41</f>
        <v>147.23</v>
      </c>
      <c r="I41" s="6">
        <f>IF(ISNA(MATCH(I$2,Inputs!$K$4:$AJ$4,0)),NA(),IF(SUMPRODUCT((Inputs!$A$5:$A$140=$B41)*ISNUMBER(INDEX(Inputs!$K$5:$AJ$140,0,MATCH(I$2,Inputs!$K$4:$AJ$4,0))))+SUMPRODUCT((Inputs!$C$5:$C$140=$B41)*ISNUMBER(INDEX(Inputs!$K$5:$AJ$140,0,MATCH(I$2,Inputs!$K$4:$AJ$4,0))))+SUMPRODUCT((Inputs!$E$5:$E$140=$B41)*ISNUMBER(INDEX(Inputs!$K$5:$AJ$140,0,MATCH(I$2,Inputs!$K$4:$AJ$4,0))))=0,NA(),SUMPRODUCT((Inputs!$A$5:$A$140=$B41)*Inputs!$B$5:$B$140*(((Inputs!$G$5:$G$140="moeda")+(Inputs!$G$5:$G$140="acoes"))*Inputs!$B$1+((Inputs!$G$5:$G$140&lt;&gt;"moeda")*(Inputs!$G$5:$G$140&lt;&gt;"acoes")))*INDEX(Inputs!$K$5:$AJ$140,0,MATCH(I$2,Inputs!$K$4:$AJ$4,0)))+SUMPRODUCT((Inputs!$C$5:$C$140=$B41)*Inputs!$D$5:$D$140*(((Inputs!$G$5:$G$140="moeda")+(Inputs!$G$5:$G$140="acoes"))*Inputs!$B$1+((Inputs!$G$5:$G$140&lt;&gt;"moeda")*(Inputs!$G$5:$G$140&lt;&gt;"acoes")))*INDEX(Inputs!$K$5:$AJ$140,0,MATCH(I$2,Inputs!$K$4:$AJ$4,0)))+SUMPRODUCT((Inputs!$E$5:$E$140=$B41)*Inputs!$F$5:$F$140*(((Inputs!$G$5:$G$140="moeda")+(Inputs!$G$5:$G$140="acoes"))*Inputs!$B$1+((Inputs!$G$5:$G$140&lt;&gt;"moeda")*(Inputs!$G$5:$G$140&lt;&gt;"acoes")))*INDEX(Inputs!$K$5:$AJ$140,0,MATCH(I$2,Inputs!$K$4:$AJ$4,0)))))</f>
        <v>144.035</v>
      </c>
      <c r="J41" s="6">
        <f>IF(ISNA(MATCH(J$2,Inputs!$K$4:$AJ$4,0)),NA(),IF(SUMPRODUCT((Inputs!$A$5:$A$140=$B41)*ISNUMBER(INDEX(Inputs!$K$5:$AJ$140,0,MATCH(J$2,Inputs!$K$4:$AJ$4,0))))+SUMPRODUCT((Inputs!$C$5:$C$140=$B41)*ISNUMBER(INDEX(Inputs!$K$5:$AJ$140,0,MATCH(J$2,Inputs!$K$4:$AJ$4,0))))+SUMPRODUCT((Inputs!$E$5:$E$140=$B41)*ISNUMBER(INDEX(Inputs!$K$5:$AJ$140,0,MATCH(J$2,Inputs!$K$4:$AJ$4,0))))=0,NA(),SUMPRODUCT((Inputs!$A$5:$A$140=$B41)*Inputs!$B$5:$B$140*(((Inputs!$G$5:$G$140="moeda")+(Inputs!$G$5:$G$140="acoes"))*Inputs!$B$1+((Inputs!$G$5:$G$140&lt;&gt;"moeda")*(Inputs!$G$5:$G$140&lt;&gt;"acoes")))*INDEX(Inputs!$K$5:$AJ$140,0,MATCH(J$2,Inputs!$K$4:$AJ$4,0)))+SUMPRODUCT((Inputs!$C$5:$C$140=$B41)*Inputs!$D$5:$D$140*(((Inputs!$G$5:$G$140="moeda")+(Inputs!$G$5:$G$140="acoes"))*Inputs!$B$1+((Inputs!$G$5:$G$140&lt;&gt;"moeda")*(Inputs!$G$5:$G$140&lt;&gt;"acoes")))*INDEX(Inputs!$K$5:$AJ$140,0,MATCH(J$2,Inputs!$K$4:$AJ$4,0)))+SUMPRODUCT((Inputs!$E$5:$E$140=$B41)*Inputs!$F$5:$F$140*(((Inputs!$G$5:$G$140="moeda")+(Inputs!$G$5:$G$140="acoes"))*Inputs!$B$1+((Inputs!$G$5:$G$140&lt;&gt;"moeda")*(Inputs!$G$5:$G$140&lt;&gt;"acoes")))*INDEX(Inputs!$K$5:$AJ$140,0,MATCH(J$2,Inputs!$K$4:$AJ$4,0)))))</f>
        <v>147.818</v>
      </c>
      <c r="K41" s="6">
        <f>IF(ISNA(MATCH(K$2,Inputs!$K$4:$AJ$4,0)),NA(),IF(SUMPRODUCT((Inputs!$A$5:$A$140=$B41)*ISNUMBER(INDEX(Inputs!$K$5:$AJ$140,0,MATCH(K$2,Inputs!$K$4:$AJ$4,0))))+SUMPRODUCT((Inputs!$C$5:$C$140=$B41)*ISNUMBER(INDEX(Inputs!$K$5:$AJ$140,0,MATCH(K$2,Inputs!$K$4:$AJ$4,0))))+SUMPRODUCT((Inputs!$E$5:$E$140=$B41)*ISNUMBER(INDEX(Inputs!$K$5:$AJ$140,0,MATCH(K$2,Inputs!$K$4:$AJ$4,0))))=0,NA(),SUMPRODUCT((Inputs!$A$5:$A$140=$B41)*Inputs!$B$5:$B$140*(((Inputs!$G$5:$G$140="moeda")+(Inputs!$G$5:$G$140="acoes"))*Inputs!$B$1+((Inputs!$G$5:$G$140&lt;&gt;"moeda")*(Inputs!$G$5:$G$140&lt;&gt;"acoes")))*INDEX(Inputs!$K$5:$AJ$140,0,MATCH(K$2,Inputs!$K$4:$AJ$4,0)))+SUMPRODUCT((Inputs!$C$5:$C$140=$B41)*Inputs!$D$5:$D$140*(((Inputs!$G$5:$G$140="moeda")+(Inputs!$G$5:$G$140="acoes"))*Inputs!$B$1+((Inputs!$G$5:$G$140&lt;&gt;"moeda")*(Inputs!$G$5:$G$140&lt;&gt;"acoes")))*INDEX(Inputs!$K$5:$AJ$140,0,MATCH(K$2,Inputs!$K$4:$AJ$4,0)))+SUMPRODUCT((Inputs!$E$5:$E$140=$B41)*Inputs!$F$5:$F$140*(((Inputs!$G$5:$G$140="moeda")+(Inputs!$G$5:$G$140="acoes"))*Inputs!$B$1+((Inputs!$G$5:$G$140&lt;&gt;"moeda")*(Inputs!$G$5:$G$140&lt;&gt;"acoes")))*INDEX(Inputs!$K$5:$AJ$140,0,MATCH(K$2,Inputs!$K$4:$AJ$4,0)))))</f>
        <v>134.033</v>
      </c>
      <c r="L41" s="6">
        <f>IF(ISNA(MATCH(L$2,Inputs!$K$4:$AJ$4,0)),NA(),IF(SUMPRODUCT((Inputs!$A$5:$A$140=$B41)*ISNUMBER(INDEX(Inputs!$K$5:$AJ$140,0,MATCH(L$2,Inputs!$K$4:$AJ$4,0))))+SUMPRODUCT((Inputs!$C$5:$C$140=$B41)*ISNUMBER(INDEX(Inputs!$K$5:$AJ$140,0,MATCH(L$2,Inputs!$K$4:$AJ$4,0))))+SUMPRODUCT((Inputs!$E$5:$E$140=$B41)*ISNUMBER(INDEX(Inputs!$K$5:$AJ$140,0,MATCH(L$2,Inputs!$K$4:$AJ$4,0))))=0,NA(),SUMPRODUCT((Inputs!$A$5:$A$140=$B41)*Inputs!$B$5:$B$140*(((Inputs!$G$5:$G$140="moeda")+(Inputs!$G$5:$G$140="acoes"))*Inputs!$B$1+((Inputs!$G$5:$G$140&lt;&gt;"moeda")*(Inputs!$G$5:$G$140&lt;&gt;"acoes")))*INDEX(Inputs!$K$5:$AJ$140,0,MATCH(L$2,Inputs!$K$4:$AJ$4,0)))+SUMPRODUCT((Inputs!$C$5:$C$140=$B41)*Inputs!$D$5:$D$140*(((Inputs!$G$5:$G$140="moeda")+(Inputs!$G$5:$G$140="acoes"))*Inputs!$B$1+((Inputs!$G$5:$G$140&lt;&gt;"moeda")*(Inputs!$G$5:$G$140&lt;&gt;"acoes")))*INDEX(Inputs!$K$5:$AJ$140,0,MATCH(L$2,Inputs!$K$4:$AJ$4,0)))+SUMPRODUCT((Inputs!$E$5:$E$140=$B41)*Inputs!$F$5:$F$140*(((Inputs!$G$5:$G$140="moeda")+(Inputs!$G$5:$G$140="acoes"))*Inputs!$B$1+((Inputs!$G$5:$G$140&lt;&gt;"moeda")*(Inputs!$G$5:$G$140&lt;&gt;"acoes")))*INDEX(Inputs!$K$5:$AJ$140,0,MATCH(L$2,Inputs!$K$4:$AJ$4,0)))))</f>
        <v>126.011</v>
      </c>
      <c r="M41" s="3">
        <f>L41</f>
        <v>126.011</v>
      </c>
      <c r="N41" s="6">
        <f>IF(ISNA(MATCH(N$2,Inputs!$K$4:$AJ$4,0)),NA(),IF(SUMPRODUCT((Inputs!$A$5:$A$140=$B41)*ISNUMBER(INDEX(Inputs!$K$5:$AJ$140,0,MATCH(N$2,Inputs!$K$4:$AJ$4,0))))+SUMPRODUCT((Inputs!$C$5:$C$140=$B41)*ISNUMBER(INDEX(Inputs!$K$5:$AJ$140,0,MATCH(N$2,Inputs!$K$4:$AJ$4,0))))+SUMPRODUCT((Inputs!$E$5:$E$140=$B41)*ISNUMBER(INDEX(Inputs!$K$5:$AJ$140,0,MATCH(N$2,Inputs!$K$4:$AJ$4,0))))=0,NA(),SUMPRODUCT((Inputs!$A$5:$A$140=$B41)*Inputs!$B$5:$B$140*(((Inputs!$G$5:$G$140="moeda")+(Inputs!$G$5:$G$140="acoes"))*Inputs!$B$1+((Inputs!$G$5:$G$140&lt;&gt;"moeda")*(Inputs!$G$5:$G$140&lt;&gt;"acoes")))*INDEX(Inputs!$K$5:$AJ$140,0,MATCH(N$2,Inputs!$K$4:$AJ$4,0)))+SUMPRODUCT((Inputs!$C$5:$C$140=$B41)*Inputs!$D$5:$D$140*(((Inputs!$G$5:$G$140="moeda")+(Inputs!$G$5:$G$140="acoes"))*Inputs!$B$1+((Inputs!$G$5:$G$140&lt;&gt;"moeda")*(Inputs!$G$5:$G$140&lt;&gt;"acoes")))*INDEX(Inputs!$K$5:$AJ$140,0,MATCH(N$2,Inputs!$K$4:$AJ$4,0)))+SUMPRODUCT((Inputs!$E$5:$E$140=$B41)*Inputs!$F$5:$F$140*(((Inputs!$G$5:$G$140="moeda")+(Inputs!$G$5:$G$140="acoes"))*Inputs!$B$1+((Inputs!$G$5:$G$140&lt;&gt;"moeda")*(Inputs!$G$5:$G$140&lt;&gt;"acoes")))*INDEX(Inputs!$K$5:$AJ$140,0,MATCH(N$2,Inputs!$K$4:$AJ$4,0)))))</f>
        <v>126.067</v>
      </c>
      <c r="O41" s="6">
        <f>IF(ISNA(MATCH(O$2,Inputs!$K$4:$AJ$4,0)),NA(),IF(SUMPRODUCT((Inputs!$A$5:$A$140=$B41)*ISNUMBER(INDEX(Inputs!$K$5:$AJ$140,0,MATCH(O$2,Inputs!$K$4:$AJ$4,0))))+SUMPRODUCT((Inputs!$C$5:$C$140=$B41)*ISNUMBER(INDEX(Inputs!$K$5:$AJ$140,0,MATCH(O$2,Inputs!$K$4:$AJ$4,0))))+SUMPRODUCT((Inputs!$E$5:$E$140=$B41)*ISNUMBER(INDEX(Inputs!$K$5:$AJ$140,0,MATCH(O$2,Inputs!$K$4:$AJ$4,0))))=0,NA(),SUMPRODUCT((Inputs!$A$5:$A$140=$B41)*Inputs!$B$5:$B$140*(((Inputs!$G$5:$G$140="moeda")+(Inputs!$G$5:$G$140="acoes"))*Inputs!$B$1+((Inputs!$G$5:$G$140&lt;&gt;"moeda")*(Inputs!$G$5:$G$140&lt;&gt;"acoes")))*INDEX(Inputs!$K$5:$AJ$140,0,MATCH(O$2,Inputs!$K$4:$AJ$4,0)))+SUMPRODUCT((Inputs!$C$5:$C$140=$B41)*Inputs!$D$5:$D$140*(((Inputs!$G$5:$G$140="moeda")+(Inputs!$G$5:$G$140="acoes"))*Inputs!$B$1+((Inputs!$G$5:$G$140&lt;&gt;"moeda")*(Inputs!$G$5:$G$140&lt;&gt;"acoes")))*INDEX(Inputs!$K$5:$AJ$140,0,MATCH(O$2,Inputs!$K$4:$AJ$4,0)))+SUMPRODUCT((Inputs!$E$5:$E$140=$B41)*Inputs!$F$5:$F$140*(((Inputs!$G$5:$G$140="moeda")+(Inputs!$G$5:$G$140="acoes"))*Inputs!$B$1+((Inputs!$G$5:$G$140&lt;&gt;"moeda")*(Inputs!$G$5:$G$140&lt;&gt;"acoes")))*INDEX(Inputs!$K$5:$AJ$140,0,MATCH(O$2,Inputs!$K$4:$AJ$4,0)))))</f>
        <v>137.528</v>
      </c>
      <c r="P41" s="6">
        <f>IF(ISNA(MATCH(P$2,Inputs!$K$4:$AJ$4,0)),NA(),IF(SUMPRODUCT((Inputs!$A$5:$A$140=$B41)*ISNUMBER(INDEX(Inputs!$K$5:$AJ$140,0,MATCH(P$2,Inputs!$K$4:$AJ$4,0))))+SUMPRODUCT((Inputs!$C$5:$C$140=$B41)*ISNUMBER(INDEX(Inputs!$K$5:$AJ$140,0,MATCH(P$2,Inputs!$K$4:$AJ$4,0))))+SUMPRODUCT((Inputs!$E$5:$E$140=$B41)*ISNUMBER(INDEX(Inputs!$K$5:$AJ$140,0,MATCH(P$2,Inputs!$K$4:$AJ$4,0))))=0,NA(),SUMPRODUCT((Inputs!$A$5:$A$140=$B41)*Inputs!$B$5:$B$140*(((Inputs!$G$5:$G$140="moeda")+(Inputs!$G$5:$G$140="acoes"))*Inputs!$B$1+((Inputs!$G$5:$G$140&lt;&gt;"moeda")*(Inputs!$G$5:$G$140&lt;&gt;"acoes")))*INDEX(Inputs!$K$5:$AJ$140,0,MATCH(P$2,Inputs!$K$4:$AJ$4,0)))+SUMPRODUCT((Inputs!$C$5:$C$140=$B41)*Inputs!$D$5:$D$140*(((Inputs!$G$5:$G$140="moeda")+(Inputs!$G$5:$G$140="acoes"))*Inputs!$B$1+((Inputs!$G$5:$G$140&lt;&gt;"moeda")*(Inputs!$G$5:$G$140&lt;&gt;"acoes")))*INDEX(Inputs!$K$5:$AJ$140,0,MATCH(P$2,Inputs!$K$4:$AJ$4,0)))+SUMPRODUCT((Inputs!$E$5:$E$140=$B41)*Inputs!$F$5:$F$140*(((Inputs!$G$5:$G$140="moeda")+(Inputs!$G$5:$G$140="acoes"))*Inputs!$B$1+((Inputs!$G$5:$G$140&lt;&gt;"moeda")*(Inputs!$G$5:$G$140&lt;&gt;"acoes")))*INDEX(Inputs!$K$5:$AJ$140,0,MATCH(P$2,Inputs!$K$4:$AJ$4,0)))))</f>
        <v>132.985</v>
      </c>
      <c r="Q41" s="6">
        <f>IF(ISNA(MATCH(Q$2,Inputs!$K$4:$AJ$4,0)),NA(),IF(SUMPRODUCT((Inputs!$A$5:$A$140=$B41)*ISNUMBER(INDEX(Inputs!$K$5:$AJ$140,0,MATCH(Q$2,Inputs!$K$4:$AJ$4,0))))+SUMPRODUCT((Inputs!$C$5:$C$140=$B41)*ISNUMBER(INDEX(Inputs!$K$5:$AJ$140,0,MATCH(Q$2,Inputs!$K$4:$AJ$4,0))))+SUMPRODUCT((Inputs!$E$5:$E$140=$B41)*ISNUMBER(INDEX(Inputs!$K$5:$AJ$140,0,MATCH(Q$2,Inputs!$K$4:$AJ$4,0))))=0,NA(),SUMPRODUCT((Inputs!$A$5:$A$140=$B41)*Inputs!$B$5:$B$140*(((Inputs!$G$5:$G$140="moeda")+(Inputs!$G$5:$G$140="acoes"))*Inputs!$B$1+((Inputs!$G$5:$G$140&lt;&gt;"moeda")*(Inputs!$G$5:$G$140&lt;&gt;"acoes")))*INDEX(Inputs!$K$5:$AJ$140,0,MATCH(Q$2,Inputs!$K$4:$AJ$4,0)))+SUMPRODUCT((Inputs!$C$5:$C$140=$B41)*Inputs!$D$5:$D$140*(((Inputs!$G$5:$G$140="moeda")+(Inputs!$G$5:$G$140="acoes"))*Inputs!$B$1+((Inputs!$G$5:$G$140&lt;&gt;"moeda")*(Inputs!$G$5:$G$140&lt;&gt;"acoes")))*INDEX(Inputs!$K$5:$AJ$140,0,MATCH(Q$2,Inputs!$K$4:$AJ$4,0)))+SUMPRODUCT((Inputs!$E$5:$E$140=$B41)*Inputs!$F$5:$F$140*(((Inputs!$G$5:$G$140="moeda")+(Inputs!$G$5:$G$140="acoes"))*Inputs!$B$1+((Inputs!$G$5:$G$140&lt;&gt;"moeda")*(Inputs!$G$5:$G$140&lt;&gt;"acoes")))*INDEX(Inputs!$K$5:$AJ$140,0,MATCH(Q$2,Inputs!$K$4:$AJ$4,0)))))</f>
        <v>132.015</v>
      </c>
      <c r="R41" s="3">
        <f>Q41</f>
        <v>132.015</v>
      </c>
      <c r="S41" s="6">
        <f>IF(ISNA(MATCH(S$2,Inputs!$K$4:$AJ$4,0)),NA(),IF(SUMPRODUCT((Inputs!$A$5:$A$140=$B41)*ISNUMBER(INDEX(Inputs!$K$5:$AJ$140,0,MATCH(S$2,Inputs!$K$4:$AJ$4,0))))+SUMPRODUCT((Inputs!$C$5:$C$140=$B41)*ISNUMBER(INDEX(Inputs!$K$5:$AJ$140,0,MATCH(S$2,Inputs!$K$4:$AJ$4,0))))+SUMPRODUCT((Inputs!$E$5:$E$140=$B41)*ISNUMBER(INDEX(Inputs!$K$5:$AJ$140,0,MATCH(S$2,Inputs!$K$4:$AJ$4,0))))=0,NA(),SUMPRODUCT((Inputs!$A$5:$A$140=$B41)*Inputs!$B$5:$B$140*(((Inputs!$G$5:$G$140="moeda")+(Inputs!$G$5:$G$140="acoes"))*Inputs!$B$1+((Inputs!$G$5:$G$140&lt;&gt;"moeda")*(Inputs!$G$5:$G$140&lt;&gt;"acoes")))*INDEX(Inputs!$K$5:$AJ$140,0,MATCH(S$2,Inputs!$K$4:$AJ$4,0)))+SUMPRODUCT((Inputs!$C$5:$C$140=$B41)*Inputs!$D$5:$D$140*(((Inputs!$G$5:$G$140="moeda")+(Inputs!$G$5:$G$140="acoes"))*Inputs!$B$1+((Inputs!$G$5:$G$140&lt;&gt;"moeda")*(Inputs!$G$5:$G$140&lt;&gt;"acoes")))*INDEX(Inputs!$K$5:$AJ$140,0,MATCH(S$2,Inputs!$K$4:$AJ$4,0)))+SUMPRODUCT((Inputs!$E$5:$E$140=$B41)*Inputs!$F$5:$F$140*(((Inputs!$G$5:$G$140="moeda")+(Inputs!$G$5:$G$140="acoes"))*Inputs!$B$1+((Inputs!$G$5:$G$140&lt;&gt;"moeda")*(Inputs!$G$5:$G$140&lt;&gt;"acoes")))*INDEX(Inputs!$K$5:$AJ$140,0,MATCH(S$2,Inputs!$K$4:$AJ$4,0)))))</f>
        <v>152.236</v>
      </c>
      <c r="T41" s="6">
        <f>IF(ISNA(MATCH(T$2,Inputs!$K$4:$AJ$4,0)),NA(),IF(SUMPRODUCT((Inputs!$A$5:$A$140=$B41)*ISNUMBER(INDEX(Inputs!$K$5:$AJ$140,0,MATCH(T$2,Inputs!$K$4:$AJ$4,0))))+SUMPRODUCT((Inputs!$C$5:$C$140=$B41)*ISNUMBER(INDEX(Inputs!$K$5:$AJ$140,0,MATCH(T$2,Inputs!$K$4:$AJ$4,0))))+SUMPRODUCT((Inputs!$E$5:$E$140=$B41)*ISNUMBER(INDEX(Inputs!$K$5:$AJ$140,0,MATCH(T$2,Inputs!$K$4:$AJ$4,0))))=0,NA(),SUMPRODUCT((Inputs!$A$5:$A$140=$B41)*Inputs!$B$5:$B$140*(((Inputs!$G$5:$G$140="moeda")+(Inputs!$G$5:$G$140="acoes"))*Inputs!$B$1+((Inputs!$G$5:$G$140&lt;&gt;"moeda")*(Inputs!$G$5:$G$140&lt;&gt;"acoes")))*INDEX(Inputs!$K$5:$AJ$140,0,MATCH(T$2,Inputs!$K$4:$AJ$4,0)))+SUMPRODUCT((Inputs!$C$5:$C$140=$B41)*Inputs!$D$5:$D$140*(((Inputs!$G$5:$G$140="moeda")+(Inputs!$G$5:$G$140="acoes"))*Inputs!$B$1+((Inputs!$G$5:$G$140&lt;&gt;"moeda")*(Inputs!$G$5:$G$140&lt;&gt;"acoes")))*INDEX(Inputs!$K$5:$AJ$140,0,MATCH(T$2,Inputs!$K$4:$AJ$4,0)))+SUMPRODUCT((Inputs!$E$5:$E$140=$B41)*Inputs!$F$5:$F$140*(((Inputs!$G$5:$G$140="moeda")+(Inputs!$G$5:$G$140="acoes"))*Inputs!$B$1+((Inputs!$G$5:$G$140&lt;&gt;"moeda")*(Inputs!$G$5:$G$140&lt;&gt;"acoes")))*INDEX(Inputs!$K$5:$AJ$140,0,MATCH(T$2,Inputs!$K$4:$AJ$4,0)))))</f>
        <v>139.517</v>
      </c>
      <c r="U41" s="6">
        <f>IF(ISNA(MATCH(U$2,Inputs!$K$4:$AJ$4,0)),NA(),IF(SUMPRODUCT((Inputs!$A$5:$A$140=$B41)*ISNUMBER(INDEX(Inputs!$K$5:$AJ$140,0,MATCH(U$2,Inputs!$K$4:$AJ$4,0))))+SUMPRODUCT((Inputs!$C$5:$C$140=$B41)*ISNUMBER(INDEX(Inputs!$K$5:$AJ$140,0,MATCH(U$2,Inputs!$K$4:$AJ$4,0))))+SUMPRODUCT((Inputs!$E$5:$E$140=$B41)*ISNUMBER(INDEX(Inputs!$K$5:$AJ$140,0,MATCH(U$2,Inputs!$K$4:$AJ$4,0))))=0,NA(),SUMPRODUCT((Inputs!$A$5:$A$140=$B41)*Inputs!$B$5:$B$140*(((Inputs!$G$5:$G$140="moeda")+(Inputs!$G$5:$G$140="acoes"))*Inputs!$B$1+((Inputs!$G$5:$G$140&lt;&gt;"moeda")*(Inputs!$G$5:$G$140&lt;&gt;"acoes")))*INDEX(Inputs!$K$5:$AJ$140,0,MATCH(U$2,Inputs!$K$4:$AJ$4,0)))+SUMPRODUCT((Inputs!$C$5:$C$140=$B41)*Inputs!$D$5:$D$140*(((Inputs!$G$5:$G$140="moeda")+(Inputs!$G$5:$G$140="acoes"))*Inputs!$B$1+((Inputs!$G$5:$G$140&lt;&gt;"moeda")*(Inputs!$G$5:$G$140&lt;&gt;"acoes")))*INDEX(Inputs!$K$5:$AJ$140,0,MATCH(U$2,Inputs!$K$4:$AJ$4,0)))+SUMPRODUCT((Inputs!$E$5:$E$140=$B41)*Inputs!$F$5:$F$140*(((Inputs!$G$5:$G$140="moeda")+(Inputs!$G$5:$G$140="acoes"))*Inputs!$B$1+((Inputs!$G$5:$G$140&lt;&gt;"moeda")*(Inputs!$G$5:$G$140&lt;&gt;"acoes")))*INDEX(Inputs!$K$5:$AJ$140,0,MATCH(U$2,Inputs!$K$4:$AJ$4,0)))))</f>
        <v>149.296</v>
      </c>
      <c r="V41" s="6">
        <f>IF(ISNA(MATCH(V$2,Inputs!$K$4:$AJ$4,0)),NA(),IF(SUMPRODUCT((Inputs!$A$5:$A$140=$B41)*ISNUMBER(INDEX(Inputs!$K$5:$AJ$140,0,MATCH(V$2,Inputs!$K$4:$AJ$4,0))))+SUMPRODUCT((Inputs!$C$5:$C$140=$B41)*ISNUMBER(INDEX(Inputs!$K$5:$AJ$140,0,MATCH(V$2,Inputs!$K$4:$AJ$4,0))))+SUMPRODUCT((Inputs!$E$5:$E$140=$B41)*ISNUMBER(INDEX(Inputs!$K$5:$AJ$140,0,MATCH(V$2,Inputs!$K$4:$AJ$4,0))))=0,NA(),SUMPRODUCT((Inputs!$A$5:$A$140=$B41)*Inputs!$B$5:$B$140*(((Inputs!$G$5:$G$140="moeda")+(Inputs!$G$5:$G$140="acoes"))*Inputs!$B$1+((Inputs!$G$5:$G$140&lt;&gt;"moeda")*(Inputs!$G$5:$G$140&lt;&gt;"acoes")))*INDEX(Inputs!$K$5:$AJ$140,0,MATCH(V$2,Inputs!$K$4:$AJ$4,0)))+SUMPRODUCT((Inputs!$C$5:$C$140=$B41)*Inputs!$D$5:$D$140*(((Inputs!$G$5:$G$140="moeda")+(Inputs!$G$5:$G$140="acoes"))*Inputs!$B$1+((Inputs!$G$5:$G$140&lt;&gt;"moeda")*(Inputs!$G$5:$G$140&lt;&gt;"acoes")))*INDEX(Inputs!$K$5:$AJ$140,0,MATCH(V$2,Inputs!$K$4:$AJ$4,0)))+SUMPRODUCT((Inputs!$E$5:$E$140=$B41)*Inputs!$F$5:$F$140*(((Inputs!$G$5:$G$140="moeda")+(Inputs!$G$5:$G$140="acoes"))*Inputs!$B$1+((Inputs!$G$5:$G$140&lt;&gt;"moeda")*(Inputs!$G$5:$G$140&lt;&gt;"acoes")))*INDEX(Inputs!$K$5:$AJ$140,0,MATCH(V$2,Inputs!$K$4:$AJ$4,0)))))</f>
        <v>214.069</v>
      </c>
      <c r="W41" s="3">
        <f>V41</f>
        <v>214.069</v>
      </c>
      <c r="X41" s="6">
        <f>IF(ISNA(MATCH(X$2,Inputs!$K$4:$AJ$4,0)),NA(),IF(SUMPRODUCT((Inputs!$A$5:$A$140=$B41)*ISNUMBER(INDEX(Inputs!$K$5:$AJ$140,0,MATCH(X$2,Inputs!$K$4:$AJ$4,0))))+SUMPRODUCT((Inputs!$C$5:$C$140=$B41)*ISNUMBER(INDEX(Inputs!$K$5:$AJ$140,0,MATCH(X$2,Inputs!$K$4:$AJ$4,0))))+SUMPRODUCT((Inputs!$E$5:$E$140=$B41)*ISNUMBER(INDEX(Inputs!$K$5:$AJ$140,0,MATCH(X$2,Inputs!$K$4:$AJ$4,0))))=0,NA(),SUMPRODUCT((Inputs!$A$5:$A$140=$B41)*Inputs!$B$5:$B$140*(((Inputs!$G$5:$G$140="moeda")+(Inputs!$G$5:$G$140="acoes"))*Inputs!$B$1+((Inputs!$G$5:$G$140&lt;&gt;"moeda")*(Inputs!$G$5:$G$140&lt;&gt;"acoes")))*INDEX(Inputs!$K$5:$AJ$140,0,MATCH(X$2,Inputs!$K$4:$AJ$4,0)))+SUMPRODUCT((Inputs!$C$5:$C$140=$B41)*Inputs!$D$5:$D$140*(((Inputs!$G$5:$G$140="moeda")+(Inputs!$G$5:$G$140="acoes"))*Inputs!$B$1+((Inputs!$G$5:$G$140&lt;&gt;"moeda")*(Inputs!$G$5:$G$140&lt;&gt;"acoes")))*INDEX(Inputs!$K$5:$AJ$140,0,MATCH(X$2,Inputs!$K$4:$AJ$4,0)))+SUMPRODUCT((Inputs!$E$5:$E$140=$B41)*Inputs!$F$5:$F$140*(((Inputs!$G$5:$G$140="moeda")+(Inputs!$G$5:$G$140="acoes"))*Inputs!$B$1+((Inputs!$G$5:$G$140&lt;&gt;"moeda")*(Inputs!$G$5:$G$140&lt;&gt;"acoes")))*INDEX(Inputs!$K$5:$AJ$140,0,MATCH(X$2,Inputs!$K$4:$AJ$4,0)))))</f>
        <v>227.539</v>
      </c>
      <c r="Y41" s="6">
        <f>IF(ISNA(MATCH(Y$2,Inputs!$K$4:$AJ$4,0)),NA(),IF(SUMPRODUCT((Inputs!$A$5:$A$140=$B41)*ISNUMBER(INDEX(Inputs!$K$5:$AJ$140,0,MATCH(Y$2,Inputs!$K$4:$AJ$4,0))))+SUMPRODUCT((Inputs!$C$5:$C$140=$B41)*ISNUMBER(INDEX(Inputs!$K$5:$AJ$140,0,MATCH(Y$2,Inputs!$K$4:$AJ$4,0))))+SUMPRODUCT((Inputs!$E$5:$E$140=$B41)*ISNUMBER(INDEX(Inputs!$K$5:$AJ$140,0,MATCH(Y$2,Inputs!$K$4:$AJ$4,0))))=0,NA(),SUMPRODUCT((Inputs!$A$5:$A$140=$B41)*Inputs!$B$5:$B$140*(((Inputs!$G$5:$G$140="moeda")+(Inputs!$G$5:$G$140="acoes"))*Inputs!$B$1+((Inputs!$G$5:$G$140&lt;&gt;"moeda")*(Inputs!$G$5:$G$140&lt;&gt;"acoes")))*INDEX(Inputs!$K$5:$AJ$140,0,MATCH(Y$2,Inputs!$K$4:$AJ$4,0)))+SUMPRODUCT((Inputs!$C$5:$C$140=$B41)*Inputs!$D$5:$D$140*(((Inputs!$G$5:$G$140="moeda")+(Inputs!$G$5:$G$140="acoes"))*Inputs!$B$1+((Inputs!$G$5:$G$140&lt;&gt;"moeda")*(Inputs!$G$5:$G$140&lt;&gt;"acoes")))*INDEX(Inputs!$K$5:$AJ$140,0,MATCH(Y$2,Inputs!$K$4:$AJ$4,0)))+SUMPRODUCT((Inputs!$E$5:$E$140=$B41)*Inputs!$F$5:$F$140*(((Inputs!$G$5:$G$140="moeda")+(Inputs!$G$5:$G$140="acoes"))*Inputs!$B$1+((Inputs!$G$5:$G$140&lt;&gt;"moeda")*(Inputs!$G$5:$G$140&lt;&gt;"acoes")))*INDEX(Inputs!$K$5:$AJ$140,0,MATCH(Y$2,Inputs!$K$4:$AJ$4,0)))))</f>
        <v>248.326</v>
      </c>
      <c r="Z41" s="6">
        <f>IF(ISNA(MATCH(Z$2,Inputs!$K$4:$AJ$4,0)),NA(),IF(SUMPRODUCT((Inputs!$A$5:$A$140=$B41)*ISNUMBER(INDEX(Inputs!$K$5:$AJ$140,0,MATCH(Z$2,Inputs!$K$4:$AJ$4,0))))+SUMPRODUCT((Inputs!$C$5:$C$140=$B41)*ISNUMBER(INDEX(Inputs!$K$5:$AJ$140,0,MATCH(Z$2,Inputs!$K$4:$AJ$4,0))))+SUMPRODUCT((Inputs!$E$5:$E$140=$B41)*ISNUMBER(INDEX(Inputs!$K$5:$AJ$140,0,MATCH(Z$2,Inputs!$K$4:$AJ$4,0))))=0,NA(),SUMPRODUCT((Inputs!$A$5:$A$140=$B41)*Inputs!$B$5:$B$140*(((Inputs!$G$5:$G$140="moeda")+(Inputs!$G$5:$G$140="acoes"))*Inputs!$B$1+((Inputs!$G$5:$G$140&lt;&gt;"moeda")*(Inputs!$G$5:$G$140&lt;&gt;"acoes")))*INDEX(Inputs!$K$5:$AJ$140,0,MATCH(Z$2,Inputs!$K$4:$AJ$4,0)))+SUMPRODUCT((Inputs!$C$5:$C$140=$B41)*Inputs!$D$5:$D$140*(((Inputs!$G$5:$G$140="moeda")+(Inputs!$G$5:$G$140="acoes"))*Inputs!$B$1+((Inputs!$G$5:$G$140&lt;&gt;"moeda")*(Inputs!$G$5:$G$140&lt;&gt;"acoes")))*INDEX(Inputs!$K$5:$AJ$140,0,MATCH(Z$2,Inputs!$K$4:$AJ$4,0)))+SUMPRODUCT((Inputs!$E$5:$E$140=$B41)*Inputs!$F$5:$F$140*(((Inputs!$G$5:$G$140="moeda")+(Inputs!$G$5:$G$140="acoes"))*Inputs!$B$1+((Inputs!$G$5:$G$140&lt;&gt;"moeda")*(Inputs!$G$5:$G$140&lt;&gt;"acoes")))*INDEX(Inputs!$K$5:$AJ$140,0,MATCH(Z$2,Inputs!$K$4:$AJ$4,0)))))</f>
        <v>256.908</v>
      </c>
      <c r="AA41" s="6">
        <f>IF(ISNA(MATCH(AA$2,Inputs!$K$4:$AJ$4,0)),NA(),IF(SUMPRODUCT((Inputs!$A$5:$A$140=$B41)*ISNUMBER(INDEX(Inputs!$K$5:$AJ$140,0,MATCH(AA$2,Inputs!$K$4:$AJ$4,0))))+SUMPRODUCT((Inputs!$C$5:$C$140=$B41)*ISNUMBER(INDEX(Inputs!$K$5:$AJ$140,0,MATCH(AA$2,Inputs!$K$4:$AJ$4,0))))+SUMPRODUCT((Inputs!$E$5:$E$140=$B41)*ISNUMBER(INDEX(Inputs!$K$5:$AJ$140,0,MATCH(AA$2,Inputs!$K$4:$AJ$4,0))))=0,NA(),SUMPRODUCT((Inputs!$A$5:$A$140=$B41)*Inputs!$B$5:$B$140*(((Inputs!$G$5:$G$140="moeda")+(Inputs!$G$5:$G$140="acoes"))*Inputs!$B$1+((Inputs!$G$5:$G$140&lt;&gt;"moeda")*(Inputs!$G$5:$G$140&lt;&gt;"acoes")))*INDEX(Inputs!$K$5:$AJ$140,0,MATCH(AA$2,Inputs!$K$4:$AJ$4,0)))+SUMPRODUCT((Inputs!$C$5:$C$140=$B41)*Inputs!$D$5:$D$140*(((Inputs!$G$5:$G$140="moeda")+(Inputs!$G$5:$G$140="acoes"))*Inputs!$B$1+((Inputs!$G$5:$G$140&lt;&gt;"moeda")*(Inputs!$G$5:$G$140&lt;&gt;"acoes")))*INDEX(Inputs!$K$5:$AJ$140,0,MATCH(AA$2,Inputs!$K$4:$AJ$4,0)))+SUMPRODUCT((Inputs!$E$5:$E$140=$B41)*Inputs!$F$5:$F$140*(((Inputs!$G$5:$G$140="moeda")+(Inputs!$G$5:$G$140="acoes"))*Inputs!$B$1+((Inputs!$G$5:$G$140&lt;&gt;"moeda")*(Inputs!$G$5:$G$140&lt;&gt;"acoes")))*INDEX(Inputs!$K$5:$AJ$140,0,MATCH(AA$2,Inputs!$K$4:$AJ$4,0)))))</f>
        <v>280.348</v>
      </c>
      <c r="AB41" s="3">
        <f>AA41</f>
        <v>280.348</v>
      </c>
      <c r="AC41" s="6">
        <f>IF(ISNA(MATCH(AC$2,Inputs!$K$4:$AJ$4,0)),NA(),IF(SUMPRODUCT((Inputs!$A$5:$A$140=$B41)*ISNUMBER(INDEX(Inputs!$K$5:$AJ$140,0,MATCH(AC$2,Inputs!$K$4:$AJ$4,0))))+SUMPRODUCT((Inputs!$C$5:$C$140=$B41)*ISNUMBER(INDEX(Inputs!$K$5:$AJ$140,0,MATCH(AC$2,Inputs!$K$4:$AJ$4,0))))+SUMPRODUCT((Inputs!$E$5:$E$140=$B41)*ISNUMBER(INDEX(Inputs!$K$5:$AJ$140,0,MATCH(AC$2,Inputs!$K$4:$AJ$4,0))))=0,NA(),SUMPRODUCT((Inputs!$A$5:$A$140=$B41)*Inputs!$B$5:$B$140*(((Inputs!$G$5:$G$140="moeda")+(Inputs!$G$5:$G$140="acoes"))*Inputs!$B$1+((Inputs!$G$5:$G$140&lt;&gt;"moeda")*(Inputs!$G$5:$G$140&lt;&gt;"acoes")))*INDEX(Inputs!$K$5:$AJ$140,0,MATCH(AC$2,Inputs!$K$4:$AJ$4,0)))+SUMPRODUCT((Inputs!$C$5:$C$140=$B41)*Inputs!$D$5:$D$140*(((Inputs!$G$5:$G$140="moeda")+(Inputs!$G$5:$G$140="acoes"))*Inputs!$B$1+((Inputs!$G$5:$G$140&lt;&gt;"moeda")*(Inputs!$G$5:$G$140&lt;&gt;"acoes")))*INDEX(Inputs!$K$5:$AJ$140,0,MATCH(AC$2,Inputs!$K$4:$AJ$4,0)))+SUMPRODUCT((Inputs!$E$5:$E$140=$B41)*Inputs!$F$5:$F$140*(((Inputs!$G$5:$G$140="moeda")+(Inputs!$G$5:$G$140="acoes"))*Inputs!$B$1+((Inputs!$G$5:$G$140&lt;&gt;"moeda")*(Inputs!$G$5:$G$140&lt;&gt;"acoes")))*INDEX(Inputs!$K$5:$AJ$140,0,MATCH(AC$2,Inputs!$K$4:$AJ$4,0)))))</f>
        <v>347.397</v>
      </c>
      <c r="AD41" s="6">
        <f>IF(ISNA(MATCH(AD$2,Inputs!$K$4:$AJ$4,0)),NA(),IF(SUMPRODUCT((Inputs!$A$5:$A$140=$B41)*ISNUMBER(INDEX(Inputs!$K$5:$AJ$140,0,MATCH(AD$2,Inputs!$K$4:$AJ$4,0))))+SUMPRODUCT((Inputs!$C$5:$C$140=$B41)*ISNUMBER(INDEX(Inputs!$K$5:$AJ$140,0,MATCH(AD$2,Inputs!$K$4:$AJ$4,0))))+SUMPRODUCT((Inputs!$E$5:$E$140=$B41)*ISNUMBER(INDEX(Inputs!$K$5:$AJ$140,0,MATCH(AD$2,Inputs!$K$4:$AJ$4,0))))=0,NA(),SUMPRODUCT((Inputs!$A$5:$A$140=$B41)*Inputs!$B$5:$B$140*(((Inputs!$G$5:$G$140="moeda")+(Inputs!$G$5:$G$140="acoes"))*Inputs!$B$1+((Inputs!$G$5:$G$140&lt;&gt;"moeda")*(Inputs!$G$5:$G$140&lt;&gt;"acoes")))*INDEX(Inputs!$K$5:$AJ$140,0,MATCH(AD$2,Inputs!$K$4:$AJ$4,0)))+SUMPRODUCT((Inputs!$C$5:$C$140=$B41)*Inputs!$D$5:$D$140*(((Inputs!$G$5:$G$140="moeda")+(Inputs!$G$5:$G$140="acoes"))*Inputs!$B$1+((Inputs!$G$5:$G$140&lt;&gt;"moeda")*(Inputs!$G$5:$G$140&lt;&gt;"acoes")))*INDEX(Inputs!$K$5:$AJ$140,0,MATCH(AD$2,Inputs!$K$4:$AJ$4,0)))+SUMPRODUCT((Inputs!$E$5:$E$140=$B41)*Inputs!$F$5:$F$140*(((Inputs!$G$5:$G$140="moeda")+(Inputs!$G$5:$G$140="acoes"))*Inputs!$B$1+((Inputs!$G$5:$G$140&lt;&gt;"moeda")*(Inputs!$G$5:$G$140&lt;&gt;"acoes")))*INDEX(Inputs!$K$5:$AJ$140,0,MATCH(AD$2,Inputs!$K$4:$AJ$4,0)))))</f>
        <v>393.817</v>
      </c>
      <c r="AE41" s="6" t="e">
        <f>IF(ISNA(MATCH(AE$2,Inputs!$K$4:$AJ$4,0)),NA(),IF(SUMPRODUCT((Inputs!$A$5:$A$140=$B41)*ISNUMBER(INDEX(Inputs!$K$5:$AJ$140,0,MATCH(AE$2,Inputs!$K$4:$AJ$4,0))))+SUMPRODUCT((Inputs!$C$5:$C$140=$B41)*ISNUMBER(INDEX(Inputs!$K$5:$AJ$140,0,MATCH(AE$2,Inputs!$K$4:$AJ$4,0))))+SUMPRODUCT((Inputs!$E$5:$E$140=$B41)*ISNUMBER(INDEX(Inputs!$K$5:$AJ$140,0,MATCH(AE$2,Inputs!$K$4:$AJ$4,0))))=0,NA(),SUMPRODUCT((Inputs!$A$5:$A$140=$B41)*Inputs!$B$5:$B$140*(((Inputs!$G$5:$G$140="moeda")+(Inputs!$G$5:$G$140="acoes"))*Inputs!$B$1+((Inputs!$G$5:$G$140&lt;&gt;"moeda")*(Inputs!$G$5:$G$140&lt;&gt;"acoes")))*INDEX(Inputs!$K$5:$AJ$140,0,MATCH(AE$2,Inputs!$K$4:$AJ$4,0)))+SUMPRODUCT((Inputs!$C$5:$C$140=$B41)*Inputs!$D$5:$D$140*(((Inputs!$G$5:$G$140="moeda")+(Inputs!$G$5:$G$140="acoes"))*Inputs!$B$1+((Inputs!$G$5:$G$140&lt;&gt;"moeda")*(Inputs!$G$5:$G$140&lt;&gt;"acoes")))*INDEX(Inputs!$K$5:$AJ$140,0,MATCH(AE$2,Inputs!$K$4:$AJ$4,0)))+SUMPRODUCT((Inputs!$E$5:$E$140=$B41)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1" s="6" t="e">
        <f>IF(ISNA(MATCH(AF$2,Inputs!$K$4:$AJ$4,0)),NA(),IF(SUMPRODUCT((Inputs!$A$5:$A$140=$B41)*ISNUMBER(INDEX(Inputs!$K$5:$AJ$140,0,MATCH(AF$2,Inputs!$K$4:$AJ$4,0))))+SUMPRODUCT((Inputs!$C$5:$C$140=$B41)*ISNUMBER(INDEX(Inputs!$K$5:$AJ$140,0,MATCH(AF$2,Inputs!$K$4:$AJ$4,0))))+SUMPRODUCT((Inputs!$E$5:$E$140=$B41)*ISNUMBER(INDEX(Inputs!$K$5:$AJ$140,0,MATCH(AF$2,Inputs!$K$4:$AJ$4,0))))=0,NA(),SUMPRODUCT((Inputs!$A$5:$A$140=$B41)*Inputs!$B$5:$B$140*(((Inputs!$G$5:$G$140="moeda")+(Inputs!$G$5:$G$140="acoes"))*Inputs!$B$1+((Inputs!$G$5:$G$140&lt;&gt;"moeda")*(Inputs!$G$5:$G$140&lt;&gt;"acoes")))*INDEX(Inputs!$K$5:$AJ$140,0,MATCH(AF$2,Inputs!$K$4:$AJ$4,0)))+SUMPRODUCT((Inputs!$C$5:$C$140=$B41)*Inputs!$D$5:$D$140*(((Inputs!$G$5:$G$140="moeda")+(Inputs!$G$5:$G$140="acoes"))*Inputs!$B$1+((Inputs!$G$5:$G$140&lt;&gt;"moeda")*(Inputs!$G$5:$G$140&lt;&gt;"acoes")))*INDEX(Inputs!$K$5:$AJ$140,0,MATCH(AF$2,Inputs!$K$4:$AJ$4,0)))+SUMPRODUCT((Inputs!$E$5:$E$140=$B41)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1" s="3" t="e">
        <f>AF41</f>
        <v>#N/A</v>
      </c>
      <c r="AH41" s="6">
        <f>IF(ISNA(MATCH(AH$2,Inputs!$K$4:$AJ$4,0)),NA(),IF(SUMPRODUCT((Inputs!$A$5:$A$140=$B41)*ISNUMBER(INDEX(Inputs!$K$5:$AJ$140,0,MATCH(AH$2,Inputs!$K$4:$AJ$4,0))))+SUMPRODUCT((Inputs!$C$5:$C$140=$B41)*ISNUMBER(INDEX(Inputs!$K$5:$AJ$140,0,MATCH(AH$2,Inputs!$K$4:$AJ$4,0))))+SUMPRODUCT((Inputs!$E$5:$E$140=$B41)*ISNUMBER(INDEX(Inputs!$K$5:$AJ$140,0,MATCH(AH$2,Inputs!$K$4:$AJ$4,0))))=0,NA(),SUMPRODUCT((Inputs!$A$5:$A$140=$B41)*Inputs!$B$5:$B$140*(((Inputs!$G$5:$G$140="moeda")+(Inputs!$G$5:$G$140="acoes"))*Inputs!$B$1+((Inputs!$G$5:$G$140&lt;&gt;"moeda")*(Inputs!$G$5:$G$140&lt;&gt;"acoes")))*INDEX(Inputs!$K$5:$AJ$140,0,MATCH(AH$2,Inputs!$K$4:$AJ$4,0)))+SUMPRODUCT((Inputs!$C$5:$C$140=$B41)*Inputs!$D$5:$D$140*(((Inputs!$G$5:$G$140="moeda")+(Inputs!$G$5:$G$140="acoes"))*Inputs!$B$1+((Inputs!$G$5:$G$140&lt;&gt;"moeda")*(Inputs!$G$5:$G$140&lt;&gt;"acoes")))*INDEX(Inputs!$K$5:$AJ$140,0,MATCH(AH$2,Inputs!$K$4:$AJ$4,0)))+SUMPRODUCT((Inputs!$E$5:$E$140=$B41)*Inputs!$F$5:$F$140*(((Inputs!$G$5:$G$140="moeda")+(Inputs!$G$5:$G$140="acoes"))*Inputs!$B$1+((Inputs!$G$5:$G$140&lt;&gt;"moeda")*(Inputs!$G$5:$G$140&lt;&gt;"acoes")))*INDEX(Inputs!$K$5:$AJ$140,0,MATCH(AH$2,Inputs!$K$4:$AJ$4,0)))))</f>
        <v>155.51</v>
      </c>
      <c r="AI41" s="6">
        <f>IF(ISNA(MATCH(AI$2,Inputs!$K$4:$AJ$4,0)),NA(),IF(SUMPRODUCT((Inputs!$A$5:$A$140=$B41)*ISNUMBER(INDEX(Inputs!$K$5:$AJ$140,0,MATCH(AI$2,Inputs!$K$4:$AJ$4,0))))+SUMPRODUCT((Inputs!$C$5:$C$140=$B41)*ISNUMBER(INDEX(Inputs!$K$5:$AJ$140,0,MATCH(AI$2,Inputs!$K$4:$AJ$4,0))))+SUMPRODUCT((Inputs!$E$5:$E$140=$B41)*ISNUMBER(INDEX(Inputs!$K$5:$AJ$140,0,MATCH(AI$2,Inputs!$K$4:$AJ$4,0))))=0,NA(),SUMPRODUCT((Inputs!$A$5:$A$140=$B41)*Inputs!$B$5:$B$140*(((Inputs!$G$5:$G$140="moeda")+(Inputs!$G$5:$G$140="acoes"))*Inputs!$B$1+((Inputs!$G$5:$G$140&lt;&gt;"moeda")*(Inputs!$G$5:$G$140&lt;&gt;"acoes")))*INDEX(Inputs!$K$5:$AJ$140,0,MATCH(AI$2,Inputs!$K$4:$AJ$4,0)))+SUMPRODUCT((Inputs!$C$5:$C$140=$B41)*Inputs!$D$5:$D$140*(((Inputs!$G$5:$G$140="moeda")+(Inputs!$G$5:$G$140="acoes"))*Inputs!$B$1+((Inputs!$G$5:$G$140&lt;&gt;"moeda")*(Inputs!$G$5:$G$140&lt;&gt;"acoes")))*INDEX(Inputs!$K$5:$AJ$140,0,MATCH(AI$2,Inputs!$K$4:$AJ$4,0)))+SUMPRODUCT((Inputs!$E$5:$E$140=$B41)*Inputs!$F$5:$F$140*(((Inputs!$G$5:$G$140="moeda")+(Inputs!$G$5:$G$140="acoes"))*Inputs!$B$1+((Inputs!$G$5:$G$140&lt;&gt;"moeda")*(Inputs!$G$5:$G$140&lt;&gt;"acoes")))*INDEX(Inputs!$K$5:$AJ$140,0,MATCH(AI$2,Inputs!$K$4:$AJ$4,0)))))</f>
        <v>162.668</v>
      </c>
      <c r="AJ41" s="6">
        <f>IF(ISNA(MATCH(AJ$2,Inputs!$K$4:$AJ$4,0)),NA(),IF(SUMPRODUCT((Inputs!$A$5:$A$140=$B41)*ISNUMBER(INDEX(Inputs!$K$5:$AJ$140,0,MATCH(AJ$2,Inputs!$K$4:$AJ$4,0))))+SUMPRODUCT((Inputs!$C$5:$C$140=$B41)*ISNUMBER(INDEX(Inputs!$K$5:$AJ$140,0,MATCH(AJ$2,Inputs!$K$4:$AJ$4,0))))+SUMPRODUCT((Inputs!$E$5:$E$140=$B41)*ISNUMBER(INDEX(Inputs!$K$5:$AJ$140,0,MATCH(AJ$2,Inputs!$K$4:$AJ$4,0))))=0,NA(),SUMPRODUCT((Inputs!$A$5:$A$140=$B41)*Inputs!$B$5:$B$140*(((Inputs!$G$5:$G$140="moeda")+(Inputs!$G$5:$G$140="acoes"))*Inputs!$B$1+((Inputs!$G$5:$G$140&lt;&gt;"moeda")*(Inputs!$G$5:$G$140&lt;&gt;"acoes")))*INDEX(Inputs!$K$5:$AJ$140,0,MATCH(AJ$2,Inputs!$K$4:$AJ$4,0)))+SUMPRODUCT((Inputs!$C$5:$C$140=$B41)*Inputs!$D$5:$D$140*(((Inputs!$G$5:$G$140="moeda")+(Inputs!$G$5:$G$140="acoes"))*Inputs!$B$1+((Inputs!$G$5:$G$140&lt;&gt;"moeda")*(Inputs!$G$5:$G$140&lt;&gt;"acoes")))*INDEX(Inputs!$K$5:$AJ$140,0,MATCH(AJ$2,Inputs!$K$4:$AJ$4,0)))+SUMPRODUCT((Inputs!$E$5:$E$140=$B41)*Inputs!$F$5:$F$140*(((Inputs!$G$5:$G$140="moeda")+(Inputs!$G$5:$G$140="acoes"))*Inputs!$B$1+((Inputs!$G$5:$G$140&lt;&gt;"moeda")*(Inputs!$G$5:$G$140&lt;&gt;"acoes")))*INDEX(Inputs!$K$5:$AJ$140,0,MATCH(AJ$2,Inputs!$K$4:$AJ$4,0)))))</f>
        <v>170.936</v>
      </c>
      <c r="AK41" s="6">
        <f>IF(ISNA(MATCH(AK$2,Inputs!$K$4:$AJ$4,0)),NA(),IF(SUMPRODUCT((Inputs!$A$5:$A$140=$B41)*ISNUMBER(INDEX(Inputs!$K$5:$AJ$140,0,MATCH(AK$2,Inputs!$K$4:$AJ$4,0))))+SUMPRODUCT((Inputs!$C$5:$C$140=$B41)*ISNUMBER(INDEX(Inputs!$K$5:$AJ$140,0,MATCH(AK$2,Inputs!$K$4:$AJ$4,0))))+SUMPRODUCT((Inputs!$E$5:$E$140=$B41)*ISNUMBER(INDEX(Inputs!$K$5:$AJ$140,0,MATCH(AK$2,Inputs!$K$4:$AJ$4,0))))=0,NA(),SUMPRODUCT((Inputs!$A$5:$A$140=$B41)*Inputs!$B$5:$B$140*(((Inputs!$G$5:$G$140="moeda")+(Inputs!$G$5:$G$140="acoes"))*Inputs!$B$1+((Inputs!$G$5:$G$140&lt;&gt;"moeda")*(Inputs!$G$5:$G$140&lt;&gt;"acoes")))*INDEX(Inputs!$K$5:$AJ$140,0,MATCH(AK$2,Inputs!$K$4:$AJ$4,0)))+SUMPRODUCT((Inputs!$C$5:$C$140=$B41)*Inputs!$D$5:$D$140*(((Inputs!$G$5:$G$140="moeda")+(Inputs!$G$5:$G$140="acoes"))*Inputs!$B$1+((Inputs!$G$5:$G$140&lt;&gt;"moeda")*(Inputs!$G$5:$G$140&lt;&gt;"acoes")))*INDEX(Inputs!$K$5:$AJ$140,0,MATCH(AK$2,Inputs!$K$4:$AJ$4,0)))+SUMPRODUCT((Inputs!$E$5:$E$140=$B41)*Inputs!$F$5:$F$140*(((Inputs!$G$5:$G$140="moeda")+(Inputs!$G$5:$G$140="acoes"))*Inputs!$B$1+((Inputs!$G$5:$G$140&lt;&gt;"moeda")*(Inputs!$G$5:$G$140&lt;&gt;"acoes")))*INDEX(Inputs!$K$5:$AJ$140,0,MATCH(AK$2,Inputs!$K$4:$AJ$4,0)))))</f>
        <v>152.923</v>
      </c>
      <c r="AL41" s="3">
        <f>AK41</f>
        <v>152.923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$140=$B42)*ISNUMBER(INDEX(Inputs!$K$5:$AJ$140,0,MATCH(D$2,Inputs!$K$4:$AJ$4,0))))+SUMPRODUCT((Inputs!$C$5:$C$140=$B42)*ISNUMBER(INDEX(Inputs!$K$5:$AJ$140,0,MATCH(D$2,Inputs!$K$4:$AJ$4,0))))+SUMPRODUCT((Inputs!$E$5:$E$140=$B42)*ISNUMBER(INDEX(Inputs!$K$5:$AJ$140,0,MATCH(D$2,Inputs!$K$4:$AJ$4,0))))=0,NA(),SUMPRODUCT((Inputs!$A$5:$A$140=$B42)*Inputs!$B$5:$B$140*(((Inputs!$G$5:$G$140="moeda")+(Inputs!$G$5:$G$140="acoes"))*Inputs!$B$1+((Inputs!$G$5:$G$140&lt;&gt;"moeda")*(Inputs!$G$5:$G$140&lt;&gt;"acoes")))*INDEX(Inputs!$K$5:$AJ$140,0,MATCH(D$2,Inputs!$K$4:$AJ$4,0)))+SUMPRODUCT((Inputs!$C$5:$C$140=$B42)*Inputs!$D$5:$D$140*(((Inputs!$G$5:$G$140="moeda")+(Inputs!$G$5:$G$140="acoes"))*Inputs!$B$1+((Inputs!$G$5:$G$140&lt;&gt;"moeda")*(Inputs!$G$5:$G$140&lt;&gt;"acoes")))*INDEX(Inputs!$K$5:$AJ$140,0,MATCH(D$2,Inputs!$K$4:$AJ$4,0)))+SUMPRODUCT((Inputs!$E$5:$E$140=$B42)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2" s="6" t="e">
        <f>IF(ISNA(MATCH(E$2,Inputs!$K$4:$AJ$4,0)),NA(),IF(SUMPRODUCT((Inputs!$A$5:$A$140=$B42)*ISNUMBER(INDEX(Inputs!$K$5:$AJ$140,0,MATCH(E$2,Inputs!$K$4:$AJ$4,0))))+SUMPRODUCT((Inputs!$C$5:$C$140=$B42)*ISNUMBER(INDEX(Inputs!$K$5:$AJ$140,0,MATCH(E$2,Inputs!$K$4:$AJ$4,0))))+SUMPRODUCT((Inputs!$E$5:$E$140=$B42)*ISNUMBER(INDEX(Inputs!$K$5:$AJ$140,0,MATCH(E$2,Inputs!$K$4:$AJ$4,0))))=0,NA(),SUMPRODUCT((Inputs!$A$5:$A$140=$B42)*Inputs!$B$5:$B$140*(((Inputs!$G$5:$G$140="moeda")+(Inputs!$G$5:$G$140="acoes"))*Inputs!$B$1+((Inputs!$G$5:$G$140&lt;&gt;"moeda")*(Inputs!$G$5:$G$140&lt;&gt;"acoes")))*INDEX(Inputs!$K$5:$AJ$140,0,MATCH(E$2,Inputs!$K$4:$AJ$4,0)))+SUMPRODUCT((Inputs!$C$5:$C$140=$B42)*Inputs!$D$5:$D$140*(((Inputs!$G$5:$G$140="moeda")+(Inputs!$G$5:$G$140="acoes"))*Inputs!$B$1+((Inputs!$G$5:$G$140&lt;&gt;"moeda")*(Inputs!$G$5:$G$140&lt;&gt;"acoes")))*INDEX(Inputs!$K$5:$AJ$140,0,MATCH(E$2,Inputs!$K$4:$AJ$4,0)))+SUMPRODUCT((Inputs!$E$5:$E$140=$B42)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2" s="6" t="e">
        <f>IF(ISNA(MATCH(F$2,Inputs!$K$4:$AJ$4,0)),NA(),IF(SUMPRODUCT((Inputs!$A$5:$A$140=$B42)*ISNUMBER(INDEX(Inputs!$K$5:$AJ$140,0,MATCH(F$2,Inputs!$K$4:$AJ$4,0))))+SUMPRODUCT((Inputs!$C$5:$C$140=$B42)*ISNUMBER(INDEX(Inputs!$K$5:$AJ$140,0,MATCH(F$2,Inputs!$K$4:$AJ$4,0))))+SUMPRODUCT((Inputs!$E$5:$E$140=$B42)*ISNUMBER(INDEX(Inputs!$K$5:$AJ$140,0,MATCH(F$2,Inputs!$K$4:$AJ$4,0))))=0,NA(),SUMPRODUCT((Inputs!$A$5:$A$140=$B42)*Inputs!$B$5:$B$140*(((Inputs!$G$5:$G$140="moeda")+(Inputs!$G$5:$G$140="acoes"))*Inputs!$B$1+((Inputs!$G$5:$G$140&lt;&gt;"moeda")*(Inputs!$G$5:$G$140&lt;&gt;"acoes")))*INDEX(Inputs!$K$5:$AJ$140,0,MATCH(F$2,Inputs!$K$4:$AJ$4,0)))+SUMPRODUCT((Inputs!$C$5:$C$140=$B42)*Inputs!$D$5:$D$140*(((Inputs!$G$5:$G$140="moeda")+(Inputs!$G$5:$G$140="acoes"))*Inputs!$B$1+((Inputs!$G$5:$G$140&lt;&gt;"moeda")*(Inputs!$G$5:$G$140&lt;&gt;"acoes")))*INDEX(Inputs!$K$5:$AJ$140,0,MATCH(F$2,Inputs!$K$4:$AJ$4,0)))+SUMPRODUCT((Inputs!$E$5:$E$140=$B42)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2" s="6" t="e">
        <f>IF(ISNA(MATCH(G$2,Inputs!$K$4:$AJ$4,0)),NA(),IF(SUMPRODUCT((Inputs!$A$5:$A$140=$B42)*ISNUMBER(INDEX(Inputs!$K$5:$AJ$140,0,MATCH(G$2,Inputs!$K$4:$AJ$4,0))))+SUMPRODUCT((Inputs!$C$5:$C$140=$B42)*ISNUMBER(INDEX(Inputs!$K$5:$AJ$140,0,MATCH(G$2,Inputs!$K$4:$AJ$4,0))))+SUMPRODUCT((Inputs!$E$5:$E$140=$B42)*ISNUMBER(INDEX(Inputs!$K$5:$AJ$140,0,MATCH(G$2,Inputs!$K$4:$AJ$4,0))))=0,NA(),SUMPRODUCT((Inputs!$A$5:$A$140=$B42)*Inputs!$B$5:$B$140*(((Inputs!$G$5:$G$140="moeda")+(Inputs!$G$5:$G$140="acoes"))*Inputs!$B$1+((Inputs!$G$5:$G$140&lt;&gt;"moeda")*(Inputs!$G$5:$G$140&lt;&gt;"acoes")))*INDEX(Inputs!$K$5:$AJ$140,0,MATCH(G$2,Inputs!$K$4:$AJ$4,0)))+SUMPRODUCT((Inputs!$C$5:$C$140=$B42)*Inputs!$D$5:$D$140*(((Inputs!$G$5:$G$140="moeda")+(Inputs!$G$5:$G$140="acoes"))*Inputs!$B$1+((Inputs!$G$5:$G$140&lt;&gt;"moeda")*(Inputs!$G$5:$G$140&lt;&gt;"acoes")))*INDEX(Inputs!$K$5:$AJ$140,0,MATCH(G$2,Inputs!$K$4:$AJ$4,0)))+SUMPRODUCT((Inputs!$E$5:$E$140=$B42)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2" s="3" t="e">
        <f>G42</f>
        <v>#N/A</v>
      </c>
      <c r="I42" s="6" t="e">
        <f>IF(ISNA(MATCH(I$2,Inputs!$K$4:$AJ$4,0)),NA(),IF(SUMPRODUCT((Inputs!$A$5:$A$140=$B42)*ISNUMBER(INDEX(Inputs!$K$5:$AJ$140,0,MATCH(I$2,Inputs!$K$4:$AJ$4,0))))+SUMPRODUCT((Inputs!$C$5:$C$140=$B42)*ISNUMBER(INDEX(Inputs!$K$5:$AJ$140,0,MATCH(I$2,Inputs!$K$4:$AJ$4,0))))+SUMPRODUCT((Inputs!$E$5:$E$140=$B42)*ISNUMBER(INDEX(Inputs!$K$5:$AJ$140,0,MATCH(I$2,Inputs!$K$4:$AJ$4,0))))=0,NA(),SUMPRODUCT((Inputs!$A$5:$A$140=$B42)*Inputs!$B$5:$B$140*(((Inputs!$G$5:$G$140="moeda")+(Inputs!$G$5:$G$140="acoes"))*Inputs!$B$1+((Inputs!$G$5:$G$140&lt;&gt;"moeda")*(Inputs!$G$5:$G$140&lt;&gt;"acoes")))*INDEX(Inputs!$K$5:$AJ$140,0,MATCH(I$2,Inputs!$K$4:$AJ$4,0)))+SUMPRODUCT((Inputs!$C$5:$C$140=$B42)*Inputs!$D$5:$D$140*(((Inputs!$G$5:$G$140="moeda")+(Inputs!$G$5:$G$140="acoes"))*Inputs!$B$1+((Inputs!$G$5:$G$140&lt;&gt;"moeda")*(Inputs!$G$5:$G$140&lt;&gt;"acoes")))*INDEX(Inputs!$K$5:$AJ$140,0,MATCH(I$2,Inputs!$K$4:$AJ$4,0)))+SUMPRODUCT((Inputs!$E$5:$E$140=$B42)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2" s="6" t="e">
        <f>IF(ISNA(MATCH(J$2,Inputs!$K$4:$AJ$4,0)),NA(),IF(SUMPRODUCT((Inputs!$A$5:$A$140=$B42)*ISNUMBER(INDEX(Inputs!$K$5:$AJ$140,0,MATCH(J$2,Inputs!$K$4:$AJ$4,0))))+SUMPRODUCT((Inputs!$C$5:$C$140=$B42)*ISNUMBER(INDEX(Inputs!$K$5:$AJ$140,0,MATCH(J$2,Inputs!$K$4:$AJ$4,0))))+SUMPRODUCT((Inputs!$E$5:$E$140=$B42)*ISNUMBER(INDEX(Inputs!$K$5:$AJ$140,0,MATCH(J$2,Inputs!$K$4:$AJ$4,0))))=0,NA(),SUMPRODUCT((Inputs!$A$5:$A$140=$B42)*Inputs!$B$5:$B$140*(((Inputs!$G$5:$G$140="moeda")+(Inputs!$G$5:$G$140="acoes"))*Inputs!$B$1+((Inputs!$G$5:$G$140&lt;&gt;"moeda")*(Inputs!$G$5:$G$140&lt;&gt;"acoes")))*INDEX(Inputs!$K$5:$AJ$140,0,MATCH(J$2,Inputs!$K$4:$AJ$4,0)))+SUMPRODUCT((Inputs!$C$5:$C$140=$B42)*Inputs!$D$5:$D$140*(((Inputs!$G$5:$G$140="moeda")+(Inputs!$G$5:$G$140="acoes"))*Inputs!$B$1+((Inputs!$G$5:$G$140&lt;&gt;"moeda")*(Inputs!$G$5:$G$140&lt;&gt;"acoes")))*INDEX(Inputs!$K$5:$AJ$140,0,MATCH(J$2,Inputs!$K$4:$AJ$4,0)))+SUMPRODUCT((Inputs!$E$5:$E$140=$B42)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2" s="6" t="e">
        <f>IF(ISNA(MATCH(K$2,Inputs!$K$4:$AJ$4,0)),NA(),IF(SUMPRODUCT((Inputs!$A$5:$A$140=$B42)*ISNUMBER(INDEX(Inputs!$K$5:$AJ$140,0,MATCH(K$2,Inputs!$K$4:$AJ$4,0))))+SUMPRODUCT((Inputs!$C$5:$C$140=$B42)*ISNUMBER(INDEX(Inputs!$K$5:$AJ$140,0,MATCH(K$2,Inputs!$K$4:$AJ$4,0))))+SUMPRODUCT((Inputs!$E$5:$E$140=$B42)*ISNUMBER(INDEX(Inputs!$K$5:$AJ$140,0,MATCH(K$2,Inputs!$K$4:$AJ$4,0))))=0,NA(),SUMPRODUCT((Inputs!$A$5:$A$140=$B42)*Inputs!$B$5:$B$140*(((Inputs!$G$5:$G$140="moeda")+(Inputs!$G$5:$G$140="acoes"))*Inputs!$B$1+((Inputs!$G$5:$G$140&lt;&gt;"moeda")*(Inputs!$G$5:$G$140&lt;&gt;"acoes")))*INDEX(Inputs!$K$5:$AJ$140,0,MATCH(K$2,Inputs!$K$4:$AJ$4,0)))+SUMPRODUCT((Inputs!$C$5:$C$140=$B42)*Inputs!$D$5:$D$140*(((Inputs!$G$5:$G$140="moeda")+(Inputs!$G$5:$G$140="acoes"))*Inputs!$B$1+((Inputs!$G$5:$G$140&lt;&gt;"moeda")*(Inputs!$G$5:$G$140&lt;&gt;"acoes")))*INDEX(Inputs!$K$5:$AJ$140,0,MATCH(K$2,Inputs!$K$4:$AJ$4,0)))+SUMPRODUCT((Inputs!$E$5:$E$140=$B42)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2" s="6" t="e">
        <f>IF(ISNA(MATCH(L$2,Inputs!$K$4:$AJ$4,0)),NA(),IF(SUMPRODUCT((Inputs!$A$5:$A$140=$B42)*ISNUMBER(INDEX(Inputs!$K$5:$AJ$140,0,MATCH(L$2,Inputs!$K$4:$AJ$4,0))))+SUMPRODUCT((Inputs!$C$5:$C$140=$B42)*ISNUMBER(INDEX(Inputs!$K$5:$AJ$140,0,MATCH(L$2,Inputs!$K$4:$AJ$4,0))))+SUMPRODUCT((Inputs!$E$5:$E$140=$B42)*ISNUMBER(INDEX(Inputs!$K$5:$AJ$140,0,MATCH(L$2,Inputs!$K$4:$AJ$4,0))))=0,NA(),SUMPRODUCT((Inputs!$A$5:$A$140=$B42)*Inputs!$B$5:$B$140*(((Inputs!$G$5:$G$140="moeda")+(Inputs!$G$5:$G$140="acoes"))*Inputs!$B$1+((Inputs!$G$5:$G$140&lt;&gt;"moeda")*(Inputs!$G$5:$G$140&lt;&gt;"acoes")))*INDEX(Inputs!$K$5:$AJ$140,0,MATCH(L$2,Inputs!$K$4:$AJ$4,0)))+SUMPRODUCT((Inputs!$C$5:$C$140=$B42)*Inputs!$D$5:$D$140*(((Inputs!$G$5:$G$140="moeda")+(Inputs!$G$5:$G$140="acoes"))*Inputs!$B$1+((Inputs!$G$5:$G$140&lt;&gt;"moeda")*(Inputs!$G$5:$G$140&lt;&gt;"acoes")))*INDEX(Inputs!$K$5:$AJ$140,0,MATCH(L$2,Inputs!$K$4:$AJ$4,0)))+SUMPRODUCT((Inputs!$E$5:$E$140=$B42)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2" s="3" t="e">
        <f>L42</f>
        <v>#N/A</v>
      </c>
      <c r="N42" s="6" t="e">
        <f>IF(ISNA(MATCH(N$2,Inputs!$K$4:$AJ$4,0)),NA(),IF(SUMPRODUCT((Inputs!$A$5:$A$140=$B42)*ISNUMBER(INDEX(Inputs!$K$5:$AJ$140,0,MATCH(N$2,Inputs!$K$4:$AJ$4,0))))+SUMPRODUCT((Inputs!$C$5:$C$140=$B42)*ISNUMBER(INDEX(Inputs!$K$5:$AJ$140,0,MATCH(N$2,Inputs!$K$4:$AJ$4,0))))+SUMPRODUCT((Inputs!$E$5:$E$140=$B42)*ISNUMBER(INDEX(Inputs!$K$5:$AJ$140,0,MATCH(N$2,Inputs!$K$4:$AJ$4,0))))=0,NA(),SUMPRODUCT((Inputs!$A$5:$A$140=$B42)*Inputs!$B$5:$B$140*(((Inputs!$G$5:$G$140="moeda")+(Inputs!$G$5:$G$140="acoes"))*Inputs!$B$1+((Inputs!$G$5:$G$140&lt;&gt;"moeda")*(Inputs!$G$5:$G$140&lt;&gt;"acoes")))*INDEX(Inputs!$K$5:$AJ$140,0,MATCH(N$2,Inputs!$K$4:$AJ$4,0)))+SUMPRODUCT((Inputs!$C$5:$C$140=$B42)*Inputs!$D$5:$D$140*(((Inputs!$G$5:$G$140="moeda")+(Inputs!$G$5:$G$140="acoes"))*Inputs!$B$1+((Inputs!$G$5:$G$140&lt;&gt;"moeda")*(Inputs!$G$5:$G$140&lt;&gt;"acoes")))*INDEX(Inputs!$K$5:$AJ$140,0,MATCH(N$2,Inputs!$K$4:$AJ$4,0)))+SUMPRODUCT((Inputs!$E$5:$E$140=$B42)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2" s="6" t="e">
        <f>IF(ISNA(MATCH(O$2,Inputs!$K$4:$AJ$4,0)),NA(),IF(SUMPRODUCT((Inputs!$A$5:$A$140=$B42)*ISNUMBER(INDEX(Inputs!$K$5:$AJ$140,0,MATCH(O$2,Inputs!$K$4:$AJ$4,0))))+SUMPRODUCT((Inputs!$C$5:$C$140=$B42)*ISNUMBER(INDEX(Inputs!$K$5:$AJ$140,0,MATCH(O$2,Inputs!$K$4:$AJ$4,0))))+SUMPRODUCT((Inputs!$E$5:$E$140=$B42)*ISNUMBER(INDEX(Inputs!$K$5:$AJ$140,0,MATCH(O$2,Inputs!$K$4:$AJ$4,0))))=0,NA(),SUMPRODUCT((Inputs!$A$5:$A$140=$B42)*Inputs!$B$5:$B$140*(((Inputs!$G$5:$G$140="moeda")+(Inputs!$G$5:$G$140="acoes"))*Inputs!$B$1+((Inputs!$G$5:$G$140&lt;&gt;"moeda")*(Inputs!$G$5:$G$140&lt;&gt;"acoes")))*INDEX(Inputs!$K$5:$AJ$140,0,MATCH(O$2,Inputs!$K$4:$AJ$4,0)))+SUMPRODUCT((Inputs!$C$5:$C$140=$B42)*Inputs!$D$5:$D$140*(((Inputs!$G$5:$G$140="moeda")+(Inputs!$G$5:$G$140="acoes"))*Inputs!$B$1+((Inputs!$G$5:$G$140&lt;&gt;"moeda")*(Inputs!$G$5:$G$140&lt;&gt;"acoes")))*INDEX(Inputs!$K$5:$AJ$140,0,MATCH(O$2,Inputs!$K$4:$AJ$4,0)))+SUMPRODUCT((Inputs!$E$5:$E$140=$B42)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2" s="6" t="e">
        <f>IF(ISNA(MATCH(P$2,Inputs!$K$4:$AJ$4,0)),NA(),IF(SUMPRODUCT((Inputs!$A$5:$A$140=$B42)*ISNUMBER(INDEX(Inputs!$K$5:$AJ$140,0,MATCH(P$2,Inputs!$K$4:$AJ$4,0))))+SUMPRODUCT((Inputs!$C$5:$C$140=$B42)*ISNUMBER(INDEX(Inputs!$K$5:$AJ$140,0,MATCH(P$2,Inputs!$K$4:$AJ$4,0))))+SUMPRODUCT((Inputs!$E$5:$E$140=$B42)*ISNUMBER(INDEX(Inputs!$K$5:$AJ$140,0,MATCH(P$2,Inputs!$K$4:$AJ$4,0))))=0,NA(),SUMPRODUCT((Inputs!$A$5:$A$140=$B42)*Inputs!$B$5:$B$140*(((Inputs!$G$5:$G$140="moeda")+(Inputs!$G$5:$G$140="acoes"))*Inputs!$B$1+((Inputs!$G$5:$G$140&lt;&gt;"moeda")*(Inputs!$G$5:$G$140&lt;&gt;"acoes")))*INDEX(Inputs!$K$5:$AJ$140,0,MATCH(P$2,Inputs!$K$4:$AJ$4,0)))+SUMPRODUCT((Inputs!$C$5:$C$140=$B42)*Inputs!$D$5:$D$140*(((Inputs!$G$5:$G$140="moeda")+(Inputs!$G$5:$G$140="acoes"))*Inputs!$B$1+((Inputs!$G$5:$G$140&lt;&gt;"moeda")*(Inputs!$G$5:$G$140&lt;&gt;"acoes")))*INDEX(Inputs!$K$5:$AJ$140,0,MATCH(P$2,Inputs!$K$4:$AJ$4,0)))+SUMPRODUCT((Inputs!$E$5:$E$140=$B42)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2" s="6" t="e">
        <f>IF(ISNA(MATCH(Q$2,Inputs!$K$4:$AJ$4,0)),NA(),IF(SUMPRODUCT((Inputs!$A$5:$A$140=$B42)*ISNUMBER(INDEX(Inputs!$K$5:$AJ$140,0,MATCH(Q$2,Inputs!$K$4:$AJ$4,0))))+SUMPRODUCT((Inputs!$C$5:$C$140=$B42)*ISNUMBER(INDEX(Inputs!$K$5:$AJ$140,0,MATCH(Q$2,Inputs!$K$4:$AJ$4,0))))+SUMPRODUCT((Inputs!$E$5:$E$140=$B42)*ISNUMBER(INDEX(Inputs!$K$5:$AJ$140,0,MATCH(Q$2,Inputs!$K$4:$AJ$4,0))))=0,NA(),SUMPRODUCT((Inputs!$A$5:$A$140=$B42)*Inputs!$B$5:$B$140*(((Inputs!$G$5:$G$140="moeda")+(Inputs!$G$5:$G$140="acoes"))*Inputs!$B$1+((Inputs!$G$5:$G$140&lt;&gt;"moeda")*(Inputs!$G$5:$G$140&lt;&gt;"acoes")))*INDEX(Inputs!$K$5:$AJ$140,0,MATCH(Q$2,Inputs!$K$4:$AJ$4,0)))+SUMPRODUCT((Inputs!$C$5:$C$140=$B42)*Inputs!$D$5:$D$140*(((Inputs!$G$5:$G$140="moeda")+(Inputs!$G$5:$G$140="acoes"))*Inputs!$B$1+((Inputs!$G$5:$G$140&lt;&gt;"moeda")*(Inputs!$G$5:$G$140&lt;&gt;"acoes")))*INDEX(Inputs!$K$5:$AJ$140,0,MATCH(Q$2,Inputs!$K$4:$AJ$4,0)))+SUMPRODUCT((Inputs!$E$5:$E$140=$B42)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2" s="3" t="e">
        <f>Q42</f>
        <v>#N/A</v>
      </c>
      <c r="S42" s="6" t="e">
        <f>IF(ISNA(MATCH(S$2,Inputs!$K$4:$AJ$4,0)),NA(),IF(SUMPRODUCT((Inputs!$A$5:$A$140=$B42)*ISNUMBER(INDEX(Inputs!$K$5:$AJ$140,0,MATCH(S$2,Inputs!$K$4:$AJ$4,0))))+SUMPRODUCT((Inputs!$C$5:$C$140=$B42)*ISNUMBER(INDEX(Inputs!$K$5:$AJ$140,0,MATCH(S$2,Inputs!$K$4:$AJ$4,0))))+SUMPRODUCT((Inputs!$E$5:$E$140=$B42)*ISNUMBER(INDEX(Inputs!$K$5:$AJ$140,0,MATCH(S$2,Inputs!$K$4:$AJ$4,0))))=0,NA(),SUMPRODUCT((Inputs!$A$5:$A$140=$B42)*Inputs!$B$5:$B$140*(((Inputs!$G$5:$G$140="moeda")+(Inputs!$G$5:$G$140="acoes"))*Inputs!$B$1+((Inputs!$G$5:$G$140&lt;&gt;"moeda")*(Inputs!$G$5:$G$140&lt;&gt;"acoes")))*INDEX(Inputs!$K$5:$AJ$140,0,MATCH(S$2,Inputs!$K$4:$AJ$4,0)))+SUMPRODUCT((Inputs!$C$5:$C$140=$B42)*Inputs!$D$5:$D$140*(((Inputs!$G$5:$G$140="moeda")+(Inputs!$G$5:$G$140="acoes"))*Inputs!$B$1+((Inputs!$G$5:$G$140&lt;&gt;"moeda")*(Inputs!$G$5:$G$140&lt;&gt;"acoes")))*INDEX(Inputs!$K$5:$AJ$140,0,MATCH(S$2,Inputs!$K$4:$AJ$4,0)))+SUMPRODUCT((Inputs!$E$5:$E$140=$B42)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2" s="6" t="e">
        <f>IF(ISNA(MATCH(T$2,Inputs!$K$4:$AJ$4,0)),NA(),IF(SUMPRODUCT((Inputs!$A$5:$A$140=$B42)*ISNUMBER(INDEX(Inputs!$K$5:$AJ$140,0,MATCH(T$2,Inputs!$K$4:$AJ$4,0))))+SUMPRODUCT((Inputs!$C$5:$C$140=$B42)*ISNUMBER(INDEX(Inputs!$K$5:$AJ$140,0,MATCH(T$2,Inputs!$K$4:$AJ$4,0))))+SUMPRODUCT((Inputs!$E$5:$E$140=$B42)*ISNUMBER(INDEX(Inputs!$K$5:$AJ$140,0,MATCH(T$2,Inputs!$K$4:$AJ$4,0))))=0,NA(),SUMPRODUCT((Inputs!$A$5:$A$140=$B42)*Inputs!$B$5:$B$140*(((Inputs!$G$5:$G$140="moeda")+(Inputs!$G$5:$G$140="acoes"))*Inputs!$B$1+((Inputs!$G$5:$G$140&lt;&gt;"moeda")*(Inputs!$G$5:$G$140&lt;&gt;"acoes")))*INDEX(Inputs!$K$5:$AJ$140,0,MATCH(T$2,Inputs!$K$4:$AJ$4,0)))+SUMPRODUCT((Inputs!$C$5:$C$140=$B42)*Inputs!$D$5:$D$140*(((Inputs!$G$5:$G$140="moeda")+(Inputs!$G$5:$G$140="acoes"))*Inputs!$B$1+((Inputs!$G$5:$G$140&lt;&gt;"moeda")*(Inputs!$G$5:$G$140&lt;&gt;"acoes")))*INDEX(Inputs!$K$5:$AJ$140,0,MATCH(T$2,Inputs!$K$4:$AJ$4,0)))+SUMPRODUCT((Inputs!$E$5:$E$140=$B42)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2" s="6" t="e">
        <f>IF(ISNA(MATCH(U$2,Inputs!$K$4:$AJ$4,0)),NA(),IF(SUMPRODUCT((Inputs!$A$5:$A$140=$B42)*ISNUMBER(INDEX(Inputs!$K$5:$AJ$140,0,MATCH(U$2,Inputs!$K$4:$AJ$4,0))))+SUMPRODUCT((Inputs!$C$5:$C$140=$B42)*ISNUMBER(INDEX(Inputs!$K$5:$AJ$140,0,MATCH(U$2,Inputs!$K$4:$AJ$4,0))))+SUMPRODUCT((Inputs!$E$5:$E$140=$B42)*ISNUMBER(INDEX(Inputs!$K$5:$AJ$140,0,MATCH(U$2,Inputs!$K$4:$AJ$4,0))))=0,NA(),SUMPRODUCT((Inputs!$A$5:$A$140=$B42)*Inputs!$B$5:$B$140*(((Inputs!$G$5:$G$140="moeda")+(Inputs!$G$5:$G$140="acoes"))*Inputs!$B$1+((Inputs!$G$5:$G$140&lt;&gt;"moeda")*(Inputs!$G$5:$G$140&lt;&gt;"acoes")))*INDEX(Inputs!$K$5:$AJ$140,0,MATCH(U$2,Inputs!$K$4:$AJ$4,0)))+SUMPRODUCT((Inputs!$C$5:$C$140=$B42)*Inputs!$D$5:$D$140*(((Inputs!$G$5:$G$140="moeda")+(Inputs!$G$5:$G$140="acoes"))*Inputs!$B$1+((Inputs!$G$5:$G$140&lt;&gt;"moeda")*(Inputs!$G$5:$G$140&lt;&gt;"acoes")))*INDEX(Inputs!$K$5:$AJ$140,0,MATCH(U$2,Inputs!$K$4:$AJ$4,0)))+SUMPRODUCT((Inputs!$E$5:$E$140=$B42)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2" s="6" t="e">
        <f>IF(ISNA(MATCH(V$2,Inputs!$K$4:$AJ$4,0)),NA(),IF(SUMPRODUCT((Inputs!$A$5:$A$140=$B42)*ISNUMBER(INDEX(Inputs!$K$5:$AJ$140,0,MATCH(V$2,Inputs!$K$4:$AJ$4,0))))+SUMPRODUCT((Inputs!$C$5:$C$140=$B42)*ISNUMBER(INDEX(Inputs!$K$5:$AJ$140,0,MATCH(V$2,Inputs!$K$4:$AJ$4,0))))+SUMPRODUCT((Inputs!$E$5:$E$140=$B42)*ISNUMBER(INDEX(Inputs!$K$5:$AJ$140,0,MATCH(V$2,Inputs!$K$4:$AJ$4,0))))=0,NA(),SUMPRODUCT((Inputs!$A$5:$A$140=$B42)*Inputs!$B$5:$B$140*(((Inputs!$G$5:$G$140="moeda")+(Inputs!$G$5:$G$140="acoes"))*Inputs!$B$1+((Inputs!$G$5:$G$140&lt;&gt;"moeda")*(Inputs!$G$5:$G$140&lt;&gt;"acoes")))*INDEX(Inputs!$K$5:$AJ$140,0,MATCH(V$2,Inputs!$K$4:$AJ$4,0)))+SUMPRODUCT((Inputs!$C$5:$C$140=$B42)*Inputs!$D$5:$D$140*(((Inputs!$G$5:$G$140="moeda")+(Inputs!$G$5:$G$140="acoes"))*Inputs!$B$1+((Inputs!$G$5:$G$140&lt;&gt;"moeda")*(Inputs!$G$5:$G$140&lt;&gt;"acoes")))*INDEX(Inputs!$K$5:$AJ$140,0,MATCH(V$2,Inputs!$K$4:$AJ$4,0)))+SUMPRODUCT((Inputs!$E$5:$E$140=$B42)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2" s="3" t="e">
        <f>V42</f>
        <v>#N/A</v>
      </c>
      <c r="X42" s="6" t="e">
        <f>IF(ISNA(MATCH(X$2,Inputs!$K$4:$AJ$4,0)),NA(),IF(SUMPRODUCT((Inputs!$A$5:$A$140=$B42)*ISNUMBER(INDEX(Inputs!$K$5:$AJ$140,0,MATCH(X$2,Inputs!$K$4:$AJ$4,0))))+SUMPRODUCT((Inputs!$C$5:$C$140=$B42)*ISNUMBER(INDEX(Inputs!$K$5:$AJ$140,0,MATCH(X$2,Inputs!$K$4:$AJ$4,0))))+SUMPRODUCT((Inputs!$E$5:$E$140=$B42)*ISNUMBER(INDEX(Inputs!$K$5:$AJ$140,0,MATCH(X$2,Inputs!$K$4:$AJ$4,0))))=0,NA(),SUMPRODUCT((Inputs!$A$5:$A$140=$B42)*Inputs!$B$5:$B$140*(((Inputs!$G$5:$G$140="moeda")+(Inputs!$G$5:$G$140="acoes"))*Inputs!$B$1+((Inputs!$G$5:$G$140&lt;&gt;"moeda")*(Inputs!$G$5:$G$140&lt;&gt;"acoes")))*INDEX(Inputs!$K$5:$AJ$140,0,MATCH(X$2,Inputs!$K$4:$AJ$4,0)))+SUMPRODUCT((Inputs!$C$5:$C$140=$B42)*Inputs!$D$5:$D$140*(((Inputs!$G$5:$G$140="moeda")+(Inputs!$G$5:$G$140="acoes"))*Inputs!$B$1+((Inputs!$G$5:$G$140&lt;&gt;"moeda")*(Inputs!$G$5:$G$140&lt;&gt;"acoes")))*INDEX(Inputs!$K$5:$AJ$140,0,MATCH(X$2,Inputs!$K$4:$AJ$4,0)))+SUMPRODUCT((Inputs!$E$5:$E$140=$B42)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2" s="6" t="e">
        <f>IF(ISNA(MATCH(Y$2,Inputs!$K$4:$AJ$4,0)),NA(),IF(SUMPRODUCT((Inputs!$A$5:$A$140=$B42)*ISNUMBER(INDEX(Inputs!$K$5:$AJ$140,0,MATCH(Y$2,Inputs!$K$4:$AJ$4,0))))+SUMPRODUCT((Inputs!$C$5:$C$140=$B42)*ISNUMBER(INDEX(Inputs!$K$5:$AJ$140,0,MATCH(Y$2,Inputs!$K$4:$AJ$4,0))))+SUMPRODUCT((Inputs!$E$5:$E$140=$B42)*ISNUMBER(INDEX(Inputs!$K$5:$AJ$140,0,MATCH(Y$2,Inputs!$K$4:$AJ$4,0))))=0,NA(),SUMPRODUCT((Inputs!$A$5:$A$140=$B42)*Inputs!$B$5:$B$140*(((Inputs!$G$5:$G$140="moeda")+(Inputs!$G$5:$G$140="acoes"))*Inputs!$B$1+((Inputs!$G$5:$G$140&lt;&gt;"moeda")*(Inputs!$G$5:$G$140&lt;&gt;"acoes")))*INDEX(Inputs!$K$5:$AJ$140,0,MATCH(Y$2,Inputs!$K$4:$AJ$4,0)))+SUMPRODUCT((Inputs!$C$5:$C$140=$B42)*Inputs!$D$5:$D$140*(((Inputs!$G$5:$G$140="moeda")+(Inputs!$G$5:$G$140="acoes"))*Inputs!$B$1+((Inputs!$G$5:$G$140&lt;&gt;"moeda")*(Inputs!$G$5:$G$140&lt;&gt;"acoes")))*INDEX(Inputs!$K$5:$AJ$140,0,MATCH(Y$2,Inputs!$K$4:$AJ$4,0)))+SUMPRODUCT((Inputs!$E$5:$E$140=$B42)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2" s="6" t="e">
        <f>IF(ISNA(MATCH(Z$2,Inputs!$K$4:$AJ$4,0)),NA(),IF(SUMPRODUCT((Inputs!$A$5:$A$140=$B42)*ISNUMBER(INDEX(Inputs!$K$5:$AJ$140,0,MATCH(Z$2,Inputs!$K$4:$AJ$4,0))))+SUMPRODUCT((Inputs!$C$5:$C$140=$B42)*ISNUMBER(INDEX(Inputs!$K$5:$AJ$140,0,MATCH(Z$2,Inputs!$K$4:$AJ$4,0))))+SUMPRODUCT((Inputs!$E$5:$E$140=$B42)*ISNUMBER(INDEX(Inputs!$K$5:$AJ$140,0,MATCH(Z$2,Inputs!$K$4:$AJ$4,0))))=0,NA(),SUMPRODUCT((Inputs!$A$5:$A$140=$B42)*Inputs!$B$5:$B$140*(((Inputs!$G$5:$G$140="moeda")+(Inputs!$G$5:$G$140="acoes"))*Inputs!$B$1+((Inputs!$G$5:$G$140&lt;&gt;"moeda")*(Inputs!$G$5:$G$140&lt;&gt;"acoes")))*INDEX(Inputs!$K$5:$AJ$140,0,MATCH(Z$2,Inputs!$K$4:$AJ$4,0)))+SUMPRODUCT((Inputs!$C$5:$C$140=$B42)*Inputs!$D$5:$D$140*(((Inputs!$G$5:$G$140="moeda")+(Inputs!$G$5:$G$140="acoes"))*Inputs!$B$1+((Inputs!$G$5:$G$140&lt;&gt;"moeda")*(Inputs!$G$5:$G$140&lt;&gt;"acoes")))*INDEX(Inputs!$K$5:$AJ$140,0,MATCH(Z$2,Inputs!$K$4:$AJ$4,0)))+SUMPRODUCT((Inputs!$E$5:$E$140=$B42)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2" s="6" t="e">
        <f>IF(ISNA(MATCH(AA$2,Inputs!$K$4:$AJ$4,0)),NA(),IF(SUMPRODUCT((Inputs!$A$5:$A$140=$B42)*ISNUMBER(INDEX(Inputs!$K$5:$AJ$140,0,MATCH(AA$2,Inputs!$K$4:$AJ$4,0))))+SUMPRODUCT((Inputs!$C$5:$C$140=$B42)*ISNUMBER(INDEX(Inputs!$K$5:$AJ$140,0,MATCH(AA$2,Inputs!$K$4:$AJ$4,0))))+SUMPRODUCT((Inputs!$E$5:$E$140=$B42)*ISNUMBER(INDEX(Inputs!$K$5:$AJ$140,0,MATCH(AA$2,Inputs!$K$4:$AJ$4,0))))=0,NA(),SUMPRODUCT((Inputs!$A$5:$A$140=$B42)*Inputs!$B$5:$B$140*(((Inputs!$G$5:$G$140="moeda")+(Inputs!$G$5:$G$140="acoes"))*Inputs!$B$1+((Inputs!$G$5:$G$140&lt;&gt;"moeda")*(Inputs!$G$5:$G$140&lt;&gt;"acoes")))*INDEX(Inputs!$K$5:$AJ$140,0,MATCH(AA$2,Inputs!$K$4:$AJ$4,0)))+SUMPRODUCT((Inputs!$C$5:$C$140=$B42)*Inputs!$D$5:$D$140*(((Inputs!$G$5:$G$140="moeda")+(Inputs!$G$5:$G$140="acoes"))*Inputs!$B$1+((Inputs!$G$5:$G$140&lt;&gt;"moeda")*(Inputs!$G$5:$G$140&lt;&gt;"acoes")))*INDEX(Inputs!$K$5:$AJ$140,0,MATCH(AA$2,Inputs!$K$4:$AJ$4,0)))+SUMPRODUCT((Inputs!$E$5:$E$140=$B42)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2" s="3" t="e">
        <f>AA42</f>
        <v>#N/A</v>
      </c>
      <c r="AC42" s="6" t="e">
        <f>IF(ISNA(MATCH(AC$2,Inputs!$K$4:$AJ$4,0)),NA(),IF(SUMPRODUCT((Inputs!$A$5:$A$140=$B42)*ISNUMBER(INDEX(Inputs!$K$5:$AJ$140,0,MATCH(AC$2,Inputs!$K$4:$AJ$4,0))))+SUMPRODUCT((Inputs!$C$5:$C$140=$B42)*ISNUMBER(INDEX(Inputs!$K$5:$AJ$140,0,MATCH(AC$2,Inputs!$K$4:$AJ$4,0))))+SUMPRODUCT((Inputs!$E$5:$E$140=$B42)*ISNUMBER(INDEX(Inputs!$K$5:$AJ$140,0,MATCH(AC$2,Inputs!$K$4:$AJ$4,0))))=0,NA(),SUMPRODUCT((Inputs!$A$5:$A$140=$B42)*Inputs!$B$5:$B$140*(((Inputs!$G$5:$G$140="moeda")+(Inputs!$G$5:$G$140="acoes"))*Inputs!$B$1+((Inputs!$G$5:$G$140&lt;&gt;"moeda")*(Inputs!$G$5:$G$140&lt;&gt;"acoes")))*INDEX(Inputs!$K$5:$AJ$140,0,MATCH(AC$2,Inputs!$K$4:$AJ$4,0)))+SUMPRODUCT((Inputs!$C$5:$C$140=$B42)*Inputs!$D$5:$D$140*(((Inputs!$G$5:$G$140="moeda")+(Inputs!$G$5:$G$140="acoes"))*Inputs!$B$1+((Inputs!$G$5:$G$140&lt;&gt;"moeda")*(Inputs!$G$5:$G$140&lt;&gt;"acoes")))*INDEX(Inputs!$K$5:$AJ$140,0,MATCH(AC$2,Inputs!$K$4:$AJ$4,0)))+SUMPRODUCT((Inputs!$E$5:$E$140=$B42)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2" s="6" t="e">
        <f>IF(ISNA(MATCH(AD$2,Inputs!$K$4:$AJ$4,0)),NA(),IF(SUMPRODUCT((Inputs!$A$5:$A$140=$B42)*ISNUMBER(INDEX(Inputs!$K$5:$AJ$140,0,MATCH(AD$2,Inputs!$K$4:$AJ$4,0))))+SUMPRODUCT((Inputs!$C$5:$C$140=$B42)*ISNUMBER(INDEX(Inputs!$K$5:$AJ$140,0,MATCH(AD$2,Inputs!$K$4:$AJ$4,0))))+SUMPRODUCT((Inputs!$E$5:$E$140=$B42)*ISNUMBER(INDEX(Inputs!$K$5:$AJ$140,0,MATCH(AD$2,Inputs!$K$4:$AJ$4,0))))=0,NA(),SUMPRODUCT((Inputs!$A$5:$A$140=$B42)*Inputs!$B$5:$B$140*(((Inputs!$G$5:$G$140="moeda")+(Inputs!$G$5:$G$140="acoes"))*Inputs!$B$1+((Inputs!$G$5:$G$140&lt;&gt;"moeda")*(Inputs!$G$5:$G$140&lt;&gt;"acoes")))*INDEX(Inputs!$K$5:$AJ$140,0,MATCH(AD$2,Inputs!$K$4:$AJ$4,0)))+SUMPRODUCT((Inputs!$C$5:$C$140=$B42)*Inputs!$D$5:$D$140*(((Inputs!$G$5:$G$140="moeda")+(Inputs!$G$5:$G$140="acoes"))*Inputs!$B$1+((Inputs!$G$5:$G$140&lt;&gt;"moeda")*(Inputs!$G$5:$G$140&lt;&gt;"acoes")))*INDEX(Inputs!$K$5:$AJ$140,0,MATCH(AD$2,Inputs!$K$4:$AJ$4,0)))+SUMPRODUCT((Inputs!$E$5:$E$140=$B42)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2" s="6" t="e">
        <f>IF(ISNA(MATCH(AE$2,Inputs!$K$4:$AJ$4,0)),NA(),IF(SUMPRODUCT((Inputs!$A$5:$A$140=$B42)*ISNUMBER(INDEX(Inputs!$K$5:$AJ$140,0,MATCH(AE$2,Inputs!$K$4:$AJ$4,0))))+SUMPRODUCT((Inputs!$C$5:$C$140=$B42)*ISNUMBER(INDEX(Inputs!$K$5:$AJ$140,0,MATCH(AE$2,Inputs!$K$4:$AJ$4,0))))+SUMPRODUCT((Inputs!$E$5:$E$140=$B42)*ISNUMBER(INDEX(Inputs!$K$5:$AJ$140,0,MATCH(AE$2,Inputs!$K$4:$AJ$4,0))))=0,NA(),SUMPRODUCT((Inputs!$A$5:$A$140=$B42)*Inputs!$B$5:$B$140*(((Inputs!$G$5:$G$140="moeda")+(Inputs!$G$5:$G$140="acoes"))*Inputs!$B$1+((Inputs!$G$5:$G$140&lt;&gt;"moeda")*(Inputs!$G$5:$G$140&lt;&gt;"acoes")))*INDEX(Inputs!$K$5:$AJ$140,0,MATCH(AE$2,Inputs!$K$4:$AJ$4,0)))+SUMPRODUCT((Inputs!$C$5:$C$140=$B42)*Inputs!$D$5:$D$140*(((Inputs!$G$5:$G$140="moeda")+(Inputs!$G$5:$G$140="acoes"))*Inputs!$B$1+((Inputs!$G$5:$G$140&lt;&gt;"moeda")*(Inputs!$G$5:$G$140&lt;&gt;"acoes")))*INDEX(Inputs!$K$5:$AJ$140,0,MATCH(AE$2,Inputs!$K$4:$AJ$4,0)))+SUMPRODUCT((Inputs!$E$5:$E$140=$B42)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2" s="6" t="e">
        <f>IF(ISNA(MATCH(AF$2,Inputs!$K$4:$AJ$4,0)),NA(),IF(SUMPRODUCT((Inputs!$A$5:$A$140=$B42)*ISNUMBER(INDEX(Inputs!$K$5:$AJ$140,0,MATCH(AF$2,Inputs!$K$4:$AJ$4,0))))+SUMPRODUCT((Inputs!$C$5:$C$140=$B42)*ISNUMBER(INDEX(Inputs!$K$5:$AJ$140,0,MATCH(AF$2,Inputs!$K$4:$AJ$4,0))))+SUMPRODUCT((Inputs!$E$5:$E$140=$B42)*ISNUMBER(INDEX(Inputs!$K$5:$AJ$140,0,MATCH(AF$2,Inputs!$K$4:$AJ$4,0))))=0,NA(),SUMPRODUCT((Inputs!$A$5:$A$140=$B42)*Inputs!$B$5:$B$140*(((Inputs!$G$5:$G$140="moeda")+(Inputs!$G$5:$G$140="acoes"))*Inputs!$B$1+((Inputs!$G$5:$G$140&lt;&gt;"moeda")*(Inputs!$G$5:$G$140&lt;&gt;"acoes")))*INDEX(Inputs!$K$5:$AJ$140,0,MATCH(AF$2,Inputs!$K$4:$AJ$4,0)))+SUMPRODUCT((Inputs!$C$5:$C$140=$B42)*Inputs!$D$5:$D$140*(((Inputs!$G$5:$G$140="moeda")+(Inputs!$G$5:$G$140="acoes"))*Inputs!$B$1+((Inputs!$G$5:$G$140&lt;&gt;"moeda")*(Inputs!$G$5:$G$140&lt;&gt;"acoes")))*INDEX(Inputs!$K$5:$AJ$140,0,MATCH(AF$2,Inputs!$K$4:$AJ$4,0)))+SUMPRODUCT((Inputs!$E$5:$E$140=$B42)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2" s="3" t="e">
        <f>AF42</f>
        <v>#N/A</v>
      </c>
      <c r="AH42" s="6" t="e">
        <f>IF(ISNA(MATCH(AH$2,Inputs!$K$4:$AJ$4,0)),NA(),IF(SUMPRODUCT((Inputs!$A$5:$A$140=$B42)*ISNUMBER(INDEX(Inputs!$K$5:$AJ$140,0,MATCH(AH$2,Inputs!$K$4:$AJ$4,0))))+SUMPRODUCT((Inputs!$C$5:$C$140=$B42)*ISNUMBER(INDEX(Inputs!$K$5:$AJ$140,0,MATCH(AH$2,Inputs!$K$4:$AJ$4,0))))+SUMPRODUCT((Inputs!$E$5:$E$140=$B42)*ISNUMBER(INDEX(Inputs!$K$5:$AJ$140,0,MATCH(AH$2,Inputs!$K$4:$AJ$4,0))))=0,NA(),SUMPRODUCT((Inputs!$A$5:$A$140=$B42)*Inputs!$B$5:$B$140*(((Inputs!$G$5:$G$140="moeda")+(Inputs!$G$5:$G$140="acoes"))*Inputs!$B$1+((Inputs!$G$5:$G$140&lt;&gt;"moeda")*(Inputs!$G$5:$G$140&lt;&gt;"acoes")))*INDEX(Inputs!$K$5:$AJ$140,0,MATCH(AH$2,Inputs!$K$4:$AJ$4,0)))+SUMPRODUCT((Inputs!$C$5:$C$140=$B42)*Inputs!$D$5:$D$140*(((Inputs!$G$5:$G$140="moeda")+(Inputs!$G$5:$G$140="acoes"))*Inputs!$B$1+((Inputs!$G$5:$G$140&lt;&gt;"moeda")*(Inputs!$G$5:$G$140&lt;&gt;"acoes")))*INDEX(Inputs!$K$5:$AJ$140,0,MATCH(AH$2,Inputs!$K$4:$AJ$4,0)))+SUMPRODUCT((Inputs!$E$5:$E$140=$B42)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2" s="6" t="e">
        <f>IF(ISNA(MATCH(AI$2,Inputs!$K$4:$AJ$4,0)),NA(),IF(SUMPRODUCT((Inputs!$A$5:$A$140=$B42)*ISNUMBER(INDEX(Inputs!$K$5:$AJ$140,0,MATCH(AI$2,Inputs!$K$4:$AJ$4,0))))+SUMPRODUCT((Inputs!$C$5:$C$140=$B42)*ISNUMBER(INDEX(Inputs!$K$5:$AJ$140,0,MATCH(AI$2,Inputs!$K$4:$AJ$4,0))))+SUMPRODUCT((Inputs!$E$5:$E$140=$B42)*ISNUMBER(INDEX(Inputs!$K$5:$AJ$140,0,MATCH(AI$2,Inputs!$K$4:$AJ$4,0))))=0,NA(),SUMPRODUCT((Inputs!$A$5:$A$140=$B42)*Inputs!$B$5:$B$140*(((Inputs!$G$5:$G$140="moeda")+(Inputs!$G$5:$G$140="acoes"))*Inputs!$B$1+((Inputs!$G$5:$G$140&lt;&gt;"moeda")*(Inputs!$G$5:$G$140&lt;&gt;"acoes")))*INDEX(Inputs!$K$5:$AJ$140,0,MATCH(AI$2,Inputs!$K$4:$AJ$4,0)))+SUMPRODUCT((Inputs!$C$5:$C$140=$B42)*Inputs!$D$5:$D$140*(((Inputs!$G$5:$G$140="moeda")+(Inputs!$G$5:$G$140="acoes"))*Inputs!$B$1+((Inputs!$G$5:$G$140&lt;&gt;"moeda")*(Inputs!$G$5:$G$140&lt;&gt;"acoes")))*INDEX(Inputs!$K$5:$AJ$140,0,MATCH(AI$2,Inputs!$K$4:$AJ$4,0)))+SUMPRODUCT((Inputs!$E$5:$E$140=$B42)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2" s="6" t="e">
        <f>IF(ISNA(MATCH(AJ$2,Inputs!$K$4:$AJ$4,0)),NA(),IF(SUMPRODUCT((Inputs!$A$5:$A$140=$B42)*ISNUMBER(INDEX(Inputs!$K$5:$AJ$140,0,MATCH(AJ$2,Inputs!$K$4:$AJ$4,0))))+SUMPRODUCT((Inputs!$C$5:$C$140=$B42)*ISNUMBER(INDEX(Inputs!$K$5:$AJ$140,0,MATCH(AJ$2,Inputs!$K$4:$AJ$4,0))))+SUMPRODUCT((Inputs!$E$5:$E$140=$B42)*ISNUMBER(INDEX(Inputs!$K$5:$AJ$140,0,MATCH(AJ$2,Inputs!$K$4:$AJ$4,0))))=0,NA(),SUMPRODUCT((Inputs!$A$5:$A$140=$B42)*Inputs!$B$5:$B$140*(((Inputs!$G$5:$G$140="moeda")+(Inputs!$G$5:$G$140="acoes"))*Inputs!$B$1+((Inputs!$G$5:$G$140&lt;&gt;"moeda")*(Inputs!$G$5:$G$140&lt;&gt;"acoes")))*INDEX(Inputs!$K$5:$AJ$140,0,MATCH(AJ$2,Inputs!$K$4:$AJ$4,0)))+SUMPRODUCT((Inputs!$C$5:$C$140=$B42)*Inputs!$D$5:$D$140*(((Inputs!$G$5:$G$140="moeda")+(Inputs!$G$5:$G$140="acoes"))*Inputs!$B$1+((Inputs!$G$5:$G$140&lt;&gt;"moeda")*(Inputs!$G$5:$G$140&lt;&gt;"acoes")))*INDEX(Inputs!$K$5:$AJ$140,0,MATCH(AJ$2,Inputs!$K$4:$AJ$4,0)))+SUMPRODUCT((Inputs!$E$5:$E$140=$B42)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2" s="6" t="e">
        <f>IF(ISNA(MATCH(AK$2,Inputs!$K$4:$AJ$4,0)),NA(),IF(SUMPRODUCT((Inputs!$A$5:$A$140=$B42)*ISNUMBER(INDEX(Inputs!$K$5:$AJ$140,0,MATCH(AK$2,Inputs!$K$4:$AJ$4,0))))+SUMPRODUCT((Inputs!$C$5:$C$140=$B42)*ISNUMBER(INDEX(Inputs!$K$5:$AJ$140,0,MATCH(AK$2,Inputs!$K$4:$AJ$4,0))))+SUMPRODUCT((Inputs!$E$5:$E$140=$B42)*ISNUMBER(INDEX(Inputs!$K$5:$AJ$140,0,MATCH(AK$2,Inputs!$K$4:$AJ$4,0))))=0,NA(),SUMPRODUCT((Inputs!$A$5:$A$140=$B42)*Inputs!$B$5:$B$140*(((Inputs!$G$5:$G$140="moeda")+(Inputs!$G$5:$G$140="acoes"))*Inputs!$B$1+((Inputs!$G$5:$G$140&lt;&gt;"moeda")*(Inputs!$G$5:$G$140&lt;&gt;"acoes")))*INDEX(Inputs!$K$5:$AJ$140,0,MATCH(AK$2,Inputs!$K$4:$AJ$4,0)))+SUMPRODUCT((Inputs!$C$5:$C$140=$B42)*Inputs!$D$5:$D$140*(((Inputs!$G$5:$G$140="moeda")+(Inputs!$G$5:$G$140="acoes"))*Inputs!$B$1+((Inputs!$G$5:$G$140&lt;&gt;"moeda")*(Inputs!$G$5:$G$140&lt;&gt;"acoes")))*INDEX(Inputs!$K$5:$AJ$140,0,MATCH(AK$2,Inputs!$K$4:$AJ$4,0)))+SUMPRODUCT((Inputs!$E$5:$E$140=$B42)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$140=$B43)*ISNUMBER(INDEX(Inputs!$K$5:$AJ$140,0,MATCH(D$2,Inputs!$K$4:$AJ$4,0))))+SUMPRODUCT((Inputs!$C$5:$C$140=$B43)*ISNUMBER(INDEX(Inputs!$K$5:$AJ$140,0,MATCH(D$2,Inputs!$K$4:$AJ$4,0))))+SUMPRODUCT((Inputs!$E$5:$E$140=$B43)*ISNUMBER(INDEX(Inputs!$K$5:$AJ$140,0,MATCH(D$2,Inputs!$K$4:$AJ$4,0))))=0,NA(),SUMPRODUCT((Inputs!$A$5:$A$140=$B43)*Inputs!$B$5:$B$140*(((Inputs!$G$5:$G$140="moeda")+(Inputs!$G$5:$G$140="acoes"))*Inputs!$B$1+((Inputs!$G$5:$G$140&lt;&gt;"moeda")*(Inputs!$G$5:$G$140&lt;&gt;"acoes")))*INDEX(Inputs!$K$5:$AJ$140,0,MATCH(D$2,Inputs!$K$4:$AJ$4,0)))+SUMPRODUCT((Inputs!$C$5:$C$140=$B43)*Inputs!$D$5:$D$140*(((Inputs!$G$5:$G$140="moeda")+(Inputs!$G$5:$G$140="acoes"))*Inputs!$B$1+((Inputs!$G$5:$G$140&lt;&gt;"moeda")*(Inputs!$G$5:$G$140&lt;&gt;"acoes")))*INDEX(Inputs!$K$5:$AJ$140,0,MATCH(D$2,Inputs!$K$4:$AJ$4,0)))+SUMPRODUCT((Inputs!$E$5:$E$140=$B43)*Inputs!$F$5:$F$140*(((Inputs!$G$5:$G$140="moeda")+(Inputs!$G$5:$G$140="acoes"))*Inputs!$B$1+((Inputs!$G$5:$G$140&lt;&gt;"moeda")*(Inputs!$G$5:$G$140&lt;&gt;"acoes")))*INDEX(Inputs!$K$5:$AJ$140,0,MATCH(D$2,Inputs!$K$4:$AJ$4,0)))))</f>
        <v>308.652</v>
      </c>
      <c r="E43" s="6">
        <f>IF(ISNA(MATCH(E$2,Inputs!$K$4:$AJ$4,0)),NA(),IF(SUMPRODUCT((Inputs!$A$5:$A$140=$B43)*ISNUMBER(INDEX(Inputs!$K$5:$AJ$140,0,MATCH(E$2,Inputs!$K$4:$AJ$4,0))))+SUMPRODUCT((Inputs!$C$5:$C$140=$B43)*ISNUMBER(INDEX(Inputs!$K$5:$AJ$140,0,MATCH(E$2,Inputs!$K$4:$AJ$4,0))))+SUMPRODUCT((Inputs!$E$5:$E$140=$B43)*ISNUMBER(INDEX(Inputs!$K$5:$AJ$140,0,MATCH(E$2,Inputs!$K$4:$AJ$4,0))))=0,NA(),SUMPRODUCT((Inputs!$A$5:$A$140=$B43)*Inputs!$B$5:$B$140*(((Inputs!$G$5:$G$140="moeda")+(Inputs!$G$5:$G$140="acoes"))*Inputs!$B$1+((Inputs!$G$5:$G$140&lt;&gt;"moeda")*(Inputs!$G$5:$G$140&lt;&gt;"acoes")))*INDEX(Inputs!$K$5:$AJ$140,0,MATCH(E$2,Inputs!$K$4:$AJ$4,0)))+SUMPRODUCT((Inputs!$C$5:$C$140=$B43)*Inputs!$D$5:$D$140*(((Inputs!$G$5:$G$140="moeda")+(Inputs!$G$5:$G$140="acoes"))*Inputs!$B$1+((Inputs!$G$5:$G$140&lt;&gt;"moeda")*(Inputs!$G$5:$G$140&lt;&gt;"acoes")))*INDEX(Inputs!$K$5:$AJ$140,0,MATCH(E$2,Inputs!$K$4:$AJ$4,0)))+SUMPRODUCT((Inputs!$E$5:$E$140=$B43)*Inputs!$F$5:$F$140*(((Inputs!$G$5:$G$140="moeda")+(Inputs!$G$5:$G$140="acoes"))*Inputs!$B$1+((Inputs!$G$5:$G$140&lt;&gt;"moeda")*(Inputs!$G$5:$G$140&lt;&gt;"acoes")))*INDEX(Inputs!$K$5:$AJ$140,0,MATCH(E$2,Inputs!$K$4:$AJ$4,0)))))</f>
        <v>308.652</v>
      </c>
      <c r="F43" s="6">
        <f>IF(ISNA(MATCH(F$2,Inputs!$K$4:$AJ$4,0)),NA(),IF(SUMPRODUCT((Inputs!$A$5:$A$140=$B43)*ISNUMBER(INDEX(Inputs!$K$5:$AJ$140,0,MATCH(F$2,Inputs!$K$4:$AJ$4,0))))+SUMPRODUCT((Inputs!$C$5:$C$140=$B43)*ISNUMBER(INDEX(Inputs!$K$5:$AJ$140,0,MATCH(F$2,Inputs!$K$4:$AJ$4,0))))+SUMPRODUCT((Inputs!$E$5:$E$140=$B43)*ISNUMBER(INDEX(Inputs!$K$5:$AJ$140,0,MATCH(F$2,Inputs!$K$4:$AJ$4,0))))=0,NA(),SUMPRODUCT((Inputs!$A$5:$A$140=$B43)*Inputs!$B$5:$B$140*(((Inputs!$G$5:$G$140="moeda")+(Inputs!$G$5:$G$140="acoes"))*Inputs!$B$1+((Inputs!$G$5:$G$140&lt;&gt;"moeda")*(Inputs!$G$5:$G$140&lt;&gt;"acoes")))*INDEX(Inputs!$K$5:$AJ$140,0,MATCH(F$2,Inputs!$K$4:$AJ$4,0)))+SUMPRODUCT((Inputs!$C$5:$C$140=$B43)*Inputs!$D$5:$D$140*(((Inputs!$G$5:$G$140="moeda")+(Inputs!$G$5:$G$140="acoes"))*Inputs!$B$1+((Inputs!$G$5:$G$140&lt;&gt;"moeda")*(Inputs!$G$5:$G$140&lt;&gt;"acoes")))*INDEX(Inputs!$K$5:$AJ$140,0,MATCH(F$2,Inputs!$K$4:$AJ$4,0)))+SUMPRODUCT((Inputs!$E$5:$E$140=$B43)*Inputs!$F$5:$F$140*(((Inputs!$G$5:$G$140="moeda")+(Inputs!$G$5:$G$140="acoes"))*Inputs!$B$1+((Inputs!$G$5:$G$140&lt;&gt;"moeda")*(Inputs!$G$5:$G$140&lt;&gt;"acoes")))*INDEX(Inputs!$K$5:$AJ$140,0,MATCH(F$2,Inputs!$K$4:$AJ$4,0)))))</f>
        <v>308.652</v>
      </c>
      <c r="G43" s="6">
        <f>IF(ISNA(MATCH(G$2,Inputs!$K$4:$AJ$4,0)),NA(),IF(SUMPRODUCT((Inputs!$A$5:$A$140=$B43)*ISNUMBER(INDEX(Inputs!$K$5:$AJ$140,0,MATCH(G$2,Inputs!$K$4:$AJ$4,0))))+SUMPRODUCT((Inputs!$C$5:$C$140=$B43)*ISNUMBER(INDEX(Inputs!$K$5:$AJ$140,0,MATCH(G$2,Inputs!$K$4:$AJ$4,0))))+SUMPRODUCT((Inputs!$E$5:$E$140=$B43)*ISNUMBER(INDEX(Inputs!$K$5:$AJ$140,0,MATCH(G$2,Inputs!$K$4:$AJ$4,0))))=0,NA(),SUMPRODUCT((Inputs!$A$5:$A$140=$B43)*Inputs!$B$5:$B$140*(((Inputs!$G$5:$G$140="moeda")+(Inputs!$G$5:$G$140="acoes"))*Inputs!$B$1+((Inputs!$G$5:$G$140&lt;&gt;"moeda")*(Inputs!$G$5:$G$140&lt;&gt;"acoes")))*INDEX(Inputs!$K$5:$AJ$140,0,MATCH(G$2,Inputs!$K$4:$AJ$4,0)))+SUMPRODUCT((Inputs!$C$5:$C$140=$B43)*Inputs!$D$5:$D$140*(((Inputs!$G$5:$G$140="moeda")+(Inputs!$G$5:$G$140="acoes"))*Inputs!$B$1+((Inputs!$G$5:$G$140&lt;&gt;"moeda")*(Inputs!$G$5:$G$140&lt;&gt;"acoes")))*INDEX(Inputs!$K$5:$AJ$140,0,MATCH(G$2,Inputs!$K$4:$AJ$4,0)))+SUMPRODUCT((Inputs!$E$5:$E$140=$B43)*Inputs!$F$5:$F$140*(((Inputs!$G$5:$G$140="moeda")+(Inputs!$G$5:$G$140="acoes"))*Inputs!$B$1+((Inputs!$G$5:$G$140&lt;&gt;"moeda")*(Inputs!$G$5:$G$140&lt;&gt;"acoes")))*INDEX(Inputs!$K$5:$AJ$140,0,MATCH(G$2,Inputs!$K$4:$AJ$4,0)))))</f>
        <v>308.652</v>
      </c>
      <c r="H43" s="3">
        <f>G43</f>
        <v>308.652</v>
      </c>
      <c r="I43" s="6">
        <f>IF(ISNA(MATCH(I$2,Inputs!$K$4:$AJ$4,0)),NA(),IF(SUMPRODUCT((Inputs!$A$5:$A$140=$B43)*ISNUMBER(INDEX(Inputs!$K$5:$AJ$140,0,MATCH(I$2,Inputs!$K$4:$AJ$4,0))))+SUMPRODUCT((Inputs!$C$5:$C$140=$B43)*ISNUMBER(INDEX(Inputs!$K$5:$AJ$140,0,MATCH(I$2,Inputs!$K$4:$AJ$4,0))))+SUMPRODUCT((Inputs!$E$5:$E$140=$B43)*ISNUMBER(INDEX(Inputs!$K$5:$AJ$140,0,MATCH(I$2,Inputs!$K$4:$AJ$4,0))))=0,NA(),SUMPRODUCT((Inputs!$A$5:$A$140=$B43)*Inputs!$B$5:$B$140*(((Inputs!$G$5:$G$140="moeda")+(Inputs!$G$5:$G$140="acoes"))*Inputs!$B$1+((Inputs!$G$5:$G$140&lt;&gt;"moeda")*(Inputs!$G$5:$G$140&lt;&gt;"acoes")))*INDEX(Inputs!$K$5:$AJ$140,0,MATCH(I$2,Inputs!$K$4:$AJ$4,0)))+SUMPRODUCT((Inputs!$C$5:$C$140=$B43)*Inputs!$D$5:$D$140*(((Inputs!$G$5:$G$140="moeda")+(Inputs!$G$5:$G$140="acoes"))*Inputs!$B$1+((Inputs!$G$5:$G$140&lt;&gt;"moeda")*(Inputs!$G$5:$G$140&lt;&gt;"acoes")))*INDEX(Inputs!$K$5:$AJ$140,0,MATCH(I$2,Inputs!$K$4:$AJ$4,0)))+SUMPRODUCT((Inputs!$E$5:$E$140=$B43)*Inputs!$F$5:$F$140*(((Inputs!$G$5:$G$140="moeda")+(Inputs!$G$5:$G$140="acoes"))*Inputs!$B$1+((Inputs!$G$5:$G$140&lt;&gt;"moeda")*(Inputs!$G$5:$G$140&lt;&gt;"acoes")))*INDEX(Inputs!$K$5:$AJ$140,0,MATCH(I$2,Inputs!$K$4:$AJ$4,0)))))</f>
        <v>308.652</v>
      </c>
      <c r="J43" s="6">
        <f>IF(ISNA(MATCH(J$2,Inputs!$K$4:$AJ$4,0)),NA(),IF(SUMPRODUCT((Inputs!$A$5:$A$140=$B43)*ISNUMBER(INDEX(Inputs!$K$5:$AJ$140,0,MATCH(J$2,Inputs!$K$4:$AJ$4,0))))+SUMPRODUCT((Inputs!$C$5:$C$140=$B43)*ISNUMBER(INDEX(Inputs!$K$5:$AJ$140,0,MATCH(J$2,Inputs!$K$4:$AJ$4,0))))+SUMPRODUCT((Inputs!$E$5:$E$140=$B43)*ISNUMBER(INDEX(Inputs!$K$5:$AJ$140,0,MATCH(J$2,Inputs!$K$4:$AJ$4,0))))=0,NA(),SUMPRODUCT((Inputs!$A$5:$A$140=$B43)*Inputs!$B$5:$B$140*(((Inputs!$G$5:$G$140="moeda")+(Inputs!$G$5:$G$140="acoes"))*Inputs!$B$1+((Inputs!$G$5:$G$140&lt;&gt;"moeda")*(Inputs!$G$5:$G$140&lt;&gt;"acoes")))*INDEX(Inputs!$K$5:$AJ$140,0,MATCH(J$2,Inputs!$K$4:$AJ$4,0)))+SUMPRODUCT((Inputs!$C$5:$C$140=$B43)*Inputs!$D$5:$D$140*(((Inputs!$G$5:$G$140="moeda")+(Inputs!$G$5:$G$140="acoes"))*Inputs!$B$1+((Inputs!$G$5:$G$140&lt;&gt;"moeda")*(Inputs!$G$5:$G$140&lt;&gt;"acoes")))*INDEX(Inputs!$K$5:$AJ$140,0,MATCH(J$2,Inputs!$K$4:$AJ$4,0)))+SUMPRODUCT((Inputs!$E$5:$E$140=$B43)*Inputs!$F$5:$F$140*(((Inputs!$G$5:$G$140="moeda")+(Inputs!$G$5:$G$140="acoes"))*Inputs!$B$1+((Inputs!$G$5:$G$140&lt;&gt;"moeda")*(Inputs!$G$5:$G$140&lt;&gt;"acoes")))*INDEX(Inputs!$K$5:$AJ$140,0,MATCH(J$2,Inputs!$K$4:$AJ$4,0)))))</f>
        <v>308.652</v>
      </c>
      <c r="K43" s="6">
        <f>IF(ISNA(MATCH(K$2,Inputs!$K$4:$AJ$4,0)),NA(),IF(SUMPRODUCT((Inputs!$A$5:$A$140=$B43)*ISNUMBER(INDEX(Inputs!$K$5:$AJ$140,0,MATCH(K$2,Inputs!$K$4:$AJ$4,0))))+SUMPRODUCT((Inputs!$C$5:$C$140=$B43)*ISNUMBER(INDEX(Inputs!$K$5:$AJ$140,0,MATCH(K$2,Inputs!$K$4:$AJ$4,0))))+SUMPRODUCT((Inputs!$E$5:$E$140=$B43)*ISNUMBER(INDEX(Inputs!$K$5:$AJ$140,0,MATCH(K$2,Inputs!$K$4:$AJ$4,0))))=0,NA(),SUMPRODUCT((Inputs!$A$5:$A$140=$B43)*Inputs!$B$5:$B$140*(((Inputs!$G$5:$G$140="moeda")+(Inputs!$G$5:$G$140="acoes"))*Inputs!$B$1+((Inputs!$G$5:$G$140&lt;&gt;"moeda")*(Inputs!$G$5:$G$140&lt;&gt;"acoes")))*INDEX(Inputs!$K$5:$AJ$140,0,MATCH(K$2,Inputs!$K$4:$AJ$4,0)))+SUMPRODUCT((Inputs!$C$5:$C$140=$B43)*Inputs!$D$5:$D$140*(((Inputs!$G$5:$G$140="moeda")+(Inputs!$G$5:$G$140="acoes"))*Inputs!$B$1+((Inputs!$G$5:$G$140&lt;&gt;"moeda")*(Inputs!$G$5:$G$140&lt;&gt;"acoes")))*INDEX(Inputs!$K$5:$AJ$140,0,MATCH(K$2,Inputs!$K$4:$AJ$4,0)))+SUMPRODUCT((Inputs!$E$5:$E$140=$B43)*Inputs!$F$5:$F$140*(((Inputs!$G$5:$G$140="moeda")+(Inputs!$G$5:$G$140="acoes"))*Inputs!$B$1+((Inputs!$G$5:$G$140&lt;&gt;"moeda")*(Inputs!$G$5:$G$140&lt;&gt;"acoes")))*INDEX(Inputs!$K$5:$AJ$140,0,MATCH(K$2,Inputs!$K$4:$AJ$4,0)))))</f>
        <v>308.652</v>
      </c>
      <c r="L43" s="6">
        <f>IF(ISNA(MATCH(L$2,Inputs!$K$4:$AJ$4,0)),NA(),IF(SUMPRODUCT((Inputs!$A$5:$A$140=$B43)*ISNUMBER(INDEX(Inputs!$K$5:$AJ$140,0,MATCH(L$2,Inputs!$K$4:$AJ$4,0))))+SUMPRODUCT((Inputs!$C$5:$C$140=$B43)*ISNUMBER(INDEX(Inputs!$K$5:$AJ$140,0,MATCH(L$2,Inputs!$K$4:$AJ$4,0))))+SUMPRODUCT((Inputs!$E$5:$E$140=$B43)*ISNUMBER(INDEX(Inputs!$K$5:$AJ$140,0,MATCH(L$2,Inputs!$K$4:$AJ$4,0))))=0,NA(),SUMPRODUCT((Inputs!$A$5:$A$140=$B43)*Inputs!$B$5:$B$140*(((Inputs!$G$5:$G$140="moeda")+(Inputs!$G$5:$G$140="acoes"))*Inputs!$B$1+((Inputs!$G$5:$G$140&lt;&gt;"moeda")*(Inputs!$G$5:$G$140&lt;&gt;"acoes")))*INDEX(Inputs!$K$5:$AJ$140,0,MATCH(L$2,Inputs!$K$4:$AJ$4,0)))+SUMPRODUCT((Inputs!$C$5:$C$140=$B43)*Inputs!$D$5:$D$140*(((Inputs!$G$5:$G$140="moeda")+(Inputs!$G$5:$G$140="acoes"))*Inputs!$B$1+((Inputs!$G$5:$G$140&lt;&gt;"moeda")*(Inputs!$G$5:$G$140&lt;&gt;"acoes")))*INDEX(Inputs!$K$5:$AJ$140,0,MATCH(L$2,Inputs!$K$4:$AJ$4,0)))+SUMPRODUCT((Inputs!$E$5:$E$140=$B43)*Inputs!$F$5:$F$140*(((Inputs!$G$5:$G$140="moeda")+(Inputs!$G$5:$G$140="acoes"))*Inputs!$B$1+((Inputs!$G$5:$G$140&lt;&gt;"moeda")*(Inputs!$G$5:$G$140&lt;&gt;"acoes")))*INDEX(Inputs!$K$5:$AJ$140,0,MATCH(L$2,Inputs!$K$4:$AJ$4,0)))))</f>
        <v>308.652</v>
      </c>
      <c r="M43" s="3">
        <f>L43</f>
        <v>308.652</v>
      </c>
      <c r="N43" s="6">
        <f>IF(ISNA(MATCH(N$2,Inputs!$K$4:$AJ$4,0)),NA(),IF(SUMPRODUCT((Inputs!$A$5:$A$140=$B43)*ISNUMBER(INDEX(Inputs!$K$5:$AJ$140,0,MATCH(N$2,Inputs!$K$4:$AJ$4,0))))+SUMPRODUCT((Inputs!$C$5:$C$140=$B43)*ISNUMBER(INDEX(Inputs!$K$5:$AJ$140,0,MATCH(N$2,Inputs!$K$4:$AJ$4,0))))+SUMPRODUCT((Inputs!$E$5:$E$140=$B43)*ISNUMBER(INDEX(Inputs!$K$5:$AJ$140,0,MATCH(N$2,Inputs!$K$4:$AJ$4,0))))=0,NA(),SUMPRODUCT((Inputs!$A$5:$A$140=$B43)*Inputs!$B$5:$B$140*(((Inputs!$G$5:$G$140="moeda")+(Inputs!$G$5:$G$140="acoes"))*Inputs!$B$1+((Inputs!$G$5:$G$140&lt;&gt;"moeda")*(Inputs!$G$5:$G$140&lt;&gt;"acoes")))*INDEX(Inputs!$K$5:$AJ$140,0,MATCH(N$2,Inputs!$K$4:$AJ$4,0)))+SUMPRODUCT((Inputs!$C$5:$C$140=$B43)*Inputs!$D$5:$D$140*(((Inputs!$G$5:$G$140="moeda")+(Inputs!$G$5:$G$140="acoes"))*Inputs!$B$1+((Inputs!$G$5:$G$140&lt;&gt;"moeda")*(Inputs!$G$5:$G$140&lt;&gt;"acoes")))*INDEX(Inputs!$K$5:$AJ$140,0,MATCH(N$2,Inputs!$K$4:$AJ$4,0)))+SUMPRODUCT((Inputs!$E$5:$E$140=$B43)*Inputs!$F$5:$F$140*(((Inputs!$G$5:$G$140="moeda")+(Inputs!$G$5:$G$140="acoes"))*Inputs!$B$1+((Inputs!$G$5:$G$140&lt;&gt;"moeda")*(Inputs!$G$5:$G$140&lt;&gt;"acoes")))*INDEX(Inputs!$K$5:$AJ$140,0,MATCH(N$2,Inputs!$K$4:$AJ$4,0)))))</f>
        <v>308.652</v>
      </c>
      <c r="O43" s="6">
        <f>IF(ISNA(MATCH(O$2,Inputs!$K$4:$AJ$4,0)),NA(),IF(SUMPRODUCT((Inputs!$A$5:$A$140=$B43)*ISNUMBER(INDEX(Inputs!$K$5:$AJ$140,0,MATCH(O$2,Inputs!$K$4:$AJ$4,0))))+SUMPRODUCT((Inputs!$C$5:$C$140=$B43)*ISNUMBER(INDEX(Inputs!$K$5:$AJ$140,0,MATCH(O$2,Inputs!$K$4:$AJ$4,0))))+SUMPRODUCT((Inputs!$E$5:$E$140=$B43)*ISNUMBER(INDEX(Inputs!$K$5:$AJ$140,0,MATCH(O$2,Inputs!$K$4:$AJ$4,0))))=0,NA(),SUMPRODUCT((Inputs!$A$5:$A$140=$B43)*Inputs!$B$5:$B$140*(((Inputs!$G$5:$G$140="moeda")+(Inputs!$G$5:$G$140="acoes"))*Inputs!$B$1+((Inputs!$G$5:$G$140&lt;&gt;"moeda")*(Inputs!$G$5:$G$140&lt;&gt;"acoes")))*INDEX(Inputs!$K$5:$AJ$140,0,MATCH(O$2,Inputs!$K$4:$AJ$4,0)))+SUMPRODUCT((Inputs!$C$5:$C$140=$B43)*Inputs!$D$5:$D$140*(((Inputs!$G$5:$G$140="moeda")+(Inputs!$G$5:$G$140="acoes"))*Inputs!$B$1+((Inputs!$G$5:$G$140&lt;&gt;"moeda")*(Inputs!$G$5:$G$140&lt;&gt;"acoes")))*INDEX(Inputs!$K$5:$AJ$140,0,MATCH(O$2,Inputs!$K$4:$AJ$4,0)))+SUMPRODUCT((Inputs!$E$5:$E$140=$B43)*Inputs!$F$5:$F$140*(((Inputs!$G$5:$G$140="moeda")+(Inputs!$G$5:$G$140="acoes"))*Inputs!$B$1+((Inputs!$G$5:$G$140&lt;&gt;"moeda")*(Inputs!$G$5:$G$140&lt;&gt;"acoes")))*INDEX(Inputs!$K$5:$AJ$140,0,MATCH(O$2,Inputs!$K$4:$AJ$4,0)))))</f>
        <v>308.652</v>
      </c>
      <c r="P43" s="6">
        <f>IF(ISNA(MATCH(P$2,Inputs!$K$4:$AJ$4,0)),NA(),IF(SUMPRODUCT((Inputs!$A$5:$A$140=$B43)*ISNUMBER(INDEX(Inputs!$K$5:$AJ$140,0,MATCH(P$2,Inputs!$K$4:$AJ$4,0))))+SUMPRODUCT((Inputs!$C$5:$C$140=$B43)*ISNUMBER(INDEX(Inputs!$K$5:$AJ$140,0,MATCH(P$2,Inputs!$K$4:$AJ$4,0))))+SUMPRODUCT((Inputs!$E$5:$E$140=$B43)*ISNUMBER(INDEX(Inputs!$K$5:$AJ$140,0,MATCH(P$2,Inputs!$K$4:$AJ$4,0))))=0,NA(),SUMPRODUCT((Inputs!$A$5:$A$140=$B43)*Inputs!$B$5:$B$140*(((Inputs!$G$5:$G$140="moeda")+(Inputs!$G$5:$G$140="acoes"))*Inputs!$B$1+((Inputs!$G$5:$G$140&lt;&gt;"moeda")*(Inputs!$G$5:$G$140&lt;&gt;"acoes")))*INDEX(Inputs!$K$5:$AJ$140,0,MATCH(P$2,Inputs!$K$4:$AJ$4,0)))+SUMPRODUCT((Inputs!$C$5:$C$140=$B43)*Inputs!$D$5:$D$140*(((Inputs!$G$5:$G$140="moeda")+(Inputs!$G$5:$G$140="acoes"))*Inputs!$B$1+((Inputs!$G$5:$G$140&lt;&gt;"moeda")*(Inputs!$G$5:$G$140&lt;&gt;"acoes")))*INDEX(Inputs!$K$5:$AJ$140,0,MATCH(P$2,Inputs!$K$4:$AJ$4,0)))+SUMPRODUCT((Inputs!$E$5:$E$140=$B43)*Inputs!$F$5:$F$140*(((Inputs!$G$5:$G$140="moeda")+(Inputs!$G$5:$G$140="acoes"))*Inputs!$B$1+((Inputs!$G$5:$G$140&lt;&gt;"moeda")*(Inputs!$G$5:$G$140&lt;&gt;"acoes")))*INDEX(Inputs!$K$5:$AJ$140,0,MATCH(P$2,Inputs!$K$4:$AJ$4,0)))))</f>
        <v>308.652</v>
      </c>
      <c r="Q43" s="6">
        <f>IF(ISNA(MATCH(Q$2,Inputs!$K$4:$AJ$4,0)),NA(),IF(SUMPRODUCT((Inputs!$A$5:$A$140=$B43)*ISNUMBER(INDEX(Inputs!$K$5:$AJ$140,0,MATCH(Q$2,Inputs!$K$4:$AJ$4,0))))+SUMPRODUCT((Inputs!$C$5:$C$140=$B43)*ISNUMBER(INDEX(Inputs!$K$5:$AJ$140,0,MATCH(Q$2,Inputs!$K$4:$AJ$4,0))))+SUMPRODUCT((Inputs!$E$5:$E$140=$B43)*ISNUMBER(INDEX(Inputs!$K$5:$AJ$140,0,MATCH(Q$2,Inputs!$K$4:$AJ$4,0))))=0,NA(),SUMPRODUCT((Inputs!$A$5:$A$140=$B43)*Inputs!$B$5:$B$140*(((Inputs!$G$5:$G$140="moeda")+(Inputs!$G$5:$G$140="acoes"))*Inputs!$B$1+((Inputs!$G$5:$G$140&lt;&gt;"moeda")*(Inputs!$G$5:$G$140&lt;&gt;"acoes")))*INDEX(Inputs!$K$5:$AJ$140,0,MATCH(Q$2,Inputs!$K$4:$AJ$4,0)))+SUMPRODUCT((Inputs!$C$5:$C$140=$B43)*Inputs!$D$5:$D$140*(((Inputs!$G$5:$G$140="moeda")+(Inputs!$G$5:$G$140="acoes"))*Inputs!$B$1+((Inputs!$G$5:$G$140&lt;&gt;"moeda")*(Inputs!$G$5:$G$140&lt;&gt;"acoes")))*INDEX(Inputs!$K$5:$AJ$140,0,MATCH(Q$2,Inputs!$K$4:$AJ$4,0)))+SUMPRODUCT((Inputs!$E$5:$E$140=$B43)*Inputs!$F$5:$F$140*(((Inputs!$G$5:$G$140="moeda")+(Inputs!$G$5:$G$140="acoes"))*Inputs!$B$1+((Inputs!$G$5:$G$140&lt;&gt;"moeda")*(Inputs!$G$5:$G$140&lt;&gt;"acoes")))*INDEX(Inputs!$K$5:$AJ$140,0,MATCH(Q$2,Inputs!$K$4:$AJ$4,0)))))</f>
        <v>308.652</v>
      </c>
      <c r="R43" s="3">
        <f>Q43</f>
        <v>308.652</v>
      </c>
      <c r="S43" s="6">
        <f>IF(ISNA(MATCH(S$2,Inputs!$K$4:$AJ$4,0)),NA(),IF(SUMPRODUCT((Inputs!$A$5:$A$140=$B43)*ISNUMBER(INDEX(Inputs!$K$5:$AJ$140,0,MATCH(S$2,Inputs!$K$4:$AJ$4,0))))+SUMPRODUCT((Inputs!$C$5:$C$140=$B43)*ISNUMBER(INDEX(Inputs!$K$5:$AJ$140,0,MATCH(S$2,Inputs!$K$4:$AJ$4,0))))+SUMPRODUCT((Inputs!$E$5:$E$140=$B43)*ISNUMBER(INDEX(Inputs!$K$5:$AJ$140,0,MATCH(S$2,Inputs!$K$4:$AJ$4,0))))=0,NA(),SUMPRODUCT((Inputs!$A$5:$A$140=$B43)*Inputs!$B$5:$B$140*(((Inputs!$G$5:$G$140="moeda")+(Inputs!$G$5:$G$140="acoes"))*Inputs!$B$1+((Inputs!$G$5:$G$140&lt;&gt;"moeda")*(Inputs!$G$5:$G$140&lt;&gt;"acoes")))*INDEX(Inputs!$K$5:$AJ$140,0,MATCH(S$2,Inputs!$K$4:$AJ$4,0)))+SUMPRODUCT((Inputs!$C$5:$C$140=$B43)*Inputs!$D$5:$D$140*(((Inputs!$G$5:$G$140="moeda")+(Inputs!$G$5:$G$140="acoes"))*Inputs!$B$1+((Inputs!$G$5:$G$140&lt;&gt;"moeda")*(Inputs!$G$5:$G$140&lt;&gt;"acoes")))*INDEX(Inputs!$K$5:$AJ$140,0,MATCH(S$2,Inputs!$K$4:$AJ$4,0)))+SUMPRODUCT((Inputs!$E$5:$E$140=$B43)*Inputs!$F$5:$F$140*(((Inputs!$G$5:$G$140="moeda")+(Inputs!$G$5:$G$140="acoes"))*Inputs!$B$1+((Inputs!$G$5:$G$140&lt;&gt;"moeda")*(Inputs!$G$5:$G$140&lt;&gt;"acoes")))*INDEX(Inputs!$K$5:$AJ$140,0,MATCH(S$2,Inputs!$K$4:$AJ$4,0)))))</f>
        <v>308.652</v>
      </c>
      <c r="T43" s="6">
        <f>IF(ISNA(MATCH(T$2,Inputs!$K$4:$AJ$4,0)),NA(),IF(SUMPRODUCT((Inputs!$A$5:$A$140=$B43)*ISNUMBER(INDEX(Inputs!$K$5:$AJ$140,0,MATCH(T$2,Inputs!$K$4:$AJ$4,0))))+SUMPRODUCT((Inputs!$C$5:$C$140=$B43)*ISNUMBER(INDEX(Inputs!$K$5:$AJ$140,0,MATCH(T$2,Inputs!$K$4:$AJ$4,0))))+SUMPRODUCT((Inputs!$E$5:$E$140=$B43)*ISNUMBER(INDEX(Inputs!$K$5:$AJ$140,0,MATCH(T$2,Inputs!$K$4:$AJ$4,0))))=0,NA(),SUMPRODUCT((Inputs!$A$5:$A$140=$B43)*Inputs!$B$5:$B$140*(((Inputs!$G$5:$G$140="moeda")+(Inputs!$G$5:$G$140="acoes"))*Inputs!$B$1+((Inputs!$G$5:$G$140&lt;&gt;"moeda")*(Inputs!$G$5:$G$140&lt;&gt;"acoes")))*INDEX(Inputs!$K$5:$AJ$140,0,MATCH(T$2,Inputs!$K$4:$AJ$4,0)))+SUMPRODUCT((Inputs!$C$5:$C$140=$B43)*Inputs!$D$5:$D$140*(((Inputs!$G$5:$G$140="moeda")+(Inputs!$G$5:$G$140="acoes"))*Inputs!$B$1+((Inputs!$G$5:$G$140&lt;&gt;"moeda")*(Inputs!$G$5:$G$140&lt;&gt;"acoes")))*INDEX(Inputs!$K$5:$AJ$140,0,MATCH(T$2,Inputs!$K$4:$AJ$4,0)))+SUMPRODUCT((Inputs!$E$5:$E$140=$B43)*Inputs!$F$5:$F$140*(((Inputs!$G$5:$G$140="moeda")+(Inputs!$G$5:$G$140="acoes"))*Inputs!$B$1+((Inputs!$G$5:$G$140&lt;&gt;"moeda")*(Inputs!$G$5:$G$140&lt;&gt;"acoes")))*INDEX(Inputs!$K$5:$AJ$140,0,MATCH(T$2,Inputs!$K$4:$AJ$4,0)))))</f>
        <v>308.652</v>
      </c>
      <c r="U43" s="6">
        <f>IF(ISNA(MATCH(U$2,Inputs!$K$4:$AJ$4,0)),NA(),IF(SUMPRODUCT((Inputs!$A$5:$A$140=$B43)*ISNUMBER(INDEX(Inputs!$K$5:$AJ$140,0,MATCH(U$2,Inputs!$K$4:$AJ$4,0))))+SUMPRODUCT((Inputs!$C$5:$C$140=$B43)*ISNUMBER(INDEX(Inputs!$K$5:$AJ$140,0,MATCH(U$2,Inputs!$K$4:$AJ$4,0))))+SUMPRODUCT((Inputs!$E$5:$E$140=$B43)*ISNUMBER(INDEX(Inputs!$K$5:$AJ$140,0,MATCH(U$2,Inputs!$K$4:$AJ$4,0))))=0,NA(),SUMPRODUCT((Inputs!$A$5:$A$140=$B43)*Inputs!$B$5:$B$140*(((Inputs!$G$5:$G$140="moeda")+(Inputs!$G$5:$G$140="acoes"))*Inputs!$B$1+((Inputs!$G$5:$G$140&lt;&gt;"moeda")*(Inputs!$G$5:$G$140&lt;&gt;"acoes")))*INDEX(Inputs!$K$5:$AJ$140,0,MATCH(U$2,Inputs!$K$4:$AJ$4,0)))+SUMPRODUCT((Inputs!$C$5:$C$140=$B43)*Inputs!$D$5:$D$140*(((Inputs!$G$5:$G$140="moeda")+(Inputs!$G$5:$G$140="acoes"))*Inputs!$B$1+((Inputs!$G$5:$G$140&lt;&gt;"moeda")*(Inputs!$G$5:$G$140&lt;&gt;"acoes")))*INDEX(Inputs!$K$5:$AJ$140,0,MATCH(U$2,Inputs!$K$4:$AJ$4,0)))+SUMPRODUCT((Inputs!$E$5:$E$140=$B43)*Inputs!$F$5:$F$140*(((Inputs!$G$5:$G$140="moeda")+(Inputs!$G$5:$G$140="acoes"))*Inputs!$B$1+((Inputs!$G$5:$G$140&lt;&gt;"moeda")*(Inputs!$G$5:$G$140&lt;&gt;"acoes")))*INDEX(Inputs!$K$5:$AJ$140,0,MATCH(U$2,Inputs!$K$4:$AJ$4,0)))))</f>
        <v>308.652</v>
      </c>
      <c r="V43" s="6">
        <f>IF(ISNA(MATCH(V$2,Inputs!$K$4:$AJ$4,0)),NA(),IF(SUMPRODUCT((Inputs!$A$5:$A$140=$B43)*ISNUMBER(INDEX(Inputs!$K$5:$AJ$140,0,MATCH(V$2,Inputs!$K$4:$AJ$4,0))))+SUMPRODUCT((Inputs!$C$5:$C$140=$B43)*ISNUMBER(INDEX(Inputs!$K$5:$AJ$140,0,MATCH(V$2,Inputs!$K$4:$AJ$4,0))))+SUMPRODUCT((Inputs!$E$5:$E$140=$B43)*ISNUMBER(INDEX(Inputs!$K$5:$AJ$140,0,MATCH(V$2,Inputs!$K$4:$AJ$4,0))))=0,NA(),SUMPRODUCT((Inputs!$A$5:$A$140=$B43)*Inputs!$B$5:$B$140*(((Inputs!$G$5:$G$140="moeda")+(Inputs!$G$5:$G$140="acoes"))*Inputs!$B$1+((Inputs!$G$5:$G$140&lt;&gt;"moeda")*(Inputs!$G$5:$G$140&lt;&gt;"acoes")))*INDEX(Inputs!$K$5:$AJ$140,0,MATCH(V$2,Inputs!$K$4:$AJ$4,0)))+SUMPRODUCT((Inputs!$C$5:$C$140=$B43)*Inputs!$D$5:$D$140*(((Inputs!$G$5:$G$140="moeda")+(Inputs!$G$5:$G$140="acoes"))*Inputs!$B$1+((Inputs!$G$5:$G$140&lt;&gt;"moeda")*(Inputs!$G$5:$G$140&lt;&gt;"acoes")))*INDEX(Inputs!$K$5:$AJ$140,0,MATCH(V$2,Inputs!$K$4:$AJ$4,0)))+SUMPRODUCT((Inputs!$E$5:$E$140=$B43)*Inputs!$F$5:$F$140*(((Inputs!$G$5:$G$140="moeda")+(Inputs!$G$5:$G$140="acoes"))*Inputs!$B$1+((Inputs!$G$5:$G$140&lt;&gt;"moeda")*(Inputs!$G$5:$G$140&lt;&gt;"acoes")))*INDEX(Inputs!$K$5:$AJ$140,0,MATCH(V$2,Inputs!$K$4:$AJ$4,0)))))</f>
        <v>508.652</v>
      </c>
      <c r="W43" s="3">
        <f>V43</f>
        <v>508.652</v>
      </c>
      <c r="X43" s="6">
        <f>IF(ISNA(MATCH(X$2,Inputs!$K$4:$AJ$4,0)),NA(),IF(SUMPRODUCT((Inputs!$A$5:$A$140=$B43)*ISNUMBER(INDEX(Inputs!$K$5:$AJ$140,0,MATCH(X$2,Inputs!$K$4:$AJ$4,0))))+SUMPRODUCT((Inputs!$C$5:$C$140=$B43)*ISNUMBER(INDEX(Inputs!$K$5:$AJ$140,0,MATCH(X$2,Inputs!$K$4:$AJ$4,0))))+SUMPRODUCT((Inputs!$E$5:$E$140=$B43)*ISNUMBER(INDEX(Inputs!$K$5:$AJ$140,0,MATCH(X$2,Inputs!$K$4:$AJ$4,0))))=0,NA(),SUMPRODUCT((Inputs!$A$5:$A$140=$B43)*Inputs!$B$5:$B$140*(((Inputs!$G$5:$G$140="moeda")+(Inputs!$G$5:$G$140="acoes"))*Inputs!$B$1+((Inputs!$G$5:$G$140&lt;&gt;"moeda")*(Inputs!$G$5:$G$140&lt;&gt;"acoes")))*INDEX(Inputs!$K$5:$AJ$140,0,MATCH(X$2,Inputs!$K$4:$AJ$4,0)))+SUMPRODUCT((Inputs!$C$5:$C$140=$B43)*Inputs!$D$5:$D$140*(((Inputs!$G$5:$G$140="moeda")+(Inputs!$G$5:$G$140="acoes"))*Inputs!$B$1+((Inputs!$G$5:$G$140&lt;&gt;"moeda")*(Inputs!$G$5:$G$140&lt;&gt;"acoes")))*INDEX(Inputs!$K$5:$AJ$140,0,MATCH(X$2,Inputs!$K$4:$AJ$4,0)))+SUMPRODUCT((Inputs!$E$5:$E$140=$B43)*Inputs!$F$5:$F$140*(((Inputs!$G$5:$G$140="moeda")+(Inputs!$G$5:$G$140="acoes"))*Inputs!$B$1+((Inputs!$G$5:$G$140&lt;&gt;"moeda")*(Inputs!$G$5:$G$140&lt;&gt;"acoes")))*INDEX(Inputs!$K$5:$AJ$140,0,MATCH(X$2,Inputs!$K$4:$AJ$4,0)))))</f>
        <v>508.652</v>
      </c>
      <c r="Y43" s="6">
        <f>IF(ISNA(MATCH(Y$2,Inputs!$K$4:$AJ$4,0)),NA(),IF(SUMPRODUCT((Inputs!$A$5:$A$140=$B43)*ISNUMBER(INDEX(Inputs!$K$5:$AJ$140,0,MATCH(Y$2,Inputs!$K$4:$AJ$4,0))))+SUMPRODUCT((Inputs!$C$5:$C$140=$B43)*ISNUMBER(INDEX(Inputs!$K$5:$AJ$140,0,MATCH(Y$2,Inputs!$K$4:$AJ$4,0))))+SUMPRODUCT((Inputs!$E$5:$E$140=$B43)*ISNUMBER(INDEX(Inputs!$K$5:$AJ$140,0,MATCH(Y$2,Inputs!$K$4:$AJ$4,0))))=0,NA(),SUMPRODUCT((Inputs!$A$5:$A$140=$B43)*Inputs!$B$5:$B$140*(((Inputs!$G$5:$G$140="moeda")+(Inputs!$G$5:$G$140="acoes"))*Inputs!$B$1+((Inputs!$G$5:$G$140&lt;&gt;"moeda")*(Inputs!$G$5:$G$140&lt;&gt;"acoes")))*INDEX(Inputs!$K$5:$AJ$140,0,MATCH(Y$2,Inputs!$K$4:$AJ$4,0)))+SUMPRODUCT((Inputs!$C$5:$C$140=$B43)*Inputs!$D$5:$D$140*(((Inputs!$G$5:$G$140="moeda")+(Inputs!$G$5:$G$140="acoes"))*Inputs!$B$1+((Inputs!$G$5:$G$140&lt;&gt;"moeda")*(Inputs!$G$5:$G$140&lt;&gt;"acoes")))*INDEX(Inputs!$K$5:$AJ$140,0,MATCH(Y$2,Inputs!$K$4:$AJ$4,0)))+SUMPRODUCT((Inputs!$E$5:$E$140=$B43)*Inputs!$F$5:$F$140*(((Inputs!$G$5:$G$140="moeda")+(Inputs!$G$5:$G$140="acoes"))*Inputs!$B$1+((Inputs!$G$5:$G$140&lt;&gt;"moeda")*(Inputs!$G$5:$G$140&lt;&gt;"acoes")))*INDEX(Inputs!$K$5:$AJ$140,0,MATCH(Y$2,Inputs!$K$4:$AJ$4,0)))))</f>
        <v>555.734</v>
      </c>
      <c r="Z43" s="6">
        <f>IF(ISNA(MATCH(Z$2,Inputs!$K$4:$AJ$4,0)),NA(),IF(SUMPRODUCT((Inputs!$A$5:$A$140=$B43)*ISNUMBER(INDEX(Inputs!$K$5:$AJ$140,0,MATCH(Z$2,Inputs!$K$4:$AJ$4,0))))+SUMPRODUCT((Inputs!$C$5:$C$140=$B43)*ISNUMBER(INDEX(Inputs!$K$5:$AJ$140,0,MATCH(Z$2,Inputs!$K$4:$AJ$4,0))))+SUMPRODUCT((Inputs!$E$5:$E$140=$B43)*ISNUMBER(INDEX(Inputs!$K$5:$AJ$140,0,MATCH(Z$2,Inputs!$K$4:$AJ$4,0))))=0,NA(),SUMPRODUCT((Inputs!$A$5:$A$140=$B43)*Inputs!$B$5:$B$140*(((Inputs!$G$5:$G$140="moeda")+(Inputs!$G$5:$G$140="acoes"))*Inputs!$B$1+((Inputs!$G$5:$G$140&lt;&gt;"moeda")*(Inputs!$G$5:$G$140&lt;&gt;"acoes")))*INDEX(Inputs!$K$5:$AJ$140,0,MATCH(Z$2,Inputs!$K$4:$AJ$4,0)))+SUMPRODUCT((Inputs!$C$5:$C$140=$B43)*Inputs!$D$5:$D$140*(((Inputs!$G$5:$G$140="moeda")+(Inputs!$G$5:$G$140="acoes"))*Inputs!$B$1+((Inputs!$G$5:$G$140&lt;&gt;"moeda")*(Inputs!$G$5:$G$140&lt;&gt;"acoes")))*INDEX(Inputs!$K$5:$AJ$140,0,MATCH(Z$2,Inputs!$K$4:$AJ$4,0)))+SUMPRODUCT((Inputs!$E$5:$E$140=$B43)*Inputs!$F$5:$F$140*(((Inputs!$G$5:$G$140="moeda")+(Inputs!$G$5:$G$140="acoes"))*Inputs!$B$1+((Inputs!$G$5:$G$140&lt;&gt;"moeda")*(Inputs!$G$5:$G$140&lt;&gt;"acoes")))*INDEX(Inputs!$K$5:$AJ$140,0,MATCH(Z$2,Inputs!$K$4:$AJ$4,0)))))</f>
        <v>555.734</v>
      </c>
      <c r="AA43" s="6">
        <f>IF(ISNA(MATCH(AA$2,Inputs!$K$4:$AJ$4,0)),NA(),IF(SUMPRODUCT((Inputs!$A$5:$A$140=$B43)*ISNUMBER(INDEX(Inputs!$K$5:$AJ$140,0,MATCH(AA$2,Inputs!$K$4:$AJ$4,0))))+SUMPRODUCT((Inputs!$C$5:$C$140=$B43)*ISNUMBER(INDEX(Inputs!$K$5:$AJ$140,0,MATCH(AA$2,Inputs!$K$4:$AJ$4,0))))+SUMPRODUCT((Inputs!$E$5:$E$140=$B43)*ISNUMBER(INDEX(Inputs!$K$5:$AJ$140,0,MATCH(AA$2,Inputs!$K$4:$AJ$4,0))))=0,NA(),SUMPRODUCT((Inputs!$A$5:$A$140=$B43)*Inputs!$B$5:$B$140*(((Inputs!$G$5:$G$140="moeda")+(Inputs!$G$5:$G$140="acoes"))*Inputs!$B$1+((Inputs!$G$5:$G$140&lt;&gt;"moeda")*(Inputs!$G$5:$G$140&lt;&gt;"acoes")))*INDEX(Inputs!$K$5:$AJ$140,0,MATCH(AA$2,Inputs!$K$4:$AJ$4,0)))+SUMPRODUCT((Inputs!$C$5:$C$140=$B43)*Inputs!$D$5:$D$140*(((Inputs!$G$5:$G$140="moeda")+(Inputs!$G$5:$G$140="acoes"))*Inputs!$B$1+((Inputs!$G$5:$G$140&lt;&gt;"moeda")*(Inputs!$G$5:$G$140&lt;&gt;"acoes")))*INDEX(Inputs!$K$5:$AJ$140,0,MATCH(AA$2,Inputs!$K$4:$AJ$4,0)))+SUMPRODUCT((Inputs!$E$5:$E$140=$B43)*Inputs!$F$5:$F$140*(((Inputs!$G$5:$G$140="moeda")+(Inputs!$G$5:$G$140="acoes"))*Inputs!$B$1+((Inputs!$G$5:$G$140&lt;&gt;"moeda")*(Inputs!$G$5:$G$140&lt;&gt;"acoes")))*INDEX(Inputs!$K$5:$AJ$140,0,MATCH(AA$2,Inputs!$K$4:$AJ$4,0)))))</f>
        <v>1105.142</v>
      </c>
      <c r="AB43" s="3">
        <f>AA43</f>
        <v>1105.142</v>
      </c>
      <c r="AC43" s="6">
        <f>IF(ISNA(MATCH(AC$2,Inputs!$K$4:$AJ$4,0)),NA(),IF(SUMPRODUCT((Inputs!$A$5:$A$140=$B43)*ISNUMBER(INDEX(Inputs!$K$5:$AJ$140,0,MATCH(AC$2,Inputs!$K$4:$AJ$4,0))))+SUMPRODUCT((Inputs!$C$5:$C$140=$B43)*ISNUMBER(INDEX(Inputs!$K$5:$AJ$140,0,MATCH(AC$2,Inputs!$K$4:$AJ$4,0))))+SUMPRODUCT((Inputs!$E$5:$E$140=$B43)*ISNUMBER(INDEX(Inputs!$K$5:$AJ$140,0,MATCH(AC$2,Inputs!$K$4:$AJ$4,0))))=0,NA(),SUMPRODUCT((Inputs!$A$5:$A$140=$B43)*Inputs!$B$5:$B$140*(((Inputs!$G$5:$G$140="moeda")+(Inputs!$G$5:$G$140="acoes"))*Inputs!$B$1+((Inputs!$G$5:$G$140&lt;&gt;"moeda")*(Inputs!$G$5:$G$140&lt;&gt;"acoes")))*INDEX(Inputs!$K$5:$AJ$140,0,MATCH(AC$2,Inputs!$K$4:$AJ$4,0)))+SUMPRODUCT((Inputs!$C$5:$C$140=$B43)*Inputs!$D$5:$D$140*(((Inputs!$G$5:$G$140="moeda")+(Inputs!$G$5:$G$140="acoes"))*Inputs!$B$1+((Inputs!$G$5:$G$140&lt;&gt;"moeda")*(Inputs!$G$5:$G$140&lt;&gt;"acoes")))*INDEX(Inputs!$K$5:$AJ$140,0,MATCH(AC$2,Inputs!$K$4:$AJ$4,0)))+SUMPRODUCT((Inputs!$E$5:$E$140=$B43)*Inputs!$F$5:$F$140*(((Inputs!$G$5:$G$140="moeda")+(Inputs!$G$5:$G$140="acoes"))*Inputs!$B$1+((Inputs!$G$5:$G$140&lt;&gt;"moeda")*(Inputs!$G$5:$G$140&lt;&gt;"acoes")))*INDEX(Inputs!$K$5:$AJ$140,0,MATCH(AC$2,Inputs!$K$4:$AJ$4,0)))))</f>
        <v>1105.142</v>
      </c>
      <c r="AD43" s="6">
        <f>IF(ISNA(MATCH(AD$2,Inputs!$K$4:$AJ$4,0)),NA(),IF(SUMPRODUCT((Inputs!$A$5:$A$140=$B43)*ISNUMBER(INDEX(Inputs!$K$5:$AJ$140,0,MATCH(AD$2,Inputs!$K$4:$AJ$4,0))))+SUMPRODUCT((Inputs!$C$5:$C$140=$B43)*ISNUMBER(INDEX(Inputs!$K$5:$AJ$140,0,MATCH(AD$2,Inputs!$K$4:$AJ$4,0))))+SUMPRODUCT((Inputs!$E$5:$E$140=$B43)*ISNUMBER(INDEX(Inputs!$K$5:$AJ$140,0,MATCH(AD$2,Inputs!$K$4:$AJ$4,0))))=0,NA(),SUMPRODUCT((Inputs!$A$5:$A$140=$B43)*Inputs!$B$5:$B$140*(((Inputs!$G$5:$G$140="moeda")+(Inputs!$G$5:$G$140="acoes"))*Inputs!$B$1+((Inputs!$G$5:$G$140&lt;&gt;"moeda")*(Inputs!$G$5:$G$140&lt;&gt;"acoes")))*INDEX(Inputs!$K$5:$AJ$140,0,MATCH(AD$2,Inputs!$K$4:$AJ$4,0)))+SUMPRODUCT((Inputs!$C$5:$C$140=$B43)*Inputs!$D$5:$D$140*(((Inputs!$G$5:$G$140="moeda")+(Inputs!$G$5:$G$140="acoes"))*Inputs!$B$1+((Inputs!$G$5:$G$140&lt;&gt;"moeda")*(Inputs!$G$5:$G$140&lt;&gt;"acoes")))*INDEX(Inputs!$K$5:$AJ$140,0,MATCH(AD$2,Inputs!$K$4:$AJ$4,0)))+SUMPRODUCT((Inputs!$E$5:$E$140=$B43)*Inputs!$F$5:$F$140*(((Inputs!$G$5:$G$140="moeda")+(Inputs!$G$5:$G$140="acoes"))*Inputs!$B$1+((Inputs!$G$5:$G$140&lt;&gt;"moeda")*(Inputs!$G$5:$G$140&lt;&gt;"acoes")))*INDEX(Inputs!$K$5:$AJ$140,0,MATCH(AD$2,Inputs!$K$4:$AJ$4,0)))))</f>
        <v>1105.142</v>
      </c>
      <c r="AE43" s="6" t="e">
        <f>IF(ISNA(MATCH(AE$2,Inputs!$K$4:$AJ$4,0)),NA(),IF(SUMPRODUCT((Inputs!$A$5:$A$140=$B43)*ISNUMBER(INDEX(Inputs!$K$5:$AJ$140,0,MATCH(AE$2,Inputs!$K$4:$AJ$4,0))))+SUMPRODUCT((Inputs!$C$5:$C$140=$B43)*ISNUMBER(INDEX(Inputs!$K$5:$AJ$140,0,MATCH(AE$2,Inputs!$K$4:$AJ$4,0))))+SUMPRODUCT((Inputs!$E$5:$E$140=$B43)*ISNUMBER(INDEX(Inputs!$K$5:$AJ$140,0,MATCH(AE$2,Inputs!$K$4:$AJ$4,0))))=0,NA(),SUMPRODUCT((Inputs!$A$5:$A$140=$B43)*Inputs!$B$5:$B$140*(((Inputs!$G$5:$G$140="moeda")+(Inputs!$G$5:$G$140="acoes"))*Inputs!$B$1+((Inputs!$G$5:$G$140&lt;&gt;"moeda")*(Inputs!$G$5:$G$140&lt;&gt;"acoes")))*INDEX(Inputs!$K$5:$AJ$140,0,MATCH(AE$2,Inputs!$K$4:$AJ$4,0)))+SUMPRODUCT((Inputs!$C$5:$C$140=$B43)*Inputs!$D$5:$D$140*(((Inputs!$G$5:$G$140="moeda")+(Inputs!$G$5:$G$140="acoes"))*Inputs!$B$1+((Inputs!$G$5:$G$140&lt;&gt;"moeda")*(Inputs!$G$5:$G$140&lt;&gt;"acoes")))*INDEX(Inputs!$K$5:$AJ$140,0,MATCH(AE$2,Inputs!$K$4:$AJ$4,0)))+SUMPRODUCT((Inputs!$E$5:$E$140=$B43)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3" s="6" t="e">
        <f>IF(ISNA(MATCH(AF$2,Inputs!$K$4:$AJ$4,0)),NA(),IF(SUMPRODUCT((Inputs!$A$5:$A$140=$B43)*ISNUMBER(INDEX(Inputs!$K$5:$AJ$140,0,MATCH(AF$2,Inputs!$K$4:$AJ$4,0))))+SUMPRODUCT((Inputs!$C$5:$C$140=$B43)*ISNUMBER(INDEX(Inputs!$K$5:$AJ$140,0,MATCH(AF$2,Inputs!$K$4:$AJ$4,0))))+SUMPRODUCT((Inputs!$E$5:$E$140=$B43)*ISNUMBER(INDEX(Inputs!$K$5:$AJ$140,0,MATCH(AF$2,Inputs!$K$4:$AJ$4,0))))=0,NA(),SUMPRODUCT((Inputs!$A$5:$A$140=$B43)*Inputs!$B$5:$B$140*(((Inputs!$G$5:$G$140="moeda")+(Inputs!$G$5:$G$140="acoes"))*Inputs!$B$1+((Inputs!$G$5:$G$140&lt;&gt;"moeda")*(Inputs!$G$5:$G$140&lt;&gt;"acoes")))*INDEX(Inputs!$K$5:$AJ$140,0,MATCH(AF$2,Inputs!$K$4:$AJ$4,0)))+SUMPRODUCT((Inputs!$C$5:$C$140=$B43)*Inputs!$D$5:$D$140*(((Inputs!$G$5:$G$140="moeda")+(Inputs!$G$5:$G$140="acoes"))*Inputs!$B$1+((Inputs!$G$5:$G$140&lt;&gt;"moeda")*(Inputs!$G$5:$G$140&lt;&gt;"acoes")))*INDEX(Inputs!$K$5:$AJ$140,0,MATCH(AF$2,Inputs!$K$4:$AJ$4,0)))+SUMPRODUCT((Inputs!$E$5:$E$140=$B43)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3" s="3" t="e">
        <f>AF43</f>
        <v>#N/A</v>
      </c>
      <c r="AH43" s="6">
        <f>IF(ISNA(MATCH(AH$2,Inputs!$K$4:$AJ$4,0)),NA(),IF(SUMPRODUCT((Inputs!$A$5:$A$140=$B43)*ISNUMBER(INDEX(Inputs!$K$5:$AJ$140,0,MATCH(AH$2,Inputs!$K$4:$AJ$4,0))))+SUMPRODUCT((Inputs!$C$5:$C$140=$B43)*ISNUMBER(INDEX(Inputs!$K$5:$AJ$140,0,MATCH(AH$2,Inputs!$K$4:$AJ$4,0))))+SUMPRODUCT((Inputs!$E$5:$E$140=$B43)*ISNUMBER(INDEX(Inputs!$K$5:$AJ$140,0,MATCH(AH$2,Inputs!$K$4:$AJ$4,0))))=0,NA(),SUMPRODUCT((Inputs!$A$5:$A$140=$B43)*Inputs!$B$5:$B$140*(((Inputs!$G$5:$G$140="moeda")+(Inputs!$G$5:$G$140="acoes"))*Inputs!$B$1+((Inputs!$G$5:$G$140&lt;&gt;"moeda")*(Inputs!$G$5:$G$140&lt;&gt;"acoes")))*INDEX(Inputs!$K$5:$AJ$140,0,MATCH(AH$2,Inputs!$K$4:$AJ$4,0)))+SUMPRODUCT((Inputs!$C$5:$C$140=$B43)*Inputs!$D$5:$D$140*(((Inputs!$G$5:$G$140="moeda")+(Inputs!$G$5:$G$140="acoes"))*Inputs!$B$1+((Inputs!$G$5:$G$140&lt;&gt;"moeda")*(Inputs!$G$5:$G$140&lt;&gt;"acoes")))*INDEX(Inputs!$K$5:$AJ$140,0,MATCH(AH$2,Inputs!$K$4:$AJ$4,0)))+SUMPRODUCT((Inputs!$E$5:$E$140=$B43)*Inputs!$F$5:$F$140*(((Inputs!$G$5:$G$140="moeda")+(Inputs!$G$5:$G$140="acoes"))*Inputs!$B$1+((Inputs!$G$5:$G$140&lt;&gt;"moeda")*(Inputs!$G$5:$G$140&lt;&gt;"acoes")))*INDEX(Inputs!$K$5:$AJ$140,0,MATCH(AH$2,Inputs!$K$4:$AJ$4,0)))))</f>
        <v>124.445</v>
      </c>
      <c r="AI43" s="6">
        <f>IF(ISNA(MATCH(AI$2,Inputs!$K$4:$AJ$4,0)),NA(),IF(SUMPRODUCT((Inputs!$A$5:$A$140=$B43)*ISNUMBER(INDEX(Inputs!$K$5:$AJ$140,0,MATCH(AI$2,Inputs!$K$4:$AJ$4,0))))+SUMPRODUCT((Inputs!$C$5:$C$140=$B43)*ISNUMBER(INDEX(Inputs!$K$5:$AJ$140,0,MATCH(AI$2,Inputs!$K$4:$AJ$4,0))))+SUMPRODUCT((Inputs!$E$5:$E$140=$B43)*ISNUMBER(INDEX(Inputs!$K$5:$AJ$140,0,MATCH(AI$2,Inputs!$K$4:$AJ$4,0))))=0,NA(),SUMPRODUCT((Inputs!$A$5:$A$140=$B43)*Inputs!$B$5:$B$140*(((Inputs!$G$5:$G$140="moeda")+(Inputs!$G$5:$G$140="acoes"))*Inputs!$B$1+((Inputs!$G$5:$G$140&lt;&gt;"moeda")*(Inputs!$G$5:$G$140&lt;&gt;"acoes")))*INDEX(Inputs!$K$5:$AJ$140,0,MATCH(AI$2,Inputs!$K$4:$AJ$4,0)))+SUMPRODUCT((Inputs!$C$5:$C$140=$B43)*Inputs!$D$5:$D$140*(((Inputs!$G$5:$G$140="moeda")+(Inputs!$G$5:$G$140="acoes"))*Inputs!$B$1+((Inputs!$G$5:$G$140&lt;&gt;"moeda")*(Inputs!$G$5:$G$140&lt;&gt;"acoes")))*INDEX(Inputs!$K$5:$AJ$140,0,MATCH(AI$2,Inputs!$K$4:$AJ$4,0)))+SUMPRODUCT((Inputs!$E$5:$E$140=$B43)*Inputs!$F$5:$F$140*(((Inputs!$G$5:$G$140="moeda")+(Inputs!$G$5:$G$140="acoes"))*Inputs!$B$1+((Inputs!$G$5:$G$140&lt;&gt;"moeda")*(Inputs!$G$5:$G$140&lt;&gt;"acoes")))*INDEX(Inputs!$K$5:$AJ$140,0,MATCH(AI$2,Inputs!$K$4:$AJ$4,0)))))</f>
        <v>154.445</v>
      </c>
      <c r="AJ43" s="6">
        <f>IF(ISNA(MATCH(AJ$2,Inputs!$K$4:$AJ$4,0)),NA(),IF(SUMPRODUCT((Inputs!$A$5:$A$140=$B43)*ISNUMBER(INDEX(Inputs!$K$5:$AJ$140,0,MATCH(AJ$2,Inputs!$K$4:$AJ$4,0))))+SUMPRODUCT((Inputs!$C$5:$C$140=$B43)*ISNUMBER(INDEX(Inputs!$K$5:$AJ$140,0,MATCH(AJ$2,Inputs!$K$4:$AJ$4,0))))+SUMPRODUCT((Inputs!$E$5:$E$140=$B43)*ISNUMBER(INDEX(Inputs!$K$5:$AJ$140,0,MATCH(AJ$2,Inputs!$K$4:$AJ$4,0))))=0,NA(),SUMPRODUCT((Inputs!$A$5:$A$140=$B43)*Inputs!$B$5:$B$140*(((Inputs!$G$5:$G$140="moeda")+(Inputs!$G$5:$G$140="acoes"))*Inputs!$B$1+((Inputs!$G$5:$G$140&lt;&gt;"moeda")*(Inputs!$G$5:$G$140&lt;&gt;"acoes")))*INDEX(Inputs!$K$5:$AJ$140,0,MATCH(AJ$2,Inputs!$K$4:$AJ$4,0)))+SUMPRODUCT((Inputs!$C$5:$C$140=$B43)*Inputs!$D$5:$D$140*(((Inputs!$G$5:$G$140="moeda")+(Inputs!$G$5:$G$140="acoes"))*Inputs!$B$1+((Inputs!$G$5:$G$140&lt;&gt;"moeda")*(Inputs!$G$5:$G$140&lt;&gt;"acoes")))*INDEX(Inputs!$K$5:$AJ$140,0,MATCH(AJ$2,Inputs!$K$4:$AJ$4,0)))+SUMPRODUCT((Inputs!$E$5:$E$140=$B43)*Inputs!$F$5:$F$140*(((Inputs!$G$5:$G$140="moeda")+(Inputs!$G$5:$G$140="acoes"))*Inputs!$B$1+((Inputs!$G$5:$G$140&lt;&gt;"moeda")*(Inputs!$G$5:$G$140&lt;&gt;"acoes")))*INDEX(Inputs!$K$5:$AJ$140,0,MATCH(AJ$2,Inputs!$K$4:$AJ$4,0)))))</f>
        <v>308.652</v>
      </c>
      <c r="AK43" s="6">
        <f>IF(ISNA(MATCH(AK$2,Inputs!$K$4:$AJ$4,0)),NA(),IF(SUMPRODUCT((Inputs!$A$5:$A$140=$B43)*ISNUMBER(INDEX(Inputs!$K$5:$AJ$140,0,MATCH(AK$2,Inputs!$K$4:$AJ$4,0))))+SUMPRODUCT((Inputs!$C$5:$C$140=$B43)*ISNUMBER(INDEX(Inputs!$K$5:$AJ$140,0,MATCH(AK$2,Inputs!$K$4:$AJ$4,0))))+SUMPRODUCT((Inputs!$E$5:$E$140=$B43)*ISNUMBER(INDEX(Inputs!$K$5:$AJ$140,0,MATCH(AK$2,Inputs!$K$4:$AJ$4,0))))=0,NA(),SUMPRODUCT((Inputs!$A$5:$A$140=$B43)*Inputs!$B$5:$B$140*(((Inputs!$G$5:$G$140="moeda")+(Inputs!$G$5:$G$140="acoes"))*Inputs!$B$1+((Inputs!$G$5:$G$140&lt;&gt;"moeda")*(Inputs!$G$5:$G$140&lt;&gt;"acoes")))*INDEX(Inputs!$K$5:$AJ$140,0,MATCH(AK$2,Inputs!$K$4:$AJ$4,0)))+SUMPRODUCT((Inputs!$C$5:$C$140=$B43)*Inputs!$D$5:$D$140*(((Inputs!$G$5:$G$140="moeda")+(Inputs!$G$5:$G$140="acoes"))*Inputs!$B$1+((Inputs!$G$5:$G$140&lt;&gt;"moeda")*(Inputs!$G$5:$G$140&lt;&gt;"acoes")))*INDEX(Inputs!$K$5:$AJ$140,0,MATCH(AK$2,Inputs!$K$4:$AJ$4,0)))+SUMPRODUCT((Inputs!$E$5:$E$140=$B43)*Inputs!$F$5:$F$140*(((Inputs!$G$5:$G$140="moeda")+(Inputs!$G$5:$G$140="acoes"))*Inputs!$B$1+((Inputs!$G$5:$G$140&lt;&gt;"moeda")*(Inputs!$G$5:$G$140&lt;&gt;"acoes")))*INDEX(Inputs!$K$5:$AJ$140,0,MATCH(AK$2,Inputs!$K$4:$AJ$4,0)))))</f>
        <v>308.652</v>
      </c>
      <c r="AL43" s="3">
        <f>AK43</f>
        <v>308.652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$140=$B44)*ISNUMBER(INDEX(Inputs!$K$5:$AJ$140,0,MATCH(D$2,Inputs!$K$4:$AJ$4,0))))+SUMPRODUCT((Inputs!$C$5:$C$140=$B44)*ISNUMBER(INDEX(Inputs!$K$5:$AJ$140,0,MATCH(D$2,Inputs!$K$4:$AJ$4,0))))+SUMPRODUCT((Inputs!$E$5:$E$140=$B44)*ISNUMBER(INDEX(Inputs!$K$5:$AJ$140,0,MATCH(D$2,Inputs!$K$4:$AJ$4,0))))=0,NA(),SUMPRODUCT((Inputs!$A$5:$A$140=$B44)*Inputs!$B$5:$B$140*(((Inputs!$G$5:$G$140="moeda")+(Inputs!$G$5:$G$140="acoes"))*Inputs!$B$1+((Inputs!$G$5:$G$140&lt;&gt;"moeda")*(Inputs!$G$5:$G$140&lt;&gt;"acoes")))*INDEX(Inputs!$K$5:$AJ$140,0,MATCH(D$2,Inputs!$K$4:$AJ$4,0)))+SUMPRODUCT((Inputs!$C$5:$C$140=$B44)*Inputs!$D$5:$D$140*(((Inputs!$G$5:$G$140="moeda")+(Inputs!$G$5:$G$140="acoes"))*Inputs!$B$1+((Inputs!$G$5:$G$140&lt;&gt;"moeda")*(Inputs!$G$5:$G$140&lt;&gt;"acoes")))*INDEX(Inputs!$K$5:$AJ$140,0,MATCH(D$2,Inputs!$K$4:$AJ$4,0)))+SUMPRODUCT((Inputs!$E$5:$E$140=$B44)*Inputs!$F$5:$F$140*(((Inputs!$G$5:$G$140="moeda")+(Inputs!$G$5:$G$140="acoes"))*Inputs!$B$1+((Inputs!$G$5:$G$140&lt;&gt;"moeda")*(Inputs!$G$5:$G$140&lt;&gt;"acoes")))*INDEX(Inputs!$K$5:$AJ$140,0,MATCH(D$2,Inputs!$K$4:$AJ$4,0)))))</f>
        <v>0</v>
      </c>
      <c r="E44" s="6">
        <f>IF(ISNA(MATCH(E$2,Inputs!$K$4:$AJ$4,0)),NA(),IF(SUMPRODUCT((Inputs!$A$5:$A$140=$B44)*ISNUMBER(INDEX(Inputs!$K$5:$AJ$140,0,MATCH(E$2,Inputs!$K$4:$AJ$4,0))))+SUMPRODUCT((Inputs!$C$5:$C$140=$B44)*ISNUMBER(INDEX(Inputs!$K$5:$AJ$140,0,MATCH(E$2,Inputs!$K$4:$AJ$4,0))))+SUMPRODUCT((Inputs!$E$5:$E$140=$B44)*ISNUMBER(INDEX(Inputs!$K$5:$AJ$140,0,MATCH(E$2,Inputs!$K$4:$AJ$4,0))))=0,NA(),SUMPRODUCT((Inputs!$A$5:$A$140=$B44)*Inputs!$B$5:$B$140*(((Inputs!$G$5:$G$140="moeda")+(Inputs!$G$5:$G$140="acoes"))*Inputs!$B$1+((Inputs!$G$5:$G$140&lt;&gt;"moeda")*(Inputs!$G$5:$G$140&lt;&gt;"acoes")))*INDEX(Inputs!$K$5:$AJ$140,0,MATCH(E$2,Inputs!$K$4:$AJ$4,0)))+SUMPRODUCT((Inputs!$C$5:$C$140=$B44)*Inputs!$D$5:$D$140*(((Inputs!$G$5:$G$140="moeda")+(Inputs!$G$5:$G$140="acoes"))*Inputs!$B$1+((Inputs!$G$5:$G$140&lt;&gt;"moeda")*(Inputs!$G$5:$G$140&lt;&gt;"acoes")))*INDEX(Inputs!$K$5:$AJ$140,0,MATCH(E$2,Inputs!$K$4:$AJ$4,0)))+SUMPRODUCT((Inputs!$E$5:$E$140=$B44)*Inputs!$F$5:$F$140*(((Inputs!$G$5:$G$140="moeda")+(Inputs!$G$5:$G$140="acoes"))*Inputs!$B$1+((Inputs!$G$5:$G$140&lt;&gt;"moeda")*(Inputs!$G$5:$G$140&lt;&gt;"acoes")))*INDEX(Inputs!$K$5:$AJ$140,0,MATCH(E$2,Inputs!$K$4:$AJ$4,0)))))</f>
        <v>0</v>
      </c>
      <c r="F44" s="6">
        <f>IF(ISNA(MATCH(F$2,Inputs!$K$4:$AJ$4,0)),NA(),IF(SUMPRODUCT((Inputs!$A$5:$A$140=$B44)*ISNUMBER(INDEX(Inputs!$K$5:$AJ$140,0,MATCH(F$2,Inputs!$K$4:$AJ$4,0))))+SUMPRODUCT((Inputs!$C$5:$C$140=$B44)*ISNUMBER(INDEX(Inputs!$K$5:$AJ$140,0,MATCH(F$2,Inputs!$K$4:$AJ$4,0))))+SUMPRODUCT((Inputs!$E$5:$E$140=$B44)*ISNUMBER(INDEX(Inputs!$K$5:$AJ$140,0,MATCH(F$2,Inputs!$K$4:$AJ$4,0))))=0,NA(),SUMPRODUCT((Inputs!$A$5:$A$140=$B44)*Inputs!$B$5:$B$140*(((Inputs!$G$5:$G$140="moeda")+(Inputs!$G$5:$G$140="acoes"))*Inputs!$B$1+((Inputs!$G$5:$G$140&lt;&gt;"moeda")*(Inputs!$G$5:$G$140&lt;&gt;"acoes")))*INDEX(Inputs!$K$5:$AJ$140,0,MATCH(F$2,Inputs!$K$4:$AJ$4,0)))+SUMPRODUCT((Inputs!$C$5:$C$140=$B44)*Inputs!$D$5:$D$140*(((Inputs!$G$5:$G$140="moeda")+(Inputs!$G$5:$G$140="acoes"))*Inputs!$B$1+((Inputs!$G$5:$G$140&lt;&gt;"moeda")*(Inputs!$G$5:$G$140&lt;&gt;"acoes")))*INDEX(Inputs!$K$5:$AJ$140,0,MATCH(F$2,Inputs!$K$4:$AJ$4,0)))+SUMPRODUCT((Inputs!$E$5:$E$140=$B44)*Inputs!$F$5:$F$140*(((Inputs!$G$5:$G$140="moeda")+(Inputs!$G$5:$G$140="acoes"))*Inputs!$B$1+((Inputs!$G$5:$G$140&lt;&gt;"moeda")*(Inputs!$G$5:$G$140&lt;&gt;"acoes")))*INDEX(Inputs!$K$5:$AJ$140,0,MATCH(F$2,Inputs!$K$4:$AJ$4,0)))))</f>
        <v>0</v>
      </c>
      <c r="G44" s="6">
        <f>IF(ISNA(MATCH(G$2,Inputs!$K$4:$AJ$4,0)),NA(),IF(SUMPRODUCT((Inputs!$A$5:$A$140=$B44)*ISNUMBER(INDEX(Inputs!$K$5:$AJ$140,0,MATCH(G$2,Inputs!$K$4:$AJ$4,0))))+SUMPRODUCT((Inputs!$C$5:$C$140=$B44)*ISNUMBER(INDEX(Inputs!$K$5:$AJ$140,0,MATCH(G$2,Inputs!$K$4:$AJ$4,0))))+SUMPRODUCT((Inputs!$E$5:$E$140=$B44)*ISNUMBER(INDEX(Inputs!$K$5:$AJ$140,0,MATCH(G$2,Inputs!$K$4:$AJ$4,0))))=0,NA(),SUMPRODUCT((Inputs!$A$5:$A$140=$B44)*Inputs!$B$5:$B$140*(((Inputs!$G$5:$G$140="moeda")+(Inputs!$G$5:$G$140="acoes"))*Inputs!$B$1+((Inputs!$G$5:$G$140&lt;&gt;"moeda")*(Inputs!$G$5:$G$140&lt;&gt;"acoes")))*INDEX(Inputs!$K$5:$AJ$140,0,MATCH(G$2,Inputs!$K$4:$AJ$4,0)))+SUMPRODUCT((Inputs!$C$5:$C$140=$B44)*Inputs!$D$5:$D$140*(((Inputs!$G$5:$G$140="moeda")+(Inputs!$G$5:$G$140="acoes"))*Inputs!$B$1+((Inputs!$G$5:$G$140&lt;&gt;"moeda")*(Inputs!$G$5:$G$140&lt;&gt;"acoes")))*INDEX(Inputs!$K$5:$AJ$140,0,MATCH(G$2,Inputs!$K$4:$AJ$4,0)))+SUMPRODUCT((Inputs!$E$5:$E$140=$B44)*Inputs!$F$5:$F$140*(((Inputs!$G$5:$G$140="moeda")+(Inputs!$G$5:$G$140="acoes"))*Inputs!$B$1+((Inputs!$G$5:$G$140&lt;&gt;"moeda")*(Inputs!$G$5:$G$140&lt;&gt;"acoes")))*INDEX(Inputs!$K$5:$AJ$140,0,MATCH(G$2,Inputs!$K$4:$AJ$4,0)))))</f>
        <v>-0.121</v>
      </c>
      <c r="H44" s="3">
        <f>G44</f>
        <v>-0.121</v>
      </c>
      <c r="I44" s="6">
        <f>IF(ISNA(MATCH(I$2,Inputs!$K$4:$AJ$4,0)),NA(),IF(SUMPRODUCT((Inputs!$A$5:$A$140=$B44)*ISNUMBER(INDEX(Inputs!$K$5:$AJ$140,0,MATCH(I$2,Inputs!$K$4:$AJ$4,0))))+SUMPRODUCT((Inputs!$C$5:$C$140=$B44)*ISNUMBER(INDEX(Inputs!$K$5:$AJ$140,0,MATCH(I$2,Inputs!$K$4:$AJ$4,0))))+SUMPRODUCT((Inputs!$E$5:$E$140=$B44)*ISNUMBER(INDEX(Inputs!$K$5:$AJ$140,0,MATCH(I$2,Inputs!$K$4:$AJ$4,0))))=0,NA(),SUMPRODUCT((Inputs!$A$5:$A$140=$B44)*Inputs!$B$5:$B$140*(((Inputs!$G$5:$G$140="moeda")+(Inputs!$G$5:$G$140="acoes"))*Inputs!$B$1+((Inputs!$G$5:$G$140&lt;&gt;"moeda")*(Inputs!$G$5:$G$140&lt;&gt;"acoes")))*INDEX(Inputs!$K$5:$AJ$140,0,MATCH(I$2,Inputs!$K$4:$AJ$4,0)))+SUMPRODUCT((Inputs!$C$5:$C$140=$B44)*Inputs!$D$5:$D$140*(((Inputs!$G$5:$G$140="moeda")+(Inputs!$G$5:$G$140="acoes"))*Inputs!$B$1+((Inputs!$G$5:$G$140&lt;&gt;"moeda")*(Inputs!$G$5:$G$140&lt;&gt;"acoes")))*INDEX(Inputs!$K$5:$AJ$140,0,MATCH(I$2,Inputs!$K$4:$AJ$4,0)))+SUMPRODUCT((Inputs!$E$5:$E$140=$B44)*Inputs!$F$5:$F$140*(((Inputs!$G$5:$G$140="moeda")+(Inputs!$G$5:$G$140="acoes"))*Inputs!$B$1+((Inputs!$G$5:$G$140&lt;&gt;"moeda")*(Inputs!$G$5:$G$140&lt;&gt;"acoes")))*INDEX(Inputs!$K$5:$AJ$140,0,MATCH(I$2,Inputs!$K$4:$AJ$4,0)))))</f>
        <v>-5.015</v>
      </c>
      <c r="J44" s="6">
        <f>IF(ISNA(MATCH(J$2,Inputs!$K$4:$AJ$4,0)),NA(),IF(SUMPRODUCT((Inputs!$A$5:$A$140=$B44)*ISNUMBER(INDEX(Inputs!$K$5:$AJ$140,0,MATCH(J$2,Inputs!$K$4:$AJ$4,0))))+SUMPRODUCT((Inputs!$C$5:$C$140=$B44)*ISNUMBER(INDEX(Inputs!$K$5:$AJ$140,0,MATCH(J$2,Inputs!$K$4:$AJ$4,0))))+SUMPRODUCT((Inputs!$E$5:$E$140=$B44)*ISNUMBER(INDEX(Inputs!$K$5:$AJ$140,0,MATCH(J$2,Inputs!$K$4:$AJ$4,0))))=0,NA(),SUMPRODUCT((Inputs!$A$5:$A$140=$B44)*Inputs!$B$5:$B$140*(((Inputs!$G$5:$G$140="moeda")+(Inputs!$G$5:$G$140="acoes"))*Inputs!$B$1+((Inputs!$G$5:$G$140&lt;&gt;"moeda")*(Inputs!$G$5:$G$140&lt;&gt;"acoes")))*INDEX(Inputs!$K$5:$AJ$140,0,MATCH(J$2,Inputs!$K$4:$AJ$4,0)))+SUMPRODUCT((Inputs!$C$5:$C$140=$B44)*Inputs!$D$5:$D$140*(((Inputs!$G$5:$G$140="moeda")+(Inputs!$G$5:$G$140="acoes"))*Inputs!$B$1+((Inputs!$G$5:$G$140&lt;&gt;"moeda")*(Inputs!$G$5:$G$140&lt;&gt;"acoes")))*INDEX(Inputs!$K$5:$AJ$140,0,MATCH(J$2,Inputs!$K$4:$AJ$4,0)))+SUMPRODUCT((Inputs!$E$5:$E$140=$B44)*Inputs!$F$5:$F$140*(((Inputs!$G$5:$G$140="moeda")+(Inputs!$G$5:$G$140="acoes"))*Inputs!$B$1+((Inputs!$G$5:$G$140&lt;&gt;"moeda")*(Inputs!$G$5:$G$140&lt;&gt;"acoes")))*INDEX(Inputs!$K$5:$AJ$140,0,MATCH(J$2,Inputs!$K$4:$AJ$4,0)))))</f>
        <v>-12.21</v>
      </c>
      <c r="K44" s="6">
        <f>IF(ISNA(MATCH(K$2,Inputs!$K$4:$AJ$4,0)),NA(),IF(SUMPRODUCT((Inputs!$A$5:$A$140=$B44)*ISNUMBER(INDEX(Inputs!$K$5:$AJ$140,0,MATCH(K$2,Inputs!$K$4:$AJ$4,0))))+SUMPRODUCT((Inputs!$C$5:$C$140=$B44)*ISNUMBER(INDEX(Inputs!$K$5:$AJ$140,0,MATCH(K$2,Inputs!$K$4:$AJ$4,0))))+SUMPRODUCT((Inputs!$E$5:$E$140=$B44)*ISNUMBER(INDEX(Inputs!$K$5:$AJ$140,0,MATCH(K$2,Inputs!$K$4:$AJ$4,0))))=0,NA(),SUMPRODUCT((Inputs!$A$5:$A$140=$B44)*Inputs!$B$5:$B$140*(((Inputs!$G$5:$G$140="moeda")+(Inputs!$G$5:$G$140="acoes"))*Inputs!$B$1+((Inputs!$G$5:$G$140&lt;&gt;"moeda")*(Inputs!$G$5:$G$140&lt;&gt;"acoes")))*INDEX(Inputs!$K$5:$AJ$140,0,MATCH(K$2,Inputs!$K$4:$AJ$4,0)))+SUMPRODUCT((Inputs!$C$5:$C$140=$B44)*Inputs!$D$5:$D$140*(((Inputs!$G$5:$G$140="moeda")+(Inputs!$G$5:$G$140="acoes"))*Inputs!$B$1+((Inputs!$G$5:$G$140&lt;&gt;"moeda")*(Inputs!$G$5:$G$140&lt;&gt;"acoes")))*INDEX(Inputs!$K$5:$AJ$140,0,MATCH(K$2,Inputs!$K$4:$AJ$4,0)))+SUMPRODUCT((Inputs!$E$5:$E$140=$B44)*Inputs!$F$5:$F$140*(((Inputs!$G$5:$G$140="moeda")+(Inputs!$G$5:$G$140="acoes"))*Inputs!$B$1+((Inputs!$G$5:$G$140&lt;&gt;"moeda")*(Inputs!$G$5:$G$140&lt;&gt;"acoes")))*INDEX(Inputs!$K$5:$AJ$140,0,MATCH(K$2,Inputs!$K$4:$AJ$4,0)))))</f>
        <v>-12.21</v>
      </c>
      <c r="L44" s="6">
        <f>IF(ISNA(MATCH(L$2,Inputs!$K$4:$AJ$4,0)),NA(),IF(SUMPRODUCT((Inputs!$A$5:$A$140=$B44)*ISNUMBER(INDEX(Inputs!$K$5:$AJ$140,0,MATCH(L$2,Inputs!$K$4:$AJ$4,0))))+SUMPRODUCT((Inputs!$C$5:$C$140=$B44)*ISNUMBER(INDEX(Inputs!$K$5:$AJ$140,0,MATCH(L$2,Inputs!$K$4:$AJ$4,0))))+SUMPRODUCT((Inputs!$E$5:$E$140=$B44)*ISNUMBER(INDEX(Inputs!$K$5:$AJ$140,0,MATCH(L$2,Inputs!$K$4:$AJ$4,0))))=0,NA(),SUMPRODUCT((Inputs!$A$5:$A$140=$B44)*Inputs!$B$5:$B$140*(((Inputs!$G$5:$G$140="moeda")+(Inputs!$G$5:$G$140="acoes"))*Inputs!$B$1+((Inputs!$G$5:$G$140&lt;&gt;"moeda")*(Inputs!$G$5:$G$140&lt;&gt;"acoes")))*INDEX(Inputs!$K$5:$AJ$140,0,MATCH(L$2,Inputs!$K$4:$AJ$4,0)))+SUMPRODUCT((Inputs!$C$5:$C$140=$B44)*Inputs!$D$5:$D$140*(((Inputs!$G$5:$G$140="moeda")+(Inputs!$G$5:$G$140="acoes"))*Inputs!$B$1+((Inputs!$G$5:$G$140&lt;&gt;"moeda")*(Inputs!$G$5:$G$140&lt;&gt;"acoes")))*INDEX(Inputs!$K$5:$AJ$140,0,MATCH(L$2,Inputs!$K$4:$AJ$4,0)))+SUMPRODUCT((Inputs!$E$5:$E$140=$B44)*Inputs!$F$5:$F$140*(((Inputs!$G$5:$G$140="moeda")+(Inputs!$G$5:$G$140="acoes"))*Inputs!$B$1+((Inputs!$G$5:$G$140&lt;&gt;"moeda")*(Inputs!$G$5:$G$140&lt;&gt;"acoes")))*INDEX(Inputs!$K$5:$AJ$140,0,MATCH(L$2,Inputs!$K$4:$AJ$4,0)))))</f>
        <v>-12.21</v>
      </c>
      <c r="M44" s="3">
        <f>L44</f>
        <v>-12.21</v>
      </c>
      <c r="N44" s="6">
        <f>IF(ISNA(MATCH(N$2,Inputs!$K$4:$AJ$4,0)),NA(),IF(SUMPRODUCT((Inputs!$A$5:$A$140=$B44)*ISNUMBER(INDEX(Inputs!$K$5:$AJ$140,0,MATCH(N$2,Inputs!$K$4:$AJ$4,0))))+SUMPRODUCT((Inputs!$C$5:$C$140=$B44)*ISNUMBER(INDEX(Inputs!$K$5:$AJ$140,0,MATCH(N$2,Inputs!$K$4:$AJ$4,0))))+SUMPRODUCT((Inputs!$E$5:$E$140=$B44)*ISNUMBER(INDEX(Inputs!$K$5:$AJ$140,0,MATCH(N$2,Inputs!$K$4:$AJ$4,0))))=0,NA(),SUMPRODUCT((Inputs!$A$5:$A$140=$B44)*Inputs!$B$5:$B$140*(((Inputs!$G$5:$G$140="moeda")+(Inputs!$G$5:$G$140="acoes"))*Inputs!$B$1+((Inputs!$G$5:$G$140&lt;&gt;"moeda")*(Inputs!$G$5:$G$140&lt;&gt;"acoes")))*INDEX(Inputs!$K$5:$AJ$140,0,MATCH(N$2,Inputs!$K$4:$AJ$4,0)))+SUMPRODUCT((Inputs!$C$5:$C$140=$B44)*Inputs!$D$5:$D$140*(((Inputs!$G$5:$G$140="moeda")+(Inputs!$G$5:$G$140="acoes"))*Inputs!$B$1+((Inputs!$G$5:$G$140&lt;&gt;"moeda")*(Inputs!$G$5:$G$140&lt;&gt;"acoes")))*INDEX(Inputs!$K$5:$AJ$140,0,MATCH(N$2,Inputs!$K$4:$AJ$4,0)))+SUMPRODUCT((Inputs!$E$5:$E$140=$B44)*Inputs!$F$5:$F$140*(((Inputs!$G$5:$G$140="moeda")+(Inputs!$G$5:$G$140="acoes"))*Inputs!$B$1+((Inputs!$G$5:$G$140&lt;&gt;"moeda")*(Inputs!$G$5:$G$140&lt;&gt;"acoes")))*INDEX(Inputs!$K$5:$AJ$140,0,MATCH(N$2,Inputs!$K$4:$AJ$4,0)))))</f>
        <v>-12.21</v>
      </c>
      <c r="O44" s="6">
        <f>IF(ISNA(MATCH(O$2,Inputs!$K$4:$AJ$4,0)),NA(),IF(SUMPRODUCT((Inputs!$A$5:$A$140=$B44)*ISNUMBER(INDEX(Inputs!$K$5:$AJ$140,0,MATCH(O$2,Inputs!$K$4:$AJ$4,0))))+SUMPRODUCT((Inputs!$C$5:$C$140=$B44)*ISNUMBER(INDEX(Inputs!$K$5:$AJ$140,0,MATCH(O$2,Inputs!$K$4:$AJ$4,0))))+SUMPRODUCT((Inputs!$E$5:$E$140=$B44)*ISNUMBER(INDEX(Inputs!$K$5:$AJ$140,0,MATCH(O$2,Inputs!$K$4:$AJ$4,0))))=0,NA(),SUMPRODUCT((Inputs!$A$5:$A$140=$B44)*Inputs!$B$5:$B$140*(((Inputs!$G$5:$G$140="moeda")+(Inputs!$G$5:$G$140="acoes"))*Inputs!$B$1+((Inputs!$G$5:$G$140&lt;&gt;"moeda")*(Inputs!$G$5:$G$140&lt;&gt;"acoes")))*INDEX(Inputs!$K$5:$AJ$140,0,MATCH(O$2,Inputs!$K$4:$AJ$4,0)))+SUMPRODUCT((Inputs!$C$5:$C$140=$B44)*Inputs!$D$5:$D$140*(((Inputs!$G$5:$G$140="moeda")+(Inputs!$G$5:$G$140="acoes"))*Inputs!$B$1+((Inputs!$G$5:$G$140&lt;&gt;"moeda")*(Inputs!$G$5:$G$140&lt;&gt;"acoes")))*INDEX(Inputs!$K$5:$AJ$140,0,MATCH(O$2,Inputs!$K$4:$AJ$4,0)))+SUMPRODUCT((Inputs!$E$5:$E$140=$B44)*Inputs!$F$5:$F$140*(((Inputs!$G$5:$G$140="moeda")+(Inputs!$G$5:$G$140="acoes"))*Inputs!$B$1+((Inputs!$G$5:$G$140&lt;&gt;"moeda")*(Inputs!$G$5:$G$140&lt;&gt;"acoes")))*INDEX(Inputs!$K$5:$AJ$140,0,MATCH(O$2,Inputs!$K$4:$AJ$4,0)))))</f>
        <v>-12.21</v>
      </c>
      <c r="P44" s="6">
        <f>IF(ISNA(MATCH(P$2,Inputs!$K$4:$AJ$4,0)),NA(),IF(SUMPRODUCT((Inputs!$A$5:$A$140=$B44)*ISNUMBER(INDEX(Inputs!$K$5:$AJ$140,0,MATCH(P$2,Inputs!$K$4:$AJ$4,0))))+SUMPRODUCT((Inputs!$C$5:$C$140=$B44)*ISNUMBER(INDEX(Inputs!$K$5:$AJ$140,0,MATCH(P$2,Inputs!$K$4:$AJ$4,0))))+SUMPRODUCT((Inputs!$E$5:$E$140=$B44)*ISNUMBER(INDEX(Inputs!$K$5:$AJ$140,0,MATCH(P$2,Inputs!$K$4:$AJ$4,0))))=0,NA(),SUMPRODUCT((Inputs!$A$5:$A$140=$B44)*Inputs!$B$5:$B$140*(((Inputs!$G$5:$G$140="moeda")+(Inputs!$G$5:$G$140="acoes"))*Inputs!$B$1+((Inputs!$G$5:$G$140&lt;&gt;"moeda")*(Inputs!$G$5:$G$140&lt;&gt;"acoes")))*INDEX(Inputs!$K$5:$AJ$140,0,MATCH(P$2,Inputs!$K$4:$AJ$4,0)))+SUMPRODUCT((Inputs!$C$5:$C$140=$B44)*Inputs!$D$5:$D$140*(((Inputs!$G$5:$G$140="moeda")+(Inputs!$G$5:$G$140="acoes"))*Inputs!$B$1+((Inputs!$G$5:$G$140&lt;&gt;"moeda")*(Inputs!$G$5:$G$140&lt;&gt;"acoes")))*INDEX(Inputs!$K$5:$AJ$140,0,MATCH(P$2,Inputs!$K$4:$AJ$4,0)))+SUMPRODUCT((Inputs!$E$5:$E$140=$B44)*Inputs!$F$5:$F$140*(((Inputs!$G$5:$G$140="moeda")+(Inputs!$G$5:$G$140="acoes"))*Inputs!$B$1+((Inputs!$G$5:$G$140&lt;&gt;"moeda")*(Inputs!$G$5:$G$140&lt;&gt;"acoes")))*INDEX(Inputs!$K$5:$AJ$140,0,MATCH(P$2,Inputs!$K$4:$AJ$4,0)))))</f>
        <v>-12.21</v>
      </c>
      <c r="Q44" s="6">
        <f>IF(ISNA(MATCH(Q$2,Inputs!$K$4:$AJ$4,0)),NA(),IF(SUMPRODUCT((Inputs!$A$5:$A$140=$B44)*ISNUMBER(INDEX(Inputs!$K$5:$AJ$140,0,MATCH(Q$2,Inputs!$K$4:$AJ$4,0))))+SUMPRODUCT((Inputs!$C$5:$C$140=$B44)*ISNUMBER(INDEX(Inputs!$K$5:$AJ$140,0,MATCH(Q$2,Inputs!$K$4:$AJ$4,0))))+SUMPRODUCT((Inputs!$E$5:$E$140=$B44)*ISNUMBER(INDEX(Inputs!$K$5:$AJ$140,0,MATCH(Q$2,Inputs!$K$4:$AJ$4,0))))=0,NA(),SUMPRODUCT((Inputs!$A$5:$A$140=$B44)*Inputs!$B$5:$B$140*(((Inputs!$G$5:$G$140="moeda")+(Inputs!$G$5:$G$140="acoes"))*Inputs!$B$1+((Inputs!$G$5:$G$140&lt;&gt;"moeda")*(Inputs!$G$5:$G$140&lt;&gt;"acoes")))*INDEX(Inputs!$K$5:$AJ$140,0,MATCH(Q$2,Inputs!$K$4:$AJ$4,0)))+SUMPRODUCT((Inputs!$C$5:$C$140=$B44)*Inputs!$D$5:$D$140*(((Inputs!$G$5:$G$140="moeda")+(Inputs!$G$5:$G$140="acoes"))*Inputs!$B$1+((Inputs!$G$5:$G$140&lt;&gt;"moeda")*(Inputs!$G$5:$G$140&lt;&gt;"acoes")))*INDEX(Inputs!$K$5:$AJ$140,0,MATCH(Q$2,Inputs!$K$4:$AJ$4,0)))+SUMPRODUCT((Inputs!$E$5:$E$140=$B44)*Inputs!$F$5:$F$140*(((Inputs!$G$5:$G$140="moeda")+(Inputs!$G$5:$G$140="acoes"))*Inputs!$B$1+((Inputs!$G$5:$G$140&lt;&gt;"moeda")*(Inputs!$G$5:$G$140&lt;&gt;"acoes")))*INDEX(Inputs!$K$5:$AJ$140,0,MATCH(Q$2,Inputs!$K$4:$AJ$4,0)))))</f>
        <v>-12.21</v>
      </c>
      <c r="R44" s="3">
        <f>Q44</f>
        <v>-12.21</v>
      </c>
      <c r="S44" s="6">
        <f>IF(ISNA(MATCH(S$2,Inputs!$K$4:$AJ$4,0)),NA(),IF(SUMPRODUCT((Inputs!$A$5:$A$140=$B44)*ISNUMBER(INDEX(Inputs!$K$5:$AJ$140,0,MATCH(S$2,Inputs!$K$4:$AJ$4,0))))+SUMPRODUCT((Inputs!$C$5:$C$140=$B44)*ISNUMBER(INDEX(Inputs!$K$5:$AJ$140,0,MATCH(S$2,Inputs!$K$4:$AJ$4,0))))+SUMPRODUCT((Inputs!$E$5:$E$140=$B44)*ISNUMBER(INDEX(Inputs!$K$5:$AJ$140,0,MATCH(S$2,Inputs!$K$4:$AJ$4,0))))=0,NA(),SUMPRODUCT((Inputs!$A$5:$A$140=$B44)*Inputs!$B$5:$B$140*(((Inputs!$G$5:$G$140="moeda")+(Inputs!$G$5:$G$140="acoes"))*Inputs!$B$1+((Inputs!$G$5:$G$140&lt;&gt;"moeda")*(Inputs!$G$5:$G$140&lt;&gt;"acoes")))*INDEX(Inputs!$K$5:$AJ$140,0,MATCH(S$2,Inputs!$K$4:$AJ$4,0)))+SUMPRODUCT((Inputs!$C$5:$C$140=$B44)*Inputs!$D$5:$D$140*(((Inputs!$G$5:$G$140="moeda")+(Inputs!$G$5:$G$140="acoes"))*Inputs!$B$1+((Inputs!$G$5:$G$140&lt;&gt;"moeda")*(Inputs!$G$5:$G$140&lt;&gt;"acoes")))*INDEX(Inputs!$K$5:$AJ$140,0,MATCH(S$2,Inputs!$K$4:$AJ$4,0)))+SUMPRODUCT((Inputs!$E$5:$E$140=$B44)*Inputs!$F$5:$F$140*(((Inputs!$G$5:$G$140="moeda")+(Inputs!$G$5:$G$140="acoes"))*Inputs!$B$1+((Inputs!$G$5:$G$140&lt;&gt;"moeda")*(Inputs!$G$5:$G$140&lt;&gt;"acoes")))*INDEX(Inputs!$K$5:$AJ$140,0,MATCH(S$2,Inputs!$K$4:$AJ$4,0)))))</f>
        <v>-12.21</v>
      </c>
      <c r="T44" s="6">
        <f>IF(ISNA(MATCH(T$2,Inputs!$K$4:$AJ$4,0)),NA(),IF(SUMPRODUCT((Inputs!$A$5:$A$140=$B44)*ISNUMBER(INDEX(Inputs!$K$5:$AJ$140,0,MATCH(T$2,Inputs!$K$4:$AJ$4,0))))+SUMPRODUCT((Inputs!$C$5:$C$140=$B44)*ISNUMBER(INDEX(Inputs!$K$5:$AJ$140,0,MATCH(T$2,Inputs!$K$4:$AJ$4,0))))+SUMPRODUCT((Inputs!$E$5:$E$140=$B44)*ISNUMBER(INDEX(Inputs!$K$5:$AJ$140,0,MATCH(T$2,Inputs!$K$4:$AJ$4,0))))=0,NA(),SUMPRODUCT((Inputs!$A$5:$A$140=$B44)*Inputs!$B$5:$B$140*(((Inputs!$G$5:$G$140="moeda")+(Inputs!$G$5:$G$140="acoes"))*Inputs!$B$1+((Inputs!$G$5:$G$140&lt;&gt;"moeda")*(Inputs!$G$5:$G$140&lt;&gt;"acoes")))*INDEX(Inputs!$K$5:$AJ$140,0,MATCH(T$2,Inputs!$K$4:$AJ$4,0)))+SUMPRODUCT((Inputs!$C$5:$C$140=$B44)*Inputs!$D$5:$D$140*(((Inputs!$G$5:$G$140="moeda")+(Inputs!$G$5:$G$140="acoes"))*Inputs!$B$1+((Inputs!$G$5:$G$140&lt;&gt;"moeda")*(Inputs!$G$5:$G$140&lt;&gt;"acoes")))*INDEX(Inputs!$K$5:$AJ$140,0,MATCH(T$2,Inputs!$K$4:$AJ$4,0)))+SUMPRODUCT((Inputs!$E$5:$E$140=$B44)*Inputs!$F$5:$F$140*(((Inputs!$G$5:$G$140="moeda")+(Inputs!$G$5:$G$140="acoes"))*Inputs!$B$1+((Inputs!$G$5:$G$140&lt;&gt;"moeda")*(Inputs!$G$5:$G$140&lt;&gt;"acoes")))*INDEX(Inputs!$K$5:$AJ$140,0,MATCH(T$2,Inputs!$K$4:$AJ$4,0)))))</f>
        <v>-12.21</v>
      </c>
      <c r="U44" s="6">
        <f>IF(ISNA(MATCH(U$2,Inputs!$K$4:$AJ$4,0)),NA(),IF(SUMPRODUCT((Inputs!$A$5:$A$140=$B44)*ISNUMBER(INDEX(Inputs!$K$5:$AJ$140,0,MATCH(U$2,Inputs!$K$4:$AJ$4,0))))+SUMPRODUCT((Inputs!$C$5:$C$140=$B44)*ISNUMBER(INDEX(Inputs!$K$5:$AJ$140,0,MATCH(U$2,Inputs!$K$4:$AJ$4,0))))+SUMPRODUCT((Inputs!$E$5:$E$140=$B44)*ISNUMBER(INDEX(Inputs!$K$5:$AJ$140,0,MATCH(U$2,Inputs!$K$4:$AJ$4,0))))=0,NA(),SUMPRODUCT((Inputs!$A$5:$A$140=$B44)*Inputs!$B$5:$B$140*(((Inputs!$G$5:$G$140="moeda")+(Inputs!$G$5:$G$140="acoes"))*Inputs!$B$1+((Inputs!$G$5:$G$140&lt;&gt;"moeda")*(Inputs!$G$5:$G$140&lt;&gt;"acoes")))*INDEX(Inputs!$K$5:$AJ$140,0,MATCH(U$2,Inputs!$K$4:$AJ$4,0)))+SUMPRODUCT((Inputs!$C$5:$C$140=$B44)*Inputs!$D$5:$D$140*(((Inputs!$G$5:$G$140="moeda")+(Inputs!$G$5:$G$140="acoes"))*Inputs!$B$1+((Inputs!$G$5:$G$140&lt;&gt;"moeda")*(Inputs!$G$5:$G$140&lt;&gt;"acoes")))*INDEX(Inputs!$K$5:$AJ$140,0,MATCH(U$2,Inputs!$K$4:$AJ$4,0)))+SUMPRODUCT((Inputs!$E$5:$E$140=$B44)*Inputs!$F$5:$F$140*(((Inputs!$G$5:$G$140="moeda")+(Inputs!$G$5:$G$140="acoes"))*Inputs!$B$1+((Inputs!$G$5:$G$140&lt;&gt;"moeda")*(Inputs!$G$5:$G$140&lt;&gt;"acoes")))*INDEX(Inputs!$K$5:$AJ$140,0,MATCH(U$2,Inputs!$K$4:$AJ$4,0)))))</f>
        <v>-12.21</v>
      </c>
      <c r="V44" s="6">
        <f>IF(ISNA(MATCH(V$2,Inputs!$K$4:$AJ$4,0)),NA(),IF(SUMPRODUCT((Inputs!$A$5:$A$140=$B44)*ISNUMBER(INDEX(Inputs!$K$5:$AJ$140,0,MATCH(V$2,Inputs!$K$4:$AJ$4,0))))+SUMPRODUCT((Inputs!$C$5:$C$140=$B44)*ISNUMBER(INDEX(Inputs!$K$5:$AJ$140,0,MATCH(V$2,Inputs!$K$4:$AJ$4,0))))+SUMPRODUCT((Inputs!$E$5:$E$140=$B44)*ISNUMBER(INDEX(Inputs!$K$5:$AJ$140,0,MATCH(V$2,Inputs!$K$4:$AJ$4,0))))=0,NA(),SUMPRODUCT((Inputs!$A$5:$A$140=$B44)*Inputs!$B$5:$B$140*(((Inputs!$G$5:$G$140="moeda")+(Inputs!$G$5:$G$140="acoes"))*Inputs!$B$1+((Inputs!$G$5:$G$140&lt;&gt;"moeda")*(Inputs!$G$5:$G$140&lt;&gt;"acoes")))*INDEX(Inputs!$K$5:$AJ$140,0,MATCH(V$2,Inputs!$K$4:$AJ$4,0)))+SUMPRODUCT((Inputs!$C$5:$C$140=$B44)*Inputs!$D$5:$D$140*(((Inputs!$G$5:$G$140="moeda")+(Inputs!$G$5:$G$140="acoes"))*Inputs!$B$1+((Inputs!$G$5:$G$140&lt;&gt;"moeda")*(Inputs!$G$5:$G$140&lt;&gt;"acoes")))*INDEX(Inputs!$K$5:$AJ$140,0,MATCH(V$2,Inputs!$K$4:$AJ$4,0)))+SUMPRODUCT((Inputs!$E$5:$E$140=$B44)*Inputs!$F$5:$F$140*(((Inputs!$G$5:$G$140="moeda")+(Inputs!$G$5:$G$140="acoes"))*Inputs!$B$1+((Inputs!$G$5:$G$140&lt;&gt;"moeda")*(Inputs!$G$5:$G$140&lt;&gt;"acoes")))*INDEX(Inputs!$K$5:$AJ$140,0,MATCH(V$2,Inputs!$K$4:$AJ$4,0)))))</f>
        <v>-12.21</v>
      </c>
      <c r="W44" s="3">
        <f>V44</f>
        <v>-12.21</v>
      </c>
      <c r="X44" s="6">
        <f>IF(ISNA(MATCH(X$2,Inputs!$K$4:$AJ$4,0)),NA(),IF(SUMPRODUCT((Inputs!$A$5:$A$140=$B44)*ISNUMBER(INDEX(Inputs!$K$5:$AJ$140,0,MATCH(X$2,Inputs!$K$4:$AJ$4,0))))+SUMPRODUCT((Inputs!$C$5:$C$140=$B44)*ISNUMBER(INDEX(Inputs!$K$5:$AJ$140,0,MATCH(X$2,Inputs!$K$4:$AJ$4,0))))+SUMPRODUCT((Inputs!$E$5:$E$140=$B44)*ISNUMBER(INDEX(Inputs!$K$5:$AJ$140,0,MATCH(X$2,Inputs!$K$4:$AJ$4,0))))=0,NA(),SUMPRODUCT((Inputs!$A$5:$A$140=$B44)*Inputs!$B$5:$B$140*(((Inputs!$G$5:$G$140="moeda")+(Inputs!$G$5:$G$140="acoes"))*Inputs!$B$1+((Inputs!$G$5:$G$140&lt;&gt;"moeda")*(Inputs!$G$5:$G$140&lt;&gt;"acoes")))*INDEX(Inputs!$K$5:$AJ$140,0,MATCH(X$2,Inputs!$K$4:$AJ$4,0)))+SUMPRODUCT((Inputs!$C$5:$C$140=$B44)*Inputs!$D$5:$D$140*(((Inputs!$G$5:$G$140="moeda")+(Inputs!$G$5:$G$140="acoes"))*Inputs!$B$1+((Inputs!$G$5:$G$140&lt;&gt;"moeda")*(Inputs!$G$5:$G$140&lt;&gt;"acoes")))*INDEX(Inputs!$K$5:$AJ$140,0,MATCH(X$2,Inputs!$K$4:$AJ$4,0)))+SUMPRODUCT((Inputs!$E$5:$E$140=$B44)*Inputs!$F$5:$F$140*(((Inputs!$G$5:$G$140="moeda")+(Inputs!$G$5:$G$140="acoes"))*Inputs!$B$1+((Inputs!$G$5:$G$140&lt;&gt;"moeda")*(Inputs!$G$5:$G$140&lt;&gt;"acoes")))*INDEX(Inputs!$K$5:$AJ$140,0,MATCH(X$2,Inputs!$K$4:$AJ$4,0)))))</f>
        <v>-12.21</v>
      </c>
      <c r="Y44" s="6">
        <f>IF(ISNA(MATCH(Y$2,Inputs!$K$4:$AJ$4,0)),NA(),IF(SUMPRODUCT((Inputs!$A$5:$A$140=$B44)*ISNUMBER(INDEX(Inputs!$K$5:$AJ$140,0,MATCH(Y$2,Inputs!$K$4:$AJ$4,0))))+SUMPRODUCT((Inputs!$C$5:$C$140=$B44)*ISNUMBER(INDEX(Inputs!$K$5:$AJ$140,0,MATCH(Y$2,Inputs!$K$4:$AJ$4,0))))+SUMPRODUCT((Inputs!$E$5:$E$140=$B44)*ISNUMBER(INDEX(Inputs!$K$5:$AJ$140,0,MATCH(Y$2,Inputs!$K$4:$AJ$4,0))))=0,NA(),SUMPRODUCT((Inputs!$A$5:$A$140=$B44)*Inputs!$B$5:$B$140*(((Inputs!$G$5:$G$140="moeda")+(Inputs!$G$5:$G$140="acoes"))*Inputs!$B$1+((Inputs!$G$5:$G$140&lt;&gt;"moeda")*(Inputs!$G$5:$G$140&lt;&gt;"acoes")))*INDEX(Inputs!$K$5:$AJ$140,0,MATCH(Y$2,Inputs!$K$4:$AJ$4,0)))+SUMPRODUCT((Inputs!$C$5:$C$140=$B44)*Inputs!$D$5:$D$140*(((Inputs!$G$5:$G$140="moeda")+(Inputs!$G$5:$G$140="acoes"))*Inputs!$B$1+((Inputs!$G$5:$G$140&lt;&gt;"moeda")*(Inputs!$G$5:$G$140&lt;&gt;"acoes")))*INDEX(Inputs!$K$5:$AJ$140,0,MATCH(Y$2,Inputs!$K$4:$AJ$4,0)))+SUMPRODUCT((Inputs!$E$5:$E$140=$B44)*Inputs!$F$5:$F$140*(((Inputs!$G$5:$G$140="moeda")+(Inputs!$G$5:$G$140="acoes"))*Inputs!$B$1+((Inputs!$G$5:$G$140&lt;&gt;"moeda")*(Inputs!$G$5:$G$140&lt;&gt;"acoes")))*INDEX(Inputs!$K$5:$AJ$140,0,MATCH(Y$2,Inputs!$K$4:$AJ$4,0)))))</f>
        <v>0</v>
      </c>
      <c r="Z44" s="6">
        <f>IF(ISNA(MATCH(Z$2,Inputs!$K$4:$AJ$4,0)),NA(),IF(SUMPRODUCT((Inputs!$A$5:$A$140=$B44)*ISNUMBER(INDEX(Inputs!$K$5:$AJ$140,0,MATCH(Z$2,Inputs!$K$4:$AJ$4,0))))+SUMPRODUCT((Inputs!$C$5:$C$140=$B44)*ISNUMBER(INDEX(Inputs!$K$5:$AJ$140,0,MATCH(Z$2,Inputs!$K$4:$AJ$4,0))))+SUMPRODUCT((Inputs!$E$5:$E$140=$B44)*ISNUMBER(INDEX(Inputs!$K$5:$AJ$140,0,MATCH(Z$2,Inputs!$K$4:$AJ$4,0))))=0,NA(),SUMPRODUCT((Inputs!$A$5:$A$140=$B44)*Inputs!$B$5:$B$140*(((Inputs!$G$5:$G$140="moeda")+(Inputs!$G$5:$G$140="acoes"))*Inputs!$B$1+((Inputs!$G$5:$G$140&lt;&gt;"moeda")*(Inputs!$G$5:$G$140&lt;&gt;"acoes")))*INDEX(Inputs!$K$5:$AJ$140,0,MATCH(Z$2,Inputs!$K$4:$AJ$4,0)))+SUMPRODUCT((Inputs!$C$5:$C$140=$B44)*Inputs!$D$5:$D$140*(((Inputs!$G$5:$G$140="moeda")+(Inputs!$G$5:$G$140="acoes"))*Inputs!$B$1+((Inputs!$G$5:$G$140&lt;&gt;"moeda")*(Inputs!$G$5:$G$140&lt;&gt;"acoes")))*INDEX(Inputs!$K$5:$AJ$140,0,MATCH(Z$2,Inputs!$K$4:$AJ$4,0)))+SUMPRODUCT((Inputs!$E$5:$E$140=$B44)*Inputs!$F$5:$F$140*(((Inputs!$G$5:$G$140="moeda")+(Inputs!$G$5:$G$140="acoes"))*Inputs!$B$1+((Inputs!$G$5:$G$140&lt;&gt;"moeda")*(Inputs!$G$5:$G$140&lt;&gt;"acoes")))*INDEX(Inputs!$K$5:$AJ$140,0,MATCH(Z$2,Inputs!$K$4:$AJ$4,0)))))</f>
        <v>0</v>
      </c>
      <c r="AA44" s="6">
        <f>IF(ISNA(MATCH(AA$2,Inputs!$K$4:$AJ$4,0)),NA(),IF(SUMPRODUCT((Inputs!$A$5:$A$140=$B44)*ISNUMBER(INDEX(Inputs!$K$5:$AJ$140,0,MATCH(AA$2,Inputs!$K$4:$AJ$4,0))))+SUMPRODUCT((Inputs!$C$5:$C$140=$B44)*ISNUMBER(INDEX(Inputs!$K$5:$AJ$140,0,MATCH(AA$2,Inputs!$K$4:$AJ$4,0))))+SUMPRODUCT((Inputs!$E$5:$E$140=$B44)*ISNUMBER(INDEX(Inputs!$K$5:$AJ$140,0,MATCH(AA$2,Inputs!$K$4:$AJ$4,0))))=0,NA(),SUMPRODUCT((Inputs!$A$5:$A$140=$B44)*Inputs!$B$5:$B$140*(((Inputs!$G$5:$G$140="moeda")+(Inputs!$G$5:$G$140="acoes"))*Inputs!$B$1+((Inputs!$G$5:$G$140&lt;&gt;"moeda")*(Inputs!$G$5:$G$140&lt;&gt;"acoes")))*INDEX(Inputs!$K$5:$AJ$140,0,MATCH(AA$2,Inputs!$K$4:$AJ$4,0)))+SUMPRODUCT((Inputs!$C$5:$C$140=$B44)*Inputs!$D$5:$D$140*(((Inputs!$G$5:$G$140="moeda")+(Inputs!$G$5:$G$140="acoes"))*Inputs!$B$1+((Inputs!$G$5:$G$140&lt;&gt;"moeda")*(Inputs!$G$5:$G$140&lt;&gt;"acoes")))*INDEX(Inputs!$K$5:$AJ$140,0,MATCH(AA$2,Inputs!$K$4:$AJ$4,0)))+SUMPRODUCT((Inputs!$E$5:$E$140=$B44)*Inputs!$F$5:$F$140*(((Inputs!$G$5:$G$140="moeda")+(Inputs!$G$5:$G$140="acoes"))*Inputs!$B$1+((Inputs!$G$5:$G$140&lt;&gt;"moeda")*(Inputs!$G$5:$G$140&lt;&gt;"acoes")))*INDEX(Inputs!$K$5:$AJ$140,0,MATCH(AA$2,Inputs!$K$4:$AJ$4,0)))))</f>
        <v>0</v>
      </c>
      <c r="AB44" s="3">
        <f>AA44</f>
        <v>0</v>
      </c>
      <c r="AC44" s="6">
        <f>IF(ISNA(MATCH(AC$2,Inputs!$K$4:$AJ$4,0)),NA(),IF(SUMPRODUCT((Inputs!$A$5:$A$140=$B44)*ISNUMBER(INDEX(Inputs!$K$5:$AJ$140,0,MATCH(AC$2,Inputs!$K$4:$AJ$4,0))))+SUMPRODUCT((Inputs!$C$5:$C$140=$B44)*ISNUMBER(INDEX(Inputs!$K$5:$AJ$140,0,MATCH(AC$2,Inputs!$K$4:$AJ$4,0))))+SUMPRODUCT((Inputs!$E$5:$E$140=$B44)*ISNUMBER(INDEX(Inputs!$K$5:$AJ$140,0,MATCH(AC$2,Inputs!$K$4:$AJ$4,0))))=0,NA(),SUMPRODUCT((Inputs!$A$5:$A$140=$B44)*Inputs!$B$5:$B$140*(((Inputs!$G$5:$G$140="moeda")+(Inputs!$G$5:$G$140="acoes"))*Inputs!$B$1+((Inputs!$G$5:$G$140&lt;&gt;"moeda")*(Inputs!$G$5:$G$140&lt;&gt;"acoes")))*INDEX(Inputs!$K$5:$AJ$140,0,MATCH(AC$2,Inputs!$K$4:$AJ$4,0)))+SUMPRODUCT((Inputs!$C$5:$C$140=$B44)*Inputs!$D$5:$D$140*(((Inputs!$G$5:$G$140="moeda")+(Inputs!$G$5:$G$140="acoes"))*Inputs!$B$1+((Inputs!$G$5:$G$140&lt;&gt;"moeda")*(Inputs!$G$5:$G$140&lt;&gt;"acoes")))*INDEX(Inputs!$K$5:$AJ$140,0,MATCH(AC$2,Inputs!$K$4:$AJ$4,0)))+SUMPRODUCT((Inputs!$E$5:$E$140=$B44)*Inputs!$F$5:$F$140*(((Inputs!$G$5:$G$140="moeda")+(Inputs!$G$5:$G$140="acoes"))*Inputs!$B$1+((Inputs!$G$5:$G$140&lt;&gt;"moeda")*(Inputs!$G$5:$G$140&lt;&gt;"acoes")))*INDEX(Inputs!$K$5:$AJ$140,0,MATCH(AC$2,Inputs!$K$4:$AJ$4,0)))))</f>
        <v>0</v>
      </c>
      <c r="AD44" s="6">
        <f>IF(ISNA(MATCH(AD$2,Inputs!$K$4:$AJ$4,0)),NA(),IF(SUMPRODUCT((Inputs!$A$5:$A$140=$B44)*ISNUMBER(INDEX(Inputs!$K$5:$AJ$140,0,MATCH(AD$2,Inputs!$K$4:$AJ$4,0))))+SUMPRODUCT((Inputs!$C$5:$C$140=$B44)*ISNUMBER(INDEX(Inputs!$K$5:$AJ$140,0,MATCH(AD$2,Inputs!$K$4:$AJ$4,0))))+SUMPRODUCT((Inputs!$E$5:$E$140=$B44)*ISNUMBER(INDEX(Inputs!$K$5:$AJ$140,0,MATCH(AD$2,Inputs!$K$4:$AJ$4,0))))=0,NA(),SUMPRODUCT((Inputs!$A$5:$A$140=$B44)*Inputs!$B$5:$B$140*(((Inputs!$G$5:$G$140="moeda")+(Inputs!$G$5:$G$140="acoes"))*Inputs!$B$1+((Inputs!$G$5:$G$140&lt;&gt;"moeda")*(Inputs!$G$5:$G$140&lt;&gt;"acoes")))*INDEX(Inputs!$K$5:$AJ$140,0,MATCH(AD$2,Inputs!$K$4:$AJ$4,0)))+SUMPRODUCT((Inputs!$C$5:$C$140=$B44)*Inputs!$D$5:$D$140*(((Inputs!$G$5:$G$140="moeda")+(Inputs!$G$5:$G$140="acoes"))*Inputs!$B$1+((Inputs!$G$5:$G$140&lt;&gt;"moeda")*(Inputs!$G$5:$G$140&lt;&gt;"acoes")))*INDEX(Inputs!$K$5:$AJ$140,0,MATCH(AD$2,Inputs!$K$4:$AJ$4,0)))+SUMPRODUCT((Inputs!$E$5:$E$140=$B44)*Inputs!$F$5:$F$140*(((Inputs!$G$5:$G$140="moeda")+(Inputs!$G$5:$G$140="acoes"))*Inputs!$B$1+((Inputs!$G$5:$G$140&lt;&gt;"moeda")*(Inputs!$G$5:$G$140&lt;&gt;"acoes")))*INDEX(Inputs!$K$5:$AJ$140,0,MATCH(AD$2,Inputs!$K$4:$AJ$4,0)))))</f>
        <v>0</v>
      </c>
      <c r="AE44" s="6" t="e">
        <f>IF(ISNA(MATCH(AE$2,Inputs!$K$4:$AJ$4,0)),NA(),IF(SUMPRODUCT((Inputs!$A$5:$A$140=$B44)*ISNUMBER(INDEX(Inputs!$K$5:$AJ$140,0,MATCH(AE$2,Inputs!$K$4:$AJ$4,0))))+SUMPRODUCT((Inputs!$C$5:$C$140=$B44)*ISNUMBER(INDEX(Inputs!$K$5:$AJ$140,0,MATCH(AE$2,Inputs!$K$4:$AJ$4,0))))+SUMPRODUCT((Inputs!$E$5:$E$140=$B44)*ISNUMBER(INDEX(Inputs!$K$5:$AJ$140,0,MATCH(AE$2,Inputs!$K$4:$AJ$4,0))))=0,NA(),SUMPRODUCT((Inputs!$A$5:$A$140=$B44)*Inputs!$B$5:$B$140*(((Inputs!$G$5:$G$140="moeda")+(Inputs!$G$5:$G$140="acoes"))*Inputs!$B$1+((Inputs!$G$5:$G$140&lt;&gt;"moeda")*(Inputs!$G$5:$G$140&lt;&gt;"acoes")))*INDEX(Inputs!$K$5:$AJ$140,0,MATCH(AE$2,Inputs!$K$4:$AJ$4,0)))+SUMPRODUCT((Inputs!$C$5:$C$140=$B44)*Inputs!$D$5:$D$140*(((Inputs!$G$5:$G$140="moeda")+(Inputs!$G$5:$G$140="acoes"))*Inputs!$B$1+((Inputs!$G$5:$G$140&lt;&gt;"moeda")*(Inputs!$G$5:$G$140&lt;&gt;"acoes")))*INDEX(Inputs!$K$5:$AJ$140,0,MATCH(AE$2,Inputs!$K$4:$AJ$4,0)))+SUMPRODUCT((Inputs!$E$5:$E$140=$B44)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4" s="6" t="e">
        <f>IF(ISNA(MATCH(AF$2,Inputs!$K$4:$AJ$4,0)),NA(),IF(SUMPRODUCT((Inputs!$A$5:$A$140=$B44)*ISNUMBER(INDEX(Inputs!$K$5:$AJ$140,0,MATCH(AF$2,Inputs!$K$4:$AJ$4,0))))+SUMPRODUCT((Inputs!$C$5:$C$140=$B44)*ISNUMBER(INDEX(Inputs!$K$5:$AJ$140,0,MATCH(AF$2,Inputs!$K$4:$AJ$4,0))))+SUMPRODUCT((Inputs!$E$5:$E$140=$B44)*ISNUMBER(INDEX(Inputs!$K$5:$AJ$140,0,MATCH(AF$2,Inputs!$K$4:$AJ$4,0))))=0,NA(),SUMPRODUCT((Inputs!$A$5:$A$140=$B44)*Inputs!$B$5:$B$140*(((Inputs!$G$5:$G$140="moeda")+(Inputs!$G$5:$G$140="acoes"))*Inputs!$B$1+((Inputs!$G$5:$G$140&lt;&gt;"moeda")*(Inputs!$G$5:$G$140&lt;&gt;"acoes")))*INDEX(Inputs!$K$5:$AJ$140,0,MATCH(AF$2,Inputs!$K$4:$AJ$4,0)))+SUMPRODUCT((Inputs!$C$5:$C$140=$B44)*Inputs!$D$5:$D$140*(((Inputs!$G$5:$G$140="moeda")+(Inputs!$G$5:$G$140="acoes"))*Inputs!$B$1+((Inputs!$G$5:$G$140&lt;&gt;"moeda")*(Inputs!$G$5:$G$140&lt;&gt;"acoes")))*INDEX(Inputs!$K$5:$AJ$140,0,MATCH(AF$2,Inputs!$K$4:$AJ$4,0)))+SUMPRODUCT((Inputs!$E$5:$E$140=$B44)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4" s="3" t="e">
        <f>AF44</f>
        <v>#N/A</v>
      </c>
      <c r="AH44" s="6">
        <f>IF(ISNA(MATCH(AH$2,Inputs!$K$4:$AJ$4,0)),NA(),IF(SUMPRODUCT((Inputs!$A$5:$A$140=$B44)*ISNUMBER(INDEX(Inputs!$K$5:$AJ$140,0,MATCH(AH$2,Inputs!$K$4:$AJ$4,0))))+SUMPRODUCT((Inputs!$C$5:$C$140=$B44)*ISNUMBER(INDEX(Inputs!$K$5:$AJ$140,0,MATCH(AH$2,Inputs!$K$4:$AJ$4,0))))+SUMPRODUCT((Inputs!$E$5:$E$140=$B44)*ISNUMBER(INDEX(Inputs!$K$5:$AJ$140,0,MATCH(AH$2,Inputs!$K$4:$AJ$4,0))))=0,NA(),SUMPRODUCT((Inputs!$A$5:$A$140=$B44)*Inputs!$B$5:$B$140*(((Inputs!$G$5:$G$140="moeda")+(Inputs!$G$5:$G$140="acoes"))*Inputs!$B$1+((Inputs!$G$5:$G$140&lt;&gt;"moeda")*(Inputs!$G$5:$G$140&lt;&gt;"acoes")))*INDEX(Inputs!$K$5:$AJ$140,0,MATCH(AH$2,Inputs!$K$4:$AJ$4,0)))+SUMPRODUCT((Inputs!$C$5:$C$140=$B44)*Inputs!$D$5:$D$140*(((Inputs!$G$5:$G$140="moeda")+(Inputs!$G$5:$G$140="acoes"))*Inputs!$B$1+((Inputs!$G$5:$G$140&lt;&gt;"moeda")*(Inputs!$G$5:$G$140&lt;&gt;"acoes")))*INDEX(Inputs!$K$5:$AJ$140,0,MATCH(AH$2,Inputs!$K$4:$AJ$4,0)))+SUMPRODUCT((Inputs!$E$5:$E$140=$B44)*Inputs!$F$5:$F$140*(((Inputs!$G$5:$G$140="moeda")+(Inputs!$G$5:$G$140="acoes"))*Inputs!$B$1+((Inputs!$G$5:$G$140&lt;&gt;"moeda")*(Inputs!$G$5:$G$140&lt;&gt;"acoes")))*INDEX(Inputs!$K$5:$AJ$140,0,MATCH(AH$2,Inputs!$K$4:$AJ$4,0)))))</f>
        <v>0</v>
      </c>
      <c r="AI44" s="6">
        <f>IF(ISNA(MATCH(AI$2,Inputs!$K$4:$AJ$4,0)),NA(),IF(SUMPRODUCT((Inputs!$A$5:$A$140=$B44)*ISNUMBER(INDEX(Inputs!$K$5:$AJ$140,0,MATCH(AI$2,Inputs!$K$4:$AJ$4,0))))+SUMPRODUCT((Inputs!$C$5:$C$140=$B44)*ISNUMBER(INDEX(Inputs!$K$5:$AJ$140,0,MATCH(AI$2,Inputs!$K$4:$AJ$4,0))))+SUMPRODUCT((Inputs!$E$5:$E$140=$B44)*ISNUMBER(INDEX(Inputs!$K$5:$AJ$140,0,MATCH(AI$2,Inputs!$K$4:$AJ$4,0))))=0,NA(),SUMPRODUCT((Inputs!$A$5:$A$140=$B44)*Inputs!$B$5:$B$140*(((Inputs!$G$5:$G$140="moeda")+(Inputs!$G$5:$G$140="acoes"))*Inputs!$B$1+((Inputs!$G$5:$G$140&lt;&gt;"moeda")*(Inputs!$G$5:$G$140&lt;&gt;"acoes")))*INDEX(Inputs!$K$5:$AJ$140,0,MATCH(AI$2,Inputs!$K$4:$AJ$4,0)))+SUMPRODUCT((Inputs!$C$5:$C$140=$B44)*Inputs!$D$5:$D$140*(((Inputs!$G$5:$G$140="moeda")+(Inputs!$G$5:$G$140="acoes"))*Inputs!$B$1+((Inputs!$G$5:$G$140&lt;&gt;"moeda")*(Inputs!$G$5:$G$140&lt;&gt;"acoes")))*INDEX(Inputs!$K$5:$AJ$140,0,MATCH(AI$2,Inputs!$K$4:$AJ$4,0)))+SUMPRODUCT((Inputs!$E$5:$E$140=$B44)*Inputs!$F$5:$F$140*(((Inputs!$G$5:$G$140="moeda")+(Inputs!$G$5:$G$140="acoes"))*Inputs!$B$1+((Inputs!$G$5:$G$140&lt;&gt;"moeda")*(Inputs!$G$5:$G$140&lt;&gt;"acoes")))*INDEX(Inputs!$K$5:$AJ$140,0,MATCH(AI$2,Inputs!$K$4:$AJ$4,0)))))</f>
        <v>0</v>
      </c>
      <c r="AJ44" s="6">
        <f>IF(ISNA(MATCH(AJ$2,Inputs!$K$4:$AJ$4,0)),NA(),IF(SUMPRODUCT((Inputs!$A$5:$A$140=$B44)*ISNUMBER(INDEX(Inputs!$K$5:$AJ$140,0,MATCH(AJ$2,Inputs!$K$4:$AJ$4,0))))+SUMPRODUCT((Inputs!$C$5:$C$140=$B44)*ISNUMBER(INDEX(Inputs!$K$5:$AJ$140,0,MATCH(AJ$2,Inputs!$K$4:$AJ$4,0))))+SUMPRODUCT((Inputs!$E$5:$E$140=$B44)*ISNUMBER(INDEX(Inputs!$K$5:$AJ$140,0,MATCH(AJ$2,Inputs!$K$4:$AJ$4,0))))=0,NA(),SUMPRODUCT((Inputs!$A$5:$A$140=$B44)*Inputs!$B$5:$B$140*(((Inputs!$G$5:$G$140="moeda")+(Inputs!$G$5:$G$140="acoes"))*Inputs!$B$1+((Inputs!$G$5:$G$140&lt;&gt;"moeda")*(Inputs!$G$5:$G$140&lt;&gt;"acoes")))*INDEX(Inputs!$K$5:$AJ$140,0,MATCH(AJ$2,Inputs!$K$4:$AJ$4,0)))+SUMPRODUCT((Inputs!$C$5:$C$140=$B44)*Inputs!$D$5:$D$140*(((Inputs!$G$5:$G$140="moeda")+(Inputs!$G$5:$G$140="acoes"))*Inputs!$B$1+((Inputs!$G$5:$G$140&lt;&gt;"moeda")*(Inputs!$G$5:$G$140&lt;&gt;"acoes")))*INDEX(Inputs!$K$5:$AJ$140,0,MATCH(AJ$2,Inputs!$K$4:$AJ$4,0)))+SUMPRODUCT((Inputs!$E$5:$E$140=$B44)*Inputs!$F$5:$F$140*(((Inputs!$G$5:$G$140="moeda")+(Inputs!$G$5:$G$140="acoes"))*Inputs!$B$1+((Inputs!$G$5:$G$140&lt;&gt;"moeda")*(Inputs!$G$5:$G$140&lt;&gt;"acoes")))*INDEX(Inputs!$K$5:$AJ$140,0,MATCH(AJ$2,Inputs!$K$4:$AJ$4,0)))))</f>
        <v>0</v>
      </c>
      <c r="AK44" s="6">
        <f>IF(ISNA(MATCH(AK$2,Inputs!$K$4:$AJ$4,0)),NA(),IF(SUMPRODUCT((Inputs!$A$5:$A$140=$B44)*ISNUMBER(INDEX(Inputs!$K$5:$AJ$140,0,MATCH(AK$2,Inputs!$K$4:$AJ$4,0))))+SUMPRODUCT((Inputs!$C$5:$C$140=$B44)*ISNUMBER(INDEX(Inputs!$K$5:$AJ$140,0,MATCH(AK$2,Inputs!$K$4:$AJ$4,0))))+SUMPRODUCT((Inputs!$E$5:$E$140=$B44)*ISNUMBER(INDEX(Inputs!$K$5:$AJ$140,0,MATCH(AK$2,Inputs!$K$4:$AJ$4,0))))=0,NA(),SUMPRODUCT((Inputs!$A$5:$A$140=$B44)*Inputs!$B$5:$B$140*(((Inputs!$G$5:$G$140="moeda")+(Inputs!$G$5:$G$140="acoes"))*Inputs!$B$1+((Inputs!$G$5:$G$140&lt;&gt;"moeda")*(Inputs!$G$5:$G$140&lt;&gt;"acoes")))*INDEX(Inputs!$K$5:$AJ$140,0,MATCH(AK$2,Inputs!$K$4:$AJ$4,0)))+SUMPRODUCT((Inputs!$C$5:$C$140=$B44)*Inputs!$D$5:$D$140*(((Inputs!$G$5:$G$140="moeda")+(Inputs!$G$5:$G$140="acoes"))*Inputs!$B$1+((Inputs!$G$5:$G$140&lt;&gt;"moeda")*(Inputs!$G$5:$G$140&lt;&gt;"acoes")))*INDEX(Inputs!$K$5:$AJ$140,0,MATCH(AK$2,Inputs!$K$4:$AJ$4,0)))+SUMPRODUCT((Inputs!$E$5:$E$140=$B44)*Inputs!$F$5:$F$140*(((Inputs!$G$5:$G$140="moeda")+(Inputs!$G$5:$G$140="acoes"))*Inputs!$B$1+((Inputs!$G$5:$G$140&lt;&gt;"moeda")*(Inputs!$G$5:$G$140&lt;&gt;"acoes")))*INDEX(Inputs!$K$5:$AJ$140,0,MATCH(AK$2,Inputs!$K$4:$AJ$4,0)))))</f>
        <v>0</v>
      </c>
      <c r="AL44" s="3">
        <f>AK44</f>
        <v>0</v>
      </c>
    </row>
    <row r="45">
      <c r="B45" s="46" t="n">
        <v>39</v>
      </c>
      <c r="C45" s="26" t="inlineStr">
        <is>
          <t>Comprehensive (accumulated) loss</t>
        </is>
      </c>
      <c r="D45" s="6" t="e">
        <f>IF(ISNA(MATCH(D$2,Inputs!$K$4:$AJ$4,0)),NA(),IF(SUMPRODUCT((Inputs!$A$5:$A$140=$B45)*ISNUMBER(INDEX(Inputs!$K$5:$AJ$140,0,MATCH(D$2,Inputs!$K$4:$AJ$4,0))))+SUMPRODUCT((Inputs!$C$5:$C$140=$B45)*ISNUMBER(INDEX(Inputs!$K$5:$AJ$140,0,MATCH(D$2,Inputs!$K$4:$AJ$4,0))))+SUMPRODUCT((Inputs!$E$5:$E$140=$B45)*ISNUMBER(INDEX(Inputs!$K$5:$AJ$140,0,MATCH(D$2,Inputs!$K$4:$AJ$4,0))))=0,NA(),SUMPRODUCT((Inputs!$A$5:$A$140=$B45)*Inputs!$B$5:$B$140*(((Inputs!$G$5:$G$140="moeda")+(Inputs!$G$5:$G$140="acoes"))*Inputs!$B$1+((Inputs!$G$5:$G$140&lt;&gt;"moeda")*(Inputs!$G$5:$G$140&lt;&gt;"acoes")))*INDEX(Inputs!$K$5:$AJ$140,0,MATCH(D$2,Inputs!$K$4:$AJ$4,0)))+SUMPRODUCT((Inputs!$C$5:$C$140=$B45)*Inputs!$D$5:$D$140*(((Inputs!$G$5:$G$140="moeda")+(Inputs!$G$5:$G$140="acoes"))*Inputs!$B$1+((Inputs!$G$5:$G$140&lt;&gt;"moeda")*(Inputs!$G$5:$G$140&lt;&gt;"acoes")))*INDEX(Inputs!$K$5:$AJ$140,0,MATCH(D$2,Inputs!$K$4:$AJ$4,0)))+SUMPRODUCT((Inputs!$E$5:$E$140=$B45)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5" s="6" t="e">
        <f>IF(ISNA(MATCH(E$2,Inputs!$K$4:$AJ$4,0)),NA(),IF(SUMPRODUCT((Inputs!$A$5:$A$140=$B45)*ISNUMBER(INDEX(Inputs!$K$5:$AJ$140,0,MATCH(E$2,Inputs!$K$4:$AJ$4,0))))+SUMPRODUCT((Inputs!$C$5:$C$140=$B45)*ISNUMBER(INDEX(Inputs!$K$5:$AJ$140,0,MATCH(E$2,Inputs!$K$4:$AJ$4,0))))+SUMPRODUCT((Inputs!$E$5:$E$140=$B45)*ISNUMBER(INDEX(Inputs!$K$5:$AJ$140,0,MATCH(E$2,Inputs!$K$4:$AJ$4,0))))=0,NA(),SUMPRODUCT((Inputs!$A$5:$A$140=$B45)*Inputs!$B$5:$B$140*(((Inputs!$G$5:$G$140="moeda")+(Inputs!$G$5:$G$140="acoes"))*Inputs!$B$1+((Inputs!$G$5:$G$140&lt;&gt;"moeda")*(Inputs!$G$5:$G$140&lt;&gt;"acoes")))*INDEX(Inputs!$K$5:$AJ$140,0,MATCH(E$2,Inputs!$K$4:$AJ$4,0)))+SUMPRODUCT((Inputs!$C$5:$C$140=$B45)*Inputs!$D$5:$D$140*(((Inputs!$G$5:$G$140="moeda")+(Inputs!$G$5:$G$140="acoes"))*Inputs!$B$1+((Inputs!$G$5:$G$140&lt;&gt;"moeda")*(Inputs!$G$5:$G$140&lt;&gt;"acoes")))*INDEX(Inputs!$K$5:$AJ$140,0,MATCH(E$2,Inputs!$K$4:$AJ$4,0)))+SUMPRODUCT((Inputs!$E$5:$E$140=$B45)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5" s="6" t="e">
        <f>IF(ISNA(MATCH(F$2,Inputs!$K$4:$AJ$4,0)),NA(),IF(SUMPRODUCT((Inputs!$A$5:$A$140=$B45)*ISNUMBER(INDEX(Inputs!$K$5:$AJ$140,0,MATCH(F$2,Inputs!$K$4:$AJ$4,0))))+SUMPRODUCT((Inputs!$C$5:$C$140=$B45)*ISNUMBER(INDEX(Inputs!$K$5:$AJ$140,0,MATCH(F$2,Inputs!$K$4:$AJ$4,0))))+SUMPRODUCT((Inputs!$E$5:$E$140=$B45)*ISNUMBER(INDEX(Inputs!$K$5:$AJ$140,0,MATCH(F$2,Inputs!$K$4:$AJ$4,0))))=0,NA(),SUMPRODUCT((Inputs!$A$5:$A$140=$B45)*Inputs!$B$5:$B$140*(((Inputs!$G$5:$G$140="moeda")+(Inputs!$G$5:$G$140="acoes"))*Inputs!$B$1+((Inputs!$G$5:$G$140&lt;&gt;"moeda")*(Inputs!$G$5:$G$140&lt;&gt;"acoes")))*INDEX(Inputs!$K$5:$AJ$140,0,MATCH(F$2,Inputs!$K$4:$AJ$4,0)))+SUMPRODUCT((Inputs!$C$5:$C$140=$B45)*Inputs!$D$5:$D$140*(((Inputs!$G$5:$G$140="moeda")+(Inputs!$G$5:$G$140="acoes"))*Inputs!$B$1+((Inputs!$G$5:$G$140&lt;&gt;"moeda")*(Inputs!$G$5:$G$140&lt;&gt;"acoes")))*INDEX(Inputs!$K$5:$AJ$140,0,MATCH(F$2,Inputs!$K$4:$AJ$4,0)))+SUMPRODUCT((Inputs!$E$5:$E$140=$B45)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5" s="6" t="e">
        <f>IF(ISNA(MATCH(G$2,Inputs!$K$4:$AJ$4,0)),NA(),IF(SUMPRODUCT((Inputs!$A$5:$A$140=$B45)*ISNUMBER(INDEX(Inputs!$K$5:$AJ$140,0,MATCH(G$2,Inputs!$K$4:$AJ$4,0))))+SUMPRODUCT((Inputs!$C$5:$C$140=$B45)*ISNUMBER(INDEX(Inputs!$K$5:$AJ$140,0,MATCH(G$2,Inputs!$K$4:$AJ$4,0))))+SUMPRODUCT((Inputs!$E$5:$E$140=$B45)*ISNUMBER(INDEX(Inputs!$K$5:$AJ$140,0,MATCH(G$2,Inputs!$K$4:$AJ$4,0))))=0,NA(),SUMPRODUCT((Inputs!$A$5:$A$140=$B45)*Inputs!$B$5:$B$140*(((Inputs!$G$5:$G$140="moeda")+(Inputs!$G$5:$G$140="acoes"))*Inputs!$B$1+((Inputs!$G$5:$G$140&lt;&gt;"moeda")*(Inputs!$G$5:$G$140&lt;&gt;"acoes")))*INDEX(Inputs!$K$5:$AJ$140,0,MATCH(G$2,Inputs!$K$4:$AJ$4,0)))+SUMPRODUCT((Inputs!$C$5:$C$140=$B45)*Inputs!$D$5:$D$140*(((Inputs!$G$5:$G$140="moeda")+(Inputs!$G$5:$G$140="acoes"))*Inputs!$B$1+((Inputs!$G$5:$G$140&lt;&gt;"moeda")*(Inputs!$G$5:$G$140&lt;&gt;"acoes")))*INDEX(Inputs!$K$5:$AJ$140,0,MATCH(G$2,Inputs!$K$4:$AJ$4,0)))+SUMPRODUCT((Inputs!$E$5:$E$140=$B45)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5" s="3" t="e">
        <f>G45</f>
        <v>#N/A</v>
      </c>
      <c r="I45" s="6" t="e">
        <f>IF(ISNA(MATCH(I$2,Inputs!$K$4:$AJ$4,0)),NA(),IF(SUMPRODUCT((Inputs!$A$5:$A$140=$B45)*ISNUMBER(INDEX(Inputs!$K$5:$AJ$140,0,MATCH(I$2,Inputs!$K$4:$AJ$4,0))))+SUMPRODUCT((Inputs!$C$5:$C$140=$B45)*ISNUMBER(INDEX(Inputs!$K$5:$AJ$140,0,MATCH(I$2,Inputs!$K$4:$AJ$4,0))))+SUMPRODUCT((Inputs!$E$5:$E$140=$B45)*ISNUMBER(INDEX(Inputs!$K$5:$AJ$140,0,MATCH(I$2,Inputs!$K$4:$AJ$4,0))))=0,NA(),SUMPRODUCT((Inputs!$A$5:$A$140=$B45)*Inputs!$B$5:$B$140*(((Inputs!$G$5:$G$140="moeda")+(Inputs!$G$5:$G$140="acoes"))*Inputs!$B$1+((Inputs!$G$5:$G$140&lt;&gt;"moeda")*(Inputs!$G$5:$G$140&lt;&gt;"acoes")))*INDEX(Inputs!$K$5:$AJ$140,0,MATCH(I$2,Inputs!$K$4:$AJ$4,0)))+SUMPRODUCT((Inputs!$C$5:$C$140=$B45)*Inputs!$D$5:$D$140*(((Inputs!$G$5:$G$140="moeda")+(Inputs!$G$5:$G$140="acoes"))*Inputs!$B$1+((Inputs!$G$5:$G$140&lt;&gt;"moeda")*(Inputs!$G$5:$G$140&lt;&gt;"acoes")))*INDEX(Inputs!$K$5:$AJ$140,0,MATCH(I$2,Inputs!$K$4:$AJ$4,0)))+SUMPRODUCT((Inputs!$E$5:$E$140=$B45)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5" s="6" t="e">
        <f>IF(ISNA(MATCH(J$2,Inputs!$K$4:$AJ$4,0)),NA(),IF(SUMPRODUCT((Inputs!$A$5:$A$140=$B45)*ISNUMBER(INDEX(Inputs!$K$5:$AJ$140,0,MATCH(J$2,Inputs!$K$4:$AJ$4,0))))+SUMPRODUCT((Inputs!$C$5:$C$140=$B45)*ISNUMBER(INDEX(Inputs!$K$5:$AJ$140,0,MATCH(J$2,Inputs!$K$4:$AJ$4,0))))+SUMPRODUCT((Inputs!$E$5:$E$140=$B45)*ISNUMBER(INDEX(Inputs!$K$5:$AJ$140,0,MATCH(J$2,Inputs!$K$4:$AJ$4,0))))=0,NA(),SUMPRODUCT((Inputs!$A$5:$A$140=$B45)*Inputs!$B$5:$B$140*(((Inputs!$G$5:$G$140="moeda")+(Inputs!$G$5:$G$140="acoes"))*Inputs!$B$1+((Inputs!$G$5:$G$140&lt;&gt;"moeda")*(Inputs!$G$5:$G$140&lt;&gt;"acoes")))*INDEX(Inputs!$K$5:$AJ$140,0,MATCH(J$2,Inputs!$K$4:$AJ$4,0)))+SUMPRODUCT((Inputs!$C$5:$C$140=$B45)*Inputs!$D$5:$D$140*(((Inputs!$G$5:$G$140="moeda")+(Inputs!$G$5:$G$140="acoes"))*Inputs!$B$1+((Inputs!$G$5:$G$140&lt;&gt;"moeda")*(Inputs!$G$5:$G$140&lt;&gt;"acoes")))*INDEX(Inputs!$K$5:$AJ$140,0,MATCH(J$2,Inputs!$K$4:$AJ$4,0)))+SUMPRODUCT((Inputs!$E$5:$E$140=$B45)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5" s="6" t="e">
        <f>IF(ISNA(MATCH(K$2,Inputs!$K$4:$AJ$4,0)),NA(),IF(SUMPRODUCT((Inputs!$A$5:$A$140=$B45)*ISNUMBER(INDEX(Inputs!$K$5:$AJ$140,0,MATCH(K$2,Inputs!$K$4:$AJ$4,0))))+SUMPRODUCT((Inputs!$C$5:$C$140=$B45)*ISNUMBER(INDEX(Inputs!$K$5:$AJ$140,0,MATCH(K$2,Inputs!$K$4:$AJ$4,0))))+SUMPRODUCT((Inputs!$E$5:$E$140=$B45)*ISNUMBER(INDEX(Inputs!$K$5:$AJ$140,0,MATCH(K$2,Inputs!$K$4:$AJ$4,0))))=0,NA(),SUMPRODUCT((Inputs!$A$5:$A$140=$B45)*Inputs!$B$5:$B$140*(((Inputs!$G$5:$G$140="moeda")+(Inputs!$G$5:$G$140="acoes"))*Inputs!$B$1+((Inputs!$G$5:$G$140&lt;&gt;"moeda")*(Inputs!$G$5:$G$140&lt;&gt;"acoes")))*INDEX(Inputs!$K$5:$AJ$140,0,MATCH(K$2,Inputs!$K$4:$AJ$4,0)))+SUMPRODUCT((Inputs!$C$5:$C$140=$B45)*Inputs!$D$5:$D$140*(((Inputs!$G$5:$G$140="moeda")+(Inputs!$G$5:$G$140="acoes"))*Inputs!$B$1+((Inputs!$G$5:$G$140&lt;&gt;"moeda")*(Inputs!$G$5:$G$140&lt;&gt;"acoes")))*INDEX(Inputs!$K$5:$AJ$140,0,MATCH(K$2,Inputs!$K$4:$AJ$4,0)))+SUMPRODUCT((Inputs!$E$5:$E$140=$B45)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5" s="6" t="e">
        <f>IF(ISNA(MATCH(L$2,Inputs!$K$4:$AJ$4,0)),NA(),IF(SUMPRODUCT((Inputs!$A$5:$A$140=$B45)*ISNUMBER(INDEX(Inputs!$K$5:$AJ$140,0,MATCH(L$2,Inputs!$K$4:$AJ$4,0))))+SUMPRODUCT((Inputs!$C$5:$C$140=$B45)*ISNUMBER(INDEX(Inputs!$K$5:$AJ$140,0,MATCH(L$2,Inputs!$K$4:$AJ$4,0))))+SUMPRODUCT((Inputs!$E$5:$E$140=$B45)*ISNUMBER(INDEX(Inputs!$K$5:$AJ$140,0,MATCH(L$2,Inputs!$K$4:$AJ$4,0))))=0,NA(),SUMPRODUCT((Inputs!$A$5:$A$140=$B45)*Inputs!$B$5:$B$140*(((Inputs!$G$5:$G$140="moeda")+(Inputs!$G$5:$G$140="acoes"))*Inputs!$B$1+((Inputs!$G$5:$G$140&lt;&gt;"moeda")*(Inputs!$G$5:$G$140&lt;&gt;"acoes")))*INDEX(Inputs!$K$5:$AJ$140,0,MATCH(L$2,Inputs!$K$4:$AJ$4,0)))+SUMPRODUCT((Inputs!$C$5:$C$140=$B45)*Inputs!$D$5:$D$140*(((Inputs!$G$5:$G$140="moeda")+(Inputs!$G$5:$G$140="acoes"))*Inputs!$B$1+((Inputs!$G$5:$G$140&lt;&gt;"moeda")*(Inputs!$G$5:$G$140&lt;&gt;"acoes")))*INDEX(Inputs!$K$5:$AJ$140,0,MATCH(L$2,Inputs!$K$4:$AJ$4,0)))+SUMPRODUCT((Inputs!$E$5:$E$140=$B45)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5" s="3" t="e">
        <f>L45</f>
        <v>#N/A</v>
      </c>
      <c r="N45" s="6" t="e">
        <f>IF(ISNA(MATCH(N$2,Inputs!$K$4:$AJ$4,0)),NA(),IF(SUMPRODUCT((Inputs!$A$5:$A$140=$B45)*ISNUMBER(INDEX(Inputs!$K$5:$AJ$140,0,MATCH(N$2,Inputs!$K$4:$AJ$4,0))))+SUMPRODUCT((Inputs!$C$5:$C$140=$B45)*ISNUMBER(INDEX(Inputs!$K$5:$AJ$140,0,MATCH(N$2,Inputs!$K$4:$AJ$4,0))))+SUMPRODUCT((Inputs!$E$5:$E$140=$B45)*ISNUMBER(INDEX(Inputs!$K$5:$AJ$140,0,MATCH(N$2,Inputs!$K$4:$AJ$4,0))))=0,NA(),SUMPRODUCT((Inputs!$A$5:$A$140=$B45)*Inputs!$B$5:$B$140*(((Inputs!$G$5:$G$140="moeda")+(Inputs!$G$5:$G$140="acoes"))*Inputs!$B$1+((Inputs!$G$5:$G$140&lt;&gt;"moeda")*(Inputs!$G$5:$G$140&lt;&gt;"acoes")))*INDEX(Inputs!$K$5:$AJ$140,0,MATCH(N$2,Inputs!$K$4:$AJ$4,0)))+SUMPRODUCT((Inputs!$C$5:$C$140=$B45)*Inputs!$D$5:$D$140*(((Inputs!$G$5:$G$140="moeda")+(Inputs!$G$5:$G$140="acoes"))*Inputs!$B$1+((Inputs!$G$5:$G$140&lt;&gt;"moeda")*(Inputs!$G$5:$G$140&lt;&gt;"acoes")))*INDEX(Inputs!$K$5:$AJ$140,0,MATCH(N$2,Inputs!$K$4:$AJ$4,0)))+SUMPRODUCT((Inputs!$E$5:$E$140=$B45)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5" s="6" t="e">
        <f>IF(ISNA(MATCH(O$2,Inputs!$K$4:$AJ$4,0)),NA(),IF(SUMPRODUCT((Inputs!$A$5:$A$140=$B45)*ISNUMBER(INDEX(Inputs!$K$5:$AJ$140,0,MATCH(O$2,Inputs!$K$4:$AJ$4,0))))+SUMPRODUCT((Inputs!$C$5:$C$140=$B45)*ISNUMBER(INDEX(Inputs!$K$5:$AJ$140,0,MATCH(O$2,Inputs!$K$4:$AJ$4,0))))+SUMPRODUCT((Inputs!$E$5:$E$140=$B45)*ISNUMBER(INDEX(Inputs!$K$5:$AJ$140,0,MATCH(O$2,Inputs!$K$4:$AJ$4,0))))=0,NA(),SUMPRODUCT((Inputs!$A$5:$A$140=$B45)*Inputs!$B$5:$B$140*(((Inputs!$G$5:$G$140="moeda")+(Inputs!$G$5:$G$140="acoes"))*Inputs!$B$1+((Inputs!$G$5:$G$140&lt;&gt;"moeda")*(Inputs!$G$5:$G$140&lt;&gt;"acoes")))*INDEX(Inputs!$K$5:$AJ$140,0,MATCH(O$2,Inputs!$K$4:$AJ$4,0)))+SUMPRODUCT((Inputs!$C$5:$C$140=$B45)*Inputs!$D$5:$D$140*(((Inputs!$G$5:$G$140="moeda")+(Inputs!$G$5:$G$140="acoes"))*Inputs!$B$1+((Inputs!$G$5:$G$140&lt;&gt;"moeda")*(Inputs!$G$5:$G$140&lt;&gt;"acoes")))*INDEX(Inputs!$K$5:$AJ$140,0,MATCH(O$2,Inputs!$K$4:$AJ$4,0)))+SUMPRODUCT((Inputs!$E$5:$E$140=$B45)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5" s="6" t="e">
        <f>IF(ISNA(MATCH(P$2,Inputs!$K$4:$AJ$4,0)),NA(),IF(SUMPRODUCT((Inputs!$A$5:$A$140=$B45)*ISNUMBER(INDEX(Inputs!$K$5:$AJ$140,0,MATCH(P$2,Inputs!$K$4:$AJ$4,0))))+SUMPRODUCT((Inputs!$C$5:$C$140=$B45)*ISNUMBER(INDEX(Inputs!$K$5:$AJ$140,0,MATCH(P$2,Inputs!$K$4:$AJ$4,0))))+SUMPRODUCT((Inputs!$E$5:$E$140=$B45)*ISNUMBER(INDEX(Inputs!$K$5:$AJ$140,0,MATCH(P$2,Inputs!$K$4:$AJ$4,0))))=0,NA(),SUMPRODUCT((Inputs!$A$5:$A$140=$B45)*Inputs!$B$5:$B$140*(((Inputs!$G$5:$G$140="moeda")+(Inputs!$G$5:$G$140="acoes"))*Inputs!$B$1+((Inputs!$G$5:$G$140&lt;&gt;"moeda")*(Inputs!$G$5:$G$140&lt;&gt;"acoes")))*INDEX(Inputs!$K$5:$AJ$140,0,MATCH(P$2,Inputs!$K$4:$AJ$4,0)))+SUMPRODUCT((Inputs!$C$5:$C$140=$B45)*Inputs!$D$5:$D$140*(((Inputs!$G$5:$G$140="moeda")+(Inputs!$G$5:$G$140="acoes"))*Inputs!$B$1+((Inputs!$G$5:$G$140&lt;&gt;"moeda")*(Inputs!$G$5:$G$140&lt;&gt;"acoes")))*INDEX(Inputs!$K$5:$AJ$140,0,MATCH(P$2,Inputs!$K$4:$AJ$4,0)))+SUMPRODUCT((Inputs!$E$5:$E$140=$B45)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5" s="6" t="e">
        <f>IF(ISNA(MATCH(Q$2,Inputs!$K$4:$AJ$4,0)),NA(),IF(SUMPRODUCT((Inputs!$A$5:$A$140=$B45)*ISNUMBER(INDEX(Inputs!$K$5:$AJ$140,0,MATCH(Q$2,Inputs!$K$4:$AJ$4,0))))+SUMPRODUCT((Inputs!$C$5:$C$140=$B45)*ISNUMBER(INDEX(Inputs!$K$5:$AJ$140,0,MATCH(Q$2,Inputs!$K$4:$AJ$4,0))))+SUMPRODUCT((Inputs!$E$5:$E$140=$B45)*ISNUMBER(INDEX(Inputs!$K$5:$AJ$140,0,MATCH(Q$2,Inputs!$K$4:$AJ$4,0))))=0,NA(),SUMPRODUCT((Inputs!$A$5:$A$140=$B45)*Inputs!$B$5:$B$140*(((Inputs!$G$5:$G$140="moeda")+(Inputs!$G$5:$G$140="acoes"))*Inputs!$B$1+((Inputs!$G$5:$G$140&lt;&gt;"moeda")*(Inputs!$G$5:$G$140&lt;&gt;"acoes")))*INDEX(Inputs!$K$5:$AJ$140,0,MATCH(Q$2,Inputs!$K$4:$AJ$4,0)))+SUMPRODUCT((Inputs!$C$5:$C$140=$B45)*Inputs!$D$5:$D$140*(((Inputs!$G$5:$G$140="moeda")+(Inputs!$G$5:$G$140="acoes"))*Inputs!$B$1+((Inputs!$G$5:$G$140&lt;&gt;"moeda")*(Inputs!$G$5:$G$140&lt;&gt;"acoes")))*INDEX(Inputs!$K$5:$AJ$140,0,MATCH(Q$2,Inputs!$K$4:$AJ$4,0)))+SUMPRODUCT((Inputs!$E$5:$E$140=$B45)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5" s="3" t="e">
        <f>Q45</f>
        <v>#N/A</v>
      </c>
      <c r="S45" s="6" t="e">
        <f>IF(ISNA(MATCH(S$2,Inputs!$K$4:$AJ$4,0)),NA(),IF(SUMPRODUCT((Inputs!$A$5:$A$140=$B45)*ISNUMBER(INDEX(Inputs!$K$5:$AJ$140,0,MATCH(S$2,Inputs!$K$4:$AJ$4,0))))+SUMPRODUCT((Inputs!$C$5:$C$140=$B45)*ISNUMBER(INDEX(Inputs!$K$5:$AJ$140,0,MATCH(S$2,Inputs!$K$4:$AJ$4,0))))+SUMPRODUCT((Inputs!$E$5:$E$140=$B45)*ISNUMBER(INDEX(Inputs!$K$5:$AJ$140,0,MATCH(S$2,Inputs!$K$4:$AJ$4,0))))=0,NA(),SUMPRODUCT((Inputs!$A$5:$A$140=$B45)*Inputs!$B$5:$B$140*(((Inputs!$G$5:$G$140="moeda")+(Inputs!$G$5:$G$140="acoes"))*Inputs!$B$1+((Inputs!$G$5:$G$140&lt;&gt;"moeda")*(Inputs!$G$5:$G$140&lt;&gt;"acoes")))*INDEX(Inputs!$K$5:$AJ$140,0,MATCH(S$2,Inputs!$K$4:$AJ$4,0)))+SUMPRODUCT((Inputs!$C$5:$C$140=$B45)*Inputs!$D$5:$D$140*(((Inputs!$G$5:$G$140="moeda")+(Inputs!$G$5:$G$140="acoes"))*Inputs!$B$1+((Inputs!$G$5:$G$140&lt;&gt;"moeda")*(Inputs!$G$5:$G$140&lt;&gt;"acoes")))*INDEX(Inputs!$K$5:$AJ$140,0,MATCH(S$2,Inputs!$K$4:$AJ$4,0)))+SUMPRODUCT((Inputs!$E$5:$E$140=$B45)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5" s="6" t="e">
        <f>IF(ISNA(MATCH(T$2,Inputs!$K$4:$AJ$4,0)),NA(),IF(SUMPRODUCT((Inputs!$A$5:$A$140=$B45)*ISNUMBER(INDEX(Inputs!$K$5:$AJ$140,0,MATCH(T$2,Inputs!$K$4:$AJ$4,0))))+SUMPRODUCT((Inputs!$C$5:$C$140=$B45)*ISNUMBER(INDEX(Inputs!$K$5:$AJ$140,0,MATCH(T$2,Inputs!$K$4:$AJ$4,0))))+SUMPRODUCT((Inputs!$E$5:$E$140=$B45)*ISNUMBER(INDEX(Inputs!$K$5:$AJ$140,0,MATCH(T$2,Inputs!$K$4:$AJ$4,0))))=0,NA(),SUMPRODUCT((Inputs!$A$5:$A$140=$B45)*Inputs!$B$5:$B$140*(((Inputs!$G$5:$G$140="moeda")+(Inputs!$G$5:$G$140="acoes"))*Inputs!$B$1+((Inputs!$G$5:$G$140&lt;&gt;"moeda")*(Inputs!$G$5:$G$140&lt;&gt;"acoes")))*INDEX(Inputs!$K$5:$AJ$140,0,MATCH(T$2,Inputs!$K$4:$AJ$4,0)))+SUMPRODUCT((Inputs!$C$5:$C$140=$B45)*Inputs!$D$5:$D$140*(((Inputs!$G$5:$G$140="moeda")+(Inputs!$G$5:$G$140="acoes"))*Inputs!$B$1+((Inputs!$G$5:$G$140&lt;&gt;"moeda")*(Inputs!$G$5:$G$140&lt;&gt;"acoes")))*INDEX(Inputs!$K$5:$AJ$140,0,MATCH(T$2,Inputs!$K$4:$AJ$4,0)))+SUMPRODUCT((Inputs!$E$5:$E$140=$B45)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5" s="6" t="e">
        <f>IF(ISNA(MATCH(U$2,Inputs!$K$4:$AJ$4,0)),NA(),IF(SUMPRODUCT((Inputs!$A$5:$A$140=$B45)*ISNUMBER(INDEX(Inputs!$K$5:$AJ$140,0,MATCH(U$2,Inputs!$K$4:$AJ$4,0))))+SUMPRODUCT((Inputs!$C$5:$C$140=$B45)*ISNUMBER(INDEX(Inputs!$K$5:$AJ$140,0,MATCH(U$2,Inputs!$K$4:$AJ$4,0))))+SUMPRODUCT((Inputs!$E$5:$E$140=$B45)*ISNUMBER(INDEX(Inputs!$K$5:$AJ$140,0,MATCH(U$2,Inputs!$K$4:$AJ$4,0))))=0,NA(),SUMPRODUCT((Inputs!$A$5:$A$140=$B45)*Inputs!$B$5:$B$140*(((Inputs!$G$5:$G$140="moeda")+(Inputs!$G$5:$G$140="acoes"))*Inputs!$B$1+((Inputs!$G$5:$G$140&lt;&gt;"moeda")*(Inputs!$G$5:$G$140&lt;&gt;"acoes")))*INDEX(Inputs!$K$5:$AJ$140,0,MATCH(U$2,Inputs!$K$4:$AJ$4,0)))+SUMPRODUCT((Inputs!$C$5:$C$140=$B45)*Inputs!$D$5:$D$140*(((Inputs!$G$5:$G$140="moeda")+(Inputs!$G$5:$G$140="acoes"))*Inputs!$B$1+((Inputs!$G$5:$G$140&lt;&gt;"moeda")*(Inputs!$G$5:$G$140&lt;&gt;"acoes")))*INDEX(Inputs!$K$5:$AJ$140,0,MATCH(U$2,Inputs!$K$4:$AJ$4,0)))+SUMPRODUCT((Inputs!$E$5:$E$140=$B45)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5" s="6" t="e">
        <f>IF(ISNA(MATCH(V$2,Inputs!$K$4:$AJ$4,0)),NA(),IF(SUMPRODUCT((Inputs!$A$5:$A$140=$B45)*ISNUMBER(INDEX(Inputs!$K$5:$AJ$140,0,MATCH(V$2,Inputs!$K$4:$AJ$4,0))))+SUMPRODUCT((Inputs!$C$5:$C$140=$B45)*ISNUMBER(INDEX(Inputs!$K$5:$AJ$140,0,MATCH(V$2,Inputs!$K$4:$AJ$4,0))))+SUMPRODUCT((Inputs!$E$5:$E$140=$B45)*ISNUMBER(INDEX(Inputs!$K$5:$AJ$140,0,MATCH(V$2,Inputs!$K$4:$AJ$4,0))))=0,NA(),SUMPRODUCT((Inputs!$A$5:$A$140=$B45)*Inputs!$B$5:$B$140*(((Inputs!$G$5:$G$140="moeda")+(Inputs!$G$5:$G$140="acoes"))*Inputs!$B$1+((Inputs!$G$5:$G$140&lt;&gt;"moeda")*(Inputs!$G$5:$G$140&lt;&gt;"acoes")))*INDEX(Inputs!$K$5:$AJ$140,0,MATCH(V$2,Inputs!$K$4:$AJ$4,0)))+SUMPRODUCT((Inputs!$C$5:$C$140=$B45)*Inputs!$D$5:$D$140*(((Inputs!$G$5:$G$140="moeda")+(Inputs!$G$5:$G$140="acoes"))*Inputs!$B$1+((Inputs!$G$5:$G$140&lt;&gt;"moeda")*(Inputs!$G$5:$G$140&lt;&gt;"acoes")))*INDEX(Inputs!$K$5:$AJ$140,0,MATCH(V$2,Inputs!$K$4:$AJ$4,0)))+SUMPRODUCT((Inputs!$E$5:$E$140=$B45)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5" s="3" t="e">
        <f>V45</f>
        <v>#N/A</v>
      </c>
      <c r="X45" s="6" t="e">
        <f>IF(ISNA(MATCH(X$2,Inputs!$K$4:$AJ$4,0)),NA(),IF(SUMPRODUCT((Inputs!$A$5:$A$140=$B45)*ISNUMBER(INDEX(Inputs!$K$5:$AJ$140,0,MATCH(X$2,Inputs!$K$4:$AJ$4,0))))+SUMPRODUCT((Inputs!$C$5:$C$140=$B45)*ISNUMBER(INDEX(Inputs!$K$5:$AJ$140,0,MATCH(X$2,Inputs!$K$4:$AJ$4,0))))+SUMPRODUCT((Inputs!$E$5:$E$140=$B45)*ISNUMBER(INDEX(Inputs!$K$5:$AJ$140,0,MATCH(X$2,Inputs!$K$4:$AJ$4,0))))=0,NA(),SUMPRODUCT((Inputs!$A$5:$A$140=$B45)*Inputs!$B$5:$B$140*(((Inputs!$G$5:$G$140="moeda")+(Inputs!$G$5:$G$140="acoes"))*Inputs!$B$1+((Inputs!$G$5:$G$140&lt;&gt;"moeda")*(Inputs!$G$5:$G$140&lt;&gt;"acoes")))*INDEX(Inputs!$K$5:$AJ$140,0,MATCH(X$2,Inputs!$K$4:$AJ$4,0)))+SUMPRODUCT((Inputs!$C$5:$C$140=$B45)*Inputs!$D$5:$D$140*(((Inputs!$G$5:$G$140="moeda")+(Inputs!$G$5:$G$140="acoes"))*Inputs!$B$1+((Inputs!$G$5:$G$140&lt;&gt;"moeda")*(Inputs!$G$5:$G$140&lt;&gt;"acoes")))*INDEX(Inputs!$K$5:$AJ$140,0,MATCH(X$2,Inputs!$K$4:$AJ$4,0)))+SUMPRODUCT((Inputs!$E$5:$E$140=$B45)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5" s="6" t="e">
        <f>IF(ISNA(MATCH(Y$2,Inputs!$K$4:$AJ$4,0)),NA(),IF(SUMPRODUCT((Inputs!$A$5:$A$140=$B45)*ISNUMBER(INDEX(Inputs!$K$5:$AJ$140,0,MATCH(Y$2,Inputs!$K$4:$AJ$4,0))))+SUMPRODUCT((Inputs!$C$5:$C$140=$B45)*ISNUMBER(INDEX(Inputs!$K$5:$AJ$140,0,MATCH(Y$2,Inputs!$K$4:$AJ$4,0))))+SUMPRODUCT((Inputs!$E$5:$E$140=$B45)*ISNUMBER(INDEX(Inputs!$K$5:$AJ$140,0,MATCH(Y$2,Inputs!$K$4:$AJ$4,0))))=0,NA(),SUMPRODUCT((Inputs!$A$5:$A$140=$B45)*Inputs!$B$5:$B$140*(((Inputs!$G$5:$G$140="moeda")+(Inputs!$G$5:$G$140="acoes"))*Inputs!$B$1+((Inputs!$G$5:$G$140&lt;&gt;"moeda")*(Inputs!$G$5:$G$140&lt;&gt;"acoes")))*INDEX(Inputs!$K$5:$AJ$140,0,MATCH(Y$2,Inputs!$K$4:$AJ$4,0)))+SUMPRODUCT((Inputs!$C$5:$C$140=$B45)*Inputs!$D$5:$D$140*(((Inputs!$G$5:$G$140="moeda")+(Inputs!$G$5:$G$140="acoes"))*Inputs!$B$1+((Inputs!$G$5:$G$140&lt;&gt;"moeda")*(Inputs!$G$5:$G$140&lt;&gt;"acoes")))*INDEX(Inputs!$K$5:$AJ$140,0,MATCH(Y$2,Inputs!$K$4:$AJ$4,0)))+SUMPRODUCT((Inputs!$E$5:$E$140=$B45)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5" s="6" t="e">
        <f>IF(ISNA(MATCH(Z$2,Inputs!$K$4:$AJ$4,0)),NA(),IF(SUMPRODUCT((Inputs!$A$5:$A$140=$B45)*ISNUMBER(INDEX(Inputs!$K$5:$AJ$140,0,MATCH(Z$2,Inputs!$K$4:$AJ$4,0))))+SUMPRODUCT((Inputs!$C$5:$C$140=$B45)*ISNUMBER(INDEX(Inputs!$K$5:$AJ$140,0,MATCH(Z$2,Inputs!$K$4:$AJ$4,0))))+SUMPRODUCT((Inputs!$E$5:$E$140=$B45)*ISNUMBER(INDEX(Inputs!$K$5:$AJ$140,0,MATCH(Z$2,Inputs!$K$4:$AJ$4,0))))=0,NA(),SUMPRODUCT((Inputs!$A$5:$A$140=$B45)*Inputs!$B$5:$B$140*(((Inputs!$G$5:$G$140="moeda")+(Inputs!$G$5:$G$140="acoes"))*Inputs!$B$1+((Inputs!$G$5:$G$140&lt;&gt;"moeda")*(Inputs!$G$5:$G$140&lt;&gt;"acoes")))*INDEX(Inputs!$K$5:$AJ$140,0,MATCH(Z$2,Inputs!$K$4:$AJ$4,0)))+SUMPRODUCT((Inputs!$C$5:$C$140=$B45)*Inputs!$D$5:$D$140*(((Inputs!$G$5:$G$140="moeda")+(Inputs!$G$5:$G$140="acoes"))*Inputs!$B$1+((Inputs!$G$5:$G$140&lt;&gt;"moeda")*(Inputs!$G$5:$G$140&lt;&gt;"acoes")))*INDEX(Inputs!$K$5:$AJ$140,0,MATCH(Z$2,Inputs!$K$4:$AJ$4,0)))+SUMPRODUCT((Inputs!$E$5:$E$140=$B45)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5" s="6" t="e">
        <f>IF(ISNA(MATCH(AA$2,Inputs!$K$4:$AJ$4,0)),NA(),IF(SUMPRODUCT((Inputs!$A$5:$A$140=$B45)*ISNUMBER(INDEX(Inputs!$K$5:$AJ$140,0,MATCH(AA$2,Inputs!$K$4:$AJ$4,0))))+SUMPRODUCT((Inputs!$C$5:$C$140=$B45)*ISNUMBER(INDEX(Inputs!$K$5:$AJ$140,0,MATCH(AA$2,Inputs!$K$4:$AJ$4,0))))+SUMPRODUCT((Inputs!$E$5:$E$140=$B45)*ISNUMBER(INDEX(Inputs!$K$5:$AJ$140,0,MATCH(AA$2,Inputs!$K$4:$AJ$4,0))))=0,NA(),SUMPRODUCT((Inputs!$A$5:$A$140=$B45)*Inputs!$B$5:$B$140*(((Inputs!$G$5:$G$140="moeda")+(Inputs!$G$5:$G$140="acoes"))*Inputs!$B$1+((Inputs!$G$5:$G$140&lt;&gt;"moeda")*(Inputs!$G$5:$G$140&lt;&gt;"acoes")))*INDEX(Inputs!$K$5:$AJ$140,0,MATCH(AA$2,Inputs!$K$4:$AJ$4,0)))+SUMPRODUCT((Inputs!$C$5:$C$140=$B45)*Inputs!$D$5:$D$140*(((Inputs!$G$5:$G$140="moeda")+(Inputs!$G$5:$G$140="acoes"))*Inputs!$B$1+((Inputs!$G$5:$G$140&lt;&gt;"moeda")*(Inputs!$G$5:$G$140&lt;&gt;"acoes")))*INDEX(Inputs!$K$5:$AJ$140,0,MATCH(AA$2,Inputs!$K$4:$AJ$4,0)))+SUMPRODUCT((Inputs!$E$5:$E$140=$B45)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5" s="3" t="e">
        <f>AA45</f>
        <v>#N/A</v>
      </c>
      <c r="AC45" s="6" t="e">
        <f>IF(ISNA(MATCH(AC$2,Inputs!$K$4:$AJ$4,0)),NA(),IF(SUMPRODUCT((Inputs!$A$5:$A$140=$B45)*ISNUMBER(INDEX(Inputs!$K$5:$AJ$140,0,MATCH(AC$2,Inputs!$K$4:$AJ$4,0))))+SUMPRODUCT((Inputs!$C$5:$C$140=$B45)*ISNUMBER(INDEX(Inputs!$K$5:$AJ$140,0,MATCH(AC$2,Inputs!$K$4:$AJ$4,0))))+SUMPRODUCT((Inputs!$E$5:$E$140=$B45)*ISNUMBER(INDEX(Inputs!$K$5:$AJ$140,0,MATCH(AC$2,Inputs!$K$4:$AJ$4,0))))=0,NA(),SUMPRODUCT((Inputs!$A$5:$A$140=$B45)*Inputs!$B$5:$B$140*(((Inputs!$G$5:$G$140="moeda")+(Inputs!$G$5:$G$140="acoes"))*Inputs!$B$1+((Inputs!$G$5:$G$140&lt;&gt;"moeda")*(Inputs!$G$5:$G$140&lt;&gt;"acoes")))*INDEX(Inputs!$K$5:$AJ$140,0,MATCH(AC$2,Inputs!$K$4:$AJ$4,0)))+SUMPRODUCT((Inputs!$C$5:$C$140=$B45)*Inputs!$D$5:$D$140*(((Inputs!$G$5:$G$140="moeda")+(Inputs!$G$5:$G$140="acoes"))*Inputs!$B$1+((Inputs!$G$5:$G$140&lt;&gt;"moeda")*(Inputs!$G$5:$G$140&lt;&gt;"acoes")))*INDEX(Inputs!$K$5:$AJ$140,0,MATCH(AC$2,Inputs!$K$4:$AJ$4,0)))+SUMPRODUCT((Inputs!$E$5:$E$140=$B45)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5" s="6" t="e">
        <f>IF(ISNA(MATCH(AD$2,Inputs!$K$4:$AJ$4,0)),NA(),IF(SUMPRODUCT((Inputs!$A$5:$A$140=$B45)*ISNUMBER(INDEX(Inputs!$K$5:$AJ$140,0,MATCH(AD$2,Inputs!$K$4:$AJ$4,0))))+SUMPRODUCT((Inputs!$C$5:$C$140=$B45)*ISNUMBER(INDEX(Inputs!$K$5:$AJ$140,0,MATCH(AD$2,Inputs!$K$4:$AJ$4,0))))+SUMPRODUCT((Inputs!$E$5:$E$140=$B45)*ISNUMBER(INDEX(Inputs!$K$5:$AJ$140,0,MATCH(AD$2,Inputs!$K$4:$AJ$4,0))))=0,NA(),SUMPRODUCT((Inputs!$A$5:$A$140=$B45)*Inputs!$B$5:$B$140*(((Inputs!$G$5:$G$140="moeda")+(Inputs!$G$5:$G$140="acoes"))*Inputs!$B$1+((Inputs!$G$5:$G$140&lt;&gt;"moeda")*(Inputs!$G$5:$G$140&lt;&gt;"acoes")))*INDEX(Inputs!$K$5:$AJ$140,0,MATCH(AD$2,Inputs!$K$4:$AJ$4,0)))+SUMPRODUCT((Inputs!$C$5:$C$140=$B45)*Inputs!$D$5:$D$140*(((Inputs!$G$5:$G$140="moeda")+(Inputs!$G$5:$G$140="acoes"))*Inputs!$B$1+((Inputs!$G$5:$G$140&lt;&gt;"moeda")*(Inputs!$G$5:$G$140&lt;&gt;"acoes")))*INDEX(Inputs!$K$5:$AJ$140,0,MATCH(AD$2,Inputs!$K$4:$AJ$4,0)))+SUMPRODUCT((Inputs!$E$5:$E$140=$B45)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5" s="6" t="e">
        <f>IF(ISNA(MATCH(AE$2,Inputs!$K$4:$AJ$4,0)),NA(),IF(SUMPRODUCT((Inputs!$A$5:$A$140=$B45)*ISNUMBER(INDEX(Inputs!$K$5:$AJ$140,0,MATCH(AE$2,Inputs!$K$4:$AJ$4,0))))+SUMPRODUCT((Inputs!$C$5:$C$140=$B45)*ISNUMBER(INDEX(Inputs!$K$5:$AJ$140,0,MATCH(AE$2,Inputs!$K$4:$AJ$4,0))))+SUMPRODUCT((Inputs!$E$5:$E$140=$B45)*ISNUMBER(INDEX(Inputs!$K$5:$AJ$140,0,MATCH(AE$2,Inputs!$K$4:$AJ$4,0))))=0,NA(),SUMPRODUCT((Inputs!$A$5:$A$140=$B45)*Inputs!$B$5:$B$140*(((Inputs!$G$5:$G$140="moeda")+(Inputs!$G$5:$G$140="acoes"))*Inputs!$B$1+((Inputs!$G$5:$G$140&lt;&gt;"moeda")*(Inputs!$G$5:$G$140&lt;&gt;"acoes")))*INDEX(Inputs!$K$5:$AJ$140,0,MATCH(AE$2,Inputs!$K$4:$AJ$4,0)))+SUMPRODUCT((Inputs!$C$5:$C$140=$B45)*Inputs!$D$5:$D$140*(((Inputs!$G$5:$G$140="moeda")+(Inputs!$G$5:$G$140="acoes"))*Inputs!$B$1+((Inputs!$G$5:$G$140&lt;&gt;"moeda")*(Inputs!$G$5:$G$140&lt;&gt;"acoes")))*INDEX(Inputs!$K$5:$AJ$140,0,MATCH(AE$2,Inputs!$K$4:$AJ$4,0)))+SUMPRODUCT((Inputs!$E$5:$E$140=$B45)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5" s="6" t="e">
        <f>IF(ISNA(MATCH(AF$2,Inputs!$K$4:$AJ$4,0)),NA(),IF(SUMPRODUCT((Inputs!$A$5:$A$140=$B45)*ISNUMBER(INDEX(Inputs!$K$5:$AJ$140,0,MATCH(AF$2,Inputs!$K$4:$AJ$4,0))))+SUMPRODUCT((Inputs!$C$5:$C$140=$B45)*ISNUMBER(INDEX(Inputs!$K$5:$AJ$140,0,MATCH(AF$2,Inputs!$K$4:$AJ$4,0))))+SUMPRODUCT((Inputs!$E$5:$E$140=$B45)*ISNUMBER(INDEX(Inputs!$K$5:$AJ$140,0,MATCH(AF$2,Inputs!$K$4:$AJ$4,0))))=0,NA(),SUMPRODUCT((Inputs!$A$5:$A$140=$B45)*Inputs!$B$5:$B$140*(((Inputs!$G$5:$G$140="moeda")+(Inputs!$G$5:$G$140="acoes"))*Inputs!$B$1+((Inputs!$G$5:$G$140&lt;&gt;"moeda")*(Inputs!$G$5:$G$140&lt;&gt;"acoes")))*INDEX(Inputs!$K$5:$AJ$140,0,MATCH(AF$2,Inputs!$K$4:$AJ$4,0)))+SUMPRODUCT((Inputs!$C$5:$C$140=$B45)*Inputs!$D$5:$D$140*(((Inputs!$G$5:$G$140="moeda")+(Inputs!$G$5:$G$140="acoes"))*Inputs!$B$1+((Inputs!$G$5:$G$140&lt;&gt;"moeda")*(Inputs!$G$5:$G$140&lt;&gt;"acoes")))*INDEX(Inputs!$K$5:$AJ$140,0,MATCH(AF$2,Inputs!$K$4:$AJ$4,0)))+SUMPRODUCT((Inputs!$E$5:$E$140=$B45)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5" s="3" t="e">
        <f>AF45</f>
        <v>#N/A</v>
      </c>
      <c r="AH45" s="6" t="e">
        <f>IF(ISNA(MATCH(AH$2,Inputs!$K$4:$AJ$4,0)),NA(),IF(SUMPRODUCT((Inputs!$A$5:$A$140=$B45)*ISNUMBER(INDEX(Inputs!$K$5:$AJ$140,0,MATCH(AH$2,Inputs!$K$4:$AJ$4,0))))+SUMPRODUCT((Inputs!$C$5:$C$140=$B45)*ISNUMBER(INDEX(Inputs!$K$5:$AJ$140,0,MATCH(AH$2,Inputs!$K$4:$AJ$4,0))))+SUMPRODUCT((Inputs!$E$5:$E$140=$B45)*ISNUMBER(INDEX(Inputs!$K$5:$AJ$140,0,MATCH(AH$2,Inputs!$K$4:$AJ$4,0))))=0,NA(),SUMPRODUCT((Inputs!$A$5:$A$140=$B45)*Inputs!$B$5:$B$140*(((Inputs!$G$5:$G$140="moeda")+(Inputs!$G$5:$G$140="acoes"))*Inputs!$B$1+((Inputs!$G$5:$G$140&lt;&gt;"moeda")*(Inputs!$G$5:$G$140&lt;&gt;"acoes")))*INDEX(Inputs!$K$5:$AJ$140,0,MATCH(AH$2,Inputs!$K$4:$AJ$4,0)))+SUMPRODUCT((Inputs!$C$5:$C$140=$B45)*Inputs!$D$5:$D$140*(((Inputs!$G$5:$G$140="moeda")+(Inputs!$G$5:$G$140="acoes"))*Inputs!$B$1+((Inputs!$G$5:$G$140&lt;&gt;"moeda")*(Inputs!$G$5:$G$140&lt;&gt;"acoes")))*INDEX(Inputs!$K$5:$AJ$140,0,MATCH(AH$2,Inputs!$K$4:$AJ$4,0)))+SUMPRODUCT((Inputs!$E$5:$E$140=$B45)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5" s="6" t="e">
        <f>IF(ISNA(MATCH(AI$2,Inputs!$K$4:$AJ$4,0)),NA(),IF(SUMPRODUCT((Inputs!$A$5:$A$140=$B45)*ISNUMBER(INDEX(Inputs!$K$5:$AJ$140,0,MATCH(AI$2,Inputs!$K$4:$AJ$4,0))))+SUMPRODUCT((Inputs!$C$5:$C$140=$B45)*ISNUMBER(INDEX(Inputs!$K$5:$AJ$140,0,MATCH(AI$2,Inputs!$K$4:$AJ$4,0))))+SUMPRODUCT((Inputs!$E$5:$E$140=$B45)*ISNUMBER(INDEX(Inputs!$K$5:$AJ$140,0,MATCH(AI$2,Inputs!$K$4:$AJ$4,0))))=0,NA(),SUMPRODUCT((Inputs!$A$5:$A$140=$B45)*Inputs!$B$5:$B$140*(((Inputs!$G$5:$G$140="moeda")+(Inputs!$G$5:$G$140="acoes"))*Inputs!$B$1+((Inputs!$G$5:$G$140&lt;&gt;"moeda")*(Inputs!$G$5:$G$140&lt;&gt;"acoes")))*INDEX(Inputs!$K$5:$AJ$140,0,MATCH(AI$2,Inputs!$K$4:$AJ$4,0)))+SUMPRODUCT((Inputs!$C$5:$C$140=$B45)*Inputs!$D$5:$D$140*(((Inputs!$G$5:$G$140="moeda")+(Inputs!$G$5:$G$140="acoes"))*Inputs!$B$1+((Inputs!$G$5:$G$140&lt;&gt;"moeda")*(Inputs!$G$5:$G$140&lt;&gt;"acoes")))*INDEX(Inputs!$K$5:$AJ$140,0,MATCH(AI$2,Inputs!$K$4:$AJ$4,0)))+SUMPRODUCT((Inputs!$E$5:$E$140=$B45)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5" s="6" t="e">
        <f>IF(ISNA(MATCH(AJ$2,Inputs!$K$4:$AJ$4,0)),NA(),IF(SUMPRODUCT((Inputs!$A$5:$A$140=$B45)*ISNUMBER(INDEX(Inputs!$K$5:$AJ$140,0,MATCH(AJ$2,Inputs!$K$4:$AJ$4,0))))+SUMPRODUCT((Inputs!$C$5:$C$140=$B45)*ISNUMBER(INDEX(Inputs!$K$5:$AJ$140,0,MATCH(AJ$2,Inputs!$K$4:$AJ$4,0))))+SUMPRODUCT((Inputs!$E$5:$E$140=$B45)*ISNUMBER(INDEX(Inputs!$K$5:$AJ$140,0,MATCH(AJ$2,Inputs!$K$4:$AJ$4,0))))=0,NA(),SUMPRODUCT((Inputs!$A$5:$A$140=$B45)*Inputs!$B$5:$B$140*(((Inputs!$G$5:$G$140="moeda")+(Inputs!$G$5:$G$140="acoes"))*Inputs!$B$1+((Inputs!$G$5:$G$140&lt;&gt;"moeda")*(Inputs!$G$5:$G$140&lt;&gt;"acoes")))*INDEX(Inputs!$K$5:$AJ$140,0,MATCH(AJ$2,Inputs!$K$4:$AJ$4,0)))+SUMPRODUCT((Inputs!$C$5:$C$140=$B45)*Inputs!$D$5:$D$140*(((Inputs!$G$5:$G$140="moeda")+(Inputs!$G$5:$G$140="acoes"))*Inputs!$B$1+((Inputs!$G$5:$G$140&lt;&gt;"moeda")*(Inputs!$G$5:$G$140&lt;&gt;"acoes")))*INDEX(Inputs!$K$5:$AJ$140,0,MATCH(AJ$2,Inputs!$K$4:$AJ$4,0)))+SUMPRODUCT((Inputs!$E$5:$E$140=$B45)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5" s="6" t="e">
        <f>IF(ISNA(MATCH(AK$2,Inputs!$K$4:$AJ$4,0)),NA(),IF(SUMPRODUCT((Inputs!$A$5:$A$140=$B45)*ISNUMBER(INDEX(Inputs!$K$5:$AJ$140,0,MATCH(AK$2,Inputs!$K$4:$AJ$4,0))))+SUMPRODUCT((Inputs!$C$5:$C$140=$B45)*ISNUMBER(INDEX(Inputs!$K$5:$AJ$140,0,MATCH(AK$2,Inputs!$K$4:$AJ$4,0))))+SUMPRODUCT((Inputs!$E$5:$E$140=$B45)*ISNUMBER(INDEX(Inputs!$K$5:$AJ$140,0,MATCH(AK$2,Inputs!$K$4:$AJ$4,0))))=0,NA(),SUMPRODUCT((Inputs!$A$5:$A$140=$B45)*Inputs!$B$5:$B$140*(((Inputs!$G$5:$G$140="moeda")+(Inputs!$G$5:$G$140="acoes"))*Inputs!$B$1+((Inputs!$G$5:$G$140&lt;&gt;"moeda")*(Inputs!$G$5:$G$140&lt;&gt;"acoes")))*INDEX(Inputs!$K$5:$AJ$140,0,MATCH(AK$2,Inputs!$K$4:$AJ$4,0)))+SUMPRODUCT((Inputs!$C$5:$C$140=$B45)*Inputs!$D$5:$D$140*(((Inputs!$G$5:$G$140="moeda")+(Inputs!$G$5:$G$140="acoes"))*Inputs!$B$1+((Inputs!$G$5:$G$140&lt;&gt;"moeda")*(Inputs!$G$5:$G$140&lt;&gt;"acoes")))*INDEX(Inputs!$K$5:$AJ$140,0,MATCH(AK$2,Inputs!$K$4:$AJ$4,0)))+SUMPRODUCT((Inputs!$E$5:$E$140=$B45)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5" s="3" t="e">
        <f>AK45</f>
        <v>#N/A</v>
      </c>
    </row>
    <row r="46">
      <c r="B46" s="46" t="n">
        <v>40</v>
      </c>
      <c r="C46" s="26" t="inlineStr">
        <is>
          <t>Other equity account</t>
        </is>
      </c>
      <c r="D46" s="6" t="e">
        <f>IF(ISNA(MATCH(D$2,Inputs!$K$4:$AJ$4,0)),NA(),IF(SUMPRODUCT((Inputs!$A$5:$A$140=$B46)*ISNUMBER(INDEX(Inputs!$K$5:$AJ$140,0,MATCH(D$2,Inputs!$K$4:$AJ$4,0))))+SUMPRODUCT((Inputs!$C$5:$C$140=$B46)*ISNUMBER(INDEX(Inputs!$K$5:$AJ$140,0,MATCH(D$2,Inputs!$K$4:$AJ$4,0))))+SUMPRODUCT((Inputs!$E$5:$E$140=$B46)*ISNUMBER(INDEX(Inputs!$K$5:$AJ$140,0,MATCH(D$2,Inputs!$K$4:$AJ$4,0))))=0,NA(),SUMPRODUCT((Inputs!$A$5:$A$140=$B46)*Inputs!$B$5:$B$140*(((Inputs!$G$5:$G$140="moeda")+(Inputs!$G$5:$G$140="acoes"))*Inputs!$B$1+((Inputs!$G$5:$G$140&lt;&gt;"moeda")*(Inputs!$G$5:$G$140&lt;&gt;"acoes")))*INDEX(Inputs!$K$5:$AJ$140,0,MATCH(D$2,Inputs!$K$4:$AJ$4,0)))+SUMPRODUCT((Inputs!$C$5:$C$140=$B46)*Inputs!$D$5:$D$140*(((Inputs!$G$5:$G$140="moeda")+(Inputs!$G$5:$G$140="acoes"))*Inputs!$B$1+((Inputs!$G$5:$G$140&lt;&gt;"moeda")*(Inputs!$G$5:$G$140&lt;&gt;"acoes")))*INDEX(Inputs!$K$5:$AJ$140,0,MATCH(D$2,Inputs!$K$4:$AJ$4,0)))+SUMPRODUCT((Inputs!$E$5:$E$140=$B46)*Inputs!$F$5:$F$140*(((Inputs!$G$5:$G$140="moeda")+(Inputs!$G$5:$G$140="acoes"))*Inputs!$B$1+((Inputs!$G$5:$G$140&lt;&gt;"moeda")*(Inputs!$G$5:$G$140&lt;&gt;"acoes")))*INDEX(Inputs!$K$5:$AJ$140,0,MATCH(D$2,Inputs!$K$4:$AJ$4,0)))))</f>
        <v>#N/A</v>
      </c>
      <c r="E46" s="6" t="e">
        <f>IF(ISNA(MATCH(E$2,Inputs!$K$4:$AJ$4,0)),NA(),IF(SUMPRODUCT((Inputs!$A$5:$A$140=$B46)*ISNUMBER(INDEX(Inputs!$K$5:$AJ$140,0,MATCH(E$2,Inputs!$K$4:$AJ$4,0))))+SUMPRODUCT((Inputs!$C$5:$C$140=$B46)*ISNUMBER(INDEX(Inputs!$K$5:$AJ$140,0,MATCH(E$2,Inputs!$K$4:$AJ$4,0))))+SUMPRODUCT((Inputs!$E$5:$E$140=$B46)*ISNUMBER(INDEX(Inputs!$K$5:$AJ$140,0,MATCH(E$2,Inputs!$K$4:$AJ$4,0))))=0,NA(),SUMPRODUCT((Inputs!$A$5:$A$140=$B46)*Inputs!$B$5:$B$140*(((Inputs!$G$5:$G$140="moeda")+(Inputs!$G$5:$G$140="acoes"))*Inputs!$B$1+((Inputs!$G$5:$G$140&lt;&gt;"moeda")*(Inputs!$G$5:$G$140&lt;&gt;"acoes")))*INDEX(Inputs!$K$5:$AJ$140,0,MATCH(E$2,Inputs!$K$4:$AJ$4,0)))+SUMPRODUCT((Inputs!$C$5:$C$140=$B46)*Inputs!$D$5:$D$140*(((Inputs!$G$5:$G$140="moeda")+(Inputs!$G$5:$G$140="acoes"))*Inputs!$B$1+((Inputs!$G$5:$G$140&lt;&gt;"moeda")*(Inputs!$G$5:$G$140&lt;&gt;"acoes")))*INDEX(Inputs!$K$5:$AJ$140,0,MATCH(E$2,Inputs!$K$4:$AJ$4,0)))+SUMPRODUCT((Inputs!$E$5:$E$140=$B46)*Inputs!$F$5:$F$140*(((Inputs!$G$5:$G$140="moeda")+(Inputs!$G$5:$G$140="acoes"))*Inputs!$B$1+((Inputs!$G$5:$G$140&lt;&gt;"moeda")*(Inputs!$G$5:$G$140&lt;&gt;"acoes")))*INDEX(Inputs!$K$5:$AJ$140,0,MATCH(E$2,Inputs!$K$4:$AJ$4,0)))))</f>
        <v>#N/A</v>
      </c>
      <c r="F46" s="6" t="e">
        <f>IF(ISNA(MATCH(F$2,Inputs!$K$4:$AJ$4,0)),NA(),IF(SUMPRODUCT((Inputs!$A$5:$A$140=$B46)*ISNUMBER(INDEX(Inputs!$K$5:$AJ$140,0,MATCH(F$2,Inputs!$K$4:$AJ$4,0))))+SUMPRODUCT((Inputs!$C$5:$C$140=$B46)*ISNUMBER(INDEX(Inputs!$K$5:$AJ$140,0,MATCH(F$2,Inputs!$K$4:$AJ$4,0))))+SUMPRODUCT((Inputs!$E$5:$E$140=$B46)*ISNUMBER(INDEX(Inputs!$K$5:$AJ$140,0,MATCH(F$2,Inputs!$K$4:$AJ$4,0))))=0,NA(),SUMPRODUCT((Inputs!$A$5:$A$140=$B46)*Inputs!$B$5:$B$140*(((Inputs!$G$5:$G$140="moeda")+(Inputs!$G$5:$G$140="acoes"))*Inputs!$B$1+((Inputs!$G$5:$G$140&lt;&gt;"moeda")*(Inputs!$G$5:$G$140&lt;&gt;"acoes")))*INDEX(Inputs!$K$5:$AJ$140,0,MATCH(F$2,Inputs!$K$4:$AJ$4,0)))+SUMPRODUCT((Inputs!$C$5:$C$140=$B46)*Inputs!$D$5:$D$140*(((Inputs!$G$5:$G$140="moeda")+(Inputs!$G$5:$G$140="acoes"))*Inputs!$B$1+((Inputs!$G$5:$G$140&lt;&gt;"moeda")*(Inputs!$G$5:$G$140&lt;&gt;"acoes")))*INDEX(Inputs!$K$5:$AJ$140,0,MATCH(F$2,Inputs!$K$4:$AJ$4,0)))+SUMPRODUCT((Inputs!$E$5:$E$140=$B46)*Inputs!$F$5:$F$140*(((Inputs!$G$5:$G$140="moeda")+(Inputs!$G$5:$G$140="acoes"))*Inputs!$B$1+((Inputs!$G$5:$G$140&lt;&gt;"moeda")*(Inputs!$G$5:$G$140&lt;&gt;"acoes")))*INDEX(Inputs!$K$5:$AJ$140,0,MATCH(F$2,Inputs!$K$4:$AJ$4,0)))))</f>
        <v>#N/A</v>
      </c>
      <c r="G46" s="6" t="e">
        <f>IF(ISNA(MATCH(G$2,Inputs!$K$4:$AJ$4,0)),NA(),IF(SUMPRODUCT((Inputs!$A$5:$A$140=$B46)*ISNUMBER(INDEX(Inputs!$K$5:$AJ$140,0,MATCH(G$2,Inputs!$K$4:$AJ$4,0))))+SUMPRODUCT((Inputs!$C$5:$C$140=$B46)*ISNUMBER(INDEX(Inputs!$K$5:$AJ$140,0,MATCH(G$2,Inputs!$K$4:$AJ$4,0))))+SUMPRODUCT((Inputs!$E$5:$E$140=$B46)*ISNUMBER(INDEX(Inputs!$K$5:$AJ$140,0,MATCH(G$2,Inputs!$K$4:$AJ$4,0))))=0,NA(),SUMPRODUCT((Inputs!$A$5:$A$140=$B46)*Inputs!$B$5:$B$140*(((Inputs!$G$5:$G$140="moeda")+(Inputs!$G$5:$G$140="acoes"))*Inputs!$B$1+((Inputs!$G$5:$G$140&lt;&gt;"moeda")*(Inputs!$G$5:$G$140&lt;&gt;"acoes")))*INDEX(Inputs!$K$5:$AJ$140,0,MATCH(G$2,Inputs!$K$4:$AJ$4,0)))+SUMPRODUCT((Inputs!$C$5:$C$140=$B46)*Inputs!$D$5:$D$140*(((Inputs!$G$5:$G$140="moeda")+(Inputs!$G$5:$G$140="acoes"))*Inputs!$B$1+((Inputs!$G$5:$G$140&lt;&gt;"moeda")*(Inputs!$G$5:$G$140&lt;&gt;"acoes")))*INDEX(Inputs!$K$5:$AJ$140,0,MATCH(G$2,Inputs!$K$4:$AJ$4,0)))+SUMPRODUCT((Inputs!$E$5:$E$140=$B46)*Inputs!$F$5:$F$140*(((Inputs!$G$5:$G$140="moeda")+(Inputs!$G$5:$G$140="acoes"))*Inputs!$B$1+((Inputs!$G$5:$G$140&lt;&gt;"moeda")*(Inputs!$G$5:$G$140&lt;&gt;"acoes")))*INDEX(Inputs!$K$5:$AJ$140,0,MATCH(G$2,Inputs!$K$4:$AJ$4,0)))))</f>
        <v>#N/A</v>
      </c>
      <c r="H46" s="3" t="e">
        <f>G46</f>
        <v>#N/A</v>
      </c>
      <c r="I46" s="6" t="e">
        <f>IF(ISNA(MATCH(I$2,Inputs!$K$4:$AJ$4,0)),NA(),IF(SUMPRODUCT((Inputs!$A$5:$A$140=$B46)*ISNUMBER(INDEX(Inputs!$K$5:$AJ$140,0,MATCH(I$2,Inputs!$K$4:$AJ$4,0))))+SUMPRODUCT((Inputs!$C$5:$C$140=$B46)*ISNUMBER(INDEX(Inputs!$K$5:$AJ$140,0,MATCH(I$2,Inputs!$K$4:$AJ$4,0))))+SUMPRODUCT((Inputs!$E$5:$E$140=$B46)*ISNUMBER(INDEX(Inputs!$K$5:$AJ$140,0,MATCH(I$2,Inputs!$K$4:$AJ$4,0))))=0,NA(),SUMPRODUCT((Inputs!$A$5:$A$140=$B46)*Inputs!$B$5:$B$140*(((Inputs!$G$5:$G$140="moeda")+(Inputs!$G$5:$G$140="acoes"))*Inputs!$B$1+((Inputs!$G$5:$G$140&lt;&gt;"moeda")*(Inputs!$G$5:$G$140&lt;&gt;"acoes")))*INDEX(Inputs!$K$5:$AJ$140,0,MATCH(I$2,Inputs!$K$4:$AJ$4,0)))+SUMPRODUCT((Inputs!$C$5:$C$140=$B46)*Inputs!$D$5:$D$140*(((Inputs!$G$5:$G$140="moeda")+(Inputs!$G$5:$G$140="acoes"))*Inputs!$B$1+((Inputs!$G$5:$G$140&lt;&gt;"moeda")*(Inputs!$G$5:$G$140&lt;&gt;"acoes")))*INDEX(Inputs!$K$5:$AJ$140,0,MATCH(I$2,Inputs!$K$4:$AJ$4,0)))+SUMPRODUCT((Inputs!$E$5:$E$140=$B46)*Inputs!$F$5:$F$140*(((Inputs!$G$5:$G$140="moeda")+(Inputs!$G$5:$G$140="acoes"))*Inputs!$B$1+((Inputs!$G$5:$G$140&lt;&gt;"moeda")*(Inputs!$G$5:$G$140&lt;&gt;"acoes")))*INDEX(Inputs!$K$5:$AJ$140,0,MATCH(I$2,Inputs!$K$4:$AJ$4,0)))))</f>
        <v>#N/A</v>
      </c>
      <c r="J46" s="6" t="e">
        <f>IF(ISNA(MATCH(J$2,Inputs!$K$4:$AJ$4,0)),NA(),IF(SUMPRODUCT((Inputs!$A$5:$A$140=$B46)*ISNUMBER(INDEX(Inputs!$K$5:$AJ$140,0,MATCH(J$2,Inputs!$K$4:$AJ$4,0))))+SUMPRODUCT((Inputs!$C$5:$C$140=$B46)*ISNUMBER(INDEX(Inputs!$K$5:$AJ$140,0,MATCH(J$2,Inputs!$K$4:$AJ$4,0))))+SUMPRODUCT((Inputs!$E$5:$E$140=$B46)*ISNUMBER(INDEX(Inputs!$K$5:$AJ$140,0,MATCH(J$2,Inputs!$K$4:$AJ$4,0))))=0,NA(),SUMPRODUCT((Inputs!$A$5:$A$140=$B46)*Inputs!$B$5:$B$140*(((Inputs!$G$5:$G$140="moeda")+(Inputs!$G$5:$G$140="acoes"))*Inputs!$B$1+((Inputs!$G$5:$G$140&lt;&gt;"moeda")*(Inputs!$G$5:$G$140&lt;&gt;"acoes")))*INDEX(Inputs!$K$5:$AJ$140,0,MATCH(J$2,Inputs!$K$4:$AJ$4,0)))+SUMPRODUCT((Inputs!$C$5:$C$140=$B46)*Inputs!$D$5:$D$140*(((Inputs!$G$5:$G$140="moeda")+(Inputs!$G$5:$G$140="acoes"))*Inputs!$B$1+((Inputs!$G$5:$G$140&lt;&gt;"moeda")*(Inputs!$G$5:$G$140&lt;&gt;"acoes")))*INDEX(Inputs!$K$5:$AJ$140,0,MATCH(J$2,Inputs!$K$4:$AJ$4,0)))+SUMPRODUCT((Inputs!$E$5:$E$140=$B46)*Inputs!$F$5:$F$140*(((Inputs!$G$5:$G$140="moeda")+(Inputs!$G$5:$G$140="acoes"))*Inputs!$B$1+((Inputs!$G$5:$G$140&lt;&gt;"moeda")*(Inputs!$G$5:$G$140&lt;&gt;"acoes")))*INDEX(Inputs!$K$5:$AJ$140,0,MATCH(J$2,Inputs!$K$4:$AJ$4,0)))))</f>
        <v>#N/A</v>
      </c>
      <c r="K46" s="6" t="e">
        <f>IF(ISNA(MATCH(K$2,Inputs!$K$4:$AJ$4,0)),NA(),IF(SUMPRODUCT((Inputs!$A$5:$A$140=$B46)*ISNUMBER(INDEX(Inputs!$K$5:$AJ$140,0,MATCH(K$2,Inputs!$K$4:$AJ$4,0))))+SUMPRODUCT((Inputs!$C$5:$C$140=$B46)*ISNUMBER(INDEX(Inputs!$K$5:$AJ$140,0,MATCH(K$2,Inputs!$K$4:$AJ$4,0))))+SUMPRODUCT((Inputs!$E$5:$E$140=$B46)*ISNUMBER(INDEX(Inputs!$K$5:$AJ$140,0,MATCH(K$2,Inputs!$K$4:$AJ$4,0))))=0,NA(),SUMPRODUCT((Inputs!$A$5:$A$140=$B46)*Inputs!$B$5:$B$140*(((Inputs!$G$5:$G$140="moeda")+(Inputs!$G$5:$G$140="acoes"))*Inputs!$B$1+((Inputs!$G$5:$G$140&lt;&gt;"moeda")*(Inputs!$G$5:$G$140&lt;&gt;"acoes")))*INDEX(Inputs!$K$5:$AJ$140,0,MATCH(K$2,Inputs!$K$4:$AJ$4,0)))+SUMPRODUCT((Inputs!$C$5:$C$140=$B46)*Inputs!$D$5:$D$140*(((Inputs!$G$5:$G$140="moeda")+(Inputs!$G$5:$G$140="acoes"))*Inputs!$B$1+((Inputs!$G$5:$G$140&lt;&gt;"moeda")*(Inputs!$G$5:$G$140&lt;&gt;"acoes")))*INDEX(Inputs!$K$5:$AJ$140,0,MATCH(K$2,Inputs!$K$4:$AJ$4,0)))+SUMPRODUCT((Inputs!$E$5:$E$140=$B46)*Inputs!$F$5:$F$140*(((Inputs!$G$5:$G$140="moeda")+(Inputs!$G$5:$G$140="acoes"))*Inputs!$B$1+((Inputs!$G$5:$G$140&lt;&gt;"moeda")*(Inputs!$G$5:$G$140&lt;&gt;"acoes")))*INDEX(Inputs!$K$5:$AJ$140,0,MATCH(K$2,Inputs!$K$4:$AJ$4,0)))))</f>
        <v>#N/A</v>
      </c>
      <c r="L46" s="6" t="e">
        <f>IF(ISNA(MATCH(L$2,Inputs!$K$4:$AJ$4,0)),NA(),IF(SUMPRODUCT((Inputs!$A$5:$A$140=$B46)*ISNUMBER(INDEX(Inputs!$K$5:$AJ$140,0,MATCH(L$2,Inputs!$K$4:$AJ$4,0))))+SUMPRODUCT((Inputs!$C$5:$C$140=$B46)*ISNUMBER(INDEX(Inputs!$K$5:$AJ$140,0,MATCH(L$2,Inputs!$K$4:$AJ$4,0))))+SUMPRODUCT((Inputs!$E$5:$E$140=$B46)*ISNUMBER(INDEX(Inputs!$K$5:$AJ$140,0,MATCH(L$2,Inputs!$K$4:$AJ$4,0))))=0,NA(),SUMPRODUCT((Inputs!$A$5:$A$140=$B46)*Inputs!$B$5:$B$140*(((Inputs!$G$5:$G$140="moeda")+(Inputs!$G$5:$G$140="acoes"))*Inputs!$B$1+((Inputs!$G$5:$G$140&lt;&gt;"moeda")*(Inputs!$G$5:$G$140&lt;&gt;"acoes")))*INDEX(Inputs!$K$5:$AJ$140,0,MATCH(L$2,Inputs!$K$4:$AJ$4,0)))+SUMPRODUCT((Inputs!$C$5:$C$140=$B46)*Inputs!$D$5:$D$140*(((Inputs!$G$5:$G$140="moeda")+(Inputs!$G$5:$G$140="acoes"))*Inputs!$B$1+((Inputs!$G$5:$G$140&lt;&gt;"moeda")*(Inputs!$G$5:$G$140&lt;&gt;"acoes")))*INDEX(Inputs!$K$5:$AJ$140,0,MATCH(L$2,Inputs!$K$4:$AJ$4,0)))+SUMPRODUCT((Inputs!$E$5:$E$140=$B46)*Inputs!$F$5:$F$140*(((Inputs!$G$5:$G$140="moeda")+(Inputs!$G$5:$G$140="acoes"))*Inputs!$B$1+((Inputs!$G$5:$G$140&lt;&gt;"moeda")*(Inputs!$G$5:$G$140&lt;&gt;"acoes")))*INDEX(Inputs!$K$5:$AJ$140,0,MATCH(L$2,Inputs!$K$4:$AJ$4,0)))))</f>
        <v>#N/A</v>
      </c>
      <c r="M46" s="3" t="e">
        <f>L46</f>
        <v>#N/A</v>
      </c>
      <c r="N46" s="6" t="e">
        <f>IF(ISNA(MATCH(N$2,Inputs!$K$4:$AJ$4,0)),NA(),IF(SUMPRODUCT((Inputs!$A$5:$A$140=$B46)*ISNUMBER(INDEX(Inputs!$K$5:$AJ$140,0,MATCH(N$2,Inputs!$K$4:$AJ$4,0))))+SUMPRODUCT((Inputs!$C$5:$C$140=$B46)*ISNUMBER(INDEX(Inputs!$K$5:$AJ$140,0,MATCH(N$2,Inputs!$K$4:$AJ$4,0))))+SUMPRODUCT((Inputs!$E$5:$E$140=$B46)*ISNUMBER(INDEX(Inputs!$K$5:$AJ$140,0,MATCH(N$2,Inputs!$K$4:$AJ$4,0))))=0,NA(),SUMPRODUCT((Inputs!$A$5:$A$140=$B46)*Inputs!$B$5:$B$140*(((Inputs!$G$5:$G$140="moeda")+(Inputs!$G$5:$G$140="acoes"))*Inputs!$B$1+((Inputs!$G$5:$G$140&lt;&gt;"moeda")*(Inputs!$G$5:$G$140&lt;&gt;"acoes")))*INDEX(Inputs!$K$5:$AJ$140,0,MATCH(N$2,Inputs!$K$4:$AJ$4,0)))+SUMPRODUCT((Inputs!$C$5:$C$140=$B46)*Inputs!$D$5:$D$140*(((Inputs!$G$5:$G$140="moeda")+(Inputs!$G$5:$G$140="acoes"))*Inputs!$B$1+((Inputs!$G$5:$G$140&lt;&gt;"moeda")*(Inputs!$G$5:$G$140&lt;&gt;"acoes")))*INDEX(Inputs!$K$5:$AJ$140,0,MATCH(N$2,Inputs!$K$4:$AJ$4,0)))+SUMPRODUCT((Inputs!$E$5:$E$140=$B46)*Inputs!$F$5:$F$140*(((Inputs!$G$5:$G$140="moeda")+(Inputs!$G$5:$G$140="acoes"))*Inputs!$B$1+((Inputs!$G$5:$G$140&lt;&gt;"moeda")*(Inputs!$G$5:$G$140&lt;&gt;"acoes")))*INDEX(Inputs!$K$5:$AJ$140,0,MATCH(N$2,Inputs!$K$4:$AJ$4,0)))))</f>
        <v>#N/A</v>
      </c>
      <c r="O46" s="6" t="e">
        <f>IF(ISNA(MATCH(O$2,Inputs!$K$4:$AJ$4,0)),NA(),IF(SUMPRODUCT((Inputs!$A$5:$A$140=$B46)*ISNUMBER(INDEX(Inputs!$K$5:$AJ$140,0,MATCH(O$2,Inputs!$K$4:$AJ$4,0))))+SUMPRODUCT((Inputs!$C$5:$C$140=$B46)*ISNUMBER(INDEX(Inputs!$K$5:$AJ$140,0,MATCH(O$2,Inputs!$K$4:$AJ$4,0))))+SUMPRODUCT((Inputs!$E$5:$E$140=$B46)*ISNUMBER(INDEX(Inputs!$K$5:$AJ$140,0,MATCH(O$2,Inputs!$K$4:$AJ$4,0))))=0,NA(),SUMPRODUCT((Inputs!$A$5:$A$140=$B46)*Inputs!$B$5:$B$140*(((Inputs!$G$5:$G$140="moeda")+(Inputs!$G$5:$G$140="acoes"))*Inputs!$B$1+((Inputs!$G$5:$G$140&lt;&gt;"moeda")*(Inputs!$G$5:$G$140&lt;&gt;"acoes")))*INDEX(Inputs!$K$5:$AJ$140,0,MATCH(O$2,Inputs!$K$4:$AJ$4,0)))+SUMPRODUCT((Inputs!$C$5:$C$140=$B46)*Inputs!$D$5:$D$140*(((Inputs!$G$5:$G$140="moeda")+(Inputs!$G$5:$G$140="acoes"))*Inputs!$B$1+((Inputs!$G$5:$G$140&lt;&gt;"moeda")*(Inputs!$G$5:$G$140&lt;&gt;"acoes")))*INDEX(Inputs!$K$5:$AJ$140,0,MATCH(O$2,Inputs!$K$4:$AJ$4,0)))+SUMPRODUCT((Inputs!$E$5:$E$140=$B46)*Inputs!$F$5:$F$140*(((Inputs!$G$5:$G$140="moeda")+(Inputs!$G$5:$G$140="acoes"))*Inputs!$B$1+((Inputs!$G$5:$G$140&lt;&gt;"moeda")*(Inputs!$G$5:$G$140&lt;&gt;"acoes")))*INDEX(Inputs!$K$5:$AJ$140,0,MATCH(O$2,Inputs!$K$4:$AJ$4,0)))))</f>
        <v>#N/A</v>
      </c>
      <c r="P46" s="6" t="e">
        <f>IF(ISNA(MATCH(P$2,Inputs!$K$4:$AJ$4,0)),NA(),IF(SUMPRODUCT((Inputs!$A$5:$A$140=$B46)*ISNUMBER(INDEX(Inputs!$K$5:$AJ$140,0,MATCH(P$2,Inputs!$K$4:$AJ$4,0))))+SUMPRODUCT((Inputs!$C$5:$C$140=$B46)*ISNUMBER(INDEX(Inputs!$K$5:$AJ$140,0,MATCH(P$2,Inputs!$K$4:$AJ$4,0))))+SUMPRODUCT((Inputs!$E$5:$E$140=$B46)*ISNUMBER(INDEX(Inputs!$K$5:$AJ$140,0,MATCH(P$2,Inputs!$K$4:$AJ$4,0))))=0,NA(),SUMPRODUCT((Inputs!$A$5:$A$140=$B46)*Inputs!$B$5:$B$140*(((Inputs!$G$5:$G$140="moeda")+(Inputs!$G$5:$G$140="acoes"))*Inputs!$B$1+((Inputs!$G$5:$G$140&lt;&gt;"moeda")*(Inputs!$G$5:$G$140&lt;&gt;"acoes")))*INDEX(Inputs!$K$5:$AJ$140,0,MATCH(P$2,Inputs!$K$4:$AJ$4,0)))+SUMPRODUCT((Inputs!$C$5:$C$140=$B46)*Inputs!$D$5:$D$140*(((Inputs!$G$5:$G$140="moeda")+(Inputs!$G$5:$G$140="acoes"))*Inputs!$B$1+((Inputs!$G$5:$G$140&lt;&gt;"moeda")*(Inputs!$G$5:$G$140&lt;&gt;"acoes")))*INDEX(Inputs!$K$5:$AJ$140,0,MATCH(P$2,Inputs!$K$4:$AJ$4,0)))+SUMPRODUCT((Inputs!$E$5:$E$140=$B46)*Inputs!$F$5:$F$140*(((Inputs!$G$5:$G$140="moeda")+(Inputs!$G$5:$G$140="acoes"))*Inputs!$B$1+((Inputs!$G$5:$G$140&lt;&gt;"moeda")*(Inputs!$G$5:$G$140&lt;&gt;"acoes")))*INDEX(Inputs!$K$5:$AJ$140,0,MATCH(P$2,Inputs!$K$4:$AJ$4,0)))))</f>
        <v>#N/A</v>
      </c>
      <c r="Q46" s="6" t="e">
        <f>IF(ISNA(MATCH(Q$2,Inputs!$K$4:$AJ$4,0)),NA(),IF(SUMPRODUCT((Inputs!$A$5:$A$140=$B46)*ISNUMBER(INDEX(Inputs!$K$5:$AJ$140,0,MATCH(Q$2,Inputs!$K$4:$AJ$4,0))))+SUMPRODUCT((Inputs!$C$5:$C$140=$B46)*ISNUMBER(INDEX(Inputs!$K$5:$AJ$140,0,MATCH(Q$2,Inputs!$K$4:$AJ$4,0))))+SUMPRODUCT((Inputs!$E$5:$E$140=$B46)*ISNUMBER(INDEX(Inputs!$K$5:$AJ$140,0,MATCH(Q$2,Inputs!$K$4:$AJ$4,0))))=0,NA(),SUMPRODUCT((Inputs!$A$5:$A$140=$B46)*Inputs!$B$5:$B$140*(((Inputs!$G$5:$G$140="moeda")+(Inputs!$G$5:$G$140="acoes"))*Inputs!$B$1+((Inputs!$G$5:$G$140&lt;&gt;"moeda")*(Inputs!$G$5:$G$140&lt;&gt;"acoes")))*INDEX(Inputs!$K$5:$AJ$140,0,MATCH(Q$2,Inputs!$K$4:$AJ$4,0)))+SUMPRODUCT((Inputs!$C$5:$C$140=$B46)*Inputs!$D$5:$D$140*(((Inputs!$G$5:$G$140="moeda")+(Inputs!$G$5:$G$140="acoes"))*Inputs!$B$1+((Inputs!$G$5:$G$140&lt;&gt;"moeda")*(Inputs!$G$5:$G$140&lt;&gt;"acoes")))*INDEX(Inputs!$K$5:$AJ$140,0,MATCH(Q$2,Inputs!$K$4:$AJ$4,0)))+SUMPRODUCT((Inputs!$E$5:$E$140=$B46)*Inputs!$F$5:$F$140*(((Inputs!$G$5:$G$140="moeda")+(Inputs!$G$5:$G$140="acoes"))*Inputs!$B$1+((Inputs!$G$5:$G$140&lt;&gt;"moeda")*(Inputs!$G$5:$G$140&lt;&gt;"acoes")))*INDEX(Inputs!$K$5:$AJ$140,0,MATCH(Q$2,Inputs!$K$4:$AJ$4,0)))))</f>
        <v>#N/A</v>
      </c>
      <c r="R46" s="3" t="e">
        <f>Q46</f>
        <v>#N/A</v>
      </c>
      <c r="S46" s="6" t="e">
        <f>IF(ISNA(MATCH(S$2,Inputs!$K$4:$AJ$4,0)),NA(),IF(SUMPRODUCT((Inputs!$A$5:$A$140=$B46)*ISNUMBER(INDEX(Inputs!$K$5:$AJ$140,0,MATCH(S$2,Inputs!$K$4:$AJ$4,0))))+SUMPRODUCT((Inputs!$C$5:$C$140=$B46)*ISNUMBER(INDEX(Inputs!$K$5:$AJ$140,0,MATCH(S$2,Inputs!$K$4:$AJ$4,0))))+SUMPRODUCT((Inputs!$E$5:$E$140=$B46)*ISNUMBER(INDEX(Inputs!$K$5:$AJ$140,0,MATCH(S$2,Inputs!$K$4:$AJ$4,0))))=0,NA(),SUMPRODUCT((Inputs!$A$5:$A$140=$B46)*Inputs!$B$5:$B$140*(((Inputs!$G$5:$G$140="moeda")+(Inputs!$G$5:$G$140="acoes"))*Inputs!$B$1+((Inputs!$G$5:$G$140&lt;&gt;"moeda")*(Inputs!$G$5:$G$140&lt;&gt;"acoes")))*INDEX(Inputs!$K$5:$AJ$140,0,MATCH(S$2,Inputs!$K$4:$AJ$4,0)))+SUMPRODUCT((Inputs!$C$5:$C$140=$B46)*Inputs!$D$5:$D$140*(((Inputs!$G$5:$G$140="moeda")+(Inputs!$G$5:$G$140="acoes"))*Inputs!$B$1+((Inputs!$G$5:$G$140&lt;&gt;"moeda")*(Inputs!$G$5:$G$140&lt;&gt;"acoes")))*INDEX(Inputs!$K$5:$AJ$140,0,MATCH(S$2,Inputs!$K$4:$AJ$4,0)))+SUMPRODUCT((Inputs!$E$5:$E$140=$B46)*Inputs!$F$5:$F$140*(((Inputs!$G$5:$G$140="moeda")+(Inputs!$G$5:$G$140="acoes"))*Inputs!$B$1+((Inputs!$G$5:$G$140&lt;&gt;"moeda")*(Inputs!$G$5:$G$140&lt;&gt;"acoes")))*INDEX(Inputs!$K$5:$AJ$140,0,MATCH(S$2,Inputs!$K$4:$AJ$4,0)))))</f>
        <v>#N/A</v>
      </c>
      <c r="T46" s="6" t="e">
        <f>IF(ISNA(MATCH(T$2,Inputs!$K$4:$AJ$4,0)),NA(),IF(SUMPRODUCT((Inputs!$A$5:$A$140=$B46)*ISNUMBER(INDEX(Inputs!$K$5:$AJ$140,0,MATCH(T$2,Inputs!$K$4:$AJ$4,0))))+SUMPRODUCT((Inputs!$C$5:$C$140=$B46)*ISNUMBER(INDEX(Inputs!$K$5:$AJ$140,0,MATCH(T$2,Inputs!$K$4:$AJ$4,0))))+SUMPRODUCT((Inputs!$E$5:$E$140=$B46)*ISNUMBER(INDEX(Inputs!$K$5:$AJ$140,0,MATCH(T$2,Inputs!$K$4:$AJ$4,0))))=0,NA(),SUMPRODUCT((Inputs!$A$5:$A$140=$B46)*Inputs!$B$5:$B$140*(((Inputs!$G$5:$G$140="moeda")+(Inputs!$G$5:$G$140="acoes"))*Inputs!$B$1+((Inputs!$G$5:$G$140&lt;&gt;"moeda")*(Inputs!$G$5:$G$140&lt;&gt;"acoes")))*INDEX(Inputs!$K$5:$AJ$140,0,MATCH(T$2,Inputs!$K$4:$AJ$4,0)))+SUMPRODUCT((Inputs!$C$5:$C$140=$B46)*Inputs!$D$5:$D$140*(((Inputs!$G$5:$G$140="moeda")+(Inputs!$G$5:$G$140="acoes"))*Inputs!$B$1+((Inputs!$G$5:$G$140&lt;&gt;"moeda")*(Inputs!$G$5:$G$140&lt;&gt;"acoes")))*INDEX(Inputs!$K$5:$AJ$140,0,MATCH(T$2,Inputs!$K$4:$AJ$4,0)))+SUMPRODUCT((Inputs!$E$5:$E$140=$B46)*Inputs!$F$5:$F$140*(((Inputs!$G$5:$G$140="moeda")+(Inputs!$G$5:$G$140="acoes"))*Inputs!$B$1+((Inputs!$G$5:$G$140&lt;&gt;"moeda")*(Inputs!$G$5:$G$140&lt;&gt;"acoes")))*INDEX(Inputs!$K$5:$AJ$140,0,MATCH(T$2,Inputs!$K$4:$AJ$4,0)))))</f>
        <v>#N/A</v>
      </c>
      <c r="U46" s="6" t="e">
        <f>IF(ISNA(MATCH(U$2,Inputs!$K$4:$AJ$4,0)),NA(),IF(SUMPRODUCT((Inputs!$A$5:$A$140=$B46)*ISNUMBER(INDEX(Inputs!$K$5:$AJ$140,0,MATCH(U$2,Inputs!$K$4:$AJ$4,0))))+SUMPRODUCT((Inputs!$C$5:$C$140=$B46)*ISNUMBER(INDEX(Inputs!$K$5:$AJ$140,0,MATCH(U$2,Inputs!$K$4:$AJ$4,0))))+SUMPRODUCT((Inputs!$E$5:$E$140=$B46)*ISNUMBER(INDEX(Inputs!$K$5:$AJ$140,0,MATCH(U$2,Inputs!$K$4:$AJ$4,0))))=0,NA(),SUMPRODUCT((Inputs!$A$5:$A$140=$B46)*Inputs!$B$5:$B$140*(((Inputs!$G$5:$G$140="moeda")+(Inputs!$G$5:$G$140="acoes"))*Inputs!$B$1+((Inputs!$G$5:$G$140&lt;&gt;"moeda")*(Inputs!$G$5:$G$140&lt;&gt;"acoes")))*INDEX(Inputs!$K$5:$AJ$140,0,MATCH(U$2,Inputs!$K$4:$AJ$4,0)))+SUMPRODUCT((Inputs!$C$5:$C$140=$B46)*Inputs!$D$5:$D$140*(((Inputs!$G$5:$G$140="moeda")+(Inputs!$G$5:$G$140="acoes"))*Inputs!$B$1+((Inputs!$G$5:$G$140&lt;&gt;"moeda")*(Inputs!$G$5:$G$140&lt;&gt;"acoes")))*INDEX(Inputs!$K$5:$AJ$140,0,MATCH(U$2,Inputs!$K$4:$AJ$4,0)))+SUMPRODUCT((Inputs!$E$5:$E$140=$B46)*Inputs!$F$5:$F$140*(((Inputs!$G$5:$G$140="moeda")+(Inputs!$G$5:$G$140="acoes"))*Inputs!$B$1+((Inputs!$G$5:$G$140&lt;&gt;"moeda")*(Inputs!$G$5:$G$140&lt;&gt;"acoes")))*INDEX(Inputs!$K$5:$AJ$140,0,MATCH(U$2,Inputs!$K$4:$AJ$4,0)))))</f>
        <v>#N/A</v>
      </c>
      <c r="V46" s="6" t="e">
        <f>IF(ISNA(MATCH(V$2,Inputs!$K$4:$AJ$4,0)),NA(),IF(SUMPRODUCT((Inputs!$A$5:$A$140=$B46)*ISNUMBER(INDEX(Inputs!$K$5:$AJ$140,0,MATCH(V$2,Inputs!$K$4:$AJ$4,0))))+SUMPRODUCT((Inputs!$C$5:$C$140=$B46)*ISNUMBER(INDEX(Inputs!$K$5:$AJ$140,0,MATCH(V$2,Inputs!$K$4:$AJ$4,0))))+SUMPRODUCT((Inputs!$E$5:$E$140=$B46)*ISNUMBER(INDEX(Inputs!$K$5:$AJ$140,0,MATCH(V$2,Inputs!$K$4:$AJ$4,0))))=0,NA(),SUMPRODUCT((Inputs!$A$5:$A$140=$B46)*Inputs!$B$5:$B$140*(((Inputs!$G$5:$G$140="moeda")+(Inputs!$G$5:$G$140="acoes"))*Inputs!$B$1+((Inputs!$G$5:$G$140&lt;&gt;"moeda")*(Inputs!$G$5:$G$140&lt;&gt;"acoes")))*INDEX(Inputs!$K$5:$AJ$140,0,MATCH(V$2,Inputs!$K$4:$AJ$4,0)))+SUMPRODUCT((Inputs!$C$5:$C$140=$B46)*Inputs!$D$5:$D$140*(((Inputs!$G$5:$G$140="moeda")+(Inputs!$G$5:$G$140="acoes"))*Inputs!$B$1+((Inputs!$G$5:$G$140&lt;&gt;"moeda")*(Inputs!$G$5:$G$140&lt;&gt;"acoes")))*INDEX(Inputs!$K$5:$AJ$140,0,MATCH(V$2,Inputs!$K$4:$AJ$4,0)))+SUMPRODUCT((Inputs!$E$5:$E$140=$B46)*Inputs!$F$5:$F$140*(((Inputs!$G$5:$G$140="moeda")+(Inputs!$G$5:$G$140="acoes"))*Inputs!$B$1+((Inputs!$G$5:$G$140&lt;&gt;"moeda")*(Inputs!$G$5:$G$140&lt;&gt;"acoes")))*INDEX(Inputs!$K$5:$AJ$140,0,MATCH(V$2,Inputs!$K$4:$AJ$4,0)))))</f>
        <v>#N/A</v>
      </c>
      <c r="W46" s="3" t="e">
        <f>V46</f>
        <v>#N/A</v>
      </c>
      <c r="X46" s="6" t="e">
        <f>IF(ISNA(MATCH(X$2,Inputs!$K$4:$AJ$4,0)),NA(),IF(SUMPRODUCT((Inputs!$A$5:$A$140=$B46)*ISNUMBER(INDEX(Inputs!$K$5:$AJ$140,0,MATCH(X$2,Inputs!$K$4:$AJ$4,0))))+SUMPRODUCT((Inputs!$C$5:$C$140=$B46)*ISNUMBER(INDEX(Inputs!$K$5:$AJ$140,0,MATCH(X$2,Inputs!$K$4:$AJ$4,0))))+SUMPRODUCT((Inputs!$E$5:$E$140=$B46)*ISNUMBER(INDEX(Inputs!$K$5:$AJ$140,0,MATCH(X$2,Inputs!$K$4:$AJ$4,0))))=0,NA(),SUMPRODUCT((Inputs!$A$5:$A$140=$B46)*Inputs!$B$5:$B$140*(((Inputs!$G$5:$G$140="moeda")+(Inputs!$G$5:$G$140="acoes"))*Inputs!$B$1+((Inputs!$G$5:$G$140&lt;&gt;"moeda")*(Inputs!$G$5:$G$140&lt;&gt;"acoes")))*INDEX(Inputs!$K$5:$AJ$140,0,MATCH(X$2,Inputs!$K$4:$AJ$4,0)))+SUMPRODUCT((Inputs!$C$5:$C$140=$B46)*Inputs!$D$5:$D$140*(((Inputs!$G$5:$G$140="moeda")+(Inputs!$G$5:$G$140="acoes"))*Inputs!$B$1+((Inputs!$G$5:$G$140&lt;&gt;"moeda")*(Inputs!$G$5:$G$140&lt;&gt;"acoes")))*INDEX(Inputs!$K$5:$AJ$140,0,MATCH(X$2,Inputs!$K$4:$AJ$4,0)))+SUMPRODUCT((Inputs!$E$5:$E$140=$B46)*Inputs!$F$5:$F$140*(((Inputs!$G$5:$G$140="moeda")+(Inputs!$G$5:$G$140="acoes"))*Inputs!$B$1+((Inputs!$G$5:$G$140&lt;&gt;"moeda")*(Inputs!$G$5:$G$140&lt;&gt;"acoes")))*INDEX(Inputs!$K$5:$AJ$140,0,MATCH(X$2,Inputs!$K$4:$AJ$4,0)))))</f>
        <v>#N/A</v>
      </c>
      <c r="Y46" s="6" t="e">
        <f>IF(ISNA(MATCH(Y$2,Inputs!$K$4:$AJ$4,0)),NA(),IF(SUMPRODUCT((Inputs!$A$5:$A$140=$B46)*ISNUMBER(INDEX(Inputs!$K$5:$AJ$140,0,MATCH(Y$2,Inputs!$K$4:$AJ$4,0))))+SUMPRODUCT((Inputs!$C$5:$C$140=$B46)*ISNUMBER(INDEX(Inputs!$K$5:$AJ$140,0,MATCH(Y$2,Inputs!$K$4:$AJ$4,0))))+SUMPRODUCT((Inputs!$E$5:$E$140=$B46)*ISNUMBER(INDEX(Inputs!$K$5:$AJ$140,0,MATCH(Y$2,Inputs!$K$4:$AJ$4,0))))=0,NA(),SUMPRODUCT((Inputs!$A$5:$A$140=$B46)*Inputs!$B$5:$B$140*(((Inputs!$G$5:$G$140="moeda")+(Inputs!$G$5:$G$140="acoes"))*Inputs!$B$1+((Inputs!$G$5:$G$140&lt;&gt;"moeda")*(Inputs!$G$5:$G$140&lt;&gt;"acoes")))*INDEX(Inputs!$K$5:$AJ$140,0,MATCH(Y$2,Inputs!$K$4:$AJ$4,0)))+SUMPRODUCT((Inputs!$C$5:$C$140=$B46)*Inputs!$D$5:$D$140*(((Inputs!$G$5:$G$140="moeda")+(Inputs!$G$5:$G$140="acoes"))*Inputs!$B$1+((Inputs!$G$5:$G$140&lt;&gt;"moeda")*(Inputs!$G$5:$G$140&lt;&gt;"acoes")))*INDEX(Inputs!$K$5:$AJ$140,0,MATCH(Y$2,Inputs!$K$4:$AJ$4,0)))+SUMPRODUCT((Inputs!$E$5:$E$140=$B46)*Inputs!$F$5:$F$140*(((Inputs!$G$5:$G$140="moeda")+(Inputs!$G$5:$G$140="acoes"))*Inputs!$B$1+((Inputs!$G$5:$G$140&lt;&gt;"moeda")*(Inputs!$G$5:$G$140&lt;&gt;"acoes")))*INDEX(Inputs!$K$5:$AJ$140,0,MATCH(Y$2,Inputs!$K$4:$AJ$4,0)))))</f>
        <v>#N/A</v>
      </c>
      <c r="Z46" s="6" t="e">
        <f>IF(ISNA(MATCH(Z$2,Inputs!$K$4:$AJ$4,0)),NA(),IF(SUMPRODUCT((Inputs!$A$5:$A$140=$B46)*ISNUMBER(INDEX(Inputs!$K$5:$AJ$140,0,MATCH(Z$2,Inputs!$K$4:$AJ$4,0))))+SUMPRODUCT((Inputs!$C$5:$C$140=$B46)*ISNUMBER(INDEX(Inputs!$K$5:$AJ$140,0,MATCH(Z$2,Inputs!$K$4:$AJ$4,0))))+SUMPRODUCT((Inputs!$E$5:$E$140=$B46)*ISNUMBER(INDEX(Inputs!$K$5:$AJ$140,0,MATCH(Z$2,Inputs!$K$4:$AJ$4,0))))=0,NA(),SUMPRODUCT((Inputs!$A$5:$A$140=$B46)*Inputs!$B$5:$B$140*(((Inputs!$G$5:$G$140="moeda")+(Inputs!$G$5:$G$140="acoes"))*Inputs!$B$1+((Inputs!$G$5:$G$140&lt;&gt;"moeda")*(Inputs!$G$5:$G$140&lt;&gt;"acoes")))*INDEX(Inputs!$K$5:$AJ$140,0,MATCH(Z$2,Inputs!$K$4:$AJ$4,0)))+SUMPRODUCT((Inputs!$C$5:$C$140=$B46)*Inputs!$D$5:$D$140*(((Inputs!$G$5:$G$140="moeda")+(Inputs!$G$5:$G$140="acoes"))*Inputs!$B$1+((Inputs!$G$5:$G$140&lt;&gt;"moeda")*(Inputs!$G$5:$G$140&lt;&gt;"acoes")))*INDEX(Inputs!$K$5:$AJ$140,0,MATCH(Z$2,Inputs!$K$4:$AJ$4,0)))+SUMPRODUCT((Inputs!$E$5:$E$140=$B46)*Inputs!$F$5:$F$140*(((Inputs!$G$5:$G$140="moeda")+(Inputs!$G$5:$G$140="acoes"))*Inputs!$B$1+((Inputs!$G$5:$G$140&lt;&gt;"moeda")*(Inputs!$G$5:$G$140&lt;&gt;"acoes")))*INDEX(Inputs!$K$5:$AJ$140,0,MATCH(Z$2,Inputs!$K$4:$AJ$4,0)))))</f>
        <v>#N/A</v>
      </c>
      <c r="AA46" s="6" t="e">
        <f>IF(ISNA(MATCH(AA$2,Inputs!$K$4:$AJ$4,0)),NA(),IF(SUMPRODUCT((Inputs!$A$5:$A$140=$B46)*ISNUMBER(INDEX(Inputs!$K$5:$AJ$140,0,MATCH(AA$2,Inputs!$K$4:$AJ$4,0))))+SUMPRODUCT((Inputs!$C$5:$C$140=$B46)*ISNUMBER(INDEX(Inputs!$K$5:$AJ$140,0,MATCH(AA$2,Inputs!$K$4:$AJ$4,0))))+SUMPRODUCT((Inputs!$E$5:$E$140=$B46)*ISNUMBER(INDEX(Inputs!$K$5:$AJ$140,0,MATCH(AA$2,Inputs!$K$4:$AJ$4,0))))=0,NA(),SUMPRODUCT((Inputs!$A$5:$A$140=$B46)*Inputs!$B$5:$B$140*(((Inputs!$G$5:$G$140="moeda")+(Inputs!$G$5:$G$140="acoes"))*Inputs!$B$1+((Inputs!$G$5:$G$140&lt;&gt;"moeda")*(Inputs!$G$5:$G$140&lt;&gt;"acoes")))*INDEX(Inputs!$K$5:$AJ$140,0,MATCH(AA$2,Inputs!$K$4:$AJ$4,0)))+SUMPRODUCT((Inputs!$C$5:$C$140=$B46)*Inputs!$D$5:$D$140*(((Inputs!$G$5:$G$140="moeda")+(Inputs!$G$5:$G$140="acoes"))*Inputs!$B$1+((Inputs!$G$5:$G$140&lt;&gt;"moeda")*(Inputs!$G$5:$G$140&lt;&gt;"acoes")))*INDEX(Inputs!$K$5:$AJ$140,0,MATCH(AA$2,Inputs!$K$4:$AJ$4,0)))+SUMPRODUCT((Inputs!$E$5:$E$140=$B46)*Inputs!$F$5:$F$140*(((Inputs!$G$5:$G$140="moeda")+(Inputs!$G$5:$G$140="acoes"))*Inputs!$B$1+((Inputs!$G$5:$G$140&lt;&gt;"moeda")*(Inputs!$G$5:$G$140&lt;&gt;"acoes")))*INDEX(Inputs!$K$5:$AJ$140,0,MATCH(AA$2,Inputs!$K$4:$AJ$4,0)))))</f>
        <v>#N/A</v>
      </c>
      <c r="AB46" s="3" t="e">
        <f>AA46</f>
        <v>#N/A</v>
      </c>
      <c r="AC46" s="6" t="e">
        <f>IF(ISNA(MATCH(AC$2,Inputs!$K$4:$AJ$4,0)),NA(),IF(SUMPRODUCT((Inputs!$A$5:$A$140=$B46)*ISNUMBER(INDEX(Inputs!$K$5:$AJ$140,0,MATCH(AC$2,Inputs!$K$4:$AJ$4,0))))+SUMPRODUCT((Inputs!$C$5:$C$140=$B46)*ISNUMBER(INDEX(Inputs!$K$5:$AJ$140,0,MATCH(AC$2,Inputs!$K$4:$AJ$4,0))))+SUMPRODUCT((Inputs!$E$5:$E$140=$B46)*ISNUMBER(INDEX(Inputs!$K$5:$AJ$140,0,MATCH(AC$2,Inputs!$K$4:$AJ$4,0))))=0,NA(),SUMPRODUCT((Inputs!$A$5:$A$140=$B46)*Inputs!$B$5:$B$140*(((Inputs!$G$5:$G$140="moeda")+(Inputs!$G$5:$G$140="acoes"))*Inputs!$B$1+((Inputs!$G$5:$G$140&lt;&gt;"moeda")*(Inputs!$G$5:$G$140&lt;&gt;"acoes")))*INDEX(Inputs!$K$5:$AJ$140,0,MATCH(AC$2,Inputs!$K$4:$AJ$4,0)))+SUMPRODUCT((Inputs!$C$5:$C$140=$B46)*Inputs!$D$5:$D$140*(((Inputs!$G$5:$G$140="moeda")+(Inputs!$G$5:$G$140="acoes"))*Inputs!$B$1+((Inputs!$G$5:$G$140&lt;&gt;"moeda")*(Inputs!$G$5:$G$140&lt;&gt;"acoes")))*INDEX(Inputs!$K$5:$AJ$140,0,MATCH(AC$2,Inputs!$K$4:$AJ$4,0)))+SUMPRODUCT((Inputs!$E$5:$E$140=$B46)*Inputs!$F$5:$F$140*(((Inputs!$G$5:$G$140="moeda")+(Inputs!$G$5:$G$140="acoes"))*Inputs!$B$1+((Inputs!$G$5:$G$140&lt;&gt;"moeda")*(Inputs!$G$5:$G$140&lt;&gt;"acoes")))*INDEX(Inputs!$K$5:$AJ$140,0,MATCH(AC$2,Inputs!$K$4:$AJ$4,0)))))</f>
        <v>#N/A</v>
      </c>
      <c r="AD46" s="6" t="e">
        <f>IF(ISNA(MATCH(AD$2,Inputs!$K$4:$AJ$4,0)),NA(),IF(SUMPRODUCT((Inputs!$A$5:$A$140=$B46)*ISNUMBER(INDEX(Inputs!$K$5:$AJ$140,0,MATCH(AD$2,Inputs!$K$4:$AJ$4,0))))+SUMPRODUCT((Inputs!$C$5:$C$140=$B46)*ISNUMBER(INDEX(Inputs!$K$5:$AJ$140,0,MATCH(AD$2,Inputs!$K$4:$AJ$4,0))))+SUMPRODUCT((Inputs!$E$5:$E$140=$B46)*ISNUMBER(INDEX(Inputs!$K$5:$AJ$140,0,MATCH(AD$2,Inputs!$K$4:$AJ$4,0))))=0,NA(),SUMPRODUCT((Inputs!$A$5:$A$140=$B46)*Inputs!$B$5:$B$140*(((Inputs!$G$5:$G$140="moeda")+(Inputs!$G$5:$G$140="acoes"))*Inputs!$B$1+((Inputs!$G$5:$G$140&lt;&gt;"moeda")*(Inputs!$G$5:$G$140&lt;&gt;"acoes")))*INDEX(Inputs!$K$5:$AJ$140,0,MATCH(AD$2,Inputs!$K$4:$AJ$4,0)))+SUMPRODUCT((Inputs!$C$5:$C$140=$B46)*Inputs!$D$5:$D$140*(((Inputs!$G$5:$G$140="moeda")+(Inputs!$G$5:$G$140="acoes"))*Inputs!$B$1+((Inputs!$G$5:$G$140&lt;&gt;"moeda")*(Inputs!$G$5:$G$140&lt;&gt;"acoes")))*INDEX(Inputs!$K$5:$AJ$140,0,MATCH(AD$2,Inputs!$K$4:$AJ$4,0)))+SUMPRODUCT((Inputs!$E$5:$E$140=$B46)*Inputs!$F$5:$F$140*(((Inputs!$G$5:$G$140="moeda")+(Inputs!$G$5:$G$140="acoes"))*Inputs!$B$1+((Inputs!$G$5:$G$140&lt;&gt;"moeda")*(Inputs!$G$5:$G$140&lt;&gt;"acoes")))*INDEX(Inputs!$K$5:$AJ$140,0,MATCH(AD$2,Inputs!$K$4:$AJ$4,0)))))</f>
        <v>#N/A</v>
      </c>
      <c r="AE46" s="6" t="e">
        <f>IF(ISNA(MATCH(AE$2,Inputs!$K$4:$AJ$4,0)),NA(),IF(SUMPRODUCT((Inputs!$A$5:$A$140=$B46)*ISNUMBER(INDEX(Inputs!$K$5:$AJ$140,0,MATCH(AE$2,Inputs!$K$4:$AJ$4,0))))+SUMPRODUCT((Inputs!$C$5:$C$140=$B46)*ISNUMBER(INDEX(Inputs!$K$5:$AJ$140,0,MATCH(AE$2,Inputs!$K$4:$AJ$4,0))))+SUMPRODUCT((Inputs!$E$5:$E$140=$B46)*ISNUMBER(INDEX(Inputs!$K$5:$AJ$140,0,MATCH(AE$2,Inputs!$K$4:$AJ$4,0))))=0,NA(),SUMPRODUCT((Inputs!$A$5:$A$140=$B46)*Inputs!$B$5:$B$140*(((Inputs!$G$5:$G$140="moeda")+(Inputs!$G$5:$G$140="acoes"))*Inputs!$B$1+((Inputs!$G$5:$G$140&lt;&gt;"moeda")*(Inputs!$G$5:$G$140&lt;&gt;"acoes")))*INDEX(Inputs!$K$5:$AJ$140,0,MATCH(AE$2,Inputs!$K$4:$AJ$4,0)))+SUMPRODUCT((Inputs!$C$5:$C$140=$B46)*Inputs!$D$5:$D$140*(((Inputs!$G$5:$G$140="moeda")+(Inputs!$G$5:$G$140="acoes"))*Inputs!$B$1+((Inputs!$G$5:$G$140&lt;&gt;"moeda")*(Inputs!$G$5:$G$140&lt;&gt;"acoes")))*INDEX(Inputs!$K$5:$AJ$140,0,MATCH(AE$2,Inputs!$K$4:$AJ$4,0)))+SUMPRODUCT((Inputs!$E$5:$E$140=$B46)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6" s="6" t="e">
        <f>IF(ISNA(MATCH(AF$2,Inputs!$K$4:$AJ$4,0)),NA(),IF(SUMPRODUCT((Inputs!$A$5:$A$140=$B46)*ISNUMBER(INDEX(Inputs!$K$5:$AJ$140,0,MATCH(AF$2,Inputs!$K$4:$AJ$4,0))))+SUMPRODUCT((Inputs!$C$5:$C$140=$B46)*ISNUMBER(INDEX(Inputs!$K$5:$AJ$140,0,MATCH(AF$2,Inputs!$K$4:$AJ$4,0))))+SUMPRODUCT((Inputs!$E$5:$E$140=$B46)*ISNUMBER(INDEX(Inputs!$K$5:$AJ$140,0,MATCH(AF$2,Inputs!$K$4:$AJ$4,0))))=0,NA(),SUMPRODUCT((Inputs!$A$5:$A$140=$B46)*Inputs!$B$5:$B$140*(((Inputs!$G$5:$G$140="moeda")+(Inputs!$G$5:$G$140="acoes"))*Inputs!$B$1+((Inputs!$G$5:$G$140&lt;&gt;"moeda")*(Inputs!$G$5:$G$140&lt;&gt;"acoes")))*INDEX(Inputs!$K$5:$AJ$140,0,MATCH(AF$2,Inputs!$K$4:$AJ$4,0)))+SUMPRODUCT((Inputs!$C$5:$C$140=$B46)*Inputs!$D$5:$D$140*(((Inputs!$G$5:$G$140="moeda")+(Inputs!$G$5:$G$140="acoes"))*Inputs!$B$1+((Inputs!$G$5:$G$140&lt;&gt;"moeda")*(Inputs!$G$5:$G$140&lt;&gt;"acoes")))*INDEX(Inputs!$K$5:$AJ$140,0,MATCH(AF$2,Inputs!$K$4:$AJ$4,0)))+SUMPRODUCT((Inputs!$E$5:$E$140=$B46)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6" s="3" t="e">
        <f>AF46</f>
        <v>#N/A</v>
      </c>
      <c r="AH46" s="6" t="e">
        <f>IF(ISNA(MATCH(AH$2,Inputs!$K$4:$AJ$4,0)),NA(),IF(SUMPRODUCT((Inputs!$A$5:$A$140=$B46)*ISNUMBER(INDEX(Inputs!$K$5:$AJ$140,0,MATCH(AH$2,Inputs!$K$4:$AJ$4,0))))+SUMPRODUCT((Inputs!$C$5:$C$140=$B46)*ISNUMBER(INDEX(Inputs!$K$5:$AJ$140,0,MATCH(AH$2,Inputs!$K$4:$AJ$4,0))))+SUMPRODUCT((Inputs!$E$5:$E$140=$B46)*ISNUMBER(INDEX(Inputs!$K$5:$AJ$140,0,MATCH(AH$2,Inputs!$K$4:$AJ$4,0))))=0,NA(),SUMPRODUCT((Inputs!$A$5:$A$140=$B46)*Inputs!$B$5:$B$140*(((Inputs!$G$5:$G$140="moeda")+(Inputs!$G$5:$G$140="acoes"))*Inputs!$B$1+((Inputs!$G$5:$G$140&lt;&gt;"moeda")*(Inputs!$G$5:$G$140&lt;&gt;"acoes")))*INDEX(Inputs!$K$5:$AJ$140,0,MATCH(AH$2,Inputs!$K$4:$AJ$4,0)))+SUMPRODUCT((Inputs!$C$5:$C$140=$B46)*Inputs!$D$5:$D$140*(((Inputs!$G$5:$G$140="moeda")+(Inputs!$G$5:$G$140="acoes"))*Inputs!$B$1+((Inputs!$G$5:$G$140&lt;&gt;"moeda")*(Inputs!$G$5:$G$140&lt;&gt;"acoes")))*INDEX(Inputs!$K$5:$AJ$140,0,MATCH(AH$2,Inputs!$K$4:$AJ$4,0)))+SUMPRODUCT((Inputs!$E$5:$E$140=$B46)*Inputs!$F$5:$F$140*(((Inputs!$G$5:$G$140="moeda")+(Inputs!$G$5:$G$140="acoes"))*Inputs!$B$1+((Inputs!$G$5:$G$140&lt;&gt;"moeda")*(Inputs!$G$5:$G$140&lt;&gt;"acoes")))*INDEX(Inputs!$K$5:$AJ$140,0,MATCH(AH$2,Inputs!$K$4:$AJ$4,0)))))</f>
        <v>#N/A</v>
      </c>
      <c r="AI46" s="6" t="e">
        <f>IF(ISNA(MATCH(AI$2,Inputs!$K$4:$AJ$4,0)),NA(),IF(SUMPRODUCT((Inputs!$A$5:$A$140=$B46)*ISNUMBER(INDEX(Inputs!$K$5:$AJ$140,0,MATCH(AI$2,Inputs!$K$4:$AJ$4,0))))+SUMPRODUCT((Inputs!$C$5:$C$140=$B46)*ISNUMBER(INDEX(Inputs!$K$5:$AJ$140,0,MATCH(AI$2,Inputs!$K$4:$AJ$4,0))))+SUMPRODUCT((Inputs!$E$5:$E$140=$B46)*ISNUMBER(INDEX(Inputs!$K$5:$AJ$140,0,MATCH(AI$2,Inputs!$K$4:$AJ$4,0))))=0,NA(),SUMPRODUCT((Inputs!$A$5:$A$140=$B46)*Inputs!$B$5:$B$140*(((Inputs!$G$5:$G$140="moeda")+(Inputs!$G$5:$G$140="acoes"))*Inputs!$B$1+((Inputs!$G$5:$G$140&lt;&gt;"moeda")*(Inputs!$G$5:$G$140&lt;&gt;"acoes")))*INDEX(Inputs!$K$5:$AJ$140,0,MATCH(AI$2,Inputs!$K$4:$AJ$4,0)))+SUMPRODUCT((Inputs!$C$5:$C$140=$B46)*Inputs!$D$5:$D$140*(((Inputs!$G$5:$G$140="moeda")+(Inputs!$G$5:$G$140="acoes"))*Inputs!$B$1+((Inputs!$G$5:$G$140&lt;&gt;"moeda")*(Inputs!$G$5:$G$140&lt;&gt;"acoes")))*INDEX(Inputs!$K$5:$AJ$140,0,MATCH(AI$2,Inputs!$K$4:$AJ$4,0)))+SUMPRODUCT((Inputs!$E$5:$E$140=$B46)*Inputs!$F$5:$F$140*(((Inputs!$G$5:$G$140="moeda")+(Inputs!$G$5:$G$140="acoes"))*Inputs!$B$1+((Inputs!$G$5:$G$140&lt;&gt;"moeda")*(Inputs!$G$5:$G$140&lt;&gt;"acoes")))*INDEX(Inputs!$K$5:$AJ$140,0,MATCH(AI$2,Inputs!$K$4:$AJ$4,0)))))</f>
        <v>#N/A</v>
      </c>
      <c r="AJ46" s="6" t="e">
        <f>IF(ISNA(MATCH(AJ$2,Inputs!$K$4:$AJ$4,0)),NA(),IF(SUMPRODUCT((Inputs!$A$5:$A$140=$B46)*ISNUMBER(INDEX(Inputs!$K$5:$AJ$140,0,MATCH(AJ$2,Inputs!$K$4:$AJ$4,0))))+SUMPRODUCT((Inputs!$C$5:$C$140=$B46)*ISNUMBER(INDEX(Inputs!$K$5:$AJ$140,0,MATCH(AJ$2,Inputs!$K$4:$AJ$4,0))))+SUMPRODUCT((Inputs!$E$5:$E$140=$B46)*ISNUMBER(INDEX(Inputs!$K$5:$AJ$140,0,MATCH(AJ$2,Inputs!$K$4:$AJ$4,0))))=0,NA(),SUMPRODUCT((Inputs!$A$5:$A$140=$B46)*Inputs!$B$5:$B$140*(((Inputs!$G$5:$G$140="moeda")+(Inputs!$G$5:$G$140="acoes"))*Inputs!$B$1+((Inputs!$G$5:$G$140&lt;&gt;"moeda")*(Inputs!$G$5:$G$140&lt;&gt;"acoes")))*INDEX(Inputs!$K$5:$AJ$140,0,MATCH(AJ$2,Inputs!$K$4:$AJ$4,0)))+SUMPRODUCT((Inputs!$C$5:$C$140=$B46)*Inputs!$D$5:$D$140*(((Inputs!$G$5:$G$140="moeda")+(Inputs!$G$5:$G$140="acoes"))*Inputs!$B$1+((Inputs!$G$5:$G$140&lt;&gt;"moeda")*(Inputs!$G$5:$G$140&lt;&gt;"acoes")))*INDEX(Inputs!$K$5:$AJ$140,0,MATCH(AJ$2,Inputs!$K$4:$AJ$4,0)))+SUMPRODUCT((Inputs!$E$5:$E$140=$B46)*Inputs!$F$5:$F$140*(((Inputs!$G$5:$G$140="moeda")+(Inputs!$G$5:$G$140="acoes"))*Inputs!$B$1+((Inputs!$G$5:$G$140&lt;&gt;"moeda")*(Inputs!$G$5:$G$140&lt;&gt;"acoes")))*INDEX(Inputs!$K$5:$AJ$140,0,MATCH(AJ$2,Inputs!$K$4:$AJ$4,0)))))</f>
        <v>#N/A</v>
      </c>
      <c r="AK46" s="6" t="e">
        <f>IF(ISNA(MATCH(AK$2,Inputs!$K$4:$AJ$4,0)),NA(),IF(SUMPRODUCT((Inputs!$A$5:$A$140=$B46)*ISNUMBER(INDEX(Inputs!$K$5:$AJ$140,0,MATCH(AK$2,Inputs!$K$4:$AJ$4,0))))+SUMPRODUCT((Inputs!$C$5:$C$140=$B46)*ISNUMBER(INDEX(Inputs!$K$5:$AJ$140,0,MATCH(AK$2,Inputs!$K$4:$AJ$4,0))))+SUMPRODUCT((Inputs!$E$5:$E$140=$B46)*ISNUMBER(INDEX(Inputs!$K$5:$AJ$140,0,MATCH(AK$2,Inputs!$K$4:$AJ$4,0))))=0,NA(),SUMPRODUCT((Inputs!$A$5:$A$140=$B46)*Inputs!$B$5:$B$140*(((Inputs!$G$5:$G$140="moeda")+(Inputs!$G$5:$G$140="acoes"))*Inputs!$B$1+((Inputs!$G$5:$G$140&lt;&gt;"moeda")*(Inputs!$G$5:$G$140&lt;&gt;"acoes")))*INDEX(Inputs!$K$5:$AJ$140,0,MATCH(AK$2,Inputs!$K$4:$AJ$4,0)))+SUMPRODUCT((Inputs!$C$5:$C$140=$B46)*Inputs!$D$5:$D$140*(((Inputs!$G$5:$G$140="moeda")+(Inputs!$G$5:$G$140="acoes"))*Inputs!$B$1+((Inputs!$G$5:$G$140&lt;&gt;"moeda")*(Inputs!$G$5:$G$140&lt;&gt;"acoes")))*INDEX(Inputs!$K$5:$AJ$140,0,MATCH(AK$2,Inputs!$K$4:$AJ$4,0)))+SUMPRODUCT((Inputs!$E$5:$E$140=$B46)*Inputs!$F$5:$F$140*(((Inputs!$G$5:$G$140="moeda")+(Inputs!$G$5:$G$140="acoes"))*Inputs!$B$1+((Inputs!$G$5:$G$140&lt;&gt;"moeda")*(Inputs!$G$5:$G$140&lt;&gt;"acoes")))*INDEX(Inputs!$K$5:$AJ$140,0,MATCH(AK$2,Inputs!$K$4:$AJ$4,0)))))</f>
        <v>#N/A</v>
      </c>
      <c r="AL46" s="3" t="e">
        <f>AK46</f>
        <v>#N/A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$140=$B47)*ISNUMBER(INDEX(Inputs!$K$5:$AJ$140,0,MATCH(D$2,Inputs!$K$4:$AJ$4,0))))+SUMPRODUCT((Inputs!$C$5:$C$140=$B47)*ISNUMBER(INDEX(Inputs!$K$5:$AJ$140,0,MATCH(D$2,Inputs!$K$4:$AJ$4,0))))+SUMPRODUCT((Inputs!$E$5:$E$140=$B47)*ISNUMBER(INDEX(Inputs!$K$5:$AJ$140,0,MATCH(D$2,Inputs!$K$4:$AJ$4,0))))=0,NA(),SUMPRODUCT((Inputs!$A$5:$A$140=$B47)*Inputs!$B$5:$B$140*(((Inputs!$G$5:$G$140="moeda")+(Inputs!$G$5:$G$140="acoes"))*Inputs!$B$1+((Inputs!$G$5:$G$140&lt;&gt;"moeda")*(Inputs!$G$5:$G$140&lt;&gt;"acoes")))*INDEX(Inputs!$K$5:$AJ$140,0,MATCH(D$2,Inputs!$K$4:$AJ$4,0)))+SUMPRODUCT((Inputs!$C$5:$C$140=$B47)*Inputs!$D$5:$D$140*(((Inputs!$G$5:$G$140="moeda")+(Inputs!$G$5:$G$140="acoes"))*Inputs!$B$1+((Inputs!$G$5:$G$140&lt;&gt;"moeda")*(Inputs!$G$5:$G$140&lt;&gt;"acoes")))*INDEX(Inputs!$K$5:$AJ$140,0,MATCH(D$2,Inputs!$K$4:$AJ$4,0)))+SUMPRODUCT((Inputs!$E$5:$E$140=$B47)*Inputs!$F$5:$F$140*(((Inputs!$G$5:$G$140="moeda")+(Inputs!$G$5:$G$140="acoes"))*Inputs!$B$1+((Inputs!$G$5:$G$140&lt;&gt;"moeda")*(Inputs!$G$5:$G$140&lt;&gt;"acoes")))*INDEX(Inputs!$K$5:$AJ$140,0,MATCH(D$2,Inputs!$K$4:$AJ$4,0)))))</f>
        <v>230.805</v>
      </c>
      <c r="E47" s="6">
        <f>IF(ISNA(MATCH(E$2,Inputs!$K$4:$AJ$4,0)),NA(),IF(SUMPRODUCT((Inputs!$A$5:$A$140=$B47)*ISNUMBER(INDEX(Inputs!$K$5:$AJ$140,0,MATCH(E$2,Inputs!$K$4:$AJ$4,0))))+SUMPRODUCT((Inputs!$C$5:$C$140=$B47)*ISNUMBER(INDEX(Inputs!$K$5:$AJ$140,0,MATCH(E$2,Inputs!$K$4:$AJ$4,0))))+SUMPRODUCT((Inputs!$E$5:$E$140=$B47)*ISNUMBER(INDEX(Inputs!$K$5:$AJ$140,0,MATCH(E$2,Inputs!$K$4:$AJ$4,0))))=0,NA(),SUMPRODUCT((Inputs!$A$5:$A$140=$B47)*Inputs!$B$5:$B$140*(((Inputs!$G$5:$G$140="moeda")+(Inputs!$G$5:$G$140="acoes"))*Inputs!$B$1+((Inputs!$G$5:$G$140&lt;&gt;"moeda")*(Inputs!$G$5:$G$140&lt;&gt;"acoes")))*INDEX(Inputs!$K$5:$AJ$140,0,MATCH(E$2,Inputs!$K$4:$AJ$4,0)))+SUMPRODUCT((Inputs!$C$5:$C$140=$B47)*Inputs!$D$5:$D$140*(((Inputs!$G$5:$G$140="moeda")+(Inputs!$G$5:$G$140="acoes"))*Inputs!$B$1+((Inputs!$G$5:$G$140&lt;&gt;"moeda")*(Inputs!$G$5:$G$140&lt;&gt;"acoes")))*INDEX(Inputs!$K$5:$AJ$140,0,MATCH(E$2,Inputs!$K$4:$AJ$4,0)))+SUMPRODUCT((Inputs!$E$5:$E$140=$B47)*Inputs!$F$5:$F$140*(((Inputs!$G$5:$G$140="moeda")+(Inputs!$G$5:$G$140="acoes"))*Inputs!$B$1+((Inputs!$G$5:$G$140&lt;&gt;"moeda")*(Inputs!$G$5:$G$140&lt;&gt;"acoes")))*INDEX(Inputs!$K$5:$AJ$140,0,MATCH(E$2,Inputs!$K$4:$AJ$4,0)))))</f>
        <v>232.601</v>
      </c>
      <c r="F47" s="6">
        <f>IF(ISNA(MATCH(F$2,Inputs!$K$4:$AJ$4,0)),NA(),IF(SUMPRODUCT((Inputs!$A$5:$A$140=$B47)*ISNUMBER(INDEX(Inputs!$K$5:$AJ$140,0,MATCH(F$2,Inputs!$K$4:$AJ$4,0))))+SUMPRODUCT((Inputs!$C$5:$C$140=$B47)*ISNUMBER(INDEX(Inputs!$K$5:$AJ$140,0,MATCH(F$2,Inputs!$K$4:$AJ$4,0))))+SUMPRODUCT((Inputs!$E$5:$E$140=$B47)*ISNUMBER(INDEX(Inputs!$K$5:$AJ$140,0,MATCH(F$2,Inputs!$K$4:$AJ$4,0))))=0,NA(),SUMPRODUCT((Inputs!$A$5:$A$140=$B47)*Inputs!$B$5:$B$140*(((Inputs!$G$5:$G$140="moeda")+(Inputs!$G$5:$G$140="acoes"))*Inputs!$B$1+((Inputs!$G$5:$G$140&lt;&gt;"moeda")*(Inputs!$G$5:$G$140&lt;&gt;"acoes")))*INDEX(Inputs!$K$5:$AJ$140,0,MATCH(F$2,Inputs!$K$4:$AJ$4,0)))+SUMPRODUCT((Inputs!$C$5:$C$140=$B47)*Inputs!$D$5:$D$140*(((Inputs!$G$5:$G$140="moeda")+(Inputs!$G$5:$G$140="acoes"))*Inputs!$B$1+((Inputs!$G$5:$G$140&lt;&gt;"moeda")*(Inputs!$G$5:$G$140&lt;&gt;"acoes")))*INDEX(Inputs!$K$5:$AJ$140,0,MATCH(F$2,Inputs!$K$4:$AJ$4,0)))+SUMPRODUCT((Inputs!$E$5:$E$140=$B47)*Inputs!$F$5:$F$140*(((Inputs!$G$5:$G$140="moeda")+(Inputs!$G$5:$G$140="acoes"))*Inputs!$B$1+((Inputs!$G$5:$G$140&lt;&gt;"moeda")*(Inputs!$G$5:$G$140&lt;&gt;"acoes")))*INDEX(Inputs!$K$5:$AJ$140,0,MATCH(F$2,Inputs!$K$4:$AJ$4,0)))))</f>
        <v>300.006</v>
      </c>
      <c r="G47" s="6">
        <f>IF(ISNA(MATCH(G$2,Inputs!$K$4:$AJ$4,0)),NA(),IF(SUMPRODUCT((Inputs!$A$5:$A$140=$B47)*ISNUMBER(INDEX(Inputs!$K$5:$AJ$140,0,MATCH(G$2,Inputs!$K$4:$AJ$4,0))))+SUMPRODUCT((Inputs!$C$5:$C$140=$B47)*ISNUMBER(INDEX(Inputs!$K$5:$AJ$140,0,MATCH(G$2,Inputs!$K$4:$AJ$4,0))))+SUMPRODUCT((Inputs!$E$5:$E$140=$B47)*ISNUMBER(INDEX(Inputs!$K$5:$AJ$140,0,MATCH(G$2,Inputs!$K$4:$AJ$4,0))))=0,NA(),SUMPRODUCT((Inputs!$A$5:$A$140=$B47)*Inputs!$B$5:$B$140*(((Inputs!$G$5:$G$140="moeda")+(Inputs!$G$5:$G$140="acoes"))*Inputs!$B$1+((Inputs!$G$5:$G$140&lt;&gt;"moeda")*(Inputs!$G$5:$G$140&lt;&gt;"acoes")))*INDEX(Inputs!$K$5:$AJ$140,0,MATCH(G$2,Inputs!$K$4:$AJ$4,0)))+SUMPRODUCT((Inputs!$C$5:$C$140=$B47)*Inputs!$D$5:$D$140*(((Inputs!$G$5:$G$140="moeda")+(Inputs!$G$5:$G$140="acoes"))*Inputs!$B$1+((Inputs!$G$5:$G$140&lt;&gt;"moeda")*(Inputs!$G$5:$G$140&lt;&gt;"acoes")))*INDEX(Inputs!$K$5:$AJ$140,0,MATCH(G$2,Inputs!$K$4:$AJ$4,0)))+SUMPRODUCT((Inputs!$E$5:$E$140=$B47)*Inputs!$F$5:$F$140*(((Inputs!$G$5:$G$140="moeda")+(Inputs!$G$5:$G$140="acoes"))*Inputs!$B$1+((Inputs!$G$5:$G$140&lt;&gt;"moeda")*(Inputs!$G$5:$G$140&lt;&gt;"acoes")))*INDEX(Inputs!$K$5:$AJ$140,0,MATCH(G$2,Inputs!$K$4:$AJ$4,0)))))</f>
        <v>282.567</v>
      </c>
      <c r="H47" s="3">
        <f>G47</f>
        <v>282.567</v>
      </c>
      <c r="I47" s="6">
        <f>IF(ISNA(MATCH(I$2,Inputs!$K$4:$AJ$4,0)),NA(),IF(SUMPRODUCT((Inputs!$A$5:$A$140=$B47)*ISNUMBER(INDEX(Inputs!$K$5:$AJ$140,0,MATCH(I$2,Inputs!$K$4:$AJ$4,0))))+SUMPRODUCT((Inputs!$C$5:$C$140=$B47)*ISNUMBER(INDEX(Inputs!$K$5:$AJ$140,0,MATCH(I$2,Inputs!$K$4:$AJ$4,0))))+SUMPRODUCT((Inputs!$E$5:$E$140=$B47)*ISNUMBER(INDEX(Inputs!$K$5:$AJ$140,0,MATCH(I$2,Inputs!$K$4:$AJ$4,0))))=0,NA(),SUMPRODUCT((Inputs!$A$5:$A$140=$B47)*Inputs!$B$5:$B$140*(((Inputs!$G$5:$G$140="moeda")+(Inputs!$G$5:$G$140="acoes"))*Inputs!$B$1+((Inputs!$G$5:$G$140&lt;&gt;"moeda")*(Inputs!$G$5:$G$140&lt;&gt;"acoes")))*INDEX(Inputs!$K$5:$AJ$140,0,MATCH(I$2,Inputs!$K$4:$AJ$4,0)))+SUMPRODUCT((Inputs!$C$5:$C$140=$B47)*Inputs!$D$5:$D$140*(((Inputs!$G$5:$G$140="moeda")+(Inputs!$G$5:$G$140="acoes"))*Inputs!$B$1+((Inputs!$G$5:$G$140&lt;&gt;"moeda")*(Inputs!$G$5:$G$140&lt;&gt;"acoes")))*INDEX(Inputs!$K$5:$AJ$140,0,MATCH(I$2,Inputs!$K$4:$AJ$4,0)))+SUMPRODUCT((Inputs!$E$5:$E$140=$B47)*Inputs!$F$5:$F$140*(((Inputs!$G$5:$G$140="moeda")+(Inputs!$G$5:$G$140="acoes"))*Inputs!$B$1+((Inputs!$G$5:$G$140&lt;&gt;"moeda")*(Inputs!$G$5:$G$140&lt;&gt;"acoes")))*INDEX(Inputs!$K$5:$AJ$140,0,MATCH(I$2,Inputs!$K$4:$AJ$4,0)))))</f>
        <v>344.47</v>
      </c>
      <c r="J47" s="6">
        <f>IF(ISNA(MATCH(J$2,Inputs!$K$4:$AJ$4,0)),NA(),IF(SUMPRODUCT((Inputs!$A$5:$A$140=$B47)*ISNUMBER(INDEX(Inputs!$K$5:$AJ$140,0,MATCH(J$2,Inputs!$K$4:$AJ$4,0))))+SUMPRODUCT((Inputs!$C$5:$C$140=$B47)*ISNUMBER(INDEX(Inputs!$K$5:$AJ$140,0,MATCH(J$2,Inputs!$K$4:$AJ$4,0))))+SUMPRODUCT((Inputs!$E$5:$E$140=$B47)*ISNUMBER(INDEX(Inputs!$K$5:$AJ$140,0,MATCH(J$2,Inputs!$K$4:$AJ$4,0))))=0,NA(),SUMPRODUCT((Inputs!$A$5:$A$140=$B47)*Inputs!$B$5:$B$140*(((Inputs!$G$5:$G$140="moeda")+(Inputs!$G$5:$G$140="acoes"))*Inputs!$B$1+((Inputs!$G$5:$G$140&lt;&gt;"moeda")*(Inputs!$G$5:$G$140&lt;&gt;"acoes")))*INDEX(Inputs!$K$5:$AJ$140,0,MATCH(J$2,Inputs!$K$4:$AJ$4,0)))+SUMPRODUCT((Inputs!$C$5:$C$140=$B47)*Inputs!$D$5:$D$140*(((Inputs!$G$5:$G$140="moeda")+(Inputs!$G$5:$G$140="acoes"))*Inputs!$B$1+((Inputs!$G$5:$G$140&lt;&gt;"moeda")*(Inputs!$G$5:$G$140&lt;&gt;"acoes")))*INDEX(Inputs!$K$5:$AJ$140,0,MATCH(J$2,Inputs!$K$4:$AJ$4,0)))+SUMPRODUCT((Inputs!$E$5:$E$140=$B47)*Inputs!$F$5:$F$140*(((Inputs!$G$5:$G$140="moeda")+(Inputs!$G$5:$G$140="acoes"))*Inputs!$B$1+((Inputs!$G$5:$G$140&lt;&gt;"moeda")*(Inputs!$G$5:$G$140&lt;&gt;"acoes")))*INDEX(Inputs!$K$5:$AJ$140,0,MATCH(J$2,Inputs!$K$4:$AJ$4,0)))))</f>
        <v>351.986</v>
      </c>
      <c r="K47" s="6">
        <f>IF(ISNA(MATCH(K$2,Inputs!$K$4:$AJ$4,0)),NA(),IF(SUMPRODUCT((Inputs!$A$5:$A$140=$B47)*ISNUMBER(INDEX(Inputs!$K$5:$AJ$140,0,MATCH(K$2,Inputs!$K$4:$AJ$4,0))))+SUMPRODUCT((Inputs!$C$5:$C$140=$B47)*ISNUMBER(INDEX(Inputs!$K$5:$AJ$140,0,MATCH(K$2,Inputs!$K$4:$AJ$4,0))))+SUMPRODUCT((Inputs!$E$5:$E$140=$B47)*ISNUMBER(INDEX(Inputs!$K$5:$AJ$140,0,MATCH(K$2,Inputs!$K$4:$AJ$4,0))))=0,NA(),SUMPRODUCT((Inputs!$A$5:$A$140=$B47)*Inputs!$B$5:$B$140*(((Inputs!$G$5:$G$140="moeda")+(Inputs!$G$5:$G$140="acoes"))*Inputs!$B$1+((Inputs!$G$5:$G$140&lt;&gt;"moeda")*(Inputs!$G$5:$G$140&lt;&gt;"acoes")))*INDEX(Inputs!$K$5:$AJ$140,0,MATCH(K$2,Inputs!$K$4:$AJ$4,0)))+SUMPRODUCT((Inputs!$C$5:$C$140=$B47)*Inputs!$D$5:$D$140*(((Inputs!$G$5:$G$140="moeda")+(Inputs!$G$5:$G$140="acoes"))*Inputs!$B$1+((Inputs!$G$5:$G$140&lt;&gt;"moeda")*(Inputs!$G$5:$G$140&lt;&gt;"acoes")))*INDEX(Inputs!$K$5:$AJ$140,0,MATCH(K$2,Inputs!$K$4:$AJ$4,0)))+SUMPRODUCT((Inputs!$E$5:$E$140=$B47)*Inputs!$F$5:$F$140*(((Inputs!$G$5:$G$140="moeda")+(Inputs!$G$5:$G$140="acoes"))*Inputs!$B$1+((Inputs!$G$5:$G$140&lt;&gt;"moeda")*(Inputs!$G$5:$G$140&lt;&gt;"acoes")))*INDEX(Inputs!$K$5:$AJ$140,0,MATCH(K$2,Inputs!$K$4:$AJ$4,0)))))</f>
        <v>441.858</v>
      </c>
      <c r="L47" s="6">
        <f>IF(ISNA(MATCH(L$2,Inputs!$K$4:$AJ$4,0)),NA(),IF(SUMPRODUCT((Inputs!$A$5:$A$140=$B47)*ISNUMBER(INDEX(Inputs!$K$5:$AJ$140,0,MATCH(L$2,Inputs!$K$4:$AJ$4,0))))+SUMPRODUCT((Inputs!$C$5:$C$140=$B47)*ISNUMBER(INDEX(Inputs!$K$5:$AJ$140,0,MATCH(L$2,Inputs!$K$4:$AJ$4,0))))+SUMPRODUCT((Inputs!$E$5:$E$140=$B47)*ISNUMBER(INDEX(Inputs!$K$5:$AJ$140,0,MATCH(L$2,Inputs!$K$4:$AJ$4,0))))=0,NA(),SUMPRODUCT((Inputs!$A$5:$A$140=$B47)*Inputs!$B$5:$B$140*(((Inputs!$G$5:$G$140="moeda")+(Inputs!$G$5:$G$140="acoes"))*Inputs!$B$1+((Inputs!$G$5:$G$140&lt;&gt;"moeda")*(Inputs!$G$5:$G$140&lt;&gt;"acoes")))*INDEX(Inputs!$K$5:$AJ$140,0,MATCH(L$2,Inputs!$K$4:$AJ$4,0)))+SUMPRODUCT((Inputs!$C$5:$C$140=$B47)*Inputs!$D$5:$D$140*(((Inputs!$G$5:$G$140="moeda")+(Inputs!$G$5:$G$140="acoes"))*Inputs!$B$1+((Inputs!$G$5:$G$140&lt;&gt;"moeda")*(Inputs!$G$5:$G$140&lt;&gt;"acoes")))*INDEX(Inputs!$K$5:$AJ$140,0,MATCH(L$2,Inputs!$K$4:$AJ$4,0)))+SUMPRODUCT((Inputs!$E$5:$E$140=$B47)*Inputs!$F$5:$F$140*(((Inputs!$G$5:$G$140="moeda")+(Inputs!$G$5:$G$140="acoes"))*Inputs!$B$1+((Inputs!$G$5:$G$140&lt;&gt;"moeda")*(Inputs!$G$5:$G$140&lt;&gt;"acoes")))*INDEX(Inputs!$K$5:$AJ$140,0,MATCH(L$2,Inputs!$K$4:$AJ$4,0)))))</f>
        <v>455.295</v>
      </c>
      <c r="M47" s="3">
        <f>L47</f>
        <v>455.295</v>
      </c>
      <c r="N47" s="6">
        <f>IF(ISNA(MATCH(N$2,Inputs!$K$4:$AJ$4,0)),NA(),IF(SUMPRODUCT((Inputs!$A$5:$A$140=$B47)*ISNUMBER(INDEX(Inputs!$K$5:$AJ$140,0,MATCH(N$2,Inputs!$K$4:$AJ$4,0))))+SUMPRODUCT((Inputs!$C$5:$C$140=$B47)*ISNUMBER(INDEX(Inputs!$K$5:$AJ$140,0,MATCH(N$2,Inputs!$K$4:$AJ$4,0))))+SUMPRODUCT((Inputs!$E$5:$E$140=$B47)*ISNUMBER(INDEX(Inputs!$K$5:$AJ$140,0,MATCH(N$2,Inputs!$K$4:$AJ$4,0))))=0,NA(),SUMPRODUCT((Inputs!$A$5:$A$140=$B47)*Inputs!$B$5:$B$140*(((Inputs!$G$5:$G$140="moeda")+(Inputs!$G$5:$G$140="acoes"))*Inputs!$B$1+((Inputs!$G$5:$G$140&lt;&gt;"moeda")*(Inputs!$G$5:$G$140&lt;&gt;"acoes")))*INDEX(Inputs!$K$5:$AJ$140,0,MATCH(N$2,Inputs!$K$4:$AJ$4,0)))+SUMPRODUCT((Inputs!$C$5:$C$140=$B47)*Inputs!$D$5:$D$140*(((Inputs!$G$5:$G$140="moeda")+(Inputs!$G$5:$G$140="acoes"))*Inputs!$B$1+((Inputs!$G$5:$G$140&lt;&gt;"moeda")*(Inputs!$G$5:$G$140&lt;&gt;"acoes")))*INDEX(Inputs!$K$5:$AJ$140,0,MATCH(N$2,Inputs!$K$4:$AJ$4,0)))+SUMPRODUCT((Inputs!$E$5:$E$140=$B47)*Inputs!$F$5:$F$140*(((Inputs!$G$5:$G$140="moeda")+(Inputs!$G$5:$G$140="acoes"))*Inputs!$B$1+((Inputs!$G$5:$G$140&lt;&gt;"moeda")*(Inputs!$G$5:$G$140&lt;&gt;"acoes")))*INDEX(Inputs!$K$5:$AJ$140,0,MATCH(N$2,Inputs!$K$4:$AJ$4,0)))))</f>
        <v>547.144</v>
      </c>
      <c r="O47" s="6">
        <f>IF(ISNA(MATCH(O$2,Inputs!$K$4:$AJ$4,0)),NA(),IF(SUMPRODUCT((Inputs!$A$5:$A$140=$B47)*ISNUMBER(INDEX(Inputs!$K$5:$AJ$140,0,MATCH(O$2,Inputs!$K$4:$AJ$4,0))))+SUMPRODUCT((Inputs!$C$5:$C$140=$B47)*ISNUMBER(INDEX(Inputs!$K$5:$AJ$140,0,MATCH(O$2,Inputs!$K$4:$AJ$4,0))))+SUMPRODUCT((Inputs!$E$5:$E$140=$B47)*ISNUMBER(INDEX(Inputs!$K$5:$AJ$140,0,MATCH(O$2,Inputs!$K$4:$AJ$4,0))))=0,NA(),SUMPRODUCT((Inputs!$A$5:$A$140=$B47)*Inputs!$B$5:$B$140*(((Inputs!$G$5:$G$140="moeda")+(Inputs!$G$5:$G$140="acoes"))*Inputs!$B$1+((Inputs!$G$5:$G$140&lt;&gt;"moeda")*(Inputs!$G$5:$G$140&lt;&gt;"acoes")))*INDEX(Inputs!$K$5:$AJ$140,0,MATCH(O$2,Inputs!$K$4:$AJ$4,0)))+SUMPRODUCT((Inputs!$C$5:$C$140=$B47)*Inputs!$D$5:$D$140*(((Inputs!$G$5:$G$140="moeda")+(Inputs!$G$5:$G$140="acoes"))*Inputs!$B$1+((Inputs!$G$5:$G$140&lt;&gt;"moeda")*(Inputs!$G$5:$G$140&lt;&gt;"acoes")))*INDEX(Inputs!$K$5:$AJ$140,0,MATCH(O$2,Inputs!$K$4:$AJ$4,0)))+SUMPRODUCT((Inputs!$E$5:$E$140=$B47)*Inputs!$F$5:$F$140*(((Inputs!$G$5:$G$140="moeda")+(Inputs!$G$5:$G$140="acoes"))*Inputs!$B$1+((Inputs!$G$5:$G$140&lt;&gt;"moeda")*(Inputs!$G$5:$G$140&lt;&gt;"acoes")))*INDEX(Inputs!$K$5:$AJ$140,0,MATCH(O$2,Inputs!$K$4:$AJ$4,0)))))</f>
        <v>668.517</v>
      </c>
      <c r="P47" s="6">
        <f>IF(ISNA(MATCH(P$2,Inputs!$K$4:$AJ$4,0)),NA(),IF(SUMPRODUCT((Inputs!$A$5:$A$140=$B47)*ISNUMBER(INDEX(Inputs!$K$5:$AJ$140,0,MATCH(P$2,Inputs!$K$4:$AJ$4,0))))+SUMPRODUCT((Inputs!$C$5:$C$140=$B47)*ISNUMBER(INDEX(Inputs!$K$5:$AJ$140,0,MATCH(P$2,Inputs!$K$4:$AJ$4,0))))+SUMPRODUCT((Inputs!$E$5:$E$140=$B47)*ISNUMBER(INDEX(Inputs!$K$5:$AJ$140,0,MATCH(P$2,Inputs!$K$4:$AJ$4,0))))=0,NA(),SUMPRODUCT((Inputs!$A$5:$A$140=$B47)*Inputs!$B$5:$B$140*(((Inputs!$G$5:$G$140="moeda")+(Inputs!$G$5:$G$140="acoes"))*Inputs!$B$1+((Inputs!$G$5:$G$140&lt;&gt;"moeda")*(Inputs!$G$5:$G$140&lt;&gt;"acoes")))*INDEX(Inputs!$K$5:$AJ$140,0,MATCH(P$2,Inputs!$K$4:$AJ$4,0)))+SUMPRODUCT((Inputs!$C$5:$C$140=$B47)*Inputs!$D$5:$D$140*(((Inputs!$G$5:$G$140="moeda")+(Inputs!$G$5:$G$140="acoes"))*Inputs!$B$1+((Inputs!$G$5:$G$140&lt;&gt;"moeda")*(Inputs!$G$5:$G$140&lt;&gt;"acoes")))*INDEX(Inputs!$K$5:$AJ$140,0,MATCH(P$2,Inputs!$K$4:$AJ$4,0)))+SUMPRODUCT((Inputs!$E$5:$E$140=$B47)*Inputs!$F$5:$F$140*(((Inputs!$G$5:$G$140="moeda")+(Inputs!$G$5:$G$140="acoes"))*Inputs!$B$1+((Inputs!$G$5:$G$140&lt;&gt;"moeda")*(Inputs!$G$5:$G$140&lt;&gt;"acoes")))*INDEX(Inputs!$K$5:$AJ$140,0,MATCH(P$2,Inputs!$K$4:$AJ$4,0)))))</f>
        <v>626.737</v>
      </c>
      <c r="Q47" s="6">
        <f>IF(ISNA(MATCH(Q$2,Inputs!$K$4:$AJ$4,0)),NA(),IF(SUMPRODUCT((Inputs!$A$5:$A$140=$B47)*ISNUMBER(INDEX(Inputs!$K$5:$AJ$140,0,MATCH(Q$2,Inputs!$K$4:$AJ$4,0))))+SUMPRODUCT((Inputs!$C$5:$C$140=$B47)*ISNUMBER(INDEX(Inputs!$K$5:$AJ$140,0,MATCH(Q$2,Inputs!$K$4:$AJ$4,0))))+SUMPRODUCT((Inputs!$E$5:$E$140=$B47)*ISNUMBER(INDEX(Inputs!$K$5:$AJ$140,0,MATCH(Q$2,Inputs!$K$4:$AJ$4,0))))=0,NA(),SUMPRODUCT((Inputs!$A$5:$A$140=$B47)*Inputs!$B$5:$B$140*(((Inputs!$G$5:$G$140="moeda")+(Inputs!$G$5:$G$140="acoes"))*Inputs!$B$1+((Inputs!$G$5:$G$140&lt;&gt;"moeda")*(Inputs!$G$5:$G$140&lt;&gt;"acoes")))*INDEX(Inputs!$K$5:$AJ$140,0,MATCH(Q$2,Inputs!$K$4:$AJ$4,0)))+SUMPRODUCT((Inputs!$C$5:$C$140=$B47)*Inputs!$D$5:$D$140*(((Inputs!$G$5:$G$140="moeda")+(Inputs!$G$5:$G$140="acoes"))*Inputs!$B$1+((Inputs!$G$5:$G$140&lt;&gt;"moeda")*(Inputs!$G$5:$G$140&lt;&gt;"acoes")))*INDEX(Inputs!$K$5:$AJ$140,0,MATCH(Q$2,Inputs!$K$4:$AJ$4,0)))+SUMPRODUCT((Inputs!$E$5:$E$140=$B47)*Inputs!$F$5:$F$140*(((Inputs!$G$5:$G$140="moeda")+(Inputs!$G$5:$G$140="acoes"))*Inputs!$B$1+((Inputs!$G$5:$G$140&lt;&gt;"moeda")*(Inputs!$G$5:$G$140&lt;&gt;"acoes")))*INDEX(Inputs!$K$5:$AJ$140,0,MATCH(Q$2,Inputs!$K$4:$AJ$4,0)))))</f>
        <v>568.523</v>
      </c>
      <c r="R47" s="3">
        <f>Q47</f>
        <v>568.523</v>
      </c>
      <c r="S47" s="6">
        <f>IF(ISNA(MATCH(S$2,Inputs!$K$4:$AJ$4,0)),NA(),IF(SUMPRODUCT((Inputs!$A$5:$A$140=$B47)*ISNUMBER(INDEX(Inputs!$K$5:$AJ$140,0,MATCH(S$2,Inputs!$K$4:$AJ$4,0))))+SUMPRODUCT((Inputs!$C$5:$C$140=$B47)*ISNUMBER(INDEX(Inputs!$K$5:$AJ$140,0,MATCH(S$2,Inputs!$K$4:$AJ$4,0))))+SUMPRODUCT((Inputs!$E$5:$E$140=$B47)*ISNUMBER(INDEX(Inputs!$K$5:$AJ$140,0,MATCH(S$2,Inputs!$K$4:$AJ$4,0))))=0,NA(),SUMPRODUCT((Inputs!$A$5:$A$140=$B47)*Inputs!$B$5:$B$140*(((Inputs!$G$5:$G$140="moeda")+(Inputs!$G$5:$G$140="acoes"))*Inputs!$B$1+((Inputs!$G$5:$G$140&lt;&gt;"moeda")*(Inputs!$G$5:$G$140&lt;&gt;"acoes")))*INDEX(Inputs!$K$5:$AJ$140,0,MATCH(S$2,Inputs!$K$4:$AJ$4,0)))+SUMPRODUCT((Inputs!$C$5:$C$140=$B47)*Inputs!$D$5:$D$140*(((Inputs!$G$5:$G$140="moeda")+(Inputs!$G$5:$G$140="acoes"))*Inputs!$B$1+((Inputs!$G$5:$G$140&lt;&gt;"moeda")*(Inputs!$G$5:$G$140&lt;&gt;"acoes")))*INDEX(Inputs!$K$5:$AJ$140,0,MATCH(S$2,Inputs!$K$4:$AJ$4,0)))+SUMPRODUCT((Inputs!$E$5:$E$140=$B47)*Inputs!$F$5:$F$140*(((Inputs!$G$5:$G$140="moeda")+(Inputs!$G$5:$G$140="acoes"))*Inputs!$B$1+((Inputs!$G$5:$G$140&lt;&gt;"moeda")*(Inputs!$G$5:$G$140&lt;&gt;"acoes")))*INDEX(Inputs!$K$5:$AJ$140,0,MATCH(S$2,Inputs!$K$4:$AJ$4,0)))))</f>
        <v>709.764</v>
      </c>
      <c r="T47" s="6">
        <f>IF(ISNA(MATCH(T$2,Inputs!$K$4:$AJ$4,0)),NA(),IF(SUMPRODUCT((Inputs!$A$5:$A$140=$B47)*ISNUMBER(INDEX(Inputs!$K$5:$AJ$140,0,MATCH(T$2,Inputs!$K$4:$AJ$4,0))))+SUMPRODUCT((Inputs!$C$5:$C$140=$B47)*ISNUMBER(INDEX(Inputs!$K$5:$AJ$140,0,MATCH(T$2,Inputs!$K$4:$AJ$4,0))))+SUMPRODUCT((Inputs!$E$5:$E$140=$B47)*ISNUMBER(INDEX(Inputs!$K$5:$AJ$140,0,MATCH(T$2,Inputs!$K$4:$AJ$4,0))))=0,NA(),SUMPRODUCT((Inputs!$A$5:$A$140=$B47)*Inputs!$B$5:$B$140*(((Inputs!$G$5:$G$140="moeda")+(Inputs!$G$5:$G$140="acoes"))*Inputs!$B$1+((Inputs!$G$5:$G$140&lt;&gt;"moeda")*(Inputs!$G$5:$G$140&lt;&gt;"acoes")))*INDEX(Inputs!$K$5:$AJ$140,0,MATCH(T$2,Inputs!$K$4:$AJ$4,0)))+SUMPRODUCT((Inputs!$C$5:$C$140=$B47)*Inputs!$D$5:$D$140*(((Inputs!$G$5:$G$140="moeda")+(Inputs!$G$5:$G$140="acoes"))*Inputs!$B$1+((Inputs!$G$5:$G$140&lt;&gt;"moeda")*(Inputs!$G$5:$G$140&lt;&gt;"acoes")))*INDEX(Inputs!$K$5:$AJ$140,0,MATCH(T$2,Inputs!$K$4:$AJ$4,0)))+SUMPRODUCT((Inputs!$E$5:$E$140=$B47)*Inputs!$F$5:$F$140*(((Inputs!$G$5:$G$140="moeda")+(Inputs!$G$5:$G$140="acoes"))*Inputs!$B$1+((Inputs!$G$5:$G$140&lt;&gt;"moeda")*(Inputs!$G$5:$G$140&lt;&gt;"acoes")))*INDEX(Inputs!$K$5:$AJ$140,0,MATCH(T$2,Inputs!$K$4:$AJ$4,0)))))</f>
        <v>617.011</v>
      </c>
      <c r="U47" s="6">
        <f>IF(ISNA(MATCH(U$2,Inputs!$K$4:$AJ$4,0)),NA(),IF(SUMPRODUCT((Inputs!$A$5:$A$140=$B47)*ISNUMBER(INDEX(Inputs!$K$5:$AJ$140,0,MATCH(U$2,Inputs!$K$4:$AJ$4,0))))+SUMPRODUCT((Inputs!$C$5:$C$140=$B47)*ISNUMBER(INDEX(Inputs!$K$5:$AJ$140,0,MATCH(U$2,Inputs!$K$4:$AJ$4,0))))+SUMPRODUCT((Inputs!$E$5:$E$140=$B47)*ISNUMBER(INDEX(Inputs!$K$5:$AJ$140,0,MATCH(U$2,Inputs!$K$4:$AJ$4,0))))=0,NA(),SUMPRODUCT((Inputs!$A$5:$A$140=$B47)*Inputs!$B$5:$B$140*(((Inputs!$G$5:$G$140="moeda")+(Inputs!$G$5:$G$140="acoes"))*Inputs!$B$1+((Inputs!$G$5:$G$140&lt;&gt;"moeda")*(Inputs!$G$5:$G$140&lt;&gt;"acoes")))*INDEX(Inputs!$K$5:$AJ$140,0,MATCH(U$2,Inputs!$K$4:$AJ$4,0)))+SUMPRODUCT((Inputs!$C$5:$C$140=$B47)*Inputs!$D$5:$D$140*(((Inputs!$G$5:$G$140="moeda")+(Inputs!$G$5:$G$140="acoes"))*Inputs!$B$1+((Inputs!$G$5:$G$140&lt;&gt;"moeda")*(Inputs!$G$5:$G$140&lt;&gt;"acoes")))*INDEX(Inputs!$K$5:$AJ$140,0,MATCH(U$2,Inputs!$K$4:$AJ$4,0)))+SUMPRODUCT((Inputs!$E$5:$E$140=$B47)*Inputs!$F$5:$F$140*(((Inputs!$G$5:$G$140="moeda")+(Inputs!$G$5:$G$140="acoes"))*Inputs!$B$1+((Inputs!$G$5:$G$140&lt;&gt;"moeda")*(Inputs!$G$5:$G$140&lt;&gt;"acoes")))*INDEX(Inputs!$K$5:$AJ$140,0,MATCH(U$2,Inputs!$K$4:$AJ$4,0)))))</f>
        <v>787.582</v>
      </c>
      <c r="V47" s="6">
        <f>IF(ISNA(MATCH(V$2,Inputs!$K$4:$AJ$4,0)),NA(),IF(SUMPRODUCT((Inputs!$A$5:$A$140=$B47)*ISNUMBER(INDEX(Inputs!$K$5:$AJ$140,0,MATCH(V$2,Inputs!$K$4:$AJ$4,0))))+SUMPRODUCT((Inputs!$C$5:$C$140=$B47)*ISNUMBER(INDEX(Inputs!$K$5:$AJ$140,0,MATCH(V$2,Inputs!$K$4:$AJ$4,0))))+SUMPRODUCT((Inputs!$E$5:$E$140=$B47)*ISNUMBER(INDEX(Inputs!$K$5:$AJ$140,0,MATCH(V$2,Inputs!$K$4:$AJ$4,0))))=0,NA(),SUMPRODUCT((Inputs!$A$5:$A$140=$B47)*Inputs!$B$5:$B$140*(((Inputs!$G$5:$G$140="moeda")+(Inputs!$G$5:$G$140="acoes"))*Inputs!$B$1+((Inputs!$G$5:$G$140&lt;&gt;"moeda")*(Inputs!$G$5:$G$140&lt;&gt;"acoes")))*INDEX(Inputs!$K$5:$AJ$140,0,MATCH(V$2,Inputs!$K$4:$AJ$4,0)))+SUMPRODUCT((Inputs!$C$5:$C$140=$B47)*Inputs!$D$5:$D$140*(((Inputs!$G$5:$G$140="moeda")+(Inputs!$G$5:$G$140="acoes"))*Inputs!$B$1+((Inputs!$G$5:$G$140&lt;&gt;"moeda")*(Inputs!$G$5:$G$140&lt;&gt;"acoes")))*INDEX(Inputs!$K$5:$AJ$140,0,MATCH(V$2,Inputs!$K$4:$AJ$4,0)))+SUMPRODUCT((Inputs!$E$5:$E$140=$B47)*Inputs!$F$5:$F$140*(((Inputs!$G$5:$G$140="moeda")+(Inputs!$G$5:$G$140="acoes"))*Inputs!$B$1+((Inputs!$G$5:$G$140&lt;&gt;"moeda")*(Inputs!$G$5:$G$140&lt;&gt;"acoes")))*INDEX(Inputs!$K$5:$AJ$140,0,MATCH(V$2,Inputs!$K$4:$AJ$4,0)))))</f>
        <v>599.028</v>
      </c>
      <c r="W47" s="3">
        <f>V47</f>
        <v>599.028</v>
      </c>
      <c r="X47" s="6">
        <f>IF(ISNA(MATCH(X$2,Inputs!$K$4:$AJ$4,0)),NA(),IF(SUMPRODUCT((Inputs!$A$5:$A$140=$B47)*ISNUMBER(INDEX(Inputs!$K$5:$AJ$140,0,MATCH(X$2,Inputs!$K$4:$AJ$4,0))))+SUMPRODUCT((Inputs!$C$5:$C$140=$B47)*ISNUMBER(INDEX(Inputs!$K$5:$AJ$140,0,MATCH(X$2,Inputs!$K$4:$AJ$4,0))))+SUMPRODUCT((Inputs!$E$5:$E$140=$B47)*ISNUMBER(INDEX(Inputs!$K$5:$AJ$140,0,MATCH(X$2,Inputs!$K$4:$AJ$4,0))))=0,NA(),SUMPRODUCT((Inputs!$A$5:$A$140=$B47)*Inputs!$B$5:$B$140*(((Inputs!$G$5:$G$140="moeda")+(Inputs!$G$5:$G$140="acoes"))*Inputs!$B$1+((Inputs!$G$5:$G$140&lt;&gt;"moeda")*(Inputs!$G$5:$G$140&lt;&gt;"acoes")))*INDEX(Inputs!$K$5:$AJ$140,0,MATCH(X$2,Inputs!$K$4:$AJ$4,0)))+SUMPRODUCT((Inputs!$C$5:$C$140=$B47)*Inputs!$D$5:$D$140*(((Inputs!$G$5:$G$140="moeda")+(Inputs!$G$5:$G$140="acoes"))*Inputs!$B$1+((Inputs!$G$5:$G$140&lt;&gt;"moeda")*(Inputs!$G$5:$G$140&lt;&gt;"acoes")))*INDEX(Inputs!$K$5:$AJ$140,0,MATCH(X$2,Inputs!$K$4:$AJ$4,0)))+SUMPRODUCT((Inputs!$E$5:$E$140=$B47)*Inputs!$F$5:$F$140*(((Inputs!$G$5:$G$140="moeda")+(Inputs!$G$5:$G$140="acoes"))*Inputs!$B$1+((Inputs!$G$5:$G$140&lt;&gt;"moeda")*(Inputs!$G$5:$G$140&lt;&gt;"acoes")))*INDEX(Inputs!$K$5:$AJ$140,0,MATCH(X$2,Inputs!$K$4:$AJ$4,0)))))</f>
        <v>637.503</v>
      </c>
      <c r="Y47" s="6">
        <f>IF(ISNA(MATCH(Y$2,Inputs!$K$4:$AJ$4,0)),NA(),IF(SUMPRODUCT((Inputs!$A$5:$A$140=$B47)*ISNUMBER(INDEX(Inputs!$K$5:$AJ$140,0,MATCH(Y$2,Inputs!$K$4:$AJ$4,0))))+SUMPRODUCT((Inputs!$C$5:$C$140=$B47)*ISNUMBER(INDEX(Inputs!$K$5:$AJ$140,0,MATCH(Y$2,Inputs!$K$4:$AJ$4,0))))+SUMPRODUCT((Inputs!$E$5:$E$140=$B47)*ISNUMBER(INDEX(Inputs!$K$5:$AJ$140,0,MATCH(Y$2,Inputs!$K$4:$AJ$4,0))))=0,NA(),SUMPRODUCT((Inputs!$A$5:$A$140=$B47)*Inputs!$B$5:$B$140*(((Inputs!$G$5:$G$140="moeda")+(Inputs!$G$5:$G$140="acoes"))*Inputs!$B$1+((Inputs!$G$5:$G$140&lt;&gt;"moeda")*(Inputs!$G$5:$G$140&lt;&gt;"acoes")))*INDEX(Inputs!$K$5:$AJ$140,0,MATCH(Y$2,Inputs!$K$4:$AJ$4,0)))+SUMPRODUCT((Inputs!$C$5:$C$140=$B47)*Inputs!$D$5:$D$140*(((Inputs!$G$5:$G$140="moeda")+(Inputs!$G$5:$G$140="acoes"))*Inputs!$B$1+((Inputs!$G$5:$G$140&lt;&gt;"moeda")*(Inputs!$G$5:$G$140&lt;&gt;"acoes")))*INDEX(Inputs!$K$5:$AJ$140,0,MATCH(Y$2,Inputs!$K$4:$AJ$4,0)))+SUMPRODUCT((Inputs!$E$5:$E$140=$B47)*Inputs!$F$5:$F$140*(((Inputs!$G$5:$G$140="moeda")+(Inputs!$G$5:$G$140="acoes"))*Inputs!$B$1+((Inputs!$G$5:$G$140&lt;&gt;"moeda")*(Inputs!$G$5:$G$140&lt;&gt;"acoes")))*INDEX(Inputs!$K$5:$AJ$140,0,MATCH(Y$2,Inputs!$K$4:$AJ$4,0)))))</f>
        <v>774.234</v>
      </c>
      <c r="Z47" s="6">
        <f>IF(ISNA(MATCH(Z$2,Inputs!$K$4:$AJ$4,0)),NA(),IF(SUMPRODUCT((Inputs!$A$5:$A$140=$B47)*ISNUMBER(INDEX(Inputs!$K$5:$AJ$140,0,MATCH(Z$2,Inputs!$K$4:$AJ$4,0))))+SUMPRODUCT((Inputs!$C$5:$C$140=$B47)*ISNUMBER(INDEX(Inputs!$K$5:$AJ$140,0,MATCH(Z$2,Inputs!$K$4:$AJ$4,0))))+SUMPRODUCT((Inputs!$E$5:$E$140=$B47)*ISNUMBER(INDEX(Inputs!$K$5:$AJ$140,0,MATCH(Z$2,Inputs!$K$4:$AJ$4,0))))=0,NA(),SUMPRODUCT((Inputs!$A$5:$A$140=$B47)*Inputs!$B$5:$B$140*(((Inputs!$G$5:$G$140="moeda")+(Inputs!$G$5:$G$140="acoes"))*Inputs!$B$1+((Inputs!$G$5:$G$140&lt;&gt;"moeda")*(Inputs!$G$5:$G$140&lt;&gt;"acoes")))*INDEX(Inputs!$K$5:$AJ$140,0,MATCH(Z$2,Inputs!$K$4:$AJ$4,0)))+SUMPRODUCT((Inputs!$C$5:$C$140=$B47)*Inputs!$D$5:$D$140*(((Inputs!$G$5:$G$140="moeda")+(Inputs!$G$5:$G$140="acoes"))*Inputs!$B$1+((Inputs!$G$5:$G$140&lt;&gt;"moeda")*(Inputs!$G$5:$G$140&lt;&gt;"acoes")))*INDEX(Inputs!$K$5:$AJ$140,0,MATCH(Z$2,Inputs!$K$4:$AJ$4,0)))+SUMPRODUCT((Inputs!$E$5:$E$140=$B47)*Inputs!$F$5:$F$140*(((Inputs!$G$5:$G$140="moeda")+(Inputs!$G$5:$G$140="acoes"))*Inputs!$B$1+((Inputs!$G$5:$G$140&lt;&gt;"moeda")*(Inputs!$G$5:$G$140&lt;&gt;"acoes")))*INDEX(Inputs!$K$5:$AJ$140,0,MATCH(Z$2,Inputs!$K$4:$AJ$4,0)))))</f>
        <v>829.487</v>
      </c>
      <c r="AA47" s="6">
        <f>IF(ISNA(MATCH(AA$2,Inputs!$K$4:$AJ$4,0)),NA(),IF(SUMPRODUCT((Inputs!$A$5:$A$140=$B47)*ISNUMBER(INDEX(Inputs!$K$5:$AJ$140,0,MATCH(AA$2,Inputs!$K$4:$AJ$4,0))))+SUMPRODUCT((Inputs!$C$5:$C$140=$B47)*ISNUMBER(INDEX(Inputs!$K$5:$AJ$140,0,MATCH(AA$2,Inputs!$K$4:$AJ$4,0))))+SUMPRODUCT((Inputs!$E$5:$E$140=$B47)*ISNUMBER(INDEX(Inputs!$K$5:$AJ$140,0,MATCH(AA$2,Inputs!$K$4:$AJ$4,0))))=0,NA(),SUMPRODUCT((Inputs!$A$5:$A$140=$B47)*Inputs!$B$5:$B$140*(((Inputs!$G$5:$G$140="moeda")+(Inputs!$G$5:$G$140="acoes"))*Inputs!$B$1+((Inputs!$G$5:$G$140&lt;&gt;"moeda")*(Inputs!$G$5:$G$140&lt;&gt;"acoes")))*INDEX(Inputs!$K$5:$AJ$140,0,MATCH(AA$2,Inputs!$K$4:$AJ$4,0)))+SUMPRODUCT((Inputs!$C$5:$C$140=$B47)*Inputs!$D$5:$D$140*(((Inputs!$G$5:$G$140="moeda")+(Inputs!$G$5:$G$140="acoes"))*Inputs!$B$1+((Inputs!$G$5:$G$140&lt;&gt;"moeda")*(Inputs!$G$5:$G$140&lt;&gt;"acoes")))*INDEX(Inputs!$K$5:$AJ$140,0,MATCH(AA$2,Inputs!$K$4:$AJ$4,0)))+SUMPRODUCT((Inputs!$E$5:$E$140=$B47)*Inputs!$F$5:$F$140*(((Inputs!$G$5:$G$140="moeda")+(Inputs!$G$5:$G$140="acoes"))*Inputs!$B$1+((Inputs!$G$5:$G$140&lt;&gt;"moeda")*(Inputs!$G$5:$G$140&lt;&gt;"acoes")))*INDEX(Inputs!$K$5:$AJ$140,0,MATCH(AA$2,Inputs!$K$4:$AJ$4,0)))))</f>
        <v>276.564</v>
      </c>
      <c r="AB47" s="3">
        <f>AA47</f>
        <v>276.564</v>
      </c>
      <c r="AC47" s="6">
        <f>IF(ISNA(MATCH(AC$2,Inputs!$K$4:$AJ$4,0)),NA(),IF(SUMPRODUCT((Inputs!$A$5:$A$140=$B47)*ISNUMBER(INDEX(Inputs!$K$5:$AJ$140,0,MATCH(AC$2,Inputs!$K$4:$AJ$4,0))))+SUMPRODUCT((Inputs!$C$5:$C$140=$B47)*ISNUMBER(INDEX(Inputs!$K$5:$AJ$140,0,MATCH(AC$2,Inputs!$K$4:$AJ$4,0))))+SUMPRODUCT((Inputs!$E$5:$E$140=$B47)*ISNUMBER(INDEX(Inputs!$K$5:$AJ$140,0,MATCH(AC$2,Inputs!$K$4:$AJ$4,0))))=0,NA(),SUMPRODUCT((Inputs!$A$5:$A$140=$B47)*Inputs!$B$5:$B$140*(((Inputs!$G$5:$G$140="moeda")+(Inputs!$G$5:$G$140="acoes"))*Inputs!$B$1+((Inputs!$G$5:$G$140&lt;&gt;"moeda")*(Inputs!$G$5:$G$140&lt;&gt;"acoes")))*INDEX(Inputs!$K$5:$AJ$140,0,MATCH(AC$2,Inputs!$K$4:$AJ$4,0)))+SUMPRODUCT((Inputs!$C$5:$C$140=$B47)*Inputs!$D$5:$D$140*(((Inputs!$G$5:$G$140="moeda")+(Inputs!$G$5:$G$140="acoes"))*Inputs!$B$1+((Inputs!$G$5:$G$140&lt;&gt;"moeda")*(Inputs!$G$5:$G$140&lt;&gt;"acoes")))*INDEX(Inputs!$K$5:$AJ$140,0,MATCH(AC$2,Inputs!$K$4:$AJ$4,0)))+SUMPRODUCT((Inputs!$E$5:$E$140=$B47)*Inputs!$F$5:$F$140*(((Inputs!$G$5:$G$140="moeda")+(Inputs!$G$5:$G$140="acoes"))*Inputs!$B$1+((Inputs!$G$5:$G$140&lt;&gt;"moeda")*(Inputs!$G$5:$G$140&lt;&gt;"acoes")))*INDEX(Inputs!$K$5:$AJ$140,0,MATCH(AC$2,Inputs!$K$4:$AJ$4,0)))))</f>
        <v>439.431</v>
      </c>
      <c r="AD47" s="6">
        <f>IF(ISNA(MATCH(AD$2,Inputs!$K$4:$AJ$4,0)),NA(),IF(SUMPRODUCT((Inputs!$A$5:$A$140=$B47)*ISNUMBER(INDEX(Inputs!$K$5:$AJ$140,0,MATCH(AD$2,Inputs!$K$4:$AJ$4,0))))+SUMPRODUCT((Inputs!$C$5:$C$140=$B47)*ISNUMBER(INDEX(Inputs!$K$5:$AJ$140,0,MATCH(AD$2,Inputs!$K$4:$AJ$4,0))))+SUMPRODUCT((Inputs!$E$5:$E$140=$B47)*ISNUMBER(INDEX(Inputs!$K$5:$AJ$140,0,MATCH(AD$2,Inputs!$K$4:$AJ$4,0))))=0,NA(),SUMPRODUCT((Inputs!$A$5:$A$140=$B47)*Inputs!$B$5:$B$140*(((Inputs!$G$5:$G$140="moeda")+(Inputs!$G$5:$G$140="acoes"))*Inputs!$B$1+((Inputs!$G$5:$G$140&lt;&gt;"moeda")*(Inputs!$G$5:$G$140&lt;&gt;"acoes")))*INDEX(Inputs!$K$5:$AJ$140,0,MATCH(AD$2,Inputs!$K$4:$AJ$4,0)))+SUMPRODUCT((Inputs!$C$5:$C$140=$B47)*Inputs!$D$5:$D$140*(((Inputs!$G$5:$G$140="moeda")+(Inputs!$G$5:$G$140="acoes"))*Inputs!$B$1+((Inputs!$G$5:$G$140&lt;&gt;"moeda")*(Inputs!$G$5:$G$140&lt;&gt;"acoes")))*INDEX(Inputs!$K$5:$AJ$140,0,MATCH(AD$2,Inputs!$K$4:$AJ$4,0)))+SUMPRODUCT((Inputs!$E$5:$E$140=$B47)*Inputs!$F$5:$F$140*(((Inputs!$G$5:$G$140="moeda")+(Inputs!$G$5:$G$140="acoes"))*Inputs!$B$1+((Inputs!$G$5:$G$140&lt;&gt;"moeda")*(Inputs!$G$5:$G$140&lt;&gt;"acoes")))*INDEX(Inputs!$K$5:$AJ$140,0,MATCH(AD$2,Inputs!$K$4:$AJ$4,0)))))</f>
        <v>549.882</v>
      </c>
      <c r="AE47" s="6" t="e">
        <f>IF(ISNA(MATCH(AE$2,Inputs!$K$4:$AJ$4,0)),NA(),IF(SUMPRODUCT((Inputs!$A$5:$A$140=$B47)*ISNUMBER(INDEX(Inputs!$K$5:$AJ$140,0,MATCH(AE$2,Inputs!$K$4:$AJ$4,0))))+SUMPRODUCT((Inputs!$C$5:$C$140=$B47)*ISNUMBER(INDEX(Inputs!$K$5:$AJ$140,0,MATCH(AE$2,Inputs!$K$4:$AJ$4,0))))+SUMPRODUCT((Inputs!$E$5:$E$140=$B47)*ISNUMBER(INDEX(Inputs!$K$5:$AJ$140,0,MATCH(AE$2,Inputs!$K$4:$AJ$4,0))))=0,NA(),SUMPRODUCT((Inputs!$A$5:$A$140=$B47)*Inputs!$B$5:$B$140*(((Inputs!$G$5:$G$140="moeda")+(Inputs!$G$5:$G$140="acoes"))*Inputs!$B$1+((Inputs!$G$5:$G$140&lt;&gt;"moeda")*(Inputs!$G$5:$G$140&lt;&gt;"acoes")))*INDEX(Inputs!$K$5:$AJ$140,0,MATCH(AE$2,Inputs!$K$4:$AJ$4,0)))+SUMPRODUCT((Inputs!$C$5:$C$140=$B47)*Inputs!$D$5:$D$140*(((Inputs!$G$5:$G$140="moeda")+(Inputs!$G$5:$G$140="acoes"))*Inputs!$B$1+((Inputs!$G$5:$G$140&lt;&gt;"moeda")*(Inputs!$G$5:$G$140&lt;&gt;"acoes")))*INDEX(Inputs!$K$5:$AJ$140,0,MATCH(AE$2,Inputs!$K$4:$AJ$4,0)))+SUMPRODUCT((Inputs!$E$5:$E$140=$B47)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47" s="6" t="e">
        <f>IF(ISNA(MATCH(AF$2,Inputs!$K$4:$AJ$4,0)),NA(),IF(SUMPRODUCT((Inputs!$A$5:$A$140=$B47)*ISNUMBER(INDEX(Inputs!$K$5:$AJ$140,0,MATCH(AF$2,Inputs!$K$4:$AJ$4,0))))+SUMPRODUCT((Inputs!$C$5:$C$140=$B47)*ISNUMBER(INDEX(Inputs!$K$5:$AJ$140,0,MATCH(AF$2,Inputs!$K$4:$AJ$4,0))))+SUMPRODUCT((Inputs!$E$5:$E$140=$B47)*ISNUMBER(INDEX(Inputs!$K$5:$AJ$140,0,MATCH(AF$2,Inputs!$K$4:$AJ$4,0))))=0,NA(),SUMPRODUCT((Inputs!$A$5:$A$140=$B47)*Inputs!$B$5:$B$140*(((Inputs!$G$5:$G$140="moeda")+(Inputs!$G$5:$G$140="acoes"))*Inputs!$B$1+((Inputs!$G$5:$G$140&lt;&gt;"moeda")*(Inputs!$G$5:$G$140&lt;&gt;"acoes")))*INDEX(Inputs!$K$5:$AJ$140,0,MATCH(AF$2,Inputs!$K$4:$AJ$4,0)))+SUMPRODUCT((Inputs!$C$5:$C$140=$B47)*Inputs!$D$5:$D$140*(((Inputs!$G$5:$G$140="moeda")+(Inputs!$G$5:$G$140="acoes"))*Inputs!$B$1+((Inputs!$G$5:$G$140&lt;&gt;"moeda")*(Inputs!$G$5:$G$140&lt;&gt;"acoes")))*INDEX(Inputs!$K$5:$AJ$140,0,MATCH(AF$2,Inputs!$K$4:$AJ$4,0)))+SUMPRODUCT((Inputs!$E$5:$E$140=$B47)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47" s="3" t="e">
        <f>AF47</f>
        <v>#N/A</v>
      </c>
      <c r="AH47" s="6">
        <f>IF(ISNA(MATCH(AH$2,Inputs!$K$4:$AJ$4,0)),NA(),IF(SUMPRODUCT((Inputs!$A$5:$A$140=$B47)*ISNUMBER(INDEX(Inputs!$K$5:$AJ$140,0,MATCH(AH$2,Inputs!$K$4:$AJ$4,0))))+SUMPRODUCT((Inputs!$C$5:$C$140=$B47)*ISNUMBER(INDEX(Inputs!$K$5:$AJ$140,0,MATCH(AH$2,Inputs!$K$4:$AJ$4,0))))+SUMPRODUCT((Inputs!$E$5:$E$140=$B47)*ISNUMBER(INDEX(Inputs!$K$5:$AJ$140,0,MATCH(AH$2,Inputs!$K$4:$AJ$4,0))))=0,NA(),SUMPRODUCT((Inputs!$A$5:$A$140=$B47)*Inputs!$B$5:$B$140*(((Inputs!$G$5:$G$140="moeda")+(Inputs!$G$5:$G$140="acoes"))*Inputs!$B$1+((Inputs!$G$5:$G$140&lt;&gt;"moeda")*(Inputs!$G$5:$G$140&lt;&gt;"acoes")))*INDEX(Inputs!$K$5:$AJ$140,0,MATCH(AH$2,Inputs!$K$4:$AJ$4,0)))+SUMPRODUCT((Inputs!$C$5:$C$140=$B47)*Inputs!$D$5:$D$140*(((Inputs!$G$5:$G$140="moeda")+(Inputs!$G$5:$G$140="acoes"))*Inputs!$B$1+((Inputs!$G$5:$G$140&lt;&gt;"moeda")*(Inputs!$G$5:$G$140&lt;&gt;"acoes")))*INDEX(Inputs!$K$5:$AJ$140,0,MATCH(AH$2,Inputs!$K$4:$AJ$4,0)))+SUMPRODUCT((Inputs!$E$5:$E$140=$B47)*Inputs!$F$5:$F$140*(((Inputs!$G$5:$G$140="moeda")+(Inputs!$G$5:$G$140="acoes"))*Inputs!$B$1+((Inputs!$G$5:$G$140&lt;&gt;"moeda")*(Inputs!$G$5:$G$140&lt;&gt;"acoes")))*INDEX(Inputs!$K$5:$AJ$140,0,MATCH(AH$2,Inputs!$K$4:$AJ$4,0)))))</f>
        <v>95.67</v>
      </c>
      <c r="AI47" s="6">
        <f>IF(ISNA(MATCH(AI$2,Inputs!$K$4:$AJ$4,0)),NA(),IF(SUMPRODUCT((Inputs!$A$5:$A$140=$B47)*ISNUMBER(INDEX(Inputs!$K$5:$AJ$140,0,MATCH(AI$2,Inputs!$K$4:$AJ$4,0))))+SUMPRODUCT((Inputs!$C$5:$C$140=$B47)*ISNUMBER(INDEX(Inputs!$K$5:$AJ$140,0,MATCH(AI$2,Inputs!$K$4:$AJ$4,0))))+SUMPRODUCT((Inputs!$E$5:$E$140=$B47)*ISNUMBER(INDEX(Inputs!$K$5:$AJ$140,0,MATCH(AI$2,Inputs!$K$4:$AJ$4,0))))=0,NA(),SUMPRODUCT((Inputs!$A$5:$A$140=$B47)*Inputs!$B$5:$B$140*(((Inputs!$G$5:$G$140="moeda")+(Inputs!$G$5:$G$140="acoes"))*Inputs!$B$1+((Inputs!$G$5:$G$140&lt;&gt;"moeda")*(Inputs!$G$5:$G$140&lt;&gt;"acoes")))*INDEX(Inputs!$K$5:$AJ$140,0,MATCH(AI$2,Inputs!$K$4:$AJ$4,0)))+SUMPRODUCT((Inputs!$C$5:$C$140=$B47)*Inputs!$D$5:$D$140*(((Inputs!$G$5:$G$140="moeda")+(Inputs!$G$5:$G$140="acoes"))*Inputs!$B$1+((Inputs!$G$5:$G$140&lt;&gt;"moeda")*(Inputs!$G$5:$G$140&lt;&gt;"acoes")))*INDEX(Inputs!$K$5:$AJ$140,0,MATCH(AI$2,Inputs!$K$4:$AJ$4,0)))+SUMPRODUCT((Inputs!$E$5:$E$140=$B47)*Inputs!$F$5:$F$140*(((Inputs!$G$5:$G$140="moeda")+(Inputs!$G$5:$G$140="acoes"))*Inputs!$B$1+((Inputs!$G$5:$G$140&lt;&gt;"moeda")*(Inputs!$G$5:$G$140&lt;&gt;"acoes")))*INDEX(Inputs!$K$5:$AJ$140,0,MATCH(AI$2,Inputs!$K$4:$AJ$4,0)))))</f>
        <v>102.659</v>
      </c>
      <c r="AJ47" s="6">
        <f>IF(ISNA(MATCH(AJ$2,Inputs!$K$4:$AJ$4,0)),NA(),IF(SUMPRODUCT((Inputs!$A$5:$A$140=$B47)*ISNUMBER(INDEX(Inputs!$K$5:$AJ$140,0,MATCH(AJ$2,Inputs!$K$4:$AJ$4,0))))+SUMPRODUCT((Inputs!$C$5:$C$140=$B47)*ISNUMBER(INDEX(Inputs!$K$5:$AJ$140,0,MATCH(AJ$2,Inputs!$K$4:$AJ$4,0))))+SUMPRODUCT((Inputs!$E$5:$E$140=$B47)*ISNUMBER(INDEX(Inputs!$K$5:$AJ$140,0,MATCH(AJ$2,Inputs!$K$4:$AJ$4,0))))=0,NA(),SUMPRODUCT((Inputs!$A$5:$A$140=$B47)*Inputs!$B$5:$B$140*(((Inputs!$G$5:$G$140="moeda")+(Inputs!$G$5:$G$140="acoes"))*Inputs!$B$1+((Inputs!$G$5:$G$140&lt;&gt;"moeda")*(Inputs!$G$5:$G$140&lt;&gt;"acoes")))*INDEX(Inputs!$K$5:$AJ$140,0,MATCH(AJ$2,Inputs!$K$4:$AJ$4,0)))+SUMPRODUCT((Inputs!$C$5:$C$140=$B47)*Inputs!$D$5:$D$140*(((Inputs!$G$5:$G$140="moeda")+(Inputs!$G$5:$G$140="acoes"))*Inputs!$B$1+((Inputs!$G$5:$G$140&lt;&gt;"moeda")*(Inputs!$G$5:$G$140&lt;&gt;"acoes")))*INDEX(Inputs!$K$5:$AJ$140,0,MATCH(AJ$2,Inputs!$K$4:$AJ$4,0)))+SUMPRODUCT((Inputs!$E$5:$E$140=$B47)*Inputs!$F$5:$F$140*(((Inputs!$G$5:$G$140="moeda")+(Inputs!$G$5:$G$140="acoes"))*Inputs!$B$1+((Inputs!$G$5:$G$140&lt;&gt;"moeda")*(Inputs!$G$5:$G$140&lt;&gt;"acoes")))*INDEX(Inputs!$K$5:$AJ$140,0,MATCH(AJ$2,Inputs!$K$4:$AJ$4,0)))))</f>
        <v>151.035</v>
      </c>
      <c r="AK47" s="6">
        <f>IF(ISNA(MATCH(AK$2,Inputs!$K$4:$AJ$4,0)),NA(),IF(SUMPRODUCT((Inputs!$A$5:$A$140=$B47)*ISNUMBER(INDEX(Inputs!$K$5:$AJ$140,0,MATCH(AK$2,Inputs!$K$4:$AJ$4,0))))+SUMPRODUCT((Inputs!$C$5:$C$140=$B47)*ISNUMBER(INDEX(Inputs!$K$5:$AJ$140,0,MATCH(AK$2,Inputs!$K$4:$AJ$4,0))))+SUMPRODUCT((Inputs!$E$5:$E$140=$B47)*ISNUMBER(INDEX(Inputs!$K$5:$AJ$140,0,MATCH(AK$2,Inputs!$K$4:$AJ$4,0))))=0,NA(),SUMPRODUCT((Inputs!$A$5:$A$140=$B47)*Inputs!$B$5:$B$140*(((Inputs!$G$5:$G$140="moeda")+(Inputs!$G$5:$G$140="acoes"))*Inputs!$B$1+((Inputs!$G$5:$G$140&lt;&gt;"moeda")*(Inputs!$G$5:$G$140&lt;&gt;"acoes")))*INDEX(Inputs!$K$5:$AJ$140,0,MATCH(AK$2,Inputs!$K$4:$AJ$4,0)))+SUMPRODUCT((Inputs!$C$5:$C$140=$B47)*Inputs!$D$5:$D$140*(((Inputs!$G$5:$G$140="moeda")+(Inputs!$G$5:$G$140="acoes"))*Inputs!$B$1+((Inputs!$G$5:$G$140&lt;&gt;"moeda")*(Inputs!$G$5:$G$140&lt;&gt;"acoes")))*INDEX(Inputs!$K$5:$AJ$140,0,MATCH(AK$2,Inputs!$K$4:$AJ$4,0)))+SUMPRODUCT((Inputs!$E$5:$E$140=$B47)*Inputs!$F$5:$F$140*(((Inputs!$G$5:$G$140="moeda")+(Inputs!$G$5:$G$140="acoes"))*Inputs!$B$1+((Inputs!$G$5:$G$140&lt;&gt;"moeda")*(Inputs!$G$5:$G$140&lt;&gt;"acoes")))*INDEX(Inputs!$K$5:$AJ$140,0,MATCH(AK$2,Inputs!$K$4:$AJ$4,0)))))</f>
        <v>180.812</v>
      </c>
      <c r="AL47" s="3">
        <f>AK47</f>
        <v>180.812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$140=$B50)*ISNUMBER(INDEX(Inputs!$K$5:$AJ$140,0,MATCH(D$2,Inputs!$K$4:$AJ$4,0))))+SUMPRODUCT((Inputs!$C$5:$C$140=$B50)*ISNUMBER(INDEX(Inputs!$K$5:$AJ$140,0,MATCH(D$2,Inputs!$K$4:$AJ$4,0))))+SUMPRODUCT((Inputs!$E$5:$E$140=$B50)*ISNUMBER(INDEX(Inputs!$K$5:$AJ$140,0,MATCH(D$2,Inputs!$K$4:$AJ$4,0))))=0,NA(),SUMPRODUCT((Inputs!$A$5:$A$140=$B50)*Inputs!$B$5:$B$140*(((Inputs!$G$5:$G$140="moeda")+(Inputs!$G$5:$G$140="acoes"))*Inputs!$B$1+((Inputs!$G$5:$G$140&lt;&gt;"moeda")*(Inputs!$G$5:$G$140&lt;&gt;"acoes")))*INDEX(Inputs!$K$5:$AJ$140,0,MATCH(D$2,Inputs!$K$4:$AJ$4,0)))+SUMPRODUCT((Inputs!$C$5:$C$140=$B50)*Inputs!$D$5:$D$140*(((Inputs!$G$5:$G$140="moeda")+(Inputs!$G$5:$G$140="acoes"))*Inputs!$B$1+((Inputs!$G$5:$G$140&lt;&gt;"moeda")*(Inputs!$G$5:$G$140&lt;&gt;"acoes")))*INDEX(Inputs!$K$5:$AJ$140,0,MATCH(D$2,Inputs!$K$4:$AJ$4,0)))+SUMPRODUCT((Inputs!$E$5:$E$140=$B50)*Inputs!$F$5:$F$140*(((Inputs!$G$5:$G$140="moeda")+(Inputs!$G$5:$G$140="acoes"))*Inputs!$B$1+((Inputs!$G$5:$G$140&lt;&gt;"moeda")*(Inputs!$G$5:$G$140&lt;&gt;"acoes")))*INDEX(Inputs!$K$5:$AJ$140,0,MATCH(D$2,Inputs!$K$4:$AJ$4,0)))))</f>
        <v>49.993</v>
      </c>
      <c r="E50" s="6">
        <f>IF(ISNA(MATCH(E$2,Inputs!$K$4:$AJ$4,0)),NA(),IF(SUMPRODUCT((Inputs!$A$5:$A$140=$B50)*ISNUMBER(INDEX(Inputs!$K$5:$AJ$140,0,MATCH(E$2,Inputs!$K$4:$AJ$4,0))))+SUMPRODUCT((Inputs!$C$5:$C$140=$B50)*ISNUMBER(INDEX(Inputs!$K$5:$AJ$140,0,MATCH(E$2,Inputs!$K$4:$AJ$4,0))))+SUMPRODUCT((Inputs!$E$5:$E$140=$B50)*ISNUMBER(INDEX(Inputs!$K$5:$AJ$140,0,MATCH(E$2,Inputs!$K$4:$AJ$4,0))))=0,NA(),SUMPRODUCT((Inputs!$A$5:$A$140=$B50)*Inputs!$B$5:$B$140*(((Inputs!$G$5:$G$140="moeda")+(Inputs!$G$5:$G$140="acoes"))*Inputs!$B$1+((Inputs!$G$5:$G$140&lt;&gt;"moeda")*(Inputs!$G$5:$G$140&lt;&gt;"acoes")))*INDEX(Inputs!$K$5:$AJ$140,0,MATCH(E$2,Inputs!$K$4:$AJ$4,0)))+SUMPRODUCT((Inputs!$C$5:$C$140=$B50)*Inputs!$D$5:$D$140*(((Inputs!$G$5:$G$140="moeda")+(Inputs!$G$5:$G$140="acoes"))*Inputs!$B$1+((Inputs!$G$5:$G$140&lt;&gt;"moeda")*(Inputs!$G$5:$G$140&lt;&gt;"acoes")))*INDEX(Inputs!$K$5:$AJ$140,0,MATCH(E$2,Inputs!$K$4:$AJ$4,0)))+SUMPRODUCT((Inputs!$E$5:$E$140=$B50)*Inputs!$F$5:$F$140*(((Inputs!$G$5:$G$140="moeda")+(Inputs!$G$5:$G$140="acoes"))*Inputs!$B$1+((Inputs!$G$5:$G$140&lt;&gt;"moeda")*(Inputs!$G$5:$G$140&lt;&gt;"acoes")))*INDEX(Inputs!$K$5:$AJ$140,0,MATCH(E$2,Inputs!$K$4:$AJ$4,0)))))</f>
        <v>78.603</v>
      </c>
      <c r="F50" s="6">
        <f>IF(ISNA(MATCH(F$2,Inputs!$K$4:$AJ$4,0)),NA(),IF(SUMPRODUCT((Inputs!$A$5:$A$140=$B50)*ISNUMBER(INDEX(Inputs!$K$5:$AJ$140,0,MATCH(F$2,Inputs!$K$4:$AJ$4,0))))+SUMPRODUCT((Inputs!$C$5:$C$140=$B50)*ISNUMBER(INDEX(Inputs!$K$5:$AJ$140,0,MATCH(F$2,Inputs!$K$4:$AJ$4,0))))+SUMPRODUCT((Inputs!$E$5:$E$140=$B50)*ISNUMBER(INDEX(Inputs!$K$5:$AJ$140,0,MATCH(F$2,Inputs!$K$4:$AJ$4,0))))=0,NA(),SUMPRODUCT((Inputs!$A$5:$A$140=$B50)*Inputs!$B$5:$B$140*(((Inputs!$G$5:$G$140="moeda")+(Inputs!$G$5:$G$140="acoes"))*Inputs!$B$1+((Inputs!$G$5:$G$140&lt;&gt;"moeda")*(Inputs!$G$5:$G$140&lt;&gt;"acoes")))*INDEX(Inputs!$K$5:$AJ$140,0,MATCH(F$2,Inputs!$K$4:$AJ$4,0)))+SUMPRODUCT((Inputs!$C$5:$C$140=$B50)*Inputs!$D$5:$D$140*(((Inputs!$G$5:$G$140="moeda")+(Inputs!$G$5:$G$140="acoes"))*Inputs!$B$1+((Inputs!$G$5:$G$140&lt;&gt;"moeda")*(Inputs!$G$5:$G$140&lt;&gt;"acoes")))*INDEX(Inputs!$K$5:$AJ$140,0,MATCH(F$2,Inputs!$K$4:$AJ$4,0)))+SUMPRODUCT((Inputs!$E$5:$E$140=$B50)*Inputs!$F$5:$F$140*(((Inputs!$G$5:$G$140="moeda")+(Inputs!$G$5:$G$140="acoes"))*Inputs!$B$1+((Inputs!$G$5:$G$140&lt;&gt;"moeda")*(Inputs!$G$5:$G$140&lt;&gt;"acoes")))*INDEX(Inputs!$K$5:$AJ$140,0,MATCH(F$2,Inputs!$K$4:$AJ$4,0)))))</f>
        <v>67.397764092476</v>
      </c>
      <c r="G50" s="6">
        <f>IF(ISNA(MATCH(G$2,Inputs!$K$4:$AJ$4,0)),NA(),IF(SUMPRODUCT((Inputs!$A$5:$A$140=$B50)*ISNUMBER(INDEX(Inputs!$K$5:$AJ$140,0,MATCH(G$2,Inputs!$K$4:$AJ$4,0))))+SUMPRODUCT((Inputs!$C$5:$C$140=$B50)*ISNUMBER(INDEX(Inputs!$K$5:$AJ$140,0,MATCH(G$2,Inputs!$K$4:$AJ$4,0))))+SUMPRODUCT((Inputs!$E$5:$E$140=$B50)*ISNUMBER(INDEX(Inputs!$K$5:$AJ$140,0,MATCH(G$2,Inputs!$K$4:$AJ$4,0))))=0,NA(),SUMPRODUCT((Inputs!$A$5:$A$140=$B50)*Inputs!$B$5:$B$140*(((Inputs!$G$5:$G$140="moeda")+(Inputs!$G$5:$G$140="acoes"))*Inputs!$B$1+((Inputs!$G$5:$G$140&lt;&gt;"moeda")*(Inputs!$G$5:$G$140&lt;&gt;"acoes")))*INDEX(Inputs!$K$5:$AJ$140,0,MATCH(G$2,Inputs!$K$4:$AJ$4,0)))+SUMPRODUCT((Inputs!$C$5:$C$140=$B50)*Inputs!$D$5:$D$140*(((Inputs!$G$5:$G$140="moeda")+(Inputs!$G$5:$G$140="acoes"))*Inputs!$B$1+((Inputs!$G$5:$G$140&lt;&gt;"moeda")*(Inputs!$G$5:$G$140&lt;&gt;"acoes")))*INDEX(Inputs!$K$5:$AJ$140,0,MATCH(G$2,Inputs!$K$4:$AJ$4,0)))+SUMPRODUCT((Inputs!$E$5:$E$140=$B50)*Inputs!$F$5:$F$140*(((Inputs!$G$5:$G$140="moeda")+(Inputs!$G$5:$G$140="acoes"))*Inputs!$B$1+((Inputs!$G$5:$G$140&lt;&gt;"moeda")*(Inputs!$G$5:$G$140&lt;&gt;"acoes")))*INDEX(Inputs!$K$5:$AJ$140,0,MATCH(G$2,Inputs!$K$4:$AJ$4,0)))))</f>
        <v>103.753</v>
      </c>
      <c r="H50" s="3">
        <f>SUM(D50:G50)</f>
        <v>299.746764092476</v>
      </c>
      <c r="I50" s="6">
        <f>IF(ISNA(MATCH(I$2,Inputs!$K$4:$AJ$4,0)),NA(),IF(SUMPRODUCT((Inputs!$A$5:$A$140=$B50)*ISNUMBER(INDEX(Inputs!$K$5:$AJ$140,0,MATCH(I$2,Inputs!$K$4:$AJ$4,0))))+SUMPRODUCT((Inputs!$C$5:$C$140=$B50)*ISNUMBER(INDEX(Inputs!$K$5:$AJ$140,0,MATCH(I$2,Inputs!$K$4:$AJ$4,0))))+SUMPRODUCT((Inputs!$E$5:$E$140=$B50)*ISNUMBER(INDEX(Inputs!$K$5:$AJ$140,0,MATCH(I$2,Inputs!$K$4:$AJ$4,0))))=0,NA(),SUMPRODUCT((Inputs!$A$5:$A$140=$B50)*Inputs!$B$5:$B$140*(((Inputs!$G$5:$G$140="moeda")+(Inputs!$G$5:$G$140="acoes"))*Inputs!$B$1+((Inputs!$G$5:$G$140&lt;&gt;"moeda")*(Inputs!$G$5:$G$140&lt;&gt;"acoes")))*INDEX(Inputs!$K$5:$AJ$140,0,MATCH(I$2,Inputs!$K$4:$AJ$4,0)))+SUMPRODUCT((Inputs!$C$5:$C$140=$B50)*Inputs!$D$5:$D$140*(((Inputs!$G$5:$G$140="moeda")+(Inputs!$G$5:$G$140="acoes"))*Inputs!$B$1+((Inputs!$G$5:$G$140&lt;&gt;"moeda")*(Inputs!$G$5:$G$140&lt;&gt;"acoes")))*INDEX(Inputs!$K$5:$AJ$140,0,MATCH(I$2,Inputs!$K$4:$AJ$4,0)))+SUMPRODUCT((Inputs!$E$5:$E$140=$B50)*Inputs!$F$5:$F$140*(((Inputs!$G$5:$G$140="moeda")+(Inputs!$G$5:$G$140="acoes"))*Inputs!$B$1+((Inputs!$G$5:$G$140&lt;&gt;"moeda")*(Inputs!$G$5:$G$140&lt;&gt;"acoes")))*INDEX(Inputs!$K$5:$AJ$140,0,MATCH(I$2,Inputs!$K$4:$AJ$4,0)))))</f>
        <v>61.903</v>
      </c>
      <c r="J50" s="6">
        <f>IF(ISNA(MATCH(J$2,Inputs!$K$4:$AJ$4,0)),NA(),IF(SUMPRODUCT((Inputs!$A$5:$A$140=$B50)*ISNUMBER(INDEX(Inputs!$K$5:$AJ$140,0,MATCH(J$2,Inputs!$K$4:$AJ$4,0))))+SUMPRODUCT((Inputs!$C$5:$C$140=$B50)*ISNUMBER(INDEX(Inputs!$K$5:$AJ$140,0,MATCH(J$2,Inputs!$K$4:$AJ$4,0))))+SUMPRODUCT((Inputs!$E$5:$E$140=$B50)*ISNUMBER(INDEX(Inputs!$K$5:$AJ$140,0,MATCH(J$2,Inputs!$K$4:$AJ$4,0))))=0,NA(),SUMPRODUCT((Inputs!$A$5:$A$140=$B50)*Inputs!$B$5:$B$140*(((Inputs!$G$5:$G$140="moeda")+(Inputs!$G$5:$G$140="acoes"))*Inputs!$B$1+((Inputs!$G$5:$G$140&lt;&gt;"moeda")*(Inputs!$G$5:$G$140&lt;&gt;"acoes")))*INDEX(Inputs!$K$5:$AJ$140,0,MATCH(J$2,Inputs!$K$4:$AJ$4,0)))+SUMPRODUCT((Inputs!$C$5:$C$140=$B50)*Inputs!$D$5:$D$140*(((Inputs!$G$5:$G$140="moeda")+(Inputs!$G$5:$G$140="acoes"))*Inputs!$B$1+((Inputs!$G$5:$G$140&lt;&gt;"moeda")*(Inputs!$G$5:$G$140&lt;&gt;"acoes")))*INDEX(Inputs!$K$5:$AJ$140,0,MATCH(J$2,Inputs!$K$4:$AJ$4,0)))+SUMPRODUCT((Inputs!$E$5:$E$140=$B50)*Inputs!$F$5:$F$140*(((Inputs!$G$5:$G$140="moeda")+(Inputs!$G$5:$G$140="acoes"))*Inputs!$B$1+((Inputs!$G$5:$G$140&lt;&gt;"moeda")*(Inputs!$G$5:$G$140&lt;&gt;"acoes")))*INDEX(Inputs!$K$5:$AJ$140,0,MATCH(J$2,Inputs!$K$4:$AJ$4,0)))))</f>
        <v>86.325</v>
      </c>
      <c r="K50" s="6">
        <f>IF(ISNA(MATCH(K$2,Inputs!$K$4:$AJ$4,0)),NA(),IF(SUMPRODUCT((Inputs!$A$5:$A$140=$B50)*ISNUMBER(INDEX(Inputs!$K$5:$AJ$140,0,MATCH(K$2,Inputs!$K$4:$AJ$4,0))))+SUMPRODUCT((Inputs!$C$5:$C$140=$B50)*ISNUMBER(INDEX(Inputs!$K$5:$AJ$140,0,MATCH(K$2,Inputs!$K$4:$AJ$4,0))))+SUMPRODUCT((Inputs!$E$5:$E$140=$B50)*ISNUMBER(INDEX(Inputs!$K$5:$AJ$140,0,MATCH(K$2,Inputs!$K$4:$AJ$4,0))))=0,NA(),SUMPRODUCT((Inputs!$A$5:$A$140=$B50)*Inputs!$B$5:$B$140*(((Inputs!$G$5:$G$140="moeda")+(Inputs!$G$5:$G$140="acoes"))*Inputs!$B$1+((Inputs!$G$5:$G$140&lt;&gt;"moeda")*(Inputs!$G$5:$G$140&lt;&gt;"acoes")))*INDEX(Inputs!$K$5:$AJ$140,0,MATCH(K$2,Inputs!$K$4:$AJ$4,0)))+SUMPRODUCT((Inputs!$C$5:$C$140=$B50)*Inputs!$D$5:$D$140*(((Inputs!$G$5:$G$140="moeda")+(Inputs!$G$5:$G$140="acoes"))*Inputs!$B$1+((Inputs!$G$5:$G$140&lt;&gt;"moeda")*(Inputs!$G$5:$G$140&lt;&gt;"acoes")))*INDEX(Inputs!$K$5:$AJ$140,0,MATCH(K$2,Inputs!$K$4:$AJ$4,0)))+SUMPRODUCT((Inputs!$E$5:$E$140=$B50)*Inputs!$F$5:$F$140*(((Inputs!$G$5:$G$140="moeda")+(Inputs!$G$5:$G$140="acoes"))*Inputs!$B$1+((Inputs!$G$5:$G$140&lt;&gt;"moeda")*(Inputs!$G$5:$G$140&lt;&gt;"acoes")))*INDEX(Inputs!$K$5:$AJ$140,0,MATCH(K$2,Inputs!$K$4:$AJ$4,0)))))</f>
        <v>89.872</v>
      </c>
      <c r="L50" s="6">
        <f>IF(ISNA(MATCH(L$2,Inputs!$K$4:$AJ$4,0)),NA(),IF(SUMPRODUCT((Inputs!$A$5:$A$140=$B50)*ISNUMBER(INDEX(Inputs!$K$5:$AJ$140,0,MATCH(L$2,Inputs!$K$4:$AJ$4,0))))+SUMPRODUCT((Inputs!$C$5:$C$140=$B50)*ISNUMBER(INDEX(Inputs!$K$5:$AJ$140,0,MATCH(L$2,Inputs!$K$4:$AJ$4,0))))+SUMPRODUCT((Inputs!$E$5:$E$140=$B50)*ISNUMBER(INDEX(Inputs!$K$5:$AJ$140,0,MATCH(L$2,Inputs!$K$4:$AJ$4,0))))=0,NA(),SUMPRODUCT((Inputs!$A$5:$A$140=$B50)*Inputs!$B$5:$B$140*(((Inputs!$G$5:$G$140="moeda")+(Inputs!$G$5:$G$140="acoes"))*Inputs!$B$1+((Inputs!$G$5:$G$140&lt;&gt;"moeda")*(Inputs!$G$5:$G$140&lt;&gt;"acoes")))*INDEX(Inputs!$K$5:$AJ$140,0,MATCH(L$2,Inputs!$K$4:$AJ$4,0)))+SUMPRODUCT((Inputs!$C$5:$C$140=$B50)*Inputs!$D$5:$D$140*(((Inputs!$G$5:$G$140="moeda")+(Inputs!$G$5:$G$140="acoes"))*Inputs!$B$1+((Inputs!$G$5:$G$140&lt;&gt;"moeda")*(Inputs!$G$5:$G$140&lt;&gt;"acoes")))*INDEX(Inputs!$K$5:$AJ$140,0,MATCH(L$2,Inputs!$K$4:$AJ$4,0)))+SUMPRODUCT((Inputs!$E$5:$E$140=$B50)*Inputs!$F$5:$F$140*(((Inputs!$G$5:$G$140="moeda")+(Inputs!$G$5:$G$140="acoes"))*Inputs!$B$1+((Inputs!$G$5:$G$140&lt;&gt;"moeda")*(Inputs!$G$5:$G$140&lt;&gt;"acoes")))*INDEX(Inputs!$K$5:$AJ$140,0,MATCH(L$2,Inputs!$K$4:$AJ$4,0)))))</f>
        <v>91.785</v>
      </c>
      <c r="M50" s="3">
        <f>SUM(I50:L50)</f>
        <v>329.885</v>
      </c>
      <c r="N50" s="6">
        <f>IF(ISNA(MATCH(N$2,Inputs!$K$4:$AJ$4,0)),NA(),IF(SUMPRODUCT((Inputs!$A$5:$A$140=$B50)*ISNUMBER(INDEX(Inputs!$K$5:$AJ$140,0,MATCH(N$2,Inputs!$K$4:$AJ$4,0))))+SUMPRODUCT((Inputs!$C$5:$C$140=$B50)*ISNUMBER(INDEX(Inputs!$K$5:$AJ$140,0,MATCH(N$2,Inputs!$K$4:$AJ$4,0))))+SUMPRODUCT((Inputs!$E$5:$E$140=$B50)*ISNUMBER(INDEX(Inputs!$K$5:$AJ$140,0,MATCH(N$2,Inputs!$K$4:$AJ$4,0))))=0,NA(),SUMPRODUCT((Inputs!$A$5:$A$140=$B50)*Inputs!$B$5:$B$140*(((Inputs!$G$5:$G$140="moeda")+(Inputs!$G$5:$G$140="acoes"))*Inputs!$B$1+((Inputs!$G$5:$G$140&lt;&gt;"moeda")*(Inputs!$G$5:$G$140&lt;&gt;"acoes")))*INDEX(Inputs!$K$5:$AJ$140,0,MATCH(N$2,Inputs!$K$4:$AJ$4,0)))+SUMPRODUCT((Inputs!$C$5:$C$140=$B50)*Inputs!$D$5:$D$140*(((Inputs!$G$5:$G$140="moeda")+(Inputs!$G$5:$G$140="acoes"))*Inputs!$B$1+((Inputs!$G$5:$G$140&lt;&gt;"moeda")*(Inputs!$G$5:$G$140&lt;&gt;"acoes")))*INDEX(Inputs!$K$5:$AJ$140,0,MATCH(N$2,Inputs!$K$4:$AJ$4,0)))+SUMPRODUCT((Inputs!$E$5:$E$140=$B50)*Inputs!$F$5:$F$140*(((Inputs!$G$5:$G$140="moeda")+(Inputs!$G$5:$G$140="acoes"))*Inputs!$B$1+((Inputs!$G$5:$G$140&lt;&gt;"moeda")*(Inputs!$G$5:$G$140&lt;&gt;"acoes")))*INDEX(Inputs!$K$5:$AJ$140,0,MATCH(N$2,Inputs!$K$4:$AJ$4,0)))))</f>
        <v>91.849</v>
      </c>
      <c r="O50" s="6">
        <f>IF(ISNA(MATCH(O$2,Inputs!$K$4:$AJ$4,0)),NA(),IF(SUMPRODUCT((Inputs!$A$5:$A$140=$B50)*ISNUMBER(INDEX(Inputs!$K$5:$AJ$140,0,MATCH(O$2,Inputs!$K$4:$AJ$4,0))))+SUMPRODUCT((Inputs!$C$5:$C$140=$B50)*ISNUMBER(INDEX(Inputs!$K$5:$AJ$140,0,MATCH(O$2,Inputs!$K$4:$AJ$4,0))))+SUMPRODUCT((Inputs!$E$5:$E$140=$B50)*ISNUMBER(INDEX(Inputs!$K$5:$AJ$140,0,MATCH(O$2,Inputs!$K$4:$AJ$4,0))))=0,NA(),SUMPRODUCT((Inputs!$A$5:$A$140=$B50)*Inputs!$B$5:$B$140*(((Inputs!$G$5:$G$140="moeda")+(Inputs!$G$5:$G$140="acoes"))*Inputs!$B$1+((Inputs!$G$5:$G$140&lt;&gt;"moeda")*(Inputs!$G$5:$G$140&lt;&gt;"acoes")))*INDEX(Inputs!$K$5:$AJ$140,0,MATCH(O$2,Inputs!$K$4:$AJ$4,0)))+SUMPRODUCT((Inputs!$C$5:$C$140=$B50)*Inputs!$D$5:$D$140*(((Inputs!$G$5:$G$140="moeda")+(Inputs!$G$5:$G$140="acoes"))*Inputs!$B$1+((Inputs!$G$5:$G$140&lt;&gt;"moeda")*(Inputs!$G$5:$G$140&lt;&gt;"acoes")))*INDEX(Inputs!$K$5:$AJ$140,0,MATCH(O$2,Inputs!$K$4:$AJ$4,0)))+SUMPRODUCT((Inputs!$E$5:$E$140=$B50)*Inputs!$F$5:$F$140*(((Inputs!$G$5:$G$140="moeda")+(Inputs!$G$5:$G$140="acoes"))*Inputs!$B$1+((Inputs!$G$5:$G$140&lt;&gt;"moeda")*(Inputs!$G$5:$G$140&lt;&gt;"acoes")))*INDEX(Inputs!$K$5:$AJ$140,0,MATCH(O$2,Inputs!$K$4:$AJ$4,0)))))</f>
        <v>121.373</v>
      </c>
      <c r="P50" s="6">
        <f>IF(ISNA(MATCH(P$2,Inputs!$K$4:$AJ$4,0)),NA(),IF(SUMPRODUCT((Inputs!$A$5:$A$140=$B50)*ISNUMBER(INDEX(Inputs!$K$5:$AJ$140,0,MATCH(P$2,Inputs!$K$4:$AJ$4,0))))+SUMPRODUCT((Inputs!$C$5:$C$140=$B50)*ISNUMBER(INDEX(Inputs!$K$5:$AJ$140,0,MATCH(P$2,Inputs!$K$4:$AJ$4,0))))+SUMPRODUCT((Inputs!$E$5:$E$140=$B50)*ISNUMBER(INDEX(Inputs!$K$5:$AJ$140,0,MATCH(P$2,Inputs!$K$4:$AJ$4,0))))=0,NA(),SUMPRODUCT((Inputs!$A$5:$A$140=$B50)*Inputs!$B$5:$B$140*(((Inputs!$G$5:$G$140="moeda")+(Inputs!$G$5:$G$140="acoes"))*Inputs!$B$1+((Inputs!$G$5:$G$140&lt;&gt;"moeda")*(Inputs!$G$5:$G$140&lt;&gt;"acoes")))*INDEX(Inputs!$K$5:$AJ$140,0,MATCH(P$2,Inputs!$K$4:$AJ$4,0)))+SUMPRODUCT((Inputs!$C$5:$C$140=$B50)*Inputs!$D$5:$D$140*(((Inputs!$G$5:$G$140="moeda")+(Inputs!$G$5:$G$140="acoes"))*Inputs!$B$1+((Inputs!$G$5:$G$140&lt;&gt;"moeda")*(Inputs!$G$5:$G$140&lt;&gt;"acoes")))*INDEX(Inputs!$K$5:$AJ$140,0,MATCH(P$2,Inputs!$K$4:$AJ$4,0)))+SUMPRODUCT((Inputs!$E$5:$E$140=$B50)*Inputs!$F$5:$F$140*(((Inputs!$G$5:$G$140="moeda")+(Inputs!$G$5:$G$140="acoes"))*Inputs!$B$1+((Inputs!$G$5:$G$140&lt;&gt;"moeda")*(Inputs!$G$5:$G$140&lt;&gt;"acoes")))*INDEX(Inputs!$K$5:$AJ$140,0,MATCH(P$2,Inputs!$K$4:$AJ$4,0)))))</f>
        <v>108.22</v>
      </c>
      <c r="Q50" s="6">
        <f>IF(ISNA(MATCH(Q$2,Inputs!$K$4:$AJ$4,0)),NA(),IF(SUMPRODUCT((Inputs!$A$5:$A$140=$B50)*ISNUMBER(INDEX(Inputs!$K$5:$AJ$140,0,MATCH(Q$2,Inputs!$K$4:$AJ$4,0))))+SUMPRODUCT((Inputs!$C$5:$C$140=$B50)*ISNUMBER(INDEX(Inputs!$K$5:$AJ$140,0,MATCH(Q$2,Inputs!$K$4:$AJ$4,0))))+SUMPRODUCT((Inputs!$E$5:$E$140=$B50)*ISNUMBER(INDEX(Inputs!$K$5:$AJ$140,0,MATCH(Q$2,Inputs!$K$4:$AJ$4,0))))=0,NA(),SUMPRODUCT((Inputs!$A$5:$A$140=$B50)*Inputs!$B$5:$B$140*(((Inputs!$G$5:$G$140="moeda")+(Inputs!$G$5:$G$140="acoes"))*Inputs!$B$1+((Inputs!$G$5:$G$140&lt;&gt;"moeda")*(Inputs!$G$5:$G$140&lt;&gt;"acoes")))*INDEX(Inputs!$K$5:$AJ$140,0,MATCH(Q$2,Inputs!$K$4:$AJ$4,0)))+SUMPRODUCT((Inputs!$C$5:$C$140=$B50)*Inputs!$D$5:$D$140*(((Inputs!$G$5:$G$140="moeda")+(Inputs!$G$5:$G$140="acoes"))*Inputs!$B$1+((Inputs!$G$5:$G$140&lt;&gt;"moeda")*(Inputs!$G$5:$G$140&lt;&gt;"acoes")))*INDEX(Inputs!$K$5:$AJ$140,0,MATCH(Q$2,Inputs!$K$4:$AJ$4,0)))+SUMPRODUCT((Inputs!$E$5:$E$140=$B50)*Inputs!$F$5:$F$140*(((Inputs!$G$5:$G$140="moeda")+(Inputs!$G$5:$G$140="acoes"))*Inputs!$B$1+((Inputs!$G$5:$G$140&lt;&gt;"moeda")*(Inputs!$G$5:$G$140&lt;&gt;"acoes")))*INDEX(Inputs!$K$5:$AJ$140,0,MATCH(Q$2,Inputs!$K$4:$AJ$4,0)))))</f>
        <v>160.323</v>
      </c>
      <c r="R50" s="3">
        <f>SUM(N50:Q50)</f>
        <v>481.765</v>
      </c>
      <c r="S50" s="6">
        <f>IF(ISNA(MATCH(S$2,Inputs!$K$4:$AJ$4,0)),NA(),IF(SUMPRODUCT((Inputs!$A$5:$A$140=$B50)*ISNUMBER(INDEX(Inputs!$K$5:$AJ$140,0,MATCH(S$2,Inputs!$K$4:$AJ$4,0))))+SUMPRODUCT((Inputs!$C$5:$C$140=$B50)*ISNUMBER(INDEX(Inputs!$K$5:$AJ$140,0,MATCH(S$2,Inputs!$K$4:$AJ$4,0))))+SUMPRODUCT((Inputs!$E$5:$E$140=$B50)*ISNUMBER(INDEX(Inputs!$K$5:$AJ$140,0,MATCH(S$2,Inputs!$K$4:$AJ$4,0))))=0,NA(),SUMPRODUCT((Inputs!$A$5:$A$140=$B50)*Inputs!$B$5:$B$140*(((Inputs!$G$5:$G$140="moeda")+(Inputs!$G$5:$G$140="acoes"))*Inputs!$B$1+((Inputs!$G$5:$G$140&lt;&gt;"moeda")*(Inputs!$G$5:$G$140&lt;&gt;"acoes")))*INDEX(Inputs!$K$5:$AJ$140,0,MATCH(S$2,Inputs!$K$4:$AJ$4,0)))+SUMPRODUCT((Inputs!$C$5:$C$140=$B50)*Inputs!$D$5:$D$140*(((Inputs!$G$5:$G$140="moeda")+(Inputs!$G$5:$G$140="acoes"))*Inputs!$B$1+((Inputs!$G$5:$G$140&lt;&gt;"moeda")*(Inputs!$G$5:$G$140&lt;&gt;"acoes")))*INDEX(Inputs!$K$5:$AJ$140,0,MATCH(S$2,Inputs!$K$4:$AJ$4,0)))+SUMPRODUCT((Inputs!$E$5:$E$140=$B50)*Inputs!$F$5:$F$140*(((Inputs!$G$5:$G$140="moeda")+(Inputs!$G$5:$G$140="acoes"))*Inputs!$B$1+((Inputs!$G$5:$G$140&lt;&gt;"moeda")*(Inputs!$G$5:$G$140&lt;&gt;"acoes")))*INDEX(Inputs!$K$5:$AJ$140,0,MATCH(S$2,Inputs!$K$4:$AJ$4,0)))))</f>
        <v>141.241</v>
      </c>
      <c r="T50" s="6">
        <f>IF(ISNA(MATCH(T$2,Inputs!$K$4:$AJ$4,0)),NA(),IF(SUMPRODUCT((Inputs!$A$5:$A$140=$B50)*ISNUMBER(INDEX(Inputs!$K$5:$AJ$140,0,MATCH(T$2,Inputs!$K$4:$AJ$4,0))))+SUMPRODUCT((Inputs!$C$5:$C$140=$B50)*ISNUMBER(INDEX(Inputs!$K$5:$AJ$140,0,MATCH(T$2,Inputs!$K$4:$AJ$4,0))))+SUMPRODUCT((Inputs!$E$5:$E$140=$B50)*ISNUMBER(INDEX(Inputs!$K$5:$AJ$140,0,MATCH(T$2,Inputs!$K$4:$AJ$4,0))))=0,NA(),SUMPRODUCT((Inputs!$A$5:$A$140=$B50)*Inputs!$B$5:$B$140*(((Inputs!$G$5:$G$140="moeda")+(Inputs!$G$5:$G$140="acoes"))*Inputs!$B$1+((Inputs!$G$5:$G$140&lt;&gt;"moeda")*(Inputs!$G$5:$G$140&lt;&gt;"acoes")))*INDEX(Inputs!$K$5:$AJ$140,0,MATCH(T$2,Inputs!$K$4:$AJ$4,0)))+SUMPRODUCT((Inputs!$C$5:$C$140=$B50)*Inputs!$D$5:$D$140*(((Inputs!$G$5:$G$140="moeda")+(Inputs!$G$5:$G$140="acoes"))*Inputs!$B$1+((Inputs!$G$5:$G$140&lt;&gt;"moeda")*(Inputs!$G$5:$G$140&lt;&gt;"acoes")))*INDEX(Inputs!$K$5:$AJ$140,0,MATCH(T$2,Inputs!$K$4:$AJ$4,0)))+SUMPRODUCT((Inputs!$E$5:$E$140=$B50)*Inputs!$F$5:$F$140*(((Inputs!$G$5:$G$140="moeda")+(Inputs!$G$5:$G$140="acoes"))*Inputs!$B$1+((Inputs!$G$5:$G$140&lt;&gt;"moeda")*(Inputs!$G$5:$G$140&lt;&gt;"acoes")))*INDEX(Inputs!$K$5:$AJ$140,0,MATCH(T$2,Inputs!$K$4:$AJ$4,0)))))</f>
        <v>172.247</v>
      </c>
      <c r="U50" s="6">
        <f>IF(ISNA(MATCH(U$2,Inputs!$K$4:$AJ$4,0)),NA(),IF(SUMPRODUCT((Inputs!$A$5:$A$140=$B50)*ISNUMBER(INDEX(Inputs!$K$5:$AJ$140,0,MATCH(U$2,Inputs!$K$4:$AJ$4,0))))+SUMPRODUCT((Inputs!$C$5:$C$140=$B50)*ISNUMBER(INDEX(Inputs!$K$5:$AJ$140,0,MATCH(U$2,Inputs!$K$4:$AJ$4,0))))+SUMPRODUCT((Inputs!$E$5:$E$140=$B50)*ISNUMBER(INDEX(Inputs!$K$5:$AJ$140,0,MATCH(U$2,Inputs!$K$4:$AJ$4,0))))=0,NA(),SUMPRODUCT((Inputs!$A$5:$A$140=$B50)*Inputs!$B$5:$B$140*(((Inputs!$G$5:$G$140="moeda")+(Inputs!$G$5:$G$140="acoes"))*Inputs!$B$1+((Inputs!$G$5:$G$140&lt;&gt;"moeda")*(Inputs!$G$5:$G$140&lt;&gt;"acoes")))*INDEX(Inputs!$K$5:$AJ$140,0,MATCH(U$2,Inputs!$K$4:$AJ$4,0)))+SUMPRODUCT((Inputs!$C$5:$C$140=$B50)*Inputs!$D$5:$D$140*(((Inputs!$G$5:$G$140="moeda")+(Inputs!$G$5:$G$140="acoes"))*Inputs!$B$1+((Inputs!$G$5:$G$140&lt;&gt;"moeda")*(Inputs!$G$5:$G$140&lt;&gt;"acoes")))*INDEX(Inputs!$K$5:$AJ$140,0,MATCH(U$2,Inputs!$K$4:$AJ$4,0)))+SUMPRODUCT((Inputs!$E$5:$E$140=$B50)*Inputs!$F$5:$F$140*(((Inputs!$G$5:$G$140="moeda")+(Inputs!$G$5:$G$140="acoes"))*Inputs!$B$1+((Inputs!$G$5:$G$140&lt;&gt;"moeda")*(Inputs!$G$5:$G$140&lt;&gt;"acoes")))*INDEX(Inputs!$K$5:$AJ$140,0,MATCH(U$2,Inputs!$K$4:$AJ$4,0)))))</f>
        <v>170.571</v>
      </c>
      <c r="V50" s="6">
        <f>IF(ISNA(MATCH(V$2,Inputs!$K$4:$AJ$4,0)),NA(),IF(SUMPRODUCT((Inputs!$A$5:$A$140=$B50)*ISNUMBER(INDEX(Inputs!$K$5:$AJ$140,0,MATCH(V$2,Inputs!$K$4:$AJ$4,0))))+SUMPRODUCT((Inputs!$C$5:$C$140=$B50)*ISNUMBER(INDEX(Inputs!$K$5:$AJ$140,0,MATCH(V$2,Inputs!$K$4:$AJ$4,0))))+SUMPRODUCT((Inputs!$E$5:$E$140=$B50)*ISNUMBER(INDEX(Inputs!$K$5:$AJ$140,0,MATCH(V$2,Inputs!$K$4:$AJ$4,0))))=0,NA(),SUMPRODUCT((Inputs!$A$5:$A$140=$B50)*Inputs!$B$5:$B$140*(((Inputs!$G$5:$G$140="moeda")+(Inputs!$G$5:$G$140="acoes"))*Inputs!$B$1+((Inputs!$G$5:$G$140&lt;&gt;"moeda")*(Inputs!$G$5:$G$140&lt;&gt;"acoes")))*INDEX(Inputs!$K$5:$AJ$140,0,MATCH(V$2,Inputs!$K$4:$AJ$4,0)))+SUMPRODUCT((Inputs!$C$5:$C$140=$B50)*Inputs!$D$5:$D$140*(((Inputs!$G$5:$G$140="moeda")+(Inputs!$G$5:$G$140="acoes"))*Inputs!$B$1+((Inputs!$G$5:$G$140&lt;&gt;"moeda")*(Inputs!$G$5:$G$140&lt;&gt;"acoes")))*INDEX(Inputs!$K$5:$AJ$140,0,MATCH(V$2,Inputs!$K$4:$AJ$4,0)))+SUMPRODUCT((Inputs!$E$5:$E$140=$B50)*Inputs!$F$5:$F$140*(((Inputs!$G$5:$G$140="moeda")+(Inputs!$G$5:$G$140="acoes"))*Inputs!$B$1+((Inputs!$G$5:$G$140&lt;&gt;"moeda")*(Inputs!$G$5:$G$140&lt;&gt;"acoes")))*INDEX(Inputs!$K$5:$AJ$140,0,MATCH(V$2,Inputs!$K$4:$AJ$4,0)))))</f>
        <v>165.784</v>
      </c>
      <c r="W50" s="3">
        <f>SUM(S50:V50)</f>
        <v>649.843</v>
      </c>
      <c r="X50" s="6">
        <f>IF(ISNA(MATCH(X$2,Inputs!$K$4:$AJ$4,0)),NA(),IF(SUMPRODUCT((Inputs!$A$5:$A$140=$B50)*ISNUMBER(INDEX(Inputs!$K$5:$AJ$140,0,MATCH(X$2,Inputs!$K$4:$AJ$4,0))))+SUMPRODUCT((Inputs!$C$5:$C$140=$B50)*ISNUMBER(INDEX(Inputs!$K$5:$AJ$140,0,MATCH(X$2,Inputs!$K$4:$AJ$4,0))))+SUMPRODUCT((Inputs!$E$5:$E$140=$B50)*ISNUMBER(INDEX(Inputs!$K$5:$AJ$140,0,MATCH(X$2,Inputs!$K$4:$AJ$4,0))))=0,NA(),SUMPRODUCT((Inputs!$A$5:$A$140=$B50)*Inputs!$B$5:$B$140*(((Inputs!$G$5:$G$140="moeda")+(Inputs!$G$5:$G$140="acoes"))*Inputs!$B$1+((Inputs!$G$5:$G$140&lt;&gt;"moeda")*(Inputs!$G$5:$G$140&lt;&gt;"acoes")))*INDEX(Inputs!$K$5:$AJ$140,0,MATCH(X$2,Inputs!$K$4:$AJ$4,0)))+SUMPRODUCT((Inputs!$C$5:$C$140=$B50)*Inputs!$D$5:$D$140*(((Inputs!$G$5:$G$140="moeda")+(Inputs!$G$5:$G$140="acoes"))*Inputs!$B$1+((Inputs!$G$5:$G$140&lt;&gt;"moeda")*(Inputs!$G$5:$G$140&lt;&gt;"acoes")))*INDEX(Inputs!$K$5:$AJ$140,0,MATCH(X$2,Inputs!$K$4:$AJ$4,0)))+SUMPRODUCT((Inputs!$E$5:$E$140=$B50)*Inputs!$F$5:$F$140*(((Inputs!$G$5:$G$140="moeda")+(Inputs!$G$5:$G$140="acoes"))*Inputs!$B$1+((Inputs!$G$5:$G$140&lt;&gt;"moeda")*(Inputs!$G$5:$G$140&lt;&gt;"acoes")))*INDEX(Inputs!$K$5:$AJ$140,0,MATCH(X$2,Inputs!$K$4:$AJ$4,0)))))</f>
        <v>213.475</v>
      </c>
      <c r="Y50" s="6">
        <f>IF(ISNA(MATCH(Y$2,Inputs!$K$4:$AJ$4,0)),NA(),IF(SUMPRODUCT((Inputs!$A$5:$A$140=$B50)*ISNUMBER(INDEX(Inputs!$K$5:$AJ$140,0,MATCH(Y$2,Inputs!$K$4:$AJ$4,0))))+SUMPRODUCT((Inputs!$C$5:$C$140=$B50)*ISNUMBER(INDEX(Inputs!$K$5:$AJ$140,0,MATCH(Y$2,Inputs!$K$4:$AJ$4,0))))+SUMPRODUCT((Inputs!$E$5:$E$140=$B50)*ISNUMBER(INDEX(Inputs!$K$5:$AJ$140,0,MATCH(Y$2,Inputs!$K$4:$AJ$4,0))))=0,NA(),SUMPRODUCT((Inputs!$A$5:$A$140=$B50)*Inputs!$B$5:$B$140*(((Inputs!$G$5:$G$140="moeda")+(Inputs!$G$5:$G$140="acoes"))*Inputs!$B$1+((Inputs!$G$5:$G$140&lt;&gt;"moeda")*(Inputs!$G$5:$G$140&lt;&gt;"acoes")))*INDEX(Inputs!$K$5:$AJ$140,0,MATCH(Y$2,Inputs!$K$4:$AJ$4,0)))+SUMPRODUCT((Inputs!$C$5:$C$140=$B50)*Inputs!$D$5:$D$140*(((Inputs!$G$5:$G$140="moeda")+(Inputs!$G$5:$G$140="acoes"))*Inputs!$B$1+((Inputs!$G$5:$G$140&lt;&gt;"moeda")*(Inputs!$G$5:$G$140&lt;&gt;"acoes")))*INDEX(Inputs!$K$5:$AJ$140,0,MATCH(Y$2,Inputs!$K$4:$AJ$4,0)))+SUMPRODUCT((Inputs!$E$5:$E$140=$B50)*Inputs!$F$5:$F$140*(((Inputs!$G$5:$G$140="moeda")+(Inputs!$G$5:$G$140="acoes"))*Inputs!$B$1+((Inputs!$G$5:$G$140&lt;&gt;"moeda")*(Inputs!$G$5:$G$140&lt;&gt;"acoes")))*INDEX(Inputs!$K$5:$AJ$140,0,MATCH(Y$2,Inputs!$K$4:$AJ$4,0)))))</f>
        <v>236.7306</v>
      </c>
      <c r="Z50" s="6">
        <f>IF(ISNA(MATCH(Z$2,Inputs!$K$4:$AJ$4,0)),NA(),IF(SUMPRODUCT((Inputs!$A$5:$A$140=$B50)*ISNUMBER(INDEX(Inputs!$K$5:$AJ$140,0,MATCH(Z$2,Inputs!$K$4:$AJ$4,0))))+SUMPRODUCT((Inputs!$C$5:$C$140=$B50)*ISNUMBER(INDEX(Inputs!$K$5:$AJ$140,0,MATCH(Z$2,Inputs!$K$4:$AJ$4,0))))+SUMPRODUCT((Inputs!$E$5:$E$140=$B50)*ISNUMBER(INDEX(Inputs!$K$5:$AJ$140,0,MATCH(Z$2,Inputs!$K$4:$AJ$4,0))))=0,NA(),SUMPRODUCT((Inputs!$A$5:$A$140=$B50)*Inputs!$B$5:$B$140*(((Inputs!$G$5:$G$140="moeda")+(Inputs!$G$5:$G$140="acoes"))*Inputs!$B$1+((Inputs!$G$5:$G$140&lt;&gt;"moeda")*(Inputs!$G$5:$G$140&lt;&gt;"acoes")))*INDEX(Inputs!$K$5:$AJ$140,0,MATCH(Z$2,Inputs!$K$4:$AJ$4,0)))+SUMPRODUCT((Inputs!$C$5:$C$140=$B50)*Inputs!$D$5:$D$140*(((Inputs!$G$5:$G$140="moeda")+(Inputs!$G$5:$G$140="acoes"))*Inputs!$B$1+((Inputs!$G$5:$G$140&lt;&gt;"moeda")*(Inputs!$G$5:$G$140&lt;&gt;"acoes")))*INDEX(Inputs!$K$5:$AJ$140,0,MATCH(Z$2,Inputs!$K$4:$AJ$4,0)))+SUMPRODUCT((Inputs!$E$5:$E$140=$B50)*Inputs!$F$5:$F$140*(((Inputs!$G$5:$G$140="moeda")+(Inputs!$G$5:$G$140="acoes"))*Inputs!$B$1+((Inputs!$G$5:$G$140&lt;&gt;"moeda")*(Inputs!$G$5:$G$140&lt;&gt;"acoes")))*INDEX(Inputs!$K$5:$AJ$140,0,MATCH(Z$2,Inputs!$K$4:$AJ$4,0)))))</f>
        <v>255.253</v>
      </c>
      <c r="AA50" s="6">
        <f>IF(ISNA(MATCH(AA$2,Inputs!$K$4:$AJ$4,0)),NA(),IF(SUMPRODUCT((Inputs!$A$5:$A$140=$B50)*ISNUMBER(INDEX(Inputs!$K$5:$AJ$140,0,MATCH(AA$2,Inputs!$K$4:$AJ$4,0))))+SUMPRODUCT((Inputs!$C$5:$C$140=$B50)*ISNUMBER(INDEX(Inputs!$K$5:$AJ$140,0,MATCH(AA$2,Inputs!$K$4:$AJ$4,0))))+SUMPRODUCT((Inputs!$E$5:$E$140=$B50)*ISNUMBER(INDEX(Inputs!$K$5:$AJ$140,0,MATCH(AA$2,Inputs!$K$4:$AJ$4,0))))=0,NA(),SUMPRODUCT((Inputs!$A$5:$A$140=$B50)*Inputs!$B$5:$B$140*(((Inputs!$G$5:$G$140="moeda")+(Inputs!$G$5:$G$140="acoes"))*Inputs!$B$1+((Inputs!$G$5:$G$140&lt;&gt;"moeda")*(Inputs!$G$5:$G$140&lt;&gt;"acoes")))*INDEX(Inputs!$K$5:$AJ$140,0,MATCH(AA$2,Inputs!$K$4:$AJ$4,0)))+SUMPRODUCT((Inputs!$C$5:$C$140=$B50)*Inputs!$D$5:$D$140*(((Inputs!$G$5:$G$140="moeda")+(Inputs!$G$5:$G$140="acoes"))*Inputs!$B$1+((Inputs!$G$5:$G$140&lt;&gt;"moeda")*(Inputs!$G$5:$G$140&lt;&gt;"acoes")))*INDEX(Inputs!$K$5:$AJ$140,0,MATCH(AA$2,Inputs!$K$4:$AJ$4,0)))+SUMPRODUCT((Inputs!$E$5:$E$140=$B50)*Inputs!$F$5:$F$140*(((Inputs!$G$5:$G$140="moeda")+(Inputs!$G$5:$G$140="acoes"))*Inputs!$B$1+((Inputs!$G$5:$G$140&lt;&gt;"moeda")*(Inputs!$G$5:$G$140&lt;&gt;"acoes")))*INDEX(Inputs!$K$5:$AJ$140,0,MATCH(AA$2,Inputs!$K$4:$AJ$4,0)))))</f>
        <v>270.077</v>
      </c>
      <c r="AB50" s="3">
        <f>SUM(X50:AA50)</f>
        <v>975.5356</v>
      </c>
      <c r="AC50" s="6">
        <f>IF(ISNA(MATCH(AC$2,Inputs!$K$4:$AJ$4,0)),NA(),IF(SUMPRODUCT((Inputs!$A$5:$A$140=$B50)*ISNUMBER(INDEX(Inputs!$K$5:$AJ$140,0,MATCH(AC$2,Inputs!$K$4:$AJ$4,0))))+SUMPRODUCT((Inputs!$C$5:$C$140=$B50)*ISNUMBER(INDEX(Inputs!$K$5:$AJ$140,0,MATCH(AC$2,Inputs!$K$4:$AJ$4,0))))+SUMPRODUCT((Inputs!$E$5:$E$140=$B50)*ISNUMBER(INDEX(Inputs!$K$5:$AJ$140,0,MATCH(AC$2,Inputs!$K$4:$AJ$4,0))))=0,NA(),SUMPRODUCT((Inputs!$A$5:$A$140=$B50)*Inputs!$B$5:$B$140*(((Inputs!$G$5:$G$140="moeda")+(Inputs!$G$5:$G$140="acoes"))*Inputs!$B$1+((Inputs!$G$5:$G$140&lt;&gt;"moeda")*(Inputs!$G$5:$G$140&lt;&gt;"acoes")))*INDEX(Inputs!$K$5:$AJ$140,0,MATCH(AC$2,Inputs!$K$4:$AJ$4,0)))+SUMPRODUCT((Inputs!$C$5:$C$140=$B50)*Inputs!$D$5:$D$140*(((Inputs!$G$5:$G$140="moeda")+(Inputs!$G$5:$G$140="acoes"))*Inputs!$B$1+((Inputs!$G$5:$G$140&lt;&gt;"moeda")*(Inputs!$G$5:$G$140&lt;&gt;"acoes")))*INDEX(Inputs!$K$5:$AJ$140,0,MATCH(AC$2,Inputs!$K$4:$AJ$4,0)))+SUMPRODUCT((Inputs!$E$5:$E$140=$B50)*Inputs!$F$5:$F$140*(((Inputs!$G$5:$G$140="moeda")+(Inputs!$G$5:$G$140="acoes"))*Inputs!$B$1+((Inputs!$G$5:$G$140&lt;&gt;"moeda")*(Inputs!$G$5:$G$140&lt;&gt;"acoes")))*INDEX(Inputs!$K$5:$AJ$140,0,MATCH(AC$2,Inputs!$K$4:$AJ$4,0)))))</f>
        <v>302.867</v>
      </c>
      <c r="AD50" s="6">
        <f>IF(ISNA(MATCH(AD$2,Inputs!$K$4:$AJ$4,0)),NA(),IF(SUMPRODUCT((Inputs!$A$5:$A$140=$B50)*ISNUMBER(INDEX(Inputs!$K$5:$AJ$140,0,MATCH(AD$2,Inputs!$K$4:$AJ$4,0))))+SUMPRODUCT((Inputs!$C$5:$C$140=$B50)*ISNUMBER(INDEX(Inputs!$K$5:$AJ$140,0,MATCH(AD$2,Inputs!$K$4:$AJ$4,0))))+SUMPRODUCT((Inputs!$E$5:$E$140=$B50)*ISNUMBER(INDEX(Inputs!$K$5:$AJ$140,0,MATCH(AD$2,Inputs!$K$4:$AJ$4,0))))=0,NA(),SUMPRODUCT((Inputs!$A$5:$A$140=$B50)*Inputs!$B$5:$B$140*(((Inputs!$G$5:$G$140="moeda")+(Inputs!$G$5:$G$140="acoes"))*Inputs!$B$1+((Inputs!$G$5:$G$140&lt;&gt;"moeda")*(Inputs!$G$5:$G$140&lt;&gt;"acoes")))*INDEX(Inputs!$K$5:$AJ$140,0,MATCH(AD$2,Inputs!$K$4:$AJ$4,0)))+SUMPRODUCT((Inputs!$C$5:$C$140=$B50)*Inputs!$D$5:$D$140*(((Inputs!$G$5:$G$140="moeda")+(Inputs!$G$5:$G$140="acoes"))*Inputs!$B$1+((Inputs!$G$5:$G$140&lt;&gt;"moeda")*(Inputs!$G$5:$G$140&lt;&gt;"acoes")))*INDEX(Inputs!$K$5:$AJ$140,0,MATCH(AD$2,Inputs!$K$4:$AJ$4,0)))+SUMPRODUCT((Inputs!$E$5:$E$140=$B50)*Inputs!$F$5:$F$140*(((Inputs!$G$5:$G$140="moeda")+(Inputs!$G$5:$G$140="acoes"))*Inputs!$B$1+((Inputs!$G$5:$G$140&lt;&gt;"moeda")*(Inputs!$G$5:$G$140&lt;&gt;"acoes")))*INDEX(Inputs!$K$5:$AJ$140,0,MATCH(AD$2,Inputs!$K$4:$AJ$4,0)))))</f>
        <v>270.451</v>
      </c>
      <c r="AE50" s="6" t="e">
        <f>IF(ISNA(MATCH(AE$2,Inputs!$K$4:$AJ$4,0)),NA(),IF(SUMPRODUCT((Inputs!$A$5:$A$140=$B50)*ISNUMBER(INDEX(Inputs!$K$5:$AJ$140,0,MATCH(AE$2,Inputs!$K$4:$AJ$4,0))))+SUMPRODUCT((Inputs!$C$5:$C$140=$B50)*ISNUMBER(INDEX(Inputs!$K$5:$AJ$140,0,MATCH(AE$2,Inputs!$K$4:$AJ$4,0))))+SUMPRODUCT((Inputs!$E$5:$E$140=$B50)*ISNUMBER(INDEX(Inputs!$K$5:$AJ$140,0,MATCH(AE$2,Inputs!$K$4:$AJ$4,0))))=0,NA(),SUMPRODUCT((Inputs!$A$5:$A$140=$B50)*Inputs!$B$5:$B$140*(((Inputs!$G$5:$G$140="moeda")+(Inputs!$G$5:$G$140="acoes"))*Inputs!$B$1+((Inputs!$G$5:$G$140&lt;&gt;"moeda")*(Inputs!$G$5:$G$140&lt;&gt;"acoes")))*INDEX(Inputs!$K$5:$AJ$140,0,MATCH(AE$2,Inputs!$K$4:$AJ$4,0)))+SUMPRODUCT((Inputs!$C$5:$C$140=$B50)*Inputs!$D$5:$D$140*(((Inputs!$G$5:$G$140="moeda")+(Inputs!$G$5:$G$140="acoes"))*Inputs!$B$1+((Inputs!$G$5:$G$140&lt;&gt;"moeda")*(Inputs!$G$5:$G$140&lt;&gt;"acoes")))*INDEX(Inputs!$K$5:$AJ$140,0,MATCH(AE$2,Inputs!$K$4:$AJ$4,0)))+SUMPRODUCT((Inputs!$E$5:$E$140=$B50)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0" s="6" t="e">
        <f>IF(ISNA(MATCH(AF$2,Inputs!$K$4:$AJ$4,0)),NA(),IF(SUMPRODUCT((Inputs!$A$5:$A$140=$B50)*ISNUMBER(INDEX(Inputs!$K$5:$AJ$140,0,MATCH(AF$2,Inputs!$K$4:$AJ$4,0))))+SUMPRODUCT((Inputs!$C$5:$C$140=$B50)*ISNUMBER(INDEX(Inputs!$K$5:$AJ$140,0,MATCH(AF$2,Inputs!$K$4:$AJ$4,0))))+SUMPRODUCT((Inputs!$E$5:$E$140=$B50)*ISNUMBER(INDEX(Inputs!$K$5:$AJ$140,0,MATCH(AF$2,Inputs!$K$4:$AJ$4,0))))=0,NA(),SUMPRODUCT((Inputs!$A$5:$A$140=$B50)*Inputs!$B$5:$B$140*(((Inputs!$G$5:$G$140="moeda")+(Inputs!$G$5:$G$140="acoes"))*Inputs!$B$1+((Inputs!$G$5:$G$140&lt;&gt;"moeda")*(Inputs!$G$5:$G$140&lt;&gt;"acoes")))*INDEX(Inputs!$K$5:$AJ$140,0,MATCH(AF$2,Inputs!$K$4:$AJ$4,0)))+SUMPRODUCT((Inputs!$C$5:$C$140=$B50)*Inputs!$D$5:$D$140*(((Inputs!$G$5:$G$140="moeda")+(Inputs!$G$5:$G$140="acoes"))*Inputs!$B$1+((Inputs!$G$5:$G$140&lt;&gt;"moeda")*(Inputs!$G$5:$G$140&lt;&gt;"acoes")))*INDEX(Inputs!$K$5:$AJ$140,0,MATCH(AF$2,Inputs!$K$4:$AJ$4,0)))+SUMPRODUCT((Inputs!$E$5:$E$140=$B50)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0" s="3" t="e">
        <f>SUM(AC50:AF50)</f>
        <v>#N/A</v>
      </c>
      <c r="AH50">
        <f>IF(ISNA(MATCH(AH$2,Inputs!$K$4:$AJ$4,0)),NA(),IF(SUMPRODUCT((Inputs!$A$5:$A$140=$B50)*ISNUMBER(INDEX(Inputs!$K$5:$AJ$140,0,MATCH(AH$2,Inputs!$K$4:$AJ$4,0))))+SUMPRODUCT((Inputs!$C$5:$C$140=$B50)*ISNUMBER(INDEX(Inputs!$K$5:$AJ$140,0,MATCH(AH$2,Inputs!$K$4:$AJ$4,0))))+SUMPRODUCT((Inputs!$E$5:$E$140=$B50)*ISNUMBER(INDEX(Inputs!$K$5:$AJ$140,0,MATCH(AH$2,Inputs!$K$4:$AJ$4,0))))=0,NA(),SUMPRODUCT((Inputs!$A$5:$A$140=$B50)*Inputs!$B$5:$B$140*(((Inputs!$G$5:$G$140="moeda")+(Inputs!$G$5:$G$140="acoes"))*Inputs!$B$1+((Inputs!$G$5:$G$140&lt;&gt;"moeda")*(Inputs!$G$5:$G$140&lt;&gt;"acoes")))*INDEX(Inputs!$K$5:$AJ$140,0,MATCH(AH$2,Inputs!$K$4:$AJ$4,0)))+SUMPRODUCT((Inputs!$C$5:$C$140=$B50)*Inputs!$D$5:$D$140*(((Inputs!$G$5:$G$140="moeda")+(Inputs!$G$5:$G$140="acoes"))*Inputs!$B$1+((Inputs!$G$5:$G$140&lt;&gt;"moeda")*(Inputs!$G$5:$G$140&lt;&gt;"acoes")))*INDEX(Inputs!$K$5:$AJ$140,0,MATCH(AH$2,Inputs!$K$4:$AJ$4,0)))+SUMPRODUCT((Inputs!$E$5:$E$140=$B50)*Inputs!$F$5:$F$140*(((Inputs!$G$5:$G$140="moeda")+(Inputs!$G$5:$G$140="acoes"))*Inputs!$B$1+((Inputs!$G$5:$G$140&lt;&gt;"moeda")*(Inputs!$G$5:$G$140&lt;&gt;"acoes")))*INDEX(Inputs!$K$5:$AJ$140,0,MATCH(AH$2,Inputs!$K$4:$AJ$4,0)))))</f>
        <v>6.5</v>
      </c>
      <c r="AI50">
        <f>IF(ISNA(MATCH(AI$2,Inputs!$K$4:$AJ$4,0)),NA(),IF(SUMPRODUCT((Inputs!$A$5:$A$140=$B50)*ISNUMBER(INDEX(Inputs!$K$5:$AJ$140,0,MATCH(AI$2,Inputs!$K$4:$AJ$4,0))))+SUMPRODUCT((Inputs!$C$5:$C$140=$B50)*ISNUMBER(INDEX(Inputs!$K$5:$AJ$140,0,MATCH(AI$2,Inputs!$K$4:$AJ$4,0))))+SUMPRODUCT((Inputs!$E$5:$E$140=$B50)*ISNUMBER(INDEX(Inputs!$K$5:$AJ$140,0,MATCH(AI$2,Inputs!$K$4:$AJ$4,0))))=0,NA(),SUMPRODUCT((Inputs!$A$5:$A$140=$B50)*Inputs!$B$5:$B$140*(((Inputs!$G$5:$G$140="moeda")+(Inputs!$G$5:$G$140="acoes"))*Inputs!$B$1+((Inputs!$G$5:$G$140&lt;&gt;"moeda")*(Inputs!$G$5:$G$140&lt;&gt;"acoes")))*INDEX(Inputs!$K$5:$AJ$140,0,MATCH(AI$2,Inputs!$K$4:$AJ$4,0)))+SUMPRODUCT((Inputs!$C$5:$C$140=$B50)*Inputs!$D$5:$D$140*(((Inputs!$G$5:$G$140="moeda")+(Inputs!$G$5:$G$140="acoes"))*Inputs!$B$1+((Inputs!$G$5:$G$140&lt;&gt;"moeda")*(Inputs!$G$5:$G$140&lt;&gt;"acoes")))*INDEX(Inputs!$K$5:$AJ$140,0,MATCH(AI$2,Inputs!$K$4:$AJ$4,0)))+SUMPRODUCT((Inputs!$E$5:$E$140=$B50)*Inputs!$F$5:$F$140*(((Inputs!$G$5:$G$140="moeda")+(Inputs!$G$5:$G$140="acoes"))*Inputs!$B$1+((Inputs!$G$5:$G$140&lt;&gt;"moeda")*(Inputs!$G$5:$G$140&lt;&gt;"acoes")))*INDEX(Inputs!$K$5:$AJ$140,0,MATCH(AI$2,Inputs!$K$4:$AJ$4,0)))))</f>
        <v>36.989</v>
      </c>
      <c r="AJ50">
        <f>IF(ISNA(MATCH(AJ$2,Inputs!$K$4:$AJ$4,0)),NA(),IF(SUMPRODUCT((Inputs!$A$5:$A$140=$B50)*ISNUMBER(INDEX(Inputs!$K$5:$AJ$140,0,MATCH(AJ$2,Inputs!$K$4:$AJ$4,0))))+SUMPRODUCT((Inputs!$C$5:$C$140=$B50)*ISNUMBER(INDEX(Inputs!$K$5:$AJ$140,0,MATCH(AJ$2,Inputs!$K$4:$AJ$4,0))))+SUMPRODUCT((Inputs!$E$5:$E$140=$B50)*ISNUMBER(INDEX(Inputs!$K$5:$AJ$140,0,MATCH(AJ$2,Inputs!$K$4:$AJ$4,0))))=0,NA(),SUMPRODUCT((Inputs!$A$5:$A$140=$B50)*Inputs!$B$5:$B$140*(((Inputs!$G$5:$G$140="moeda")+(Inputs!$G$5:$G$140="acoes"))*Inputs!$B$1+((Inputs!$G$5:$G$140&lt;&gt;"moeda")*(Inputs!$G$5:$G$140&lt;&gt;"acoes")))*INDEX(Inputs!$K$5:$AJ$140,0,MATCH(AJ$2,Inputs!$K$4:$AJ$4,0)))+SUMPRODUCT((Inputs!$C$5:$C$140=$B50)*Inputs!$D$5:$D$140*(((Inputs!$G$5:$G$140="moeda")+(Inputs!$G$5:$G$140="acoes"))*Inputs!$B$1+((Inputs!$G$5:$G$140&lt;&gt;"moeda")*(Inputs!$G$5:$G$140&lt;&gt;"acoes")))*INDEX(Inputs!$K$5:$AJ$140,0,MATCH(AJ$2,Inputs!$K$4:$AJ$4,0)))+SUMPRODUCT((Inputs!$E$5:$E$140=$B50)*Inputs!$F$5:$F$140*(((Inputs!$G$5:$G$140="moeda")+(Inputs!$G$5:$G$140="acoes"))*Inputs!$B$1+((Inputs!$G$5:$G$140&lt;&gt;"moeda")*(Inputs!$G$5:$G$140&lt;&gt;"acoes")))*INDEX(Inputs!$K$5:$AJ$140,0,MATCH(AJ$2,Inputs!$K$4:$AJ$4,0)))))</f>
        <v>49.355</v>
      </c>
      <c r="AK50">
        <f>IF(ISNA(MATCH(AK$2,Inputs!$K$4:$AJ$4,0)),NA(),IF(SUMPRODUCT((Inputs!$A$5:$A$140=$B50)*ISNUMBER(INDEX(Inputs!$K$5:$AJ$140,0,MATCH(AK$2,Inputs!$K$4:$AJ$4,0))))+SUMPRODUCT((Inputs!$C$5:$C$140=$B50)*ISNUMBER(INDEX(Inputs!$K$5:$AJ$140,0,MATCH(AK$2,Inputs!$K$4:$AJ$4,0))))+SUMPRODUCT((Inputs!$E$5:$E$140=$B50)*ISNUMBER(INDEX(Inputs!$K$5:$AJ$140,0,MATCH(AK$2,Inputs!$K$4:$AJ$4,0))))=0,NA(),SUMPRODUCT((Inputs!$A$5:$A$140=$B50)*Inputs!$B$5:$B$140*(((Inputs!$G$5:$G$140="moeda")+(Inputs!$G$5:$G$140="acoes"))*Inputs!$B$1+((Inputs!$G$5:$G$140&lt;&gt;"moeda")*(Inputs!$G$5:$G$140&lt;&gt;"acoes")))*INDEX(Inputs!$K$5:$AJ$140,0,MATCH(AK$2,Inputs!$K$4:$AJ$4,0)))+SUMPRODUCT((Inputs!$C$5:$C$140=$B50)*Inputs!$D$5:$D$140*(((Inputs!$G$5:$G$140="moeda")+(Inputs!$G$5:$G$140="acoes"))*Inputs!$B$1+((Inputs!$G$5:$G$140&lt;&gt;"moeda")*(Inputs!$G$5:$G$140&lt;&gt;"acoes")))*INDEX(Inputs!$K$5:$AJ$140,0,MATCH(AK$2,Inputs!$K$4:$AJ$4,0)))+SUMPRODUCT((Inputs!$E$5:$E$140=$B50)*Inputs!$F$5:$F$140*(((Inputs!$G$5:$G$140="moeda")+(Inputs!$G$5:$G$140="acoes"))*Inputs!$B$1+((Inputs!$G$5:$G$140&lt;&gt;"moeda")*(Inputs!$G$5:$G$140&lt;&gt;"acoes")))*INDEX(Inputs!$K$5:$AJ$140,0,MATCH(AK$2,Inputs!$K$4:$AJ$4,0)))))</f>
        <v>67.968</v>
      </c>
      <c r="AL50">
        <f>SUM(AH50:AK50)</f>
        <v>160.812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Lancamentos - VGV 100% (R$ mil; Res. Operacionais l.7)</t>
        </is>
      </c>
      <c r="D53" s="262">
        <f>IF(ISNA(MATCH(D$2,Inputs!$K$4:$AJ$4,0)),NA(),IF(SUMPRODUCT((Inputs!$A$5:$A$140=$B53)*ISNUMBER(INDEX(Inputs!$K$5:$AJ$140,0,MATCH(D$2,Inputs!$K$4:$AJ$4,0))))+SUMPRODUCT((Inputs!$C$5:$C$140=$B53)*ISNUMBER(INDEX(Inputs!$K$5:$AJ$140,0,MATCH(D$2,Inputs!$K$4:$AJ$4,0))))+SUMPRODUCT((Inputs!$E$5:$E$140=$B53)*ISNUMBER(INDEX(Inputs!$K$5:$AJ$140,0,MATCH(D$2,Inputs!$K$4:$AJ$4,0))))=0,NA(),SUMPRODUCT((Inputs!$A$5:$A$140=$B53)*Inputs!$B$5:$B$140*(((Inputs!$G$5:$G$140="moeda")+(Inputs!$G$5:$G$140="acoes"))*Inputs!$B$1+((Inputs!$G$5:$G$140&lt;&gt;"moeda")*(Inputs!$G$5:$G$140&lt;&gt;"acoes")))*INDEX(Inputs!$K$5:$AJ$140,0,MATCH(D$2,Inputs!$K$4:$AJ$4,0)))+SUMPRODUCT((Inputs!$C$5:$C$140=$B53)*Inputs!$D$5:$D$140*(((Inputs!$G$5:$G$140="moeda")+(Inputs!$G$5:$G$140="acoes"))*Inputs!$B$1+((Inputs!$G$5:$G$140&lt;&gt;"moeda")*(Inputs!$G$5:$G$140&lt;&gt;"acoes")))*INDEX(Inputs!$K$5:$AJ$140,0,MATCH(D$2,Inputs!$K$4:$AJ$4,0)))+SUMPRODUCT((Inputs!$E$5:$E$140=$B53)*Inputs!$F$5:$F$140*(((Inputs!$G$5:$G$140="moeda")+(Inputs!$G$5:$G$140="acoes"))*Inputs!$B$1+((Inputs!$G$5:$G$140&lt;&gt;"moeda")*(Inputs!$G$5:$G$140&lt;&gt;"acoes")))*INDEX(Inputs!$K$5:$AJ$140,0,MATCH(D$2,Inputs!$K$4:$AJ$4,0)))))</f>
        <v>590.494842</v>
      </c>
      <c r="E53" s="262">
        <f>IF(ISNA(MATCH(E$2,Inputs!$K$4:$AJ$4,0)),NA(),IF(SUMPRODUCT((Inputs!$A$5:$A$140=$B53)*ISNUMBER(INDEX(Inputs!$K$5:$AJ$140,0,MATCH(E$2,Inputs!$K$4:$AJ$4,0))))+SUMPRODUCT((Inputs!$C$5:$C$140=$B53)*ISNUMBER(INDEX(Inputs!$K$5:$AJ$140,0,MATCH(E$2,Inputs!$K$4:$AJ$4,0))))+SUMPRODUCT((Inputs!$E$5:$E$140=$B53)*ISNUMBER(INDEX(Inputs!$K$5:$AJ$140,0,MATCH(E$2,Inputs!$K$4:$AJ$4,0))))=0,NA(),SUMPRODUCT((Inputs!$A$5:$A$140=$B53)*Inputs!$B$5:$B$140*(((Inputs!$G$5:$G$140="moeda")+(Inputs!$G$5:$G$140="acoes"))*Inputs!$B$1+((Inputs!$G$5:$G$140&lt;&gt;"moeda")*(Inputs!$G$5:$G$140&lt;&gt;"acoes")))*INDEX(Inputs!$K$5:$AJ$140,0,MATCH(E$2,Inputs!$K$4:$AJ$4,0)))+SUMPRODUCT((Inputs!$C$5:$C$140=$B53)*Inputs!$D$5:$D$140*(((Inputs!$G$5:$G$140="moeda")+(Inputs!$G$5:$G$140="acoes"))*Inputs!$B$1+((Inputs!$G$5:$G$140&lt;&gt;"moeda")*(Inputs!$G$5:$G$140&lt;&gt;"acoes")))*INDEX(Inputs!$K$5:$AJ$140,0,MATCH(E$2,Inputs!$K$4:$AJ$4,0)))+SUMPRODUCT((Inputs!$E$5:$E$140=$B53)*Inputs!$F$5:$F$140*(((Inputs!$G$5:$G$140="moeda")+(Inputs!$G$5:$G$140="acoes"))*Inputs!$B$1+((Inputs!$G$5:$G$140&lt;&gt;"moeda")*(Inputs!$G$5:$G$140&lt;&gt;"acoes")))*INDEX(Inputs!$K$5:$AJ$140,0,MATCH(E$2,Inputs!$K$4:$AJ$4,0)))))</f>
        <v>686.188668</v>
      </c>
      <c r="F53" s="262">
        <f>IF(ISNA(MATCH(F$2,Inputs!$K$4:$AJ$4,0)),NA(),IF(SUMPRODUCT((Inputs!$A$5:$A$140=$B53)*ISNUMBER(INDEX(Inputs!$K$5:$AJ$140,0,MATCH(F$2,Inputs!$K$4:$AJ$4,0))))+SUMPRODUCT((Inputs!$C$5:$C$140=$B53)*ISNUMBER(INDEX(Inputs!$K$5:$AJ$140,0,MATCH(F$2,Inputs!$K$4:$AJ$4,0))))+SUMPRODUCT((Inputs!$E$5:$E$140=$B53)*ISNUMBER(INDEX(Inputs!$K$5:$AJ$140,0,MATCH(F$2,Inputs!$K$4:$AJ$4,0))))=0,NA(),SUMPRODUCT((Inputs!$A$5:$A$140=$B53)*Inputs!$B$5:$B$140*(((Inputs!$G$5:$G$140="moeda")+(Inputs!$G$5:$G$140="acoes"))*Inputs!$B$1+((Inputs!$G$5:$G$140&lt;&gt;"moeda")*(Inputs!$G$5:$G$140&lt;&gt;"acoes")))*INDEX(Inputs!$K$5:$AJ$140,0,MATCH(F$2,Inputs!$K$4:$AJ$4,0)))+SUMPRODUCT((Inputs!$C$5:$C$140=$B53)*Inputs!$D$5:$D$140*(((Inputs!$G$5:$G$140="moeda")+(Inputs!$G$5:$G$140="acoes"))*Inputs!$B$1+((Inputs!$G$5:$G$140&lt;&gt;"moeda")*(Inputs!$G$5:$G$140&lt;&gt;"acoes")))*INDEX(Inputs!$K$5:$AJ$140,0,MATCH(F$2,Inputs!$K$4:$AJ$4,0)))+SUMPRODUCT((Inputs!$E$5:$E$140=$B53)*Inputs!$F$5:$F$140*(((Inputs!$G$5:$G$140="moeda")+(Inputs!$G$5:$G$140="acoes"))*Inputs!$B$1+((Inputs!$G$5:$G$140&lt;&gt;"moeda")*(Inputs!$G$5:$G$140&lt;&gt;"acoes")))*INDEX(Inputs!$K$5:$AJ$140,0,MATCH(F$2,Inputs!$K$4:$AJ$4,0)))))</f>
        <v>720.223748</v>
      </c>
      <c r="G53" s="262">
        <f>IF(ISNA(MATCH(G$2,Inputs!$K$4:$AJ$4,0)),NA(),IF(SUMPRODUCT((Inputs!$A$5:$A$140=$B53)*ISNUMBER(INDEX(Inputs!$K$5:$AJ$140,0,MATCH(G$2,Inputs!$K$4:$AJ$4,0))))+SUMPRODUCT((Inputs!$C$5:$C$140=$B53)*ISNUMBER(INDEX(Inputs!$K$5:$AJ$140,0,MATCH(G$2,Inputs!$K$4:$AJ$4,0))))+SUMPRODUCT((Inputs!$E$5:$E$140=$B53)*ISNUMBER(INDEX(Inputs!$K$5:$AJ$140,0,MATCH(G$2,Inputs!$K$4:$AJ$4,0))))=0,NA(),SUMPRODUCT((Inputs!$A$5:$A$140=$B53)*Inputs!$B$5:$B$140*(((Inputs!$G$5:$G$140="moeda")+(Inputs!$G$5:$G$140="acoes"))*Inputs!$B$1+((Inputs!$G$5:$G$140&lt;&gt;"moeda")*(Inputs!$G$5:$G$140&lt;&gt;"acoes")))*INDEX(Inputs!$K$5:$AJ$140,0,MATCH(G$2,Inputs!$K$4:$AJ$4,0)))+SUMPRODUCT((Inputs!$C$5:$C$140=$B53)*Inputs!$D$5:$D$140*(((Inputs!$G$5:$G$140="moeda")+(Inputs!$G$5:$G$140="acoes"))*Inputs!$B$1+((Inputs!$G$5:$G$140&lt;&gt;"moeda")*(Inputs!$G$5:$G$140&lt;&gt;"acoes")))*INDEX(Inputs!$K$5:$AJ$140,0,MATCH(G$2,Inputs!$K$4:$AJ$4,0)))+SUMPRODUCT((Inputs!$E$5:$E$140=$B53)*Inputs!$F$5:$F$140*(((Inputs!$G$5:$G$140="moeda")+(Inputs!$G$5:$G$140="acoes"))*Inputs!$B$1+((Inputs!$G$5:$G$140&lt;&gt;"moeda")*(Inputs!$G$5:$G$140&lt;&gt;"acoes")))*INDEX(Inputs!$K$5:$AJ$140,0,MATCH(G$2,Inputs!$K$4:$AJ$4,0)))))</f>
        <v>788.101234956162</v>
      </c>
      <c r="H53" s="263">
        <f>SUM(D53:G53)</f>
        <v>2785.00849295616</v>
      </c>
      <c r="I53" s="262">
        <f>IF(ISNA(MATCH(I$2,Inputs!$K$4:$AJ$4,0)),NA(),IF(SUMPRODUCT((Inputs!$A$5:$A$140=$B53)*ISNUMBER(INDEX(Inputs!$K$5:$AJ$140,0,MATCH(I$2,Inputs!$K$4:$AJ$4,0))))+SUMPRODUCT((Inputs!$C$5:$C$140=$B53)*ISNUMBER(INDEX(Inputs!$K$5:$AJ$140,0,MATCH(I$2,Inputs!$K$4:$AJ$4,0))))+SUMPRODUCT((Inputs!$E$5:$E$140=$B53)*ISNUMBER(INDEX(Inputs!$K$5:$AJ$140,0,MATCH(I$2,Inputs!$K$4:$AJ$4,0))))=0,NA(),SUMPRODUCT((Inputs!$A$5:$A$140=$B53)*Inputs!$B$5:$B$140*(((Inputs!$G$5:$G$140="moeda")+(Inputs!$G$5:$G$140="acoes"))*Inputs!$B$1+((Inputs!$G$5:$G$140&lt;&gt;"moeda")*(Inputs!$G$5:$G$140&lt;&gt;"acoes")))*INDEX(Inputs!$K$5:$AJ$140,0,MATCH(I$2,Inputs!$K$4:$AJ$4,0)))+SUMPRODUCT((Inputs!$C$5:$C$140=$B53)*Inputs!$D$5:$D$140*(((Inputs!$G$5:$G$140="moeda")+(Inputs!$G$5:$G$140="acoes"))*Inputs!$B$1+((Inputs!$G$5:$G$140&lt;&gt;"moeda")*(Inputs!$G$5:$G$140&lt;&gt;"acoes")))*INDEX(Inputs!$K$5:$AJ$140,0,MATCH(I$2,Inputs!$K$4:$AJ$4,0)))+SUMPRODUCT((Inputs!$E$5:$E$140=$B53)*Inputs!$F$5:$F$140*(((Inputs!$G$5:$G$140="moeda")+(Inputs!$G$5:$G$140="acoes"))*Inputs!$B$1+((Inputs!$G$5:$G$140&lt;&gt;"moeda")*(Inputs!$G$5:$G$140&lt;&gt;"acoes")))*INDEX(Inputs!$K$5:$AJ$140,0,MATCH(I$2,Inputs!$K$4:$AJ$4,0)))))</f>
        <v>781.15</v>
      </c>
      <c r="J53" s="262">
        <f>IF(ISNA(MATCH(J$2,Inputs!$K$4:$AJ$4,0)),NA(),IF(SUMPRODUCT((Inputs!$A$5:$A$140=$B53)*ISNUMBER(INDEX(Inputs!$K$5:$AJ$140,0,MATCH(J$2,Inputs!$K$4:$AJ$4,0))))+SUMPRODUCT((Inputs!$C$5:$C$140=$B53)*ISNUMBER(INDEX(Inputs!$K$5:$AJ$140,0,MATCH(J$2,Inputs!$K$4:$AJ$4,0))))+SUMPRODUCT((Inputs!$E$5:$E$140=$B53)*ISNUMBER(INDEX(Inputs!$K$5:$AJ$140,0,MATCH(J$2,Inputs!$K$4:$AJ$4,0))))=0,NA(),SUMPRODUCT((Inputs!$A$5:$A$140=$B53)*Inputs!$B$5:$B$140*(((Inputs!$G$5:$G$140="moeda")+(Inputs!$G$5:$G$140="acoes"))*Inputs!$B$1+((Inputs!$G$5:$G$140&lt;&gt;"moeda")*(Inputs!$G$5:$G$140&lt;&gt;"acoes")))*INDEX(Inputs!$K$5:$AJ$140,0,MATCH(J$2,Inputs!$K$4:$AJ$4,0)))+SUMPRODUCT((Inputs!$C$5:$C$140=$B53)*Inputs!$D$5:$D$140*(((Inputs!$G$5:$G$140="moeda")+(Inputs!$G$5:$G$140="acoes"))*Inputs!$B$1+((Inputs!$G$5:$G$140&lt;&gt;"moeda")*(Inputs!$G$5:$G$140&lt;&gt;"acoes")))*INDEX(Inputs!$K$5:$AJ$140,0,MATCH(J$2,Inputs!$K$4:$AJ$4,0)))+SUMPRODUCT((Inputs!$E$5:$E$140=$B53)*Inputs!$F$5:$F$140*(((Inputs!$G$5:$G$140="moeda")+(Inputs!$G$5:$G$140="acoes"))*Inputs!$B$1+((Inputs!$G$5:$G$140&lt;&gt;"moeda")*(Inputs!$G$5:$G$140&lt;&gt;"acoes")))*INDEX(Inputs!$K$5:$AJ$140,0,MATCH(J$2,Inputs!$K$4:$AJ$4,0)))))</f>
        <v>1056.318</v>
      </c>
      <c r="K53" s="262">
        <f>IF(ISNA(MATCH(K$2,Inputs!$K$4:$AJ$4,0)),NA(),IF(SUMPRODUCT((Inputs!$A$5:$A$140=$B53)*ISNUMBER(INDEX(Inputs!$K$5:$AJ$140,0,MATCH(K$2,Inputs!$K$4:$AJ$4,0))))+SUMPRODUCT((Inputs!$C$5:$C$140=$B53)*ISNUMBER(INDEX(Inputs!$K$5:$AJ$140,0,MATCH(K$2,Inputs!$K$4:$AJ$4,0))))+SUMPRODUCT((Inputs!$E$5:$E$140=$B53)*ISNUMBER(INDEX(Inputs!$K$5:$AJ$140,0,MATCH(K$2,Inputs!$K$4:$AJ$4,0))))=0,NA(),SUMPRODUCT((Inputs!$A$5:$A$140=$B53)*Inputs!$B$5:$B$140*(((Inputs!$G$5:$G$140="moeda")+(Inputs!$G$5:$G$140="acoes"))*Inputs!$B$1+((Inputs!$G$5:$G$140&lt;&gt;"moeda")*(Inputs!$G$5:$G$140&lt;&gt;"acoes")))*INDEX(Inputs!$K$5:$AJ$140,0,MATCH(K$2,Inputs!$K$4:$AJ$4,0)))+SUMPRODUCT((Inputs!$C$5:$C$140=$B53)*Inputs!$D$5:$D$140*(((Inputs!$G$5:$G$140="moeda")+(Inputs!$G$5:$G$140="acoes"))*Inputs!$B$1+((Inputs!$G$5:$G$140&lt;&gt;"moeda")*(Inputs!$G$5:$G$140&lt;&gt;"acoes")))*INDEX(Inputs!$K$5:$AJ$140,0,MATCH(K$2,Inputs!$K$4:$AJ$4,0)))+SUMPRODUCT((Inputs!$E$5:$E$140=$B53)*Inputs!$F$5:$F$140*(((Inputs!$G$5:$G$140="moeda")+(Inputs!$G$5:$G$140="acoes"))*Inputs!$B$1+((Inputs!$G$5:$G$140&lt;&gt;"moeda")*(Inputs!$G$5:$G$140&lt;&gt;"acoes")))*INDEX(Inputs!$K$5:$AJ$140,0,MATCH(K$2,Inputs!$K$4:$AJ$4,0)))))</f>
        <v>919.146343</v>
      </c>
      <c r="L53" s="262">
        <f>IF(ISNA(MATCH(L$2,Inputs!$K$4:$AJ$4,0)),NA(),IF(SUMPRODUCT((Inputs!$A$5:$A$140=$B53)*ISNUMBER(INDEX(Inputs!$K$5:$AJ$140,0,MATCH(L$2,Inputs!$K$4:$AJ$4,0))))+SUMPRODUCT((Inputs!$C$5:$C$140=$B53)*ISNUMBER(INDEX(Inputs!$K$5:$AJ$140,0,MATCH(L$2,Inputs!$K$4:$AJ$4,0))))+SUMPRODUCT((Inputs!$E$5:$E$140=$B53)*ISNUMBER(INDEX(Inputs!$K$5:$AJ$140,0,MATCH(L$2,Inputs!$K$4:$AJ$4,0))))=0,NA(),SUMPRODUCT((Inputs!$A$5:$A$140=$B53)*Inputs!$B$5:$B$140*(((Inputs!$G$5:$G$140="moeda")+(Inputs!$G$5:$G$140="acoes"))*Inputs!$B$1+((Inputs!$G$5:$G$140&lt;&gt;"moeda")*(Inputs!$G$5:$G$140&lt;&gt;"acoes")))*INDEX(Inputs!$K$5:$AJ$140,0,MATCH(L$2,Inputs!$K$4:$AJ$4,0)))+SUMPRODUCT((Inputs!$C$5:$C$140=$B53)*Inputs!$D$5:$D$140*(((Inputs!$G$5:$G$140="moeda")+(Inputs!$G$5:$G$140="acoes"))*Inputs!$B$1+((Inputs!$G$5:$G$140&lt;&gt;"moeda")*(Inputs!$G$5:$G$140&lt;&gt;"acoes")))*INDEX(Inputs!$K$5:$AJ$140,0,MATCH(L$2,Inputs!$K$4:$AJ$4,0)))+SUMPRODUCT((Inputs!$E$5:$E$140=$B53)*Inputs!$F$5:$F$140*(((Inputs!$G$5:$G$140="moeda")+(Inputs!$G$5:$G$140="acoes"))*Inputs!$B$1+((Inputs!$G$5:$G$140&lt;&gt;"moeda")*(Inputs!$G$5:$G$140&lt;&gt;"acoes")))*INDEX(Inputs!$K$5:$AJ$140,0,MATCH(L$2,Inputs!$K$4:$AJ$4,0)))))</f>
        <v>556.15909318</v>
      </c>
      <c r="M53" s="263">
        <f>SUM(I53:L53)</f>
        <v>3312.77343618</v>
      </c>
      <c r="N53" s="262">
        <f>IF(ISNA(MATCH(N$2,Inputs!$K$4:$AJ$4,0)),NA(),IF(SUMPRODUCT((Inputs!$A$5:$A$140=$B53)*ISNUMBER(INDEX(Inputs!$K$5:$AJ$140,0,MATCH(N$2,Inputs!$K$4:$AJ$4,0))))+SUMPRODUCT((Inputs!$C$5:$C$140=$B53)*ISNUMBER(INDEX(Inputs!$K$5:$AJ$140,0,MATCH(N$2,Inputs!$K$4:$AJ$4,0))))+SUMPRODUCT((Inputs!$E$5:$E$140=$B53)*ISNUMBER(INDEX(Inputs!$K$5:$AJ$140,0,MATCH(N$2,Inputs!$K$4:$AJ$4,0))))=0,NA(),SUMPRODUCT((Inputs!$A$5:$A$140=$B53)*Inputs!$B$5:$B$140*(((Inputs!$G$5:$G$140="moeda")+(Inputs!$G$5:$G$140="acoes"))*Inputs!$B$1+((Inputs!$G$5:$G$140&lt;&gt;"moeda")*(Inputs!$G$5:$G$140&lt;&gt;"acoes")))*INDEX(Inputs!$K$5:$AJ$140,0,MATCH(N$2,Inputs!$K$4:$AJ$4,0)))+SUMPRODUCT((Inputs!$C$5:$C$140=$B53)*Inputs!$D$5:$D$140*(((Inputs!$G$5:$G$140="moeda")+(Inputs!$G$5:$G$140="acoes"))*Inputs!$B$1+((Inputs!$G$5:$G$140&lt;&gt;"moeda")*(Inputs!$G$5:$G$140&lt;&gt;"acoes")))*INDEX(Inputs!$K$5:$AJ$140,0,MATCH(N$2,Inputs!$K$4:$AJ$4,0)))+SUMPRODUCT((Inputs!$E$5:$E$140=$B53)*Inputs!$F$5:$F$140*(((Inputs!$G$5:$G$140="moeda")+(Inputs!$G$5:$G$140="acoes"))*Inputs!$B$1+((Inputs!$G$5:$G$140&lt;&gt;"moeda")*(Inputs!$G$5:$G$140&lt;&gt;"acoes")))*INDEX(Inputs!$K$5:$AJ$140,0,MATCH(N$2,Inputs!$K$4:$AJ$4,0)))))</f>
        <v>1419.980923</v>
      </c>
      <c r="O53" s="262">
        <f>IF(ISNA(MATCH(O$2,Inputs!$K$4:$AJ$4,0)),NA(),IF(SUMPRODUCT((Inputs!$A$5:$A$140=$B53)*ISNUMBER(INDEX(Inputs!$K$5:$AJ$140,0,MATCH(O$2,Inputs!$K$4:$AJ$4,0))))+SUMPRODUCT((Inputs!$C$5:$C$140=$B53)*ISNUMBER(INDEX(Inputs!$K$5:$AJ$140,0,MATCH(O$2,Inputs!$K$4:$AJ$4,0))))+SUMPRODUCT((Inputs!$E$5:$E$140=$B53)*ISNUMBER(INDEX(Inputs!$K$5:$AJ$140,0,MATCH(O$2,Inputs!$K$4:$AJ$4,0))))=0,NA(),SUMPRODUCT((Inputs!$A$5:$A$140=$B53)*Inputs!$B$5:$B$140*(((Inputs!$G$5:$G$140="moeda")+(Inputs!$G$5:$G$140="acoes"))*Inputs!$B$1+((Inputs!$G$5:$G$140&lt;&gt;"moeda")*(Inputs!$G$5:$G$140&lt;&gt;"acoes")))*INDEX(Inputs!$K$5:$AJ$140,0,MATCH(O$2,Inputs!$K$4:$AJ$4,0)))+SUMPRODUCT((Inputs!$C$5:$C$140=$B53)*Inputs!$D$5:$D$140*(((Inputs!$G$5:$G$140="moeda")+(Inputs!$G$5:$G$140="acoes"))*Inputs!$B$1+((Inputs!$G$5:$G$140&lt;&gt;"moeda")*(Inputs!$G$5:$G$140&lt;&gt;"acoes")))*INDEX(Inputs!$K$5:$AJ$140,0,MATCH(O$2,Inputs!$K$4:$AJ$4,0)))+SUMPRODUCT((Inputs!$E$5:$E$140=$B53)*Inputs!$F$5:$F$140*(((Inputs!$G$5:$G$140="moeda")+(Inputs!$G$5:$G$140="acoes"))*Inputs!$B$1+((Inputs!$G$5:$G$140&lt;&gt;"moeda")*(Inputs!$G$5:$G$140&lt;&gt;"acoes")))*INDEX(Inputs!$K$5:$AJ$140,0,MATCH(O$2,Inputs!$K$4:$AJ$4,0)))))</f>
        <v>1222.565181</v>
      </c>
      <c r="P53" s="262">
        <f>IF(ISNA(MATCH(P$2,Inputs!$K$4:$AJ$4,0)),NA(),IF(SUMPRODUCT((Inputs!$A$5:$A$140=$B53)*ISNUMBER(INDEX(Inputs!$K$5:$AJ$140,0,MATCH(P$2,Inputs!$K$4:$AJ$4,0))))+SUMPRODUCT((Inputs!$C$5:$C$140=$B53)*ISNUMBER(INDEX(Inputs!$K$5:$AJ$140,0,MATCH(P$2,Inputs!$K$4:$AJ$4,0))))+SUMPRODUCT((Inputs!$E$5:$E$140=$B53)*ISNUMBER(INDEX(Inputs!$K$5:$AJ$140,0,MATCH(P$2,Inputs!$K$4:$AJ$4,0))))=0,NA(),SUMPRODUCT((Inputs!$A$5:$A$140=$B53)*Inputs!$B$5:$B$140*(((Inputs!$G$5:$G$140="moeda")+(Inputs!$G$5:$G$140="acoes"))*Inputs!$B$1+((Inputs!$G$5:$G$140&lt;&gt;"moeda")*(Inputs!$G$5:$G$140&lt;&gt;"acoes")))*INDEX(Inputs!$K$5:$AJ$140,0,MATCH(P$2,Inputs!$K$4:$AJ$4,0)))+SUMPRODUCT((Inputs!$C$5:$C$140=$B53)*Inputs!$D$5:$D$140*(((Inputs!$G$5:$G$140="moeda")+(Inputs!$G$5:$G$140="acoes"))*Inputs!$B$1+((Inputs!$G$5:$G$140&lt;&gt;"moeda")*(Inputs!$G$5:$G$140&lt;&gt;"acoes")))*INDEX(Inputs!$K$5:$AJ$140,0,MATCH(P$2,Inputs!$K$4:$AJ$4,0)))+SUMPRODUCT((Inputs!$E$5:$E$140=$B53)*Inputs!$F$5:$F$140*(((Inputs!$G$5:$G$140="moeda")+(Inputs!$G$5:$G$140="acoes"))*Inputs!$B$1+((Inputs!$G$5:$G$140&lt;&gt;"moeda")*(Inputs!$G$5:$G$140&lt;&gt;"acoes")))*INDEX(Inputs!$K$5:$AJ$140,0,MATCH(P$2,Inputs!$K$4:$AJ$4,0)))))</f>
        <v>941.717108</v>
      </c>
      <c r="Q53" s="262">
        <f>IF(ISNA(MATCH(Q$2,Inputs!$K$4:$AJ$4,0)),NA(),IF(SUMPRODUCT((Inputs!$A$5:$A$140=$B53)*ISNUMBER(INDEX(Inputs!$K$5:$AJ$140,0,MATCH(Q$2,Inputs!$K$4:$AJ$4,0))))+SUMPRODUCT((Inputs!$C$5:$C$140=$B53)*ISNUMBER(INDEX(Inputs!$K$5:$AJ$140,0,MATCH(Q$2,Inputs!$K$4:$AJ$4,0))))+SUMPRODUCT((Inputs!$E$5:$E$140=$B53)*ISNUMBER(INDEX(Inputs!$K$5:$AJ$140,0,MATCH(Q$2,Inputs!$K$4:$AJ$4,0))))=0,NA(),SUMPRODUCT((Inputs!$A$5:$A$140=$B53)*Inputs!$B$5:$B$140*(((Inputs!$G$5:$G$140="moeda")+(Inputs!$G$5:$G$140="acoes"))*Inputs!$B$1+((Inputs!$G$5:$G$140&lt;&gt;"moeda")*(Inputs!$G$5:$G$140&lt;&gt;"acoes")))*INDEX(Inputs!$K$5:$AJ$140,0,MATCH(Q$2,Inputs!$K$4:$AJ$4,0)))+SUMPRODUCT((Inputs!$C$5:$C$140=$B53)*Inputs!$D$5:$D$140*(((Inputs!$G$5:$G$140="moeda")+(Inputs!$G$5:$G$140="acoes"))*Inputs!$B$1+((Inputs!$G$5:$G$140&lt;&gt;"moeda")*(Inputs!$G$5:$G$140&lt;&gt;"acoes")))*INDEX(Inputs!$K$5:$AJ$140,0,MATCH(Q$2,Inputs!$K$4:$AJ$4,0)))+SUMPRODUCT((Inputs!$E$5:$E$140=$B53)*Inputs!$F$5:$F$140*(((Inputs!$G$5:$G$140="moeda")+(Inputs!$G$5:$G$140="acoes"))*Inputs!$B$1+((Inputs!$G$5:$G$140&lt;&gt;"moeda")*(Inputs!$G$5:$G$140&lt;&gt;"acoes")))*INDEX(Inputs!$K$5:$AJ$140,0,MATCH(Q$2,Inputs!$K$4:$AJ$4,0)))))</f>
        <v>856.606653</v>
      </c>
      <c r="R53" s="263">
        <f>SUM(N53:Q53)</f>
        <v>4440.869865</v>
      </c>
      <c r="S53" s="262">
        <f>IF(ISNA(MATCH(S$2,Inputs!$K$4:$AJ$4,0)),NA(),IF(SUMPRODUCT((Inputs!$A$5:$A$140=$B53)*ISNUMBER(INDEX(Inputs!$K$5:$AJ$140,0,MATCH(S$2,Inputs!$K$4:$AJ$4,0))))+SUMPRODUCT((Inputs!$C$5:$C$140=$B53)*ISNUMBER(INDEX(Inputs!$K$5:$AJ$140,0,MATCH(S$2,Inputs!$K$4:$AJ$4,0))))+SUMPRODUCT((Inputs!$E$5:$E$140=$B53)*ISNUMBER(INDEX(Inputs!$K$5:$AJ$140,0,MATCH(S$2,Inputs!$K$4:$AJ$4,0))))=0,NA(),SUMPRODUCT((Inputs!$A$5:$A$140=$B53)*Inputs!$B$5:$B$140*(((Inputs!$G$5:$G$140="moeda")+(Inputs!$G$5:$G$140="acoes"))*Inputs!$B$1+((Inputs!$G$5:$G$140&lt;&gt;"moeda")*(Inputs!$G$5:$G$140&lt;&gt;"acoes")))*INDEX(Inputs!$K$5:$AJ$140,0,MATCH(S$2,Inputs!$K$4:$AJ$4,0)))+SUMPRODUCT((Inputs!$C$5:$C$140=$B53)*Inputs!$D$5:$D$140*(((Inputs!$G$5:$G$140="moeda")+(Inputs!$G$5:$G$140="acoes"))*Inputs!$B$1+((Inputs!$G$5:$G$140&lt;&gt;"moeda")*(Inputs!$G$5:$G$140&lt;&gt;"acoes")))*INDEX(Inputs!$K$5:$AJ$140,0,MATCH(S$2,Inputs!$K$4:$AJ$4,0)))+SUMPRODUCT((Inputs!$E$5:$E$140=$B53)*Inputs!$F$5:$F$140*(((Inputs!$G$5:$G$140="moeda")+(Inputs!$G$5:$G$140="acoes"))*Inputs!$B$1+((Inputs!$G$5:$G$140&lt;&gt;"moeda")*(Inputs!$G$5:$G$140&lt;&gt;"acoes")))*INDEX(Inputs!$K$5:$AJ$140,0,MATCH(S$2,Inputs!$K$4:$AJ$4,0)))))</f>
        <v>1884.33801</v>
      </c>
      <c r="T53" s="262">
        <f>IF(ISNA(MATCH(T$2,Inputs!$K$4:$AJ$4,0)),NA(),IF(SUMPRODUCT((Inputs!$A$5:$A$140=$B53)*ISNUMBER(INDEX(Inputs!$K$5:$AJ$140,0,MATCH(T$2,Inputs!$K$4:$AJ$4,0))))+SUMPRODUCT((Inputs!$C$5:$C$140=$B53)*ISNUMBER(INDEX(Inputs!$K$5:$AJ$140,0,MATCH(T$2,Inputs!$K$4:$AJ$4,0))))+SUMPRODUCT((Inputs!$E$5:$E$140=$B53)*ISNUMBER(INDEX(Inputs!$K$5:$AJ$140,0,MATCH(T$2,Inputs!$K$4:$AJ$4,0))))=0,NA(),SUMPRODUCT((Inputs!$A$5:$A$140=$B53)*Inputs!$B$5:$B$140*(((Inputs!$G$5:$G$140="moeda")+(Inputs!$G$5:$G$140="acoes"))*Inputs!$B$1+((Inputs!$G$5:$G$140&lt;&gt;"moeda")*(Inputs!$G$5:$G$140&lt;&gt;"acoes")))*INDEX(Inputs!$K$5:$AJ$140,0,MATCH(T$2,Inputs!$K$4:$AJ$4,0)))+SUMPRODUCT((Inputs!$C$5:$C$140=$B53)*Inputs!$D$5:$D$140*(((Inputs!$G$5:$G$140="moeda")+(Inputs!$G$5:$G$140="acoes"))*Inputs!$B$1+((Inputs!$G$5:$G$140&lt;&gt;"moeda")*(Inputs!$G$5:$G$140&lt;&gt;"acoes")))*INDEX(Inputs!$K$5:$AJ$140,0,MATCH(T$2,Inputs!$K$4:$AJ$4,0)))+SUMPRODUCT((Inputs!$E$5:$E$140=$B53)*Inputs!$F$5:$F$140*(((Inputs!$G$5:$G$140="moeda")+(Inputs!$G$5:$G$140="acoes"))*Inputs!$B$1+((Inputs!$G$5:$G$140&lt;&gt;"moeda")*(Inputs!$G$5:$G$140&lt;&gt;"acoes")))*INDEX(Inputs!$K$5:$AJ$140,0,MATCH(T$2,Inputs!$K$4:$AJ$4,0)))))</f>
        <v>1734.686945</v>
      </c>
      <c r="U53" s="262">
        <f>IF(ISNA(MATCH(U$2,Inputs!$K$4:$AJ$4,0)),NA(),IF(SUMPRODUCT((Inputs!$A$5:$A$140=$B53)*ISNUMBER(INDEX(Inputs!$K$5:$AJ$140,0,MATCH(U$2,Inputs!$K$4:$AJ$4,0))))+SUMPRODUCT((Inputs!$C$5:$C$140=$B53)*ISNUMBER(INDEX(Inputs!$K$5:$AJ$140,0,MATCH(U$2,Inputs!$K$4:$AJ$4,0))))+SUMPRODUCT((Inputs!$E$5:$E$140=$B53)*ISNUMBER(INDEX(Inputs!$K$5:$AJ$140,0,MATCH(U$2,Inputs!$K$4:$AJ$4,0))))=0,NA(),SUMPRODUCT((Inputs!$A$5:$A$140=$B53)*Inputs!$B$5:$B$140*(((Inputs!$G$5:$G$140="moeda")+(Inputs!$G$5:$G$140="acoes"))*Inputs!$B$1+((Inputs!$G$5:$G$140&lt;&gt;"moeda")*(Inputs!$G$5:$G$140&lt;&gt;"acoes")))*INDEX(Inputs!$K$5:$AJ$140,0,MATCH(U$2,Inputs!$K$4:$AJ$4,0)))+SUMPRODUCT((Inputs!$C$5:$C$140=$B53)*Inputs!$D$5:$D$140*(((Inputs!$G$5:$G$140="moeda")+(Inputs!$G$5:$G$140="acoes"))*Inputs!$B$1+((Inputs!$G$5:$G$140&lt;&gt;"moeda")*(Inputs!$G$5:$G$140&lt;&gt;"acoes")))*INDEX(Inputs!$K$5:$AJ$140,0,MATCH(U$2,Inputs!$K$4:$AJ$4,0)))+SUMPRODUCT((Inputs!$E$5:$E$140=$B53)*Inputs!$F$5:$F$140*(((Inputs!$G$5:$G$140="moeda")+(Inputs!$G$5:$G$140="acoes"))*Inputs!$B$1+((Inputs!$G$5:$G$140&lt;&gt;"moeda")*(Inputs!$G$5:$G$140&lt;&gt;"acoes")))*INDEX(Inputs!$K$5:$AJ$140,0,MATCH(U$2,Inputs!$K$4:$AJ$4,0)))))</f>
        <v>1560.697</v>
      </c>
      <c r="V53" s="262">
        <f>IF(ISNA(MATCH(V$2,Inputs!$K$4:$AJ$4,0)),NA(),IF(SUMPRODUCT((Inputs!$A$5:$A$140=$B53)*ISNUMBER(INDEX(Inputs!$K$5:$AJ$140,0,MATCH(V$2,Inputs!$K$4:$AJ$4,0))))+SUMPRODUCT((Inputs!$C$5:$C$140=$B53)*ISNUMBER(INDEX(Inputs!$K$5:$AJ$140,0,MATCH(V$2,Inputs!$K$4:$AJ$4,0))))+SUMPRODUCT((Inputs!$E$5:$E$140=$B53)*ISNUMBER(INDEX(Inputs!$K$5:$AJ$140,0,MATCH(V$2,Inputs!$K$4:$AJ$4,0))))=0,NA(),SUMPRODUCT((Inputs!$A$5:$A$140=$B53)*Inputs!$B$5:$B$140*(((Inputs!$G$5:$G$140="moeda")+(Inputs!$G$5:$G$140="acoes"))*Inputs!$B$1+((Inputs!$G$5:$G$140&lt;&gt;"moeda")*(Inputs!$G$5:$G$140&lt;&gt;"acoes")))*INDEX(Inputs!$K$5:$AJ$140,0,MATCH(V$2,Inputs!$K$4:$AJ$4,0)))+SUMPRODUCT((Inputs!$C$5:$C$140=$B53)*Inputs!$D$5:$D$140*(((Inputs!$G$5:$G$140="moeda")+(Inputs!$G$5:$G$140="acoes"))*Inputs!$B$1+((Inputs!$G$5:$G$140&lt;&gt;"moeda")*(Inputs!$G$5:$G$140&lt;&gt;"acoes")))*INDEX(Inputs!$K$5:$AJ$140,0,MATCH(V$2,Inputs!$K$4:$AJ$4,0)))+SUMPRODUCT((Inputs!$E$5:$E$140=$B53)*Inputs!$F$5:$F$140*(((Inputs!$G$5:$G$140="moeda")+(Inputs!$G$5:$G$140="acoes"))*Inputs!$B$1+((Inputs!$G$5:$G$140&lt;&gt;"moeda")*(Inputs!$G$5:$G$140&lt;&gt;"acoes")))*INDEX(Inputs!$K$5:$AJ$140,0,MATCH(V$2,Inputs!$K$4:$AJ$4,0)))))</f>
        <v>1399.837</v>
      </c>
      <c r="W53" s="263">
        <f>SUM(S53:V53)</f>
        <v>6579.558955</v>
      </c>
      <c r="X53" s="262">
        <f>IF(ISNA(MATCH(X$2,Inputs!$K$4:$AJ$4,0)),NA(),IF(SUMPRODUCT((Inputs!$A$5:$A$140=$B53)*ISNUMBER(INDEX(Inputs!$K$5:$AJ$140,0,MATCH(X$2,Inputs!$K$4:$AJ$4,0))))+SUMPRODUCT((Inputs!$C$5:$C$140=$B53)*ISNUMBER(INDEX(Inputs!$K$5:$AJ$140,0,MATCH(X$2,Inputs!$K$4:$AJ$4,0))))+SUMPRODUCT((Inputs!$E$5:$E$140=$B53)*ISNUMBER(INDEX(Inputs!$K$5:$AJ$140,0,MATCH(X$2,Inputs!$K$4:$AJ$4,0))))=0,NA(),SUMPRODUCT((Inputs!$A$5:$A$140=$B53)*Inputs!$B$5:$B$140*(((Inputs!$G$5:$G$140="moeda")+(Inputs!$G$5:$G$140="acoes"))*Inputs!$B$1+((Inputs!$G$5:$G$140&lt;&gt;"moeda")*(Inputs!$G$5:$G$140&lt;&gt;"acoes")))*INDEX(Inputs!$K$5:$AJ$140,0,MATCH(X$2,Inputs!$K$4:$AJ$4,0)))+SUMPRODUCT((Inputs!$C$5:$C$140=$B53)*Inputs!$D$5:$D$140*(((Inputs!$G$5:$G$140="moeda")+(Inputs!$G$5:$G$140="acoes"))*Inputs!$B$1+((Inputs!$G$5:$G$140&lt;&gt;"moeda")*(Inputs!$G$5:$G$140&lt;&gt;"acoes")))*INDEX(Inputs!$K$5:$AJ$140,0,MATCH(X$2,Inputs!$K$4:$AJ$4,0)))+SUMPRODUCT((Inputs!$E$5:$E$140=$B53)*Inputs!$F$5:$F$140*(((Inputs!$G$5:$G$140="moeda")+(Inputs!$G$5:$G$140="acoes"))*Inputs!$B$1+((Inputs!$G$5:$G$140&lt;&gt;"moeda")*(Inputs!$G$5:$G$140&lt;&gt;"acoes")))*INDEX(Inputs!$K$5:$AJ$140,0,MATCH(X$2,Inputs!$K$4:$AJ$4,0)))))</f>
        <v>2783.509</v>
      </c>
      <c r="Y53" s="262">
        <f>IF(ISNA(MATCH(Y$2,Inputs!$K$4:$AJ$4,0)),NA(),IF(SUMPRODUCT((Inputs!$A$5:$A$140=$B53)*ISNUMBER(INDEX(Inputs!$K$5:$AJ$140,0,MATCH(Y$2,Inputs!$K$4:$AJ$4,0))))+SUMPRODUCT((Inputs!$C$5:$C$140=$B53)*ISNUMBER(INDEX(Inputs!$K$5:$AJ$140,0,MATCH(Y$2,Inputs!$K$4:$AJ$4,0))))+SUMPRODUCT((Inputs!$E$5:$E$140=$B53)*ISNUMBER(INDEX(Inputs!$K$5:$AJ$140,0,MATCH(Y$2,Inputs!$K$4:$AJ$4,0))))=0,NA(),SUMPRODUCT((Inputs!$A$5:$A$140=$B53)*Inputs!$B$5:$B$140*(((Inputs!$G$5:$G$140="moeda")+(Inputs!$G$5:$G$140="acoes"))*Inputs!$B$1+((Inputs!$G$5:$G$140&lt;&gt;"moeda")*(Inputs!$G$5:$G$140&lt;&gt;"acoes")))*INDEX(Inputs!$K$5:$AJ$140,0,MATCH(Y$2,Inputs!$K$4:$AJ$4,0)))+SUMPRODUCT((Inputs!$C$5:$C$140=$B53)*Inputs!$D$5:$D$140*(((Inputs!$G$5:$G$140="moeda")+(Inputs!$G$5:$G$140="acoes"))*Inputs!$B$1+((Inputs!$G$5:$G$140&lt;&gt;"moeda")*(Inputs!$G$5:$G$140&lt;&gt;"acoes")))*INDEX(Inputs!$K$5:$AJ$140,0,MATCH(Y$2,Inputs!$K$4:$AJ$4,0)))+SUMPRODUCT((Inputs!$E$5:$E$140=$B53)*Inputs!$F$5:$F$140*(((Inputs!$G$5:$G$140="moeda")+(Inputs!$G$5:$G$140="acoes"))*Inputs!$B$1+((Inputs!$G$5:$G$140&lt;&gt;"moeda")*(Inputs!$G$5:$G$140&lt;&gt;"acoes")))*INDEX(Inputs!$K$5:$AJ$140,0,MATCH(Y$2,Inputs!$K$4:$AJ$4,0)))))</f>
        <v>2225.285611</v>
      </c>
      <c r="Z53" s="262">
        <f>IF(ISNA(MATCH(Z$2,Inputs!$K$4:$AJ$4,0)),NA(),IF(SUMPRODUCT((Inputs!$A$5:$A$140=$B53)*ISNUMBER(INDEX(Inputs!$K$5:$AJ$140,0,MATCH(Z$2,Inputs!$K$4:$AJ$4,0))))+SUMPRODUCT((Inputs!$C$5:$C$140=$B53)*ISNUMBER(INDEX(Inputs!$K$5:$AJ$140,0,MATCH(Z$2,Inputs!$K$4:$AJ$4,0))))+SUMPRODUCT((Inputs!$E$5:$E$140=$B53)*ISNUMBER(INDEX(Inputs!$K$5:$AJ$140,0,MATCH(Z$2,Inputs!$K$4:$AJ$4,0))))=0,NA(),SUMPRODUCT((Inputs!$A$5:$A$140=$B53)*Inputs!$B$5:$B$140*(((Inputs!$G$5:$G$140="moeda")+(Inputs!$G$5:$G$140="acoes"))*Inputs!$B$1+((Inputs!$G$5:$G$140&lt;&gt;"moeda")*(Inputs!$G$5:$G$140&lt;&gt;"acoes")))*INDEX(Inputs!$K$5:$AJ$140,0,MATCH(Z$2,Inputs!$K$4:$AJ$4,0)))+SUMPRODUCT((Inputs!$C$5:$C$140=$B53)*Inputs!$D$5:$D$140*(((Inputs!$G$5:$G$140="moeda")+(Inputs!$G$5:$G$140="acoes"))*Inputs!$B$1+((Inputs!$G$5:$G$140&lt;&gt;"moeda")*(Inputs!$G$5:$G$140&lt;&gt;"acoes")))*INDEX(Inputs!$K$5:$AJ$140,0,MATCH(Z$2,Inputs!$K$4:$AJ$4,0)))+SUMPRODUCT((Inputs!$E$5:$E$140=$B53)*Inputs!$F$5:$F$140*(((Inputs!$G$5:$G$140="moeda")+(Inputs!$G$5:$G$140="acoes"))*Inputs!$B$1+((Inputs!$G$5:$G$140&lt;&gt;"moeda")*(Inputs!$G$5:$G$140&lt;&gt;"acoes")))*INDEX(Inputs!$K$5:$AJ$140,0,MATCH(Z$2,Inputs!$K$4:$AJ$4,0)))))</f>
        <v>1986.377642</v>
      </c>
      <c r="AA53" s="262">
        <f>IF(ISNA(MATCH(AA$2,Inputs!$K$4:$AJ$4,0)),NA(),IF(SUMPRODUCT((Inputs!$A$5:$A$140=$B53)*ISNUMBER(INDEX(Inputs!$K$5:$AJ$140,0,MATCH(AA$2,Inputs!$K$4:$AJ$4,0))))+SUMPRODUCT((Inputs!$C$5:$C$140=$B53)*ISNUMBER(INDEX(Inputs!$K$5:$AJ$140,0,MATCH(AA$2,Inputs!$K$4:$AJ$4,0))))+SUMPRODUCT((Inputs!$E$5:$E$140=$B53)*ISNUMBER(INDEX(Inputs!$K$5:$AJ$140,0,MATCH(AA$2,Inputs!$K$4:$AJ$4,0))))=0,NA(),SUMPRODUCT((Inputs!$A$5:$A$140=$B53)*Inputs!$B$5:$B$140*(((Inputs!$G$5:$G$140="moeda")+(Inputs!$G$5:$G$140="acoes"))*Inputs!$B$1+((Inputs!$G$5:$G$140&lt;&gt;"moeda")*(Inputs!$G$5:$G$140&lt;&gt;"acoes")))*INDEX(Inputs!$K$5:$AJ$140,0,MATCH(AA$2,Inputs!$K$4:$AJ$4,0)))+SUMPRODUCT((Inputs!$C$5:$C$140=$B53)*Inputs!$D$5:$D$140*(((Inputs!$G$5:$G$140="moeda")+(Inputs!$G$5:$G$140="acoes"))*Inputs!$B$1+((Inputs!$G$5:$G$140&lt;&gt;"moeda")*(Inputs!$G$5:$G$140&lt;&gt;"acoes")))*INDEX(Inputs!$K$5:$AJ$140,0,MATCH(AA$2,Inputs!$K$4:$AJ$4,0)))+SUMPRODUCT((Inputs!$E$5:$E$140=$B53)*Inputs!$F$5:$F$140*(((Inputs!$G$5:$G$140="moeda")+(Inputs!$G$5:$G$140="acoes"))*Inputs!$B$1+((Inputs!$G$5:$G$140&lt;&gt;"moeda")*(Inputs!$G$5:$G$140&lt;&gt;"acoes")))*INDEX(Inputs!$K$5:$AJ$140,0,MATCH(AA$2,Inputs!$K$4:$AJ$4,0)))))</f>
        <v>1289.513823</v>
      </c>
      <c r="AB53" s="263">
        <f>SUM(X53:AA53)</f>
        <v>8284.686076</v>
      </c>
      <c r="AC53" s="262">
        <f>IF(ISNA(MATCH(AC$2,Inputs!$K$4:$AJ$4,0)),NA(),IF(SUMPRODUCT((Inputs!$A$5:$A$140=$B53)*ISNUMBER(INDEX(Inputs!$K$5:$AJ$140,0,MATCH(AC$2,Inputs!$K$4:$AJ$4,0))))+SUMPRODUCT((Inputs!$C$5:$C$140=$B53)*ISNUMBER(INDEX(Inputs!$K$5:$AJ$140,0,MATCH(AC$2,Inputs!$K$4:$AJ$4,0))))+SUMPRODUCT((Inputs!$E$5:$E$140=$B53)*ISNUMBER(INDEX(Inputs!$K$5:$AJ$140,0,MATCH(AC$2,Inputs!$K$4:$AJ$4,0))))=0,NA(),SUMPRODUCT((Inputs!$A$5:$A$140=$B53)*Inputs!$B$5:$B$140*(((Inputs!$G$5:$G$140="moeda")+(Inputs!$G$5:$G$140="acoes"))*Inputs!$B$1+((Inputs!$G$5:$G$140&lt;&gt;"moeda")*(Inputs!$G$5:$G$140&lt;&gt;"acoes")))*INDEX(Inputs!$K$5:$AJ$140,0,MATCH(AC$2,Inputs!$K$4:$AJ$4,0)))+SUMPRODUCT((Inputs!$C$5:$C$140=$B53)*Inputs!$D$5:$D$140*(((Inputs!$G$5:$G$140="moeda")+(Inputs!$G$5:$G$140="acoes"))*Inputs!$B$1+((Inputs!$G$5:$G$140&lt;&gt;"moeda")*(Inputs!$G$5:$G$140&lt;&gt;"acoes")))*INDEX(Inputs!$K$5:$AJ$140,0,MATCH(AC$2,Inputs!$K$4:$AJ$4,0)))+SUMPRODUCT((Inputs!$E$5:$E$140=$B53)*Inputs!$F$5:$F$140*(((Inputs!$G$5:$G$140="moeda")+(Inputs!$G$5:$G$140="acoes"))*Inputs!$B$1+((Inputs!$G$5:$G$140&lt;&gt;"moeda")*(Inputs!$G$5:$G$140&lt;&gt;"acoes")))*INDEX(Inputs!$K$5:$AJ$140,0,MATCH(AC$2,Inputs!$K$4:$AJ$4,0)))))</f>
        <v>2646.75813942</v>
      </c>
      <c r="AD53" s="262">
        <f>IF(ISNA(MATCH(AD$2,Inputs!$K$4:$AJ$4,0)),NA(),IF(SUMPRODUCT((Inputs!$A$5:$A$140=$B53)*ISNUMBER(INDEX(Inputs!$K$5:$AJ$140,0,MATCH(AD$2,Inputs!$K$4:$AJ$4,0))))+SUMPRODUCT((Inputs!$C$5:$C$140=$B53)*ISNUMBER(INDEX(Inputs!$K$5:$AJ$140,0,MATCH(AD$2,Inputs!$K$4:$AJ$4,0))))+SUMPRODUCT((Inputs!$E$5:$E$140=$B53)*ISNUMBER(INDEX(Inputs!$K$5:$AJ$140,0,MATCH(AD$2,Inputs!$K$4:$AJ$4,0))))=0,NA(),SUMPRODUCT((Inputs!$A$5:$A$140=$B53)*Inputs!$B$5:$B$140*(((Inputs!$G$5:$G$140="moeda")+(Inputs!$G$5:$G$140="acoes"))*Inputs!$B$1+((Inputs!$G$5:$G$140&lt;&gt;"moeda")*(Inputs!$G$5:$G$140&lt;&gt;"acoes")))*INDEX(Inputs!$K$5:$AJ$140,0,MATCH(AD$2,Inputs!$K$4:$AJ$4,0)))+SUMPRODUCT((Inputs!$C$5:$C$140=$B53)*Inputs!$D$5:$D$140*(((Inputs!$G$5:$G$140="moeda")+(Inputs!$G$5:$G$140="acoes"))*Inputs!$B$1+((Inputs!$G$5:$G$140&lt;&gt;"moeda")*(Inputs!$G$5:$G$140&lt;&gt;"acoes")))*INDEX(Inputs!$K$5:$AJ$140,0,MATCH(AD$2,Inputs!$K$4:$AJ$4,0)))+SUMPRODUCT((Inputs!$E$5:$E$140=$B53)*Inputs!$F$5:$F$140*(((Inputs!$G$5:$G$140="moeda")+(Inputs!$G$5:$G$140="acoes"))*Inputs!$B$1+((Inputs!$G$5:$G$140&lt;&gt;"moeda")*(Inputs!$G$5:$G$140&lt;&gt;"acoes")))*INDEX(Inputs!$K$5:$AJ$140,0,MATCH(AD$2,Inputs!$K$4:$AJ$4,0)))))</f>
        <v>2256.88923928</v>
      </c>
      <c r="AE53" s="262" t="e">
        <f>IF(ISNA(MATCH(AE$2,Inputs!$K$4:$AJ$4,0)),NA(),IF(SUMPRODUCT((Inputs!$A$5:$A$140=$B53)*ISNUMBER(INDEX(Inputs!$K$5:$AJ$140,0,MATCH(AE$2,Inputs!$K$4:$AJ$4,0))))+SUMPRODUCT((Inputs!$C$5:$C$140=$B53)*ISNUMBER(INDEX(Inputs!$K$5:$AJ$140,0,MATCH(AE$2,Inputs!$K$4:$AJ$4,0))))+SUMPRODUCT((Inputs!$E$5:$E$140=$B53)*ISNUMBER(INDEX(Inputs!$K$5:$AJ$140,0,MATCH(AE$2,Inputs!$K$4:$AJ$4,0))))=0,NA(),SUMPRODUCT((Inputs!$A$5:$A$140=$B53)*Inputs!$B$5:$B$140*(((Inputs!$G$5:$G$140="moeda")+(Inputs!$G$5:$G$140="acoes"))*Inputs!$B$1+((Inputs!$G$5:$G$140&lt;&gt;"moeda")*(Inputs!$G$5:$G$140&lt;&gt;"acoes")))*INDEX(Inputs!$K$5:$AJ$140,0,MATCH(AE$2,Inputs!$K$4:$AJ$4,0)))+SUMPRODUCT((Inputs!$C$5:$C$140=$B53)*Inputs!$D$5:$D$140*(((Inputs!$G$5:$G$140="moeda")+(Inputs!$G$5:$G$140="acoes"))*Inputs!$B$1+((Inputs!$G$5:$G$140&lt;&gt;"moeda")*(Inputs!$G$5:$G$140&lt;&gt;"acoes")))*INDEX(Inputs!$K$5:$AJ$140,0,MATCH(AE$2,Inputs!$K$4:$AJ$4,0)))+SUMPRODUCT((Inputs!$E$5:$E$140=$B53)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3" s="262" t="e">
        <f>IF(ISNA(MATCH(AF$2,Inputs!$K$4:$AJ$4,0)),NA(),IF(SUMPRODUCT((Inputs!$A$5:$A$140=$B53)*ISNUMBER(INDEX(Inputs!$K$5:$AJ$140,0,MATCH(AF$2,Inputs!$K$4:$AJ$4,0))))+SUMPRODUCT((Inputs!$C$5:$C$140=$B53)*ISNUMBER(INDEX(Inputs!$K$5:$AJ$140,0,MATCH(AF$2,Inputs!$K$4:$AJ$4,0))))+SUMPRODUCT((Inputs!$E$5:$E$140=$B53)*ISNUMBER(INDEX(Inputs!$K$5:$AJ$140,0,MATCH(AF$2,Inputs!$K$4:$AJ$4,0))))=0,NA(),SUMPRODUCT((Inputs!$A$5:$A$140=$B53)*Inputs!$B$5:$B$140*(((Inputs!$G$5:$G$140="moeda")+(Inputs!$G$5:$G$140="acoes"))*Inputs!$B$1+((Inputs!$G$5:$G$140&lt;&gt;"moeda")*(Inputs!$G$5:$G$140&lt;&gt;"acoes")))*INDEX(Inputs!$K$5:$AJ$140,0,MATCH(AF$2,Inputs!$K$4:$AJ$4,0)))+SUMPRODUCT((Inputs!$C$5:$C$140=$B53)*Inputs!$D$5:$D$140*(((Inputs!$G$5:$G$140="moeda")+(Inputs!$G$5:$G$140="acoes"))*Inputs!$B$1+((Inputs!$G$5:$G$140&lt;&gt;"moeda")*(Inputs!$G$5:$G$140&lt;&gt;"acoes")))*INDEX(Inputs!$K$5:$AJ$140,0,MATCH(AF$2,Inputs!$K$4:$AJ$4,0)))+SUMPRODUCT((Inputs!$E$5:$E$140=$B53)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3" s="263" t="e">
        <f>SUM(AC53:AF53)</f>
        <v>#N/A</v>
      </c>
      <c r="AH53" s="262">
        <f>IF(ISNA(MATCH(AH$2,Inputs!$K$4:$AJ$4,0)),NA(),IF(SUMPRODUCT((Inputs!$A$5:$A$140=$B53)*ISNUMBER(INDEX(Inputs!$K$5:$AJ$140,0,MATCH(AH$2,Inputs!$K$4:$AJ$4,0))))+SUMPRODUCT((Inputs!$C$5:$C$140=$B53)*ISNUMBER(INDEX(Inputs!$K$5:$AJ$140,0,MATCH(AH$2,Inputs!$K$4:$AJ$4,0))))+SUMPRODUCT((Inputs!$E$5:$E$140=$B53)*ISNUMBER(INDEX(Inputs!$K$5:$AJ$140,0,MATCH(AH$2,Inputs!$K$4:$AJ$4,0))))=0,NA(),SUMPRODUCT((Inputs!$A$5:$A$140=$B53)*Inputs!$B$5:$B$140*(((Inputs!$G$5:$G$140="moeda")+(Inputs!$G$5:$G$140="acoes"))*Inputs!$B$1+((Inputs!$G$5:$G$140&lt;&gt;"moeda")*(Inputs!$G$5:$G$140&lt;&gt;"acoes")))*INDEX(Inputs!$K$5:$AJ$140,0,MATCH(AH$2,Inputs!$K$4:$AJ$4,0)))+SUMPRODUCT((Inputs!$C$5:$C$140=$B53)*Inputs!$D$5:$D$140*(((Inputs!$G$5:$G$140="moeda")+(Inputs!$G$5:$G$140="acoes"))*Inputs!$B$1+((Inputs!$G$5:$G$140&lt;&gt;"moeda")*(Inputs!$G$5:$G$140&lt;&gt;"acoes")))*INDEX(Inputs!$K$5:$AJ$140,0,MATCH(AH$2,Inputs!$K$4:$AJ$4,0)))+SUMPRODUCT((Inputs!$E$5:$E$140=$B53)*Inputs!$F$5:$F$140*(((Inputs!$G$5:$G$140="moeda")+(Inputs!$G$5:$G$140="acoes"))*Inputs!$B$1+((Inputs!$G$5:$G$140&lt;&gt;"moeda")*(Inputs!$G$5:$G$140&lt;&gt;"acoes")))*INDEX(Inputs!$K$5:$AJ$140,0,MATCH(AH$2,Inputs!$K$4:$AJ$4,0)))))</f>
        <v>157.587248</v>
      </c>
      <c r="AI53" s="262">
        <f>IF(ISNA(MATCH(AI$2,Inputs!$K$4:$AJ$4,0)),NA(),IF(SUMPRODUCT((Inputs!$A$5:$A$140=$B53)*ISNUMBER(INDEX(Inputs!$K$5:$AJ$140,0,MATCH(AI$2,Inputs!$K$4:$AJ$4,0))))+SUMPRODUCT((Inputs!$C$5:$C$140=$B53)*ISNUMBER(INDEX(Inputs!$K$5:$AJ$140,0,MATCH(AI$2,Inputs!$K$4:$AJ$4,0))))+SUMPRODUCT((Inputs!$E$5:$E$140=$B53)*ISNUMBER(INDEX(Inputs!$K$5:$AJ$140,0,MATCH(AI$2,Inputs!$K$4:$AJ$4,0))))=0,NA(),SUMPRODUCT((Inputs!$A$5:$A$140=$B53)*Inputs!$B$5:$B$140*(((Inputs!$G$5:$G$140="moeda")+(Inputs!$G$5:$G$140="acoes"))*Inputs!$B$1+((Inputs!$G$5:$G$140&lt;&gt;"moeda")*(Inputs!$G$5:$G$140&lt;&gt;"acoes")))*INDEX(Inputs!$K$5:$AJ$140,0,MATCH(AI$2,Inputs!$K$4:$AJ$4,0)))+SUMPRODUCT((Inputs!$C$5:$C$140=$B53)*Inputs!$D$5:$D$140*(((Inputs!$G$5:$G$140="moeda")+(Inputs!$G$5:$G$140="acoes"))*Inputs!$B$1+((Inputs!$G$5:$G$140&lt;&gt;"moeda")*(Inputs!$G$5:$G$140&lt;&gt;"acoes")))*INDEX(Inputs!$K$5:$AJ$140,0,MATCH(AI$2,Inputs!$K$4:$AJ$4,0)))+SUMPRODUCT((Inputs!$E$5:$E$140=$B53)*Inputs!$F$5:$F$140*(((Inputs!$G$5:$G$140="moeda")+(Inputs!$G$5:$G$140="acoes"))*Inputs!$B$1+((Inputs!$G$5:$G$140&lt;&gt;"moeda")*(Inputs!$G$5:$G$140&lt;&gt;"acoes")))*INDEX(Inputs!$K$5:$AJ$140,0,MATCH(AI$2,Inputs!$K$4:$AJ$4,0)))))</f>
        <v>311.528135</v>
      </c>
      <c r="AJ53" s="262">
        <f>IF(ISNA(MATCH(AJ$2,Inputs!$K$4:$AJ$4,0)),NA(),IF(SUMPRODUCT((Inputs!$A$5:$A$140=$B53)*ISNUMBER(INDEX(Inputs!$K$5:$AJ$140,0,MATCH(AJ$2,Inputs!$K$4:$AJ$4,0))))+SUMPRODUCT((Inputs!$C$5:$C$140=$B53)*ISNUMBER(INDEX(Inputs!$K$5:$AJ$140,0,MATCH(AJ$2,Inputs!$K$4:$AJ$4,0))))+SUMPRODUCT((Inputs!$E$5:$E$140=$B53)*ISNUMBER(INDEX(Inputs!$K$5:$AJ$140,0,MATCH(AJ$2,Inputs!$K$4:$AJ$4,0))))=0,NA(),SUMPRODUCT((Inputs!$A$5:$A$140=$B53)*Inputs!$B$5:$B$140*(((Inputs!$G$5:$G$140="moeda")+(Inputs!$G$5:$G$140="acoes"))*Inputs!$B$1+((Inputs!$G$5:$G$140&lt;&gt;"moeda")*(Inputs!$G$5:$G$140&lt;&gt;"acoes")))*INDEX(Inputs!$K$5:$AJ$140,0,MATCH(AJ$2,Inputs!$K$4:$AJ$4,0)))+SUMPRODUCT((Inputs!$C$5:$C$140=$B53)*Inputs!$D$5:$D$140*(((Inputs!$G$5:$G$140="moeda")+(Inputs!$G$5:$G$140="acoes"))*Inputs!$B$1+((Inputs!$G$5:$G$140&lt;&gt;"moeda")*(Inputs!$G$5:$G$140&lt;&gt;"acoes")))*INDEX(Inputs!$K$5:$AJ$140,0,MATCH(AJ$2,Inputs!$K$4:$AJ$4,0)))+SUMPRODUCT((Inputs!$E$5:$E$140=$B53)*Inputs!$F$5:$F$140*(((Inputs!$G$5:$G$140="moeda")+(Inputs!$G$5:$G$140="acoes"))*Inputs!$B$1+((Inputs!$G$5:$G$140&lt;&gt;"moeda")*(Inputs!$G$5:$G$140&lt;&gt;"acoes")))*INDEX(Inputs!$K$5:$AJ$140,0,MATCH(AJ$2,Inputs!$K$4:$AJ$4,0)))))</f>
        <v>396.91012</v>
      </c>
      <c r="AK53" s="262">
        <f>IF(ISNA(MATCH(AK$2,Inputs!$K$4:$AJ$4,0)),NA(),IF(SUMPRODUCT((Inputs!$A$5:$A$140=$B53)*ISNUMBER(INDEX(Inputs!$K$5:$AJ$140,0,MATCH(AK$2,Inputs!$K$4:$AJ$4,0))))+SUMPRODUCT((Inputs!$C$5:$C$140=$B53)*ISNUMBER(INDEX(Inputs!$K$5:$AJ$140,0,MATCH(AK$2,Inputs!$K$4:$AJ$4,0))))+SUMPRODUCT((Inputs!$E$5:$E$140=$B53)*ISNUMBER(INDEX(Inputs!$K$5:$AJ$140,0,MATCH(AK$2,Inputs!$K$4:$AJ$4,0))))=0,NA(),SUMPRODUCT((Inputs!$A$5:$A$140=$B53)*Inputs!$B$5:$B$140*(((Inputs!$G$5:$G$140="moeda")+(Inputs!$G$5:$G$140="acoes"))*Inputs!$B$1+((Inputs!$G$5:$G$140&lt;&gt;"moeda")*(Inputs!$G$5:$G$140&lt;&gt;"acoes")))*INDEX(Inputs!$K$5:$AJ$140,0,MATCH(AK$2,Inputs!$K$4:$AJ$4,0)))+SUMPRODUCT((Inputs!$C$5:$C$140=$B53)*Inputs!$D$5:$D$140*(((Inputs!$G$5:$G$140="moeda")+(Inputs!$G$5:$G$140="acoes"))*Inputs!$B$1+((Inputs!$G$5:$G$140&lt;&gt;"moeda")*(Inputs!$G$5:$G$140&lt;&gt;"acoes")))*INDEX(Inputs!$K$5:$AJ$140,0,MATCH(AK$2,Inputs!$K$4:$AJ$4,0)))+SUMPRODUCT((Inputs!$E$5:$E$140=$B53)*Inputs!$F$5:$F$140*(((Inputs!$G$5:$G$140="moeda")+(Inputs!$G$5:$G$140="acoes"))*Inputs!$B$1+((Inputs!$G$5:$G$140&lt;&gt;"moeda")*(Inputs!$G$5:$G$140&lt;&gt;"acoes")))*INDEX(Inputs!$K$5:$AJ$140,0,MATCH(AK$2,Inputs!$K$4:$AJ$4,0)))))</f>
        <v>674.753796</v>
      </c>
      <c r="AL53" s="263">
        <f>SUM(AH53:AK53)</f>
        <v>1540.779299</v>
      </c>
    </row>
    <row r="54">
      <c r="B54" s="46" t="n">
        <v>46</v>
      </c>
      <c r="C54" s="29" t="inlineStr">
        <is>
          <t>Lancamentos - VGV parte Cury (R$ mil; l.8)</t>
        </is>
      </c>
      <c r="D54" s="262">
        <f>IF(ISNA(MATCH(D$2,Inputs!$K$4:$AJ$4,0)),NA(),IF(SUMPRODUCT((Inputs!$A$5:$A$140=$B54)*ISNUMBER(INDEX(Inputs!$K$5:$AJ$140,0,MATCH(D$2,Inputs!$K$4:$AJ$4,0))))+SUMPRODUCT((Inputs!$C$5:$C$140=$B54)*ISNUMBER(INDEX(Inputs!$K$5:$AJ$140,0,MATCH(D$2,Inputs!$K$4:$AJ$4,0))))+SUMPRODUCT((Inputs!$E$5:$E$140=$B54)*ISNUMBER(INDEX(Inputs!$K$5:$AJ$140,0,MATCH(D$2,Inputs!$K$4:$AJ$4,0))))=0,NA(),SUMPRODUCT((Inputs!$A$5:$A$140=$B54)*Inputs!$B$5:$B$140*(((Inputs!$G$5:$G$140="moeda")+(Inputs!$G$5:$G$140="acoes"))*Inputs!$B$1+((Inputs!$G$5:$G$140&lt;&gt;"moeda")*(Inputs!$G$5:$G$140&lt;&gt;"acoes")))*INDEX(Inputs!$K$5:$AJ$140,0,MATCH(D$2,Inputs!$K$4:$AJ$4,0)))+SUMPRODUCT((Inputs!$C$5:$C$140=$B54)*Inputs!$D$5:$D$140*(((Inputs!$G$5:$G$140="moeda")+(Inputs!$G$5:$G$140="acoes"))*Inputs!$B$1+((Inputs!$G$5:$G$140&lt;&gt;"moeda")*(Inputs!$G$5:$G$140&lt;&gt;"acoes")))*INDEX(Inputs!$K$5:$AJ$140,0,MATCH(D$2,Inputs!$K$4:$AJ$4,0)))+SUMPRODUCT((Inputs!$E$5:$E$140=$B54)*Inputs!$F$5:$F$140*(((Inputs!$G$5:$G$140="moeda")+(Inputs!$G$5:$G$140="acoes"))*Inputs!$B$1+((Inputs!$G$5:$G$140&lt;&gt;"moeda")*(Inputs!$G$5:$G$140&lt;&gt;"acoes")))*INDEX(Inputs!$K$5:$AJ$140,0,MATCH(D$2,Inputs!$K$4:$AJ$4,0)))))</f>
        <v>472.469289</v>
      </c>
      <c r="E54" s="262">
        <f>IF(ISNA(MATCH(E$2,Inputs!$K$4:$AJ$4,0)),NA(),IF(SUMPRODUCT((Inputs!$A$5:$A$140=$B54)*ISNUMBER(INDEX(Inputs!$K$5:$AJ$140,0,MATCH(E$2,Inputs!$K$4:$AJ$4,0))))+SUMPRODUCT((Inputs!$C$5:$C$140=$B54)*ISNUMBER(INDEX(Inputs!$K$5:$AJ$140,0,MATCH(E$2,Inputs!$K$4:$AJ$4,0))))+SUMPRODUCT((Inputs!$E$5:$E$140=$B54)*ISNUMBER(INDEX(Inputs!$K$5:$AJ$140,0,MATCH(E$2,Inputs!$K$4:$AJ$4,0))))=0,NA(),SUMPRODUCT((Inputs!$A$5:$A$140=$B54)*Inputs!$B$5:$B$140*(((Inputs!$G$5:$G$140="moeda")+(Inputs!$G$5:$G$140="acoes"))*Inputs!$B$1+((Inputs!$G$5:$G$140&lt;&gt;"moeda")*(Inputs!$G$5:$G$140&lt;&gt;"acoes")))*INDEX(Inputs!$K$5:$AJ$140,0,MATCH(E$2,Inputs!$K$4:$AJ$4,0)))+SUMPRODUCT((Inputs!$C$5:$C$140=$B54)*Inputs!$D$5:$D$140*(((Inputs!$G$5:$G$140="moeda")+(Inputs!$G$5:$G$140="acoes"))*Inputs!$B$1+((Inputs!$G$5:$G$140&lt;&gt;"moeda")*(Inputs!$G$5:$G$140&lt;&gt;"acoes")))*INDEX(Inputs!$K$5:$AJ$140,0,MATCH(E$2,Inputs!$K$4:$AJ$4,0)))+SUMPRODUCT((Inputs!$E$5:$E$140=$B54)*Inputs!$F$5:$F$140*(((Inputs!$G$5:$G$140="moeda")+(Inputs!$G$5:$G$140="acoes"))*Inputs!$B$1+((Inputs!$G$5:$G$140&lt;&gt;"moeda")*(Inputs!$G$5:$G$140&lt;&gt;"acoes")))*INDEX(Inputs!$K$5:$AJ$140,0,MATCH(E$2,Inputs!$K$4:$AJ$4,0)))))</f>
        <v>650.171568</v>
      </c>
      <c r="F54" s="262">
        <f>IF(ISNA(MATCH(F$2,Inputs!$K$4:$AJ$4,0)),NA(),IF(SUMPRODUCT((Inputs!$A$5:$A$140=$B54)*ISNUMBER(INDEX(Inputs!$K$5:$AJ$140,0,MATCH(F$2,Inputs!$K$4:$AJ$4,0))))+SUMPRODUCT((Inputs!$C$5:$C$140=$B54)*ISNUMBER(INDEX(Inputs!$K$5:$AJ$140,0,MATCH(F$2,Inputs!$K$4:$AJ$4,0))))+SUMPRODUCT((Inputs!$E$5:$E$140=$B54)*ISNUMBER(INDEX(Inputs!$K$5:$AJ$140,0,MATCH(F$2,Inputs!$K$4:$AJ$4,0))))=0,NA(),SUMPRODUCT((Inputs!$A$5:$A$140=$B54)*Inputs!$B$5:$B$140*(((Inputs!$G$5:$G$140="moeda")+(Inputs!$G$5:$G$140="acoes"))*Inputs!$B$1+((Inputs!$G$5:$G$140&lt;&gt;"moeda")*(Inputs!$G$5:$G$140&lt;&gt;"acoes")))*INDEX(Inputs!$K$5:$AJ$140,0,MATCH(F$2,Inputs!$K$4:$AJ$4,0)))+SUMPRODUCT((Inputs!$C$5:$C$140=$B54)*Inputs!$D$5:$D$140*(((Inputs!$G$5:$G$140="moeda")+(Inputs!$G$5:$G$140="acoes"))*Inputs!$B$1+((Inputs!$G$5:$G$140&lt;&gt;"moeda")*(Inputs!$G$5:$G$140&lt;&gt;"acoes")))*INDEX(Inputs!$K$5:$AJ$140,0,MATCH(F$2,Inputs!$K$4:$AJ$4,0)))+SUMPRODUCT((Inputs!$E$5:$E$140=$B54)*Inputs!$F$5:$F$140*(((Inputs!$G$5:$G$140="moeda")+(Inputs!$G$5:$G$140="acoes"))*Inputs!$B$1+((Inputs!$G$5:$G$140&lt;&gt;"moeda")*(Inputs!$G$5:$G$140&lt;&gt;"acoes")))*INDEX(Inputs!$K$5:$AJ$140,0,MATCH(F$2,Inputs!$K$4:$AJ$4,0)))))</f>
        <v>633.1727036</v>
      </c>
      <c r="G54" s="262">
        <f>IF(ISNA(MATCH(G$2,Inputs!$K$4:$AJ$4,0)),NA(),IF(SUMPRODUCT((Inputs!$A$5:$A$140=$B54)*ISNUMBER(INDEX(Inputs!$K$5:$AJ$140,0,MATCH(G$2,Inputs!$K$4:$AJ$4,0))))+SUMPRODUCT((Inputs!$C$5:$C$140=$B54)*ISNUMBER(INDEX(Inputs!$K$5:$AJ$140,0,MATCH(G$2,Inputs!$K$4:$AJ$4,0))))+SUMPRODUCT((Inputs!$E$5:$E$140=$B54)*ISNUMBER(INDEX(Inputs!$K$5:$AJ$140,0,MATCH(G$2,Inputs!$K$4:$AJ$4,0))))=0,NA(),SUMPRODUCT((Inputs!$A$5:$A$140=$B54)*Inputs!$B$5:$B$140*(((Inputs!$G$5:$G$140="moeda")+(Inputs!$G$5:$G$140="acoes"))*Inputs!$B$1+((Inputs!$G$5:$G$140&lt;&gt;"moeda")*(Inputs!$G$5:$G$140&lt;&gt;"acoes")))*INDEX(Inputs!$K$5:$AJ$140,0,MATCH(G$2,Inputs!$K$4:$AJ$4,0)))+SUMPRODUCT((Inputs!$C$5:$C$140=$B54)*Inputs!$D$5:$D$140*(((Inputs!$G$5:$G$140="moeda")+(Inputs!$G$5:$G$140="acoes"))*Inputs!$B$1+((Inputs!$G$5:$G$140&lt;&gt;"moeda")*(Inputs!$G$5:$G$140&lt;&gt;"acoes")))*INDEX(Inputs!$K$5:$AJ$140,0,MATCH(G$2,Inputs!$K$4:$AJ$4,0)))+SUMPRODUCT((Inputs!$E$5:$E$140=$B54)*Inputs!$F$5:$F$140*(((Inputs!$G$5:$G$140="moeda")+(Inputs!$G$5:$G$140="acoes"))*Inputs!$B$1+((Inputs!$G$5:$G$140&lt;&gt;"moeda")*(Inputs!$G$5:$G$140&lt;&gt;"acoes")))*INDEX(Inputs!$K$5:$AJ$140,0,MATCH(G$2,Inputs!$K$4:$AJ$4,0)))))</f>
        <v>719.679333706807</v>
      </c>
      <c r="H54" s="263">
        <f>SUM(D54:G54)</f>
        <v>2475.49289430681</v>
      </c>
      <c r="I54" s="262">
        <f>IF(ISNA(MATCH(I$2,Inputs!$K$4:$AJ$4,0)),NA(),IF(SUMPRODUCT((Inputs!$A$5:$A$140=$B54)*ISNUMBER(INDEX(Inputs!$K$5:$AJ$140,0,MATCH(I$2,Inputs!$K$4:$AJ$4,0))))+SUMPRODUCT((Inputs!$C$5:$C$140=$B54)*ISNUMBER(INDEX(Inputs!$K$5:$AJ$140,0,MATCH(I$2,Inputs!$K$4:$AJ$4,0))))+SUMPRODUCT((Inputs!$E$5:$E$140=$B54)*ISNUMBER(INDEX(Inputs!$K$5:$AJ$140,0,MATCH(I$2,Inputs!$K$4:$AJ$4,0))))=0,NA(),SUMPRODUCT((Inputs!$A$5:$A$140=$B54)*Inputs!$B$5:$B$140*(((Inputs!$G$5:$G$140="moeda")+(Inputs!$G$5:$G$140="acoes"))*Inputs!$B$1+((Inputs!$G$5:$G$140&lt;&gt;"moeda")*(Inputs!$G$5:$G$140&lt;&gt;"acoes")))*INDEX(Inputs!$K$5:$AJ$140,0,MATCH(I$2,Inputs!$K$4:$AJ$4,0)))+SUMPRODUCT((Inputs!$C$5:$C$140=$B54)*Inputs!$D$5:$D$140*(((Inputs!$G$5:$G$140="moeda")+(Inputs!$G$5:$G$140="acoes"))*Inputs!$B$1+((Inputs!$G$5:$G$140&lt;&gt;"moeda")*(Inputs!$G$5:$G$140&lt;&gt;"acoes")))*INDEX(Inputs!$K$5:$AJ$140,0,MATCH(I$2,Inputs!$K$4:$AJ$4,0)))+SUMPRODUCT((Inputs!$E$5:$E$140=$B54)*Inputs!$F$5:$F$140*(((Inputs!$G$5:$G$140="moeda")+(Inputs!$G$5:$G$140="acoes"))*Inputs!$B$1+((Inputs!$G$5:$G$140&lt;&gt;"moeda")*(Inputs!$G$5:$G$140&lt;&gt;"acoes")))*INDEX(Inputs!$K$5:$AJ$140,0,MATCH(I$2,Inputs!$K$4:$AJ$4,0)))))</f>
        <v>781.15</v>
      </c>
      <c r="J54" s="262">
        <f>IF(ISNA(MATCH(J$2,Inputs!$K$4:$AJ$4,0)),NA(),IF(SUMPRODUCT((Inputs!$A$5:$A$140=$B54)*ISNUMBER(INDEX(Inputs!$K$5:$AJ$140,0,MATCH(J$2,Inputs!$K$4:$AJ$4,0))))+SUMPRODUCT((Inputs!$C$5:$C$140=$B54)*ISNUMBER(INDEX(Inputs!$K$5:$AJ$140,0,MATCH(J$2,Inputs!$K$4:$AJ$4,0))))+SUMPRODUCT((Inputs!$E$5:$E$140=$B54)*ISNUMBER(INDEX(Inputs!$K$5:$AJ$140,0,MATCH(J$2,Inputs!$K$4:$AJ$4,0))))=0,NA(),SUMPRODUCT((Inputs!$A$5:$A$140=$B54)*Inputs!$B$5:$B$140*(((Inputs!$G$5:$G$140="moeda")+(Inputs!$G$5:$G$140="acoes"))*Inputs!$B$1+((Inputs!$G$5:$G$140&lt;&gt;"moeda")*(Inputs!$G$5:$G$140&lt;&gt;"acoes")))*INDEX(Inputs!$K$5:$AJ$140,0,MATCH(J$2,Inputs!$K$4:$AJ$4,0)))+SUMPRODUCT((Inputs!$C$5:$C$140=$B54)*Inputs!$D$5:$D$140*(((Inputs!$G$5:$G$140="moeda")+(Inputs!$G$5:$G$140="acoes"))*Inputs!$B$1+((Inputs!$G$5:$G$140&lt;&gt;"moeda")*(Inputs!$G$5:$G$140&lt;&gt;"acoes")))*INDEX(Inputs!$K$5:$AJ$140,0,MATCH(J$2,Inputs!$K$4:$AJ$4,0)))+SUMPRODUCT((Inputs!$E$5:$E$140=$B54)*Inputs!$F$5:$F$140*(((Inputs!$G$5:$G$140="moeda")+(Inputs!$G$5:$G$140="acoes"))*Inputs!$B$1+((Inputs!$G$5:$G$140&lt;&gt;"moeda")*(Inputs!$G$5:$G$140&lt;&gt;"acoes")))*INDEX(Inputs!$K$5:$AJ$140,0,MATCH(J$2,Inputs!$K$4:$AJ$4,0)))))</f>
        <v>1056.318</v>
      </c>
      <c r="K54" s="262">
        <f>IF(ISNA(MATCH(K$2,Inputs!$K$4:$AJ$4,0)),NA(),IF(SUMPRODUCT((Inputs!$A$5:$A$140=$B54)*ISNUMBER(INDEX(Inputs!$K$5:$AJ$140,0,MATCH(K$2,Inputs!$K$4:$AJ$4,0))))+SUMPRODUCT((Inputs!$C$5:$C$140=$B54)*ISNUMBER(INDEX(Inputs!$K$5:$AJ$140,0,MATCH(K$2,Inputs!$K$4:$AJ$4,0))))+SUMPRODUCT((Inputs!$E$5:$E$140=$B54)*ISNUMBER(INDEX(Inputs!$K$5:$AJ$140,0,MATCH(K$2,Inputs!$K$4:$AJ$4,0))))=0,NA(),SUMPRODUCT((Inputs!$A$5:$A$140=$B54)*Inputs!$B$5:$B$140*(((Inputs!$G$5:$G$140="moeda")+(Inputs!$G$5:$G$140="acoes"))*Inputs!$B$1+((Inputs!$G$5:$G$140&lt;&gt;"moeda")*(Inputs!$G$5:$G$140&lt;&gt;"acoes")))*INDEX(Inputs!$K$5:$AJ$140,0,MATCH(K$2,Inputs!$K$4:$AJ$4,0)))+SUMPRODUCT((Inputs!$C$5:$C$140=$B54)*Inputs!$D$5:$D$140*(((Inputs!$G$5:$G$140="moeda")+(Inputs!$G$5:$G$140="acoes"))*Inputs!$B$1+((Inputs!$G$5:$G$140&lt;&gt;"moeda")*(Inputs!$G$5:$G$140&lt;&gt;"acoes")))*INDEX(Inputs!$K$5:$AJ$140,0,MATCH(K$2,Inputs!$K$4:$AJ$4,0)))+SUMPRODUCT((Inputs!$E$5:$E$140=$B54)*Inputs!$F$5:$F$140*(((Inputs!$G$5:$G$140="moeda")+(Inputs!$G$5:$G$140="acoes"))*Inputs!$B$1+((Inputs!$G$5:$G$140&lt;&gt;"moeda")*(Inputs!$G$5:$G$140&lt;&gt;"acoes")))*INDEX(Inputs!$K$5:$AJ$140,0,MATCH(K$2,Inputs!$K$4:$AJ$4,0)))))</f>
        <v>876.846343</v>
      </c>
      <c r="L54" s="262">
        <f>IF(ISNA(MATCH(L$2,Inputs!$K$4:$AJ$4,0)),NA(),IF(SUMPRODUCT((Inputs!$A$5:$A$140=$B54)*ISNUMBER(INDEX(Inputs!$K$5:$AJ$140,0,MATCH(L$2,Inputs!$K$4:$AJ$4,0))))+SUMPRODUCT((Inputs!$C$5:$C$140=$B54)*ISNUMBER(INDEX(Inputs!$K$5:$AJ$140,0,MATCH(L$2,Inputs!$K$4:$AJ$4,0))))+SUMPRODUCT((Inputs!$E$5:$E$140=$B54)*ISNUMBER(INDEX(Inputs!$K$5:$AJ$140,0,MATCH(L$2,Inputs!$K$4:$AJ$4,0))))=0,NA(),SUMPRODUCT((Inputs!$A$5:$A$140=$B54)*Inputs!$B$5:$B$140*(((Inputs!$G$5:$G$140="moeda")+(Inputs!$G$5:$G$140="acoes"))*Inputs!$B$1+((Inputs!$G$5:$G$140&lt;&gt;"moeda")*(Inputs!$G$5:$G$140&lt;&gt;"acoes")))*INDEX(Inputs!$K$5:$AJ$140,0,MATCH(L$2,Inputs!$K$4:$AJ$4,0)))+SUMPRODUCT((Inputs!$C$5:$C$140=$B54)*Inputs!$D$5:$D$140*(((Inputs!$G$5:$G$140="moeda")+(Inputs!$G$5:$G$140="acoes"))*Inputs!$B$1+((Inputs!$G$5:$G$140&lt;&gt;"moeda")*(Inputs!$G$5:$G$140&lt;&gt;"acoes")))*INDEX(Inputs!$K$5:$AJ$140,0,MATCH(L$2,Inputs!$K$4:$AJ$4,0)))+SUMPRODUCT((Inputs!$E$5:$E$140=$B54)*Inputs!$F$5:$F$140*(((Inputs!$G$5:$G$140="moeda")+(Inputs!$G$5:$G$140="acoes"))*Inputs!$B$1+((Inputs!$G$5:$G$140&lt;&gt;"moeda")*(Inputs!$G$5:$G$140&lt;&gt;"acoes")))*INDEX(Inputs!$K$5:$AJ$140,0,MATCH(L$2,Inputs!$K$4:$AJ$4,0)))))</f>
        <v>556.15909318</v>
      </c>
      <c r="M54" s="263">
        <f>SUM(I54:L54)</f>
        <v>3270.47343618</v>
      </c>
      <c r="N54" s="262">
        <f>IF(ISNA(MATCH(N$2,Inputs!$K$4:$AJ$4,0)),NA(),IF(SUMPRODUCT((Inputs!$A$5:$A$140=$B54)*ISNUMBER(INDEX(Inputs!$K$5:$AJ$140,0,MATCH(N$2,Inputs!$K$4:$AJ$4,0))))+SUMPRODUCT((Inputs!$C$5:$C$140=$B54)*ISNUMBER(INDEX(Inputs!$K$5:$AJ$140,0,MATCH(N$2,Inputs!$K$4:$AJ$4,0))))+SUMPRODUCT((Inputs!$E$5:$E$140=$B54)*ISNUMBER(INDEX(Inputs!$K$5:$AJ$140,0,MATCH(N$2,Inputs!$K$4:$AJ$4,0))))=0,NA(),SUMPRODUCT((Inputs!$A$5:$A$140=$B54)*Inputs!$B$5:$B$140*(((Inputs!$G$5:$G$140="moeda")+(Inputs!$G$5:$G$140="acoes"))*Inputs!$B$1+((Inputs!$G$5:$G$140&lt;&gt;"moeda")*(Inputs!$G$5:$G$140&lt;&gt;"acoes")))*INDEX(Inputs!$K$5:$AJ$140,0,MATCH(N$2,Inputs!$K$4:$AJ$4,0)))+SUMPRODUCT((Inputs!$C$5:$C$140=$B54)*Inputs!$D$5:$D$140*(((Inputs!$G$5:$G$140="moeda")+(Inputs!$G$5:$G$140="acoes"))*Inputs!$B$1+((Inputs!$G$5:$G$140&lt;&gt;"moeda")*(Inputs!$G$5:$G$140&lt;&gt;"acoes")))*INDEX(Inputs!$K$5:$AJ$140,0,MATCH(N$2,Inputs!$K$4:$AJ$4,0)))+SUMPRODUCT((Inputs!$E$5:$E$140=$B54)*Inputs!$F$5:$F$140*(((Inputs!$G$5:$G$140="moeda")+(Inputs!$G$5:$G$140="acoes"))*Inputs!$B$1+((Inputs!$G$5:$G$140&lt;&gt;"moeda")*(Inputs!$G$5:$G$140&lt;&gt;"acoes")))*INDEX(Inputs!$K$5:$AJ$140,0,MATCH(N$2,Inputs!$K$4:$AJ$4,0)))))</f>
        <v>1419.980923</v>
      </c>
      <c r="O54" s="262">
        <f>IF(ISNA(MATCH(O$2,Inputs!$K$4:$AJ$4,0)),NA(),IF(SUMPRODUCT((Inputs!$A$5:$A$140=$B54)*ISNUMBER(INDEX(Inputs!$K$5:$AJ$140,0,MATCH(O$2,Inputs!$K$4:$AJ$4,0))))+SUMPRODUCT((Inputs!$C$5:$C$140=$B54)*ISNUMBER(INDEX(Inputs!$K$5:$AJ$140,0,MATCH(O$2,Inputs!$K$4:$AJ$4,0))))+SUMPRODUCT((Inputs!$E$5:$E$140=$B54)*ISNUMBER(INDEX(Inputs!$K$5:$AJ$140,0,MATCH(O$2,Inputs!$K$4:$AJ$4,0))))=0,NA(),SUMPRODUCT((Inputs!$A$5:$A$140=$B54)*Inputs!$B$5:$B$140*(((Inputs!$G$5:$G$140="moeda")+(Inputs!$G$5:$G$140="acoes"))*Inputs!$B$1+((Inputs!$G$5:$G$140&lt;&gt;"moeda")*(Inputs!$G$5:$G$140&lt;&gt;"acoes")))*INDEX(Inputs!$K$5:$AJ$140,0,MATCH(O$2,Inputs!$K$4:$AJ$4,0)))+SUMPRODUCT((Inputs!$C$5:$C$140=$B54)*Inputs!$D$5:$D$140*(((Inputs!$G$5:$G$140="moeda")+(Inputs!$G$5:$G$140="acoes"))*Inputs!$B$1+((Inputs!$G$5:$G$140&lt;&gt;"moeda")*(Inputs!$G$5:$G$140&lt;&gt;"acoes")))*INDEX(Inputs!$K$5:$AJ$140,0,MATCH(O$2,Inputs!$K$4:$AJ$4,0)))+SUMPRODUCT((Inputs!$E$5:$E$140=$B54)*Inputs!$F$5:$F$140*(((Inputs!$G$5:$G$140="moeda")+(Inputs!$G$5:$G$140="acoes"))*Inputs!$B$1+((Inputs!$G$5:$G$140&lt;&gt;"moeda")*(Inputs!$G$5:$G$140&lt;&gt;"acoes")))*INDEX(Inputs!$K$5:$AJ$140,0,MATCH(O$2,Inputs!$K$4:$AJ$4,0)))))</f>
        <v>1137.9662765</v>
      </c>
      <c r="P54" s="262">
        <f>IF(ISNA(MATCH(P$2,Inputs!$K$4:$AJ$4,0)),NA(),IF(SUMPRODUCT((Inputs!$A$5:$A$140=$B54)*ISNUMBER(INDEX(Inputs!$K$5:$AJ$140,0,MATCH(P$2,Inputs!$K$4:$AJ$4,0))))+SUMPRODUCT((Inputs!$C$5:$C$140=$B54)*ISNUMBER(INDEX(Inputs!$K$5:$AJ$140,0,MATCH(P$2,Inputs!$K$4:$AJ$4,0))))+SUMPRODUCT((Inputs!$E$5:$E$140=$B54)*ISNUMBER(INDEX(Inputs!$K$5:$AJ$140,0,MATCH(P$2,Inputs!$K$4:$AJ$4,0))))=0,NA(),SUMPRODUCT((Inputs!$A$5:$A$140=$B54)*Inputs!$B$5:$B$140*(((Inputs!$G$5:$G$140="moeda")+(Inputs!$G$5:$G$140="acoes"))*Inputs!$B$1+((Inputs!$G$5:$G$140&lt;&gt;"moeda")*(Inputs!$G$5:$G$140&lt;&gt;"acoes")))*INDEX(Inputs!$K$5:$AJ$140,0,MATCH(P$2,Inputs!$K$4:$AJ$4,0)))+SUMPRODUCT((Inputs!$C$5:$C$140=$B54)*Inputs!$D$5:$D$140*(((Inputs!$G$5:$G$140="moeda")+(Inputs!$G$5:$G$140="acoes"))*Inputs!$B$1+((Inputs!$G$5:$G$140&lt;&gt;"moeda")*(Inputs!$G$5:$G$140&lt;&gt;"acoes")))*INDEX(Inputs!$K$5:$AJ$140,0,MATCH(P$2,Inputs!$K$4:$AJ$4,0)))+SUMPRODUCT((Inputs!$E$5:$E$140=$B54)*Inputs!$F$5:$F$140*(((Inputs!$G$5:$G$140="moeda")+(Inputs!$G$5:$G$140="acoes"))*Inputs!$B$1+((Inputs!$G$5:$G$140&lt;&gt;"moeda")*(Inputs!$G$5:$G$140&lt;&gt;"acoes")))*INDEX(Inputs!$K$5:$AJ$140,0,MATCH(P$2,Inputs!$K$4:$AJ$4,0)))))</f>
        <v>805.5771061</v>
      </c>
      <c r="Q54" s="262">
        <f>IF(ISNA(MATCH(Q$2,Inputs!$K$4:$AJ$4,0)),NA(),IF(SUMPRODUCT((Inputs!$A$5:$A$140=$B54)*ISNUMBER(INDEX(Inputs!$K$5:$AJ$140,0,MATCH(Q$2,Inputs!$K$4:$AJ$4,0))))+SUMPRODUCT((Inputs!$C$5:$C$140=$B54)*ISNUMBER(INDEX(Inputs!$K$5:$AJ$140,0,MATCH(Q$2,Inputs!$K$4:$AJ$4,0))))+SUMPRODUCT((Inputs!$E$5:$E$140=$B54)*ISNUMBER(INDEX(Inputs!$K$5:$AJ$140,0,MATCH(Q$2,Inputs!$K$4:$AJ$4,0))))=0,NA(),SUMPRODUCT((Inputs!$A$5:$A$140=$B54)*Inputs!$B$5:$B$140*(((Inputs!$G$5:$G$140="moeda")+(Inputs!$G$5:$G$140="acoes"))*Inputs!$B$1+((Inputs!$G$5:$G$140&lt;&gt;"moeda")*(Inputs!$G$5:$G$140&lt;&gt;"acoes")))*INDEX(Inputs!$K$5:$AJ$140,0,MATCH(Q$2,Inputs!$K$4:$AJ$4,0)))+SUMPRODUCT((Inputs!$C$5:$C$140=$B54)*Inputs!$D$5:$D$140*(((Inputs!$G$5:$G$140="moeda")+(Inputs!$G$5:$G$140="acoes"))*Inputs!$B$1+((Inputs!$G$5:$G$140&lt;&gt;"moeda")*(Inputs!$G$5:$G$140&lt;&gt;"acoes")))*INDEX(Inputs!$K$5:$AJ$140,0,MATCH(Q$2,Inputs!$K$4:$AJ$4,0)))+SUMPRODUCT((Inputs!$E$5:$E$140=$B54)*Inputs!$F$5:$F$140*(((Inputs!$G$5:$G$140="moeda")+(Inputs!$G$5:$G$140="acoes"))*Inputs!$B$1+((Inputs!$G$5:$G$140&lt;&gt;"moeda")*(Inputs!$G$5:$G$140&lt;&gt;"acoes")))*INDEX(Inputs!$K$5:$AJ$140,0,MATCH(Q$2,Inputs!$K$4:$AJ$4,0)))))</f>
        <v>856.606653</v>
      </c>
      <c r="R54" s="263">
        <f>SUM(N54:Q54)</f>
        <v>4220.1309586</v>
      </c>
      <c r="S54" s="262">
        <f>IF(ISNA(MATCH(S$2,Inputs!$K$4:$AJ$4,0)),NA(),IF(SUMPRODUCT((Inputs!$A$5:$A$140=$B54)*ISNUMBER(INDEX(Inputs!$K$5:$AJ$140,0,MATCH(S$2,Inputs!$K$4:$AJ$4,0))))+SUMPRODUCT((Inputs!$C$5:$C$140=$B54)*ISNUMBER(INDEX(Inputs!$K$5:$AJ$140,0,MATCH(S$2,Inputs!$K$4:$AJ$4,0))))+SUMPRODUCT((Inputs!$E$5:$E$140=$B54)*ISNUMBER(INDEX(Inputs!$K$5:$AJ$140,0,MATCH(S$2,Inputs!$K$4:$AJ$4,0))))=0,NA(),SUMPRODUCT((Inputs!$A$5:$A$140=$B54)*Inputs!$B$5:$B$140*(((Inputs!$G$5:$G$140="moeda")+(Inputs!$G$5:$G$140="acoes"))*Inputs!$B$1+((Inputs!$G$5:$G$140&lt;&gt;"moeda")*(Inputs!$G$5:$G$140&lt;&gt;"acoes")))*INDEX(Inputs!$K$5:$AJ$140,0,MATCH(S$2,Inputs!$K$4:$AJ$4,0)))+SUMPRODUCT((Inputs!$C$5:$C$140=$B54)*Inputs!$D$5:$D$140*(((Inputs!$G$5:$G$140="moeda")+(Inputs!$G$5:$G$140="acoes"))*Inputs!$B$1+((Inputs!$G$5:$G$140&lt;&gt;"moeda")*(Inputs!$G$5:$G$140&lt;&gt;"acoes")))*INDEX(Inputs!$K$5:$AJ$140,0,MATCH(S$2,Inputs!$K$4:$AJ$4,0)))+SUMPRODUCT((Inputs!$E$5:$E$140=$B54)*Inputs!$F$5:$F$140*(((Inputs!$G$5:$G$140="moeda")+(Inputs!$G$5:$G$140="acoes"))*Inputs!$B$1+((Inputs!$G$5:$G$140&lt;&gt;"moeda")*(Inputs!$G$5:$G$140&lt;&gt;"acoes")))*INDEX(Inputs!$K$5:$AJ$140,0,MATCH(S$2,Inputs!$K$4:$AJ$4,0)))))</f>
        <v>1499.854846</v>
      </c>
      <c r="T54" s="262">
        <f>IF(ISNA(MATCH(T$2,Inputs!$K$4:$AJ$4,0)),NA(),IF(SUMPRODUCT((Inputs!$A$5:$A$140=$B54)*ISNUMBER(INDEX(Inputs!$K$5:$AJ$140,0,MATCH(T$2,Inputs!$K$4:$AJ$4,0))))+SUMPRODUCT((Inputs!$C$5:$C$140=$B54)*ISNUMBER(INDEX(Inputs!$K$5:$AJ$140,0,MATCH(T$2,Inputs!$K$4:$AJ$4,0))))+SUMPRODUCT((Inputs!$E$5:$E$140=$B54)*ISNUMBER(INDEX(Inputs!$K$5:$AJ$140,0,MATCH(T$2,Inputs!$K$4:$AJ$4,0))))=0,NA(),SUMPRODUCT((Inputs!$A$5:$A$140=$B54)*Inputs!$B$5:$B$140*(((Inputs!$G$5:$G$140="moeda")+(Inputs!$G$5:$G$140="acoes"))*Inputs!$B$1+((Inputs!$G$5:$G$140&lt;&gt;"moeda")*(Inputs!$G$5:$G$140&lt;&gt;"acoes")))*INDEX(Inputs!$K$5:$AJ$140,0,MATCH(T$2,Inputs!$K$4:$AJ$4,0)))+SUMPRODUCT((Inputs!$C$5:$C$140=$B54)*Inputs!$D$5:$D$140*(((Inputs!$G$5:$G$140="moeda")+(Inputs!$G$5:$G$140="acoes"))*Inputs!$B$1+((Inputs!$G$5:$G$140&lt;&gt;"moeda")*(Inputs!$G$5:$G$140&lt;&gt;"acoes")))*INDEX(Inputs!$K$5:$AJ$140,0,MATCH(T$2,Inputs!$K$4:$AJ$4,0)))+SUMPRODUCT((Inputs!$E$5:$E$140=$B54)*Inputs!$F$5:$F$140*(((Inputs!$G$5:$G$140="moeda")+(Inputs!$G$5:$G$140="acoes"))*Inputs!$B$1+((Inputs!$G$5:$G$140&lt;&gt;"moeda")*(Inputs!$G$5:$G$140&lt;&gt;"acoes")))*INDEX(Inputs!$K$5:$AJ$140,0,MATCH(T$2,Inputs!$K$4:$AJ$4,0)))))</f>
        <v>1676.918567</v>
      </c>
      <c r="U54" s="262">
        <f>IF(ISNA(MATCH(U$2,Inputs!$K$4:$AJ$4,0)),NA(),IF(SUMPRODUCT((Inputs!$A$5:$A$140=$B54)*ISNUMBER(INDEX(Inputs!$K$5:$AJ$140,0,MATCH(U$2,Inputs!$K$4:$AJ$4,0))))+SUMPRODUCT((Inputs!$C$5:$C$140=$B54)*ISNUMBER(INDEX(Inputs!$K$5:$AJ$140,0,MATCH(U$2,Inputs!$K$4:$AJ$4,0))))+SUMPRODUCT((Inputs!$E$5:$E$140=$B54)*ISNUMBER(INDEX(Inputs!$K$5:$AJ$140,0,MATCH(U$2,Inputs!$K$4:$AJ$4,0))))=0,NA(),SUMPRODUCT((Inputs!$A$5:$A$140=$B54)*Inputs!$B$5:$B$140*(((Inputs!$G$5:$G$140="moeda")+(Inputs!$G$5:$G$140="acoes"))*Inputs!$B$1+((Inputs!$G$5:$G$140&lt;&gt;"moeda")*(Inputs!$G$5:$G$140&lt;&gt;"acoes")))*INDEX(Inputs!$K$5:$AJ$140,0,MATCH(U$2,Inputs!$K$4:$AJ$4,0)))+SUMPRODUCT((Inputs!$C$5:$C$140=$B54)*Inputs!$D$5:$D$140*(((Inputs!$G$5:$G$140="moeda")+(Inputs!$G$5:$G$140="acoes"))*Inputs!$B$1+((Inputs!$G$5:$G$140&lt;&gt;"moeda")*(Inputs!$G$5:$G$140&lt;&gt;"acoes")))*INDEX(Inputs!$K$5:$AJ$140,0,MATCH(U$2,Inputs!$K$4:$AJ$4,0)))+SUMPRODUCT((Inputs!$E$5:$E$140=$B54)*Inputs!$F$5:$F$140*(((Inputs!$G$5:$G$140="moeda")+(Inputs!$G$5:$G$140="acoes"))*Inputs!$B$1+((Inputs!$G$5:$G$140&lt;&gt;"moeda")*(Inputs!$G$5:$G$140&lt;&gt;"acoes")))*INDEX(Inputs!$K$5:$AJ$140,0,MATCH(U$2,Inputs!$K$4:$AJ$4,0)))))</f>
        <v>1503.046</v>
      </c>
      <c r="V54" s="262">
        <f>IF(ISNA(MATCH(V$2,Inputs!$K$4:$AJ$4,0)),NA(),IF(SUMPRODUCT((Inputs!$A$5:$A$140=$B54)*ISNUMBER(INDEX(Inputs!$K$5:$AJ$140,0,MATCH(V$2,Inputs!$K$4:$AJ$4,0))))+SUMPRODUCT((Inputs!$C$5:$C$140=$B54)*ISNUMBER(INDEX(Inputs!$K$5:$AJ$140,0,MATCH(V$2,Inputs!$K$4:$AJ$4,0))))+SUMPRODUCT((Inputs!$E$5:$E$140=$B54)*ISNUMBER(INDEX(Inputs!$K$5:$AJ$140,0,MATCH(V$2,Inputs!$K$4:$AJ$4,0))))=0,NA(),SUMPRODUCT((Inputs!$A$5:$A$140=$B54)*Inputs!$B$5:$B$140*(((Inputs!$G$5:$G$140="moeda")+(Inputs!$G$5:$G$140="acoes"))*Inputs!$B$1+((Inputs!$G$5:$G$140&lt;&gt;"moeda")*(Inputs!$G$5:$G$140&lt;&gt;"acoes")))*INDEX(Inputs!$K$5:$AJ$140,0,MATCH(V$2,Inputs!$K$4:$AJ$4,0)))+SUMPRODUCT((Inputs!$C$5:$C$140=$B54)*Inputs!$D$5:$D$140*(((Inputs!$G$5:$G$140="moeda")+(Inputs!$G$5:$G$140="acoes"))*Inputs!$B$1+((Inputs!$G$5:$G$140&lt;&gt;"moeda")*(Inputs!$G$5:$G$140&lt;&gt;"acoes")))*INDEX(Inputs!$K$5:$AJ$140,0,MATCH(V$2,Inputs!$K$4:$AJ$4,0)))+SUMPRODUCT((Inputs!$E$5:$E$140=$B54)*Inputs!$F$5:$F$140*(((Inputs!$G$5:$G$140="moeda")+(Inputs!$G$5:$G$140="acoes"))*Inputs!$B$1+((Inputs!$G$5:$G$140&lt;&gt;"moeda")*(Inputs!$G$5:$G$140&lt;&gt;"acoes")))*INDEX(Inputs!$K$5:$AJ$140,0,MATCH(V$2,Inputs!$K$4:$AJ$4,0)))))</f>
        <v>1060.952</v>
      </c>
      <c r="W54" s="263">
        <f>SUM(S54:V54)</f>
        <v>5740.771413</v>
      </c>
      <c r="X54" s="262">
        <f>IF(ISNA(MATCH(X$2,Inputs!$K$4:$AJ$4,0)),NA(),IF(SUMPRODUCT((Inputs!$A$5:$A$140=$B54)*ISNUMBER(INDEX(Inputs!$K$5:$AJ$140,0,MATCH(X$2,Inputs!$K$4:$AJ$4,0))))+SUMPRODUCT((Inputs!$C$5:$C$140=$B54)*ISNUMBER(INDEX(Inputs!$K$5:$AJ$140,0,MATCH(X$2,Inputs!$K$4:$AJ$4,0))))+SUMPRODUCT((Inputs!$E$5:$E$140=$B54)*ISNUMBER(INDEX(Inputs!$K$5:$AJ$140,0,MATCH(X$2,Inputs!$K$4:$AJ$4,0))))=0,NA(),SUMPRODUCT((Inputs!$A$5:$A$140=$B54)*Inputs!$B$5:$B$140*(((Inputs!$G$5:$G$140="moeda")+(Inputs!$G$5:$G$140="acoes"))*Inputs!$B$1+((Inputs!$G$5:$G$140&lt;&gt;"moeda")*(Inputs!$G$5:$G$140&lt;&gt;"acoes")))*INDEX(Inputs!$K$5:$AJ$140,0,MATCH(X$2,Inputs!$K$4:$AJ$4,0)))+SUMPRODUCT((Inputs!$C$5:$C$140=$B54)*Inputs!$D$5:$D$140*(((Inputs!$G$5:$G$140="moeda")+(Inputs!$G$5:$G$140="acoes"))*Inputs!$B$1+((Inputs!$G$5:$G$140&lt;&gt;"moeda")*(Inputs!$G$5:$G$140&lt;&gt;"acoes")))*INDEX(Inputs!$K$5:$AJ$140,0,MATCH(X$2,Inputs!$K$4:$AJ$4,0)))+SUMPRODUCT((Inputs!$E$5:$E$140=$B54)*Inputs!$F$5:$F$140*(((Inputs!$G$5:$G$140="moeda")+(Inputs!$G$5:$G$140="acoes"))*Inputs!$B$1+((Inputs!$G$5:$G$140&lt;&gt;"moeda")*(Inputs!$G$5:$G$140&lt;&gt;"acoes")))*INDEX(Inputs!$K$5:$AJ$140,0,MATCH(X$2,Inputs!$K$4:$AJ$4,0)))))</f>
        <v>2666.305</v>
      </c>
      <c r="Y54" s="262">
        <f>IF(ISNA(MATCH(Y$2,Inputs!$K$4:$AJ$4,0)),NA(),IF(SUMPRODUCT((Inputs!$A$5:$A$140=$B54)*ISNUMBER(INDEX(Inputs!$K$5:$AJ$140,0,MATCH(Y$2,Inputs!$K$4:$AJ$4,0))))+SUMPRODUCT((Inputs!$C$5:$C$140=$B54)*ISNUMBER(INDEX(Inputs!$K$5:$AJ$140,0,MATCH(Y$2,Inputs!$K$4:$AJ$4,0))))+SUMPRODUCT((Inputs!$E$5:$E$140=$B54)*ISNUMBER(INDEX(Inputs!$K$5:$AJ$140,0,MATCH(Y$2,Inputs!$K$4:$AJ$4,0))))=0,NA(),SUMPRODUCT((Inputs!$A$5:$A$140=$B54)*Inputs!$B$5:$B$140*(((Inputs!$G$5:$G$140="moeda")+(Inputs!$G$5:$G$140="acoes"))*Inputs!$B$1+((Inputs!$G$5:$G$140&lt;&gt;"moeda")*(Inputs!$G$5:$G$140&lt;&gt;"acoes")))*INDEX(Inputs!$K$5:$AJ$140,0,MATCH(Y$2,Inputs!$K$4:$AJ$4,0)))+SUMPRODUCT((Inputs!$C$5:$C$140=$B54)*Inputs!$D$5:$D$140*(((Inputs!$G$5:$G$140="moeda")+(Inputs!$G$5:$G$140="acoes"))*Inputs!$B$1+((Inputs!$G$5:$G$140&lt;&gt;"moeda")*(Inputs!$G$5:$G$140&lt;&gt;"acoes")))*INDEX(Inputs!$K$5:$AJ$140,0,MATCH(Y$2,Inputs!$K$4:$AJ$4,0)))+SUMPRODUCT((Inputs!$E$5:$E$140=$B54)*Inputs!$F$5:$F$140*(((Inputs!$G$5:$G$140="moeda")+(Inputs!$G$5:$G$140="acoes"))*Inputs!$B$1+((Inputs!$G$5:$G$140&lt;&gt;"moeda")*(Inputs!$G$5:$G$140&lt;&gt;"acoes")))*INDEX(Inputs!$K$5:$AJ$140,0,MATCH(Y$2,Inputs!$K$4:$AJ$4,0)))))</f>
        <v>1960.487651</v>
      </c>
      <c r="Z54" s="262">
        <f>IF(ISNA(MATCH(Z$2,Inputs!$K$4:$AJ$4,0)),NA(),IF(SUMPRODUCT((Inputs!$A$5:$A$140=$B54)*ISNUMBER(INDEX(Inputs!$K$5:$AJ$140,0,MATCH(Z$2,Inputs!$K$4:$AJ$4,0))))+SUMPRODUCT((Inputs!$C$5:$C$140=$B54)*ISNUMBER(INDEX(Inputs!$K$5:$AJ$140,0,MATCH(Z$2,Inputs!$K$4:$AJ$4,0))))+SUMPRODUCT((Inputs!$E$5:$E$140=$B54)*ISNUMBER(INDEX(Inputs!$K$5:$AJ$140,0,MATCH(Z$2,Inputs!$K$4:$AJ$4,0))))=0,NA(),SUMPRODUCT((Inputs!$A$5:$A$140=$B54)*Inputs!$B$5:$B$140*(((Inputs!$G$5:$G$140="moeda")+(Inputs!$G$5:$G$140="acoes"))*Inputs!$B$1+((Inputs!$G$5:$G$140&lt;&gt;"moeda")*(Inputs!$G$5:$G$140&lt;&gt;"acoes")))*INDEX(Inputs!$K$5:$AJ$140,0,MATCH(Z$2,Inputs!$K$4:$AJ$4,0)))+SUMPRODUCT((Inputs!$C$5:$C$140=$B54)*Inputs!$D$5:$D$140*(((Inputs!$G$5:$G$140="moeda")+(Inputs!$G$5:$G$140="acoes"))*Inputs!$B$1+((Inputs!$G$5:$G$140&lt;&gt;"moeda")*(Inputs!$G$5:$G$140&lt;&gt;"acoes")))*INDEX(Inputs!$K$5:$AJ$140,0,MATCH(Z$2,Inputs!$K$4:$AJ$4,0)))+SUMPRODUCT((Inputs!$E$5:$E$140=$B54)*Inputs!$F$5:$F$140*(((Inputs!$G$5:$G$140="moeda")+(Inputs!$G$5:$G$140="acoes"))*Inputs!$B$1+((Inputs!$G$5:$G$140&lt;&gt;"moeda")*(Inputs!$G$5:$G$140&lt;&gt;"acoes")))*INDEX(Inputs!$K$5:$AJ$140,0,MATCH(Z$2,Inputs!$K$4:$AJ$4,0)))))</f>
        <v>1733.913905</v>
      </c>
      <c r="AA54" s="262">
        <f>IF(ISNA(MATCH(AA$2,Inputs!$K$4:$AJ$4,0)),NA(),IF(SUMPRODUCT((Inputs!$A$5:$A$140=$B54)*ISNUMBER(INDEX(Inputs!$K$5:$AJ$140,0,MATCH(AA$2,Inputs!$K$4:$AJ$4,0))))+SUMPRODUCT((Inputs!$C$5:$C$140=$B54)*ISNUMBER(INDEX(Inputs!$K$5:$AJ$140,0,MATCH(AA$2,Inputs!$K$4:$AJ$4,0))))+SUMPRODUCT((Inputs!$E$5:$E$140=$B54)*ISNUMBER(INDEX(Inputs!$K$5:$AJ$140,0,MATCH(AA$2,Inputs!$K$4:$AJ$4,0))))=0,NA(),SUMPRODUCT((Inputs!$A$5:$A$140=$B54)*Inputs!$B$5:$B$140*(((Inputs!$G$5:$G$140="moeda")+(Inputs!$G$5:$G$140="acoes"))*Inputs!$B$1+((Inputs!$G$5:$G$140&lt;&gt;"moeda")*(Inputs!$G$5:$G$140&lt;&gt;"acoes")))*INDEX(Inputs!$K$5:$AJ$140,0,MATCH(AA$2,Inputs!$K$4:$AJ$4,0)))+SUMPRODUCT((Inputs!$C$5:$C$140=$B54)*Inputs!$D$5:$D$140*(((Inputs!$G$5:$G$140="moeda")+(Inputs!$G$5:$G$140="acoes"))*Inputs!$B$1+((Inputs!$G$5:$G$140&lt;&gt;"moeda")*(Inputs!$G$5:$G$140&lt;&gt;"acoes")))*INDEX(Inputs!$K$5:$AJ$140,0,MATCH(AA$2,Inputs!$K$4:$AJ$4,0)))+SUMPRODUCT((Inputs!$E$5:$E$140=$B54)*Inputs!$F$5:$F$140*(((Inputs!$G$5:$G$140="moeda")+(Inputs!$G$5:$G$140="acoes"))*Inputs!$B$1+((Inputs!$G$5:$G$140&lt;&gt;"moeda")*(Inputs!$G$5:$G$140&lt;&gt;"acoes")))*INDEX(Inputs!$K$5:$AJ$140,0,MATCH(AA$2,Inputs!$K$4:$AJ$4,0)))))</f>
        <v>1179.132223</v>
      </c>
      <c r="AB54" s="263">
        <f>SUM(X54:AA54)</f>
        <v>7539.838779</v>
      </c>
      <c r="AC54" s="262">
        <f>IF(ISNA(MATCH(AC$2,Inputs!$K$4:$AJ$4,0)),NA(),IF(SUMPRODUCT((Inputs!$A$5:$A$140=$B54)*ISNUMBER(INDEX(Inputs!$K$5:$AJ$140,0,MATCH(AC$2,Inputs!$K$4:$AJ$4,0))))+SUMPRODUCT((Inputs!$C$5:$C$140=$B54)*ISNUMBER(INDEX(Inputs!$K$5:$AJ$140,0,MATCH(AC$2,Inputs!$K$4:$AJ$4,0))))+SUMPRODUCT((Inputs!$E$5:$E$140=$B54)*ISNUMBER(INDEX(Inputs!$K$5:$AJ$140,0,MATCH(AC$2,Inputs!$K$4:$AJ$4,0))))=0,NA(),SUMPRODUCT((Inputs!$A$5:$A$140=$B54)*Inputs!$B$5:$B$140*(((Inputs!$G$5:$G$140="moeda")+(Inputs!$G$5:$G$140="acoes"))*Inputs!$B$1+((Inputs!$G$5:$G$140&lt;&gt;"moeda")*(Inputs!$G$5:$G$140&lt;&gt;"acoes")))*INDEX(Inputs!$K$5:$AJ$140,0,MATCH(AC$2,Inputs!$K$4:$AJ$4,0)))+SUMPRODUCT((Inputs!$C$5:$C$140=$B54)*Inputs!$D$5:$D$140*(((Inputs!$G$5:$G$140="moeda")+(Inputs!$G$5:$G$140="acoes"))*Inputs!$B$1+((Inputs!$G$5:$G$140&lt;&gt;"moeda")*(Inputs!$G$5:$G$140&lt;&gt;"acoes")))*INDEX(Inputs!$K$5:$AJ$140,0,MATCH(AC$2,Inputs!$K$4:$AJ$4,0)))+SUMPRODUCT((Inputs!$E$5:$E$140=$B54)*Inputs!$F$5:$F$140*(((Inputs!$G$5:$G$140="moeda")+(Inputs!$G$5:$G$140="acoes"))*Inputs!$B$1+((Inputs!$G$5:$G$140&lt;&gt;"moeda")*(Inputs!$G$5:$G$140&lt;&gt;"acoes")))*INDEX(Inputs!$K$5:$AJ$140,0,MATCH(AC$2,Inputs!$K$4:$AJ$4,0)))))</f>
        <v>2268.903862852</v>
      </c>
      <c r="AD54" s="262">
        <f>IF(ISNA(MATCH(AD$2,Inputs!$K$4:$AJ$4,0)),NA(),IF(SUMPRODUCT((Inputs!$A$5:$A$140=$B54)*ISNUMBER(INDEX(Inputs!$K$5:$AJ$140,0,MATCH(AD$2,Inputs!$K$4:$AJ$4,0))))+SUMPRODUCT((Inputs!$C$5:$C$140=$B54)*ISNUMBER(INDEX(Inputs!$K$5:$AJ$140,0,MATCH(AD$2,Inputs!$K$4:$AJ$4,0))))+SUMPRODUCT((Inputs!$E$5:$E$140=$B54)*ISNUMBER(INDEX(Inputs!$K$5:$AJ$140,0,MATCH(AD$2,Inputs!$K$4:$AJ$4,0))))=0,NA(),SUMPRODUCT((Inputs!$A$5:$A$140=$B54)*Inputs!$B$5:$B$140*(((Inputs!$G$5:$G$140="moeda")+(Inputs!$G$5:$G$140="acoes"))*Inputs!$B$1+((Inputs!$G$5:$G$140&lt;&gt;"moeda")*(Inputs!$G$5:$G$140&lt;&gt;"acoes")))*INDEX(Inputs!$K$5:$AJ$140,0,MATCH(AD$2,Inputs!$K$4:$AJ$4,0)))+SUMPRODUCT((Inputs!$C$5:$C$140=$B54)*Inputs!$D$5:$D$140*(((Inputs!$G$5:$G$140="moeda")+(Inputs!$G$5:$G$140="acoes"))*Inputs!$B$1+((Inputs!$G$5:$G$140&lt;&gt;"moeda")*(Inputs!$G$5:$G$140&lt;&gt;"acoes")))*INDEX(Inputs!$K$5:$AJ$140,0,MATCH(AD$2,Inputs!$K$4:$AJ$4,0)))+SUMPRODUCT((Inputs!$E$5:$E$140=$B54)*Inputs!$F$5:$F$140*(((Inputs!$G$5:$G$140="moeda")+(Inputs!$G$5:$G$140="acoes"))*Inputs!$B$1+((Inputs!$G$5:$G$140&lt;&gt;"moeda")*(Inputs!$G$5:$G$140&lt;&gt;"acoes")))*INDEX(Inputs!$K$5:$AJ$140,0,MATCH(AD$2,Inputs!$K$4:$AJ$4,0)))))</f>
        <v>1943.92785928</v>
      </c>
      <c r="AE54" s="262" t="e">
        <f>IF(ISNA(MATCH(AE$2,Inputs!$K$4:$AJ$4,0)),NA(),IF(SUMPRODUCT((Inputs!$A$5:$A$140=$B54)*ISNUMBER(INDEX(Inputs!$K$5:$AJ$140,0,MATCH(AE$2,Inputs!$K$4:$AJ$4,0))))+SUMPRODUCT((Inputs!$C$5:$C$140=$B54)*ISNUMBER(INDEX(Inputs!$K$5:$AJ$140,0,MATCH(AE$2,Inputs!$K$4:$AJ$4,0))))+SUMPRODUCT((Inputs!$E$5:$E$140=$B54)*ISNUMBER(INDEX(Inputs!$K$5:$AJ$140,0,MATCH(AE$2,Inputs!$K$4:$AJ$4,0))))=0,NA(),SUMPRODUCT((Inputs!$A$5:$A$140=$B54)*Inputs!$B$5:$B$140*(((Inputs!$G$5:$G$140="moeda")+(Inputs!$G$5:$G$140="acoes"))*Inputs!$B$1+((Inputs!$G$5:$G$140&lt;&gt;"moeda")*(Inputs!$G$5:$G$140&lt;&gt;"acoes")))*INDEX(Inputs!$K$5:$AJ$140,0,MATCH(AE$2,Inputs!$K$4:$AJ$4,0)))+SUMPRODUCT((Inputs!$C$5:$C$140=$B54)*Inputs!$D$5:$D$140*(((Inputs!$G$5:$G$140="moeda")+(Inputs!$G$5:$G$140="acoes"))*Inputs!$B$1+((Inputs!$G$5:$G$140&lt;&gt;"moeda")*(Inputs!$G$5:$G$140&lt;&gt;"acoes")))*INDEX(Inputs!$K$5:$AJ$140,0,MATCH(AE$2,Inputs!$K$4:$AJ$4,0)))+SUMPRODUCT((Inputs!$E$5:$E$140=$B54)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4" s="262" t="e">
        <f>IF(ISNA(MATCH(AF$2,Inputs!$K$4:$AJ$4,0)),NA(),IF(SUMPRODUCT((Inputs!$A$5:$A$140=$B54)*ISNUMBER(INDEX(Inputs!$K$5:$AJ$140,0,MATCH(AF$2,Inputs!$K$4:$AJ$4,0))))+SUMPRODUCT((Inputs!$C$5:$C$140=$B54)*ISNUMBER(INDEX(Inputs!$K$5:$AJ$140,0,MATCH(AF$2,Inputs!$K$4:$AJ$4,0))))+SUMPRODUCT((Inputs!$E$5:$E$140=$B54)*ISNUMBER(INDEX(Inputs!$K$5:$AJ$140,0,MATCH(AF$2,Inputs!$K$4:$AJ$4,0))))=0,NA(),SUMPRODUCT((Inputs!$A$5:$A$140=$B54)*Inputs!$B$5:$B$140*(((Inputs!$G$5:$G$140="moeda")+(Inputs!$G$5:$G$140="acoes"))*Inputs!$B$1+((Inputs!$G$5:$G$140&lt;&gt;"moeda")*(Inputs!$G$5:$G$140&lt;&gt;"acoes")))*INDEX(Inputs!$K$5:$AJ$140,0,MATCH(AF$2,Inputs!$K$4:$AJ$4,0)))+SUMPRODUCT((Inputs!$C$5:$C$140=$B54)*Inputs!$D$5:$D$140*(((Inputs!$G$5:$G$140="moeda")+(Inputs!$G$5:$G$140="acoes"))*Inputs!$B$1+((Inputs!$G$5:$G$140&lt;&gt;"moeda")*(Inputs!$G$5:$G$140&lt;&gt;"acoes")))*INDEX(Inputs!$K$5:$AJ$140,0,MATCH(AF$2,Inputs!$K$4:$AJ$4,0)))+SUMPRODUCT((Inputs!$E$5:$E$140=$B54)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4" s="263" t="e">
        <f>SUM(AC54:AF54)</f>
        <v>#N/A</v>
      </c>
      <c r="AH54" s="262">
        <f>IF(ISNA(MATCH(AH$2,Inputs!$K$4:$AJ$4,0)),NA(),IF(SUMPRODUCT((Inputs!$A$5:$A$140=$B54)*ISNUMBER(INDEX(Inputs!$K$5:$AJ$140,0,MATCH(AH$2,Inputs!$K$4:$AJ$4,0))))+SUMPRODUCT((Inputs!$C$5:$C$140=$B54)*ISNUMBER(INDEX(Inputs!$K$5:$AJ$140,0,MATCH(AH$2,Inputs!$K$4:$AJ$4,0))))+SUMPRODUCT((Inputs!$E$5:$E$140=$B54)*ISNUMBER(INDEX(Inputs!$K$5:$AJ$140,0,MATCH(AH$2,Inputs!$K$4:$AJ$4,0))))=0,NA(),SUMPRODUCT((Inputs!$A$5:$A$140=$B54)*Inputs!$B$5:$B$140*(((Inputs!$G$5:$G$140="moeda")+(Inputs!$G$5:$G$140="acoes"))*Inputs!$B$1+((Inputs!$G$5:$G$140&lt;&gt;"moeda")*(Inputs!$G$5:$G$140&lt;&gt;"acoes")))*INDEX(Inputs!$K$5:$AJ$140,0,MATCH(AH$2,Inputs!$K$4:$AJ$4,0)))+SUMPRODUCT((Inputs!$C$5:$C$140=$B54)*Inputs!$D$5:$D$140*(((Inputs!$G$5:$G$140="moeda")+(Inputs!$G$5:$G$140="acoes"))*Inputs!$B$1+((Inputs!$G$5:$G$140&lt;&gt;"moeda")*(Inputs!$G$5:$G$140&lt;&gt;"acoes")))*INDEX(Inputs!$K$5:$AJ$140,0,MATCH(AH$2,Inputs!$K$4:$AJ$4,0)))+SUMPRODUCT((Inputs!$E$5:$E$140=$B54)*Inputs!$F$5:$F$140*(((Inputs!$G$5:$G$140="moeda")+(Inputs!$G$5:$G$140="acoes"))*Inputs!$B$1+((Inputs!$G$5:$G$140&lt;&gt;"moeda")*(Inputs!$G$5:$G$140&lt;&gt;"acoes")))*INDEX(Inputs!$K$5:$AJ$140,0,MATCH(AH$2,Inputs!$K$4:$AJ$4,0)))))</f>
        <v>72.471069</v>
      </c>
      <c r="AI54" s="262">
        <f>IF(ISNA(MATCH(AI$2,Inputs!$K$4:$AJ$4,0)),NA(),IF(SUMPRODUCT((Inputs!$A$5:$A$140=$B54)*ISNUMBER(INDEX(Inputs!$K$5:$AJ$140,0,MATCH(AI$2,Inputs!$K$4:$AJ$4,0))))+SUMPRODUCT((Inputs!$C$5:$C$140=$B54)*ISNUMBER(INDEX(Inputs!$K$5:$AJ$140,0,MATCH(AI$2,Inputs!$K$4:$AJ$4,0))))+SUMPRODUCT((Inputs!$E$5:$E$140=$B54)*ISNUMBER(INDEX(Inputs!$K$5:$AJ$140,0,MATCH(AI$2,Inputs!$K$4:$AJ$4,0))))=0,NA(),SUMPRODUCT((Inputs!$A$5:$A$140=$B54)*Inputs!$B$5:$B$140*(((Inputs!$G$5:$G$140="moeda")+(Inputs!$G$5:$G$140="acoes"))*Inputs!$B$1+((Inputs!$G$5:$G$140&lt;&gt;"moeda")*(Inputs!$G$5:$G$140&lt;&gt;"acoes")))*INDEX(Inputs!$K$5:$AJ$140,0,MATCH(AI$2,Inputs!$K$4:$AJ$4,0)))+SUMPRODUCT((Inputs!$C$5:$C$140=$B54)*Inputs!$D$5:$D$140*(((Inputs!$G$5:$G$140="moeda")+(Inputs!$G$5:$G$140="acoes"))*Inputs!$B$1+((Inputs!$G$5:$G$140&lt;&gt;"moeda")*(Inputs!$G$5:$G$140&lt;&gt;"acoes")))*INDEX(Inputs!$K$5:$AJ$140,0,MATCH(AI$2,Inputs!$K$4:$AJ$4,0)))+SUMPRODUCT((Inputs!$E$5:$E$140=$B54)*Inputs!$F$5:$F$140*(((Inputs!$G$5:$G$140="moeda")+(Inputs!$G$5:$G$140="acoes"))*Inputs!$B$1+((Inputs!$G$5:$G$140&lt;&gt;"moeda")*(Inputs!$G$5:$G$140&lt;&gt;"acoes")))*INDEX(Inputs!$K$5:$AJ$140,0,MATCH(AI$2,Inputs!$K$4:$AJ$4,0)))))</f>
        <v>311.528135</v>
      </c>
      <c r="AJ54" s="262">
        <f>IF(ISNA(MATCH(AJ$2,Inputs!$K$4:$AJ$4,0)),NA(),IF(SUMPRODUCT((Inputs!$A$5:$A$140=$B54)*ISNUMBER(INDEX(Inputs!$K$5:$AJ$140,0,MATCH(AJ$2,Inputs!$K$4:$AJ$4,0))))+SUMPRODUCT((Inputs!$C$5:$C$140=$B54)*ISNUMBER(INDEX(Inputs!$K$5:$AJ$140,0,MATCH(AJ$2,Inputs!$K$4:$AJ$4,0))))+SUMPRODUCT((Inputs!$E$5:$E$140=$B54)*ISNUMBER(INDEX(Inputs!$K$5:$AJ$140,0,MATCH(AJ$2,Inputs!$K$4:$AJ$4,0))))=0,NA(),SUMPRODUCT((Inputs!$A$5:$A$140=$B54)*Inputs!$B$5:$B$140*(((Inputs!$G$5:$G$140="moeda")+(Inputs!$G$5:$G$140="acoes"))*Inputs!$B$1+((Inputs!$G$5:$G$140&lt;&gt;"moeda")*(Inputs!$G$5:$G$140&lt;&gt;"acoes")))*INDEX(Inputs!$K$5:$AJ$140,0,MATCH(AJ$2,Inputs!$K$4:$AJ$4,0)))+SUMPRODUCT((Inputs!$C$5:$C$140=$B54)*Inputs!$D$5:$D$140*(((Inputs!$G$5:$G$140="moeda")+(Inputs!$G$5:$G$140="acoes"))*Inputs!$B$1+((Inputs!$G$5:$G$140&lt;&gt;"moeda")*(Inputs!$G$5:$G$140&lt;&gt;"acoes")))*INDEX(Inputs!$K$5:$AJ$140,0,MATCH(AJ$2,Inputs!$K$4:$AJ$4,0)))+SUMPRODUCT((Inputs!$E$5:$E$140=$B54)*Inputs!$F$5:$F$140*(((Inputs!$G$5:$G$140="moeda")+(Inputs!$G$5:$G$140="acoes"))*Inputs!$B$1+((Inputs!$G$5:$G$140&lt;&gt;"moeda")*(Inputs!$G$5:$G$140&lt;&gt;"acoes")))*INDEX(Inputs!$K$5:$AJ$140,0,MATCH(AJ$2,Inputs!$K$4:$AJ$4,0)))))</f>
        <v>367.28862</v>
      </c>
      <c r="AK54" s="262">
        <f>IF(ISNA(MATCH(AK$2,Inputs!$K$4:$AJ$4,0)),NA(),IF(SUMPRODUCT((Inputs!$A$5:$A$140=$B54)*ISNUMBER(INDEX(Inputs!$K$5:$AJ$140,0,MATCH(AK$2,Inputs!$K$4:$AJ$4,0))))+SUMPRODUCT((Inputs!$C$5:$C$140=$B54)*ISNUMBER(INDEX(Inputs!$K$5:$AJ$140,0,MATCH(AK$2,Inputs!$K$4:$AJ$4,0))))+SUMPRODUCT((Inputs!$E$5:$E$140=$B54)*ISNUMBER(INDEX(Inputs!$K$5:$AJ$140,0,MATCH(AK$2,Inputs!$K$4:$AJ$4,0))))=0,NA(),SUMPRODUCT((Inputs!$A$5:$A$140=$B54)*Inputs!$B$5:$B$140*(((Inputs!$G$5:$G$140="moeda")+(Inputs!$G$5:$G$140="acoes"))*Inputs!$B$1+((Inputs!$G$5:$G$140&lt;&gt;"moeda")*(Inputs!$G$5:$G$140&lt;&gt;"acoes")))*INDEX(Inputs!$K$5:$AJ$140,0,MATCH(AK$2,Inputs!$K$4:$AJ$4,0)))+SUMPRODUCT((Inputs!$C$5:$C$140=$B54)*Inputs!$D$5:$D$140*(((Inputs!$G$5:$G$140="moeda")+(Inputs!$G$5:$G$140="acoes"))*Inputs!$B$1+((Inputs!$G$5:$G$140&lt;&gt;"moeda")*(Inputs!$G$5:$G$140&lt;&gt;"acoes")))*INDEX(Inputs!$K$5:$AJ$140,0,MATCH(AK$2,Inputs!$K$4:$AJ$4,0)))+SUMPRODUCT((Inputs!$E$5:$E$140=$B54)*Inputs!$F$5:$F$140*(((Inputs!$G$5:$G$140="moeda")+(Inputs!$G$5:$G$140="acoes"))*Inputs!$B$1+((Inputs!$G$5:$G$140&lt;&gt;"moeda")*(Inputs!$G$5:$G$140&lt;&gt;"acoes")))*INDEX(Inputs!$K$5:$AJ$140,0,MATCH(AK$2,Inputs!$K$4:$AJ$4,0)))))</f>
        <v>625.442978</v>
      </c>
      <c r="AL54" s="263">
        <f>SUM(AH54:AK54)</f>
        <v>1376.730802</v>
      </c>
    </row>
    <row r="55">
      <c r="B55" s="46" t="n">
        <v>47</v>
      </c>
      <c r="C55" s="29" t="inlineStr">
        <is>
          <t>Lancamentos - unidades (l.10)</t>
        </is>
      </c>
      <c r="D55" s="264">
        <f>IF(ISNA(MATCH(D$2,Inputs!$K$4:$AJ$4,0)),NA(),IF(SUMPRODUCT((Inputs!$A$5:$A$140=$B55)*ISNUMBER(INDEX(Inputs!$K$5:$AJ$140,0,MATCH(D$2,Inputs!$K$4:$AJ$4,0))))+SUMPRODUCT((Inputs!$C$5:$C$140=$B55)*ISNUMBER(INDEX(Inputs!$K$5:$AJ$140,0,MATCH(D$2,Inputs!$K$4:$AJ$4,0))))+SUMPRODUCT((Inputs!$E$5:$E$140=$B55)*ISNUMBER(INDEX(Inputs!$K$5:$AJ$140,0,MATCH(D$2,Inputs!$K$4:$AJ$4,0))))=0,NA(),SUMPRODUCT((Inputs!$A$5:$A$140=$B55)*Inputs!$B$5:$B$140*(((Inputs!$G$5:$G$140="moeda")+(Inputs!$G$5:$G$140="acoes"))*Inputs!$B$1+((Inputs!$G$5:$G$140&lt;&gt;"moeda")*(Inputs!$G$5:$G$140&lt;&gt;"acoes")))*INDEX(Inputs!$K$5:$AJ$140,0,MATCH(D$2,Inputs!$K$4:$AJ$4,0)))+SUMPRODUCT((Inputs!$C$5:$C$140=$B55)*Inputs!$D$5:$D$140*(((Inputs!$G$5:$G$140="moeda")+(Inputs!$G$5:$G$140="acoes"))*Inputs!$B$1+((Inputs!$G$5:$G$140&lt;&gt;"moeda")*(Inputs!$G$5:$G$140&lt;&gt;"acoes")))*INDEX(Inputs!$K$5:$AJ$140,0,MATCH(D$2,Inputs!$K$4:$AJ$4,0)))+SUMPRODUCT((Inputs!$E$5:$E$140=$B55)*Inputs!$F$5:$F$140*(((Inputs!$G$5:$G$140="moeda")+(Inputs!$G$5:$G$140="acoes"))*Inputs!$B$1+((Inputs!$G$5:$G$140&lt;&gt;"moeda")*(Inputs!$G$5:$G$140&lt;&gt;"acoes")))*INDEX(Inputs!$K$5:$AJ$140,0,MATCH(D$2,Inputs!$K$4:$AJ$4,0)))))</f>
        <v>2957</v>
      </c>
      <c r="E55" s="264">
        <f>IF(ISNA(MATCH(E$2,Inputs!$K$4:$AJ$4,0)),NA(),IF(SUMPRODUCT((Inputs!$A$5:$A$140=$B55)*ISNUMBER(INDEX(Inputs!$K$5:$AJ$140,0,MATCH(E$2,Inputs!$K$4:$AJ$4,0))))+SUMPRODUCT((Inputs!$C$5:$C$140=$B55)*ISNUMBER(INDEX(Inputs!$K$5:$AJ$140,0,MATCH(E$2,Inputs!$K$4:$AJ$4,0))))+SUMPRODUCT((Inputs!$E$5:$E$140=$B55)*ISNUMBER(INDEX(Inputs!$K$5:$AJ$140,0,MATCH(E$2,Inputs!$K$4:$AJ$4,0))))=0,NA(),SUMPRODUCT((Inputs!$A$5:$A$140=$B55)*Inputs!$B$5:$B$140*(((Inputs!$G$5:$G$140="moeda")+(Inputs!$G$5:$G$140="acoes"))*Inputs!$B$1+((Inputs!$G$5:$G$140&lt;&gt;"moeda")*(Inputs!$G$5:$G$140&lt;&gt;"acoes")))*INDEX(Inputs!$K$5:$AJ$140,0,MATCH(E$2,Inputs!$K$4:$AJ$4,0)))+SUMPRODUCT((Inputs!$C$5:$C$140=$B55)*Inputs!$D$5:$D$140*(((Inputs!$G$5:$G$140="moeda")+(Inputs!$G$5:$G$140="acoes"))*Inputs!$B$1+((Inputs!$G$5:$G$140&lt;&gt;"moeda")*(Inputs!$G$5:$G$140&lt;&gt;"acoes")))*INDEX(Inputs!$K$5:$AJ$140,0,MATCH(E$2,Inputs!$K$4:$AJ$4,0)))+SUMPRODUCT((Inputs!$E$5:$E$140=$B55)*Inputs!$F$5:$F$140*(((Inputs!$G$5:$G$140="moeda")+(Inputs!$G$5:$G$140="acoes"))*Inputs!$B$1+((Inputs!$G$5:$G$140&lt;&gt;"moeda")*(Inputs!$G$5:$G$140&lt;&gt;"acoes")))*INDEX(Inputs!$K$5:$AJ$140,0,MATCH(E$2,Inputs!$K$4:$AJ$4,0)))))</f>
        <v>3244</v>
      </c>
      <c r="F55" s="264">
        <f>IF(ISNA(MATCH(F$2,Inputs!$K$4:$AJ$4,0)),NA(),IF(SUMPRODUCT((Inputs!$A$5:$A$140=$B55)*ISNUMBER(INDEX(Inputs!$K$5:$AJ$140,0,MATCH(F$2,Inputs!$K$4:$AJ$4,0))))+SUMPRODUCT((Inputs!$C$5:$C$140=$B55)*ISNUMBER(INDEX(Inputs!$K$5:$AJ$140,0,MATCH(F$2,Inputs!$K$4:$AJ$4,0))))+SUMPRODUCT((Inputs!$E$5:$E$140=$B55)*ISNUMBER(INDEX(Inputs!$K$5:$AJ$140,0,MATCH(F$2,Inputs!$K$4:$AJ$4,0))))=0,NA(),SUMPRODUCT((Inputs!$A$5:$A$140=$B55)*Inputs!$B$5:$B$140*(((Inputs!$G$5:$G$140="moeda")+(Inputs!$G$5:$G$140="acoes"))*Inputs!$B$1+((Inputs!$G$5:$G$140&lt;&gt;"moeda")*(Inputs!$G$5:$G$140&lt;&gt;"acoes")))*INDEX(Inputs!$K$5:$AJ$140,0,MATCH(F$2,Inputs!$K$4:$AJ$4,0)))+SUMPRODUCT((Inputs!$C$5:$C$140=$B55)*Inputs!$D$5:$D$140*(((Inputs!$G$5:$G$140="moeda")+(Inputs!$G$5:$G$140="acoes"))*Inputs!$B$1+((Inputs!$G$5:$G$140&lt;&gt;"moeda")*(Inputs!$G$5:$G$140&lt;&gt;"acoes")))*INDEX(Inputs!$K$5:$AJ$140,0,MATCH(F$2,Inputs!$K$4:$AJ$4,0)))+SUMPRODUCT((Inputs!$E$5:$E$140=$B55)*Inputs!$F$5:$F$140*(((Inputs!$G$5:$G$140="moeda")+(Inputs!$G$5:$G$140="acoes"))*Inputs!$B$1+((Inputs!$G$5:$G$140&lt;&gt;"moeda")*(Inputs!$G$5:$G$140&lt;&gt;"acoes")))*INDEX(Inputs!$K$5:$AJ$140,0,MATCH(F$2,Inputs!$K$4:$AJ$4,0)))))</f>
        <v>3163</v>
      </c>
      <c r="G55" s="264">
        <f>IF(ISNA(MATCH(G$2,Inputs!$K$4:$AJ$4,0)),NA(),IF(SUMPRODUCT((Inputs!$A$5:$A$140=$B55)*ISNUMBER(INDEX(Inputs!$K$5:$AJ$140,0,MATCH(G$2,Inputs!$K$4:$AJ$4,0))))+SUMPRODUCT((Inputs!$C$5:$C$140=$B55)*ISNUMBER(INDEX(Inputs!$K$5:$AJ$140,0,MATCH(G$2,Inputs!$K$4:$AJ$4,0))))+SUMPRODUCT((Inputs!$E$5:$E$140=$B55)*ISNUMBER(INDEX(Inputs!$K$5:$AJ$140,0,MATCH(G$2,Inputs!$K$4:$AJ$4,0))))=0,NA(),SUMPRODUCT((Inputs!$A$5:$A$140=$B55)*Inputs!$B$5:$B$140*(((Inputs!$G$5:$G$140="moeda")+(Inputs!$G$5:$G$140="acoes"))*Inputs!$B$1+((Inputs!$G$5:$G$140&lt;&gt;"moeda")*(Inputs!$G$5:$G$140&lt;&gt;"acoes")))*INDEX(Inputs!$K$5:$AJ$140,0,MATCH(G$2,Inputs!$K$4:$AJ$4,0)))+SUMPRODUCT((Inputs!$C$5:$C$140=$B55)*Inputs!$D$5:$D$140*(((Inputs!$G$5:$G$140="moeda")+(Inputs!$G$5:$G$140="acoes"))*Inputs!$B$1+((Inputs!$G$5:$G$140&lt;&gt;"moeda")*(Inputs!$G$5:$G$140&lt;&gt;"acoes")))*INDEX(Inputs!$K$5:$AJ$140,0,MATCH(G$2,Inputs!$K$4:$AJ$4,0)))+SUMPRODUCT((Inputs!$E$5:$E$140=$B55)*Inputs!$F$5:$F$140*(((Inputs!$G$5:$G$140="moeda")+(Inputs!$G$5:$G$140="acoes"))*Inputs!$B$1+((Inputs!$G$5:$G$140&lt;&gt;"moeda")*(Inputs!$G$5:$G$140&lt;&gt;"acoes")))*INDEX(Inputs!$K$5:$AJ$140,0,MATCH(G$2,Inputs!$K$4:$AJ$4,0)))))</f>
        <v>3275</v>
      </c>
      <c r="H55" s="265">
        <f>SUM(D55:G55)</f>
        <v>12639</v>
      </c>
      <c r="I55" s="264">
        <f>IF(ISNA(MATCH(I$2,Inputs!$K$4:$AJ$4,0)),NA(),IF(SUMPRODUCT((Inputs!$A$5:$A$140=$B55)*ISNUMBER(INDEX(Inputs!$K$5:$AJ$140,0,MATCH(I$2,Inputs!$K$4:$AJ$4,0))))+SUMPRODUCT((Inputs!$C$5:$C$140=$B55)*ISNUMBER(INDEX(Inputs!$K$5:$AJ$140,0,MATCH(I$2,Inputs!$K$4:$AJ$4,0))))+SUMPRODUCT((Inputs!$E$5:$E$140=$B55)*ISNUMBER(INDEX(Inputs!$K$5:$AJ$140,0,MATCH(I$2,Inputs!$K$4:$AJ$4,0))))=0,NA(),SUMPRODUCT((Inputs!$A$5:$A$140=$B55)*Inputs!$B$5:$B$140*(((Inputs!$G$5:$G$140="moeda")+(Inputs!$G$5:$G$140="acoes"))*Inputs!$B$1+((Inputs!$G$5:$G$140&lt;&gt;"moeda")*(Inputs!$G$5:$G$140&lt;&gt;"acoes")))*INDEX(Inputs!$K$5:$AJ$140,0,MATCH(I$2,Inputs!$K$4:$AJ$4,0)))+SUMPRODUCT((Inputs!$C$5:$C$140=$B55)*Inputs!$D$5:$D$140*(((Inputs!$G$5:$G$140="moeda")+(Inputs!$G$5:$G$140="acoes"))*Inputs!$B$1+((Inputs!$G$5:$G$140&lt;&gt;"moeda")*(Inputs!$G$5:$G$140&lt;&gt;"acoes")))*INDEX(Inputs!$K$5:$AJ$140,0,MATCH(I$2,Inputs!$K$4:$AJ$4,0)))+SUMPRODUCT((Inputs!$E$5:$E$140=$B55)*Inputs!$F$5:$F$140*(((Inputs!$G$5:$G$140="moeda")+(Inputs!$G$5:$G$140="acoes"))*Inputs!$B$1+((Inputs!$G$5:$G$140&lt;&gt;"moeda")*(Inputs!$G$5:$G$140&lt;&gt;"acoes")))*INDEX(Inputs!$K$5:$AJ$140,0,MATCH(I$2,Inputs!$K$4:$AJ$4,0)))))</f>
        <v>3240</v>
      </c>
      <c r="J55" s="264">
        <f>IF(ISNA(MATCH(J$2,Inputs!$K$4:$AJ$4,0)),NA(),IF(SUMPRODUCT((Inputs!$A$5:$A$140=$B55)*ISNUMBER(INDEX(Inputs!$K$5:$AJ$140,0,MATCH(J$2,Inputs!$K$4:$AJ$4,0))))+SUMPRODUCT((Inputs!$C$5:$C$140=$B55)*ISNUMBER(INDEX(Inputs!$K$5:$AJ$140,0,MATCH(J$2,Inputs!$K$4:$AJ$4,0))))+SUMPRODUCT((Inputs!$E$5:$E$140=$B55)*ISNUMBER(INDEX(Inputs!$K$5:$AJ$140,0,MATCH(J$2,Inputs!$K$4:$AJ$4,0))))=0,NA(),SUMPRODUCT((Inputs!$A$5:$A$140=$B55)*Inputs!$B$5:$B$140*(((Inputs!$G$5:$G$140="moeda")+(Inputs!$G$5:$G$140="acoes"))*Inputs!$B$1+((Inputs!$G$5:$G$140&lt;&gt;"moeda")*(Inputs!$G$5:$G$140&lt;&gt;"acoes")))*INDEX(Inputs!$K$5:$AJ$140,0,MATCH(J$2,Inputs!$K$4:$AJ$4,0)))+SUMPRODUCT((Inputs!$C$5:$C$140=$B55)*Inputs!$D$5:$D$140*(((Inputs!$G$5:$G$140="moeda")+(Inputs!$G$5:$G$140="acoes"))*Inputs!$B$1+((Inputs!$G$5:$G$140&lt;&gt;"moeda")*(Inputs!$G$5:$G$140&lt;&gt;"acoes")))*INDEX(Inputs!$K$5:$AJ$140,0,MATCH(J$2,Inputs!$K$4:$AJ$4,0)))+SUMPRODUCT((Inputs!$E$5:$E$140=$B55)*Inputs!$F$5:$F$140*(((Inputs!$G$5:$G$140="moeda")+(Inputs!$G$5:$G$140="acoes"))*Inputs!$B$1+((Inputs!$G$5:$G$140&lt;&gt;"moeda")*(Inputs!$G$5:$G$140&lt;&gt;"acoes")))*INDEX(Inputs!$K$5:$AJ$140,0,MATCH(J$2,Inputs!$K$4:$AJ$4,0)))))</f>
        <v>3548</v>
      </c>
      <c r="K55" s="264">
        <f>IF(ISNA(MATCH(K$2,Inputs!$K$4:$AJ$4,0)),NA(),IF(SUMPRODUCT((Inputs!$A$5:$A$140=$B55)*ISNUMBER(INDEX(Inputs!$K$5:$AJ$140,0,MATCH(K$2,Inputs!$K$4:$AJ$4,0))))+SUMPRODUCT((Inputs!$C$5:$C$140=$B55)*ISNUMBER(INDEX(Inputs!$K$5:$AJ$140,0,MATCH(K$2,Inputs!$K$4:$AJ$4,0))))+SUMPRODUCT((Inputs!$E$5:$E$140=$B55)*ISNUMBER(INDEX(Inputs!$K$5:$AJ$140,0,MATCH(K$2,Inputs!$K$4:$AJ$4,0))))=0,NA(),SUMPRODUCT((Inputs!$A$5:$A$140=$B55)*Inputs!$B$5:$B$140*(((Inputs!$G$5:$G$140="moeda")+(Inputs!$G$5:$G$140="acoes"))*Inputs!$B$1+((Inputs!$G$5:$G$140&lt;&gt;"moeda")*(Inputs!$G$5:$G$140&lt;&gt;"acoes")))*INDEX(Inputs!$K$5:$AJ$140,0,MATCH(K$2,Inputs!$K$4:$AJ$4,0)))+SUMPRODUCT((Inputs!$C$5:$C$140=$B55)*Inputs!$D$5:$D$140*(((Inputs!$G$5:$G$140="moeda")+(Inputs!$G$5:$G$140="acoes"))*Inputs!$B$1+((Inputs!$G$5:$G$140&lt;&gt;"moeda")*(Inputs!$G$5:$G$140&lt;&gt;"acoes")))*INDEX(Inputs!$K$5:$AJ$140,0,MATCH(K$2,Inputs!$K$4:$AJ$4,0)))+SUMPRODUCT((Inputs!$E$5:$E$140=$B55)*Inputs!$F$5:$F$140*(((Inputs!$G$5:$G$140="moeda")+(Inputs!$G$5:$G$140="acoes"))*Inputs!$B$1+((Inputs!$G$5:$G$140&lt;&gt;"moeda")*(Inputs!$G$5:$G$140&lt;&gt;"acoes")))*INDEX(Inputs!$K$5:$AJ$140,0,MATCH(K$2,Inputs!$K$4:$AJ$4,0)))))</f>
        <v>3650</v>
      </c>
      <c r="L55" s="264">
        <f>IF(ISNA(MATCH(L$2,Inputs!$K$4:$AJ$4,0)),NA(),IF(SUMPRODUCT((Inputs!$A$5:$A$140=$B55)*ISNUMBER(INDEX(Inputs!$K$5:$AJ$140,0,MATCH(L$2,Inputs!$K$4:$AJ$4,0))))+SUMPRODUCT((Inputs!$C$5:$C$140=$B55)*ISNUMBER(INDEX(Inputs!$K$5:$AJ$140,0,MATCH(L$2,Inputs!$K$4:$AJ$4,0))))+SUMPRODUCT((Inputs!$E$5:$E$140=$B55)*ISNUMBER(INDEX(Inputs!$K$5:$AJ$140,0,MATCH(L$2,Inputs!$K$4:$AJ$4,0))))=0,NA(),SUMPRODUCT((Inputs!$A$5:$A$140=$B55)*Inputs!$B$5:$B$140*(((Inputs!$G$5:$G$140="moeda")+(Inputs!$G$5:$G$140="acoes"))*Inputs!$B$1+((Inputs!$G$5:$G$140&lt;&gt;"moeda")*(Inputs!$G$5:$G$140&lt;&gt;"acoes")))*INDEX(Inputs!$K$5:$AJ$140,0,MATCH(L$2,Inputs!$K$4:$AJ$4,0)))+SUMPRODUCT((Inputs!$C$5:$C$140=$B55)*Inputs!$D$5:$D$140*(((Inputs!$G$5:$G$140="moeda")+(Inputs!$G$5:$G$140="acoes"))*Inputs!$B$1+((Inputs!$G$5:$G$140&lt;&gt;"moeda")*(Inputs!$G$5:$G$140&lt;&gt;"acoes")))*INDEX(Inputs!$K$5:$AJ$140,0,MATCH(L$2,Inputs!$K$4:$AJ$4,0)))+SUMPRODUCT((Inputs!$E$5:$E$140=$B55)*Inputs!$F$5:$F$140*(((Inputs!$G$5:$G$140="moeda")+(Inputs!$G$5:$G$140="acoes"))*Inputs!$B$1+((Inputs!$G$5:$G$140&lt;&gt;"moeda")*(Inputs!$G$5:$G$140&lt;&gt;"acoes")))*INDEX(Inputs!$K$5:$AJ$140,0,MATCH(L$2,Inputs!$K$4:$AJ$4,0)))))</f>
        <v>2147</v>
      </c>
      <c r="M55" s="265">
        <f>SUM(I55:L55)</f>
        <v>12585</v>
      </c>
      <c r="N55" s="264">
        <f>IF(ISNA(MATCH(N$2,Inputs!$K$4:$AJ$4,0)),NA(),IF(SUMPRODUCT((Inputs!$A$5:$A$140=$B55)*ISNUMBER(INDEX(Inputs!$K$5:$AJ$140,0,MATCH(N$2,Inputs!$K$4:$AJ$4,0))))+SUMPRODUCT((Inputs!$C$5:$C$140=$B55)*ISNUMBER(INDEX(Inputs!$K$5:$AJ$140,0,MATCH(N$2,Inputs!$K$4:$AJ$4,0))))+SUMPRODUCT((Inputs!$E$5:$E$140=$B55)*ISNUMBER(INDEX(Inputs!$K$5:$AJ$140,0,MATCH(N$2,Inputs!$K$4:$AJ$4,0))))=0,NA(),SUMPRODUCT((Inputs!$A$5:$A$140=$B55)*Inputs!$B$5:$B$140*(((Inputs!$G$5:$G$140="moeda")+(Inputs!$G$5:$G$140="acoes"))*Inputs!$B$1+((Inputs!$G$5:$G$140&lt;&gt;"moeda")*(Inputs!$G$5:$G$140&lt;&gt;"acoes")))*INDEX(Inputs!$K$5:$AJ$140,0,MATCH(N$2,Inputs!$K$4:$AJ$4,0)))+SUMPRODUCT((Inputs!$C$5:$C$140=$B55)*Inputs!$D$5:$D$140*(((Inputs!$G$5:$G$140="moeda")+(Inputs!$G$5:$G$140="acoes"))*Inputs!$B$1+((Inputs!$G$5:$G$140&lt;&gt;"moeda")*(Inputs!$G$5:$G$140&lt;&gt;"acoes")))*INDEX(Inputs!$K$5:$AJ$140,0,MATCH(N$2,Inputs!$K$4:$AJ$4,0)))+SUMPRODUCT((Inputs!$E$5:$E$140=$B55)*Inputs!$F$5:$F$140*(((Inputs!$G$5:$G$140="moeda")+(Inputs!$G$5:$G$140="acoes"))*Inputs!$B$1+((Inputs!$G$5:$G$140&lt;&gt;"moeda")*(Inputs!$G$5:$G$140&lt;&gt;"acoes")))*INDEX(Inputs!$K$5:$AJ$140,0,MATCH(N$2,Inputs!$K$4:$AJ$4,0)))))</f>
        <v>5095</v>
      </c>
      <c r="O55" s="264">
        <f>IF(ISNA(MATCH(O$2,Inputs!$K$4:$AJ$4,0)),NA(),IF(SUMPRODUCT((Inputs!$A$5:$A$140=$B55)*ISNUMBER(INDEX(Inputs!$K$5:$AJ$140,0,MATCH(O$2,Inputs!$K$4:$AJ$4,0))))+SUMPRODUCT((Inputs!$C$5:$C$140=$B55)*ISNUMBER(INDEX(Inputs!$K$5:$AJ$140,0,MATCH(O$2,Inputs!$K$4:$AJ$4,0))))+SUMPRODUCT((Inputs!$E$5:$E$140=$B55)*ISNUMBER(INDEX(Inputs!$K$5:$AJ$140,0,MATCH(O$2,Inputs!$K$4:$AJ$4,0))))=0,NA(),SUMPRODUCT((Inputs!$A$5:$A$140=$B55)*Inputs!$B$5:$B$140*(((Inputs!$G$5:$G$140="moeda")+(Inputs!$G$5:$G$140="acoes"))*Inputs!$B$1+((Inputs!$G$5:$G$140&lt;&gt;"moeda")*(Inputs!$G$5:$G$140&lt;&gt;"acoes")))*INDEX(Inputs!$K$5:$AJ$140,0,MATCH(O$2,Inputs!$K$4:$AJ$4,0)))+SUMPRODUCT((Inputs!$C$5:$C$140=$B55)*Inputs!$D$5:$D$140*(((Inputs!$G$5:$G$140="moeda")+(Inputs!$G$5:$G$140="acoes"))*Inputs!$B$1+((Inputs!$G$5:$G$140&lt;&gt;"moeda")*(Inputs!$G$5:$G$140&lt;&gt;"acoes")))*INDEX(Inputs!$K$5:$AJ$140,0,MATCH(O$2,Inputs!$K$4:$AJ$4,0)))+SUMPRODUCT((Inputs!$E$5:$E$140=$B55)*Inputs!$F$5:$F$140*(((Inputs!$G$5:$G$140="moeda")+(Inputs!$G$5:$G$140="acoes"))*Inputs!$B$1+((Inputs!$G$5:$G$140&lt;&gt;"moeda")*(Inputs!$G$5:$G$140&lt;&gt;"acoes")))*INDEX(Inputs!$K$5:$AJ$140,0,MATCH(O$2,Inputs!$K$4:$AJ$4,0)))))</f>
        <v>3799</v>
      </c>
      <c r="P55" s="264">
        <f>IF(ISNA(MATCH(P$2,Inputs!$K$4:$AJ$4,0)),NA(),IF(SUMPRODUCT((Inputs!$A$5:$A$140=$B55)*ISNUMBER(INDEX(Inputs!$K$5:$AJ$140,0,MATCH(P$2,Inputs!$K$4:$AJ$4,0))))+SUMPRODUCT((Inputs!$C$5:$C$140=$B55)*ISNUMBER(INDEX(Inputs!$K$5:$AJ$140,0,MATCH(P$2,Inputs!$K$4:$AJ$4,0))))+SUMPRODUCT((Inputs!$E$5:$E$140=$B55)*ISNUMBER(INDEX(Inputs!$K$5:$AJ$140,0,MATCH(P$2,Inputs!$K$4:$AJ$4,0))))=0,NA(),SUMPRODUCT((Inputs!$A$5:$A$140=$B55)*Inputs!$B$5:$B$140*(((Inputs!$G$5:$G$140="moeda")+(Inputs!$G$5:$G$140="acoes"))*Inputs!$B$1+((Inputs!$G$5:$G$140&lt;&gt;"moeda")*(Inputs!$G$5:$G$140&lt;&gt;"acoes")))*INDEX(Inputs!$K$5:$AJ$140,0,MATCH(P$2,Inputs!$K$4:$AJ$4,0)))+SUMPRODUCT((Inputs!$C$5:$C$140=$B55)*Inputs!$D$5:$D$140*(((Inputs!$G$5:$G$140="moeda")+(Inputs!$G$5:$G$140="acoes"))*Inputs!$B$1+((Inputs!$G$5:$G$140&lt;&gt;"moeda")*(Inputs!$G$5:$G$140&lt;&gt;"acoes")))*INDEX(Inputs!$K$5:$AJ$140,0,MATCH(P$2,Inputs!$K$4:$AJ$4,0)))+SUMPRODUCT((Inputs!$E$5:$E$140=$B55)*Inputs!$F$5:$F$140*(((Inputs!$G$5:$G$140="moeda")+(Inputs!$G$5:$G$140="acoes"))*Inputs!$B$1+((Inputs!$G$5:$G$140&lt;&gt;"moeda")*(Inputs!$G$5:$G$140&lt;&gt;"acoes")))*INDEX(Inputs!$K$5:$AJ$140,0,MATCH(P$2,Inputs!$K$4:$AJ$4,0)))))</f>
        <v>3658</v>
      </c>
      <c r="Q55" s="264">
        <f>IF(ISNA(MATCH(Q$2,Inputs!$K$4:$AJ$4,0)),NA(),IF(SUMPRODUCT((Inputs!$A$5:$A$140=$B55)*ISNUMBER(INDEX(Inputs!$K$5:$AJ$140,0,MATCH(Q$2,Inputs!$K$4:$AJ$4,0))))+SUMPRODUCT((Inputs!$C$5:$C$140=$B55)*ISNUMBER(INDEX(Inputs!$K$5:$AJ$140,0,MATCH(Q$2,Inputs!$K$4:$AJ$4,0))))+SUMPRODUCT((Inputs!$E$5:$E$140=$B55)*ISNUMBER(INDEX(Inputs!$K$5:$AJ$140,0,MATCH(Q$2,Inputs!$K$4:$AJ$4,0))))=0,NA(),SUMPRODUCT((Inputs!$A$5:$A$140=$B55)*Inputs!$B$5:$B$140*(((Inputs!$G$5:$G$140="moeda")+(Inputs!$G$5:$G$140="acoes"))*Inputs!$B$1+((Inputs!$G$5:$G$140&lt;&gt;"moeda")*(Inputs!$G$5:$G$140&lt;&gt;"acoes")))*INDEX(Inputs!$K$5:$AJ$140,0,MATCH(Q$2,Inputs!$K$4:$AJ$4,0)))+SUMPRODUCT((Inputs!$C$5:$C$140=$B55)*Inputs!$D$5:$D$140*(((Inputs!$G$5:$G$140="moeda")+(Inputs!$G$5:$G$140="acoes"))*Inputs!$B$1+((Inputs!$G$5:$G$140&lt;&gt;"moeda")*(Inputs!$G$5:$G$140&lt;&gt;"acoes")))*INDEX(Inputs!$K$5:$AJ$140,0,MATCH(Q$2,Inputs!$K$4:$AJ$4,0)))+SUMPRODUCT((Inputs!$E$5:$E$140=$B55)*Inputs!$F$5:$F$140*(((Inputs!$G$5:$G$140="moeda")+(Inputs!$G$5:$G$140="acoes"))*Inputs!$B$1+((Inputs!$G$5:$G$140&lt;&gt;"moeda")*(Inputs!$G$5:$G$140&lt;&gt;"acoes")))*INDEX(Inputs!$K$5:$AJ$140,0,MATCH(Q$2,Inputs!$K$4:$AJ$4,0)))))</f>
        <v>3123</v>
      </c>
      <c r="R55" s="265">
        <f>SUM(N55:Q55)</f>
        <v>15675</v>
      </c>
      <c r="S55" s="264">
        <f>IF(ISNA(MATCH(S$2,Inputs!$K$4:$AJ$4,0)),NA(),IF(SUMPRODUCT((Inputs!$A$5:$A$140=$B55)*ISNUMBER(INDEX(Inputs!$K$5:$AJ$140,0,MATCH(S$2,Inputs!$K$4:$AJ$4,0))))+SUMPRODUCT((Inputs!$C$5:$C$140=$B55)*ISNUMBER(INDEX(Inputs!$K$5:$AJ$140,0,MATCH(S$2,Inputs!$K$4:$AJ$4,0))))+SUMPRODUCT((Inputs!$E$5:$E$140=$B55)*ISNUMBER(INDEX(Inputs!$K$5:$AJ$140,0,MATCH(S$2,Inputs!$K$4:$AJ$4,0))))=0,NA(),SUMPRODUCT((Inputs!$A$5:$A$140=$B55)*Inputs!$B$5:$B$140*(((Inputs!$G$5:$G$140="moeda")+(Inputs!$G$5:$G$140="acoes"))*Inputs!$B$1+((Inputs!$G$5:$G$140&lt;&gt;"moeda")*(Inputs!$G$5:$G$140&lt;&gt;"acoes")))*INDEX(Inputs!$K$5:$AJ$140,0,MATCH(S$2,Inputs!$K$4:$AJ$4,0)))+SUMPRODUCT((Inputs!$C$5:$C$140=$B55)*Inputs!$D$5:$D$140*(((Inputs!$G$5:$G$140="moeda")+(Inputs!$G$5:$G$140="acoes"))*Inputs!$B$1+((Inputs!$G$5:$G$140&lt;&gt;"moeda")*(Inputs!$G$5:$G$140&lt;&gt;"acoes")))*INDEX(Inputs!$K$5:$AJ$140,0,MATCH(S$2,Inputs!$K$4:$AJ$4,0)))+SUMPRODUCT((Inputs!$E$5:$E$140=$B55)*Inputs!$F$5:$F$140*(((Inputs!$G$5:$G$140="moeda")+(Inputs!$G$5:$G$140="acoes"))*Inputs!$B$1+((Inputs!$G$5:$G$140&lt;&gt;"moeda")*(Inputs!$G$5:$G$140&lt;&gt;"acoes")))*INDEX(Inputs!$K$5:$AJ$140,0,MATCH(S$2,Inputs!$K$4:$AJ$4,0)))))</f>
        <v>5959</v>
      </c>
      <c r="T55" s="264">
        <f>IF(ISNA(MATCH(T$2,Inputs!$K$4:$AJ$4,0)),NA(),IF(SUMPRODUCT((Inputs!$A$5:$A$140=$B55)*ISNUMBER(INDEX(Inputs!$K$5:$AJ$140,0,MATCH(T$2,Inputs!$K$4:$AJ$4,0))))+SUMPRODUCT((Inputs!$C$5:$C$140=$B55)*ISNUMBER(INDEX(Inputs!$K$5:$AJ$140,0,MATCH(T$2,Inputs!$K$4:$AJ$4,0))))+SUMPRODUCT((Inputs!$E$5:$E$140=$B55)*ISNUMBER(INDEX(Inputs!$K$5:$AJ$140,0,MATCH(T$2,Inputs!$K$4:$AJ$4,0))))=0,NA(),SUMPRODUCT((Inputs!$A$5:$A$140=$B55)*Inputs!$B$5:$B$140*(((Inputs!$G$5:$G$140="moeda")+(Inputs!$G$5:$G$140="acoes"))*Inputs!$B$1+((Inputs!$G$5:$G$140&lt;&gt;"moeda")*(Inputs!$G$5:$G$140&lt;&gt;"acoes")))*INDEX(Inputs!$K$5:$AJ$140,0,MATCH(T$2,Inputs!$K$4:$AJ$4,0)))+SUMPRODUCT((Inputs!$C$5:$C$140=$B55)*Inputs!$D$5:$D$140*(((Inputs!$G$5:$G$140="moeda")+(Inputs!$G$5:$G$140="acoes"))*Inputs!$B$1+((Inputs!$G$5:$G$140&lt;&gt;"moeda")*(Inputs!$G$5:$G$140&lt;&gt;"acoes")))*INDEX(Inputs!$K$5:$AJ$140,0,MATCH(T$2,Inputs!$K$4:$AJ$4,0)))+SUMPRODUCT((Inputs!$E$5:$E$140=$B55)*Inputs!$F$5:$F$140*(((Inputs!$G$5:$G$140="moeda")+(Inputs!$G$5:$G$140="acoes"))*Inputs!$B$1+((Inputs!$G$5:$G$140&lt;&gt;"moeda")*(Inputs!$G$5:$G$140&lt;&gt;"acoes")))*INDEX(Inputs!$K$5:$AJ$140,0,MATCH(T$2,Inputs!$K$4:$AJ$4,0)))))</f>
        <v>5588</v>
      </c>
      <c r="U55" s="264">
        <f>IF(ISNA(MATCH(U$2,Inputs!$K$4:$AJ$4,0)),NA(),IF(SUMPRODUCT((Inputs!$A$5:$A$140=$B55)*ISNUMBER(INDEX(Inputs!$K$5:$AJ$140,0,MATCH(U$2,Inputs!$K$4:$AJ$4,0))))+SUMPRODUCT((Inputs!$C$5:$C$140=$B55)*ISNUMBER(INDEX(Inputs!$K$5:$AJ$140,0,MATCH(U$2,Inputs!$K$4:$AJ$4,0))))+SUMPRODUCT((Inputs!$E$5:$E$140=$B55)*ISNUMBER(INDEX(Inputs!$K$5:$AJ$140,0,MATCH(U$2,Inputs!$K$4:$AJ$4,0))))=0,NA(),SUMPRODUCT((Inputs!$A$5:$A$140=$B55)*Inputs!$B$5:$B$140*(((Inputs!$G$5:$G$140="moeda")+(Inputs!$G$5:$G$140="acoes"))*Inputs!$B$1+((Inputs!$G$5:$G$140&lt;&gt;"moeda")*(Inputs!$G$5:$G$140&lt;&gt;"acoes")))*INDEX(Inputs!$K$5:$AJ$140,0,MATCH(U$2,Inputs!$K$4:$AJ$4,0)))+SUMPRODUCT((Inputs!$C$5:$C$140=$B55)*Inputs!$D$5:$D$140*(((Inputs!$G$5:$G$140="moeda")+(Inputs!$G$5:$G$140="acoes"))*Inputs!$B$1+((Inputs!$G$5:$G$140&lt;&gt;"moeda")*(Inputs!$G$5:$G$140&lt;&gt;"acoes")))*INDEX(Inputs!$K$5:$AJ$140,0,MATCH(U$2,Inputs!$K$4:$AJ$4,0)))+SUMPRODUCT((Inputs!$E$5:$E$140=$B55)*Inputs!$F$5:$F$140*(((Inputs!$G$5:$G$140="moeda")+(Inputs!$G$5:$G$140="acoes"))*Inputs!$B$1+((Inputs!$G$5:$G$140&lt;&gt;"moeda")*(Inputs!$G$5:$G$140&lt;&gt;"acoes")))*INDEX(Inputs!$K$5:$AJ$140,0,MATCH(U$2,Inputs!$K$4:$AJ$4,0)))))</f>
        <v>5157</v>
      </c>
      <c r="V55" s="264">
        <f>IF(ISNA(MATCH(V$2,Inputs!$K$4:$AJ$4,0)),NA(),IF(SUMPRODUCT((Inputs!$A$5:$A$140=$B55)*ISNUMBER(INDEX(Inputs!$K$5:$AJ$140,0,MATCH(V$2,Inputs!$K$4:$AJ$4,0))))+SUMPRODUCT((Inputs!$C$5:$C$140=$B55)*ISNUMBER(INDEX(Inputs!$K$5:$AJ$140,0,MATCH(V$2,Inputs!$K$4:$AJ$4,0))))+SUMPRODUCT((Inputs!$E$5:$E$140=$B55)*ISNUMBER(INDEX(Inputs!$K$5:$AJ$140,0,MATCH(V$2,Inputs!$K$4:$AJ$4,0))))=0,NA(),SUMPRODUCT((Inputs!$A$5:$A$140=$B55)*Inputs!$B$5:$B$140*(((Inputs!$G$5:$G$140="moeda")+(Inputs!$G$5:$G$140="acoes"))*Inputs!$B$1+((Inputs!$G$5:$G$140&lt;&gt;"moeda")*(Inputs!$G$5:$G$140&lt;&gt;"acoes")))*INDEX(Inputs!$K$5:$AJ$140,0,MATCH(V$2,Inputs!$K$4:$AJ$4,0)))+SUMPRODUCT((Inputs!$C$5:$C$140=$B55)*Inputs!$D$5:$D$140*(((Inputs!$G$5:$G$140="moeda")+(Inputs!$G$5:$G$140="acoes"))*Inputs!$B$1+((Inputs!$G$5:$G$140&lt;&gt;"moeda")*(Inputs!$G$5:$G$140&lt;&gt;"acoes")))*INDEX(Inputs!$K$5:$AJ$140,0,MATCH(V$2,Inputs!$K$4:$AJ$4,0)))+SUMPRODUCT((Inputs!$E$5:$E$140=$B55)*Inputs!$F$5:$F$140*(((Inputs!$G$5:$G$140="moeda")+(Inputs!$G$5:$G$140="acoes"))*Inputs!$B$1+((Inputs!$G$5:$G$140&lt;&gt;"moeda")*(Inputs!$G$5:$G$140&lt;&gt;"acoes")))*INDEX(Inputs!$K$5:$AJ$140,0,MATCH(V$2,Inputs!$K$4:$AJ$4,0)))))</f>
        <v>4061</v>
      </c>
      <c r="W55" s="265">
        <f>SUM(S55:V55)</f>
        <v>20765</v>
      </c>
      <c r="X55" s="264">
        <f>IF(ISNA(MATCH(X$2,Inputs!$K$4:$AJ$4,0)),NA(),IF(SUMPRODUCT((Inputs!$A$5:$A$140=$B55)*ISNUMBER(INDEX(Inputs!$K$5:$AJ$140,0,MATCH(X$2,Inputs!$K$4:$AJ$4,0))))+SUMPRODUCT((Inputs!$C$5:$C$140=$B55)*ISNUMBER(INDEX(Inputs!$K$5:$AJ$140,0,MATCH(X$2,Inputs!$K$4:$AJ$4,0))))+SUMPRODUCT((Inputs!$E$5:$E$140=$B55)*ISNUMBER(INDEX(Inputs!$K$5:$AJ$140,0,MATCH(X$2,Inputs!$K$4:$AJ$4,0))))=0,NA(),SUMPRODUCT((Inputs!$A$5:$A$140=$B55)*Inputs!$B$5:$B$140*(((Inputs!$G$5:$G$140="moeda")+(Inputs!$G$5:$G$140="acoes"))*Inputs!$B$1+((Inputs!$G$5:$G$140&lt;&gt;"moeda")*(Inputs!$G$5:$G$140&lt;&gt;"acoes")))*INDEX(Inputs!$K$5:$AJ$140,0,MATCH(X$2,Inputs!$K$4:$AJ$4,0)))+SUMPRODUCT((Inputs!$C$5:$C$140=$B55)*Inputs!$D$5:$D$140*(((Inputs!$G$5:$G$140="moeda")+(Inputs!$G$5:$G$140="acoes"))*Inputs!$B$1+((Inputs!$G$5:$G$140&lt;&gt;"moeda")*(Inputs!$G$5:$G$140&lt;&gt;"acoes")))*INDEX(Inputs!$K$5:$AJ$140,0,MATCH(X$2,Inputs!$K$4:$AJ$4,0)))+SUMPRODUCT((Inputs!$E$5:$E$140=$B55)*Inputs!$F$5:$F$140*(((Inputs!$G$5:$G$140="moeda")+(Inputs!$G$5:$G$140="acoes"))*Inputs!$B$1+((Inputs!$G$5:$G$140&lt;&gt;"moeda")*(Inputs!$G$5:$G$140&lt;&gt;"acoes")))*INDEX(Inputs!$K$5:$AJ$140,0,MATCH(X$2,Inputs!$K$4:$AJ$4,0)))))</f>
        <v>9132</v>
      </c>
      <c r="Y55" s="264">
        <f>IF(ISNA(MATCH(Y$2,Inputs!$K$4:$AJ$4,0)),NA(),IF(SUMPRODUCT((Inputs!$A$5:$A$140=$B55)*ISNUMBER(INDEX(Inputs!$K$5:$AJ$140,0,MATCH(Y$2,Inputs!$K$4:$AJ$4,0))))+SUMPRODUCT((Inputs!$C$5:$C$140=$B55)*ISNUMBER(INDEX(Inputs!$K$5:$AJ$140,0,MATCH(Y$2,Inputs!$K$4:$AJ$4,0))))+SUMPRODUCT((Inputs!$E$5:$E$140=$B55)*ISNUMBER(INDEX(Inputs!$K$5:$AJ$140,0,MATCH(Y$2,Inputs!$K$4:$AJ$4,0))))=0,NA(),SUMPRODUCT((Inputs!$A$5:$A$140=$B55)*Inputs!$B$5:$B$140*(((Inputs!$G$5:$G$140="moeda")+(Inputs!$G$5:$G$140="acoes"))*Inputs!$B$1+((Inputs!$G$5:$G$140&lt;&gt;"moeda")*(Inputs!$G$5:$G$140&lt;&gt;"acoes")))*INDEX(Inputs!$K$5:$AJ$140,0,MATCH(Y$2,Inputs!$K$4:$AJ$4,0)))+SUMPRODUCT((Inputs!$C$5:$C$140=$B55)*Inputs!$D$5:$D$140*(((Inputs!$G$5:$G$140="moeda")+(Inputs!$G$5:$G$140="acoes"))*Inputs!$B$1+((Inputs!$G$5:$G$140&lt;&gt;"moeda")*(Inputs!$G$5:$G$140&lt;&gt;"acoes")))*INDEX(Inputs!$K$5:$AJ$140,0,MATCH(Y$2,Inputs!$K$4:$AJ$4,0)))+SUMPRODUCT((Inputs!$E$5:$E$140=$B55)*Inputs!$F$5:$F$140*(((Inputs!$G$5:$G$140="moeda")+(Inputs!$G$5:$G$140="acoes"))*Inputs!$B$1+((Inputs!$G$5:$G$140&lt;&gt;"moeda")*(Inputs!$G$5:$G$140&lt;&gt;"acoes")))*INDEX(Inputs!$K$5:$AJ$140,0,MATCH(Y$2,Inputs!$K$4:$AJ$4,0)))))</f>
        <v>6588</v>
      </c>
      <c r="Z55" s="264">
        <f>IF(ISNA(MATCH(Z$2,Inputs!$K$4:$AJ$4,0)),NA(),IF(SUMPRODUCT((Inputs!$A$5:$A$140=$B55)*ISNUMBER(INDEX(Inputs!$K$5:$AJ$140,0,MATCH(Z$2,Inputs!$K$4:$AJ$4,0))))+SUMPRODUCT((Inputs!$C$5:$C$140=$B55)*ISNUMBER(INDEX(Inputs!$K$5:$AJ$140,0,MATCH(Z$2,Inputs!$K$4:$AJ$4,0))))+SUMPRODUCT((Inputs!$E$5:$E$140=$B55)*ISNUMBER(INDEX(Inputs!$K$5:$AJ$140,0,MATCH(Z$2,Inputs!$K$4:$AJ$4,0))))=0,NA(),SUMPRODUCT((Inputs!$A$5:$A$140=$B55)*Inputs!$B$5:$B$140*(((Inputs!$G$5:$G$140="moeda")+(Inputs!$G$5:$G$140="acoes"))*Inputs!$B$1+((Inputs!$G$5:$G$140&lt;&gt;"moeda")*(Inputs!$G$5:$G$140&lt;&gt;"acoes")))*INDEX(Inputs!$K$5:$AJ$140,0,MATCH(Z$2,Inputs!$K$4:$AJ$4,0)))+SUMPRODUCT((Inputs!$C$5:$C$140=$B55)*Inputs!$D$5:$D$140*(((Inputs!$G$5:$G$140="moeda")+(Inputs!$G$5:$G$140="acoes"))*Inputs!$B$1+((Inputs!$G$5:$G$140&lt;&gt;"moeda")*(Inputs!$G$5:$G$140&lt;&gt;"acoes")))*INDEX(Inputs!$K$5:$AJ$140,0,MATCH(Z$2,Inputs!$K$4:$AJ$4,0)))+SUMPRODUCT((Inputs!$E$5:$E$140=$B55)*Inputs!$F$5:$F$140*(((Inputs!$G$5:$G$140="moeda")+(Inputs!$G$5:$G$140="acoes"))*Inputs!$B$1+((Inputs!$G$5:$G$140&lt;&gt;"moeda")*(Inputs!$G$5:$G$140&lt;&gt;"acoes")))*INDEX(Inputs!$K$5:$AJ$140,0,MATCH(Z$2,Inputs!$K$4:$AJ$4,0)))))</f>
        <v>6813</v>
      </c>
      <c r="AA55" s="264">
        <f>IF(ISNA(MATCH(AA$2,Inputs!$K$4:$AJ$4,0)),NA(),IF(SUMPRODUCT((Inputs!$A$5:$A$140=$B55)*ISNUMBER(INDEX(Inputs!$K$5:$AJ$140,0,MATCH(AA$2,Inputs!$K$4:$AJ$4,0))))+SUMPRODUCT((Inputs!$C$5:$C$140=$B55)*ISNUMBER(INDEX(Inputs!$K$5:$AJ$140,0,MATCH(AA$2,Inputs!$K$4:$AJ$4,0))))+SUMPRODUCT((Inputs!$E$5:$E$140=$B55)*ISNUMBER(INDEX(Inputs!$K$5:$AJ$140,0,MATCH(AA$2,Inputs!$K$4:$AJ$4,0))))=0,NA(),SUMPRODUCT((Inputs!$A$5:$A$140=$B55)*Inputs!$B$5:$B$140*(((Inputs!$G$5:$G$140="moeda")+(Inputs!$G$5:$G$140="acoes"))*Inputs!$B$1+((Inputs!$G$5:$G$140&lt;&gt;"moeda")*(Inputs!$G$5:$G$140&lt;&gt;"acoes")))*INDEX(Inputs!$K$5:$AJ$140,0,MATCH(AA$2,Inputs!$K$4:$AJ$4,0)))+SUMPRODUCT((Inputs!$C$5:$C$140=$B55)*Inputs!$D$5:$D$140*(((Inputs!$G$5:$G$140="moeda")+(Inputs!$G$5:$G$140="acoes"))*Inputs!$B$1+((Inputs!$G$5:$G$140&lt;&gt;"moeda")*(Inputs!$G$5:$G$140&lt;&gt;"acoes")))*INDEX(Inputs!$K$5:$AJ$140,0,MATCH(AA$2,Inputs!$K$4:$AJ$4,0)))+SUMPRODUCT((Inputs!$E$5:$E$140=$B55)*Inputs!$F$5:$F$140*(((Inputs!$G$5:$G$140="moeda")+(Inputs!$G$5:$G$140="acoes"))*Inputs!$B$1+((Inputs!$G$5:$G$140&lt;&gt;"moeda")*(Inputs!$G$5:$G$140&lt;&gt;"acoes")))*INDEX(Inputs!$K$5:$AJ$140,0,MATCH(AA$2,Inputs!$K$4:$AJ$4,0)))))</f>
        <v>3833</v>
      </c>
      <c r="AB55" s="265">
        <f>SUM(X55:AA55)</f>
        <v>26366</v>
      </c>
      <c r="AC55" s="264">
        <f>IF(ISNA(MATCH(AC$2,Inputs!$K$4:$AJ$4,0)),NA(),IF(SUMPRODUCT((Inputs!$A$5:$A$140=$B55)*ISNUMBER(INDEX(Inputs!$K$5:$AJ$140,0,MATCH(AC$2,Inputs!$K$4:$AJ$4,0))))+SUMPRODUCT((Inputs!$C$5:$C$140=$B55)*ISNUMBER(INDEX(Inputs!$K$5:$AJ$140,0,MATCH(AC$2,Inputs!$K$4:$AJ$4,0))))+SUMPRODUCT((Inputs!$E$5:$E$140=$B55)*ISNUMBER(INDEX(Inputs!$K$5:$AJ$140,0,MATCH(AC$2,Inputs!$K$4:$AJ$4,0))))=0,NA(),SUMPRODUCT((Inputs!$A$5:$A$140=$B55)*Inputs!$B$5:$B$140*(((Inputs!$G$5:$G$140="moeda")+(Inputs!$G$5:$G$140="acoes"))*Inputs!$B$1+((Inputs!$G$5:$G$140&lt;&gt;"moeda")*(Inputs!$G$5:$G$140&lt;&gt;"acoes")))*INDEX(Inputs!$K$5:$AJ$140,0,MATCH(AC$2,Inputs!$K$4:$AJ$4,0)))+SUMPRODUCT((Inputs!$C$5:$C$140=$B55)*Inputs!$D$5:$D$140*(((Inputs!$G$5:$G$140="moeda")+(Inputs!$G$5:$G$140="acoes"))*Inputs!$B$1+((Inputs!$G$5:$G$140&lt;&gt;"moeda")*(Inputs!$G$5:$G$140&lt;&gt;"acoes")))*INDEX(Inputs!$K$5:$AJ$140,0,MATCH(AC$2,Inputs!$K$4:$AJ$4,0)))+SUMPRODUCT((Inputs!$E$5:$E$140=$B55)*Inputs!$F$5:$F$140*(((Inputs!$G$5:$G$140="moeda")+(Inputs!$G$5:$G$140="acoes"))*Inputs!$B$1+((Inputs!$G$5:$G$140&lt;&gt;"moeda")*(Inputs!$G$5:$G$140&lt;&gt;"acoes")))*INDEX(Inputs!$K$5:$AJ$140,0,MATCH(AC$2,Inputs!$K$4:$AJ$4,0)))))</f>
        <v>8001</v>
      </c>
      <c r="AD55" s="264">
        <f>IF(ISNA(MATCH(AD$2,Inputs!$K$4:$AJ$4,0)),NA(),IF(SUMPRODUCT((Inputs!$A$5:$A$140=$B55)*ISNUMBER(INDEX(Inputs!$K$5:$AJ$140,0,MATCH(AD$2,Inputs!$K$4:$AJ$4,0))))+SUMPRODUCT((Inputs!$C$5:$C$140=$B55)*ISNUMBER(INDEX(Inputs!$K$5:$AJ$140,0,MATCH(AD$2,Inputs!$K$4:$AJ$4,0))))+SUMPRODUCT((Inputs!$E$5:$E$140=$B55)*ISNUMBER(INDEX(Inputs!$K$5:$AJ$140,0,MATCH(AD$2,Inputs!$K$4:$AJ$4,0))))=0,NA(),SUMPRODUCT((Inputs!$A$5:$A$140=$B55)*Inputs!$B$5:$B$140*(((Inputs!$G$5:$G$140="moeda")+(Inputs!$G$5:$G$140="acoes"))*Inputs!$B$1+((Inputs!$G$5:$G$140&lt;&gt;"moeda")*(Inputs!$G$5:$G$140&lt;&gt;"acoes")))*INDEX(Inputs!$K$5:$AJ$140,0,MATCH(AD$2,Inputs!$K$4:$AJ$4,0)))+SUMPRODUCT((Inputs!$C$5:$C$140=$B55)*Inputs!$D$5:$D$140*(((Inputs!$G$5:$G$140="moeda")+(Inputs!$G$5:$G$140="acoes"))*Inputs!$B$1+((Inputs!$G$5:$G$140&lt;&gt;"moeda")*(Inputs!$G$5:$G$140&lt;&gt;"acoes")))*INDEX(Inputs!$K$5:$AJ$140,0,MATCH(AD$2,Inputs!$K$4:$AJ$4,0)))+SUMPRODUCT((Inputs!$E$5:$E$140=$B55)*Inputs!$F$5:$F$140*(((Inputs!$G$5:$G$140="moeda")+(Inputs!$G$5:$G$140="acoes"))*Inputs!$B$1+((Inputs!$G$5:$G$140&lt;&gt;"moeda")*(Inputs!$G$5:$G$140&lt;&gt;"acoes")))*INDEX(Inputs!$K$5:$AJ$140,0,MATCH(AD$2,Inputs!$K$4:$AJ$4,0)))))</f>
        <v>6549</v>
      </c>
      <c r="AE55" s="264" t="e">
        <f>IF(ISNA(MATCH(AE$2,Inputs!$K$4:$AJ$4,0)),NA(),IF(SUMPRODUCT((Inputs!$A$5:$A$140=$B55)*ISNUMBER(INDEX(Inputs!$K$5:$AJ$140,0,MATCH(AE$2,Inputs!$K$4:$AJ$4,0))))+SUMPRODUCT((Inputs!$C$5:$C$140=$B55)*ISNUMBER(INDEX(Inputs!$K$5:$AJ$140,0,MATCH(AE$2,Inputs!$K$4:$AJ$4,0))))+SUMPRODUCT((Inputs!$E$5:$E$140=$B55)*ISNUMBER(INDEX(Inputs!$K$5:$AJ$140,0,MATCH(AE$2,Inputs!$K$4:$AJ$4,0))))=0,NA(),SUMPRODUCT((Inputs!$A$5:$A$140=$B55)*Inputs!$B$5:$B$140*(((Inputs!$G$5:$G$140="moeda")+(Inputs!$G$5:$G$140="acoes"))*Inputs!$B$1+((Inputs!$G$5:$G$140&lt;&gt;"moeda")*(Inputs!$G$5:$G$140&lt;&gt;"acoes")))*INDEX(Inputs!$K$5:$AJ$140,0,MATCH(AE$2,Inputs!$K$4:$AJ$4,0)))+SUMPRODUCT((Inputs!$C$5:$C$140=$B55)*Inputs!$D$5:$D$140*(((Inputs!$G$5:$G$140="moeda")+(Inputs!$G$5:$G$140="acoes"))*Inputs!$B$1+((Inputs!$G$5:$G$140&lt;&gt;"moeda")*(Inputs!$G$5:$G$140&lt;&gt;"acoes")))*INDEX(Inputs!$K$5:$AJ$140,0,MATCH(AE$2,Inputs!$K$4:$AJ$4,0)))+SUMPRODUCT((Inputs!$E$5:$E$140=$B55)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5" s="264" t="e">
        <f>IF(ISNA(MATCH(AF$2,Inputs!$K$4:$AJ$4,0)),NA(),IF(SUMPRODUCT((Inputs!$A$5:$A$140=$B55)*ISNUMBER(INDEX(Inputs!$K$5:$AJ$140,0,MATCH(AF$2,Inputs!$K$4:$AJ$4,0))))+SUMPRODUCT((Inputs!$C$5:$C$140=$B55)*ISNUMBER(INDEX(Inputs!$K$5:$AJ$140,0,MATCH(AF$2,Inputs!$K$4:$AJ$4,0))))+SUMPRODUCT((Inputs!$E$5:$E$140=$B55)*ISNUMBER(INDEX(Inputs!$K$5:$AJ$140,0,MATCH(AF$2,Inputs!$K$4:$AJ$4,0))))=0,NA(),SUMPRODUCT((Inputs!$A$5:$A$140=$B55)*Inputs!$B$5:$B$140*(((Inputs!$G$5:$G$140="moeda")+(Inputs!$G$5:$G$140="acoes"))*Inputs!$B$1+((Inputs!$G$5:$G$140&lt;&gt;"moeda")*(Inputs!$G$5:$G$140&lt;&gt;"acoes")))*INDEX(Inputs!$K$5:$AJ$140,0,MATCH(AF$2,Inputs!$K$4:$AJ$4,0)))+SUMPRODUCT((Inputs!$C$5:$C$140=$B55)*Inputs!$D$5:$D$140*(((Inputs!$G$5:$G$140="moeda")+(Inputs!$G$5:$G$140="acoes"))*Inputs!$B$1+((Inputs!$G$5:$G$140&lt;&gt;"moeda")*(Inputs!$G$5:$G$140&lt;&gt;"acoes")))*INDEX(Inputs!$K$5:$AJ$140,0,MATCH(AF$2,Inputs!$K$4:$AJ$4,0)))+SUMPRODUCT((Inputs!$E$5:$E$140=$B55)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5" s="265" t="e">
        <f>SUM(AC55:AF55)</f>
        <v>#N/A</v>
      </c>
      <c r="AH55" s="264">
        <f>IF(ISNA(MATCH(AH$2,Inputs!$K$4:$AJ$4,0)),NA(),IF(SUMPRODUCT((Inputs!$A$5:$A$140=$B55)*ISNUMBER(INDEX(Inputs!$K$5:$AJ$140,0,MATCH(AH$2,Inputs!$K$4:$AJ$4,0))))+SUMPRODUCT((Inputs!$C$5:$C$140=$B55)*ISNUMBER(INDEX(Inputs!$K$5:$AJ$140,0,MATCH(AH$2,Inputs!$K$4:$AJ$4,0))))+SUMPRODUCT((Inputs!$E$5:$E$140=$B55)*ISNUMBER(INDEX(Inputs!$K$5:$AJ$140,0,MATCH(AH$2,Inputs!$K$4:$AJ$4,0))))=0,NA(),SUMPRODUCT((Inputs!$A$5:$A$140=$B55)*Inputs!$B$5:$B$140*(((Inputs!$G$5:$G$140="moeda")+(Inputs!$G$5:$G$140="acoes"))*Inputs!$B$1+((Inputs!$G$5:$G$140&lt;&gt;"moeda")*(Inputs!$G$5:$G$140&lt;&gt;"acoes")))*INDEX(Inputs!$K$5:$AJ$140,0,MATCH(AH$2,Inputs!$K$4:$AJ$4,0)))+SUMPRODUCT((Inputs!$C$5:$C$140=$B55)*Inputs!$D$5:$D$140*(((Inputs!$G$5:$G$140="moeda")+(Inputs!$G$5:$G$140="acoes"))*Inputs!$B$1+((Inputs!$G$5:$G$140&lt;&gt;"moeda")*(Inputs!$G$5:$G$140&lt;&gt;"acoes")))*INDEX(Inputs!$K$5:$AJ$140,0,MATCH(AH$2,Inputs!$K$4:$AJ$4,0)))+SUMPRODUCT((Inputs!$E$5:$E$140=$B55)*Inputs!$F$5:$F$140*(((Inputs!$G$5:$G$140="moeda")+(Inputs!$G$5:$G$140="acoes"))*Inputs!$B$1+((Inputs!$G$5:$G$140&lt;&gt;"moeda")*(Inputs!$G$5:$G$140&lt;&gt;"acoes")))*INDEX(Inputs!$K$5:$AJ$140,0,MATCH(AH$2,Inputs!$K$4:$AJ$4,0)))))</f>
        <v>903</v>
      </c>
      <c r="AI55" s="264">
        <f>IF(ISNA(MATCH(AI$2,Inputs!$K$4:$AJ$4,0)),NA(),IF(SUMPRODUCT((Inputs!$A$5:$A$140=$B55)*ISNUMBER(INDEX(Inputs!$K$5:$AJ$140,0,MATCH(AI$2,Inputs!$K$4:$AJ$4,0))))+SUMPRODUCT((Inputs!$C$5:$C$140=$B55)*ISNUMBER(INDEX(Inputs!$K$5:$AJ$140,0,MATCH(AI$2,Inputs!$K$4:$AJ$4,0))))+SUMPRODUCT((Inputs!$E$5:$E$140=$B55)*ISNUMBER(INDEX(Inputs!$K$5:$AJ$140,0,MATCH(AI$2,Inputs!$K$4:$AJ$4,0))))=0,NA(),SUMPRODUCT((Inputs!$A$5:$A$140=$B55)*Inputs!$B$5:$B$140*(((Inputs!$G$5:$G$140="moeda")+(Inputs!$G$5:$G$140="acoes"))*Inputs!$B$1+((Inputs!$G$5:$G$140&lt;&gt;"moeda")*(Inputs!$G$5:$G$140&lt;&gt;"acoes")))*INDEX(Inputs!$K$5:$AJ$140,0,MATCH(AI$2,Inputs!$K$4:$AJ$4,0)))+SUMPRODUCT((Inputs!$C$5:$C$140=$B55)*Inputs!$D$5:$D$140*(((Inputs!$G$5:$G$140="moeda")+(Inputs!$G$5:$G$140="acoes"))*Inputs!$B$1+((Inputs!$G$5:$G$140&lt;&gt;"moeda")*(Inputs!$G$5:$G$140&lt;&gt;"acoes")))*INDEX(Inputs!$K$5:$AJ$140,0,MATCH(AI$2,Inputs!$K$4:$AJ$4,0)))+SUMPRODUCT((Inputs!$E$5:$E$140=$B55)*Inputs!$F$5:$F$140*(((Inputs!$G$5:$G$140="moeda")+(Inputs!$G$5:$G$140="acoes"))*Inputs!$B$1+((Inputs!$G$5:$G$140&lt;&gt;"moeda")*(Inputs!$G$5:$G$140&lt;&gt;"acoes")))*INDEX(Inputs!$K$5:$AJ$140,0,MATCH(AI$2,Inputs!$K$4:$AJ$4,0)))))</f>
        <v>1830</v>
      </c>
      <c r="AJ55" s="264">
        <f>IF(ISNA(MATCH(AJ$2,Inputs!$K$4:$AJ$4,0)),NA(),IF(SUMPRODUCT((Inputs!$A$5:$A$140=$B55)*ISNUMBER(INDEX(Inputs!$K$5:$AJ$140,0,MATCH(AJ$2,Inputs!$K$4:$AJ$4,0))))+SUMPRODUCT((Inputs!$C$5:$C$140=$B55)*ISNUMBER(INDEX(Inputs!$K$5:$AJ$140,0,MATCH(AJ$2,Inputs!$K$4:$AJ$4,0))))+SUMPRODUCT((Inputs!$E$5:$E$140=$B55)*ISNUMBER(INDEX(Inputs!$K$5:$AJ$140,0,MATCH(AJ$2,Inputs!$K$4:$AJ$4,0))))=0,NA(),SUMPRODUCT((Inputs!$A$5:$A$140=$B55)*Inputs!$B$5:$B$140*(((Inputs!$G$5:$G$140="moeda")+(Inputs!$G$5:$G$140="acoes"))*Inputs!$B$1+((Inputs!$G$5:$G$140&lt;&gt;"moeda")*(Inputs!$G$5:$G$140&lt;&gt;"acoes")))*INDEX(Inputs!$K$5:$AJ$140,0,MATCH(AJ$2,Inputs!$K$4:$AJ$4,0)))+SUMPRODUCT((Inputs!$C$5:$C$140=$B55)*Inputs!$D$5:$D$140*(((Inputs!$G$5:$G$140="moeda")+(Inputs!$G$5:$G$140="acoes"))*Inputs!$B$1+((Inputs!$G$5:$G$140&lt;&gt;"moeda")*(Inputs!$G$5:$G$140&lt;&gt;"acoes")))*INDEX(Inputs!$K$5:$AJ$140,0,MATCH(AJ$2,Inputs!$K$4:$AJ$4,0)))+SUMPRODUCT((Inputs!$E$5:$E$140=$B55)*Inputs!$F$5:$F$140*(((Inputs!$G$5:$G$140="moeda")+(Inputs!$G$5:$G$140="acoes"))*Inputs!$B$1+((Inputs!$G$5:$G$140&lt;&gt;"moeda")*(Inputs!$G$5:$G$140&lt;&gt;"acoes")))*INDEX(Inputs!$K$5:$AJ$140,0,MATCH(AJ$2,Inputs!$K$4:$AJ$4,0)))))</f>
        <v>2061</v>
      </c>
      <c r="AK55" s="264">
        <f>IF(ISNA(MATCH(AK$2,Inputs!$K$4:$AJ$4,0)),NA(),IF(SUMPRODUCT((Inputs!$A$5:$A$140=$B55)*ISNUMBER(INDEX(Inputs!$K$5:$AJ$140,0,MATCH(AK$2,Inputs!$K$4:$AJ$4,0))))+SUMPRODUCT((Inputs!$C$5:$C$140=$B55)*ISNUMBER(INDEX(Inputs!$K$5:$AJ$140,0,MATCH(AK$2,Inputs!$K$4:$AJ$4,0))))+SUMPRODUCT((Inputs!$E$5:$E$140=$B55)*ISNUMBER(INDEX(Inputs!$K$5:$AJ$140,0,MATCH(AK$2,Inputs!$K$4:$AJ$4,0))))=0,NA(),SUMPRODUCT((Inputs!$A$5:$A$140=$B55)*Inputs!$B$5:$B$140*(((Inputs!$G$5:$G$140="moeda")+(Inputs!$G$5:$G$140="acoes"))*Inputs!$B$1+((Inputs!$G$5:$G$140&lt;&gt;"moeda")*(Inputs!$G$5:$G$140&lt;&gt;"acoes")))*INDEX(Inputs!$K$5:$AJ$140,0,MATCH(AK$2,Inputs!$K$4:$AJ$4,0)))+SUMPRODUCT((Inputs!$C$5:$C$140=$B55)*Inputs!$D$5:$D$140*(((Inputs!$G$5:$G$140="moeda")+(Inputs!$G$5:$G$140="acoes"))*Inputs!$B$1+((Inputs!$G$5:$G$140&lt;&gt;"moeda")*(Inputs!$G$5:$G$140&lt;&gt;"acoes")))*INDEX(Inputs!$K$5:$AJ$140,0,MATCH(AK$2,Inputs!$K$4:$AJ$4,0)))+SUMPRODUCT((Inputs!$E$5:$E$140=$B55)*Inputs!$F$5:$F$140*(((Inputs!$G$5:$G$140="moeda")+(Inputs!$G$5:$G$140="acoes"))*Inputs!$B$1+((Inputs!$G$5:$G$140&lt;&gt;"moeda")*(Inputs!$G$5:$G$140&lt;&gt;"acoes")))*INDEX(Inputs!$K$5:$AJ$140,0,MATCH(AK$2,Inputs!$K$4:$AJ$4,0)))))</f>
        <v>3439</v>
      </c>
      <c r="AL55" s="265">
        <f>SUM(AH55:AK55)</f>
        <v>8233</v>
      </c>
    </row>
    <row r="56">
      <c r="B56" s="46" t="n">
        <v>48</v>
      </c>
      <c r="C56" s="29" t="inlineStr">
        <is>
          <t>Lancamentos - numero de empreendimentos (l.6)</t>
        </is>
      </c>
      <c r="D56" s="264">
        <f>IF(ISNA(MATCH(D$2,Inputs!$K$4:$AJ$4,0)),NA(),IF(SUMPRODUCT((Inputs!$A$5:$A$140=$B56)*ISNUMBER(INDEX(Inputs!$K$5:$AJ$140,0,MATCH(D$2,Inputs!$K$4:$AJ$4,0))))+SUMPRODUCT((Inputs!$C$5:$C$140=$B56)*ISNUMBER(INDEX(Inputs!$K$5:$AJ$140,0,MATCH(D$2,Inputs!$K$4:$AJ$4,0))))+SUMPRODUCT((Inputs!$E$5:$E$140=$B56)*ISNUMBER(INDEX(Inputs!$K$5:$AJ$140,0,MATCH(D$2,Inputs!$K$4:$AJ$4,0))))=0,NA(),SUMPRODUCT((Inputs!$A$5:$A$140=$B56)*Inputs!$B$5:$B$140*(((Inputs!$G$5:$G$140="moeda")+(Inputs!$G$5:$G$140="acoes"))*Inputs!$B$1+((Inputs!$G$5:$G$140&lt;&gt;"moeda")*(Inputs!$G$5:$G$140&lt;&gt;"acoes")))*INDEX(Inputs!$K$5:$AJ$140,0,MATCH(D$2,Inputs!$K$4:$AJ$4,0)))+SUMPRODUCT((Inputs!$C$5:$C$140=$B56)*Inputs!$D$5:$D$140*(((Inputs!$G$5:$G$140="moeda")+(Inputs!$G$5:$G$140="acoes"))*Inputs!$B$1+((Inputs!$G$5:$G$140&lt;&gt;"moeda")*(Inputs!$G$5:$G$140&lt;&gt;"acoes")))*INDEX(Inputs!$K$5:$AJ$140,0,MATCH(D$2,Inputs!$K$4:$AJ$4,0)))+SUMPRODUCT((Inputs!$E$5:$E$140=$B56)*Inputs!$F$5:$F$140*(((Inputs!$G$5:$G$140="moeda")+(Inputs!$G$5:$G$140="acoes"))*Inputs!$B$1+((Inputs!$G$5:$G$140&lt;&gt;"moeda")*(Inputs!$G$5:$G$140&lt;&gt;"acoes")))*INDEX(Inputs!$K$5:$AJ$140,0,MATCH(D$2,Inputs!$K$4:$AJ$4,0)))))</f>
        <v>6</v>
      </c>
      <c r="E56" s="264">
        <f>IF(ISNA(MATCH(E$2,Inputs!$K$4:$AJ$4,0)),NA(),IF(SUMPRODUCT((Inputs!$A$5:$A$140=$B56)*ISNUMBER(INDEX(Inputs!$K$5:$AJ$140,0,MATCH(E$2,Inputs!$K$4:$AJ$4,0))))+SUMPRODUCT((Inputs!$C$5:$C$140=$B56)*ISNUMBER(INDEX(Inputs!$K$5:$AJ$140,0,MATCH(E$2,Inputs!$K$4:$AJ$4,0))))+SUMPRODUCT((Inputs!$E$5:$E$140=$B56)*ISNUMBER(INDEX(Inputs!$K$5:$AJ$140,0,MATCH(E$2,Inputs!$K$4:$AJ$4,0))))=0,NA(),SUMPRODUCT((Inputs!$A$5:$A$140=$B56)*Inputs!$B$5:$B$140*(((Inputs!$G$5:$G$140="moeda")+(Inputs!$G$5:$G$140="acoes"))*Inputs!$B$1+((Inputs!$G$5:$G$140&lt;&gt;"moeda")*(Inputs!$G$5:$G$140&lt;&gt;"acoes")))*INDEX(Inputs!$K$5:$AJ$140,0,MATCH(E$2,Inputs!$K$4:$AJ$4,0)))+SUMPRODUCT((Inputs!$C$5:$C$140=$B56)*Inputs!$D$5:$D$140*(((Inputs!$G$5:$G$140="moeda")+(Inputs!$G$5:$G$140="acoes"))*Inputs!$B$1+((Inputs!$G$5:$G$140&lt;&gt;"moeda")*(Inputs!$G$5:$G$140&lt;&gt;"acoes")))*INDEX(Inputs!$K$5:$AJ$140,0,MATCH(E$2,Inputs!$K$4:$AJ$4,0)))+SUMPRODUCT((Inputs!$E$5:$E$140=$B56)*Inputs!$F$5:$F$140*(((Inputs!$G$5:$G$140="moeda")+(Inputs!$G$5:$G$140="acoes"))*Inputs!$B$1+((Inputs!$G$5:$G$140&lt;&gt;"moeda")*(Inputs!$G$5:$G$140&lt;&gt;"acoes")))*INDEX(Inputs!$K$5:$AJ$140,0,MATCH(E$2,Inputs!$K$4:$AJ$4,0)))))</f>
        <v>7</v>
      </c>
      <c r="F56" s="264">
        <f>IF(ISNA(MATCH(F$2,Inputs!$K$4:$AJ$4,0)),NA(),IF(SUMPRODUCT((Inputs!$A$5:$A$140=$B56)*ISNUMBER(INDEX(Inputs!$K$5:$AJ$140,0,MATCH(F$2,Inputs!$K$4:$AJ$4,0))))+SUMPRODUCT((Inputs!$C$5:$C$140=$B56)*ISNUMBER(INDEX(Inputs!$K$5:$AJ$140,0,MATCH(F$2,Inputs!$K$4:$AJ$4,0))))+SUMPRODUCT((Inputs!$E$5:$E$140=$B56)*ISNUMBER(INDEX(Inputs!$K$5:$AJ$140,0,MATCH(F$2,Inputs!$K$4:$AJ$4,0))))=0,NA(),SUMPRODUCT((Inputs!$A$5:$A$140=$B56)*Inputs!$B$5:$B$140*(((Inputs!$G$5:$G$140="moeda")+(Inputs!$G$5:$G$140="acoes"))*Inputs!$B$1+((Inputs!$G$5:$G$140&lt;&gt;"moeda")*(Inputs!$G$5:$G$140&lt;&gt;"acoes")))*INDEX(Inputs!$K$5:$AJ$140,0,MATCH(F$2,Inputs!$K$4:$AJ$4,0)))+SUMPRODUCT((Inputs!$C$5:$C$140=$B56)*Inputs!$D$5:$D$140*(((Inputs!$G$5:$G$140="moeda")+(Inputs!$G$5:$G$140="acoes"))*Inputs!$B$1+((Inputs!$G$5:$G$140&lt;&gt;"moeda")*(Inputs!$G$5:$G$140&lt;&gt;"acoes")))*INDEX(Inputs!$K$5:$AJ$140,0,MATCH(F$2,Inputs!$K$4:$AJ$4,0)))+SUMPRODUCT((Inputs!$E$5:$E$140=$B56)*Inputs!$F$5:$F$140*(((Inputs!$G$5:$G$140="moeda")+(Inputs!$G$5:$G$140="acoes"))*Inputs!$B$1+((Inputs!$G$5:$G$140&lt;&gt;"moeda")*(Inputs!$G$5:$G$140&lt;&gt;"acoes")))*INDEX(Inputs!$K$5:$AJ$140,0,MATCH(F$2,Inputs!$K$4:$AJ$4,0)))))</f>
        <v>6</v>
      </c>
      <c r="G56" s="264">
        <f>IF(ISNA(MATCH(G$2,Inputs!$K$4:$AJ$4,0)),NA(),IF(SUMPRODUCT((Inputs!$A$5:$A$140=$B56)*ISNUMBER(INDEX(Inputs!$K$5:$AJ$140,0,MATCH(G$2,Inputs!$K$4:$AJ$4,0))))+SUMPRODUCT((Inputs!$C$5:$C$140=$B56)*ISNUMBER(INDEX(Inputs!$K$5:$AJ$140,0,MATCH(G$2,Inputs!$K$4:$AJ$4,0))))+SUMPRODUCT((Inputs!$E$5:$E$140=$B56)*ISNUMBER(INDEX(Inputs!$K$5:$AJ$140,0,MATCH(G$2,Inputs!$K$4:$AJ$4,0))))=0,NA(),SUMPRODUCT((Inputs!$A$5:$A$140=$B56)*Inputs!$B$5:$B$140*(((Inputs!$G$5:$G$140="moeda")+(Inputs!$G$5:$G$140="acoes"))*Inputs!$B$1+((Inputs!$G$5:$G$140&lt;&gt;"moeda")*(Inputs!$G$5:$G$140&lt;&gt;"acoes")))*INDEX(Inputs!$K$5:$AJ$140,0,MATCH(G$2,Inputs!$K$4:$AJ$4,0)))+SUMPRODUCT((Inputs!$C$5:$C$140=$B56)*Inputs!$D$5:$D$140*(((Inputs!$G$5:$G$140="moeda")+(Inputs!$G$5:$G$140="acoes"))*Inputs!$B$1+((Inputs!$G$5:$G$140&lt;&gt;"moeda")*(Inputs!$G$5:$G$140&lt;&gt;"acoes")))*INDEX(Inputs!$K$5:$AJ$140,0,MATCH(G$2,Inputs!$K$4:$AJ$4,0)))+SUMPRODUCT((Inputs!$E$5:$E$140=$B56)*Inputs!$F$5:$F$140*(((Inputs!$G$5:$G$140="moeda")+(Inputs!$G$5:$G$140="acoes"))*Inputs!$B$1+((Inputs!$G$5:$G$140&lt;&gt;"moeda")*(Inputs!$G$5:$G$140&lt;&gt;"acoes")))*INDEX(Inputs!$K$5:$AJ$140,0,MATCH(G$2,Inputs!$K$4:$AJ$4,0)))))</f>
        <v>7</v>
      </c>
      <c r="H56" s="265">
        <f>SUM(D56:G56)</f>
        <v>26</v>
      </c>
      <c r="I56" s="264">
        <f>IF(ISNA(MATCH(I$2,Inputs!$K$4:$AJ$4,0)),NA(),IF(SUMPRODUCT((Inputs!$A$5:$A$140=$B56)*ISNUMBER(INDEX(Inputs!$K$5:$AJ$140,0,MATCH(I$2,Inputs!$K$4:$AJ$4,0))))+SUMPRODUCT((Inputs!$C$5:$C$140=$B56)*ISNUMBER(INDEX(Inputs!$K$5:$AJ$140,0,MATCH(I$2,Inputs!$K$4:$AJ$4,0))))+SUMPRODUCT((Inputs!$E$5:$E$140=$B56)*ISNUMBER(INDEX(Inputs!$K$5:$AJ$140,0,MATCH(I$2,Inputs!$K$4:$AJ$4,0))))=0,NA(),SUMPRODUCT((Inputs!$A$5:$A$140=$B56)*Inputs!$B$5:$B$140*(((Inputs!$G$5:$G$140="moeda")+(Inputs!$G$5:$G$140="acoes"))*Inputs!$B$1+((Inputs!$G$5:$G$140&lt;&gt;"moeda")*(Inputs!$G$5:$G$140&lt;&gt;"acoes")))*INDEX(Inputs!$K$5:$AJ$140,0,MATCH(I$2,Inputs!$K$4:$AJ$4,0)))+SUMPRODUCT((Inputs!$C$5:$C$140=$B56)*Inputs!$D$5:$D$140*(((Inputs!$G$5:$G$140="moeda")+(Inputs!$G$5:$G$140="acoes"))*Inputs!$B$1+((Inputs!$G$5:$G$140&lt;&gt;"moeda")*(Inputs!$G$5:$G$140&lt;&gt;"acoes")))*INDEX(Inputs!$K$5:$AJ$140,0,MATCH(I$2,Inputs!$K$4:$AJ$4,0)))+SUMPRODUCT((Inputs!$E$5:$E$140=$B56)*Inputs!$F$5:$F$140*(((Inputs!$G$5:$G$140="moeda")+(Inputs!$G$5:$G$140="acoes"))*Inputs!$B$1+((Inputs!$G$5:$G$140&lt;&gt;"moeda")*(Inputs!$G$5:$G$140&lt;&gt;"acoes")))*INDEX(Inputs!$K$5:$AJ$140,0,MATCH(I$2,Inputs!$K$4:$AJ$4,0)))))</f>
        <v>5</v>
      </c>
      <c r="J56" s="264">
        <f>IF(ISNA(MATCH(J$2,Inputs!$K$4:$AJ$4,0)),NA(),IF(SUMPRODUCT((Inputs!$A$5:$A$140=$B56)*ISNUMBER(INDEX(Inputs!$K$5:$AJ$140,0,MATCH(J$2,Inputs!$K$4:$AJ$4,0))))+SUMPRODUCT((Inputs!$C$5:$C$140=$B56)*ISNUMBER(INDEX(Inputs!$K$5:$AJ$140,0,MATCH(J$2,Inputs!$K$4:$AJ$4,0))))+SUMPRODUCT((Inputs!$E$5:$E$140=$B56)*ISNUMBER(INDEX(Inputs!$K$5:$AJ$140,0,MATCH(J$2,Inputs!$K$4:$AJ$4,0))))=0,NA(),SUMPRODUCT((Inputs!$A$5:$A$140=$B56)*Inputs!$B$5:$B$140*(((Inputs!$G$5:$G$140="moeda")+(Inputs!$G$5:$G$140="acoes"))*Inputs!$B$1+((Inputs!$G$5:$G$140&lt;&gt;"moeda")*(Inputs!$G$5:$G$140&lt;&gt;"acoes")))*INDEX(Inputs!$K$5:$AJ$140,0,MATCH(J$2,Inputs!$K$4:$AJ$4,0)))+SUMPRODUCT((Inputs!$C$5:$C$140=$B56)*Inputs!$D$5:$D$140*(((Inputs!$G$5:$G$140="moeda")+(Inputs!$G$5:$G$140="acoes"))*Inputs!$B$1+((Inputs!$G$5:$G$140&lt;&gt;"moeda")*(Inputs!$G$5:$G$140&lt;&gt;"acoes")))*INDEX(Inputs!$K$5:$AJ$140,0,MATCH(J$2,Inputs!$K$4:$AJ$4,0)))+SUMPRODUCT((Inputs!$E$5:$E$140=$B56)*Inputs!$F$5:$F$140*(((Inputs!$G$5:$G$140="moeda")+(Inputs!$G$5:$G$140="acoes"))*Inputs!$B$1+((Inputs!$G$5:$G$140&lt;&gt;"moeda")*(Inputs!$G$5:$G$140&lt;&gt;"acoes")))*INDEX(Inputs!$K$5:$AJ$140,0,MATCH(J$2,Inputs!$K$4:$AJ$4,0)))))</f>
        <v>7</v>
      </c>
      <c r="K56" s="264">
        <f>IF(ISNA(MATCH(K$2,Inputs!$K$4:$AJ$4,0)),NA(),IF(SUMPRODUCT((Inputs!$A$5:$A$140=$B56)*ISNUMBER(INDEX(Inputs!$K$5:$AJ$140,0,MATCH(K$2,Inputs!$K$4:$AJ$4,0))))+SUMPRODUCT((Inputs!$C$5:$C$140=$B56)*ISNUMBER(INDEX(Inputs!$K$5:$AJ$140,0,MATCH(K$2,Inputs!$K$4:$AJ$4,0))))+SUMPRODUCT((Inputs!$E$5:$E$140=$B56)*ISNUMBER(INDEX(Inputs!$K$5:$AJ$140,0,MATCH(K$2,Inputs!$K$4:$AJ$4,0))))=0,NA(),SUMPRODUCT((Inputs!$A$5:$A$140=$B56)*Inputs!$B$5:$B$140*(((Inputs!$G$5:$G$140="moeda")+(Inputs!$G$5:$G$140="acoes"))*Inputs!$B$1+((Inputs!$G$5:$G$140&lt;&gt;"moeda")*(Inputs!$G$5:$G$140&lt;&gt;"acoes")))*INDEX(Inputs!$K$5:$AJ$140,0,MATCH(K$2,Inputs!$K$4:$AJ$4,0)))+SUMPRODUCT((Inputs!$C$5:$C$140=$B56)*Inputs!$D$5:$D$140*(((Inputs!$G$5:$G$140="moeda")+(Inputs!$G$5:$G$140="acoes"))*Inputs!$B$1+((Inputs!$G$5:$G$140&lt;&gt;"moeda")*(Inputs!$G$5:$G$140&lt;&gt;"acoes")))*INDEX(Inputs!$K$5:$AJ$140,0,MATCH(K$2,Inputs!$K$4:$AJ$4,0)))+SUMPRODUCT((Inputs!$E$5:$E$140=$B56)*Inputs!$F$5:$F$140*(((Inputs!$G$5:$G$140="moeda")+(Inputs!$G$5:$G$140="acoes"))*Inputs!$B$1+((Inputs!$G$5:$G$140&lt;&gt;"moeda")*(Inputs!$G$5:$G$140&lt;&gt;"acoes")))*INDEX(Inputs!$K$5:$AJ$140,0,MATCH(K$2,Inputs!$K$4:$AJ$4,0)))))</f>
        <v>6</v>
      </c>
      <c r="L56" s="264">
        <f>IF(ISNA(MATCH(L$2,Inputs!$K$4:$AJ$4,0)),NA(),IF(SUMPRODUCT((Inputs!$A$5:$A$140=$B56)*ISNUMBER(INDEX(Inputs!$K$5:$AJ$140,0,MATCH(L$2,Inputs!$K$4:$AJ$4,0))))+SUMPRODUCT((Inputs!$C$5:$C$140=$B56)*ISNUMBER(INDEX(Inputs!$K$5:$AJ$140,0,MATCH(L$2,Inputs!$K$4:$AJ$4,0))))+SUMPRODUCT((Inputs!$E$5:$E$140=$B56)*ISNUMBER(INDEX(Inputs!$K$5:$AJ$140,0,MATCH(L$2,Inputs!$K$4:$AJ$4,0))))=0,NA(),SUMPRODUCT((Inputs!$A$5:$A$140=$B56)*Inputs!$B$5:$B$140*(((Inputs!$G$5:$G$140="moeda")+(Inputs!$G$5:$G$140="acoes"))*Inputs!$B$1+((Inputs!$G$5:$G$140&lt;&gt;"moeda")*(Inputs!$G$5:$G$140&lt;&gt;"acoes")))*INDEX(Inputs!$K$5:$AJ$140,0,MATCH(L$2,Inputs!$K$4:$AJ$4,0)))+SUMPRODUCT((Inputs!$C$5:$C$140=$B56)*Inputs!$D$5:$D$140*(((Inputs!$G$5:$G$140="moeda")+(Inputs!$G$5:$G$140="acoes"))*Inputs!$B$1+((Inputs!$G$5:$G$140&lt;&gt;"moeda")*(Inputs!$G$5:$G$140&lt;&gt;"acoes")))*INDEX(Inputs!$K$5:$AJ$140,0,MATCH(L$2,Inputs!$K$4:$AJ$4,0)))+SUMPRODUCT((Inputs!$E$5:$E$140=$B56)*Inputs!$F$5:$F$140*(((Inputs!$G$5:$G$140="moeda")+(Inputs!$G$5:$G$140="acoes"))*Inputs!$B$1+((Inputs!$G$5:$G$140&lt;&gt;"moeda")*(Inputs!$G$5:$G$140&lt;&gt;"acoes")))*INDEX(Inputs!$K$5:$AJ$140,0,MATCH(L$2,Inputs!$K$4:$AJ$4,0)))))</f>
        <v>5</v>
      </c>
      <c r="M56" s="265">
        <f>SUM(I56:L56)</f>
        <v>23</v>
      </c>
      <c r="N56" s="264">
        <f>IF(ISNA(MATCH(N$2,Inputs!$K$4:$AJ$4,0)),NA(),IF(SUMPRODUCT((Inputs!$A$5:$A$140=$B56)*ISNUMBER(INDEX(Inputs!$K$5:$AJ$140,0,MATCH(N$2,Inputs!$K$4:$AJ$4,0))))+SUMPRODUCT((Inputs!$C$5:$C$140=$B56)*ISNUMBER(INDEX(Inputs!$K$5:$AJ$140,0,MATCH(N$2,Inputs!$K$4:$AJ$4,0))))+SUMPRODUCT((Inputs!$E$5:$E$140=$B56)*ISNUMBER(INDEX(Inputs!$K$5:$AJ$140,0,MATCH(N$2,Inputs!$K$4:$AJ$4,0))))=0,NA(),SUMPRODUCT((Inputs!$A$5:$A$140=$B56)*Inputs!$B$5:$B$140*(((Inputs!$G$5:$G$140="moeda")+(Inputs!$G$5:$G$140="acoes"))*Inputs!$B$1+((Inputs!$G$5:$G$140&lt;&gt;"moeda")*(Inputs!$G$5:$G$140&lt;&gt;"acoes")))*INDEX(Inputs!$K$5:$AJ$140,0,MATCH(N$2,Inputs!$K$4:$AJ$4,0)))+SUMPRODUCT((Inputs!$C$5:$C$140=$B56)*Inputs!$D$5:$D$140*(((Inputs!$G$5:$G$140="moeda")+(Inputs!$G$5:$G$140="acoes"))*Inputs!$B$1+((Inputs!$G$5:$G$140&lt;&gt;"moeda")*(Inputs!$G$5:$G$140&lt;&gt;"acoes")))*INDEX(Inputs!$K$5:$AJ$140,0,MATCH(N$2,Inputs!$K$4:$AJ$4,0)))+SUMPRODUCT((Inputs!$E$5:$E$140=$B56)*Inputs!$F$5:$F$140*(((Inputs!$G$5:$G$140="moeda")+(Inputs!$G$5:$G$140="acoes"))*Inputs!$B$1+((Inputs!$G$5:$G$140&lt;&gt;"moeda")*(Inputs!$G$5:$G$140&lt;&gt;"acoes")))*INDEX(Inputs!$K$5:$AJ$140,0,MATCH(N$2,Inputs!$K$4:$AJ$4,0)))))</f>
        <v>8</v>
      </c>
      <c r="O56" s="264">
        <f>IF(ISNA(MATCH(O$2,Inputs!$K$4:$AJ$4,0)),NA(),IF(SUMPRODUCT((Inputs!$A$5:$A$140=$B56)*ISNUMBER(INDEX(Inputs!$K$5:$AJ$140,0,MATCH(O$2,Inputs!$K$4:$AJ$4,0))))+SUMPRODUCT((Inputs!$C$5:$C$140=$B56)*ISNUMBER(INDEX(Inputs!$K$5:$AJ$140,0,MATCH(O$2,Inputs!$K$4:$AJ$4,0))))+SUMPRODUCT((Inputs!$E$5:$E$140=$B56)*ISNUMBER(INDEX(Inputs!$K$5:$AJ$140,0,MATCH(O$2,Inputs!$K$4:$AJ$4,0))))=0,NA(),SUMPRODUCT((Inputs!$A$5:$A$140=$B56)*Inputs!$B$5:$B$140*(((Inputs!$G$5:$G$140="moeda")+(Inputs!$G$5:$G$140="acoes"))*Inputs!$B$1+((Inputs!$G$5:$G$140&lt;&gt;"moeda")*(Inputs!$G$5:$G$140&lt;&gt;"acoes")))*INDEX(Inputs!$K$5:$AJ$140,0,MATCH(O$2,Inputs!$K$4:$AJ$4,0)))+SUMPRODUCT((Inputs!$C$5:$C$140=$B56)*Inputs!$D$5:$D$140*(((Inputs!$G$5:$G$140="moeda")+(Inputs!$G$5:$G$140="acoes"))*Inputs!$B$1+((Inputs!$G$5:$G$140&lt;&gt;"moeda")*(Inputs!$G$5:$G$140&lt;&gt;"acoes")))*INDEX(Inputs!$K$5:$AJ$140,0,MATCH(O$2,Inputs!$K$4:$AJ$4,0)))+SUMPRODUCT((Inputs!$E$5:$E$140=$B56)*Inputs!$F$5:$F$140*(((Inputs!$G$5:$G$140="moeda")+(Inputs!$G$5:$G$140="acoes"))*Inputs!$B$1+((Inputs!$G$5:$G$140&lt;&gt;"moeda")*(Inputs!$G$5:$G$140&lt;&gt;"acoes")))*INDEX(Inputs!$K$5:$AJ$140,0,MATCH(O$2,Inputs!$K$4:$AJ$4,0)))))</f>
        <v>8</v>
      </c>
      <c r="P56" s="264">
        <f>IF(ISNA(MATCH(P$2,Inputs!$K$4:$AJ$4,0)),NA(),IF(SUMPRODUCT((Inputs!$A$5:$A$140=$B56)*ISNUMBER(INDEX(Inputs!$K$5:$AJ$140,0,MATCH(P$2,Inputs!$K$4:$AJ$4,0))))+SUMPRODUCT((Inputs!$C$5:$C$140=$B56)*ISNUMBER(INDEX(Inputs!$K$5:$AJ$140,0,MATCH(P$2,Inputs!$K$4:$AJ$4,0))))+SUMPRODUCT((Inputs!$E$5:$E$140=$B56)*ISNUMBER(INDEX(Inputs!$K$5:$AJ$140,0,MATCH(P$2,Inputs!$K$4:$AJ$4,0))))=0,NA(),SUMPRODUCT((Inputs!$A$5:$A$140=$B56)*Inputs!$B$5:$B$140*(((Inputs!$G$5:$G$140="moeda")+(Inputs!$G$5:$G$140="acoes"))*Inputs!$B$1+((Inputs!$G$5:$G$140&lt;&gt;"moeda")*(Inputs!$G$5:$G$140&lt;&gt;"acoes")))*INDEX(Inputs!$K$5:$AJ$140,0,MATCH(P$2,Inputs!$K$4:$AJ$4,0)))+SUMPRODUCT((Inputs!$C$5:$C$140=$B56)*Inputs!$D$5:$D$140*(((Inputs!$G$5:$G$140="moeda")+(Inputs!$G$5:$G$140="acoes"))*Inputs!$B$1+((Inputs!$G$5:$G$140&lt;&gt;"moeda")*(Inputs!$G$5:$G$140&lt;&gt;"acoes")))*INDEX(Inputs!$K$5:$AJ$140,0,MATCH(P$2,Inputs!$K$4:$AJ$4,0)))+SUMPRODUCT((Inputs!$E$5:$E$140=$B56)*Inputs!$F$5:$F$140*(((Inputs!$G$5:$G$140="moeda")+(Inputs!$G$5:$G$140="acoes"))*Inputs!$B$1+((Inputs!$G$5:$G$140&lt;&gt;"moeda")*(Inputs!$G$5:$G$140&lt;&gt;"acoes")))*INDEX(Inputs!$K$5:$AJ$140,0,MATCH(P$2,Inputs!$K$4:$AJ$4,0)))))</f>
        <v>7</v>
      </c>
      <c r="Q56" s="264">
        <f>IF(ISNA(MATCH(Q$2,Inputs!$K$4:$AJ$4,0)),NA(),IF(SUMPRODUCT((Inputs!$A$5:$A$140=$B56)*ISNUMBER(INDEX(Inputs!$K$5:$AJ$140,0,MATCH(Q$2,Inputs!$K$4:$AJ$4,0))))+SUMPRODUCT((Inputs!$C$5:$C$140=$B56)*ISNUMBER(INDEX(Inputs!$K$5:$AJ$140,0,MATCH(Q$2,Inputs!$K$4:$AJ$4,0))))+SUMPRODUCT((Inputs!$E$5:$E$140=$B56)*ISNUMBER(INDEX(Inputs!$K$5:$AJ$140,0,MATCH(Q$2,Inputs!$K$4:$AJ$4,0))))=0,NA(),SUMPRODUCT((Inputs!$A$5:$A$140=$B56)*Inputs!$B$5:$B$140*(((Inputs!$G$5:$G$140="moeda")+(Inputs!$G$5:$G$140="acoes"))*Inputs!$B$1+((Inputs!$G$5:$G$140&lt;&gt;"moeda")*(Inputs!$G$5:$G$140&lt;&gt;"acoes")))*INDEX(Inputs!$K$5:$AJ$140,0,MATCH(Q$2,Inputs!$K$4:$AJ$4,0)))+SUMPRODUCT((Inputs!$C$5:$C$140=$B56)*Inputs!$D$5:$D$140*(((Inputs!$G$5:$G$140="moeda")+(Inputs!$G$5:$G$140="acoes"))*Inputs!$B$1+((Inputs!$G$5:$G$140&lt;&gt;"moeda")*(Inputs!$G$5:$G$140&lt;&gt;"acoes")))*INDEX(Inputs!$K$5:$AJ$140,0,MATCH(Q$2,Inputs!$K$4:$AJ$4,0)))+SUMPRODUCT((Inputs!$E$5:$E$140=$B56)*Inputs!$F$5:$F$140*(((Inputs!$G$5:$G$140="moeda")+(Inputs!$G$5:$G$140="acoes"))*Inputs!$B$1+((Inputs!$G$5:$G$140&lt;&gt;"moeda")*(Inputs!$G$5:$G$140&lt;&gt;"acoes")))*INDEX(Inputs!$K$5:$AJ$140,0,MATCH(Q$2,Inputs!$K$4:$AJ$4,0)))))</f>
        <v>6</v>
      </c>
      <c r="R56" s="265">
        <f>SUM(N56:Q56)</f>
        <v>29</v>
      </c>
      <c r="S56" s="264">
        <f>IF(ISNA(MATCH(S$2,Inputs!$K$4:$AJ$4,0)),NA(),IF(SUMPRODUCT((Inputs!$A$5:$A$140=$B56)*ISNUMBER(INDEX(Inputs!$K$5:$AJ$140,0,MATCH(S$2,Inputs!$K$4:$AJ$4,0))))+SUMPRODUCT((Inputs!$C$5:$C$140=$B56)*ISNUMBER(INDEX(Inputs!$K$5:$AJ$140,0,MATCH(S$2,Inputs!$K$4:$AJ$4,0))))+SUMPRODUCT((Inputs!$E$5:$E$140=$B56)*ISNUMBER(INDEX(Inputs!$K$5:$AJ$140,0,MATCH(S$2,Inputs!$K$4:$AJ$4,0))))=0,NA(),SUMPRODUCT((Inputs!$A$5:$A$140=$B56)*Inputs!$B$5:$B$140*(((Inputs!$G$5:$G$140="moeda")+(Inputs!$G$5:$G$140="acoes"))*Inputs!$B$1+((Inputs!$G$5:$G$140&lt;&gt;"moeda")*(Inputs!$G$5:$G$140&lt;&gt;"acoes")))*INDEX(Inputs!$K$5:$AJ$140,0,MATCH(S$2,Inputs!$K$4:$AJ$4,0)))+SUMPRODUCT((Inputs!$C$5:$C$140=$B56)*Inputs!$D$5:$D$140*(((Inputs!$G$5:$G$140="moeda")+(Inputs!$G$5:$G$140="acoes"))*Inputs!$B$1+((Inputs!$G$5:$G$140&lt;&gt;"moeda")*(Inputs!$G$5:$G$140&lt;&gt;"acoes")))*INDEX(Inputs!$K$5:$AJ$140,0,MATCH(S$2,Inputs!$K$4:$AJ$4,0)))+SUMPRODUCT((Inputs!$E$5:$E$140=$B56)*Inputs!$F$5:$F$140*(((Inputs!$G$5:$G$140="moeda")+(Inputs!$G$5:$G$140="acoes"))*Inputs!$B$1+((Inputs!$G$5:$G$140&lt;&gt;"moeda")*(Inputs!$G$5:$G$140&lt;&gt;"acoes")))*INDEX(Inputs!$K$5:$AJ$140,0,MATCH(S$2,Inputs!$K$4:$AJ$4,0)))))</f>
        <v>10</v>
      </c>
      <c r="T56" s="264">
        <f>IF(ISNA(MATCH(T$2,Inputs!$K$4:$AJ$4,0)),NA(),IF(SUMPRODUCT((Inputs!$A$5:$A$140=$B56)*ISNUMBER(INDEX(Inputs!$K$5:$AJ$140,0,MATCH(T$2,Inputs!$K$4:$AJ$4,0))))+SUMPRODUCT((Inputs!$C$5:$C$140=$B56)*ISNUMBER(INDEX(Inputs!$K$5:$AJ$140,0,MATCH(T$2,Inputs!$K$4:$AJ$4,0))))+SUMPRODUCT((Inputs!$E$5:$E$140=$B56)*ISNUMBER(INDEX(Inputs!$K$5:$AJ$140,0,MATCH(T$2,Inputs!$K$4:$AJ$4,0))))=0,NA(),SUMPRODUCT((Inputs!$A$5:$A$140=$B56)*Inputs!$B$5:$B$140*(((Inputs!$G$5:$G$140="moeda")+(Inputs!$G$5:$G$140="acoes"))*Inputs!$B$1+((Inputs!$G$5:$G$140&lt;&gt;"moeda")*(Inputs!$G$5:$G$140&lt;&gt;"acoes")))*INDEX(Inputs!$K$5:$AJ$140,0,MATCH(T$2,Inputs!$K$4:$AJ$4,0)))+SUMPRODUCT((Inputs!$C$5:$C$140=$B56)*Inputs!$D$5:$D$140*(((Inputs!$G$5:$G$140="moeda")+(Inputs!$G$5:$G$140="acoes"))*Inputs!$B$1+((Inputs!$G$5:$G$140&lt;&gt;"moeda")*(Inputs!$G$5:$G$140&lt;&gt;"acoes")))*INDEX(Inputs!$K$5:$AJ$140,0,MATCH(T$2,Inputs!$K$4:$AJ$4,0)))+SUMPRODUCT((Inputs!$E$5:$E$140=$B56)*Inputs!$F$5:$F$140*(((Inputs!$G$5:$G$140="moeda")+(Inputs!$G$5:$G$140="acoes"))*Inputs!$B$1+((Inputs!$G$5:$G$140&lt;&gt;"moeda")*(Inputs!$G$5:$G$140&lt;&gt;"acoes")))*INDEX(Inputs!$K$5:$AJ$140,0,MATCH(T$2,Inputs!$K$4:$AJ$4,0)))))</f>
        <v>8</v>
      </c>
      <c r="U56" s="264">
        <f>IF(ISNA(MATCH(U$2,Inputs!$K$4:$AJ$4,0)),NA(),IF(SUMPRODUCT((Inputs!$A$5:$A$140=$B56)*ISNUMBER(INDEX(Inputs!$K$5:$AJ$140,0,MATCH(U$2,Inputs!$K$4:$AJ$4,0))))+SUMPRODUCT((Inputs!$C$5:$C$140=$B56)*ISNUMBER(INDEX(Inputs!$K$5:$AJ$140,0,MATCH(U$2,Inputs!$K$4:$AJ$4,0))))+SUMPRODUCT((Inputs!$E$5:$E$140=$B56)*ISNUMBER(INDEX(Inputs!$K$5:$AJ$140,0,MATCH(U$2,Inputs!$K$4:$AJ$4,0))))=0,NA(),SUMPRODUCT((Inputs!$A$5:$A$140=$B56)*Inputs!$B$5:$B$140*(((Inputs!$G$5:$G$140="moeda")+(Inputs!$G$5:$G$140="acoes"))*Inputs!$B$1+((Inputs!$G$5:$G$140&lt;&gt;"moeda")*(Inputs!$G$5:$G$140&lt;&gt;"acoes")))*INDEX(Inputs!$K$5:$AJ$140,0,MATCH(U$2,Inputs!$K$4:$AJ$4,0)))+SUMPRODUCT((Inputs!$C$5:$C$140=$B56)*Inputs!$D$5:$D$140*(((Inputs!$G$5:$G$140="moeda")+(Inputs!$G$5:$G$140="acoes"))*Inputs!$B$1+((Inputs!$G$5:$G$140&lt;&gt;"moeda")*(Inputs!$G$5:$G$140&lt;&gt;"acoes")))*INDEX(Inputs!$K$5:$AJ$140,0,MATCH(U$2,Inputs!$K$4:$AJ$4,0)))+SUMPRODUCT((Inputs!$E$5:$E$140=$B56)*Inputs!$F$5:$F$140*(((Inputs!$G$5:$G$140="moeda")+(Inputs!$G$5:$G$140="acoes"))*Inputs!$B$1+((Inputs!$G$5:$G$140&lt;&gt;"moeda")*(Inputs!$G$5:$G$140&lt;&gt;"acoes")))*INDEX(Inputs!$K$5:$AJ$140,0,MATCH(U$2,Inputs!$K$4:$AJ$4,0)))))</f>
        <v>9</v>
      </c>
      <c r="V56" s="264">
        <f>IF(ISNA(MATCH(V$2,Inputs!$K$4:$AJ$4,0)),NA(),IF(SUMPRODUCT((Inputs!$A$5:$A$140=$B56)*ISNUMBER(INDEX(Inputs!$K$5:$AJ$140,0,MATCH(V$2,Inputs!$K$4:$AJ$4,0))))+SUMPRODUCT((Inputs!$C$5:$C$140=$B56)*ISNUMBER(INDEX(Inputs!$K$5:$AJ$140,0,MATCH(V$2,Inputs!$K$4:$AJ$4,0))))+SUMPRODUCT((Inputs!$E$5:$E$140=$B56)*ISNUMBER(INDEX(Inputs!$K$5:$AJ$140,0,MATCH(V$2,Inputs!$K$4:$AJ$4,0))))=0,NA(),SUMPRODUCT((Inputs!$A$5:$A$140=$B56)*Inputs!$B$5:$B$140*(((Inputs!$G$5:$G$140="moeda")+(Inputs!$G$5:$G$140="acoes"))*Inputs!$B$1+((Inputs!$G$5:$G$140&lt;&gt;"moeda")*(Inputs!$G$5:$G$140&lt;&gt;"acoes")))*INDEX(Inputs!$K$5:$AJ$140,0,MATCH(V$2,Inputs!$K$4:$AJ$4,0)))+SUMPRODUCT((Inputs!$C$5:$C$140=$B56)*Inputs!$D$5:$D$140*(((Inputs!$G$5:$G$140="moeda")+(Inputs!$G$5:$G$140="acoes"))*Inputs!$B$1+((Inputs!$G$5:$G$140&lt;&gt;"moeda")*(Inputs!$G$5:$G$140&lt;&gt;"acoes")))*INDEX(Inputs!$K$5:$AJ$140,0,MATCH(V$2,Inputs!$K$4:$AJ$4,0)))+SUMPRODUCT((Inputs!$E$5:$E$140=$B56)*Inputs!$F$5:$F$140*(((Inputs!$G$5:$G$140="moeda")+(Inputs!$G$5:$G$140="acoes"))*Inputs!$B$1+((Inputs!$G$5:$G$140&lt;&gt;"moeda")*(Inputs!$G$5:$G$140&lt;&gt;"acoes")))*INDEX(Inputs!$K$5:$AJ$140,0,MATCH(V$2,Inputs!$K$4:$AJ$4,0)))))</f>
        <v>7</v>
      </c>
      <c r="W56" s="265">
        <f>SUM(S56:V56)</f>
        <v>34</v>
      </c>
      <c r="X56" s="264">
        <f>IF(ISNA(MATCH(X$2,Inputs!$K$4:$AJ$4,0)),NA(),IF(SUMPRODUCT((Inputs!$A$5:$A$140=$B56)*ISNUMBER(INDEX(Inputs!$K$5:$AJ$140,0,MATCH(X$2,Inputs!$K$4:$AJ$4,0))))+SUMPRODUCT((Inputs!$C$5:$C$140=$B56)*ISNUMBER(INDEX(Inputs!$K$5:$AJ$140,0,MATCH(X$2,Inputs!$K$4:$AJ$4,0))))+SUMPRODUCT((Inputs!$E$5:$E$140=$B56)*ISNUMBER(INDEX(Inputs!$K$5:$AJ$140,0,MATCH(X$2,Inputs!$K$4:$AJ$4,0))))=0,NA(),SUMPRODUCT((Inputs!$A$5:$A$140=$B56)*Inputs!$B$5:$B$140*(((Inputs!$G$5:$G$140="moeda")+(Inputs!$G$5:$G$140="acoes"))*Inputs!$B$1+((Inputs!$G$5:$G$140&lt;&gt;"moeda")*(Inputs!$G$5:$G$140&lt;&gt;"acoes")))*INDEX(Inputs!$K$5:$AJ$140,0,MATCH(X$2,Inputs!$K$4:$AJ$4,0)))+SUMPRODUCT((Inputs!$C$5:$C$140=$B56)*Inputs!$D$5:$D$140*(((Inputs!$G$5:$G$140="moeda")+(Inputs!$G$5:$G$140="acoes"))*Inputs!$B$1+((Inputs!$G$5:$G$140&lt;&gt;"moeda")*(Inputs!$G$5:$G$140&lt;&gt;"acoes")))*INDEX(Inputs!$K$5:$AJ$140,0,MATCH(X$2,Inputs!$K$4:$AJ$4,0)))+SUMPRODUCT((Inputs!$E$5:$E$140=$B56)*Inputs!$F$5:$F$140*(((Inputs!$G$5:$G$140="moeda")+(Inputs!$G$5:$G$140="acoes"))*Inputs!$B$1+((Inputs!$G$5:$G$140&lt;&gt;"moeda")*(Inputs!$G$5:$G$140&lt;&gt;"acoes")))*INDEX(Inputs!$K$5:$AJ$140,0,MATCH(X$2,Inputs!$K$4:$AJ$4,0)))))</f>
        <v>14</v>
      </c>
      <c r="Y56" s="264">
        <f>IF(ISNA(MATCH(Y$2,Inputs!$K$4:$AJ$4,0)),NA(),IF(SUMPRODUCT((Inputs!$A$5:$A$140=$B56)*ISNUMBER(INDEX(Inputs!$K$5:$AJ$140,0,MATCH(Y$2,Inputs!$K$4:$AJ$4,0))))+SUMPRODUCT((Inputs!$C$5:$C$140=$B56)*ISNUMBER(INDEX(Inputs!$K$5:$AJ$140,0,MATCH(Y$2,Inputs!$K$4:$AJ$4,0))))+SUMPRODUCT((Inputs!$E$5:$E$140=$B56)*ISNUMBER(INDEX(Inputs!$K$5:$AJ$140,0,MATCH(Y$2,Inputs!$K$4:$AJ$4,0))))=0,NA(),SUMPRODUCT((Inputs!$A$5:$A$140=$B56)*Inputs!$B$5:$B$140*(((Inputs!$G$5:$G$140="moeda")+(Inputs!$G$5:$G$140="acoes"))*Inputs!$B$1+((Inputs!$G$5:$G$140&lt;&gt;"moeda")*(Inputs!$G$5:$G$140&lt;&gt;"acoes")))*INDEX(Inputs!$K$5:$AJ$140,0,MATCH(Y$2,Inputs!$K$4:$AJ$4,0)))+SUMPRODUCT((Inputs!$C$5:$C$140=$B56)*Inputs!$D$5:$D$140*(((Inputs!$G$5:$G$140="moeda")+(Inputs!$G$5:$G$140="acoes"))*Inputs!$B$1+((Inputs!$G$5:$G$140&lt;&gt;"moeda")*(Inputs!$G$5:$G$140&lt;&gt;"acoes")))*INDEX(Inputs!$K$5:$AJ$140,0,MATCH(Y$2,Inputs!$K$4:$AJ$4,0)))+SUMPRODUCT((Inputs!$E$5:$E$140=$B56)*Inputs!$F$5:$F$140*(((Inputs!$G$5:$G$140="moeda")+(Inputs!$G$5:$G$140="acoes"))*Inputs!$B$1+((Inputs!$G$5:$G$140&lt;&gt;"moeda")*(Inputs!$G$5:$G$140&lt;&gt;"acoes")))*INDEX(Inputs!$K$5:$AJ$140,0,MATCH(Y$2,Inputs!$K$4:$AJ$4,0)))))</f>
        <v>9</v>
      </c>
      <c r="Z56" s="264">
        <f>IF(ISNA(MATCH(Z$2,Inputs!$K$4:$AJ$4,0)),NA(),IF(SUMPRODUCT((Inputs!$A$5:$A$140=$B56)*ISNUMBER(INDEX(Inputs!$K$5:$AJ$140,0,MATCH(Z$2,Inputs!$K$4:$AJ$4,0))))+SUMPRODUCT((Inputs!$C$5:$C$140=$B56)*ISNUMBER(INDEX(Inputs!$K$5:$AJ$140,0,MATCH(Z$2,Inputs!$K$4:$AJ$4,0))))+SUMPRODUCT((Inputs!$E$5:$E$140=$B56)*ISNUMBER(INDEX(Inputs!$K$5:$AJ$140,0,MATCH(Z$2,Inputs!$K$4:$AJ$4,0))))=0,NA(),SUMPRODUCT((Inputs!$A$5:$A$140=$B56)*Inputs!$B$5:$B$140*(((Inputs!$G$5:$G$140="moeda")+(Inputs!$G$5:$G$140="acoes"))*Inputs!$B$1+((Inputs!$G$5:$G$140&lt;&gt;"moeda")*(Inputs!$G$5:$G$140&lt;&gt;"acoes")))*INDEX(Inputs!$K$5:$AJ$140,0,MATCH(Z$2,Inputs!$K$4:$AJ$4,0)))+SUMPRODUCT((Inputs!$C$5:$C$140=$B56)*Inputs!$D$5:$D$140*(((Inputs!$G$5:$G$140="moeda")+(Inputs!$G$5:$G$140="acoes"))*Inputs!$B$1+((Inputs!$G$5:$G$140&lt;&gt;"moeda")*(Inputs!$G$5:$G$140&lt;&gt;"acoes")))*INDEX(Inputs!$K$5:$AJ$140,0,MATCH(Z$2,Inputs!$K$4:$AJ$4,0)))+SUMPRODUCT((Inputs!$E$5:$E$140=$B56)*Inputs!$F$5:$F$140*(((Inputs!$G$5:$G$140="moeda")+(Inputs!$G$5:$G$140="acoes"))*Inputs!$B$1+((Inputs!$G$5:$G$140&lt;&gt;"moeda")*(Inputs!$G$5:$G$140&lt;&gt;"acoes")))*INDEX(Inputs!$K$5:$AJ$140,0,MATCH(Z$2,Inputs!$K$4:$AJ$4,0)))))</f>
        <v>9</v>
      </c>
      <c r="AA56" s="264">
        <f>IF(ISNA(MATCH(AA$2,Inputs!$K$4:$AJ$4,0)),NA(),IF(SUMPRODUCT((Inputs!$A$5:$A$140=$B56)*ISNUMBER(INDEX(Inputs!$K$5:$AJ$140,0,MATCH(AA$2,Inputs!$K$4:$AJ$4,0))))+SUMPRODUCT((Inputs!$C$5:$C$140=$B56)*ISNUMBER(INDEX(Inputs!$K$5:$AJ$140,0,MATCH(AA$2,Inputs!$K$4:$AJ$4,0))))+SUMPRODUCT((Inputs!$E$5:$E$140=$B56)*ISNUMBER(INDEX(Inputs!$K$5:$AJ$140,0,MATCH(AA$2,Inputs!$K$4:$AJ$4,0))))=0,NA(),SUMPRODUCT((Inputs!$A$5:$A$140=$B56)*Inputs!$B$5:$B$140*(((Inputs!$G$5:$G$140="moeda")+(Inputs!$G$5:$G$140="acoes"))*Inputs!$B$1+((Inputs!$G$5:$G$140&lt;&gt;"moeda")*(Inputs!$G$5:$G$140&lt;&gt;"acoes")))*INDEX(Inputs!$K$5:$AJ$140,0,MATCH(AA$2,Inputs!$K$4:$AJ$4,0)))+SUMPRODUCT((Inputs!$C$5:$C$140=$B56)*Inputs!$D$5:$D$140*(((Inputs!$G$5:$G$140="moeda")+(Inputs!$G$5:$G$140="acoes"))*Inputs!$B$1+((Inputs!$G$5:$G$140&lt;&gt;"moeda")*(Inputs!$G$5:$G$140&lt;&gt;"acoes")))*INDEX(Inputs!$K$5:$AJ$140,0,MATCH(AA$2,Inputs!$K$4:$AJ$4,0)))+SUMPRODUCT((Inputs!$E$5:$E$140=$B56)*Inputs!$F$5:$F$140*(((Inputs!$G$5:$G$140="moeda")+(Inputs!$G$5:$G$140="acoes"))*Inputs!$B$1+((Inputs!$G$5:$G$140&lt;&gt;"moeda")*(Inputs!$G$5:$G$140&lt;&gt;"acoes")))*INDEX(Inputs!$K$5:$AJ$140,0,MATCH(AA$2,Inputs!$K$4:$AJ$4,0)))))</f>
        <v>5</v>
      </c>
      <c r="AB56" s="265">
        <f>SUM(X56:AA56)</f>
        <v>37</v>
      </c>
      <c r="AC56" s="264">
        <f>IF(ISNA(MATCH(AC$2,Inputs!$K$4:$AJ$4,0)),NA(),IF(SUMPRODUCT((Inputs!$A$5:$A$140=$B56)*ISNUMBER(INDEX(Inputs!$K$5:$AJ$140,0,MATCH(AC$2,Inputs!$K$4:$AJ$4,0))))+SUMPRODUCT((Inputs!$C$5:$C$140=$B56)*ISNUMBER(INDEX(Inputs!$K$5:$AJ$140,0,MATCH(AC$2,Inputs!$K$4:$AJ$4,0))))+SUMPRODUCT((Inputs!$E$5:$E$140=$B56)*ISNUMBER(INDEX(Inputs!$K$5:$AJ$140,0,MATCH(AC$2,Inputs!$K$4:$AJ$4,0))))=0,NA(),SUMPRODUCT((Inputs!$A$5:$A$140=$B56)*Inputs!$B$5:$B$140*(((Inputs!$G$5:$G$140="moeda")+(Inputs!$G$5:$G$140="acoes"))*Inputs!$B$1+((Inputs!$G$5:$G$140&lt;&gt;"moeda")*(Inputs!$G$5:$G$140&lt;&gt;"acoes")))*INDEX(Inputs!$K$5:$AJ$140,0,MATCH(AC$2,Inputs!$K$4:$AJ$4,0)))+SUMPRODUCT((Inputs!$C$5:$C$140=$B56)*Inputs!$D$5:$D$140*(((Inputs!$G$5:$G$140="moeda")+(Inputs!$G$5:$G$140="acoes"))*Inputs!$B$1+((Inputs!$G$5:$G$140&lt;&gt;"moeda")*(Inputs!$G$5:$G$140&lt;&gt;"acoes")))*INDEX(Inputs!$K$5:$AJ$140,0,MATCH(AC$2,Inputs!$K$4:$AJ$4,0)))+SUMPRODUCT((Inputs!$E$5:$E$140=$B56)*Inputs!$F$5:$F$140*(((Inputs!$G$5:$G$140="moeda")+(Inputs!$G$5:$G$140="acoes"))*Inputs!$B$1+((Inputs!$G$5:$G$140&lt;&gt;"moeda")*(Inputs!$G$5:$G$140&lt;&gt;"acoes")))*INDEX(Inputs!$K$5:$AJ$140,0,MATCH(AC$2,Inputs!$K$4:$AJ$4,0)))))</f>
        <v>10</v>
      </c>
      <c r="AD56" s="264">
        <f>IF(ISNA(MATCH(AD$2,Inputs!$K$4:$AJ$4,0)),NA(),IF(SUMPRODUCT((Inputs!$A$5:$A$140=$B56)*ISNUMBER(INDEX(Inputs!$K$5:$AJ$140,0,MATCH(AD$2,Inputs!$K$4:$AJ$4,0))))+SUMPRODUCT((Inputs!$C$5:$C$140=$B56)*ISNUMBER(INDEX(Inputs!$K$5:$AJ$140,0,MATCH(AD$2,Inputs!$K$4:$AJ$4,0))))+SUMPRODUCT((Inputs!$E$5:$E$140=$B56)*ISNUMBER(INDEX(Inputs!$K$5:$AJ$140,0,MATCH(AD$2,Inputs!$K$4:$AJ$4,0))))=0,NA(),SUMPRODUCT((Inputs!$A$5:$A$140=$B56)*Inputs!$B$5:$B$140*(((Inputs!$G$5:$G$140="moeda")+(Inputs!$G$5:$G$140="acoes"))*Inputs!$B$1+((Inputs!$G$5:$G$140&lt;&gt;"moeda")*(Inputs!$G$5:$G$140&lt;&gt;"acoes")))*INDEX(Inputs!$K$5:$AJ$140,0,MATCH(AD$2,Inputs!$K$4:$AJ$4,0)))+SUMPRODUCT((Inputs!$C$5:$C$140=$B56)*Inputs!$D$5:$D$140*(((Inputs!$G$5:$G$140="moeda")+(Inputs!$G$5:$G$140="acoes"))*Inputs!$B$1+((Inputs!$G$5:$G$140&lt;&gt;"moeda")*(Inputs!$G$5:$G$140&lt;&gt;"acoes")))*INDEX(Inputs!$K$5:$AJ$140,0,MATCH(AD$2,Inputs!$K$4:$AJ$4,0)))+SUMPRODUCT((Inputs!$E$5:$E$140=$B56)*Inputs!$F$5:$F$140*(((Inputs!$G$5:$G$140="moeda")+(Inputs!$G$5:$G$140="acoes"))*Inputs!$B$1+((Inputs!$G$5:$G$140&lt;&gt;"moeda")*(Inputs!$G$5:$G$140&lt;&gt;"acoes")))*INDEX(Inputs!$K$5:$AJ$140,0,MATCH(AD$2,Inputs!$K$4:$AJ$4,0)))))</f>
        <v>11</v>
      </c>
      <c r="AE56" s="264" t="e">
        <f>IF(ISNA(MATCH(AE$2,Inputs!$K$4:$AJ$4,0)),NA(),IF(SUMPRODUCT((Inputs!$A$5:$A$140=$B56)*ISNUMBER(INDEX(Inputs!$K$5:$AJ$140,0,MATCH(AE$2,Inputs!$K$4:$AJ$4,0))))+SUMPRODUCT((Inputs!$C$5:$C$140=$B56)*ISNUMBER(INDEX(Inputs!$K$5:$AJ$140,0,MATCH(AE$2,Inputs!$K$4:$AJ$4,0))))+SUMPRODUCT((Inputs!$E$5:$E$140=$B56)*ISNUMBER(INDEX(Inputs!$K$5:$AJ$140,0,MATCH(AE$2,Inputs!$K$4:$AJ$4,0))))=0,NA(),SUMPRODUCT((Inputs!$A$5:$A$140=$B56)*Inputs!$B$5:$B$140*(((Inputs!$G$5:$G$140="moeda")+(Inputs!$G$5:$G$140="acoes"))*Inputs!$B$1+((Inputs!$G$5:$G$140&lt;&gt;"moeda")*(Inputs!$G$5:$G$140&lt;&gt;"acoes")))*INDEX(Inputs!$K$5:$AJ$140,0,MATCH(AE$2,Inputs!$K$4:$AJ$4,0)))+SUMPRODUCT((Inputs!$C$5:$C$140=$B56)*Inputs!$D$5:$D$140*(((Inputs!$G$5:$G$140="moeda")+(Inputs!$G$5:$G$140="acoes"))*Inputs!$B$1+((Inputs!$G$5:$G$140&lt;&gt;"moeda")*(Inputs!$G$5:$G$140&lt;&gt;"acoes")))*INDEX(Inputs!$K$5:$AJ$140,0,MATCH(AE$2,Inputs!$K$4:$AJ$4,0)))+SUMPRODUCT((Inputs!$E$5:$E$140=$B56)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6" s="264" t="e">
        <f>IF(ISNA(MATCH(AF$2,Inputs!$K$4:$AJ$4,0)),NA(),IF(SUMPRODUCT((Inputs!$A$5:$A$140=$B56)*ISNUMBER(INDEX(Inputs!$K$5:$AJ$140,0,MATCH(AF$2,Inputs!$K$4:$AJ$4,0))))+SUMPRODUCT((Inputs!$C$5:$C$140=$B56)*ISNUMBER(INDEX(Inputs!$K$5:$AJ$140,0,MATCH(AF$2,Inputs!$K$4:$AJ$4,0))))+SUMPRODUCT((Inputs!$E$5:$E$140=$B56)*ISNUMBER(INDEX(Inputs!$K$5:$AJ$140,0,MATCH(AF$2,Inputs!$K$4:$AJ$4,0))))=0,NA(),SUMPRODUCT((Inputs!$A$5:$A$140=$B56)*Inputs!$B$5:$B$140*(((Inputs!$G$5:$G$140="moeda")+(Inputs!$G$5:$G$140="acoes"))*Inputs!$B$1+((Inputs!$G$5:$G$140&lt;&gt;"moeda")*(Inputs!$G$5:$G$140&lt;&gt;"acoes")))*INDEX(Inputs!$K$5:$AJ$140,0,MATCH(AF$2,Inputs!$K$4:$AJ$4,0)))+SUMPRODUCT((Inputs!$C$5:$C$140=$B56)*Inputs!$D$5:$D$140*(((Inputs!$G$5:$G$140="moeda")+(Inputs!$G$5:$G$140="acoes"))*Inputs!$B$1+((Inputs!$G$5:$G$140&lt;&gt;"moeda")*(Inputs!$G$5:$G$140&lt;&gt;"acoes")))*INDEX(Inputs!$K$5:$AJ$140,0,MATCH(AF$2,Inputs!$K$4:$AJ$4,0)))+SUMPRODUCT((Inputs!$E$5:$E$140=$B56)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6" s="265" t="e">
        <f>SUM(AC56:AF56)</f>
        <v>#N/A</v>
      </c>
      <c r="AH56" s="264">
        <f>IF(ISNA(MATCH(AH$2,Inputs!$K$4:$AJ$4,0)),NA(),IF(SUMPRODUCT((Inputs!$A$5:$A$140=$B56)*ISNUMBER(INDEX(Inputs!$K$5:$AJ$140,0,MATCH(AH$2,Inputs!$K$4:$AJ$4,0))))+SUMPRODUCT((Inputs!$C$5:$C$140=$B56)*ISNUMBER(INDEX(Inputs!$K$5:$AJ$140,0,MATCH(AH$2,Inputs!$K$4:$AJ$4,0))))+SUMPRODUCT((Inputs!$E$5:$E$140=$B56)*ISNUMBER(INDEX(Inputs!$K$5:$AJ$140,0,MATCH(AH$2,Inputs!$K$4:$AJ$4,0))))=0,NA(),SUMPRODUCT((Inputs!$A$5:$A$140=$B56)*Inputs!$B$5:$B$140*(((Inputs!$G$5:$G$140="moeda")+(Inputs!$G$5:$G$140="acoes"))*Inputs!$B$1+((Inputs!$G$5:$G$140&lt;&gt;"moeda")*(Inputs!$G$5:$G$140&lt;&gt;"acoes")))*INDEX(Inputs!$K$5:$AJ$140,0,MATCH(AH$2,Inputs!$K$4:$AJ$4,0)))+SUMPRODUCT((Inputs!$C$5:$C$140=$B56)*Inputs!$D$5:$D$140*(((Inputs!$G$5:$G$140="moeda")+(Inputs!$G$5:$G$140="acoes"))*Inputs!$B$1+((Inputs!$G$5:$G$140&lt;&gt;"moeda")*(Inputs!$G$5:$G$140&lt;&gt;"acoes")))*INDEX(Inputs!$K$5:$AJ$140,0,MATCH(AH$2,Inputs!$K$4:$AJ$4,0)))+SUMPRODUCT((Inputs!$E$5:$E$140=$B56)*Inputs!$F$5:$F$140*(((Inputs!$G$5:$G$140="moeda")+(Inputs!$G$5:$G$140="acoes"))*Inputs!$B$1+((Inputs!$G$5:$G$140&lt;&gt;"moeda")*(Inputs!$G$5:$G$140&lt;&gt;"acoes")))*INDEX(Inputs!$K$5:$AJ$140,0,MATCH(AH$2,Inputs!$K$4:$AJ$4,0)))))</f>
        <v>2</v>
      </c>
      <c r="AI56" s="264">
        <f>IF(ISNA(MATCH(AI$2,Inputs!$K$4:$AJ$4,0)),NA(),IF(SUMPRODUCT((Inputs!$A$5:$A$140=$B56)*ISNUMBER(INDEX(Inputs!$K$5:$AJ$140,0,MATCH(AI$2,Inputs!$K$4:$AJ$4,0))))+SUMPRODUCT((Inputs!$C$5:$C$140=$B56)*ISNUMBER(INDEX(Inputs!$K$5:$AJ$140,0,MATCH(AI$2,Inputs!$K$4:$AJ$4,0))))+SUMPRODUCT((Inputs!$E$5:$E$140=$B56)*ISNUMBER(INDEX(Inputs!$K$5:$AJ$140,0,MATCH(AI$2,Inputs!$K$4:$AJ$4,0))))=0,NA(),SUMPRODUCT((Inputs!$A$5:$A$140=$B56)*Inputs!$B$5:$B$140*(((Inputs!$G$5:$G$140="moeda")+(Inputs!$G$5:$G$140="acoes"))*Inputs!$B$1+((Inputs!$G$5:$G$140&lt;&gt;"moeda")*(Inputs!$G$5:$G$140&lt;&gt;"acoes")))*INDEX(Inputs!$K$5:$AJ$140,0,MATCH(AI$2,Inputs!$K$4:$AJ$4,0)))+SUMPRODUCT((Inputs!$C$5:$C$140=$B56)*Inputs!$D$5:$D$140*(((Inputs!$G$5:$G$140="moeda")+(Inputs!$G$5:$G$140="acoes"))*Inputs!$B$1+((Inputs!$G$5:$G$140&lt;&gt;"moeda")*(Inputs!$G$5:$G$140&lt;&gt;"acoes")))*INDEX(Inputs!$K$5:$AJ$140,0,MATCH(AI$2,Inputs!$K$4:$AJ$4,0)))+SUMPRODUCT((Inputs!$E$5:$E$140=$B56)*Inputs!$F$5:$F$140*(((Inputs!$G$5:$G$140="moeda")+(Inputs!$G$5:$G$140="acoes"))*Inputs!$B$1+((Inputs!$G$5:$G$140&lt;&gt;"moeda")*(Inputs!$G$5:$G$140&lt;&gt;"acoes")))*INDEX(Inputs!$K$5:$AJ$140,0,MATCH(AI$2,Inputs!$K$4:$AJ$4,0)))))</f>
        <v>4</v>
      </c>
      <c r="AJ56" s="264">
        <f>IF(ISNA(MATCH(AJ$2,Inputs!$K$4:$AJ$4,0)),NA(),IF(SUMPRODUCT((Inputs!$A$5:$A$140=$B56)*ISNUMBER(INDEX(Inputs!$K$5:$AJ$140,0,MATCH(AJ$2,Inputs!$K$4:$AJ$4,0))))+SUMPRODUCT((Inputs!$C$5:$C$140=$B56)*ISNUMBER(INDEX(Inputs!$K$5:$AJ$140,0,MATCH(AJ$2,Inputs!$K$4:$AJ$4,0))))+SUMPRODUCT((Inputs!$E$5:$E$140=$B56)*ISNUMBER(INDEX(Inputs!$K$5:$AJ$140,0,MATCH(AJ$2,Inputs!$K$4:$AJ$4,0))))=0,NA(),SUMPRODUCT((Inputs!$A$5:$A$140=$B56)*Inputs!$B$5:$B$140*(((Inputs!$G$5:$G$140="moeda")+(Inputs!$G$5:$G$140="acoes"))*Inputs!$B$1+((Inputs!$G$5:$G$140&lt;&gt;"moeda")*(Inputs!$G$5:$G$140&lt;&gt;"acoes")))*INDEX(Inputs!$K$5:$AJ$140,0,MATCH(AJ$2,Inputs!$K$4:$AJ$4,0)))+SUMPRODUCT((Inputs!$C$5:$C$140=$B56)*Inputs!$D$5:$D$140*(((Inputs!$G$5:$G$140="moeda")+(Inputs!$G$5:$G$140="acoes"))*Inputs!$B$1+((Inputs!$G$5:$G$140&lt;&gt;"moeda")*(Inputs!$G$5:$G$140&lt;&gt;"acoes")))*INDEX(Inputs!$K$5:$AJ$140,0,MATCH(AJ$2,Inputs!$K$4:$AJ$4,0)))+SUMPRODUCT((Inputs!$E$5:$E$140=$B56)*Inputs!$F$5:$F$140*(((Inputs!$G$5:$G$140="moeda")+(Inputs!$G$5:$G$140="acoes"))*Inputs!$B$1+((Inputs!$G$5:$G$140&lt;&gt;"moeda")*(Inputs!$G$5:$G$140&lt;&gt;"acoes")))*INDEX(Inputs!$K$5:$AJ$140,0,MATCH(AJ$2,Inputs!$K$4:$AJ$4,0)))))</f>
        <v>5</v>
      </c>
      <c r="AK56" s="264">
        <f>IF(ISNA(MATCH(AK$2,Inputs!$K$4:$AJ$4,0)),NA(),IF(SUMPRODUCT((Inputs!$A$5:$A$140=$B56)*ISNUMBER(INDEX(Inputs!$K$5:$AJ$140,0,MATCH(AK$2,Inputs!$K$4:$AJ$4,0))))+SUMPRODUCT((Inputs!$C$5:$C$140=$B56)*ISNUMBER(INDEX(Inputs!$K$5:$AJ$140,0,MATCH(AK$2,Inputs!$K$4:$AJ$4,0))))+SUMPRODUCT((Inputs!$E$5:$E$140=$B56)*ISNUMBER(INDEX(Inputs!$K$5:$AJ$140,0,MATCH(AK$2,Inputs!$K$4:$AJ$4,0))))=0,NA(),SUMPRODUCT((Inputs!$A$5:$A$140=$B56)*Inputs!$B$5:$B$140*(((Inputs!$G$5:$G$140="moeda")+(Inputs!$G$5:$G$140="acoes"))*Inputs!$B$1+((Inputs!$G$5:$G$140&lt;&gt;"moeda")*(Inputs!$G$5:$G$140&lt;&gt;"acoes")))*INDEX(Inputs!$K$5:$AJ$140,0,MATCH(AK$2,Inputs!$K$4:$AJ$4,0)))+SUMPRODUCT((Inputs!$C$5:$C$140=$B56)*Inputs!$D$5:$D$140*(((Inputs!$G$5:$G$140="moeda")+(Inputs!$G$5:$G$140="acoes"))*Inputs!$B$1+((Inputs!$G$5:$G$140&lt;&gt;"moeda")*(Inputs!$G$5:$G$140&lt;&gt;"acoes")))*INDEX(Inputs!$K$5:$AJ$140,0,MATCH(AK$2,Inputs!$K$4:$AJ$4,0)))+SUMPRODUCT((Inputs!$E$5:$E$140=$B56)*Inputs!$F$5:$F$140*(((Inputs!$G$5:$G$140="moeda")+(Inputs!$G$5:$G$140="acoes"))*Inputs!$B$1+((Inputs!$G$5:$G$140&lt;&gt;"moeda")*(Inputs!$G$5:$G$140&lt;&gt;"acoes")))*INDEX(Inputs!$K$5:$AJ$140,0,MATCH(AK$2,Inputs!$K$4:$AJ$4,0)))))</f>
        <v>6</v>
      </c>
      <c r="AL56" s="265">
        <f>SUM(AH56:AK56)</f>
        <v>17</v>
      </c>
    </row>
    <row r="57">
      <c r="B57" s="46" t="n">
        <v>49</v>
      </c>
      <c r="C57" s="29" t="inlineStr">
        <is>
          <t>Vendas brutas - VGV 100% (R$ mil; l.22)</t>
        </is>
      </c>
      <c r="D57" s="262">
        <f>IF(ISNA(MATCH(D$2,Inputs!$K$4:$AJ$4,0)),NA(),IF(SUMPRODUCT((Inputs!$A$5:$A$140=$B57)*ISNUMBER(INDEX(Inputs!$K$5:$AJ$140,0,MATCH(D$2,Inputs!$K$4:$AJ$4,0))))+SUMPRODUCT((Inputs!$C$5:$C$140=$B57)*ISNUMBER(INDEX(Inputs!$K$5:$AJ$140,0,MATCH(D$2,Inputs!$K$4:$AJ$4,0))))+SUMPRODUCT((Inputs!$E$5:$E$140=$B57)*ISNUMBER(INDEX(Inputs!$K$5:$AJ$140,0,MATCH(D$2,Inputs!$K$4:$AJ$4,0))))=0,NA(),SUMPRODUCT((Inputs!$A$5:$A$140=$B57)*Inputs!$B$5:$B$140*(((Inputs!$G$5:$G$140="moeda")+(Inputs!$G$5:$G$140="acoes"))*Inputs!$B$1+((Inputs!$G$5:$G$140&lt;&gt;"moeda")*(Inputs!$G$5:$G$140&lt;&gt;"acoes")))*INDEX(Inputs!$K$5:$AJ$140,0,MATCH(D$2,Inputs!$K$4:$AJ$4,0)))+SUMPRODUCT((Inputs!$C$5:$C$140=$B57)*Inputs!$D$5:$D$140*(((Inputs!$G$5:$G$140="moeda")+(Inputs!$G$5:$G$140="acoes"))*Inputs!$B$1+((Inputs!$G$5:$G$140&lt;&gt;"moeda")*(Inputs!$G$5:$G$140&lt;&gt;"acoes")))*INDEX(Inputs!$K$5:$AJ$140,0,MATCH(D$2,Inputs!$K$4:$AJ$4,0)))+SUMPRODUCT((Inputs!$E$5:$E$140=$B57)*Inputs!$F$5:$F$140*(((Inputs!$G$5:$G$140="moeda")+(Inputs!$G$5:$G$140="acoes"))*Inputs!$B$1+((Inputs!$G$5:$G$140&lt;&gt;"moeda")*(Inputs!$G$5:$G$140&lt;&gt;"acoes")))*INDEX(Inputs!$K$5:$AJ$140,0,MATCH(D$2,Inputs!$K$4:$AJ$4,0)))))</f>
        <v>633.518595</v>
      </c>
      <c r="E57" s="262">
        <f>IF(ISNA(MATCH(E$2,Inputs!$K$4:$AJ$4,0)),NA(),IF(SUMPRODUCT((Inputs!$A$5:$A$140=$B57)*ISNUMBER(INDEX(Inputs!$K$5:$AJ$140,0,MATCH(E$2,Inputs!$K$4:$AJ$4,0))))+SUMPRODUCT((Inputs!$C$5:$C$140=$B57)*ISNUMBER(INDEX(Inputs!$K$5:$AJ$140,0,MATCH(E$2,Inputs!$K$4:$AJ$4,0))))+SUMPRODUCT((Inputs!$E$5:$E$140=$B57)*ISNUMBER(INDEX(Inputs!$K$5:$AJ$140,0,MATCH(E$2,Inputs!$K$4:$AJ$4,0))))=0,NA(),SUMPRODUCT((Inputs!$A$5:$A$140=$B57)*Inputs!$B$5:$B$140*(((Inputs!$G$5:$G$140="moeda")+(Inputs!$G$5:$G$140="acoes"))*Inputs!$B$1+((Inputs!$G$5:$G$140&lt;&gt;"moeda")*(Inputs!$G$5:$G$140&lt;&gt;"acoes")))*INDEX(Inputs!$K$5:$AJ$140,0,MATCH(E$2,Inputs!$K$4:$AJ$4,0)))+SUMPRODUCT((Inputs!$C$5:$C$140=$B57)*Inputs!$D$5:$D$140*(((Inputs!$G$5:$G$140="moeda")+(Inputs!$G$5:$G$140="acoes"))*Inputs!$B$1+((Inputs!$G$5:$G$140&lt;&gt;"moeda")*(Inputs!$G$5:$G$140&lt;&gt;"acoes")))*INDEX(Inputs!$K$5:$AJ$140,0,MATCH(E$2,Inputs!$K$4:$AJ$4,0)))+SUMPRODUCT((Inputs!$E$5:$E$140=$B57)*Inputs!$F$5:$F$140*(((Inputs!$G$5:$G$140="moeda")+(Inputs!$G$5:$G$140="acoes"))*Inputs!$B$1+((Inputs!$G$5:$G$140&lt;&gt;"moeda")*(Inputs!$G$5:$G$140&lt;&gt;"acoes")))*INDEX(Inputs!$K$5:$AJ$140,0,MATCH(E$2,Inputs!$K$4:$AJ$4,0)))))</f>
        <v>736.46839125</v>
      </c>
      <c r="F57" s="262">
        <f>IF(ISNA(MATCH(F$2,Inputs!$K$4:$AJ$4,0)),NA(),IF(SUMPRODUCT((Inputs!$A$5:$A$140=$B57)*ISNUMBER(INDEX(Inputs!$K$5:$AJ$140,0,MATCH(F$2,Inputs!$K$4:$AJ$4,0))))+SUMPRODUCT((Inputs!$C$5:$C$140=$B57)*ISNUMBER(INDEX(Inputs!$K$5:$AJ$140,0,MATCH(F$2,Inputs!$K$4:$AJ$4,0))))+SUMPRODUCT((Inputs!$E$5:$E$140=$B57)*ISNUMBER(INDEX(Inputs!$K$5:$AJ$140,0,MATCH(F$2,Inputs!$K$4:$AJ$4,0))))=0,NA(),SUMPRODUCT((Inputs!$A$5:$A$140=$B57)*Inputs!$B$5:$B$140*(((Inputs!$G$5:$G$140="moeda")+(Inputs!$G$5:$G$140="acoes"))*Inputs!$B$1+((Inputs!$G$5:$G$140&lt;&gt;"moeda")*(Inputs!$G$5:$G$140&lt;&gt;"acoes")))*INDEX(Inputs!$K$5:$AJ$140,0,MATCH(F$2,Inputs!$K$4:$AJ$4,0)))+SUMPRODUCT((Inputs!$C$5:$C$140=$B57)*Inputs!$D$5:$D$140*(((Inputs!$G$5:$G$140="moeda")+(Inputs!$G$5:$G$140="acoes"))*Inputs!$B$1+((Inputs!$G$5:$G$140&lt;&gt;"moeda")*(Inputs!$G$5:$G$140&lt;&gt;"acoes")))*INDEX(Inputs!$K$5:$AJ$140,0,MATCH(F$2,Inputs!$K$4:$AJ$4,0)))+SUMPRODUCT((Inputs!$E$5:$E$140=$B57)*Inputs!$F$5:$F$140*(((Inputs!$G$5:$G$140="moeda")+(Inputs!$G$5:$G$140="acoes"))*Inputs!$B$1+((Inputs!$G$5:$G$140&lt;&gt;"moeda")*(Inputs!$G$5:$G$140&lt;&gt;"acoes")))*INDEX(Inputs!$K$5:$AJ$140,0,MATCH(F$2,Inputs!$K$4:$AJ$4,0)))))</f>
        <v>748.701792</v>
      </c>
      <c r="G57" s="262">
        <f>IF(ISNA(MATCH(G$2,Inputs!$K$4:$AJ$4,0)),NA(),IF(SUMPRODUCT((Inputs!$A$5:$A$140=$B57)*ISNUMBER(INDEX(Inputs!$K$5:$AJ$140,0,MATCH(G$2,Inputs!$K$4:$AJ$4,0))))+SUMPRODUCT((Inputs!$C$5:$C$140=$B57)*ISNUMBER(INDEX(Inputs!$K$5:$AJ$140,0,MATCH(G$2,Inputs!$K$4:$AJ$4,0))))+SUMPRODUCT((Inputs!$E$5:$E$140=$B57)*ISNUMBER(INDEX(Inputs!$K$5:$AJ$140,0,MATCH(G$2,Inputs!$K$4:$AJ$4,0))))=0,NA(),SUMPRODUCT((Inputs!$A$5:$A$140=$B57)*Inputs!$B$5:$B$140*(((Inputs!$G$5:$G$140="moeda")+(Inputs!$G$5:$G$140="acoes"))*Inputs!$B$1+((Inputs!$G$5:$G$140&lt;&gt;"moeda")*(Inputs!$G$5:$G$140&lt;&gt;"acoes")))*INDEX(Inputs!$K$5:$AJ$140,0,MATCH(G$2,Inputs!$K$4:$AJ$4,0)))+SUMPRODUCT((Inputs!$C$5:$C$140=$B57)*Inputs!$D$5:$D$140*(((Inputs!$G$5:$G$140="moeda")+(Inputs!$G$5:$G$140="acoes"))*Inputs!$B$1+((Inputs!$G$5:$G$140&lt;&gt;"moeda")*(Inputs!$G$5:$G$140&lt;&gt;"acoes")))*INDEX(Inputs!$K$5:$AJ$140,0,MATCH(G$2,Inputs!$K$4:$AJ$4,0)))+SUMPRODUCT((Inputs!$E$5:$E$140=$B57)*Inputs!$F$5:$F$140*(((Inputs!$G$5:$G$140="moeda")+(Inputs!$G$5:$G$140="acoes"))*Inputs!$B$1+((Inputs!$G$5:$G$140&lt;&gt;"moeda")*(Inputs!$G$5:$G$140&lt;&gt;"acoes")))*INDEX(Inputs!$K$5:$AJ$140,0,MATCH(G$2,Inputs!$K$4:$AJ$4,0)))))</f>
        <v>671.69377856</v>
      </c>
      <c r="H57" s="263">
        <f>SUM(D57:G57)</f>
        <v>2790.38255681</v>
      </c>
      <c r="I57" s="262">
        <f>IF(ISNA(MATCH(I$2,Inputs!$K$4:$AJ$4,0)),NA(),IF(SUMPRODUCT((Inputs!$A$5:$A$140=$B57)*ISNUMBER(INDEX(Inputs!$K$5:$AJ$140,0,MATCH(I$2,Inputs!$K$4:$AJ$4,0))))+SUMPRODUCT((Inputs!$C$5:$C$140=$B57)*ISNUMBER(INDEX(Inputs!$K$5:$AJ$140,0,MATCH(I$2,Inputs!$K$4:$AJ$4,0))))+SUMPRODUCT((Inputs!$E$5:$E$140=$B57)*ISNUMBER(INDEX(Inputs!$K$5:$AJ$140,0,MATCH(I$2,Inputs!$K$4:$AJ$4,0))))=0,NA(),SUMPRODUCT((Inputs!$A$5:$A$140=$B57)*Inputs!$B$5:$B$140*(((Inputs!$G$5:$G$140="moeda")+(Inputs!$G$5:$G$140="acoes"))*Inputs!$B$1+((Inputs!$G$5:$G$140&lt;&gt;"moeda")*(Inputs!$G$5:$G$140&lt;&gt;"acoes")))*INDEX(Inputs!$K$5:$AJ$140,0,MATCH(I$2,Inputs!$K$4:$AJ$4,0)))+SUMPRODUCT((Inputs!$C$5:$C$140=$B57)*Inputs!$D$5:$D$140*(((Inputs!$G$5:$G$140="moeda")+(Inputs!$G$5:$G$140="acoes"))*Inputs!$B$1+((Inputs!$G$5:$G$140&lt;&gt;"moeda")*(Inputs!$G$5:$G$140&lt;&gt;"acoes")))*INDEX(Inputs!$K$5:$AJ$140,0,MATCH(I$2,Inputs!$K$4:$AJ$4,0)))+SUMPRODUCT((Inputs!$E$5:$E$140=$B57)*Inputs!$F$5:$F$140*(((Inputs!$G$5:$G$140="moeda")+(Inputs!$G$5:$G$140="acoes"))*Inputs!$B$1+((Inputs!$G$5:$G$140&lt;&gt;"moeda")*(Inputs!$G$5:$G$140&lt;&gt;"acoes")))*INDEX(Inputs!$K$5:$AJ$140,0,MATCH(I$2,Inputs!$K$4:$AJ$4,0)))))</f>
        <v>812.74016347</v>
      </c>
      <c r="J57" s="262">
        <f>IF(ISNA(MATCH(J$2,Inputs!$K$4:$AJ$4,0)),NA(),IF(SUMPRODUCT((Inputs!$A$5:$A$140=$B57)*ISNUMBER(INDEX(Inputs!$K$5:$AJ$140,0,MATCH(J$2,Inputs!$K$4:$AJ$4,0))))+SUMPRODUCT((Inputs!$C$5:$C$140=$B57)*ISNUMBER(INDEX(Inputs!$K$5:$AJ$140,0,MATCH(J$2,Inputs!$K$4:$AJ$4,0))))+SUMPRODUCT((Inputs!$E$5:$E$140=$B57)*ISNUMBER(INDEX(Inputs!$K$5:$AJ$140,0,MATCH(J$2,Inputs!$K$4:$AJ$4,0))))=0,NA(),SUMPRODUCT((Inputs!$A$5:$A$140=$B57)*Inputs!$B$5:$B$140*(((Inputs!$G$5:$G$140="moeda")+(Inputs!$G$5:$G$140="acoes"))*Inputs!$B$1+((Inputs!$G$5:$G$140&lt;&gt;"moeda")*(Inputs!$G$5:$G$140&lt;&gt;"acoes")))*INDEX(Inputs!$K$5:$AJ$140,0,MATCH(J$2,Inputs!$K$4:$AJ$4,0)))+SUMPRODUCT((Inputs!$C$5:$C$140=$B57)*Inputs!$D$5:$D$140*(((Inputs!$G$5:$G$140="moeda")+(Inputs!$G$5:$G$140="acoes"))*Inputs!$B$1+((Inputs!$G$5:$G$140&lt;&gt;"moeda")*(Inputs!$G$5:$G$140&lt;&gt;"acoes")))*INDEX(Inputs!$K$5:$AJ$140,0,MATCH(J$2,Inputs!$K$4:$AJ$4,0)))+SUMPRODUCT((Inputs!$E$5:$E$140=$B57)*Inputs!$F$5:$F$140*(((Inputs!$G$5:$G$140="moeda")+(Inputs!$G$5:$G$140="acoes"))*Inputs!$B$1+((Inputs!$G$5:$G$140&lt;&gt;"moeda")*(Inputs!$G$5:$G$140&lt;&gt;"acoes")))*INDEX(Inputs!$K$5:$AJ$140,0,MATCH(J$2,Inputs!$K$4:$AJ$4,0)))))</f>
        <v>987.42073506</v>
      </c>
      <c r="K57" s="262">
        <f>IF(ISNA(MATCH(K$2,Inputs!$K$4:$AJ$4,0)),NA(),IF(SUMPRODUCT((Inputs!$A$5:$A$140=$B57)*ISNUMBER(INDEX(Inputs!$K$5:$AJ$140,0,MATCH(K$2,Inputs!$K$4:$AJ$4,0))))+SUMPRODUCT((Inputs!$C$5:$C$140=$B57)*ISNUMBER(INDEX(Inputs!$K$5:$AJ$140,0,MATCH(K$2,Inputs!$K$4:$AJ$4,0))))+SUMPRODUCT((Inputs!$E$5:$E$140=$B57)*ISNUMBER(INDEX(Inputs!$K$5:$AJ$140,0,MATCH(K$2,Inputs!$K$4:$AJ$4,0))))=0,NA(),SUMPRODUCT((Inputs!$A$5:$A$140=$B57)*Inputs!$B$5:$B$140*(((Inputs!$G$5:$G$140="moeda")+(Inputs!$G$5:$G$140="acoes"))*Inputs!$B$1+((Inputs!$G$5:$G$140&lt;&gt;"moeda")*(Inputs!$G$5:$G$140&lt;&gt;"acoes")))*INDEX(Inputs!$K$5:$AJ$140,0,MATCH(K$2,Inputs!$K$4:$AJ$4,0)))+SUMPRODUCT((Inputs!$C$5:$C$140=$B57)*Inputs!$D$5:$D$140*(((Inputs!$G$5:$G$140="moeda")+(Inputs!$G$5:$G$140="acoes"))*Inputs!$B$1+((Inputs!$G$5:$G$140&lt;&gt;"moeda")*(Inputs!$G$5:$G$140&lt;&gt;"acoes")))*INDEX(Inputs!$K$5:$AJ$140,0,MATCH(K$2,Inputs!$K$4:$AJ$4,0)))+SUMPRODUCT((Inputs!$E$5:$E$140=$B57)*Inputs!$F$5:$F$140*(((Inputs!$G$5:$G$140="moeda")+(Inputs!$G$5:$G$140="acoes"))*Inputs!$B$1+((Inputs!$G$5:$G$140&lt;&gt;"moeda")*(Inputs!$G$5:$G$140&lt;&gt;"acoes")))*INDEX(Inputs!$K$5:$AJ$140,0,MATCH(K$2,Inputs!$K$4:$AJ$4,0)))))</f>
        <v>967.26329716</v>
      </c>
      <c r="L57" s="262">
        <f>IF(ISNA(MATCH(L$2,Inputs!$K$4:$AJ$4,0)),NA(),IF(SUMPRODUCT((Inputs!$A$5:$A$140=$B57)*ISNUMBER(INDEX(Inputs!$K$5:$AJ$140,0,MATCH(L$2,Inputs!$K$4:$AJ$4,0))))+SUMPRODUCT((Inputs!$C$5:$C$140=$B57)*ISNUMBER(INDEX(Inputs!$K$5:$AJ$140,0,MATCH(L$2,Inputs!$K$4:$AJ$4,0))))+SUMPRODUCT((Inputs!$E$5:$E$140=$B57)*ISNUMBER(INDEX(Inputs!$K$5:$AJ$140,0,MATCH(L$2,Inputs!$K$4:$AJ$4,0))))=0,NA(),SUMPRODUCT((Inputs!$A$5:$A$140=$B57)*Inputs!$B$5:$B$140*(((Inputs!$G$5:$G$140="moeda")+(Inputs!$G$5:$G$140="acoes"))*Inputs!$B$1+((Inputs!$G$5:$G$140&lt;&gt;"moeda")*(Inputs!$G$5:$G$140&lt;&gt;"acoes")))*INDEX(Inputs!$K$5:$AJ$140,0,MATCH(L$2,Inputs!$K$4:$AJ$4,0)))+SUMPRODUCT((Inputs!$C$5:$C$140=$B57)*Inputs!$D$5:$D$140*(((Inputs!$G$5:$G$140="moeda")+(Inputs!$G$5:$G$140="acoes"))*Inputs!$B$1+((Inputs!$G$5:$G$140&lt;&gt;"moeda")*(Inputs!$G$5:$G$140&lt;&gt;"acoes")))*INDEX(Inputs!$K$5:$AJ$140,0,MATCH(L$2,Inputs!$K$4:$AJ$4,0)))+SUMPRODUCT((Inputs!$E$5:$E$140=$B57)*Inputs!$F$5:$F$140*(((Inputs!$G$5:$G$140="moeda")+(Inputs!$G$5:$G$140="acoes"))*Inputs!$B$1+((Inputs!$G$5:$G$140&lt;&gt;"moeda")*(Inputs!$G$5:$G$140&lt;&gt;"acoes")))*INDEX(Inputs!$K$5:$AJ$140,0,MATCH(L$2,Inputs!$K$4:$AJ$4,0)))))</f>
        <v>835.5111194</v>
      </c>
      <c r="M57" s="263">
        <f>SUM(I57:L57)</f>
        <v>3602.93531509</v>
      </c>
      <c r="N57" s="262">
        <f>IF(ISNA(MATCH(N$2,Inputs!$K$4:$AJ$4,0)),NA(),IF(SUMPRODUCT((Inputs!$A$5:$A$140=$B57)*ISNUMBER(INDEX(Inputs!$K$5:$AJ$140,0,MATCH(N$2,Inputs!$K$4:$AJ$4,0))))+SUMPRODUCT((Inputs!$C$5:$C$140=$B57)*ISNUMBER(INDEX(Inputs!$K$5:$AJ$140,0,MATCH(N$2,Inputs!$K$4:$AJ$4,0))))+SUMPRODUCT((Inputs!$E$5:$E$140=$B57)*ISNUMBER(INDEX(Inputs!$K$5:$AJ$140,0,MATCH(N$2,Inputs!$K$4:$AJ$4,0))))=0,NA(),SUMPRODUCT((Inputs!$A$5:$A$140=$B57)*Inputs!$B$5:$B$140*(((Inputs!$G$5:$G$140="moeda")+(Inputs!$G$5:$G$140="acoes"))*Inputs!$B$1+((Inputs!$G$5:$G$140&lt;&gt;"moeda")*(Inputs!$G$5:$G$140&lt;&gt;"acoes")))*INDEX(Inputs!$K$5:$AJ$140,0,MATCH(N$2,Inputs!$K$4:$AJ$4,0)))+SUMPRODUCT((Inputs!$C$5:$C$140=$B57)*Inputs!$D$5:$D$140*(((Inputs!$G$5:$G$140="moeda")+(Inputs!$G$5:$G$140="acoes"))*Inputs!$B$1+((Inputs!$G$5:$G$140&lt;&gt;"moeda")*(Inputs!$G$5:$G$140&lt;&gt;"acoes")))*INDEX(Inputs!$K$5:$AJ$140,0,MATCH(N$2,Inputs!$K$4:$AJ$4,0)))+SUMPRODUCT((Inputs!$E$5:$E$140=$B57)*Inputs!$F$5:$F$140*(((Inputs!$G$5:$G$140="moeda")+(Inputs!$G$5:$G$140="acoes"))*Inputs!$B$1+((Inputs!$G$5:$G$140&lt;&gt;"moeda")*(Inputs!$G$5:$G$140&lt;&gt;"acoes")))*INDEX(Inputs!$K$5:$AJ$140,0,MATCH(N$2,Inputs!$K$4:$AJ$4,0)))))</f>
        <v>1164.03701824</v>
      </c>
      <c r="O57" s="262">
        <f>IF(ISNA(MATCH(O$2,Inputs!$K$4:$AJ$4,0)),NA(),IF(SUMPRODUCT((Inputs!$A$5:$A$140=$B57)*ISNUMBER(INDEX(Inputs!$K$5:$AJ$140,0,MATCH(O$2,Inputs!$K$4:$AJ$4,0))))+SUMPRODUCT((Inputs!$C$5:$C$140=$B57)*ISNUMBER(INDEX(Inputs!$K$5:$AJ$140,0,MATCH(O$2,Inputs!$K$4:$AJ$4,0))))+SUMPRODUCT((Inputs!$E$5:$E$140=$B57)*ISNUMBER(INDEX(Inputs!$K$5:$AJ$140,0,MATCH(O$2,Inputs!$K$4:$AJ$4,0))))=0,NA(),SUMPRODUCT((Inputs!$A$5:$A$140=$B57)*Inputs!$B$5:$B$140*(((Inputs!$G$5:$G$140="moeda")+(Inputs!$G$5:$G$140="acoes"))*Inputs!$B$1+((Inputs!$G$5:$G$140&lt;&gt;"moeda")*(Inputs!$G$5:$G$140&lt;&gt;"acoes")))*INDEX(Inputs!$K$5:$AJ$140,0,MATCH(O$2,Inputs!$K$4:$AJ$4,0)))+SUMPRODUCT((Inputs!$C$5:$C$140=$B57)*Inputs!$D$5:$D$140*(((Inputs!$G$5:$G$140="moeda")+(Inputs!$G$5:$G$140="acoes"))*Inputs!$B$1+((Inputs!$G$5:$G$140&lt;&gt;"moeda")*(Inputs!$G$5:$G$140&lt;&gt;"acoes")))*INDEX(Inputs!$K$5:$AJ$140,0,MATCH(O$2,Inputs!$K$4:$AJ$4,0)))+SUMPRODUCT((Inputs!$E$5:$E$140=$B57)*Inputs!$F$5:$F$140*(((Inputs!$G$5:$G$140="moeda")+(Inputs!$G$5:$G$140="acoes"))*Inputs!$B$1+((Inputs!$G$5:$G$140&lt;&gt;"moeda")*(Inputs!$G$5:$G$140&lt;&gt;"acoes")))*INDEX(Inputs!$K$5:$AJ$140,0,MATCH(O$2,Inputs!$K$4:$AJ$4,0)))))</f>
        <v>1342.268679</v>
      </c>
      <c r="P57" s="262">
        <f>IF(ISNA(MATCH(P$2,Inputs!$K$4:$AJ$4,0)),NA(),IF(SUMPRODUCT((Inputs!$A$5:$A$140=$B57)*ISNUMBER(INDEX(Inputs!$K$5:$AJ$140,0,MATCH(P$2,Inputs!$K$4:$AJ$4,0))))+SUMPRODUCT((Inputs!$C$5:$C$140=$B57)*ISNUMBER(INDEX(Inputs!$K$5:$AJ$140,0,MATCH(P$2,Inputs!$K$4:$AJ$4,0))))+SUMPRODUCT((Inputs!$E$5:$E$140=$B57)*ISNUMBER(INDEX(Inputs!$K$5:$AJ$140,0,MATCH(P$2,Inputs!$K$4:$AJ$4,0))))=0,NA(),SUMPRODUCT((Inputs!$A$5:$A$140=$B57)*Inputs!$B$5:$B$140*(((Inputs!$G$5:$G$140="moeda")+(Inputs!$G$5:$G$140="acoes"))*Inputs!$B$1+((Inputs!$G$5:$G$140&lt;&gt;"moeda")*(Inputs!$G$5:$G$140&lt;&gt;"acoes")))*INDEX(Inputs!$K$5:$AJ$140,0,MATCH(P$2,Inputs!$K$4:$AJ$4,0)))+SUMPRODUCT((Inputs!$C$5:$C$140=$B57)*Inputs!$D$5:$D$140*(((Inputs!$G$5:$G$140="moeda")+(Inputs!$G$5:$G$140="acoes"))*Inputs!$B$1+((Inputs!$G$5:$G$140&lt;&gt;"moeda")*(Inputs!$G$5:$G$140&lt;&gt;"acoes")))*INDEX(Inputs!$K$5:$AJ$140,0,MATCH(P$2,Inputs!$K$4:$AJ$4,0)))+SUMPRODUCT((Inputs!$E$5:$E$140=$B57)*Inputs!$F$5:$F$140*(((Inputs!$G$5:$G$140="moeda")+(Inputs!$G$5:$G$140="acoes"))*Inputs!$B$1+((Inputs!$G$5:$G$140&lt;&gt;"moeda")*(Inputs!$G$5:$G$140&lt;&gt;"acoes")))*INDEX(Inputs!$K$5:$AJ$140,0,MATCH(P$2,Inputs!$K$4:$AJ$4,0)))))</f>
        <v>1154.32311335</v>
      </c>
      <c r="Q57" s="262">
        <f>IF(ISNA(MATCH(Q$2,Inputs!$K$4:$AJ$4,0)),NA(),IF(SUMPRODUCT((Inputs!$A$5:$A$140=$B57)*ISNUMBER(INDEX(Inputs!$K$5:$AJ$140,0,MATCH(Q$2,Inputs!$K$4:$AJ$4,0))))+SUMPRODUCT((Inputs!$C$5:$C$140=$B57)*ISNUMBER(INDEX(Inputs!$K$5:$AJ$140,0,MATCH(Q$2,Inputs!$K$4:$AJ$4,0))))+SUMPRODUCT((Inputs!$E$5:$E$140=$B57)*ISNUMBER(INDEX(Inputs!$K$5:$AJ$140,0,MATCH(Q$2,Inputs!$K$4:$AJ$4,0))))=0,NA(),SUMPRODUCT((Inputs!$A$5:$A$140=$B57)*Inputs!$B$5:$B$140*(((Inputs!$G$5:$G$140="moeda")+(Inputs!$G$5:$G$140="acoes"))*Inputs!$B$1+((Inputs!$G$5:$G$140&lt;&gt;"moeda")*(Inputs!$G$5:$G$140&lt;&gt;"acoes")))*INDEX(Inputs!$K$5:$AJ$140,0,MATCH(Q$2,Inputs!$K$4:$AJ$4,0)))+SUMPRODUCT((Inputs!$C$5:$C$140=$B57)*Inputs!$D$5:$D$140*(((Inputs!$G$5:$G$140="moeda")+(Inputs!$G$5:$G$140="acoes"))*Inputs!$B$1+((Inputs!$G$5:$G$140&lt;&gt;"moeda")*(Inputs!$G$5:$G$140&lt;&gt;"acoes")))*INDEX(Inputs!$K$5:$AJ$140,0,MATCH(Q$2,Inputs!$K$4:$AJ$4,0)))+SUMPRODUCT((Inputs!$E$5:$E$140=$B57)*Inputs!$F$5:$F$140*(((Inputs!$G$5:$G$140="moeda")+(Inputs!$G$5:$G$140="acoes"))*Inputs!$B$1+((Inputs!$G$5:$G$140&lt;&gt;"moeda")*(Inputs!$G$5:$G$140&lt;&gt;"acoes")))*INDEX(Inputs!$K$5:$AJ$140,0,MATCH(Q$2,Inputs!$K$4:$AJ$4,0)))))</f>
        <v>1025.134116</v>
      </c>
      <c r="R57" s="263">
        <f>SUM(N57:Q57)</f>
        <v>4685.76292659</v>
      </c>
      <c r="S57" s="262">
        <f>IF(ISNA(MATCH(S$2,Inputs!$K$4:$AJ$4,0)),NA(),IF(SUMPRODUCT((Inputs!$A$5:$A$140=$B57)*ISNUMBER(INDEX(Inputs!$K$5:$AJ$140,0,MATCH(S$2,Inputs!$K$4:$AJ$4,0))))+SUMPRODUCT((Inputs!$C$5:$C$140=$B57)*ISNUMBER(INDEX(Inputs!$K$5:$AJ$140,0,MATCH(S$2,Inputs!$K$4:$AJ$4,0))))+SUMPRODUCT((Inputs!$E$5:$E$140=$B57)*ISNUMBER(INDEX(Inputs!$K$5:$AJ$140,0,MATCH(S$2,Inputs!$K$4:$AJ$4,0))))=0,NA(),SUMPRODUCT((Inputs!$A$5:$A$140=$B57)*Inputs!$B$5:$B$140*(((Inputs!$G$5:$G$140="moeda")+(Inputs!$G$5:$G$140="acoes"))*Inputs!$B$1+((Inputs!$G$5:$G$140&lt;&gt;"moeda")*(Inputs!$G$5:$G$140&lt;&gt;"acoes")))*INDEX(Inputs!$K$5:$AJ$140,0,MATCH(S$2,Inputs!$K$4:$AJ$4,0)))+SUMPRODUCT((Inputs!$C$5:$C$140=$B57)*Inputs!$D$5:$D$140*(((Inputs!$G$5:$G$140="moeda")+(Inputs!$G$5:$G$140="acoes"))*Inputs!$B$1+((Inputs!$G$5:$G$140&lt;&gt;"moeda")*(Inputs!$G$5:$G$140&lt;&gt;"acoes")))*INDEX(Inputs!$K$5:$AJ$140,0,MATCH(S$2,Inputs!$K$4:$AJ$4,0)))+SUMPRODUCT((Inputs!$E$5:$E$140=$B57)*Inputs!$F$5:$F$140*(((Inputs!$G$5:$G$140="moeda")+(Inputs!$G$5:$G$140="acoes"))*Inputs!$B$1+((Inputs!$G$5:$G$140&lt;&gt;"moeda")*(Inputs!$G$5:$G$140&lt;&gt;"acoes")))*INDEX(Inputs!$K$5:$AJ$140,0,MATCH(S$2,Inputs!$K$4:$AJ$4,0)))))</f>
        <v>1679.48891586</v>
      </c>
      <c r="T57" s="262">
        <f>IF(ISNA(MATCH(T$2,Inputs!$K$4:$AJ$4,0)),NA(),IF(SUMPRODUCT((Inputs!$A$5:$A$140=$B57)*ISNUMBER(INDEX(Inputs!$K$5:$AJ$140,0,MATCH(T$2,Inputs!$K$4:$AJ$4,0))))+SUMPRODUCT((Inputs!$C$5:$C$140=$B57)*ISNUMBER(INDEX(Inputs!$K$5:$AJ$140,0,MATCH(T$2,Inputs!$K$4:$AJ$4,0))))+SUMPRODUCT((Inputs!$E$5:$E$140=$B57)*ISNUMBER(INDEX(Inputs!$K$5:$AJ$140,0,MATCH(T$2,Inputs!$K$4:$AJ$4,0))))=0,NA(),SUMPRODUCT((Inputs!$A$5:$A$140=$B57)*Inputs!$B$5:$B$140*(((Inputs!$G$5:$G$140="moeda")+(Inputs!$G$5:$G$140="acoes"))*Inputs!$B$1+((Inputs!$G$5:$G$140&lt;&gt;"moeda")*(Inputs!$G$5:$G$140&lt;&gt;"acoes")))*INDEX(Inputs!$K$5:$AJ$140,0,MATCH(T$2,Inputs!$K$4:$AJ$4,0)))+SUMPRODUCT((Inputs!$C$5:$C$140=$B57)*Inputs!$D$5:$D$140*(((Inputs!$G$5:$G$140="moeda")+(Inputs!$G$5:$G$140="acoes"))*Inputs!$B$1+((Inputs!$G$5:$G$140&lt;&gt;"moeda")*(Inputs!$G$5:$G$140&lt;&gt;"acoes")))*INDEX(Inputs!$K$5:$AJ$140,0,MATCH(T$2,Inputs!$K$4:$AJ$4,0)))+SUMPRODUCT((Inputs!$E$5:$E$140=$B57)*Inputs!$F$5:$F$140*(((Inputs!$G$5:$G$140="moeda")+(Inputs!$G$5:$G$140="acoes"))*Inputs!$B$1+((Inputs!$G$5:$G$140&lt;&gt;"moeda")*(Inputs!$G$5:$G$140&lt;&gt;"acoes")))*INDEX(Inputs!$K$5:$AJ$140,0,MATCH(T$2,Inputs!$K$4:$AJ$4,0)))))</f>
        <v>1926.22049911</v>
      </c>
      <c r="U57" s="262">
        <f>IF(ISNA(MATCH(U$2,Inputs!$K$4:$AJ$4,0)),NA(),IF(SUMPRODUCT((Inputs!$A$5:$A$140=$B57)*ISNUMBER(INDEX(Inputs!$K$5:$AJ$140,0,MATCH(U$2,Inputs!$K$4:$AJ$4,0))))+SUMPRODUCT((Inputs!$C$5:$C$140=$B57)*ISNUMBER(INDEX(Inputs!$K$5:$AJ$140,0,MATCH(U$2,Inputs!$K$4:$AJ$4,0))))+SUMPRODUCT((Inputs!$E$5:$E$140=$B57)*ISNUMBER(INDEX(Inputs!$K$5:$AJ$140,0,MATCH(U$2,Inputs!$K$4:$AJ$4,0))))=0,NA(),SUMPRODUCT((Inputs!$A$5:$A$140=$B57)*Inputs!$B$5:$B$140*(((Inputs!$G$5:$G$140="moeda")+(Inputs!$G$5:$G$140="acoes"))*Inputs!$B$1+((Inputs!$G$5:$G$140&lt;&gt;"moeda")*(Inputs!$G$5:$G$140&lt;&gt;"acoes")))*INDEX(Inputs!$K$5:$AJ$140,0,MATCH(U$2,Inputs!$K$4:$AJ$4,0)))+SUMPRODUCT((Inputs!$C$5:$C$140=$B57)*Inputs!$D$5:$D$140*(((Inputs!$G$5:$G$140="moeda")+(Inputs!$G$5:$G$140="acoes"))*Inputs!$B$1+((Inputs!$G$5:$G$140&lt;&gt;"moeda")*(Inputs!$G$5:$G$140&lt;&gt;"acoes")))*INDEX(Inputs!$K$5:$AJ$140,0,MATCH(U$2,Inputs!$K$4:$AJ$4,0)))+SUMPRODUCT((Inputs!$E$5:$E$140=$B57)*Inputs!$F$5:$F$140*(((Inputs!$G$5:$G$140="moeda")+(Inputs!$G$5:$G$140="acoes"))*Inputs!$B$1+((Inputs!$G$5:$G$140&lt;&gt;"moeda")*(Inputs!$G$5:$G$140&lt;&gt;"acoes")))*INDEX(Inputs!$K$5:$AJ$140,0,MATCH(U$2,Inputs!$K$4:$AJ$4,0)))))</f>
        <v>1590.24165394</v>
      </c>
      <c r="V57" s="262">
        <f>IF(ISNA(MATCH(V$2,Inputs!$K$4:$AJ$4,0)),NA(),IF(SUMPRODUCT((Inputs!$A$5:$A$140=$B57)*ISNUMBER(INDEX(Inputs!$K$5:$AJ$140,0,MATCH(V$2,Inputs!$K$4:$AJ$4,0))))+SUMPRODUCT((Inputs!$C$5:$C$140=$B57)*ISNUMBER(INDEX(Inputs!$K$5:$AJ$140,0,MATCH(V$2,Inputs!$K$4:$AJ$4,0))))+SUMPRODUCT((Inputs!$E$5:$E$140=$B57)*ISNUMBER(INDEX(Inputs!$K$5:$AJ$140,0,MATCH(V$2,Inputs!$K$4:$AJ$4,0))))=0,NA(),SUMPRODUCT((Inputs!$A$5:$A$140=$B57)*Inputs!$B$5:$B$140*(((Inputs!$G$5:$G$140="moeda")+(Inputs!$G$5:$G$140="acoes"))*Inputs!$B$1+((Inputs!$G$5:$G$140&lt;&gt;"moeda")*(Inputs!$G$5:$G$140&lt;&gt;"acoes")))*INDEX(Inputs!$K$5:$AJ$140,0,MATCH(V$2,Inputs!$K$4:$AJ$4,0)))+SUMPRODUCT((Inputs!$C$5:$C$140=$B57)*Inputs!$D$5:$D$140*(((Inputs!$G$5:$G$140="moeda")+(Inputs!$G$5:$G$140="acoes"))*Inputs!$B$1+((Inputs!$G$5:$G$140&lt;&gt;"moeda")*(Inputs!$G$5:$G$140&lt;&gt;"acoes")))*INDEX(Inputs!$K$5:$AJ$140,0,MATCH(V$2,Inputs!$K$4:$AJ$4,0)))+SUMPRODUCT((Inputs!$E$5:$E$140=$B57)*Inputs!$F$5:$F$140*(((Inputs!$G$5:$G$140="moeda")+(Inputs!$G$5:$G$140="acoes"))*Inputs!$B$1+((Inputs!$G$5:$G$140&lt;&gt;"moeda")*(Inputs!$G$5:$G$140&lt;&gt;"acoes")))*INDEX(Inputs!$K$5:$AJ$140,0,MATCH(V$2,Inputs!$K$4:$AJ$4,0)))))</f>
        <v>1531.003</v>
      </c>
      <c r="W57" s="263">
        <f>SUM(S57:V57)</f>
        <v>6726.95406891</v>
      </c>
      <c r="X57" s="262">
        <f>IF(ISNA(MATCH(X$2,Inputs!$K$4:$AJ$4,0)),NA(),IF(SUMPRODUCT((Inputs!$A$5:$A$140=$B57)*ISNUMBER(INDEX(Inputs!$K$5:$AJ$140,0,MATCH(X$2,Inputs!$K$4:$AJ$4,0))))+SUMPRODUCT((Inputs!$C$5:$C$140=$B57)*ISNUMBER(INDEX(Inputs!$K$5:$AJ$140,0,MATCH(X$2,Inputs!$K$4:$AJ$4,0))))+SUMPRODUCT((Inputs!$E$5:$E$140=$B57)*ISNUMBER(INDEX(Inputs!$K$5:$AJ$140,0,MATCH(X$2,Inputs!$K$4:$AJ$4,0))))=0,NA(),SUMPRODUCT((Inputs!$A$5:$A$140=$B57)*Inputs!$B$5:$B$140*(((Inputs!$G$5:$G$140="moeda")+(Inputs!$G$5:$G$140="acoes"))*Inputs!$B$1+((Inputs!$G$5:$G$140&lt;&gt;"moeda")*(Inputs!$G$5:$G$140&lt;&gt;"acoes")))*INDEX(Inputs!$K$5:$AJ$140,0,MATCH(X$2,Inputs!$K$4:$AJ$4,0)))+SUMPRODUCT((Inputs!$C$5:$C$140=$B57)*Inputs!$D$5:$D$140*(((Inputs!$G$5:$G$140="moeda")+(Inputs!$G$5:$G$140="acoes"))*Inputs!$B$1+((Inputs!$G$5:$G$140&lt;&gt;"moeda")*(Inputs!$G$5:$G$140&lt;&gt;"acoes")))*INDEX(Inputs!$K$5:$AJ$140,0,MATCH(X$2,Inputs!$K$4:$AJ$4,0)))+SUMPRODUCT((Inputs!$E$5:$E$140=$B57)*Inputs!$F$5:$F$140*(((Inputs!$G$5:$G$140="moeda")+(Inputs!$G$5:$G$140="acoes"))*Inputs!$B$1+((Inputs!$G$5:$G$140&lt;&gt;"moeda")*(Inputs!$G$5:$G$140&lt;&gt;"acoes")))*INDEX(Inputs!$K$5:$AJ$140,0,MATCH(X$2,Inputs!$K$4:$AJ$4,0)))))</f>
        <v>2225.41712449</v>
      </c>
      <c r="Y57" s="262">
        <f>IF(ISNA(MATCH(Y$2,Inputs!$K$4:$AJ$4,0)),NA(),IF(SUMPRODUCT((Inputs!$A$5:$A$140=$B57)*ISNUMBER(INDEX(Inputs!$K$5:$AJ$140,0,MATCH(Y$2,Inputs!$K$4:$AJ$4,0))))+SUMPRODUCT((Inputs!$C$5:$C$140=$B57)*ISNUMBER(INDEX(Inputs!$K$5:$AJ$140,0,MATCH(Y$2,Inputs!$K$4:$AJ$4,0))))+SUMPRODUCT((Inputs!$E$5:$E$140=$B57)*ISNUMBER(INDEX(Inputs!$K$5:$AJ$140,0,MATCH(Y$2,Inputs!$K$4:$AJ$4,0))))=0,NA(),SUMPRODUCT((Inputs!$A$5:$A$140=$B57)*Inputs!$B$5:$B$140*(((Inputs!$G$5:$G$140="moeda")+(Inputs!$G$5:$G$140="acoes"))*Inputs!$B$1+((Inputs!$G$5:$G$140&lt;&gt;"moeda")*(Inputs!$G$5:$G$140&lt;&gt;"acoes")))*INDEX(Inputs!$K$5:$AJ$140,0,MATCH(Y$2,Inputs!$K$4:$AJ$4,0)))+SUMPRODUCT((Inputs!$C$5:$C$140=$B57)*Inputs!$D$5:$D$140*(((Inputs!$G$5:$G$140="moeda")+(Inputs!$G$5:$G$140="acoes"))*Inputs!$B$1+((Inputs!$G$5:$G$140&lt;&gt;"moeda")*(Inputs!$G$5:$G$140&lt;&gt;"acoes")))*INDEX(Inputs!$K$5:$AJ$140,0,MATCH(Y$2,Inputs!$K$4:$AJ$4,0)))+SUMPRODUCT((Inputs!$E$5:$E$140=$B57)*Inputs!$F$5:$F$140*(((Inputs!$G$5:$G$140="moeda")+(Inputs!$G$5:$G$140="acoes"))*Inputs!$B$1+((Inputs!$G$5:$G$140&lt;&gt;"moeda")*(Inputs!$G$5:$G$140&lt;&gt;"acoes")))*INDEX(Inputs!$K$5:$AJ$140,0,MATCH(Y$2,Inputs!$K$4:$AJ$4,0)))))</f>
        <v>2498.00483802</v>
      </c>
      <c r="Z57" s="262">
        <f>IF(ISNA(MATCH(Z$2,Inputs!$K$4:$AJ$4,0)),NA(),IF(SUMPRODUCT((Inputs!$A$5:$A$140=$B57)*ISNUMBER(INDEX(Inputs!$K$5:$AJ$140,0,MATCH(Z$2,Inputs!$K$4:$AJ$4,0))))+SUMPRODUCT((Inputs!$C$5:$C$140=$B57)*ISNUMBER(INDEX(Inputs!$K$5:$AJ$140,0,MATCH(Z$2,Inputs!$K$4:$AJ$4,0))))+SUMPRODUCT((Inputs!$E$5:$E$140=$B57)*ISNUMBER(INDEX(Inputs!$K$5:$AJ$140,0,MATCH(Z$2,Inputs!$K$4:$AJ$4,0))))=0,NA(),SUMPRODUCT((Inputs!$A$5:$A$140=$B57)*Inputs!$B$5:$B$140*(((Inputs!$G$5:$G$140="moeda")+(Inputs!$G$5:$G$140="acoes"))*Inputs!$B$1+((Inputs!$G$5:$G$140&lt;&gt;"moeda")*(Inputs!$G$5:$G$140&lt;&gt;"acoes")))*INDEX(Inputs!$K$5:$AJ$140,0,MATCH(Z$2,Inputs!$K$4:$AJ$4,0)))+SUMPRODUCT((Inputs!$C$5:$C$140=$B57)*Inputs!$D$5:$D$140*(((Inputs!$G$5:$G$140="moeda")+(Inputs!$G$5:$G$140="acoes"))*Inputs!$B$1+((Inputs!$G$5:$G$140&lt;&gt;"moeda")*(Inputs!$G$5:$G$140&lt;&gt;"acoes")))*INDEX(Inputs!$K$5:$AJ$140,0,MATCH(Z$2,Inputs!$K$4:$AJ$4,0)))+SUMPRODUCT((Inputs!$E$5:$E$140=$B57)*Inputs!$F$5:$F$140*(((Inputs!$G$5:$G$140="moeda")+(Inputs!$G$5:$G$140="acoes"))*Inputs!$B$1+((Inputs!$G$5:$G$140&lt;&gt;"moeda")*(Inputs!$G$5:$G$140&lt;&gt;"acoes")))*INDEX(Inputs!$K$5:$AJ$140,0,MATCH(Z$2,Inputs!$K$4:$AJ$4,0)))))</f>
        <v>2051.878191</v>
      </c>
      <c r="AA57" s="262">
        <f>IF(ISNA(MATCH(AA$2,Inputs!$K$4:$AJ$4,0)),NA(),IF(SUMPRODUCT((Inputs!$A$5:$A$140=$B57)*ISNUMBER(INDEX(Inputs!$K$5:$AJ$140,0,MATCH(AA$2,Inputs!$K$4:$AJ$4,0))))+SUMPRODUCT((Inputs!$C$5:$C$140=$B57)*ISNUMBER(INDEX(Inputs!$K$5:$AJ$140,0,MATCH(AA$2,Inputs!$K$4:$AJ$4,0))))+SUMPRODUCT((Inputs!$E$5:$E$140=$B57)*ISNUMBER(INDEX(Inputs!$K$5:$AJ$140,0,MATCH(AA$2,Inputs!$K$4:$AJ$4,0))))=0,NA(),SUMPRODUCT((Inputs!$A$5:$A$140=$B57)*Inputs!$B$5:$B$140*(((Inputs!$G$5:$G$140="moeda")+(Inputs!$G$5:$G$140="acoes"))*Inputs!$B$1+((Inputs!$G$5:$G$140&lt;&gt;"moeda")*(Inputs!$G$5:$G$140&lt;&gt;"acoes")))*INDEX(Inputs!$K$5:$AJ$140,0,MATCH(AA$2,Inputs!$K$4:$AJ$4,0)))+SUMPRODUCT((Inputs!$C$5:$C$140=$B57)*Inputs!$D$5:$D$140*(((Inputs!$G$5:$G$140="moeda")+(Inputs!$G$5:$G$140="acoes"))*Inputs!$B$1+((Inputs!$G$5:$G$140&lt;&gt;"moeda")*(Inputs!$G$5:$G$140&lt;&gt;"acoes")))*INDEX(Inputs!$K$5:$AJ$140,0,MATCH(AA$2,Inputs!$K$4:$AJ$4,0)))+SUMPRODUCT((Inputs!$E$5:$E$140=$B57)*Inputs!$F$5:$F$140*(((Inputs!$G$5:$G$140="moeda")+(Inputs!$G$5:$G$140="acoes"))*Inputs!$B$1+((Inputs!$G$5:$G$140&lt;&gt;"moeda")*(Inputs!$G$5:$G$140&lt;&gt;"acoes")))*INDEX(Inputs!$K$5:$AJ$140,0,MATCH(AA$2,Inputs!$K$4:$AJ$4,0)))))</f>
        <v>1714.07288715</v>
      </c>
      <c r="AB57" s="263">
        <f>SUM(X57:AA57)</f>
        <v>8489.37304066</v>
      </c>
      <c r="AC57" s="262">
        <f>IF(ISNA(MATCH(AC$2,Inputs!$K$4:$AJ$4,0)),NA(),IF(SUMPRODUCT((Inputs!$A$5:$A$140=$B57)*ISNUMBER(INDEX(Inputs!$K$5:$AJ$140,0,MATCH(AC$2,Inputs!$K$4:$AJ$4,0))))+SUMPRODUCT((Inputs!$C$5:$C$140=$B57)*ISNUMBER(INDEX(Inputs!$K$5:$AJ$140,0,MATCH(AC$2,Inputs!$K$4:$AJ$4,0))))+SUMPRODUCT((Inputs!$E$5:$E$140=$B57)*ISNUMBER(INDEX(Inputs!$K$5:$AJ$140,0,MATCH(AC$2,Inputs!$K$4:$AJ$4,0))))=0,NA(),SUMPRODUCT((Inputs!$A$5:$A$140=$B57)*Inputs!$B$5:$B$140*(((Inputs!$G$5:$G$140="moeda")+(Inputs!$G$5:$G$140="acoes"))*Inputs!$B$1+((Inputs!$G$5:$G$140&lt;&gt;"moeda")*(Inputs!$G$5:$G$140&lt;&gt;"acoes")))*INDEX(Inputs!$K$5:$AJ$140,0,MATCH(AC$2,Inputs!$K$4:$AJ$4,0)))+SUMPRODUCT((Inputs!$C$5:$C$140=$B57)*Inputs!$D$5:$D$140*(((Inputs!$G$5:$G$140="moeda")+(Inputs!$G$5:$G$140="acoes"))*Inputs!$B$1+((Inputs!$G$5:$G$140&lt;&gt;"moeda")*(Inputs!$G$5:$G$140&lt;&gt;"acoes")))*INDEX(Inputs!$K$5:$AJ$140,0,MATCH(AC$2,Inputs!$K$4:$AJ$4,0)))+SUMPRODUCT((Inputs!$E$5:$E$140=$B57)*Inputs!$F$5:$F$140*(((Inputs!$G$5:$G$140="moeda")+(Inputs!$G$5:$G$140="acoes"))*Inputs!$B$1+((Inputs!$G$5:$G$140&lt;&gt;"moeda")*(Inputs!$G$5:$G$140&lt;&gt;"acoes")))*INDEX(Inputs!$K$5:$AJ$140,0,MATCH(AC$2,Inputs!$K$4:$AJ$4,0)))))</f>
        <v>2533.87232795</v>
      </c>
      <c r="AD57" s="262">
        <f>IF(ISNA(MATCH(AD$2,Inputs!$K$4:$AJ$4,0)),NA(),IF(SUMPRODUCT((Inputs!$A$5:$A$140=$B57)*ISNUMBER(INDEX(Inputs!$K$5:$AJ$140,0,MATCH(AD$2,Inputs!$K$4:$AJ$4,0))))+SUMPRODUCT((Inputs!$C$5:$C$140=$B57)*ISNUMBER(INDEX(Inputs!$K$5:$AJ$140,0,MATCH(AD$2,Inputs!$K$4:$AJ$4,0))))+SUMPRODUCT((Inputs!$E$5:$E$140=$B57)*ISNUMBER(INDEX(Inputs!$K$5:$AJ$140,0,MATCH(AD$2,Inputs!$K$4:$AJ$4,0))))=0,NA(),SUMPRODUCT((Inputs!$A$5:$A$140=$B57)*Inputs!$B$5:$B$140*(((Inputs!$G$5:$G$140="moeda")+(Inputs!$G$5:$G$140="acoes"))*Inputs!$B$1+((Inputs!$G$5:$G$140&lt;&gt;"moeda")*(Inputs!$G$5:$G$140&lt;&gt;"acoes")))*INDEX(Inputs!$K$5:$AJ$140,0,MATCH(AD$2,Inputs!$K$4:$AJ$4,0)))+SUMPRODUCT((Inputs!$C$5:$C$140=$B57)*Inputs!$D$5:$D$140*(((Inputs!$G$5:$G$140="moeda")+(Inputs!$G$5:$G$140="acoes"))*Inputs!$B$1+((Inputs!$G$5:$G$140&lt;&gt;"moeda")*(Inputs!$G$5:$G$140&lt;&gt;"acoes")))*INDEX(Inputs!$K$5:$AJ$140,0,MATCH(AD$2,Inputs!$K$4:$AJ$4,0)))+SUMPRODUCT((Inputs!$E$5:$E$140=$B57)*Inputs!$F$5:$F$140*(((Inputs!$G$5:$G$140="moeda")+(Inputs!$G$5:$G$140="acoes"))*Inputs!$B$1+((Inputs!$G$5:$G$140&lt;&gt;"moeda")*(Inputs!$G$5:$G$140&lt;&gt;"acoes")))*INDEX(Inputs!$K$5:$AJ$140,0,MATCH(AD$2,Inputs!$K$4:$AJ$4,0)))))</f>
        <v>2216.66966465</v>
      </c>
      <c r="AE57" s="262" t="e">
        <f>IF(ISNA(MATCH(AE$2,Inputs!$K$4:$AJ$4,0)),NA(),IF(SUMPRODUCT((Inputs!$A$5:$A$140=$B57)*ISNUMBER(INDEX(Inputs!$K$5:$AJ$140,0,MATCH(AE$2,Inputs!$K$4:$AJ$4,0))))+SUMPRODUCT((Inputs!$C$5:$C$140=$B57)*ISNUMBER(INDEX(Inputs!$K$5:$AJ$140,0,MATCH(AE$2,Inputs!$K$4:$AJ$4,0))))+SUMPRODUCT((Inputs!$E$5:$E$140=$B57)*ISNUMBER(INDEX(Inputs!$K$5:$AJ$140,0,MATCH(AE$2,Inputs!$K$4:$AJ$4,0))))=0,NA(),SUMPRODUCT((Inputs!$A$5:$A$140=$B57)*Inputs!$B$5:$B$140*(((Inputs!$G$5:$G$140="moeda")+(Inputs!$G$5:$G$140="acoes"))*Inputs!$B$1+((Inputs!$G$5:$G$140&lt;&gt;"moeda")*(Inputs!$G$5:$G$140&lt;&gt;"acoes")))*INDEX(Inputs!$K$5:$AJ$140,0,MATCH(AE$2,Inputs!$K$4:$AJ$4,0)))+SUMPRODUCT((Inputs!$C$5:$C$140=$B57)*Inputs!$D$5:$D$140*(((Inputs!$G$5:$G$140="moeda")+(Inputs!$G$5:$G$140="acoes"))*Inputs!$B$1+((Inputs!$G$5:$G$140&lt;&gt;"moeda")*(Inputs!$G$5:$G$140&lt;&gt;"acoes")))*INDEX(Inputs!$K$5:$AJ$140,0,MATCH(AE$2,Inputs!$K$4:$AJ$4,0)))+SUMPRODUCT((Inputs!$E$5:$E$140=$B57)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7" s="262" t="e">
        <f>IF(ISNA(MATCH(AF$2,Inputs!$K$4:$AJ$4,0)),NA(),IF(SUMPRODUCT((Inputs!$A$5:$A$140=$B57)*ISNUMBER(INDEX(Inputs!$K$5:$AJ$140,0,MATCH(AF$2,Inputs!$K$4:$AJ$4,0))))+SUMPRODUCT((Inputs!$C$5:$C$140=$B57)*ISNUMBER(INDEX(Inputs!$K$5:$AJ$140,0,MATCH(AF$2,Inputs!$K$4:$AJ$4,0))))+SUMPRODUCT((Inputs!$E$5:$E$140=$B57)*ISNUMBER(INDEX(Inputs!$K$5:$AJ$140,0,MATCH(AF$2,Inputs!$K$4:$AJ$4,0))))=0,NA(),SUMPRODUCT((Inputs!$A$5:$A$140=$B57)*Inputs!$B$5:$B$140*(((Inputs!$G$5:$G$140="moeda")+(Inputs!$G$5:$G$140="acoes"))*Inputs!$B$1+((Inputs!$G$5:$G$140&lt;&gt;"moeda")*(Inputs!$G$5:$G$140&lt;&gt;"acoes")))*INDEX(Inputs!$K$5:$AJ$140,0,MATCH(AF$2,Inputs!$K$4:$AJ$4,0)))+SUMPRODUCT((Inputs!$C$5:$C$140=$B57)*Inputs!$D$5:$D$140*(((Inputs!$G$5:$G$140="moeda")+(Inputs!$G$5:$G$140="acoes"))*Inputs!$B$1+((Inputs!$G$5:$G$140&lt;&gt;"moeda")*(Inputs!$G$5:$G$140&lt;&gt;"acoes")))*INDEX(Inputs!$K$5:$AJ$140,0,MATCH(AF$2,Inputs!$K$4:$AJ$4,0)))+SUMPRODUCT((Inputs!$E$5:$E$140=$B57)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7" s="263" t="e">
        <f>SUM(AC57:AF57)</f>
        <v>#N/A</v>
      </c>
      <c r="AH57" s="262">
        <f>IF(ISNA(MATCH(AH$2,Inputs!$K$4:$AJ$4,0)),NA(),IF(SUMPRODUCT((Inputs!$A$5:$A$140=$B57)*ISNUMBER(INDEX(Inputs!$K$5:$AJ$140,0,MATCH(AH$2,Inputs!$K$4:$AJ$4,0))))+SUMPRODUCT((Inputs!$C$5:$C$140=$B57)*ISNUMBER(INDEX(Inputs!$K$5:$AJ$140,0,MATCH(AH$2,Inputs!$K$4:$AJ$4,0))))+SUMPRODUCT((Inputs!$E$5:$E$140=$B57)*ISNUMBER(INDEX(Inputs!$K$5:$AJ$140,0,MATCH(AH$2,Inputs!$K$4:$AJ$4,0))))=0,NA(),SUMPRODUCT((Inputs!$A$5:$A$140=$B57)*Inputs!$B$5:$B$140*(((Inputs!$G$5:$G$140="moeda")+(Inputs!$G$5:$G$140="acoes"))*Inputs!$B$1+((Inputs!$G$5:$G$140&lt;&gt;"moeda")*(Inputs!$G$5:$G$140&lt;&gt;"acoes")))*INDEX(Inputs!$K$5:$AJ$140,0,MATCH(AH$2,Inputs!$K$4:$AJ$4,0)))+SUMPRODUCT((Inputs!$C$5:$C$140=$B57)*Inputs!$D$5:$D$140*(((Inputs!$G$5:$G$140="moeda")+(Inputs!$G$5:$G$140="acoes"))*Inputs!$B$1+((Inputs!$G$5:$G$140&lt;&gt;"moeda")*(Inputs!$G$5:$G$140&lt;&gt;"acoes")))*INDEX(Inputs!$K$5:$AJ$140,0,MATCH(AH$2,Inputs!$K$4:$AJ$4,0)))+SUMPRODUCT((Inputs!$E$5:$E$140=$B57)*Inputs!$F$5:$F$140*(((Inputs!$G$5:$G$140="moeda")+(Inputs!$G$5:$G$140="acoes"))*Inputs!$B$1+((Inputs!$G$5:$G$140&lt;&gt;"moeda")*(Inputs!$G$5:$G$140&lt;&gt;"acoes")))*INDEX(Inputs!$K$5:$AJ$140,0,MATCH(AH$2,Inputs!$K$4:$AJ$4,0)))))</f>
        <v>279.330052</v>
      </c>
      <c r="AI57" s="262">
        <f>IF(ISNA(MATCH(AI$2,Inputs!$K$4:$AJ$4,0)),NA(),IF(SUMPRODUCT((Inputs!$A$5:$A$140=$B57)*ISNUMBER(INDEX(Inputs!$K$5:$AJ$140,0,MATCH(AI$2,Inputs!$K$4:$AJ$4,0))))+SUMPRODUCT((Inputs!$C$5:$C$140=$B57)*ISNUMBER(INDEX(Inputs!$K$5:$AJ$140,0,MATCH(AI$2,Inputs!$K$4:$AJ$4,0))))+SUMPRODUCT((Inputs!$E$5:$E$140=$B57)*ISNUMBER(INDEX(Inputs!$K$5:$AJ$140,0,MATCH(AI$2,Inputs!$K$4:$AJ$4,0))))=0,NA(),SUMPRODUCT((Inputs!$A$5:$A$140=$B57)*Inputs!$B$5:$B$140*(((Inputs!$G$5:$G$140="moeda")+(Inputs!$G$5:$G$140="acoes"))*Inputs!$B$1+((Inputs!$G$5:$G$140&lt;&gt;"moeda")*(Inputs!$G$5:$G$140&lt;&gt;"acoes")))*INDEX(Inputs!$K$5:$AJ$140,0,MATCH(AI$2,Inputs!$K$4:$AJ$4,0)))+SUMPRODUCT((Inputs!$C$5:$C$140=$B57)*Inputs!$D$5:$D$140*(((Inputs!$G$5:$G$140="moeda")+(Inputs!$G$5:$G$140="acoes"))*Inputs!$B$1+((Inputs!$G$5:$G$140&lt;&gt;"moeda")*(Inputs!$G$5:$G$140&lt;&gt;"acoes")))*INDEX(Inputs!$K$5:$AJ$140,0,MATCH(AI$2,Inputs!$K$4:$AJ$4,0)))+SUMPRODUCT((Inputs!$E$5:$E$140=$B57)*Inputs!$F$5:$F$140*(((Inputs!$G$5:$G$140="moeda")+(Inputs!$G$5:$G$140="acoes"))*Inputs!$B$1+((Inputs!$G$5:$G$140&lt;&gt;"moeda")*(Inputs!$G$5:$G$140&lt;&gt;"acoes")))*INDEX(Inputs!$K$5:$AJ$140,0,MATCH(AI$2,Inputs!$K$4:$AJ$4,0)))))</f>
        <v>333.769846</v>
      </c>
      <c r="AJ57" s="262">
        <f>IF(ISNA(MATCH(AJ$2,Inputs!$K$4:$AJ$4,0)),NA(),IF(SUMPRODUCT((Inputs!$A$5:$A$140=$B57)*ISNUMBER(INDEX(Inputs!$K$5:$AJ$140,0,MATCH(AJ$2,Inputs!$K$4:$AJ$4,0))))+SUMPRODUCT((Inputs!$C$5:$C$140=$B57)*ISNUMBER(INDEX(Inputs!$K$5:$AJ$140,0,MATCH(AJ$2,Inputs!$K$4:$AJ$4,0))))+SUMPRODUCT((Inputs!$E$5:$E$140=$B57)*ISNUMBER(INDEX(Inputs!$K$5:$AJ$140,0,MATCH(AJ$2,Inputs!$K$4:$AJ$4,0))))=0,NA(),SUMPRODUCT((Inputs!$A$5:$A$140=$B57)*Inputs!$B$5:$B$140*(((Inputs!$G$5:$G$140="moeda")+(Inputs!$G$5:$G$140="acoes"))*Inputs!$B$1+((Inputs!$G$5:$G$140&lt;&gt;"moeda")*(Inputs!$G$5:$G$140&lt;&gt;"acoes")))*INDEX(Inputs!$K$5:$AJ$140,0,MATCH(AJ$2,Inputs!$K$4:$AJ$4,0)))+SUMPRODUCT((Inputs!$C$5:$C$140=$B57)*Inputs!$D$5:$D$140*(((Inputs!$G$5:$G$140="moeda")+(Inputs!$G$5:$G$140="acoes"))*Inputs!$B$1+((Inputs!$G$5:$G$140&lt;&gt;"moeda")*(Inputs!$G$5:$G$140&lt;&gt;"acoes")))*INDEX(Inputs!$K$5:$AJ$140,0,MATCH(AJ$2,Inputs!$K$4:$AJ$4,0)))+SUMPRODUCT((Inputs!$E$5:$E$140=$B57)*Inputs!$F$5:$F$140*(((Inputs!$G$5:$G$140="moeda")+(Inputs!$G$5:$G$140="acoes"))*Inputs!$B$1+((Inputs!$G$5:$G$140&lt;&gt;"moeda")*(Inputs!$G$5:$G$140&lt;&gt;"acoes")))*INDEX(Inputs!$K$5:$AJ$140,0,MATCH(AJ$2,Inputs!$K$4:$AJ$4,0)))))</f>
        <v>467.432943</v>
      </c>
      <c r="AK57" s="262">
        <f>IF(ISNA(MATCH(AK$2,Inputs!$K$4:$AJ$4,0)),NA(),IF(SUMPRODUCT((Inputs!$A$5:$A$140=$B57)*ISNUMBER(INDEX(Inputs!$K$5:$AJ$140,0,MATCH(AK$2,Inputs!$K$4:$AJ$4,0))))+SUMPRODUCT((Inputs!$C$5:$C$140=$B57)*ISNUMBER(INDEX(Inputs!$K$5:$AJ$140,0,MATCH(AK$2,Inputs!$K$4:$AJ$4,0))))+SUMPRODUCT((Inputs!$E$5:$E$140=$B57)*ISNUMBER(INDEX(Inputs!$K$5:$AJ$140,0,MATCH(AK$2,Inputs!$K$4:$AJ$4,0))))=0,NA(),SUMPRODUCT((Inputs!$A$5:$A$140=$B57)*Inputs!$B$5:$B$140*(((Inputs!$G$5:$G$140="moeda")+(Inputs!$G$5:$G$140="acoes"))*Inputs!$B$1+((Inputs!$G$5:$G$140&lt;&gt;"moeda")*(Inputs!$G$5:$G$140&lt;&gt;"acoes")))*INDEX(Inputs!$K$5:$AJ$140,0,MATCH(AK$2,Inputs!$K$4:$AJ$4,0)))+SUMPRODUCT((Inputs!$C$5:$C$140=$B57)*Inputs!$D$5:$D$140*(((Inputs!$G$5:$G$140="moeda")+(Inputs!$G$5:$G$140="acoes"))*Inputs!$B$1+((Inputs!$G$5:$G$140&lt;&gt;"moeda")*(Inputs!$G$5:$G$140&lt;&gt;"acoes")))*INDEX(Inputs!$K$5:$AJ$140,0,MATCH(AK$2,Inputs!$K$4:$AJ$4,0)))+SUMPRODUCT((Inputs!$E$5:$E$140=$B57)*Inputs!$F$5:$F$140*(((Inputs!$G$5:$G$140="moeda")+(Inputs!$G$5:$G$140="acoes"))*Inputs!$B$1+((Inputs!$G$5:$G$140&lt;&gt;"moeda")*(Inputs!$G$5:$G$140&lt;&gt;"acoes")))*INDEX(Inputs!$K$5:$AJ$140,0,MATCH(AK$2,Inputs!$K$4:$AJ$4,0)))))</f>
        <v>448.160527</v>
      </c>
      <c r="AL57" s="263">
        <f>SUM(AH57:AK57)</f>
        <v>1528.693368</v>
      </c>
    </row>
    <row r="58">
      <c r="B58" s="46" t="n">
        <v>50</v>
      </c>
      <c r="C58" s="29" t="inlineStr">
        <is>
          <t>Distratos - VGV (R$ mil; l.23; positivo na fonte)</t>
        </is>
      </c>
      <c r="D58" s="262">
        <f>IF(ISNA(MATCH(D$2,Inputs!$K$4:$AJ$4,0)),NA(),IF(SUMPRODUCT((Inputs!$A$5:$A$140=$B58)*ISNUMBER(INDEX(Inputs!$K$5:$AJ$140,0,MATCH(D$2,Inputs!$K$4:$AJ$4,0))))+SUMPRODUCT((Inputs!$C$5:$C$140=$B58)*ISNUMBER(INDEX(Inputs!$K$5:$AJ$140,0,MATCH(D$2,Inputs!$K$4:$AJ$4,0))))+SUMPRODUCT((Inputs!$E$5:$E$140=$B58)*ISNUMBER(INDEX(Inputs!$K$5:$AJ$140,0,MATCH(D$2,Inputs!$K$4:$AJ$4,0))))=0,NA(),SUMPRODUCT((Inputs!$A$5:$A$140=$B58)*Inputs!$B$5:$B$140*(((Inputs!$G$5:$G$140="moeda")+(Inputs!$G$5:$G$140="acoes"))*Inputs!$B$1+((Inputs!$G$5:$G$140&lt;&gt;"moeda")*(Inputs!$G$5:$G$140&lt;&gt;"acoes")))*INDEX(Inputs!$K$5:$AJ$140,0,MATCH(D$2,Inputs!$K$4:$AJ$4,0)))+SUMPRODUCT((Inputs!$C$5:$C$140=$B58)*Inputs!$D$5:$D$140*(((Inputs!$G$5:$G$140="moeda")+(Inputs!$G$5:$G$140="acoes"))*Inputs!$B$1+((Inputs!$G$5:$G$140&lt;&gt;"moeda")*(Inputs!$G$5:$G$140&lt;&gt;"acoes")))*INDEX(Inputs!$K$5:$AJ$140,0,MATCH(D$2,Inputs!$K$4:$AJ$4,0)))+SUMPRODUCT((Inputs!$E$5:$E$140=$B58)*Inputs!$F$5:$F$140*(((Inputs!$G$5:$G$140="moeda")+(Inputs!$G$5:$G$140="acoes"))*Inputs!$B$1+((Inputs!$G$5:$G$140&lt;&gt;"moeda")*(Inputs!$G$5:$G$140&lt;&gt;"acoes")))*INDEX(Inputs!$K$5:$AJ$140,0,MATCH(D$2,Inputs!$K$4:$AJ$4,0)))))</f>
        <v>43.1452657</v>
      </c>
      <c r="E58" s="262">
        <f>IF(ISNA(MATCH(E$2,Inputs!$K$4:$AJ$4,0)),NA(),IF(SUMPRODUCT((Inputs!$A$5:$A$140=$B58)*ISNUMBER(INDEX(Inputs!$K$5:$AJ$140,0,MATCH(E$2,Inputs!$K$4:$AJ$4,0))))+SUMPRODUCT((Inputs!$C$5:$C$140=$B58)*ISNUMBER(INDEX(Inputs!$K$5:$AJ$140,0,MATCH(E$2,Inputs!$K$4:$AJ$4,0))))+SUMPRODUCT((Inputs!$E$5:$E$140=$B58)*ISNUMBER(INDEX(Inputs!$K$5:$AJ$140,0,MATCH(E$2,Inputs!$K$4:$AJ$4,0))))=0,NA(),SUMPRODUCT((Inputs!$A$5:$A$140=$B58)*Inputs!$B$5:$B$140*(((Inputs!$G$5:$G$140="moeda")+(Inputs!$G$5:$G$140="acoes"))*Inputs!$B$1+((Inputs!$G$5:$G$140&lt;&gt;"moeda")*(Inputs!$G$5:$G$140&lt;&gt;"acoes")))*INDEX(Inputs!$K$5:$AJ$140,0,MATCH(E$2,Inputs!$K$4:$AJ$4,0)))+SUMPRODUCT((Inputs!$C$5:$C$140=$B58)*Inputs!$D$5:$D$140*(((Inputs!$G$5:$G$140="moeda")+(Inputs!$G$5:$G$140="acoes"))*Inputs!$B$1+((Inputs!$G$5:$G$140&lt;&gt;"moeda")*(Inputs!$G$5:$G$140&lt;&gt;"acoes")))*INDEX(Inputs!$K$5:$AJ$140,0,MATCH(E$2,Inputs!$K$4:$AJ$4,0)))+SUMPRODUCT((Inputs!$E$5:$E$140=$B58)*Inputs!$F$5:$F$140*(((Inputs!$G$5:$G$140="moeda")+(Inputs!$G$5:$G$140="acoes"))*Inputs!$B$1+((Inputs!$G$5:$G$140&lt;&gt;"moeda")*(Inputs!$G$5:$G$140&lt;&gt;"acoes")))*INDEX(Inputs!$K$5:$AJ$140,0,MATCH(E$2,Inputs!$K$4:$AJ$4,0)))))</f>
        <v>53.89071489</v>
      </c>
      <c r="F58" s="262">
        <f>IF(ISNA(MATCH(F$2,Inputs!$K$4:$AJ$4,0)),NA(),IF(SUMPRODUCT((Inputs!$A$5:$A$140=$B58)*ISNUMBER(INDEX(Inputs!$K$5:$AJ$140,0,MATCH(F$2,Inputs!$K$4:$AJ$4,0))))+SUMPRODUCT((Inputs!$C$5:$C$140=$B58)*ISNUMBER(INDEX(Inputs!$K$5:$AJ$140,0,MATCH(F$2,Inputs!$K$4:$AJ$4,0))))+SUMPRODUCT((Inputs!$E$5:$E$140=$B58)*ISNUMBER(INDEX(Inputs!$K$5:$AJ$140,0,MATCH(F$2,Inputs!$K$4:$AJ$4,0))))=0,NA(),SUMPRODUCT((Inputs!$A$5:$A$140=$B58)*Inputs!$B$5:$B$140*(((Inputs!$G$5:$G$140="moeda")+(Inputs!$G$5:$G$140="acoes"))*Inputs!$B$1+((Inputs!$G$5:$G$140&lt;&gt;"moeda")*(Inputs!$G$5:$G$140&lt;&gt;"acoes")))*INDEX(Inputs!$K$5:$AJ$140,0,MATCH(F$2,Inputs!$K$4:$AJ$4,0)))+SUMPRODUCT((Inputs!$C$5:$C$140=$B58)*Inputs!$D$5:$D$140*(((Inputs!$G$5:$G$140="moeda")+(Inputs!$G$5:$G$140="acoes"))*Inputs!$B$1+((Inputs!$G$5:$G$140&lt;&gt;"moeda")*(Inputs!$G$5:$G$140&lt;&gt;"acoes")))*INDEX(Inputs!$K$5:$AJ$140,0,MATCH(F$2,Inputs!$K$4:$AJ$4,0)))+SUMPRODUCT((Inputs!$E$5:$E$140=$B58)*Inputs!$F$5:$F$140*(((Inputs!$G$5:$G$140="moeda")+(Inputs!$G$5:$G$140="acoes"))*Inputs!$B$1+((Inputs!$G$5:$G$140&lt;&gt;"moeda")*(Inputs!$G$5:$G$140&lt;&gt;"acoes")))*INDEX(Inputs!$K$5:$AJ$140,0,MATCH(F$2,Inputs!$K$4:$AJ$4,0)))))</f>
        <v>66.33128407</v>
      </c>
      <c r="G58" s="262">
        <f>IF(ISNA(MATCH(G$2,Inputs!$K$4:$AJ$4,0)),NA(),IF(SUMPRODUCT((Inputs!$A$5:$A$140=$B58)*ISNUMBER(INDEX(Inputs!$K$5:$AJ$140,0,MATCH(G$2,Inputs!$K$4:$AJ$4,0))))+SUMPRODUCT((Inputs!$C$5:$C$140=$B58)*ISNUMBER(INDEX(Inputs!$K$5:$AJ$140,0,MATCH(G$2,Inputs!$K$4:$AJ$4,0))))+SUMPRODUCT((Inputs!$E$5:$E$140=$B58)*ISNUMBER(INDEX(Inputs!$K$5:$AJ$140,0,MATCH(G$2,Inputs!$K$4:$AJ$4,0))))=0,NA(),SUMPRODUCT((Inputs!$A$5:$A$140=$B58)*Inputs!$B$5:$B$140*(((Inputs!$G$5:$G$140="moeda")+(Inputs!$G$5:$G$140="acoes"))*Inputs!$B$1+((Inputs!$G$5:$G$140&lt;&gt;"moeda")*(Inputs!$G$5:$G$140&lt;&gt;"acoes")))*INDEX(Inputs!$K$5:$AJ$140,0,MATCH(G$2,Inputs!$K$4:$AJ$4,0)))+SUMPRODUCT((Inputs!$C$5:$C$140=$B58)*Inputs!$D$5:$D$140*(((Inputs!$G$5:$G$140="moeda")+(Inputs!$G$5:$G$140="acoes"))*Inputs!$B$1+((Inputs!$G$5:$G$140&lt;&gt;"moeda")*(Inputs!$G$5:$G$140&lt;&gt;"acoes")))*INDEX(Inputs!$K$5:$AJ$140,0,MATCH(G$2,Inputs!$K$4:$AJ$4,0)))+SUMPRODUCT((Inputs!$E$5:$E$140=$B58)*Inputs!$F$5:$F$140*(((Inputs!$G$5:$G$140="moeda")+(Inputs!$G$5:$G$140="acoes"))*Inputs!$B$1+((Inputs!$G$5:$G$140&lt;&gt;"moeda")*(Inputs!$G$5:$G$140&lt;&gt;"acoes")))*INDEX(Inputs!$K$5:$AJ$140,0,MATCH(G$2,Inputs!$K$4:$AJ$4,0)))))</f>
        <v>60.32768256</v>
      </c>
      <c r="H58" s="263">
        <f>SUM(D58:G58)</f>
        <v>223.69494722</v>
      </c>
      <c r="I58" s="262">
        <f>IF(ISNA(MATCH(I$2,Inputs!$K$4:$AJ$4,0)),NA(),IF(SUMPRODUCT((Inputs!$A$5:$A$140=$B58)*ISNUMBER(INDEX(Inputs!$K$5:$AJ$140,0,MATCH(I$2,Inputs!$K$4:$AJ$4,0))))+SUMPRODUCT((Inputs!$C$5:$C$140=$B58)*ISNUMBER(INDEX(Inputs!$K$5:$AJ$140,0,MATCH(I$2,Inputs!$K$4:$AJ$4,0))))+SUMPRODUCT((Inputs!$E$5:$E$140=$B58)*ISNUMBER(INDEX(Inputs!$K$5:$AJ$140,0,MATCH(I$2,Inputs!$K$4:$AJ$4,0))))=0,NA(),SUMPRODUCT((Inputs!$A$5:$A$140=$B58)*Inputs!$B$5:$B$140*(((Inputs!$G$5:$G$140="moeda")+(Inputs!$G$5:$G$140="acoes"))*Inputs!$B$1+((Inputs!$G$5:$G$140&lt;&gt;"moeda")*(Inputs!$G$5:$G$140&lt;&gt;"acoes")))*INDEX(Inputs!$K$5:$AJ$140,0,MATCH(I$2,Inputs!$K$4:$AJ$4,0)))+SUMPRODUCT((Inputs!$C$5:$C$140=$B58)*Inputs!$D$5:$D$140*(((Inputs!$G$5:$G$140="moeda")+(Inputs!$G$5:$G$140="acoes"))*Inputs!$B$1+((Inputs!$G$5:$G$140&lt;&gt;"moeda")*(Inputs!$G$5:$G$140&lt;&gt;"acoes")))*INDEX(Inputs!$K$5:$AJ$140,0,MATCH(I$2,Inputs!$K$4:$AJ$4,0)))+SUMPRODUCT((Inputs!$E$5:$E$140=$B58)*Inputs!$F$5:$F$140*(((Inputs!$G$5:$G$140="moeda")+(Inputs!$G$5:$G$140="acoes"))*Inputs!$B$1+((Inputs!$G$5:$G$140&lt;&gt;"moeda")*(Inputs!$G$5:$G$140&lt;&gt;"acoes")))*INDEX(Inputs!$K$5:$AJ$140,0,MATCH(I$2,Inputs!$K$4:$AJ$4,0)))))</f>
        <v>59.37404232</v>
      </c>
      <c r="J58" s="262">
        <f>IF(ISNA(MATCH(J$2,Inputs!$K$4:$AJ$4,0)),NA(),IF(SUMPRODUCT((Inputs!$A$5:$A$140=$B58)*ISNUMBER(INDEX(Inputs!$K$5:$AJ$140,0,MATCH(J$2,Inputs!$K$4:$AJ$4,0))))+SUMPRODUCT((Inputs!$C$5:$C$140=$B58)*ISNUMBER(INDEX(Inputs!$K$5:$AJ$140,0,MATCH(J$2,Inputs!$K$4:$AJ$4,0))))+SUMPRODUCT((Inputs!$E$5:$E$140=$B58)*ISNUMBER(INDEX(Inputs!$K$5:$AJ$140,0,MATCH(J$2,Inputs!$K$4:$AJ$4,0))))=0,NA(),SUMPRODUCT((Inputs!$A$5:$A$140=$B58)*Inputs!$B$5:$B$140*(((Inputs!$G$5:$G$140="moeda")+(Inputs!$G$5:$G$140="acoes"))*Inputs!$B$1+((Inputs!$G$5:$G$140&lt;&gt;"moeda")*(Inputs!$G$5:$G$140&lt;&gt;"acoes")))*INDEX(Inputs!$K$5:$AJ$140,0,MATCH(J$2,Inputs!$K$4:$AJ$4,0)))+SUMPRODUCT((Inputs!$C$5:$C$140=$B58)*Inputs!$D$5:$D$140*(((Inputs!$G$5:$G$140="moeda")+(Inputs!$G$5:$G$140="acoes"))*Inputs!$B$1+((Inputs!$G$5:$G$140&lt;&gt;"moeda")*(Inputs!$G$5:$G$140&lt;&gt;"acoes")))*INDEX(Inputs!$K$5:$AJ$140,0,MATCH(J$2,Inputs!$K$4:$AJ$4,0)))+SUMPRODUCT((Inputs!$E$5:$E$140=$B58)*Inputs!$F$5:$F$140*(((Inputs!$G$5:$G$140="moeda")+(Inputs!$G$5:$G$140="acoes"))*Inputs!$B$1+((Inputs!$G$5:$G$140&lt;&gt;"moeda")*(Inputs!$G$5:$G$140&lt;&gt;"acoes")))*INDEX(Inputs!$K$5:$AJ$140,0,MATCH(J$2,Inputs!$K$4:$AJ$4,0)))))</f>
        <v>89.93535754</v>
      </c>
      <c r="K58" s="262">
        <f>IF(ISNA(MATCH(K$2,Inputs!$K$4:$AJ$4,0)),NA(),IF(SUMPRODUCT((Inputs!$A$5:$A$140=$B58)*ISNUMBER(INDEX(Inputs!$K$5:$AJ$140,0,MATCH(K$2,Inputs!$K$4:$AJ$4,0))))+SUMPRODUCT((Inputs!$C$5:$C$140=$B58)*ISNUMBER(INDEX(Inputs!$K$5:$AJ$140,0,MATCH(K$2,Inputs!$K$4:$AJ$4,0))))+SUMPRODUCT((Inputs!$E$5:$E$140=$B58)*ISNUMBER(INDEX(Inputs!$K$5:$AJ$140,0,MATCH(K$2,Inputs!$K$4:$AJ$4,0))))=0,NA(),SUMPRODUCT((Inputs!$A$5:$A$140=$B58)*Inputs!$B$5:$B$140*(((Inputs!$G$5:$G$140="moeda")+(Inputs!$G$5:$G$140="acoes"))*Inputs!$B$1+((Inputs!$G$5:$G$140&lt;&gt;"moeda")*(Inputs!$G$5:$G$140&lt;&gt;"acoes")))*INDEX(Inputs!$K$5:$AJ$140,0,MATCH(K$2,Inputs!$K$4:$AJ$4,0)))+SUMPRODUCT((Inputs!$C$5:$C$140=$B58)*Inputs!$D$5:$D$140*(((Inputs!$G$5:$G$140="moeda")+(Inputs!$G$5:$G$140="acoes"))*Inputs!$B$1+((Inputs!$G$5:$G$140&lt;&gt;"moeda")*(Inputs!$G$5:$G$140&lt;&gt;"acoes")))*INDEX(Inputs!$K$5:$AJ$140,0,MATCH(K$2,Inputs!$K$4:$AJ$4,0)))+SUMPRODUCT((Inputs!$E$5:$E$140=$B58)*Inputs!$F$5:$F$140*(((Inputs!$G$5:$G$140="moeda")+(Inputs!$G$5:$G$140="acoes"))*Inputs!$B$1+((Inputs!$G$5:$G$140&lt;&gt;"moeda")*(Inputs!$G$5:$G$140&lt;&gt;"acoes")))*INDEX(Inputs!$K$5:$AJ$140,0,MATCH(K$2,Inputs!$K$4:$AJ$4,0)))))</f>
        <v>81.43070051</v>
      </c>
      <c r="L58" s="262">
        <f>IF(ISNA(MATCH(L$2,Inputs!$K$4:$AJ$4,0)),NA(),IF(SUMPRODUCT((Inputs!$A$5:$A$140=$B58)*ISNUMBER(INDEX(Inputs!$K$5:$AJ$140,0,MATCH(L$2,Inputs!$K$4:$AJ$4,0))))+SUMPRODUCT((Inputs!$C$5:$C$140=$B58)*ISNUMBER(INDEX(Inputs!$K$5:$AJ$140,0,MATCH(L$2,Inputs!$K$4:$AJ$4,0))))+SUMPRODUCT((Inputs!$E$5:$E$140=$B58)*ISNUMBER(INDEX(Inputs!$K$5:$AJ$140,0,MATCH(L$2,Inputs!$K$4:$AJ$4,0))))=0,NA(),SUMPRODUCT((Inputs!$A$5:$A$140=$B58)*Inputs!$B$5:$B$140*(((Inputs!$G$5:$G$140="moeda")+(Inputs!$G$5:$G$140="acoes"))*Inputs!$B$1+((Inputs!$G$5:$G$140&lt;&gt;"moeda")*(Inputs!$G$5:$G$140&lt;&gt;"acoes")))*INDEX(Inputs!$K$5:$AJ$140,0,MATCH(L$2,Inputs!$K$4:$AJ$4,0)))+SUMPRODUCT((Inputs!$C$5:$C$140=$B58)*Inputs!$D$5:$D$140*(((Inputs!$G$5:$G$140="moeda")+(Inputs!$G$5:$G$140="acoes"))*Inputs!$B$1+((Inputs!$G$5:$G$140&lt;&gt;"moeda")*(Inputs!$G$5:$G$140&lt;&gt;"acoes")))*INDEX(Inputs!$K$5:$AJ$140,0,MATCH(L$2,Inputs!$K$4:$AJ$4,0)))+SUMPRODUCT((Inputs!$E$5:$E$140=$B58)*Inputs!$F$5:$F$140*(((Inputs!$G$5:$G$140="moeda")+(Inputs!$G$5:$G$140="acoes"))*Inputs!$B$1+((Inputs!$G$5:$G$140&lt;&gt;"moeda")*(Inputs!$G$5:$G$140&lt;&gt;"acoes")))*INDEX(Inputs!$K$5:$AJ$140,0,MATCH(L$2,Inputs!$K$4:$AJ$4,0)))))</f>
        <v>82.44907224</v>
      </c>
      <c r="M58" s="263">
        <f>SUM(I58:L58)</f>
        <v>313.18917261</v>
      </c>
      <c r="N58" s="262">
        <f>IF(ISNA(MATCH(N$2,Inputs!$K$4:$AJ$4,0)),NA(),IF(SUMPRODUCT((Inputs!$A$5:$A$140=$B58)*ISNUMBER(INDEX(Inputs!$K$5:$AJ$140,0,MATCH(N$2,Inputs!$K$4:$AJ$4,0))))+SUMPRODUCT((Inputs!$C$5:$C$140=$B58)*ISNUMBER(INDEX(Inputs!$K$5:$AJ$140,0,MATCH(N$2,Inputs!$K$4:$AJ$4,0))))+SUMPRODUCT((Inputs!$E$5:$E$140=$B58)*ISNUMBER(INDEX(Inputs!$K$5:$AJ$140,0,MATCH(N$2,Inputs!$K$4:$AJ$4,0))))=0,NA(),SUMPRODUCT((Inputs!$A$5:$A$140=$B58)*Inputs!$B$5:$B$140*(((Inputs!$G$5:$G$140="moeda")+(Inputs!$G$5:$G$140="acoes"))*Inputs!$B$1+((Inputs!$G$5:$G$140&lt;&gt;"moeda")*(Inputs!$G$5:$G$140&lt;&gt;"acoes")))*INDEX(Inputs!$K$5:$AJ$140,0,MATCH(N$2,Inputs!$K$4:$AJ$4,0)))+SUMPRODUCT((Inputs!$C$5:$C$140=$B58)*Inputs!$D$5:$D$140*(((Inputs!$G$5:$G$140="moeda")+(Inputs!$G$5:$G$140="acoes"))*Inputs!$B$1+((Inputs!$G$5:$G$140&lt;&gt;"moeda")*(Inputs!$G$5:$G$140&lt;&gt;"acoes")))*INDEX(Inputs!$K$5:$AJ$140,0,MATCH(N$2,Inputs!$K$4:$AJ$4,0)))+SUMPRODUCT((Inputs!$E$5:$E$140=$B58)*Inputs!$F$5:$F$140*(((Inputs!$G$5:$G$140="moeda")+(Inputs!$G$5:$G$140="acoes"))*Inputs!$B$1+((Inputs!$G$5:$G$140&lt;&gt;"moeda")*(Inputs!$G$5:$G$140&lt;&gt;"acoes")))*INDEX(Inputs!$K$5:$AJ$140,0,MATCH(N$2,Inputs!$K$4:$AJ$4,0)))))</f>
        <v>85.14504427</v>
      </c>
      <c r="O58" s="262">
        <f>IF(ISNA(MATCH(O$2,Inputs!$K$4:$AJ$4,0)),NA(),IF(SUMPRODUCT((Inputs!$A$5:$A$140=$B58)*ISNUMBER(INDEX(Inputs!$K$5:$AJ$140,0,MATCH(O$2,Inputs!$K$4:$AJ$4,0))))+SUMPRODUCT((Inputs!$C$5:$C$140=$B58)*ISNUMBER(INDEX(Inputs!$K$5:$AJ$140,0,MATCH(O$2,Inputs!$K$4:$AJ$4,0))))+SUMPRODUCT((Inputs!$E$5:$E$140=$B58)*ISNUMBER(INDEX(Inputs!$K$5:$AJ$140,0,MATCH(O$2,Inputs!$K$4:$AJ$4,0))))=0,NA(),SUMPRODUCT((Inputs!$A$5:$A$140=$B58)*Inputs!$B$5:$B$140*(((Inputs!$G$5:$G$140="moeda")+(Inputs!$G$5:$G$140="acoes"))*Inputs!$B$1+((Inputs!$G$5:$G$140&lt;&gt;"moeda")*(Inputs!$G$5:$G$140&lt;&gt;"acoes")))*INDEX(Inputs!$K$5:$AJ$140,0,MATCH(O$2,Inputs!$K$4:$AJ$4,0)))+SUMPRODUCT((Inputs!$C$5:$C$140=$B58)*Inputs!$D$5:$D$140*(((Inputs!$G$5:$G$140="moeda")+(Inputs!$G$5:$G$140="acoes"))*Inputs!$B$1+((Inputs!$G$5:$G$140&lt;&gt;"moeda")*(Inputs!$G$5:$G$140&lt;&gt;"acoes")))*INDEX(Inputs!$K$5:$AJ$140,0,MATCH(O$2,Inputs!$K$4:$AJ$4,0)))+SUMPRODUCT((Inputs!$E$5:$E$140=$B58)*Inputs!$F$5:$F$140*(((Inputs!$G$5:$G$140="moeda")+(Inputs!$G$5:$G$140="acoes"))*Inputs!$B$1+((Inputs!$G$5:$G$140&lt;&gt;"moeda")*(Inputs!$G$5:$G$140&lt;&gt;"acoes")))*INDEX(Inputs!$K$5:$AJ$140,0,MATCH(O$2,Inputs!$K$4:$AJ$4,0)))))</f>
        <v>148.317923</v>
      </c>
      <c r="P58" s="262">
        <f>IF(ISNA(MATCH(P$2,Inputs!$K$4:$AJ$4,0)),NA(),IF(SUMPRODUCT((Inputs!$A$5:$A$140=$B58)*ISNUMBER(INDEX(Inputs!$K$5:$AJ$140,0,MATCH(P$2,Inputs!$K$4:$AJ$4,0))))+SUMPRODUCT((Inputs!$C$5:$C$140=$B58)*ISNUMBER(INDEX(Inputs!$K$5:$AJ$140,0,MATCH(P$2,Inputs!$K$4:$AJ$4,0))))+SUMPRODUCT((Inputs!$E$5:$E$140=$B58)*ISNUMBER(INDEX(Inputs!$K$5:$AJ$140,0,MATCH(P$2,Inputs!$K$4:$AJ$4,0))))=0,NA(),SUMPRODUCT((Inputs!$A$5:$A$140=$B58)*Inputs!$B$5:$B$140*(((Inputs!$G$5:$G$140="moeda")+(Inputs!$G$5:$G$140="acoes"))*Inputs!$B$1+((Inputs!$G$5:$G$140&lt;&gt;"moeda")*(Inputs!$G$5:$G$140&lt;&gt;"acoes")))*INDEX(Inputs!$K$5:$AJ$140,0,MATCH(P$2,Inputs!$K$4:$AJ$4,0)))+SUMPRODUCT((Inputs!$C$5:$C$140=$B58)*Inputs!$D$5:$D$140*(((Inputs!$G$5:$G$140="moeda")+(Inputs!$G$5:$G$140="acoes"))*Inputs!$B$1+((Inputs!$G$5:$G$140&lt;&gt;"moeda")*(Inputs!$G$5:$G$140&lt;&gt;"acoes")))*INDEX(Inputs!$K$5:$AJ$140,0,MATCH(P$2,Inputs!$K$4:$AJ$4,0)))+SUMPRODUCT((Inputs!$E$5:$E$140=$B58)*Inputs!$F$5:$F$140*(((Inputs!$G$5:$G$140="moeda")+(Inputs!$G$5:$G$140="acoes"))*Inputs!$B$1+((Inputs!$G$5:$G$140&lt;&gt;"moeda")*(Inputs!$G$5:$G$140&lt;&gt;"acoes")))*INDEX(Inputs!$K$5:$AJ$140,0,MATCH(P$2,Inputs!$K$4:$AJ$4,0)))))</f>
        <v>181.6791671</v>
      </c>
      <c r="Q58" s="262">
        <f>IF(ISNA(MATCH(Q$2,Inputs!$K$4:$AJ$4,0)),NA(),IF(SUMPRODUCT((Inputs!$A$5:$A$140=$B58)*ISNUMBER(INDEX(Inputs!$K$5:$AJ$140,0,MATCH(Q$2,Inputs!$K$4:$AJ$4,0))))+SUMPRODUCT((Inputs!$C$5:$C$140=$B58)*ISNUMBER(INDEX(Inputs!$K$5:$AJ$140,0,MATCH(Q$2,Inputs!$K$4:$AJ$4,0))))+SUMPRODUCT((Inputs!$E$5:$E$140=$B58)*ISNUMBER(INDEX(Inputs!$K$5:$AJ$140,0,MATCH(Q$2,Inputs!$K$4:$AJ$4,0))))=0,NA(),SUMPRODUCT((Inputs!$A$5:$A$140=$B58)*Inputs!$B$5:$B$140*(((Inputs!$G$5:$G$140="moeda")+(Inputs!$G$5:$G$140="acoes"))*Inputs!$B$1+((Inputs!$G$5:$G$140&lt;&gt;"moeda")*(Inputs!$G$5:$G$140&lt;&gt;"acoes")))*INDEX(Inputs!$K$5:$AJ$140,0,MATCH(Q$2,Inputs!$K$4:$AJ$4,0)))+SUMPRODUCT((Inputs!$C$5:$C$140=$B58)*Inputs!$D$5:$D$140*(((Inputs!$G$5:$G$140="moeda")+(Inputs!$G$5:$G$140="acoes"))*Inputs!$B$1+((Inputs!$G$5:$G$140&lt;&gt;"moeda")*(Inputs!$G$5:$G$140&lt;&gt;"acoes")))*INDEX(Inputs!$K$5:$AJ$140,0,MATCH(Q$2,Inputs!$K$4:$AJ$4,0)))+SUMPRODUCT((Inputs!$E$5:$E$140=$B58)*Inputs!$F$5:$F$140*(((Inputs!$G$5:$G$140="moeda")+(Inputs!$G$5:$G$140="acoes"))*Inputs!$B$1+((Inputs!$G$5:$G$140&lt;&gt;"moeda")*(Inputs!$G$5:$G$140&lt;&gt;"acoes")))*INDEX(Inputs!$K$5:$AJ$140,0,MATCH(Q$2,Inputs!$K$4:$AJ$4,0)))))</f>
        <v>120.46253</v>
      </c>
      <c r="R58" s="263">
        <f>SUM(N58:Q58)</f>
        <v>535.60466437</v>
      </c>
      <c r="S58" s="262">
        <f>IF(ISNA(MATCH(S$2,Inputs!$K$4:$AJ$4,0)),NA(),IF(SUMPRODUCT((Inputs!$A$5:$A$140=$B58)*ISNUMBER(INDEX(Inputs!$K$5:$AJ$140,0,MATCH(S$2,Inputs!$K$4:$AJ$4,0))))+SUMPRODUCT((Inputs!$C$5:$C$140=$B58)*ISNUMBER(INDEX(Inputs!$K$5:$AJ$140,0,MATCH(S$2,Inputs!$K$4:$AJ$4,0))))+SUMPRODUCT((Inputs!$E$5:$E$140=$B58)*ISNUMBER(INDEX(Inputs!$K$5:$AJ$140,0,MATCH(S$2,Inputs!$K$4:$AJ$4,0))))=0,NA(),SUMPRODUCT((Inputs!$A$5:$A$140=$B58)*Inputs!$B$5:$B$140*(((Inputs!$G$5:$G$140="moeda")+(Inputs!$G$5:$G$140="acoes"))*Inputs!$B$1+((Inputs!$G$5:$G$140&lt;&gt;"moeda")*(Inputs!$G$5:$G$140&lt;&gt;"acoes")))*INDEX(Inputs!$K$5:$AJ$140,0,MATCH(S$2,Inputs!$K$4:$AJ$4,0)))+SUMPRODUCT((Inputs!$C$5:$C$140=$B58)*Inputs!$D$5:$D$140*(((Inputs!$G$5:$G$140="moeda")+(Inputs!$G$5:$G$140="acoes"))*Inputs!$B$1+((Inputs!$G$5:$G$140&lt;&gt;"moeda")*(Inputs!$G$5:$G$140&lt;&gt;"acoes")))*INDEX(Inputs!$K$5:$AJ$140,0,MATCH(S$2,Inputs!$K$4:$AJ$4,0)))+SUMPRODUCT((Inputs!$E$5:$E$140=$B58)*Inputs!$F$5:$F$140*(((Inputs!$G$5:$G$140="moeda")+(Inputs!$G$5:$G$140="acoes"))*Inputs!$B$1+((Inputs!$G$5:$G$140&lt;&gt;"moeda")*(Inputs!$G$5:$G$140&lt;&gt;"acoes")))*INDEX(Inputs!$K$5:$AJ$140,0,MATCH(S$2,Inputs!$K$4:$AJ$4,0)))))</f>
        <v>127.35359657</v>
      </c>
      <c r="T58" s="262">
        <f>IF(ISNA(MATCH(T$2,Inputs!$K$4:$AJ$4,0)),NA(),IF(SUMPRODUCT((Inputs!$A$5:$A$140=$B58)*ISNUMBER(INDEX(Inputs!$K$5:$AJ$140,0,MATCH(T$2,Inputs!$K$4:$AJ$4,0))))+SUMPRODUCT((Inputs!$C$5:$C$140=$B58)*ISNUMBER(INDEX(Inputs!$K$5:$AJ$140,0,MATCH(T$2,Inputs!$K$4:$AJ$4,0))))+SUMPRODUCT((Inputs!$E$5:$E$140=$B58)*ISNUMBER(INDEX(Inputs!$K$5:$AJ$140,0,MATCH(T$2,Inputs!$K$4:$AJ$4,0))))=0,NA(),SUMPRODUCT((Inputs!$A$5:$A$140=$B58)*Inputs!$B$5:$B$140*(((Inputs!$G$5:$G$140="moeda")+(Inputs!$G$5:$G$140="acoes"))*Inputs!$B$1+((Inputs!$G$5:$G$140&lt;&gt;"moeda")*(Inputs!$G$5:$G$140&lt;&gt;"acoes")))*INDEX(Inputs!$K$5:$AJ$140,0,MATCH(T$2,Inputs!$K$4:$AJ$4,0)))+SUMPRODUCT((Inputs!$C$5:$C$140=$B58)*Inputs!$D$5:$D$140*(((Inputs!$G$5:$G$140="moeda")+(Inputs!$G$5:$G$140="acoes"))*Inputs!$B$1+((Inputs!$G$5:$G$140&lt;&gt;"moeda")*(Inputs!$G$5:$G$140&lt;&gt;"acoes")))*INDEX(Inputs!$K$5:$AJ$140,0,MATCH(T$2,Inputs!$K$4:$AJ$4,0)))+SUMPRODUCT((Inputs!$E$5:$E$140=$B58)*Inputs!$F$5:$F$140*(((Inputs!$G$5:$G$140="moeda")+(Inputs!$G$5:$G$140="acoes"))*Inputs!$B$1+((Inputs!$G$5:$G$140&lt;&gt;"moeda")*(Inputs!$G$5:$G$140&lt;&gt;"acoes")))*INDEX(Inputs!$K$5:$AJ$140,0,MATCH(T$2,Inputs!$K$4:$AJ$4,0)))))</f>
        <v>176.98055782</v>
      </c>
      <c r="U58" s="262">
        <f>IF(ISNA(MATCH(U$2,Inputs!$K$4:$AJ$4,0)),NA(),IF(SUMPRODUCT((Inputs!$A$5:$A$140=$B58)*ISNUMBER(INDEX(Inputs!$K$5:$AJ$140,0,MATCH(U$2,Inputs!$K$4:$AJ$4,0))))+SUMPRODUCT((Inputs!$C$5:$C$140=$B58)*ISNUMBER(INDEX(Inputs!$K$5:$AJ$140,0,MATCH(U$2,Inputs!$K$4:$AJ$4,0))))+SUMPRODUCT((Inputs!$E$5:$E$140=$B58)*ISNUMBER(INDEX(Inputs!$K$5:$AJ$140,0,MATCH(U$2,Inputs!$K$4:$AJ$4,0))))=0,NA(),SUMPRODUCT((Inputs!$A$5:$A$140=$B58)*Inputs!$B$5:$B$140*(((Inputs!$G$5:$G$140="moeda")+(Inputs!$G$5:$G$140="acoes"))*Inputs!$B$1+((Inputs!$G$5:$G$140&lt;&gt;"moeda")*(Inputs!$G$5:$G$140&lt;&gt;"acoes")))*INDEX(Inputs!$K$5:$AJ$140,0,MATCH(U$2,Inputs!$K$4:$AJ$4,0)))+SUMPRODUCT((Inputs!$C$5:$C$140=$B58)*Inputs!$D$5:$D$140*(((Inputs!$G$5:$G$140="moeda")+(Inputs!$G$5:$G$140="acoes"))*Inputs!$B$1+((Inputs!$G$5:$G$140&lt;&gt;"moeda")*(Inputs!$G$5:$G$140&lt;&gt;"acoes")))*INDEX(Inputs!$K$5:$AJ$140,0,MATCH(U$2,Inputs!$K$4:$AJ$4,0)))+SUMPRODUCT((Inputs!$E$5:$E$140=$B58)*Inputs!$F$5:$F$140*(((Inputs!$G$5:$G$140="moeda")+(Inputs!$G$5:$G$140="acoes"))*Inputs!$B$1+((Inputs!$G$5:$G$140&lt;&gt;"moeda")*(Inputs!$G$5:$G$140&lt;&gt;"acoes")))*INDEX(Inputs!$K$5:$AJ$140,0,MATCH(U$2,Inputs!$K$4:$AJ$4,0)))))</f>
        <v>153.09</v>
      </c>
      <c r="V58" s="262">
        <f>IF(ISNA(MATCH(V$2,Inputs!$K$4:$AJ$4,0)),NA(),IF(SUMPRODUCT((Inputs!$A$5:$A$140=$B58)*ISNUMBER(INDEX(Inputs!$K$5:$AJ$140,0,MATCH(V$2,Inputs!$K$4:$AJ$4,0))))+SUMPRODUCT((Inputs!$C$5:$C$140=$B58)*ISNUMBER(INDEX(Inputs!$K$5:$AJ$140,0,MATCH(V$2,Inputs!$K$4:$AJ$4,0))))+SUMPRODUCT((Inputs!$E$5:$E$140=$B58)*ISNUMBER(INDEX(Inputs!$K$5:$AJ$140,0,MATCH(V$2,Inputs!$K$4:$AJ$4,0))))=0,NA(),SUMPRODUCT((Inputs!$A$5:$A$140=$B58)*Inputs!$B$5:$B$140*(((Inputs!$G$5:$G$140="moeda")+(Inputs!$G$5:$G$140="acoes"))*Inputs!$B$1+((Inputs!$G$5:$G$140&lt;&gt;"moeda")*(Inputs!$G$5:$G$140&lt;&gt;"acoes")))*INDEX(Inputs!$K$5:$AJ$140,0,MATCH(V$2,Inputs!$K$4:$AJ$4,0)))+SUMPRODUCT((Inputs!$C$5:$C$140=$B58)*Inputs!$D$5:$D$140*(((Inputs!$G$5:$G$140="moeda")+(Inputs!$G$5:$G$140="acoes"))*Inputs!$B$1+((Inputs!$G$5:$G$140&lt;&gt;"moeda")*(Inputs!$G$5:$G$140&lt;&gt;"acoes")))*INDEX(Inputs!$K$5:$AJ$140,0,MATCH(V$2,Inputs!$K$4:$AJ$4,0)))+SUMPRODUCT((Inputs!$E$5:$E$140=$B58)*Inputs!$F$5:$F$140*(((Inputs!$G$5:$G$140="moeda")+(Inputs!$G$5:$G$140="acoes"))*Inputs!$B$1+((Inputs!$G$5:$G$140&lt;&gt;"moeda")*(Inputs!$G$5:$G$140&lt;&gt;"acoes")))*INDEX(Inputs!$K$5:$AJ$140,0,MATCH(V$2,Inputs!$K$4:$AJ$4,0)))))</f>
        <v>107.255</v>
      </c>
      <c r="W58" s="263">
        <f>SUM(S58:V58)</f>
        <v>564.67915439</v>
      </c>
      <c r="X58" s="262">
        <f>IF(ISNA(MATCH(X$2,Inputs!$K$4:$AJ$4,0)),NA(),IF(SUMPRODUCT((Inputs!$A$5:$A$140=$B58)*ISNUMBER(INDEX(Inputs!$K$5:$AJ$140,0,MATCH(X$2,Inputs!$K$4:$AJ$4,0))))+SUMPRODUCT((Inputs!$C$5:$C$140=$B58)*ISNUMBER(INDEX(Inputs!$K$5:$AJ$140,0,MATCH(X$2,Inputs!$K$4:$AJ$4,0))))+SUMPRODUCT((Inputs!$E$5:$E$140=$B58)*ISNUMBER(INDEX(Inputs!$K$5:$AJ$140,0,MATCH(X$2,Inputs!$K$4:$AJ$4,0))))=0,NA(),SUMPRODUCT((Inputs!$A$5:$A$140=$B58)*Inputs!$B$5:$B$140*(((Inputs!$G$5:$G$140="moeda")+(Inputs!$G$5:$G$140="acoes"))*Inputs!$B$1+((Inputs!$G$5:$G$140&lt;&gt;"moeda")*(Inputs!$G$5:$G$140&lt;&gt;"acoes")))*INDEX(Inputs!$K$5:$AJ$140,0,MATCH(X$2,Inputs!$K$4:$AJ$4,0)))+SUMPRODUCT((Inputs!$C$5:$C$140=$B58)*Inputs!$D$5:$D$140*(((Inputs!$G$5:$G$140="moeda")+(Inputs!$G$5:$G$140="acoes"))*Inputs!$B$1+((Inputs!$G$5:$G$140&lt;&gt;"moeda")*(Inputs!$G$5:$G$140&lt;&gt;"acoes")))*INDEX(Inputs!$K$5:$AJ$140,0,MATCH(X$2,Inputs!$K$4:$AJ$4,0)))+SUMPRODUCT((Inputs!$E$5:$E$140=$B58)*Inputs!$F$5:$F$140*(((Inputs!$G$5:$G$140="moeda")+(Inputs!$G$5:$G$140="acoes"))*Inputs!$B$1+((Inputs!$G$5:$G$140&lt;&gt;"moeda")*(Inputs!$G$5:$G$140&lt;&gt;"acoes")))*INDEX(Inputs!$K$5:$AJ$140,0,MATCH(X$2,Inputs!$K$4:$AJ$4,0)))))</f>
        <v>119.83822794</v>
      </c>
      <c r="Y58" s="262">
        <f>IF(ISNA(MATCH(Y$2,Inputs!$K$4:$AJ$4,0)),NA(),IF(SUMPRODUCT((Inputs!$A$5:$A$140=$B58)*ISNUMBER(INDEX(Inputs!$K$5:$AJ$140,0,MATCH(Y$2,Inputs!$K$4:$AJ$4,0))))+SUMPRODUCT((Inputs!$C$5:$C$140=$B58)*ISNUMBER(INDEX(Inputs!$K$5:$AJ$140,0,MATCH(Y$2,Inputs!$K$4:$AJ$4,0))))+SUMPRODUCT((Inputs!$E$5:$E$140=$B58)*ISNUMBER(INDEX(Inputs!$K$5:$AJ$140,0,MATCH(Y$2,Inputs!$K$4:$AJ$4,0))))=0,NA(),SUMPRODUCT((Inputs!$A$5:$A$140=$B58)*Inputs!$B$5:$B$140*(((Inputs!$G$5:$G$140="moeda")+(Inputs!$G$5:$G$140="acoes"))*Inputs!$B$1+((Inputs!$G$5:$G$140&lt;&gt;"moeda")*(Inputs!$G$5:$G$140&lt;&gt;"acoes")))*INDEX(Inputs!$K$5:$AJ$140,0,MATCH(Y$2,Inputs!$K$4:$AJ$4,0)))+SUMPRODUCT((Inputs!$C$5:$C$140=$B58)*Inputs!$D$5:$D$140*(((Inputs!$G$5:$G$140="moeda")+(Inputs!$G$5:$G$140="acoes"))*Inputs!$B$1+((Inputs!$G$5:$G$140&lt;&gt;"moeda")*(Inputs!$G$5:$G$140&lt;&gt;"acoes")))*INDEX(Inputs!$K$5:$AJ$140,0,MATCH(Y$2,Inputs!$K$4:$AJ$4,0)))+SUMPRODUCT((Inputs!$E$5:$E$140=$B58)*Inputs!$F$5:$F$140*(((Inputs!$G$5:$G$140="moeda")+(Inputs!$G$5:$G$140="acoes"))*Inputs!$B$1+((Inputs!$G$5:$G$140&lt;&gt;"moeda")*(Inputs!$G$5:$G$140&lt;&gt;"acoes")))*INDEX(Inputs!$K$5:$AJ$140,0,MATCH(Y$2,Inputs!$K$4:$AJ$4,0)))))</f>
        <v>236.64165872</v>
      </c>
      <c r="Z58" s="262">
        <f>IF(ISNA(MATCH(Z$2,Inputs!$K$4:$AJ$4,0)),NA(),IF(SUMPRODUCT((Inputs!$A$5:$A$140=$B58)*ISNUMBER(INDEX(Inputs!$K$5:$AJ$140,0,MATCH(Z$2,Inputs!$K$4:$AJ$4,0))))+SUMPRODUCT((Inputs!$C$5:$C$140=$B58)*ISNUMBER(INDEX(Inputs!$K$5:$AJ$140,0,MATCH(Z$2,Inputs!$K$4:$AJ$4,0))))+SUMPRODUCT((Inputs!$E$5:$E$140=$B58)*ISNUMBER(INDEX(Inputs!$K$5:$AJ$140,0,MATCH(Z$2,Inputs!$K$4:$AJ$4,0))))=0,NA(),SUMPRODUCT((Inputs!$A$5:$A$140=$B58)*Inputs!$B$5:$B$140*(((Inputs!$G$5:$G$140="moeda")+(Inputs!$G$5:$G$140="acoes"))*Inputs!$B$1+((Inputs!$G$5:$G$140&lt;&gt;"moeda")*(Inputs!$G$5:$G$140&lt;&gt;"acoes")))*INDEX(Inputs!$K$5:$AJ$140,0,MATCH(Z$2,Inputs!$K$4:$AJ$4,0)))+SUMPRODUCT((Inputs!$C$5:$C$140=$B58)*Inputs!$D$5:$D$140*(((Inputs!$G$5:$G$140="moeda")+(Inputs!$G$5:$G$140="acoes"))*Inputs!$B$1+((Inputs!$G$5:$G$140&lt;&gt;"moeda")*(Inputs!$G$5:$G$140&lt;&gt;"acoes")))*INDEX(Inputs!$K$5:$AJ$140,0,MATCH(Z$2,Inputs!$K$4:$AJ$4,0)))+SUMPRODUCT((Inputs!$E$5:$E$140=$B58)*Inputs!$F$5:$F$140*(((Inputs!$G$5:$G$140="moeda")+(Inputs!$G$5:$G$140="acoes"))*Inputs!$B$1+((Inputs!$G$5:$G$140&lt;&gt;"moeda")*(Inputs!$G$5:$G$140&lt;&gt;"acoes")))*INDEX(Inputs!$K$5:$AJ$140,0,MATCH(Z$2,Inputs!$K$4:$AJ$4,0)))))</f>
        <v>224.841948</v>
      </c>
      <c r="AA58" s="262">
        <f>IF(ISNA(MATCH(AA$2,Inputs!$K$4:$AJ$4,0)),NA(),IF(SUMPRODUCT((Inputs!$A$5:$A$140=$B58)*ISNUMBER(INDEX(Inputs!$K$5:$AJ$140,0,MATCH(AA$2,Inputs!$K$4:$AJ$4,0))))+SUMPRODUCT((Inputs!$C$5:$C$140=$B58)*ISNUMBER(INDEX(Inputs!$K$5:$AJ$140,0,MATCH(AA$2,Inputs!$K$4:$AJ$4,0))))+SUMPRODUCT((Inputs!$E$5:$E$140=$B58)*ISNUMBER(INDEX(Inputs!$K$5:$AJ$140,0,MATCH(AA$2,Inputs!$K$4:$AJ$4,0))))=0,NA(),SUMPRODUCT((Inputs!$A$5:$A$140=$B58)*Inputs!$B$5:$B$140*(((Inputs!$G$5:$G$140="moeda")+(Inputs!$G$5:$G$140="acoes"))*Inputs!$B$1+((Inputs!$G$5:$G$140&lt;&gt;"moeda")*(Inputs!$G$5:$G$140&lt;&gt;"acoes")))*INDEX(Inputs!$K$5:$AJ$140,0,MATCH(AA$2,Inputs!$K$4:$AJ$4,0)))+SUMPRODUCT((Inputs!$C$5:$C$140=$B58)*Inputs!$D$5:$D$140*(((Inputs!$G$5:$G$140="moeda")+(Inputs!$G$5:$G$140="acoes"))*Inputs!$B$1+((Inputs!$G$5:$G$140&lt;&gt;"moeda")*(Inputs!$G$5:$G$140&lt;&gt;"acoes")))*INDEX(Inputs!$K$5:$AJ$140,0,MATCH(AA$2,Inputs!$K$4:$AJ$4,0)))+SUMPRODUCT((Inputs!$E$5:$E$140=$B58)*Inputs!$F$5:$F$140*(((Inputs!$G$5:$G$140="moeda")+(Inputs!$G$5:$G$140="acoes"))*Inputs!$B$1+((Inputs!$G$5:$G$140&lt;&gt;"moeda")*(Inputs!$G$5:$G$140&lt;&gt;"acoes")))*INDEX(Inputs!$K$5:$AJ$140,0,MATCH(AA$2,Inputs!$K$4:$AJ$4,0)))))</f>
        <v>157.73723287</v>
      </c>
      <c r="AB58" s="263">
        <f>SUM(X58:AA58)</f>
        <v>739.05906753</v>
      </c>
      <c r="AC58" s="262">
        <f>IF(ISNA(MATCH(AC$2,Inputs!$K$4:$AJ$4,0)),NA(),IF(SUMPRODUCT((Inputs!$A$5:$A$140=$B58)*ISNUMBER(INDEX(Inputs!$K$5:$AJ$140,0,MATCH(AC$2,Inputs!$K$4:$AJ$4,0))))+SUMPRODUCT((Inputs!$C$5:$C$140=$B58)*ISNUMBER(INDEX(Inputs!$K$5:$AJ$140,0,MATCH(AC$2,Inputs!$K$4:$AJ$4,0))))+SUMPRODUCT((Inputs!$E$5:$E$140=$B58)*ISNUMBER(INDEX(Inputs!$K$5:$AJ$140,0,MATCH(AC$2,Inputs!$K$4:$AJ$4,0))))=0,NA(),SUMPRODUCT((Inputs!$A$5:$A$140=$B58)*Inputs!$B$5:$B$140*(((Inputs!$G$5:$G$140="moeda")+(Inputs!$G$5:$G$140="acoes"))*Inputs!$B$1+((Inputs!$G$5:$G$140&lt;&gt;"moeda")*(Inputs!$G$5:$G$140&lt;&gt;"acoes")))*INDEX(Inputs!$K$5:$AJ$140,0,MATCH(AC$2,Inputs!$K$4:$AJ$4,0)))+SUMPRODUCT((Inputs!$C$5:$C$140=$B58)*Inputs!$D$5:$D$140*(((Inputs!$G$5:$G$140="moeda")+(Inputs!$G$5:$G$140="acoes"))*Inputs!$B$1+((Inputs!$G$5:$G$140&lt;&gt;"moeda")*(Inputs!$G$5:$G$140&lt;&gt;"acoes")))*INDEX(Inputs!$K$5:$AJ$140,0,MATCH(AC$2,Inputs!$K$4:$AJ$4,0)))+SUMPRODUCT((Inputs!$E$5:$E$140=$B58)*Inputs!$F$5:$F$140*(((Inputs!$G$5:$G$140="moeda")+(Inputs!$G$5:$G$140="acoes"))*Inputs!$B$1+((Inputs!$G$5:$G$140&lt;&gt;"moeda")*(Inputs!$G$5:$G$140&lt;&gt;"acoes")))*INDEX(Inputs!$K$5:$AJ$140,0,MATCH(AC$2,Inputs!$K$4:$AJ$4,0)))))</f>
        <v>229.25261925</v>
      </c>
      <c r="AD58" s="262">
        <f>IF(ISNA(MATCH(AD$2,Inputs!$K$4:$AJ$4,0)),NA(),IF(SUMPRODUCT((Inputs!$A$5:$A$140=$B58)*ISNUMBER(INDEX(Inputs!$K$5:$AJ$140,0,MATCH(AD$2,Inputs!$K$4:$AJ$4,0))))+SUMPRODUCT((Inputs!$C$5:$C$140=$B58)*ISNUMBER(INDEX(Inputs!$K$5:$AJ$140,0,MATCH(AD$2,Inputs!$K$4:$AJ$4,0))))+SUMPRODUCT((Inputs!$E$5:$E$140=$B58)*ISNUMBER(INDEX(Inputs!$K$5:$AJ$140,0,MATCH(AD$2,Inputs!$K$4:$AJ$4,0))))=0,NA(),SUMPRODUCT((Inputs!$A$5:$A$140=$B58)*Inputs!$B$5:$B$140*(((Inputs!$G$5:$G$140="moeda")+(Inputs!$G$5:$G$140="acoes"))*Inputs!$B$1+((Inputs!$G$5:$G$140&lt;&gt;"moeda")*(Inputs!$G$5:$G$140&lt;&gt;"acoes")))*INDEX(Inputs!$K$5:$AJ$140,0,MATCH(AD$2,Inputs!$K$4:$AJ$4,0)))+SUMPRODUCT((Inputs!$C$5:$C$140=$B58)*Inputs!$D$5:$D$140*(((Inputs!$G$5:$G$140="moeda")+(Inputs!$G$5:$G$140="acoes"))*Inputs!$B$1+((Inputs!$G$5:$G$140&lt;&gt;"moeda")*(Inputs!$G$5:$G$140&lt;&gt;"acoes")))*INDEX(Inputs!$K$5:$AJ$140,0,MATCH(AD$2,Inputs!$K$4:$AJ$4,0)))+SUMPRODUCT((Inputs!$E$5:$E$140=$B58)*Inputs!$F$5:$F$140*(((Inputs!$G$5:$G$140="moeda")+(Inputs!$G$5:$G$140="acoes"))*Inputs!$B$1+((Inputs!$G$5:$G$140&lt;&gt;"moeda")*(Inputs!$G$5:$G$140&lt;&gt;"acoes")))*INDEX(Inputs!$K$5:$AJ$140,0,MATCH(AD$2,Inputs!$K$4:$AJ$4,0)))))</f>
        <v>171.16195926</v>
      </c>
      <c r="AE58" s="262" t="e">
        <f>IF(ISNA(MATCH(AE$2,Inputs!$K$4:$AJ$4,0)),NA(),IF(SUMPRODUCT((Inputs!$A$5:$A$140=$B58)*ISNUMBER(INDEX(Inputs!$K$5:$AJ$140,0,MATCH(AE$2,Inputs!$K$4:$AJ$4,0))))+SUMPRODUCT((Inputs!$C$5:$C$140=$B58)*ISNUMBER(INDEX(Inputs!$K$5:$AJ$140,0,MATCH(AE$2,Inputs!$K$4:$AJ$4,0))))+SUMPRODUCT((Inputs!$E$5:$E$140=$B58)*ISNUMBER(INDEX(Inputs!$K$5:$AJ$140,0,MATCH(AE$2,Inputs!$K$4:$AJ$4,0))))=0,NA(),SUMPRODUCT((Inputs!$A$5:$A$140=$B58)*Inputs!$B$5:$B$140*(((Inputs!$G$5:$G$140="moeda")+(Inputs!$G$5:$G$140="acoes"))*Inputs!$B$1+((Inputs!$G$5:$G$140&lt;&gt;"moeda")*(Inputs!$G$5:$G$140&lt;&gt;"acoes")))*INDEX(Inputs!$K$5:$AJ$140,0,MATCH(AE$2,Inputs!$K$4:$AJ$4,0)))+SUMPRODUCT((Inputs!$C$5:$C$140=$B58)*Inputs!$D$5:$D$140*(((Inputs!$G$5:$G$140="moeda")+(Inputs!$G$5:$G$140="acoes"))*Inputs!$B$1+((Inputs!$G$5:$G$140&lt;&gt;"moeda")*(Inputs!$G$5:$G$140&lt;&gt;"acoes")))*INDEX(Inputs!$K$5:$AJ$140,0,MATCH(AE$2,Inputs!$K$4:$AJ$4,0)))+SUMPRODUCT((Inputs!$E$5:$E$140=$B58)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8" s="262" t="e">
        <f>IF(ISNA(MATCH(AF$2,Inputs!$K$4:$AJ$4,0)),NA(),IF(SUMPRODUCT((Inputs!$A$5:$A$140=$B58)*ISNUMBER(INDEX(Inputs!$K$5:$AJ$140,0,MATCH(AF$2,Inputs!$K$4:$AJ$4,0))))+SUMPRODUCT((Inputs!$C$5:$C$140=$B58)*ISNUMBER(INDEX(Inputs!$K$5:$AJ$140,0,MATCH(AF$2,Inputs!$K$4:$AJ$4,0))))+SUMPRODUCT((Inputs!$E$5:$E$140=$B58)*ISNUMBER(INDEX(Inputs!$K$5:$AJ$140,0,MATCH(AF$2,Inputs!$K$4:$AJ$4,0))))=0,NA(),SUMPRODUCT((Inputs!$A$5:$A$140=$B58)*Inputs!$B$5:$B$140*(((Inputs!$G$5:$G$140="moeda")+(Inputs!$G$5:$G$140="acoes"))*Inputs!$B$1+((Inputs!$G$5:$G$140&lt;&gt;"moeda")*(Inputs!$G$5:$G$140&lt;&gt;"acoes")))*INDEX(Inputs!$K$5:$AJ$140,0,MATCH(AF$2,Inputs!$K$4:$AJ$4,0)))+SUMPRODUCT((Inputs!$C$5:$C$140=$B58)*Inputs!$D$5:$D$140*(((Inputs!$G$5:$G$140="moeda")+(Inputs!$G$5:$G$140="acoes"))*Inputs!$B$1+((Inputs!$G$5:$G$140&lt;&gt;"moeda")*(Inputs!$G$5:$G$140&lt;&gt;"acoes")))*INDEX(Inputs!$K$5:$AJ$140,0,MATCH(AF$2,Inputs!$K$4:$AJ$4,0)))+SUMPRODUCT((Inputs!$E$5:$E$140=$B58)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8" s="263" t="e">
        <f>SUM(AC58:AF58)</f>
        <v>#N/A</v>
      </c>
      <c r="AH58" s="262">
        <f>IF(ISNA(MATCH(AH$2,Inputs!$K$4:$AJ$4,0)),NA(),IF(SUMPRODUCT((Inputs!$A$5:$A$140=$B58)*ISNUMBER(INDEX(Inputs!$K$5:$AJ$140,0,MATCH(AH$2,Inputs!$K$4:$AJ$4,0))))+SUMPRODUCT((Inputs!$C$5:$C$140=$B58)*ISNUMBER(INDEX(Inputs!$K$5:$AJ$140,0,MATCH(AH$2,Inputs!$K$4:$AJ$4,0))))+SUMPRODUCT((Inputs!$E$5:$E$140=$B58)*ISNUMBER(INDEX(Inputs!$K$5:$AJ$140,0,MATCH(AH$2,Inputs!$K$4:$AJ$4,0))))=0,NA(),SUMPRODUCT((Inputs!$A$5:$A$140=$B58)*Inputs!$B$5:$B$140*(((Inputs!$G$5:$G$140="moeda")+(Inputs!$G$5:$G$140="acoes"))*Inputs!$B$1+((Inputs!$G$5:$G$140&lt;&gt;"moeda")*(Inputs!$G$5:$G$140&lt;&gt;"acoes")))*INDEX(Inputs!$K$5:$AJ$140,0,MATCH(AH$2,Inputs!$K$4:$AJ$4,0)))+SUMPRODUCT((Inputs!$C$5:$C$140=$B58)*Inputs!$D$5:$D$140*(((Inputs!$G$5:$G$140="moeda")+(Inputs!$G$5:$G$140="acoes"))*Inputs!$B$1+((Inputs!$G$5:$G$140&lt;&gt;"moeda")*(Inputs!$G$5:$G$140&lt;&gt;"acoes")))*INDEX(Inputs!$K$5:$AJ$140,0,MATCH(AH$2,Inputs!$K$4:$AJ$4,0)))+SUMPRODUCT((Inputs!$E$5:$E$140=$B58)*Inputs!$F$5:$F$140*(((Inputs!$G$5:$G$140="moeda")+(Inputs!$G$5:$G$140="acoes"))*Inputs!$B$1+((Inputs!$G$5:$G$140&lt;&gt;"moeda")*(Inputs!$G$5:$G$140&lt;&gt;"acoes")))*INDEX(Inputs!$K$5:$AJ$140,0,MATCH(AH$2,Inputs!$K$4:$AJ$4,0)))))</f>
        <v>40.45226183</v>
      </c>
      <c r="AI58" s="262">
        <f>IF(ISNA(MATCH(AI$2,Inputs!$K$4:$AJ$4,0)),NA(),IF(SUMPRODUCT((Inputs!$A$5:$A$140=$B58)*ISNUMBER(INDEX(Inputs!$K$5:$AJ$140,0,MATCH(AI$2,Inputs!$K$4:$AJ$4,0))))+SUMPRODUCT((Inputs!$C$5:$C$140=$B58)*ISNUMBER(INDEX(Inputs!$K$5:$AJ$140,0,MATCH(AI$2,Inputs!$K$4:$AJ$4,0))))+SUMPRODUCT((Inputs!$E$5:$E$140=$B58)*ISNUMBER(INDEX(Inputs!$K$5:$AJ$140,0,MATCH(AI$2,Inputs!$K$4:$AJ$4,0))))=0,NA(),SUMPRODUCT((Inputs!$A$5:$A$140=$B58)*Inputs!$B$5:$B$140*(((Inputs!$G$5:$G$140="moeda")+(Inputs!$G$5:$G$140="acoes"))*Inputs!$B$1+((Inputs!$G$5:$G$140&lt;&gt;"moeda")*(Inputs!$G$5:$G$140&lt;&gt;"acoes")))*INDEX(Inputs!$K$5:$AJ$140,0,MATCH(AI$2,Inputs!$K$4:$AJ$4,0)))+SUMPRODUCT((Inputs!$C$5:$C$140=$B58)*Inputs!$D$5:$D$140*(((Inputs!$G$5:$G$140="moeda")+(Inputs!$G$5:$G$140="acoes"))*Inputs!$B$1+((Inputs!$G$5:$G$140&lt;&gt;"moeda")*(Inputs!$G$5:$G$140&lt;&gt;"acoes")))*INDEX(Inputs!$K$5:$AJ$140,0,MATCH(AI$2,Inputs!$K$4:$AJ$4,0)))+SUMPRODUCT((Inputs!$E$5:$E$140=$B58)*Inputs!$F$5:$F$140*(((Inputs!$G$5:$G$140="moeda")+(Inputs!$G$5:$G$140="acoes"))*Inputs!$B$1+((Inputs!$G$5:$G$140&lt;&gt;"moeda")*(Inputs!$G$5:$G$140&lt;&gt;"acoes")))*INDEX(Inputs!$K$5:$AJ$140,0,MATCH(AI$2,Inputs!$K$4:$AJ$4,0)))))</f>
        <v>41.68763892</v>
      </c>
      <c r="AJ58" s="262">
        <f>IF(ISNA(MATCH(AJ$2,Inputs!$K$4:$AJ$4,0)),NA(),IF(SUMPRODUCT((Inputs!$A$5:$A$140=$B58)*ISNUMBER(INDEX(Inputs!$K$5:$AJ$140,0,MATCH(AJ$2,Inputs!$K$4:$AJ$4,0))))+SUMPRODUCT((Inputs!$C$5:$C$140=$B58)*ISNUMBER(INDEX(Inputs!$K$5:$AJ$140,0,MATCH(AJ$2,Inputs!$K$4:$AJ$4,0))))+SUMPRODUCT((Inputs!$E$5:$E$140=$B58)*ISNUMBER(INDEX(Inputs!$K$5:$AJ$140,0,MATCH(AJ$2,Inputs!$K$4:$AJ$4,0))))=0,NA(),SUMPRODUCT((Inputs!$A$5:$A$140=$B58)*Inputs!$B$5:$B$140*(((Inputs!$G$5:$G$140="moeda")+(Inputs!$G$5:$G$140="acoes"))*Inputs!$B$1+((Inputs!$G$5:$G$140&lt;&gt;"moeda")*(Inputs!$G$5:$G$140&lt;&gt;"acoes")))*INDEX(Inputs!$K$5:$AJ$140,0,MATCH(AJ$2,Inputs!$K$4:$AJ$4,0)))+SUMPRODUCT((Inputs!$C$5:$C$140=$B58)*Inputs!$D$5:$D$140*(((Inputs!$G$5:$G$140="moeda")+(Inputs!$G$5:$G$140="acoes"))*Inputs!$B$1+((Inputs!$G$5:$G$140&lt;&gt;"moeda")*(Inputs!$G$5:$G$140&lt;&gt;"acoes")))*INDEX(Inputs!$K$5:$AJ$140,0,MATCH(AJ$2,Inputs!$K$4:$AJ$4,0)))+SUMPRODUCT((Inputs!$E$5:$E$140=$B58)*Inputs!$F$5:$F$140*(((Inputs!$G$5:$G$140="moeda")+(Inputs!$G$5:$G$140="acoes"))*Inputs!$B$1+((Inputs!$G$5:$G$140&lt;&gt;"moeda")*(Inputs!$G$5:$G$140&lt;&gt;"acoes")))*INDEX(Inputs!$K$5:$AJ$140,0,MATCH(AJ$2,Inputs!$K$4:$AJ$4,0)))))</f>
        <v>57.08734247</v>
      </c>
      <c r="AK58" s="262">
        <f>IF(ISNA(MATCH(AK$2,Inputs!$K$4:$AJ$4,0)),NA(),IF(SUMPRODUCT((Inputs!$A$5:$A$140=$B58)*ISNUMBER(INDEX(Inputs!$K$5:$AJ$140,0,MATCH(AK$2,Inputs!$K$4:$AJ$4,0))))+SUMPRODUCT((Inputs!$C$5:$C$140=$B58)*ISNUMBER(INDEX(Inputs!$K$5:$AJ$140,0,MATCH(AK$2,Inputs!$K$4:$AJ$4,0))))+SUMPRODUCT((Inputs!$E$5:$E$140=$B58)*ISNUMBER(INDEX(Inputs!$K$5:$AJ$140,0,MATCH(AK$2,Inputs!$K$4:$AJ$4,0))))=0,NA(),SUMPRODUCT((Inputs!$A$5:$A$140=$B58)*Inputs!$B$5:$B$140*(((Inputs!$G$5:$G$140="moeda")+(Inputs!$G$5:$G$140="acoes"))*Inputs!$B$1+((Inputs!$G$5:$G$140&lt;&gt;"moeda")*(Inputs!$G$5:$G$140&lt;&gt;"acoes")))*INDEX(Inputs!$K$5:$AJ$140,0,MATCH(AK$2,Inputs!$K$4:$AJ$4,0)))+SUMPRODUCT((Inputs!$C$5:$C$140=$B58)*Inputs!$D$5:$D$140*(((Inputs!$G$5:$G$140="moeda")+(Inputs!$G$5:$G$140="acoes"))*Inputs!$B$1+((Inputs!$G$5:$G$140&lt;&gt;"moeda")*(Inputs!$G$5:$G$140&lt;&gt;"acoes")))*INDEX(Inputs!$K$5:$AJ$140,0,MATCH(AK$2,Inputs!$K$4:$AJ$4,0)))+SUMPRODUCT((Inputs!$E$5:$E$140=$B58)*Inputs!$F$5:$F$140*(((Inputs!$G$5:$G$140="moeda")+(Inputs!$G$5:$G$140="acoes"))*Inputs!$B$1+((Inputs!$G$5:$G$140&lt;&gt;"moeda")*(Inputs!$G$5:$G$140&lt;&gt;"acoes")))*INDEX(Inputs!$K$5:$AJ$140,0,MATCH(AK$2,Inputs!$K$4:$AJ$4,0)))))</f>
        <v>43.55561604</v>
      </c>
      <c r="AL58" s="263">
        <f>SUM(AH58:AK58)</f>
        <v>182.78285926</v>
      </c>
    </row>
    <row r="59">
      <c r="B59" s="46" t="n">
        <v>51</v>
      </c>
      <c r="C59" s="29" t="inlineStr">
        <is>
          <t>Vendas liquidas - VGV 100% (R$ mil; l.24)</t>
        </is>
      </c>
      <c r="D59" s="262">
        <f>IF(ISNA(MATCH(D$2,Inputs!$K$4:$AJ$4,0)),NA(),IF(SUMPRODUCT((Inputs!$A$5:$A$140=$B59)*ISNUMBER(INDEX(Inputs!$K$5:$AJ$140,0,MATCH(D$2,Inputs!$K$4:$AJ$4,0))))+SUMPRODUCT((Inputs!$C$5:$C$140=$B59)*ISNUMBER(INDEX(Inputs!$K$5:$AJ$140,0,MATCH(D$2,Inputs!$K$4:$AJ$4,0))))+SUMPRODUCT((Inputs!$E$5:$E$140=$B59)*ISNUMBER(INDEX(Inputs!$K$5:$AJ$140,0,MATCH(D$2,Inputs!$K$4:$AJ$4,0))))=0,NA(),SUMPRODUCT((Inputs!$A$5:$A$140=$B59)*Inputs!$B$5:$B$140*(((Inputs!$G$5:$G$140="moeda")+(Inputs!$G$5:$G$140="acoes"))*Inputs!$B$1+((Inputs!$G$5:$G$140&lt;&gt;"moeda")*(Inputs!$G$5:$G$140&lt;&gt;"acoes")))*INDEX(Inputs!$K$5:$AJ$140,0,MATCH(D$2,Inputs!$K$4:$AJ$4,0)))+SUMPRODUCT((Inputs!$C$5:$C$140=$B59)*Inputs!$D$5:$D$140*(((Inputs!$G$5:$G$140="moeda")+(Inputs!$G$5:$G$140="acoes"))*Inputs!$B$1+((Inputs!$G$5:$G$140&lt;&gt;"moeda")*(Inputs!$G$5:$G$140&lt;&gt;"acoes")))*INDEX(Inputs!$K$5:$AJ$140,0,MATCH(D$2,Inputs!$K$4:$AJ$4,0)))+SUMPRODUCT((Inputs!$E$5:$E$140=$B59)*Inputs!$F$5:$F$140*(((Inputs!$G$5:$G$140="moeda")+(Inputs!$G$5:$G$140="acoes"))*Inputs!$B$1+((Inputs!$G$5:$G$140&lt;&gt;"moeda")*(Inputs!$G$5:$G$140&lt;&gt;"acoes")))*INDEX(Inputs!$K$5:$AJ$140,0,MATCH(D$2,Inputs!$K$4:$AJ$4,0)))))</f>
        <v>590.37332932</v>
      </c>
      <c r="E59" s="262">
        <f>IF(ISNA(MATCH(E$2,Inputs!$K$4:$AJ$4,0)),NA(),IF(SUMPRODUCT((Inputs!$A$5:$A$140=$B59)*ISNUMBER(INDEX(Inputs!$K$5:$AJ$140,0,MATCH(E$2,Inputs!$K$4:$AJ$4,0))))+SUMPRODUCT((Inputs!$C$5:$C$140=$B59)*ISNUMBER(INDEX(Inputs!$K$5:$AJ$140,0,MATCH(E$2,Inputs!$K$4:$AJ$4,0))))+SUMPRODUCT((Inputs!$E$5:$E$140=$B59)*ISNUMBER(INDEX(Inputs!$K$5:$AJ$140,0,MATCH(E$2,Inputs!$K$4:$AJ$4,0))))=0,NA(),SUMPRODUCT((Inputs!$A$5:$A$140=$B59)*Inputs!$B$5:$B$140*(((Inputs!$G$5:$G$140="moeda")+(Inputs!$G$5:$G$140="acoes"))*Inputs!$B$1+((Inputs!$G$5:$G$140&lt;&gt;"moeda")*(Inputs!$G$5:$G$140&lt;&gt;"acoes")))*INDEX(Inputs!$K$5:$AJ$140,0,MATCH(E$2,Inputs!$K$4:$AJ$4,0)))+SUMPRODUCT((Inputs!$C$5:$C$140=$B59)*Inputs!$D$5:$D$140*(((Inputs!$G$5:$G$140="moeda")+(Inputs!$G$5:$G$140="acoes"))*Inputs!$B$1+((Inputs!$G$5:$G$140&lt;&gt;"moeda")*(Inputs!$G$5:$G$140&lt;&gt;"acoes")))*INDEX(Inputs!$K$5:$AJ$140,0,MATCH(E$2,Inputs!$K$4:$AJ$4,0)))+SUMPRODUCT((Inputs!$E$5:$E$140=$B59)*Inputs!$F$5:$F$140*(((Inputs!$G$5:$G$140="moeda")+(Inputs!$G$5:$G$140="acoes"))*Inputs!$B$1+((Inputs!$G$5:$G$140&lt;&gt;"moeda")*(Inputs!$G$5:$G$140&lt;&gt;"acoes")))*INDEX(Inputs!$K$5:$AJ$140,0,MATCH(E$2,Inputs!$K$4:$AJ$4,0)))))</f>
        <v>682.578</v>
      </c>
      <c r="F59" s="262">
        <f>IF(ISNA(MATCH(F$2,Inputs!$K$4:$AJ$4,0)),NA(),IF(SUMPRODUCT((Inputs!$A$5:$A$140=$B59)*ISNUMBER(INDEX(Inputs!$K$5:$AJ$140,0,MATCH(F$2,Inputs!$K$4:$AJ$4,0))))+SUMPRODUCT((Inputs!$C$5:$C$140=$B59)*ISNUMBER(INDEX(Inputs!$K$5:$AJ$140,0,MATCH(F$2,Inputs!$K$4:$AJ$4,0))))+SUMPRODUCT((Inputs!$E$5:$E$140=$B59)*ISNUMBER(INDEX(Inputs!$K$5:$AJ$140,0,MATCH(F$2,Inputs!$K$4:$AJ$4,0))))=0,NA(),SUMPRODUCT((Inputs!$A$5:$A$140=$B59)*Inputs!$B$5:$B$140*(((Inputs!$G$5:$G$140="moeda")+(Inputs!$G$5:$G$140="acoes"))*Inputs!$B$1+((Inputs!$G$5:$G$140&lt;&gt;"moeda")*(Inputs!$G$5:$G$140&lt;&gt;"acoes")))*INDEX(Inputs!$K$5:$AJ$140,0,MATCH(F$2,Inputs!$K$4:$AJ$4,0)))+SUMPRODUCT((Inputs!$C$5:$C$140=$B59)*Inputs!$D$5:$D$140*(((Inputs!$G$5:$G$140="moeda")+(Inputs!$G$5:$G$140="acoes"))*Inputs!$B$1+((Inputs!$G$5:$G$140&lt;&gt;"moeda")*(Inputs!$G$5:$G$140&lt;&gt;"acoes")))*INDEX(Inputs!$K$5:$AJ$140,0,MATCH(F$2,Inputs!$K$4:$AJ$4,0)))+SUMPRODUCT((Inputs!$E$5:$E$140=$B59)*Inputs!$F$5:$F$140*(((Inputs!$G$5:$G$140="moeda")+(Inputs!$G$5:$G$140="acoes"))*Inputs!$B$1+((Inputs!$G$5:$G$140&lt;&gt;"moeda")*(Inputs!$G$5:$G$140&lt;&gt;"acoes")))*INDEX(Inputs!$K$5:$AJ$140,0,MATCH(F$2,Inputs!$K$4:$AJ$4,0)))))</f>
        <v>682.37050876</v>
      </c>
      <c r="G59" s="262">
        <f>IF(ISNA(MATCH(G$2,Inputs!$K$4:$AJ$4,0)),NA(),IF(SUMPRODUCT((Inputs!$A$5:$A$140=$B59)*ISNUMBER(INDEX(Inputs!$K$5:$AJ$140,0,MATCH(G$2,Inputs!$K$4:$AJ$4,0))))+SUMPRODUCT((Inputs!$C$5:$C$140=$B59)*ISNUMBER(INDEX(Inputs!$K$5:$AJ$140,0,MATCH(G$2,Inputs!$K$4:$AJ$4,0))))+SUMPRODUCT((Inputs!$E$5:$E$140=$B59)*ISNUMBER(INDEX(Inputs!$K$5:$AJ$140,0,MATCH(G$2,Inputs!$K$4:$AJ$4,0))))=0,NA(),SUMPRODUCT((Inputs!$A$5:$A$140=$B59)*Inputs!$B$5:$B$140*(((Inputs!$G$5:$G$140="moeda")+(Inputs!$G$5:$G$140="acoes"))*Inputs!$B$1+((Inputs!$G$5:$G$140&lt;&gt;"moeda")*(Inputs!$G$5:$G$140&lt;&gt;"acoes")))*INDEX(Inputs!$K$5:$AJ$140,0,MATCH(G$2,Inputs!$K$4:$AJ$4,0)))+SUMPRODUCT((Inputs!$C$5:$C$140=$B59)*Inputs!$D$5:$D$140*(((Inputs!$G$5:$G$140="moeda")+(Inputs!$G$5:$G$140="acoes"))*Inputs!$B$1+((Inputs!$G$5:$G$140&lt;&gt;"moeda")*(Inputs!$G$5:$G$140&lt;&gt;"acoes")))*INDEX(Inputs!$K$5:$AJ$140,0,MATCH(G$2,Inputs!$K$4:$AJ$4,0)))+SUMPRODUCT((Inputs!$E$5:$E$140=$B59)*Inputs!$F$5:$F$140*(((Inputs!$G$5:$G$140="moeda")+(Inputs!$G$5:$G$140="acoes"))*Inputs!$B$1+((Inputs!$G$5:$G$140&lt;&gt;"moeda")*(Inputs!$G$5:$G$140&lt;&gt;"acoes")))*INDEX(Inputs!$K$5:$AJ$140,0,MATCH(G$2,Inputs!$K$4:$AJ$4,0)))))</f>
        <v>611.366096</v>
      </c>
      <c r="H59" s="263">
        <f>SUM(D59:G59)</f>
        <v>2566.68793408</v>
      </c>
      <c r="I59" s="262">
        <f>IF(ISNA(MATCH(I$2,Inputs!$K$4:$AJ$4,0)),NA(),IF(SUMPRODUCT((Inputs!$A$5:$A$140=$B59)*ISNUMBER(INDEX(Inputs!$K$5:$AJ$140,0,MATCH(I$2,Inputs!$K$4:$AJ$4,0))))+SUMPRODUCT((Inputs!$C$5:$C$140=$B59)*ISNUMBER(INDEX(Inputs!$K$5:$AJ$140,0,MATCH(I$2,Inputs!$K$4:$AJ$4,0))))+SUMPRODUCT((Inputs!$E$5:$E$140=$B59)*ISNUMBER(INDEX(Inputs!$K$5:$AJ$140,0,MATCH(I$2,Inputs!$K$4:$AJ$4,0))))=0,NA(),SUMPRODUCT((Inputs!$A$5:$A$140=$B59)*Inputs!$B$5:$B$140*(((Inputs!$G$5:$G$140="moeda")+(Inputs!$G$5:$G$140="acoes"))*Inputs!$B$1+((Inputs!$G$5:$G$140&lt;&gt;"moeda")*(Inputs!$G$5:$G$140&lt;&gt;"acoes")))*INDEX(Inputs!$K$5:$AJ$140,0,MATCH(I$2,Inputs!$K$4:$AJ$4,0)))+SUMPRODUCT((Inputs!$C$5:$C$140=$B59)*Inputs!$D$5:$D$140*(((Inputs!$G$5:$G$140="moeda")+(Inputs!$G$5:$G$140="acoes"))*Inputs!$B$1+((Inputs!$G$5:$G$140&lt;&gt;"moeda")*(Inputs!$G$5:$G$140&lt;&gt;"acoes")))*INDEX(Inputs!$K$5:$AJ$140,0,MATCH(I$2,Inputs!$K$4:$AJ$4,0)))+SUMPRODUCT((Inputs!$E$5:$E$140=$B59)*Inputs!$F$5:$F$140*(((Inputs!$G$5:$G$140="moeda")+(Inputs!$G$5:$G$140="acoes"))*Inputs!$B$1+((Inputs!$G$5:$G$140&lt;&gt;"moeda")*(Inputs!$G$5:$G$140&lt;&gt;"acoes")))*INDEX(Inputs!$K$5:$AJ$140,0,MATCH(I$2,Inputs!$K$4:$AJ$4,0)))))</f>
        <v>753.36612115</v>
      </c>
      <c r="J59" s="262">
        <f>IF(ISNA(MATCH(J$2,Inputs!$K$4:$AJ$4,0)),NA(),IF(SUMPRODUCT((Inputs!$A$5:$A$140=$B59)*ISNUMBER(INDEX(Inputs!$K$5:$AJ$140,0,MATCH(J$2,Inputs!$K$4:$AJ$4,0))))+SUMPRODUCT((Inputs!$C$5:$C$140=$B59)*ISNUMBER(INDEX(Inputs!$K$5:$AJ$140,0,MATCH(J$2,Inputs!$K$4:$AJ$4,0))))+SUMPRODUCT((Inputs!$E$5:$E$140=$B59)*ISNUMBER(INDEX(Inputs!$K$5:$AJ$140,0,MATCH(J$2,Inputs!$K$4:$AJ$4,0))))=0,NA(),SUMPRODUCT((Inputs!$A$5:$A$140=$B59)*Inputs!$B$5:$B$140*(((Inputs!$G$5:$G$140="moeda")+(Inputs!$G$5:$G$140="acoes"))*Inputs!$B$1+((Inputs!$G$5:$G$140&lt;&gt;"moeda")*(Inputs!$G$5:$G$140&lt;&gt;"acoes")))*INDEX(Inputs!$K$5:$AJ$140,0,MATCH(J$2,Inputs!$K$4:$AJ$4,0)))+SUMPRODUCT((Inputs!$C$5:$C$140=$B59)*Inputs!$D$5:$D$140*(((Inputs!$G$5:$G$140="moeda")+(Inputs!$G$5:$G$140="acoes"))*Inputs!$B$1+((Inputs!$G$5:$G$140&lt;&gt;"moeda")*(Inputs!$G$5:$G$140&lt;&gt;"acoes")))*INDEX(Inputs!$K$5:$AJ$140,0,MATCH(J$2,Inputs!$K$4:$AJ$4,0)))+SUMPRODUCT((Inputs!$E$5:$E$140=$B59)*Inputs!$F$5:$F$140*(((Inputs!$G$5:$G$140="moeda")+(Inputs!$G$5:$G$140="acoes"))*Inputs!$B$1+((Inputs!$G$5:$G$140&lt;&gt;"moeda")*(Inputs!$G$5:$G$140&lt;&gt;"acoes")))*INDEX(Inputs!$K$5:$AJ$140,0,MATCH(J$2,Inputs!$K$4:$AJ$4,0)))))</f>
        <v>897.48537752</v>
      </c>
      <c r="K59" s="262">
        <f>IF(ISNA(MATCH(K$2,Inputs!$K$4:$AJ$4,0)),NA(),IF(SUMPRODUCT((Inputs!$A$5:$A$140=$B59)*ISNUMBER(INDEX(Inputs!$K$5:$AJ$140,0,MATCH(K$2,Inputs!$K$4:$AJ$4,0))))+SUMPRODUCT((Inputs!$C$5:$C$140=$B59)*ISNUMBER(INDEX(Inputs!$K$5:$AJ$140,0,MATCH(K$2,Inputs!$K$4:$AJ$4,0))))+SUMPRODUCT((Inputs!$E$5:$E$140=$B59)*ISNUMBER(INDEX(Inputs!$K$5:$AJ$140,0,MATCH(K$2,Inputs!$K$4:$AJ$4,0))))=0,NA(),SUMPRODUCT((Inputs!$A$5:$A$140=$B59)*Inputs!$B$5:$B$140*(((Inputs!$G$5:$G$140="moeda")+(Inputs!$G$5:$G$140="acoes"))*Inputs!$B$1+((Inputs!$G$5:$G$140&lt;&gt;"moeda")*(Inputs!$G$5:$G$140&lt;&gt;"acoes")))*INDEX(Inputs!$K$5:$AJ$140,0,MATCH(K$2,Inputs!$K$4:$AJ$4,0)))+SUMPRODUCT((Inputs!$C$5:$C$140=$B59)*Inputs!$D$5:$D$140*(((Inputs!$G$5:$G$140="moeda")+(Inputs!$G$5:$G$140="acoes"))*Inputs!$B$1+((Inputs!$G$5:$G$140&lt;&gt;"moeda")*(Inputs!$G$5:$G$140&lt;&gt;"acoes")))*INDEX(Inputs!$K$5:$AJ$140,0,MATCH(K$2,Inputs!$K$4:$AJ$4,0)))+SUMPRODUCT((Inputs!$E$5:$E$140=$B59)*Inputs!$F$5:$F$140*(((Inputs!$G$5:$G$140="moeda")+(Inputs!$G$5:$G$140="acoes"))*Inputs!$B$1+((Inputs!$G$5:$G$140&lt;&gt;"moeda")*(Inputs!$G$5:$G$140&lt;&gt;"acoes")))*INDEX(Inputs!$K$5:$AJ$140,0,MATCH(K$2,Inputs!$K$4:$AJ$4,0)))))</f>
        <v>885.83259665</v>
      </c>
      <c r="L59" s="262">
        <f>IF(ISNA(MATCH(L$2,Inputs!$K$4:$AJ$4,0)),NA(),IF(SUMPRODUCT((Inputs!$A$5:$A$140=$B59)*ISNUMBER(INDEX(Inputs!$K$5:$AJ$140,0,MATCH(L$2,Inputs!$K$4:$AJ$4,0))))+SUMPRODUCT((Inputs!$C$5:$C$140=$B59)*ISNUMBER(INDEX(Inputs!$K$5:$AJ$140,0,MATCH(L$2,Inputs!$K$4:$AJ$4,0))))+SUMPRODUCT((Inputs!$E$5:$E$140=$B59)*ISNUMBER(INDEX(Inputs!$K$5:$AJ$140,0,MATCH(L$2,Inputs!$K$4:$AJ$4,0))))=0,NA(),SUMPRODUCT((Inputs!$A$5:$A$140=$B59)*Inputs!$B$5:$B$140*(((Inputs!$G$5:$G$140="moeda")+(Inputs!$G$5:$G$140="acoes"))*Inputs!$B$1+((Inputs!$G$5:$G$140&lt;&gt;"moeda")*(Inputs!$G$5:$G$140&lt;&gt;"acoes")))*INDEX(Inputs!$K$5:$AJ$140,0,MATCH(L$2,Inputs!$K$4:$AJ$4,0)))+SUMPRODUCT((Inputs!$C$5:$C$140=$B59)*Inputs!$D$5:$D$140*(((Inputs!$G$5:$G$140="moeda")+(Inputs!$G$5:$G$140="acoes"))*Inputs!$B$1+((Inputs!$G$5:$G$140&lt;&gt;"moeda")*(Inputs!$G$5:$G$140&lt;&gt;"acoes")))*INDEX(Inputs!$K$5:$AJ$140,0,MATCH(L$2,Inputs!$K$4:$AJ$4,0)))+SUMPRODUCT((Inputs!$E$5:$E$140=$B59)*Inputs!$F$5:$F$140*(((Inputs!$G$5:$G$140="moeda")+(Inputs!$G$5:$G$140="acoes"))*Inputs!$B$1+((Inputs!$G$5:$G$140&lt;&gt;"moeda")*(Inputs!$G$5:$G$140&lt;&gt;"acoes")))*INDEX(Inputs!$K$5:$AJ$140,0,MATCH(L$2,Inputs!$K$4:$AJ$4,0)))))</f>
        <v>753.06204716</v>
      </c>
      <c r="M59" s="263">
        <f>SUM(I59:L59)</f>
        <v>3289.74614248</v>
      </c>
      <c r="N59" s="262">
        <f>IF(ISNA(MATCH(N$2,Inputs!$K$4:$AJ$4,0)),NA(),IF(SUMPRODUCT((Inputs!$A$5:$A$140=$B59)*ISNUMBER(INDEX(Inputs!$K$5:$AJ$140,0,MATCH(N$2,Inputs!$K$4:$AJ$4,0))))+SUMPRODUCT((Inputs!$C$5:$C$140=$B59)*ISNUMBER(INDEX(Inputs!$K$5:$AJ$140,0,MATCH(N$2,Inputs!$K$4:$AJ$4,0))))+SUMPRODUCT((Inputs!$E$5:$E$140=$B59)*ISNUMBER(INDEX(Inputs!$K$5:$AJ$140,0,MATCH(N$2,Inputs!$K$4:$AJ$4,0))))=0,NA(),SUMPRODUCT((Inputs!$A$5:$A$140=$B59)*Inputs!$B$5:$B$140*(((Inputs!$G$5:$G$140="moeda")+(Inputs!$G$5:$G$140="acoes"))*Inputs!$B$1+((Inputs!$G$5:$G$140&lt;&gt;"moeda")*(Inputs!$G$5:$G$140&lt;&gt;"acoes")))*INDEX(Inputs!$K$5:$AJ$140,0,MATCH(N$2,Inputs!$K$4:$AJ$4,0)))+SUMPRODUCT((Inputs!$C$5:$C$140=$B59)*Inputs!$D$5:$D$140*(((Inputs!$G$5:$G$140="moeda")+(Inputs!$G$5:$G$140="acoes"))*Inputs!$B$1+((Inputs!$G$5:$G$140&lt;&gt;"moeda")*(Inputs!$G$5:$G$140&lt;&gt;"acoes")))*INDEX(Inputs!$K$5:$AJ$140,0,MATCH(N$2,Inputs!$K$4:$AJ$4,0)))+SUMPRODUCT((Inputs!$E$5:$E$140=$B59)*Inputs!$F$5:$F$140*(((Inputs!$G$5:$G$140="moeda")+(Inputs!$G$5:$G$140="acoes"))*Inputs!$B$1+((Inputs!$G$5:$G$140&lt;&gt;"moeda")*(Inputs!$G$5:$G$140&lt;&gt;"acoes")))*INDEX(Inputs!$K$5:$AJ$140,0,MATCH(N$2,Inputs!$K$4:$AJ$4,0)))))</f>
        <v>1078.89197397</v>
      </c>
      <c r="O59" s="262">
        <f>IF(ISNA(MATCH(O$2,Inputs!$K$4:$AJ$4,0)),NA(),IF(SUMPRODUCT((Inputs!$A$5:$A$140=$B59)*ISNUMBER(INDEX(Inputs!$K$5:$AJ$140,0,MATCH(O$2,Inputs!$K$4:$AJ$4,0))))+SUMPRODUCT((Inputs!$C$5:$C$140=$B59)*ISNUMBER(INDEX(Inputs!$K$5:$AJ$140,0,MATCH(O$2,Inputs!$K$4:$AJ$4,0))))+SUMPRODUCT((Inputs!$E$5:$E$140=$B59)*ISNUMBER(INDEX(Inputs!$K$5:$AJ$140,0,MATCH(O$2,Inputs!$K$4:$AJ$4,0))))=0,NA(),SUMPRODUCT((Inputs!$A$5:$A$140=$B59)*Inputs!$B$5:$B$140*(((Inputs!$G$5:$G$140="moeda")+(Inputs!$G$5:$G$140="acoes"))*Inputs!$B$1+((Inputs!$G$5:$G$140&lt;&gt;"moeda")*(Inputs!$G$5:$G$140&lt;&gt;"acoes")))*INDEX(Inputs!$K$5:$AJ$140,0,MATCH(O$2,Inputs!$K$4:$AJ$4,0)))+SUMPRODUCT((Inputs!$C$5:$C$140=$B59)*Inputs!$D$5:$D$140*(((Inputs!$G$5:$G$140="moeda")+(Inputs!$G$5:$G$140="acoes"))*Inputs!$B$1+((Inputs!$G$5:$G$140&lt;&gt;"moeda")*(Inputs!$G$5:$G$140&lt;&gt;"acoes")))*INDEX(Inputs!$K$5:$AJ$140,0,MATCH(O$2,Inputs!$K$4:$AJ$4,0)))+SUMPRODUCT((Inputs!$E$5:$E$140=$B59)*Inputs!$F$5:$F$140*(((Inputs!$G$5:$G$140="moeda")+(Inputs!$G$5:$G$140="acoes"))*Inputs!$B$1+((Inputs!$G$5:$G$140&lt;&gt;"moeda")*(Inputs!$G$5:$G$140&lt;&gt;"acoes")))*INDEX(Inputs!$K$5:$AJ$140,0,MATCH(O$2,Inputs!$K$4:$AJ$4,0)))))</f>
        <v>1193.950756</v>
      </c>
      <c r="P59" s="262">
        <f>IF(ISNA(MATCH(P$2,Inputs!$K$4:$AJ$4,0)),NA(),IF(SUMPRODUCT((Inputs!$A$5:$A$140=$B59)*ISNUMBER(INDEX(Inputs!$K$5:$AJ$140,0,MATCH(P$2,Inputs!$K$4:$AJ$4,0))))+SUMPRODUCT((Inputs!$C$5:$C$140=$B59)*ISNUMBER(INDEX(Inputs!$K$5:$AJ$140,0,MATCH(P$2,Inputs!$K$4:$AJ$4,0))))+SUMPRODUCT((Inputs!$E$5:$E$140=$B59)*ISNUMBER(INDEX(Inputs!$K$5:$AJ$140,0,MATCH(P$2,Inputs!$K$4:$AJ$4,0))))=0,NA(),SUMPRODUCT((Inputs!$A$5:$A$140=$B59)*Inputs!$B$5:$B$140*(((Inputs!$G$5:$G$140="moeda")+(Inputs!$G$5:$G$140="acoes"))*Inputs!$B$1+((Inputs!$G$5:$G$140&lt;&gt;"moeda")*(Inputs!$G$5:$G$140&lt;&gt;"acoes")))*INDEX(Inputs!$K$5:$AJ$140,0,MATCH(P$2,Inputs!$K$4:$AJ$4,0)))+SUMPRODUCT((Inputs!$C$5:$C$140=$B59)*Inputs!$D$5:$D$140*(((Inputs!$G$5:$G$140="moeda")+(Inputs!$G$5:$G$140="acoes"))*Inputs!$B$1+((Inputs!$G$5:$G$140&lt;&gt;"moeda")*(Inputs!$G$5:$G$140&lt;&gt;"acoes")))*INDEX(Inputs!$K$5:$AJ$140,0,MATCH(P$2,Inputs!$K$4:$AJ$4,0)))+SUMPRODUCT((Inputs!$E$5:$E$140=$B59)*Inputs!$F$5:$F$140*(((Inputs!$G$5:$G$140="moeda")+(Inputs!$G$5:$G$140="acoes"))*Inputs!$B$1+((Inputs!$G$5:$G$140&lt;&gt;"moeda")*(Inputs!$G$5:$G$140&lt;&gt;"acoes")))*INDEX(Inputs!$K$5:$AJ$140,0,MATCH(P$2,Inputs!$K$4:$AJ$4,0)))))</f>
        <v>972.64394625</v>
      </c>
      <c r="Q59" s="262">
        <f>IF(ISNA(MATCH(Q$2,Inputs!$K$4:$AJ$4,0)),NA(),IF(SUMPRODUCT((Inputs!$A$5:$A$140=$B59)*ISNUMBER(INDEX(Inputs!$K$5:$AJ$140,0,MATCH(Q$2,Inputs!$K$4:$AJ$4,0))))+SUMPRODUCT((Inputs!$C$5:$C$140=$B59)*ISNUMBER(INDEX(Inputs!$K$5:$AJ$140,0,MATCH(Q$2,Inputs!$K$4:$AJ$4,0))))+SUMPRODUCT((Inputs!$E$5:$E$140=$B59)*ISNUMBER(INDEX(Inputs!$K$5:$AJ$140,0,MATCH(Q$2,Inputs!$K$4:$AJ$4,0))))=0,NA(),SUMPRODUCT((Inputs!$A$5:$A$140=$B59)*Inputs!$B$5:$B$140*(((Inputs!$G$5:$G$140="moeda")+(Inputs!$G$5:$G$140="acoes"))*Inputs!$B$1+((Inputs!$G$5:$G$140&lt;&gt;"moeda")*(Inputs!$G$5:$G$140&lt;&gt;"acoes")))*INDEX(Inputs!$K$5:$AJ$140,0,MATCH(Q$2,Inputs!$K$4:$AJ$4,0)))+SUMPRODUCT((Inputs!$C$5:$C$140=$B59)*Inputs!$D$5:$D$140*(((Inputs!$G$5:$G$140="moeda")+(Inputs!$G$5:$G$140="acoes"))*Inputs!$B$1+((Inputs!$G$5:$G$140&lt;&gt;"moeda")*(Inputs!$G$5:$G$140&lt;&gt;"acoes")))*INDEX(Inputs!$K$5:$AJ$140,0,MATCH(Q$2,Inputs!$K$4:$AJ$4,0)))+SUMPRODUCT((Inputs!$E$5:$E$140=$B59)*Inputs!$F$5:$F$140*(((Inputs!$G$5:$G$140="moeda")+(Inputs!$G$5:$G$140="acoes"))*Inputs!$B$1+((Inputs!$G$5:$G$140&lt;&gt;"moeda")*(Inputs!$G$5:$G$140&lt;&gt;"acoes")))*INDEX(Inputs!$K$5:$AJ$140,0,MATCH(Q$2,Inputs!$K$4:$AJ$4,0)))))</f>
        <v>904.671586</v>
      </c>
      <c r="R59" s="263">
        <f>SUM(N59:Q59)</f>
        <v>4150.15826222</v>
      </c>
      <c r="S59" s="262">
        <f>IF(ISNA(MATCH(S$2,Inputs!$K$4:$AJ$4,0)),NA(),IF(SUMPRODUCT((Inputs!$A$5:$A$140=$B59)*ISNUMBER(INDEX(Inputs!$K$5:$AJ$140,0,MATCH(S$2,Inputs!$K$4:$AJ$4,0))))+SUMPRODUCT((Inputs!$C$5:$C$140=$B59)*ISNUMBER(INDEX(Inputs!$K$5:$AJ$140,0,MATCH(S$2,Inputs!$K$4:$AJ$4,0))))+SUMPRODUCT((Inputs!$E$5:$E$140=$B59)*ISNUMBER(INDEX(Inputs!$K$5:$AJ$140,0,MATCH(S$2,Inputs!$K$4:$AJ$4,0))))=0,NA(),SUMPRODUCT((Inputs!$A$5:$A$140=$B59)*Inputs!$B$5:$B$140*(((Inputs!$G$5:$G$140="moeda")+(Inputs!$G$5:$G$140="acoes"))*Inputs!$B$1+((Inputs!$G$5:$G$140&lt;&gt;"moeda")*(Inputs!$G$5:$G$140&lt;&gt;"acoes")))*INDEX(Inputs!$K$5:$AJ$140,0,MATCH(S$2,Inputs!$K$4:$AJ$4,0)))+SUMPRODUCT((Inputs!$C$5:$C$140=$B59)*Inputs!$D$5:$D$140*(((Inputs!$G$5:$G$140="moeda")+(Inputs!$G$5:$G$140="acoes"))*Inputs!$B$1+((Inputs!$G$5:$G$140&lt;&gt;"moeda")*(Inputs!$G$5:$G$140&lt;&gt;"acoes")))*INDEX(Inputs!$K$5:$AJ$140,0,MATCH(S$2,Inputs!$K$4:$AJ$4,0)))+SUMPRODUCT((Inputs!$E$5:$E$140=$B59)*Inputs!$F$5:$F$140*(((Inputs!$G$5:$G$140="moeda")+(Inputs!$G$5:$G$140="acoes"))*Inputs!$B$1+((Inputs!$G$5:$G$140&lt;&gt;"moeda")*(Inputs!$G$5:$G$140&lt;&gt;"acoes")))*INDEX(Inputs!$K$5:$AJ$140,0,MATCH(S$2,Inputs!$K$4:$AJ$4,0)))))</f>
        <v>1552.13531929</v>
      </c>
      <c r="T59" s="262">
        <f>IF(ISNA(MATCH(T$2,Inputs!$K$4:$AJ$4,0)),NA(),IF(SUMPRODUCT((Inputs!$A$5:$A$140=$B59)*ISNUMBER(INDEX(Inputs!$K$5:$AJ$140,0,MATCH(T$2,Inputs!$K$4:$AJ$4,0))))+SUMPRODUCT((Inputs!$C$5:$C$140=$B59)*ISNUMBER(INDEX(Inputs!$K$5:$AJ$140,0,MATCH(T$2,Inputs!$K$4:$AJ$4,0))))+SUMPRODUCT((Inputs!$E$5:$E$140=$B59)*ISNUMBER(INDEX(Inputs!$K$5:$AJ$140,0,MATCH(T$2,Inputs!$K$4:$AJ$4,0))))=0,NA(),SUMPRODUCT((Inputs!$A$5:$A$140=$B59)*Inputs!$B$5:$B$140*(((Inputs!$G$5:$G$140="moeda")+(Inputs!$G$5:$G$140="acoes"))*Inputs!$B$1+((Inputs!$G$5:$G$140&lt;&gt;"moeda")*(Inputs!$G$5:$G$140&lt;&gt;"acoes")))*INDEX(Inputs!$K$5:$AJ$140,0,MATCH(T$2,Inputs!$K$4:$AJ$4,0)))+SUMPRODUCT((Inputs!$C$5:$C$140=$B59)*Inputs!$D$5:$D$140*(((Inputs!$G$5:$G$140="moeda")+(Inputs!$G$5:$G$140="acoes"))*Inputs!$B$1+((Inputs!$G$5:$G$140&lt;&gt;"moeda")*(Inputs!$G$5:$G$140&lt;&gt;"acoes")))*INDEX(Inputs!$K$5:$AJ$140,0,MATCH(T$2,Inputs!$K$4:$AJ$4,0)))+SUMPRODUCT((Inputs!$E$5:$E$140=$B59)*Inputs!$F$5:$F$140*(((Inputs!$G$5:$G$140="moeda")+(Inputs!$G$5:$G$140="acoes"))*Inputs!$B$1+((Inputs!$G$5:$G$140&lt;&gt;"moeda")*(Inputs!$G$5:$G$140&lt;&gt;"acoes")))*INDEX(Inputs!$K$5:$AJ$140,0,MATCH(T$2,Inputs!$K$4:$AJ$4,0)))))</f>
        <v>1749.23994129</v>
      </c>
      <c r="U59" s="262">
        <f>IF(ISNA(MATCH(U$2,Inputs!$K$4:$AJ$4,0)),NA(),IF(SUMPRODUCT((Inputs!$A$5:$A$140=$B59)*ISNUMBER(INDEX(Inputs!$K$5:$AJ$140,0,MATCH(U$2,Inputs!$K$4:$AJ$4,0))))+SUMPRODUCT((Inputs!$C$5:$C$140=$B59)*ISNUMBER(INDEX(Inputs!$K$5:$AJ$140,0,MATCH(U$2,Inputs!$K$4:$AJ$4,0))))+SUMPRODUCT((Inputs!$E$5:$E$140=$B59)*ISNUMBER(INDEX(Inputs!$K$5:$AJ$140,0,MATCH(U$2,Inputs!$K$4:$AJ$4,0))))=0,NA(),SUMPRODUCT((Inputs!$A$5:$A$140=$B59)*Inputs!$B$5:$B$140*(((Inputs!$G$5:$G$140="moeda")+(Inputs!$G$5:$G$140="acoes"))*Inputs!$B$1+((Inputs!$G$5:$G$140&lt;&gt;"moeda")*(Inputs!$G$5:$G$140&lt;&gt;"acoes")))*INDEX(Inputs!$K$5:$AJ$140,0,MATCH(U$2,Inputs!$K$4:$AJ$4,0)))+SUMPRODUCT((Inputs!$C$5:$C$140=$B59)*Inputs!$D$5:$D$140*(((Inputs!$G$5:$G$140="moeda")+(Inputs!$G$5:$G$140="acoes"))*Inputs!$B$1+((Inputs!$G$5:$G$140&lt;&gt;"moeda")*(Inputs!$G$5:$G$140&lt;&gt;"acoes")))*INDEX(Inputs!$K$5:$AJ$140,0,MATCH(U$2,Inputs!$K$4:$AJ$4,0)))+SUMPRODUCT((Inputs!$E$5:$E$140=$B59)*Inputs!$F$5:$F$140*(((Inputs!$G$5:$G$140="moeda")+(Inputs!$G$5:$G$140="acoes"))*Inputs!$B$1+((Inputs!$G$5:$G$140&lt;&gt;"moeda")*(Inputs!$G$5:$G$140&lt;&gt;"acoes")))*INDEX(Inputs!$K$5:$AJ$140,0,MATCH(U$2,Inputs!$K$4:$AJ$4,0)))))</f>
        <v>1437.15116322</v>
      </c>
      <c r="V59" s="262">
        <f>IF(ISNA(MATCH(V$2,Inputs!$K$4:$AJ$4,0)),NA(),IF(SUMPRODUCT((Inputs!$A$5:$A$140=$B59)*ISNUMBER(INDEX(Inputs!$K$5:$AJ$140,0,MATCH(V$2,Inputs!$K$4:$AJ$4,0))))+SUMPRODUCT((Inputs!$C$5:$C$140=$B59)*ISNUMBER(INDEX(Inputs!$K$5:$AJ$140,0,MATCH(V$2,Inputs!$K$4:$AJ$4,0))))+SUMPRODUCT((Inputs!$E$5:$E$140=$B59)*ISNUMBER(INDEX(Inputs!$K$5:$AJ$140,0,MATCH(V$2,Inputs!$K$4:$AJ$4,0))))=0,NA(),SUMPRODUCT((Inputs!$A$5:$A$140=$B59)*Inputs!$B$5:$B$140*(((Inputs!$G$5:$G$140="moeda")+(Inputs!$G$5:$G$140="acoes"))*Inputs!$B$1+((Inputs!$G$5:$G$140&lt;&gt;"moeda")*(Inputs!$G$5:$G$140&lt;&gt;"acoes")))*INDEX(Inputs!$K$5:$AJ$140,0,MATCH(V$2,Inputs!$K$4:$AJ$4,0)))+SUMPRODUCT((Inputs!$C$5:$C$140=$B59)*Inputs!$D$5:$D$140*(((Inputs!$G$5:$G$140="moeda")+(Inputs!$G$5:$G$140="acoes"))*Inputs!$B$1+((Inputs!$G$5:$G$140&lt;&gt;"moeda")*(Inputs!$G$5:$G$140&lt;&gt;"acoes")))*INDEX(Inputs!$K$5:$AJ$140,0,MATCH(V$2,Inputs!$K$4:$AJ$4,0)))+SUMPRODUCT((Inputs!$E$5:$E$140=$B59)*Inputs!$F$5:$F$140*(((Inputs!$G$5:$G$140="moeda")+(Inputs!$G$5:$G$140="acoes"))*Inputs!$B$1+((Inputs!$G$5:$G$140&lt;&gt;"moeda")*(Inputs!$G$5:$G$140&lt;&gt;"acoes")))*INDEX(Inputs!$K$5:$AJ$140,0,MATCH(V$2,Inputs!$K$4:$AJ$4,0)))))</f>
        <v>1423.748</v>
      </c>
      <c r="W59" s="263">
        <f>SUM(S59:V59)</f>
        <v>6162.2744238</v>
      </c>
      <c r="X59" s="262">
        <f>IF(ISNA(MATCH(X$2,Inputs!$K$4:$AJ$4,0)),NA(),IF(SUMPRODUCT((Inputs!$A$5:$A$140=$B59)*ISNUMBER(INDEX(Inputs!$K$5:$AJ$140,0,MATCH(X$2,Inputs!$K$4:$AJ$4,0))))+SUMPRODUCT((Inputs!$C$5:$C$140=$B59)*ISNUMBER(INDEX(Inputs!$K$5:$AJ$140,0,MATCH(X$2,Inputs!$K$4:$AJ$4,0))))+SUMPRODUCT((Inputs!$E$5:$E$140=$B59)*ISNUMBER(INDEX(Inputs!$K$5:$AJ$140,0,MATCH(X$2,Inputs!$K$4:$AJ$4,0))))=0,NA(),SUMPRODUCT((Inputs!$A$5:$A$140=$B59)*Inputs!$B$5:$B$140*(((Inputs!$G$5:$G$140="moeda")+(Inputs!$G$5:$G$140="acoes"))*Inputs!$B$1+((Inputs!$G$5:$G$140&lt;&gt;"moeda")*(Inputs!$G$5:$G$140&lt;&gt;"acoes")))*INDEX(Inputs!$K$5:$AJ$140,0,MATCH(X$2,Inputs!$K$4:$AJ$4,0)))+SUMPRODUCT((Inputs!$C$5:$C$140=$B59)*Inputs!$D$5:$D$140*(((Inputs!$G$5:$G$140="moeda")+(Inputs!$G$5:$G$140="acoes"))*Inputs!$B$1+((Inputs!$G$5:$G$140&lt;&gt;"moeda")*(Inputs!$G$5:$G$140&lt;&gt;"acoes")))*INDEX(Inputs!$K$5:$AJ$140,0,MATCH(X$2,Inputs!$K$4:$AJ$4,0)))+SUMPRODUCT((Inputs!$E$5:$E$140=$B59)*Inputs!$F$5:$F$140*(((Inputs!$G$5:$G$140="moeda")+(Inputs!$G$5:$G$140="acoes"))*Inputs!$B$1+((Inputs!$G$5:$G$140&lt;&gt;"moeda")*(Inputs!$G$5:$G$140&lt;&gt;"acoes")))*INDEX(Inputs!$K$5:$AJ$140,0,MATCH(X$2,Inputs!$K$4:$AJ$4,0)))))</f>
        <v>2105.57889655</v>
      </c>
      <c r="Y59" s="262">
        <f>IF(ISNA(MATCH(Y$2,Inputs!$K$4:$AJ$4,0)),NA(),IF(SUMPRODUCT((Inputs!$A$5:$A$140=$B59)*ISNUMBER(INDEX(Inputs!$K$5:$AJ$140,0,MATCH(Y$2,Inputs!$K$4:$AJ$4,0))))+SUMPRODUCT((Inputs!$C$5:$C$140=$B59)*ISNUMBER(INDEX(Inputs!$K$5:$AJ$140,0,MATCH(Y$2,Inputs!$K$4:$AJ$4,0))))+SUMPRODUCT((Inputs!$E$5:$E$140=$B59)*ISNUMBER(INDEX(Inputs!$K$5:$AJ$140,0,MATCH(Y$2,Inputs!$K$4:$AJ$4,0))))=0,NA(),SUMPRODUCT((Inputs!$A$5:$A$140=$B59)*Inputs!$B$5:$B$140*(((Inputs!$G$5:$G$140="moeda")+(Inputs!$G$5:$G$140="acoes"))*Inputs!$B$1+((Inputs!$G$5:$G$140&lt;&gt;"moeda")*(Inputs!$G$5:$G$140&lt;&gt;"acoes")))*INDEX(Inputs!$K$5:$AJ$140,0,MATCH(Y$2,Inputs!$K$4:$AJ$4,0)))+SUMPRODUCT((Inputs!$C$5:$C$140=$B59)*Inputs!$D$5:$D$140*(((Inputs!$G$5:$G$140="moeda")+(Inputs!$G$5:$G$140="acoes"))*Inputs!$B$1+((Inputs!$G$5:$G$140&lt;&gt;"moeda")*(Inputs!$G$5:$G$140&lt;&gt;"acoes")))*INDEX(Inputs!$K$5:$AJ$140,0,MATCH(Y$2,Inputs!$K$4:$AJ$4,0)))+SUMPRODUCT((Inputs!$E$5:$E$140=$B59)*Inputs!$F$5:$F$140*(((Inputs!$G$5:$G$140="moeda")+(Inputs!$G$5:$G$140="acoes"))*Inputs!$B$1+((Inputs!$G$5:$G$140&lt;&gt;"moeda")*(Inputs!$G$5:$G$140&lt;&gt;"acoes")))*INDEX(Inputs!$K$5:$AJ$140,0,MATCH(Y$2,Inputs!$K$4:$AJ$4,0)))))</f>
        <v>2261.3631793</v>
      </c>
      <c r="Z59" s="262">
        <f>IF(ISNA(MATCH(Z$2,Inputs!$K$4:$AJ$4,0)),NA(),IF(SUMPRODUCT((Inputs!$A$5:$A$140=$B59)*ISNUMBER(INDEX(Inputs!$K$5:$AJ$140,0,MATCH(Z$2,Inputs!$K$4:$AJ$4,0))))+SUMPRODUCT((Inputs!$C$5:$C$140=$B59)*ISNUMBER(INDEX(Inputs!$K$5:$AJ$140,0,MATCH(Z$2,Inputs!$K$4:$AJ$4,0))))+SUMPRODUCT((Inputs!$E$5:$E$140=$B59)*ISNUMBER(INDEX(Inputs!$K$5:$AJ$140,0,MATCH(Z$2,Inputs!$K$4:$AJ$4,0))))=0,NA(),SUMPRODUCT((Inputs!$A$5:$A$140=$B59)*Inputs!$B$5:$B$140*(((Inputs!$G$5:$G$140="moeda")+(Inputs!$G$5:$G$140="acoes"))*Inputs!$B$1+((Inputs!$G$5:$G$140&lt;&gt;"moeda")*(Inputs!$G$5:$G$140&lt;&gt;"acoes")))*INDEX(Inputs!$K$5:$AJ$140,0,MATCH(Z$2,Inputs!$K$4:$AJ$4,0)))+SUMPRODUCT((Inputs!$C$5:$C$140=$B59)*Inputs!$D$5:$D$140*(((Inputs!$G$5:$G$140="moeda")+(Inputs!$G$5:$G$140="acoes"))*Inputs!$B$1+((Inputs!$G$5:$G$140&lt;&gt;"moeda")*(Inputs!$G$5:$G$140&lt;&gt;"acoes")))*INDEX(Inputs!$K$5:$AJ$140,0,MATCH(Z$2,Inputs!$K$4:$AJ$4,0)))+SUMPRODUCT((Inputs!$E$5:$E$140=$B59)*Inputs!$F$5:$F$140*(((Inputs!$G$5:$G$140="moeda")+(Inputs!$G$5:$G$140="acoes"))*Inputs!$B$1+((Inputs!$G$5:$G$140&lt;&gt;"moeda")*(Inputs!$G$5:$G$140&lt;&gt;"acoes")))*INDEX(Inputs!$K$5:$AJ$140,0,MATCH(Z$2,Inputs!$K$4:$AJ$4,0)))))</f>
        <v>1827.036243</v>
      </c>
      <c r="AA59" s="262">
        <f>IF(ISNA(MATCH(AA$2,Inputs!$K$4:$AJ$4,0)),NA(),IF(SUMPRODUCT((Inputs!$A$5:$A$140=$B59)*ISNUMBER(INDEX(Inputs!$K$5:$AJ$140,0,MATCH(AA$2,Inputs!$K$4:$AJ$4,0))))+SUMPRODUCT((Inputs!$C$5:$C$140=$B59)*ISNUMBER(INDEX(Inputs!$K$5:$AJ$140,0,MATCH(AA$2,Inputs!$K$4:$AJ$4,0))))+SUMPRODUCT((Inputs!$E$5:$E$140=$B59)*ISNUMBER(INDEX(Inputs!$K$5:$AJ$140,0,MATCH(AA$2,Inputs!$K$4:$AJ$4,0))))=0,NA(),SUMPRODUCT((Inputs!$A$5:$A$140=$B59)*Inputs!$B$5:$B$140*(((Inputs!$G$5:$G$140="moeda")+(Inputs!$G$5:$G$140="acoes"))*Inputs!$B$1+((Inputs!$G$5:$G$140&lt;&gt;"moeda")*(Inputs!$G$5:$G$140&lt;&gt;"acoes")))*INDEX(Inputs!$K$5:$AJ$140,0,MATCH(AA$2,Inputs!$K$4:$AJ$4,0)))+SUMPRODUCT((Inputs!$C$5:$C$140=$B59)*Inputs!$D$5:$D$140*(((Inputs!$G$5:$G$140="moeda")+(Inputs!$G$5:$G$140="acoes"))*Inputs!$B$1+((Inputs!$G$5:$G$140&lt;&gt;"moeda")*(Inputs!$G$5:$G$140&lt;&gt;"acoes")))*INDEX(Inputs!$K$5:$AJ$140,0,MATCH(AA$2,Inputs!$K$4:$AJ$4,0)))+SUMPRODUCT((Inputs!$E$5:$E$140=$B59)*Inputs!$F$5:$F$140*(((Inputs!$G$5:$G$140="moeda")+(Inputs!$G$5:$G$140="acoes"))*Inputs!$B$1+((Inputs!$G$5:$G$140&lt;&gt;"moeda")*(Inputs!$G$5:$G$140&lt;&gt;"acoes")))*INDEX(Inputs!$K$5:$AJ$140,0,MATCH(AA$2,Inputs!$K$4:$AJ$4,0)))))</f>
        <v>1556.33565428</v>
      </c>
      <c r="AB59" s="263">
        <f>SUM(X59:AA59)</f>
        <v>7750.31397313</v>
      </c>
      <c r="AC59" s="262">
        <f>IF(ISNA(MATCH(AC$2,Inputs!$K$4:$AJ$4,0)),NA(),IF(SUMPRODUCT((Inputs!$A$5:$A$140=$B59)*ISNUMBER(INDEX(Inputs!$K$5:$AJ$140,0,MATCH(AC$2,Inputs!$K$4:$AJ$4,0))))+SUMPRODUCT((Inputs!$C$5:$C$140=$B59)*ISNUMBER(INDEX(Inputs!$K$5:$AJ$140,0,MATCH(AC$2,Inputs!$K$4:$AJ$4,0))))+SUMPRODUCT((Inputs!$E$5:$E$140=$B59)*ISNUMBER(INDEX(Inputs!$K$5:$AJ$140,0,MATCH(AC$2,Inputs!$K$4:$AJ$4,0))))=0,NA(),SUMPRODUCT((Inputs!$A$5:$A$140=$B59)*Inputs!$B$5:$B$140*(((Inputs!$G$5:$G$140="moeda")+(Inputs!$G$5:$G$140="acoes"))*Inputs!$B$1+((Inputs!$G$5:$G$140&lt;&gt;"moeda")*(Inputs!$G$5:$G$140&lt;&gt;"acoes")))*INDEX(Inputs!$K$5:$AJ$140,0,MATCH(AC$2,Inputs!$K$4:$AJ$4,0)))+SUMPRODUCT((Inputs!$C$5:$C$140=$B59)*Inputs!$D$5:$D$140*(((Inputs!$G$5:$G$140="moeda")+(Inputs!$G$5:$G$140="acoes"))*Inputs!$B$1+((Inputs!$G$5:$G$140&lt;&gt;"moeda")*(Inputs!$G$5:$G$140&lt;&gt;"acoes")))*INDEX(Inputs!$K$5:$AJ$140,0,MATCH(AC$2,Inputs!$K$4:$AJ$4,0)))+SUMPRODUCT((Inputs!$E$5:$E$140=$B59)*Inputs!$F$5:$F$140*(((Inputs!$G$5:$G$140="moeda")+(Inputs!$G$5:$G$140="acoes"))*Inputs!$B$1+((Inputs!$G$5:$G$140&lt;&gt;"moeda")*(Inputs!$G$5:$G$140&lt;&gt;"acoes")))*INDEX(Inputs!$K$5:$AJ$140,0,MATCH(AC$2,Inputs!$K$4:$AJ$4,0)))))</f>
        <v>2304.6197087</v>
      </c>
      <c r="AD59" s="262">
        <f>IF(ISNA(MATCH(AD$2,Inputs!$K$4:$AJ$4,0)),NA(),IF(SUMPRODUCT((Inputs!$A$5:$A$140=$B59)*ISNUMBER(INDEX(Inputs!$K$5:$AJ$140,0,MATCH(AD$2,Inputs!$K$4:$AJ$4,0))))+SUMPRODUCT((Inputs!$C$5:$C$140=$B59)*ISNUMBER(INDEX(Inputs!$K$5:$AJ$140,0,MATCH(AD$2,Inputs!$K$4:$AJ$4,0))))+SUMPRODUCT((Inputs!$E$5:$E$140=$B59)*ISNUMBER(INDEX(Inputs!$K$5:$AJ$140,0,MATCH(AD$2,Inputs!$K$4:$AJ$4,0))))=0,NA(),SUMPRODUCT((Inputs!$A$5:$A$140=$B59)*Inputs!$B$5:$B$140*(((Inputs!$G$5:$G$140="moeda")+(Inputs!$G$5:$G$140="acoes"))*Inputs!$B$1+((Inputs!$G$5:$G$140&lt;&gt;"moeda")*(Inputs!$G$5:$G$140&lt;&gt;"acoes")))*INDEX(Inputs!$K$5:$AJ$140,0,MATCH(AD$2,Inputs!$K$4:$AJ$4,0)))+SUMPRODUCT((Inputs!$C$5:$C$140=$B59)*Inputs!$D$5:$D$140*(((Inputs!$G$5:$G$140="moeda")+(Inputs!$G$5:$G$140="acoes"))*Inputs!$B$1+((Inputs!$G$5:$G$140&lt;&gt;"moeda")*(Inputs!$G$5:$G$140&lt;&gt;"acoes")))*INDEX(Inputs!$K$5:$AJ$140,0,MATCH(AD$2,Inputs!$K$4:$AJ$4,0)))+SUMPRODUCT((Inputs!$E$5:$E$140=$B59)*Inputs!$F$5:$F$140*(((Inputs!$G$5:$G$140="moeda")+(Inputs!$G$5:$G$140="acoes"))*Inputs!$B$1+((Inputs!$G$5:$G$140&lt;&gt;"moeda")*(Inputs!$G$5:$G$140&lt;&gt;"acoes")))*INDEX(Inputs!$K$5:$AJ$140,0,MATCH(AD$2,Inputs!$K$4:$AJ$4,0)))))</f>
        <v>2045.50770539</v>
      </c>
      <c r="AE59" s="262" t="e">
        <f>IF(ISNA(MATCH(AE$2,Inputs!$K$4:$AJ$4,0)),NA(),IF(SUMPRODUCT((Inputs!$A$5:$A$140=$B59)*ISNUMBER(INDEX(Inputs!$K$5:$AJ$140,0,MATCH(AE$2,Inputs!$K$4:$AJ$4,0))))+SUMPRODUCT((Inputs!$C$5:$C$140=$B59)*ISNUMBER(INDEX(Inputs!$K$5:$AJ$140,0,MATCH(AE$2,Inputs!$K$4:$AJ$4,0))))+SUMPRODUCT((Inputs!$E$5:$E$140=$B59)*ISNUMBER(INDEX(Inputs!$K$5:$AJ$140,0,MATCH(AE$2,Inputs!$K$4:$AJ$4,0))))=0,NA(),SUMPRODUCT((Inputs!$A$5:$A$140=$B59)*Inputs!$B$5:$B$140*(((Inputs!$G$5:$G$140="moeda")+(Inputs!$G$5:$G$140="acoes"))*Inputs!$B$1+((Inputs!$G$5:$G$140&lt;&gt;"moeda")*(Inputs!$G$5:$G$140&lt;&gt;"acoes")))*INDEX(Inputs!$K$5:$AJ$140,0,MATCH(AE$2,Inputs!$K$4:$AJ$4,0)))+SUMPRODUCT((Inputs!$C$5:$C$140=$B59)*Inputs!$D$5:$D$140*(((Inputs!$G$5:$G$140="moeda")+(Inputs!$G$5:$G$140="acoes"))*Inputs!$B$1+((Inputs!$G$5:$G$140&lt;&gt;"moeda")*(Inputs!$G$5:$G$140&lt;&gt;"acoes")))*INDEX(Inputs!$K$5:$AJ$140,0,MATCH(AE$2,Inputs!$K$4:$AJ$4,0)))+SUMPRODUCT((Inputs!$E$5:$E$140=$B59)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59" s="262" t="e">
        <f>IF(ISNA(MATCH(AF$2,Inputs!$K$4:$AJ$4,0)),NA(),IF(SUMPRODUCT((Inputs!$A$5:$A$140=$B59)*ISNUMBER(INDEX(Inputs!$K$5:$AJ$140,0,MATCH(AF$2,Inputs!$K$4:$AJ$4,0))))+SUMPRODUCT((Inputs!$C$5:$C$140=$B59)*ISNUMBER(INDEX(Inputs!$K$5:$AJ$140,0,MATCH(AF$2,Inputs!$K$4:$AJ$4,0))))+SUMPRODUCT((Inputs!$E$5:$E$140=$B59)*ISNUMBER(INDEX(Inputs!$K$5:$AJ$140,0,MATCH(AF$2,Inputs!$K$4:$AJ$4,0))))=0,NA(),SUMPRODUCT((Inputs!$A$5:$A$140=$B59)*Inputs!$B$5:$B$140*(((Inputs!$G$5:$G$140="moeda")+(Inputs!$G$5:$G$140="acoes"))*Inputs!$B$1+((Inputs!$G$5:$G$140&lt;&gt;"moeda")*(Inputs!$G$5:$G$140&lt;&gt;"acoes")))*INDEX(Inputs!$K$5:$AJ$140,0,MATCH(AF$2,Inputs!$K$4:$AJ$4,0)))+SUMPRODUCT((Inputs!$C$5:$C$140=$B59)*Inputs!$D$5:$D$140*(((Inputs!$G$5:$G$140="moeda")+(Inputs!$G$5:$G$140="acoes"))*Inputs!$B$1+((Inputs!$G$5:$G$140&lt;&gt;"moeda")*(Inputs!$G$5:$G$140&lt;&gt;"acoes")))*INDEX(Inputs!$K$5:$AJ$140,0,MATCH(AF$2,Inputs!$K$4:$AJ$4,0)))+SUMPRODUCT((Inputs!$E$5:$E$140=$B59)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59" s="263" t="e">
        <f>SUM(AC59:AF59)</f>
        <v>#N/A</v>
      </c>
      <c r="AH59" s="262">
        <f>IF(ISNA(MATCH(AH$2,Inputs!$K$4:$AJ$4,0)),NA(),IF(SUMPRODUCT((Inputs!$A$5:$A$140=$B59)*ISNUMBER(INDEX(Inputs!$K$5:$AJ$140,0,MATCH(AH$2,Inputs!$K$4:$AJ$4,0))))+SUMPRODUCT((Inputs!$C$5:$C$140=$B59)*ISNUMBER(INDEX(Inputs!$K$5:$AJ$140,0,MATCH(AH$2,Inputs!$K$4:$AJ$4,0))))+SUMPRODUCT((Inputs!$E$5:$E$140=$B59)*ISNUMBER(INDEX(Inputs!$K$5:$AJ$140,0,MATCH(AH$2,Inputs!$K$4:$AJ$4,0))))=0,NA(),SUMPRODUCT((Inputs!$A$5:$A$140=$B59)*Inputs!$B$5:$B$140*(((Inputs!$G$5:$G$140="moeda")+(Inputs!$G$5:$G$140="acoes"))*Inputs!$B$1+((Inputs!$G$5:$G$140&lt;&gt;"moeda")*(Inputs!$G$5:$G$140&lt;&gt;"acoes")))*INDEX(Inputs!$K$5:$AJ$140,0,MATCH(AH$2,Inputs!$K$4:$AJ$4,0)))+SUMPRODUCT((Inputs!$C$5:$C$140=$B59)*Inputs!$D$5:$D$140*(((Inputs!$G$5:$G$140="moeda")+(Inputs!$G$5:$G$140="acoes"))*Inputs!$B$1+((Inputs!$G$5:$G$140&lt;&gt;"moeda")*(Inputs!$G$5:$G$140&lt;&gt;"acoes")))*INDEX(Inputs!$K$5:$AJ$140,0,MATCH(AH$2,Inputs!$K$4:$AJ$4,0)))+SUMPRODUCT((Inputs!$E$5:$E$140=$B59)*Inputs!$F$5:$F$140*(((Inputs!$G$5:$G$140="moeda")+(Inputs!$G$5:$G$140="acoes"))*Inputs!$B$1+((Inputs!$G$5:$G$140&lt;&gt;"moeda")*(Inputs!$G$5:$G$140&lt;&gt;"acoes")))*INDEX(Inputs!$K$5:$AJ$140,0,MATCH(AH$2,Inputs!$K$4:$AJ$4,0)))))</f>
        <v>238.8777902</v>
      </c>
      <c r="AI59" s="262">
        <f>IF(ISNA(MATCH(AI$2,Inputs!$K$4:$AJ$4,0)),NA(),IF(SUMPRODUCT((Inputs!$A$5:$A$140=$B59)*ISNUMBER(INDEX(Inputs!$K$5:$AJ$140,0,MATCH(AI$2,Inputs!$K$4:$AJ$4,0))))+SUMPRODUCT((Inputs!$C$5:$C$140=$B59)*ISNUMBER(INDEX(Inputs!$K$5:$AJ$140,0,MATCH(AI$2,Inputs!$K$4:$AJ$4,0))))+SUMPRODUCT((Inputs!$E$5:$E$140=$B59)*ISNUMBER(INDEX(Inputs!$K$5:$AJ$140,0,MATCH(AI$2,Inputs!$K$4:$AJ$4,0))))=0,NA(),SUMPRODUCT((Inputs!$A$5:$A$140=$B59)*Inputs!$B$5:$B$140*(((Inputs!$G$5:$G$140="moeda")+(Inputs!$G$5:$G$140="acoes"))*Inputs!$B$1+((Inputs!$G$5:$G$140&lt;&gt;"moeda")*(Inputs!$G$5:$G$140&lt;&gt;"acoes")))*INDEX(Inputs!$K$5:$AJ$140,0,MATCH(AI$2,Inputs!$K$4:$AJ$4,0)))+SUMPRODUCT((Inputs!$C$5:$C$140=$B59)*Inputs!$D$5:$D$140*(((Inputs!$G$5:$G$140="moeda")+(Inputs!$G$5:$G$140="acoes"))*Inputs!$B$1+((Inputs!$G$5:$G$140&lt;&gt;"moeda")*(Inputs!$G$5:$G$140&lt;&gt;"acoes")))*INDEX(Inputs!$K$5:$AJ$140,0,MATCH(AI$2,Inputs!$K$4:$AJ$4,0)))+SUMPRODUCT((Inputs!$E$5:$E$140=$B59)*Inputs!$F$5:$F$140*(((Inputs!$G$5:$G$140="moeda")+(Inputs!$G$5:$G$140="acoes"))*Inputs!$B$1+((Inputs!$G$5:$G$140&lt;&gt;"moeda")*(Inputs!$G$5:$G$140&lt;&gt;"acoes")))*INDEX(Inputs!$K$5:$AJ$140,0,MATCH(AI$2,Inputs!$K$4:$AJ$4,0)))))</f>
        <v>292.08220729</v>
      </c>
      <c r="AJ59" s="262">
        <f>IF(ISNA(MATCH(AJ$2,Inputs!$K$4:$AJ$4,0)),NA(),IF(SUMPRODUCT((Inputs!$A$5:$A$140=$B59)*ISNUMBER(INDEX(Inputs!$K$5:$AJ$140,0,MATCH(AJ$2,Inputs!$K$4:$AJ$4,0))))+SUMPRODUCT((Inputs!$C$5:$C$140=$B59)*ISNUMBER(INDEX(Inputs!$K$5:$AJ$140,0,MATCH(AJ$2,Inputs!$K$4:$AJ$4,0))))+SUMPRODUCT((Inputs!$E$5:$E$140=$B59)*ISNUMBER(INDEX(Inputs!$K$5:$AJ$140,0,MATCH(AJ$2,Inputs!$K$4:$AJ$4,0))))=0,NA(),SUMPRODUCT((Inputs!$A$5:$A$140=$B59)*Inputs!$B$5:$B$140*(((Inputs!$G$5:$G$140="moeda")+(Inputs!$G$5:$G$140="acoes"))*Inputs!$B$1+((Inputs!$G$5:$G$140&lt;&gt;"moeda")*(Inputs!$G$5:$G$140&lt;&gt;"acoes")))*INDEX(Inputs!$K$5:$AJ$140,0,MATCH(AJ$2,Inputs!$K$4:$AJ$4,0)))+SUMPRODUCT((Inputs!$C$5:$C$140=$B59)*Inputs!$D$5:$D$140*(((Inputs!$G$5:$G$140="moeda")+(Inputs!$G$5:$G$140="acoes"))*Inputs!$B$1+((Inputs!$G$5:$G$140&lt;&gt;"moeda")*(Inputs!$G$5:$G$140&lt;&gt;"acoes")))*INDEX(Inputs!$K$5:$AJ$140,0,MATCH(AJ$2,Inputs!$K$4:$AJ$4,0)))+SUMPRODUCT((Inputs!$E$5:$E$140=$B59)*Inputs!$F$5:$F$140*(((Inputs!$G$5:$G$140="moeda")+(Inputs!$G$5:$G$140="acoes"))*Inputs!$B$1+((Inputs!$G$5:$G$140&lt;&gt;"moeda")*(Inputs!$G$5:$G$140&lt;&gt;"acoes")))*INDEX(Inputs!$K$5:$AJ$140,0,MATCH(AJ$2,Inputs!$K$4:$AJ$4,0)))))</f>
        <v>410.34560115</v>
      </c>
      <c r="AK59" s="262">
        <f>IF(ISNA(MATCH(AK$2,Inputs!$K$4:$AJ$4,0)),NA(),IF(SUMPRODUCT((Inputs!$A$5:$A$140=$B59)*ISNUMBER(INDEX(Inputs!$K$5:$AJ$140,0,MATCH(AK$2,Inputs!$K$4:$AJ$4,0))))+SUMPRODUCT((Inputs!$C$5:$C$140=$B59)*ISNUMBER(INDEX(Inputs!$K$5:$AJ$140,0,MATCH(AK$2,Inputs!$K$4:$AJ$4,0))))+SUMPRODUCT((Inputs!$E$5:$E$140=$B59)*ISNUMBER(INDEX(Inputs!$K$5:$AJ$140,0,MATCH(AK$2,Inputs!$K$4:$AJ$4,0))))=0,NA(),SUMPRODUCT((Inputs!$A$5:$A$140=$B59)*Inputs!$B$5:$B$140*(((Inputs!$G$5:$G$140="moeda")+(Inputs!$G$5:$G$140="acoes"))*Inputs!$B$1+((Inputs!$G$5:$G$140&lt;&gt;"moeda")*(Inputs!$G$5:$G$140&lt;&gt;"acoes")))*INDEX(Inputs!$K$5:$AJ$140,0,MATCH(AK$2,Inputs!$K$4:$AJ$4,0)))+SUMPRODUCT((Inputs!$C$5:$C$140=$B59)*Inputs!$D$5:$D$140*(((Inputs!$G$5:$G$140="moeda")+(Inputs!$G$5:$G$140="acoes"))*Inputs!$B$1+((Inputs!$G$5:$G$140&lt;&gt;"moeda")*(Inputs!$G$5:$G$140&lt;&gt;"acoes")))*INDEX(Inputs!$K$5:$AJ$140,0,MATCH(AK$2,Inputs!$K$4:$AJ$4,0)))+SUMPRODUCT((Inputs!$E$5:$E$140=$B59)*Inputs!$F$5:$F$140*(((Inputs!$G$5:$G$140="moeda")+(Inputs!$G$5:$G$140="acoes"))*Inputs!$B$1+((Inputs!$G$5:$G$140&lt;&gt;"moeda")*(Inputs!$G$5:$G$140&lt;&gt;"acoes")))*INDEX(Inputs!$K$5:$AJ$140,0,MATCH(AK$2,Inputs!$K$4:$AJ$4,0)))))</f>
        <v>404.60491135</v>
      </c>
      <c r="AL59" s="263">
        <f>SUM(AH59:AK59)</f>
        <v>1345.91050999</v>
      </c>
    </row>
    <row r="60">
      <c r="B60" s="46" t="n">
        <v>52</v>
      </c>
      <c r="C60" s="29" t="inlineStr">
        <is>
          <t>Vendas liquidas - parte Cury (R$ mil; l.27)</t>
        </is>
      </c>
      <c r="D60" s="262">
        <f>IF(ISNA(MATCH(D$2,Inputs!$K$4:$AJ$4,0)),NA(),IF(SUMPRODUCT((Inputs!$A$5:$A$140=$B60)*ISNUMBER(INDEX(Inputs!$K$5:$AJ$140,0,MATCH(D$2,Inputs!$K$4:$AJ$4,0))))+SUMPRODUCT((Inputs!$C$5:$C$140=$B60)*ISNUMBER(INDEX(Inputs!$K$5:$AJ$140,0,MATCH(D$2,Inputs!$K$4:$AJ$4,0))))+SUMPRODUCT((Inputs!$E$5:$E$140=$B60)*ISNUMBER(INDEX(Inputs!$K$5:$AJ$140,0,MATCH(D$2,Inputs!$K$4:$AJ$4,0))))=0,NA(),SUMPRODUCT((Inputs!$A$5:$A$140=$B60)*Inputs!$B$5:$B$140*(((Inputs!$G$5:$G$140="moeda")+(Inputs!$G$5:$G$140="acoes"))*Inputs!$B$1+((Inputs!$G$5:$G$140&lt;&gt;"moeda")*(Inputs!$G$5:$G$140&lt;&gt;"acoes")))*INDEX(Inputs!$K$5:$AJ$140,0,MATCH(D$2,Inputs!$K$4:$AJ$4,0)))+SUMPRODUCT((Inputs!$C$5:$C$140=$B60)*Inputs!$D$5:$D$140*(((Inputs!$G$5:$G$140="moeda")+(Inputs!$G$5:$G$140="acoes"))*Inputs!$B$1+((Inputs!$G$5:$G$140&lt;&gt;"moeda")*(Inputs!$G$5:$G$140&lt;&gt;"acoes")))*INDEX(Inputs!$K$5:$AJ$140,0,MATCH(D$2,Inputs!$K$4:$AJ$4,0)))+SUMPRODUCT((Inputs!$E$5:$E$140=$B60)*Inputs!$F$5:$F$140*(((Inputs!$G$5:$G$140="moeda")+(Inputs!$G$5:$G$140="acoes"))*Inputs!$B$1+((Inputs!$G$5:$G$140&lt;&gt;"moeda")*(Inputs!$G$5:$G$140&lt;&gt;"acoes")))*INDEX(Inputs!$K$5:$AJ$140,0,MATCH(D$2,Inputs!$K$4:$AJ$4,0)))))</f>
        <v>526.078977</v>
      </c>
      <c r="E60" s="262">
        <f>IF(ISNA(MATCH(E$2,Inputs!$K$4:$AJ$4,0)),NA(),IF(SUMPRODUCT((Inputs!$A$5:$A$140=$B60)*ISNUMBER(INDEX(Inputs!$K$5:$AJ$140,0,MATCH(E$2,Inputs!$K$4:$AJ$4,0))))+SUMPRODUCT((Inputs!$C$5:$C$140=$B60)*ISNUMBER(INDEX(Inputs!$K$5:$AJ$140,0,MATCH(E$2,Inputs!$K$4:$AJ$4,0))))+SUMPRODUCT((Inputs!$E$5:$E$140=$B60)*ISNUMBER(INDEX(Inputs!$K$5:$AJ$140,0,MATCH(E$2,Inputs!$K$4:$AJ$4,0))))=0,NA(),SUMPRODUCT((Inputs!$A$5:$A$140=$B60)*Inputs!$B$5:$B$140*(((Inputs!$G$5:$G$140="moeda")+(Inputs!$G$5:$G$140="acoes"))*Inputs!$B$1+((Inputs!$G$5:$G$140&lt;&gt;"moeda")*(Inputs!$G$5:$G$140&lt;&gt;"acoes")))*INDEX(Inputs!$K$5:$AJ$140,0,MATCH(E$2,Inputs!$K$4:$AJ$4,0)))+SUMPRODUCT((Inputs!$C$5:$C$140=$B60)*Inputs!$D$5:$D$140*(((Inputs!$G$5:$G$140="moeda")+(Inputs!$G$5:$G$140="acoes"))*Inputs!$B$1+((Inputs!$G$5:$G$140&lt;&gt;"moeda")*(Inputs!$G$5:$G$140&lt;&gt;"acoes")))*INDEX(Inputs!$K$5:$AJ$140,0,MATCH(E$2,Inputs!$K$4:$AJ$4,0)))+SUMPRODUCT((Inputs!$E$5:$E$140=$B60)*Inputs!$F$5:$F$140*(((Inputs!$G$5:$G$140="moeda")+(Inputs!$G$5:$G$140="acoes"))*Inputs!$B$1+((Inputs!$G$5:$G$140&lt;&gt;"moeda")*(Inputs!$G$5:$G$140&lt;&gt;"acoes")))*INDEX(Inputs!$K$5:$AJ$140,0,MATCH(E$2,Inputs!$K$4:$AJ$4,0)))))</f>
        <v>618.279072</v>
      </c>
      <c r="F60" s="262">
        <f>IF(ISNA(MATCH(F$2,Inputs!$K$4:$AJ$4,0)),NA(),IF(SUMPRODUCT((Inputs!$A$5:$A$140=$B60)*ISNUMBER(INDEX(Inputs!$K$5:$AJ$140,0,MATCH(F$2,Inputs!$K$4:$AJ$4,0))))+SUMPRODUCT((Inputs!$C$5:$C$140=$B60)*ISNUMBER(INDEX(Inputs!$K$5:$AJ$140,0,MATCH(F$2,Inputs!$K$4:$AJ$4,0))))+SUMPRODUCT((Inputs!$E$5:$E$140=$B60)*ISNUMBER(INDEX(Inputs!$K$5:$AJ$140,0,MATCH(F$2,Inputs!$K$4:$AJ$4,0))))=0,NA(),SUMPRODUCT((Inputs!$A$5:$A$140=$B60)*Inputs!$B$5:$B$140*(((Inputs!$G$5:$G$140="moeda")+(Inputs!$G$5:$G$140="acoes"))*Inputs!$B$1+((Inputs!$G$5:$G$140&lt;&gt;"moeda")*(Inputs!$G$5:$G$140&lt;&gt;"acoes")))*INDEX(Inputs!$K$5:$AJ$140,0,MATCH(F$2,Inputs!$K$4:$AJ$4,0)))+SUMPRODUCT((Inputs!$C$5:$C$140=$B60)*Inputs!$D$5:$D$140*(((Inputs!$G$5:$G$140="moeda")+(Inputs!$G$5:$G$140="acoes"))*Inputs!$B$1+((Inputs!$G$5:$G$140&lt;&gt;"moeda")*(Inputs!$G$5:$G$140&lt;&gt;"acoes")))*INDEX(Inputs!$K$5:$AJ$140,0,MATCH(F$2,Inputs!$K$4:$AJ$4,0)))+SUMPRODUCT((Inputs!$E$5:$E$140=$B60)*Inputs!$F$5:$F$140*(((Inputs!$G$5:$G$140="moeda")+(Inputs!$G$5:$G$140="acoes"))*Inputs!$B$1+((Inputs!$G$5:$G$140&lt;&gt;"moeda")*(Inputs!$G$5:$G$140&lt;&gt;"acoes")))*INDEX(Inputs!$K$5:$AJ$140,0,MATCH(F$2,Inputs!$K$4:$AJ$4,0)))))</f>
        <v>639.576982</v>
      </c>
      <c r="G60" s="262">
        <f>IF(ISNA(MATCH(G$2,Inputs!$K$4:$AJ$4,0)),NA(),IF(SUMPRODUCT((Inputs!$A$5:$A$140=$B60)*ISNUMBER(INDEX(Inputs!$K$5:$AJ$140,0,MATCH(G$2,Inputs!$K$4:$AJ$4,0))))+SUMPRODUCT((Inputs!$C$5:$C$140=$B60)*ISNUMBER(INDEX(Inputs!$K$5:$AJ$140,0,MATCH(G$2,Inputs!$K$4:$AJ$4,0))))+SUMPRODUCT((Inputs!$E$5:$E$140=$B60)*ISNUMBER(INDEX(Inputs!$K$5:$AJ$140,0,MATCH(G$2,Inputs!$K$4:$AJ$4,0))))=0,NA(),SUMPRODUCT((Inputs!$A$5:$A$140=$B60)*Inputs!$B$5:$B$140*(((Inputs!$G$5:$G$140="moeda")+(Inputs!$G$5:$G$140="acoes"))*Inputs!$B$1+((Inputs!$G$5:$G$140&lt;&gt;"moeda")*(Inputs!$G$5:$G$140&lt;&gt;"acoes")))*INDEX(Inputs!$K$5:$AJ$140,0,MATCH(G$2,Inputs!$K$4:$AJ$4,0)))+SUMPRODUCT((Inputs!$C$5:$C$140=$B60)*Inputs!$D$5:$D$140*(((Inputs!$G$5:$G$140="moeda")+(Inputs!$G$5:$G$140="acoes"))*Inputs!$B$1+((Inputs!$G$5:$G$140&lt;&gt;"moeda")*(Inputs!$G$5:$G$140&lt;&gt;"acoes")))*INDEX(Inputs!$K$5:$AJ$140,0,MATCH(G$2,Inputs!$K$4:$AJ$4,0)))+SUMPRODUCT((Inputs!$E$5:$E$140=$B60)*Inputs!$F$5:$F$140*(((Inputs!$G$5:$G$140="moeda")+(Inputs!$G$5:$G$140="acoes"))*Inputs!$B$1+((Inputs!$G$5:$G$140&lt;&gt;"moeda")*(Inputs!$G$5:$G$140&lt;&gt;"acoes")))*INDEX(Inputs!$K$5:$AJ$140,0,MATCH(G$2,Inputs!$K$4:$AJ$4,0)))))</f>
        <v>565.420452</v>
      </c>
      <c r="H60" s="263">
        <f>SUM(D60:G60)</f>
        <v>2349.355483</v>
      </c>
      <c r="I60" s="262">
        <f>IF(ISNA(MATCH(I$2,Inputs!$K$4:$AJ$4,0)),NA(),IF(SUMPRODUCT((Inputs!$A$5:$A$140=$B60)*ISNUMBER(INDEX(Inputs!$K$5:$AJ$140,0,MATCH(I$2,Inputs!$K$4:$AJ$4,0))))+SUMPRODUCT((Inputs!$C$5:$C$140=$B60)*ISNUMBER(INDEX(Inputs!$K$5:$AJ$140,0,MATCH(I$2,Inputs!$K$4:$AJ$4,0))))+SUMPRODUCT((Inputs!$E$5:$E$140=$B60)*ISNUMBER(INDEX(Inputs!$K$5:$AJ$140,0,MATCH(I$2,Inputs!$K$4:$AJ$4,0))))=0,NA(),SUMPRODUCT((Inputs!$A$5:$A$140=$B60)*Inputs!$B$5:$B$140*(((Inputs!$G$5:$G$140="moeda")+(Inputs!$G$5:$G$140="acoes"))*Inputs!$B$1+((Inputs!$G$5:$G$140&lt;&gt;"moeda")*(Inputs!$G$5:$G$140&lt;&gt;"acoes")))*INDEX(Inputs!$K$5:$AJ$140,0,MATCH(I$2,Inputs!$K$4:$AJ$4,0)))+SUMPRODUCT((Inputs!$C$5:$C$140=$B60)*Inputs!$D$5:$D$140*(((Inputs!$G$5:$G$140="moeda")+(Inputs!$G$5:$G$140="acoes"))*Inputs!$B$1+((Inputs!$G$5:$G$140&lt;&gt;"moeda")*(Inputs!$G$5:$G$140&lt;&gt;"acoes")))*INDEX(Inputs!$K$5:$AJ$140,0,MATCH(I$2,Inputs!$K$4:$AJ$4,0)))+SUMPRODUCT((Inputs!$E$5:$E$140=$B60)*Inputs!$F$5:$F$140*(((Inputs!$G$5:$G$140="moeda")+(Inputs!$G$5:$G$140="acoes"))*Inputs!$B$1+((Inputs!$G$5:$G$140&lt;&gt;"moeda")*(Inputs!$G$5:$G$140&lt;&gt;"acoes")))*INDEX(Inputs!$K$5:$AJ$140,0,MATCH(I$2,Inputs!$K$4:$AJ$4,0)))))</f>
        <v>707.012388</v>
      </c>
      <c r="J60" s="262">
        <f>IF(ISNA(MATCH(J$2,Inputs!$K$4:$AJ$4,0)),NA(),IF(SUMPRODUCT((Inputs!$A$5:$A$140=$B60)*ISNUMBER(INDEX(Inputs!$K$5:$AJ$140,0,MATCH(J$2,Inputs!$K$4:$AJ$4,0))))+SUMPRODUCT((Inputs!$C$5:$C$140=$B60)*ISNUMBER(INDEX(Inputs!$K$5:$AJ$140,0,MATCH(J$2,Inputs!$K$4:$AJ$4,0))))+SUMPRODUCT((Inputs!$E$5:$E$140=$B60)*ISNUMBER(INDEX(Inputs!$K$5:$AJ$140,0,MATCH(J$2,Inputs!$K$4:$AJ$4,0))))=0,NA(),SUMPRODUCT((Inputs!$A$5:$A$140=$B60)*Inputs!$B$5:$B$140*(((Inputs!$G$5:$G$140="moeda")+(Inputs!$G$5:$G$140="acoes"))*Inputs!$B$1+((Inputs!$G$5:$G$140&lt;&gt;"moeda")*(Inputs!$G$5:$G$140&lt;&gt;"acoes")))*INDEX(Inputs!$K$5:$AJ$140,0,MATCH(J$2,Inputs!$K$4:$AJ$4,0)))+SUMPRODUCT((Inputs!$C$5:$C$140=$B60)*Inputs!$D$5:$D$140*(((Inputs!$G$5:$G$140="moeda")+(Inputs!$G$5:$G$140="acoes"))*Inputs!$B$1+((Inputs!$G$5:$G$140&lt;&gt;"moeda")*(Inputs!$G$5:$G$140&lt;&gt;"acoes")))*INDEX(Inputs!$K$5:$AJ$140,0,MATCH(J$2,Inputs!$K$4:$AJ$4,0)))+SUMPRODUCT((Inputs!$E$5:$E$140=$B60)*Inputs!$F$5:$F$140*(((Inputs!$G$5:$G$140="moeda")+(Inputs!$G$5:$G$140="acoes"))*Inputs!$B$1+((Inputs!$G$5:$G$140&lt;&gt;"moeda")*(Inputs!$G$5:$G$140&lt;&gt;"acoes")))*INDEX(Inputs!$K$5:$AJ$140,0,MATCH(J$2,Inputs!$K$4:$AJ$4,0)))))</f>
        <v>844.809697</v>
      </c>
      <c r="K60" s="262">
        <f>IF(ISNA(MATCH(K$2,Inputs!$K$4:$AJ$4,0)),NA(),IF(SUMPRODUCT((Inputs!$A$5:$A$140=$B60)*ISNUMBER(INDEX(Inputs!$K$5:$AJ$140,0,MATCH(K$2,Inputs!$K$4:$AJ$4,0))))+SUMPRODUCT((Inputs!$C$5:$C$140=$B60)*ISNUMBER(INDEX(Inputs!$K$5:$AJ$140,0,MATCH(K$2,Inputs!$K$4:$AJ$4,0))))+SUMPRODUCT((Inputs!$E$5:$E$140=$B60)*ISNUMBER(INDEX(Inputs!$K$5:$AJ$140,0,MATCH(K$2,Inputs!$K$4:$AJ$4,0))))=0,NA(),SUMPRODUCT((Inputs!$A$5:$A$140=$B60)*Inputs!$B$5:$B$140*(((Inputs!$G$5:$G$140="moeda")+(Inputs!$G$5:$G$140="acoes"))*Inputs!$B$1+((Inputs!$G$5:$G$140&lt;&gt;"moeda")*(Inputs!$G$5:$G$140&lt;&gt;"acoes")))*INDEX(Inputs!$K$5:$AJ$140,0,MATCH(K$2,Inputs!$K$4:$AJ$4,0)))+SUMPRODUCT((Inputs!$C$5:$C$140=$B60)*Inputs!$D$5:$D$140*(((Inputs!$G$5:$G$140="moeda")+(Inputs!$G$5:$G$140="acoes"))*Inputs!$B$1+((Inputs!$G$5:$G$140&lt;&gt;"moeda")*(Inputs!$G$5:$G$140&lt;&gt;"acoes")))*INDEX(Inputs!$K$5:$AJ$140,0,MATCH(K$2,Inputs!$K$4:$AJ$4,0)))+SUMPRODUCT((Inputs!$E$5:$E$140=$B60)*Inputs!$F$5:$F$140*(((Inputs!$G$5:$G$140="moeda")+(Inputs!$G$5:$G$140="acoes"))*Inputs!$B$1+((Inputs!$G$5:$G$140&lt;&gt;"moeda")*(Inputs!$G$5:$G$140&lt;&gt;"acoes")))*INDEX(Inputs!$K$5:$AJ$140,0,MATCH(K$2,Inputs!$K$4:$AJ$4,0)))))</f>
        <v>836.735121</v>
      </c>
      <c r="L60" s="262">
        <f>IF(ISNA(MATCH(L$2,Inputs!$K$4:$AJ$4,0)),NA(),IF(SUMPRODUCT((Inputs!$A$5:$A$140=$B60)*ISNUMBER(INDEX(Inputs!$K$5:$AJ$140,0,MATCH(L$2,Inputs!$K$4:$AJ$4,0))))+SUMPRODUCT((Inputs!$C$5:$C$140=$B60)*ISNUMBER(INDEX(Inputs!$K$5:$AJ$140,0,MATCH(L$2,Inputs!$K$4:$AJ$4,0))))+SUMPRODUCT((Inputs!$E$5:$E$140=$B60)*ISNUMBER(INDEX(Inputs!$K$5:$AJ$140,0,MATCH(L$2,Inputs!$K$4:$AJ$4,0))))=0,NA(),SUMPRODUCT((Inputs!$A$5:$A$140=$B60)*Inputs!$B$5:$B$140*(((Inputs!$G$5:$G$140="moeda")+(Inputs!$G$5:$G$140="acoes"))*Inputs!$B$1+((Inputs!$G$5:$G$140&lt;&gt;"moeda")*(Inputs!$G$5:$G$140&lt;&gt;"acoes")))*INDEX(Inputs!$K$5:$AJ$140,0,MATCH(L$2,Inputs!$K$4:$AJ$4,0)))+SUMPRODUCT((Inputs!$C$5:$C$140=$B60)*Inputs!$D$5:$D$140*(((Inputs!$G$5:$G$140="moeda")+(Inputs!$G$5:$G$140="acoes"))*Inputs!$B$1+((Inputs!$G$5:$G$140&lt;&gt;"moeda")*(Inputs!$G$5:$G$140&lt;&gt;"acoes")))*INDEX(Inputs!$K$5:$AJ$140,0,MATCH(L$2,Inputs!$K$4:$AJ$4,0)))+SUMPRODUCT((Inputs!$E$5:$E$140=$B60)*Inputs!$F$5:$F$140*(((Inputs!$G$5:$G$140="moeda")+(Inputs!$G$5:$G$140="acoes"))*Inputs!$B$1+((Inputs!$G$5:$G$140&lt;&gt;"moeda")*(Inputs!$G$5:$G$140&lt;&gt;"acoes")))*INDEX(Inputs!$K$5:$AJ$140,0,MATCH(L$2,Inputs!$K$4:$AJ$4,0)))))</f>
        <v>719.681964281</v>
      </c>
      <c r="M60" s="263">
        <f>SUM(I60:L60)</f>
        <v>3108.239170281</v>
      </c>
      <c r="N60" s="262">
        <f>IF(ISNA(MATCH(N$2,Inputs!$K$4:$AJ$4,0)),NA(),IF(SUMPRODUCT((Inputs!$A$5:$A$140=$B60)*ISNUMBER(INDEX(Inputs!$K$5:$AJ$140,0,MATCH(N$2,Inputs!$K$4:$AJ$4,0))))+SUMPRODUCT((Inputs!$C$5:$C$140=$B60)*ISNUMBER(INDEX(Inputs!$K$5:$AJ$140,0,MATCH(N$2,Inputs!$K$4:$AJ$4,0))))+SUMPRODUCT((Inputs!$E$5:$E$140=$B60)*ISNUMBER(INDEX(Inputs!$K$5:$AJ$140,0,MATCH(N$2,Inputs!$K$4:$AJ$4,0))))=0,NA(),SUMPRODUCT((Inputs!$A$5:$A$140=$B60)*Inputs!$B$5:$B$140*(((Inputs!$G$5:$G$140="moeda")+(Inputs!$G$5:$G$140="acoes"))*Inputs!$B$1+((Inputs!$G$5:$G$140&lt;&gt;"moeda")*(Inputs!$G$5:$G$140&lt;&gt;"acoes")))*INDEX(Inputs!$K$5:$AJ$140,0,MATCH(N$2,Inputs!$K$4:$AJ$4,0)))+SUMPRODUCT((Inputs!$C$5:$C$140=$B60)*Inputs!$D$5:$D$140*(((Inputs!$G$5:$G$140="moeda")+(Inputs!$G$5:$G$140="acoes"))*Inputs!$B$1+((Inputs!$G$5:$G$140&lt;&gt;"moeda")*(Inputs!$G$5:$G$140&lt;&gt;"acoes")))*INDEX(Inputs!$K$5:$AJ$140,0,MATCH(N$2,Inputs!$K$4:$AJ$4,0)))+SUMPRODUCT((Inputs!$E$5:$E$140=$B60)*Inputs!$F$5:$F$140*(((Inputs!$G$5:$G$140="moeda")+(Inputs!$G$5:$G$140="acoes"))*Inputs!$B$1+((Inputs!$G$5:$G$140&lt;&gt;"moeda")*(Inputs!$G$5:$G$140&lt;&gt;"acoes")))*INDEX(Inputs!$K$5:$AJ$140,0,MATCH(N$2,Inputs!$K$4:$AJ$4,0)))))</f>
        <v>1061.20588462305</v>
      </c>
      <c r="O60" s="262">
        <f>IF(ISNA(MATCH(O$2,Inputs!$K$4:$AJ$4,0)),NA(),IF(SUMPRODUCT((Inputs!$A$5:$A$140=$B60)*ISNUMBER(INDEX(Inputs!$K$5:$AJ$140,0,MATCH(O$2,Inputs!$K$4:$AJ$4,0))))+SUMPRODUCT((Inputs!$C$5:$C$140=$B60)*ISNUMBER(INDEX(Inputs!$K$5:$AJ$140,0,MATCH(O$2,Inputs!$K$4:$AJ$4,0))))+SUMPRODUCT((Inputs!$E$5:$E$140=$B60)*ISNUMBER(INDEX(Inputs!$K$5:$AJ$140,0,MATCH(O$2,Inputs!$K$4:$AJ$4,0))))=0,NA(),SUMPRODUCT((Inputs!$A$5:$A$140=$B60)*Inputs!$B$5:$B$140*(((Inputs!$G$5:$G$140="moeda")+(Inputs!$G$5:$G$140="acoes"))*Inputs!$B$1+((Inputs!$G$5:$G$140&lt;&gt;"moeda")*(Inputs!$G$5:$G$140&lt;&gt;"acoes")))*INDEX(Inputs!$K$5:$AJ$140,0,MATCH(O$2,Inputs!$K$4:$AJ$4,0)))+SUMPRODUCT((Inputs!$C$5:$C$140=$B60)*Inputs!$D$5:$D$140*(((Inputs!$G$5:$G$140="moeda")+(Inputs!$G$5:$G$140="acoes"))*Inputs!$B$1+((Inputs!$G$5:$G$140&lt;&gt;"moeda")*(Inputs!$G$5:$G$140&lt;&gt;"acoes")))*INDEX(Inputs!$K$5:$AJ$140,0,MATCH(O$2,Inputs!$K$4:$AJ$4,0)))+SUMPRODUCT((Inputs!$E$5:$E$140=$B60)*Inputs!$F$5:$F$140*(((Inputs!$G$5:$G$140="moeda")+(Inputs!$G$5:$G$140="acoes"))*Inputs!$B$1+((Inputs!$G$5:$G$140&lt;&gt;"moeda")*(Inputs!$G$5:$G$140&lt;&gt;"acoes")))*INDEX(Inputs!$K$5:$AJ$140,0,MATCH(O$2,Inputs!$K$4:$AJ$4,0)))))</f>
        <v>1132.517</v>
      </c>
      <c r="P60" s="262">
        <f>IF(ISNA(MATCH(P$2,Inputs!$K$4:$AJ$4,0)),NA(),IF(SUMPRODUCT((Inputs!$A$5:$A$140=$B60)*ISNUMBER(INDEX(Inputs!$K$5:$AJ$140,0,MATCH(P$2,Inputs!$K$4:$AJ$4,0))))+SUMPRODUCT((Inputs!$C$5:$C$140=$B60)*ISNUMBER(INDEX(Inputs!$K$5:$AJ$140,0,MATCH(P$2,Inputs!$K$4:$AJ$4,0))))+SUMPRODUCT((Inputs!$E$5:$E$140=$B60)*ISNUMBER(INDEX(Inputs!$K$5:$AJ$140,0,MATCH(P$2,Inputs!$K$4:$AJ$4,0))))=0,NA(),SUMPRODUCT((Inputs!$A$5:$A$140=$B60)*Inputs!$B$5:$B$140*(((Inputs!$G$5:$G$140="moeda")+(Inputs!$G$5:$G$140="acoes"))*Inputs!$B$1+((Inputs!$G$5:$G$140&lt;&gt;"moeda")*(Inputs!$G$5:$G$140&lt;&gt;"acoes")))*INDEX(Inputs!$K$5:$AJ$140,0,MATCH(P$2,Inputs!$K$4:$AJ$4,0)))+SUMPRODUCT((Inputs!$C$5:$C$140=$B60)*Inputs!$D$5:$D$140*(((Inputs!$G$5:$G$140="moeda")+(Inputs!$G$5:$G$140="acoes"))*Inputs!$B$1+((Inputs!$G$5:$G$140&lt;&gt;"moeda")*(Inputs!$G$5:$G$140&lt;&gt;"acoes")))*INDEX(Inputs!$K$5:$AJ$140,0,MATCH(P$2,Inputs!$K$4:$AJ$4,0)))+SUMPRODUCT((Inputs!$E$5:$E$140=$B60)*Inputs!$F$5:$F$140*(((Inputs!$G$5:$G$140="moeda")+(Inputs!$G$5:$G$140="acoes"))*Inputs!$B$1+((Inputs!$G$5:$G$140&lt;&gt;"moeda")*(Inputs!$G$5:$G$140&lt;&gt;"acoes")))*INDEX(Inputs!$K$5:$AJ$140,0,MATCH(P$2,Inputs!$K$4:$AJ$4,0)))))</f>
        <v>873.63920862795</v>
      </c>
      <c r="Q60" s="262">
        <f>IF(ISNA(MATCH(Q$2,Inputs!$K$4:$AJ$4,0)),NA(),IF(SUMPRODUCT((Inputs!$A$5:$A$140=$B60)*ISNUMBER(INDEX(Inputs!$K$5:$AJ$140,0,MATCH(Q$2,Inputs!$K$4:$AJ$4,0))))+SUMPRODUCT((Inputs!$C$5:$C$140=$B60)*ISNUMBER(INDEX(Inputs!$K$5:$AJ$140,0,MATCH(Q$2,Inputs!$K$4:$AJ$4,0))))+SUMPRODUCT((Inputs!$E$5:$E$140=$B60)*ISNUMBER(INDEX(Inputs!$K$5:$AJ$140,0,MATCH(Q$2,Inputs!$K$4:$AJ$4,0))))=0,NA(),SUMPRODUCT((Inputs!$A$5:$A$140=$B60)*Inputs!$B$5:$B$140*(((Inputs!$G$5:$G$140="moeda")+(Inputs!$G$5:$G$140="acoes"))*Inputs!$B$1+((Inputs!$G$5:$G$140&lt;&gt;"moeda")*(Inputs!$G$5:$G$140&lt;&gt;"acoes")))*INDEX(Inputs!$K$5:$AJ$140,0,MATCH(Q$2,Inputs!$K$4:$AJ$4,0)))+SUMPRODUCT((Inputs!$C$5:$C$140=$B60)*Inputs!$D$5:$D$140*(((Inputs!$G$5:$G$140="moeda")+(Inputs!$G$5:$G$140="acoes"))*Inputs!$B$1+((Inputs!$G$5:$G$140&lt;&gt;"moeda")*(Inputs!$G$5:$G$140&lt;&gt;"acoes")))*INDEX(Inputs!$K$5:$AJ$140,0,MATCH(Q$2,Inputs!$K$4:$AJ$4,0)))+SUMPRODUCT((Inputs!$E$5:$E$140=$B60)*Inputs!$F$5:$F$140*(((Inputs!$G$5:$G$140="moeda")+(Inputs!$G$5:$G$140="acoes"))*Inputs!$B$1+((Inputs!$G$5:$G$140&lt;&gt;"moeda")*(Inputs!$G$5:$G$140&lt;&gt;"acoes")))*INDEX(Inputs!$K$5:$AJ$140,0,MATCH(Q$2,Inputs!$K$4:$AJ$4,0)))))</f>
        <v>850.285464</v>
      </c>
      <c r="R60" s="263">
        <f>SUM(N60:Q60)</f>
        <v>3917.647557251</v>
      </c>
      <c r="S60" s="262">
        <f>IF(ISNA(MATCH(S$2,Inputs!$K$4:$AJ$4,0)),NA(),IF(SUMPRODUCT((Inputs!$A$5:$A$140=$B60)*ISNUMBER(INDEX(Inputs!$K$5:$AJ$140,0,MATCH(S$2,Inputs!$K$4:$AJ$4,0))))+SUMPRODUCT((Inputs!$C$5:$C$140=$B60)*ISNUMBER(INDEX(Inputs!$K$5:$AJ$140,0,MATCH(S$2,Inputs!$K$4:$AJ$4,0))))+SUMPRODUCT((Inputs!$E$5:$E$140=$B60)*ISNUMBER(INDEX(Inputs!$K$5:$AJ$140,0,MATCH(S$2,Inputs!$K$4:$AJ$4,0))))=0,NA(),SUMPRODUCT((Inputs!$A$5:$A$140=$B60)*Inputs!$B$5:$B$140*(((Inputs!$G$5:$G$140="moeda")+(Inputs!$G$5:$G$140="acoes"))*Inputs!$B$1+((Inputs!$G$5:$G$140&lt;&gt;"moeda")*(Inputs!$G$5:$G$140&lt;&gt;"acoes")))*INDEX(Inputs!$K$5:$AJ$140,0,MATCH(S$2,Inputs!$K$4:$AJ$4,0)))+SUMPRODUCT((Inputs!$C$5:$C$140=$B60)*Inputs!$D$5:$D$140*(((Inputs!$G$5:$G$140="moeda")+(Inputs!$G$5:$G$140="acoes"))*Inputs!$B$1+((Inputs!$G$5:$G$140&lt;&gt;"moeda")*(Inputs!$G$5:$G$140&lt;&gt;"acoes")))*INDEX(Inputs!$K$5:$AJ$140,0,MATCH(S$2,Inputs!$K$4:$AJ$4,0)))+SUMPRODUCT((Inputs!$E$5:$E$140=$B60)*Inputs!$F$5:$F$140*(((Inputs!$G$5:$G$140="moeda")+(Inputs!$G$5:$G$140="acoes"))*Inputs!$B$1+((Inputs!$G$5:$G$140&lt;&gt;"moeda")*(Inputs!$G$5:$G$140&lt;&gt;"acoes")))*INDEX(Inputs!$K$5:$AJ$140,0,MATCH(S$2,Inputs!$K$4:$AJ$4,0)))))</f>
        <v>1327.3153189665</v>
      </c>
      <c r="T60" s="262">
        <f>IF(ISNA(MATCH(T$2,Inputs!$K$4:$AJ$4,0)),NA(),IF(SUMPRODUCT((Inputs!$A$5:$A$140=$B60)*ISNUMBER(INDEX(Inputs!$K$5:$AJ$140,0,MATCH(T$2,Inputs!$K$4:$AJ$4,0))))+SUMPRODUCT((Inputs!$C$5:$C$140=$B60)*ISNUMBER(INDEX(Inputs!$K$5:$AJ$140,0,MATCH(T$2,Inputs!$K$4:$AJ$4,0))))+SUMPRODUCT((Inputs!$E$5:$E$140=$B60)*ISNUMBER(INDEX(Inputs!$K$5:$AJ$140,0,MATCH(T$2,Inputs!$K$4:$AJ$4,0))))=0,NA(),SUMPRODUCT((Inputs!$A$5:$A$140=$B60)*Inputs!$B$5:$B$140*(((Inputs!$G$5:$G$140="moeda")+(Inputs!$G$5:$G$140="acoes"))*Inputs!$B$1+((Inputs!$G$5:$G$140&lt;&gt;"moeda")*(Inputs!$G$5:$G$140&lt;&gt;"acoes")))*INDEX(Inputs!$K$5:$AJ$140,0,MATCH(T$2,Inputs!$K$4:$AJ$4,0)))+SUMPRODUCT((Inputs!$C$5:$C$140=$B60)*Inputs!$D$5:$D$140*(((Inputs!$G$5:$G$140="moeda")+(Inputs!$G$5:$G$140="acoes"))*Inputs!$B$1+((Inputs!$G$5:$G$140&lt;&gt;"moeda")*(Inputs!$G$5:$G$140&lt;&gt;"acoes")))*INDEX(Inputs!$K$5:$AJ$140,0,MATCH(T$2,Inputs!$K$4:$AJ$4,0)))+SUMPRODUCT((Inputs!$E$5:$E$140=$B60)*Inputs!$F$5:$F$140*(((Inputs!$G$5:$G$140="moeda")+(Inputs!$G$5:$G$140="acoes"))*Inputs!$B$1+((Inputs!$G$5:$G$140&lt;&gt;"moeda")*(Inputs!$G$5:$G$140&lt;&gt;"acoes")))*INDEX(Inputs!$K$5:$AJ$140,0,MATCH(T$2,Inputs!$K$4:$AJ$4,0)))))</f>
        <v>1635.318645691</v>
      </c>
      <c r="U60" s="262">
        <f>IF(ISNA(MATCH(U$2,Inputs!$K$4:$AJ$4,0)),NA(),IF(SUMPRODUCT((Inputs!$A$5:$A$140=$B60)*ISNUMBER(INDEX(Inputs!$K$5:$AJ$140,0,MATCH(U$2,Inputs!$K$4:$AJ$4,0))))+SUMPRODUCT((Inputs!$C$5:$C$140=$B60)*ISNUMBER(INDEX(Inputs!$K$5:$AJ$140,0,MATCH(U$2,Inputs!$K$4:$AJ$4,0))))+SUMPRODUCT((Inputs!$E$5:$E$140=$B60)*ISNUMBER(INDEX(Inputs!$K$5:$AJ$140,0,MATCH(U$2,Inputs!$K$4:$AJ$4,0))))=0,NA(),SUMPRODUCT((Inputs!$A$5:$A$140=$B60)*Inputs!$B$5:$B$140*(((Inputs!$G$5:$G$140="moeda")+(Inputs!$G$5:$G$140="acoes"))*Inputs!$B$1+((Inputs!$G$5:$G$140&lt;&gt;"moeda")*(Inputs!$G$5:$G$140&lt;&gt;"acoes")))*INDEX(Inputs!$K$5:$AJ$140,0,MATCH(U$2,Inputs!$K$4:$AJ$4,0)))+SUMPRODUCT((Inputs!$C$5:$C$140=$B60)*Inputs!$D$5:$D$140*(((Inputs!$G$5:$G$140="moeda")+(Inputs!$G$5:$G$140="acoes"))*Inputs!$B$1+((Inputs!$G$5:$G$140&lt;&gt;"moeda")*(Inputs!$G$5:$G$140&lt;&gt;"acoes")))*INDEX(Inputs!$K$5:$AJ$140,0,MATCH(U$2,Inputs!$K$4:$AJ$4,0)))+SUMPRODUCT((Inputs!$E$5:$E$140=$B60)*Inputs!$F$5:$F$140*(((Inputs!$G$5:$G$140="moeda")+(Inputs!$G$5:$G$140="acoes"))*Inputs!$B$1+((Inputs!$G$5:$G$140&lt;&gt;"moeda")*(Inputs!$G$5:$G$140&lt;&gt;"acoes")))*INDEX(Inputs!$K$5:$AJ$140,0,MATCH(U$2,Inputs!$K$4:$AJ$4,0)))))</f>
        <v>1359.5833140795</v>
      </c>
      <c r="V60" s="262">
        <f>IF(ISNA(MATCH(V$2,Inputs!$K$4:$AJ$4,0)),NA(),IF(SUMPRODUCT((Inputs!$A$5:$A$140=$B60)*ISNUMBER(INDEX(Inputs!$K$5:$AJ$140,0,MATCH(V$2,Inputs!$K$4:$AJ$4,0))))+SUMPRODUCT((Inputs!$C$5:$C$140=$B60)*ISNUMBER(INDEX(Inputs!$K$5:$AJ$140,0,MATCH(V$2,Inputs!$K$4:$AJ$4,0))))+SUMPRODUCT((Inputs!$E$5:$E$140=$B60)*ISNUMBER(INDEX(Inputs!$K$5:$AJ$140,0,MATCH(V$2,Inputs!$K$4:$AJ$4,0))))=0,NA(),SUMPRODUCT((Inputs!$A$5:$A$140=$B60)*Inputs!$B$5:$B$140*(((Inputs!$G$5:$G$140="moeda")+(Inputs!$G$5:$G$140="acoes"))*Inputs!$B$1+((Inputs!$G$5:$G$140&lt;&gt;"moeda")*(Inputs!$G$5:$G$140&lt;&gt;"acoes")))*INDEX(Inputs!$K$5:$AJ$140,0,MATCH(V$2,Inputs!$K$4:$AJ$4,0)))+SUMPRODUCT((Inputs!$C$5:$C$140=$B60)*Inputs!$D$5:$D$140*(((Inputs!$G$5:$G$140="moeda")+(Inputs!$G$5:$G$140="acoes"))*Inputs!$B$1+((Inputs!$G$5:$G$140&lt;&gt;"moeda")*(Inputs!$G$5:$G$140&lt;&gt;"acoes")))*INDEX(Inputs!$K$5:$AJ$140,0,MATCH(V$2,Inputs!$K$4:$AJ$4,0)))+SUMPRODUCT((Inputs!$E$5:$E$140=$B60)*Inputs!$F$5:$F$140*(((Inputs!$G$5:$G$140="moeda")+(Inputs!$G$5:$G$140="acoes"))*Inputs!$B$1+((Inputs!$G$5:$G$140&lt;&gt;"moeda")*(Inputs!$G$5:$G$140&lt;&gt;"acoes")))*INDEX(Inputs!$K$5:$AJ$140,0,MATCH(V$2,Inputs!$K$4:$AJ$4,0)))))</f>
        <v>1177.287</v>
      </c>
      <c r="W60" s="263">
        <f>SUM(S60:V60)</f>
        <v>5499.504278737</v>
      </c>
      <c r="X60" s="262">
        <f>IF(ISNA(MATCH(X$2,Inputs!$K$4:$AJ$4,0)),NA(),IF(SUMPRODUCT((Inputs!$A$5:$A$140=$B60)*ISNUMBER(INDEX(Inputs!$K$5:$AJ$140,0,MATCH(X$2,Inputs!$K$4:$AJ$4,0))))+SUMPRODUCT((Inputs!$C$5:$C$140=$B60)*ISNUMBER(INDEX(Inputs!$K$5:$AJ$140,0,MATCH(X$2,Inputs!$K$4:$AJ$4,0))))+SUMPRODUCT((Inputs!$E$5:$E$140=$B60)*ISNUMBER(INDEX(Inputs!$K$5:$AJ$140,0,MATCH(X$2,Inputs!$K$4:$AJ$4,0))))=0,NA(),SUMPRODUCT((Inputs!$A$5:$A$140=$B60)*Inputs!$B$5:$B$140*(((Inputs!$G$5:$G$140="moeda")+(Inputs!$G$5:$G$140="acoes"))*Inputs!$B$1+((Inputs!$G$5:$G$140&lt;&gt;"moeda")*(Inputs!$G$5:$G$140&lt;&gt;"acoes")))*INDEX(Inputs!$K$5:$AJ$140,0,MATCH(X$2,Inputs!$K$4:$AJ$4,0)))+SUMPRODUCT((Inputs!$C$5:$C$140=$B60)*Inputs!$D$5:$D$140*(((Inputs!$G$5:$G$140="moeda")+(Inputs!$G$5:$G$140="acoes"))*Inputs!$B$1+((Inputs!$G$5:$G$140&lt;&gt;"moeda")*(Inputs!$G$5:$G$140&lt;&gt;"acoes")))*INDEX(Inputs!$K$5:$AJ$140,0,MATCH(X$2,Inputs!$K$4:$AJ$4,0)))+SUMPRODUCT((Inputs!$E$5:$E$140=$B60)*Inputs!$F$5:$F$140*(((Inputs!$G$5:$G$140="moeda")+(Inputs!$G$5:$G$140="acoes"))*Inputs!$B$1+((Inputs!$G$5:$G$140&lt;&gt;"moeda")*(Inputs!$G$5:$G$140&lt;&gt;"acoes")))*INDEX(Inputs!$K$5:$AJ$140,0,MATCH(X$2,Inputs!$K$4:$AJ$4,0)))))</f>
        <v>1919.242</v>
      </c>
      <c r="Y60" s="262">
        <f>IF(ISNA(MATCH(Y$2,Inputs!$K$4:$AJ$4,0)),NA(),IF(SUMPRODUCT((Inputs!$A$5:$A$140=$B60)*ISNUMBER(INDEX(Inputs!$K$5:$AJ$140,0,MATCH(Y$2,Inputs!$K$4:$AJ$4,0))))+SUMPRODUCT((Inputs!$C$5:$C$140=$B60)*ISNUMBER(INDEX(Inputs!$K$5:$AJ$140,0,MATCH(Y$2,Inputs!$K$4:$AJ$4,0))))+SUMPRODUCT((Inputs!$E$5:$E$140=$B60)*ISNUMBER(INDEX(Inputs!$K$5:$AJ$140,0,MATCH(Y$2,Inputs!$K$4:$AJ$4,0))))=0,NA(),SUMPRODUCT((Inputs!$A$5:$A$140=$B60)*Inputs!$B$5:$B$140*(((Inputs!$G$5:$G$140="moeda")+(Inputs!$G$5:$G$140="acoes"))*Inputs!$B$1+((Inputs!$G$5:$G$140&lt;&gt;"moeda")*(Inputs!$G$5:$G$140&lt;&gt;"acoes")))*INDEX(Inputs!$K$5:$AJ$140,0,MATCH(Y$2,Inputs!$K$4:$AJ$4,0)))+SUMPRODUCT((Inputs!$C$5:$C$140=$B60)*Inputs!$D$5:$D$140*(((Inputs!$G$5:$G$140="moeda")+(Inputs!$G$5:$G$140="acoes"))*Inputs!$B$1+((Inputs!$G$5:$G$140&lt;&gt;"moeda")*(Inputs!$G$5:$G$140&lt;&gt;"acoes")))*INDEX(Inputs!$K$5:$AJ$140,0,MATCH(Y$2,Inputs!$K$4:$AJ$4,0)))+SUMPRODUCT((Inputs!$E$5:$E$140=$B60)*Inputs!$F$5:$F$140*(((Inputs!$G$5:$G$140="moeda")+(Inputs!$G$5:$G$140="acoes"))*Inputs!$B$1+((Inputs!$G$5:$G$140&lt;&gt;"moeda")*(Inputs!$G$5:$G$140&lt;&gt;"acoes")))*INDEX(Inputs!$K$5:$AJ$140,0,MATCH(Y$2,Inputs!$K$4:$AJ$4,0)))))</f>
        <v>2007.2358972826</v>
      </c>
      <c r="Z60" s="262">
        <f>IF(ISNA(MATCH(Z$2,Inputs!$K$4:$AJ$4,0)),NA(),IF(SUMPRODUCT((Inputs!$A$5:$A$140=$B60)*ISNUMBER(INDEX(Inputs!$K$5:$AJ$140,0,MATCH(Z$2,Inputs!$K$4:$AJ$4,0))))+SUMPRODUCT((Inputs!$C$5:$C$140=$B60)*ISNUMBER(INDEX(Inputs!$K$5:$AJ$140,0,MATCH(Z$2,Inputs!$K$4:$AJ$4,0))))+SUMPRODUCT((Inputs!$E$5:$E$140=$B60)*ISNUMBER(INDEX(Inputs!$K$5:$AJ$140,0,MATCH(Z$2,Inputs!$K$4:$AJ$4,0))))=0,NA(),SUMPRODUCT((Inputs!$A$5:$A$140=$B60)*Inputs!$B$5:$B$140*(((Inputs!$G$5:$G$140="moeda")+(Inputs!$G$5:$G$140="acoes"))*Inputs!$B$1+((Inputs!$G$5:$G$140&lt;&gt;"moeda")*(Inputs!$G$5:$G$140&lt;&gt;"acoes")))*INDEX(Inputs!$K$5:$AJ$140,0,MATCH(Z$2,Inputs!$K$4:$AJ$4,0)))+SUMPRODUCT((Inputs!$C$5:$C$140=$B60)*Inputs!$D$5:$D$140*(((Inputs!$G$5:$G$140="moeda")+(Inputs!$G$5:$G$140="acoes"))*Inputs!$B$1+((Inputs!$G$5:$G$140&lt;&gt;"moeda")*(Inputs!$G$5:$G$140&lt;&gt;"acoes")))*INDEX(Inputs!$K$5:$AJ$140,0,MATCH(Z$2,Inputs!$K$4:$AJ$4,0)))+SUMPRODUCT((Inputs!$E$5:$E$140=$B60)*Inputs!$F$5:$F$140*(((Inputs!$G$5:$G$140="moeda")+(Inputs!$G$5:$G$140="acoes"))*Inputs!$B$1+((Inputs!$G$5:$G$140&lt;&gt;"moeda")*(Inputs!$G$5:$G$140&lt;&gt;"acoes")))*INDEX(Inputs!$K$5:$AJ$140,0,MATCH(Z$2,Inputs!$K$4:$AJ$4,0)))))</f>
        <v>1630.208965</v>
      </c>
      <c r="AA60" s="262">
        <f>IF(ISNA(MATCH(AA$2,Inputs!$K$4:$AJ$4,0)),NA(),IF(SUMPRODUCT((Inputs!$A$5:$A$140=$B60)*ISNUMBER(INDEX(Inputs!$K$5:$AJ$140,0,MATCH(AA$2,Inputs!$K$4:$AJ$4,0))))+SUMPRODUCT((Inputs!$C$5:$C$140=$B60)*ISNUMBER(INDEX(Inputs!$K$5:$AJ$140,0,MATCH(AA$2,Inputs!$K$4:$AJ$4,0))))+SUMPRODUCT((Inputs!$E$5:$E$140=$B60)*ISNUMBER(INDEX(Inputs!$K$5:$AJ$140,0,MATCH(AA$2,Inputs!$K$4:$AJ$4,0))))=0,NA(),SUMPRODUCT((Inputs!$A$5:$A$140=$B60)*Inputs!$B$5:$B$140*(((Inputs!$G$5:$G$140="moeda")+(Inputs!$G$5:$G$140="acoes"))*Inputs!$B$1+((Inputs!$G$5:$G$140&lt;&gt;"moeda")*(Inputs!$G$5:$G$140&lt;&gt;"acoes")))*INDEX(Inputs!$K$5:$AJ$140,0,MATCH(AA$2,Inputs!$K$4:$AJ$4,0)))+SUMPRODUCT((Inputs!$C$5:$C$140=$B60)*Inputs!$D$5:$D$140*(((Inputs!$G$5:$G$140="moeda")+(Inputs!$G$5:$G$140="acoes"))*Inputs!$B$1+((Inputs!$G$5:$G$140&lt;&gt;"moeda")*(Inputs!$G$5:$G$140&lt;&gt;"acoes")))*INDEX(Inputs!$K$5:$AJ$140,0,MATCH(AA$2,Inputs!$K$4:$AJ$4,0)))+SUMPRODUCT((Inputs!$E$5:$E$140=$B60)*Inputs!$F$5:$F$140*(((Inputs!$G$5:$G$140="moeda")+(Inputs!$G$5:$G$140="acoes"))*Inputs!$B$1+((Inputs!$G$5:$G$140&lt;&gt;"moeda")*(Inputs!$G$5:$G$140&lt;&gt;"acoes")))*INDEX(Inputs!$K$5:$AJ$140,0,MATCH(AA$2,Inputs!$K$4:$AJ$4,0)))))</f>
        <v>1434.724903205</v>
      </c>
      <c r="AB60" s="263">
        <f>SUM(X60:AA60)</f>
        <v>6991.4117654876</v>
      </c>
      <c r="AC60" s="262">
        <f>IF(ISNA(MATCH(AC$2,Inputs!$K$4:$AJ$4,0)),NA(),IF(SUMPRODUCT((Inputs!$A$5:$A$140=$B60)*ISNUMBER(INDEX(Inputs!$K$5:$AJ$140,0,MATCH(AC$2,Inputs!$K$4:$AJ$4,0))))+SUMPRODUCT((Inputs!$C$5:$C$140=$B60)*ISNUMBER(INDEX(Inputs!$K$5:$AJ$140,0,MATCH(AC$2,Inputs!$K$4:$AJ$4,0))))+SUMPRODUCT((Inputs!$E$5:$E$140=$B60)*ISNUMBER(INDEX(Inputs!$K$5:$AJ$140,0,MATCH(AC$2,Inputs!$K$4:$AJ$4,0))))=0,NA(),SUMPRODUCT((Inputs!$A$5:$A$140=$B60)*Inputs!$B$5:$B$140*(((Inputs!$G$5:$G$140="moeda")+(Inputs!$G$5:$G$140="acoes"))*Inputs!$B$1+((Inputs!$G$5:$G$140&lt;&gt;"moeda")*(Inputs!$G$5:$G$140&lt;&gt;"acoes")))*INDEX(Inputs!$K$5:$AJ$140,0,MATCH(AC$2,Inputs!$K$4:$AJ$4,0)))+SUMPRODUCT((Inputs!$C$5:$C$140=$B60)*Inputs!$D$5:$D$140*(((Inputs!$G$5:$G$140="moeda")+(Inputs!$G$5:$G$140="acoes"))*Inputs!$B$1+((Inputs!$G$5:$G$140&lt;&gt;"moeda")*(Inputs!$G$5:$G$140&lt;&gt;"acoes")))*INDEX(Inputs!$K$5:$AJ$140,0,MATCH(AC$2,Inputs!$K$4:$AJ$4,0)))+SUMPRODUCT((Inputs!$E$5:$E$140=$B60)*Inputs!$F$5:$F$140*(((Inputs!$G$5:$G$140="moeda")+(Inputs!$G$5:$G$140="acoes"))*Inputs!$B$1+((Inputs!$G$5:$G$140&lt;&gt;"moeda")*(Inputs!$G$5:$G$140&lt;&gt;"acoes")))*INDEX(Inputs!$K$5:$AJ$140,0,MATCH(AC$2,Inputs!$K$4:$AJ$4,0)))))</f>
        <v>1893.602810242</v>
      </c>
      <c r="AD60" s="262">
        <f>IF(ISNA(MATCH(AD$2,Inputs!$K$4:$AJ$4,0)),NA(),IF(SUMPRODUCT((Inputs!$A$5:$A$140=$B60)*ISNUMBER(INDEX(Inputs!$K$5:$AJ$140,0,MATCH(AD$2,Inputs!$K$4:$AJ$4,0))))+SUMPRODUCT((Inputs!$C$5:$C$140=$B60)*ISNUMBER(INDEX(Inputs!$K$5:$AJ$140,0,MATCH(AD$2,Inputs!$K$4:$AJ$4,0))))+SUMPRODUCT((Inputs!$E$5:$E$140=$B60)*ISNUMBER(INDEX(Inputs!$K$5:$AJ$140,0,MATCH(AD$2,Inputs!$K$4:$AJ$4,0))))=0,NA(),SUMPRODUCT((Inputs!$A$5:$A$140=$B60)*Inputs!$B$5:$B$140*(((Inputs!$G$5:$G$140="moeda")+(Inputs!$G$5:$G$140="acoes"))*Inputs!$B$1+((Inputs!$G$5:$G$140&lt;&gt;"moeda")*(Inputs!$G$5:$G$140&lt;&gt;"acoes")))*INDEX(Inputs!$K$5:$AJ$140,0,MATCH(AD$2,Inputs!$K$4:$AJ$4,0)))+SUMPRODUCT((Inputs!$C$5:$C$140=$B60)*Inputs!$D$5:$D$140*(((Inputs!$G$5:$G$140="moeda")+(Inputs!$G$5:$G$140="acoes"))*Inputs!$B$1+((Inputs!$G$5:$G$140&lt;&gt;"moeda")*(Inputs!$G$5:$G$140&lt;&gt;"acoes")))*INDEX(Inputs!$K$5:$AJ$140,0,MATCH(AD$2,Inputs!$K$4:$AJ$4,0)))+SUMPRODUCT((Inputs!$E$5:$E$140=$B60)*Inputs!$F$5:$F$140*(((Inputs!$G$5:$G$140="moeda")+(Inputs!$G$5:$G$140="acoes"))*Inputs!$B$1+((Inputs!$G$5:$G$140&lt;&gt;"moeda")*(Inputs!$G$5:$G$140&lt;&gt;"acoes")))*INDEX(Inputs!$K$5:$AJ$140,0,MATCH(AD$2,Inputs!$K$4:$AJ$4,0)))))</f>
        <v>1748.76819676</v>
      </c>
      <c r="AE60" s="262" t="e">
        <f>IF(ISNA(MATCH(AE$2,Inputs!$K$4:$AJ$4,0)),NA(),IF(SUMPRODUCT((Inputs!$A$5:$A$140=$B60)*ISNUMBER(INDEX(Inputs!$K$5:$AJ$140,0,MATCH(AE$2,Inputs!$K$4:$AJ$4,0))))+SUMPRODUCT((Inputs!$C$5:$C$140=$B60)*ISNUMBER(INDEX(Inputs!$K$5:$AJ$140,0,MATCH(AE$2,Inputs!$K$4:$AJ$4,0))))+SUMPRODUCT((Inputs!$E$5:$E$140=$B60)*ISNUMBER(INDEX(Inputs!$K$5:$AJ$140,0,MATCH(AE$2,Inputs!$K$4:$AJ$4,0))))=0,NA(),SUMPRODUCT((Inputs!$A$5:$A$140=$B60)*Inputs!$B$5:$B$140*(((Inputs!$G$5:$G$140="moeda")+(Inputs!$G$5:$G$140="acoes"))*Inputs!$B$1+((Inputs!$G$5:$G$140&lt;&gt;"moeda")*(Inputs!$G$5:$G$140&lt;&gt;"acoes")))*INDEX(Inputs!$K$5:$AJ$140,0,MATCH(AE$2,Inputs!$K$4:$AJ$4,0)))+SUMPRODUCT((Inputs!$C$5:$C$140=$B60)*Inputs!$D$5:$D$140*(((Inputs!$G$5:$G$140="moeda")+(Inputs!$G$5:$G$140="acoes"))*Inputs!$B$1+((Inputs!$G$5:$G$140&lt;&gt;"moeda")*(Inputs!$G$5:$G$140&lt;&gt;"acoes")))*INDEX(Inputs!$K$5:$AJ$140,0,MATCH(AE$2,Inputs!$K$4:$AJ$4,0)))+SUMPRODUCT((Inputs!$E$5:$E$140=$B60)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0" s="262" t="e">
        <f>IF(ISNA(MATCH(AF$2,Inputs!$K$4:$AJ$4,0)),NA(),IF(SUMPRODUCT((Inputs!$A$5:$A$140=$B60)*ISNUMBER(INDEX(Inputs!$K$5:$AJ$140,0,MATCH(AF$2,Inputs!$K$4:$AJ$4,0))))+SUMPRODUCT((Inputs!$C$5:$C$140=$B60)*ISNUMBER(INDEX(Inputs!$K$5:$AJ$140,0,MATCH(AF$2,Inputs!$K$4:$AJ$4,0))))+SUMPRODUCT((Inputs!$E$5:$E$140=$B60)*ISNUMBER(INDEX(Inputs!$K$5:$AJ$140,0,MATCH(AF$2,Inputs!$K$4:$AJ$4,0))))=0,NA(),SUMPRODUCT((Inputs!$A$5:$A$140=$B60)*Inputs!$B$5:$B$140*(((Inputs!$G$5:$G$140="moeda")+(Inputs!$G$5:$G$140="acoes"))*Inputs!$B$1+((Inputs!$G$5:$G$140&lt;&gt;"moeda")*(Inputs!$G$5:$G$140&lt;&gt;"acoes")))*INDEX(Inputs!$K$5:$AJ$140,0,MATCH(AF$2,Inputs!$K$4:$AJ$4,0)))+SUMPRODUCT((Inputs!$C$5:$C$140=$B60)*Inputs!$D$5:$D$140*(((Inputs!$G$5:$G$140="moeda")+(Inputs!$G$5:$G$140="acoes"))*Inputs!$B$1+((Inputs!$G$5:$G$140&lt;&gt;"moeda")*(Inputs!$G$5:$G$140&lt;&gt;"acoes")))*INDEX(Inputs!$K$5:$AJ$140,0,MATCH(AF$2,Inputs!$K$4:$AJ$4,0)))+SUMPRODUCT((Inputs!$E$5:$E$140=$B60)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0" s="263" t="e">
        <f>SUM(AC60:AF60)</f>
        <v>#N/A</v>
      </c>
      <c r="AH60" s="262">
        <f>IF(ISNA(MATCH(AH$2,Inputs!$K$4:$AJ$4,0)),NA(),IF(SUMPRODUCT((Inputs!$A$5:$A$140=$B60)*ISNUMBER(INDEX(Inputs!$K$5:$AJ$140,0,MATCH(AH$2,Inputs!$K$4:$AJ$4,0))))+SUMPRODUCT((Inputs!$C$5:$C$140=$B60)*ISNUMBER(INDEX(Inputs!$K$5:$AJ$140,0,MATCH(AH$2,Inputs!$K$4:$AJ$4,0))))+SUMPRODUCT((Inputs!$E$5:$E$140=$B60)*ISNUMBER(INDEX(Inputs!$K$5:$AJ$140,0,MATCH(AH$2,Inputs!$K$4:$AJ$4,0))))=0,NA(),SUMPRODUCT((Inputs!$A$5:$A$140=$B60)*Inputs!$B$5:$B$140*(((Inputs!$G$5:$G$140="moeda")+(Inputs!$G$5:$G$140="acoes"))*Inputs!$B$1+((Inputs!$G$5:$G$140&lt;&gt;"moeda")*(Inputs!$G$5:$G$140&lt;&gt;"acoes")))*INDEX(Inputs!$K$5:$AJ$140,0,MATCH(AH$2,Inputs!$K$4:$AJ$4,0)))+SUMPRODUCT((Inputs!$C$5:$C$140=$B60)*Inputs!$D$5:$D$140*(((Inputs!$G$5:$G$140="moeda")+(Inputs!$G$5:$G$140="acoes"))*Inputs!$B$1+((Inputs!$G$5:$G$140&lt;&gt;"moeda")*(Inputs!$G$5:$G$140&lt;&gt;"acoes")))*INDEX(Inputs!$K$5:$AJ$140,0,MATCH(AH$2,Inputs!$K$4:$AJ$4,0)))+SUMPRODUCT((Inputs!$E$5:$E$140=$B60)*Inputs!$F$5:$F$140*(((Inputs!$G$5:$G$140="moeda")+(Inputs!$G$5:$G$140="acoes"))*Inputs!$B$1+((Inputs!$G$5:$G$140&lt;&gt;"moeda")*(Inputs!$G$5:$G$140&lt;&gt;"acoes")))*INDEX(Inputs!$K$5:$AJ$140,0,MATCH(AH$2,Inputs!$K$4:$AJ$4,0)))))</f>
        <v>173.740307</v>
      </c>
      <c r="AI60" s="262">
        <f>IF(ISNA(MATCH(AI$2,Inputs!$K$4:$AJ$4,0)),NA(),IF(SUMPRODUCT((Inputs!$A$5:$A$140=$B60)*ISNUMBER(INDEX(Inputs!$K$5:$AJ$140,0,MATCH(AI$2,Inputs!$K$4:$AJ$4,0))))+SUMPRODUCT((Inputs!$C$5:$C$140=$B60)*ISNUMBER(INDEX(Inputs!$K$5:$AJ$140,0,MATCH(AI$2,Inputs!$K$4:$AJ$4,0))))+SUMPRODUCT((Inputs!$E$5:$E$140=$B60)*ISNUMBER(INDEX(Inputs!$K$5:$AJ$140,0,MATCH(AI$2,Inputs!$K$4:$AJ$4,0))))=0,NA(),SUMPRODUCT((Inputs!$A$5:$A$140=$B60)*Inputs!$B$5:$B$140*(((Inputs!$G$5:$G$140="moeda")+(Inputs!$G$5:$G$140="acoes"))*Inputs!$B$1+((Inputs!$G$5:$G$140&lt;&gt;"moeda")*(Inputs!$G$5:$G$140&lt;&gt;"acoes")))*INDEX(Inputs!$K$5:$AJ$140,0,MATCH(AI$2,Inputs!$K$4:$AJ$4,0)))+SUMPRODUCT((Inputs!$C$5:$C$140=$B60)*Inputs!$D$5:$D$140*(((Inputs!$G$5:$G$140="moeda")+(Inputs!$G$5:$G$140="acoes"))*Inputs!$B$1+((Inputs!$G$5:$G$140&lt;&gt;"moeda")*(Inputs!$G$5:$G$140&lt;&gt;"acoes")))*INDEX(Inputs!$K$5:$AJ$140,0,MATCH(AI$2,Inputs!$K$4:$AJ$4,0)))+SUMPRODUCT((Inputs!$E$5:$E$140=$B60)*Inputs!$F$5:$F$140*(((Inputs!$G$5:$G$140="moeda")+(Inputs!$G$5:$G$140="acoes"))*Inputs!$B$1+((Inputs!$G$5:$G$140&lt;&gt;"moeda")*(Inputs!$G$5:$G$140&lt;&gt;"acoes")))*INDEX(Inputs!$K$5:$AJ$140,0,MATCH(AI$2,Inputs!$K$4:$AJ$4,0)))))</f>
        <v>248.207365</v>
      </c>
      <c r="AJ60" s="262">
        <f>IF(ISNA(MATCH(AJ$2,Inputs!$K$4:$AJ$4,0)),NA(),IF(SUMPRODUCT((Inputs!$A$5:$A$140=$B60)*ISNUMBER(INDEX(Inputs!$K$5:$AJ$140,0,MATCH(AJ$2,Inputs!$K$4:$AJ$4,0))))+SUMPRODUCT((Inputs!$C$5:$C$140=$B60)*ISNUMBER(INDEX(Inputs!$K$5:$AJ$140,0,MATCH(AJ$2,Inputs!$K$4:$AJ$4,0))))+SUMPRODUCT((Inputs!$E$5:$E$140=$B60)*ISNUMBER(INDEX(Inputs!$K$5:$AJ$140,0,MATCH(AJ$2,Inputs!$K$4:$AJ$4,0))))=0,NA(),SUMPRODUCT((Inputs!$A$5:$A$140=$B60)*Inputs!$B$5:$B$140*(((Inputs!$G$5:$G$140="moeda")+(Inputs!$G$5:$G$140="acoes"))*Inputs!$B$1+((Inputs!$G$5:$G$140&lt;&gt;"moeda")*(Inputs!$G$5:$G$140&lt;&gt;"acoes")))*INDEX(Inputs!$K$5:$AJ$140,0,MATCH(AJ$2,Inputs!$K$4:$AJ$4,0)))+SUMPRODUCT((Inputs!$C$5:$C$140=$B60)*Inputs!$D$5:$D$140*(((Inputs!$G$5:$G$140="moeda")+(Inputs!$G$5:$G$140="acoes"))*Inputs!$B$1+((Inputs!$G$5:$G$140&lt;&gt;"moeda")*(Inputs!$G$5:$G$140&lt;&gt;"acoes")))*INDEX(Inputs!$K$5:$AJ$140,0,MATCH(AJ$2,Inputs!$K$4:$AJ$4,0)))+SUMPRODUCT((Inputs!$E$5:$E$140=$B60)*Inputs!$F$5:$F$140*(((Inputs!$G$5:$G$140="moeda")+(Inputs!$G$5:$G$140="acoes"))*Inputs!$B$1+((Inputs!$G$5:$G$140&lt;&gt;"moeda")*(Inputs!$G$5:$G$140&lt;&gt;"acoes")))*INDEX(Inputs!$K$5:$AJ$140,0,MATCH(AJ$2,Inputs!$K$4:$AJ$4,0)))))</f>
        <v>363.318772</v>
      </c>
      <c r="AK60" s="262">
        <f>IF(ISNA(MATCH(AK$2,Inputs!$K$4:$AJ$4,0)),NA(),IF(SUMPRODUCT((Inputs!$A$5:$A$140=$B60)*ISNUMBER(INDEX(Inputs!$K$5:$AJ$140,0,MATCH(AK$2,Inputs!$K$4:$AJ$4,0))))+SUMPRODUCT((Inputs!$C$5:$C$140=$B60)*ISNUMBER(INDEX(Inputs!$K$5:$AJ$140,0,MATCH(AK$2,Inputs!$K$4:$AJ$4,0))))+SUMPRODUCT((Inputs!$E$5:$E$140=$B60)*ISNUMBER(INDEX(Inputs!$K$5:$AJ$140,0,MATCH(AK$2,Inputs!$K$4:$AJ$4,0))))=0,NA(),SUMPRODUCT((Inputs!$A$5:$A$140=$B60)*Inputs!$B$5:$B$140*(((Inputs!$G$5:$G$140="moeda")+(Inputs!$G$5:$G$140="acoes"))*Inputs!$B$1+((Inputs!$G$5:$G$140&lt;&gt;"moeda")*(Inputs!$G$5:$G$140&lt;&gt;"acoes")))*INDEX(Inputs!$K$5:$AJ$140,0,MATCH(AK$2,Inputs!$K$4:$AJ$4,0)))+SUMPRODUCT((Inputs!$C$5:$C$140=$B60)*Inputs!$D$5:$D$140*(((Inputs!$G$5:$G$140="moeda")+(Inputs!$G$5:$G$140="acoes"))*Inputs!$B$1+((Inputs!$G$5:$G$140&lt;&gt;"moeda")*(Inputs!$G$5:$G$140&lt;&gt;"acoes")))*INDEX(Inputs!$K$5:$AJ$140,0,MATCH(AK$2,Inputs!$K$4:$AJ$4,0)))+SUMPRODUCT((Inputs!$E$5:$E$140=$B60)*Inputs!$F$5:$F$140*(((Inputs!$G$5:$G$140="moeda")+(Inputs!$G$5:$G$140="acoes"))*Inputs!$B$1+((Inputs!$G$5:$G$140&lt;&gt;"moeda")*(Inputs!$G$5:$G$140&lt;&gt;"acoes")))*INDEX(Inputs!$K$5:$AJ$140,0,MATCH(AK$2,Inputs!$K$4:$AJ$4,0)))))</f>
        <v>370.036634</v>
      </c>
      <c r="AL60" s="263">
        <f>SUM(AH60:AK60)</f>
        <v>1155.303078</v>
      </c>
    </row>
    <row r="61">
      <c r="B61" s="46" t="n">
        <v>53</v>
      </c>
      <c r="C61" s="29" t="inlineStr">
        <is>
          <t>Unidades vendidas liquidas (l.35)</t>
        </is>
      </c>
      <c r="D61" s="264">
        <f>IF(ISNA(MATCH(D$2,Inputs!$K$4:$AJ$4,0)),NA(),IF(SUMPRODUCT((Inputs!$A$5:$A$140=$B61)*ISNUMBER(INDEX(Inputs!$K$5:$AJ$140,0,MATCH(D$2,Inputs!$K$4:$AJ$4,0))))+SUMPRODUCT((Inputs!$C$5:$C$140=$B61)*ISNUMBER(INDEX(Inputs!$K$5:$AJ$140,0,MATCH(D$2,Inputs!$K$4:$AJ$4,0))))+SUMPRODUCT((Inputs!$E$5:$E$140=$B61)*ISNUMBER(INDEX(Inputs!$K$5:$AJ$140,0,MATCH(D$2,Inputs!$K$4:$AJ$4,0))))=0,NA(),SUMPRODUCT((Inputs!$A$5:$A$140=$B61)*Inputs!$B$5:$B$140*(((Inputs!$G$5:$G$140="moeda")+(Inputs!$G$5:$G$140="acoes"))*Inputs!$B$1+((Inputs!$G$5:$G$140&lt;&gt;"moeda")*(Inputs!$G$5:$G$140&lt;&gt;"acoes")))*INDEX(Inputs!$K$5:$AJ$140,0,MATCH(D$2,Inputs!$K$4:$AJ$4,0)))+SUMPRODUCT((Inputs!$C$5:$C$140=$B61)*Inputs!$D$5:$D$140*(((Inputs!$G$5:$G$140="moeda")+(Inputs!$G$5:$G$140="acoes"))*Inputs!$B$1+((Inputs!$G$5:$G$140&lt;&gt;"moeda")*(Inputs!$G$5:$G$140&lt;&gt;"acoes")))*INDEX(Inputs!$K$5:$AJ$140,0,MATCH(D$2,Inputs!$K$4:$AJ$4,0)))+SUMPRODUCT((Inputs!$E$5:$E$140=$B61)*Inputs!$F$5:$F$140*(((Inputs!$G$5:$G$140="moeda")+(Inputs!$G$5:$G$140="acoes"))*Inputs!$B$1+((Inputs!$G$5:$G$140&lt;&gt;"moeda")*(Inputs!$G$5:$G$140&lt;&gt;"acoes")))*INDEX(Inputs!$K$5:$AJ$140,0,MATCH(D$2,Inputs!$K$4:$AJ$4,0)))))</f>
        <v>2874</v>
      </c>
      <c r="E61" s="264">
        <f>IF(ISNA(MATCH(E$2,Inputs!$K$4:$AJ$4,0)),NA(),IF(SUMPRODUCT((Inputs!$A$5:$A$140=$B61)*ISNUMBER(INDEX(Inputs!$K$5:$AJ$140,0,MATCH(E$2,Inputs!$K$4:$AJ$4,0))))+SUMPRODUCT((Inputs!$C$5:$C$140=$B61)*ISNUMBER(INDEX(Inputs!$K$5:$AJ$140,0,MATCH(E$2,Inputs!$K$4:$AJ$4,0))))+SUMPRODUCT((Inputs!$E$5:$E$140=$B61)*ISNUMBER(INDEX(Inputs!$K$5:$AJ$140,0,MATCH(E$2,Inputs!$K$4:$AJ$4,0))))=0,NA(),SUMPRODUCT((Inputs!$A$5:$A$140=$B61)*Inputs!$B$5:$B$140*(((Inputs!$G$5:$G$140="moeda")+(Inputs!$G$5:$G$140="acoes"))*Inputs!$B$1+((Inputs!$G$5:$G$140&lt;&gt;"moeda")*(Inputs!$G$5:$G$140&lt;&gt;"acoes")))*INDEX(Inputs!$K$5:$AJ$140,0,MATCH(E$2,Inputs!$K$4:$AJ$4,0)))+SUMPRODUCT((Inputs!$C$5:$C$140=$B61)*Inputs!$D$5:$D$140*(((Inputs!$G$5:$G$140="moeda")+(Inputs!$G$5:$G$140="acoes"))*Inputs!$B$1+((Inputs!$G$5:$G$140&lt;&gt;"moeda")*(Inputs!$G$5:$G$140&lt;&gt;"acoes")))*INDEX(Inputs!$K$5:$AJ$140,0,MATCH(E$2,Inputs!$K$4:$AJ$4,0)))+SUMPRODUCT((Inputs!$E$5:$E$140=$B61)*Inputs!$F$5:$F$140*(((Inputs!$G$5:$G$140="moeda")+(Inputs!$G$5:$G$140="acoes"))*Inputs!$B$1+((Inputs!$G$5:$G$140&lt;&gt;"moeda")*(Inputs!$G$5:$G$140&lt;&gt;"acoes")))*INDEX(Inputs!$K$5:$AJ$140,0,MATCH(E$2,Inputs!$K$4:$AJ$4,0)))))</f>
        <v>3253</v>
      </c>
      <c r="F61" s="264">
        <f>IF(ISNA(MATCH(F$2,Inputs!$K$4:$AJ$4,0)),NA(),IF(SUMPRODUCT((Inputs!$A$5:$A$140=$B61)*ISNUMBER(INDEX(Inputs!$K$5:$AJ$140,0,MATCH(F$2,Inputs!$K$4:$AJ$4,0))))+SUMPRODUCT((Inputs!$C$5:$C$140=$B61)*ISNUMBER(INDEX(Inputs!$K$5:$AJ$140,0,MATCH(F$2,Inputs!$K$4:$AJ$4,0))))+SUMPRODUCT((Inputs!$E$5:$E$140=$B61)*ISNUMBER(INDEX(Inputs!$K$5:$AJ$140,0,MATCH(F$2,Inputs!$K$4:$AJ$4,0))))=0,NA(),SUMPRODUCT((Inputs!$A$5:$A$140=$B61)*Inputs!$B$5:$B$140*(((Inputs!$G$5:$G$140="moeda")+(Inputs!$G$5:$G$140="acoes"))*Inputs!$B$1+((Inputs!$G$5:$G$140&lt;&gt;"moeda")*(Inputs!$G$5:$G$140&lt;&gt;"acoes")))*INDEX(Inputs!$K$5:$AJ$140,0,MATCH(F$2,Inputs!$K$4:$AJ$4,0)))+SUMPRODUCT((Inputs!$C$5:$C$140=$B61)*Inputs!$D$5:$D$140*(((Inputs!$G$5:$G$140="moeda")+(Inputs!$G$5:$G$140="acoes"))*Inputs!$B$1+((Inputs!$G$5:$G$140&lt;&gt;"moeda")*(Inputs!$G$5:$G$140&lt;&gt;"acoes")))*INDEX(Inputs!$K$5:$AJ$140,0,MATCH(F$2,Inputs!$K$4:$AJ$4,0)))+SUMPRODUCT((Inputs!$E$5:$E$140=$B61)*Inputs!$F$5:$F$140*(((Inputs!$G$5:$G$140="moeda")+(Inputs!$G$5:$G$140="acoes"))*Inputs!$B$1+((Inputs!$G$5:$G$140&lt;&gt;"moeda")*(Inputs!$G$5:$G$140&lt;&gt;"acoes")))*INDEX(Inputs!$K$5:$AJ$140,0,MATCH(F$2,Inputs!$K$4:$AJ$4,0)))))</f>
        <v>3080</v>
      </c>
      <c r="G61" s="264">
        <f>IF(ISNA(MATCH(G$2,Inputs!$K$4:$AJ$4,0)),NA(),IF(SUMPRODUCT((Inputs!$A$5:$A$140=$B61)*ISNUMBER(INDEX(Inputs!$K$5:$AJ$140,0,MATCH(G$2,Inputs!$K$4:$AJ$4,0))))+SUMPRODUCT((Inputs!$C$5:$C$140=$B61)*ISNUMBER(INDEX(Inputs!$K$5:$AJ$140,0,MATCH(G$2,Inputs!$K$4:$AJ$4,0))))+SUMPRODUCT((Inputs!$E$5:$E$140=$B61)*ISNUMBER(INDEX(Inputs!$K$5:$AJ$140,0,MATCH(G$2,Inputs!$K$4:$AJ$4,0))))=0,NA(),SUMPRODUCT((Inputs!$A$5:$A$140=$B61)*Inputs!$B$5:$B$140*(((Inputs!$G$5:$G$140="moeda")+(Inputs!$G$5:$G$140="acoes"))*Inputs!$B$1+((Inputs!$G$5:$G$140&lt;&gt;"moeda")*(Inputs!$G$5:$G$140&lt;&gt;"acoes")))*INDEX(Inputs!$K$5:$AJ$140,0,MATCH(G$2,Inputs!$K$4:$AJ$4,0)))+SUMPRODUCT((Inputs!$C$5:$C$140=$B61)*Inputs!$D$5:$D$140*(((Inputs!$G$5:$G$140="moeda")+(Inputs!$G$5:$G$140="acoes"))*Inputs!$B$1+((Inputs!$G$5:$G$140&lt;&gt;"moeda")*(Inputs!$G$5:$G$140&lt;&gt;"acoes")))*INDEX(Inputs!$K$5:$AJ$140,0,MATCH(G$2,Inputs!$K$4:$AJ$4,0)))+SUMPRODUCT((Inputs!$E$5:$E$140=$B61)*Inputs!$F$5:$F$140*(((Inputs!$G$5:$G$140="moeda")+(Inputs!$G$5:$G$140="acoes"))*Inputs!$B$1+((Inputs!$G$5:$G$140&lt;&gt;"moeda")*(Inputs!$G$5:$G$140&lt;&gt;"acoes")))*INDEX(Inputs!$K$5:$AJ$140,0,MATCH(G$2,Inputs!$K$4:$AJ$4,0)))))</f>
        <v>2667</v>
      </c>
      <c r="H61" s="265">
        <f>SUM(D61:G61)</f>
        <v>11874</v>
      </c>
      <c r="I61" s="264">
        <f>IF(ISNA(MATCH(I$2,Inputs!$K$4:$AJ$4,0)),NA(),IF(SUMPRODUCT((Inputs!$A$5:$A$140=$B61)*ISNUMBER(INDEX(Inputs!$K$5:$AJ$140,0,MATCH(I$2,Inputs!$K$4:$AJ$4,0))))+SUMPRODUCT((Inputs!$C$5:$C$140=$B61)*ISNUMBER(INDEX(Inputs!$K$5:$AJ$140,0,MATCH(I$2,Inputs!$K$4:$AJ$4,0))))+SUMPRODUCT((Inputs!$E$5:$E$140=$B61)*ISNUMBER(INDEX(Inputs!$K$5:$AJ$140,0,MATCH(I$2,Inputs!$K$4:$AJ$4,0))))=0,NA(),SUMPRODUCT((Inputs!$A$5:$A$140=$B61)*Inputs!$B$5:$B$140*(((Inputs!$G$5:$G$140="moeda")+(Inputs!$G$5:$G$140="acoes"))*Inputs!$B$1+((Inputs!$G$5:$G$140&lt;&gt;"moeda")*(Inputs!$G$5:$G$140&lt;&gt;"acoes")))*INDEX(Inputs!$K$5:$AJ$140,0,MATCH(I$2,Inputs!$K$4:$AJ$4,0)))+SUMPRODUCT((Inputs!$C$5:$C$140=$B61)*Inputs!$D$5:$D$140*(((Inputs!$G$5:$G$140="moeda")+(Inputs!$G$5:$G$140="acoes"))*Inputs!$B$1+((Inputs!$G$5:$G$140&lt;&gt;"moeda")*(Inputs!$G$5:$G$140&lt;&gt;"acoes")))*INDEX(Inputs!$K$5:$AJ$140,0,MATCH(I$2,Inputs!$K$4:$AJ$4,0)))+SUMPRODUCT((Inputs!$E$5:$E$140=$B61)*Inputs!$F$5:$F$140*(((Inputs!$G$5:$G$140="moeda")+(Inputs!$G$5:$G$140="acoes"))*Inputs!$B$1+((Inputs!$G$5:$G$140&lt;&gt;"moeda")*(Inputs!$G$5:$G$140&lt;&gt;"acoes")))*INDEX(Inputs!$K$5:$AJ$140,0,MATCH(I$2,Inputs!$K$4:$AJ$4,0)))))</f>
        <v>3264</v>
      </c>
      <c r="J61" s="264">
        <f>IF(ISNA(MATCH(J$2,Inputs!$K$4:$AJ$4,0)),NA(),IF(SUMPRODUCT((Inputs!$A$5:$A$140=$B61)*ISNUMBER(INDEX(Inputs!$K$5:$AJ$140,0,MATCH(J$2,Inputs!$K$4:$AJ$4,0))))+SUMPRODUCT((Inputs!$C$5:$C$140=$B61)*ISNUMBER(INDEX(Inputs!$K$5:$AJ$140,0,MATCH(J$2,Inputs!$K$4:$AJ$4,0))))+SUMPRODUCT((Inputs!$E$5:$E$140=$B61)*ISNUMBER(INDEX(Inputs!$K$5:$AJ$140,0,MATCH(J$2,Inputs!$K$4:$AJ$4,0))))=0,NA(),SUMPRODUCT((Inputs!$A$5:$A$140=$B61)*Inputs!$B$5:$B$140*(((Inputs!$G$5:$G$140="moeda")+(Inputs!$G$5:$G$140="acoes"))*Inputs!$B$1+((Inputs!$G$5:$G$140&lt;&gt;"moeda")*(Inputs!$G$5:$G$140&lt;&gt;"acoes")))*INDEX(Inputs!$K$5:$AJ$140,0,MATCH(J$2,Inputs!$K$4:$AJ$4,0)))+SUMPRODUCT((Inputs!$C$5:$C$140=$B61)*Inputs!$D$5:$D$140*(((Inputs!$G$5:$G$140="moeda")+(Inputs!$G$5:$G$140="acoes"))*Inputs!$B$1+((Inputs!$G$5:$G$140&lt;&gt;"moeda")*(Inputs!$G$5:$G$140&lt;&gt;"acoes")))*INDEX(Inputs!$K$5:$AJ$140,0,MATCH(J$2,Inputs!$K$4:$AJ$4,0)))+SUMPRODUCT((Inputs!$E$5:$E$140=$B61)*Inputs!$F$5:$F$140*(((Inputs!$G$5:$G$140="moeda")+(Inputs!$G$5:$G$140="acoes"))*Inputs!$B$1+((Inputs!$G$5:$G$140&lt;&gt;"moeda")*(Inputs!$G$5:$G$140&lt;&gt;"acoes")))*INDEX(Inputs!$K$5:$AJ$140,0,MATCH(J$2,Inputs!$K$4:$AJ$4,0)))))</f>
        <v>3734</v>
      </c>
      <c r="K61" s="264">
        <f>IF(ISNA(MATCH(K$2,Inputs!$K$4:$AJ$4,0)),NA(),IF(SUMPRODUCT((Inputs!$A$5:$A$140=$B61)*ISNUMBER(INDEX(Inputs!$K$5:$AJ$140,0,MATCH(K$2,Inputs!$K$4:$AJ$4,0))))+SUMPRODUCT((Inputs!$C$5:$C$140=$B61)*ISNUMBER(INDEX(Inputs!$K$5:$AJ$140,0,MATCH(K$2,Inputs!$K$4:$AJ$4,0))))+SUMPRODUCT((Inputs!$E$5:$E$140=$B61)*ISNUMBER(INDEX(Inputs!$K$5:$AJ$140,0,MATCH(K$2,Inputs!$K$4:$AJ$4,0))))=0,NA(),SUMPRODUCT((Inputs!$A$5:$A$140=$B61)*Inputs!$B$5:$B$140*(((Inputs!$G$5:$G$140="moeda")+(Inputs!$G$5:$G$140="acoes"))*Inputs!$B$1+((Inputs!$G$5:$G$140&lt;&gt;"moeda")*(Inputs!$G$5:$G$140&lt;&gt;"acoes")))*INDEX(Inputs!$K$5:$AJ$140,0,MATCH(K$2,Inputs!$K$4:$AJ$4,0)))+SUMPRODUCT((Inputs!$C$5:$C$140=$B61)*Inputs!$D$5:$D$140*(((Inputs!$G$5:$G$140="moeda")+(Inputs!$G$5:$G$140="acoes"))*Inputs!$B$1+((Inputs!$G$5:$G$140&lt;&gt;"moeda")*(Inputs!$G$5:$G$140&lt;&gt;"acoes")))*INDEX(Inputs!$K$5:$AJ$140,0,MATCH(K$2,Inputs!$K$4:$AJ$4,0)))+SUMPRODUCT((Inputs!$E$5:$E$140=$B61)*Inputs!$F$5:$F$140*(((Inputs!$G$5:$G$140="moeda")+(Inputs!$G$5:$G$140="acoes"))*Inputs!$B$1+((Inputs!$G$5:$G$140&lt;&gt;"moeda")*(Inputs!$G$5:$G$140&lt;&gt;"acoes")))*INDEX(Inputs!$K$5:$AJ$140,0,MATCH(K$2,Inputs!$K$4:$AJ$4,0)))))</f>
        <v>3465</v>
      </c>
      <c r="L61" s="264">
        <f>IF(ISNA(MATCH(L$2,Inputs!$K$4:$AJ$4,0)),NA(),IF(SUMPRODUCT((Inputs!$A$5:$A$140=$B61)*ISNUMBER(INDEX(Inputs!$K$5:$AJ$140,0,MATCH(L$2,Inputs!$K$4:$AJ$4,0))))+SUMPRODUCT((Inputs!$C$5:$C$140=$B61)*ISNUMBER(INDEX(Inputs!$K$5:$AJ$140,0,MATCH(L$2,Inputs!$K$4:$AJ$4,0))))+SUMPRODUCT((Inputs!$E$5:$E$140=$B61)*ISNUMBER(INDEX(Inputs!$K$5:$AJ$140,0,MATCH(L$2,Inputs!$K$4:$AJ$4,0))))=0,NA(),SUMPRODUCT((Inputs!$A$5:$A$140=$B61)*Inputs!$B$5:$B$140*(((Inputs!$G$5:$G$140="moeda")+(Inputs!$G$5:$G$140="acoes"))*Inputs!$B$1+((Inputs!$G$5:$G$140&lt;&gt;"moeda")*(Inputs!$G$5:$G$140&lt;&gt;"acoes")))*INDEX(Inputs!$K$5:$AJ$140,0,MATCH(L$2,Inputs!$K$4:$AJ$4,0)))+SUMPRODUCT((Inputs!$C$5:$C$140=$B61)*Inputs!$D$5:$D$140*(((Inputs!$G$5:$G$140="moeda")+(Inputs!$G$5:$G$140="acoes"))*Inputs!$B$1+((Inputs!$G$5:$G$140&lt;&gt;"moeda")*(Inputs!$G$5:$G$140&lt;&gt;"acoes")))*INDEX(Inputs!$K$5:$AJ$140,0,MATCH(L$2,Inputs!$K$4:$AJ$4,0)))+SUMPRODUCT((Inputs!$E$5:$E$140=$B61)*Inputs!$F$5:$F$140*(((Inputs!$G$5:$G$140="moeda")+(Inputs!$G$5:$G$140="acoes"))*Inputs!$B$1+((Inputs!$G$5:$G$140&lt;&gt;"moeda")*(Inputs!$G$5:$G$140&lt;&gt;"acoes")))*INDEX(Inputs!$K$5:$AJ$140,0,MATCH(L$2,Inputs!$K$4:$AJ$4,0)))))</f>
        <v>3073</v>
      </c>
      <c r="M61" s="265">
        <f>SUM(I61:L61)</f>
        <v>13536</v>
      </c>
      <c r="N61" s="264">
        <f>IF(ISNA(MATCH(N$2,Inputs!$K$4:$AJ$4,0)),NA(),IF(SUMPRODUCT((Inputs!$A$5:$A$140=$B61)*ISNUMBER(INDEX(Inputs!$K$5:$AJ$140,0,MATCH(N$2,Inputs!$K$4:$AJ$4,0))))+SUMPRODUCT((Inputs!$C$5:$C$140=$B61)*ISNUMBER(INDEX(Inputs!$K$5:$AJ$140,0,MATCH(N$2,Inputs!$K$4:$AJ$4,0))))+SUMPRODUCT((Inputs!$E$5:$E$140=$B61)*ISNUMBER(INDEX(Inputs!$K$5:$AJ$140,0,MATCH(N$2,Inputs!$K$4:$AJ$4,0))))=0,NA(),SUMPRODUCT((Inputs!$A$5:$A$140=$B61)*Inputs!$B$5:$B$140*(((Inputs!$G$5:$G$140="moeda")+(Inputs!$G$5:$G$140="acoes"))*Inputs!$B$1+((Inputs!$G$5:$G$140&lt;&gt;"moeda")*(Inputs!$G$5:$G$140&lt;&gt;"acoes")))*INDEX(Inputs!$K$5:$AJ$140,0,MATCH(N$2,Inputs!$K$4:$AJ$4,0)))+SUMPRODUCT((Inputs!$C$5:$C$140=$B61)*Inputs!$D$5:$D$140*(((Inputs!$G$5:$G$140="moeda")+(Inputs!$G$5:$G$140="acoes"))*Inputs!$B$1+((Inputs!$G$5:$G$140&lt;&gt;"moeda")*(Inputs!$G$5:$G$140&lt;&gt;"acoes")))*INDEX(Inputs!$K$5:$AJ$140,0,MATCH(N$2,Inputs!$K$4:$AJ$4,0)))+SUMPRODUCT((Inputs!$E$5:$E$140=$B61)*Inputs!$F$5:$F$140*(((Inputs!$G$5:$G$140="moeda")+(Inputs!$G$5:$G$140="acoes"))*Inputs!$B$1+((Inputs!$G$5:$G$140&lt;&gt;"moeda")*(Inputs!$G$5:$G$140&lt;&gt;"acoes")))*INDEX(Inputs!$K$5:$AJ$140,0,MATCH(N$2,Inputs!$K$4:$AJ$4,0)))))</f>
        <v>4014</v>
      </c>
      <c r="O61" s="264">
        <f>IF(ISNA(MATCH(O$2,Inputs!$K$4:$AJ$4,0)),NA(),IF(SUMPRODUCT((Inputs!$A$5:$A$140=$B61)*ISNUMBER(INDEX(Inputs!$K$5:$AJ$140,0,MATCH(O$2,Inputs!$K$4:$AJ$4,0))))+SUMPRODUCT((Inputs!$C$5:$C$140=$B61)*ISNUMBER(INDEX(Inputs!$K$5:$AJ$140,0,MATCH(O$2,Inputs!$K$4:$AJ$4,0))))+SUMPRODUCT((Inputs!$E$5:$E$140=$B61)*ISNUMBER(INDEX(Inputs!$K$5:$AJ$140,0,MATCH(O$2,Inputs!$K$4:$AJ$4,0))))=0,NA(),SUMPRODUCT((Inputs!$A$5:$A$140=$B61)*Inputs!$B$5:$B$140*(((Inputs!$G$5:$G$140="moeda")+(Inputs!$G$5:$G$140="acoes"))*Inputs!$B$1+((Inputs!$G$5:$G$140&lt;&gt;"moeda")*(Inputs!$G$5:$G$140&lt;&gt;"acoes")))*INDEX(Inputs!$K$5:$AJ$140,0,MATCH(O$2,Inputs!$K$4:$AJ$4,0)))+SUMPRODUCT((Inputs!$C$5:$C$140=$B61)*Inputs!$D$5:$D$140*(((Inputs!$G$5:$G$140="moeda")+(Inputs!$G$5:$G$140="acoes"))*Inputs!$B$1+((Inputs!$G$5:$G$140&lt;&gt;"moeda")*(Inputs!$G$5:$G$140&lt;&gt;"acoes")))*INDEX(Inputs!$K$5:$AJ$140,0,MATCH(O$2,Inputs!$K$4:$AJ$4,0)))+SUMPRODUCT((Inputs!$E$5:$E$140=$B61)*Inputs!$F$5:$F$140*(((Inputs!$G$5:$G$140="moeda")+(Inputs!$G$5:$G$140="acoes"))*Inputs!$B$1+((Inputs!$G$5:$G$140&lt;&gt;"moeda")*(Inputs!$G$5:$G$140&lt;&gt;"acoes")))*INDEX(Inputs!$K$5:$AJ$140,0,MATCH(O$2,Inputs!$K$4:$AJ$4,0)))))</f>
        <v>4292.47</v>
      </c>
      <c r="P61" s="264">
        <f>IF(ISNA(MATCH(P$2,Inputs!$K$4:$AJ$4,0)),NA(),IF(SUMPRODUCT((Inputs!$A$5:$A$140=$B61)*ISNUMBER(INDEX(Inputs!$K$5:$AJ$140,0,MATCH(P$2,Inputs!$K$4:$AJ$4,0))))+SUMPRODUCT((Inputs!$C$5:$C$140=$B61)*ISNUMBER(INDEX(Inputs!$K$5:$AJ$140,0,MATCH(P$2,Inputs!$K$4:$AJ$4,0))))+SUMPRODUCT((Inputs!$E$5:$E$140=$B61)*ISNUMBER(INDEX(Inputs!$K$5:$AJ$140,0,MATCH(P$2,Inputs!$K$4:$AJ$4,0))))=0,NA(),SUMPRODUCT((Inputs!$A$5:$A$140=$B61)*Inputs!$B$5:$B$140*(((Inputs!$G$5:$G$140="moeda")+(Inputs!$G$5:$G$140="acoes"))*Inputs!$B$1+((Inputs!$G$5:$G$140&lt;&gt;"moeda")*(Inputs!$G$5:$G$140&lt;&gt;"acoes")))*INDEX(Inputs!$K$5:$AJ$140,0,MATCH(P$2,Inputs!$K$4:$AJ$4,0)))+SUMPRODUCT((Inputs!$C$5:$C$140=$B61)*Inputs!$D$5:$D$140*(((Inputs!$G$5:$G$140="moeda")+(Inputs!$G$5:$G$140="acoes"))*Inputs!$B$1+((Inputs!$G$5:$G$140&lt;&gt;"moeda")*(Inputs!$G$5:$G$140&lt;&gt;"acoes")))*INDEX(Inputs!$K$5:$AJ$140,0,MATCH(P$2,Inputs!$K$4:$AJ$4,0)))+SUMPRODUCT((Inputs!$E$5:$E$140=$B61)*Inputs!$F$5:$F$140*(((Inputs!$G$5:$G$140="moeda")+(Inputs!$G$5:$G$140="acoes"))*Inputs!$B$1+((Inputs!$G$5:$G$140&lt;&gt;"moeda")*(Inputs!$G$5:$G$140&lt;&gt;"acoes")))*INDEX(Inputs!$K$5:$AJ$140,0,MATCH(P$2,Inputs!$K$4:$AJ$4,0)))))</f>
        <v>3496</v>
      </c>
      <c r="Q61" s="264">
        <f>IF(ISNA(MATCH(Q$2,Inputs!$K$4:$AJ$4,0)),NA(),IF(SUMPRODUCT((Inputs!$A$5:$A$140=$B61)*ISNUMBER(INDEX(Inputs!$K$5:$AJ$140,0,MATCH(Q$2,Inputs!$K$4:$AJ$4,0))))+SUMPRODUCT((Inputs!$C$5:$C$140=$B61)*ISNUMBER(INDEX(Inputs!$K$5:$AJ$140,0,MATCH(Q$2,Inputs!$K$4:$AJ$4,0))))+SUMPRODUCT((Inputs!$E$5:$E$140=$B61)*ISNUMBER(INDEX(Inputs!$K$5:$AJ$140,0,MATCH(Q$2,Inputs!$K$4:$AJ$4,0))))=0,NA(),SUMPRODUCT((Inputs!$A$5:$A$140=$B61)*Inputs!$B$5:$B$140*(((Inputs!$G$5:$G$140="moeda")+(Inputs!$G$5:$G$140="acoes"))*Inputs!$B$1+((Inputs!$G$5:$G$140&lt;&gt;"moeda")*(Inputs!$G$5:$G$140&lt;&gt;"acoes")))*INDEX(Inputs!$K$5:$AJ$140,0,MATCH(Q$2,Inputs!$K$4:$AJ$4,0)))+SUMPRODUCT((Inputs!$C$5:$C$140=$B61)*Inputs!$D$5:$D$140*(((Inputs!$G$5:$G$140="moeda")+(Inputs!$G$5:$G$140="acoes"))*Inputs!$B$1+((Inputs!$G$5:$G$140&lt;&gt;"moeda")*(Inputs!$G$5:$G$140&lt;&gt;"acoes")))*INDEX(Inputs!$K$5:$AJ$140,0,MATCH(Q$2,Inputs!$K$4:$AJ$4,0)))+SUMPRODUCT((Inputs!$E$5:$E$140=$B61)*Inputs!$F$5:$F$140*(((Inputs!$G$5:$G$140="moeda")+(Inputs!$G$5:$G$140="acoes"))*Inputs!$B$1+((Inputs!$G$5:$G$140&lt;&gt;"moeda")*(Inputs!$G$5:$G$140&lt;&gt;"acoes")))*INDEX(Inputs!$K$5:$AJ$140,0,MATCH(Q$2,Inputs!$K$4:$AJ$4,0)))))</f>
        <v>3215</v>
      </c>
      <c r="R61" s="265">
        <f>SUM(N61:Q61)</f>
        <v>15017.47</v>
      </c>
      <c r="S61" s="264">
        <f>IF(ISNA(MATCH(S$2,Inputs!$K$4:$AJ$4,0)),NA(),IF(SUMPRODUCT((Inputs!$A$5:$A$140=$B61)*ISNUMBER(INDEX(Inputs!$K$5:$AJ$140,0,MATCH(S$2,Inputs!$K$4:$AJ$4,0))))+SUMPRODUCT((Inputs!$C$5:$C$140=$B61)*ISNUMBER(INDEX(Inputs!$K$5:$AJ$140,0,MATCH(S$2,Inputs!$K$4:$AJ$4,0))))+SUMPRODUCT((Inputs!$E$5:$E$140=$B61)*ISNUMBER(INDEX(Inputs!$K$5:$AJ$140,0,MATCH(S$2,Inputs!$K$4:$AJ$4,0))))=0,NA(),SUMPRODUCT((Inputs!$A$5:$A$140=$B61)*Inputs!$B$5:$B$140*(((Inputs!$G$5:$G$140="moeda")+(Inputs!$G$5:$G$140="acoes"))*Inputs!$B$1+((Inputs!$G$5:$G$140&lt;&gt;"moeda")*(Inputs!$G$5:$G$140&lt;&gt;"acoes")))*INDEX(Inputs!$K$5:$AJ$140,0,MATCH(S$2,Inputs!$K$4:$AJ$4,0)))+SUMPRODUCT((Inputs!$C$5:$C$140=$B61)*Inputs!$D$5:$D$140*(((Inputs!$G$5:$G$140="moeda")+(Inputs!$G$5:$G$140="acoes"))*Inputs!$B$1+((Inputs!$G$5:$G$140&lt;&gt;"moeda")*(Inputs!$G$5:$G$140&lt;&gt;"acoes")))*INDEX(Inputs!$K$5:$AJ$140,0,MATCH(S$2,Inputs!$K$4:$AJ$4,0)))+SUMPRODUCT((Inputs!$E$5:$E$140=$B61)*Inputs!$F$5:$F$140*(((Inputs!$G$5:$G$140="moeda")+(Inputs!$G$5:$G$140="acoes"))*Inputs!$B$1+((Inputs!$G$5:$G$140&lt;&gt;"moeda")*(Inputs!$G$5:$G$140&lt;&gt;"acoes")))*INDEX(Inputs!$K$5:$AJ$140,0,MATCH(S$2,Inputs!$K$4:$AJ$4,0)))))</f>
        <v>5321</v>
      </c>
      <c r="T61" s="264">
        <f>IF(ISNA(MATCH(T$2,Inputs!$K$4:$AJ$4,0)),NA(),IF(SUMPRODUCT((Inputs!$A$5:$A$140=$B61)*ISNUMBER(INDEX(Inputs!$K$5:$AJ$140,0,MATCH(T$2,Inputs!$K$4:$AJ$4,0))))+SUMPRODUCT((Inputs!$C$5:$C$140=$B61)*ISNUMBER(INDEX(Inputs!$K$5:$AJ$140,0,MATCH(T$2,Inputs!$K$4:$AJ$4,0))))+SUMPRODUCT((Inputs!$E$5:$E$140=$B61)*ISNUMBER(INDEX(Inputs!$K$5:$AJ$140,0,MATCH(T$2,Inputs!$K$4:$AJ$4,0))))=0,NA(),SUMPRODUCT((Inputs!$A$5:$A$140=$B61)*Inputs!$B$5:$B$140*(((Inputs!$G$5:$G$140="moeda")+(Inputs!$G$5:$G$140="acoes"))*Inputs!$B$1+((Inputs!$G$5:$G$140&lt;&gt;"moeda")*(Inputs!$G$5:$G$140&lt;&gt;"acoes")))*INDEX(Inputs!$K$5:$AJ$140,0,MATCH(T$2,Inputs!$K$4:$AJ$4,0)))+SUMPRODUCT((Inputs!$C$5:$C$140=$B61)*Inputs!$D$5:$D$140*(((Inputs!$G$5:$G$140="moeda")+(Inputs!$G$5:$G$140="acoes"))*Inputs!$B$1+((Inputs!$G$5:$G$140&lt;&gt;"moeda")*(Inputs!$G$5:$G$140&lt;&gt;"acoes")))*INDEX(Inputs!$K$5:$AJ$140,0,MATCH(T$2,Inputs!$K$4:$AJ$4,0)))+SUMPRODUCT((Inputs!$E$5:$E$140=$B61)*Inputs!$F$5:$F$140*(((Inputs!$G$5:$G$140="moeda")+(Inputs!$G$5:$G$140="acoes"))*Inputs!$B$1+((Inputs!$G$5:$G$140&lt;&gt;"moeda")*(Inputs!$G$5:$G$140&lt;&gt;"acoes")))*INDEX(Inputs!$K$5:$AJ$140,0,MATCH(T$2,Inputs!$K$4:$AJ$4,0)))))</f>
        <v>5769</v>
      </c>
      <c r="U61" s="264">
        <f>IF(ISNA(MATCH(U$2,Inputs!$K$4:$AJ$4,0)),NA(),IF(SUMPRODUCT((Inputs!$A$5:$A$140=$B61)*ISNUMBER(INDEX(Inputs!$K$5:$AJ$140,0,MATCH(U$2,Inputs!$K$4:$AJ$4,0))))+SUMPRODUCT((Inputs!$C$5:$C$140=$B61)*ISNUMBER(INDEX(Inputs!$K$5:$AJ$140,0,MATCH(U$2,Inputs!$K$4:$AJ$4,0))))+SUMPRODUCT((Inputs!$E$5:$E$140=$B61)*ISNUMBER(INDEX(Inputs!$K$5:$AJ$140,0,MATCH(U$2,Inputs!$K$4:$AJ$4,0))))=0,NA(),SUMPRODUCT((Inputs!$A$5:$A$140=$B61)*Inputs!$B$5:$B$140*(((Inputs!$G$5:$G$140="moeda")+(Inputs!$G$5:$G$140="acoes"))*Inputs!$B$1+((Inputs!$G$5:$G$140&lt;&gt;"moeda")*(Inputs!$G$5:$G$140&lt;&gt;"acoes")))*INDEX(Inputs!$K$5:$AJ$140,0,MATCH(U$2,Inputs!$K$4:$AJ$4,0)))+SUMPRODUCT((Inputs!$C$5:$C$140=$B61)*Inputs!$D$5:$D$140*(((Inputs!$G$5:$G$140="moeda")+(Inputs!$G$5:$G$140="acoes"))*Inputs!$B$1+((Inputs!$G$5:$G$140&lt;&gt;"moeda")*(Inputs!$G$5:$G$140&lt;&gt;"acoes")))*INDEX(Inputs!$K$5:$AJ$140,0,MATCH(U$2,Inputs!$K$4:$AJ$4,0)))+SUMPRODUCT((Inputs!$E$5:$E$140=$B61)*Inputs!$F$5:$F$140*(((Inputs!$G$5:$G$140="moeda")+(Inputs!$G$5:$G$140="acoes"))*Inputs!$B$1+((Inputs!$G$5:$G$140&lt;&gt;"moeda")*(Inputs!$G$5:$G$140&lt;&gt;"acoes")))*INDEX(Inputs!$K$5:$AJ$140,0,MATCH(U$2,Inputs!$K$4:$AJ$4,0)))))</f>
        <v>4688</v>
      </c>
      <c r="V61" s="264">
        <f>IF(ISNA(MATCH(V$2,Inputs!$K$4:$AJ$4,0)),NA(),IF(SUMPRODUCT((Inputs!$A$5:$A$140=$B61)*ISNUMBER(INDEX(Inputs!$K$5:$AJ$140,0,MATCH(V$2,Inputs!$K$4:$AJ$4,0))))+SUMPRODUCT((Inputs!$C$5:$C$140=$B61)*ISNUMBER(INDEX(Inputs!$K$5:$AJ$140,0,MATCH(V$2,Inputs!$K$4:$AJ$4,0))))+SUMPRODUCT((Inputs!$E$5:$E$140=$B61)*ISNUMBER(INDEX(Inputs!$K$5:$AJ$140,0,MATCH(V$2,Inputs!$K$4:$AJ$4,0))))=0,NA(),SUMPRODUCT((Inputs!$A$5:$A$140=$B61)*Inputs!$B$5:$B$140*(((Inputs!$G$5:$G$140="moeda")+(Inputs!$G$5:$G$140="acoes"))*Inputs!$B$1+((Inputs!$G$5:$G$140&lt;&gt;"moeda")*(Inputs!$G$5:$G$140&lt;&gt;"acoes")))*INDEX(Inputs!$K$5:$AJ$140,0,MATCH(V$2,Inputs!$K$4:$AJ$4,0)))+SUMPRODUCT((Inputs!$C$5:$C$140=$B61)*Inputs!$D$5:$D$140*(((Inputs!$G$5:$G$140="moeda")+(Inputs!$G$5:$G$140="acoes"))*Inputs!$B$1+((Inputs!$G$5:$G$140&lt;&gt;"moeda")*(Inputs!$G$5:$G$140&lt;&gt;"acoes")))*INDEX(Inputs!$K$5:$AJ$140,0,MATCH(V$2,Inputs!$K$4:$AJ$4,0)))+SUMPRODUCT((Inputs!$E$5:$E$140=$B61)*Inputs!$F$5:$F$140*(((Inputs!$G$5:$G$140="moeda")+(Inputs!$G$5:$G$140="acoes"))*Inputs!$B$1+((Inputs!$G$5:$G$140&lt;&gt;"moeda")*(Inputs!$G$5:$G$140&lt;&gt;"acoes")))*INDEX(Inputs!$K$5:$AJ$140,0,MATCH(V$2,Inputs!$K$4:$AJ$4,0)))))</f>
        <v>4464</v>
      </c>
      <c r="W61" s="265">
        <f>SUM(S61:V61)</f>
        <v>20242</v>
      </c>
      <c r="X61" s="264">
        <f>IF(ISNA(MATCH(X$2,Inputs!$K$4:$AJ$4,0)),NA(),IF(SUMPRODUCT((Inputs!$A$5:$A$140=$B61)*ISNUMBER(INDEX(Inputs!$K$5:$AJ$140,0,MATCH(X$2,Inputs!$K$4:$AJ$4,0))))+SUMPRODUCT((Inputs!$C$5:$C$140=$B61)*ISNUMBER(INDEX(Inputs!$K$5:$AJ$140,0,MATCH(X$2,Inputs!$K$4:$AJ$4,0))))+SUMPRODUCT((Inputs!$E$5:$E$140=$B61)*ISNUMBER(INDEX(Inputs!$K$5:$AJ$140,0,MATCH(X$2,Inputs!$K$4:$AJ$4,0))))=0,NA(),SUMPRODUCT((Inputs!$A$5:$A$140=$B61)*Inputs!$B$5:$B$140*(((Inputs!$G$5:$G$140="moeda")+(Inputs!$G$5:$G$140="acoes"))*Inputs!$B$1+((Inputs!$G$5:$G$140&lt;&gt;"moeda")*(Inputs!$G$5:$G$140&lt;&gt;"acoes")))*INDEX(Inputs!$K$5:$AJ$140,0,MATCH(X$2,Inputs!$K$4:$AJ$4,0)))+SUMPRODUCT((Inputs!$C$5:$C$140=$B61)*Inputs!$D$5:$D$140*(((Inputs!$G$5:$G$140="moeda")+(Inputs!$G$5:$G$140="acoes"))*Inputs!$B$1+((Inputs!$G$5:$G$140&lt;&gt;"moeda")*(Inputs!$G$5:$G$140&lt;&gt;"acoes")))*INDEX(Inputs!$K$5:$AJ$140,0,MATCH(X$2,Inputs!$K$4:$AJ$4,0)))+SUMPRODUCT((Inputs!$E$5:$E$140=$B61)*Inputs!$F$5:$F$140*(((Inputs!$G$5:$G$140="moeda")+(Inputs!$G$5:$G$140="acoes"))*Inputs!$B$1+((Inputs!$G$5:$G$140&lt;&gt;"moeda")*(Inputs!$G$5:$G$140&lt;&gt;"acoes")))*INDEX(Inputs!$K$5:$AJ$140,0,MATCH(X$2,Inputs!$K$4:$AJ$4,0)))))</f>
        <v>6790</v>
      </c>
      <c r="Y61" s="264">
        <f>IF(ISNA(MATCH(Y$2,Inputs!$K$4:$AJ$4,0)),NA(),IF(SUMPRODUCT((Inputs!$A$5:$A$140=$B61)*ISNUMBER(INDEX(Inputs!$K$5:$AJ$140,0,MATCH(Y$2,Inputs!$K$4:$AJ$4,0))))+SUMPRODUCT((Inputs!$C$5:$C$140=$B61)*ISNUMBER(INDEX(Inputs!$K$5:$AJ$140,0,MATCH(Y$2,Inputs!$K$4:$AJ$4,0))))+SUMPRODUCT((Inputs!$E$5:$E$140=$B61)*ISNUMBER(INDEX(Inputs!$K$5:$AJ$140,0,MATCH(Y$2,Inputs!$K$4:$AJ$4,0))))=0,NA(),SUMPRODUCT((Inputs!$A$5:$A$140=$B61)*Inputs!$B$5:$B$140*(((Inputs!$G$5:$G$140="moeda")+(Inputs!$G$5:$G$140="acoes"))*Inputs!$B$1+((Inputs!$G$5:$G$140&lt;&gt;"moeda")*(Inputs!$G$5:$G$140&lt;&gt;"acoes")))*INDEX(Inputs!$K$5:$AJ$140,0,MATCH(Y$2,Inputs!$K$4:$AJ$4,0)))+SUMPRODUCT((Inputs!$C$5:$C$140=$B61)*Inputs!$D$5:$D$140*(((Inputs!$G$5:$G$140="moeda")+(Inputs!$G$5:$G$140="acoes"))*Inputs!$B$1+((Inputs!$G$5:$G$140&lt;&gt;"moeda")*(Inputs!$G$5:$G$140&lt;&gt;"acoes")))*INDEX(Inputs!$K$5:$AJ$140,0,MATCH(Y$2,Inputs!$K$4:$AJ$4,0)))+SUMPRODUCT((Inputs!$E$5:$E$140=$B61)*Inputs!$F$5:$F$140*(((Inputs!$G$5:$G$140="moeda")+(Inputs!$G$5:$G$140="acoes"))*Inputs!$B$1+((Inputs!$G$5:$G$140&lt;&gt;"moeda")*(Inputs!$G$5:$G$140&lt;&gt;"acoes")))*INDEX(Inputs!$K$5:$AJ$140,0,MATCH(Y$2,Inputs!$K$4:$AJ$4,0)))))</f>
        <v>7712</v>
      </c>
      <c r="Z61" s="264">
        <f>IF(ISNA(MATCH(Z$2,Inputs!$K$4:$AJ$4,0)),NA(),IF(SUMPRODUCT((Inputs!$A$5:$A$140=$B61)*ISNUMBER(INDEX(Inputs!$K$5:$AJ$140,0,MATCH(Z$2,Inputs!$K$4:$AJ$4,0))))+SUMPRODUCT((Inputs!$C$5:$C$140=$B61)*ISNUMBER(INDEX(Inputs!$K$5:$AJ$140,0,MATCH(Z$2,Inputs!$K$4:$AJ$4,0))))+SUMPRODUCT((Inputs!$E$5:$E$140=$B61)*ISNUMBER(INDEX(Inputs!$K$5:$AJ$140,0,MATCH(Z$2,Inputs!$K$4:$AJ$4,0))))=0,NA(),SUMPRODUCT((Inputs!$A$5:$A$140=$B61)*Inputs!$B$5:$B$140*(((Inputs!$G$5:$G$140="moeda")+(Inputs!$G$5:$G$140="acoes"))*Inputs!$B$1+((Inputs!$G$5:$G$140&lt;&gt;"moeda")*(Inputs!$G$5:$G$140&lt;&gt;"acoes")))*INDEX(Inputs!$K$5:$AJ$140,0,MATCH(Z$2,Inputs!$K$4:$AJ$4,0)))+SUMPRODUCT((Inputs!$C$5:$C$140=$B61)*Inputs!$D$5:$D$140*(((Inputs!$G$5:$G$140="moeda")+(Inputs!$G$5:$G$140="acoes"))*Inputs!$B$1+((Inputs!$G$5:$G$140&lt;&gt;"moeda")*(Inputs!$G$5:$G$140&lt;&gt;"acoes")))*INDEX(Inputs!$K$5:$AJ$140,0,MATCH(Z$2,Inputs!$K$4:$AJ$4,0)))+SUMPRODUCT((Inputs!$E$5:$E$140=$B61)*Inputs!$F$5:$F$140*(((Inputs!$G$5:$G$140="moeda")+(Inputs!$G$5:$G$140="acoes"))*Inputs!$B$1+((Inputs!$G$5:$G$140&lt;&gt;"moeda")*(Inputs!$G$5:$G$140&lt;&gt;"acoes")))*INDEX(Inputs!$K$5:$AJ$140,0,MATCH(Z$2,Inputs!$K$4:$AJ$4,0)))))</f>
        <v>6117</v>
      </c>
      <c r="AA61" s="264">
        <f>IF(ISNA(MATCH(AA$2,Inputs!$K$4:$AJ$4,0)),NA(),IF(SUMPRODUCT((Inputs!$A$5:$A$140=$B61)*ISNUMBER(INDEX(Inputs!$K$5:$AJ$140,0,MATCH(AA$2,Inputs!$K$4:$AJ$4,0))))+SUMPRODUCT((Inputs!$C$5:$C$140=$B61)*ISNUMBER(INDEX(Inputs!$K$5:$AJ$140,0,MATCH(AA$2,Inputs!$K$4:$AJ$4,0))))+SUMPRODUCT((Inputs!$E$5:$E$140=$B61)*ISNUMBER(INDEX(Inputs!$K$5:$AJ$140,0,MATCH(AA$2,Inputs!$K$4:$AJ$4,0))))=0,NA(),SUMPRODUCT((Inputs!$A$5:$A$140=$B61)*Inputs!$B$5:$B$140*(((Inputs!$G$5:$G$140="moeda")+(Inputs!$G$5:$G$140="acoes"))*Inputs!$B$1+((Inputs!$G$5:$G$140&lt;&gt;"moeda")*(Inputs!$G$5:$G$140&lt;&gt;"acoes")))*INDEX(Inputs!$K$5:$AJ$140,0,MATCH(AA$2,Inputs!$K$4:$AJ$4,0)))+SUMPRODUCT((Inputs!$C$5:$C$140=$B61)*Inputs!$D$5:$D$140*(((Inputs!$G$5:$G$140="moeda")+(Inputs!$G$5:$G$140="acoes"))*Inputs!$B$1+((Inputs!$G$5:$G$140&lt;&gt;"moeda")*(Inputs!$G$5:$G$140&lt;&gt;"acoes")))*INDEX(Inputs!$K$5:$AJ$140,0,MATCH(AA$2,Inputs!$K$4:$AJ$4,0)))+SUMPRODUCT((Inputs!$E$5:$E$140=$B61)*Inputs!$F$5:$F$140*(((Inputs!$G$5:$G$140="moeda")+(Inputs!$G$5:$G$140="acoes"))*Inputs!$B$1+((Inputs!$G$5:$G$140&lt;&gt;"moeda")*(Inputs!$G$5:$G$140&lt;&gt;"acoes")))*INDEX(Inputs!$K$5:$AJ$140,0,MATCH(AA$2,Inputs!$K$4:$AJ$4,0)))))</f>
        <v>4956</v>
      </c>
      <c r="AB61" s="265">
        <f>SUM(X61:AA61)</f>
        <v>25575</v>
      </c>
      <c r="AC61" s="264">
        <f>IF(ISNA(MATCH(AC$2,Inputs!$K$4:$AJ$4,0)),NA(),IF(SUMPRODUCT((Inputs!$A$5:$A$140=$B61)*ISNUMBER(INDEX(Inputs!$K$5:$AJ$140,0,MATCH(AC$2,Inputs!$K$4:$AJ$4,0))))+SUMPRODUCT((Inputs!$C$5:$C$140=$B61)*ISNUMBER(INDEX(Inputs!$K$5:$AJ$140,0,MATCH(AC$2,Inputs!$K$4:$AJ$4,0))))+SUMPRODUCT((Inputs!$E$5:$E$140=$B61)*ISNUMBER(INDEX(Inputs!$K$5:$AJ$140,0,MATCH(AC$2,Inputs!$K$4:$AJ$4,0))))=0,NA(),SUMPRODUCT((Inputs!$A$5:$A$140=$B61)*Inputs!$B$5:$B$140*(((Inputs!$G$5:$G$140="moeda")+(Inputs!$G$5:$G$140="acoes"))*Inputs!$B$1+((Inputs!$G$5:$G$140&lt;&gt;"moeda")*(Inputs!$G$5:$G$140&lt;&gt;"acoes")))*INDEX(Inputs!$K$5:$AJ$140,0,MATCH(AC$2,Inputs!$K$4:$AJ$4,0)))+SUMPRODUCT((Inputs!$C$5:$C$140=$B61)*Inputs!$D$5:$D$140*(((Inputs!$G$5:$G$140="moeda")+(Inputs!$G$5:$G$140="acoes"))*Inputs!$B$1+((Inputs!$G$5:$G$140&lt;&gt;"moeda")*(Inputs!$G$5:$G$140&lt;&gt;"acoes")))*INDEX(Inputs!$K$5:$AJ$140,0,MATCH(AC$2,Inputs!$K$4:$AJ$4,0)))+SUMPRODUCT((Inputs!$E$5:$E$140=$B61)*Inputs!$F$5:$F$140*(((Inputs!$G$5:$G$140="moeda")+(Inputs!$G$5:$G$140="acoes"))*Inputs!$B$1+((Inputs!$G$5:$G$140&lt;&gt;"moeda")*(Inputs!$G$5:$G$140&lt;&gt;"acoes")))*INDEX(Inputs!$K$5:$AJ$140,0,MATCH(AC$2,Inputs!$K$4:$AJ$4,0)))))</f>
        <v>7058</v>
      </c>
      <c r="AD61" s="264">
        <f>IF(ISNA(MATCH(AD$2,Inputs!$K$4:$AJ$4,0)),NA(),IF(SUMPRODUCT((Inputs!$A$5:$A$140=$B61)*ISNUMBER(INDEX(Inputs!$K$5:$AJ$140,0,MATCH(AD$2,Inputs!$K$4:$AJ$4,0))))+SUMPRODUCT((Inputs!$C$5:$C$140=$B61)*ISNUMBER(INDEX(Inputs!$K$5:$AJ$140,0,MATCH(AD$2,Inputs!$K$4:$AJ$4,0))))+SUMPRODUCT((Inputs!$E$5:$E$140=$B61)*ISNUMBER(INDEX(Inputs!$K$5:$AJ$140,0,MATCH(AD$2,Inputs!$K$4:$AJ$4,0))))=0,NA(),SUMPRODUCT((Inputs!$A$5:$A$140=$B61)*Inputs!$B$5:$B$140*(((Inputs!$G$5:$G$140="moeda")+(Inputs!$G$5:$G$140="acoes"))*Inputs!$B$1+((Inputs!$G$5:$G$140&lt;&gt;"moeda")*(Inputs!$G$5:$G$140&lt;&gt;"acoes")))*INDEX(Inputs!$K$5:$AJ$140,0,MATCH(AD$2,Inputs!$K$4:$AJ$4,0)))+SUMPRODUCT((Inputs!$C$5:$C$140=$B61)*Inputs!$D$5:$D$140*(((Inputs!$G$5:$G$140="moeda")+(Inputs!$G$5:$G$140="acoes"))*Inputs!$B$1+((Inputs!$G$5:$G$140&lt;&gt;"moeda")*(Inputs!$G$5:$G$140&lt;&gt;"acoes")))*INDEX(Inputs!$K$5:$AJ$140,0,MATCH(AD$2,Inputs!$K$4:$AJ$4,0)))+SUMPRODUCT((Inputs!$E$5:$E$140=$B61)*Inputs!$F$5:$F$140*(((Inputs!$G$5:$G$140="moeda")+(Inputs!$G$5:$G$140="acoes"))*Inputs!$B$1+((Inputs!$G$5:$G$140&lt;&gt;"moeda")*(Inputs!$G$5:$G$140&lt;&gt;"acoes")))*INDEX(Inputs!$K$5:$AJ$140,0,MATCH(AD$2,Inputs!$K$4:$AJ$4,0)))))</f>
        <v>6137</v>
      </c>
      <c r="AE61" s="264" t="e">
        <f>IF(ISNA(MATCH(AE$2,Inputs!$K$4:$AJ$4,0)),NA(),IF(SUMPRODUCT((Inputs!$A$5:$A$140=$B61)*ISNUMBER(INDEX(Inputs!$K$5:$AJ$140,0,MATCH(AE$2,Inputs!$K$4:$AJ$4,0))))+SUMPRODUCT((Inputs!$C$5:$C$140=$B61)*ISNUMBER(INDEX(Inputs!$K$5:$AJ$140,0,MATCH(AE$2,Inputs!$K$4:$AJ$4,0))))+SUMPRODUCT((Inputs!$E$5:$E$140=$B61)*ISNUMBER(INDEX(Inputs!$K$5:$AJ$140,0,MATCH(AE$2,Inputs!$K$4:$AJ$4,0))))=0,NA(),SUMPRODUCT((Inputs!$A$5:$A$140=$B61)*Inputs!$B$5:$B$140*(((Inputs!$G$5:$G$140="moeda")+(Inputs!$G$5:$G$140="acoes"))*Inputs!$B$1+((Inputs!$G$5:$G$140&lt;&gt;"moeda")*(Inputs!$G$5:$G$140&lt;&gt;"acoes")))*INDEX(Inputs!$K$5:$AJ$140,0,MATCH(AE$2,Inputs!$K$4:$AJ$4,0)))+SUMPRODUCT((Inputs!$C$5:$C$140=$B61)*Inputs!$D$5:$D$140*(((Inputs!$G$5:$G$140="moeda")+(Inputs!$G$5:$G$140="acoes"))*Inputs!$B$1+((Inputs!$G$5:$G$140&lt;&gt;"moeda")*(Inputs!$G$5:$G$140&lt;&gt;"acoes")))*INDEX(Inputs!$K$5:$AJ$140,0,MATCH(AE$2,Inputs!$K$4:$AJ$4,0)))+SUMPRODUCT((Inputs!$E$5:$E$140=$B61)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1" s="264" t="e">
        <f>IF(ISNA(MATCH(AF$2,Inputs!$K$4:$AJ$4,0)),NA(),IF(SUMPRODUCT((Inputs!$A$5:$A$140=$B61)*ISNUMBER(INDEX(Inputs!$K$5:$AJ$140,0,MATCH(AF$2,Inputs!$K$4:$AJ$4,0))))+SUMPRODUCT((Inputs!$C$5:$C$140=$B61)*ISNUMBER(INDEX(Inputs!$K$5:$AJ$140,0,MATCH(AF$2,Inputs!$K$4:$AJ$4,0))))+SUMPRODUCT((Inputs!$E$5:$E$140=$B61)*ISNUMBER(INDEX(Inputs!$K$5:$AJ$140,0,MATCH(AF$2,Inputs!$K$4:$AJ$4,0))))=0,NA(),SUMPRODUCT((Inputs!$A$5:$A$140=$B61)*Inputs!$B$5:$B$140*(((Inputs!$G$5:$G$140="moeda")+(Inputs!$G$5:$G$140="acoes"))*Inputs!$B$1+((Inputs!$G$5:$G$140&lt;&gt;"moeda")*(Inputs!$G$5:$G$140&lt;&gt;"acoes")))*INDEX(Inputs!$K$5:$AJ$140,0,MATCH(AF$2,Inputs!$K$4:$AJ$4,0)))+SUMPRODUCT((Inputs!$C$5:$C$140=$B61)*Inputs!$D$5:$D$140*(((Inputs!$G$5:$G$140="moeda")+(Inputs!$G$5:$G$140="acoes"))*Inputs!$B$1+((Inputs!$G$5:$G$140&lt;&gt;"moeda")*(Inputs!$G$5:$G$140&lt;&gt;"acoes")))*INDEX(Inputs!$K$5:$AJ$140,0,MATCH(AF$2,Inputs!$K$4:$AJ$4,0)))+SUMPRODUCT((Inputs!$E$5:$E$140=$B61)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1" s="265" t="e">
        <f>SUM(AC61:AF61)</f>
        <v>#N/A</v>
      </c>
      <c r="AH61" s="264">
        <f>IF(ISNA(MATCH(AH$2,Inputs!$K$4:$AJ$4,0)),NA(),IF(SUMPRODUCT((Inputs!$A$5:$A$140=$B61)*ISNUMBER(INDEX(Inputs!$K$5:$AJ$140,0,MATCH(AH$2,Inputs!$K$4:$AJ$4,0))))+SUMPRODUCT((Inputs!$C$5:$C$140=$B61)*ISNUMBER(INDEX(Inputs!$K$5:$AJ$140,0,MATCH(AH$2,Inputs!$K$4:$AJ$4,0))))+SUMPRODUCT((Inputs!$E$5:$E$140=$B61)*ISNUMBER(INDEX(Inputs!$K$5:$AJ$140,0,MATCH(AH$2,Inputs!$K$4:$AJ$4,0))))=0,NA(),SUMPRODUCT((Inputs!$A$5:$A$140=$B61)*Inputs!$B$5:$B$140*(((Inputs!$G$5:$G$140="moeda")+(Inputs!$G$5:$G$140="acoes"))*Inputs!$B$1+((Inputs!$G$5:$G$140&lt;&gt;"moeda")*(Inputs!$G$5:$G$140&lt;&gt;"acoes")))*INDEX(Inputs!$K$5:$AJ$140,0,MATCH(AH$2,Inputs!$K$4:$AJ$4,0)))+SUMPRODUCT((Inputs!$C$5:$C$140=$B61)*Inputs!$D$5:$D$140*(((Inputs!$G$5:$G$140="moeda")+(Inputs!$G$5:$G$140="acoes"))*Inputs!$B$1+((Inputs!$G$5:$G$140&lt;&gt;"moeda")*(Inputs!$G$5:$G$140&lt;&gt;"acoes")))*INDEX(Inputs!$K$5:$AJ$140,0,MATCH(AH$2,Inputs!$K$4:$AJ$4,0)))+SUMPRODUCT((Inputs!$E$5:$E$140=$B61)*Inputs!$F$5:$F$140*(((Inputs!$G$5:$G$140="moeda")+(Inputs!$G$5:$G$140="acoes"))*Inputs!$B$1+((Inputs!$G$5:$G$140&lt;&gt;"moeda")*(Inputs!$G$5:$G$140&lt;&gt;"acoes")))*INDEX(Inputs!$K$5:$AJ$140,0,MATCH(AH$2,Inputs!$K$4:$AJ$4,0)))))</f>
        <v>1280</v>
      </c>
      <c r="AI61" s="264">
        <f>IF(ISNA(MATCH(AI$2,Inputs!$K$4:$AJ$4,0)),NA(),IF(SUMPRODUCT((Inputs!$A$5:$A$140=$B61)*ISNUMBER(INDEX(Inputs!$K$5:$AJ$140,0,MATCH(AI$2,Inputs!$K$4:$AJ$4,0))))+SUMPRODUCT((Inputs!$C$5:$C$140=$B61)*ISNUMBER(INDEX(Inputs!$K$5:$AJ$140,0,MATCH(AI$2,Inputs!$K$4:$AJ$4,0))))+SUMPRODUCT((Inputs!$E$5:$E$140=$B61)*ISNUMBER(INDEX(Inputs!$K$5:$AJ$140,0,MATCH(AI$2,Inputs!$K$4:$AJ$4,0))))=0,NA(),SUMPRODUCT((Inputs!$A$5:$A$140=$B61)*Inputs!$B$5:$B$140*(((Inputs!$G$5:$G$140="moeda")+(Inputs!$G$5:$G$140="acoes"))*Inputs!$B$1+((Inputs!$G$5:$G$140&lt;&gt;"moeda")*(Inputs!$G$5:$G$140&lt;&gt;"acoes")))*INDEX(Inputs!$K$5:$AJ$140,0,MATCH(AI$2,Inputs!$K$4:$AJ$4,0)))+SUMPRODUCT((Inputs!$C$5:$C$140=$B61)*Inputs!$D$5:$D$140*(((Inputs!$G$5:$G$140="moeda")+(Inputs!$G$5:$G$140="acoes"))*Inputs!$B$1+((Inputs!$G$5:$G$140&lt;&gt;"moeda")*(Inputs!$G$5:$G$140&lt;&gt;"acoes")))*INDEX(Inputs!$K$5:$AJ$140,0,MATCH(AI$2,Inputs!$K$4:$AJ$4,0)))+SUMPRODUCT((Inputs!$E$5:$E$140=$B61)*Inputs!$F$5:$F$140*(((Inputs!$G$5:$G$140="moeda")+(Inputs!$G$5:$G$140="acoes"))*Inputs!$B$1+((Inputs!$G$5:$G$140&lt;&gt;"moeda")*(Inputs!$G$5:$G$140&lt;&gt;"acoes")))*INDEX(Inputs!$K$5:$AJ$140,0,MATCH(AI$2,Inputs!$K$4:$AJ$4,0)))))</f>
        <v>1622</v>
      </c>
      <c r="AJ61" s="264">
        <f>IF(ISNA(MATCH(AJ$2,Inputs!$K$4:$AJ$4,0)),NA(),IF(SUMPRODUCT((Inputs!$A$5:$A$140=$B61)*ISNUMBER(INDEX(Inputs!$K$5:$AJ$140,0,MATCH(AJ$2,Inputs!$K$4:$AJ$4,0))))+SUMPRODUCT((Inputs!$C$5:$C$140=$B61)*ISNUMBER(INDEX(Inputs!$K$5:$AJ$140,0,MATCH(AJ$2,Inputs!$K$4:$AJ$4,0))))+SUMPRODUCT((Inputs!$E$5:$E$140=$B61)*ISNUMBER(INDEX(Inputs!$K$5:$AJ$140,0,MATCH(AJ$2,Inputs!$K$4:$AJ$4,0))))=0,NA(),SUMPRODUCT((Inputs!$A$5:$A$140=$B61)*Inputs!$B$5:$B$140*(((Inputs!$G$5:$G$140="moeda")+(Inputs!$G$5:$G$140="acoes"))*Inputs!$B$1+((Inputs!$G$5:$G$140&lt;&gt;"moeda")*(Inputs!$G$5:$G$140&lt;&gt;"acoes")))*INDEX(Inputs!$K$5:$AJ$140,0,MATCH(AJ$2,Inputs!$K$4:$AJ$4,0)))+SUMPRODUCT((Inputs!$C$5:$C$140=$B61)*Inputs!$D$5:$D$140*(((Inputs!$G$5:$G$140="moeda")+(Inputs!$G$5:$G$140="acoes"))*Inputs!$B$1+((Inputs!$G$5:$G$140&lt;&gt;"moeda")*(Inputs!$G$5:$G$140&lt;&gt;"acoes")))*INDEX(Inputs!$K$5:$AJ$140,0,MATCH(AJ$2,Inputs!$K$4:$AJ$4,0)))+SUMPRODUCT((Inputs!$E$5:$E$140=$B61)*Inputs!$F$5:$F$140*(((Inputs!$G$5:$G$140="moeda")+(Inputs!$G$5:$G$140="acoes"))*Inputs!$B$1+((Inputs!$G$5:$G$140&lt;&gt;"moeda")*(Inputs!$G$5:$G$140&lt;&gt;"acoes")))*INDEX(Inputs!$K$5:$AJ$140,0,MATCH(AJ$2,Inputs!$K$4:$AJ$4,0)))))</f>
        <v>2131</v>
      </c>
      <c r="AK61" s="264">
        <f>IF(ISNA(MATCH(AK$2,Inputs!$K$4:$AJ$4,0)),NA(),IF(SUMPRODUCT((Inputs!$A$5:$A$140=$B61)*ISNUMBER(INDEX(Inputs!$K$5:$AJ$140,0,MATCH(AK$2,Inputs!$K$4:$AJ$4,0))))+SUMPRODUCT((Inputs!$C$5:$C$140=$B61)*ISNUMBER(INDEX(Inputs!$K$5:$AJ$140,0,MATCH(AK$2,Inputs!$K$4:$AJ$4,0))))+SUMPRODUCT((Inputs!$E$5:$E$140=$B61)*ISNUMBER(INDEX(Inputs!$K$5:$AJ$140,0,MATCH(AK$2,Inputs!$K$4:$AJ$4,0))))=0,NA(),SUMPRODUCT((Inputs!$A$5:$A$140=$B61)*Inputs!$B$5:$B$140*(((Inputs!$G$5:$G$140="moeda")+(Inputs!$G$5:$G$140="acoes"))*Inputs!$B$1+((Inputs!$G$5:$G$140&lt;&gt;"moeda")*(Inputs!$G$5:$G$140&lt;&gt;"acoes")))*INDEX(Inputs!$K$5:$AJ$140,0,MATCH(AK$2,Inputs!$K$4:$AJ$4,0)))+SUMPRODUCT((Inputs!$C$5:$C$140=$B61)*Inputs!$D$5:$D$140*(((Inputs!$G$5:$G$140="moeda")+(Inputs!$G$5:$G$140="acoes"))*Inputs!$B$1+((Inputs!$G$5:$G$140&lt;&gt;"moeda")*(Inputs!$G$5:$G$140&lt;&gt;"acoes")))*INDEX(Inputs!$K$5:$AJ$140,0,MATCH(AK$2,Inputs!$K$4:$AJ$4,0)))+SUMPRODUCT((Inputs!$E$5:$E$140=$B61)*Inputs!$F$5:$F$140*(((Inputs!$G$5:$G$140="moeda")+(Inputs!$G$5:$G$140="acoes"))*Inputs!$B$1+((Inputs!$G$5:$G$140&lt;&gt;"moeda")*(Inputs!$G$5:$G$140&lt;&gt;"acoes")))*INDEX(Inputs!$K$5:$AJ$140,0,MATCH(AK$2,Inputs!$K$4:$AJ$4,0)))))</f>
        <v>2068</v>
      </c>
      <c r="AL61" s="265">
        <f>SUM(AH61:AK61)</f>
        <v>7101</v>
      </c>
    </row>
    <row r="62">
      <c r="B62" s="46" t="n">
        <v>54</v>
      </c>
      <c r="C62" s="29" t="inlineStr">
        <is>
          <t>VSO liquido trimestral (l.29)</t>
        </is>
      </c>
      <c r="D62" s="266">
        <f>IF(ISNA(MATCH(D$2,Inputs!$K$4:$AJ$4,0)),NA(),IF(SUMPRODUCT((Inputs!$A$5:$A$140=$B62)*ISNUMBER(INDEX(Inputs!$K$5:$AJ$140,0,MATCH(D$2,Inputs!$K$4:$AJ$4,0))))+SUMPRODUCT((Inputs!$C$5:$C$140=$B62)*ISNUMBER(INDEX(Inputs!$K$5:$AJ$140,0,MATCH(D$2,Inputs!$K$4:$AJ$4,0))))+SUMPRODUCT((Inputs!$E$5:$E$140=$B62)*ISNUMBER(INDEX(Inputs!$K$5:$AJ$140,0,MATCH(D$2,Inputs!$K$4:$AJ$4,0))))=0,NA(),SUMPRODUCT((Inputs!$A$5:$A$140=$B62)*Inputs!$B$5:$B$140*(((Inputs!$G$5:$G$140="moeda")+(Inputs!$G$5:$G$140="acoes"))*Inputs!$B$1+((Inputs!$G$5:$G$140&lt;&gt;"moeda")*(Inputs!$G$5:$G$140&lt;&gt;"acoes")))*INDEX(Inputs!$K$5:$AJ$140,0,MATCH(D$2,Inputs!$K$4:$AJ$4,0)))+SUMPRODUCT((Inputs!$C$5:$C$140=$B62)*Inputs!$D$5:$D$140*(((Inputs!$G$5:$G$140="moeda")+(Inputs!$G$5:$G$140="acoes"))*Inputs!$B$1+((Inputs!$G$5:$G$140&lt;&gt;"moeda")*(Inputs!$G$5:$G$140&lt;&gt;"acoes")))*INDEX(Inputs!$K$5:$AJ$140,0,MATCH(D$2,Inputs!$K$4:$AJ$4,0)))+SUMPRODUCT((Inputs!$E$5:$E$140=$B62)*Inputs!$F$5:$F$140*(((Inputs!$G$5:$G$140="moeda")+(Inputs!$G$5:$G$140="acoes"))*Inputs!$B$1+((Inputs!$G$5:$G$140&lt;&gt;"moeda")*(Inputs!$G$5:$G$140&lt;&gt;"acoes")))*INDEX(Inputs!$K$5:$AJ$140,0,MATCH(D$2,Inputs!$K$4:$AJ$4,0)))))</f>
        <v>0.435348251634148</v>
      </c>
      <c r="E62" s="266">
        <f>IF(ISNA(MATCH(E$2,Inputs!$K$4:$AJ$4,0)),NA(),IF(SUMPRODUCT((Inputs!$A$5:$A$140=$B62)*ISNUMBER(INDEX(Inputs!$K$5:$AJ$140,0,MATCH(E$2,Inputs!$K$4:$AJ$4,0))))+SUMPRODUCT((Inputs!$C$5:$C$140=$B62)*ISNUMBER(INDEX(Inputs!$K$5:$AJ$140,0,MATCH(E$2,Inputs!$K$4:$AJ$4,0))))+SUMPRODUCT((Inputs!$E$5:$E$140=$B62)*ISNUMBER(INDEX(Inputs!$K$5:$AJ$140,0,MATCH(E$2,Inputs!$K$4:$AJ$4,0))))=0,NA(),SUMPRODUCT((Inputs!$A$5:$A$140=$B62)*Inputs!$B$5:$B$140*(((Inputs!$G$5:$G$140="moeda")+(Inputs!$G$5:$G$140="acoes"))*Inputs!$B$1+((Inputs!$G$5:$G$140&lt;&gt;"moeda")*(Inputs!$G$5:$G$140&lt;&gt;"acoes")))*INDEX(Inputs!$K$5:$AJ$140,0,MATCH(E$2,Inputs!$K$4:$AJ$4,0)))+SUMPRODUCT((Inputs!$C$5:$C$140=$B62)*Inputs!$D$5:$D$140*(((Inputs!$G$5:$G$140="moeda")+(Inputs!$G$5:$G$140="acoes"))*Inputs!$B$1+((Inputs!$G$5:$G$140&lt;&gt;"moeda")*(Inputs!$G$5:$G$140&lt;&gt;"acoes")))*INDEX(Inputs!$K$5:$AJ$140,0,MATCH(E$2,Inputs!$K$4:$AJ$4,0)))+SUMPRODUCT((Inputs!$E$5:$E$140=$B62)*Inputs!$F$5:$F$140*(((Inputs!$G$5:$G$140="moeda")+(Inputs!$G$5:$G$140="acoes"))*Inputs!$B$1+((Inputs!$G$5:$G$140&lt;&gt;"moeda")*(Inputs!$G$5:$G$140&lt;&gt;"acoes")))*INDEX(Inputs!$K$5:$AJ$140,0,MATCH(E$2,Inputs!$K$4:$AJ$4,0)))))</f>
        <v>0.468</v>
      </c>
      <c r="F62" s="266">
        <f>IF(ISNA(MATCH(F$2,Inputs!$K$4:$AJ$4,0)),NA(),IF(SUMPRODUCT((Inputs!$A$5:$A$140=$B62)*ISNUMBER(INDEX(Inputs!$K$5:$AJ$140,0,MATCH(F$2,Inputs!$K$4:$AJ$4,0))))+SUMPRODUCT((Inputs!$C$5:$C$140=$B62)*ISNUMBER(INDEX(Inputs!$K$5:$AJ$140,0,MATCH(F$2,Inputs!$K$4:$AJ$4,0))))+SUMPRODUCT((Inputs!$E$5:$E$140=$B62)*ISNUMBER(INDEX(Inputs!$K$5:$AJ$140,0,MATCH(F$2,Inputs!$K$4:$AJ$4,0))))=0,NA(),SUMPRODUCT((Inputs!$A$5:$A$140=$B62)*Inputs!$B$5:$B$140*(((Inputs!$G$5:$G$140="moeda")+(Inputs!$G$5:$G$140="acoes"))*Inputs!$B$1+((Inputs!$G$5:$G$140&lt;&gt;"moeda")*(Inputs!$G$5:$G$140&lt;&gt;"acoes")))*INDEX(Inputs!$K$5:$AJ$140,0,MATCH(F$2,Inputs!$K$4:$AJ$4,0)))+SUMPRODUCT((Inputs!$C$5:$C$140=$B62)*Inputs!$D$5:$D$140*(((Inputs!$G$5:$G$140="moeda")+(Inputs!$G$5:$G$140="acoes"))*Inputs!$B$1+((Inputs!$G$5:$G$140&lt;&gt;"moeda")*(Inputs!$G$5:$G$140&lt;&gt;"acoes")))*INDEX(Inputs!$K$5:$AJ$140,0,MATCH(F$2,Inputs!$K$4:$AJ$4,0)))+SUMPRODUCT((Inputs!$E$5:$E$140=$B62)*Inputs!$F$5:$F$140*(((Inputs!$G$5:$G$140="moeda")+(Inputs!$G$5:$G$140="acoes"))*Inputs!$B$1+((Inputs!$G$5:$G$140&lt;&gt;"moeda")*(Inputs!$G$5:$G$140&lt;&gt;"acoes")))*INDEX(Inputs!$K$5:$AJ$140,0,MATCH(F$2,Inputs!$K$4:$AJ$4,0)))))</f>
        <v>0.452050514660091</v>
      </c>
      <c r="G62" s="266">
        <f>IF(ISNA(MATCH(G$2,Inputs!$K$4:$AJ$4,0)),NA(),IF(SUMPRODUCT((Inputs!$A$5:$A$140=$B62)*ISNUMBER(INDEX(Inputs!$K$5:$AJ$140,0,MATCH(G$2,Inputs!$K$4:$AJ$4,0))))+SUMPRODUCT((Inputs!$C$5:$C$140=$B62)*ISNUMBER(INDEX(Inputs!$K$5:$AJ$140,0,MATCH(G$2,Inputs!$K$4:$AJ$4,0))))+SUMPRODUCT((Inputs!$E$5:$E$140=$B62)*ISNUMBER(INDEX(Inputs!$K$5:$AJ$140,0,MATCH(G$2,Inputs!$K$4:$AJ$4,0))))=0,NA(),SUMPRODUCT((Inputs!$A$5:$A$140=$B62)*Inputs!$B$5:$B$140*(((Inputs!$G$5:$G$140="moeda")+(Inputs!$G$5:$G$140="acoes"))*Inputs!$B$1+((Inputs!$G$5:$G$140&lt;&gt;"moeda")*(Inputs!$G$5:$G$140&lt;&gt;"acoes")))*INDEX(Inputs!$K$5:$AJ$140,0,MATCH(G$2,Inputs!$K$4:$AJ$4,0)))+SUMPRODUCT((Inputs!$C$5:$C$140=$B62)*Inputs!$D$5:$D$140*(((Inputs!$G$5:$G$140="moeda")+(Inputs!$G$5:$G$140="acoes"))*Inputs!$B$1+((Inputs!$G$5:$G$140&lt;&gt;"moeda")*(Inputs!$G$5:$G$140&lt;&gt;"acoes")))*INDEX(Inputs!$K$5:$AJ$140,0,MATCH(G$2,Inputs!$K$4:$AJ$4,0)))+SUMPRODUCT((Inputs!$E$5:$E$140=$B62)*Inputs!$F$5:$F$140*(((Inputs!$G$5:$G$140="moeda")+(Inputs!$G$5:$G$140="acoes"))*Inputs!$B$1+((Inputs!$G$5:$G$140&lt;&gt;"moeda")*(Inputs!$G$5:$G$140&lt;&gt;"acoes")))*INDEX(Inputs!$K$5:$AJ$140,0,MATCH(G$2,Inputs!$K$4:$AJ$4,0)))))</f>
        <v>0.379516861468098</v>
      </c>
      <c r="H62" s="40" t="n"/>
      <c r="I62" s="266">
        <f>IF(ISNA(MATCH(I$2,Inputs!$K$4:$AJ$4,0)),NA(),IF(SUMPRODUCT((Inputs!$A$5:$A$140=$B62)*ISNUMBER(INDEX(Inputs!$K$5:$AJ$140,0,MATCH(I$2,Inputs!$K$4:$AJ$4,0))))+SUMPRODUCT((Inputs!$C$5:$C$140=$B62)*ISNUMBER(INDEX(Inputs!$K$5:$AJ$140,0,MATCH(I$2,Inputs!$K$4:$AJ$4,0))))+SUMPRODUCT((Inputs!$E$5:$E$140=$B62)*ISNUMBER(INDEX(Inputs!$K$5:$AJ$140,0,MATCH(I$2,Inputs!$K$4:$AJ$4,0))))=0,NA(),SUMPRODUCT((Inputs!$A$5:$A$140=$B62)*Inputs!$B$5:$B$140*(((Inputs!$G$5:$G$140="moeda")+(Inputs!$G$5:$G$140="acoes"))*Inputs!$B$1+((Inputs!$G$5:$G$140&lt;&gt;"moeda")*(Inputs!$G$5:$G$140&lt;&gt;"acoes")))*INDEX(Inputs!$K$5:$AJ$140,0,MATCH(I$2,Inputs!$K$4:$AJ$4,0)))+SUMPRODUCT((Inputs!$C$5:$C$140=$B62)*Inputs!$D$5:$D$140*(((Inputs!$G$5:$G$140="moeda")+(Inputs!$G$5:$G$140="acoes"))*Inputs!$B$1+((Inputs!$G$5:$G$140&lt;&gt;"moeda")*(Inputs!$G$5:$G$140&lt;&gt;"acoes")))*INDEX(Inputs!$K$5:$AJ$140,0,MATCH(I$2,Inputs!$K$4:$AJ$4,0)))+SUMPRODUCT((Inputs!$E$5:$E$140=$B62)*Inputs!$F$5:$F$140*(((Inputs!$G$5:$G$140="moeda")+(Inputs!$G$5:$G$140="acoes"))*Inputs!$B$1+((Inputs!$G$5:$G$140&lt;&gt;"moeda")*(Inputs!$G$5:$G$140&lt;&gt;"acoes")))*INDEX(Inputs!$K$5:$AJ$140,0,MATCH(I$2,Inputs!$K$4:$AJ$4,0)))))</f>
        <v>0.413751651981806</v>
      </c>
      <c r="J62" s="266">
        <f>IF(ISNA(MATCH(J$2,Inputs!$K$4:$AJ$4,0)),NA(),IF(SUMPRODUCT((Inputs!$A$5:$A$140=$B62)*ISNUMBER(INDEX(Inputs!$K$5:$AJ$140,0,MATCH(J$2,Inputs!$K$4:$AJ$4,0))))+SUMPRODUCT((Inputs!$C$5:$C$140=$B62)*ISNUMBER(INDEX(Inputs!$K$5:$AJ$140,0,MATCH(J$2,Inputs!$K$4:$AJ$4,0))))+SUMPRODUCT((Inputs!$E$5:$E$140=$B62)*ISNUMBER(INDEX(Inputs!$K$5:$AJ$140,0,MATCH(J$2,Inputs!$K$4:$AJ$4,0))))=0,NA(),SUMPRODUCT((Inputs!$A$5:$A$140=$B62)*Inputs!$B$5:$B$140*(((Inputs!$G$5:$G$140="moeda")+(Inputs!$G$5:$G$140="acoes"))*Inputs!$B$1+((Inputs!$G$5:$G$140&lt;&gt;"moeda")*(Inputs!$G$5:$G$140&lt;&gt;"acoes")))*INDEX(Inputs!$K$5:$AJ$140,0,MATCH(J$2,Inputs!$K$4:$AJ$4,0)))+SUMPRODUCT((Inputs!$C$5:$C$140=$B62)*Inputs!$D$5:$D$140*(((Inputs!$G$5:$G$140="moeda")+(Inputs!$G$5:$G$140="acoes"))*Inputs!$B$1+((Inputs!$G$5:$G$140&lt;&gt;"moeda")*(Inputs!$G$5:$G$140&lt;&gt;"acoes")))*INDEX(Inputs!$K$5:$AJ$140,0,MATCH(J$2,Inputs!$K$4:$AJ$4,0)))+SUMPRODUCT((Inputs!$E$5:$E$140=$B62)*Inputs!$F$5:$F$140*(((Inputs!$G$5:$G$140="moeda")+(Inputs!$G$5:$G$140="acoes"))*Inputs!$B$1+((Inputs!$G$5:$G$140&lt;&gt;"moeda")*(Inputs!$G$5:$G$140&lt;&gt;"acoes")))*INDEX(Inputs!$K$5:$AJ$140,0,MATCH(J$2,Inputs!$K$4:$AJ$4,0)))))</f>
        <v>0.416294316160121</v>
      </c>
      <c r="K62" s="266">
        <f>IF(ISNA(MATCH(K$2,Inputs!$K$4:$AJ$4,0)),NA(),IF(SUMPRODUCT((Inputs!$A$5:$A$140=$B62)*ISNUMBER(INDEX(Inputs!$K$5:$AJ$140,0,MATCH(K$2,Inputs!$K$4:$AJ$4,0))))+SUMPRODUCT((Inputs!$C$5:$C$140=$B62)*ISNUMBER(INDEX(Inputs!$K$5:$AJ$140,0,MATCH(K$2,Inputs!$K$4:$AJ$4,0))))+SUMPRODUCT((Inputs!$E$5:$E$140=$B62)*ISNUMBER(INDEX(Inputs!$K$5:$AJ$140,0,MATCH(K$2,Inputs!$K$4:$AJ$4,0))))=0,NA(),SUMPRODUCT((Inputs!$A$5:$A$140=$B62)*Inputs!$B$5:$B$140*(((Inputs!$G$5:$G$140="moeda")+(Inputs!$G$5:$G$140="acoes"))*Inputs!$B$1+((Inputs!$G$5:$G$140&lt;&gt;"moeda")*(Inputs!$G$5:$G$140&lt;&gt;"acoes")))*INDEX(Inputs!$K$5:$AJ$140,0,MATCH(K$2,Inputs!$K$4:$AJ$4,0)))+SUMPRODUCT((Inputs!$C$5:$C$140=$B62)*Inputs!$D$5:$D$140*(((Inputs!$G$5:$G$140="moeda")+(Inputs!$G$5:$G$140="acoes"))*Inputs!$B$1+((Inputs!$G$5:$G$140&lt;&gt;"moeda")*(Inputs!$G$5:$G$140&lt;&gt;"acoes")))*INDEX(Inputs!$K$5:$AJ$140,0,MATCH(K$2,Inputs!$K$4:$AJ$4,0)))+SUMPRODUCT((Inputs!$E$5:$E$140=$B62)*Inputs!$F$5:$F$140*(((Inputs!$G$5:$G$140="moeda")+(Inputs!$G$5:$G$140="acoes"))*Inputs!$B$1+((Inputs!$G$5:$G$140&lt;&gt;"moeda")*(Inputs!$G$5:$G$140&lt;&gt;"acoes")))*INDEX(Inputs!$K$5:$AJ$140,0,MATCH(K$2,Inputs!$K$4:$AJ$4,0)))))</f>
        <v>0.403130832253066</v>
      </c>
      <c r="L62" s="266">
        <f>IF(ISNA(MATCH(L$2,Inputs!$K$4:$AJ$4,0)),NA(),IF(SUMPRODUCT((Inputs!$A$5:$A$140=$B62)*ISNUMBER(INDEX(Inputs!$K$5:$AJ$140,0,MATCH(L$2,Inputs!$K$4:$AJ$4,0))))+SUMPRODUCT((Inputs!$C$5:$C$140=$B62)*ISNUMBER(INDEX(Inputs!$K$5:$AJ$140,0,MATCH(L$2,Inputs!$K$4:$AJ$4,0))))+SUMPRODUCT((Inputs!$E$5:$E$140=$B62)*ISNUMBER(INDEX(Inputs!$K$5:$AJ$140,0,MATCH(L$2,Inputs!$K$4:$AJ$4,0))))=0,NA(),SUMPRODUCT((Inputs!$A$5:$A$140=$B62)*Inputs!$B$5:$B$140*(((Inputs!$G$5:$G$140="moeda")+(Inputs!$G$5:$G$140="acoes"))*Inputs!$B$1+((Inputs!$G$5:$G$140&lt;&gt;"moeda")*(Inputs!$G$5:$G$140&lt;&gt;"acoes")))*INDEX(Inputs!$K$5:$AJ$140,0,MATCH(L$2,Inputs!$K$4:$AJ$4,0)))+SUMPRODUCT((Inputs!$C$5:$C$140=$B62)*Inputs!$D$5:$D$140*(((Inputs!$G$5:$G$140="moeda")+(Inputs!$G$5:$G$140="acoes"))*Inputs!$B$1+((Inputs!$G$5:$G$140&lt;&gt;"moeda")*(Inputs!$G$5:$G$140&lt;&gt;"acoes")))*INDEX(Inputs!$K$5:$AJ$140,0,MATCH(L$2,Inputs!$K$4:$AJ$4,0)))+SUMPRODUCT((Inputs!$E$5:$E$140=$B62)*Inputs!$F$5:$F$140*(((Inputs!$G$5:$G$140="moeda")+(Inputs!$G$5:$G$140="acoes"))*Inputs!$B$1+((Inputs!$G$5:$G$140&lt;&gt;"moeda")*(Inputs!$G$5:$G$140&lt;&gt;"acoes")))*INDEX(Inputs!$K$5:$AJ$140,0,MATCH(L$2,Inputs!$K$4:$AJ$4,0)))))</f>
        <v>0.41</v>
      </c>
      <c r="M62" s="40" t="n"/>
      <c r="N62" s="266">
        <f>IF(ISNA(MATCH(N$2,Inputs!$K$4:$AJ$4,0)),NA(),IF(SUMPRODUCT((Inputs!$A$5:$A$140=$B62)*ISNUMBER(INDEX(Inputs!$K$5:$AJ$140,0,MATCH(N$2,Inputs!$K$4:$AJ$4,0))))+SUMPRODUCT((Inputs!$C$5:$C$140=$B62)*ISNUMBER(INDEX(Inputs!$K$5:$AJ$140,0,MATCH(N$2,Inputs!$K$4:$AJ$4,0))))+SUMPRODUCT((Inputs!$E$5:$E$140=$B62)*ISNUMBER(INDEX(Inputs!$K$5:$AJ$140,0,MATCH(N$2,Inputs!$K$4:$AJ$4,0))))=0,NA(),SUMPRODUCT((Inputs!$A$5:$A$140=$B62)*Inputs!$B$5:$B$140*(((Inputs!$G$5:$G$140="moeda")+(Inputs!$G$5:$G$140="acoes"))*Inputs!$B$1+((Inputs!$G$5:$G$140&lt;&gt;"moeda")*(Inputs!$G$5:$G$140&lt;&gt;"acoes")))*INDEX(Inputs!$K$5:$AJ$140,0,MATCH(N$2,Inputs!$K$4:$AJ$4,0)))+SUMPRODUCT((Inputs!$C$5:$C$140=$B62)*Inputs!$D$5:$D$140*(((Inputs!$G$5:$G$140="moeda")+(Inputs!$G$5:$G$140="acoes"))*Inputs!$B$1+((Inputs!$G$5:$G$140&lt;&gt;"moeda")*(Inputs!$G$5:$G$140&lt;&gt;"acoes")))*INDEX(Inputs!$K$5:$AJ$140,0,MATCH(N$2,Inputs!$K$4:$AJ$4,0)))+SUMPRODUCT((Inputs!$E$5:$E$140=$B62)*Inputs!$F$5:$F$140*(((Inputs!$G$5:$G$140="moeda")+(Inputs!$G$5:$G$140="acoes"))*Inputs!$B$1+((Inputs!$G$5:$G$140&lt;&gt;"moeda")*(Inputs!$G$5:$G$140&lt;&gt;"acoes")))*INDEX(Inputs!$K$5:$AJ$140,0,MATCH(N$2,Inputs!$K$4:$AJ$4,0)))))</f>
        <v>0.43402358192279</v>
      </c>
      <c r="O62" s="266">
        <f>IF(ISNA(MATCH(O$2,Inputs!$K$4:$AJ$4,0)),NA(),IF(SUMPRODUCT((Inputs!$A$5:$A$140=$B62)*ISNUMBER(INDEX(Inputs!$K$5:$AJ$140,0,MATCH(O$2,Inputs!$K$4:$AJ$4,0))))+SUMPRODUCT((Inputs!$C$5:$C$140=$B62)*ISNUMBER(INDEX(Inputs!$K$5:$AJ$140,0,MATCH(O$2,Inputs!$K$4:$AJ$4,0))))+SUMPRODUCT((Inputs!$E$5:$E$140=$B62)*ISNUMBER(INDEX(Inputs!$K$5:$AJ$140,0,MATCH(O$2,Inputs!$K$4:$AJ$4,0))))=0,NA(),SUMPRODUCT((Inputs!$A$5:$A$140=$B62)*Inputs!$B$5:$B$140*(((Inputs!$G$5:$G$140="moeda")+(Inputs!$G$5:$G$140="acoes"))*Inputs!$B$1+((Inputs!$G$5:$G$140&lt;&gt;"moeda")*(Inputs!$G$5:$G$140&lt;&gt;"acoes")))*INDEX(Inputs!$K$5:$AJ$140,0,MATCH(O$2,Inputs!$K$4:$AJ$4,0)))+SUMPRODUCT((Inputs!$C$5:$C$140=$B62)*Inputs!$D$5:$D$140*(((Inputs!$G$5:$G$140="moeda")+(Inputs!$G$5:$G$140="acoes"))*Inputs!$B$1+((Inputs!$G$5:$G$140&lt;&gt;"moeda")*(Inputs!$G$5:$G$140&lt;&gt;"acoes")))*INDEX(Inputs!$K$5:$AJ$140,0,MATCH(O$2,Inputs!$K$4:$AJ$4,0)))+SUMPRODUCT((Inputs!$E$5:$E$140=$B62)*Inputs!$F$5:$F$140*(((Inputs!$G$5:$G$140="moeda")+(Inputs!$G$5:$G$140="acoes"))*Inputs!$B$1+((Inputs!$G$5:$G$140&lt;&gt;"moeda")*(Inputs!$G$5:$G$140&lt;&gt;"acoes")))*INDEX(Inputs!$K$5:$AJ$140,0,MATCH(O$2,Inputs!$K$4:$AJ$4,0)))))</f>
        <v>0.45393769165653</v>
      </c>
      <c r="P62" s="266">
        <f>IF(ISNA(MATCH(P$2,Inputs!$K$4:$AJ$4,0)),NA(),IF(SUMPRODUCT((Inputs!$A$5:$A$140=$B62)*ISNUMBER(INDEX(Inputs!$K$5:$AJ$140,0,MATCH(P$2,Inputs!$K$4:$AJ$4,0))))+SUMPRODUCT((Inputs!$C$5:$C$140=$B62)*ISNUMBER(INDEX(Inputs!$K$5:$AJ$140,0,MATCH(P$2,Inputs!$K$4:$AJ$4,0))))+SUMPRODUCT((Inputs!$E$5:$E$140=$B62)*ISNUMBER(INDEX(Inputs!$K$5:$AJ$140,0,MATCH(P$2,Inputs!$K$4:$AJ$4,0))))=0,NA(),SUMPRODUCT((Inputs!$A$5:$A$140=$B62)*Inputs!$B$5:$B$140*(((Inputs!$G$5:$G$140="moeda")+(Inputs!$G$5:$G$140="acoes"))*Inputs!$B$1+((Inputs!$G$5:$G$140&lt;&gt;"moeda")*(Inputs!$G$5:$G$140&lt;&gt;"acoes")))*INDEX(Inputs!$K$5:$AJ$140,0,MATCH(P$2,Inputs!$K$4:$AJ$4,0)))+SUMPRODUCT((Inputs!$C$5:$C$140=$B62)*Inputs!$D$5:$D$140*(((Inputs!$G$5:$G$140="moeda")+(Inputs!$G$5:$G$140="acoes"))*Inputs!$B$1+((Inputs!$G$5:$G$140&lt;&gt;"moeda")*(Inputs!$G$5:$G$140&lt;&gt;"acoes")))*INDEX(Inputs!$K$5:$AJ$140,0,MATCH(P$2,Inputs!$K$4:$AJ$4,0)))+SUMPRODUCT((Inputs!$E$5:$E$140=$B62)*Inputs!$F$5:$F$140*(((Inputs!$G$5:$G$140="moeda")+(Inputs!$G$5:$G$140="acoes"))*Inputs!$B$1+((Inputs!$G$5:$G$140&lt;&gt;"moeda")*(Inputs!$G$5:$G$140&lt;&gt;"acoes")))*INDEX(Inputs!$K$5:$AJ$140,0,MATCH(P$2,Inputs!$K$4:$AJ$4,0)))))</f>
        <v>0.403739322995392</v>
      </c>
      <c r="Q62" s="266">
        <f>IF(ISNA(MATCH(Q$2,Inputs!$K$4:$AJ$4,0)),NA(),IF(SUMPRODUCT((Inputs!$A$5:$A$140=$B62)*ISNUMBER(INDEX(Inputs!$K$5:$AJ$140,0,MATCH(Q$2,Inputs!$K$4:$AJ$4,0))))+SUMPRODUCT((Inputs!$C$5:$C$140=$B62)*ISNUMBER(INDEX(Inputs!$K$5:$AJ$140,0,MATCH(Q$2,Inputs!$K$4:$AJ$4,0))))+SUMPRODUCT((Inputs!$E$5:$E$140=$B62)*ISNUMBER(INDEX(Inputs!$K$5:$AJ$140,0,MATCH(Q$2,Inputs!$K$4:$AJ$4,0))))=0,NA(),SUMPRODUCT((Inputs!$A$5:$A$140=$B62)*Inputs!$B$5:$B$140*(((Inputs!$G$5:$G$140="moeda")+(Inputs!$G$5:$G$140="acoes"))*Inputs!$B$1+((Inputs!$G$5:$G$140&lt;&gt;"moeda")*(Inputs!$G$5:$G$140&lt;&gt;"acoes")))*INDEX(Inputs!$K$5:$AJ$140,0,MATCH(Q$2,Inputs!$K$4:$AJ$4,0)))+SUMPRODUCT((Inputs!$C$5:$C$140=$B62)*Inputs!$D$5:$D$140*(((Inputs!$G$5:$G$140="moeda")+(Inputs!$G$5:$G$140="acoes"))*Inputs!$B$1+((Inputs!$G$5:$G$140&lt;&gt;"moeda")*(Inputs!$G$5:$G$140&lt;&gt;"acoes")))*INDEX(Inputs!$K$5:$AJ$140,0,MATCH(Q$2,Inputs!$K$4:$AJ$4,0)))+SUMPRODUCT((Inputs!$E$5:$E$140=$B62)*Inputs!$F$5:$F$140*(((Inputs!$G$5:$G$140="moeda")+(Inputs!$G$5:$G$140="acoes"))*Inputs!$B$1+((Inputs!$G$5:$G$140&lt;&gt;"moeda")*(Inputs!$G$5:$G$140&lt;&gt;"acoes")))*INDEX(Inputs!$K$5:$AJ$140,0,MATCH(Q$2,Inputs!$K$4:$AJ$4,0)))))</f>
        <v>0.3885</v>
      </c>
      <c r="R62" s="40" t="n"/>
      <c r="S62" s="266">
        <f>IF(ISNA(MATCH(S$2,Inputs!$K$4:$AJ$4,0)),NA(),IF(SUMPRODUCT((Inputs!$A$5:$A$140=$B62)*ISNUMBER(INDEX(Inputs!$K$5:$AJ$140,0,MATCH(S$2,Inputs!$K$4:$AJ$4,0))))+SUMPRODUCT((Inputs!$C$5:$C$140=$B62)*ISNUMBER(INDEX(Inputs!$K$5:$AJ$140,0,MATCH(S$2,Inputs!$K$4:$AJ$4,0))))+SUMPRODUCT((Inputs!$E$5:$E$140=$B62)*ISNUMBER(INDEX(Inputs!$K$5:$AJ$140,0,MATCH(S$2,Inputs!$K$4:$AJ$4,0))))=0,NA(),SUMPRODUCT((Inputs!$A$5:$A$140=$B62)*Inputs!$B$5:$B$140*(((Inputs!$G$5:$G$140="moeda")+(Inputs!$G$5:$G$140="acoes"))*Inputs!$B$1+((Inputs!$G$5:$G$140&lt;&gt;"moeda")*(Inputs!$G$5:$G$140&lt;&gt;"acoes")))*INDEX(Inputs!$K$5:$AJ$140,0,MATCH(S$2,Inputs!$K$4:$AJ$4,0)))+SUMPRODUCT((Inputs!$C$5:$C$140=$B62)*Inputs!$D$5:$D$140*(((Inputs!$G$5:$G$140="moeda")+(Inputs!$G$5:$G$140="acoes"))*Inputs!$B$1+((Inputs!$G$5:$G$140&lt;&gt;"moeda")*(Inputs!$G$5:$G$140&lt;&gt;"acoes")))*INDEX(Inputs!$K$5:$AJ$140,0,MATCH(S$2,Inputs!$K$4:$AJ$4,0)))+SUMPRODUCT((Inputs!$E$5:$E$140=$B62)*Inputs!$F$5:$F$140*(((Inputs!$G$5:$G$140="moeda")+(Inputs!$G$5:$G$140="acoes"))*Inputs!$B$1+((Inputs!$G$5:$G$140&lt;&gt;"moeda")*(Inputs!$G$5:$G$140&lt;&gt;"acoes")))*INDEX(Inputs!$K$5:$AJ$140,0,MATCH(S$2,Inputs!$K$4:$AJ$4,0)))))</f>
        <v>0.478706116360668</v>
      </c>
      <c r="T62" s="266">
        <f>IF(ISNA(MATCH(T$2,Inputs!$K$4:$AJ$4,0)),NA(),IF(SUMPRODUCT((Inputs!$A$5:$A$140=$B62)*ISNUMBER(INDEX(Inputs!$K$5:$AJ$140,0,MATCH(T$2,Inputs!$K$4:$AJ$4,0))))+SUMPRODUCT((Inputs!$C$5:$C$140=$B62)*ISNUMBER(INDEX(Inputs!$K$5:$AJ$140,0,MATCH(T$2,Inputs!$K$4:$AJ$4,0))))+SUMPRODUCT((Inputs!$E$5:$E$140=$B62)*ISNUMBER(INDEX(Inputs!$K$5:$AJ$140,0,MATCH(T$2,Inputs!$K$4:$AJ$4,0))))=0,NA(),SUMPRODUCT((Inputs!$A$5:$A$140=$B62)*Inputs!$B$5:$B$140*(((Inputs!$G$5:$G$140="moeda")+(Inputs!$G$5:$G$140="acoes"))*Inputs!$B$1+((Inputs!$G$5:$G$140&lt;&gt;"moeda")*(Inputs!$G$5:$G$140&lt;&gt;"acoes")))*INDEX(Inputs!$K$5:$AJ$140,0,MATCH(T$2,Inputs!$K$4:$AJ$4,0)))+SUMPRODUCT((Inputs!$C$5:$C$140=$B62)*Inputs!$D$5:$D$140*(((Inputs!$G$5:$G$140="moeda")+(Inputs!$G$5:$G$140="acoes"))*Inputs!$B$1+((Inputs!$G$5:$G$140&lt;&gt;"moeda")*(Inputs!$G$5:$G$140&lt;&gt;"acoes")))*INDEX(Inputs!$K$5:$AJ$140,0,MATCH(T$2,Inputs!$K$4:$AJ$4,0)))+SUMPRODUCT((Inputs!$E$5:$E$140=$B62)*Inputs!$F$5:$F$140*(((Inputs!$G$5:$G$140="moeda")+(Inputs!$G$5:$G$140="acoes"))*Inputs!$B$1+((Inputs!$G$5:$G$140&lt;&gt;"moeda")*(Inputs!$G$5:$G$140&lt;&gt;"acoes")))*INDEX(Inputs!$K$5:$AJ$140,0,MATCH(T$2,Inputs!$K$4:$AJ$4,0)))))</f>
        <v>0.50526082643869</v>
      </c>
      <c r="U62" s="266">
        <f>IF(ISNA(MATCH(U$2,Inputs!$K$4:$AJ$4,0)),NA(),IF(SUMPRODUCT((Inputs!$A$5:$A$140=$B62)*ISNUMBER(INDEX(Inputs!$K$5:$AJ$140,0,MATCH(U$2,Inputs!$K$4:$AJ$4,0))))+SUMPRODUCT((Inputs!$C$5:$C$140=$B62)*ISNUMBER(INDEX(Inputs!$K$5:$AJ$140,0,MATCH(U$2,Inputs!$K$4:$AJ$4,0))))+SUMPRODUCT((Inputs!$E$5:$E$140=$B62)*ISNUMBER(INDEX(Inputs!$K$5:$AJ$140,0,MATCH(U$2,Inputs!$K$4:$AJ$4,0))))=0,NA(),SUMPRODUCT((Inputs!$A$5:$A$140=$B62)*Inputs!$B$5:$B$140*(((Inputs!$G$5:$G$140="moeda")+(Inputs!$G$5:$G$140="acoes"))*Inputs!$B$1+((Inputs!$G$5:$G$140&lt;&gt;"moeda")*(Inputs!$G$5:$G$140&lt;&gt;"acoes")))*INDEX(Inputs!$K$5:$AJ$140,0,MATCH(U$2,Inputs!$K$4:$AJ$4,0)))+SUMPRODUCT((Inputs!$C$5:$C$140=$B62)*Inputs!$D$5:$D$140*(((Inputs!$G$5:$G$140="moeda")+(Inputs!$G$5:$G$140="acoes"))*Inputs!$B$1+((Inputs!$G$5:$G$140&lt;&gt;"moeda")*(Inputs!$G$5:$G$140&lt;&gt;"acoes")))*INDEX(Inputs!$K$5:$AJ$140,0,MATCH(U$2,Inputs!$K$4:$AJ$4,0)))+SUMPRODUCT((Inputs!$E$5:$E$140=$B62)*Inputs!$F$5:$F$140*(((Inputs!$G$5:$G$140="moeda")+(Inputs!$G$5:$G$140="acoes"))*Inputs!$B$1+((Inputs!$G$5:$G$140&lt;&gt;"moeda")*(Inputs!$G$5:$G$140&lt;&gt;"acoes")))*INDEX(Inputs!$K$5:$AJ$140,0,MATCH(U$2,Inputs!$K$4:$AJ$4,0)))))</f>
        <v>0.438513003577818</v>
      </c>
      <c r="V62" s="266">
        <f>IF(ISNA(MATCH(V$2,Inputs!$K$4:$AJ$4,0)),NA(),IF(SUMPRODUCT((Inputs!$A$5:$A$140=$B62)*ISNUMBER(INDEX(Inputs!$K$5:$AJ$140,0,MATCH(V$2,Inputs!$K$4:$AJ$4,0))))+SUMPRODUCT((Inputs!$C$5:$C$140=$B62)*ISNUMBER(INDEX(Inputs!$K$5:$AJ$140,0,MATCH(V$2,Inputs!$K$4:$AJ$4,0))))+SUMPRODUCT((Inputs!$E$5:$E$140=$B62)*ISNUMBER(INDEX(Inputs!$K$5:$AJ$140,0,MATCH(V$2,Inputs!$K$4:$AJ$4,0))))=0,NA(),SUMPRODUCT((Inputs!$A$5:$A$140=$B62)*Inputs!$B$5:$B$140*(((Inputs!$G$5:$G$140="moeda")+(Inputs!$G$5:$G$140="acoes"))*Inputs!$B$1+((Inputs!$G$5:$G$140&lt;&gt;"moeda")*(Inputs!$G$5:$G$140&lt;&gt;"acoes")))*INDEX(Inputs!$K$5:$AJ$140,0,MATCH(V$2,Inputs!$K$4:$AJ$4,0)))+SUMPRODUCT((Inputs!$C$5:$C$140=$B62)*Inputs!$D$5:$D$140*(((Inputs!$G$5:$G$140="moeda")+(Inputs!$G$5:$G$140="acoes"))*Inputs!$B$1+((Inputs!$G$5:$G$140&lt;&gt;"moeda")*(Inputs!$G$5:$G$140&lt;&gt;"acoes")))*INDEX(Inputs!$K$5:$AJ$140,0,MATCH(V$2,Inputs!$K$4:$AJ$4,0)))+SUMPRODUCT((Inputs!$E$5:$E$140=$B62)*Inputs!$F$5:$F$140*(((Inputs!$G$5:$G$140="moeda")+(Inputs!$G$5:$G$140="acoes"))*Inputs!$B$1+((Inputs!$G$5:$G$140&lt;&gt;"moeda")*(Inputs!$G$5:$G$140&lt;&gt;"acoes")))*INDEX(Inputs!$K$5:$AJ$140,0,MATCH(V$2,Inputs!$K$4:$AJ$4,0)))))</f>
        <v>0.4371</v>
      </c>
      <c r="W62" s="40" t="n"/>
      <c r="X62" s="266">
        <f>IF(ISNA(MATCH(X$2,Inputs!$K$4:$AJ$4,0)),NA(),IF(SUMPRODUCT((Inputs!$A$5:$A$140=$B62)*ISNUMBER(INDEX(Inputs!$K$5:$AJ$140,0,MATCH(X$2,Inputs!$K$4:$AJ$4,0))))+SUMPRODUCT((Inputs!$C$5:$C$140=$B62)*ISNUMBER(INDEX(Inputs!$K$5:$AJ$140,0,MATCH(X$2,Inputs!$K$4:$AJ$4,0))))+SUMPRODUCT((Inputs!$E$5:$E$140=$B62)*ISNUMBER(INDEX(Inputs!$K$5:$AJ$140,0,MATCH(X$2,Inputs!$K$4:$AJ$4,0))))=0,NA(),SUMPRODUCT((Inputs!$A$5:$A$140=$B62)*Inputs!$B$5:$B$140*(((Inputs!$G$5:$G$140="moeda")+(Inputs!$G$5:$G$140="acoes"))*Inputs!$B$1+((Inputs!$G$5:$G$140&lt;&gt;"moeda")*(Inputs!$G$5:$G$140&lt;&gt;"acoes")))*INDEX(Inputs!$K$5:$AJ$140,0,MATCH(X$2,Inputs!$K$4:$AJ$4,0)))+SUMPRODUCT((Inputs!$C$5:$C$140=$B62)*Inputs!$D$5:$D$140*(((Inputs!$G$5:$G$140="moeda")+(Inputs!$G$5:$G$140="acoes"))*Inputs!$B$1+((Inputs!$G$5:$G$140&lt;&gt;"moeda")*(Inputs!$G$5:$G$140&lt;&gt;"acoes")))*INDEX(Inputs!$K$5:$AJ$140,0,MATCH(X$2,Inputs!$K$4:$AJ$4,0)))+SUMPRODUCT((Inputs!$E$5:$E$140=$B62)*Inputs!$F$5:$F$140*(((Inputs!$G$5:$G$140="moeda")+(Inputs!$G$5:$G$140="acoes"))*Inputs!$B$1+((Inputs!$G$5:$G$140&lt;&gt;"moeda")*(Inputs!$G$5:$G$140&lt;&gt;"acoes")))*INDEX(Inputs!$K$5:$AJ$140,0,MATCH(X$2,Inputs!$K$4:$AJ$4,0)))))</f>
        <v>0.454118773835087</v>
      </c>
      <c r="Y62" s="266">
        <f>IF(ISNA(MATCH(Y$2,Inputs!$K$4:$AJ$4,0)),NA(),IF(SUMPRODUCT((Inputs!$A$5:$A$140=$B62)*ISNUMBER(INDEX(Inputs!$K$5:$AJ$140,0,MATCH(Y$2,Inputs!$K$4:$AJ$4,0))))+SUMPRODUCT((Inputs!$C$5:$C$140=$B62)*ISNUMBER(INDEX(Inputs!$K$5:$AJ$140,0,MATCH(Y$2,Inputs!$K$4:$AJ$4,0))))+SUMPRODUCT((Inputs!$E$5:$E$140=$B62)*ISNUMBER(INDEX(Inputs!$K$5:$AJ$140,0,MATCH(Y$2,Inputs!$K$4:$AJ$4,0))))=0,NA(),SUMPRODUCT((Inputs!$A$5:$A$140=$B62)*Inputs!$B$5:$B$140*(((Inputs!$G$5:$G$140="moeda")+(Inputs!$G$5:$G$140="acoes"))*Inputs!$B$1+((Inputs!$G$5:$G$140&lt;&gt;"moeda")*(Inputs!$G$5:$G$140&lt;&gt;"acoes")))*INDEX(Inputs!$K$5:$AJ$140,0,MATCH(Y$2,Inputs!$K$4:$AJ$4,0)))+SUMPRODUCT((Inputs!$C$5:$C$140=$B62)*Inputs!$D$5:$D$140*(((Inputs!$G$5:$G$140="moeda")+(Inputs!$G$5:$G$140="acoes"))*Inputs!$B$1+((Inputs!$G$5:$G$140&lt;&gt;"moeda")*(Inputs!$G$5:$G$140&lt;&gt;"acoes")))*INDEX(Inputs!$K$5:$AJ$140,0,MATCH(Y$2,Inputs!$K$4:$AJ$4,0)))+SUMPRODUCT((Inputs!$E$5:$E$140=$B62)*Inputs!$F$5:$F$140*(((Inputs!$G$5:$G$140="moeda")+(Inputs!$G$5:$G$140="acoes"))*Inputs!$B$1+((Inputs!$G$5:$G$140&lt;&gt;"moeda")*(Inputs!$G$5:$G$140&lt;&gt;"acoes")))*INDEX(Inputs!$K$5:$AJ$140,0,MATCH(Y$2,Inputs!$K$4:$AJ$4,0)))))</f>
        <v>0.475167507293997</v>
      </c>
      <c r="Z62" s="266">
        <f>IF(ISNA(MATCH(Z$2,Inputs!$K$4:$AJ$4,0)),NA(),IF(SUMPRODUCT((Inputs!$A$5:$A$140=$B62)*ISNUMBER(INDEX(Inputs!$K$5:$AJ$140,0,MATCH(Z$2,Inputs!$K$4:$AJ$4,0))))+SUMPRODUCT((Inputs!$C$5:$C$140=$B62)*ISNUMBER(INDEX(Inputs!$K$5:$AJ$140,0,MATCH(Z$2,Inputs!$K$4:$AJ$4,0))))+SUMPRODUCT((Inputs!$E$5:$E$140=$B62)*ISNUMBER(INDEX(Inputs!$K$5:$AJ$140,0,MATCH(Z$2,Inputs!$K$4:$AJ$4,0))))=0,NA(),SUMPRODUCT((Inputs!$A$5:$A$140=$B62)*Inputs!$B$5:$B$140*(((Inputs!$G$5:$G$140="moeda")+(Inputs!$G$5:$G$140="acoes"))*Inputs!$B$1+((Inputs!$G$5:$G$140&lt;&gt;"moeda")*(Inputs!$G$5:$G$140&lt;&gt;"acoes")))*INDEX(Inputs!$K$5:$AJ$140,0,MATCH(Z$2,Inputs!$K$4:$AJ$4,0)))+SUMPRODUCT((Inputs!$C$5:$C$140=$B62)*Inputs!$D$5:$D$140*(((Inputs!$G$5:$G$140="moeda")+(Inputs!$G$5:$G$140="acoes"))*Inputs!$B$1+((Inputs!$G$5:$G$140&lt;&gt;"moeda")*(Inputs!$G$5:$G$140&lt;&gt;"acoes")))*INDEX(Inputs!$K$5:$AJ$140,0,MATCH(Z$2,Inputs!$K$4:$AJ$4,0)))+SUMPRODUCT((Inputs!$E$5:$E$140=$B62)*Inputs!$F$5:$F$140*(((Inputs!$G$5:$G$140="moeda")+(Inputs!$G$5:$G$140="acoes"))*Inputs!$B$1+((Inputs!$G$5:$G$140&lt;&gt;"moeda")*(Inputs!$G$5:$G$140&lt;&gt;"acoes")))*INDEX(Inputs!$K$5:$AJ$140,0,MATCH(Z$2,Inputs!$K$4:$AJ$4,0)))))</f>
        <v>0.405535728681346</v>
      </c>
      <c r="AA62" s="266">
        <f>IF(ISNA(MATCH(AA$2,Inputs!$K$4:$AJ$4,0)),NA(),IF(SUMPRODUCT((Inputs!$A$5:$A$140=$B62)*ISNUMBER(INDEX(Inputs!$K$5:$AJ$140,0,MATCH(AA$2,Inputs!$K$4:$AJ$4,0))))+SUMPRODUCT((Inputs!$C$5:$C$140=$B62)*ISNUMBER(INDEX(Inputs!$K$5:$AJ$140,0,MATCH(AA$2,Inputs!$K$4:$AJ$4,0))))+SUMPRODUCT((Inputs!$E$5:$E$140=$B62)*ISNUMBER(INDEX(Inputs!$K$5:$AJ$140,0,MATCH(AA$2,Inputs!$K$4:$AJ$4,0))))=0,NA(),SUMPRODUCT((Inputs!$A$5:$A$140=$B62)*Inputs!$B$5:$B$140*(((Inputs!$G$5:$G$140="moeda")+(Inputs!$G$5:$G$140="acoes"))*Inputs!$B$1+((Inputs!$G$5:$G$140&lt;&gt;"moeda")*(Inputs!$G$5:$G$140&lt;&gt;"acoes")))*INDEX(Inputs!$K$5:$AJ$140,0,MATCH(AA$2,Inputs!$K$4:$AJ$4,0)))+SUMPRODUCT((Inputs!$C$5:$C$140=$B62)*Inputs!$D$5:$D$140*(((Inputs!$G$5:$G$140="moeda")+(Inputs!$G$5:$G$140="acoes"))*Inputs!$B$1+((Inputs!$G$5:$G$140&lt;&gt;"moeda")*(Inputs!$G$5:$G$140&lt;&gt;"acoes")))*INDEX(Inputs!$K$5:$AJ$140,0,MATCH(AA$2,Inputs!$K$4:$AJ$4,0)))+SUMPRODUCT((Inputs!$E$5:$E$140=$B62)*Inputs!$F$5:$F$140*(((Inputs!$G$5:$G$140="moeda")+(Inputs!$G$5:$G$140="acoes"))*Inputs!$B$1+((Inputs!$G$5:$G$140&lt;&gt;"moeda")*(Inputs!$G$5:$G$140&lt;&gt;"acoes")))*INDEX(Inputs!$K$5:$AJ$140,0,MATCH(AA$2,Inputs!$K$4:$AJ$4,0)))))</f>
        <v>0.392750590286147</v>
      </c>
      <c r="AB62" s="40" t="n"/>
      <c r="AC62" s="266">
        <f>IF(ISNA(MATCH(AC$2,Inputs!$K$4:$AJ$4,0)),NA(),IF(SUMPRODUCT((Inputs!$A$5:$A$140=$B62)*ISNUMBER(INDEX(Inputs!$K$5:$AJ$140,0,MATCH(AC$2,Inputs!$K$4:$AJ$4,0))))+SUMPRODUCT((Inputs!$C$5:$C$140=$B62)*ISNUMBER(INDEX(Inputs!$K$5:$AJ$140,0,MATCH(AC$2,Inputs!$K$4:$AJ$4,0))))+SUMPRODUCT((Inputs!$E$5:$E$140=$B62)*ISNUMBER(INDEX(Inputs!$K$5:$AJ$140,0,MATCH(AC$2,Inputs!$K$4:$AJ$4,0))))=0,NA(),SUMPRODUCT((Inputs!$A$5:$A$140=$B62)*Inputs!$B$5:$B$140*(((Inputs!$G$5:$G$140="moeda")+(Inputs!$G$5:$G$140="acoes"))*Inputs!$B$1+((Inputs!$G$5:$G$140&lt;&gt;"moeda")*(Inputs!$G$5:$G$140&lt;&gt;"acoes")))*INDEX(Inputs!$K$5:$AJ$140,0,MATCH(AC$2,Inputs!$K$4:$AJ$4,0)))+SUMPRODUCT((Inputs!$C$5:$C$140=$B62)*Inputs!$D$5:$D$140*(((Inputs!$G$5:$G$140="moeda")+(Inputs!$G$5:$G$140="acoes"))*Inputs!$B$1+((Inputs!$G$5:$G$140&lt;&gt;"moeda")*(Inputs!$G$5:$G$140&lt;&gt;"acoes")))*INDEX(Inputs!$K$5:$AJ$140,0,MATCH(AC$2,Inputs!$K$4:$AJ$4,0)))+SUMPRODUCT((Inputs!$E$5:$E$140=$B62)*Inputs!$F$5:$F$140*(((Inputs!$G$5:$G$140="moeda")+(Inputs!$G$5:$G$140="acoes"))*Inputs!$B$1+((Inputs!$G$5:$G$140&lt;&gt;"moeda")*(Inputs!$G$5:$G$140&lt;&gt;"acoes")))*INDEX(Inputs!$K$5:$AJ$140,0,MATCH(AC$2,Inputs!$K$4:$AJ$4,0)))))</f>
        <v>0.451019798613573</v>
      </c>
      <c r="AD62" s="266">
        <f>IF(ISNA(MATCH(AD$2,Inputs!$K$4:$AJ$4,0)),NA(),IF(SUMPRODUCT((Inputs!$A$5:$A$140=$B62)*ISNUMBER(INDEX(Inputs!$K$5:$AJ$140,0,MATCH(AD$2,Inputs!$K$4:$AJ$4,0))))+SUMPRODUCT((Inputs!$C$5:$C$140=$B62)*ISNUMBER(INDEX(Inputs!$K$5:$AJ$140,0,MATCH(AD$2,Inputs!$K$4:$AJ$4,0))))+SUMPRODUCT((Inputs!$E$5:$E$140=$B62)*ISNUMBER(INDEX(Inputs!$K$5:$AJ$140,0,MATCH(AD$2,Inputs!$K$4:$AJ$4,0))))=0,NA(),SUMPRODUCT((Inputs!$A$5:$A$140=$B62)*Inputs!$B$5:$B$140*(((Inputs!$G$5:$G$140="moeda")+(Inputs!$G$5:$G$140="acoes"))*Inputs!$B$1+((Inputs!$G$5:$G$140&lt;&gt;"moeda")*(Inputs!$G$5:$G$140&lt;&gt;"acoes")))*INDEX(Inputs!$K$5:$AJ$140,0,MATCH(AD$2,Inputs!$K$4:$AJ$4,0)))+SUMPRODUCT((Inputs!$C$5:$C$140=$B62)*Inputs!$D$5:$D$140*(((Inputs!$G$5:$G$140="moeda")+(Inputs!$G$5:$G$140="acoes"))*Inputs!$B$1+((Inputs!$G$5:$G$140&lt;&gt;"moeda")*(Inputs!$G$5:$G$140&lt;&gt;"acoes")))*INDEX(Inputs!$K$5:$AJ$140,0,MATCH(AD$2,Inputs!$K$4:$AJ$4,0)))+SUMPRODUCT((Inputs!$E$5:$E$140=$B62)*Inputs!$F$5:$F$140*(((Inputs!$G$5:$G$140="moeda")+(Inputs!$G$5:$G$140="acoes"))*Inputs!$B$1+((Inputs!$G$5:$G$140&lt;&gt;"moeda")*(Inputs!$G$5:$G$140&lt;&gt;"acoes")))*INDEX(Inputs!$K$5:$AJ$140,0,MATCH(AD$2,Inputs!$K$4:$AJ$4,0)))))</f>
        <v>0.404748971626287</v>
      </c>
      <c r="AE62" s="266" t="e">
        <f>IF(ISNA(MATCH(AE$2,Inputs!$K$4:$AJ$4,0)),NA(),IF(SUMPRODUCT((Inputs!$A$5:$A$140=$B62)*ISNUMBER(INDEX(Inputs!$K$5:$AJ$140,0,MATCH(AE$2,Inputs!$K$4:$AJ$4,0))))+SUMPRODUCT((Inputs!$C$5:$C$140=$B62)*ISNUMBER(INDEX(Inputs!$K$5:$AJ$140,0,MATCH(AE$2,Inputs!$K$4:$AJ$4,0))))+SUMPRODUCT((Inputs!$E$5:$E$140=$B62)*ISNUMBER(INDEX(Inputs!$K$5:$AJ$140,0,MATCH(AE$2,Inputs!$K$4:$AJ$4,0))))=0,NA(),SUMPRODUCT((Inputs!$A$5:$A$140=$B62)*Inputs!$B$5:$B$140*(((Inputs!$G$5:$G$140="moeda")+(Inputs!$G$5:$G$140="acoes"))*Inputs!$B$1+((Inputs!$G$5:$G$140&lt;&gt;"moeda")*(Inputs!$G$5:$G$140&lt;&gt;"acoes")))*INDEX(Inputs!$K$5:$AJ$140,0,MATCH(AE$2,Inputs!$K$4:$AJ$4,0)))+SUMPRODUCT((Inputs!$C$5:$C$140=$B62)*Inputs!$D$5:$D$140*(((Inputs!$G$5:$G$140="moeda")+(Inputs!$G$5:$G$140="acoes"))*Inputs!$B$1+((Inputs!$G$5:$G$140&lt;&gt;"moeda")*(Inputs!$G$5:$G$140&lt;&gt;"acoes")))*INDEX(Inputs!$K$5:$AJ$140,0,MATCH(AE$2,Inputs!$K$4:$AJ$4,0)))+SUMPRODUCT((Inputs!$E$5:$E$140=$B62)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2" s="266" t="e">
        <f>IF(ISNA(MATCH(AF$2,Inputs!$K$4:$AJ$4,0)),NA(),IF(SUMPRODUCT((Inputs!$A$5:$A$140=$B62)*ISNUMBER(INDEX(Inputs!$K$5:$AJ$140,0,MATCH(AF$2,Inputs!$K$4:$AJ$4,0))))+SUMPRODUCT((Inputs!$C$5:$C$140=$B62)*ISNUMBER(INDEX(Inputs!$K$5:$AJ$140,0,MATCH(AF$2,Inputs!$K$4:$AJ$4,0))))+SUMPRODUCT((Inputs!$E$5:$E$140=$B62)*ISNUMBER(INDEX(Inputs!$K$5:$AJ$140,0,MATCH(AF$2,Inputs!$K$4:$AJ$4,0))))=0,NA(),SUMPRODUCT((Inputs!$A$5:$A$140=$B62)*Inputs!$B$5:$B$140*(((Inputs!$G$5:$G$140="moeda")+(Inputs!$G$5:$G$140="acoes"))*Inputs!$B$1+((Inputs!$G$5:$G$140&lt;&gt;"moeda")*(Inputs!$G$5:$G$140&lt;&gt;"acoes")))*INDEX(Inputs!$K$5:$AJ$140,0,MATCH(AF$2,Inputs!$K$4:$AJ$4,0)))+SUMPRODUCT((Inputs!$C$5:$C$140=$B62)*Inputs!$D$5:$D$140*(((Inputs!$G$5:$G$140="moeda")+(Inputs!$G$5:$G$140="acoes"))*Inputs!$B$1+((Inputs!$G$5:$G$140&lt;&gt;"moeda")*(Inputs!$G$5:$G$140&lt;&gt;"acoes")))*INDEX(Inputs!$K$5:$AJ$140,0,MATCH(AF$2,Inputs!$K$4:$AJ$4,0)))+SUMPRODUCT((Inputs!$E$5:$E$140=$B62)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2" s="40" t="n"/>
      <c r="AH62" s="266">
        <f>IF(ISNA(MATCH(AH$2,Inputs!$K$4:$AJ$4,0)),NA(),IF(SUMPRODUCT((Inputs!$A$5:$A$140=$B62)*ISNUMBER(INDEX(Inputs!$K$5:$AJ$140,0,MATCH(AH$2,Inputs!$K$4:$AJ$4,0))))+SUMPRODUCT((Inputs!$C$5:$C$140=$B62)*ISNUMBER(INDEX(Inputs!$K$5:$AJ$140,0,MATCH(AH$2,Inputs!$K$4:$AJ$4,0))))+SUMPRODUCT((Inputs!$E$5:$E$140=$B62)*ISNUMBER(INDEX(Inputs!$K$5:$AJ$140,0,MATCH(AH$2,Inputs!$K$4:$AJ$4,0))))=0,NA(),SUMPRODUCT((Inputs!$A$5:$A$140=$B62)*Inputs!$B$5:$B$140*(((Inputs!$G$5:$G$140="moeda")+(Inputs!$G$5:$G$140="acoes"))*Inputs!$B$1+((Inputs!$G$5:$G$140&lt;&gt;"moeda")*(Inputs!$G$5:$G$140&lt;&gt;"acoes")))*INDEX(Inputs!$K$5:$AJ$140,0,MATCH(AH$2,Inputs!$K$4:$AJ$4,0)))+SUMPRODUCT((Inputs!$C$5:$C$140=$B62)*Inputs!$D$5:$D$140*(((Inputs!$G$5:$G$140="moeda")+(Inputs!$G$5:$G$140="acoes"))*Inputs!$B$1+((Inputs!$G$5:$G$140&lt;&gt;"moeda")*(Inputs!$G$5:$G$140&lt;&gt;"acoes")))*INDEX(Inputs!$K$5:$AJ$140,0,MATCH(AH$2,Inputs!$K$4:$AJ$4,0)))+SUMPRODUCT((Inputs!$E$5:$E$140=$B62)*Inputs!$F$5:$F$140*(((Inputs!$G$5:$G$140="moeda")+(Inputs!$G$5:$G$140="acoes"))*Inputs!$B$1+((Inputs!$G$5:$G$140&lt;&gt;"moeda")*(Inputs!$G$5:$G$140&lt;&gt;"acoes")))*INDEX(Inputs!$K$5:$AJ$140,0,MATCH(AH$2,Inputs!$K$4:$AJ$4,0)))))</f>
        <v>0.342552812641719</v>
      </c>
      <c r="AI62" s="266">
        <f>IF(ISNA(MATCH(AI$2,Inputs!$K$4:$AJ$4,0)),NA(),IF(SUMPRODUCT((Inputs!$A$5:$A$140=$B62)*ISNUMBER(INDEX(Inputs!$K$5:$AJ$140,0,MATCH(AI$2,Inputs!$K$4:$AJ$4,0))))+SUMPRODUCT((Inputs!$C$5:$C$140=$B62)*ISNUMBER(INDEX(Inputs!$K$5:$AJ$140,0,MATCH(AI$2,Inputs!$K$4:$AJ$4,0))))+SUMPRODUCT((Inputs!$E$5:$E$140=$B62)*ISNUMBER(INDEX(Inputs!$K$5:$AJ$140,0,MATCH(AI$2,Inputs!$K$4:$AJ$4,0))))=0,NA(),SUMPRODUCT((Inputs!$A$5:$A$140=$B62)*Inputs!$B$5:$B$140*(((Inputs!$G$5:$G$140="moeda")+(Inputs!$G$5:$G$140="acoes"))*Inputs!$B$1+((Inputs!$G$5:$G$140&lt;&gt;"moeda")*(Inputs!$G$5:$G$140&lt;&gt;"acoes")))*INDEX(Inputs!$K$5:$AJ$140,0,MATCH(AI$2,Inputs!$K$4:$AJ$4,0)))+SUMPRODUCT((Inputs!$C$5:$C$140=$B62)*Inputs!$D$5:$D$140*(((Inputs!$G$5:$G$140="moeda")+(Inputs!$G$5:$G$140="acoes"))*Inputs!$B$1+((Inputs!$G$5:$G$140&lt;&gt;"moeda")*(Inputs!$G$5:$G$140&lt;&gt;"acoes")))*INDEX(Inputs!$K$5:$AJ$140,0,MATCH(AI$2,Inputs!$K$4:$AJ$4,0)))+SUMPRODUCT((Inputs!$E$5:$E$140=$B62)*Inputs!$F$5:$F$140*(((Inputs!$G$5:$G$140="moeda")+(Inputs!$G$5:$G$140="acoes"))*Inputs!$B$1+((Inputs!$G$5:$G$140&lt;&gt;"moeda")*(Inputs!$G$5:$G$140&lt;&gt;"acoes")))*INDEX(Inputs!$K$5:$AJ$140,0,MATCH(AI$2,Inputs!$K$4:$AJ$4,0)))))</f>
        <v>0.380240164226647</v>
      </c>
      <c r="AJ62" s="266">
        <f>IF(ISNA(MATCH(AJ$2,Inputs!$K$4:$AJ$4,0)),NA(),IF(SUMPRODUCT((Inputs!$A$5:$A$140=$B62)*ISNUMBER(INDEX(Inputs!$K$5:$AJ$140,0,MATCH(AJ$2,Inputs!$K$4:$AJ$4,0))))+SUMPRODUCT((Inputs!$C$5:$C$140=$B62)*ISNUMBER(INDEX(Inputs!$K$5:$AJ$140,0,MATCH(AJ$2,Inputs!$K$4:$AJ$4,0))))+SUMPRODUCT((Inputs!$E$5:$E$140=$B62)*ISNUMBER(INDEX(Inputs!$K$5:$AJ$140,0,MATCH(AJ$2,Inputs!$K$4:$AJ$4,0))))=0,NA(),SUMPRODUCT((Inputs!$A$5:$A$140=$B62)*Inputs!$B$5:$B$140*(((Inputs!$G$5:$G$140="moeda")+(Inputs!$G$5:$G$140="acoes"))*Inputs!$B$1+((Inputs!$G$5:$G$140&lt;&gt;"moeda")*(Inputs!$G$5:$G$140&lt;&gt;"acoes")))*INDEX(Inputs!$K$5:$AJ$140,0,MATCH(AJ$2,Inputs!$K$4:$AJ$4,0)))+SUMPRODUCT((Inputs!$C$5:$C$140=$B62)*Inputs!$D$5:$D$140*(((Inputs!$G$5:$G$140="moeda")+(Inputs!$G$5:$G$140="acoes"))*Inputs!$B$1+((Inputs!$G$5:$G$140&lt;&gt;"moeda")*(Inputs!$G$5:$G$140&lt;&gt;"acoes")))*INDEX(Inputs!$K$5:$AJ$140,0,MATCH(AJ$2,Inputs!$K$4:$AJ$4,0)))+SUMPRODUCT((Inputs!$E$5:$E$140=$B62)*Inputs!$F$5:$F$140*(((Inputs!$G$5:$G$140="moeda")+(Inputs!$G$5:$G$140="acoes"))*Inputs!$B$1+((Inputs!$G$5:$G$140&lt;&gt;"moeda")*(Inputs!$G$5:$G$140&lt;&gt;"acoes")))*INDEX(Inputs!$K$5:$AJ$140,0,MATCH(AJ$2,Inputs!$K$4:$AJ$4,0)))))</f>
        <v>0.464542253395794</v>
      </c>
      <c r="AK62" s="266">
        <f>IF(ISNA(MATCH(AK$2,Inputs!$K$4:$AJ$4,0)),NA(),IF(SUMPRODUCT((Inputs!$A$5:$A$140=$B62)*ISNUMBER(INDEX(Inputs!$K$5:$AJ$140,0,MATCH(AK$2,Inputs!$K$4:$AJ$4,0))))+SUMPRODUCT((Inputs!$C$5:$C$140=$B62)*ISNUMBER(INDEX(Inputs!$K$5:$AJ$140,0,MATCH(AK$2,Inputs!$K$4:$AJ$4,0))))+SUMPRODUCT((Inputs!$E$5:$E$140=$B62)*ISNUMBER(INDEX(Inputs!$K$5:$AJ$140,0,MATCH(AK$2,Inputs!$K$4:$AJ$4,0))))=0,NA(),SUMPRODUCT((Inputs!$A$5:$A$140=$B62)*Inputs!$B$5:$B$140*(((Inputs!$G$5:$G$140="moeda")+(Inputs!$G$5:$G$140="acoes"))*Inputs!$B$1+((Inputs!$G$5:$G$140&lt;&gt;"moeda")*(Inputs!$G$5:$G$140&lt;&gt;"acoes")))*INDEX(Inputs!$K$5:$AJ$140,0,MATCH(AK$2,Inputs!$K$4:$AJ$4,0)))+SUMPRODUCT((Inputs!$C$5:$C$140=$B62)*Inputs!$D$5:$D$140*(((Inputs!$G$5:$G$140="moeda")+(Inputs!$G$5:$G$140="acoes"))*Inputs!$B$1+((Inputs!$G$5:$G$140&lt;&gt;"moeda")*(Inputs!$G$5:$G$140&lt;&gt;"acoes")))*INDEX(Inputs!$K$5:$AJ$140,0,MATCH(AK$2,Inputs!$K$4:$AJ$4,0)))+SUMPRODUCT((Inputs!$E$5:$E$140=$B62)*Inputs!$F$5:$F$140*(((Inputs!$G$5:$G$140="moeda")+(Inputs!$G$5:$G$140="acoes"))*Inputs!$B$1+((Inputs!$G$5:$G$140&lt;&gt;"moeda")*(Inputs!$G$5:$G$140&lt;&gt;"acoes")))*INDEX(Inputs!$K$5:$AJ$140,0,MATCH(AK$2,Inputs!$K$4:$AJ$4,0)))))</f>
        <v>0.351005258979612</v>
      </c>
      <c r="AL62" s="40" t="n"/>
    </row>
    <row r="63">
      <c r="B63" s="46" t="n">
        <v>55</v>
      </c>
      <c r="C63" s="29" t="inlineStr">
        <is>
          <t>VSO liquido UDM (l.30)</t>
        </is>
      </c>
      <c r="D63" s="266">
        <f>IF(ISNA(MATCH(D$2,Inputs!$K$4:$AJ$4,0)),NA(),IF(SUMPRODUCT((Inputs!$A$5:$A$140=$B63)*ISNUMBER(INDEX(Inputs!$K$5:$AJ$140,0,MATCH(D$2,Inputs!$K$4:$AJ$4,0))))+SUMPRODUCT((Inputs!$C$5:$C$140=$B63)*ISNUMBER(INDEX(Inputs!$K$5:$AJ$140,0,MATCH(D$2,Inputs!$K$4:$AJ$4,0))))+SUMPRODUCT((Inputs!$E$5:$E$140=$B63)*ISNUMBER(INDEX(Inputs!$K$5:$AJ$140,0,MATCH(D$2,Inputs!$K$4:$AJ$4,0))))=0,NA(),SUMPRODUCT((Inputs!$A$5:$A$140=$B63)*Inputs!$B$5:$B$140*(((Inputs!$G$5:$G$140="moeda")+(Inputs!$G$5:$G$140="acoes"))*Inputs!$B$1+((Inputs!$G$5:$G$140&lt;&gt;"moeda")*(Inputs!$G$5:$G$140&lt;&gt;"acoes")))*INDEX(Inputs!$K$5:$AJ$140,0,MATCH(D$2,Inputs!$K$4:$AJ$4,0)))+SUMPRODUCT((Inputs!$C$5:$C$140=$B63)*Inputs!$D$5:$D$140*(((Inputs!$G$5:$G$140="moeda")+(Inputs!$G$5:$G$140="acoes"))*Inputs!$B$1+((Inputs!$G$5:$G$140&lt;&gt;"moeda")*(Inputs!$G$5:$G$140&lt;&gt;"acoes")))*INDEX(Inputs!$K$5:$AJ$140,0,MATCH(D$2,Inputs!$K$4:$AJ$4,0)))+SUMPRODUCT((Inputs!$E$5:$E$140=$B63)*Inputs!$F$5:$F$140*(((Inputs!$G$5:$G$140="moeda")+(Inputs!$G$5:$G$140="acoes"))*Inputs!$B$1+((Inputs!$G$5:$G$140&lt;&gt;"moeda")*(Inputs!$G$5:$G$140&lt;&gt;"acoes")))*INDEX(Inputs!$K$5:$AJ$140,0,MATCH(D$2,Inputs!$K$4:$AJ$4,0)))))</f>
        <v>0.689126448391834</v>
      </c>
      <c r="E63" s="266">
        <f>IF(ISNA(MATCH(E$2,Inputs!$K$4:$AJ$4,0)),NA(),IF(SUMPRODUCT((Inputs!$A$5:$A$140=$B63)*ISNUMBER(INDEX(Inputs!$K$5:$AJ$140,0,MATCH(E$2,Inputs!$K$4:$AJ$4,0))))+SUMPRODUCT((Inputs!$C$5:$C$140=$B63)*ISNUMBER(INDEX(Inputs!$K$5:$AJ$140,0,MATCH(E$2,Inputs!$K$4:$AJ$4,0))))+SUMPRODUCT((Inputs!$E$5:$E$140=$B63)*ISNUMBER(INDEX(Inputs!$K$5:$AJ$140,0,MATCH(E$2,Inputs!$K$4:$AJ$4,0))))=0,NA(),SUMPRODUCT((Inputs!$A$5:$A$140=$B63)*Inputs!$B$5:$B$140*(((Inputs!$G$5:$G$140="moeda")+(Inputs!$G$5:$G$140="acoes"))*Inputs!$B$1+((Inputs!$G$5:$G$140&lt;&gt;"moeda")*(Inputs!$G$5:$G$140&lt;&gt;"acoes")))*INDEX(Inputs!$K$5:$AJ$140,0,MATCH(E$2,Inputs!$K$4:$AJ$4,0)))+SUMPRODUCT((Inputs!$C$5:$C$140=$B63)*Inputs!$D$5:$D$140*(((Inputs!$G$5:$G$140="moeda")+(Inputs!$G$5:$G$140="acoes"))*Inputs!$B$1+((Inputs!$G$5:$G$140&lt;&gt;"moeda")*(Inputs!$G$5:$G$140&lt;&gt;"acoes")))*INDEX(Inputs!$K$5:$AJ$140,0,MATCH(E$2,Inputs!$K$4:$AJ$4,0)))+SUMPRODUCT((Inputs!$E$5:$E$140=$B63)*Inputs!$F$5:$F$140*(((Inputs!$G$5:$G$140="moeda")+(Inputs!$G$5:$G$140="acoes"))*Inputs!$B$1+((Inputs!$G$5:$G$140&lt;&gt;"moeda")*(Inputs!$G$5:$G$140&lt;&gt;"acoes")))*INDEX(Inputs!$K$5:$AJ$140,0,MATCH(E$2,Inputs!$K$4:$AJ$4,0)))))</f>
        <v>0.728677150529904</v>
      </c>
      <c r="F63" s="266">
        <f>IF(ISNA(MATCH(F$2,Inputs!$K$4:$AJ$4,0)),NA(),IF(SUMPRODUCT((Inputs!$A$5:$A$140=$B63)*ISNUMBER(INDEX(Inputs!$K$5:$AJ$140,0,MATCH(F$2,Inputs!$K$4:$AJ$4,0))))+SUMPRODUCT((Inputs!$C$5:$C$140=$B63)*ISNUMBER(INDEX(Inputs!$K$5:$AJ$140,0,MATCH(F$2,Inputs!$K$4:$AJ$4,0))))+SUMPRODUCT((Inputs!$E$5:$E$140=$B63)*ISNUMBER(INDEX(Inputs!$K$5:$AJ$140,0,MATCH(F$2,Inputs!$K$4:$AJ$4,0))))=0,NA(),SUMPRODUCT((Inputs!$A$5:$A$140=$B63)*Inputs!$B$5:$B$140*(((Inputs!$G$5:$G$140="moeda")+(Inputs!$G$5:$G$140="acoes"))*Inputs!$B$1+((Inputs!$G$5:$G$140&lt;&gt;"moeda")*(Inputs!$G$5:$G$140&lt;&gt;"acoes")))*INDEX(Inputs!$K$5:$AJ$140,0,MATCH(F$2,Inputs!$K$4:$AJ$4,0)))+SUMPRODUCT((Inputs!$C$5:$C$140=$B63)*Inputs!$D$5:$D$140*(((Inputs!$G$5:$G$140="moeda")+(Inputs!$G$5:$G$140="acoes"))*Inputs!$B$1+((Inputs!$G$5:$G$140&lt;&gt;"moeda")*(Inputs!$G$5:$G$140&lt;&gt;"acoes")))*INDEX(Inputs!$K$5:$AJ$140,0,MATCH(F$2,Inputs!$K$4:$AJ$4,0)))+SUMPRODUCT((Inputs!$E$5:$E$140=$B63)*Inputs!$F$5:$F$140*(((Inputs!$G$5:$G$140="moeda")+(Inputs!$G$5:$G$140="acoes"))*Inputs!$B$1+((Inputs!$G$5:$G$140&lt;&gt;"moeda")*(Inputs!$G$5:$G$140&lt;&gt;"acoes")))*INDEX(Inputs!$K$5:$AJ$140,0,MATCH(F$2,Inputs!$K$4:$AJ$4,0)))))</f>
        <v>0.740472131786373</v>
      </c>
      <c r="G63" s="266">
        <f>IF(ISNA(MATCH(G$2,Inputs!$K$4:$AJ$4,0)),NA(),IF(SUMPRODUCT((Inputs!$A$5:$A$140=$B63)*ISNUMBER(INDEX(Inputs!$K$5:$AJ$140,0,MATCH(G$2,Inputs!$K$4:$AJ$4,0))))+SUMPRODUCT((Inputs!$C$5:$C$140=$B63)*ISNUMBER(INDEX(Inputs!$K$5:$AJ$140,0,MATCH(G$2,Inputs!$K$4:$AJ$4,0))))+SUMPRODUCT((Inputs!$E$5:$E$140=$B63)*ISNUMBER(INDEX(Inputs!$K$5:$AJ$140,0,MATCH(G$2,Inputs!$K$4:$AJ$4,0))))=0,NA(),SUMPRODUCT((Inputs!$A$5:$A$140=$B63)*Inputs!$B$5:$B$140*(((Inputs!$G$5:$G$140="moeda")+(Inputs!$G$5:$G$140="acoes"))*Inputs!$B$1+((Inputs!$G$5:$G$140&lt;&gt;"moeda")*(Inputs!$G$5:$G$140&lt;&gt;"acoes")))*INDEX(Inputs!$K$5:$AJ$140,0,MATCH(G$2,Inputs!$K$4:$AJ$4,0)))+SUMPRODUCT((Inputs!$C$5:$C$140=$B63)*Inputs!$D$5:$D$140*(((Inputs!$G$5:$G$140="moeda")+(Inputs!$G$5:$G$140="acoes"))*Inputs!$B$1+((Inputs!$G$5:$G$140&lt;&gt;"moeda")*(Inputs!$G$5:$G$140&lt;&gt;"acoes")))*INDEX(Inputs!$K$5:$AJ$140,0,MATCH(G$2,Inputs!$K$4:$AJ$4,0)))+SUMPRODUCT((Inputs!$E$5:$E$140=$B63)*Inputs!$F$5:$F$140*(((Inputs!$G$5:$G$140="moeda")+(Inputs!$G$5:$G$140="acoes"))*Inputs!$B$1+((Inputs!$G$5:$G$140&lt;&gt;"moeda")*(Inputs!$G$5:$G$140&lt;&gt;"acoes")))*INDEX(Inputs!$K$5:$AJ$140,0,MATCH(G$2,Inputs!$K$4:$AJ$4,0)))))</f>
        <v>0.72</v>
      </c>
      <c r="H63" s="40">
        <f>G63</f>
        <v>0.72</v>
      </c>
      <c r="I63" s="266">
        <f>IF(ISNA(MATCH(I$2,Inputs!$K$4:$AJ$4,0)),NA(),IF(SUMPRODUCT((Inputs!$A$5:$A$140=$B63)*ISNUMBER(INDEX(Inputs!$K$5:$AJ$140,0,MATCH(I$2,Inputs!$K$4:$AJ$4,0))))+SUMPRODUCT((Inputs!$C$5:$C$140=$B63)*ISNUMBER(INDEX(Inputs!$K$5:$AJ$140,0,MATCH(I$2,Inputs!$K$4:$AJ$4,0))))+SUMPRODUCT((Inputs!$E$5:$E$140=$B63)*ISNUMBER(INDEX(Inputs!$K$5:$AJ$140,0,MATCH(I$2,Inputs!$K$4:$AJ$4,0))))=0,NA(),SUMPRODUCT((Inputs!$A$5:$A$140=$B63)*Inputs!$B$5:$B$140*(((Inputs!$G$5:$G$140="moeda")+(Inputs!$G$5:$G$140="acoes"))*Inputs!$B$1+((Inputs!$G$5:$G$140&lt;&gt;"moeda")*(Inputs!$G$5:$G$140&lt;&gt;"acoes")))*INDEX(Inputs!$K$5:$AJ$140,0,MATCH(I$2,Inputs!$K$4:$AJ$4,0)))+SUMPRODUCT((Inputs!$C$5:$C$140=$B63)*Inputs!$D$5:$D$140*(((Inputs!$G$5:$G$140="moeda")+(Inputs!$G$5:$G$140="acoes"))*Inputs!$B$1+((Inputs!$G$5:$G$140&lt;&gt;"moeda")*(Inputs!$G$5:$G$140&lt;&gt;"acoes")))*INDEX(Inputs!$K$5:$AJ$140,0,MATCH(I$2,Inputs!$K$4:$AJ$4,0)))+SUMPRODUCT((Inputs!$E$5:$E$140=$B63)*Inputs!$F$5:$F$140*(((Inputs!$G$5:$G$140="moeda")+(Inputs!$G$5:$G$140="acoes"))*Inputs!$B$1+((Inputs!$G$5:$G$140&lt;&gt;"moeda")*(Inputs!$G$5:$G$140&lt;&gt;"acoes")))*INDEX(Inputs!$K$5:$AJ$140,0,MATCH(I$2,Inputs!$K$4:$AJ$4,0)))))</f>
        <v>0.719</v>
      </c>
      <c r="J63" s="266">
        <f>IF(ISNA(MATCH(J$2,Inputs!$K$4:$AJ$4,0)),NA(),IF(SUMPRODUCT((Inputs!$A$5:$A$140=$B63)*ISNUMBER(INDEX(Inputs!$K$5:$AJ$140,0,MATCH(J$2,Inputs!$K$4:$AJ$4,0))))+SUMPRODUCT((Inputs!$C$5:$C$140=$B63)*ISNUMBER(INDEX(Inputs!$K$5:$AJ$140,0,MATCH(J$2,Inputs!$K$4:$AJ$4,0))))+SUMPRODUCT((Inputs!$E$5:$E$140=$B63)*ISNUMBER(INDEX(Inputs!$K$5:$AJ$140,0,MATCH(J$2,Inputs!$K$4:$AJ$4,0))))=0,NA(),SUMPRODUCT((Inputs!$A$5:$A$140=$B63)*Inputs!$B$5:$B$140*(((Inputs!$G$5:$G$140="moeda")+(Inputs!$G$5:$G$140="acoes"))*Inputs!$B$1+((Inputs!$G$5:$G$140&lt;&gt;"moeda")*(Inputs!$G$5:$G$140&lt;&gt;"acoes")))*INDEX(Inputs!$K$5:$AJ$140,0,MATCH(J$2,Inputs!$K$4:$AJ$4,0)))+SUMPRODUCT((Inputs!$C$5:$C$140=$B63)*Inputs!$D$5:$D$140*(((Inputs!$G$5:$G$140="moeda")+(Inputs!$G$5:$G$140="acoes"))*Inputs!$B$1+((Inputs!$G$5:$G$140&lt;&gt;"moeda")*(Inputs!$G$5:$G$140&lt;&gt;"acoes")))*INDEX(Inputs!$K$5:$AJ$140,0,MATCH(J$2,Inputs!$K$4:$AJ$4,0)))+SUMPRODUCT((Inputs!$E$5:$E$140=$B63)*Inputs!$F$5:$F$140*(((Inputs!$G$5:$G$140="moeda")+(Inputs!$G$5:$G$140="acoes"))*Inputs!$B$1+((Inputs!$G$5:$G$140&lt;&gt;"moeda")*(Inputs!$G$5:$G$140&lt;&gt;"acoes")))*INDEX(Inputs!$K$5:$AJ$140,0,MATCH(J$2,Inputs!$K$4:$AJ$4,0)))))</f>
        <v>0.701</v>
      </c>
      <c r="K63" s="266">
        <f>IF(ISNA(MATCH(K$2,Inputs!$K$4:$AJ$4,0)),NA(),IF(SUMPRODUCT((Inputs!$A$5:$A$140=$B63)*ISNUMBER(INDEX(Inputs!$K$5:$AJ$140,0,MATCH(K$2,Inputs!$K$4:$AJ$4,0))))+SUMPRODUCT((Inputs!$C$5:$C$140=$B63)*ISNUMBER(INDEX(Inputs!$K$5:$AJ$140,0,MATCH(K$2,Inputs!$K$4:$AJ$4,0))))+SUMPRODUCT((Inputs!$E$5:$E$140=$B63)*ISNUMBER(INDEX(Inputs!$K$5:$AJ$140,0,MATCH(K$2,Inputs!$K$4:$AJ$4,0))))=0,NA(),SUMPRODUCT((Inputs!$A$5:$A$140=$B63)*Inputs!$B$5:$B$140*(((Inputs!$G$5:$G$140="moeda")+(Inputs!$G$5:$G$140="acoes"))*Inputs!$B$1+((Inputs!$G$5:$G$140&lt;&gt;"moeda")*(Inputs!$G$5:$G$140&lt;&gt;"acoes")))*INDEX(Inputs!$K$5:$AJ$140,0,MATCH(K$2,Inputs!$K$4:$AJ$4,0)))+SUMPRODUCT((Inputs!$C$5:$C$140=$B63)*Inputs!$D$5:$D$140*(((Inputs!$G$5:$G$140="moeda")+(Inputs!$G$5:$G$140="acoes"))*Inputs!$B$1+((Inputs!$G$5:$G$140&lt;&gt;"moeda")*(Inputs!$G$5:$G$140&lt;&gt;"acoes")))*INDEX(Inputs!$K$5:$AJ$140,0,MATCH(K$2,Inputs!$K$4:$AJ$4,0)))+SUMPRODUCT((Inputs!$E$5:$E$140=$B63)*Inputs!$F$5:$F$140*(((Inputs!$G$5:$G$140="moeda")+(Inputs!$G$5:$G$140="acoes"))*Inputs!$B$1+((Inputs!$G$5:$G$140&lt;&gt;"moeda")*(Inputs!$G$5:$G$140&lt;&gt;"acoes")))*INDEX(Inputs!$K$5:$AJ$140,0,MATCH(K$2,Inputs!$K$4:$AJ$4,0)))))</f>
        <v>0.706</v>
      </c>
      <c r="L63" s="266">
        <f>IF(ISNA(MATCH(L$2,Inputs!$K$4:$AJ$4,0)),NA(),IF(SUMPRODUCT((Inputs!$A$5:$A$140=$B63)*ISNUMBER(INDEX(Inputs!$K$5:$AJ$140,0,MATCH(L$2,Inputs!$K$4:$AJ$4,0))))+SUMPRODUCT((Inputs!$C$5:$C$140=$B63)*ISNUMBER(INDEX(Inputs!$K$5:$AJ$140,0,MATCH(L$2,Inputs!$K$4:$AJ$4,0))))+SUMPRODUCT((Inputs!$E$5:$E$140=$B63)*ISNUMBER(INDEX(Inputs!$K$5:$AJ$140,0,MATCH(L$2,Inputs!$K$4:$AJ$4,0))))=0,NA(),SUMPRODUCT((Inputs!$A$5:$A$140=$B63)*Inputs!$B$5:$B$140*(((Inputs!$G$5:$G$140="moeda")+(Inputs!$G$5:$G$140="acoes"))*Inputs!$B$1+((Inputs!$G$5:$G$140&lt;&gt;"moeda")*(Inputs!$G$5:$G$140&lt;&gt;"acoes")))*INDEX(Inputs!$K$5:$AJ$140,0,MATCH(L$2,Inputs!$K$4:$AJ$4,0)))+SUMPRODUCT((Inputs!$C$5:$C$140=$B63)*Inputs!$D$5:$D$140*(((Inputs!$G$5:$G$140="moeda")+(Inputs!$G$5:$G$140="acoes"))*Inputs!$B$1+((Inputs!$G$5:$G$140&lt;&gt;"moeda")*(Inputs!$G$5:$G$140&lt;&gt;"acoes")))*INDEX(Inputs!$K$5:$AJ$140,0,MATCH(L$2,Inputs!$K$4:$AJ$4,0)))+SUMPRODUCT((Inputs!$E$5:$E$140=$B63)*Inputs!$F$5:$F$140*(((Inputs!$G$5:$G$140="moeda")+(Inputs!$G$5:$G$140="acoes"))*Inputs!$B$1+((Inputs!$G$5:$G$140&lt;&gt;"moeda")*(Inputs!$G$5:$G$140&lt;&gt;"acoes")))*INDEX(Inputs!$K$5:$AJ$140,0,MATCH(L$2,Inputs!$K$4:$AJ$4,0)))))</f>
        <v>0.753</v>
      </c>
      <c r="M63" s="40">
        <f>L63</f>
        <v>0.753</v>
      </c>
      <c r="N63" s="266">
        <f>IF(ISNA(MATCH(N$2,Inputs!$K$4:$AJ$4,0)),NA(),IF(SUMPRODUCT((Inputs!$A$5:$A$140=$B63)*ISNUMBER(INDEX(Inputs!$K$5:$AJ$140,0,MATCH(N$2,Inputs!$K$4:$AJ$4,0))))+SUMPRODUCT((Inputs!$C$5:$C$140=$B63)*ISNUMBER(INDEX(Inputs!$K$5:$AJ$140,0,MATCH(N$2,Inputs!$K$4:$AJ$4,0))))+SUMPRODUCT((Inputs!$E$5:$E$140=$B63)*ISNUMBER(INDEX(Inputs!$K$5:$AJ$140,0,MATCH(N$2,Inputs!$K$4:$AJ$4,0))))=0,NA(),SUMPRODUCT((Inputs!$A$5:$A$140=$B63)*Inputs!$B$5:$B$140*(((Inputs!$G$5:$G$140="moeda")+(Inputs!$G$5:$G$140="acoes"))*Inputs!$B$1+((Inputs!$G$5:$G$140&lt;&gt;"moeda")*(Inputs!$G$5:$G$140&lt;&gt;"acoes")))*INDEX(Inputs!$K$5:$AJ$140,0,MATCH(N$2,Inputs!$K$4:$AJ$4,0)))+SUMPRODUCT((Inputs!$C$5:$C$140=$B63)*Inputs!$D$5:$D$140*(((Inputs!$G$5:$G$140="moeda")+(Inputs!$G$5:$G$140="acoes"))*Inputs!$B$1+((Inputs!$G$5:$G$140&lt;&gt;"moeda")*(Inputs!$G$5:$G$140&lt;&gt;"acoes")))*INDEX(Inputs!$K$5:$AJ$140,0,MATCH(N$2,Inputs!$K$4:$AJ$4,0)))+SUMPRODUCT((Inputs!$E$5:$E$140=$B63)*Inputs!$F$5:$F$140*(((Inputs!$G$5:$G$140="moeda")+(Inputs!$G$5:$G$140="acoes"))*Inputs!$B$1+((Inputs!$G$5:$G$140&lt;&gt;"moeda")*(Inputs!$G$5:$G$140&lt;&gt;"acoes")))*INDEX(Inputs!$K$5:$AJ$140,0,MATCH(N$2,Inputs!$K$4:$AJ$4,0)))))</f>
        <v>0.72</v>
      </c>
      <c r="O63" s="266">
        <f>IF(ISNA(MATCH(O$2,Inputs!$K$4:$AJ$4,0)),NA(),IF(SUMPRODUCT((Inputs!$A$5:$A$140=$B63)*ISNUMBER(INDEX(Inputs!$K$5:$AJ$140,0,MATCH(O$2,Inputs!$K$4:$AJ$4,0))))+SUMPRODUCT((Inputs!$C$5:$C$140=$B63)*ISNUMBER(INDEX(Inputs!$K$5:$AJ$140,0,MATCH(O$2,Inputs!$K$4:$AJ$4,0))))+SUMPRODUCT((Inputs!$E$5:$E$140=$B63)*ISNUMBER(INDEX(Inputs!$K$5:$AJ$140,0,MATCH(O$2,Inputs!$K$4:$AJ$4,0))))=0,NA(),SUMPRODUCT((Inputs!$A$5:$A$140=$B63)*Inputs!$B$5:$B$140*(((Inputs!$G$5:$G$140="moeda")+(Inputs!$G$5:$G$140="acoes"))*Inputs!$B$1+((Inputs!$G$5:$G$140&lt;&gt;"moeda")*(Inputs!$G$5:$G$140&lt;&gt;"acoes")))*INDEX(Inputs!$K$5:$AJ$140,0,MATCH(O$2,Inputs!$K$4:$AJ$4,0)))+SUMPRODUCT((Inputs!$C$5:$C$140=$B63)*Inputs!$D$5:$D$140*(((Inputs!$G$5:$G$140="moeda")+(Inputs!$G$5:$G$140="acoes"))*Inputs!$B$1+((Inputs!$G$5:$G$140&lt;&gt;"moeda")*(Inputs!$G$5:$G$140&lt;&gt;"acoes")))*INDEX(Inputs!$K$5:$AJ$140,0,MATCH(O$2,Inputs!$K$4:$AJ$4,0)))+SUMPRODUCT((Inputs!$E$5:$E$140=$B63)*Inputs!$F$5:$F$140*(((Inputs!$G$5:$G$140="moeda")+(Inputs!$G$5:$G$140="acoes"))*Inputs!$B$1+((Inputs!$G$5:$G$140&lt;&gt;"moeda")*(Inputs!$G$5:$G$140&lt;&gt;"acoes")))*INDEX(Inputs!$K$5:$AJ$140,0,MATCH(O$2,Inputs!$K$4:$AJ$4,0)))))</f>
        <v>0.731</v>
      </c>
      <c r="P63" s="266">
        <f>IF(ISNA(MATCH(P$2,Inputs!$K$4:$AJ$4,0)),NA(),IF(SUMPRODUCT((Inputs!$A$5:$A$140=$B63)*ISNUMBER(INDEX(Inputs!$K$5:$AJ$140,0,MATCH(P$2,Inputs!$K$4:$AJ$4,0))))+SUMPRODUCT((Inputs!$C$5:$C$140=$B63)*ISNUMBER(INDEX(Inputs!$K$5:$AJ$140,0,MATCH(P$2,Inputs!$K$4:$AJ$4,0))))+SUMPRODUCT((Inputs!$E$5:$E$140=$B63)*ISNUMBER(INDEX(Inputs!$K$5:$AJ$140,0,MATCH(P$2,Inputs!$K$4:$AJ$4,0))))=0,NA(),SUMPRODUCT((Inputs!$A$5:$A$140=$B63)*Inputs!$B$5:$B$140*(((Inputs!$G$5:$G$140="moeda")+(Inputs!$G$5:$G$140="acoes"))*Inputs!$B$1+((Inputs!$G$5:$G$140&lt;&gt;"moeda")*(Inputs!$G$5:$G$140&lt;&gt;"acoes")))*INDEX(Inputs!$K$5:$AJ$140,0,MATCH(P$2,Inputs!$K$4:$AJ$4,0)))+SUMPRODUCT((Inputs!$C$5:$C$140=$B63)*Inputs!$D$5:$D$140*(((Inputs!$G$5:$G$140="moeda")+(Inputs!$G$5:$G$140="acoes"))*Inputs!$B$1+((Inputs!$G$5:$G$140&lt;&gt;"moeda")*(Inputs!$G$5:$G$140&lt;&gt;"acoes")))*INDEX(Inputs!$K$5:$AJ$140,0,MATCH(P$2,Inputs!$K$4:$AJ$4,0)))+SUMPRODUCT((Inputs!$E$5:$E$140=$B63)*Inputs!$F$5:$F$140*(((Inputs!$G$5:$G$140="moeda")+(Inputs!$G$5:$G$140="acoes"))*Inputs!$B$1+((Inputs!$G$5:$G$140&lt;&gt;"moeda")*(Inputs!$G$5:$G$140&lt;&gt;"acoes")))*INDEX(Inputs!$K$5:$AJ$140,0,MATCH(P$2,Inputs!$K$4:$AJ$4,0)))))</f>
        <v>0.736</v>
      </c>
      <c r="Q63" s="266">
        <f>IF(ISNA(MATCH(Q$2,Inputs!$K$4:$AJ$4,0)),NA(),IF(SUMPRODUCT((Inputs!$A$5:$A$140=$B63)*ISNUMBER(INDEX(Inputs!$K$5:$AJ$140,0,MATCH(Q$2,Inputs!$K$4:$AJ$4,0))))+SUMPRODUCT((Inputs!$C$5:$C$140=$B63)*ISNUMBER(INDEX(Inputs!$K$5:$AJ$140,0,MATCH(Q$2,Inputs!$K$4:$AJ$4,0))))+SUMPRODUCT((Inputs!$E$5:$E$140=$B63)*ISNUMBER(INDEX(Inputs!$K$5:$AJ$140,0,MATCH(Q$2,Inputs!$K$4:$AJ$4,0))))=0,NA(),SUMPRODUCT((Inputs!$A$5:$A$140=$B63)*Inputs!$B$5:$B$140*(((Inputs!$G$5:$G$140="moeda")+(Inputs!$G$5:$G$140="acoes"))*Inputs!$B$1+((Inputs!$G$5:$G$140&lt;&gt;"moeda")*(Inputs!$G$5:$G$140&lt;&gt;"acoes")))*INDEX(Inputs!$K$5:$AJ$140,0,MATCH(Q$2,Inputs!$K$4:$AJ$4,0)))+SUMPRODUCT((Inputs!$C$5:$C$140=$B63)*Inputs!$D$5:$D$140*(((Inputs!$G$5:$G$140="moeda")+(Inputs!$G$5:$G$140="acoes"))*Inputs!$B$1+((Inputs!$G$5:$G$140&lt;&gt;"moeda")*(Inputs!$G$5:$G$140&lt;&gt;"acoes")))*INDEX(Inputs!$K$5:$AJ$140,0,MATCH(Q$2,Inputs!$K$4:$AJ$4,0)))+SUMPRODUCT((Inputs!$E$5:$E$140=$B63)*Inputs!$F$5:$F$140*(((Inputs!$G$5:$G$140="moeda")+(Inputs!$G$5:$G$140="acoes"))*Inputs!$B$1+((Inputs!$G$5:$G$140&lt;&gt;"moeda")*(Inputs!$G$5:$G$140&lt;&gt;"acoes")))*INDEX(Inputs!$K$5:$AJ$140,0,MATCH(Q$2,Inputs!$K$4:$AJ$4,0)))))</f>
        <v>0.744564985569989</v>
      </c>
      <c r="R63" s="40">
        <f>Q63</f>
        <v>0.744564985569989</v>
      </c>
      <c r="S63" s="266">
        <f>IF(ISNA(MATCH(S$2,Inputs!$K$4:$AJ$4,0)),NA(),IF(SUMPRODUCT((Inputs!$A$5:$A$140=$B63)*ISNUMBER(INDEX(Inputs!$K$5:$AJ$140,0,MATCH(S$2,Inputs!$K$4:$AJ$4,0))))+SUMPRODUCT((Inputs!$C$5:$C$140=$B63)*ISNUMBER(INDEX(Inputs!$K$5:$AJ$140,0,MATCH(S$2,Inputs!$K$4:$AJ$4,0))))+SUMPRODUCT((Inputs!$E$5:$E$140=$B63)*ISNUMBER(INDEX(Inputs!$K$5:$AJ$140,0,MATCH(S$2,Inputs!$K$4:$AJ$4,0))))=0,NA(),SUMPRODUCT((Inputs!$A$5:$A$140=$B63)*Inputs!$B$5:$B$140*(((Inputs!$G$5:$G$140="moeda")+(Inputs!$G$5:$G$140="acoes"))*Inputs!$B$1+((Inputs!$G$5:$G$140&lt;&gt;"moeda")*(Inputs!$G$5:$G$140&lt;&gt;"acoes")))*INDEX(Inputs!$K$5:$AJ$140,0,MATCH(S$2,Inputs!$K$4:$AJ$4,0)))+SUMPRODUCT((Inputs!$C$5:$C$140=$B63)*Inputs!$D$5:$D$140*(((Inputs!$G$5:$G$140="moeda")+(Inputs!$G$5:$G$140="acoes"))*Inputs!$B$1+((Inputs!$G$5:$G$140&lt;&gt;"moeda")*(Inputs!$G$5:$G$140&lt;&gt;"acoes")))*INDEX(Inputs!$K$5:$AJ$140,0,MATCH(S$2,Inputs!$K$4:$AJ$4,0)))+SUMPRODUCT((Inputs!$E$5:$E$140=$B63)*Inputs!$F$5:$F$140*(((Inputs!$G$5:$G$140="moeda")+(Inputs!$G$5:$G$140="acoes"))*Inputs!$B$1+((Inputs!$G$5:$G$140&lt;&gt;"moeda")*(Inputs!$G$5:$G$140&lt;&gt;"acoes")))*INDEX(Inputs!$K$5:$AJ$140,0,MATCH(S$2,Inputs!$K$4:$AJ$4,0)))))</f>
        <v>0.732289943908684</v>
      </c>
      <c r="T63" s="266">
        <f>IF(ISNA(MATCH(T$2,Inputs!$K$4:$AJ$4,0)),NA(),IF(SUMPRODUCT((Inputs!$A$5:$A$140=$B63)*ISNUMBER(INDEX(Inputs!$K$5:$AJ$140,0,MATCH(T$2,Inputs!$K$4:$AJ$4,0))))+SUMPRODUCT((Inputs!$C$5:$C$140=$B63)*ISNUMBER(INDEX(Inputs!$K$5:$AJ$140,0,MATCH(T$2,Inputs!$K$4:$AJ$4,0))))+SUMPRODUCT((Inputs!$E$5:$E$140=$B63)*ISNUMBER(INDEX(Inputs!$K$5:$AJ$140,0,MATCH(T$2,Inputs!$K$4:$AJ$4,0))))=0,NA(),SUMPRODUCT((Inputs!$A$5:$A$140=$B63)*Inputs!$B$5:$B$140*(((Inputs!$G$5:$G$140="moeda")+(Inputs!$G$5:$G$140="acoes"))*Inputs!$B$1+((Inputs!$G$5:$G$140&lt;&gt;"moeda")*(Inputs!$G$5:$G$140&lt;&gt;"acoes")))*INDEX(Inputs!$K$5:$AJ$140,0,MATCH(T$2,Inputs!$K$4:$AJ$4,0)))+SUMPRODUCT((Inputs!$C$5:$C$140=$B63)*Inputs!$D$5:$D$140*(((Inputs!$G$5:$G$140="moeda")+(Inputs!$G$5:$G$140="acoes"))*Inputs!$B$1+((Inputs!$G$5:$G$140&lt;&gt;"moeda")*(Inputs!$G$5:$G$140&lt;&gt;"acoes")))*INDEX(Inputs!$K$5:$AJ$140,0,MATCH(T$2,Inputs!$K$4:$AJ$4,0)))+SUMPRODUCT((Inputs!$E$5:$E$140=$B63)*Inputs!$F$5:$F$140*(((Inputs!$G$5:$G$140="moeda")+(Inputs!$G$5:$G$140="acoes"))*Inputs!$B$1+((Inputs!$G$5:$G$140&lt;&gt;"moeda")*(Inputs!$G$5:$G$140&lt;&gt;"acoes")))*INDEX(Inputs!$K$5:$AJ$140,0,MATCH(T$2,Inputs!$K$4:$AJ$4,0)))))</f>
        <v>0.751467739254429</v>
      </c>
      <c r="U63" s="266">
        <f>IF(ISNA(MATCH(U$2,Inputs!$K$4:$AJ$4,0)),NA(),IF(SUMPRODUCT((Inputs!$A$5:$A$140=$B63)*ISNUMBER(INDEX(Inputs!$K$5:$AJ$140,0,MATCH(U$2,Inputs!$K$4:$AJ$4,0))))+SUMPRODUCT((Inputs!$C$5:$C$140=$B63)*ISNUMBER(INDEX(Inputs!$K$5:$AJ$140,0,MATCH(U$2,Inputs!$K$4:$AJ$4,0))))+SUMPRODUCT((Inputs!$E$5:$E$140=$B63)*ISNUMBER(INDEX(Inputs!$K$5:$AJ$140,0,MATCH(U$2,Inputs!$K$4:$AJ$4,0))))=0,NA(),SUMPRODUCT((Inputs!$A$5:$A$140=$B63)*Inputs!$B$5:$B$140*(((Inputs!$G$5:$G$140="moeda")+(Inputs!$G$5:$G$140="acoes"))*Inputs!$B$1+((Inputs!$G$5:$G$140&lt;&gt;"moeda")*(Inputs!$G$5:$G$140&lt;&gt;"acoes")))*INDEX(Inputs!$K$5:$AJ$140,0,MATCH(U$2,Inputs!$K$4:$AJ$4,0)))+SUMPRODUCT((Inputs!$C$5:$C$140=$B63)*Inputs!$D$5:$D$140*(((Inputs!$G$5:$G$140="moeda")+(Inputs!$G$5:$G$140="acoes"))*Inputs!$B$1+((Inputs!$G$5:$G$140&lt;&gt;"moeda")*(Inputs!$G$5:$G$140&lt;&gt;"acoes")))*INDEX(Inputs!$K$5:$AJ$140,0,MATCH(U$2,Inputs!$K$4:$AJ$4,0)))+SUMPRODUCT((Inputs!$E$5:$E$140=$B63)*Inputs!$F$5:$F$140*(((Inputs!$G$5:$G$140="moeda")+(Inputs!$G$5:$G$140="acoes"))*Inputs!$B$1+((Inputs!$G$5:$G$140&lt;&gt;"moeda")*(Inputs!$G$5:$G$140&lt;&gt;"acoes")))*INDEX(Inputs!$K$5:$AJ$140,0,MATCH(U$2,Inputs!$K$4:$AJ$4,0)))))</f>
        <v>0.754097950481875</v>
      </c>
      <c r="V63" s="266">
        <f>IF(ISNA(MATCH(V$2,Inputs!$K$4:$AJ$4,0)),NA(),IF(SUMPRODUCT((Inputs!$A$5:$A$140=$B63)*ISNUMBER(INDEX(Inputs!$K$5:$AJ$140,0,MATCH(V$2,Inputs!$K$4:$AJ$4,0))))+SUMPRODUCT((Inputs!$C$5:$C$140=$B63)*ISNUMBER(INDEX(Inputs!$K$5:$AJ$140,0,MATCH(V$2,Inputs!$K$4:$AJ$4,0))))+SUMPRODUCT((Inputs!$E$5:$E$140=$B63)*ISNUMBER(INDEX(Inputs!$K$5:$AJ$140,0,MATCH(V$2,Inputs!$K$4:$AJ$4,0))))=0,NA(),SUMPRODUCT((Inputs!$A$5:$A$140=$B63)*Inputs!$B$5:$B$140*(((Inputs!$G$5:$G$140="moeda")+(Inputs!$G$5:$G$140="acoes"))*Inputs!$B$1+((Inputs!$G$5:$G$140&lt;&gt;"moeda")*(Inputs!$G$5:$G$140&lt;&gt;"acoes")))*INDEX(Inputs!$K$5:$AJ$140,0,MATCH(V$2,Inputs!$K$4:$AJ$4,0)))+SUMPRODUCT((Inputs!$C$5:$C$140=$B63)*Inputs!$D$5:$D$140*(((Inputs!$G$5:$G$140="moeda")+(Inputs!$G$5:$G$140="acoes"))*Inputs!$B$1+((Inputs!$G$5:$G$140&lt;&gt;"moeda")*(Inputs!$G$5:$G$140&lt;&gt;"acoes")))*INDEX(Inputs!$K$5:$AJ$140,0,MATCH(V$2,Inputs!$K$4:$AJ$4,0)))+SUMPRODUCT((Inputs!$E$5:$E$140=$B63)*Inputs!$F$5:$F$140*(((Inputs!$G$5:$G$140="moeda")+(Inputs!$G$5:$G$140="acoes"))*Inputs!$B$1+((Inputs!$G$5:$G$140&lt;&gt;"moeda")*(Inputs!$G$5:$G$140&lt;&gt;"acoes")))*INDEX(Inputs!$K$5:$AJ$140,0,MATCH(V$2,Inputs!$K$4:$AJ$4,0)))))</f>
        <v>0.7707</v>
      </c>
      <c r="W63" s="40">
        <f>V63</f>
        <v>0.7707</v>
      </c>
      <c r="X63" s="266">
        <f>IF(ISNA(MATCH(X$2,Inputs!$K$4:$AJ$4,0)),NA(),IF(SUMPRODUCT((Inputs!$A$5:$A$140=$B63)*ISNUMBER(INDEX(Inputs!$K$5:$AJ$140,0,MATCH(X$2,Inputs!$K$4:$AJ$4,0))))+SUMPRODUCT((Inputs!$C$5:$C$140=$B63)*ISNUMBER(INDEX(Inputs!$K$5:$AJ$140,0,MATCH(X$2,Inputs!$K$4:$AJ$4,0))))+SUMPRODUCT((Inputs!$E$5:$E$140=$B63)*ISNUMBER(INDEX(Inputs!$K$5:$AJ$140,0,MATCH(X$2,Inputs!$K$4:$AJ$4,0))))=0,NA(),SUMPRODUCT((Inputs!$A$5:$A$140=$B63)*Inputs!$B$5:$B$140*(((Inputs!$G$5:$G$140="moeda")+(Inputs!$G$5:$G$140="acoes"))*Inputs!$B$1+((Inputs!$G$5:$G$140&lt;&gt;"moeda")*(Inputs!$G$5:$G$140&lt;&gt;"acoes")))*INDEX(Inputs!$K$5:$AJ$140,0,MATCH(X$2,Inputs!$K$4:$AJ$4,0)))+SUMPRODUCT((Inputs!$C$5:$C$140=$B63)*Inputs!$D$5:$D$140*(((Inputs!$G$5:$G$140="moeda")+(Inputs!$G$5:$G$140="acoes"))*Inputs!$B$1+((Inputs!$G$5:$G$140&lt;&gt;"moeda")*(Inputs!$G$5:$G$140&lt;&gt;"acoes")))*INDEX(Inputs!$K$5:$AJ$140,0,MATCH(X$2,Inputs!$K$4:$AJ$4,0)))+SUMPRODUCT((Inputs!$E$5:$E$140=$B63)*Inputs!$F$5:$F$140*(((Inputs!$G$5:$G$140="moeda")+(Inputs!$G$5:$G$140="acoes"))*Inputs!$B$1+((Inputs!$G$5:$G$140&lt;&gt;"moeda")*(Inputs!$G$5:$G$140&lt;&gt;"acoes")))*INDEX(Inputs!$K$5:$AJ$140,0,MATCH(X$2,Inputs!$K$4:$AJ$4,0)))))</f>
        <v>0.727332393344297</v>
      </c>
      <c r="Y63" s="266">
        <f>IF(ISNA(MATCH(Y$2,Inputs!$K$4:$AJ$4,0)),NA(),IF(SUMPRODUCT((Inputs!$A$5:$A$140=$B63)*ISNUMBER(INDEX(Inputs!$K$5:$AJ$140,0,MATCH(Y$2,Inputs!$K$4:$AJ$4,0))))+SUMPRODUCT((Inputs!$C$5:$C$140=$B63)*ISNUMBER(INDEX(Inputs!$K$5:$AJ$140,0,MATCH(Y$2,Inputs!$K$4:$AJ$4,0))))+SUMPRODUCT((Inputs!$E$5:$E$140=$B63)*ISNUMBER(INDEX(Inputs!$K$5:$AJ$140,0,MATCH(Y$2,Inputs!$K$4:$AJ$4,0))))=0,NA(),SUMPRODUCT((Inputs!$A$5:$A$140=$B63)*Inputs!$B$5:$B$140*(((Inputs!$G$5:$G$140="moeda")+(Inputs!$G$5:$G$140="acoes"))*Inputs!$B$1+((Inputs!$G$5:$G$140&lt;&gt;"moeda")*(Inputs!$G$5:$G$140&lt;&gt;"acoes")))*INDEX(Inputs!$K$5:$AJ$140,0,MATCH(Y$2,Inputs!$K$4:$AJ$4,0)))+SUMPRODUCT((Inputs!$C$5:$C$140=$B63)*Inputs!$D$5:$D$140*(((Inputs!$G$5:$G$140="moeda")+(Inputs!$G$5:$G$140="acoes"))*Inputs!$B$1+((Inputs!$G$5:$G$140&lt;&gt;"moeda")*(Inputs!$G$5:$G$140&lt;&gt;"acoes")))*INDEX(Inputs!$K$5:$AJ$140,0,MATCH(Y$2,Inputs!$K$4:$AJ$4,0)))+SUMPRODUCT((Inputs!$E$5:$E$140=$B63)*Inputs!$F$5:$F$140*(((Inputs!$G$5:$G$140="moeda")+(Inputs!$G$5:$G$140="acoes"))*Inputs!$B$1+((Inputs!$G$5:$G$140&lt;&gt;"moeda")*(Inputs!$G$5:$G$140&lt;&gt;"acoes")))*INDEX(Inputs!$K$5:$AJ$140,0,MATCH(Y$2,Inputs!$K$4:$AJ$4,0)))))</f>
        <v>0.743179621324375</v>
      </c>
      <c r="Z63" s="266">
        <f>IF(ISNA(MATCH(Z$2,Inputs!$K$4:$AJ$4,0)),NA(),IF(SUMPRODUCT((Inputs!$A$5:$A$140=$B63)*ISNUMBER(INDEX(Inputs!$K$5:$AJ$140,0,MATCH(Z$2,Inputs!$K$4:$AJ$4,0))))+SUMPRODUCT((Inputs!$C$5:$C$140=$B63)*ISNUMBER(INDEX(Inputs!$K$5:$AJ$140,0,MATCH(Z$2,Inputs!$K$4:$AJ$4,0))))+SUMPRODUCT((Inputs!$E$5:$E$140=$B63)*ISNUMBER(INDEX(Inputs!$K$5:$AJ$140,0,MATCH(Z$2,Inputs!$K$4:$AJ$4,0))))=0,NA(),SUMPRODUCT((Inputs!$A$5:$A$140=$B63)*Inputs!$B$5:$B$140*(((Inputs!$G$5:$G$140="moeda")+(Inputs!$G$5:$G$140="acoes"))*Inputs!$B$1+((Inputs!$G$5:$G$140&lt;&gt;"moeda")*(Inputs!$G$5:$G$140&lt;&gt;"acoes")))*INDEX(Inputs!$K$5:$AJ$140,0,MATCH(Z$2,Inputs!$K$4:$AJ$4,0)))+SUMPRODUCT((Inputs!$C$5:$C$140=$B63)*Inputs!$D$5:$D$140*(((Inputs!$G$5:$G$140="moeda")+(Inputs!$G$5:$G$140="acoes"))*Inputs!$B$1+((Inputs!$G$5:$G$140&lt;&gt;"moeda")*(Inputs!$G$5:$G$140&lt;&gt;"acoes")))*INDEX(Inputs!$K$5:$AJ$140,0,MATCH(Z$2,Inputs!$K$4:$AJ$4,0)))+SUMPRODUCT((Inputs!$E$5:$E$140=$B63)*Inputs!$F$5:$F$140*(((Inputs!$G$5:$G$140="moeda")+(Inputs!$G$5:$G$140="acoes"))*Inputs!$B$1+((Inputs!$G$5:$G$140&lt;&gt;"moeda")*(Inputs!$G$5:$G$140&lt;&gt;"acoes")))*INDEX(Inputs!$K$5:$AJ$140,0,MATCH(Z$2,Inputs!$K$4:$AJ$4,0)))))</f>
        <v>0.739877352456556</v>
      </c>
      <c r="AA63" s="266">
        <f>IF(ISNA(MATCH(AA$2,Inputs!$K$4:$AJ$4,0)),NA(),IF(SUMPRODUCT((Inputs!$A$5:$A$140=$B63)*ISNUMBER(INDEX(Inputs!$K$5:$AJ$140,0,MATCH(AA$2,Inputs!$K$4:$AJ$4,0))))+SUMPRODUCT((Inputs!$C$5:$C$140=$B63)*ISNUMBER(INDEX(Inputs!$K$5:$AJ$140,0,MATCH(AA$2,Inputs!$K$4:$AJ$4,0))))+SUMPRODUCT((Inputs!$E$5:$E$140=$B63)*ISNUMBER(INDEX(Inputs!$K$5:$AJ$140,0,MATCH(AA$2,Inputs!$K$4:$AJ$4,0))))=0,NA(),SUMPRODUCT((Inputs!$A$5:$A$140=$B63)*Inputs!$B$5:$B$140*(((Inputs!$G$5:$G$140="moeda")+(Inputs!$G$5:$G$140="acoes"))*Inputs!$B$1+((Inputs!$G$5:$G$140&lt;&gt;"moeda")*(Inputs!$G$5:$G$140&lt;&gt;"acoes")))*INDEX(Inputs!$K$5:$AJ$140,0,MATCH(AA$2,Inputs!$K$4:$AJ$4,0)))+SUMPRODUCT((Inputs!$C$5:$C$140=$B63)*Inputs!$D$5:$D$140*(((Inputs!$G$5:$G$140="moeda")+(Inputs!$G$5:$G$140="acoes"))*Inputs!$B$1+((Inputs!$G$5:$G$140&lt;&gt;"moeda")*(Inputs!$G$5:$G$140&lt;&gt;"acoes")))*INDEX(Inputs!$K$5:$AJ$140,0,MATCH(AA$2,Inputs!$K$4:$AJ$4,0)))+SUMPRODUCT((Inputs!$E$5:$E$140=$B63)*Inputs!$F$5:$F$140*(((Inputs!$G$5:$G$140="moeda")+(Inputs!$G$5:$G$140="acoes"))*Inputs!$B$1+((Inputs!$G$5:$G$140&lt;&gt;"moeda")*(Inputs!$G$5:$G$140&lt;&gt;"acoes")))*INDEX(Inputs!$K$5:$AJ$140,0,MATCH(AA$2,Inputs!$K$4:$AJ$4,0)))))</f>
        <v>0.763078929223681</v>
      </c>
      <c r="AB63" s="40">
        <f>AA63</f>
        <v>0.763078929223681</v>
      </c>
      <c r="AC63" s="266">
        <f>IF(ISNA(MATCH(AC$2,Inputs!$K$4:$AJ$4,0)),NA(),IF(SUMPRODUCT((Inputs!$A$5:$A$140=$B63)*ISNUMBER(INDEX(Inputs!$K$5:$AJ$140,0,MATCH(AC$2,Inputs!$K$4:$AJ$4,0))))+SUMPRODUCT((Inputs!$C$5:$C$140=$B63)*ISNUMBER(INDEX(Inputs!$K$5:$AJ$140,0,MATCH(AC$2,Inputs!$K$4:$AJ$4,0))))+SUMPRODUCT((Inputs!$E$5:$E$140=$B63)*ISNUMBER(INDEX(Inputs!$K$5:$AJ$140,0,MATCH(AC$2,Inputs!$K$4:$AJ$4,0))))=0,NA(),SUMPRODUCT((Inputs!$A$5:$A$140=$B63)*Inputs!$B$5:$B$140*(((Inputs!$G$5:$G$140="moeda")+(Inputs!$G$5:$G$140="acoes"))*Inputs!$B$1+((Inputs!$G$5:$G$140&lt;&gt;"moeda")*(Inputs!$G$5:$G$140&lt;&gt;"acoes")))*INDEX(Inputs!$K$5:$AJ$140,0,MATCH(AC$2,Inputs!$K$4:$AJ$4,0)))+SUMPRODUCT((Inputs!$C$5:$C$140=$B63)*Inputs!$D$5:$D$140*(((Inputs!$G$5:$G$140="moeda")+(Inputs!$G$5:$G$140="acoes"))*Inputs!$B$1+((Inputs!$G$5:$G$140&lt;&gt;"moeda")*(Inputs!$G$5:$G$140&lt;&gt;"acoes")))*INDEX(Inputs!$K$5:$AJ$140,0,MATCH(AC$2,Inputs!$K$4:$AJ$4,0)))+SUMPRODUCT((Inputs!$E$5:$E$140=$B63)*Inputs!$F$5:$F$140*(((Inputs!$G$5:$G$140="moeda")+(Inputs!$G$5:$G$140="acoes"))*Inputs!$B$1+((Inputs!$G$5:$G$140&lt;&gt;"moeda")*(Inputs!$G$5:$G$140&lt;&gt;"acoes")))*INDEX(Inputs!$K$5:$AJ$140,0,MATCH(AC$2,Inputs!$K$4:$AJ$4,0)))))</f>
        <v>0.739163226563811</v>
      </c>
      <c r="AD63" s="266">
        <f>IF(ISNA(MATCH(AD$2,Inputs!$K$4:$AJ$4,0)),NA(),IF(SUMPRODUCT((Inputs!$A$5:$A$140=$B63)*ISNUMBER(INDEX(Inputs!$K$5:$AJ$140,0,MATCH(AD$2,Inputs!$K$4:$AJ$4,0))))+SUMPRODUCT((Inputs!$C$5:$C$140=$B63)*ISNUMBER(INDEX(Inputs!$K$5:$AJ$140,0,MATCH(AD$2,Inputs!$K$4:$AJ$4,0))))+SUMPRODUCT((Inputs!$E$5:$E$140=$B63)*ISNUMBER(INDEX(Inputs!$K$5:$AJ$140,0,MATCH(AD$2,Inputs!$K$4:$AJ$4,0))))=0,NA(),SUMPRODUCT((Inputs!$A$5:$A$140=$B63)*Inputs!$B$5:$B$140*(((Inputs!$G$5:$G$140="moeda")+(Inputs!$G$5:$G$140="acoes"))*Inputs!$B$1+((Inputs!$G$5:$G$140&lt;&gt;"moeda")*(Inputs!$G$5:$G$140&lt;&gt;"acoes")))*INDEX(Inputs!$K$5:$AJ$140,0,MATCH(AD$2,Inputs!$K$4:$AJ$4,0)))+SUMPRODUCT((Inputs!$C$5:$C$140=$B63)*Inputs!$D$5:$D$140*(((Inputs!$G$5:$G$140="moeda")+(Inputs!$G$5:$G$140="acoes"))*Inputs!$B$1+((Inputs!$G$5:$G$140&lt;&gt;"moeda")*(Inputs!$G$5:$G$140&lt;&gt;"acoes")))*INDEX(Inputs!$K$5:$AJ$140,0,MATCH(AD$2,Inputs!$K$4:$AJ$4,0)))+SUMPRODUCT((Inputs!$E$5:$E$140=$B63)*Inputs!$F$5:$F$140*(((Inputs!$G$5:$G$140="moeda")+(Inputs!$G$5:$G$140="acoes"))*Inputs!$B$1+((Inputs!$G$5:$G$140&lt;&gt;"moeda")*(Inputs!$G$5:$G$140&lt;&gt;"acoes")))*INDEX(Inputs!$K$5:$AJ$140,0,MATCH(AD$2,Inputs!$K$4:$AJ$4,0)))))</f>
        <v>0.719947108604315</v>
      </c>
      <c r="AE63" s="266" t="e">
        <f>IF(ISNA(MATCH(AE$2,Inputs!$K$4:$AJ$4,0)),NA(),IF(SUMPRODUCT((Inputs!$A$5:$A$140=$B63)*ISNUMBER(INDEX(Inputs!$K$5:$AJ$140,0,MATCH(AE$2,Inputs!$K$4:$AJ$4,0))))+SUMPRODUCT((Inputs!$C$5:$C$140=$B63)*ISNUMBER(INDEX(Inputs!$K$5:$AJ$140,0,MATCH(AE$2,Inputs!$K$4:$AJ$4,0))))+SUMPRODUCT((Inputs!$E$5:$E$140=$B63)*ISNUMBER(INDEX(Inputs!$K$5:$AJ$140,0,MATCH(AE$2,Inputs!$K$4:$AJ$4,0))))=0,NA(),SUMPRODUCT((Inputs!$A$5:$A$140=$B63)*Inputs!$B$5:$B$140*(((Inputs!$G$5:$G$140="moeda")+(Inputs!$G$5:$G$140="acoes"))*Inputs!$B$1+((Inputs!$G$5:$G$140&lt;&gt;"moeda")*(Inputs!$G$5:$G$140&lt;&gt;"acoes")))*INDEX(Inputs!$K$5:$AJ$140,0,MATCH(AE$2,Inputs!$K$4:$AJ$4,0)))+SUMPRODUCT((Inputs!$C$5:$C$140=$B63)*Inputs!$D$5:$D$140*(((Inputs!$G$5:$G$140="moeda")+(Inputs!$G$5:$G$140="acoes"))*Inputs!$B$1+((Inputs!$G$5:$G$140&lt;&gt;"moeda")*(Inputs!$G$5:$G$140&lt;&gt;"acoes")))*INDEX(Inputs!$K$5:$AJ$140,0,MATCH(AE$2,Inputs!$K$4:$AJ$4,0)))+SUMPRODUCT((Inputs!$E$5:$E$140=$B63)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3" s="266" t="e">
        <f>IF(ISNA(MATCH(AF$2,Inputs!$K$4:$AJ$4,0)),NA(),IF(SUMPRODUCT((Inputs!$A$5:$A$140=$B63)*ISNUMBER(INDEX(Inputs!$K$5:$AJ$140,0,MATCH(AF$2,Inputs!$K$4:$AJ$4,0))))+SUMPRODUCT((Inputs!$C$5:$C$140=$B63)*ISNUMBER(INDEX(Inputs!$K$5:$AJ$140,0,MATCH(AF$2,Inputs!$K$4:$AJ$4,0))))+SUMPRODUCT((Inputs!$E$5:$E$140=$B63)*ISNUMBER(INDEX(Inputs!$K$5:$AJ$140,0,MATCH(AF$2,Inputs!$K$4:$AJ$4,0))))=0,NA(),SUMPRODUCT((Inputs!$A$5:$A$140=$B63)*Inputs!$B$5:$B$140*(((Inputs!$G$5:$G$140="moeda")+(Inputs!$G$5:$G$140="acoes"))*Inputs!$B$1+((Inputs!$G$5:$G$140&lt;&gt;"moeda")*(Inputs!$G$5:$G$140&lt;&gt;"acoes")))*INDEX(Inputs!$K$5:$AJ$140,0,MATCH(AF$2,Inputs!$K$4:$AJ$4,0)))+SUMPRODUCT((Inputs!$C$5:$C$140=$B63)*Inputs!$D$5:$D$140*(((Inputs!$G$5:$G$140="moeda")+(Inputs!$G$5:$G$140="acoes"))*Inputs!$B$1+((Inputs!$G$5:$G$140&lt;&gt;"moeda")*(Inputs!$G$5:$G$140&lt;&gt;"acoes")))*INDEX(Inputs!$K$5:$AJ$140,0,MATCH(AF$2,Inputs!$K$4:$AJ$4,0)))+SUMPRODUCT((Inputs!$E$5:$E$140=$B63)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3" s="40" t="e">
        <f>AF63</f>
        <v>#N/A</v>
      </c>
      <c r="AH63" s="266">
        <f>IF(ISNA(MATCH(AH$2,Inputs!$K$4:$AJ$4,0)),NA(),IF(SUMPRODUCT((Inputs!$A$5:$A$140=$B63)*ISNUMBER(INDEX(Inputs!$K$5:$AJ$140,0,MATCH(AH$2,Inputs!$K$4:$AJ$4,0))))+SUMPRODUCT((Inputs!$C$5:$C$140=$B63)*ISNUMBER(INDEX(Inputs!$K$5:$AJ$140,0,MATCH(AH$2,Inputs!$K$4:$AJ$4,0))))+SUMPRODUCT((Inputs!$E$5:$E$140=$B63)*ISNUMBER(INDEX(Inputs!$K$5:$AJ$140,0,MATCH(AH$2,Inputs!$K$4:$AJ$4,0))))=0,NA(),SUMPRODUCT((Inputs!$A$5:$A$140=$B63)*Inputs!$B$5:$B$140*(((Inputs!$G$5:$G$140="moeda")+(Inputs!$G$5:$G$140="acoes"))*Inputs!$B$1+((Inputs!$G$5:$G$140&lt;&gt;"moeda")*(Inputs!$G$5:$G$140&lt;&gt;"acoes")))*INDEX(Inputs!$K$5:$AJ$140,0,MATCH(AH$2,Inputs!$K$4:$AJ$4,0)))+SUMPRODUCT((Inputs!$C$5:$C$140=$B63)*Inputs!$D$5:$D$140*(((Inputs!$G$5:$G$140="moeda")+(Inputs!$G$5:$G$140="acoes"))*Inputs!$B$1+((Inputs!$G$5:$G$140&lt;&gt;"moeda")*(Inputs!$G$5:$G$140&lt;&gt;"acoes")))*INDEX(Inputs!$K$5:$AJ$140,0,MATCH(AH$2,Inputs!$K$4:$AJ$4,0)))+SUMPRODUCT((Inputs!$E$5:$E$140=$B63)*Inputs!$F$5:$F$140*(((Inputs!$G$5:$G$140="moeda")+(Inputs!$G$5:$G$140="acoes"))*Inputs!$B$1+((Inputs!$G$5:$G$140&lt;&gt;"moeda")*(Inputs!$G$5:$G$140&lt;&gt;"acoes")))*INDEX(Inputs!$K$5:$AJ$140,0,MATCH(AH$2,Inputs!$K$4:$AJ$4,0)))))</f>
        <v>0.692936194409424</v>
      </c>
      <c r="AI63" s="266">
        <f>IF(ISNA(MATCH(AI$2,Inputs!$K$4:$AJ$4,0)),NA(),IF(SUMPRODUCT((Inputs!$A$5:$A$140=$B63)*ISNUMBER(INDEX(Inputs!$K$5:$AJ$140,0,MATCH(AI$2,Inputs!$K$4:$AJ$4,0))))+SUMPRODUCT((Inputs!$C$5:$C$140=$B63)*ISNUMBER(INDEX(Inputs!$K$5:$AJ$140,0,MATCH(AI$2,Inputs!$K$4:$AJ$4,0))))+SUMPRODUCT((Inputs!$E$5:$E$140=$B63)*ISNUMBER(INDEX(Inputs!$K$5:$AJ$140,0,MATCH(AI$2,Inputs!$K$4:$AJ$4,0))))=0,NA(),SUMPRODUCT((Inputs!$A$5:$A$140=$B63)*Inputs!$B$5:$B$140*(((Inputs!$G$5:$G$140="moeda")+(Inputs!$G$5:$G$140="acoes"))*Inputs!$B$1+((Inputs!$G$5:$G$140&lt;&gt;"moeda")*(Inputs!$G$5:$G$140&lt;&gt;"acoes")))*INDEX(Inputs!$K$5:$AJ$140,0,MATCH(AI$2,Inputs!$K$4:$AJ$4,0)))+SUMPRODUCT((Inputs!$C$5:$C$140=$B63)*Inputs!$D$5:$D$140*(((Inputs!$G$5:$G$140="moeda")+(Inputs!$G$5:$G$140="acoes"))*Inputs!$B$1+((Inputs!$G$5:$G$140&lt;&gt;"moeda")*(Inputs!$G$5:$G$140&lt;&gt;"acoes")))*INDEX(Inputs!$K$5:$AJ$140,0,MATCH(AI$2,Inputs!$K$4:$AJ$4,0)))+SUMPRODUCT((Inputs!$E$5:$E$140=$B63)*Inputs!$F$5:$F$140*(((Inputs!$G$5:$G$140="moeda")+(Inputs!$G$5:$G$140="acoes"))*Inputs!$B$1+((Inputs!$G$5:$G$140&lt;&gt;"moeda")*(Inputs!$G$5:$G$140&lt;&gt;"acoes")))*INDEX(Inputs!$K$5:$AJ$140,0,MATCH(AI$2,Inputs!$K$4:$AJ$4,0)))))</f>
        <v>0.701984024984953</v>
      </c>
      <c r="AJ63" s="266">
        <f>IF(ISNA(MATCH(AJ$2,Inputs!$K$4:$AJ$4,0)),NA(),IF(SUMPRODUCT((Inputs!$A$5:$A$140=$B63)*ISNUMBER(INDEX(Inputs!$K$5:$AJ$140,0,MATCH(AJ$2,Inputs!$K$4:$AJ$4,0))))+SUMPRODUCT((Inputs!$C$5:$C$140=$B63)*ISNUMBER(INDEX(Inputs!$K$5:$AJ$140,0,MATCH(AJ$2,Inputs!$K$4:$AJ$4,0))))+SUMPRODUCT((Inputs!$E$5:$E$140=$B63)*ISNUMBER(INDEX(Inputs!$K$5:$AJ$140,0,MATCH(AJ$2,Inputs!$K$4:$AJ$4,0))))=0,NA(),SUMPRODUCT((Inputs!$A$5:$A$140=$B63)*Inputs!$B$5:$B$140*(((Inputs!$G$5:$G$140="moeda")+(Inputs!$G$5:$G$140="acoes"))*Inputs!$B$1+((Inputs!$G$5:$G$140&lt;&gt;"moeda")*(Inputs!$G$5:$G$140&lt;&gt;"acoes")))*INDEX(Inputs!$K$5:$AJ$140,0,MATCH(AJ$2,Inputs!$K$4:$AJ$4,0)))+SUMPRODUCT((Inputs!$C$5:$C$140=$B63)*Inputs!$D$5:$D$140*(((Inputs!$G$5:$G$140="moeda")+(Inputs!$G$5:$G$140="acoes"))*Inputs!$B$1+((Inputs!$G$5:$G$140&lt;&gt;"moeda")*(Inputs!$G$5:$G$140&lt;&gt;"acoes")))*INDEX(Inputs!$K$5:$AJ$140,0,MATCH(AJ$2,Inputs!$K$4:$AJ$4,0)))+SUMPRODUCT((Inputs!$E$5:$E$140=$B63)*Inputs!$F$5:$F$140*(((Inputs!$G$5:$G$140="moeda")+(Inputs!$G$5:$G$140="acoes"))*Inputs!$B$1+((Inputs!$G$5:$G$140&lt;&gt;"moeda")*(Inputs!$G$5:$G$140&lt;&gt;"acoes")))*INDEX(Inputs!$K$5:$AJ$140,0,MATCH(AJ$2,Inputs!$K$4:$AJ$4,0)))))</f>
        <v>0.728741410423827</v>
      </c>
      <c r="AK63" s="266">
        <f>IF(ISNA(MATCH(AK$2,Inputs!$K$4:$AJ$4,0)),NA(),IF(SUMPRODUCT((Inputs!$A$5:$A$140=$B63)*ISNUMBER(INDEX(Inputs!$K$5:$AJ$140,0,MATCH(AK$2,Inputs!$K$4:$AJ$4,0))))+SUMPRODUCT((Inputs!$C$5:$C$140=$B63)*ISNUMBER(INDEX(Inputs!$K$5:$AJ$140,0,MATCH(AK$2,Inputs!$K$4:$AJ$4,0))))+SUMPRODUCT((Inputs!$E$5:$E$140=$B63)*ISNUMBER(INDEX(Inputs!$K$5:$AJ$140,0,MATCH(AK$2,Inputs!$K$4:$AJ$4,0))))=0,NA(),SUMPRODUCT((Inputs!$A$5:$A$140=$B63)*Inputs!$B$5:$B$140*(((Inputs!$G$5:$G$140="moeda")+(Inputs!$G$5:$G$140="acoes"))*Inputs!$B$1+((Inputs!$G$5:$G$140&lt;&gt;"moeda")*(Inputs!$G$5:$G$140&lt;&gt;"acoes")))*INDEX(Inputs!$K$5:$AJ$140,0,MATCH(AK$2,Inputs!$K$4:$AJ$4,0)))+SUMPRODUCT((Inputs!$C$5:$C$140=$B63)*Inputs!$D$5:$D$140*(((Inputs!$G$5:$G$140="moeda")+(Inputs!$G$5:$G$140="acoes"))*Inputs!$B$1+((Inputs!$G$5:$G$140&lt;&gt;"moeda")*(Inputs!$G$5:$G$140&lt;&gt;"acoes")))*INDEX(Inputs!$K$5:$AJ$140,0,MATCH(AK$2,Inputs!$K$4:$AJ$4,0)))+SUMPRODUCT((Inputs!$E$5:$E$140=$B63)*Inputs!$F$5:$F$140*(((Inputs!$G$5:$G$140="moeda")+(Inputs!$G$5:$G$140="acoes"))*Inputs!$B$1+((Inputs!$G$5:$G$140&lt;&gt;"moeda")*(Inputs!$G$5:$G$140&lt;&gt;"acoes")))*INDEX(Inputs!$K$5:$AJ$140,0,MATCH(AK$2,Inputs!$K$4:$AJ$4,0)))))</f>
        <v>0.643</v>
      </c>
      <c r="AL63" s="40">
        <f>AK63</f>
        <v>0.643</v>
      </c>
    </row>
    <row r="64">
      <c r="B64" s="46" t="n">
        <v>56</v>
      </c>
      <c r="C64" s="29" t="inlineStr">
        <is>
          <t>Repasses - VGV repassado (R$ mil; l.40)</t>
        </is>
      </c>
      <c r="D64" s="262">
        <f>IF(ISNA(MATCH(D$2,Inputs!$K$4:$AJ$4,0)),NA(),IF(SUMPRODUCT((Inputs!$A$5:$A$140=$B64)*ISNUMBER(INDEX(Inputs!$K$5:$AJ$140,0,MATCH(D$2,Inputs!$K$4:$AJ$4,0))))+SUMPRODUCT((Inputs!$C$5:$C$140=$B64)*ISNUMBER(INDEX(Inputs!$K$5:$AJ$140,0,MATCH(D$2,Inputs!$K$4:$AJ$4,0))))+SUMPRODUCT((Inputs!$E$5:$E$140=$B64)*ISNUMBER(INDEX(Inputs!$K$5:$AJ$140,0,MATCH(D$2,Inputs!$K$4:$AJ$4,0))))=0,NA(),SUMPRODUCT((Inputs!$A$5:$A$140=$B64)*Inputs!$B$5:$B$140*(((Inputs!$G$5:$G$140="moeda")+(Inputs!$G$5:$G$140="acoes"))*Inputs!$B$1+((Inputs!$G$5:$G$140&lt;&gt;"moeda")*(Inputs!$G$5:$G$140&lt;&gt;"acoes")))*INDEX(Inputs!$K$5:$AJ$140,0,MATCH(D$2,Inputs!$K$4:$AJ$4,0)))+SUMPRODUCT((Inputs!$C$5:$C$140=$B64)*Inputs!$D$5:$D$140*(((Inputs!$G$5:$G$140="moeda")+(Inputs!$G$5:$G$140="acoes"))*Inputs!$B$1+((Inputs!$G$5:$G$140&lt;&gt;"moeda")*(Inputs!$G$5:$G$140&lt;&gt;"acoes")))*INDEX(Inputs!$K$5:$AJ$140,0,MATCH(D$2,Inputs!$K$4:$AJ$4,0)))+SUMPRODUCT((Inputs!$E$5:$E$140=$B64)*Inputs!$F$5:$F$140*(((Inputs!$G$5:$G$140="moeda")+(Inputs!$G$5:$G$140="acoes"))*Inputs!$B$1+((Inputs!$G$5:$G$140&lt;&gt;"moeda")*(Inputs!$G$5:$G$140&lt;&gt;"acoes")))*INDEX(Inputs!$K$5:$AJ$140,0,MATCH(D$2,Inputs!$K$4:$AJ$4,0)))))</f>
        <v>296.90331988</v>
      </c>
      <c r="E64" s="262">
        <f>IF(ISNA(MATCH(E$2,Inputs!$K$4:$AJ$4,0)),NA(),IF(SUMPRODUCT((Inputs!$A$5:$A$140=$B64)*ISNUMBER(INDEX(Inputs!$K$5:$AJ$140,0,MATCH(E$2,Inputs!$K$4:$AJ$4,0))))+SUMPRODUCT((Inputs!$C$5:$C$140=$B64)*ISNUMBER(INDEX(Inputs!$K$5:$AJ$140,0,MATCH(E$2,Inputs!$K$4:$AJ$4,0))))+SUMPRODUCT((Inputs!$E$5:$E$140=$B64)*ISNUMBER(INDEX(Inputs!$K$5:$AJ$140,0,MATCH(E$2,Inputs!$K$4:$AJ$4,0))))=0,NA(),SUMPRODUCT((Inputs!$A$5:$A$140=$B64)*Inputs!$B$5:$B$140*(((Inputs!$G$5:$G$140="moeda")+(Inputs!$G$5:$G$140="acoes"))*Inputs!$B$1+((Inputs!$G$5:$G$140&lt;&gt;"moeda")*(Inputs!$G$5:$G$140&lt;&gt;"acoes")))*INDEX(Inputs!$K$5:$AJ$140,0,MATCH(E$2,Inputs!$K$4:$AJ$4,0)))+SUMPRODUCT((Inputs!$C$5:$C$140=$B64)*Inputs!$D$5:$D$140*(((Inputs!$G$5:$G$140="moeda")+(Inputs!$G$5:$G$140="acoes"))*Inputs!$B$1+((Inputs!$G$5:$G$140&lt;&gt;"moeda")*(Inputs!$G$5:$G$140&lt;&gt;"acoes")))*INDEX(Inputs!$K$5:$AJ$140,0,MATCH(E$2,Inputs!$K$4:$AJ$4,0)))+SUMPRODUCT((Inputs!$E$5:$E$140=$B64)*Inputs!$F$5:$F$140*(((Inputs!$G$5:$G$140="moeda")+(Inputs!$G$5:$G$140="acoes"))*Inputs!$B$1+((Inputs!$G$5:$G$140&lt;&gt;"moeda")*(Inputs!$G$5:$G$140&lt;&gt;"acoes")))*INDEX(Inputs!$K$5:$AJ$140,0,MATCH(E$2,Inputs!$K$4:$AJ$4,0)))))</f>
        <v>540.584</v>
      </c>
      <c r="F64" s="262">
        <f>IF(ISNA(MATCH(F$2,Inputs!$K$4:$AJ$4,0)),NA(),IF(SUMPRODUCT((Inputs!$A$5:$A$140=$B64)*ISNUMBER(INDEX(Inputs!$K$5:$AJ$140,0,MATCH(F$2,Inputs!$K$4:$AJ$4,0))))+SUMPRODUCT((Inputs!$C$5:$C$140=$B64)*ISNUMBER(INDEX(Inputs!$K$5:$AJ$140,0,MATCH(F$2,Inputs!$K$4:$AJ$4,0))))+SUMPRODUCT((Inputs!$E$5:$E$140=$B64)*ISNUMBER(INDEX(Inputs!$K$5:$AJ$140,0,MATCH(F$2,Inputs!$K$4:$AJ$4,0))))=0,NA(),SUMPRODUCT((Inputs!$A$5:$A$140=$B64)*Inputs!$B$5:$B$140*(((Inputs!$G$5:$G$140="moeda")+(Inputs!$G$5:$G$140="acoes"))*Inputs!$B$1+((Inputs!$G$5:$G$140&lt;&gt;"moeda")*(Inputs!$G$5:$G$140&lt;&gt;"acoes")))*INDEX(Inputs!$K$5:$AJ$140,0,MATCH(F$2,Inputs!$K$4:$AJ$4,0)))+SUMPRODUCT((Inputs!$C$5:$C$140=$B64)*Inputs!$D$5:$D$140*(((Inputs!$G$5:$G$140="moeda")+(Inputs!$G$5:$G$140="acoes"))*Inputs!$B$1+((Inputs!$G$5:$G$140&lt;&gt;"moeda")*(Inputs!$G$5:$G$140&lt;&gt;"acoes")))*INDEX(Inputs!$K$5:$AJ$140,0,MATCH(F$2,Inputs!$K$4:$AJ$4,0)))+SUMPRODUCT((Inputs!$E$5:$E$140=$B64)*Inputs!$F$5:$F$140*(((Inputs!$G$5:$G$140="moeda")+(Inputs!$G$5:$G$140="acoes"))*Inputs!$B$1+((Inputs!$G$5:$G$140&lt;&gt;"moeda")*(Inputs!$G$5:$G$140&lt;&gt;"acoes")))*INDEX(Inputs!$K$5:$AJ$140,0,MATCH(F$2,Inputs!$K$4:$AJ$4,0)))))</f>
        <v>723.11812501</v>
      </c>
      <c r="G64" s="262">
        <f>IF(ISNA(MATCH(G$2,Inputs!$K$4:$AJ$4,0)),NA(),IF(SUMPRODUCT((Inputs!$A$5:$A$140=$B64)*ISNUMBER(INDEX(Inputs!$K$5:$AJ$140,0,MATCH(G$2,Inputs!$K$4:$AJ$4,0))))+SUMPRODUCT((Inputs!$C$5:$C$140=$B64)*ISNUMBER(INDEX(Inputs!$K$5:$AJ$140,0,MATCH(G$2,Inputs!$K$4:$AJ$4,0))))+SUMPRODUCT((Inputs!$E$5:$E$140=$B64)*ISNUMBER(INDEX(Inputs!$K$5:$AJ$140,0,MATCH(G$2,Inputs!$K$4:$AJ$4,0))))=0,NA(),SUMPRODUCT((Inputs!$A$5:$A$140=$B64)*Inputs!$B$5:$B$140*(((Inputs!$G$5:$G$140="moeda")+(Inputs!$G$5:$G$140="acoes"))*Inputs!$B$1+((Inputs!$G$5:$G$140&lt;&gt;"moeda")*(Inputs!$G$5:$G$140&lt;&gt;"acoes")))*INDEX(Inputs!$K$5:$AJ$140,0,MATCH(G$2,Inputs!$K$4:$AJ$4,0)))+SUMPRODUCT((Inputs!$C$5:$C$140=$B64)*Inputs!$D$5:$D$140*(((Inputs!$G$5:$G$140="moeda")+(Inputs!$G$5:$G$140="acoes"))*Inputs!$B$1+((Inputs!$G$5:$G$140&lt;&gt;"moeda")*(Inputs!$G$5:$G$140&lt;&gt;"acoes")))*INDEX(Inputs!$K$5:$AJ$140,0,MATCH(G$2,Inputs!$K$4:$AJ$4,0)))+SUMPRODUCT((Inputs!$E$5:$E$140=$B64)*Inputs!$F$5:$F$140*(((Inputs!$G$5:$G$140="moeda")+(Inputs!$G$5:$G$140="acoes"))*Inputs!$B$1+((Inputs!$G$5:$G$140&lt;&gt;"moeda")*(Inputs!$G$5:$G$140&lt;&gt;"acoes")))*INDEX(Inputs!$K$5:$AJ$140,0,MATCH(G$2,Inputs!$K$4:$AJ$4,0)))))</f>
        <v>470.01072897</v>
      </c>
      <c r="H64" s="263">
        <f>SUM(D64:G64)</f>
        <v>2030.61617386</v>
      </c>
      <c r="I64" s="262">
        <f>IF(ISNA(MATCH(I$2,Inputs!$K$4:$AJ$4,0)),NA(),IF(SUMPRODUCT((Inputs!$A$5:$A$140=$B64)*ISNUMBER(INDEX(Inputs!$K$5:$AJ$140,0,MATCH(I$2,Inputs!$K$4:$AJ$4,0))))+SUMPRODUCT((Inputs!$C$5:$C$140=$B64)*ISNUMBER(INDEX(Inputs!$K$5:$AJ$140,0,MATCH(I$2,Inputs!$K$4:$AJ$4,0))))+SUMPRODUCT((Inputs!$E$5:$E$140=$B64)*ISNUMBER(INDEX(Inputs!$K$5:$AJ$140,0,MATCH(I$2,Inputs!$K$4:$AJ$4,0))))=0,NA(),SUMPRODUCT((Inputs!$A$5:$A$140=$B64)*Inputs!$B$5:$B$140*(((Inputs!$G$5:$G$140="moeda")+(Inputs!$G$5:$G$140="acoes"))*Inputs!$B$1+((Inputs!$G$5:$G$140&lt;&gt;"moeda")*(Inputs!$G$5:$G$140&lt;&gt;"acoes")))*INDEX(Inputs!$K$5:$AJ$140,0,MATCH(I$2,Inputs!$K$4:$AJ$4,0)))+SUMPRODUCT((Inputs!$C$5:$C$140=$B64)*Inputs!$D$5:$D$140*(((Inputs!$G$5:$G$140="moeda")+(Inputs!$G$5:$G$140="acoes"))*Inputs!$B$1+((Inputs!$G$5:$G$140&lt;&gt;"moeda")*(Inputs!$G$5:$G$140&lt;&gt;"acoes")))*INDEX(Inputs!$K$5:$AJ$140,0,MATCH(I$2,Inputs!$K$4:$AJ$4,0)))+SUMPRODUCT((Inputs!$E$5:$E$140=$B64)*Inputs!$F$5:$F$140*(((Inputs!$G$5:$G$140="moeda")+(Inputs!$G$5:$G$140="acoes"))*Inputs!$B$1+((Inputs!$G$5:$G$140&lt;&gt;"moeda")*(Inputs!$G$5:$G$140&lt;&gt;"acoes")))*INDEX(Inputs!$K$5:$AJ$140,0,MATCH(I$2,Inputs!$K$4:$AJ$4,0)))))</f>
        <v>532.336594830001</v>
      </c>
      <c r="J64" s="262">
        <f>IF(ISNA(MATCH(J$2,Inputs!$K$4:$AJ$4,0)),NA(),IF(SUMPRODUCT((Inputs!$A$5:$A$140=$B64)*ISNUMBER(INDEX(Inputs!$K$5:$AJ$140,0,MATCH(J$2,Inputs!$K$4:$AJ$4,0))))+SUMPRODUCT((Inputs!$C$5:$C$140=$B64)*ISNUMBER(INDEX(Inputs!$K$5:$AJ$140,0,MATCH(J$2,Inputs!$K$4:$AJ$4,0))))+SUMPRODUCT((Inputs!$E$5:$E$140=$B64)*ISNUMBER(INDEX(Inputs!$K$5:$AJ$140,0,MATCH(J$2,Inputs!$K$4:$AJ$4,0))))=0,NA(),SUMPRODUCT((Inputs!$A$5:$A$140=$B64)*Inputs!$B$5:$B$140*(((Inputs!$G$5:$G$140="moeda")+(Inputs!$G$5:$G$140="acoes"))*Inputs!$B$1+((Inputs!$G$5:$G$140&lt;&gt;"moeda")*(Inputs!$G$5:$G$140&lt;&gt;"acoes")))*INDEX(Inputs!$K$5:$AJ$140,0,MATCH(J$2,Inputs!$K$4:$AJ$4,0)))+SUMPRODUCT((Inputs!$C$5:$C$140=$B64)*Inputs!$D$5:$D$140*(((Inputs!$G$5:$G$140="moeda")+(Inputs!$G$5:$G$140="acoes"))*Inputs!$B$1+((Inputs!$G$5:$G$140&lt;&gt;"moeda")*(Inputs!$G$5:$G$140&lt;&gt;"acoes")))*INDEX(Inputs!$K$5:$AJ$140,0,MATCH(J$2,Inputs!$K$4:$AJ$4,0)))+SUMPRODUCT((Inputs!$E$5:$E$140=$B64)*Inputs!$F$5:$F$140*(((Inputs!$G$5:$G$140="moeda")+(Inputs!$G$5:$G$140="acoes"))*Inputs!$B$1+((Inputs!$G$5:$G$140&lt;&gt;"moeda")*(Inputs!$G$5:$G$140&lt;&gt;"acoes")))*INDEX(Inputs!$K$5:$AJ$140,0,MATCH(J$2,Inputs!$K$4:$AJ$4,0)))))</f>
        <v>728.50112205</v>
      </c>
      <c r="K64" s="262">
        <f>IF(ISNA(MATCH(K$2,Inputs!$K$4:$AJ$4,0)),NA(),IF(SUMPRODUCT((Inputs!$A$5:$A$140=$B64)*ISNUMBER(INDEX(Inputs!$K$5:$AJ$140,0,MATCH(K$2,Inputs!$K$4:$AJ$4,0))))+SUMPRODUCT((Inputs!$C$5:$C$140=$B64)*ISNUMBER(INDEX(Inputs!$K$5:$AJ$140,0,MATCH(K$2,Inputs!$K$4:$AJ$4,0))))+SUMPRODUCT((Inputs!$E$5:$E$140=$B64)*ISNUMBER(INDEX(Inputs!$K$5:$AJ$140,0,MATCH(K$2,Inputs!$K$4:$AJ$4,0))))=0,NA(),SUMPRODUCT((Inputs!$A$5:$A$140=$B64)*Inputs!$B$5:$B$140*(((Inputs!$G$5:$G$140="moeda")+(Inputs!$G$5:$G$140="acoes"))*Inputs!$B$1+((Inputs!$G$5:$G$140&lt;&gt;"moeda")*(Inputs!$G$5:$G$140&lt;&gt;"acoes")))*INDEX(Inputs!$K$5:$AJ$140,0,MATCH(K$2,Inputs!$K$4:$AJ$4,0)))+SUMPRODUCT((Inputs!$C$5:$C$140=$B64)*Inputs!$D$5:$D$140*(((Inputs!$G$5:$G$140="moeda")+(Inputs!$G$5:$G$140="acoes"))*Inputs!$B$1+((Inputs!$G$5:$G$140&lt;&gt;"moeda")*(Inputs!$G$5:$G$140&lt;&gt;"acoes")))*INDEX(Inputs!$K$5:$AJ$140,0,MATCH(K$2,Inputs!$K$4:$AJ$4,0)))+SUMPRODUCT((Inputs!$E$5:$E$140=$B64)*Inputs!$F$5:$F$140*(((Inputs!$G$5:$G$140="moeda")+(Inputs!$G$5:$G$140="acoes"))*Inputs!$B$1+((Inputs!$G$5:$G$140&lt;&gt;"moeda")*(Inputs!$G$5:$G$140&lt;&gt;"acoes")))*INDEX(Inputs!$K$5:$AJ$140,0,MATCH(K$2,Inputs!$K$4:$AJ$4,0)))))</f>
        <v>860.05442945</v>
      </c>
      <c r="L64" s="262">
        <f>IF(ISNA(MATCH(L$2,Inputs!$K$4:$AJ$4,0)),NA(),IF(SUMPRODUCT((Inputs!$A$5:$A$140=$B64)*ISNUMBER(INDEX(Inputs!$K$5:$AJ$140,0,MATCH(L$2,Inputs!$K$4:$AJ$4,0))))+SUMPRODUCT((Inputs!$C$5:$C$140=$B64)*ISNUMBER(INDEX(Inputs!$K$5:$AJ$140,0,MATCH(L$2,Inputs!$K$4:$AJ$4,0))))+SUMPRODUCT((Inputs!$E$5:$E$140=$B64)*ISNUMBER(INDEX(Inputs!$K$5:$AJ$140,0,MATCH(L$2,Inputs!$K$4:$AJ$4,0))))=0,NA(),SUMPRODUCT((Inputs!$A$5:$A$140=$B64)*Inputs!$B$5:$B$140*(((Inputs!$G$5:$G$140="moeda")+(Inputs!$G$5:$G$140="acoes"))*Inputs!$B$1+((Inputs!$G$5:$G$140&lt;&gt;"moeda")*(Inputs!$G$5:$G$140&lt;&gt;"acoes")))*INDEX(Inputs!$K$5:$AJ$140,0,MATCH(L$2,Inputs!$K$4:$AJ$4,0)))+SUMPRODUCT((Inputs!$C$5:$C$140=$B64)*Inputs!$D$5:$D$140*(((Inputs!$G$5:$G$140="moeda")+(Inputs!$G$5:$G$140="acoes"))*Inputs!$B$1+((Inputs!$G$5:$G$140&lt;&gt;"moeda")*(Inputs!$G$5:$G$140&lt;&gt;"acoes")))*INDEX(Inputs!$K$5:$AJ$140,0,MATCH(L$2,Inputs!$K$4:$AJ$4,0)))+SUMPRODUCT((Inputs!$E$5:$E$140=$B64)*Inputs!$F$5:$F$140*(((Inputs!$G$5:$G$140="moeda")+(Inputs!$G$5:$G$140="acoes"))*Inputs!$B$1+((Inputs!$G$5:$G$140&lt;&gt;"moeda")*(Inputs!$G$5:$G$140&lt;&gt;"acoes")))*INDEX(Inputs!$K$5:$AJ$140,0,MATCH(L$2,Inputs!$K$4:$AJ$4,0)))))</f>
        <v>662.00439181</v>
      </c>
      <c r="M64" s="263">
        <f>SUM(I64:L64)</f>
        <v>2782.89653814</v>
      </c>
      <c r="N64" s="262">
        <f>IF(ISNA(MATCH(N$2,Inputs!$K$4:$AJ$4,0)),NA(),IF(SUMPRODUCT((Inputs!$A$5:$A$140=$B64)*ISNUMBER(INDEX(Inputs!$K$5:$AJ$140,0,MATCH(N$2,Inputs!$K$4:$AJ$4,0))))+SUMPRODUCT((Inputs!$C$5:$C$140=$B64)*ISNUMBER(INDEX(Inputs!$K$5:$AJ$140,0,MATCH(N$2,Inputs!$K$4:$AJ$4,0))))+SUMPRODUCT((Inputs!$E$5:$E$140=$B64)*ISNUMBER(INDEX(Inputs!$K$5:$AJ$140,0,MATCH(N$2,Inputs!$K$4:$AJ$4,0))))=0,NA(),SUMPRODUCT((Inputs!$A$5:$A$140=$B64)*Inputs!$B$5:$B$140*(((Inputs!$G$5:$G$140="moeda")+(Inputs!$G$5:$G$140="acoes"))*Inputs!$B$1+((Inputs!$G$5:$G$140&lt;&gt;"moeda")*(Inputs!$G$5:$G$140&lt;&gt;"acoes")))*INDEX(Inputs!$K$5:$AJ$140,0,MATCH(N$2,Inputs!$K$4:$AJ$4,0)))+SUMPRODUCT((Inputs!$C$5:$C$140=$B64)*Inputs!$D$5:$D$140*(((Inputs!$G$5:$G$140="moeda")+(Inputs!$G$5:$G$140="acoes"))*Inputs!$B$1+((Inputs!$G$5:$G$140&lt;&gt;"moeda")*(Inputs!$G$5:$G$140&lt;&gt;"acoes")))*INDEX(Inputs!$K$5:$AJ$140,0,MATCH(N$2,Inputs!$K$4:$AJ$4,0)))+SUMPRODUCT((Inputs!$E$5:$E$140=$B64)*Inputs!$F$5:$F$140*(((Inputs!$G$5:$G$140="moeda")+(Inputs!$G$5:$G$140="acoes"))*Inputs!$B$1+((Inputs!$G$5:$G$140&lt;&gt;"moeda")*(Inputs!$G$5:$G$140&lt;&gt;"acoes")))*INDEX(Inputs!$K$5:$AJ$140,0,MATCH(N$2,Inputs!$K$4:$AJ$4,0)))))</f>
        <v>578.90007087</v>
      </c>
      <c r="O64" s="262">
        <f>IF(ISNA(MATCH(O$2,Inputs!$K$4:$AJ$4,0)),NA(),IF(SUMPRODUCT((Inputs!$A$5:$A$140=$B64)*ISNUMBER(INDEX(Inputs!$K$5:$AJ$140,0,MATCH(O$2,Inputs!$K$4:$AJ$4,0))))+SUMPRODUCT((Inputs!$C$5:$C$140=$B64)*ISNUMBER(INDEX(Inputs!$K$5:$AJ$140,0,MATCH(O$2,Inputs!$K$4:$AJ$4,0))))+SUMPRODUCT((Inputs!$E$5:$E$140=$B64)*ISNUMBER(INDEX(Inputs!$K$5:$AJ$140,0,MATCH(O$2,Inputs!$K$4:$AJ$4,0))))=0,NA(),SUMPRODUCT((Inputs!$A$5:$A$140=$B64)*Inputs!$B$5:$B$140*(((Inputs!$G$5:$G$140="moeda")+(Inputs!$G$5:$G$140="acoes"))*Inputs!$B$1+((Inputs!$G$5:$G$140&lt;&gt;"moeda")*(Inputs!$G$5:$G$140&lt;&gt;"acoes")))*INDEX(Inputs!$K$5:$AJ$140,0,MATCH(O$2,Inputs!$K$4:$AJ$4,0)))+SUMPRODUCT((Inputs!$C$5:$C$140=$B64)*Inputs!$D$5:$D$140*(((Inputs!$G$5:$G$140="moeda")+(Inputs!$G$5:$G$140="acoes"))*Inputs!$B$1+((Inputs!$G$5:$G$140&lt;&gt;"moeda")*(Inputs!$G$5:$G$140&lt;&gt;"acoes")))*INDEX(Inputs!$K$5:$AJ$140,0,MATCH(O$2,Inputs!$K$4:$AJ$4,0)))+SUMPRODUCT((Inputs!$E$5:$E$140=$B64)*Inputs!$F$5:$F$140*(((Inputs!$G$5:$G$140="moeda")+(Inputs!$G$5:$G$140="acoes"))*Inputs!$B$1+((Inputs!$G$5:$G$140&lt;&gt;"moeda")*(Inputs!$G$5:$G$140&lt;&gt;"acoes")))*INDEX(Inputs!$K$5:$AJ$140,0,MATCH(O$2,Inputs!$K$4:$AJ$4,0)))))</f>
        <v>1228.870224</v>
      </c>
      <c r="P64" s="262">
        <f>IF(ISNA(MATCH(P$2,Inputs!$K$4:$AJ$4,0)),NA(),IF(SUMPRODUCT((Inputs!$A$5:$A$140=$B64)*ISNUMBER(INDEX(Inputs!$K$5:$AJ$140,0,MATCH(P$2,Inputs!$K$4:$AJ$4,0))))+SUMPRODUCT((Inputs!$C$5:$C$140=$B64)*ISNUMBER(INDEX(Inputs!$K$5:$AJ$140,0,MATCH(P$2,Inputs!$K$4:$AJ$4,0))))+SUMPRODUCT((Inputs!$E$5:$E$140=$B64)*ISNUMBER(INDEX(Inputs!$K$5:$AJ$140,0,MATCH(P$2,Inputs!$K$4:$AJ$4,0))))=0,NA(),SUMPRODUCT((Inputs!$A$5:$A$140=$B64)*Inputs!$B$5:$B$140*(((Inputs!$G$5:$G$140="moeda")+(Inputs!$G$5:$G$140="acoes"))*Inputs!$B$1+((Inputs!$G$5:$G$140&lt;&gt;"moeda")*(Inputs!$G$5:$G$140&lt;&gt;"acoes")))*INDEX(Inputs!$K$5:$AJ$140,0,MATCH(P$2,Inputs!$K$4:$AJ$4,0)))+SUMPRODUCT((Inputs!$C$5:$C$140=$B64)*Inputs!$D$5:$D$140*(((Inputs!$G$5:$G$140="moeda")+(Inputs!$G$5:$G$140="acoes"))*Inputs!$B$1+((Inputs!$G$5:$G$140&lt;&gt;"moeda")*(Inputs!$G$5:$G$140&lt;&gt;"acoes")))*INDEX(Inputs!$K$5:$AJ$140,0,MATCH(P$2,Inputs!$K$4:$AJ$4,0)))+SUMPRODUCT((Inputs!$E$5:$E$140=$B64)*Inputs!$F$5:$F$140*(((Inputs!$G$5:$G$140="moeda")+(Inputs!$G$5:$G$140="acoes"))*Inputs!$B$1+((Inputs!$G$5:$G$140&lt;&gt;"moeda")*(Inputs!$G$5:$G$140&lt;&gt;"acoes")))*INDEX(Inputs!$K$5:$AJ$140,0,MATCH(P$2,Inputs!$K$4:$AJ$4,0)))))</f>
        <v>866.06356864</v>
      </c>
      <c r="Q64" s="262">
        <f>IF(ISNA(MATCH(Q$2,Inputs!$K$4:$AJ$4,0)),NA(),IF(SUMPRODUCT((Inputs!$A$5:$A$140=$B64)*ISNUMBER(INDEX(Inputs!$K$5:$AJ$140,0,MATCH(Q$2,Inputs!$K$4:$AJ$4,0))))+SUMPRODUCT((Inputs!$C$5:$C$140=$B64)*ISNUMBER(INDEX(Inputs!$K$5:$AJ$140,0,MATCH(Q$2,Inputs!$K$4:$AJ$4,0))))+SUMPRODUCT((Inputs!$E$5:$E$140=$B64)*ISNUMBER(INDEX(Inputs!$K$5:$AJ$140,0,MATCH(Q$2,Inputs!$K$4:$AJ$4,0))))=0,NA(),SUMPRODUCT((Inputs!$A$5:$A$140=$B64)*Inputs!$B$5:$B$140*(((Inputs!$G$5:$G$140="moeda")+(Inputs!$G$5:$G$140="acoes"))*Inputs!$B$1+((Inputs!$G$5:$G$140&lt;&gt;"moeda")*(Inputs!$G$5:$G$140&lt;&gt;"acoes")))*INDEX(Inputs!$K$5:$AJ$140,0,MATCH(Q$2,Inputs!$K$4:$AJ$4,0)))+SUMPRODUCT((Inputs!$C$5:$C$140=$B64)*Inputs!$D$5:$D$140*(((Inputs!$G$5:$G$140="moeda")+(Inputs!$G$5:$G$140="acoes"))*Inputs!$B$1+((Inputs!$G$5:$G$140&lt;&gt;"moeda")*(Inputs!$G$5:$G$140&lt;&gt;"acoes")))*INDEX(Inputs!$K$5:$AJ$140,0,MATCH(Q$2,Inputs!$K$4:$AJ$4,0)))+SUMPRODUCT((Inputs!$E$5:$E$140=$B64)*Inputs!$F$5:$F$140*(((Inputs!$G$5:$G$140="moeda")+(Inputs!$G$5:$G$140="acoes"))*Inputs!$B$1+((Inputs!$G$5:$G$140&lt;&gt;"moeda")*(Inputs!$G$5:$G$140&lt;&gt;"acoes")))*INDEX(Inputs!$K$5:$AJ$140,0,MATCH(Q$2,Inputs!$K$4:$AJ$4,0)))))</f>
        <v>857.120805590001</v>
      </c>
      <c r="R64" s="263">
        <f>SUM(N64:Q64)</f>
        <v>3530.9546691</v>
      </c>
      <c r="S64" s="262">
        <f>IF(ISNA(MATCH(S$2,Inputs!$K$4:$AJ$4,0)),NA(),IF(SUMPRODUCT((Inputs!$A$5:$A$140=$B64)*ISNUMBER(INDEX(Inputs!$K$5:$AJ$140,0,MATCH(S$2,Inputs!$K$4:$AJ$4,0))))+SUMPRODUCT((Inputs!$C$5:$C$140=$B64)*ISNUMBER(INDEX(Inputs!$K$5:$AJ$140,0,MATCH(S$2,Inputs!$K$4:$AJ$4,0))))+SUMPRODUCT((Inputs!$E$5:$E$140=$B64)*ISNUMBER(INDEX(Inputs!$K$5:$AJ$140,0,MATCH(S$2,Inputs!$K$4:$AJ$4,0))))=0,NA(),SUMPRODUCT((Inputs!$A$5:$A$140=$B64)*Inputs!$B$5:$B$140*(((Inputs!$G$5:$G$140="moeda")+(Inputs!$G$5:$G$140="acoes"))*Inputs!$B$1+((Inputs!$G$5:$G$140&lt;&gt;"moeda")*(Inputs!$G$5:$G$140&lt;&gt;"acoes")))*INDEX(Inputs!$K$5:$AJ$140,0,MATCH(S$2,Inputs!$K$4:$AJ$4,0)))+SUMPRODUCT((Inputs!$C$5:$C$140=$B64)*Inputs!$D$5:$D$140*(((Inputs!$G$5:$G$140="moeda")+(Inputs!$G$5:$G$140="acoes"))*Inputs!$B$1+((Inputs!$G$5:$G$140&lt;&gt;"moeda")*(Inputs!$G$5:$G$140&lt;&gt;"acoes")))*INDEX(Inputs!$K$5:$AJ$140,0,MATCH(S$2,Inputs!$K$4:$AJ$4,0)))+SUMPRODUCT((Inputs!$E$5:$E$140=$B64)*Inputs!$F$5:$F$140*(((Inputs!$G$5:$G$140="moeda")+(Inputs!$G$5:$G$140="acoes"))*Inputs!$B$1+((Inputs!$G$5:$G$140&lt;&gt;"moeda")*(Inputs!$G$5:$G$140&lt;&gt;"acoes")))*INDEX(Inputs!$K$5:$AJ$140,0,MATCH(S$2,Inputs!$K$4:$AJ$4,0)))))</f>
        <v>886.48975854</v>
      </c>
      <c r="T64" s="262">
        <f>IF(ISNA(MATCH(T$2,Inputs!$K$4:$AJ$4,0)),NA(),IF(SUMPRODUCT((Inputs!$A$5:$A$140=$B64)*ISNUMBER(INDEX(Inputs!$K$5:$AJ$140,0,MATCH(T$2,Inputs!$K$4:$AJ$4,0))))+SUMPRODUCT((Inputs!$C$5:$C$140=$B64)*ISNUMBER(INDEX(Inputs!$K$5:$AJ$140,0,MATCH(T$2,Inputs!$K$4:$AJ$4,0))))+SUMPRODUCT((Inputs!$E$5:$E$140=$B64)*ISNUMBER(INDEX(Inputs!$K$5:$AJ$140,0,MATCH(T$2,Inputs!$K$4:$AJ$4,0))))=0,NA(),SUMPRODUCT((Inputs!$A$5:$A$140=$B64)*Inputs!$B$5:$B$140*(((Inputs!$G$5:$G$140="moeda")+(Inputs!$G$5:$G$140="acoes"))*Inputs!$B$1+((Inputs!$G$5:$G$140&lt;&gt;"moeda")*(Inputs!$G$5:$G$140&lt;&gt;"acoes")))*INDEX(Inputs!$K$5:$AJ$140,0,MATCH(T$2,Inputs!$K$4:$AJ$4,0)))+SUMPRODUCT((Inputs!$C$5:$C$140=$B64)*Inputs!$D$5:$D$140*(((Inputs!$G$5:$G$140="moeda")+(Inputs!$G$5:$G$140="acoes"))*Inputs!$B$1+((Inputs!$G$5:$G$140&lt;&gt;"moeda")*(Inputs!$G$5:$G$140&lt;&gt;"acoes")))*INDEX(Inputs!$K$5:$AJ$140,0,MATCH(T$2,Inputs!$K$4:$AJ$4,0)))+SUMPRODUCT((Inputs!$E$5:$E$140=$B64)*Inputs!$F$5:$F$140*(((Inputs!$G$5:$G$140="moeda")+(Inputs!$G$5:$G$140="acoes"))*Inputs!$B$1+((Inputs!$G$5:$G$140&lt;&gt;"moeda")*(Inputs!$G$5:$G$140&lt;&gt;"acoes")))*INDEX(Inputs!$K$5:$AJ$140,0,MATCH(T$2,Inputs!$K$4:$AJ$4,0)))))</f>
        <v>1438.166</v>
      </c>
      <c r="U64" s="262">
        <f>IF(ISNA(MATCH(U$2,Inputs!$K$4:$AJ$4,0)),NA(),IF(SUMPRODUCT((Inputs!$A$5:$A$140=$B64)*ISNUMBER(INDEX(Inputs!$K$5:$AJ$140,0,MATCH(U$2,Inputs!$K$4:$AJ$4,0))))+SUMPRODUCT((Inputs!$C$5:$C$140=$B64)*ISNUMBER(INDEX(Inputs!$K$5:$AJ$140,0,MATCH(U$2,Inputs!$K$4:$AJ$4,0))))+SUMPRODUCT((Inputs!$E$5:$E$140=$B64)*ISNUMBER(INDEX(Inputs!$K$5:$AJ$140,0,MATCH(U$2,Inputs!$K$4:$AJ$4,0))))=0,NA(),SUMPRODUCT((Inputs!$A$5:$A$140=$B64)*Inputs!$B$5:$B$140*(((Inputs!$G$5:$G$140="moeda")+(Inputs!$G$5:$G$140="acoes"))*Inputs!$B$1+((Inputs!$G$5:$G$140&lt;&gt;"moeda")*(Inputs!$G$5:$G$140&lt;&gt;"acoes")))*INDEX(Inputs!$K$5:$AJ$140,0,MATCH(U$2,Inputs!$K$4:$AJ$4,0)))+SUMPRODUCT((Inputs!$C$5:$C$140=$B64)*Inputs!$D$5:$D$140*(((Inputs!$G$5:$G$140="moeda")+(Inputs!$G$5:$G$140="acoes"))*Inputs!$B$1+((Inputs!$G$5:$G$140&lt;&gt;"moeda")*(Inputs!$G$5:$G$140&lt;&gt;"acoes")))*INDEX(Inputs!$K$5:$AJ$140,0,MATCH(U$2,Inputs!$K$4:$AJ$4,0)))+SUMPRODUCT((Inputs!$E$5:$E$140=$B64)*Inputs!$F$5:$F$140*(((Inputs!$G$5:$G$140="moeda")+(Inputs!$G$5:$G$140="acoes"))*Inputs!$B$1+((Inputs!$G$5:$G$140&lt;&gt;"moeda")*(Inputs!$G$5:$G$140&lt;&gt;"acoes")))*INDEX(Inputs!$K$5:$AJ$140,0,MATCH(U$2,Inputs!$K$4:$AJ$4,0)))))</f>
        <v>1437.6</v>
      </c>
      <c r="V64" s="262">
        <f>IF(ISNA(MATCH(V$2,Inputs!$K$4:$AJ$4,0)),NA(),IF(SUMPRODUCT((Inputs!$A$5:$A$140=$B64)*ISNUMBER(INDEX(Inputs!$K$5:$AJ$140,0,MATCH(V$2,Inputs!$K$4:$AJ$4,0))))+SUMPRODUCT((Inputs!$C$5:$C$140=$B64)*ISNUMBER(INDEX(Inputs!$K$5:$AJ$140,0,MATCH(V$2,Inputs!$K$4:$AJ$4,0))))+SUMPRODUCT((Inputs!$E$5:$E$140=$B64)*ISNUMBER(INDEX(Inputs!$K$5:$AJ$140,0,MATCH(V$2,Inputs!$K$4:$AJ$4,0))))=0,NA(),SUMPRODUCT((Inputs!$A$5:$A$140=$B64)*Inputs!$B$5:$B$140*(((Inputs!$G$5:$G$140="moeda")+(Inputs!$G$5:$G$140="acoes"))*Inputs!$B$1+((Inputs!$G$5:$G$140&lt;&gt;"moeda")*(Inputs!$G$5:$G$140&lt;&gt;"acoes")))*INDEX(Inputs!$K$5:$AJ$140,0,MATCH(V$2,Inputs!$K$4:$AJ$4,0)))+SUMPRODUCT((Inputs!$C$5:$C$140=$B64)*Inputs!$D$5:$D$140*(((Inputs!$G$5:$G$140="moeda")+(Inputs!$G$5:$G$140="acoes"))*Inputs!$B$1+((Inputs!$G$5:$G$140&lt;&gt;"moeda")*(Inputs!$G$5:$G$140&lt;&gt;"acoes")))*INDEX(Inputs!$K$5:$AJ$140,0,MATCH(V$2,Inputs!$K$4:$AJ$4,0)))+SUMPRODUCT((Inputs!$E$5:$E$140=$B64)*Inputs!$F$5:$F$140*(((Inputs!$G$5:$G$140="moeda")+(Inputs!$G$5:$G$140="acoes"))*Inputs!$B$1+((Inputs!$G$5:$G$140&lt;&gt;"moeda")*(Inputs!$G$5:$G$140&lt;&gt;"acoes")))*INDEX(Inputs!$K$5:$AJ$140,0,MATCH(V$2,Inputs!$K$4:$AJ$4,0)))))</f>
        <v>927.749</v>
      </c>
      <c r="W64" s="263">
        <f>SUM(S64:V64)</f>
        <v>4690.00475854</v>
      </c>
      <c r="X64" s="262">
        <f>IF(ISNA(MATCH(X$2,Inputs!$K$4:$AJ$4,0)),NA(),IF(SUMPRODUCT((Inputs!$A$5:$A$140=$B64)*ISNUMBER(INDEX(Inputs!$K$5:$AJ$140,0,MATCH(X$2,Inputs!$K$4:$AJ$4,0))))+SUMPRODUCT((Inputs!$C$5:$C$140=$B64)*ISNUMBER(INDEX(Inputs!$K$5:$AJ$140,0,MATCH(X$2,Inputs!$K$4:$AJ$4,0))))+SUMPRODUCT((Inputs!$E$5:$E$140=$B64)*ISNUMBER(INDEX(Inputs!$K$5:$AJ$140,0,MATCH(X$2,Inputs!$K$4:$AJ$4,0))))=0,NA(),SUMPRODUCT((Inputs!$A$5:$A$140=$B64)*Inputs!$B$5:$B$140*(((Inputs!$G$5:$G$140="moeda")+(Inputs!$G$5:$G$140="acoes"))*Inputs!$B$1+((Inputs!$G$5:$G$140&lt;&gt;"moeda")*(Inputs!$G$5:$G$140&lt;&gt;"acoes")))*INDEX(Inputs!$K$5:$AJ$140,0,MATCH(X$2,Inputs!$K$4:$AJ$4,0)))+SUMPRODUCT((Inputs!$C$5:$C$140=$B64)*Inputs!$D$5:$D$140*(((Inputs!$G$5:$G$140="moeda")+(Inputs!$G$5:$G$140="acoes"))*Inputs!$B$1+((Inputs!$G$5:$G$140&lt;&gt;"moeda")*(Inputs!$G$5:$G$140&lt;&gt;"acoes")))*INDEX(Inputs!$K$5:$AJ$140,0,MATCH(X$2,Inputs!$K$4:$AJ$4,0)))+SUMPRODUCT((Inputs!$E$5:$E$140=$B64)*Inputs!$F$5:$F$140*(((Inputs!$G$5:$G$140="moeda")+(Inputs!$G$5:$G$140="acoes"))*Inputs!$B$1+((Inputs!$G$5:$G$140&lt;&gt;"moeda")*(Inputs!$G$5:$G$140&lt;&gt;"acoes")))*INDEX(Inputs!$K$5:$AJ$140,0,MATCH(X$2,Inputs!$K$4:$AJ$4,0)))))</f>
        <v>1122.90757169</v>
      </c>
      <c r="Y64" s="262">
        <f>IF(ISNA(MATCH(Y$2,Inputs!$K$4:$AJ$4,0)),NA(),IF(SUMPRODUCT((Inputs!$A$5:$A$140=$B64)*ISNUMBER(INDEX(Inputs!$K$5:$AJ$140,0,MATCH(Y$2,Inputs!$K$4:$AJ$4,0))))+SUMPRODUCT((Inputs!$C$5:$C$140=$B64)*ISNUMBER(INDEX(Inputs!$K$5:$AJ$140,0,MATCH(Y$2,Inputs!$K$4:$AJ$4,0))))+SUMPRODUCT((Inputs!$E$5:$E$140=$B64)*ISNUMBER(INDEX(Inputs!$K$5:$AJ$140,0,MATCH(Y$2,Inputs!$K$4:$AJ$4,0))))=0,NA(),SUMPRODUCT((Inputs!$A$5:$A$140=$B64)*Inputs!$B$5:$B$140*(((Inputs!$G$5:$G$140="moeda")+(Inputs!$G$5:$G$140="acoes"))*Inputs!$B$1+((Inputs!$G$5:$G$140&lt;&gt;"moeda")*(Inputs!$G$5:$G$140&lt;&gt;"acoes")))*INDEX(Inputs!$K$5:$AJ$140,0,MATCH(Y$2,Inputs!$K$4:$AJ$4,0)))+SUMPRODUCT((Inputs!$C$5:$C$140=$B64)*Inputs!$D$5:$D$140*(((Inputs!$G$5:$G$140="moeda")+(Inputs!$G$5:$G$140="acoes"))*Inputs!$B$1+((Inputs!$G$5:$G$140&lt;&gt;"moeda")*(Inputs!$G$5:$G$140&lt;&gt;"acoes")))*INDEX(Inputs!$K$5:$AJ$140,0,MATCH(Y$2,Inputs!$K$4:$AJ$4,0)))+SUMPRODUCT((Inputs!$E$5:$E$140=$B64)*Inputs!$F$5:$F$140*(((Inputs!$G$5:$G$140="moeda")+(Inputs!$G$5:$G$140="acoes"))*Inputs!$B$1+((Inputs!$G$5:$G$140&lt;&gt;"moeda")*(Inputs!$G$5:$G$140&lt;&gt;"acoes")))*INDEX(Inputs!$K$5:$AJ$140,0,MATCH(Y$2,Inputs!$K$4:$AJ$4,0)))))</f>
        <v>2149.31711625</v>
      </c>
      <c r="Z64" s="262">
        <f>IF(ISNA(MATCH(Z$2,Inputs!$K$4:$AJ$4,0)),NA(),IF(SUMPRODUCT((Inputs!$A$5:$A$140=$B64)*ISNUMBER(INDEX(Inputs!$K$5:$AJ$140,0,MATCH(Z$2,Inputs!$K$4:$AJ$4,0))))+SUMPRODUCT((Inputs!$C$5:$C$140=$B64)*ISNUMBER(INDEX(Inputs!$K$5:$AJ$140,0,MATCH(Z$2,Inputs!$K$4:$AJ$4,0))))+SUMPRODUCT((Inputs!$E$5:$E$140=$B64)*ISNUMBER(INDEX(Inputs!$K$5:$AJ$140,0,MATCH(Z$2,Inputs!$K$4:$AJ$4,0))))=0,NA(),SUMPRODUCT((Inputs!$A$5:$A$140=$B64)*Inputs!$B$5:$B$140*(((Inputs!$G$5:$G$140="moeda")+(Inputs!$G$5:$G$140="acoes"))*Inputs!$B$1+((Inputs!$G$5:$G$140&lt;&gt;"moeda")*(Inputs!$G$5:$G$140&lt;&gt;"acoes")))*INDEX(Inputs!$K$5:$AJ$140,0,MATCH(Z$2,Inputs!$K$4:$AJ$4,0)))+SUMPRODUCT((Inputs!$C$5:$C$140=$B64)*Inputs!$D$5:$D$140*(((Inputs!$G$5:$G$140="moeda")+(Inputs!$G$5:$G$140="acoes"))*Inputs!$B$1+((Inputs!$G$5:$G$140&lt;&gt;"moeda")*(Inputs!$G$5:$G$140&lt;&gt;"acoes")))*INDEX(Inputs!$K$5:$AJ$140,0,MATCH(Z$2,Inputs!$K$4:$AJ$4,0)))+SUMPRODUCT((Inputs!$E$5:$E$140=$B64)*Inputs!$F$5:$F$140*(((Inputs!$G$5:$G$140="moeda")+(Inputs!$G$5:$G$140="acoes"))*Inputs!$B$1+((Inputs!$G$5:$G$140&lt;&gt;"moeda")*(Inputs!$G$5:$G$140&lt;&gt;"acoes")))*INDEX(Inputs!$K$5:$AJ$140,0,MATCH(Z$2,Inputs!$K$4:$AJ$4,0)))))</f>
        <v>1487.1632059</v>
      </c>
      <c r="AA64" s="262">
        <f>IF(ISNA(MATCH(AA$2,Inputs!$K$4:$AJ$4,0)),NA(),IF(SUMPRODUCT((Inputs!$A$5:$A$140=$B64)*ISNUMBER(INDEX(Inputs!$K$5:$AJ$140,0,MATCH(AA$2,Inputs!$K$4:$AJ$4,0))))+SUMPRODUCT((Inputs!$C$5:$C$140=$B64)*ISNUMBER(INDEX(Inputs!$K$5:$AJ$140,0,MATCH(AA$2,Inputs!$K$4:$AJ$4,0))))+SUMPRODUCT((Inputs!$E$5:$E$140=$B64)*ISNUMBER(INDEX(Inputs!$K$5:$AJ$140,0,MATCH(AA$2,Inputs!$K$4:$AJ$4,0))))=0,NA(),SUMPRODUCT((Inputs!$A$5:$A$140=$B64)*Inputs!$B$5:$B$140*(((Inputs!$G$5:$G$140="moeda")+(Inputs!$G$5:$G$140="acoes"))*Inputs!$B$1+((Inputs!$G$5:$G$140&lt;&gt;"moeda")*(Inputs!$G$5:$G$140&lt;&gt;"acoes")))*INDEX(Inputs!$K$5:$AJ$140,0,MATCH(AA$2,Inputs!$K$4:$AJ$4,0)))+SUMPRODUCT((Inputs!$C$5:$C$140=$B64)*Inputs!$D$5:$D$140*(((Inputs!$G$5:$G$140="moeda")+(Inputs!$G$5:$G$140="acoes"))*Inputs!$B$1+((Inputs!$G$5:$G$140&lt;&gt;"moeda")*(Inputs!$G$5:$G$140&lt;&gt;"acoes")))*INDEX(Inputs!$K$5:$AJ$140,0,MATCH(AA$2,Inputs!$K$4:$AJ$4,0)))+SUMPRODUCT((Inputs!$E$5:$E$140=$B64)*Inputs!$F$5:$F$140*(((Inputs!$G$5:$G$140="moeda")+(Inputs!$G$5:$G$140="acoes"))*Inputs!$B$1+((Inputs!$G$5:$G$140&lt;&gt;"moeda")*(Inputs!$G$5:$G$140&lt;&gt;"acoes")))*INDEX(Inputs!$K$5:$AJ$140,0,MATCH(AA$2,Inputs!$K$4:$AJ$4,0)))))</f>
        <v>1492.32834378</v>
      </c>
      <c r="AB64" s="263">
        <f>SUM(X64:AA64)</f>
        <v>6251.71623762</v>
      </c>
      <c r="AC64" s="262">
        <f>IF(ISNA(MATCH(AC$2,Inputs!$K$4:$AJ$4,0)),NA(),IF(SUMPRODUCT((Inputs!$A$5:$A$140=$B64)*ISNUMBER(INDEX(Inputs!$K$5:$AJ$140,0,MATCH(AC$2,Inputs!$K$4:$AJ$4,0))))+SUMPRODUCT((Inputs!$C$5:$C$140=$B64)*ISNUMBER(INDEX(Inputs!$K$5:$AJ$140,0,MATCH(AC$2,Inputs!$K$4:$AJ$4,0))))+SUMPRODUCT((Inputs!$E$5:$E$140=$B64)*ISNUMBER(INDEX(Inputs!$K$5:$AJ$140,0,MATCH(AC$2,Inputs!$K$4:$AJ$4,0))))=0,NA(),SUMPRODUCT((Inputs!$A$5:$A$140=$B64)*Inputs!$B$5:$B$140*(((Inputs!$G$5:$G$140="moeda")+(Inputs!$G$5:$G$140="acoes"))*Inputs!$B$1+((Inputs!$G$5:$G$140&lt;&gt;"moeda")*(Inputs!$G$5:$G$140&lt;&gt;"acoes")))*INDEX(Inputs!$K$5:$AJ$140,0,MATCH(AC$2,Inputs!$K$4:$AJ$4,0)))+SUMPRODUCT((Inputs!$C$5:$C$140=$B64)*Inputs!$D$5:$D$140*(((Inputs!$G$5:$G$140="moeda")+(Inputs!$G$5:$G$140="acoes"))*Inputs!$B$1+((Inputs!$G$5:$G$140&lt;&gt;"moeda")*(Inputs!$G$5:$G$140&lt;&gt;"acoes")))*INDEX(Inputs!$K$5:$AJ$140,0,MATCH(AC$2,Inputs!$K$4:$AJ$4,0)))+SUMPRODUCT((Inputs!$E$5:$E$140=$B64)*Inputs!$F$5:$F$140*(((Inputs!$G$5:$G$140="moeda")+(Inputs!$G$5:$G$140="acoes"))*Inputs!$B$1+((Inputs!$G$5:$G$140&lt;&gt;"moeda")*(Inputs!$G$5:$G$140&lt;&gt;"acoes")))*INDEX(Inputs!$K$5:$AJ$140,0,MATCH(AC$2,Inputs!$K$4:$AJ$4,0)))))</f>
        <v>1339.82930028</v>
      </c>
      <c r="AD64" s="262">
        <f>IF(ISNA(MATCH(AD$2,Inputs!$K$4:$AJ$4,0)),NA(),IF(SUMPRODUCT((Inputs!$A$5:$A$140=$B64)*ISNUMBER(INDEX(Inputs!$K$5:$AJ$140,0,MATCH(AD$2,Inputs!$K$4:$AJ$4,0))))+SUMPRODUCT((Inputs!$C$5:$C$140=$B64)*ISNUMBER(INDEX(Inputs!$K$5:$AJ$140,0,MATCH(AD$2,Inputs!$K$4:$AJ$4,0))))+SUMPRODUCT((Inputs!$E$5:$E$140=$B64)*ISNUMBER(INDEX(Inputs!$K$5:$AJ$140,0,MATCH(AD$2,Inputs!$K$4:$AJ$4,0))))=0,NA(),SUMPRODUCT((Inputs!$A$5:$A$140=$B64)*Inputs!$B$5:$B$140*(((Inputs!$G$5:$G$140="moeda")+(Inputs!$G$5:$G$140="acoes"))*Inputs!$B$1+((Inputs!$G$5:$G$140&lt;&gt;"moeda")*(Inputs!$G$5:$G$140&lt;&gt;"acoes")))*INDEX(Inputs!$K$5:$AJ$140,0,MATCH(AD$2,Inputs!$K$4:$AJ$4,0)))+SUMPRODUCT((Inputs!$C$5:$C$140=$B64)*Inputs!$D$5:$D$140*(((Inputs!$G$5:$G$140="moeda")+(Inputs!$G$5:$G$140="acoes"))*Inputs!$B$1+((Inputs!$G$5:$G$140&lt;&gt;"moeda")*(Inputs!$G$5:$G$140&lt;&gt;"acoes")))*INDEX(Inputs!$K$5:$AJ$140,0,MATCH(AD$2,Inputs!$K$4:$AJ$4,0)))+SUMPRODUCT((Inputs!$E$5:$E$140=$B64)*Inputs!$F$5:$F$140*(((Inputs!$G$5:$G$140="moeda")+(Inputs!$G$5:$G$140="acoes"))*Inputs!$B$1+((Inputs!$G$5:$G$140&lt;&gt;"moeda")*(Inputs!$G$5:$G$140&lt;&gt;"acoes")))*INDEX(Inputs!$K$5:$AJ$140,0,MATCH(AD$2,Inputs!$K$4:$AJ$4,0)))))</f>
        <v>2014.95866037</v>
      </c>
      <c r="AE64" s="262" t="e">
        <f>IF(ISNA(MATCH(AE$2,Inputs!$K$4:$AJ$4,0)),NA(),IF(SUMPRODUCT((Inputs!$A$5:$A$140=$B64)*ISNUMBER(INDEX(Inputs!$K$5:$AJ$140,0,MATCH(AE$2,Inputs!$K$4:$AJ$4,0))))+SUMPRODUCT((Inputs!$C$5:$C$140=$B64)*ISNUMBER(INDEX(Inputs!$K$5:$AJ$140,0,MATCH(AE$2,Inputs!$K$4:$AJ$4,0))))+SUMPRODUCT((Inputs!$E$5:$E$140=$B64)*ISNUMBER(INDEX(Inputs!$K$5:$AJ$140,0,MATCH(AE$2,Inputs!$K$4:$AJ$4,0))))=0,NA(),SUMPRODUCT((Inputs!$A$5:$A$140=$B64)*Inputs!$B$5:$B$140*(((Inputs!$G$5:$G$140="moeda")+(Inputs!$G$5:$G$140="acoes"))*Inputs!$B$1+((Inputs!$G$5:$G$140&lt;&gt;"moeda")*(Inputs!$G$5:$G$140&lt;&gt;"acoes")))*INDEX(Inputs!$K$5:$AJ$140,0,MATCH(AE$2,Inputs!$K$4:$AJ$4,0)))+SUMPRODUCT((Inputs!$C$5:$C$140=$B64)*Inputs!$D$5:$D$140*(((Inputs!$G$5:$G$140="moeda")+(Inputs!$G$5:$G$140="acoes"))*Inputs!$B$1+((Inputs!$G$5:$G$140&lt;&gt;"moeda")*(Inputs!$G$5:$G$140&lt;&gt;"acoes")))*INDEX(Inputs!$K$5:$AJ$140,0,MATCH(AE$2,Inputs!$K$4:$AJ$4,0)))+SUMPRODUCT((Inputs!$E$5:$E$140=$B64)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4" s="262" t="e">
        <f>IF(ISNA(MATCH(AF$2,Inputs!$K$4:$AJ$4,0)),NA(),IF(SUMPRODUCT((Inputs!$A$5:$A$140=$B64)*ISNUMBER(INDEX(Inputs!$K$5:$AJ$140,0,MATCH(AF$2,Inputs!$K$4:$AJ$4,0))))+SUMPRODUCT((Inputs!$C$5:$C$140=$B64)*ISNUMBER(INDEX(Inputs!$K$5:$AJ$140,0,MATCH(AF$2,Inputs!$K$4:$AJ$4,0))))+SUMPRODUCT((Inputs!$E$5:$E$140=$B64)*ISNUMBER(INDEX(Inputs!$K$5:$AJ$140,0,MATCH(AF$2,Inputs!$K$4:$AJ$4,0))))=0,NA(),SUMPRODUCT((Inputs!$A$5:$A$140=$B64)*Inputs!$B$5:$B$140*(((Inputs!$G$5:$G$140="moeda")+(Inputs!$G$5:$G$140="acoes"))*Inputs!$B$1+((Inputs!$G$5:$G$140&lt;&gt;"moeda")*(Inputs!$G$5:$G$140&lt;&gt;"acoes")))*INDEX(Inputs!$K$5:$AJ$140,0,MATCH(AF$2,Inputs!$K$4:$AJ$4,0)))+SUMPRODUCT((Inputs!$C$5:$C$140=$B64)*Inputs!$D$5:$D$140*(((Inputs!$G$5:$G$140="moeda")+(Inputs!$G$5:$G$140="acoes"))*Inputs!$B$1+((Inputs!$G$5:$G$140&lt;&gt;"moeda")*(Inputs!$G$5:$G$140&lt;&gt;"acoes")))*INDEX(Inputs!$K$5:$AJ$140,0,MATCH(AF$2,Inputs!$K$4:$AJ$4,0)))+SUMPRODUCT((Inputs!$E$5:$E$140=$B64)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4" s="263" t="e">
        <f>SUM(AC64:AF64)</f>
        <v>#N/A</v>
      </c>
      <c r="AH64" s="262">
        <f>IF(ISNA(MATCH(AH$2,Inputs!$K$4:$AJ$4,0)),NA(),IF(SUMPRODUCT((Inputs!$A$5:$A$140=$B64)*ISNUMBER(INDEX(Inputs!$K$5:$AJ$140,0,MATCH(AH$2,Inputs!$K$4:$AJ$4,0))))+SUMPRODUCT((Inputs!$C$5:$C$140=$B64)*ISNUMBER(INDEX(Inputs!$K$5:$AJ$140,0,MATCH(AH$2,Inputs!$K$4:$AJ$4,0))))+SUMPRODUCT((Inputs!$E$5:$E$140=$B64)*ISNUMBER(INDEX(Inputs!$K$5:$AJ$140,0,MATCH(AH$2,Inputs!$K$4:$AJ$4,0))))=0,NA(),SUMPRODUCT((Inputs!$A$5:$A$140=$B64)*Inputs!$B$5:$B$140*(((Inputs!$G$5:$G$140="moeda")+(Inputs!$G$5:$G$140="acoes"))*Inputs!$B$1+((Inputs!$G$5:$G$140&lt;&gt;"moeda")*(Inputs!$G$5:$G$140&lt;&gt;"acoes")))*INDEX(Inputs!$K$5:$AJ$140,0,MATCH(AH$2,Inputs!$K$4:$AJ$4,0)))+SUMPRODUCT((Inputs!$C$5:$C$140=$B64)*Inputs!$D$5:$D$140*(((Inputs!$G$5:$G$140="moeda")+(Inputs!$G$5:$G$140="acoes"))*Inputs!$B$1+((Inputs!$G$5:$G$140&lt;&gt;"moeda")*(Inputs!$G$5:$G$140&lt;&gt;"acoes")))*INDEX(Inputs!$K$5:$AJ$140,0,MATCH(AH$2,Inputs!$K$4:$AJ$4,0)))+SUMPRODUCT((Inputs!$E$5:$E$140=$B64)*Inputs!$F$5:$F$140*(((Inputs!$G$5:$G$140="moeda")+(Inputs!$G$5:$G$140="acoes"))*Inputs!$B$1+((Inputs!$G$5:$G$140&lt;&gt;"moeda")*(Inputs!$G$5:$G$140&lt;&gt;"acoes")))*INDEX(Inputs!$K$5:$AJ$140,0,MATCH(AH$2,Inputs!$K$4:$AJ$4,0)))))</f>
        <v>250.69157666</v>
      </c>
      <c r="AI64" s="262">
        <f>IF(ISNA(MATCH(AI$2,Inputs!$K$4:$AJ$4,0)),NA(),IF(SUMPRODUCT((Inputs!$A$5:$A$140=$B64)*ISNUMBER(INDEX(Inputs!$K$5:$AJ$140,0,MATCH(AI$2,Inputs!$K$4:$AJ$4,0))))+SUMPRODUCT((Inputs!$C$5:$C$140=$B64)*ISNUMBER(INDEX(Inputs!$K$5:$AJ$140,0,MATCH(AI$2,Inputs!$K$4:$AJ$4,0))))+SUMPRODUCT((Inputs!$E$5:$E$140=$B64)*ISNUMBER(INDEX(Inputs!$K$5:$AJ$140,0,MATCH(AI$2,Inputs!$K$4:$AJ$4,0))))=0,NA(),SUMPRODUCT((Inputs!$A$5:$A$140=$B64)*Inputs!$B$5:$B$140*(((Inputs!$G$5:$G$140="moeda")+(Inputs!$G$5:$G$140="acoes"))*Inputs!$B$1+((Inputs!$G$5:$G$140&lt;&gt;"moeda")*(Inputs!$G$5:$G$140&lt;&gt;"acoes")))*INDEX(Inputs!$K$5:$AJ$140,0,MATCH(AI$2,Inputs!$K$4:$AJ$4,0)))+SUMPRODUCT((Inputs!$C$5:$C$140=$B64)*Inputs!$D$5:$D$140*(((Inputs!$G$5:$G$140="moeda")+(Inputs!$G$5:$G$140="acoes"))*Inputs!$B$1+((Inputs!$G$5:$G$140&lt;&gt;"moeda")*(Inputs!$G$5:$G$140&lt;&gt;"acoes")))*INDEX(Inputs!$K$5:$AJ$140,0,MATCH(AI$2,Inputs!$K$4:$AJ$4,0)))+SUMPRODUCT((Inputs!$E$5:$E$140=$B64)*Inputs!$F$5:$F$140*(((Inputs!$G$5:$G$140="moeda")+(Inputs!$G$5:$G$140="acoes"))*Inputs!$B$1+((Inputs!$G$5:$G$140&lt;&gt;"moeda")*(Inputs!$G$5:$G$140&lt;&gt;"acoes")))*INDEX(Inputs!$K$5:$AJ$140,0,MATCH(AI$2,Inputs!$K$4:$AJ$4,0)))))</f>
        <v>220.25201757</v>
      </c>
      <c r="AJ64" s="262">
        <f>IF(ISNA(MATCH(AJ$2,Inputs!$K$4:$AJ$4,0)),NA(),IF(SUMPRODUCT((Inputs!$A$5:$A$140=$B64)*ISNUMBER(INDEX(Inputs!$K$5:$AJ$140,0,MATCH(AJ$2,Inputs!$K$4:$AJ$4,0))))+SUMPRODUCT((Inputs!$C$5:$C$140=$B64)*ISNUMBER(INDEX(Inputs!$K$5:$AJ$140,0,MATCH(AJ$2,Inputs!$K$4:$AJ$4,0))))+SUMPRODUCT((Inputs!$E$5:$E$140=$B64)*ISNUMBER(INDEX(Inputs!$K$5:$AJ$140,0,MATCH(AJ$2,Inputs!$K$4:$AJ$4,0))))=0,NA(),SUMPRODUCT((Inputs!$A$5:$A$140=$B64)*Inputs!$B$5:$B$140*(((Inputs!$G$5:$G$140="moeda")+(Inputs!$G$5:$G$140="acoes"))*Inputs!$B$1+((Inputs!$G$5:$G$140&lt;&gt;"moeda")*(Inputs!$G$5:$G$140&lt;&gt;"acoes")))*INDEX(Inputs!$K$5:$AJ$140,0,MATCH(AJ$2,Inputs!$K$4:$AJ$4,0)))+SUMPRODUCT((Inputs!$C$5:$C$140=$B64)*Inputs!$D$5:$D$140*(((Inputs!$G$5:$G$140="moeda")+(Inputs!$G$5:$G$140="acoes"))*Inputs!$B$1+((Inputs!$G$5:$G$140&lt;&gt;"moeda")*(Inputs!$G$5:$G$140&lt;&gt;"acoes")))*INDEX(Inputs!$K$5:$AJ$140,0,MATCH(AJ$2,Inputs!$K$4:$AJ$4,0)))+SUMPRODUCT((Inputs!$E$5:$E$140=$B64)*Inputs!$F$5:$F$140*(((Inputs!$G$5:$G$140="moeda")+(Inputs!$G$5:$G$140="acoes"))*Inputs!$B$1+((Inputs!$G$5:$G$140&lt;&gt;"moeda")*(Inputs!$G$5:$G$140&lt;&gt;"acoes")))*INDEX(Inputs!$K$5:$AJ$140,0,MATCH(AJ$2,Inputs!$K$4:$AJ$4,0)))))</f>
        <v>384.04441993</v>
      </c>
      <c r="AK64" s="262">
        <f>IF(ISNA(MATCH(AK$2,Inputs!$K$4:$AJ$4,0)),NA(),IF(SUMPRODUCT((Inputs!$A$5:$A$140=$B64)*ISNUMBER(INDEX(Inputs!$K$5:$AJ$140,0,MATCH(AK$2,Inputs!$K$4:$AJ$4,0))))+SUMPRODUCT((Inputs!$C$5:$C$140=$B64)*ISNUMBER(INDEX(Inputs!$K$5:$AJ$140,0,MATCH(AK$2,Inputs!$K$4:$AJ$4,0))))+SUMPRODUCT((Inputs!$E$5:$E$140=$B64)*ISNUMBER(INDEX(Inputs!$K$5:$AJ$140,0,MATCH(AK$2,Inputs!$K$4:$AJ$4,0))))=0,NA(),SUMPRODUCT((Inputs!$A$5:$A$140=$B64)*Inputs!$B$5:$B$140*(((Inputs!$G$5:$G$140="moeda")+(Inputs!$G$5:$G$140="acoes"))*Inputs!$B$1+((Inputs!$G$5:$G$140&lt;&gt;"moeda")*(Inputs!$G$5:$G$140&lt;&gt;"acoes")))*INDEX(Inputs!$K$5:$AJ$140,0,MATCH(AK$2,Inputs!$K$4:$AJ$4,0)))+SUMPRODUCT((Inputs!$C$5:$C$140=$B64)*Inputs!$D$5:$D$140*(((Inputs!$G$5:$G$140="moeda")+(Inputs!$G$5:$G$140="acoes"))*Inputs!$B$1+((Inputs!$G$5:$G$140&lt;&gt;"moeda")*(Inputs!$G$5:$G$140&lt;&gt;"acoes")))*INDEX(Inputs!$K$5:$AJ$140,0,MATCH(AK$2,Inputs!$K$4:$AJ$4,0)))+SUMPRODUCT((Inputs!$E$5:$E$140=$B64)*Inputs!$F$5:$F$140*(((Inputs!$G$5:$G$140="moeda")+(Inputs!$G$5:$G$140="acoes"))*Inputs!$B$1+((Inputs!$G$5:$G$140&lt;&gt;"moeda")*(Inputs!$G$5:$G$140&lt;&gt;"acoes")))*INDEX(Inputs!$K$5:$AJ$140,0,MATCH(AK$2,Inputs!$K$4:$AJ$4,0)))))</f>
        <v>344.439</v>
      </c>
      <c r="AL64" s="263">
        <f>SUM(AH64:AK64)</f>
        <v>1199.42701416</v>
      </c>
    </row>
    <row r="65">
      <c r="B65" s="46" t="n">
        <v>57</v>
      </c>
      <c r="C65" s="29" t="inlineStr">
        <is>
          <t>Repasses - unidades (l.41)</t>
        </is>
      </c>
      <c r="D65" s="264">
        <f>IF(ISNA(MATCH(D$2,Inputs!$K$4:$AJ$4,0)),NA(),IF(SUMPRODUCT((Inputs!$A$5:$A$140=$B65)*ISNUMBER(INDEX(Inputs!$K$5:$AJ$140,0,MATCH(D$2,Inputs!$K$4:$AJ$4,0))))+SUMPRODUCT((Inputs!$C$5:$C$140=$B65)*ISNUMBER(INDEX(Inputs!$K$5:$AJ$140,0,MATCH(D$2,Inputs!$K$4:$AJ$4,0))))+SUMPRODUCT((Inputs!$E$5:$E$140=$B65)*ISNUMBER(INDEX(Inputs!$K$5:$AJ$140,0,MATCH(D$2,Inputs!$K$4:$AJ$4,0))))=0,NA(),SUMPRODUCT((Inputs!$A$5:$A$140=$B65)*Inputs!$B$5:$B$140*(((Inputs!$G$5:$G$140="moeda")+(Inputs!$G$5:$G$140="acoes"))*Inputs!$B$1+((Inputs!$G$5:$G$140&lt;&gt;"moeda")*(Inputs!$G$5:$G$140&lt;&gt;"acoes")))*INDEX(Inputs!$K$5:$AJ$140,0,MATCH(D$2,Inputs!$K$4:$AJ$4,0)))+SUMPRODUCT((Inputs!$C$5:$C$140=$B65)*Inputs!$D$5:$D$140*(((Inputs!$G$5:$G$140="moeda")+(Inputs!$G$5:$G$140="acoes"))*Inputs!$B$1+((Inputs!$G$5:$G$140&lt;&gt;"moeda")*(Inputs!$G$5:$G$140&lt;&gt;"acoes")))*INDEX(Inputs!$K$5:$AJ$140,0,MATCH(D$2,Inputs!$K$4:$AJ$4,0)))+SUMPRODUCT((Inputs!$E$5:$E$140=$B65)*Inputs!$F$5:$F$140*(((Inputs!$G$5:$G$140="moeda")+(Inputs!$G$5:$G$140="acoes"))*Inputs!$B$1+((Inputs!$G$5:$G$140&lt;&gt;"moeda")*(Inputs!$G$5:$G$140&lt;&gt;"acoes")))*INDEX(Inputs!$K$5:$AJ$140,0,MATCH(D$2,Inputs!$K$4:$AJ$4,0)))))</f>
        <v>1544</v>
      </c>
      <c r="E65" s="264">
        <f>IF(ISNA(MATCH(E$2,Inputs!$K$4:$AJ$4,0)),NA(),IF(SUMPRODUCT((Inputs!$A$5:$A$140=$B65)*ISNUMBER(INDEX(Inputs!$K$5:$AJ$140,0,MATCH(E$2,Inputs!$K$4:$AJ$4,0))))+SUMPRODUCT((Inputs!$C$5:$C$140=$B65)*ISNUMBER(INDEX(Inputs!$K$5:$AJ$140,0,MATCH(E$2,Inputs!$K$4:$AJ$4,0))))+SUMPRODUCT((Inputs!$E$5:$E$140=$B65)*ISNUMBER(INDEX(Inputs!$K$5:$AJ$140,0,MATCH(E$2,Inputs!$K$4:$AJ$4,0))))=0,NA(),SUMPRODUCT((Inputs!$A$5:$A$140=$B65)*Inputs!$B$5:$B$140*(((Inputs!$G$5:$G$140="moeda")+(Inputs!$G$5:$G$140="acoes"))*Inputs!$B$1+((Inputs!$G$5:$G$140&lt;&gt;"moeda")*(Inputs!$G$5:$G$140&lt;&gt;"acoes")))*INDEX(Inputs!$K$5:$AJ$140,0,MATCH(E$2,Inputs!$K$4:$AJ$4,0)))+SUMPRODUCT((Inputs!$C$5:$C$140=$B65)*Inputs!$D$5:$D$140*(((Inputs!$G$5:$G$140="moeda")+(Inputs!$G$5:$G$140="acoes"))*Inputs!$B$1+((Inputs!$G$5:$G$140&lt;&gt;"moeda")*(Inputs!$G$5:$G$140&lt;&gt;"acoes")))*INDEX(Inputs!$K$5:$AJ$140,0,MATCH(E$2,Inputs!$K$4:$AJ$4,0)))+SUMPRODUCT((Inputs!$E$5:$E$140=$B65)*Inputs!$F$5:$F$140*(((Inputs!$G$5:$G$140="moeda")+(Inputs!$G$5:$G$140="acoes"))*Inputs!$B$1+((Inputs!$G$5:$G$140&lt;&gt;"moeda")*(Inputs!$G$5:$G$140&lt;&gt;"acoes")))*INDEX(Inputs!$K$5:$AJ$140,0,MATCH(E$2,Inputs!$K$4:$AJ$4,0)))))</f>
        <v>2819</v>
      </c>
      <c r="F65" s="264">
        <f>IF(ISNA(MATCH(F$2,Inputs!$K$4:$AJ$4,0)),NA(),IF(SUMPRODUCT((Inputs!$A$5:$A$140=$B65)*ISNUMBER(INDEX(Inputs!$K$5:$AJ$140,0,MATCH(F$2,Inputs!$K$4:$AJ$4,0))))+SUMPRODUCT((Inputs!$C$5:$C$140=$B65)*ISNUMBER(INDEX(Inputs!$K$5:$AJ$140,0,MATCH(F$2,Inputs!$K$4:$AJ$4,0))))+SUMPRODUCT((Inputs!$E$5:$E$140=$B65)*ISNUMBER(INDEX(Inputs!$K$5:$AJ$140,0,MATCH(F$2,Inputs!$K$4:$AJ$4,0))))=0,NA(),SUMPRODUCT((Inputs!$A$5:$A$140=$B65)*Inputs!$B$5:$B$140*(((Inputs!$G$5:$G$140="moeda")+(Inputs!$G$5:$G$140="acoes"))*Inputs!$B$1+((Inputs!$G$5:$G$140&lt;&gt;"moeda")*(Inputs!$G$5:$G$140&lt;&gt;"acoes")))*INDEX(Inputs!$K$5:$AJ$140,0,MATCH(F$2,Inputs!$K$4:$AJ$4,0)))+SUMPRODUCT((Inputs!$C$5:$C$140=$B65)*Inputs!$D$5:$D$140*(((Inputs!$G$5:$G$140="moeda")+(Inputs!$G$5:$G$140="acoes"))*Inputs!$B$1+((Inputs!$G$5:$G$140&lt;&gt;"moeda")*(Inputs!$G$5:$G$140&lt;&gt;"acoes")))*INDEX(Inputs!$K$5:$AJ$140,0,MATCH(F$2,Inputs!$K$4:$AJ$4,0)))+SUMPRODUCT((Inputs!$E$5:$E$140=$B65)*Inputs!$F$5:$F$140*(((Inputs!$G$5:$G$140="moeda")+(Inputs!$G$5:$G$140="acoes"))*Inputs!$B$1+((Inputs!$G$5:$G$140&lt;&gt;"moeda")*(Inputs!$G$5:$G$140&lt;&gt;"acoes")))*INDEX(Inputs!$K$5:$AJ$140,0,MATCH(F$2,Inputs!$K$4:$AJ$4,0)))))</f>
        <v>3275</v>
      </c>
      <c r="G65" s="264">
        <f>IF(ISNA(MATCH(G$2,Inputs!$K$4:$AJ$4,0)),NA(),IF(SUMPRODUCT((Inputs!$A$5:$A$140=$B65)*ISNUMBER(INDEX(Inputs!$K$5:$AJ$140,0,MATCH(G$2,Inputs!$K$4:$AJ$4,0))))+SUMPRODUCT((Inputs!$C$5:$C$140=$B65)*ISNUMBER(INDEX(Inputs!$K$5:$AJ$140,0,MATCH(G$2,Inputs!$K$4:$AJ$4,0))))+SUMPRODUCT((Inputs!$E$5:$E$140=$B65)*ISNUMBER(INDEX(Inputs!$K$5:$AJ$140,0,MATCH(G$2,Inputs!$K$4:$AJ$4,0))))=0,NA(),SUMPRODUCT((Inputs!$A$5:$A$140=$B65)*Inputs!$B$5:$B$140*(((Inputs!$G$5:$G$140="moeda")+(Inputs!$G$5:$G$140="acoes"))*Inputs!$B$1+((Inputs!$G$5:$G$140&lt;&gt;"moeda")*(Inputs!$G$5:$G$140&lt;&gt;"acoes")))*INDEX(Inputs!$K$5:$AJ$140,0,MATCH(G$2,Inputs!$K$4:$AJ$4,0)))+SUMPRODUCT((Inputs!$C$5:$C$140=$B65)*Inputs!$D$5:$D$140*(((Inputs!$G$5:$G$140="moeda")+(Inputs!$G$5:$G$140="acoes"))*Inputs!$B$1+((Inputs!$G$5:$G$140&lt;&gt;"moeda")*(Inputs!$G$5:$G$140&lt;&gt;"acoes")))*INDEX(Inputs!$K$5:$AJ$140,0,MATCH(G$2,Inputs!$K$4:$AJ$4,0)))+SUMPRODUCT((Inputs!$E$5:$E$140=$B65)*Inputs!$F$5:$F$140*(((Inputs!$G$5:$G$140="moeda")+(Inputs!$G$5:$G$140="acoes"))*Inputs!$B$1+((Inputs!$G$5:$G$140&lt;&gt;"moeda")*(Inputs!$G$5:$G$140&lt;&gt;"acoes")))*INDEX(Inputs!$K$5:$AJ$140,0,MATCH(G$2,Inputs!$K$4:$AJ$4,0)))))</f>
        <v>2213</v>
      </c>
      <c r="H65" s="265">
        <f>SUM(D65:G65)</f>
        <v>9851</v>
      </c>
      <c r="I65" s="264">
        <f>IF(ISNA(MATCH(I$2,Inputs!$K$4:$AJ$4,0)),NA(),IF(SUMPRODUCT((Inputs!$A$5:$A$140=$B65)*ISNUMBER(INDEX(Inputs!$K$5:$AJ$140,0,MATCH(I$2,Inputs!$K$4:$AJ$4,0))))+SUMPRODUCT((Inputs!$C$5:$C$140=$B65)*ISNUMBER(INDEX(Inputs!$K$5:$AJ$140,0,MATCH(I$2,Inputs!$K$4:$AJ$4,0))))+SUMPRODUCT((Inputs!$E$5:$E$140=$B65)*ISNUMBER(INDEX(Inputs!$K$5:$AJ$140,0,MATCH(I$2,Inputs!$K$4:$AJ$4,0))))=0,NA(),SUMPRODUCT((Inputs!$A$5:$A$140=$B65)*Inputs!$B$5:$B$140*(((Inputs!$G$5:$G$140="moeda")+(Inputs!$G$5:$G$140="acoes"))*Inputs!$B$1+((Inputs!$G$5:$G$140&lt;&gt;"moeda")*(Inputs!$G$5:$G$140&lt;&gt;"acoes")))*INDEX(Inputs!$K$5:$AJ$140,0,MATCH(I$2,Inputs!$K$4:$AJ$4,0)))+SUMPRODUCT((Inputs!$C$5:$C$140=$B65)*Inputs!$D$5:$D$140*(((Inputs!$G$5:$G$140="moeda")+(Inputs!$G$5:$G$140="acoes"))*Inputs!$B$1+((Inputs!$G$5:$G$140&lt;&gt;"moeda")*(Inputs!$G$5:$G$140&lt;&gt;"acoes")))*INDEX(Inputs!$K$5:$AJ$140,0,MATCH(I$2,Inputs!$K$4:$AJ$4,0)))+SUMPRODUCT((Inputs!$E$5:$E$140=$B65)*Inputs!$F$5:$F$140*(((Inputs!$G$5:$G$140="moeda")+(Inputs!$G$5:$G$140="acoes"))*Inputs!$B$1+((Inputs!$G$5:$G$140&lt;&gt;"moeda")*(Inputs!$G$5:$G$140&lt;&gt;"acoes")))*INDEX(Inputs!$K$5:$AJ$140,0,MATCH(I$2,Inputs!$K$4:$AJ$4,0)))))</f>
        <v>2475</v>
      </c>
      <c r="J65" s="264">
        <f>IF(ISNA(MATCH(J$2,Inputs!$K$4:$AJ$4,0)),NA(),IF(SUMPRODUCT((Inputs!$A$5:$A$140=$B65)*ISNUMBER(INDEX(Inputs!$K$5:$AJ$140,0,MATCH(J$2,Inputs!$K$4:$AJ$4,0))))+SUMPRODUCT((Inputs!$C$5:$C$140=$B65)*ISNUMBER(INDEX(Inputs!$K$5:$AJ$140,0,MATCH(J$2,Inputs!$K$4:$AJ$4,0))))+SUMPRODUCT((Inputs!$E$5:$E$140=$B65)*ISNUMBER(INDEX(Inputs!$K$5:$AJ$140,0,MATCH(J$2,Inputs!$K$4:$AJ$4,0))))=0,NA(),SUMPRODUCT((Inputs!$A$5:$A$140=$B65)*Inputs!$B$5:$B$140*(((Inputs!$G$5:$G$140="moeda")+(Inputs!$G$5:$G$140="acoes"))*Inputs!$B$1+((Inputs!$G$5:$G$140&lt;&gt;"moeda")*(Inputs!$G$5:$G$140&lt;&gt;"acoes")))*INDEX(Inputs!$K$5:$AJ$140,0,MATCH(J$2,Inputs!$K$4:$AJ$4,0)))+SUMPRODUCT((Inputs!$C$5:$C$140=$B65)*Inputs!$D$5:$D$140*(((Inputs!$G$5:$G$140="moeda")+(Inputs!$G$5:$G$140="acoes"))*Inputs!$B$1+((Inputs!$G$5:$G$140&lt;&gt;"moeda")*(Inputs!$G$5:$G$140&lt;&gt;"acoes")))*INDEX(Inputs!$K$5:$AJ$140,0,MATCH(J$2,Inputs!$K$4:$AJ$4,0)))+SUMPRODUCT((Inputs!$E$5:$E$140=$B65)*Inputs!$F$5:$F$140*(((Inputs!$G$5:$G$140="moeda")+(Inputs!$G$5:$G$140="acoes"))*Inputs!$B$1+((Inputs!$G$5:$G$140&lt;&gt;"moeda")*(Inputs!$G$5:$G$140&lt;&gt;"acoes")))*INDEX(Inputs!$K$5:$AJ$140,0,MATCH(J$2,Inputs!$K$4:$AJ$4,0)))))</f>
        <v>3085</v>
      </c>
      <c r="K65" s="264">
        <f>IF(ISNA(MATCH(K$2,Inputs!$K$4:$AJ$4,0)),NA(),IF(SUMPRODUCT((Inputs!$A$5:$A$140=$B65)*ISNUMBER(INDEX(Inputs!$K$5:$AJ$140,0,MATCH(K$2,Inputs!$K$4:$AJ$4,0))))+SUMPRODUCT((Inputs!$C$5:$C$140=$B65)*ISNUMBER(INDEX(Inputs!$K$5:$AJ$140,0,MATCH(K$2,Inputs!$K$4:$AJ$4,0))))+SUMPRODUCT((Inputs!$E$5:$E$140=$B65)*ISNUMBER(INDEX(Inputs!$K$5:$AJ$140,0,MATCH(K$2,Inputs!$K$4:$AJ$4,0))))=0,NA(),SUMPRODUCT((Inputs!$A$5:$A$140=$B65)*Inputs!$B$5:$B$140*(((Inputs!$G$5:$G$140="moeda")+(Inputs!$G$5:$G$140="acoes"))*Inputs!$B$1+((Inputs!$G$5:$G$140&lt;&gt;"moeda")*(Inputs!$G$5:$G$140&lt;&gt;"acoes")))*INDEX(Inputs!$K$5:$AJ$140,0,MATCH(K$2,Inputs!$K$4:$AJ$4,0)))+SUMPRODUCT((Inputs!$C$5:$C$140=$B65)*Inputs!$D$5:$D$140*(((Inputs!$G$5:$G$140="moeda")+(Inputs!$G$5:$G$140="acoes"))*Inputs!$B$1+((Inputs!$G$5:$G$140&lt;&gt;"moeda")*(Inputs!$G$5:$G$140&lt;&gt;"acoes")))*INDEX(Inputs!$K$5:$AJ$140,0,MATCH(K$2,Inputs!$K$4:$AJ$4,0)))+SUMPRODUCT((Inputs!$E$5:$E$140=$B65)*Inputs!$F$5:$F$140*(((Inputs!$G$5:$G$140="moeda")+(Inputs!$G$5:$G$140="acoes"))*Inputs!$B$1+((Inputs!$G$5:$G$140&lt;&gt;"moeda")*(Inputs!$G$5:$G$140&lt;&gt;"acoes")))*INDEX(Inputs!$K$5:$AJ$140,0,MATCH(K$2,Inputs!$K$4:$AJ$4,0)))))</f>
        <v>3510</v>
      </c>
      <c r="L65" s="264">
        <f>IF(ISNA(MATCH(L$2,Inputs!$K$4:$AJ$4,0)),NA(),IF(SUMPRODUCT((Inputs!$A$5:$A$140=$B65)*ISNUMBER(INDEX(Inputs!$K$5:$AJ$140,0,MATCH(L$2,Inputs!$K$4:$AJ$4,0))))+SUMPRODUCT((Inputs!$C$5:$C$140=$B65)*ISNUMBER(INDEX(Inputs!$K$5:$AJ$140,0,MATCH(L$2,Inputs!$K$4:$AJ$4,0))))+SUMPRODUCT((Inputs!$E$5:$E$140=$B65)*ISNUMBER(INDEX(Inputs!$K$5:$AJ$140,0,MATCH(L$2,Inputs!$K$4:$AJ$4,0))))=0,NA(),SUMPRODUCT((Inputs!$A$5:$A$140=$B65)*Inputs!$B$5:$B$140*(((Inputs!$G$5:$G$140="moeda")+(Inputs!$G$5:$G$140="acoes"))*Inputs!$B$1+((Inputs!$G$5:$G$140&lt;&gt;"moeda")*(Inputs!$G$5:$G$140&lt;&gt;"acoes")))*INDEX(Inputs!$K$5:$AJ$140,0,MATCH(L$2,Inputs!$K$4:$AJ$4,0)))+SUMPRODUCT((Inputs!$C$5:$C$140=$B65)*Inputs!$D$5:$D$140*(((Inputs!$G$5:$G$140="moeda")+(Inputs!$G$5:$G$140="acoes"))*Inputs!$B$1+((Inputs!$G$5:$G$140&lt;&gt;"moeda")*(Inputs!$G$5:$G$140&lt;&gt;"acoes")))*INDEX(Inputs!$K$5:$AJ$140,0,MATCH(L$2,Inputs!$K$4:$AJ$4,0)))+SUMPRODUCT((Inputs!$E$5:$E$140=$B65)*Inputs!$F$5:$F$140*(((Inputs!$G$5:$G$140="moeda")+(Inputs!$G$5:$G$140="acoes"))*Inputs!$B$1+((Inputs!$G$5:$G$140&lt;&gt;"moeda")*(Inputs!$G$5:$G$140&lt;&gt;"acoes")))*INDEX(Inputs!$K$5:$AJ$140,0,MATCH(L$2,Inputs!$K$4:$AJ$4,0)))))</f>
        <v>2737</v>
      </c>
      <c r="M65" s="265">
        <f>SUM(I65:L65)</f>
        <v>11807</v>
      </c>
      <c r="N65" s="264">
        <f>IF(ISNA(MATCH(N$2,Inputs!$K$4:$AJ$4,0)),NA(),IF(SUMPRODUCT((Inputs!$A$5:$A$140=$B65)*ISNUMBER(INDEX(Inputs!$K$5:$AJ$140,0,MATCH(N$2,Inputs!$K$4:$AJ$4,0))))+SUMPRODUCT((Inputs!$C$5:$C$140=$B65)*ISNUMBER(INDEX(Inputs!$K$5:$AJ$140,0,MATCH(N$2,Inputs!$K$4:$AJ$4,0))))+SUMPRODUCT((Inputs!$E$5:$E$140=$B65)*ISNUMBER(INDEX(Inputs!$K$5:$AJ$140,0,MATCH(N$2,Inputs!$K$4:$AJ$4,0))))=0,NA(),SUMPRODUCT((Inputs!$A$5:$A$140=$B65)*Inputs!$B$5:$B$140*(((Inputs!$G$5:$G$140="moeda")+(Inputs!$G$5:$G$140="acoes"))*Inputs!$B$1+((Inputs!$G$5:$G$140&lt;&gt;"moeda")*(Inputs!$G$5:$G$140&lt;&gt;"acoes")))*INDEX(Inputs!$K$5:$AJ$140,0,MATCH(N$2,Inputs!$K$4:$AJ$4,0)))+SUMPRODUCT((Inputs!$C$5:$C$140=$B65)*Inputs!$D$5:$D$140*(((Inputs!$G$5:$G$140="moeda")+(Inputs!$G$5:$G$140="acoes"))*Inputs!$B$1+((Inputs!$G$5:$G$140&lt;&gt;"moeda")*(Inputs!$G$5:$G$140&lt;&gt;"acoes")))*INDEX(Inputs!$K$5:$AJ$140,0,MATCH(N$2,Inputs!$K$4:$AJ$4,0)))+SUMPRODUCT((Inputs!$E$5:$E$140=$B65)*Inputs!$F$5:$F$140*(((Inputs!$G$5:$G$140="moeda")+(Inputs!$G$5:$G$140="acoes"))*Inputs!$B$1+((Inputs!$G$5:$G$140&lt;&gt;"moeda")*(Inputs!$G$5:$G$140&lt;&gt;"acoes")))*INDEX(Inputs!$K$5:$AJ$140,0,MATCH(N$2,Inputs!$K$4:$AJ$4,0)))))</f>
        <v>2451</v>
      </c>
      <c r="O65" s="264">
        <f>IF(ISNA(MATCH(O$2,Inputs!$K$4:$AJ$4,0)),NA(),IF(SUMPRODUCT((Inputs!$A$5:$A$140=$B65)*ISNUMBER(INDEX(Inputs!$K$5:$AJ$140,0,MATCH(O$2,Inputs!$K$4:$AJ$4,0))))+SUMPRODUCT((Inputs!$C$5:$C$140=$B65)*ISNUMBER(INDEX(Inputs!$K$5:$AJ$140,0,MATCH(O$2,Inputs!$K$4:$AJ$4,0))))+SUMPRODUCT((Inputs!$E$5:$E$140=$B65)*ISNUMBER(INDEX(Inputs!$K$5:$AJ$140,0,MATCH(O$2,Inputs!$K$4:$AJ$4,0))))=0,NA(),SUMPRODUCT((Inputs!$A$5:$A$140=$B65)*Inputs!$B$5:$B$140*(((Inputs!$G$5:$G$140="moeda")+(Inputs!$G$5:$G$140="acoes"))*Inputs!$B$1+((Inputs!$G$5:$G$140&lt;&gt;"moeda")*(Inputs!$G$5:$G$140&lt;&gt;"acoes")))*INDEX(Inputs!$K$5:$AJ$140,0,MATCH(O$2,Inputs!$K$4:$AJ$4,0)))+SUMPRODUCT((Inputs!$C$5:$C$140=$B65)*Inputs!$D$5:$D$140*(((Inputs!$G$5:$G$140="moeda")+(Inputs!$G$5:$G$140="acoes"))*Inputs!$B$1+((Inputs!$G$5:$G$140&lt;&gt;"moeda")*(Inputs!$G$5:$G$140&lt;&gt;"acoes")))*INDEX(Inputs!$K$5:$AJ$140,0,MATCH(O$2,Inputs!$K$4:$AJ$4,0)))+SUMPRODUCT((Inputs!$E$5:$E$140=$B65)*Inputs!$F$5:$F$140*(((Inputs!$G$5:$G$140="moeda")+(Inputs!$G$5:$G$140="acoes"))*Inputs!$B$1+((Inputs!$G$5:$G$140&lt;&gt;"moeda")*(Inputs!$G$5:$G$140&lt;&gt;"acoes")))*INDEX(Inputs!$K$5:$AJ$140,0,MATCH(O$2,Inputs!$K$4:$AJ$4,0)))))</f>
        <v>4611</v>
      </c>
      <c r="P65" s="264">
        <f>IF(ISNA(MATCH(P$2,Inputs!$K$4:$AJ$4,0)),NA(),IF(SUMPRODUCT((Inputs!$A$5:$A$140=$B65)*ISNUMBER(INDEX(Inputs!$K$5:$AJ$140,0,MATCH(P$2,Inputs!$K$4:$AJ$4,0))))+SUMPRODUCT((Inputs!$C$5:$C$140=$B65)*ISNUMBER(INDEX(Inputs!$K$5:$AJ$140,0,MATCH(P$2,Inputs!$K$4:$AJ$4,0))))+SUMPRODUCT((Inputs!$E$5:$E$140=$B65)*ISNUMBER(INDEX(Inputs!$K$5:$AJ$140,0,MATCH(P$2,Inputs!$K$4:$AJ$4,0))))=0,NA(),SUMPRODUCT((Inputs!$A$5:$A$140=$B65)*Inputs!$B$5:$B$140*(((Inputs!$G$5:$G$140="moeda")+(Inputs!$G$5:$G$140="acoes"))*Inputs!$B$1+((Inputs!$G$5:$G$140&lt;&gt;"moeda")*(Inputs!$G$5:$G$140&lt;&gt;"acoes")))*INDEX(Inputs!$K$5:$AJ$140,0,MATCH(P$2,Inputs!$K$4:$AJ$4,0)))+SUMPRODUCT((Inputs!$C$5:$C$140=$B65)*Inputs!$D$5:$D$140*(((Inputs!$G$5:$G$140="moeda")+(Inputs!$G$5:$G$140="acoes"))*Inputs!$B$1+((Inputs!$G$5:$G$140&lt;&gt;"moeda")*(Inputs!$G$5:$G$140&lt;&gt;"acoes")))*INDEX(Inputs!$K$5:$AJ$140,0,MATCH(P$2,Inputs!$K$4:$AJ$4,0)))+SUMPRODUCT((Inputs!$E$5:$E$140=$B65)*Inputs!$F$5:$F$140*(((Inputs!$G$5:$G$140="moeda")+(Inputs!$G$5:$G$140="acoes"))*Inputs!$B$1+((Inputs!$G$5:$G$140&lt;&gt;"moeda")*(Inputs!$G$5:$G$140&lt;&gt;"acoes")))*INDEX(Inputs!$K$5:$AJ$140,0,MATCH(P$2,Inputs!$K$4:$AJ$4,0)))))</f>
        <v>3187</v>
      </c>
      <c r="Q65" s="264">
        <f>IF(ISNA(MATCH(Q$2,Inputs!$K$4:$AJ$4,0)),NA(),IF(SUMPRODUCT((Inputs!$A$5:$A$140=$B65)*ISNUMBER(INDEX(Inputs!$K$5:$AJ$140,0,MATCH(Q$2,Inputs!$K$4:$AJ$4,0))))+SUMPRODUCT((Inputs!$C$5:$C$140=$B65)*ISNUMBER(INDEX(Inputs!$K$5:$AJ$140,0,MATCH(Q$2,Inputs!$K$4:$AJ$4,0))))+SUMPRODUCT((Inputs!$E$5:$E$140=$B65)*ISNUMBER(INDEX(Inputs!$K$5:$AJ$140,0,MATCH(Q$2,Inputs!$K$4:$AJ$4,0))))=0,NA(),SUMPRODUCT((Inputs!$A$5:$A$140=$B65)*Inputs!$B$5:$B$140*(((Inputs!$G$5:$G$140="moeda")+(Inputs!$G$5:$G$140="acoes"))*Inputs!$B$1+((Inputs!$G$5:$G$140&lt;&gt;"moeda")*(Inputs!$G$5:$G$140&lt;&gt;"acoes")))*INDEX(Inputs!$K$5:$AJ$140,0,MATCH(Q$2,Inputs!$K$4:$AJ$4,0)))+SUMPRODUCT((Inputs!$C$5:$C$140=$B65)*Inputs!$D$5:$D$140*(((Inputs!$G$5:$G$140="moeda")+(Inputs!$G$5:$G$140="acoes"))*Inputs!$B$1+((Inputs!$G$5:$G$140&lt;&gt;"moeda")*(Inputs!$G$5:$G$140&lt;&gt;"acoes")))*INDEX(Inputs!$K$5:$AJ$140,0,MATCH(Q$2,Inputs!$K$4:$AJ$4,0)))+SUMPRODUCT((Inputs!$E$5:$E$140=$B65)*Inputs!$F$5:$F$140*(((Inputs!$G$5:$G$140="moeda")+(Inputs!$G$5:$G$140="acoes"))*Inputs!$B$1+((Inputs!$G$5:$G$140&lt;&gt;"moeda")*(Inputs!$G$5:$G$140&lt;&gt;"acoes")))*INDEX(Inputs!$K$5:$AJ$140,0,MATCH(Q$2,Inputs!$K$4:$AJ$4,0)))))</f>
        <v>3017</v>
      </c>
      <c r="R65" s="265">
        <f>SUM(N65:Q65)</f>
        <v>13266</v>
      </c>
      <c r="S65" s="264">
        <f>IF(ISNA(MATCH(S$2,Inputs!$K$4:$AJ$4,0)),NA(),IF(SUMPRODUCT((Inputs!$A$5:$A$140=$B65)*ISNUMBER(INDEX(Inputs!$K$5:$AJ$140,0,MATCH(S$2,Inputs!$K$4:$AJ$4,0))))+SUMPRODUCT((Inputs!$C$5:$C$140=$B65)*ISNUMBER(INDEX(Inputs!$K$5:$AJ$140,0,MATCH(S$2,Inputs!$K$4:$AJ$4,0))))+SUMPRODUCT((Inputs!$E$5:$E$140=$B65)*ISNUMBER(INDEX(Inputs!$K$5:$AJ$140,0,MATCH(S$2,Inputs!$K$4:$AJ$4,0))))=0,NA(),SUMPRODUCT((Inputs!$A$5:$A$140=$B65)*Inputs!$B$5:$B$140*(((Inputs!$G$5:$G$140="moeda")+(Inputs!$G$5:$G$140="acoes"))*Inputs!$B$1+((Inputs!$G$5:$G$140&lt;&gt;"moeda")*(Inputs!$G$5:$G$140&lt;&gt;"acoes")))*INDEX(Inputs!$K$5:$AJ$140,0,MATCH(S$2,Inputs!$K$4:$AJ$4,0)))+SUMPRODUCT((Inputs!$C$5:$C$140=$B65)*Inputs!$D$5:$D$140*(((Inputs!$G$5:$G$140="moeda")+(Inputs!$G$5:$G$140="acoes"))*Inputs!$B$1+((Inputs!$G$5:$G$140&lt;&gt;"moeda")*(Inputs!$G$5:$G$140&lt;&gt;"acoes")))*INDEX(Inputs!$K$5:$AJ$140,0,MATCH(S$2,Inputs!$K$4:$AJ$4,0)))+SUMPRODUCT((Inputs!$E$5:$E$140=$B65)*Inputs!$F$5:$F$140*(((Inputs!$G$5:$G$140="moeda")+(Inputs!$G$5:$G$140="acoes"))*Inputs!$B$1+((Inputs!$G$5:$G$140&lt;&gt;"moeda")*(Inputs!$G$5:$G$140&lt;&gt;"acoes")))*INDEX(Inputs!$K$5:$AJ$140,0,MATCH(S$2,Inputs!$K$4:$AJ$4,0)))))</f>
        <v>3157</v>
      </c>
      <c r="T65" s="264">
        <f>IF(ISNA(MATCH(T$2,Inputs!$K$4:$AJ$4,0)),NA(),IF(SUMPRODUCT((Inputs!$A$5:$A$140=$B65)*ISNUMBER(INDEX(Inputs!$K$5:$AJ$140,0,MATCH(T$2,Inputs!$K$4:$AJ$4,0))))+SUMPRODUCT((Inputs!$C$5:$C$140=$B65)*ISNUMBER(INDEX(Inputs!$K$5:$AJ$140,0,MATCH(T$2,Inputs!$K$4:$AJ$4,0))))+SUMPRODUCT((Inputs!$E$5:$E$140=$B65)*ISNUMBER(INDEX(Inputs!$K$5:$AJ$140,0,MATCH(T$2,Inputs!$K$4:$AJ$4,0))))=0,NA(),SUMPRODUCT((Inputs!$A$5:$A$140=$B65)*Inputs!$B$5:$B$140*(((Inputs!$G$5:$G$140="moeda")+(Inputs!$G$5:$G$140="acoes"))*Inputs!$B$1+((Inputs!$G$5:$G$140&lt;&gt;"moeda")*(Inputs!$G$5:$G$140&lt;&gt;"acoes")))*INDEX(Inputs!$K$5:$AJ$140,0,MATCH(T$2,Inputs!$K$4:$AJ$4,0)))+SUMPRODUCT((Inputs!$C$5:$C$140=$B65)*Inputs!$D$5:$D$140*(((Inputs!$G$5:$G$140="moeda")+(Inputs!$G$5:$G$140="acoes"))*Inputs!$B$1+((Inputs!$G$5:$G$140&lt;&gt;"moeda")*(Inputs!$G$5:$G$140&lt;&gt;"acoes")))*INDEX(Inputs!$K$5:$AJ$140,0,MATCH(T$2,Inputs!$K$4:$AJ$4,0)))+SUMPRODUCT((Inputs!$E$5:$E$140=$B65)*Inputs!$F$5:$F$140*(((Inputs!$G$5:$G$140="moeda")+(Inputs!$G$5:$G$140="acoes"))*Inputs!$B$1+((Inputs!$G$5:$G$140&lt;&gt;"moeda")*(Inputs!$G$5:$G$140&lt;&gt;"acoes")))*INDEX(Inputs!$K$5:$AJ$140,0,MATCH(T$2,Inputs!$K$4:$AJ$4,0)))))</f>
        <v>5046</v>
      </c>
      <c r="U65" s="264">
        <f>IF(ISNA(MATCH(U$2,Inputs!$K$4:$AJ$4,0)),NA(),IF(SUMPRODUCT((Inputs!$A$5:$A$140=$B65)*ISNUMBER(INDEX(Inputs!$K$5:$AJ$140,0,MATCH(U$2,Inputs!$K$4:$AJ$4,0))))+SUMPRODUCT((Inputs!$C$5:$C$140=$B65)*ISNUMBER(INDEX(Inputs!$K$5:$AJ$140,0,MATCH(U$2,Inputs!$K$4:$AJ$4,0))))+SUMPRODUCT((Inputs!$E$5:$E$140=$B65)*ISNUMBER(INDEX(Inputs!$K$5:$AJ$140,0,MATCH(U$2,Inputs!$K$4:$AJ$4,0))))=0,NA(),SUMPRODUCT((Inputs!$A$5:$A$140=$B65)*Inputs!$B$5:$B$140*(((Inputs!$G$5:$G$140="moeda")+(Inputs!$G$5:$G$140="acoes"))*Inputs!$B$1+((Inputs!$G$5:$G$140&lt;&gt;"moeda")*(Inputs!$G$5:$G$140&lt;&gt;"acoes")))*INDEX(Inputs!$K$5:$AJ$140,0,MATCH(U$2,Inputs!$K$4:$AJ$4,0)))+SUMPRODUCT((Inputs!$C$5:$C$140=$B65)*Inputs!$D$5:$D$140*(((Inputs!$G$5:$G$140="moeda")+(Inputs!$G$5:$G$140="acoes"))*Inputs!$B$1+((Inputs!$G$5:$G$140&lt;&gt;"moeda")*(Inputs!$G$5:$G$140&lt;&gt;"acoes")))*INDEX(Inputs!$K$5:$AJ$140,0,MATCH(U$2,Inputs!$K$4:$AJ$4,0)))+SUMPRODUCT((Inputs!$E$5:$E$140=$B65)*Inputs!$F$5:$F$140*(((Inputs!$G$5:$G$140="moeda")+(Inputs!$G$5:$G$140="acoes"))*Inputs!$B$1+((Inputs!$G$5:$G$140&lt;&gt;"moeda")*(Inputs!$G$5:$G$140&lt;&gt;"acoes")))*INDEX(Inputs!$K$5:$AJ$140,0,MATCH(U$2,Inputs!$K$4:$AJ$4,0)))))</f>
        <v>4756</v>
      </c>
      <c r="V65" s="264">
        <f>IF(ISNA(MATCH(V$2,Inputs!$K$4:$AJ$4,0)),NA(),IF(SUMPRODUCT((Inputs!$A$5:$A$140=$B65)*ISNUMBER(INDEX(Inputs!$K$5:$AJ$140,0,MATCH(V$2,Inputs!$K$4:$AJ$4,0))))+SUMPRODUCT((Inputs!$C$5:$C$140=$B65)*ISNUMBER(INDEX(Inputs!$K$5:$AJ$140,0,MATCH(V$2,Inputs!$K$4:$AJ$4,0))))+SUMPRODUCT((Inputs!$E$5:$E$140=$B65)*ISNUMBER(INDEX(Inputs!$K$5:$AJ$140,0,MATCH(V$2,Inputs!$K$4:$AJ$4,0))))=0,NA(),SUMPRODUCT((Inputs!$A$5:$A$140=$B65)*Inputs!$B$5:$B$140*(((Inputs!$G$5:$G$140="moeda")+(Inputs!$G$5:$G$140="acoes"))*Inputs!$B$1+((Inputs!$G$5:$G$140&lt;&gt;"moeda")*(Inputs!$G$5:$G$140&lt;&gt;"acoes")))*INDEX(Inputs!$K$5:$AJ$140,0,MATCH(V$2,Inputs!$K$4:$AJ$4,0)))+SUMPRODUCT((Inputs!$C$5:$C$140=$B65)*Inputs!$D$5:$D$140*(((Inputs!$G$5:$G$140="moeda")+(Inputs!$G$5:$G$140="acoes"))*Inputs!$B$1+((Inputs!$G$5:$G$140&lt;&gt;"moeda")*(Inputs!$G$5:$G$140&lt;&gt;"acoes")))*INDEX(Inputs!$K$5:$AJ$140,0,MATCH(V$2,Inputs!$K$4:$AJ$4,0)))+SUMPRODUCT((Inputs!$E$5:$E$140=$B65)*Inputs!$F$5:$F$140*(((Inputs!$G$5:$G$140="moeda")+(Inputs!$G$5:$G$140="acoes"))*Inputs!$B$1+((Inputs!$G$5:$G$140&lt;&gt;"moeda")*(Inputs!$G$5:$G$140&lt;&gt;"acoes")))*INDEX(Inputs!$K$5:$AJ$140,0,MATCH(V$2,Inputs!$K$4:$AJ$4,0)))))</f>
        <v>3156</v>
      </c>
      <c r="W65" s="265">
        <f>SUM(S65:V65)</f>
        <v>16115</v>
      </c>
      <c r="X65" s="264">
        <f>IF(ISNA(MATCH(X$2,Inputs!$K$4:$AJ$4,0)),NA(),IF(SUMPRODUCT((Inputs!$A$5:$A$140=$B65)*ISNUMBER(INDEX(Inputs!$K$5:$AJ$140,0,MATCH(X$2,Inputs!$K$4:$AJ$4,0))))+SUMPRODUCT((Inputs!$C$5:$C$140=$B65)*ISNUMBER(INDEX(Inputs!$K$5:$AJ$140,0,MATCH(X$2,Inputs!$K$4:$AJ$4,0))))+SUMPRODUCT((Inputs!$E$5:$E$140=$B65)*ISNUMBER(INDEX(Inputs!$K$5:$AJ$140,0,MATCH(X$2,Inputs!$K$4:$AJ$4,0))))=0,NA(),SUMPRODUCT((Inputs!$A$5:$A$140=$B65)*Inputs!$B$5:$B$140*(((Inputs!$G$5:$G$140="moeda")+(Inputs!$G$5:$G$140="acoes"))*Inputs!$B$1+((Inputs!$G$5:$G$140&lt;&gt;"moeda")*(Inputs!$G$5:$G$140&lt;&gt;"acoes")))*INDEX(Inputs!$K$5:$AJ$140,0,MATCH(X$2,Inputs!$K$4:$AJ$4,0)))+SUMPRODUCT((Inputs!$C$5:$C$140=$B65)*Inputs!$D$5:$D$140*(((Inputs!$G$5:$G$140="moeda")+(Inputs!$G$5:$G$140="acoes"))*Inputs!$B$1+((Inputs!$G$5:$G$140&lt;&gt;"moeda")*(Inputs!$G$5:$G$140&lt;&gt;"acoes")))*INDEX(Inputs!$K$5:$AJ$140,0,MATCH(X$2,Inputs!$K$4:$AJ$4,0)))+SUMPRODUCT((Inputs!$E$5:$E$140=$B65)*Inputs!$F$5:$F$140*(((Inputs!$G$5:$G$140="moeda")+(Inputs!$G$5:$G$140="acoes"))*Inputs!$B$1+((Inputs!$G$5:$G$140&lt;&gt;"moeda")*(Inputs!$G$5:$G$140&lt;&gt;"acoes")))*INDEX(Inputs!$K$5:$AJ$140,0,MATCH(X$2,Inputs!$K$4:$AJ$4,0)))))</f>
        <v>3783</v>
      </c>
      <c r="Y65" s="264">
        <f>IF(ISNA(MATCH(Y$2,Inputs!$K$4:$AJ$4,0)),NA(),IF(SUMPRODUCT((Inputs!$A$5:$A$140=$B65)*ISNUMBER(INDEX(Inputs!$K$5:$AJ$140,0,MATCH(Y$2,Inputs!$K$4:$AJ$4,0))))+SUMPRODUCT((Inputs!$C$5:$C$140=$B65)*ISNUMBER(INDEX(Inputs!$K$5:$AJ$140,0,MATCH(Y$2,Inputs!$K$4:$AJ$4,0))))+SUMPRODUCT((Inputs!$E$5:$E$140=$B65)*ISNUMBER(INDEX(Inputs!$K$5:$AJ$140,0,MATCH(Y$2,Inputs!$K$4:$AJ$4,0))))=0,NA(),SUMPRODUCT((Inputs!$A$5:$A$140=$B65)*Inputs!$B$5:$B$140*(((Inputs!$G$5:$G$140="moeda")+(Inputs!$G$5:$G$140="acoes"))*Inputs!$B$1+((Inputs!$G$5:$G$140&lt;&gt;"moeda")*(Inputs!$G$5:$G$140&lt;&gt;"acoes")))*INDEX(Inputs!$K$5:$AJ$140,0,MATCH(Y$2,Inputs!$K$4:$AJ$4,0)))+SUMPRODUCT((Inputs!$C$5:$C$140=$B65)*Inputs!$D$5:$D$140*(((Inputs!$G$5:$G$140="moeda")+(Inputs!$G$5:$G$140="acoes"))*Inputs!$B$1+((Inputs!$G$5:$G$140&lt;&gt;"moeda")*(Inputs!$G$5:$G$140&lt;&gt;"acoes")))*INDEX(Inputs!$K$5:$AJ$140,0,MATCH(Y$2,Inputs!$K$4:$AJ$4,0)))+SUMPRODUCT((Inputs!$E$5:$E$140=$B65)*Inputs!$F$5:$F$140*(((Inputs!$G$5:$G$140="moeda")+(Inputs!$G$5:$G$140="acoes"))*Inputs!$B$1+((Inputs!$G$5:$G$140&lt;&gt;"moeda")*(Inputs!$G$5:$G$140&lt;&gt;"acoes")))*INDEX(Inputs!$K$5:$AJ$140,0,MATCH(Y$2,Inputs!$K$4:$AJ$4,0)))))</f>
        <v>7155</v>
      </c>
      <c r="Z65" s="264">
        <f>IF(ISNA(MATCH(Z$2,Inputs!$K$4:$AJ$4,0)),NA(),IF(SUMPRODUCT((Inputs!$A$5:$A$140=$B65)*ISNUMBER(INDEX(Inputs!$K$5:$AJ$140,0,MATCH(Z$2,Inputs!$K$4:$AJ$4,0))))+SUMPRODUCT((Inputs!$C$5:$C$140=$B65)*ISNUMBER(INDEX(Inputs!$K$5:$AJ$140,0,MATCH(Z$2,Inputs!$K$4:$AJ$4,0))))+SUMPRODUCT((Inputs!$E$5:$E$140=$B65)*ISNUMBER(INDEX(Inputs!$K$5:$AJ$140,0,MATCH(Z$2,Inputs!$K$4:$AJ$4,0))))=0,NA(),SUMPRODUCT((Inputs!$A$5:$A$140=$B65)*Inputs!$B$5:$B$140*(((Inputs!$G$5:$G$140="moeda")+(Inputs!$G$5:$G$140="acoes"))*Inputs!$B$1+((Inputs!$G$5:$G$140&lt;&gt;"moeda")*(Inputs!$G$5:$G$140&lt;&gt;"acoes")))*INDEX(Inputs!$K$5:$AJ$140,0,MATCH(Z$2,Inputs!$K$4:$AJ$4,0)))+SUMPRODUCT((Inputs!$C$5:$C$140=$B65)*Inputs!$D$5:$D$140*(((Inputs!$G$5:$G$140="moeda")+(Inputs!$G$5:$G$140="acoes"))*Inputs!$B$1+((Inputs!$G$5:$G$140&lt;&gt;"moeda")*(Inputs!$G$5:$G$140&lt;&gt;"acoes")))*INDEX(Inputs!$K$5:$AJ$140,0,MATCH(Z$2,Inputs!$K$4:$AJ$4,0)))+SUMPRODUCT((Inputs!$E$5:$E$140=$B65)*Inputs!$F$5:$F$140*(((Inputs!$G$5:$G$140="moeda")+(Inputs!$G$5:$G$140="acoes"))*Inputs!$B$1+((Inputs!$G$5:$G$140&lt;&gt;"moeda")*(Inputs!$G$5:$G$140&lt;&gt;"acoes")))*INDEX(Inputs!$K$5:$AJ$140,0,MATCH(Z$2,Inputs!$K$4:$AJ$4,0)))))</f>
        <v>5101</v>
      </c>
      <c r="AA65" s="264">
        <f>IF(ISNA(MATCH(AA$2,Inputs!$K$4:$AJ$4,0)),NA(),IF(SUMPRODUCT((Inputs!$A$5:$A$140=$B65)*ISNUMBER(INDEX(Inputs!$K$5:$AJ$140,0,MATCH(AA$2,Inputs!$K$4:$AJ$4,0))))+SUMPRODUCT((Inputs!$C$5:$C$140=$B65)*ISNUMBER(INDEX(Inputs!$K$5:$AJ$140,0,MATCH(AA$2,Inputs!$K$4:$AJ$4,0))))+SUMPRODUCT((Inputs!$E$5:$E$140=$B65)*ISNUMBER(INDEX(Inputs!$K$5:$AJ$140,0,MATCH(AA$2,Inputs!$K$4:$AJ$4,0))))=0,NA(),SUMPRODUCT((Inputs!$A$5:$A$140=$B65)*Inputs!$B$5:$B$140*(((Inputs!$G$5:$G$140="moeda")+(Inputs!$G$5:$G$140="acoes"))*Inputs!$B$1+((Inputs!$G$5:$G$140&lt;&gt;"moeda")*(Inputs!$G$5:$G$140&lt;&gt;"acoes")))*INDEX(Inputs!$K$5:$AJ$140,0,MATCH(AA$2,Inputs!$K$4:$AJ$4,0)))+SUMPRODUCT((Inputs!$C$5:$C$140=$B65)*Inputs!$D$5:$D$140*(((Inputs!$G$5:$G$140="moeda")+(Inputs!$G$5:$G$140="acoes"))*Inputs!$B$1+((Inputs!$G$5:$G$140&lt;&gt;"moeda")*(Inputs!$G$5:$G$140&lt;&gt;"acoes")))*INDEX(Inputs!$K$5:$AJ$140,0,MATCH(AA$2,Inputs!$K$4:$AJ$4,0)))+SUMPRODUCT((Inputs!$E$5:$E$140=$B65)*Inputs!$F$5:$F$140*(((Inputs!$G$5:$G$140="moeda")+(Inputs!$G$5:$G$140="acoes"))*Inputs!$B$1+((Inputs!$G$5:$G$140&lt;&gt;"moeda")*(Inputs!$G$5:$G$140&lt;&gt;"acoes")))*INDEX(Inputs!$K$5:$AJ$140,0,MATCH(AA$2,Inputs!$K$4:$AJ$4,0)))))</f>
        <v>5001</v>
      </c>
      <c r="AB65" s="265">
        <f>SUM(X65:AA65)</f>
        <v>21040</v>
      </c>
      <c r="AC65" s="264">
        <f>IF(ISNA(MATCH(AC$2,Inputs!$K$4:$AJ$4,0)),NA(),IF(SUMPRODUCT((Inputs!$A$5:$A$140=$B65)*ISNUMBER(INDEX(Inputs!$K$5:$AJ$140,0,MATCH(AC$2,Inputs!$K$4:$AJ$4,0))))+SUMPRODUCT((Inputs!$C$5:$C$140=$B65)*ISNUMBER(INDEX(Inputs!$K$5:$AJ$140,0,MATCH(AC$2,Inputs!$K$4:$AJ$4,0))))+SUMPRODUCT((Inputs!$E$5:$E$140=$B65)*ISNUMBER(INDEX(Inputs!$K$5:$AJ$140,0,MATCH(AC$2,Inputs!$K$4:$AJ$4,0))))=0,NA(),SUMPRODUCT((Inputs!$A$5:$A$140=$B65)*Inputs!$B$5:$B$140*(((Inputs!$G$5:$G$140="moeda")+(Inputs!$G$5:$G$140="acoes"))*Inputs!$B$1+((Inputs!$G$5:$G$140&lt;&gt;"moeda")*(Inputs!$G$5:$G$140&lt;&gt;"acoes")))*INDEX(Inputs!$K$5:$AJ$140,0,MATCH(AC$2,Inputs!$K$4:$AJ$4,0)))+SUMPRODUCT((Inputs!$C$5:$C$140=$B65)*Inputs!$D$5:$D$140*(((Inputs!$G$5:$G$140="moeda")+(Inputs!$G$5:$G$140="acoes"))*Inputs!$B$1+((Inputs!$G$5:$G$140&lt;&gt;"moeda")*(Inputs!$G$5:$G$140&lt;&gt;"acoes")))*INDEX(Inputs!$K$5:$AJ$140,0,MATCH(AC$2,Inputs!$K$4:$AJ$4,0)))+SUMPRODUCT((Inputs!$E$5:$E$140=$B65)*Inputs!$F$5:$F$140*(((Inputs!$G$5:$G$140="moeda")+(Inputs!$G$5:$G$140="acoes"))*Inputs!$B$1+((Inputs!$G$5:$G$140&lt;&gt;"moeda")*(Inputs!$G$5:$G$140&lt;&gt;"acoes")))*INDEX(Inputs!$K$5:$AJ$140,0,MATCH(AC$2,Inputs!$K$4:$AJ$4,0)))))</f>
        <v>4364</v>
      </c>
      <c r="AD65" s="264">
        <f>IF(ISNA(MATCH(AD$2,Inputs!$K$4:$AJ$4,0)),NA(),IF(SUMPRODUCT((Inputs!$A$5:$A$140=$B65)*ISNUMBER(INDEX(Inputs!$K$5:$AJ$140,0,MATCH(AD$2,Inputs!$K$4:$AJ$4,0))))+SUMPRODUCT((Inputs!$C$5:$C$140=$B65)*ISNUMBER(INDEX(Inputs!$K$5:$AJ$140,0,MATCH(AD$2,Inputs!$K$4:$AJ$4,0))))+SUMPRODUCT((Inputs!$E$5:$E$140=$B65)*ISNUMBER(INDEX(Inputs!$K$5:$AJ$140,0,MATCH(AD$2,Inputs!$K$4:$AJ$4,0))))=0,NA(),SUMPRODUCT((Inputs!$A$5:$A$140=$B65)*Inputs!$B$5:$B$140*(((Inputs!$G$5:$G$140="moeda")+(Inputs!$G$5:$G$140="acoes"))*Inputs!$B$1+((Inputs!$G$5:$G$140&lt;&gt;"moeda")*(Inputs!$G$5:$G$140&lt;&gt;"acoes")))*INDEX(Inputs!$K$5:$AJ$140,0,MATCH(AD$2,Inputs!$K$4:$AJ$4,0)))+SUMPRODUCT((Inputs!$C$5:$C$140=$B65)*Inputs!$D$5:$D$140*(((Inputs!$G$5:$G$140="moeda")+(Inputs!$G$5:$G$140="acoes"))*Inputs!$B$1+((Inputs!$G$5:$G$140&lt;&gt;"moeda")*(Inputs!$G$5:$G$140&lt;&gt;"acoes")))*INDEX(Inputs!$K$5:$AJ$140,0,MATCH(AD$2,Inputs!$K$4:$AJ$4,0)))+SUMPRODUCT((Inputs!$E$5:$E$140=$B65)*Inputs!$F$5:$F$140*(((Inputs!$G$5:$G$140="moeda")+(Inputs!$G$5:$G$140="acoes"))*Inputs!$B$1+((Inputs!$G$5:$G$140&lt;&gt;"moeda")*(Inputs!$G$5:$G$140&lt;&gt;"acoes")))*INDEX(Inputs!$K$5:$AJ$140,0,MATCH(AD$2,Inputs!$K$4:$AJ$4,0)))))</f>
        <v>6296</v>
      </c>
      <c r="AE65" s="264" t="e">
        <f>IF(ISNA(MATCH(AE$2,Inputs!$K$4:$AJ$4,0)),NA(),IF(SUMPRODUCT((Inputs!$A$5:$A$140=$B65)*ISNUMBER(INDEX(Inputs!$K$5:$AJ$140,0,MATCH(AE$2,Inputs!$K$4:$AJ$4,0))))+SUMPRODUCT((Inputs!$C$5:$C$140=$B65)*ISNUMBER(INDEX(Inputs!$K$5:$AJ$140,0,MATCH(AE$2,Inputs!$K$4:$AJ$4,0))))+SUMPRODUCT((Inputs!$E$5:$E$140=$B65)*ISNUMBER(INDEX(Inputs!$K$5:$AJ$140,0,MATCH(AE$2,Inputs!$K$4:$AJ$4,0))))=0,NA(),SUMPRODUCT((Inputs!$A$5:$A$140=$B65)*Inputs!$B$5:$B$140*(((Inputs!$G$5:$G$140="moeda")+(Inputs!$G$5:$G$140="acoes"))*Inputs!$B$1+((Inputs!$G$5:$G$140&lt;&gt;"moeda")*(Inputs!$G$5:$G$140&lt;&gt;"acoes")))*INDEX(Inputs!$K$5:$AJ$140,0,MATCH(AE$2,Inputs!$K$4:$AJ$4,0)))+SUMPRODUCT((Inputs!$C$5:$C$140=$B65)*Inputs!$D$5:$D$140*(((Inputs!$G$5:$G$140="moeda")+(Inputs!$G$5:$G$140="acoes"))*Inputs!$B$1+((Inputs!$G$5:$G$140&lt;&gt;"moeda")*(Inputs!$G$5:$G$140&lt;&gt;"acoes")))*INDEX(Inputs!$K$5:$AJ$140,0,MATCH(AE$2,Inputs!$K$4:$AJ$4,0)))+SUMPRODUCT((Inputs!$E$5:$E$140=$B65)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5" s="264" t="e">
        <f>IF(ISNA(MATCH(AF$2,Inputs!$K$4:$AJ$4,0)),NA(),IF(SUMPRODUCT((Inputs!$A$5:$A$140=$B65)*ISNUMBER(INDEX(Inputs!$K$5:$AJ$140,0,MATCH(AF$2,Inputs!$K$4:$AJ$4,0))))+SUMPRODUCT((Inputs!$C$5:$C$140=$B65)*ISNUMBER(INDEX(Inputs!$K$5:$AJ$140,0,MATCH(AF$2,Inputs!$K$4:$AJ$4,0))))+SUMPRODUCT((Inputs!$E$5:$E$140=$B65)*ISNUMBER(INDEX(Inputs!$K$5:$AJ$140,0,MATCH(AF$2,Inputs!$K$4:$AJ$4,0))))=0,NA(),SUMPRODUCT((Inputs!$A$5:$A$140=$B65)*Inputs!$B$5:$B$140*(((Inputs!$G$5:$G$140="moeda")+(Inputs!$G$5:$G$140="acoes"))*Inputs!$B$1+((Inputs!$G$5:$G$140&lt;&gt;"moeda")*(Inputs!$G$5:$G$140&lt;&gt;"acoes")))*INDEX(Inputs!$K$5:$AJ$140,0,MATCH(AF$2,Inputs!$K$4:$AJ$4,0)))+SUMPRODUCT((Inputs!$C$5:$C$140=$B65)*Inputs!$D$5:$D$140*(((Inputs!$G$5:$G$140="moeda")+(Inputs!$G$5:$G$140="acoes"))*Inputs!$B$1+((Inputs!$G$5:$G$140&lt;&gt;"moeda")*(Inputs!$G$5:$G$140&lt;&gt;"acoes")))*INDEX(Inputs!$K$5:$AJ$140,0,MATCH(AF$2,Inputs!$K$4:$AJ$4,0)))+SUMPRODUCT((Inputs!$E$5:$E$140=$B65)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5" s="265" t="e">
        <f>SUM(AC65:AF65)</f>
        <v>#N/A</v>
      </c>
      <c r="AH65" s="264">
        <f>IF(ISNA(MATCH(AH$2,Inputs!$K$4:$AJ$4,0)),NA(),IF(SUMPRODUCT((Inputs!$A$5:$A$140=$B65)*ISNUMBER(INDEX(Inputs!$K$5:$AJ$140,0,MATCH(AH$2,Inputs!$K$4:$AJ$4,0))))+SUMPRODUCT((Inputs!$C$5:$C$140=$B65)*ISNUMBER(INDEX(Inputs!$K$5:$AJ$140,0,MATCH(AH$2,Inputs!$K$4:$AJ$4,0))))+SUMPRODUCT((Inputs!$E$5:$E$140=$B65)*ISNUMBER(INDEX(Inputs!$K$5:$AJ$140,0,MATCH(AH$2,Inputs!$K$4:$AJ$4,0))))=0,NA(),SUMPRODUCT((Inputs!$A$5:$A$140=$B65)*Inputs!$B$5:$B$140*(((Inputs!$G$5:$G$140="moeda")+(Inputs!$G$5:$G$140="acoes"))*Inputs!$B$1+((Inputs!$G$5:$G$140&lt;&gt;"moeda")*(Inputs!$G$5:$G$140&lt;&gt;"acoes")))*INDEX(Inputs!$K$5:$AJ$140,0,MATCH(AH$2,Inputs!$K$4:$AJ$4,0)))+SUMPRODUCT((Inputs!$C$5:$C$140=$B65)*Inputs!$D$5:$D$140*(((Inputs!$G$5:$G$140="moeda")+(Inputs!$G$5:$G$140="acoes"))*Inputs!$B$1+((Inputs!$G$5:$G$140&lt;&gt;"moeda")*(Inputs!$G$5:$G$140&lt;&gt;"acoes")))*INDEX(Inputs!$K$5:$AJ$140,0,MATCH(AH$2,Inputs!$K$4:$AJ$4,0)))+SUMPRODUCT((Inputs!$E$5:$E$140=$B65)*Inputs!$F$5:$F$140*(((Inputs!$G$5:$G$140="moeda")+(Inputs!$G$5:$G$140="acoes"))*Inputs!$B$1+((Inputs!$G$5:$G$140&lt;&gt;"moeda")*(Inputs!$G$5:$G$140&lt;&gt;"acoes")))*INDEX(Inputs!$K$5:$AJ$140,0,MATCH(AH$2,Inputs!$K$4:$AJ$4,0)))))</f>
        <v>1306</v>
      </c>
      <c r="AI65" s="264">
        <f>IF(ISNA(MATCH(AI$2,Inputs!$K$4:$AJ$4,0)),NA(),IF(SUMPRODUCT((Inputs!$A$5:$A$140=$B65)*ISNUMBER(INDEX(Inputs!$K$5:$AJ$140,0,MATCH(AI$2,Inputs!$K$4:$AJ$4,0))))+SUMPRODUCT((Inputs!$C$5:$C$140=$B65)*ISNUMBER(INDEX(Inputs!$K$5:$AJ$140,0,MATCH(AI$2,Inputs!$K$4:$AJ$4,0))))+SUMPRODUCT((Inputs!$E$5:$E$140=$B65)*ISNUMBER(INDEX(Inputs!$K$5:$AJ$140,0,MATCH(AI$2,Inputs!$K$4:$AJ$4,0))))=0,NA(),SUMPRODUCT((Inputs!$A$5:$A$140=$B65)*Inputs!$B$5:$B$140*(((Inputs!$G$5:$G$140="moeda")+(Inputs!$G$5:$G$140="acoes"))*Inputs!$B$1+((Inputs!$G$5:$G$140&lt;&gt;"moeda")*(Inputs!$G$5:$G$140&lt;&gt;"acoes")))*INDEX(Inputs!$K$5:$AJ$140,0,MATCH(AI$2,Inputs!$K$4:$AJ$4,0)))+SUMPRODUCT((Inputs!$C$5:$C$140=$B65)*Inputs!$D$5:$D$140*(((Inputs!$G$5:$G$140="moeda")+(Inputs!$G$5:$G$140="acoes"))*Inputs!$B$1+((Inputs!$G$5:$G$140&lt;&gt;"moeda")*(Inputs!$G$5:$G$140&lt;&gt;"acoes")))*INDEX(Inputs!$K$5:$AJ$140,0,MATCH(AI$2,Inputs!$K$4:$AJ$4,0)))+SUMPRODUCT((Inputs!$E$5:$E$140=$B65)*Inputs!$F$5:$F$140*(((Inputs!$G$5:$G$140="moeda")+(Inputs!$G$5:$G$140="acoes"))*Inputs!$B$1+((Inputs!$G$5:$G$140&lt;&gt;"moeda")*(Inputs!$G$5:$G$140&lt;&gt;"acoes")))*INDEX(Inputs!$K$5:$AJ$140,0,MATCH(AI$2,Inputs!$K$4:$AJ$4,0)))))</f>
        <v>1210</v>
      </c>
      <c r="AJ65" s="264">
        <f>IF(ISNA(MATCH(AJ$2,Inputs!$K$4:$AJ$4,0)),NA(),IF(SUMPRODUCT((Inputs!$A$5:$A$140=$B65)*ISNUMBER(INDEX(Inputs!$K$5:$AJ$140,0,MATCH(AJ$2,Inputs!$K$4:$AJ$4,0))))+SUMPRODUCT((Inputs!$C$5:$C$140=$B65)*ISNUMBER(INDEX(Inputs!$K$5:$AJ$140,0,MATCH(AJ$2,Inputs!$K$4:$AJ$4,0))))+SUMPRODUCT((Inputs!$E$5:$E$140=$B65)*ISNUMBER(INDEX(Inputs!$K$5:$AJ$140,0,MATCH(AJ$2,Inputs!$K$4:$AJ$4,0))))=0,NA(),SUMPRODUCT((Inputs!$A$5:$A$140=$B65)*Inputs!$B$5:$B$140*(((Inputs!$G$5:$G$140="moeda")+(Inputs!$G$5:$G$140="acoes"))*Inputs!$B$1+((Inputs!$G$5:$G$140&lt;&gt;"moeda")*(Inputs!$G$5:$G$140&lt;&gt;"acoes")))*INDEX(Inputs!$K$5:$AJ$140,0,MATCH(AJ$2,Inputs!$K$4:$AJ$4,0)))+SUMPRODUCT((Inputs!$C$5:$C$140=$B65)*Inputs!$D$5:$D$140*(((Inputs!$G$5:$G$140="moeda")+(Inputs!$G$5:$G$140="acoes"))*Inputs!$B$1+((Inputs!$G$5:$G$140&lt;&gt;"moeda")*(Inputs!$G$5:$G$140&lt;&gt;"acoes")))*INDEX(Inputs!$K$5:$AJ$140,0,MATCH(AJ$2,Inputs!$K$4:$AJ$4,0)))+SUMPRODUCT((Inputs!$E$5:$E$140=$B65)*Inputs!$F$5:$F$140*(((Inputs!$G$5:$G$140="moeda")+(Inputs!$G$5:$G$140="acoes"))*Inputs!$B$1+((Inputs!$G$5:$G$140&lt;&gt;"moeda")*(Inputs!$G$5:$G$140&lt;&gt;"acoes")))*INDEX(Inputs!$K$5:$AJ$140,0,MATCH(AJ$2,Inputs!$K$4:$AJ$4,0)))))</f>
        <v>2068</v>
      </c>
      <c r="AK65" s="264">
        <f>IF(ISNA(MATCH(AK$2,Inputs!$K$4:$AJ$4,0)),NA(),IF(SUMPRODUCT((Inputs!$A$5:$A$140=$B65)*ISNUMBER(INDEX(Inputs!$K$5:$AJ$140,0,MATCH(AK$2,Inputs!$K$4:$AJ$4,0))))+SUMPRODUCT((Inputs!$C$5:$C$140=$B65)*ISNUMBER(INDEX(Inputs!$K$5:$AJ$140,0,MATCH(AK$2,Inputs!$K$4:$AJ$4,0))))+SUMPRODUCT((Inputs!$E$5:$E$140=$B65)*ISNUMBER(INDEX(Inputs!$K$5:$AJ$140,0,MATCH(AK$2,Inputs!$K$4:$AJ$4,0))))=0,NA(),SUMPRODUCT((Inputs!$A$5:$A$140=$B65)*Inputs!$B$5:$B$140*(((Inputs!$G$5:$G$140="moeda")+(Inputs!$G$5:$G$140="acoes"))*Inputs!$B$1+((Inputs!$G$5:$G$140&lt;&gt;"moeda")*(Inputs!$G$5:$G$140&lt;&gt;"acoes")))*INDEX(Inputs!$K$5:$AJ$140,0,MATCH(AK$2,Inputs!$K$4:$AJ$4,0)))+SUMPRODUCT((Inputs!$C$5:$C$140=$B65)*Inputs!$D$5:$D$140*(((Inputs!$G$5:$G$140="moeda")+(Inputs!$G$5:$G$140="acoes"))*Inputs!$B$1+((Inputs!$G$5:$G$140&lt;&gt;"moeda")*(Inputs!$G$5:$G$140&lt;&gt;"acoes")))*INDEX(Inputs!$K$5:$AJ$140,0,MATCH(AK$2,Inputs!$K$4:$AJ$4,0)))+SUMPRODUCT((Inputs!$E$5:$E$140=$B65)*Inputs!$F$5:$F$140*(((Inputs!$G$5:$G$140="moeda")+(Inputs!$G$5:$G$140="acoes"))*Inputs!$B$1+((Inputs!$G$5:$G$140&lt;&gt;"moeda")*(Inputs!$G$5:$G$140&lt;&gt;"acoes")))*INDEX(Inputs!$K$5:$AJ$140,0,MATCH(AK$2,Inputs!$K$4:$AJ$4,0)))))</f>
        <v>1746</v>
      </c>
      <c r="AL65" s="265">
        <f>SUM(AH65:AK65)</f>
        <v>6330</v>
      </c>
    </row>
    <row r="66">
      <c r="B66" s="46" t="n">
        <v>58</v>
      </c>
      <c r="C66" s="29" t="inlineStr">
        <is>
          <t>Obras em andamento (l.57; media do trimestre)</t>
        </is>
      </c>
      <c r="D66" s="264">
        <f>IF(ISNA(MATCH(D$2,Inputs!$K$4:$AJ$4,0)),NA(),IF(SUMPRODUCT((Inputs!$A$5:$A$140=$B66)*ISNUMBER(INDEX(Inputs!$K$5:$AJ$140,0,MATCH(D$2,Inputs!$K$4:$AJ$4,0))))+SUMPRODUCT((Inputs!$C$5:$C$140=$B66)*ISNUMBER(INDEX(Inputs!$K$5:$AJ$140,0,MATCH(D$2,Inputs!$K$4:$AJ$4,0))))+SUMPRODUCT((Inputs!$E$5:$E$140=$B66)*ISNUMBER(INDEX(Inputs!$K$5:$AJ$140,0,MATCH(D$2,Inputs!$K$4:$AJ$4,0))))=0,NA(),SUMPRODUCT((Inputs!$A$5:$A$140=$B66)*Inputs!$B$5:$B$140*(((Inputs!$G$5:$G$140="moeda")+(Inputs!$G$5:$G$140="acoes"))*Inputs!$B$1+((Inputs!$G$5:$G$140&lt;&gt;"moeda")*(Inputs!$G$5:$G$140&lt;&gt;"acoes")))*INDEX(Inputs!$K$5:$AJ$140,0,MATCH(D$2,Inputs!$K$4:$AJ$4,0)))+SUMPRODUCT((Inputs!$C$5:$C$140=$B66)*Inputs!$D$5:$D$140*(((Inputs!$G$5:$G$140="moeda")+(Inputs!$G$5:$G$140="acoes"))*Inputs!$B$1+((Inputs!$G$5:$G$140&lt;&gt;"moeda")*(Inputs!$G$5:$G$140&lt;&gt;"acoes")))*INDEX(Inputs!$K$5:$AJ$140,0,MATCH(D$2,Inputs!$K$4:$AJ$4,0)))+SUMPRODUCT((Inputs!$E$5:$E$140=$B66)*Inputs!$F$5:$F$140*(((Inputs!$G$5:$G$140="moeda")+(Inputs!$G$5:$G$140="acoes"))*Inputs!$B$1+((Inputs!$G$5:$G$140&lt;&gt;"moeda")*(Inputs!$G$5:$G$140&lt;&gt;"acoes")))*INDEX(Inputs!$K$5:$AJ$140,0,MATCH(D$2,Inputs!$K$4:$AJ$4,0)))))</f>
        <v>26.6666666666667</v>
      </c>
      <c r="E66" s="264">
        <f>IF(ISNA(MATCH(E$2,Inputs!$K$4:$AJ$4,0)),NA(),IF(SUMPRODUCT((Inputs!$A$5:$A$140=$B66)*ISNUMBER(INDEX(Inputs!$K$5:$AJ$140,0,MATCH(E$2,Inputs!$K$4:$AJ$4,0))))+SUMPRODUCT((Inputs!$C$5:$C$140=$B66)*ISNUMBER(INDEX(Inputs!$K$5:$AJ$140,0,MATCH(E$2,Inputs!$K$4:$AJ$4,0))))+SUMPRODUCT((Inputs!$E$5:$E$140=$B66)*ISNUMBER(INDEX(Inputs!$K$5:$AJ$140,0,MATCH(E$2,Inputs!$K$4:$AJ$4,0))))=0,NA(),SUMPRODUCT((Inputs!$A$5:$A$140=$B66)*Inputs!$B$5:$B$140*(((Inputs!$G$5:$G$140="moeda")+(Inputs!$G$5:$G$140="acoes"))*Inputs!$B$1+((Inputs!$G$5:$G$140&lt;&gt;"moeda")*(Inputs!$G$5:$G$140&lt;&gt;"acoes")))*INDEX(Inputs!$K$5:$AJ$140,0,MATCH(E$2,Inputs!$K$4:$AJ$4,0)))+SUMPRODUCT((Inputs!$C$5:$C$140=$B66)*Inputs!$D$5:$D$140*(((Inputs!$G$5:$G$140="moeda")+(Inputs!$G$5:$G$140="acoes"))*Inputs!$B$1+((Inputs!$G$5:$G$140&lt;&gt;"moeda")*(Inputs!$G$5:$G$140&lt;&gt;"acoes")))*INDEX(Inputs!$K$5:$AJ$140,0,MATCH(E$2,Inputs!$K$4:$AJ$4,0)))+SUMPRODUCT((Inputs!$E$5:$E$140=$B66)*Inputs!$F$5:$F$140*(((Inputs!$G$5:$G$140="moeda")+(Inputs!$G$5:$G$140="acoes"))*Inputs!$B$1+((Inputs!$G$5:$G$140&lt;&gt;"moeda")*(Inputs!$G$5:$G$140&lt;&gt;"acoes")))*INDEX(Inputs!$K$5:$AJ$140,0,MATCH(E$2,Inputs!$K$4:$AJ$4,0)))))</f>
        <v>31</v>
      </c>
      <c r="F66" s="264">
        <f>IF(ISNA(MATCH(F$2,Inputs!$K$4:$AJ$4,0)),NA(),IF(SUMPRODUCT((Inputs!$A$5:$A$140=$B66)*ISNUMBER(INDEX(Inputs!$K$5:$AJ$140,0,MATCH(F$2,Inputs!$K$4:$AJ$4,0))))+SUMPRODUCT((Inputs!$C$5:$C$140=$B66)*ISNUMBER(INDEX(Inputs!$K$5:$AJ$140,0,MATCH(F$2,Inputs!$K$4:$AJ$4,0))))+SUMPRODUCT((Inputs!$E$5:$E$140=$B66)*ISNUMBER(INDEX(Inputs!$K$5:$AJ$140,0,MATCH(F$2,Inputs!$K$4:$AJ$4,0))))=0,NA(),SUMPRODUCT((Inputs!$A$5:$A$140=$B66)*Inputs!$B$5:$B$140*(((Inputs!$G$5:$G$140="moeda")+(Inputs!$G$5:$G$140="acoes"))*Inputs!$B$1+((Inputs!$G$5:$G$140&lt;&gt;"moeda")*(Inputs!$G$5:$G$140&lt;&gt;"acoes")))*INDEX(Inputs!$K$5:$AJ$140,0,MATCH(F$2,Inputs!$K$4:$AJ$4,0)))+SUMPRODUCT((Inputs!$C$5:$C$140=$B66)*Inputs!$D$5:$D$140*(((Inputs!$G$5:$G$140="moeda")+(Inputs!$G$5:$G$140="acoes"))*Inputs!$B$1+((Inputs!$G$5:$G$140&lt;&gt;"moeda")*(Inputs!$G$5:$G$140&lt;&gt;"acoes")))*INDEX(Inputs!$K$5:$AJ$140,0,MATCH(F$2,Inputs!$K$4:$AJ$4,0)))+SUMPRODUCT((Inputs!$E$5:$E$140=$B66)*Inputs!$F$5:$F$140*(((Inputs!$G$5:$G$140="moeda")+(Inputs!$G$5:$G$140="acoes"))*Inputs!$B$1+((Inputs!$G$5:$G$140&lt;&gt;"moeda")*(Inputs!$G$5:$G$140&lt;&gt;"acoes")))*INDEX(Inputs!$K$5:$AJ$140,0,MATCH(F$2,Inputs!$K$4:$AJ$4,0)))))</f>
        <v>40.3333333333333</v>
      </c>
      <c r="G66" s="264">
        <f>IF(ISNA(MATCH(G$2,Inputs!$K$4:$AJ$4,0)),NA(),IF(SUMPRODUCT((Inputs!$A$5:$A$140=$B66)*ISNUMBER(INDEX(Inputs!$K$5:$AJ$140,0,MATCH(G$2,Inputs!$K$4:$AJ$4,0))))+SUMPRODUCT((Inputs!$C$5:$C$140=$B66)*ISNUMBER(INDEX(Inputs!$K$5:$AJ$140,0,MATCH(G$2,Inputs!$K$4:$AJ$4,0))))+SUMPRODUCT((Inputs!$E$5:$E$140=$B66)*ISNUMBER(INDEX(Inputs!$K$5:$AJ$140,0,MATCH(G$2,Inputs!$K$4:$AJ$4,0))))=0,NA(),SUMPRODUCT((Inputs!$A$5:$A$140=$B66)*Inputs!$B$5:$B$140*(((Inputs!$G$5:$G$140="moeda")+(Inputs!$G$5:$G$140="acoes"))*Inputs!$B$1+((Inputs!$G$5:$G$140&lt;&gt;"moeda")*(Inputs!$G$5:$G$140&lt;&gt;"acoes")))*INDEX(Inputs!$K$5:$AJ$140,0,MATCH(G$2,Inputs!$K$4:$AJ$4,0)))+SUMPRODUCT((Inputs!$C$5:$C$140=$B66)*Inputs!$D$5:$D$140*(((Inputs!$G$5:$G$140="moeda")+(Inputs!$G$5:$G$140="acoes"))*Inputs!$B$1+((Inputs!$G$5:$G$140&lt;&gt;"moeda")*(Inputs!$G$5:$G$140&lt;&gt;"acoes")))*INDEX(Inputs!$K$5:$AJ$140,0,MATCH(G$2,Inputs!$K$4:$AJ$4,0)))+SUMPRODUCT((Inputs!$E$5:$E$140=$B66)*Inputs!$F$5:$F$140*(((Inputs!$G$5:$G$140="moeda")+(Inputs!$G$5:$G$140="acoes"))*Inputs!$B$1+((Inputs!$G$5:$G$140&lt;&gt;"moeda")*(Inputs!$G$5:$G$140&lt;&gt;"acoes")))*INDEX(Inputs!$K$5:$AJ$140,0,MATCH(G$2,Inputs!$K$4:$AJ$4,0)))))</f>
        <v>47.0666666666667</v>
      </c>
      <c r="H66" s="265">
        <f>G66</f>
        <v>47.0666666666667</v>
      </c>
      <c r="I66" s="264">
        <f>IF(ISNA(MATCH(I$2,Inputs!$K$4:$AJ$4,0)),NA(),IF(SUMPRODUCT((Inputs!$A$5:$A$140=$B66)*ISNUMBER(INDEX(Inputs!$K$5:$AJ$140,0,MATCH(I$2,Inputs!$K$4:$AJ$4,0))))+SUMPRODUCT((Inputs!$C$5:$C$140=$B66)*ISNUMBER(INDEX(Inputs!$K$5:$AJ$140,0,MATCH(I$2,Inputs!$K$4:$AJ$4,0))))+SUMPRODUCT((Inputs!$E$5:$E$140=$B66)*ISNUMBER(INDEX(Inputs!$K$5:$AJ$140,0,MATCH(I$2,Inputs!$K$4:$AJ$4,0))))=0,NA(),SUMPRODUCT((Inputs!$A$5:$A$140=$B66)*Inputs!$B$5:$B$140*(((Inputs!$G$5:$G$140="moeda")+(Inputs!$G$5:$G$140="acoes"))*Inputs!$B$1+((Inputs!$G$5:$G$140&lt;&gt;"moeda")*(Inputs!$G$5:$G$140&lt;&gt;"acoes")))*INDEX(Inputs!$K$5:$AJ$140,0,MATCH(I$2,Inputs!$K$4:$AJ$4,0)))+SUMPRODUCT((Inputs!$C$5:$C$140=$B66)*Inputs!$D$5:$D$140*(((Inputs!$G$5:$G$140="moeda")+(Inputs!$G$5:$G$140="acoes"))*Inputs!$B$1+((Inputs!$G$5:$G$140&lt;&gt;"moeda")*(Inputs!$G$5:$G$140&lt;&gt;"acoes")))*INDEX(Inputs!$K$5:$AJ$140,0,MATCH(I$2,Inputs!$K$4:$AJ$4,0)))+SUMPRODUCT((Inputs!$E$5:$E$140=$B66)*Inputs!$F$5:$F$140*(((Inputs!$G$5:$G$140="moeda")+(Inputs!$G$5:$G$140="acoes"))*Inputs!$B$1+((Inputs!$G$5:$G$140&lt;&gt;"moeda")*(Inputs!$G$5:$G$140&lt;&gt;"acoes")))*INDEX(Inputs!$K$5:$AJ$140,0,MATCH(I$2,Inputs!$K$4:$AJ$4,0)))))</f>
        <v>48.6666666666667</v>
      </c>
      <c r="J66" s="264">
        <f>IF(ISNA(MATCH(J$2,Inputs!$K$4:$AJ$4,0)),NA(),IF(SUMPRODUCT((Inputs!$A$5:$A$140=$B66)*ISNUMBER(INDEX(Inputs!$K$5:$AJ$140,0,MATCH(J$2,Inputs!$K$4:$AJ$4,0))))+SUMPRODUCT((Inputs!$C$5:$C$140=$B66)*ISNUMBER(INDEX(Inputs!$K$5:$AJ$140,0,MATCH(J$2,Inputs!$K$4:$AJ$4,0))))+SUMPRODUCT((Inputs!$E$5:$E$140=$B66)*ISNUMBER(INDEX(Inputs!$K$5:$AJ$140,0,MATCH(J$2,Inputs!$K$4:$AJ$4,0))))=0,NA(),SUMPRODUCT((Inputs!$A$5:$A$140=$B66)*Inputs!$B$5:$B$140*(((Inputs!$G$5:$G$140="moeda")+(Inputs!$G$5:$G$140="acoes"))*Inputs!$B$1+((Inputs!$G$5:$G$140&lt;&gt;"moeda")*(Inputs!$G$5:$G$140&lt;&gt;"acoes")))*INDEX(Inputs!$K$5:$AJ$140,0,MATCH(J$2,Inputs!$K$4:$AJ$4,0)))+SUMPRODUCT((Inputs!$C$5:$C$140=$B66)*Inputs!$D$5:$D$140*(((Inputs!$G$5:$G$140="moeda")+(Inputs!$G$5:$G$140="acoes"))*Inputs!$B$1+((Inputs!$G$5:$G$140&lt;&gt;"moeda")*(Inputs!$G$5:$G$140&lt;&gt;"acoes")))*INDEX(Inputs!$K$5:$AJ$140,0,MATCH(J$2,Inputs!$K$4:$AJ$4,0)))+SUMPRODUCT((Inputs!$E$5:$E$140=$B66)*Inputs!$F$5:$F$140*(((Inputs!$G$5:$G$140="moeda")+(Inputs!$G$5:$G$140="acoes"))*Inputs!$B$1+((Inputs!$G$5:$G$140&lt;&gt;"moeda")*(Inputs!$G$5:$G$140&lt;&gt;"acoes")))*INDEX(Inputs!$K$5:$AJ$140,0,MATCH(J$2,Inputs!$K$4:$AJ$4,0)))))</f>
        <v>48</v>
      </c>
      <c r="K66" s="264">
        <f>IF(ISNA(MATCH(K$2,Inputs!$K$4:$AJ$4,0)),NA(),IF(SUMPRODUCT((Inputs!$A$5:$A$140=$B66)*ISNUMBER(INDEX(Inputs!$K$5:$AJ$140,0,MATCH(K$2,Inputs!$K$4:$AJ$4,0))))+SUMPRODUCT((Inputs!$C$5:$C$140=$B66)*ISNUMBER(INDEX(Inputs!$K$5:$AJ$140,0,MATCH(K$2,Inputs!$K$4:$AJ$4,0))))+SUMPRODUCT((Inputs!$E$5:$E$140=$B66)*ISNUMBER(INDEX(Inputs!$K$5:$AJ$140,0,MATCH(K$2,Inputs!$K$4:$AJ$4,0))))=0,NA(),SUMPRODUCT((Inputs!$A$5:$A$140=$B66)*Inputs!$B$5:$B$140*(((Inputs!$G$5:$G$140="moeda")+(Inputs!$G$5:$G$140="acoes"))*Inputs!$B$1+((Inputs!$G$5:$G$140&lt;&gt;"moeda")*(Inputs!$G$5:$G$140&lt;&gt;"acoes")))*INDEX(Inputs!$K$5:$AJ$140,0,MATCH(K$2,Inputs!$K$4:$AJ$4,0)))+SUMPRODUCT((Inputs!$C$5:$C$140=$B66)*Inputs!$D$5:$D$140*(((Inputs!$G$5:$G$140="moeda")+(Inputs!$G$5:$G$140="acoes"))*Inputs!$B$1+((Inputs!$G$5:$G$140&lt;&gt;"moeda")*(Inputs!$G$5:$G$140&lt;&gt;"acoes")))*INDEX(Inputs!$K$5:$AJ$140,0,MATCH(K$2,Inputs!$K$4:$AJ$4,0)))+SUMPRODUCT((Inputs!$E$5:$E$140=$B66)*Inputs!$F$5:$F$140*(((Inputs!$G$5:$G$140="moeda")+(Inputs!$G$5:$G$140="acoes"))*Inputs!$B$1+((Inputs!$G$5:$G$140&lt;&gt;"moeda")*(Inputs!$G$5:$G$140&lt;&gt;"acoes")))*INDEX(Inputs!$K$5:$AJ$140,0,MATCH(K$2,Inputs!$K$4:$AJ$4,0)))))</f>
        <v>49.6666666666667</v>
      </c>
      <c r="L66" s="264">
        <f>IF(ISNA(MATCH(L$2,Inputs!$K$4:$AJ$4,0)),NA(),IF(SUMPRODUCT((Inputs!$A$5:$A$140=$B66)*ISNUMBER(INDEX(Inputs!$K$5:$AJ$140,0,MATCH(L$2,Inputs!$K$4:$AJ$4,0))))+SUMPRODUCT((Inputs!$C$5:$C$140=$B66)*ISNUMBER(INDEX(Inputs!$K$5:$AJ$140,0,MATCH(L$2,Inputs!$K$4:$AJ$4,0))))+SUMPRODUCT((Inputs!$E$5:$E$140=$B66)*ISNUMBER(INDEX(Inputs!$K$5:$AJ$140,0,MATCH(L$2,Inputs!$K$4:$AJ$4,0))))=0,NA(),SUMPRODUCT((Inputs!$A$5:$A$140=$B66)*Inputs!$B$5:$B$140*(((Inputs!$G$5:$G$140="moeda")+(Inputs!$G$5:$G$140="acoes"))*Inputs!$B$1+((Inputs!$G$5:$G$140&lt;&gt;"moeda")*(Inputs!$G$5:$G$140&lt;&gt;"acoes")))*INDEX(Inputs!$K$5:$AJ$140,0,MATCH(L$2,Inputs!$K$4:$AJ$4,0)))+SUMPRODUCT((Inputs!$C$5:$C$140=$B66)*Inputs!$D$5:$D$140*(((Inputs!$G$5:$G$140="moeda")+(Inputs!$G$5:$G$140="acoes"))*Inputs!$B$1+((Inputs!$G$5:$G$140&lt;&gt;"moeda")*(Inputs!$G$5:$G$140&lt;&gt;"acoes")))*INDEX(Inputs!$K$5:$AJ$140,0,MATCH(L$2,Inputs!$K$4:$AJ$4,0)))+SUMPRODUCT((Inputs!$E$5:$E$140=$B66)*Inputs!$F$5:$F$140*(((Inputs!$G$5:$G$140="moeda")+(Inputs!$G$5:$G$140="acoes"))*Inputs!$B$1+((Inputs!$G$5:$G$140&lt;&gt;"moeda")*(Inputs!$G$5:$G$140&lt;&gt;"acoes")))*INDEX(Inputs!$K$5:$AJ$140,0,MATCH(L$2,Inputs!$K$4:$AJ$4,0)))))</f>
        <v>51.3333333333333</v>
      </c>
      <c r="M66" s="265">
        <f>L66</f>
        <v>51.3333333333333</v>
      </c>
      <c r="N66" s="264">
        <f>IF(ISNA(MATCH(N$2,Inputs!$K$4:$AJ$4,0)),NA(),IF(SUMPRODUCT((Inputs!$A$5:$A$140=$B66)*ISNUMBER(INDEX(Inputs!$K$5:$AJ$140,0,MATCH(N$2,Inputs!$K$4:$AJ$4,0))))+SUMPRODUCT((Inputs!$C$5:$C$140=$B66)*ISNUMBER(INDEX(Inputs!$K$5:$AJ$140,0,MATCH(N$2,Inputs!$K$4:$AJ$4,0))))+SUMPRODUCT((Inputs!$E$5:$E$140=$B66)*ISNUMBER(INDEX(Inputs!$K$5:$AJ$140,0,MATCH(N$2,Inputs!$K$4:$AJ$4,0))))=0,NA(),SUMPRODUCT((Inputs!$A$5:$A$140=$B66)*Inputs!$B$5:$B$140*(((Inputs!$G$5:$G$140="moeda")+(Inputs!$G$5:$G$140="acoes"))*Inputs!$B$1+((Inputs!$G$5:$G$140&lt;&gt;"moeda")*(Inputs!$G$5:$G$140&lt;&gt;"acoes")))*INDEX(Inputs!$K$5:$AJ$140,0,MATCH(N$2,Inputs!$K$4:$AJ$4,0)))+SUMPRODUCT((Inputs!$C$5:$C$140=$B66)*Inputs!$D$5:$D$140*(((Inputs!$G$5:$G$140="moeda")+(Inputs!$G$5:$G$140="acoes"))*Inputs!$B$1+((Inputs!$G$5:$G$140&lt;&gt;"moeda")*(Inputs!$G$5:$G$140&lt;&gt;"acoes")))*INDEX(Inputs!$K$5:$AJ$140,0,MATCH(N$2,Inputs!$K$4:$AJ$4,0)))+SUMPRODUCT((Inputs!$E$5:$E$140=$B66)*Inputs!$F$5:$F$140*(((Inputs!$G$5:$G$140="moeda")+(Inputs!$G$5:$G$140="acoes"))*Inputs!$B$1+((Inputs!$G$5:$G$140&lt;&gt;"moeda")*(Inputs!$G$5:$G$140&lt;&gt;"acoes")))*INDEX(Inputs!$K$5:$AJ$140,0,MATCH(N$2,Inputs!$K$4:$AJ$4,0)))))</f>
        <v>49</v>
      </c>
      <c r="O66" s="264">
        <f>IF(ISNA(MATCH(O$2,Inputs!$K$4:$AJ$4,0)),NA(),IF(SUMPRODUCT((Inputs!$A$5:$A$140=$B66)*ISNUMBER(INDEX(Inputs!$K$5:$AJ$140,0,MATCH(O$2,Inputs!$K$4:$AJ$4,0))))+SUMPRODUCT((Inputs!$C$5:$C$140=$B66)*ISNUMBER(INDEX(Inputs!$K$5:$AJ$140,0,MATCH(O$2,Inputs!$K$4:$AJ$4,0))))+SUMPRODUCT((Inputs!$E$5:$E$140=$B66)*ISNUMBER(INDEX(Inputs!$K$5:$AJ$140,0,MATCH(O$2,Inputs!$K$4:$AJ$4,0))))=0,NA(),SUMPRODUCT((Inputs!$A$5:$A$140=$B66)*Inputs!$B$5:$B$140*(((Inputs!$G$5:$G$140="moeda")+(Inputs!$G$5:$G$140="acoes"))*Inputs!$B$1+((Inputs!$G$5:$G$140&lt;&gt;"moeda")*(Inputs!$G$5:$G$140&lt;&gt;"acoes")))*INDEX(Inputs!$K$5:$AJ$140,0,MATCH(O$2,Inputs!$K$4:$AJ$4,0)))+SUMPRODUCT((Inputs!$C$5:$C$140=$B66)*Inputs!$D$5:$D$140*(((Inputs!$G$5:$G$140="moeda")+(Inputs!$G$5:$G$140="acoes"))*Inputs!$B$1+((Inputs!$G$5:$G$140&lt;&gt;"moeda")*(Inputs!$G$5:$G$140&lt;&gt;"acoes")))*INDEX(Inputs!$K$5:$AJ$140,0,MATCH(O$2,Inputs!$K$4:$AJ$4,0)))+SUMPRODUCT((Inputs!$E$5:$E$140=$B66)*Inputs!$F$5:$F$140*(((Inputs!$G$5:$G$140="moeda")+(Inputs!$G$5:$G$140="acoes"))*Inputs!$B$1+((Inputs!$G$5:$G$140&lt;&gt;"moeda")*(Inputs!$G$5:$G$140&lt;&gt;"acoes")))*INDEX(Inputs!$K$5:$AJ$140,0,MATCH(O$2,Inputs!$K$4:$AJ$4,0)))))</f>
        <v>52</v>
      </c>
      <c r="P66" s="264">
        <f>IF(ISNA(MATCH(P$2,Inputs!$K$4:$AJ$4,0)),NA(),IF(SUMPRODUCT((Inputs!$A$5:$A$140=$B66)*ISNUMBER(INDEX(Inputs!$K$5:$AJ$140,0,MATCH(P$2,Inputs!$K$4:$AJ$4,0))))+SUMPRODUCT((Inputs!$C$5:$C$140=$B66)*ISNUMBER(INDEX(Inputs!$K$5:$AJ$140,0,MATCH(P$2,Inputs!$K$4:$AJ$4,0))))+SUMPRODUCT((Inputs!$E$5:$E$140=$B66)*ISNUMBER(INDEX(Inputs!$K$5:$AJ$140,0,MATCH(P$2,Inputs!$K$4:$AJ$4,0))))=0,NA(),SUMPRODUCT((Inputs!$A$5:$A$140=$B66)*Inputs!$B$5:$B$140*(((Inputs!$G$5:$G$140="moeda")+(Inputs!$G$5:$G$140="acoes"))*Inputs!$B$1+((Inputs!$G$5:$G$140&lt;&gt;"moeda")*(Inputs!$G$5:$G$140&lt;&gt;"acoes")))*INDEX(Inputs!$K$5:$AJ$140,0,MATCH(P$2,Inputs!$K$4:$AJ$4,0)))+SUMPRODUCT((Inputs!$C$5:$C$140=$B66)*Inputs!$D$5:$D$140*(((Inputs!$G$5:$G$140="moeda")+(Inputs!$G$5:$G$140="acoes"))*Inputs!$B$1+((Inputs!$G$5:$G$140&lt;&gt;"moeda")*(Inputs!$G$5:$G$140&lt;&gt;"acoes")))*INDEX(Inputs!$K$5:$AJ$140,0,MATCH(P$2,Inputs!$K$4:$AJ$4,0)))+SUMPRODUCT((Inputs!$E$5:$E$140=$B66)*Inputs!$F$5:$F$140*(((Inputs!$G$5:$G$140="moeda")+(Inputs!$G$5:$G$140="acoes"))*Inputs!$B$1+((Inputs!$G$5:$G$140&lt;&gt;"moeda")*(Inputs!$G$5:$G$140&lt;&gt;"acoes")))*INDEX(Inputs!$K$5:$AJ$140,0,MATCH(P$2,Inputs!$K$4:$AJ$4,0)))))</f>
        <v>56</v>
      </c>
      <c r="Q66" s="264">
        <f>IF(ISNA(MATCH(Q$2,Inputs!$K$4:$AJ$4,0)),NA(),IF(SUMPRODUCT((Inputs!$A$5:$A$140=$B66)*ISNUMBER(INDEX(Inputs!$K$5:$AJ$140,0,MATCH(Q$2,Inputs!$K$4:$AJ$4,0))))+SUMPRODUCT((Inputs!$C$5:$C$140=$B66)*ISNUMBER(INDEX(Inputs!$K$5:$AJ$140,0,MATCH(Q$2,Inputs!$K$4:$AJ$4,0))))+SUMPRODUCT((Inputs!$E$5:$E$140=$B66)*ISNUMBER(INDEX(Inputs!$K$5:$AJ$140,0,MATCH(Q$2,Inputs!$K$4:$AJ$4,0))))=0,NA(),SUMPRODUCT((Inputs!$A$5:$A$140=$B66)*Inputs!$B$5:$B$140*(((Inputs!$G$5:$G$140="moeda")+(Inputs!$G$5:$G$140="acoes"))*Inputs!$B$1+((Inputs!$G$5:$G$140&lt;&gt;"moeda")*(Inputs!$G$5:$G$140&lt;&gt;"acoes")))*INDEX(Inputs!$K$5:$AJ$140,0,MATCH(Q$2,Inputs!$K$4:$AJ$4,0)))+SUMPRODUCT((Inputs!$C$5:$C$140=$B66)*Inputs!$D$5:$D$140*(((Inputs!$G$5:$G$140="moeda")+(Inputs!$G$5:$G$140="acoes"))*Inputs!$B$1+((Inputs!$G$5:$G$140&lt;&gt;"moeda")*(Inputs!$G$5:$G$140&lt;&gt;"acoes")))*INDEX(Inputs!$K$5:$AJ$140,0,MATCH(Q$2,Inputs!$K$4:$AJ$4,0)))+SUMPRODUCT((Inputs!$E$5:$E$140=$B66)*Inputs!$F$5:$F$140*(((Inputs!$G$5:$G$140="moeda")+(Inputs!$G$5:$G$140="acoes"))*Inputs!$B$1+((Inputs!$G$5:$G$140&lt;&gt;"moeda")*(Inputs!$G$5:$G$140&lt;&gt;"acoes")))*INDEX(Inputs!$K$5:$AJ$140,0,MATCH(Q$2,Inputs!$K$4:$AJ$4,0)))))</f>
        <v>57</v>
      </c>
      <c r="R66" s="265">
        <f>Q66</f>
        <v>57</v>
      </c>
      <c r="S66" s="264">
        <f>IF(ISNA(MATCH(S$2,Inputs!$K$4:$AJ$4,0)),NA(),IF(SUMPRODUCT((Inputs!$A$5:$A$140=$B66)*ISNUMBER(INDEX(Inputs!$K$5:$AJ$140,0,MATCH(S$2,Inputs!$K$4:$AJ$4,0))))+SUMPRODUCT((Inputs!$C$5:$C$140=$B66)*ISNUMBER(INDEX(Inputs!$K$5:$AJ$140,0,MATCH(S$2,Inputs!$K$4:$AJ$4,0))))+SUMPRODUCT((Inputs!$E$5:$E$140=$B66)*ISNUMBER(INDEX(Inputs!$K$5:$AJ$140,0,MATCH(S$2,Inputs!$K$4:$AJ$4,0))))=0,NA(),SUMPRODUCT((Inputs!$A$5:$A$140=$B66)*Inputs!$B$5:$B$140*(((Inputs!$G$5:$G$140="moeda")+(Inputs!$G$5:$G$140="acoes"))*Inputs!$B$1+((Inputs!$G$5:$G$140&lt;&gt;"moeda")*(Inputs!$G$5:$G$140&lt;&gt;"acoes")))*INDEX(Inputs!$K$5:$AJ$140,0,MATCH(S$2,Inputs!$K$4:$AJ$4,0)))+SUMPRODUCT((Inputs!$C$5:$C$140=$B66)*Inputs!$D$5:$D$140*(((Inputs!$G$5:$G$140="moeda")+(Inputs!$G$5:$G$140="acoes"))*Inputs!$B$1+((Inputs!$G$5:$G$140&lt;&gt;"moeda")*(Inputs!$G$5:$G$140&lt;&gt;"acoes")))*INDEX(Inputs!$K$5:$AJ$140,0,MATCH(S$2,Inputs!$K$4:$AJ$4,0)))+SUMPRODUCT((Inputs!$E$5:$E$140=$B66)*Inputs!$F$5:$F$140*(((Inputs!$G$5:$G$140="moeda")+(Inputs!$G$5:$G$140="acoes"))*Inputs!$B$1+((Inputs!$G$5:$G$140&lt;&gt;"moeda")*(Inputs!$G$5:$G$140&lt;&gt;"acoes")))*INDEX(Inputs!$K$5:$AJ$140,0,MATCH(S$2,Inputs!$K$4:$AJ$4,0)))))</f>
        <v>66.3333333333333</v>
      </c>
      <c r="T66" s="264">
        <f>IF(ISNA(MATCH(T$2,Inputs!$K$4:$AJ$4,0)),NA(),IF(SUMPRODUCT((Inputs!$A$5:$A$140=$B66)*ISNUMBER(INDEX(Inputs!$K$5:$AJ$140,0,MATCH(T$2,Inputs!$K$4:$AJ$4,0))))+SUMPRODUCT((Inputs!$C$5:$C$140=$B66)*ISNUMBER(INDEX(Inputs!$K$5:$AJ$140,0,MATCH(T$2,Inputs!$K$4:$AJ$4,0))))+SUMPRODUCT((Inputs!$E$5:$E$140=$B66)*ISNUMBER(INDEX(Inputs!$K$5:$AJ$140,0,MATCH(T$2,Inputs!$K$4:$AJ$4,0))))=0,NA(),SUMPRODUCT((Inputs!$A$5:$A$140=$B66)*Inputs!$B$5:$B$140*(((Inputs!$G$5:$G$140="moeda")+(Inputs!$G$5:$G$140="acoes"))*Inputs!$B$1+((Inputs!$G$5:$G$140&lt;&gt;"moeda")*(Inputs!$G$5:$G$140&lt;&gt;"acoes")))*INDEX(Inputs!$K$5:$AJ$140,0,MATCH(T$2,Inputs!$K$4:$AJ$4,0)))+SUMPRODUCT((Inputs!$C$5:$C$140=$B66)*Inputs!$D$5:$D$140*(((Inputs!$G$5:$G$140="moeda")+(Inputs!$G$5:$G$140="acoes"))*Inputs!$B$1+((Inputs!$G$5:$G$140&lt;&gt;"moeda")*(Inputs!$G$5:$G$140&lt;&gt;"acoes")))*INDEX(Inputs!$K$5:$AJ$140,0,MATCH(T$2,Inputs!$K$4:$AJ$4,0)))+SUMPRODUCT((Inputs!$E$5:$E$140=$B66)*Inputs!$F$5:$F$140*(((Inputs!$G$5:$G$140="moeda")+(Inputs!$G$5:$G$140="acoes"))*Inputs!$B$1+((Inputs!$G$5:$G$140&lt;&gt;"moeda")*(Inputs!$G$5:$G$140&lt;&gt;"acoes")))*INDEX(Inputs!$K$5:$AJ$140,0,MATCH(T$2,Inputs!$K$4:$AJ$4,0)))))</f>
        <v>63.3333333333333</v>
      </c>
      <c r="U66" s="264">
        <f>IF(ISNA(MATCH(U$2,Inputs!$K$4:$AJ$4,0)),NA(),IF(SUMPRODUCT((Inputs!$A$5:$A$140=$B66)*ISNUMBER(INDEX(Inputs!$K$5:$AJ$140,0,MATCH(U$2,Inputs!$K$4:$AJ$4,0))))+SUMPRODUCT((Inputs!$C$5:$C$140=$B66)*ISNUMBER(INDEX(Inputs!$K$5:$AJ$140,0,MATCH(U$2,Inputs!$K$4:$AJ$4,0))))+SUMPRODUCT((Inputs!$E$5:$E$140=$B66)*ISNUMBER(INDEX(Inputs!$K$5:$AJ$140,0,MATCH(U$2,Inputs!$K$4:$AJ$4,0))))=0,NA(),SUMPRODUCT((Inputs!$A$5:$A$140=$B66)*Inputs!$B$5:$B$140*(((Inputs!$G$5:$G$140="moeda")+(Inputs!$G$5:$G$140="acoes"))*Inputs!$B$1+((Inputs!$G$5:$G$140&lt;&gt;"moeda")*(Inputs!$G$5:$G$140&lt;&gt;"acoes")))*INDEX(Inputs!$K$5:$AJ$140,0,MATCH(U$2,Inputs!$K$4:$AJ$4,0)))+SUMPRODUCT((Inputs!$C$5:$C$140=$B66)*Inputs!$D$5:$D$140*(((Inputs!$G$5:$G$140="moeda")+(Inputs!$G$5:$G$140="acoes"))*Inputs!$B$1+((Inputs!$G$5:$G$140&lt;&gt;"moeda")*(Inputs!$G$5:$G$140&lt;&gt;"acoes")))*INDEX(Inputs!$K$5:$AJ$140,0,MATCH(U$2,Inputs!$K$4:$AJ$4,0)))+SUMPRODUCT((Inputs!$E$5:$E$140=$B66)*Inputs!$F$5:$F$140*(((Inputs!$G$5:$G$140="moeda")+(Inputs!$G$5:$G$140="acoes"))*Inputs!$B$1+((Inputs!$G$5:$G$140&lt;&gt;"moeda")*(Inputs!$G$5:$G$140&lt;&gt;"acoes")))*INDEX(Inputs!$K$5:$AJ$140,0,MATCH(U$2,Inputs!$K$4:$AJ$4,0)))))</f>
        <v>68</v>
      </c>
      <c r="V66" s="264">
        <f>IF(ISNA(MATCH(V$2,Inputs!$K$4:$AJ$4,0)),NA(),IF(SUMPRODUCT((Inputs!$A$5:$A$140=$B66)*ISNUMBER(INDEX(Inputs!$K$5:$AJ$140,0,MATCH(V$2,Inputs!$K$4:$AJ$4,0))))+SUMPRODUCT((Inputs!$C$5:$C$140=$B66)*ISNUMBER(INDEX(Inputs!$K$5:$AJ$140,0,MATCH(V$2,Inputs!$K$4:$AJ$4,0))))+SUMPRODUCT((Inputs!$E$5:$E$140=$B66)*ISNUMBER(INDEX(Inputs!$K$5:$AJ$140,0,MATCH(V$2,Inputs!$K$4:$AJ$4,0))))=0,NA(),SUMPRODUCT((Inputs!$A$5:$A$140=$B66)*Inputs!$B$5:$B$140*(((Inputs!$G$5:$G$140="moeda")+(Inputs!$G$5:$G$140="acoes"))*Inputs!$B$1+((Inputs!$G$5:$G$140&lt;&gt;"moeda")*(Inputs!$G$5:$G$140&lt;&gt;"acoes")))*INDEX(Inputs!$K$5:$AJ$140,0,MATCH(V$2,Inputs!$K$4:$AJ$4,0)))+SUMPRODUCT((Inputs!$C$5:$C$140=$B66)*Inputs!$D$5:$D$140*(((Inputs!$G$5:$G$140="moeda")+(Inputs!$G$5:$G$140="acoes"))*Inputs!$B$1+((Inputs!$G$5:$G$140&lt;&gt;"moeda")*(Inputs!$G$5:$G$140&lt;&gt;"acoes")))*INDEX(Inputs!$K$5:$AJ$140,0,MATCH(V$2,Inputs!$K$4:$AJ$4,0)))+SUMPRODUCT((Inputs!$E$5:$E$140=$B66)*Inputs!$F$5:$F$140*(((Inputs!$G$5:$G$140="moeda")+(Inputs!$G$5:$G$140="acoes"))*Inputs!$B$1+((Inputs!$G$5:$G$140&lt;&gt;"moeda")*(Inputs!$G$5:$G$140&lt;&gt;"acoes")))*INDEX(Inputs!$K$5:$AJ$140,0,MATCH(V$2,Inputs!$K$4:$AJ$4,0)))))</f>
        <v>70</v>
      </c>
      <c r="W66" s="265">
        <f>V66</f>
        <v>70</v>
      </c>
      <c r="X66" s="264">
        <f>IF(ISNA(MATCH(X$2,Inputs!$K$4:$AJ$4,0)),NA(),IF(SUMPRODUCT((Inputs!$A$5:$A$140=$B66)*ISNUMBER(INDEX(Inputs!$K$5:$AJ$140,0,MATCH(X$2,Inputs!$K$4:$AJ$4,0))))+SUMPRODUCT((Inputs!$C$5:$C$140=$B66)*ISNUMBER(INDEX(Inputs!$K$5:$AJ$140,0,MATCH(X$2,Inputs!$K$4:$AJ$4,0))))+SUMPRODUCT((Inputs!$E$5:$E$140=$B66)*ISNUMBER(INDEX(Inputs!$K$5:$AJ$140,0,MATCH(X$2,Inputs!$K$4:$AJ$4,0))))=0,NA(),SUMPRODUCT((Inputs!$A$5:$A$140=$B66)*Inputs!$B$5:$B$140*(((Inputs!$G$5:$G$140="moeda")+(Inputs!$G$5:$G$140="acoes"))*Inputs!$B$1+((Inputs!$G$5:$G$140&lt;&gt;"moeda")*(Inputs!$G$5:$G$140&lt;&gt;"acoes")))*INDEX(Inputs!$K$5:$AJ$140,0,MATCH(X$2,Inputs!$K$4:$AJ$4,0)))+SUMPRODUCT((Inputs!$C$5:$C$140=$B66)*Inputs!$D$5:$D$140*(((Inputs!$G$5:$G$140="moeda")+(Inputs!$G$5:$G$140="acoes"))*Inputs!$B$1+((Inputs!$G$5:$G$140&lt;&gt;"moeda")*(Inputs!$G$5:$G$140&lt;&gt;"acoes")))*INDEX(Inputs!$K$5:$AJ$140,0,MATCH(X$2,Inputs!$K$4:$AJ$4,0)))+SUMPRODUCT((Inputs!$E$5:$E$140=$B66)*Inputs!$F$5:$F$140*(((Inputs!$G$5:$G$140="moeda")+(Inputs!$G$5:$G$140="acoes"))*Inputs!$B$1+((Inputs!$G$5:$G$140&lt;&gt;"moeda")*(Inputs!$G$5:$G$140&lt;&gt;"acoes")))*INDEX(Inputs!$K$5:$AJ$140,0,MATCH(X$2,Inputs!$K$4:$AJ$4,0)))))</f>
        <v>72</v>
      </c>
      <c r="Y66" s="264">
        <f>IF(ISNA(MATCH(Y$2,Inputs!$K$4:$AJ$4,0)),NA(),IF(SUMPRODUCT((Inputs!$A$5:$A$140=$B66)*ISNUMBER(INDEX(Inputs!$K$5:$AJ$140,0,MATCH(Y$2,Inputs!$K$4:$AJ$4,0))))+SUMPRODUCT((Inputs!$C$5:$C$140=$B66)*ISNUMBER(INDEX(Inputs!$K$5:$AJ$140,0,MATCH(Y$2,Inputs!$K$4:$AJ$4,0))))+SUMPRODUCT((Inputs!$E$5:$E$140=$B66)*ISNUMBER(INDEX(Inputs!$K$5:$AJ$140,0,MATCH(Y$2,Inputs!$K$4:$AJ$4,0))))=0,NA(),SUMPRODUCT((Inputs!$A$5:$A$140=$B66)*Inputs!$B$5:$B$140*(((Inputs!$G$5:$G$140="moeda")+(Inputs!$G$5:$G$140="acoes"))*Inputs!$B$1+((Inputs!$G$5:$G$140&lt;&gt;"moeda")*(Inputs!$G$5:$G$140&lt;&gt;"acoes")))*INDEX(Inputs!$K$5:$AJ$140,0,MATCH(Y$2,Inputs!$K$4:$AJ$4,0)))+SUMPRODUCT((Inputs!$C$5:$C$140=$B66)*Inputs!$D$5:$D$140*(((Inputs!$G$5:$G$140="moeda")+(Inputs!$G$5:$G$140="acoes"))*Inputs!$B$1+((Inputs!$G$5:$G$140&lt;&gt;"moeda")*(Inputs!$G$5:$G$140&lt;&gt;"acoes")))*INDEX(Inputs!$K$5:$AJ$140,0,MATCH(Y$2,Inputs!$K$4:$AJ$4,0)))+SUMPRODUCT((Inputs!$E$5:$E$140=$B66)*Inputs!$F$5:$F$140*(((Inputs!$G$5:$G$140="moeda")+(Inputs!$G$5:$G$140="acoes"))*Inputs!$B$1+((Inputs!$G$5:$G$140&lt;&gt;"moeda")*(Inputs!$G$5:$G$140&lt;&gt;"acoes")))*INDEX(Inputs!$K$5:$AJ$140,0,MATCH(Y$2,Inputs!$K$4:$AJ$4,0)))))</f>
        <v>81</v>
      </c>
      <c r="Z66" s="264">
        <f>IF(ISNA(MATCH(Z$2,Inputs!$K$4:$AJ$4,0)),NA(),IF(SUMPRODUCT((Inputs!$A$5:$A$140=$B66)*ISNUMBER(INDEX(Inputs!$K$5:$AJ$140,0,MATCH(Z$2,Inputs!$K$4:$AJ$4,0))))+SUMPRODUCT((Inputs!$C$5:$C$140=$B66)*ISNUMBER(INDEX(Inputs!$K$5:$AJ$140,0,MATCH(Z$2,Inputs!$K$4:$AJ$4,0))))+SUMPRODUCT((Inputs!$E$5:$E$140=$B66)*ISNUMBER(INDEX(Inputs!$K$5:$AJ$140,0,MATCH(Z$2,Inputs!$K$4:$AJ$4,0))))=0,NA(),SUMPRODUCT((Inputs!$A$5:$A$140=$B66)*Inputs!$B$5:$B$140*(((Inputs!$G$5:$G$140="moeda")+(Inputs!$G$5:$G$140="acoes"))*Inputs!$B$1+((Inputs!$G$5:$G$140&lt;&gt;"moeda")*(Inputs!$G$5:$G$140&lt;&gt;"acoes")))*INDEX(Inputs!$K$5:$AJ$140,0,MATCH(Z$2,Inputs!$K$4:$AJ$4,0)))+SUMPRODUCT((Inputs!$C$5:$C$140=$B66)*Inputs!$D$5:$D$140*(((Inputs!$G$5:$G$140="moeda")+(Inputs!$G$5:$G$140="acoes"))*Inputs!$B$1+((Inputs!$G$5:$G$140&lt;&gt;"moeda")*(Inputs!$G$5:$G$140&lt;&gt;"acoes")))*INDEX(Inputs!$K$5:$AJ$140,0,MATCH(Z$2,Inputs!$K$4:$AJ$4,0)))+SUMPRODUCT((Inputs!$E$5:$E$140=$B66)*Inputs!$F$5:$F$140*(((Inputs!$G$5:$G$140="moeda")+(Inputs!$G$5:$G$140="acoes"))*Inputs!$B$1+((Inputs!$G$5:$G$140&lt;&gt;"moeda")*(Inputs!$G$5:$G$140&lt;&gt;"acoes")))*INDEX(Inputs!$K$5:$AJ$140,0,MATCH(Z$2,Inputs!$K$4:$AJ$4,0)))))</f>
        <v>82</v>
      </c>
      <c r="AA66" s="264">
        <f>IF(ISNA(MATCH(AA$2,Inputs!$K$4:$AJ$4,0)),NA(),IF(SUMPRODUCT((Inputs!$A$5:$A$140=$B66)*ISNUMBER(INDEX(Inputs!$K$5:$AJ$140,0,MATCH(AA$2,Inputs!$K$4:$AJ$4,0))))+SUMPRODUCT((Inputs!$C$5:$C$140=$B66)*ISNUMBER(INDEX(Inputs!$K$5:$AJ$140,0,MATCH(AA$2,Inputs!$K$4:$AJ$4,0))))+SUMPRODUCT((Inputs!$E$5:$E$140=$B66)*ISNUMBER(INDEX(Inputs!$K$5:$AJ$140,0,MATCH(AA$2,Inputs!$K$4:$AJ$4,0))))=0,NA(),SUMPRODUCT((Inputs!$A$5:$A$140=$B66)*Inputs!$B$5:$B$140*(((Inputs!$G$5:$G$140="moeda")+(Inputs!$G$5:$G$140="acoes"))*Inputs!$B$1+((Inputs!$G$5:$G$140&lt;&gt;"moeda")*(Inputs!$G$5:$G$140&lt;&gt;"acoes")))*INDEX(Inputs!$K$5:$AJ$140,0,MATCH(AA$2,Inputs!$K$4:$AJ$4,0)))+SUMPRODUCT((Inputs!$C$5:$C$140=$B66)*Inputs!$D$5:$D$140*(((Inputs!$G$5:$G$140="moeda")+(Inputs!$G$5:$G$140="acoes"))*Inputs!$B$1+((Inputs!$G$5:$G$140&lt;&gt;"moeda")*(Inputs!$G$5:$G$140&lt;&gt;"acoes")))*INDEX(Inputs!$K$5:$AJ$140,0,MATCH(AA$2,Inputs!$K$4:$AJ$4,0)))+SUMPRODUCT((Inputs!$E$5:$E$140=$B66)*Inputs!$F$5:$F$140*(((Inputs!$G$5:$G$140="moeda")+(Inputs!$G$5:$G$140="acoes"))*Inputs!$B$1+((Inputs!$G$5:$G$140&lt;&gt;"moeda")*(Inputs!$G$5:$G$140&lt;&gt;"acoes")))*INDEX(Inputs!$K$5:$AJ$140,0,MATCH(AA$2,Inputs!$K$4:$AJ$4,0)))))</f>
        <v>84</v>
      </c>
      <c r="AB66" s="265">
        <f>AA66</f>
        <v>84</v>
      </c>
      <c r="AC66" s="264">
        <f>IF(ISNA(MATCH(AC$2,Inputs!$K$4:$AJ$4,0)),NA(),IF(SUMPRODUCT((Inputs!$A$5:$A$140=$B66)*ISNUMBER(INDEX(Inputs!$K$5:$AJ$140,0,MATCH(AC$2,Inputs!$K$4:$AJ$4,0))))+SUMPRODUCT((Inputs!$C$5:$C$140=$B66)*ISNUMBER(INDEX(Inputs!$K$5:$AJ$140,0,MATCH(AC$2,Inputs!$K$4:$AJ$4,0))))+SUMPRODUCT((Inputs!$E$5:$E$140=$B66)*ISNUMBER(INDEX(Inputs!$K$5:$AJ$140,0,MATCH(AC$2,Inputs!$K$4:$AJ$4,0))))=0,NA(),SUMPRODUCT((Inputs!$A$5:$A$140=$B66)*Inputs!$B$5:$B$140*(((Inputs!$G$5:$G$140="moeda")+(Inputs!$G$5:$G$140="acoes"))*Inputs!$B$1+((Inputs!$G$5:$G$140&lt;&gt;"moeda")*(Inputs!$G$5:$G$140&lt;&gt;"acoes")))*INDEX(Inputs!$K$5:$AJ$140,0,MATCH(AC$2,Inputs!$K$4:$AJ$4,0)))+SUMPRODUCT((Inputs!$C$5:$C$140=$B66)*Inputs!$D$5:$D$140*(((Inputs!$G$5:$G$140="moeda")+(Inputs!$G$5:$G$140="acoes"))*Inputs!$B$1+((Inputs!$G$5:$G$140&lt;&gt;"moeda")*(Inputs!$G$5:$G$140&lt;&gt;"acoes")))*INDEX(Inputs!$K$5:$AJ$140,0,MATCH(AC$2,Inputs!$K$4:$AJ$4,0)))+SUMPRODUCT((Inputs!$E$5:$E$140=$B66)*Inputs!$F$5:$F$140*(((Inputs!$G$5:$G$140="moeda")+(Inputs!$G$5:$G$140="acoes"))*Inputs!$B$1+((Inputs!$G$5:$G$140&lt;&gt;"moeda")*(Inputs!$G$5:$G$140&lt;&gt;"acoes")))*INDEX(Inputs!$K$5:$AJ$140,0,MATCH(AC$2,Inputs!$K$4:$AJ$4,0)))))</f>
        <v>87</v>
      </c>
      <c r="AD66" s="264">
        <f>IF(ISNA(MATCH(AD$2,Inputs!$K$4:$AJ$4,0)),NA(),IF(SUMPRODUCT((Inputs!$A$5:$A$140=$B66)*ISNUMBER(INDEX(Inputs!$K$5:$AJ$140,0,MATCH(AD$2,Inputs!$K$4:$AJ$4,0))))+SUMPRODUCT((Inputs!$C$5:$C$140=$B66)*ISNUMBER(INDEX(Inputs!$K$5:$AJ$140,0,MATCH(AD$2,Inputs!$K$4:$AJ$4,0))))+SUMPRODUCT((Inputs!$E$5:$E$140=$B66)*ISNUMBER(INDEX(Inputs!$K$5:$AJ$140,0,MATCH(AD$2,Inputs!$K$4:$AJ$4,0))))=0,NA(),SUMPRODUCT((Inputs!$A$5:$A$140=$B66)*Inputs!$B$5:$B$140*(((Inputs!$G$5:$G$140="moeda")+(Inputs!$G$5:$G$140="acoes"))*Inputs!$B$1+((Inputs!$G$5:$G$140&lt;&gt;"moeda")*(Inputs!$G$5:$G$140&lt;&gt;"acoes")))*INDEX(Inputs!$K$5:$AJ$140,0,MATCH(AD$2,Inputs!$K$4:$AJ$4,0)))+SUMPRODUCT((Inputs!$C$5:$C$140=$B66)*Inputs!$D$5:$D$140*(((Inputs!$G$5:$G$140="moeda")+(Inputs!$G$5:$G$140="acoes"))*Inputs!$B$1+((Inputs!$G$5:$G$140&lt;&gt;"moeda")*(Inputs!$G$5:$G$140&lt;&gt;"acoes")))*INDEX(Inputs!$K$5:$AJ$140,0,MATCH(AD$2,Inputs!$K$4:$AJ$4,0)))+SUMPRODUCT((Inputs!$E$5:$E$140=$B66)*Inputs!$F$5:$F$140*(((Inputs!$G$5:$G$140="moeda")+(Inputs!$G$5:$G$140="acoes"))*Inputs!$B$1+((Inputs!$G$5:$G$140&lt;&gt;"moeda")*(Inputs!$G$5:$G$140&lt;&gt;"acoes")))*INDEX(Inputs!$K$5:$AJ$140,0,MATCH(AD$2,Inputs!$K$4:$AJ$4,0)))))</f>
        <v>87</v>
      </c>
      <c r="AE66" s="264" t="e">
        <f>IF(ISNA(MATCH(AE$2,Inputs!$K$4:$AJ$4,0)),NA(),IF(SUMPRODUCT((Inputs!$A$5:$A$140=$B66)*ISNUMBER(INDEX(Inputs!$K$5:$AJ$140,0,MATCH(AE$2,Inputs!$K$4:$AJ$4,0))))+SUMPRODUCT((Inputs!$C$5:$C$140=$B66)*ISNUMBER(INDEX(Inputs!$K$5:$AJ$140,0,MATCH(AE$2,Inputs!$K$4:$AJ$4,0))))+SUMPRODUCT((Inputs!$E$5:$E$140=$B66)*ISNUMBER(INDEX(Inputs!$K$5:$AJ$140,0,MATCH(AE$2,Inputs!$K$4:$AJ$4,0))))=0,NA(),SUMPRODUCT((Inputs!$A$5:$A$140=$B66)*Inputs!$B$5:$B$140*(((Inputs!$G$5:$G$140="moeda")+(Inputs!$G$5:$G$140="acoes"))*Inputs!$B$1+((Inputs!$G$5:$G$140&lt;&gt;"moeda")*(Inputs!$G$5:$G$140&lt;&gt;"acoes")))*INDEX(Inputs!$K$5:$AJ$140,0,MATCH(AE$2,Inputs!$K$4:$AJ$4,0)))+SUMPRODUCT((Inputs!$C$5:$C$140=$B66)*Inputs!$D$5:$D$140*(((Inputs!$G$5:$G$140="moeda")+(Inputs!$G$5:$G$140="acoes"))*Inputs!$B$1+((Inputs!$G$5:$G$140&lt;&gt;"moeda")*(Inputs!$G$5:$G$140&lt;&gt;"acoes")))*INDEX(Inputs!$K$5:$AJ$140,0,MATCH(AE$2,Inputs!$K$4:$AJ$4,0)))+SUMPRODUCT((Inputs!$E$5:$E$140=$B66)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6" s="264" t="e">
        <f>IF(ISNA(MATCH(AF$2,Inputs!$K$4:$AJ$4,0)),NA(),IF(SUMPRODUCT((Inputs!$A$5:$A$140=$B66)*ISNUMBER(INDEX(Inputs!$K$5:$AJ$140,0,MATCH(AF$2,Inputs!$K$4:$AJ$4,0))))+SUMPRODUCT((Inputs!$C$5:$C$140=$B66)*ISNUMBER(INDEX(Inputs!$K$5:$AJ$140,0,MATCH(AF$2,Inputs!$K$4:$AJ$4,0))))+SUMPRODUCT((Inputs!$E$5:$E$140=$B66)*ISNUMBER(INDEX(Inputs!$K$5:$AJ$140,0,MATCH(AF$2,Inputs!$K$4:$AJ$4,0))))=0,NA(),SUMPRODUCT((Inputs!$A$5:$A$140=$B66)*Inputs!$B$5:$B$140*(((Inputs!$G$5:$G$140="moeda")+(Inputs!$G$5:$G$140="acoes"))*Inputs!$B$1+((Inputs!$G$5:$G$140&lt;&gt;"moeda")*(Inputs!$G$5:$G$140&lt;&gt;"acoes")))*INDEX(Inputs!$K$5:$AJ$140,0,MATCH(AF$2,Inputs!$K$4:$AJ$4,0)))+SUMPRODUCT((Inputs!$C$5:$C$140=$B66)*Inputs!$D$5:$D$140*(((Inputs!$G$5:$G$140="moeda")+(Inputs!$G$5:$G$140="acoes"))*Inputs!$B$1+((Inputs!$G$5:$G$140&lt;&gt;"moeda")*(Inputs!$G$5:$G$140&lt;&gt;"acoes")))*INDEX(Inputs!$K$5:$AJ$140,0,MATCH(AF$2,Inputs!$K$4:$AJ$4,0)))+SUMPRODUCT((Inputs!$E$5:$E$140=$B66)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6" s="265" t="e">
        <f>AF66</f>
        <v>#N/A</v>
      </c>
      <c r="AH66" s="264">
        <f>IF(ISNA(MATCH(AH$2,Inputs!$K$4:$AJ$4,0)),NA(),IF(SUMPRODUCT((Inputs!$A$5:$A$140=$B66)*ISNUMBER(INDEX(Inputs!$K$5:$AJ$140,0,MATCH(AH$2,Inputs!$K$4:$AJ$4,0))))+SUMPRODUCT((Inputs!$C$5:$C$140=$B66)*ISNUMBER(INDEX(Inputs!$K$5:$AJ$140,0,MATCH(AH$2,Inputs!$K$4:$AJ$4,0))))+SUMPRODUCT((Inputs!$E$5:$E$140=$B66)*ISNUMBER(INDEX(Inputs!$K$5:$AJ$140,0,MATCH(AH$2,Inputs!$K$4:$AJ$4,0))))=0,NA(),SUMPRODUCT((Inputs!$A$5:$A$140=$B66)*Inputs!$B$5:$B$140*(((Inputs!$G$5:$G$140="moeda")+(Inputs!$G$5:$G$140="acoes"))*Inputs!$B$1+((Inputs!$G$5:$G$140&lt;&gt;"moeda")*(Inputs!$G$5:$G$140&lt;&gt;"acoes")))*INDEX(Inputs!$K$5:$AJ$140,0,MATCH(AH$2,Inputs!$K$4:$AJ$4,0)))+SUMPRODUCT((Inputs!$C$5:$C$140=$B66)*Inputs!$D$5:$D$140*(((Inputs!$G$5:$G$140="moeda")+(Inputs!$G$5:$G$140="acoes"))*Inputs!$B$1+((Inputs!$G$5:$G$140&lt;&gt;"moeda")*(Inputs!$G$5:$G$140&lt;&gt;"acoes")))*INDEX(Inputs!$K$5:$AJ$140,0,MATCH(AH$2,Inputs!$K$4:$AJ$4,0)))+SUMPRODUCT((Inputs!$E$5:$E$140=$B66)*Inputs!$F$5:$F$140*(((Inputs!$G$5:$G$140="moeda")+(Inputs!$G$5:$G$140="acoes"))*Inputs!$B$1+((Inputs!$G$5:$G$140&lt;&gt;"moeda")*(Inputs!$G$5:$G$140&lt;&gt;"acoes")))*INDEX(Inputs!$K$5:$AJ$140,0,MATCH(AH$2,Inputs!$K$4:$AJ$4,0)))))</f>
        <v>30.3333333333333</v>
      </c>
      <c r="AI66" s="264">
        <f>IF(ISNA(MATCH(AI$2,Inputs!$K$4:$AJ$4,0)),NA(),IF(SUMPRODUCT((Inputs!$A$5:$A$140=$B66)*ISNUMBER(INDEX(Inputs!$K$5:$AJ$140,0,MATCH(AI$2,Inputs!$K$4:$AJ$4,0))))+SUMPRODUCT((Inputs!$C$5:$C$140=$B66)*ISNUMBER(INDEX(Inputs!$K$5:$AJ$140,0,MATCH(AI$2,Inputs!$K$4:$AJ$4,0))))+SUMPRODUCT((Inputs!$E$5:$E$140=$B66)*ISNUMBER(INDEX(Inputs!$K$5:$AJ$140,0,MATCH(AI$2,Inputs!$K$4:$AJ$4,0))))=0,NA(),SUMPRODUCT((Inputs!$A$5:$A$140=$B66)*Inputs!$B$5:$B$140*(((Inputs!$G$5:$G$140="moeda")+(Inputs!$G$5:$G$140="acoes"))*Inputs!$B$1+((Inputs!$G$5:$G$140&lt;&gt;"moeda")*(Inputs!$G$5:$G$140&lt;&gt;"acoes")))*INDEX(Inputs!$K$5:$AJ$140,0,MATCH(AI$2,Inputs!$K$4:$AJ$4,0)))+SUMPRODUCT((Inputs!$C$5:$C$140=$B66)*Inputs!$D$5:$D$140*(((Inputs!$G$5:$G$140="moeda")+(Inputs!$G$5:$G$140="acoes"))*Inputs!$B$1+((Inputs!$G$5:$G$140&lt;&gt;"moeda")*(Inputs!$G$5:$G$140&lt;&gt;"acoes")))*INDEX(Inputs!$K$5:$AJ$140,0,MATCH(AI$2,Inputs!$K$4:$AJ$4,0)))+SUMPRODUCT((Inputs!$E$5:$E$140=$B66)*Inputs!$F$5:$F$140*(((Inputs!$G$5:$G$140="moeda")+(Inputs!$G$5:$G$140="acoes"))*Inputs!$B$1+((Inputs!$G$5:$G$140&lt;&gt;"moeda")*(Inputs!$G$5:$G$140&lt;&gt;"acoes")))*INDEX(Inputs!$K$5:$AJ$140,0,MATCH(AI$2,Inputs!$K$4:$AJ$4,0)))))</f>
        <v>29</v>
      </c>
      <c r="AJ66" s="264">
        <f>IF(ISNA(MATCH(AJ$2,Inputs!$K$4:$AJ$4,0)),NA(),IF(SUMPRODUCT((Inputs!$A$5:$A$140=$B66)*ISNUMBER(INDEX(Inputs!$K$5:$AJ$140,0,MATCH(AJ$2,Inputs!$K$4:$AJ$4,0))))+SUMPRODUCT((Inputs!$C$5:$C$140=$B66)*ISNUMBER(INDEX(Inputs!$K$5:$AJ$140,0,MATCH(AJ$2,Inputs!$K$4:$AJ$4,0))))+SUMPRODUCT((Inputs!$E$5:$E$140=$B66)*ISNUMBER(INDEX(Inputs!$K$5:$AJ$140,0,MATCH(AJ$2,Inputs!$K$4:$AJ$4,0))))=0,NA(),SUMPRODUCT((Inputs!$A$5:$A$140=$B66)*Inputs!$B$5:$B$140*(((Inputs!$G$5:$G$140="moeda")+(Inputs!$G$5:$G$140="acoes"))*Inputs!$B$1+((Inputs!$G$5:$G$140&lt;&gt;"moeda")*(Inputs!$G$5:$G$140&lt;&gt;"acoes")))*INDEX(Inputs!$K$5:$AJ$140,0,MATCH(AJ$2,Inputs!$K$4:$AJ$4,0)))+SUMPRODUCT((Inputs!$C$5:$C$140=$B66)*Inputs!$D$5:$D$140*(((Inputs!$G$5:$G$140="moeda")+(Inputs!$G$5:$G$140="acoes"))*Inputs!$B$1+((Inputs!$G$5:$G$140&lt;&gt;"moeda")*(Inputs!$G$5:$G$140&lt;&gt;"acoes")))*INDEX(Inputs!$K$5:$AJ$140,0,MATCH(AJ$2,Inputs!$K$4:$AJ$4,0)))+SUMPRODUCT((Inputs!$E$5:$E$140=$B66)*Inputs!$F$5:$F$140*(((Inputs!$G$5:$G$140="moeda")+(Inputs!$G$5:$G$140="acoes"))*Inputs!$B$1+((Inputs!$G$5:$G$140&lt;&gt;"moeda")*(Inputs!$G$5:$G$140&lt;&gt;"acoes")))*INDEX(Inputs!$K$5:$AJ$140,0,MATCH(AJ$2,Inputs!$K$4:$AJ$4,0)))))</f>
        <v>27.6666666666667</v>
      </c>
      <c r="AK66" s="264">
        <f>IF(ISNA(MATCH(AK$2,Inputs!$K$4:$AJ$4,0)),NA(),IF(SUMPRODUCT((Inputs!$A$5:$A$140=$B66)*ISNUMBER(INDEX(Inputs!$K$5:$AJ$140,0,MATCH(AK$2,Inputs!$K$4:$AJ$4,0))))+SUMPRODUCT((Inputs!$C$5:$C$140=$B66)*ISNUMBER(INDEX(Inputs!$K$5:$AJ$140,0,MATCH(AK$2,Inputs!$K$4:$AJ$4,0))))+SUMPRODUCT((Inputs!$E$5:$E$140=$B66)*ISNUMBER(INDEX(Inputs!$K$5:$AJ$140,0,MATCH(AK$2,Inputs!$K$4:$AJ$4,0))))=0,NA(),SUMPRODUCT((Inputs!$A$5:$A$140=$B66)*Inputs!$B$5:$B$140*(((Inputs!$G$5:$G$140="moeda")+(Inputs!$G$5:$G$140="acoes"))*Inputs!$B$1+((Inputs!$G$5:$G$140&lt;&gt;"moeda")*(Inputs!$G$5:$G$140&lt;&gt;"acoes")))*INDEX(Inputs!$K$5:$AJ$140,0,MATCH(AK$2,Inputs!$K$4:$AJ$4,0)))+SUMPRODUCT((Inputs!$C$5:$C$140=$B66)*Inputs!$D$5:$D$140*(((Inputs!$G$5:$G$140="moeda")+(Inputs!$G$5:$G$140="acoes"))*Inputs!$B$1+((Inputs!$G$5:$G$140&lt;&gt;"moeda")*(Inputs!$G$5:$G$140&lt;&gt;"acoes")))*INDEX(Inputs!$K$5:$AJ$140,0,MATCH(AK$2,Inputs!$K$4:$AJ$4,0)))+SUMPRODUCT((Inputs!$E$5:$E$140=$B66)*Inputs!$F$5:$F$140*(((Inputs!$G$5:$G$140="moeda")+(Inputs!$G$5:$G$140="acoes"))*Inputs!$B$1+((Inputs!$G$5:$G$140&lt;&gt;"moeda")*(Inputs!$G$5:$G$140&lt;&gt;"acoes")))*INDEX(Inputs!$K$5:$AJ$140,0,MATCH(AK$2,Inputs!$K$4:$AJ$4,0)))))</f>
        <v>26</v>
      </c>
      <c r="AL66" s="265">
        <f>AK66</f>
        <v>26</v>
      </c>
    </row>
    <row r="67">
      <c r="B67" s="46" t="n">
        <v>59</v>
      </c>
      <c r="C67" s="29" t="inlineStr">
        <is>
          <t>Unidades em producao (l.58; media do trimestre)</t>
        </is>
      </c>
      <c r="D67" s="264">
        <f>IF(ISNA(MATCH(D$2,Inputs!$K$4:$AJ$4,0)),NA(),IF(SUMPRODUCT((Inputs!$A$5:$A$140=$B67)*ISNUMBER(INDEX(Inputs!$K$5:$AJ$140,0,MATCH(D$2,Inputs!$K$4:$AJ$4,0))))+SUMPRODUCT((Inputs!$C$5:$C$140=$B67)*ISNUMBER(INDEX(Inputs!$K$5:$AJ$140,0,MATCH(D$2,Inputs!$K$4:$AJ$4,0))))+SUMPRODUCT((Inputs!$E$5:$E$140=$B67)*ISNUMBER(INDEX(Inputs!$K$5:$AJ$140,0,MATCH(D$2,Inputs!$K$4:$AJ$4,0))))=0,NA(),SUMPRODUCT((Inputs!$A$5:$A$140=$B67)*Inputs!$B$5:$B$140*(((Inputs!$G$5:$G$140="moeda")+(Inputs!$G$5:$G$140="acoes"))*Inputs!$B$1+((Inputs!$G$5:$G$140&lt;&gt;"moeda")*(Inputs!$G$5:$G$140&lt;&gt;"acoes")))*INDEX(Inputs!$K$5:$AJ$140,0,MATCH(D$2,Inputs!$K$4:$AJ$4,0)))+SUMPRODUCT((Inputs!$C$5:$C$140=$B67)*Inputs!$D$5:$D$140*(((Inputs!$G$5:$G$140="moeda")+(Inputs!$G$5:$G$140="acoes"))*Inputs!$B$1+((Inputs!$G$5:$G$140&lt;&gt;"moeda")*(Inputs!$G$5:$G$140&lt;&gt;"acoes")))*INDEX(Inputs!$K$5:$AJ$140,0,MATCH(D$2,Inputs!$K$4:$AJ$4,0)))+SUMPRODUCT((Inputs!$E$5:$E$140=$B67)*Inputs!$F$5:$F$140*(((Inputs!$G$5:$G$140="moeda")+(Inputs!$G$5:$G$140="acoes"))*Inputs!$B$1+((Inputs!$G$5:$G$140&lt;&gt;"moeda")*(Inputs!$G$5:$G$140&lt;&gt;"acoes")))*INDEX(Inputs!$K$5:$AJ$140,0,MATCH(D$2,Inputs!$K$4:$AJ$4,0)))))</f>
        <v>11232.6666666667</v>
      </c>
      <c r="E67" s="264">
        <f>IF(ISNA(MATCH(E$2,Inputs!$K$4:$AJ$4,0)),NA(),IF(SUMPRODUCT((Inputs!$A$5:$A$140=$B67)*ISNUMBER(INDEX(Inputs!$K$5:$AJ$140,0,MATCH(E$2,Inputs!$K$4:$AJ$4,0))))+SUMPRODUCT((Inputs!$C$5:$C$140=$B67)*ISNUMBER(INDEX(Inputs!$K$5:$AJ$140,0,MATCH(E$2,Inputs!$K$4:$AJ$4,0))))+SUMPRODUCT((Inputs!$E$5:$E$140=$B67)*ISNUMBER(INDEX(Inputs!$K$5:$AJ$140,0,MATCH(E$2,Inputs!$K$4:$AJ$4,0))))=0,NA(),SUMPRODUCT((Inputs!$A$5:$A$140=$B67)*Inputs!$B$5:$B$140*(((Inputs!$G$5:$G$140="moeda")+(Inputs!$G$5:$G$140="acoes"))*Inputs!$B$1+((Inputs!$G$5:$G$140&lt;&gt;"moeda")*(Inputs!$G$5:$G$140&lt;&gt;"acoes")))*INDEX(Inputs!$K$5:$AJ$140,0,MATCH(E$2,Inputs!$K$4:$AJ$4,0)))+SUMPRODUCT((Inputs!$C$5:$C$140=$B67)*Inputs!$D$5:$D$140*(((Inputs!$G$5:$G$140="moeda")+(Inputs!$G$5:$G$140="acoes"))*Inputs!$B$1+((Inputs!$G$5:$G$140&lt;&gt;"moeda")*(Inputs!$G$5:$G$140&lt;&gt;"acoes")))*INDEX(Inputs!$K$5:$AJ$140,0,MATCH(E$2,Inputs!$K$4:$AJ$4,0)))+SUMPRODUCT((Inputs!$E$5:$E$140=$B67)*Inputs!$F$5:$F$140*(((Inputs!$G$5:$G$140="moeda")+(Inputs!$G$5:$G$140="acoes"))*Inputs!$B$1+((Inputs!$G$5:$G$140&lt;&gt;"moeda")*(Inputs!$G$5:$G$140&lt;&gt;"acoes")))*INDEX(Inputs!$K$5:$AJ$140,0,MATCH(E$2,Inputs!$K$4:$AJ$4,0)))))</f>
        <v>16148</v>
      </c>
      <c r="F67" s="264">
        <f>IF(ISNA(MATCH(F$2,Inputs!$K$4:$AJ$4,0)),NA(),IF(SUMPRODUCT((Inputs!$A$5:$A$140=$B67)*ISNUMBER(INDEX(Inputs!$K$5:$AJ$140,0,MATCH(F$2,Inputs!$K$4:$AJ$4,0))))+SUMPRODUCT((Inputs!$C$5:$C$140=$B67)*ISNUMBER(INDEX(Inputs!$K$5:$AJ$140,0,MATCH(F$2,Inputs!$K$4:$AJ$4,0))))+SUMPRODUCT((Inputs!$E$5:$E$140=$B67)*ISNUMBER(INDEX(Inputs!$K$5:$AJ$140,0,MATCH(F$2,Inputs!$K$4:$AJ$4,0))))=0,NA(),SUMPRODUCT((Inputs!$A$5:$A$140=$B67)*Inputs!$B$5:$B$140*(((Inputs!$G$5:$G$140="moeda")+(Inputs!$G$5:$G$140="acoes"))*Inputs!$B$1+((Inputs!$G$5:$G$140&lt;&gt;"moeda")*(Inputs!$G$5:$G$140&lt;&gt;"acoes")))*INDEX(Inputs!$K$5:$AJ$140,0,MATCH(F$2,Inputs!$K$4:$AJ$4,0)))+SUMPRODUCT((Inputs!$C$5:$C$140=$B67)*Inputs!$D$5:$D$140*(((Inputs!$G$5:$G$140="moeda")+(Inputs!$G$5:$G$140="acoes"))*Inputs!$B$1+((Inputs!$G$5:$G$140&lt;&gt;"moeda")*(Inputs!$G$5:$G$140&lt;&gt;"acoes")))*INDEX(Inputs!$K$5:$AJ$140,0,MATCH(F$2,Inputs!$K$4:$AJ$4,0)))+SUMPRODUCT((Inputs!$E$5:$E$140=$B67)*Inputs!$F$5:$F$140*(((Inputs!$G$5:$G$140="moeda")+(Inputs!$G$5:$G$140="acoes"))*Inputs!$B$1+((Inputs!$G$5:$G$140&lt;&gt;"moeda")*(Inputs!$G$5:$G$140&lt;&gt;"acoes")))*INDEX(Inputs!$K$5:$AJ$140,0,MATCH(F$2,Inputs!$K$4:$AJ$4,0)))))</f>
        <v>19582</v>
      </c>
      <c r="G67" s="264">
        <f>IF(ISNA(MATCH(G$2,Inputs!$K$4:$AJ$4,0)),NA(),IF(SUMPRODUCT((Inputs!$A$5:$A$140=$B67)*ISNUMBER(INDEX(Inputs!$K$5:$AJ$140,0,MATCH(G$2,Inputs!$K$4:$AJ$4,0))))+SUMPRODUCT((Inputs!$C$5:$C$140=$B67)*ISNUMBER(INDEX(Inputs!$K$5:$AJ$140,0,MATCH(G$2,Inputs!$K$4:$AJ$4,0))))+SUMPRODUCT((Inputs!$E$5:$E$140=$B67)*ISNUMBER(INDEX(Inputs!$K$5:$AJ$140,0,MATCH(G$2,Inputs!$K$4:$AJ$4,0))))=0,NA(),SUMPRODUCT((Inputs!$A$5:$A$140=$B67)*Inputs!$B$5:$B$140*(((Inputs!$G$5:$G$140="moeda")+(Inputs!$G$5:$G$140="acoes"))*Inputs!$B$1+((Inputs!$G$5:$G$140&lt;&gt;"moeda")*(Inputs!$G$5:$G$140&lt;&gt;"acoes")))*INDEX(Inputs!$K$5:$AJ$140,0,MATCH(G$2,Inputs!$K$4:$AJ$4,0)))+SUMPRODUCT((Inputs!$C$5:$C$140=$B67)*Inputs!$D$5:$D$140*(((Inputs!$G$5:$G$140="moeda")+(Inputs!$G$5:$G$140="acoes"))*Inputs!$B$1+((Inputs!$G$5:$G$140&lt;&gt;"moeda")*(Inputs!$G$5:$G$140&lt;&gt;"acoes")))*INDEX(Inputs!$K$5:$AJ$140,0,MATCH(G$2,Inputs!$K$4:$AJ$4,0)))+SUMPRODUCT((Inputs!$E$5:$E$140=$B67)*Inputs!$F$5:$F$140*(((Inputs!$G$5:$G$140="moeda")+(Inputs!$G$5:$G$140="acoes"))*Inputs!$B$1+((Inputs!$G$5:$G$140&lt;&gt;"moeda")*(Inputs!$G$5:$G$140&lt;&gt;"acoes")))*INDEX(Inputs!$K$5:$AJ$140,0,MATCH(G$2,Inputs!$K$4:$AJ$4,0)))))</f>
        <v>17406</v>
      </c>
      <c r="H67" s="265">
        <f>G67</f>
        <v>17406</v>
      </c>
      <c r="I67" s="264">
        <f>IF(ISNA(MATCH(I$2,Inputs!$K$4:$AJ$4,0)),NA(),IF(SUMPRODUCT((Inputs!$A$5:$A$140=$B67)*ISNUMBER(INDEX(Inputs!$K$5:$AJ$140,0,MATCH(I$2,Inputs!$K$4:$AJ$4,0))))+SUMPRODUCT((Inputs!$C$5:$C$140=$B67)*ISNUMBER(INDEX(Inputs!$K$5:$AJ$140,0,MATCH(I$2,Inputs!$K$4:$AJ$4,0))))+SUMPRODUCT((Inputs!$E$5:$E$140=$B67)*ISNUMBER(INDEX(Inputs!$K$5:$AJ$140,0,MATCH(I$2,Inputs!$K$4:$AJ$4,0))))=0,NA(),SUMPRODUCT((Inputs!$A$5:$A$140=$B67)*Inputs!$B$5:$B$140*(((Inputs!$G$5:$G$140="moeda")+(Inputs!$G$5:$G$140="acoes"))*Inputs!$B$1+((Inputs!$G$5:$G$140&lt;&gt;"moeda")*(Inputs!$G$5:$G$140&lt;&gt;"acoes")))*INDEX(Inputs!$K$5:$AJ$140,0,MATCH(I$2,Inputs!$K$4:$AJ$4,0)))+SUMPRODUCT((Inputs!$C$5:$C$140=$B67)*Inputs!$D$5:$D$140*(((Inputs!$G$5:$G$140="moeda")+(Inputs!$G$5:$G$140="acoes"))*Inputs!$B$1+((Inputs!$G$5:$G$140&lt;&gt;"moeda")*(Inputs!$G$5:$G$140&lt;&gt;"acoes")))*INDEX(Inputs!$K$5:$AJ$140,0,MATCH(I$2,Inputs!$K$4:$AJ$4,0)))+SUMPRODUCT((Inputs!$E$5:$E$140=$B67)*Inputs!$F$5:$F$140*(((Inputs!$G$5:$G$140="moeda")+(Inputs!$G$5:$G$140="acoes"))*Inputs!$B$1+((Inputs!$G$5:$G$140&lt;&gt;"moeda")*(Inputs!$G$5:$G$140&lt;&gt;"acoes")))*INDEX(Inputs!$K$5:$AJ$140,0,MATCH(I$2,Inputs!$K$4:$AJ$4,0)))))</f>
        <v>19454</v>
      </c>
      <c r="J67" s="264">
        <f>IF(ISNA(MATCH(J$2,Inputs!$K$4:$AJ$4,0)),NA(),IF(SUMPRODUCT((Inputs!$A$5:$A$140=$B67)*ISNUMBER(INDEX(Inputs!$K$5:$AJ$140,0,MATCH(J$2,Inputs!$K$4:$AJ$4,0))))+SUMPRODUCT((Inputs!$C$5:$C$140=$B67)*ISNUMBER(INDEX(Inputs!$K$5:$AJ$140,0,MATCH(J$2,Inputs!$K$4:$AJ$4,0))))+SUMPRODUCT((Inputs!$E$5:$E$140=$B67)*ISNUMBER(INDEX(Inputs!$K$5:$AJ$140,0,MATCH(J$2,Inputs!$K$4:$AJ$4,0))))=0,NA(),SUMPRODUCT((Inputs!$A$5:$A$140=$B67)*Inputs!$B$5:$B$140*(((Inputs!$G$5:$G$140="moeda")+(Inputs!$G$5:$G$140="acoes"))*Inputs!$B$1+((Inputs!$G$5:$G$140&lt;&gt;"moeda")*(Inputs!$G$5:$G$140&lt;&gt;"acoes")))*INDEX(Inputs!$K$5:$AJ$140,0,MATCH(J$2,Inputs!$K$4:$AJ$4,0)))+SUMPRODUCT((Inputs!$C$5:$C$140=$B67)*Inputs!$D$5:$D$140*(((Inputs!$G$5:$G$140="moeda")+(Inputs!$G$5:$G$140="acoes"))*Inputs!$B$1+((Inputs!$G$5:$G$140&lt;&gt;"moeda")*(Inputs!$G$5:$G$140&lt;&gt;"acoes")))*INDEX(Inputs!$K$5:$AJ$140,0,MATCH(J$2,Inputs!$K$4:$AJ$4,0)))+SUMPRODUCT((Inputs!$E$5:$E$140=$B67)*Inputs!$F$5:$F$140*(((Inputs!$G$5:$G$140="moeda")+(Inputs!$G$5:$G$140="acoes"))*Inputs!$B$1+((Inputs!$G$5:$G$140&lt;&gt;"moeda")*(Inputs!$G$5:$G$140&lt;&gt;"acoes")))*INDEX(Inputs!$K$5:$AJ$140,0,MATCH(J$2,Inputs!$K$4:$AJ$4,0)))))</f>
        <v>21069</v>
      </c>
      <c r="K67" s="264">
        <f>IF(ISNA(MATCH(K$2,Inputs!$K$4:$AJ$4,0)),NA(),IF(SUMPRODUCT((Inputs!$A$5:$A$140=$B67)*ISNUMBER(INDEX(Inputs!$K$5:$AJ$140,0,MATCH(K$2,Inputs!$K$4:$AJ$4,0))))+SUMPRODUCT((Inputs!$C$5:$C$140=$B67)*ISNUMBER(INDEX(Inputs!$K$5:$AJ$140,0,MATCH(K$2,Inputs!$K$4:$AJ$4,0))))+SUMPRODUCT((Inputs!$E$5:$E$140=$B67)*ISNUMBER(INDEX(Inputs!$K$5:$AJ$140,0,MATCH(K$2,Inputs!$K$4:$AJ$4,0))))=0,NA(),SUMPRODUCT((Inputs!$A$5:$A$140=$B67)*Inputs!$B$5:$B$140*(((Inputs!$G$5:$G$140="moeda")+(Inputs!$G$5:$G$140="acoes"))*Inputs!$B$1+((Inputs!$G$5:$G$140&lt;&gt;"moeda")*(Inputs!$G$5:$G$140&lt;&gt;"acoes")))*INDEX(Inputs!$K$5:$AJ$140,0,MATCH(K$2,Inputs!$K$4:$AJ$4,0)))+SUMPRODUCT((Inputs!$C$5:$C$140=$B67)*Inputs!$D$5:$D$140*(((Inputs!$G$5:$G$140="moeda")+(Inputs!$G$5:$G$140="acoes"))*Inputs!$B$1+((Inputs!$G$5:$G$140&lt;&gt;"moeda")*(Inputs!$G$5:$G$140&lt;&gt;"acoes")))*INDEX(Inputs!$K$5:$AJ$140,0,MATCH(K$2,Inputs!$K$4:$AJ$4,0)))+SUMPRODUCT((Inputs!$E$5:$E$140=$B67)*Inputs!$F$5:$F$140*(((Inputs!$G$5:$G$140="moeda")+(Inputs!$G$5:$G$140="acoes"))*Inputs!$B$1+((Inputs!$G$5:$G$140&lt;&gt;"moeda")*(Inputs!$G$5:$G$140&lt;&gt;"acoes")))*INDEX(Inputs!$K$5:$AJ$140,0,MATCH(K$2,Inputs!$K$4:$AJ$4,0)))))</f>
        <v>21994</v>
      </c>
      <c r="L67" s="264">
        <f>IF(ISNA(MATCH(L$2,Inputs!$K$4:$AJ$4,0)),NA(),IF(SUMPRODUCT((Inputs!$A$5:$A$140=$B67)*ISNUMBER(INDEX(Inputs!$K$5:$AJ$140,0,MATCH(L$2,Inputs!$K$4:$AJ$4,0))))+SUMPRODUCT((Inputs!$C$5:$C$140=$B67)*ISNUMBER(INDEX(Inputs!$K$5:$AJ$140,0,MATCH(L$2,Inputs!$K$4:$AJ$4,0))))+SUMPRODUCT((Inputs!$E$5:$E$140=$B67)*ISNUMBER(INDEX(Inputs!$K$5:$AJ$140,0,MATCH(L$2,Inputs!$K$4:$AJ$4,0))))=0,NA(),SUMPRODUCT((Inputs!$A$5:$A$140=$B67)*Inputs!$B$5:$B$140*(((Inputs!$G$5:$G$140="moeda")+(Inputs!$G$5:$G$140="acoes"))*Inputs!$B$1+((Inputs!$G$5:$G$140&lt;&gt;"moeda")*(Inputs!$G$5:$G$140&lt;&gt;"acoes")))*INDEX(Inputs!$K$5:$AJ$140,0,MATCH(L$2,Inputs!$K$4:$AJ$4,0)))+SUMPRODUCT((Inputs!$C$5:$C$140=$B67)*Inputs!$D$5:$D$140*(((Inputs!$G$5:$G$140="moeda")+(Inputs!$G$5:$G$140="acoes"))*Inputs!$B$1+((Inputs!$G$5:$G$140&lt;&gt;"moeda")*(Inputs!$G$5:$G$140&lt;&gt;"acoes")))*INDEX(Inputs!$K$5:$AJ$140,0,MATCH(L$2,Inputs!$K$4:$AJ$4,0)))+SUMPRODUCT((Inputs!$E$5:$E$140=$B67)*Inputs!$F$5:$F$140*(((Inputs!$G$5:$G$140="moeda")+(Inputs!$G$5:$G$140="acoes"))*Inputs!$B$1+((Inputs!$G$5:$G$140&lt;&gt;"moeda")*(Inputs!$G$5:$G$140&lt;&gt;"acoes")))*INDEX(Inputs!$K$5:$AJ$140,0,MATCH(L$2,Inputs!$K$4:$AJ$4,0)))))</f>
        <v>22946</v>
      </c>
      <c r="M67" s="265">
        <f>L67</f>
        <v>22946</v>
      </c>
      <c r="N67" s="264">
        <f>IF(ISNA(MATCH(N$2,Inputs!$K$4:$AJ$4,0)),NA(),IF(SUMPRODUCT((Inputs!$A$5:$A$140=$B67)*ISNUMBER(INDEX(Inputs!$K$5:$AJ$140,0,MATCH(N$2,Inputs!$K$4:$AJ$4,0))))+SUMPRODUCT((Inputs!$C$5:$C$140=$B67)*ISNUMBER(INDEX(Inputs!$K$5:$AJ$140,0,MATCH(N$2,Inputs!$K$4:$AJ$4,0))))+SUMPRODUCT((Inputs!$E$5:$E$140=$B67)*ISNUMBER(INDEX(Inputs!$K$5:$AJ$140,0,MATCH(N$2,Inputs!$K$4:$AJ$4,0))))=0,NA(),SUMPRODUCT((Inputs!$A$5:$A$140=$B67)*Inputs!$B$5:$B$140*(((Inputs!$G$5:$G$140="moeda")+(Inputs!$G$5:$G$140="acoes"))*Inputs!$B$1+((Inputs!$G$5:$G$140&lt;&gt;"moeda")*(Inputs!$G$5:$G$140&lt;&gt;"acoes")))*INDEX(Inputs!$K$5:$AJ$140,0,MATCH(N$2,Inputs!$K$4:$AJ$4,0)))+SUMPRODUCT((Inputs!$C$5:$C$140=$B67)*Inputs!$D$5:$D$140*(((Inputs!$G$5:$G$140="moeda")+(Inputs!$G$5:$G$140="acoes"))*Inputs!$B$1+((Inputs!$G$5:$G$140&lt;&gt;"moeda")*(Inputs!$G$5:$G$140&lt;&gt;"acoes")))*INDEX(Inputs!$K$5:$AJ$140,0,MATCH(N$2,Inputs!$K$4:$AJ$4,0)))+SUMPRODUCT((Inputs!$E$5:$E$140=$B67)*Inputs!$F$5:$F$140*(((Inputs!$G$5:$G$140="moeda")+(Inputs!$G$5:$G$140="acoes"))*Inputs!$B$1+((Inputs!$G$5:$G$140&lt;&gt;"moeda")*(Inputs!$G$5:$G$140&lt;&gt;"acoes")))*INDEX(Inputs!$K$5:$AJ$140,0,MATCH(N$2,Inputs!$K$4:$AJ$4,0)))))</f>
        <v>25009</v>
      </c>
      <c r="O67" s="264">
        <f>IF(ISNA(MATCH(O$2,Inputs!$K$4:$AJ$4,0)),NA(),IF(SUMPRODUCT((Inputs!$A$5:$A$140=$B67)*ISNUMBER(INDEX(Inputs!$K$5:$AJ$140,0,MATCH(O$2,Inputs!$K$4:$AJ$4,0))))+SUMPRODUCT((Inputs!$C$5:$C$140=$B67)*ISNUMBER(INDEX(Inputs!$K$5:$AJ$140,0,MATCH(O$2,Inputs!$K$4:$AJ$4,0))))+SUMPRODUCT((Inputs!$E$5:$E$140=$B67)*ISNUMBER(INDEX(Inputs!$K$5:$AJ$140,0,MATCH(O$2,Inputs!$K$4:$AJ$4,0))))=0,NA(),SUMPRODUCT((Inputs!$A$5:$A$140=$B67)*Inputs!$B$5:$B$140*(((Inputs!$G$5:$G$140="moeda")+(Inputs!$G$5:$G$140="acoes"))*Inputs!$B$1+((Inputs!$G$5:$G$140&lt;&gt;"moeda")*(Inputs!$G$5:$G$140&lt;&gt;"acoes")))*INDEX(Inputs!$K$5:$AJ$140,0,MATCH(O$2,Inputs!$K$4:$AJ$4,0)))+SUMPRODUCT((Inputs!$C$5:$C$140=$B67)*Inputs!$D$5:$D$140*(((Inputs!$G$5:$G$140="moeda")+(Inputs!$G$5:$G$140="acoes"))*Inputs!$B$1+((Inputs!$G$5:$G$140&lt;&gt;"moeda")*(Inputs!$G$5:$G$140&lt;&gt;"acoes")))*INDEX(Inputs!$K$5:$AJ$140,0,MATCH(O$2,Inputs!$K$4:$AJ$4,0)))+SUMPRODUCT((Inputs!$E$5:$E$140=$B67)*Inputs!$F$5:$F$140*(((Inputs!$G$5:$G$140="moeda")+(Inputs!$G$5:$G$140="acoes"))*Inputs!$B$1+((Inputs!$G$5:$G$140&lt;&gt;"moeda")*(Inputs!$G$5:$G$140&lt;&gt;"acoes")))*INDEX(Inputs!$K$5:$AJ$140,0,MATCH(O$2,Inputs!$K$4:$AJ$4,0)))))</f>
        <v>25821</v>
      </c>
      <c r="P67" s="264">
        <f>IF(ISNA(MATCH(P$2,Inputs!$K$4:$AJ$4,0)),NA(),IF(SUMPRODUCT((Inputs!$A$5:$A$140=$B67)*ISNUMBER(INDEX(Inputs!$K$5:$AJ$140,0,MATCH(P$2,Inputs!$K$4:$AJ$4,0))))+SUMPRODUCT((Inputs!$C$5:$C$140=$B67)*ISNUMBER(INDEX(Inputs!$K$5:$AJ$140,0,MATCH(P$2,Inputs!$K$4:$AJ$4,0))))+SUMPRODUCT((Inputs!$E$5:$E$140=$B67)*ISNUMBER(INDEX(Inputs!$K$5:$AJ$140,0,MATCH(P$2,Inputs!$K$4:$AJ$4,0))))=0,NA(),SUMPRODUCT((Inputs!$A$5:$A$140=$B67)*Inputs!$B$5:$B$140*(((Inputs!$G$5:$G$140="moeda")+(Inputs!$G$5:$G$140="acoes"))*Inputs!$B$1+((Inputs!$G$5:$G$140&lt;&gt;"moeda")*(Inputs!$G$5:$G$140&lt;&gt;"acoes")))*INDEX(Inputs!$K$5:$AJ$140,0,MATCH(P$2,Inputs!$K$4:$AJ$4,0)))+SUMPRODUCT((Inputs!$C$5:$C$140=$B67)*Inputs!$D$5:$D$140*(((Inputs!$G$5:$G$140="moeda")+(Inputs!$G$5:$G$140="acoes"))*Inputs!$B$1+((Inputs!$G$5:$G$140&lt;&gt;"moeda")*(Inputs!$G$5:$G$140&lt;&gt;"acoes")))*INDEX(Inputs!$K$5:$AJ$140,0,MATCH(P$2,Inputs!$K$4:$AJ$4,0)))+SUMPRODUCT((Inputs!$E$5:$E$140=$B67)*Inputs!$F$5:$F$140*(((Inputs!$G$5:$G$140="moeda")+(Inputs!$G$5:$G$140="acoes"))*Inputs!$B$1+((Inputs!$G$5:$G$140&lt;&gt;"moeda")*(Inputs!$G$5:$G$140&lt;&gt;"acoes")))*INDEX(Inputs!$K$5:$AJ$140,0,MATCH(P$2,Inputs!$K$4:$AJ$4,0)))))</f>
        <v>30815</v>
      </c>
      <c r="Q67" s="264">
        <f>IF(ISNA(MATCH(Q$2,Inputs!$K$4:$AJ$4,0)),NA(),IF(SUMPRODUCT((Inputs!$A$5:$A$140=$B67)*ISNUMBER(INDEX(Inputs!$K$5:$AJ$140,0,MATCH(Q$2,Inputs!$K$4:$AJ$4,0))))+SUMPRODUCT((Inputs!$C$5:$C$140=$B67)*ISNUMBER(INDEX(Inputs!$K$5:$AJ$140,0,MATCH(Q$2,Inputs!$K$4:$AJ$4,0))))+SUMPRODUCT((Inputs!$E$5:$E$140=$B67)*ISNUMBER(INDEX(Inputs!$K$5:$AJ$140,0,MATCH(Q$2,Inputs!$K$4:$AJ$4,0))))=0,NA(),SUMPRODUCT((Inputs!$A$5:$A$140=$B67)*Inputs!$B$5:$B$140*(((Inputs!$G$5:$G$140="moeda")+(Inputs!$G$5:$G$140="acoes"))*Inputs!$B$1+((Inputs!$G$5:$G$140&lt;&gt;"moeda")*(Inputs!$G$5:$G$140&lt;&gt;"acoes")))*INDEX(Inputs!$K$5:$AJ$140,0,MATCH(Q$2,Inputs!$K$4:$AJ$4,0)))+SUMPRODUCT((Inputs!$C$5:$C$140=$B67)*Inputs!$D$5:$D$140*(((Inputs!$G$5:$G$140="moeda")+(Inputs!$G$5:$G$140="acoes"))*Inputs!$B$1+((Inputs!$G$5:$G$140&lt;&gt;"moeda")*(Inputs!$G$5:$G$140&lt;&gt;"acoes")))*INDEX(Inputs!$K$5:$AJ$140,0,MATCH(Q$2,Inputs!$K$4:$AJ$4,0)))+SUMPRODUCT((Inputs!$E$5:$E$140=$B67)*Inputs!$F$5:$F$140*(((Inputs!$G$5:$G$140="moeda")+(Inputs!$G$5:$G$140="acoes"))*Inputs!$B$1+((Inputs!$G$5:$G$140&lt;&gt;"moeda")*(Inputs!$G$5:$G$140&lt;&gt;"acoes")))*INDEX(Inputs!$K$5:$AJ$140,0,MATCH(Q$2,Inputs!$K$4:$AJ$4,0)))))</f>
        <v>31082</v>
      </c>
      <c r="R67" s="265">
        <f>Q67</f>
        <v>31082</v>
      </c>
      <c r="S67" s="264">
        <f>IF(ISNA(MATCH(S$2,Inputs!$K$4:$AJ$4,0)),NA(),IF(SUMPRODUCT((Inputs!$A$5:$A$140=$B67)*ISNUMBER(INDEX(Inputs!$K$5:$AJ$140,0,MATCH(S$2,Inputs!$K$4:$AJ$4,0))))+SUMPRODUCT((Inputs!$C$5:$C$140=$B67)*ISNUMBER(INDEX(Inputs!$K$5:$AJ$140,0,MATCH(S$2,Inputs!$K$4:$AJ$4,0))))+SUMPRODUCT((Inputs!$E$5:$E$140=$B67)*ISNUMBER(INDEX(Inputs!$K$5:$AJ$140,0,MATCH(S$2,Inputs!$K$4:$AJ$4,0))))=0,NA(),SUMPRODUCT((Inputs!$A$5:$A$140=$B67)*Inputs!$B$5:$B$140*(((Inputs!$G$5:$G$140="moeda")+(Inputs!$G$5:$G$140="acoes"))*Inputs!$B$1+((Inputs!$G$5:$G$140&lt;&gt;"moeda")*(Inputs!$G$5:$G$140&lt;&gt;"acoes")))*INDEX(Inputs!$K$5:$AJ$140,0,MATCH(S$2,Inputs!$K$4:$AJ$4,0)))+SUMPRODUCT((Inputs!$C$5:$C$140=$B67)*Inputs!$D$5:$D$140*(((Inputs!$G$5:$G$140="moeda")+(Inputs!$G$5:$G$140="acoes"))*Inputs!$B$1+((Inputs!$G$5:$G$140&lt;&gt;"moeda")*(Inputs!$G$5:$G$140&lt;&gt;"acoes")))*INDEX(Inputs!$K$5:$AJ$140,0,MATCH(S$2,Inputs!$K$4:$AJ$4,0)))+SUMPRODUCT((Inputs!$E$5:$E$140=$B67)*Inputs!$F$5:$F$140*(((Inputs!$G$5:$G$140="moeda")+(Inputs!$G$5:$G$140="acoes"))*Inputs!$B$1+((Inputs!$G$5:$G$140&lt;&gt;"moeda")*(Inputs!$G$5:$G$140&lt;&gt;"acoes")))*INDEX(Inputs!$K$5:$AJ$140,0,MATCH(S$2,Inputs!$K$4:$AJ$4,0)))))</f>
        <v>33294</v>
      </c>
      <c r="T67" s="264">
        <f>IF(ISNA(MATCH(T$2,Inputs!$K$4:$AJ$4,0)),NA(),IF(SUMPRODUCT((Inputs!$A$5:$A$140=$B67)*ISNUMBER(INDEX(Inputs!$K$5:$AJ$140,0,MATCH(T$2,Inputs!$K$4:$AJ$4,0))))+SUMPRODUCT((Inputs!$C$5:$C$140=$B67)*ISNUMBER(INDEX(Inputs!$K$5:$AJ$140,0,MATCH(T$2,Inputs!$K$4:$AJ$4,0))))+SUMPRODUCT((Inputs!$E$5:$E$140=$B67)*ISNUMBER(INDEX(Inputs!$K$5:$AJ$140,0,MATCH(T$2,Inputs!$K$4:$AJ$4,0))))=0,NA(),SUMPRODUCT((Inputs!$A$5:$A$140=$B67)*Inputs!$B$5:$B$140*(((Inputs!$G$5:$G$140="moeda")+(Inputs!$G$5:$G$140="acoes"))*Inputs!$B$1+((Inputs!$G$5:$G$140&lt;&gt;"moeda")*(Inputs!$G$5:$G$140&lt;&gt;"acoes")))*INDEX(Inputs!$K$5:$AJ$140,0,MATCH(T$2,Inputs!$K$4:$AJ$4,0)))+SUMPRODUCT((Inputs!$C$5:$C$140=$B67)*Inputs!$D$5:$D$140*(((Inputs!$G$5:$G$140="moeda")+(Inputs!$G$5:$G$140="acoes"))*Inputs!$B$1+((Inputs!$G$5:$G$140&lt;&gt;"moeda")*(Inputs!$G$5:$G$140&lt;&gt;"acoes")))*INDEX(Inputs!$K$5:$AJ$140,0,MATCH(T$2,Inputs!$K$4:$AJ$4,0)))+SUMPRODUCT((Inputs!$E$5:$E$140=$B67)*Inputs!$F$5:$F$140*(((Inputs!$G$5:$G$140="moeda")+(Inputs!$G$5:$G$140="acoes"))*Inputs!$B$1+((Inputs!$G$5:$G$140&lt;&gt;"moeda")*(Inputs!$G$5:$G$140&lt;&gt;"acoes")))*INDEX(Inputs!$K$5:$AJ$140,0,MATCH(T$2,Inputs!$K$4:$AJ$4,0)))))</f>
        <v>35713</v>
      </c>
      <c r="U67" s="264">
        <f>IF(ISNA(MATCH(U$2,Inputs!$K$4:$AJ$4,0)),NA(),IF(SUMPRODUCT((Inputs!$A$5:$A$140=$B67)*ISNUMBER(INDEX(Inputs!$K$5:$AJ$140,0,MATCH(U$2,Inputs!$K$4:$AJ$4,0))))+SUMPRODUCT((Inputs!$C$5:$C$140=$B67)*ISNUMBER(INDEX(Inputs!$K$5:$AJ$140,0,MATCH(U$2,Inputs!$K$4:$AJ$4,0))))+SUMPRODUCT((Inputs!$E$5:$E$140=$B67)*ISNUMBER(INDEX(Inputs!$K$5:$AJ$140,0,MATCH(U$2,Inputs!$K$4:$AJ$4,0))))=0,NA(),SUMPRODUCT((Inputs!$A$5:$A$140=$B67)*Inputs!$B$5:$B$140*(((Inputs!$G$5:$G$140="moeda")+(Inputs!$G$5:$G$140="acoes"))*Inputs!$B$1+((Inputs!$G$5:$G$140&lt;&gt;"moeda")*(Inputs!$G$5:$G$140&lt;&gt;"acoes")))*INDEX(Inputs!$K$5:$AJ$140,0,MATCH(U$2,Inputs!$K$4:$AJ$4,0)))+SUMPRODUCT((Inputs!$C$5:$C$140=$B67)*Inputs!$D$5:$D$140*(((Inputs!$G$5:$G$140="moeda")+(Inputs!$G$5:$G$140="acoes"))*Inputs!$B$1+((Inputs!$G$5:$G$140&lt;&gt;"moeda")*(Inputs!$G$5:$G$140&lt;&gt;"acoes")))*INDEX(Inputs!$K$5:$AJ$140,0,MATCH(U$2,Inputs!$K$4:$AJ$4,0)))+SUMPRODUCT((Inputs!$E$5:$E$140=$B67)*Inputs!$F$5:$F$140*(((Inputs!$G$5:$G$140="moeda")+(Inputs!$G$5:$G$140="acoes"))*Inputs!$B$1+((Inputs!$G$5:$G$140&lt;&gt;"moeda")*(Inputs!$G$5:$G$140&lt;&gt;"acoes")))*INDEX(Inputs!$K$5:$AJ$140,0,MATCH(U$2,Inputs!$K$4:$AJ$4,0)))))</f>
        <v>39398</v>
      </c>
      <c r="V67" s="264">
        <f>IF(ISNA(MATCH(V$2,Inputs!$K$4:$AJ$4,0)),NA(),IF(SUMPRODUCT((Inputs!$A$5:$A$140=$B67)*ISNUMBER(INDEX(Inputs!$K$5:$AJ$140,0,MATCH(V$2,Inputs!$K$4:$AJ$4,0))))+SUMPRODUCT((Inputs!$C$5:$C$140=$B67)*ISNUMBER(INDEX(Inputs!$K$5:$AJ$140,0,MATCH(V$2,Inputs!$K$4:$AJ$4,0))))+SUMPRODUCT((Inputs!$E$5:$E$140=$B67)*ISNUMBER(INDEX(Inputs!$K$5:$AJ$140,0,MATCH(V$2,Inputs!$K$4:$AJ$4,0))))=0,NA(),SUMPRODUCT((Inputs!$A$5:$A$140=$B67)*Inputs!$B$5:$B$140*(((Inputs!$G$5:$G$140="moeda")+(Inputs!$G$5:$G$140="acoes"))*Inputs!$B$1+((Inputs!$G$5:$G$140&lt;&gt;"moeda")*(Inputs!$G$5:$G$140&lt;&gt;"acoes")))*INDEX(Inputs!$K$5:$AJ$140,0,MATCH(V$2,Inputs!$K$4:$AJ$4,0)))+SUMPRODUCT((Inputs!$C$5:$C$140=$B67)*Inputs!$D$5:$D$140*(((Inputs!$G$5:$G$140="moeda")+(Inputs!$G$5:$G$140="acoes"))*Inputs!$B$1+((Inputs!$G$5:$G$140&lt;&gt;"moeda")*(Inputs!$G$5:$G$140&lt;&gt;"acoes")))*INDEX(Inputs!$K$5:$AJ$140,0,MATCH(V$2,Inputs!$K$4:$AJ$4,0)))+SUMPRODUCT((Inputs!$E$5:$E$140=$B67)*Inputs!$F$5:$F$140*(((Inputs!$G$5:$G$140="moeda")+(Inputs!$G$5:$G$140="acoes"))*Inputs!$B$1+((Inputs!$G$5:$G$140&lt;&gt;"moeda")*(Inputs!$G$5:$G$140&lt;&gt;"acoes")))*INDEX(Inputs!$K$5:$AJ$140,0,MATCH(V$2,Inputs!$K$4:$AJ$4,0)))))</f>
        <v>40531</v>
      </c>
      <c r="W67" s="265">
        <f>V67</f>
        <v>40531</v>
      </c>
      <c r="X67" s="264">
        <f>IF(ISNA(MATCH(X$2,Inputs!$K$4:$AJ$4,0)),NA(),IF(SUMPRODUCT((Inputs!$A$5:$A$140=$B67)*ISNUMBER(INDEX(Inputs!$K$5:$AJ$140,0,MATCH(X$2,Inputs!$K$4:$AJ$4,0))))+SUMPRODUCT((Inputs!$C$5:$C$140=$B67)*ISNUMBER(INDEX(Inputs!$K$5:$AJ$140,0,MATCH(X$2,Inputs!$K$4:$AJ$4,0))))+SUMPRODUCT((Inputs!$E$5:$E$140=$B67)*ISNUMBER(INDEX(Inputs!$K$5:$AJ$140,0,MATCH(X$2,Inputs!$K$4:$AJ$4,0))))=0,NA(),SUMPRODUCT((Inputs!$A$5:$A$140=$B67)*Inputs!$B$5:$B$140*(((Inputs!$G$5:$G$140="moeda")+(Inputs!$G$5:$G$140="acoes"))*Inputs!$B$1+((Inputs!$G$5:$G$140&lt;&gt;"moeda")*(Inputs!$G$5:$G$140&lt;&gt;"acoes")))*INDEX(Inputs!$K$5:$AJ$140,0,MATCH(X$2,Inputs!$K$4:$AJ$4,0)))+SUMPRODUCT((Inputs!$C$5:$C$140=$B67)*Inputs!$D$5:$D$140*(((Inputs!$G$5:$G$140="moeda")+(Inputs!$G$5:$G$140="acoes"))*Inputs!$B$1+((Inputs!$G$5:$G$140&lt;&gt;"moeda")*(Inputs!$G$5:$G$140&lt;&gt;"acoes")))*INDEX(Inputs!$K$5:$AJ$140,0,MATCH(X$2,Inputs!$K$4:$AJ$4,0)))+SUMPRODUCT((Inputs!$E$5:$E$140=$B67)*Inputs!$F$5:$F$140*(((Inputs!$G$5:$G$140="moeda")+(Inputs!$G$5:$G$140="acoes"))*Inputs!$B$1+((Inputs!$G$5:$G$140&lt;&gt;"moeda")*(Inputs!$G$5:$G$140&lt;&gt;"acoes")))*INDEX(Inputs!$K$5:$AJ$140,0,MATCH(X$2,Inputs!$K$4:$AJ$4,0)))))</f>
        <v>46054</v>
      </c>
      <c r="Y67" s="264">
        <f>IF(ISNA(MATCH(Y$2,Inputs!$K$4:$AJ$4,0)),NA(),IF(SUMPRODUCT((Inputs!$A$5:$A$140=$B67)*ISNUMBER(INDEX(Inputs!$K$5:$AJ$140,0,MATCH(Y$2,Inputs!$K$4:$AJ$4,0))))+SUMPRODUCT((Inputs!$C$5:$C$140=$B67)*ISNUMBER(INDEX(Inputs!$K$5:$AJ$140,0,MATCH(Y$2,Inputs!$K$4:$AJ$4,0))))+SUMPRODUCT((Inputs!$E$5:$E$140=$B67)*ISNUMBER(INDEX(Inputs!$K$5:$AJ$140,0,MATCH(Y$2,Inputs!$K$4:$AJ$4,0))))=0,NA(),SUMPRODUCT((Inputs!$A$5:$A$140=$B67)*Inputs!$B$5:$B$140*(((Inputs!$G$5:$G$140="moeda")+(Inputs!$G$5:$G$140="acoes"))*Inputs!$B$1+((Inputs!$G$5:$G$140&lt;&gt;"moeda")*(Inputs!$G$5:$G$140&lt;&gt;"acoes")))*INDEX(Inputs!$K$5:$AJ$140,0,MATCH(Y$2,Inputs!$K$4:$AJ$4,0)))+SUMPRODUCT((Inputs!$C$5:$C$140=$B67)*Inputs!$D$5:$D$140*(((Inputs!$G$5:$G$140="moeda")+(Inputs!$G$5:$G$140="acoes"))*Inputs!$B$1+((Inputs!$G$5:$G$140&lt;&gt;"moeda")*(Inputs!$G$5:$G$140&lt;&gt;"acoes")))*INDEX(Inputs!$K$5:$AJ$140,0,MATCH(Y$2,Inputs!$K$4:$AJ$4,0)))+SUMPRODUCT((Inputs!$E$5:$E$140=$B67)*Inputs!$F$5:$F$140*(((Inputs!$G$5:$G$140="moeda")+(Inputs!$G$5:$G$140="acoes"))*Inputs!$B$1+((Inputs!$G$5:$G$140&lt;&gt;"moeda")*(Inputs!$G$5:$G$140&lt;&gt;"acoes")))*INDEX(Inputs!$K$5:$AJ$140,0,MATCH(Y$2,Inputs!$K$4:$AJ$4,0)))))</f>
        <v>51374</v>
      </c>
      <c r="Z67" s="264">
        <f>IF(ISNA(MATCH(Z$2,Inputs!$K$4:$AJ$4,0)),NA(),IF(SUMPRODUCT((Inputs!$A$5:$A$140=$B67)*ISNUMBER(INDEX(Inputs!$K$5:$AJ$140,0,MATCH(Z$2,Inputs!$K$4:$AJ$4,0))))+SUMPRODUCT((Inputs!$C$5:$C$140=$B67)*ISNUMBER(INDEX(Inputs!$K$5:$AJ$140,0,MATCH(Z$2,Inputs!$K$4:$AJ$4,0))))+SUMPRODUCT((Inputs!$E$5:$E$140=$B67)*ISNUMBER(INDEX(Inputs!$K$5:$AJ$140,0,MATCH(Z$2,Inputs!$K$4:$AJ$4,0))))=0,NA(),SUMPRODUCT((Inputs!$A$5:$A$140=$B67)*Inputs!$B$5:$B$140*(((Inputs!$G$5:$G$140="moeda")+(Inputs!$G$5:$G$140="acoes"))*Inputs!$B$1+((Inputs!$G$5:$G$140&lt;&gt;"moeda")*(Inputs!$G$5:$G$140&lt;&gt;"acoes")))*INDEX(Inputs!$K$5:$AJ$140,0,MATCH(Z$2,Inputs!$K$4:$AJ$4,0)))+SUMPRODUCT((Inputs!$C$5:$C$140=$B67)*Inputs!$D$5:$D$140*(((Inputs!$G$5:$G$140="moeda")+(Inputs!$G$5:$G$140="acoes"))*Inputs!$B$1+((Inputs!$G$5:$G$140&lt;&gt;"moeda")*(Inputs!$G$5:$G$140&lt;&gt;"acoes")))*INDEX(Inputs!$K$5:$AJ$140,0,MATCH(Z$2,Inputs!$K$4:$AJ$4,0)))+SUMPRODUCT((Inputs!$E$5:$E$140=$B67)*Inputs!$F$5:$F$140*(((Inputs!$G$5:$G$140="moeda")+(Inputs!$G$5:$G$140="acoes"))*Inputs!$B$1+((Inputs!$G$5:$G$140&lt;&gt;"moeda")*(Inputs!$G$5:$G$140&lt;&gt;"acoes")))*INDEX(Inputs!$K$5:$AJ$140,0,MATCH(Z$2,Inputs!$K$4:$AJ$4,0)))))</f>
        <v>53066</v>
      </c>
      <c r="AA67" s="264">
        <f>IF(ISNA(MATCH(AA$2,Inputs!$K$4:$AJ$4,0)),NA(),IF(SUMPRODUCT((Inputs!$A$5:$A$140=$B67)*ISNUMBER(INDEX(Inputs!$K$5:$AJ$140,0,MATCH(AA$2,Inputs!$K$4:$AJ$4,0))))+SUMPRODUCT((Inputs!$C$5:$C$140=$B67)*ISNUMBER(INDEX(Inputs!$K$5:$AJ$140,0,MATCH(AA$2,Inputs!$K$4:$AJ$4,0))))+SUMPRODUCT((Inputs!$E$5:$E$140=$B67)*ISNUMBER(INDEX(Inputs!$K$5:$AJ$140,0,MATCH(AA$2,Inputs!$K$4:$AJ$4,0))))=0,NA(),SUMPRODUCT((Inputs!$A$5:$A$140=$B67)*Inputs!$B$5:$B$140*(((Inputs!$G$5:$G$140="moeda")+(Inputs!$G$5:$G$140="acoes"))*Inputs!$B$1+((Inputs!$G$5:$G$140&lt;&gt;"moeda")*(Inputs!$G$5:$G$140&lt;&gt;"acoes")))*INDEX(Inputs!$K$5:$AJ$140,0,MATCH(AA$2,Inputs!$K$4:$AJ$4,0)))+SUMPRODUCT((Inputs!$C$5:$C$140=$B67)*Inputs!$D$5:$D$140*(((Inputs!$G$5:$G$140="moeda")+(Inputs!$G$5:$G$140="acoes"))*Inputs!$B$1+((Inputs!$G$5:$G$140&lt;&gt;"moeda")*(Inputs!$G$5:$G$140&lt;&gt;"acoes")))*INDEX(Inputs!$K$5:$AJ$140,0,MATCH(AA$2,Inputs!$K$4:$AJ$4,0)))+SUMPRODUCT((Inputs!$E$5:$E$140=$B67)*Inputs!$F$5:$F$140*(((Inputs!$G$5:$G$140="moeda")+(Inputs!$G$5:$G$140="acoes"))*Inputs!$B$1+((Inputs!$G$5:$G$140&lt;&gt;"moeda")*(Inputs!$G$5:$G$140&lt;&gt;"acoes")))*INDEX(Inputs!$K$5:$AJ$140,0,MATCH(AA$2,Inputs!$K$4:$AJ$4,0)))))</f>
        <v>57163</v>
      </c>
      <c r="AB67" s="265">
        <f>AA67</f>
        <v>57163</v>
      </c>
      <c r="AC67" s="264">
        <f>IF(ISNA(MATCH(AC$2,Inputs!$K$4:$AJ$4,0)),NA(),IF(SUMPRODUCT((Inputs!$A$5:$A$140=$B67)*ISNUMBER(INDEX(Inputs!$K$5:$AJ$140,0,MATCH(AC$2,Inputs!$K$4:$AJ$4,0))))+SUMPRODUCT((Inputs!$C$5:$C$140=$B67)*ISNUMBER(INDEX(Inputs!$K$5:$AJ$140,0,MATCH(AC$2,Inputs!$K$4:$AJ$4,0))))+SUMPRODUCT((Inputs!$E$5:$E$140=$B67)*ISNUMBER(INDEX(Inputs!$K$5:$AJ$140,0,MATCH(AC$2,Inputs!$K$4:$AJ$4,0))))=0,NA(),SUMPRODUCT((Inputs!$A$5:$A$140=$B67)*Inputs!$B$5:$B$140*(((Inputs!$G$5:$G$140="moeda")+(Inputs!$G$5:$G$140="acoes"))*Inputs!$B$1+((Inputs!$G$5:$G$140&lt;&gt;"moeda")*(Inputs!$G$5:$G$140&lt;&gt;"acoes")))*INDEX(Inputs!$K$5:$AJ$140,0,MATCH(AC$2,Inputs!$K$4:$AJ$4,0)))+SUMPRODUCT((Inputs!$C$5:$C$140=$B67)*Inputs!$D$5:$D$140*(((Inputs!$G$5:$G$140="moeda")+(Inputs!$G$5:$G$140="acoes"))*Inputs!$B$1+((Inputs!$G$5:$G$140&lt;&gt;"moeda")*(Inputs!$G$5:$G$140&lt;&gt;"acoes")))*INDEX(Inputs!$K$5:$AJ$140,0,MATCH(AC$2,Inputs!$K$4:$AJ$4,0)))+SUMPRODUCT((Inputs!$E$5:$E$140=$B67)*Inputs!$F$5:$F$140*(((Inputs!$G$5:$G$140="moeda")+(Inputs!$G$5:$G$140="acoes"))*Inputs!$B$1+((Inputs!$G$5:$G$140&lt;&gt;"moeda")*(Inputs!$G$5:$G$140&lt;&gt;"acoes")))*INDEX(Inputs!$K$5:$AJ$140,0,MATCH(AC$2,Inputs!$K$4:$AJ$4,0)))))</f>
        <v>62777</v>
      </c>
      <c r="AD67" s="264">
        <f>IF(ISNA(MATCH(AD$2,Inputs!$K$4:$AJ$4,0)),NA(),IF(SUMPRODUCT((Inputs!$A$5:$A$140=$B67)*ISNUMBER(INDEX(Inputs!$K$5:$AJ$140,0,MATCH(AD$2,Inputs!$K$4:$AJ$4,0))))+SUMPRODUCT((Inputs!$C$5:$C$140=$B67)*ISNUMBER(INDEX(Inputs!$K$5:$AJ$140,0,MATCH(AD$2,Inputs!$K$4:$AJ$4,0))))+SUMPRODUCT((Inputs!$E$5:$E$140=$B67)*ISNUMBER(INDEX(Inputs!$K$5:$AJ$140,0,MATCH(AD$2,Inputs!$K$4:$AJ$4,0))))=0,NA(),SUMPRODUCT((Inputs!$A$5:$A$140=$B67)*Inputs!$B$5:$B$140*(((Inputs!$G$5:$G$140="moeda")+(Inputs!$G$5:$G$140="acoes"))*Inputs!$B$1+((Inputs!$G$5:$G$140&lt;&gt;"moeda")*(Inputs!$G$5:$G$140&lt;&gt;"acoes")))*INDEX(Inputs!$K$5:$AJ$140,0,MATCH(AD$2,Inputs!$K$4:$AJ$4,0)))+SUMPRODUCT((Inputs!$C$5:$C$140=$B67)*Inputs!$D$5:$D$140*(((Inputs!$G$5:$G$140="moeda")+(Inputs!$G$5:$G$140="acoes"))*Inputs!$B$1+((Inputs!$G$5:$G$140&lt;&gt;"moeda")*(Inputs!$G$5:$G$140&lt;&gt;"acoes")))*INDEX(Inputs!$K$5:$AJ$140,0,MATCH(AD$2,Inputs!$K$4:$AJ$4,0)))+SUMPRODUCT((Inputs!$E$5:$E$140=$B67)*Inputs!$F$5:$F$140*(((Inputs!$G$5:$G$140="moeda")+(Inputs!$G$5:$G$140="acoes"))*Inputs!$B$1+((Inputs!$G$5:$G$140&lt;&gt;"moeda")*(Inputs!$G$5:$G$140&lt;&gt;"acoes")))*INDEX(Inputs!$K$5:$AJ$140,0,MATCH(AD$2,Inputs!$K$4:$AJ$4,0)))))</f>
        <v>66265</v>
      </c>
      <c r="AE67" s="264" t="e">
        <f>IF(ISNA(MATCH(AE$2,Inputs!$K$4:$AJ$4,0)),NA(),IF(SUMPRODUCT((Inputs!$A$5:$A$140=$B67)*ISNUMBER(INDEX(Inputs!$K$5:$AJ$140,0,MATCH(AE$2,Inputs!$K$4:$AJ$4,0))))+SUMPRODUCT((Inputs!$C$5:$C$140=$B67)*ISNUMBER(INDEX(Inputs!$K$5:$AJ$140,0,MATCH(AE$2,Inputs!$K$4:$AJ$4,0))))+SUMPRODUCT((Inputs!$E$5:$E$140=$B67)*ISNUMBER(INDEX(Inputs!$K$5:$AJ$140,0,MATCH(AE$2,Inputs!$K$4:$AJ$4,0))))=0,NA(),SUMPRODUCT((Inputs!$A$5:$A$140=$B67)*Inputs!$B$5:$B$140*(((Inputs!$G$5:$G$140="moeda")+(Inputs!$G$5:$G$140="acoes"))*Inputs!$B$1+((Inputs!$G$5:$G$140&lt;&gt;"moeda")*(Inputs!$G$5:$G$140&lt;&gt;"acoes")))*INDEX(Inputs!$K$5:$AJ$140,0,MATCH(AE$2,Inputs!$K$4:$AJ$4,0)))+SUMPRODUCT((Inputs!$C$5:$C$140=$B67)*Inputs!$D$5:$D$140*(((Inputs!$G$5:$G$140="moeda")+(Inputs!$G$5:$G$140="acoes"))*Inputs!$B$1+((Inputs!$G$5:$G$140&lt;&gt;"moeda")*(Inputs!$G$5:$G$140&lt;&gt;"acoes")))*INDEX(Inputs!$K$5:$AJ$140,0,MATCH(AE$2,Inputs!$K$4:$AJ$4,0)))+SUMPRODUCT((Inputs!$E$5:$E$140=$B67)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7" s="264" t="e">
        <f>IF(ISNA(MATCH(AF$2,Inputs!$K$4:$AJ$4,0)),NA(),IF(SUMPRODUCT((Inputs!$A$5:$A$140=$B67)*ISNUMBER(INDEX(Inputs!$K$5:$AJ$140,0,MATCH(AF$2,Inputs!$K$4:$AJ$4,0))))+SUMPRODUCT((Inputs!$C$5:$C$140=$B67)*ISNUMBER(INDEX(Inputs!$K$5:$AJ$140,0,MATCH(AF$2,Inputs!$K$4:$AJ$4,0))))+SUMPRODUCT((Inputs!$E$5:$E$140=$B67)*ISNUMBER(INDEX(Inputs!$K$5:$AJ$140,0,MATCH(AF$2,Inputs!$K$4:$AJ$4,0))))=0,NA(),SUMPRODUCT((Inputs!$A$5:$A$140=$B67)*Inputs!$B$5:$B$140*(((Inputs!$G$5:$G$140="moeda")+(Inputs!$G$5:$G$140="acoes"))*Inputs!$B$1+((Inputs!$G$5:$G$140&lt;&gt;"moeda")*(Inputs!$G$5:$G$140&lt;&gt;"acoes")))*INDEX(Inputs!$K$5:$AJ$140,0,MATCH(AF$2,Inputs!$K$4:$AJ$4,0)))+SUMPRODUCT((Inputs!$C$5:$C$140=$B67)*Inputs!$D$5:$D$140*(((Inputs!$G$5:$G$140="moeda")+(Inputs!$G$5:$G$140="acoes"))*Inputs!$B$1+((Inputs!$G$5:$G$140&lt;&gt;"moeda")*(Inputs!$G$5:$G$140&lt;&gt;"acoes")))*INDEX(Inputs!$K$5:$AJ$140,0,MATCH(AF$2,Inputs!$K$4:$AJ$4,0)))+SUMPRODUCT((Inputs!$E$5:$E$140=$B67)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7" s="265" t="e">
        <f>AF67</f>
        <v>#N/A</v>
      </c>
      <c r="AH67" s="264">
        <f>IF(ISNA(MATCH(AH$2,Inputs!$K$4:$AJ$4,0)),NA(),IF(SUMPRODUCT((Inputs!$A$5:$A$140=$B67)*ISNUMBER(INDEX(Inputs!$K$5:$AJ$140,0,MATCH(AH$2,Inputs!$K$4:$AJ$4,0))))+SUMPRODUCT((Inputs!$C$5:$C$140=$B67)*ISNUMBER(INDEX(Inputs!$K$5:$AJ$140,0,MATCH(AH$2,Inputs!$K$4:$AJ$4,0))))+SUMPRODUCT((Inputs!$E$5:$E$140=$B67)*ISNUMBER(INDEX(Inputs!$K$5:$AJ$140,0,MATCH(AH$2,Inputs!$K$4:$AJ$4,0))))=0,NA(),SUMPRODUCT((Inputs!$A$5:$A$140=$B67)*Inputs!$B$5:$B$140*(((Inputs!$G$5:$G$140="moeda")+(Inputs!$G$5:$G$140="acoes"))*Inputs!$B$1+((Inputs!$G$5:$G$140&lt;&gt;"moeda")*(Inputs!$G$5:$G$140&lt;&gt;"acoes")))*INDEX(Inputs!$K$5:$AJ$140,0,MATCH(AH$2,Inputs!$K$4:$AJ$4,0)))+SUMPRODUCT((Inputs!$C$5:$C$140=$B67)*Inputs!$D$5:$D$140*(((Inputs!$G$5:$G$140="moeda")+(Inputs!$G$5:$G$140="acoes"))*Inputs!$B$1+((Inputs!$G$5:$G$140&lt;&gt;"moeda")*(Inputs!$G$5:$G$140&lt;&gt;"acoes")))*INDEX(Inputs!$K$5:$AJ$140,0,MATCH(AH$2,Inputs!$K$4:$AJ$4,0)))+SUMPRODUCT((Inputs!$E$5:$E$140=$B67)*Inputs!$F$5:$F$140*(((Inputs!$G$5:$G$140="moeda")+(Inputs!$G$5:$G$140="acoes"))*Inputs!$B$1+((Inputs!$G$5:$G$140&lt;&gt;"moeda")*(Inputs!$G$5:$G$140&lt;&gt;"acoes")))*INDEX(Inputs!$K$5:$AJ$140,0,MATCH(AH$2,Inputs!$K$4:$AJ$4,0)))))</f>
        <v>11805.3333333333</v>
      </c>
      <c r="AI67" s="264">
        <f>IF(ISNA(MATCH(AI$2,Inputs!$K$4:$AJ$4,0)),NA(),IF(SUMPRODUCT((Inputs!$A$5:$A$140=$B67)*ISNUMBER(INDEX(Inputs!$K$5:$AJ$140,0,MATCH(AI$2,Inputs!$K$4:$AJ$4,0))))+SUMPRODUCT((Inputs!$C$5:$C$140=$B67)*ISNUMBER(INDEX(Inputs!$K$5:$AJ$140,0,MATCH(AI$2,Inputs!$K$4:$AJ$4,0))))+SUMPRODUCT((Inputs!$E$5:$E$140=$B67)*ISNUMBER(INDEX(Inputs!$K$5:$AJ$140,0,MATCH(AI$2,Inputs!$K$4:$AJ$4,0))))=0,NA(),SUMPRODUCT((Inputs!$A$5:$A$140=$B67)*Inputs!$B$5:$B$140*(((Inputs!$G$5:$G$140="moeda")+(Inputs!$G$5:$G$140="acoes"))*Inputs!$B$1+((Inputs!$G$5:$G$140&lt;&gt;"moeda")*(Inputs!$G$5:$G$140&lt;&gt;"acoes")))*INDEX(Inputs!$K$5:$AJ$140,0,MATCH(AI$2,Inputs!$K$4:$AJ$4,0)))+SUMPRODUCT((Inputs!$C$5:$C$140=$B67)*Inputs!$D$5:$D$140*(((Inputs!$G$5:$G$140="moeda")+(Inputs!$G$5:$G$140="acoes"))*Inputs!$B$1+((Inputs!$G$5:$G$140&lt;&gt;"moeda")*(Inputs!$G$5:$G$140&lt;&gt;"acoes")))*INDEX(Inputs!$K$5:$AJ$140,0,MATCH(AI$2,Inputs!$K$4:$AJ$4,0)))+SUMPRODUCT((Inputs!$E$5:$E$140=$B67)*Inputs!$F$5:$F$140*(((Inputs!$G$5:$G$140="moeda")+(Inputs!$G$5:$G$140="acoes"))*Inputs!$B$1+((Inputs!$G$5:$G$140&lt;&gt;"moeda")*(Inputs!$G$5:$G$140&lt;&gt;"acoes")))*INDEX(Inputs!$K$5:$AJ$140,0,MATCH(AI$2,Inputs!$K$4:$AJ$4,0)))))</f>
        <v>11642</v>
      </c>
      <c r="AJ67" s="264">
        <f>IF(ISNA(MATCH(AJ$2,Inputs!$K$4:$AJ$4,0)),NA(),IF(SUMPRODUCT((Inputs!$A$5:$A$140=$B67)*ISNUMBER(INDEX(Inputs!$K$5:$AJ$140,0,MATCH(AJ$2,Inputs!$K$4:$AJ$4,0))))+SUMPRODUCT((Inputs!$C$5:$C$140=$B67)*ISNUMBER(INDEX(Inputs!$K$5:$AJ$140,0,MATCH(AJ$2,Inputs!$K$4:$AJ$4,0))))+SUMPRODUCT((Inputs!$E$5:$E$140=$B67)*ISNUMBER(INDEX(Inputs!$K$5:$AJ$140,0,MATCH(AJ$2,Inputs!$K$4:$AJ$4,0))))=0,NA(),SUMPRODUCT((Inputs!$A$5:$A$140=$B67)*Inputs!$B$5:$B$140*(((Inputs!$G$5:$G$140="moeda")+(Inputs!$G$5:$G$140="acoes"))*Inputs!$B$1+((Inputs!$G$5:$G$140&lt;&gt;"moeda")*(Inputs!$G$5:$G$140&lt;&gt;"acoes")))*INDEX(Inputs!$K$5:$AJ$140,0,MATCH(AJ$2,Inputs!$K$4:$AJ$4,0)))+SUMPRODUCT((Inputs!$C$5:$C$140=$B67)*Inputs!$D$5:$D$140*(((Inputs!$G$5:$G$140="moeda")+(Inputs!$G$5:$G$140="acoes"))*Inputs!$B$1+((Inputs!$G$5:$G$140&lt;&gt;"moeda")*(Inputs!$G$5:$G$140&lt;&gt;"acoes")))*INDEX(Inputs!$K$5:$AJ$140,0,MATCH(AJ$2,Inputs!$K$4:$AJ$4,0)))+SUMPRODUCT((Inputs!$E$5:$E$140=$B67)*Inputs!$F$5:$F$140*(((Inputs!$G$5:$G$140="moeda")+(Inputs!$G$5:$G$140="acoes"))*Inputs!$B$1+((Inputs!$G$5:$G$140&lt;&gt;"moeda")*(Inputs!$G$5:$G$140&lt;&gt;"acoes")))*INDEX(Inputs!$K$5:$AJ$140,0,MATCH(AJ$2,Inputs!$K$4:$AJ$4,0)))))</f>
        <v>11470</v>
      </c>
      <c r="AK67" s="264">
        <f>IF(ISNA(MATCH(AK$2,Inputs!$K$4:$AJ$4,0)),NA(),IF(SUMPRODUCT((Inputs!$A$5:$A$140=$B67)*ISNUMBER(INDEX(Inputs!$K$5:$AJ$140,0,MATCH(AK$2,Inputs!$K$4:$AJ$4,0))))+SUMPRODUCT((Inputs!$C$5:$C$140=$B67)*ISNUMBER(INDEX(Inputs!$K$5:$AJ$140,0,MATCH(AK$2,Inputs!$K$4:$AJ$4,0))))+SUMPRODUCT((Inputs!$E$5:$E$140=$B67)*ISNUMBER(INDEX(Inputs!$K$5:$AJ$140,0,MATCH(AK$2,Inputs!$K$4:$AJ$4,0))))=0,NA(),SUMPRODUCT((Inputs!$A$5:$A$140=$B67)*Inputs!$B$5:$B$140*(((Inputs!$G$5:$G$140="moeda")+(Inputs!$G$5:$G$140="acoes"))*Inputs!$B$1+((Inputs!$G$5:$G$140&lt;&gt;"moeda")*(Inputs!$G$5:$G$140&lt;&gt;"acoes")))*INDEX(Inputs!$K$5:$AJ$140,0,MATCH(AK$2,Inputs!$K$4:$AJ$4,0)))+SUMPRODUCT((Inputs!$C$5:$C$140=$B67)*Inputs!$D$5:$D$140*(((Inputs!$G$5:$G$140="moeda")+(Inputs!$G$5:$G$140="acoes"))*Inputs!$B$1+((Inputs!$G$5:$G$140&lt;&gt;"moeda")*(Inputs!$G$5:$G$140&lt;&gt;"acoes")))*INDEX(Inputs!$K$5:$AJ$140,0,MATCH(AK$2,Inputs!$K$4:$AJ$4,0)))+SUMPRODUCT((Inputs!$E$5:$E$140=$B67)*Inputs!$F$5:$F$140*(((Inputs!$G$5:$G$140="moeda")+(Inputs!$G$5:$G$140="acoes"))*Inputs!$B$1+((Inputs!$G$5:$G$140&lt;&gt;"moeda")*(Inputs!$G$5:$G$140&lt;&gt;"acoes")))*INDEX(Inputs!$K$5:$AJ$140,0,MATCH(AK$2,Inputs!$K$4:$AJ$4,0)))))</f>
        <v>11046</v>
      </c>
      <c r="AL67" s="265">
        <f>AK67</f>
        <v>11046</v>
      </c>
    </row>
    <row r="68">
      <c r="B68" s="46" t="n">
        <v>60</v>
      </c>
      <c r="C68" s="29" t="inlineStr">
        <is>
          <t>Unidades produzidas no trimestre (l.60)</t>
        </is>
      </c>
      <c r="D68" s="264">
        <f>IF(ISNA(MATCH(D$2,Inputs!$K$4:$AJ$4,0)),NA(),IF(SUMPRODUCT((Inputs!$A$5:$A$140=$B68)*ISNUMBER(INDEX(Inputs!$K$5:$AJ$140,0,MATCH(D$2,Inputs!$K$4:$AJ$4,0))))+SUMPRODUCT((Inputs!$C$5:$C$140=$B68)*ISNUMBER(INDEX(Inputs!$K$5:$AJ$140,0,MATCH(D$2,Inputs!$K$4:$AJ$4,0))))+SUMPRODUCT((Inputs!$E$5:$E$140=$B68)*ISNUMBER(INDEX(Inputs!$K$5:$AJ$140,0,MATCH(D$2,Inputs!$K$4:$AJ$4,0))))=0,NA(),SUMPRODUCT((Inputs!$A$5:$A$140=$B68)*Inputs!$B$5:$B$140*(((Inputs!$G$5:$G$140="moeda")+(Inputs!$G$5:$G$140="acoes"))*Inputs!$B$1+((Inputs!$G$5:$G$140&lt;&gt;"moeda")*(Inputs!$G$5:$G$140&lt;&gt;"acoes")))*INDEX(Inputs!$K$5:$AJ$140,0,MATCH(D$2,Inputs!$K$4:$AJ$4,0)))+SUMPRODUCT((Inputs!$C$5:$C$140=$B68)*Inputs!$D$5:$D$140*(((Inputs!$G$5:$G$140="moeda")+(Inputs!$G$5:$G$140="acoes"))*Inputs!$B$1+((Inputs!$G$5:$G$140&lt;&gt;"moeda")*(Inputs!$G$5:$G$140&lt;&gt;"acoes")))*INDEX(Inputs!$K$5:$AJ$140,0,MATCH(D$2,Inputs!$K$4:$AJ$4,0)))+SUMPRODUCT((Inputs!$E$5:$E$140=$B68)*Inputs!$F$5:$F$140*(((Inputs!$G$5:$G$140="moeda")+(Inputs!$G$5:$G$140="acoes"))*Inputs!$B$1+((Inputs!$G$5:$G$140&lt;&gt;"moeda")*(Inputs!$G$5:$G$140&lt;&gt;"acoes")))*INDEX(Inputs!$K$5:$AJ$140,0,MATCH(D$2,Inputs!$K$4:$AJ$4,0)))))</f>
        <v>1365</v>
      </c>
      <c r="E68" s="264">
        <f>IF(ISNA(MATCH(E$2,Inputs!$K$4:$AJ$4,0)),NA(),IF(SUMPRODUCT((Inputs!$A$5:$A$140=$B68)*ISNUMBER(INDEX(Inputs!$K$5:$AJ$140,0,MATCH(E$2,Inputs!$K$4:$AJ$4,0))))+SUMPRODUCT((Inputs!$C$5:$C$140=$B68)*ISNUMBER(INDEX(Inputs!$K$5:$AJ$140,0,MATCH(E$2,Inputs!$K$4:$AJ$4,0))))+SUMPRODUCT((Inputs!$E$5:$E$140=$B68)*ISNUMBER(INDEX(Inputs!$K$5:$AJ$140,0,MATCH(E$2,Inputs!$K$4:$AJ$4,0))))=0,NA(),SUMPRODUCT((Inputs!$A$5:$A$140=$B68)*Inputs!$B$5:$B$140*(((Inputs!$G$5:$G$140="moeda")+(Inputs!$G$5:$G$140="acoes"))*Inputs!$B$1+((Inputs!$G$5:$G$140&lt;&gt;"moeda")*(Inputs!$G$5:$G$140&lt;&gt;"acoes")))*INDEX(Inputs!$K$5:$AJ$140,0,MATCH(E$2,Inputs!$K$4:$AJ$4,0)))+SUMPRODUCT((Inputs!$C$5:$C$140=$B68)*Inputs!$D$5:$D$140*(((Inputs!$G$5:$G$140="moeda")+(Inputs!$G$5:$G$140="acoes"))*Inputs!$B$1+((Inputs!$G$5:$G$140&lt;&gt;"moeda")*(Inputs!$G$5:$G$140&lt;&gt;"acoes")))*INDEX(Inputs!$K$5:$AJ$140,0,MATCH(E$2,Inputs!$K$4:$AJ$4,0)))+SUMPRODUCT((Inputs!$E$5:$E$140=$B68)*Inputs!$F$5:$F$140*(((Inputs!$G$5:$G$140="moeda")+(Inputs!$G$5:$G$140="acoes"))*Inputs!$B$1+((Inputs!$G$5:$G$140&lt;&gt;"moeda")*(Inputs!$G$5:$G$140&lt;&gt;"acoes")))*INDEX(Inputs!$K$5:$AJ$140,0,MATCH(E$2,Inputs!$K$4:$AJ$4,0)))))</f>
        <v>1832</v>
      </c>
      <c r="F68" s="264">
        <f>IF(ISNA(MATCH(F$2,Inputs!$K$4:$AJ$4,0)),NA(),IF(SUMPRODUCT((Inputs!$A$5:$A$140=$B68)*ISNUMBER(INDEX(Inputs!$K$5:$AJ$140,0,MATCH(F$2,Inputs!$K$4:$AJ$4,0))))+SUMPRODUCT((Inputs!$C$5:$C$140=$B68)*ISNUMBER(INDEX(Inputs!$K$5:$AJ$140,0,MATCH(F$2,Inputs!$K$4:$AJ$4,0))))+SUMPRODUCT((Inputs!$E$5:$E$140=$B68)*ISNUMBER(INDEX(Inputs!$K$5:$AJ$140,0,MATCH(F$2,Inputs!$K$4:$AJ$4,0))))=0,NA(),SUMPRODUCT((Inputs!$A$5:$A$140=$B68)*Inputs!$B$5:$B$140*(((Inputs!$G$5:$G$140="moeda")+(Inputs!$G$5:$G$140="acoes"))*Inputs!$B$1+((Inputs!$G$5:$G$140&lt;&gt;"moeda")*(Inputs!$G$5:$G$140&lt;&gt;"acoes")))*INDEX(Inputs!$K$5:$AJ$140,0,MATCH(F$2,Inputs!$K$4:$AJ$4,0)))+SUMPRODUCT((Inputs!$C$5:$C$140=$B68)*Inputs!$D$5:$D$140*(((Inputs!$G$5:$G$140="moeda")+(Inputs!$G$5:$G$140="acoes"))*Inputs!$B$1+((Inputs!$G$5:$G$140&lt;&gt;"moeda")*(Inputs!$G$5:$G$140&lt;&gt;"acoes")))*INDEX(Inputs!$K$5:$AJ$140,0,MATCH(F$2,Inputs!$K$4:$AJ$4,0)))+SUMPRODUCT((Inputs!$E$5:$E$140=$B68)*Inputs!$F$5:$F$140*(((Inputs!$G$5:$G$140="moeda")+(Inputs!$G$5:$G$140="acoes"))*Inputs!$B$1+((Inputs!$G$5:$G$140&lt;&gt;"moeda")*(Inputs!$G$5:$G$140&lt;&gt;"acoes")))*INDEX(Inputs!$K$5:$AJ$140,0,MATCH(F$2,Inputs!$K$4:$AJ$4,0)))))</f>
        <v>2182.46515966267</v>
      </c>
      <c r="G68" s="264">
        <f>IF(ISNA(MATCH(G$2,Inputs!$K$4:$AJ$4,0)),NA(),IF(SUMPRODUCT((Inputs!$A$5:$A$140=$B68)*ISNUMBER(INDEX(Inputs!$K$5:$AJ$140,0,MATCH(G$2,Inputs!$K$4:$AJ$4,0))))+SUMPRODUCT((Inputs!$C$5:$C$140=$B68)*ISNUMBER(INDEX(Inputs!$K$5:$AJ$140,0,MATCH(G$2,Inputs!$K$4:$AJ$4,0))))+SUMPRODUCT((Inputs!$E$5:$E$140=$B68)*ISNUMBER(INDEX(Inputs!$K$5:$AJ$140,0,MATCH(G$2,Inputs!$K$4:$AJ$4,0))))=0,NA(),SUMPRODUCT((Inputs!$A$5:$A$140=$B68)*Inputs!$B$5:$B$140*(((Inputs!$G$5:$G$140="moeda")+(Inputs!$G$5:$G$140="acoes"))*Inputs!$B$1+((Inputs!$G$5:$G$140&lt;&gt;"moeda")*(Inputs!$G$5:$G$140&lt;&gt;"acoes")))*INDEX(Inputs!$K$5:$AJ$140,0,MATCH(G$2,Inputs!$K$4:$AJ$4,0)))+SUMPRODUCT((Inputs!$C$5:$C$140=$B68)*Inputs!$D$5:$D$140*(((Inputs!$G$5:$G$140="moeda")+(Inputs!$G$5:$G$140="acoes"))*Inputs!$B$1+((Inputs!$G$5:$G$140&lt;&gt;"moeda")*(Inputs!$G$5:$G$140&lt;&gt;"acoes")))*INDEX(Inputs!$K$5:$AJ$140,0,MATCH(G$2,Inputs!$K$4:$AJ$4,0)))+SUMPRODUCT((Inputs!$E$5:$E$140=$B68)*Inputs!$F$5:$F$140*(((Inputs!$G$5:$G$140="moeda")+(Inputs!$G$5:$G$140="acoes"))*Inputs!$B$1+((Inputs!$G$5:$G$140&lt;&gt;"moeda")*(Inputs!$G$5:$G$140&lt;&gt;"acoes")))*INDEX(Inputs!$K$5:$AJ$140,0,MATCH(G$2,Inputs!$K$4:$AJ$4,0)))))</f>
        <v>2048.95953842494</v>
      </c>
      <c r="H68" s="265">
        <f>SUM(D68:G68)</f>
        <v>7428.42469808761</v>
      </c>
      <c r="I68" s="264">
        <f>IF(ISNA(MATCH(I$2,Inputs!$K$4:$AJ$4,0)),NA(),IF(SUMPRODUCT((Inputs!$A$5:$A$140=$B68)*ISNUMBER(INDEX(Inputs!$K$5:$AJ$140,0,MATCH(I$2,Inputs!$K$4:$AJ$4,0))))+SUMPRODUCT((Inputs!$C$5:$C$140=$B68)*ISNUMBER(INDEX(Inputs!$K$5:$AJ$140,0,MATCH(I$2,Inputs!$K$4:$AJ$4,0))))+SUMPRODUCT((Inputs!$E$5:$E$140=$B68)*ISNUMBER(INDEX(Inputs!$K$5:$AJ$140,0,MATCH(I$2,Inputs!$K$4:$AJ$4,0))))=0,NA(),SUMPRODUCT((Inputs!$A$5:$A$140=$B68)*Inputs!$B$5:$B$140*(((Inputs!$G$5:$G$140="moeda")+(Inputs!$G$5:$G$140="acoes"))*Inputs!$B$1+((Inputs!$G$5:$G$140&lt;&gt;"moeda")*(Inputs!$G$5:$G$140&lt;&gt;"acoes")))*INDEX(Inputs!$K$5:$AJ$140,0,MATCH(I$2,Inputs!$K$4:$AJ$4,0)))+SUMPRODUCT((Inputs!$C$5:$C$140=$B68)*Inputs!$D$5:$D$140*(((Inputs!$G$5:$G$140="moeda")+(Inputs!$G$5:$G$140="acoes"))*Inputs!$B$1+((Inputs!$G$5:$G$140&lt;&gt;"moeda")*(Inputs!$G$5:$G$140&lt;&gt;"acoes")))*INDEX(Inputs!$K$5:$AJ$140,0,MATCH(I$2,Inputs!$K$4:$AJ$4,0)))+SUMPRODUCT((Inputs!$E$5:$E$140=$B68)*Inputs!$F$5:$F$140*(((Inputs!$G$5:$G$140="moeda")+(Inputs!$G$5:$G$140="acoes"))*Inputs!$B$1+((Inputs!$G$5:$G$140&lt;&gt;"moeda")*(Inputs!$G$5:$G$140&lt;&gt;"acoes")))*INDEX(Inputs!$K$5:$AJ$140,0,MATCH(I$2,Inputs!$K$4:$AJ$4,0)))))</f>
        <v>1913.56122407143</v>
      </c>
      <c r="J68" s="264">
        <f>IF(ISNA(MATCH(J$2,Inputs!$K$4:$AJ$4,0)),NA(),IF(SUMPRODUCT((Inputs!$A$5:$A$140=$B68)*ISNUMBER(INDEX(Inputs!$K$5:$AJ$140,0,MATCH(J$2,Inputs!$K$4:$AJ$4,0))))+SUMPRODUCT((Inputs!$C$5:$C$140=$B68)*ISNUMBER(INDEX(Inputs!$K$5:$AJ$140,0,MATCH(J$2,Inputs!$K$4:$AJ$4,0))))+SUMPRODUCT((Inputs!$E$5:$E$140=$B68)*ISNUMBER(INDEX(Inputs!$K$5:$AJ$140,0,MATCH(J$2,Inputs!$K$4:$AJ$4,0))))=0,NA(),SUMPRODUCT((Inputs!$A$5:$A$140=$B68)*Inputs!$B$5:$B$140*(((Inputs!$G$5:$G$140="moeda")+(Inputs!$G$5:$G$140="acoes"))*Inputs!$B$1+((Inputs!$G$5:$G$140&lt;&gt;"moeda")*(Inputs!$G$5:$G$140&lt;&gt;"acoes")))*INDEX(Inputs!$K$5:$AJ$140,0,MATCH(J$2,Inputs!$K$4:$AJ$4,0)))+SUMPRODUCT((Inputs!$C$5:$C$140=$B68)*Inputs!$D$5:$D$140*(((Inputs!$G$5:$G$140="moeda")+(Inputs!$G$5:$G$140="acoes"))*Inputs!$B$1+((Inputs!$G$5:$G$140&lt;&gt;"moeda")*(Inputs!$G$5:$G$140&lt;&gt;"acoes")))*INDEX(Inputs!$K$5:$AJ$140,0,MATCH(J$2,Inputs!$K$4:$AJ$4,0)))+SUMPRODUCT((Inputs!$E$5:$E$140=$B68)*Inputs!$F$5:$F$140*(((Inputs!$G$5:$G$140="moeda")+(Inputs!$G$5:$G$140="acoes"))*Inputs!$B$1+((Inputs!$G$5:$G$140&lt;&gt;"moeda")*(Inputs!$G$5:$G$140&lt;&gt;"acoes")))*INDEX(Inputs!$K$5:$AJ$140,0,MATCH(J$2,Inputs!$K$4:$AJ$4,0)))))</f>
        <v>2613.42580917011</v>
      </c>
      <c r="K68" s="264">
        <f>IF(ISNA(MATCH(K$2,Inputs!$K$4:$AJ$4,0)),NA(),IF(SUMPRODUCT((Inputs!$A$5:$A$140=$B68)*ISNUMBER(INDEX(Inputs!$K$5:$AJ$140,0,MATCH(K$2,Inputs!$K$4:$AJ$4,0))))+SUMPRODUCT((Inputs!$C$5:$C$140=$B68)*ISNUMBER(INDEX(Inputs!$K$5:$AJ$140,0,MATCH(K$2,Inputs!$K$4:$AJ$4,0))))+SUMPRODUCT((Inputs!$E$5:$E$140=$B68)*ISNUMBER(INDEX(Inputs!$K$5:$AJ$140,0,MATCH(K$2,Inputs!$K$4:$AJ$4,0))))=0,NA(),SUMPRODUCT((Inputs!$A$5:$A$140=$B68)*Inputs!$B$5:$B$140*(((Inputs!$G$5:$G$140="moeda")+(Inputs!$G$5:$G$140="acoes"))*Inputs!$B$1+((Inputs!$G$5:$G$140&lt;&gt;"moeda")*(Inputs!$G$5:$G$140&lt;&gt;"acoes")))*INDEX(Inputs!$K$5:$AJ$140,0,MATCH(K$2,Inputs!$K$4:$AJ$4,0)))+SUMPRODUCT((Inputs!$C$5:$C$140=$B68)*Inputs!$D$5:$D$140*(((Inputs!$G$5:$G$140="moeda")+(Inputs!$G$5:$G$140="acoes"))*Inputs!$B$1+((Inputs!$G$5:$G$140&lt;&gt;"moeda")*(Inputs!$G$5:$G$140&lt;&gt;"acoes")))*INDEX(Inputs!$K$5:$AJ$140,0,MATCH(K$2,Inputs!$K$4:$AJ$4,0)))+SUMPRODUCT((Inputs!$E$5:$E$140=$B68)*Inputs!$F$5:$F$140*(((Inputs!$G$5:$G$140="moeda")+(Inputs!$G$5:$G$140="acoes"))*Inputs!$B$1+((Inputs!$G$5:$G$140&lt;&gt;"moeda")*(Inputs!$G$5:$G$140&lt;&gt;"acoes")))*INDEX(Inputs!$K$5:$AJ$140,0,MATCH(K$2,Inputs!$K$4:$AJ$4,0)))))</f>
        <v>2747.70169765571</v>
      </c>
      <c r="L68" s="264">
        <f>IF(ISNA(MATCH(L$2,Inputs!$K$4:$AJ$4,0)),NA(),IF(SUMPRODUCT((Inputs!$A$5:$A$140=$B68)*ISNUMBER(INDEX(Inputs!$K$5:$AJ$140,0,MATCH(L$2,Inputs!$K$4:$AJ$4,0))))+SUMPRODUCT((Inputs!$C$5:$C$140=$B68)*ISNUMBER(INDEX(Inputs!$K$5:$AJ$140,0,MATCH(L$2,Inputs!$K$4:$AJ$4,0))))+SUMPRODUCT((Inputs!$E$5:$E$140=$B68)*ISNUMBER(INDEX(Inputs!$K$5:$AJ$140,0,MATCH(L$2,Inputs!$K$4:$AJ$4,0))))=0,NA(),SUMPRODUCT((Inputs!$A$5:$A$140=$B68)*Inputs!$B$5:$B$140*(((Inputs!$G$5:$G$140="moeda")+(Inputs!$G$5:$G$140="acoes"))*Inputs!$B$1+((Inputs!$G$5:$G$140&lt;&gt;"moeda")*(Inputs!$G$5:$G$140&lt;&gt;"acoes")))*INDEX(Inputs!$K$5:$AJ$140,0,MATCH(L$2,Inputs!$K$4:$AJ$4,0)))+SUMPRODUCT((Inputs!$C$5:$C$140=$B68)*Inputs!$D$5:$D$140*(((Inputs!$G$5:$G$140="moeda")+(Inputs!$G$5:$G$140="acoes"))*Inputs!$B$1+((Inputs!$G$5:$G$140&lt;&gt;"moeda")*(Inputs!$G$5:$G$140&lt;&gt;"acoes")))*INDEX(Inputs!$K$5:$AJ$140,0,MATCH(L$2,Inputs!$K$4:$AJ$4,0)))+SUMPRODUCT((Inputs!$E$5:$E$140=$B68)*Inputs!$F$5:$F$140*(((Inputs!$G$5:$G$140="moeda")+(Inputs!$G$5:$G$140="acoes"))*Inputs!$B$1+((Inputs!$G$5:$G$140&lt;&gt;"moeda")*(Inputs!$G$5:$G$140&lt;&gt;"acoes")))*INDEX(Inputs!$K$5:$AJ$140,0,MATCH(L$2,Inputs!$K$4:$AJ$4,0)))))</f>
        <v>2520</v>
      </c>
      <c r="M68" s="265">
        <f>SUM(I68:L68)</f>
        <v>9794.68873089725</v>
      </c>
      <c r="N68" s="264">
        <f>IF(ISNA(MATCH(N$2,Inputs!$K$4:$AJ$4,0)),NA(),IF(SUMPRODUCT((Inputs!$A$5:$A$140=$B68)*ISNUMBER(INDEX(Inputs!$K$5:$AJ$140,0,MATCH(N$2,Inputs!$K$4:$AJ$4,0))))+SUMPRODUCT((Inputs!$C$5:$C$140=$B68)*ISNUMBER(INDEX(Inputs!$K$5:$AJ$140,0,MATCH(N$2,Inputs!$K$4:$AJ$4,0))))+SUMPRODUCT((Inputs!$E$5:$E$140=$B68)*ISNUMBER(INDEX(Inputs!$K$5:$AJ$140,0,MATCH(N$2,Inputs!$K$4:$AJ$4,0))))=0,NA(),SUMPRODUCT((Inputs!$A$5:$A$140=$B68)*Inputs!$B$5:$B$140*(((Inputs!$G$5:$G$140="moeda")+(Inputs!$G$5:$G$140="acoes"))*Inputs!$B$1+((Inputs!$G$5:$G$140&lt;&gt;"moeda")*(Inputs!$G$5:$G$140&lt;&gt;"acoes")))*INDEX(Inputs!$K$5:$AJ$140,0,MATCH(N$2,Inputs!$K$4:$AJ$4,0)))+SUMPRODUCT((Inputs!$C$5:$C$140=$B68)*Inputs!$D$5:$D$140*(((Inputs!$G$5:$G$140="moeda")+(Inputs!$G$5:$G$140="acoes"))*Inputs!$B$1+((Inputs!$G$5:$G$140&lt;&gt;"moeda")*(Inputs!$G$5:$G$140&lt;&gt;"acoes")))*INDEX(Inputs!$K$5:$AJ$140,0,MATCH(N$2,Inputs!$K$4:$AJ$4,0)))+SUMPRODUCT((Inputs!$E$5:$E$140=$B68)*Inputs!$F$5:$F$140*(((Inputs!$G$5:$G$140="moeda")+(Inputs!$G$5:$G$140="acoes"))*Inputs!$B$1+((Inputs!$G$5:$G$140&lt;&gt;"moeda")*(Inputs!$G$5:$G$140&lt;&gt;"acoes")))*INDEX(Inputs!$K$5:$AJ$140,0,MATCH(N$2,Inputs!$K$4:$AJ$4,0)))))</f>
        <v>2458</v>
      </c>
      <c r="O68" s="264">
        <f>IF(ISNA(MATCH(O$2,Inputs!$K$4:$AJ$4,0)),NA(),IF(SUMPRODUCT((Inputs!$A$5:$A$140=$B68)*ISNUMBER(INDEX(Inputs!$K$5:$AJ$140,0,MATCH(O$2,Inputs!$K$4:$AJ$4,0))))+SUMPRODUCT((Inputs!$C$5:$C$140=$B68)*ISNUMBER(INDEX(Inputs!$K$5:$AJ$140,0,MATCH(O$2,Inputs!$K$4:$AJ$4,0))))+SUMPRODUCT((Inputs!$E$5:$E$140=$B68)*ISNUMBER(INDEX(Inputs!$K$5:$AJ$140,0,MATCH(O$2,Inputs!$K$4:$AJ$4,0))))=0,NA(),SUMPRODUCT((Inputs!$A$5:$A$140=$B68)*Inputs!$B$5:$B$140*(((Inputs!$G$5:$G$140="moeda")+(Inputs!$G$5:$G$140="acoes"))*Inputs!$B$1+((Inputs!$G$5:$G$140&lt;&gt;"moeda")*(Inputs!$G$5:$G$140&lt;&gt;"acoes")))*INDEX(Inputs!$K$5:$AJ$140,0,MATCH(O$2,Inputs!$K$4:$AJ$4,0)))+SUMPRODUCT((Inputs!$C$5:$C$140=$B68)*Inputs!$D$5:$D$140*(((Inputs!$G$5:$G$140="moeda")+(Inputs!$G$5:$G$140="acoes"))*Inputs!$B$1+((Inputs!$G$5:$G$140&lt;&gt;"moeda")*(Inputs!$G$5:$G$140&lt;&gt;"acoes")))*INDEX(Inputs!$K$5:$AJ$140,0,MATCH(O$2,Inputs!$K$4:$AJ$4,0)))+SUMPRODUCT((Inputs!$E$5:$E$140=$B68)*Inputs!$F$5:$F$140*(((Inputs!$G$5:$G$140="moeda")+(Inputs!$G$5:$G$140="acoes"))*Inputs!$B$1+((Inputs!$G$5:$G$140&lt;&gt;"moeda")*(Inputs!$G$5:$G$140&lt;&gt;"acoes")))*INDEX(Inputs!$K$5:$AJ$140,0,MATCH(O$2,Inputs!$K$4:$AJ$4,0)))))</f>
        <v>3090</v>
      </c>
      <c r="P68" s="264">
        <f>IF(ISNA(MATCH(P$2,Inputs!$K$4:$AJ$4,0)),NA(),IF(SUMPRODUCT((Inputs!$A$5:$A$140=$B68)*ISNUMBER(INDEX(Inputs!$K$5:$AJ$140,0,MATCH(P$2,Inputs!$K$4:$AJ$4,0))))+SUMPRODUCT((Inputs!$C$5:$C$140=$B68)*ISNUMBER(INDEX(Inputs!$K$5:$AJ$140,0,MATCH(P$2,Inputs!$K$4:$AJ$4,0))))+SUMPRODUCT((Inputs!$E$5:$E$140=$B68)*ISNUMBER(INDEX(Inputs!$K$5:$AJ$140,0,MATCH(P$2,Inputs!$K$4:$AJ$4,0))))=0,NA(),SUMPRODUCT((Inputs!$A$5:$A$140=$B68)*Inputs!$B$5:$B$140*(((Inputs!$G$5:$G$140="moeda")+(Inputs!$G$5:$G$140="acoes"))*Inputs!$B$1+((Inputs!$G$5:$G$140&lt;&gt;"moeda")*(Inputs!$G$5:$G$140&lt;&gt;"acoes")))*INDEX(Inputs!$K$5:$AJ$140,0,MATCH(P$2,Inputs!$K$4:$AJ$4,0)))+SUMPRODUCT((Inputs!$C$5:$C$140=$B68)*Inputs!$D$5:$D$140*(((Inputs!$G$5:$G$140="moeda")+(Inputs!$G$5:$G$140="acoes"))*Inputs!$B$1+((Inputs!$G$5:$G$140&lt;&gt;"moeda")*(Inputs!$G$5:$G$140&lt;&gt;"acoes")))*INDEX(Inputs!$K$5:$AJ$140,0,MATCH(P$2,Inputs!$K$4:$AJ$4,0)))+SUMPRODUCT((Inputs!$E$5:$E$140=$B68)*Inputs!$F$5:$F$140*(((Inputs!$G$5:$G$140="moeda")+(Inputs!$G$5:$G$140="acoes"))*Inputs!$B$1+((Inputs!$G$5:$G$140&lt;&gt;"moeda")*(Inputs!$G$5:$G$140&lt;&gt;"acoes")))*INDEX(Inputs!$K$5:$AJ$140,0,MATCH(P$2,Inputs!$K$4:$AJ$4,0)))))</f>
        <v>3473</v>
      </c>
      <c r="Q68" s="264">
        <f>IF(ISNA(MATCH(Q$2,Inputs!$K$4:$AJ$4,0)),NA(),IF(SUMPRODUCT((Inputs!$A$5:$A$140=$B68)*ISNUMBER(INDEX(Inputs!$K$5:$AJ$140,0,MATCH(Q$2,Inputs!$K$4:$AJ$4,0))))+SUMPRODUCT((Inputs!$C$5:$C$140=$B68)*ISNUMBER(INDEX(Inputs!$K$5:$AJ$140,0,MATCH(Q$2,Inputs!$K$4:$AJ$4,0))))+SUMPRODUCT((Inputs!$E$5:$E$140=$B68)*ISNUMBER(INDEX(Inputs!$K$5:$AJ$140,0,MATCH(Q$2,Inputs!$K$4:$AJ$4,0))))=0,NA(),SUMPRODUCT((Inputs!$A$5:$A$140=$B68)*Inputs!$B$5:$B$140*(((Inputs!$G$5:$G$140="moeda")+(Inputs!$G$5:$G$140="acoes"))*Inputs!$B$1+((Inputs!$G$5:$G$140&lt;&gt;"moeda")*(Inputs!$G$5:$G$140&lt;&gt;"acoes")))*INDEX(Inputs!$K$5:$AJ$140,0,MATCH(Q$2,Inputs!$K$4:$AJ$4,0)))+SUMPRODUCT((Inputs!$C$5:$C$140=$B68)*Inputs!$D$5:$D$140*(((Inputs!$G$5:$G$140="moeda")+(Inputs!$G$5:$G$140="acoes"))*Inputs!$B$1+((Inputs!$G$5:$G$140&lt;&gt;"moeda")*(Inputs!$G$5:$G$140&lt;&gt;"acoes")))*INDEX(Inputs!$K$5:$AJ$140,0,MATCH(Q$2,Inputs!$K$4:$AJ$4,0)))+SUMPRODUCT((Inputs!$E$5:$E$140=$B68)*Inputs!$F$5:$F$140*(((Inputs!$G$5:$G$140="moeda")+(Inputs!$G$5:$G$140="acoes"))*Inputs!$B$1+((Inputs!$G$5:$G$140&lt;&gt;"moeda")*(Inputs!$G$5:$G$140&lt;&gt;"acoes")))*INDEX(Inputs!$K$5:$AJ$140,0,MATCH(Q$2,Inputs!$K$4:$AJ$4,0)))))</f>
        <v>2817</v>
      </c>
      <c r="R68" s="265">
        <f>SUM(N68:Q68)</f>
        <v>11838</v>
      </c>
      <c r="S68" s="264">
        <f>IF(ISNA(MATCH(S$2,Inputs!$K$4:$AJ$4,0)),NA(),IF(SUMPRODUCT((Inputs!$A$5:$A$140=$B68)*ISNUMBER(INDEX(Inputs!$K$5:$AJ$140,0,MATCH(S$2,Inputs!$K$4:$AJ$4,0))))+SUMPRODUCT((Inputs!$C$5:$C$140=$B68)*ISNUMBER(INDEX(Inputs!$K$5:$AJ$140,0,MATCH(S$2,Inputs!$K$4:$AJ$4,0))))+SUMPRODUCT((Inputs!$E$5:$E$140=$B68)*ISNUMBER(INDEX(Inputs!$K$5:$AJ$140,0,MATCH(S$2,Inputs!$K$4:$AJ$4,0))))=0,NA(),SUMPRODUCT((Inputs!$A$5:$A$140=$B68)*Inputs!$B$5:$B$140*(((Inputs!$G$5:$G$140="moeda")+(Inputs!$G$5:$G$140="acoes"))*Inputs!$B$1+((Inputs!$G$5:$G$140&lt;&gt;"moeda")*(Inputs!$G$5:$G$140&lt;&gt;"acoes")))*INDEX(Inputs!$K$5:$AJ$140,0,MATCH(S$2,Inputs!$K$4:$AJ$4,0)))+SUMPRODUCT((Inputs!$C$5:$C$140=$B68)*Inputs!$D$5:$D$140*(((Inputs!$G$5:$G$140="moeda")+(Inputs!$G$5:$G$140="acoes"))*Inputs!$B$1+((Inputs!$G$5:$G$140&lt;&gt;"moeda")*(Inputs!$G$5:$G$140&lt;&gt;"acoes")))*INDEX(Inputs!$K$5:$AJ$140,0,MATCH(S$2,Inputs!$K$4:$AJ$4,0)))+SUMPRODUCT((Inputs!$E$5:$E$140=$B68)*Inputs!$F$5:$F$140*(((Inputs!$G$5:$G$140="moeda")+(Inputs!$G$5:$G$140="acoes"))*Inputs!$B$1+((Inputs!$G$5:$G$140&lt;&gt;"moeda")*(Inputs!$G$5:$G$140&lt;&gt;"acoes")))*INDEX(Inputs!$K$5:$AJ$140,0,MATCH(S$2,Inputs!$K$4:$AJ$4,0)))))</f>
        <v>2932</v>
      </c>
      <c r="T68" s="264">
        <f>IF(ISNA(MATCH(T$2,Inputs!$K$4:$AJ$4,0)),NA(),IF(SUMPRODUCT((Inputs!$A$5:$A$140=$B68)*ISNUMBER(INDEX(Inputs!$K$5:$AJ$140,0,MATCH(T$2,Inputs!$K$4:$AJ$4,0))))+SUMPRODUCT((Inputs!$C$5:$C$140=$B68)*ISNUMBER(INDEX(Inputs!$K$5:$AJ$140,0,MATCH(T$2,Inputs!$K$4:$AJ$4,0))))+SUMPRODUCT((Inputs!$E$5:$E$140=$B68)*ISNUMBER(INDEX(Inputs!$K$5:$AJ$140,0,MATCH(T$2,Inputs!$K$4:$AJ$4,0))))=0,NA(),SUMPRODUCT((Inputs!$A$5:$A$140=$B68)*Inputs!$B$5:$B$140*(((Inputs!$G$5:$G$140="moeda")+(Inputs!$G$5:$G$140="acoes"))*Inputs!$B$1+((Inputs!$G$5:$G$140&lt;&gt;"moeda")*(Inputs!$G$5:$G$140&lt;&gt;"acoes")))*INDEX(Inputs!$K$5:$AJ$140,0,MATCH(T$2,Inputs!$K$4:$AJ$4,0)))+SUMPRODUCT((Inputs!$C$5:$C$140=$B68)*Inputs!$D$5:$D$140*(((Inputs!$G$5:$G$140="moeda")+(Inputs!$G$5:$G$140="acoes"))*Inputs!$B$1+((Inputs!$G$5:$G$140&lt;&gt;"moeda")*(Inputs!$G$5:$G$140&lt;&gt;"acoes")))*INDEX(Inputs!$K$5:$AJ$140,0,MATCH(T$2,Inputs!$K$4:$AJ$4,0)))+SUMPRODUCT((Inputs!$E$5:$E$140=$B68)*Inputs!$F$5:$F$140*(((Inputs!$G$5:$G$140="moeda")+(Inputs!$G$5:$G$140="acoes"))*Inputs!$B$1+((Inputs!$G$5:$G$140&lt;&gt;"moeda")*(Inputs!$G$5:$G$140&lt;&gt;"acoes")))*INDEX(Inputs!$K$5:$AJ$140,0,MATCH(T$2,Inputs!$K$4:$AJ$4,0)))))</f>
        <v>3694</v>
      </c>
      <c r="U68" s="264">
        <f>IF(ISNA(MATCH(U$2,Inputs!$K$4:$AJ$4,0)),NA(),IF(SUMPRODUCT((Inputs!$A$5:$A$140=$B68)*ISNUMBER(INDEX(Inputs!$K$5:$AJ$140,0,MATCH(U$2,Inputs!$K$4:$AJ$4,0))))+SUMPRODUCT((Inputs!$C$5:$C$140=$B68)*ISNUMBER(INDEX(Inputs!$K$5:$AJ$140,0,MATCH(U$2,Inputs!$K$4:$AJ$4,0))))+SUMPRODUCT((Inputs!$E$5:$E$140=$B68)*ISNUMBER(INDEX(Inputs!$K$5:$AJ$140,0,MATCH(U$2,Inputs!$K$4:$AJ$4,0))))=0,NA(),SUMPRODUCT((Inputs!$A$5:$A$140=$B68)*Inputs!$B$5:$B$140*(((Inputs!$G$5:$G$140="moeda")+(Inputs!$G$5:$G$140="acoes"))*Inputs!$B$1+((Inputs!$G$5:$G$140&lt;&gt;"moeda")*(Inputs!$G$5:$G$140&lt;&gt;"acoes")))*INDEX(Inputs!$K$5:$AJ$140,0,MATCH(U$2,Inputs!$K$4:$AJ$4,0)))+SUMPRODUCT((Inputs!$C$5:$C$140=$B68)*Inputs!$D$5:$D$140*(((Inputs!$G$5:$G$140="moeda")+(Inputs!$G$5:$G$140="acoes"))*Inputs!$B$1+((Inputs!$G$5:$G$140&lt;&gt;"moeda")*(Inputs!$G$5:$G$140&lt;&gt;"acoes")))*INDEX(Inputs!$K$5:$AJ$140,0,MATCH(U$2,Inputs!$K$4:$AJ$4,0)))+SUMPRODUCT((Inputs!$E$5:$E$140=$B68)*Inputs!$F$5:$F$140*(((Inputs!$G$5:$G$140="moeda")+(Inputs!$G$5:$G$140="acoes"))*Inputs!$B$1+((Inputs!$G$5:$G$140&lt;&gt;"moeda")*(Inputs!$G$5:$G$140&lt;&gt;"acoes")))*INDEX(Inputs!$K$5:$AJ$140,0,MATCH(U$2,Inputs!$K$4:$AJ$4,0)))))</f>
        <v>4168</v>
      </c>
      <c r="V68" s="264">
        <f>IF(ISNA(MATCH(V$2,Inputs!$K$4:$AJ$4,0)),NA(),IF(SUMPRODUCT((Inputs!$A$5:$A$140=$B68)*ISNUMBER(INDEX(Inputs!$K$5:$AJ$140,0,MATCH(V$2,Inputs!$K$4:$AJ$4,0))))+SUMPRODUCT((Inputs!$C$5:$C$140=$B68)*ISNUMBER(INDEX(Inputs!$K$5:$AJ$140,0,MATCH(V$2,Inputs!$K$4:$AJ$4,0))))+SUMPRODUCT((Inputs!$E$5:$E$140=$B68)*ISNUMBER(INDEX(Inputs!$K$5:$AJ$140,0,MATCH(V$2,Inputs!$K$4:$AJ$4,0))))=0,NA(),SUMPRODUCT((Inputs!$A$5:$A$140=$B68)*Inputs!$B$5:$B$140*(((Inputs!$G$5:$G$140="moeda")+(Inputs!$G$5:$G$140="acoes"))*Inputs!$B$1+((Inputs!$G$5:$G$140&lt;&gt;"moeda")*(Inputs!$G$5:$G$140&lt;&gt;"acoes")))*INDEX(Inputs!$K$5:$AJ$140,0,MATCH(V$2,Inputs!$K$4:$AJ$4,0)))+SUMPRODUCT((Inputs!$C$5:$C$140=$B68)*Inputs!$D$5:$D$140*(((Inputs!$G$5:$G$140="moeda")+(Inputs!$G$5:$G$140="acoes"))*Inputs!$B$1+((Inputs!$G$5:$G$140&lt;&gt;"moeda")*(Inputs!$G$5:$G$140&lt;&gt;"acoes")))*INDEX(Inputs!$K$5:$AJ$140,0,MATCH(V$2,Inputs!$K$4:$AJ$4,0)))+SUMPRODUCT((Inputs!$E$5:$E$140=$B68)*Inputs!$F$5:$F$140*(((Inputs!$G$5:$G$140="moeda")+(Inputs!$G$5:$G$140="acoes"))*Inputs!$B$1+((Inputs!$G$5:$G$140&lt;&gt;"moeda")*(Inputs!$G$5:$G$140&lt;&gt;"acoes")))*INDEX(Inputs!$K$5:$AJ$140,0,MATCH(V$2,Inputs!$K$4:$AJ$4,0)))))</f>
        <v>3225</v>
      </c>
      <c r="W68" s="265">
        <f>SUM(S68:V68)</f>
        <v>14019</v>
      </c>
      <c r="X68" s="264">
        <f>IF(ISNA(MATCH(X$2,Inputs!$K$4:$AJ$4,0)),NA(),IF(SUMPRODUCT((Inputs!$A$5:$A$140=$B68)*ISNUMBER(INDEX(Inputs!$K$5:$AJ$140,0,MATCH(X$2,Inputs!$K$4:$AJ$4,0))))+SUMPRODUCT((Inputs!$C$5:$C$140=$B68)*ISNUMBER(INDEX(Inputs!$K$5:$AJ$140,0,MATCH(X$2,Inputs!$K$4:$AJ$4,0))))+SUMPRODUCT((Inputs!$E$5:$E$140=$B68)*ISNUMBER(INDEX(Inputs!$K$5:$AJ$140,0,MATCH(X$2,Inputs!$K$4:$AJ$4,0))))=0,NA(),SUMPRODUCT((Inputs!$A$5:$A$140=$B68)*Inputs!$B$5:$B$140*(((Inputs!$G$5:$G$140="moeda")+(Inputs!$G$5:$G$140="acoes"))*Inputs!$B$1+((Inputs!$G$5:$G$140&lt;&gt;"moeda")*(Inputs!$G$5:$G$140&lt;&gt;"acoes")))*INDEX(Inputs!$K$5:$AJ$140,0,MATCH(X$2,Inputs!$K$4:$AJ$4,0)))+SUMPRODUCT((Inputs!$C$5:$C$140=$B68)*Inputs!$D$5:$D$140*(((Inputs!$G$5:$G$140="moeda")+(Inputs!$G$5:$G$140="acoes"))*Inputs!$B$1+((Inputs!$G$5:$G$140&lt;&gt;"moeda")*(Inputs!$G$5:$G$140&lt;&gt;"acoes")))*INDEX(Inputs!$K$5:$AJ$140,0,MATCH(X$2,Inputs!$K$4:$AJ$4,0)))+SUMPRODUCT((Inputs!$E$5:$E$140=$B68)*Inputs!$F$5:$F$140*(((Inputs!$G$5:$G$140="moeda")+(Inputs!$G$5:$G$140="acoes"))*Inputs!$B$1+((Inputs!$G$5:$G$140&lt;&gt;"moeda")*(Inputs!$G$5:$G$140&lt;&gt;"acoes")))*INDEX(Inputs!$K$5:$AJ$140,0,MATCH(X$2,Inputs!$K$4:$AJ$4,0)))))</f>
        <v>3363</v>
      </c>
      <c r="Y68" s="264">
        <f>IF(ISNA(MATCH(Y$2,Inputs!$K$4:$AJ$4,0)),NA(),IF(SUMPRODUCT((Inputs!$A$5:$A$140=$B68)*ISNUMBER(INDEX(Inputs!$K$5:$AJ$140,0,MATCH(Y$2,Inputs!$K$4:$AJ$4,0))))+SUMPRODUCT((Inputs!$C$5:$C$140=$B68)*ISNUMBER(INDEX(Inputs!$K$5:$AJ$140,0,MATCH(Y$2,Inputs!$K$4:$AJ$4,0))))+SUMPRODUCT((Inputs!$E$5:$E$140=$B68)*ISNUMBER(INDEX(Inputs!$K$5:$AJ$140,0,MATCH(Y$2,Inputs!$K$4:$AJ$4,0))))=0,NA(),SUMPRODUCT((Inputs!$A$5:$A$140=$B68)*Inputs!$B$5:$B$140*(((Inputs!$G$5:$G$140="moeda")+(Inputs!$G$5:$G$140="acoes"))*Inputs!$B$1+((Inputs!$G$5:$G$140&lt;&gt;"moeda")*(Inputs!$G$5:$G$140&lt;&gt;"acoes")))*INDEX(Inputs!$K$5:$AJ$140,0,MATCH(Y$2,Inputs!$K$4:$AJ$4,0)))+SUMPRODUCT((Inputs!$C$5:$C$140=$B68)*Inputs!$D$5:$D$140*(((Inputs!$G$5:$G$140="moeda")+(Inputs!$G$5:$G$140="acoes"))*Inputs!$B$1+((Inputs!$G$5:$G$140&lt;&gt;"moeda")*(Inputs!$G$5:$G$140&lt;&gt;"acoes")))*INDEX(Inputs!$K$5:$AJ$140,0,MATCH(Y$2,Inputs!$K$4:$AJ$4,0)))+SUMPRODUCT((Inputs!$E$5:$E$140=$B68)*Inputs!$F$5:$F$140*(((Inputs!$G$5:$G$140="moeda")+(Inputs!$G$5:$G$140="acoes"))*Inputs!$B$1+((Inputs!$G$5:$G$140&lt;&gt;"moeda")*(Inputs!$G$5:$G$140&lt;&gt;"acoes")))*INDEX(Inputs!$K$5:$AJ$140,0,MATCH(Y$2,Inputs!$K$4:$AJ$4,0)))))</f>
        <v>4046</v>
      </c>
      <c r="Z68" s="264">
        <f>IF(ISNA(MATCH(Z$2,Inputs!$K$4:$AJ$4,0)),NA(),IF(SUMPRODUCT((Inputs!$A$5:$A$140=$B68)*ISNUMBER(INDEX(Inputs!$K$5:$AJ$140,0,MATCH(Z$2,Inputs!$K$4:$AJ$4,0))))+SUMPRODUCT((Inputs!$C$5:$C$140=$B68)*ISNUMBER(INDEX(Inputs!$K$5:$AJ$140,0,MATCH(Z$2,Inputs!$K$4:$AJ$4,0))))+SUMPRODUCT((Inputs!$E$5:$E$140=$B68)*ISNUMBER(INDEX(Inputs!$K$5:$AJ$140,0,MATCH(Z$2,Inputs!$K$4:$AJ$4,0))))=0,NA(),SUMPRODUCT((Inputs!$A$5:$A$140=$B68)*Inputs!$B$5:$B$140*(((Inputs!$G$5:$G$140="moeda")+(Inputs!$G$5:$G$140="acoes"))*Inputs!$B$1+((Inputs!$G$5:$G$140&lt;&gt;"moeda")*(Inputs!$G$5:$G$140&lt;&gt;"acoes")))*INDEX(Inputs!$K$5:$AJ$140,0,MATCH(Z$2,Inputs!$K$4:$AJ$4,0)))+SUMPRODUCT((Inputs!$C$5:$C$140=$B68)*Inputs!$D$5:$D$140*(((Inputs!$G$5:$G$140="moeda")+(Inputs!$G$5:$G$140="acoes"))*Inputs!$B$1+((Inputs!$G$5:$G$140&lt;&gt;"moeda")*(Inputs!$G$5:$G$140&lt;&gt;"acoes")))*INDEX(Inputs!$K$5:$AJ$140,0,MATCH(Z$2,Inputs!$K$4:$AJ$4,0)))+SUMPRODUCT((Inputs!$E$5:$E$140=$B68)*Inputs!$F$5:$F$140*(((Inputs!$G$5:$G$140="moeda")+(Inputs!$G$5:$G$140="acoes"))*Inputs!$B$1+((Inputs!$G$5:$G$140&lt;&gt;"moeda")*(Inputs!$G$5:$G$140&lt;&gt;"acoes")))*INDEX(Inputs!$K$5:$AJ$140,0,MATCH(Z$2,Inputs!$K$4:$AJ$4,0)))))</f>
        <v>4908</v>
      </c>
      <c r="AA68" s="264">
        <f>IF(ISNA(MATCH(AA$2,Inputs!$K$4:$AJ$4,0)),NA(),IF(SUMPRODUCT((Inputs!$A$5:$A$140=$B68)*ISNUMBER(INDEX(Inputs!$K$5:$AJ$140,0,MATCH(AA$2,Inputs!$K$4:$AJ$4,0))))+SUMPRODUCT((Inputs!$C$5:$C$140=$B68)*ISNUMBER(INDEX(Inputs!$K$5:$AJ$140,0,MATCH(AA$2,Inputs!$K$4:$AJ$4,0))))+SUMPRODUCT((Inputs!$E$5:$E$140=$B68)*ISNUMBER(INDEX(Inputs!$K$5:$AJ$140,0,MATCH(AA$2,Inputs!$K$4:$AJ$4,0))))=0,NA(),SUMPRODUCT((Inputs!$A$5:$A$140=$B68)*Inputs!$B$5:$B$140*(((Inputs!$G$5:$G$140="moeda")+(Inputs!$G$5:$G$140="acoes"))*Inputs!$B$1+((Inputs!$G$5:$G$140&lt;&gt;"moeda")*(Inputs!$G$5:$G$140&lt;&gt;"acoes")))*INDEX(Inputs!$K$5:$AJ$140,0,MATCH(AA$2,Inputs!$K$4:$AJ$4,0)))+SUMPRODUCT((Inputs!$C$5:$C$140=$B68)*Inputs!$D$5:$D$140*(((Inputs!$G$5:$G$140="moeda")+(Inputs!$G$5:$G$140="acoes"))*Inputs!$B$1+((Inputs!$G$5:$G$140&lt;&gt;"moeda")*(Inputs!$G$5:$G$140&lt;&gt;"acoes")))*INDEX(Inputs!$K$5:$AJ$140,0,MATCH(AA$2,Inputs!$K$4:$AJ$4,0)))+SUMPRODUCT((Inputs!$E$5:$E$140=$B68)*Inputs!$F$5:$F$140*(((Inputs!$G$5:$G$140="moeda")+(Inputs!$G$5:$G$140="acoes"))*Inputs!$B$1+((Inputs!$G$5:$G$140&lt;&gt;"moeda")*(Inputs!$G$5:$G$140&lt;&gt;"acoes")))*INDEX(Inputs!$K$5:$AJ$140,0,MATCH(AA$2,Inputs!$K$4:$AJ$4,0)))))</f>
        <v>4472</v>
      </c>
      <c r="AB68" s="265">
        <f>SUM(X68:AA68)</f>
        <v>16789</v>
      </c>
      <c r="AC68" s="264">
        <f>IF(ISNA(MATCH(AC$2,Inputs!$K$4:$AJ$4,0)),NA(),IF(SUMPRODUCT((Inputs!$A$5:$A$140=$B68)*ISNUMBER(INDEX(Inputs!$K$5:$AJ$140,0,MATCH(AC$2,Inputs!$K$4:$AJ$4,0))))+SUMPRODUCT((Inputs!$C$5:$C$140=$B68)*ISNUMBER(INDEX(Inputs!$K$5:$AJ$140,0,MATCH(AC$2,Inputs!$K$4:$AJ$4,0))))+SUMPRODUCT((Inputs!$E$5:$E$140=$B68)*ISNUMBER(INDEX(Inputs!$K$5:$AJ$140,0,MATCH(AC$2,Inputs!$K$4:$AJ$4,0))))=0,NA(),SUMPRODUCT((Inputs!$A$5:$A$140=$B68)*Inputs!$B$5:$B$140*(((Inputs!$G$5:$G$140="moeda")+(Inputs!$G$5:$G$140="acoes"))*Inputs!$B$1+((Inputs!$G$5:$G$140&lt;&gt;"moeda")*(Inputs!$G$5:$G$140&lt;&gt;"acoes")))*INDEX(Inputs!$K$5:$AJ$140,0,MATCH(AC$2,Inputs!$K$4:$AJ$4,0)))+SUMPRODUCT((Inputs!$C$5:$C$140=$B68)*Inputs!$D$5:$D$140*(((Inputs!$G$5:$G$140="moeda")+(Inputs!$G$5:$G$140="acoes"))*Inputs!$B$1+((Inputs!$G$5:$G$140&lt;&gt;"moeda")*(Inputs!$G$5:$G$140&lt;&gt;"acoes")))*INDEX(Inputs!$K$5:$AJ$140,0,MATCH(AC$2,Inputs!$K$4:$AJ$4,0)))+SUMPRODUCT((Inputs!$E$5:$E$140=$B68)*Inputs!$F$5:$F$140*(((Inputs!$G$5:$G$140="moeda")+(Inputs!$G$5:$G$140="acoes"))*Inputs!$B$1+((Inputs!$G$5:$G$140&lt;&gt;"moeda")*(Inputs!$G$5:$G$140&lt;&gt;"acoes")))*INDEX(Inputs!$K$5:$AJ$140,0,MATCH(AC$2,Inputs!$K$4:$AJ$4,0)))))</f>
        <v>4634</v>
      </c>
      <c r="AD68" s="264">
        <f>IF(ISNA(MATCH(AD$2,Inputs!$K$4:$AJ$4,0)),NA(),IF(SUMPRODUCT((Inputs!$A$5:$A$140=$B68)*ISNUMBER(INDEX(Inputs!$K$5:$AJ$140,0,MATCH(AD$2,Inputs!$K$4:$AJ$4,0))))+SUMPRODUCT((Inputs!$C$5:$C$140=$B68)*ISNUMBER(INDEX(Inputs!$K$5:$AJ$140,0,MATCH(AD$2,Inputs!$K$4:$AJ$4,0))))+SUMPRODUCT((Inputs!$E$5:$E$140=$B68)*ISNUMBER(INDEX(Inputs!$K$5:$AJ$140,0,MATCH(AD$2,Inputs!$K$4:$AJ$4,0))))=0,NA(),SUMPRODUCT((Inputs!$A$5:$A$140=$B68)*Inputs!$B$5:$B$140*(((Inputs!$G$5:$G$140="moeda")+(Inputs!$G$5:$G$140="acoes"))*Inputs!$B$1+((Inputs!$G$5:$G$140&lt;&gt;"moeda")*(Inputs!$G$5:$G$140&lt;&gt;"acoes")))*INDEX(Inputs!$K$5:$AJ$140,0,MATCH(AD$2,Inputs!$K$4:$AJ$4,0)))+SUMPRODUCT((Inputs!$C$5:$C$140=$B68)*Inputs!$D$5:$D$140*(((Inputs!$G$5:$G$140="moeda")+(Inputs!$G$5:$G$140="acoes"))*Inputs!$B$1+((Inputs!$G$5:$G$140&lt;&gt;"moeda")*(Inputs!$G$5:$G$140&lt;&gt;"acoes")))*INDEX(Inputs!$K$5:$AJ$140,0,MATCH(AD$2,Inputs!$K$4:$AJ$4,0)))+SUMPRODUCT((Inputs!$E$5:$E$140=$B68)*Inputs!$F$5:$F$140*(((Inputs!$G$5:$G$140="moeda")+(Inputs!$G$5:$G$140="acoes"))*Inputs!$B$1+((Inputs!$G$5:$G$140&lt;&gt;"moeda")*(Inputs!$G$5:$G$140&lt;&gt;"acoes")))*INDEX(Inputs!$K$5:$AJ$140,0,MATCH(AD$2,Inputs!$K$4:$AJ$4,0)))))</f>
        <v>5737.13</v>
      </c>
      <c r="AE68" s="264" t="e">
        <f>IF(ISNA(MATCH(AE$2,Inputs!$K$4:$AJ$4,0)),NA(),IF(SUMPRODUCT((Inputs!$A$5:$A$140=$B68)*ISNUMBER(INDEX(Inputs!$K$5:$AJ$140,0,MATCH(AE$2,Inputs!$K$4:$AJ$4,0))))+SUMPRODUCT((Inputs!$C$5:$C$140=$B68)*ISNUMBER(INDEX(Inputs!$K$5:$AJ$140,0,MATCH(AE$2,Inputs!$K$4:$AJ$4,0))))+SUMPRODUCT((Inputs!$E$5:$E$140=$B68)*ISNUMBER(INDEX(Inputs!$K$5:$AJ$140,0,MATCH(AE$2,Inputs!$K$4:$AJ$4,0))))=0,NA(),SUMPRODUCT((Inputs!$A$5:$A$140=$B68)*Inputs!$B$5:$B$140*(((Inputs!$G$5:$G$140="moeda")+(Inputs!$G$5:$G$140="acoes"))*Inputs!$B$1+((Inputs!$G$5:$G$140&lt;&gt;"moeda")*(Inputs!$G$5:$G$140&lt;&gt;"acoes")))*INDEX(Inputs!$K$5:$AJ$140,0,MATCH(AE$2,Inputs!$K$4:$AJ$4,0)))+SUMPRODUCT((Inputs!$C$5:$C$140=$B68)*Inputs!$D$5:$D$140*(((Inputs!$G$5:$G$140="moeda")+(Inputs!$G$5:$G$140="acoes"))*Inputs!$B$1+((Inputs!$G$5:$G$140&lt;&gt;"moeda")*(Inputs!$G$5:$G$140&lt;&gt;"acoes")))*INDEX(Inputs!$K$5:$AJ$140,0,MATCH(AE$2,Inputs!$K$4:$AJ$4,0)))+SUMPRODUCT((Inputs!$E$5:$E$140=$B68)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8" s="264" t="e">
        <f>IF(ISNA(MATCH(AF$2,Inputs!$K$4:$AJ$4,0)),NA(),IF(SUMPRODUCT((Inputs!$A$5:$A$140=$B68)*ISNUMBER(INDEX(Inputs!$K$5:$AJ$140,0,MATCH(AF$2,Inputs!$K$4:$AJ$4,0))))+SUMPRODUCT((Inputs!$C$5:$C$140=$B68)*ISNUMBER(INDEX(Inputs!$K$5:$AJ$140,0,MATCH(AF$2,Inputs!$K$4:$AJ$4,0))))+SUMPRODUCT((Inputs!$E$5:$E$140=$B68)*ISNUMBER(INDEX(Inputs!$K$5:$AJ$140,0,MATCH(AF$2,Inputs!$K$4:$AJ$4,0))))=0,NA(),SUMPRODUCT((Inputs!$A$5:$A$140=$B68)*Inputs!$B$5:$B$140*(((Inputs!$G$5:$G$140="moeda")+(Inputs!$G$5:$G$140="acoes"))*Inputs!$B$1+((Inputs!$G$5:$G$140&lt;&gt;"moeda")*(Inputs!$G$5:$G$140&lt;&gt;"acoes")))*INDEX(Inputs!$K$5:$AJ$140,0,MATCH(AF$2,Inputs!$K$4:$AJ$4,0)))+SUMPRODUCT((Inputs!$C$5:$C$140=$B68)*Inputs!$D$5:$D$140*(((Inputs!$G$5:$G$140="moeda")+(Inputs!$G$5:$G$140="acoes"))*Inputs!$B$1+((Inputs!$G$5:$G$140&lt;&gt;"moeda")*(Inputs!$G$5:$G$140&lt;&gt;"acoes")))*INDEX(Inputs!$K$5:$AJ$140,0,MATCH(AF$2,Inputs!$K$4:$AJ$4,0)))+SUMPRODUCT((Inputs!$E$5:$E$140=$B68)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8" s="265" t="e">
        <f>SUM(AC68:AF68)</f>
        <v>#N/A</v>
      </c>
      <c r="AH68" s="264">
        <f>IF(ISNA(MATCH(AH$2,Inputs!$K$4:$AJ$4,0)),NA(),IF(SUMPRODUCT((Inputs!$A$5:$A$140=$B68)*ISNUMBER(INDEX(Inputs!$K$5:$AJ$140,0,MATCH(AH$2,Inputs!$K$4:$AJ$4,0))))+SUMPRODUCT((Inputs!$C$5:$C$140=$B68)*ISNUMBER(INDEX(Inputs!$K$5:$AJ$140,0,MATCH(AH$2,Inputs!$K$4:$AJ$4,0))))+SUMPRODUCT((Inputs!$E$5:$E$140=$B68)*ISNUMBER(INDEX(Inputs!$K$5:$AJ$140,0,MATCH(AH$2,Inputs!$K$4:$AJ$4,0))))=0,NA(),SUMPRODUCT((Inputs!$A$5:$A$140=$B68)*Inputs!$B$5:$B$140*(((Inputs!$G$5:$G$140="moeda")+(Inputs!$G$5:$G$140="acoes"))*Inputs!$B$1+((Inputs!$G$5:$G$140&lt;&gt;"moeda")*(Inputs!$G$5:$G$140&lt;&gt;"acoes")))*INDEX(Inputs!$K$5:$AJ$140,0,MATCH(AH$2,Inputs!$K$4:$AJ$4,0)))+SUMPRODUCT((Inputs!$C$5:$C$140=$B68)*Inputs!$D$5:$D$140*(((Inputs!$G$5:$G$140="moeda")+(Inputs!$G$5:$G$140="acoes"))*Inputs!$B$1+((Inputs!$G$5:$G$140&lt;&gt;"moeda")*(Inputs!$G$5:$G$140&lt;&gt;"acoes")))*INDEX(Inputs!$K$5:$AJ$140,0,MATCH(AH$2,Inputs!$K$4:$AJ$4,0)))+SUMPRODUCT((Inputs!$E$5:$E$140=$B68)*Inputs!$F$5:$F$140*(((Inputs!$G$5:$G$140="moeda")+(Inputs!$G$5:$G$140="acoes"))*Inputs!$B$1+((Inputs!$G$5:$G$140&lt;&gt;"moeda")*(Inputs!$G$5:$G$140&lt;&gt;"acoes")))*INDEX(Inputs!$K$5:$AJ$140,0,MATCH(AH$2,Inputs!$K$4:$AJ$4,0)))))</f>
        <v>1380.52450866813</v>
      </c>
      <c r="AI68" s="264">
        <f>IF(ISNA(MATCH(AI$2,Inputs!$K$4:$AJ$4,0)),NA(),IF(SUMPRODUCT((Inputs!$A$5:$A$140=$B68)*ISNUMBER(INDEX(Inputs!$K$5:$AJ$140,0,MATCH(AI$2,Inputs!$K$4:$AJ$4,0))))+SUMPRODUCT((Inputs!$C$5:$C$140=$B68)*ISNUMBER(INDEX(Inputs!$K$5:$AJ$140,0,MATCH(AI$2,Inputs!$K$4:$AJ$4,0))))+SUMPRODUCT((Inputs!$E$5:$E$140=$B68)*ISNUMBER(INDEX(Inputs!$K$5:$AJ$140,0,MATCH(AI$2,Inputs!$K$4:$AJ$4,0))))=0,NA(),SUMPRODUCT((Inputs!$A$5:$A$140=$B68)*Inputs!$B$5:$B$140*(((Inputs!$G$5:$G$140="moeda")+(Inputs!$G$5:$G$140="acoes"))*Inputs!$B$1+((Inputs!$G$5:$G$140&lt;&gt;"moeda")*(Inputs!$G$5:$G$140&lt;&gt;"acoes")))*INDEX(Inputs!$K$5:$AJ$140,0,MATCH(AI$2,Inputs!$K$4:$AJ$4,0)))+SUMPRODUCT((Inputs!$C$5:$C$140=$B68)*Inputs!$D$5:$D$140*(((Inputs!$G$5:$G$140="moeda")+(Inputs!$G$5:$G$140="acoes"))*Inputs!$B$1+((Inputs!$G$5:$G$140&lt;&gt;"moeda")*(Inputs!$G$5:$G$140&lt;&gt;"acoes")))*INDEX(Inputs!$K$5:$AJ$140,0,MATCH(AI$2,Inputs!$K$4:$AJ$4,0)))+SUMPRODUCT((Inputs!$E$5:$E$140=$B68)*Inputs!$F$5:$F$140*(((Inputs!$G$5:$G$140="moeda")+(Inputs!$G$5:$G$140="acoes"))*Inputs!$B$1+((Inputs!$G$5:$G$140&lt;&gt;"moeda")*(Inputs!$G$5:$G$140&lt;&gt;"acoes")))*INDEX(Inputs!$K$5:$AJ$140,0,MATCH(AI$2,Inputs!$K$4:$AJ$4,0)))))</f>
        <v>1719.70461220313</v>
      </c>
      <c r="AJ68" s="264">
        <f>IF(ISNA(MATCH(AJ$2,Inputs!$K$4:$AJ$4,0)),NA(),IF(SUMPRODUCT((Inputs!$A$5:$A$140=$B68)*ISNUMBER(INDEX(Inputs!$K$5:$AJ$140,0,MATCH(AJ$2,Inputs!$K$4:$AJ$4,0))))+SUMPRODUCT((Inputs!$C$5:$C$140=$B68)*ISNUMBER(INDEX(Inputs!$K$5:$AJ$140,0,MATCH(AJ$2,Inputs!$K$4:$AJ$4,0))))+SUMPRODUCT((Inputs!$E$5:$E$140=$B68)*ISNUMBER(INDEX(Inputs!$K$5:$AJ$140,0,MATCH(AJ$2,Inputs!$K$4:$AJ$4,0))))=0,NA(),SUMPRODUCT((Inputs!$A$5:$A$140=$B68)*Inputs!$B$5:$B$140*(((Inputs!$G$5:$G$140="moeda")+(Inputs!$G$5:$G$140="acoes"))*Inputs!$B$1+((Inputs!$G$5:$G$140&lt;&gt;"moeda")*(Inputs!$G$5:$G$140&lt;&gt;"acoes")))*INDEX(Inputs!$K$5:$AJ$140,0,MATCH(AJ$2,Inputs!$K$4:$AJ$4,0)))+SUMPRODUCT((Inputs!$C$5:$C$140=$B68)*Inputs!$D$5:$D$140*(((Inputs!$G$5:$G$140="moeda")+(Inputs!$G$5:$G$140="acoes"))*Inputs!$B$1+((Inputs!$G$5:$G$140&lt;&gt;"moeda")*(Inputs!$G$5:$G$140&lt;&gt;"acoes")))*INDEX(Inputs!$K$5:$AJ$140,0,MATCH(AJ$2,Inputs!$K$4:$AJ$4,0)))+SUMPRODUCT((Inputs!$E$5:$E$140=$B68)*Inputs!$F$5:$F$140*(((Inputs!$G$5:$G$140="moeda")+(Inputs!$G$5:$G$140="acoes"))*Inputs!$B$1+((Inputs!$G$5:$G$140&lt;&gt;"moeda")*(Inputs!$G$5:$G$140&lt;&gt;"acoes")))*INDEX(Inputs!$K$5:$AJ$140,0,MATCH(AJ$2,Inputs!$K$4:$AJ$4,0)))))</f>
        <v>1707.32985963686</v>
      </c>
      <c r="AK68" s="264">
        <f>IF(ISNA(MATCH(AK$2,Inputs!$K$4:$AJ$4,0)),NA(),IF(SUMPRODUCT((Inputs!$A$5:$A$140=$B68)*ISNUMBER(INDEX(Inputs!$K$5:$AJ$140,0,MATCH(AK$2,Inputs!$K$4:$AJ$4,0))))+SUMPRODUCT((Inputs!$C$5:$C$140=$B68)*ISNUMBER(INDEX(Inputs!$K$5:$AJ$140,0,MATCH(AK$2,Inputs!$K$4:$AJ$4,0))))+SUMPRODUCT((Inputs!$E$5:$E$140=$B68)*ISNUMBER(INDEX(Inputs!$K$5:$AJ$140,0,MATCH(AK$2,Inputs!$K$4:$AJ$4,0))))=0,NA(),SUMPRODUCT((Inputs!$A$5:$A$140=$B68)*Inputs!$B$5:$B$140*(((Inputs!$G$5:$G$140="moeda")+(Inputs!$G$5:$G$140="acoes"))*Inputs!$B$1+((Inputs!$G$5:$G$140&lt;&gt;"moeda")*(Inputs!$G$5:$G$140&lt;&gt;"acoes")))*INDEX(Inputs!$K$5:$AJ$140,0,MATCH(AK$2,Inputs!$K$4:$AJ$4,0)))+SUMPRODUCT((Inputs!$C$5:$C$140=$B68)*Inputs!$D$5:$D$140*(((Inputs!$G$5:$G$140="moeda")+(Inputs!$G$5:$G$140="acoes"))*Inputs!$B$1+((Inputs!$G$5:$G$140&lt;&gt;"moeda")*(Inputs!$G$5:$G$140&lt;&gt;"acoes")))*INDEX(Inputs!$K$5:$AJ$140,0,MATCH(AK$2,Inputs!$K$4:$AJ$4,0)))+SUMPRODUCT((Inputs!$E$5:$E$140=$B68)*Inputs!$F$5:$F$140*(((Inputs!$G$5:$G$140="moeda")+(Inputs!$G$5:$G$140="acoes"))*Inputs!$B$1+((Inputs!$G$5:$G$140&lt;&gt;"moeda")*(Inputs!$G$5:$G$140&lt;&gt;"acoes")))*INDEX(Inputs!$K$5:$AJ$140,0,MATCH(AK$2,Inputs!$K$4:$AJ$4,0)))))</f>
        <v>1588.7941789718</v>
      </c>
      <c r="AL68" s="265">
        <f>SUM(AH68:AK68)</f>
        <v>6396.35315947992</v>
      </c>
    </row>
    <row r="69">
      <c r="B69" s="46" t="n">
        <v>61</v>
      </c>
      <c r="C69" s="29" t="inlineStr">
        <is>
          <t>Estoque a valor de mercado - VGV (R$ mil; l.45; fim do periodo)</t>
        </is>
      </c>
      <c r="D69" s="262">
        <f>IF(ISNA(MATCH(D$2,Inputs!$K$4:$AJ$4,0)),NA(),IF(SUMPRODUCT((Inputs!$A$5:$A$140=$B69)*ISNUMBER(INDEX(Inputs!$K$5:$AJ$140,0,MATCH(D$2,Inputs!$K$4:$AJ$4,0))))+SUMPRODUCT((Inputs!$C$5:$C$140=$B69)*ISNUMBER(INDEX(Inputs!$K$5:$AJ$140,0,MATCH(D$2,Inputs!$K$4:$AJ$4,0))))+SUMPRODUCT((Inputs!$E$5:$E$140=$B69)*ISNUMBER(INDEX(Inputs!$K$5:$AJ$140,0,MATCH(D$2,Inputs!$K$4:$AJ$4,0))))=0,NA(),SUMPRODUCT((Inputs!$A$5:$A$140=$B69)*Inputs!$B$5:$B$140*(((Inputs!$G$5:$G$140="moeda")+(Inputs!$G$5:$G$140="acoes"))*Inputs!$B$1+((Inputs!$G$5:$G$140&lt;&gt;"moeda")*(Inputs!$G$5:$G$140&lt;&gt;"acoes")))*INDEX(Inputs!$K$5:$AJ$140,0,MATCH(D$2,Inputs!$K$4:$AJ$4,0)))+SUMPRODUCT((Inputs!$C$5:$C$140=$B69)*Inputs!$D$5:$D$140*(((Inputs!$G$5:$G$140="moeda")+(Inputs!$G$5:$G$140="acoes"))*Inputs!$B$1+((Inputs!$G$5:$G$140&lt;&gt;"moeda")*(Inputs!$G$5:$G$140&lt;&gt;"acoes")))*INDEX(Inputs!$K$5:$AJ$140,0,MATCH(D$2,Inputs!$K$4:$AJ$4,0)))+SUMPRODUCT((Inputs!$E$5:$E$140=$B69)*Inputs!$F$5:$F$140*(((Inputs!$G$5:$G$140="moeda")+(Inputs!$G$5:$G$140="acoes"))*Inputs!$B$1+((Inputs!$G$5:$G$140&lt;&gt;"moeda")*(Inputs!$G$5:$G$140&lt;&gt;"acoes")))*INDEX(Inputs!$K$5:$AJ$140,0,MATCH(D$2,Inputs!$K$4:$AJ$4,0)))))</f>
        <v>765.721078097375</v>
      </c>
      <c r="E69" s="262">
        <f>IF(ISNA(MATCH(E$2,Inputs!$K$4:$AJ$4,0)),NA(),IF(SUMPRODUCT((Inputs!$A$5:$A$140=$B69)*ISNUMBER(INDEX(Inputs!$K$5:$AJ$140,0,MATCH(E$2,Inputs!$K$4:$AJ$4,0))))+SUMPRODUCT((Inputs!$C$5:$C$140=$B69)*ISNUMBER(INDEX(Inputs!$K$5:$AJ$140,0,MATCH(E$2,Inputs!$K$4:$AJ$4,0))))+SUMPRODUCT((Inputs!$E$5:$E$140=$B69)*ISNUMBER(INDEX(Inputs!$K$5:$AJ$140,0,MATCH(E$2,Inputs!$K$4:$AJ$4,0))))=0,NA(),SUMPRODUCT((Inputs!$A$5:$A$140=$B69)*Inputs!$B$5:$B$140*(((Inputs!$G$5:$G$140="moeda")+(Inputs!$G$5:$G$140="acoes"))*Inputs!$B$1+((Inputs!$G$5:$G$140&lt;&gt;"moeda")*(Inputs!$G$5:$G$140&lt;&gt;"acoes")))*INDEX(Inputs!$K$5:$AJ$140,0,MATCH(E$2,Inputs!$K$4:$AJ$4,0)))+SUMPRODUCT((Inputs!$C$5:$C$140=$B69)*Inputs!$D$5:$D$140*(((Inputs!$G$5:$G$140="moeda")+(Inputs!$G$5:$G$140="acoes"))*Inputs!$B$1+((Inputs!$G$5:$G$140&lt;&gt;"moeda")*(Inputs!$G$5:$G$140&lt;&gt;"acoes")))*INDEX(Inputs!$K$5:$AJ$140,0,MATCH(E$2,Inputs!$K$4:$AJ$4,0)))+SUMPRODUCT((Inputs!$E$5:$E$140=$B69)*Inputs!$F$5:$F$140*(((Inputs!$G$5:$G$140="moeda")+(Inputs!$G$5:$G$140="acoes"))*Inputs!$B$1+((Inputs!$G$5:$G$140&lt;&gt;"moeda")*(Inputs!$G$5:$G$140&lt;&gt;"acoes")))*INDEX(Inputs!$K$5:$AJ$140,0,MATCH(E$2,Inputs!$K$4:$AJ$4,0)))))</f>
        <v>777.43</v>
      </c>
      <c r="F69" s="262">
        <f>IF(ISNA(MATCH(F$2,Inputs!$K$4:$AJ$4,0)),NA(),IF(SUMPRODUCT((Inputs!$A$5:$A$140=$B69)*ISNUMBER(INDEX(Inputs!$K$5:$AJ$140,0,MATCH(F$2,Inputs!$K$4:$AJ$4,0))))+SUMPRODUCT((Inputs!$C$5:$C$140=$B69)*ISNUMBER(INDEX(Inputs!$K$5:$AJ$140,0,MATCH(F$2,Inputs!$K$4:$AJ$4,0))))+SUMPRODUCT((Inputs!$E$5:$E$140=$B69)*ISNUMBER(INDEX(Inputs!$K$5:$AJ$140,0,MATCH(F$2,Inputs!$K$4:$AJ$4,0))))=0,NA(),SUMPRODUCT((Inputs!$A$5:$A$140=$B69)*Inputs!$B$5:$B$140*(((Inputs!$G$5:$G$140="moeda")+(Inputs!$G$5:$G$140="acoes"))*Inputs!$B$1+((Inputs!$G$5:$G$140&lt;&gt;"moeda")*(Inputs!$G$5:$G$140&lt;&gt;"acoes")))*INDEX(Inputs!$K$5:$AJ$140,0,MATCH(F$2,Inputs!$K$4:$AJ$4,0)))+SUMPRODUCT((Inputs!$C$5:$C$140=$B69)*Inputs!$D$5:$D$140*(((Inputs!$G$5:$G$140="moeda")+(Inputs!$G$5:$G$140="acoes"))*Inputs!$B$1+((Inputs!$G$5:$G$140&lt;&gt;"moeda")*(Inputs!$G$5:$G$140&lt;&gt;"acoes")))*INDEX(Inputs!$K$5:$AJ$140,0,MATCH(F$2,Inputs!$K$4:$AJ$4,0)))+SUMPRODUCT((Inputs!$E$5:$E$140=$B69)*Inputs!$F$5:$F$140*(((Inputs!$G$5:$G$140="moeda")+(Inputs!$G$5:$G$140="acoes"))*Inputs!$B$1+((Inputs!$G$5:$G$140&lt;&gt;"moeda")*(Inputs!$G$5:$G$140&lt;&gt;"acoes")))*INDEX(Inputs!$K$5:$AJ$140,0,MATCH(F$2,Inputs!$K$4:$AJ$4,0)))))</f>
        <v>827.130059496389</v>
      </c>
      <c r="G69" s="262">
        <f>IF(ISNA(MATCH(G$2,Inputs!$K$4:$AJ$4,0)),NA(),IF(SUMPRODUCT((Inputs!$A$5:$A$140=$B69)*ISNUMBER(INDEX(Inputs!$K$5:$AJ$140,0,MATCH(G$2,Inputs!$K$4:$AJ$4,0))))+SUMPRODUCT((Inputs!$C$5:$C$140=$B69)*ISNUMBER(INDEX(Inputs!$K$5:$AJ$140,0,MATCH(G$2,Inputs!$K$4:$AJ$4,0))))+SUMPRODUCT((Inputs!$E$5:$E$140=$B69)*ISNUMBER(INDEX(Inputs!$K$5:$AJ$140,0,MATCH(G$2,Inputs!$K$4:$AJ$4,0))))=0,NA(),SUMPRODUCT((Inputs!$A$5:$A$140=$B69)*Inputs!$B$5:$B$140*(((Inputs!$G$5:$G$140="moeda")+(Inputs!$G$5:$G$140="acoes"))*Inputs!$B$1+((Inputs!$G$5:$G$140&lt;&gt;"moeda")*(Inputs!$G$5:$G$140&lt;&gt;"acoes")))*INDEX(Inputs!$K$5:$AJ$140,0,MATCH(G$2,Inputs!$K$4:$AJ$4,0)))+SUMPRODUCT((Inputs!$C$5:$C$140=$B69)*Inputs!$D$5:$D$140*(((Inputs!$G$5:$G$140="moeda")+(Inputs!$G$5:$G$140="acoes"))*Inputs!$B$1+((Inputs!$G$5:$G$140&lt;&gt;"moeda")*(Inputs!$G$5:$G$140&lt;&gt;"acoes")))*INDEX(Inputs!$K$5:$AJ$140,0,MATCH(G$2,Inputs!$K$4:$AJ$4,0)))+SUMPRODUCT((Inputs!$E$5:$E$140=$B69)*Inputs!$F$5:$F$140*(((Inputs!$G$5:$G$140="moeda")+(Inputs!$G$5:$G$140="acoes"))*Inputs!$B$1+((Inputs!$G$5:$G$140&lt;&gt;"moeda")*(Inputs!$G$5:$G$140&lt;&gt;"acoes")))*INDEX(Inputs!$K$5:$AJ$140,0,MATCH(G$2,Inputs!$K$4:$AJ$4,0)))))</f>
        <v>999.540185304686</v>
      </c>
      <c r="H69" s="263">
        <f>G69</f>
        <v>999.540185304686</v>
      </c>
      <c r="I69" s="262">
        <f>IF(ISNA(MATCH(I$2,Inputs!$K$4:$AJ$4,0)),NA(),IF(SUMPRODUCT((Inputs!$A$5:$A$140=$B69)*ISNUMBER(INDEX(Inputs!$K$5:$AJ$140,0,MATCH(I$2,Inputs!$K$4:$AJ$4,0))))+SUMPRODUCT((Inputs!$C$5:$C$140=$B69)*ISNUMBER(INDEX(Inputs!$K$5:$AJ$140,0,MATCH(I$2,Inputs!$K$4:$AJ$4,0))))+SUMPRODUCT((Inputs!$E$5:$E$140=$B69)*ISNUMBER(INDEX(Inputs!$K$5:$AJ$140,0,MATCH(I$2,Inputs!$K$4:$AJ$4,0))))=0,NA(),SUMPRODUCT((Inputs!$A$5:$A$140=$B69)*Inputs!$B$5:$B$140*(((Inputs!$G$5:$G$140="moeda")+(Inputs!$G$5:$G$140="acoes"))*Inputs!$B$1+((Inputs!$G$5:$G$140&lt;&gt;"moeda")*(Inputs!$G$5:$G$140&lt;&gt;"acoes")))*INDEX(Inputs!$K$5:$AJ$140,0,MATCH(I$2,Inputs!$K$4:$AJ$4,0)))+SUMPRODUCT((Inputs!$C$5:$C$140=$B69)*Inputs!$D$5:$D$140*(((Inputs!$G$5:$G$140="moeda")+(Inputs!$G$5:$G$140="acoes"))*Inputs!$B$1+((Inputs!$G$5:$G$140&lt;&gt;"moeda")*(Inputs!$G$5:$G$140&lt;&gt;"acoes")))*INDEX(Inputs!$K$5:$AJ$140,0,MATCH(I$2,Inputs!$K$4:$AJ$4,0)))+SUMPRODUCT((Inputs!$E$5:$E$140=$B69)*Inputs!$F$5:$F$140*(((Inputs!$G$5:$G$140="moeda")+(Inputs!$G$5:$G$140="acoes"))*Inputs!$B$1+((Inputs!$G$5:$G$140&lt;&gt;"moeda")*(Inputs!$G$5:$G$140&lt;&gt;"acoes")))*INDEX(Inputs!$K$5:$AJ$140,0,MATCH(I$2,Inputs!$K$4:$AJ$4,0)))))</f>
        <v>1067.45107085756</v>
      </c>
      <c r="J69" s="262">
        <f>IF(ISNA(MATCH(J$2,Inputs!$K$4:$AJ$4,0)),NA(),IF(SUMPRODUCT((Inputs!$A$5:$A$140=$B69)*ISNUMBER(INDEX(Inputs!$K$5:$AJ$140,0,MATCH(J$2,Inputs!$K$4:$AJ$4,0))))+SUMPRODUCT((Inputs!$C$5:$C$140=$B69)*ISNUMBER(INDEX(Inputs!$K$5:$AJ$140,0,MATCH(J$2,Inputs!$K$4:$AJ$4,0))))+SUMPRODUCT((Inputs!$E$5:$E$140=$B69)*ISNUMBER(INDEX(Inputs!$K$5:$AJ$140,0,MATCH(J$2,Inputs!$K$4:$AJ$4,0))))=0,NA(),SUMPRODUCT((Inputs!$A$5:$A$140=$B69)*Inputs!$B$5:$B$140*(((Inputs!$G$5:$G$140="moeda")+(Inputs!$G$5:$G$140="acoes"))*Inputs!$B$1+((Inputs!$G$5:$G$140&lt;&gt;"moeda")*(Inputs!$G$5:$G$140&lt;&gt;"acoes")))*INDEX(Inputs!$K$5:$AJ$140,0,MATCH(J$2,Inputs!$K$4:$AJ$4,0)))+SUMPRODUCT((Inputs!$C$5:$C$140=$B69)*Inputs!$D$5:$D$140*(((Inputs!$G$5:$G$140="moeda")+(Inputs!$G$5:$G$140="acoes"))*Inputs!$B$1+((Inputs!$G$5:$G$140&lt;&gt;"moeda")*(Inputs!$G$5:$G$140&lt;&gt;"acoes")))*INDEX(Inputs!$K$5:$AJ$140,0,MATCH(J$2,Inputs!$K$4:$AJ$4,0)))+SUMPRODUCT((Inputs!$E$5:$E$140=$B69)*Inputs!$F$5:$F$140*(((Inputs!$G$5:$G$140="moeda")+(Inputs!$G$5:$G$140="acoes"))*Inputs!$B$1+((Inputs!$G$5:$G$140&lt;&gt;"moeda")*(Inputs!$G$5:$G$140&lt;&gt;"acoes")))*INDEX(Inputs!$K$5:$AJ$140,0,MATCH(J$2,Inputs!$K$4:$AJ$4,0)))))</f>
        <v>1258.4061220286</v>
      </c>
      <c r="K69" s="262">
        <f>IF(ISNA(MATCH(K$2,Inputs!$K$4:$AJ$4,0)),NA(),IF(SUMPRODUCT((Inputs!$A$5:$A$140=$B69)*ISNUMBER(INDEX(Inputs!$K$5:$AJ$140,0,MATCH(K$2,Inputs!$K$4:$AJ$4,0))))+SUMPRODUCT((Inputs!$C$5:$C$140=$B69)*ISNUMBER(INDEX(Inputs!$K$5:$AJ$140,0,MATCH(K$2,Inputs!$K$4:$AJ$4,0))))+SUMPRODUCT((Inputs!$E$5:$E$140=$B69)*ISNUMBER(INDEX(Inputs!$K$5:$AJ$140,0,MATCH(K$2,Inputs!$K$4:$AJ$4,0))))=0,NA(),SUMPRODUCT((Inputs!$A$5:$A$140=$B69)*Inputs!$B$5:$B$140*(((Inputs!$G$5:$G$140="moeda")+(Inputs!$G$5:$G$140="acoes"))*Inputs!$B$1+((Inputs!$G$5:$G$140&lt;&gt;"moeda")*(Inputs!$G$5:$G$140&lt;&gt;"acoes")))*INDEX(Inputs!$K$5:$AJ$140,0,MATCH(K$2,Inputs!$K$4:$AJ$4,0)))+SUMPRODUCT((Inputs!$C$5:$C$140=$B69)*Inputs!$D$5:$D$140*(((Inputs!$G$5:$G$140="moeda")+(Inputs!$G$5:$G$140="acoes"))*Inputs!$B$1+((Inputs!$G$5:$G$140&lt;&gt;"moeda")*(Inputs!$G$5:$G$140&lt;&gt;"acoes")))*INDEX(Inputs!$K$5:$AJ$140,0,MATCH(K$2,Inputs!$K$4:$AJ$4,0)))+SUMPRODUCT((Inputs!$E$5:$E$140=$B69)*Inputs!$F$5:$F$140*(((Inputs!$G$5:$G$140="moeda")+(Inputs!$G$5:$G$140="acoes"))*Inputs!$B$1+((Inputs!$G$5:$G$140&lt;&gt;"moeda")*(Inputs!$G$5:$G$140&lt;&gt;"acoes")))*INDEX(Inputs!$K$5:$AJ$140,0,MATCH(K$2,Inputs!$K$4:$AJ$4,0)))))</f>
        <v>1311.54980573077</v>
      </c>
      <c r="L69" s="262">
        <f>IF(ISNA(MATCH(L$2,Inputs!$K$4:$AJ$4,0)),NA(),IF(SUMPRODUCT((Inputs!$A$5:$A$140=$B69)*ISNUMBER(INDEX(Inputs!$K$5:$AJ$140,0,MATCH(L$2,Inputs!$K$4:$AJ$4,0))))+SUMPRODUCT((Inputs!$C$5:$C$140=$B69)*ISNUMBER(INDEX(Inputs!$K$5:$AJ$140,0,MATCH(L$2,Inputs!$K$4:$AJ$4,0))))+SUMPRODUCT((Inputs!$E$5:$E$140=$B69)*ISNUMBER(INDEX(Inputs!$K$5:$AJ$140,0,MATCH(L$2,Inputs!$K$4:$AJ$4,0))))=0,NA(),SUMPRODUCT((Inputs!$A$5:$A$140=$B69)*Inputs!$B$5:$B$140*(((Inputs!$G$5:$G$140="moeda")+(Inputs!$G$5:$G$140="acoes"))*Inputs!$B$1+((Inputs!$G$5:$G$140&lt;&gt;"moeda")*(Inputs!$G$5:$G$140&lt;&gt;"acoes")))*INDEX(Inputs!$K$5:$AJ$140,0,MATCH(L$2,Inputs!$K$4:$AJ$4,0)))+SUMPRODUCT((Inputs!$C$5:$C$140=$B69)*Inputs!$D$5:$D$140*(((Inputs!$G$5:$G$140="moeda")+(Inputs!$G$5:$G$140="acoes"))*Inputs!$B$1+((Inputs!$G$5:$G$140&lt;&gt;"moeda")*(Inputs!$G$5:$G$140&lt;&gt;"acoes")))*INDEX(Inputs!$K$5:$AJ$140,0,MATCH(L$2,Inputs!$K$4:$AJ$4,0)))+SUMPRODUCT((Inputs!$E$5:$E$140=$B69)*Inputs!$F$5:$F$140*(((Inputs!$G$5:$G$140="moeda")+(Inputs!$G$5:$G$140="acoes"))*Inputs!$B$1+((Inputs!$G$5:$G$140&lt;&gt;"moeda")*(Inputs!$G$5:$G$140&lt;&gt;"acoes")))*INDEX(Inputs!$K$5:$AJ$140,0,MATCH(L$2,Inputs!$K$4:$AJ$4,0)))))</f>
        <v>1081.77387176256</v>
      </c>
      <c r="M69" s="263">
        <f>L69</f>
        <v>1081.77387176256</v>
      </c>
      <c r="N69" s="262">
        <f>IF(ISNA(MATCH(N$2,Inputs!$K$4:$AJ$4,0)),NA(),IF(SUMPRODUCT((Inputs!$A$5:$A$140=$B69)*ISNUMBER(INDEX(Inputs!$K$5:$AJ$140,0,MATCH(N$2,Inputs!$K$4:$AJ$4,0))))+SUMPRODUCT((Inputs!$C$5:$C$140=$B69)*ISNUMBER(INDEX(Inputs!$K$5:$AJ$140,0,MATCH(N$2,Inputs!$K$4:$AJ$4,0))))+SUMPRODUCT((Inputs!$E$5:$E$140=$B69)*ISNUMBER(INDEX(Inputs!$K$5:$AJ$140,0,MATCH(N$2,Inputs!$K$4:$AJ$4,0))))=0,NA(),SUMPRODUCT((Inputs!$A$5:$A$140=$B69)*Inputs!$B$5:$B$140*(((Inputs!$G$5:$G$140="moeda")+(Inputs!$G$5:$G$140="acoes"))*Inputs!$B$1+((Inputs!$G$5:$G$140&lt;&gt;"moeda")*(Inputs!$G$5:$G$140&lt;&gt;"acoes")))*INDEX(Inputs!$K$5:$AJ$140,0,MATCH(N$2,Inputs!$K$4:$AJ$4,0)))+SUMPRODUCT((Inputs!$C$5:$C$140=$B69)*Inputs!$D$5:$D$140*(((Inputs!$G$5:$G$140="moeda")+(Inputs!$G$5:$G$140="acoes"))*Inputs!$B$1+((Inputs!$G$5:$G$140&lt;&gt;"moeda")*(Inputs!$G$5:$G$140&lt;&gt;"acoes")))*INDEX(Inputs!$K$5:$AJ$140,0,MATCH(N$2,Inputs!$K$4:$AJ$4,0)))+SUMPRODUCT((Inputs!$E$5:$E$140=$B69)*Inputs!$F$5:$F$140*(((Inputs!$G$5:$G$140="moeda")+(Inputs!$G$5:$G$140="acoes"))*Inputs!$B$1+((Inputs!$G$5:$G$140&lt;&gt;"moeda")*(Inputs!$G$5:$G$140&lt;&gt;"acoes")))*INDEX(Inputs!$K$5:$AJ$140,0,MATCH(N$2,Inputs!$K$4:$AJ$4,0)))))</f>
        <v>1406.899164821</v>
      </c>
      <c r="O69" s="262">
        <f>IF(ISNA(MATCH(O$2,Inputs!$K$4:$AJ$4,0)),NA(),IF(SUMPRODUCT((Inputs!$A$5:$A$140=$B69)*ISNUMBER(INDEX(Inputs!$K$5:$AJ$140,0,MATCH(O$2,Inputs!$K$4:$AJ$4,0))))+SUMPRODUCT((Inputs!$C$5:$C$140=$B69)*ISNUMBER(INDEX(Inputs!$K$5:$AJ$140,0,MATCH(O$2,Inputs!$K$4:$AJ$4,0))))+SUMPRODUCT((Inputs!$E$5:$E$140=$B69)*ISNUMBER(INDEX(Inputs!$K$5:$AJ$140,0,MATCH(O$2,Inputs!$K$4:$AJ$4,0))))=0,NA(),SUMPRODUCT((Inputs!$A$5:$A$140=$B69)*Inputs!$B$5:$B$140*(((Inputs!$G$5:$G$140="moeda")+(Inputs!$G$5:$G$140="acoes"))*Inputs!$B$1+((Inputs!$G$5:$G$140&lt;&gt;"moeda")*(Inputs!$G$5:$G$140&lt;&gt;"acoes")))*INDEX(Inputs!$K$5:$AJ$140,0,MATCH(O$2,Inputs!$K$4:$AJ$4,0)))+SUMPRODUCT((Inputs!$C$5:$C$140=$B69)*Inputs!$D$5:$D$140*(((Inputs!$G$5:$G$140="moeda")+(Inputs!$G$5:$G$140="acoes"))*Inputs!$B$1+((Inputs!$G$5:$G$140&lt;&gt;"moeda")*(Inputs!$G$5:$G$140&lt;&gt;"acoes")))*INDEX(Inputs!$K$5:$AJ$140,0,MATCH(O$2,Inputs!$K$4:$AJ$4,0)))+SUMPRODUCT((Inputs!$E$5:$E$140=$B69)*Inputs!$F$5:$F$140*(((Inputs!$G$5:$G$140="moeda")+(Inputs!$G$5:$G$140="acoes"))*Inputs!$B$1+((Inputs!$G$5:$G$140&lt;&gt;"moeda")*(Inputs!$G$5:$G$140&lt;&gt;"acoes")))*INDEX(Inputs!$K$5:$AJ$140,0,MATCH(O$2,Inputs!$K$4:$AJ$4,0)))))</f>
        <v>1436.257702</v>
      </c>
      <c r="P69" s="262">
        <f>IF(ISNA(MATCH(P$2,Inputs!$K$4:$AJ$4,0)),NA(),IF(SUMPRODUCT((Inputs!$A$5:$A$140=$B69)*ISNUMBER(INDEX(Inputs!$K$5:$AJ$140,0,MATCH(P$2,Inputs!$K$4:$AJ$4,0))))+SUMPRODUCT((Inputs!$C$5:$C$140=$B69)*ISNUMBER(INDEX(Inputs!$K$5:$AJ$140,0,MATCH(P$2,Inputs!$K$4:$AJ$4,0))))+SUMPRODUCT((Inputs!$E$5:$E$140=$B69)*ISNUMBER(INDEX(Inputs!$K$5:$AJ$140,0,MATCH(P$2,Inputs!$K$4:$AJ$4,0))))=0,NA(),SUMPRODUCT((Inputs!$A$5:$A$140=$B69)*Inputs!$B$5:$B$140*(((Inputs!$G$5:$G$140="moeda")+(Inputs!$G$5:$G$140="acoes"))*Inputs!$B$1+((Inputs!$G$5:$G$140&lt;&gt;"moeda")*(Inputs!$G$5:$G$140&lt;&gt;"acoes")))*INDEX(Inputs!$K$5:$AJ$140,0,MATCH(P$2,Inputs!$K$4:$AJ$4,0)))+SUMPRODUCT((Inputs!$C$5:$C$140=$B69)*Inputs!$D$5:$D$140*(((Inputs!$G$5:$G$140="moeda")+(Inputs!$G$5:$G$140="acoes"))*Inputs!$B$1+((Inputs!$G$5:$G$140&lt;&gt;"moeda")*(Inputs!$G$5:$G$140&lt;&gt;"acoes")))*INDEX(Inputs!$K$5:$AJ$140,0,MATCH(P$2,Inputs!$K$4:$AJ$4,0)))+SUMPRODUCT((Inputs!$E$5:$E$140=$B69)*Inputs!$F$5:$F$140*(((Inputs!$G$5:$G$140="moeda")+(Inputs!$G$5:$G$140="acoes"))*Inputs!$B$1+((Inputs!$G$5:$G$140&lt;&gt;"moeda")*(Inputs!$G$5:$G$140&lt;&gt;"acoes")))*INDEX(Inputs!$K$5:$AJ$140,0,MATCH(P$2,Inputs!$K$4:$AJ$4,0)))))</f>
        <v>1436.44501499815</v>
      </c>
      <c r="Q69" s="262">
        <f>IF(ISNA(MATCH(Q$2,Inputs!$K$4:$AJ$4,0)),NA(),IF(SUMPRODUCT((Inputs!$A$5:$A$140=$B69)*ISNUMBER(INDEX(Inputs!$K$5:$AJ$140,0,MATCH(Q$2,Inputs!$K$4:$AJ$4,0))))+SUMPRODUCT((Inputs!$C$5:$C$140=$B69)*ISNUMBER(INDEX(Inputs!$K$5:$AJ$140,0,MATCH(Q$2,Inputs!$K$4:$AJ$4,0))))+SUMPRODUCT((Inputs!$E$5:$E$140=$B69)*ISNUMBER(INDEX(Inputs!$K$5:$AJ$140,0,MATCH(Q$2,Inputs!$K$4:$AJ$4,0))))=0,NA(),SUMPRODUCT((Inputs!$A$5:$A$140=$B69)*Inputs!$B$5:$B$140*(((Inputs!$G$5:$G$140="moeda")+(Inputs!$G$5:$G$140="acoes"))*Inputs!$B$1+((Inputs!$G$5:$G$140&lt;&gt;"moeda")*(Inputs!$G$5:$G$140&lt;&gt;"acoes")))*INDEX(Inputs!$K$5:$AJ$140,0,MATCH(Q$2,Inputs!$K$4:$AJ$4,0)))+SUMPRODUCT((Inputs!$C$5:$C$140=$B69)*Inputs!$D$5:$D$140*(((Inputs!$G$5:$G$140="moeda")+(Inputs!$G$5:$G$140="acoes"))*Inputs!$B$1+((Inputs!$G$5:$G$140&lt;&gt;"moeda")*(Inputs!$G$5:$G$140&lt;&gt;"acoes")))*INDEX(Inputs!$K$5:$AJ$140,0,MATCH(Q$2,Inputs!$K$4:$AJ$4,0)))+SUMPRODUCT((Inputs!$E$5:$E$140=$B69)*Inputs!$F$5:$F$140*(((Inputs!$G$5:$G$140="moeda")+(Inputs!$G$5:$G$140="acoes"))*Inputs!$B$1+((Inputs!$G$5:$G$140&lt;&gt;"moeda")*(Inputs!$G$5:$G$140&lt;&gt;"acoes")))*INDEX(Inputs!$K$5:$AJ$140,0,MATCH(Q$2,Inputs!$K$4:$AJ$4,0)))))</f>
        <v>1423.77865749394</v>
      </c>
      <c r="R69" s="263">
        <f>Q69</f>
        <v>1423.77865749394</v>
      </c>
      <c r="S69" s="262">
        <f>IF(ISNA(MATCH(S$2,Inputs!$K$4:$AJ$4,0)),NA(),IF(SUMPRODUCT((Inputs!$A$5:$A$140=$B69)*ISNUMBER(INDEX(Inputs!$K$5:$AJ$140,0,MATCH(S$2,Inputs!$K$4:$AJ$4,0))))+SUMPRODUCT((Inputs!$C$5:$C$140=$B69)*ISNUMBER(INDEX(Inputs!$K$5:$AJ$140,0,MATCH(S$2,Inputs!$K$4:$AJ$4,0))))+SUMPRODUCT((Inputs!$E$5:$E$140=$B69)*ISNUMBER(INDEX(Inputs!$K$5:$AJ$140,0,MATCH(S$2,Inputs!$K$4:$AJ$4,0))))=0,NA(),SUMPRODUCT((Inputs!$A$5:$A$140=$B69)*Inputs!$B$5:$B$140*(((Inputs!$G$5:$G$140="moeda")+(Inputs!$G$5:$G$140="acoes"))*Inputs!$B$1+((Inputs!$G$5:$G$140&lt;&gt;"moeda")*(Inputs!$G$5:$G$140&lt;&gt;"acoes")))*INDEX(Inputs!$K$5:$AJ$140,0,MATCH(S$2,Inputs!$K$4:$AJ$4,0)))+SUMPRODUCT((Inputs!$C$5:$C$140=$B69)*Inputs!$D$5:$D$140*(((Inputs!$G$5:$G$140="moeda")+(Inputs!$G$5:$G$140="acoes"))*Inputs!$B$1+((Inputs!$G$5:$G$140&lt;&gt;"moeda")*(Inputs!$G$5:$G$140&lt;&gt;"acoes")))*INDEX(Inputs!$K$5:$AJ$140,0,MATCH(S$2,Inputs!$K$4:$AJ$4,0)))+SUMPRODUCT((Inputs!$E$5:$E$140=$B69)*Inputs!$F$5:$F$140*(((Inputs!$G$5:$G$140="moeda")+(Inputs!$G$5:$G$140="acoes"))*Inputs!$B$1+((Inputs!$G$5:$G$140&lt;&gt;"moeda")*(Inputs!$G$5:$G$140&lt;&gt;"acoes")))*INDEX(Inputs!$K$5:$AJ$140,0,MATCH(S$2,Inputs!$K$4:$AJ$4,0)))))</f>
        <v>1689.69689707407</v>
      </c>
      <c r="T69" s="262">
        <f>IF(ISNA(MATCH(T$2,Inputs!$K$4:$AJ$4,0)),NA(),IF(SUMPRODUCT((Inputs!$A$5:$A$140=$B69)*ISNUMBER(INDEX(Inputs!$K$5:$AJ$140,0,MATCH(T$2,Inputs!$K$4:$AJ$4,0))))+SUMPRODUCT((Inputs!$C$5:$C$140=$B69)*ISNUMBER(INDEX(Inputs!$K$5:$AJ$140,0,MATCH(T$2,Inputs!$K$4:$AJ$4,0))))+SUMPRODUCT((Inputs!$E$5:$E$140=$B69)*ISNUMBER(INDEX(Inputs!$K$5:$AJ$140,0,MATCH(T$2,Inputs!$K$4:$AJ$4,0))))=0,NA(),SUMPRODUCT((Inputs!$A$5:$A$140=$B69)*Inputs!$B$5:$B$140*(((Inputs!$G$5:$G$140="moeda")+(Inputs!$G$5:$G$140="acoes"))*Inputs!$B$1+((Inputs!$G$5:$G$140&lt;&gt;"moeda")*(Inputs!$G$5:$G$140&lt;&gt;"acoes")))*INDEX(Inputs!$K$5:$AJ$140,0,MATCH(T$2,Inputs!$K$4:$AJ$4,0)))+SUMPRODUCT((Inputs!$C$5:$C$140=$B69)*Inputs!$D$5:$D$140*(((Inputs!$G$5:$G$140="moeda")+(Inputs!$G$5:$G$140="acoes"))*Inputs!$B$1+((Inputs!$G$5:$G$140&lt;&gt;"moeda")*(Inputs!$G$5:$G$140&lt;&gt;"acoes")))*INDEX(Inputs!$K$5:$AJ$140,0,MATCH(T$2,Inputs!$K$4:$AJ$4,0)))+SUMPRODUCT((Inputs!$E$5:$E$140=$B69)*Inputs!$F$5:$F$140*(((Inputs!$G$5:$G$140="moeda")+(Inputs!$G$5:$G$140="acoes"))*Inputs!$B$1+((Inputs!$G$5:$G$140&lt;&gt;"moeda")*(Inputs!$G$5:$G$140&lt;&gt;"acoes")))*INDEX(Inputs!$K$5:$AJ$140,0,MATCH(T$2,Inputs!$K$4:$AJ$4,0)))))</f>
        <v>1712.81341760474</v>
      </c>
      <c r="U69" s="262">
        <f>IF(ISNA(MATCH(U$2,Inputs!$K$4:$AJ$4,0)),NA(),IF(SUMPRODUCT((Inputs!$A$5:$A$140=$B69)*ISNUMBER(INDEX(Inputs!$K$5:$AJ$140,0,MATCH(U$2,Inputs!$K$4:$AJ$4,0))))+SUMPRODUCT((Inputs!$C$5:$C$140=$B69)*ISNUMBER(INDEX(Inputs!$K$5:$AJ$140,0,MATCH(U$2,Inputs!$K$4:$AJ$4,0))))+SUMPRODUCT((Inputs!$E$5:$E$140=$B69)*ISNUMBER(INDEX(Inputs!$K$5:$AJ$140,0,MATCH(U$2,Inputs!$K$4:$AJ$4,0))))=0,NA(),SUMPRODUCT((Inputs!$A$5:$A$140=$B69)*Inputs!$B$5:$B$140*(((Inputs!$G$5:$G$140="moeda")+(Inputs!$G$5:$G$140="acoes"))*Inputs!$B$1+((Inputs!$G$5:$G$140&lt;&gt;"moeda")*(Inputs!$G$5:$G$140&lt;&gt;"acoes")))*INDEX(Inputs!$K$5:$AJ$140,0,MATCH(U$2,Inputs!$K$4:$AJ$4,0)))+SUMPRODUCT((Inputs!$C$5:$C$140=$B69)*Inputs!$D$5:$D$140*(((Inputs!$G$5:$G$140="moeda")+(Inputs!$G$5:$G$140="acoes"))*Inputs!$B$1+((Inputs!$G$5:$G$140&lt;&gt;"moeda")*(Inputs!$G$5:$G$140&lt;&gt;"acoes")))*INDEX(Inputs!$K$5:$AJ$140,0,MATCH(U$2,Inputs!$K$4:$AJ$4,0)))+SUMPRODUCT((Inputs!$E$5:$E$140=$B69)*Inputs!$F$5:$F$140*(((Inputs!$G$5:$G$140="moeda")+(Inputs!$G$5:$G$140="acoes"))*Inputs!$B$1+((Inputs!$G$5:$G$140&lt;&gt;"moeda")*(Inputs!$G$5:$G$140&lt;&gt;"acoes")))*INDEX(Inputs!$K$5:$AJ$140,0,MATCH(U$2,Inputs!$K$4:$AJ$4,0)))))</f>
        <v>1840.17733443986</v>
      </c>
      <c r="V69" s="262">
        <f>IF(ISNA(MATCH(V$2,Inputs!$K$4:$AJ$4,0)),NA(),IF(SUMPRODUCT((Inputs!$A$5:$A$140=$B69)*ISNUMBER(INDEX(Inputs!$K$5:$AJ$140,0,MATCH(V$2,Inputs!$K$4:$AJ$4,0))))+SUMPRODUCT((Inputs!$C$5:$C$140=$B69)*ISNUMBER(INDEX(Inputs!$K$5:$AJ$140,0,MATCH(V$2,Inputs!$K$4:$AJ$4,0))))+SUMPRODUCT((Inputs!$E$5:$E$140=$B69)*ISNUMBER(INDEX(Inputs!$K$5:$AJ$140,0,MATCH(V$2,Inputs!$K$4:$AJ$4,0))))=0,NA(),SUMPRODUCT((Inputs!$A$5:$A$140=$B69)*Inputs!$B$5:$B$140*(((Inputs!$G$5:$G$140="moeda")+(Inputs!$G$5:$G$140="acoes"))*Inputs!$B$1+((Inputs!$G$5:$G$140&lt;&gt;"moeda")*(Inputs!$G$5:$G$140&lt;&gt;"acoes")))*INDEX(Inputs!$K$5:$AJ$140,0,MATCH(V$2,Inputs!$K$4:$AJ$4,0)))+SUMPRODUCT((Inputs!$C$5:$C$140=$B69)*Inputs!$D$5:$D$140*(((Inputs!$G$5:$G$140="moeda")+(Inputs!$G$5:$G$140="acoes"))*Inputs!$B$1+((Inputs!$G$5:$G$140&lt;&gt;"moeda")*(Inputs!$G$5:$G$140&lt;&gt;"acoes")))*INDEX(Inputs!$K$5:$AJ$140,0,MATCH(V$2,Inputs!$K$4:$AJ$4,0)))+SUMPRODUCT((Inputs!$E$5:$E$140=$B69)*Inputs!$F$5:$F$140*(((Inputs!$G$5:$G$140="moeda")+(Inputs!$G$5:$G$140="acoes"))*Inputs!$B$1+((Inputs!$G$5:$G$140&lt;&gt;"moeda")*(Inputs!$G$5:$G$140&lt;&gt;"acoes")))*INDEX(Inputs!$K$5:$AJ$140,0,MATCH(V$2,Inputs!$K$4:$AJ$4,0)))))</f>
        <v>1833.295</v>
      </c>
      <c r="W69" s="263">
        <f>V69</f>
        <v>1833.295</v>
      </c>
      <c r="X69" s="262">
        <f>IF(ISNA(MATCH(X$2,Inputs!$K$4:$AJ$4,0)),NA(),IF(SUMPRODUCT((Inputs!$A$5:$A$140=$B69)*ISNUMBER(INDEX(Inputs!$K$5:$AJ$140,0,MATCH(X$2,Inputs!$K$4:$AJ$4,0))))+SUMPRODUCT((Inputs!$C$5:$C$140=$B69)*ISNUMBER(INDEX(Inputs!$K$5:$AJ$140,0,MATCH(X$2,Inputs!$K$4:$AJ$4,0))))+SUMPRODUCT((Inputs!$E$5:$E$140=$B69)*ISNUMBER(INDEX(Inputs!$K$5:$AJ$140,0,MATCH(X$2,Inputs!$K$4:$AJ$4,0))))=0,NA(),SUMPRODUCT((Inputs!$A$5:$A$140=$B69)*Inputs!$B$5:$B$140*(((Inputs!$G$5:$G$140="moeda")+(Inputs!$G$5:$G$140="acoes"))*Inputs!$B$1+((Inputs!$G$5:$G$140&lt;&gt;"moeda")*(Inputs!$G$5:$G$140&lt;&gt;"acoes")))*INDEX(Inputs!$K$5:$AJ$140,0,MATCH(X$2,Inputs!$K$4:$AJ$4,0)))+SUMPRODUCT((Inputs!$C$5:$C$140=$B69)*Inputs!$D$5:$D$140*(((Inputs!$G$5:$G$140="moeda")+(Inputs!$G$5:$G$140="acoes"))*Inputs!$B$1+((Inputs!$G$5:$G$140&lt;&gt;"moeda")*(Inputs!$G$5:$G$140&lt;&gt;"acoes")))*INDEX(Inputs!$K$5:$AJ$140,0,MATCH(X$2,Inputs!$K$4:$AJ$4,0)))+SUMPRODUCT((Inputs!$E$5:$E$140=$B69)*Inputs!$F$5:$F$140*(((Inputs!$G$5:$G$140="moeda")+(Inputs!$G$5:$G$140="acoes"))*Inputs!$B$1+((Inputs!$G$5:$G$140&lt;&gt;"moeda")*(Inputs!$G$5:$G$140&lt;&gt;"acoes")))*INDEX(Inputs!$K$5:$AJ$140,0,MATCH(X$2,Inputs!$K$4:$AJ$4,0)))))</f>
        <v>2531.0470653501</v>
      </c>
      <c r="Y69" s="262">
        <f>IF(ISNA(MATCH(Y$2,Inputs!$K$4:$AJ$4,0)),NA(),IF(SUMPRODUCT((Inputs!$A$5:$A$140=$B69)*ISNUMBER(INDEX(Inputs!$K$5:$AJ$140,0,MATCH(Y$2,Inputs!$K$4:$AJ$4,0))))+SUMPRODUCT((Inputs!$C$5:$C$140=$B69)*ISNUMBER(INDEX(Inputs!$K$5:$AJ$140,0,MATCH(Y$2,Inputs!$K$4:$AJ$4,0))))+SUMPRODUCT((Inputs!$E$5:$E$140=$B69)*ISNUMBER(INDEX(Inputs!$K$5:$AJ$140,0,MATCH(Y$2,Inputs!$K$4:$AJ$4,0))))=0,NA(),SUMPRODUCT((Inputs!$A$5:$A$140=$B69)*Inputs!$B$5:$B$140*(((Inputs!$G$5:$G$140="moeda")+(Inputs!$G$5:$G$140="acoes"))*Inputs!$B$1+((Inputs!$G$5:$G$140&lt;&gt;"moeda")*(Inputs!$G$5:$G$140&lt;&gt;"acoes")))*INDEX(Inputs!$K$5:$AJ$140,0,MATCH(Y$2,Inputs!$K$4:$AJ$4,0)))+SUMPRODUCT((Inputs!$C$5:$C$140=$B69)*Inputs!$D$5:$D$140*(((Inputs!$G$5:$G$140="moeda")+(Inputs!$G$5:$G$140="acoes"))*Inputs!$B$1+((Inputs!$G$5:$G$140&lt;&gt;"moeda")*(Inputs!$G$5:$G$140&lt;&gt;"acoes")))*INDEX(Inputs!$K$5:$AJ$140,0,MATCH(Y$2,Inputs!$K$4:$AJ$4,0)))+SUMPRODUCT((Inputs!$E$5:$E$140=$B69)*Inputs!$F$5:$F$140*(((Inputs!$G$5:$G$140="moeda")+(Inputs!$G$5:$G$140="acoes"))*Inputs!$B$1+((Inputs!$G$5:$G$140&lt;&gt;"moeda")*(Inputs!$G$5:$G$140&lt;&gt;"acoes")))*INDEX(Inputs!$K$5:$AJ$140,0,MATCH(Y$2,Inputs!$K$4:$AJ$4,0)))))</f>
        <v>2497.72313150038</v>
      </c>
      <c r="Z69" s="262">
        <f>IF(ISNA(MATCH(Z$2,Inputs!$K$4:$AJ$4,0)),NA(),IF(SUMPRODUCT((Inputs!$A$5:$A$140=$B69)*ISNUMBER(INDEX(Inputs!$K$5:$AJ$140,0,MATCH(Z$2,Inputs!$K$4:$AJ$4,0))))+SUMPRODUCT((Inputs!$C$5:$C$140=$B69)*ISNUMBER(INDEX(Inputs!$K$5:$AJ$140,0,MATCH(Z$2,Inputs!$K$4:$AJ$4,0))))+SUMPRODUCT((Inputs!$E$5:$E$140=$B69)*ISNUMBER(INDEX(Inputs!$K$5:$AJ$140,0,MATCH(Z$2,Inputs!$K$4:$AJ$4,0))))=0,NA(),SUMPRODUCT((Inputs!$A$5:$A$140=$B69)*Inputs!$B$5:$B$140*(((Inputs!$G$5:$G$140="moeda")+(Inputs!$G$5:$G$140="acoes"))*Inputs!$B$1+((Inputs!$G$5:$G$140&lt;&gt;"moeda")*(Inputs!$G$5:$G$140&lt;&gt;"acoes")))*INDEX(Inputs!$K$5:$AJ$140,0,MATCH(Z$2,Inputs!$K$4:$AJ$4,0)))+SUMPRODUCT((Inputs!$C$5:$C$140=$B69)*Inputs!$D$5:$D$140*(((Inputs!$G$5:$G$140="moeda")+(Inputs!$G$5:$G$140="acoes"))*Inputs!$B$1+((Inputs!$G$5:$G$140&lt;&gt;"moeda")*(Inputs!$G$5:$G$140&lt;&gt;"acoes")))*INDEX(Inputs!$K$5:$AJ$140,0,MATCH(Z$2,Inputs!$K$4:$AJ$4,0)))+SUMPRODUCT((Inputs!$E$5:$E$140=$B69)*Inputs!$F$5:$F$140*(((Inputs!$G$5:$G$140="moeda")+(Inputs!$G$5:$G$140="acoes"))*Inputs!$B$1+((Inputs!$G$5:$G$140&lt;&gt;"moeda")*(Inputs!$G$5:$G$140&lt;&gt;"acoes")))*INDEX(Inputs!$K$5:$AJ$140,0,MATCH(Z$2,Inputs!$K$4:$AJ$4,0)))))</f>
        <v>2678.20488320325</v>
      </c>
      <c r="AA69" s="262">
        <f>IF(ISNA(MATCH(AA$2,Inputs!$K$4:$AJ$4,0)),NA(),IF(SUMPRODUCT((Inputs!$A$5:$A$140=$B69)*ISNUMBER(INDEX(Inputs!$K$5:$AJ$140,0,MATCH(AA$2,Inputs!$K$4:$AJ$4,0))))+SUMPRODUCT((Inputs!$C$5:$C$140=$B69)*ISNUMBER(INDEX(Inputs!$K$5:$AJ$140,0,MATCH(AA$2,Inputs!$K$4:$AJ$4,0))))+SUMPRODUCT((Inputs!$E$5:$E$140=$B69)*ISNUMBER(INDEX(Inputs!$K$5:$AJ$140,0,MATCH(AA$2,Inputs!$K$4:$AJ$4,0))))=0,NA(),SUMPRODUCT((Inputs!$A$5:$A$140=$B69)*Inputs!$B$5:$B$140*(((Inputs!$G$5:$G$140="moeda")+(Inputs!$G$5:$G$140="acoes"))*Inputs!$B$1+((Inputs!$G$5:$G$140&lt;&gt;"moeda")*(Inputs!$G$5:$G$140&lt;&gt;"acoes")))*INDEX(Inputs!$K$5:$AJ$140,0,MATCH(AA$2,Inputs!$K$4:$AJ$4,0)))+SUMPRODUCT((Inputs!$C$5:$C$140=$B69)*Inputs!$D$5:$D$140*(((Inputs!$G$5:$G$140="moeda")+(Inputs!$G$5:$G$140="acoes"))*Inputs!$B$1+((Inputs!$G$5:$G$140&lt;&gt;"moeda")*(Inputs!$G$5:$G$140&lt;&gt;"acoes")))*INDEX(Inputs!$K$5:$AJ$140,0,MATCH(AA$2,Inputs!$K$4:$AJ$4,0)))+SUMPRODUCT((Inputs!$E$5:$E$140=$B69)*Inputs!$F$5:$F$140*(((Inputs!$G$5:$G$140="moeda")+(Inputs!$G$5:$G$140="acoes"))*Inputs!$B$1+((Inputs!$G$5:$G$140&lt;&gt;"moeda")*(Inputs!$G$5:$G$140&lt;&gt;"acoes")))*INDEX(Inputs!$K$5:$AJ$140,0,MATCH(AA$2,Inputs!$K$4:$AJ$4,0)))))</f>
        <v>2406.32078156673</v>
      </c>
      <c r="AB69" s="263">
        <f>AA69</f>
        <v>2406.32078156673</v>
      </c>
      <c r="AC69" s="262">
        <f>IF(ISNA(MATCH(AC$2,Inputs!$K$4:$AJ$4,0)),NA(),IF(SUMPRODUCT((Inputs!$A$5:$A$140=$B69)*ISNUMBER(INDEX(Inputs!$K$5:$AJ$140,0,MATCH(AC$2,Inputs!$K$4:$AJ$4,0))))+SUMPRODUCT((Inputs!$C$5:$C$140=$B69)*ISNUMBER(INDEX(Inputs!$K$5:$AJ$140,0,MATCH(AC$2,Inputs!$K$4:$AJ$4,0))))+SUMPRODUCT((Inputs!$E$5:$E$140=$B69)*ISNUMBER(INDEX(Inputs!$K$5:$AJ$140,0,MATCH(AC$2,Inputs!$K$4:$AJ$4,0))))=0,NA(),SUMPRODUCT((Inputs!$A$5:$A$140=$B69)*Inputs!$B$5:$B$140*(((Inputs!$G$5:$G$140="moeda")+(Inputs!$G$5:$G$140="acoes"))*Inputs!$B$1+((Inputs!$G$5:$G$140&lt;&gt;"moeda")*(Inputs!$G$5:$G$140&lt;&gt;"acoes")))*INDEX(Inputs!$K$5:$AJ$140,0,MATCH(AC$2,Inputs!$K$4:$AJ$4,0)))+SUMPRODUCT((Inputs!$C$5:$C$140=$B69)*Inputs!$D$5:$D$140*(((Inputs!$G$5:$G$140="moeda")+(Inputs!$G$5:$G$140="acoes"))*Inputs!$B$1+((Inputs!$G$5:$G$140&lt;&gt;"moeda")*(Inputs!$G$5:$G$140&lt;&gt;"acoes")))*INDEX(Inputs!$K$5:$AJ$140,0,MATCH(AC$2,Inputs!$K$4:$AJ$4,0)))+SUMPRODUCT((Inputs!$E$5:$E$140=$B69)*Inputs!$F$5:$F$140*(((Inputs!$G$5:$G$140="moeda")+(Inputs!$G$5:$G$140="acoes"))*Inputs!$B$1+((Inputs!$G$5:$G$140&lt;&gt;"moeda")*(Inputs!$G$5:$G$140&lt;&gt;"acoes")))*INDEX(Inputs!$K$5:$AJ$140,0,MATCH(AC$2,Inputs!$K$4:$AJ$4,0)))))</f>
        <v>2805.17750149867</v>
      </c>
      <c r="AD69" s="262">
        <f>IF(ISNA(MATCH(AD$2,Inputs!$K$4:$AJ$4,0)),NA(),IF(SUMPRODUCT((Inputs!$A$5:$A$140=$B69)*ISNUMBER(INDEX(Inputs!$K$5:$AJ$140,0,MATCH(AD$2,Inputs!$K$4:$AJ$4,0))))+SUMPRODUCT((Inputs!$C$5:$C$140=$B69)*ISNUMBER(INDEX(Inputs!$K$5:$AJ$140,0,MATCH(AD$2,Inputs!$K$4:$AJ$4,0))))+SUMPRODUCT((Inputs!$E$5:$E$140=$B69)*ISNUMBER(INDEX(Inputs!$K$5:$AJ$140,0,MATCH(AD$2,Inputs!$K$4:$AJ$4,0))))=0,NA(),SUMPRODUCT((Inputs!$A$5:$A$140=$B69)*Inputs!$B$5:$B$140*(((Inputs!$G$5:$G$140="moeda")+(Inputs!$G$5:$G$140="acoes"))*Inputs!$B$1+((Inputs!$G$5:$G$140&lt;&gt;"moeda")*(Inputs!$G$5:$G$140&lt;&gt;"acoes")))*INDEX(Inputs!$K$5:$AJ$140,0,MATCH(AD$2,Inputs!$K$4:$AJ$4,0)))+SUMPRODUCT((Inputs!$C$5:$C$140=$B69)*Inputs!$D$5:$D$140*(((Inputs!$G$5:$G$140="moeda")+(Inputs!$G$5:$G$140="acoes"))*Inputs!$B$1+((Inputs!$G$5:$G$140&lt;&gt;"moeda")*(Inputs!$G$5:$G$140&lt;&gt;"acoes")))*INDEX(Inputs!$K$5:$AJ$140,0,MATCH(AD$2,Inputs!$K$4:$AJ$4,0)))+SUMPRODUCT((Inputs!$E$5:$E$140=$B69)*Inputs!$F$5:$F$140*(((Inputs!$G$5:$G$140="moeda")+(Inputs!$G$5:$G$140="acoes"))*Inputs!$B$1+((Inputs!$G$5:$G$140&lt;&gt;"moeda")*(Inputs!$G$5:$G$140&lt;&gt;"acoes")))*INDEX(Inputs!$K$5:$AJ$140,0,MATCH(AD$2,Inputs!$K$4:$AJ$4,0)))))</f>
        <v>3008.26104705704</v>
      </c>
      <c r="AE69" s="262" t="e">
        <f>IF(ISNA(MATCH(AE$2,Inputs!$K$4:$AJ$4,0)),NA(),IF(SUMPRODUCT((Inputs!$A$5:$A$140=$B69)*ISNUMBER(INDEX(Inputs!$K$5:$AJ$140,0,MATCH(AE$2,Inputs!$K$4:$AJ$4,0))))+SUMPRODUCT((Inputs!$C$5:$C$140=$B69)*ISNUMBER(INDEX(Inputs!$K$5:$AJ$140,0,MATCH(AE$2,Inputs!$K$4:$AJ$4,0))))+SUMPRODUCT((Inputs!$E$5:$E$140=$B69)*ISNUMBER(INDEX(Inputs!$K$5:$AJ$140,0,MATCH(AE$2,Inputs!$K$4:$AJ$4,0))))=0,NA(),SUMPRODUCT((Inputs!$A$5:$A$140=$B69)*Inputs!$B$5:$B$140*(((Inputs!$G$5:$G$140="moeda")+(Inputs!$G$5:$G$140="acoes"))*Inputs!$B$1+((Inputs!$G$5:$G$140&lt;&gt;"moeda")*(Inputs!$G$5:$G$140&lt;&gt;"acoes")))*INDEX(Inputs!$K$5:$AJ$140,0,MATCH(AE$2,Inputs!$K$4:$AJ$4,0)))+SUMPRODUCT((Inputs!$C$5:$C$140=$B69)*Inputs!$D$5:$D$140*(((Inputs!$G$5:$G$140="moeda")+(Inputs!$G$5:$G$140="acoes"))*Inputs!$B$1+((Inputs!$G$5:$G$140&lt;&gt;"moeda")*(Inputs!$G$5:$G$140&lt;&gt;"acoes")))*INDEX(Inputs!$K$5:$AJ$140,0,MATCH(AE$2,Inputs!$K$4:$AJ$4,0)))+SUMPRODUCT((Inputs!$E$5:$E$140=$B69)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69" s="262" t="e">
        <f>IF(ISNA(MATCH(AF$2,Inputs!$K$4:$AJ$4,0)),NA(),IF(SUMPRODUCT((Inputs!$A$5:$A$140=$B69)*ISNUMBER(INDEX(Inputs!$K$5:$AJ$140,0,MATCH(AF$2,Inputs!$K$4:$AJ$4,0))))+SUMPRODUCT((Inputs!$C$5:$C$140=$B69)*ISNUMBER(INDEX(Inputs!$K$5:$AJ$140,0,MATCH(AF$2,Inputs!$K$4:$AJ$4,0))))+SUMPRODUCT((Inputs!$E$5:$E$140=$B69)*ISNUMBER(INDEX(Inputs!$K$5:$AJ$140,0,MATCH(AF$2,Inputs!$K$4:$AJ$4,0))))=0,NA(),SUMPRODUCT((Inputs!$A$5:$A$140=$B69)*Inputs!$B$5:$B$140*(((Inputs!$G$5:$G$140="moeda")+(Inputs!$G$5:$G$140="acoes"))*Inputs!$B$1+((Inputs!$G$5:$G$140&lt;&gt;"moeda")*(Inputs!$G$5:$G$140&lt;&gt;"acoes")))*INDEX(Inputs!$K$5:$AJ$140,0,MATCH(AF$2,Inputs!$K$4:$AJ$4,0)))+SUMPRODUCT((Inputs!$C$5:$C$140=$B69)*Inputs!$D$5:$D$140*(((Inputs!$G$5:$G$140="moeda")+(Inputs!$G$5:$G$140="acoes"))*Inputs!$B$1+((Inputs!$G$5:$G$140&lt;&gt;"moeda")*(Inputs!$G$5:$G$140&lt;&gt;"acoes")))*INDEX(Inputs!$K$5:$AJ$140,0,MATCH(AF$2,Inputs!$K$4:$AJ$4,0)))+SUMPRODUCT((Inputs!$E$5:$E$140=$B69)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69" s="263" t="e">
        <f>AF69</f>
        <v>#N/A</v>
      </c>
      <c r="AH69" s="262">
        <f>IF(ISNA(MATCH(AH$2,Inputs!$K$4:$AJ$4,0)),NA(),IF(SUMPRODUCT((Inputs!$A$5:$A$140=$B69)*ISNUMBER(INDEX(Inputs!$K$5:$AJ$140,0,MATCH(AH$2,Inputs!$K$4:$AJ$4,0))))+SUMPRODUCT((Inputs!$C$5:$C$140=$B69)*ISNUMBER(INDEX(Inputs!$K$5:$AJ$140,0,MATCH(AH$2,Inputs!$K$4:$AJ$4,0))))+SUMPRODUCT((Inputs!$E$5:$E$140=$B69)*ISNUMBER(INDEX(Inputs!$K$5:$AJ$140,0,MATCH(AH$2,Inputs!$K$4:$AJ$4,0))))=0,NA(),SUMPRODUCT((Inputs!$A$5:$A$140=$B69)*Inputs!$B$5:$B$140*(((Inputs!$G$5:$G$140="moeda")+(Inputs!$G$5:$G$140="acoes"))*Inputs!$B$1+((Inputs!$G$5:$G$140&lt;&gt;"moeda")*(Inputs!$G$5:$G$140&lt;&gt;"acoes")))*INDEX(Inputs!$K$5:$AJ$140,0,MATCH(AH$2,Inputs!$K$4:$AJ$4,0)))+SUMPRODUCT((Inputs!$C$5:$C$140=$B69)*Inputs!$D$5:$D$140*(((Inputs!$G$5:$G$140="moeda")+(Inputs!$G$5:$G$140="acoes"))*Inputs!$B$1+((Inputs!$G$5:$G$140&lt;&gt;"moeda")*(Inputs!$G$5:$G$140&lt;&gt;"acoes")))*INDEX(Inputs!$K$5:$AJ$140,0,MATCH(AH$2,Inputs!$K$4:$AJ$4,0)))+SUMPRODUCT((Inputs!$E$5:$E$140=$B69)*Inputs!$F$5:$F$140*(((Inputs!$G$5:$G$140="moeda")+(Inputs!$G$5:$G$140="acoes"))*Inputs!$B$1+((Inputs!$G$5:$G$140&lt;&gt;"moeda")*(Inputs!$G$5:$G$140&lt;&gt;"acoes")))*INDEX(Inputs!$K$5:$AJ$140,0,MATCH(AH$2,Inputs!$K$4:$AJ$4,0)))))</f>
        <v>458.468082857671</v>
      </c>
      <c r="AI69" s="262">
        <f>IF(ISNA(MATCH(AI$2,Inputs!$K$4:$AJ$4,0)),NA(),IF(SUMPRODUCT((Inputs!$A$5:$A$140=$B69)*ISNUMBER(INDEX(Inputs!$K$5:$AJ$140,0,MATCH(AI$2,Inputs!$K$4:$AJ$4,0))))+SUMPRODUCT((Inputs!$C$5:$C$140=$B69)*ISNUMBER(INDEX(Inputs!$K$5:$AJ$140,0,MATCH(AI$2,Inputs!$K$4:$AJ$4,0))))+SUMPRODUCT((Inputs!$E$5:$E$140=$B69)*ISNUMBER(INDEX(Inputs!$K$5:$AJ$140,0,MATCH(AI$2,Inputs!$K$4:$AJ$4,0))))=0,NA(),SUMPRODUCT((Inputs!$A$5:$A$140=$B69)*Inputs!$B$5:$B$140*(((Inputs!$G$5:$G$140="moeda")+(Inputs!$G$5:$G$140="acoes"))*Inputs!$B$1+((Inputs!$G$5:$G$140&lt;&gt;"moeda")*(Inputs!$G$5:$G$140&lt;&gt;"acoes")))*INDEX(Inputs!$K$5:$AJ$140,0,MATCH(AI$2,Inputs!$K$4:$AJ$4,0)))+SUMPRODUCT((Inputs!$C$5:$C$140=$B69)*Inputs!$D$5:$D$140*(((Inputs!$G$5:$G$140="moeda")+(Inputs!$G$5:$G$140="acoes"))*Inputs!$B$1+((Inputs!$G$5:$G$140&lt;&gt;"moeda")*(Inputs!$G$5:$G$140&lt;&gt;"acoes")))*INDEX(Inputs!$K$5:$AJ$140,0,MATCH(AI$2,Inputs!$K$4:$AJ$4,0)))+SUMPRODUCT((Inputs!$E$5:$E$140=$B69)*Inputs!$F$5:$F$140*(((Inputs!$G$5:$G$140="moeda")+(Inputs!$G$5:$G$140="acoes"))*Inputs!$B$1+((Inputs!$G$5:$G$140&lt;&gt;"moeda")*(Inputs!$G$5:$G$140&lt;&gt;"acoes")))*INDEX(Inputs!$K$5:$AJ$140,0,MATCH(AI$2,Inputs!$K$4:$AJ$4,0)))))</f>
        <v>476.069699766038</v>
      </c>
      <c r="AJ69" s="262">
        <f>IF(ISNA(MATCH(AJ$2,Inputs!$K$4:$AJ$4,0)),NA(),IF(SUMPRODUCT((Inputs!$A$5:$A$140=$B69)*ISNUMBER(INDEX(Inputs!$K$5:$AJ$140,0,MATCH(AJ$2,Inputs!$K$4:$AJ$4,0))))+SUMPRODUCT((Inputs!$C$5:$C$140=$B69)*ISNUMBER(INDEX(Inputs!$K$5:$AJ$140,0,MATCH(AJ$2,Inputs!$K$4:$AJ$4,0))))+SUMPRODUCT((Inputs!$E$5:$E$140=$B69)*ISNUMBER(INDEX(Inputs!$K$5:$AJ$140,0,MATCH(AJ$2,Inputs!$K$4:$AJ$4,0))))=0,NA(),SUMPRODUCT((Inputs!$A$5:$A$140=$B69)*Inputs!$B$5:$B$140*(((Inputs!$G$5:$G$140="moeda")+(Inputs!$G$5:$G$140="acoes"))*Inputs!$B$1+((Inputs!$G$5:$G$140&lt;&gt;"moeda")*(Inputs!$G$5:$G$140&lt;&gt;"acoes")))*INDEX(Inputs!$K$5:$AJ$140,0,MATCH(AJ$2,Inputs!$K$4:$AJ$4,0)))+SUMPRODUCT((Inputs!$C$5:$C$140=$B69)*Inputs!$D$5:$D$140*(((Inputs!$G$5:$G$140="moeda")+(Inputs!$G$5:$G$140="acoes"))*Inputs!$B$1+((Inputs!$G$5:$G$140&lt;&gt;"moeda")*(Inputs!$G$5:$G$140&lt;&gt;"acoes")))*INDEX(Inputs!$K$5:$AJ$140,0,MATCH(AJ$2,Inputs!$K$4:$AJ$4,0)))+SUMPRODUCT((Inputs!$E$5:$E$140=$B69)*Inputs!$F$5:$F$140*(((Inputs!$G$5:$G$140="moeda")+(Inputs!$G$5:$G$140="acoes"))*Inputs!$B$1+((Inputs!$G$5:$G$140&lt;&gt;"moeda")*(Inputs!$G$5:$G$140&lt;&gt;"acoes")))*INDEX(Inputs!$K$5:$AJ$140,0,MATCH(AJ$2,Inputs!$K$4:$AJ$4,0)))))</f>
        <v>472.987611599502</v>
      </c>
      <c r="AK69" s="262">
        <f>IF(ISNA(MATCH(AK$2,Inputs!$K$4:$AJ$4,0)),NA(),IF(SUMPRODUCT((Inputs!$A$5:$A$140=$B69)*ISNUMBER(INDEX(Inputs!$K$5:$AJ$140,0,MATCH(AK$2,Inputs!$K$4:$AJ$4,0))))+SUMPRODUCT((Inputs!$C$5:$C$140=$B69)*ISNUMBER(INDEX(Inputs!$K$5:$AJ$140,0,MATCH(AK$2,Inputs!$K$4:$AJ$4,0))))+SUMPRODUCT((Inputs!$E$5:$E$140=$B69)*ISNUMBER(INDEX(Inputs!$K$5:$AJ$140,0,MATCH(AK$2,Inputs!$K$4:$AJ$4,0))))=0,NA(),SUMPRODUCT((Inputs!$A$5:$A$140=$B69)*Inputs!$B$5:$B$140*(((Inputs!$G$5:$G$140="moeda")+(Inputs!$G$5:$G$140="acoes"))*Inputs!$B$1+((Inputs!$G$5:$G$140&lt;&gt;"moeda")*(Inputs!$G$5:$G$140&lt;&gt;"acoes")))*INDEX(Inputs!$K$5:$AJ$140,0,MATCH(AK$2,Inputs!$K$4:$AJ$4,0)))+SUMPRODUCT((Inputs!$C$5:$C$140=$B69)*Inputs!$D$5:$D$140*(((Inputs!$G$5:$G$140="moeda")+(Inputs!$G$5:$G$140="acoes"))*Inputs!$B$1+((Inputs!$G$5:$G$140&lt;&gt;"moeda")*(Inputs!$G$5:$G$140&lt;&gt;"acoes")))*INDEX(Inputs!$K$5:$AJ$140,0,MATCH(AK$2,Inputs!$K$4:$AJ$4,0)))+SUMPRODUCT((Inputs!$E$5:$E$140=$B69)*Inputs!$F$5:$F$140*(((Inputs!$G$5:$G$140="moeda")+(Inputs!$G$5:$G$140="acoes"))*Inputs!$B$1+((Inputs!$G$5:$G$140&lt;&gt;"moeda")*(Inputs!$G$5:$G$140&lt;&gt;"acoes")))*INDEX(Inputs!$K$5:$AJ$140,0,MATCH(AK$2,Inputs!$K$4:$AJ$4,0)))))</f>
        <v>748.098363028866</v>
      </c>
      <c r="AL69" s="263">
        <f>AK69</f>
        <v>748.098363028866</v>
      </c>
    </row>
    <row r="70">
      <c r="B70" s="46" t="n">
        <v>62</v>
      </c>
      <c r="C70" s="29" t="inlineStr">
        <is>
          <t>Estoque - unidades (l.50; fim do periodo)</t>
        </is>
      </c>
      <c r="D70" s="264">
        <f>IF(ISNA(MATCH(D$2,Inputs!$K$4:$AJ$4,0)),NA(),IF(SUMPRODUCT((Inputs!$A$5:$A$140=$B70)*ISNUMBER(INDEX(Inputs!$K$5:$AJ$140,0,MATCH(D$2,Inputs!$K$4:$AJ$4,0))))+SUMPRODUCT((Inputs!$C$5:$C$140=$B70)*ISNUMBER(INDEX(Inputs!$K$5:$AJ$140,0,MATCH(D$2,Inputs!$K$4:$AJ$4,0))))+SUMPRODUCT((Inputs!$E$5:$E$140=$B70)*ISNUMBER(INDEX(Inputs!$K$5:$AJ$140,0,MATCH(D$2,Inputs!$K$4:$AJ$4,0))))=0,NA(),SUMPRODUCT((Inputs!$A$5:$A$140=$B70)*Inputs!$B$5:$B$140*(((Inputs!$G$5:$G$140="moeda")+(Inputs!$G$5:$G$140="acoes"))*Inputs!$B$1+((Inputs!$G$5:$G$140&lt;&gt;"moeda")*(Inputs!$G$5:$G$140&lt;&gt;"acoes")))*INDEX(Inputs!$K$5:$AJ$140,0,MATCH(D$2,Inputs!$K$4:$AJ$4,0)))+SUMPRODUCT((Inputs!$C$5:$C$140=$B70)*Inputs!$D$5:$D$140*(((Inputs!$G$5:$G$140="moeda")+(Inputs!$G$5:$G$140="acoes"))*Inputs!$B$1+((Inputs!$G$5:$G$140&lt;&gt;"moeda")*(Inputs!$G$5:$G$140&lt;&gt;"acoes")))*INDEX(Inputs!$K$5:$AJ$140,0,MATCH(D$2,Inputs!$K$4:$AJ$4,0)))+SUMPRODUCT((Inputs!$E$5:$E$140=$B70)*Inputs!$F$5:$F$140*(((Inputs!$G$5:$G$140="moeda")+(Inputs!$G$5:$G$140="acoes"))*Inputs!$B$1+((Inputs!$G$5:$G$140&lt;&gt;"moeda")*(Inputs!$G$5:$G$140&lt;&gt;"acoes")))*INDEX(Inputs!$K$5:$AJ$140,0,MATCH(D$2,Inputs!$K$4:$AJ$4,0)))))</f>
        <v>3934</v>
      </c>
      <c r="E70" s="264">
        <f>IF(ISNA(MATCH(E$2,Inputs!$K$4:$AJ$4,0)),NA(),IF(SUMPRODUCT((Inputs!$A$5:$A$140=$B70)*ISNUMBER(INDEX(Inputs!$K$5:$AJ$140,0,MATCH(E$2,Inputs!$K$4:$AJ$4,0))))+SUMPRODUCT((Inputs!$C$5:$C$140=$B70)*ISNUMBER(INDEX(Inputs!$K$5:$AJ$140,0,MATCH(E$2,Inputs!$K$4:$AJ$4,0))))+SUMPRODUCT((Inputs!$E$5:$E$140=$B70)*ISNUMBER(INDEX(Inputs!$K$5:$AJ$140,0,MATCH(E$2,Inputs!$K$4:$AJ$4,0))))=0,NA(),SUMPRODUCT((Inputs!$A$5:$A$140=$B70)*Inputs!$B$5:$B$140*(((Inputs!$G$5:$G$140="moeda")+(Inputs!$G$5:$G$140="acoes"))*Inputs!$B$1+((Inputs!$G$5:$G$140&lt;&gt;"moeda")*(Inputs!$G$5:$G$140&lt;&gt;"acoes")))*INDEX(Inputs!$K$5:$AJ$140,0,MATCH(E$2,Inputs!$K$4:$AJ$4,0)))+SUMPRODUCT((Inputs!$C$5:$C$140=$B70)*Inputs!$D$5:$D$140*(((Inputs!$G$5:$G$140="moeda")+(Inputs!$G$5:$G$140="acoes"))*Inputs!$B$1+((Inputs!$G$5:$G$140&lt;&gt;"moeda")*(Inputs!$G$5:$G$140&lt;&gt;"acoes")))*INDEX(Inputs!$K$5:$AJ$140,0,MATCH(E$2,Inputs!$K$4:$AJ$4,0)))+SUMPRODUCT((Inputs!$E$5:$E$140=$B70)*Inputs!$F$5:$F$140*(((Inputs!$G$5:$G$140="moeda")+(Inputs!$G$5:$G$140="acoes"))*Inputs!$B$1+((Inputs!$G$5:$G$140&lt;&gt;"moeda")*(Inputs!$G$5:$G$140&lt;&gt;"acoes")))*INDEX(Inputs!$K$5:$AJ$140,0,MATCH(E$2,Inputs!$K$4:$AJ$4,0)))))</f>
        <v>3904</v>
      </c>
      <c r="F70" s="264">
        <f>IF(ISNA(MATCH(F$2,Inputs!$K$4:$AJ$4,0)),NA(),IF(SUMPRODUCT((Inputs!$A$5:$A$140=$B70)*ISNUMBER(INDEX(Inputs!$K$5:$AJ$140,0,MATCH(F$2,Inputs!$K$4:$AJ$4,0))))+SUMPRODUCT((Inputs!$C$5:$C$140=$B70)*ISNUMBER(INDEX(Inputs!$K$5:$AJ$140,0,MATCH(F$2,Inputs!$K$4:$AJ$4,0))))+SUMPRODUCT((Inputs!$E$5:$E$140=$B70)*ISNUMBER(INDEX(Inputs!$K$5:$AJ$140,0,MATCH(F$2,Inputs!$K$4:$AJ$4,0))))=0,NA(),SUMPRODUCT((Inputs!$A$5:$A$140=$B70)*Inputs!$B$5:$B$140*(((Inputs!$G$5:$G$140="moeda")+(Inputs!$G$5:$G$140="acoes"))*Inputs!$B$1+((Inputs!$G$5:$G$140&lt;&gt;"moeda")*(Inputs!$G$5:$G$140&lt;&gt;"acoes")))*INDEX(Inputs!$K$5:$AJ$140,0,MATCH(F$2,Inputs!$K$4:$AJ$4,0)))+SUMPRODUCT((Inputs!$C$5:$C$140=$B70)*Inputs!$D$5:$D$140*(((Inputs!$G$5:$G$140="moeda")+(Inputs!$G$5:$G$140="acoes"))*Inputs!$B$1+((Inputs!$G$5:$G$140&lt;&gt;"moeda")*(Inputs!$G$5:$G$140&lt;&gt;"acoes")))*INDEX(Inputs!$K$5:$AJ$140,0,MATCH(F$2,Inputs!$K$4:$AJ$4,0)))+SUMPRODUCT((Inputs!$E$5:$E$140=$B70)*Inputs!$F$5:$F$140*(((Inputs!$G$5:$G$140="moeda")+(Inputs!$G$5:$G$140="acoes"))*Inputs!$B$1+((Inputs!$G$5:$G$140&lt;&gt;"moeda")*(Inputs!$G$5:$G$140&lt;&gt;"acoes")))*INDEX(Inputs!$K$5:$AJ$140,0,MATCH(F$2,Inputs!$K$4:$AJ$4,0)))))</f>
        <v>3989</v>
      </c>
      <c r="G70" s="264">
        <f>IF(ISNA(MATCH(G$2,Inputs!$K$4:$AJ$4,0)),NA(),IF(SUMPRODUCT((Inputs!$A$5:$A$140=$B70)*ISNUMBER(INDEX(Inputs!$K$5:$AJ$140,0,MATCH(G$2,Inputs!$K$4:$AJ$4,0))))+SUMPRODUCT((Inputs!$C$5:$C$140=$B70)*ISNUMBER(INDEX(Inputs!$K$5:$AJ$140,0,MATCH(G$2,Inputs!$K$4:$AJ$4,0))))+SUMPRODUCT((Inputs!$E$5:$E$140=$B70)*ISNUMBER(INDEX(Inputs!$K$5:$AJ$140,0,MATCH(G$2,Inputs!$K$4:$AJ$4,0))))=0,NA(),SUMPRODUCT((Inputs!$A$5:$A$140=$B70)*Inputs!$B$5:$B$140*(((Inputs!$G$5:$G$140="moeda")+(Inputs!$G$5:$G$140="acoes"))*Inputs!$B$1+((Inputs!$G$5:$G$140&lt;&gt;"moeda")*(Inputs!$G$5:$G$140&lt;&gt;"acoes")))*INDEX(Inputs!$K$5:$AJ$140,0,MATCH(G$2,Inputs!$K$4:$AJ$4,0)))+SUMPRODUCT((Inputs!$C$5:$C$140=$B70)*Inputs!$D$5:$D$140*(((Inputs!$G$5:$G$140="moeda")+(Inputs!$G$5:$G$140="acoes"))*Inputs!$B$1+((Inputs!$G$5:$G$140&lt;&gt;"moeda")*(Inputs!$G$5:$G$140&lt;&gt;"acoes")))*INDEX(Inputs!$K$5:$AJ$140,0,MATCH(G$2,Inputs!$K$4:$AJ$4,0)))+SUMPRODUCT((Inputs!$E$5:$E$140=$B70)*Inputs!$F$5:$F$140*(((Inputs!$G$5:$G$140="moeda")+(Inputs!$G$5:$G$140="acoes"))*Inputs!$B$1+((Inputs!$G$5:$G$140&lt;&gt;"moeda")*(Inputs!$G$5:$G$140&lt;&gt;"acoes")))*INDEX(Inputs!$K$5:$AJ$140,0,MATCH(G$2,Inputs!$K$4:$AJ$4,0)))))</f>
        <v>4600</v>
      </c>
      <c r="H70" s="265">
        <f>G70</f>
        <v>4600</v>
      </c>
      <c r="I70" s="264">
        <f>IF(ISNA(MATCH(I$2,Inputs!$K$4:$AJ$4,0)),NA(),IF(SUMPRODUCT((Inputs!$A$5:$A$140=$B70)*ISNUMBER(INDEX(Inputs!$K$5:$AJ$140,0,MATCH(I$2,Inputs!$K$4:$AJ$4,0))))+SUMPRODUCT((Inputs!$C$5:$C$140=$B70)*ISNUMBER(INDEX(Inputs!$K$5:$AJ$140,0,MATCH(I$2,Inputs!$K$4:$AJ$4,0))))+SUMPRODUCT((Inputs!$E$5:$E$140=$B70)*ISNUMBER(INDEX(Inputs!$K$5:$AJ$140,0,MATCH(I$2,Inputs!$K$4:$AJ$4,0))))=0,NA(),SUMPRODUCT((Inputs!$A$5:$A$140=$B70)*Inputs!$B$5:$B$140*(((Inputs!$G$5:$G$140="moeda")+(Inputs!$G$5:$G$140="acoes"))*Inputs!$B$1+((Inputs!$G$5:$G$140&lt;&gt;"moeda")*(Inputs!$G$5:$G$140&lt;&gt;"acoes")))*INDEX(Inputs!$K$5:$AJ$140,0,MATCH(I$2,Inputs!$K$4:$AJ$4,0)))+SUMPRODUCT((Inputs!$C$5:$C$140=$B70)*Inputs!$D$5:$D$140*(((Inputs!$G$5:$G$140="moeda")+(Inputs!$G$5:$G$140="acoes"))*Inputs!$B$1+((Inputs!$G$5:$G$140&lt;&gt;"moeda")*(Inputs!$G$5:$G$140&lt;&gt;"acoes")))*INDEX(Inputs!$K$5:$AJ$140,0,MATCH(I$2,Inputs!$K$4:$AJ$4,0)))+SUMPRODUCT((Inputs!$E$5:$E$140=$B70)*Inputs!$F$5:$F$140*(((Inputs!$G$5:$G$140="moeda")+(Inputs!$G$5:$G$140="acoes"))*Inputs!$B$1+((Inputs!$G$5:$G$140&lt;&gt;"moeda")*(Inputs!$G$5:$G$140&lt;&gt;"acoes")))*INDEX(Inputs!$K$5:$AJ$140,0,MATCH(I$2,Inputs!$K$4:$AJ$4,0)))))</f>
        <v>4579</v>
      </c>
      <c r="J70" s="264">
        <f>IF(ISNA(MATCH(J$2,Inputs!$K$4:$AJ$4,0)),NA(),IF(SUMPRODUCT((Inputs!$A$5:$A$140=$B70)*ISNUMBER(INDEX(Inputs!$K$5:$AJ$140,0,MATCH(J$2,Inputs!$K$4:$AJ$4,0))))+SUMPRODUCT((Inputs!$C$5:$C$140=$B70)*ISNUMBER(INDEX(Inputs!$K$5:$AJ$140,0,MATCH(J$2,Inputs!$K$4:$AJ$4,0))))+SUMPRODUCT((Inputs!$E$5:$E$140=$B70)*ISNUMBER(INDEX(Inputs!$K$5:$AJ$140,0,MATCH(J$2,Inputs!$K$4:$AJ$4,0))))=0,NA(),SUMPRODUCT((Inputs!$A$5:$A$140=$B70)*Inputs!$B$5:$B$140*(((Inputs!$G$5:$G$140="moeda")+(Inputs!$G$5:$G$140="acoes"))*Inputs!$B$1+((Inputs!$G$5:$G$140&lt;&gt;"moeda")*(Inputs!$G$5:$G$140&lt;&gt;"acoes")))*INDEX(Inputs!$K$5:$AJ$140,0,MATCH(J$2,Inputs!$K$4:$AJ$4,0)))+SUMPRODUCT((Inputs!$C$5:$C$140=$B70)*Inputs!$D$5:$D$140*(((Inputs!$G$5:$G$140="moeda")+(Inputs!$G$5:$G$140="acoes"))*Inputs!$B$1+((Inputs!$G$5:$G$140&lt;&gt;"moeda")*(Inputs!$G$5:$G$140&lt;&gt;"acoes")))*INDEX(Inputs!$K$5:$AJ$140,0,MATCH(J$2,Inputs!$K$4:$AJ$4,0)))+SUMPRODUCT((Inputs!$E$5:$E$140=$B70)*Inputs!$F$5:$F$140*(((Inputs!$G$5:$G$140="moeda")+(Inputs!$G$5:$G$140="acoes"))*Inputs!$B$1+((Inputs!$G$5:$G$140&lt;&gt;"moeda")*(Inputs!$G$5:$G$140&lt;&gt;"acoes")))*INDEX(Inputs!$K$5:$AJ$140,0,MATCH(J$2,Inputs!$K$4:$AJ$4,0)))))</f>
        <v>4393</v>
      </c>
      <c r="K70" s="264">
        <f>IF(ISNA(MATCH(K$2,Inputs!$K$4:$AJ$4,0)),NA(),IF(SUMPRODUCT((Inputs!$A$5:$A$140=$B70)*ISNUMBER(INDEX(Inputs!$K$5:$AJ$140,0,MATCH(K$2,Inputs!$K$4:$AJ$4,0))))+SUMPRODUCT((Inputs!$C$5:$C$140=$B70)*ISNUMBER(INDEX(Inputs!$K$5:$AJ$140,0,MATCH(K$2,Inputs!$K$4:$AJ$4,0))))+SUMPRODUCT((Inputs!$E$5:$E$140=$B70)*ISNUMBER(INDEX(Inputs!$K$5:$AJ$140,0,MATCH(K$2,Inputs!$K$4:$AJ$4,0))))=0,NA(),SUMPRODUCT((Inputs!$A$5:$A$140=$B70)*Inputs!$B$5:$B$140*(((Inputs!$G$5:$G$140="moeda")+(Inputs!$G$5:$G$140="acoes"))*Inputs!$B$1+((Inputs!$G$5:$G$140&lt;&gt;"moeda")*(Inputs!$G$5:$G$140&lt;&gt;"acoes")))*INDEX(Inputs!$K$5:$AJ$140,0,MATCH(K$2,Inputs!$K$4:$AJ$4,0)))+SUMPRODUCT((Inputs!$C$5:$C$140=$B70)*Inputs!$D$5:$D$140*(((Inputs!$G$5:$G$140="moeda")+(Inputs!$G$5:$G$140="acoes"))*Inputs!$B$1+((Inputs!$G$5:$G$140&lt;&gt;"moeda")*(Inputs!$G$5:$G$140&lt;&gt;"acoes")))*INDEX(Inputs!$K$5:$AJ$140,0,MATCH(K$2,Inputs!$K$4:$AJ$4,0)))+SUMPRODUCT((Inputs!$E$5:$E$140=$B70)*Inputs!$F$5:$F$140*(((Inputs!$G$5:$G$140="moeda")+(Inputs!$G$5:$G$140="acoes"))*Inputs!$B$1+((Inputs!$G$5:$G$140&lt;&gt;"moeda")*(Inputs!$G$5:$G$140&lt;&gt;"acoes")))*INDEX(Inputs!$K$5:$AJ$140,0,MATCH(K$2,Inputs!$K$4:$AJ$4,0)))))</f>
        <v>4575</v>
      </c>
      <c r="L70" s="264">
        <f>IF(ISNA(MATCH(L$2,Inputs!$K$4:$AJ$4,0)),NA(),IF(SUMPRODUCT((Inputs!$A$5:$A$140=$B70)*ISNUMBER(INDEX(Inputs!$K$5:$AJ$140,0,MATCH(L$2,Inputs!$K$4:$AJ$4,0))))+SUMPRODUCT((Inputs!$C$5:$C$140=$B70)*ISNUMBER(INDEX(Inputs!$K$5:$AJ$140,0,MATCH(L$2,Inputs!$K$4:$AJ$4,0))))+SUMPRODUCT((Inputs!$E$5:$E$140=$B70)*ISNUMBER(INDEX(Inputs!$K$5:$AJ$140,0,MATCH(L$2,Inputs!$K$4:$AJ$4,0))))=0,NA(),SUMPRODUCT((Inputs!$A$5:$A$140=$B70)*Inputs!$B$5:$B$140*(((Inputs!$G$5:$G$140="moeda")+(Inputs!$G$5:$G$140="acoes"))*Inputs!$B$1+((Inputs!$G$5:$G$140&lt;&gt;"moeda")*(Inputs!$G$5:$G$140&lt;&gt;"acoes")))*INDEX(Inputs!$K$5:$AJ$140,0,MATCH(L$2,Inputs!$K$4:$AJ$4,0)))+SUMPRODUCT((Inputs!$C$5:$C$140=$B70)*Inputs!$D$5:$D$140*(((Inputs!$G$5:$G$140="moeda")+(Inputs!$G$5:$G$140="acoes"))*Inputs!$B$1+((Inputs!$G$5:$G$140&lt;&gt;"moeda")*(Inputs!$G$5:$G$140&lt;&gt;"acoes")))*INDEX(Inputs!$K$5:$AJ$140,0,MATCH(L$2,Inputs!$K$4:$AJ$4,0)))+SUMPRODUCT((Inputs!$E$5:$E$140=$B70)*Inputs!$F$5:$F$140*(((Inputs!$G$5:$G$140="moeda")+(Inputs!$G$5:$G$140="acoes"))*Inputs!$B$1+((Inputs!$G$5:$G$140&lt;&gt;"moeda")*(Inputs!$G$5:$G$140&lt;&gt;"acoes")))*INDEX(Inputs!$K$5:$AJ$140,0,MATCH(L$2,Inputs!$K$4:$AJ$4,0)))))</f>
        <v>3781</v>
      </c>
      <c r="M70" s="265">
        <f>L70</f>
        <v>3781</v>
      </c>
      <c r="N70" s="264">
        <f>IF(ISNA(MATCH(N$2,Inputs!$K$4:$AJ$4,0)),NA(),IF(SUMPRODUCT((Inputs!$A$5:$A$140=$B70)*ISNUMBER(INDEX(Inputs!$K$5:$AJ$140,0,MATCH(N$2,Inputs!$K$4:$AJ$4,0))))+SUMPRODUCT((Inputs!$C$5:$C$140=$B70)*ISNUMBER(INDEX(Inputs!$K$5:$AJ$140,0,MATCH(N$2,Inputs!$K$4:$AJ$4,0))))+SUMPRODUCT((Inputs!$E$5:$E$140=$B70)*ISNUMBER(INDEX(Inputs!$K$5:$AJ$140,0,MATCH(N$2,Inputs!$K$4:$AJ$4,0))))=0,NA(),SUMPRODUCT((Inputs!$A$5:$A$140=$B70)*Inputs!$B$5:$B$140*(((Inputs!$G$5:$G$140="moeda")+(Inputs!$G$5:$G$140="acoes"))*Inputs!$B$1+((Inputs!$G$5:$G$140&lt;&gt;"moeda")*(Inputs!$G$5:$G$140&lt;&gt;"acoes")))*INDEX(Inputs!$K$5:$AJ$140,0,MATCH(N$2,Inputs!$K$4:$AJ$4,0)))+SUMPRODUCT((Inputs!$C$5:$C$140=$B70)*Inputs!$D$5:$D$140*(((Inputs!$G$5:$G$140="moeda")+(Inputs!$G$5:$G$140="acoes"))*Inputs!$B$1+((Inputs!$G$5:$G$140&lt;&gt;"moeda")*(Inputs!$G$5:$G$140&lt;&gt;"acoes")))*INDEX(Inputs!$K$5:$AJ$140,0,MATCH(N$2,Inputs!$K$4:$AJ$4,0)))+SUMPRODUCT((Inputs!$E$5:$E$140=$B70)*Inputs!$F$5:$F$140*(((Inputs!$G$5:$G$140="moeda")+(Inputs!$G$5:$G$140="acoes"))*Inputs!$B$1+((Inputs!$G$5:$G$140&lt;&gt;"moeda")*(Inputs!$G$5:$G$140&lt;&gt;"acoes")))*INDEX(Inputs!$K$5:$AJ$140,0,MATCH(N$2,Inputs!$K$4:$AJ$4,0)))))</f>
        <v>4859</v>
      </c>
      <c r="O70" s="264">
        <f>IF(ISNA(MATCH(O$2,Inputs!$K$4:$AJ$4,0)),NA(),IF(SUMPRODUCT((Inputs!$A$5:$A$140=$B70)*ISNUMBER(INDEX(Inputs!$K$5:$AJ$140,0,MATCH(O$2,Inputs!$K$4:$AJ$4,0))))+SUMPRODUCT((Inputs!$C$5:$C$140=$B70)*ISNUMBER(INDEX(Inputs!$K$5:$AJ$140,0,MATCH(O$2,Inputs!$K$4:$AJ$4,0))))+SUMPRODUCT((Inputs!$E$5:$E$140=$B70)*ISNUMBER(INDEX(Inputs!$K$5:$AJ$140,0,MATCH(O$2,Inputs!$K$4:$AJ$4,0))))=0,NA(),SUMPRODUCT((Inputs!$A$5:$A$140=$B70)*Inputs!$B$5:$B$140*(((Inputs!$G$5:$G$140="moeda")+(Inputs!$G$5:$G$140="acoes"))*Inputs!$B$1+((Inputs!$G$5:$G$140&lt;&gt;"moeda")*(Inputs!$G$5:$G$140&lt;&gt;"acoes")))*INDEX(Inputs!$K$5:$AJ$140,0,MATCH(O$2,Inputs!$K$4:$AJ$4,0)))+SUMPRODUCT((Inputs!$C$5:$C$140=$B70)*Inputs!$D$5:$D$140*(((Inputs!$G$5:$G$140="moeda")+(Inputs!$G$5:$G$140="acoes"))*Inputs!$B$1+((Inputs!$G$5:$G$140&lt;&gt;"moeda")*(Inputs!$G$5:$G$140&lt;&gt;"acoes")))*INDEX(Inputs!$K$5:$AJ$140,0,MATCH(O$2,Inputs!$K$4:$AJ$4,0)))+SUMPRODUCT((Inputs!$E$5:$E$140=$B70)*Inputs!$F$5:$F$140*(((Inputs!$G$5:$G$140="moeda")+(Inputs!$G$5:$G$140="acoes"))*Inputs!$B$1+((Inputs!$G$5:$G$140&lt;&gt;"moeda")*(Inputs!$G$5:$G$140&lt;&gt;"acoes")))*INDEX(Inputs!$K$5:$AJ$140,0,MATCH(O$2,Inputs!$K$4:$AJ$4,0)))))</f>
        <v>4485</v>
      </c>
      <c r="P70" s="264">
        <f>IF(ISNA(MATCH(P$2,Inputs!$K$4:$AJ$4,0)),NA(),IF(SUMPRODUCT((Inputs!$A$5:$A$140=$B70)*ISNUMBER(INDEX(Inputs!$K$5:$AJ$140,0,MATCH(P$2,Inputs!$K$4:$AJ$4,0))))+SUMPRODUCT((Inputs!$C$5:$C$140=$B70)*ISNUMBER(INDEX(Inputs!$K$5:$AJ$140,0,MATCH(P$2,Inputs!$K$4:$AJ$4,0))))+SUMPRODUCT((Inputs!$E$5:$E$140=$B70)*ISNUMBER(INDEX(Inputs!$K$5:$AJ$140,0,MATCH(P$2,Inputs!$K$4:$AJ$4,0))))=0,NA(),SUMPRODUCT((Inputs!$A$5:$A$140=$B70)*Inputs!$B$5:$B$140*(((Inputs!$G$5:$G$140="moeda")+(Inputs!$G$5:$G$140="acoes"))*Inputs!$B$1+((Inputs!$G$5:$G$140&lt;&gt;"moeda")*(Inputs!$G$5:$G$140&lt;&gt;"acoes")))*INDEX(Inputs!$K$5:$AJ$140,0,MATCH(P$2,Inputs!$K$4:$AJ$4,0)))+SUMPRODUCT((Inputs!$C$5:$C$140=$B70)*Inputs!$D$5:$D$140*(((Inputs!$G$5:$G$140="moeda")+(Inputs!$G$5:$G$140="acoes"))*Inputs!$B$1+((Inputs!$G$5:$G$140&lt;&gt;"moeda")*(Inputs!$G$5:$G$140&lt;&gt;"acoes")))*INDEX(Inputs!$K$5:$AJ$140,0,MATCH(P$2,Inputs!$K$4:$AJ$4,0)))+SUMPRODUCT((Inputs!$E$5:$E$140=$B70)*Inputs!$F$5:$F$140*(((Inputs!$G$5:$G$140="moeda")+(Inputs!$G$5:$G$140="acoes"))*Inputs!$B$1+((Inputs!$G$5:$G$140&lt;&gt;"moeda")*(Inputs!$G$5:$G$140&lt;&gt;"acoes")))*INDEX(Inputs!$K$5:$AJ$140,0,MATCH(P$2,Inputs!$K$4:$AJ$4,0)))))</f>
        <v>4652</v>
      </c>
      <c r="Q70" s="264">
        <f>IF(ISNA(MATCH(Q$2,Inputs!$K$4:$AJ$4,0)),NA(),IF(SUMPRODUCT((Inputs!$A$5:$A$140=$B70)*ISNUMBER(INDEX(Inputs!$K$5:$AJ$140,0,MATCH(Q$2,Inputs!$K$4:$AJ$4,0))))+SUMPRODUCT((Inputs!$C$5:$C$140=$B70)*ISNUMBER(INDEX(Inputs!$K$5:$AJ$140,0,MATCH(Q$2,Inputs!$K$4:$AJ$4,0))))+SUMPRODUCT((Inputs!$E$5:$E$140=$B70)*ISNUMBER(INDEX(Inputs!$K$5:$AJ$140,0,MATCH(Q$2,Inputs!$K$4:$AJ$4,0))))=0,NA(),SUMPRODUCT((Inputs!$A$5:$A$140=$B70)*Inputs!$B$5:$B$140*(((Inputs!$G$5:$G$140="moeda")+(Inputs!$G$5:$G$140="acoes"))*Inputs!$B$1+((Inputs!$G$5:$G$140&lt;&gt;"moeda")*(Inputs!$G$5:$G$140&lt;&gt;"acoes")))*INDEX(Inputs!$K$5:$AJ$140,0,MATCH(Q$2,Inputs!$K$4:$AJ$4,0)))+SUMPRODUCT((Inputs!$C$5:$C$140=$B70)*Inputs!$D$5:$D$140*(((Inputs!$G$5:$G$140="moeda")+(Inputs!$G$5:$G$140="acoes"))*Inputs!$B$1+((Inputs!$G$5:$G$140&lt;&gt;"moeda")*(Inputs!$G$5:$G$140&lt;&gt;"acoes")))*INDEX(Inputs!$K$5:$AJ$140,0,MATCH(Q$2,Inputs!$K$4:$AJ$4,0)))+SUMPRODUCT((Inputs!$E$5:$E$140=$B70)*Inputs!$F$5:$F$140*(((Inputs!$G$5:$G$140="moeda")+(Inputs!$G$5:$G$140="acoes"))*Inputs!$B$1+((Inputs!$G$5:$G$140&lt;&gt;"moeda")*(Inputs!$G$5:$G$140&lt;&gt;"acoes")))*INDEX(Inputs!$K$5:$AJ$140,0,MATCH(Q$2,Inputs!$K$4:$AJ$4,0)))))</f>
        <v>4991</v>
      </c>
      <c r="R70" s="265">
        <f>Q70</f>
        <v>4991</v>
      </c>
      <c r="S70" s="264">
        <f>IF(ISNA(MATCH(S$2,Inputs!$K$4:$AJ$4,0)),NA(),IF(SUMPRODUCT((Inputs!$A$5:$A$140=$B70)*ISNUMBER(INDEX(Inputs!$K$5:$AJ$140,0,MATCH(S$2,Inputs!$K$4:$AJ$4,0))))+SUMPRODUCT((Inputs!$C$5:$C$140=$B70)*ISNUMBER(INDEX(Inputs!$K$5:$AJ$140,0,MATCH(S$2,Inputs!$K$4:$AJ$4,0))))+SUMPRODUCT((Inputs!$E$5:$E$140=$B70)*ISNUMBER(INDEX(Inputs!$K$5:$AJ$140,0,MATCH(S$2,Inputs!$K$4:$AJ$4,0))))=0,NA(),SUMPRODUCT((Inputs!$A$5:$A$140=$B70)*Inputs!$B$5:$B$140*(((Inputs!$G$5:$G$140="moeda")+(Inputs!$G$5:$G$140="acoes"))*Inputs!$B$1+((Inputs!$G$5:$G$140&lt;&gt;"moeda")*(Inputs!$G$5:$G$140&lt;&gt;"acoes")))*INDEX(Inputs!$K$5:$AJ$140,0,MATCH(S$2,Inputs!$K$4:$AJ$4,0)))+SUMPRODUCT((Inputs!$C$5:$C$140=$B70)*Inputs!$D$5:$D$140*(((Inputs!$G$5:$G$140="moeda")+(Inputs!$G$5:$G$140="acoes"))*Inputs!$B$1+((Inputs!$G$5:$G$140&lt;&gt;"moeda")*(Inputs!$G$5:$G$140&lt;&gt;"acoes")))*INDEX(Inputs!$K$5:$AJ$140,0,MATCH(S$2,Inputs!$K$4:$AJ$4,0)))+SUMPRODUCT((Inputs!$E$5:$E$140=$B70)*Inputs!$F$5:$F$140*(((Inputs!$G$5:$G$140="moeda")+(Inputs!$G$5:$G$140="acoes"))*Inputs!$B$1+((Inputs!$G$5:$G$140&lt;&gt;"moeda")*(Inputs!$G$5:$G$140&lt;&gt;"acoes")))*INDEX(Inputs!$K$5:$AJ$140,0,MATCH(S$2,Inputs!$K$4:$AJ$4,0)))))</f>
        <v>5320</v>
      </c>
      <c r="T70" s="264">
        <f>IF(ISNA(MATCH(T$2,Inputs!$K$4:$AJ$4,0)),NA(),IF(SUMPRODUCT((Inputs!$A$5:$A$140=$B70)*ISNUMBER(INDEX(Inputs!$K$5:$AJ$140,0,MATCH(T$2,Inputs!$K$4:$AJ$4,0))))+SUMPRODUCT((Inputs!$C$5:$C$140=$B70)*ISNUMBER(INDEX(Inputs!$K$5:$AJ$140,0,MATCH(T$2,Inputs!$K$4:$AJ$4,0))))+SUMPRODUCT((Inputs!$E$5:$E$140=$B70)*ISNUMBER(INDEX(Inputs!$K$5:$AJ$140,0,MATCH(T$2,Inputs!$K$4:$AJ$4,0))))=0,NA(),SUMPRODUCT((Inputs!$A$5:$A$140=$B70)*Inputs!$B$5:$B$140*(((Inputs!$G$5:$G$140="moeda")+(Inputs!$G$5:$G$140="acoes"))*Inputs!$B$1+((Inputs!$G$5:$G$140&lt;&gt;"moeda")*(Inputs!$G$5:$G$140&lt;&gt;"acoes")))*INDEX(Inputs!$K$5:$AJ$140,0,MATCH(T$2,Inputs!$K$4:$AJ$4,0)))+SUMPRODUCT((Inputs!$C$5:$C$140=$B70)*Inputs!$D$5:$D$140*(((Inputs!$G$5:$G$140="moeda")+(Inputs!$G$5:$G$140="acoes"))*Inputs!$B$1+((Inputs!$G$5:$G$140&lt;&gt;"moeda")*(Inputs!$G$5:$G$140&lt;&gt;"acoes")))*INDEX(Inputs!$K$5:$AJ$140,0,MATCH(T$2,Inputs!$K$4:$AJ$4,0)))+SUMPRODUCT((Inputs!$E$5:$E$140=$B70)*Inputs!$F$5:$F$140*(((Inputs!$G$5:$G$140="moeda")+(Inputs!$G$5:$G$140="acoes"))*Inputs!$B$1+((Inputs!$G$5:$G$140&lt;&gt;"moeda")*(Inputs!$G$5:$G$140&lt;&gt;"acoes")))*INDEX(Inputs!$K$5:$AJ$140,0,MATCH(T$2,Inputs!$K$4:$AJ$4,0)))))</f>
        <v>5139</v>
      </c>
      <c r="U70" s="264">
        <f>IF(ISNA(MATCH(U$2,Inputs!$K$4:$AJ$4,0)),NA(),IF(SUMPRODUCT((Inputs!$A$5:$A$140=$B70)*ISNUMBER(INDEX(Inputs!$K$5:$AJ$140,0,MATCH(U$2,Inputs!$K$4:$AJ$4,0))))+SUMPRODUCT((Inputs!$C$5:$C$140=$B70)*ISNUMBER(INDEX(Inputs!$K$5:$AJ$140,0,MATCH(U$2,Inputs!$K$4:$AJ$4,0))))+SUMPRODUCT((Inputs!$E$5:$E$140=$B70)*ISNUMBER(INDEX(Inputs!$K$5:$AJ$140,0,MATCH(U$2,Inputs!$K$4:$AJ$4,0))))=0,NA(),SUMPRODUCT((Inputs!$A$5:$A$140=$B70)*Inputs!$B$5:$B$140*(((Inputs!$G$5:$G$140="moeda")+(Inputs!$G$5:$G$140="acoes"))*Inputs!$B$1+((Inputs!$G$5:$G$140&lt;&gt;"moeda")*(Inputs!$G$5:$G$140&lt;&gt;"acoes")))*INDEX(Inputs!$K$5:$AJ$140,0,MATCH(U$2,Inputs!$K$4:$AJ$4,0)))+SUMPRODUCT((Inputs!$C$5:$C$140=$B70)*Inputs!$D$5:$D$140*(((Inputs!$G$5:$G$140="moeda")+(Inputs!$G$5:$G$140="acoes"))*Inputs!$B$1+((Inputs!$G$5:$G$140&lt;&gt;"moeda")*(Inputs!$G$5:$G$140&lt;&gt;"acoes")))*INDEX(Inputs!$K$5:$AJ$140,0,MATCH(U$2,Inputs!$K$4:$AJ$4,0)))+SUMPRODUCT((Inputs!$E$5:$E$140=$B70)*Inputs!$F$5:$F$140*(((Inputs!$G$5:$G$140="moeda")+(Inputs!$G$5:$G$140="acoes"))*Inputs!$B$1+((Inputs!$G$5:$G$140&lt;&gt;"moeda")*(Inputs!$G$5:$G$140&lt;&gt;"acoes")))*INDEX(Inputs!$K$5:$AJ$140,0,MATCH(U$2,Inputs!$K$4:$AJ$4,0)))))</f>
        <v>5609</v>
      </c>
      <c r="V70" s="264">
        <f>IF(ISNA(MATCH(V$2,Inputs!$K$4:$AJ$4,0)),NA(),IF(SUMPRODUCT((Inputs!$A$5:$A$140=$B70)*ISNUMBER(INDEX(Inputs!$K$5:$AJ$140,0,MATCH(V$2,Inputs!$K$4:$AJ$4,0))))+SUMPRODUCT((Inputs!$C$5:$C$140=$B70)*ISNUMBER(INDEX(Inputs!$K$5:$AJ$140,0,MATCH(V$2,Inputs!$K$4:$AJ$4,0))))+SUMPRODUCT((Inputs!$E$5:$E$140=$B70)*ISNUMBER(INDEX(Inputs!$K$5:$AJ$140,0,MATCH(V$2,Inputs!$K$4:$AJ$4,0))))=0,NA(),SUMPRODUCT((Inputs!$A$5:$A$140=$B70)*Inputs!$B$5:$B$140*(((Inputs!$G$5:$G$140="moeda")+(Inputs!$G$5:$G$140="acoes"))*Inputs!$B$1+((Inputs!$G$5:$G$140&lt;&gt;"moeda")*(Inputs!$G$5:$G$140&lt;&gt;"acoes")))*INDEX(Inputs!$K$5:$AJ$140,0,MATCH(V$2,Inputs!$K$4:$AJ$4,0)))+SUMPRODUCT((Inputs!$C$5:$C$140=$B70)*Inputs!$D$5:$D$140*(((Inputs!$G$5:$G$140="moeda")+(Inputs!$G$5:$G$140="acoes"))*Inputs!$B$1+((Inputs!$G$5:$G$140&lt;&gt;"moeda")*(Inputs!$G$5:$G$140&lt;&gt;"acoes")))*INDEX(Inputs!$K$5:$AJ$140,0,MATCH(V$2,Inputs!$K$4:$AJ$4,0)))+SUMPRODUCT((Inputs!$E$5:$E$140=$B70)*Inputs!$F$5:$F$140*(((Inputs!$G$5:$G$140="moeda")+(Inputs!$G$5:$G$140="acoes"))*Inputs!$B$1+((Inputs!$G$5:$G$140&lt;&gt;"moeda")*(Inputs!$G$5:$G$140&lt;&gt;"acoes")))*INDEX(Inputs!$K$5:$AJ$140,0,MATCH(V$2,Inputs!$K$4:$AJ$4,0)))))</f>
        <v>5206</v>
      </c>
      <c r="W70" s="265">
        <f>V70</f>
        <v>5206</v>
      </c>
      <c r="X70" s="264">
        <f>IF(ISNA(MATCH(X$2,Inputs!$K$4:$AJ$4,0)),NA(),IF(SUMPRODUCT((Inputs!$A$5:$A$140=$B70)*ISNUMBER(INDEX(Inputs!$K$5:$AJ$140,0,MATCH(X$2,Inputs!$K$4:$AJ$4,0))))+SUMPRODUCT((Inputs!$C$5:$C$140=$B70)*ISNUMBER(INDEX(Inputs!$K$5:$AJ$140,0,MATCH(X$2,Inputs!$K$4:$AJ$4,0))))+SUMPRODUCT((Inputs!$E$5:$E$140=$B70)*ISNUMBER(INDEX(Inputs!$K$5:$AJ$140,0,MATCH(X$2,Inputs!$K$4:$AJ$4,0))))=0,NA(),SUMPRODUCT((Inputs!$A$5:$A$140=$B70)*Inputs!$B$5:$B$140*(((Inputs!$G$5:$G$140="moeda")+(Inputs!$G$5:$G$140="acoes"))*Inputs!$B$1+((Inputs!$G$5:$G$140&lt;&gt;"moeda")*(Inputs!$G$5:$G$140&lt;&gt;"acoes")))*INDEX(Inputs!$K$5:$AJ$140,0,MATCH(X$2,Inputs!$K$4:$AJ$4,0)))+SUMPRODUCT((Inputs!$C$5:$C$140=$B70)*Inputs!$D$5:$D$140*(((Inputs!$G$5:$G$140="moeda")+(Inputs!$G$5:$G$140="acoes"))*Inputs!$B$1+((Inputs!$G$5:$G$140&lt;&gt;"moeda")*(Inputs!$G$5:$G$140&lt;&gt;"acoes")))*INDEX(Inputs!$K$5:$AJ$140,0,MATCH(X$2,Inputs!$K$4:$AJ$4,0)))+SUMPRODUCT((Inputs!$E$5:$E$140=$B70)*Inputs!$F$5:$F$140*(((Inputs!$G$5:$G$140="moeda")+(Inputs!$G$5:$G$140="acoes"))*Inputs!$B$1+((Inputs!$G$5:$G$140&lt;&gt;"moeda")*(Inputs!$G$5:$G$140&lt;&gt;"acoes")))*INDEX(Inputs!$K$5:$AJ$140,0,MATCH(X$2,Inputs!$K$4:$AJ$4,0)))))</f>
        <v>7548</v>
      </c>
      <c r="Y70" s="264">
        <f>IF(ISNA(MATCH(Y$2,Inputs!$K$4:$AJ$4,0)),NA(),IF(SUMPRODUCT((Inputs!$A$5:$A$140=$B70)*ISNUMBER(INDEX(Inputs!$K$5:$AJ$140,0,MATCH(Y$2,Inputs!$K$4:$AJ$4,0))))+SUMPRODUCT((Inputs!$C$5:$C$140=$B70)*ISNUMBER(INDEX(Inputs!$K$5:$AJ$140,0,MATCH(Y$2,Inputs!$K$4:$AJ$4,0))))+SUMPRODUCT((Inputs!$E$5:$E$140=$B70)*ISNUMBER(INDEX(Inputs!$K$5:$AJ$140,0,MATCH(Y$2,Inputs!$K$4:$AJ$4,0))))=0,NA(),SUMPRODUCT((Inputs!$A$5:$A$140=$B70)*Inputs!$B$5:$B$140*(((Inputs!$G$5:$G$140="moeda")+(Inputs!$G$5:$G$140="acoes"))*Inputs!$B$1+((Inputs!$G$5:$G$140&lt;&gt;"moeda")*(Inputs!$G$5:$G$140&lt;&gt;"acoes")))*INDEX(Inputs!$K$5:$AJ$140,0,MATCH(Y$2,Inputs!$K$4:$AJ$4,0)))+SUMPRODUCT((Inputs!$C$5:$C$140=$B70)*Inputs!$D$5:$D$140*(((Inputs!$G$5:$G$140="moeda")+(Inputs!$G$5:$G$140="acoes"))*Inputs!$B$1+((Inputs!$G$5:$G$140&lt;&gt;"moeda")*(Inputs!$G$5:$G$140&lt;&gt;"acoes")))*INDEX(Inputs!$K$5:$AJ$140,0,MATCH(Y$2,Inputs!$K$4:$AJ$4,0)))+SUMPRODUCT((Inputs!$E$5:$E$140=$B70)*Inputs!$F$5:$F$140*(((Inputs!$G$5:$G$140="moeda")+(Inputs!$G$5:$G$140="acoes"))*Inputs!$B$1+((Inputs!$G$5:$G$140&lt;&gt;"moeda")*(Inputs!$G$5:$G$140&lt;&gt;"acoes")))*INDEX(Inputs!$K$5:$AJ$140,0,MATCH(Y$2,Inputs!$K$4:$AJ$4,0)))))</f>
        <v>6852</v>
      </c>
      <c r="Z70" s="264">
        <f>IF(ISNA(MATCH(Z$2,Inputs!$K$4:$AJ$4,0)),NA(),IF(SUMPRODUCT((Inputs!$A$5:$A$140=$B70)*ISNUMBER(INDEX(Inputs!$K$5:$AJ$140,0,MATCH(Z$2,Inputs!$K$4:$AJ$4,0))))+SUMPRODUCT((Inputs!$C$5:$C$140=$B70)*ISNUMBER(INDEX(Inputs!$K$5:$AJ$140,0,MATCH(Z$2,Inputs!$K$4:$AJ$4,0))))+SUMPRODUCT((Inputs!$E$5:$E$140=$B70)*ISNUMBER(INDEX(Inputs!$K$5:$AJ$140,0,MATCH(Z$2,Inputs!$K$4:$AJ$4,0))))=0,NA(),SUMPRODUCT((Inputs!$A$5:$A$140=$B70)*Inputs!$B$5:$B$140*(((Inputs!$G$5:$G$140="moeda")+(Inputs!$G$5:$G$140="acoes"))*Inputs!$B$1+((Inputs!$G$5:$G$140&lt;&gt;"moeda")*(Inputs!$G$5:$G$140&lt;&gt;"acoes")))*INDEX(Inputs!$K$5:$AJ$140,0,MATCH(Z$2,Inputs!$K$4:$AJ$4,0)))+SUMPRODUCT((Inputs!$C$5:$C$140=$B70)*Inputs!$D$5:$D$140*(((Inputs!$G$5:$G$140="moeda")+(Inputs!$G$5:$G$140="acoes"))*Inputs!$B$1+((Inputs!$G$5:$G$140&lt;&gt;"moeda")*(Inputs!$G$5:$G$140&lt;&gt;"acoes")))*INDEX(Inputs!$K$5:$AJ$140,0,MATCH(Z$2,Inputs!$K$4:$AJ$4,0)))+SUMPRODUCT((Inputs!$E$5:$E$140=$B70)*Inputs!$F$5:$F$140*(((Inputs!$G$5:$G$140="moeda")+(Inputs!$G$5:$G$140="acoes"))*Inputs!$B$1+((Inputs!$G$5:$G$140&lt;&gt;"moeda")*(Inputs!$G$5:$G$140&lt;&gt;"acoes")))*INDEX(Inputs!$K$5:$AJ$140,0,MATCH(Z$2,Inputs!$K$4:$AJ$4,0)))))</f>
        <v>7548</v>
      </c>
      <c r="AA70" s="264">
        <f>IF(ISNA(MATCH(AA$2,Inputs!$K$4:$AJ$4,0)),NA(),IF(SUMPRODUCT((Inputs!$A$5:$A$140=$B70)*ISNUMBER(INDEX(Inputs!$K$5:$AJ$140,0,MATCH(AA$2,Inputs!$K$4:$AJ$4,0))))+SUMPRODUCT((Inputs!$C$5:$C$140=$B70)*ISNUMBER(INDEX(Inputs!$K$5:$AJ$140,0,MATCH(AA$2,Inputs!$K$4:$AJ$4,0))))+SUMPRODUCT((Inputs!$E$5:$E$140=$B70)*ISNUMBER(INDEX(Inputs!$K$5:$AJ$140,0,MATCH(AA$2,Inputs!$K$4:$AJ$4,0))))=0,NA(),SUMPRODUCT((Inputs!$A$5:$A$140=$B70)*Inputs!$B$5:$B$140*(((Inputs!$G$5:$G$140="moeda")+(Inputs!$G$5:$G$140="acoes"))*Inputs!$B$1+((Inputs!$G$5:$G$140&lt;&gt;"moeda")*(Inputs!$G$5:$G$140&lt;&gt;"acoes")))*INDEX(Inputs!$K$5:$AJ$140,0,MATCH(AA$2,Inputs!$K$4:$AJ$4,0)))+SUMPRODUCT((Inputs!$C$5:$C$140=$B70)*Inputs!$D$5:$D$140*(((Inputs!$G$5:$G$140="moeda")+(Inputs!$G$5:$G$140="acoes"))*Inputs!$B$1+((Inputs!$G$5:$G$140&lt;&gt;"moeda")*(Inputs!$G$5:$G$140&lt;&gt;"acoes")))*INDEX(Inputs!$K$5:$AJ$140,0,MATCH(AA$2,Inputs!$K$4:$AJ$4,0)))+SUMPRODUCT((Inputs!$E$5:$E$140=$B70)*Inputs!$F$5:$F$140*(((Inputs!$G$5:$G$140="moeda")+(Inputs!$G$5:$G$140="acoes"))*Inputs!$B$1+((Inputs!$G$5:$G$140&lt;&gt;"moeda")*(Inputs!$G$5:$G$140&lt;&gt;"acoes")))*INDEX(Inputs!$K$5:$AJ$140,0,MATCH(AA$2,Inputs!$K$4:$AJ$4,0)))))</f>
        <v>6425</v>
      </c>
      <c r="AB70" s="265">
        <f>AA70</f>
        <v>6425</v>
      </c>
      <c r="AC70" s="264">
        <f>IF(ISNA(MATCH(AC$2,Inputs!$K$4:$AJ$4,0)),NA(),IF(SUMPRODUCT((Inputs!$A$5:$A$140=$B70)*ISNUMBER(INDEX(Inputs!$K$5:$AJ$140,0,MATCH(AC$2,Inputs!$K$4:$AJ$4,0))))+SUMPRODUCT((Inputs!$C$5:$C$140=$B70)*ISNUMBER(INDEX(Inputs!$K$5:$AJ$140,0,MATCH(AC$2,Inputs!$K$4:$AJ$4,0))))+SUMPRODUCT((Inputs!$E$5:$E$140=$B70)*ISNUMBER(INDEX(Inputs!$K$5:$AJ$140,0,MATCH(AC$2,Inputs!$K$4:$AJ$4,0))))=0,NA(),SUMPRODUCT((Inputs!$A$5:$A$140=$B70)*Inputs!$B$5:$B$140*(((Inputs!$G$5:$G$140="moeda")+(Inputs!$G$5:$G$140="acoes"))*Inputs!$B$1+((Inputs!$G$5:$G$140&lt;&gt;"moeda")*(Inputs!$G$5:$G$140&lt;&gt;"acoes")))*INDEX(Inputs!$K$5:$AJ$140,0,MATCH(AC$2,Inputs!$K$4:$AJ$4,0)))+SUMPRODUCT((Inputs!$C$5:$C$140=$B70)*Inputs!$D$5:$D$140*(((Inputs!$G$5:$G$140="moeda")+(Inputs!$G$5:$G$140="acoes"))*Inputs!$B$1+((Inputs!$G$5:$G$140&lt;&gt;"moeda")*(Inputs!$G$5:$G$140&lt;&gt;"acoes")))*INDEX(Inputs!$K$5:$AJ$140,0,MATCH(AC$2,Inputs!$K$4:$AJ$4,0)))+SUMPRODUCT((Inputs!$E$5:$E$140=$B70)*Inputs!$F$5:$F$140*(((Inputs!$G$5:$G$140="moeda")+(Inputs!$G$5:$G$140="acoes"))*Inputs!$B$1+((Inputs!$G$5:$G$140&lt;&gt;"moeda")*(Inputs!$G$5:$G$140&lt;&gt;"acoes")))*INDEX(Inputs!$K$5:$AJ$140,0,MATCH(AC$2,Inputs!$K$4:$AJ$4,0)))))</f>
        <v>7373</v>
      </c>
      <c r="AD70" s="264">
        <f>IF(ISNA(MATCH(AD$2,Inputs!$K$4:$AJ$4,0)),NA(),IF(SUMPRODUCT((Inputs!$A$5:$A$140=$B70)*ISNUMBER(INDEX(Inputs!$K$5:$AJ$140,0,MATCH(AD$2,Inputs!$K$4:$AJ$4,0))))+SUMPRODUCT((Inputs!$C$5:$C$140=$B70)*ISNUMBER(INDEX(Inputs!$K$5:$AJ$140,0,MATCH(AD$2,Inputs!$K$4:$AJ$4,0))))+SUMPRODUCT((Inputs!$E$5:$E$140=$B70)*ISNUMBER(INDEX(Inputs!$K$5:$AJ$140,0,MATCH(AD$2,Inputs!$K$4:$AJ$4,0))))=0,NA(),SUMPRODUCT((Inputs!$A$5:$A$140=$B70)*Inputs!$B$5:$B$140*(((Inputs!$G$5:$G$140="moeda")+(Inputs!$G$5:$G$140="acoes"))*Inputs!$B$1+((Inputs!$G$5:$G$140&lt;&gt;"moeda")*(Inputs!$G$5:$G$140&lt;&gt;"acoes")))*INDEX(Inputs!$K$5:$AJ$140,0,MATCH(AD$2,Inputs!$K$4:$AJ$4,0)))+SUMPRODUCT((Inputs!$C$5:$C$140=$B70)*Inputs!$D$5:$D$140*(((Inputs!$G$5:$G$140="moeda")+(Inputs!$G$5:$G$140="acoes"))*Inputs!$B$1+((Inputs!$G$5:$G$140&lt;&gt;"moeda")*(Inputs!$G$5:$G$140&lt;&gt;"acoes")))*INDEX(Inputs!$K$5:$AJ$140,0,MATCH(AD$2,Inputs!$K$4:$AJ$4,0)))+SUMPRODUCT((Inputs!$E$5:$E$140=$B70)*Inputs!$F$5:$F$140*(((Inputs!$G$5:$G$140="moeda")+(Inputs!$G$5:$G$140="acoes"))*Inputs!$B$1+((Inputs!$G$5:$G$140&lt;&gt;"moeda")*(Inputs!$G$5:$G$140&lt;&gt;"acoes")))*INDEX(Inputs!$K$5:$AJ$140,0,MATCH(AD$2,Inputs!$K$4:$AJ$4,0)))))</f>
        <v>7785</v>
      </c>
      <c r="AE70" s="264" t="e">
        <f>IF(ISNA(MATCH(AE$2,Inputs!$K$4:$AJ$4,0)),NA(),IF(SUMPRODUCT((Inputs!$A$5:$A$140=$B70)*ISNUMBER(INDEX(Inputs!$K$5:$AJ$140,0,MATCH(AE$2,Inputs!$K$4:$AJ$4,0))))+SUMPRODUCT((Inputs!$C$5:$C$140=$B70)*ISNUMBER(INDEX(Inputs!$K$5:$AJ$140,0,MATCH(AE$2,Inputs!$K$4:$AJ$4,0))))+SUMPRODUCT((Inputs!$E$5:$E$140=$B70)*ISNUMBER(INDEX(Inputs!$K$5:$AJ$140,0,MATCH(AE$2,Inputs!$K$4:$AJ$4,0))))=0,NA(),SUMPRODUCT((Inputs!$A$5:$A$140=$B70)*Inputs!$B$5:$B$140*(((Inputs!$G$5:$G$140="moeda")+(Inputs!$G$5:$G$140="acoes"))*Inputs!$B$1+((Inputs!$G$5:$G$140&lt;&gt;"moeda")*(Inputs!$G$5:$G$140&lt;&gt;"acoes")))*INDEX(Inputs!$K$5:$AJ$140,0,MATCH(AE$2,Inputs!$K$4:$AJ$4,0)))+SUMPRODUCT((Inputs!$C$5:$C$140=$B70)*Inputs!$D$5:$D$140*(((Inputs!$G$5:$G$140="moeda")+(Inputs!$G$5:$G$140="acoes"))*Inputs!$B$1+((Inputs!$G$5:$G$140&lt;&gt;"moeda")*(Inputs!$G$5:$G$140&lt;&gt;"acoes")))*INDEX(Inputs!$K$5:$AJ$140,0,MATCH(AE$2,Inputs!$K$4:$AJ$4,0)))+SUMPRODUCT((Inputs!$E$5:$E$140=$B70)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70" s="264" t="e">
        <f>IF(ISNA(MATCH(AF$2,Inputs!$K$4:$AJ$4,0)),NA(),IF(SUMPRODUCT((Inputs!$A$5:$A$140=$B70)*ISNUMBER(INDEX(Inputs!$K$5:$AJ$140,0,MATCH(AF$2,Inputs!$K$4:$AJ$4,0))))+SUMPRODUCT((Inputs!$C$5:$C$140=$B70)*ISNUMBER(INDEX(Inputs!$K$5:$AJ$140,0,MATCH(AF$2,Inputs!$K$4:$AJ$4,0))))+SUMPRODUCT((Inputs!$E$5:$E$140=$B70)*ISNUMBER(INDEX(Inputs!$K$5:$AJ$140,0,MATCH(AF$2,Inputs!$K$4:$AJ$4,0))))=0,NA(),SUMPRODUCT((Inputs!$A$5:$A$140=$B70)*Inputs!$B$5:$B$140*(((Inputs!$G$5:$G$140="moeda")+(Inputs!$G$5:$G$140="acoes"))*Inputs!$B$1+((Inputs!$G$5:$G$140&lt;&gt;"moeda")*(Inputs!$G$5:$G$140&lt;&gt;"acoes")))*INDEX(Inputs!$K$5:$AJ$140,0,MATCH(AF$2,Inputs!$K$4:$AJ$4,0)))+SUMPRODUCT((Inputs!$C$5:$C$140=$B70)*Inputs!$D$5:$D$140*(((Inputs!$G$5:$G$140="moeda")+(Inputs!$G$5:$G$140="acoes"))*Inputs!$B$1+((Inputs!$G$5:$G$140&lt;&gt;"moeda")*(Inputs!$G$5:$G$140&lt;&gt;"acoes")))*INDEX(Inputs!$K$5:$AJ$140,0,MATCH(AF$2,Inputs!$K$4:$AJ$4,0)))+SUMPRODUCT((Inputs!$E$5:$E$140=$B70)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70" s="265" t="e">
        <f>AF70</f>
        <v>#N/A</v>
      </c>
      <c r="AH70" s="264">
        <f>IF(ISNA(MATCH(AH$2,Inputs!$K$4:$AJ$4,0)),NA(),IF(SUMPRODUCT((Inputs!$A$5:$A$140=$B70)*ISNUMBER(INDEX(Inputs!$K$5:$AJ$140,0,MATCH(AH$2,Inputs!$K$4:$AJ$4,0))))+SUMPRODUCT((Inputs!$C$5:$C$140=$B70)*ISNUMBER(INDEX(Inputs!$K$5:$AJ$140,0,MATCH(AH$2,Inputs!$K$4:$AJ$4,0))))+SUMPRODUCT((Inputs!$E$5:$E$140=$B70)*ISNUMBER(INDEX(Inputs!$K$5:$AJ$140,0,MATCH(AH$2,Inputs!$K$4:$AJ$4,0))))=0,NA(),SUMPRODUCT((Inputs!$A$5:$A$140=$B70)*Inputs!$B$5:$B$140*(((Inputs!$G$5:$G$140="moeda")+(Inputs!$G$5:$G$140="acoes"))*Inputs!$B$1+((Inputs!$G$5:$G$140&lt;&gt;"moeda")*(Inputs!$G$5:$G$140&lt;&gt;"acoes")))*INDEX(Inputs!$K$5:$AJ$140,0,MATCH(AH$2,Inputs!$K$4:$AJ$4,0)))+SUMPRODUCT((Inputs!$C$5:$C$140=$B70)*Inputs!$D$5:$D$140*(((Inputs!$G$5:$G$140="moeda")+(Inputs!$G$5:$G$140="acoes"))*Inputs!$B$1+((Inputs!$G$5:$G$140&lt;&gt;"moeda")*(Inputs!$G$5:$G$140&lt;&gt;"acoes")))*INDEX(Inputs!$K$5:$AJ$140,0,MATCH(AH$2,Inputs!$K$4:$AJ$4,0)))+SUMPRODUCT((Inputs!$E$5:$E$140=$B70)*Inputs!$F$5:$F$140*(((Inputs!$G$5:$G$140="moeda")+(Inputs!$G$5:$G$140="acoes"))*Inputs!$B$1+((Inputs!$G$5:$G$140&lt;&gt;"moeda")*(Inputs!$G$5:$G$140&lt;&gt;"acoes")))*INDEX(Inputs!$K$5:$AJ$140,0,MATCH(AH$2,Inputs!$K$4:$AJ$4,0)))))</f>
        <v>2329</v>
      </c>
      <c r="AI70" s="264">
        <f>IF(ISNA(MATCH(AI$2,Inputs!$K$4:$AJ$4,0)),NA(),IF(SUMPRODUCT((Inputs!$A$5:$A$140=$B70)*ISNUMBER(INDEX(Inputs!$K$5:$AJ$140,0,MATCH(AI$2,Inputs!$K$4:$AJ$4,0))))+SUMPRODUCT((Inputs!$C$5:$C$140=$B70)*ISNUMBER(INDEX(Inputs!$K$5:$AJ$140,0,MATCH(AI$2,Inputs!$K$4:$AJ$4,0))))+SUMPRODUCT((Inputs!$E$5:$E$140=$B70)*ISNUMBER(INDEX(Inputs!$K$5:$AJ$140,0,MATCH(AI$2,Inputs!$K$4:$AJ$4,0))))=0,NA(),SUMPRODUCT((Inputs!$A$5:$A$140=$B70)*Inputs!$B$5:$B$140*(((Inputs!$G$5:$G$140="moeda")+(Inputs!$G$5:$G$140="acoes"))*Inputs!$B$1+((Inputs!$G$5:$G$140&lt;&gt;"moeda")*(Inputs!$G$5:$G$140&lt;&gt;"acoes")))*INDEX(Inputs!$K$5:$AJ$140,0,MATCH(AI$2,Inputs!$K$4:$AJ$4,0)))+SUMPRODUCT((Inputs!$C$5:$C$140=$B70)*Inputs!$D$5:$D$140*(((Inputs!$G$5:$G$140="moeda")+(Inputs!$G$5:$G$140="acoes"))*Inputs!$B$1+((Inputs!$G$5:$G$140&lt;&gt;"moeda")*(Inputs!$G$5:$G$140&lt;&gt;"acoes")))*INDEX(Inputs!$K$5:$AJ$140,0,MATCH(AI$2,Inputs!$K$4:$AJ$4,0)))+SUMPRODUCT((Inputs!$E$5:$E$140=$B70)*Inputs!$F$5:$F$140*(((Inputs!$G$5:$G$140="moeda")+(Inputs!$G$5:$G$140="acoes"))*Inputs!$B$1+((Inputs!$G$5:$G$140&lt;&gt;"moeda")*(Inputs!$G$5:$G$140&lt;&gt;"acoes")))*INDEX(Inputs!$K$5:$AJ$140,0,MATCH(AI$2,Inputs!$K$4:$AJ$4,0)))))</f>
        <v>2563</v>
      </c>
      <c r="AJ70" s="264">
        <f>IF(ISNA(MATCH(AJ$2,Inputs!$K$4:$AJ$4,0)),NA(),IF(SUMPRODUCT((Inputs!$A$5:$A$140=$B70)*ISNUMBER(INDEX(Inputs!$K$5:$AJ$140,0,MATCH(AJ$2,Inputs!$K$4:$AJ$4,0))))+SUMPRODUCT((Inputs!$C$5:$C$140=$B70)*ISNUMBER(INDEX(Inputs!$K$5:$AJ$140,0,MATCH(AJ$2,Inputs!$K$4:$AJ$4,0))))+SUMPRODUCT((Inputs!$E$5:$E$140=$B70)*ISNUMBER(INDEX(Inputs!$K$5:$AJ$140,0,MATCH(AJ$2,Inputs!$K$4:$AJ$4,0))))=0,NA(),SUMPRODUCT((Inputs!$A$5:$A$140=$B70)*Inputs!$B$5:$B$140*(((Inputs!$G$5:$G$140="moeda")+(Inputs!$G$5:$G$140="acoes"))*Inputs!$B$1+((Inputs!$G$5:$G$140&lt;&gt;"moeda")*(Inputs!$G$5:$G$140&lt;&gt;"acoes")))*INDEX(Inputs!$K$5:$AJ$140,0,MATCH(AJ$2,Inputs!$K$4:$AJ$4,0)))+SUMPRODUCT((Inputs!$C$5:$C$140=$B70)*Inputs!$D$5:$D$140*(((Inputs!$G$5:$G$140="moeda")+(Inputs!$G$5:$G$140="acoes"))*Inputs!$B$1+((Inputs!$G$5:$G$140&lt;&gt;"moeda")*(Inputs!$G$5:$G$140&lt;&gt;"acoes")))*INDEX(Inputs!$K$5:$AJ$140,0,MATCH(AJ$2,Inputs!$K$4:$AJ$4,0)))+SUMPRODUCT((Inputs!$E$5:$E$140=$B70)*Inputs!$F$5:$F$140*(((Inputs!$G$5:$G$140="moeda")+(Inputs!$G$5:$G$140="acoes"))*Inputs!$B$1+((Inputs!$G$5:$G$140&lt;&gt;"moeda")*(Inputs!$G$5:$G$140&lt;&gt;"acoes")))*INDEX(Inputs!$K$5:$AJ$140,0,MATCH(AJ$2,Inputs!$K$4:$AJ$4,0)))))</f>
        <v>2466</v>
      </c>
      <c r="AK70" s="264">
        <f>IF(ISNA(MATCH(AK$2,Inputs!$K$4:$AJ$4,0)),NA(),IF(SUMPRODUCT((Inputs!$A$5:$A$140=$B70)*ISNUMBER(INDEX(Inputs!$K$5:$AJ$140,0,MATCH(AK$2,Inputs!$K$4:$AJ$4,0))))+SUMPRODUCT((Inputs!$C$5:$C$140=$B70)*ISNUMBER(INDEX(Inputs!$K$5:$AJ$140,0,MATCH(AK$2,Inputs!$K$4:$AJ$4,0))))+SUMPRODUCT((Inputs!$E$5:$E$140=$B70)*ISNUMBER(INDEX(Inputs!$K$5:$AJ$140,0,MATCH(AK$2,Inputs!$K$4:$AJ$4,0))))=0,NA(),SUMPRODUCT((Inputs!$A$5:$A$140=$B70)*Inputs!$B$5:$B$140*(((Inputs!$G$5:$G$140="moeda")+(Inputs!$G$5:$G$140="acoes"))*Inputs!$B$1+((Inputs!$G$5:$G$140&lt;&gt;"moeda")*(Inputs!$G$5:$G$140&lt;&gt;"acoes")))*INDEX(Inputs!$K$5:$AJ$140,0,MATCH(AK$2,Inputs!$K$4:$AJ$4,0)))+SUMPRODUCT((Inputs!$C$5:$C$140=$B70)*Inputs!$D$5:$D$140*(((Inputs!$G$5:$G$140="moeda")+(Inputs!$G$5:$G$140="acoes"))*Inputs!$B$1+((Inputs!$G$5:$G$140&lt;&gt;"moeda")*(Inputs!$G$5:$G$140&lt;&gt;"acoes")))*INDEX(Inputs!$K$5:$AJ$140,0,MATCH(AK$2,Inputs!$K$4:$AJ$4,0)))+SUMPRODUCT((Inputs!$E$5:$E$140=$B70)*Inputs!$F$5:$F$140*(((Inputs!$G$5:$G$140="moeda")+(Inputs!$G$5:$G$140="acoes"))*Inputs!$B$1+((Inputs!$G$5:$G$140&lt;&gt;"moeda")*(Inputs!$G$5:$G$140&lt;&gt;"acoes")))*INDEX(Inputs!$K$5:$AJ$140,0,MATCH(AK$2,Inputs!$K$4:$AJ$4,0)))))</f>
        <v>3837</v>
      </c>
      <c r="AL70" s="265">
        <f>AK70</f>
        <v>3837</v>
      </c>
    </row>
    <row r="71">
      <c r="B71" s="46" t="n">
        <v>63</v>
      </c>
      <c r="C71" s="29" t="inlineStr">
        <is>
          <t>Banco de terrenos - VGV (R$ milhoes; l.64; fim do periodo)</t>
        </is>
      </c>
      <c r="D71" s="264">
        <f>IF(ISNA(MATCH(D$2,Inputs!$K$4:$AJ$4,0)),NA(),IF(SUMPRODUCT((Inputs!$A$5:$A$140=$B71)*ISNUMBER(INDEX(Inputs!$K$5:$AJ$140,0,MATCH(D$2,Inputs!$K$4:$AJ$4,0))))+SUMPRODUCT((Inputs!$C$5:$C$140=$B71)*ISNUMBER(INDEX(Inputs!$K$5:$AJ$140,0,MATCH(D$2,Inputs!$K$4:$AJ$4,0))))+SUMPRODUCT((Inputs!$E$5:$E$140=$B71)*ISNUMBER(INDEX(Inputs!$K$5:$AJ$140,0,MATCH(D$2,Inputs!$K$4:$AJ$4,0))))=0,NA(),SUMPRODUCT((Inputs!$A$5:$A$140=$B71)*Inputs!$B$5:$B$140*(((Inputs!$G$5:$G$140="moeda")+(Inputs!$G$5:$G$140="acoes"))*Inputs!$B$1+((Inputs!$G$5:$G$140&lt;&gt;"moeda")*(Inputs!$G$5:$G$140&lt;&gt;"acoes")))*INDEX(Inputs!$K$5:$AJ$140,0,MATCH(D$2,Inputs!$K$4:$AJ$4,0)))+SUMPRODUCT((Inputs!$C$5:$C$140=$B71)*Inputs!$D$5:$D$140*(((Inputs!$G$5:$G$140="moeda")+(Inputs!$G$5:$G$140="acoes"))*Inputs!$B$1+((Inputs!$G$5:$G$140&lt;&gt;"moeda")*(Inputs!$G$5:$G$140&lt;&gt;"acoes")))*INDEX(Inputs!$K$5:$AJ$140,0,MATCH(D$2,Inputs!$K$4:$AJ$4,0)))+SUMPRODUCT((Inputs!$E$5:$E$140=$B71)*Inputs!$F$5:$F$140*(((Inputs!$G$5:$G$140="moeda")+(Inputs!$G$5:$G$140="acoes"))*Inputs!$B$1+((Inputs!$G$5:$G$140&lt;&gt;"moeda")*(Inputs!$G$5:$G$140&lt;&gt;"acoes")))*INDEX(Inputs!$K$5:$AJ$140,0,MATCH(D$2,Inputs!$K$4:$AJ$4,0)))))</f>
        <v>9966</v>
      </c>
      <c r="E71" s="264">
        <f>IF(ISNA(MATCH(E$2,Inputs!$K$4:$AJ$4,0)),NA(),IF(SUMPRODUCT((Inputs!$A$5:$A$140=$B71)*ISNUMBER(INDEX(Inputs!$K$5:$AJ$140,0,MATCH(E$2,Inputs!$K$4:$AJ$4,0))))+SUMPRODUCT((Inputs!$C$5:$C$140=$B71)*ISNUMBER(INDEX(Inputs!$K$5:$AJ$140,0,MATCH(E$2,Inputs!$K$4:$AJ$4,0))))+SUMPRODUCT((Inputs!$E$5:$E$140=$B71)*ISNUMBER(INDEX(Inputs!$K$5:$AJ$140,0,MATCH(E$2,Inputs!$K$4:$AJ$4,0))))=0,NA(),SUMPRODUCT((Inputs!$A$5:$A$140=$B71)*Inputs!$B$5:$B$140*(((Inputs!$G$5:$G$140="moeda")+(Inputs!$G$5:$G$140="acoes"))*Inputs!$B$1+((Inputs!$G$5:$G$140&lt;&gt;"moeda")*(Inputs!$G$5:$G$140&lt;&gt;"acoes")))*INDEX(Inputs!$K$5:$AJ$140,0,MATCH(E$2,Inputs!$K$4:$AJ$4,0)))+SUMPRODUCT((Inputs!$C$5:$C$140=$B71)*Inputs!$D$5:$D$140*(((Inputs!$G$5:$G$140="moeda")+(Inputs!$G$5:$G$140="acoes"))*Inputs!$B$1+((Inputs!$G$5:$G$140&lt;&gt;"moeda")*(Inputs!$G$5:$G$140&lt;&gt;"acoes")))*INDEX(Inputs!$K$5:$AJ$140,0,MATCH(E$2,Inputs!$K$4:$AJ$4,0)))+SUMPRODUCT((Inputs!$E$5:$E$140=$B71)*Inputs!$F$5:$F$140*(((Inputs!$G$5:$G$140="moeda")+(Inputs!$G$5:$G$140="acoes"))*Inputs!$B$1+((Inputs!$G$5:$G$140&lt;&gt;"moeda")*(Inputs!$G$5:$G$140&lt;&gt;"acoes")))*INDEX(Inputs!$K$5:$AJ$140,0,MATCH(E$2,Inputs!$K$4:$AJ$4,0)))))</f>
        <v>10430</v>
      </c>
      <c r="F71" s="264">
        <f>IF(ISNA(MATCH(F$2,Inputs!$K$4:$AJ$4,0)),NA(),IF(SUMPRODUCT((Inputs!$A$5:$A$140=$B71)*ISNUMBER(INDEX(Inputs!$K$5:$AJ$140,0,MATCH(F$2,Inputs!$K$4:$AJ$4,0))))+SUMPRODUCT((Inputs!$C$5:$C$140=$B71)*ISNUMBER(INDEX(Inputs!$K$5:$AJ$140,0,MATCH(F$2,Inputs!$K$4:$AJ$4,0))))+SUMPRODUCT((Inputs!$E$5:$E$140=$B71)*ISNUMBER(INDEX(Inputs!$K$5:$AJ$140,0,MATCH(F$2,Inputs!$K$4:$AJ$4,0))))=0,NA(),SUMPRODUCT((Inputs!$A$5:$A$140=$B71)*Inputs!$B$5:$B$140*(((Inputs!$G$5:$G$140="moeda")+(Inputs!$G$5:$G$140="acoes"))*Inputs!$B$1+((Inputs!$G$5:$G$140&lt;&gt;"moeda")*(Inputs!$G$5:$G$140&lt;&gt;"acoes")))*INDEX(Inputs!$K$5:$AJ$140,0,MATCH(F$2,Inputs!$K$4:$AJ$4,0)))+SUMPRODUCT((Inputs!$C$5:$C$140=$B71)*Inputs!$D$5:$D$140*(((Inputs!$G$5:$G$140="moeda")+(Inputs!$G$5:$G$140="acoes"))*Inputs!$B$1+((Inputs!$G$5:$G$140&lt;&gt;"moeda")*(Inputs!$G$5:$G$140&lt;&gt;"acoes")))*INDEX(Inputs!$K$5:$AJ$140,0,MATCH(F$2,Inputs!$K$4:$AJ$4,0)))+SUMPRODUCT((Inputs!$E$5:$E$140=$B71)*Inputs!$F$5:$F$140*(((Inputs!$G$5:$G$140="moeda")+(Inputs!$G$5:$G$140="acoes"))*Inputs!$B$1+((Inputs!$G$5:$G$140&lt;&gt;"moeda")*(Inputs!$G$5:$G$140&lt;&gt;"acoes")))*INDEX(Inputs!$K$5:$AJ$140,0,MATCH(F$2,Inputs!$K$4:$AJ$4,0)))))</f>
        <v>11456.49793456</v>
      </c>
      <c r="G71" s="264">
        <f>IF(ISNA(MATCH(G$2,Inputs!$K$4:$AJ$4,0)),NA(),IF(SUMPRODUCT((Inputs!$A$5:$A$140=$B71)*ISNUMBER(INDEX(Inputs!$K$5:$AJ$140,0,MATCH(G$2,Inputs!$K$4:$AJ$4,0))))+SUMPRODUCT((Inputs!$C$5:$C$140=$B71)*ISNUMBER(INDEX(Inputs!$K$5:$AJ$140,0,MATCH(G$2,Inputs!$K$4:$AJ$4,0))))+SUMPRODUCT((Inputs!$E$5:$E$140=$B71)*ISNUMBER(INDEX(Inputs!$K$5:$AJ$140,0,MATCH(G$2,Inputs!$K$4:$AJ$4,0))))=0,NA(),SUMPRODUCT((Inputs!$A$5:$A$140=$B71)*Inputs!$B$5:$B$140*(((Inputs!$G$5:$G$140="moeda")+(Inputs!$G$5:$G$140="acoes"))*Inputs!$B$1+((Inputs!$G$5:$G$140&lt;&gt;"moeda")*(Inputs!$G$5:$G$140&lt;&gt;"acoes")))*INDEX(Inputs!$K$5:$AJ$140,0,MATCH(G$2,Inputs!$K$4:$AJ$4,0)))+SUMPRODUCT((Inputs!$C$5:$C$140=$B71)*Inputs!$D$5:$D$140*(((Inputs!$G$5:$G$140="moeda")+(Inputs!$G$5:$G$140="acoes"))*Inputs!$B$1+((Inputs!$G$5:$G$140&lt;&gt;"moeda")*(Inputs!$G$5:$G$140&lt;&gt;"acoes")))*INDEX(Inputs!$K$5:$AJ$140,0,MATCH(G$2,Inputs!$K$4:$AJ$4,0)))+SUMPRODUCT((Inputs!$E$5:$E$140=$B71)*Inputs!$F$5:$F$140*(((Inputs!$G$5:$G$140="moeda")+(Inputs!$G$5:$G$140="acoes"))*Inputs!$B$1+((Inputs!$G$5:$G$140&lt;&gt;"moeda")*(Inputs!$G$5:$G$140&lt;&gt;"acoes")))*INDEX(Inputs!$K$5:$AJ$140,0,MATCH(G$2,Inputs!$K$4:$AJ$4,0)))))</f>
        <v>9793.6199983</v>
      </c>
      <c r="H71" s="265">
        <f>G71</f>
        <v>9793.6199983</v>
      </c>
      <c r="I71" s="264">
        <f>IF(ISNA(MATCH(I$2,Inputs!$K$4:$AJ$4,0)),NA(),IF(SUMPRODUCT((Inputs!$A$5:$A$140=$B71)*ISNUMBER(INDEX(Inputs!$K$5:$AJ$140,0,MATCH(I$2,Inputs!$K$4:$AJ$4,0))))+SUMPRODUCT((Inputs!$C$5:$C$140=$B71)*ISNUMBER(INDEX(Inputs!$K$5:$AJ$140,0,MATCH(I$2,Inputs!$K$4:$AJ$4,0))))+SUMPRODUCT((Inputs!$E$5:$E$140=$B71)*ISNUMBER(INDEX(Inputs!$K$5:$AJ$140,0,MATCH(I$2,Inputs!$K$4:$AJ$4,0))))=0,NA(),SUMPRODUCT((Inputs!$A$5:$A$140=$B71)*Inputs!$B$5:$B$140*(((Inputs!$G$5:$G$140="moeda")+(Inputs!$G$5:$G$140="acoes"))*Inputs!$B$1+((Inputs!$G$5:$G$140&lt;&gt;"moeda")*(Inputs!$G$5:$G$140&lt;&gt;"acoes")))*INDEX(Inputs!$K$5:$AJ$140,0,MATCH(I$2,Inputs!$K$4:$AJ$4,0)))+SUMPRODUCT((Inputs!$C$5:$C$140=$B71)*Inputs!$D$5:$D$140*(((Inputs!$G$5:$G$140="moeda")+(Inputs!$G$5:$G$140="acoes"))*Inputs!$B$1+((Inputs!$G$5:$G$140&lt;&gt;"moeda")*(Inputs!$G$5:$G$140&lt;&gt;"acoes")))*INDEX(Inputs!$K$5:$AJ$140,0,MATCH(I$2,Inputs!$K$4:$AJ$4,0)))+SUMPRODUCT((Inputs!$E$5:$E$140=$B71)*Inputs!$F$5:$F$140*(((Inputs!$G$5:$G$140="moeda")+(Inputs!$G$5:$G$140="acoes"))*Inputs!$B$1+((Inputs!$G$5:$G$140&lt;&gt;"moeda")*(Inputs!$G$5:$G$140&lt;&gt;"acoes")))*INDEX(Inputs!$K$5:$AJ$140,0,MATCH(I$2,Inputs!$K$4:$AJ$4,0)))))</f>
        <v>9952.7106042</v>
      </c>
      <c r="J71" s="264">
        <f>IF(ISNA(MATCH(J$2,Inputs!$K$4:$AJ$4,0)),NA(),IF(SUMPRODUCT((Inputs!$A$5:$A$140=$B71)*ISNUMBER(INDEX(Inputs!$K$5:$AJ$140,0,MATCH(J$2,Inputs!$K$4:$AJ$4,0))))+SUMPRODUCT((Inputs!$C$5:$C$140=$B71)*ISNUMBER(INDEX(Inputs!$K$5:$AJ$140,0,MATCH(J$2,Inputs!$K$4:$AJ$4,0))))+SUMPRODUCT((Inputs!$E$5:$E$140=$B71)*ISNUMBER(INDEX(Inputs!$K$5:$AJ$140,0,MATCH(J$2,Inputs!$K$4:$AJ$4,0))))=0,NA(),SUMPRODUCT((Inputs!$A$5:$A$140=$B71)*Inputs!$B$5:$B$140*(((Inputs!$G$5:$G$140="moeda")+(Inputs!$G$5:$G$140="acoes"))*Inputs!$B$1+((Inputs!$G$5:$G$140&lt;&gt;"moeda")*(Inputs!$G$5:$G$140&lt;&gt;"acoes")))*INDEX(Inputs!$K$5:$AJ$140,0,MATCH(J$2,Inputs!$K$4:$AJ$4,0)))+SUMPRODUCT((Inputs!$C$5:$C$140=$B71)*Inputs!$D$5:$D$140*(((Inputs!$G$5:$G$140="moeda")+(Inputs!$G$5:$G$140="acoes"))*Inputs!$B$1+((Inputs!$G$5:$G$140&lt;&gt;"moeda")*(Inputs!$G$5:$G$140&lt;&gt;"acoes")))*INDEX(Inputs!$K$5:$AJ$140,0,MATCH(J$2,Inputs!$K$4:$AJ$4,0)))+SUMPRODUCT((Inputs!$E$5:$E$140=$B71)*Inputs!$F$5:$F$140*(((Inputs!$G$5:$G$140="moeda")+(Inputs!$G$5:$G$140="acoes"))*Inputs!$B$1+((Inputs!$G$5:$G$140&lt;&gt;"moeda")*(Inputs!$G$5:$G$140&lt;&gt;"acoes")))*INDEX(Inputs!$K$5:$AJ$140,0,MATCH(J$2,Inputs!$K$4:$AJ$4,0)))))</f>
        <v>9647.1947034</v>
      </c>
      <c r="K71" s="264">
        <f>IF(ISNA(MATCH(K$2,Inputs!$K$4:$AJ$4,0)),NA(),IF(SUMPRODUCT((Inputs!$A$5:$A$140=$B71)*ISNUMBER(INDEX(Inputs!$K$5:$AJ$140,0,MATCH(K$2,Inputs!$K$4:$AJ$4,0))))+SUMPRODUCT((Inputs!$C$5:$C$140=$B71)*ISNUMBER(INDEX(Inputs!$K$5:$AJ$140,0,MATCH(K$2,Inputs!$K$4:$AJ$4,0))))+SUMPRODUCT((Inputs!$E$5:$E$140=$B71)*ISNUMBER(INDEX(Inputs!$K$5:$AJ$140,0,MATCH(K$2,Inputs!$K$4:$AJ$4,0))))=0,NA(),SUMPRODUCT((Inputs!$A$5:$A$140=$B71)*Inputs!$B$5:$B$140*(((Inputs!$G$5:$G$140="moeda")+(Inputs!$G$5:$G$140="acoes"))*Inputs!$B$1+((Inputs!$G$5:$G$140&lt;&gt;"moeda")*(Inputs!$G$5:$G$140&lt;&gt;"acoes")))*INDEX(Inputs!$K$5:$AJ$140,0,MATCH(K$2,Inputs!$K$4:$AJ$4,0)))+SUMPRODUCT((Inputs!$C$5:$C$140=$B71)*Inputs!$D$5:$D$140*(((Inputs!$G$5:$G$140="moeda")+(Inputs!$G$5:$G$140="acoes"))*Inputs!$B$1+((Inputs!$G$5:$G$140&lt;&gt;"moeda")*(Inputs!$G$5:$G$140&lt;&gt;"acoes")))*INDEX(Inputs!$K$5:$AJ$140,0,MATCH(K$2,Inputs!$K$4:$AJ$4,0)))+SUMPRODUCT((Inputs!$E$5:$E$140=$B71)*Inputs!$F$5:$F$140*(((Inputs!$G$5:$G$140="moeda")+(Inputs!$G$5:$G$140="acoes"))*Inputs!$B$1+((Inputs!$G$5:$G$140&lt;&gt;"moeda")*(Inputs!$G$5:$G$140&lt;&gt;"acoes")))*INDEX(Inputs!$K$5:$AJ$140,0,MATCH(K$2,Inputs!$K$4:$AJ$4,0)))))</f>
        <v>10487.09493404</v>
      </c>
      <c r="L71" s="264">
        <f>IF(ISNA(MATCH(L$2,Inputs!$K$4:$AJ$4,0)),NA(),IF(SUMPRODUCT((Inputs!$A$5:$A$140=$B71)*ISNUMBER(INDEX(Inputs!$K$5:$AJ$140,0,MATCH(L$2,Inputs!$K$4:$AJ$4,0))))+SUMPRODUCT((Inputs!$C$5:$C$140=$B71)*ISNUMBER(INDEX(Inputs!$K$5:$AJ$140,0,MATCH(L$2,Inputs!$K$4:$AJ$4,0))))+SUMPRODUCT((Inputs!$E$5:$E$140=$B71)*ISNUMBER(INDEX(Inputs!$K$5:$AJ$140,0,MATCH(L$2,Inputs!$K$4:$AJ$4,0))))=0,NA(),SUMPRODUCT((Inputs!$A$5:$A$140=$B71)*Inputs!$B$5:$B$140*(((Inputs!$G$5:$G$140="moeda")+(Inputs!$G$5:$G$140="acoes"))*Inputs!$B$1+((Inputs!$G$5:$G$140&lt;&gt;"moeda")*(Inputs!$G$5:$G$140&lt;&gt;"acoes")))*INDEX(Inputs!$K$5:$AJ$140,0,MATCH(L$2,Inputs!$K$4:$AJ$4,0)))+SUMPRODUCT((Inputs!$C$5:$C$140=$B71)*Inputs!$D$5:$D$140*(((Inputs!$G$5:$G$140="moeda")+(Inputs!$G$5:$G$140="acoes"))*Inputs!$B$1+((Inputs!$G$5:$G$140&lt;&gt;"moeda")*(Inputs!$G$5:$G$140&lt;&gt;"acoes")))*INDEX(Inputs!$K$5:$AJ$140,0,MATCH(L$2,Inputs!$K$4:$AJ$4,0)))+SUMPRODUCT((Inputs!$E$5:$E$140=$B71)*Inputs!$F$5:$F$140*(((Inputs!$G$5:$G$140="moeda")+(Inputs!$G$5:$G$140="acoes"))*Inputs!$B$1+((Inputs!$G$5:$G$140&lt;&gt;"moeda")*(Inputs!$G$5:$G$140&lt;&gt;"acoes")))*INDEX(Inputs!$K$5:$AJ$140,0,MATCH(L$2,Inputs!$K$4:$AJ$4,0)))))</f>
        <v>10138.416628</v>
      </c>
      <c r="M71" s="265">
        <f>L71</f>
        <v>10138.416628</v>
      </c>
      <c r="N71" s="264">
        <f>IF(ISNA(MATCH(N$2,Inputs!$K$4:$AJ$4,0)),NA(),IF(SUMPRODUCT((Inputs!$A$5:$A$140=$B71)*ISNUMBER(INDEX(Inputs!$K$5:$AJ$140,0,MATCH(N$2,Inputs!$K$4:$AJ$4,0))))+SUMPRODUCT((Inputs!$C$5:$C$140=$B71)*ISNUMBER(INDEX(Inputs!$K$5:$AJ$140,0,MATCH(N$2,Inputs!$K$4:$AJ$4,0))))+SUMPRODUCT((Inputs!$E$5:$E$140=$B71)*ISNUMBER(INDEX(Inputs!$K$5:$AJ$140,0,MATCH(N$2,Inputs!$K$4:$AJ$4,0))))=0,NA(),SUMPRODUCT((Inputs!$A$5:$A$140=$B71)*Inputs!$B$5:$B$140*(((Inputs!$G$5:$G$140="moeda")+(Inputs!$G$5:$G$140="acoes"))*Inputs!$B$1+((Inputs!$G$5:$G$140&lt;&gt;"moeda")*(Inputs!$G$5:$G$140&lt;&gt;"acoes")))*INDEX(Inputs!$K$5:$AJ$140,0,MATCH(N$2,Inputs!$K$4:$AJ$4,0)))+SUMPRODUCT((Inputs!$C$5:$C$140=$B71)*Inputs!$D$5:$D$140*(((Inputs!$G$5:$G$140="moeda")+(Inputs!$G$5:$G$140="acoes"))*Inputs!$B$1+((Inputs!$G$5:$G$140&lt;&gt;"moeda")*(Inputs!$G$5:$G$140&lt;&gt;"acoes")))*INDEX(Inputs!$K$5:$AJ$140,0,MATCH(N$2,Inputs!$K$4:$AJ$4,0)))+SUMPRODUCT((Inputs!$E$5:$E$140=$B71)*Inputs!$F$5:$F$140*(((Inputs!$G$5:$G$140="moeda")+(Inputs!$G$5:$G$140="acoes"))*Inputs!$B$1+((Inputs!$G$5:$G$140&lt;&gt;"moeda")*(Inputs!$G$5:$G$140&lt;&gt;"acoes")))*INDEX(Inputs!$K$5:$AJ$140,0,MATCH(N$2,Inputs!$K$4:$AJ$4,0)))))</f>
        <v>9905.53126553</v>
      </c>
      <c r="O71" s="264">
        <f>IF(ISNA(MATCH(O$2,Inputs!$K$4:$AJ$4,0)),NA(),IF(SUMPRODUCT((Inputs!$A$5:$A$140=$B71)*ISNUMBER(INDEX(Inputs!$K$5:$AJ$140,0,MATCH(O$2,Inputs!$K$4:$AJ$4,0))))+SUMPRODUCT((Inputs!$C$5:$C$140=$B71)*ISNUMBER(INDEX(Inputs!$K$5:$AJ$140,0,MATCH(O$2,Inputs!$K$4:$AJ$4,0))))+SUMPRODUCT((Inputs!$E$5:$E$140=$B71)*ISNUMBER(INDEX(Inputs!$K$5:$AJ$140,0,MATCH(O$2,Inputs!$K$4:$AJ$4,0))))=0,NA(),SUMPRODUCT((Inputs!$A$5:$A$140=$B71)*Inputs!$B$5:$B$140*(((Inputs!$G$5:$G$140="moeda")+(Inputs!$G$5:$G$140="acoes"))*Inputs!$B$1+((Inputs!$G$5:$G$140&lt;&gt;"moeda")*(Inputs!$G$5:$G$140&lt;&gt;"acoes")))*INDEX(Inputs!$K$5:$AJ$140,0,MATCH(O$2,Inputs!$K$4:$AJ$4,0)))+SUMPRODUCT((Inputs!$C$5:$C$140=$B71)*Inputs!$D$5:$D$140*(((Inputs!$G$5:$G$140="moeda")+(Inputs!$G$5:$G$140="acoes"))*Inputs!$B$1+((Inputs!$G$5:$G$140&lt;&gt;"moeda")*(Inputs!$G$5:$G$140&lt;&gt;"acoes")))*INDEX(Inputs!$K$5:$AJ$140,0,MATCH(O$2,Inputs!$K$4:$AJ$4,0)))+SUMPRODUCT((Inputs!$E$5:$E$140=$B71)*Inputs!$F$5:$F$140*(((Inputs!$G$5:$G$140="moeda")+(Inputs!$G$5:$G$140="acoes"))*Inputs!$B$1+((Inputs!$G$5:$G$140&lt;&gt;"moeda")*(Inputs!$G$5:$G$140&lt;&gt;"acoes")))*INDEX(Inputs!$K$5:$AJ$140,0,MATCH(O$2,Inputs!$K$4:$AJ$4,0)))))</f>
        <v>10182.55484953</v>
      </c>
      <c r="P71" s="264">
        <f>IF(ISNA(MATCH(P$2,Inputs!$K$4:$AJ$4,0)),NA(),IF(SUMPRODUCT((Inputs!$A$5:$A$140=$B71)*ISNUMBER(INDEX(Inputs!$K$5:$AJ$140,0,MATCH(P$2,Inputs!$K$4:$AJ$4,0))))+SUMPRODUCT((Inputs!$C$5:$C$140=$B71)*ISNUMBER(INDEX(Inputs!$K$5:$AJ$140,0,MATCH(P$2,Inputs!$K$4:$AJ$4,0))))+SUMPRODUCT((Inputs!$E$5:$E$140=$B71)*ISNUMBER(INDEX(Inputs!$K$5:$AJ$140,0,MATCH(P$2,Inputs!$K$4:$AJ$4,0))))=0,NA(),SUMPRODUCT((Inputs!$A$5:$A$140=$B71)*Inputs!$B$5:$B$140*(((Inputs!$G$5:$G$140="moeda")+(Inputs!$G$5:$G$140="acoes"))*Inputs!$B$1+((Inputs!$G$5:$G$140&lt;&gt;"moeda")*(Inputs!$G$5:$G$140&lt;&gt;"acoes")))*INDEX(Inputs!$K$5:$AJ$140,0,MATCH(P$2,Inputs!$K$4:$AJ$4,0)))+SUMPRODUCT((Inputs!$C$5:$C$140=$B71)*Inputs!$D$5:$D$140*(((Inputs!$G$5:$G$140="moeda")+(Inputs!$G$5:$G$140="acoes"))*Inputs!$B$1+((Inputs!$G$5:$G$140&lt;&gt;"moeda")*(Inputs!$G$5:$G$140&lt;&gt;"acoes")))*INDEX(Inputs!$K$5:$AJ$140,0,MATCH(P$2,Inputs!$K$4:$AJ$4,0)))+SUMPRODUCT((Inputs!$E$5:$E$140=$B71)*Inputs!$F$5:$F$140*(((Inputs!$G$5:$G$140="moeda")+(Inputs!$G$5:$G$140="acoes"))*Inputs!$B$1+((Inputs!$G$5:$G$140&lt;&gt;"moeda")*(Inputs!$G$5:$G$140&lt;&gt;"acoes")))*INDEX(Inputs!$K$5:$AJ$140,0,MATCH(P$2,Inputs!$K$4:$AJ$4,0)))))</f>
        <v>11848.093692</v>
      </c>
      <c r="Q71" s="264">
        <f>IF(ISNA(MATCH(Q$2,Inputs!$K$4:$AJ$4,0)),NA(),IF(SUMPRODUCT((Inputs!$A$5:$A$140=$B71)*ISNUMBER(INDEX(Inputs!$K$5:$AJ$140,0,MATCH(Q$2,Inputs!$K$4:$AJ$4,0))))+SUMPRODUCT((Inputs!$C$5:$C$140=$B71)*ISNUMBER(INDEX(Inputs!$K$5:$AJ$140,0,MATCH(Q$2,Inputs!$K$4:$AJ$4,0))))+SUMPRODUCT((Inputs!$E$5:$E$140=$B71)*ISNUMBER(INDEX(Inputs!$K$5:$AJ$140,0,MATCH(Q$2,Inputs!$K$4:$AJ$4,0))))=0,NA(),SUMPRODUCT((Inputs!$A$5:$A$140=$B71)*Inputs!$B$5:$B$140*(((Inputs!$G$5:$G$140="moeda")+(Inputs!$G$5:$G$140="acoes"))*Inputs!$B$1+((Inputs!$G$5:$G$140&lt;&gt;"moeda")*(Inputs!$G$5:$G$140&lt;&gt;"acoes")))*INDEX(Inputs!$K$5:$AJ$140,0,MATCH(Q$2,Inputs!$K$4:$AJ$4,0)))+SUMPRODUCT((Inputs!$C$5:$C$140=$B71)*Inputs!$D$5:$D$140*(((Inputs!$G$5:$G$140="moeda")+(Inputs!$G$5:$G$140="acoes"))*Inputs!$B$1+((Inputs!$G$5:$G$140&lt;&gt;"moeda")*(Inputs!$G$5:$G$140&lt;&gt;"acoes")))*INDEX(Inputs!$K$5:$AJ$140,0,MATCH(Q$2,Inputs!$K$4:$AJ$4,0)))+SUMPRODUCT((Inputs!$E$5:$E$140=$B71)*Inputs!$F$5:$F$140*(((Inputs!$G$5:$G$140="moeda")+(Inputs!$G$5:$G$140="acoes"))*Inputs!$B$1+((Inputs!$G$5:$G$140&lt;&gt;"moeda")*(Inputs!$G$5:$G$140&lt;&gt;"acoes")))*INDEX(Inputs!$K$5:$AJ$140,0,MATCH(Q$2,Inputs!$K$4:$AJ$4,0)))))</f>
        <v>14508.048284</v>
      </c>
      <c r="R71" s="265">
        <f>Q71</f>
        <v>14508.048284</v>
      </c>
      <c r="S71" s="264">
        <f>IF(ISNA(MATCH(S$2,Inputs!$K$4:$AJ$4,0)),NA(),IF(SUMPRODUCT((Inputs!$A$5:$A$140=$B71)*ISNUMBER(INDEX(Inputs!$K$5:$AJ$140,0,MATCH(S$2,Inputs!$K$4:$AJ$4,0))))+SUMPRODUCT((Inputs!$C$5:$C$140=$B71)*ISNUMBER(INDEX(Inputs!$K$5:$AJ$140,0,MATCH(S$2,Inputs!$K$4:$AJ$4,0))))+SUMPRODUCT((Inputs!$E$5:$E$140=$B71)*ISNUMBER(INDEX(Inputs!$K$5:$AJ$140,0,MATCH(S$2,Inputs!$K$4:$AJ$4,0))))=0,NA(),SUMPRODUCT((Inputs!$A$5:$A$140=$B71)*Inputs!$B$5:$B$140*(((Inputs!$G$5:$G$140="moeda")+(Inputs!$G$5:$G$140="acoes"))*Inputs!$B$1+((Inputs!$G$5:$G$140&lt;&gt;"moeda")*(Inputs!$G$5:$G$140&lt;&gt;"acoes")))*INDEX(Inputs!$K$5:$AJ$140,0,MATCH(S$2,Inputs!$K$4:$AJ$4,0)))+SUMPRODUCT((Inputs!$C$5:$C$140=$B71)*Inputs!$D$5:$D$140*(((Inputs!$G$5:$G$140="moeda")+(Inputs!$G$5:$G$140="acoes"))*Inputs!$B$1+((Inputs!$G$5:$G$140&lt;&gt;"moeda")*(Inputs!$G$5:$G$140&lt;&gt;"acoes")))*INDEX(Inputs!$K$5:$AJ$140,0,MATCH(S$2,Inputs!$K$4:$AJ$4,0)))+SUMPRODUCT((Inputs!$E$5:$E$140=$B71)*Inputs!$F$5:$F$140*(((Inputs!$G$5:$G$140="moeda")+(Inputs!$G$5:$G$140="acoes"))*Inputs!$B$1+((Inputs!$G$5:$G$140&lt;&gt;"moeda")*(Inputs!$G$5:$G$140&lt;&gt;"acoes")))*INDEX(Inputs!$K$5:$AJ$140,0,MATCH(S$2,Inputs!$K$4:$AJ$4,0)))))</f>
        <v>15637.376806</v>
      </c>
      <c r="T71" s="264">
        <f>IF(ISNA(MATCH(T$2,Inputs!$K$4:$AJ$4,0)),NA(),IF(SUMPRODUCT((Inputs!$A$5:$A$140=$B71)*ISNUMBER(INDEX(Inputs!$K$5:$AJ$140,0,MATCH(T$2,Inputs!$K$4:$AJ$4,0))))+SUMPRODUCT((Inputs!$C$5:$C$140=$B71)*ISNUMBER(INDEX(Inputs!$K$5:$AJ$140,0,MATCH(T$2,Inputs!$K$4:$AJ$4,0))))+SUMPRODUCT((Inputs!$E$5:$E$140=$B71)*ISNUMBER(INDEX(Inputs!$K$5:$AJ$140,0,MATCH(T$2,Inputs!$K$4:$AJ$4,0))))=0,NA(),SUMPRODUCT((Inputs!$A$5:$A$140=$B71)*Inputs!$B$5:$B$140*(((Inputs!$G$5:$G$140="moeda")+(Inputs!$G$5:$G$140="acoes"))*Inputs!$B$1+((Inputs!$G$5:$G$140&lt;&gt;"moeda")*(Inputs!$G$5:$G$140&lt;&gt;"acoes")))*INDEX(Inputs!$K$5:$AJ$140,0,MATCH(T$2,Inputs!$K$4:$AJ$4,0)))+SUMPRODUCT((Inputs!$C$5:$C$140=$B71)*Inputs!$D$5:$D$140*(((Inputs!$G$5:$G$140="moeda")+(Inputs!$G$5:$G$140="acoes"))*Inputs!$B$1+((Inputs!$G$5:$G$140&lt;&gt;"moeda")*(Inputs!$G$5:$G$140&lt;&gt;"acoes")))*INDEX(Inputs!$K$5:$AJ$140,0,MATCH(T$2,Inputs!$K$4:$AJ$4,0)))+SUMPRODUCT((Inputs!$E$5:$E$140=$B71)*Inputs!$F$5:$F$140*(((Inputs!$G$5:$G$140="moeda")+(Inputs!$G$5:$G$140="acoes"))*Inputs!$B$1+((Inputs!$G$5:$G$140&lt;&gt;"moeda")*(Inputs!$G$5:$G$140&lt;&gt;"acoes")))*INDEX(Inputs!$K$5:$AJ$140,0,MATCH(T$2,Inputs!$K$4:$AJ$4,0)))))</f>
        <v>17585.580512</v>
      </c>
      <c r="U71" s="264">
        <f>IF(ISNA(MATCH(U$2,Inputs!$K$4:$AJ$4,0)),NA(),IF(SUMPRODUCT((Inputs!$A$5:$A$140=$B71)*ISNUMBER(INDEX(Inputs!$K$5:$AJ$140,0,MATCH(U$2,Inputs!$K$4:$AJ$4,0))))+SUMPRODUCT((Inputs!$C$5:$C$140=$B71)*ISNUMBER(INDEX(Inputs!$K$5:$AJ$140,0,MATCH(U$2,Inputs!$K$4:$AJ$4,0))))+SUMPRODUCT((Inputs!$E$5:$E$140=$B71)*ISNUMBER(INDEX(Inputs!$K$5:$AJ$140,0,MATCH(U$2,Inputs!$K$4:$AJ$4,0))))=0,NA(),SUMPRODUCT((Inputs!$A$5:$A$140=$B71)*Inputs!$B$5:$B$140*(((Inputs!$G$5:$G$140="moeda")+(Inputs!$G$5:$G$140="acoes"))*Inputs!$B$1+((Inputs!$G$5:$G$140&lt;&gt;"moeda")*(Inputs!$G$5:$G$140&lt;&gt;"acoes")))*INDEX(Inputs!$K$5:$AJ$140,0,MATCH(U$2,Inputs!$K$4:$AJ$4,0)))+SUMPRODUCT((Inputs!$C$5:$C$140=$B71)*Inputs!$D$5:$D$140*(((Inputs!$G$5:$G$140="moeda")+(Inputs!$G$5:$G$140="acoes"))*Inputs!$B$1+((Inputs!$G$5:$G$140&lt;&gt;"moeda")*(Inputs!$G$5:$G$140&lt;&gt;"acoes")))*INDEX(Inputs!$K$5:$AJ$140,0,MATCH(U$2,Inputs!$K$4:$AJ$4,0)))+SUMPRODUCT((Inputs!$E$5:$E$140=$B71)*Inputs!$F$5:$F$140*(((Inputs!$G$5:$G$140="moeda")+(Inputs!$G$5:$G$140="acoes"))*Inputs!$B$1+((Inputs!$G$5:$G$140&lt;&gt;"moeda")*(Inputs!$G$5:$G$140&lt;&gt;"acoes")))*INDEX(Inputs!$K$5:$AJ$140,0,MATCH(U$2,Inputs!$K$4:$AJ$4,0)))))</f>
        <v>19517.275012</v>
      </c>
      <c r="V71" s="264">
        <f>IF(ISNA(MATCH(V$2,Inputs!$K$4:$AJ$4,0)),NA(),IF(SUMPRODUCT((Inputs!$A$5:$A$140=$B71)*ISNUMBER(INDEX(Inputs!$K$5:$AJ$140,0,MATCH(V$2,Inputs!$K$4:$AJ$4,0))))+SUMPRODUCT((Inputs!$C$5:$C$140=$B71)*ISNUMBER(INDEX(Inputs!$K$5:$AJ$140,0,MATCH(V$2,Inputs!$K$4:$AJ$4,0))))+SUMPRODUCT((Inputs!$E$5:$E$140=$B71)*ISNUMBER(INDEX(Inputs!$K$5:$AJ$140,0,MATCH(V$2,Inputs!$K$4:$AJ$4,0))))=0,NA(),SUMPRODUCT((Inputs!$A$5:$A$140=$B71)*Inputs!$B$5:$B$140*(((Inputs!$G$5:$G$140="moeda")+(Inputs!$G$5:$G$140="acoes"))*Inputs!$B$1+((Inputs!$G$5:$G$140&lt;&gt;"moeda")*(Inputs!$G$5:$G$140&lt;&gt;"acoes")))*INDEX(Inputs!$K$5:$AJ$140,0,MATCH(V$2,Inputs!$K$4:$AJ$4,0)))+SUMPRODUCT((Inputs!$C$5:$C$140=$B71)*Inputs!$D$5:$D$140*(((Inputs!$G$5:$G$140="moeda")+(Inputs!$G$5:$G$140="acoes"))*Inputs!$B$1+((Inputs!$G$5:$G$140&lt;&gt;"moeda")*(Inputs!$G$5:$G$140&lt;&gt;"acoes")))*INDEX(Inputs!$K$5:$AJ$140,0,MATCH(V$2,Inputs!$K$4:$AJ$4,0)))+SUMPRODUCT((Inputs!$E$5:$E$140=$B71)*Inputs!$F$5:$F$140*(((Inputs!$G$5:$G$140="moeda")+(Inputs!$G$5:$G$140="acoes"))*Inputs!$B$1+((Inputs!$G$5:$G$140&lt;&gt;"moeda")*(Inputs!$G$5:$G$140&lt;&gt;"acoes")))*INDEX(Inputs!$K$5:$AJ$140,0,MATCH(V$2,Inputs!$K$4:$AJ$4,0)))))</f>
        <v>20122.4</v>
      </c>
      <c r="W71" s="265">
        <f>V71</f>
        <v>20122.4</v>
      </c>
      <c r="X71" s="264">
        <f>IF(ISNA(MATCH(X$2,Inputs!$K$4:$AJ$4,0)),NA(),IF(SUMPRODUCT((Inputs!$A$5:$A$140=$B71)*ISNUMBER(INDEX(Inputs!$K$5:$AJ$140,0,MATCH(X$2,Inputs!$K$4:$AJ$4,0))))+SUMPRODUCT((Inputs!$C$5:$C$140=$B71)*ISNUMBER(INDEX(Inputs!$K$5:$AJ$140,0,MATCH(X$2,Inputs!$K$4:$AJ$4,0))))+SUMPRODUCT((Inputs!$E$5:$E$140=$B71)*ISNUMBER(INDEX(Inputs!$K$5:$AJ$140,0,MATCH(X$2,Inputs!$K$4:$AJ$4,0))))=0,NA(),SUMPRODUCT((Inputs!$A$5:$A$140=$B71)*Inputs!$B$5:$B$140*(((Inputs!$G$5:$G$140="moeda")+(Inputs!$G$5:$G$140="acoes"))*Inputs!$B$1+((Inputs!$G$5:$G$140&lt;&gt;"moeda")*(Inputs!$G$5:$G$140&lt;&gt;"acoes")))*INDEX(Inputs!$K$5:$AJ$140,0,MATCH(X$2,Inputs!$K$4:$AJ$4,0)))+SUMPRODUCT((Inputs!$C$5:$C$140=$B71)*Inputs!$D$5:$D$140*(((Inputs!$G$5:$G$140="moeda")+(Inputs!$G$5:$G$140="acoes"))*Inputs!$B$1+((Inputs!$G$5:$G$140&lt;&gt;"moeda")*(Inputs!$G$5:$G$140&lt;&gt;"acoes")))*INDEX(Inputs!$K$5:$AJ$140,0,MATCH(X$2,Inputs!$K$4:$AJ$4,0)))+SUMPRODUCT((Inputs!$E$5:$E$140=$B71)*Inputs!$F$5:$F$140*(((Inputs!$G$5:$G$140="moeda")+(Inputs!$G$5:$G$140="acoes"))*Inputs!$B$1+((Inputs!$G$5:$G$140&lt;&gt;"moeda")*(Inputs!$G$5:$G$140&lt;&gt;"acoes")))*INDEX(Inputs!$K$5:$AJ$140,0,MATCH(X$2,Inputs!$K$4:$AJ$4,0)))))</f>
        <v>19805.343512</v>
      </c>
      <c r="Y71" s="264">
        <f>IF(ISNA(MATCH(Y$2,Inputs!$K$4:$AJ$4,0)),NA(),IF(SUMPRODUCT((Inputs!$A$5:$A$140=$B71)*ISNUMBER(INDEX(Inputs!$K$5:$AJ$140,0,MATCH(Y$2,Inputs!$K$4:$AJ$4,0))))+SUMPRODUCT((Inputs!$C$5:$C$140=$B71)*ISNUMBER(INDEX(Inputs!$K$5:$AJ$140,0,MATCH(Y$2,Inputs!$K$4:$AJ$4,0))))+SUMPRODUCT((Inputs!$E$5:$E$140=$B71)*ISNUMBER(INDEX(Inputs!$K$5:$AJ$140,0,MATCH(Y$2,Inputs!$K$4:$AJ$4,0))))=0,NA(),SUMPRODUCT((Inputs!$A$5:$A$140=$B71)*Inputs!$B$5:$B$140*(((Inputs!$G$5:$G$140="moeda")+(Inputs!$G$5:$G$140="acoes"))*Inputs!$B$1+((Inputs!$G$5:$G$140&lt;&gt;"moeda")*(Inputs!$G$5:$G$140&lt;&gt;"acoes")))*INDEX(Inputs!$K$5:$AJ$140,0,MATCH(Y$2,Inputs!$K$4:$AJ$4,0)))+SUMPRODUCT((Inputs!$C$5:$C$140=$B71)*Inputs!$D$5:$D$140*(((Inputs!$G$5:$G$140="moeda")+(Inputs!$G$5:$G$140="acoes"))*Inputs!$B$1+((Inputs!$G$5:$G$140&lt;&gt;"moeda")*(Inputs!$G$5:$G$140&lt;&gt;"acoes")))*INDEX(Inputs!$K$5:$AJ$140,0,MATCH(Y$2,Inputs!$K$4:$AJ$4,0)))+SUMPRODUCT((Inputs!$E$5:$E$140=$B71)*Inputs!$F$5:$F$140*(((Inputs!$G$5:$G$140="moeda")+(Inputs!$G$5:$G$140="acoes"))*Inputs!$B$1+((Inputs!$G$5:$G$140&lt;&gt;"moeda")*(Inputs!$G$5:$G$140&lt;&gt;"acoes")))*INDEX(Inputs!$K$5:$AJ$140,0,MATCH(Y$2,Inputs!$K$4:$AJ$4,0)))))</f>
        <v>21114.3781</v>
      </c>
      <c r="Z71" s="264">
        <f>IF(ISNA(MATCH(Z$2,Inputs!$K$4:$AJ$4,0)),NA(),IF(SUMPRODUCT((Inputs!$A$5:$A$140=$B71)*ISNUMBER(INDEX(Inputs!$K$5:$AJ$140,0,MATCH(Z$2,Inputs!$K$4:$AJ$4,0))))+SUMPRODUCT((Inputs!$C$5:$C$140=$B71)*ISNUMBER(INDEX(Inputs!$K$5:$AJ$140,0,MATCH(Z$2,Inputs!$K$4:$AJ$4,0))))+SUMPRODUCT((Inputs!$E$5:$E$140=$B71)*ISNUMBER(INDEX(Inputs!$K$5:$AJ$140,0,MATCH(Z$2,Inputs!$K$4:$AJ$4,0))))=0,NA(),SUMPRODUCT((Inputs!$A$5:$A$140=$B71)*Inputs!$B$5:$B$140*(((Inputs!$G$5:$G$140="moeda")+(Inputs!$G$5:$G$140="acoes"))*Inputs!$B$1+((Inputs!$G$5:$G$140&lt;&gt;"moeda")*(Inputs!$G$5:$G$140&lt;&gt;"acoes")))*INDEX(Inputs!$K$5:$AJ$140,0,MATCH(Z$2,Inputs!$K$4:$AJ$4,0)))+SUMPRODUCT((Inputs!$C$5:$C$140=$B71)*Inputs!$D$5:$D$140*(((Inputs!$G$5:$G$140="moeda")+(Inputs!$G$5:$G$140="acoes"))*Inputs!$B$1+((Inputs!$G$5:$G$140&lt;&gt;"moeda")*(Inputs!$G$5:$G$140&lt;&gt;"acoes")))*INDEX(Inputs!$K$5:$AJ$140,0,MATCH(Z$2,Inputs!$K$4:$AJ$4,0)))+SUMPRODUCT((Inputs!$E$5:$E$140=$B71)*Inputs!$F$5:$F$140*(((Inputs!$G$5:$G$140="moeda")+(Inputs!$G$5:$G$140="acoes"))*Inputs!$B$1+((Inputs!$G$5:$G$140&lt;&gt;"moeda")*(Inputs!$G$5:$G$140&lt;&gt;"acoes")))*INDEX(Inputs!$K$5:$AJ$140,0,MATCH(Z$2,Inputs!$K$4:$AJ$4,0)))))</f>
        <v>23343.742622</v>
      </c>
      <c r="AA71" s="264">
        <f>IF(ISNA(MATCH(AA$2,Inputs!$K$4:$AJ$4,0)),NA(),IF(SUMPRODUCT((Inputs!$A$5:$A$140=$B71)*ISNUMBER(INDEX(Inputs!$K$5:$AJ$140,0,MATCH(AA$2,Inputs!$K$4:$AJ$4,0))))+SUMPRODUCT((Inputs!$C$5:$C$140=$B71)*ISNUMBER(INDEX(Inputs!$K$5:$AJ$140,0,MATCH(AA$2,Inputs!$K$4:$AJ$4,0))))+SUMPRODUCT((Inputs!$E$5:$E$140=$B71)*ISNUMBER(INDEX(Inputs!$K$5:$AJ$140,0,MATCH(AA$2,Inputs!$K$4:$AJ$4,0))))=0,NA(),SUMPRODUCT((Inputs!$A$5:$A$140=$B71)*Inputs!$B$5:$B$140*(((Inputs!$G$5:$G$140="moeda")+(Inputs!$G$5:$G$140="acoes"))*Inputs!$B$1+((Inputs!$G$5:$G$140&lt;&gt;"moeda")*(Inputs!$G$5:$G$140&lt;&gt;"acoes")))*INDEX(Inputs!$K$5:$AJ$140,0,MATCH(AA$2,Inputs!$K$4:$AJ$4,0)))+SUMPRODUCT((Inputs!$C$5:$C$140=$B71)*Inputs!$D$5:$D$140*(((Inputs!$G$5:$G$140="moeda")+(Inputs!$G$5:$G$140="acoes"))*Inputs!$B$1+((Inputs!$G$5:$G$140&lt;&gt;"moeda")*(Inputs!$G$5:$G$140&lt;&gt;"acoes")))*INDEX(Inputs!$K$5:$AJ$140,0,MATCH(AA$2,Inputs!$K$4:$AJ$4,0)))+SUMPRODUCT((Inputs!$E$5:$E$140=$B71)*Inputs!$F$5:$F$140*(((Inputs!$G$5:$G$140="moeda")+(Inputs!$G$5:$G$140="acoes"))*Inputs!$B$1+((Inputs!$G$5:$G$140&lt;&gt;"moeda")*(Inputs!$G$5:$G$140&lt;&gt;"acoes")))*INDEX(Inputs!$K$5:$AJ$140,0,MATCH(AA$2,Inputs!$K$4:$AJ$4,0)))))</f>
        <v>24641.296078</v>
      </c>
      <c r="AB71" s="265">
        <f>AA71</f>
        <v>24641.296078</v>
      </c>
      <c r="AC71" s="264">
        <f>IF(ISNA(MATCH(AC$2,Inputs!$K$4:$AJ$4,0)),NA(),IF(SUMPRODUCT((Inputs!$A$5:$A$140=$B71)*ISNUMBER(INDEX(Inputs!$K$5:$AJ$140,0,MATCH(AC$2,Inputs!$K$4:$AJ$4,0))))+SUMPRODUCT((Inputs!$C$5:$C$140=$B71)*ISNUMBER(INDEX(Inputs!$K$5:$AJ$140,0,MATCH(AC$2,Inputs!$K$4:$AJ$4,0))))+SUMPRODUCT((Inputs!$E$5:$E$140=$B71)*ISNUMBER(INDEX(Inputs!$K$5:$AJ$140,0,MATCH(AC$2,Inputs!$K$4:$AJ$4,0))))=0,NA(),SUMPRODUCT((Inputs!$A$5:$A$140=$B71)*Inputs!$B$5:$B$140*(((Inputs!$G$5:$G$140="moeda")+(Inputs!$G$5:$G$140="acoes"))*Inputs!$B$1+((Inputs!$G$5:$G$140&lt;&gt;"moeda")*(Inputs!$G$5:$G$140&lt;&gt;"acoes")))*INDEX(Inputs!$K$5:$AJ$140,0,MATCH(AC$2,Inputs!$K$4:$AJ$4,0)))+SUMPRODUCT((Inputs!$C$5:$C$140=$B71)*Inputs!$D$5:$D$140*(((Inputs!$G$5:$G$140="moeda")+(Inputs!$G$5:$G$140="acoes"))*Inputs!$B$1+((Inputs!$G$5:$G$140&lt;&gt;"moeda")*(Inputs!$G$5:$G$140&lt;&gt;"acoes")))*INDEX(Inputs!$K$5:$AJ$140,0,MATCH(AC$2,Inputs!$K$4:$AJ$4,0)))+SUMPRODUCT((Inputs!$E$5:$E$140=$B71)*Inputs!$F$5:$F$140*(((Inputs!$G$5:$G$140="moeda")+(Inputs!$G$5:$G$140="acoes"))*Inputs!$B$1+((Inputs!$G$5:$G$140&lt;&gt;"moeda")*(Inputs!$G$5:$G$140&lt;&gt;"acoes")))*INDEX(Inputs!$K$5:$AJ$140,0,MATCH(AC$2,Inputs!$K$4:$AJ$4,0)))))</f>
        <v>24924.6126995</v>
      </c>
      <c r="AD71" s="264">
        <f>IF(ISNA(MATCH(AD$2,Inputs!$K$4:$AJ$4,0)),NA(),IF(SUMPRODUCT((Inputs!$A$5:$A$140=$B71)*ISNUMBER(INDEX(Inputs!$K$5:$AJ$140,0,MATCH(AD$2,Inputs!$K$4:$AJ$4,0))))+SUMPRODUCT((Inputs!$C$5:$C$140=$B71)*ISNUMBER(INDEX(Inputs!$K$5:$AJ$140,0,MATCH(AD$2,Inputs!$K$4:$AJ$4,0))))+SUMPRODUCT((Inputs!$E$5:$E$140=$B71)*ISNUMBER(INDEX(Inputs!$K$5:$AJ$140,0,MATCH(AD$2,Inputs!$K$4:$AJ$4,0))))=0,NA(),SUMPRODUCT((Inputs!$A$5:$A$140=$B71)*Inputs!$B$5:$B$140*(((Inputs!$G$5:$G$140="moeda")+(Inputs!$G$5:$G$140="acoes"))*Inputs!$B$1+((Inputs!$G$5:$G$140&lt;&gt;"moeda")*(Inputs!$G$5:$G$140&lt;&gt;"acoes")))*INDEX(Inputs!$K$5:$AJ$140,0,MATCH(AD$2,Inputs!$K$4:$AJ$4,0)))+SUMPRODUCT((Inputs!$C$5:$C$140=$B71)*Inputs!$D$5:$D$140*(((Inputs!$G$5:$G$140="moeda")+(Inputs!$G$5:$G$140="acoes"))*Inputs!$B$1+((Inputs!$G$5:$G$140&lt;&gt;"moeda")*(Inputs!$G$5:$G$140&lt;&gt;"acoes")))*INDEX(Inputs!$K$5:$AJ$140,0,MATCH(AD$2,Inputs!$K$4:$AJ$4,0)))+SUMPRODUCT((Inputs!$E$5:$E$140=$B71)*Inputs!$F$5:$F$140*(((Inputs!$G$5:$G$140="moeda")+(Inputs!$G$5:$G$140="acoes"))*Inputs!$B$1+((Inputs!$G$5:$G$140&lt;&gt;"moeda")*(Inputs!$G$5:$G$140&lt;&gt;"acoes")))*INDEX(Inputs!$K$5:$AJ$140,0,MATCH(AD$2,Inputs!$K$4:$AJ$4,0)))))</f>
        <v>26092.7836228</v>
      </c>
      <c r="AE71" s="264" t="e">
        <f>IF(ISNA(MATCH(AE$2,Inputs!$K$4:$AJ$4,0)),NA(),IF(SUMPRODUCT((Inputs!$A$5:$A$140=$B71)*ISNUMBER(INDEX(Inputs!$K$5:$AJ$140,0,MATCH(AE$2,Inputs!$K$4:$AJ$4,0))))+SUMPRODUCT((Inputs!$C$5:$C$140=$B71)*ISNUMBER(INDEX(Inputs!$K$5:$AJ$140,0,MATCH(AE$2,Inputs!$K$4:$AJ$4,0))))+SUMPRODUCT((Inputs!$E$5:$E$140=$B71)*ISNUMBER(INDEX(Inputs!$K$5:$AJ$140,0,MATCH(AE$2,Inputs!$K$4:$AJ$4,0))))=0,NA(),SUMPRODUCT((Inputs!$A$5:$A$140=$B71)*Inputs!$B$5:$B$140*(((Inputs!$G$5:$G$140="moeda")+(Inputs!$G$5:$G$140="acoes"))*Inputs!$B$1+((Inputs!$G$5:$G$140&lt;&gt;"moeda")*(Inputs!$G$5:$G$140&lt;&gt;"acoes")))*INDEX(Inputs!$K$5:$AJ$140,0,MATCH(AE$2,Inputs!$K$4:$AJ$4,0)))+SUMPRODUCT((Inputs!$C$5:$C$140=$B71)*Inputs!$D$5:$D$140*(((Inputs!$G$5:$G$140="moeda")+(Inputs!$G$5:$G$140="acoes"))*Inputs!$B$1+((Inputs!$G$5:$G$140&lt;&gt;"moeda")*(Inputs!$G$5:$G$140&lt;&gt;"acoes")))*INDEX(Inputs!$K$5:$AJ$140,0,MATCH(AE$2,Inputs!$K$4:$AJ$4,0)))+SUMPRODUCT((Inputs!$E$5:$E$140=$B71)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71" s="264" t="e">
        <f>IF(ISNA(MATCH(AF$2,Inputs!$K$4:$AJ$4,0)),NA(),IF(SUMPRODUCT((Inputs!$A$5:$A$140=$B71)*ISNUMBER(INDEX(Inputs!$K$5:$AJ$140,0,MATCH(AF$2,Inputs!$K$4:$AJ$4,0))))+SUMPRODUCT((Inputs!$C$5:$C$140=$B71)*ISNUMBER(INDEX(Inputs!$K$5:$AJ$140,0,MATCH(AF$2,Inputs!$K$4:$AJ$4,0))))+SUMPRODUCT((Inputs!$E$5:$E$140=$B71)*ISNUMBER(INDEX(Inputs!$K$5:$AJ$140,0,MATCH(AF$2,Inputs!$K$4:$AJ$4,0))))=0,NA(),SUMPRODUCT((Inputs!$A$5:$A$140=$B71)*Inputs!$B$5:$B$140*(((Inputs!$G$5:$G$140="moeda")+(Inputs!$G$5:$G$140="acoes"))*Inputs!$B$1+((Inputs!$G$5:$G$140&lt;&gt;"moeda")*(Inputs!$G$5:$G$140&lt;&gt;"acoes")))*INDEX(Inputs!$K$5:$AJ$140,0,MATCH(AF$2,Inputs!$K$4:$AJ$4,0)))+SUMPRODUCT((Inputs!$C$5:$C$140=$B71)*Inputs!$D$5:$D$140*(((Inputs!$G$5:$G$140="moeda")+(Inputs!$G$5:$G$140="acoes"))*Inputs!$B$1+((Inputs!$G$5:$G$140&lt;&gt;"moeda")*(Inputs!$G$5:$G$140&lt;&gt;"acoes")))*INDEX(Inputs!$K$5:$AJ$140,0,MATCH(AF$2,Inputs!$K$4:$AJ$4,0)))+SUMPRODUCT((Inputs!$E$5:$E$140=$B71)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71" s="265" t="e">
        <f>AF71</f>
        <v>#N/A</v>
      </c>
      <c r="AH71" s="264">
        <f>IF(ISNA(MATCH(AH$2,Inputs!$K$4:$AJ$4,0)),NA(),IF(SUMPRODUCT((Inputs!$A$5:$A$140=$B71)*ISNUMBER(INDEX(Inputs!$K$5:$AJ$140,0,MATCH(AH$2,Inputs!$K$4:$AJ$4,0))))+SUMPRODUCT((Inputs!$C$5:$C$140=$B71)*ISNUMBER(INDEX(Inputs!$K$5:$AJ$140,0,MATCH(AH$2,Inputs!$K$4:$AJ$4,0))))+SUMPRODUCT((Inputs!$E$5:$E$140=$B71)*ISNUMBER(INDEX(Inputs!$K$5:$AJ$140,0,MATCH(AH$2,Inputs!$K$4:$AJ$4,0))))=0,NA(),SUMPRODUCT((Inputs!$A$5:$A$140=$B71)*Inputs!$B$5:$B$140*(((Inputs!$G$5:$G$140="moeda")+(Inputs!$G$5:$G$140="acoes"))*Inputs!$B$1+((Inputs!$G$5:$G$140&lt;&gt;"moeda")*(Inputs!$G$5:$G$140&lt;&gt;"acoes")))*INDEX(Inputs!$K$5:$AJ$140,0,MATCH(AH$2,Inputs!$K$4:$AJ$4,0)))+SUMPRODUCT((Inputs!$C$5:$C$140=$B71)*Inputs!$D$5:$D$140*(((Inputs!$G$5:$G$140="moeda")+(Inputs!$G$5:$G$140="acoes"))*Inputs!$B$1+((Inputs!$G$5:$G$140&lt;&gt;"moeda")*(Inputs!$G$5:$G$140&lt;&gt;"acoes")))*INDEX(Inputs!$K$5:$AJ$140,0,MATCH(AH$2,Inputs!$K$4:$AJ$4,0)))+SUMPRODUCT((Inputs!$E$5:$E$140=$B71)*Inputs!$F$5:$F$140*(((Inputs!$G$5:$G$140="moeda")+(Inputs!$G$5:$G$140="acoes"))*Inputs!$B$1+((Inputs!$G$5:$G$140&lt;&gt;"moeda")*(Inputs!$G$5:$G$140&lt;&gt;"acoes")))*INDEX(Inputs!$K$5:$AJ$140,0,MATCH(AH$2,Inputs!$K$4:$AJ$4,0)))))</f>
        <v>7469</v>
      </c>
      <c r="AI71" s="264">
        <f>IF(ISNA(MATCH(AI$2,Inputs!$K$4:$AJ$4,0)),NA(),IF(SUMPRODUCT((Inputs!$A$5:$A$140=$B71)*ISNUMBER(INDEX(Inputs!$K$5:$AJ$140,0,MATCH(AI$2,Inputs!$K$4:$AJ$4,0))))+SUMPRODUCT((Inputs!$C$5:$C$140=$B71)*ISNUMBER(INDEX(Inputs!$K$5:$AJ$140,0,MATCH(AI$2,Inputs!$K$4:$AJ$4,0))))+SUMPRODUCT((Inputs!$E$5:$E$140=$B71)*ISNUMBER(INDEX(Inputs!$K$5:$AJ$140,0,MATCH(AI$2,Inputs!$K$4:$AJ$4,0))))=0,NA(),SUMPRODUCT((Inputs!$A$5:$A$140=$B71)*Inputs!$B$5:$B$140*(((Inputs!$G$5:$G$140="moeda")+(Inputs!$G$5:$G$140="acoes"))*Inputs!$B$1+((Inputs!$G$5:$G$140&lt;&gt;"moeda")*(Inputs!$G$5:$G$140&lt;&gt;"acoes")))*INDEX(Inputs!$K$5:$AJ$140,0,MATCH(AI$2,Inputs!$K$4:$AJ$4,0)))+SUMPRODUCT((Inputs!$C$5:$C$140=$B71)*Inputs!$D$5:$D$140*(((Inputs!$G$5:$G$140="moeda")+(Inputs!$G$5:$G$140="acoes"))*Inputs!$B$1+((Inputs!$G$5:$G$140&lt;&gt;"moeda")*(Inputs!$G$5:$G$140&lt;&gt;"acoes")))*INDEX(Inputs!$K$5:$AJ$140,0,MATCH(AI$2,Inputs!$K$4:$AJ$4,0)))+SUMPRODUCT((Inputs!$E$5:$E$140=$B71)*Inputs!$F$5:$F$140*(((Inputs!$G$5:$G$140="moeda")+(Inputs!$G$5:$G$140="acoes"))*Inputs!$B$1+((Inputs!$G$5:$G$140&lt;&gt;"moeda")*(Inputs!$G$5:$G$140&lt;&gt;"acoes")))*INDEX(Inputs!$K$5:$AJ$140,0,MATCH(AI$2,Inputs!$K$4:$AJ$4,0)))))</f>
        <v>7945</v>
      </c>
      <c r="AJ71" s="264">
        <f>IF(ISNA(MATCH(AJ$2,Inputs!$K$4:$AJ$4,0)),NA(),IF(SUMPRODUCT((Inputs!$A$5:$A$140=$B71)*ISNUMBER(INDEX(Inputs!$K$5:$AJ$140,0,MATCH(AJ$2,Inputs!$K$4:$AJ$4,0))))+SUMPRODUCT((Inputs!$C$5:$C$140=$B71)*ISNUMBER(INDEX(Inputs!$K$5:$AJ$140,0,MATCH(AJ$2,Inputs!$K$4:$AJ$4,0))))+SUMPRODUCT((Inputs!$E$5:$E$140=$B71)*ISNUMBER(INDEX(Inputs!$K$5:$AJ$140,0,MATCH(AJ$2,Inputs!$K$4:$AJ$4,0))))=0,NA(),SUMPRODUCT((Inputs!$A$5:$A$140=$B71)*Inputs!$B$5:$B$140*(((Inputs!$G$5:$G$140="moeda")+(Inputs!$G$5:$G$140="acoes"))*Inputs!$B$1+((Inputs!$G$5:$G$140&lt;&gt;"moeda")*(Inputs!$G$5:$G$140&lt;&gt;"acoes")))*INDEX(Inputs!$K$5:$AJ$140,0,MATCH(AJ$2,Inputs!$K$4:$AJ$4,0)))+SUMPRODUCT((Inputs!$C$5:$C$140=$B71)*Inputs!$D$5:$D$140*(((Inputs!$G$5:$G$140="moeda")+(Inputs!$G$5:$G$140="acoes"))*Inputs!$B$1+((Inputs!$G$5:$G$140&lt;&gt;"moeda")*(Inputs!$G$5:$G$140&lt;&gt;"acoes")))*INDEX(Inputs!$K$5:$AJ$140,0,MATCH(AJ$2,Inputs!$K$4:$AJ$4,0)))+SUMPRODUCT((Inputs!$E$5:$E$140=$B71)*Inputs!$F$5:$F$140*(((Inputs!$G$5:$G$140="moeda")+(Inputs!$G$5:$G$140="acoes"))*Inputs!$B$1+((Inputs!$G$5:$G$140&lt;&gt;"moeda")*(Inputs!$G$5:$G$140&lt;&gt;"acoes")))*INDEX(Inputs!$K$5:$AJ$140,0,MATCH(AJ$2,Inputs!$K$4:$AJ$4,0)))))</f>
        <v>8828</v>
      </c>
      <c r="AK71" s="264">
        <f>IF(ISNA(MATCH(AK$2,Inputs!$K$4:$AJ$4,0)),NA(),IF(SUMPRODUCT((Inputs!$A$5:$A$140=$B71)*ISNUMBER(INDEX(Inputs!$K$5:$AJ$140,0,MATCH(AK$2,Inputs!$K$4:$AJ$4,0))))+SUMPRODUCT((Inputs!$C$5:$C$140=$B71)*ISNUMBER(INDEX(Inputs!$K$5:$AJ$140,0,MATCH(AK$2,Inputs!$K$4:$AJ$4,0))))+SUMPRODUCT((Inputs!$E$5:$E$140=$B71)*ISNUMBER(INDEX(Inputs!$K$5:$AJ$140,0,MATCH(AK$2,Inputs!$K$4:$AJ$4,0))))=0,NA(),SUMPRODUCT((Inputs!$A$5:$A$140=$B71)*Inputs!$B$5:$B$140*(((Inputs!$G$5:$G$140="moeda")+(Inputs!$G$5:$G$140="acoes"))*Inputs!$B$1+((Inputs!$G$5:$G$140&lt;&gt;"moeda")*(Inputs!$G$5:$G$140&lt;&gt;"acoes")))*INDEX(Inputs!$K$5:$AJ$140,0,MATCH(AK$2,Inputs!$K$4:$AJ$4,0)))+SUMPRODUCT((Inputs!$C$5:$C$140=$B71)*Inputs!$D$5:$D$140*(((Inputs!$G$5:$G$140="moeda")+(Inputs!$G$5:$G$140="acoes"))*Inputs!$B$1+((Inputs!$G$5:$G$140&lt;&gt;"moeda")*(Inputs!$G$5:$G$140&lt;&gt;"acoes")))*INDEX(Inputs!$K$5:$AJ$140,0,MATCH(AK$2,Inputs!$K$4:$AJ$4,0)))+SUMPRODUCT((Inputs!$E$5:$E$140=$B71)*Inputs!$F$5:$F$140*(((Inputs!$G$5:$G$140="moeda")+(Inputs!$G$5:$G$140="acoes"))*Inputs!$B$1+((Inputs!$G$5:$G$140&lt;&gt;"moeda")*(Inputs!$G$5:$G$140&lt;&gt;"acoes")))*INDEX(Inputs!$K$5:$AJ$140,0,MATCH(AK$2,Inputs!$K$4:$AJ$4,0)))))</f>
        <v>10531.63929016</v>
      </c>
      <c r="AL71" s="265">
        <f>AK71</f>
        <v>10531.63929016</v>
      </c>
    </row>
    <row r="72">
      <c r="B72" s="46" t="n">
        <v>64</v>
      </c>
      <c r="C72" s="29" t="inlineStr">
        <is>
          <t>Receitas de vendas a apropriar - REF (R$ mil; DRE l.40; fim do periodo)</t>
        </is>
      </c>
      <c r="D72" s="262">
        <f>IF(ISNA(MATCH(D$2,Inputs!$K$4:$AJ$4,0)),NA(),IF(SUMPRODUCT((Inputs!$A$5:$A$140=$B72)*ISNUMBER(INDEX(Inputs!$K$5:$AJ$140,0,MATCH(D$2,Inputs!$K$4:$AJ$4,0))))+SUMPRODUCT((Inputs!$C$5:$C$140=$B72)*ISNUMBER(INDEX(Inputs!$K$5:$AJ$140,0,MATCH(D$2,Inputs!$K$4:$AJ$4,0))))+SUMPRODUCT((Inputs!$E$5:$E$140=$B72)*ISNUMBER(INDEX(Inputs!$K$5:$AJ$140,0,MATCH(D$2,Inputs!$K$4:$AJ$4,0))))=0,NA(),SUMPRODUCT((Inputs!$A$5:$A$140=$B72)*Inputs!$B$5:$B$140*(((Inputs!$G$5:$G$140="moeda")+(Inputs!$G$5:$G$140="acoes"))*Inputs!$B$1+((Inputs!$G$5:$G$140&lt;&gt;"moeda")*(Inputs!$G$5:$G$140&lt;&gt;"acoes")))*INDEX(Inputs!$K$5:$AJ$140,0,MATCH(D$2,Inputs!$K$4:$AJ$4,0)))+SUMPRODUCT((Inputs!$C$5:$C$140=$B72)*Inputs!$D$5:$D$140*(((Inputs!$G$5:$G$140="moeda")+(Inputs!$G$5:$G$140="acoes"))*Inputs!$B$1+((Inputs!$G$5:$G$140&lt;&gt;"moeda")*(Inputs!$G$5:$G$140&lt;&gt;"acoes")))*INDEX(Inputs!$K$5:$AJ$140,0,MATCH(D$2,Inputs!$K$4:$AJ$4,0)))+SUMPRODUCT((Inputs!$E$5:$E$140=$B72)*Inputs!$F$5:$F$140*(((Inputs!$G$5:$G$140="moeda")+(Inputs!$G$5:$G$140="acoes"))*Inputs!$B$1+((Inputs!$G$5:$G$140&lt;&gt;"moeda")*(Inputs!$G$5:$G$140&lt;&gt;"acoes")))*INDEX(Inputs!$K$5:$AJ$140,0,MATCH(D$2,Inputs!$K$4:$AJ$4,0)))))</f>
        <v>972.631165941712</v>
      </c>
      <c r="E72" s="262">
        <f>IF(ISNA(MATCH(E$2,Inputs!$K$4:$AJ$4,0)),NA(),IF(SUMPRODUCT((Inputs!$A$5:$A$140=$B72)*ISNUMBER(INDEX(Inputs!$K$5:$AJ$140,0,MATCH(E$2,Inputs!$K$4:$AJ$4,0))))+SUMPRODUCT((Inputs!$C$5:$C$140=$B72)*ISNUMBER(INDEX(Inputs!$K$5:$AJ$140,0,MATCH(E$2,Inputs!$K$4:$AJ$4,0))))+SUMPRODUCT((Inputs!$E$5:$E$140=$B72)*ISNUMBER(INDEX(Inputs!$K$5:$AJ$140,0,MATCH(E$2,Inputs!$K$4:$AJ$4,0))))=0,NA(),SUMPRODUCT((Inputs!$A$5:$A$140=$B72)*Inputs!$B$5:$B$140*(((Inputs!$G$5:$G$140="moeda")+(Inputs!$G$5:$G$140="acoes"))*Inputs!$B$1+((Inputs!$G$5:$G$140&lt;&gt;"moeda")*(Inputs!$G$5:$G$140&lt;&gt;"acoes")))*INDEX(Inputs!$K$5:$AJ$140,0,MATCH(E$2,Inputs!$K$4:$AJ$4,0)))+SUMPRODUCT((Inputs!$C$5:$C$140=$B72)*Inputs!$D$5:$D$140*(((Inputs!$G$5:$G$140="moeda")+(Inputs!$G$5:$G$140="acoes"))*Inputs!$B$1+((Inputs!$G$5:$G$140&lt;&gt;"moeda")*(Inputs!$G$5:$G$140&lt;&gt;"acoes")))*INDEX(Inputs!$K$5:$AJ$140,0,MATCH(E$2,Inputs!$K$4:$AJ$4,0)))+SUMPRODUCT((Inputs!$E$5:$E$140=$B72)*Inputs!$F$5:$F$140*(((Inputs!$G$5:$G$140="moeda")+(Inputs!$G$5:$G$140="acoes"))*Inputs!$B$1+((Inputs!$G$5:$G$140&lt;&gt;"moeda")*(Inputs!$G$5:$G$140&lt;&gt;"acoes")))*INDEX(Inputs!$K$5:$AJ$140,0,MATCH(E$2,Inputs!$K$4:$AJ$4,0)))))</f>
        <v>1172.291</v>
      </c>
      <c r="F72" s="262">
        <f>IF(ISNA(MATCH(F$2,Inputs!$K$4:$AJ$4,0)),NA(),IF(SUMPRODUCT((Inputs!$A$5:$A$140=$B72)*ISNUMBER(INDEX(Inputs!$K$5:$AJ$140,0,MATCH(F$2,Inputs!$K$4:$AJ$4,0))))+SUMPRODUCT((Inputs!$C$5:$C$140=$B72)*ISNUMBER(INDEX(Inputs!$K$5:$AJ$140,0,MATCH(F$2,Inputs!$K$4:$AJ$4,0))))+SUMPRODUCT((Inputs!$E$5:$E$140=$B72)*ISNUMBER(INDEX(Inputs!$K$5:$AJ$140,0,MATCH(F$2,Inputs!$K$4:$AJ$4,0))))=0,NA(),SUMPRODUCT((Inputs!$A$5:$A$140=$B72)*Inputs!$B$5:$B$140*(((Inputs!$G$5:$G$140="moeda")+(Inputs!$G$5:$G$140="acoes"))*Inputs!$B$1+((Inputs!$G$5:$G$140&lt;&gt;"moeda")*(Inputs!$G$5:$G$140&lt;&gt;"acoes")))*INDEX(Inputs!$K$5:$AJ$140,0,MATCH(F$2,Inputs!$K$4:$AJ$4,0)))+SUMPRODUCT((Inputs!$C$5:$C$140=$B72)*Inputs!$D$5:$D$140*(((Inputs!$G$5:$G$140="moeda")+(Inputs!$G$5:$G$140="acoes"))*Inputs!$B$1+((Inputs!$G$5:$G$140&lt;&gt;"moeda")*(Inputs!$G$5:$G$140&lt;&gt;"acoes")))*INDEX(Inputs!$K$5:$AJ$140,0,MATCH(F$2,Inputs!$K$4:$AJ$4,0)))+SUMPRODUCT((Inputs!$E$5:$E$140=$B72)*Inputs!$F$5:$F$140*(((Inputs!$G$5:$G$140="moeda")+(Inputs!$G$5:$G$140="acoes"))*Inputs!$B$1+((Inputs!$G$5:$G$140&lt;&gt;"moeda")*(Inputs!$G$5:$G$140&lt;&gt;"acoes")))*INDEX(Inputs!$K$5:$AJ$140,0,MATCH(F$2,Inputs!$K$4:$AJ$4,0)))))</f>
        <v>1427.093</v>
      </c>
      <c r="G72" s="262">
        <f>IF(ISNA(MATCH(G$2,Inputs!$K$4:$AJ$4,0)),NA(),IF(SUMPRODUCT((Inputs!$A$5:$A$140=$B72)*ISNUMBER(INDEX(Inputs!$K$5:$AJ$140,0,MATCH(G$2,Inputs!$K$4:$AJ$4,0))))+SUMPRODUCT((Inputs!$C$5:$C$140=$B72)*ISNUMBER(INDEX(Inputs!$K$5:$AJ$140,0,MATCH(G$2,Inputs!$K$4:$AJ$4,0))))+SUMPRODUCT((Inputs!$E$5:$E$140=$B72)*ISNUMBER(INDEX(Inputs!$K$5:$AJ$140,0,MATCH(G$2,Inputs!$K$4:$AJ$4,0))))=0,NA(),SUMPRODUCT((Inputs!$A$5:$A$140=$B72)*Inputs!$B$5:$B$140*(((Inputs!$G$5:$G$140="moeda")+(Inputs!$G$5:$G$140="acoes"))*Inputs!$B$1+((Inputs!$G$5:$G$140&lt;&gt;"moeda")*(Inputs!$G$5:$G$140&lt;&gt;"acoes")))*INDEX(Inputs!$K$5:$AJ$140,0,MATCH(G$2,Inputs!$K$4:$AJ$4,0)))+SUMPRODUCT((Inputs!$C$5:$C$140=$B72)*Inputs!$D$5:$D$140*(((Inputs!$G$5:$G$140="moeda")+(Inputs!$G$5:$G$140="acoes"))*Inputs!$B$1+((Inputs!$G$5:$G$140&lt;&gt;"moeda")*(Inputs!$G$5:$G$140&lt;&gt;"acoes")))*INDEX(Inputs!$K$5:$AJ$140,0,MATCH(G$2,Inputs!$K$4:$AJ$4,0)))+SUMPRODUCT((Inputs!$E$5:$E$140=$B72)*Inputs!$F$5:$F$140*(((Inputs!$G$5:$G$140="moeda")+(Inputs!$G$5:$G$140="acoes"))*Inputs!$B$1+((Inputs!$G$5:$G$140&lt;&gt;"moeda")*(Inputs!$G$5:$G$140&lt;&gt;"acoes")))*INDEX(Inputs!$K$5:$AJ$140,0,MATCH(G$2,Inputs!$K$4:$AJ$4,0)))))</f>
        <v>1560.016</v>
      </c>
      <c r="H72" s="263">
        <f>G72</f>
        <v>1560.016</v>
      </c>
      <c r="I72" s="262">
        <f>IF(ISNA(MATCH(I$2,Inputs!$K$4:$AJ$4,0)),NA(),IF(SUMPRODUCT((Inputs!$A$5:$A$140=$B72)*ISNUMBER(INDEX(Inputs!$K$5:$AJ$140,0,MATCH(I$2,Inputs!$K$4:$AJ$4,0))))+SUMPRODUCT((Inputs!$C$5:$C$140=$B72)*ISNUMBER(INDEX(Inputs!$K$5:$AJ$140,0,MATCH(I$2,Inputs!$K$4:$AJ$4,0))))+SUMPRODUCT((Inputs!$E$5:$E$140=$B72)*ISNUMBER(INDEX(Inputs!$K$5:$AJ$140,0,MATCH(I$2,Inputs!$K$4:$AJ$4,0))))=0,NA(),SUMPRODUCT((Inputs!$A$5:$A$140=$B72)*Inputs!$B$5:$B$140*(((Inputs!$G$5:$G$140="moeda")+(Inputs!$G$5:$G$140="acoes"))*Inputs!$B$1+((Inputs!$G$5:$G$140&lt;&gt;"moeda")*(Inputs!$G$5:$G$140&lt;&gt;"acoes")))*INDEX(Inputs!$K$5:$AJ$140,0,MATCH(I$2,Inputs!$K$4:$AJ$4,0)))+SUMPRODUCT((Inputs!$C$5:$C$140=$B72)*Inputs!$D$5:$D$140*(((Inputs!$G$5:$G$140="moeda")+(Inputs!$G$5:$G$140="acoes"))*Inputs!$B$1+((Inputs!$G$5:$G$140&lt;&gt;"moeda")*(Inputs!$G$5:$G$140&lt;&gt;"acoes")))*INDEX(Inputs!$K$5:$AJ$140,0,MATCH(I$2,Inputs!$K$4:$AJ$4,0)))+SUMPRODUCT((Inputs!$E$5:$E$140=$B72)*Inputs!$F$5:$F$140*(((Inputs!$G$5:$G$140="moeda")+(Inputs!$G$5:$G$140="acoes"))*Inputs!$B$1+((Inputs!$G$5:$G$140&lt;&gt;"moeda")*(Inputs!$G$5:$G$140&lt;&gt;"acoes")))*INDEX(Inputs!$K$5:$AJ$140,0,MATCH(I$2,Inputs!$K$4:$AJ$4,0)))))</f>
        <v>1826.371</v>
      </c>
      <c r="J72" s="262">
        <f>IF(ISNA(MATCH(J$2,Inputs!$K$4:$AJ$4,0)),NA(),IF(SUMPRODUCT((Inputs!$A$5:$A$140=$B72)*ISNUMBER(INDEX(Inputs!$K$5:$AJ$140,0,MATCH(J$2,Inputs!$K$4:$AJ$4,0))))+SUMPRODUCT((Inputs!$C$5:$C$140=$B72)*ISNUMBER(INDEX(Inputs!$K$5:$AJ$140,0,MATCH(J$2,Inputs!$K$4:$AJ$4,0))))+SUMPRODUCT((Inputs!$E$5:$E$140=$B72)*ISNUMBER(INDEX(Inputs!$K$5:$AJ$140,0,MATCH(J$2,Inputs!$K$4:$AJ$4,0))))=0,NA(),SUMPRODUCT((Inputs!$A$5:$A$140=$B72)*Inputs!$B$5:$B$140*(((Inputs!$G$5:$G$140="moeda")+(Inputs!$G$5:$G$140="acoes"))*Inputs!$B$1+((Inputs!$G$5:$G$140&lt;&gt;"moeda")*(Inputs!$G$5:$G$140&lt;&gt;"acoes")))*INDEX(Inputs!$K$5:$AJ$140,0,MATCH(J$2,Inputs!$K$4:$AJ$4,0)))+SUMPRODUCT((Inputs!$C$5:$C$140=$B72)*Inputs!$D$5:$D$140*(((Inputs!$G$5:$G$140="moeda")+(Inputs!$G$5:$G$140="acoes"))*Inputs!$B$1+((Inputs!$G$5:$G$140&lt;&gt;"moeda")*(Inputs!$G$5:$G$140&lt;&gt;"acoes")))*INDEX(Inputs!$K$5:$AJ$140,0,MATCH(J$2,Inputs!$K$4:$AJ$4,0)))+SUMPRODUCT((Inputs!$E$5:$E$140=$B72)*Inputs!$F$5:$F$140*(((Inputs!$G$5:$G$140="moeda")+(Inputs!$G$5:$G$140="acoes"))*Inputs!$B$1+((Inputs!$G$5:$G$140&lt;&gt;"moeda")*(Inputs!$G$5:$G$140&lt;&gt;"acoes")))*INDEX(Inputs!$K$5:$AJ$140,0,MATCH(J$2,Inputs!$K$4:$AJ$4,0)))))</f>
        <v>2064.638</v>
      </c>
      <c r="K72" s="262">
        <f>IF(ISNA(MATCH(K$2,Inputs!$K$4:$AJ$4,0)),NA(),IF(SUMPRODUCT((Inputs!$A$5:$A$140=$B72)*ISNUMBER(INDEX(Inputs!$K$5:$AJ$140,0,MATCH(K$2,Inputs!$K$4:$AJ$4,0))))+SUMPRODUCT((Inputs!$C$5:$C$140=$B72)*ISNUMBER(INDEX(Inputs!$K$5:$AJ$140,0,MATCH(K$2,Inputs!$K$4:$AJ$4,0))))+SUMPRODUCT((Inputs!$E$5:$E$140=$B72)*ISNUMBER(INDEX(Inputs!$K$5:$AJ$140,0,MATCH(K$2,Inputs!$K$4:$AJ$4,0))))=0,NA(),SUMPRODUCT((Inputs!$A$5:$A$140=$B72)*Inputs!$B$5:$B$140*(((Inputs!$G$5:$G$140="moeda")+(Inputs!$G$5:$G$140="acoes"))*Inputs!$B$1+((Inputs!$G$5:$G$140&lt;&gt;"moeda")*(Inputs!$G$5:$G$140&lt;&gt;"acoes")))*INDEX(Inputs!$K$5:$AJ$140,0,MATCH(K$2,Inputs!$K$4:$AJ$4,0)))+SUMPRODUCT((Inputs!$C$5:$C$140=$B72)*Inputs!$D$5:$D$140*(((Inputs!$G$5:$G$140="moeda")+(Inputs!$G$5:$G$140="acoes"))*Inputs!$B$1+((Inputs!$G$5:$G$140&lt;&gt;"moeda")*(Inputs!$G$5:$G$140&lt;&gt;"acoes")))*INDEX(Inputs!$K$5:$AJ$140,0,MATCH(K$2,Inputs!$K$4:$AJ$4,0)))+SUMPRODUCT((Inputs!$E$5:$E$140=$B72)*Inputs!$F$5:$F$140*(((Inputs!$G$5:$G$140="moeda")+(Inputs!$G$5:$G$140="acoes"))*Inputs!$B$1+((Inputs!$G$5:$G$140&lt;&gt;"moeda")*(Inputs!$G$5:$G$140&lt;&gt;"acoes")))*INDEX(Inputs!$K$5:$AJ$140,0,MATCH(K$2,Inputs!$K$4:$AJ$4,0)))))</f>
        <v>2322.205</v>
      </c>
      <c r="L72" s="262">
        <f>IF(ISNA(MATCH(L$2,Inputs!$K$4:$AJ$4,0)),NA(),IF(SUMPRODUCT((Inputs!$A$5:$A$140=$B72)*ISNUMBER(INDEX(Inputs!$K$5:$AJ$140,0,MATCH(L$2,Inputs!$K$4:$AJ$4,0))))+SUMPRODUCT((Inputs!$C$5:$C$140=$B72)*ISNUMBER(INDEX(Inputs!$K$5:$AJ$140,0,MATCH(L$2,Inputs!$K$4:$AJ$4,0))))+SUMPRODUCT((Inputs!$E$5:$E$140=$B72)*ISNUMBER(INDEX(Inputs!$K$5:$AJ$140,0,MATCH(L$2,Inputs!$K$4:$AJ$4,0))))=0,NA(),SUMPRODUCT((Inputs!$A$5:$A$140=$B72)*Inputs!$B$5:$B$140*(((Inputs!$G$5:$G$140="moeda")+(Inputs!$G$5:$G$140="acoes"))*Inputs!$B$1+((Inputs!$G$5:$G$140&lt;&gt;"moeda")*(Inputs!$G$5:$G$140&lt;&gt;"acoes")))*INDEX(Inputs!$K$5:$AJ$140,0,MATCH(L$2,Inputs!$K$4:$AJ$4,0)))+SUMPRODUCT((Inputs!$C$5:$C$140=$B72)*Inputs!$D$5:$D$140*(((Inputs!$G$5:$G$140="moeda")+(Inputs!$G$5:$G$140="acoes"))*Inputs!$B$1+((Inputs!$G$5:$G$140&lt;&gt;"moeda")*(Inputs!$G$5:$G$140&lt;&gt;"acoes")))*INDEX(Inputs!$K$5:$AJ$140,0,MATCH(L$2,Inputs!$K$4:$AJ$4,0)))+SUMPRODUCT((Inputs!$E$5:$E$140=$B72)*Inputs!$F$5:$F$140*(((Inputs!$G$5:$G$140="moeda")+(Inputs!$G$5:$G$140="acoes"))*Inputs!$B$1+((Inputs!$G$5:$G$140&lt;&gt;"moeda")*(Inputs!$G$5:$G$140&lt;&gt;"acoes")))*INDEX(Inputs!$K$5:$AJ$140,0,MATCH(L$2,Inputs!$K$4:$AJ$4,0)))))</f>
        <v>2454.399</v>
      </c>
      <c r="M72" s="263">
        <f>L72</f>
        <v>2454.399</v>
      </c>
      <c r="N72" s="262">
        <f>IF(ISNA(MATCH(N$2,Inputs!$K$4:$AJ$4,0)),NA(),IF(SUMPRODUCT((Inputs!$A$5:$A$140=$B72)*ISNUMBER(INDEX(Inputs!$K$5:$AJ$140,0,MATCH(N$2,Inputs!$K$4:$AJ$4,0))))+SUMPRODUCT((Inputs!$C$5:$C$140=$B72)*ISNUMBER(INDEX(Inputs!$K$5:$AJ$140,0,MATCH(N$2,Inputs!$K$4:$AJ$4,0))))+SUMPRODUCT((Inputs!$E$5:$E$140=$B72)*ISNUMBER(INDEX(Inputs!$K$5:$AJ$140,0,MATCH(N$2,Inputs!$K$4:$AJ$4,0))))=0,NA(),SUMPRODUCT((Inputs!$A$5:$A$140=$B72)*Inputs!$B$5:$B$140*(((Inputs!$G$5:$G$140="moeda")+(Inputs!$G$5:$G$140="acoes"))*Inputs!$B$1+((Inputs!$G$5:$G$140&lt;&gt;"moeda")*(Inputs!$G$5:$G$140&lt;&gt;"acoes")))*INDEX(Inputs!$K$5:$AJ$140,0,MATCH(N$2,Inputs!$K$4:$AJ$4,0)))+SUMPRODUCT((Inputs!$C$5:$C$140=$B72)*Inputs!$D$5:$D$140*(((Inputs!$G$5:$G$140="moeda")+(Inputs!$G$5:$G$140="acoes"))*Inputs!$B$1+((Inputs!$G$5:$G$140&lt;&gt;"moeda")*(Inputs!$G$5:$G$140&lt;&gt;"acoes")))*INDEX(Inputs!$K$5:$AJ$140,0,MATCH(N$2,Inputs!$K$4:$AJ$4,0)))+SUMPRODUCT((Inputs!$E$5:$E$140=$B72)*Inputs!$F$5:$F$140*(((Inputs!$G$5:$G$140="moeda")+(Inputs!$G$5:$G$140="acoes"))*Inputs!$B$1+((Inputs!$G$5:$G$140&lt;&gt;"moeda")*(Inputs!$G$5:$G$140&lt;&gt;"acoes")))*INDEX(Inputs!$K$5:$AJ$140,0,MATCH(N$2,Inputs!$K$4:$AJ$4,0)))))</f>
        <v>2914.433</v>
      </c>
      <c r="O72" s="262">
        <f>IF(ISNA(MATCH(O$2,Inputs!$K$4:$AJ$4,0)),NA(),IF(SUMPRODUCT((Inputs!$A$5:$A$140=$B72)*ISNUMBER(INDEX(Inputs!$K$5:$AJ$140,0,MATCH(O$2,Inputs!$K$4:$AJ$4,0))))+SUMPRODUCT((Inputs!$C$5:$C$140=$B72)*ISNUMBER(INDEX(Inputs!$K$5:$AJ$140,0,MATCH(O$2,Inputs!$K$4:$AJ$4,0))))+SUMPRODUCT((Inputs!$E$5:$E$140=$B72)*ISNUMBER(INDEX(Inputs!$K$5:$AJ$140,0,MATCH(O$2,Inputs!$K$4:$AJ$4,0))))=0,NA(),SUMPRODUCT((Inputs!$A$5:$A$140=$B72)*Inputs!$B$5:$B$140*(((Inputs!$G$5:$G$140="moeda")+(Inputs!$G$5:$G$140="acoes"))*Inputs!$B$1+((Inputs!$G$5:$G$140&lt;&gt;"moeda")*(Inputs!$G$5:$G$140&lt;&gt;"acoes")))*INDEX(Inputs!$K$5:$AJ$140,0,MATCH(O$2,Inputs!$K$4:$AJ$4,0)))+SUMPRODUCT((Inputs!$C$5:$C$140=$B72)*Inputs!$D$5:$D$140*(((Inputs!$G$5:$G$140="moeda")+(Inputs!$G$5:$G$140="acoes"))*Inputs!$B$1+((Inputs!$G$5:$G$140&lt;&gt;"moeda")*(Inputs!$G$5:$G$140&lt;&gt;"acoes")))*INDEX(Inputs!$K$5:$AJ$140,0,MATCH(O$2,Inputs!$K$4:$AJ$4,0)))+SUMPRODUCT((Inputs!$E$5:$E$140=$B72)*Inputs!$F$5:$F$140*(((Inputs!$G$5:$G$140="moeda")+(Inputs!$G$5:$G$140="acoes"))*Inputs!$B$1+((Inputs!$G$5:$G$140&lt;&gt;"moeda")*(Inputs!$G$5:$G$140&lt;&gt;"acoes")))*INDEX(Inputs!$K$5:$AJ$140,0,MATCH(O$2,Inputs!$K$4:$AJ$4,0)))))</f>
        <v>3245.796</v>
      </c>
      <c r="P72" s="262">
        <f>IF(ISNA(MATCH(P$2,Inputs!$K$4:$AJ$4,0)),NA(),IF(SUMPRODUCT((Inputs!$A$5:$A$140=$B72)*ISNUMBER(INDEX(Inputs!$K$5:$AJ$140,0,MATCH(P$2,Inputs!$K$4:$AJ$4,0))))+SUMPRODUCT((Inputs!$C$5:$C$140=$B72)*ISNUMBER(INDEX(Inputs!$K$5:$AJ$140,0,MATCH(P$2,Inputs!$K$4:$AJ$4,0))))+SUMPRODUCT((Inputs!$E$5:$E$140=$B72)*ISNUMBER(INDEX(Inputs!$K$5:$AJ$140,0,MATCH(P$2,Inputs!$K$4:$AJ$4,0))))=0,NA(),SUMPRODUCT((Inputs!$A$5:$A$140=$B72)*Inputs!$B$5:$B$140*(((Inputs!$G$5:$G$140="moeda")+(Inputs!$G$5:$G$140="acoes"))*Inputs!$B$1+((Inputs!$G$5:$G$140&lt;&gt;"moeda")*(Inputs!$G$5:$G$140&lt;&gt;"acoes")))*INDEX(Inputs!$K$5:$AJ$140,0,MATCH(P$2,Inputs!$K$4:$AJ$4,0)))+SUMPRODUCT((Inputs!$C$5:$C$140=$B72)*Inputs!$D$5:$D$140*(((Inputs!$G$5:$G$140="moeda")+(Inputs!$G$5:$G$140="acoes"))*Inputs!$B$1+((Inputs!$G$5:$G$140&lt;&gt;"moeda")*(Inputs!$G$5:$G$140&lt;&gt;"acoes")))*INDEX(Inputs!$K$5:$AJ$140,0,MATCH(P$2,Inputs!$K$4:$AJ$4,0)))+SUMPRODUCT((Inputs!$E$5:$E$140=$B72)*Inputs!$F$5:$F$140*(((Inputs!$G$5:$G$140="moeda")+(Inputs!$G$5:$G$140="acoes"))*Inputs!$B$1+((Inputs!$G$5:$G$140&lt;&gt;"moeda")*(Inputs!$G$5:$G$140&lt;&gt;"acoes")))*INDEX(Inputs!$K$5:$AJ$140,0,MATCH(P$2,Inputs!$K$4:$AJ$4,0)))))</f>
        <v>3439.133</v>
      </c>
      <c r="Q72" s="262">
        <f>IF(ISNA(MATCH(Q$2,Inputs!$K$4:$AJ$4,0)),NA(),IF(SUMPRODUCT((Inputs!$A$5:$A$140=$B72)*ISNUMBER(INDEX(Inputs!$K$5:$AJ$140,0,MATCH(Q$2,Inputs!$K$4:$AJ$4,0))))+SUMPRODUCT((Inputs!$C$5:$C$140=$B72)*ISNUMBER(INDEX(Inputs!$K$5:$AJ$140,0,MATCH(Q$2,Inputs!$K$4:$AJ$4,0))))+SUMPRODUCT((Inputs!$E$5:$E$140=$B72)*ISNUMBER(INDEX(Inputs!$K$5:$AJ$140,0,MATCH(Q$2,Inputs!$K$4:$AJ$4,0))))=0,NA(),SUMPRODUCT((Inputs!$A$5:$A$140=$B72)*Inputs!$B$5:$B$140*(((Inputs!$G$5:$G$140="moeda")+(Inputs!$G$5:$G$140="acoes"))*Inputs!$B$1+((Inputs!$G$5:$G$140&lt;&gt;"moeda")*(Inputs!$G$5:$G$140&lt;&gt;"acoes")))*INDEX(Inputs!$K$5:$AJ$140,0,MATCH(Q$2,Inputs!$K$4:$AJ$4,0)))+SUMPRODUCT((Inputs!$C$5:$C$140=$B72)*Inputs!$D$5:$D$140*(((Inputs!$G$5:$G$140="moeda")+(Inputs!$G$5:$G$140="acoes"))*Inputs!$B$1+((Inputs!$G$5:$G$140&lt;&gt;"moeda")*(Inputs!$G$5:$G$140&lt;&gt;"acoes")))*INDEX(Inputs!$K$5:$AJ$140,0,MATCH(Q$2,Inputs!$K$4:$AJ$4,0)))+SUMPRODUCT((Inputs!$E$5:$E$140=$B72)*Inputs!$F$5:$F$140*(((Inputs!$G$5:$G$140="moeda")+(Inputs!$G$5:$G$140="acoes"))*Inputs!$B$1+((Inputs!$G$5:$G$140&lt;&gt;"moeda")*(Inputs!$G$5:$G$140&lt;&gt;"acoes")))*INDEX(Inputs!$K$5:$AJ$140,0,MATCH(Q$2,Inputs!$K$4:$AJ$4,0)))))</f>
        <v>3501.917</v>
      </c>
      <c r="R72" s="263">
        <f>Q72</f>
        <v>3501.917</v>
      </c>
      <c r="S72" s="262">
        <f>IF(ISNA(MATCH(S$2,Inputs!$K$4:$AJ$4,0)),NA(),IF(SUMPRODUCT((Inputs!$A$5:$A$140=$B72)*ISNUMBER(INDEX(Inputs!$K$5:$AJ$140,0,MATCH(S$2,Inputs!$K$4:$AJ$4,0))))+SUMPRODUCT((Inputs!$C$5:$C$140=$B72)*ISNUMBER(INDEX(Inputs!$K$5:$AJ$140,0,MATCH(S$2,Inputs!$K$4:$AJ$4,0))))+SUMPRODUCT((Inputs!$E$5:$E$140=$B72)*ISNUMBER(INDEX(Inputs!$K$5:$AJ$140,0,MATCH(S$2,Inputs!$K$4:$AJ$4,0))))=0,NA(),SUMPRODUCT((Inputs!$A$5:$A$140=$B72)*Inputs!$B$5:$B$140*(((Inputs!$G$5:$G$140="moeda")+(Inputs!$G$5:$G$140="acoes"))*Inputs!$B$1+((Inputs!$G$5:$G$140&lt;&gt;"moeda")*(Inputs!$G$5:$G$140&lt;&gt;"acoes")))*INDEX(Inputs!$K$5:$AJ$140,0,MATCH(S$2,Inputs!$K$4:$AJ$4,0)))+SUMPRODUCT((Inputs!$C$5:$C$140=$B72)*Inputs!$D$5:$D$140*(((Inputs!$G$5:$G$140="moeda")+(Inputs!$G$5:$G$140="acoes"))*Inputs!$B$1+((Inputs!$G$5:$G$140&lt;&gt;"moeda")*(Inputs!$G$5:$G$140&lt;&gt;"acoes")))*INDEX(Inputs!$K$5:$AJ$140,0,MATCH(S$2,Inputs!$K$4:$AJ$4,0)))+SUMPRODUCT((Inputs!$E$5:$E$140=$B72)*Inputs!$F$5:$F$140*(((Inputs!$G$5:$G$140="moeda")+(Inputs!$G$5:$G$140="acoes"))*Inputs!$B$1+((Inputs!$G$5:$G$140&lt;&gt;"moeda")*(Inputs!$G$5:$G$140&lt;&gt;"acoes")))*INDEX(Inputs!$K$5:$AJ$140,0,MATCH(S$2,Inputs!$K$4:$AJ$4,0)))))</f>
        <v>4153.406</v>
      </c>
      <c r="T72" s="262">
        <f>IF(ISNA(MATCH(T$2,Inputs!$K$4:$AJ$4,0)),NA(),IF(SUMPRODUCT((Inputs!$A$5:$A$140=$B72)*ISNUMBER(INDEX(Inputs!$K$5:$AJ$140,0,MATCH(T$2,Inputs!$K$4:$AJ$4,0))))+SUMPRODUCT((Inputs!$C$5:$C$140=$B72)*ISNUMBER(INDEX(Inputs!$K$5:$AJ$140,0,MATCH(T$2,Inputs!$K$4:$AJ$4,0))))+SUMPRODUCT((Inputs!$E$5:$E$140=$B72)*ISNUMBER(INDEX(Inputs!$K$5:$AJ$140,0,MATCH(T$2,Inputs!$K$4:$AJ$4,0))))=0,NA(),SUMPRODUCT((Inputs!$A$5:$A$140=$B72)*Inputs!$B$5:$B$140*(((Inputs!$G$5:$G$140="moeda")+(Inputs!$G$5:$G$140="acoes"))*Inputs!$B$1+((Inputs!$G$5:$G$140&lt;&gt;"moeda")*(Inputs!$G$5:$G$140&lt;&gt;"acoes")))*INDEX(Inputs!$K$5:$AJ$140,0,MATCH(T$2,Inputs!$K$4:$AJ$4,0)))+SUMPRODUCT((Inputs!$C$5:$C$140=$B72)*Inputs!$D$5:$D$140*(((Inputs!$G$5:$G$140="moeda")+(Inputs!$G$5:$G$140="acoes"))*Inputs!$B$1+((Inputs!$G$5:$G$140&lt;&gt;"moeda")*(Inputs!$G$5:$G$140&lt;&gt;"acoes")))*INDEX(Inputs!$K$5:$AJ$140,0,MATCH(T$2,Inputs!$K$4:$AJ$4,0)))+SUMPRODUCT((Inputs!$E$5:$E$140=$B72)*Inputs!$F$5:$F$140*(((Inputs!$G$5:$G$140="moeda")+(Inputs!$G$5:$G$140="acoes"))*Inputs!$B$1+((Inputs!$G$5:$G$140&lt;&gt;"moeda")*(Inputs!$G$5:$G$140&lt;&gt;"acoes")))*INDEX(Inputs!$K$5:$AJ$140,0,MATCH(T$2,Inputs!$K$4:$AJ$4,0)))))</f>
        <v>4837.93</v>
      </c>
      <c r="U72" s="262">
        <f>IF(ISNA(MATCH(U$2,Inputs!$K$4:$AJ$4,0)),NA(),IF(SUMPRODUCT((Inputs!$A$5:$A$140=$B72)*ISNUMBER(INDEX(Inputs!$K$5:$AJ$140,0,MATCH(U$2,Inputs!$K$4:$AJ$4,0))))+SUMPRODUCT((Inputs!$C$5:$C$140=$B72)*ISNUMBER(INDEX(Inputs!$K$5:$AJ$140,0,MATCH(U$2,Inputs!$K$4:$AJ$4,0))))+SUMPRODUCT((Inputs!$E$5:$E$140=$B72)*ISNUMBER(INDEX(Inputs!$K$5:$AJ$140,0,MATCH(U$2,Inputs!$K$4:$AJ$4,0))))=0,NA(),SUMPRODUCT((Inputs!$A$5:$A$140=$B72)*Inputs!$B$5:$B$140*(((Inputs!$G$5:$G$140="moeda")+(Inputs!$G$5:$G$140="acoes"))*Inputs!$B$1+((Inputs!$G$5:$G$140&lt;&gt;"moeda")*(Inputs!$G$5:$G$140&lt;&gt;"acoes")))*INDEX(Inputs!$K$5:$AJ$140,0,MATCH(U$2,Inputs!$K$4:$AJ$4,0)))+SUMPRODUCT((Inputs!$C$5:$C$140=$B72)*Inputs!$D$5:$D$140*(((Inputs!$G$5:$G$140="moeda")+(Inputs!$G$5:$G$140="acoes"))*Inputs!$B$1+((Inputs!$G$5:$G$140&lt;&gt;"moeda")*(Inputs!$G$5:$G$140&lt;&gt;"acoes")))*INDEX(Inputs!$K$5:$AJ$140,0,MATCH(U$2,Inputs!$K$4:$AJ$4,0)))+SUMPRODUCT((Inputs!$E$5:$E$140=$B72)*Inputs!$F$5:$F$140*(((Inputs!$G$5:$G$140="moeda")+(Inputs!$G$5:$G$140="acoes"))*Inputs!$B$1+((Inputs!$G$5:$G$140&lt;&gt;"moeda")*(Inputs!$G$5:$G$140&lt;&gt;"acoes")))*INDEX(Inputs!$K$5:$AJ$140,0,MATCH(U$2,Inputs!$K$4:$AJ$4,0)))))</f>
        <v>5203.643</v>
      </c>
      <c r="V72" s="262">
        <f>IF(ISNA(MATCH(V$2,Inputs!$K$4:$AJ$4,0)),NA(),IF(SUMPRODUCT((Inputs!$A$5:$A$140=$B72)*ISNUMBER(INDEX(Inputs!$K$5:$AJ$140,0,MATCH(V$2,Inputs!$K$4:$AJ$4,0))))+SUMPRODUCT((Inputs!$C$5:$C$140=$B72)*ISNUMBER(INDEX(Inputs!$K$5:$AJ$140,0,MATCH(V$2,Inputs!$K$4:$AJ$4,0))))+SUMPRODUCT((Inputs!$E$5:$E$140=$B72)*ISNUMBER(INDEX(Inputs!$K$5:$AJ$140,0,MATCH(V$2,Inputs!$K$4:$AJ$4,0))))=0,NA(),SUMPRODUCT((Inputs!$A$5:$A$140=$B72)*Inputs!$B$5:$B$140*(((Inputs!$G$5:$G$140="moeda")+(Inputs!$G$5:$G$140="acoes"))*Inputs!$B$1+((Inputs!$G$5:$G$140&lt;&gt;"moeda")*(Inputs!$G$5:$G$140&lt;&gt;"acoes")))*INDEX(Inputs!$K$5:$AJ$140,0,MATCH(V$2,Inputs!$K$4:$AJ$4,0)))+SUMPRODUCT((Inputs!$C$5:$C$140=$B72)*Inputs!$D$5:$D$140*(((Inputs!$G$5:$G$140="moeda")+(Inputs!$G$5:$G$140="acoes"))*Inputs!$B$1+((Inputs!$G$5:$G$140&lt;&gt;"moeda")*(Inputs!$G$5:$G$140&lt;&gt;"acoes")))*INDEX(Inputs!$K$5:$AJ$140,0,MATCH(V$2,Inputs!$K$4:$AJ$4,0)))+SUMPRODUCT((Inputs!$E$5:$E$140=$B72)*Inputs!$F$5:$F$140*(((Inputs!$G$5:$G$140="moeda")+(Inputs!$G$5:$G$140="acoes"))*Inputs!$B$1+((Inputs!$G$5:$G$140&lt;&gt;"moeda")*(Inputs!$G$5:$G$140&lt;&gt;"acoes")))*INDEX(Inputs!$K$5:$AJ$140,0,MATCH(V$2,Inputs!$K$4:$AJ$4,0)))))</f>
        <v>5565.297</v>
      </c>
      <c r="W72" s="263">
        <f>V72</f>
        <v>5565.297</v>
      </c>
      <c r="X72" s="262">
        <f>IF(ISNA(MATCH(X$2,Inputs!$K$4:$AJ$4,0)),NA(),IF(SUMPRODUCT((Inputs!$A$5:$A$140=$B72)*ISNUMBER(INDEX(Inputs!$K$5:$AJ$140,0,MATCH(X$2,Inputs!$K$4:$AJ$4,0))))+SUMPRODUCT((Inputs!$C$5:$C$140=$B72)*ISNUMBER(INDEX(Inputs!$K$5:$AJ$140,0,MATCH(X$2,Inputs!$K$4:$AJ$4,0))))+SUMPRODUCT((Inputs!$E$5:$E$140=$B72)*ISNUMBER(INDEX(Inputs!$K$5:$AJ$140,0,MATCH(X$2,Inputs!$K$4:$AJ$4,0))))=0,NA(),SUMPRODUCT((Inputs!$A$5:$A$140=$B72)*Inputs!$B$5:$B$140*(((Inputs!$G$5:$G$140="moeda")+(Inputs!$G$5:$G$140="acoes"))*Inputs!$B$1+((Inputs!$G$5:$G$140&lt;&gt;"moeda")*(Inputs!$G$5:$G$140&lt;&gt;"acoes")))*INDEX(Inputs!$K$5:$AJ$140,0,MATCH(X$2,Inputs!$K$4:$AJ$4,0)))+SUMPRODUCT((Inputs!$C$5:$C$140=$B72)*Inputs!$D$5:$D$140*(((Inputs!$G$5:$G$140="moeda")+(Inputs!$G$5:$G$140="acoes"))*Inputs!$B$1+((Inputs!$G$5:$G$140&lt;&gt;"moeda")*(Inputs!$G$5:$G$140&lt;&gt;"acoes")))*INDEX(Inputs!$K$5:$AJ$140,0,MATCH(X$2,Inputs!$K$4:$AJ$4,0)))+SUMPRODUCT((Inputs!$E$5:$E$140=$B72)*Inputs!$F$5:$F$140*(((Inputs!$G$5:$G$140="moeda")+(Inputs!$G$5:$G$140="acoes"))*Inputs!$B$1+((Inputs!$G$5:$G$140&lt;&gt;"moeda")*(Inputs!$G$5:$G$140&lt;&gt;"acoes")))*INDEX(Inputs!$K$5:$AJ$140,0,MATCH(X$2,Inputs!$K$4:$AJ$4,0)))))</f>
        <v>6430.448</v>
      </c>
      <c r="Y72" s="262">
        <f>IF(ISNA(MATCH(Y$2,Inputs!$K$4:$AJ$4,0)),NA(),IF(SUMPRODUCT((Inputs!$A$5:$A$140=$B72)*ISNUMBER(INDEX(Inputs!$K$5:$AJ$140,0,MATCH(Y$2,Inputs!$K$4:$AJ$4,0))))+SUMPRODUCT((Inputs!$C$5:$C$140=$B72)*ISNUMBER(INDEX(Inputs!$K$5:$AJ$140,0,MATCH(Y$2,Inputs!$K$4:$AJ$4,0))))+SUMPRODUCT((Inputs!$E$5:$E$140=$B72)*ISNUMBER(INDEX(Inputs!$K$5:$AJ$140,0,MATCH(Y$2,Inputs!$K$4:$AJ$4,0))))=0,NA(),SUMPRODUCT((Inputs!$A$5:$A$140=$B72)*Inputs!$B$5:$B$140*(((Inputs!$G$5:$G$140="moeda")+(Inputs!$G$5:$G$140="acoes"))*Inputs!$B$1+((Inputs!$G$5:$G$140&lt;&gt;"moeda")*(Inputs!$G$5:$G$140&lt;&gt;"acoes")))*INDEX(Inputs!$K$5:$AJ$140,0,MATCH(Y$2,Inputs!$K$4:$AJ$4,0)))+SUMPRODUCT((Inputs!$C$5:$C$140=$B72)*Inputs!$D$5:$D$140*(((Inputs!$G$5:$G$140="moeda")+(Inputs!$G$5:$G$140="acoes"))*Inputs!$B$1+((Inputs!$G$5:$G$140&lt;&gt;"moeda")*(Inputs!$G$5:$G$140&lt;&gt;"acoes")))*INDEX(Inputs!$K$5:$AJ$140,0,MATCH(Y$2,Inputs!$K$4:$AJ$4,0)))+SUMPRODUCT((Inputs!$E$5:$E$140=$B72)*Inputs!$F$5:$F$140*(((Inputs!$G$5:$G$140="moeda")+(Inputs!$G$5:$G$140="acoes"))*Inputs!$B$1+((Inputs!$G$5:$G$140&lt;&gt;"moeda")*(Inputs!$G$5:$G$140&lt;&gt;"acoes")))*INDEX(Inputs!$K$5:$AJ$140,0,MATCH(Y$2,Inputs!$K$4:$AJ$4,0)))))</f>
        <v>7284.016</v>
      </c>
      <c r="Z72" s="262">
        <f>IF(ISNA(MATCH(Z$2,Inputs!$K$4:$AJ$4,0)),NA(),IF(SUMPRODUCT((Inputs!$A$5:$A$140=$B72)*ISNUMBER(INDEX(Inputs!$K$5:$AJ$140,0,MATCH(Z$2,Inputs!$K$4:$AJ$4,0))))+SUMPRODUCT((Inputs!$C$5:$C$140=$B72)*ISNUMBER(INDEX(Inputs!$K$5:$AJ$140,0,MATCH(Z$2,Inputs!$K$4:$AJ$4,0))))+SUMPRODUCT((Inputs!$E$5:$E$140=$B72)*ISNUMBER(INDEX(Inputs!$K$5:$AJ$140,0,MATCH(Z$2,Inputs!$K$4:$AJ$4,0))))=0,NA(),SUMPRODUCT((Inputs!$A$5:$A$140=$B72)*Inputs!$B$5:$B$140*(((Inputs!$G$5:$G$140="moeda")+(Inputs!$G$5:$G$140="acoes"))*Inputs!$B$1+((Inputs!$G$5:$G$140&lt;&gt;"moeda")*(Inputs!$G$5:$G$140&lt;&gt;"acoes")))*INDEX(Inputs!$K$5:$AJ$140,0,MATCH(Z$2,Inputs!$K$4:$AJ$4,0)))+SUMPRODUCT((Inputs!$C$5:$C$140=$B72)*Inputs!$D$5:$D$140*(((Inputs!$G$5:$G$140="moeda")+(Inputs!$G$5:$G$140="acoes"))*Inputs!$B$1+((Inputs!$G$5:$G$140&lt;&gt;"moeda")*(Inputs!$G$5:$G$140&lt;&gt;"acoes")))*INDEX(Inputs!$K$5:$AJ$140,0,MATCH(Z$2,Inputs!$K$4:$AJ$4,0)))+SUMPRODUCT((Inputs!$E$5:$E$140=$B72)*Inputs!$F$5:$F$140*(((Inputs!$G$5:$G$140="moeda")+(Inputs!$G$5:$G$140="acoes"))*Inputs!$B$1+((Inputs!$G$5:$G$140&lt;&gt;"moeda")*(Inputs!$G$5:$G$140&lt;&gt;"acoes")))*INDEX(Inputs!$K$5:$AJ$140,0,MATCH(Z$2,Inputs!$K$4:$AJ$4,0)))))</f>
        <v>7701.127</v>
      </c>
      <c r="AA72" s="262">
        <f>IF(ISNA(MATCH(AA$2,Inputs!$K$4:$AJ$4,0)),NA(),IF(SUMPRODUCT((Inputs!$A$5:$A$140=$B72)*ISNUMBER(INDEX(Inputs!$K$5:$AJ$140,0,MATCH(AA$2,Inputs!$K$4:$AJ$4,0))))+SUMPRODUCT((Inputs!$C$5:$C$140=$B72)*ISNUMBER(INDEX(Inputs!$K$5:$AJ$140,0,MATCH(AA$2,Inputs!$K$4:$AJ$4,0))))+SUMPRODUCT((Inputs!$E$5:$E$140=$B72)*ISNUMBER(INDEX(Inputs!$K$5:$AJ$140,0,MATCH(AA$2,Inputs!$K$4:$AJ$4,0))))=0,NA(),SUMPRODUCT((Inputs!$A$5:$A$140=$B72)*Inputs!$B$5:$B$140*(((Inputs!$G$5:$G$140="moeda")+(Inputs!$G$5:$G$140="acoes"))*Inputs!$B$1+((Inputs!$G$5:$G$140&lt;&gt;"moeda")*(Inputs!$G$5:$G$140&lt;&gt;"acoes")))*INDEX(Inputs!$K$5:$AJ$140,0,MATCH(AA$2,Inputs!$K$4:$AJ$4,0)))+SUMPRODUCT((Inputs!$C$5:$C$140=$B72)*Inputs!$D$5:$D$140*(((Inputs!$G$5:$G$140="moeda")+(Inputs!$G$5:$G$140="acoes"))*Inputs!$B$1+((Inputs!$G$5:$G$140&lt;&gt;"moeda")*(Inputs!$G$5:$G$140&lt;&gt;"acoes")))*INDEX(Inputs!$K$5:$AJ$140,0,MATCH(AA$2,Inputs!$K$4:$AJ$4,0)))+SUMPRODUCT((Inputs!$E$5:$E$140=$B72)*Inputs!$F$5:$F$140*(((Inputs!$G$5:$G$140="moeda")+(Inputs!$G$5:$G$140="acoes"))*Inputs!$B$1+((Inputs!$G$5:$G$140&lt;&gt;"moeda")*(Inputs!$G$5:$G$140&lt;&gt;"acoes")))*INDEX(Inputs!$K$5:$AJ$140,0,MATCH(AA$2,Inputs!$K$4:$AJ$4,0)))))</f>
        <v>7802.275</v>
      </c>
      <c r="AB72" s="263">
        <f>AA72</f>
        <v>7802.275</v>
      </c>
      <c r="AC72" s="262">
        <f>IF(ISNA(MATCH(AC$2,Inputs!$K$4:$AJ$4,0)),NA(),IF(SUMPRODUCT((Inputs!$A$5:$A$140=$B72)*ISNUMBER(INDEX(Inputs!$K$5:$AJ$140,0,MATCH(AC$2,Inputs!$K$4:$AJ$4,0))))+SUMPRODUCT((Inputs!$C$5:$C$140=$B72)*ISNUMBER(INDEX(Inputs!$K$5:$AJ$140,0,MATCH(AC$2,Inputs!$K$4:$AJ$4,0))))+SUMPRODUCT((Inputs!$E$5:$E$140=$B72)*ISNUMBER(INDEX(Inputs!$K$5:$AJ$140,0,MATCH(AC$2,Inputs!$K$4:$AJ$4,0))))=0,NA(),SUMPRODUCT((Inputs!$A$5:$A$140=$B72)*Inputs!$B$5:$B$140*(((Inputs!$G$5:$G$140="moeda")+(Inputs!$G$5:$G$140="acoes"))*Inputs!$B$1+((Inputs!$G$5:$G$140&lt;&gt;"moeda")*(Inputs!$G$5:$G$140&lt;&gt;"acoes")))*INDEX(Inputs!$K$5:$AJ$140,0,MATCH(AC$2,Inputs!$K$4:$AJ$4,0)))+SUMPRODUCT((Inputs!$C$5:$C$140=$B72)*Inputs!$D$5:$D$140*(((Inputs!$G$5:$G$140="moeda")+(Inputs!$G$5:$G$140="acoes"))*Inputs!$B$1+((Inputs!$G$5:$G$140&lt;&gt;"moeda")*(Inputs!$G$5:$G$140&lt;&gt;"acoes")))*INDEX(Inputs!$K$5:$AJ$140,0,MATCH(AC$2,Inputs!$K$4:$AJ$4,0)))+SUMPRODUCT((Inputs!$E$5:$E$140=$B72)*Inputs!$F$5:$F$140*(((Inputs!$G$5:$G$140="moeda")+(Inputs!$G$5:$G$140="acoes"))*Inputs!$B$1+((Inputs!$G$5:$G$140&lt;&gt;"moeda")*(Inputs!$G$5:$G$140&lt;&gt;"acoes")))*INDEX(Inputs!$K$5:$AJ$140,0,MATCH(AC$2,Inputs!$K$4:$AJ$4,0)))))</f>
        <v>8471.901</v>
      </c>
      <c r="AD72" s="262">
        <f>IF(ISNA(MATCH(AD$2,Inputs!$K$4:$AJ$4,0)),NA(),IF(SUMPRODUCT((Inputs!$A$5:$A$140=$B72)*ISNUMBER(INDEX(Inputs!$K$5:$AJ$140,0,MATCH(AD$2,Inputs!$K$4:$AJ$4,0))))+SUMPRODUCT((Inputs!$C$5:$C$140=$B72)*ISNUMBER(INDEX(Inputs!$K$5:$AJ$140,0,MATCH(AD$2,Inputs!$K$4:$AJ$4,0))))+SUMPRODUCT((Inputs!$E$5:$E$140=$B72)*ISNUMBER(INDEX(Inputs!$K$5:$AJ$140,0,MATCH(AD$2,Inputs!$K$4:$AJ$4,0))))=0,NA(),SUMPRODUCT((Inputs!$A$5:$A$140=$B72)*Inputs!$B$5:$B$140*(((Inputs!$G$5:$G$140="moeda")+(Inputs!$G$5:$G$140="acoes"))*Inputs!$B$1+((Inputs!$G$5:$G$140&lt;&gt;"moeda")*(Inputs!$G$5:$G$140&lt;&gt;"acoes")))*INDEX(Inputs!$K$5:$AJ$140,0,MATCH(AD$2,Inputs!$K$4:$AJ$4,0)))+SUMPRODUCT((Inputs!$C$5:$C$140=$B72)*Inputs!$D$5:$D$140*(((Inputs!$G$5:$G$140="moeda")+(Inputs!$G$5:$G$140="acoes"))*Inputs!$B$1+((Inputs!$G$5:$G$140&lt;&gt;"moeda")*(Inputs!$G$5:$G$140&lt;&gt;"acoes")))*INDEX(Inputs!$K$5:$AJ$140,0,MATCH(AD$2,Inputs!$K$4:$AJ$4,0)))+SUMPRODUCT((Inputs!$E$5:$E$140=$B72)*Inputs!$F$5:$F$140*(((Inputs!$G$5:$G$140="moeda")+(Inputs!$G$5:$G$140="acoes"))*Inputs!$B$1+((Inputs!$G$5:$G$140&lt;&gt;"moeda")*(Inputs!$G$5:$G$140&lt;&gt;"acoes")))*INDEX(Inputs!$K$5:$AJ$140,0,MATCH(AD$2,Inputs!$K$4:$AJ$4,0)))))</f>
        <v>8831.273</v>
      </c>
      <c r="AE72" s="262" t="e">
        <f>IF(ISNA(MATCH(AE$2,Inputs!$K$4:$AJ$4,0)),NA(),IF(SUMPRODUCT((Inputs!$A$5:$A$140=$B72)*ISNUMBER(INDEX(Inputs!$K$5:$AJ$140,0,MATCH(AE$2,Inputs!$K$4:$AJ$4,0))))+SUMPRODUCT((Inputs!$C$5:$C$140=$B72)*ISNUMBER(INDEX(Inputs!$K$5:$AJ$140,0,MATCH(AE$2,Inputs!$K$4:$AJ$4,0))))+SUMPRODUCT((Inputs!$E$5:$E$140=$B72)*ISNUMBER(INDEX(Inputs!$K$5:$AJ$140,0,MATCH(AE$2,Inputs!$K$4:$AJ$4,0))))=0,NA(),SUMPRODUCT((Inputs!$A$5:$A$140=$B72)*Inputs!$B$5:$B$140*(((Inputs!$G$5:$G$140="moeda")+(Inputs!$G$5:$G$140="acoes"))*Inputs!$B$1+((Inputs!$G$5:$G$140&lt;&gt;"moeda")*(Inputs!$G$5:$G$140&lt;&gt;"acoes")))*INDEX(Inputs!$K$5:$AJ$140,0,MATCH(AE$2,Inputs!$K$4:$AJ$4,0)))+SUMPRODUCT((Inputs!$C$5:$C$140=$B72)*Inputs!$D$5:$D$140*(((Inputs!$G$5:$G$140="moeda")+(Inputs!$G$5:$G$140="acoes"))*Inputs!$B$1+((Inputs!$G$5:$G$140&lt;&gt;"moeda")*(Inputs!$G$5:$G$140&lt;&gt;"acoes")))*INDEX(Inputs!$K$5:$AJ$140,0,MATCH(AE$2,Inputs!$K$4:$AJ$4,0)))+SUMPRODUCT((Inputs!$E$5:$E$140=$B72)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72" s="262" t="e">
        <f>IF(ISNA(MATCH(AF$2,Inputs!$K$4:$AJ$4,0)),NA(),IF(SUMPRODUCT((Inputs!$A$5:$A$140=$B72)*ISNUMBER(INDEX(Inputs!$K$5:$AJ$140,0,MATCH(AF$2,Inputs!$K$4:$AJ$4,0))))+SUMPRODUCT((Inputs!$C$5:$C$140=$B72)*ISNUMBER(INDEX(Inputs!$K$5:$AJ$140,0,MATCH(AF$2,Inputs!$K$4:$AJ$4,0))))+SUMPRODUCT((Inputs!$E$5:$E$140=$B72)*ISNUMBER(INDEX(Inputs!$K$5:$AJ$140,0,MATCH(AF$2,Inputs!$K$4:$AJ$4,0))))=0,NA(),SUMPRODUCT((Inputs!$A$5:$A$140=$B72)*Inputs!$B$5:$B$140*(((Inputs!$G$5:$G$140="moeda")+(Inputs!$G$5:$G$140="acoes"))*Inputs!$B$1+((Inputs!$G$5:$G$140&lt;&gt;"moeda")*(Inputs!$G$5:$G$140&lt;&gt;"acoes")))*INDEX(Inputs!$K$5:$AJ$140,0,MATCH(AF$2,Inputs!$K$4:$AJ$4,0)))+SUMPRODUCT((Inputs!$C$5:$C$140=$B72)*Inputs!$D$5:$D$140*(((Inputs!$G$5:$G$140="moeda")+(Inputs!$G$5:$G$140="acoes"))*Inputs!$B$1+((Inputs!$G$5:$G$140&lt;&gt;"moeda")*(Inputs!$G$5:$G$140&lt;&gt;"acoes")))*INDEX(Inputs!$K$5:$AJ$140,0,MATCH(AF$2,Inputs!$K$4:$AJ$4,0)))+SUMPRODUCT((Inputs!$E$5:$E$140=$B72)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72" s="263" t="e">
        <f>AF72</f>
        <v>#N/A</v>
      </c>
      <c r="AH72" s="262">
        <f>IF(ISNA(MATCH(AH$2,Inputs!$K$4:$AJ$4,0)),NA(),IF(SUMPRODUCT((Inputs!$A$5:$A$140=$B72)*ISNUMBER(INDEX(Inputs!$K$5:$AJ$140,0,MATCH(AH$2,Inputs!$K$4:$AJ$4,0))))+SUMPRODUCT((Inputs!$C$5:$C$140=$B72)*ISNUMBER(INDEX(Inputs!$K$5:$AJ$140,0,MATCH(AH$2,Inputs!$K$4:$AJ$4,0))))+SUMPRODUCT((Inputs!$E$5:$E$140=$B72)*ISNUMBER(INDEX(Inputs!$K$5:$AJ$140,0,MATCH(AH$2,Inputs!$K$4:$AJ$4,0))))=0,NA(),SUMPRODUCT((Inputs!$A$5:$A$140=$B72)*Inputs!$B$5:$B$140*(((Inputs!$G$5:$G$140="moeda")+(Inputs!$G$5:$G$140="acoes"))*Inputs!$B$1+((Inputs!$G$5:$G$140&lt;&gt;"moeda")*(Inputs!$G$5:$G$140&lt;&gt;"acoes")))*INDEX(Inputs!$K$5:$AJ$140,0,MATCH(AH$2,Inputs!$K$4:$AJ$4,0)))+SUMPRODUCT((Inputs!$C$5:$C$140=$B72)*Inputs!$D$5:$D$140*(((Inputs!$G$5:$G$140="moeda")+(Inputs!$G$5:$G$140="acoes"))*Inputs!$B$1+((Inputs!$G$5:$G$140&lt;&gt;"moeda")*(Inputs!$G$5:$G$140&lt;&gt;"acoes")))*INDEX(Inputs!$K$5:$AJ$140,0,MATCH(AH$2,Inputs!$K$4:$AJ$4,0)))+SUMPRODUCT((Inputs!$E$5:$E$140=$B72)*Inputs!$F$5:$F$140*(((Inputs!$G$5:$G$140="moeda")+(Inputs!$G$5:$G$140="acoes"))*Inputs!$B$1+((Inputs!$G$5:$G$140&lt;&gt;"moeda")*(Inputs!$G$5:$G$140&lt;&gt;"acoes")))*INDEX(Inputs!$K$5:$AJ$140,0,MATCH(AH$2,Inputs!$K$4:$AJ$4,0)))))</f>
        <v>641.56256501818</v>
      </c>
      <c r="AI72" s="262">
        <f>IF(ISNA(MATCH(AI$2,Inputs!$K$4:$AJ$4,0)),NA(),IF(SUMPRODUCT((Inputs!$A$5:$A$140=$B72)*ISNUMBER(INDEX(Inputs!$K$5:$AJ$140,0,MATCH(AI$2,Inputs!$K$4:$AJ$4,0))))+SUMPRODUCT((Inputs!$C$5:$C$140=$B72)*ISNUMBER(INDEX(Inputs!$K$5:$AJ$140,0,MATCH(AI$2,Inputs!$K$4:$AJ$4,0))))+SUMPRODUCT((Inputs!$E$5:$E$140=$B72)*ISNUMBER(INDEX(Inputs!$K$5:$AJ$140,0,MATCH(AI$2,Inputs!$K$4:$AJ$4,0))))=0,NA(),SUMPRODUCT((Inputs!$A$5:$A$140=$B72)*Inputs!$B$5:$B$140*(((Inputs!$G$5:$G$140="moeda")+(Inputs!$G$5:$G$140="acoes"))*Inputs!$B$1+((Inputs!$G$5:$G$140&lt;&gt;"moeda")*(Inputs!$G$5:$G$140&lt;&gt;"acoes")))*INDEX(Inputs!$K$5:$AJ$140,0,MATCH(AI$2,Inputs!$K$4:$AJ$4,0)))+SUMPRODUCT((Inputs!$C$5:$C$140=$B72)*Inputs!$D$5:$D$140*(((Inputs!$G$5:$G$140="moeda")+(Inputs!$G$5:$G$140="acoes"))*Inputs!$B$1+((Inputs!$G$5:$G$140&lt;&gt;"moeda")*(Inputs!$G$5:$G$140&lt;&gt;"acoes")))*INDEX(Inputs!$K$5:$AJ$140,0,MATCH(AI$2,Inputs!$K$4:$AJ$4,0)))+SUMPRODUCT((Inputs!$E$5:$E$140=$B72)*Inputs!$F$5:$F$140*(((Inputs!$G$5:$G$140="moeda")+(Inputs!$G$5:$G$140="acoes"))*Inputs!$B$1+((Inputs!$G$5:$G$140&lt;&gt;"moeda")*(Inputs!$G$5:$G$140&lt;&gt;"acoes")))*INDEX(Inputs!$K$5:$AJ$140,0,MATCH(AI$2,Inputs!$K$4:$AJ$4,0)))))</f>
        <v>649.455483067916</v>
      </c>
      <c r="AJ72" s="262">
        <f>IF(ISNA(MATCH(AJ$2,Inputs!$K$4:$AJ$4,0)),NA(),IF(SUMPRODUCT((Inputs!$A$5:$A$140=$B72)*ISNUMBER(INDEX(Inputs!$K$5:$AJ$140,0,MATCH(AJ$2,Inputs!$K$4:$AJ$4,0))))+SUMPRODUCT((Inputs!$C$5:$C$140=$B72)*ISNUMBER(INDEX(Inputs!$K$5:$AJ$140,0,MATCH(AJ$2,Inputs!$K$4:$AJ$4,0))))+SUMPRODUCT((Inputs!$E$5:$E$140=$B72)*ISNUMBER(INDEX(Inputs!$K$5:$AJ$140,0,MATCH(AJ$2,Inputs!$K$4:$AJ$4,0))))=0,NA(),SUMPRODUCT((Inputs!$A$5:$A$140=$B72)*Inputs!$B$5:$B$140*(((Inputs!$G$5:$G$140="moeda")+(Inputs!$G$5:$G$140="acoes"))*Inputs!$B$1+((Inputs!$G$5:$G$140&lt;&gt;"moeda")*(Inputs!$G$5:$G$140&lt;&gt;"acoes")))*INDEX(Inputs!$K$5:$AJ$140,0,MATCH(AJ$2,Inputs!$K$4:$AJ$4,0)))+SUMPRODUCT((Inputs!$C$5:$C$140=$B72)*Inputs!$D$5:$D$140*(((Inputs!$G$5:$G$140="moeda")+(Inputs!$G$5:$G$140="acoes"))*Inputs!$B$1+((Inputs!$G$5:$G$140&lt;&gt;"moeda")*(Inputs!$G$5:$G$140&lt;&gt;"acoes")))*INDEX(Inputs!$K$5:$AJ$140,0,MATCH(AJ$2,Inputs!$K$4:$AJ$4,0)))+SUMPRODUCT((Inputs!$E$5:$E$140=$B72)*Inputs!$F$5:$F$140*(((Inputs!$G$5:$G$140="moeda")+(Inputs!$G$5:$G$140="acoes"))*Inputs!$B$1+((Inputs!$G$5:$G$140&lt;&gt;"moeda")*(Inputs!$G$5:$G$140&lt;&gt;"acoes")))*INDEX(Inputs!$K$5:$AJ$140,0,MATCH(AJ$2,Inputs!$K$4:$AJ$4,0)))))</f>
        <v>726.078170683434</v>
      </c>
      <c r="AK72" s="262">
        <f>IF(ISNA(MATCH(AK$2,Inputs!$K$4:$AJ$4,0)),NA(),IF(SUMPRODUCT((Inputs!$A$5:$A$140=$B72)*ISNUMBER(INDEX(Inputs!$K$5:$AJ$140,0,MATCH(AK$2,Inputs!$K$4:$AJ$4,0))))+SUMPRODUCT((Inputs!$C$5:$C$140=$B72)*ISNUMBER(INDEX(Inputs!$K$5:$AJ$140,0,MATCH(AK$2,Inputs!$K$4:$AJ$4,0))))+SUMPRODUCT((Inputs!$E$5:$E$140=$B72)*ISNUMBER(INDEX(Inputs!$K$5:$AJ$140,0,MATCH(AK$2,Inputs!$K$4:$AJ$4,0))))=0,NA(),SUMPRODUCT((Inputs!$A$5:$A$140=$B72)*Inputs!$B$5:$B$140*(((Inputs!$G$5:$G$140="moeda")+(Inputs!$G$5:$G$140="acoes"))*Inputs!$B$1+((Inputs!$G$5:$G$140&lt;&gt;"moeda")*(Inputs!$G$5:$G$140&lt;&gt;"acoes")))*INDEX(Inputs!$K$5:$AJ$140,0,MATCH(AK$2,Inputs!$K$4:$AJ$4,0)))+SUMPRODUCT((Inputs!$C$5:$C$140=$B72)*Inputs!$D$5:$D$140*(((Inputs!$G$5:$G$140="moeda")+(Inputs!$G$5:$G$140="acoes"))*Inputs!$B$1+((Inputs!$G$5:$G$140&lt;&gt;"moeda")*(Inputs!$G$5:$G$140&lt;&gt;"acoes")))*INDEX(Inputs!$K$5:$AJ$140,0,MATCH(AK$2,Inputs!$K$4:$AJ$4,0)))+SUMPRODUCT((Inputs!$E$5:$E$140=$B72)*Inputs!$F$5:$F$140*(((Inputs!$G$5:$G$140="moeda")+(Inputs!$G$5:$G$140="acoes"))*Inputs!$B$1+((Inputs!$G$5:$G$140&lt;&gt;"moeda")*(Inputs!$G$5:$G$140&lt;&gt;"acoes")))*INDEX(Inputs!$K$5:$AJ$140,0,MATCH(AK$2,Inputs!$K$4:$AJ$4,0)))))</f>
        <v>778.549955933061</v>
      </c>
      <c r="AL72" s="263">
        <f>AK72</f>
        <v>778.549955933061</v>
      </c>
    </row>
    <row r="73">
      <c r="B73" s="46" t="n">
        <v>65</v>
      </c>
      <c r="C73" s="29" t="inlineStr">
        <is>
          <t>(-) Custo orcado das unidades vendidas a apropriar (R$ mil; DRE l.41)</t>
        </is>
      </c>
      <c r="D73" s="262">
        <f>IF(ISNA(MATCH(D$2,Inputs!$K$4:$AJ$4,0)),NA(),IF(SUMPRODUCT((Inputs!$A$5:$A$140=$B73)*ISNUMBER(INDEX(Inputs!$K$5:$AJ$140,0,MATCH(D$2,Inputs!$K$4:$AJ$4,0))))+SUMPRODUCT((Inputs!$C$5:$C$140=$B73)*ISNUMBER(INDEX(Inputs!$K$5:$AJ$140,0,MATCH(D$2,Inputs!$K$4:$AJ$4,0))))+SUMPRODUCT((Inputs!$E$5:$E$140=$B73)*ISNUMBER(INDEX(Inputs!$K$5:$AJ$140,0,MATCH(D$2,Inputs!$K$4:$AJ$4,0))))=0,NA(),SUMPRODUCT((Inputs!$A$5:$A$140=$B73)*Inputs!$B$5:$B$140*(((Inputs!$G$5:$G$140="moeda")+(Inputs!$G$5:$G$140="acoes"))*Inputs!$B$1+((Inputs!$G$5:$G$140&lt;&gt;"moeda")*(Inputs!$G$5:$G$140&lt;&gt;"acoes")))*INDEX(Inputs!$K$5:$AJ$140,0,MATCH(D$2,Inputs!$K$4:$AJ$4,0)))+SUMPRODUCT((Inputs!$C$5:$C$140=$B73)*Inputs!$D$5:$D$140*(((Inputs!$G$5:$G$140="moeda")+(Inputs!$G$5:$G$140="acoes"))*Inputs!$B$1+((Inputs!$G$5:$G$140&lt;&gt;"moeda")*(Inputs!$G$5:$G$140&lt;&gt;"acoes")))*INDEX(Inputs!$K$5:$AJ$140,0,MATCH(D$2,Inputs!$K$4:$AJ$4,0)))+SUMPRODUCT((Inputs!$E$5:$E$140=$B73)*Inputs!$F$5:$F$140*(((Inputs!$G$5:$G$140="moeda")+(Inputs!$G$5:$G$140="acoes"))*Inputs!$B$1+((Inputs!$G$5:$G$140&lt;&gt;"moeda")*(Inputs!$G$5:$G$140&lt;&gt;"acoes")))*INDEX(Inputs!$K$5:$AJ$140,0,MATCH(D$2,Inputs!$K$4:$AJ$4,0)))))</f>
        <v>-608.580971494406</v>
      </c>
      <c r="E73" s="262">
        <f>IF(ISNA(MATCH(E$2,Inputs!$K$4:$AJ$4,0)),NA(),IF(SUMPRODUCT((Inputs!$A$5:$A$140=$B73)*ISNUMBER(INDEX(Inputs!$K$5:$AJ$140,0,MATCH(E$2,Inputs!$K$4:$AJ$4,0))))+SUMPRODUCT((Inputs!$C$5:$C$140=$B73)*ISNUMBER(INDEX(Inputs!$K$5:$AJ$140,0,MATCH(E$2,Inputs!$K$4:$AJ$4,0))))+SUMPRODUCT((Inputs!$E$5:$E$140=$B73)*ISNUMBER(INDEX(Inputs!$K$5:$AJ$140,0,MATCH(E$2,Inputs!$K$4:$AJ$4,0))))=0,NA(),SUMPRODUCT((Inputs!$A$5:$A$140=$B73)*Inputs!$B$5:$B$140*(((Inputs!$G$5:$G$140="moeda")+(Inputs!$G$5:$G$140="acoes"))*Inputs!$B$1+((Inputs!$G$5:$G$140&lt;&gt;"moeda")*(Inputs!$G$5:$G$140&lt;&gt;"acoes")))*INDEX(Inputs!$K$5:$AJ$140,0,MATCH(E$2,Inputs!$K$4:$AJ$4,0)))+SUMPRODUCT((Inputs!$C$5:$C$140=$B73)*Inputs!$D$5:$D$140*(((Inputs!$G$5:$G$140="moeda")+(Inputs!$G$5:$G$140="acoes"))*Inputs!$B$1+((Inputs!$G$5:$G$140&lt;&gt;"moeda")*(Inputs!$G$5:$G$140&lt;&gt;"acoes")))*INDEX(Inputs!$K$5:$AJ$140,0,MATCH(E$2,Inputs!$K$4:$AJ$4,0)))+SUMPRODUCT((Inputs!$E$5:$E$140=$B73)*Inputs!$F$5:$F$140*(((Inputs!$G$5:$G$140="moeda")+(Inputs!$G$5:$G$140="acoes"))*Inputs!$B$1+((Inputs!$G$5:$G$140&lt;&gt;"moeda")*(Inputs!$G$5:$G$140&lt;&gt;"acoes")))*INDEX(Inputs!$K$5:$AJ$140,0,MATCH(E$2,Inputs!$K$4:$AJ$4,0)))))</f>
        <v>-735.781</v>
      </c>
      <c r="F73" s="262">
        <f>IF(ISNA(MATCH(F$2,Inputs!$K$4:$AJ$4,0)),NA(),IF(SUMPRODUCT((Inputs!$A$5:$A$140=$B73)*ISNUMBER(INDEX(Inputs!$K$5:$AJ$140,0,MATCH(F$2,Inputs!$K$4:$AJ$4,0))))+SUMPRODUCT((Inputs!$C$5:$C$140=$B73)*ISNUMBER(INDEX(Inputs!$K$5:$AJ$140,0,MATCH(F$2,Inputs!$K$4:$AJ$4,0))))+SUMPRODUCT((Inputs!$E$5:$E$140=$B73)*ISNUMBER(INDEX(Inputs!$K$5:$AJ$140,0,MATCH(F$2,Inputs!$K$4:$AJ$4,0))))=0,NA(),SUMPRODUCT((Inputs!$A$5:$A$140=$B73)*Inputs!$B$5:$B$140*(((Inputs!$G$5:$G$140="moeda")+(Inputs!$G$5:$G$140="acoes"))*Inputs!$B$1+((Inputs!$G$5:$G$140&lt;&gt;"moeda")*(Inputs!$G$5:$G$140&lt;&gt;"acoes")))*INDEX(Inputs!$K$5:$AJ$140,0,MATCH(F$2,Inputs!$K$4:$AJ$4,0)))+SUMPRODUCT((Inputs!$C$5:$C$140=$B73)*Inputs!$D$5:$D$140*(((Inputs!$G$5:$G$140="moeda")+(Inputs!$G$5:$G$140="acoes"))*Inputs!$B$1+((Inputs!$G$5:$G$140&lt;&gt;"moeda")*(Inputs!$G$5:$G$140&lt;&gt;"acoes")))*INDEX(Inputs!$K$5:$AJ$140,0,MATCH(F$2,Inputs!$K$4:$AJ$4,0)))+SUMPRODUCT((Inputs!$E$5:$E$140=$B73)*Inputs!$F$5:$F$140*(((Inputs!$G$5:$G$140="moeda")+(Inputs!$G$5:$G$140="acoes"))*Inputs!$B$1+((Inputs!$G$5:$G$140&lt;&gt;"moeda")*(Inputs!$G$5:$G$140&lt;&gt;"acoes")))*INDEX(Inputs!$K$5:$AJ$140,0,MATCH(F$2,Inputs!$K$4:$AJ$4,0)))))</f>
        <v>-872.072</v>
      </c>
      <c r="G73" s="262">
        <f>IF(ISNA(MATCH(G$2,Inputs!$K$4:$AJ$4,0)),NA(),IF(SUMPRODUCT((Inputs!$A$5:$A$140=$B73)*ISNUMBER(INDEX(Inputs!$K$5:$AJ$140,0,MATCH(G$2,Inputs!$K$4:$AJ$4,0))))+SUMPRODUCT((Inputs!$C$5:$C$140=$B73)*ISNUMBER(INDEX(Inputs!$K$5:$AJ$140,0,MATCH(G$2,Inputs!$K$4:$AJ$4,0))))+SUMPRODUCT((Inputs!$E$5:$E$140=$B73)*ISNUMBER(INDEX(Inputs!$K$5:$AJ$140,0,MATCH(G$2,Inputs!$K$4:$AJ$4,0))))=0,NA(),SUMPRODUCT((Inputs!$A$5:$A$140=$B73)*Inputs!$B$5:$B$140*(((Inputs!$G$5:$G$140="moeda")+(Inputs!$G$5:$G$140="acoes"))*Inputs!$B$1+((Inputs!$G$5:$G$140&lt;&gt;"moeda")*(Inputs!$G$5:$G$140&lt;&gt;"acoes")))*INDEX(Inputs!$K$5:$AJ$140,0,MATCH(G$2,Inputs!$K$4:$AJ$4,0)))+SUMPRODUCT((Inputs!$C$5:$C$140=$B73)*Inputs!$D$5:$D$140*(((Inputs!$G$5:$G$140="moeda")+(Inputs!$G$5:$G$140="acoes"))*Inputs!$B$1+((Inputs!$G$5:$G$140&lt;&gt;"moeda")*(Inputs!$G$5:$G$140&lt;&gt;"acoes")))*INDEX(Inputs!$K$5:$AJ$140,0,MATCH(G$2,Inputs!$K$4:$AJ$4,0)))+SUMPRODUCT((Inputs!$E$5:$E$140=$B73)*Inputs!$F$5:$F$140*(((Inputs!$G$5:$G$140="moeda")+(Inputs!$G$5:$G$140="acoes"))*Inputs!$B$1+((Inputs!$G$5:$G$140&lt;&gt;"moeda")*(Inputs!$G$5:$G$140&lt;&gt;"acoes")))*INDEX(Inputs!$K$5:$AJ$140,0,MATCH(G$2,Inputs!$K$4:$AJ$4,0)))))</f>
        <v>-949.761</v>
      </c>
      <c r="H73" s="263">
        <f>G73</f>
        <v>-949.761</v>
      </c>
      <c r="I73" s="262">
        <f>IF(ISNA(MATCH(I$2,Inputs!$K$4:$AJ$4,0)),NA(),IF(SUMPRODUCT((Inputs!$A$5:$A$140=$B73)*ISNUMBER(INDEX(Inputs!$K$5:$AJ$140,0,MATCH(I$2,Inputs!$K$4:$AJ$4,0))))+SUMPRODUCT((Inputs!$C$5:$C$140=$B73)*ISNUMBER(INDEX(Inputs!$K$5:$AJ$140,0,MATCH(I$2,Inputs!$K$4:$AJ$4,0))))+SUMPRODUCT((Inputs!$E$5:$E$140=$B73)*ISNUMBER(INDEX(Inputs!$K$5:$AJ$140,0,MATCH(I$2,Inputs!$K$4:$AJ$4,0))))=0,NA(),SUMPRODUCT((Inputs!$A$5:$A$140=$B73)*Inputs!$B$5:$B$140*(((Inputs!$G$5:$G$140="moeda")+(Inputs!$G$5:$G$140="acoes"))*Inputs!$B$1+((Inputs!$G$5:$G$140&lt;&gt;"moeda")*(Inputs!$G$5:$G$140&lt;&gt;"acoes")))*INDEX(Inputs!$K$5:$AJ$140,0,MATCH(I$2,Inputs!$K$4:$AJ$4,0)))+SUMPRODUCT((Inputs!$C$5:$C$140=$B73)*Inputs!$D$5:$D$140*(((Inputs!$G$5:$G$140="moeda")+(Inputs!$G$5:$G$140="acoes"))*Inputs!$B$1+((Inputs!$G$5:$G$140&lt;&gt;"moeda")*(Inputs!$G$5:$G$140&lt;&gt;"acoes")))*INDEX(Inputs!$K$5:$AJ$140,0,MATCH(I$2,Inputs!$K$4:$AJ$4,0)))+SUMPRODUCT((Inputs!$E$5:$E$140=$B73)*Inputs!$F$5:$F$140*(((Inputs!$G$5:$G$140="moeda")+(Inputs!$G$5:$G$140="acoes"))*Inputs!$B$1+((Inputs!$G$5:$G$140&lt;&gt;"moeda")*(Inputs!$G$5:$G$140&lt;&gt;"acoes")))*INDEX(Inputs!$K$5:$AJ$140,0,MATCH(I$2,Inputs!$K$4:$AJ$4,0)))))</f>
        <v>-1101.334</v>
      </c>
      <c r="J73" s="262">
        <f>IF(ISNA(MATCH(J$2,Inputs!$K$4:$AJ$4,0)),NA(),IF(SUMPRODUCT((Inputs!$A$5:$A$140=$B73)*ISNUMBER(INDEX(Inputs!$K$5:$AJ$140,0,MATCH(J$2,Inputs!$K$4:$AJ$4,0))))+SUMPRODUCT((Inputs!$C$5:$C$140=$B73)*ISNUMBER(INDEX(Inputs!$K$5:$AJ$140,0,MATCH(J$2,Inputs!$K$4:$AJ$4,0))))+SUMPRODUCT((Inputs!$E$5:$E$140=$B73)*ISNUMBER(INDEX(Inputs!$K$5:$AJ$140,0,MATCH(J$2,Inputs!$K$4:$AJ$4,0))))=0,NA(),SUMPRODUCT((Inputs!$A$5:$A$140=$B73)*Inputs!$B$5:$B$140*(((Inputs!$G$5:$G$140="moeda")+(Inputs!$G$5:$G$140="acoes"))*Inputs!$B$1+((Inputs!$G$5:$G$140&lt;&gt;"moeda")*(Inputs!$G$5:$G$140&lt;&gt;"acoes")))*INDEX(Inputs!$K$5:$AJ$140,0,MATCH(J$2,Inputs!$K$4:$AJ$4,0)))+SUMPRODUCT((Inputs!$C$5:$C$140=$B73)*Inputs!$D$5:$D$140*(((Inputs!$G$5:$G$140="moeda")+(Inputs!$G$5:$G$140="acoes"))*Inputs!$B$1+((Inputs!$G$5:$G$140&lt;&gt;"moeda")*(Inputs!$G$5:$G$140&lt;&gt;"acoes")))*INDEX(Inputs!$K$5:$AJ$140,0,MATCH(J$2,Inputs!$K$4:$AJ$4,0)))+SUMPRODUCT((Inputs!$E$5:$E$140=$B73)*Inputs!$F$5:$F$140*(((Inputs!$G$5:$G$140="moeda")+(Inputs!$G$5:$G$140="acoes"))*Inputs!$B$1+((Inputs!$G$5:$G$140&lt;&gt;"moeda")*(Inputs!$G$5:$G$140&lt;&gt;"acoes")))*INDEX(Inputs!$K$5:$AJ$140,0,MATCH(J$2,Inputs!$K$4:$AJ$4,0)))))</f>
        <v>-1227.464</v>
      </c>
      <c r="K73" s="262">
        <f>IF(ISNA(MATCH(K$2,Inputs!$K$4:$AJ$4,0)),NA(),IF(SUMPRODUCT((Inputs!$A$5:$A$140=$B73)*ISNUMBER(INDEX(Inputs!$K$5:$AJ$140,0,MATCH(K$2,Inputs!$K$4:$AJ$4,0))))+SUMPRODUCT((Inputs!$C$5:$C$140=$B73)*ISNUMBER(INDEX(Inputs!$K$5:$AJ$140,0,MATCH(K$2,Inputs!$K$4:$AJ$4,0))))+SUMPRODUCT((Inputs!$E$5:$E$140=$B73)*ISNUMBER(INDEX(Inputs!$K$5:$AJ$140,0,MATCH(K$2,Inputs!$K$4:$AJ$4,0))))=0,NA(),SUMPRODUCT((Inputs!$A$5:$A$140=$B73)*Inputs!$B$5:$B$140*(((Inputs!$G$5:$G$140="moeda")+(Inputs!$G$5:$G$140="acoes"))*Inputs!$B$1+((Inputs!$G$5:$G$140&lt;&gt;"moeda")*(Inputs!$G$5:$G$140&lt;&gt;"acoes")))*INDEX(Inputs!$K$5:$AJ$140,0,MATCH(K$2,Inputs!$K$4:$AJ$4,0)))+SUMPRODUCT((Inputs!$C$5:$C$140=$B73)*Inputs!$D$5:$D$140*(((Inputs!$G$5:$G$140="moeda")+(Inputs!$G$5:$G$140="acoes"))*Inputs!$B$1+((Inputs!$G$5:$G$140&lt;&gt;"moeda")*(Inputs!$G$5:$G$140&lt;&gt;"acoes")))*INDEX(Inputs!$K$5:$AJ$140,0,MATCH(K$2,Inputs!$K$4:$AJ$4,0)))+SUMPRODUCT((Inputs!$E$5:$E$140=$B73)*Inputs!$F$5:$F$140*(((Inputs!$G$5:$G$140="moeda")+(Inputs!$G$5:$G$140="acoes"))*Inputs!$B$1+((Inputs!$G$5:$G$140&lt;&gt;"moeda")*(Inputs!$G$5:$G$140&lt;&gt;"acoes")))*INDEX(Inputs!$K$5:$AJ$140,0,MATCH(K$2,Inputs!$K$4:$AJ$4,0)))))</f>
        <v>-1343.94</v>
      </c>
      <c r="L73" s="262">
        <f>IF(ISNA(MATCH(L$2,Inputs!$K$4:$AJ$4,0)),NA(),IF(SUMPRODUCT((Inputs!$A$5:$A$140=$B73)*ISNUMBER(INDEX(Inputs!$K$5:$AJ$140,0,MATCH(L$2,Inputs!$K$4:$AJ$4,0))))+SUMPRODUCT((Inputs!$C$5:$C$140=$B73)*ISNUMBER(INDEX(Inputs!$K$5:$AJ$140,0,MATCH(L$2,Inputs!$K$4:$AJ$4,0))))+SUMPRODUCT((Inputs!$E$5:$E$140=$B73)*ISNUMBER(INDEX(Inputs!$K$5:$AJ$140,0,MATCH(L$2,Inputs!$K$4:$AJ$4,0))))=0,NA(),SUMPRODUCT((Inputs!$A$5:$A$140=$B73)*Inputs!$B$5:$B$140*(((Inputs!$G$5:$G$140="moeda")+(Inputs!$G$5:$G$140="acoes"))*Inputs!$B$1+((Inputs!$G$5:$G$140&lt;&gt;"moeda")*(Inputs!$G$5:$G$140&lt;&gt;"acoes")))*INDEX(Inputs!$K$5:$AJ$140,0,MATCH(L$2,Inputs!$K$4:$AJ$4,0)))+SUMPRODUCT((Inputs!$C$5:$C$140=$B73)*Inputs!$D$5:$D$140*(((Inputs!$G$5:$G$140="moeda")+(Inputs!$G$5:$G$140="acoes"))*Inputs!$B$1+((Inputs!$G$5:$G$140&lt;&gt;"moeda")*(Inputs!$G$5:$G$140&lt;&gt;"acoes")))*INDEX(Inputs!$K$5:$AJ$140,0,MATCH(L$2,Inputs!$K$4:$AJ$4,0)))+SUMPRODUCT((Inputs!$E$5:$E$140=$B73)*Inputs!$F$5:$F$140*(((Inputs!$G$5:$G$140="moeda")+(Inputs!$G$5:$G$140="acoes"))*Inputs!$B$1+((Inputs!$G$5:$G$140&lt;&gt;"moeda")*(Inputs!$G$5:$G$140&lt;&gt;"acoes")))*INDEX(Inputs!$K$5:$AJ$140,0,MATCH(L$2,Inputs!$K$4:$AJ$4,0)))))</f>
        <v>-1426.532</v>
      </c>
      <c r="M73" s="263">
        <f>L73</f>
        <v>-1426.532</v>
      </c>
      <c r="N73" s="262">
        <f>IF(ISNA(MATCH(N$2,Inputs!$K$4:$AJ$4,0)),NA(),IF(SUMPRODUCT((Inputs!$A$5:$A$140=$B73)*ISNUMBER(INDEX(Inputs!$K$5:$AJ$140,0,MATCH(N$2,Inputs!$K$4:$AJ$4,0))))+SUMPRODUCT((Inputs!$C$5:$C$140=$B73)*ISNUMBER(INDEX(Inputs!$K$5:$AJ$140,0,MATCH(N$2,Inputs!$K$4:$AJ$4,0))))+SUMPRODUCT((Inputs!$E$5:$E$140=$B73)*ISNUMBER(INDEX(Inputs!$K$5:$AJ$140,0,MATCH(N$2,Inputs!$K$4:$AJ$4,0))))=0,NA(),SUMPRODUCT((Inputs!$A$5:$A$140=$B73)*Inputs!$B$5:$B$140*(((Inputs!$G$5:$G$140="moeda")+(Inputs!$G$5:$G$140="acoes"))*Inputs!$B$1+((Inputs!$G$5:$G$140&lt;&gt;"moeda")*(Inputs!$G$5:$G$140&lt;&gt;"acoes")))*INDEX(Inputs!$K$5:$AJ$140,0,MATCH(N$2,Inputs!$K$4:$AJ$4,0)))+SUMPRODUCT((Inputs!$C$5:$C$140=$B73)*Inputs!$D$5:$D$140*(((Inputs!$G$5:$G$140="moeda")+(Inputs!$G$5:$G$140="acoes"))*Inputs!$B$1+((Inputs!$G$5:$G$140&lt;&gt;"moeda")*(Inputs!$G$5:$G$140&lt;&gt;"acoes")))*INDEX(Inputs!$K$5:$AJ$140,0,MATCH(N$2,Inputs!$K$4:$AJ$4,0)))+SUMPRODUCT((Inputs!$E$5:$E$140=$B73)*Inputs!$F$5:$F$140*(((Inputs!$G$5:$G$140="moeda")+(Inputs!$G$5:$G$140="acoes"))*Inputs!$B$1+((Inputs!$G$5:$G$140&lt;&gt;"moeda")*(Inputs!$G$5:$G$140&lt;&gt;"acoes")))*INDEX(Inputs!$K$5:$AJ$140,0,MATCH(N$2,Inputs!$K$4:$AJ$4,0)))))</f>
        <v>-1691.437</v>
      </c>
      <c r="O73" s="262">
        <f>IF(ISNA(MATCH(O$2,Inputs!$K$4:$AJ$4,0)),NA(),IF(SUMPRODUCT((Inputs!$A$5:$A$140=$B73)*ISNUMBER(INDEX(Inputs!$K$5:$AJ$140,0,MATCH(O$2,Inputs!$K$4:$AJ$4,0))))+SUMPRODUCT((Inputs!$C$5:$C$140=$B73)*ISNUMBER(INDEX(Inputs!$K$5:$AJ$140,0,MATCH(O$2,Inputs!$K$4:$AJ$4,0))))+SUMPRODUCT((Inputs!$E$5:$E$140=$B73)*ISNUMBER(INDEX(Inputs!$K$5:$AJ$140,0,MATCH(O$2,Inputs!$K$4:$AJ$4,0))))=0,NA(),SUMPRODUCT((Inputs!$A$5:$A$140=$B73)*Inputs!$B$5:$B$140*(((Inputs!$G$5:$G$140="moeda")+(Inputs!$G$5:$G$140="acoes"))*Inputs!$B$1+((Inputs!$G$5:$G$140&lt;&gt;"moeda")*(Inputs!$G$5:$G$140&lt;&gt;"acoes")))*INDEX(Inputs!$K$5:$AJ$140,0,MATCH(O$2,Inputs!$K$4:$AJ$4,0)))+SUMPRODUCT((Inputs!$C$5:$C$140=$B73)*Inputs!$D$5:$D$140*(((Inputs!$G$5:$G$140="moeda")+(Inputs!$G$5:$G$140="acoes"))*Inputs!$B$1+((Inputs!$G$5:$G$140&lt;&gt;"moeda")*(Inputs!$G$5:$G$140&lt;&gt;"acoes")))*INDEX(Inputs!$K$5:$AJ$140,0,MATCH(O$2,Inputs!$K$4:$AJ$4,0)))+SUMPRODUCT((Inputs!$E$5:$E$140=$B73)*Inputs!$F$5:$F$140*(((Inputs!$G$5:$G$140="moeda")+(Inputs!$G$5:$G$140="acoes"))*Inputs!$B$1+((Inputs!$G$5:$G$140&lt;&gt;"moeda")*(Inputs!$G$5:$G$140&lt;&gt;"acoes")))*INDEX(Inputs!$K$5:$AJ$140,0,MATCH(O$2,Inputs!$K$4:$AJ$4,0)))))</f>
        <v>-1885.672</v>
      </c>
      <c r="P73" s="262">
        <f>IF(ISNA(MATCH(P$2,Inputs!$K$4:$AJ$4,0)),NA(),IF(SUMPRODUCT((Inputs!$A$5:$A$140=$B73)*ISNUMBER(INDEX(Inputs!$K$5:$AJ$140,0,MATCH(P$2,Inputs!$K$4:$AJ$4,0))))+SUMPRODUCT((Inputs!$C$5:$C$140=$B73)*ISNUMBER(INDEX(Inputs!$K$5:$AJ$140,0,MATCH(P$2,Inputs!$K$4:$AJ$4,0))))+SUMPRODUCT((Inputs!$E$5:$E$140=$B73)*ISNUMBER(INDEX(Inputs!$K$5:$AJ$140,0,MATCH(P$2,Inputs!$K$4:$AJ$4,0))))=0,NA(),SUMPRODUCT((Inputs!$A$5:$A$140=$B73)*Inputs!$B$5:$B$140*(((Inputs!$G$5:$G$140="moeda")+(Inputs!$G$5:$G$140="acoes"))*Inputs!$B$1+((Inputs!$G$5:$G$140&lt;&gt;"moeda")*(Inputs!$G$5:$G$140&lt;&gt;"acoes")))*INDEX(Inputs!$K$5:$AJ$140,0,MATCH(P$2,Inputs!$K$4:$AJ$4,0)))+SUMPRODUCT((Inputs!$C$5:$C$140=$B73)*Inputs!$D$5:$D$140*(((Inputs!$G$5:$G$140="moeda")+(Inputs!$G$5:$G$140="acoes"))*Inputs!$B$1+((Inputs!$G$5:$G$140&lt;&gt;"moeda")*(Inputs!$G$5:$G$140&lt;&gt;"acoes")))*INDEX(Inputs!$K$5:$AJ$140,0,MATCH(P$2,Inputs!$K$4:$AJ$4,0)))+SUMPRODUCT((Inputs!$E$5:$E$140=$B73)*Inputs!$F$5:$F$140*(((Inputs!$G$5:$G$140="moeda")+(Inputs!$G$5:$G$140="acoes"))*Inputs!$B$1+((Inputs!$G$5:$G$140&lt;&gt;"moeda")*(Inputs!$G$5:$G$140&lt;&gt;"acoes")))*INDEX(Inputs!$K$5:$AJ$140,0,MATCH(P$2,Inputs!$K$4:$AJ$4,0)))))</f>
        <v>-1996.732</v>
      </c>
      <c r="Q73" s="262">
        <f>IF(ISNA(MATCH(Q$2,Inputs!$K$4:$AJ$4,0)),NA(),IF(SUMPRODUCT((Inputs!$A$5:$A$140=$B73)*ISNUMBER(INDEX(Inputs!$K$5:$AJ$140,0,MATCH(Q$2,Inputs!$K$4:$AJ$4,0))))+SUMPRODUCT((Inputs!$C$5:$C$140=$B73)*ISNUMBER(INDEX(Inputs!$K$5:$AJ$140,0,MATCH(Q$2,Inputs!$K$4:$AJ$4,0))))+SUMPRODUCT((Inputs!$E$5:$E$140=$B73)*ISNUMBER(INDEX(Inputs!$K$5:$AJ$140,0,MATCH(Q$2,Inputs!$K$4:$AJ$4,0))))=0,NA(),SUMPRODUCT((Inputs!$A$5:$A$140=$B73)*Inputs!$B$5:$B$140*(((Inputs!$G$5:$G$140="moeda")+(Inputs!$G$5:$G$140="acoes"))*Inputs!$B$1+((Inputs!$G$5:$G$140&lt;&gt;"moeda")*(Inputs!$G$5:$G$140&lt;&gt;"acoes")))*INDEX(Inputs!$K$5:$AJ$140,0,MATCH(Q$2,Inputs!$K$4:$AJ$4,0)))+SUMPRODUCT((Inputs!$C$5:$C$140=$B73)*Inputs!$D$5:$D$140*(((Inputs!$G$5:$G$140="moeda")+(Inputs!$G$5:$G$140="acoes"))*Inputs!$B$1+((Inputs!$G$5:$G$140&lt;&gt;"moeda")*(Inputs!$G$5:$G$140&lt;&gt;"acoes")))*INDEX(Inputs!$K$5:$AJ$140,0,MATCH(Q$2,Inputs!$K$4:$AJ$4,0)))+SUMPRODUCT((Inputs!$E$5:$E$140=$B73)*Inputs!$F$5:$F$140*(((Inputs!$G$5:$G$140="moeda")+(Inputs!$G$5:$G$140="acoes"))*Inputs!$B$1+((Inputs!$G$5:$G$140&lt;&gt;"moeda")*(Inputs!$G$5:$G$140&lt;&gt;"acoes")))*INDEX(Inputs!$K$5:$AJ$140,0,MATCH(Q$2,Inputs!$K$4:$AJ$4,0)))))</f>
        <v>-2032.161</v>
      </c>
      <c r="R73" s="263">
        <f>Q73</f>
        <v>-2032.161</v>
      </c>
      <c r="S73" s="262">
        <f>IF(ISNA(MATCH(S$2,Inputs!$K$4:$AJ$4,0)),NA(),IF(SUMPRODUCT((Inputs!$A$5:$A$140=$B73)*ISNUMBER(INDEX(Inputs!$K$5:$AJ$140,0,MATCH(S$2,Inputs!$K$4:$AJ$4,0))))+SUMPRODUCT((Inputs!$C$5:$C$140=$B73)*ISNUMBER(INDEX(Inputs!$K$5:$AJ$140,0,MATCH(S$2,Inputs!$K$4:$AJ$4,0))))+SUMPRODUCT((Inputs!$E$5:$E$140=$B73)*ISNUMBER(INDEX(Inputs!$K$5:$AJ$140,0,MATCH(S$2,Inputs!$K$4:$AJ$4,0))))=0,NA(),SUMPRODUCT((Inputs!$A$5:$A$140=$B73)*Inputs!$B$5:$B$140*(((Inputs!$G$5:$G$140="moeda")+(Inputs!$G$5:$G$140="acoes"))*Inputs!$B$1+((Inputs!$G$5:$G$140&lt;&gt;"moeda")*(Inputs!$G$5:$G$140&lt;&gt;"acoes")))*INDEX(Inputs!$K$5:$AJ$140,0,MATCH(S$2,Inputs!$K$4:$AJ$4,0)))+SUMPRODUCT((Inputs!$C$5:$C$140=$B73)*Inputs!$D$5:$D$140*(((Inputs!$G$5:$G$140="moeda")+(Inputs!$G$5:$G$140="acoes"))*Inputs!$B$1+((Inputs!$G$5:$G$140&lt;&gt;"moeda")*(Inputs!$G$5:$G$140&lt;&gt;"acoes")))*INDEX(Inputs!$K$5:$AJ$140,0,MATCH(S$2,Inputs!$K$4:$AJ$4,0)))+SUMPRODUCT((Inputs!$E$5:$E$140=$B73)*Inputs!$F$5:$F$140*(((Inputs!$G$5:$G$140="moeda")+(Inputs!$G$5:$G$140="acoes"))*Inputs!$B$1+((Inputs!$G$5:$G$140&lt;&gt;"moeda")*(Inputs!$G$5:$G$140&lt;&gt;"acoes")))*INDEX(Inputs!$K$5:$AJ$140,0,MATCH(S$2,Inputs!$K$4:$AJ$4,0)))))</f>
        <v>-2404.1</v>
      </c>
      <c r="T73" s="262">
        <f>IF(ISNA(MATCH(T$2,Inputs!$K$4:$AJ$4,0)),NA(),IF(SUMPRODUCT((Inputs!$A$5:$A$140=$B73)*ISNUMBER(INDEX(Inputs!$K$5:$AJ$140,0,MATCH(T$2,Inputs!$K$4:$AJ$4,0))))+SUMPRODUCT((Inputs!$C$5:$C$140=$B73)*ISNUMBER(INDEX(Inputs!$K$5:$AJ$140,0,MATCH(T$2,Inputs!$K$4:$AJ$4,0))))+SUMPRODUCT((Inputs!$E$5:$E$140=$B73)*ISNUMBER(INDEX(Inputs!$K$5:$AJ$140,0,MATCH(T$2,Inputs!$K$4:$AJ$4,0))))=0,NA(),SUMPRODUCT((Inputs!$A$5:$A$140=$B73)*Inputs!$B$5:$B$140*(((Inputs!$G$5:$G$140="moeda")+(Inputs!$G$5:$G$140="acoes"))*Inputs!$B$1+((Inputs!$G$5:$G$140&lt;&gt;"moeda")*(Inputs!$G$5:$G$140&lt;&gt;"acoes")))*INDEX(Inputs!$K$5:$AJ$140,0,MATCH(T$2,Inputs!$K$4:$AJ$4,0)))+SUMPRODUCT((Inputs!$C$5:$C$140=$B73)*Inputs!$D$5:$D$140*(((Inputs!$G$5:$G$140="moeda")+(Inputs!$G$5:$G$140="acoes"))*Inputs!$B$1+((Inputs!$G$5:$G$140&lt;&gt;"moeda")*(Inputs!$G$5:$G$140&lt;&gt;"acoes")))*INDEX(Inputs!$K$5:$AJ$140,0,MATCH(T$2,Inputs!$K$4:$AJ$4,0)))+SUMPRODUCT((Inputs!$E$5:$E$140=$B73)*Inputs!$F$5:$F$140*(((Inputs!$G$5:$G$140="moeda")+(Inputs!$G$5:$G$140="acoes"))*Inputs!$B$1+((Inputs!$G$5:$G$140&lt;&gt;"moeda")*(Inputs!$G$5:$G$140&lt;&gt;"acoes")))*INDEX(Inputs!$K$5:$AJ$140,0,MATCH(T$2,Inputs!$K$4:$AJ$4,0)))))</f>
        <v>-2769.753</v>
      </c>
      <c r="U73" s="262">
        <f>IF(ISNA(MATCH(U$2,Inputs!$K$4:$AJ$4,0)),NA(),IF(SUMPRODUCT((Inputs!$A$5:$A$140=$B73)*ISNUMBER(INDEX(Inputs!$K$5:$AJ$140,0,MATCH(U$2,Inputs!$K$4:$AJ$4,0))))+SUMPRODUCT((Inputs!$C$5:$C$140=$B73)*ISNUMBER(INDEX(Inputs!$K$5:$AJ$140,0,MATCH(U$2,Inputs!$K$4:$AJ$4,0))))+SUMPRODUCT((Inputs!$E$5:$E$140=$B73)*ISNUMBER(INDEX(Inputs!$K$5:$AJ$140,0,MATCH(U$2,Inputs!$K$4:$AJ$4,0))))=0,NA(),SUMPRODUCT((Inputs!$A$5:$A$140=$B73)*Inputs!$B$5:$B$140*(((Inputs!$G$5:$G$140="moeda")+(Inputs!$G$5:$G$140="acoes"))*Inputs!$B$1+((Inputs!$G$5:$G$140&lt;&gt;"moeda")*(Inputs!$G$5:$G$140&lt;&gt;"acoes")))*INDEX(Inputs!$K$5:$AJ$140,0,MATCH(U$2,Inputs!$K$4:$AJ$4,0)))+SUMPRODUCT((Inputs!$C$5:$C$140=$B73)*Inputs!$D$5:$D$140*(((Inputs!$G$5:$G$140="moeda")+(Inputs!$G$5:$G$140="acoes"))*Inputs!$B$1+((Inputs!$G$5:$G$140&lt;&gt;"moeda")*(Inputs!$G$5:$G$140&lt;&gt;"acoes")))*INDEX(Inputs!$K$5:$AJ$140,0,MATCH(U$2,Inputs!$K$4:$AJ$4,0)))+SUMPRODUCT((Inputs!$E$5:$E$140=$B73)*Inputs!$F$5:$F$140*(((Inputs!$G$5:$G$140="moeda")+(Inputs!$G$5:$G$140="acoes"))*Inputs!$B$1+((Inputs!$G$5:$G$140&lt;&gt;"moeda")*(Inputs!$G$5:$G$140&lt;&gt;"acoes")))*INDEX(Inputs!$K$5:$AJ$140,0,MATCH(U$2,Inputs!$K$4:$AJ$4,0)))))</f>
        <v>-2950.257</v>
      </c>
      <c r="V73" s="262">
        <f>IF(ISNA(MATCH(V$2,Inputs!$K$4:$AJ$4,0)),NA(),IF(SUMPRODUCT((Inputs!$A$5:$A$140=$B73)*ISNUMBER(INDEX(Inputs!$K$5:$AJ$140,0,MATCH(V$2,Inputs!$K$4:$AJ$4,0))))+SUMPRODUCT((Inputs!$C$5:$C$140=$B73)*ISNUMBER(INDEX(Inputs!$K$5:$AJ$140,0,MATCH(V$2,Inputs!$K$4:$AJ$4,0))))+SUMPRODUCT((Inputs!$E$5:$E$140=$B73)*ISNUMBER(INDEX(Inputs!$K$5:$AJ$140,0,MATCH(V$2,Inputs!$K$4:$AJ$4,0))))=0,NA(),SUMPRODUCT((Inputs!$A$5:$A$140=$B73)*Inputs!$B$5:$B$140*(((Inputs!$G$5:$G$140="moeda")+(Inputs!$G$5:$G$140="acoes"))*Inputs!$B$1+((Inputs!$G$5:$G$140&lt;&gt;"moeda")*(Inputs!$G$5:$G$140&lt;&gt;"acoes")))*INDEX(Inputs!$K$5:$AJ$140,0,MATCH(V$2,Inputs!$K$4:$AJ$4,0)))+SUMPRODUCT((Inputs!$C$5:$C$140=$B73)*Inputs!$D$5:$D$140*(((Inputs!$G$5:$G$140="moeda")+(Inputs!$G$5:$G$140="acoes"))*Inputs!$B$1+((Inputs!$G$5:$G$140&lt;&gt;"moeda")*(Inputs!$G$5:$G$140&lt;&gt;"acoes")))*INDEX(Inputs!$K$5:$AJ$140,0,MATCH(V$2,Inputs!$K$4:$AJ$4,0)))+SUMPRODUCT((Inputs!$E$5:$E$140=$B73)*Inputs!$F$5:$F$140*(((Inputs!$G$5:$G$140="moeda")+(Inputs!$G$5:$G$140="acoes"))*Inputs!$B$1+((Inputs!$G$5:$G$140&lt;&gt;"moeda")*(Inputs!$G$5:$G$140&lt;&gt;"acoes")))*INDEX(Inputs!$K$5:$AJ$140,0,MATCH(V$2,Inputs!$K$4:$AJ$4,0)))))</f>
        <v>-3150.416</v>
      </c>
      <c r="W73" s="263">
        <f>V73</f>
        <v>-3150.416</v>
      </c>
      <c r="X73" s="262">
        <f>IF(ISNA(MATCH(X$2,Inputs!$K$4:$AJ$4,0)),NA(),IF(SUMPRODUCT((Inputs!$A$5:$A$140=$B73)*ISNUMBER(INDEX(Inputs!$K$5:$AJ$140,0,MATCH(X$2,Inputs!$K$4:$AJ$4,0))))+SUMPRODUCT((Inputs!$C$5:$C$140=$B73)*ISNUMBER(INDEX(Inputs!$K$5:$AJ$140,0,MATCH(X$2,Inputs!$K$4:$AJ$4,0))))+SUMPRODUCT((Inputs!$E$5:$E$140=$B73)*ISNUMBER(INDEX(Inputs!$K$5:$AJ$140,0,MATCH(X$2,Inputs!$K$4:$AJ$4,0))))=0,NA(),SUMPRODUCT((Inputs!$A$5:$A$140=$B73)*Inputs!$B$5:$B$140*(((Inputs!$G$5:$G$140="moeda")+(Inputs!$G$5:$G$140="acoes"))*Inputs!$B$1+((Inputs!$G$5:$G$140&lt;&gt;"moeda")*(Inputs!$G$5:$G$140&lt;&gt;"acoes")))*INDEX(Inputs!$K$5:$AJ$140,0,MATCH(X$2,Inputs!$K$4:$AJ$4,0)))+SUMPRODUCT((Inputs!$C$5:$C$140=$B73)*Inputs!$D$5:$D$140*(((Inputs!$G$5:$G$140="moeda")+(Inputs!$G$5:$G$140="acoes"))*Inputs!$B$1+((Inputs!$G$5:$G$140&lt;&gt;"moeda")*(Inputs!$G$5:$G$140&lt;&gt;"acoes")))*INDEX(Inputs!$K$5:$AJ$140,0,MATCH(X$2,Inputs!$K$4:$AJ$4,0)))+SUMPRODUCT((Inputs!$E$5:$E$140=$B73)*Inputs!$F$5:$F$140*(((Inputs!$G$5:$G$140="moeda")+(Inputs!$G$5:$G$140="acoes"))*Inputs!$B$1+((Inputs!$G$5:$G$140&lt;&gt;"moeda")*(Inputs!$G$5:$G$140&lt;&gt;"acoes")))*INDEX(Inputs!$K$5:$AJ$140,0,MATCH(X$2,Inputs!$K$4:$AJ$4,0)))))</f>
        <v>-3656.268</v>
      </c>
      <c r="Y73" s="262">
        <f>IF(ISNA(MATCH(Y$2,Inputs!$K$4:$AJ$4,0)),NA(),IF(SUMPRODUCT((Inputs!$A$5:$A$140=$B73)*ISNUMBER(INDEX(Inputs!$K$5:$AJ$140,0,MATCH(Y$2,Inputs!$K$4:$AJ$4,0))))+SUMPRODUCT((Inputs!$C$5:$C$140=$B73)*ISNUMBER(INDEX(Inputs!$K$5:$AJ$140,0,MATCH(Y$2,Inputs!$K$4:$AJ$4,0))))+SUMPRODUCT((Inputs!$E$5:$E$140=$B73)*ISNUMBER(INDEX(Inputs!$K$5:$AJ$140,0,MATCH(Y$2,Inputs!$K$4:$AJ$4,0))))=0,NA(),SUMPRODUCT((Inputs!$A$5:$A$140=$B73)*Inputs!$B$5:$B$140*(((Inputs!$G$5:$G$140="moeda")+(Inputs!$G$5:$G$140="acoes"))*Inputs!$B$1+((Inputs!$G$5:$G$140&lt;&gt;"moeda")*(Inputs!$G$5:$G$140&lt;&gt;"acoes")))*INDEX(Inputs!$K$5:$AJ$140,0,MATCH(Y$2,Inputs!$K$4:$AJ$4,0)))+SUMPRODUCT((Inputs!$C$5:$C$140=$B73)*Inputs!$D$5:$D$140*(((Inputs!$G$5:$G$140="moeda")+(Inputs!$G$5:$G$140="acoes"))*Inputs!$B$1+((Inputs!$G$5:$G$140&lt;&gt;"moeda")*(Inputs!$G$5:$G$140&lt;&gt;"acoes")))*INDEX(Inputs!$K$5:$AJ$140,0,MATCH(Y$2,Inputs!$K$4:$AJ$4,0)))+SUMPRODUCT((Inputs!$E$5:$E$140=$B73)*Inputs!$F$5:$F$140*(((Inputs!$G$5:$G$140="moeda")+(Inputs!$G$5:$G$140="acoes"))*Inputs!$B$1+((Inputs!$G$5:$G$140&lt;&gt;"moeda")*(Inputs!$G$5:$G$140&lt;&gt;"acoes")))*INDEX(Inputs!$K$5:$AJ$140,0,MATCH(Y$2,Inputs!$K$4:$AJ$4,0)))))</f>
        <v>-4123.959</v>
      </c>
      <c r="Z73" s="262">
        <f>IF(ISNA(MATCH(Z$2,Inputs!$K$4:$AJ$4,0)),NA(),IF(SUMPRODUCT((Inputs!$A$5:$A$140=$B73)*ISNUMBER(INDEX(Inputs!$K$5:$AJ$140,0,MATCH(Z$2,Inputs!$K$4:$AJ$4,0))))+SUMPRODUCT((Inputs!$C$5:$C$140=$B73)*ISNUMBER(INDEX(Inputs!$K$5:$AJ$140,0,MATCH(Z$2,Inputs!$K$4:$AJ$4,0))))+SUMPRODUCT((Inputs!$E$5:$E$140=$B73)*ISNUMBER(INDEX(Inputs!$K$5:$AJ$140,0,MATCH(Z$2,Inputs!$K$4:$AJ$4,0))))=0,NA(),SUMPRODUCT((Inputs!$A$5:$A$140=$B73)*Inputs!$B$5:$B$140*(((Inputs!$G$5:$G$140="moeda")+(Inputs!$G$5:$G$140="acoes"))*Inputs!$B$1+((Inputs!$G$5:$G$140&lt;&gt;"moeda")*(Inputs!$G$5:$G$140&lt;&gt;"acoes")))*INDEX(Inputs!$K$5:$AJ$140,0,MATCH(Z$2,Inputs!$K$4:$AJ$4,0)))+SUMPRODUCT((Inputs!$C$5:$C$140=$B73)*Inputs!$D$5:$D$140*(((Inputs!$G$5:$G$140="moeda")+(Inputs!$G$5:$G$140="acoes"))*Inputs!$B$1+((Inputs!$G$5:$G$140&lt;&gt;"moeda")*(Inputs!$G$5:$G$140&lt;&gt;"acoes")))*INDEX(Inputs!$K$5:$AJ$140,0,MATCH(Z$2,Inputs!$K$4:$AJ$4,0)))+SUMPRODUCT((Inputs!$E$5:$E$140=$B73)*Inputs!$F$5:$F$140*(((Inputs!$G$5:$G$140="moeda")+(Inputs!$G$5:$G$140="acoes"))*Inputs!$B$1+((Inputs!$G$5:$G$140&lt;&gt;"moeda")*(Inputs!$G$5:$G$140&lt;&gt;"acoes")))*INDEX(Inputs!$K$5:$AJ$140,0,MATCH(Z$2,Inputs!$K$4:$AJ$4,0)))))</f>
        <v>-4355.125</v>
      </c>
      <c r="AA73" s="262">
        <f>IF(ISNA(MATCH(AA$2,Inputs!$K$4:$AJ$4,0)),NA(),IF(SUMPRODUCT((Inputs!$A$5:$A$140=$B73)*ISNUMBER(INDEX(Inputs!$K$5:$AJ$140,0,MATCH(AA$2,Inputs!$K$4:$AJ$4,0))))+SUMPRODUCT((Inputs!$C$5:$C$140=$B73)*ISNUMBER(INDEX(Inputs!$K$5:$AJ$140,0,MATCH(AA$2,Inputs!$K$4:$AJ$4,0))))+SUMPRODUCT((Inputs!$E$5:$E$140=$B73)*ISNUMBER(INDEX(Inputs!$K$5:$AJ$140,0,MATCH(AA$2,Inputs!$K$4:$AJ$4,0))))=0,NA(),SUMPRODUCT((Inputs!$A$5:$A$140=$B73)*Inputs!$B$5:$B$140*(((Inputs!$G$5:$G$140="moeda")+(Inputs!$G$5:$G$140="acoes"))*Inputs!$B$1+((Inputs!$G$5:$G$140&lt;&gt;"moeda")*(Inputs!$G$5:$G$140&lt;&gt;"acoes")))*INDEX(Inputs!$K$5:$AJ$140,0,MATCH(AA$2,Inputs!$K$4:$AJ$4,0)))+SUMPRODUCT((Inputs!$C$5:$C$140=$B73)*Inputs!$D$5:$D$140*(((Inputs!$G$5:$G$140="moeda")+(Inputs!$G$5:$G$140="acoes"))*Inputs!$B$1+((Inputs!$G$5:$G$140&lt;&gt;"moeda")*(Inputs!$G$5:$G$140&lt;&gt;"acoes")))*INDEX(Inputs!$K$5:$AJ$140,0,MATCH(AA$2,Inputs!$K$4:$AJ$4,0)))+SUMPRODUCT((Inputs!$E$5:$E$140=$B73)*Inputs!$F$5:$F$140*(((Inputs!$G$5:$G$140="moeda")+(Inputs!$G$5:$G$140="acoes"))*Inputs!$B$1+((Inputs!$G$5:$G$140&lt;&gt;"moeda")*(Inputs!$G$5:$G$140&lt;&gt;"acoes")))*INDEX(Inputs!$K$5:$AJ$140,0,MATCH(AA$2,Inputs!$K$4:$AJ$4,0)))))</f>
        <v>-4420.54</v>
      </c>
      <c r="AB73" s="263">
        <f>AA73</f>
        <v>-4420.54</v>
      </c>
      <c r="AC73" s="262">
        <f>IF(ISNA(MATCH(AC$2,Inputs!$K$4:$AJ$4,0)),NA(),IF(SUMPRODUCT((Inputs!$A$5:$A$140=$B73)*ISNUMBER(INDEX(Inputs!$K$5:$AJ$140,0,MATCH(AC$2,Inputs!$K$4:$AJ$4,0))))+SUMPRODUCT((Inputs!$C$5:$C$140=$B73)*ISNUMBER(INDEX(Inputs!$K$5:$AJ$140,0,MATCH(AC$2,Inputs!$K$4:$AJ$4,0))))+SUMPRODUCT((Inputs!$E$5:$E$140=$B73)*ISNUMBER(INDEX(Inputs!$K$5:$AJ$140,0,MATCH(AC$2,Inputs!$K$4:$AJ$4,0))))=0,NA(),SUMPRODUCT((Inputs!$A$5:$A$140=$B73)*Inputs!$B$5:$B$140*(((Inputs!$G$5:$G$140="moeda")+(Inputs!$G$5:$G$140="acoes"))*Inputs!$B$1+((Inputs!$G$5:$G$140&lt;&gt;"moeda")*(Inputs!$G$5:$G$140&lt;&gt;"acoes")))*INDEX(Inputs!$K$5:$AJ$140,0,MATCH(AC$2,Inputs!$K$4:$AJ$4,0)))+SUMPRODUCT((Inputs!$C$5:$C$140=$B73)*Inputs!$D$5:$D$140*(((Inputs!$G$5:$G$140="moeda")+(Inputs!$G$5:$G$140="acoes"))*Inputs!$B$1+((Inputs!$G$5:$G$140&lt;&gt;"moeda")*(Inputs!$G$5:$G$140&lt;&gt;"acoes")))*INDEX(Inputs!$K$5:$AJ$140,0,MATCH(AC$2,Inputs!$K$4:$AJ$4,0)))+SUMPRODUCT((Inputs!$E$5:$E$140=$B73)*Inputs!$F$5:$F$140*(((Inputs!$G$5:$G$140="moeda")+(Inputs!$G$5:$G$140="acoes"))*Inputs!$B$1+((Inputs!$G$5:$G$140&lt;&gt;"moeda")*(Inputs!$G$5:$G$140&lt;&gt;"acoes")))*INDEX(Inputs!$K$5:$AJ$140,0,MATCH(AC$2,Inputs!$K$4:$AJ$4,0)))))</f>
        <v>-4834.308</v>
      </c>
      <c r="AD73" s="262">
        <f>IF(ISNA(MATCH(AD$2,Inputs!$K$4:$AJ$4,0)),NA(),IF(SUMPRODUCT((Inputs!$A$5:$A$140=$B73)*ISNUMBER(INDEX(Inputs!$K$5:$AJ$140,0,MATCH(AD$2,Inputs!$K$4:$AJ$4,0))))+SUMPRODUCT((Inputs!$C$5:$C$140=$B73)*ISNUMBER(INDEX(Inputs!$K$5:$AJ$140,0,MATCH(AD$2,Inputs!$K$4:$AJ$4,0))))+SUMPRODUCT((Inputs!$E$5:$E$140=$B73)*ISNUMBER(INDEX(Inputs!$K$5:$AJ$140,0,MATCH(AD$2,Inputs!$K$4:$AJ$4,0))))=0,NA(),SUMPRODUCT((Inputs!$A$5:$A$140=$B73)*Inputs!$B$5:$B$140*(((Inputs!$G$5:$G$140="moeda")+(Inputs!$G$5:$G$140="acoes"))*Inputs!$B$1+((Inputs!$G$5:$G$140&lt;&gt;"moeda")*(Inputs!$G$5:$G$140&lt;&gt;"acoes")))*INDEX(Inputs!$K$5:$AJ$140,0,MATCH(AD$2,Inputs!$K$4:$AJ$4,0)))+SUMPRODUCT((Inputs!$C$5:$C$140=$B73)*Inputs!$D$5:$D$140*(((Inputs!$G$5:$G$140="moeda")+(Inputs!$G$5:$G$140="acoes"))*Inputs!$B$1+((Inputs!$G$5:$G$140&lt;&gt;"moeda")*(Inputs!$G$5:$G$140&lt;&gt;"acoes")))*INDEX(Inputs!$K$5:$AJ$140,0,MATCH(AD$2,Inputs!$K$4:$AJ$4,0)))+SUMPRODUCT((Inputs!$E$5:$E$140=$B73)*Inputs!$F$5:$F$140*(((Inputs!$G$5:$G$140="moeda")+(Inputs!$G$5:$G$140="acoes"))*Inputs!$B$1+((Inputs!$G$5:$G$140&lt;&gt;"moeda")*(Inputs!$G$5:$G$140&lt;&gt;"acoes")))*INDEX(Inputs!$K$5:$AJ$140,0,MATCH(AD$2,Inputs!$K$4:$AJ$4,0)))))</f>
        <v>-4988.36</v>
      </c>
      <c r="AE73" s="262" t="e">
        <f>IF(ISNA(MATCH(AE$2,Inputs!$K$4:$AJ$4,0)),NA(),IF(SUMPRODUCT((Inputs!$A$5:$A$140=$B73)*ISNUMBER(INDEX(Inputs!$K$5:$AJ$140,0,MATCH(AE$2,Inputs!$K$4:$AJ$4,0))))+SUMPRODUCT((Inputs!$C$5:$C$140=$B73)*ISNUMBER(INDEX(Inputs!$K$5:$AJ$140,0,MATCH(AE$2,Inputs!$K$4:$AJ$4,0))))+SUMPRODUCT((Inputs!$E$5:$E$140=$B73)*ISNUMBER(INDEX(Inputs!$K$5:$AJ$140,0,MATCH(AE$2,Inputs!$K$4:$AJ$4,0))))=0,NA(),SUMPRODUCT((Inputs!$A$5:$A$140=$B73)*Inputs!$B$5:$B$140*(((Inputs!$G$5:$G$140="moeda")+(Inputs!$G$5:$G$140="acoes"))*Inputs!$B$1+((Inputs!$G$5:$G$140&lt;&gt;"moeda")*(Inputs!$G$5:$G$140&lt;&gt;"acoes")))*INDEX(Inputs!$K$5:$AJ$140,0,MATCH(AE$2,Inputs!$K$4:$AJ$4,0)))+SUMPRODUCT((Inputs!$C$5:$C$140=$B73)*Inputs!$D$5:$D$140*(((Inputs!$G$5:$G$140="moeda")+(Inputs!$G$5:$G$140="acoes"))*Inputs!$B$1+((Inputs!$G$5:$G$140&lt;&gt;"moeda")*(Inputs!$G$5:$G$140&lt;&gt;"acoes")))*INDEX(Inputs!$K$5:$AJ$140,0,MATCH(AE$2,Inputs!$K$4:$AJ$4,0)))+SUMPRODUCT((Inputs!$E$5:$E$140=$B73)*Inputs!$F$5:$F$140*(((Inputs!$G$5:$G$140="moeda")+(Inputs!$G$5:$G$140="acoes"))*Inputs!$B$1+((Inputs!$G$5:$G$140&lt;&gt;"moeda")*(Inputs!$G$5:$G$140&lt;&gt;"acoes")))*INDEX(Inputs!$K$5:$AJ$140,0,MATCH(AE$2,Inputs!$K$4:$AJ$4,0)))))</f>
        <v>#N/A</v>
      </c>
      <c r="AF73" s="262" t="e">
        <f>IF(ISNA(MATCH(AF$2,Inputs!$K$4:$AJ$4,0)),NA(),IF(SUMPRODUCT((Inputs!$A$5:$A$140=$B73)*ISNUMBER(INDEX(Inputs!$K$5:$AJ$140,0,MATCH(AF$2,Inputs!$K$4:$AJ$4,0))))+SUMPRODUCT((Inputs!$C$5:$C$140=$B73)*ISNUMBER(INDEX(Inputs!$K$5:$AJ$140,0,MATCH(AF$2,Inputs!$K$4:$AJ$4,0))))+SUMPRODUCT((Inputs!$E$5:$E$140=$B73)*ISNUMBER(INDEX(Inputs!$K$5:$AJ$140,0,MATCH(AF$2,Inputs!$K$4:$AJ$4,0))))=0,NA(),SUMPRODUCT((Inputs!$A$5:$A$140=$B73)*Inputs!$B$5:$B$140*(((Inputs!$G$5:$G$140="moeda")+(Inputs!$G$5:$G$140="acoes"))*Inputs!$B$1+((Inputs!$G$5:$G$140&lt;&gt;"moeda")*(Inputs!$G$5:$G$140&lt;&gt;"acoes")))*INDEX(Inputs!$K$5:$AJ$140,0,MATCH(AF$2,Inputs!$K$4:$AJ$4,0)))+SUMPRODUCT((Inputs!$C$5:$C$140=$B73)*Inputs!$D$5:$D$140*(((Inputs!$G$5:$G$140="moeda")+(Inputs!$G$5:$G$140="acoes"))*Inputs!$B$1+((Inputs!$G$5:$G$140&lt;&gt;"moeda")*(Inputs!$G$5:$G$140&lt;&gt;"acoes")))*INDEX(Inputs!$K$5:$AJ$140,0,MATCH(AF$2,Inputs!$K$4:$AJ$4,0)))+SUMPRODUCT((Inputs!$E$5:$E$140=$B73)*Inputs!$F$5:$F$140*(((Inputs!$G$5:$G$140="moeda")+(Inputs!$G$5:$G$140="acoes"))*Inputs!$B$1+((Inputs!$G$5:$G$140&lt;&gt;"moeda")*(Inputs!$G$5:$G$140&lt;&gt;"acoes")))*INDEX(Inputs!$K$5:$AJ$140,0,MATCH(AF$2,Inputs!$K$4:$AJ$4,0)))))</f>
        <v>#N/A</v>
      </c>
      <c r="AG73" s="263" t="e">
        <f>AF73</f>
        <v>#N/A</v>
      </c>
      <c r="AH73" s="262">
        <f>IF(ISNA(MATCH(AH$2,Inputs!$K$4:$AJ$4,0)),NA(),IF(SUMPRODUCT((Inputs!$A$5:$A$140=$B73)*ISNUMBER(INDEX(Inputs!$K$5:$AJ$140,0,MATCH(AH$2,Inputs!$K$4:$AJ$4,0))))+SUMPRODUCT((Inputs!$C$5:$C$140=$B73)*ISNUMBER(INDEX(Inputs!$K$5:$AJ$140,0,MATCH(AH$2,Inputs!$K$4:$AJ$4,0))))+SUMPRODUCT((Inputs!$E$5:$E$140=$B73)*ISNUMBER(INDEX(Inputs!$K$5:$AJ$140,0,MATCH(AH$2,Inputs!$K$4:$AJ$4,0))))=0,NA(),SUMPRODUCT((Inputs!$A$5:$A$140=$B73)*Inputs!$B$5:$B$140*(((Inputs!$G$5:$G$140="moeda")+(Inputs!$G$5:$G$140="acoes"))*Inputs!$B$1+((Inputs!$G$5:$G$140&lt;&gt;"moeda")*(Inputs!$G$5:$G$140&lt;&gt;"acoes")))*INDEX(Inputs!$K$5:$AJ$140,0,MATCH(AH$2,Inputs!$K$4:$AJ$4,0)))+SUMPRODUCT((Inputs!$C$5:$C$140=$B73)*Inputs!$D$5:$D$140*(((Inputs!$G$5:$G$140="moeda")+(Inputs!$G$5:$G$140="acoes"))*Inputs!$B$1+((Inputs!$G$5:$G$140&lt;&gt;"moeda")*(Inputs!$G$5:$G$140&lt;&gt;"acoes")))*INDEX(Inputs!$K$5:$AJ$140,0,MATCH(AH$2,Inputs!$K$4:$AJ$4,0)))+SUMPRODUCT((Inputs!$E$5:$E$140=$B73)*Inputs!$F$5:$F$140*(((Inputs!$G$5:$G$140="moeda")+(Inputs!$G$5:$G$140="acoes"))*Inputs!$B$1+((Inputs!$G$5:$G$140&lt;&gt;"moeda")*(Inputs!$G$5:$G$140&lt;&gt;"acoes")))*INDEX(Inputs!$K$5:$AJ$140,0,MATCH(AH$2,Inputs!$K$4:$AJ$4,0)))))</f>
        <v>-416.158210786532</v>
      </c>
      <c r="AI73" s="262">
        <f>IF(ISNA(MATCH(AI$2,Inputs!$K$4:$AJ$4,0)),NA(),IF(SUMPRODUCT((Inputs!$A$5:$A$140=$B73)*ISNUMBER(INDEX(Inputs!$K$5:$AJ$140,0,MATCH(AI$2,Inputs!$K$4:$AJ$4,0))))+SUMPRODUCT((Inputs!$C$5:$C$140=$B73)*ISNUMBER(INDEX(Inputs!$K$5:$AJ$140,0,MATCH(AI$2,Inputs!$K$4:$AJ$4,0))))+SUMPRODUCT((Inputs!$E$5:$E$140=$B73)*ISNUMBER(INDEX(Inputs!$K$5:$AJ$140,0,MATCH(AI$2,Inputs!$K$4:$AJ$4,0))))=0,NA(),SUMPRODUCT((Inputs!$A$5:$A$140=$B73)*Inputs!$B$5:$B$140*(((Inputs!$G$5:$G$140="moeda")+(Inputs!$G$5:$G$140="acoes"))*Inputs!$B$1+((Inputs!$G$5:$G$140&lt;&gt;"moeda")*(Inputs!$G$5:$G$140&lt;&gt;"acoes")))*INDEX(Inputs!$K$5:$AJ$140,0,MATCH(AI$2,Inputs!$K$4:$AJ$4,0)))+SUMPRODUCT((Inputs!$C$5:$C$140=$B73)*Inputs!$D$5:$D$140*(((Inputs!$G$5:$G$140="moeda")+(Inputs!$G$5:$G$140="acoes"))*Inputs!$B$1+((Inputs!$G$5:$G$140&lt;&gt;"moeda")*(Inputs!$G$5:$G$140&lt;&gt;"acoes")))*INDEX(Inputs!$K$5:$AJ$140,0,MATCH(AI$2,Inputs!$K$4:$AJ$4,0)))+SUMPRODUCT((Inputs!$E$5:$E$140=$B73)*Inputs!$F$5:$F$140*(((Inputs!$G$5:$G$140="moeda")+(Inputs!$G$5:$G$140="acoes"))*Inputs!$B$1+((Inputs!$G$5:$G$140&lt;&gt;"moeda")*(Inputs!$G$5:$G$140&lt;&gt;"acoes")))*INDEX(Inputs!$K$5:$AJ$140,0,MATCH(AI$2,Inputs!$K$4:$AJ$4,0)))))</f>
        <v>-409.404418930243</v>
      </c>
      <c r="AJ73" s="262">
        <f>IF(ISNA(MATCH(AJ$2,Inputs!$K$4:$AJ$4,0)),NA(),IF(SUMPRODUCT((Inputs!$A$5:$A$140=$B73)*ISNUMBER(INDEX(Inputs!$K$5:$AJ$140,0,MATCH(AJ$2,Inputs!$K$4:$AJ$4,0))))+SUMPRODUCT((Inputs!$C$5:$C$140=$B73)*ISNUMBER(INDEX(Inputs!$K$5:$AJ$140,0,MATCH(AJ$2,Inputs!$K$4:$AJ$4,0))))+SUMPRODUCT((Inputs!$E$5:$E$140=$B73)*ISNUMBER(INDEX(Inputs!$K$5:$AJ$140,0,MATCH(AJ$2,Inputs!$K$4:$AJ$4,0))))=0,NA(),SUMPRODUCT((Inputs!$A$5:$A$140=$B73)*Inputs!$B$5:$B$140*(((Inputs!$G$5:$G$140="moeda")+(Inputs!$G$5:$G$140="acoes"))*Inputs!$B$1+((Inputs!$G$5:$G$140&lt;&gt;"moeda")*(Inputs!$G$5:$G$140&lt;&gt;"acoes")))*INDEX(Inputs!$K$5:$AJ$140,0,MATCH(AJ$2,Inputs!$K$4:$AJ$4,0)))+SUMPRODUCT((Inputs!$C$5:$C$140=$B73)*Inputs!$D$5:$D$140*(((Inputs!$G$5:$G$140="moeda")+(Inputs!$G$5:$G$140="acoes"))*Inputs!$B$1+((Inputs!$G$5:$G$140&lt;&gt;"moeda")*(Inputs!$G$5:$G$140&lt;&gt;"acoes")))*INDEX(Inputs!$K$5:$AJ$140,0,MATCH(AJ$2,Inputs!$K$4:$AJ$4,0)))+SUMPRODUCT((Inputs!$E$5:$E$140=$B73)*Inputs!$F$5:$F$140*(((Inputs!$G$5:$G$140="moeda")+(Inputs!$G$5:$G$140="acoes"))*Inputs!$B$1+((Inputs!$G$5:$G$140&lt;&gt;"moeda")*(Inputs!$G$5:$G$140&lt;&gt;"acoes")))*INDEX(Inputs!$K$5:$AJ$140,0,MATCH(AJ$2,Inputs!$K$4:$AJ$4,0)))))</f>
        <v>-451.569294586268</v>
      </c>
      <c r="AK73" s="262">
        <f>IF(ISNA(MATCH(AK$2,Inputs!$K$4:$AJ$4,0)),NA(),IF(SUMPRODUCT((Inputs!$A$5:$A$140=$B73)*ISNUMBER(INDEX(Inputs!$K$5:$AJ$140,0,MATCH(AK$2,Inputs!$K$4:$AJ$4,0))))+SUMPRODUCT((Inputs!$C$5:$C$140=$B73)*ISNUMBER(INDEX(Inputs!$K$5:$AJ$140,0,MATCH(AK$2,Inputs!$K$4:$AJ$4,0))))+SUMPRODUCT((Inputs!$E$5:$E$140=$B73)*ISNUMBER(INDEX(Inputs!$K$5:$AJ$140,0,MATCH(AK$2,Inputs!$K$4:$AJ$4,0))))=0,NA(),SUMPRODUCT((Inputs!$A$5:$A$140=$B73)*Inputs!$B$5:$B$140*(((Inputs!$G$5:$G$140="moeda")+(Inputs!$G$5:$G$140="acoes"))*Inputs!$B$1+((Inputs!$G$5:$G$140&lt;&gt;"moeda")*(Inputs!$G$5:$G$140&lt;&gt;"acoes")))*INDEX(Inputs!$K$5:$AJ$140,0,MATCH(AK$2,Inputs!$K$4:$AJ$4,0)))+SUMPRODUCT((Inputs!$C$5:$C$140=$B73)*Inputs!$D$5:$D$140*(((Inputs!$G$5:$G$140="moeda")+(Inputs!$G$5:$G$140="acoes"))*Inputs!$B$1+((Inputs!$G$5:$G$140&lt;&gt;"moeda")*(Inputs!$G$5:$G$140&lt;&gt;"acoes")))*INDEX(Inputs!$K$5:$AJ$140,0,MATCH(AK$2,Inputs!$K$4:$AJ$4,0)))+SUMPRODUCT((Inputs!$E$5:$E$140=$B73)*Inputs!$F$5:$F$140*(((Inputs!$G$5:$G$140="moeda")+(Inputs!$G$5:$G$140="acoes"))*Inputs!$B$1+((Inputs!$G$5:$G$140&lt;&gt;"moeda")*(Inputs!$G$5:$G$140&lt;&gt;"acoes")))*INDEX(Inputs!$K$5:$AJ$140,0,MATCH(AK$2,Inputs!$K$4:$AJ$4,0)))))</f>
        <v>-475.106136892047</v>
      </c>
      <c r="AL73" s="263">
        <f>AK73</f>
        <v>-475.106136892047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06"/>
  <sheetViews>
    <sheetView showGridLines="0" tabSelected="1" zoomScale="85" zoomScaleNormal="85" workbookViewId="0">
      <pane xSplit="3" ySplit="383" topLeftCell="D384" activePane="bottomRight" state="frozen"/>
      <selection pane="topRight" activeCell="A1" sqref="A1"/>
      <selection pane="bottomLeft" activeCell="A1" sqref="A1"/>
      <selection pane="bottom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0.000350669999889419</v>
      </c>
      <c r="L1" s="3">
        <f>SUM(L2,L3)</f>
        <v>0.00100000000000477</v>
      </c>
      <c r="M1" s="3">
        <f>SUM(M2,M3)</f>
        <v>0.000649330000157988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0.000263390000100117</v>
      </c>
      <c r="Z1" s="3">
        <f>SUM(Z2,Z3)</f>
        <v>0.000999999999976353</v>
      </c>
      <c r="AA1" s="3">
        <f>SUM(AA2,AA3)</f>
        <v>0</v>
      </c>
      <c r="AB1" s="3">
        <f>SUM(AB2,AB3)</f>
        <v>0.000736609999876237</v>
      </c>
      <c r="AC1" s="3">
        <f>SUM(AC2,AC3)</f>
        <v>0</v>
      </c>
      <c r="AD1" s="3">
        <f>SUM(AD2,AD3)</f>
        <v>0.000341759999940905</v>
      </c>
      <c r="AE1" s="3">
        <f>SUM(AE2,AE3)</f>
        <v>0</v>
      </c>
      <c r="AF1" s="3">
        <f>SUM(AF2,AF3)</f>
        <v>0</v>
      </c>
      <c r="AG1" s="3">
        <f>SUM(AG2,AG3)</f>
        <v>0.000341759999514579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ABS(D211-D287)</f>
        <v>0</v>
      </c>
      <c r="E2" s="3">
        <f>ABS(E211-E287)</f>
        <v>0</v>
      </c>
      <c r="F2" s="3">
        <f>ABS(F211-F287)</f>
        <v>0</v>
      </c>
      <c r="G2" s="3">
        <f>ABS(G211-G287)</f>
        <v>0</v>
      </c>
      <c r="H2" s="3">
        <f>ABS(H211-H287)</f>
        <v>0</v>
      </c>
      <c r="I2" s="3">
        <f>ABS(I211-I287)</f>
        <v>0</v>
      </c>
      <c r="J2" s="3">
        <f>ABS(J211-J287)</f>
        <v>0</v>
      </c>
      <c r="K2" s="3">
        <f>ABS(K211-K287)</f>
        <v>0</v>
      </c>
      <c r="L2" s="3">
        <f>ABS(L211-L287)</f>
        <v>0</v>
      </c>
      <c r="M2" s="3">
        <f>ABS(M211-M287)</f>
        <v>0</v>
      </c>
      <c r="N2" s="3">
        <f>ABS(N211-N287)</f>
        <v>0</v>
      </c>
      <c r="O2" s="3">
        <f>ABS(O211-O287)</f>
        <v>0</v>
      </c>
      <c r="P2" s="3">
        <f>ABS(P211-P287)</f>
        <v>0</v>
      </c>
      <c r="Q2" s="3">
        <f>ABS(Q211-Q287)</f>
        <v>0</v>
      </c>
      <c r="R2" s="3">
        <f>ABS(R211-R287)</f>
        <v>0</v>
      </c>
      <c r="S2" s="3">
        <f>ABS(S211-S287)</f>
        <v>0</v>
      </c>
      <c r="T2" s="3">
        <f>ABS(T211-T287)</f>
        <v>0</v>
      </c>
      <c r="U2" s="3">
        <f>ABS(U211-U287)</f>
        <v>0</v>
      </c>
      <c r="V2" s="3">
        <f>ABS(V211-V287)</f>
        <v>0</v>
      </c>
      <c r="W2" s="3">
        <f>ABS(W211-W287)</f>
        <v>0</v>
      </c>
      <c r="X2" s="3">
        <f>ABS(X211-X287)</f>
        <v>0</v>
      </c>
      <c r="Y2" s="3">
        <f>ABS(Y211-Y287)</f>
        <v>0</v>
      </c>
      <c r="Z2" s="3">
        <f>ABS(Z211-Z287)</f>
        <v>0</v>
      </c>
      <c r="AA2" s="3">
        <f>ABS(AA211-AA287)</f>
        <v>0</v>
      </c>
      <c r="AB2" s="3">
        <f>ABS(AB211-AB287)</f>
        <v>0</v>
      </c>
      <c r="AC2" s="3">
        <f>ABS(AC211-AC287)</f>
        <v>0</v>
      </c>
      <c r="AD2" s="3">
        <f>ABS(AD211-AD287)</f>
        <v>0</v>
      </c>
      <c r="AE2" s="3">
        <f>ABS(AE211-AE287)</f>
        <v>0</v>
      </c>
      <c r="AF2" s="3">
        <f>ABS(AF211-AF287)</f>
        <v>0</v>
      </c>
      <c r="AG2" s="3">
        <f>ABS(AG211-AG287)</f>
        <v>0</v>
      </c>
      <c r="AH2" s="3">
        <f>ABS(AH211-AH287)</f>
        <v>0</v>
      </c>
      <c r="AI2" s="3">
        <f>ABS(AI211-AI287)</f>
        <v>0</v>
      </c>
      <c r="AJ2" s="3">
        <f>ABS(AJ211-AJ287)</f>
        <v>0</v>
      </c>
      <c r="AK2" s="3">
        <f>ABS(AK211-AK287)</f>
        <v>0</v>
      </c>
      <c r="AL2" s="3">
        <f>ABS(AL211-AL287)</f>
        <v>0</v>
      </c>
      <c r="AM2" s="3" t="e">
        <f>ABS(AM211-AM287)</f>
        <v>#DIV/0!</v>
      </c>
      <c r="AN2" s="3" t="e">
        <f>ABS(AN211-AN287)</f>
        <v>#DIV/0!</v>
      </c>
      <c r="AO2" s="3" t="e">
        <f>ABS(AO211-AO287)</f>
        <v>#DIV/0!</v>
      </c>
      <c r="AP2" s="3" t="e">
        <f>ABS(AP211-AP287)</f>
        <v>#DIV/0!</v>
      </c>
      <c r="AQ2" s="3" t="e">
        <f>ABS(AQ211-AQ287)</f>
        <v>#DIV/0!</v>
      </c>
      <c r="AR2" s="3" t="e">
        <f>ABS(AR211-AR287)</f>
        <v>#DIV/0!</v>
      </c>
      <c r="AS2" s="3" t="e">
        <f>ABS(AS211-AS287)</f>
        <v>#DIV/0!</v>
      </c>
      <c r="AT2" s="3" t="e">
        <f>ABS(AT211-AT287)</f>
        <v>#DIV/0!</v>
      </c>
      <c r="AU2" s="3" t="e">
        <f>ABS(AU211-AU287)</f>
        <v>#DIV/0!</v>
      </c>
      <c r="AV2" s="3" t="e">
        <f>ABS(AV211-AV287)</f>
        <v>#DIV/0!</v>
      </c>
      <c r="AW2" s="3" t="e">
        <f>ABS(AW211-AW287)</f>
        <v>#DIV/0!</v>
      </c>
      <c r="AX2" s="3" t="e">
        <f>ABS(AX211-AX287)</f>
        <v>#DIV/0!</v>
      </c>
      <c r="AY2" s="3" t="e">
        <f>ABS(AY211-AY287)</f>
        <v>#DIV/0!</v>
      </c>
      <c r="AZ2" s="3" t="e">
        <f>ABS(AZ211-AZ287)</f>
        <v>#DIV/0!</v>
      </c>
      <c r="BA2" s="3" t="e">
        <f>ABS(BA211-BA287)</f>
        <v>#DIV/0!</v>
      </c>
      <c r="BB2" s="3" t="e">
        <f>ABS(BB211-BB287)</f>
        <v>#DIV/0!</v>
      </c>
      <c r="BC2" s="3" t="e">
        <f>ABS(BC211-BC287)</f>
        <v>#DIV/0!</v>
      </c>
      <c r="BD2" s="3" t="e">
        <f>ABS(BD211-BD287)</f>
        <v>#DIV/0!</v>
      </c>
      <c r="BE2" s="3" t="e">
        <f>ABS(BE211-BE287)</f>
        <v>#DIV/0!</v>
      </c>
      <c r="BF2" s="3" t="e">
        <f>ABS(BF211-BF287)</f>
        <v>#DIV/0!</v>
      </c>
      <c r="BG2" s="3" t="e">
        <f>ABS(BG211-BG287)</f>
        <v>#DIV/0!</v>
      </c>
      <c r="BH2" s="3" t="e">
        <f>ABS(BH211-BH287)</f>
        <v>#DIV/0!</v>
      </c>
      <c r="BI2" s="3" t="e">
        <f>ABS(BI211-BI287)</f>
        <v>#DIV/0!</v>
      </c>
      <c r="BJ2" s="3" t="e">
        <f>ABS(BJ211-BJ287)</f>
        <v>#DIV/0!</v>
      </c>
      <c r="BK2" s="3" t="e">
        <f>ABS(BK211-BK287)</f>
        <v>#DIV/0!</v>
      </c>
      <c r="BL2" s="3" t="e">
        <f>ABS(BL211-BL287)</f>
        <v>#DIV/0!</v>
      </c>
      <c r="BM2" s="3" t="e">
        <f>ABS(BM211-BM287)</f>
        <v>#DIV/0!</v>
      </c>
      <c r="BN2" s="3" t="e">
        <f>ABS(BN211-BN287)</f>
        <v>#DIV/0!</v>
      </c>
      <c r="BO2" s="3" t="e">
        <f>ABS(BO211-BO287)</f>
        <v>#DIV/0!</v>
      </c>
      <c r="BP2" s="3" t="e">
        <f>ABS(BP211-BP287)</f>
        <v>#DIV/0!</v>
      </c>
      <c r="BQ2" s="3" t="e">
        <f>ABS(BQ211-BQ287)</f>
        <v>#DIV/0!</v>
      </c>
      <c r="BR2" s="3" t="e">
        <f>ABS(BR211-BR287)</f>
        <v>#DIV/0!</v>
      </c>
      <c r="BS2" s="3" t="e">
        <f>ABS(BS211-BS287)</f>
        <v>#DIV/0!</v>
      </c>
      <c r="BT2" s="3" t="e">
        <f>ABS(BT211-BT287)</f>
        <v>#DIV/0!</v>
      </c>
      <c r="BU2" s="3" t="e">
        <f>ABS(BU211-BU287)</f>
        <v>#DIV/0!</v>
      </c>
      <c r="BV2" s="3" t="e">
        <f>ABS(BV211-BV287)</f>
        <v>#DIV/0!</v>
      </c>
      <c r="BW2" s="3" t="e">
        <f>ABS(BW211-BW287)</f>
        <v>#DIV/0!</v>
      </c>
      <c r="BX2" s="3" t="e">
        <f>ABS(BX211-BX287)</f>
        <v>#DIV/0!</v>
      </c>
      <c r="BY2" s="3" t="e">
        <f>ABS(BY211-BY287)</f>
        <v>#DIV/0!</v>
      </c>
      <c r="BZ2" s="3" t="e">
        <f>ABS(BZ211-BZ287)</f>
        <v>#DIV/0!</v>
      </c>
      <c r="CA2" s="3" t="e">
        <f>ABS(CA211-CA287)</f>
        <v>#DIV/0!</v>
      </c>
      <c r="CB2" s="3" t="e">
        <f>ABS(CB211-CB287)</f>
        <v>#DIV/0!</v>
      </c>
      <c r="CC2" s="3" t="e">
        <f>ABS(CC211-CC287)</f>
        <v>#DIV/0!</v>
      </c>
      <c r="CD2" s="3" t="e">
        <f>ABS(CD211-CD287)</f>
        <v>#DIV/0!</v>
      </c>
      <c r="CE2" s="3" t="e">
        <f>ABS(CE211-CE287)</f>
        <v>#DIV/0!</v>
      </c>
      <c r="CF2" s="3" t="e">
        <f>ABS(CF211-CF287)</f>
        <v>#DIV/0!</v>
      </c>
      <c r="CG2" s="3" t="e">
        <f>ABS(CG211-CG287)</f>
        <v>#DIV/0!</v>
      </c>
      <c r="CH2" s="3" t="e">
        <f>ABS(CH211-CH287)</f>
        <v>#DIV/0!</v>
      </c>
      <c r="CI2" s="3" t="e">
        <f>ABS(CI211-CI287)</f>
        <v>#DIV/0!</v>
      </c>
      <c r="CJ2" s="3" t="e">
        <f>ABS(CJ211-CJ287)</f>
        <v>#DIV/0!</v>
      </c>
      <c r="CK2" s="3" t="e">
        <f>ABS(CK211-CK287)</f>
        <v>#DIV/0!</v>
      </c>
      <c r="CL2" s="3" t="e">
        <f>ABS(CL211-CL287)</f>
        <v>#DIV/0!</v>
      </c>
      <c r="CM2" s="3" t="e">
        <f>ABS(CM211-CM287)</f>
        <v>#DIV/0!</v>
      </c>
      <c r="CN2" s="3" t="e">
        <f>ABS(CN211-CN287)</f>
        <v>#DIV/0!</v>
      </c>
      <c r="CO2" s="3" t="e">
        <f>ABS(CO211-CO287)</f>
        <v>#DIV/0!</v>
      </c>
      <c r="CP2" s="3" t="e">
        <f>ABS(CP211-CP287)</f>
        <v>#DIV/0!</v>
      </c>
      <c r="CQ2" s="3" t="e">
        <f>ABS(CQ211-CQ287)</f>
        <v>#DIV/0!</v>
      </c>
      <c r="CR2" s="3" t="e">
        <f>ABS(CR211-CR287)</f>
        <v>#DIV/0!</v>
      </c>
      <c r="CS2" s="3" t="e">
        <f>ABS(CS211-CS287)</f>
        <v>#DIV/0!</v>
      </c>
      <c r="CT2" s="3" t="e">
        <f>ABS(CT211-CT287)</f>
        <v>#DIV/0!</v>
      </c>
      <c r="CU2" s="3" t="e">
        <f>ABS(CU211-CU287)</f>
        <v>#DIV/0!</v>
      </c>
      <c r="CV2" s="3" t="e">
        <f>ABS(CV211-CV287)</f>
        <v>#DIV/0!</v>
      </c>
      <c r="CW2" s="3" t="e">
        <f>ABS(CW211-CW287)</f>
        <v>#DIV/0!</v>
      </c>
      <c r="CX2" s="3" t="e">
        <f>ABS(CX211-CX287)</f>
        <v>#DIV/0!</v>
      </c>
      <c r="CY2" s="3" t="e">
        <f>ABS(CY211-CY287)</f>
        <v>#DIV/0!</v>
      </c>
    </row>
    <row r="3" outlineLevel="1">
      <c r="C3" s="5" t="inlineStr">
        <is>
          <t>IS</t>
        </is>
      </c>
      <c r="D3" s="3">
        <f>IF(COUNT(D4)=0,"",ABS(D151-D4))</f>
        <v>0</v>
      </c>
      <c r="E3" s="3">
        <f>IF(COUNT(E4)=0,"",ABS(E151-E4))</f>
        <v>0</v>
      </c>
      <c r="F3" s="3">
        <f>IF(COUNT(F4)=0,"",ABS(F151-F4))</f>
        <v>0</v>
      </c>
      <c r="G3" s="3">
        <f>IF(COUNT(G4)=0,"",ABS(G151-G4))</f>
        <v>0</v>
      </c>
      <c r="H3" s="3">
        <f>IF(COUNT(H4)=0,"",ABS(H151-H4))</f>
        <v>0</v>
      </c>
      <c r="I3" s="3">
        <f>IF(COUNT(I4)=0,"",ABS(I151-I4))</f>
        <v>0</v>
      </c>
      <c r="J3" s="3">
        <f>IF(COUNT(J4)=0,"",ABS(J151-J4))</f>
        <v>0</v>
      </c>
      <c r="K3" s="3">
        <f>IF(COUNT(K4)=0,"",ABS(K151-K4))</f>
        <v>0.000350669999889419</v>
      </c>
      <c r="L3" s="3">
        <f>IF(COUNT(L4)=0,"",ABS(L151-L4))</f>
        <v>0.00100000000000477</v>
      </c>
      <c r="M3" s="3">
        <f>IF(COUNT(M4)=0,"",ABS(M151-M4))</f>
        <v>0.000649330000157988</v>
      </c>
      <c r="N3" s="3">
        <f>IF(COUNT(N4)=0,"",ABS(N151-N4))</f>
        <v>0</v>
      </c>
      <c r="O3" s="3">
        <f>IF(COUNT(O4)=0,"",ABS(O151-O4))</f>
        <v>0</v>
      </c>
      <c r="P3" s="3">
        <f>IF(COUNT(P4)=0,"",ABS(P151-P4))</f>
        <v>0</v>
      </c>
      <c r="Q3" s="3">
        <f>IF(COUNT(Q4)=0,"",ABS(Q151-Q4))</f>
        <v>0</v>
      </c>
      <c r="R3" s="3">
        <f>IF(COUNT(R4)=0,"",ABS(R151-R4))</f>
        <v>0</v>
      </c>
      <c r="S3" s="3">
        <f>IF(COUNT(S4)=0,"",ABS(S151-S4))</f>
        <v>0</v>
      </c>
      <c r="T3" s="3">
        <f>IF(COUNT(T4)=0,"",ABS(T151-T4))</f>
        <v>0</v>
      </c>
      <c r="U3" s="3">
        <f>IF(COUNT(U4)=0,"",ABS(U151-U4))</f>
        <v>0</v>
      </c>
      <c r="V3" s="3">
        <f>IF(COUNT(V4)=0,"",ABS(V151-V4))</f>
        <v>0</v>
      </c>
      <c r="W3" s="3">
        <f>IF(COUNT(W4)=0,"",ABS(W151-W4))</f>
        <v>0</v>
      </c>
      <c r="X3" s="3">
        <f>IF(COUNT(X4)=0,"",ABS(X151-X4))</f>
        <v>0</v>
      </c>
      <c r="Y3" s="3">
        <f>IF(COUNT(Y4)=0,"",ABS(Y151-Y4))</f>
        <v>0.000263390000100117</v>
      </c>
      <c r="Z3" s="3">
        <f>IF(COUNT(Z4)=0,"",ABS(Z151-Z4))</f>
        <v>0.000999999999976353</v>
      </c>
      <c r="AA3" s="3">
        <f>IF(COUNT(AA4)=0,"",ABS(AA151-AA4))</f>
        <v>0</v>
      </c>
      <c r="AB3" s="3">
        <f>IF(COUNT(AB4)=0,"",ABS(AB151-AB4))</f>
        <v>0.000736609999876237</v>
      </c>
      <c r="AC3" s="3">
        <f>IF(COUNT(AC4)=0,"",ABS(AC151-AC4))</f>
        <v>0</v>
      </c>
      <c r="AD3" s="3">
        <f>IF(COUNT(AD4)=0,"",ABS(AD151-AD4))</f>
        <v>0.000341759999940905</v>
      </c>
      <c r="AE3" s="3">
        <f>IF(COUNT(AE4)=0,"",ABS(AE151-AE4))</f>
        <v>0</v>
      </c>
      <c r="AF3" s="3">
        <f>IF(COUNT(AF4)=0,"",ABS(AF151-AF4))</f>
        <v>0</v>
      </c>
      <c r="AG3" s="3">
        <f>IF(COUNT(AG4)=0,"",ABS(AG151-AG4))</f>
        <v>0.000341759999514579</v>
      </c>
      <c r="AH3" s="3">
        <f>IF(COUNT(AH4)=0,"",ABS(AH151-AH4))</f>
        <v>0</v>
      </c>
      <c r="AI3" s="3">
        <f>IF(COUNT(AI4)=0,"",ABS(AI151-AI4))</f>
        <v>0</v>
      </c>
      <c r="AJ3" s="3" t="str">
        <f>IF(COUNT(AJ4)=0,"",ABS(AJ151-AJ4))</f>
        <v/>
      </c>
      <c r="AK3" s="3" t="str">
        <f>IF(COUNT(AK4)=0,"",ABS(AK151-AK4))</f>
        <v/>
      </c>
      <c r="AL3" s="3" t="str">
        <f>IF(COUNT(AL4)=0,"",ABS(AL151-AL4))</f>
        <v/>
      </c>
      <c r="AM3" s="3" t="str">
        <f>IF(COUNT(AM4)=0,"",ABS(AM151-AM4))</f>
        <v/>
      </c>
      <c r="AN3" s="3" t="str">
        <f>IF(COUNT(AN4)=0,"",ABS(AN151-AN4))</f>
        <v/>
      </c>
      <c r="AO3" s="3" t="str">
        <f>IF(COUNT(AO4)=0,"",ABS(AO151-AO4))</f>
        <v/>
      </c>
      <c r="AP3" s="3" t="str">
        <f>IF(COUNT(AP4)=0,"",ABS(AP151-AP4))</f>
        <v/>
      </c>
      <c r="AQ3" s="3" t="str">
        <f>IF(COUNT(AQ4)=0,"",ABS(AQ151-AQ4))</f>
        <v/>
      </c>
      <c r="AR3" s="3" t="str">
        <f>IF(COUNT(AR4)=0,"",ABS(AR151-AR4))</f>
        <v/>
      </c>
      <c r="AS3" s="3" t="str">
        <f>IF(COUNT(AS4)=0,"",ABS(AS151-AS4))</f>
        <v/>
      </c>
      <c r="AT3" s="3" t="str">
        <f>IF(COUNT(AT4)=0,"",ABS(AT151-AT4))</f>
        <v/>
      </c>
      <c r="AU3" s="3" t="str">
        <f>IF(COUNT(AU4)=0,"",ABS(AU151-AU4))</f>
        <v/>
      </c>
      <c r="AV3" s="3" t="str">
        <f>IF(COUNT(AV4)=0,"",ABS(AV151-AV4))</f>
        <v/>
      </c>
      <c r="AW3" s="3" t="str">
        <f>IF(COUNT(AW4)=0,"",ABS(AW151-AW4))</f>
        <v/>
      </c>
      <c r="AX3" s="3" t="str">
        <f>IF(COUNT(AX4)=0,"",ABS(AX151-AX4))</f>
        <v/>
      </c>
      <c r="AY3" s="3" t="str">
        <f>IF(COUNT(AY4)=0,"",ABS(AY151-AY4))</f>
        <v/>
      </c>
      <c r="AZ3" s="3" t="str">
        <f>IF(COUNT(AZ4)=0,"",ABS(AZ151-AZ4))</f>
        <v/>
      </c>
      <c r="BA3" s="3" t="str">
        <f>IF(COUNT(BA4)=0,"",ABS(BA151-BA4))</f>
        <v/>
      </c>
      <c r="BB3" s="3" t="str">
        <f>IF(COUNT(BB4)=0,"",ABS(BB151-BB4))</f>
        <v/>
      </c>
      <c r="BC3" s="3" t="str">
        <f>IF(COUNT(BC4)=0,"",ABS(BC151-BC4))</f>
        <v/>
      </c>
      <c r="BD3" s="3" t="str">
        <f>IF(COUNT(BD4)=0,"",ABS(BD151-BD4))</f>
        <v/>
      </c>
      <c r="BE3" s="3" t="str">
        <f>IF(COUNT(BE4)=0,"",ABS(BE151-BE4))</f>
        <v/>
      </c>
      <c r="BF3" s="3" t="str">
        <f>IF(COUNT(BF4)=0,"",ABS(BF151-BF4))</f>
        <v/>
      </c>
      <c r="BG3" s="3" t="str">
        <f>IF(COUNT(BG4)=0,"",ABS(BG151-BG4))</f>
        <v/>
      </c>
      <c r="BH3" s="3" t="str">
        <f>IF(COUNT(BH4)=0,"",ABS(BH151-BH4))</f>
        <v/>
      </c>
      <c r="BI3" s="3" t="str">
        <f>IF(COUNT(BI4)=0,"",ABS(BI151-BI4))</f>
        <v/>
      </c>
      <c r="BJ3" s="3" t="str">
        <f>IF(COUNT(BJ4)=0,"",ABS(BJ151-BJ4))</f>
        <v/>
      </c>
      <c r="BK3" s="3" t="str">
        <f>IF(COUNT(BK4)=0,"",ABS(BK151-BK4))</f>
        <v/>
      </c>
      <c r="BL3" s="3" t="str">
        <f>IF(COUNT(BL4)=0,"",ABS(BL151-BL4))</f>
        <v/>
      </c>
      <c r="BM3" s="3" t="str">
        <f>IF(COUNT(BM4)=0,"",ABS(BM151-BM4))</f>
        <v/>
      </c>
      <c r="BN3" s="3" t="str">
        <f>IF(COUNT(BN4)=0,"",ABS(BN151-BN4))</f>
        <v/>
      </c>
      <c r="BO3" s="3" t="str">
        <f>IF(COUNT(BO4)=0,"",ABS(BO151-BO4))</f>
        <v/>
      </c>
      <c r="BP3" s="3" t="str">
        <f>IF(COUNT(BP4)=0,"",ABS(BP151-BP4))</f>
        <v/>
      </c>
      <c r="BQ3" s="3" t="str">
        <f>IF(COUNT(BQ4)=0,"",ABS(BQ151-BQ4))</f>
        <v/>
      </c>
      <c r="BR3" s="3" t="str">
        <f>IF(COUNT(BR4)=0,"",ABS(BR151-BR4))</f>
        <v/>
      </c>
      <c r="BS3" s="3" t="str">
        <f>IF(COUNT(BS4)=0,"",ABS(BS151-BS4))</f>
        <v/>
      </c>
      <c r="BT3" s="3" t="str">
        <f>IF(COUNT(BT4)=0,"",ABS(BT151-BT4))</f>
        <v/>
      </c>
      <c r="BU3" s="3" t="str">
        <f>IF(COUNT(BU4)=0,"",ABS(BU151-BU4))</f>
        <v/>
      </c>
      <c r="BV3" s="3" t="str">
        <f>IF(COUNT(BV4)=0,"",ABS(BV151-BV4))</f>
        <v/>
      </c>
      <c r="BW3" s="3" t="str">
        <f>IF(COUNT(BW4)=0,"",ABS(BW151-BW4))</f>
        <v/>
      </c>
      <c r="BX3" s="3" t="str">
        <f>IF(COUNT(BX4)=0,"",ABS(BX151-BX4))</f>
        <v/>
      </c>
      <c r="BY3" s="3" t="str">
        <f>IF(COUNT(BY4)=0,"",ABS(BY151-BY4))</f>
        <v/>
      </c>
      <c r="BZ3" s="3" t="str">
        <f>IF(COUNT(BZ4)=0,"",ABS(BZ151-BZ4))</f>
        <v/>
      </c>
      <c r="CA3" s="3" t="str">
        <f>IF(COUNT(CA4)=0,"",ABS(CA151-CA4))</f>
        <v/>
      </c>
      <c r="CB3" s="3" t="str">
        <f>IF(COUNT(CB4)=0,"",ABS(CB151-CB4))</f>
        <v/>
      </c>
      <c r="CC3" s="3" t="str">
        <f>IF(COUNT(CC4)=0,"",ABS(CC151-CC4))</f>
        <v/>
      </c>
      <c r="CD3" s="3" t="str">
        <f>IF(COUNT(CD4)=0,"",ABS(CD151-CD4))</f>
        <v/>
      </c>
      <c r="CE3" s="3" t="str">
        <f>IF(COUNT(CE4)=0,"",ABS(CE151-CE4))</f>
        <v/>
      </c>
      <c r="CF3" s="3" t="str">
        <f>IF(COUNT(CF4)=0,"",ABS(CF151-CF4))</f>
        <v/>
      </c>
      <c r="CG3" s="3" t="str">
        <f>IF(COUNT(CG4)=0,"",ABS(CG151-CG4))</f>
        <v/>
      </c>
      <c r="CH3" s="3" t="str">
        <f>IF(COUNT(CH4)=0,"",ABS(CH151-CH4))</f>
        <v/>
      </c>
      <c r="CI3" s="3" t="str">
        <f>IF(COUNT(CI4)=0,"",ABS(CI151-CI4))</f>
        <v/>
      </c>
      <c r="CJ3" s="3" t="str">
        <f>IF(COUNT(CJ4)=0,"",ABS(CJ151-CJ4))</f>
        <v/>
      </c>
      <c r="CK3" s="3" t="str">
        <f>IF(COUNT(CK4)=0,"",ABS(CK151-CK4))</f>
        <v/>
      </c>
      <c r="CL3" s="3" t="str">
        <f>IF(COUNT(CL4)=0,"",ABS(CL151-CL4))</f>
        <v/>
      </c>
      <c r="CM3" s="3" t="str">
        <f>IF(COUNT(CM4)=0,"",ABS(CM151-CM4))</f>
        <v/>
      </c>
      <c r="CN3" s="3" t="str">
        <f>IF(COUNT(CN4)=0,"",ABS(CN151-CN4))</f>
        <v/>
      </c>
      <c r="CO3" s="3" t="str">
        <f>IF(COUNT(CO4)=0,"",ABS(CO151-CO4))</f>
        <v/>
      </c>
      <c r="CP3" s="3" t="str">
        <f>IF(COUNT(CP4)=0,"",ABS(CP151-CP4))</f>
        <v/>
      </c>
      <c r="CQ3" s="3" t="str">
        <f>IF(COUNT(CQ4)=0,"",ABS(CQ151-CQ4))</f>
        <v/>
      </c>
      <c r="CR3" s="3" t="str">
        <f>IF(COUNT(CR4)=0,"",ABS(CR151-CR4))</f>
        <v/>
      </c>
      <c r="CS3" s="3" t="str">
        <f>IF(COUNT(CS4)=0,"",ABS(CS151-CS4))</f>
        <v/>
      </c>
      <c r="CT3" s="3" t="str">
        <f>IF(COUNT(CT4)=0,"",ABS(CT151-CT4))</f>
        <v/>
      </c>
      <c r="CU3" s="3" t="str">
        <f>IF(COUNT(CU4)=0,"",ABS(CU151-CU4))</f>
        <v/>
      </c>
      <c r="CV3" s="3" t="str">
        <f>IF(COUNT(CV4)=0,"",ABS(CV151-CV4))</f>
        <v/>
      </c>
      <c r="CW3" s="3" t="str">
        <f>IF(COUNT(CW4)=0,"",ABS(CW151-CW4))</f>
        <v/>
      </c>
      <c r="CX3" s="3" t="str">
        <f>IF(COUNT(CX4)=0,"",ABS(CX151-CX4))</f>
        <v/>
      </c>
      <c r="CY3" s="3" t="str">
        <f>IF(COUNT(CY4)=0,"",ABS(CY151-CY4))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6.5</v>
      </c>
      <c r="E4" s="16">
        <f>INDEX('Inputs (2)'!$D$50:$AL$50,MATCH(E$7,'Inputs (2)'!$D$2:$AL$2,0))</f>
        <v>36.989</v>
      </c>
      <c r="F4" s="16">
        <f>INDEX('Inputs (2)'!$D$50:$AL$50,MATCH(F$7,'Inputs (2)'!$D$2:$AL$2,0))</f>
        <v>49.355</v>
      </c>
      <c r="G4" s="16">
        <f>INDEX('Inputs (2)'!$D$50:$AL$50,MATCH(G$7,'Inputs (2)'!$D$2:$AL$2,0))</f>
        <v>67.968</v>
      </c>
      <c r="H4" s="16">
        <f>IF(COUNT(D4:G4)=4,SUM(D4:G4),"")</f>
        <v>160.812</v>
      </c>
      <c r="I4" s="16">
        <f>INDEX('Inputs (2)'!$D$50:$AL$50,MATCH(I$7,'Inputs (2)'!$D$2:$AL$2,0))</f>
        <v>49.993</v>
      </c>
      <c r="J4" s="16">
        <f>INDEX('Inputs (2)'!$D$50:$AL$50,MATCH(J$7,'Inputs (2)'!$D$2:$AL$2,0))</f>
        <v>78.603</v>
      </c>
      <c r="K4" s="16">
        <f>INDEX('Inputs (2)'!$D$50:$AL$50,MATCH(K$7,'Inputs (2)'!$D$2:$AL$2,0))</f>
        <v>67.397764092476</v>
      </c>
      <c r="L4" s="16">
        <f>INDEX('Inputs (2)'!$D$50:$AL$50,MATCH(L$7,'Inputs (2)'!$D$2:$AL$2,0))</f>
        <v>103.753</v>
      </c>
      <c r="M4" s="16">
        <f>IF(COUNT(I4:L4)=4,SUM(I4:L4),"")</f>
        <v>299.746764092476</v>
      </c>
      <c r="N4" s="16">
        <f>INDEX('Inputs (2)'!$D$50:$AL$50,MATCH(N$7,'Inputs (2)'!$D$2:$AL$2,0))</f>
        <v>61.903</v>
      </c>
      <c r="O4" s="16">
        <f>INDEX('Inputs (2)'!$D$50:$AL$50,MATCH(O$7,'Inputs (2)'!$D$2:$AL$2,0))</f>
        <v>86.325</v>
      </c>
      <c r="P4" s="16">
        <f>INDEX('Inputs (2)'!$D$50:$AL$50,MATCH(P$7,'Inputs (2)'!$D$2:$AL$2,0))</f>
        <v>89.872</v>
      </c>
      <c r="Q4" s="16">
        <f>INDEX('Inputs (2)'!$D$50:$AL$50,MATCH(Q$7,'Inputs (2)'!$D$2:$AL$2,0))</f>
        <v>91.785</v>
      </c>
      <c r="R4" s="16">
        <f>IF(COUNT(N4:Q4)=4,SUM(N4:Q4),"")</f>
        <v>329.885</v>
      </c>
      <c r="S4" s="16">
        <f>INDEX('Inputs (2)'!$D$50:$AL$50,MATCH(S$7,'Inputs (2)'!$D$2:$AL$2,0))</f>
        <v>91.849</v>
      </c>
      <c r="T4" s="16">
        <f>INDEX('Inputs (2)'!$D$50:$AL$50,MATCH(T$7,'Inputs (2)'!$D$2:$AL$2,0))</f>
        <v>121.373</v>
      </c>
      <c r="U4" s="16">
        <f>INDEX('Inputs (2)'!$D$50:$AL$50,MATCH(U$7,'Inputs (2)'!$D$2:$AL$2,0))</f>
        <v>108.22</v>
      </c>
      <c r="V4" s="16">
        <f>INDEX('Inputs (2)'!$D$50:$AL$50,MATCH(V$7,'Inputs (2)'!$D$2:$AL$2,0))</f>
        <v>160.323</v>
      </c>
      <c r="W4" s="16">
        <f>IF(COUNT(S4:V4)=4,SUM(S4:V4),"")</f>
        <v>481.765</v>
      </c>
      <c r="X4" s="16">
        <f>INDEX('Inputs (2)'!$D$50:$AL$50,MATCH(X$7,'Inputs (2)'!$D$2:$AL$2,0))</f>
        <v>141.241</v>
      </c>
      <c r="Y4" s="16">
        <f>INDEX('Inputs (2)'!$D$50:$AL$50,MATCH(Y$7,'Inputs (2)'!$D$2:$AL$2,0))</f>
        <v>172.247</v>
      </c>
      <c r="Z4" s="16">
        <f>INDEX('Inputs (2)'!$D$50:$AL$50,MATCH(Z$7,'Inputs (2)'!$D$2:$AL$2,0))</f>
        <v>170.571</v>
      </c>
      <c r="AA4" s="16">
        <f>INDEX('Inputs (2)'!$D$50:$AL$50,MATCH(AA$7,'Inputs (2)'!$D$2:$AL$2,0))</f>
        <v>165.784</v>
      </c>
      <c r="AB4" s="16">
        <f>IF(COUNT(X4:AA4)=4,SUM(X4:AA4),"")</f>
        <v>649.843</v>
      </c>
      <c r="AC4" s="16">
        <f>INDEX('Inputs (2)'!$D$50:$AL$50,MATCH(AC$7,'Inputs (2)'!$D$2:$AL$2,0))</f>
        <v>213.475</v>
      </c>
      <c r="AD4" s="16">
        <f>INDEX('Inputs (2)'!$D$50:$AL$50,MATCH(AD$7,'Inputs (2)'!$D$2:$AL$2,0))</f>
        <v>236.7306</v>
      </c>
      <c r="AE4" s="16">
        <f>INDEX('Inputs (2)'!$D$50:$AL$50,MATCH(AE$7,'Inputs (2)'!$D$2:$AL$2,0))</f>
        <v>255.253</v>
      </c>
      <c r="AF4" s="16">
        <f>INDEX('Inputs (2)'!$D$50:$AL$50,MATCH(AF$7,'Inputs (2)'!$D$2:$AL$2,0))</f>
        <v>270.077</v>
      </c>
      <c r="AG4" s="16">
        <f>IF(COUNT(AC4:AF4)=4,SUM(AC4:AF4),"")</f>
        <v>975.5356</v>
      </c>
      <c r="AH4" s="6">
        <f>INDEX('Inputs (2)'!$D$50:$AL$50,MATCH(AH$7,'Inputs (2)'!$D$2:$AL$2,0))</f>
        <v>302.867</v>
      </c>
      <c r="AI4" s="6">
        <f>INDEX('Inputs (2)'!$D$50:$AL$50,MATCH(AI$7,'Inputs (2)'!$D$2:$AL$2,0))</f>
        <v>270.451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227.321</v>
      </c>
      <c r="E15" s="15">
        <f>INDEX('Inputs (2)'!$D$4:$AL$4,MATCH(E$7,'Inputs (2)'!$D$2:$AL$2,0))</f>
        <v>246.204</v>
      </c>
      <c r="F15" s="15">
        <f>INDEX('Inputs (2)'!$D$4:$AL$4,MATCH(F$7,'Inputs (2)'!$D$2:$AL$2,0))</f>
        <v>325.898</v>
      </c>
      <c r="G15" s="15">
        <f>INDEX('Inputs (2)'!$D$4:$AL$4,MATCH(G$7,'Inputs (2)'!$D$2:$AL$2,0))</f>
        <v>345.259</v>
      </c>
      <c r="H15" s="16">
        <f>SUM(D15:G15)</f>
        <v>1144.682</v>
      </c>
      <c r="I15" s="15">
        <f>INDEX('Inputs (2)'!$D$4:$AL$4,MATCH(I$7,'Inputs (2)'!$D$2:$AL$2,0))</f>
        <v>339.286</v>
      </c>
      <c r="J15" s="15">
        <f>INDEX('Inputs (2)'!$D$4:$AL$4,MATCH(J$7,'Inputs (2)'!$D$2:$AL$2,0))</f>
        <v>451.337</v>
      </c>
      <c r="K15" s="15">
        <f>INDEX('Inputs (2)'!$D$4:$AL$4,MATCH(K$7,'Inputs (2)'!$D$2:$AL$2,0))</f>
        <v>456.44958043</v>
      </c>
      <c r="L15" s="15">
        <f>INDEX('Inputs (2)'!$D$4:$AL$4,MATCH(L$7,'Inputs (2)'!$D$2:$AL$2,0))</f>
        <v>491.223</v>
      </c>
      <c r="M15" s="16">
        <f>SUM(I15:L15)</f>
        <v>1738.29558043</v>
      </c>
      <c r="N15" s="15">
        <f>INDEX('Inputs (2)'!$D$4:$AL$4,MATCH(N$7,'Inputs (2)'!$D$2:$AL$2,0))</f>
        <v>447.374</v>
      </c>
      <c r="O15" s="15">
        <f>INDEX('Inputs (2)'!$D$4:$AL$4,MATCH(O$7,'Inputs (2)'!$D$2:$AL$2,0))</f>
        <v>602.783</v>
      </c>
      <c r="P15" s="15">
        <f>INDEX('Inputs (2)'!$D$4:$AL$4,MATCH(P$7,'Inputs (2)'!$D$2:$AL$2,0))</f>
        <v>626.659</v>
      </c>
      <c r="Q15" s="15">
        <f>INDEX('Inputs (2)'!$D$4:$AL$4,MATCH(Q$7,'Inputs (2)'!$D$2:$AL$2,0))</f>
        <v>580.478</v>
      </c>
      <c r="R15" s="16">
        <f>SUM(N15:Q15)</f>
        <v>2257.294</v>
      </c>
      <c r="S15" s="15">
        <f>INDEX('Inputs (2)'!$D$4:$AL$4,MATCH(S$7,'Inputs (2)'!$D$2:$AL$2,0))</f>
        <v>594.956</v>
      </c>
      <c r="T15" s="15">
        <f>INDEX('Inputs (2)'!$D$4:$AL$4,MATCH(T$7,'Inputs (2)'!$D$2:$AL$2,0))</f>
        <v>727.746</v>
      </c>
      <c r="U15" s="15">
        <f>INDEX('Inputs (2)'!$D$4:$AL$4,MATCH(U$7,'Inputs (2)'!$D$2:$AL$2,0))</f>
        <v>751.874</v>
      </c>
      <c r="V15" s="15">
        <f>INDEX('Inputs (2)'!$D$4:$AL$4,MATCH(V$7,'Inputs (2)'!$D$2:$AL$2,0))</f>
        <v>811.596</v>
      </c>
      <c r="W15" s="16">
        <f>SUM(S15:V15)</f>
        <v>2886.172</v>
      </c>
      <c r="X15" s="15">
        <f>INDEX('Inputs (2)'!$D$4:$AL$4,MATCH(X$7,'Inputs (2)'!$D$2:$AL$2,0))</f>
        <v>837.382</v>
      </c>
      <c r="Y15" s="15">
        <f>INDEX('Inputs (2)'!$D$4:$AL$4,MATCH(Y$7,'Inputs (2)'!$D$2:$AL$2,0))</f>
        <v>998.085</v>
      </c>
      <c r="Z15" s="15">
        <f>INDEX('Inputs (2)'!$D$4:$AL$4,MATCH(Z$7,'Inputs (2)'!$D$2:$AL$2,0))</f>
        <v>1055.872</v>
      </c>
      <c r="AA15" s="15">
        <f>INDEX('Inputs (2)'!$D$4:$AL$4,MATCH(AA$7,'Inputs (2)'!$D$2:$AL$2,0))</f>
        <v>1034.971</v>
      </c>
      <c r="AB15" s="16">
        <f>SUM(X15:AA15)</f>
        <v>3926.31</v>
      </c>
      <c r="AC15" s="15">
        <f>INDEX('Inputs (2)'!$D$4:$AL$4,MATCH(AC$7,'Inputs (2)'!$D$2:$AL$2,0))</f>
        <v>1216.184</v>
      </c>
      <c r="AD15" s="15">
        <f>INDEX('Inputs (2)'!$D$4:$AL$4,MATCH(AD$7,'Inputs (2)'!$D$2:$AL$2,0))</f>
        <v>1346.599</v>
      </c>
      <c r="AE15" s="15">
        <f>INDEX('Inputs (2)'!$D$4:$AL$4,MATCH(AE$7,'Inputs (2)'!$D$2:$AL$2,0))</f>
        <v>1416.926</v>
      </c>
      <c r="AF15" s="15">
        <f>INDEX('Inputs (2)'!$D$4:$AL$4,MATCH(AF$7,'Inputs (2)'!$D$2:$AL$2,0))</f>
        <v>1419.715</v>
      </c>
      <c r="AG15" s="16">
        <f>SUM(AC15:AF15)</f>
        <v>5399.424</v>
      </c>
      <c r="AH15" s="16">
        <f>INDEX('Inputs (2)'!$D$4:$AL$4,MATCH(AH$7,'Inputs (2)'!$D$2:$AL$2,0))</f>
        <v>1612.571</v>
      </c>
      <c r="AI15" s="16">
        <f>INDEX('Inputs (2)'!$D$4:$AL$4,MATCH(AI$7,'Inputs (2)'!$D$2:$AL$2,0))</f>
        <v>1690.594</v>
      </c>
      <c r="AJ15" s="16">
        <f>AE15*(1+AJ16)</f>
        <v>1416.926</v>
      </c>
      <c r="AK15" s="16">
        <f>AF15*(1+AK16)</f>
        <v>1419.715</v>
      </c>
      <c r="AL15" s="16">
        <f>SUM(AH15:AK15)</f>
        <v>6139.806</v>
      </c>
      <c r="AM15" s="16">
        <f>AH15*(1+AM16)</f>
        <v>1612.571</v>
      </c>
      <c r="AN15" s="16">
        <f>AI15*(1+AN16)</f>
        <v>1690.594</v>
      </c>
      <c r="AO15" s="16">
        <f>AJ15*(1+AO16)</f>
        <v>1416.926</v>
      </c>
      <c r="AP15" s="16">
        <f>AK15*(1+AP16)</f>
        <v>1419.715</v>
      </c>
      <c r="AQ15" s="16">
        <f>SUM(AM15:AP15)</f>
        <v>6139.806</v>
      </c>
      <c r="AR15" s="16">
        <f>AM15*(1+AR16)</f>
        <v>1612.571</v>
      </c>
      <c r="AS15" s="16">
        <f>AN15*(1+AS16)</f>
        <v>1690.594</v>
      </c>
      <c r="AT15" s="16">
        <f>AO15*(1+AT16)</f>
        <v>1416.926</v>
      </c>
      <c r="AU15" s="16">
        <f>AP15*(1+AU16)</f>
        <v>1419.715</v>
      </c>
      <c r="AV15" s="16">
        <f>SUM(AR15:AU15)</f>
        <v>6139.806</v>
      </c>
      <c r="AW15" s="16">
        <f>AR15*(1+AW16)</f>
        <v>1612.571</v>
      </c>
      <c r="AX15" s="16">
        <f>AS15*(1+AX16)</f>
        <v>1690.594</v>
      </c>
      <c r="AY15" s="16">
        <f>AT15*(1+AY16)</f>
        <v>1416.926</v>
      </c>
      <c r="AZ15" s="16">
        <f>AU15*(1+AZ16)</f>
        <v>1419.715</v>
      </c>
      <c r="BA15" s="16">
        <f>SUM(AW15:AZ15)</f>
        <v>6139.806</v>
      </c>
      <c r="BB15" s="16">
        <f>AW15*(1+BB16)</f>
        <v>1612.571</v>
      </c>
      <c r="BC15" s="16">
        <f>AX15*(1+BC16)</f>
        <v>1690.594</v>
      </c>
      <c r="BD15" s="16">
        <f>AY15*(1+BD16)</f>
        <v>1416.926</v>
      </c>
      <c r="BE15" s="16">
        <f>AZ15*(1+BE16)</f>
        <v>1419.715</v>
      </c>
      <c r="BF15" s="16">
        <f>SUM(BB15:BE15)</f>
        <v>6139.806</v>
      </c>
      <c r="BG15" s="16">
        <f>BB15*(1+BG16)</f>
        <v>1612.571</v>
      </c>
      <c r="BH15" s="16">
        <f>BC15*(1+BH16)</f>
        <v>1690.594</v>
      </c>
      <c r="BI15" s="16">
        <f>BD15*(1+BI16)</f>
        <v>1416.926</v>
      </c>
      <c r="BJ15" s="16">
        <f>BE15*(1+BJ16)</f>
        <v>1419.715</v>
      </c>
      <c r="BK15" s="16">
        <f>SUM(BG15:BJ15)</f>
        <v>6139.806</v>
      </c>
      <c r="BL15" s="16">
        <f>BG15*(1+BL16)</f>
        <v>1612.571</v>
      </c>
      <c r="BM15" s="16">
        <f>BH15*(1+BM16)</f>
        <v>1690.594</v>
      </c>
      <c r="BN15" s="16">
        <f>BI15*(1+BN16)</f>
        <v>1416.926</v>
      </c>
      <c r="BO15" s="16">
        <f>BJ15*(1+BO16)</f>
        <v>1419.715</v>
      </c>
      <c r="BP15" s="16">
        <f>SUM(BL15:BO15)</f>
        <v>6139.806</v>
      </c>
      <c r="BQ15" s="16">
        <f>BL15*(1+BQ16)</f>
        <v>1612.571</v>
      </c>
      <c r="BR15" s="16">
        <f>BM15*(1+BR16)</f>
        <v>1690.594</v>
      </c>
      <c r="BS15" s="16">
        <f>BN15*(1+BS16)</f>
        <v>1416.926</v>
      </c>
      <c r="BT15" s="16">
        <f>BO15*(1+BT16)</f>
        <v>1419.715</v>
      </c>
      <c r="BU15" s="16">
        <f>SUM(BQ15:BT15)</f>
        <v>6139.806</v>
      </c>
      <c r="BV15" s="16">
        <f>BQ15*(1+BV16)</f>
        <v>1612.571</v>
      </c>
      <c r="BW15" s="16">
        <f>BR15*(1+BW16)</f>
        <v>1690.594</v>
      </c>
      <c r="BX15" s="16">
        <f>BS15*(1+BX16)</f>
        <v>1416.926</v>
      </c>
      <c r="BY15" s="16">
        <f>BT15*(1+BY16)</f>
        <v>1419.715</v>
      </c>
      <c r="BZ15" s="16">
        <f>SUM(BV15:BY15)</f>
        <v>6139.806</v>
      </c>
      <c r="CA15" s="16">
        <f>BV15*(1+CA16)</f>
        <v>1612.571</v>
      </c>
      <c r="CB15" s="16">
        <f>BW15*(1+CB16)</f>
        <v>1690.594</v>
      </c>
      <c r="CC15" s="16">
        <f>BX15*(1+CC16)</f>
        <v>1416.926</v>
      </c>
      <c r="CD15" s="16">
        <f>BY15*(1+CD16)</f>
        <v>1419.715</v>
      </c>
      <c r="CE15" s="16">
        <f>SUM(CA15:CD15)</f>
        <v>6139.806</v>
      </c>
      <c r="CF15" s="16">
        <f>CA15*(1+CF16)</f>
        <v>1612.571</v>
      </c>
      <c r="CG15" s="16">
        <f>CB15*(1+CG16)</f>
        <v>1690.594</v>
      </c>
      <c r="CH15" s="16">
        <f>CC15*(1+CH16)</f>
        <v>1416.926</v>
      </c>
      <c r="CI15" s="16">
        <f>CD15*(1+CI16)</f>
        <v>1419.715</v>
      </c>
      <c r="CJ15" s="16">
        <f>SUM(CF15:CI15)</f>
        <v>6139.806</v>
      </c>
      <c r="CK15" s="16">
        <f>CF15*(1+CK16)</f>
        <v>1612.571</v>
      </c>
      <c r="CL15" s="16">
        <f>CG15*(1+CL16)</f>
        <v>1690.594</v>
      </c>
      <c r="CM15" s="16">
        <f>CH15*(1+CM16)</f>
        <v>1416.926</v>
      </c>
      <c r="CN15" s="16">
        <f>CI15*(1+CN16)</f>
        <v>1419.715</v>
      </c>
      <c r="CO15" s="16">
        <f>SUM(CK15:CN15)</f>
        <v>6139.806</v>
      </c>
      <c r="CP15" s="16">
        <f>CK15*(1+CP16)</f>
        <v>1612.571</v>
      </c>
      <c r="CQ15" s="16">
        <f>CL15*(1+CQ16)</f>
        <v>1690.594</v>
      </c>
      <c r="CR15" s="16">
        <f>CM15*(1+CR16)</f>
        <v>1416.926</v>
      </c>
      <c r="CS15" s="16">
        <f>CN15*(1+CS16)</f>
        <v>1419.715</v>
      </c>
      <c r="CT15" s="16">
        <f>SUM(CP15:CS15)</f>
        <v>6139.806</v>
      </c>
      <c r="CU15" s="16">
        <f>CP15*(1+CU16)</f>
        <v>1612.571</v>
      </c>
      <c r="CV15" s="16">
        <f>CQ15*(1+CV16)</f>
        <v>1690.594</v>
      </c>
      <c r="CW15" s="16">
        <f>CR15*(1+CW16)</f>
        <v>1416.926</v>
      </c>
      <c r="CX15" s="16">
        <f>CS15*(1+CX16)</f>
        <v>1419.715</v>
      </c>
      <c r="CY15" s="16">
        <f>SUM(CU15:CX15)</f>
        <v>6139.806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0.318574889621146</v>
      </c>
      <c r="O16" s="47">
        <f>O15/J15-1</f>
        <v>0.335549711191416</v>
      </c>
      <c r="P16" s="47">
        <f>P15/K15-1</f>
        <v>0.372898622033246</v>
      </c>
      <c r="Q16" s="47">
        <f>Q15/L15-1</f>
        <v>0.181699553970397</v>
      </c>
      <c r="R16" s="47">
        <f>R15/M15-1</f>
        <v>0.298567415929123</v>
      </c>
      <c r="S16" s="47">
        <f>S15/N15-1</f>
        <v>0.329885062609807</v>
      </c>
      <c r="T16" s="47">
        <f>T15/O15-1</f>
        <v>0.207310093350343</v>
      </c>
      <c r="U16" s="47">
        <f>U15/P15-1</f>
        <v>0.199813614741031</v>
      </c>
      <c r="V16" s="47">
        <f>V15/Q15-1</f>
        <v>0.398151178856046</v>
      </c>
      <c r="W16" s="47">
        <f>W15/R15-1</f>
        <v>0.27859817994466</v>
      </c>
      <c r="X16" s="47">
        <f>X15/S15-1</f>
        <v>0.407468787607823</v>
      </c>
      <c r="Y16" s="47">
        <f>Y15/T15-1</f>
        <v>0.371474388041982</v>
      </c>
      <c r="Z16" s="47">
        <f>Z15/U15-1</f>
        <v>0.404320404748668</v>
      </c>
      <c r="AA16" s="47">
        <f>AA15/V15-1</f>
        <v>0.275229301277976</v>
      </c>
      <c r="AB16" s="47">
        <f>AB15/W15-1</f>
        <v>0.360386699060209</v>
      </c>
      <c r="AC16" s="47">
        <f>AC15/X15-1</f>
        <v>0.452364631673478</v>
      </c>
      <c r="AD16" s="47">
        <f>AD15/Y15-1</f>
        <v>0.349182684841471</v>
      </c>
      <c r="AE16" s="47">
        <f>AE15/Z15-1</f>
        <v>0.341948645290338</v>
      </c>
      <c r="AF16" s="44">
        <f>AF15/AA15-1</f>
        <v>0.371743749341769</v>
      </c>
      <c r="AG16" s="47">
        <f>AG15/AB15-1</f>
        <v>0.375190445991274</v>
      </c>
      <c r="AH16" s="44">
        <f>AH15/AC15-1</f>
        <v>0.325926833439677</v>
      </c>
      <c r="AI16" s="44">
        <f>AI15/AD15-1</f>
        <v>0.255454667647904</v>
      </c>
      <c r="AJ16" s="44" t="n"/>
      <c r="AK16" s="44" t="n"/>
      <c r="AL16" s="22">
        <f>AL15/AG15-1</f>
        <v>0.137122404167556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vendas (brutas - distratos - liquidas, linha 31)</t>
        </is>
      </c>
      <c r="D17" s="15">
        <f>IF(COUNT(D31)=0,"",D31)</f>
        <v>0</v>
      </c>
      <c r="E17" s="15">
        <f>IF(COUNT(E31)=0,"",E31)</f>
        <v>0</v>
      </c>
      <c r="F17" s="15">
        <f>IF(COUNT(F31)=0,"",F31)</f>
        <v>0</v>
      </c>
      <c r="G17" s="15">
        <f>IF(COUNT(G31)=0,"",G31)</f>
        <v>0</v>
      </c>
      <c r="H17" s="16">
        <f>IF(COUNT(H31)=0,"",H31)</f>
        <v>0</v>
      </c>
      <c r="I17" s="15">
        <f>IF(COUNT(I31)=0,"",I31)</f>
        <v>0</v>
      </c>
      <c r="J17" s="15">
        <f>IF(COUNT(J31)=0,"",J31)</f>
        <v>0</v>
      </c>
      <c r="K17" s="15">
        <f>IF(COUNT(K31)=0,"",K31)</f>
        <v>0</v>
      </c>
      <c r="L17" s="15">
        <f>IF(COUNT(L31)=0,"",L31)</f>
        <v>0</v>
      </c>
      <c r="M17" s="16">
        <f>IF(COUNT(M31)=0,"",M31)</f>
        <v>0</v>
      </c>
      <c r="N17" s="15">
        <f>IF(COUNT(N31)=0,"",N31)</f>
        <v>0</v>
      </c>
      <c r="O17" s="15">
        <f>IF(COUNT(O31)=0,"",O31)</f>
        <v>0</v>
      </c>
      <c r="P17" s="15">
        <f>IF(COUNT(P31)=0,"",P31)</f>
        <v>0</v>
      </c>
      <c r="Q17" s="15">
        <f>IF(COUNT(Q31)=0,"",Q31)</f>
        <v>0</v>
      </c>
      <c r="R17" s="16">
        <f>IF(COUNT(R31)=0,"",R31)</f>
        <v>0</v>
      </c>
      <c r="S17" s="15">
        <f>IF(COUNT(S31)=0,"",S31)</f>
        <v>0</v>
      </c>
      <c r="T17" s="15">
        <f>IF(COUNT(T31)=0,"",T31)</f>
        <v>0</v>
      </c>
      <c r="U17" s="15">
        <f>IF(COUNT(U31)=0,"",U31)</f>
        <v>0</v>
      </c>
      <c r="V17" s="15">
        <f>IF(COUNT(V31)=0,"",V31)</f>
        <v>0</v>
      </c>
      <c r="W17" s="16">
        <f>IF(COUNT(W31)=0,"",W31)</f>
        <v>0</v>
      </c>
      <c r="X17" s="15">
        <f>IF(COUNT(X31)=0,"",X31)</f>
        <v>0</v>
      </c>
      <c r="Y17" s="15">
        <f>IF(COUNT(Y31)=0,"",Y31)</f>
        <v>0</v>
      </c>
      <c r="Z17" s="15">
        <f>IF(COUNT(Z31)=0,"",Z31)</f>
        <v>0</v>
      </c>
      <c r="AA17" s="15">
        <f>IF(COUNT(AA31)=0,"",AA31)</f>
        <v>0</v>
      </c>
      <c r="AB17" s="16">
        <f>IF(COUNT(AB31)=0,"",AB31)</f>
        <v>0</v>
      </c>
      <c r="AC17" s="15">
        <f>IF(COUNT(AC31)=0,"",AC31)</f>
        <v>0</v>
      </c>
      <c r="AD17" s="15">
        <f>IF(COUNT(AD31)=0,"",AD31)</f>
        <v>0</v>
      </c>
      <c r="AE17" s="15">
        <f>IF(COUNT(AE31)=0,"",AE31)</f>
        <v>0</v>
      </c>
      <c r="AF17" s="15">
        <f>IF(COUNT(AF31)=0,"",AF31)</f>
        <v>0</v>
      </c>
      <c r="AG17" s="16">
        <f>IF(COUNT(AG31)=0,"",AG31)</f>
        <v>0</v>
      </c>
      <c r="AH17" s="16">
        <f>IF(COUNT(AH31)=0,"",AH31)</f>
        <v>0</v>
      </c>
      <c r="AI17" s="16">
        <f>IF(COUNT(AI31)=0,"",AI31)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Lancamentos - como a Cia divulga (Resultados Operacionais; R$ milhoes)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>VGV lancado 100%</t>
        </is>
      </c>
      <c r="D19" s="267">
        <f>IFERROR(INDEX('Inputs (2)'!$D$53:$AL$53,MATCH(D$7,'Inputs (2)'!$D$2:$AL$2,0)),"")</f>
        <v>157.587248</v>
      </c>
      <c r="E19" s="267">
        <f>IFERROR(INDEX('Inputs (2)'!$D$53:$AL$53,MATCH(E$7,'Inputs (2)'!$D$2:$AL$2,0)),"")</f>
        <v>311.528135</v>
      </c>
      <c r="F19" s="267">
        <f>IFERROR(INDEX('Inputs (2)'!$D$53:$AL$53,MATCH(F$7,'Inputs (2)'!$D$2:$AL$2,0)),"")</f>
        <v>396.91012</v>
      </c>
      <c r="G19" s="267">
        <f>IFERROR(INDEX('Inputs (2)'!$D$53:$AL$53,MATCH(G$7,'Inputs (2)'!$D$2:$AL$2,0)),"")</f>
        <v>674.753796</v>
      </c>
      <c r="H19" s="268">
        <f>IF(COUNT(D19:G19)=4,SUM(D19:G19),"")</f>
        <v>1540.779299</v>
      </c>
      <c r="I19" s="267">
        <f>IFERROR(INDEX('Inputs (2)'!$D$53:$AL$53,MATCH(I$7,'Inputs (2)'!$D$2:$AL$2,0)),"")</f>
        <v>590.494842</v>
      </c>
      <c r="J19" s="267">
        <f>IFERROR(INDEX('Inputs (2)'!$D$53:$AL$53,MATCH(J$7,'Inputs (2)'!$D$2:$AL$2,0)),"")</f>
        <v>686.188668</v>
      </c>
      <c r="K19" s="267">
        <f>IFERROR(INDEX('Inputs (2)'!$D$53:$AL$53,MATCH(K$7,'Inputs (2)'!$D$2:$AL$2,0)),"")</f>
        <v>720.223748</v>
      </c>
      <c r="L19" s="267">
        <f>IFERROR(INDEX('Inputs (2)'!$D$53:$AL$53,MATCH(L$7,'Inputs (2)'!$D$2:$AL$2,0)),"")</f>
        <v>788.101234956162</v>
      </c>
      <c r="M19" s="268">
        <f>IF(COUNT(I19:L19)=4,SUM(I19:L19),"")</f>
        <v>2785.00849295616</v>
      </c>
      <c r="N19" s="267">
        <f>IFERROR(INDEX('Inputs (2)'!$D$53:$AL$53,MATCH(N$7,'Inputs (2)'!$D$2:$AL$2,0)),"")</f>
        <v>781.15</v>
      </c>
      <c r="O19" s="267">
        <f>IFERROR(INDEX('Inputs (2)'!$D$53:$AL$53,MATCH(O$7,'Inputs (2)'!$D$2:$AL$2,0)),"")</f>
        <v>1056.318</v>
      </c>
      <c r="P19" s="267">
        <f>IFERROR(INDEX('Inputs (2)'!$D$53:$AL$53,MATCH(P$7,'Inputs (2)'!$D$2:$AL$2,0)),"")</f>
        <v>919.146343</v>
      </c>
      <c r="Q19" s="267">
        <f>IFERROR(INDEX('Inputs (2)'!$D$53:$AL$53,MATCH(Q$7,'Inputs (2)'!$D$2:$AL$2,0)),"")</f>
        <v>556.15909318</v>
      </c>
      <c r="R19" s="268">
        <f>IF(COUNT(N19:Q19)=4,SUM(N19:Q19),"")</f>
        <v>3312.77343618</v>
      </c>
      <c r="S19" s="267">
        <f>IFERROR(INDEX('Inputs (2)'!$D$53:$AL$53,MATCH(S$7,'Inputs (2)'!$D$2:$AL$2,0)),"")</f>
        <v>1419.980923</v>
      </c>
      <c r="T19" s="267">
        <f>IFERROR(INDEX('Inputs (2)'!$D$53:$AL$53,MATCH(T$7,'Inputs (2)'!$D$2:$AL$2,0)),"")</f>
        <v>1222.565181</v>
      </c>
      <c r="U19" s="267">
        <f>IFERROR(INDEX('Inputs (2)'!$D$53:$AL$53,MATCH(U$7,'Inputs (2)'!$D$2:$AL$2,0)),"")</f>
        <v>941.717108</v>
      </c>
      <c r="V19" s="267">
        <f>IFERROR(INDEX('Inputs (2)'!$D$53:$AL$53,MATCH(V$7,'Inputs (2)'!$D$2:$AL$2,0)),"")</f>
        <v>856.606653</v>
      </c>
      <c r="W19" s="268">
        <f>IF(COUNT(S19:V19)=4,SUM(S19:V19),"")</f>
        <v>4440.869865</v>
      </c>
      <c r="X19" s="267">
        <f>IFERROR(INDEX('Inputs (2)'!$D$53:$AL$53,MATCH(X$7,'Inputs (2)'!$D$2:$AL$2,0)),"")</f>
        <v>1884.33801</v>
      </c>
      <c r="Y19" s="267">
        <f>IFERROR(INDEX('Inputs (2)'!$D$53:$AL$53,MATCH(Y$7,'Inputs (2)'!$D$2:$AL$2,0)),"")</f>
        <v>1734.686945</v>
      </c>
      <c r="Z19" s="267">
        <f>IFERROR(INDEX('Inputs (2)'!$D$53:$AL$53,MATCH(Z$7,'Inputs (2)'!$D$2:$AL$2,0)),"")</f>
        <v>1560.697</v>
      </c>
      <c r="AA19" s="267">
        <f>IFERROR(INDEX('Inputs (2)'!$D$53:$AL$53,MATCH(AA$7,'Inputs (2)'!$D$2:$AL$2,0)),"")</f>
        <v>1399.837</v>
      </c>
      <c r="AB19" s="268">
        <f>IF(COUNT(X19:AA19)=4,SUM(X19:AA19),"")</f>
        <v>6579.558955</v>
      </c>
      <c r="AC19" s="267">
        <f>IFERROR(INDEX('Inputs (2)'!$D$53:$AL$53,MATCH(AC$7,'Inputs (2)'!$D$2:$AL$2,0)),"")</f>
        <v>2783.509</v>
      </c>
      <c r="AD19" s="267">
        <f>IFERROR(INDEX('Inputs (2)'!$D$53:$AL$53,MATCH(AD$7,'Inputs (2)'!$D$2:$AL$2,0)),"")</f>
        <v>2225.285611</v>
      </c>
      <c r="AE19" s="267">
        <f>IFERROR(INDEX('Inputs (2)'!$D$53:$AL$53,MATCH(AE$7,'Inputs (2)'!$D$2:$AL$2,0)),"")</f>
        <v>1986.377642</v>
      </c>
      <c r="AF19" s="267">
        <f>IFERROR(INDEX('Inputs (2)'!$D$53:$AL$53,MATCH(AF$7,'Inputs (2)'!$D$2:$AL$2,0)),"")</f>
        <v>1289.513823</v>
      </c>
      <c r="AG19" s="268">
        <f>IF(COUNT(AC19:AF19)=4,SUM(AC19:AF19),"")</f>
        <v>8284.686076</v>
      </c>
      <c r="AH19" s="268">
        <f>IFERROR(INDEX('Inputs (2)'!$D$53:$AL$53,MATCH(AH$7,'Inputs (2)'!$D$2:$AL$2,0)),"")</f>
        <v>2646.75813942</v>
      </c>
      <c r="AI19" s="268">
        <f>IFERROR(INDEX('Inputs (2)'!$D$53:$AL$53,MATCH(AI$7,'Inputs (2)'!$D$2:$AL$2,0)),"")</f>
        <v>2256.88923928</v>
      </c>
    </row>
    <row r="20">
      <c r="C20" s="14" t="inlineStr">
        <is>
          <t>VGV lancado parte Cury</t>
        </is>
      </c>
      <c r="D20" s="267">
        <f>IFERROR(INDEX('Inputs (2)'!$D$54:$AL$54,MATCH(D$7,'Inputs (2)'!$D$2:$AL$2,0)),"")</f>
        <v>72.471069</v>
      </c>
      <c r="E20" s="267">
        <f>IFERROR(INDEX('Inputs (2)'!$D$54:$AL$54,MATCH(E$7,'Inputs (2)'!$D$2:$AL$2,0)),"")</f>
        <v>311.528135</v>
      </c>
      <c r="F20" s="267">
        <f>IFERROR(INDEX('Inputs (2)'!$D$54:$AL$54,MATCH(F$7,'Inputs (2)'!$D$2:$AL$2,0)),"")</f>
        <v>367.28862</v>
      </c>
      <c r="G20" s="267">
        <f>IFERROR(INDEX('Inputs (2)'!$D$54:$AL$54,MATCH(G$7,'Inputs (2)'!$D$2:$AL$2,0)),"")</f>
        <v>625.442978</v>
      </c>
      <c r="H20" s="268">
        <f>IF(COUNT(D20:G20)=4,SUM(D20:G20),"")</f>
        <v>1376.730802</v>
      </c>
      <c r="I20" s="267">
        <f>IFERROR(INDEX('Inputs (2)'!$D$54:$AL$54,MATCH(I$7,'Inputs (2)'!$D$2:$AL$2,0)),"")</f>
        <v>472.469289</v>
      </c>
      <c r="J20" s="267">
        <f>IFERROR(INDEX('Inputs (2)'!$D$54:$AL$54,MATCH(J$7,'Inputs (2)'!$D$2:$AL$2,0)),"")</f>
        <v>650.171568</v>
      </c>
      <c r="K20" s="267">
        <f>IFERROR(INDEX('Inputs (2)'!$D$54:$AL$54,MATCH(K$7,'Inputs (2)'!$D$2:$AL$2,0)),"")</f>
        <v>633.1727036</v>
      </c>
      <c r="L20" s="267">
        <f>IFERROR(INDEX('Inputs (2)'!$D$54:$AL$54,MATCH(L$7,'Inputs (2)'!$D$2:$AL$2,0)),"")</f>
        <v>719.679333706807</v>
      </c>
      <c r="M20" s="268">
        <f>IF(COUNT(I20:L20)=4,SUM(I20:L20),"")</f>
        <v>2475.49289430681</v>
      </c>
      <c r="N20" s="267">
        <f>IFERROR(INDEX('Inputs (2)'!$D$54:$AL$54,MATCH(N$7,'Inputs (2)'!$D$2:$AL$2,0)),"")</f>
        <v>781.15</v>
      </c>
      <c r="O20" s="267">
        <f>IFERROR(INDEX('Inputs (2)'!$D$54:$AL$54,MATCH(O$7,'Inputs (2)'!$D$2:$AL$2,0)),"")</f>
        <v>1056.318</v>
      </c>
      <c r="P20" s="267">
        <f>IFERROR(INDEX('Inputs (2)'!$D$54:$AL$54,MATCH(P$7,'Inputs (2)'!$D$2:$AL$2,0)),"")</f>
        <v>876.846343</v>
      </c>
      <c r="Q20" s="267">
        <f>IFERROR(INDEX('Inputs (2)'!$D$54:$AL$54,MATCH(Q$7,'Inputs (2)'!$D$2:$AL$2,0)),"")</f>
        <v>556.15909318</v>
      </c>
      <c r="R20" s="268">
        <f>IF(COUNT(N20:Q20)=4,SUM(N20:Q20),"")</f>
        <v>3270.47343618</v>
      </c>
      <c r="S20" s="267">
        <f>IFERROR(INDEX('Inputs (2)'!$D$54:$AL$54,MATCH(S$7,'Inputs (2)'!$D$2:$AL$2,0)),"")</f>
        <v>1419.980923</v>
      </c>
      <c r="T20" s="267">
        <f>IFERROR(INDEX('Inputs (2)'!$D$54:$AL$54,MATCH(T$7,'Inputs (2)'!$D$2:$AL$2,0)),"")</f>
        <v>1137.9662765</v>
      </c>
      <c r="U20" s="267">
        <f>IFERROR(INDEX('Inputs (2)'!$D$54:$AL$54,MATCH(U$7,'Inputs (2)'!$D$2:$AL$2,0)),"")</f>
        <v>805.5771061</v>
      </c>
      <c r="V20" s="267">
        <f>IFERROR(INDEX('Inputs (2)'!$D$54:$AL$54,MATCH(V$7,'Inputs (2)'!$D$2:$AL$2,0)),"")</f>
        <v>856.606653</v>
      </c>
      <c r="W20" s="268">
        <f>IF(COUNT(S20:V20)=4,SUM(S20:V20),"")</f>
        <v>4220.1309586</v>
      </c>
      <c r="X20" s="267">
        <f>IFERROR(INDEX('Inputs (2)'!$D$54:$AL$54,MATCH(X$7,'Inputs (2)'!$D$2:$AL$2,0)),"")</f>
        <v>1499.854846</v>
      </c>
      <c r="Y20" s="267">
        <f>IFERROR(INDEX('Inputs (2)'!$D$54:$AL$54,MATCH(Y$7,'Inputs (2)'!$D$2:$AL$2,0)),"")</f>
        <v>1676.918567</v>
      </c>
      <c r="Z20" s="267">
        <f>IFERROR(INDEX('Inputs (2)'!$D$54:$AL$54,MATCH(Z$7,'Inputs (2)'!$D$2:$AL$2,0)),"")</f>
        <v>1503.046</v>
      </c>
      <c r="AA20" s="267">
        <f>IFERROR(INDEX('Inputs (2)'!$D$54:$AL$54,MATCH(AA$7,'Inputs (2)'!$D$2:$AL$2,0)),"")</f>
        <v>1060.952</v>
      </c>
      <c r="AB20" s="268">
        <f>IF(COUNT(X20:AA20)=4,SUM(X20:AA20),"")</f>
        <v>5740.771413</v>
      </c>
      <c r="AC20" s="267">
        <f>IFERROR(INDEX('Inputs (2)'!$D$54:$AL$54,MATCH(AC$7,'Inputs (2)'!$D$2:$AL$2,0)),"")</f>
        <v>2666.305</v>
      </c>
      <c r="AD20" s="267">
        <f>IFERROR(INDEX('Inputs (2)'!$D$54:$AL$54,MATCH(AD$7,'Inputs (2)'!$D$2:$AL$2,0)),"")</f>
        <v>1960.487651</v>
      </c>
      <c r="AE20" s="267">
        <f>IFERROR(INDEX('Inputs (2)'!$D$54:$AL$54,MATCH(AE$7,'Inputs (2)'!$D$2:$AL$2,0)),"")</f>
        <v>1733.913905</v>
      </c>
      <c r="AF20" s="267">
        <f>IFERROR(INDEX('Inputs (2)'!$D$54:$AL$54,MATCH(AF$7,'Inputs (2)'!$D$2:$AL$2,0)),"")</f>
        <v>1179.132223</v>
      </c>
      <c r="AG20" s="268">
        <f>IF(COUNT(AC20:AF20)=4,SUM(AC20:AF20),"")</f>
        <v>7539.838779</v>
      </c>
      <c r="AH20" s="268">
        <f>IFERROR(INDEX('Inputs (2)'!$D$54:$AL$54,MATCH(AH$7,'Inputs (2)'!$D$2:$AL$2,0)),"")</f>
        <v>2268.903862852</v>
      </c>
      <c r="AI20" s="268">
        <f>IFERROR(INDEX('Inputs (2)'!$D$54:$AL$54,MATCH(AI$7,'Inputs (2)'!$D$2:$AL$2,0)),"")</f>
        <v>1943.92785928</v>
      </c>
    </row>
    <row r="21">
      <c r="C21" s="14" t="inlineStr">
        <is>
          <t xml:space="preserve">   % Cury no VGV lancado</t>
        </is>
      </c>
      <c r="D21" s="269">
        <f>IFERROR(D20/D19,"")</f>
        <v>0.459879018891173</v>
      </c>
      <c r="E21" s="269">
        <f>IFERROR(E20/E19,"")</f>
        <v>1</v>
      </c>
      <c r="F21" s="269">
        <f>IFERROR(F20/F19,"")</f>
        <v>0.92536975373669</v>
      </c>
      <c r="G21" s="269">
        <f>IFERROR(G20/G19,"")</f>
        <v>0.926920280712285</v>
      </c>
      <c r="H21" s="270">
        <f>IFERROR(H20/H19,"")</f>
        <v>0.893528880413651</v>
      </c>
      <c r="I21" s="269">
        <f>IFERROR(I20/I19,"")</f>
        <v>0.800124328605058</v>
      </c>
      <c r="J21" s="269">
        <f>IFERROR(J20/J19,"")</f>
        <v>0.947511374524768</v>
      </c>
      <c r="K21" s="269">
        <f>IFERROR(K20/K19,"")</f>
        <v>0.879133332326609</v>
      </c>
      <c r="L21" s="269">
        <f>IFERROR(L20/L19,"")</f>
        <v>0.91318132973975</v>
      </c>
      <c r="M21" s="270">
        <f>IFERROR(M20/M19,"")</f>
        <v>0.888863678716894</v>
      </c>
      <c r="N21" s="269">
        <f>IFERROR(N20/N19,"")</f>
        <v>1</v>
      </c>
      <c r="O21" s="269">
        <f>IFERROR(O20/O19,"")</f>
        <v>1</v>
      </c>
      <c r="P21" s="269">
        <f>IFERROR(P20/P19,"")</f>
        <v>0.953979036828959</v>
      </c>
      <c r="Q21" s="269">
        <f>IFERROR(Q20/Q19,"")</f>
        <v>1</v>
      </c>
      <c r="R21" s="270">
        <f>IFERROR(R20/R19,"")</f>
        <v>0.987231242698934</v>
      </c>
      <c r="S21" s="269">
        <f>IFERROR(S20/S19,"")</f>
        <v>1</v>
      </c>
      <c r="T21" s="269">
        <f>IFERROR(T20/T19,"")</f>
        <v>0.930802131604303</v>
      </c>
      <c r="U21" s="269">
        <f>IFERROR(U20/U19,"")</f>
        <v>0.855434290464223</v>
      </c>
      <c r="V21" s="269">
        <f>IFERROR(V20/V19,"")</f>
        <v>1</v>
      </c>
      <c r="W21" s="270">
        <f>IFERROR(W20/W19,"")</f>
        <v>0.950293768313339</v>
      </c>
      <c r="X21" s="269">
        <f>IFERROR(X20/X19,"")</f>
        <v>0.795958494728873</v>
      </c>
      <c r="Y21" s="269">
        <f>IFERROR(Y20/Y19,"")</f>
        <v>0.966698096064821</v>
      </c>
      <c r="Z21" s="269">
        <f>IFERROR(Z20/Z19,"")</f>
        <v>0.963060735043381</v>
      </c>
      <c r="AA21" s="269">
        <f>IFERROR(AA20/AA19,"")</f>
        <v>0.757911099649459</v>
      </c>
      <c r="AB21" s="270">
        <f>IFERROR(AB20/AB19,"")</f>
        <v>0.872516144663073</v>
      </c>
      <c r="AC21" s="269">
        <f>IFERROR(AC20/AC19,"")</f>
        <v>0.957893435947216</v>
      </c>
      <c r="AD21" s="269">
        <f>IFERROR(AD20/AD19,"")</f>
        <v>0.88100495563758</v>
      </c>
      <c r="AE21" s="269">
        <f>IFERROR(AE20/AE19,"")</f>
        <v>0.872902447318223</v>
      </c>
      <c r="AF21" s="269">
        <f>IFERROR(AF20/AF19,"")</f>
        <v>0.91440060739853</v>
      </c>
      <c r="AG21" s="270">
        <f>IFERROR(AG20/AG19,"")</f>
        <v>0.910093479684431</v>
      </c>
      <c r="AH21" s="270">
        <f>IFERROR(AH20/AH19,"")</f>
        <v>0.857238834580178</v>
      </c>
      <c r="AI21" s="270">
        <f>IFERROR(AI20/AI19,"")</f>
        <v>0.861330642836579</v>
      </c>
    </row>
    <row r="22">
      <c r="C22" s="14" t="inlineStr">
        <is>
          <t>Unidades lancadas</t>
        </is>
      </c>
      <c r="D22" s="271">
        <f>IFERROR(INDEX('Inputs (2)'!$D$55:$AL$55,MATCH(D$7,'Inputs (2)'!$D$2:$AL$2,0)),"")</f>
        <v>903</v>
      </c>
      <c r="E22" s="271">
        <f>IFERROR(INDEX('Inputs (2)'!$D$55:$AL$55,MATCH(E$7,'Inputs (2)'!$D$2:$AL$2,0)),"")</f>
        <v>1830</v>
      </c>
      <c r="F22" s="271">
        <f>IFERROR(INDEX('Inputs (2)'!$D$55:$AL$55,MATCH(F$7,'Inputs (2)'!$D$2:$AL$2,0)),"")</f>
        <v>2061</v>
      </c>
      <c r="G22" s="271">
        <f>IFERROR(INDEX('Inputs (2)'!$D$55:$AL$55,MATCH(G$7,'Inputs (2)'!$D$2:$AL$2,0)),"")</f>
        <v>3439</v>
      </c>
      <c r="H22" s="272">
        <f>IF(COUNT(D22:G22)=4,SUM(D22:G22),"")</f>
        <v>8233</v>
      </c>
      <c r="I22" s="271">
        <f>IFERROR(INDEX('Inputs (2)'!$D$55:$AL$55,MATCH(I$7,'Inputs (2)'!$D$2:$AL$2,0)),"")</f>
        <v>2957</v>
      </c>
      <c r="J22" s="271">
        <f>IFERROR(INDEX('Inputs (2)'!$D$55:$AL$55,MATCH(J$7,'Inputs (2)'!$D$2:$AL$2,0)),"")</f>
        <v>3244</v>
      </c>
      <c r="K22" s="271">
        <f>IFERROR(INDEX('Inputs (2)'!$D$55:$AL$55,MATCH(K$7,'Inputs (2)'!$D$2:$AL$2,0)),"")</f>
        <v>3163</v>
      </c>
      <c r="L22" s="271">
        <f>IFERROR(INDEX('Inputs (2)'!$D$55:$AL$55,MATCH(L$7,'Inputs (2)'!$D$2:$AL$2,0)),"")</f>
        <v>3275</v>
      </c>
      <c r="M22" s="272">
        <f>IF(COUNT(I22:L22)=4,SUM(I22:L22),"")</f>
        <v>12639</v>
      </c>
      <c r="N22" s="271">
        <f>IFERROR(INDEX('Inputs (2)'!$D$55:$AL$55,MATCH(N$7,'Inputs (2)'!$D$2:$AL$2,0)),"")</f>
        <v>3240</v>
      </c>
      <c r="O22" s="271">
        <f>IFERROR(INDEX('Inputs (2)'!$D$55:$AL$55,MATCH(O$7,'Inputs (2)'!$D$2:$AL$2,0)),"")</f>
        <v>3548</v>
      </c>
      <c r="P22" s="271">
        <f>IFERROR(INDEX('Inputs (2)'!$D$55:$AL$55,MATCH(P$7,'Inputs (2)'!$D$2:$AL$2,0)),"")</f>
        <v>3650</v>
      </c>
      <c r="Q22" s="271">
        <f>IFERROR(INDEX('Inputs (2)'!$D$55:$AL$55,MATCH(Q$7,'Inputs (2)'!$D$2:$AL$2,0)),"")</f>
        <v>2147</v>
      </c>
      <c r="R22" s="272">
        <f>IF(COUNT(N22:Q22)=4,SUM(N22:Q22),"")</f>
        <v>12585</v>
      </c>
      <c r="S22" s="271">
        <f>IFERROR(INDEX('Inputs (2)'!$D$55:$AL$55,MATCH(S$7,'Inputs (2)'!$D$2:$AL$2,0)),"")</f>
        <v>5095</v>
      </c>
      <c r="T22" s="271">
        <f>IFERROR(INDEX('Inputs (2)'!$D$55:$AL$55,MATCH(T$7,'Inputs (2)'!$D$2:$AL$2,0)),"")</f>
        <v>3799</v>
      </c>
      <c r="U22" s="271">
        <f>IFERROR(INDEX('Inputs (2)'!$D$55:$AL$55,MATCH(U$7,'Inputs (2)'!$D$2:$AL$2,0)),"")</f>
        <v>3658</v>
      </c>
      <c r="V22" s="271">
        <f>IFERROR(INDEX('Inputs (2)'!$D$55:$AL$55,MATCH(V$7,'Inputs (2)'!$D$2:$AL$2,0)),"")</f>
        <v>3123</v>
      </c>
      <c r="W22" s="272">
        <f>IF(COUNT(S22:V22)=4,SUM(S22:V22),"")</f>
        <v>15675</v>
      </c>
      <c r="X22" s="271">
        <f>IFERROR(INDEX('Inputs (2)'!$D$55:$AL$55,MATCH(X$7,'Inputs (2)'!$D$2:$AL$2,0)),"")</f>
        <v>5959</v>
      </c>
      <c r="Y22" s="271">
        <f>IFERROR(INDEX('Inputs (2)'!$D$55:$AL$55,MATCH(Y$7,'Inputs (2)'!$D$2:$AL$2,0)),"")</f>
        <v>5588</v>
      </c>
      <c r="Z22" s="271">
        <f>IFERROR(INDEX('Inputs (2)'!$D$55:$AL$55,MATCH(Z$7,'Inputs (2)'!$D$2:$AL$2,0)),"")</f>
        <v>5157</v>
      </c>
      <c r="AA22" s="271">
        <f>IFERROR(INDEX('Inputs (2)'!$D$55:$AL$55,MATCH(AA$7,'Inputs (2)'!$D$2:$AL$2,0)),"")</f>
        <v>4061</v>
      </c>
      <c r="AB22" s="272">
        <f>IF(COUNT(X22:AA22)=4,SUM(X22:AA22),"")</f>
        <v>20765</v>
      </c>
      <c r="AC22" s="271">
        <f>IFERROR(INDEX('Inputs (2)'!$D$55:$AL$55,MATCH(AC$7,'Inputs (2)'!$D$2:$AL$2,0)),"")</f>
        <v>9132</v>
      </c>
      <c r="AD22" s="271">
        <f>IFERROR(INDEX('Inputs (2)'!$D$55:$AL$55,MATCH(AD$7,'Inputs (2)'!$D$2:$AL$2,0)),"")</f>
        <v>6588</v>
      </c>
      <c r="AE22" s="271">
        <f>IFERROR(INDEX('Inputs (2)'!$D$55:$AL$55,MATCH(AE$7,'Inputs (2)'!$D$2:$AL$2,0)),"")</f>
        <v>6813</v>
      </c>
      <c r="AF22" s="271">
        <f>IFERROR(INDEX('Inputs (2)'!$D$55:$AL$55,MATCH(AF$7,'Inputs (2)'!$D$2:$AL$2,0)),"")</f>
        <v>3833</v>
      </c>
      <c r="AG22" s="272">
        <f>IF(COUNT(AC22:AF22)=4,SUM(AC22:AF22),"")</f>
        <v>26366</v>
      </c>
      <c r="AH22" s="272">
        <f>IFERROR(INDEX('Inputs (2)'!$D$55:$AL$55,MATCH(AH$7,'Inputs (2)'!$D$2:$AL$2,0)),"")</f>
        <v>8001</v>
      </c>
      <c r="AI22" s="272">
        <f>IFERROR(INDEX('Inputs (2)'!$D$55:$AL$55,MATCH(AI$7,'Inputs (2)'!$D$2:$AL$2,0)),"")</f>
        <v>6549</v>
      </c>
    </row>
    <row r="23">
      <c r="C23" s="14" t="inlineStr">
        <is>
          <t xml:space="preserve">   Preco medio lancado (R$ mil/unidade)</t>
        </is>
      </c>
      <c r="D23" s="267">
        <f>IFERROR(D19/D22*1000,"")</f>
        <v>174.515224806202</v>
      </c>
      <c r="E23" s="267">
        <f>IFERROR(E19/E22*1000,"")</f>
        <v>170.233953551913</v>
      </c>
      <c r="F23" s="267">
        <f>IFERROR(F19/F22*1000,"")</f>
        <v>192.581329451722</v>
      </c>
      <c r="G23" s="267">
        <f>IFERROR(G19/G22*1000,"")</f>
        <v>196.206396045362</v>
      </c>
      <c r="H23" s="268">
        <f>IFERROR(H19/H22*1000,"")</f>
        <v>187.146762905381</v>
      </c>
      <c r="I23" s="267">
        <f>IFERROR(I19/I22*1000,"")</f>
        <v>199.693893134934</v>
      </c>
      <c r="J23" s="267">
        <f>IFERROR(J19/J22*1000,"")</f>
        <v>211.525483353884</v>
      </c>
      <c r="K23" s="267">
        <f>IFERROR(K19/K22*1000,"")</f>
        <v>227.702734113184</v>
      </c>
      <c r="L23" s="267">
        <f>IFERROR(L19/L22*1000,"")</f>
        <v>240.641598459897</v>
      </c>
      <c r="M23" s="268">
        <f>IFERROR(M19/M22*1000,"")</f>
        <v>220.350383175581</v>
      </c>
      <c r="N23" s="267">
        <f>IFERROR(N19/N22*1000,"")</f>
        <v>241.095679012346</v>
      </c>
      <c r="O23" s="267">
        <f>IFERROR(O19/O22*1000,"")</f>
        <v>297.722096956032</v>
      </c>
      <c r="P23" s="267">
        <f>IFERROR(P19/P22*1000,"")</f>
        <v>251.820915890411</v>
      </c>
      <c r="Q23" s="267">
        <f>IFERROR(Q19/Q22*1000,"")</f>
        <v>259.040099292035</v>
      </c>
      <c r="R23" s="268">
        <f>IFERROR(R19/R22*1000,"")</f>
        <v>263.231897988081</v>
      </c>
      <c r="S23" s="267">
        <f>IFERROR(S19/S22*1000,"")</f>
        <v>278.700868105986</v>
      </c>
      <c r="T23" s="267">
        <f>IFERROR(T19/T22*1000,"")</f>
        <v>321.812366675441</v>
      </c>
      <c r="U23" s="267">
        <f>IFERROR(U19/U22*1000,"")</f>
        <v>257.440434117004</v>
      </c>
      <c r="V23" s="267">
        <f>IFERROR(V19/V22*1000,"")</f>
        <v>274.289674351585</v>
      </c>
      <c r="W23" s="268">
        <f>IFERROR(W19/W22*1000,"")</f>
        <v>283.309082296651</v>
      </c>
      <c r="X23" s="267">
        <f>IFERROR(X19/X22*1000,"")</f>
        <v>316.217152206746</v>
      </c>
      <c r="Y23" s="267">
        <f>IFERROR(Y19/Y22*1000,"")</f>
        <v>310.430734609878</v>
      </c>
      <c r="Z23" s="267">
        <f>IFERROR(Z19/Z22*1000,"")</f>
        <v>302.636610432422</v>
      </c>
      <c r="AA23" s="267">
        <f>IFERROR(AA19/AA22*1000,"")</f>
        <v>344.702536321103</v>
      </c>
      <c r="AB23" s="268">
        <f>IFERROR(AB19/AB22*1000,"")</f>
        <v>316.858124488322</v>
      </c>
      <c r="AC23" s="267">
        <f>IFERROR(AC19/AC22*1000,"")</f>
        <v>304.808256679807</v>
      </c>
      <c r="AD23" s="267">
        <f>IFERROR(AD19/AD22*1000,"")</f>
        <v>337.778629477839</v>
      </c>
      <c r="AE23" s="267">
        <f>IFERROR(AE19/AE22*1000,"")</f>
        <v>291.556970791135</v>
      </c>
      <c r="AF23" s="267">
        <f>IFERROR(AF19/AF22*1000,"")</f>
        <v>336.424164623011</v>
      </c>
      <c r="AG23" s="268">
        <f>IFERROR(AG19/AG22*1000,"")</f>
        <v>314.218541910036</v>
      </c>
      <c r="AH23" s="268">
        <f>IFERROR(AH19/AH22*1000,"")</f>
        <v>330.803417000375</v>
      </c>
      <c r="AI23" s="268">
        <f>IFERROR(AI19/AI22*1000,"")</f>
        <v>344.615855745915</v>
      </c>
    </row>
    <row r="24">
      <c r="C24" s="14" t="inlineStr">
        <is>
          <t>Empreendimentos lancados</t>
        </is>
      </c>
      <c r="D24" s="271">
        <f>IFERROR(INDEX('Inputs (2)'!$D$56:$AL$56,MATCH(D$7,'Inputs (2)'!$D$2:$AL$2,0)),"")</f>
        <v>2</v>
      </c>
      <c r="E24" s="271">
        <f>IFERROR(INDEX('Inputs (2)'!$D$56:$AL$56,MATCH(E$7,'Inputs (2)'!$D$2:$AL$2,0)),"")</f>
        <v>4</v>
      </c>
      <c r="F24" s="271">
        <f>IFERROR(INDEX('Inputs (2)'!$D$56:$AL$56,MATCH(F$7,'Inputs (2)'!$D$2:$AL$2,0)),"")</f>
        <v>5</v>
      </c>
      <c r="G24" s="271">
        <f>IFERROR(INDEX('Inputs (2)'!$D$56:$AL$56,MATCH(G$7,'Inputs (2)'!$D$2:$AL$2,0)),"")</f>
        <v>6</v>
      </c>
      <c r="H24" s="272">
        <f>IF(COUNT(D24:G24)=4,SUM(D24:G24),"")</f>
        <v>17</v>
      </c>
      <c r="I24" s="271">
        <f>IFERROR(INDEX('Inputs (2)'!$D$56:$AL$56,MATCH(I$7,'Inputs (2)'!$D$2:$AL$2,0)),"")</f>
        <v>6</v>
      </c>
      <c r="J24" s="271">
        <f>IFERROR(INDEX('Inputs (2)'!$D$56:$AL$56,MATCH(J$7,'Inputs (2)'!$D$2:$AL$2,0)),"")</f>
        <v>7</v>
      </c>
      <c r="K24" s="271">
        <f>IFERROR(INDEX('Inputs (2)'!$D$56:$AL$56,MATCH(K$7,'Inputs (2)'!$D$2:$AL$2,0)),"")</f>
        <v>6</v>
      </c>
      <c r="L24" s="271">
        <f>IFERROR(INDEX('Inputs (2)'!$D$56:$AL$56,MATCH(L$7,'Inputs (2)'!$D$2:$AL$2,0)),"")</f>
        <v>7</v>
      </c>
      <c r="M24" s="272">
        <f>IF(COUNT(I24:L24)=4,SUM(I24:L24),"")</f>
        <v>26</v>
      </c>
      <c r="N24" s="271">
        <f>IFERROR(INDEX('Inputs (2)'!$D$56:$AL$56,MATCH(N$7,'Inputs (2)'!$D$2:$AL$2,0)),"")</f>
        <v>5</v>
      </c>
      <c r="O24" s="271">
        <f>IFERROR(INDEX('Inputs (2)'!$D$56:$AL$56,MATCH(O$7,'Inputs (2)'!$D$2:$AL$2,0)),"")</f>
        <v>7</v>
      </c>
      <c r="P24" s="271">
        <f>IFERROR(INDEX('Inputs (2)'!$D$56:$AL$56,MATCH(P$7,'Inputs (2)'!$D$2:$AL$2,0)),"")</f>
        <v>6</v>
      </c>
      <c r="Q24" s="271">
        <f>IFERROR(INDEX('Inputs (2)'!$D$56:$AL$56,MATCH(Q$7,'Inputs (2)'!$D$2:$AL$2,0)),"")</f>
        <v>5</v>
      </c>
      <c r="R24" s="272">
        <f>IF(COUNT(N24:Q24)=4,SUM(N24:Q24),"")</f>
        <v>23</v>
      </c>
      <c r="S24" s="271">
        <f>IFERROR(INDEX('Inputs (2)'!$D$56:$AL$56,MATCH(S$7,'Inputs (2)'!$D$2:$AL$2,0)),"")</f>
        <v>8</v>
      </c>
      <c r="T24" s="271">
        <f>IFERROR(INDEX('Inputs (2)'!$D$56:$AL$56,MATCH(T$7,'Inputs (2)'!$D$2:$AL$2,0)),"")</f>
        <v>8</v>
      </c>
      <c r="U24" s="271">
        <f>IFERROR(INDEX('Inputs (2)'!$D$56:$AL$56,MATCH(U$7,'Inputs (2)'!$D$2:$AL$2,0)),"")</f>
        <v>7</v>
      </c>
      <c r="V24" s="271">
        <f>IFERROR(INDEX('Inputs (2)'!$D$56:$AL$56,MATCH(V$7,'Inputs (2)'!$D$2:$AL$2,0)),"")</f>
        <v>6</v>
      </c>
      <c r="W24" s="272">
        <f>IF(COUNT(S24:V24)=4,SUM(S24:V24),"")</f>
        <v>29</v>
      </c>
      <c r="X24" s="271">
        <f>IFERROR(INDEX('Inputs (2)'!$D$56:$AL$56,MATCH(X$7,'Inputs (2)'!$D$2:$AL$2,0)),"")</f>
        <v>10</v>
      </c>
      <c r="Y24" s="271">
        <f>IFERROR(INDEX('Inputs (2)'!$D$56:$AL$56,MATCH(Y$7,'Inputs (2)'!$D$2:$AL$2,0)),"")</f>
        <v>8</v>
      </c>
      <c r="Z24" s="271">
        <f>IFERROR(INDEX('Inputs (2)'!$D$56:$AL$56,MATCH(Z$7,'Inputs (2)'!$D$2:$AL$2,0)),"")</f>
        <v>9</v>
      </c>
      <c r="AA24" s="271">
        <f>IFERROR(INDEX('Inputs (2)'!$D$56:$AL$56,MATCH(AA$7,'Inputs (2)'!$D$2:$AL$2,0)),"")</f>
        <v>7</v>
      </c>
      <c r="AB24" s="272">
        <f>IF(COUNT(X24:AA24)=4,SUM(X24:AA24),"")</f>
        <v>34</v>
      </c>
      <c r="AC24" s="271">
        <f>IFERROR(INDEX('Inputs (2)'!$D$56:$AL$56,MATCH(AC$7,'Inputs (2)'!$D$2:$AL$2,0)),"")</f>
        <v>14</v>
      </c>
      <c r="AD24" s="271">
        <f>IFERROR(INDEX('Inputs (2)'!$D$56:$AL$56,MATCH(AD$7,'Inputs (2)'!$D$2:$AL$2,0)),"")</f>
        <v>9</v>
      </c>
      <c r="AE24" s="271">
        <f>IFERROR(INDEX('Inputs (2)'!$D$56:$AL$56,MATCH(AE$7,'Inputs (2)'!$D$2:$AL$2,0)),"")</f>
        <v>9</v>
      </c>
      <c r="AF24" s="271">
        <f>IFERROR(INDEX('Inputs (2)'!$D$56:$AL$56,MATCH(AF$7,'Inputs (2)'!$D$2:$AL$2,0)),"")</f>
        <v>5</v>
      </c>
      <c r="AG24" s="272">
        <f>IF(COUNT(AC24:AF24)=4,SUM(AC24:AF24),"")</f>
        <v>37</v>
      </c>
      <c r="AH24" s="272">
        <f>IFERROR(INDEX('Inputs (2)'!$D$56:$AL$56,MATCH(AH$7,'Inputs (2)'!$D$2:$AL$2,0)),"")</f>
        <v>10</v>
      </c>
      <c r="AI24" s="272">
        <f>IFERROR(INDEX('Inputs (2)'!$D$56:$AL$56,MATCH(AI$7,'Inputs (2)'!$D$2:$AL$2,0)),"")</f>
        <v>11</v>
      </c>
    </row>
    <row r="25">
      <c r="C25" s="14" t="inlineStr">
        <is>
          <t xml:space="preserve">   % YoY VGV lancado 100%</t>
        </is>
      </c>
      <c r="D25" s="269" t="str">
        <f>""</f>
        <v/>
      </c>
      <c r="E25" s="269" t="str">
        <f>""</f>
        <v/>
      </c>
      <c r="F25" s="269" t="str">
        <f>""</f>
        <v/>
      </c>
      <c r="G25" s="269" t="str">
        <f>""</f>
        <v/>
      </c>
      <c r="H25" s="270" t="str">
        <f>""</f>
        <v/>
      </c>
      <c r="I25" s="269">
        <f>IFERROR(I19/D19-1,"")</f>
        <v>2.74709787431531</v>
      </c>
      <c r="J25" s="269">
        <f>IFERROR(J19/E19-1,"")</f>
        <v>1.20265392080879</v>
      </c>
      <c r="K25" s="269">
        <f>IFERROR(K19/F19-1,"")</f>
        <v>0.814576428537524</v>
      </c>
      <c r="L25" s="269">
        <f>IFERROR(L19/G19-1,"")</f>
        <v>0.16798340317327</v>
      </c>
      <c r="M25" s="270">
        <f>IFERROR(M19/H19-1,"")</f>
        <v>0.80753239270783</v>
      </c>
      <c r="N25" s="269">
        <f>IFERROR(N19/I19-1,"")</f>
        <v>0.322873536632857</v>
      </c>
      <c r="O25" s="269">
        <f>IFERROR(O19/J19-1,"")</f>
        <v>0.539398782376861</v>
      </c>
      <c r="P25" s="269">
        <f>IFERROR(P19/K19-1,"")</f>
        <v>0.276195551108098</v>
      </c>
      <c r="Q25" s="269">
        <f>IFERROR(Q19/L19-1,"")</f>
        <v>-0.294305009925614</v>
      </c>
      <c r="R25" s="270">
        <f>IFERROR(R19/M19-1,"")</f>
        <v>0.18950209471844</v>
      </c>
      <c r="S25" s="269">
        <f>IFERROR(S19/N19-1,"")</f>
        <v>0.817808260897395</v>
      </c>
      <c r="T25" s="269">
        <f>IFERROR(T19/O19-1,"")</f>
        <v>0.157383648673979</v>
      </c>
      <c r="U25" s="269">
        <f>IFERROR(U19/P19-1,"")</f>
        <v>0.0245562256455609</v>
      </c>
      <c r="V25" s="269">
        <f>IFERROR(V19/Q19-1,"")</f>
        <v>0.540218731482218</v>
      </c>
      <c r="W25" s="270">
        <f>IFERROR(W19/R19-1,"")</f>
        <v>0.34052930287947</v>
      </c>
      <c r="X25" s="269">
        <f>IFERROR(X19/S19-1,"")</f>
        <v>0.327016426403075</v>
      </c>
      <c r="Y25" s="269">
        <f>IFERROR(Y19/T19-1,"")</f>
        <v>0.418891174032217</v>
      </c>
      <c r="Z25" s="269">
        <f>IFERROR(Z19/U19-1,"")</f>
        <v>0.657288570783828</v>
      </c>
      <c r="AA25" s="269">
        <f>IFERROR(AA19/V19-1,"")</f>
        <v>0.634165454000974</v>
      </c>
      <c r="AB25" s="270">
        <f>IFERROR(AB19/W19-1,"")</f>
        <v>0.481592380550426</v>
      </c>
      <c r="AC25" s="269">
        <f>IFERROR(AC19/X19-1,"")</f>
        <v>0.477181368325739</v>
      </c>
      <c r="AD25" s="269">
        <f>IFERROR(AD19/Y19-1,"")</f>
        <v>0.282816831828985</v>
      </c>
      <c r="AE25" s="269">
        <f>IFERROR(AE19/Z19-1,"")</f>
        <v>0.272750342955743</v>
      </c>
      <c r="AF25" s="269">
        <f>IFERROR(AF19/AA19-1,"")</f>
        <v>-0.0788114451896897</v>
      </c>
      <c r="AG25" s="270">
        <f>IFERROR(AG19/AB19-1,"")</f>
        <v>0.259155231021105</v>
      </c>
      <c r="AH25" s="270">
        <f>IFERROR(AH19/AC19-1,"")</f>
        <v>-0.0491289450043093</v>
      </c>
      <c r="AI25" s="270">
        <f>IFERROR(AI19/AD19-1,"")</f>
        <v>0.0142020548390629</v>
      </c>
    </row>
    <row r="26"/>
    <row r="27">
      <c r="C27" s="12" t="inlineStr">
        <is>
          <t>Vendas e distratos (R$ milhoes)</t>
        </is>
      </c>
      <c r="D27" s="12" t="str">
        <f>D7</f>
        <v>1Q20</v>
      </c>
      <c r="E27" s="12" t="str">
        <f>E7</f>
        <v>2Q20</v>
      </c>
      <c r="F27" s="12" t="str">
        <f>F7</f>
        <v>3Q20</v>
      </c>
      <c r="G27" s="12" t="str">
        <f>G7</f>
        <v>4Q20</v>
      </c>
      <c r="H27" s="12">
        <f>H7</f>
        <v>2020</v>
      </c>
      <c r="I27" s="12" t="str">
        <f>I7</f>
        <v>1Q21</v>
      </c>
      <c r="J27" s="12" t="str">
        <f>J7</f>
        <v>2Q21</v>
      </c>
      <c r="K27" s="12" t="str">
        <f>K7</f>
        <v>3Q21</v>
      </c>
      <c r="L27" s="12" t="str">
        <f>L7</f>
        <v>4Q21</v>
      </c>
      <c r="M27" s="12">
        <f>M7</f>
        <v>2021</v>
      </c>
      <c r="N27" s="12" t="str">
        <f>N7</f>
        <v>1Q22</v>
      </c>
      <c r="O27" s="12" t="str">
        <f>O7</f>
        <v>2Q22</v>
      </c>
      <c r="P27" s="12" t="str">
        <f>P7</f>
        <v>3Q22</v>
      </c>
      <c r="Q27" s="12" t="str">
        <f>Q7</f>
        <v>4Q22</v>
      </c>
      <c r="R27" s="12">
        <f>R7</f>
        <v>2022</v>
      </c>
      <c r="S27" s="12" t="str">
        <f>S7</f>
        <v>1Q23</v>
      </c>
      <c r="T27" s="12" t="str">
        <f>T7</f>
        <v>2Q23</v>
      </c>
      <c r="U27" s="12" t="str">
        <f>U7</f>
        <v>3Q23</v>
      </c>
      <c r="V27" s="12" t="str">
        <f>V7</f>
        <v>4Q23</v>
      </c>
      <c r="W27" s="12">
        <f>W7</f>
        <v>2023</v>
      </c>
      <c r="X27" s="12" t="str">
        <f>X7</f>
        <v>1Q24</v>
      </c>
      <c r="Y27" s="12" t="str">
        <f>Y7</f>
        <v>2Q24</v>
      </c>
      <c r="Z27" s="12" t="str">
        <f>Z7</f>
        <v>3Q24</v>
      </c>
      <c r="AA27" s="12" t="str">
        <f>AA7</f>
        <v>4Q24</v>
      </c>
      <c r="AB27" s="12">
        <f>AB7</f>
        <v>2024</v>
      </c>
      <c r="AC27" s="12" t="str">
        <f>AC7</f>
        <v>1Q25</v>
      </c>
      <c r="AD27" s="12" t="str">
        <f>AD7</f>
        <v>2Q25</v>
      </c>
      <c r="AE27" s="12" t="str">
        <f>AE7</f>
        <v>3Q25</v>
      </c>
      <c r="AF27" s="12" t="str">
        <f>AF7</f>
        <v>4Q25</v>
      </c>
      <c r="AG27" s="12">
        <f>AG7</f>
        <v>2025</v>
      </c>
      <c r="AH27" s="12" t="str">
        <f>AH7</f>
        <v>1Q26</v>
      </c>
      <c r="AI27" s="12" t="str">
        <f>AI7</f>
        <v>2Q26</v>
      </c>
    </row>
    <row r="28">
      <c r="C28" s="14" t="inlineStr">
        <is>
          <t>Vendas brutas (VGV 100%)</t>
        </is>
      </c>
      <c r="D28" s="267">
        <f>IFERROR(INDEX('Inputs (2)'!$D$57:$AL$57,MATCH(D$7,'Inputs (2)'!$D$2:$AL$2,0)),"")</f>
        <v>279.330052</v>
      </c>
      <c r="E28" s="267">
        <f>IFERROR(INDEX('Inputs (2)'!$D$57:$AL$57,MATCH(E$7,'Inputs (2)'!$D$2:$AL$2,0)),"")</f>
        <v>333.769846</v>
      </c>
      <c r="F28" s="267">
        <f>IFERROR(INDEX('Inputs (2)'!$D$57:$AL$57,MATCH(F$7,'Inputs (2)'!$D$2:$AL$2,0)),"")</f>
        <v>467.432943</v>
      </c>
      <c r="G28" s="267">
        <f>IFERROR(INDEX('Inputs (2)'!$D$57:$AL$57,MATCH(G$7,'Inputs (2)'!$D$2:$AL$2,0)),"")</f>
        <v>448.160527</v>
      </c>
      <c r="H28" s="268">
        <f>IF(COUNT(D28:G28)=4,SUM(D28:G28),"")</f>
        <v>1528.693368</v>
      </c>
      <c r="I28" s="267">
        <f>IFERROR(INDEX('Inputs (2)'!$D$57:$AL$57,MATCH(I$7,'Inputs (2)'!$D$2:$AL$2,0)),"")</f>
        <v>633.518595</v>
      </c>
      <c r="J28" s="267">
        <f>IFERROR(INDEX('Inputs (2)'!$D$57:$AL$57,MATCH(J$7,'Inputs (2)'!$D$2:$AL$2,0)),"")</f>
        <v>736.46839125</v>
      </c>
      <c r="K28" s="267">
        <f>IFERROR(INDEX('Inputs (2)'!$D$57:$AL$57,MATCH(K$7,'Inputs (2)'!$D$2:$AL$2,0)),"")</f>
        <v>748.701792</v>
      </c>
      <c r="L28" s="267">
        <f>IFERROR(INDEX('Inputs (2)'!$D$57:$AL$57,MATCH(L$7,'Inputs (2)'!$D$2:$AL$2,0)),"")</f>
        <v>671.69377856</v>
      </c>
      <c r="M28" s="268">
        <f>IF(COUNT(I28:L28)=4,SUM(I28:L28),"")</f>
        <v>2790.38255681</v>
      </c>
      <c r="N28" s="267">
        <f>IFERROR(INDEX('Inputs (2)'!$D$57:$AL$57,MATCH(N$7,'Inputs (2)'!$D$2:$AL$2,0)),"")</f>
        <v>812.74016347</v>
      </c>
      <c r="O28" s="267">
        <f>IFERROR(INDEX('Inputs (2)'!$D$57:$AL$57,MATCH(O$7,'Inputs (2)'!$D$2:$AL$2,0)),"")</f>
        <v>987.42073506</v>
      </c>
      <c r="P28" s="267">
        <f>IFERROR(INDEX('Inputs (2)'!$D$57:$AL$57,MATCH(P$7,'Inputs (2)'!$D$2:$AL$2,0)),"")</f>
        <v>967.26329716</v>
      </c>
      <c r="Q28" s="267">
        <f>IFERROR(INDEX('Inputs (2)'!$D$57:$AL$57,MATCH(Q$7,'Inputs (2)'!$D$2:$AL$2,0)),"")</f>
        <v>835.5111194</v>
      </c>
      <c r="R28" s="268">
        <f>IF(COUNT(N28:Q28)=4,SUM(N28:Q28),"")</f>
        <v>3602.93531509</v>
      </c>
      <c r="S28" s="267">
        <f>IFERROR(INDEX('Inputs (2)'!$D$57:$AL$57,MATCH(S$7,'Inputs (2)'!$D$2:$AL$2,0)),"")</f>
        <v>1164.03701824</v>
      </c>
      <c r="T28" s="267">
        <f>IFERROR(INDEX('Inputs (2)'!$D$57:$AL$57,MATCH(T$7,'Inputs (2)'!$D$2:$AL$2,0)),"")</f>
        <v>1342.268679</v>
      </c>
      <c r="U28" s="267">
        <f>IFERROR(INDEX('Inputs (2)'!$D$57:$AL$57,MATCH(U$7,'Inputs (2)'!$D$2:$AL$2,0)),"")</f>
        <v>1154.32311335</v>
      </c>
      <c r="V28" s="267">
        <f>IFERROR(INDEX('Inputs (2)'!$D$57:$AL$57,MATCH(V$7,'Inputs (2)'!$D$2:$AL$2,0)),"")</f>
        <v>1025.134116</v>
      </c>
      <c r="W28" s="268">
        <f>IF(COUNT(S28:V28)=4,SUM(S28:V28),"")</f>
        <v>4685.76292659</v>
      </c>
      <c r="X28" s="267">
        <f>IFERROR(INDEX('Inputs (2)'!$D$57:$AL$57,MATCH(X$7,'Inputs (2)'!$D$2:$AL$2,0)),"")</f>
        <v>1679.48891586</v>
      </c>
      <c r="Y28" s="267">
        <f>IFERROR(INDEX('Inputs (2)'!$D$57:$AL$57,MATCH(Y$7,'Inputs (2)'!$D$2:$AL$2,0)),"")</f>
        <v>1926.22049911</v>
      </c>
      <c r="Z28" s="267">
        <f>IFERROR(INDEX('Inputs (2)'!$D$57:$AL$57,MATCH(Z$7,'Inputs (2)'!$D$2:$AL$2,0)),"")</f>
        <v>1590.24165394</v>
      </c>
      <c r="AA28" s="267">
        <f>IFERROR(INDEX('Inputs (2)'!$D$57:$AL$57,MATCH(AA$7,'Inputs (2)'!$D$2:$AL$2,0)),"")</f>
        <v>1531.003</v>
      </c>
      <c r="AB28" s="268">
        <f>IF(COUNT(X28:AA28)=4,SUM(X28:AA28),"")</f>
        <v>6726.95406891</v>
      </c>
      <c r="AC28" s="267">
        <f>IFERROR(INDEX('Inputs (2)'!$D$57:$AL$57,MATCH(AC$7,'Inputs (2)'!$D$2:$AL$2,0)),"")</f>
        <v>2225.41712449</v>
      </c>
      <c r="AD28" s="267">
        <f>IFERROR(INDEX('Inputs (2)'!$D$57:$AL$57,MATCH(AD$7,'Inputs (2)'!$D$2:$AL$2,0)),"")</f>
        <v>2498.00483802</v>
      </c>
      <c r="AE28" s="267">
        <f>IFERROR(INDEX('Inputs (2)'!$D$57:$AL$57,MATCH(AE$7,'Inputs (2)'!$D$2:$AL$2,0)),"")</f>
        <v>2051.878191</v>
      </c>
      <c r="AF28" s="267">
        <f>IFERROR(INDEX('Inputs (2)'!$D$57:$AL$57,MATCH(AF$7,'Inputs (2)'!$D$2:$AL$2,0)),"")</f>
        <v>1714.07288715</v>
      </c>
      <c r="AG28" s="268">
        <f>IF(COUNT(AC28:AF28)=4,SUM(AC28:AF28),"")</f>
        <v>8489.37304066</v>
      </c>
      <c r="AH28" s="268">
        <f>IFERROR(INDEX('Inputs (2)'!$D$57:$AL$57,MATCH(AH$7,'Inputs (2)'!$D$2:$AL$2,0)),"")</f>
        <v>2533.87232795</v>
      </c>
      <c r="AI28" s="268">
        <f>IFERROR(INDEX('Inputs (2)'!$D$57:$AL$57,MATCH(AI$7,'Inputs (2)'!$D$2:$AL$2,0)),"")</f>
        <v>2216.66966465</v>
      </c>
    </row>
    <row r="29">
      <c r="C29" s="14" t="inlineStr">
        <is>
          <t>(-) Distratos</t>
        </is>
      </c>
      <c r="D29" s="267">
        <f>IFERROR(-IFERROR(INDEX('Inputs (2)'!$D$58:$AL$58,MATCH(D$7,'Inputs (2)'!$D$2:$AL$2,0)),""),"")</f>
        <v>-40.45226183</v>
      </c>
      <c r="E29" s="267">
        <f>IFERROR(-IFERROR(INDEX('Inputs (2)'!$D$58:$AL$58,MATCH(E$7,'Inputs (2)'!$D$2:$AL$2,0)),""),"")</f>
        <v>-41.68763892</v>
      </c>
      <c r="F29" s="267">
        <f>IFERROR(-IFERROR(INDEX('Inputs (2)'!$D$58:$AL$58,MATCH(F$7,'Inputs (2)'!$D$2:$AL$2,0)),""),"")</f>
        <v>-57.08734247</v>
      </c>
      <c r="G29" s="267">
        <f>IFERROR(-IFERROR(INDEX('Inputs (2)'!$D$58:$AL$58,MATCH(G$7,'Inputs (2)'!$D$2:$AL$2,0)),""),"")</f>
        <v>-43.55561604</v>
      </c>
      <c r="H29" s="268">
        <f>IF(COUNT(D29:G29)=4,SUM(D29:G29),"")</f>
        <v>-182.78285926</v>
      </c>
      <c r="I29" s="267">
        <f>IFERROR(-IFERROR(INDEX('Inputs (2)'!$D$58:$AL$58,MATCH(I$7,'Inputs (2)'!$D$2:$AL$2,0)),""),"")</f>
        <v>-43.1452657</v>
      </c>
      <c r="J29" s="267">
        <f>IFERROR(-IFERROR(INDEX('Inputs (2)'!$D$58:$AL$58,MATCH(J$7,'Inputs (2)'!$D$2:$AL$2,0)),""),"")</f>
        <v>-53.89071489</v>
      </c>
      <c r="K29" s="267">
        <f>IFERROR(-IFERROR(INDEX('Inputs (2)'!$D$58:$AL$58,MATCH(K$7,'Inputs (2)'!$D$2:$AL$2,0)),""),"")</f>
        <v>-66.33128407</v>
      </c>
      <c r="L29" s="267">
        <f>IFERROR(-IFERROR(INDEX('Inputs (2)'!$D$58:$AL$58,MATCH(L$7,'Inputs (2)'!$D$2:$AL$2,0)),""),"")</f>
        <v>-60.32768256</v>
      </c>
      <c r="M29" s="268">
        <f>IF(COUNT(I29:L29)=4,SUM(I29:L29),"")</f>
        <v>-223.69494722</v>
      </c>
      <c r="N29" s="267">
        <f>IFERROR(-IFERROR(INDEX('Inputs (2)'!$D$58:$AL$58,MATCH(N$7,'Inputs (2)'!$D$2:$AL$2,0)),""),"")</f>
        <v>-59.37404232</v>
      </c>
      <c r="O29" s="267">
        <f>IFERROR(-IFERROR(INDEX('Inputs (2)'!$D$58:$AL$58,MATCH(O$7,'Inputs (2)'!$D$2:$AL$2,0)),""),"")</f>
        <v>-89.93535754</v>
      </c>
      <c r="P29" s="267">
        <f>IFERROR(-IFERROR(INDEX('Inputs (2)'!$D$58:$AL$58,MATCH(P$7,'Inputs (2)'!$D$2:$AL$2,0)),""),"")</f>
        <v>-81.43070051</v>
      </c>
      <c r="Q29" s="267">
        <f>IFERROR(-IFERROR(INDEX('Inputs (2)'!$D$58:$AL$58,MATCH(Q$7,'Inputs (2)'!$D$2:$AL$2,0)),""),"")</f>
        <v>-82.44907224</v>
      </c>
      <c r="R29" s="268">
        <f>IF(COUNT(N29:Q29)=4,SUM(N29:Q29),"")</f>
        <v>-313.18917261</v>
      </c>
      <c r="S29" s="267">
        <f>IFERROR(-IFERROR(INDEX('Inputs (2)'!$D$58:$AL$58,MATCH(S$7,'Inputs (2)'!$D$2:$AL$2,0)),""),"")</f>
        <v>-85.14504427</v>
      </c>
      <c r="T29" s="267">
        <f>IFERROR(-IFERROR(INDEX('Inputs (2)'!$D$58:$AL$58,MATCH(T$7,'Inputs (2)'!$D$2:$AL$2,0)),""),"")</f>
        <v>-148.317923</v>
      </c>
      <c r="U29" s="267">
        <f>IFERROR(-IFERROR(INDEX('Inputs (2)'!$D$58:$AL$58,MATCH(U$7,'Inputs (2)'!$D$2:$AL$2,0)),""),"")</f>
        <v>-181.6791671</v>
      </c>
      <c r="V29" s="267">
        <f>IFERROR(-IFERROR(INDEX('Inputs (2)'!$D$58:$AL$58,MATCH(V$7,'Inputs (2)'!$D$2:$AL$2,0)),""),"")</f>
        <v>-120.46253</v>
      </c>
      <c r="W29" s="268">
        <f>IF(COUNT(S29:V29)=4,SUM(S29:V29),"")</f>
        <v>-535.60466437</v>
      </c>
      <c r="X29" s="267">
        <f>IFERROR(-IFERROR(INDEX('Inputs (2)'!$D$58:$AL$58,MATCH(X$7,'Inputs (2)'!$D$2:$AL$2,0)),""),"")</f>
        <v>-127.35359657</v>
      </c>
      <c r="Y29" s="267">
        <f>IFERROR(-IFERROR(INDEX('Inputs (2)'!$D$58:$AL$58,MATCH(Y$7,'Inputs (2)'!$D$2:$AL$2,0)),""),"")</f>
        <v>-176.98055782</v>
      </c>
      <c r="Z29" s="267">
        <f>IFERROR(-IFERROR(INDEX('Inputs (2)'!$D$58:$AL$58,MATCH(Z$7,'Inputs (2)'!$D$2:$AL$2,0)),""),"")</f>
        <v>-153.09</v>
      </c>
      <c r="AA29" s="267">
        <f>IFERROR(-IFERROR(INDEX('Inputs (2)'!$D$58:$AL$58,MATCH(AA$7,'Inputs (2)'!$D$2:$AL$2,0)),""),"")</f>
        <v>-107.255</v>
      </c>
      <c r="AB29" s="268">
        <f>IF(COUNT(X29:AA29)=4,SUM(X29:AA29),"")</f>
        <v>-564.67915439</v>
      </c>
      <c r="AC29" s="267">
        <f>IFERROR(-IFERROR(INDEX('Inputs (2)'!$D$58:$AL$58,MATCH(AC$7,'Inputs (2)'!$D$2:$AL$2,0)),""),"")</f>
        <v>-119.83822794</v>
      </c>
      <c r="AD29" s="267">
        <f>IFERROR(-IFERROR(INDEX('Inputs (2)'!$D$58:$AL$58,MATCH(AD$7,'Inputs (2)'!$D$2:$AL$2,0)),""),"")</f>
        <v>-236.64165872</v>
      </c>
      <c r="AE29" s="267">
        <f>IFERROR(-IFERROR(INDEX('Inputs (2)'!$D$58:$AL$58,MATCH(AE$7,'Inputs (2)'!$D$2:$AL$2,0)),""),"")</f>
        <v>-224.841948</v>
      </c>
      <c r="AF29" s="267">
        <f>IFERROR(-IFERROR(INDEX('Inputs (2)'!$D$58:$AL$58,MATCH(AF$7,'Inputs (2)'!$D$2:$AL$2,0)),""),"")</f>
        <v>-157.73723287</v>
      </c>
      <c r="AG29" s="268">
        <f>IF(COUNT(AC29:AF29)=4,SUM(AC29:AF29),"")</f>
        <v>-739.05906753</v>
      </c>
      <c r="AH29" s="268">
        <f>IFERROR(-IFERROR(INDEX('Inputs (2)'!$D$58:$AL$58,MATCH(AH$7,'Inputs (2)'!$D$2:$AL$2,0)),""),"")</f>
        <v>-229.25261925</v>
      </c>
      <c r="AI29" s="268">
        <f>IFERROR(-IFERROR(INDEX('Inputs (2)'!$D$58:$AL$58,MATCH(AI$7,'Inputs (2)'!$D$2:$AL$2,0)),""),"")</f>
        <v>-171.16195926</v>
      </c>
    </row>
    <row r="30">
      <c r="C30" s="273" t="inlineStr">
        <is>
          <t>Vendas liquidas 100%</t>
        </is>
      </c>
      <c r="D30" s="267">
        <f>IFERROR(INDEX('Inputs (2)'!$D$59:$AL$59,MATCH(D$7,'Inputs (2)'!$D$2:$AL$2,0)),"")</f>
        <v>238.8777902</v>
      </c>
      <c r="E30" s="267">
        <f>IFERROR(INDEX('Inputs (2)'!$D$59:$AL$59,MATCH(E$7,'Inputs (2)'!$D$2:$AL$2,0)),"")</f>
        <v>292.08220729</v>
      </c>
      <c r="F30" s="267">
        <f>IFERROR(INDEX('Inputs (2)'!$D$59:$AL$59,MATCH(F$7,'Inputs (2)'!$D$2:$AL$2,0)),"")</f>
        <v>410.34560115</v>
      </c>
      <c r="G30" s="267">
        <f>IFERROR(INDEX('Inputs (2)'!$D$59:$AL$59,MATCH(G$7,'Inputs (2)'!$D$2:$AL$2,0)),"")</f>
        <v>404.60491135</v>
      </c>
      <c r="H30" s="268">
        <f>IF(COUNT(D30:G30)=4,SUM(D30:G30),"")</f>
        <v>1345.91050999</v>
      </c>
      <c r="I30" s="267">
        <f>IFERROR(INDEX('Inputs (2)'!$D$59:$AL$59,MATCH(I$7,'Inputs (2)'!$D$2:$AL$2,0)),"")</f>
        <v>590.37332932</v>
      </c>
      <c r="J30" s="267">
        <f>IFERROR(INDEX('Inputs (2)'!$D$59:$AL$59,MATCH(J$7,'Inputs (2)'!$D$2:$AL$2,0)),"")</f>
        <v>682.578</v>
      </c>
      <c r="K30" s="267">
        <f>IFERROR(INDEX('Inputs (2)'!$D$59:$AL$59,MATCH(K$7,'Inputs (2)'!$D$2:$AL$2,0)),"")</f>
        <v>682.37050876</v>
      </c>
      <c r="L30" s="267">
        <f>IFERROR(INDEX('Inputs (2)'!$D$59:$AL$59,MATCH(L$7,'Inputs (2)'!$D$2:$AL$2,0)),"")</f>
        <v>611.366096</v>
      </c>
      <c r="M30" s="268">
        <f>IF(COUNT(I30:L30)=4,SUM(I30:L30),"")</f>
        <v>2566.68793408</v>
      </c>
      <c r="N30" s="267">
        <f>IFERROR(INDEX('Inputs (2)'!$D$59:$AL$59,MATCH(N$7,'Inputs (2)'!$D$2:$AL$2,0)),"")</f>
        <v>753.36612115</v>
      </c>
      <c r="O30" s="267">
        <f>IFERROR(INDEX('Inputs (2)'!$D$59:$AL$59,MATCH(O$7,'Inputs (2)'!$D$2:$AL$2,0)),"")</f>
        <v>897.48537752</v>
      </c>
      <c r="P30" s="267">
        <f>IFERROR(INDEX('Inputs (2)'!$D$59:$AL$59,MATCH(P$7,'Inputs (2)'!$D$2:$AL$2,0)),"")</f>
        <v>885.83259665</v>
      </c>
      <c r="Q30" s="267">
        <f>IFERROR(INDEX('Inputs (2)'!$D$59:$AL$59,MATCH(Q$7,'Inputs (2)'!$D$2:$AL$2,0)),"")</f>
        <v>753.06204716</v>
      </c>
      <c r="R30" s="268">
        <f>IF(COUNT(N30:Q30)=4,SUM(N30:Q30),"")</f>
        <v>3289.74614248</v>
      </c>
      <c r="S30" s="267">
        <f>IFERROR(INDEX('Inputs (2)'!$D$59:$AL$59,MATCH(S$7,'Inputs (2)'!$D$2:$AL$2,0)),"")</f>
        <v>1078.89197397</v>
      </c>
      <c r="T30" s="267">
        <f>IFERROR(INDEX('Inputs (2)'!$D$59:$AL$59,MATCH(T$7,'Inputs (2)'!$D$2:$AL$2,0)),"")</f>
        <v>1193.950756</v>
      </c>
      <c r="U30" s="267">
        <f>IFERROR(INDEX('Inputs (2)'!$D$59:$AL$59,MATCH(U$7,'Inputs (2)'!$D$2:$AL$2,0)),"")</f>
        <v>972.64394625</v>
      </c>
      <c r="V30" s="267">
        <f>IFERROR(INDEX('Inputs (2)'!$D$59:$AL$59,MATCH(V$7,'Inputs (2)'!$D$2:$AL$2,0)),"")</f>
        <v>904.671586</v>
      </c>
      <c r="W30" s="268">
        <f>IF(COUNT(S30:V30)=4,SUM(S30:V30),"")</f>
        <v>4150.15826222</v>
      </c>
      <c r="X30" s="267">
        <f>IFERROR(INDEX('Inputs (2)'!$D$59:$AL$59,MATCH(X$7,'Inputs (2)'!$D$2:$AL$2,0)),"")</f>
        <v>1552.13531929</v>
      </c>
      <c r="Y30" s="267">
        <f>IFERROR(INDEX('Inputs (2)'!$D$59:$AL$59,MATCH(Y$7,'Inputs (2)'!$D$2:$AL$2,0)),"")</f>
        <v>1749.23994129</v>
      </c>
      <c r="Z30" s="267">
        <f>IFERROR(INDEX('Inputs (2)'!$D$59:$AL$59,MATCH(Z$7,'Inputs (2)'!$D$2:$AL$2,0)),"")</f>
        <v>1437.15116322</v>
      </c>
      <c r="AA30" s="267">
        <f>IFERROR(INDEX('Inputs (2)'!$D$59:$AL$59,MATCH(AA$7,'Inputs (2)'!$D$2:$AL$2,0)),"")</f>
        <v>1423.748</v>
      </c>
      <c r="AB30" s="268">
        <f>IF(COUNT(X30:AA30)=4,SUM(X30:AA30),"")</f>
        <v>6162.2744238</v>
      </c>
      <c r="AC30" s="267">
        <f>IFERROR(INDEX('Inputs (2)'!$D$59:$AL$59,MATCH(AC$7,'Inputs (2)'!$D$2:$AL$2,0)),"")</f>
        <v>2105.57889655</v>
      </c>
      <c r="AD30" s="267">
        <f>IFERROR(INDEX('Inputs (2)'!$D$59:$AL$59,MATCH(AD$7,'Inputs (2)'!$D$2:$AL$2,0)),"")</f>
        <v>2261.3631793</v>
      </c>
      <c r="AE30" s="267">
        <f>IFERROR(INDEX('Inputs (2)'!$D$59:$AL$59,MATCH(AE$7,'Inputs (2)'!$D$2:$AL$2,0)),"")</f>
        <v>1827.036243</v>
      </c>
      <c r="AF30" s="267">
        <f>IFERROR(INDEX('Inputs (2)'!$D$59:$AL$59,MATCH(AF$7,'Inputs (2)'!$D$2:$AL$2,0)),"")</f>
        <v>1556.33565428</v>
      </c>
      <c r="AG30" s="268">
        <f>IF(COUNT(AC30:AF30)=4,SUM(AC30:AF30),"")</f>
        <v>7750.31397313</v>
      </c>
      <c r="AH30" s="268">
        <f>IFERROR(INDEX('Inputs (2)'!$D$59:$AL$59,MATCH(AH$7,'Inputs (2)'!$D$2:$AL$2,0)),"")</f>
        <v>2304.6197087</v>
      </c>
      <c r="AI30" s="268">
        <f>IFERROR(INDEX('Inputs (2)'!$D$59:$AL$59,MATCH(AI$7,'Inputs (2)'!$D$2:$AL$2,0)),"")</f>
        <v>2045.50770539</v>
      </c>
    </row>
    <row r="31">
      <c r="C31" s="14" t="inlineStr">
        <is>
          <t xml:space="preserve">   Check: brutas - distratos - liquidas</t>
        </is>
      </c>
      <c r="D31" s="267">
        <f>IF(COUNT(D30)=0,"",ROUND(D28+D29-D30,3))</f>
        <v>0</v>
      </c>
      <c r="E31" s="267">
        <f>IF(COUNT(E30)=0,"",ROUND(E28+E29-E30,3))</f>
        <v>0</v>
      </c>
      <c r="F31" s="267">
        <f>IF(COUNT(F30)=0,"",ROUND(F28+F29-F30,3))</f>
        <v>0</v>
      </c>
      <c r="G31" s="267">
        <f>IF(COUNT(G30)=0,"",ROUND(G28+G29-G30,3))</f>
        <v>0</v>
      </c>
      <c r="H31" s="268">
        <f>IF(COUNT(H30)=0,"",ROUND(H28+H29-H30,3))</f>
        <v>0</v>
      </c>
      <c r="I31" s="267">
        <f>IF(COUNT(I30)=0,"",ROUND(I28+I29-I30,3))</f>
        <v>0</v>
      </c>
      <c r="J31" s="267">
        <f>IF(COUNT(J30)=0,"",ROUND(J28+J29-J30,3))</f>
        <v>0</v>
      </c>
      <c r="K31" s="267">
        <f>IF(COUNT(K30)=0,"",ROUND(K28+K29-K30,3))</f>
        <v>0</v>
      </c>
      <c r="L31" s="267">
        <f>IF(COUNT(L30)=0,"",ROUND(L28+L29-L30,3))</f>
        <v>0</v>
      </c>
      <c r="M31" s="268">
        <f>IF(COUNT(M30)=0,"",ROUND(M28+M29-M30,3))</f>
        <v>0</v>
      </c>
      <c r="N31" s="267">
        <f>IF(COUNT(N30)=0,"",ROUND(N28+N29-N30,3))</f>
        <v>0</v>
      </c>
      <c r="O31" s="267">
        <f>IF(COUNT(O30)=0,"",ROUND(O28+O29-O30,3))</f>
        <v>0</v>
      </c>
      <c r="P31" s="267">
        <f>IF(COUNT(P30)=0,"",ROUND(P28+P29-P30,3))</f>
        <v>0</v>
      </c>
      <c r="Q31" s="267">
        <f>IF(COUNT(Q30)=0,"",ROUND(Q28+Q29-Q30,3))</f>
        <v>0</v>
      </c>
      <c r="R31" s="268">
        <f>IF(COUNT(R30)=0,"",ROUND(R28+R29-R30,3))</f>
        <v>0</v>
      </c>
      <c r="S31" s="267">
        <f>IF(COUNT(S30)=0,"",ROUND(S28+S29-S30,3))</f>
        <v>0</v>
      </c>
      <c r="T31" s="267">
        <f>IF(COUNT(T30)=0,"",ROUND(T28+T29-T30,3))</f>
        <v>0</v>
      </c>
      <c r="U31" s="267">
        <f>IF(COUNT(U30)=0,"",ROUND(U28+U29-U30,3))</f>
        <v>0</v>
      </c>
      <c r="V31" s="267">
        <f>IF(COUNT(V30)=0,"",ROUND(V28+V29-V30,3))</f>
        <v>0</v>
      </c>
      <c r="W31" s="268">
        <f>IF(COUNT(W30)=0,"",ROUND(W28+W29-W30,3))</f>
        <v>0</v>
      </c>
      <c r="X31" s="267">
        <f>IF(COUNT(X30)=0,"",ROUND(X28+X29-X30,3))</f>
        <v>0</v>
      </c>
      <c r="Y31" s="267">
        <f>IF(COUNT(Y30)=0,"",ROUND(Y28+Y29-Y30,3))</f>
        <v>0</v>
      </c>
      <c r="Z31" s="267">
        <f>IF(COUNT(Z30)=0,"",ROUND(Z28+Z29-Z30,3))</f>
        <v>0</v>
      </c>
      <c r="AA31" s="267">
        <f>IF(COUNT(AA30)=0,"",ROUND(AA28+AA29-AA30,3))</f>
        <v>0</v>
      </c>
      <c r="AB31" s="268">
        <f>IF(COUNT(AB30)=0,"",ROUND(AB28+AB29-AB30,3))</f>
        <v>0</v>
      </c>
      <c r="AC31" s="267">
        <f>IF(COUNT(AC30)=0,"",ROUND(AC28+AC29-AC30,3))</f>
        <v>0</v>
      </c>
      <c r="AD31" s="267">
        <f>IF(COUNT(AD30)=0,"",ROUND(AD28+AD29-AD30,3))</f>
        <v>0</v>
      </c>
      <c r="AE31" s="267">
        <f>IF(COUNT(AE30)=0,"",ROUND(AE28+AE29-AE30,3))</f>
        <v>0</v>
      </c>
      <c r="AF31" s="267">
        <f>IF(COUNT(AF30)=0,"",ROUND(AF28+AF29-AF30,3))</f>
        <v>0</v>
      </c>
      <c r="AG31" s="268">
        <f>IF(COUNT(AG30)=0,"",ROUND(AG28+AG29-AG30,3))</f>
        <v>0</v>
      </c>
      <c r="AH31" s="268">
        <f>IF(COUNT(AH30)=0,"",ROUND(AH28+AH29-AH30,3))</f>
        <v>0</v>
      </c>
      <c r="AI31" s="268">
        <f>IF(COUNT(AI30)=0,"",ROUND(AI28+AI29-AI30,3))</f>
        <v>0</v>
      </c>
    </row>
    <row r="32">
      <c r="C32" s="273" t="inlineStr">
        <is>
          <t>Vendas liquidas parte Cury</t>
        </is>
      </c>
      <c r="D32" s="267">
        <f>IFERROR(INDEX('Inputs (2)'!$D$60:$AL$60,MATCH(D$7,'Inputs (2)'!$D$2:$AL$2,0)),"")</f>
        <v>173.740307</v>
      </c>
      <c r="E32" s="267">
        <f>IFERROR(INDEX('Inputs (2)'!$D$60:$AL$60,MATCH(E$7,'Inputs (2)'!$D$2:$AL$2,0)),"")</f>
        <v>248.207365</v>
      </c>
      <c r="F32" s="267">
        <f>IFERROR(INDEX('Inputs (2)'!$D$60:$AL$60,MATCH(F$7,'Inputs (2)'!$D$2:$AL$2,0)),"")</f>
        <v>363.318772</v>
      </c>
      <c r="G32" s="267">
        <f>IFERROR(INDEX('Inputs (2)'!$D$60:$AL$60,MATCH(G$7,'Inputs (2)'!$D$2:$AL$2,0)),"")</f>
        <v>370.036634</v>
      </c>
      <c r="H32" s="268">
        <f>IF(COUNT(D32:G32)=4,SUM(D32:G32),"")</f>
        <v>1155.303078</v>
      </c>
      <c r="I32" s="267">
        <f>IFERROR(INDEX('Inputs (2)'!$D$60:$AL$60,MATCH(I$7,'Inputs (2)'!$D$2:$AL$2,0)),"")</f>
        <v>526.078977</v>
      </c>
      <c r="J32" s="267">
        <f>IFERROR(INDEX('Inputs (2)'!$D$60:$AL$60,MATCH(J$7,'Inputs (2)'!$D$2:$AL$2,0)),"")</f>
        <v>618.279072</v>
      </c>
      <c r="K32" s="267">
        <f>IFERROR(INDEX('Inputs (2)'!$D$60:$AL$60,MATCH(K$7,'Inputs (2)'!$D$2:$AL$2,0)),"")</f>
        <v>639.576982</v>
      </c>
      <c r="L32" s="267">
        <f>IFERROR(INDEX('Inputs (2)'!$D$60:$AL$60,MATCH(L$7,'Inputs (2)'!$D$2:$AL$2,0)),"")</f>
        <v>565.420452</v>
      </c>
      <c r="M32" s="268">
        <f>IF(COUNT(I32:L32)=4,SUM(I32:L32),"")</f>
        <v>2349.355483</v>
      </c>
      <c r="N32" s="267">
        <f>IFERROR(INDEX('Inputs (2)'!$D$60:$AL$60,MATCH(N$7,'Inputs (2)'!$D$2:$AL$2,0)),"")</f>
        <v>707.012388</v>
      </c>
      <c r="O32" s="267">
        <f>IFERROR(INDEX('Inputs (2)'!$D$60:$AL$60,MATCH(O$7,'Inputs (2)'!$D$2:$AL$2,0)),"")</f>
        <v>844.809697</v>
      </c>
      <c r="P32" s="267">
        <f>IFERROR(INDEX('Inputs (2)'!$D$60:$AL$60,MATCH(P$7,'Inputs (2)'!$D$2:$AL$2,0)),"")</f>
        <v>836.735121</v>
      </c>
      <c r="Q32" s="267">
        <f>IFERROR(INDEX('Inputs (2)'!$D$60:$AL$60,MATCH(Q$7,'Inputs (2)'!$D$2:$AL$2,0)),"")</f>
        <v>719.681964281</v>
      </c>
      <c r="R32" s="268">
        <f>IF(COUNT(N32:Q32)=4,SUM(N32:Q32),"")</f>
        <v>3108.239170281</v>
      </c>
      <c r="S32" s="267">
        <f>IFERROR(INDEX('Inputs (2)'!$D$60:$AL$60,MATCH(S$7,'Inputs (2)'!$D$2:$AL$2,0)),"")</f>
        <v>1061.20588462305</v>
      </c>
      <c r="T32" s="267">
        <f>IFERROR(INDEX('Inputs (2)'!$D$60:$AL$60,MATCH(T$7,'Inputs (2)'!$D$2:$AL$2,0)),"")</f>
        <v>1132.517</v>
      </c>
      <c r="U32" s="267">
        <f>IFERROR(INDEX('Inputs (2)'!$D$60:$AL$60,MATCH(U$7,'Inputs (2)'!$D$2:$AL$2,0)),"")</f>
        <v>873.63920862795</v>
      </c>
      <c r="V32" s="267">
        <f>IFERROR(INDEX('Inputs (2)'!$D$60:$AL$60,MATCH(V$7,'Inputs (2)'!$D$2:$AL$2,0)),"")</f>
        <v>850.285464</v>
      </c>
      <c r="W32" s="268">
        <f>IF(COUNT(S32:V32)=4,SUM(S32:V32),"")</f>
        <v>3917.647557251</v>
      </c>
      <c r="X32" s="267">
        <f>IFERROR(INDEX('Inputs (2)'!$D$60:$AL$60,MATCH(X$7,'Inputs (2)'!$D$2:$AL$2,0)),"")</f>
        <v>1327.3153189665</v>
      </c>
      <c r="Y32" s="267">
        <f>IFERROR(INDEX('Inputs (2)'!$D$60:$AL$60,MATCH(Y$7,'Inputs (2)'!$D$2:$AL$2,0)),"")</f>
        <v>1635.318645691</v>
      </c>
      <c r="Z32" s="267">
        <f>IFERROR(INDEX('Inputs (2)'!$D$60:$AL$60,MATCH(Z$7,'Inputs (2)'!$D$2:$AL$2,0)),"")</f>
        <v>1359.5833140795</v>
      </c>
      <c r="AA32" s="267">
        <f>IFERROR(INDEX('Inputs (2)'!$D$60:$AL$60,MATCH(AA$7,'Inputs (2)'!$D$2:$AL$2,0)),"")</f>
        <v>1177.287</v>
      </c>
      <c r="AB32" s="268">
        <f>IF(COUNT(X32:AA32)=4,SUM(X32:AA32),"")</f>
        <v>5499.504278737</v>
      </c>
      <c r="AC32" s="267">
        <f>IFERROR(INDEX('Inputs (2)'!$D$60:$AL$60,MATCH(AC$7,'Inputs (2)'!$D$2:$AL$2,0)),"")</f>
        <v>1919.242</v>
      </c>
      <c r="AD32" s="267">
        <f>IFERROR(INDEX('Inputs (2)'!$D$60:$AL$60,MATCH(AD$7,'Inputs (2)'!$D$2:$AL$2,0)),"")</f>
        <v>2007.2358972826</v>
      </c>
      <c r="AE32" s="267">
        <f>IFERROR(INDEX('Inputs (2)'!$D$60:$AL$60,MATCH(AE$7,'Inputs (2)'!$D$2:$AL$2,0)),"")</f>
        <v>1630.208965</v>
      </c>
      <c r="AF32" s="267">
        <f>IFERROR(INDEX('Inputs (2)'!$D$60:$AL$60,MATCH(AF$7,'Inputs (2)'!$D$2:$AL$2,0)),"")</f>
        <v>1434.724903205</v>
      </c>
      <c r="AG32" s="268">
        <f>IF(COUNT(AC32:AF32)=4,SUM(AC32:AF32),"")</f>
        <v>6991.4117654876</v>
      </c>
      <c r="AH32" s="268">
        <f>IFERROR(INDEX('Inputs (2)'!$D$60:$AL$60,MATCH(AH$7,'Inputs (2)'!$D$2:$AL$2,0)),"")</f>
        <v>1893.602810242</v>
      </c>
      <c r="AI32" s="268">
        <f>IFERROR(INDEX('Inputs (2)'!$D$60:$AL$60,MATCH(AI$7,'Inputs (2)'!$D$2:$AL$2,0)),"")</f>
        <v>1748.76819676</v>
      </c>
    </row>
    <row r="33">
      <c r="C33" s="14" t="inlineStr">
        <is>
          <t xml:space="preserve">   Distratos / vendas brutas</t>
        </is>
      </c>
      <c r="D33" s="269">
        <f>IFERROR(-D29/D28,"")</f>
        <v>0.144818867645505</v>
      </c>
      <c r="E33" s="269">
        <f>IFERROR(-E29/E28,"")</f>
        <v>0.124899356306741</v>
      </c>
      <c r="F33" s="269">
        <f>IFERROR(-F29/F28,"")</f>
        <v>0.122129480441861</v>
      </c>
      <c r="G33" s="269">
        <f>IFERROR(-G29/G28,"")</f>
        <v>0.0971875330733891</v>
      </c>
      <c r="H33" s="270">
        <f>IFERROR(-H29/H28,"")</f>
        <v>0.119568033123043</v>
      </c>
      <c r="I33" s="269">
        <f>IFERROR(-I29/I28,"")</f>
        <v>0.0681041820090537</v>
      </c>
      <c r="J33" s="269">
        <f>IFERROR(-J29/J28,"")</f>
        <v>0.0731745116698517</v>
      </c>
      <c r="K33" s="269">
        <f>IFERROR(-K29/K28,"")</f>
        <v>0.0885950651898533</v>
      </c>
      <c r="L33" s="269">
        <f>IFERROR(-L29/L28,"")</f>
        <v>0.0898142643055777</v>
      </c>
      <c r="M33" s="270">
        <f>IFERROR(-M29/M28,"")</f>
        <v>0.0801664082489574</v>
      </c>
      <c r="N33" s="269">
        <f>IFERROR(-N29/N28,"")</f>
        <v>0.0730541506236164</v>
      </c>
      <c r="O33" s="269">
        <f>IFERROR(-O29/O28,"")</f>
        <v>0.0910810907110789</v>
      </c>
      <c r="P33" s="269">
        <f>IFERROR(-P29/P28,"")</f>
        <v>0.084186695338374</v>
      </c>
      <c r="Q33" s="269">
        <f>IFERROR(-Q29/Q28,"")</f>
        <v>0.0986809993614551</v>
      </c>
      <c r="R33" s="270">
        <f>IFERROR(-R29/R28,"")</f>
        <v>0.086926115852895</v>
      </c>
      <c r="S33" s="269">
        <f>IFERROR(-S29/S28,"")</f>
        <v>0.0731463372176407</v>
      </c>
      <c r="T33" s="269">
        <f>IFERROR(-T29/T28,"")</f>
        <v>0.110497939287757</v>
      </c>
      <c r="U33" s="269">
        <f>IFERROR(-U29/U28,"")</f>
        <v>0.157390218560852</v>
      </c>
      <c r="V33" s="269">
        <f>IFERROR(-V29/V28,"")</f>
        <v>0.117509044055656</v>
      </c>
      <c r="W33" s="270">
        <f>IFERROR(-W29/W28,"")</f>
        <v>0.114304686933826</v>
      </c>
      <c r="X33" s="269">
        <f>IFERROR(-X29/X28,"")</f>
        <v>0.0758287806292471</v>
      </c>
      <c r="Y33" s="269">
        <f>IFERROR(-Y29/Y28,"")</f>
        <v>0.091879698041721</v>
      </c>
      <c r="Z33" s="269">
        <f>IFERROR(-Z29/Z28,"")</f>
        <v>0.0962683876508344</v>
      </c>
      <c r="AA33" s="269">
        <f>IFERROR(-AA29/AA28,"")</f>
        <v>0.0700553819946793</v>
      </c>
      <c r="AB33" s="270">
        <f>IFERROR(-AB29/AB28,"")</f>
        <v>0.0839427694325699</v>
      </c>
      <c r="AC33" s="269">
        <f>IFERROR(-AC29/AC28,"")</f>
        <v>0.053849782416617</v>
      </c>
      <c r="AD33" s="269">
        <f>IFERROR(-AD29/AD28,"")</f>
        <v>0.0947322659741403</v>
      </c>
      <c r="AE33" s="269">
        <f>IFERROR(-AE29/AE28,"")</f>
        <v>0.109578604122899</v>
      </c>
      <c r="AF33" s="269">
        <f>IFERROR(-AF29/AF28,"")</f>
        <v>0.092024810644004</v>
      </c>
      <c r="AG33" s="270">
        <f>IFERROR(-AG29/AG28,"")</f>
        <v>0.0870569668679022</v>
      </c>
      <c r="AH33" s="270">
        <f>IFERROR(-AH29/AH28,"")</f>
        <v>0.0904752053689596</v>
      </c>
      <c r="AI33" s="270">
        <f>IFERROR(-AI29/AI28,"")</f>
        <v>0.0772158170383161</v>
      </c>
    </row>
    <row r="34">
      <c r="C34" s="14" t="inlineStr">
        <is>
          <t>Unidades vendidas liquidas</t>
        </is>
      </c>
      <c r="D34" s="271">
        <f>IFERROR(INDEX('Inputs (2)'!$D$61:$AL$61,MATCH(D$7,'Inputs (2)'!$D$2:$AL$2,0)),"")</f>
        <v>1280</v>
      </c>
      <c r="E34" s="271">
        <f>IFERROR(INDEX('Inputs (2)'!$D$61:$AL$61,MATCH(E$7,'Inputs (2)'!$D$2:$AL$2,0)),"")</f>
        <v>1622</v>
      </c>
      <c r="F34" s="271">
        <f>IFERROR(INDEX('Inputs (2)'!$D$61:$AL$61,MATCH(F$7,'Inputs (2)'!$D$2:$AL$2,0)),"")</f>
        <v>2131</v>
      </c>
      <c r="G34" s="271">
        <f>IFERROR(INDEX('Inputs (2)'!$D$61:$AL$61,MATCH(G$7,'Inputs (2)'!$D$2:$AL$2,0)),"")</f>
        <v>2068</v>
      </c>
      <c r="H34" s="272">
        <f>IF(COUNT(D34:G34)=4,SUM(D34:G34),"")</f>
        <v>7101</v>
      </c>
      <c r="I34" s="271">
        <f>IFERROR(INDEX('Inputs (2)'!$D$61:$AL$61,MATCH(I$7,'Inputs (2)'!$D$2:$AL$2,0)),"")</f>
        <v>2874</v>
      </c>
      <c r="J34" s="271">
        <f>IFERROR(INDEX('Inputs (2)'!$D$61:$AL$61,MATCH(J$7,'Inputs (2)'!$D$2:$AL$2,0)),"")</f>
        <v>3253</v>
      </c>
      <c r="K34" s="271">
        <f>IFERROR(INDEX('Inputs (2)'!$D$61:$AL$61,MATCH(K$7,'Inputs (2)'!$D$2:$AL$2,0)),"")</f>
        <v>3080</v>
      </c>
      <c r="L34" s="271">
        <f>IFERROR(INDEX('Inputs (2)'!$D$61:$AL$61,MATCH(L$7,'Inputs (2)'!$D$2:$AL$2,0)),"")</f>
        <v>2667</v>
      </c>
      <c r="M34" s="272">
        <f>IF(COUNT(I34:L34)=4,SUM(I34:L34),"")</f>
        <v>11874</v>
      </c>
      <c r="N34" s="271">
        <f>IFERROR(INDEX('Inputs (2)'!$D$61:$AL$61,MATCH(N$7,'Inputs (2)'!$D$2:$AL$2,0)),"")</f>
        <v>3264</v>
      </c>
      <c r="O34" s="271">
        <f>IFERROR(INDEX('Inputs (2)'!$D$61:$AL$61,MATCH(O$7,'Inputs (2)'!$D$2:$AL$2,0)),"")</f>
        <v>3734</v>
      </c>
      <c r="P34" s="271">
        <f>IFERROR(INDEX('Inputs (2)'!$D$61:$AL$61,MATCH(P$7,'Inputs (2)'!$D$2:$AL$2,0)),"")</f>
        <v>3465</v>
      </c>
      <c r="Q34" s="271">
        <f>IFERROR(INDEX('Inputs (2)'!$D$61:$AL$61,MATCH(Q$7,'Inputs (2)'!$D$2:$AL$2,0)),"")</f>
        <v>3073</v>
      </c>
      <c r="R34" s="272">
        <f>IF(COUNT(N34:Q34)=4,SUM(N34:Q34),"")</f>
        <v>13536</v>
      </c>
      <c r="S34" s="271">
        <f>IFERROR(INDEX('Inputs (2)'!$D$61:$AL$61,MATCH(S$7,'Inputs (2)'!$D$2:$AL$2,0)),"")</f>
        <v>4014</v>
      </c>
      <c r="T34" s="271">
        <f>IFERROR(INDEX('Inputs (2)'!$D$61:$AL$61,MATCH(T$7,'Inputs (2)'!$D$2:$AL$2,0)),"")</f>
        <v>4292.47</v>
      </c>
      <c r="U34" s="271">
        <f>IFERROR(INDEX('Inputs (2)'!$D$61:$AL$61,MATCH(U$7,'Inputs (2)'!$D$2:$AL$2,0)),"")</f>
        <v>3496</v>
      </c>
      <c r="V34" s="271">
        <f>IFERROR(INDEX('Inputs (2)'!$D$61:$AL$61,MATCH(V$7,'Inputs (2)'!$D$2:$AL$2,0)),"")</f>
        <v>3215</v>
      </c>
      <c r="W34" s="272">
        <f>IF(COUNT(S34:V34)=4,SUM(S34:V34),"")</f>
        <v>15017.47</v>
      </c>
      <c r="X34" s="271">
        <f>IFERROR(INDEX('Inputs (2)'!$D$61:$AL$61,MATCH(X$7,'Inputs (2)'!$D$2:$AL$2,0)),"")</f>
        <v>5321</v>
      </c>
      <c r="Y34" s="271">
        <f>IFERROR(INDEX('Inputs (2)'!$D$61:$AL$61,MATCH(Y$7,'Inputs (2)'!$D$2:$AL$2,0)),"")</f>
        <v>5769</v>
      </c>
      <c r="Z34" s="271">
        <f>IFERROR(INDEX('Inputs (2)'!$D$61:$AL$61,MATCH(Z$7,'Inputs (2)'!$D$2:$AL$2,0)),"")</f>
        <v>4688</v>
      </c>
      <c r="AA34" s="271">
        <f>IFERROR(INDEX('Inputs (2)'!$D$61:$AL$61,MATCH(AA$7,'Inputs (2)'!$D$2:$AL$2,0)),"")</f>
        <v>4464</v>
      </c>
      <c r="AB34" s="272">
        <f>IF(COUNT(X34:AA34)=4,SUM(X34:AA34),"")</f>
        <v>20242</v>
      </c>
      <c r="AC34" s="271">
        <f>IFERROR(INDEX('Inputs (2)'!$D$61:$AL$61,MATCH(AC$7,'Inputs (2)'!$D$2:$AL$2,0)),"")</f>
        <v>6790</v>
      </c>
      <c r="AD34" s="271">
        <f>IFERROR(INDEX('Inputs (2)'!$D$61:$AL$61,MATCH(AD$7,'Inputs (2)'!$D$2:$AL$2,0)),"")</f>
        <v>7712</v>
      </c>
      <c r="AE34" s="271">
        <f>IFERROR(INDEX('Inputs (2)'!$D$61:$AL$61,MATCH(AE$7,'Inputs (2)'!$D$2:$AL$2,0)),"")</f>
        <v>6117</v>
      </c>
      <c r="AF34" s="271">
        <f>IFERROR(INDEX('Inputs (2)'!$D$61:$AL$61,MATCH(AF$7,'Inputs (2)'!$D$2:$AL$2,0)),"")</f>
        <v>4956</v>
      </c>
      <c r="AG34" s="272">
        <f>IF(COUNT(AC34:AF34)=4,SUM(AC34:AF34),"")</f>
        <v>25575</v>
      </c>
      <c r="AH34" s="272">
        <f>IFERROR(INDEX('Inputs (2)'!$D$61:$AL$61,MATCH(AH$7,'Inputs (2)'!$D$2:$AL$2,0)),"")</f>
        <v>7058</v>
      </c>
      <c r="AI34" s="272">
        <f>IFERROR(INDEX('Inputs (2)'!$D$61:$AL$61,MATCH(AI$7,'Inputs (2)'!$D$2:$AL$2,0)),"")</f>
        <v>6137</v>
      </c>
    </row>
    <row r="35">
      <c r="C35" s="14" t="inlineStr">
        <is>
          <t xml:space="preserve">   Preco medio das vendas liquidas (R$ mil/unidade)</t>
        </is>
      </c>
      <c r="D35" s="267">
        <f>IFERROR(D30/D34*1000,"")</f>
        <v>186.62327359375</v>
      </c>
      <c r="E35" s="267">
        <f>IFERROR(E30/E34*1000,"")</f>
        <v>180.075343581998</v>
      </c>
      <c r="F35" s="267">
        <f>IFERROR(F30/F34*1000,"")</f>
        <v>192.560113162834</v>
      </c>
      <c r="G35" s="267">
        <f>IFERROR(G30/G34*1000,"")</f>
        <v>195.650343979691</v>
      </c>
      <c r="H35" s="268">
        <f>IFERROR(H30/H34*1000,"")</f>
        <v>189.538165045768</v>
      </c>
      <c r="I35" s="267">
        <f>IFERROR(I30/I34*1000,"")</f>
        <v>205.418694961726</v>
      </c>
      <c r="J35" s="267">
        <f>IFERROR(J30/J34*1000,"")</f>
        <v>209.830310482631</v>
      </c>
      <c r="K35" s="267">
        <f>IFERROR(K30/K34*1000,"")</f>
        <v>221.54886648052</v>
      </c>
      <c r="L35" s="267">
        <f>IFERROR(L30/L34*1000,"")</f>
        <v>229.233631796026</v>
      </c>
      <c r="M35" s="268">
        <f>IFERROR(M30/M34*1000,"")</f>
        <v>216.160344793667</v>
      </c>
      <c r="N35" s="267">
        <f>IFERROR(N30/N34*1000,"")</f>
        <v>230.81069888174</v>
      </c>
      <c r="O35" s="267">
        <f>IFERROR(O30/O34*1000,"")</f>
        <v>240.354948452062</v>
      </c>
      <c r="P35" s="267">
        <f>IFERROR(P30/P34*1000,"")</f>
        <v>255.651543044733</v>
      </c>
      <c r="Q35" s="267">
        <f>IFERROR(Q30/Q34*1000,"")</f>
        <v>245.057613784575</v>
      </c>
      <c r="R35" s="268">
        <f>IFERROR(R30/R34*1000,"")</f>
        <v>243.036801306147</v>
      </c>
      <c r="S35" s="267">
        <f>IFERROR(S30/S34*1000,"")</f>
        <v>268.782255597907</v>
      </c>
      <c r="T35" s="267">
        <f>IFERROR(T30/T34*1000,"")</f>
        <v>278.150052533856</v>
      </c>
      <c r="U35" s="267">
        <f>IFERROR(U30/U34*1000,"")</f>
        <v>278.216231764874</v>
      </c>
      <c r="V35" s="267">
        <f>IFERROR(V30/V34*1000,"")</f>
        <v>281.390851010887</v>
      </c>
      <c r="W35" s="268">
        <f>IFERROR(W30/W34*1000,"")</f>
        <v>276.355355610499</v>
      </c>
      <c r="X35" s="267">
        <f>IFERROR(X30/X34*1000,"")</f>
        <v>291.699928451419</v>
      </c>
      <c r="Y35" s="267">
        <f>IFERROR(Y30/Y34*1000,"")</f>
        <v>303.213718372335</v>
      </c>
      <c r="Z35" s="267">
        <f>IFERROR(Z30/Z34*1000,"")</f>
        <v>306.55954846843</v>
      </c>
      <c r="AA35" s="267">
        <f>IFERROR(AA30/AA34*1000,"")</f>
        <v>318.939964157706</v>
      </c>
      <c r="AB35" s="268">
        <f>IFERROR(AB30/AB34*1000,"")</f>
        <v>304.430116776998</v>
      </c>
      <c r="AC35" s="267">
        <f>IFERROR(AC30/AC34*1000,"")</f>
        <v>310.099984764359</v>
      </c>
      <c r="AD35" s="267">
        <f>IFERROR(AD30/AD34*1000,"")</f>
        <v>293.226553332469</v>
      </c>
      <c r="AE35" s="267">
        <f>IFERROR(AE30/AE34*1000,"")</f>
        <v>298.681746444336</v>
      </c>
      <c r="AF35" s="267">
        <f>IFERROR(AF30/AF34*1000,"")</f>
        <v>314.030600137208</v>
      </c>
      <c r="AG35" s="268">
        <f>IFERROR(AG30/AG34*1000,"")</f>
        <v>303.042579594526</v>
      </c>
      <c r="AH35" s="268">
        <f>IFERROR(AH30/AH34*1000,"")</f>
        <v>326.525886752621</v>
      </c>
      <c r="AI35" s="268">
        <f>IFERROR(AI30/AI34*1000,"")</f>
        <v>333.307431218837</v>
      </c>
    </row>
    <row r="36">
      <c r="C36" s="14" t="inlineStr">
        <is>
          <t>VSO liquido trimestral</t>
        </is>
      </c>
      <c r="D36" s="269">
        <f>IFERROR(INDEX('Inputs (2)'!$D$62:$AL$62,MATCH(D$7,'Inputs (2)'!$D$2:$AL$2,0)),"")</f>
        <v>0.342552812641719</v>
      </c>
      <c r="E36" s="269">
        <f>IFERROR(INDEX('Inputs (2)'!$D$62:$AL$62,MATCH(E$7,'Inputs (2)'!$D$2:$AL$2,0)),"")</f>
        <v>0.380240164226647</v>
      </c>
      <c r="F36" s="269">
        <f>IFERROR(INDEX('Inputs (2)'!$D$62:$AL$62,MATCH(F$7,'Inputs (2)'!$D$2:$AL$2,0)),"")</f>
        <v>0.464542253395794</v>
      </c>
      <c r="G36" s="269">
        <f>IFERROR(INDEX('Inputs (2)'!$D$62:$AL$62,MATCH(G$7,'Inputs (2)'!$D$2:$AL$2,0)),"")</f>
        <v>0.351005258979612</v>
      </c>
      <c r="H36" s="270" t="n"/>
      <c r="I36" s="269">
        <f>IFERROR(INDEX('Inputs (2)'!$D$62:$AL$62,MATCH(I$7,'Inputs (2)'!$D$2:$AL$2,0)),"")</f>
        <v>0.435348251634148</v>
      </c>
      <c r="J36" s="269">
        <f>IFERROR(INDEX('Inputs (2)'!$D$62:$AL$62,MATCH(J$7,'Inputs (2)'!$D$2:$AL$2,0)),"")</f>
        <v>0.468</v>
      </c>
      <c r="K36" s="269">
        <f>IFERROR(INDEX('Inputs (2)'!$D$62:$AL$62,MATCH(K$7,'Inputs (2)'!$D$2:$AL$2,0)),"")</f>
        <v>0.452050514660091</v>
      </c>
      <c r="L36" s="269">
        <f>IFERROR(INDEX('Inputs (2)'!$D$62:$AL$62,MATCH(L$7,'Inputs (2)'!$D$2:$AL$2,0)),"")</f>
        <v>0.379516861468098</v>
      </c>
      <c r="M36" s="270" t="n"/>
      <c r="N36" s="269">
        <f>IFERROR(INDEX('Inputs (2)'!$D$62:$AL$62,MATCH(N$7,'Inputs (2)'!$D$2:$AL$2,0)),"")</f>
        <v>0.413751651981806</v>
      </c>
      <c r="O36" s="269">
        <f>IFERROR(INDEX('Inputs (2)'!$D$62:$AL$62,MATCH(O$7,'Inputs (2)'!$D$2:$AL$2,0)),"")</f>
        <v>0.416294316160121</v>
      </c>
      <c r="P36" s="269">
        <f>IFERROR(INDEX('Inputs (2)'!$D$62:$AL$62,MATCH(P$7,'Inputs (2)'!$D$2:$AL$2,0)),"")</f>
        <v>0.403130832253066</v>
      </c>
      <c r="Q36" s="269">
        <f>IFERROR(INDEX('Inputs (2)'!$D$62:$AL$62,MATCH(Q$7,'Inputs (2)'!$D$2:$AL$2,0)),"")</f>
        <v>0.41</v>
      </c>
      <c r="R36" s="270" t="n"/>
      <c r="S36" s="269">
        <f>IFERROR(INDEX('Inputs (2)'!$D$62:$AL$62,MATCH(S$7,'Inputs (2)'!$D$2:$AL$2,0)),"")</f>
        <v>0.43402358192279</v>
      </c>
      <c r="T36" s="269">
        <f>IFERROR(INDEX('Inputs (2)'!$D$62:$AL$62,MATCH(T$7,'Inputs (2)'!$D$2:$AL$2,0)),"")</f>
        <v>0.45393769165653</v>
      </c>
      <c r="U36" s="269">
        <f>IFERROR(INDEX('Inputs (2)'!$D$62:$AL$62,MATCH(U$7,'Inputs (2)'!$D$2:$AL$2,0)),"")</f>
        <v>0.403739322995392</v>
      </c>
      <c r="V36" s="269">
        <f>IFERROR(INDEX('Inputs (2)'!$D$62:$AL$62,MATCH(V$7,'Inputs (2)'!$D$2:$AL$2,0)),"")</f>
        <v>0.3885</v>
      </c>
      <c r="W36" s="270" t="n"/>
      <c r="X36" s="269">
        <f>IFERROR(INDEX('Inputs (2)'!$D$62:$AL$62,MATCH(X$7,'Inputs (2)'!$D$2:$AL$2,0)),"")</f>
        <v>0.478706116360668</v>
      </c>
      <c r="Y36" s="269">
        <f>IFERROR(INDEX('Inputs (2)'!$D$62:$AL$62,MATCH(Y$7,'Inputs (2)'!$D$2:$AL$2,0)),"")</f>
        <v>0.50526082643869</v>
      </c>
      <c r="Z36" s="269">
        <f>IFERROR(INDEX('Inputs (2)'!$D$62:$AL$62,MATCH(Z$7,'Inputs (2)'!$D$2:$AL$2,0)),"")</f>
        <v>0.438513003577818</v>
      </c>
      <c r="AA36" s="269">
        <f>IFERROR(INDEX('Inputs (2)'!$D$62:$AL$62,MATCH(AA$7,'Inputs (2)'!$D$2:$AL$2,0)),"")</f>
        <v>0.4371</v>
      </c>
      <c r="AB36" s="270" t="n"/>
      <c r="AC36" s="269">
        <f>IFERROR(INDEX('Inputs (2)'!$D$62:$AL$62,MATCH(AC$7,'Inputs (2)'!$D$2:$AL$2,0)),"")</f>
        <v>0.454118773835087</v>
      </c>
      <c r="AD36" s="269">
        <f>IFERROR(INDEX('Inputs (2)'!$D$62:$AL$62,MATCH(AD$7,'Inputs (2)'!$D$2:$AL$2,0)),"")</f>
        <v>0.475167507293997</v>
      </c>
      <c r="AE36" s="269">
        <f>IFERROR(INDEX('Inputs (2)'!$D$62:$AL$62,MATCH(AE$7,'Inputs (2)'!$D$2:$AL$2,0)),"")</f>
        <v>0.405535728681346</v>
      </c>
      <c r="AF36" s="269">
        <f>IFERROR(INDEX('Inputs (2)'!$D$62:$AL$62,MATCH(AF$7,'Inputs (2)'!$D$2:$AL$2,0)),"")</f>
        <v>0.392750590286147</v>
      </c>
      <c r="AG36" s="270" t="n"/>
      <c r="AH36" s="270">
        <f>IFERROR(INDEX('Inputs (2)'!$D$62:$AL$62,MATCH(AH$7,'Inputs (2)'!$D$2:$AL$2,0)),"")</f>
        <v>0.451019798613573</v>
      </c>
      <c r="AI36" s="270">
        <f>IFERROR(INDEX('Inputs (2)'!$D$62:$AL$62,MATCH(AI$7,'Inputs (2)'!$D$2:$AL$2,0)),"")</f>
        <v>0.404748971626287</v>
      </c>
    </row>
    <row r="37">
      <c r="C37" s="14" t="inlineStr">
        <is>
          <t>VSO liquido UDM</t>
        </is>
      </c>
      <c r="D37" s="269">
        <f>IFERROR(INDEX('Inputs (2)'!$D$63:$AL$63,MATCH(D$7,'Inputs (2)'!$D$2:$AL$2,0)),"")</f>
        <v>0.692936194409424</v>
      </c>
      <c r="E37" s="269">
        <f>IFERROR(INDEX('Inputs (2)'!$D$63:$AL$63,MATCH(E$7,'Inputs (2)'!$D$2:$AL$2,0)),"")</f>
        <v>0.701984024984953</v>
      </c>
      <c r="F37" s="269">
        <f>IFERROR(INDEX('Inputs (2)'!$D$63:$AL$63,MATCH(F$7,'Inputs (2)'!$D$2:$AL$2,0)),"")</f>
        <v>0.728741410423827</v>
      </c>
      <c r="G37" s="269">
        <f>IFERROR(INDEX('Inputs (2)'!$D$63:$AL$63,MATCH(G$7,'Inputs (2)'!$D$2:$AL$2,0)),"")</f>
        <v>0.643</v>
      </c>
      <c r="H37" s="270">
        <f>IF(COUNT(G37)=0,"",G37)</f>
        <v>0.643</v>
      </c>
      <c r="I37" s="269">
        <f>IFERROR(INDEX('Inputs (2)'!$D$63:$AL$63,MATCH(I$7,'Inputs (2)'!$D$2:$AL$2,0)),"")</f>
        <v>0.689126448391834</v>
      </c>
      <c r="J37" s="269">
        <f>IFERROR(INDEX('Inputs (2)'!$D$63:$AL$63,MATCH(J$7,'Inputs (2)'!$D$2:$AL$2,0)),"")</f>
        <v>0.728677150529904</v>
      </c>
      <c r="K37" s="269">
        <f>IFERROR(INDEX('Inputs (2)'!$D$63:$AL$63,MATCH(K$7,'Inputs (2)'!$D$2:$AL$2,0)),"")</f>
        <v>0.740472131786373</v>
      </c>
      <c r="L37" s="269">
        <f>IFERROR(INDEX('Inputs (2)'!$D$63:$AL$63,MATCH(L$7,'Inputs (2)'!$D$2:$AL$2,0)),"")</f>
        <v>0.72</v>
      </c>
      <c r="M37" s="270">
        <f>IF(COUNT(L37)=0,"",L37)</f>
        <v>0.72</v>
      </c>
      <c r="N37" s="269">
        <f>IFERROR(INDEX('Inputs (2)'!$D$63:$AL$63,MATCH(N$7,'Inputs (2)'!$D$2:$AL$2,0)),"")</f>
        <v>0.719</v>
      </c>
      <c r="O37" s="269">
        <f>IFERROR(INDEX('Inputs (2)'!$D$63:$AL$63,MATCH(O$7,'Inputs (2)'!$D$2:$AL$2,0)),"")</f>
        <v>0.701</v>
      </c>
      <c r="P37" s="269">
        <f>IFERROR(INDEX('Inputs (2)'!$D$63:$AL$63,MATCH(P$7,'Inputs (2)'!$D$2:$AL$2,0)),"")</f>
        <v>0.706</v>
      </c>
      <c r="Q37" s="269">
        <f>IFERROR(INDEX('Inputs (2)'!$D$63:$AL$63,MATCH(Q$7,'Inputs (2)'!$D$2:$AL$2,0)),"")</f>
        <v>0.753</v>
      </c>
      <c r="R37" s="270">
        <f>IF(COUNT(Q37)=0,"",Q37)</f>
        <v>0.753</v>
      </c>
      <c r="S37" s="269">
        <f>IFERROR(INDEX('Inputs (2)'!$D$63:$AL$63,MATCH(S$7,'Inputs (2)'!$D$2:$AL$2,0)),"")</f>
        <v>0.72</v>
      </c>
      <c r="T37" s="269">
        <f>IFERROR(INDEX('Inputs (2)'!$D$63:$AL$63,MATCH(T$7,'Inputs (2)'!$D$2:$AL$2,0)),"")</f>
        <v>0.731</v>
      </c>
      <c r="U37" s="269">
        <f>IFERROR(INDEX('Inputs (2)'!$D$63:$AL$63,MATCH(U$7,'Inputs (2)'!$D$2:$AL$2,0)),"")</f>
        <v>0.736</v>
      </c>
      <c r="V37" s="269">
        <f>IFERROR(INDEX('Inputs (2)'!$D$63:$AL$63,MATCH(V$7,'Inputs (2)'!$D$2:$AL$2,0)),"")</f>
        <v>0.744564985569989</v>
      </c>
      <c r="W37" s="270">
        <f>IF(COUNT(V37)=0,"",V37)</f>
        <v>0.744564985569989</v>
      </c>
      <c r="X37" s="269">
        <f>IFERROR(INDEX('Inputs (2)'!$D$63:$AL$63,MATCH(X$7,'Inputs (2)'!$D$2:$AL$2,0)),"")</f>
        <v>0.732289943908684</v>
      </c>
      <c r="Y37" s="269">
        <f>IFERROR(INDEX('Inputs (2)'!$D$63:$AL$63,MATCH(Y$7,'Inputs (2)'!$D$2:$AL$2,0)),"")</f>
        <v>0.751467739254429</v>
      </c>
      <c r="Z37" s="269">
        <f>IFERROR(INDEX('Inputs (2)'!$D$63:$AL$63,MATCH(Z$7,'Inputs (2)'!$D$2:$AL$2,0)),"")</f>
        <v>0.754097950481875</v>
      </c>
      <c r="AA37" s="269">
        <f>IFERROR(INDEX('Inputs (2)'!$D$63:$AL$63,MATCH(AA$7,'Inputs (2)'!$D$2:$AL$2,0)),"")</f>
        <v>0.7707</v>
      </c>
      <c r="AB37" s="270">
        <f>IF(COUNT(AA37)=0,"",AA37)</f>
        <v>0.7707</v>
      </c>
      <c r="AC37" s="269">
        <f>IFERROR(INDEX('Inputs (2)'!$D$63:$AL$63,MATCH(AC$7,'Inputs (2)'!$D$2:$AL$2,0)),"")</f>
        <v>0.727332393344297</v>
      </c>
      <c r="AD37" s="269">
        <f>IFERROR(INDEX('Inputs (2)'!$D$63:$AL$63,MATCH(AD$7,'Inputs (2)'!$D$2:$AL$2,0)),"")</f>
        <v>0.743179621324375</v>
      </c>
      <c r="AE37" s="269">
        <f>IFERROR(INDEX('Inputs (2)'!$D$63:$AL$63,MATCH(AE$7,'Inputs (2)'!$D$2:$AL$2,0)),"")</f>
        <v>0.739877352456556</v>
      </c>
      <c r="AF37" s="269">
        <f>IFERROR(INDEX('Inputs (2)'!$D$63:$AL$63,MATCH(AF$7,'Inputs (2)'!$D$2:$AL$2,0)),"")</f>
        <v>0.763078929223681</v>
      </c>
      <c r="AG37" s="270">
        <f>IF(COUNT(AF37)=0,"",AF37)</f>
        <v>0.763078929223681</v>
      </c>
      <c r="AH37" s="270">
        <f>IFERROR(INDEX('Inputs (2)'!$D$63:$AL$63,MATCH(AH$7,'Inputs (2)'!$D$2:$AL$2,0)),"")</f>
        <v>0.739163226563811</v>
      </c>
      <c r="AI37" s="270">
        <f>IFERROR(INDEX('Inputs (2)'!$D$63:$AL$63,MATCH(AI$7,'Inputs (2)'!$D$2:$AL$2,0)),"")</f>
        <v>0.719947108604315</v>
      </c>
    </row>
    <row r="38">
      <c r="C38" s="14" t="inlineStr">
        <is>
          <t xml:space="preserve">   % YoY vendas liquidas parte Cury</t>
        </is>
      </c>
      <c r="D38" s="269" t="str">
        <f>""</f>
        <v/>
      </c>
      <c r="E38" s="269" t="str">
        <f>""</f>
        <v/>
      </c>
      <c r="F38" s="269" t="str">
        <f>""</f>
        <v/>
      </c>
      <c r="G38" s="269" t="str">
        <f>""</f>
        <v/>
      </c>
      <c r="H38" s="270" t="str">
        <f>""</f>
        <v/>
      </c>
      <c r="I38" s="269">
        <f>IFERROR(I32/D32-1,"")</f>
        <v>2.02796159442725</v>
      </c>
      <c r="J38" s="269">
        <f>IFERROR(J32/E32-1,"")</f>
        <v>1.4909779449937</v>
      </c>
      <c r="K38" s="269">
        <f>IFERROR(K32/F32-1,"")</f>
        <v>0.760374170812181</v>
      </c>
      <c r="L38" s="269">
        <f>IFERROR(L32/G32-1,"")</f>
        <v>0.528012094067421</v>
      </c>
      <c r="M38" s="270">
        <f>IFERROR(M32/H32-1,"")</f>
        <v>1.03354039969069</v>
      </c>
      <c r="N38" s="269">
        <f>IFERROR(N32/I32-1,"")</f>
        <v>0.343928229239999</v>
      </c>
      <c r="O38" s="269">
        <f>IFERROR(O32/J32-1,"")</f>
        <v>0.366388958091727</v>
      </c>
      <c r="P38" s="269">
        <f>IFERROR(P32/K32-1,"")</f>
        <v>0.308263343661108</v>
      </c>
      <c r="Q38" s="269">
        <f>IFERROR(Q32/L32-1,"")</f>
        <v>0.272826198159879</v>
      </c>
      <c r="R38" s="270">
        <f>IFERROR(R32/M32-1,"")</f>
        <v>0.323017820322341</v>
      </c>
      <c r="S38" s="269">
        <f>IFERROR(S32/N32-1,"")</f>
        <v>0.500972122461665</v>
      </c>
      <c r="T38" s="269">
        <f>IFERROR(T32/O32-1,"")</f>
        <v>0.340558712833998</v>
      </c>
      <c r="U38" s="269">
        <f>IFERROR(U32/P32-1,"")</f>
        <v>0.0441048626999725</v>
      </c>
      <c r="V38" s="269">
        <f>IFERROR(V32/Q32-1,"")</f>
        <v>0.181473909589327</v>
      </c>
      <c r="W38" s="270">
        <f>IFERROR(W32/R32-1,"")</f>
        <v>0.260407369776768</v>
      </c>
      <c r="X38" s="269">
        <f>IFERROR(X32/S32-1,"")</f>
        <v>0.250761363274926</v>
      </c>
      <c r="Y38" s="269">
        <f>IFERROR(Y32/T32-1,"")</f>
        <v>0.443968298657768</v>
      </c>
      <c r="Z38" s="269">
        <f>IFERROR(Z32/U32-1,"")</f>
        <v>0.556229734943703</v>
      </c>
      <c r="AA38" s="269">
        <f>IFERROR(AA32/V32-1,"")</f>
        <v>0.384578532557391</v>
      </c>
      <c r="AB38" s="270">
        <f>IFERROR(AB32/W32-1,"")</f>
        <v>0.4037771898491</v>
      </c>
      <c r="AC38" s="269">
        <f>IFERROR(AC32/X32-1,"")</f>
        <v>0.445957846319741</v>
      </c>
      <c r="AD38" s="269">
        <f>IFERROR(AD32/Y32-1,"")</f>
        <v>0.22742800161399</v>
      </c>
      <c r="AE38" s="269">
        <f>IFERROR(AE32/Z32-1,"")</f>
        <v>0.199050435613594</v>
      </c>
      <c r="AF38" s="269">
        <f>IFERROR(AF32/AA32-1,"")</f>
        <v>0.218670471350655</v>
      </c>
      <c r="AG38" s="270">
        <f>IFERROR(AG32/AB32-1,"")</f>
        <v>0.271280357489462</v>
      </c>
      <c r="AH38" s="270">
        <f>IFERROR(AH32/AC32-1,"")</f>
        <v>-0.0133590186948789</v>
      </c>
      <c r="AI38" s="270">
        <f>IFERROR(AI32/AD32-1,"")</f>
        <v>-0.12876797434348</v>
      </c>
    </row>
    <row r="39"/>
    <row r="40">
      <c r="C40" s="12" t="inlineStr">
        <is>
          <t>Repasses, producao, estoque e terrenos</t>
        </is>
      </c>
      <c r="D40" s="12" t="str">
        <f>D7</f>
        <v>1Q20</v>
      </c>
      <c r="E40" s="12" t="str">
        <f>E7</f>
        <v>2Q20</v>
      </c>
      <c r="F40" s="12" t="str">
        <f>F7</f>
        <v>3Q20</v>
      </c>
      <c r="G40" s="12" t="str">
        <f>G7</f>
        <v>4Q20</v>
      </c>
      <c r="H40" s="12">
        <f>H7</f>
        <v>2020</v>
      </c>
      <c r="I40" s="12" t="str">
        <f>I7</f>
        <v>1Q21</v>
      </c>
      <c r="J40" s="12" t="str">
        <f>J7</f>
        <v>2Q21</v>
      </c>
      <c r="K40" s="12" t="str">
        <f>K7</f>
        <v>3Q21</v>
      </c>
      <c r="L40" s="12" t="str">
        <f>L7</f>
        <v>4Q21</v>
      </c>
      <c r="M40" s="12">
        <f>M7</f>
        <v>2021</v>
      </c>
      <c r="N40" s="12" t="str">
        <f>N7</f>
        <v>1Q22</v>
      </c>
      <c r="O40" s="12" t="str">
        <f>O7</f>
        <v>2Q22</v>
      </c>
      <c r="P40" s="12" t="str">
        <f>P7</f>
        <v>3Q22</v>
      </c>
      <c r="Q40" s="12" t="str">
        <f>Q7</f>
        <v>4Q22</v>
      </c>
      <c r="R40" s="12">
        <f>R7</f>
        <v>2022</v>
      </c>
      <c r="S40" s="12" t="str">
        <f>S7</f>
        <v>1Q23</v>
      </c>
      <c r="T40" s="12" t="str">
        <f>T7</f>
        <v>2Q23</v>
      </c>
      <c r="U40" s="12" t="str">
        <f>U7</f>
        <v>3Q23</v>
      </c>
      <c r="V40" s="12" t="str">
        <f>V7</f>
        <v>4Q23</v>
      </c>
      <c r="W40" s="12">
        <f>W7</f>
        <v>2023</v>
      </c>
      <c r="X40" s="12" t="str">
        <f>X7</f>
        <v>1Q24</v>
      </c>
      <c r="Y40" s="12" t="str">
        <f>Y7</f>
        <v>2Q24</v>
      </c>
      <c r="Z40" s="12" t="str">
        <f>Z7</f>
        <v>3Q24</v>
      </c>
      <c r="AA40" s="12" t="str">
        <f>AA7</f>
        <v>4Q24</v>
      </c>
      <c r="AB40" s="12">
        <f>AB7</f>
        <v>2024</v>
      </c>
      <c r="AC40" s="12" t="str">
        <f>AC7</f>
        <v>1Q25</v>
      </c>
      <c r="AD40" s="12" t="str">
        <f>AD7</f>
        <v>2Q25</v>
      </c>
      <c r="AE40" s="12" t="str">
        <f>AE7</f>
        <v>3Q25</v>
      </c>
      <c r="AF40" s="12" t="str">
        <f>AF7</f>
        <v>4Q25</v>
      </c>
      <c r="AG40" s="12">
        <f>AG7</f>
        <v>2025</v>
      </c>
      <c r="AH40" s="12" t="str">
        <f>AH7</f>
        <v>1Q26</v>
      </c>
      <c r="AI40" s="12" t="str">
        <f>AI7</f>
        <v>2Q26</v>
      </c>
    </row>
    <row r="41">
      <c r="C41" s="14" t="inlineStr">
        <is>
          <t>VGV repassado (R$ milhoes)</t>
        </is>
      </c>
      <c r="D41" s="267">
        <f>IFERROR(INDEX('Inputs (2)'!$D$64:$AL$64,MATCH(D$7,'Inputs (2)'!$D$2:$AL$2,0)),"")</f>
        <v>250.69157666</v>
      </c>
      <c r="E41" s="267">
        <f>IFERROR(INDEX('Inputs (2)'!$D$64:$AL$64,MATCH(E$7,'Inputs (2)'!$D$2:$AL$2,0)),"")</f>
        <v>220.25201757</v>
      </c>
      <c r="F41" s="267">
        <f>IFERROR(INDEX('Inputs (2)'!$D$64:$AL$64,MATCH(F$7,'Inputs (2)'!$D$2:$AL$2,0)),"")</f>
        <v>384.04441993</v>
      </c>
      <c r="G41" s="267">
        <f>IFERROR(INDEX('Inputs (2)'!$D$64:$AL$64,MATCH(G$7,'Inputs (2)'!$D$2:$AL$2,0)),"")</f>
        <v>344.439</v>
      </c>
      <c r="H41" s="268">
        <f>IF(COUNT(D41:G41)=4,SUM(D41:G41),"")</f>
        <v>1199.42701416</v>
      </c>
      <c r="I41" s="267">
        <f>IFERROR(INDEX('Inputs (2)'!$D$64:$AL$64,MATCH(I$7,'Inputs (2)'!$D$2:$AL$2,0)),"")</f>
        <v>296.90331988</v>
      </c>
      <c r="J41" s="267">
        <f>IFERROR(INDEX('Inputs (2)'!$D$64:$AL$64,MATCH(J$7,'Inputs (2)'!$D$2:$AL$2,0)),"")</f>
        <v>540.584</v>
      </c>
      <c r="K41" s="267">
        <f>IFERROR(INDEX('Inputs (2)'!$D$64:$AL$64,MATCH(K$7,'Inputs (2)'!$D$2:$AL$2,0)),"")</f>
        <v>723.11812501</v>
      </c>
      <c r="L41" s="267">
        <f>IFERROR(INDEX('Inputs (2)'!$D$64:$AL$64,MATCH(L$7,'Inputs (2)'!$D$2:$AL$2,0)),"")</f>
        <v>470.01072897</v>
      </c>
      <c r="M41" s="268">
        <f>IF(COUNT(I41:L41)=4,SUM(I41:L41),"")</f>
        <v>2030.61617386</v>
      </c>
      <c r="N41" s="267">
        <f>IFERROR(INDEX('Inputs (2)'!$D$64:$AL$64,MATCH(N$7,'Inputs (2)'!$D$2:$AL$2,0)),"")</f>
        <v>532.336594830001</v>
      </c>
      <c r="O41" s="267">
        <f>IFERROR(INDEX('Inputs (2)'!$D$64:$AL$64,MATCH(O$7,'Inputs (2)'!$D$2:$AL$2,0)),"")</f>
        <v>728.50112205</v>
      </c>
      <c r="P41" s="267">
        <f>IFERROR(INDEX('Inputs (2)'!$D$64:$AL$64,MATCH(P$7,'Inputs (2)'!$D$2:$AL$2,0)),"")</f>
        <v>860.05442945</v>
      </c>
      <c r="Q41" s="267">
        <f>IFERROR(INDEX('Inputs (2)'!$D$64:$AL$64,MATCH(Q$7,'Inputs (2)'!$D$2:$AL$2,0)),"")</f>
        <v>662.00439181</v>
      </c>
      <c r="R41" s="268">
        <f>IF(COUNT(N41:Q41)=4,SUM(N41:Q41),"")</f>
        <v>2782.89653814</v>
      </c>
      <c r="S41" s="267">
        <f>IFERROR(INDEX('Inputs (2)'!$D$64:$AL$64,MATCH(S$7,'Inputs (2)'!$D$2:$AL$2,0)),"")</f>
        <v>578.90007087</v>
      </c>
      <c r="T41" s="267">
        <f>IFERROR(INDEX('Inputs (2)'!$D$64:$AL$64,MATCH(T$7,'Inputs (2)'!$D$2:$AL$2,0)),"")</f>
        <v>1228.870224</v>
      </c>
      <c r="U41" s="267">
        <f>IFERROR(INDEX('Inputs (2)'!$D$64:$AL$64,MATCH(U$7,'Inputs (2)'!$D$2:$AL$2,0)),"")</f>
        <v>866.06356864</v>
      </c>
      <c r="V41" s="267">
        <f>IFERROR(INDEX('Inputs (2)'!$D$64:$AL$64,MATCH(V$7,'Inputs (2)'!$D$2:$AL$2,0)),"")</f>
        <v>857.120805590001</v>
      </c>
      <c r="W41" s="268">
        <f>IF(COUNT(S41:V41)=4,SUM(S41:V41),"")</f>
        <v>3530.9546691</v>
      </c>
      <c r="X41" s="267">
        <f>IFERROR(INDEX('Inputs (2)'!$D$64:$AL$64,MATCH(X$7,'Inputs (2)'!$D$2:$AL$2,0)),"")</f>
        <v>886.48975854</v>
      </c>
      <c r="Y41" s="267">
        <f>IFERROR(INDEX('Inputs (2)'!$D$64:$AL$64,MATCH(Y$7,'Inputs (2)'!$D$2:$AL$2,0)),"")</f>
        <v>1438.166</v>
      </c>
      <c r="Z41" s="267">
        <f>IFERROR(INDEX('Inputs (2)'!$D$64:$AL$64,MATCH(Z$7,'Inputs (2)'!$D$2:$AL$2,0)),"")</f>
        <v>1437.6</v>
      </c>
      <c r="AA41" s="267">
        <f>IFERROR(INDEX('Inputs (2)'!$D$64:$AL$64,MATCH(AA$7,'Inputs (2)'!$D$2:$AL$2,0)),"")</f>
        <v>927.749</v>
      </c>
      <c r="AB41" s="268">
        <f>IF(COUNT(X41:AA41)=4,SUM(X41:AA41),"")</f>
        <v>4690.00475854</v>
      </c>
      <c r="AC41" s="267">
        <f>IFERROR(INDEX('Inputs (2)'!$D$64:$AL$64,MATCH(AC$7,'Inputs (2)'!$D$2:$AL$2,0)),"")</f>
        <v>1122.90757169</v>
      </c>
      <c r="AD41" s="267">
        <f>IFERROR(INDEX('Inputs (2)'!$D$64:$AL$64,MATCH(AD$7,'Inputs (2)'!$D$2:$AL$2,0)),"")</f>
        <v>2149.31711625</v>
      </c>
      <c r="AE41" s="267">
        <f>IFERROR(INDEX('Inputs (2)'!$D$64:$AL$64,MATCH(AE$7,'Inputs (2)'!$D$2:$AL$2,0)),"")</f>
        <v>1487.1632059</v>
      </c>
      <c r="AF41" s="267">
        <f>IFERROR(INDEX('Inputs (2)'!$D$64:$AL$64,MATCH(AF$7,'Inputs (2)'!$D$2:$AL$2,0)),"")</f>
        <v>1492.32834378</v>
      </c>
      <c r="AG41" s="268">
        <f>IF(COUNT(AC41:AF41)=4,SUM(AC41:AF41),"")</f>
        <v>6251.71623762</v>
      </c>
      <c r="AH41" s="268">
        <f>IFERROR(INDEX('Inputs (2)'!$D$64:$AL$64,MATCH(AH$7,'Inputs (2)'!$D$2:$AL$2,0)),"")</f>
        <v>1339.82930028</v>
      </c>
      <c r="AI41" s="268">
        <f>IFERROR(INDEX('Inputs (2)'!$D$64:$AL$64,MATCH(AI$7,'Inputs (2)'!$D$2:$AL$2,0)),"")</f>
        <v>2014.95866037</v>
      </c>
    </row>
    <row r="42">
      <c r="C42" s="14" t="inlineStr">
        <is>
          <t>Unidades repassadas</t>
        </is>
      </c>
      <c r="D42" s="271">
        <f>IFERROR(INDEX('Inputs (2)'!$D$65:$AL$65,MATCH(D$7,'Inputs (2)'!$D$2:$AL$2,0)),"")</f>
        <v>1306</v>
      </c>
      <c r="E42" s="271">
        <f>IFERROR(INDEX('Inputs (2)'!$D$65:$AL$65,MATCH(E$7,'Inputs (2)'!$D$2:$AL$2,0)),"")</f>
        <v>1210</v>
      </c>
      <c r="F42" s="271">
        <f>IFERROR(INDEX('Inputs (2)'!$D$65:$AL$65,MATCH(F$7,'Inputs (2)'!$D$2:$AL$2,0)),"")</f>
        <v>2068</v>
      </c>
      <c r="G42" s="271">
        <f>IFERROR(INDEX('Inputs (2)'!$D$65:$AL$65,MATCH(G$7,'Inputs (2)'!$D$2:$AL$2,0)),"")</f>
        <v>1746</v>
      </c>
      <c r="H42" s="272">
        <f>IF(COUNT(D42:G42)=4,SUM(D42:G42),"")</f>
        <v>6330</v>
      </c>
      <c r="I42" s="271">
        <f>IFERROR(INDEX('Inputs (2)'!$D$65:$AL$65,MATCH(I$7,'Inputs (2)'!$D$2:$AL$2,0)),"")</f>
        <v>1544</v>
      </c>
      <c r="J42" s="271">
        <f>IFERROR(INDEX('Inputs (2)'!$D$65:$AL$65,MATCH(J$7,'Inputs (2)'!$D$2:$AL$2,0)),"")</f>
        <v>2819</v>
      </c>
      <c r="K42" s="271">
        <f>IFERROR(INDEX('Inputs (2)'!$D$65:$AL$65,MATCH(K$7,'Inputs (2)'!$D$2:$AL$2,0)),"")</f>
        <v>3275</v>
      </c>
      <c r="L42" s="271">
        <f>IFERROR(INDEX('Inputs (2)'!$D$65:$AL$65,MATCH(L$7,'Inputs (2)'!$D$2:$AL$2,0)),"")</f>
        <v>2213</v>
      </c>
      <c r="M42" s="272">
        <f>IF(COUNT(I42:L42)=4,SUM(I42:L42),"")</f>
        <v>9851</v>
      </c>
      <c r="N42" s="271">
        <f>IFERROR(INDEX('Inputs (2)'!$D$65:$AL$65,MATCH(N$7,'Inputs (2)'!$D$2:$AL$2,0)),"")</f>
        <v>2475</v>
      </c>
      <c r="O42" s="271">
        <f>IFERROR(INDEX('Inputs (2)'!$D$65:$AL$65,MATCH(O$7,'Inputs (2)'!$D$2:$AL$2,0)),"")</f>
        <v>3085</v>
      </c>
      <c r="P42" s="271">
        <f>IFERROR(INDEX('Inputs (2)'!$D$65:$AL$65,MATCH(P$7,'Inputs (2)'!$D$2:$AL$2,0)),"")</f>
        <v>3510</v>
      </c>
      <c r="Q42" s="271">
        <f>IFERROR(INDEX('Inputs (2)'!$D$65:$AL$65,MATCH(Q$7,'Inputs (2)'!$D$2:$AL$2,0)),"")</f>
        <v>2737</v>
      </c>
      <c r="R42" s="272">
        <f>IF(COUNT(N42:Q42)=4,SUM(N42:Q42),"")</f>
        <v>11807</v>
      </c>
      <c r="S42" s="271">
        <f>IFERROR(INDEX('Inputs (2)'!$D$65:$AL$65,MATCH(S$7,'Inputs (2)'!$D$2:$AL$2,0)),"")</f>
        <v>2451</v>
      </c>
      <c r="T42" s="271">
        <f>IFERROR(INDEX('Inputs (2)'!$D$65:$AL$65,MATCH(T$7,'Inputs (2)'!$D$2:$AL$2,0)),"")</f>
        <v>4611</v>
      </c>
      <c r="U42" s="271">
        <f>IFERROR(INDEX('Inputs (2)'!$D$65:$AL$65,MATCH(U$7,'Inputs (2)'!$D$2:$AL$2,0)),"")</f>
        <v>3187</v>
      </c>
      <c r="V42" s="271">
        <f>IFERROR(INDEX('Inputs (2)'!$D$65:$AL$65,MATCH(V$7,'Inputs (2)'!$D$2:$AL$2,0)),"")</f>
        <v>3017</v>
      </c>
      <c r="W42" s="272">
        <f>IF(COUNT(S42:V42)=4,SUM(S42:V42),"")</f>
        <v>13266</v>
      </c>
      <c r="X42" s="271">
        <f>IFERROR(INDEX('Inputs (2)'!$D$65:$AL$65,MATCH(X$7,'Inputs (2)'!$D$2:$AL$2,0)),"")</f>
        <v>3157</v>
      </c>
      <c r="Y42" s="271">
        <f>IFERROR(INDEX('Inputs (2)'!$D$65:$AL$65,MATCH(Y$7,'Inputs (2)'!$D$2:$AL$2,0)),"")</f>
        <v>5046</v>
      </c>
      <c r="Z42" s="271">
        <f>IFERROR(INDEX('Inputs (2)'!$D$65:$AL$65,MATCH(Z$7,'Inputs (2)'!$D$2:$AL$2,0)),"")</f>
        <v>4756</v>
      </c>
      <c r="AA42" s="271">
        <f>IFERROR(INDEX('Inputs (2)'!$D$65:$AL$65,MATCH(AA$7,'Inputs (2)'!$D$2:$AL$2,0)),"")</f>
        <v>3156</v>
      </c>
      <c r="AB42" s="272">
        <f>IF(COUNT(X42:AA42)=4,SUM(X42:AA42),"")</f>
        <v>16115</v>
      </c>
      <c r="AC42" s="271">
        <f>IFERROR(INDEX('Inputs (2)'!$D$65:$AL$65,MATCH(AC$7,'Inputs (2)'!$D$2:$AL$2,0)),"")</f>
        <v>3783</v>
      </c>
      <c r="AD42" s="271">
        <f>IFERROR(INDEX('Inputs (2)'!$D$65:$AL$65,MATCH(AD$7,'Inputs (2)'!$D$2:$AL$2,0)),"")</f>
        <v>7155</v>
      </c>
      <c r="AE42" s="271">
        <f>IFERROR(INDEX('Inputs (2)'!$D$65:$AL$65,MATCH(AE$7,'Inputs (2)'!$D$2:$AL$2,0)),"")</f>
        <v>5101</v>
      </c>
      <c r="AF42" s="271">
        <f>IFERROR(INDEX('Inputs (2)'!$D$65:$AL$65,MATCH(AF$7,'Inputs (2)'!$D$2:$AL$2,0)),"")</f>
        <v>5001</v>
      </c>
      <c r="AG42" s="272">
        <f>IF(COUNT(AC42:AF42)=4,SUM(AC42:AF42),"")</f>
        <v>21040</v>
      </c>
      <c r="AH42" s="272">
        <f>IFERROR(INDEX('Inputs (2)'!$D$65:$AL$65,MATCH(AH$7,'Inputs (2)'!$D$2:$AL$2,0)),"")</f>
        <v>4364</v>
      </c>
      <c r="AI42" s="272">
        <f>IFERROR(INDEX('Inputs (2)'!$D$65:$AL$65,MATCH(AI$7,'Inputs (2)'!$D$2:$AL$2,0)),"")</f>
        <v>6296</v>
      </c>
    </row>
    <row r="43">
      <c r="C43" s="14" t="inlineStr">
        <is>
          <t>Obras em andamento (media do trimestre)</t>
        </is>
      </c>
      <c r="D43" s="271">
        <f>IFERROR(INDEX('Inputs (2)'!$D$66:$AL$66,MATCH(D$7,'Inputs (2)'!$D$2:$AL$2,0)),"")</f>
        <v>30.3333333333333</v>
      </c>
      <c r="E43" s="271">
        <f>IFERROR(INDEX('Inputs (2)'!$D$66:$AL$66,MATCH(E$7,'Inputs (2)'!$D$2:$AL$2,0)),"")</f>
        <v>29</v>
      </c>
      <c r="F43" s="271">
        <f>IFERROR(INDEX('Inputs (2)'!$D$66:$AL$66,MATCH(F$7,'Inputs (2)'!$D$2:$AL$2,0)),"")</f>
        <v>27.6666666666667</v>
      </c>
      <c r="G43" s="271">
        <f>IFERROR(INDEX('Inputs (2)'!$D$66:$AL$66,MATCH(G$7,'Inputs (2)'!$D$2:$AL$2,0)),"")</f>
        <v>26</v>
      </c>
      <c r="H43" s="272">
        <f>IF(COUNT(G43)=0,"",G43)</f>
        <v>26</v>
      </c>
      <c r="I43" s="271">
        <f>IFERROR(INDEX('Inputs (2)'!$D$66:$AL$66,MATCH(I$7,'Inputs (2)'!$D$2:$AL$2,0)),"")</f>
        <v>26.6666666666667</v>
      </c>
      <c r="J43" s="271">
        <f>IFERROR(INDEX('Inputs (2)'!$D$66:$AL$66,MATCH(J$7,'Inputs (2)'!$D$2:$AL$2,0)),"")</f>
        <v>31</v>
      </c>
      <c r="K43" s="271">
        <f>IFERROR(INDEX('Inputs (2)'!$D$66:$AL$66,MATCH(K$7,'Inputs (2)'!$D$2:$AL$2,0)),"")</f>
        <v>40.3333333333333</v>
      </c>
      <c r="L43" s="271">
        <f>IFERROR(INDEX('Inputs (2)'!$D$66:$AL$66,MATCH(L$7,'Inputs (2)'!$D$2:$AL$2,0)),"")</f>
        <v>47.0666666666667</v>
      </c>
      <c r="M43" s="272">
        <f>IF(COUNT(L43)=0,"",L43)</f>
        <v>47.0666666666667</v>
      </c>
      <c r="N43" s="271">
        <f>IFERROR(INDEX('Inputs (2)'!$D$66:$AL$66,MATCH(N$7,'Inputs (2)'!$D$2:$AL$2,0)),"")</f>
        <v>48.6666666666667</v>
      </c>
      <c r="O43" s="271">
        <f>IFERROR(INDEX('Inputs (2)'!$D$66:$AL$66,MATCH(O$7,'Inputs (2)'!$D$2:$AL$2,0)),"")</f>
        <v>48</v>
      </c>
      <c r="P43" s="271">
        <f>IFERROR(INDEX('Inputs (2)'!$D$66:$AL$66,MATCH(P$7,'Inputs (2)'!$D$2:$AL$2,0)),"")</f>
        <v>49.6666666666667</v>
      </c>
      <c r="Q43" s="271">
        <f>IFERROR(INDEX('Inputs (2)'!$D$66:$AL$66,MATCH(Q$7,'Inputs (2)'!$D$2:$AL$2,0)),"")</f>
        <v>51.3333333333333</v>
      </c>
      <c r="R43" s="272">
        <f>IF(COUNT(Q43)=0,"",Q43)</f>
        <v>51.3333333333333</v>
      </c>
      <c r="S43" s="271">
        <f>IFERROR(INDEX('Inputs (2)'!$D$66:$AL$66,MATCH(S$7,'Inputs (2)'!$D$2:$AL$2,0)),"")</f>
        <v>49</v>
      </c>
      <c r="T43" s="271">
        <f>IFERROR(INDEX('Inputs (2)'!$D$66:$AL$66,MATCH(T$7,'Inputs (2)'!$D$2:$AL$2,0)),"")</f>
        <v>52</v>
      </c>
      <c r="U43" s="271">
        <f>IFERROR(INDEX('Inputs (2)'!$D$66:$AL$66,MATCH(U$7,'Inputs (2)'!$D$2:$AL$2,0)),"")</f>
        <v>56</v>
      </c>
      <c r="V43" s="271">
        <f>IFERROR(INDEX('Inputs (2)'!$D$66:$AL$66,MATCH(V$7,'Inputs (2)'!$D$2:$AL$2,0)),"")</f>
        <v>57</v>
      </c>
      <c r="W43" s="272">
        <f>IF(COUNT(V43)=0,"",V43)</f>
        <v>57</v>
      </c>
      <c r="X43" s="271">
        <f>IFERROR(INDEX('Inputs (2)'!$D$66:$AL$66,MATCH(X$7,'Inputs (2)'!$D$2:$AL$2,0)),"")</f>
        <v>66.3333333333333</v>
      </c>
      <c r="Y43" s="271">
        <f>IFERROR(INDEX('Inputs (2)'!$D$66:$AL$66,MATCH(Y$7,'Inputs (2)'!$D$2:$AL$2,0)),"")</f>
        <v>63.3333333333333</v>
      </c>
      <c r="Z43" s="271">
        <f>IFERROR(INDEX('Inputs (2)'!$D$66:$AL$66,MATCH(Z$7,'Inputs (2)'!$D$2:$AL$2,0)),"")</f>
        <v>68</v>
      </c>
      <c r="AA43" s="271">
        <f>IFERROR(INDEX('Inputs (2)'!$D$66:$AL$66,MATCH(AA$7,'Inputs (2)'!$D$2:$AL$2,0)),"")</f>
        <v>70</v>
      </c>
      <c r="AB43" s="272">
        <f>IF(COUNT(AA43)=0,"",AA43)</f>
        <v>70</v>
      </c>
      <c r="AC43" s="271">
        <f>IFERROR(INDEX('Inputs (2)'!$D$66:$AL$66,MATCH(AC$7,'Inputs (2)'!$D$2:$AL$2,0)),"")</f>
        <v>72</v>
      </c>
      <c r="AD43" s="271">
        <f>IFERROR(INDEX('Inputs (2)'!$D$66:$AL$66,MATCH(AD$7,'Inputs (2)'!$D$2:$AL$2,0)),"")</f>
        <v>81</v>
      </c>
      <c r="AE43" s="271">
        <f>IFERROR(INDEX('Inputs (2)'!$D$66:$AL$66,MATCH(AE$7,'Inputs (2)'!$D$2:$AL$2,0)),"")</f>
        <v>82</v>
      </c>
      <c r="AF43" s="271">
        <f>IFERROR(INDEX('Inputs (2)'!$D$66:$AL$66,MATCH(AF$7,'Inputs (2)'!$D$2:$AL$2,0)),"")</f>
        <v>84</v>
      </c>
      <c r="AG43" s="272">
        <f>IF(COUNT(AF43)=0,"",AF43)</f>
        <v>84</v>
      </c>
      <c r="AH43" s="272">
        <f>IFERROR(INDEX('Inputs (2)'!$D$66:$AL$66,MATCH(AH$7,'Inputs (2)'!$D$2:$AL$2,0)),"")</f>
        <v>87</v>
      </c>
      <c r="AI43" s="272">
        <f>IFERROR(INDEX('Inputs (2)'!$D$66:$AL$66,MATCH(AI$7,'Inputs (2)'!$D$2:$AL$2,0)),"")</f>
        <v>87</v>
      </c>
    </row>
    <row r="44">
      <c r="C44" s="14" t="inlineStr">
        <is>
          <t>Unidades em producao (media do trimestre)</t>
        </is>
      </c>
      <c r="D44" s="271">
        <f>IFERROR(INDEX('Inputs (2)'!$D$67:$AL$67,MATCH(D$7,'Inputs (2)'!$D$2:$AL$2,0)),"")</f>
        <v>11805.3333333333</v>
      </c>
      <c r="E44" s="271">
        <f>IFERROR(INDEX('Inputs (2)'!$D$67:$AL$67,MATCH(E$7,'Inputs (2)'!$D$2:$AL$2,0)),"")</f>
        <v>11642</v>
      </c>
      <c r="F44" s="271">
        <f>IFERROR(INDEX('Inputs (2)'!$D$67:$AL$67,MATCH(F$7,'Inputs (2)'!$D$2:$AL$2,0)),"")</f>
        <v>11470</v>
      </c>
      <c r="G44" s="271">
        <f>IFERROR(INDEX('Inputs (2)'!$D$67:$AL$67,MATCH(G$7,'Inputs (2)'!$D$2:$AL$2,0)),"")</f>
        <v>11046</v>
      </c>
      <c r="H44" s="272">
        <f>IF(COUNT(G44)=0,"",G44)</f>
        <v>11046</v>
      </c>
      <c r="I44" s="271">
        <f>IFERROR(INDEX('Inputs (2)'!$D$67:$AL$67,MATCH(I$7,'Inputs (2)'!$D$2:$AL$2,0)),"")</f>
        <v>11232.6666666667</v>
      </c>
      <c r="J44" s="271">
        <f>IFERROR(INDEX('Inputs (2)'!$D$67:$AL$67,MATCH(J$7,'Inputs (2)'!$D$2:$AL$2,0)),"")</f>
        <v>16148</v>
      </c>
      <c r="K44" s="271">
        <f>IFERROR(INDEX('Inputs (2)'!$D$67:$AL$67,MATCH(K$7,'Inputs (2)'!$D$2:$AL$2,0)),"")</f>
        <v>19582</v>
      </c>
      <c r="L44" s="271">
        <f>IFERROR(INDEX('Inputs (2)'!$D$67:$AL$67,MATCH(L$7,'Inputs (2)'!$D$2:$AL$2,0)),"")</f>
        <v>17406</v>
      </c>
      <c r="M44" s="272">
        <f>IF(COUNT(L44)=0,"",L44)</f>
        <v>17406</v>
      </c>
      <c r="N44" s="271">
        <f>IFERROR(INDEX('Inputs (2)'!$D$67:$AL$67,MATCH(N$7,'Inputs (2)'!$D$2:$AL$2,0)),"")</f>
        <v>19454</v>
      </c>
      <c r="O44" s="271">
        <f>IFERROR(INDEX('Inputs (2)'!$D$67:$AL$67,MATCH(O$7,'Inputs (2)'!$D$2:$AL$2,0)),"")</f>
        <v>21069</v>
      </c>
      <c r="P44" s="271">
        <f>IFERROR(INDEX('Inputs (2)'!$D$67:$AL$67,MATCH(P$7,'Inputs (2)'!$D$2:$AL$2,0)),"")</f>
        <v>21994</v>
      </c>
      <c r="Q44" s="271">
        <f>IFERROR(INDEX('Inputs (2)'!$D$67:$AL$67,MATCH(Q$7,'Inputs (2)'!$D$2:$AL$2,0)),"")</f>
        <v>22946</v>
      </c>
      <c r="R44" s="272">
        <f>IF(COUNT(Q44)=0,"",Q44)</f>
        <v>22946</v>
      </c>
      <c r="S44" s="271">
        <f>IFERROR(INDEX('Inputs (2)'!$D$67:$AL$67,MATCH(S$7,'Inputs (2)'!$D$2:$AL$2,0)),"")</f>
        <v>25009</v>
      </c>
      <c r="T44" s="271">
        <f>IFERROR(INDEX('Inputs (2)'!$D$67:$AL$67,MATCH(T$7,'Inputs (2)'!$D$2:$AL$2,0)),"")</f>
        <v>25821</v>
      </c>
      <c r="U44" s="271">
        <f>IFERROR(INDEX('Inputs (2)'!$D$67:$AL$67,MATCH(U$7,'Inputs (2)'!$D$2:$AL$2,0)),"")</f>
        <v>30815</v>
      </c>
      <c r="V44" s="271">
        <f>IFERROR(INDEX('Inputs (2)'!$D$67:$AL$67,MATCH(V$7,'Inputs (2)'!$D$2:$AL$2,0)),"")</f>
        <v>31082</v>
      </c>
      <c r="W44" s="272">
        <f>IF(COUNT(V44)=0,"",V44)</f>
        <v>31082</v>
      </c>
      <c r="X44" s="271">
        <f>IFERROR(INDEX('Inputs (2)'!$D$67:$AL$67,MATCH(X$7,'Inputs (2)'!$D$2:$AL$2,0)),"")</f>
        <v>33294</v>
      </c>
      <c r="Y44" s="271">
        <f>IFERROR(INDEX('Inputs (2)'!$D$67:$AL$67,MATCH(Y$7,'Inputs (2)'!$D$2:$AL$2,0)),"")</f>
        <v>35713</v>
      </c>
      <c r="Z44" s="271">
        <f>IFERROR(INDEX('Inputs (2)'!$D$67:$AL$67,MATCH(Z$7,'Inputs (2)'!$D$2:$AL$2,0)),"")</f>
        <v>39398</v>
      </c>
      <c r="AA44" s="271">
        <f>IFERROR(INDEX('Inputs (2)'!$D$67:$AL$67,MATCH(AA$7,'Inputs (2)'!$D$2:$AL$2,0)),"")</f>
        <v>40531</v>
      </c>
      <c r="AB44" s="272">
        <f>IF(COUNT(AA44)=0,"",AA44)</f>
        <v>40531</v>
      </c>
      <c r="AC44" s="271">
        <f>IFERROR(INDEX('Inputs (2)'!$D$67:$AL$67,MATCH(AC$7,'Inputs (2)'!$D$2:$AL$2,0)),"")</f>
        <v>46054</v>
      </c>
      <c r="AD44" s="271">
        <f>IFERROR(INDEX('Inputs (2)'!$D$67:$AL$67,MATCH(AD$7,'Inputs (2)'!$D$2:$AL$2,0)),"")</f>
        <v>51374</v>
      </c>
      <c r="AE44" s="271">
        <f>IFERROR(INDEX('Inputs (2)'!$D$67:$AL$67,MATCH(AE$7,'Inputs (2)'!$D$2:$AL$2,0)),"")</f>
        <v>53066</v>
      </c>
      <c r="AF44" s="271">
        <f>IFERROR(INDEX('Inputs (2)'!$D$67:$AL$67,MATCH(AF$7,'Inputs (2)'!$D$2:$AL$2,0)),"")</f>
        <v>57163</v>
      </c>
      <c r="AG44" s="272">
        <f>IF(COUNT(AF44)=0,"",AF44)</f>
        <v>57163</v>
      </c>
      <c r="AH44" s="272">
        <f>IFERROR(INDEX('Inputs (2)'!$D$67:$AL$67,MATCH(AH$7,'Inputs (2)'!$D$2:$AL$2,0)),"")</f>
        <v>62777</v>
      </c>
      <c r="AI44" s="272">
        <f>IFERROR(INDEX('Inputs (2)'!$D$67:$AL$67,MATCH(AI$7,'Inputs (2)'!$D$2:$AL$2,0)),"")</f>
        <v>66265</v>
      </c>
    </row>
    <row r="45">
      <c r="C45" s="14" t="inlineStr">
        <is>
          <t>Unidades produzidas no trimestre</t>
        </is>
      </c>
      <c r="D45" s="271">
        <f>IFERROR(INDEX('Inputs (2)'!$D$68:$AL$68,MATCH(D$7,'Inputs (2)'!$D$2:$AL$2,0)),"")</f>
        <v>1380.52450866813</v>
      </c>
      <c r="E45" s="271">
        <f>IFERROR(INDEX('Inputs (2)'!$D$68:$AL$68,MATCH(E$7,'Inputs (2)'!$D$2:$AL$2,0)),"")</f>
        <v>1719.70461220313</v>
      </c>
      <c r="F45" s="271">
        <f>IFERROR(INDEX('Inputs (2)'!$D$68:$AL$68,MATCH(F$7,'Inputs (2)'!$D$2:$AL$2,0)),"")</f>
        <v>1707.32985963686</v>
      </c>
      <c r="G45" s="271">
        <f>IFERROR(INDEX('Inputs (2)'!$D$68:$AL$68,MATCH(G$7,'Inputs (2)'!$D$2:$AL$2,0)),"")</f>
        <v>1588.7941789718</v>
      </c>
      <c r="H45" s="272">
        <f>IF(COUNT(D45:G45)=4,SUM(D45:G45),"")</f>
        <v>6396.35315947992</v>
      </c>
      <c r="I45" s="271">
        <f>IFERROR(INDEX('Inputs (2)'!$D$68:$AL$68,MATCH(I$7,'Inputs (2)'!$D$2:$AL$2,0)),"")</f>
        <v>1365</v>
      </c>
      <c r="J45" s="271">
        <f>IFERROR(INDEX('Inputs (2)'!$D$68:$AL$68,MATCH(J$7,'Inputs (2)'!$D$2:$AL$2,0)),"")</f>
        <v>1832</v>
      </c>
      <c r="K45" s="271">
        <f>IFERROR(INDEX('Inputs (2)'!$D$68:$AL$68,MATCH(K$7,'Inputs (2)'!$D$2:$AL$2,0)),"")</f>
        <v>2182.46515966267</v>
      </c>
      <c r="L45" s="271">
        <f>IFERROR(INDEX('Inputs (2)'!$D$68:$AL$68,MATCH(L$7,'Inputs (2)'!$D$2:$AL$2,0)),"")</f>
        <v>2048.95953842494</v>
      </c>
      <c r="M45" s="272">
        <f>IF(COUNT(I45:L45)=4,SUM(I45:L45),"")</f>
        <v>7428.42469808761</v>
      </c>
      <c r="N45" s="271">
        <f>IFERROR(INDEX('Inputs (2)'!$D$68:$AL$68,MATCH(N$7,'Inputs (2)'!$D$2:$AL$2,0)),"")</f>
        <v>1913.56122407143</v>
      </c>
      <c r="O45" s="271">
        <f>IFERROR(INDEX('Inputs (2)'!$D$68:$AL$68,MATCH(O$7,'Inputs (2)'!$D$2:$AL$2,0)),"")</f>
        <v>2613.42580917011</v>
      </c>
      <c r="P45" s="271">
        <f>IFERROR(INDEX('Inputs (2)'!$D$68:$AL$68,MATCH(P$7,'Inputs (2)'!$D$2:$AL$2,0)),"")</f>
        <v>2747.70169765571</v>
      </c>
      <c r="Q45" s="271">
        <f>IFERROR(INDEX('Inputs (2)'!$D$68:$AL$68,MATCH(Q$7,'Inputs (2)'!$D$2:$AL$2,0)),"")</f>
        <v>2520</v>
      </c>
      <c r="R45" s="272">
        <f>IF(COUNT(N45:Q45)=4,SUM(N45:Q45),"")</f>
        <v>9794.68873089725</v>
      </c>
      <c r="S45" s="271">
        <f>IFERROR(INDEX('Inputs (2)'!$D$68:$AL$68,MATCH(S$7,'Inputs (2)'!$D$2:$AL$2,0)),"")</f>
        <v>2458</v>
      </c>
      <c r="T45" s="271">
        <f>IFERROR(INDEX('Inputs (2)'!$D$68:$AL$68,MATCH(T$7,'Inputs (2)'!$D$2:$AL$2,0)),"")</f>
        <v>3090</v>
      </c>
      <c r="U45" s="271">
        <f>IFERROR(INDEX('Inputs (2)'!$D$68:$AL$68,MATCH(U$7,'Inputs (2)'!$D$2:$AL$2,0)),"")</f>
        <v>3473</v>
      </c>
      <c r="V45" s="271">
        <f>IFERROR(INDEX('Inputs (2)'!$D$68:$AL$68,MATCH(V$7,'Inputs (2)'!$D$2:$AL$2,0)),"")</f>
        <v>2817</v>
      </c>
      <c r="W45" s="272">
        <f>IF(COUNT(S45:V45)=4,SUM(S45:V45),"")</f>
        <v>11838</v>
      </c>
      <c r="X45" s="271">
        <f>IFERROR(INDEX('Inputs (2)'!$D$68:$AL$68,MATCH(X$7,'Inputs (2)'!$D$2:$AL$2,0)),"")</f>
        <v>2932</v>
      </c>
      <c r="Y45" s="271">
        <f>IFERROR(INDEX('Inputs (2)'!$D$68:$AL$68,MATCH(Y$7,'Inputs (2)'!$D$2:$AL$2,0)),"")</f>
        <v>3694</v>
      </c>
      <c r="Z45" s="271">
        <f>IFERROR(INDEX('Inputs (2)'!$D$68:$AL$68,MATCH(Z$7,'Inputs (2)'!$D$2:$AL$2,0)),"")</f>
        <v>4168</v>
      </c>
      <c r="AA45" s="271">
        <f>IFERROR(INDEX('Inputs (2)'!$D$68:$AL$68,MATCH(AA$7,'Inputs (2)'!$D$2:$AL$2,0)),"")</f>
        <v>3225</v>
      </c>
      <c r="AB45" s="272">
        <f>IF(COUNT(X45:AA45)=4,SUM(X45:AA45),"")</f>
        <v>14019</v>
      </c>
      <c r="AC45" s="271">
        <f>IFERROR(INDEX('Inputs (2)'!$D$68:$AL$68,MATCH(AC$7,'Inputs (2)'!$D$2:$AL$2,0)),"")</f>
        <v>3363</v>
      </c>
      <c r="AD45" s="271">
        <f>IFERROR(INDEX('Inputs (2)'!$D$68:$AL$68,MATCH(AD$7,'Inputs (2)'!$D$2:$AL$2,0)),"")</f>
        <v>4046</v>
      </c>
      <c r="AE45" s="271">
        <f>IFERROR(INDEX('Inputs (2)'!$D$68:$AL$68,MATCH(AE$7,'Inputs (2)'!$D$2:$AL$2,0)),"")</f>
        <v>4908</v>
      </c>
      <c r="AF45" s="271">
        <f>IFERROR(INDEX('Inputs (2)'!$D$68:$AL$68,MATCH(AF$7,'Inputs (2)'!$D$2:$AL$2,0)),"")</f>
        <v>4472</v>
      </c>
      <c r="AG45" s="272">
        <f>IF(COUNT(AC45:AF45)=4,SUM(AC45:AF45),"")</f>
        <v>16789</v>
      </c>
      <c r="AH45" s="272">
        <f>IFERROR(INDEX('Inputs (2)'!$D$68:$AL$68,MATCH(AH$7,'Inputs (2)'!$D$2:$AL$2,0)),"")</f>
        <v>4634</v>
      </c>
      <c r="AI45" s="272">
        <f>IFERROR(INDEX('Inputs (2)'!$D$68:$AL$68,MATCH(AI$7,'Inputs (2)'!$D$2:$AL$2,0)),"")</f>
        <v>5737.13</v>
      </c>
    </row>
    <row r="46">
      <c r="C46" s="14" t="inlineStr">
        <is>
          <t>Estoque a valor de mercado - VGV (R$ milhoes, fim do periodo)</t>
        </is>
      </c>
      <c r="D46" s="267">
        <f>IFERROR(INDEX('Inputs (2)'!$D$69:$AL$69,MATCH(D$7,'Inputs (2)'!$D$2:$AL$2,0)),"")</f>
        <v>458.468082857671</v>
      </c>
      <c r="E46" s="267">
        <f>IFERROR(INDEX('Inputs (2)'!$D$69:$AL$69,MATCH(E$7,'Inputs (2)'!$D$2:$AL$2,0)),"")</f>
        <v>476.069699766038</v>
      </c>
      <c r="F46" s="267">
        <f>IFERROR(INDEX('Inputs (2)'!$D$69:$AL$69,MATCH(F$7,'Inputs (2)'!$D$2:$AL$2,0)),"")</f>
        <v>472.987611599502</v>
      </c>
      <c r="G46" s="267">
        <f>IFERROR(INDEX('Inputs (2)'!$D$69:$AL$69,MATCH(G$7,'Inputs (2)'!$D$2:$AL$2,0)),"")</f>
        <v>748.098363028866</v>
      </c>
      <c r="H46" s="268">
        <f>IF(COUNT(G46)=0,"",G46)</f>
        <v>748.098363028866</v>
      </c>
      <c r="I46" s="267">
        <f>IFERROR(INDEX('Inputs (2)'!$D$69:$AL$69,MATCH(I$7,'Inputs (2)'!$D$2:$AL$2,0)),"")</f>
        <v>765.721078097375</v>
      </c>
      <c r="J46" s="267">
        <f>IFERROR(INDEX('Inputs (2)'!$D$69:$AL$69,MATCH(J$7,'Inputs (2)'!$D$2:$AL$2,0)),"")</f>
        <v>777.43</v>
      </c>
      <c r="K46" s="267">
        <f>IFERROR(INDEX('Inputs (2)'!$D$69:$AL$69,MATCH(K$7,'Inputs (2)'!$D$2:$AL$2,0)),"")</f>
        <v>827.130059496389</v>
      </c>
      <c r="L46" s="267">
        <f>IFERROR(INDEX('Inputs (2)'!$D$69:$AL$69,MATCH(L$7,'Inputs (2)'!$D$2:$AL$2,0)),"")</f>
        <v>999.540185304686</v>
      </c>
      <c r="M46" s="268">
        <f>IF(COUNT(L46)=0,"",L46)</f>
        <v>999.540185304686</v>
      </c>
      <c r="N46" s="267">
        <f>IFERROR(INDEX('Inputs (2)'!$D$69:$AL$69,MATCH(N$7,'Inputs (2)'!$D$2:$AL$2,0)),"")</f>
        <v>1067.45107085756</v>
      </c>
      <c r="O46" s="267">
        <f>IFERROR(INDEX('Inputs (2)'!$D$69:$AL$69,MATCH(O$7,'Inputs (2)'!$D$2:$AL$2,0)),"")</f>
        <v>1258.4061220286</v>
      </c>
      <c r="P46" s="267">
        <f>IFERROR(INDEX('Inputs (2)'!$D$69:$AL$69,MATCH(P$7,'Inputs (2)'!$D$2:$AL$2,0)),"")</f>
        <v>1311.54980573077</v>
      </c>
      <c r="Q46" s="267">
        <f>IFERROR(INDEX('Inputs (2)'!$D$69:$AL$69,MATCH(Q$7,'Inputs (2)'!$D$2:$AL$2,0)),"")</f>
        <v>1081.77387176256</v>
      </c>
      <c r="R46" s="268">
        <f>IF(COUNT(Q46)=0,"",Q46)</f>
        <v>1081.77387176256</v>
      </c>
      <c r="S46" s="267">
        <f>IFERROR(INDEX('Inputs (2)'!$D$69:$AL$69,MATCH(S$7,'Inputs (2)'!$D$2:$AL$2,0)),"")</f>
        <v>1406.899164821</v>
      </c>
      <c r="T46" s="267">
        <f>IFERROR(INDEX('Inputs (2)'!$D$69:$AL$69,MATCH(T$7,'Inputs (2)'!$D$2:$AL$2,0)),"")</f>
        <v>1436.257702</v>
      </c>
      <c r="U46" s="267">
        <f>IFERROR(INDEX('Inputs (2)'!$D$69:$AL$69,MATCH(U$7,'Inputs (2)'!$D$2:$AL$2,0)),"")</f>
        <v>1436.44501499815</v>
      </c>
      <c r="V46" s="267">
        <f>IFERROR(INDEX('Inputs (2)'!$D$69:$AL$69,MATCH(V$7,'Inputs (2)'!$D$2:$AL$2,0)),"")</f>
        <v>1423.77865749394</v>
      </c>
      <c r="W46" s="268">
        <f>IF(COUNT(V46)=0,"",V46)</f>
        <v>1423.77865749394</v>
      </c>
      <c r="X46" s="267">
        <f>IFERROR(INDEX('Inputs (2)'!$D$69:$AL$69,MATCH(X$7,'Inputs (2)'!$D$2:$AL$2,0)),"")</f>
        <v>1689.69689707407</v>
      </c>
      <c r="Y46" s="267">
        <f>IFERROR(INDEX('Inputs (2)'!$D$69:$AL$69,MATCH(Y$7,'Inputs (2)'!$D$2:$AL$2,0)),"")</f>
        <v>1712.81341760474</v>
      </c>
      <c r="Z46" s="267">
        <f>IFERROR(INDEX('Inputs (2)'!$D$69:$AL$69,MATCH(Z$7,'Inputs (2)'!$D$2:$AL$2,0)),"")</f>
        <v>1840.17733443986</v>
      </c>
      <c r="AA46" s="267">
        <f>IFERROR(INDEX('Inputs (2)'!$D$69:$AL$69,MATCH(AA$7,'Inputs (2)'!$D$2:$AL$2,0)),"")</f>
        <v>1833.295</v>
      </c>
      <c r="AB46" s="268">
        <f>IF(COUNT(AA46)=0,"",AA46)</f>
        <v>1833.295</v>
      </c>
      <c r="AC46" s="267">
        <f>IFERROR(INDEX('Inputs (2)'!$D$69:$AL$69,MATCH(AC$7,'Inputs (2)'!$D$2:$AL$2,0)),"")</f>
        <v>2531.0470653501</v>
      </c>
      <c r="AD46" s="267">
        <f>IFERROR(INDEX('Inputs (2)'!$D$69:$AL$69,MATCH(AD$7,'Inputs (2)'!$D$2:$AL$2,0)),"")</f>
        <v>2497.72313150038</v>
      </c>
      <c r="AE46" s="267">
        <f>IFERROR(INDEX('Inputs (2)'!$D$69:$AL$69,MATCH(AE$7,'Inputs (2)'!$D$2:$AL$2,0)),"")</f>
        <v>2678.20488320325</v>
      </c>
      <c r="AF46" s="267">
        <f>IFERROR(INDEX('Inputs (2)'!$D$69:$AL$69,MATCH(AF$7,'Inputs (2)'!$D$2:$AL$2,0)),"")</f>
        <v>2406.32078156673</v>
      </c>
      <c r="AG46" s="268">
        <f>IF(COUNT(AF46)=0,"",AF46)</f>
        <v>2406.32078156673</v>
      </c>
      <c r="AH46" s="268">
        <f>IFERROR(INDEX('Inputs (2)'!$D$69:$AL$69,MATCH(AH$7,'Inputs (2)'!$D$2:$AL$2,0)),"")</f>
        <v>2805.17750149867</v>
      </c>
      <c r="AI46" s="268">
        <f>IFERROR(INDEX('Inputs (2)'!$D$69:$AL$69,MATCH(AI$7,'Inputs (2)'!$D$2:$AL$2,0)),"")</f>
        <v>3008.26104705704</v>
      </c>
    </row>
    <row r="47">
      <c r="C47" s="14" t="inlineStr">
        <is>
          <t>Estoque - unidades (fim do periodo)</t>
        </is>
      </c>
      <c r="D47" s="271">
        <f>IFERROR(INDEX('Inputs (2)'!$D$70:$AL$70,MATCH(D$7,'Inputs (2)'!$D$2:$AL$2,0)),"")</f>
        <v>2329</v>
      </c>
      <c r="E47" s="271">
        <f>IFERROR(INDEX('Inputs (2)'!$D$70:$AL$70,MATCH(E$7,'Inputs (2)'!$D$2:$AL$2,0)),"")</f>
        <v>2563</v>
      </c>
      <c r="F47" s="271">
        <f>IFERROR(INDEX('Inputs (2)'!$D$70:$AL$70,MATCH(F$7,'Inputs (2)'!$D$2:$AL$2,0)),"")</f>
        <v>2466</v>
      </c>
      <c r="G47" s="271">
        <f>IFERROR(INDEX('Inputs (2)'!$D$70:$AL$70,MATCH(G$7,'Inputs (2)'!$D$2:$AL$2,0)),"")</f>
        <v>3837</v>
      </c>
      <c r="H47" s="272">
        <f>IF(COUNT(G47)=0,"",G47)</f>
        <v>3837</v>
      </c>
      <c r="I47" s="271">
        <f>IFERROR(INDEX('Inputs (2)'!$D$70:$AL$70,MATCH(I$7,'Inputs (2)'!$D$2:$AL$2,0)),"")</f>
        <v>3934</v>
      </c>
      <c r="J47" s="271">
        <f>IFERROR(INDEX('Inputs (2)'!$D$70:$AL$70,MATCH(J$7,'Inputs (2)'!$D$2:$AL$2,0)),"")</f>
        <v>3904</v>
      </c>
      <c r="K47" s="271">
        <f>IFERROR(INDEX('Inputs (2)'!$D$70:$AL$70,MATCH(K$7,'Inputs (2)'!$D$2:$AL$2,0)),"")</f>
        <v>3989</v>
      </c>
      <c r="L47" s="271">
        <f>IFERROR(INDEX('Inputs (2)'!$D$70:$AL$70,MATCH(L$7,'Inputs (2)'!$D$2:$AL$2,0)),"")</f>
        <v>4600</v>
      </c>
      <c r="M47" s="272">
        <f>IF(COUNT(L47)=0,"",L47)</f>
        <v>4600</v>
      </c>
      <c r="N47" s="271">
        <f>IFERROR(INDEX('Inputs (2)'!$D$70:$AL$70,MATCH(N$7,'Inputs (2)'!$D$2:$AL$2,0)),"")</f>
        <v>4579</v>
      </c>
      <c r="O47" s="271">
        <f>IFERROR(INDEX('Inputs (2)'!$D$70:$AL$70,MATCH(O$7,'Inputs (2)'!$D$2:$AL$2,0)),"")</f>
        <v>4393</v>
      </c>
      <c r="P47" s="271">
        <f>IFERROR(INDEX('Inputs (2)'!$D$70:$AL$70,MATCH(P$7,'Inputs (2)'!$D$2:$AL$2,0)),"")</f>
        <v>4575</v>
      </c>
      <c r="Q47" s="271">
        <f>IFERROR(INDEX('Inputs (2)'!$D$70:$AL$70,MATCH(Q$7,'Inputs (2)'!$D$2:$AL$2,0)),"")</f>
        <v>3781</v>
      </c>
      <c r="R47" s="272">
        <f>IF(COUNT(Q47)=0,"",Q47)</f>
        <v>3781</v>
      </c>
      <c r="S47" s="271">
        <f>IFERROR(INDEX('Inputs (2)'!$D$70:$AL$70,MATCH(S$7,'Inputs (2)'!$D$2:$AL$2,0)),"")</f>
        <v>4859</v>
      </c>
      <c r="T47" s="271">
        <f>IFERROR(INDEX('Inputs (2)'!$D$70:$AL$70,MATCH(T$7,'Inputs (2)'!$D$2:$AL$2,0)),"")</f>
        <v>4485</v>
      </c>
      <c r="U47" s="271">
        <f>IFERROR(INDEX('Inputs (2)'!$D$70:$AL$70,MATCH(U$7,'Inputs (2)'!$D$2:$AL$2,0)),"")</f>
        <v>4652</v>
      </c>
      <c r="V47" s="271">
        <f>IFERROR(INDEX('Inputs (2)'!$D$70:$AL$70,MATCH(V$7,'Inputs (2)'!$D$2:$AL$2,0)),"")</f>
        <v>4991</v>
      </c>
      <c r="W47" s="272">
        <f>IF(COUNT(V47)=0,"",V47)</f>
        <v>4991</v>
      </c>
      <c r="X47" s="271">
        <f>IFERROR(INDEX('Inputs (2)'!$D$70:$AL$70,MATCH(X$7,'Inputs (2)'!$D$2:$AL$2,0)),"")</f>
        <v>5320</v>
      </c>
      <c r="Y47" s="271">
        <f>IFERROR(INDEX('Inputs (2)'!$D$70:$AL$70,MATCH(Y$7,'Inputs (2)'!$D$2:$AL$2,0)),"")</f>
        <v>5139</v>
      </c>
      <c r="Z47" s="271">
        <f>IFERROR(INDEX('Inputs (2)'!$D$70:$AL$70,MATCH(Z$7,'Inputs (2)'!$D$2:$AL$2,0)),"")</f>
        <v>5609</v>
      </c>
      <c r="AA47" s="271">
        <f>IFERROR(INDEX('Inputs (2)'!$D$70:$AL$70,MATCH(AA$7,'Inputs (2)'!$D$2:$AL$2,0)),"")</f>
        <v>5206</v>
      </c>
      <c r="AB47" s="272">
        <f>IF(COUNT(AA47)=0,"",AA47)</f>
        <v>5206</v>
      </c>
      <c r="AC47" s="271">
        <f>IFERROR(INDEX('Inputs (2)'!$D$70:$AL$70,MATCH(AC$7,'Inputs (2)'!$D$2:$AL$2,0)),"")</f>
        <v>7548</v>
      </c>
      <c r="AD47" s="271">
        <f>IFERROR(INDEX('Inputs (2)'!$D$70:$AL$70,MATCH(AD$7,'Inputs (2)'!$D$2:$AL$2,0)),"")</f>
        <v>6852</v>
      </c>
      <c r="AE47" s="271">
        <f>IFERROR(INDEX('Inputs (2)'!$D$70:$AL$70,MATCH(AE$7,'Inputs (2)'!$D$2:$AL$2,0)),"")</f>
        <v>7548</v>
      </c>
      <c r="AF47" s="271">
        <f>IFERROR(INDEX('Inputs (2)'!$D$70:$AL$70,MATCH(AF$7,'Inputs (2)'!$D$2:$AL$2,0)),"")</f>
        <v>6425</v>
      </c>
      <c r="AG47" s="272">
        <f>IF(COUNT(AF47)=0,"",AF47)</f>
        <v>6425</v>
      </c>
      <c r="AH47" s="272">
        <f>IFERROR(INDEX('Inputs (2)'!$D$70:$AL$70,MATCH(AH$7,'Inputs (2)'!$D$2:$AL$2,0)),"")</f>
        <v>7373</v>
      </c>
      <c r="AI47" s="272">
        <f>IFERROR(INDEX('Inputs (2)'!$D$70:$AL$70,MATCH(AI$7,'Inputs (2)'!$D$2:$AL$2,0)),"")</f>
        <v>7785</v>
      </c>
    </row>
    <row r="48">
      <c r="C48" s="14" t="inlineStr">
        <is>
          <t xml:space="preserve">   Estoque / vendas liquidas 100% do trimestre (trimestres de venda)</t>
        </is>
      </c>
      <c r="D48" s="274">
        <f>IFERROR(D46/D30,"")</f>
        <v>1.91925788694637</v>
      </c>
      <c r="E48" s="274">
        <f>IFERROR(E46/E30,"")</f>
        <v>1.62991681069214</v>
      </c>
      <c r="F48" s="274">
        <f>IFERROR(F46/F30,"")</f>
        <v>1.15265671247345</v>
      </c>
      <c r="G48" s="274">
        <f>IFERROR(G46/G30,"")</f>
        <v>1.84896016346606</v>
      </c>
      <c r="H48" s="275" t="n"/>
      <c r="I48" s="274">
        <f>IFERROR(I46/I30,"")</f>
        <v>1.2970116366526</v>
      </c>
      <c r="J48" s="274">
        <f>IFERROR(J46/J30,"")</f>
        <v>1.13896140807351</v>
      </c>
      <c r="K48" s="274">
        <f>IFERROR(K46/K30,"")</f>
        <v>1.21214215573215</v>
      </c>
      <c r="L48" s="274">
        <f>IFERROR(L46/L30,"")</f>
        <v>1.63492904144407</v>
      </c>
      <c r="M48" s="275" t="n"/>
      <c r="N48" s="274">
        <f>IFERROR(N46/N30,"")</f>
        <v>1.4169087789986</v>
      </c>
      <c r="O48" s="274">
        <f>IFERROR(O46/O30,"")</f>
        <v>1.40214665725911</v>
      </c>
      <c r="P48" s="274">
        <f>IFERROR(P46/P30,"")</f>
        <v>1.48058426692664</v>
      </c>
      <c r="Q48" s="274">
        <f>IFERROR(Q46/Q30,"")</f>
        <v>1.43650032004961</v>
      </c>
      <c r="R48" s="275" t="n"/>
      <c r="S48" s="274">
        <f>IFERROR(S46/S30,"")</f>
        <v>1.30402227355907</v>
      </c>
      <c r="T48" s="274">
        <f>IFERROR(T46/T30,"")</f>
        <v>1.20294551076108</v>
      </c>
      <c r="U48" s="274">
        <f>IFERROR(U46/U30,"")</f>
        <v>1.47684568493571</v>
      </c>
      <c r="V48" s="274">
        <f>IFERROR(V46/V30,"")</f>
        <v>1.57380720200262</v>
      </c>
      <c r="W48" s="275" t="n"/>
      <c r="X48" s="274">
        <f>IFERROR(X46/X30,"")</f>
        <v>1.08862730979345</v>
      </c>
      <c r="Y48" s="274">
        <f>IFERROR(Y46/Y30,"")</f>
        <v>0.979175799256909</v>
      </c>
      <c r="Z48" s="274">
        <f>IFERROR(Z46/Z30,"")</f>
        <v>1.28043408482992</v>
      </c>
      <c r="AA48" s="274">
        <f>IFERROR(AA46/AA30,"")</f>
        <v>1.28765413542284</v>
      </c>
      <c r="AB48" s="275" t="n"/>
      <c r="AC48" s="274">
        <f>IFERROR(AC46/AC30,"")</f>
        <v>1.20206707499644</v>
      </c>
      <c r="AD48" s="274">
        <f>IFERROR(AD46/AD30,"")</f>
        <v>1.10452100501324</v>
      </c>
      <c r="AE48" s="274">
        <f>IFERROR(AE46/AE30,"")</f>
        <v>1.46587397675572</v>
      </c>
      <c r="AF48" s="274">
        <f>IFERROR(AF46/AF30,"")</f>
        <v>1.54614512296832</v>
      </c>
      <c r="AG48" s="275" t="n"/>
      <c r="AH48" s="275">
        <f>IFERROR(AH46/AH30,"")</f>
        <v>1.21719756665668</v>
      </c>
      <c r="AI48" s="275">
        <f>IFERROR(AI46/AI30,"")</f>
        <v>1.47066717917031</v>
      </c>
    </row>
    <row r="49">
      <c r="C49" s="14" t="inlineStr">
        <is>
          <t>Banco de terrenos - VGV (R$ milhoes, fim do periodo)</t>
        </is>
      </c>
      <c r="D49" s="271">
        <f>IFERROR(INDEX('Inputs (2)'!$D$71:$AL$71,MATCH(D$7,'Inputs (2)'!$D$2:$AL$2,0)),"")</f>
        <v>7469</v>
      </c>
      <c r="E49" s="271">
        <f>IFERROR(INDEX('Inputs (2)'!$D$71:$AL$71,MATCH(E$7,'Inputs (2)'!$D$2:$AL$2,0)),"")</f>
        <v>7945</v>
      </c>
      <c r="F49" s="271">
        <f>IFERROR(INDEX('Inputs (2)'!$D$71:$AL$71,MATCH(F$7,'Inputs (2)'!$D$2:$AL$2,0)),"")</f>
        <v>8828</v>
      </c>
      <c r="G49" s="271">
        <f>IFERROR(INDEX('Inputs (2)'!$D$71:$AL$71,MATCH(G$7,'Inputs (2)'!$D$2:$AL$2,0)),"")</f>
        <v>10531.63929016</v>
      </c>
      <c r="H49" s="272">
        <f>IF(COUNT(G49)=0,"",G49)</f>
        <v>10531.63929016</v>
      </c>
      <c r="I49" s="271">
        <f>IFERROR(INDEX('Inputs (2)'!$D$71:$AL$71,MATCH(I$7,'Inputs (2)'!$D$2:$AL$2,0)),"")</f>
        <v>9966</v>
      </c>
      <c r="J49" s="271">
        <f>IFERROR(INDEX('Inputs (2)'!$D$71:$AL$71,MATCH(J$7,'Inputs (2)'!$D$2:$AL$2,0)),"")</f>
        <v>10430</v>
      </c>
      <c r="K49" s="271">
        <f>IFERROR(INDEX('Inputs (2)'!$D$71:$AL$71,MATCH(K$7,'Inputs (2)'!$D$2:$AL$2,0)),"")</f>
        <v>11456.49793456</v>
      </c>
      <c r="L49" s="271">
        <f>IFERROR(INDEX('Inputs (2)'!$D$71:$AL$71,MATCH(L$7,'Inputs (2)'!$D$2:$AL$2,0)),"")</f>
        <v>9793.6199983</v>
      </c>
      <c r="M49" s="272">
        <f>IF(COUNT(L49)=0,"",L49)</f>
        <v>9793.6199983</v>
      </c>
      <c r="N49" s="271">
        <f>IFERROR(INDEX('Inputs (2)'!$D$71:$AL$71,MATCH(N$7,'Inputs (2)'!$D$2:$AL$2,0)),"")</f>
        <v>9952.7106042</v>
      </c>
      <c r="O49" s="271">
        <f>IFERROR(INDEX('Inputs (2)'!$D$71:$AL$71,MATCH(O$7,'Inputs (2)'!$D$2:$AL$2,0)),"")</f>
        <v>9647.1947034</v>
      </c>
      <c r="P49" s="271">
        <f>IFERROR(INDEX('Inputs (2)'!$D$71:$AL$71,MATCH(P$7,'Inputs (2)'!$D$2:$AL$2,0)),"")</f>
        <v>10487.09493404</v>
      </c>
      <c r="Q49" s="271">
        <f>IFERROR(INDEX('Inputs (2)'!$D$71:$AL$71,MATCH(Q$7,'Inputs (2)'!$D$2:$AL$2,0)),"")</f>
        <v>10138.416628</v>
      </c>
      <c r="R49" s="272">
        <f>IF(COUNT(Q49)=0,"",Q49)</f>
        <v>10138.416628</v>
      </c>
      <c r="S49" s="271">
        <f>IFERROR(INDEX('Inputs (2)'!$D$71:$AL$71,MATCH(S$7,'Inputs (2)'!$D$2:$AL$2,0)),"")</f>
        <v>9905.53126553</v>
      </c>
      <c r="T49" s="271">
        <f>IFERROR(INDEX('Inputs (2)'!$D$71:$AL$71,MATCH(T$7,'Inputs (2)'!$D$2:$AL$2,0)),"")</f>
        <v>10182.55484953</v>
      </c>
      <c r="U49" s="271">
        <f>IFERROR(INDEX('Inputs (2)'!$D$71:$AL$71,MATCH(U$7,'Inputs (2)'!$D$2:$AL$2,0)),"")</f>
        <v>11848.093692</v>
      </c>
      <c r="V49" s="271">
        <f>IFERROR(INDEX('Inputs (2)'!$D$71:$AL$71,MATCH(V$7,'Inputs (2)'!$D$2:$AL$2,0)),"")</f>
        <v>14508.048284</v>
      </c>
      <c r="W49" s="272">
        <f>IF(COUNT(V49)=0,"",V49)</f>
        <v>14508.048284</v>
      </c>
      <c r="X49" s="271">
        <f>IFERROR(INDEX('Inputs (2)'!$D$71:$AL$71,MATCH(X$7,'Inputs (2)'!$D$2:$AL$2,0)),"")</f>
        <v>15637.376806</v>
      </c>
      <c r="Y49" s="271">
        <f>IFERROR(INDEX('Inputs (2)'!$D$71:$AL$71,MATCH(Y$7,'Inputs (2)'!$D$2:$AL$2,0)),"")</f>
        <v>17585.580512</v>
      </c>
      <c r="Z49" s="271">
        <f>IFERROR(INDEX('Inputs (2)'!$D$71:$AL$71,MATCH(Z$7,'Inputs (2)'!$D$2:$AL$2,0)),"")</f>
        <v>19517.275012</v>
      </c>
      <c r="AA49" s="271">
        <f>IFERROR(INDEX('Inputs (2)'!$D$71:$AL$71,MATCH(AA$7,'Inputs (2)'!$D$2:$AL$2,0)),"")</f>
        <v>20122.4</v>
      </c>
      <c r="AB49" s="272">
        <f>IF(COUNT(AA49)=0,"",AA49)</f>
        <v>20122.4</v>
      </c>
      <c r="AC49" s="271">
        <f>IFERROR(INDEX('Inputs (2)'!$D$71:$AL$71,MATCH(AC$7,'Inputs (2)'!$D$2:$AL$2,0)),"")</f>
        <v>19805.343512</v>
      </c>
      <c r="AD49" s="271">
        <f>IFERROR(INDEX('Inputs (2)'!$D$71:$AL$71,MATCH(AD$7,'Inputs (2)'!$D$2:$AL$2,0)),"")</f>
        <v>21114.3781</v>
      </c>
      <c r="AE49" s="271">
        <f>IFERROR(INDEX('Inputs (2)'!$D$71:$AL$71,MATCH(AE$7,'Inputs (2)'!$D$2:$AL$2,0)),"")</f>
        <v>23343.742622</v>
      </c>
      <c r="AF49" s="271">
        <f>IFERROR(INDEX('Inputs (2)'!$D$71:$AL$71,MATCH(AF$7,'Inputs (2)'!$D$2:$AL$2,0)),"")</f>
        <v>24641.296078</v>
      </c>
      <c r="AG49" s="272">
        <f>IF(COUNT(AF49)=0,"",AF49)</f>
        <v>24641.296078</v>
      </c>
      <c r="AH49" s="272">
        <f>IFERROR(INDEX('Inputs (2)'!$D$71:$AL$71,MATCH(AH$7,'Inputs (2)'!$D$2:$AL$2,0)),"")</f>
        <v>24924.6126995</v>
      </c>
      <c r="AI49" s="272">
        <f>IFERROR(INDEX('Inputs (2)'!$D$71:$AL$71,MATCH(AI$7,'Inputs (2)'!$D$2:$AL$2,0)),"")</f>
        <v>26092.7836228</v>
      </c>
    </row>
    <row r="50"/>
    <row r="51">
      <c r="C51" s="12" t="inlineStr">
        <is>
          <t>Da venda a receita - resultado a apropriar (REF) e reconhecimento por POC (R$ milhoes)</t>
        </is>
      </c>
      <c r="D51" s="12" t="str">
        <f>D7</f>
        <v>1Q20</v>
      </c>
      <c r="E51" s="12" t="str">
        <f>E7</f>
        <v>2Q20</v>
      </c>
      <c r="F51" s="12" t="str">
        <f>F7</f>
        <v>3Q20</v>
      </c>
      <c r="G51" s="12" t="str">
        <f>G7</f>
        <v>4Q20</v>
      </c>
      <c r="H51" s="12">
        <f>H7</f>
        <v>2020</v>
      </c>
      <c r="I51" s="12" t="str">
        <f>I7</f>
        <v>1Q21</v>
      </c>
      <c r="J51" s="12" t="str">
        <f>J7</f>
        <v>2Q21</v>
      </c>
      <c r="K51" s="12" t="str">
        <f>K7</f>
        <v>3Q21</v>
      </c>
      <c r="L51" s="12" t="str">
        <f>L7</f>
        <v>4Q21</v>
      </c>
      <c r="M51" s="12">
        <f>M7</f>
        <v>2021</v>
      </c>
      <c r="N51" s="12" t="str">
        <f>N7</f>
        <v>1Q22</v>
      </c>
      <c r="O51" s="12" t="str">
        <f>O7</f>
        <v>2Q22</v>
      </c>
      <c r="P51" s="12" t="str">
        <f>P7</f>
        <v>3Q22</v>
      </c>
      <c r="Q51" s="12" t="str">
        <f>Q7</f>
        <v>4Q22</v>
      </c>
      <c r="R51" s="12">
        <f>R7</f>
        <v>2022</v>
      </c>
      <c r="S51" s="12" t="str">
        <f>S7</f>
        <v>1Q23</v>
      </c>
      <c r="T51" s="12" t="str">
        <f>T7</f>
        <v>2Q23</v>
      </c>
      <c r="U51" s="12" t="str">
        <f>U7</f>
        <v>3Q23</v>
      </c>
      <c r="V51" s="12" t="str">
        <f>V7</f>
        <v>4Q23</v>
      </c>
      <c r="W51" s="12">
        <f>W7</f>
        <v>2023</v>
      </c>
      <c r="X51" s="12" t="str">
        <f>X7</f>
        <v>1Q24</v>
      </c>
      <c r="Y51" s="12" t="str">
        <f>Y7</f>
        <v>2Q24</v>
      </c>
      <c r="Z51" s="12" t="str">
        <f>Z7</f>
        <v>3Q24</v>
      </c>
      <c r="AA51" s="12" t="str">
        <f>AA7</f>
        <v>4Q24</v>
      </c>
      <c r="AB51" s="12">
        <f>AB7</f>
        <v>2024</v>
      </c>
      <c r="AC51" s="12" t="str">
        <f>AC7</f>
        <v>1Q25</v>
      </c>
      <c r="AD51" s="12" t="str">
        <f>AD7</f>
        <v>2Q25</v>
      </c>
      <c r="AE51" s="12" t="str">
        <f>AE7</f>
        <v>3Q25</v>
      </c>
      <c r="AF51" s="12" t="str">
        <f>AF7</f>
        <v>4Q25</v>
      </c>
      <c r="AG51" s="12">
        <f>AG7</f>
        <v>2025</v>
      </c>
      <c r="AH51" s="12" t="str">
        <f>AH7</f>
        <v>1Q26</v>
      </c>
      <c r="AI51" s="12" t="str">
        <f>AI7</f>
        <v>2Q26</v>
      </c>
    </row>
    <row r="52">
      <c r="C52" s="14" t="inlineStr">
        <is>
          <t>Receita de vendas a apropriar (REF)</t>
        </is>
      </c>
      <c r="D52" s="267">
        <f>IFERROR(INDEX('Inputs (2)'!$D$72:$AL$72,MATCH(D$7,'Inputs (2)'!$D$2:$AL$2,0)),"")</f>
        <v>641.56256501818</v>
      </c>
      <c r="E52" s="267">
        <f>IFERROR(INDEX('Inputs (2)'!$D$72:$AL$72,MATCH(E$7,'Inputs (2)'!$D$2:$AL$2,0)),"")</f>
        <v>649.455483067916</v>
      </c>
      <c r="F52" s="267">
        <f>IFERROR(INDEX('Inputs (2)'!$D$72:$AL$72,MATCH(F$7,'Inputs (2)'!$D$2:$AL$2,0)),"")</f>
        <v>726.078170683434</v>
      </c>
      <c r="G52" s="267">
        <f>IFERROR(INDEX('Inputs (2)'!$D$72:$AL$72,MATCH(G$7,'Inputs (2)'!$D$2:$AL$2,0)),"")</f>
        <v>778.549955933061</v>
      </c>
      <c r="H52" s="268">
        <f>IF(COUNT(G52)=0,"",G52)</f>
        <v>778.549955933061</v>
      </c>
      <c r="I52" s="267">
        <f>IFERROR(INDEX('Inputs (2)'!$D$72:$AL$72,MATCH(I$7,'Inputs (2)'!$D$2:$AL$2,0)),"")</f>
        <v>972.631165941712</v>
      </c>
      <c r="J52" s="267">
        <f>IFERROR(INDEX('Inputs (2)'!$D$72:$AL$72,MATCH(J$7,'Inputs (2)'!$D$2:$AL$2,0)),"")</f>
        <v>1172.291</v>
      </c>
      <c r="K52" s="267">
        <f>IFERROR(INDEX('Inputs (2)'!$D$72:$AL$72,MATCH(K$7,'Inputs (2)'!$D$2:$AL$2,0)),"")</f>
        <v>1427.093</v>
      </c>
      <c r="L52" s="267">
        <f>IFERROR(INDEX('Inputs (2)'!$D$72:$AL$72,MATCH(L$7,'Inputs (2)'!$D$2:$AL$2,0)),"")</f>
        <v>1560.016</v>
      </c>
      <c r="M52" s="268">
        <f>IF(COUNT(L52)=0,"",L52)</f>
        <v>1560.016</v>
      </c>
      <c r="N52" s="267">
        <f>IFERROR(INDEX('Inputs (2)'!$D$72:$AL$72,MATCH(N$7,'Inputs (2)'!$D$2:$AL$2,0)),"")</f>
        <v>1826.371</v>
      </c>
      <c r="O52" s="267">
        <f>IFERROR(INDEX('Inputs (2)'!$D$72:$AL$72,MATCH(O$7,'Inputs (2)'!$D$2:$AL$2,0)),"")</f>
        <v>2064.638</v>
      </c>
      <c r="P52" s="267">
        <f>IFERROR(INDEX('Inputs (2)'!$D$72:$AL$72,MATCH(P$7,'Inputs (2)'!$D$2:$AL$2,0)),"")</f>
        <v>2322.205</v>
      </c>
      <c r="Q52" s="267">
        <f>IFERROR(INDEX('Inputs (2)'!$D$72:$AL$72,MATCH(Q$7,'Inputs (2)'!$D$2:$AL$2,0)),"")</f>
        <v>2454.399</v>
      </c>
      <c r="R52" s="268">
        <f>IF(COUNT(Q52)=0,"",Q52)</f>
        <v>2454.399</v>
      </c>
      <c r="S52" s="267">
        <f>IFERROR(INDEX('Inputs (2)'!$D$72:$AL$72,MATCH(S$7,'Inputs (2)'!$D$2:$AL$2,0)),"")</f>
        <v>2914.433</v>
      </c>
      <c r="T52" s="267">
        <f>IFERROR(INDEX('Inputs (2)'!$D$72:$AL$72,MATCH(T$7,'Inputs (2)'!$D$2:$AL$2,0)),"")</f>
        <v>3245.796</v>
      </c>
      <c r="U52" s="267">
        <f>IFERROR(INDEX('Inputs (2)'!$D$72:$AL$72,MATCH(U$7,'Inputs (2)'!$D$2:$AL$2,0)),"")</f>
        <v>3439.133</v>
      </c>
      <c r="V52" s="267">
        <f>IFERROR(INDEX('Inputs (2)'!$D$72:$AL$72,MATCH(V$7,'Inputs (2)'!$D$2:$AL$2,0)),"")</f>
        <v>3501.917</v>
      </c>
      <c r="W52" s="268">
        <f>IF(COUNT(V52)=0,"",V52)</f>
        <v>3501.917</v>
      </c>
      <c r="X52" s="267">
        <f>IFERROR(INDEX('Inputs (2)'!$D$72:$AL$72,MATCH(X$7,'Inputs (2)'!$D$2:$AL$2,0)),"")</f>
        <v>4153.406</v>
      </c>
      <c r="Y52" s="267">
        <f>IFERROR(INDEX('Inputs (2)'!$D$72:$AL$72,MATCH(Y$7,'Inputs (2)'!$D$2:$AL$2,0)),"")</f>
        <v>4837.93</v>
      </c>
      <c r="Z52" s="267">
        <f>IFERROR(INDEX('Inputs (2)'!$D$72:$AL$72,MATCH(Z$7,'Inputs (2)'!$D$2:$AL$2,0)),"")</f>
        <v>5203.643</v>
      </c>
      <c r="AA52" s="267">
        <f>IFERROR(INDEX('Inputs (2)'!$D$72:$AL$72,MATCH(AA$7,'Inputs (2)'!$D$2:$AL$2,0)),"")</f>
        <v>5565.297</v>
      </c>
      <c r="AB52" s="268">
        <f>IF(COUNT(AA52)=0,"",AA52)</f>
        <v>5565.297</v>
      </c>
      <c r="AC52" s="267">
        <f>IFERROR(INDEX('Inputs (2)'!$D$72:$AL$72,MATCH(AC$7,'Inputs (2)'!$D$2:$AL$2,0)),"")</f>
        <v>6430.448</v>
      </c>
      <c r="AD52" s="267">
        <f>IFERROR(INDEX('Inputs (2)'!$D$72:$AL$72,MATCH(AD$7,'Inputs (2)'!$D$2:$AL$2,0)),"")</f>
        <v>7284.016</v>
      </c>
      <c r="AE52" s="267">
        <f>IFERROR(INDEX('Inputs (2)'!$D$72:$AL$72,MATCH(AE$7,'Inputs (2)'!$D$2:$AL$2,0)),"")</f>
        <v>7701.127</v>
      </c>
      <c r="AF52" s="267">
        <f>IFERROR(INDEX('Inputs (2)'!$D$72:$AL$72,MATCH(AF$7,'Inputs (2)'!$D$2:$AL$2,0)),"")</f>
        <v>7802.275</v>
      </c>
      <c r="AG52" s="268">
        <f>IF(COUNT(AF52)=0,"",AF52)</f>
        <v>7802.275</v>
      </c>
      <c r="AH52" s="268">
        <f>IFERROR(INDEX('Inputs (2)'!$D$72:$AL$72,MATCH(AH$7,'Inputs (2)'!$D$2:$AL$2,0)),"")</f>
        <v>8471.901</v>
      </c>
      <c r="AI52" s="268">
        <f>IFERROR(INDEX('Inputs (2)'!$D$72:$AL$72,MATCH(AI$7,'Inputs (2)'!$D$2:$AL$2,0)),"")</f>
        <v>8831.273</v>
      </c>
    </row>
    <row r="53">
      <c r="C53" s="14" t="inlineStr">
        <is>
          <t>(-) Custo orcado a apropriar</t>
        </is>
      </c>
      <c r="D53" s="267">
        <f>IFERROR(INDEX('Inputs (2)'!$D$73:$AL$73,MATCH(D$7,'Inputs (2)'!$D$2:$AL$2,0)),"")</f>
        <v>-416.158210786532</v>
      </c>
      <c r="E53" s="267">
        <f>IFERROR(INDEX('Inputs (2)'!$D$73:$AL$73,MATCH(E$7,'Inputs (2)'!$D$2:$AL$2,0)),"")</f>
        <v>-409.404418930243</v>
      </c>
      <c r="F53" s="267">
        <f>IFERROR(INDEX('Inputs (2)'!$D$73:$AL$73,MATCH(F$7,'Inputs (2)'!$D$2:$AL$2,0)),"")</f>
        <v>-451.569294586268</v>
      </c>
      <c r="G53" s="267">
        <f>IFERROR(INDEX('Inputs (2)'!$D$73:$AL$73,MATCH(G$7,'Inputs (2)'!$D$2:$AL$2,0)),"")</f>
        <v>-475.106136892047</v>
      </c>
      <c r="H53" s="268">
        <f>IF(COUNT(G53)=0,"",G53)</f>
        <v>-475.106136892047</v>
      </c>
      <c r="I53" s="267">
        <f>IFERROR(INDEX('Inputs (2)'!$D$73:$AL$73,MATCH(I$7,'Inputs (2)'!$D$2:$AL$2,0)),"")</f>
        <v>-608.580971494406</v>
      </c>
      <c r="J53" s="267">
        <f>IFERROR(INDEX('Inputs (2)'!$D$73:$AL$73,MATCH(J$7,'Inputs (2)'!$D$2:$AL$2,0)),"")</f>
        <v>-735.781</v>
      </c>
      <c r="K53" s="267">
        <f>IFERROR(INDEX('Inputs (2)'!$D$73:$AL$73,MATCH(K$7,'Inputs (2)'!$D$2:$AL$2,0)),"")</f>
        <v>-872.072</v>
      </c>
      <c r="L53" s="267">
        <f>IFERROR(INDEX('Inputs (2)'!$D$73:$AL$73,MATCH(L$7,'Inputs (2)'!$D$2:$AL$2,0)),"")</f>
        <v>-949.761</v>
      </c>
      <c r="M53" s="268">
        <f>IF(COUNT(L53)=0,"",L53)</f>
        <v>-949.761</v>
      </c>
      <c r="N53" s="267">
        <f>IFERROR(INDEX('Inputs (2)'!$D$73:$AL$73,MATCH(N$7,'Inputs (2)'!$D$2:$AL$2,0)),"")</f>
        <v>-1101.334</v>
      </c>
      <c r="O53" s="267">
        <f>IFERROR(INDEX('Inputs (2)'!$D$73:$AL$73,MATCH(O$7,'Inputs (2)'!$D$2:$AL$2,0)),"")</f>
        <v>-1227.464</v>
      </c>
      <c r="P53" s="267">
        <f>IFERROR(INDEX('Inputs (2)'!$D$73:$AL$73,MATCH(P$7,'Inputs (2)'!$D$2:$AL$2,0)),"")</f>
        <v>-1343.94</v>
      </c>
      <c r="Q53" s="267">
        <f>IFERROR(INDEX('Inputs (2)'!$D$73:$AL$73,MATCH(Q$7,'Inputs (2)'!$D$2:$AL$2,0)),"")</f>
        <v>-1426.532</v>
      </c>
      <c r="R53" s="268">
        <f>IF(COUNT(Q53)=0,"",Q53)</f>
        <v>-1426.532</v>
      </c>
      <c r="S53" s="267">
        <f>IFERROR(INDEX('Inputs (2)'!$D$73:$AL$73,MATCH(S$7,'Inputs (2)'!$D$2:$AL$2,0)),"")</f>
        <v>-1691.437</v>
      </c>
      <c r="T53" s="267">
        <f>IFERROR(INDEX('Inputs (2)'!$D$73:$AL$73,MATCH(T$7,'Inputs (2)'!$D$2:$AL$2,0)),"")</f>
        <v>-1885.672</v>
      </c>
      <c r="U53" s="267">
        <f>IFERROR(INDEX('Inputs (2)'!$D$73:$AL$73,MATCH(U$7,'Inputs (2)'!$D$2:$AL$2,0)),"")</f>
        <v>-1996.732</v>
      </c>
      <c r="V53" s="267">
        <f>IFERROR(INDEX('Inputs (2)'!$D$73:$AL$73,MATCH(V$7,'Inputs (2)'!$D$2:$AL$2,0)),"")</f>
        <v>-2032.161</v>
      </c>
      <c r="W53" s="268">
        <f>IF(COUNT(V53)=0,"",V53)</f>
        <v>-2032.161</v>
      </c>
      <c r="X53" s="267">
        <f>IFERROR(INDEX('Inputs (2)'!$D$73:$AL$73,MATCH(X$7,'Inputs (2)'!$D$2:$AL$2,0)),"")</f>
        <v>-2404.1</v>
      </c>
      <c r="Y53" s="267">
        <f>IFERROR(INDEX('Inputs (2)'!$D$73:$AL$73,MATCH(Y$7,'Inputs (2)'!$D$2:$AL$2,0)),"")</f>
        <v>-2769.753</v>
      </c>
      <c r="Z53" s="267">
        <f>IFERROR(INDEX('Inputs (2)'!$D$73:$AL$73,MATCH(Z$7,'Inputs (2)'!$D$2:$AL$2,0)),"")</f>
        <v>-2950.257</v>
      </c>
      <c r="AA53" s="267">
        <f>IFERROR(INDEX('Inputs (2)'!$D$73:$AL$73,MATCH(AA$7,'Inputs (2)'!$D$2:$AL$2,0)),"")</f>
        <v>-3150.416</v>
      </c>
      <c r="AB53" s="268">
        <f>IF(COUNT(AA53)=0,"",AA53)</f>
        <v>-3150.416</v>
      </c>
      <c r="AC53" s="267">
        <f>IFERROR(INDEX('Inputs (2)'!$D$73:$AL$73,MATCH(AC$7,'Inputs (2)'!$D$2:$AL$2,0)),"")</f>
        <v>-3656.268</v>
      </c>
      <c r="AD53" s="267">
        <f>IFERROR(INDEX('Inputs (2)'!$D$73:$AL$73,MATCH(AD$7,'Inputs (2)'!$D$2:$AL$2,0)),"")</f>
        <v>-4123.959</v>
      </c>
      <c r="AE53" s="267">
        <f>IFERROR(INDEX('Inputs (2)'!$D$73:$AL$73,MATCH(AE$7,'Inputs (2)'!$D$2:$AL$2,0)),"")</f>
        <v>-4355.125</v>
      </c>
      <c r="AF53" s="267">
        <f>IFERROR(INDEX('Inputs (2)'!$D$73:$AL$73,MATCH(AF$7,'Inputs (2)'!$D$2:$AL$2,0)),"")</f>
        <v>-4420.54</v>
      </c>
      <c r="AG53" s="268">
        <f>IF(COUNT(AF53)=0,"",AF53)</f>
        <v>-4420.54</v>
      </c>
      <c r="AH53" s="268">
        <f>IFERROR(INDEX('Inputs (2)'!$D$73:$AL$73,MATCH(AH$7,'Inputs (2)'!$D$2:$AL$2,0)),"")</f>
        <v>-4834.308</v>
      </c>
      <c r="AI53" s="268">
        <f>IFERROR(INDEX('Inputs (2)'!$D$73:$AL$73,MATCH(AI$7,'Inputs (2)'!$D$2:$AL$2,0)),"")</f>
        <v>-4988.36</v>
      </c>
    </row>
    <row r="54">
      <c r="C54" s="273" t="inlineStr">
        <is>
          <t>Resultado a apropriar</t>
        </is>
      </c>
      <c r="D54" s="267">
        <f>IF(COUNT(D52)=0,"",D52+D53)</f>
        <v>225.404354231649</v>
      </c>
      <c r="E54" s="267">
        <f>IF(COUNT(E52)=0,"",E52+E53)</f>
        <v>240.051064137674</v>
      </c>
      <c r="F54" s="267">
        <f>IF(COUNT(F52)=0,"",F52+F53)</f>
        <v>274.508876097166</v>
      </c>
      <c r="G54" s="267">
        <f>IF(COUNT(G52)=0,"",G52+G53)</f>
        <v>303.443819041014</v>
      </c>
      <c r="H54" s="268">
        <f>IF(COUNT(H52)=0,"",H52+H53)</f>
        <v>303.443819041014</v>
      </c>
      <c r="I54" s="267">
        <f>IF(COUNT(I52)=0,"",I52+I53)</f>
        <v>364.050194447306</v>
      </c>
      <c r="J54" s="267">
        <f>IF(COUNT(J52)=0,"",J52+J53)</f>
        <v>436.51</v>
      </c>
      <c r="K54" s="267">
        <f>IF(COUNT(K52)=0,"",K52+K53)</f>
        <v>555.021</v>
      </c>
      <c r="L54" s="267">
        <f>IF(COUNT(L52)=0,"",L52+L53)</f>
        <v>610.255</v>
      </c>
      <c r="M54" s="268">
        <f>IF(COUNT(M52)=0,"",M52+M53)</f>
        <v>610.255</v>
      </c>
      <c r="N54" s="267">
        <f>IF(COUNT(N52)=0,"",N52+N53)</f>
        <v>725.037</v>
      </c>
      <c r="O54" s="267">
        <f>IF(COUNT(O52)=0,"",O52+O53)</f>
        <v>837.174</v>
      </c>
      <c r="P54" s="267">
        <f>IF(COUNT(P52)=0,"",P52+P53)</f>
        <v>978.265</v>
      </c>
      <c r="Q54" s="267">
        <f>IF(COUNT(Q52)=0,"",Q52+Q53)</f>
        <v>1027.867</v>
      </c>
      <c r="R54" s="268">
        <f>IF(COUNT(R52)=0,"",R52+R53)</f>
        <v>1027.867</v>
      </c>
      <c r="S54" s="267">
        <f>IF(COUNT(S52)=0,"",S52+S53)</f>
        <v>1222.996</v>
      </c>
      <c r="T54" s="267">
        <f>IF(COUNT(T52)=0,"",T52+T53)</f>
        <v>1360.124</v>
      </c>
      <c r="U54" s="267">
        <f>IF(COUNT(U52)=0,"",U52+U53)</f>
        <v>1442.401</v>
      </c>
      <c r="V54" s="267">
        <f>IF(COUNT(V52)=0,"",V52+V53)</f>
        <v>1469.756</v>
      </c>
      <c r="W54" s="268">
        <f>IF(COUNT(W52)=0,"",W52+W53)</f>
        <v>1469.756</v>
      </c>
      <c r="X54" s="267">
        <f>IF(COUNT(X52)=0,"",X52+X53)</f>
        <v>1749.306</v>
      </c>
      <c r="Y54" s="267">
        <f>IF(COUNT(Y52)=0,"",Y52+Y53)</f>
        <v>2068.177</v>
      </c>
      <c r="Z54" s="267">
        <f>IF(COUNT(Z52)=0,"",Z52+Z53)</f>
        <v>2253.386</v>
      </c>
      <c r="AA54" s="267">
        <f>IF(COUNT(AA52)=0,"",AA52+AA53)</f>
        <v>2414.881</v>
      </c>
      <c r="AB54" s="268">
        <f>IF(COUNT(AB52)=0,"",AB52+AB53)</f>
        <v>2414.881</v>
      </c>
      <c r="AC54" s="267">
        <f>IF(COUNT(AC52)=0,"",AC52+AC53)</f>
        <v>2774.18</v>
      </c>
      <c r="AD54" s="267">
        <f>IF(COUNT(AD52)=0,"",AD52+AD53)</f>
        <v>3160.057</v>
      </c>
      <c r="AE54" s="267">
        <f>IF(COUNT(AE52)=0,"",AE52+AE53)</f>
        <v>3346.002</v>
      </c>
      <c r="AF54" s="267">
        <f>IF(COUNT(AF52)=0,"",AF52+AF53)</f>
        <v>3381.735</v>
      </c>
      <c r="AG54" s="268">
        <f>IF(COUNT(AG52)=0,"",AG52+AG53)</f>
        <v>3381.735</v>
      </c>
      <c r="AH54" s="268">
        <f>IF(COUNT(AH52)=0,"",AH52+AH53)</f>
        <v>3637.593</v>
      </c>
      <c r="AI54" s="268">
        <f>IF(COUNT(AI52)=0,"",AI52+AI53)</f>
        <v>3842.913</v>
      </c>
    </row>
    <row r="55">
      <c r="C55" s="14" t="inlineStr">
        <is>
          <t xml:space="preserve">   Margem REF</t>
        </is>
      </c>
      <c r="D55" s="269">
        <f>IFERROR(D54/D52,"")</f>
        <v>0.351336512636552</v>
      </c>
      <c r="E55" s="269">
        <f>IFERROR(E54/E52,"")</f>
        <v>0.369618966035537</v>
      </c>
      <c r="F55" s="269">
        <f>IFERROR(F54/F52,"")</f>
        <v>0.378070691532814</v>
      </c>
      <c r="G55" s="269">
        <f>IFERROR(G54/G52,"")</f>
        <v>0.389755103996311</v>
      </c>
      <c r="H55" s="270">
        <f>IFERROR(H54/H52,"")</f>
        <v>0.389755103996311</v>
      </c>
      <c r="I55" s="269">
        <f>IFERROR(I54/I52,"")</f>
        <v>0.374294190023028</v>
      </c>
      <c r="J55" s="269">
        <f>IFERROR(J54/J52,"")</f>
        <v>0.372356351793198</v>
      </c>
      <c r="K55" s="269">
        <f>IFERROR(K54/K52,"")</f>
        <v>0.388917190400345</v>
      </c>
      <c r="L55" s="269">
        <f>IFERROR(L54/L52,"")</f>
        <v>0.391185090409329</v>
      </c>
      <c r="M55" s="270">
        <f>IFERROR(M54/M52,"")</f>
        <v>0.391185090409329</v>
      </c>
      <c r="N55" s="269">
        <f>IFERROR(N54/N52,"")</f>
        <v>0.396982321773616</v>
      </c>
      <c r="O55" s="269">
        <f>IFERROR(O54/O52,"")</f>
        <v>0.405482220127693</v>
      </c>
      <c r="P55" s="269">
        <f>IFERROR(P54/P52,"")</f>
        <v>0.421265564409688</v>
      </c>
      <c r="Q55" s="269">
        <f>IFERROR(Q54/Q52,"")</f>
        <v>0.418785617171454</v>
      </c>
      <c r="R55" s="270">
        <f>IFERROR(R54/R52,"")</f>
        <v>0.418785617171454</v>
      </c>
      <c r="S55" s="269">
        <f>IFERROR(S54/S52,"")</f>
        <v>0.419634282208581</v>
      </c>
      <c r="T55" s="269">
        <f>IFERROR(T54/T52,"")</f>
        <v>0.419041738913968</v>
      </c>
      <c r="U55" s="269">
        <f>IFERROR(U54/U52,"")</f>
        <v>0.419408321806688</v>
      </c>
      <c r="V55" s="269">
        <f>IFERROR(V54/V52,"")</f>
        <v>0.419700409804116</v>
      </c>
      <c r="W55" s="270">
        <f>IFERROR(W54/W52,"")</f>
        <v>0.419700409804116</v>
      </c>
      <c r="X55" s="269">
        <f>IFERROR(X54/X52,"")</f>
        <v>0.421173851051402</v>
      </c>
      <c r="Y55" s="269">
        <f>IFERROR(Y54/Y52,"")</f>
        <v>0.427492129898531</v>
      </c>
      <c r="Z55" s="269">
        <f>IFERROR(Z54/Z52,"")</f>
        <v>0.43304008364909</v>
      </c>
      <c r="AA55" s="269">
        <f>IFERROR(AA54/AA52,"")</f>
        <v>0.433917722630077</v>
      </c>
      <c r="AB55" s="270">
        <f>IFERROR(AB54/AB52,"")</f>
        <v>0.433917722630077</v>
      </c>
      <c r="AC55" s="269">
        <f>IFERROR(AC54/AC52,"")</f>
        <v>0.43141317681132</v>
      </c>
      <c r="AD55" s="269">
        <f>IFERROR(AD54/AD52,"")</f>
        <v>0.433834439682725</v>
      </c>
      <c r="AE55" s="269">
        <f>IFERROR(AE54/AE52,"")</f>
        <v>0.434482121902418</v>
      </c>
      <c r="AF55" s="269">
        <f>IFERROR(AF54/AF52,"")</f>
        <v>0.433429352336338</v>
      </c>
      <c r="AG55" s="270">
        <f>IFERROR(AG54/AG52,"")</f>
        <v>0.433429352336338</v>
      </c>
      <c r="AH55" s="270">
        <f>IFERROR(AH54/AH52,"")</f>
        <v>0.429371518859817</v>
      </c>
      <c r="AI55" s="270">
        <f>IFERROR(AI54/AI52,"")</f>
        <v>0.43514825099394</v>
      </c>
    </row>
    <row r="56">
      <c r="C56" s="273" t="inlineStr">
        <is>
          <t>Receita liquida (linha 15)</t>
        </is>
      </c>
      <c r="D56" s="267">
        <f>D15</f>
        <v>227.321</v>
      </c>
      <c r="E56" s="267">
        <f>E15</f>
        <v>246.204</v>
      </c>
      <c r="F56" s="267">
        <f>F15</f>
        <v>325.898</v>
      </c>
      <c r="G56" s="267">
        <f>G15</f>
        <v>345.259</v>
      </c>
      <c r="H56" s="268">
        <f>H15</f>
        <v>1144.682</v>
      </c>
      <c r="I56" s="267">
        <f>I15</f>
        <v>339.286</v>
      </c>
      <c r="J56" s="267">
        <f>J15</f>
        <v>451.337</v>
      </c>
      <c r="K56" s="267">
        <f>K15</f>
        <v>456.44958043</v>
      </c>
      <c r="L56" s="267">
        <f>L15</f>
        <v>491.223</v>
      </c>
      <c r="M56" s="268">
        <f>M15</f>
        <v>1738.29558043</v>
      </c>
      <c r="N56" s="267">
        <f>N15</f>
        <v>447.374</v>
      </c>
      <c r="O56" s="267">
        <f>O15</f>
        <v>602.783</v>
      </c>
      <c r="P56" s="267">
        <f>P15</f>
        <v>626.659</v>
      </c>
      <c r="Q56" s="267">
        <f>Q15</f>
        <v>580.478</v>
      </c>
      <c r="R56" s="268">
        <f>R15</f>
        <v>2257.294</v>
      </c>
      <c r="S56" s="267">
        <f>S15</f>
        <v>594.956</v>
      </c>
      <c r="T56" s="267">
        <f>T15</f>
        <v>727.746</v>
      </c>
      <c r="U56" s="267">
        <f>U15</f>
        <v>751.874</v>
      </c>
      <c r="V56" s="267">
        <f>V15</f>
        <v>811.596</v>
      </c>
      <c r="W56" s="268">
        <f>W15</f>
        <v>2886.172</v>
      </c>
      <c r="X56" s="267">
        <f>X15</f>
        <v>837.382</v>
      </c>
      <c r="Y56" s="267">
        <f>Y15</f>
        <v>998.085</v>
      </c>
      <c r="Z56" s="267">
        <f>Z15</f>
        <v>1055.872</v>
      </c>
      <c r="AA56" s="267">
        <f>AA15</f>
        <v>1034.971</v>
      </c>
      <c r="AB56" s="268">
        <f>AB15</f>
        <v>3926.31</v>
      </c>
      <c r="AC56" s="267">
        <f>AC15</f>
        <v>1216.184</v>
      </c>
      <c r="AD56" s="267">
        <f>AD15</f>
        <v>1346.599</v>
      </c>
      <c r="AE56" s="267">
        <f>AE15</f>
        <v>1416.926</v>
      </c>
      <c r="AF56" s="267">
        <f>AF15</f>
        <v>1419.715</v>
      </c>
      <c r="AG56" s="268">
        <f>AG15</f>
        <v>5399.424</v>
      </c>
      <c r="AH56" s="268">
        <f>AH15</f>
        <v>1612.571</v>
      </c>
      <c r="AI56" s="268">
        <f>AI15</f>
        <v>1690.594</v>
      </c>
    </row>
    <row r="57">
      <c r="C57" s="14" t="inlineStr">
        <is>
          <t xml:space="preserve">   Margem bruta reconhecida (linhas 15 e 68)</t>
        </is>
      </c>
      <c r="D57" s="269">
        <f>IFERROR((D15+D68)/D15,"")</f>
        <v>0.343742988989139</v>
      </c>
      <c r="E57" s="269">
        <f>IFERROR((E15+E68)/E15,"")</f>
        <v>0.353637633832107</v>
      </c>
      <c r="F57" s="269">
        <f>IFERROR((F15+F68)/F15,"")</f>
        <v>0.378514136324862</v>
      </c>
      <c r="G57" s="269">
        <f>IFERROR((G15+G68)/G15,"")</f>
        <v>0.404988718614142</v>
      </c>
      <c r="H57" s="270">
        <f>IFERROR((H15+H68)/H15,"")</f>
        <v>0.374243676409693</v>
      </c>
      <c r="I57" s="269">
        <f>IFERROR((I15+I68)/I15,"")</f>
        <v>0.35469191183839</v>
      </c>
      <c r="J57" s="269">
        <f>IFERROR((J15+J68)/J15,"")</f>
        <v>0.360963094095986</v>
      </c>
      <c r="K57" s="269">
        <f>IFERROR((K15+K68)/K15,"")</f>
        <v>0.383332241175832</v>
      </c>
      <c r="L57" s="269">
        <f>IFERROR((L15+L68)/L15,"")</f>
        <v>0.379546560319855</v>
      </c>
      <c r="M57" s="270">
        <f>IFERROR((M15+M68)/M15,"")</f>
        <v>0.37086433855543</v>
      </c>
      <c r="N57" s="269">
        <f>IFERROR((N15+N68)/N15,"")</f>
        <v>0.370850787037244</v>
      </c>
      <c r="O57" s="269">
        <f>IFERROR((O15+O68)/O15,"")</f>
        <v>0.35750344651392</v>
      </c>
      <c r="P57" s="269">
        <f>IFERROR((P15+P68)/P15,"")</f>
        <v>0.372998712218288</v>
      </c>
      <c r="Q57" s="269">
        <f>IFERROR((Q15+Q68)/Q15,"")</f>
        <v>0.382000695978142</v>
      </c>
      <c r="R57" s="270">
        <f>IFERROR((R15+R68)/R15,"")</f>
        <v>0.370750110530573</v>
      </c>
      <c r="S57" s="269">
        <f>IFERROR((S15+S68)/S15,"")</f>
        <v>0.375089922616126</v>
      </c>
      <c r="T57" s="269">
        <f>IFERROR((T15+T68)/T15,"")</f>
        <v>0.377266243991722</v>
      </c>
      <c r="U57" s="269">
        <f>IFERROR((U15+U68)/U15,"")</f>
        <v>0.377593852161399</v>
      </c>
      <c r="V57" s="269">
        <f>IFERROR((V15+V68)/V15,"")</f>
        <v>0.386564251179158</v>
      </c>
      <c r="W57" s="270">
        <f>IFERROR((W15+W68)/W15,"")</f>
        <v>0.379517575529109</v>
      </c>
      <c r="X57" s="269">
        <f>IFERROR((X15+X68)/X15,"")</f>
        <v>0.378093868748074</v>
      </c>
      <c r="Y57" s="269">
        <f>IFERROR((Y15+Y68)/Y15,"")</f>
        <v>0.383264952383815</v>
      </c>
      <c r="Z57" s="269">
        <f>IFERROR((Z15+Z68)/Z15,"")</f>
        <v>0.387779958176749</v>
      </c>
      <c r="AA57" s="269">
        <f>IFERROR((AA15+AA68)/AA15,"")</f>
        <v>0.390691140138226</v>
      </c>
      <c r="AB57" s="270">
        <f>IFERROR((AB15+AB68)/AB15,"")</f>
        <v>0.385333812154415</v>
      </c>
      <c r="AC57" s="269">
        <f>IFERROR((AC15+AC68)/AC15,"")</f>
        <v>0.390473809884031</v>
      </c>
      <c r="AD57" s="269">
        <f>IFERROR((AD15+AD68)/AD15,"")</f>
        <v>0.395645622787482</v>
      </c>
      <c r="AE57" s="269">
        <f>IFERROR((AE15+AE68)/AE15,"")</f>
        <v>0.399616493733618</v>
      </c>
      <c r="AF57" s="269">
        <f>IFERROR((AF15+AF68)/AF15,"")</f>
        <v>0.403388003930366</v>
      </c>
      <c r="AG57" s="270">
        <f>IFERROR((AG15+AG68)/AG15,"")</f>
        <v>0.397558517352962</v>
      </c>
      <c r="AH57" s="270">
        <f>IFERROR((AH15+AH68)/AH15,"")</f>
        <v>0.390467148423232</v>
      </c>
      <c r="AI57" s="270">
        <f>IFERROR((AI15+AI68)/AI15,"")</f>
        <v>0.395341519016393</v>
      </c>
    </row>
    <row r="58">
      <c r="C58" s="14" t="inlineStr">
        <is>
          <t xml:space="preserve">   Margem REF - margem bruta (p.p.)</t>
        </is>
      </c>
      <c r="D58" s="269">
        <f>IFERROR(D55-D57,"")</f>
        <v>0.00759352364741345</v>
      </c>
      <c r="E58" s="269">
        <f>IFERROR(E55-E57,"")</f>
        <v>0.0159813322034305</v>
      </c>
      <c r="F58" s="269">
        <f>IFERROR(F55-F57,"")</f>
        <v>-0.000443444792048775</v>
      </c>
      <c r="G58" s="269">
        <f>IFERROR(G55-G57,"")</f>
        <v>-0.0152336146178306</v>
      </c>
      <c r="H58" s="270">
        <f>IFERROR(H55-H57,"")</f>
        <v>0.0155114275866185</v>
      </c>
      <c r="I58" s="269">
        <f>IFERROR(I55-I57,"")</f>
        <v>0.0196022781846376</v>
      </c>
      <c r="J58" s="269">
        <f>IFERROR(J55-J57,"")</f>
        <v>0.0113932576972121</v>
      </c>
      <c r="K58" s="269">
        <f>IFERROR(K55-K57,"")</f>
        <v>0.00558494922451364</v>
      </c>
      <c r="L58" s="269">
        <f>IFERROR(L55-L57,"")</f>
        <v>0.0116385300894745</v>
      </c>
      <c r="M58" s="270">
        <f>IFERROR(M55-M57,"")</f>
        <v>0.0203207518538988</v>
      </c>
      <c r="N58" s="269">
        <f>IFERROR(N55-N57,"")</f>
        <v>0.0261315347363716</v>
      </c>
      <c r="O58" s="269">
        <f>IFERROR(O55-O57,"")</f>
        <v>0.0479787736137735</v>
      </c>
      <c r="P58" s="269">
        <f>IFERROR(P55-P57,"")</f>
        <v>0.0482668521914004</v>
      </c>
      <c r="Q58" s="269">
        <f>IFERROR(Q55-Q57,"")</f>
        <v>0.036784921193312</v>
      </c>
      <c r="R58" s="270">
        <f>IFERROR(R55-R57,"")</f>
        <v>0.0480355066408809</v>
      </c>
      <c r="S58" s="269">
        <f>IFERROR(S55-S57,"")</f>
        <v>0.0445443595924542</v>
      </c>
      <c r="T58" s="269">
        <f>IFERROR(T55-T57,"")</f>
        <v>0.0417754949222451</v>
      </c>
      <c r="U58" s="269">
        <f>IFERROR(U55-U57,"")</f>
        <v>0.0418144696452886</v>
      </c>
      <c r="V58" s="269">
        <f>IFERROR(V55-V57,"")</f>
        <v>0.0331361586249577</v>
      </c>
      <c r="W58" s="270">
        <f>IFERROR(W55-W57,"")</f>
        <v>0.0401828342750067</v>
      </c>
      <c r="X58" s="269">
        <f>IFERROR(X55-X57,"")</f>
        <v>0.0430799823033278</v>
      </c>
      <c r="Y58" s="269">
        <f>IFERROR(Y55-Y57,"")</f>
        <v>0.0442271775147159</v>
      </c>
      <c r="Z58" s="269">
        <f>IFERROR(Z55-Z57,"")</f>
        <v>0.045260125472341</v>
      </c>
      <c r="AA58" s="269">
        <f>IFERROR(AA55-AA57,"")</f>
        <v>0.043226582491851</v>
      </c>
      <c r="AB58" s="270">
        <f>IFERROR(AB55-AB57,"")</f>
        <v>0.0485839104756624</v>
      </c>
      <c r="AC58" s="269">
        <f>IFERROR(AC55-AC57,"")</f>
        <v>0.0409393669272896</v>
      </c>
      <c r="AD58" s="269">
        <f>IFERROR(AD55-AD57,"")</f>
        <v>0.038188816895243</v>
      </c>
      <c r="AE58" s="269">
        <f>IFERROR(AE55-AE57,"")</f>
        <v>0.0348656281688001</v>
      </c>
      <c r="AF58" s="269">
        <f>IFERROR(AF55-AF57,"")</f>
        <v>0.0300413484059716</v>
      </c>
      <c r="AG58" s="270">
        <f>IFERROR(AG55-AG57,"")</f>
        <v>0.0358708349833758</v>
      </c>
      <c r="AH58" s="270">
        <f>IFERROR(AH55-AH57,"")</f>
        <v>0.0389043704365844</v>
      </c>
      <c r="AI58" s="270">
        <f>IFERROR(AI55-AI57,"")</f>
        <v>0.0398067319775464</v>
      </c>
    </row>
    <row r="59">
      <c r="C59" s="14" t="inlineStr">
        <is>
          <t xml:space="preserve">   Receita liquida / vendas liquidas parte Cury</t>
        </is>
      </c>
      <c r="D59" s="276">
        <f>IFERROR(D56/D32,"")</f>
        <v>1.30839529367241</v>
      </c>
      <c r="E59" s="276">
        <f>IFERROR(E56/E32,"")</f>
        <v>0.991928664163531</v>
      </c>
      <c r="F59" s="276">
        <f>IFERROR(F56/F32,"")</f>
        <v>0.897002921720764</v>
      </c>
      <c r="G59" s="276">
        <f>IFERROR(G56/G32,"")</f>
        <v>0.933040051380426</v>
      </c>
      <c r="H59" s="277">
        <f>IFERROR(H56/H32,"")</f>
        <v>0.990806673848401</v>
      </c>
      <c r="I59" s="276">
        <f>IFERROR(I56/I32,"")</f>
        <v>0.644933583802951</v>
      </c>
      <c r="J59" s="276">
        <f>IFERROR(J56/J32,"")</f>
        <v>0.729989126981157</v>
      </c>
      <c r="K59" s="276">
        <f>IFERROR(K56/K32,"")</f>
        <v>0.713674183524635</v>
      </c>
      <c r="L59" s="276">
        <f>IFERROR(L56/L32,"")</f>
        <v>0.868774729075417</v>
      </c>
      <c r="M59" s="277">
        <f>IFERROR(M56/M32,"")</f>
        <v>0.739903174725304</v>
      </c>
      <c r="N59" s="276">
        <f>IFERROR(N56/N32,"")</f>
        <v>0.632766847643976</v>
      </c>
      <c r="O59" s="276">
        <f>IFERROR(O56/O32,"")</f>
        <v>0.713513353528659</v>
      </c>
      <c r="P59" s="276">
        <f>IFERROR(P56/P32,"")</f>
        <v>0.748933544526094</v>
      </c>
      <c r="Q59" s="276">
        <f>IFERROR(Q56/Q32,"")</f>
        <v>0.806575722069022</v>
      </c>
      <c r="R59" s="277">
        <f>IFERROR(R56/R32,"")</f>
        <v>0.726229185187165</v>
      </c>
      <c r="S59" s="276">
        <f>IFERROR(S56/S32,"")</f>
        <v>0.560641444436895</v>
      </c>
      <c r="T59" s="276">
        <f>IFERROR(T56/T32,"")</f>
        <v>0.64259167853551</v>
      </c>
      <c r="U59" s="276">
        <f>IFERROR(U56/U32,"")</f>
        <v>0.860623003837955</v>
      </c>
      <c r="V59" s="276">
        <f>IFERROR(V56/V32,"")</f>
        <v>0.954498264832151</v>
      </c>
      <c r="W59" s="277">
        <f>IFERROR(W56/W32,"")</f>
        <v>0.736710476841673</v>
      </c>
      <c r="X59" s="276">
        <f>IFERROR(X56/X32,"")</f>
        <v>0.630884001739706</v>
      </c>
      <c r="Y59" s="276">
        <f>IFERROR(Y56/Y32,"")</f>
        <v>0.610330593753037</v>
      </c>
      <c r="Z59" s="276">
        <f>IFERROR(Z56/Z32,"")</f>
        <v>0.776614414920849</v>
      </c>
      <c r="AA59" s="276">
        <f>IFERROR(AA56/AA32,"")</f>
        <v>0.87911528794593</v>
      </c>
      <c r="AB59" s="277">
        <f>IFERROR(AB56/AB32,"")</f>
        <v>0.713938893580005</v>
      </c>
      <c r="AC59" s="276">
        <f>IFERROR(AC56/AC32,"")</f>
        <v>0.633679337988643</v>
      </c>
      <c r="AD59" s="276">
        <f>IFERROR(AD56/AD32,"")</f>
        <v>0.670872318407133</v>
      </c>
      <c r="AE59" s="276">
        <f>IFERROR(AE56/AE32,"")</f>
        <v>0.869168327754841</v>
      </c>
      <c r="AF59" s="276">
        <f>IFERROR(AF56/AF32,"")</f>
        <v>0.989538131546007</v>
      </c>
      <c r="AG59" s="277">
        <f>IFERROR(AG56/AG32,"")</f>
        <v>0.772293805759477</v>
      </c>
      <c r="AH59" s="277">
        <f>IFERROR(AH56/AH32,"")</f>
        <v>0.851588829124051</v>
      </c>
      <c r="AI59" s="277">
        <f>IFERROR(AI56/AI32,"")</f>
        <v>0.966734186458912</v>
      </c>
    </row>
    <row r="60">
      <c r="C60" s="14" t="inlineStr">
        <is>
          <t xml:space="preserve">   Receita do trimestre / REF do trimestre anterior (velocidade de apropriacao)</t>
        </is>
      </c>
      <c r="D60" s="269" t="str">
        <f>""</f>
        <v/>
      </c>
      <c r="E60" s="269">
        <f>IFERROR(E56/D52,"")</f>
        <v>0.383756804752196</v>
      </c>
      <c r="F60" s="269">
        <f>IFERROR(F56/E52,"")</f>
        <v>0.501801907130746</v>
      </c>
      <c r="G60" s="269">
        <f>IFERROR(G56/F52,"")</f>
        <v>0.475512161004674</v>
      </c>
      <c r="H60" s="270" t="n"/>
      <c r="I60" s="269">
        <f>IFERROR(I56/G52,"")</f>
        <v>0.435792202432764</v>
      </c>
      <c r="J60" s="269">
        <f>IFERROR(J56/I52,"")</f>
        <v>0.464037155917177</v>
      </c>
      <c r="K60" s="269">
        <f>IFERROR(K56/J52,"")</f>
        <v>0.389365422433508</v>
      </c>
      <c r="L60" s="269">
        <f>IFERROR(L56/K52,"")</f>
        <v>0.34421232533549</v>
      </c>
      <c r="M60" s="270" t="n"/>
      <c r="N60" s="269">
        <f>IFERROR(N56/L52,"")</f>
        <v>0.286775263843448</v>
      </c>
      <c r="O60" s="269">
        <f>IFERROR(O56/N52,"")</f>
        <v>0.330044114804714</v>
      </c>
      <c r="P60" s="269">
        <f>IFERROR(P56/O52,"")</f>
        <v>0.303520035957877</v>
      </c>
      <c r="Q60" s="269">
        <f>IFERROR(Q56/P52,"")</f>
        <v>0.249968456703866</v>
      </c>
      <c r="R60" s="270" t="n"/>
      <c r="S60" s="269">
        <f>IFERROR(S56/Q52,"")</f>
        <v>0.242403944916862</v>
      </c>
      <c r="T60" s="269">
        <f>IFERROR(T56/S52,"")</f>
        <v>0.249704144854248</v>
      </c>
      <c r="U60" s="269">
        <f>IFERROR(U56/T52,"")</f>
        <v>0.231645488502666</v>
      </c>
      <c r="V60" s="269">
        <f>IFERROR(V56/U52,"")</f>
        <v>0.235988547113473</v>
      </c>
      <c r="W60" s="270" t="n"/>
      <c r="X60" s="269">
        <f>IFERROR(X56/V52,"")</f>
        <v>0.239121029995857</v>
      </c>
      <c r="Y60" s="269">
        <f>IFERROR(Y56/X52,"")</f>
        <v>0.240305185671711</v>
      </c>
      <c r="Z60" s="269">
        <f>IFERROR(Z56/Y52,"")</f>
        <v>0.218248713809419</v>
      </c>
      <c r="AA60" s="269">
        <f>IFERROR(AA56/Z52,"")</f>
        <v>0.198893544388037</v>
      </c>
      <c r="AB60" s="270" t="n"/>
      <c r="AC60" s="269">
        <f>IFERROR(AC56/AA52,"")</f>
        <v>0.218529936497549</v>
      </c>
      <c r="AD60" s="269">
        <f>IFERROR(AD56/AC52,"")</f>
        <v>0.209409826500424</v>
      </c>
      <c r="AE60" s="269">
        <f>IFERROR(AE56/AD52,"")</f>
        <v>0.194525382700972</v>
      </c>
      <c r="AF60" s="269">
        <f>IFERROR(AF56/AE52,"")</f>
        <v>0.184351589059627</v>
      </c>
      <c r="AG60" s="270" t="n"/>
      <c r="AH60" s="270">
        <f>IFERROR(AH56/AF52,"")</f>
        <v>0.206679590247716</v>
      </c>
      <c r="AI60" s="270">
        <f>IFERROR(AI56/AH52,"")</f>
        <v>0.199553087317711</v>
      </c>
    </row>
    <row r="61">
      <c r="C61" s="14" t="inlineStr">
        <is>
          <t xml:space="preserve">   % YoY receita liquida</t>
        </is>
      </c>
      <c r="D61" s="269" t="str">
        <f>""</f>
        <v/>
      </c>
      <c r="E61" s="269" t="str">
        <f>""</f>
        <v/>
      </c>
      <c r="F61" s="269" t="str">
        <f>""</f>
        <v/>
      </c>
      <c r="G61" s="269" t="str">
        <f>""</f>
        <v/>
      </c>
      <c r="H61" s="270" t="str">
        <f>""</f>
        <v/>
      </c>
      <c r="I61" s="269">
        <f>IFERROR(I56/D56-1,"")</f>
        <v>0.492541384209994</v>
      </c>
      <c r="J61" s="269">
        <f>IFERROR(J56/E56-1,"")</f>
        <v>0.833183051453266</v>
      </c>
      <c r="K61" s="269">
        <f>IFERROR(K56/F56-1,"")</f>
        <v>0.400590308716224</v>
      </c>
      <c r="L61" s="269">
        <f>IFERROR(L56/G56-1,"")</f>
        <v>0.422766676610892</v>
      </c>
      <c r="M61" s="270">
        <f>IFERROR(M56/H56-1,"")</f>
        <v>0.518583834139088</v>
      </c>
      <c r="N61" s="269">
        <f>IFERROR(N56/I56-1,"")</f>
        <v>0.318574889621146</v>
      </c>
      <c r="O61" s="269">
        <f>IFERROR(O56/J56-1,"")</f>
        <v>0.335549711191416</v>
      </c>
      <c r="P61" s="269">
        <f>IFERROR(P56/K56-1,"")</f>
        <v>0.372898622033246</v>
      </c>
      <c r="Q61" s="269">
        <f>IFERROR(Q56/L56-1,"")</f>
        <v>0.181699553970397</v>
      </c>
      <c r="R61" s="270">
        <f>IFERROR(R56/M56-1,"")</f>
        <v>0.298567415929123</v>
      </c>
      <c r="S61" s="269">
        <f>IFERROR(S56/N56-1,"")</f>
        <v>0.329885062609807</v>
      </c>
      <c r="T61" s="269">
        <f>IFERROR(T56/O56-1,"")</f>
        <v>0.207310093350343</v>
      </c>
      <c r="U61" s="269">
        <f>IFERROR(U56/P56-1,"")</f>
        <v>0.199813614741031</v>
      </c>
      <c r="V61" s="269">
        <f>IFERROR(V56/Q56-1,"")</f>
        <v>0.398151178856046</v>
      </c>
      <c r="W61" s="270">
        <f>IFERROR(W56/R56-1,"")</f>
        <v>0.27859817994466</v>
      </c>
      <c r="X61" s="269">
        <f>IFERROR(X56/S56-1,"")</f>
        <v>0.407468787607823</v>
      </c>
      <c r="Y61" s="269">
        <f>IFERROR(Y56/T56-1,"")</f>
        <v>0.371474388041982</v>
      </c>
      <c r="Z61" s="269">
        <f>IFERROR(Z56/U56-1,"")</f>
        <v>0.404320404748668</v>
      </c>
      <c r="AA61" s="269">
        <f>IFERROR(AA56/V56-1,"")</f>
        <v>0.275229301277976</v>
      </c>
      <c r="AB61" s="270">
        <f>IFERROR(AB56/W56-1,"")</f>
        <v>0.360386699060209</v>
      </c>
      <c r="AC61" s="269">
        <f>IFERROR(AC56/X56-1,"")</f>
        <v>0.452364631673478</v>
      </c>
      <c r="AD61" s="269">
        <f>IFERROR(AD56/Y56-1,"")</f>
        <v>0.349182684841471</v>
      </c>
      <c r="AE61" s="269">
        <f>IFERROR(AE56/Z56-1,"")</f>
        <v>0.341948645290338</v>
      </c>
      <c r="AF61" s="269">
        <f>IFERROR(AF56/AA56-1,"")</f>
        <v>0.371743749341769</v>
      </c>
      <c r="AG61" s="270">
        <f>IFERROR(AG56/AB56-1,"")</f>
        <v>0.375190445991274</v>
      </c>
      <c r="AH61" s="270">
        <f>IFERROR(AH56/AC56-1,"")</f>
        <v>0.325926833439677</v>
      </c>
      <c r="AI61" s="270">
        <f>IFERROR(AI56/AD56-1,"")</f>
        <v>0.255454667647904</v>
      </c>
    </row>
    <row r="62"/>
    <row r="63"/>
    <row r="64"/>
    <row r="65"/>
    <row r="66" hidden="1" outlineLevel="1" customFormat="1" s="23">
      <c r="A66" s="18" t="n"/>
      <c r="B66" s="19" t="n"/>
      <c r="C66" s="20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</row>
    <row r="67" hidden="1" outlineLevel="1" customFormat="1" s="23">
      <c r="A67" s="18" t="n"/>
      <c r="B67" s="19" t="n"/>
      <c r="C67" s="20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</row>
    <row r="68" collapsed="1">
      <c r="C68" s="24" t="inlineStr">
        <is>
          <t>COGS (cash)</t>
        </is>
      </c>
      <c r="D68" s="25">
        <f>INDEX('Inputs (2)'!$D$5:$AL$5,MATCH(D$7,'Inputs (2)'!$D$2:$AL$2,0))</f>
        <v>-149.181</v>
      </c>
      <c r="E68" s="25">
        <f>INDEX('Inputs (2)'!$D$5:$AL$5,MATCH(E$7,'Inputs (2)'!$D$2:$AL$2,0))</f>
        <v>-159.137</v>
      </c>
      <c r="F68" s="25">
        <f>INDEX('Inputs (2)'!$D$5:$AL$5,MATCH(F$7,'Inputs (2)'!$D$2:$AL$2,0))</f>
        <v>-202.541</v>
      </c>
      <c r="G68" s="25">
        <f>INDEX('Inputs (2)'!$D$5:$AL$5,MATCH(G$7,'Inputs (2)'!$D$2:$AL$2,0))</f>
        <v>-205.433</v>
      </c>
      <c r="H68" s="3">
        <f>SUM(D68:G68)</f>
        <v>-716.292</v>
      </c>
      <c r="I68" s="25">
        <f>INDEX('Inputs (2)'!$D$5:$AL$5,MATCH(I$7,'Inputs (2)'!$D$2:$AL$2,0))</f>
        <v>-218.944</v>
      </c>
      <c r="J68" s="25">
        <f>INDEX('Inputs (2)'!$D$5:$AL$5,MATCH(J$7,'Inputs (2)'!$D$2:$AL$2,0))</f>
        <v>-288.421</v>
      </c>
      <c r="K68" s="25">
        <f>INDEX('Inputs (2)'!$D$5:$AL$5,MATCH(K$7,'Inputs (2)'!$D$2:$AL$2,0))</f>
        <v>-281.47773978</v>
      </c>
      <c r="L68" s="25">
        <f>INDEX('Inputs (2)'!$D$5:$AL$5,MATCH(L$7,'Inputs (2)'!$D$2:$AL$2,0))</f>
        <v>-304.781</v>
      </c>
      <c r="M68" s="3">
        <f>SUM(I68:L68)</f>
        <v>-1093.62373978</v>
      </c>
      <c r="N68" s="25">
        <f>INDEX('Inputs (2)'!$D$5:$AL$5,MATCH(N$7,'Inputs (2)'!$D$2:$AL$2,0))</f>
        <v>-281.465</v>
      </c>
      <c r="O68" s="25">
        <f>INDEX('Inputs (2)'!$D$5:$AL$5,MATCH(O$7,'Inputs (2)'!$D$2:$AL$2,0))</f>
        <v>-387.286</v>
      </c>
      <c r="P68" s="25">
        <f>INDEX('Inputs (2)'!$D$5:$AL$5,MATCH(P$7,'Inputs (2)'!$D$2:$AL$2,0))</f>
        <v>-392.916</v>
      </c>
      <c r="Q68" s="25">
        <f>INDEX('Inputs (2)'!$D$5:$AL$5,MATCH(Q$7,'Inputs (2)'!$D$2:$AL$2,0))</f>
        <v>-358.735</v>
      </c>
      <c r="R68" s="3">
        <f>SUM(N68:Q68)</f>
        <v>-1420.402</v>
      </c>
      <c r="S68" s="25">
        <f>INDEX('Inputs (2)'!$D$5:$AL$5,MATCH(S$7,'Inputs (2)'!$D$2:$AL$2,0))</f>
        <v>-371.794</v>
      </c>
      <c r="T68" s="25">
        <f>INDEX('Inputs (2)'!$D$5:$AL$5,MATCH(T$7,'Inputs (2)'!$D$2:$AL$2,0))</f>
        <v>-453.192</v>
      </c>
      <c r="U68" s="25">
        <f>INDEX('Inputs (2)'!$D$5:$AL$5,MATCH(U$7,'Inputs (2)'!$D$2:$AL$2,0))</f>
        <v>-467.971</v>
      </c>
      <c r="V68" s="25">
        <f>INDEX('Inputs (2)'!$D$5:$AL$5,MATCH(V$7,'Inputs (2)'!$D$2:$AL$2,0))</f>
        <v>-497.862</v>
      </c>
      <c r="W68" s="3">
        <f>SUM(S68:V68)</f>
        <v>-1790.819</v>
      </c>
      <c r="X68" s="25">
        <f>INDEX('Inputs (2)'!$D$5:$AL$5,MATCH(X$7,'Inputs (2)'!$D$2:$AL$2,0))</f>
        <v>-520.773</v>
      </c>
      <c r="Y68" s="25">
        <f>INDEX('Inputs (2)'!$D$5:$AL$5,MATCH(Y$7,'Inputs (2)'!$D$2:$AL$2,0))</f>
        <v>-615.554</v>
      </c>
      <c r="Z68" s="25">
        <f>INDEX('Inputs (2)'!$D$5:$AL$5,MATCH(Z$7,'Inputs (2)'!$D$2:$AL$2,0))</f>
        <v>-646.426</v>
      </c>
      <c r="AA68" s="25">
        <f>INDEX('Inputs (2)'!$D$5:$AL$5,MATCH(AA$7,'Inputs (2)'!$D$2:$AL$2,0))</f>
        <v>-630.617</v>
      </c>
      <c r="AB68" s="3">
        <f>SUM(X68:AA68)</f>
        <v>-2413.37</v>
      </c>
      <c r="AC68" s="25">
        <f>INDEX('Inputs (2)'!$D$5:$AL$5,MATCH(AC$7,'Inputs (2)'!$D$2:$AL$2,0))</f>
        <v>-741.296</v>
      </c>
      <c r="AD68" s="25">
        <f>INDEX('Inputs (2)'!$D$5:$AL$5,MATCH(AD$7,'Inputs (2)'!$D$2:$AL$2,0))</f>
        <v>-813.823</v>
      </c>
      <c r="AE68" s="25">
        <f>INDEX('Inputs (2)'!$D$5:$AL$5,MATCH(AE$7,'Inputs (2)'!$D$2:$AL$2,0))</f>
        <v>-850.699</v>
      </c>
      <c r="AF68" s="25">
        <f>INDEX('Inputs (2)'!$D$5:$AL$5,MATCH(AF$7,'Inputs (2)'!$D$2:$AL$2,0))</f>
        <v>-847.019</v>
      </c>
      <c r="AG68" s="3">
        <f>SUM(AC68:AF68)</f>
        <v>-3252.837</v>
      </c>
      <c r="AH68" s="3">
        <f>INDEX('Inputs (2)'!$D$5:$AL$5,MATCH(AH$7,'Inputs (2)'!$D$2:$AL$2,0))</f>
        <v>-982.915</v>
      </c>
      <c r="AI68" s="3">
        <f>INDEX('Inputs (2)'!$D$5:$AL$5,MATCH(AI$7,'Inputs (2)'!$D$2:$AL$2,0))</f>
        <v>-1022.232</v>
      </c>
      <c r="AJ68" s="3">
        <f>(100%-AJ69)*-AJ15</f>
        <v>-1416.926</v>
      </c>
      <c r="AK68" s="3">
        <f>(100%-AK69)*-AK15</f>
        <v>-1419.715</v>
      </c>
      <c r="AL68" s="3">
        <f>SUM(AH68:AK68)</f>
        <v>-4841.788</v>
      </c>
      <c r="AM68" s="3">
        <f>(100%-AM69)*-AM15</f>
        <v>-1612.571</v>
      </c>
      <c r="AN68" s="3">
        <f>(100%-AN69)*-AN15</f>
        <v>-1690.594</v>
      </c>
      <c r="AO68" s="3">
        <f>(100%-AO69)*-AO15</f>
        <v>-1416.926</v>
      </c>
      <c r="AP68" s="3">
        <f>(100%-AP69)*-AP15</f>
        <v>-1419.715</v>
      </c>
      <c r="AQ68" s="3">
        <f>SUM(AM68:AP68)</f>
        <v>-6139.806</v>
      </c>
      <c r="AR68" s="3">
        <f>(100%-AR69)*-AR15</f>
        <v>-1612.571</v>
      </c>
      <c r="AS68" s="3">
        <f>(100%-AS69)*-AS15</f>
        <v>-1690.594</v>
      </c>
      <c r="AT68" s="3">
        <f>(100%-AT69)*-AT15</f>
        <v>-1416.926</v>
      </c>
      <c r="AU68" s="3">
        <f>(100%-AU69)*-AU15</f>
        <v>-1419.715</v>
      </c>
      <c r="AV68" s="3">
        <f>SUM(AR68:AU68)</f>
        <v>-6139.806</v>
      </c>
      <c r="AW68" s="3">
        <f>(100%-AW69)*-AW15</f>
        <v>-1612.571</v>
      </c>
      <c r="AX68" s="3">
        <f>(100%-AX69)*-AX15</f>
        <v>-1690.594</v>
      </c>
      <c r="AY68" s="3">
        <f>(100%-AY69)*-AY15</f>
        <v>-1416.926</v>
      </c>
      <c r="AZ68" s="3">
        <f>(100%-AZ69)*-AZ15</f>
        <v>-1419.715</v>
      </c>
      <c r="BA68" s="3">
        <f>SUM(AW68:AZ68)</f>
        <v>-6139.806</v>
      </c>
      <c r="BB68" s="3">
        <f>(100%-BB69)*-BB15</f>
        <v>-1612.571</v>
      </c>
      <c r="BC68" s="3">
        <f>(100%-BC69)*-BC15</f>
        <v>-1690.594</v>
      </c>
      <c r="BD68" s="3">
        <f>(100%-BD69)*-BD15</f>
        <v>-1416.926</v>
      </c>
      <c r="BE68" s="3">
        <f>(100%-BE69)*-BE15</f>
        <v>-1419.715</v>
      </c>
      <c r="BF68" s="3">
        <f>SUM(BB68:BE68)</f>
        <v>-6139.806</v>
      </c>
      <c r="BG68" s="3">
        <f>(100%-BG69)*-BG15</f>
        <v>-1612.571</v>
      </c>
      <c r="BH68" s="3">
        <f>(100%-BH69)*-BH15</f>
        <v>-1690.594</v>
      </c>
      <c r="BI68" s="3">
        <f>(100%-BI69)*-BI15</f>
        <v>-1416.926</v>
      </c>
      <c r="BJ68" s="3">
        <f>(100%-BJ69)*-BJ15</f>
        <v>-1419.715</v>
      </c>
      <c r="BK68" s="3">
        <f>SUM(BG68:BJ68)</f>
        <v>-6139.806</v>
      </c>
      <c r="BL68" s="3">
        <f>(100%-BL69)*-BL15</f>
        <v>-1612.571</v>
      </c>
      <c r="BM68" s="3">
        <f>(100%-BM69)*-BM15</f>
        <v>-1690.594</v>
      </c>
      <c r="BN68" s="3">
        <f>(100%-BN69)*-BN15</f>
        <v>-1416.926</v>
      </c>
      <c r="BO68" s="3">
        <f>(100%-BO69)*-BO15</f>
        <v>-1419.715</v>
      </c>
      <c r="BP68" s="3">
        <f>SUM(BL68:BO68)</f>
        <v>-6139.806</v>
      </c>
      <c r="BQ68" s="3">
        <f>(100%-BQ69)*-BQ15</f>
        <v>-1612.571</v>
      </c>
      <c r="BR68" s="3">
        <f>(100%-BR69)*-BR15</f>
        <v>-1690.594</v>
      </c>
      <c r="BS68" s="3">
        <f>(100%-BS69)*-BS15</f>
        <v>-1416.926</v>
      </c>
      <c r="BT68" s="3">
        <f>(100%-BT69)*-BT15</f>
        <v>-1419.715</v>
      </c>
      <c r="BU68" s="3">
        <f>SUM(BQ68:BT68)</f>
        <v>-6139.806</v>
      </c>
      <c r="BV68" s="3">
        <f>(100%-BV69)*-BV15</f>
        <v>-1612.571</v>
      </c>
      <c r="BW68" s="3">
        <f>(100%-BW69)*-BW15</f>
        <v>-1690.594</v>
      </c>
      <c r="BX68" s="3">
        <f>(100%-BX69)*-BX15</f>
        <v>-1416.926</v>
      </c>
      <c r="BY68" s="3">
        <f>(100%-BY69)*-BY15</f>
        <v>-1419.715</v>
      </c>
      <c r="BZ68" s="3">
        <f>SUM(BV68:BY68)</f>
        <v>-6139.806</v>
      </c>
      <c r="CA68" s="3">
        <f>(100%-CA69)*-CA15</f>
        <v>-1612.571</v>
      </c>
      <c r="CB68" s="3">
        <f>(100%-CB69)*-CB15</f>
        <v>-1690.594</v>
      </c>
      <c r="CC68" s="3">
        <f>(100%-CC69)*-CC15</f>
        <v>-1416.926</v>
      </c>
      <c r="CD68" s="3">
        <f>(100%-CD69)*-CD15</f>
        <v>-1419.715</v>
      </c>
      <c r="CE68" s="3">
        <f>SUM(CA68:CD68)</f>
        <v>-6139.806</v>
      </c>
      <c r="CF68" s="3">
        <f>(100%-CF69)*-CF15</f>
        <v>-1612.571</v>
      </c>
      <c r="CG68" s="3">
        <f>(100%-CG69)*-CG15</f>
        <v>-1690.594</v>
      </c>
      <c r="CH68" s="3">
        <f>(100%-CH69)*-CH15</f>
        <v>-1416.926</v>
      </c>
      <c r="CI68" s="3">
        <f>(100%-CI69)*-CI15</f>
        <v>-1419.715</v>
      </c>
      <c r="CJ68" s="3">
        <f>SUM(CF68:CI68)</f>
        <v>-6139.806</v>
      </c>
      <c r="CK68" s="3">
        <f>(100%-CK69)*-CK15</f>
        <v>-1612.571</v>
      </c>
      <c r="CL68" s="3">
        <f>(100%-CL69)*-CL15</f>
        <v>-1690.594</v>
      </c>
      <c r="CM68" s="3">
        <f>(100%-CM69)*-CM15</f>
        <v>-1416.926</v>
      </c>
      <c r="CN68" s="3">
        <f>(100%-CN69)*-CN15</f>
        <v>-1419.715</v>
      </c>
      <c r="CO68" s="3">
        <f>SUM(CK68:CN68)</f>
        <v>-6139.806</v>
      </c>
      <c r="CP68" s="3">
        <f>(100%-CP69)*-CP15</f>
        <v>-1612.571</v>
      </c>
      <c r="CQ68" s="3">
        <f>(100%-CQ69)*-CQ15</f>
        <v>-1690.594</v>
      </c>
      <c r="CR68" s="3">
        <f>(100%-CR69)*-CR15</f>
        <v>-1416.926</v>
      </c>
      <c r="CS68" s="3">
        <f>(100%-CS69)*-CS15</f>
        <v>-1419.715</v>
      </c>
      <c r="CT68" s="3">
        <f>SUM(CP68:CS68)</f>
        <v>-6139.806</v>
      </c>
      <c r="CU68" s="3">
        <f>(100%-CU69)*-CU15</f>
        <v>-1612.571</v>
      </c>
      <c r="CV68" s="3">
        <f>(100%-CV69)*-CV15</f>
        <v>-1690.594</v>
      </c>
      <c r="CW68" s="3">
        <f>(100%-CW69)*-CW15</f>
        <v>-1416.926</v>
      </c>
      <c r="CX68" s="3">
        <f>(100%-CX69)*-CX15</f>
        <v>-1419.715</v>
      </c>
      <c r="CY68" s="3">
        <f>SUM(CU68:CX68)</f>
        <v>-6139.806</v>
      </c>
    </row>
    <row r="69" hidden="1" outlineLevel="1" customFormat="1" s="1">
      <c r="C69" s="57" t="inlineStr">
        <is>
          <t>% Gross Margin</t>
        </is>
      </c>
      <c r="D69" s="54">
        <f>(D15+D68)/D$15</f>
        <v>0.343742988989139</v>
      </c>
      <c r="E69" s="54">
        <f>(E15+E68)/E$15</f>
        <v>0.353637633832107</v>
      </c>
      <c r="F69" s="54">
        <f>(F15+F68)/F$15</f>
        <v>0.378514136324862</v>
      </c>
      <c r="G69" s="54">
        <f>(G15+G68)/G$15</f>
        <v>0.404988718614142</v>
      </c>
      <c r="H69" s="54">
        <f>(H15+H68)/H$15</f>
        <v>0.374243676409693</v>
      </c>
      <c r="I69" s="54">
        <f>(I15+I68)/I$15</f>
        <v>0.35469191183839</v>
      </c>
      <c r="J69" s="54">
        <f>(J15+J68)/J$15</f>
        <v>0.360963094095986</v>
      </c>
      <c r="K69" s="54">
        <f>(K15+K68)/K$15</f>
        <v>0.383332241175832</v>
      </c>
      <c r="L69" s="54">
        <f>(L15+L68)/L$15</f>
        <v>0.379546560319855</v>
      </c>
      <c r="M69" s="54">
        <f>(M15+M68)/M$15</f>
        <v>0.37086433855543</v>
      </c>
      <c r="N69" s="54">
        <f>(N15+N68)/N$15</f>
        <v>0.370850787037244</v>
      </c>
      <c r="O69" s="54">
        <f>(O15+O68)/O$15</f>
        <v>0.35750344651392</v>
      </c>
      <c r="P69" s="54">
        <f>(P15+P68)/P$15</f>
        <v>0.372998712218288</v>
      </c>
      <c r="Q69" s="54">
        <f>(Q15+Q68)/Q$15</f>
        <v>0.382000695978142</v>
      </c>
      <c r="R69" s="54">
        <f>(R15+R68)/R$15</f>
        <v>0.370750110530573</v>
      </c>
      <c r="S69" s="54">
        <f>(S15+S68)/S$15</f>
        <v>0.375089922616126</v>
      </c>
      <c r="T69" s="54">
        <f>(T15+T68)/T$15</f>
        <v>0.377266243991722</v>
      </c>
      <c r="U69" s="54">
        <f>(U15+U68)/U$15</f>
        <v>0.377593852161399</v>
      </c>
      <c r="V69" s="54">
        <f>(V15+V68)/V$15</f>
        <v>0.386564251179158</v>
      </c>
      <c r="W69" s="54">
        <f>(W15+W68)/W$15</f>
        <v>0.379517575529109</v>
      </c>
      <c r="X69" s="54">
        <f>(X15+X68)/X$15</f>
        <v>0.378093868748074</v>
      </c>
      <c r="Y69" s="54">
        <f>(Y15+Y68)/Y$15</f>
        <v>0.383264952383815</v>
      </c>
      <c r="Z69" s="54">
        <f>(Z15+Z68)/Z$15</f>
        <v>0.387779958176749</v>
      </c>
      <c r="AA69" s="54">
        <f>(AA15+AA68)/AA$15</f>
        <v>0.390691140138226</v>
      </c>
      <c r="AB69" s="54">
        <f>(AB15+AB68)/AB$15</f>
        <v>0.385333812154415</v>
      </c>
      <c r="AC69" s="54">
        <f>(AC15+AC68)/AC$15</f>
        <v>0.390473809884031</v>
      </c>
      <c r="AD69" s="54">
        <f>(AD15+AD68)/AD$15</f>
        <v>0.395645622787482</v>
      </c>
      <c r="AE69" s="54">
        <f>(AE15+AE68)/AE$15</f>
        <v>0.399616493733618</v>
      </c>
      <c r="AF69" s="44">
        <f>(AF15+AF68)/AF$15</f>
        <v>0.403388003930366</v>
      </c>
      <c r="AG69" s="54">
        <f>(AG15+AG68)/AG$15</f>
        <v>0.397558517352962</v>
      </c>
      <c r="AH69" s="55">
        <f>(AH15+AH68)/AH$15</f>
        <v>0.390467148423232</v>
      </c>
      <c r="AI69" s="55">
        <f>(AI15+AI68)/AI$15</f>
        <v>0.395341519016393</v>
      </c>
      <c r="AJ69" s="55" t="n"/>
      <c r="AK69" s="55" t="n"/>
      <c r="AL69" s="54">
        <f>(AL15+AL68)/AL$15</f>
        <v>0.211410262799835</v>
      </c>
      <c r="AM69" s="55" t="n"/>
      <c r="AN69" s="55" t="n"/>
      <c r="AO69" s="55" t="n"/>
      <c r="AP69" s="55" t="n"/>
      <c r="AQ69" s="54">
        <f>(AQ15+AQ68)/AQ$15</f>
        <v>0</v>
      </c>
      <c r="AR69" s="55" t="n"/>
      <c r="AS69" s="55" t="n"/>
      <c r="AT69" s="55" t="n"/>
      <c r="AU69" s="55" t="n"/>
      <c r="AV69" s="54">
        <f>(AV15+AV68)/AV$15</f>
        <v>0</v>
      </c>
      <c r="AW69" s="55" t="n"/>
      <c r="AX69" s="55" t="n"/>
      <c r="AY69" s="55" t="n"/>
      <c r="AZ69" s="55" t="n"/>
      <c r="BA69" s="54">
        <f>(BA15+BA68)/BA$15</f>
        <v>0</v>
      </c>
      <c r="BB69" s="55" t="n"/>
      <c r="BC69" s="55" t="n"/>
      <c r="BD69" s="55" t="n"/>
      <c r="BE69" s="55" t="n"/>
      <c r="BF69" s="54">
        <f>(BF15+BF68)/BF$15</f>
        <v>0</v>
      </c>
      <c r="BG69" s="55" t="n"/>
      <c r="BH69" s="55" t="n"/>
      <c r="BI69" s="55" t="n"/>
      <c r="BJ69" s="55" t="n"/>
      <c r="BK69" s="54">
        <f>(BK15+BK68)/BK$15</f>
        <v>0</v>
      </c>
      <c r="BL69" s="55" t="n"/>
      <c r="BM69" s="55" t="n"/>
      <c r="BN69" s="55" t="n"/>
      <c r="BO69" s="55" t="n"/>
      <c r="BP69" s="54">
        <f>(BP15+BP68)/BP$15</f>
        <v>0</v>
      </c>
      <c r="BQ69" s="55" t="n"/>
      <c r="BR69" s="55" t="n"/>
      <c r="BS69" s="55" t="n"/>
      <c r="BT69" s="55" t="n"/>
      <c r="BU69" s="54">
        <f>(BU15+BU68)/BU$15</f>
        <v>0</v>
      </c>
      <c r="BV69" s="55" t="n"/>
      <c r="BW69" s="55" t="n"/>
      <c r="BX69" s="55" t="n"/>
      <c r="BY69" s="55" t="n"/>
      <c r="BZ69" s="54">
        <f>(BZ15+BZ68)/BZ$15</f>
        <v>0</v>
      </c>
      <c r="CA69" s="55" t="n"/>
      <c r="CB69" s="55" t="n"/>
      <c r="CC69" s="55" t="n"/>
      <c r="CD69" s="55" t="n"/>
      <c r="CE69" s="54">
        <f>(CE15+CE68)/CE$15</f>
        <v>0</v>
      </c>
      <c r="CF69" s="55" t="n"/>
      <c r="CG69" s="55" t="n"/>
      <c r="CH69" s="55" t="n"/>
      <c r="CI69" s="55" t="n"/>
      <c r="CJ69" s="54">
        <f>(CJ15+CJ68)/CJ$15</f>
        <v>0</v>
      </c>
      <c r="CK69" s="55" t="n"/>
      <c r="CL69" s="55" t="n"/>
      <c r="CM69" s="55" t="n"/>
      <c r="CN69" s="55" t="n"/>
      <c r="CO69" s="54">
        <f>(CO15+CO68)/CO$15</f>
        <v>0</v>
      </c>
      <c r="CP69" s="55" t="n"/>
      <c r="CQ69" s="55" t="n"/>
      <c r="CR69" s="55" t="n"/>
      <c r="CS69" s="55" t="n"/>
      <c r="CT69" s="54">
        <f>(CT15+CT68)/CT$15</f>
        <v>0</v>
      </c>
      <c r="CU69" s="55" t="n"/>
      <c r="CV69" s="55" t="n"/>
      <c r="CW69" s="55" t="n"/>
      <c r="CX69" s="55" t="n"/>
      <c r="CY69" s="54">
        <f>(CY15+CY68)/CY$15</f>
        <v>0</v>
      </c>
    </row>
    <row r="70" hidden="1" outlineLevel="1"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2" t="n"/>
      <c r="CK70" s="32" t="n"/>
      <c r="CL70" s="32" t="n"/>
      <c r="CM70" s="32" t="n"/>
      <c r="CN70" s="32" t="n"/>
      <c r="CO70" s="32" t="n"/>
      <c r="CP70" s="32" t="n"/>
      <c r="CQ70" s="32" t="n"/>
      <c r="CR70" s="32" t="n"/>
      <c r="CS70" s="32" t="n"/>
      <c r="CT70" s="32" t="n"/>
      <c r="CU70" s="32" t="n"/>
      <c r="CV70" s="32" t="n"/>
      <c r="CW70" s="32" t="n"/>
      <c r="CX70" s="32" t="n"/>
      <c r="CY70" s="32" t="n"/>
    </row>
    <row r="71" hidden="1" outlineLevel="1"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  <c r="BJ71" s="32" t="n"/>
      <c r="BK71" s="32" t="n"/>
      <c r="BL71" s="32" t="n"/>
      <c r="BM71" s="32" t="n"/>
      <c r="BN71" s="32" t="n"/>
      <c r="BO71" s="32" t="n"/>
      <c r="BP71" s="32" t="n"/>
      <c r="BQ71" s="32" t="n"/>
      <c r="BR71" s="32" t="n"/>
      <c r="BS71" s="32" t="n"/>
      <c r="BT71" s="32" t="n"/>
      <c r="BU71" s="32" t="n"/>
      <c r="BV71" s="32" t="n"/>
      <c r="BW71" s="32" t="n"/>
      <c r="BX71" s="32" t="n"/>
      <c r="BY71" s="32" t="n"/>
      <c r="BZ71" s="32" t="n"/>
      <c r="CA71" s="32" t="n"/>
      <c r="CB71" s="32" t="n"/>
      <c r="CC71" s="32" t="n"/>
      <c r="CD71" s="32" t="n"/>
      <c r="CE71" s="32" t="n"/>
      <c r="CF71" s="32" t="n"/>
      <c r="CG71" s="32" t="n"/>
      <c r="CH71" s="32" t="n"/>
      <c r="CI71" s="32" t="n"/>
      <c r="CJ71" s="32" t="n"/>
      <c r="CK71" s="32" t="n"/>
      <c r="CL71" s="32" t="n"/>
      <c r="CM71" s="32" t="n"/>
      <c r="CN71" s="32" t="n"/>
      <c r="CO71" s="32" t="n"/>
      <c r="CP71" s="32" t="n"/>
      <c r="CQ71" s="32" t="n"/>
      <c r="CR71" s="32" t="n"/>
      <c r="CS71" s="32" t="n"/>
      <c r="CT71" s="32" t="n"/>
      <c r="CU71" s="32" t="n"/>
      <c r="CV71" s="32" t="n"/>
      <c r="CW71" s="32" t="n"/>
      <c r="CX71" s="32" t="n"/>
      <c r="CY71" s="32" t="n"/>
    </row>
    <row r="72" collapsed="1">
      <c r="C72" s="24" t="inlineStr">
        <is>
          <t>SG&amp;A and Other (cash)</t>
        </is>
      </c>
      <c r="D72" s="25">
        <f>INDEX('Inputs (2)'!$D$6:$AL$6,MATCH(D$7,'Inputs (2)'!$D$2:$AL$2,0))</f>
        <v>-50.676</v>
      </c>
      <c r="E72" s="25">
        <f>INDEX('Inputs (2)'!$D$6:$AL$6,MATCH(E$7,'Inputs (2)'!$D$2:$AL$2,0))</f>
        <v>-38.179</v>
      </c>
      <c r="F72" s="25">
        <f>INDEX('Inputs (2)'!$D$6:$AL$6,MATCH(F$7,'Inputs (2)'!$D$2:$AL$2,0))</f>
        <v>-55.998</v>
      </c>
      <c r="G72" s="25">
        <f>INDEX('Inputs (2)'!$D$6:$AL$6,MATCH(G$7,'Inputs (2)'!$D$2:$AL$2,0))</f>
        <v>-57.01428994</v>
      </c>
      <c r="H72" s="3">
        <f>SUM(D72:G72)</f>
        <v>-201.86728994</v>
      </c>
      <c r="I72" s="25">
        <f>INDEX('Inputs (2)'!$D$6:$AL$6,MATCH(I$7,'Inputs (2)'!$D$2:$AL$2,0))</f>
        <v>-57.16434729</v>
      </c>
      <c r="J72" s="25">
        <f>INDEX('Inputs (2)'!$D$6:$AL$6,MATCH(J$7,'Inputs (2)'!$D$2:$AL$2,0))</f>
        <v>-73.5459415</v>
      </c>
      <c r="K72" s="25">
        <f>INDEX('Inputs (2)'!$D$6:$AL$6,MATCH(K$7,'Inputs (2)'!$D$2:$AL$2,0))</f>
        <v>-87.60403964</v>
      </c>
      <c r="L72" s="25">
        <f>INDEX('Inputs (2)'!$D$6:$AL$6,MATCH(L$7,'Inputs (2)'!$D$2:$AL$2,0))</f>
        <v>-49.4742579300001</v>
      </c>
      <c r="M72" s="3">
        <f>SUM(I72:L72)</f>
        <v>-267.78858636</v>
      </c>
      <c r="N72" s="25">
        <f>INDEX('Inputs (2)'!$D$6:$AL$6,MATCH(N$7,'Inputs (2)'!$D$2:$AL$2,0))</f>
        <v>-85.60061319</v>
      </c>
      <c r="O72" s="25">
        <f>INDEX('Inputs (2)'!$D$6:$AL$6,MATCH(O$7,'Inputs (2)'!$D$2:$AL$2,0))</f>
        <v>-97.656</v>
      </c>
      <c r="P72" s="25">
        <f>INDEX('Inputs (2)'!$D$6:$AL$6,MATCH(P$7,'Inputs (2)'!$D$2:$AL$2,0))</f>
        <v>-114.534</v>
      </c>
      <c r="Q72" s="25">
        <f>INDEX('Inputs (2)'!$D$6:$AL$6,MATCH(Q$7,'Inputs (2)'!$D$2:$AL$2,0))</f>
        <v>-91.394</v>
      </c>
      <c r="R72" s="3">
        <f>SUM(N72:Q72)</f>
        <v>-389.18461319</v>
      </c>
      <c r="S72" s="25">
        <f>INDEX('Inputs (2)'!$D$6:$AL$6,MATCH(S$7,'Inputs (2)'!$D$2:$AL$2,0))</f>
        <v>-101.9949173</v>
      </c>
      <c r="T72" s="25">
        <f>INDEX('Inputs (2)'!$D$6:$AL$6,MATCH(T$7,'Inputs (2)'!$D$2:$AL$2,0))</f>
        <v>-121.084</v>
      </c>
      <c r="U72" s="25">
        <f>INDEX('Inputs (2)'!$D$6:$AL$6,MATCH(U$7,'Inputs (2)'!$D$2:$AL$2,0))</f>
        <v>-141.70210615</v>
      </c>
      <c r="V72" s="25">
        <f>INDEX('Inputs (2)'!$D$6:$AL$6,MATCH(V$7,'Inputs (2)'!$D$2:$AL$2,0))</f>
        <v>-124.40697655</v>
      </c>
      <c r="W72" s="3">
        <f>SUM(S72:V72)</f>
        <v>-489.188</v>
      </c>
      <c r="X72" s="25">
        <f>INDEX('Inputs (2)'!$D$6:$AL$6,MATCH(X$7,'Inputs (2)'!$D$2:$AL$2,0))</f>
        <v>-131.618</v>
      </c>
      <c r="Y72" s="25">
        <f>INDEX('Inputs (2)'!$D$6:$AL$6,MATCH(Y$7,'Inputs (2)'!$D$2:$AL$2,0))</f>
        <v>-176.387159820001</v>
      </c>
      <c r="Z72" s="25">
        <f>INDEX('Inputs (2)'!$D$6:$AL$6,MATCH(Z$7,'Inputs (2)'!$D$2:$AL$2,0))</f>
        <v>-193.441801055</v>
      </c>
      <c r="AA72" s="25">
        <f>INDEX('Inputs (2)'!$D$6:$AL$6,MATCH(AA$7,'Inputs (2)'!$D$2:$AL$2,0))</f>
        <v>-169.22181269</v>
      </c>
      <c r="AB72" s="3">
        <f>SUM(X72:AA72)</f>
        <v>-670.668773565001</v>
      </c>
      <c r="AC72" s="25">
        <f>INDEX('Inputs (2)'!$D$6:$AL$6,MATCH(AC$7,'Inputs (2)'!$D$2:$AL$2,0))</f>
        <v>-187.796</v>
      </c>
      <c r="AD72" s="25">
        <f>INDEX('Inputs (2)'!$D$6:$AL$6,MATCH(AD$7,'Inputs (2)'!$D$2:$AL$2,0))</f>
        <v>-210.88850213</v>
      </c>
      <c r="AE72" s="25">
        <f>INDEX('Inputs (2)'!$D$6:$AL$6,MATCH(AE$7,'Inputs (2)'!$D$2:$AL$2,0))</f>
        <v>-231.513</v>
      </c>
      <c r="AF72" s="25">
        <f>INDEX('Inputs (2)'!$D$6:$AL$6,MATCH(AF$7,'Inputs (2)'!$D$2:$AL$2,0))</f>
        <v>-220.841</v>
      </c>
      <c r="AG72" s="3">
        <f>SUM(AC72:AF72)</f>
        <v>-851.03850213</v>
      </c>
      <c r="AH72" s="3">
        <f>INDEX('Inputs (2)'!$D$6:$AL$6,MATCH(AH$7,'Inputs (2)'!$D$2:$AL$2,0))</f>
        <v>-220.444</v>
      </c>
      <c r="AI72" s="3">
        <f>INDEX('Inputs (2)'!$D$6:$AL$6,MATCH(AI$7,'Inputs (2)'!$D$2:$AL$2,0))</f>
        <v>-282.4</v>
      </c>
      <c r="AJ72" s="3">
        <f>-AJ15*AJ73</f>
        <v>0</v>
      </c>
      <c r="AK72" s="3">
        <f>-AK15*AK73</f>
        <v>0</v>
      </c>
      <c r="AL72" s="3">
        <f>SUM(AH72:AK72)</f>
        <v>-502.844</v>
      </c>
      <c r="AM72" s="3">
        <f>-AM15*AM73</f>
        <v>0</v>
      </c>
      <c r="AN72" s="3">
        <f>-AN15*AN73</f>
        <v>0</v>
      </c>
      <c r="AO72" s="3">
        <f>-AO15*AO73</f>
        <v>0</v>
      </c>
      <c r="AP72" s="3">
        <f>-AP15*AP73</f>
        <v>0</v>
      </c>
      <c r="AQ72" s="3">
        <f>SUM(AM72:AP72)</f>
        <v>0</v>
      </c>
      <c r="AR72" s="3">
        <f>-AR15*AR73</f>
        <v>0</v>
      </c>
      <c r="AS72" s="3">
        <f>-AS15*AS73</f>
        <v>0</v>
      </c>
      <c r="AT72" s="3">
        <f>-AT15*AT73</f>
        <v>0</v>
      </c>
      <c r="AU72" s="3">
        <f>-AU15*AU73</f>
        <v>0</v>
      </c>
      <c r="AV72" s="3">
        <f>SUM(AR72:AU72)</f>
        <v>0</v>
      </c>
      <c r="AW72" s="3">
        <f>-AW15*AW73</f>
        <v>0</v>
      </c>
      <c r="AX72" s="3">
        <f>-AX15*AX73</f>
        <v>0</v>
      </c>
      <c r="AY72" s="3">
        <f>-AY15*AY73</f>
        <v>0</v>
      </c>
      <c r="AZ72" s="3">
        <f>-AZ15*AZ73</f>
        <v>0</v>
      </c>
      <c r="BA72" s="3">
        <f>SUM(AW72:AZ72)</f>
        <v>0</v>
      </c>
      <c r="BB72" s="3">
        <f>-BB15*BB73</f>
        <v>0</v>
      </c>
      <c r="BC72" s="3">
        <f>-BC15*BC73</f>
        <v>0</v>
      </c>
      <c r="BD72" s="3">
        <f>-BD15*BD73</f>
        <v>0</v>
      </c>
      <c r="BE72" s="3">
        <f>-BE15*BE73</f>
        <v>0</v>
      </c>
      <c r="BF72" s="3">
        <f>SUM(BB72:BE72)</f>
        <v>0</v>
      </c>
      <c r="BG72" s="3">
        <f>-BG15*BG73</f>
        <v>0</v>
      </c>
      <c r="BH72" s="3">
        <f>-BH15*BH73</f>
        <v>0</v>
      </c>
      <c r="BI72" s="3">
        <f>-BI15*BI73</f>
        <v>0</v>
      </c>
      <c r="BJ72" s="3">
        <f>-BJ15*BJ73</f>
        <v>0</v>
      </c>
      <c r="BK72" s="3">
        <f>SUM(BG72:BJ72)</f>
        <v>0</v>
      </c>
      <c r="BL72" s="3">
        <f>-BL15*BL73</f>
        <v>0</v>
      </c>
      <c r="BM72" s="3">
        <f>-BM15*BM73</f>
        <v>0</v>
      </c>
      <c r="BN72" s="3">
        <f>-BN15*BN73</f>
        <v>0</v>
      </c>
      <c r="BO72" s="3">
        <f>-BO15*BO73</f>
        <v>0</v>
      </c>
      <c r="BP72" s="3">
        <f>SUM(BL72:BO72)</f>
        <v>0</v>
      </c>
      <c r="BQ72" s="3">
        <f>-BQ15*BQ73</f>
        <v>0</v>
      </c>
      <c r="BR72" s="3">
        <f>-BR15*BR73</f>
        <v>0</v>
      </c>
      <c r="BS72" s="3">
        <f>-BS15*BS73</f>
        <v>0</v>
      </c>
      <c r="BT72" s="3">
        <f>-BT15*BT73</f>
        <v>0</v>
      </c>
      <c r="BU72" s="3">
        <f>SUM(BQ72:BT72)</f>
        <v>0</v>
      </c>
      <c r="BV72" s="3">
        <f>-BV15*BV73</f>
        <v>0</v>
      </c>
      <c r="BW72" s="3">
        <f>-BW15*BW73</f>
        <v>0</v>
      </c>
      <c r="BX72" s="3">
        <f>-BX15*BX73</f>
        <v>0</v>
      </c>
      <c r="BY72" s="3">
        <f>-BY15*BY73</f>
        <v>0</v>
      </c>
      <c r="BZ72" s="3">
        <f>SUM(BV72:BY72)</f>
        <v>0</v>
      </c>
      <c r="CA72" s="3">
        <f>-CA15*CA73</f>
        <v>0</v>
      </c>
      <c r="CB72" s="3">
        <f>-CB15*CB73</f>
        <v>0</v>
      </c>
      <c r="CC72" s="3">
        <f>-CC15*CC73</f>
        <v>0</v>
      </c>
      <c r="CD72" s="3">
        <f>-CD15*CD73</f>
        <v>0</v>
      </c>
      <c r="CE72" s="3">
        <f>SUM(CA72:CD72)</f>
        <v>0</v>
      </c>
      <c r="CF72" s="3">
        <f>-CF15*CF73</f>
        <v>0</v>
      </c>
      <c r="CG72" s="3">
        <f>-CG15*CG73</f>
        <v>0</v>
      </c>
      <c r="CH72" s="3">
        <f>-CH15*CH73</f>
        <v>0</v>
      </c>
      <c r="CI72" s="3">
        <f>-CI15*CI73</f>
        <v>0</v>
      </c>
      <c r="CJ72" s="3">
        <f>SUM(CF72:CI72)</f>
        <v>0</v>
      </c>
      <c r="CK72" s="3">
        <f>-CK15*CK73</f>
        <v>0</v>
      </c>
      <c r="CL72" s="3">
        <f>-CL15*CL73</f>
        <v>0</v>
      </c>
      <c r="CM72" s="3">
        <f>-CM15*CM73</f>
        <v>0</v>
      </c>
      <c r="CN72" s="3">
        <f>-CN15*CN73</f>
        <v>0</v>
      </c>
      <c r="CO72" s="3">
        <f>SUM(CK72:CN72)</f>
        <v>0</v>
      </c>
      <c r="CP72" s="3">
        <f>-CP15*CP73</f>
        <v>0</v>
      </c>
      <c r="CQ72" s="3">
        <f>-CQ15*CQ73</f>
        <v>0</v>
      </c>
      <c r="CR72" s="3">
        <f>-CR15*CR73</f>
        <v>0</v>
      </c>
      <c r="CS72" s="3">
        <f>-CS15*CS73</f>
        <v>0</v>
      </c>
      <c r="CT72" s="3">
        <f>SUM(CP72:CS72)</f>
        <v>0</v>
      </c>
      <c r="CU72" s="3">
        <f>-CU15*CU73</f>
        <v>0</v>
      </c>
      <c r="CV72" s="3">
        <f>-CV15*CV73</f>
        <v>0</v>
      </c>
      <c r="CW72" s="3">
        <f>-CW15*CW73</f>
        <v>0</v>
      </c>
      <c r="CX72" s="3">
        <f>-CX15*CX73</f>
        <v>0</v>
      </c>
      <c r="CY72" s="3">
        <f>SUM(CU72:CX72)</f>
        <v>0</v>
      </c>
    </row>
    <row r="73" hidden="1" outlineLevel="1">
      <c r="C73" s="33" t="inlineStr">
        <is>
          <t>% SG&amp;A and Other Margin</t>
        </is>
      </c>
      <c r="D73" s="56">
        <f>-(D72/D$15)</f>
        <v>0.222927050294517</v>
      </c>
      <c r="E73" s="56">
        <f>-(E72/E$15)</f>
        <v>0.155070591866907</v>
      </c>
      <c r="F73" s="56">
        <f>-(F72/F$15)</f>
        <v>0.17182676788443</v>
      </c>
      <c r="G73" s="56">
        <f>-(G72/G$15)</f>
        <v>0.165134840626892</v>
      </c>
      <c r="H73" s="56">
        <f>-(H72/H$15)</f>
        <v>0.176352288181346</v>
      </c>
      <c r="I73" s="56">
        <f>-(I72/I$15)</f>
        <v>0.168484250131158</v>
      </c>
      <c r="J73" s="56">
        <f>-(J72/J$15)</f>
        <v>0.162951279199357</v>
      </c>
      <c r="K73" s="56">
        <f>-(K72/K$15)</f>
        <v>0.191924899038076</v>
      </c>
      <c r="L73" s="56">
        <f>-(L72/L$15)</f>
        <v>0.100716493181305</v>
      </c>
      <c r="M73" s="56">
        <f>-(M72/M$15)</f>
        <v>0.154052388658641</v>
      </c>
      <c r="N73" s="56">
        <f>-(N72/N$15)</f>
        <v>0.191340161006227</v>
      </c>
      <c r="O73" s="56">
        <f>-(O72/O$15)</f>
        <v>0.16200855034067</v>
      </c>
      <c r="P73" s="56">
        <f>-(P72/P$15)</f>
        <v>0.182769257283467</v>
      </c>
      <c r="Q73" s="56">
        <f>-(Q72/Q$15)</f>
        <v>0.157446104761938</v>
      </c>
      <c r="R73" s="56">
        <f>-(R72/R$15)</f>
        <v>0.172412017747799</v>
      </c>
      <c r="S73" s="56">
        <f>-(S72/S$15)</f>
        <v>0.171432706452242</v>
      </c>
      <c r="T73" s="56">
        <f>-(T72/T$15)</f>
        <v>0.166382226765932</v>
      </c>
      <c r="U73" s="56">
        <f>-(U72/U$15)</f>
        <v>0.188465229745942</v>
      </c>
      <c r="V73" s="56">
        <f>-(V72/V$15)</f>
        <v>0.153286828113988</v>
      </c>
      <c r="W73" s="56">
        <f>-(W72/W$15)</f>
        <v>0.169493710007581</v>
      </c>
      <c r="X73" s="56">
        <f>-(X72/X$15)</f>
        <v>0.15717796656723</v>
      </c>
      <c r="Y73" s="56">
        <f>-(Y72/Y$15)</f>
        <v>0.176725589323556</v>
      </c>
      <c r="Z73" s="56">
        <f>-(Z72/Z$15)</f>
        <v>0.183205730481535</v>
      </c>
      <c r="AA73" s="56">
        <f>-(AA72/AA$15)</f>
        <v>0.163503917201545</v>
      </c>
      <c r="AB73" s="56">
        <f>-(AB72/AB$15)</f>
        <v>0.170814014574754</v>
      </c>
      <c r="AC73" s="56">
        <f>-(AC72/AC$15)</f>
        <v>0.154414134703302</v>
      </c>
      <c r="AD73" s="56">
        <f>-(AD72/AD$15)</f>
        <v>0.15660824204533</v>
      </c>
      <c r="AE73" s="56">
        <f>-(AE72/AE$15)</f>
        <v>0.163391031006559</v>
      </c>
      <c r="AF73" s="44">
        <f>-(AF72/AF$15)</f>
        <v>0.155553051140546</v>
      </c>
      <c r="AG73" s="56">
        <f>-(AG72/AG$15)</f>
        <v>0.157616535047072</v>
      </c>
      <c r="AH73" s="45">
        <f>-(AH72/AH$15)</f>
        <v>0.136703438174195</v>
      </c>
      <c r="AI73" s="45">
        <f>-(AI72/AI$15)</f>
        <v>0.16704187995462</v>
      </c>
      <c r="AJ73" s="45" t="n"/>
      <c r="AK73" s="45" t="n"/>
      <c r="AL73" s="56">
        <f>-(AL72/AL$15)</f>
        <v>0.0818990046265306</v>
      </c>
      <c r="AM73" s="45" t="n"/>
      <c r="AN73" s="45" t="n"/>
      <c r="AO73" s="45" t="n"/>
      <c r="AP73" s="45" t="n"/>
      <c r="AQ73" s="56">
        <f>-(AQ72/AQ$15)</f>
        <v>0</v>
      </c>
      <c r="AR73" s="45" t="n"/>
      <c r="AS73" s="45" t="n"/>
      <c r="AT73" s="45" t="n"/>
      <c r="AU73" s="45" t="n"/>
      <c r="AV73" s="56">
        <f>-(AV72/AV$15)</f>
        <v>0</v>
      </c>
      <c r="AW73" s="45" t="n"/>
      <c r="AX73" s="45" t="n"/>
      <c r="AY73" s="45" t="n"/>
      <c r="AZ73" s="45" t="n"/>
      <c r="BA73" s="56">
        <f>-(BA72/BA$15)</f>
        <v>0</v>
      </c>
      <c r="BB73" s="45" t="n"/>
      <c r="BC73" s="45" t="n"/>
      <c r="BD73" s="45" t="n"/>
      <c r="BE73" s="45" t="n"/>
      <c r="BF73" s="56">
        <f>-(BF72/BF$15)</f>
        <v>0</v>
      </c>
      <c r="BG73" s="45" t="n"/>
      <c r="BH73" s="45" t="n"/>
      <c r="BI73" s="45" t="n"/>
      <c r="BJ73" s="45" t="n"/>
      <c r="BK73" s="56">
        <f>-(BK72/BK$15)</f>
        <v>0</v>
      </c>
      <c r="BL73" s="45" t="n"/>
      <c r="BM73" s="45" t="n"/>
      <c r="BN73" s="45" t="n"/>
      <c r="BO73" s="45" t="n"/>
      <c r="BP73" s="56">
        <f>-(BP72/BP$15)</f>
        <v>0</v>
      </c>
      <c r="BQ73" s="45" t="n"/>
      <c r="BR73" s="45" t="n"/>
      <c r="BS73" s="45" t="n"/>
      <c r="BT73" s="45" t="n"/>
      <c r="BU73" s="56">
        <f>-(BU72/BU$15)</f>
        <v>0</v>
      </c>
      <c r="BV73" s="45" t="n"/>
      <c r="BW73" s="45" t="n"/>
      <c r="BX73" s="45" t="n"/>
      <c r="BY73" s="45" t="n"/>
      <c r="BZ73" s="56">
        <f>-(BZ72/BZ$15)</f>
        <v>0</v>
      </c>
      <c r="CA73" s="45" t="n"/>
      <c r="CB73" s="45" t="n"/>
      <c r="CC73" s="45" t="n"/>
      <c r="CD73" s="45" t="n"/>
      <c r="CE73" s="56">
        <f>-(CE72/CE$15)</f>
        <v>0</v>
      </c>
      <c r="CF73" s="45" t="n"/>
      <c r="CG73" s="45" t="n"/>
      <c r="CH73" s="45" t="n"/>
      <c r="CI73" s="45" t="n"/>
      <c r="CJ73" s="56">
        <f>-(CJ72/CJ$15)</f>
        <v>0</v>
      </c>
      <c r="CK73" s="45" t="n"/>
      <c r="CL73" s="45" t="n"/>
      <c r="CM73" s="45" t="n"/>
      <c r="CN73" s="45" t="n"/>
      <c r="CO73" s="56">
        <f>-(CO72/CO$15)</f>
        <v>0</v>
      </c>
      <c r="CP73" s="45" t="n"/>
      <c r="CQ73" s="45" t="n"/>
      <c r="CR73" s="45" t="n"/>
      <c r="CS73" s="45" t="n"/>
      <c r="CT73" s="56">
        <f>-(CT72/CT$15)</f>
        <v>0</v>
      </c>
      <c r="CU73" s="45" t="n"/>
      <c r="CV73" s="45" t="n"/>
      <c r="CW73" s="45" t="n"/>
      <c r="CX73" s="45" t="n"/>
      <c r="CY73" s="56">
        <f>-(CY72/CY$15)</f>
        <v>0</v>
      </c>
    </row>
    <row r="74" hidden="1" outlineLevel="1"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s="32" t="n"/>
      <c r="BM74" s="32" t="n"/>
      <c r="BN74" s="32" t="n"/>
      <c r="BO74" s="32" t="n"/>
      <c r="BP74" s="32" t="n"/>
      <c r="BQ74" s="32" t="n"/>
      <c r="BR74" s="32" t="n"/>
      <c r="BS74" s="32" t="n"/>
      <c r="BT74" s="32" t="n"/>
      <c r="BU74" s="32" t="n"/>
      <c r="BV74" s="32" t="n"/>
      <c r="BW74" s="32" t="n"/>
      <c r="BX74" s="32" t="n"/>
      <c r="BY74" s="32" t="n"/>
      <c r="BZ74" s="32" t="n"/>
      <c r="CA74" s="32" t="n"/>
      <c r="CB74" s="32" t="n"/>
      <c r="CC74" s="32" t="n"/>
      <c r="CD74" s="32" t="n"/>
      <c r="CE74" s="32" t="n"/>
      <c r="CF74" s="32" t="n"/>
      <c r="CG74" s="32" t="n"/>
      <c r="CH74" s="32" t="n"/>
      <c r="CI74" s="32" t="n"/>
      <c r="CJ74" s="32" t="n"/>
      <c r="CK74" s="32" t="n"/>
      <c r="CL74" s="32" t="n"/>
      <c r="CM74" s="32" t="n"/>
      <c r="CN74" s="32" t="n"/>
      <c r="CO74" s="32" t="n"/>
      <c r="CP74" s="32" t="n"/>
      <c r="CQ74" s="32" t="n"/>
      <c r="CR74" s="32" t="n"/>
      <c r="CS74" s="32" t="n"/>
      <c r="CT74" s="32" t="n"/>
      <c r="CU74" s="32" t="n"/>
      <c r="CV74" s="32" t="n"/>
      <c r="CW74" s="32" t="n"/>
      <c r="CX74" s="32" t="n"/>
      <c r="CY74" s="32" t="n"/>
    </row>
    <row r="75" hidden="1" outlineLevel="1">
      <c r="C75" s="32" t="inlineStr">
        <is>
          <t>Com Vendas</t>
        </is>
      </c>
      <c r="D75" s="6" t="n"/>
      <c r="E75" s="6" t="n"/>
      <c r="F75" s="6" t="n"/>
      <c r="G75" s="6" t="n"/>
      <c r="H75" s="32" t="n"/>
      <c r="I75" s="6" t="n"/>
      <c r="J75" s="6" t="n"/>
      <c r="K75" s="6" t="n"/>
      <c r="L75" s="6" t="n"/>
      <c r="M75" s="32" t="n"/>
      <c r="N75" s="6" t="n"/>
      <c r="O75" s="6" t="n"/>
      <c r="P75" s="6" t="n"/>
      <c r="Q75" s="6" t="n"/>
      <c r="R75" s="32" t="n"/>
      <c r="S75" s="6" t="n"/>
      <c r="T75" s="6" t="n"/>
      <c r="U75" s="6" t="n"/>
      <c r="V75" s="6" t="n"/>
      <c r="W75" s="32" t="n"/>
      <c r="X75" s="6" t="n"/>
      <c r="Y75" s="6" t="n"/>
      <c r="Z75" s="6" t="n"/>
      <c r="AA75" s="6" t="n"/>
      <c r="AB75" s="32" t="n"/>
      <c r="AC75" s="6" t="n"/>
      <c r="AD75" s="6" t="n"/>
      <c r="AE75" s="6" t="n"/>
      <c r="AF75" s="6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  <c r="AV75" s="32" t="n"/>
      <c r="AW75" s="32" t="n"/>
      <c r="AX75" s="32" t="n"/>
      <c r="AY75" s="32" t="n"/>
      <c r="AZ75" s="32" t="n"/>
      <c r="BA75" s="32" t="n"/>
      <c r="BB75" s="32" t="n"/>
      <c r="BC75" s="32" t="n"/>
      <c r="BD75" s="32" t="n"/>
      <c r="BE75" s="32" t="n"/>
      <c r="BF75" s="32" t="n"/>
      <c r="BG75" s="32" t="n"/>
      <c r="BH75" s="32" t="n"/>
      <c r="BI75" s="32" t="n"/>
      <c r="BJ75" s="32" t="n"/>
      <c r="BK75" s="32" t="n"/>
      <c r="BL75" s="32" t="n"/>
      <c r="BM75" s="32" t="n"/>
      <c r="BN75" s="32" t="n"/>
      <c r="BO75" s="32" t="n"/>
      <c r="BP75" s="32" t="n"/>
      <c r="BQ75" s="32" t="n"/>
      <c r="BR75" s="32" t="n"/>
      <c r="BS75" s="32" t="n"/>
      <c r="BT75" s="32" t="n"/>
      <c r="BU75" s="32" t="n"/>
      <c r="BV75" s="32" t="n"/>
      <c r="BW75" s="32" t="n"/>
      <c r="BX75" s="32" t="n"/>
      <c r="BY75" s="32" t="n"/>
      <c r="BZ75" s="32" t="n"/>
      <c r="CA75" s="32" t="n"/>
      <c r="CB75" s="32" t="n"/>
      <c r="CC75" s="32" t="n"/>
      <c r="CD75" s="32" t="n"/>
      <c r="CE75" s="32" t="n"/>
      <c r="CF75" s="32" t="n"/>
      <c r="CG75" s="32" t="n"/>
      <c r="CH75" s="32" t="n"/>
      <c r="CI75" s="32" t="n"/>
      <c r="CJ75" s="32" t="n"/>
      <c r="CK75" s="32" t="n"/>
      <c r="CL75" s="32" t="n"/>
      <c r="CM75" s="32" t="n"/>
      <c r="CN75" s="32" t="n"/>
      <c r="CO75" s="32" t="n"/>
      <c r="CP75" s="32" t="n"/>
      <c r="CQ75" s="32" t="n"/>
      <c r="CR75" s="32" t="n"/>
      <c r="CS75" s="32" t="n"/>
      <c r="CT75" s="32" t="n"/>
      <c r="CU75" s="32" t="n"/>
      <c r="CV75" s="32" t="n"/>
      <c r="CW75" s="32" t="n"/>
      <c r="CX75" s="32" t="n"/>
      <c r="CY75" s="32" t="n"/>
    </row>
    <row r="76" hidden="1" outlineLevel="1">
      <c r="C76" s="32" t="inlineStr">
        <is>
          <t>Gerais &amp; Administrativas</t>
        </is>
      </c>
      <c r="D76" s="6" t="n"/>
      <c r="E76" s="6" t="n"/>
      <c r="F76" s="6" t="n"/>
      <c r="G76" s="6" t="n"/>
      <c r="H76" s="32" t="n"/>
      <c r="I76" s="6" t="n"/>
      <c r="J76" s="6" t="n"/>
      <c r="K76" s="6" t="n"/>
      <c r="L76" s="6" t="n"/>
      <c r="M76" s="32" t="n"/>
      <c r="N76" s="6" t="n"/>
      <c r="O76" s="6" t="n"/>
      <c r="P76" s="6" t="n"/>
      <c r="Q76" s="6" t="n"/>
      <c r="R76" s="32" t="n"/>
      <c r="S76" s="6" t="n"/>
      <c r="T76" s="6" t="n"/>
      <c r="U76" s="6" t="n"/>
      <c r="V76" s="6" t="n"/>
      <c r="W76" s="32" t="n"/>
      <c r="X76" s="6" t="n"/>
      <c r="Y76" s="6" t="n"/>
      <c r="Z76" s="6" t="n"/>
      <c r="AA76" s="6" t="n"/>
      <c r="AB76" s="32" t="n"/>
      <c r="AC76" s="6" t="n"/>
      <c r="AD76" s="6" t="n"/>
      <c r="AE76" s="6" t="n"/>
      <c r="AF76" s="6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  <c r="AV76" s="32" t="n"/>
      <c r="AW76" s="32" t="n"/>
      <c r="AX76" s="32" t="n"/>
      <c r="AY76" s="32" t="n"/>
      <c r="AZ76" s="32" t="n"/>
      <c r="BA76" s="32" t="n"/>
      <c r="BB76" s="32" t="n"/>
      <c r="BC76" s="32" t="n"/>
      <c r="BD76" s="32" t="n"/>
      <c r="BE76" s="32" t="n"/>
      <c r="BF76" s="32" t="n"/>
      <c r="BG76" s="32" t="n"/>
      <c r="BH76" s="32" t="n"/>
      <c r="BI76" s="32" t="n"/>
      <c r="BJ76" s="32" t="n"/>
      <c r="BK76" s="32" t="n"/>
      <c r="BL76" s="32" t="n"/>
      <c r="BM76" s="32" t="n"/>
      <c r="BN76" s="32" t="n"/>
      <c r="BO76" s="32" t="n"/>
      <c r="BP76" s="32" t="n"/>
      <c r="BQ76" s="32" t="n"/>
      <c r="BR76" s="32" t="n"/>
      <c r="BS76" s="32" t="n"/>
      <c r="BT76" s="32" t="n"/>
      <c r="BU76" s="32" t="n"/>
      <c r="BV76" s="32" t="n"/>
      <c r="BW76" s="32" t="n"/>
      <c r="BX76" s="32" t="n"/>
      <c r="BY76" s="32" t="n"/>
      <c r="BZ76" s="32" t="n"/>
      <c r="CA76" s="32" t="n"/>
      <c r="CB76" s="32" t="n"/>
      <c r="CC76" s="32" t="n"/>
      <c r="CD76" s="32" t="n"/>
      <c r="CE76" s="32" t="n"/>
      <c r="CF76" s="32" t="n"/>
      <c r="CG76" s="32" t="n"/>
      <c r="CH76" s="32" t="n"/>
      <c r="CI76" s="32" t="n"/>
      <c r="CJ76" s="32" t="n"/>
      <c r="CK76" s="32" t="n"/>
      <c r="CL76" s="32" t="n"/>
      <c r="CM76" s="32" t="n"/>
      <c r="CN76" s="32" t="n"/>
      <c r="CO76" s="32" t="n"/>
      <c r="CP76" s="32" t="n"/>
      <c r="CQ76" s="32" t="n"/>
      <c r="CR76" s="32" t="n"/>
      <c r="CS76" s="32" t="n"/>
      <c r="CT76" s="32" t="n"/>
      <c r="CU76" s="32" t="n"/>
      <c r="CV76" s="32" t="n"/>
      <c r="CW76" s="32" t="n"/>
      <c r="CX76" s="32" t="n"/>
      <c r="CY76" s="32" t="n"/>
    </row>
    <row r="77" hidden="1" outlineLevel="1">
      <c r="C77" s="32" t="inlineStr">
        <is>
          <t>Outras Receitas (Despesas) Operacionais, Líquidas</t>
        </is>
      </c>
      <c r="D77" s="6" t="n"/>
      <c r="E77" s="6" t="n"/>
      <c r="F77" s="6" t="n"/>
      <c r="G77" s="6" t="n"/>
      <c r="H77" s="32" t="n"/>
      <c r="I77" s="6" t="n"/>
      <c r="J77" s="6" t="n"/>
      <c r="K77" s="6" t="n"/>
      <c r="L77" s="6" t="n"/>
      <c r="M77" s="32" t="n"/>
      <c r="N77" s="6" t="n"/>
      <c r="O77" s="6" t="n"/>
      <c r="P77" s="6" t="n"/>
      <c r="Q77" s="6" t="n"/>
      <c r="R77" s="32" t="n"/>
      <c r="S77" s="6" t="n"/>
      <c r="T77" s="6" t="n"/>
      <c r="U77" s="6" t="n"/>
      <c r="V77" s="6" t="n"/>
      <c r="W77" s="32" t="n"/>
      <c r="X77" s="6" t="n"/>
      <c r="Y77" s="6" t="n"/>
      <c r="Z77" s="6" t="n"/>
      <c r="AA77" s="6" t="n"/>
      <c r="AB77" s="32" t="n"/>
      <c r="AC77" s="6" t="n"/>
      <c r="AD77" s="6" t="n"/>
      <c r="AE77" s="6" t="n"/>
      <c r="AF77" s="6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  <c r="AV77" s="32" t="n"/>
      <c r="AW77" s="32" t="n"/>
      <c r="AX77" s="32" t="n"/>
      <c r="AY77" s="32" t="n"/>
      <c r="AZ77" s="32" t="n"/>
      <c r="BA77" s="32" t="n"/>
      <c r="BB77" s="32" t="n"/>
      <c r="BC77" s="32" t="n"/>
      <c r="BD77" s="32" t="n"/>
      <c r="BE77" s="32" t="n"/>
      <c r="BF77" s="32" t="n"/>
      <c r="BG77" s="32" t="n"/>
      <c r="BH77" s="32" t="n"/>
      <c r="BI77" s="32" t="n"/>
      <c r="BJ77" s="32" t="n"/>
      <c r="BK77" s="32" t="n"/>
      <c r="BL77" s="32" t="n"/>
      <c r="BM77" s="32" t="n"/>
      <c r="BN77" s="32" t="n"/>
      <c r="BO77" s="32" t="n"/>
      <c r="BP77" s="32" t="n"/>
      <c r="BQ77" s="32" t="n"/>
      <c r="BR77" s="32" t="n"/>
      <c r="BS77" s="32" t="n"/>
      <c r="BT77" s="32" t="n"/>
      <c r="BU77" s="32" t="n"/>
      <c r="BV77" s="32" t="n"/>
      <c r="BW77" s="32" t="n"/>
      <c r="BX77" s="32" t="n"/>
      <c r="BY77" s="32" t="n"/>
      <c r="BZ77" s="32" t="n"/>
      <c r="CA77" s="32" t="n"/>
      <c r="CB77" s="32" t="n"/>
      <c r="CC77" s="32" t="n"/>
      <c r="CD77" s="32" t="n"/>
      <c r="CE77" s="32" t="n"/>
      <c r="CF77" s="32" t="n"/>
      <c r="CG77" s="32" t="n"/>
      <c r="CH77" s="32" t="n"/>
      <c r="CI77" s="32" t="n"/>
      <c r="CJ77" s="32" t="n"/>
      <c r="CK77" s="32" t="n"/>
      <c r="CL77" s="32" t="n"/>
      <c r="CM77" s="32" t="n"/>
      <c r="CN77" s="32" t="n"/>
      <c r="CO77" s="32" t="n"/>
      <c r="CP77" s="32" t="n"/>
      <c r="CQ77" s="32" t="n"/>
      <c r="CR77" s="32" t="n"/>
      <c r="CS77" s="32" t="n"/>
      <c r="CT77" s="32" t="n"/>
      <c r="CU77" s="32" t="n"/>
      <c r="CV77" s="32" t="n"/>
      <c r="CW77" s="32" t="n"/>
      <c r="CX77" s="32" t="n"/>
      <c r="CY77" s="32" t="n"/>
    </row>
    <row r="78" hidden="1" outlineLevel="1"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  <c r="AA78" s="32" t="n"/>
      <c r="AB78" s="32" t="n"/>
      <c r="AC78" s="32" t="n"/>
      <c r="AD78" s="32" t="n"/>
      <c r="AE78" s="32" t="n"/>
      <c r="AF78" s="32" t="n"/>
      <c r="AG78" s="32" t="n"/>
      <c r="AH78" s="32" t="n"/>
      <c r="AI78" s="32" t="n"/>
      <c r="AJ78" s="32" t="n"/>
      <c r="AK78" s="32" t="n"/>
      <c r="AL78" s="32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  <c r="AV78" s="32" t="n"/>
      <c r="AW78" s="32" t="n"/>
      <c r="AX78" s="32" t="n"/>
      <c r="AY78" s="32" t="n"/>
      <c r="AZ78" s="32" t="n"/>
      <c r="BA78" s="32" t="n"/>
      <c r="BB78" s="32" t="n"/>
      <c r="BC78" s="32" t="n"/>
      <c r="BD78" s="32" t="n"/>
      <c r="BE78" s="32" t="n"/>
      <c r="BF78" s="32" t="n"/>
      <c r="BG78" s="32" t="n"/>
      <c r="BH78" s="32" t="n"/>
      <c r="BI78" s="32" t="n"/>
      <c r="BJ78" s="32" t="n"/>
      <c r="BK78" s="32" t="n"/>
      <c r="BL78" s="32" t="n"/>
      <c r="BM78" s="32" t="n"/>
      <c r="BN78" s="32" t="n"/>
      <c r="BO78" s="32" t="n"/>
      <c r="BP78" s="32" t="n"/>
      <c r="BQ78" s="32" t="n"/>
      <c r="BR78" s="32" t="n"/>
      <c r="BS78" s="32" t="n"/>
      <c r="BT78" s="32" t="n"/>
      <c r="BU78" s="32" t="n"/>
      <c r="BV78" s="32" t="n"/>
      <c r="BW78" s="32" t="n"/>
      <c r="BX78" s="32" t="n"/>
      <c r="BY78" s="32" t="n"/>
      <c r="BZ78" s="32" t="n"/>
      <c r="CA78" s="32" t="n"/>
      <c r="CB78" s="32" t="n"/>
      <c r="CC78" s="32" t="n"/>
      <c r="CD78" s="32" t="n"/>
      <c r="CE78" s="32" t="n"/>
      <c r="CF78" s="32" t="n"/>
      <c r="CG78" s="32" t="n"/>
      <c r="CH78" s="32" t="n"/>
      <c r="CI78" s="32" t="n"/>
      <c r="CJ78" s="32" t="n"/>
      <c r="CK78" s="32" t="n"/>
      <c r="CL78" s="32" t="n"/>
      <c r="CM78" s="32" t="n"/>
      <c r="CN78" s="32" t="n"/>
      <c r="CO78" s="32" t="n"/>
      <c r="CP78" s="32" t="n"/>
      <c r="CQ78" s="32" t="n"/>
      <c r="CR78" s="32" t="n"/>
      <c r="CS78" s="32" t="n"/>
      <c r="CT78" s="32" t="n"/>
      <c r="CU78" s="32" t="n"/>
      <c r="CV78" s="32" t="n"/>
      <c r="CW78" s="32" t="n"/>
      <c r="CX78" s="32" t="n"/>
      <c r="CY78" s="32" t="n"/>
    </row>
    <row r="79" hidden="1" outlineLevel="1">
      <c r="C79" s="32" t="inlineStr">
        <is>
          <t>Com Vendas (%)</t>
        </is>
      </c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  <c r="AE79" s="32" t="n"/>
      <c r="AF79" s="32" t="n"/>
      <c r="AG79" s="32" t="n"/>
      <c r="AH79" s="32" t="n"/>
      <c r="AI79" s="32" t="n"/>
      <c r="AJ79" s="32" t="n"/>
      <c r="AK79" s="32" t="n"/>
      <c r="AL79" s="32" t="n"/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  <c r="AV79" s="32" t="n"/>
      <c r="AW79" s="32" t="n"/>
      <c r="AX79" s="32" t="n"/>
      <c r="AY79" s="32" t="n"/>
      <c r="AZ79" s="32" t="n"/>
      <c r="BA79" s="32" t="n"/>
      <c r="BB79" s="32" t="n"/>
      <c r="BC79" s="32" t="n"/>
      <c r="BD79" s="32" t="n"/>
      <c r="BE79" s="32" t="n"/>
      <c r="BF79" s="32" t="n"/>
      <c r="BG79" s="32" t="n"/>
      <c r="BH79" s="32" t="n"/>
      <c r="BI79" s="32" t="n"/>
      <c r="BJ79" s="32" t="n"/>
      <c r="BK79" s="32" t="n"/>
      <c r="BL79" s="32" t="n"/>
      <c r="BM79" s="32" t="n"/>
      <c r="BN79" s="32" t="n"/>
      <c r="BO79" s="32" t="n"/>
      <c r="BP79" s="32" t="n"/>
      <c r="BQ79" s="32" t="n"/>
      <c r="BR79" s="32" t="n"/>
      <c r="BS79" s="32" t="n"/>
      <c r="BT79" s="32" t="n"/>
      <c r="BU79" s="32" t="n"/>
      <c r="BV79" s="32" t="n"/>
      <c r="BW79" s="32" t="n"/>
      <c r="BX79" s="32" t="n"/>
      <c r="BY79" s="32" t="n"/>
      <c r="BZ79" s="32" t="n"/>
      <c r="CA79" s="32" t="n"/>
      <c r="CB79" s="32" t="n"/>
      <c r="CC79" s="32" t="n"/>
      <c r="CD79" s="32" t="n"/>
      <c r="CE79" s="32" t="n"/>
      <c r="CF79" s="32" t="n"/>
      <c r="CG79" s="32" t="n"/>
      <c r="CH79" s="32" t="n"/>
      <c r="CI79" s="32" t="n"/>
      <c r="CJ79" s="32" t="n"/>
      <c r="CK79" s="32" t="n"/>
      <c r="CL79" s="32" t="n"/>
      <c r="CM79" s="32" t="n"/>
      <c r="CN79" s="32" t="n"/>
      <c r="CO79" s="32" t="n"/>
      <c r="CP79" s="32" t="n"/>
      <c r="CQ79" s="32" t="n"/>
      <c r="CR79" s="32" t="n"/>
      <c r="CS79" s="32" t="n"/>
      <c r="CT79" s="32" t="n"/>
      <c r="CU79" s="32" t="n"/>
      <c r="CV79" s="32" t="n"/>
      <c r="CW79" s="32" t="n"/>
      <c r="CX79" s="32" t="n"/>
      <c r="CY79" s="32" t="n"/>
    </row>
    <row r="80" hidden="1" outlineLevel="1">
      <c r="C80" s="32" t="inlineStr">
        <is>
          <t>Gerais &amp; Administrativas (%)</t>
        </is>
      </c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  <c r="AA80" s="32" t="n"/>
      <c r="AB80" s="32" t="n"/>
      <c r="AC80" s="32" t="n"/>
      <c r="AD80" s="32" t="n"/>
      <c r="AE80" s="32" t="n"/>
      <c r="AF80" s="32" t="n"/>
      <c r="AG80" s="32" t="n"/>
      <c r="AH80" s="32" t="n"/>
      <c r="AI80" s="32" t="n"/>
      <c r="AJ80" s="32" t="n"/>
      <c r="AK80" s="32" t="n"/>
      <c r="AL80" s="32" t="n"/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  <c r="AV80" s="32" t="n"/>
      <c r="AW80" s="32" t="n"/>
      <c r="AX80" s="32" t="n"/>
      <c r="AY80" s="32" t="n"/>
      <c r="AZ80" s="32" t="n"/>
      <c r="BA80" s="32" t="n"/>
      <c r="BB80" s="32" t="n"/>
      <c r="BC80" s="32" t="n"/>
      <c r="BD80" s="32" t="n"/>
      <c r="BE80" s="32" t="n"/>
      <c r="BF80" s="32" t="n"/>
      <c r="BG80" s="32" t="n"/>
      <c r="BH80" s="32" t="n"/>
      <c r="BI80" s="32" t="n"/>
      <c r="BJ80" s="32" t="n"/>
      <c r="BK80" s="32" t="n"/>
      <c r="BL80" s="32" t="n"/>
      <c r="BM80" s="32" t="n"/>
      <c r="BN80" s="32" t="n"/>
      <c r="BO80" s="32" t="n"/>
      <c r="BP80" s="32" t="n"/>
      <c r="BQ80" s="32" t="n"/>
      <c r="BR80" s="32" t="n"/>
      <c r="BS80" s="32" t="n"/>
      <c r="BT80" s="32" t="n"/>
      <c r="BU80" s="32" t="n"/>
      <c r="BV80" s="32" t="n"/>
      <c r="BW80" s="32" t="n"/>
      <c r="BX80" s="32" t="n"/>
      <c r="BY80" s="32" t="n"/>
      <c r="BZ80" s="32" t="n"/>
      <c r="CA80" s="32" t="n"/>
      <c r="CB80" s="32" t="n"/>
      <c r="CC80" s="32" t="n"/>
      <c r="CD80" s="32" t="n"/>
      <c r="CE80" s="32" t="n"/>
      <c r="CF80" s="32" t="n"/>
      <c r="CG80" s="32" t="n"/>
      <c r="CH80" s="32" t="n"/>
      <c r="CI80" s="32" t="n"/>
      <c r="CJ80" s="32" t="n"/>
      <c r="CK80" s="32" t="n"/>
      <c r="CL80" s="32" t="n"/>
      <c r="CM80" s="32" t="n"/>
      <c r="CN80" s="32" t="n"/>
      <c r="CO80" s="32" t="n"/>
      <c r="CP80" s="32" t="n"/>
      <c r="CQ80" s="32" t="n"/>
      <c r="CR80" s="32" t="n"/>
      <c r="CS80" s="32" t="n"/>
      <c r="CT80" s="32" t="n"/>
      <c r="CU80" s="32" t="n"/>
      <c r="CV80" s="32" t="n"/>
      <c r="CW80" s="32" t="n"/>
      <c r="CX80" s="32" t="n"/>
      <c r="CY80" s="32" t="n"/>
    </row>
    <row r="81" hidden="1" outlineLevel="1">
      <c r="C81" s="32" t="inlineStr">
        <is>
          <t>Outras Receitas (Despesas) Operacionais, Líquidas (%)</t>
        </is>
      </c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  <c r="AV81" s="32" t="n"/>
      <c r="AW81" s="32" t="n"/>
      <c r="AX81" s="32" t="n"/>
      <c r="AY81" s="32" t="n"/>
      <c r="AZ81" s="32" t="n"/>
      <c r="BA81" s="32" t="n"/>
      <c r="BB81" s="32" t="n"/>
      <c r="BC81" s="32" t="n"/>
      <c r="BD81" s="32" t="n"/>
      <c r="BE81" s="32" t="n"/>
      <c r="BF81" s="32" t="n"/>
      <c r="BG81" s="32" t="n"/>
      <c r="BH81" s="32" t="n"/>
      <c r="BI81" s="32" t="n"/>
      <c r="BJ81" s="32" t="n"/>
      <c r="BK81" s="32" t="n"/>
      <c r="BL81" s="32" t="n"/>
      <c r="BM81" s="32" t="n"/>
      <c r="BN81" s="32" t="n"/>
      <c r="BO81" s="32" t="n"/>
      <c r="BP81" s="32" t="n"/>
      <c r="BQ81" s="32" t="n"/>
      <c r="BR81" s="32" t="n"/>
      <c r="BS81" s="32" t="n"/>
      <c r="BT81" s="32" t="n"/>
      <c r="BU81" s="32" t="n"/>
      <c r="BV81" s="32" t="n"/>
      <c r="BW81" s="32" t="n"/>
      <c r="BX81" s="32" t="n"/>
      <c r="BY81" s="32" t="n"/>
      <c r="BZ81" s="32" t="n"/>
      <c r="CA81" s="32" t="n"/>
      <c r="CB81" s="32" t="n"/>
      <c r="CC81" s="32" t="n"/>
      <c r="CD81" s="32" t="n"/>
      <c r="CE81" s="32" t="n"/>
      <c r="CF81" s="32" t="n"/>
      <c r="CG81" s="32" t="n"/>
      <c r="CH81" s="32" t="n"/>
      <c r="CI81" s="32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" t="n"/>
      <c r="CS81" s="32" t="n"/>
      <c r="CT81" s="32" t="n"/>
      <c r="CU81" s="32" t="n"/>
      <c r="CV81" s="32" t="n"/>
      <c r="CW81" s="32" t="n"/>
      <c r="CX81" s="32" t="n"/>
      <c r="CY81" s="32" t="n"/>
    </row>
    <row r="82" hidden="1" outlineLevel="1"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  <c r="AV82" s="32" t="n"/>
      <c r="AW82" s="32" t="n"/>
      <c r="AX82" s="32" t="n"/>
      <c r="AY82" s="32" t="n"/>
      <c r="AZ82" s="32" t="n"/>
      <c r="BA82" s="32" t="n"/>
      <c r="BB82" s="32" t="n"/>
      <c r="BC82" s="32" t="n"/>
      <c r="BD82" s="32" t="n"/>
      <c r="BE82" s="32" t="n"/>
      <c r="BF82" s="32" t="n"/>
      <c r="BG82" s="32" t="n"/>
      <c r="BH82" s="32" t="n"/>
      <c r="BI82" s="32" t="n"/>
      <c r="BJ82" s="32" t="n"/>
      <c r="BK82" s="32" t="n"/>
      <c r="BL82" s="32" t="n"/>
      <c r="BM82" s="32" t="n"/>
      <c r="BN82" s="32" t="n"/>
      <c r="BO82" s="32" t="n"/>
      <c r="BP82" s="32" t="n"/>
      <c r="BQ82" s="32" t="n"/>
      <c r="BR82" s="32" t="n"/>
      <c r="BS82" s="32" t="n"/>
      <c r="BT82" s="32" t="n"/>
      <c r="BU82" s="32" t="n"/>
      <c r="BV82" s="32" t="n"/>
      <c r="BW82" s="32" t="n"/>
      <c r="BX82" s="32" t="n"/>
      <c r="BY82" s="32" t="n"/>
      <c r="BZ82" s="32" t="n"/>
      <c r="CA82" s="32" t="n"/>
      <c r="CB82" s="32" t="n"/>
      <c r="CC82" s="32" t="n"/>
      <c r="CD82" s="32" t="n"/>
      <c r="CE82" s="32" t="n"/>
      <c r="CF82" s="32" t="n"/>
      <c r="CG82" s="32" t="n"/>
      <c r="CH82" s="32" t="n"/>
      <c r="CI82" s="32" t="n"/>
      <c r="CJ82" s="32" t="n"/>
      <c r="CK82" s="32" t="n"/>
      <c r="CL82" s="32" t="n"/>
      <c r="CM82" s="32" t="n"/>
      <c r="CN82" s="32" t="n"/>
      <c r="CO82" s="32" t="n"/>
      <c r="CP82" s="32" t="n"/>
      <c r="CQ82" s="32" t="n"/>
      <c r="CR82" s="32" t="n"/>
      <c r="CS82" s="32" t="n"/>
      <c r="CT82" s="32" t="n"/>
      <c r="CU82" s="32" t="n"/>
      <c r="CV82" s="32" t="n"/>
      <c r="CW82" s="32" t="n"/>
      <c r="CX82" s="32" t="n"/>
      <c r="CY82" s="32" t="n"/>
    </row>
    <row r="83" collapsed="1" customFormat="1" s="17">
      <c r="A83" s="13" t="n"/>
      <c r="B83" s="1" t="n"/>
      <c r="C83" s="14" t="inlineStr">
        <is>
          <t>EBITDA</t>
        </is>
      </c>
      <c r="D83" s="16">
        <f>SUM(D15,D68,D72)</f>
        <v>27.464</v>
      </c>
      <c r="E83" s="16">
        <f>SUM(E15,E68,E72)</f>
        <v>48.888</v>
      </c>
      <c r="F83" s="16">
        <f>SUM(F15,F68,F72)</f>
        <v>67.359</v>
      </c>
      <c r="G83" s="16">
        <f>SUM(G15,G68,G72)</f>
        <v>82.8117100600001</v>
      </c>
      <c r="H83" s="16">
        <f>SUM(D83:G83)</f>
        <v>226.52271006</v>
      </c>
      <c r="I83" s="16">
        <f>SUM(I15,I68,I72)</f>
        <v>63.17765271</v>
      </c>
      <c r="J83" s="16">
        <f>SUM(J15,J68,J72)</f>
        <v>89.3700585</v>
      </c>
      <c r="K83" s="16">
        <f>SUM(K15,K68,K72)</f>
        <v>87.3678010099999</v>
      </c>
      <c r="L83" s="16">
        <f>SUM(L15,L68,L72)</f>
        <v>136.96774207</v>
      </c>
      <c r="M83" s="16">
        <f>SUM(I83:L83)</f>
        <v>376.88325429</v>
      </c>
      <c r="N83" s="16">
        <f>SUM(N15,N68,N72)</f>
        <v>80.30838681</v>
      </c>
      <c r="O83" s="16">
        <f>SUM(O15,O68,O72)</f>
        <v>117.841</v>
      </c>
      <c r="P83" s="16">
        <f>SUM(P15,P68,P72)</f>
        <v>119.209</v>
      </c>
      <c r="Q83" s="16">
        <f>SUM(Q15,Q68,Q72)</f>
        <v>130.349</v>
      </c>
      <c r="R83" s="16">
        <f>SUM(N83:Q83)</f>
        <v>447.70738681</v>
      </c>
      <c r="S83" s="16">
        <f>SUM(S15,S68,S72)</f>
        <v>121.1670827</v>
      </c>
      <c r="T83" s="16">
        <f>SUM(T15,T68,T72)</f>
        <v>153.47</v>
      </c>
      <c r="U83" s="16">
        <f>SUM(U15,U68,U72)</f>
        <v>142.20089385</v>
      </c>
      <c r="V83" s="16">
        <f>SUM(V15,V68,V72)</f>
        <v>189.32702345</v>
      </c>
      <c r="W83" s="16">
        <f>SUM(S83:V83)</f>
        <v>606.165</v>
      </c>
      <c r="X83" s="16">
        <f>SUM(X15,X68,X72)</f>
        <v>184.991</v>
      </c>
      <c r="Y83" s="16">
        <f>SUM(Y15,Y68,Y72)</f>
        <v>206.143840179999</v>
      </c>
      <c r="Z83" s="16">
        <f>SUM(Z15,Z68,Z72)</f>
        <v>216.004198945</v>
      </c>
      <c r="AA83" s="16">
        <f>SUM(AA15,AA68,AA72)</f>
        <v>235.13218731</v>
      </c>
      <c r="AB83" s="16">
        <f>SUM(X83:AA83)</f>
        <v>842.271226435</v>
      </c>
      <c r="AC83" s="16">
        <f>SUM(AC15,AC68,AC72)</f>
        <v>287.092</v>
      </c>
      <c r="AD83" s="16">
        <f>SUM(AD15,AD68,AD72)</f>
        <v>321.88749787</v>
      </c>
      <c r="AE83" s="16">
        <f>SUM(AE15,AE68,AE72)</f>
        <v>334.714</v>
      </c>
      <c r="AF83" s="16">
        <f>SUM(AF15,AF68,AF72)</f>
        <v>351.855</v>
      </c>
      <c r="AG83" s="16">
        <f>SUM(AC83:AF83)</f>
        <v>1295.54849787</v>
      </c>
      <c r="AH83" s="16">
        <f>SUM(AH15,AH68,AH72)</f>
        <v>409.212</v>
      </c>
      <c r="AI83" s="16">
        <f>SUM(AI15,AI68,AI72)</f>
        <v>385.962</v>
      </c>
      <c r="AJ83" s="16">
        <f>SUM(AJ15,AJ68,AJ72)</f>
        <v>0</v>
      </c>
      <c r="AK83" s="16">
        <f>SUM(AK15,AK68,AK72)</f>
        <v>0</v>
      </c>
      <c r="AL83" s="16">
        <f>SUM(AH83:AK83)</f>
        <v>795.174</v>
      </c>
      <c r="AM83" s="16">
        <f>SUM(AM15,AM68,AM72)</f>
        <v>0</v>
      </c>
      <c r="AN83" s="16">
        <f>SUM(AN15,AN68,AN72)</f>
        <v>0</v>
      </c>
      <c r="AO83" s="16">
        <f>SUM(AO15,AO68,AO72)</f>
        <v>0</v>
      </c>
      <c r="AP83" s="16">
        <f>SUM(AP15,AP68,AP72)</f>
        <v>0</v>
      </c>
      <c r="AQ83" s="16">
        <f>SUM(AM83:AP83)</f>
        <v>0</v>
      </c>
      <c r="AR83" s="16">
        <f>SUM(AR15,AR68,AR72)</f>
        <v>0</v>
      </c>
      <c r="AS83" s="16">
        <f>SUM(AS15,AS68,AS72)</f>
        <v>0</v>
      </c>
      <c r="AT83" s="16">
        <f>SUM(AT15,AT68,AT72)</f>
        <v>0</v>
      </c>
      <c r="AU83" s="16">
        <f>SUM(AU15,AU68,AU72)</f>
        <v>0</v>
      </c>
      <c r="AV83" s="16">
        <f>SUM(AR83:AU83)</f>
        <v>0</v>
      </c>
      <c r="AW83" s="16">
        <f>SUM(AW15,AW68,AW72)</f>
        <v>0</v>
      </c>
      <c r="AX83" s="16">
        <f>SUM(AX15,AX68,AX72)</f>
        <v>0</v>
      </c>
      <c r="AY83" s="16">
        <f>SUM(AY15,AY68,AY72)</f>
        <v>0</v>
      </c>
      <c r="AZ83" s="16">
        <f>SUM(AZ15,AZ68,AZ72)</f>
        <v>0</v>
      </c>
      <c r="BA83" s="16">
        <f>SUM(AW83:AZ83)</f>
        <v>0</v>
      </c>
      <c r="BB83" s="16">
        <f>SUM(BB15,BB68,BB72)</f>
        <v>0</v>
      </c>
      <c r="BC83" s="16">
        <f>SUM(BC15,BC68,BC72)</f>
        <v>0</v>
      </c>
      <c r="BD83" s="16">
        <f>SUM(BD15,BD68,BD72)</f>
        <v>0</v>
      </c>
      <c r="BE83" s="16">
        <f>SUM(BE15,BE68,BE72)</f>
        <v>0</v>
      </c>
      <c r="BF83" s="16">
        <f>SUM(BB83:BE83)</f>
        <v>0</v>
      </c>
      <c r="BG83" s="16">
        <f>SUM(BG15,BG68,BG72)</f>
        <v>0</v>
      </c>
      <c r="BH83" s="16">
        <f>SUM(BH15,BH68,BH72)</f>
        <v>0</v>
      </c>
      <c r="BI83" s="16">
        <f>SUM(BI15,BI68,BI72)</f>
        <v>0</v>
      </c>
      <c r="BJ83" s="16">
        <f>SUM(BJ15,BJ68,BJ72)</f>
        <v>0</v>
      </c>
      <c r="BK83" s="16">
        <f>SUM(BG83:BJ83)</f>
        <v>0</v>
      </c>
      <c r="BL83" s="16">
        <f>SUM(BL15,BL68,BL72)</f>
        <v>0</v>
      </c>
      <c r="BM83" s="16">
        <f>SUM(BM15,BM68,BM72)</f>
        <v>0</v>
      </c>
      <c r="BN83" s="16">
        <f>SUM(BN15,BN68,BN72)</f>
        <v>0</v>
      </c>
      <c r="BO83" s="16">
        <f>SUM(BO15,BO68,BO72)</f>
        <v>0</v>
      </c>
      <c r="BP83" s="16">
        <f>SUM(BL83:BO83)</f>
        <v>0</v>
      </c>
      <c r="BQ83" s="16">
        <f>SUM(BQ15,BQ68,BQ72)</f>
        <v>0</v>
      </c>
      <c r="BR83" s="16">
        <f>SUM(BR15,BR68,BR72)</f>
        <v>0</v>
      </c>
      <c r="BS83" s="16">
        <f>SUM(BS15,BS68,BS72)</f>
        <v>0</v>
      </c>
      <c r="BT83" s="16">
        <f>SUM(BT15,BT68,BT72)</f>
        <v>0</v>
      </c>
      <c r="BU83" s="16">
        <f>SUM(BQ83:BT83)</f>
        <v>0</v>
      </c>
      <c r="BV83" s="16">
        <f>SUM(BV15,BV68,BV72)</f>
        <v>0</v>
      </c>
      <c r="BW83" s="16">
        <f>SUM(BW15,BW68,BW72)</f>
        <v>0</v>
      </c>
      <c r="BX83" s="16">
        <f>SUM(BX15,BX68,BX72)</f>
        <v>0</v>
      </c>
      <c r="BY83" s="16">
        <f>SUM(BY15,BY68,BY72)</f>
        <v>0</v>
      </c>
      <c r="BZ83" s="16">
        <f>SUM(BV83:BY83)</f>
        <v>0</v>
      </c>
      <c r="CA83" s="16">
        <f>SUM(CA15,CA68,CA72)</f>
        <v>0</v>
      </c>
      <c r="CB83" s="16">
        <f>SUM(CB15,CB68,CB72)</f>
        <v>0</v>
      </c>
      <c r="CC83" s="16">
        <f>SUM(CC15,CC68,CC72)</f>
        <v>0</v>
      </c>
      <c r="CD83" s="16">
        <f>SUM(CD15,CD68,CD72)</f>
        <v>0</v>
      </c>
      <c r="CE83" s="16">
        <f>SUM(CA83:CD83)</f>
        <v>0</v>
      </c>
      <c r="CF83" s="16">
        <f>SUM(CF15,CF68,CF72)</f>
        <v>0</v>
      </c>
      <c r="CG83" s="16">
        <f>SUM(CG15,CG68,CG72)</f>
        <v>0</v>
      </c>
      <c r="CH83" s="16">
        <f>SUM(CH15,CH68,CH72)</f>
        <v>0</v>
      </c>
      <c r="CI83" s="16">
        <f>SUM(CI15,CI68,CI72)</f>
        <v>0</v>
      </c>
      <c r="CJ83" s="16">
        <f>SUM(CF83:CI83)</f>
        <v>0</v>
      </c>
      <c r="CK83" s="16">
        <f>SUM(CK15,CK68,CK72)</f>
        <v>0</v>
      </c>
      <c r="CL83" s="16">
        <f>SUM(CL15,CL68,CL72)</f>
        <v>0</v>
      </c>
      <c r="CM83" s="16">
        <f>SUM(CM15,CM68,CM72)</f>
        <v>0</v>
      </c>
      <c r="CN83" s="16">
        <f>SUM(CN15,CN68,CN72)</f>
        <v>0</v>
      </c>
      <c r="CO83" s="16">
        <f>SUM(CK83:CN83)</f>
        <v>0</v>
      </c>
      <c r="CP83" s="16">
        <f>SUM(CP15,CP68,CP72)</f>
        <v>0</v>
      </c>
      <c r="CQ83" s="16">
        <f>SUM(CQ15,CQ68,CQ72)</f>
        <v>0</v>
      </c>
      <c r="CR83" s="16">
        <f>SUM(CR15,CR68,CR72)</f>
        <v>0</v>
      </c>
      <c r="CS83" s="16">
        <f>SUM(CS15,CS68,CS72)</f>
        <v>0</v>
      </c>
      <c r="CT83" s="16">
        <f>SUM(CP83:CS83)</f>
        <v>0</v>
      </c>
      <c r="CU83" s="16">
        <f>SUM(CU15,CU68,CU72)</f>
        <v>0</v>
      </c>
      <c r="CV83" s="16">
        <f>SUM(CV15,CV68,CV72)</f>
        <v>0</v>
      </c>
      <c r="CW83" s="16">
        <f>SUM(CW15,CW68,CW72)</f>
        <v>0</v>
      </c>
      <c r="CX83" s="16">
        <f>SUM(CX15,CX68,CX72)</f>
        <v>0</v>
      </c>
      <c r="CY83" s="16">
        <f>SUM(CU83:CX83)</f>
        <v>0</v>
      </c>
    </row>
    <row r="84" ht="13.5" customHeight="1">
      <c r="C84" s="24" t="inlineStr">
        <is>
          <t>D&amp;A</t>
        </is>
      </c>
      <c r="D84" s="25">
        <f>INDEX('Inputs (2)'!$D$7:$AL$7,MATCH(D$7,'Inputs (2)'!$D$2:$AL$2,0))</f>
        <v>-2.925</v>
      </c>
      <c r="E84" s="25">
        <f>INDEX('Inputs (2)'!$D$7:$AL$7,MATCH(E$7,'Inputs (2)'!$D$2:$AL$2,0))</f>
        <v>-0.307</v>
      </c>
      <c r="F84" s="25">
        <f>INDEX('Inputs (2)'!$D$7:$AL$7,MATCH(F$7,'Inputs (2)'!$D$2:$AL$2,0))</f>
        <v>-0.365</v>
      </c>
      <c r="G84" s="25">
        <f>INDEX('Inputs (2)'!$D$7:$AL$7,MATCH(G$7,'Inputs (2)'!$D$2:$AL$2,0))</f>
        <v>-0.263710060000041</v>
      </c>
      <c r="H84" s="3">
        <f>SUM(D84:G84)</f>
        <v>-3.86071006000004</v>
      </c>
      <c r="I84" s="25">
        <f>INDEX('Inputs (2)'!$D$7:$AL$7,MATCH(I$7,'Inputs (2)'!$D$2:$AL$2,0))</f>
        <v>-0.334652710000039</v>
      </c>
      <c r="J84" s="25">
        <f>INDEX('Inputs (2)'!$D$7:$AL$7,MATCH(J$7,'Inputs (2)'!$D$2:$AL$2,0))</f>
        <v>-0.355058499999999</v>
      </c>
      <c r="K84" s="25">
        <f>INDEX('Inputs (2)'!$D$7:$AL$7,MATCH(K$7,'Inputs (2)'!$D$2:$AL$2,0))</f>
        <v>-0.375960359999997</v>
      </c>
      <c r="L84" s="25">
        <f>INDEX('Inputs (2)'!$D$7:$AL$7,MATCH(L$7,'Inputs (2)'!$D$2:$AL$2,0))</f>
        <v>-0.377742069999891</v>
      </c>
      <c r="M84" s="3">
        <f>SUM(I84:L84)</f>
        <v>-1.44341363999993</v>
      </c>
      <c r="N84" s="25">
        <f>INDEX('Inputs (2)'!$D$7:$AL$7,MATCH(N$7,'Inputs (2)'!$D$2:$AL$2,0))</f>
        <v>-0.924386809999996</v>
      </c>
      <c r="O84" s="25">
        <f>INDEX('Inputs (2)'!$D$7:$AL$7,MATCH(O$7,'Inputs (2)'!$D$2:$AL$2,0))</f>
        <v>-5.704</v>
      </c>
      <c r="P84" s="25">
        <f>INDEX('Inputs (2)'!$D$7:$AL$7,MATCH(P$7,'Inputs (2)'!$D$2:$AL$2,0))</f>
        <v>-5.715</v>
      </c>
      <c r="Q84" s="25">
        <f>INDEX('Inputs (2)'!$D$7:$AL$7,MATCH(Q$7,'Inputs (2)'!$D$2:$AL$2,0))</f>
        <v>-6.302</v>
      </c>
      <c r="R84" s="3">
        <f>SUM(N84:Q84)</f>
        <v>-18.64538681</v>
      </c>
      <c r="S84" s="25">
        <f>INDEX('Inputs (2)'!$D$7:$AL$7,MATCH(S$7,'Inputs (2)'!$D$2:$AL$2,0))</f>
        <v>-6.2210827</v>
      </c>
      <c r="T84" s="25">
        <f>INDEX('Inputs (2)'!$D$7:$AL$7,MATCH(T$7,'Inputs (2)'!$D$2:$AL$2,0))</f>
        <v>-6.3</v>
      </c>
      <c r="U84" s="25">
        <f>INDEX('Inputs (2)'!$D$7:$AL$7,MATCH(U$7,'Inputs (2)'!$D$2:$AL$2,0))</f>
        <v>-6.34089384999999</v>
      </c>
      <c r="V84" s="25">
        <f>INDEX('Inputs (2)'!$D$7:$AL$7,MATCH(V$7,'Inputs (2)'!$D$2:$AL$2,0))</f>
        <v>-7.01002345000001</v>
      </c>
      <c r="W84" s="3">
        <f>SUM(S84:V84)</f>
        <v>-25.872</v>
      </c>
      <c r="X84" s="25">
        <f>INDEX('Inputs (2)'!$D$7:$AL$7,MATCH(X$7,'Inputs (2)'!$D$2:$AL$2,0))</f>
        <v>-7.117</v>
      </c>
      <c r="Y84" s="25">
        <f>INDEX('Inputs (2)'!$D$7:$AL$7,MATCH(Y$7,'Inputs (2)'!$D$2:$AL$2,0))</f>
        <v>-7.011576789999</v>
      </c>
      <c r="Z84" s="25">
        <f>INDEX('Inputs (2)'!$D$7:$AL$7,MATCH(Z$7,'Inputs (2)'!$D$2:$AL$2,0))</f>
        <v>-8.1911989450003</v>
      </c>
      <c r="AA84" s="25">
        <f>INDEX('Inputs (2)'!$D$7:$AL$7,MATCH(AA$7,'Inputs (2)'!$D$2:$AL$2,0))</f>
        <v>-8.81118731000001</v>
      </c>
      <c r="AB84" s="3">
        <f>SUM(X84:AA84)</f>
        <v>-31.1309630449993</v>
      </c>
      <c r="AC84" s="25">
        <f>INDEX('Inputs (2)'!$D$7:$AL$7,MATCH(AC$7,'Inputs (2)'!$D$2:$AL$2,0))</f>
        <v>-8.533</v>
      </c>
      <c r="AD84" s="25">
        <f>INDEX('Inputs (2)'!$D$7:$AL$7,MATCH(AD$7,'Inputs (2)'!$D$2:$AL$2,0))</f>
        <v>-8.754</v>
      </c>
      <c r="AE84" s="25">
        <f>INDEX('Inputs (2)'!$D$7:$AL$7,MATCH(AE$7,'Inputs (2)'!$D$2:$AL$2,0))</f>
        <v>-8.521</v>
      </c>
      <c r="AF84" s="25">
        <f>INDEX('Inputs (2)'!$D$7:$AL$7,MATCH(AF$7,'Inputs (2)'!$D$2:$AL$2,0))</f>
        <v>-9.07</v>
      </c>
      <c r="AG84" s="3">
        <f>SUM(AC84:AF84)</f>
        <v>-34.878</v>
      </c>
      <c r="AH84" s="3">
        <f>INDEX('Inputs (2)'!$D$7:$AL$7,MATCH(AH$7,'Inputs (2)'!$D$2:$AL$2,0))</f>
        <v>-8.349</v>
      </c>
      <c r="AI84" s="3">
        <f>INDEX('Inputs (2)'!$D$7:$AL$7,MATCH(AI$7,'Inputs (2)'!$D$2:$AL$2,0))</f>
        <v>-8.551</v>
      </c>
      <c r="AJ84" s="3">
        <f>-AJ85*AJ15</f>
        <v>0</v>
      </c>
      <c r="AK84" s="3">
        <f>-AK85*AK15</f>
        <v>0</v>
      </c>
      <c r="AL84" s="3">
        <f>SUM(AH84:AK84)</f>
        <v>-16.9</v>
      </c>
      <c r="AM84" s="3">
        <f>-AM85*AM15</f>
        <v>0</v>
      </c>
      <c r="AN84" s="3">
        <f>-AN85*AN15</f>
        <v>0</v>
      </c>
      <c r="AO84" s="3">
        <f>-AO85*AO15</f>
        <v>0</v>
      </c>
      <c r="AP84" s="3">
        <f>-AP85*AP15</f>
        <v>0</v>
      </c>
      <c r="AQ84" s="3">
        <f>SUM(AM84:AP84)</f>
        <v>0</v>
      </c>
      <c r="AR84" s="3">
        <f>-AR85*AR15</f>
        <v>0</v>
      </c>
      <c r="AS84" s="3">
        <f>-AS85*AS15</f>
        <v>0</v>
      </c>
      <c r="AT84" s="3">
        <f>-AT85*AT15</f>
        <v>0</v>
      </c>
      <c r="AU84" s="3">
        <f>-AU85*AU15</f>
        <v>0</v>
      </c>
      <c r="AV84" s="3">
        <f>SUM(AR84:AU84)</f>
        <v>0</v>
      </c>
      <c r="AW84" s="3">
        <f>-AW85*AW15</f>
        <v>0</v>
      </c>
      <c r="AX84" s="3">
        <f>-AX85*AX15</f>
        <v>0</v>
      </c>
      <c r="AY84" s="3">
        <f>-AY85*AY15</f>
        <v>0</v>
      </c>
      <c r="AZ84" s="3">
        <f>-AZ85*AZ15</f>
        <v>0</v>
      </c>
      <c r="BA84" s="3">
        <f>SUM(AW84:AZ84)</f>
        <v>0</v>
      </c>
      <c r="BB84" s="3">
        <f>-BB85*BB15</f>
        <v>0</v>
      </c>
      <c r="BC84" s="3">
        <f>-BC85*BC15</f>
        <v>0</v>
      </c>
      <c r="BD84" s="3">
        <f>-BD85*BD15</f>
        <v>0</v>
      </c>
      <c r="BE84" s="3">
        <f>-BE85*BE15</f>
        <v>0</v>
      </c>
      <c r="BF84" s="3">
        <f>SUM(BB84:BE84)</f>
        <v>0</v>
      </c>
      <c r="BG84" s="3">
        <f>-BG85*BG15</f>
        <v>0</v>
      </c>
      <c r="BH84" s="3">
        <f>-BH85*BH15</f>
        <v>0</v>
      </c>
      <c r="BI84" s="3">
        <f>-BI85*BI15</f>
        <v>0</v>
      </c>
      <c r="BJ84" s="3">
        <f>-BJ85*BJ15</f>
        <v>0</v>
      </c>
      <c r="BK84" s="3">
        <f>SUM(BG84:BJ84)</f>
        <v>0</v>
      </c>
      <c r="BL84" s="3">
        <f>-BL85*BL15</f>
        <v>0</v>
      </c>
      <c r="BM84" s="3">
        <f>-BM85*BM15</f>
        <v>0</v>
      </c>
      <c r="BN84" s="3">
        <f>-BN85*BN15</f>
        <v>0</v>
      </c>
      <c r="BO84" s="3">
        <f>-BO85*BO15</f>
        <v>0</v>
      </c>
      <c r="BP84" s="3">
        <f>SUM(BL84:BO84)</f>
        <v>0</v>
      </c>
      <c r="BQ84" s="3">
        <f>-BQ85*BQ15</f>
        <v>0</v>
      </c>
      <c r="BR84" s="3">
        <f>-BR85*BR15</f>
        <v>0</v>
      </c>
      <c r="BS84" s="3">
        <f>-BS85*BS15</f>
        <v>0</v>
      </c>
      <c r="BT84" s="3">
        <f>-BT85*BT15</f>
        <v>0</v>
      </c>
      <c r="BU84" s="3">
        <f>SUM(BQ84:BT84)</f>
        <v>0</v>
      </c>
      <c r="BV84" s="3">
        <f>-BV85*BV15</f>
        <v>0</v>
      </c>
      <c r="BW84" s="3">
        <f>-BW85*BW15</f>
        <v>0</v>
      </c>
      <c r="BX84" s="3">
        <f>-BX85*BX15</f>
        <v>0</v>
      </c>
      <c r="BY84" s="3">
        <f>-BY85*BY15</f>
        <v>0</v>
      </c>
      <c r="BZ84" s="3">
        <f>SUM(BV84:BY84)</f>
        <v>0</v>
      </c>
      <c r="CA84" s="3">
        <f>-CA85*CA15</f>
        <v>0</v>
      </c>
      <c r="CB84" s="3">
        <f>-CB85*CB15</f>
        <v>0</v>
      </c>
      <c r="CC84" s="3">
        <f>-CC85*CC15</f>
        <v>0</v>
      </c>
      <c r="CD84" s="3">
        <f>-CD85*CD15</f>
        <v>0</v>
      </c>
      <c r="CE84" s="3">
        <f>SUM(CA84:CD84)</f>
        <v>0</v>
      </c>
      <c r="CF84" s="3">
        <f>-CF85*CF15</f>
        <v>0</v>
      </c>
      <c r="CG84" s="3">
        <f>-CG85*CG15</f>
        <v>0</v>
      </c>
      <c r="CH84" s="3">
        <f>-CH85*CH15</f>
        <v>0</v>
      </c>
      <c r="CI84" s="3">
        <f>-CI85*CI15</f>
        <v>0</v>
      </c>
      <c r="CJ84" s="3">
        <f>SUM(CF84:CI84)</f>
        <v>0</v>
      </c>
      <c r="CK84" s="3">
        <f>-CK85*CK15</f>
        <v>0</v>
      </c>
      <c r="CL84" s="3">
        <f>-CL85*CL15</f>
        <v>0</v>
      </c>
      <c r="CM84" s="3">
        <f>-CM85*CM15</f>
        <v>0</v>
      </c>
      <c r="CN84" s="3">
        <f>-CN85*CN15</f>
        <v>0</v>
      </c>
      <c r="CO84" s="3">
        <f>SUM(CK84:CN84)</f>
        <v>0</v>
      </c>
      <c r="CP84" s="3">
        <f>-CP85*CP15</f>
        <v>0</v>
      </c>
      <c r="CQ84" s="3">
        <f>-CQ85*CQ15</f>
        <v>0</v>
      </c>
      <c r="CR84" s="3">
        <f>-CR85*CR15</f>
        <v>0</v>
      </c>
      <c r="CS84" s="3">
        <f>-CS85*CS15</f>
        <v>0</v>
      </c>
      <c r="CT84" s="3">
        <f>SUM(CP84:CS84)</f>
        <v>0</v>
      </c>
      <c r="CU84" s="3">
        <f>-CU85*CU15</f>
        <v>0</v>
      </c>
      <c r="CV84" s="3">
        <f>-CV85*CV15</f>
        <v>0</v>
      </c>
      <c r="CW84" s="3">
        <f>-CW85*CW15</f>
        <v>0</v>
      </c>
      <c r="CX84" s="3">
        <f>-CX85*CX15</f>
        <v>0</v>
      </c>
      <c r="CY84" s="3">
        <f>SUM(CU84:CX84)</f>
        <v>0</v>
      </c>
    </row>
    <row r="85" hidden="1" outlineLevel="1" customFormat="1" s="247">
      <c r="A85" s="48" t="n"/>
      <c r="B85" s="48" t="n"/>
      <c r="C85" s="246" t="inlineStr">
        <is>
          <t>% of Revenue</t>
        </is>
      </c>
      <c r="D85" s="48">
        <f>-D84/D15</f>
        <v>0.0128672669924908</v>
      </c>
      <c r="E85" s="48">
        <f>-E84/E15</f>
        <v>0.00124693343731215</v>
      </c>
      <c r="F85" s="48">
        <f>-F84/F15</f>
        <v>0.00111998232575837</v>
      </c>
      <c r="G85" s="48">
        <f>-G84/G15</f>
        <v>0.000763803579342005</v>
      </c>
      <c r="H85" s="48" t="n"/>
      <c r="I85" s="48">
        <f>-I84/I15</f>
        <v>0.000986343998868325</v>
      </c>
      <c r="J85" s="48">
        <f>-J84/J15</f>
        <v>0.000786681570533768</v>
      </c>
      <c r="K85" s="48">
        <f>-K84/K15</f>
        <v>0.00082366240680038</v>
      </c>
      <c r="L85" s="48">
        <f>-L84/L15</f>
        <v>0.00076898286521578</v>
      </c>
      <c r="M85" s="48" t="n"/>
      <c r="N85" s="48">
        <f>-N84/N15</f>
        <v>0.00206625063146271</v>
      </c>
      <c r="O85" s="48">
        <f>-O84/O15</f>
        <v>0.00946277516121058</v>
      </c>
      <c r="P85" s="48">
        <f>-P84/P15</f>
        <v>0.00911979242299241</v>
      </c>
      <c r="Q85" s="48">
        <f>-Q84/Q15</f>
        <v>0.0108565699302988</v>
      </c>
      <c r="R85" s="48" t="n"/>
      <c r="S85" s="48">
        <f>-S84/S15</f>
        <v>0.0104563744209656</v>
      </c>
      <c r="T85" s="48">
        <f>-T84/T15</f>
        <v>0.00865686654409643</v>
      </c>
      <c r="U85" s="48">
        <f>-U84/U15</f>
        <v>0.00843345274607181</v>
      </c>
      <c r="V85" s="48">
        <f>-V84/V15</f>
        <v>0.00863733119680236</v>
      </c>
      <c r="W85" s="48" t="n"/>
      <c r="X85" s="48">
        <f>-X84/X15</f>
        <v>0.00849910793401339</v>
      </c>
      <c r="Y85" s="48">
        <f>-Y84/Y15</f>
        <v>0.00702502972191647</v>
      </c>
      <c r="Z85" s="48">
        <f>-Z84/Z15</f>
        <v>0.00775775751700992</v>
      </c>
      <c r="AA85" s="48">
        <f>-AA84/AA15</f>
        <v>0.00851346299558153</v>
      </c>
      <c r="AB85" s="48" t="n"/>
      <c r="AC85" s="48">
        <f>-AC84/AC15</f>
        <v>0.00701620807377831</v>
      </c>
      <c r="AD85" s="48">
        <f>-AD84/AD15</f>
        <v>0.00650082169970422</v>
      </c>
      <c r="AE85" s="48">
        <f>-AE84/AE15</f>
        <v>0.00601372266441579</v>
      </c>
      <c r="AF85" s="218">
        <f>-AF84/AF15</f>
        <v>0.00638860616391318</v>
      </c>
      <c r="AG85" s="48" t="n"/>
      <c r="AH85" s="218">
        <f>-AH84/AH15</f>
        <v>0.00517744645041986</v>
      </c>
      <c r="AI85" s="218">
        <f>-AI84/AI15</f>
        <v>0.00505798553644459</v>
      </c>
      <c r="AJ85" s="218" t="n"/>
      <c r="AK85" s="218" t="n"/>
      <c r="AL85" s="48" t="n"/>
      <c r="AM85" s="218" t="n"/>
      <c r="AN85" s="218" t="n"/>
      <c r="AO85" s="218" t="n"/>
      <c r="AP85" s="218" t="n"/>
      <c r="AQ85" s="48" t="n"/>
      <c r="AR85" s="218" t="n"/>
      <c r="AS85" s="218" t="n"/>
      <c r="AT85" s="218" t="n"/>
      <c r="AU85" s="218" t="n"/>
      <c r="AV85" s="48" t="n"/>
      <c r="AW85" s="218" t="n"/>
      <c r="AX85" s="218" t="n"/>
      <c r="AY85" s="218" t="n"/>
      <c r="AZ85" s="218" t="n"/>
      <c r="BA85" s="48" t="n"/>
      <c r="BB85" s="218" t="n"/>
      <c r="BC85" s="218" t="n"/>
      <c r="BD85" s="218" t="n"/>
      <c r="BE85" s="218" t="n"/>
      <c r="BF85" s="48" t="n"/>
      <c r="BG85" s="218" t="n"/>
      <c r="BH85" s="218" t="n"/>
      <c r="BI85" s="218" t="n"/>
      <c r="BJ85" s="218" t="n"/>
      <c r="BK85" s="48" t="n"/>
      <c r="BL85" s="218" t="n"/>
      <c r="BM85" s="218" t="n"/>
      <c r="BN85" s="218" t="n"/>
      <c r="BO85" s="218" t="n"/>
      <c r="BP85" s="48" t="n"/>
      <c r="BQ85" s="218" t="n"/>
      <c r="BR85" s="218" t="n"/>
      <c r="BS85" s="218" t="n"/>
      <c r="BT85" s="218" t="n"/>
      <c r="BU85" s="48" t="n"/>
      <c r="BV85" s="218" t="n"/>
      <c r="BW85" s="218" t="n"/>
      <c r="BX85" s="218" t="n"/>
      <c r="BY85" s="218" t="n"/>
      <c r="BZ85" s="48" t="n"/>
      <c r="CA85" s="218" t="n"/>
      <c r="CB85" s="218" t="n"/>
      <c r="CC85" s="218" t="n"/>
      <c r="CD85" s="218" t="n"/>
      <c r="CE85" s="48" t="n"/>
      <c r="CF85" s="218" t="n"/>
      <c r="CG85" s="218" t="n"/>
      <c r="CH85" s="218" t="n"/>
      <c r="CI85" s="218" t="n"/>
      <c r="CJ85" s="48" t="n"/>
      <c r="CK85" s="218" t="n"/>
      <c r="CL85" s="218" t="n"/>
      <c r="CM85" s="218" t="n"/>
      <c r="CN85" s="218" t="n"/>
      <c r="CO85" s="48" t="n"/>
      <c r="CP85" s="218" t="n"/>
      <c r="CQ85" s="218" t="n"/>
      <c r="CR85" s="218" t="n"/>
      <c r="CS85" s="218" t="n"/>
      <c r="CT85" s="48" t="n"/>
      <c r="CU85" s="218" t="n"/>
      <c r="CV85" s="218" t="n"/>
      <c r="CW85" s="218" t="n"/>
      <c r="CX85" s="218" t="n"/>
      <c r="CY85" s="48" t="n"/>
    </row>
    <row r="86" hidden="1" outlineLevel="1">
      <c r="C86" s="32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collapsed="1" customFormat="1" s="17">
      <c r="A87" s="13" t="n"/>
      <c r="B87" s="1" t="n"/>
      <c r="C87" s="14" t="inlineStr">
        <is>
          <t>Operating Profit - EBIT</t>
        </is>
      </c>
      <c r="D87" s="16">
        <f>SUM(D83,D84)</f>
        <v>24.539</v>
      </c>
      <c r="E87" s="16">
        <f>SUM(E83,E84)</f>
        <v>48.581</v>
      </c>
      <c r="F87" s="16">
        <f>SUM(F83,F84)</f>
        <v>66.994</v>
      </c>
      <c r="G87" s="16">
        <f>SUM(G83,G84)</f>
        <v>82.548</v>
      </c>
      <c r="H87" s="16">
        <f>SUM(D87:G87)</f>
        <v>222.662</v>
      </c>
      <c r="I87" s="16">
        <f>SUM(I83,I84)</f>
        <v>62.843</v>
      </c>
      <c r="J87" s="16">
        <f>SUM(J83,J84)</f>
        <v>89.015</v>
      </c>
      <c r="K87" s="16">
        <f>SUM(K83,K84)</f>
        <v>86.9918406499999</v>
      </c>
      <c r="L87" s="16">
        <f>SUM(L83,L84)</f>
        <v>136.59</v>
      </c>
      <c r="M87" s="16">
        <f>SUM(I87:L87)</f>
        <v>375.43984065</v>
      </c>
      <c r="N87" s="16">
        <f>SUM(N83,N84)</f>
        <v>79.384</v>
      </c>
      <c r="O87" s="16">
        <f>SUM(O83,O84)</f>
        <v>112.137</v>
      </c>
      <c r="P87" s="16">
        <f>SUM(P83,P84)</f>
        <v>113.494</v>
      </c>
      <c r="Q87" s="16">
        <f>SUM(Q83,Q84)</f>
        <v>124.047</v>
      </c>
      <c r="R87" s="16">
        <f>SUM(N87:Q87)</f>
        <v>429.062</v>
      </c>
      <c r="S87" s="16">
        <f>SUM(S83,S84)</f>
        <v>114.946</v>
      </c>
      <c r="T87" s="16">
        <f>SUM(T83,T84)</f>
        <v>147.17</v>
      </c>
      <c r="U87" s="16">
        <f>SUM(U83,U84)</f>
        <v>135.86</v>
      </c>
      <c r="V87" s="16">
        <f>SUM(V83,V84)</f>
        <v>182.317</v>
      </c>
      <c r="W87" s="16">
        <f>SUM(S87:V87)</f>
        <v>580.293</v>
      </c>
      <c r="X87" s="16">
        <f>SUM(X83,X84)</f>
        <v>177.874</v>
      </c>
      <c r="Y87" s="16">
        <f>SUM(Y83,Y84)</f>
        <v>199.13226339</v>
      </c>
      <c r="Z87" s="16">
        <f>SUM(Z83,Z84)</f>
        <v>207.813</v>
      </c>
      <c r="AA87" s="16">
        <f>SUM(AA83,AA84)</f>
        <v>226.321</v>
      </c>
      <c r="AB87" s="16">
        <f>SUM(X87:AA87)</f>
        <v>811.14026339</v>
      </c>
      <c r="AC87" s="16">
        <f>SUM(AC83,AC84)</f>
        <v>278.559</v>
      </c>
      <c r="AD87" s="16">
        <f>SUM(AD83,AD84)</f>
        <v>313.13349787</v>
      </c>
      <c r="AE87" s="16">
        <f>SUM(AE83,AE84)</f>
        <v>326.193</v>
      </c>
      <c r="AF87" s="16">
        <f>SUM(AF83,AF84)</f>
        <v>342.785</v>
      </c>
      <c r="AG87" s="16">
        <f>SUM(AC87:AF87)</f>
        <v>1260.67049787</v>
      </c>
      <c r="AH87" s="16">
        <f>SUM(AH83,AH84)</f>
        <v>400.863</v>
      </c>
      <c r="AI87" s="16">
        <f>SUM(AI83,AI84)</f>
        <v>377.411</v>
      </c>
      <c r="AJ87" s="16">
        <f>SUM(AJ83,AJ84)</f>
        <v>0</v>
      </c>
      <c r="AK87" s="16">
        <f>SUM(AK83,AK84)</f>
        <v>0</v>
      </c>
      <c r="AL87" s="16">
        <f>SUM(AL83,AL84)</f>
        <v>778.274</v>
      </c>
      <c r="AM87" s="16">
        <f>SUM(AM83,AM84)</f>
        <v>0</v>
      </c>
      <c r="AN87" s="16">
        <f>SUM(AN83,AN84)</f>
        <v>0</v>
      </c>
      <c r="AO87" s="16">
        <f>SUM(AO83,AO84)</f>
        <v>0</v>
      </c>
      <c r="AP87" s="16">
        <f>SUM(AP83,AP84)</f>
        <v>0</v>
      </c>
      <c r="AQ87" s="16">
        <f>SUM(AQ83,AQ84)</f>
        <v>0</v>
      </c>
      <c r="AR87" s="16">
        <f>SUM(AR83,AR84)</f>
        <v>0</v>
      </c>
      <c r="AS87" s="16">
        <f>SUM(AS83,AS84)</f>
        <v>0</v>
      </c>
      <c r="AT87" s="16">
        <f>SUM(AT83,AT84)</f>
        <v>0</v>
      </c>
      <c r="AU87" s="16">
        <f>SUM(AU83,AU84)</f>
        <v>0</v>
      </c>
      <c r="AV87" s="16">
        <f>SUM(AV83,AV84)</f>
        <v>0</v>
      </c>
      <c r="AW87" s="16">
        <f>SUM(AW83,AW84)</f>
        <v>0</v>
      </c>
      <c r="AX87" s="16">
        <f>SUM(AX83,AX84)</f>
        <v>0</v>
      </c>
      <c r="AY87" s="16">
        <f>SUM(AY83,AY84)</f>
        <v>0</v>
      </c>
      <c r="AZ87" s="16">
        <f>SUM(AZ83,AZ84)</f>
        <v>0</v>
      </c>
      <c r="BA87" s="16">
        <f>SUM(BA83,BA84)</f>
        <v>0</v>
      </c>
      <c r="BB87" s="16">
        <f>SUM(BB83,BB84)</f>
        <v>0</v>
      </c>
      <c r="BC87" s="16">
        <f>SUM(BC83,BC84)</f>
        <v>0</v>
      </c>
      <c r="BD87" s="16">
        <f>SUM(BD83,BD84)</f>
        <v>0</v>
      </c>
      <c r="BE87" s="16">
        <f>SUM(BE83,BE84)</f>
        <v>0</v>
      </c>
      <c r="BF87" s="16">
        <f>SUM(BF83,BF84)</f>
        <v>0</v>
      </c>
      <c r="BG87" s="16">
        <f>SUM(BG83,BG84)</f>
        <v>0</v>
      </c>
      <c r="BH87" s="16">
        <f>SUM(BH83,BH84)</f>
        <v>0</v>
      </c>
      <c r="BI87" s="16">
        <f>SUM(BI83,BI84)</f>
        <v>0</v>
      </c>
      <c r="BJ87" s="16">
        <f>SUM(BJ83,BJ84)</f>
        <v>0</v>
      </c>
      <c r="BK87" s="16">
        <f>SUM(BK83,BK84)</f>
        <v>0</v>
      </c>
      <c r="BL87" s="16">
        <f>SUM(BL83,BL84)</f>
        <v>0</v>
      </c>
      <c r="BM87" s="16">
        <f>SUM(BM83,BM84)</f>
        <v>0</v>
      </c>
      <c r="BN87" s="16">
        <f>SUM(BN83,BN84)</f>
        <v>0</v>
      </c>
      <c r="BO87" s="16">
        <f>SUM(BO83,BO84)</f>
        <v>0</v>
      </c>
      <c r="BP87" s="16">
        <f>SUM(BP83,BP84)</f>
        <v>0</v>
      </c>
      <c r="BQ87" s="16">
        <f>SUM(BQ83,BQ84)</f>
        <v>0</v>
      </c>
      <c r="BR87" s="16">
        <f>SUM(BR83,BR84)</f>
        <v>0</v>
      </c>
      <c r="BS87" s="16">
        <f>SUM(BS83,BS84)</f>
        <v>0</v>
      </c>
      <c r="BT87" s="16">
        <f>SUM(BT83,BT84)</f>
        <v>0</v>
      </c>
      <c r="BU87" s="16">
        <f>SUM(BU83,BU84)</f>
        <v>0</v>
      </c>
      <c r="BV87" s="16">
        <f>SUM(BV83,BV84)</f>
        <v>0</v>
      </c>
      <c r="BW87" s="16">
        <f>SUM(BW83,BW84)</f>
        <v>0</v>
      </c>
      <c r="BX87" s="16">
        <f>SUM(BX83,BX84)</f>
        <v>0</v>
      </c>
      <c r="BY87" s="16">
        <f>SUM(BY83,BY84)</f>
        <v>0</v>
      </c>
      <c r="BZ87" s="16">
        <f>SUM(BZ83,BZ84)</f>
        <v>0</v>
      </c>
      <c r="CA87" s="16">
        <f>SUM(CA83,CA84)</f>
        <v>0</v>
      </c>
      <c r="CB87" s="16">
        <f>SUM(CB83,CB84)</f>
        <v>0</v>
      </c>
      <c r="CC87" s="16">
        <f>SUM(CC83,CC84)</f>
        <v>0</v>
      </c>
      <c r="CD87" s="16">
        <f>SUM(CD83,CD84)</f>
        <v>0</v>
      </c>
      <c r="CE87" s="16">
        <f>SUM(CE83,CE84)</f>
        <v>0</v>
      </c>
      <c r="CF87" s="16">
        <f>SUM(CF83,CF84)</f>
        <v>0</v>
      </c>
      <c r="CG87" s="16">
        <f>SUM(CG83,CG84)</f>
        <v>0</v>
      </c>
      <c r="CH87" s="16">
        <f>SUM(CH83,CH84)</f>
        <v>0</v>
      </c>
      <c r="CI87" s="16">
        <f>SUM(CI83,CI84)</f>
        <v>0</v>
      </c>
      <c r="CJ87" s="16">
        <f>SUM(CJ83,CJ84)</f>
        <v>0</v>
      </c>
      <c r="CK87" s="16">
        <f>SUM(CK83,CK84)</f>
        <v>0</v>
      </c>
      <c r="CL87" s="16">
        <f>SUM(CL83,CL84)</f>
        <v>0</v>
      </c>
      <c r="CM87" s="16">
        <f>SUM(CM83,CM84)</f>
        <v>0</v>
      </c>
      <c r="CN87" s="16">
        <f>SUM(CN83,CN84)</f>
        <v>0</v>
      </c>
      <c r="CO87" s="16">
        <f>SUM(CO83,CO84)</f>
        <v>0</v>
      </c>
      <c r="CP87" s="16">
        <f>SUM(CP83,CP84)</f>
        <v>0</v>
      </c>
      <c r="CQ87" s="16">
        <f>SUM(CQ83,CQ84)</f>
        <v>0</v>
      </c>
      <c r="CR87" s="16">
        <f>SUM(CR83,CR84)</f>
        <v>0</v>
      </c>
      <c r="CS87" s="16">
        <f>SUM(CS83,CS84)</f>
        <v>0</v>
      </c>
      <c r="CT87" s="16">
        <f>SUM(CT83,CT84)</f>
        <v>0</v>
      </c>
      <c r="CU87" s="16">
        <f>SUM(CU83,CU84)</f>
        <v>0</v>
      </c>
      <c r="CV87" s="16">
        <f>SUM(CV83,CV84)</f>
        <v>0</v>
      </c>
      <c r="CW87" s="16">
        <f>SUM(CW83,CW84)</f>
        <v>0</v>
      </c>
      <c r="CX87" s="16">
        <f>SUM(CX83,CX84)</f>
        <v>0</v>
      </c>
      <c r="CY87" s="16">
        <f>SUM(CY83,CY84)</f>
        <v>0</v>
      </c>
    </row>
    <row r="88">
      <c r="C88" s="26" t="inlineStr">
        <is>
          <t>Interest Expense</t>
        </is>
      </c>
      <c r="D88" s="25">
        <f>INDEX('Inputs (2)'!$D$8:$AL$8,MATCH(D$7,'Inputs (2)'!$D$2:$AL$2,0))</f>
        <v>-4.959</v>
      </c>
      <c r="E88" s="25">
        <f>INDEX('Inputs (2)'!$D$8:$AL$8,MATCH(E$7,'Inputs (2)'!$D$2:$AL$2,0))</f>
        <v>-5.719</v>
      </c>
      <c r="F88" s="25">
        <f>INDEX('Inputs (2)'!$D$8:$AL$8,MATCH(F$7,'Inputs (2)'!$D$2:$AL$2,0))</f>
        <v>-6.639</v>
      </c>
      <c r="G88" s="25">
        <f>INDEX('Inputs (2)'!$D$8:$AL$8,MATCH(G$7,'Inputs (2)'!$D$2:$AL$2,0))</f>
        <v>-6.166</v>
      </c>
      <c r="H88" s="3">
        <f>SUM(D88:G88)</f>
        <v>-23.483</v>
      </c>
      <c r="I88" s="25">
        <f>INDEX('Inputs (2)'!$D$8:$AL$8,MATCH(I$7,'Inputs (2)'!$D$2:$AL$2,0))</f>
        <v>-7.256</v>
      </c>
      <c r="J88" s="25">
        <f>INDEX('Inputs (2)'!$D$8:$AL$8,MATCH(J$7,'Inputs (2)'!$D$2:$AL$2,0))</f>
        <v>-9.3</v>
      </c>
      <c r="K88" s="25">
        <f>INDEX('Inputs (2)'!$D$8:$AL$8,MATCH(K$7,'Inputs (2)'!$D$2:$AL$2,0))</f>
        <v>-11.43</v>
      </c>
      <c r="L88" s="25">
        <f>INDEX('Inputs (2)'!$D$8:$AL$8,MATCH(L$7,'Inputs (2)'!$D$2:$AL$2,0))</f>
        <v>-21.731</v>
      </c>
      <c r="M88" s="3">
        <f>SUM(I88:L88)</f>
        <v>-49.717</v>
      </c>
      <c r="N88" s="25">
        <f>INDEX('Inputs (2)'!$D$8:$AL$8,MATCH(N$7,'Inputs (2)'!$D$2:$AL$2,0))</f>
        <v>-17.062</v>
      </c>
      <c r="O88" s="25">
        <f>INDEX('Inputs (2)'!$D$8:$AL$8,MATCH(O$7,'Inputs (2)'!$D$2:$AL$2,0))</f>
        <v>-22.214</v>
      </c>
      <c r="P88" s="25">
        <f>INDEX('Inputs (2)'!$D$8:$AL$8,MATCH(P$7,'Inputs (2)'!$D$2:$AL$2,0))</f>
        <v>-22.86</v>
      </c>
      <c r="Q88" s="25">
        <f>INDEX('Inputs (2)'!$D$8:$AL$8,MATCH(Q$7,'Inputs (2)'!$D$2:$AL$2,0))</f>
        <v>-26.332</v>
      </c>
      <c r="R88" s="3">
        <f>SUM(N88:Q88)</f>
        <v>-88.468</v>
      </c>
      <c r="S88" s="25">
        <f>INDEX('Inputs (2)'!$D$8:$AL$8,MATCH(S$7,'Inputs (2)'!$D$2:$AL$2,0))</f>
        <v>-25.672</v>
      </c>
      <c r="T88" s="25">
        <f>INDEX('Inputs (2)'!$D$8:$AL$8,MATCH(T$7,'Inputs (2)'!$D$2:$AL$2,0))</f>
        <v>-26.026</v>
      </c>
      <c r="U88" s="25">
        <f>INDEX('Inputs (2)'!$D$8:$AL$8,MATCH(U$7,'Inputs (2)'!$D$2:$AL$2,0))</f>
        <v>-23.214</v>
      </c>
      <c r="V88" s="25">
        <f>INDEX('Inputs (2)'!$D$8:$AL$8,MATCH(V$7,'Inputs (2)'!$D$2:$AL$2,0))</f>
        <v>-25.215</v>
      </c>
      <c r="W88" s="3">
        <f>SUM(S88:V88)</f>
        <v>-100.127</v>
      </c>
      <c r="X88" s="25">
        <f>INDEX('Inputs (2)'!$D$8:$AL$8,MATCH(X$7,'Inputs (2)'!$D$2:$AL$2,0))</f>
        <v>-24.806</v>
      </c>
      <c r="Y88" s="25">
        <f>INDEX('Inputs (2)'!$D$8:$AL$8,MATCH(Y$7,'Inputs (2)'!$D$2:$AL$2,0))</f>
        <v>-31.099</v>
      </c>
      <c r="Z88" s="25">
        <f>INDEX('Inputs (2)'!$D$8:$AL$8,MATCH(Z$7,'Inputs (2)'!$D$2:$AL$2,0))</f>
        <v>-39.673</v>
      </c>
      <c r="AA88" s="25">
        <f>INDEX('Inputs (2)'!$D$8:$AL$8,MATCH(AA$7,'Inputs (2)'!$D$2:$AL$2,0))</f>
        <v>-41.587</v>
      </c>
      <c r="AB88" s="3">
        <f>SUM(X88:AA88)</f>
        <v>-137.165</v>
      </c>
      <c r="AC88" s="25">
        <f>INDEX('Inputs (2)'!$D$8:$AL$8,MATCH(AC$7,'Inputs (2)'!$D$2:$AL$2,0))</f>
        <v>-51.332</v>
      </c>
      <c r="AD88" s="25">
        <f>INDEX('Inputs (2)'!$D$8:$AL$8,MATCH(AD$7,'Inputs (2)'!$D$2:$AL$2,0))</f>
        <v>-50.8462442900001</v>
      </c>
      <c r="AE88" s="25">
        <f>INDEX('Inputs (2)'!$D$8:$AL$8,MATCH(AE$7,'Inputs (2)'!$D$2:$AL$2,0))</f>
        <v>-56.062</v>
      </c>
      <c r="AF88" s="25">
        <f>INDEX('Inputs (2)'!$D$8:$AL$8,MATCH(AF$7,'Inputs (2)'!$D$2:$AL$2,0))</f>
        <v>-59.596</v>
      </c>
      <c r="AG88" s="3">
        <f>SUM(AC88:AF88)</f>
        <v>-217.83624429</v>
      </c>
      <c r="AH88" s="3">
        <f>INDEX('Inputs (2)'!$D$8:$AL$8,MATCH(AH$7,'Inputs (2)'!$D$2:$AL$2,0))</f>
        <v>-59.802</v>
      </c>
      <c r="AI88" s="3">
        <f>INDEX('Inputs (2)'!$D$8:$AL$8,MATCH(AI$7,'Inputs (2)'!$D$2:$AL$2,0))</f>
        <v>-70.288</v>
      </c>
      <c r="AJ88" s="3" t="n"/>
      <c r="AK88" s="3" t="n"/>
      <c r="AL88" s="3">
        <f>SUM(AH88:AK88)</f>
        <v>-130.09</v>
      </c>
      <c r="AM88" s="3" t="n"/>
      <c r="AN88" s="3" t="n"/>
      <c r="AO88" s="3" t="n"/>
      <c r="AP88" s="3" t="n"/>
      <c r="AQ88" s="3">
        <f>SUM(AM88:AP88)</f>
        <v>0</v>
      </c>
      <c r="AR88" s="3" t="n"/>
      <c r="AS88" s="3" t="n"/>
      <c r="AT88" s="3" t="n"/>
      <c r="AU88" s="3" t="n"/>
      <c r="AV88" s="3">
        <f>SUM(AR88:AU88)</f>
        <v>0</v>
      </c>
      <c r="AW88" s="3" t="n"/>
      <c r="AX88" s="3" t="n"/>
      <c r="AY88" s="3" t="n"/>
      <c r="AZ88" s="3" t="n"/>
      <c r="BA88" s="3">
        <f>SUM(AW88:AZ88)</f>
        <v>0</v>
      </c>
      <c r="BB88" s="3" t="n"/>
      <c r="BC88" s="3" t="n"/>
      <c r="BD88" s="3" t="n"/>
      <c r="BE88" s="3" t="n"/>
      <c r="BF88" s="3">
        <f>SUM(BB88:BE88)</f>
        <v>0</v>
      </c>
      <c r="BG88" s="3" t="n"/>
      <c r="BH88" s="3" t="n"/>
      <c r="BI88" s="3" t="n"/>
      <c r="BJ88" s="3" t="n"/>
      <c r="BK88" s="3">
        <f>SUM(BG88:BJ88)</f>
        <v>0</v>
      </c>
      <c r="BL88" s="3" t="n"/>
      <c r="BM88" s="3" t="n"/>
      <c r="BN88" s="3" t="n"/>
      <c r="BO88" s="3" t="n"/>
      <c r="BP88" s="3">
        <f>SUM(BL88:BO88)</f>
        <v>0</v>
      </c>
      <c r="BQ88" s="3" t="n"/>
      <c r="BR88" s="3" t="n"/>
      <c r="BS88" s="3" t="n"/>
      <c r="BT88" s="3" t="n"/>
      <c r="BU88" s="3">
        <f>SUM(BQ88:BT88)</f>
        <v>0</v>
      </c>
      <c r="BV88" s="3" t="n"/>
      <c r="BW88" s="3" t="n"/>
      <c r="BX88" s="3" t="n"/>
      <c r="BY88" s="3" t="n"/>
      <c r="BZ88" s="3">
        <f>SUM(BV88:BY88)</f>
        <v>0</v>
      </c>
      <c r="CA88" s="3" t="n"/>
      <c r="CB88" s="3" t="n"/>
      <c r="CC88" s="3" t="n"/>
      <c r="CD88" s="3" t="n"/>
      <c r="CE88" s="3">
        <f>SUM(CA88:CD88)</f>
        <v>0</v>
      </c>
      <c r="CF88" s="3" t="n"/>
      <c r="CG88" s="3" t="n"/>
      <c r="CH88" s="3" t="n"/>
      <c r="CI88" s="3" t="n"/>
      <c r="CJ88" s="3">
        <f>SUM(CF88:CI88)</f>
        <v>0</v>
      </c>
      <c r="CK88" s="3" t="n"/>
      <c r="CL88" s="3" t="n"/>
      <c r="CM88" s="3" t="n"/>
      <c r="CN88" s="3" t="n"/>
      <c r="CO88" s="3">
        <f>SUM(CK88:CN88)</f>
        <v>0</v>
      </c>
      <c r="CP88" s="3" t="n"/>
      <c r="CQ88" s="3" t="n"/>
      <c r="CR88" s="3" t="n"/>
      <c r="CS88" s="3" t="n"/>
      <c r="CT88" s="3">
        <f>SUM(CP88:CS88)</f>
        <v>0</v>
      </c>
      <c r="CU88" s="3" t="n"/>
      <c r="CV88" s="3" t="n"/>
      <c r="CW88" s="3" t="n"/>
      <c r="CX88" s="3" t="n"/>
      <c r="CY88" s="3">
        <f>SUM(CU88:CX88)</f>
        <v>0</v>
      </c>
    </row>
    <row r="89" hidden="1" outlineLevel="1">
      <c r="C89" s="32" t="inlineStr">
        <is>
          <t>% of Debt</t>
        </is>
      </c>
      <c r="D89" s="48">
        <f>IFERROR(-D88/SUM(D226+D231),0)</f>
        <v>0.0167913290511325</v>
      </c>
      <c r="E89" s="48">
        <f>IFERROR(-E88/SUM(E226+E231),0)</f>
        <v>0.0170311736887872</v>
      </c>
      <c r="F89" s="48">
        <f>IFERROR(-F88/SUM(F226+F231),0)</f>
        <v>0.0216824737419658</v>
      </c>
      <c r="G89" s="48">
        <f>IFERROR(-G88/SUM(G226+G231),0)</f>
        <v>0.022283820558505</v>
      </c>
      <c r="H89" s="3" t="n"/>
      <c r="I89" s="48">
        <f>IFERROR(-I88/SUM(I226+I231),0)</f>
        <v>0.025841468148681</v>
      </c>
      <c r="J89" s="48">
        <f>IFERROR(-J88/SUM(J226+J231),0)</f>
        <v>0.0344068517730628</v>
      </c>
      <c r="K89" s="48">
        <f>IFERROR(-K88/SUM(K226+K231),0)</f>
        <v>0.0292908688343106</v>
      </c>
      <c r="L89" s="48">
        <f>IFERROR(-L88/SUM(L226+L231),0)</f>
        <v>0.055545615344505</v>
      </c>
      <c r="M89" s="3" t="n"/>
      <c r="N89" s="48">
        <f>IFERROR(-N88/SUM(N226+N231),0)</f>
        <v>0.0436522353157892</v>
      </c>
      <c r="O89" s="48">
        <f>IFERROR(-O88/SUM(O226+O231),0)</f>
        <v>0.0556780926982345</v>
      </c>
      <c r="P89" s="48">
        <f>IFERROR(-P88/SUM(P226+P231),0)</f>
        <v>0.0501292703625491</v>
      </c>
      <c r="Q89" s="48">
        <f>IFERROR(-Q88/SUM(Q226+Q231),0)</f>
        <v>0.0547456485400883</v>
      </c>
      <c r="R89" s="3" t="n"/>
      <c r="S89" s="48">
        <f>IFERROR(-S88/SUM(S226+S231),0)</f>
        <v>0.0541013282980378</v>
      </c>
      <c r="T89" s="48">
        <f>IFERROR(-T88/SUM(T226+T231),0)</f>
        <v>0.0520929450548131</v>
      </c>
      <c r="U89" s="48">
        <f>IFERROR(-U88/SUM(U226+U231),0)</f>
        <v>0.0359506224843934</v>
      </c>
      <c r="V89" s="48">
        <f>IFERROR(-V88/SUM(V226+V231),0)</f>
        <v>0.0411101618646389</v>
      </c>
      <c r="W89" s="3" t="n"/>
      <c r="X89" s="48">
        <f>IFERROR(-X88/SUM(X226+X231),0)</f>
        <v>0.041213510774394</v>
      </c>
      <c r="Y89" s="48">
        <f>IFERROR(-Y88/SUM(Y226+Y231),0)</f>
        <v>0.0287757069706071</v>
      </c>
      <c r="Z89" s="48">
        <f>IFERROR(-Z88/SUM(Z226+Z231),0)</f>
        <v>0.0359837645404866</v>
      </c>
      <c r="AA89" s="48">
        <f>IFERROR(-AA88/SUM(AA226+AA231),0)</f>
        <v>0.0421611505481649</v>
      </c>
      <c r="AB89" s="3" t="n"/>
      <c r="AC89" s="48">
        <f>IFERROR(-AC88/SUM(AC226+AC231),0)</f>
        <v>0.0400152477644797</v>
      </c>
      <c r="AD89" s="48">
        <f>IFERROR(-AD88/SUM(AD226+AD231),0)</f>
        <v>0.0390190899093862</v>
      </c>
      <c r="AE89" s="48">
        <f>IFERROR(-AE88/SUM(AE226+AE231),0)</f>
        <v>0.0423753539342064</v>
      </c>
      <c r="AF89" s="231">
        <f>IFERROR(-AF88/SUM(AF226+AF231),0)</f>
        <v>0.0404071633962466</v>
      </c>
      <c r="AG89" s="3" t="n"/>
      <c r="AH89" s="6">
        <f>IFERROR(-AH88/SUM(AH226+AH231),0)</f>
        <v>0.0442841317046007</v>
      </c>
      <c r="AI89" s="6">
        <f>IFERROR(-AI88/SUM(AI226+AI231),0)</f>
        <v>0.0523305203048047</v>
      </c>
      <c r="AJ89" s="6" t="n"/>
      <c r="AK89" s="6" t="n"/>
      <c r="AL89" s="3" t="n"/>
      <c r="AM89" s="6" t="n"/>
      <c r="AN89" s="6" t="n"/>
      <c r="AO89" s="6" t="n"/>
      <c r="AP89" s="6" t="n"/>
      <c r="AQ89" s="3" t="n"/>
      <c r="AR89" s="6" t="n"/>
      <c r="AS89" s="6" t="n"/>
      <c r="AT89" s="6" t="n"/>
      <c r="AU89" s="6" t="n"/>
      <c r="AV89" s="3" t="n"/>
      <c r="AW89" s="6" t="n"/>
      <c r="AX89" s="6" t="n"/>
      <c r="AY89" s="6" t="n"/>
      <c r="AZ89" s="6" t="n"/>
      <c r="BA89" s="3" t="n"/>
      <c r="BB89" s="6" t="n"/>
      <c r="BC89" s="6" t="n"/>
      <c r="BD89" s="6" t="n"/>
      <c r="BE89" s="6" t="n"/>
      <c r="BF89" s="3" t="n"/>
      <c r="BG89" s="6" t="n"/>
      <c r="BH89" s="6" t="n"/>
      <c r="BI89" s="6" t="n"/>
      <c r="BJ89" s="6" t="n"/>
      <c r="BK89" s="3" t="n"/>
      <c r="BL89" s="6" t="n"/>
      <c r="BM89" s="6" t="n"/>
      <c r="BN89" s="6" t="n"/>
      <c r="BO89" s="6" t="n"/>
      <c r="BP89" s="3" t="n"/>
      <c r="BQ89" s="6" t="n"/>
      <c r="BR89" s="6" t="n"/>
      <c r="BS89" s="6" t="n"/>
      <c r="BT89" s="6" t="n"/>
      <c r="BU89" s="3" t="n"/>
      <c r="BV89" s="6" t="n"/>
      <c r="BW89" s="6" t="n"/>
      <c r="BX89" s="6" t="n"/>
      <c r="BY89" s="6" t="n"/>
      <c r="BZ89" s="3" t="n"/>
      <c r="CA89" s="6" t="n"/>
      <c r="CB89" s="6" t="n"/>
      <c r="CC89" s="6" t="n"/>
      <c r="CD89" s="6" t="n"/>
      <c r="CE89" s="3" t="n"/>
      <c r="CF89" s="6" t="n"/>
      <c r="CG89" s="6" t="n"/>
      <c r="CH89" s="6" t="n"/>
      <c r="CI89" s="6" t="n"/>
      <c r="CJ89" s="3" t="n"/>
      <c r="CK89" s="6" t="n"/>
      <c r="CL89" s="6" t="n"/>
      <c r="CM89" s="6" t="n"/>
      <c r="CN89" s="6" t="n"/>
      <c r="CO89" s="3" t="n"/>
      <c r="CP89" s="6" t="n"/>
      <c r="CQ89" s="6" t="n"/>
      <c r="CR89" s="6" t="n"/>
      <c r="CS89" s="6" t="n"/>
      <c r="CT89" s="3" t="n"/>
      <c r="CU89" s="6" t="n"/>
      <c r="CV89" s="6" t="n"/>
      <c r="CW89" s="6" t="n"/>
      <c r="CX89" s="6" t="n"/>
      <c r="CY89" s="3" t="n"/>
    </row>
    <row r="90" hidden="1" outlineLevel="1">
      <c r="C90" s="32" t="inlineStr">
        <is>
          <t>%CDI</t>
        </is>
      </c>
      <c r="D90" s="6" t="n"/>
      <c r="E90" s="6" t="n"/>
      <c r="F90" s="6" t="n"/>
      <c r="G90" s="6" t="n"/>
      <c r="H90" s="3" t="n"/>
      <c r="I90" s="6" t="n"/>
      <c r="J90" s="6" t="n"/>
      <c r="K90" s="6" t="n"/>
      <c r="L90" s="6" t="n"/>
      <c r="M90" s="3" t="n"/>
      <c r="N90" s="6" t="n"/>
      <c r="O90" s="6" t="n"/>
      <c r="P90" s="6" t="n"/>
      <c r="Q90" s="6" t="n"/>
      <c r="R90" s="3" t="n"/>
      <c r="S90" s="6" t="n"/>
      <c r="T90" s="6" t="n"/>
      <c r="U90" s="6" t="n"/>
      <c r="V90" s="6" t="n"/>
      <c r="W90" s="3" t="n"/>
      <c r="X90" s="6" t="n"/>
      <c r="Y90" s="6" t="n"/>
      <c r="Z90" s="6" t="n"/>
      <c r="AA90" s="6" t="n"/>
      <c r="AB90" s="3" t="n"/>
      <c r="AC90" s="6" t="n"/>
      <c r="AD90" s="6" t="n"/>
      <c r="AE90" s="6" t="n"/>
      <c r="AF90" s="6" t="n"/>
      <c r="AG90" s="3" t="n"/>
      <c r="AH90" s="6" t="n"/>
      <c r="AI90" s="6" t="n"/>
      <c r="AJ90" s="6" t="n"/>
      <c r="AK90" s="6" t="n"/>
      <c r="AL90" s="3" t="n"/>
      <c r="AM90" s="6" t="n"/>
      <c r="AN90" s="6" t="n"/>
      <c r="AO90" s="6" t="n"/>
      <c r="AP90" s="6" t="n"/>
      <c r="AQ90" s="3" t="n"/>
      <c r="AR90" s="6" t="n"/>
      <c r="AS90" s="6" t="n"/>
      <c r="AT90" s="6" t="n"/>
      <c r="AU90" s="6" t="n"/>
      <c r="AV90" s="3" t="n"/>
      <c r="AW90" s="6" t="n"/>
      <c r="AX90" s="6" t="n"/>
      <c r="AY90" s="6" t="n"/>
      <c r="AZ90" s="6" t="n"/>
      <c r="BA90" s="3" t="n"/>
      <c r="BB90" s="6" t="n"/>
      <c r="BC90" s="6" t="n"/>
      <c r="BD90" s="6" t="n"/>
      <c r="BE90" s="6" t="n"/>
      <c r="BF90" s="3" t="n"/>
      <c r="BG90" s="6" t="n"/>
      <c r="BH90" s="6" t="n"/>
      <c r="BI90" s="6" t="n"/>
      <c r="BJ90" s="6" t="n"/>
      <c r="BK90" s="3" t="n"/>
      <c r="BL90" s="6" t="n"/>
      <c r="BM90" s="6" t="n"/>
      <c r="BN90" s="6" t="n"/>
      <c r="BO90" s="6" t="n"/>
      <c r="BP90" s="3" t="n"/>
      <c r="BQ90" s="6" t="n"/>
      <c r="BR90" s="6" t="n"/>
      <c r="BS90" s="6" t="n"/>
      <c r="BT90" s="6" t="n"/>
      <c r="BU90" s="3" t="n"/>
      <c r="BV90" s="6" t="n"/>
      <c r="BW90" s="6" t="n"/>
      <c r="BX90" s="6" t="n"/>
      <c r="BY90" s="6" t="n"/>
      <c r="BZ90" s="3" t="n"/>
      <c r="CA90" s="6" t="n"/>
      <c r="CB90" s="6" t="n"/>
      <c r="CC90" s="6" t="n"/>
      <c r="CD90" s="6" t="n"/>
      <c r="CE90" s="3" t="n"/>
      <c r="CF90" s="6" t="n"/>
      <c r="CG90" s="6" t="n"/>
      <c r="CH90" s="6" t="n"/>
      <c r="CI90" s="6" t="n"/>
      <c r="CJ90" s="3" t="n"/>
      <c r="CK90" s="6" t="n"/>
      <c r="CL90" s="6" t="n"/>
      <c r="CM90" s="6" t="n"/>
      <c r="CN90" s="6" t="n"/>
      <c r="CO90" s="3" t="n"/>
      <c r="CP90" s="6" t="n"/>
      <c r="CQ90" s="6" t="n"/>
      <c r="CR90" s="6" t="n"/>
      <c r="CS90" s="6" t="n"/>
      <c r="CT90" s="3" t="n"/>
      <c r="CU90" s="6" t="n"/>
      <c r="CV90" s="6" t="n"/>
      <c r="CW90" s="6" t="n"/>
      <c r="CX90" s="6" t="n"/>
      <c r="CY90" s="3" t="n"/>
    </row>
    <row r="91" hidden="1" outlineLevel="1">
      <c r="C91" s="34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RECEITA FINANCEIRA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DESPESA FINANCEIRA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OUTROS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Cash and equivalents (inc. investment securities)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Interest on cash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Average interest rate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% CDI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Current portion of long-term debt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Short term debt (Revolving credit facility)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Long term debt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Convertible debt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Total debt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Interest expense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Average interest rate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Stake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PRE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CDI+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Spread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PRE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CDI+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inlineStr">
        <is>
          <t>RECEITAS FINANCEIRAS - Rendimentos de aplicações financeiras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4" t="inlineStr">
        <is>
          <t>RECEITAS FINANCEIRAS - Variação cambial ativa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4" t="inlineStr">
        <is>
          <t>RECEITAS FINANCEIRAS - Atualização de contas a pagar por aquisição de empresas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4" t="inlineStr">
        <is>
          <t>RECEITAS FINANCEIRAS - Resultado positivo com instrumentos derivativos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inlineStr">
        <is>
          <t>RECEITAS FINANCEIRAS - Descontos obtidos de fornecedores por antecipação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inlineStr">
        <is>
          <t>RECEITAS FINANCEIRAS - Atualização monetária sobre Exclusão ICMS da base de PIS/COFINS (nota explicativa nº 7)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inlineStr">
        <is>
          <t>RECEITAS FINANCEIRAS - Outras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34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34" t="inlineStr">
        <is>
          <t>DESPESAS FINANCEIRAS - Encargos sobre empréstimos, financiamentos e debêntures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hidden="1" outlineLevel="1">
      <c r="C127" s="34" t="inlineStr">
        <is>
          <t>DESPESAS FINANCEIRAS - Variação cambial passiva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4" t="inlineStr">
        <is>
          <t>DESPESAS FINANCEIRAS - Resultado negativo com instrumentos derivativos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4" t="inlineStr">
        <is>
          <t>DESPESAS FINANCEIRAS - Juros sobre arrendamento - IFRS16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hidden="1" outlineLevel="1">
      <c r="C130" s="34" t="inlineStr">
        <is>
          <t>DESPESAS FINANCEIRAS - Despesas bancárias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hidden="1" outlineLevel="1">
      <c r="C131" s="34" t="inlineStr">
        <is>
          <t>DESPESAS FINANCEIRAS - Despesas com obtenção de empréstimos e financiamentos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hidden="1" outlineLevel="1">
      <c r="C132" s="34" t="inlineStr">
        <is>
          <t>DESPESAS FINANCEIRAS - Atualização de contas a pagar por aquisição de empresas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  <c r="BZ132" s="3" t="n"/>
      <c r="CA132" s="3" t="n"/>
      <c r="CB132" s="3" t="n"/>
      <c r="CC132" s="3" t="n"/>
      <c r="CD132" s="3" t="n"/>
      <c r="CE132" s="3" t="n"/>
      <c r="CF132" s="3" t="n"/>
      <c r="CG132" s="3" t="n"/>
      <c r="CH132" s="3" t="n"/>
      <c r="CI132" s="3" t="n"/>
      <c r="CJ132" s="3" t="n"/>
      <c r="CK132" s="3" t="n"/>
      <c r="CL132" s="3" t="n"/>
      <c r="CM132" s="3" t="n"/>
      <c r="CN132" s="3" t="n"/>
      <c r="CO132" s="3" t="n"/>
      <c r="CP132" s="3" t="n"/>
      <c r="CQ132" s="3" t="n"/>
      <c r="CR132" s="3" t="n"/>
      <c r="CS132" s="3" t="n"/>
      <c r="CT132" s="3" t="n"/>
      <c r="CU132" s="3" t="n"/>
      <c r="CV132" s="3" t="n"/>
      <c r="CW132" s="3" t="n"/>
      <c r="CX132" s="3" t="n"/>
      <c r="CY132" s="3" t="n"/>
    </row>
    <row r="133" hidden="1" outlineLevel="1">
      <c r="C133" s="34" t="inlineStr">
        <is>
          <t>DESPESAS FINANCEIRAS - Outras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  <c r="CU133" s="3" t="n"/>
      <c r="CV133" s="3" t="n"/>
      <c r="CW133" s="3" t="n"/>
      <c r="CX133" s="3" t="n"/>
      <c r="CY133" s="3" t="n"/>
    </row>
    <row r="134" hidden="1" outlineLevel="1">
      <c r="C134" s="3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</row>
    <row r="135" hidden="1" outlineLevel="1">
      <c r="C135" s="34" t="inlineStr">
        <is>
          <t>CHECK [EX IFRS-16]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hidden="1" outlineLevel="1">
      <c r="C136" s="34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/>
      <c r="CF136" s="3" t="n"/>
      <c r="CG136" s="3" t="n"/>
      <c r="CH136" s="3" t="n"/>
      <c r="CI136" s="3" t="n"/>
      <c r="CJ136" s="3" t="n"/>
      <c r="CK136" s="3" t="n"/>
      <c r="CL136" s="3" t="n"/>
      <c r="CM136" s="3" t="n"/>
      <c r="CN136" s="3" t="n"/>
      <c r="CO136" s="3" t="n"/>
      <c r="CP136" s="3" t="n"/>
      <c r="CQ136" s="3" t="n"/>
      <c r="CR136" s="3" t="n"/>
      <c r="CS136" s="3" t="n"/>
      <c r="CT136" s="3" t="n"/>
      <c r="CU136" s="3" t="n"/>
      <c r="CV136" s="3" t="n"/>
      <c r="CW136" s="3" t="n"/>
      <c r="CX136" s="3" t="n"/>
      <c r="CY136" s="3" t="n"/>
    </row>
    <row r="137" collapsed="1">
      <c r="C137" s="26" t="inlineStr">
        <is>
          <t>Nonoperating Income / (Loss)</t>
        </is>
      </c>
      <c r="D137" s="25">
        <f>INDEX('Inputs (2)'!$D$9:$AL$9,MATCH(D$7,'Inputs (2)'!$D$2:$AL$2,0))</f>
        <v>2.784</v>
      </c>
      <c r="E137" s="25">
        <f>INDEX('Inputs (2)'!$D$9:$AL$9,MATCH(E$7,'Inputs (2)'!$D$2:$AL$2,0))</f>
        <v>2.827</v>
      </c>
      <c r="F137" s="25">
        <f>INDEX('Inputs (2)'!$D$9:$AL$9,MATCH(F$7,'Inputs (2)'!$D$2:$AL$2,0))</f>
        <v>5.428</v>
      </c>
      <c r="G137" s="25">
        <f>INDEX('Inputs (2)'!$D$9:$AL$9,MATCH(G$7,'Inputs (2)'!$D$2:$AL$2,0))</f>
        <v>3.634</v>
      </c>
      <c r="H137" s="3">
        <f>SUM(D137:G137)</f>
        <v>14.673</v>
      </c>
      <c r="I137" s="25">
        <f>INDEX('Inputs (2)'!$D$9:$AL$9,MATCH(I$7,'Inputs (2)'!$D$2:$AL$2,0))</f>
        <v>2.222</v>
      </c>
      <c r="J137" s="25">
        <f>INDEX('Inputs (2)'!$D$9:$AL$9,MATCH(J$7,'Inputs (2)'!$D$2:$AL$2,0))</f>
        <v>3.924</v>
      </c>
      <c r="K137" s="25">
        <f>INDEX('Inputs (2)'!$D$9:$AL$9,MATCH(K$7,'Inputs (2)'!$D$2:$AL$2,0))</f>
        <v>10.36</v>
      </c>
      <c r="L137" s="25">
        <f>INDEX('Inputs (2)'!$D$9:$AL$9,MATCH(L$7,'Inputs (2)'!$D$2:$AL$2,0))</f>
        <v>8.485</v>
      </c>
      <c r="M137" s="3">
        <f>SUM(I137:L137)</f>
        <v>24.991</v>
      </c>
      <c r="N137" s="25">
        <f>INDEX('Inputs (2)'!$D$9:$AL$9,MATCH(N$7,'Inputs (2)'!$D$2:$AL$2,0))</f>
        <v>12.977</v>
      </c>
      <c r="O137" s="25">
        <f>INDEX('Inputs (2)'!$D$9:$AL$9,MATCH(O$7,'Inputs (2)'!$D$2:$AL$2,0))</f>
        <v>17.605</v>
      </c>
      <c r="P137" s="25">
        <f>INDEX('Inputs (2)'!$D$9:$AL$9,MATCH(P$7,'Inputs (2)'!$D$2:$AL$2,0))</f>
        <v>18.795</v>
      </c>
      <c r="Q137" s="25">
        <f>INDEX('Inputs (2)'!$D$9:$AL$9,MATCH(Q$7,'Inputs (2)'!$D$2:$AL$2,0))</f>
        <v>14.654</v>
      </c>
      <c r="R137" s="3">
        <f>SUM(N137:Q137)</f>
        <v>64.031</v>
      </c>
      <c r="S137" s="25">
        <f>INDEX('Inputs (2)'!$D$9:$AL$9,MATCH(S$7,'Inputs (2)'!$D$2:$AL$2,0))</f>
        <v>20.228</v>
      </c>
      <c r="T137" s="25">
        <f>INDEX('Inputs (2)'!$D$9:$AL$9,MATCH(T$7,'Inputs (2)'!$D$2:$AL$2,0))</f>
        <v>20.425</v>
      </c>
      <c r="U137" s="25">
        <f>INDEX('Inputs (2)'!$D$9:$AL$9,MATCH(U$7,'Inputs (2)'!$D$2:$AL$2,0))</f>
        <v>19.668</v>
      </c>
      <c r="V137" s="25">
        <f>INDEX('Inputs (2)'!$D$9:$AL$9,MATCH(V$7,'Inputs (2)'!$D$2:$AL$2,0))</f>
        <v>25.895</v>
      </c>
      <c r="W137" s="3">
        <f>SUM(S137:V137)</f>
        <v>86.216</v>
      </c>
      <c r="X137" s="25">
        <f>INDEX('Inputs (2)'!$D$9:$AL$9,MATCH(X$7,'Inputs (2)'!$D$2:$AL$2,0))</f>
        <v>19.889</v>
      </c>
      <c r="Y137" s="25">
        <f>INDEX('Inputs (2)'!$D$9:$AL$9,MATCH(Y$7,'Inputs (2)'!$D$2:$AL$2,0))</f>
        <v>25.35</v>
      </c>
      <c r="Z137" s="25">
        <f>INDEX('Inputs (2)'!$D$9:$AL$9,MATCH(Z$7,'Inputs (2)'!$D$2:$AL$2,0))</f>
        <v>32.06</v>
      </c>
      <c r="AA137" s="25">
        <f>INDEX('Inputs (2)'!$D$9:$AL$9,MATCH(AA$7,'Inputs (2)'!$D$2:$AL$2,0))</f>
        <v>28.782</v>
      </c>
      <c r="AB137" s="3">
        <f>SUM(X137:AA137)</f>
        <v>106.081</v>
      </c>
      <c r="AC137" s="25">
        <f>INDEX('Inputs (2)'!$D$9:$AL$9,MATCH(AC$7,'Inputs (2)'!$D$2:$AL$2,0))</f>
        <v>36.752</v>
      </c>
      <c r="AD137" s="25">
        <f>INDEX('Inputs (2)'!$D$9:$AL$9,MATCH(AD$7,'Inputs (2)'!$D$2:$AL$2,0))</f>
        <v>35.21801198</v>
      </c>
      <c r="AE137" s="25">
        <f>INDEX('Inputs (2)'!$D$9:$AL$9,MATCH(AE$7,'Inputs (2)'!$D$2:$AL$2,0))</f>
        <v>47.368</v>
      </c>
      <c r="AF137" s="25">
        <f>INDEX('Inputs (2)'!$D$9:$AL$9,MATCH(AF$7,'Inputs (2)'!$D$2:$AL$2,0))</f>
        <v>50.684</v>
      </c>
      <c r="AG137" s="3">
        <f>SUM(AC137:AF137)</f>
        <v>170.02201198</v>
      </c>
      <c r="AH137" s="3">
        <f>INDEX('Inputs (2)'!$D$9:$AL$9,MATCH(AH$7,'Inputs (2)'!$D$2:$AL$2,0))</f>
        <v>49.093</v>
      </c>
      <c r="AI137" s="3">
        <f>INDEX('Inputs (2)'!$D$9:$AL$9,MATCH(AI$7,'Inputs (2)'!$D$2:$AL$2,0))</f>
        <v>48.168</v>
      </c>
      <c r="AJ137" s="3">
        <f>AH137</f>
        <v>49.093</v>
      </c>
      <c r="AK137" s="3">
        <f>AI137</f>
        <v>48.168</v>
      </c>
      <c r="AL137" s="3">
        <f>SUM(AH137:AK137)</f>
        <v>194.522</v>
      </c>
      <c r="AM137" s="3">
        <f>AK137</f>
        <v>48.168</v>
      </c>
      <c r="AN137" s="3">
        <f>AL137</f>
        <v>194.522</v>
      </c>
      <c r="AO137" s="3">
        <f>AM137</f>
        <v>48.168</v>
      </c>
      <c r="AP137" s="3">
        <f>AN137</f>
        <v>194.522</v>
      </c>
      <c r="AQ137" s="3">
        <f>SUM(AM137:AP137)</f>
        <v>485.38</v>
      </c>
      <c r="AR137" s="3">
        <f>AP137</f>
        <v>194.522</v>
      </c>
      <c r="AS137" s="3">
        <f>AQ137</f>
        <v>485.38</v>
      </c>
      <c r="AT137" s="3">
        <f>AR137</f>
        <v>194.522</v>
      </c>
      <c r="AU137" s="3">
        <f>AS137</f>
        <v>485.38</v>
      </c>
      <c r="AV137" s="3">
        <f>SUM(AR137:AU137)</f>
        <v>1359.804</v>
      </c>
      <c r="AW137" s="3">
        <f>AU137</f>
        <v>485.38</v>
      </c>
      <c r="AX137" s="3">
        <f>AV137</f>
        <v>1359.804</v>
      </c>
      <c r="AY137" s="3">
        <f>AW137</f>
        <v>485.38</v>
      </c>
      <c r="AZ137" s="3">
        <f>AX137</f>
        <v>1359.804</v>
      </c>
      <c r="BA137" s="3">
        <f>SUM(AW137:AZ137)</f>
        <v>3690.368</v>
      </c>
      <c r="BB137" s="3">
        <f>AZ137</f>
        <v>1359.804</v>
      </c>
      <c r="BC137" s="3">
        <f>BA137</f>
        <v>3690.368</v>
      </c>
      <c r="BD137" s="3">
        <f>BB137</f>
        <v>1359.804</v>
      </c>
      <c r="BE137" s="3">
        <f>BC137</f>
        <v>3690.368</v>
      </c>
      <c r="BF137" s="3">
        <f>SUM(BB137:BE137)</f>
        <v>10100.344</v>
      </c>
      <c r="BG137" s="3">
        <f>BE137</f>
        <v>3690.368</v>
      </c>
      <c r="BH137" s="3">
        <f>BF137</f>
        <v>10100.344</v>
      </c>
      <c r="BI137" s="3">
        <f>BG137</f>
        <v>3690.368</v>
      </c>
      <c r="BJ137" s="3">
        <f>BH137</f>
        <v>10100.344</v>
      </c>
      <c r="BK137" s="3">
        <f>SUM(BG137:BJ137)</f>
        <v>27581.424</v>
      </c>
      <c r="BL137" s="3">
        <f>BJ137</f>
        <v>10100.344</v>
      </c>
      <c r="BM137" s="3">
        <f>BK137</f>
        <v>27581.424</v>
      </c>
      <c r="BN137" s="3">
        <f>BL137</f>
        <v>10100.344</v>
      </c>
      <c r="BO137" s="3">
        <f>BM137</f>
        <v>27581.424</v>
      </c>
      <c r="BP137" s="3">
        <f>SUM(BL137:BO137)</f>
        <v>75363.536</v>
      </c>
      <c r="BQ137" s="3">
        <f>BO137</f>
        <v>27581.424</v>
      </c>
      <c r="BR137" s="3">
        <f>BP137</f>
        <v>75363.536</v>
      </c>
      <c r="BS137" s="3">
        <f>BQ137</f>
        <v>27581.424</v>
      </c>
      <c r="BT137" s="3">
        <f>BR137</f>
        <v>75363.536</v>
      </c>
      <c r="BU137" s="3">
        <f>SUM(BQ137:BT137)</f>
        <v>205889.92</v>
      </c>
      <c r="BV137" s="3">
        <f>BT137</f>
        <v>75363.536</v>
      </c>
      <c r="BW137" s="3">
        <f>BU137</f>
        <v>205889.92</v>
      </c>
      <c r="BX137" s="3">
        <f>BV137</f>
        <v>75363.536</v>
      </c>
      <c r="BY137" s="3">
        <f>BW137</f>
        <v>205889.92</v>
      </c>
      <c r="BZ137" s="3">
        <f>SUM(BV137:BY137)</f>
        <v>562506.912</v>
      </c>
      <c r="CA137" s="3">
        <f>BY137</f>
        <v>205889.92</v>
      </c>
      <c r="CB137" s="3">
        <f>BZ137</f>
        <v>562506.912</v>
      </c>
      <c r="CC137" s="3">
        <f>CA137</f>
        <v>205889.92</v>
      </c>
      <c r="CD137" s="3">
        <f>CB137</f>
        <v>562506.912</v>
      </c>
      <c r="CE137" s="3">
        <f>SUM(CA137:CD137)</f>
        <v>1536793.664</v>
      </c>
      <c r="CF137" s="3">
        <f>CD137</f>
        <v>562506.912</v>
      </c>
      <c r="CG137" s="3">
        <f>CE137</f>
        <v>1536793.664</v>
      </c>
      <c r="CH137" s="3">
        <f>CF137</f>
        <v>562506.912</v>
      </c>
      <c r="CI137" s="3">
        <f>CG137</f>
        <v>1536793.664</v>
      </c>
      <c r="CJ137" s="3">
        <f>SUM(CF137:CI137)</f>
        <v>4198601.152</v>
      </c>
      <c r="CK137" s="3">
        <f>CI137</f>
        <v>1536793.664</v>
      </c>
      <c r="CL137" s="3">
        <f>CJ137</f>
        <v>4198601.152</v>
      </c>
      <c r="CM137" s="3">
        <f>CK137</f>
        <v>1536793.664</v>
      </c>
      <c r="CN137" s="3">
        <f>CL137</f>
        <v>4198601.152</v>
      </c>
      <c r="CO137" s="3">
        <f>SUM(CK137:CN137)</f>
        <v>11470789.632</v>
      </c>
      <c r="CP137" s="3">
        <f>CN137</f>
        <v>4198601.152</v>
      </c>
      <c r="CQ137" s="3">
        <f>CO137</f>
        <v>11470789.632</v>
      </c>
      <c r="CR137" s="3">
        <f>CP137</f>
        <v>4198601.152</v>
      </c>
      <c r="CS137" s="3">
        <f>CQ137</f>
        <v>11470789.632</v>
      </c>
      <c r="CT137" s="3">
        <f>SUM(CP137:CS137)</f>
        <v>31338781.568</v>
      </c>
      <c r="CU137" s="3">
        <f>CS137</f>
        <v>11470789.632</v>
      </c>
      <c r="CV137" s="3">
        <f>CT137</f>
        <v>31338781.568</v>
      </c>
      <c r="CW137" s="3">
        <f>CU137</f>
        <v>11470789.632</v>
      </c>
      <c r="CX137" s="3">
        <f>CV137</f>
        <v>31338781.568</v>
      </c>
      <c r="CY137" s="3">
        <f>SUM(CU137:CX137)</f>
        <v>85619142.4</v>
      </c>
    </row>
    <row r="138" hidden="1" outlineLevel="1">
      <c r="C138" s="3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</row>
    <row r="139" hidden="1" outlineLevel="1">
      <c r="C139" s="32" t="inlineStr">
        <is>
          <t>Resultado Não Recorrente</t>
        </is>
      </c>
      <c r="D139" s="6" t="n"/>
      <c r="E139" s="6" t="n"/>
      <c r="F139" s="6" t="n"/>
      <c r="G139" s="6" t="n"/>
      <c r="H139" s="3" t="n"/>
      <c r="I139" s="6" t="n"/>
      <c r="J139" s="6" t="n"/>
      <c r="K139" s="6" t="n"/>
      <c r="L139" s="6" t="n"/>
      <c r="M139" s="3" t="n"/>
      <c r="N139" s="6" t="n"/>
      <c r="O139" s="6" t="n"/>
      <c r="P139" s="6" t="n"/>
      <c r="Q139" s="6" t="n"/>
      <c r="R139" s="3" t="n"/>
      <c r="S139" s="6" t="n"/>
      <c r="T139" s="6" t="n"/>
      <c r="U139" s="6" t="n"/>
      <c r="V139" s="6" t="n"/>
      <c r="W139" s="3" t="n"/>
      <c r="X139" s="6" t="n"/>
      <c r="Y139" s="6" t="n"/>
      <c r="Z139" s="6" t="n"/>
      <c r="AA139" s="6" t="n"/>
      <c r="AB139" s="3" t="n"/>
      <c r="AC139" s="6" t="n"/>
      <c r="AD139" s="6" t="n"/>
      <c r="AE139" s="6" t="n"/>
      <c r="AF139" s="6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hidden="1" outlineLevel="1">
      <c r="C140" s="32" t="inlineStr">
        <is>
          <t>Plano de Opção de Compra de Ações</t>
        </is>
      </c>
      <c r="D140" s="6" t="n"/>
      <c r="E140" s="6" t="n"/>
      <c r="F140" s="6" t="n"/>
      <c r="G140" s="6" t="n"/>
      <c r="H140" s="3" t="n"/>
      <c r="I140" s="6" t="n"/>
      <c r="J140" s="6" t="n"/>
      <c r="K140" s="6" t="n"/>
      <c r="L140" s="6" t="n"/>
      <c r="M140" s="3" t="n"/>
      <c r="N140" s="6" t="n"/>
      <c r="O140" s="6" t="n"/>
      <c r="P140" s="6" t="n"/>
      <c r="Q140" s="6" t="n"/>
      <c r="R140" s="3" t="n"/>
      <c r="S140" s="6" t="n"/>
      <c r="T140" s="6" t="n"/>
      <c r="U140" s="6" t="n"/>
      <c r="V140" s="6" t="n"/>
      <c r="W140" s="3" t="n"/>
      <c r="X140" s="6" t="n"/>
      <c r="Y140" s="6" t="n"/>
      <c r="Z140" s="6" t="n"/>
      <c r="AA140" s="6" t="n"/>
      <c r="AB140" s="3" t="n"/>
      <c r="AC140" s="6" t="n"/>
      <c r="AD140" s="6" t="n"/>
      <c r="AE140" s="6" t="n"/>
      <c r="AF140" s="6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32" t="inlineStr">
        <is>
          <t>Baixa Imobilizado</t>
        </is>
      </c>
      <c r="D141" s="6" t="n"/>
      <c r="E141" s="6" t="n"/>
      <c r="F141" s="6" t="n"/>
      <c r="G141" s="6" t="n"/>
      <c r="H141" s="3" t="n"/>
      <c r="I141" s="6" t="n"/>
      <c r="J141" s="6" t="n"/>
      <c r="K141" s="6" t="n"/>
      <c r="L141" s="6" t="n"/>
      <c r="M141" s="3" t="n"/>
      <c r="N141" s="6" t="n"/>
      <c r="O141" s="6" t="n"/>
      <c r="P141" s="6" t="n"/>
      <c r="Q141" s="6" t="n"/>
      <c r="R141" s="3" t="n"/>
      <c r="S141" s="6" t="n"/>
      <c r="T141" s="6" t="n"/>
      <c r="U141" s="6" t="n"/>
      <c r="V141" s="6" t="n"/>
      <c r="W141" s="3" t="n"/>
      <c r="X141" s="6" t="n"/>
      <c r="Y141" s="6" t="n"/>
      <c r="Z141" s="6" t="n"/>
      <c r="AA141" s="6" t="n"/>
      <c r="AB141" s="3" t="n"/>
      <c r="AC141" s="6" t="n"/>
      <c r="AD141" s="6" t="n"/>
      <c r="AE141" s="6" t="n"/>
      <c r="AF141" s="6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hidden="1" outlineLevel="1">
      <c r="C142" s="34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collapsed="1" customFormat="1" s="17">
      <c r="A144" s="13" t="n"/>
      <c r="B144" s="1" t="n"/>
      <c r="C144" s="14" t="inlineStr">
        <is>
          <t>Pretax Income - EBT</t>
        </is>
      </c>
      <c r="D144" s="16">
        <f>SUM(D87,D88,D137)</f>
        <v>22.364</v>
      </c>
      <c r="E144" s="16">
        <f>SUM(E87,E88,E137)</f>
        <v>45.689</v>
      </c>
      <c r="F144" s="16">
        <f>SUM(F87,F88,F137)</f>
        <v>65.783</v>
      </c>
      <c r="G144" s="16">
        <f>SUM(G87,G88,G137)</f>
        <v>80.016</v>
      </c>
      <c r="H144" s="16">
        <f>SUM(D144:G144)</f>
        <v>213.852</v>
      </c>
      <c r="I144" s="16">
        <f>SUM(I87,I88,I137)</f>
        <v>57.809</v>
      </c>
      <c r="J144" s="16">
        <f>SUM(J87,J88,J137)</f>
        <v>83.639</v>
      </c>
      <c r="K144" s="16">
        <f>SUM(K87,K88,K137)</f>
        <v>85.9218406499999</v>
      </c>
      <c r="L144" s="16">
        <f>SUM(L87,L88,L137)</f>
        <v>123.344</v>
      </c>
      <c r="M144" s="16">
        <f>SUM(I144:L144)</f>
        <v>350.71384065</v>
      </c>
      <c r="N144" s="16">
        <f>SUM(N87,N88,N137)</f>
        <v>75.299</v>
      </c>
      <c r="O144" s="16">
        <f>SUM(O87,O88,O137)</f>
        <v>107.528</v>
      </c>
      <c r="P144" s="16">
        <f>SUM(P87,P88,P137)</f>
        <v>109.429</v>
      </c>
      <c r="Q144" s="16">
        <f>SUM(Q87,Q88,Q137)</f>
        <v>112.369</v>
      </c>
      <c r="R144" s="16">
        <f>SUM(N144:Q144)</f>
        <v>404.625</v>
      </c>
      <c r="S144" s="16">
        <f>SUM(S87,S88,S137)</f>
        <v>109.502</v>
      </c>
      <c r="T144" s="16">
        <f>SUM(T87,T88,T137)</f>
        <v>141.569</v>
      </c>
      <c r="U144" s="16">
        <f>SUM(U87,U88,U137)</f>
        <v>132.314</v>
      </c>
      <c r="V144" s="16">
        <f>SUM(V87,V88,V137)</f>
        <v>182.997</v>
      </c>
      <c r="W144" s="16">
        <f>SUM(S144:V144)</f>
        <v>566.382</v>
      </c>
      <c r="X144" s="16">
        <f>SUM(X87,X88,X137)</f>
        <v>172.957</v>
      </c>
      <c r="Y144" s="16">
        <f>SUM(Y87,Y88,Y137)</f>
        <v>193.38326339</v>
      </c>
      <c r="Z144" s="16">
        <f>SUM(Z87,Z88,Z137)</f>
        <v>200.2</v>
      </c>
      <c r="AA144" s="16">
        <f>SUM(AA87,AA88,AA137)</f>
        <v>213.516</v>
      </c>
      <c r="AB144" s="16">
        <f>SUM(X144:AA144)</f>
        <v>780.05626339</v>
      </c>
      <c r="AC144" s="16">
        <f>SUM(AC87,AC88,AC137)</f>
        <v>263.979</v>
      </c>
      <c r="AD144" s="16">
        <f>SUM(AD87,AD88,AD137)</f>
        <v>297.50526556</v>
      </c>
      <c r="AE144" s="16">
        <f>SUM(AE87,AE88,AE137)</f>
        <v>317.499</v>
      </c>
      <c r="AF144" s="16">
        <f>SUM(AF87,AF88,AF137)</f>
        <v>333.873</v>
      </c>
      <c r="AG144" s="16">
        <f>SUM(AC144:AF144)</f>
        <v>1212.85626556</v>
      </c>
      <c r="AH144" s="16">
        <f>SUM(AH87,AH88,AH137)</f>
        <v>390.154</v>
      </c>
      <c r="AI144" s="16">
        <f>SUM(AI87,AI88,AI137)</f>
        <v>355.291</v>
      </c>
      <c r="AJ144" s="16">
        <f>SUM(AJ87,AJ88,AJ137)</f>
        <v>49.093</v>
      </c>
      <c r="AK144" s="16">
        <f>SUM(AK87,AK88,AK137)</f>
        <v>48.168</v>
      </c>
      <c r="AL144" s="16">
        <f>SUM(AH144:AK144)</f>
        <v>842.706</v>
      </c>
      <c r="AM144" s="16">
        <f>SUM(AM87,AM88,AM137)</f>
        <v>48.168</v>
      </c>
      <c r="AN144" s="16">
        <f>SUM(AN87,AN88,AN137)</f>
        <v>194.522</v>
      </c>
      <c r="AO144" s="16">
        <f>SUM(AO87,AO88,AO137)</f>
        <v>48.168</v>
      </c>
      <c r="AP144" s="16">
        <f>SUM(AP87,AP88,AP137)</f>
        <v>194.522</v>
      </c>
      <c r="AQ144" s="16">
        <f>SUM(AM144:AP144)</f>
        <v>485.38</v>
      </c>
      <c r="AR144" s="16">
        <f>SUM(AR87,AR88,AR137)</f>
        <v>194.522</v>
      </c>
      <c r="AS144" s="16">
        <f>SUM(AS87,AS88,AS137)</f>
        <v>485.38</v>
      </c>
      <c r="AT144" s="16">
        <f>SUM(AT87,AT88,AT137)</f>
        <v>194.522</v>
      </c>
      <c r="AU144" s="16">
        <f>SUM(AU87,AU88,AU137)</f>
        <v>485.38</v>
      </c>
      <c r="AV144" s="16">
        <f>SUM(AR144:AU144)</f>
        <v>1359.804</v>
      </c>
      <c r="AW144" s="16">
        <f>SUM(AW87,AW88,AW137)</f>
        <v>485.38</v>
      </c>
      <c r="AX144" s="16">
        <f>SUM(AX87,AX88,AX137)</f>
        <v>1359.804</v>
      </c>
      <c r="AY144" s="16">
        <f>SUM(AY87,AY88,AY137)</f>
        <v>485.38</v>
      </c>
      <c r="AZ144" s="16">
        <f>SUM(AZ87,AZ88,AZ137)</f>
        <v>1359.804</v>
      </c>
      <c r="BA144" s="16">
        <f>SUM(AW144:AZ144)</f>
        <v>3690.368</v>
      </c>
      <c r="BB144" s="16">
        <f>SUM(BB87,BB88,BB137)</f>
        <v>1359.804</v>
      </c>
      <c r="BC144" s="16">
        <f>SUM(BC87,BC88,BC137)</f>
        <v>3690.368</v>
      </c>
      <c r="BD144" s="16">
        <f>SUM(BD87,BD88,BD137)</f>
        <v>1359.804</v>
      </c>
      <c r="BE144" s="16">
        <f>SUM(BE87,BE88,BE137)</f>
        <v>3690.368</v>
      </c>
      <c r="BF144" s="16">
        <f>SUM(BB144:BE144)</f>
        <v>10100.344</v>
      </c>
      <c r="BG144" s="16">
        <f>SUM(BG87,BG88,BG137)</f>
        <v>3690.368</v>
      </c>
      <c r="BH144" s="16">
        <f>SUM(BH87,BH88,BH137)</f>
        <v>10100.344</v>
      </c>
      <c r="BI144" s="16">
        <f>SUM(BI87,BI88,BI137)</f>
        <v>3690.368</v>
      </c>
      <c r="BJ144" s="16">
        <f>SUM(BJ87,BJ88,BJ137)</f>
        <v>10100.344</v>
      </c>
      <c r="BK144" s="16">
        <f>SUM(BG144:BJ144)</f>
        <v>27581.424</v>
      </c>
      <c r="BL144" s="16">
        <f>SUM(BL87,BL88,BL137)</f>
        <v>10100.344</v>
      </c>
      <c r="BM144" s="16">
        <f>SUM(BM87,BM88,BM137)</f>
        <v>27581.424</v>
      </c>
      <c r="BN144" s="16">
        <f>SUM(BN87,BN88,BN137)</f>
        <v>10100.344</v>
      </c>
      <c r="BO144" s="16">
        <f>SUM(BO87,BO88,BO137)</f>
        <v>27581.424</v>
      </c>
      <c r="BP144" s="16">
        <f>SUM(BL144:BO144)</f>
        <v>75363.536</v>
      </c>
      <c r="BQ144" s="16">
        <f>SUM(BQ87,BQ88,BQ137)</f>
        <v>27581.424</v>
      </c>
      <c r="BR144" s="16">
        <f>SUM(BR87,BR88,BR137)</f>
        <v>75363.536</v>
      </c>
      <c r="BS144" s="16">
        <f>SUM(BS87,BS88,BS137)</f>
        <v>27581.424</v>
      </c>
      <c r="BT144" s="16">
        <f>SUM(BT87,BT88,BT137)</f>
        <v>75363.536</v>
      </c>
      <c r="BU144" s="16">
        <f>SUM(BQ144:BT144)</f>
        <v>205889.92</v>
      </c>
      <c r="BV144" s="16">
        <f>SUM(BV87,BV88,BV137)</f>
        <v>75363.536</v>
      </c>
      <c r="BW144" s="16">
        <f>SUM(BW87,BW88,BW137)</f>
        <v>205889.92</v>
      </c>
      <c r="BX144" s="16">
        <f>SUM(BX87,BX88,BX137)</f>
        <v>75363.536</v>
      </c>
      <c r="BY144" s="16">
        <f>SUM(BY87,BY88,BY137)</f>
        <v>205889.92</v>
      </c>
      <c r="BZ144" s="16">
        <f>SUM(BV144:BY144)</f>
        <v>562506.912</v>
      </c>
      <c r="CA144" s="16">
        <f>SUM(CA87,CA88,CA137)</f>
        <v>205889.92</v>
      </c>
      <c r="CB144" s="16">
        <f>SUM(CB87,CB88,CB137)</f>
        <v>562506.912</v>
      </c>
      <c r="CC144" s="16">
        <f>SUM(CC87,CC88,CC137)</f>
        <v>205889.92</v>
      </c>
      <c r="CD144" s="16">
        <f>SUM(CD87,CD88,CD137)</f>
        <v>562506.912</v>
      </c>
      <c r="CE144" s="16">
        <f>SUM(CA144:CD144)</f>
        <v>1536793.664</v>
      </c>
      <c r="CF144" s="16">
        <f>SUM(CF87,CF88,CF137)</f>
        <v>562506.912</v>
      </c>
      <c r="CG144" s="16">
        <f>SUM(CG87,CG88,CG137)</f>
        <v>1536793.664</v>
      </c>
      <c r="CH144" s="16">
        <f>SUM(CH87,CH88,CH137)</f>
        <v>562506.912</v>
      </c>
      <c r="CI144" s="16">
        <f>SUM(CI87,CI88,CI137)</f>
        <v>1536793.664</v>
      </c>
      <c r="CJ144" s="16">
        <f>SUM(CF144:CI144)</f>
        <v>4198601.152</v>
      </c>
      <c r="CK144" s="16">
        <f>SUM(CK87,CK88,CK137)</f>
        <v>1536793.664</v>
      </c>
      <c r="CL144" s="16">
        <f>SUM(CL87,CL88,CL137)</f>
        <v>4198601.152</v>
      </c>
      <c r="CM144" s="16">
        <f>SUM(CM87,CM88,CM137)</f>
        <v>1536793.664</v>
      </c>
      <c r="CN144" s="16">
        <f>SUM(CN87,CN88,CN137)</f>
        <v>4198601.152</v>
      </c>
      <c r="CO144" s="16">
        <f>SUM(CK144:CN144)</f>
        <v>11470789.632</v>
      </c>
      <c r="CP144" s="16">
        <f>SUM(CP87,CP88,CP137)</f>
        <v>4198601.152</v>
      </c>
      <c r="CQ144" s="16">
        <f>SUM(CQ87,CQ88,CQ137)</f>
        <v>11470789.632</v>
      </c>
      <c r="CR144" s="16">
        <f>SUM(CR87,CR88,CR137)</f>
        <v>4198601.152</v>
      </c>
      <c r="CS144" s="16">
        <f>SUM(CS87,CS88,CS137)</f>
        <v>11470789.632</v>
      </c>
      <c r="CT144" s="16">
        <f>SUM(CP144:CS144)</f>
        <v>31338781.568</v>
      </c>
      <c r="CU144" s="16">
        <f>SUM(CU87,CU88,CU137)</f>
        <v>11470789.632</v>
      </c>
      <c r="CV144" s="16">
        <f>SUM(CV87,CV88,CV137)</f>
        <v>31338781.568</v>
      </c>
      <c r="CW144" s="16">
        <f>SUM(CW87,CW88,CW137)</f>
        <v>11470789.632</v>
      </c>
      <c r="CX144" s="16">
        <f>SUM(CX87,CX88,CX137)</f>
        <v>31338781.568</v>
      </c>
      <c r="CY144" s="16">
        <f>SUM(CU144:CX144)</f>
        <v>85619142.4</v>
      </c>
    </row>
    <row r="145">
      <c r="C145" s="26" t="inlineStr">
        <is>
          <t>Taxes</t>
        </is>
      </c>
      <c r="D145" s="25">
        <f>INDEX('Inputs (2)'!$D$10:$AL$10,MATCH(D$7,'Inputs (2)'!$D$2:$AL$2,0))</f>
        <v>-7.737</v>
      </c>
      <c r="E145" s="25">
        <f>INDEX('Inputs (2)'!$D$10:$AL$10,MATCH(E$7,'Inputs (2)'!$D$2:$AL$2,0))</f>
        <v>-4.872</v>
      </c>
      <c r="F145" s="25">
        <f>INDEX('Inputs (2)'!$D$10:$AL$10,MATCH(F$7,'Inputs (2)'!$D$2:$AL$2,0))</f>
        <v>-6.903</v>
      </c>
      <c r="G145" s="25">
        <f>INDEX('Inputs (2)'!$D$10:$AL$10,MATCH(G$7,'Inputs (2)'!$D$2:$AL$2,0))</f>
        <v>-6.702</v>
      </c>
      <c r="H145" s="3">
        <f>SUM(D145:G145)</f>
        <v>-26.214</v>
      </c>
      <c r="I145" s="25">
        <f>INDEX('Inputs (2)'!$D$10:$AL$10,MATCH(I$7,'Inputs (2)'!$D$2:$AL$2,0))</f>
        <v>-6.879</v>
      </c>
      <c r="J145" s="25">
        <f>INDEX('Inputs (2)'!$D$10:$AL$10,MATCH(J$7,'Inputs (2)'!$D$2:$AL$2,0))</f>
        <v>-8.414</v>
      </c>
      <c r="K145" s="25">
        <f>INDEX('Inputs (2)'!$D$10:$AL$10,MATCH(K$7,'Inputs (2)'!$D$2:$AL$2,0))</f>
        <v>-10.332</v>
      </c>
      <c r="L145" s="25">
        <f>INDEX('Inputs (2)'!$D$10:$AL$10,MATCH(L$7,'Inputs (2)'!$D$2:$AL$2,0))</f>
        <v>-10.71</v>
      </c>
      <c r="M145" s="3">
        <f>SUM(I145:L145)</f>
        <v>-36.335</v>
      </c>
      <c r="N145" s="25">
        <f>INDEX('Inputs (2)'!$D$10:$AL$10,MATCH(N$7,'Inputs (2)'!$D$2:$AL$2,0))</f>
        <v>-11.637</v>
      </c>
      <c r="O145" s="25">
        <f>INDEX('Inputs (2)'!$D$10:$AL$10,MATCH(O$7,'Inputs (2)'!$D$2:$AL$2,0))</f>
        <v>-14.448</v>
      </c>
      <c r="P145" s="25">
        <f>INDEX('Inputs (2)'!$D$10:$AL$10,MATCH(P$7,'Inputs (2)'!$D$2:$AL$2,0))</f>
        <v>-15.534</v>
      </c>
      <c r="Q145" s="25">
        <f>INDEX('Inputs (2)'!$D$10:$AL$10,MATCH(Q$7,'Inputs (2)'!$D$2:$AL$2,0))</f>
        <v>-14.945</v>
      </c>
      <c r="R145" s="3">
        <f>SUM(N145:Q145)</f>
        <v>-56.564</v>
      </c>
      <c r="S145" s="25">
        <f>INDEX('Inputs (2)'!$D$10:$AL$10,MATCH(S$7,'Inputs (2)'!$D$2:$AL$2,0))</f>
        <v>-15.336</v>
      </c>
      <c r="T145" s="25">
        <f>INDEX('Inputs (2)'!$D$10:$AL$10,MATCH(T$7,'Inputs (2)'!$D$2:$AL$2,0))</f>
        <v>-18.195</v>
      </c>
      <c r="U145" s="25">
        <f>INDEX('Inputs (2)'!$D$10:$AL$10,MATCH(U$7,'Inputs (2)'!$D$2:$AL$2,0))</f>
        <v>-19.128</v>
      </c>
      <c r="V145" s="25">
        <f>INDEX('Inputs (2)'!$D$10:$AL$10,MATCH(V$7,'Inputs (2)'!$D$2:$AL$2,0))</f>
        <v>-19.759</v>
      </c>
      <c r="W145" s="3">
        <f>SUM(S145:V145)</f>
        <v>-72.418</v>
      </c>
      <c r="X145" s="25">
        <f>INDEX('Inputs (2)'!$D$10:$AL$10,MATCH(X$7,'Inputs (2)'!$D$2:$AL$2,0))</f>
        <v>-20.186</v>
      </c>
      <c r="Y145" s="25">
        <f>INDEX('Inputs (2)'!$D$10:$AL$10,MATCH(Y$7,'Inputs (2)'!$D$2:$AL$2,0))</f>
        <v>-20.908</v>
      </c>
      <c r="Z145" s="25">
        <f>INDEX('Inputs (2)'!$D$10:$AL$10,MATCH(Z$7,'Inputs (2)'!$D$2:$AL$2,0))</f>
        <v>-23.002</v>
      </c>
      <c r="AA145" s="25">
        <f>INDEX('Inputs (2)'!$D$10:$AL$10,MATCH(AA$7,'Inputs (2)'!$D$2:$AL$2,0))</f>
        <v>-25.688</v>
      </c>
      <c r="AB145" s="3">
        <f>SUM(X145:AA145)</f>
        <v>-89.784</v>
      </c>
      <c r="AC145" s="25">
        <f>INDEX('Inputs (2)'!$D$10:$AL$10,MATCH(AC$7,'Inputs (2)'!$D$2:$AL$2,0))</f>
        <v>-31.003</v>
      </c>
      <c r="AD145" s="25">
        <f>INDEX('Inputs (2)'!$D$10:$AL$10,MATCH(AD$7,'Inputs (2)'!$D$2:$AL$2,0))</f>
        <v>-31.439</v>
      </c>
      <c r="AE145" s="25">
        <f>INDEX('Inputs (2)'!$D$10:$AL$10,MATCH(AE$7,'Inputs (2)'!$D$2:$AL$2,0))</f>
        <v>-36.763</v>
      </c>
      <c r="AF145" s="25">
        <f>INDEX('Inputs (2)'!$D$10:$AL$10,MATCH(AF$7,'Inputs (2)'!$D$2:$AL$2,0))</f>
        <v>-39.821</v>
      </c>
      <c r="AG145" s="3">
        <f>SUM(AC145:AF145)</f>
        <v>-139.026</v>
      </c>
      <c r="AH145" s="3">
        <f>INDEX('Inputs (2)'!$D$10:$AL$10,MATCH(AH$7,'Inputs (2)'!$D$2:$AL$2,0))</f>
        <v>-41.25</v>
      </c>
      <c r="AI145" s="3">
        <f>INDEX('Inputs (2)'!$D$10:$AL$10,MATCH(AI$7,'Inputs (2)'!$D$2:$AL$2,0))</f>
        <v>-45.114</v>
      </c>
      <c r="AJ145" s="3">
        <f>AJ146*-AJ144</f>
        <v>0</v>
      </c>
      <c r="AK145" s="3">
        <f>AK146*-AK144</f>
        <v>0</v>
      </c>
      <c r="AL145" s="3">
        <f>SUM(AH145:AK145)</f>
        <v>-86.364</v>
      </c>
      <c r="AM145" s="3">
        <f>AM146*-AM144</f>
        <v>0</v>
      </c>
      <c r="AN145" s="3">
        <f>AN146*-AN144</f>
        <v>0</v>
      </c>
      <c r="AO145" s="3">
        <f>AO146*-AO144</f>
        <v>0</v>
      </c>
      <c r="AP145" s="3">
        <f>AP146*-AP144</f>
        <v>0</v>
      </c>
      <c r="AQ145" s="3">
        <f>SUM(AM145:AP145)</f>
        <v>0</v>
      </c>
      <c r="AR145" s="3">
        <f>AR146*-AR144</f>
        <v>0</v>
      </c>
      <c r="AS145" s="3">
        <f>AS146*-AS144</f>
        <v>0</v>
      </c>
      <c r="AT145" s="3">
        <f>AT146*-AT144</f>
        <v>0</v>
      </c>
      <c r="AU145" s="3">
        <f>AU146*-AU144</f>
        <v>0</v>
      </c>
      <c r="AV145" s="3">
        <f>SUM(AR145:AU145)</f>
        <v>0</v>
      </c>
      <c r="AW145" s="3">
        <f>AW146*-AW144</f>
        <v>0</v>
      </c>
      <c r="AX145" s="3">
        <f>AX146*-AX144</f>
        <v>0</v>
      </c>
      <c r="AY145" s="3">
        <f>AY146*-AY144</f>
        <v>0</v>
      </c>
      <c r="AZ145" s="3">
        <f>AZ146*-AZ144</f>
        <v>0</v>
      </c>
      <c r="BA145" s="3">
        <f>SUM(AW145:AZ145)</f>
        <v>0</v>
      </c>
      <c r="BB145" s="3">
        <f>BB146*-BB144</f>
        <v>0</v>
      </c>
      <c r="BC145" s="3">
        <f>BC146*-BC144</f>
        <v>0</v>
      </c>
      <c r="BD145" s="3">
        <f>BD146*-BD144</f>
        <v>0</v>
      </c>
      <c r="BE145" s="3">
        <f>BE146*-BE144</f>
        <v>0</v>
      </c>
      <c r="BF145" s="3">
        <f>SUM(BB145:BE145)</f>
        <v>0</v>
      </c>
      <c r="BG145" s="3">
        <f>BG146*-BG144</f>
        <v>0</v>
      </c>
      <c r="BH145" s="3">
        <f>BH146*-BH144</f>
        <v>0</v>
      </c>
      <c r="BI145" s="3">
        <f>BI146*-BI144</f>
        <v>0</v>
      </c>
      <c r="BJ145" s="3">
        <f>BJ146*-BJ144</f>
        <v>0</v>
      </c>
      <c r="BK145" s="3">
        <f>SUM(BG145:BJ145)</f>
        <v>0</v>
      </c>
      <c r="BL145" s="3">
        <f>BL146*-BL144</f>
        <v>0</v>
      </c>
      <c r="BM145" s="3">
        <f>BM146*-BM144</f>
        <v>0</v>
      </c>
      <c r="BN145" s="3">
        <f>BN146*-BN144</f>
        <v>0</v>
      </c>
      <c r="BO145" s="3">
        <f>BO146*-BO144</f>
        <v>0</v>
      </c>
      <c r="BP145" s="3">
        <f>SUM(BL145:BO145)</f>
        <v>0</v>
      </c>
      <c r="BQ145" s="3">
        <f>BQ146*-BQ144</f>
        <v>0</v>
      </c>
      <c r="BR145" s="3">
        <f>BR146*-BR144</f>
        <v>0</v>
      </c>
      <c r="BS145" s="3">
        <f>BS146*-BS144</f>
        <v>0</v>
      </c>
      <c r="BT145" s="3">
        <f>BT146*-BT144</f>
        <v>0</v>
      </c>
      <c r="BU145" s="3">
        <f>SUM(BQ145:BT145)</f>
        <v>0</v>
      </c>
      <c r="BV145" s="3">
        <f>BV146*-BV144</f>
        <v>0</v>
      </c>
      <c r="BW145" s="3">
        <f>BW146*-BW144</f>
        <v>0</v>
      </c>
      <c r="BX145" s="3">
        <f>BX146*-BX144</f>
        <v>0</v>
      </c>
      <c r="BY145" s="3">
        <f>BY146*-BY144</f>
        <v>0</v>
      </c>
      <c r="BZ145" s="3">
        <f>SUM(BV145:BY145)</f>
        <v>0</v>
      </c>
      <c r="CA145" s="3">
        <f>CA146*-CA144</f>
        <v>0</v>
      </c>
      <c r="CB145" s="3">
        <f>CB146*-CB144</f>
        <v>0</v>
      </c>
      <c r="CC145" s="3">
        <f>CC146*-CC144</f>
        <v>0</v>
      </c>
      <c r="CD145" s="3">
        <f>CD146*-CD144</f>
        <v>0</v>
      </c>
      <c r="CE145" s="3">
        <f>SUM(CA145:CD145)</f>
        <v>0</v>
      </c>
      <c r="CF145" s="3">
        <f>CF146*-CF144</f>
        <v>0</v>
      </c>
      <c r="CG145" s="3">
        <f>CG146*-CG144</f>
        <v>0</v>
      </c>
      <c r="CH145" s="3">
        <f>CH146*-CH144</f>
        <v>0</v>
      </c>
      <c r="CI145" s="3">
        <f>CI146*-CI144</f>
        <v>0</v>
      </c>
      <c r="CJ145" s="3">
        <f>SUM(CF145:CI145)</f>
        <v>0</v>
      </c>
      <c r="CK145" s="3">
        <f>CK146*-CK144</f>
        <v>0</v>
      </c>
      <c r="CL145" s="3">
        <f>CL146*-CL144</f>
        <v>0</v>
      </c>
      <c r="CM145" s="3">
        <f>CM146*-CM144</f>
        <v>0</v>
      </c>
      <c r="CN145" s="3">
        <f>CN146*-CN144</f>
        <v>0</v>
      </c>
      <c r="CO145" s="3">
        <f>SUM(CK145:CN145)</f>
        <v>0</v>
      </c>
      <c r="CP145" s="3">
        <f>CP146*-CP144</f>
        <v>0</v>
      </c>
      <c r="CQ145" s="3">
        <f>CQ146*-CQ144</f>
        <v>0</v>
      </c>
      <c r="CR145" s="3">
        <f>CR146*-CR144</f>
        <v>0</v>
      </c>
      <c r="CS145" s="3">
        <f>CS146*-CS144</f>
        <v>0</v>
      </c>
      <c r="CT145" s="3">
        <f>SUM(CP145:CS145)</f>
        <v>0</v>
      </c>
      <c r="CU145" s="3">
        <f>CU146*-CU144</f>
        <v>0</v>
      </c>
      <c r="CV145" s="3">
        <f>CV146*-CV144</f>
        <v>0</v>
      </c>
      <c r="CW145" s="3">
        <f>CW146*-CW144</f>
        <v>0</v>
      </c>
      <c r="CX145" s="3">
        <f>CX146*-CX144</f>
        <v>0</v>
      </c>
      <c r="CY145" s="3">
        <f>SUM(CU145:CX145)</f>
        <v>0</v>
      </c>
    </row>
    <row r="146" hidden="1" outlineLevel="1">
      <c r="C146" s="34" t="inlineStr">
        <is>
          <t>% ETR</t>
        </is>
      </c>
      <c r="D146" s="48">
        <f>-D145/D144</f>
        <v>0.345957789304239</v>
      </c>
      <c r="E146" s="48">
        <f>-E145/E144</f>
        <v>0.10663398192125</v>
      </c>
      <c r="F146" s="48">
        <f>-F145/F144</f>
        <v>0.104935925695088</v>
      </c>
      <c r="G146" s="48">
        <f>-G145/G144</f>
        <v>0.0837582483503299</v>
      </c>
      <c r="H146" s="48">
        <f>-H145/H144</f>
        <v>0.122580102126704</v>
      </c>
      <c r="I146" s="48">
        <f>-I145/I144</f>
        <v>0.118995312148627</v>
      </c>
      <c r="J146" s="48">
        <f>-J145/J144</f>
        <v>0.100599002857519</v>
      </c>
      <c r="K146" s="48">
        <f>-K145/K144</f>
        <v>0.120248820577379</v>
      </c>
      <c r="L146" s="48">
        <f>-L145/L144</f>
        <v>0.0868303281878324</v>
      </c>
      <c r="M146" s="48">
        <f>-M145/M144</f>
        <v>0.103602982798335</v>
      </c>
      <c r="N146" s="48">
        <f>-N145/N144</f>
        <v>0.154543885044954</v>
      </c>
      <c r="O146" s="48">
        <f>-O145/O144</f>
        <v>0.134365002603973</v>
      </c>
      <c r="P146" s="48">
        <f>-P145/P144</f>
        <v>0.141955057617268</v>
      </c>
      <c r="Q146" s="48">
        <f>-Q145/Q144</f>
        <v>0.132999314757629</v>
      </c>
      <c r="R146" s="48">
        <f>-R145/R144</f>
        <v>0.139793636082793</v>
      </c>
      <c r="S146" s="48">
        <f>-S145/S144</f>
        <v>0.140052236488831</v>
      </c>
      <c r="T146" s="48">
        <f>-T145/T144</f>
        <v>0.128523900006357</v>
      </c>
      <c r="U146" s="48">
        <f>-U145/U144</f>
        <v>0.14456520096135</v>
      </c>
      <c r="V146" s="48">
        <f>-V145/V144</f>
        <v>0.107974447668541</v>
      </c>
      <c r="W146" s="48">
        <f>-W145/W144</f>
        <v>0.127860701787839</v>
      </c>
      <c r="X146" s="48">
        <f>-X145/X144</f>
        <v>0.116711090039721</v>
      </c>
      <c r="Y146" s="48">
        <f>-Y145/Y144</f>
        <v>0.108116905431647</v>
      </c>
      <c r="Z146" s="48">
        <f>-Z145/Z144</f>
        <v>0.114895104895105</v>
      </c>
      <c r="AA146" s="48">
        <f>-AA145/AA144</f>
        <v>0.120309485003466</v>
      </c>
      <c r="AB146" s="48">
        <f>-AB145/AB144</f>
        <v>0.115099389895048</v>
      </c>
      <c r="AC146" s="48">
        <f>-AC145/AC144</f>
        <v>0.117444948272401</v>
      </c>
      <c r="AD146" s="48">
        <f>-AD145/AD144</f>
        <v>0.105675440536562</v>
      </c>
      <c r="AE146" s="48">
        <f>-AE145/AE144</f>
        <v>0.115789341068791</v>
      </c>
      <c r="AF146" s="44">
        <f>-AF145/AF144</f>
        <v>0.119269902028616</v>
      </c>
      <c r="AG146" s="48">
        <f>-AG145/AG144</f>
        <v>0.11462693803689</v>
      </c>
      <c r="AH146" s="44">
        <f>-AH145/AH144</f>
        <v>0.105727481968658</v>
      </c>
      <c r="AI146" s="44">
        <f>-AI145/AI144</f>
        <v>0.12697760427368</v>
      </c>
      <c r="AJ146" s="44" t="n"/>
      <c r="AK146" s="44" t="n"/>
      <c r="AL146" s="48">
        <f>-AL145/AL144</f>
        <v>0.102484140376359</v>
      </c>
      <c r="AM146" s="44" t="n"/>
      <c r="AN146" s="44" t="n"/>
      <c r="AO146" s="44" t="n"/>
      <c r="AP146" s="44" t="n"/>
      <c r="AQ146" s="48">
        <f>-AQ145/AQ144</f>
        <v>0</v>
      </c>
      <c r="AR146" s="44" t="n"/>
      <c r="AS146" s="44" t="n"/>
      <c r="AT146" s="44" t="n"/>
      <c r="AU146" s="44" t="n"/>
      <c r="AV146" s="48">
        <f>-AV145/AV144</f>
        <v>0</v>
      </c>
      <c r="AW146" s="44" t="n"/>
      <c r="AX146" s="44" t="n"/>
      <c r="AY146" s="44" t="n"/>
      <c r="AZ146" s="44" t="n"/>
      <c r="BA146" s="48">
        <f>-BA145/BA144</f>
        <v>0</v>
      </c>
      <c r="BB146" s="44" t="n"/>
      <c r="BC146" s="44" t="n"/>
      <c r="BD146" s="44" t="n"/>
      <c r="BE146" s="44" t="n"/>
      <c r="BF146" s="48">
        <f>-BF145/BF144</f>
        <v>0</v>
      </c>
      <c r="BG146" s="44" t="n"/>
      <c r="BH146" s="44" t="n"/>
      <c r="BI146" s="44" t="n"/>
      <c r="BJ146" s="44" t="n"/>
      <c r="BK146" s="48">
        <f>-BK145/BK144</f>
        <v>0</v>
      </c>
      <c r="BL146" s="44" t="n"/>
      <c r="BM146" s="44" t="n"/>
      <c r="BN146" s="44" t="n"/>
      <c r="BO146" s="44" t="n"/>
      <c r="BP146" s="48">
        <f>-BP145/BP144</f>
        <v>0</v>
      </c>
      <c r="BQ146" s="44" t="n"/>
      <c r="BR146" s="44" t="n"/>
      <c r="BS146" s="44" t="n"/>
      <c r="BT146" s="44" t="n"/>
      <c r="BU146" s="48">
        <f>-BU145/BU144</f>
        <v>0</v>
      </c>
      <c r="BV146" s="44" t="n"/>
      <c r="BW146" s="44" t="n"/>
      <c r="BX146" s="44" t="n"/>
      <c r="BY146" s="44" t="n"/>
      <c r="BZ146" s="48">
        <f>-BZ145/BZ144</f>
        <v>0</v>
      </c>
      <c r="CA146" s="44" t="n"/>
      <c r="CB146" s="44" t="n"/>
      <c r="CC146" s="44" t="n"/>
      <c r="CD146" s="44" t="n"/>
      <c r="CE146" s="48">
        <f>-CE145/CE144</f>
        <v>0</v>
      </c>
      <c r="CF146" s="44" t="n"/>
      <c r="CG146" s="44" t="n"/>
      <c r="CH146" s="44" t="n"/>
      <c r="CI146" s="44" t="n"/>
      <c r="CJ146" s="48">
        <f>-CJ145/CJ144</f>
        <v>0</v>
      </c>
      <c r="CK146" s="44" t="n"/>
      <c r="CL146" s="44" t="n"/>
      <c r="CM146" s="44" t="n"/>
      <c r="CN146" s="44" t="n"/>
      <c r="CO146" s="48">
        <f>-CO145/CO144</f>
        <v>0</v>
      </c>
      <c r="CP146" s="44" t="n"/>
      <c r="CQ146" s="44" t="n"/>
      <c r="CR146" s="44" t="n"/>
      <c r="CS146" s="44" t="n"/>
      <c r="CT146" s="48">
        <f>-CT145/CT144</f>
        <v>0</v>
      </c>
      <c r="CU146" s="44" t="n"/>
      <c r="CV146" s="44" t="n"/>
      <c r="CW146" s="44" t="n"/>
      <c r="CX146" s="44" t="n"/>
      <c r="CY146" s="48">
        <f>-CY145/CY144</f>
        <v>0</v>
      </c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</row>
    <row r="149" collapsed="1">
      <c r="C149" s="26" t="inlineStr">
        <is>
          <t>Equity in Income of Affiliates, after tax (enter as +)</t>
        </is>
      </c>
      <c r="D149" s="25">
        <f>INDEX('Inputs (2)'!$D$11:$AL$11,MATCH(D$7,'Inputs (2)'!$D$2:$AL$2,0))</f>
        <v>0.791</v>
      </c>
      <c r="E149" s="25">
        <f>INDEX('Inputs (2)'!$D$11:$AL$11,MATCH(E$7,'Inputs (2)'!$D$2:$AL$2,0))</f>
        <v>0.195</v>
      </c>
      <c r="F149" s="25">
        <f>INDEX('Inputs (2)'!$D$11:$AL$11,MATCH(F$7,'Inputs (2)'!$D$2:$AL$2,0))</f>
        <v>0.336</v>
      </c>
      <c r="G149" s="25">
        <f>INDEX('Inputs (2)'!$D$11:$AL$11,MATCH(G$7,'Inputs (2)'!$D$2:$AL$2,0))</f>
        <v>1.038</v>
      </c>
      <c r="H149" s="3">
        <f>SUM(D149:G149)</f>
        <v>2.36</v>
      </c>
      <c r="I149" s="25">
        <f>INDEX('Inputs (2)'!$D$11:$AL$11,MATCH(I$7,'Inputs (2)'!$D$2:$AL$2,0))</f>
        <v>1.138</v>
      </c>
      <c r="J149" s="25">
        <f>INDEX('Inputs (2)'!$D$11:$AL$11,MATCH(J$7,'Inputs (2)'!$D$2:$AL$2,0))</f>
        <v>1.726</v>
      </c>
      <c r="K149" s="25">
        <f>INDEX('Inputs (2)'!$D$11:$AL$11,MATCH(K$7,'Inputs (2)'!$D$2:$AL$2,0))</f>
        <v>-0.95</v>
      </c>
      <c r="L149" s="25">
        <f>INDEX('Inputs (2)'!$D$11:$AL$11,MATCH(L$7,'Inputs (2)'!$D$2:$AL$2,0))</f>
        <v>-0.991</v>
      </c>
      <c r="M149" s="3">
        <f>SUM(I149:L149)</f>
        <v>0.923</v>
      </c>
      <c r="N149" s="25">
        <f>INDEX('Inputs (2)'!$D$11:$AL$11,MATCH(N$7,'Inputs (2)'!$D$2:$AL$2,0))</f>
        <v>-0.311</v>
      </c>
      <c r="O149" s="25">
        <f>INDEX('Inputs (2)'!$D$11:$AL$11,MATCH(O$7,'Inputs (2)'!$D$2:$AL$2,0))</f>
        <v>-0.141</v>
      </c>
      <c r="P149" s="25">
        <f>INDEX('Inputs (2)'!$D$11:$AL$11,MATCH(P$7,'Inputs (2)'!$D$2:$AL$2,0))</f>
        <v>0.976</v>
      </c>
      <c r="Q149" s="25">
        <f>INDEX('Inputs (2)'!$D$11:$AL$11,MATCH(Q$7,'Inputs (2)'!$D$2:$AL$2,0))</f>
        <v>-0.145</v>
      </c>
      <c r="R149" s="3">
        <f>SUM(N149:Q149)</f>
        <v>0.379</v>
      </c>
      <c r="S149" s="25">
        <f>INDEX('Inputs (2)'!$D$11:$AL$11,MATCH(S$7,'Inputs (2)'!$D$2:$AL$2,0))</f>
        <v>-0.11</v>
      </c>
      <c r="T149" s="25">
        <f>INDEX('Inputs (2)'!$D$11:$AL$11,MATCH(T$7,'Inputs (2)'!$D$2:$AL$2,0))</f>
        <v>0.696</v>
      </c>
      <c r="U149" s="25">
        <f>INDEX('Inputs (2)'!$D$11:$AL$11,MATCH(U$7,'Inputs (2)'!$D$2:$AL$2,0))</f>
        <v>-0.295</v>
      </c>
      <c r="V149" s="25">
        <f>INDEX('Inputs (2)'!$D$11:$AL$11,MATCH(V$7,'Inputs (2)'!$D$2:$AL$2,0))</f>
        <v>1.356</v>
      </c>
      <c r="W149" s="3">
        <f>SUM(S149:V149)</f>
        <v>1.647</v>
      </c>
      <c r="X149" s="25">
        <f>INDEX('Inputs (2)'!$D$11:$AL$11,MATCH(X$7,'Inputs (2)'!$D$2:$AL$2,0))</f>
        <v>1.299</v>
      </c>
      <c r="Y149" s="25">
        <f>INDEX('Inputs (2)'!$D$11:$AL$11,MATCH(Y$7,'Inputs (2)'!$D$2:$AL$2,0))</f>
        <v>2.807</v>
      </c>
      <c r="Z149" s="25">
        <f>INDEX('Inputs (2)'!$D$11:$AL$11,MATCH(Z$7,'Inputs (2)'!$D$2:$AL$2,0))</f>
        <v>3.389</v>
      </c>
      <c r="AA149" s="25">
        <f>INDEX('Inputs (2)'!$D$11:$AL$11,MATCH(AA$7,'Inputs (2)'!$D$2:$AL$2,0))</f>
        <v>1.044</v>
      </c>
      <c r="AB149" s="3">
        <f>SUM(X149:AA149)</f>
        <v>8.539</v>
      </c>
      <c r="AC149" s="25">
        <f>INDEX('Inputs (2)'!$D$11:$AL$11,MATCH(AC$7,'Inputs (2)'!$D$2:$AL$2,0))</f>
        <v>0.688</v>
      </c>
      <c r="AD149" s="25">
        <f>INDEX('Inputs (2)'!$D$11:$AL$11,MATCH(AD$7,'Inputs (2)'!$D$2:$AL$2,0))</f>
        <v>1.0910762</v>
      </c>
      <c r="AE149" s="25">
        <f>INDEX('Inputs (2)'!$D$11:$AL$11,MATCH(AE$7,'Inputs (2)'!$D$2:$AL$2,0))</f>
        <v>2.474</v>
      </c>
      <c r="AF149" s="25">
        <f>INDEX('Inputs (2)'!$D$11:$AL$11,MATCH(AF$7,'Inputs (2)'!$D$2:$AL$2,0))</f>
        <v>3.137</v>
      </c>
      <c r="AG149" s="3">
        <f>SUM(AC149:AF149)</f>
        <v>7.3900762</v>
      </c>
      <c r="AH149" s="3">
        <f>INDEX('Inputs (2)'!$D$11:$AL$11,MATCH(AH$7,'Inputs (2)'!$D$2:$AL$2,0))</f>
        <v>2.282</v>
      </c>
      <c r="AI149" s="3">
        <f>INDEX('Inputs (2)'!$D$11:$AL$11,MATCH(AI$7,'Inputs (2)'!$D$2:$AL$2,0))</f>
        <v>1.014</v>
      </c>
      <c r="AJ149" s="3">
        <f>AE149*(1+AJ177)</f>
        <v>2.474</v>
      </c>
      <c r="AK149" s="3">
        <f>AF149*(1+AK177)</f>
        <v>3.137</v>
      </c>
      <c r="AL149" s="3">
        <f>SUM(AH149:AK149)</f>
        <v>8.907</v>
      </c>
      <c r="AM149" s="3">
        <f>AH149*(1+AM177)</f>
        <v>2.282</v>
      </c>
      <c r="AN149" s="3">
        <f>AI149*(1+AN177)</f>
        <v>1.014</v>
      </c>
      <c r="AO149" s="3">
        <f>AJ149*(1+AO177)</f>
        <v>2.474</v>
      </c>
      <c r="AP149" s="3">
        <f>AK149*(1+AP177)</f>
        <v>3.137</v>
      </c>
      <c r="AQ149" s="3">
        <f>SUM(AM149:AP149)</f>
        <v>8.907</v>
      </c>
      <c r="AR149" s="3">
        <f>AM149*(1+AR177)</f>
        <v>2.282</v>
      </c>
      <c r="AS149" s="3">
        <f>AN149*(1+AS177)</f>
        <v>1.014</v>
      </c>
      <c r="AT149" s="3">
        <f>AO149*(1+AT177)</f>
        <v>2.474</v>
      </c>
      <c r="AU149" s="3">
        <f>AP149*(1+AU177)</f>
        <v>3.137</v>
      </c>
      <c r="AV149" s="3">
        <f>SUM(AR149:AU149)</f>
        <v>8.907</v>
      </c>
      <c r="AW149" s="3">
        <f>AR149*(1+AW177)</f>
        <v>2.282</v>
      </c>
      <c r="AX149" s="3">
        <f>AS149*(1+AX177)</f>
        <v>1.014</v>
      </c>
      <c r="AY149" s="3">
        <f>AT149*(1+AY177)</f>
        <v>2.474</v>
      </c>
      <c r="AZ149" s="3">
        <f>AU149*(1+AZ177)</f>
        <v>3.137</v>
      </c>
      <c r="BA149" s="3">
        <f>SUM(AW149:AZ149)</f>
        <v>8.907</v>
      </c>
      <c r="BB149" s="3">
        <f>AW149*(1+BB177)</f>
        <v>2.282</v>
      </c>
      <c r="BC149" s="3">
        <f>AX149*(1+BC177)</f>
        <v>1.014</v>
      </c>
      <c r="BD149" s="3">
        <f>AY149*(1+BD177)</f>
        <v>2.474</v>
      </c>
      <c r="BE149" s="3">
        <f>AZ149*(1+BE177)</f>
        <v>3.137</v>
      </c>
      <c r="BF149" s="3">
        <f>SUM(BB149:BE149)</f>
        <v>8.907</v>
      </c>
      <c r="BG149" s="3">
        <f>BB149*(1+BG177)</f>
        <v>2.282</v>
      </c>
      <c r="BH149" s="3">
        <f>BC149*(1+BH177)</f>
        <v>1.014</v>
      </c>
      <c r="BI149" s="3">
        <f>BD149*(1+BI177)</f>
        <v>2.474</v>
      </c>
      <c r="BJ149" s="3">
        <f>BE149*(1+BJ177)</f>
        <v>3.137</v>
      </c>
      <c r="BK149" s="3">
        <f>SUM(BG149:BJ149)</f>
        <v>8.907</v>
      </c>
      <c r="BL149" s="3">
        <f>BG149*(1+BL177)</f>
        <v>2.282</v>
      </c>
      <c r="BM149" s="3">
        <f>BH149*(1+BM177)</f>
        <v>1.014</v>
      </c>
      <c r="BN149" s="3">
        <f>BI149*(1+BN177)</f>
        <v>2.474</v>
      </c>
      <c r="BO149" s="3">
        <f>BJ149*(1+BO177)</f>
        <v>3.137</v>
      </c>
      <c r="BP149" s="3">
        <f>SUM(BL149:BO149)</f>
        <v>8.907</v>
      </c>
      <c r="BQ149" s="3">
        <f>BL149*(1+BQ177)</f>
        <v>2.282</v>
      </c>
      <c r="BR149" s="3">
        <f>BM149*(1+BR177)</f>
        <v>1.014</v>
      </c>
      <c r="BS149" s="3">
        <f>BN149*(1+BS177)</f>
        <v>2.474</v>
      </c>
      <c r="BT149" s="3">
        <f>BO149*(1+BT177)</f>
        <v>3.137</v>
      </c>
      <c r="BU149" s="3">
        <f>SUM(BQ149:BT149)</f>
        <v>8.907</v>
      </c>
      <c r="BV149" s="3">
        <f>BQ149*(1+BV177)</f>
        <v>2.282</v>
      </c>
      <c r="BW149" s="3">
        <f>BR149*(1+BW177)</f>
        <v>1.014</v>
      </c>
      <c r="BX149" s="3">
        <f>BS149*(1+BX177)</f>
        <v>2.474</v>
      </c>
      <c r="BY149" s="3">
        <f>BT149*(1+BY177)</f>
        <v>3.137</v>
      </c>
      <c r="BZ149" s="3">
        <f>SUM(BV149:BY149)</f>
        <v>8.907</v>
      </c>
      <c r="CA149" s="3">
        <f>BV149*(1+CA177)</f>
        <v>2.282</v>
      </c>
      <c r="CB149" s="3">
        <f>BW149*(1+CB177)</f>
        <v>1.014</v>
      </c>
      <c r="CC149" s="3">
        <f>BX149*(1+CC177)</f>
        <v>2.474</v>
      </c>
      <c r="CD149" s="3">
        <f>BY149*(1+CD177)</f>
        <v>3.137</v>
      </c>
      <c r="CE149" s="3">
        <f>SUM(CA149:CD149)</f>
        <v>8.907</v>
      </c>
      <c r="CF149" s="3">
        <f>CA149*(1+CF177)</f>
        <v>2.282</v>
      </c>
      <c r="CG149" s="3">
        <f>CB149*(1+CG177)</f>
        <v>1.014</v>
      </c>
      <c r="CH149" s="3">
        <f>CC149*(1+CH177)</f>
        <v>2.474</v>
      </c>
      <c r="CI149" s="3">
        <f>CD149*(1+CI177)</f>
        <v>3.137</v>
      </c>
      <c r="CJ149" s="3">
        <f>SUM(CF149:CI149)</f>
        <v>8.907</v>
      </c>
      <c r="CK149" s="3">
        <f>CF149*(1+CK177)</f>
        <v>2.282</v>
      </c>
      <c r="CL149" s="3">
        <f>CG149*(1+CL177)</f>
        <v>1.014</v>
      </c>
      <c r="CM149" s="3">
        <f>CH149*(1+CM177)</f>
        <v>2.474</v>
      </c>
      <c r="CN149" s="3">
        <f>CI149*(1+CN177)</f>
        <v>3.137</v>
      </c>
      <c r="CO149" s="3">
        <f>SUM(CK149:CN149)</f>
        <v>8.907</v>
      </c>
      <c r="CP149" s="3">
        <f>CK149*(1+CP177)</f>
        <v>2.282</v>
      </c>
      <c r="CQ149" s="3">
        <f>CL149*(1+CQ177)</f>
        <v>1.014</v>
      </c>
      <c r="CR149" s="3">
        <f>CM149*(1+CR177)</f>
        <v>2.474</v>
      </c>
      <c r="CS149" s="3">
        <f>CN149*(1+CS177)</f>
        <v>3.137</v>
      </c>
      <c r="CT149" s="3">
        <f>SUM(CP149:CS149)</f>
        <v>8.907</v>
      </c>
      <c r="CU149" s="3">
        <f>CP149*(1+CU177)</f>
        <v>2.282</v>
      </c>
      <c r="CV149" s="3">
        <f>CQ149*(1+CV177)</f>
        <v>1.014</v>
      </c>
      <c r="CW149" s="3">
        <f>CR149*(1+CW177)</f>
        <v>2.474</v>
      </c>
      <c r="CX149" s="3">
        <f>CS149*(1+CX177)</f>
        <v>3.137</v>
      </c>
      <c r="CY149" s="3">
        <f>SUM(CU149:CX149)</f>
        <v>8.907</v>
      </c>
    </row>
    <row r="150">
      <c r="C150" s="26" t="inlineStr">
        <is>
          <t>Minority Interest Expense, after tax (enter as - )</t>
        </is>
      </c>
      <c r="D150" s="25">
        <f>INDEX('Inputs (2)'!$D$12:$AL$12,MATCH(D$7,'Inputs (2)'!$D$2:$AL$2,0))</f>
        <v>-8.918</v>
      </c>
      <c r="E150" s="25">
        <f>INDEX('Inputs (2)'!$D$12:$AL$12,MATCH(E$7,'Inputs (2)'!$D$2:$AL$2,0))</f>
        <v>-4.023</v>
      </c>
      <c r="F150" s="25">
        <f>INDEX('Inputs (2)'!$D$12:$AL$12,MATCH(F$7,'Inputs (2)'!$D$2:$AL$2,0))</f>
        <v>-9.861</v>
      </c>
      <c r="G150" s="25">
        <f>INDEX('Inputs (2)'!$D$12:$AL$12,MATCH(G$7,'Inputs (2)'!$D$2:$AL$2,0))</f>
        <v>-6.384</v>
      </c>
      <c r="H150" s="3">
        <f>SUM(D150:G150)</f>
        <v>-29.186</v>
      </c>
      <c r="I150" s="25">
        <f>INDEX('Inputs (2)'!$D$12:$AL$12,MATCH(I$7,'Inputs (2)'!$D$2:$AL$2,0))</f>
        <v>-2.075</v>
      </c>
      <c r="J150" s="25">
        <f>INDEX('Inputs (2)'!$D$12:$AL$12,MATCH(J$7,'Inputs (2)'!$D$2:$AL$2,0))</f>
        <v>1.652</v>
      </c>
      <c r="K150" s="25">
        <f>INDEX('Inputs (2)'!$D$12:$AL$12,MATCH(K$7,'Inputs (2)'!$D$2:$AL$2,0))</f>
        <v>-7.24172588752408</v>
      </c>
      <c r="L150" s="25">
        <f>INDEX('Inputs (2)'!$D$12:$AL$12,MATCH(L$7,'Inputs (2)'!$D$2:$AL$2,0))</f>
        <v>-7.891</v>
      </c>
      <c r="M150" s="3">
        <f>SUM(I150:L150)</f>
        <v>-15.5557258875241</v>
      </c>
      <c r="N150" s="25">
        <f>INDEX('Inputs (2)'!$D$12:$AL$12,MATCH(N$7,'Inputs (2)'!$D$2:$AL$2,0))</f>
        <v>-1.448</v>
      </c>
      <c r="O150" s="25">
        <f>INDEX('Inputs (2)'!$D$12:$AL$12,MATCH(O$7,'Inputs (2)'!$D$2:$AL$2,0))</f>
        <v>-6.614</v>
      </c>
      <c r="P150" s="25">
        <f>INDEX('Inputs (2)'!$D$12:$AL$12,MATCH(P$7,'Inputs (2)'!$D$2:$AL$2,0))</f>
        <v>-4.999</v>
      </c>
      <c r="Q150" s="25">
        <f>INDEX('Inputs (2)'!$D$12:$AL$12,MATCH(Q$7,'Inputs (2)'!$D$2:$AL$2,0))</f>
        <v>-5.494</v>
      </c>
      <c r="R150" s="3">
        <f>SUM(N150:Q150)</f>
        <v>-18.555</v>
      </c>
      <c r="S150" s="25">
        <f>INDEX('Inputs (2)'!$D$12:$AL$12,MATCH(S$7,'Inputs (2)'!$D$2:$AL$2,0))</f>
        <v>-2.207</v>
      </c>
      <c r="T150" s="25">
        <f>INDEX('Inputs (2)'!$D$12:$AL$12,MATCH(T$7,'Inputs (2)'!$D$2:$AL$2,0))</f>
        <v>-2.697</v>
      </c>
      <c r="U150" s="25">
        <f>INDEX('Inputs (2)'!$D$12:$AL$12,MATCH(U$7,'Inputs (2)'!$D$2:$AL$2,0))</f>
        <v>-4.671</v>
      </c>
      <c r="V150" s="25">
        <f>INDEX('Inputs (2)'!$D$12:$AL$12,MATCH(V$7,'Inputs (2)'!$D$2:$AL$2,0))</f>
        <v>-4.271</v>
      </c>
      <c r="W150" s="3">
        <f>SUM(S150:V150)</f>
        <v>-13.846</v>
      </c>
      <c r="X150" s="25">
        <f>INDEX('Inputs (2)'!$D$12:$AL$12,MATCH(X$7,'Inputs (2)'!$D$2:$AL$2,0))</f>
        <v>-12.829</v>
      </c>
      <c r="Y150" s="25">
        <f>INDEX('Inputs (2)'!$D$12:$AL$12,MATCH(Y$7,'Inputs (2)'!$D$2:$AL$2,0))</f>
        <v>-3.035</v>
      </c>
      <c r="Z150" s="25">
        <f>INDEX('Inputs (2)'!$D$12:$AL$12,MATCH(Z$7,'Inputs (2)'!$D$2:$AL$2,0))</f>
        <v>-10.017</v>
      </c>
      <c r="AA150" s="25">
        <f>INDEX('Inputs (2)'!$D$12:$AL$12,MATCH(AA$7,'Inputs (2)'!$D$2:$AL$2,0))</f>
        <v>-23.088</v>
      </c>
      <c r="AB150" s="3">
        <f>SUM(X150:AA150)</f>
        <v>-48.969</v>
      </c>
      <c r="AC150" s="25">
        <f>INDEX('Inputs (2)'!$D$12:$AL$12,MATCH(AC$7,'Inputs (2)'!$D$2:$AL$2,0))</f>
        <v>-20.189</v>
      </c>
      <c r="AD150" s="25">
        <f>INDEX('Inputs (2)'!$D$12:$AL$12,MATCH(AD$7,'Inputs (2)'!$D$2:$AL$2,0))</f>
        <v>-30.4264</v>
      </c>
      <c r="AE150" s="25">
        <f>INDEX('Inputs (2)'!$D$12:$AL$12,MATCH(AE$7,'Inputs (2)'!$D$2:$AL$2,0))</f>
        <v>-27.957</v>
      </c>
      <c r="AF150" s="25">
        <f>INDEX('Inputs (2)'!$D$12:$AL$12,MATCH(AF$7,'Inputs (2)'!$D$2:$AL$2,0))</f>
        <v>-27.112</v>
      </c>
      <c r="AG150" s="3">
        <f>SUM(AC150:AF150)</f>
        <v>-105.6844</v>
      </c>
      <c r="AH150" s="3">
        <f>INDEX('Inputs (2)'!$D$12:$AL$12,MATCH(AH$7,'Inputs (2)'!$D$2:$AL$2,0))</f>
        <v>-48.319</v>
      </c>
      <c r="AI150" s="3">
        <f>INDEX('Inputs (2)'!$D$12:$AL$12,MATCH(AI$7,'Inputs (2)'!$D$2:$AL$2,0))</f>
        <v>-40.74</v>
      </c>
      <c r="AJ150" s="3">
        <f>AE150*(1+AJ264)</f>
        <v>-27.957</v>
      </c>
      <c r="AK150" s="3">
        <f>AF150*(1+AK264)</f>
        <v>-27.112</v>
      </c>
      <c r="AL150" s="3">
        <f>SUM(AH150:AK150)</f>
        <v>-144.128</v>
      </c>
      <c r="AM150" s="3">
        <f>AH150*(1+AM264)</f>
        <v>-48.319</v>
      </c>
      <c r="AN150" s="3">
        <f>AI150*(1+AN264)</f>
        <v>-40.74</v>
      </c>
      <c r="AO150" s="3">
        <f>AJ150*(1+AO264)</f>
        <v>-27.957</v>
      </c>
      <c r="AP150" s="3">
        <f>AK150*(1+AP264)</f>
        <v>-27.112</v>
      </c>
      <c r="AQ150" s="3">
        <f>SUM(AM150:AP150)</f>
        <v>-144.128</v>
      </c>
      <c r="AR150" s="3">
        <f>AM150*(1+AR264)</f>
        <v>-48.319</v>
      </c>
      <c r="AS150" s="3">
        <f>AN150*(1+AS264)</f>
        <v>-40.74</v>
      </c>
      <c r="AT150" s="3">
        <f>AO150*(1+AT264)</f>
        <v>-27.957</v>
      </c>
      <c r="AU150" s="3">
        <f>AP150*(1+AU264)</f>
        <v>-27.112</v>
      </c>
      <c r="AV150" s="3">
        <f>SUM(AR150:AU150)</f>
        <v>-144.128</v>
      </c>
      <c r="AW150" s="3">
        <f>AR150*(1+AW264)</f>
        <v>-48.319</v>
      </c>
      <c r="AX150" s="3">
        <f>AS150*(1+AX264)</f>
        <v>-40.74</v>
      </c>
      <c r="AY150" s="3">
        <f>AT150*(1+AY264)</f>
        <v>-27.957</v>
      </c>
      <c r="AZ150" s="3">
        <f>AU150*(1+AZ264)</f>
        <v>-27.112</v>
      </c>
      <c r="BA150" s="3">
        <f>SUM(AW150:AZ150)</f>
        <v>-144.128</v>
      </c>
      <c r="BB150" s="3">
        <f>AW150*(1+BB264)</f>
        <v>-48.319</v>
      </c>
      <c r="BC150" s="3">
        <f>AX150*(1+BC264)</f>
        <v>-40.74</v>
      </c>
      <c r="BD150" s="3">
        <f>AY150*(1+BD264)</f>
        <v>-27.957</v>
      </c>
      <c r="BE150" s="3">
        <f>AZ150*(1+BE264)</f>
        <v>-27.112</v>
      </c>
      <c r="BF150" s="3">
        <f>SUM(BB150:BE150)</f>
        <v>-144.128</v>
      </c>
      <c r="BG150" s="3">
        <f>BB150*(1+BG264)</f>
        <v>-48.319</v>
      </c>
      <c r="BH150" s="3">
        <f>BC150*(1+BH264)</f>
        <v>-40.74</v>
      </c>
      <c r="BI150" s="3">
        <f>BD150*(1+BI264)</f>
        <v>-27.957</v>
      </c>
      <c r="BJ150" s="3">
        <f>BE150*(1+BJ264)</f>
        <v>-27.112</v>
      </c>
      <c r="BK150" s="3">
        <f>SUM(BG150:BJ150)</f>
        <v>-144.128</v>
      </c>
      <c r="BL150" s="3">
        <f>BG150*(1+BL264)</f>
        <v>-48.319</v>
      </c>
      <c r="BM150" s="3">
        <f>BH150*(1+BM264)</f>
        <v>-40.74</v>
      </c>
      <c r="BN150" s="3">
        <f>BI150*(1+BN264)</f>
        <v>-27.957</v>
      </c>
      <c r="BO150" s="3">
        <f>BJ150*(1+BO264)</f>
        <v>-27.112</v>
      </c>
      <c r="BP150" s="3">
        <f>SUM(BL150:BO150)</f>
        <v>-144.128</v>
      </c>
      <c r="BQ150" s="3">
        <f>BL150*(1+BQ264)</f>
        <v>-48.319</v>
      </c>
      <c r="BR150" s="3">
        <f>BM150*(1+BR264)</f>
        <v>-40.74</v>
      </c>
      <c r="BS150" s="3">
        <f>BN150*(1+BS264)</f>
        <v>-27.957</v>
      </c>
      <c r="BT150" s="3">
        <f>BO150*(1+BT264)</f>
        <v>-27.112</v>
      </c>
      <c r="BU150" s="3">
        <f>SUM(BQ150:BT150)</f>
        <v>-144.128</v>
      </c>
      <c r="BV150" s="3">
        <f>BQ150*(1+BV264)</f>
        <v>-48.319</v>
      </c>
      <c r="BW150" s="3">
        <f>BR150*(1+BW264)</f>
        <v>-40.74</v>
      </c>
      <c r="BX150" s="3">
        <f>BS150*(1+BX264)</f>
        <v>-27.957</v>
      </c>
      <c r="BY150" s="3">
        <f>BT150*(1+BY264)</f>
        <v>-27.112</v>
      </c>
      <c r="BZ150" s="3">
        <f>SUM(BV150:BY150)</f>
        <v>-144.128</v>
      </c>
      <c r="CA150" s="3">
        <f>BV150*(1+CA264)</f>
        <v>-48.319</v>
      </c>
      <c r="CB150" s="3">
        <f>BW150*(1+CB264)</f>
        <v>-40.74</v>
      </c>
      <c r="CC150" s="3">
        <f>BX150*(1+CC264)</f>
        <v>-27.957</v>
      </c>
      <c r="CD150" s="3">
        <f>BY150*(1+CD264)</f>
        <v>-27.112</v>
      </c>
      <c r="CE150" s="3">
        <f>SUM(CA150:CD150)</f>
        <v>-144.128</v>
      </c>
      <c r="CF150" s="3">
        <f>CA150*(1+CF264)</f>
        <v>-48.319</v>
      </c>
      <c r="CG150" s="3">
        <f>CB150*(1+CG264)</f>
        <v>-40.74</v>
      </c>
      <c r="CH150" s="3">
        <f>CC150*(1+CH264)</f>
        <v>-27.957</v>
      </c>
      <c r="CI150" s="3">
        <f>CD150*(1+CI264)</f>
        <v>-27.112</v>
      </c>
      <c r="CJ150" s="3">
        <f>SUM(CF150:CI150)</f>
        <v>-144.128</v>
      </c>
      <c r="CK150" s="3">
        <f>CF150*(1+CK264)</f>
        <v>-48.319</v>
      </c>
      <c r="CL150" s="3">
        <f>CG150*(1+CL264)</f>
        <v>-40.74</v>
      </c>
      <c r="CM150" s="3">
        <f>CH150*(1+CM264)</f>
        <v>-27.957</v>
      </c>
      <c r="CN150" s="3">
        <f>CI150*(1+CN264)</f>
        <v>-27.112</v>
      </c>
      <c r="CO150" s="3">
        <f>SUM(CK150:CN150)</f>
        <v>-144.128</v>
      </c>
      <c r="CP150" s="3">
        <f>CK150*(1+CP264)</f>
        <v>-48.319</v>
      </c>
      <c r="CQ150" s="3">
        <f>CL150*(1+CQ264)</f>
        <v>-40.74</v>
      </c>
      <c r="CR150" s="3">
        <f>CM150*(1+CR264)</f>
        <v>-27.957</v>
      </c>
      <c r="CS150" s="3">
        <f>CN150*(1+CS264)</f>
        <v>-27.112</v>
      </c>
      <c r="CT150" s="3">
        <f>SUM(CP150:CS150)</f>
        <v>-144.128</v>
      </c>
      <c r="CU150" s="3">
        <f>CP150*(1+CU264)</f>
        <v>-48.319</v>
      </c>
      <c r="CV150" s="3">
        <f>CQ150*(1+CV264)</f>
        <v>-40.74</v>
      </c>
      <c r="CW150" s="3">
        <f>CR150*(1+CW264)</f>
        <v>-27.957</v>
      </c>
      <c r="CX150" s="3">
        <f>CS150*(1+CX264)</f>
        <v>-27.112</v>
      </c>
      <c r="CY150" s="3">
        <f>SUM(CU150:CX150)</f>
        <v>-144.128</v>
      </c>
    </row>
    <row r="151" customFormat="1" s="17">
      <c r="A151" s="13" t="n"/>
      <c r="B151" s="1" t="n"/>
      <c r="C151" s="14" t="inlineStr">
        <is>
          <t>Net Income</t>
        </is>
      </c>
      <c r="D151" s="16">
        <f>SUM(D144,D145,D149,D150)</f>
        <v>6.49999999999998</v>
      </c>
      <c r="E151" s="16">
        <f>SUM(E144,E145,E149,E150)</f>
        <v>36.989</v>
      </c>
      <c r="F151" s="16">
        <f>SUM(F144,F145,F149,F150)</f>
        <v>49.3550000000001</v>
      </c>
      <c r="G151" s="16">
        <f>SUM(G144,G145,G149,G150)</f>
        <v>67.968</v>
      </c>
      <c r="H151" s="16">
        <f>SUM(D151:G151)</f>
        <v>160.812</v>
      </c>
      <c r="I151" s="16">
        <f>SUM(I144,I145,I149,I150)</f>
        <v>49.993</v>
      </c>
      <c r="J151" s="16">
        <f>SUM(J144,J145,J149,J150)</f>
        <v>78.603</v>
      </c>
      <c r="K151" s="16">
        <f>SUM(K144,K145,K149,K150)</f>
        <v>67.3981147624758</v>
      </c>
      <c r="L151" s="16">
        <f>SUM(L144,L145,L149,L150)</f>
        <v>103.752</v>
      </c>
      <c r="M151" s="16">
        <f>SUM(I151:L151)</f>
        <v>299.746114762476</v>
      </c>
      <c r="N151" s="16">
        <f>SUM(N144,N145,N149,N150)</f>
        <v>61.903</v>
      </c>
      <c r="O151" s="16">
        <f>SUM(O144,O145,O149,O150)</f>
        <v>86.325</v>
      </c>
      <c r="P151" s="16">
        <f>SUM(P144,P145,P149,P150)</f>
        <v>89.872</v>
      </c>
      <c r="Q151" s="16">
        <f>SUM(Q144,Q145,Q149,Q150)</f>
        <v>91.785</v>
      </c>
      <c r="R151" s="16">
        <f>SUM(N151:Q151)</f>
        <v>329.885</v>
      </c>
      <c r="S151" s="16">
        <f>SUM(S144,S145,S149,S150)</f>
        <v>91.849</v>
      </c>
      <c r="T151" s="16">
        <f>SUM(T144,T145,T149,T150)</f>
        <v>121.373</v>
      </c>
      <c r="U151" s="16">
        <f>SUM(U144,U145,U149,U150)</f>
        <v>108.22</v>
      </c>
      <c r="V151" s="16">
        <f>SUM(V144,V145,V149,V150)</f>
        <v>160.323</v>
      </c>
      <c r="W151" s="16">
        <f>SUM(S151:V151)</f>
        <v>481.765</v>
      </c>
      <c r="X151" s="16">
        <f>SUM(X144,X145,X149,X150)</f>
        <v>141.241</v>
      </c>
      <c r="Y151" s="16">
        <f>SUM(Y144,Y145,Y149,Y150)</f>
        <v>172.24726339</v>
      </c>
      <c r="Z151" s="16">
        <f>SUM(Z144,Z145,Z149,Z150)</f>
        <v>170.57</v>
      </c>
      <c r="AA151" s="16">
        <f>SUM(AA144,AA145,AA149,AA150)</f>
        <v>165.784</v>
      </c>
      <c r="AB151" s="16">
        <f>SUM(X151:AA151)</f>
        <v>649.84226339</v>
      </c>
      <c r="AC151" s="16">
        <f>SUM(AC144,AC145,AC149,AC150)</f>
        <v>213.475</v>
      </c>
      <c r="AD151" s="16">
        <f>SUM(AD144,AD145,AD149,AD150)</f>
        <v>236.73094176</v>
      </c>
      <c r="AE151" s="16">
        <f>SUM(AE144,AE145,AE149,AE150)</f>
        <v>255.253</v>
      </c>
      <c r="AF151" s="16">
        <f>SUM(AF144,AF145,AF149,AF150)</f>
        <v>270.077</v>
      </c>
      <c r="AG151" s="16">
        <f>SUM(AC151:AF151)</f>
        <v>975.53594176</v>
      </c>
      <c r="AH151" s="16">
        <f>SUM(AH144,AH145,AH149,AH150)</f>
        <v>302.867</v>
      </c>
      <c r="AI151" s="16">
        <f>SUM(AI144,AI145,AI149,AI150)</f>
        <v>270.451</v>
      </c>
      <c r="AJ151" s="16">
        <f>SUM(AJ144,AJ145,AJ149,AJ150)</f>
        <v>23.61</v>
      </c>
      <c r="AK151" s="16">
        <f>SUM(AK144,AK145,AK149,AK150)</f>
        <v>24.193</v>
      </c>
      <c r="AL151" s="16">
        <f>SUM(AH151:AK151)</f>
        <v>621.121</v>
      </c>
      <c r="AM151" s="16">
        <f>SUM(AM144,AM145,AM149,AM150)</f>
        <v>2.131</v>
      </c>
      <c r="AN151" s="16">
        <f>SUM(AN144,AN145,AN149,AN150)</f>
        <v>154.796</v>
      </c>
      <c r="AO151" s="16">
        <f>SUM(AO144,AO145,AO149,AO150)</f>
        <v>22.685</v>
      </c>
      <c r="AP151" s="16">
        <f>SUM(AP144,AP145,AP149,AP150)</f>
        <v>170.547</v>
      </c>
      <c r="AQ151" s="16">
        <f>SUM(AM151:AP151)</f>
        <v>350.159</v>
      </c>
      <c r="AR151" s="16">
        <f>SUM(AR144,AR145,AR149,AR150)</f>
        <v>148.485</v>
      </c>
      <c r="AS151" s="16">
        <f>SUM(AS144,AS145,AS149,AS150)</f>
        <v>445.654</v>
      </c>
      <c r="AT151" s="16">
        <f>SUM(AT144,AT145,AT149,AT150)</f>
        <v>169.039</v>
      </c>
      <c r="AU151" s="16">
        <f>SUM(AU144,AU145,AU149,AU150)</f>
        <v>461.405</v>
      </c>
      <c r="AV151" s="16">
        <f>SUM(AR151:AU151)</f>
        <v>1224.583</v>
      </c>
      <c r="AW151" s="16">
        <f>SUM(AW144,AW145,AW149,AW150)</f>
        <v>439.343</v>
      </c>
      <c r="AX151" s="16">
        <f>SUM(AX144,AX145,AX149,AX150)</f>
        <v>1320.078</v>
      </c>
      <c r="AY151" s="16">
        <f>SUM(AY144,AY145,AY149,AY150)</f>
        <v>459.897</v>
      </c>
      <c r="AZ151" s="16">
        <f>SUM(AZ144,AZ145,AZ149,AZ150)</f>
        <v>1335.829</v>
      </c>
      <c r="BA151" s="16">
        <f>SUM(AW151:AZ151)</f>
        <v>3555.147</v>
      </c>
      <c r="BB151" s="16">
        <f>SUM(BB144,BB145,BB149,BB150)</f>
        <v>1313.767</v>
      </c>
      <c r="BC151" s="16">
        <f>SUM(BC144,BC145,BC149,BC150)</f>
        <v>3650.642</v>
      </c>
      <c r="BD151" s="16">
        <f>SUM(BD144,BD145,BD149,BD150)</f>
        <v>1334.321</v>
      </c>
      <c r="BE151" s="16">
        <f>SUM(BE144,BE145,BE149,BE150)</f>
        <v>3666.393</v>
      </c>
      <c r="BF151" s="16">
        <f>SUM(BB151:BE151)</f>
        <v>9965.123</v>
      </c>
      <c r="BG151" s="16">
        <f>SUM(BG144,BG145,BG149,BG150)</f>
        <v>3644.331</v>
      </c>
      <c r="BH151" s="16">
        <f>SUM(BH144,BH145,BH149,BH150)</f>
        <v>10060.618</v>
      </c>
      <c r="BI151" s="16">
        <f>SUM(BI144,BI145,BI149,BI150)</f>
        <v>3664.885</v>
      </c>
      <c r="BJ151" s="16">
        <f>SUM(BJ144,BJ145,BJ149,BJ150)</f>
        <v>10076.369</v>
      </c>
      <c r="BK151" s="16">
        <f>SUM(BG151:BJ151)</f>
        <v>27446.203</v>
      </c>
      <c r="BL151" s="16">
        <f>SUM(BL144,BL145,BL149,BL150)</f>
        <v>10054.307</v>
      </c>
      <c r="BM151" s="16">
        <f>SUM(BM144,BM145,BM149,BM150)</f>
        <v>27541.698</v>
      </c>
      <c r="BN151" s="16">
        <f>SUM(BN144,BN145,BN149,BN150)</f>
        <v>10074.861</v>
      </c>
      <c r="BO151" s="16">
        <f>SUM(BO144,BO145,BO149,BO150)</f>
        <v>27557.449</v>
      </c>
      <c r="BP151" s="16">
        <f>SUM(BL151:BO151)</f>
        <v>75228.315</v>
      </c>
      <c r="BQ151" s="16">
        <f>SUM(BQ144,BQ145,BQ149,BQ150)</f>
        <v>27535.387</v>
      </c>
      <c r="BR151" s="16">
        <f>SUM(BR144,BR145,BR149,BR150)</f>
        <v>75323.81</v>
      </c>
      <c r="BS151" s="16">
        <f>SUM(BS144,BS145,BS149,BS150)</f>
        <v>27555.941</v>
      </c>
      <c r="BT151" s="16">
        <f>SUM(BT144,BT145,BT149,BT150)</f>
        <v>75339.561</v>
      </c>
      <c r="BU151" s="16">
        <f>SUM(BQ151:BT151)</f>
        <v>205754.699</v>
      </c>
      <c r="BV151" s="16">
        <f>SUM(BV144,BV145,BV149,BV150)</f>
        <v>75317.499</v>
      </c>
      <c r="BW151" s="16">
        <f>SUM(BW144,BW145,BW149,BW150)</f>
        <v>205850.194</v>
      </c>
      <c r="BX151" s="16">
        <f>SUM(BX144,BX145,BX149,BX150)</f>
        <v>75338.053</v>
      </c>
      <c r="BY151" s="16">
        <f>SUM(BY144,BY145,BY149,BY150)</f>
        <v>205865.945</v>
      </c>
      <c r="BZ151" s="16">
        <f>SUM(BV151:BY151)</f>
        <v>562371.691</v>
      </c>
      <c r="CA151" s="16">
        <f>SUM(CA144,CA145,CA149,CA150)</f>
        <v>205843.883</v>
      </c>
      <c r="CB151" s="16">
        <f>SUM(CB144,CB145,CB149,CB150)</f>
        <v>562467.186</v>
      </c>
      <c r="CC151" s="16">
        <f>SUM(CC144,CC145,CC149,CC150)</f>
        <v>205864.437</v>
      </c>
      <c r="CD151" s="16">
        <f>SUM(CD144,CD145,CD149,CD150)</f>
        <v>562482.937</v>
      </c>
      <c r="CE151" s="16">
        <f>SUM(CA151:CD151)</f>
        <v>1536658.443</v>
      </c>
      <c r="CF151" s="16">
        <f>SUM(CF144,CF145,CF149,CF150)</f>
        <v>562460.875</v>
      </c>
      <c r="CG151" s="16">
        <f>SUM(CG144,CG145,CG149,CG150)</f>
        <v>1536753.938</v>
      </c>
      <c r="CH151" s="16">
        <f>SUM(CH144,CH145,CH149,CH150)</f>
        <v>562481.429</v>
      </c>
      <c r="CI151" s="16">
        <f>SUM(CI144,CI145,CI149,CI150)</f>
        <v>1536769.689</v>
      </c>
      <c r="CJ151" s="16">
        <f>SUM(CF151:CI151)</f>
        <v>4198465.931</v>
      </c>
      <c r="CK151" s="16">
        <f>SUM(CK144,CK145,CK149,CK150)</f>
        <v>1536747.627</v>
      </c>
      <c r="CL151" s="16">
        <f>SUM(CL144,CL145,CL149,CL150)</f>
        <v>4198561.426</v>
      </c>
      <c r="CM151" s="16">
        <f>SUM(CM144,CM145,CM149,CM150)</f>
        <v>1536768.181</v>
      </c>
      <c r="CN151" s="16">
        <f>SUM(CN144,CN145,CN149,CN150)</f>
        <v>4198577.177</v>
      </c>
      <c r="CO151" s="16">
        <f>SUM(CK151:CN151)</f>
        <v>11470654.411</v>
      </c>
      <c r="CP151" s="16">
        <f>SUM(CP144,CP145,CP149,CP150)</f>
        <v>4198555.115</v>
      </c>
      <c r="CQ151" s="16">
        <f>SUM(CQ144,CQ145,CQ149,CQ150)</f>
        <v>11470749.906</v>
      </c>
      <c r="CR151" s="16">
        <f>SUM(CR144,CR145,CR149,CR150)</f>
        <v>4198575.669</v>
      </c>
      <c r="CS151" s="16">
        <f>SUM(CS144,CS145,CS149,CS150)</f>
        <v>11470765.657</v>
      </c>
      <c r="CT151" s="16">
        <f>SUM(CP151:CS151)</f>
        <v>31338646.347</v>
      </c>
      <c r="CU151" s="16">
        <f>SUM(CU144,CU145,CU149,CU150)</f>
        <v>11470743.595</v>
      </c>
      <c r="CV151" s="16">
        <f>SUM(CV144,CV145,CV149,CV150)</f>
        <v>31338741.842</v>
      </c>
      <c r="CW151" s="16">
        <f>SUM(CW144,CW145,CW149,CW150)</f>
        <v>11470764.149</v>
      </c>
      <c r="CX151" s="16">
        <f>SUM(CX144,CX145,CX149,CX150)</f>
        <v>31338757.593</v>
      </c>
      <c r="CY151" s="16">
        <f>SUM(CU151:CX151)</f>
        <v>85619007.179</v>
      </c>
    </row>
    <row r="152">
      <c r="C152" s="24" t="inlineStr">
        <is>
          <t>Common Dividends</t>
        </is>
      </c>
      <c r="D152" s="25">
        <f>INDEX('Inputs (2)'!$D$13:$AL$13,MATCH(D$7,'Inputs (2)'!$D$2:$AL$2,0))</f>
        <v>0</v>
      </c>
      <c r="E152" s="25">
        <f>INDEX('Inputs (2)'!$D$13:$AL$13,MATCH(E$7,'Inputs (2)'!$D$2:$AL$2,0))</f>
        <v>0</v>
      </c>
      <c r="F152" s="25">
        <f>INDEX('Inputs (2)'!$D$13:$AL$13,MATCH(F$7,'Inputs (2)'!$D$2:$AL$2,0))</f>
        <v>0</v>
      </c>
      <c r="G152" s="25">
        <f>INDEX('Inputs (2)'!$D$13:$AL$13,MATCH(G$7,'Inputs (2)'!$D$2:$AL$2,0))</f>
        <v>-170</v>
      </c>
      <c r="H152" s="3">
        <f>SUM(D152:G152)</f>
        <v>-170</v>
      </c>
      <c r="I152" s="25">
        <f>INDEX('Inputs (2)'!$D$13:$AL$13,MATCH(I$7,'Inputs (2)'!$D$2:$AL$2,0))</f>
        <v>0</v>
      </c>
      <c r="J152" s="25">
        <f>INDEX('Inputs (2)'!$D$13:$AL$13,MATCH(J$7,'Inputs (2)'!$D$2:$AL$2,0))</f>
        <v>0</v>
      </c>
      <c r="K152" s="25">
        <f>INDEX('Inputs (2)'!$D$13:$AL$13,MATCH(K$7,'Inputs (2)'!$D$2:$AL$2,0))</f>
        <v>-115</v>
      </c>
      <c r="L152" s="25">
        <f>INDEX('Inputs (2)'!$D$13:$AL$13,MATCH(L$7,'Inputs (2)'!$D$2:$AL$2,0))</f>
        <v>-50</v>
      </c>
      <c r="M152" s="3">
        <f>SUM(I152:L152)</f>
        <v>-165</v>
      </c>
      <c r="N152" s="25">
        <f>INDEX('Inputs (2)'!$D$13:$AL$13,MATCH(N$7,'Inputs (2)'!$D$2:$AL$2,0))</f>
        <v>0</v>
      </c>
      <c r="O152" s="25">
        <f>INDEX('Inputs (2)'!$D$13:$AL$13,MATCH(O$7,'Inputs (2)'!$D$2:$AL$2,0))</f>
        <v>0</v>
      </c>
      <c r="P152" s="25">
        <f>INDEX('Inputs (2)'!$D$13:$AL$13,MATCH(P$7,'Inputs (2)'!$D$2:$AL$2,0))</f>
        <v>-150</v>
      </c>
      <c r="Q152" s="25">
        <f>INDEX('Inputs (2)'!$D$13:$AL$13,MATCH(Q$7,'Inputs (2)'!$D$2:$AL$2,0))</f>
        <v>0</v>
      </c>
      <c r="R152" s="3">
        <f>SUM(N152:Q152)</f>
        <v>-150</v>
      </c>
      <c r="S152" s="25">
        <f>INDEX('Inputs (2)'!$D$13:$AL$13,MATCH(S$7,'Inputs (2)'!$D$2:$AL$2,0))</f>
        <v>-60</v>
      </c>
      <c r="T152" s="25">
        <f>INDEX('Inputs (2)'!$D$13:$AL$13,MATCH(T$7,'Inputs (2)'!$D$2:$AL$2,0))</f>
        <v>-18.348</v>
      </c>
      <c r="U152" s="25">
        <f>INDEX('Inputs (2)'!$D$13:$AL$13,MATCH(U$7,'Inputs (2)'!$D$2:$AL$2,0))</f>
        <v>0</v>
      </c>
      <c r="V152" s="25">
        <f>INDEX('Inputs (2)'!$D$13:$AL$13,MATCH(V$7,'Inputs (2)'!$D$2:$AL$2,0))</f>
        <v>-250</v>
      </c>
      <c r="W152" s="3">
        <f>SUM(S152:V152)</f>
        <v>-328.348</v>
      </c>
      <c r="X152" s="25">
        <f>INDEX('Inputs (2)'!$D$13:$AL$13,MATCH(X$7,'Inputs (2)'!$D$2:$AL$2,0))</f>
        <v>0</v>
      </c>
      <c r="Y152" s="25">
        <f>INDEX('Inputs (2)'!$D$13:$AL$13,MATCH(Y$7,'Inputs (2)'!$D$2:$AL$2,0))</f>
        <v>-118.537</v>
      </c>
      <c r="Z152" s="25">
        <f>INDEX('Inputs (2)'!$D$13:$AL$13,MATCH(Z$7,'Inputs (2)'!$D$2:$AL$2,0))</f>
        <v>-265</v>
      </c>
      <c r="AA152" s="25">
        <f>INDEX('Inputs (2)'!$D$13:$AL$13,MATCH(AA$7,'Inputs (2)'!$D$2:$AL$2,0))</f>
        <v>-100</v>
      </c>
      <c r="AB152" s="3">
        <f>SUM(X152:AA152)</f>
        <v>-483.537</v>
      </c>
      <c r="AC152" s="25">
        <f>INDEX('Inputs (2)'!$D$13:$AL$13,MATCH(AC$7,'Inputs (2)'!$D$2:$AL$2,0))</f>
        <v>-175</v>
      </c>
      <c r="AD152" s="25">
        <f>INDEX('Inputs (2)'!$D$13:$AL$13,MATCH(AD$7,'Inputs (2)'!$D$2:$AL$2,0))</f>
        <v>-154.338</v>
      </c>
      <c r="AE152" s="25">
        <f>INDEX('Inputs (2)'!$D$13:$AL$13,MATCH(AE$7,'Inputs (2)'!$D$2:$AL$2,0))</f>
        <v>0</v>
      </c>
      <c r="AF152" s="25">
        <f>INDEX('Inputs (2)'!$D$13:$AL$13,MATCH(AF$7,'Inputs (2)'!$D$2:$AL$2,0))</f>
        <v>-1023</v>
      </c>
      <c r="AG152" s="3">
        <f>SUM(AC152:AF152)</f>
        <v>-1352.338</v>
      </c>
      <c r="AH152" s="3">
        <f>INDEX('Inputs (2)'!$D$13:$AL$13,MATCH(AH$7,'Inputs (2)'!$D$2:$AL$2,0))</f>
        <v>0</v>
      </c>
      <c r="AI152" s="3">
        <f>INDEX('Inputs (2)'!$D$13:$AL$13,MATCH(AI$7,'Inputs (2)'!$D$2:$AL$2,0))</f>
        <v>-270</v>
      </c>
      <c r="AJ152" s="3" t="n"/>
      <c r="AK152" s="3" t="n"/>
      <c r="AL152" s="3">
        <f>SUM(AH152:AK152)</f>
        <v>-270</v>
      </c>
      <c r="AM152" s="3" t="n"/>
      <c r="AN152" s="3" t="n"/>
      <c r="AO152" s="3" t="n"/>
      <c r="AP152" s="3" t="n"/>
      <c r="AQ152" s="3">
        <f>SUM(AM152:AP152)</f>
        <v>0</v>
      </c>
      <c r="AR152" s="3" t="n"/>
      <c r="AS152" s="3" t="n"/>
      <c r="AT152" s="3" t="n"/>
      <c r="AU152" s="3" t="n"/>
      <c r="AV152" s="3">
        <f>SUM(AR152:AU152)</f>
        <v>0</v>
      </c>
      <c r="AW152" s="3" t="n"/>
      <c r="AX152" s="3" t="n"/>
      <c r="AY152" s="3" t="n"/>
      <c r="AZ152" s="3" t="n"/>
      <c r="BA152" s="3">
        <f>SUM(AW152:AZ152)</f>
        <v>0</v>
      </c>
      <c r="BB152" s="3" t="n"/>
      <c r="BC152" s="3" t="n"/>
      <c r="BD152" s="3" t="n"/>
      <c r="BE152" s="3" t="n"/>
      <c r="BF152" s="3">
        <f>SUM(BB152:BE152)</f>
        <v>0</v>
      </c>
      <c r="BG152" s="3" t="n"/>
      <c r="BH152" s="3" t="n"/>
      <c r="BI152" s="3" t="n"/>
      <c r="BJ152" s="3" t="n"/>
      <c r="BK152" s="3">
        <f>SUM(BG152:BJ152)</f>
        <v>0</v>
      </c>
      <c r="BL152" s="3" t="n"/>
      <c r="BM152" s="3" t="n"/>
      <c r="BN152" s="3" t="n"/>
      <c r="BO152" s="3" t="n"/>
      <c r="BP152" s="3">
        <f>SUM(BL152:BO152)</f>
        <v>0</v>
      </c>
      <c r="BQ152" s="3" t="n"/>
      <c r="BR152" s="3" t="n"/>
      <c r="BS152" s="3" t="n"/>
      <c r="BT152" s="3" t="n"/>
      <c r="BU152" s="3">
        <f>SUM(BQ152:BT152)</f>
        <v>0</v>
      </c>
      <c r="BV152" s="3" t="n"/>
      <c r="BW152" s="3" t="n"/>
      <c r="BX152" s="3" t="n"/>
      <c r="BY152" s="3" t="n"/>
      <c r="BZ152" s="3">
        <f>SUM(BV152:BY152)</f>
        <v>0</v>
      </c>
      <c r="CA152" s="3" t="n"/>
      <c r="CB152" s="3" t="n"/>
      <c r="CC152" s="3" t="n"/>
      <c r="CD152" s="3" t="n"/>
      <c r="CE152" s="3">
        <f>SUM(CA152:CD152)</f>
        <v>0</v>
      </c>
      <c r="CF152" s="3" t="n"/>
      <c r="CG152" s="3" t="n"/>
      <c r="CH152" s="3" t="n"/>
      <c r="CI152" s="3" t="n"/>
      <c r="CJ152" s="3">
        <f>SUM(CF152:CI152)</f>
        <v>0</v>
      </c>
      <c r="CK152" s="3" t="n"/>
      <c r="CL152" s="3" t="n"/>
      <c r="CM152" s="3" t="n"/>
      <c r="CN152" s="3" t="n"/>
      <c r="CO152" s="3">
        <f>SUM(CK152:CN152)</f>
        <v>0</v>
      </c>
      <c r="CP152" s="3" t="n"/>
      <c r="CQ152" s="3" t="n"/>
      <c r="CR152" s="3" t="n"/>
      <c r="CS152" s="3" t="n"/>
      <c r="CT152" s="3">
        <f>SUM(CP152:CS152)</f>
        <v>0</v>
      </c>
      <c r="CU152" s="3" t="n"/>
      <c r="CV152" s="3" t="n"/>
      <c r="CW152" s="3" t="n"/>
      <c r="CX152" s="3" t="n"/>
      <c r="CY152" s="3">
        <f>SUM(CU152:CX152)</f>
        <v>0</v>
      </c>
    </row>
    <row r="153" hidden="1" outlineLevel="1">
      <c r="C153" s="32" t="inlineStr">
        <is>
          <t>% DVD Payout</t>
        </is>
      </c>
      <c r="D153" s="40">
        <f>-D152/D151</f>
        <v>0</v>
      </c>
      <c r="E153" s="40">
        <f>-E152/E151</f>
        <v>0</v>
      </c>
      <c r="F153" s="40">
        <f>-F152/F151</f>
        <v>0</v>
      </c>
      <c r="G153" s="40">
        <f>-G152/G151</f>
        <v>2.50117702448211</v>
      </c>
      <c r="H153" s="40">
        <f>-H152/H151</f>
        <v>1.05713503967366</v>
      </c>
      <c r="I153" s="40">
        <f>-I152/I151</f>
        <v>0</v>
      </c>
      <c r="J153" s="40">
        <f>-J152/J151</f>
        <v>0</v>
      </c>
      <c r="K153" s="40">
        <f>-K152/K151</f>
        <v>1.7062791801415</v>
      </c>
      <c r="L153" s="40">
        <f>-L152/L151</f>
        <v>0.481918420849719</v>
      </c>
      <c r="M153" s="40">
        <f>-M152/M151</f>
        <v>0.550465850510686</v>
      </c>
      <c r="N153" s="40">
        <f>-N152/N151</f>
        <v>0</v>
      </c>
      <c r="O153" s="40">
        <f>-O152/O151</f>
        <v>0</v>
      </c>
      <c r="P153" s="40">
        <f>-P152/P151</f>
        <v>1.66904041303187</v>
      </c>
      <c r="Q153" s="40">
        <f>-Q152/Q151</f>
        <v>0</v>
      </c>
      <c r="R153" s="40">
        <f>-R152/R151</f>
        <v>0.454703911969323</v>
      </c>
      <c r="S153" s="40">
        <f>-S152/S151</f>
        <v>0.653246088689044</v>
      </c>
      <c r="T153" s="40">
        <f>-T152/T151</f>
        <v>0.15117035914083</v>
      </c>
      <c r="U153" s="40">
        <f>-U152/U151</f>
        <v>0</v>
      </c>
      <c r="V153" s="40">
        <f>-V152/V151</f>
        <v>1.55935205803285</v>
      </c>
      <c r="W153" s="40">
        <f>-W152/W151</f>
        <v>0.681552209064586</v>
      </c>
      <c r="X153" s="40">
        <f>-X152/X151</f>
        <v>0</v>
      </c>
      <c r="Y153" s="40">
        <f>-Y152/Y151</f>
        <v>0.688179293343024</v>
      </c>
      <c r="Z153" s="40">
        <f>-Z152/Z151</f>
        <v>1.55361435187899</v>
      </c>
      <c r="AA153" s="40">
        <f>-AA152/AA151</f>
        <v>0.60319451816822</v>
      </c>
      <c r="AB153" s="40">
        <f>-AB152/AB151</f>
        <v>0.744083644971868</v>
      </c>
      <c r="AC153" s="40">
        <f>-AC152/AC151</f>
        <v>0.819768122730999</v>
      </c>
      <c r="AD153" s="40">
        <f>-AD152/AD151</f>
        <v>0.651955333141323</v>
      </c>
      <c r="AE153" s="40">
        <f>-AE152/AE151</f>
        <v>0</v>
      </c>
      <c r="AF153" s="44">
        <f>-AF152/AF151</f>
        <v>3.78780866197418</v>
      </c>
      <c r="AG153" s="3" t="n"/>
      <c r="AH153" s="44">
        <f>-AH152/AH151</f>
        <v>0</v>
      </c>
      <c r="AI153" s="44">
        <f>-AI152/AI151</f>
        <v>0.998332415114013</v>
      </c>
      <c r="AJ153" s="44" t="n"/>
      <c r="AK153" s="44" t="n"/>
      <c r="AL153" s="3">
        <f>-AL152/AL151</f>
        <v>0.434697909103057</v>
      </c>
      <c r="AM153" s="44" t="n"/>
      <c r="AN153" s="44" t="n"/>
      <c r="AO153" s="44" t="n"/>
      <c r="AP153" s="44" t="n"/>
      <c r="AQ153" s="3">
        <f>-AQ152/AQ151</f>
        <v>0</v>
      </c>
      <c r="AR153" s="44" t="n"/>
      <c r="AS153" s="44" t="n"/>
      <c r="AT153" s="44" t="n"/>
      <c r="AU153" s="44" t="n"/>
      <c r="AV153" s="3">
        <f>-AV152/AV151</f>
        <v>0</v>
      </c>
      <c r="AW153" s="44" t="n"/>
      <c r="AX153" s="44" t="n"/>
      <c r="AY153" s="44" t="n"/>
      <c r="AZ153" s="44" t="n"/>
      <c r="BA153" s="3">
        <f>-BA152/BA151</f>
        <v>0</v>
      </c>
      <c r="BB153" s="44" t="n"/>
      <c r="BC153" s="44" t="n"/>
      <c r="BD153" s="44" t="n"/>
      <c r="BE153" s="44" t="n"/>
      <c r="BF153" s="3">
        <f>-BF152/BF151</f>
        <v>0</v>
      </c>
      <c r="BG153" s="44" t="n"/>
      <c r="BH153" s="44" t="n"/>
      <c r="BI153" s="44" t="n"/>
      <c r="BJ153" s="44" t="n"/>
      <c r="BK153" s="3">
        <f>-BK152/BK151</f>
        <v>0</v>
      </c>
      <c r="BL153" s="44" t="n"/>
      <c r="BM153" s="44" t="n"/>
      <c r="BN153" s="44" t="n"/>
      <c r="BO153" s="44" t="n"/>
      <c r="BP153" s="3">
        <f>-BP152/BP151</f>
        <v>0</v>
      </c>
      <c r="BQ153" s="44" t="n"/>
      <c r="BR153" s="44" t="n"/>
      <c r="BS153" s="44" t="n"/>
      <c r="BT153" s="44" t="n"/>
      <c r="BU153" s="3">
        <f>-BU152/BU151</f>
        <v>0</v>
      </c>
      <c r="BV153" s="44" t="n"/>
      <c r="BW153" s="44" t="n"/>
      <c r="BX153" s="44" t="n"/>
      <c r="BY153" s="44" t="n"/>
      <c r="BZ153" s="3">
        <f>-BZ152/BZ151</f>
        <v>0</v>
      </c>
      <c r="CA153" s="44" t="n"/>
      <c r="CB153" s="44" t="n"/>
      <c r="CC153" s="44" t="n"/>
      <c r="CD153" s="44" t="n"/>
      <c r="CE153" s="3">
        <f>-CE152/CE151</f>
        <v>0</v>
      </c>
      <c r="CF153" s="44" t="n"/>
      <c r="CG153" s="44" t="n"/>
      <c r="CH153" s="44" t="n"/>
      <c r="CI153" s="44" t="n"/>
      <c r="CJ153" s="3">
        <f>-CJ152/CJ151</f>
        <v>0</v>
      </c>
      <c r="CK153" s="44" t="n"/>
      <c r="CL153" s="44" t="n"/>
      <c r="CM153" s="44" t="n"/>
      <c r="CN153" s="44" t="n"/>
      <c r="CO153" s="3">
        <f>-CO152/CO151</f>
        <v>0</v>
      </c>
      <c r="CP153" s="44" t="n"/>
      <c r="CQ153" s="44" t="n"/>
      <c r="CR153" s="44" t="n"/>
      <c r="CS153" s="44" t="n"/>
      <c r="CT153" s="3">
        <f>-CT152/CT151</f>
        <v>0</v>
      </c>
      <c r="CU153" s="44" t="n"/>
      <c r="CV153" s="44" t="n"/>
      <c r="CW153" s="44" t="n"/>
      <c r="CX153" s="44" t="n"/>
      <c r="CY153" s="3">
        <f>-CY152/CY151</f>
        <v>0</v>
      </c>
    </row>
    <row r="154" hidden="1" outlineLevel="1">
      <c r="C154" s="5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R154" s="1" t="n"/>
      <c r="BS154" s="1" t="n"/>
      <c r="BT154" s="1" t="n"/>
      <c r="BU154" s="1" t="n"/>
      <c r="BV154" s="1" t="n"/>
      <c r="BW154" s="1" t="n"/>
      <c r="BX154" s="1" t="n"/>
      <c r="BY154" s="1" t="n"/>
      <c r="BZ154" s="1" t="n"/>
      <c r="CA154" s="1" t="n"/>
      <c r="CB154" s="1" t="n"/>
      <c r="CC154" s="1" t="n"/>
      <c r="CD154" s="1" t="n"/>
      <c r="CE154" s="1" t="n"/>
      <c r="CF154" s="1" t="n"/>
      <c r="CG154" s="1" t="n"/>
      <c r="CH154" s="1" t="n"/>
      <c r="CI154" s="1" t="n"/>
      <c r="CJ154" s="1" t="n"/>
      <c r="CK154" s="1" t="n"/>
      <c r="CL154" s="1" t="n"/>
      <c r="CM154" s="1" t="n"/>
      <c r="CN154" s="1" t="n"/>
      <c r="CO154" s="1" t="n"/>
      <c r="CP154" s="1" t="n"/>
      <c r="CQ154" s="1" t="n"/>
      <c r="CR154" s="1" t="n"/>
      <c r="CS154" s="1" t="n"/>
      <c r="CT154" s="1" t="n"/>
      <c r="CU154" s="1" t="n"/>
      <c r="CV154" s="1" t="n"/>
      <c r="CW154" s="1" t="n"/>
      <c r="CX154" s="1" t="n"/>
      <c r="CY154" s="1" t="n"/>
    </row>
    <row r="155" hidden="1" outlineLevel="1">
      <c r="C155" s="5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1" t="n"/>
      <c r="CB155" s="1" t="n"/>
      <c r="CC155" s="1" t="n"/>
      <c r="CD155" s="1" t="n"/>
      <c r="CE155" s="1" t="n"/>
      <c r="CF155" s="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P155" s="1" t="n"/>
      <c r="CQ155" s="1" t="n"/>
      <c r="CR155" s="1" t="n"/>
      <c r="CS155" s="1" t="n"/>
      <c r="CT155" s="1" t="n"/>
      <c r="CU155" s="1" t="n"/>
      <c r="CV155" s="1" t="n"/>
      <c r="CW155" s="1" t="n"/>
      <c r="CX155" s="1" t="n"/>
      <c r="CY155" s="1" t="n"/>
    </row>
    <row r="156" collapsed="1" ht="11.25" customHeight="1">
      <c r="C156" s="12" t="inlineStr">
        <is>
          <t>Balance Sheet</t>
        </is>
      </c>
      <c r="D156" s="12" t="str">
        <f>D13</f>
        <v>1Q20</v>
      </c>
      <c r="E156" s="12" t="str">
        <f>E13</f>
        <v>2Q20</v>
      </c>
      <c r="F156" s="12" t="str">
        <f>F13</f>
        <v>3Q20</v>
      </c>
      <c r="G156" s="12" t="str">
        <f>G13</f>
        <v>4Q20</v>
      </c>
      <c r="H156" s="12">
        <f>H13</f>
        <v>2020</v>
      </c>
      <c r="I156" s="12" t="str">
        <f>I13</f>
        <v>1Q21</v>
      </c>
      <c r="J156" s="12" t="str">
        <f>J13</f>
        <v>2Q21</v>
      </c>
      <c r="K156" s="12" t="str">
        <f>K13</f>
        <v>3Q21</v>
      </c>
      <c r="L156" s="12" t="str">
        <f>L13</f>
        <v>4Q21</v>
      </c>
      <c r="M156" s="12">
        <f>M13</f>
        <v>2021</v>
      </c>
      <c r="N156" s="12" t="str">
        <f>N13</f>
        <v>1Q22</v>
      </c>
      <c r="O156" s="12" t="str">
        <f>O13</f>
        <v>2Q22</v>
      </c>
      <c r="P156" s="12" t="str">
        <f>P13</f>
        <v>3Q22</v>
      </c>
      <c r="Q156" s="12" t="str">
        <f>Q13</f>
        <v>4Q22</v>
      </c>
      <c r="R156" s="12">
        <f>R13</f>
        <v>2022</v>
      </c>
      <c r="S156" s="12" t="str">
        <f>S13</f>
        <v>1Q23</v>
      </c>
      <c r="T156" s="12" t="str">
        <f>T13</f>
        <v>2Q23</v>
      </c>
      <c r="U156" s="12" t="str">
        <f>U13</f>
        <v>3Q23</v>
      </c>
      <c r="V156" s="12" t="str">
        <f>V13</f>
        <v>4Q23</v>
      </c>
      <c r="W156" s="12">
        <f>W13</f>
        <v>2023</v>
      </c>
      <c r="X156" s="12" t="str">
        <f>X13</f>
        <v>1Q24</v>
      </c>
      <c r="Y156" s="12" t="str">
        <f>Y13</f>
        <v>2Q24</v>
      </c>
      <c r="Z156" s="12" t="str">
        <f>Z13</f>
        <v>3Q24</v>
      </c>
      <c r="AA156" s="12" t="str">
        <f>AA13</f>
        <v>4Q24</v>
      </c>
      <c r="AB156" s="12">
        <f>AB13</f>
        <v>2024</v>
      </c>
      <c r="AC156" s="12" t="str">
        <f>AC13</f>
        <v>1Q25</v>
      </c>
      <c r="AD156" s="12" t="str">
        <f>AD13</f>
        <v>2Q25</v>
      </c>
      <c r="AE156" s="12" t="str">
        <f>AE13</f>
        <v>3Q25</v>
      </c>
      <c r="AF156" s="12" t="str">
        <f>AF13</f>
        <v>4Q25</v>
      </c>
      <c r="AG156" s="12">
        <f>AG13</f>
        <v>2025</v>
      </c>
      <c r="AH156" s="12" t="str">
        <f>AH13</f>
        <v>1Q26</v>
      </c>
      <c r="AI156" s="12" t="str">
        <f>AI13</f>
        <v>2Q26</v>
      </c>
      <c r="AJ156" s="12" t="str">
        <f>AJ13</f>
        <v>3Q26</v>
      </c>
      <c r="AK156" s="12" t="str">
        <f>AK13</f>
        <v>4Q26</v>
      </c>
      <c r="AL156" s="12">
        <f>AL13</f>
        <v>2026</v>
      </c>
      <c r="AM156" s="12" t="str">
        <f>AM13</f>
        <v>1Q27</v>
      </c>
      <c r="AN156" s="12" t="str">
        <f>AN13</f>
        <v>2Q27</v>
      </c>
      <c r="AO156" s="12" t="str">
        <f>AO13</f>
        <v>3Q27</v>
      </c>
      <c r="AP156" s="12" t="str">
        <f>AP13</f>
        <v>4Q27</v>
      </c>
      <c r="AQ156" s="12">
        <f>AQ13</f>
        <v>2027</v>
      </c>
      <c r="AR156" s="12" t="str">
        <f>AR13</f>
        <v>1Q28</v>
      </c>
      <c r="AS156" s="12" t="str">
        <f>AS13</f>
        <v>2Q28</v>
      </c>
      <c r="AT156" s="12" t="str">
        <f>AT13</f>
        <v>3Q28</v>
      </c>
      <c r="AU156" s="12" t="str">
        <f>AU13</f>
        <v>4Q28</v>
      </c>
      <c r="AV156" s="12">
        <f>AV13</f>
        <v>2028</v>
      </c>
      <c r="AW156" s="12" t="str">
        <f>AW13</f>
        <v>1Q29</v>
      </c>
      <c r="AX156" s="12" t="str">
        <f>AX13</f>
        <v>2Q29</v>
      </c>
      <c r="AY156" s="12" t="str">
        <f>AY13</f>
        <v>3Q29</v>
      </c>
      <c r="AZ156" s="12" t="str">
        <f>AZ13</f>
        <v>4Q29</v>
      </c>
      <c r="BA156" s="12">
        <f>BA13</f>
        <v>2029</v>
      </c>
      <c r="BB156" s="12" t="str">
        <f>BB13</f>
        <v>1Q30</v>
      </c>
      <c r="BC156" s="12" t="str">
        <f>BC13</f>
        <v>2Q30</v>
      </c>
      <c r="BD156" s="12" t="str">
        <f>BD13</f>
        <v>3Q30</v>
      </c>
      <c r="BE156" s="12" t="str">
        <f>BE13</f>
        <v>4Q30</v>
      </c>
      <c r="BF156" s="12">
        <f>BF13</f>
        <v>2030</v>
      </c>
      <c r="BG156" s="12" t="str">
        <f>BG13</f>
        <v>1Q31</v>
      </c>
      <c r="BH156" s="12" t="str">
        <f>BH13</f>
        <v>2Q31</v>
      </c>
      <c r="BI156" s="12" t="str">
        <f>BI13</f>
        <v>3Q31</v>
      </c>
      <c r="BJ156" s="12" t="str">
        <f>BJ13</f>
        <v>4Q31</v>
      </c>
      <c r="BK156" s="12">
        <f>BK13</f>
        <v>2031</v>
      </c>
      <c r="BL156" s="12" t="str">
        <f>BL13</f>
        <v>1Q32</v>
      </c>
      <c r="BM156" s="12" t="str">
        <f>BM13</f>
        <v>2Q32</v>
      </c>
      <c r="BN156" s="12" t="str">
        <f>BN13</f>
        <v>3Q32</v>
      </c>
      <c r="BO156" s="12" t="str">
        <f>BO13</f>
        <v>4Q32</v>
      </c>
      <c r="BP156" s="12">
        <f>BP13</f>
        <v>2032</v>
      </c>
      <c r="BQ156" s="12" t="str">
        <f>BQ13</f>
        <v>1Q33</v>
      </c>
      <c r="BR156" s="12" t="str">
        <f>BR13</f>
        <v>2Q33</v>
      </c>
      <c r="BS156" s="12" t="str">
        <f>BS13</f>
        <v>3Q33</v>
      </c>
      <c r="BT156" s="12" t="str">
        <f>BT13</f>
        <v>4Q33</v>
      </c>
      <c r="BU156" s="12">
        <f>BU13</f>
        <v>2033</v>
      </c>
      <c r="BV156" s="12" t="str">
        <f>BV13</f>
        <v>1Q34</v>
      </c>
      <c r="BW156" s="12" t="str">
        <f>BW13</f>
        <v>2Q34</v>
      </c>
      <c r="BX156" s="12" t="str">
        <f>BX13</f>
        <v>3Q34</v>
      </c>
      <c r="BY156" s="12" t="str">
        <f>BY13</f>
        <v>4Q34</v>
      </c>
      <c r="BZ156" s="12">
        <f>BZ13</f>
        <v>2034</v>
      </c>
      <c r="CA156" s="12" t="str">
        <f>CA13</f>
        <v>1Q35</v>
      </c>
      <c r="CB156" s="12" t="str">
        <f>CB13</f>
        <v>2Q35</v>
      </c>
      <c r="CC156" s="12" t="str">
        <f>CC13</f>
        <v>3Q35</v>
      </c>
      <c r="CD156" s="12" t="str">
        <f>CD13</f>
        <v>4Q35</v>
      </c>
      <c r="CE156" s="12">
        <f>CE13</f>
        <v>2035</v>
      </c>
      <c r="CF156" s="12" t="str">
        <f>CF13</f>
        <v>1Q36</v>
      </c>
      <c r="CG156" s="12" t="str">
        <f>CG13</f>
        <v>2Q36</v>
      </c>
      <c r="CH156" s="12" t="str">
        <f>CH13</f>
        <v>3Q36</v>
      </c>
      <c r="CI156" s="12" t="str">
        <f>CI13</f>
        <v>4Q36</v>
      </c>
      <c r="CJ156" s="12">
        <f>CJ13</f>
        <v>2036</v>
      </c>
      <c r="CK156" s="12" t="str">
        <f>CK13</f>
        <v>1Q37</v>
      </c>
      <c r="CL156" s="12" t="str">
        <f>CL13</f>
        <v>2Q37</v>
      </c>
      <c r="CM156" s="12" t="str">
        <f>CM13</f>
        <v>3Q37</v>
      </c>
      <c r="CN156" s="12" t="str">
        <f>CN13</f>
        <v>4Q37</v>
      </c>
      <c r="CO156" s="12">
        <f>CO13</f>
        <v>2037</v>
      </c>
      <c r="CP156" s="12" t="str">
        <f>CP13</f>
        <v>1Q38</v>
      </c>
      <c r="CQ156" s="12" t="str">
        <f>CQ13</f>
        <v>2Q38</v>
      </c>
      <c r="CR156" s="12" t="str">
        <f>CR13</f>
        <v>3Q38</v>
      </c>
      <c r="CS156" s="12" t="str">
        <f>CS13</f>
        <v>4Q38</v>
      </c>
      <c r="CT156" s="12">
        <f>CT13</f>
        <v>2038</v>
      </c>
      <c r="CU156" s="12" t="str">
        <f>CU13</f>
        <v>1Q39</v>
      </c>
      <c r="CV156" s="12" t="str">
        <f>CV13</f>
        <v>2Q39</v>
      </c>
      <c r="CW156" s="12" t="str">
        <f>CW13</f>
        <v>3Q39</v>
      </c>
      <c r="CX156" s="12" t="str">
        <f>CX13</f>
        <v>4Q39</v>
      </c>
      <c r="CY156" s="12">
        <f>CY13</f>
        <v>2039</v>
      </c>
    </row>
    <row r="157">
      <c r="C157" s="5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T157" s="1" t="n"/>
      <c r="BU157" s="1" t="n"/>
      <c r="BV157" s="1" t="n"/>
      <c r="BW157" s="1" t="n"/>
      <c r="BX157" s="1" t="n"/>
      <c r="BY157" s="1" t="n"/>
      <c r="BZ157" s="1" t="n"/>
      <c r="CA157" s="1" t="n"/>
      <c r="CB157" s="1" t="n"/>
      <c r="CC157" s="1" t="n"/>
      <c r="CD157" s="1" t="n"/>
      <c r="CE157" s="1" t="n"/>
      <c r="CF157" s="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P157" s="1" t="n"/>
      <c r="CQ157" s="1" t="n"/>
      <c r="CR157" s="1" t="n"/>
      <c r="CS157" s="1" t="n"/>
      <c r="CT157" s="1" t="n"/>
      <c r="CU157" s="1" t="n"/>
      <c r="CV157" s="1" t="n"/>
      <c r="CW157" s="1" t="n"/>
      <c r="CX157" s="1" t="n"/>
      <c r="CY157" s="1" t="n"/>
    </row>
    <row r="158">
      <c r="C158" s="24" t="inlineStr">
        <is>
          <t>Cash and equivalents (inc. investment securities)</t>
        </is>
      </c>
      <c r="D158" s="25">
        <f>INDEX('Inputs (2)'!$D$15:$AL$15,MATCH(D$7,'Inputs (2)'!$D$2:$AL$2,0))</f>
        <v>325.528</v>
      </c>
      <c r="E158" s="25">
        <f>INDEX('Inputs (2)'!$D$15:$AL$15,MATCH(E$7,'Inputs (2)'!$D$2:$AL$2,0))</f>
        <v>425.847</v>
      </c>
      <c r="F158" s="25">
        <f>INDEX('Inputs (2)'!$D$15:$AL$15,MATCH(F$7,'Inputs (2)'!$D$2:$AL$2,0))</f>
        <v>609.849</v>
      </c>
      <c r="G158" s="25">
        <f>INDEX('Inputs (2)'!$D$15:$AL$15,MATCH(G$7,'Inputs (2)'!$D$2:$AL$2,0))</f>
        <v>430.898</v>
      </c>
      <c r="H158" s="3">
        <f>G158</f>
        <v>430.898</v>
      </c>
      <c r="I158" s="25">
        <f>INDEX('Inputs (2)'!$D$15:$AL$15,MATCH(I$7,'Inputs (2)'!$D$2:$AL$2,0))</f>
        <v>436.644</v>
      </c>
      <c r="J158" s="25">
        <f>INDEX('Inputs (2)'!$D$15:$AL$15,MATCH(J$7,'Inputs (2)'!$D$2:$AL$2,0))</f>
        <v>491.987</v>
      </c>
      <c r="K158" s="25">
        <f>INDEX('Inputs (2)'!$D$15:$AL$15,MATCH(K$7,'Inputs (2)'!$D$2:$AL$2,0))</f>
        <v>554.927</v>
      </c>
      <c r="L158" s="25">
        <f>INDEX('Inputs (2)'!$D$15:$AL$15,MATCH(L$7,'Inputs (2)'!$D$2:$AL$2,0))</f>
        <v>594.487</v>
      </c>
      <c r="M158" s="3">
        <f>L158</f>
        <v>594.487</v>
      </c>
      <c r="N158" s="25">
        <f>INDEX('Inputs (2)'!$D$15:$AL$15,MATCH(N$7,'Inputs (2)'!$D$2:$AL$2,0))</f>
        <v>602.568</v>
      </c>
      <c r="O158" s="25">
        <f>INDEX('Inputs (2)'!$D$15:$AL$15,MATCH(O$7,'Inputs (2)'!$D$2:$AL$2,0))</f>
        <v>679.977</v>
      </c>
      <c r="P158" s="25">
        <f>INDEX('Inputs (2)'!$D$15:$AL$15,MATCH(P$7,'Inputs (2)'!$D$2:$AL$2,0))</f>
        <v>634.908</v>
      </c>
      <c r="Q158" s="25">
        <f>INDEX('Inputs (2)'!$D$15:$AL$15,MATCH(Q$7,'Inputs (2)'!$D$2:$AL$2,0))</f>
        <v>789.426</v>
      </c>
      <c r="R158" s="3">
        <f>Q158</f>
        <v>789.426</v>
      </c>
      <c r="S158" s="25">
        <f>INDEX('Inputs (2)'!$D$15:$AL$15,MATCH(S$7,'Inputs (2)'!$D$2:$AL$2,0))</f>
        <v>729.823</v>
      </c>
      <c r="T158" s="25">
        <f>INDEX('Inputs (2)'!$D$15:$AL$15,MATCH(T$7,'Inputs (2)'!$D$2:$AL$2,0))</f>
        <v>835.39</v>
      </c>
      <c r="U158" s="25">
        <f>INDEX('Inputs (2)'!$D$15:$AL$15,MATCH(U$7,'Inputs (2)'!$D$2:$AL$2,0))</f>
        <v>1109.075</v>
      </c>
      <c r="V158" s="25">
        <f>INDEX('Inputs (2)'!$D$15:$AL$15,MATCH(V$7,'Inputs (2)'!$D$2:$AL$2,0))</f>
        <v>992.269</v>
      </c>
      <c r="W158" s="3">
        <f>V158</f>
        <v>992.269</v>
      </c>
      <c r="X158" s="25">
        <f>INDEX('Inputs (2)'!$D$15:$AL$15,MATCH(X$7,'Inputs (2)'!$D$2:$AL$2,0))</f>
        <v>1011.668</v>
      </c>
      <c r="Y158" s="25">
        <f>INDEX('Inputs (2)'!$D$15:$AL$15,MATCH(Y$7,'Inputs (2)'!$D$2:$AL$2,0))</f>
        <v>1558.02</v>
      </c>
      <c r="Z158" s="25">
        <f>INDEX('Inputs (2)'!$D$15:$AL$15,MATCH(Z$7,'Inputs (2)'!$D$2:$AL$2,0))</f>
        <v>1425.215</v>
      </c>
      <c r="AA158" s="25">
        <f>INDEX('Inputs (2)'!$D$15:$AL$15,MATCH(AA$7,'Inputs (2)'!$D$2:$AL$2,0))</f>
        <v>1416.236</v>
      </c>
      <c r="AB158" s="3">
        <f>AA158</f>
        <v>1416.236</v>
      </c>
      <c r="AC158" s="25">
        <f>INDEX('Inputs (2)'!$D$15:$AL$15,MATCH(AC$7,'Inputs (2)'!$D$2:$AL$2,0))</f>
        <v>1543.806</v>
      </c>
      <c r="AD158" s="25">
        <f>INDEX('Inputs (2)'!$D$15:$AL$15,MATCH(AD$7,'Inputs (2)'!$D$2:$AL$2,0))</f>
        <v>1530.875</v>
      </c>
      <c r="AE158" s="25">
        <f>INDEX('Inputs (2)'!$D$15:$AL$15,MATCH(AE$7,'Inputs (2)'!$D$2:$AL$2,0))</f>
        <v>1773.203</v>
      </c>
      <c r="AF158" s="25">
        <f>INDEX('Inputs (2)'!$D$15:$AL$15,MATCH(AF$7,'Inputs (2)'!$D$2:$AL$2,0))</f>
        <v>1790.937</v>
      </c>
      <c r="AG158" s="3">
        <f>AF158</f>
        <v>1790.937</v>
      </c>
      <c r="AH158" s="3">
        <f>INDEX('Inputs (2)'!$D$15:$AL$15,MATCH(AH$7,'Inputs (2)'!$D$2:$AL$2,0))</f>
        <v>1757.31</v>
      </c>
      <c r="AI158" s="3">
        <f>INDEX('Inputs (2)'!$D$15:$AL$15,MATCH(AI$7,'Inputs (2)'!$D$2:$AL$2,0))</f>
        <v>1633.706</v>
      </c>
      <c r="AJ158" s="3">
        <f>AI158+AJ328</f>
        <v>5465.758</v>
      </c>
      <c r="AK158" s="3">
        <f>AJ158+AK328</f>
        <v>5513.926</v>
      </c>
      <c r="AL158" s="3">
        <f>AK158</f>
        <v>5513.926</v>
      </c>
      <c r="AM158" s="3" t="e">
        <f>AL158+AM328</f>
        <v>#DIV/0!</v>
      </c>
      <c r="AN158" s="3" t="e">
        <f>AM158+AN328</f>
        <v>#DIV/0!</v>
      </c>
      <c r="AO158" s="3" t="e">
        <f>AN158+AO328</f>
        <v>#DIV/0!</v>
      </c>
      <c r="AP158" s="3" t="e">
        <f>AO158+AP328</f>
        <v>#DIV/0!</v>
      </c>
      <c r="AQ158" s="3" t="e">
        <f>AP158</f>
        <v>#DIV/0!</v>
      </c>
      <c r="AR158" s="3" t="e">
        <f>AQ158+AR328</f>
        <v>#DIV/0!</v>
      </c>
      <c r="AS158" s="3" t="e">
        <f>AR158+AS328</f>
        <v>#DIV/0!</v>
      </c>
      <c r="AT158" s="3" t="e">
        <f>AS158+AT328</f>
        <v>#DIV/0!</v>
      </c>
      <c r="AU158" s="3" t="e">
        <f>AT158+AU328</f>
        <v>#DIV/0!</v>
      </c>
      <c r="AV158" s="3" t="e">
        <f>AU158</f>
        <v>#DIV/0!</v>
      </c>
      <c r="AW158" s="3" t="e">
        <f>AV158+AW328</f>
        <v>#DIV/0!</v>
      </c>
      <c r="AX158" s="3" t="e">
        <f>AW158+AX328</f>
        <v>#DIV/0!</v>
      </c>
      <c r="AY158" s="3" t="e">
        <f>AX158+AY328</f>
        <v>#DIV/0!</v>
      </c>
      <c r="AZ158" s="3" t="e">
        <f>AY158+AZ328</f>
        <v>#DIV/0!</v>
      </c>
      <c r="BA158" s="3" t="e">
        <f>AZ158</f>
        <v>#DIV/0!</v>
      </c>
      <c r="BB158" s="3" t="e">
        <f>BA158+BB328</f>
        <v>#DIV/0!</v>
      </c>
      <c r="BC158" s="3" t="e">
        <f>BB158+BC328</f>
        <v>#DIV/0!</v>
      </c>
      <c r="BD158" s="3" t="e">
        <f>BC158+BD328</f>
        <v>#DIV/0!</v>
      </c>
      <c r="BE158" s="3" t="e">
        <f>BD158+BE328</f>
        <v>#DIV/0!</v>
      </c>
      <c r="BF158" s="3" t="e">
        <f>BE158</f>
        <v>#DIV/0!</v>
      </c>
      <c r="BG158" s="3" t="e">
        <f>BF158+BG328</f>
        <v>#DIV/0!</v>
      </c>
      <c r="BH158" s="3" t="e">
        <f>BG158+BH328</f>
        <v>#DIV/0!</v>
      </c>
      <c r="BI158" s="3" t="e">
        <f>BH158+BI328</f>
        <v>#DIV/0!</v>
      </c>
      <c r="BJ158" s="3" t="e">
        <f>BI158+BJ328</f>
        <v>#DIV/0!</v>
      </c>
      <c r="BK158" s="3" t="e">
        <f>BJ158</f>
        <v>#DIV/0!</v>
      </c>
      <c r="BL158" s="3" t="e">
        <f>BK158+BL328</f>
        <v>#DIV/0!</v>
      </c>
      <c r="BM158" s="3" t="e">
        <f>BL158+BM328</f>
        <v>#DIV/0!</v>
      </c>
      <c r="BN158" s="3" t="e">
        <f>BM158+BN328</f>
        <v>#DIV/0!</v>
      </c>
      <c r="BO158" s="3" t="e">
        <f>BN158+BO328</f>
        <v>#DIV/0!</v>
      </c>
      <c r="BP158" s="3" t="e">
        <f>BO158</f>
        <v>#DIV/0!</v>
      </c>
      <c r="BQ158" s="3" t="e">
        <f>BP158+BQ328</f>
        <v>#DIV/0!</v>
      </c>
      <c r="BR158" s="3" t="e">
        <f>BQ158+BR328</f>
        <v>#DIV/0!</v>
      </c>
      <c r="BS158" s="3" t="e">
        <f>BR158+BS328</f>
        <v>#DIV/0!</v>
      </c>
      <c r="BT158" s="3" t="e">
        <f>BS158+BT328</f>
        <v>#DIV/0!</v>
      </c>
      <c r="BU158" s="3" t="e">
        <f>BT158</f>
        <v>#DIV/0!</v>
      </c>
      <c r="BV158" s="3" t="e">
        <f>BU158+BV328</f>
        <v>#DIV/0!</v>
      </c>
      <c r="BW158" s="3" t="e">
        <f>BV158+BW328</f>
        <v>#DIV/0!</v>
      </c>
      <c r="BX158" s="3" t="e">
        <f>BW158+BX328</f>
        <v>#DIV/0!</v>
      </c>
      <c r="BY158" s="3" t="e">
        <f>BX158+BY328</f>
        <v>#DIV/0!</v>
      </c>
      <c r="BZ158" s="3" t="e">
        <f>BY158</f>
        <v>#DIV/0!</v>
      </c>
      <c r="CA158" s="3" t="e">
        <f>BZ158+CA328</f>
        <v>#DIV/0!</v>
      </c>
      <c r="CB158" s="3" t="e">
        <f>CA158+CB328</f>
        <v>#DIV/0!</v>
      </c>
      <c r="CC158" s="3" t="e">
        <f>CB158+CC328</f>
        <v>#DIV/0!</v>
      </c>
      <c r="CD158" s="3" t="e">
        <f>CC158+CD328</f>
        <v>#DIV/0!</v>
      </c>
      <c r="CE158" s="3" t="e">
        <f>CD158</f>
        <v>#DIV/0!</v>
      </c>
      <c r="CF158" s="3" t="e">
        <f>CE158+CF328</f>
        <v>#DIV/0!</v>
      </c>
      <c r="CG158" s="3" t="e">
        <f>CF158+CG328</f>
        <v>#DIV/0!</v>
      </c>
      <c r="CH158" s="3" t="e">
        <f>CG158+CH328</f>
        <v>#DIV/0!</v>
      </c>
      <c r="CI158" s="3" t="e">
        <f>CH158+CI328</f>
        <v>#DIV/0!</v>
      </c>
      <c r="CJ158" s="3" t="e">
        <f>CI158</f>
        <v>#DIV/0!</v>
      </c>
      <c r="CK158" s="3" t="e">
        <f>CJ158+CK328</f>
        <v>#DIV/0!</v>
      </c>
      <c r="CL158" s="3" t="e">
        <f>CK158+CL328</f>
        <v>#DIV/0!</v>
      </c>
      <c r="CM158" s="3" t="e">
        <f>CL158+CM328</f>
        <v>#DIV/0!</v>
      </c>
      <c r="CN158" s="3" t="e">
        <f>CM158+CN328</f>
        <v>#DIV/0!</v>
      </c>
      <c r="CO158" s="3" t="e">
        <f>CN158</f>
        <v>#DIV/0!</v>
      </c>
      <c r="CP158" s="3" t="e">
        <f>CO158+CP328</f>
        <v>#DIV/0!</v>
      </c>
      <c r="CQ158" s="3" t="e">
        <f>CP158+CQ328</f>
        <v>#DIV/0!</v>
      </c>
      <c r="CR158" s="3" t="e">
        <f>CQ158+CR328</f>
        <v>#DIV/0!</v>
      </c>
      <c r="CS158" s="3" t="e">
        <f>CR158+CS328</f>
        <v>#DIV/0!</v>
      </c>
      <c r="CT158" s="3" t="e">
        <f>CS158</f>
        <v>#DIV/0!</v>
      </c>
      <c r="CU158" s="3" t="e">
        <f>CT158+CU328</f>
        <v>#DIV/0!</v>
      </c>
      <c r="CV158" s="3" t="e">
        <f>CU158+CV328</f>
        <v>#DIV/0!</v>
      </c>
      <c r="CW158" s="3" t="e">
        <f>CV158+CW328</f>
        <v>#DIV/0!</v>
      </c>
      <c r="CX158" s="3" t="e">
        <f>CW158+CX328</f>
        <v>#DIV/0!</v>
      </c>
      <c r="CY158" s="3" t="e">
        <f>CX158</f>
        <v>#DIV/0!</v>
      </c>
    </row>
    <row r="159">
      <c r="C159" s="26" t="inlineStr">
        <is>
          <t>Accounts receivable</t>
        </is>
      </c>
      <c r="D159" s="25">
        <f>INDEX('Inputs (2)'!$D$16:$AL$16,MATCH(D$7,'Inputs (2)'!$D$2:$AL$2,0))</f>
        <v>605.454</v>
      </c>
      <c r="E159" s="25">
        <f>INDEX('Inputs (2)'!$D$16:$AL$16,MATCH(E$7,'Inputs (2)'!$D$2:$AL$2,0))</f>
        <v>685.673</v>
      </c>
      <c r="F159" s="25">
        <f>INDEX('Inputs (2)'!$D$16:$AL$16,MATCH(F$7,'Inputs (2)'!$D$2:$AL$2,0))</f>
        <v>831.054</v>
      </c>
      <c r="G159" s="25">
        <f>INDEX('Inputs (2)'!$D$16:$AL$16,MATCH(G$7,'Inputs (2)'!$D$2:$AL$2,0))</f>
        <v>799.322</v>
      </c>
      <c r="H159" s="3">
        <f>G159</f>
        <v>799.322</v>
      </c>
      <c r="I159" s="25">
        <f>INDEX('Inputs (2)'!$D$16:$AL$16,MATCH(I$7,'Inputs (2)'!$D$2:$AL$2,0))</f>
        <v>938.013</v>
      </c>
      <c r="J159" s="25">
        <f>INDEX('Inputs (2)'!$D$16:$AL$16,MATCH(J$7,'Inputs (2)'!$D$2:$AL$2,0))</f>
        <v>1049.124</v>
      </c>
      <c r="K159" s="25">
        <f>INDEX('Inputs (2)'!$D$16:$AL$16,MATCH(K$7,'Inputs (2)'!$D$2:$AL$2,0))</f>
        <v>1106.282</v>
      </c>
      <c r="L159" s="25">
        <f>INDEX('Inputs (2)'!$D$16:$AL$16,MATCH(L$7,'Inputs (2)'!$D$2:$AL$2,0))</f>
        <v>1277.665</v>
      </c>
      <c r="M159" s="3">
        <f>L159</f>
        <v>1277.665</v>
      </c>
      <c r="N159" s="25">
        <f>INDEX('Inputs (2)'!$D$16:$AL$16,MATCH(N$7,'Inputs (2)'!$D$2:$AL$2,0))</f>
        <v>1630.579</v>
      </c>
      <c r="O159" s="25">
        <f>INDEX('Inputs (2)'!$D$16:$AL$16,MATCH(O$7,'Inputs (2)'!$D$2:$AL$2,0))</f>
        <v>1556.792</v>
      </c>
      <c r="P159" s="25">
        <f>INDEX('Inputs (2)'!$D$16:$AL$16,MATCH(P$7,'Inputs (2)'!$D$2:$AL$2,0))</f>
        <v>1399.701</v>
      </c>
      <c r="Q159" s="25">
        <f>INDEX('Inputs (2)'!$D$16:$AL$16,MATCH(Q$7,'Inputs (2)'!$D$2:$AL$2,0))</f>
        <v>1179.262</v>
      </c>
      <c r="R159" s="3">
        <f>Q159</f>
        <v>1179.262</v>
      </c>
      <c r="S159" s="25">
        <f>INDEX('Inputs (2)'!$D$16:$AL$16,MATCH(S$7,'Inputs (2)'!$D$2:$AL$2,0))</f>
        <v>1050.636</v>
      </c>
      <c r="T159" s="25">
        <f>INDEX('Inputs (2)'!$D$16:$AL$16,MATCH(T$7,'Inputs (2)'!$D$2:$AL$2,0))</f>
        <v>1085.689</v>
      </c>
      <c r="U159" s="25">
        <f>INDEX('Inputs (2)'!$D$16:$AL$16,MATCH(U$7,'Inputs (2)'!$D$2:$AL$2,0))</f>
        <v>1080.391</v>
      </c>
      <c r="V159" s="25">
        <f>INDEX('Inputs (2)'!$D$16:$AL$16,MATCH(V$7,'Inputs (2)'!$D$2:$AL$2,0))</f>
        <v>1090.801</v>
      </c>
      <c r="W159" s="3">
        <f>V159</f>
        <v>1090.801</v>
      </c>
      <c r="X159" s="25">
        <f>INDEX('Inputs (2)'!$D$16:$AL$16,MATCH(X$7,'Inputs (2)'!$D$2:$AL$2,0))</f>
        <v>1285.208</v>
      </c>
      <c r="Y159" s="25">
        <f>INDEX('Inputs (2)'!$D$16:$AL$16,MATCH(Y$7,'Inputs (2)'!$D$2:$AL$2,0))</f>
        <v>1379.252</v>
      </c>
      <c r="Z159" s="25">
        <f>INDEX('Inputs (2)'!$D$16:$AL$16,MATCH(Z$7,'Inputs (2)'!$D$2:$AL$2,0))</f>
        <v>1454.23</v>
      </c>
      <c r="AA159" s="25">
        <f>INDEX('Inputs (2)'!$D$16:$AL$16,MATCH(AA$7,'Inputs (2)'!$D$2:$AL$2,0))</f>
        <v>1437.237</v>
      </c>
      <c r="AB159" s="3">
        <f>AA159</f>
        <v>1437.237</v>
      </c>
      <c r="AC159" s="25">
        <f>INDEX('Inputs (2)'!$D$16:$AL$16,MATCH(AC$7,'Inputs (2)'!$D$2:$AL$2,0))</f>
        <v>1896.708</v>
      </c>
      <c r="AD159" s="25">
        <f>INDEX('Inputs (2)'!$D$16:$AL$16,MATCH(AD$7,'Inputs (2)'!$D$2:$AL$2,0))</f>
        <v>2133.707</v>
      </c>
      <c r="AE159" s="25">
        <f>INDEX('Inputs (2)'!$D$16:$AL$16,MATCH(AE$7,'Inputs (2)'!$D$2:$AL$2,0))</f>
        <v>2198.778</v>
      </c>
      <c r="AF159" s="25">
        <f>INDEX('Inputs (2)'!$D$16:$AL$16,MATCH(AF$7,'Inputs (2)'!$D$2:$AL$2,0))</f>
        <v>2157.943</v>
      </c>
      <c r="AG159" s="3">
        <f>AF159</f>
        <v>2157.943</v>
      </c>
      <c r="AH159" s="3">
        <f>INDEX('Inputs (2)'!$D$16:$AL$16,MATCH(AH$7,'Inputs (2)'!$D$2:$AL$2,0))</f>
        <v>2549.38</v>
      </c>
      <c r="AI159" s="3">
        <f>INDEX('Inputs (2)'!$D$16:$AL$16,MATCH(AI$7,'Inputs (2)'!$D$2:$AL$2,0))</f>
        <v>2722.34</v>
      </c>
      <c r="AJ159" s="3">
        <f>(AJ160/(AJ$5-AI$5))*AJ$15</f>
        <v>0</v>
      </c>
      <c r="AK159" s="3">
        <f>(AK160/(AK$5-AJ$5))*AK$15</f>
        <v>0</v>
      </c>
      <c r="AL159" s="3">
        <f>AK159</f>
        <v>0</v>
      </c>
      <c r="AM159" s="3">
        <f>(AM160/(AM$5-AL$5))*AM$15</f>
        <v>0</v>
      </c>
      <c r="AN159" s="3">
        <f>(AN160/(AN$5-AM$5))*AN$15</f>
        <v>0</v>
      </c>
      <c r="AO159" s="3">
        <f>(AO160/(AO$5-AN$5))*AO$15</f>
        <v>0</v>
      </c>
      <c r="AP159" s="3">
        <f>(AP160/(AP$5-AO$5))*AP$15</f>
        <v>0</v>
      </c>
      <c r="AQ159" s="3">
        <f>AP159</f>
        <v>0</v>
      </c>
      <c r="AR159" s="3">
        <f>(AR160/(AR$5-AQ$5))*AR$15</f>
        <v>0</v>
      </c>
      <c r="AS159" s="3">
        <f>(AS160/(AS$5-AR$5))*AS$15</f>
        <v>0</v>
      </c>
      <c r="AT159" s="3">
        <f>(AT160/(AT$5-AS$5))*AT$15</f>
        <v>0</v>
      </c>
      <c r="AU159" s="3">
        <f>(AU160/(AU$5-AT$5))*AU$15</f>
        <v>0</v>
      </c>
      <c r="AV159" s="3">
        <f>AU159</f>
        <v>0</v>
      </c>
      <c r="AW159" s="3">
        <f>(AW160/(AW$5-AV$5))*AW$15</f>
        <v>0</v>
      </c>
      <c r="AX159" s="3">
        <f>(AX160/(AX$5-AW$5))*AX$15</f>
        <v>0</v>
      </c>
      <c r="AY159" s="3">
        <f>(AY160/(AY$5-AX$5))*AY$15</f>
        <v>0</v>
      </c>
      <c r="AZ159" s="3">
        <f>(AZ160/(AZ$5-AY$5))*AZ$15</f>
        <v>0</v>
      </c>
      <c r="BA159" s="3">
        <f>AZ159</f>
        <v>0</v>
      </c>
      <c r="BB159" s="3">
        <f>(BB160/(BB$5-BA$5))*BB$15</f>
        <v>0</v>
      </c>
      <c r="BC159" s="3">
        <f>(BC160/(BC$5-BB$5))*BC$15</f>
        <v>0</v>
      </c>
      <c r="BD159" s="3">
        <f>(BD160/(BD$5-BC$5))*BD$15</f>
        <v>0</v>
      </c>
      <c r="BE159" s="3">
        <f>(BE160/(BE$5-BD$5))*BE$15</f>
        <v>0</v>
      </c>
      <c r="BF159" s="3">
        <f>BE159</f>
        <v>0</v>
      </c>
      <c r="BG159" s="3">
        <f>(BG160/(BG$5-BF$5))*BG$15</f>
        <v>0</v>
      </c>
      <c r="BH159" s="3">
        <f>(BH160/(BH$5-BG$5))*BH$15</f>
        <v>0</v>
      </c>
      <c r="BI159" s="3">
        <f>(BI160/(BI$5-BH$5))*BI$15</f>
        <v>0</v>
      </c>
      <c r="BJ159" s="3">
        <f>(BJ160/(BJ$5-BI$5))*BJ$15</f>
        <v>0</v>
      </c>
      <c r="BK159" s="3">
        <f>BJ159</f>
        <v>0</v>
      </c>
      <c r="BL159" s="3">
        <f>(BL160/(BL$5-BK$5))*BL$15</f>
        <v>0</v>
      </c>
      <c r="BM159" s="3">
        <f>(BM160/(BM$5-BL$5))*BM$15</f>
        <v>0</v>
      </c>
      <c r="BN159" s="3">
        <f>(BN160/(BN$5-BM$5))*BN$15</f>
        <v>0</v>
      </c>
      <c r="BO159" s="3">
        <f>(BO160/(BO$5-BN$5))*BO$15</f>
        <v>0</v>
      </c>
      <c r="BP159" s="3">
        <f>BO159</f>
        <v>0</v>
      </c>
      <c r="BQ159" s="3">
        <f>(BQ160/(BQ$5-BP$5))*BQ$15</f>
        <v>0</v>
      </c>
      <c r="BR159" s="3">
        <f>(BR160/(BR$5-BQ$5))*BR$15</f>
        <v>0</v>
      </c>
      <c r="BS159" s="3">
        <f>(BS160/(BS$5-BR$5))*BS$15</f>
        <v>0</v>
      </c>
      <c r="BT159" s="3">
        <f>(BT160/(BT$5-BS$5))*BT$15</f>
        <v>0</v>
      </c>
      <c r="BU159" s="3">
        <f>BT159</f>
        <v>0</v>
      </c>
      <c r="BV159" s="3">
        <f>(BV160/(BV$5-BU$5))*BV$15</f>
        <v>0</v>
      </c>
      <c r="BW159" s="3">
        <f>(BW160/(BW$5-BV$5))*BW$15</f>
        <v>0</v>
      </c>
      <c r="BX159" s="3">
        <f>(BX160/(BX$5-BW$5))*BX$15</f>
        <v>0</v>
      </c>
      <c r="BY159" s="3">
        <f>(BY160/(BY$5-BX$5))*BY$15</f>
        <v>0</v>
      </c>
      <c r="BZ159" s="3">
        <f>BY159</f>
        <v>0</v>
      </c>
      <c r="CA159" s="3">
        <f>(CA160/(CA$5-BZ$5))*CA$15</f>
        <v>0</v>
      </c>
      <c r="CB159" s="3">
        <f>(CB160/(CB$5-CA$5))*CB$15</f>
        <v>0</v>
      </c>
      <c r="CC159" s="3">
        <f>(CC160/(CC$5-CB$5))*CC$15</f>
        <v>0</v>
      </c>
      <c r="CD159" s="3">
        <f>(CD160/(CD$5-CC$5))*CD$15</f>
        <v>0</v>
      </c>
      <c r="CE159" s="3">
        <f>CD159</f>
        <v>0</v>
      </c>
      <c r="CF159" s="3">
        <f>(CF160/(CF$5-CE$5))*CF$15</f>
        <v>0</v>
      </c>
      <c r="CG159" s="3">
        <f>(CG160/(CG$5-CF$5))*CG$15</f>
        <v>0</v>
      </c>
      <c r="CH159" s="3">
        <f>(CH160/(CH$5-CG$5))*CH$15</f>
        <v>0</v>
      </c>
      <c r="CI159" s="3">
        <f>(CI160/(CI$5-CH$5))*CI$15</f>
        <v>0</v>
      </c>
      <c r="CJ159" s="3">
        <f>CI159</f>
        <v>0</v>
      </c>
      <c r="CK159" s="3">
        <f>(CK160/(CK$5-CJ$5))*CK$15</f>
        <v>0</v>
      </c>
      <c r="CL159" s="3">
        <f>(CL160/(CL$5-CK$5))*CL$15</f>
        <v>0</v>
      </c>
      <c r="CM159" s="3">
        <f>(CM160/(CM$5-CL$5))*CM$15</f>
        <v>0</v>
      </c>
      <c r="CN159" s="3">
        <f>(CN160/(CN$5-CM$5))*CN$15</f>
        <v>0</v>
      </c>
      <c r="CO159" s="3">
        <f>CN159</f>
        <v>0</v>
      </c>
      <c r="CP159" s="3">
        <f>(CP160/(CP$5-CO$5))*CP$15</f>
        <v>0</v>
      </c>
      <c r="CQ159" s="3">
        <f>(CQ160/(CQ$5-CP$5))*CQ$15</f>
        <v>0</v>
      </c>
      <c r="CR159" s="3">
        <f>(CR160/(CR$5-CQ$5))*CR$15</f>
        <v>0</v>
      </c>
      <c r="CS159" s="3">
        <f>(CS160/(CS$5-CR$5))*CS$15</f>
        <v>0</v>
      </c>
      <c r="CT159" s="3">
        <f>CS159</f>
        <v>0</v>
      </c>
      <c r="CU159" s="3">
        <f>(CU160/(CU$5-CT$5))*CU$15</f>
        <v>0</v>
      </c>
      <c r="CV159" s="3">
        <f>(CV160/(CV$5-CU$5))*CV$15</f>
        <v>0</v>
      </c>
      <c r="CW159" s="3">
        <f>(CW160/(CW$5-CV$5))*CW$15</f>
        <v>0</v>
      </c>
      <c r="CX159" s="3">
        <f>(CX160/(CX$5-CW$5))*CX$15</f>
        <v>0</v>
      </c>
      <c r="CY159" s="3">
        <f>CX159</f>
        <v>0</v>
      </c>
    </row>
    <row r="160" hidden="1" outlineLevel="1">
      <c r="C160" s="34" t="inlineStr">
        <is>
          <t>DSO</t>
        </is>
      </c>
      <c r="D160" s="3" t="n"/>
      <c r="E160" s="3">
        <f>(E159/E$15)*(E$5-D$5)</f>
        <v>253.433100193336</v>
      </c>
      <c r="F160" s="3">
        <f>(F159/F$15)*(F$5-E$5)</f>
        <v>234.603980386501</v>
      </c>
      <c r="G160" s="3">
        <f>(G159/G$15)*(G$5-F$5)</f>
        <v>212.992634514958</v>
      </c>
      <c r="H160" s="3" t="n"/>
      <c r="I160" s="3">
        <f>(I159/I$15)*(I$5-H$5)</f>
        <v>248.820080993616</v>
      </c>
      <c r="J160" s="3">
        <f>(J159/J$15)*(J$5-I$5)</f>
        <v>211.52771432433</v>
      </c>
      <c r="K160" s="3">
        <f>(K159/K$15)*(K$5-J$5)</f>
        <v>222.977407283669</v>
      </c>
      <c r="L160" s="3">
        <f>(L159/L$15)*(L$5-K$5)</f>
        <v>239.2908719665</v>
      </c>
      <c r="M160" s="3" t="n"/>
      <c r="N160" s="3">
        <f>(N159/N$15)*(N$5-M$5)</f>
        <v>328.030037507768</v>
      </c>
      <c r="O160" s="3">
        <f>(O159/O$15)*(O$5-N$5)</f>
        <v>235.023336756345</v>
      </c>
      <c r="P160" s="3">
        <f>(P159/P$15)*(P$5-O$5)</f>
        <v>205.490533128863</v>
      </c>
      <c r="Q160" s="3">
        <f>(Q159/Q$15)*(Q$5-P$5)</f>
        <v>186.901319257577</v>
      </c>
      <c r="R160" s="3" t="n"/>
      <c r="S160" s="3">
        <f>(S159/S$15)*(S$5-R$5)</f>
        <v>158.931484008902</v>
      </c>
      <c r="T160" s="3">
        <f>(T159/T$15)*(T$5-S$5)</f>
        <v>135.758491286795</v>
      </c>
      <c r="U160" s="3">
        <f>(U159/U$15)*(U$5-T$5)</f>
        <v>132.197644818148</v>
      </c>
      <c r="V160" s="3">
        <f>(V159/V$15)*(V$5-U$5)</f>
        <v>123.649810989704</v>
      </c>
      <c r="W160" s="3" t="n"/>
      <c r="X160" s="3">
        <f>(X159/X$15)*(X$5-W$5)</f>
        <v>139.666159530537</v>
      </c>
      <c r="Y160" s="3">
        <f>(Y159/Y$15)*(Y$5-X$5)</f>
        <v>125.752748513403</v>
      </c>
      <c r="Z160" s="3">
        <f>(Z159/Z$15)*(Z$5-Y$5)</f>
        <v>126.709639047157</v>
      </c>
      <c r="AA160" s="3">
        <f>(AA159/AA$15)*(AA$5-Z$5)</f>
        <v>127.757979692185</v>
      </c>
      <c r="AB160" s="3" t="n"/>
      <c r="AC160" s="3">
        <f>(AC159/AC$15)*(AC$5-AB$5)</f>
        <v>140.360109983358</v>
      </c>
      <c r="AD160" s="3">
        <f>(AD159/AD$15)*(AD$5-AC$5)</f>
        <v>144.190911325495</v>
      </c>
      <c r="AE160" s="3">
        <f>(AE159/AE$15)*(AE$5-AD$5)</f>
        <v>142.765095707186</v>
      </c>
      <c r="AF160" s="6">
        <f>(AF159/AF$15)*(AF$5-AE$5)</f>
        <v>139.838457718627</v>
      </c>
      <c r="AG160" s="3" t="n"/>
      <c r="AH160" s="6">
        <f>(AH159/AH$15)*(AH$5-AG$5)</f>
        <v>142.284711804938</v>
      </c>
      <c r="AI160" s="6">
        <f>(AI159/AI$15)*(AI$5-AH$5)</f>
        <v>146.536034080329</v>
      </c>
      <c r="AJ160" s="6" t="n"/>
      <c r="AK160" s="6" t="n"/>
      <c r="AL160" s="3" t="n"/>
      <c r="AM160" s="6" t="n"/>
      <c r="AN160" s="6" t="n"/>
      <c r="AO160" s="6" t="n"/>
      <c r="AP160" s="6" t="n"/>
      <c r="AQ160" s="3" t="n"/>
      <c r="AR160" s="6" t="n"/>
      <c r="AS160" s="6" t="n"/>
      <c r="AT160" s="6" t="n"/>
      <c r="AU160" s="6" t="n"/>
      <c r="AV160" s="3" t="n"/>
      <c r="AW160" s="6" t="n"/>
      <c r="AX160" s="6" t="n"/>
      <c r="AY160" s="6" t="n"/>
      <c r="AZ160" s="6" t="n"/>
      <c r="BA160" s="3" t="n"/>
      <c r="BB160" s="6" t="n"/>
      <c r="BC160" s="6" t="n"/>
      <c r="BD160" s="6" t="n"/>
      <c r="BE160" s="6" t="n"/>
      <c r="BF160" s="3" t="n"/>
      <c r="BG160" s="6" t="n"/>
      <c r="BH160" s="6" t="n"/>
      <c r="BI160" s="6" t="n"/>
      <c r="BJ160" s="6" t="n"/>
      <c r="BK160" s="3" t="n"/>
      <c r="BL160" s="6" t="n"/>
      <c r="BM160" s="6" t="n"/>
      <c r="BN160" s="6" t="n"/>
      <c r="BO160" s="6" t="n"/>
      <c r="BP160" s="3" t="n"/>
      <c r="BQ160" s="6" t="n"/>
      <c r="BR160" s="6" t="n"/>
      <c r="BS160" s="6" t="n"/>
      <c r="BT160" s="6" t="n"/>
      <c r="BU160" s="3" t="n"/>
      <c r="BV160" s="6" t="n"/>
      <c r="BW160" s="6" t="n"/>
      <c r="BX160" s="6" t="n"/>
      <c r="BY160" s="6" t="n"/>
      <c r="BZ160" s="3" t="n"/>
      <c r="CA160" s="6" t="n"/>
      <c r="CB160" s="6" t="n"/>
      <c r="CC160" s="6" t="n"/>
      <c r="CD160" s="6" t="n"/>
      <c r="CE160" s="3" t="n"/>
      <c r="CF160" s="6" t="n"/>
      <c r="CG160" s="6" t="n"/>
      <c r="CH160" s="6" t="n"/>
      <c r="CI160" s="6" t="n"/>
      <c r="CJ160" s="3" t="n"/>
      <c r="CK160" s="6" t="n"/>
      <c r="CL160" s="6" t="n"/>
      <c r="CM160" s="6" t="n"/>
      <c r="CN160" s="6" t="n"/>
      <c r="CO160" s="3" t="n"/>
      <c r="CP160" s="6" t="n"/>
      <c r="CQ160" s="6" t="n"/>
      <c r="CR160" s="6" t="n"/>
      <c r="CS160" s="6" t="n"/>
      <c r="CT160" s="3" t="n"/>
      <c r="CU160" s="6" t="n"/>
      <c r="CV160" s="6" t="n"/>
      <c r="CW160" s="6" t="n"/>
      <c r="CX160" s="6" t="n"/>
      <c r="CY160" s="3" t="n"/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>
      <c r="C163" s="26" t="inlineStr">
        <is>
          <t>Inventories</t>
        </is>
      </c>
      <c r="D163" s="25">
        <f>INDEX('Inputs (2)'!$D$17:$AL$17,MATCH(D$7,'Inputs (2)'!$D$2:$AL$2,0))</f>
        <v>210.689</v>
      </c>
      <c r="E163" s="25">
        <f>INDEX('Inputs (2)'!$D$17:$AL$17,MATCH(E$7,'Inputs (2)'!$D$2:$AL$2,0))</f>
        <v>190.026</v>
      </c>
      <c r="F163" s="25">
        <f>INDEX('Inputs (2)'!$D$17:$AL$17,MATCH(F$7,'Inputs (2)'!$D$2:$AL$2,0))</f>
        <v>226.704</v>
      </c>
      <c r="G163" s="25">
        <f>INDEX('Inputs (2)'!$D$17:$AL$17,MATCH(G$7,'Inputs (2)'!$D$2:$AL$2,0))</f>
        <v>296.258</v>
      </c>
      <c r="H163" s="3">
        <f>G163</f>
        <v>296.258</v>
      </c>
      <c r="I163" s="25">
        <f>INDEX('Inputs (2)'!$D$17:$AL$17,MATCH(I$7,'Inputs (2)'!$D$2:$AL$2,0))</f>
        <v>419.485</v>
      </c>
      <c r="J163" s="25">
        <f>INDEX('Inputs (2)'!$D$17:$AL$17,MATCH(J$7,'Inputs (2)'!$D$2:$AL$2,0))</f>
        <v>365.678</v>
      </c>
      <c r="K163" s="25">
        <f>INDEX('Inputs (2)'!$D$17:$AL$17,MATCH(K$7,'Inputs (2)'!$D$2:$AL$2,0))</f>
        <v>381.628</v>
      </c>
      <c r="L163" s="25">
        <f>INDEX('Inputs (2)'!$D$17:$AL$17,MATCH(L$7,'Inputs (2)'!$D$2:$AL$2,0))</f>
        <v>532.708</v>
      </c>
      <c r="M163" s="3">
        <f>L163</f>
        <v>532.708</v>
      </c>
      <c r="N163" s="25">
        <f>INDEX('Inputs (2)'!$D$17:$AL$17,MATCH(N$7,'Inputs (2)'!$D$2:$AL$2,0))</f>
        <v>500.791</v>
      </c>
      <c r="O163" s="25">
        <f>INDEX('Inputs (2)'!$D$17:$AL$17,MATCH(O$7,'Inputs (2)'!$D$2:$AL$2,0))</f>
        <v>470.587</v>
      </c>
      <c r="P163" s="25">
        <f>INDEX('Inputs (2)'!$D$17:$AL$17,MATCH(P$7,'Inputs (2)'!$D$2:$AL$2,0))</f>
        <v>528.14</v>
      </c>
      <c r="Q163" s="25">
        <f>INDEX('Inputs (2)'!$D$17:$AL$17,MATCH(Q$7,'Inputs (2)'!$D$2:$AL$2,0))</f>
        <v>604.089</v>
      </c>
      <c r="R163" s="3">
        <f>Q163</f>
        <v>604.089</v>
      </c>
      <c r="S163" s="25">
        <f>INDEX('Inputs (2)'!$D$17:$AL$17,MATCH(S$7,'Inputs (2)'!$D$2:$AL$2,0))</f>
        <v>712.498</v>
      </c>
      <c r="T163" s="25">
        <f>INDEX('Inputs (2)'!$D$17:$AL$17,MATCH(T$7,'Inputs (2)'!$D$2:$AL$2,0))</f>
        <v>657.603</v>
      </c>
      <c r="U163" s="25">
        <f>INDEX('Inputs (2)'!$D$17:$AL$17,MATCH(U$7,'Inputs (2)'!$D$2:$AL$2,0))</f>
        <v>689.025</v>
      </c>
      <c r="V163" s="25">
        <f>INDEX('Inputs (2)'!$D$17:$AL$17,MATCH(V$7,'Inputs (2)'!$D$2:$AL$2,0))</f>
        <v>717.548</v>
      </c>
      <c r="W163" s="3">
        <f>V163</f>
        <v>717.548</v>
      </c>
      <c r="X163" s="25">
        <f>INDEX('Inputs (2)'!$D$17:$AL$17,MATCH(X$7,'Inputs (2)'!$D$2:$AL$2,0))</f>
        <v>811.385</v>
      </c>
      <c r="Y163" s="25">
        <f>INDEX('Inputs (2)'!$D$17:$AL$17,MATCH(Y$7,'Inputs (2)'!$D$2:$AL$2,0))</f>
        <v>766.051</v>
      </c>
      <c r="Z163" s="25">
        <f>INDEX('Inputs (2)'!$D$17:$AL$17,MATCH(Z$7,'Inputs (2)'!$D$2:$AL$2,0))</f>
        <v>791.617</v>
      </c>
      <c r="AA163" s="25">
        <f>INDEX('Inputs (2)'!$D$17:$AL$17,MATCH(AA$7,'Inputs (2)'!$D$2:$AL$2,0))</f>
        <v>1193.128</v>
      </c>
      <c r="AB163" s="3">
        <f>AA163</f>
        <v>1193.128</v>
      </c>
      <c r="AC163" s="25">
        <f>INDEX('Inputs (2)'!$D$17:$AL$17,MATCH(AC$7,'Inputs (2)'!$D$2:$AL$2,0))</f>
        <v>1134.943</v>
      </c>
      <c r="AD163" s="25">
        <f>INDEX('Inputs (2)'!$D$17:$AL$17,MATCH(AD$7,'Inputs (2)'!$D$2:$AL$2,0))</f>
        <v>1183.857</v>
      </c>
      <c r="AE163" s="25">
        <f>INDEX('Inputs (2)'!$D$17:$AL$17,MATCH(AE$7,'Inputs (2)'!$D$2:$AL$2,0))</f>
        <v>1316.855</v>
      </c>
      <c r="AF163" s="25">
        <f>INDEX('Inputs (2)'!$D$17:$AL$17,MATCH(AF$7,'Inputs (2)'!$D$2:$AL$2,0))</f>
        <v>1348.649</v>
      </c>
      <c r="AG163" s="3">
        <f>AF163</f>
        <v>1348.649</v>
      </c>
      <c r="AH163" s="3">
        <f>INDEX('Inputs (2)'!$D$17:$AL$17,MATCH(AH$7,'Inputs (2)'!$D$2:$AL$2,0))</f>
        <v>1521.588</v>
      </c>
      <c r="AI163" s="3">
        <f>INDEX('Inputs (2)'!$D$17:$AL$17,MATCH(AI$7,'Inputs (2)'!$D$2:$AL$2,0))</f>
        <v>1530.119</v>
      </c>
      <c r="AJ163" s="3">
        <f>(AJ164/(AJ$5-AI$5))*-AJ$68</f>
        <v>0</v>
      </c>
      <c r="AK163" s="3">
        <f>(AK164/(AK$5-AJ$5))*-AK$68</f>
        <v>0</v>
      </c>
      <c r="AL163" s="3">
        <f>AK163</f>
        <v>0</v>
      </c>
      <c r="AM163" s="3">
        <f>(AM164/(AM$5-AL$5))*-AM$68</f>
        <v>0</v>
      </c>
      <c r="AN163" s="3">
        <f>(AN164/(AN$5-AM$5))*-AN$68</f>
        <v>0</v>
      </c>
      <c r="AO163" s="3">
        <f>(AO164/(AO$5-AN$5))*-AO$68</f>
        <v>0</v>
      </c>
      <c r="AP163" s="3">
        <f>(AP164/(AP$5-AO$5))*-AP$68</f>
        <v>0</v>
      </c>
      <c r="AQ163" s="3">
        <f>AP163</f>
        <v>0</v>
      </c>
      <c r="AR163" s="3">
        <f>(AR164/(AR$5-AQ$5))*-AR$68</f>
        <v>0</v>
      </c>
      <c r="AS163" s="3">
        <f>(AS164/(AS$5-AR$5))*-AS$68</f>
        <v>0</v>
      </c>
      <c r="AT163" s="3">
        <f>(AT164/(AT$5-AS$5))*-AT$68</f>
        <v>0</v>
      </c>
      <c r="AU163" s="3">
        <f>(AU164/(AU$5-AT$5))*-AU$68</f>
        <v>0</v>
      </c>
      <c r="AV163" s="3">
        <f>AU163</f>
        <v>0</v>
      </c>
      <c r="AW163" s="3">
        <f>(AW164/(AW$5-AV$5))*-AW$68</f>
        <v>0</v>
      </c>
      <c r="AX163" s="3">
        <f>(AX164/(AX$5-AW$5))*-AX$68</f>
        <v>0</v>
      </c>
      <c r="AY163" s="3">
        <f>(AY164/(AY$5-AX$5))*-AY$68</f>
        <v>0</v>
      </c>
      <c r="AZ163" s="3">
        <f>(AZ164/(AZ$5-AY$5))*-AZ$68</f>
        <v>0</v>
      </c>
      <c r="BA163" s="3">
        <f>AZ163</f>
        <v>0</v>
      </c>
      <c r="BB163" s="3">
        <f>(BB164/(BB$5-BA$5))*-BB$68</f>
        <v>0</v>
      </c>
      <c r="BC163" s="3">
        <f>(BC164/(BC$5-BB$5))*-BC$68</f>
        <v>0</v>
      </c>
      <c r="BD163" s="3">
        <f>(BD164/(BD$5-BC$5))*-BD$68</f>
        <v>0</v>
      </c>
      <c r="BE163" s="3">
        <f>(BE164/(BE$5-BD$5))*-BE$68</f>
        <v>0</v>
      </c>
      <c r="BF163" s="3">
        <f>BE163</f>
        <v>0</v>
      </c>
      <c r="BG163" s="3">
        <f>(BG164/(BG$5-BF$5))*-BG$68</f>
        <v>0</v>
      </c>
      <c r="BH163" s="3">
        <f>(BH164/(BH$5-BG$5))*-BH$68</f>
        <v>0</v>
      </c>
      <c r="BI163" s="3">
        <f>(BI164/(BI$5-BH$5))*-BI$68</f>
        <v>0</v>
      </c>
      <c r="BJ163" s="3">
        <f>(BJ164/(BJ$5-BI$5))*-BJ$68</f>
        <v>0</v>
      </c>
      <c r="BK163" s="3">
        <f>BJ163</f>
        <v>0</v>
      </c>
      <c r="BL163" s="3">
        <f>(BL164/(BL$5-BK$5))*-BL$68</f>
        <v>0</v>
      </c>
      <c r="BM163" s="3">
        <f>(BM164/(BM$5-BL$5))*-BM$68</f>
        <v>0</v>
      </c>
      <c r="BN163" s="3">
        <f>(BN164/(BN$5-BM$5))*-BN$68</f>
        <v>0</v>
      </c>
      <c r="BO163" s="3">
        <f>(BO164/(BO$5-BN$5))*-BO$68</f>
        <v>0</v>
      </c>
      <c r="BP163" s="3">
        <f>BO163</f>
        <v>0</v>
      </c>
      <c r="BQ163" s="3">
        <f>(BQ164/(BQ$5-BP$5))*-BQ$68</f>
        <v>0</v>
      </c>
      <c r="BR163" s="3">
        <f>(BR164/(BR$5-BQ$5))*-BR$68</f>
        <v>0</v>
      </c>
      <c r="BS163" s="3">
        <f>(BS164/(BS$5-BR$5))*-BS$68</f>
        <v>0</v>
      </c>
      <c r="BT163" s="3">
        <f>(BT164/(BT$5-BS$5))*-BT$68</f>
        <v>0</v>
      </c>
      <c r="BU163" s="3">
        <f>BT163</f>
        <v>0</v>
      </c>
      <c r="BV163" s="3">
        <f>(BV164/(BV$5-BU$5))*-BV$68</f>
        <v>0</v>
      </c>
      <c r="BW163" s="3">
        <f>(BW164/(BW$5-BV$5))*-BW$68</f>
        <v>0</v>
      </c>
      <c r="BX163" s="3">
        <f>(BX164/(BX$5-BW$5))*-BX$68</f>
        <v>0</v>
      </c>
      <c r="BY163" s="3">
        <f>(BY164/(BY$5-BX$5))*-BY$68</f>
        <v>0</v>
      </c>
      <c r="BZ163" s="3">
        <f>BY163</f>
        <v>0</v>
      </c>
      <c r="CA163" s="3">
        <f>(CA164/(CA$5-BZ$5))*-CA$68</f>
        <v>0</v>
      </c>
      <c r="CB163" s="3">
        <f>(CB164/(CB$5-CA$5))*-CB$68</f>
        <v>0</v>
      </c>
      <c r="CC163" s="3">
        <f>(CC164/(CC$5-CB$5))*-CC$68</f>
        <v>0</v>
      </c>
      <c r="CD163" s="3">
        <f>(CD164/(CD$5-CC$5))*-CD$68</f>
        <v>0</v>
      </c>
      <c r="CE163" s="3">
        <f>CD163</f>
        <v>0</v>
      </c>
      <c r="CF163" s="3">
        <f>(CF164/(CF$5-CE$5))*-CF$68</f>
        <v>0</v>
      </c>
      <c r="CG163" s="3">
        <f>(CG164/(CG$5-CF$5))*-CG$68</f>
        <v>0</v>
      </c>
      <c r="CH163" s="3">
        <f>(CH164/(CH$5-CG$5))*-CH$68</f>
        <v>0</v>
      </c>
      <c r="CI163" s="3">
        <f>(CI164/(CI$5-CH$5))*-CI$68</f>
        <v>0</v>
      </c>
      <c r="CJ163" s="3">
        <f>CI163</f>
        <v>0</v>
      </c>
      <c r="CK163" s="3">
        <f>(CK164/(CK$5-CJ$5))*-CK$68</f>
        <v>0</v>
      </c>
      <c r="CL163" s="3">
        <f>(CL164/(CL$5-CK$5))*-CL$68</f>
        <v>0</v>
      </c>
      <c r="CM163" s="3">
        <f>(CM164/(CM$5-CL$5))*-CM$68</f>
        <v>0</v>
      </c>
      <c r="CN163" s="3">
        <f>(CN164/(CN$5-CM$5))*-CN$68</f>
        <v>0</v>
      </c>
      <c r="CO163" s="3">
        <f>CN163</f>
        <v>0</v>
      </c>
      <c r="CP163" s="3">
        <f>(CP164/(CP$5-CO$5))*-CP$68</f>
        <v>0</v>
      </c>
      <c r="CQ163" s="3">
        <f>(CQ164/(CQ$5-CP$5))*-CQ$68</f>
        <v>0</v>
      </c>
      <c r="CR163" s="3">
        <f>(CR164/(CR$5-CQ$5))*-CR$68</f>
        <v>0</v>
      </c>
      <c r="CS163" s="3">
        <f>(CS164/(CS$5-CR$5))*-CS$68</f>
        <v>0</v>
      </c>
      <c r="CT163" s="3">
        <f>CS163</f>
        <v>0</v>
      </c>
      <c r="CU163" s="3">
        <f>(CU164/(CU$5-CT$5))*-CU$68</f>
        <v>0</v>
      </c>
      <c r="CV163" s="3">
        <f>(CV164/(CV$5-CU$5))*-CV$68</f>
        <v>0</v>
      </c>
      <c r="CW163" s="3">
        <f>(CW164/(CW$5-CV$5))*-CW$68</f>
        <v>0</v>
      </c>
      <c r="CX163" s="3">
        <f>(CX164/(CX$5-CW$5))*-CX$68</f>
        <v>0</v>
      </c>
      <c r="CY163" s="3">
        <f>CX163</f>
        <v>0</v>
      </c>
    </row>
    <row r="164" hidden="1" outlineLevel="1">
      <c r="C164" s="34" t="inlineStr">
        <is>
          <t>DIO</t>
        </is>
      </c>
      <c r="D164" s="3" t="n"/>
      <c r="E164" s="3">
        <f>((E163/E$68)*(E$5-D$5))*-1</f>
        <v>108.663390663391</v>
      </c>
      <c r="F164" s="3">
        <f>((F163/F$68)*(F$5-E$5))*-1</f>
        <v>102.975535817439</v>
      </c>
      <c r="G164" s="3">
        <f>((G163/G$68)*(G$5-F$5))*-1</f>
        <v>132.674575165626</v>
      </c>
      <c r="H164" s="3" t="n"/>
      <c r="I164" s="3">
        <f>((I163/I$68)*(I$5-H$5))*-1</f>
        <v>172.435188906752</v>
      </c>
      <c r="J164" s="3">
        <f>((J163/J$68)*(J$5-I$5))*-1</f>
        <v>115.375433827634</v>
      </c>
      <c r="K164" s="3">
        <f>((K163/K$68)*(K$5-J$5))*-1</f>
        <v>124.733757019086</v>
      </c>
      <c r="L164" s="3">
        <f>((L163/L$68)*(L$5-K$5))*-1</f>
        <v>160.801152302801</v>
      </c>
      <c r="M164" s="3" t="n"/>
      <c r="N164" s="3">
        <f>((N163/N$68)*(N$5-M$5))*-1</f>
        <v>160.130708969144</v>
      </c>
      <c r="O164" s="3">
        <f>((O163/O$68)*(O$5-N$5))*-1</f>
        <v>110.573108762</v>
      </c>
      <c r="P164" s="3">
        <f>((P163/P$68)*(P$5-O$5))*-1</f>
        <v>123.662258599803</v>
      </c>
      <c r="Q164" s="3">
        <f>((Q163/Q$68)*(Q$5-P$5))*-1</f>
        <v>154.922681087711</v>
      </c>
      <c r="R164" s="3" t="n"/>
      <c r="S164" s="3">
        <f>((S163/S$68)*(S$5-R$5))*-1</f>
        <v>172.474058215033</v>
      </c>
      <c r="T164" s="3">
        <f>((T163/T$68)*(T$5-S$5))*-1</f>
        <v>132.045298681354</v>
      </c>
      <c r="U164" s="3">
        <f>((U163/U$68)*(U$5-T$5))*-1</f>
        <v>135.457752723994</v>
      </c>
      <c r="V164" s="3">
        <f>((V163/V$68)*(V$5-U$5))*-1</f>
        <v>132.59581169079</v>
      </c>
      <c r="W164" s="3" t="n"/>
      <c r="X164" s="3">
        <f>((X163/X$68)*(X$5-W$5))*-1</f>
        <v>141.781611181839</v>
      </c>
      <c r="Y164" s="3">
        <f>((Y163/Y$68)*(Y$5-X$5))*-1</f>
        <v>113.248619942361</v>
      </c>
      <c r="Z164" s="3">
        <f>((Z163/Z$68)*(Z$5-Y$5))*-1</f>
        <v>112.663729491079</v>
      </c>
      <c r="AA164" s="3">
        <f>((AA163/AA$68)*(AA$5-Z$5))*-1</f>
        <v>174.06409278532</v>
      </c>
      <c r="AB164" s="3" t="n"/>
      <c r="AC164" s="3">
        <f>((AC163/AC$68)*(AC$5-AB$5))*-1</f>
        <v>137.792285402862</v>
      </c>
      <c r="AD164" s="3">
        <f>((AD163/AD$68)*(AD$5-AC$5))*-1</f>
        <v>132.376434433532</v>
      </c>
      <c r="AE164" s="3">
        <f>((AE163/AE$68)*(AE$5-AD$5))*-1</f>
        <v>142.413074424679</v>
      </c>
      <c r="AF164" s="6">
        <f>((AF163/AF$68)*(AF$5-AE$5))*-1</f>
        <v>146.485153225607</v>
      </c>
      <c r="AG164" s="3" t="n"/>
      <c r="AH164" s="6">
        <f>((AH163/AH$68)*(AH$5-AG$5))*-1</f>
        <v>139.323257860547</v>
      </c>
      <c r="AI164" s="6">
        <f>((AI163/AI$68)*(AI$5-AH$5))*-1</f>
        <v>136.212551553855</v>
      </c>
      <c r="AJ164" s="6" t="n"/>
      <c r="AK164" s="6" t="n"/>
      <c r="AL164" s="3" t="n"/>
      <c r="AM164" s="6" t="n"/>
      <c r="AN164" s="6" t="n"/>
      <c r="AO164" s="6" t="n"/>
      <c r="AP164" s="6" t="n"/>
      <c r="AQ164" s="3" t="n"/>
      <c r="AR164" s="6" t="n"/>
      <c r="AS164" s="6" t="n"/>
      <c r="AT164" s="6" t="n"/>
      <c r="AU164" s="6" t="n"/>
      <c r="AV164" s="3" t="n"/>
      <c r="AW164" s="6" t="n"/>
      <c r="AX164" s="6" t="n"/>
      <c r="AY164" s="6" t="n"/>
      <c r="AZ164" s="6" t="n"/>
      <c r="BA164" s="3" t="n"/>
      <c r="BB164" s="6" t="n"/>
      <c r="BC164" s="6" t="n"/>
      <c r="BD164" s="6" t="n"/>
      <c r="BE164" s="6" t="n"/>
      <c r="BF164" s="3" t="n"/>
      <c r="BG164" s="6" t="n"/>
      <c r="BH164" s="6" t="n"/>
      <c r="BI164" s="6" t="n"/>
      <c r="BJ164" s="6" t="n"/>
      <c r="BK164" s="3" t="n"/>
      <c r="BL164" s="6" t="n"/>
      <c r="BM164" s="6" t="n"/>
      <c r="BN164" s="6" t="n"/>
      <c r="BO164" s="6" t="n"/>
      <c r="BP164" s="3" t="n"/>
      <c r="BQ164" s="6" t="n"/>
      <c r="BR164" s="6" t="n"/>
      <c r="BS164" s="6" t="n"/>
      <c r="BT164" s="6" t="n"/>
      <c r="BU164" s="3" t="n"/>
      <c r="BV164" s="6" t="n"/>
      <c r="BW164" s="6" t="n"/>
      <c r="BX164" s="6" t="n"/>
      <c r="BY164" s="6" t="n"/>
      <c r="BZ164" s="3" t="n"/>
      <c r="CA164" s="6" t="n"/>
      <c r="CB164" s="6" t="n"/>
      <c r="CC164" s="6" t="n"/>
      <c r="CD164" s="6" t="n"/>
      <c r="CE164" s="3" t="n"/>
      <c r="CF164" s="6" t="n"/>
      <c r="CG164" s="6" t="n"/>
      <c r="CH164" s="6" t="n"/>
      <c r="CI164" s="6" t="n"/>
      <c r="CJ164" s="3" t="n"/>
      <c r="CK164" s="6" t="n"/>
      <c r="CL164" s="6" t="n"/>
      <c r="CM164" s="6" t="n"/>
      <c r="CN164" s="6" t="n"/>
      <c r="CO164" s="3" t="n"/>
      <c r="CP164" s="6" t="n"/>
      <c r="CQ164" s="6" t="n"/>
      <c r="CR164" s="6" t="n"/>
      <c r="CS164" s="6" t="n"/>
      <c r="CT164" s="3" t="n"/>
      <c r="CU164" s="6" t="n"/>
      <c r="CV164" s="6" t="n"/>
      <c r="CW164" s="6" t="n"/>
      <c r="CX164" s="6" t="n"/>
      <c r="CY164" s="3" t="n"/>
    </row>
    <row r="165" hidden="1" outlineLevel="1">
      <c r="C165" s="34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  <c r="BZ165" s="3" t="n"/>
      <c r="CA165" s="3" t="n"/>
      <c r="CB165" s="3" t="n"/>
      <c r="CC165" s="3" t="n"/>
      <c r="CD165" s="3" t="n"/>
      <c r="CE165" s="3" t="n"/>
      <c r="CF165" s="3" t="n"/>
      <c r="CG165" s="3" t="n"/>
      <c r="CH165" s="3" t="n"/>
      <c r="CI165" s="3" t="n"/>
      <c r="CJ165" s="3" t="n"/>
      <c r="CK165" s="3" t="n"/>
      <c r="CL165" s="3" t="n"/>
      <c r="CM165" s="3" t="n"/>
      <c r="CN165" s="3" t="n"/>
      <c r="CO165" s="3" t="n"/>
      <c r="CP165" s="3" t="n"/>
      <c r="CQ165" s="3" t="n"/>
      <c r="CR165" s="3" t="n"/>
      <c r="CS165" s="3" t="n"/>
      <c r="CT165" s="3" t="n"/>
      <c r="CU165" s="3" t="n"/>
      <c r="CV165" s="3" t="n"/>
      <c r="CW165" s="3" t="n"/>
      <c r="CX165" s="3" t="n"/>
      <c r="CY165" s="3" t="n"/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collapsed="1">
      <c r="C167" s="26" t="inlineStr">
        <is>
          <t>Deferred income taxes</t>
        </is>
      </c>
      <c r="D167" s="25" t="n"/>
      <c r="E167" s="25" t="n"/>
      <c r="F167" s="25" t="n"/>
      <c r="G167" s="25" t="n"/>
      <c r="H167" s="3">
        <f>G167</f>
        <v>0</v>
      </c>
      <c r="I167" s="25" t="n"/>
      <c r="J167" s="25" t="n"/>
      <c r="K167" s="25" t="n"/>
      <c r="L167" s="25" t="n"/>
      <c r="M167" s="3">
        <f>L167</f>
        <v>0</v>
      </c>
      <c r="N167" s="25" t="n"/>
      <c r="O167" s="25" t="n"/>
      <c r="P167" s="25" t="n"/>
      <c r="Q167" s="25" t="n"/>
      <c r="R167" s="3">
        <f>Q167</f>
        <v>0</v>
      </c>
      <c r="S167" s="25" t="n"/>
      <c r="T167" s="25" t="n"/>
      <c r="U167" s="25" t="n"/>
      <c r="V167" s="25" t="n"/>
      <c r="W167" s="3">
        <f>V167</f>
        <v>0</v>
      </c>
      <c r="X167" s="25" t="n"/>
      <c r="Y167" s="25" t="n"/>
      <c r="Z167" s="25" t="n"/>
      <c r="AA167" s="25" t="n"/>
      <c r="AB167" s="3">
        <f>AA167</f>
        <v>0</v>
      </c>
      <c r="AC167" s="25" t="n"/>
      <c r="AD167" s="25" t="n"/>
      <c r="AE167" s="25" t="n"/>
      <c r="AF167" s="25" t="n"/>
      <c r="AG167" s="3">
        <f>AF167</f>
        <v>0</v>
      </c>
      <c r="AH167" s="3">
        <f>AG167</f>
        <v>0</v>
      </c>
      <c r="AI167" s="3">
        <f>AH167</f>
        <v>0</v>
      </c>
      <c r="AJ167" s="3">
        <f>AI167</f>
        <v>0</v>
      </c>
      <c r="AK167" s="3">
        <f>AJ167</f>
        <v>0</v>
      </c>
      <c r="AL167" s="3">
        <f>AK167</f>
        <v>0</v>
      </c>
      <c r="AM167" s="3">
        <f>AL167</f>
        <v>0</v>
      </c>
      <c r="AN167" s="3">
        <f>AM167</f>
        <v>0</v>
      </c>
      <c r="AO167" s="3">
        <f>AN167</f>
        <v>0</v>
      </c>
      <c r="AP167" s="3">
        <f>AO167</f>
        <v>0</v>
      </c>
      <c r="AQ167" s="3">
        <f>AP167</f>
        <v>0</v>
      </c>
      <c r="AR167" s="3">
        <f>AQ167</f>
        <v>0</v>
      </c>
      <c r="AS167" s="3">
        <f>AR167</f>
        <v>0</v>
      </c>
      <c r="AT167" s="3">
        <f>AS167</f>
        <v>0</v>
      </c>
      <c r="AU167" s="3">
        <f>AT167</f>
        <v>0</v>
      </c>
      <c r="AV167" s="3">
        <f>AU167</f>
        <v>0</v>
      </c>
      <c r="AW167" s="3">
        <f>AV167</f>
        <v>0</v>
      </c>
      <c r="AX167" s="3">
        <f>AW167</f>
        <v>0</v>
      </c>
      <c r="AY167" s="3">
        <f>AX167</f>
        <v>0</v>
      </c>
      <c r="AZ167" s="3">
        <f>AY167</f>
        <v>0</v>
      </c>
      <c r="BA167" s="3">
        <f>AZ167</f>
        <v>0</v>
      </c>
      <c r="BB167" s="3">
        <f>BA167</f>
        <v>0</v>
      </c>
      <c r="BC167" s="3">
        <f>BB167</f>
        <v>0</v>
      </c>
      <c r="BD167" s="3">
        <f>BC167</f>
        <v>0</v>
      </c>
      <c r="BE167" s="3">
        <f>BD167</f>
        <v>0</v>
      </c>
      <c r="BF167" s="3">
        <f>BE167</f>
        <v>0</v>
      </c>
      <c r="BG167" s="3">
        <f>BF167</f>
        <v>0</v>
      </c>
      <c r="BH167" s="3">
        <f>BG167</f>
        <v>0</v>
      </c>
      <c r="BI167" s="3">
        <f>BH167</f>
        <v>0</v>
      </c>
      <c r="BJ167" s="3">
        <f>BI167</f>
        <v>0</v>
      </c>
      <c r="BK167" s="3">
        <f>BJ167</f>
        <v>0</v>
      </c>
      <c r="BL167" s="3">
        <f>BK167</f>
        <v>0</v>
      </c>
      <c r="BM167" s="3">
        <f>BL167</f>
        <v>0</v>
      </c>
      <c r="BN167" s="3">
        <f>BM167</f>
        <v>0</v>
      </c>
      <c r="BO167" s="3">
        <f>BN167</f>
        <v>0</v>
      </c>
      <c r="BP167" s="3">
        <f>BO167</f>
        <v>0</v>
      </c>
      <c r="BQ167" s="3">
        <f>BP167</f>
        <v>0</v>
      </c>
      <c r="BR167" s="3">
        <f>BQ167</f>
        <v>0</v>
      </c>
      <c r="BS167" s="3">
        <f>BR167</f>
        <v>0</v>
      </c>
      <c r="BT167" s="3">
        <f>BS167</f>
        <v>0</v>
      </c>
      <c r="BU167" s="3">
        <f>BT167</f>
        <v>0</v>
      </c>
      <c r="BV167" s="3">
        <f>BU167</f>
        <v>0</v>
      </c>
      <c r="BW167" s="3">
        <f>BV167</f>
        <v>0</v>
      </c>
      <c r="BX167" s="3">
        <f>BW167</f>
        <v>0</v>
      </c>
      <c r="BY167" s="3">
        <f>BX167</f>
        <v>0</v>
      </c>
      <c r="BZ167" s="3">
        <f>BY167</f>
        <v>0</v>
      </c>
      <c r="CA167" s="3">
        <f>BZ167</f>
        <v>0</v>
      </c>
      <c r="CB167" s="3">
        <f>CA167</f>
        <v>0</v>
      </c>
      <c r="CC167" s="3">
        <f>CB167</f>
        <v>0</v>
      </c>
      <c r="CD167" s="3">
        <f>CC167</f>
        <v>0</v>
      </c>
      <c r="CE167" s="3">
        <f>CD167</f>
        <v>0</v>
      </c>
      <c r="CF167" s="3">
        <f>CE167</f>
        <v>0</v>
      </c>
      <c r="CG167" s="3">
        <f>CF167</f>
        <v>0</v>
      </c>
      <c r="CH167" s="3">
        <f>CG167</f>
        <v>0</v>
      </c>
      <c r="CI167" s="3">
        <f>CH167</f>
        <v>0</v>
      </c>
      <c r="CJ167" s="3">
        <f>CI167</f>
        <v>0</v>
      </c>
      <c r="CK167" s="3">
        <f>CJ167</f>
        <v>0</v>
      </c>
      <c r="CL167" s="3">
        <f>CK167</f>
        <v>0</v>
      </c>
      <c r="CM167" s="3">
        <f>CL167</f>
        <v>0</v>
      </c>
      <c r="CN167" s="3">
        <f>CM167</f>
        <v>0</v>
      </c>
      <c r="CO167" s="3">
        <f>CN167</f>
        <v>0</v>
      </c>
      <c r="CP167" s="3">
        <f>CO167</f>
        <v>0</v>
      </c>
      <c r="CQ167" s="3">
        <f>CP167</f>
        <v>0</v>
      </c>
      <c r="CR167" s="3">
        <f>CQ167</f>
        <v>0</v>
      </c>
      <c r="CS167" s="3">
        <f>CR167</f>
        <v>0</v>
      </c>
      <c r="CT167" s="3">
        <f>CS167</f>
        <v>0</v>
      </c>
      <c r="CU167" s="3">
        <f>CT167</f>
        <v>0</v>
      </c>
      <c r="CV167" s="3">
        <f>CU167</f>
        <v>0</v>
      </c>
      <c r="CW167" s="3">
        <f>CV167</f>
        <v>0</v>
      </c>
      <c r="CX167" s="3">
        <f>CW167</f>
        <v>0</v>
      </c>
      <c r="CY167" s="3">
        <f>CX167</f>
        <v>0</v>
      </c>
    </row>
    <row r="168">
      <c r="C168" s="26" t="inlineStr">
        <is>
          <t>Prepaid expenses</t>
        </is>
      </c>
      <c r="D168" s="25">
        <f>INDEX('Inputs (2)'!$D$19:$AL$19,MATCH(D$7,'Inputs (2)'!$D$2:$AL$2,0))</f>
        <v>11.718</v>
      </c>
      <c r="E168" s="25">
        <f>INDEX('Inputs (2)'!$D$19:$AL$19,MATCH(E$7,'Inputs (2)'!$D$2:$AL$2,0))</f>
        <v>9.125</v>
      </c>
      <c r="F168" s="25">
        <f>INDEX('Inputs (2)'!$D$19:$AL$19,MATCH(F$7,'Inputs (2)'!$D$2:$AL$2,0))</f>
        <v>8.463</v>
      </c>
      <c r="G168" s="25">
        <f>INDEX('Inputs (2)'!$D$19:$AL$19,MATCH(G$7,'Inputs (2)'!$D$2:$AL$2,0))</f>
        <v>7.748</v>
      </c>
      <c r="H168" s="3">
        <f>G168</f>
        <v>7.748</v>
      </c>
      <c r="I168" s="25">
        <f>INDEX('Inputs (2)'!$D$19:$AL$19,MATCH(I$7,'Inputs (2)'!$D$2:$AL$2,0))</f>
        <v>7.755</v>
      </c>
      <c r="J168" s="25">
        <f>INDEX('Inputs (2)'!$D$19:$AL$19,MATCH(J$7,'Inputs (2)'!$D$2:$AL$2,0))</f>
        <v>5.56</v>
      </c>
      <c r="K168" s="25">
        <f>INDEX('Inputs (2)'!$D$19:$AL$19,MATCH(K$7,'Inputs (2)'!$D$2:$AL$2,0))</f>
        <v>9.083</v>
      </c>
      <c r="L168" s="25">
        <f>INDEX('Inputs (2)'!$D$19:$AL$19,MATCH(L$7,'Inputs (2)'!$D$2:$AL$2,0))</f>
        <v>6.611</v>
      </c>
      <c r="M168" s="3">
        <f>L168</f>
        <v>6.611</v>
      </c>
      <c r="N168" s="25">
        <f>INDEX('Inputs (2)'!$D$19:$AL$19,MATCH(N$7,'Inputs (2)'!$D$2:$AL$2,0))</f>
        <v>6.676</v>
      </c>
      <c r="O168" s="25">
        <f>INDEX('Inputs (2)'!$D$19:$AL$19,MATCH(O$7,'Inputs (2)'!$D$2:$AL$2,0))</f>
        <v>6.582</v>
      </c>
      <c r="P168" s="25">
        <f>INDEX('Inputs (2)'!$D$19:$AL$19,MATCH(P$7,'Inputs (2)'!$D$2:$AL$2,0))</f>
        <v>8.343</v>
      </c>
      <c r="Q168" s="25">
        <f>INDEX('Inputs (2)'!$D$19:$AL$19,MATCH(Q$7,'Inputs (2)'!$D$2:$AL$2,0))</f>
        <v>7.297</v>
      </c>
      <c r="R168" s="3">
        <f>Q168</f>
        <v>7.297</v>
      </c>
      <c r="S168" s="25">
        <f>INDEX('Inputs (2)'!$D$19:$AL$19,MATCH(S$7,'Inputs (2)'!$D$2:$AL$2,0))</f>
        <v>7.108</v>
      </c>
      <c r="T168" s="25">
        <f>INDEX('Inputs (2)'!$D$19:$AL$19,MATCH(T$7,'Inputs (2)'!$D$2:$AL$2,0))</f>
        <v>9.562</v>
      </c>
      <c r="U168" s="25">
        <f>INDEX('Inputs (2)'!$D$19:$AL$19,MATCH(U$7,'Inputs (2)'!$D$2:$AL$2,0))</f>
        <v>11.558</v>
      </c>
      <c r="V168" s="25">
        <f>INDEX('Inputs (2)'!$D$19:$AL$19,MATCH(V$7,'Inputs (2)'!$D$2:$AL$2,0))</f>
        <v>13.547</v>
      </c>
      <c r="W168" s="3">
        <f>V168</f>
        <v>13.547</v>
      </c>
      <c r="X168" s="25">
        <f>INDEX('Inputs (2)'!$D$19:$AL$19,MATCH(X$7,'Inputs (2)'!$D$2:$AL$2,0))</f>
        <v>9.839</v>
      </c>
      <c r="Y168" s="25">
        <f>INDEX('Inputs (2)'!$D$19:$AL$19,MATCH(Y$7,'Inputs (2)'!$D$2:$AL$2,0))</f>
        <v>26.07</v>
      </c>
      <c r="Z168" s="25">
        <f>INDEX('Inputs (2)'!$D$19:$AL$19,MATCH(Z$7,'Inputs (2)'!$D$2:$AL$2,0))</f>
        <v>15.022</v>
      </c>
      <c r="AA168" s="25">
        <f>INDEX('Inputs (2)'!$D$19:$AL$19,MATCH(AA$7,'Inputs (2)'!$D$2:$AL$2,0))</f>
        <v>17.033</v>
      </c>
      <c r="AB168" s="3">
        <f>AA168</f>
        <v>17.033</v>
      </c>
      <c r="AC168" s="25">
        <f>INDEX('Inputs (2)'!$D$19:$AL$19,MATCH(AC$7,'Inputs (2)'!$D$2:$AL$2,0))</f>
        <v>15.238</v>
      </c>
      <c r="AD168" s="25">
        <f>INDEX('Inputs (2)'!$D$19:$AL$19,MATCH(AD$7,'Inputs (2)'!$D$2:$AL$2,0))</f>
        <v>8.316</v>
      </c>
      <c r="AE168" s="25">
        <f>INDEX('Inputs (2)'!$D$19:$AL$19,MATCH(AE$7,'Inputs (2)'!$D$2:$AL$2,0))</f>
        <v>9.581</v>
      </c>
      <c r="AF168" s="25">
        <f>INDEX('Inputs (2)'!$D$19:$AL$19,MATCH(AF$7,'Inputs (2)'!$D$2:$AL$2,0))</f>
        <v>11.708</v>
      </c>
      <c r="AG168" s="3">
        <f>AF168</f>
        <v>11.708</v>
      </c>
      <c r="AH168" s="3">
        <f>INDEX('Inputs (2)'!$D$19:$AL$19,MATCH(AH$7,'Inputs (2)'!$D$2:$AL$2,0))</f>
        <v>10.253</v>
      </c>
      <c r="AI168" s="3">
        <f>INDEX('Inputs (2)'!$D$19:$AL$19,MATCH(AI$7,'Inputs (2)'!$D$2:$AL$2,0))</f>
        <v>9.152</v>
      </c>
      <c r="AJ168" s="3">
        <f>AI168</f>
        <v>9.152</v>
      </c>
      <c r="AK168" s="3">
        <f>AJ168</f>
        <v>9.152</v>
      </c>
      <c r="AL168" s="3">
        <f>AK168</f>
        <v>9.152</v>
      </c>
      <c r="AM168" s="3">
        <f>AL168</f>
        <v>9.152</v>
      </c>
      <c r="AN168" s="3">
        <f>AM168</f>
        <v>9.152</v>
      </c>
      <c r="AO168" s="3">
        <f>AN168</f>
        <v>9.152</v>
      </c>
      <c r="AP168" s="3">
        <f>AO168</f>
        <v>9.152</v>
      </c>
      <c r="AQ168" s="3">
        <f>AP168</f>
        <v>9.152</v>
      </c>
      <c r="AR168" s="3">
        <f>AQ168</f>
        <v>9.152</v>
      </c>
      <c r="AS168" s="3">
        <f>AR168</f>
        <v>9.152</v>
      </c>
      <c r="AT168" s="3">
        <f>AS168</f>
        <v>9.152</v>
      </c>
      <c r="AU168" s="3">
        <f>AT168</f>
        <v>9.152</v>
      </c>
      <c r="AV168" s="3">
        <f>AU168</f>
        <v>9.152</v>
      </c>
      <c r="AW168" s="3">
        <f>AV168</f>
        <v>9.152</v>
      </c>
      <c r="AX168" s="3">
        <f>AW168</f>
        <v>9.152</v>
      </c>
      <c r="AY168" s="3">
        <f>AX168</f>
        <v>9.152</v>
      </c>
      <c r="AZ168" s="3">
        <f>AY168</f>
        <v>9.152</v>
      </c>
      <c r="BA168" s="3">
        <f>AZ168</f>
        <v>9.152</v>
      </c>
      <c r="BB168" s="3">
        <f>BA168</f>
        <v>9.152</v>
      </c>
      <c r="BC168" s="3">
        <f>BB168</f>
        <v>9.152</v>
      </c>
      <c r="BD168" s="3">
        <f>BC168</f>
        <v>9.152</v>
      </c>
      <c r="BE168" s="3">
        <f>BD168</f>
        <v>9.152</v>
      </c>
      <c r="BF168" s="3">
        <f>BE168</f>
        <v>9.152</v>
      </c>
      <c r="BG168" s="3">
        <f>BF168</f>
        <v>9.152</v>
      </c>
      <c r="BH168" s="3">
        <f>BG168</f>
        <v>9.152</v>
      </c>
      <c r="BI168" s="3">
        <f>BH168</f>
        <v>9.152</v>
      </c>
      <c r="BJ168" s="3">
        <f>BI168</f>
        <v>9.152</v>
      </c>
      <c r="BK168" s="3">
        <f>BJ168</f>
        <v>9.152</v>
      </c>
      <c r="BL168" s="3">
        <f>BK168</f>
        <v>9.152</v>
      </c>
      <c r="BM168" s="3">
        <f>BL168</f>
        <v>9.152</v>
      </c>
      <c r="BN168" s="3">
        <f>BM168</f>
        <v>9.152</v>
      </c>
      <c r="BO168" s="3">
        <f>BN168</f>
        <v>9.152</v>
      </c>
      <c r="BP168" s="3">
        <f>BO168</f>
        <v>9.152</v>
      </c>
      <c r="BQ168" s="3">
        <f>BP168</f>
        <v>9.152</v>
      </c>
      <c r="BR168" s="3">
        <f>BQ168</f>
        <v>9.152</v>
      </c>
      <c r="BS168" s="3">
        <f>BR168</f>
        <v>9.152</v>
      </c>
      <c r="BT168" s="3">
        <f>BS168</f>
        <v>9.152</v>
      </c>
      <c r="BU168" s="3">
        <f>BT168</f>
        <v>9.152</v>
      </c>
      <c r="BV168" s="3">
        <f>BU168</f>
        <v>9.152</v>
      </c>
      <c r="BW168" s="3">
        <f>BV168</f>
        <v>9.152</v>
      </c>
      <c r="BX168" s="3">
        <f>BW168</f>
        <v>9.152</v>
      </c>
      <c r="BY168" s="3">
        <f>BX168</f>
        <v>9.152</v>
      </c>
      <c r="BZ168" s="3">
        <f>BY168</f>
        <v>9.152</v>
      </c>
      <c r="CA168" s="3">
        <f>BZ168</f>
        <v>9.152</v>
      </c>
      <c r="CB168" s="3">
        <f>CA168</f>
        <v>9.152</v>
      </c>
      <c r="CC168" s="3">
        <f>CB168</f>
        <v>9.152</v>
      </c>
      <c r="CD168" s="3">
        <f>CC168</f>
        <v>9.152</v>
      </c>
      <c r="CE168" s="3">
        <f>CD168</f>
        <v>9.152</v>
      </c>
      <c r="CF168" s="3">
        <f>CE168</f>
        <v>9.152</v>
      </c>
      <c r="CG168" s="3">
        <f>CF168</f>
        <v>9.152</v>
      </c>
      <c r="CH168" s="3">
        <f>CG168</f>
        <v>9.152</v>
      </c>
      <c r="CI168" s="3">
        <f>CH168</f>
        <v>9.152</v>
      </c>
      <c r="CJ168" s="3">
        <f>CI168</f>
        <v>9.152</v>
      </c>
      <c r="CK168" s="3">
        <f>CJ168</f>
        <v>9.152</v>
      </c>
      <c r="CL168" s="3">
        <f>CK168</f>
        <v>9.152</v>
      </c>
      <c r="CM168" s="3">
        <f>CL168</f>
        <v>9.152</v>
      </c>
      <c r="CN168" s="3">
        <f>CM168</f>
        <v>9.152</v>
      </c>
      <c r="CO168" s="3">
        <f>CN168</f>
        <v>9.152</v>
      </c>
      <c r="CP168" s="3">
        <f>CO168</f>
        <v>9.152</v>
      </c>
      <c r="CQ168" s="3">
        <f>CP168</f>
        <v>9.152</v>
      </c>
      <c r="CR168" s="3">
        <f>CQ168</f>
        <v>9.152</v>
      </c>
      <c r="CS168" s="3">
        <f>CR168</f>
        <v>9.152</v>
      </c>
      <c r="CT168" s="3">
        <f>CS168</f>
        <v>9.152</v>
      </c>
      <c r="CU168" s="3">
        <f>CT168</f>
        <v>9.152</v>
      </c>
      <c r="CV168" s="3">
        <f>CU168</f>
        <v>9.152</v>
      </c>
      <c r="CW168" s="3">
        <f>CV168</f>
        <v>9.152</v>
      </c>
      <c r="CX168" s="3">
        <f>CW168</f>
        <v>9.152</v>
      </c>
      <c r="CY168" s="3">
        <f>CX168</f>
        <v>9.152</v>
      </c>
    </row>
    <row r="169">
      <c r="C169" s="26" t="inlineStr">
        <is>
          <t>Other current assets</t>
        </is>
      </c>
      <c r="D169" s="25">
        <f>INDEX('Inputs (2)'!$D$20:$AL$20,MATCH(D$7,'Inputs (2)'!$D$2:$AL$2,0))</f>
        <v>34.332</v>
      </c>
      <c r="E169" s="25">
        <f>INDEX('Inputs (2)'!$D$20:$AL$20,MATCH(E$7,'Inputs (2)'!$D$2:$AL$2,0))</f>
        <v>36.889</v>
      </c>
      <c r="F169" s="25">
        <f>INDEX('Inputs (2)'!$D$20:$AL$20,MATCH(F$7,'Inputs (2)'!$D$2:$AL$2,0))</f>
        <v>42.749</v>
      </c>
      <c r="G169" s="25">
        <f>INDEX('Inputs (2)'!$D$20:$AL$20,MATCH(G$7,'Inputs (2)'!$D$2:$AL$2,0))</f>
        <v>16.345</v>
      </c>
      <c r="H169" s="3">
        <f>G169</f>
        <v>16.345</v>
      </c>
      <c r="I169" s="25">
        <f>INDEX('Inputs (2)'!$D$20:$AL$20,MATCH(I$7,'Inputs (2)'!$D$2:$AL$2,0))</f>
        <v>15.478</v>
      </c>
      <c r="J169" s="25">
        <f>INDEX('Inputs (2)'!$D$20:$AL$20,MATCH(J$7,'Inputs (2)'!$D$2:$AL$2,0))</f>
        <v>19.254</v>
      </c>
      <c r="K169" s="25">
        <f>INDEX('Inputs (2)'!$D$20:$AL$20,MATCH(K$7,'Inputs (2)'!$D$2:$AL$2,0))</f>
        <v>24.33</v>
      </c>
      <c r="L169" s="25">
        <f>INDEX('Inputs (2)'!$D$20:$AL$20,MATCH(L$7,'Inputs (2)'!$D$2:$AL$2,0))</f>
        <v>27.836</v>
      </c>
      <c r="M169" s="3">
        <f>L169</f>
        <v>27.836</v>
      </c>
      <c r="N169" s="25">
        <f>INDEX('Inputs (2)'!$D$20:$AL$20,MATCH(N$7,'Inputs (2)'!$D$2:$AL$2,0))</f>
        <v>30.305</v>
      </c>
      <c r="O169" s="25">
        <f>INDEX('Inputs (2)'!$D$20:$AL$20,MATCH(O$7,'Inputs (2)'!$D$2:$AL$2,0))</f>
        <v>36.248</v>
      </c>
      <c r="P169" s="25">
        <f>INDEX('Inputs (2)'!$D$20:$AL$20,MATCH(P$7,'Inputs (2)'!$D$2:$AL$2,0))</f>
        <v>43.329</v>
      </c>
      <c r="Q169" s="25">
        <f>INDEX('Inputs (2)'!$D$20:$AL$20,MATCH(Q$7,'Inputs (2)'!$D$2:$AL$2,0))</f>
        <v>50.27</v>
      </c>
      <c r="R169" s="3">
        <f>Q169</f>
        <v>50.27</v>
      </c>
      <c r="S169" s="25">
        <f>INDEX('Inputs (2)'!$D$20:$AL$20,MATCH(S$7,'Inputs (2)'!$D$2:$AL$2,0))</f>
        <v>58.214</v>
      </c>
      <c r="T169" s="25">
        <f>INDEX('Inputs (2)'!$D$20:$AL$20,MATCH(T$7,'Inputs (2)'!$D$2:$AL$2,0))</f>
        <v>63.169</v>
      </c>
      <c r="U169" s="25">
        <f>INDEX('Inputs (2)'!$D$20:$AL$20,MATCH(U$7,'Inputs (2)'!$D$2:$AL$2,0))</f>
        <v>79.675</v>
      </c>
      <c r="V169" s="25">
        <f>INDEX('Inputs (2)'!$D$20:$AL$20,MATCH(V$7,'Inputs (2)'!$D$2:$AL$2,0))</f>
        <v>84.228</v>
      </c>
      <c r="W169" s="3">
        <f>V169</f>
        <v>84.228</v>
      </c>
      <c r="X169" s="25">
        <f>INDEX('Inputs (2)'!$D$20:$AL$20,MATCH(X$7,'Inputs (2)'!$D$2:$AL$2,0))</f>
        <v>92.05</v>
      </c>
      <c r="Y169" s="25">
        <f>INDEX('Inputs (2)'!$D$20:$AL$20,MATCH(Y$7,'Inputs (2)'!$D$2:$AL$2,0))</f>
        <v>115.011</v>
      </c>
      <c r="Z169" s="25">
        <f>INDEX('Inputs (2)'!$D$20:$AL$20,MATCH(Z$7,'Inputs (2)'!$D$2:$AL$2,0))</f>
        <v>132.338</v>
      </c>
      <c r="AA169" s="25">
        <f>INDEX('Inputs (2)'!$D$20:$AL$20,MATCH(AA$7,'Inputs (2)'!$D$2:$AL$2,0))</f>
        <v>138.882</v>
      </c>
      <c r="AB169" s="3">
        <f>AA169</f>
        <v>138.882</v>
      </c>
      <c r="AC169" s="25">
        <f>INDEX('Inputs (2)'!$D$20:$AL$20,MATCH(AC$7,'Inputs (2)'!$D$2:$AL$2,0))</f>
        <v>144.504</v>
      </c>
      <c r="AD169" s="25">
        <f>INDEX('Inputs (2)'!$D$20:$AL$20,MATCH(AD$7,'Inputs (2)'!$D$2:$AL$2,0))</f>
        <v>170.013</v>
      </c>
      <c r="AE169" s="25">
        <f>INDEX('Inputs (2)'!$D$20:$AL$20,MATCH(AE$7,'Inputs (2)'!$D$2:$AL$2,0))</f>
        <v>187.277</v>
      </c>
      <c r="AF169" s="25">
        <f>INDEX('Inputs (2)'!$D$20:$AL$20,MATCH(AF$7,'Inputs (2)'!$D$2:$AL$2,0))</f>
        <v>203.465</v>
      </c>
      <c r="AG169" s="3">
        <f>AF169</f>
        <v>203.465</v>
      </c>
      <c r="AH169" s="3">
        <f>INDEX('Inputs (2)'!$D$20:$AL$20,MATCH(AH$7,'Inputs (2)'!$D$2:$AL$2,0))</f>
        <v>206.713</v>
      </c>
      <c r="AI169" s="3">
        <f>INDEX('Inputs (2)'!$D$20:$AL$20,MATCH(AI$7,'Inputs (2)'!$D$2:$AL$2,0))</f>
        <v>230.579</v>
      </c>
      <c r="AJ169" s="3">
        <f>AI169</f>
        <v>230.579</v>
      </c>
      <c r="AK169" s="3">
        <f>AJ169</f>
        <v>230.579</v>
      </c>
      <c r="AL169" s="3">
        <f>AK169</f>
        <v>230.579</v>
      </c>
      <c r="AM169" s="3">
        <f>AL169</f>
        <v>230.579</v>
      </c>
      <c r="AN169" s="3">
        <f>AM169</f>
        <v>230.579</v>
      </c>
      <c r="AO169" s="3">
        <f>AN169</f>
        <v>230.579</v>
      </c>
      <c r="AP169" s="3">
        <f>AO169</f>
        <v>230.579</v>
      </c>
      <c r="AQ169" s="3">
        <f>AP169</f>
        <v>230.579</v>
      </c>
      <c r="AR169" s="3">
        <f>AQ169</f>
        <v>230.579</v>
      </c>
      <c r="AS169" s="3">
        <f>AR169</f>
        <v>230.579</v>
      </c>
      <c r="AT169" s="3">
        <f>AS169</f>
        <v>230.579</v>
      </c>
      <c r="AU169" s="3">
        <f>AT169</f>
        <v>230.579</v>
      </c>
      <c r="AV169" s="3">
        <f>AU169</f>
        <v>230.579</v>
      </c>
      <c r="AW169" s="3">
        <f>AV169</f>
        <v>230.579</v>
      </c>
      <c r="AX169" s="3">
        <f>AW169</f>
        <v>230.579</v>
      </c>
      <c r="AY169" s="3">
        <f>AX169</f>
        <v>230.579</v>
      </c>
      <c r="AZ169" s="3">
        <f>AY169</f>
        <v>230.579</v>
      </c>
      <c r="BA169" s="3">
        <f>AZ169</f>
        <v>230.579</v>
      </c>
      <c r="BB169" s="3">
        <f>BA169</f>
        <v>230.579</v>
      </c>
      <c r="BC169" s="3">
        <f>BB169</f>
        <v>230.579</v>
      </c>
      <c r="BD169" s="3">
        <f>BC169</f>
        <v>230.579</v>
      </c>
      <c r="BE169" s="3">
        <f>BD169</f>
        <v>230.579</v>
      </c>
      <c r="BF169" s="3">
        <f>BE169</f>
        <v>230.579</v>
      </c>
      <c r="BG169" s="3">
        <f>BF169</f>
        <v>230.579</v>
      </c>
      <c r="BH169" s="3">
        <f>BG169</f>
        <v>230.579</v>
      </c>
      <c r="BI169" s="3">
        <f>BH169</f>
        <v>230.579</v>
      </c>
      <c r="BJ169" s="3">
        <f>BI169</f>
        <v>230.579</v>
      </c>
      <c r="BK169" s="3">
        <f>BJ169</f>
        <v>230.579</v>
      </c>
      <c r="BL169" s="3">
        <f>BK169</f>
        <v>230.579</v>
      </c>
      <c r="BM169" s="3">
        <f>BL169</f>
        <v>230.579</v>
      </c>
      <c r="BN169" s="3">
        <f>BM169</f>
        <v>230.579</v>
      </c>
      <c r="BO169" s="3">
        <f>BN169</f>
        <v>230.579</v>
      </c>
      <c r="BP169" s="3">
        <f>BO169</f>
        <v>230.579</v>
      </c>
      <c r="BQ169" s="3">
        <f>BP169</f>
        <v>230.579</v>
      </c>
      <c r="BR169" s="3">
        <f>BQ169</f>
        <v>230.579</v>
      </c>
      <c r="BS169" s="3">
        <f>BR169</f>
        <v>230.579</v>
      </c>
      <c r="BT169" s="3">
        <f>BS169</f>
        <v>230.579</v>
      </c>
      <c r="BU169" s="3">
        <f>BT169</f>
        <v>230.579</v>
      </c>
      <c r="BV169" s="3">
        <f>BU169</f>
        <v>230.579</v>
      </c>
      <c r="BW169" s="3">
        <f>BV169</f>
        <v>230.579</v>
      </c>
      <c r="BX169" s="3">
        <f>BW169</f>
        <v>230.579</v>
      </c>
      <c r="BY169" s="3">
        <f>BX169</f>
        <v>230.579</v>
      </c>
      <c r="BZ169" s="3">
        <f>BY169</f>
        <v>230.579</v>
      </c>
      <c r="CA169" s="3">
        <f>BZ169</f>
        <v>230.579</v>
      </c>
      <c r="CB169" s="3">
        <f>CA169</f>
        <v>230.579</v>
      </c>
      <c r="CC169" s="3">
        <f>CB169</f>
        <v>230.579</v>
      </c>
      <c r="CD169" s="3">
        <f>CC169</f>
        <v>230.579</v>
      </c>
      <c r="CE169" s="3">
        <f>CD169</f>
        <v>230.579</v>
      </c>
      <c r="CF169" s="3">
        <f>CE169</f>
        <v>230.579</v>
      </c>
      <c r="CG169" s="3">
        <f>CF169</f>
        <v>230.579</v>
      </c>
      <c r="CH169" s="3">
        <f>CG169</f>
        <v>230.579</v>
      </c>
      <c r="CI169" s="3">
        <f>CH169</f>
        <v>230.579</v>
      </c>
      <c r="CJ169" s="3">
        <f>CI169</f>
        <v>230.579</v>
      </c>
      <c r="CK169" s="3">
        <f>CJ169</f>
        <v>230.579</v>
      </c>
      <c r="CL169" s="3">
        <f>CK169</f>
        <v>230.579</v>
      </c>
      <c r="CM169" s="3">
        <f>CL169</f>
        <v>230.579</v>
      </c>
      <c r="CN169" s="3">
        <f>CM169</f>
        <v>230.579</v>
      </c>
      <c r="CO169" s="3">
        <f>CN169</f>
        <v>230.579</v>
      </c>
      <c r="CP169" s="3">
        <f>CO169</f>
        <v>230.579</v>
      </c>
      <c r="CQ169" s="3">
        <f>CP169</f>
        <v>230.579</v>
      </c>
      <c r="CR169" s="3">
        <f>CQ169</f>
        <v>230.579</v>
      </c>
      <c r="CS169" s="3">
        <f>CR169</f>
        <v>230.579</v>
      </c>
      <c r="CT169" s="3">
        <f>CS169</f>
        <v>230.579</v>
      </c>
      <c r="CU169" s="3">
        <f>CT169</f>
        <v>230.579</v>
      </c>
      <c r="CV169" s="3">
        <f>CU169</f>
        <v>230.579</v>
      </c>
      <c r="CW169" s="3">
        <f>CV169</f>
        <v>230.579</v>
      </c>
      <c r="CX169" s="3">
        <f>CW169</f>
        <v>230.579</v>
      </c>
      <c r="CY169" s="3">
        <f>CX169</f>
        <v>230.579</v>
      </c>
    </row>
    <row r="170" hidden="1" outlineLevel="1">
      <c r="C170" s="38" t="inlineStr">
        <is>
          <t>%(Var.)</t>
        </is>
      </c>
      <c r="D170" s="3" t="n"/>
      <c r="E170" s="47">
        <f>(E169-D169)/D169</f>
        <v>0.0744786205289526</v>
      </c>
      <c r="F170" s="47">
        <f>(F169-E169)/E169</f>
        <v>0.158854943208002</v>
      </c>
      <c r="G170" s="47">
        <f>(G169-F169)/F169</f>
        <v>-0.617651874897659</v>
      </c>
      <c r="H170" s="3" t="n"/>
      <c r="I170" s="47">
        <f>(I169-H169)/H169</f>
        <v>-0.053043744264301</v>
      </c>
      <c r="J170" s="47">
        <f>(J169-I169)/I169</f>
        <v>0.243959167851144</v>
      </c>
      <c r="K170" s="47">
        <f>(K169-J169)/J169</f>
        <v>0.263633530694921</v>
      </c>
      <c r="L170" s="47">
        <f>(L169-K169)/K169</f>
        <v>0.144101931771476</v>
      </c>
      <c r="M170" s="3" t="n"/>
      <c r="N170" s="47">
        <f>(N169-M169)/M169</f>
        <v>0.0886980888058628</v>
      </c>
      <c r="O170" s="47">
        <f>(O169-N169)/N169</f>
        <v>0.196106253093549</v>
      </c>
      <c r="P170" s="47">
        <f>(P169-O169)/O169</f>
        <v>0.195348708894284</v>
      </c>
      <c r="Q170" s="47">
        <f>(Q169-P169)/P169</f>
        <v>0.16019294237116</v>
      </c>
      <c r="R170" s="3" t="n"/>
      <c r="S170" s="47">
        <f>(S169-R169)/R169</f>
        <v>0.158026656057291</v>
      </c>
      <c r="T170" s="47">
        <f>(T169-S169)/S169</f>
        <v>0.0851169821692377</v>
      </c>
      <c r="U170" s="47">
        <f>(U169-T169)/T169</f>
        <v>0.261299054916177</v>
      </c>
      <c r="V170" s="47">
        <f>(V169-U169)/U169</f>
        <v>0.0571446501411988</v>
      </c>
      <c r="W170" s="3" t="n"/>
      <c r="X170" s="47">
        <f>(X169-W169)/W169</f>
        <v>0.0928669801016288</v>
      </c>
      <c r="Y170" s="47">
        <f>(Y169-X169)/X169</f>
        <v>0.249440521455731</v>
      </c>
      <c r="Z170" s="47">
        <f>(Z169-Y169)/Y169</f>
        <v>0.150655154724331</v>
      </c>
      <c r="AA170" s="47">
        <f>(AA169-Z169)/Z169</f>
        <v>0.04944913781378</v>
      </c>
      <c r="AB170" s="3" t="n"/>
      <c r="AC170" s="47">
        <f>(AC169-AB169)/AB169</f>
        <v>0.0404804078282282</v>
      </c>
      <c r="AD170" s="47">
        <f>(AD169-AC169)/AC169</f>
        <v>0.176527985384488</v>
      </c>
      <c r="AE170" s="47">
        <f>(AE169-AD169)/AD169</f>
        <v>0.101545175957133</v>
      </c>
      <c r="AF170" s="218">
        <f>(AF169-AE169)/AE169</f>
        <v>0.0864388045515466</v>
      </c>
      <c r="AG170" s="3" t="n"/>
      <c r="AH170" s="3">
        <f>(AH169-AG169)/AG169</f>
        <v>0.0159634335143636</v>
      </c>
      <c r="AI170" s="3">
        <f>(AI169-AH169)/AH169</f>
        <v>0.115454760948755</v>
      </c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  <c r="CU170" s="3" t="n"/>
      <c r="CV170" s="3" t="n"/>
      <c r="CW170" s="3" t="n"/>
      <c r="CX170" s="3" t="n"/>
      <c r="CY170" s="3" t="n"/>
    </row>
    <row r="171" hidden="1" outlineLevel="1">
      <c r="C171" s="34" t="n"/>
      <c r="D171" s="3" t="n"/>
      <c r="E171" s="47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  <c r="CU171" s="3" t="n"/>
      <c r="CV171" s="3" t="n"/>
      <c r="CW171" s="3" t="n"/>
      <c r="CX171" s="3" t="n"/>
      <c r="CY171" s="3" t="n"/>
    </row>
    <row r="172" hidden="1" outlineLevel="1">
      <c r="C172" s="52" t="inlineStr">
        <is>
          <t xml:space="preserve">Impostos e Contribuições a Recuperar </t>
        </is>
      </c>
      <c r="D172" s="6" t="n"/>
      <c r="E172" s="6" t="n"/>
      <c r="F172" s="6" t="n"/>
      <c r="G172" s="6" t="n"/>
      <c r="H172" s="3" t="n"/>
      <c r="I172" s="6" t="n"/>
      <c r="J172" s="6" t="n"/>
      <c r="K172" s="6" t="n"/>
      <c r="L172" s="6" t="n"/>
      <c r="M172" s="3" t="n"/>
      <c r="N172" s="6" t="n"/>
      <c r="O172" s="6" t="n"/>
      <c r="P172" s="6" t="n"/>
      <c r="Q172" s="6" t="n"/>
      <c r="R172" s="3" t="n"/>
      <c r="S172" s="6" t="n"/>
      <c r="T172" s="6" t="n"/>
      <c r="U172" s="6" t="n"/>
      <c r="V172" s="6" t="n"/>
      <c r="W172" s="3" t="n"/>
      <c r="X172" s="6" t="n"/>
      <c r="Y172" s="6" t="n"/>
      <c r="Z172" s="6" t="n"/>
      <c r="AA172" s="6" t="n"/>
      <c r="AB172" s="3" t="n"/>
      <c r="AC172" s="6" t="n"/>
      <c r="AD172" s="6" t="n"/>
      <c r="AE172" s="6" t="n"/>
      <c r="AF172" s="6" t="n"/>
      <c r="AG172" s="3">
        <f>AF172</f>
        <v>0</v>
      </c>
      <c r="AH172" s="216">
        <f>AG172*AH15/AG15</f>
        <v>0</v>
      </c>
      <c r="AI172" s="216">
        <f>AH172*AI15/AH15</f>
        <v>0</v>
      </c>
      <c r="AJ172" s="216">
        <f>AI172*AJ15/AI15</f>
        <v>0</v>
      </c>
      <c r="AK172" s="216">
        <f>AJ172*AK15/AJ15</f>
        <v>0</v>
      </c>
      <c r="AL172" s="3">
        <f>AK172</f>
        <v>0</v>
      </c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</row>
    <row r="173" hidden="1" outlineLevel="1">
      <c r="C173" s="52" t="inlineStr">
        <is>
          <t>Outros Créditos</t>
        </is>
      </c>
      <c r="D173" s="6" t="n"/>
      <c r="E173" s="6" t="n"/>
      <c r="F173" s="6" t="n"/>
      <c r="G173" s="6" t="n"/>
      <c r="H173" s="3" t="n"/>
      <c r="I173" s="6" t="n"/>
      <c r="J173" s="6" t="n"/>
      <c r="K173" s="6" t="n"/>
      <c r="L173" s="6" t="n"/>
      <c r="M173" s="3" t="n"/>
      <c r="N173" s="6" t="n"/>
      <c r="O173" s="6" t="n"/>
      <c r="P173" s="6" t="n"/>
      <c r="Q173" s="6" t="n"/>
      <c r="R173" s="3" t="n"/>
      <c r="S173" s="6" t="n"/>
      <c r="T173" s="6" t="n"/>
      <c r="U173" s="6" t="n"/>
      <c r="V173" s="6" t="n"/>
      <c r="W173" s="3" t="n"/>
      <c r="X173" s="6" t="n"/>
      <c r="Y173" s="6" t="n"/>
      <c r="Z173" s="6" t="n"/>
      <c r="AA173" s="6" t="n"/>
      <c r="AB173" s="3" t="n"/>
      <c r="AC173" s="6" t="n"/>
      <c r="AD173" s="6" t="n"/>
      <c r="AE173" s="6" t="n"/>
      <c r="AF173" s="6" t="n"/>
      <c r="AG173" s="3">
        <f>AF173</f>
        <v>0</v>
      </c>
      <c r="AH173" s="3">
        <f>AG173</f>
        <v>0</v>
      </c>
      <c r="AI173" s="3">
        <f>AH173</f>
        <v>0</v>
      </c>
      <c r="AJ173" s="3">
        <f>AI173</f>
        <v>0</v>
      </c>
      <c r="AK173" s="3">
        <f>AJ173</f>
        <v>0</v>
      </c>
      <c r="AL173" s="3">
        <f>AK173</f>
        <v>0</v>
      </c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  <c r="CU173" s="3" t="n"/>
      <c r="CV173" s="3" t="n"/>
      <c r="CW173" s="3" t="n"/>
      <c r="CX173" s="3" t="n"/>
      <c r="CY173" s="3" t="n"/>
    </row>
    <row r="174" hidden="1" outlineLevel="1">
      <c r="C174" s="34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  <c r="BZ174" s="3" t="n"/>
      <c r="CA174" s="3" t="n"/>
      <c r="CB174" s="3" t="n"/>
      <c r="CC174" s="3" t="n"/>
      <c r="CD174" s="3" t="n"/>
      <c r="CE174" s="3" t="n"/>
      <c r="CF174" s="3" t="n"/>
      <c r="CG174" s="3" t="n"/>
      <c r="CH174" s="3" t="n"/>
      <c r="CI174" s="3" t="n"/>
      <c r="CJ174" s="3" t="n"/>
      <c r="CK174" s="3" t="n"/>
      <c r="CL174" s="3" t="n"/>
      <c r="CM174" s="3" t="n"/>
      <c r="CN174" s="3" t="n"/>
      <c r="CO174" s="3" t="n"/>
      <c r="CP174" s="3" t="n"/>
      <c r="CQ174" s="3" t="n"/>
      <c r="CR174" s="3" t="n"/>
      <c r="CS174" s="3" t="n"/>
      <c r="CT174" s="3" t="n"/>
      <c r="CU174" s="3" t="n"/>
      <c r="CV174" s="3" t="n"/>
      <c r="CW174" s="3" t="n"/>
      <c r="CX174" s="3" t="n"/>
      <c r="CY174" s="3" t="n"/>
    </row>
    <row r="175" collapsed="1">
      <c r="C175" s="26" t="inlineStr">
        <is>
          <t>Equity in affiliates</t>
        </is>
      </c>
      <c r="D175" s="25">
        <f>INDEX('Inputs (2)'!$D$21:$AL$21,MATCH(D$7,'Inputs (2)'!$D$2:$AL$2,0))</f>
        <v>18.857</v>
      </c>
      <c r="E175" s="25">
        <f>INDEX('Inputs (2)'!$D$21:$AL$21,MATCH(E$7,'Inputs (2)'!$D$2:$AL$2,0))</f>
        <v>24.778</v>
      </c>
      <c r="F175" s="25">
        <f>INDEX('Inputs (2)'!$D$21:$AL$21,MATCH(F$7,'Inputs (2)'!$D$2:$AL$2,0))</f>
        <v>25.68</v>
      </c>
      <c r="G175" s="25">
        <f>INDEX('Inputs (2)'!$D$21:$AL$21,MATCH(G$7,'Inputs (2)'!$D$2:$AL$2,0))</f>
        <v>26.948</v>
      </c>
      <c r="H175" s="3">
        <f>G175</f>
        <v>26.948</v>
      </c>
      <c r="I175" s="25">
        <f>INDEX('Inputs (2)'!$D$21:$AL$21,MATCH(I$7,'Inputs (2)'!$D$2:$AL$2,0))</f>
        <v>28.737</v>
      </c>
      <c r="J175" s="25">
        <f>INDEX('Inputs (2)'!$D$21:$AL$21,MATCH(J$7,'Inputs (2)'!$D$2:$AL$2,0))</f>
        <v>32.139</v>
      </c>
      <c r="K175" s="25">
        <f>INDEX('Inputs (2)'!$D$21:$AL$21,MATCH(K$7,'Inputs (2)'!$D$2:$AL$2,0))</f>
        <v>29.674</v>
      </c>
      <c r="L175" s="25">
        <f>INDEX('Inputs (2)'!$D$21:$AL$21,MATCH(L$7,'Inputs (2)'!$D$2:$AL$2,0))</f>
        <v>29.77</v>
      </c>
      <c r="M175" s="3">
        <f>L175</f>
        <v>29.77</v>
      </c>
      <c r="N175" s="25">
        <f>INDEX('Inputs (2)'!$D$21:$AL$21,MATCH(N$7,'Inputs (2)'!$D$2:$AL$2,0))</f>
        <v>30.764</v>
      </c>
      <c r="O175" s="25">
        <f>INDEX('Inputs (2)'!$D$21:$AL$21,MATCH(O$7,'Inputs (2)'!$D$2:$AL$2,0))</f>
        <v>33.604</v>
      </c>
      <c r="P175" s="25">
        <f>INDEX('Inputs (2)'!$D$21:$AL$21,MATCH(P$7,'Inputs (2)'!$D$2:$AL$2,0))</f>
        <v>36.393</v>
      </c>
      <c r="Q175" s="25">
        <f>INDEX('Inputs (2)'!$D$21:$AL$21,MATCH(Q$7,'Inputs (2)'!$D$2:$AL$2,0))</f>
        <v>34.316</v>
      </c>
      <c r="R175" s="3">
        <f>Q175</f>
        <v>34.316</v>
      </c>
      <c r="S175" s="25">
        <f>INDEX('Inputs (2)'!$D$21:$AL$21,MATCH(S$7,'Inputs (2)'!$D$2:$AL$2,0))</f>
        <v>32.327</v>
      </c>
      <c r="T175" s="25">
        <f>INDEX('Inputs (2)'!$D$21:$AL$21,MATCH(T$7,'Inputs (2)'!$D$2:$AL$2,0))</f>
        <v>33.598</v>
      </c>
      <c r="U175" s="25">
        <f>INDEX('Inputs (2)'!$D$21:$AL$21,MATCH(U$7,'Inputs (2)'!$D$2:$AL$2,0))</f>
        <v>29.692</v>
      </c>
      <c r="V175" s="25">
        <f>INDEX('Inputs (2)'!$D$21:$AL$21,MATCH(V$7,'Inputs (2)'!$D$2:$AL$2,0))</f>
        <v>40.875</v>
      </c>
      <c r="W175" s="3">
        <f>V175</f>
        <v>40.875</v>
      </c>
      <c r="X175" s="25">
        <f>INDEX('Inputs (2)'!$D$21:$AL$21,MATCH(X$7,'Inputs (2)'!$D$2:$AL$2,0))</f>
        <v>40.803</v>
      </c>
      <c r="Y175" s="25">
        <f>INDEX('Inputs (2)'!$D$21:$AL$21,MATCH(Y$7,'Inputs (2)'!$D$2:$AL$2,0))</f>
        <v>44.707</v>
      </c>
      <c r="Z175" s="25">
        <f>INDEX('Inputs (2)'!$D$21:$AL$21,MATCH(Z$7,'Inputs (2)'!$D$2:$AL$2,0))</f>
        <v>42.837</v>
      </c>
      <c r="AA175" s="25">
        <f>INDEX('Inputs (2)'!$D$21:$AL$21,MATCH(AA$7,'Inputs (2)'!$D$2:$AL$2,0))</f>
        <v>42.244</v>
      </c>
      <c r="AB175" s="3">
        <f>AA175</f>
        <v>42.244</v>
      </c>
      <c r="AC175" s="25">
        <f>INDEX('Inputs (2)'!$D$21:$AL$21,MATCH(AC$7,'Inputs (2)'!$D$2:$AL$2,0))</f>
        <v>40.372</v>
      </c>
      <c r="AD175" s="25">
        <f>INDEX('Inputs (2)'!$D$21:$AL$21,MATCH(AD$7,'Inputs (2)'!$D$2:$AL$2,0))</f>
        <v>40.727</v>
      </c>
      <c r="AE175" s="25">
        <f>INDEX('Inputs (2)'!$D$21:$AL$21,MATCH(AE$7,'Inputs (2)'!$D$2:$AL$2,0))</f>
        <v>41.203</v>
      </c>
      <c r="AF175" s="25">
        <f>INDEX('Inputs (2)'!$D$21:$AL$21,MATCH(AF$7,'Inputs (2)'!$D$2:$AL$2,0))</f>
        <v>41.321</v>
      </c>
      <c r="AG175" s="3">
        <f>AF175</f>
        <v>41.321</v>
      </c>
      <c r="AH175" s="3">
        <f>INDEX('Inputs (2)'!$D$21:$AL$21,MATCH(AH$7,'Inputs (2)'!$D$2:$AL$2,0))</f>
        <v>37.757</v>
      </c>
      <c r="AI175" s="3">
        <f>INDEX('Inputs (2)'!$D$21:$AL$21,MATCH(AI$7,'Inputs (2)'!$D$2:$AL$2,0))</f>
        <v>30.471</v>
      </c>
      <c r="AJ175" s="3">
        <f>AI175+AJ149+AJ178</f>
        <v>32.945</v>
      </c>
      <c r="AK175" s="3">
        <f>AJ175+AK149+AK178</f>
        <v>36.082</v>
      </c>
      <c r="AL175" s="3">
        <f>AK175</f>
        <v>36.082</v>
      </c>
      <c r="AM175" s="3">
        <f>AL175+AM149+AM178</f>
        <v>38.364</v>
      </c>
      <c r="AN175" s="3">
        <f>AM175+AN149+AN178</f>
        <v>39.378</v>
      </c>
      <c r="AO175" s="3">
        <f>AN175+AO149+AO178</f>
        <v>41.852</v>
      </c>
      <c r="AP175" s="3">
        <f>AO175+AP149+AP178</f>
        <v>44.989</v>
      </c>
      <c r="AQ175" s="3">
        <f>AP175</f>
        <v>44.989</v>
      </c>
      <c r="AR175" s="3">
        <f>AQ175+AR149+AR178</f>
        <v>47.271</v>
      </c>
      <c r="AS175" s="3">
        <f>AR175+AS149+AS178</f>
        <v>48.285</v>
      </c>
      <c r="AT175" s="3">
        <f>AS175+AT149+AT178</f>
        <v>50.759</v>
      </c>
      <c r="AU175" s="3">
        <f>AT175+AU149+AU178</f>
        <v>53.896</v>
      </c>
      <c r="AV175" s="3">
        <f>AU175</f>
        <v>53.896</v>
      </c>
      <c r="AW175" s="3">
        <f>AV175+AW149+AW178</f>
        <v>56.178</v>
      </c>
      <c r="AX175" s="3">
        <f>AW175+AX149+AX178</f>
        <v>57.192</v>
      </c>
      <c r="AY175" s="3">
        <f>AX175+AY149+AY178</f>
        <v>59.666</v>
      </c>
      <c r="AZ175" s="3">
        <f>AY175+AZ149+AZ178</f>
        <v>62.803</v>
      </c>
      <c r="BA175" s="3">
        <f>AZ175</f>
        <v>62.803</v>
      </c>
      <c r="BB175" s="3">
        <f>BA175+BB149+BB178</f>
        <v>65.085</v>
      </c>
      <c r="BC175" s="3">
        <f>BB175+BC149+BC178</f>
        <v>66.099</v>
      </c>
      <c r="BD175" s="3">
        <f>BC175+BD149+BD178</f>
        <v>68.573</v>
      </c>
      <c r="BE175" s="3">
        <f>BD175+BE149+BE178</f>
        <v>71.71</v>
      </c>
      <c r="BF175" s="3">
        <f>BE175</f>
        <v>71.71</v>
      </c>
      <c r="BG175" s="3">
        <f>BF175+BG149+BG178</f>
        <v>73.992</v>
      </c>
      <c r="BH175" s="3">
        <f>BG175+BH149+BH178</f>
        <v>75.006</v>
      </c>
      <c r="BI175" s="3">
        <f>BH175+BI149+BI178</f>
        <v>77.48</v>
      </c>
      <c r="BJ175" s="3">
        <f>BI175+BJ149+BJ178</f>
        <v>80.617</v>
      </c>
      <c r="BK175" s="3">
        <f>BJ175</f>
        <v>80.617</v>
      </c>
      <c r="BL175" s="3">
        <f>BK175+BL149+BL178</f>
        <v>82.899</v>
      </c>
      <c r="BM175" s="3">
        <f>BL175+BM149+BM178</f>
        <v>83.913</v>
      </c>
      <c r="BN175" s="3">
        <f>BM175+BN149+BN178</f>
        <v>86.387</v>
      </c>
      <c r="BO175" s="3">
        <f>BN175+BO149+BO178</f>
        <v>89.524</v>
      </c>
      <c r="BP175" s="3">
        <f>BO175</f>
        <v>89.524</v>
      </c>
      <c r="BQ175" s="3">
        <f>BP175+BQ149+BQ178</f>
        <v>91.806</v>
      </c>
      <c r="BR175" s="3">
        <f>BQ175+BR149+BR178</f>
        <v>92.82</v>
      </c>
      <c r="BS175" s="3">
        <f>BR175+BS149+BS178</f>
        <v>95.294</v>
      </c>
      <c r="BT175" s="3">
        <f>BS175+BT149+BT178</f>
        <v>98.431</v>
      </c>
      <c r="BU175" s="3">
        <f>BT175</f>
        <v>98.431</v>
      </c>
      <c r="BV175" s="3">
        <f>BU175+BV149+BV178</f>
        <v>100.713</v>
      </c>
      <c r="BW175" s="3">
        <f>BV175+BW149+BW178</f>
        <v>101.727</v>
      </c>
      <c r="BX175" s="3">
        <f>BW175+BX149+BX178</f>
        <v>104.201</v>
      </c>
      <c r="BY175" s="3">
        <f>BX175+BY149+BY178</f>
        <v>107.338</v>
      </c>
      <c r="BZ175" s="3">
        <f>BY175</f>
        <v>107.338</v>
      </c>
      <c r="CA175" s="3">
        <f>BZ175+CA149+CA178</f>
        <v>109.62</v>
      </c>
      <c r="CB175" s="3">
        <f>CA175+CB149+CB178</f>
        <v>110.634</v>
      </c>
      <c r="CC175" s="3">
        <f>CB175+CC149+CC178</f>
        <v>113.108</v>
      </c>
      <c r="CD175" s="3">
        <f>CC175+CD149+CD178</f>
        <v>116.245</v>
      </c>
      <c r="CE175" s="3">
        <f>CD175</f>
        <v>116.245</v>
      </c>
      <c r="CF175" s="3">
        <f>CE175+CF149+CF178</f>
        <v>118.527</v>
      </c>
      <c r="CG175" s="3">
        <f>CF175+CG149+CG178</f>
        <v>119.541</v>
      </c>
      <c r="CH175" s="3">
        <f>CG175+CH149+CH178</f>
        <v>122.015</v>
      </c>
      <c r="CI175" s="3">
        <f>CH175+CI149+CI178</f>
        <v>125.152</v>
      </c>
      <c r="CJ175" s="3">
        <f>CI175</f>
        <v>125.152</v>
      </c>
      <c r="CK175" s="3">
        <f>CJ175+CK149+CK178</f>
        <v>127.434</v>
      </c>
      <c r="CL175" s="3">
        <f>CK175+CL149+CL178</f>
        <v>128.448</v>
      </c>
      <c r="CM175" s="3">
        <f>CL175+CM149+CM178</f>
        <v>130.922</v>
      </c>
      <c r="CN175" s="3">
        <f>CM175+CN149+CN178</f>
        <v>134.059</v>
      </c>
      <c r="CO175" s="3">
        <f>CN175</f>
        <v>134.059</v>
      </c>
      <c r="CP175" s="3">
        <f>CO175+CP149+CP178</f>
        <v>136.341</v>
      </c>
      <c r="CQ175" s="3">
        <f>CP175+CQ149+CQ178</f>
        <v>137.355</v>
      </c>
      <c r="CR175" s="3">
        <f>CQ175+CR149+CR178</f>
        <v>139.829</v>
      </c>
      <c r="CS175" s="3">
        <f>CR175+CS149+CS178</f>
        <v>142.966</v>
      </c>
      <c r="CT175" s="3">
        <f>CS175</f>
        <v>142.966</v>
      </c>
      <c r="CU175" s="3">
        <f>CT175+CU149+CU178</f>
        <v>145.248</v>
      </c>
      <c r="CV175" s="3">
        <f>CU175+CV149+CV178</f>
        <v>146.262</v>
      </c>
      <c r="CW175" s="3">
        <f>CV175+CW149+CW178</f>
        <v>148.736</v>
      </c>
      <c r="CX175" s="3">
        <f>CW175+CX149+CX178</f>
        <v>151.873</v>
      </c>
      <c r="CY175" s="3">
        <f>CX175</f>
        <v>151.873</v>
      </c>
    </row>
    <row r="176" hidden="1" outlineLevel="1">
      <c r="C176" s="3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34" t="inlineStr">
        <is>
          <t>Equity in Income - % YoY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>
        <f>IF(I149=0,0,N149/I149-1)</f>
        <v>-1.27328646748682</v>
      </c>
      <c r="O177" s="3">
        <f>IF(J149=0,0,O149/J149-1)</f>
        <v>-1.08169177288528</v>
      </c>
      <c r="P177" s="3">
        <f>IF(K149=0,0,P149/K149-1)</f>
        <v>-2.02736842105263</v>
      </c>
      <c r="Q177" s="3">
        <f>IF(L149=0,0,Q149/L149-1)</f>
        <v>-0.853683148335015</v>
      </c>
      <c r="R177" s="3" t="n"/>
      <c r="S177" s="3">
        <f>IF(N149=0,0,S149/N149-1)</f>
        <v>-0.646302250803859</v>
      </c>
      <c r="T177" s="3">
        <f>IF(O149=0,0,T149/O149-1)</f>
        <v>-5.93617021276596</v>
      </c>
      <c r="U177" s="3">
        <f>IF(P149=0,0,U149/P149-1)</f>
        <v>-1.30225409836066</v>
      </c>
      <c r="V177" s="3">
        <f>IF(Q149=0,0,V149/Q149-1)</f>
        <v>-10.351724137931</v>
      </c>
      <c r="W177" s="3" t="n"/>
      <c r="X177" s="3">
        <f>IF(S149=0,0,X149/S149-1)</f>
        <v>-12.8090909090909</v>
      </c>
      <c r="Y177" s="3">
        <f>IF(T149=0,0,Y149/T149-1)</f>
        <v>3.03304597701149</v>
      </c>
      <c r="Z177" s="3">
        <f>IF(U149=0,0,Z149/U149-1)</f>
        <v>-12.4881355932203</v>
      </c>
      <c r="AA177" s="3">
        <f>IF(V149=0,0,AA149/V149-1)</f>
        <v>-0.230088495575221</v>
      </c>
      <c r="AB177" s="3" t="n"/>
      <c r="AC177" s="3">
        <f>IF(X149=0,0,AC149/X149-1)</f>
        <v>-0.47036181678214</v>
      </c>
      <c r="AD177" s="3">
        <f>IF(Y149=0,0,AD149/Y149-1)</f>
        <v>-0.611301674385465</v>
      </c>
      <c r="AE177" s="3">
        <f>IF(Z149=0,0,AE149/Z149-1)</f>
        <v>-0.269991147831219</v>
      </c>
      <c r="AF177" s="3">
        <f>IF(AA149=0,0,AF149/AA149-1)</f>
        <v>2.00478927203065</v>
      </c>
      <c r="AG177" s="3" t="n"/>
      <c r="AH177" s="6">
        <f>IF(AC149=0,0,AH149/AC149-1)</f>
        <v>2.31686046511628</v>
      </c>
      <c r="AI177" s="6">
        <f>IF(AD149=0,0,AI149/AD149-1)</f>
        <v>-0.0706423621008322</v>
      </c>
      <c r="AJ177" s="6" t="n"/>
      <c r="AK177" s="6" t="n"/>
      <c r="AL177" s="3" t="n"/>
      <c r="AM177" s="6" t="n"/>
      <c r="AN177" s="6" t="n"/>
      <c r="AO177" s="6" t="n"/>
      <c r="AP177" s="6" t="n"/>
      <c r="AQ177" s="3" t="n"/>
      <c r="AR177" s="6" t="n"/>
      <c r="AS177" s="6" t="n"/>
      <c r="AT177" s="6" t="n"/>
      <c r="AU177" s="6" t="n"/>
      <c r="AV177" s="3" t="n"/>
      <c r="AW177" s="6" t="n"/>
      <c r="AX177" s="6" t="n"/>
      <c r="AY177" s="6" t="n"/>
      <c r="AZ177" s="6" t="n"/>
      <c r="BA177" s="3" t="n"/>
      <c r="BB177" s="6" t="n"/>
      <c r="BC177" s="6" t="n"/>
      <c r="BD177" s="6" t="n"/>
      <c r="BE177" s="6" t="n"/>
      <c r="BF177" s="3" t="n"/>
      <c r="BG177" s="6" t="n"/>
      <c r="BH177" s="6" t="n"/>
      <c r="BI177" s="6" t="n"/>
      <c r="BJ177" s="6" t="n"/>
      <c r="BK177" s="3" t="n"/>
      <c r="BL177" s="6" t="n"/>
      <c r="BM177" s="6" t="n"/>
      <c r="BN177" s="6" t="n"/>
      <c r="BO177" s="6" t="n"/>
      <c r="BP177" s="3" t="n"/>
      <c r="BQ177" s="6" t="n"/>
      <c r="BR177" s="6" t="n"/>
      <c r="BS177" s="6" t="n"/>
      <c r="BT177" s="6" t="n"/>
      <c r="BU177" s="3" t="n"/>
      <c r="BV177" s="6" t="n"/>
      <c r="BW177" s="6" t="n"/>
      <c r="BX177" s="6" t="n"/>
      <c r="BY177" s="6" t="n"/>
      <c r="BZ177" s="3" t="n"/>
      <c r="CA177" s="6" t="n"/>
      <c r="CB177" s="6" t="n"/>
      <c r="CC177" s="6" t="n"/>
      <c r="CD177" s="6" t="n"/>
      <c r="CE177" s="3" t="n"/>
      <c r="CF177" s="6" t="n"/>
      <c r="CG177" s="6" t="n"/>
      <c r="CH177" s="6" t="n"/>
      <c r="CI177" s="6" t="n"/>
      <c r="CJ177" s="3" t="n"/>
      <c r="CK177" s="6" t="n"/>
      <c r="CL177" s="6" t="n"/>
      <c r="CM177" s="6" t="n"/>
      <c r="CN177" s="6" t="n"/>
      <c r="CO177" s="3" t="n"/>
      <c r="CP177" s="6" t="n"/>
      <c r="CQ177" s="6" t="n"/>
      <c r="CR177" s="6" t="n"/>
      <c r="CS177" s="6" t="n"/>
      <c r="CT177" s="3" t="n"/>
      <c r="CU177" s="6" t="n"/>
      <c r="CV177" s="6" t="n"/>
      <c r="CW177" s="6" t="n"/>
      <c r="CX177" s="6" t="n"/>
      <c r="CY177" s="3" t="n"/>
    </row>
    <row r="178" hidden="1" outlineLevel="1">
      <c r="C178" s="34" t="inlineStr">
        <is>
          <t>Dividends (enter as -)</t>
        </is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6" t="n"/>
      <c r="AI178" s="6" t="n"/>
      <c r="AJ178" s="6" t="n"/>
      <c r="AK178" s="6" t="n"/>
      <c r="AL178" s="3" t="n"/>
      <c r="AM178" s="6" t="n"/>
      <c r="AN178" s="6" t="n"/>
      <c r="AO178" s="6" t="n"/>
      <c r="AP178" s="6" t="n"/>
      <c r="AQ178" s="3" t="n"/>
      <c r="AR178" s="6" t="n"/>
      <c r="AS178" s="6" t="n"/>
      <c r="AT178" s="6" t="n"/>
      <c r="AU178" s="6" t="n"/>
      <c r="AV178" s="3" t="n"/>
      <c r="AW178" s="6" t="n"/>
      <c r="AX178" s="6" t="n"/>
      <c r="AY178" s="6" t="n"/>
      <c r="AZ178" s="6" t="n"/>
      <c r="BA178" s="3" t="n"/>
      <c r="BB178" s="6" t="n"/>
      <c r="BC178" s="6" t="n"/>
      <c r="BD178" s="6" t="n"/>
      <c r="BE178" s="6" t="n"/>
      <c r="BF178" s="3" t="n"/>
      <c r="BG178" s="6" t="n"/>
      <c r="BH178" s="6" t="n"/>
      <c r="BI178" s="6" t="n"/>
      <c r="BJ178" s="6" t="n"/>
      <c r="BK178" s="3" t="n"/>
      <c r="BL178" s="6" t="n"/>
      <c r="BM178" s="6" t="n"/>
      <c r="BN178" s="6" t="n"/>
      <c r="BO178" s="6" t="n"/>
      <c r="BP178" s="3" t="n"/>
      <c r="BQ178" s="6" t="n"/>
      <c r="BR178" s="6" t="n"/>
      <c r="BS178" s="6" t="n"/>
      <c r="BT178" s="6" t="n"/>
      <c r="BU178" s="3" t="n"/>
      <c r="BV178" s="6" t="n"/>
      <c r="BW178" s="6" t="n"/>
      <c r="BX178" s="6" t="n"/>
      <c r="BY178" s="6" t="n"/>
      <c r="BZ178" s="3" t="n"/>
      <c r="CA178" s="6" t="n"/>
      <c r="CB178" s="6" t="n"/>
      <c r="CC178" s="6" t="n"/>
      <c r="CD178" s="6" t="n"/>
      <c r="CE178" s="3" t="n"/>
      <c r="CF178" s="6" t="n"/>
      <c r="CG178" s="6" t="n"/>
      <c r="CH178" s="6" t="n"/>
      <c r="CI178" s="6" t="n"/>
      <c r="CJ178" s="3" t="n"/>
      <c r="CK178" s="6" t="n"/>
      <c r="CL178" s="6" t="n"/>
      <c r="CM178" s="6" t="n"/>
      <c r="CN178" s="6" t="n"/>
      <c r="CO178" s="3" t="n"/>
      <c r="CP178" s="6" t="n"/>
      <c r="CQ178" s="6" t="n"/>
      <c r="CR178" s="6" t="n"/>
      <c r="CS178" s="6" t="n"/>
      <c r="CT178" s="3" t="n"/>
      <c r="CU178" s="6" t="n"/>
      <c r="CV178" s="6" t="n"/>
      <c r="CW178" s="6" t="n"/>
      <c r="CX178" s="6" t="n"/>
      <c r="CY178" s="3" t="n"/>
    </row>
    <row r="179" hidden="1" outlineLevel="1">
      <c r="C179" s="3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collapsed="1">
      <c r="C180" s="26" t="inlineStr">
        <is>
          <t>PP&amp;E</t>
        </is>
      </c>
      <c r="D180" s="25">
        <f>INDEX('Inputs (2)'!$D$22:$AL$22,MATCH(D$7,'Inputs (2)'!$D$2:$AL$2,0))</f>
        <v>12.276</v>
      </c>
      <c r="E180" s="25">
        <f>INDEX('Inputs (2)'!$D$22:$AL$22,MATCH(E$7,'Inputs (2)'!$D$2:$AL$2,0))</f>
        <v>12.871</v>
      </c>
      <c r="F180" s="25">
        <f>INDEX('Inputs (2)'!$D$22:$AL$22,MATCH(F$7,'Inputs (2)'!$D$2:$AL$2,0))</f>
        <v>13.604</v>
      </c>
      <c r="G180" s="25">
        <f>INDEX('Inputs (2)'!$D$22:$AL$22,MATCH(G$7,'Inputs (2)'!$D$2:$AL$2,0))</f>
        <v>14.669</v>
      </c>
      <c r="H180" s="3">
        <f>G180</f>
        <v>14.669</v>
      </c>
      <c r="I180" s="25">
        <f>INDEX('Inputs (2)'!$D$22:$AL$22,MATCH(I$7,'Inputs (2)'!$D$2:$AL$2,0))</f>
        <v>20.211</v>
      </c>
      <c r="J180" s="25">
        <f>INDEX('Inputs (2)'!$D$22:$AL$22,MATCH(J$7,'Inputs (2)'!$D$2:$AL$2,0))</f>
        <v>23.569</v>
      </c>
      <c r="K180" s="25">
        <f>INDEX('Inputs (2)'!$D$22:$AL$22,MATCH(K$7,'Inputs (2)'!$D$2:$AL$2,0))</f>
        <v>25.579</v>
      </c>
      <c r="L180" s="25">
        <f>INDEX('Inputs (2)'!$D$22:$AL$22,MATCH(L$7,'Inputs (2)'!$D$2:$AL$2,0))</f>
        <v>25.765</v>
      </c>
      <c r="M180" s="3">
        <f>L180</f>
        <v>25.765</v>
      </c>
      <c r="N180" s="25">
        <f>INDEX('Inputs (2)'!$D$22:$AL$22,MATCH(N$7,'Inputs (2)'!$D$2:$AL$2,0))</f>
        <v>24.33</v>
      </c>
      <c r="O180" s="25">
        <f>INDEX('Inputs (2)'!$D$22:$AL$22,MATCH(O$7,'Inputs (2)'!$D$2:$AL$2,0))</f>
        <v>22.509</v>
      </c>
      <c r="P180" s="25">
        <f>INDEX('Inputs (2)'!$D$22:$AL$22,MATCH(P$7,'Inputs (2)'!$D$2:$AL$2,0))</f>
        <v>22.203</v>
      </c>
      <c r="Q180" s="25">
        <f>INDEX('Inputs (2)'!$D$22:$AL$22,MATCH(Q$7,'Inputs (2)'!$D$2:$AL$2,0))</f>
        <v>22.931</v>
      </c>
      <c r="R180" s="3">
        <f>Q180</f>
        <v>22.931</v>
      </c>
      <c r="S180" s="25">
        <f>INDEX('Inputs (2)'!$D$22:$AL$22,MATCH(S$7,'Inputs (2)'!$D$2:$AL$2,0))</f>
        <v>31.101</v>
      </c>
      <c r="T180" s="25">
        <f>INDEX('Inputs (2)'!$D$22:$AL$22,MATCH(T$7,'Inputs (2)'!$D$2:$AL$2,0))</f>
        <v>33.293</v>
      </c>
      <c r="U180" s="25">
        <f>INDEX('Inputs (2)'!$D$22:$AL$22,MATCH(U$7,'Inputs (2)'!$D$2:$AL$2,0))</f>
        <v>33.278</v>
      </c>
      <c r="V180" s="25">
        <f>INDEX('Inputs (2)'!$D$22:$AL$22,MATCH(V$7,'Inputs (2)'!$D$2:$AL$2,0))</f>
        <v>34.596</v>
      </c>
      <c r="W180" s="3">
        <f>V180</f>
        <v>34.596</v>
      </c>
      <c r="X180" s="25">
        <f>INDEX('Inputs (2)'!$D$22:$AL$22,MATCH(X$7,'Inputs (2)'!$D$2:$AL$2,0))</f>
        <v>36.855</v>
      </c>
      <c r="Y180" s="25">
        <f>INDEX('Inputs (2)'!$D$22:$AL$22,MATCH(Y$7,'Inputs (2)'!$D$2:$AL$2,0))</f>
        <v>37.163</v>
      </c>
      <c r="Z180" s="25">
        <f>INDEX('Inputs (2)'!$D$22:$AL$22,MATCH(Z$7,'Inputs (2)'!$D$2:$AL$2,0))</f>
        <v>39.806</v>
      </c>
      <c r="AA180" s="25">
        <f>INDEX('Inputs (2)'!$D$22:$AL$22,MATCH(AA$7,'Inputs (2)'!$D$2:$AL$2,0))</f>
        <v>41.601</v>
      </c>
      <c r="AB180" s="3">
        <f>AA180</f>
        <v>41.601</v>
      </c>
      <c r="AC180" s="25">
        <f>INDEX('Inputs (2)'!$D$22:$AL$22,MATCH(AC$7,'Inputs (2)'!$D$2:$AL$2,0))</f>
        <v>41.884</v>
      </c>
      <c r="AD180" s="25">
        <f>INDEX('Inputs (2)'!$D$22:$AL$22,MATCH(AD$7,'Inputs (2)'!$D$2:$AL$2,0))</f>
        <v>40.389</v>
      </c>
      <c r="AE180" s="25">
        <f>INDEX('Inputs (2)'!$D$22:$AL$22,MATCH(AE$7,'Inputs (2)'!$D$2:$AL$2,0))</f>
        <v>40.513</v>
      </c>
      <c r="AF180" s="25">
        <f>INDEX('Inputs (2)'!$D$22:$AL$22,MATCH(AF$7,'Inputs (2)'!$D$2:$AL$2,0))</f>
        <v>41.203</v>
      </c>
      <c r="AG180" s="3">
        <f>AF180</f>
        <v>41.203</v>
      </c>
      <c r="AH180" s="3">
        <f>INDEX('Inputs (2)'!$D$22:$AL$22,MATCH(AH$7,'Inputs (2)'!$D$2:$AL$2,0))</f>
        <v>46.373</v>
      </c>
      <c r="AI180" s="3">
        <f>INDEX('Inputs (2)'!$D$22:$AL$22,MATCH(AI$7,'Inputs (2)'!$D$2:$AL$2,0))</f>
        <v>51.142</v>
      </c>
      <c r="AJ180" s="3">
        <f>AJ185</f>
        <v>51.142</v>
      </c>
      <c r="AK180" s="3">
        <f>AK185</f>
        <v>51.142</v>
      </c>
      <c r="AL180" s="3">
        <f>AK180</f>
        <v>51.142</v>
      </c>
      <c r="AM180" s="3">
        <f>AM185</f>
        <v>51.142</v>
      </c>
      <c r="AN180" s="3">
        <f>AN185</f>
        <v>51.142</v>
      </c>
      <c r="AO180" s="3">
        <f>AO185</f>
        <v>51.142</v>
      </c>
      <c r="AP180" s="3">
        <f>AP185</f>
        <v>51.142</v>
      </c>
      <c r="AQ180" s="3">
        <f>AP180</f>
        <v>51.142</v>
      </c>
      <c r="AR180" s="3">
        <f>AR185</f>
        <v>51.142</v>
      </c>
      <c r="AS180" s="3">
        <f>AS185</f>
        <v>51.142</v>
      </c>
      <c r="AT180" s="3">
        <f>AT185</f>
        <v>51.142</v>
      </c>
      <c r="AU180" s="3">
        <f>AU185</f>
        <v>51.142</v>
      </c>
      <c r="AV180" s="3">
        <f>AU180</f>
        <v>51.142</v>
      </c>
      <c r="AW180" s="3">
        <f>AW185</f>
        <v>51.142</v>
      </c>
      <c r="AX180" s="3">
        <f>AX185</f>
        <v>51.142</v>
      </c>
      <c r="AY180" s="3">
        <f>AY185</f>
        <v>51.142</v>
      </c>
      <c r="AZ180" s="3">
        <f>AZ185</f>
        <v>51.142</v>
      </c>
      <c r="BA180" s="3">
        <f>AZ180</f>
        <v>51.142</v>
      </c>
      <c r="BB180" s="3">
        <f>BB185</f>
        <v>51.142</v>
      </c>
      <c r="BC180" s="3">
        <f>BC185</f>
        <v>51.142</v>
      </c>
      <c r="BD180" s="3">
        <f>BD185</f>
        <v>51.142</v>
      </c>
      <c r="BE180" s="3">
        <f>BE185</f>
        <v>51.142</v>
      </c>
      <c r="BF180" s="3">
        <f>BE180</f>
        <v>51.142</v>
      </c>
      <c r="BG180" s="3">
        <f>BG185</f>
        <v>51.142</v>
      </c>
      <c r="BH180" s="3">
        <f>BH185</f>
        <v>51.142</v>
      </c>
      <c r="BI180" s="3">
        <f>BI185</f>
        <v>51.142</v>
      </c>
      <c r="BJ180" s="3">
        <f>BJ185</f>
        <v>51.142</v>
      </c>
      <c r="BK180" s="3">
        <f>BJ180</f>
        <v>51.142</v>
      </c>
      <c r="BL180" s="3">
        <f>BL185</f>
        <v>51.142</v>
      </c>
      <c r="BM180" s="3">
        <f>BM185</f>
        <v>51.142</v>
      </c>
      <c r="BN180" s="3">
        <f>BN185</f>
        <v>51.142</v>
      </c>
      <c r="BO180" s="3">
        <f>BO185</f>
        <v>51.142</v>
      </c>
      <c r="BP180" s="3">
        <f>BO180</f>
        <v>51.142</v>
      </c>
      <c r="BQ180" s="3">
        <f>BQ185</f>
        <v>51.142</v>
      </c>
      <c r="BR180" s="3">
        <f>BR185</f>
        <v>51.142</v>
      </c>
      <c r="BS180" s="3">
        <f>BS185</f>
        <v>51.142</v>
      </c>
      <c r="BT180" s="3">
        <f>BT185</f>
        <v>51.142</v>
      </c>
      <c r="BU180" s="3">
        <f>BT180</f>
        <v>51.142</v>
      </c>
      <c r="BV180" s="3">
        <f>BV185</f>
        <v>51.142</v>
      </c>
      <c r="BW180" s="3">
        <f>BW185</f>
        <v>51.142</v>
      </c>
      <c r="BX180" s="3">
        <f>BX185</f>
        <v>51.142</v>
      </c>
      <c r="BY180" s="3">
        <f>BY185</f>
        <v>51.142</v>
      </c>
      <c r="BZ180" s="3">
        <f>BY180</f>
        <v>51.142</v>
      </c>
      <c r="CA180" s="3">
        <f>CA185</f>
        <v>51.142</v>
      </c>
      <c r="CB180" s="3">
        <f>CB185</f>
        <v>51.142</v>
      </c>
      <c r="CC180" s="3">
        <f>CC185</f>
        <v>51.142</v>
      </c>
      <c r="CD180" s="3">
        <f>CD185</f>
        <v>51.142</v>
      </c>
      <c r="CE180" s="3">
        <f>CD180</f>
        <v>51.142</v>
      </c>
      <c r="CF180" s="3">
        <f>CF185</f>
        <v>51.142</v>
      </c>
      <c r="CG180" s="3">
        <f>CG185</f>
        <v>51.142</v>
      </c>
      <c r="CH180" s="3">
        <f>CH185</f>
        <v>51.142</v>
      </c>
      <c r="CI180" s="3">
        <f>CI185</f>
        <v>51.142</v>
      </c>
      <c r="CJ180" s="3">
        <f>CI180</f>
        <v>51.142</v>
      </c>
      <c r="CK180" s="3">
        <f>CK185</f>
        <v>51.142</v>
      </c>
      <c r="CL180" s="3">
        <f>CL185</f>
        <v>51.142</v>
      </c>
      <c r="CM180" s="3">
        <f>CM185</f>
        <v>51.142</v>
      </c>
      <c r="CN180" s="3">
        <f>CN185</f>
        <v>51.142</v>
      </c>
      <c r="CO180" s="3">
        <f>CN180</f>
        <v>51.142</v>
      </c>
      <c r="CP180" s="3">
        <f>CP185</f>
        <v>51.142</v>
      </c>
      <c r="CQ180" s="3">
        <f>CQ185</f>
        <v>51.142</v>
      </c>
      <c r="CR180" s="3">
        <f>CR185</f>
        <v>51.142</v>
      </c>
      <c r="CS180" s="3">
        <f>CS185</f>
        <v>51.142</v>
      </c>
      <c r="CT180" s="3">
        <f>CS180</f>
        <v>51.142</v>
      </c>
      <c r="CU180" s="3">
        <f>CU185</f>
        <v>51.142</v>
      </c>
      <c r="CV180" s="3">
        <f>CV185</f>
        <v>51.142</v>
      </c>
      <c r="CW180" s="3">
        <f>CW185</f>
        <v>51.142</v>
      </c>
      <c r="CX180" s="3">
        <f>CX185</f>
        <v>51.142</v>
      </c>
      <c r="CY180" s="3">
        <f>CX180</f>
        <v>51.142</v>
      </c>
    </row>
    <row r="181" hidden="1" outlineLevel="1">
      <c r="C181" s="3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34" t="inlineStr">
        <is>
          <t>Capital expenditures</t>
        </is>
      </c>
      <c r="D182" s="3" t="n"/>
      <c r="E182" s="3">
        <f>E180-D180-E84</f>
        <v>0.902000000000001</v>
      </c>
      <c r="F182" s="3">
        <f>F180-E180-F84</f>
        <v>1.098</v>
      </c>
      <c r="G182" s="3">
        <f>G180-F180-G84</f>
        <v>1.32871006000004</v>
      </c>
      <c r="H182" s="3" t="n"/>
      <c r="I182" s="3">
        <f>I180-H180-I84</f>
        <v>5.87665271000004</v>
      </c>
      <c r="J182" s="3">
        <f>J180-I180-J84</f>
        <v>3.7130585</v>
      </c>
      <c r="K182" s="3">
        <f>K180-J180-K84</f>
        <v>2.38596036</v>
      </c>
      <c r="L182" s="3">
        <f>L180-K180-L84</f>
        <v>0.563742069999891</v>
      </c>
      <c r="M182" s="3" t="n"/>
      <c r="N182" s="3">
        <f>N180-M180-N84</f>
        <v>-0.510613190000002</v>
      </c>
      <c r="O182" s="3">
        <f>O180-N180-O84</f>
        <v>3.883</v>
      </c>
      <c r="P182" s="3">
        <f>P180-O180-P84</f>
        <v>5.409</v>
      </c>
      <c r="Q182" s="3">
        <f>Q180-P180-Q84</f>
        <v>7.03</v>
      </c>
      <c r="R182" s="3" t="n"/>
      <c r="S182" s="3">
        <f>S180-R180-S84</f>
        <v>14.3910827</v>
      </c>
      <c r="T182" s="3">
        <f>T180-S180-T84</f>
        <v>8.492</v>
      </c>
      <c r="U182" s="3">
        <f>U180-T180-U84</f>
        <v>6.32589384999999</v>
      </c>
      <c r="V182" s="3">
        <f>V180-U180-V84</f>
        <v>8.32802345000001</v>
      </c>
      <c r="W182" s="3" t="n"/>
      <c r="X182" s="3">
        <f>X180-W180-X84</f>
        <v>9.376</v>
      </c>
      <c r="Y182" s="3">
        <f>Y180-X180-Y84</f>
        <v>7.319576789999</v>
      </c>
      <c r="Z182" s="3">
        <f>Z180-Y180-Z84</f>
        <v>10.8341989450003</v>
      </c>
      <c r="AA182" s="3">
        <f>AA180-Z180-AA84</f>
        <v>10.60618731</v>
      </c>
      <c r="AB182" s="3" t="n"/>
      <c r="AC182" s="3">
        <f>AC180-AB180-AC84</f>
        <v>8.816</v>
      </c>
      <c r="AD182" s="3">
        <f>AD180-AC180-AD84</f>
        <v>7.259</v>
      </c>
      <c r="AE182" s="3">
        <f>AE180-AD180-AE84</f>
        <v>8.645</v>
      </c>
      <c r="AF182" s="6">
        <f>AF180-AE180-AF84</f>
        <v>9.76000000000001</v>
      </c>
      <c r="AG182" s="3">
        <f>SUM(AC182:AF182)</f>
        <v>34.48</v>
      </c>
      <c r="AH182" s="6">
        <f>AH180-AG180-AH84</f>
        <v>13.519</v>
      </c>
      <c r="AI182" s="6">
        <f>AI180-AH180-AI84</f>
        <v>13.32</v>
      </c>
      <c r="AJ182" s="6" t="n"/>
      <c r="AK182" s="6" t="n"/>
      <c r="AL182" s="3" t="n"/>
      <c r="AM182" s="6" t="n"/>
      <c r="AN182" s="6" t="n"/>
      <c r="AO182" s="6" t="n"/>
      <c r="AP182" s="6" t="n"/>
      <c r="AQ182" s="3" t="n"/>
      <c r="AR182" s="6" t="n"/>
      <c r="AS182" s="6" t="n"/>
      <c r="AT182" s="6" t="n"/>
      <c r="AU182" s="6" t="n"/>
      <c r="AV182" s="3" t="n"/>
      <c r="AW182" s="6" t="n"/>
      <c r="AX182" s="6" t="n"/>
      <c r="AY182" s="6" t="n"/>
      <c r="AZ182" s="6" t="n"/>
      <c r="BA182" s="3" t="n"/>
      <c r="BB182" s="6" t="n"/>
      <c r="BC182" s="6" t="n"/>
      <c r="BD182" s="6" t="n"/>
      <c r="BE182" s="6" t="n"/>
      <c r="BF182" s="3" t="n"/>
      <c r="BG182" s="6" t="n"/>
      <c r="BH182" s="6" t="n"/>
      <c r="BI182" s="6" t="n"/>
      <c r="BJ182" s="6" t="n"/>
      <c r="BK182" s="3" t="n"/>
      <c r="BL182" s="6" t="n"/>
      <c r="BM182" s="6" t="n"/>
      <c r="BN182" s="6" t="n"/>
      <c r="BO182" s="6" t="n"/>
      <c r="BP182" s="3" t="n"/>
      <c r="BQ182" s="6" t="n"/>
      <c r="BR182" s="6" t="n"/>
      <c r="BS182" s="6" t="n"/>
      <c r="BT182" s="6" t="n"/>
      <c r="BU182" s="3" t="n"/>
      <c r="BV182" s="6" t="n"/>
      <c r="BW182" s="6" t="n"/>
      <c r="BX182" s="6" t="n"/>
      <c r="BY182" s="6" t="n"/>
      <c r="BZ182" s="3" t="n"/>
      <c r="CA182" s="6" t="n"/>
      <c r="CB182" s="6" t="n"/>
      <c r="CC182" s="6" t="n"/>
      <c r="CD182" s="6" t="n"/>
      <c r="CE182" s="3" t="n"/>
      <c r="CF182" s="6" t="n"/>
      <c r="CG182" s="6" t="n"/>
      <c r="CH182" s="6" t="n"/>
      <c r="CI182" s="6" t="n"/>
      <c r="CJ182" s="3" t="n"/>
      <c r="CK182" s="6" t="n"/>
      <c r="CL182" s="6" t="n"/>
      <c r="CM182" s="6" t="n"/>
      <c r="CN182" s="6" t="n"/>
      <c r="CO182" s="3" t="n"/>
      <c r="CP182" s="6" t="n"/>
      <c r="CQ182" s="6" t="n"/>
      <c r="CR182" s="6" t="n"/>
      <c r="CS182" s="6" t="n"/>
      <c r="CT182" s="3" t="n"/>
      <c r="CU182" s="6" t="n"/>
      <c r="CV182" s="6" t="n"/>
      <c r="CW182" s="6" t="n"/>
      <c r="CX182" s="6" t="n"/>
      <c r="CY182" s="3" t="n"/>
    </row>
    <row r="183" hidden="1" outlineLevel="1">
      <c r="C183" s="34" t="inlineStr">
        <is>
          <t>Recurring asset sales (enter as -)</t>
        </is>
      </c>
      <c r="D183" s="3" t="n"/>
      <c r="E183" s="3" t="n"/>
      <c r="F183" s="3" t="n"/>
      <c r="G183" s="3" t="n"/>
      <c r="H183" s="3">
        <f>SUM(D183:G183)</f>
        <v>0</v>
      </c>
      <c r="I183" s="3" t="n"/>
      <c r="J183" s="3" t="n"/>
      <c r="K183" s="3" t="n"/>
      <c r="L183" s="3" t="n"/>
      <c r="M183" s="3">
        <f>SUM(I183:L183)</f>
        <v>0</v>
      </c>
      <c r="N183" s="3" t="n"/>
      <c r="O183" s="3" t="n"/>
      <c r="P183" s="3" t="n"/>
      <c r="Q183" s="3" t="n"/>
      <c r="R183" s="3">
        <f>SUM(N183:Q183)</f>
        <v>0</v>
      </c>
      <c r="S183" s="3" t="n"/>
      <c r="T183" s="3" t="n"/>
      <c r="U183" s="3" t="n"/>
      <c r="V183" s="3" t="n"/>
      <c r="W183" s="3">
        <f>SUM(S183:V183)</f>
        <v>0</v>
      </c>
      <c r="X183" s="3" t="n"/>
      <c r="Y183" s="3" t="n"/>
      <c r="Z183" s="3" t="n"/>
      <c r="AA183" s="3" t="n"/>
      <c r="AB183" s="3">
        <f>SUM(X183:AA183)</f>
        <v>0</v>
      </c>
      <c r="AC183" s="3" t="n"/>
      <c r="AD183" s="3" t="n"/>
      <c r="AE183" s="3" t="n"/>
      <c r="AF183" s="6" t="n"/>
      <c r="AG183" s="3" t="n"/>
      <c r="AH183" s="6" t="n"/>
      <c r="AI183" s="6" t="n"/>
      <c r="AJ183" s="6" t="n"/>
      <c r="AK183" s="6" t="n"/>
      <c r="AL183" s="3" t="n"/>
      <c r="AM183" s="6" t="n"/>
      <c r="AN183" s="6" t="n"/>
      <c r="AO183" s="6" t="n"/>
      <c r="AP183" s="6" t="n"/>
      <c r="AQ183" s="3" t="n"/>
      <c r="AR183" s="6" t="n"/>
      <c r="AS183" s="6" t="n"/>
      <c r="AT183" s="6" t="n"/>
      <c r="AU183" s="6" t="n"/>
      <c r="AV183" s="3" t="n"/>
      <c r="AW183" s="6" t="n"/>
      <c r="AX183" s="6" t="n"/>
      <c r="AY183" s="6" t="n"/>
      <c r="AZ183" s="6" t="n"/>
      <c r="BA183" s="3" t="n"/>
      <c r="BB183" s="6" t="n"/>
      <c r="BC183" s="6" t="n"/>
      <c r="BD183" s="6" t="n"/>
      <c r="BE183" s="6" t="n"/>
      <c r="BF183" s="3" t="n"/>
      <c r="BG183" s="6" t="n"/>
      <c r="BH183" s="6" t="n"/>
      <c r="BI183" s="6" t="n"/>
      <c r="BJ183" s="6" t="n"/>
      <c r="BK183" s="3" t="n"/>
      <c r="BL183" s="6" t="n"/>
      <c r="BM183" s="6" t="n"/>
      <c r="BN183" s="6" t="n"/>
      <c r="BO183" s="6" t="n"/>
      <c r="BP183" s="3" t="n"/>
      <c r="BQ183" s="6" t="n"/>
      <c r="BR183" s="6" t="n"/>
      <c r="BS183" s="6" t="n"/>
      <c r="BT183" s="6" t="n"/>
      <c r="BU183" s="3" t="n"/>
      <c r="BV183" s="6" t="n"/>
      <c r="BW183" s="6" t="n"/>
      <c r="BX183" s="6" t="n"/>
      <c r="BY183" s="6" t="n"/>
      <c r="BZ183" s="3" t="n"/>
      <c r="CA183" s="6" t="n"/>
      <c r="CB183" s="6" t="n"/>
      <c r="CC183" s="6" t="n"/>
      <c r="CD183" s="6" t="n"/>
      <c r="CE183" s="3" t="n"/>
      <c r="CF183" s="6" t="n"/>
      <c r="CG183" s="6" t="n"/>
      <c r="CH183" s="6" t="n"/>
      <c r="CI183" s="6" t="n"/>
      <c r="CJ183" s="3" t="n"/>
      <c r="CK183" s="6" t="n"/>
      <c r="CL183" s="6" t="n"/>
      <c r="CM183" s="6" t="n"/>
      <c r="CN183" s="6" t="n"/>
      <c r="CO183" s="3" t="n"/>
      <c r="CP183" s="6" t="n"/>
      <c r="CQ183" s="6" t="n"/>
      <c r="CR183" s="6" t="n"/>
      <c r="CS183" s="6" t="n"/>
      <c r="CT183" s="3" t="n"/>
      <c r="CU183" s="6" t="n"/>
      <c r="CV183" s="6" t="n"/>
      <c r="CW183" s="6" t="n"/>
      <c r="CX183" s="6" t="n"/>
      <c r="CY183" s="3" t="n"/>
    </row>
    <row r="184" hidden="1" outlineLevel="1">
      <c r="C184" s="34" t="inlineStr">
        <is>
          <t>Depreciation</t>
        </is>
      </c>
      <c r="D184" s="3">
        <f>D84</f>
        <v>-2.925</v>
      </c>
      <c r="E184" s="3">
        <f>E84</f>
        <v>-0.307</v>
      </c>
      <c r="F184" s="3">
        <f>F84</f>
        <v>-0.365</v>
      </c>
      <c r="G184" s="3">
        <f>G84</f>
        <v>-0.263710060000041</v>
      </c>
      <c r="H184" s="3" t="n"/>
      <c r="I184" s="3">
        <f>I84</f>
        <v>-0.334652710000039</v>
      </c>
      <c r="J184" s="3">
        <f>J84</f>
        <v>-0.355058499999999</v>
      </c>
      <c r="K184" s="3">
        <f>K84</f>
        <v>-0.375960359999997</v>
      </c>
      <c r="L184" s="3">
        <f>L84</f>
        <v>-0.377742069999891</v>
      </c>
      <c r="M184" s="3" t="n"/>
      <c r="N184" s="3">
        <f>N84</f>
        <v>-0.924386809999996</v>
      </c>
      <c r="O184" s="3">
        <f>O84</f>
        <v>-5.704</v>
      </c>
      <c r="P184" s="3">
        <f>P84</f>
        <v>-5.715</v>
      </c>
      <c r="Q184" s="3">
        <f>Q84</f>
        <v>-6.302</v>
      </c>
      <c r="R184" s="3" t="n"/>
      <c r="S184" s="3">
        <f>S84</f>
        <v>-6.2210827</v>
      </c>
      <c r="T184" s="3">
        <f>T84</f>
        <v>-6.3</v>
      </c>
      <c r="U184" s="3">
        <f>U84</f>
        <v>-6.34089384999999</v>
      </c>
      <c r="V184" s="3">
        <f>V84</f>
        <v>-7.01002345000001</v>
      </c>
      <c r="W184" s="3" t="n"/>
      <c r="X184" s="3">
        <f>X84</f>
        <v>-7.117</v>
      </c>
      <c r="Y184" s="3">
        <f>Y84</f>
        <v>-7.011576789999</v>
      </c>
      <c r="Z184" s="3">
        <f>Z84</f>
        <v>-8.1911989450003</v>
      </c>
      <c r="AA184" s="3">
        <f>AA84</f>
        <v>-8.81118731000001</v>
      </c>
      <c r="AB184" s="3" t="n"/>
      <c r="AC184" s="3">
        <f>AC84</f>
        <v>-8.533</v>
      </c>
      <c r="AD184" s="3">
        <f>AD84</f>
        <v>-8.754</v>
      </c>
      <c r="AE184" s="3">
        <f>AE84</f>
        <v>-8.521</v>
      </c>
      <c r="AF184" s="3">
        <f>AF84</f>
        <v>-9.07</v>
      </c>
      <c r="AG184" s="3" t="n"/>
      <c r="AH184" s="3">
        <f>AH84</f>
        <v>-8.349</v>
      </c>
      <c r="AI184" s="3">
        <f>AI84</f>
        <v>-8.551</v>
      </c>
      <c r="AJ184" s="3">
        <f>AJ84</f>
        <v>0</v>
      </c>
      <c r="AK184" s="3">
        <f>AK84</f>
        <v>0</v>
      </c>
      <c r="AL184" s="3" t="n"/>
      <c r="AM184" s="3">
        <f>AM84</f>
        <v>0</v>
      </c>
      <c r="AN184" s="3">
        <f>AN84</f>
        <v>0</v>
      </c>
      <c r="AO184" s="3">
        <f>AO84</f>
        <v>0</v>
      </c>
      <c r="AP184" s="3">
        <f>AP84</f>
        <v>0</v>
      </c>
      <c r="AQ184" s="3" t="n"/>
      <c r="AR184" s="3">
        <f>AR84</f>
        <v>0</v>
      </c>
      <c r="AS184" s="3">
        <f>AS84</f>
        <v>0</v>
      </c>
      <c r="AT184" s="3">
        <f>AT84</f>
        <v>0</v>
      </c>
      <c r="AU184" s="3">
        <f>AU84</f>
        <v>0</v>
      </c>
      <c r="AV184" s="3" t="n"/>
      <c r="AW184" s="3">
        <f>AW84</f>
        <v>0</v>
      </c>
      <c r="AX184" s="3">
        <f>AX84</f>
        <v>0</v>
      </c>
      <c r="AY184" s="3">
        <f>AY84</f>
        <v>0</v>
      </c>
      <c r="AZ184" s="3">
        <f>AZ84</f>
        <v>0</v>
      </c>
      <c r="BA184" s="3" t="n"/>
      <c r="BB184" s="3">
        <f>BB84</f>
        <v>0</v>
      </c>
      <c r="BC184" s="3">
        <f>BC84</f>
        <v>0</v>
      </c>
      <c r="BD184" s="3">
        <f>BD84</f>
        <v>0</v>
      </c>
      <c r="BE184" s="3">
        <f>BE84</f>
        <v>0</v>
      </c>
      <c r="BF184" s="3" t="n"/>
      <c r="BG184" s="3">
        <f>BG84</f>
        <v>0</v>
      </c>
      <c r="BH184" s="3">
        <f>BH84</f>
        <v>0</v>
      </c>
      <c r="BI184" s="3">
        <f>BI84</f>
        <v>0</v>
      </c>
      <c r="BJ184" s="3">
        <f>BJ84</f>
        <v>0</v>
      </c>
      <c r="BK184" s="3" t="n"/>
      <c r="BL184" s="3">
        <f>BL84</f>
        <v>0</v>
      </c>
      <c r="BM184" s="3">
        <f>BM84</f>
        <v>0</v>
      </c>
      <c r="BN184" s="3">
        <f>BN84</f>
        <v>0</v>
      </c>
      <c r="BO184" s="3">
        <f>BO84</f>
        <v>0</v>
      </c>
      <c r="BP184" s="3" t="n"/>
      <c r="BQ184" s="3">
        <f>BQ84</f>
        <v>0</v>
      </c>
      <c r="BR184" s="3">
        <f>BR84</f>
        <v>0</v>
      </c>
      <c r="BS184" s="3">
        <f>BS84</f>
        <v>0</v>
      </c>
      <c r="BT184" s="3">
        <f>BT84</f>
        <v>0</v>
      </c>
      <c r="BU184" s="3" t="n"/>
      <c r="BV184" s="3">
        <f>BV84</f>
        <v>0</v>
      </c>
      <c r="BW184" s="3">
        <f>BW84</f>
        <v>0</v>
      </c>
      <c r="BX184" s="3">
        <f>BX84</f>
        <v>0</v>
      </c>
      <c r="BY184" s="3">
        <f>BY84</f>
        <v>0</v>
      </c>
      <c r="BZ184" s="3" t="n"/>
      <c r="CA184" s="3">
        <f>CA84</f>
        <v>0</v>
      </c>
      <c r="CB184" s="3">
        <f>CB84</f>
        <v>0</v>
      </c>
      <c r="CC184" s="3">
        <f>CC84</f>
        <v>0</v>
      </c>
      <c r="CD184" s="3">
        <f>CD84</f>
        <v>0</v>
      </c>
      <c r="CE184" s="3" t="n"/>
      <c r="CF184" s="3">
        <f>CF84</f>
        <v>0</v>
      </c>
      <c r="CG184" s="3">
        <f>CG84</f>
        <v>0</v>
      </c>
      <c r="CH184" s="3">
        <f>CH84</f>
        <v>0</v>
      </c>
      <c r="CI184" s="3">
        <f>CI84</f>
        <v>0</v>
      </c>
      <c r="CJ184" s="3" t="n"/>
      <c r="CK184" s="3">
        <f>CK84</f>
        <v>0</v>
      </c>
      <c r="CL184" s="3">
        <f>CL84</f>
        <v>0</v>
      </c>
      <c r="CM184" s="3">
        <f>CM84</f>
        <v>0</v>
      </c>
      <c r="CN184" s="3">
        <f>CN84</f>
        <v>0</v>
      </c>
      <c r="CO184" s="3" t="n"/>
      <c r="CP184" s="3">
        <f>CP84</f>
        <v>0</v>
      </c>
      <c r="CQ184" s="3">
        <f>CQ84</f>
        <v>0</v>
      </c>
      <c r="CR184" s="3">
        <f>CR84</f>
        <v>0</v>
      </c>
      <c r="CS184" s="3">
        <f>CS84</f>
        <v>0</v>
      </c>
      <c r="CT184" s="3" t="n"/>
      <c r="CU184" s="3">
        <f>CU84</f>
        <v>0</v>
      </c>
      <c r="CV184" s="3">
        <f>CV84</f>
        <v>0</v>
      </c>
      <c r="CW184" s="3">
        <f>CW84</f>
        <v>0</v>
      </c>
      <c r="CX184" s="3">
        <f>CX84</f>
        <v>0</v>
      </c>
      <c r="CY184" s="3" t="n"/>
    </row>
    <row r="185" hidden="1" outlineLevel="1">
      <c r="C185" s="34" t="inlineStr">
        <is>
          <t>PP&amp;E</t>
        </is>
      </c>
      <c r="D185" s="3">
        <f>D180</f>
        <v>12.276</v>
      </c>
      <c r="E185" s="3">
        <f>E180</f>
        <v>12.871</v>
      </c>
      <c r="F185" s="3">
        <f>F180</f>
        <v>13.604</v>
      </c>
      <c r="G185" s="3">
        <f>G180</f>
        <v>14.669</v>
      </c>
      <c r="H185" s="3" t="n"/>
      <c r="I185" s="3">
        <f>I180</f>
        <v>20.211</v>
      </c>
      <c r="J185" s="3">
        <f>J180</f>
        <v>23.569</v>
      </c>
      <c r="K185" s="3">
        <f>K180</f>
        <v>25.579</v>
      </c>
      <c r="L185" s="3">
        <f>L180</f>
        <v>25.765</v>
      </c>
      <c r="M185" s="3" t="n"/>
      <c r="N185" s="3">
        <f>N180</f>
        <v>24.33</v>
      </c>
      <c r="O185" s="3">
        <f>O180</f>
        <v>22.509</v>
      </c>
      <c r="P185" s="3">
        <f>P180</f>
        <v>22.203</v>
      </c>
      <c r="Q185" s="3">
        <f>Q180</f>
        <v>22.931</v>
      </c>
      <c r="R185" s="3" t="n"/>
      <c r="S185" s="3">
        <f>S180</f>
        <v>31.101</v>
      </c>
      <c r="T185" s="3">
        <f>T180</f>
        <v>33.293</v>
      </c>
      <c r="U185" s="3">
        <f>U180</f>
        <v>33.278</v>
      </c>
      <c r="V185" s="3">
        <f>V180</f>
        <v>34.596</v>
      </c>
      <c r="W185" s="3" t="n"/>
      <c r="X185" s="3">
        <f>X180</f>
        <v>36.855</v>
      </c>
      <c r="Y185" s="3">
        <f>Y180</f>
        <v>37.163</v>
      </c>
      <c r="Z185" s="3">
        <f>Z180</f>
        <v>39.806</v>
      </c>
      <c r="AA185" s="3">
        <f>Y185+SUM(AA182:AA184)</f>
        <v>38.958</v>
      </c>
      <c r="AB185" s="3" t="n"/>
      <c r="AC185" s="3">
        <f>AC180</f>
        <v>41.884</v>
      </c>
      <c r="AD185" s="3">
        <f>AD180</f>
        <v>40.389</v>
      </c>
      <c r="AE185" s="3">
        <f>AE180</f>
        <v>40.513</v>
      </c>
      <c r="AF185" s="3">
        <f>AE185+SUM(AF182:AF184)</f>
        <v>41.203</v>
      </c>
      <c r="AG185" s="3" t="n"/>
      <c r="AH185" s="3">
        <f>AH180</f>
        <v>46.373</v>
      </c>
      <c r="AI185" s="3">
        <f>AI180</f>
        <v>51.142</v>
      </c>
      <c r="AJ185" s="3">
        <f>AI185+SUM(AJ182:AJ184)</f>
        <v>51.142</v>
      </c>
      <c r="AK185" s="3">
        <f>AJ185+SUM(AK182:AK184)</f>
        <v>51.142</v>
      </c>
      <c r="AL185" s="3" t="n"/>
      <c r="AM185" s="3">
        <f>AK185+SUM(AM182:AM184)</f>
        <v>51.142</v>
      </c>
      <c r="AN185" s="3">
        <f>AM185+SUM(AN182:AN184)</f>
        <v>51.142</v>
      </c>
      <c r="AO185" s="3">
        <f>AN185+SUM(AO182:AO184)</f>
        <v>51.142</v>
      </c>
      <c r="AP185" s="3">
        <f>AO185+SUM(AP182:AP184)</f>
        <v>51.142</v>
      </c>
      <c r="AQ185" s="3" t="n"/>
      <c r="AR185" s="3">
        <f>AP185+SUM(AR182:AR184)</f>
        <v>51.142</v>
      </c>
      <c r="AS185" s="3">
        <f>AR185+SUM(AS182:AS184)</f>
        <v>51.142</v>
      </c>
      <c r="AT185" s="3">
        <f>AS185+SUM(AT182:AT184)</f>
        <v>51.142</v>
      </c>
      <c r="AU185" s="3">
        <f>AT185+SUM(AU182:AU184)</f>
        <v>51.142</v>
      </c>
      <c r="AV185" s="3" t="n"/>
      <c r="AW185" s="3">
        <f>AU185+SUM(AW182:AW184)</f>
        <v>51.142</v>
      </c>
      <c r="AX185" s="3">
        <f>AW185+SUM(AX182:AX184)</f>
        <v>51.142</v>
      </c>
      <c r="AY185" s="3">
        <f>AX185+SUM(AY182:AY184)</f>
        <v>51.142</v>
      </c>
      <c r="AZ185" s="3">
        <f>AY185+SUM(AZ182:AZ184)</f>
        <v>51.142</v>
      </c>
      <c r="BA185" s="3" t="n"/>
      <c r="BB185" s="3">
        <f>AZ185+SUM(BB182:BB184)</f>
        <v>51.142</v>
      </c>
      <c r="BC185" s="3">
        <f>BB185+SUM(BC182:BC184)</f>
        <v>51.142</v>
      </c>
      <c r="BD185" s="3">
        <f>BC185+SUM(BD182:BD184)</f>
        <v>51.142</v>
      </c>
      <c r="BE185" s="3">
        <f>BD185+SUM(BE182:BE184)</f>
        <v>51.142</v>
      </c>
      <c r="BF185" s="3" t="n"/>
      <c r="BG185" s="3">
        <f>BE185+SUM(BG182:BG184)</f>
        <v>51.142</v>
      </c>
      <c r="BH185" s="3">
        <f>BG185+SUM(BH182:BH184)</f>
        <v>51.142</v>
      </c>
      <c r="BI185" s="3">
        <f>BH185+SUM(BI182:BI184)</f>
        <v>51.142</v>
      </c>
      <c r="BJ185" s="3">
        <f>BI185+SUM(BJ182:BJ184)</f>
        <v>51.142</v>
      </c>
      <c r="BK185" s="3" t="n"/>
      <c r="BL185" s="3">
        <f>BJ185+SUM(BL182:BL184)</f>
        <v>51.142</v>
      </c>
      <c r="BM185" s="3">
        <f>BL185+SUM(BM182:BM184)</f>
        <v>51.142</v>
      </c>
      <c r="BN185" s="3">
        <f>BM185+SUM(BN182:BN184)</f>
        <v>51.142</v>
      </c>
      <c r="BO185" s="3">
        <f>BN185+SUM(BO182:BO184)</f>
        <v>51.142</v>
      </c>
      <c r="BP185" s="3" t="n"/>
      <c r="BQ185" s="3">
        <f>BO185+SUM(BQ182:BQ184)</f>
        <v>51.142</v>
      </c>
      <c r="BR185" s="3">
        <f>BQ185+SUM(BR182:BR184)</f>
        <v>51.142</v>
      </c>
      <c r="BS185" s="3">
        <f>BR185+SUM(BS182:BS184)</f>
        <v>51.142</v>
      </c>
      <c r="BT185" s="3">
        <f>BS185+SUM(BT182:BT184)</f>
        <v>51.142</v>
      </c>
      <c r="BU185" s="3" t="n"/>
      <c r="BV185" s="3">
        <f>BT185+SUM(BV182:BV184)</f>
        <v>51.142</v>
      </c>
      <c r="BW185" s="3">
        <f>BV185+SUM(BW182:BW184)</f>
        <v>51.142</v>
      </c>
      <c r="BX185" s="3">
        <f>BW185+SUM(BX182:BX184)</f>
        <v>51.142</v>
      </c>
      <c r="BY185" s="3">
        <f>BX185+SUM(BY182:BY184)</f>
        <v>51.142</v>
      </c>
      <c r="BZ185" s="3" t="n"/>
      <c r="CA185" s="3">
        <f>BY185+SUM(CA182:CA184)</f>
        <v>51.142</v>
      </c>
      <c r="CB185" s="3">
        <f>CA185+SUM(CB182:CB184)</f>
        <v>51.142</v>
      </c>
      <c r="CC185" s="3">
        <f>CB185+SUM(CC182:CC184)</f>
        <v>51.142</v>
      </c>
      <c r="CD185" s="3">
        <f>CC185+SUM(CD182:CD184)</f>
        <v>51.142</v>
      </c>
      <c r="CE185" s="3" t="n"/>
      <c r="CF185" s="3">
        <f>CD185+SUM(CF182:CF184)</f>
        <v>51.142</v>
      </c>
      <c r="CG185" s="3">
        <f>CF185+SUM(CG182:CG184)</f>
        <v>51.142</v>
      </c>
      <c r="CH185" s="3">
        <f>CG185+SUM(CH182:CH184)</f>
        <v>51.142</v>
      </c>
      <c r="CI185" s="3">
        <f>CH185+SUM(CI182:CI184)</f>
        <v>51.142</v>
      </c>
      <c r="CJ185" s="3" t="n"/>
      <c r="CK185" s="3">
        <f>CI185+SUM(CK182:CK184)</f>
        <v>51.142</v>
      </c>
      <c r="CL185" s="3">
        <f>CK185+SUM(CL182:CL184)</f>
        <v>51.142</v>
      </c>
      <c r="CM185" s="3">
        <f>CL185+SUM(CM182:CM184)</f>
        <v>51.142</v>
      </c>
      <c r="CN185" s="3">
        <f>CM185+SUM(CN182:CN184)</f>
        <v>51.142</v>
      </c>
      <c r="CO185" s="3" t="n"/>
      <c r="CP185" s="3">
        <f>CN185+SUM(CP182:CP184)</f>
        <v>51.142</v>
      </c>
      <c r="CQ185" s="3">
        <f>CP185+SUM(CQ182:CQ184)</f>
        <v>51.142</v>
      </c>
      <c r="CR185" s="3">
        <f>CQ185+SUM(CR182:CR184)</f>
        <v>51.142</v>
      </c>
      <c r="CS185" s="3">
        <f>CR185+SUM(CS182:CS184)</f>
        <v>51.142</v>
      </c>
      <c r="CT185" s="3" t="n"/>
      <c r="CU185" s="3">
        <f>CS185+SUM(CU182:CU184)</f>
        <v>51.142</v>
      </c>
      <c r="CV185" s="3">
        <f>CU185+SUM(CV182:CV184)</f>
        <v>51.142</v>
      </c>
      <c r="CW185" s="3">
        <f>CV185+SUM(CW182:CW184)</f>
        <v>51.142</v>
      </c>
      <c r="CX185" s="3">
        <f>CW185+SUM(CX182:CX184)</f>
        <v>51.142</v>
      </c>
      <c r="CY185" s="3" t="n"/>
      <c r="CZ185">
        <f>CX185+SUM(CZ182:CZ184)</f>
        <v>51.142</v>
      </c>
      <c r="DA185">
        <f>CZ185+SUM(DA182:DA184)</f>
        <v>51.142</v>
      </c>
      <c r="DB185">
        <f>DA185+SUM(DB182:DB184)</f>
        <v>51.142</v>
      </c>
      <c r="DC185">
        <f>DB185+SUM(DC182:DC184)</f>
        <v>51.142</v>
      </c>
    </row>
    <row r="186" hidden="1" outlineLevel="1">
      <c r="C186" s="34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inlineStr">
        <is>
          <t>Capital expenditures (% Net Revenues)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40">
        <f>AF182/AF15</f>
        <v>0.0068746192017412</v>
      </c>
      <c r="AG187" s="40">
        <f>AG182/AG15</f>
        <v>0.00638586634426191</v>
      </c>
      <c r="AH187" s="40">
        <f>AH182/AH15</f>
        <v>0.00838350683473782</v>
      </c>
      <c r="AI187" s="40">
        <f>AI182/AI15</f>
        <v>0.00787888753893602</v>
      </c>
      <c r="AJ187" s="40">
        <f>AJ182/AJ15</f>
        <v>0</v>
      </c>
      <c r="AK187" s="40">
        <f>AK182/AK15</f>
        <v>0</v>
      </c>
      <c r="AL187" s="40">
        <f>AL182/AL15</f>
        <v>0</v>
      </c>
      <c r="AM187" s="40">
        <f>AM182/AM15</f>
        <v>0</v>
      </c>
      <c r="AN187" s="40">
        <f>AN182/AN15</f>
        <v>0</v>
      </c>
      <c r="AO187" s="40">
        <f>AO182/AO15</f>
        <v>0</v>
      </c>
      <c r="AP187" s="40">
        <f>AP182/AP15</f>
        <v>0</v>
      </c>
      <c r="AQ187" s="40">
        <f>AQ182/AQ15</f>
        <v>0</v>
      </c>
      <c r="AR187" s="40">
        <f>AR182/AR15</f>
        <v>0</v>
      </c>
      <c r="AS187" s="40">
        <f>AS182/AS15</f>
        <v>0</v>
      </c>
      <c r="AT187" s="40">
        <f>AT182/AT15</f>
        <v>0</v>
      </c>
      <c r="AU187" s="40">
        <f>AU182/AU15</f>
        <v>0</v>
      </c>
      <c r="AV187" s="40">
        <f>AV182/AV15</f>
        <v>0</v>
      </c>
      <c r="AW187" s="40">
        <f>AW182/AW15</f>
        <v>0</v>
      </c>
      <c r="AX187" s="40">
        <f>AX182/AX15</f>
        <v>0</v>
      </c>
      <c r="AY187" s="40">
        <f>AY182/AY15</f>
        <v>0</v>
      </c>
      <c r="AZ187" s="40">
        <f>AZ182/AZ15</f>
        <v>0</v>
      </c>
      <c r="BA187" s="40">
        <f>BA182/BA15</f>
        <v>0</v>
      </c>
      <c r="BB187" s="40">
        <f>BB182/BB15</f>
        <v>0</v>
      </c>
      <c r="BC187" s="40">
        <f>BC182/BC15</f>
        <v>0</v>
      </c>
      <c r="BD187" s="40">
        <f>BD182/BD15</f>
        <v>0</v>
      </c>
      <c r="BE187" s="40">
        <f>BE182/BE15</f>
        <v>0</v>
      </c>
      <c r="BF187" s="40">
        <f>BF182/BF15</f>
        <v>0</v>
      </c>
      <c r="BG187" s="40">
        <f>BG182/BG15</f>
        <v>0</v>
      </c>
      <c r="BH187" s="40">
        <f>BH182/BH15</f>
        <v>0</v>
      </c>
      <c r="BI187" s="40">
        <f>BI182/BI15</f>
        <v>0</v>
      </c>
      <c r="BJ187" s="40">
        <f>BJ182/BJ15</f>
        <v>0</v>
      </c>
      <c r="BK187" s="40">
        <f>BK182/BK15</f>
        <v>0</v>
      </c>
      <c r="BL187" s="40">
        <f>BL182/BL15</f>
        <v>0</v>
      </c>
      <c r="BM187" s="40">
        <f>BM182/BM15</f>
        <v>0</v>
      </c>
      <c r="BN187" s="40">
        <f>BN182/BN15</f>
        <v>0</v>
      </c>
      <c r="BO187" s="40">
        <f>BO182/BO15</f>
        <v>0</v>
      </c>
      <c r="BP187" s="40">
        <f>BP182/BP15</f>
        <v>0</v>
      </c>
      <c r="BQ187" s="40">
        <f>BQ182/BQ15</f>
        <v>0</v>
      </c>
      <c r="BR187" s="40">
        <f>BR182/BR15</f>
        <v>0</v>
      </c>
      <c r="BS187" s="40">
        <f>BS182/BS15</f>
        <v>0</v>
      </c>
      <c r="BT187" s="40">
        <f>BT182/BT15</f>
        <v>0</v>
      </c>
      <c r="BU187" s="40">
        <f>BU182/BU15</f>
        <v>0</v>
      </c>
      <c r="BV187" s="40">
        <f>BV182/BV15</f>
        <v>0</v>
      </c>
      <c r="BW187" s="40">
        <f>BW182/BW15</f>
        <v>0</v>
      </c>
      <c r="BX187" s="40">
        <f>BX182/BX15</f>
        <v>0</v>
      </c>
      <c r="BY187" s="40">
        <f>BY182/BY15</f>
        <v>0</v>
      </c>
      <c r="BZ187" s="40">
        <f>BZ182/BZ15</f>
        <v>0</v>
      </c>
      <c r="CA187" s="40">
        <f>CA182/CA15</f>
        <v>0</v>
      </c>
      <c r="CB187" s="40">
        <f>CB182/CB15</f>
        <v>0</v>
      </c>
      <c r="CC187" s="40">
        <f>CC182/CC15</f>
        <v>0</v>
      </c>
      <c r="CD187" s="40">
        <f>CD182/CD15</f>
        <v>0</v>
      </c>
      <c r="CE187" s="40">
        <f>CE182/CE15</f>
        <v>0</v>
      </c>
      <c r="CF187" s="40">
        <f>CF182/CF15</f>
        <v>0</v>
      </c>
      <c r="CG187" s="40">
        <f>CG182/CG15</f>
        <v>0</v>
      </c>
      <c r="CH187" s="40">
        <f>CH182/CH15</f>
        <v>0</v>
      </c>
      <c r="CI187" s="40">
        <f>CI182/CI15</f>
        <v>0</v>
      </c>
      <c r="CJ187" s="40">
        <f>CJ182/CJ15</f>
        <v>0</v>
      </c>
      <c r="CK187" s="40">
        <f>CK182/CK15</f>
        <v>0</v>
      </c>
      <c r="CL187" s="40">
        <f>CL182/CL15</f>
        <v>0</v>
      </c>
      <c r="CM187" s="40">
        <f>CM182/CM15</f>
        <v>0</v>
      </c>
      <c r="CN187" s="40">
        <f>CN182/CN15</f>
        <v>0</v>
      </c>
      <c r="CO187" s="40">
        <f>CO182/CO15</f>
        <v>0</v>
      </c>
      <c r="CP187" s="40">
        <f>CP182/CP15</f>
        <v>0</v>
      </c>
      <c r="CQ187" s="40">
        <f>CQ182/CQ15</f>
        <v>0</v>
      </c>
      <c r="CR187" s="40">
        <f>CR182/CR15</f>
        <v>0</v>
      </c>
      <c r="CS187" s="40">
        <f>CS182/CS15</f>
        <v>0</v>
      </c>
      <c r="CT187" s="40">
        <f>CT182/CT15</f>
        <v>0</v>
      </c>
      <c r="CU187" s="40">
        <f>CU182/CU15</f>
        <v>0</v>
      </c>
      <c r="CV187" s="40">
        <f>CV182/CV15</f>
        <v>0</v>
      </c>
      <c r="CW187" s="40">
        <f>CW182/CW15</f>
        <v>0</v>
      </c>
      <c r="CX187" s="40">
        <f>CX182/CX15</f>
        <v>0</v>
      </c>
      <c r="CY187" s="40">
        <f>CY182/CY15</f>
        <v>0</v>
      </c>
    </row>
    <row r="188" hidden="1" outlineLevel="1">
      <c r="C188" s="34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34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collapsed="1">
      <c r="C190" s="26" t="inlineStr">
        <is>
          <t>Right-of-use-assets</t>
        </is>
      </c>
      <c r="D190" s="25" t="n"/>
      <c r="E190" s="25" t="n"/>
      <c r="F190" s="25" t="n"/>
      <c r="G190" s="25" t="n"/>
      <c r="H190" s="3">
        <f>G190</f>
        <v>0</v>
      </c>
      <c r="I190" s="25" t="n"/>
      <c r="J190" s="25" t="n"/>
      <c r="K190" s="25" t="n"/>
      <c r="L190" s="25" t="n"/>
      <c r="M190" s="3">
        <f>L190</f>
        <v>0</v>
      </c>
      <c r="N190" s="25" t="n"/>
      <c r="O190" s="25" t="n"/>
      <c r="P190" s="25" t="n"/>
      <c r="Q190" s="25" t="n"/>
      <c r="R190" s="3">
        <f>Q190</f>
        <v>0</v>
      </c>
      <c r="S190" s="25" t="n"/>
      <c r="T190" s="25" t="n"/>
      <c r="U190" s="25" t="n"/>
      <c r="V190" s="25" t="n"/>
      <c r="W190" s="3">
        <f>V190</f>
        <v>0</v>
      </c>
      <c r="X190" s="25" t="n"/>
      <c r="Y190" s="25" t="n"/>
      <c r="Z190" s="25" t="n"/>
      <c r="AA190" s="25" t="n"/>
      <c r="AB190" s="3">
        <f>AA190</f>
        <v>0</v>
      </c>
      <c r="AC190" s="25" t="n"/>
      <c r="AD190" s="25" t="n"/>
      <c r="AE190" s="25" t="n"/>
      <c r="AF190" s="25" t="n"/>
      <c r="AG190" s="3">
        <f>AF190</f>
        <v>0</v>
      </c>
      <c r="AH190" s="3">
        <f>AG190</f>
        <v>0</v>
      </c>
      <c r="AI190" s="3">
        <f>AH190</f>
        <v>0</v>
      </c>
      <c r="AJ190" s="3">
        <f>AI190</f>
        <v>0</v>
      </c>
      <c r="AK190" s="3">
        <f>AJ190</f>
        <v>0</v>
      </c>
      <c r="AL190" s="3">
        <f>AK190</f>
        <v>0</v>
      </c>
      <c r="AM190" s="3">
        <f>AL190</f>
        <v>0</v>
      </c>
      <c r="AN190" s="3">
        <f>AM190</f>
        <v>0</v>
      </c>
      <c r="AO190" s="3">
        <f>AN190</f>
        <v>0</v>
      </c>
      <c r="AP190" s="3">
        <f>AO190</f>
        <v>0</v>
      </c>
      <c r="AQ190" s="3">
        <f>AP190</f>
        <v>0</v>
      </c>
      <c r="AR190" s="3">
        <f>AQ190</f>
        <v>0</v>
      </c>
      <c r="AS190" s="3">
        <f>AR190</f>
        <v>0</v>
      </c>
      <c r="AT190" s="3">
        <f>AS190</f>
        <v>0</v>
      </c>
      <c r="AU190" s="3">
        <f>AT190</f>
        <v>0</v>
      </c>
      <c r="AV190" s="3">
        <f>AU190</f>
        <v>0</v>
      </c>
      <c r="AW190" s="3">
        <f>AV190</f>
        <v>0</v>
      </c>
      <c r="AX190" s="3">
        <f>AW190</f>
        <v>0</v>
      </c>
      <c r="AY190" s="3">
        <f>AX190</f>
        <v>0</v>
      </c>
      <c r="AZ190" s="3">
        <f>AY190</f>
        <v>0</v>
      </c>
      <c r="BA190" s="3">
        <f>AZ190</f>
        <v>0</v>
      </c>
      <c r="BB190" s="3">
        <f>BA190</f>
        <v>0</v>
      </c>
      <c r="BC190" s="3">
        <f>BB190</f>
        <v>0</v>
      </c>
      <c r="BD190" s="3">
        <f>BC190</f>
        <v>0</v>
      </c>
      <c r="BE190" s="3">
        <f>BD190</f>
        <v>0</v>
      </c>
      <c r="BF190" s="3">
        <f>BE190</f>
        <v>0</v>
      </c>
      <c r="BG190" s="3">
        <f>BF190</f>
        <v>0</v>
      </c>
      <c r="BH190" s="3">
        <f>BG190</f>
        <v>0</v>
      </c>
      <c r="BI190" s="3">
        <f>BH190</f>
        <v>0</v>
      </c>
      <c r="BJ190" s="3">
        <f>BI190</f>
        <v>0</v>
      </c>
      <c r="BK190" s="3">
        <f>BJ190</f>
        <v>0</v>
      </c>
      <c r="BL190" s="3">
        <f>BK190</f>
        <v>0</v>
      </c>
      <c r="BM190" s="3">
        <f>BL190</f>
        <v>0</v>
      </c>
      <c r="BN190" s="3">
        <f>BM190</f>
        <v>0</v>
      </c>
      <c r="BO190" s="3">
        <f>BN190</f>
        <v>0</v>
      </c>
      <c r="BP190" s="3">
        <f>BO190</f>
        <v>0</v>
      </c>
      <c r="BQ190" s="3">
        <f>BP190</f>
        <v>0</v>
      </c>
      <c r="BR190" s="3">
        <f>BQ190</f>
        <v>0</v>
      </c>
      <c r="BS190" s="3">
        <f>BR190</f>
        <v>0</v>
      </c>
      <c r="BT190" s="3">
        <f>BS190</f>
        <v>0</v>
      </c>
      <c r="BU190" s="3">
        <f>BT190</f>
        <v>0</v>
      </c>
      <c r="BV190" s="3">
        <f>BU190</f>
        <v>0</v>
      </c>
      <c r="BW190" s="3">
        <f>BV190</f>
        <v>0</v>
      </c>
      <c r="BX190" s="3">
        <f>BW190</f>
        <v>0</v>
      </c>
      <c r="BY190" s="3">
        <f>BX190</f>
        <v>0</v>
      </c>
      <c r="BZ190" s="3">
        <f>BY190</f>
        <v>0</v>
      </c>
      <c r="CA190" s="3">
        <f>BZ190</f>
        <v>0</v>
      </c>
      <c r="CB190" s="3">
        <f>CA190</f>
        <v>0</v>
      </c>
      <c r="CC190" s="3">
        <f>CB190</f>
        <v>0</v>
      </c>
      <c r="CD190" s="3">
        <f>CC190</f>
        <v>0</v>
      </c>
      <c r="CE190" s="3">
        <f>CD190</f>
        <v>0</v>
      </c>
      <c r="CF190" s="3">
        <f>CE190</f>
        <v>0</v>
      </c>
      <c r="CG190" s="3">
        <f>CF190</f>
        <v>0</v>
      </c>
      <c r="CH190" s="3">
        <f>CG190</f>
        <v>0</v>
      </c>
      <c r="CI190" s="3">
        <f>CH190</f>
        <v>0</v>
      </c>
      <c r="CJ190" s="3">
        <f>CI190</f>
        <v>0</v>
      </c>
      <c r="CK190" s="3">
        <f>CJ190</f>
        <v>0</v>
      </c>
      <c r="CL190" s="3">
        <f>CK190</f>
        <v>0</v>
      </c>
      <c r="CM190" s="3">
        <f>CL190</f>
        <v>0</v>
      </c>
      <c r="CN190" s="3">
        <f>CM190</f>
        <v>0</v>
      </c>
      <c r="CO190" s="3">
        <f>CN190</f>
        <v>0</v>
      </c>
      <c r="CP190" s="3">
        <f>CO190</f>
        <v>0</v>
      </c>
      <c r="CQ190" s="3">
        <f>CP190</f>
        <v>0</v>
      </c>
      <c r="CR190" s="3">
        <f>CQ190</f>
        <v>0</v>
      </c>
      <c r="CS190" s="3">
        <f>CR190</f>
        <v>0</v>
      </c>
      <c r="CT190" s="3">
        <f>CS190</f>
        <v>0</v>
      </c>
      <c r="CU190" s="3">
        <f>CT190</f>
        <v>0</v>
      </c>
      <c r="CV190" s="3">
        <f>CU190</f>
        <v>0</v>
      </c>
      <c r="CW190" s="3">
        <f>CV190</f>
        <v>0</v>
      </c>
      <c r="CX190" s="3">
        <f>CW190</f>
        <v>0</v>
      </c>
      <c r="CY190" s="3">
        <f>CX190</f>
        <v>0</v>
      </c>
    </row>
    <row r="191" hidden="1" outlineLevel="1">
      <c r="C191" s="38" t="inlineStr">
        <is>
          <t>%(Var.)</t>
        </is>
      </c>
      <c r="D191" s="3" t="n"/>
      <c r="E191" s="47">
        <f>IFERROR((E190-D190)/D190,0)</f>
        <v>0</v>
      </c>
      <c r="F191" s="47">
        <f>IFERROR((F190-E190)/E190,0)</f>
        <v>0</v>
      </c>
      <c r="G191" s="47">
        <f>IFERROR((G190-F190)/F190,0)</f>
        <v>0</v>
      </c>
      <c r="H191" s="3" t="n"/>
      <c r="I191" s="47">
        <f>IFERROR((I190-H190)/H190,0)</f>
        <v>0</v>
      </c>
      <c r="J191" s="47">
        <f>IFERROR((J190-I190)/I190,0)</f>
        <v>0</v>
      </c>
      <c r="K191" s="47">
        <f>IFERROR((K190-J190)/J190,0)</f>
        <v>0</v>
      </c>
      <c r="L191" s="47">
        <f>IFERROR((L190-K190)/K190,0)</f>
        <v>0</v>
      </c>
      <c r="M191" s="3" t="n"/>
      <c r="N191" s="47">
        <f>IFERROR((N190-M190)/M190,0)</f>
        <v>0</v>
      </c>
      <c r="O191" s="47">
        <f>IFERROR((O190-N190)/N190,0)</f>
        <v>0</v>
      </c>
      <c r="P191" s="47">
        <f>IFERROR((P190-O190)/O190,0)</f>
        <v>0</v>
      </c>
      <c r="Q191" s="47">
        <f>IFERROR((Q190-P190)/P190,0)</f>
        <v>0</v>
      </c>
      <c r="R191" s="3" t="n"/>
      <c r="S191" s="47">
        <f>IFERROR((S190-R190)/R190,0)</f>
        <v>0</v>
      </c>
      <c r="T191" s="47">
        <f>IFERROR((T190-S190)/S190,0)</f>
        <v>0</v>
      </c>
      <c r="U191" s="47">
        <f>IFERROR((U190-T190)/T190,0)</f>
        <v>0</v>
      </c>
      <c r="V191" s="47">
        <f>IFERROR((V190-U190)/U190,0)</f>
        <v>0</v>
      </c>
      <c r="W191" s="3" t="n"/>
      <c r="X191" s="47">
        <f>IFERROR((X190-W190)/W190,0)</f>
        <v>0</v>
      </c>
      <c r="Y191" s="47">
        <f>IFERROR((Y190-X190)/X190,0)</f>
        <v>0</v>
      </c>
      <c r="Z191" s="47">
        <f>IFERROR((Z190-Y190)/Y190,0)</f>
        <v>0</v>
      </c>
      <c r="AA191" s="47">
        <f>IFERROR((AA190-Z190)/Z190,0)</f>
        <v>0</v>
      </c>
      <c r="AB191" s="3" t="n"/>
      <c r="AC191" s="47">
        <f>IFERROR((AC190-AB190)/AB190,0)</f>
        <v>0</v>
      </c>
      <c r="AD191" s="47">
        <f>IFERROR((AD190-AC190)/AC190,0)</f>
        <v>0</v>
      </c>
      <c r="AE191" s="47">
        <f>IFERROR((AE190-AD190)/AD190,0)</f>
        <v>0</v>
      </c>
      <c r="AF191" s="218">
        <f>IFERROR((AF190-AE190)/AE190,0)</f>
        <v>0</v>
      </c>
      <c r="AG191" s="3" t="n"/>
      <c r="AH191" s="218">
        <f>IFERROR((AH190-AG190)/AG190,0)</f>
        <v>0</v>
      </c>
      <c r="AI191" s="218">
        <f>IFERROR((AI190-AH190)/AH190,0)</f>
        <v>0</v>
      </c>
      <c r="AJ191" s="218" t="n"/>
      <c r="AK191" s="218" t="n"/>
      <c r="AL191" s="3" t="n"/>
      <c r="AM191" s="218" t="n"/>
      <c r="AN191" s="218" t="n"/>
      <c r="AO191" s="218" t="n"/>
      <c r="AP191" s="218" t="n"/>
      <c r="AQ191" s="3" t="n"/>
      <c r="AR191" s="218" t="n"/>
      <c r="AS191" s="218" t="n"/>
      <c r="AT191" s="218" t="n"/>
      <c r="AU191" s="218" t="n"/>
      <c r="AV191" s="3" t="n"/>
      <c r="AW191" s="218" t="n"/>
      <c r="AX191" s="218" t="n"/>
      <c r="AY191" s="218" t="n"/>
      <c r="AZ191" s="218" t="n"/>
      <c r="BA191" s="3" t="n"/>
      <c r="BB191" s="218" t="n"/>
      <c r="BC191" s="218" t="n"/>
      <c r="BD191" s="218" t="n"/>
      <c r="BE191" s="218" t="n"/>
      <c r="BF191" s="3" t="n"/>
      <c r="BG191" s="218" t="n"/>
      <c r="BH191" s="218" t="n"/>
      <c r="BI191" s="218" t="n"/>
      <c r="BJ191" s="218" t="n"/>
      <c r="BK191" s="3" t="n"/>
      <c r="BL191" s="218" t="n"/>
      <c r="BM191" s="218" t="n"/>
      <c r="BN191" s="218" t="n"/>
      <c r="BO191" s="218" t="n"/>
      <c r="BP191" s="3" t="n"/>
      <c r="BQ191" s="218" t="n"/>
      <c r="BR191" s="218" t="n"/>
      <c r="BS191" s="218" t="n"/>
      <c r="BT191" s="218" t="n"/>
      <c r="BU191" s="3" t="n"/>
      <c r="BV191" s="218" t="n"/>
      <c r="BW191" s="218" t="n"/>
      <c r="BX191" s="218" t="n"/>
      <c r="BY191" s="218" t="n"/>
      <c r="BZ191" s="3" t="n"/>
      <c r="CA191" s="218" t="n"/>
      <c r="CB191" s="218" t="n"/>
      <c r="CC191" s="218" t="n"/>
      <c r="CD191" s="218" t="n"/>
      <c r="CE191" s="3" t="n"/>
      <c r="CF191" s="218" t="n"/>
      <c r="CG191" s="218" t="n"/>
      <c r="CH191" s="218" t="n"/>
      <c r="CI191" s="218" t="n"/>
      <c r="CJ191" s="3" t="n"/>
      <c r="CK191" s="218" t="n"/>
      <c r="CL191" s="218" t="n"/>
      <c r="CM191" s="218" t="n"/>
      <c r="CN191" s="218" t="n"/>
      <c r="CO191" s="3" t="n"/>
      <c r="CP191" s="218" t="n"/>
      <c r="CQ191" s="218" t="n"/>
      <c r="CR191" s="218" t="n"/>
      <c r="CS191" s="218" t="n"/>
      <c r="CT191" s="3" t="n"/>
      <c r="CU191" s="218" t="n"/>
      <c r="CV191" s="218" t="n"/>
      <c r="CW191" s="218" t="n"/>
      <c r="CX191" s="218" t="n"/>
      <c r="CY191" s="3" t="n"/>
    </row>
    <row r="192" hidden="1" outlineLevel="1">
      <c r="C192" s="34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  <c r="BZ192" s="3" t="n"/>
      <c r="CA192" s="3" t="n"/>
      <c r="CB192" s="3" t="n"/>
      <c r="CC192" s="3" t="n"/>
      <c r="CD192" s="3" t="n"/>
      <c r="CE192" s="3" t="n"/>
      <c r="CF192" s="3" t="n"/>
      <c r="CG192" s="3" t="n"/>
      <c r="CH192" s="3" t="n"/>
      <c r="CI192" s="3" t="n"/>
      <c r="CJ192" s="3" t="n"/>
      <c r="CK192" s="3" t="n"/>
      <c r="CL192" s="3" t="n"/>
      <c r="CM192" s="3" t="n"/>
      <c r="CN192" s="3" t="n"/>
      <c r="CO192" s="3" t="n"/>
      <c r="CP192" s="3" t="n"/>
      <c r="CQ192" s="3" t="n"/>
      <c r="CR192" s="3" t="n"/>
      <c r="CS192" s="3" t="n"/>
      <c r="CT192" s="3" t="n"/>
      <c r="CU192" s="3" t="n"/>
      <c r="CV192" s="3" t="n"/>
      <c r="CW192" s="3" t="n"/>
      <c r="CX192" s="3" t="n"/>
      <c r="CY192" s="3" t="n"/>
    </row>
    <row r="193" collapsed="1">
      <c r="C193" s="26" t="inlineStr">
        <is>
          <t>Goodwill</t>
        </is>
      </c>
      <c r="D193" s="25" t="n"/>
      <c r="E193" s="25" t="n"/>
      <c r="F193" s="25" t="n"/>
      <c r="G193" s="25" t="n"/>
      <c r="H193" s="3">
        <f>G193</f>
        <v>0</v>
      </c>
      <c r="I193" s="25" t="n"/>
      <c r="J193" s="25" t="n"/>
      <c r="K193" s="25" t="n"/>
      <c r="L193" s="25" t="n"/>
      <c r="M193" s="3">
        <f>L193</f>
        <v>0</v>
      </c>
      <c r="N193" s="25" t="n"/>
      <c r="O193" s="25" t="n"/>
      <c r="P193" s="25" t="n"/>
      <c r="Q193" s="25" t="n"/>
      <c r="R193" s="3">
        <f>Q193</f>
        <v>0</v>
      </c>
      <c r="S193" s="25" t="n"/>
      <c r="T193" s="25" t="n"/>
      <c r="U193" s="25" t="n"/>
      <c r="V193" s="25" t="n"/>
      <c r="W193" s="3">
        <f>V193</f>
        <v>0</v>
      </c>
      <c r="X193" s="25" t="n"/>
      <c r="Y193" s="25" t="n"/>
      <c r="Z193" s="25" t="n"/>
      <c r="AA193" s="25" t="n"/>
      <c r="AB193" s="3">
        <f>AA193</f>
        <v>0</v>
      </c>
      <c r="AC193" s="25" t="n"/>
      <c r="AD193" s="25" t="n"/>
      <c r="AE193" s="25" t="n"/>
      <c r="AF193" s="25" t="n"/>
      <c r="AG193" s="3">
        <f>AF193</f>
        <v>0</v>
      </c>
      <c r="AH193" s="3">
        <f>AG193</f>
        <v>0</v>
      </c>
      <c r="AI193" s="3">
        <f>AH193</f>
        <v>0</v>
      </c>
      <c r="AJ193" s="3">
        <f>AI193</f>
        <v>0</v>
      </c>
      <c r="AK193" s="3">
        <f>AJ193</f>
        <v>0</v>
      </c>
      <c r="AL193" s="3">
        <f>AK193</f>
        <v>0</v>
      </c>
      <c r="AM193" s="3">
        <f>AL193</f>
        <v>0</v>
      </c>
      <c r="AN193" s="3">
        <f>AM193</f>
        <v>0</v>
      </c>
      <c r="AO193" s="3">
        <f>AN193</f>
        <v>0</v>
      </c>
      <c r="AP193" s="3">
        <f>AO193</f>
        <v>0</v>
      </c>
      <c r="AQ193" s="3">
        <f>AP193</f>
        <v>0</v>
      </c>
      <c r="AR193" s="3">
        <f>AQ193</f>
        <v>0</v>
      </c>
      <c r="AS193" s="3">
        <f>AR193</f>
        <v>0</v>
      </c>
      <c r="AT193" s="3">
        <f>AS193</f>
        <v>0</v>
      </c>
      <c r="AU193" s="3">
        <f>AT193</f>
        <v>0</v>
      </c>
      <c r="AV193" s="3">
        <f>AU193</f>
        <v>0</v>
      </c>
      <c r="AW193" s="3">
        <f>AV193</f>
        <v>0</v>
      </c>
      <c r="AX193" s="3">
        <f>AW193</f>
        <v>0</v>
      </c>
      <c r="AY193" s="3">
        <f>AX193</f>
        <v>0</v>
      </c>
      <c r="AZ193" s="3">
        <f>AY193</f>
        <v>0</v>
      </c>
      <c r="BA193" s="3">
        <f>AZ193</f>
        <v>0</v>
      </c>
      <c r="BB193" s="3">
        <f>BA193</f>
        <v>0</v>
      </c>
      <c r="BC193" s="3">
        <f>BB193</f>
        <v>0</v>
      </c>
      <c r="BD193" s="3">
        <f>BC193</f>
        <v>0</v>
      </c>
      <c r="BE193" s="3">
        <f>BD193</f>
        <v>0</v>
      </c>
      <c r="BF193" s="3">
        <f>BE193</f>
        <v>0</v>
      </c>
      <c r="BG193" s="3">
        <f>BF193</f>
        <v>0</v>
      </c>
      <c r="BH193" s="3">
        <f>BG193</f>
        <v>0</v>
      </c>
      <c r="BI193" s="3">
        <f>BH193</f>
        <v>0</v>
      </c>
      <c r="BJ193" s="3">
        <f>BI193</f>
        <v>0</v>
      </c>
      <c r="BK193" s="3">
        <f>BJ193</f>
        <v>0</v>
      </c>
      <c r="BL193" s="3">
        <f>BK193</f>
        <v>0</v>
      </c>
      <c r="BM193" s="3">
        <f>BL193</f>
        <v>0</v>
      </c>
      <c r="BN193" s="3">
        <f>BM193</f>
        <v>0</v>
      </c>
      <c r="BO193" s="3">
        <f>BN193</f>
        <v>0</v>
      </c>
      <c r="BP193" s="3">
        <f>BO193</f>
        <v>0</v>
      </c>
      <c r="BQ193" s="3">
        <f>BP193</f>
        <v>0</v>
      </c>
      <c r="BR193" s="3">
        <f>BQ193</f>
        <v>0</v>
      </c>
      <c r="BS193" s="3">
        <f>BR193</f>
        <v>0</v>
      </c>
      <c r="BT193" s="3">
        <f>BS193</f>
        <v>0</v>
      </c>
      <c r="BU193" s="3">
        <f>BT193</f>
        <v>0</v>
      </c>
      <c r="BV193" s="3">
        <f>BU193</f>
        <v>0</v>
      </c>
      <c r="BW193" s="3">
        <f>BV193</f>
        <v>0</v>
      </c>
      <c r="BX193" s="3">
        <f>BW193</f>
        <v>0</v>
      </c>
      <c r="BY193" s="3">
        <f>BX193</f>
        <v>0</v>
      </c>
      <c r="BZ193" s="3">
        <f>BY193</f>
        <v>0</v>
      </c>
      <c r="CA193" s="3">
        <f>BZ193</f>
        <v>0</v>
      </c>
      <c r="CB193" s="3">
        <f>CA193</f>
        <v>0</v>
      </c>
      <c r="CC193" s="3">
        <f>CB193</f>
        <v>0</v>
      </c>
      <c r="CD193" s="3">
        <f>CC193</f>
        <v>0</v>
      </c>
      <c r="CE193" s="3">
        <f>CD193</f>
        <v>0</v>
      </c>
      <c r="CF193" s="3">
        <f>CE193</f>
        <v>0</v>
      </c>
      <c r="CG193" s="3">
        <f>CF193</f>
        <v>0</v>
      </c>
      <c r="CH193" s="3">
        <f>CG193</f>
        <v>0</v>
      </c>
      <c r="CI193" s="3">
        <f>CH193</f>
        <v>0</v>
      </c>
      <c r="CJ193" s="3">
        <f>CI193</f>
        <v>0</v>
      </c>
      <c r="CK193" s="3">
        <f>CJ193</f>
        <v>0</v>
      </c>
      <c r="CL193" s="3">
        <f>CK193</f>
        <v>0</v>
      </c>
      <c r="CM193" s="3">
        <f>CL193</f>
        <v>0</v>
      </c>
      <c r="CN193" s="3">
        <f>CM193</f>
        <v>0</v>
      </c>
      <c r="CO193" s="3">
        <f>CN193</f>
        <v>0</v>
      </c>
      <c r="CP193" s="3">
        <f>CO193</f>
        <v>0</v>
      </c>
      <c r="CQ193" s="3">
        <f>CP193</f>
        <v>0</v>
      </c>
      <c r="CR193" s="3">
        <f>CQ193</f>
        <v>0</v>
      </c>
      <c r="CS193" s="3">
        <f>CR193</f>
        <v>0</v>
      </c>
      <c r="CT193" s="3">
        <f>CS193</f>
        <v>0</v>
      </c>
      <c r="CU193" s="3">
        <f>CT193</f>
        <v>0</v>
      </c>
      <c r="CV193" s="3">
        <f>CU193</f>
        <v>0</v>
      </c>
      <c r="CW193" s="3">
        <f>CV193</f>
        <v>0</v>
      </c>
      <c r="CX193" s="3">
        <f>CW193</f>
        <v>0</v>
      </c>
      <c r="CY193" s="3">
        <f>CX193</f>
        <v>0</v>
      </c>
    </row>
    <row r="194">
      <c r="C194" s="26" t="inlineStr">
        <is>
          <t>Intangibles</t>
        </is>
      </c>
      <c r="D194" s="25">
        <f>INDEX('Inputs (2)'!$D$25:$AL$25,MATCH(D$7,'Inputs (2)'!$D$2:$AL$2,0))</f>
        <v>0</v>
      </c>
      <c r="E194" s="25">
        <f>INDEX('Inputs (2)'!$D$25:$AL$25,MATCH(E$7,'Inputs (2)'!$D$2:$AL$2,0))</f>
        <v>0</v>
      </c>
      <c r="F194" s="25">
        <f>INDEX('Inputs (2)'!$D$25:$AL$25,MATCH(F$7,'Inputs (2)'!$D$2:$AL$2,0))</f>
        <v>0</v>
      </c>
      <c r="G194" s="25">
        <f>INDEX('Inputs (2)'!$D$25:$AL$25,MATCH(G$7,'Inputs (2)'!$D$2:$AL$2,0))</f>
        <v>0</v>
      </c>
      <c r="H194" s="3">
        <f>G194</f>
        <v>0</v>
      </c>
      <c r="I194" s="25">
        <f>INDEX('Inputs (2)'!$D$25:$AL$25,MATCH(I$7,'Inputs (2)'!$D$2:$AL$2,0))</f>
        <v>0</v>
      </c>
      <c r="J194" s="25">
        <f>INDEX('Inputs (2)'!$D$25:$AL$25,MATCH(J$7,'Inputs (2)'!$D$2:$AL$2,0))</f>
        <v>0</v>
      </c>
      <c r="K194" s="25">
        <f>INDEX('Inputs (2)'!$D$25:$AL$25,MATCH(K$7,'Inputs (2)'!$D$2:$AL$2,0))</f>
        <v>0</v>
      </c>
      <c r="L194" s="25">
        <f>INDEX('Inputs (2)'!$D$25:$AL$25,MATCH(L$7,'Inputs (2)'!$D$2:$AL$2,0))</f>
        <v>0</v>
      </c>
      <c r="M194" s="3">
        <f>L194</f>
        <v>0</v>
      </c>
      <c r="N194" s="25">
        <f>INDEX('Inputs (2)'!$D$25:$AL$25,MATCH(N$7,'Inputs (2)'!$D$2:$AL$2,0))</f>
        <v>0</v>
      </c>
      <c r="O194" s="25">
        <f>INDEX('Inputs (2)'!$D$25:$AL$25,MATCH(O$7,'Inputs (2)'!$D$2:$AL$2,0))</f>
        <v>0</v>
      </c>
      <c r="P194" s="25">
        <f>INDEX('Inputs (2)'!$D$25:$AL$25,MATCH(P$7,'Inputs (2)'!$D$2:$AL$2,0))</f>
        <v>0</v>
      </c>
      <c r="Q194" s="25">
        <f>INDEX('Inputs (2)'!$D$25:$AL$25,MATCH(Q$7,'Inputs (2)'!$D$2:$AL$2,0))</f>
        <v>0</v>
      </c>
      <c r="R194" s="3">
        <f>Q194</f>
        <v>0</v>
      </c>
      <c r="S194" s="25">
        <f>INDEX('Inputs (2)'!$D$25:$AL$25,MATCH(S$7,'Inputs (2)'!$D$2:$AL$2,0))</f>
        <v>0</v>
      </c>
      <c r="T194" s="25">
        <f>INDEX('Inputs (2)'!$D$25:$AL$25,MATCH(T$7,'Inputs (2)'!$D$2:$AL$2,0))</f>
        <v>0</v>
      </c>
      <c r="U194" s="25">
        <f>INDEX('Inputs (2)'!$D$25:$AL$25,MATCH(U$7,'Inputs (2)'!$D$2:$AL$2,0))</f>
        <v>0</v>
      </c>
      <c r="V194" s="25">
        <f>INDEX('Inputs (2)'!$D$25:$AL$25,MATCH(V$7,'Inputs (2)'!$D$2:$AL$2,0))</f>
        <v>0</v>
      </c>
      <c r="W194" s="3">
        <f>V194</f>
        <v>0</v>
      </c>
      <c r="X194" s="25">
        <f>INDEX('Inputs (2)'!$D$25:$AL$25,MATCH(X$7,'Inputs (2)'!$D$2:$AL$2,0))</f>
        <v>0</v>
      </c>
      <c r="Y194" s="25">
        <f>INDEX('Inputs (2)'!$D$25:$AL$25,MATCH(Y$7,'Inputs (2)'!$D$2:$AL$2,0))</f>
        <v>0</v>
      </c>
      <c r="Z194" s="25">
        <f>INDEX('Inputs (2)'!$D$25:$AL$25,MATCH(Z$7,'Inputs (2)'!$D$2:$AL$2,0))</f>
        <v>0</v>
      </c>
      <c r="AA194" s="25">
        <f>INDEX('Inputs (2)'!$D$25:$AL$25,MATCH(AA$7,'Inputs (2)'!$D$2:$AL$2,0))</f>
        <v>0</v>
      </c>
      <c r="AB194" s="3">
        <f>AA194</f>
        <v>0</v>
      </c>
      <c r="AC194" s="25">
        <f>INDEX('Inputs (2)'!$D$25:$AL$25,MATCH(AC$7,'Inputs (2)'!$D$2:$AL$2,0))</f>
        <v>0</v>
      </c>
      <c r="AD194" s="25">
        <f>INDEX('Inputs (2)'!$D$25:$AL$25,MATCH(AD$7,'Inputs (2)'!$D$2:$AL$2,0))</f>
        <v>0</v>
      </c>
      <c r="AE194" s="25">
        <f>INDEX('Inputs (2)'!$D$25:$AL$25,MATCH(AE$7,'Inputs (2)'!$D$2:$AL$2,0))</f>
        <v>0</v>
      </c>
      <c r="AF194" s="25">
        <f>INDEX('Inputs (2)'!$D$25:$AL$25,MATCH(AF$7,'Inputs (2)'!$D$2:$AL$2,0))</f>
        <v>0</v>
      </c>
      <c r="AG194" s="3">
        <f>AF194</f>
        <v>0</v>
      </c>
      <c r="AH194" s="3">
        <f>INDEX('Inputs (2)'!$D$25:$AL$25,MATCH(AH$7,'Inputs (2)'!$D$2:$AL$2,0))</f>
        <v>0</v>
      </c>
      <c r="AI194" s="3">
        <f>INDEX('Inputs (2)'!$D$25:$AL$25,MATCH(AI$7,'Inputs (2)'!$D$2:$AL$2,0))</f>
        <v>0</v>
      </c>
      <c r="AJ194" s="3" t="n"/>
      <c r="AK194" s="3" t="n"/>
      <c r="AL194" s="3">
        <f>AK194</f>
        <v>0</v>
      </c>
      <c r="AN194" s="3" t="n"/>
      <c r="AO194" s="3" t="n"/>
      <c r="AP194" s="3" t="n"/>
      <c r="AQ194" s="3">
        <f>AP194</f>
        <v>0</v>
      </c>
      <c r="AS194" s="3" t="n"/>
      <c r="AT194" s="3" t="n"/>
      <c r="AU194" s="3" t="n"/>
      <c r="AV194" s="3">
        <f>AU194</f>
        <v>0</v>
      </c>
      <c r="AX194" s="3" t="n"/>
      <c r="AY194" s="3" t="n"/>
      <c r="AZ194" s="3" t="n"/>
      <c r="BA194" s="3">
        <f>AZ194</f>
        <v>0</v>
      </c>
      <c r="BC194" s="3" t="n"/>
      <c r="BD194" s="3" t="n"/>
      <c r="BE194" s="3" t="n"/>
      <c r="BF194" s="3">
        <f>BE194</f>
        <v>0</v>
      </c>
      <c r="BH194" s="3" t="n"/>
      <c r="BI194" s="3" t="n"/>
      <c r="BJ194" s="3" t="n"/>
      <c r="BK194" s="3">
        <f>BJ194</f>
        <v>0</v>
      </c>
      <c r="BM194" s="3" t="n"/>
      <c r="BN194" s="3" t="n"/>
      <c r="BO194" s="3" t="n"/>
      <c r="BP194" s="3">
        <f>BO194</f>
        <v>0</v>
      </c>
      <c r="BR194" s="3" t="n"/>
      <c r="BS194" s="3" t="n"/>
      <c r="BT194" s="3" t="n"/>
      <c r="BU194" s="3">
        <f>BT194</f>
        <v>0</v>
      </c>
      <c r="BW194" s="3" t="n"/>
      <c r="BX194" s="3" t="n"/>
      <c r="BY194" s="3" t="n"/>
      <c r="BZ194" s="3">
        <f>BY194</f>
        <v>0</v>
      </c>
      <c r="CB194" s="3" t="n"/>
      <c r="CC194" s="3" t="n"/>
      <c r="CD194" s="3" t="n"/>
      <c r="CE194" s="3">
        <f>CD194</f>
        <v>0</v>
      </c>
      <c r="CG194" s="3" t="n"/>
      <c r="CH194" s="3" t="n"/>
      <c r="CI194" s="3" t="n"/>
      <c r="CJ194" s="3">
        <f>CI194</f>
        <v>0</v>
      </c>
      <c r="CL194" s="3" t="n"/>
      <c r="CM194" s="3" t="n"/>
      <c r="CN194" s="3" t="n"/>
      <c r="CO194" s="3">
        <f>CN194</f>
        <v>0</v>
      </c>
      <c r="CQ194" s="3" t="n"/>
      <c r="CR194" s="3" t="n"/>
      <c r="CS194" s="3" t="n"/>
      <c r="CT194" s="3">
        <f>CS194</f>
        <v>0</v>
      </c>
      <c r="CV194" s="3" t="n"/>
      <c r="CW194" s="3" t="n"/>
      <c r="CX194" s="3" t="n"/>
      <c r="CY194" s="3">
        <f>CX194</f>
        <v>0</v>
      </c>
    </row>
    <row r="195" hidden="1" outlineLevel="1">
      <c r="C195" s="34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hidden="1" outlineLevel="1">
      <c r="C196" s="34" t="inlineStr">
        <is>
          <t>Purchase of intangible assets</t>
        </is>
      </c>
      <c r="D196" s="3" t="n"/>
      <c r="E196" s="3">
        <f>E194-D194-E98</f>
        <v>0</v>
      </c>
      <c r="F196" s="3">
        <f>F194-E194-F98</f>
        <v>0</v>
      </c>
      <c r="G196" s="3">
        <f>G194-F194-G98</f>
        <v>0</v>
      </c>
      <c r="H196" s="3" t="n"/>
      <c r="I196" s="3">
        <f>I194-H194-I98</f>
        <v>0</v>
      </c>
      <c r="J196" s="3">
        <f>J194-I194-J98</f>
        <v>0</v>
      </c>
      <c r="K196" s="3">
        <f>K194-J194-K98</f>
        <v>0</v>
      </c>
      <c r="L196" s="3">
        <f>L194-K194-L98</f>
        <v>0</v>
      </c>
      <c r="M196" s="3" t="n"/>
      <c r="N196" s="3">
        <f>N194-M194-N98</f>
        <v>0</v>
      </c>
      <c r="O196" s="3">
        <f>O194-N194-O98</f>
        <v>0</v>
      </c>
      <c r="P196" s="3">
        <f>P194-O194-P98</f>
        <v>0</v>
      </c>
      <c r="Q196" s="3">
        <f>Q194-P194-Q98</f>
        <v>0</v>
      </c>
      <c r="R196" s="3" t="n"/>
      <c r="S196" s="3">
        <f>S194-R194-S98</f>
        <v>0</v>
      </c>
      <c r="T196" s="3">
        <f>T194-S194-T98</f>
        <v>0</v>
      </c>
      <c r="U196" s="3">
        <f>U194-T194-U98</f>
        <v>0</v>
      </c>
      <c r="V196" s="3">
        <f>V194-U194-V98</f>
        <v>0</v>
      </c>
      <c r="W196" s="3" t="n"/>
      <c r="X196" s="3">
        <f>X194-W194-X98</f>
        <v>0</v>
      </c>
      <c r="Y196" s="3">
        <f>Y194-X194-Y98</f>
        <v>0</v>
      </c>
      <c r="Z196" s="3">
        <f>Z194-Y194-Z98</f>
        <v>0</v>
      </c>
      <c r="AA196" s="3">
        <f>AA194-Z194-AA98</f>
        <v>0</v>
      </c>
      <c r="AB196" s="3" t="n"/>
      <c r="AC196" s="3">
        <f>AC194-AB194-AC98</f>
        <v>0</v>
      </c>
      <c r="AD196" s="3">
        <f>AD194-AC194-AD98</f>
        <v>0</v>
      </c>
      <c r="AE196" s="3">
        <f>AE194-AD194-AE98</f>
        <v>0</v>
      </c>
      <c r="AF196" s="3" t="n"/>
      <c r="AG196" s="3" t="n"/>
      <c r="AH196" s="6">
        <f>AH194-AG194-AH98</f>
        <v>0</v>
      </c>
      <c r="AI196" s="6">
        <f>AI194-AH194-AI98</f>
        <v>0</v>
      </c>
      <c r="AJ196" s="6" t="n"/>
      <c r="AK196" s="6" t="n"/>
      <c r="AL196" s="3" t="n"/>
      <c r="AM196" s="6" t="n"/>
      <c r="AN196" s="6" t="n"/>
      <c r="AO196" s="6" t="n"/>
      <c r="AP196" s="6" t="n"/>
      <c r="AQ196" s="3" t="n"/>
      <c r="AR196" s="6" t="n"/>
      <c r="AS196" s="6" t="n"/>
      <c r="AT196" s="6" t="n"/>
      <c r="AU196" s="6" t="n"/>
      <c r="AV196" s="3" t="n"/>
      <c r="AW196" s="6" t="n"/>
      <c r="AX196" s="6" t="n"/>
      <c r="AY196" s="6" t="n"/>
      <c r="AZ196" s="6" t="n"/>
      <c r="BA196" s="3" t="n"/>
      <c r="BB196" s="6" t="n"/>
      <c r="BC196" s="6" t="n"/>
      <c r="BD196" s="6" t="n"/>
      <c r="BE196" s="6" t="n"/>
      <c r="BF196" s="3" t="n"/>
      <c r="BG196" s="6" t="n"/>
      <c r="BH196" s="6" t="n"/>
      <c r="BI196" s="6" t="n"/>
      <c r="BJ196" s="6" t="n"/>
      <c r="BK196" s="3" t="n"/>
      <c r="BL196" s="6" t="n"/>
      <c r="BM196" s="6" t="n"/>
      <c r="BN196" s="6" t="n"/>
      <c r="BO196" s="6" t="n"/>
      <c r="BP196" s="3" t="n"/>
      <c r="BQ196" s="6" t="n"/>
      <c r="BR196" s="6" t="n"/>
      <c r="BS196" s="6" t="n"/>
      <c r="BT196" s="6" t="n"/>
      <c r="BU196" s="3" t="n"/>
      <c r="BV196" s="6" t="n"/>
      <c r="BW196" s="6" t="n"/>
      <c r="BX196" s="6" t="n"/>
      <c r="BY196" s="6" t="n"/>
      <c r="BZ196" s="3" t="n"/>
      <c r="CA196" s="6" t="n"/>
      <c r="CB196" s="6" t="n"/>
      <c r="CC196" s="6" t="n"/>
      <c r="CD196" s="6" t="n"/>
      <c r="CE196" s="3" t="n"/>
      <c r="CF196" s="6" t="n"/>
      <c r="CG196" s="6" t="n"/>
      <c r="CH196" s="6" t="n"/>
      <c r="CI196" s="6" t="n"/>
      <c r="CJ196" s="3" t="n"/>
      <c r="CK196" s="6" t="n"/>
      <c r="CL196" s="6" t="n"/>
      <c r="CM196" s="6" t="n"/>
      <c r="CN196" s="6" t="n"/>
      <c r="CO196" s="3" t="n"/>
      <c r="CP196" s="6" t="n"/>
      <c r="CQ196" s="6" t="n"/>
      <c r="CR196" s="6" t="n"/>
      <c r="CS196" s="6" t="n"/>
      <c r="CT196" s="3" t="n"/>
      <c r="CU196" s="6" t="n"/>
      <c r="CV196" s="6" t="n"/>
      <c r="CW196" s="6" t="n"/>
      <c r="CX196" s="6" t="n"/>
      <c r="CY196" s="3" t="n"/>
    </row>
    <row r="197" hidden="1" outlineLevel="1">
      <c r="C197" s="34" t="inlineStr">
        <is>
          <t>Amortization (enter as -)</t>
        </is>
      </c>
      <c r="D197" s="3" t="n"/>
      <c r="E197" s="3">
        <f>E97</f>
        <v>0</v>
      </c>
      <c r="F197" s="3">
        <f>F97</f>
        <v>0</v>
      </c>
      <c r="G197" s="3">
        <f>G97</f>
        <v>0</v>
      </c>
      <c r="H197" s="3" t="n"/>
      <c r="I197" s="3">
        <f>I97</f>
        <v>0</v>
      </c>
      <c r="J197" s="3">
        <f>J97</f>
        <v>0</v>
      </c>
      <c r="K197" s="3">
        <f>K97</f>
        <v>0</v>
      </c>
      <c r="L197" s="3">
        <f>L97</f>
        <v>0</v>
      </c>
      <c r="M197" s="3" t="n"/>
      <c r="N197" s="3">
        <f>N97</f>
        <v>0</v>
      </c>
      <c r="O197" s="3">
        <f>O97</f>
        <v>0</v>
      </c>
      <c r="P197" s="3">
        <f>P97</f>
        <v>0</v>
      </c>
      <c r="Q197" s="3">
        <f>Q97</f>
        <v>0</v>
      </c>
      <c r="R197" s="3" t="n"/>
      <c r="S197" s="3">
        <f>S97</f>
        <v>0</v>
      </c>
      <c r="T197" s="3">
        <f>T97</f>
        <v>0</v>
      </c>
      <c r="U197" s="3">
        <f>U97</f>
        <v>0</v>
      </c>
      <c r="V197" s="3">
        <f>V97</f>
        <v>0</v>
      </c>
      <c r="W197" s="3" t="n"/>
      <c r="X197" s="3">
        <f>X97</f>
        <v>0</v>
      </c>
      <c r="Y197" s="3">
        <f>Y97</f>
        <v>0</v>
      </c>
      <c r="Z197" s="3">
        <f>Z97</f>
        <v>0</v>
      </c>
      <c r="AA197" s="3">
        <f>AA97</f>
        <v>0</v>
      </c>
      <c r="AB197" s="3" t="n"/>
      <c r="AC197" s="3">
        <f>AC97</f>
        <v>0</v>
      </c>
      <c r="AD197" s="3">
        <f>AD97</f>
        <v>0</v>
      </c>
      <c r="AE197" s="3">
        <f>AE97</f>
        <v>0</v>
      </c>
      <c r="AF197" s="3" t="n"/>
      <c r="AG197" s="3" t="n"/>
      <c r="AH197" s="3">
        <f>AH97</f>
        <v>0</v>
      </c>
      <c r="AI197" s="6">
        <f>AI97</f>
        <v>0</v>
      </c>
      <c r="AJ197" s="6" t="n"/>
      <c r="AK197" s="6" t="n"/>
      <c r="AL197" s="3" t="n"/>
      <c r="AM197" s="6" t="n"/>
      <c r="AN197" s="6" t="n"/>
      <c r="AO197" s="6" t="n"/>
      <c r="AP197" s="6" t="n"/>
      <c r="AQ197" s="3" t="n"/>
      <c r="AR197" s="6" t="n"/>
      <c r="AS197" s="6" t="n"/>
      <c r="AT197" s="6" t="n"/>
      <c r="AU197" s="6" t="n"/>
      <c r="AV197" s="3" t="n"/>
      <c r="AW197" s="6" t="n"/>
      <c r="AX197" s="6" t="n"/>
      <c r="AY197" s="6" t="n"/>
      <c r="AZ197" s="6" t="n"/>
      <c r="BA197" s="3" t="n"/>
      <c r="BB197" s="6" t="n"/>
      <c r="BC197" s="6" t="n"/>
      <c r="BD197" s="6" t="n"/>
      <c r="BE197" s="6" t="n"/>
      <c r="BF197" s="3" t="n"/>
      <c r="BG197" s="6" t="n"/>
      <c r="BH197" s="6" t="n"/>
      <c r="BI197" s="6" t="n"/>
      <c r="BJ197" s="6" t="n"/>
      <c r="BK197" s="3" t="n"/>
      <c r="BL197" s="6" t="n"/>
      <c r="BM197" s="6" t="n"/>
      <c r="BN197" s="6" t="n"/>
      <c r="BO197" s="6" t="n"/>
      <c r="BP197" s="3" t="n"/>
      <c r="BQ197" s="6" t="n"/>
      <c r="BR197" s="6" t="n"/>
      <c r="BS197" s="6" t="n"/>
      <c r="BT197" s="6" t="n"/>
      <c r="BU197" s="3" t="n"/>
      <c r="BV197" s="6" t="n"/>
      <c r="BW197" s="6" t="n"/>
      <c r="BX197" s="6" t="n"/>
      <c r="BY197" s="6" t="n"/>
      <c r="BZ197" s="3" t="n"/>
      <c r="CA197" s="6" t="n"/>
      <c r="CB197" s="6" t="n"/>
      <c r="CC197" s="6" t="n"/>
      <c r="CD197" s="6" t="n"/>
      <c r="CE197" s="3" t="n"/>
      <c r="CF197" s="6" t="n"/>
      <c r="CG197" s="6" t="n"/>
      <c r="CH197" s="6" t="n"/>
      <c r="CI197" s="6" t="n"/>
      <c r="CJ197" s="3" t="n"/>
      <c r="CK197" s="6" t="n"/>
      <c r="CL197" s="6" t="n"/>
      <c r="CM197" s="6" t="n"/>
      <c r="CN197" s="6" t="n"/>
      <c r="CO197" s="3" t="n"/>
      <c r="CP197" s="6" t="n"/>
      <c r="CQ197" s="6" t="n"/>
      <c r="CR197" s="6" t="n"/>
      <c r="CS197" s="6" t="n"/>
      <c r="CT197" s="3" t="n"/>
      <c r="CU197" s="6" t="n"/>
      <c r="CV197" s="6" t="n"/>
      <c r="CW197" s="6" t="n"/>
      <c r="CX197" s="6" t="n"/>
      <c r="CY197" s="3" t="n"/>
    </row>
    <row r="198" hidden="1" outlineLevel="1">
      <c r="C198" s="34" t="inlineStr">
        <is>
          <t>Intangibles</t>
        </is>
      </c>
      <c r="D198" s="3" t="n"/>
      <c r="E198" s="3">
        <f>E194</f>
        <v>0</v>
      </c>
      <c r="F198" s="3">
        <f>F194</f>
        <v>0</v>
      </c>
      <c r="G198" s="3">
        <f>G194</f>
        <v>0</v>
      </c>
      <c r="H198" s="3" t="n"/>
      <c r="I198" s="3">
        <f>I194</f>
        <v>0</v>
      </c>
      <c r="J198" s="3">
        <f>J194</f>
        <v>0</v>
      </c>
      <c r="K198" s="3">
        <f>K194</f>
        <v>0</v>
      </c>
      <c r="L198" s="3">
        <f>L194</f>
        <v>0</v>
      </c>
      <c r="M198" s="3" t="n"/>
      <c r="N198" s="3">
        <f>N194</f>
        <v>0</v>
      </c>
      <c r="O198" s="3">
        <f>O194</f>
        <v>0</v>
      </c>
      <c r="P198" s="3">
        <f>P194</f>
        <v>0</v>
      </c>
      <c r="Q198" s="3">
        <f>Q194</f>
        <v>0</v>
      </c>
      <c r="R198" s="3" t="n"/>
      <c r="S198" s="3">
        <f>S194</f>
        <v>0</v>
      </c>
      <c r="T198" s="3">
        <f>T194</f>
        <v>0</v>
      </c>
      <c r="U198" s="3">
        <f>U194</f>
        <v>0</v>
      </c>
      <c r="V198" s="3">
        <f>V194</f>
        <v>0</v>
      </c>
      <c r="W198" s="3" t="n"/>
      <c r="X198" s="3">
        <f>X194</f>
        <v>0</v>
      </c>
      <c r="Y198" s="3">
        <f>Y194</f>
        <v>0</v>
      </c>
      <c r="Z198" s="3">
        <f>Z194</f>
        <v>0</v>
      </c>
      <c r="AA198" s="3">
        <f>AA194</f>
        <v>0</v>
      </c>
      <c r="AB198" s="3" t="n"/>
      <c r="AC198" s="3">
        <f>AC194</f>
        <v>0</v>
      </c>
      <c r="AD198" s="3">
        <f>AD194</f>
        <v>0</v>
      </c>
      <c r="AE198" s="3">
        <f>AE194</f>
        <v>0</v>
      </c>
      <c r="AF198" s="3">
        <f>AF194</f>
        <v>0</v>
      </c>
      <c r="AG198" s="3" t="n"/>
      <c r="AH198" s="3">
        <f>AH194</f>
        <v>0</v>
      </c>
      <c r="AI198" s="3">
        <f>AI194</f>
        <v>0</v>
      </c>
      <c r="AJ198" s="3">
        <f>AI198+SUM(AJ196:AJ197)</f>
        <v>0</v>
      </c>
      <c r="AK198" s="3">
        <f>AJ198+SUM(AK196:AK197)</f>
        <v>0</v>
      </c>
      <c r="AL198" s="3" t="n"/>
      <c r="AM198" s="3">
        <f>AK198+SUM(AM196:AM197)</f>
        <v>0</v>
      </c>
      <c r="AN198" s="3">
        <f>AM198+SUM(AN196:AN197)</f>
        <v>0</v>
      </c>
      <c r="AO198" s="3">
        <f>AN198+SUM(AO196:AO197)</f>
        <v>0</v>
      </c>
      <c r="AP198" s="3">
        <f>AO198+SUM(AP196:AP197)</f>
        <v>0</v>
      </c>
      <c r="AQ198" s="3" t="n"/>
      <c r="AR198" s="3">
        <f>AP198+SUM(AR196:AR197)</f>
        <v>0</v>
      </c>
      <c r="AS198" s="3">
        <f>AR198+SUM(AS196:AS197)</f>
        <v>0</v>
      </c>
      <c r="AT198" s="3">
        <f>AS198+SUM(AT196:AT197)</f>
        <v>0</v>
      </c>
      <c r="AU198" s="3">
        <f>AT198+SUM(AU196:AU197)</f>
        <v>0</v>
      </c>
      <c r="AV198" s="3" t="n"/>
      <c r="AW198" s="3">
        <f>AU198+SUM(AW196:AW197)</f>
        <v>0</v>
      </c>
      <c r="AX198" s="3">
        <f>AW198+SUM(AX196:AX197)</f>
        <v>0</v>
      </c>
      <c r="AY198" s="3">
        <f>AX198+SUM(AY196:AY197)</f>
        <v>0</v>
      </c>
      <c r="AZ198" s="3">
        <f>AY198+SUM(AZ196:AZ197)</f>
        <v>0</v>
      </c>
      <c r="BA198" s="3" t="n"/>
      <c r="BB198" s="3">
        <f>AZ198+SUM(BB196:BB197)</f>
        <v>0</v>
      </c>
      <c r="BC198" s="3">
        <f>BB198+SUM(BC196:BC197)</f>
        <v>0</v>
      </c>
      <c r="BD198" s="3">
        <f>BC198+SUM(BD196:BD197)</f>
        <v>0</v>
      </c>
      <c r="BE198" s="3">
        <f>BD198+SUM(BE196:BE197)</f>
        <v>0</v>
      </c>
      <c r="BF198" s="3" t="n"/>
      <c r="BG198" s="3">
        <f>BE198+SUM(BG196:BG197)</f>
        <v>0</v>
      </c>
      <c r="BH198" s="3">
        <f>BG198+SUM(BH196:BH197)</f>
        <v>0</v>
      </c>
      <c r="BI198" s="3">
        <f>BH198+SUM(BI196:BI197)</f>
        <v>0</v>
      </c>
      <c r="BJ198" s="3">
        <f>BI198+SUM(BJ196:BJ197)</f>
        <v>0</v>
      </c>
      <c r="BK198" s="3" t="n"/>
      <c r="BL198" s="3">
        <f>BJ198+SUM(BL196:BL197)</f>
        <v>0</v>
      </c>
      <c r="BM198" s="3">
        <f>BL198+SUM(BM196:BM197)</f>
        <v>0</v>
      </c>
      <c r="BN198" s="3">
        <f>BM198+SUM(BN196:BN197)</f>
        <v>0</v>
      </c>
      <c r="BO198" s="3">
        <f>BN198+SUM(BO196:BO197)</f>
        <v>0</v>
      </c>
      <c r="BP198" s="3" t="n"/>
      <c r="BQ198" s="3">
        <f>BO198+SUM(BQ196:BQ197)</f>
        <v>0</v>
      </c>
      <c r="BR198" s="3">
        <f>BQ198+SUM(BR196:BR197)</f>
        <v>0</v>
      </c>
      <c r="BS198" s="3">
        <f>BR198+SUM(BS196:BS197)</f>
        <v>0</v>
      </c>
      <c r="BT198" s="3">
        <f>BS198+SUM(BT196:BT197)</f>
        <v>0</v>
      </c>
      <c r="BU198" s="3" t="n"/>
      <c r="BV198" s="3">
        <f>BT198+SUM(BV196:BV197)</f>
        <v>0</v>
      </c>
      <c r="BW198" s="3">
        <f>BV198+SUM(BW196:BW197)</f>
        <v>0</v>
      </c>
      <c r="BX198" s="3">
        <f>BW198+SUM(BX196:BX197)</f>
        <v>0</v>
      </c>
      <c r="BY198" s="3">
        <f>BX198+SUM(BY196:BY197)</f>
        <v>0</v>
      </c>
      <c r="BZ198" s="3" t="n"/>
      <c r="CA198" s="3">
        <f>BY198+SUM(CA196:CA197)</f>
        <v>0</v>
      </c>
      <c r="CB198" s="3">
        <f>CA198+SUM(CB196:CB197)</f>
        <v>0</v>
      </c>
      <c r="CC198" s="3">
        <f>CB198+SUM(CC196:CC197)</f>
        <v>0</v>
      </c>
      <c r="CD198" s="3">
        <f>CC198+SUM(CD196:CD197)</f>
        <v>0</v>
      </c>
      <c r="CE198" s="3" t="n"/>
      <c r="CF198" s="3">
        <f>CD198+SUM(CF196:CF197)</f>
        <v>0</v>
      </c>
      <c r="CG198" s="3">
        <f>CF198+SUM(CG196:CG197)</f>
        <v>0</v>
      </c>
      <c r="CH198" s="3">
        <f>CG198+SUM(CH196:CH197)</f>
        <v>0</v>
      </c>
      <c r="CI198" s="3">
        <f>CH198+SUM(CI196:CI197)</f>
        <v>0</v>
      </c>
      <c r="CJ198" s="3" t="n"/>
      <c r="CK198" s="3">
        <f>CI198+SUM(CK196:CK197)</f>
        <v>0</v>
      </c>
      <c r="CL198" s="3">
        <f>CK198+SUM(CL196:CL197)</f>
        <v>0</v>
      </c>
      <c r="CM198" s="3">
        <f>CL198+SUM(CM196:CM197)</f>
        <v>0</v>
      </c>
      <c r="CN198" s="3">
        <f>CM198+SUM(CN196:CN197)</f>
        <v>0</v>
      </c>
      <c r="CO198" s="3" t="n"/>
      <c r="CP198" s="3">
        <f>CN198+SUM(CP196:CP197)</f>
        <v>0</v>
      </c>
      <c r="CQ198" s="3">
        <f>CP198+SUM(CQ196:CQ197)</f>
        <v>0</v>
      </c>
      <c r="CR198" s="3">
        <f>CQ198+SUM(CR196:CR197)</f>
        <v>0</v>
      </c>
      <c r="CS198" s="3">
        <f>CR198+SUM(CS196:CS197)</f>
        <v>0</v>
      </c>
      <c r="CT198" s="3" t="n"/>
      <c r="CU198" s="3">
        <f>CS198+SUM(CU196:CU197)</f>
        <v>0</v>
      </c>
      <c r="CV198" s="3">
        <f>CU198+SUM(CV196:CV197)</f>
        <v>0</v>
      </c>
      <c r="CW198" s="3">
        <f>CV198+SUM(CW196:CW197)</f>
        <v>0</v>
      </c>
      <c r="CX198" s="3">
        <f>CW198+SUM(CX196:CX197)</f>
        <v>0</v>
      </c>
      <c r="CY198" s="3" t="n"/>
      <c r="CZ198">
        <f>CX198+SUM(CZ196:CZ197)</f>
        <v>0</v>
      </c>
      <c r="DA198">
        <f>CZ198+SUM(DA196:DA197)</f>
        <v>0</v>
      </c>
      <c r="DB198">
        <f>DA198+SUM(DB196:DB197)</f>
        <v>0</v>
      </c>
      <c r="DC198">
        <f>DB198+SUM(DC196:DC197)</f>
        <v>0</v>
      </c>
    </row>
    <row r="199" hidden="1" outlineLevel="1">
      <c r="C199" s="34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  <c r="CU199" s="3" t="n"/>
      <c r="CV199" s="3" t="n"/>
      <c r="CW199" s="3" t="n"/>
      <c r="CX199" s="3" t="n"/>
      <c r="CY199" s="3" t="n"/>
    </row>
    <row r="200" hidden="1" outlineLevel="1">
      <c r="C200" s="34" t="inlineStr">
        <is>
          <t>Definir % do D&amp;A No PPE and Intagibles</t>
        </is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</row>
    <row r="201" hidden="1" outlineLevel="1">
      <c r="C201" s="3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  <c r="CU201" s="3" t="n"/>
      <c r="CV201" s="3" t="n"/>
      <c r="CW201" s="3" t="n"/>
      <c r="CX201" s="3" t="n"/>
      <c r="CY201" s="3" t="n"/>
    </row>
    <row r="202" hidden="1" outlineLevel="1">
      <c r="C202" s="3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collapsed="1">
      <c r="C203" s="26" t="inlineStr">
        <is>
          <t>Other non-current assets</t>
        </is>
      </c>
      <c r="D203" s="25">
        <f>INDEX('Inputs (2)'!$D$26:$AL$26,MATCH(D$7,'Inputs (2)'!$D$2:$AL$2,0))</f>
        <v>45.021</v>
      </c>
      <c r="E203" s="25">
        <f>INDEX('Inputs (2)'!$D$26:$AL$26,MATCH(E$7,'Inputs (2)'!$D$2:$AL$2,0))</f>
        <v>44.957</v>
      </c>
      <c r="F203" s="25">
        <f>INDEX('Inputs (2)'!$D$26:$AL$26,MATCH(F$7,'Inputs (2)'!$D$2:$AL$2,0))</f>
        <v>37.129</v>
      </c>
      <c r="G203" s="25">
        <f>INDEX('Inputs (2)'!$D$26:$AL$26,MATCH(G$7,'Inputs (2)'!$D$2:$AL$2,0))</f>
        <v>52.524</v>
      </c>
      <c r="H203" s="3">
        <f>G203</f>
        <v>52.524</v>
      </c>
      <c r="I203" s="25">
        <f>INDEX('Inputs (2)'!$D$26:$AL$26,MATCH(I$7,'Inputs (2)'!$D$2:$AL$2,0))</f>
        <v>51.974</v>
      </c>
      <c r="J203" s="25">
        <f>INDEX('Inputs (2)'!$D$26:$AL$26,MATCH(J$7,'Inputs (2)'!$D$2:$AL$2,0))</f>
        <v>45.259</v>
      </c>
      <c r="K203" s="25">
        <f>INDEX('Inputs (2)'!$D$26:$AL$26,MATCH(K$7,'Inputs (2)'!$D$2:$AL$2,0))</f>
        <v>45.708</v>
      </c>
      <c r="L203" s="25">
        <f>INDEX('Inputs (2)'!$D$26:$AL$26,MATCH(L$7,'Inputs (2)'!$D$2:$AL$2,0))</f>
        <v>103.08</v>
      </c>
      <c r="M203" s="3">
        <f>L203</f>
        <v>103.08</v>
      </c>
      <c r="N203" s="25">
        <f>INDEX('Inputs (2)'!$D$26:$AL$26,MATCH(N$7,'Inputs (2)'!$D$2:$AL$2,0))</f>
        <v>107.896</v>
      </c>
      <c r="O203" s="25">
        <f>INDEX('Inputs (2)'!$D$26:$AL$26,MATCH(O$7,'Inputs (2)'!$D$2:$AL$2,0))</f>
        <v>111.332</v>
      </c>
      <c r="P203" s="25">
        <f>INDEX('Inputs (2)'!$D$26:$AL$26,MATCH(P$7,'Inputs (2)'!$D$2:$AL$2,0))</f>
        <v>111.836</v>
      </c>
      <c r="Q203" s="25">
        <f>INDEX('Inputs (2)'!$D$26:$AL$26,MATCH(Q$7,'Inputs (2)'!$D$2:$AL$2,0))</f>
        <v>110.84</v>
      </c>
      <c r="R203" s="3">
        <f>Q203</f>
        <v>110.84</v>
      </c>
      <c r="S203" s="25">
        <f>INDEX('Inputs (2)'!$D$26:$AL$26,MATCH(S$7,'Inputs (2)'!$D$2:$AL$2,0))</f>
        <v>112.129</v>
      </c>
      <c r="T203" s="25">
        <f>INDEX('Inputs (2)'!$D$26:$AL$26,MATCH(T$7,'Inputs (2)'!$D$2:$AL$2,0))</f>
        <v>118.346</v>
      </c>
      <c r="U203" s="25">
        <f>INDEX('Inputs (2)'!$D$26:$AL$26,MATCH(U$7,'Inputs (2)'!$D$2:$AL$2,0))</f>
        <v>117.918</v>
      </c>
      <c r="V203" s="25">
        <f>INDEX('Inputs (2)'!$D$26:$AL$26,MATCH(V$7,'Inputs (2)'!$D$2:$AL$2,0))</f>
        <v>118.159</v>
      </c>
      <c r="W203" s="3">
        <f>V203</f>
        <v>118.159</v>
      </c>
      <c r="X203" s="25">
        <f>INDEX('Inputs (2)'!$D$26:$AL$26,MATCH(X$7,'Inputs (2)'!$D$2:$AL$2,0))</f>
        <v>124.669</v>
      </c>
      <c r="Y203" s="25">
        <f>INDEX('Inputs (2)'!$D$26:$AL$26,MATCH(Y$7,'Inputs (2)'!$D$2:$AL$2,0))</f>
        <v>57.397</v>
      </c>
      <c r="Z203" s="25">
        <f>INDEX('Inputs (2)'!$D$26:$AL$26,MATCH(Z$7,'Inputs (2)'!$D$2:$AL$2,0))</f>
        <v>56.227</v>
      </c>
      <c r="AA203" s="25">
        <f>INDEX('Inputs (2)'!$D$26:$AL$26,MATCH(AA$7,'Inputs (2)'!$D$2:$AL$2,0))</f>
        <v>52.934</v>
      </c>
      <c r="AB203" s="3">
        <f>AA203</f>
        <v>52.934</v>
      </c>
      <c r="AC203" s="25">
        <f>INDEX('Inputs (2)'!$D$26:$AL$26,MATCH(AC$7,'Inputs (2)'!$D$2:$AL$2,0))</f>
        <v>53.513</v>
      </c>
      <c r="AD203" s="25">
        <f>INDEX('Inputs (2)'!$D$26:$AL$26,MATCH(AD$7,'Inputs (2)'!$D$2:$AL$2,0))</f>
        <v>76.08</v>
      </c>
      <c r="AE203" s="25">
        <f>INDEX('Inputs (2)'!$D$26:$AL$26,MATCH(AE$7,'Inputs (2)'!$D$2:$AL$2,0))</f>
        <v>64.587</v>
      </c>
      <c r="AF203" s="25">
        <f>INDEX('Inputs (2)'!$D$26:$AL$26,MATCH(AF$7,'Inputs (2)'!$D$2:$AL$2,0))</f>
        <v>59.169</v>
      </c>
      <c r="AG203" s="3">
        <f>AF203</f>
        <v>59.169</v>
      </c>
      <c r="AH203" s="3">
        <f>INDEX('Inputs (2)'!$D$26:$AL$26,MATCH(AH$7,'Inputs (2)'!$D$2:$AL$2,0))</f>
        <v>66.113</v>
      </c>
      <c r="AI203" s="3">
        <f>INDEX('Inputs (2)'!$D$26:$AL$26,MATCH(AI$7,'Inputs (2)'!$D$2:$AL$2,0))</f>
        <v>71</v>
      </c>
      <c r="AJ203" s="3">
        <f>AI203</f>
        <v>71</v>
      </c>
      <c r="AK203" s="3">
        <f>AJ203</f>
        <v>71</v>
      </c>
      <c r="AL203" s="3">
        <f>AK203</f>
        <v>71</v>
      </c>
      <c r="AM203" s="3">
        <f>AL203</f>
        <v>71</v>
      </c>
      <c r="AN203" s="3">
        <f>AM203</f>
        <v>71</v>
      </c>
      <c r="AO203" s="3">
        <f>AN203</f>
        <v>71</v>
      </c>
      <c r="AP203" s="3">
        <f>AO203</f>
        <v>71</v>
      </c>
      <c r="AQ203" s="3">
        <f>AP203</f>
        <v>71</v>
      </c>
      <c r="AR203" s="3">
        <f>AQ203</f>
        <v>71</v>
      </c>
      <c r="AS203" s="3">
        <f>AR203</f>
        <v>71</v>
      </c>
      <c r="AT203" s="3">
        <f>AS203</f>
        <v>71</v>
      </c>
      <c r="AU203" s="3">
        <f>AT203</f>
        <v>71</v>
      </c>
      <c r="AV203" s="3">
        <f>AU203</f>
        <v>71</v>
      </c>
      <c r="AW203" s="3">
        <f>AV203</f>
        <v>71</v>
      </c>
      <c r="AX203" s="3">
        <f>AW203</f>
        <v>71</v>
      </c>
      <c r="AY203" s="3">
        <f>AX203</f>
        <v>71</v>
      </c>
      <c r="AZ203" s="3">
        <f>AY203</f>
        <v>71</v>
      </c>
      <c r="BA203" s="3">
        <f>AZ203</f>
        <v>71</v>
      </c>
      <c r="BB203" s="3">
        <f>BA203</f>
        <v>71</v>
      </c>
      <c r="BC203" s="3">
        <f>BB203</f>
        <v>71</v>
      </c>
      <c r="BD203" s="3">
        <f>BC203</f>
        <v>71</v>
      </c>
      <c r="BE203" s="3">
        <f>BD203</f>
        <v>71</v>
      </c>
      <c r="BF203" s="3">
        <f>BE203</f>
        <v>71</v>
      </c>
      <c r="BG203" s="3">
        <f>BF203</f>
        <v>71</v>
      </c>
      <c r="BH203" s="3">
        <f>BG203</f>
        <v>71</v>
      </c>
      <c r="BI203" s="3">
        <f>BH203</f>
        <v>71</v>
      </c>
      <c r="BJ203" s="3">
        <f>BI203</f>
        <v>71</v>
      </c>
      <c r="BK203" s="3">
        <f>BJ203</f>
        <v>71</v>
      </c>
      <c r="BL203" s="3">
        <f>BK203</f>
        <v>71</v>
      </c>
      <c r="BM203" s="3">
        <f>BL203</f>
        <v>71</v>
      </c>
      <c r="BN203" s="3">
        <f>BM203</f>
        <v>71</v>
      </c>
      <c r="BO203" s="3">
        <f>BN203</f>
        <v>71</v>
      </c>
      <c r="BP203" s="3">
        <f>BO203</f>
        <v>71</v>
      </c>
      <c r="BQ203" s="3">
        <f>BP203</f>
        <v>71</v>
      </c>
      <c r="BR203" s="3">
        <f>BQ203</f>
        <v>71</v>
      </c>
      <c r="BS203" s="3">
        <f>BR203</f>
        <v>71</v>
      </c>
      <c r="BT203" s="3">
        <f>BS203</f>
        <v>71</v>
      </c>
      <c r="BU203" s="3">
        <f>BT203</f>
        <v>71</v>
      </c>
      <c r="BV203" s="3">
        <f>BU203</f>
        <v>71</v>
      </c>
      <c r="BW203" s="3">
        <f>BV203</f>
        <v>71</v>
      </c>
      <c r="BX203" s="3">
        <f>BW203</f>
        <v>71</v>
      </c>
      <c r="BY203" s="3">
        <f>BX203</f>
        <v>71</v>
      </c>
      <c r="BZ203" s="3">
        <f>BY203</f>
        <v>71</v>
      </c>
      <c r="CA203" s="3">
        <f>BZ203</f>
        <v>71</v>
      </c>
      <c r="CB203" s="3">
        <f>CA203</f>
        <v>71</v>
      </c>
      <c r="CC203" s="3">
        <f>CB203</f>
        <v>71</v>
      </c>
      <c r="CD203" s="3">
        <f>CC203</f>
        <v>71</v>
      </c>
      <c r="CE203" s="3">
        <f>CD203</f>
        <v>71</v>
      </c>
      <c r="CF203" s="3">
        <f>CE203</f>
        <v>71</v>
      </c>
      <c r="CG203" s="3">
        <f>CF203</f>
        <v>71</v>
      </c>
      <c r="CH203" s="3">
        <f>CG203</f>
        <v>71</v>
      </c>
      <c r="CI203" s="3">
        <f>CH203</f>
        <v>71</v>
      </c>
      <c r="CJ203" s="3">
        <f>CI203</f>
        <v>71</v>
      </c>
      <c r="CK203" s="3">
        <f>CJ203</f>
        <v>71</v>
      </c>
      <c r="CL203" s="3">
        <f>CK203</f>
        <v>71</v>
      </c>
      <c r="CM203" s="3">
        <f>CL203</f>
        <v>71</v>
      </c>
      <c r="CN203" s="3">
        <f>CM203</f>
        <v>71</v>
      </c>
      <c r="CO203" s="3">
        <f>CN203</f>
        <v>71</v>
      </c>
      <c r="CP203" s="3">
        <f>CO203</f>
        <v>71</v>
      </c>
      <c r="CQ203" s="3">
        <f>CP203</f>
        <v>71</v>
      </c>
      <c r="CR203" s="3">
        <f>CQ203</f>
        <v>71</v>
      </c>
      <c r="CS203" s="3">
        <f>CR203</f>
        <v>71</v>
      </c>
      <c r="CT203" s="3">
        <f>CS203</f>
        <v>71</v>
      </c>
      <c r="CU203" s="3">
        <f>CT203</f>
        <v>71</v>
      </c>
      <c r="CV203" s="3">
        <f>CU203</f>
        <v>71</v>
      </c>
      <c r="CW203" s="3">
        <f>CV203</f>
        <v>71</v>
      </c>
      <c r="CX203" s="3">
        <f>CW203</f>
        <v>71</v>
      </c>
      <c r="CY203" s="3">
        <f>CX203</f>
        <v>71</v>
      </c>
    </row>
    <row r="204" hidden="1" outlineLevel="1">
      <c r="C204" s="38" t="inlineStr">
        <is>
          <t>%(Var.)</t>
        </is>
      </c>
      <c r="D204" s="3" t="n"/>
      <c r="E204" s="47">
        <f>(E203-D203)/D203</f>
        <v>-0.00142155882810244</v>
      </c>
      <c r="F204" s="47">
        <f>(F203-E203)/E203</f>
        <v>-0.174121938741464</v>
      </c>
      <c r="G204" s="47">
        <f>(G203-F203)/F203</f>
        <v>0.414635460152441</v>
      </c>
      <c r="H204" s="3" t="n"/>
      <c r="I204" s="47">
        <f>(I203-H203)/H203</f>
        <v>-0.0104714035488539</v>
      </c>
      <c r="J204" s="47">
        <f>(J203-I203)/I203</f>
        <v>-0.129199214992111</v>
      </c>
      <c r="K204" s="47">
        <f>(K203-J203)/J203</f>
        <v>0.00992067876002559</v>
      </c>
      <c r="L204" s="47">
        <f>(L203-K203)/K203</f>
        <v>1.25518508794959</v>
      </c>
      <c r="M204" s="3" t="n"/>
      <c r="N204" s="47">
        <f>(N203-M203)/M203</f>
        <v>0.0467209934031822</v>
      </c>
      <c r="O204" s="47">
        <f>(O203-N203)/N203</f>
        <v>0.0318454808333951</v>
      </c>
      <c r="P204" s="47">
        <f>(P203-O203)/O203</f>
        <v>0.00452700032335708</v>
      </c>
      <c r="Q204" s="47">
        <f>(Q203-P203)/P203</f>
        <v>-0.00890589792195711</v>
      </c>
      <c r="R204" s="3" t="n"/>
      <c r="S204" s="47">
        <f>(S203-R203)/R203</f>
        <v>0.0116293756766509</v>
      </c>
      <c r="T204" s="47">
        <f>(T203-S203)/S203</f>
        <v>0.0554450677344845</v>
      </c>
      <c r="U204" s="47">
        <f>(U203-T203)/T203</f>
        <v>-0.00361651428861134</v>
      </c>
      <c r="V204" s="47">
        <f>(V203-U203)/U203</f>
        <v>0.00204379314438835</v>
      </c>
      <c r="W204" s="3" t="n"/>
      <c r="X204" s="47">
        <f>(X203-W203)/W203</f>
        <v>0.0550952530065422</v>
      </c>
      <c r="Y204" s="47">
        <f>(Y203-X203)/X203</f>
        <v>-0.539604873705572</v>
      </c>
      <c r="Z204" s="47">
        <f>(Z203-Y203)/Y203</f>
        <v>-0.0203843406449815</v>
      </c>
      <c r="AA204" s="47">
        <f>(AA203-Z203)/Z203</f>
        <v>-0.0585661692781049</v>
      </c>
      <c r="AB204" s="3" t="n"/>
      <c r="AC204" s="47">
        <f>(AC203-AB203)/AB203</f>
        <v>0.0109381493935845</v>
      </c>
      <c r="AD204" s="47">
        <f>(AD203-AC203)/AC203</f>
        <v>0.421710612374563</v>
      </c>
      <c r="AE204" s="47">
        <f>(AE203-AD203)/AD203</f>
        <v>-0.151064668769716</v>
      </c>
      <c r="AF204" s="218">
        <f>(AF203-AE203)/AE203</f>
        <v>-0.083886850294951</v>
      </c>
      <c r="AG204" s="3" t="n"/>
      <c r="AH204" s="218">
        <f>(AH203-AG203)/AG203</f>
        <v>0.117358752049215</v>
      </c>
      <c r="AI204" s="218">
        <f>(AI203-AH203)/AH203</f>
        <v>0.0739188964348918</v>
      </c>
      <c r="AJ204" s="218" t="n"/>
      <c r="AK204" s="218" t="n"/>
      <c r="AL204" s="3" t="n"/>
      <c r="AM204" s="218" t="n"/>
      <c r="AN204" s="218" t="n"/>
      <c r="AO204" s="218" t="n"/>
      <c r="AP204" s="218" t="n"/>
      <c r="AQ204" s="3" t="n"/>
      <c r="AR204" s="218" t="n"/>
      <c r="AS204" s="218" t="n"/>
      <c r="AT204" s="218" t="n"/>
      <c r="AU204" s="218" t="n"/>
      <c r="AV204" s="3" t="n"/>
      <c r="AW204" s="218" t="n"/>
      <c r="AX204" s="218" t="n"/>
      <c r="AY204" s="218" t="n"/>
      <c r="AZ204" s="218" t="n"/>
      <c r="BA204" s="3" t="n"/>
      <c r="BB204" s="218" t="n"/>
      <c r="BC204" s="218" t="n"/>
      <c r="BD204" s="218" t="n"/>
      <c r="BE204" s="218" t="n"/>
      <c r="BF204" s="3" t="n"/>
      <c r="BG204" s="218" t="n"/>
      <c r="BH204" s="218" t="n"/>
      <c r="BI204" s="218" t="n"/>
      <c r="BJ204" s="218" t="n"/>
      <c r="BK204" s="3" t="n"/>
      <c r="BL204" s="218" t="n"/>
      <c r="BM204" s="218" t="n"/>
      <c r="BN204" s="218" t="n"/>
      <c r="BO204" s="218" t="n"/>
      <c r="BP204" s="3" t="n"/>
      <c r="BQ204" s="218" t="n"/>
      <c r="BR204" s="218" t="n"/>
      <c r="BS204" s="218" t="n"/>
      <c r="BT204" s="218" t="n"/>
      <c r="BU204" s="3" t="n"/>
      <c r="BV204" s="218" t="n"/>
      <c r="BW204" s="218" t="n"/>
      <c r="BX204" s="218" t="n"/>
      <c r="BY204" s="218" t="n"/>
      <c r="BZ204" s="3" t="n"/>
      <c r="CA204" s="218" t="n"/>
      <c r="CB204" s="218" t="n"/>
      <c r="CC204" s="218" t="n"/>
      <c r="CD204" s="218" t="n"/>
      <c r="CE204" s="3" t="n"/>
      <c r="CF204" s="218" t="n"/>
      <c r="CG204" s="218" t="n"/>
      <c r="CH204" s="218" t="n"/>
      <c r="CI204" s="218" t="n"/>
      <c r="CJ204" s="3" t="n"/>
      <c r="CK204" s="218" t="n"/>
      <c r="CL204" s="218" t="n"/>
      <c r="CM204" s="218" t="n"/>
      <c r="CN204" s="218" t="n"/>
      <c r="CO204" s="3" t="n"/>
      <c r="CP204" s="218" t="n"/>
      <c r="CQ204" s="218" t="n"/>
      <c r="CR204" s="218" t="n"/>
      <c r="CS204" s="218" t="n"/>
      <c r="CT204" s="3" t="n"/>
      <c r="CU204" s="218" t="n"/>
      <c r="CV204" s="218" t="n"/>
      <c r="CW204" s="218" t="n"/>
      <c r="CX204" s="218" t="n"/>
      <c r="CY204" s="3" t="n"/>
    </row>
    <row r="205" hidden="1" outlineLevel="1">
      <c r="C205" s="34" t="n"/>
      <c r="D205" s="3" t="n"/>
      <c r="E205" s="47" t="n"/>
      <c r="F205" s="47" t="n"/>
      <c r="G205" s="47" t="n"/>
      <c r="H205" s="3" t="n"/>
      <c r="I205" s="47" t="n"/>
      <c r="J205" s="47" t="n"/>
      <c r="K205" s="47" t="n"/>
      <c r="L205" s="47" t="n"/>
      <c r="M205" s="3" t="n"/>
      <c r="N205" s="47" t="n"/>
      <c r="O205" s="47" t="n"/>
      <c r="P205" s="47" t="n"/>
      <c r="Q205" s="47" t="n"/>
      <c r="R205" s="3" t="n"/>
      <c r="S205" s="47" t="n"/>
      <c r="T205" s="47" t="n"/>
      <c r="U205" s="47" t="n"/>
      <c r="V205" s="47" t="n"/>
      <c r="W205" s="3" t="n"/>
      <c r="X205" s="47" t="n"/>
      <c r="Y205" s="47" t="n"/>
      <c r="Z205" s="47" t="n"/>
      <c r="AA205" s="47" t="n"/>
      <c r="AB205" s="3" t="n"/>
      <c r="AC205" s="47" t="n"/>
      <c r="AD205" s="47" t="n"/>
      <c r="AE205" s="47" t="n"/>
      <c r="AF205" s="218" t="n"/>
      <c r="AG205" s="3" t="n"/>
      <c r="AH205" s="218" t="n"/>
      <c r="AI205" s="218" t="n"/>
      <c r="AJ205" s="218" t="n"/>
      <c r="AK205" s="218" t="n"/>
      <c r="AL205" s="3" t="n"/>
      <c r="AM205" s="218" t="n"/>
      <c r="AN205" s="218" t="n"/>
      <c r="AO205" s="218" t="n"/>
      <c r="AP205" s="218" t="n"/>
      <c r="AQ205" s="3" t="n"/>
      <c r="AR205" s="218" t="n"/>
      <c r="AS205" s="218" t="n"/>
      <c r="AT205" s="218" t="n"/>
      <c r="AU205" s="218" t="n"/>
      <c r="AV205" s="3" t="n"/>
      <c r="AW205" s="218" t="n"/>
      <c r="AX205" s="218" t="n"/>
      <c r="AY205" s="218" t="n"/>
      <c r="AZ205" s="218" t="n"/>
      <c r="BA205" s="3" t="n"/>
      <c r="BB205" s="218" t="n"/>
      <c r="BC205" s="218" t="n"/>
      <c r="BD205" s="218" t="n"/>
      <c r="BE205" s="218" t="n"/>
      <c r="BF205" s="3" t="n"/>
      <c r="BG205" s="218" t="n"/>
      <c r="BH205" s="218" t="n"/>
      <c r="BI205" s="218" t="n"/>
      <c r="BJ205" s="218" t="n"/>
      <c r="BK205" s="3" t="n"/>
      <c r="BL205" s="218" t="n"/>
      <c r="BM205" s="218" t="n"/>
      <c r="BN205" s="218" t="n"/>
      <c r="BO205" s="218" t="n"/>
      <c r="BP205" s="3" t="n"/>
      <c r="BQ205" s="218" t="n"/>
      <c r="BR205" s="218" t="n"/>
      <c r="BS205" s="218" t="n"/>
      <c r="BT205" s="218" t="n"/>
      <c r="BU205" s="3" t="n"/>
      <c r="BV205" s="218" t="n"/>
      <c r="BW205" s="218" t="n"/>
      <c r="BX205" s="218" t="n"/>
      <c r="BY205" s="218" t="n"/>
      <c r="BZ205" s="3" t="n"/>
      <c r="CA205" s="218" t="n"/>
      <c r="CB205" s="218" t="n"/>
      <c r="CC205" s="218" t="n"/>
      <c r="CD205" s="218" t="n"/>
      <c r="CE205" s="3" t="n"/>
      <c r="CF205" s="218" t="n"/>
      <c r="CG205" s="218" t="n"/>
      <c r="CH205" s="218" t="n"/>
      <c r="CI205" s="218" t="n"/>
      <c r="CJ205" s="3" t="n"/>
      <c r="CK205" s="218" t="n"/>
      <c r="CL205" s="218" t="n"/>
      <c r="CM205" s="218" t="n"/>
      <c r="CN205" s="218" t="n"/>
      <c r="CO205" s="3" t="n"/>
      <c r="CP205" s="218" t="n"/>
      <c r="CQ205" s="218" t="n"/>
      <c r="CR205" s="218" t="n"/>
      <c r="CS205" s="218" t="n"/>
      <c r="CT205" s="3" t="n"/>
      <c r="CU205" s="218" t="n"/>
      <c r="CV205" s="218" t="n"/>
      <c r="CW205" s="218" t="n"/>
      <c r="CX205" s="218" t="n"/>
      <c r="CY205" s="3" t="n"/>
    </row>
    <row r="206" hidden="1" outlineLevel="1">
      <c r="C206" s="52" t="inlineStr">
        <is>
          <t>Outros Créditos - LP</t>
        </is>
      </c>
      <c r="D206" s="6" t="n"/>
      <c r="E206" s="6" t="n"/>
      <c r="F206" s="6" t="n"/>
      <c r="G206" s="6" t="n"/>
      <c r="H206" s="3" t="n"/>
      <c r="I206" s="6" t="n"/>
      <c r="J206" s="6" t="n"/>
      <c r="K206" s="6" t="n"/>
      <c r="L206" s="6" t="n"/>
      <c r="M206" s="3" t="n"/>
      <c r="N206" s="6" t="n"/>
      <c r="O206" s="6" t="n"/>
      <c r="P206" s="6" t="n"/>
      <c r="Q206" s="6" t="n"/>
      <c r="R206" s="3" t="n"/>
      <c r="S206" s="6" t="n"/>
      <c r="T206" s="6" t="n"/>
      <c r="U206" s="6" t="n"/>
      <c r="V206" s="6" t="n"/>
      <c r="W206" s="3" t="n"/>
      <c r="X206" s="6" t="n"/>
      <c r="Y206" s="6" t="n"/>
      <c r="Z206" s="6" t="n"/>
      <c r="AA206" s="6" t="n"/>
      <c r="AB206" s="3" t="n"/>
      <c r="AC206" s="6" t="n"/>
      <c r="AD206" s="6" t="n"/>
      <c r="AE206" s="6" t="n"/>
      <c r="AF206" s="6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  <c r="CU206" s="3" t="n"/>
      <c r="CV206" s="3" t="n"/>
      <c r="CW206" s="3" t="n"/>
      <c r="CX206" s="3" t="n"/>
      <c r="CY206" s="3" t="n"/>
    </row>
    <row r="207" hidden="1" outlineLevel="1">
      <c r="C207" s="52" t="inlineStr">
        <is>
          <t xml:space="preserve">Impostos e Contribuições a Recuperar </t>
        </is>
      </c>
      <c r="D207" s="6" t="n"/>
      <c r="E207" s="6" t="n"/>
      <c r="F207" s="6" t="n"/>
      <c r="G207" s="6" t="n"/>
      <c r="H207" s="3" t="n"/>
      <c r="I207" s="6" t="n"/>
      <c r="J207" s="6" t="n"/>
      <c r="K207" s="6" t="n"/>
      <c r="L207" s="6" t="n"/>
      <c r="M207" s="3" t="n"/>
      <c r="N207" s="6" t="n"/>
      <c r="O207" s="6" t="n"/>
      <c r="P207" s="6" t="n"/>
      <c r="Q207" s="6" t="n"/>
      <c r="R207" s="3" t="n"/>
      <c r="S207" s="6" t="n"/>
      <c r="T207" s="6" t="n"/>
      <c r="U207" s="6" t="n"/>
      <c r="V207" s="6" t="n"/>
      <c r="W207" s="3" t="n"/>
      <c r="X207" s="6" t="n"/>
      <c r="Y207" s="6" t="n"/>
      <c r="Z207" s="6" t="n"/>
      <c r="AA207" s="6" t="n"/>
      <c r="AB207" s="3" t="n"/>
      <c r="AC207" s="6" t="n"/>
      <c r="AD207" s="6" t="n"/>
      <c r="AE207" s="6" t="n"/>
      <c r="AF207" s="6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hidden="1" outlineLevel="1">
      <c r="C208" s="52" t="inlineStr">
        <is>
          <t xml:space="preserve">Imposto de Renda e Contribuição Social Diferidos </t>
        </is>
      </c>
      <c r="D208" s="6" t="n"/>
      <c r="E208" s="6" t="n"/>
      <c r="F208" s="6" t="n"/>
      <c r="G208" s="6" t="n"/>
      <c r="H208" s="3" t="n"/>
      <c r="I208" s="6" t="n"/>
      <c r="J208" s="6" t="n"/>
      <c r="K208" s="6" t="n"/>
      <c r="L208" s="6" t="n"/>
      <c r="M208" s="3" t="n"/>
      <c r="N208" s="6" t="n"/>
      <c r="O208" s="6" t="n"/>
      <c r="P208" s="6" t="n"/>
      <c r="Q208" s="6" t="n"/>
      <c r="R208" s="3" t="n"/>
      <c r="S208" s="6" t="n"/>
      <c r="T208" s="6" t="n"/>
      <c r="U208" s="6" t="n"/>
      <c r="V208" s="6" t="n"/>
      <c r="W208" s="3" t="n"/>
      <c r="X208" s="6" t="n"/>
      <c r="Y208" s="6" t="n"/>
      <c r="Z208" s="6" t="n"/>
      <c r="AA208" s="6" t="n"/>
      <c r="AB208" s="3" t="n"/>
      <c r="AC208" s="6" t="n"/>
      <c r="AD208" s="6" t="n"/>
      <c r="AE208" s="6" t="n"/>
      <c r="AF208" s="6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n"/>
      <c r="CC208" s="3" t="n"/>
      <c r="CD208" s="3" t="n"/>
      <c r="CE208" s="3" t="n"/>
      <c r="CF208" s="3" t="n"/>
      <c r="CG208" s="3" t="n"/>
      <c r="CH208" s="3" t="n"/>
      <c r="CI208" s="3" t="n"/>
      <c r="CJ208" s="3" t="n"/>
      <c r="CK208" s="3" t="n"/>
      <c r="CL208" s="3" t="n"/>
      <c r="CM208" s="3" t="n"/>
      <c r="CN208" s="3" t="n"/>
      <c r="CO208" s="3" t="n"/>
      <c r="CP208" s="3" t="n"/>
      <c r="CQ208" s="3" t="n"/>
      <c r="CR208" s="3" t="n"/>
      <c r="CS208" s="3" t="n"/>
      <c r="CT208" s="3" t="n"/>
      <c r="CU208" s="3" t="n"/>
      <c r="CV208" s="3" t="n"/>
      <c r="CW208" s="3" t="n"/>
      <c r="CX208" s="3" t="n"/>
      <c r="CY208" s="3" t="n"/>
    </row>
    <row r="209" hidden="1" outlineLevel="1">
      <c r="C209" s="52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collapsed="1" customFormat="1" s="17">
      <c r="A211" s="13" t="n"/>
      <c r="B211" s="1" t="n"/>
      <c r="C211" s="14" t="inlineStr">
        <is>
          <t>Total Assets</t>
        </is>
      </c>
      <c r="D211" s="16">
        <f>(D158+D159+D163+D167+D168+D169+D175+D180+D190+D193+D194+D203)</f>
        <v>1263.875</v>
      </c>
      <c r="E211" s="16">
        <f>(E158+E159+E163+E167+E168+E169+E175+E180+E190+E193+E194+E203)</f>
        <v>1430.166</v>
      </c>
      <c r="F211" s="16">
        <f>(F158+F159+F163+F167+F168+F169+F175+F180+F190+F193+F194+F203)</f>
        <v>1795.232</v>
      </c>
      <c r="G211" s="16">
        <f>(G158+G159+G163+G167+G168+G169+G175+G180+G190+G193+G194+G203)</f>
        <v>1644.712</v>
      </c>
      <c r="H211" s="16">
        <f>SUM(H158,H159,H163,H167,H168,H169,H175,H190,H193,H194,H203,H180)</f>
        <v>1644.712</v>
      </c>
      <c r="I211" s="16">
        <f>(I158+I159+I163+I167+I168+I169+I175+I180+I190+I193+I194+I203)</f>
        <v>1918.297</v>
      </c>
      <c r="J211" s="16">
        <f>(J158+J159+J163+J167+J168+J169+J175+J180+J190+J193+J194+J203)</f>
        <v>2032.57</v>
      </c>
      <c r="K211" s="16">
        <f>(K158+K159+K163+K167+K168+K169+K175+K180+K190+K193+K194+K203)</f>
        <v>2177.211</v>
      </c>
      <c r="L211" s="16">
        <f>(L158+L159+L163+L167+L168+L169+L175+L180+L190+L193+L194+L203)</f>
        <v>2597.922</v>
      </c>
      <c r="M211" s="16">
        <f>SUM(M158,M159,M163,M167,M168,M169,M175,M190,M193,M194,M203,M180)</f>
        <v>2597.922</v>
      </c>
      <c r="N211" s="16">
        <f>(N158+N159+N163+N167+N168+N169+N175+N180+N190+N193+N194+N203)</f>
        <v>2933.909</v>
      </c>
      <c r="O211" s="16">
        <f>(O158+O159+O163+O167+O168+O169+O175+O180+O190+O193+O194+O203)</f>
        <v>2917.631</v>
      </c>
      <c r="P211" s="16">
        <f>(P158+P159+P163+P167+P168+P169+P175+P180+P190+P193+P194+P203)</f>
        <v>2784.853</v>
      </c>
      <c r="Q211" s="16">
        <f>(Q158+Q159+Q163+Q167+Q168+Q169+Q175+Q180+Q190+Q193+Q194+Q203)</f>
        <v>2798.431</v>
      </c>
      <c r="R211" s="16">
        <f>SUM(R158,R159,R163,R167,R168,R169,R175,R190,R193,R194,R203,R180)</f>
        <v>2798.431</v>
      </c>
      <c r="S211" s="16">
        <f>(S158+S159+S163+S167+S168+S169+S175+S180+S190+S193+S194+S203)</f>
        <v>2733.836</v>
      </c>
      <c r="T211" s="16">
        <f>(T158+T159+T163+T167+T168+T169+T175+T180+T190+T193+T194+T203)</f>
        <v>2836.65</v>
      </c>
      <c r="U211" s="16">
        <f>(U158+U159+U163+U167+U168+U169+U175+U180+U190+U193+U194+U203)</f>
        <v>3150.612</v>
      </c>
      <c r="V211" s="16">
        <f>(V158+V159+V163+V167+V168+V169+V175+V180+V190+V193+V194+V203)</f>
        <v>3092.023</v>
      </c>
      <c r="W211" s="16">
        <f>SUM(W158,W159,W163,W167,W168,W169,W175,W190,W193,W194,W203,W180)</f>
        <v>3092.023</v>
      </c>
      <c r="X211" s="16">
        <f>(X158+X159+X163+X167+X168+X169+X175+X180+X190+X193+X194+X203)</f>
        <v>3412.477</v>
      </c>
      <c r="Y211" s="16">
        <f>(Y158+Y159+Y163+Y167+Y168+Y169+Y175+Y180+Y190+Y193+Y194+Y203)</f>
        <v>3983.671</v>
      </c>
      <c r="Z211" s="16">
        <f>(Z158+Z159+Z163+Z167+Z168+Z169+Z175+Z180+Z190+Z193+Z194+Z203)</f>
        <v>3957.292</v>
      </c>
      <c r="AA211" s="16">
        <f>(AA158+AA159+AA163+AA167+AA168+AA169+AA175+AA180+AA190+AA193+AA194+AA203)</f>
        <v>4339.295</v>
      </c>
      <c r="AB211" s="16">
        <f>SUM(AB158,AB159,AB163,AB167,AB168,AB169,AB175,AB190,AB193,AB194,AB203,AB180)</f>
        <v>4339.295</v>
      </c>
      <c r="AC211" s="16">
        <f>(AC158+AC159+AC163+AC167+AC168+AC169+AC175+AC180+AC190+AC193+AC194+AC203)</f>
        <v>4870.968</v>
      </c>
      <c r="AD211" s="16">
        <f>(AD158+AD159+AD163+AD167+AD168+AD169+AD175+AD180+AD190+AD193+AD194+AD203)</f>
        <v>5183.964</v>
      </c>
      <c r="AE211" s="16">
        <f>(AE158+AE159+AE163+AE167+AE168+AE169+AE175+AE180+AE190+AE193+AE194+AE203)</f>
        <v>5631.997</v>
      </c>
      <c r="AF211" s="16">
        <f>(AF158+AF159+AF163+AF167+AF168+AF169+AF175+AF180+AF190+AF193+AF194+AF203)</f>
        <v>5654.395</v>
      </c>
      <c r="AG211" s="16">
        <f>SUM(AG158,AG159,AG163,AG167,AG168,AG169,AG175,AG190,AG193,AG194,AG203,AG180)</f>
        <v>5654.395</v>
      </c>
      <c r="AH211" s="16">
        <f>(AH158+AH159+AH163+AH167+AH168+AH169+AH175+AH180+AH190+AH193+AH194+AH203)</f>
        <v>6195.487</v>
      </c>
      <c r="AI211" s="16">
        <f>(AI158+AI159+AI163+AI167+AI168+AI169+AI175+AI180+AI190+AI193+AI194+AI203)</f>
        <v>6278.509</v>
      </c>
      <c r="AJ211" s="16">
        <f>(AJ158+AJ159+AJ163+AJ167+AJ168+AJ169+AJ175+AJ180+AJ190+AJ193+AJ194+AJ203)</f>
        <v>5860.576</v>
      </c>
      <c r="AK211" s="16">
        <f>(AK158+AK159+AK163+AK167+AK168+AK169+AK175+AK180+AK190+AK193+AK194+AK203)</f>
        <v>5911.881</v>
      </c>
      <c r="AL211" s="16">
        <f>SUM(AL158,AL159,AL163,AL167,AL168,AL169,AL175,AL190,AL193,AL194,AL203,AL180)</f>
        <v>5911.881</v>
      </c>
      <c r="AM211" s="16" t="e">
        <f>(AM158+AM159+AM163+AM167+AM168+AM169+AM175+AM180+AM190+AM193+AM194+AM203)</f>
        <v>#DIV/0!</v>
      </c>
      <c r="AN211" s="16" t="e">
        <f>(AN158+AN159+AN163+AN167+AN168+AN169+AN175+AN180+AN190+AN193+AN194+AN203)</f>
        <v>#DIV/0!</v>
      </c>
      <c r="AO211" s="16" t="e">
        <f>(AO158+AO159+AO163+AO167+AO168+AO169+AO175+AO180+AO190+AO193+AO194+AO203)</f>
        <v>#DIV/0!</v>
      </c>
      <c r="AP211" s="16" t="e">
        <f>(AP158+AP159+AP163+AP167+AP168+AP169+AP175+AP180+AP190+AP193+AP194+AP203)</f>
        <v>#DIV/0!</v>
      </c>
      <c r="AQ211" s="16" t="e">
        <f>SUM(AQ158,AQ159,AQ163,AQ167,AQ168,AQ169,AQ175,AQ190,AQ193,AQ194,AQ203,AQ180)</f>
        <v>#DIV/0!</v>
      </c>
      <c r="AR211" s="16" t="e">
        <f>(AR158+AR159+AR163+AR167+AR168+AR169+AR175+AR180+AR190+AR193+AR194+AR203)</f>
        <v>#DIV/0!</v>
      </c>
      <c r="AS211" s="16" t="e">
        <f>(AS158+AS159+AS163+AS167+AS168+AS169+AS175+AS180+AS190+AS193+AS194+AS203)</f>
        <v>#DIV/0!</v>
      </c>
      <c r="AT211" s="16" t="e">
        <f>(AT158+AT159+AT163+AT167+AT168+AT169+AT175+AT180+AT190+AT193+AT194+AT203)</f>
        <v>#DIV/0!</v>
      </c>
      <c r="AU211" s="16" t="e">
        <f>(AU158+AU159+AU163+AU167+AU168+AU169+AU175+AU180+AU190+AU193+AU194+AU203)</f>
        <v>#DIV/0!</v>
      </c>
      <c r="AV211" s="16" t="e">
        <f>SUM(AV158,AV159,AV163,AV167,AV168,AV169,AV175,AV190,AV193,AV194,AV203,AV180)</f>
        <v>#DIV/0!</v>
      </c>
      <c r="AW211" s="16" t="e">
        <f>(AW158+AW159+AW163+AW167+AW168+AW169+AW175+AW180+AW190+AW193+AW194+AW203)</f>
        <v>#DIV/0!</v>
      </c>
      <c r="AX211" s="16" t="e">
        <f>(AX158+AX159+AX163+AX167+AX168+AX169+AX175+AX180+AX190+AX193+AX194+AX203)</f>
        <v>#DIV/0!</v>
      </c>
      <c r="AY211" s="16" t="e">
        <f>(AY158+AY159+AY163+AY167+AY168+AY169+AY175+AY180+AY190+AY193+AY194+AY203)</f>
        <v>#DIV/0!</v>
      </c>
      <c r="AZ211" s="16" t="e">
        <f>(AZ158+AZ159+AZ163+AZ167+AZ168+AZ169+AZ175+AZ180+AZ190+AZ193+AZ194+AZ203)</f>
        <v>#DIV/0!</v>
      </c>
      <c r="BA211" s="16" t="e">
        <f>SUM(BA158,BA159,BA163,BA167,BA168,BA169,BA175,BA190,BA193,BA194,BA203,BA180)</f>
        <v>#DIV/0!</v>
      </c>
      <c r="BB211" s="16" t="e">
        <f>(BB158+BB159+BB163+BB167+BB168+BB169+BB175+BB180+BB190+BB193+BB194+BB203)</f>
        <v>#DIV/0!</v>
      </c>
      <c r="BC211" s="16" t="e">
        <f>(BC158+BC159+BC163+BC167+BC168+BC169+BC175+BC180+BC190+BC193+BC194+BC203)</f>
        <v>#DIV/0!</v>
      </c>
      <c r="BD211" s="16" t="e">
        <f>(BD158+BD159+BD163+BD167+BD168+BD169+BD175+BD180+BD190+BD193+BD194+BD203)</f>
        <v>#DIV/0!</v>
      </c>
      <c r="BE211" s="16" t="e">
        <f>(BE158+BE159+BE163+BE167+BE168+BE169+BE175+BE180+BE190+BE193+BE194+BE203)</f>
        <v>#DIV/0!</v>
      </c>
      <c r="BF211" s="16" t="e">
        <f>SUM(BF158,BF159,BF163,BF167,BF168,BF169,BF175,BF190,BF193,BF194,BF203,BF180)</f>
        <v>#DIV/0!</v>
      </c>
      <c r="BG211" s="16" t="e">
        <f>(BG158+BG159+BG163+BG167+BG168+BG169+BG175+BG180+BG190+BG193+BG194+BG203)</f>
        <v>#DIV/0!</v>
      </c>
      <c r="BH211" s="16" t="e">
        <f>(BH158+BH159+BH163+BH167+BH168+BH169+BH175+BH180+BH190+BH193+BH194+BH203)</f>
        <v>#DIV/0!</v>
      </c>
      <c r="BI211" s="16" t="e">
        <f>(BI158+BI159+BI163+BI167+BI168+BI169+BI175+BI180+BI190+BI193+BI194+BI203)</f>
        <v>#DIV/0!</v>
      </c>
      <c r="BJ211" s="16" t="e">
        <f>(BJ158+BJ159+BJ163+BJ167+BJ168+BJ169+BJ175+BJ180+BJ190+BJ193+BJ194+BJ203)</f>
        <v>#DIV/0!</v>
      </c>
      <c r="BK211" s="16" t="e">
        <f>SUM(BK158,BK159,BK163,BK167,BK168,BK169,BK175,BK190,BK193,BK194,BK203,BK180)</f>
        <v>#DIV/0!</v>
      </c>
      <c r="BL211" s="16" t="e">
        <f>(BL158+BL159+BL163+BL167+BL168+BL169+BL175+BL180+BL190+BL193+BL194+BL203)</f>
        <v>#DIV/0!</v>
      </c>
      <c r="BM211" s="16" t="e">
        <f>(BM158+BM159+BM163+BM167+BM168+BM169+BM175+BM180+BM190+BM193+BM194+BM203)</f>
        <v>#DIV/0!</v>
      </c>
      <c r="BN211" s="16" t="e">
        <f>(BN158+BN159+BN163+BN167+BN168+BN169+BN175+BN180+BN190+BN193+BN194+BN203)</f>
        <v>#DIV/0!</v>
      </c>
      <c r="BO211" s="16" t="e">
        <f>(BO158+BO159+BO163+BO167+BO168+BO169+BO175+BO180+BO190+BO193+BO194+BO203)</f>
        <v>#DIV/0!</v>
      </c>
      <c r="BP211" s="16" t="e">
        <f>SUM(BP158,BP159,BP163,BP167,BP168,BP169,BP175,BP190,BP193,BP194,BP203,BP180)</f>
        <v>#DIV/0!</v>
      </c>
      <c r="BQ211" s="16" t="e">
        <f>(BQ158+BQ159+BQ163+BQ167+BQ168+BQ169+BQ175+BQ180+BQ190+BQ193+BQ194+BQ203)</f>
        <v>#DIV/0!</v>
      </c>
      <c r="BR211" s="16" t="e">
        <f>(BR158+BR159+BR163+BR167+BR168+BR169+BR175+BR180+BR190+BR193+BR194+BR203)</f>
        <v>#DIV/0!</v>
      </c>
      <c r="BS211" s="16" t="e">
        <f>(BS158+BS159+BS163+BS167+BS168+BS169+BS175+BS180+BS190+BS193+BS194+BS203)</f>
        <v>#DIV/0!</v>
      </c>
      <c r="BT211" s="16" t="e">
        <f>(BT158+BT159+BT163+BT167+BT168+BT169+BT175+BT180+BT190+BT193+BT194+BT203)</f>
        <v>#DIV/0!</v>
      </c>
      <c r="BU211" s="16" t="e">
        <f>SUM(BU158,BU159,BU163,BU167,BU168,BU169,BU175,BU190,BU193,BU194,BU203,BU180)</f>
        <v>#DIV/0!</v>
      </c>
      <c r="BV211" s="16" t="e">
        <f>(BV158+BV159+BV163+BV167+BV168+BV169+BV175+BV180+BV190+BV193+BV194+BV203)</f>
        <v>#DIV/0!</v>
      </c>
      <c r="BW211" s="16" t="e">
        <f>(BW158+BW159+BW163+BW167+BW168+BW169+BW175+BW180+BW190+BW193+BW194+BW203)</f>
        <v>#DIV/0!</v>
      </c>
      <c r="BX211" s="16" t="e">
        <f>(BX158+BX159+BX163+BX167+BX168+BX169+BX175+BX180+BX190+BX193+BX194+BX203)</f>
        <v>#DIV/0!</v>
      </c>
      <c r="BY211" s="16" t="e">
        <f>(BY158+BY159+BY163+BY167+BY168+BY169+BY175+BY180+BY190+BY193+BY194+BY203)</f>
        <v>#DIV/0!</v>
      </c>
      <c r="BZ211" s="16" t="e">
        <f>SUM(BZ158,BZ159,BZ163,BZ167,BZ168,BZ169,BZ175,BZ190,BZ193,BZ194,BZ203,BZ180)</f>
        <v>#DIV/0!</v>
      </c>
      <c r="CA211" s="16" t="e">
        <f>(CA158+CA159+CA163+CA167+CA168+CA169+CA175+CA180+CA190+CA193+CA194+CA203)</f>
        <v>#DIV/0!</v>
      </c>
      <c r="CB211" s="16" t="e">
        <f>(CB158+CB159+CB163+CB167+CB168+CB169+CB175+CB180+CB190+CB193+CB194+CB203)</f>
        <v>#DIV/0!</v>
      </c>
      <c r="CC211" s="16" t="e">
        <f>(CC158+CC159+CC163+CC167+CC168+CC169+CC175+CC180+CC190+CC193+CC194+CC203)</f>
        <v>#DIV/0!</v>
      </c>
      <c r="CD211" s="16" t="e">
        <f>(CD158+CD159+CD163+CD167+CD168+CD169+CD175+CD180+CD190+CD193+CD194+CD203)</f>
        <v>#DIV/0!</v>
      </c>
      <c r="CE211" s="16" t="e">
        <f>SUM(CE158,CE159,CE163,CE167,CE168,CE169,CE175,CE190,CE193,CE194,CE203,CE180)</f>
        <v>#DIV/0!</v>
      </c>
      <c r="CF211" s="16" t="e">
        <f>(CF158+CF159+CF163+CF167+CF168+CF169+CF175+CF180+CF190+CF193+CF194+CF203)</f>
        <v>#DIV/0!</v>
      </c>
      <c r="CG211" s="16" t="e">
        <f>(CG158+CG159+CG163+CG167+CG168+CG169+CG175+CG180+CG190+CG193+CG194+CG203)</f>
        <v>#DIV/0!</v>
      </c>
      <c r="CH211" s="16" t="e">
        <f>(CH158+CH159+CH163+CH167+CH168+CH169+CH175+CH180+CH190+CH193+CH194+CH203)</f>
        <v>#DIV/0!</v>
      </c>
      <c r="CI211" s="16" t="e">
        <f>(CI158+CI159+CI163+CI167+CI168+CI169+CI175+CI180+CI190+CI193+CI194+CI203)</f>
        <v>#DIV/0!</v>
      </c>
      <c r="CJ211" s="16" t="e">
        <f>SUM(CJ158,CJ159,CJ163,CJ167,CJ168,CJ169,CJ175,CJ190,CJ193,CJ194,CJ203,CJ180)</f>
        <v>#DIV/0!</v>
      </c>
      <c r="CK211" s="16" t="e">
        <f>(CK158+CK159+CK163+CK167+CK168+CK169+CK175+CK180+CK190+CK193+CK194+CK203)</f>
        <v>#DIV/0!</v>
      </c>
      <c r="CL211" s="16" t="e">
        <f>(CL158+CL159+CL163+CL167+CL168+CL169+CL175+CL180+CL190+CL193+CL194+CL203)</f>
        <v>#DIV/0!</v>
      </c>
      <c r="CM211" s="16" t="e">
        <f>(CM158+CM159+CM163+CM167+CM168+CM169+CM175+CM180+CM190+CM193+CM194+CM203)</f>
        <v>#DIV/0!</v>
      </c>
      <c r="CN211" s="16" t="e">
        <f>(CN158+CN159+CN163+CN167+CN168+CN169+CN175+CN180+CN190+CN193+CN194+CN203)</f>
        <v>#DIV/0!</v>
      </c>
      <c r="CO211" s="16" t="e">
        <f>SUM(CO158,CO159,CO163,CO167,CO168,CO169,CO175,CO190,CO193,CO194,CO203,CO180)</f>
        <v>#DIV/0!</v>
      </c>
      <c r="CP211" s="16" t="e">
        <f>(CP158+CP159+CP163+CP167+CP168+CP169+CP175+CP180+CP190+CP193+CP194+CP203)</f>
        <v>#DIV/0!</v>
      </c>
      <c r="CQ211" s="16" t="e">
        <f>(CQ158+CQ159+CQ163+CQ167+CQ168+CQ169+CQ175+CQ180+CQ190+CQ193+CQ194+CQ203)</f>
        <v>#DIV/0!</v>
      </c>
      <c r="CR211" s="16" t="e">
        <f>(CR158+CR159+CR163+CR167+CR168+CR169+CR175+CR180+CR190+CR193+CR194+CR203)</f>
        <v>#DIV/0!</v>
      </c>
      <c r="CS211" s="16" t="e">
        <f>(CS158+CS159+CS163+CS167+CS168+CS169+CS175+CS180+CS190+CS193+CS194+CS203)</f>
        <v>#DIV/0!</v>
      </c>
      <c r="CT211" s="16" t="e">
        <f>SUM(CT158,CT159,CT163,CT167,CT168,CT169,CT175,CT190,CT193,CT194,CT203,CT180)</f>
        <v>#DIV/0!</v>
      </c>
      <c r="CU211" s="16" t="e">
        <f>(CU158+CU159+CU163+CU167+CU168+CU169+CU175+CU180+CU190+CU193+CU194+CU203)</f>
        <v>#DIV/0!</v>
      </c>
      <c r="CV211" s="16" t="e">
        <f>(CV158+CV159+CV163+CV167+CV168+CV169+CV175+CV180+CV190+CV193+CV194+CV203)</f>
        <v>#DIV/0!</v>
      </c>
      <c r="CW211" s="16" t="e">
        <f>(CW158+CW159+CW163+CW167+CW168+CW169+CW175+CW180+CW190+CW193+CW194+CW203)</f>
        <v>#DIV/0!</v>
      </c>
      <c r="CX211" s="16" t="e">
        <f>(CX158+CX159+CX163+CX167+CX168+CX169+CX175+CX180+CX190+CX193+CX194+CX203)</f>
        <v>#DIV/0!</v>
      </c>
      <c r="CY211" s="16" t="e">
        <f>SUM(CY158,CY159,CY163,CY167,CY168,CY169,CY175,CY190,CY193,CY194,CY203,CY180)</f>
        <v>#DIV/0!</v>
      </c>
    </row>
    <row r="212">
      <c r="C212" s="26" t="inlineStr">
        <is>
          <t>Accounts payable</t>
        </is>
      </c>
      <c r="D212" s="25">
        <f>INDEX('Inputs (2)'!$D$28:$AL$28,MATCH(D$7,'Inputs (2)'!$D$2:$AL$2,0))</f>
        <v>54.281</v>
      </c>
      <c r="E212" s="25">
        <f>INDEX('Inputs (2)'!$D$28:$AL$28,MATCH(E$7,'Inputs (2)'!$D$2:$AL$2,0))</f>
        <v>62.684</v>
      </c>
      <c r="F212" s="25">
        <f>INDEX('Inputs (2)'!$D$28:$AL$28,MATCH(F$7,'Inputs (2)'!$D$2:$AL$2,0))</f>
        <v>92.811</v>
      </c>
      <c r="G212" s="25">
        <f>INDEX('Inputs (2)'!$D$28:$AL$28,MATCH(G$7,'Inputs (2)'!$D$2:$AL$2,0))</f>
        <v>43.91</v>
      </c>
      <c r="H212" s="3">
        <f>G212</f>
        <v>43.91</v>
      </c>
      <c r="I212" s="25">
        <f>INDEX('Inputs (2)'!$D$28:$AL$28,MATCH(I$7,'Inputs (2)'!$D$2:$AL$2,0))</f>
        <v>60.296</v>
      </c>
      <c r="J212" s="25">
        <f>INDEX('Inputs (2)'!$D$28:$AL$28,MATCH(J$7,'Inputs (2)'!$D$2:$AL$2,0))</f>
        <v>91.549</v>
      </c>
      <c r="K212" s="25">
        <f>INDEX('Inputs (2)'!$D$28:$AL$28,MATCH(K$7,'Inputs (2)'!$D$2:$AL$2,0))</f>
        <v>90.214</v>
      </c>
      <c r="L212" s="25">
        <f>INDEX('Inputs (2)'!$D$28:$AL$28,MATCH(L$7,'Inputs (2)'!$D$2:$AL$2,0))</f>
        <v>87.488</v>
      </c>
      <c r="M212" s="3">
        <f>L212</f>
        <v>87.488</v>
      </c>
      <c r="N212" s="25">
        <f>INDEX('Inputs (2)'!$D$28:$AL$28,MATCH(N$7,'Inputs (2)'!$D$2:$AL$2,0))</f>
        <v>83.823</v>
      </c>
      <c r="O212" s="25">
        <f>INDEX('Inputs (2)'!$D$28:$AL$28,MATCH(O$7,'Inputs (2)'!$D$2:$AL$2,0))</f>
        <v>113.748</v>
      </c>
      <c r="P212" s="25">
        <f>INDEX('Inputs (2)'!$D$28:$AL$28,MATCH(P$7,'Inputs (2)'!$D$2:$AL$2,0))</f>
        <v>104.282</v>
      </c>
      <c r="Q212" s="25">
        <f>INDEX('Inputs (2)'!$D$28:$AL$28,MATCH(Q$7,'Inputs (2)'!$D$2:$AL$2,0))</f>
        <v>114.591</v>
      </c>
      <c r="R212" s="3">
        <f>Q212</f>
        <v>114.591</v>
      </c>
      <c r="S212" s="25">
        <f>INDEX('Inputs (2)'!$D$28:$AL$28,MATCH(S$7,'Inputs (2)'!$D$2:$AL$2,0))</f>
        <v>121.055</v>
      </c>
      <c r="T212" s="25">
        <f>INDEX('Inputs (2)'!$D$28:$AL$28,MATCH(T$7,'Inputs (2)'!$D$2:$AL$2,0))</f>
        <v>118.958</v>
      </c>
      <c r="U212" s="25">
        <f>INDEX('Inputs (2)'!$D$28:$AL$28,MATCH(U$7,'Inputs (2)'!$D$2:$AL$2,0))</f>
        <v>144.821</v>
      </c>
      <c r="V212" s="25">
        <f>INDEX('Inputs (2)'!$D$28:$AL$28,MATCH(V$7,'Inputs (2)'!$D$2:$AL$2,0))</f>
        <v>171.904</v>
      </c>
      <c r="W212" s="3">
        <f>V212</f>
        <v>171.904</v>
      </c>
      <c r="X212" s="25">
        <f>INDEX('Inputs (2)'!$D$28:$AL$28,MATCH(X$7,'Inputs (2)'!$D$2:$AL$2,0))</f>
        <v>172.207</v>
      </c>
      <c r="Y212" s="25">
        <f>INDEX('Inputs (2)'!$D$28:$AL$28,MATCH(Y$7,'Inputs (2)'!$D$2:$AL$2,0))</f>
        <v>141.397</v>
      </c>
      <c r="Z212" s="25">
        <f>INDEX('Inputs (2)'!$D$28:$AL$28,MATCH(Z$7,'Inputs (2)'!$D$2:$AL$2,0))</f>
        <v>182.227</v>
      </c>
      <c r="AA212" s="25">
        <f>INDEX('Inputs (2)'!$D$28:$AL$28,MATCH(AA$7,'Inputs (2)'!$D$2:$AL$2,0))</f>
        <v>187.317</v>
      </c>
      <c r="AB212" s="3">
        <f>AA212</f>
        <v>187.317</v>
      </c>
      <c r="AC212" s="25">
        <f>INDEX('Inputs (2)'!$D$28:$AL$28,MATCH(AC$7,'Inputs (2)'!$D$2:$AL$2,0))</f>
        <v>256.301</v>
      </c>
      <c r="AD212" s="25">
        <f>INDEX('Inputs (2)'!$D$28:$AL$28,MATCH(AD$7,'Inputs (2)'!$D$2:$AL$2,0))</f>
        <v>286.65</v>
      </c>
      <c r="AE212" s="25">
        <f>INDEX('Inputs (2)'!$D$28:$AL$28,MATCH(AE$7,'Inputs (2)'!$D$2:$AL$2,0))</f>
        <v>283.823</v>
      </c>
      <c r="AF212" s="25">
        <f>INDEX('Inputs (2)'!$D$28:$AL$28,MATCH(AF$7,'Inputs (2)'!$D$2:$AL$2,0))</f>
        <v>278.476</v>
      </c>
      <c r="AG212" s="3">
        <f>AF212</f>
        <v>278.476</v>
      </c>
      <c r="AH212" s="3">
        <f>INDEX('Inputs (2)'!$D$28:$AL$28,MATCH(AH$7,'Inputs (2)'!$D$2:$AL$2,0))</f>
        <v>339.656</v>
      </c>
      <c r="AI212" s="3">
        <f>INDEX('Inputs (2)'!$D$28:$AL$28,MATCH(AI$7,'Inputs (2)'!$D$2:$AL$2,0))</f>
        <v>351.51</v>
      </c>
      <c r="AJ212" s="3">
        <f>(AJ213/(AJ$5-AI$5))*-AJ68</f>
        <v>0</v>
      </c>
      <c r="AK212" s="3">
        <f>(AK213/(AK$5-AJ$5))*-AK68</f>
        <v>0</v>
      </c>
      <c r="AL212" s="3">
        <f>AK212</f>
        <v>0</v>
      </c>
      <c r="AM212" s="3">
        <f>(AM213/(AM$5-AL$5))*-AM68</f>
        <v>0</v>
      </c>
      <c r="AN212" s="3">
        <f>(AN213/(AN$5-AM$5))*-AN68</f>
        <v>0</v>
      </c>
      <c r="AO212" s="3">
        <f>(AO213/(AO$5-AN$5))*-AO68</f>
        <v>0</v>
      </c>
      <c r="AP212" s="3">
        <f>(AP213/(AP$5-AO$5))*-AP68</f>
        <v>0</v>
      </c>
      <c r="AQ212" s="3">
        <f>AP212</f>
        <v>0</v>
      </c>
      <c r="AR212" s="3">
        <f>(AR213/(AR$5-AQ$5))*-AR68</f>
        <v>0</v>
      </c>
      <c r="AS212" s="3">
        <f>(AS213/(AS$5-AR$5))*-AS68</f>
        <v>0</v>
      </c>
      <c r="AT212" s="3">
        <f>(AT213/(AT$5-AS$5))*-AT68</f>
        <v>0</v>
      </c>
      <c r="AU212" s="3">
        <f>(AU213/(AU$5-AT$5))*-AU68</f>
        <v>0</v>
      </c>
      <c r="AV212" s="3">
        <f>AU212</f>
        <v>0</v>
      </c>
      <c r="AW212" s="3">
        <f>(AW213/(AW$5-AV$5))*-AW68</f>
        <v>0</v>
      </c>
      <c r="AX212" s="3">
        <f>(AX213/(AX$5-AW$5))*-AX68</f>
        <v>0</v>
      </c>
      <c r="AY212" s="3">
        <f>(AY213/(AY$5-AX$5))*-AY68</f>
        <v>0</v>
      </c>
      <c r="AZ212" s="3">
        <f>(AZ213/(AZ$5-AY$5))*-AZ68</f>
        <v>0</v>
      </c>
      <c r="BA212" s="3">
        <f>AZ212</f>
        <v>0</v>
      </c>
      <c r="BB212" s="3">
        <f>(BB213/(BB$5-BA$5))*-BB68</f>
        <v>0</v>
      </c>
      <c r="BC212" s="3">
        <f>(BC213/(BC$5-BB$5))*-BC68</f>
        <v>0</v>
      </c>
      <c r="BD212" s="3">
        <f>(BD213/(BD$5-BC$5))*-BD68</f>
        <v>0</v>
      </c>
      <c r="BE212" s="3">
        <f>(BE213/(BE$5-BD$5))*-BE68</f>
        <v>0</v>
      </c>
      <c r="BF212" s="3">
        <f>BE212</f>
        <v>0</v>
      </c>
      <c r="BG212" s="3">
        <f>(BG213/(BG$5-BF$5))*-BG68</f>
        <v>0</v>
      </c>
      <c r="BH212" s="3">
        <f>(BH213/(BH$5-BG$5))*-BH68</f>
        <v>0</v>
      </c>
      <c r="BI212" s="3">
        <f>(BI213/(BI$5-BH$5))*-BI68</f>
        <v>0</v>
      </c>
      <c r="BJ212" s="3">
        <f>(BJ213/(BJ$5-BI$5))*-BJ68</f>
        <v>0</v>
      </c>
      <c r="BK212" s="3">
        <f>BJ212</f>
        <v>0</v>
      </c>
      <c r="BL212" s="3">
        <f>(BL213/(BL$5-BK$5))*-BL68</f>
        <v>0</v>
      </c>
      <c r="BM212" s="3">
        <f>(BM213/(BM$5-BL$5))*-BM68</f>
        <v>0</v>
      </c>
      <c r="BN212" s="3">
        <f>(BN213/(BN$5-BM$5))*-BN68</f>
        <v>0</v>
      </c>
      <c r="BO212" s="3">
        <f>(BO213/(BO$5-BN$5))*-BO68</f>
        <v>0</v>
      </c>
      <c r="BP212" s="3">
        <f>BO212</f>
        <v>0</v>
      </c>
      <c r="BQ212" s="3">
        <f>(BQ213/(BQ$5-BP$5))*-BQ68</f>
        <v>0</v>
      </c>
      <c r="BR212" s="3">
        <f>(BR213/(BR$5-BQ$5))*-BR68</f>
        <v>0</v>
      </c>
      <c r="BS212" s="3">
        <f>(BS213/(BS$5-BR$5))*-BS68</f>
        <v>0</v>
      </c>
      <c r="BT212" s="3">
        <f>(BT213/(BT$5-BS$5))*-BT68</f>
        <v>0</v>
      </c>
      <c r="BU212" s="3">
        <f>BT212</f>
        <v>0</v>
      </c>
      <c r="BV212" s="3">
        <f>(BV213/(BV$5-BU$5))*-BV68</f>
        <v>0</v>
      </c>
      <c r="BW212" s="3">
        <f>(BW213/(BW$5-BV$5))*-BW68</f>
        <v>0</v>
      </c>
      <c r="BX212" s="3">
        <f>(BX213/(BX$5-BW$5))*-BX68</f>
        <v>0</v>
      </c>
      <c r="BY212" s="3">
        <f>(BY213/(BY$5-BX$5))*-BY68</f>
        <v>0</v>
      </c>
      <c r="BZ212" s="3">
        <f>BY212</f>
        <v>0</v>
      </c>
      <c r="CA212" s="3">
        <f>(CA213/(CA$5-BZ$5))*-CA68</f>
        <v>0</v>
      </c>
      <c r="CB212" s="3">
        <f>(CB213/(CB$5-CA$5))*-CB68</f>
        <v>0</v>
      </c>
      <c r="CC212" s="3">
        <f>(CC213/(CC$5-CB$5))*-CC68</f>
        <v>0</v>
      </c>
      <c r="CD212" s="3">
        <f>(CD213/(CD$5-CC$5))*-CD68</f>
        <v>0</v>
      </c>
      <c r="CE212" s="3">
        <f>CD212</f>
        <v>0</v>
      </c>
      <c r="CF212" s="3">
        <f>(CF213/(CF$5-CE$5))*-CF68</f>
        <v>0</v>
      </c>
      <c r="CG212" s="3">
        <f>(CG213/(CG$5-CF$5))*-CG68</f>
        <v>0</v>
      </c>
      <c r="CH212" s="3">
        <f>(CH213/(CH$5-CG$5))*-CH68</f>
        <v>0</v>
      </c>
      <c r="CI212" s="3">
        <f>(CI213/(CI$5-CH$5))*-CI68</f>
        <v>0</v>
      </c>
      <c r="CJ212" s="3">
        <f>CI212</f>
        <v>0</v>
      </c>
      <c r="CK212" s="3">
        <f>(CK213/(CK$5-CJ$5))*-CK68</f>
        <v>0</v>
      </c>
      <c r="CL212" s="3">
        <f>(CL213/(CL$5-CK$5))*-CL68</f>
        <v>0</v>
      </c>
      <c r="CM212" s="3">
        <f>(CM213/(CM$5-CL$5))*-CM68</f>
        <v>0</v>
      </c>
      <c r="CN212" s="3">
        <f>(CN213/(CN$5-CM$5))*-CN68</f>
        <v>0</v>
      </c>
      <c r="CO212" s="3">
        <f>CN212</f>
        <v>0</v>
      </c>
      <c r="CP212" s="3">
        <f>(CP213/(CP$5-CO$5))*-CP68</f>
        <v>0</v>
      </c>
      <c r="CQ212" s="3">
        <f>(CQ213/(CQ$5-CP$5))*-CQ68</f>
        <v>0</v>
      </c>
      <c r="CR212" s="3">
        <f>(CR213/(CR$5-CQ$5))*-CR68</f>
        <v>0</v>
      </c>
      <c r="CS212" s="3">
        <f>(CS213/(CS$5-CR$5))*-CS68</f>
        <v>0</v>
      </c>
      <c r="CT212" s="3">
        <f>CS212</f>
        <v>0</v>
      </c>
      <c r="CU212" s="3">
        <f>(CU213/(CU$5-CT$5))*-CU68</f>
        <v>0</v>
      </c>
      <c r="CV212" s="3">
        <f>(CV213/(CV$5-CU$5))*-CV68</f>
        <v>0</v>
      </c>
      <c r="CW212" s="3">
        <f>(CW213/(CW$5-CV$5))*-CW68</f>
        <v>0</v>
      </c>
      <c r="CX212" s="3">
        <f>(CX213/(CX$5-CW$5))*-CX68</f>
        <v>0</v>
      </c>
      <c r="CY212" s="3">
        <f>CX212</f>
        <v>0</v>
      </c>
    </row>
    <row r="213" hidden="1" outlineLevel="1">
      <c r="C213" s="34" t="inlineStr">
        <is>
          <t>DPO</t>
        </is>
      </c>
      <c r="D213" s="3" t="n"/>
      <c r="E213" s="3">
        <f>-(E212/E$68)*(E$5-D$5)</f>
        <v>35.8448632310525</v>
      </c>
      <c r="F213" s="3">
        <f>-(F212/F$68)*(F$5-E$5)</f>
        <v>42.1574496027965</v>
      </c>
      <c r="G213" s="3">
        <f>-(G212/G$68)*(G$5-F$5)</f>
        <v>19.6644161356744</v>
      </c>
      <c r="H213" s="3" t="n"/>
      <c r="I213" s="3">
        <f>-(I212/I$68)*(I$5-H$5)</f>
        <v>24.7855159310143</v>
      </c>
      <c r="J213" s="3">
        <f>-(J212/J$68)*(J$5-I$5)</f>
        <v>28.8847171322477</v>
      </c>
      <c r="K213" s="3">
        <f>-(K212/K$68)*(K$5-J$5)</f>
        <v>29.4861256399421</v>
      </c>
      <c r="L213" s="3">
        <f>-(L212/L$68)*(L$5-K$5)</f>
        <v>26.4087853245445</v>
      </c>
      <c r="M213" s="3" t="n"/>
      <c r="N213" s="3">
        <f>-(N212/N$68)*(N$5-M$5)</f>
        <v>26.8028706944025</v>
      </c>
      <c r="O213" s="3">
        <f>-(O212/O$68)*(O$5-N$5)</f>
        <v>26.7271938567364</v>
      </c>
      <c r="P213" s="3">
        <f>-(P212/P$68)*(P$5-O$5)</f>
        <v>24.4172902096122</v>
      </c>
      <c r="Q213" s="3">
        <f>-(Q212/Q$68)*(Q$5-P$5)</f>
        <v>29.3876315386009</v>
      </c>
      <c r="R213" s="3" t="n"/>
      <c r="S213" s="3">
        <f>-(S212/S$68)*(S$5-R$5)</f>
        <v>29.3037273328779</v>
      </c>
      <c r="T213" s="3">
        <f>-(T212/T$68)*(T$5-S$5)</f>
        <v>23.8865160903105</v>
      </c>
      <c r="U213" s="3">
        <f>-(U212/U$68)*(U$5-T$5)</f>
        <v>28.4708496894038</v>
      </c>
      <c r="V213" s="3">
        <f>-(V212/V$68)*(V$5-U$5)</f>
        <v>31.766168134945</v>
      </c>
      <c r="W213" s="3" t="n"/>
      <c r="X213" s="3">
        <f>-(X212/X$68)*(X$5-W$5)</f>
        <v>30.0914928385304</v>
      </c>
      <c r="Y213" s="3">
        <f>-(Y212/Y$68)*(Y$5-X$5)</f>
        <v>20.9033277340412</v>
      </c>
      <c r="Z213" s="3">
        <f>-(Z212/Z$68)*(Z$5-Y$5)</f>
        <v>25.9347303480986</v>
      </c>
      <c r="AA213" s="3">
        <f>-(AA212/AA$68)*(AA$5-Z$5)</f>
        <v>27.3274650064936</v>
      </c>
      <c r="AB213" s="3" t="n"/>
      <c r="AC213" s="3">
        <f>-(AC212/AC$68)*(AC$5-AB$5)</f>
        <v>31.1172460123891</v>
      </c>
      <c r="AD213" s="3">
        <f>-(AD212/AD$68)*(AD$5-AC$5)</f>
        <v>32.0526084910355</v>
      </c>
      <c r="AE213" s="3">
        <f>-(AE212/AE$68)*(AE$5-AD$5)</f>
        <v>30.6944242323078</v>
      </c>
      <c r="AF213" s="6">
        <f>-(AF212/AF$68)*(AF$5-AE$5)</f>
        <v>30.2470098073361</v>
      </c>
      <c r="AG213" s="3" t="n"/>
      <c r="AH213" s="6">
        <f>-(AH212/AH$68)*(AH$5-AG$5)</f>
        <v>31.1003901659859</v>
      </c>
      <c r="AI213" s="6">
        <f>-(AI212/AI$68)*(AI$5-AH$5)</f>
        <v>31.291732209518</v>
      </c>
      <c r="AJ213" s="6" t="n"/>
      <c r="AK213" s="6" t="n"/>
      <c r="AL213" s="3" t="n"/>
      <c r="AM213" s="6" t="n"/>
      <c r="AN213" s="6" t="n"/>
      <c r="AO213" s="6" t="n"/>
      <c r="AP213" s="6" t="n"/>
      <c r="AQ213" s="3" t="n"/>
      <c r="AR213" s="6" t="n"/>
      <c r="AS213" s="6" t="n"/>
      <c r="AT213" s="6" t="n"/>
      <c r="AU213" s="6" t="n"/>
      <c r="AV213" s="3" t="n"/>
      <c r="AW213" s="6" t="n"/>
      <c r="AX213" s="6" t="n"/>
      <c r="AY213" s="6" t="n"/>
      <c r="AZ213" s="6" t="n"/>
      <c r="BA213" s="3" t="n"/>
      <c r="BB213" s="6" t="n"/>
      <c r="BC213" s="6" t="n"/>
      <c r="BD213" s="6" t="n"/>
      <c r="BE213" s="6" t="n"/>
      <c r="BF213" s="3" t="n"/>
      <c r="BG213" s="6" t="n"/>
      <c r="BH213" s="6" t="n"/>
      <c r="BI213" s="6" t="n"/>
      <c r="BJ213" s="6" t="n"/>
      <c r="BK213" s="3" t="n"/>
      <c r="BL213" s="6" t="n"/>
      <c r="BM213" s="6" t="n"/>
      <c r="BN213" s="6" t="n"/>
      <c r="BO213" s="6" t="n"/>
      <c r="BP213" s="3" t="n"/>
      <c r="BQ213" s="6" t="n"/>
      <c r="BR213" s="6" t="n"/>
      <c r="BS213" s="6" t="n"/>
      <c r="BT213" s="6" t="n"/>
      <c r="BU213" s="3" t="n"/>
      <c r="BV213" s="6" t="n"/>
      <c r="BW213" s="6" t="n"/>
      <c r="BX213" s="6" t="n"/>
      <c r="BY213" s="6" t="n"/>
      <c r="BZ213" s="3" t="n"/>
      <c r="CA213" s="6" t="n"/>
      <c r="CB213" s="6" t="n"/>
      <c r="CC213" s="6" t="n"/>
      <c r="CD213" s="6" t="n"/>
      <c r="CE213" s="3" t="n"/>
      <c r="CF213" s="6" t="n"/>
      <c r="CG213" s="6" t="n"/>
      <c r="CH213" s="6" t="n"/>
      <c r="CI213" s="6" t="n"/>
      <c r="CJ213" s="3" t="n"/>
      <c r="CK213" s="6" t="n"/>
      <c r="CL213" s="6" t="n"/>
      <c r="CM213" s="6" t="n"/>
      <c r="CN213" s="6" t="n"/>
      <c r="CO213" s="3" t="n"/>
      <c r="CP213" s="6" t="n"/>
      <c r="CQ213" s="6" t="n"/>
      <c r="CR213" s="6" t="n"/>
      <c r="CS213" s="6" t="n"/>
      <c r="CT213" s="3" t="n"/>
      <c r="CU213" s="6" t="n"/>
      <c r="CV213" s="6" t="n"/>
      <c r="CW213" s="6" t="n"/>
      <c r="CX213" s="6" t="n"/>
      <c r="CY213" s="3" t="n"/>
    </row>
    <row r="214" hidden="1" outlineLevel="1">
      <c r="C214" s="34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  <c r="CU214" s="3" t="n"/>
      <c r="CV214" s="3" t="n"/>
      <c r="CW214" s="3" t="n"/>
      <c r="CX214" s="3" t="n"/>
      <c r="CY214" s="3" t="n"/>
    </row>
    <row r="215" hidden="1" outlineLevel="1">
      <c r="C215" s="34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</row>
    <row r="216" collapsed="1">
      <c r="C216" s="26" t="inlineStr">
        <is>
          <t>Accrued expenses</t>
        </is>
      </c>
      <c r="D216" s="25">
        <f>INDEX('Inputs (2)'!$D$29:$AL$29,MATCH(D$7,'Inputs (2)'!$D$2:$AL$2,0))</f>
        <v>11.709</v>
      </c>
      <c r="E216" s="25">
        <f>INDEX('Inputs (2)'!$D$29:$AL$29,MATCH(E$7,'Inputs (2)'!$D$2:$AL$2,0))</f>
        <v>14.812</v>
      </c>
      <c r="F216" s="25">
        <f>INDEX('Inputs (2)'!$D$29:$AL$29,MATCH(F$7,'Inputs (2)'!$D$2:$AL$2,0))</f>
        <v>15.53</v>
      </c>
      <c r="G216" s="25">
        <f>INDEX('Inputs (2)'!$D$29:$AL$29,MATCH(G$7,'Inputs (2)'!$D$2:$AL$2,0))</f>
        <v>11.444</v>
      </c>
      <c r="H216" s="3">
        <f>G216</f>
        <v>11.444</v>
      </c>
      <c r="I216" s="25">
        <f>INDEX('Inputs (2)'!$D$29:$AL$29,MATCH(I$7,'Inputs (2)'!$D$2:$AL$2,0))</f>
        <v>13.813</v>
      </c>
      <c r="J216" s="25">
        <f>INDEX('Inputs (2)'!$D$29:$AL$29,MATCH(J$7,'Inputs (2)'!$D$2:$AL$2,0))</f>
        <v>18.538</v>
      </c>
      <c r="K216" s="25">
        <f>INDEX('Inputs (2)'!$D$29:$AL$29,MATCH(K$7,'Inputs (2)'!$D$2:$AL$2,0))</f>
        <v>17.006</v>
      </c>
      <c r="L216" s="25">
        <f>INDEX('Inputs (2)'!$D$29:$AL$29,MATCH(L$7,'Inputs (2)'!$D$2:$AL$2,0))</f>
        <v>16.567</v>
      </c>
      <c r="M216" s="3">
        <f>L216</f>
        <v>16.567</v>
      </c>
      <c r="N216" s="25">
        <f>INDEX('Inputs (2)'!$D$29:$AL$29,MATCH(N$7,'Inputs (2)'!$D$2:$AL$2,0))</f>
        <v>16.264</v>
      </c>
      <c r="O216" s="25">
        <f>INDEX('Inputs (2)'!$D$29:$AL$29,MATCH(O$7,'Inputs (2)'!$D$2:$AL$2,0))</f>
        <v>20.929</v>
      </c>
      <c r="P216" s="25">
        <f>INDEX('Inputs (2)'!$D$29:$AL$29,MATCH(P$7,'Inputs (2)'!$D$2:$AL$2,0))</f>
        <v>23.709</v>
      </c>
      <c r="Q216" s="25">
        <f>INDEX('Inputs (2)'!$D$29:$AL$29,MATCH(Q$7,'Inputs (2)'!$D$2:$AL$2,0))</f>
        <v>18.487</v>
      </c>
      <c r="R216" s="3">
        <f>Q216</f>
        <v>18.487</v>
      </c>
      <c r="S216" s="25">
        <f>INDEX('Inputs (2)'!$D$29:$AL$29,MATCH(S$7,'Inputs (2)'!$D$2:$AL$2,0))</f>
        <v>22.653</v>
      </c>
      <c r="T216" s="25">
        <f>INDEX('Inputs (2)'!$D$29:$AL$29,MATCH(T$7,'Inputs (2)'!$D$2:$AL$2,0))</f>
        <v>26.462</v>
      </c>
      <c r="U216" s="25">
        <f>INDEX('Inputs (2)'!$D$29:$AL$29,MATCH(U$7,'Inputs (2)'!$D$2:$AL$2,0))</f>
        <v>29.799</v>
      </c>
      <c r="V216" s="25">
        <f>INDEX('Inputs (2)'!$D$29:$AL$29,MATCH(V$7,'Inputs (2)'!$D$2:$AL$2,0))</f>
        <v>22.734</v>
      </c>
      <c r="W216" s="3">
        <f>V216</f>
        <v>22.734</v>
      </c>
      <c r="X216" s="25">
        <f>INDEX('Inputs (2)'!$D$29:$AL$29,MATCH(X$7,'Inputs (2)'!$D$2:$AL$2,0))</f>
        <v>27.739</v>
      </c>
      <c r="Y216" s="25">
        <f>INDEX('Inputs (2)'!$D$29:$AL$29,MATCH(Y$7,'Inputs (2)'!$D$2:$AL$2,0))</f>
        <v>35.591</v>
      </c>
      <c r="Z216" s="25">
        <f>INDEX('Inputs (2)'!$D$29:$AL$29,MATCH(Z$7,'Inputs (2)'!$D$2:$AL$2,0))</f>
        <v>49.938</v>
      </c>
      <c r="AA216" s="25">
        <f>INDEX('Inputs (2)'!$D$29:$AL$29,MATCH(AA$7,'Inputs (2)'!$D$2:$AL$2,0))</f>
        <v>32.592</v>
      </c>
      <c r="AB216" s="3">
        <f>AA216</f>
        <v>32.592</v>
      </c>
      <c r="AC216" s="25">
        <f>INDEX('Inputs (2)'!$D$29:$AL$29,MATCH(AC$7,'Inputs (2)'!$D$2:$AL$2,0))</f>
        <v>38.661</v>
      </c>
      <c r="AD216" s="25">
        <f>INDEX('Inputs (2)'!$D$29:$AL$29,MATCH(AD$7,'Inputs (2)'!$D$2:$AL$2,0))</f>
        <v>49.007</v>
      </c>
      <c r="AE216" s="25">
        <f>INDEX('Inputs (2)'!$D$29:$AL$29,MATCH(AE$7,'Inputs (2)'!$D$2:$AL$2,0))</f>
        <v>56.389</v>
      </c>
      <c r="AF216" s="25">
        <f>INDEX('Inputs (2)'!$D$29:$AL$29,MATCH(AF$7,'Inputs (2)'!$D$2:$AL$2,0))</f>
        <v>43.999</v>
      </c>
      <c r="AG216" s="3">
        <f>AF216</f>
        <v>43.999</v>
      </c>
      <c r="AH216" s="3">
        <f>INDEX('Inputs (2)'!$D$29:$AL$29,MATCH(AH$7,'Inputs (2)'!$D$2:$AL$2,0))</f>
        <v>54.666</v>
      </c>
      <c r="AI216" s="3">
        <f>INDEX('Inputs (2)'!$D$29:$AL$29,MATCH(AI$7,'Inputs (2)'!$D$2:$AL$2,0))</f>
        <v>72.162</v>
      </c>
      <c r="AJ216" s="3">
        <f>AH216*AJ72/AH72</f>
        <v>0</v>
      </c>
      <c r="AK216" s="3">
        <f>AI216*AK72/AI72</f>
        <v>0</v>
      </c>
      <c r="AL216" s="3">
        <f>AK216</f>
        <v>0</v>
      </c>
      <c r="AM216" s="3" t="e">
        <f>AK216*AM72/AK72</f>
        <v>#DIV/0!</v>
      </c>
      <c r="AN216" s="3">
        <f>AL216*AN72/AL72</f>
        <v>0</v>
      </c>
      <c r="AO216" s="3" t="e">
        <f>AM216*AO72/AM72</f>
        <v>#DIV/0!</v>
      </c>
      <c r="AP216" s="3" t="e">
        <f>AN216*AP72/AN72</f>
        <v>#DIV/0!</v>
      </c>
      <c r="AQ216" s="3" t="e">
        <f>AP216</f>
        <v>#DIV/0!</v>
      </c>
      <c r="AR216" s="3" t="e">
        <f>AP216*AR72/AP72</f>
        <v>#DIV/0!</v>
      </c>
      <c r="AS216" s="3" t="e">
        <f>AQ216*AS72/AQ72</f>
        <v>#DIV/0!</v>
      </c>
      <c r="AT216" s="3" t="e">
        <f>AR216*AT72/AR72</f>
        <v>#DIV/0!</v>
      </c>
      <c r="AU216" s="3" t="e">
        <f>AS216*AU72/AS72</f>
        <v>#DIV/0!</v>
      </c>
      <c r="AV216" s="3" t="e">
        <f>AU216</f>
        <v>#DIV/0!</v>
      </c>
      <c r="AW216" s="3" t="e">
        <f>AU216*AW72/AU72</f>
        <v>#DIV/0!</v>
      </c>
      <c r="AX216" s="3" t="e">
        <f>AV216*AX72/AV72</f>
        <v>#DIV/0!</v>
      </c>
      <c r="AY216" s="3" t="e">
        <f>AW216*AY72/AW72</f>
        <v>#DIV/0!</v>
      </c>
      <c r="AZ216" s="3" t="e">
        <f>AX216*AZ72/AX72</f>
        <v>#DIV/0!</v>
      </c>
      <c r="BA216" s="3" t="e">
        <f>AZ216</f>
        <v>#DIV/0!</v>
      </c>
      <c r="BB216" s="3" t="e">
        <f>AZ216*BB72/AZ72</f>
        <v>#DIV/0!</v>
      </c>
      <c r="BC216" s="3" t="e">
        <f>BA216*BC72/BA72</f>
        <v>#DIV/0!</v>
      </c>
      <c r="BD216" s="3" t="e">
        <f>BB216*BD72/BB72</f>
        <v>#DIV/0!</v>
      </c>
      <c r="BE216" s="3" t="e">
        <f>BC216*BE72/BC72</f>
        <v>#DIV/0!</v>
      </c>
      <c r="BF216" s="3" t="e">
        <f>BE216</f>
        <v>#DIV/0!</v>
      </c>
      <c r="BG216" s="3" t="e">
        <f>BE216*BG72/BE72</f>
        <v>#DIV/0!</v>
      </c>
      <c r="BH216" s="3" t="e">
        <f>BF216*BH72/BF72</f>
        <v>#DIV/0!</v>
      </c>
      <c r="BI216" s="3" t="e">
        <f>BG216*BI72/BG72</f>
        <v>#DIV/0!</v>
      </c>
      <c r="BJ216" s="3" t="e">
        <f>BH216*BJ72/BH72</f>
        <v>#DIV/0!</v>
      </c>
      <c r="BK216" s="3" t="e">
        <f>BJ216</f>
        <v>#DIV/0!</v>
      </c>
      <c r="BL216" s="3" t="e">
        <f>BJ216*BL72/BJ72</f>
        <v>#DIV/0!</v>
      </c>
      <c r="BM216" s="3" t="e">
        <f>BK216*BM72/BK72</f>
        <v>#DIV/0!</v>
      </c>
      <c r="BN216" s="3" t="e">
        <f>BL216*BN72/BL72</f>
        <v>#DIV/0!</v>
      </c>
      <c r="BO216" s="3" t="e">
        <f>BM216*BO72/BM72</f>
        <v>#DIV/0!</v>
      </c>
      <c r="BP216" s="3" t="e">
        <f>BO216</f>
        <v>#DIV/0!</v>
      </c>
      <c r="BQ216" s="3" t="e">
        <f>BO216*BQ72/BO72</f>
        <v>#DIV/0!</v>
      </c>
      <c r="BR216" s="3" t="e">
        <f>BP216*BR72/BP72</f>
        <v>#DIV/0!</v>
      </c>
      <c r="BS216" s="3" t="e">
        <f>BQ216*BS72/BQ72</f>
        <v>#DIV/0!</v>
      </c>
      <c r="BT216" s="3" t="e">
        <f>BR216*BT72/BR72</f>
        <v>#DIV/0!</v>
      </c>
      <c r="BU216" s="3" t="e">
        <f>BT216</f>
        <v>#DIV/0!</v>
      </c>
      <c r="BV216" s="3" t="e">
        <f>BT216*BV72/BT72</f>
        <v>#DIV/0!</v>
      </c>
      <c r="BW216" s="3" t="e">
        <f>BU216*BW72/BU72</f>
        <v>#DIV/0!</v>
      </c>
      <c r="BX216" s="3" t="e">
        <f>BV216*BX72/BV72</f>
        <v>#DIV/0!</v>
      </c>
      <c r="BY216" s="3" t="e">
        <f>BW216*BY72/BW72</f>
        <v>#DIV/0!</v>
      </c>
      <c r="BZ216" s="3" t="e">
        <f>BY216</f>
        <v>#DIV/0!</v>
      </c>
      <c r="CA216" s="3" t="e">
        <f>BY216*CA72/BY72</f>
        <v>#DIV/0!</v>
      </c>
      <c r="CB216" s="3" t="e">
        <f>BZ216*CB72/BZ72</f>
        <v>#DIV/0!</v>
      </c>
      <c r="CC216" s="3" t="e">
        <f>CA216*CC72/CA72</f>
        <v>#DIV/0!</v>
      </c>
      <c r="CD216" s="3" t="e">
        <f>CB216*CD72/CB72</f>
        <v>#DIV/0!</v>
      </c>
      <c r="CE216" s="3" t="e">
        <f>CD216</f>
        <v>#DIV/0!</v>
      </c>
      <c r="CF216" s="3" t="e">
        <f>CD216*CF72/CD72</f>
        <v>#DIV/0!</v>
      </c>
      <c r="CG216" s="3" t="e">
        <f>CE216*CG72/CE72</f>
        <v>#DIV/0!</v>
      </c>
      <c r="CH216" s="3" t="e">
        <f>CF216*CH72/CF72</f>
        <v>#DIV/0!</v>
      </c>
      <c r="CI216" s="3" t="e">
        <f>CG216*CI72/CG72</f>
        <v>#DIV/0!</v>
      </c>
      <c r="CJ216" s="3" t="e">
        <f>CI216</f>
        <v>#DIV/0!</v>
      </c>
      <c r="CK216" s="3" t="e">
        <f>CI216*CK72/CI72</f>
        <v>#DIV/0!</v>
      </c>
      <c r="CL216" s="3" t="e">
        <f>CJ216*CL72/CJ72</f>
        <v>#DIV/0!</v>
      </c>
      <c r="CM216" s="3" t="e">
        <f>CK216*CM72/CK72</f>
        <v>#DIV/0!</v>
      </c>
      <c r="CN216" s="3" t="e">
        <f>CL216*CN72/CL72</f>
        <v>#DIV/0!</v>
      </c>
      <c r="CO216" s="3" t="e">
        <f>CN216</f>
        <v>#DIV/0!</v>
      </c>
      <c r="CP216" s="3" t="e">
        <f>CN216*CP72/CN72</f>
        <v>#DIV/0!</v>
      </c>
      <c r="CQ216" s="3" t="e">
        <f>CO216*CQ72/CO72</f>
        <v>#DIV/0!</v>
      </c>
      <c r="CR216" s="3" t="e">
        <f>CP216*CR72/CP72</f>
        <v>#DIV/0!</v>
      </c>
      <c r="CS216" s="3" t="e">
        <f>CQ216*CS72/CQ72</f>
        <v>#DIV/0!</v>
      </c>
      <c r="CT216" s="3" t="e">
        <f>CS216</f>
        <v>#DIV/0!</v>
      </c>
      <c r="CU216" s="3" t="e">
        <f>CS216*CU72/CS72</f>
        <v>#DIV/0!</v>
      </c>
      <c r="CV216" s="3" t="e">
        <f>CT216*CV72/CT72</f>
        <v>#DIV/0!</v>
      </c>
      <c r="CW216" s="3" t="e">
        <f>CU216*CW72/CU72</f>
        <v>#DIV/0!</v>
      </c>
      <c r="CX216" s="3" t="e">
        <f>CV216*CX72/CV72</f>
        <v>#DIV/0!</v>
      </c>
      <c r="CY216" s="3" t="e">
        <f>CX216</f>
        <v>#DIV/0!</v>
      </c>
    </row>
    <row r="217" hidden="1" outlineLevel="1">
      <c r="C217" s="38" t="inlineStr">
        <is>
          <t>%(Var.)</t>
        </is>
      </c>
      <c r="D217" s="3" t="n"/>
      <c r="E217" s="47">
        <f>(E216-D216)/D216</f>
        <v>0.265009821504826</v>
      </c>
      <c r="F217" s="47">
        <f>(F216-E216)/E216</f>
        <v>0.048474210099919</v>
      </c>
      <c r="G217" s="47">
        <f>(G216-F216)/F216</f>
        <v>-0.263103670315518</v>
      </c>
      <c r="H217" s="3" t="n"/>
      <c r="I217" s="47">
        <f>(I216-H216)/H216</f>
        <v>0.207008039147151</v>
      </c>
      <c r="J217" s="47">
        <f>(J216-I216)/I216</f>
        <v>0.342069065373199</v>
      </c>
      <c r="K217" s="47">
        <f>(K216-J216)/J216</f>
        <v>-0.0826410616031934</v>
      </c>
      <c r="L217" s="47">
        <f>(L216-K216)/K216</f>
        <v>-0.0258144184405504</v>
      </c>
      <c r="M217" s="3" t="n"/>
      <c r="N217" s="47">
        <f>(N216-M216)/M216</f>
        <v>-0.0182893704352026</v>
      </c>
      <c r="O217" s="47">
        <f>(O216-N216)/N216</f>
        <v>0.286829808165273</v>
      </c>
      <c r="P217" s="47">
        <f>(P216-O216)/O216</f>
        <v>0.13283004443595</v>
      </c>
      <c r="Q217" s="47">
        <f>(Q216-P216)/P216</f>
        <v>-0.220253912016534</v>
      </c>
      <c r="R217" s="3" t="n"/>
      <c r="S217" s="47">
        <f>(S216-R216)/R216</f>
        <v>0.22534754151566</v>
      </c>
      <c r="T217" s="47">
        <f>(T216-S216)/S216</f>
        <v>0.168145499492341</v>
      </c>
      <c r="U217" s="47">
        <f>(U216-T216)/T216</f>
        <v>0.126105358627466</v>
      </c>
      <c r="V217" s="47">
        <f>(V216-U216)/U216</f>
        <v>-0.237088492902446</v>
      </c>
      <c r="W217" s="3" t="n"/>
      <c r="X217" s="47">
        <f>(X216-W216)/W216</f>
        <v>0.220154834169086</v>
      </c>
      <c r="Y217" s="47">
        <f>(Y216-X216)/X216</f>
        <v>0.283067161757814</v>
      </c>
      <c r="Z217" s="47">
        <f>(Z216-Y216)/Y216</f>
        <v>0.403107527183839</v>
      </c>
      <c r="AA217" s="47">
        <f>(AA216-Z216)/Z216</f>
        <v>-0.347350714886459</v>
      </c>
      <c r="AB217" s="3" t="n"/>
      <c r="AC217" s="47">
        <f>(AC216-AB216)/AB216</f>
        <v>0.186211340206186</v>
      </c>
      <c r="AD217" s="47">
        <f>(AD216-AC216)/AC216</f>
        <v>0.267608183957994</v>
      </c>
      <c r="AE217" s="47">
        <f>(AE216-AD216)/AD216</f>
        <v>0.150631542432714</v>
      </c>
      <c r="AF217" s="218">
        <f>(AF216-AE216)/AE216</f>
        <v>-0.219723704977921</v>
      </c>
      <c r="AG217" s="3" t="n"/>
      <c r="AH217" s="218">
        <f>(AH216-AG216)/AG216</f>
        <v>0.242437328121094</v>
      </c>
      <c r="AI217" s="218">
        <f>(AI216-AH216)/AH216</f>
        <v>0.320052683569312</v>
      </c>
      <c r="AJ217" s="218" t="n"/>
      <c r="AK217" s="218" t="n"/>
      <c r="AL217" s="3" t="n"/>
      <c r="AM217" s="218" t="n"/>
      <c r="AN217" s="218" t="n"/>
      <c r="AO217" s="218" t="n"/>
      <c r="AP217" s="218" t="n"/>
      <c r="AQ217" s="3" t="n"/>
      <c r="AR217" s="218" t="n"/>
      <c r="AS217" s="218" t="n"/>
      <c r="AT217" s="218" t="n"/>
      <c r="AU217" s="218" t="n"/>
      <c r="AV217" s="3" t="n"/>
      <c r="AW217" s="218" t="n"/>
      <c r="AX217" s="218" t="n"/>
      <c r="AY217" s="218" t="n"/>
      <c r="AZ217" s="218" t="n"/>
      <c r="BA217" s="3" t="n"/>
      <c r="BB217" s="218" t="n"/>
      <c r="BC217" s="218" t="n"/>
      <c r="BD217" s="218" t="n"/>
      <c r="BE217" s="218" t="n"/>
      <c r="BF217" s="3" t="n"/>
      <c r="BG217" s="218" t="n"/>
      <c r="BH217" s="218" t="n"/>
      <c r="BI217" s="218" t="n"/>
      <c r="BJ217" s="218" t="n"/>
      <c r="BK217" s="3" t="n"/>
      <c r="BL217" s="218" t="n"/>
      <c r="BM217" s="218" t="n"/>
      <c r="BN217" s="218" t="n"/>
      <c r="BO217" s="218" t="n"/>
      <c r="BP217" s="3" t="n"/>
      <c r="BQ217" s="218" t="n"/>
      <c r="BR217" s="218" t="n"/>
      <c r="BS217" s="218" t="n"/>
      <c r="BT217" s="218" t="n"/>
      <c r="BU217" s="3" t="n"/>
      <c r="BV217" s="218" t="n"/>
      <c r="BW217" s="218" t="n"/>
      <c r="BX217" s="218" t="n"/>
      <c r="BY217" s="218" t="n"/>
      <c r="BZ217" s="3" t="n"/>
      <c r="CA217" s="218" t="n"/>
      <c r="CB217" s="218" t="n"/>
      <c r="CC217" s="218" t="n"/>
      <c r="CD217" s="218" t="n"/>
      <c r="CE217" s="3" t="n"/>
      <c r="CF217" s="218" t="n"/>
      <c r="CG217" s="218" t="n"/>
      <c r="CH217" s="218" t="n"/>
      <c r="CI217" s="218" t="n"/>
      <c r="CJ217" s="3" t="n"/>
      <c r="CK217" s="218" t="n"/>
      <c r="CL217" s="218" t="n"/>
      <c r="CM217" s="218" t="n"/>
      <c r="CN217" s="218" t="n"/>
      <c r="CO217" s="3" t="n"/>
      <c r="CP217" s="218" t="n"/>
      <c r="CQ217" s="218" t="n"/>
      <c r="CR217" s="218" t="n"/>
      <c r="CS217" s="218" t="n"/>
      <c r="CT217" s="3" t="n"/>
      <c r="CU217" s="218" t="n"/>
      <c r="CV217" s="218" t="n"/>
      <c r="CW217" s="218" t="n"/>
      <c r="CX217" s="218" t="n"/>
      <c r="CY217" s="3" t="n"/>
    </row>
    <row r="218" collapsed="1">
      <c r="C218" s="26" t="inlineStr">
        <is>
          <t>Taxes payable</t>
        </is>
      </c>
      <c r="D218" s="25">
        <f>INDEX('Inputs (2)'!$D$30:$AL$30,MATCH(D$7,'Inputs (2)'!$D$2:$AL$2,0))</f>
        <v>8.131</v>
      </c>
      <c r="E218" s="25">
        <f>INDEX('Inputs (2)'!$D$30:$AL$30,MATCH(E$7,'Inputs (2)'!$D$2:$AL$2,0))</f>
        <v>6.957</v>
      </c>
      <c r="F218" s="25">
        <f>INDEX('Inputs (2)'!$D$30:$AL$30,MATCH(F$7,'Inputs (2)'!$D$2:$AL$2,0))</f>
        <v>9.23</v>
      </c>
      <c r="G218" s="25">
        <f>INDEX('Inputs (2)'!$D$30:$AL$30,MATCH(G$7,'Inputs (2)'!$D$2:$AL$2,0))</f>
        <v>9.201</v>
      </c>
      <c r="H218" s="3">
        <f>G218</f>
        <v>9.201</v>
      </c>
      <c r="I218" s="25">
        <f>INDEX('Inputs (2)'!$D$30:$AL$30,MATCH(I$7,'Inputs (2)'!$D$2:$AL$2,0))</f>
        <v>9.385</v>
      </c>
      <c r="J218" s="25">
        <f>INDEX('Inputs (2)'!$D$30:$AL$30,MATCH(J$7,'Inputs (2)'!$D$2:$AL$2,0))</f>
        <v>8.745</v>
      </c>
      <c r="K218" s="25">
        <f>INDEX('Inputs (2)'!$D$30:$AL$30,MATCH(K$7,'Inputs (2)'!$D$2:$AL$2,0))</f>
        <v>9.271</v>
      </c>
      <c r="L218" s="25">
        <f>INDEX('Inputs (2)'!$D$30:$AL$30,MATCH(L$7,'Inputs (2)'!$D$2:$AL$2,0))</f>
        <v>8.366</v>
      </c>
      <c r="M218" s="3">
        <f>L218</f>
        <v>8.366</v>
      </c>
      <c r="N218" s="25">
        <f>INDEX('Inputs (2)'!$D$30:$AL$30,MATCH(N$7,'Inputs (2)'!$D$2:$AL$2,0))</f>
        <v>10.182</v>
      </c>
      <c r="O218" s="25">
        <f>INDEX('Inputs (2)'!$D$30:$AL$30,MATCH(O$7,'Inputs (2)'!$D$2:$AL$2,0))</f>
        <v>12.518</v>
      </c>
      <c r="P218" s="25">
        <f>INDEX('Inputs (2)'!$D$30:$AL$30,MATCH(P$7,'Inputs (2)'!$D$2:$AL$2,0))</f>
        <v>12.142</v>
      </c>
      <c r="Q218" s="25">
        <f>INDEX('Inputs (2)'!$D$30:$AL$30,MATCH(Q$7,'Inputs (2)'!$D$2:$AL$2,0))</f>
        <v>14.84</v>
      </c>
      <c r="R218" s="3">
        <f>Q218</f>
        <v>14.84</v>
      </c>
      <c r="S218" s="25">
        <f>INDEX('Inputs (2)'!$D$30:$AL$30,MATCH(S$7,'Inputs (2)'!$D$2:$AL$2,0))</f>
        <v>14.924</v>
      </c>
      <c r="T218" s="25">
        <f>INDEX('Inputs (2)'!$D$30:$AL$30,MATCH(T$7,'Inputs (2)'!$D$2:$AL$2,0))</f>
        <v>14.002</v>
      </c>
      <c r="U218" s="25">
        <f>INDEX('Inputs (2)'!$D$30:$AL$30,MATCH(U$7,'Inputs (2)'!$D$2:$AL$2,0))</f>
        <v>16.903</v>
      </c>
      <c r="V218" s="25">
        <f>INDEX('Inputs (2)'!$D$30:$AL$30,MATCH(V$7,'Inputs (2)'!$D$2:$AL$2,0))</f>
        <v>19.051</v>
      </c>
      <c r="W218" s="3">
        <f>V218</f>
        <v>19.051</v>
      </c>
      <c r="X218" s="25">
        <f>INDEX('Inputs (2)'!$D$30:$AL$30,MATCH(X$7,'Inputs (2)'!$D$2:$AL$2,0))</f>
        <v>17.695</v>
      </c>
      <c r="Y218" s="25">
        <f>INDEX('Inputs (2)'!$D$30:$AL$30,MATCH(Y$7,'Inputs (2)'!$D$2:$AL$2,0))</f>
        <v>19.541</v>
      </c>
      <c r="Z218" s="25">
        <f>INDEX('Inputs (2)'!$D$30:$AL$30,MATCH(Z$7,'Inputs (2)'!$D$2:$AL$2,0))</f>
        <v>20.725</v>
      </c>
      <c r="AA218" s="25">
        <f>INDEX('Inputs (2)'!$D$30:$AL$30,MATCH(AA$7,'Inputs (2)'!$D$2:$AL$2,0))</f>
        <v>27.898</v>
      </c>
      <c r="AB218" s="3">
        <f>AA218</f>
        <v>27.898</v>
      </c>
      <c r="AC218" s="25">
        <f>INDEX('Inputs (2)'!$D$30:$AL$30,MATCH(AC$7,'Inputs (2)'!$D$2:$AL$2,0))</f>
        <v>24.51</v>
      </c>
      <c r="AD218" s="25">
        <f>INDEX('Inputs (2)'!$D$30:$AL$30,MATCH(AD$7,'Inputs (2)'!$D$2:$AL$2,0))</f>
        <v>30.682</v>
      </c>
      <c r="AE218" s="25">
        <f>INDEX('Inputs (2)'!$D$30:$AL$30,MATCH(AE$7,'Inputs (2)'!$D$2:$AL$2,0))</f>
        <v>39.048</v>
      </c>
      <c r="AF218" s="25">
        <f>INDEX('Inputs (2)'!$D$30:$AL$30,MATCH(AF$7,'Inputs (2)'!$D$2:$AL$2,0))</f>
        <v>42.103</v>
      </c>
      <c r="AG218" s="3">
        <f>AF218</f>
        <v>42.103</v>
      </c>
      <c r="AH218" s="3">
        <f>INDEX('Inputs (2)'!$D$30:$AL$30,MATCH(AH$7,'Inputs (2)'!$D$2:$AL$2,0))</f>
        <v>40.189</v>
      </c>
      <c r="AI218" s="3">
        <f>INDEX('Inputs (2)'!$D$30:$AL$30,MATCH(AI$7,'Inputs (2)'!$D$2:$AL$2,0))</f>
        <v>45.828</v>
      </c>
      <c r="AJ218" s="3">
        <f>AH218*AJ145/AH145</f>
        <v>0</v>
      </c>
      <c r="AK218" s="3">
        <f>AI218*AK145/AI145</f>
        <v>0</v>
      </c>
      <c r="AL218" s="3">
        <f>AK218</f>
        <v>0</v>
      </c>
      <c r="AM218" s="3" t="e">
        <f>AK218*AM145/AK145</f>
        <v>#DIV/0!</v>
      </c>
      <c r="AN218" s="3">
        <f>AL218*AN145/AL145</f>
        <v>0</v>
      </c>
      <c r="AO218" s="3" t="e">
        <f>AM218*AO145/AM145</f>
        <v>#DIV/0!</v>
      </c>
      <c r="AP218" s="3" t="e">
        <f>AN218*AP145/AN145</f>
        <v>#DIV/0!</v>
      </c>
      <c r="AQ218" s="3" t="e">
        <f>AP218</f>
        <v>#DIV/0!</v>
      </c>
      <c r="AR218" s="3" t="e">
        <f>AP218*AR145/AP145</f>
        <v>#DIV/0!</v>
      </c>
      <c r="AS218" s="3" t="e">
        <f>AQ218*AS145/AQ145</f>
        <v>#DIV/0!</v>
      </c>
      <c r="AT218" s="3" t="e">
        <f>AR218*AT145/AR145</f>
        <v>#DIV/0!</v>
      </c>
      <c r="AU218" s="3" t="e">
        <f>AS218*AU145/AS145</f>
        <v>#DIV/0!</v>
      </c>
      <c r="AV218" s="3" t="e">
        <f>AU218</f>
        <v>#DIV/0!</v>
      </c>
      <c r="AW218" s="3" t="e">
        <f>AU218*AW145/AU145</f>
        <v>#DIV/0!</v>
      </c>
      <c r="AX218" s="3" t="e">
        <f>AV218*AX145/AV145</f>
        <v>#DIV/0!</v>
      </c>
      <c r="AY218" s="3" t="e">
        <f>AW218*AY145/AW145</f>
        <v>#DIV/0!</v>
      </c>
      <c r="AZ218" s="3" t="e">
        <f>AX218*AZ145/AX145</f>
        <v>#DIV/0!</v>
      </c>
      <c r="BA218" s="3" t="e">
        <f>AZ218</f>
        <v>#DIV/0!</v>
      </c>
      <c r="BB218" s="3" t="e">
        <f>AZ218*BB145/AZ145</f>
        <v>#DIV/0!</v>
      </c>
      <c r="BC218" s="3" t="e">
        <f>BA218*BC145/BA145</f>
        <v>#DIV/0!</v>
      </c>
      <c r="BD218" s="3" t="e">
        <f>BB218*BD145/BB145</f>
        <v>#DIV/0!</v>
      </c>
      <c r="BE218" s="3" t="e">
        <f>BC218*BE145/BC145</f>
        <v>#DIV/0!</v>
      </c>
      <c r="BF218" s="3" t="e">
        <f>BE218</f>
        <v>#DIV/0!</v>
      </c>
      <c r="BG218" s="3" t="e">
        <f>BE218*BG145/BE145</f>
        <v>#DIV/0!</v>
      </c>
      <c r="BH218" s="3" t="e">
        <f>BF218*BH145/BF145</f>
        <v>#DIV/0!</v>
      </c>
      <c r="BI218" s="3" t="e">
        <f>BG218*BI145/BG145</f>
        <v>#DIV/0!</v>
      </c>
      <c r="BJ218" s="3" t="e">
        <f>BH218*BJ145/BH145</f>
        <v>#DIV/0!</v>
      </c>
      <c r="BK218" s="3" t="e">
        <f>BJ218</f>
        <v>#DIV/0!</v>
      </c>
      <c r="BL218" s="3" t="e">
        <f>BJ218*BL145/BJ145</f>
        <v>#DIV/0!</v>
      </c>
      <c r="BM218" s="3" t="e">
        <f>BK218*BM145/BK145</f>
        <v>#DIV/0!</v>
      </c>
      <c r="BN218" s="3" t="e">
        <f>BL218*BN145/BL145</f>
        <v>#DIV/0!</v>
      </c>
      <c r="BO218" s="3" t="e">
        <f>BM218*BO145/BM145</f>
        <v>#DIV/0!</v>
      </c>
      <c r="BP218" s="3" t="e">
        <f>BO218</f>
        <v>#DIV/0!</v>
      </c>
      <c r="BQ218" s="3" t="e">
        <f>BO218*BQ145/BO145</f>
        <v>#DIV/0!</v>
      </c>
      <c r="BR218" s="3" t="e">
        <f>BP218*BR145/BP145</f>
        <v>#DIV/0!</v>
      </c>
      <c r="BS218" s="3" t="e">
        <f>BQ218*BS145/BQ145</f>
        <v>#DIV/0!</v>
      </c>
      <c r="BT218" s="3" t="e">
        <f>BR218*BT145/BR145</f>
        <v>#DIV/0!</v>
      </c>
      <c r="BU218" s="3" t="e">
        <f>BT218</f>
        <v>#DIV/0!</v>
      </c>
      <c r="BV218" s="3" t="e">
        <f>BT218*BV145/BT145</f>
        <v>#DIV/0!</v>
      </c>
      <c r="BW218" s="3" t="e">
        <f>BU218*BW145/BU145</f>
        <v>#DIV/0!</v>
      </c>
      <c r="BX218" s="3" t="e">
        <f>BV218*BX145/BV145</f>
        <v>#DIV/0!</v>
      </c>
      <c r="BY218" s="3" t="e">
        <f>BW218*BY145/BW145</f>
        <v>#DIV/0!</v>
      </c>
      <c r="BZ218" s="3" t="e">
        <f>BY218</f>
        <v>#DIV/0!</v>
      </c>
      <c r="CA218" s="3" t="e">
        <f>BY218*CA145/BY145</f>
        <v>#DIV/0!</v>
      </c>
      <c r="CB218" s="3" t="e">
        <f>BZ218*CB145/BZ145</f>
        <v>#DIV/0!</v>
      </c>
      <c r="CC218" s="3" t="e">
        <f>CA218*CC145/CA145</f>
        <v>#DIV/0!</v>
      </c>
      <c r="CD218" s="3" t="e">
        <f>CB218*CD145/CB145</f>
        <v>#DIV/0!</v>
      </c>
      <c r="CE218" s="3" t="e">
        <f>CD218</f>
        <v>#DIV/0!</v>
      </c>
      <c r="CF218" s="3" t="e">
        <f>CD218*CF145/CD145</f>
        <v>#DIV/0!</v>
      </c>
      <c r="CG218" s="3" t="e">
        <f>CE218*CG145/CE145</f>
        <v>#DIV/0!</v>
      </c>
      <c r="CH218" s="3" t="e">
        <f>CF218*CH145/CF145</f>
        <v>#DIV/0!</v>
      </c>
      <c r="CI218" s="3" t="e">
        <f>CG218*CI145/CG145</f>
        <v>#DIV/0!</v>
      </c>
      <c r="CJ218" s="3" t="e">
        <f>CI218</f>
        <v>#DIV/0!</v>
      </c>
      <c r="CK218" s="3" t="e">
        <f>CI218*CK145/CI145</f>
        <v>#DIV/0!</v>
      </c>
      <c r="CL218" s="3" t="e">
        <f>CJ218*CL145/CJ145</f>
        <v>#DIV/0!</v>
      </c>
      <c r="CM218" s="3" t="e">
        <f>CK218*CM145/CK145</f>
        <v>#DIV/0!</v>
      </c>
      <c r="CN218" s="3" t="e">
        <f>CL218*CN145/CL145</f>
        <v>#DIV/0!</v>
      </c>
      <c r="CO218" s="3" t="e">
        <f>CN218</f>
        <v>#DIV/0!</v>
      </c>
      <c r="CP218" s="3" t="e">
        <f>CN218*CP145/CN145</f>
        <v>#DIV/0!</v>
      </c>
      <c r="CQ218" s="3" t="e">
        <f>CO218*CQ145/CO145</f>
        <v>#DIV/0!</v>
      </c>
      <c r="CR218" s="3" t="e">
        <f>CP218*CR145/CP145</f>
        <v>#DIV/0!</v>
      </c>
      <c r="CS218" s="3" t="e">
        <f>CQ218*CS145/CQ145</f>
        <v>#DIV/0!</v>
      </c>
      <c r="CT218" s="3" t="e">
        <f>CS218</f>
        <v>#DIV/0!</v>
      </c>
      <c r="CU218" s="3" t="e">
        <f>CS218*CU145/CS145</f>
        <v>#DIV/0!</v>
      </c>
      <c r="CV218" s="3" t="e">
        <f>CT218*CV145/CT145</f>
        <v>#DIV/0!</v>
      </c>
      <c r="CW218" s="3" t="e">
        <f>CU218*CW145/CU145</f>
        <v>#DIV/0!</v>
      </c>
      <c r="CX218" s="3" t="e">
        <f>CV218*CX145/CV145</f>
        <v>#DIV/0!</v>
      </c>
      <c r="CY218" s="3" t="e">
        <f>CX218</f>
        <v>#DIV/0!</v>
      </c>
    </row>
    <row r="219">
      <c r="C219" s="26" t="inlineStr">
        <is>
          <t>Other current liabilities (non-debt)</t>
        </is>
      </c>
      <c r="D219" s="25">
        <f>INDEX('Inputs (2)'!$D$31:$AL$31,MATCH(D$7,'Inputs (2)'!$D$2:$AL$2,0))</f>
        <v>373.573</v>
      </c>
      <c r="E219" s="25">
        <f>INDEX('Inputs (2)'!$D$31:$AL$31,MATCH(E$7,'Inputs (2)'!$D$2:$AL$2,0))</f>
        <v>430.959</v>
      </c>
      <c r="F219" s="25">
        <f>INDEX('Inputs (2)'!$D$31:$AL$31,MATCH(F$7,'Inputs (2)'!$D$2:$AL$2,0))</f>
        <v>590.712</v>
      </c>
      <c r="G219" s="25">
        <f>INDEX('Inputs (2)'!$D$31:$AL$31,MATCH(G$7,'Inputs (2)'!$D$2:$AL$2,0))</f>
        <v>435.687</v>
      </c>
      <c r="H219" s="3">
        <f>G219</f>
        <v>435.687</v>
      </c>
      <c r="I219" s="25">
        <f>INDEX('Inputs (2)'!$D$31:$AL$31,MATCH(I$7,'Inputs (2)'!$D$2:$AL$2,0))</f>
        <v>542.973</v>
      </c>
      <c r="J219" s="25">
        <f>INDEX('Inputs (2)'!$D$31:$AL$31,MATCH(J$7,'Inputs (2)'!$D$2:$AL$2,0))</f>
        <v>679.558</v>
      </c>
      <c r="K219" s="25">
        <f>INDEX('Inputs (2)'!$D$31:$AL$31,MATCH(K$7,'Inputs (2)'!$D$2:$AL$2,0))</f>
        <v>562.006</v>
      </c>
      <c r="L219" s="25">
        <f>INDEX('Inputs (2)'!$D$31:$AL$31,MATCH(L$7,'Inputs (2)'!$D$2:$AL$2,0))</f>
        <v>925.411</v>
      </c>
      <c r="M219" s="3">
        <f>L219</f>
        <v>925.411</v>
      </c>
      <c r="N219" s="25">
        <f>INDEX('Inputs (2)'!$D$31:$AL$31,MATCH(N$7,'Inputs (2)'!$D$2:$AL$2,0))</f>
        <v>1210.216</v>
      </c>
      <c r="O219" s="25">
        <f>INDEX('Inputs (2)'!$D$31:$AL$31,MATCH(O$7,'Inputs (2)'!$D$2:$AL$2,0))</f>
        <v>1150.613</v>
      </c>
      <c r="P219" s="25">
        <f>INDEX('Inputs (2)'!$D$31:$AL$31,MATCH(P$7,'Inputs (2)'!$D$2:$AL$2,0))</f>
        <v>803.24928139108</v>
      </c>
      <c r="Q219" s="25">
        <f>INDEX('Inputs (2)'!$D$31:$AL$31,MATCH(Q$7,'Inputs (2)'!$D$2:$AL$2,0))</f>
        <v>784.809</v>
      </c>
      <c r="R219" s="3">
        <f>Q219</f>
        <v>784.809</v>
      </c>
      <c r="S219" s="25">
        <f>INDEX('Inputs (2)'!$D$31:$AL$31,MATCH(S$7,'Inputs (2)'!$D$2:$AL$2,0))</f>
        <v>480.737</v>
      </c>
      <c r="T219" s="25">
        <f>INDEX('Inputs (2)'!$D$31:$AL$31,MATCH(T$7,'Inputs (2)'!$D$2:$AL$2,0))</f>
        <v>475.44</v>
      </c>
      <c r="U219" s="25">
        <f>INDEX('Inputs (2)'!$D$31:$AL$31,MATCH(U$7,'Inputs (2)'!$D$2:$AL$2,0))</f>
        <v>651.102</v>
      </c>
      <c r="V219" s="25">
        <f>INDEX('Inputs (2)'!$D$31:$AL$31,MATCH(V$7,'Inputs (2)'!$D$2:$AL$2,0))</f>
        <v>737.404</v>
      </c>
      <c r="W219" s="3">
        <f>V219</f>
        <v>737.404</v>
      </c>
      <c r="X219" s="25">
        <f>INDEX('Inputs (2)'!$D$31:$AL$31,MATCH(X$7,'Inputs (2)'!$D$2:$AL$2,0))</f>
        <v>815.687</v>
      </c>
      <c r="Y219" s="25">
        <f>INDEX('Inputs (2)'!$D$31:$AL$31,MATCH(Y$7,'Inputs (2)'!$D$2:$AL$2,0))</f>
        <v>1037.952</v>
      </c>
      <c r="Z219" s="25">
        <f>INDEX('Inputs (2)'!$D$31:$AL$31,MATCH(Z$7,'Inputs (2)'!$D$2:$AL$2,0))</f>
        <v>788.015</v>
      </c>
      <c r="AA219" s="25">
        <f>INDEX('Inputs (2)'!$D$31:$AL$31,MATCH(AA$7,'Inputs (2)'!$D$2:$AL$2,0))</f>
        <v>785.959</v>
      </c>
      <c r="AB219" s="3">
        <f>AA219</f>
        <v>785.959</v>
      </c>
      <c r="AC219" s="25">
        <f>INDEX('Inputs (2)'!$D$31:$AL$31,MATCH(AC$7,'Inputs (2)'!$D$2:$AL$2,0))</f>
        <v>882.876</v>
      </c>
      <c r="AD219" s="25">
        <f>INDEX('Inputs (2)'!$D$31:$AL$31,MATCH(AD$7,'Inputs (2)'!$D$2:$AL$2,0))</f>
        <v>897.325</v>
      </c>
      <c r="AE219" s="25">
        <f>INDEX('Inputs (2)'!$D$31:$AL$31,MATCH(AE$7,'Inputs (2)'!$D$2:$AL$2,0))</f>
        <v>1166.893</v>
      </c>
      <c r="AF219" s="25">
        <f>INDEX('Inputs (2)'!$D$31:$AL$31,MATCH(AF$7,'Inputs (2)'!$D$2:$AL$2,0))</f>
        <v>1069.117</v>
      </c>
      <c r="AG219" s="3">
        <f>AF219</f>
        <v>1069.117</v>
      </c>
      <c r="AH219" s="3">
        <f>INDEX('Inputs (2)'!$D$31:$AL$31,MATCH(AH$7,'Inputs (2)'!$D$2:$AL$2,0))</f>
        <v>1277.469</v>
      </c>
      <c r="AI219" s="3">
        <f>INDEX('Inputs (2)'!$D$31:$AL$31,MATCH(AI$7,'Inputs (2)'!$D$2:$AL$2,0))</f>
        <v>1234.59</v>
      </c>
      <c r="AJ219" s="3">
        <f>AI219</f>
        <v>1234.59</v>
      </c>
      <c r="AK219" s="3">
        <f>AJ219</f>
        <v>1234.59</v>
      </c>
      <c r="AL219" s="3">
        <f>AK219</f>
        <v>1234.59</v>
      </c>
      <c r="AM219" s="3">
        <f>AL219</f>
        <v>1234.59</v>
      </c>
      <c r="AN219" s="3">
        <f>AM219</f>
        <v>1234.59</v>
      </c>
      <c r="AO219" s="3">
        <f>AN219</f>
        <v>1234.59</v>
      </c>
      <c r="AP219" s="3">
        <f>AO219</f>
        <v>1234.59</v>
      </c>
      <c r="AQ219" s="3">
        <f>AP219</f>
        <v>1234.59</v>
      </c>
      <c r="AR219" s="3">
        <f>AQ219</f>
        <v>1234.59</v>
      </c>
      <c r="AS219" s="3">
        <f>AR219</f>
        <v>1234.59</v>
      </c>
      <c r="AT219" s="3">
        <f>AS219</f>
        <v>1234.59</v>
      </c>
      <c r="AU219" s="3">
        <f>AT219</f>
        <v>1234.59</v>
      </c>
      <c r="AV219" s="3">
        <f>AU219</f>
        <v>1234.59</v>
      </c>
      <c r="AW219" s="3">
        <f>AV219</f>
        <v>1234.59</v>
      </c>
      <c r="AX219" s="3">
        <f>AW219</f>
        <v>1234.59</v>
      </c>
      <c r="AY219" s="3">
        <f>AX219</f>
        <v>1234.59</v>
      </c>
      <c r="AZ219" s="3">
        <f>AY219</f>
        <v>1234.59</v>
      </c>
      <c r="BA219" s="3">
        <f>AZ219</f>
        <v>1234.59</v>
      </c>
      <c r="BB219" s="3">
        <f>BA219</f>
        <v>1234.59</v>
      </c>
      <c r="BC219" s="3">
        <f>BB219</f>
        <v>1234.59</v>
      </c>
      <c r="BD219" s="3">
        <f>BC219</f>
        <v>1234.59</v>
      </c>
      <c r="BE219" s="3">
        <f>BD219</f>
        <v>1234.59</v>
      </c>
      <c r="BF219" s="3">
        <f>BE219</f>
        <v>1234.59</v>
      </c>
      <c r="BG219" s="3">
        <f>BF219</f>
        <v>1234.59</v>
      </c>
      <c r="BH219" s="3">
        <f>BG219</f>
        <v>1234.59</v>
      </c>
      <c r="BI219" s="3">
        <f>BH219</f>
        <v>1234.59</v>
      </c>
      <c r="BJ219" s="3">
        <f>BI219</f>
        <v>1234.59</v>
      </c>
      <c r="BK219" s="3">
        <f>BJ219</f>
        <v>1234.59</v>
      </c>
      <c r="BL219" s="3">
        <f>BK219</f>
        <v>1234.59</v>
      </c>
      <c r="BM219" s="3">
        <f>BL219</f>
        <v>1234.59</v>
      </c>
      <c r="BN219" s="3">
        <f>BM219</f>
        <v>1234.59</v>
      </c>
      <c r="BO219" s="3">
        <f>BN219</f>
        <v>1234.59</v>
      </c>
      <c r="BP219" s="3">
        <f>BO219</f>
        <v>1234.59</v>
      </c>
      <c r="BQ219" s="3">
        <f>BP219</f>
        <v>1234.59</v>
      </c>
      <c r="BR219" s="3">
        <f>BQ219</f>
        <v>1234.59</v>
      </c>
      <c r="BS219" s="3">
        <f>BR219</f>
        <v>1234.59</v>
      </c>
      <c r="BT219" s="3">
        <f>BS219</f>
        <v>1234.59</v>
      </c>
      <c r="BU219" s="3">
        <f>BT219</f>
        <v>1234.59</v>
      </c>
      <c r="BV219" s="3">
        <f>BU219</f>
        <v>1234.59</v>
      </c>
      <c r="BW219" s="3">
        <f>BV219</f>
        <v>1234.59</v>
      </c>
      <c r="BX219" s="3">
        <f>BW219</f>
        <v>1234.59</v>
      </c>
      <c r="BY219" s="3">
        <f>BX219</f>
        <v>1234.59</v>
      </c>
      <c r="BZ219" s="3">
        <f>BY219</f>
        <v>1234.59</v>
      </c>
      <c r="CA219" s="3">
        <f>BZ219</f>
        <v>1234.59</v>
      </c>
      <c r="CB219" s="3">
        <f>CA219</f>
        <v>1234.59</v>
      </c>
      <c r="CC219" s="3">
        <f>CB219</f>
        <v>1234.59</v>
      </c>
      <c r="CD219" s="3">
        <f>CC219</f>
        <v>1234.59</v>
      </c>
      <c r="CE219" s="3">
        <f>CD219</f>
        <v>1234.59</v>
      </c>
      <c r="CF219" s="3">
        <f>CE219</f>
        <v>1234.59</v>
      </c>
      <c r="CG219" s="3">
        <f>CF219</f>
        <v>1234.59</v>
      </c>
      <c r="CH219" s="3">
        <f>CG219</f>
        <v>1234.59</v>
      </c>
      <c r="CI219" s="3">
        <f>CH219</f>
        <v>1234.59</v>
      </c>
      <c r="CJ219" s="3">
        <f>CI219</f>
        <v>1234.59</v>
      </c>
      <c r="CK219" s="3">
        <f>CJ219</f>
        <v>1234.59</v>
      </c>
      <c r="CL219" s="3">
        <f>CK219</f>
        <v>1234.59</v>
      </c>
      <c r="CM219" s="3">
        <f>CL219</f>
        <v>1234.59</v>
      </c>
      <c r="CN219" s="3">
        <f>CM219</f>
        <v>1234.59</v>
      </c>
      <c r="CO219" s="3">
        <f>CN219</f>
        <v>1234.59</v>
      </c>
      <c r="CP219" s="3">
        <f>CO219</f>
        <v>1234.59</v>
      </c>
      <c r="CQ219" s="3">
        <f>CP219</f>
        <v>1234.59</v>
      </c>
      <c r="CR219" s="3">
        <f>CQ219</f>
        <v>1234.59</v>
      </c>
      <c r="CS219" s="3">
        <f>CR219</f>
        <v>1234.59</v>
      </c>
      <c r="CT219" s="3">
        <f>CS219</f>
        <v>1234.59</v>
      </c>
      <c r="CU219" s="3">
        <f>CT219</f>
        <v>1234.59</v>
      </c>
      <c r="CV219" s="3">
        <f>CU219</f>
        <v>1234.59</v>
      </c>
      <c r="CW219" s="3">
        <f>CV219</f>
        <v>1234.59</v>
      </c>
      <c r="CX219" s="3">
        <f>CW219</f>
        <v>1234.59</v>
      </c>
      <c r="CY219" s="3">
        <f>CX219</f>
        <v>1234.59</v>
      </c>
    </row>
    <row r="220" hidden="1" outlineLevel="1">
      <c r="C220" s="38" t="inlineStr">
        <is>
          <t>%(Var.)</t>
        </is>
      </c>
      <c r="D220" s="3" t="n"/>
      <c r="E220" s="47">
        <f>(E219-D219)/D219</f>
        <v>0.153613885371802</v>
      </c>
      <c r="F220" s="47">
        <f>(F219-E219)/E219</f>
        <v>0.370691875561248</v>
      </c>
      <c r="G220" s="47">
        <f>(G219-F219)/F219</f>
        <v>-0.26243753301101</v>
      </c>
      <c r="H220" s="3" t="n"/>
      <c r="I220" s="47">
        <f>(I219-H219)/H219</f>
        <v>0.246245584559558</v>
      </c>
      <c r="J220" s="47">
        <f>(J219-I219)/I219</f>
        <v>0.251550261246876</v>
      </c>
      <c r="K220" s="47">
        <f>(K219-J219)/J219</f>
        <v>-0.172983027202976</v>
      </c>
      <c r="L220" s="47">
        <f>(L219-K219)/K219</f>
        <v>0.646621210449711</v>
      </c>
      <c r="M220" s="3" t="n"/>
      <c r="N220" s="47">
        <f>(N219-M219)/M219</f>
        <v>0.307760551798066</v>
      </c>
      <c r="O220" s="47">
        <f>(O219-N219)/N219</f>
        <v>-0.0492498859707687</v>
      </c>
      <c r="P220" s="47">
        <f>(P219-O219)/O219</f>
        <v>-0.301894484599878</v>
      </c>
      <c r="Q220" s="47">
        <f>(Q219-P219)/P219</f>
        <v>-0.0229571091045924</v>
      </c>
      <c r="R220" s="3" t="n"/>
      <c r="S220" s="47">
        <f>(S219-R219)/R219</f>
        <v>-0.387447136819277</v>
      </c>
      <c r="T220" s="47">
        <f>(T219-S219)/S219</f>
        <v>-0.0110184986801516</v>
      </c>
      <c r="U220" s="47">
        <f>(U219-T219)/T219</f>
        <v>0.3694724886421</v>
      </c>
      <c r="V220" s="47">
        <f>(V219-U219)/U219</f>
        <v>0.132547588549874</v>
      </c>
      <c r="W220" s="3" t="n"/>
      <c r="X220" s="47">
        <f>(X219-W219)/W219</f>
        <v>0.106160259504966</v>
      </c>
      <c r="Y220" s="47">
        <f>(Y219-X219)/X219</f>
        <v>0.27248809898895</v>
      </c>
      <c r="Z220" s="47">
        <f>(Z219-Y219)/Y219</f>
        <v>-0.240798225736836</v>
      </c>
      <c r="AA220" s="47">
        <f>(AA219-Z219)/Z219</f>
        <v>-0.00260908739046836</v>
      </c>
      <c r="AB220" s="3" t="n"/>
      <c r="AC220" s="47">
        <f>(AC219-AB219)/AB219</f>
        <v>0.1233105034741</v>
      </c>
      <c r="AD220" s="47">
        <f>(AD219-AC219)/AC219</f>
        <v>0.0163658316683203</v>
      </c>
      <c r="AE220" s="47">
        <f>(AE219-AD219)/AD219</f>
        <v>0.30041289387903</v>
      </c>
      <c r="AF220" s="218">
        <f>(AF219-AE219)/AE219</f>
        <v>-0.0837917444015862</v>
      </c>
      <c r="AG220" s="3" t="n"/>
      <c r="AH220" s="218">
        <f>(AH219-AG219)/AG219</f>
        <v>0.194882318773343</v>
      </c>
      <c r="AI220" s="218">
        <f>(AI219-AH219)/AH219</f>
        <v>-0.0335655894585308</v>
      </c>
      <c r="AJ220" s="218" t="n"/>
      <c r="AK220" s="218" t="n"/>
      <c r="AL220" s="3" t="n"/>
      <c r="AM220" s="218" t="n"/>
      <c r="AN220" s="218" t="n"/>
      <c r="AO220" s="218" t="n"/>
      <c r="AP220" s="218" t="n"/>
      <c r="AQ220" s="3" t="n"/>
      <c r="AR220" s="218" t="n"/>
      <c r="AS220" s="218" t="n"/>
      <c r="AT220" s="218" t="n"/>
      <c r="AU220" s="218" t="n"/>
      <c r="AV220" s="3" t="n"/>
      <c r="AW220" s="218" t="n"/>
      <c r="AX220" s="218" t="n"/>
      <c r="AY220" s="218" t="n"/>
      <c r="AZ220" s="218" t="n"/>
      <c r="BA220" s="3" t="n"/>
      <c r="BB220" s="218" t="n"/>
      <c r="BC220" s="218" t="n"/>
      <c r="BD220" s="218" t="n"/>
      <c r="BE220" s="218" t="n"/>
      <c r="BF220" s="3" t="n"/>
      <c r="BG220" s="218" t="n"/>
      <c r="BH220" s="218" t="n"/>
      <c r="BI220" s="218" t="n"/>
      <c r="BJ220" s="218" t="n"/>
      <c r="BK220" s="3" t="n"/>
      <c r="BL220" s="218" t="n"/>
      <c r="BM220" s="218" t="n"/>
      <c r="BN220" s="218" t="n"/>
      <c r="BO220" s="218" t="n"/>
      <c r="BP220" s="3" t="n"/>
      <c r="BQ220" s="218" t="n"/>
      <c r="BR220" s="218" t="n"/>
      <c r="BS220" s="218" t="n"/>
      <c r="BT220" s="218" t="n"/>
      <c r="BU220" s="3" t="n"/>
      <c r="BV220" s="218" t="n"/>
      <c r="BW220" s="218" t="n"/>
      <c r="BX220" s="218" t="n"/>
      <c r="BY220" s="218" t="n"/>
      <c r="BZ220" s="3" t="n"/>
      <c r="CA220" s="218" t="n"/>
      <c r="CB220" s="218" t="n"/>
      <c r="CC220" s="218" t="n"/>
      <c r="CD220" s="218" t="n"/>
      <c r="CE220" s="3" t="n"/>
      <c r="CF220" s="218" t="n"/>
      <c r="CG220" s="218" t="n"/>
      <c r="CH220" s="218" t="n"/>
      <c r="CI220" s="218" t="n"/>
      <c r="CJ220" s="3" t="n"/>
      <c r="CK220" s="218" t="n"/>
      <c r="CL220" s="218" t="n"/>
      <c r="CM220" s="218" t="n"/>
      <c r="CN220" s="218" t="n"/>
      <c r="CO220" s="3" t="n"/>
      <c r="CP220" s="218" t="n"/>
      <c r="CQ220" s="218" t="n"/>
      <c r="CR220" s="218" t="n"/>
      <c r="CS220" s="218" t="n"/>
      <c r="CT220" s="3" t="n"/>
      <c r="CU220" s="218" t="n"/>
      <c r="CV220" s="218" t="n"/>
      <c r="CW220" s="218" t="n"/>
      <c r="CX220" s="218" t="n"/>
      <c r="CY220" s="3" t="n"/>
    </row>
    <row r="221" hidden="1" outlineLevel="1">
      <c r="C221" s="34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  <c r="BO221" s="3" t="n"/>
      <c r="BP221" s="3" t="n"/>
      <c r="BQ221" s="3" t="n"/>
      <c r="BR221" s="3" t="n"/>
      <c r="BS221" s="3" t="n"/>
      <c r="BT221" s="3" t="n"/>
      <c r="BU221" s="3" t="n"/>
      <c r="BV221" s="3" t="n"/>
      <c r="BW221" s="3" t="n"/>
      <c r="BX221" s="3" t="n"/>
      <c r="BY221" s="3" t="n"/>
      <c r="BZ221" s="3" t="n"/>
      <c r="CA221" s="3" t="n"/>
      <c r="CB221" s="3" t="n"/>
      <c r="CC221" s="3" t="n"/>
      <c r="CD221" s="3" t="n"/>
      <c r="CE221" s="3" t="n"/>
      <c r="CF221" s="3" t="n"/>
      <c r="CG221" s="3" t="n"/>
      <c r="CH221" s="3" t="n"/>
      <c r="CI221" s="3" t="n"/>
      <c r="CJ221" s="3" t="n"/>
      <c r="CK221" s="3" t="n"/>
      <c r="CL221" s="3" t="n"/>
      <c r="CM221" s="3" t="n"/>
      <c r="CN221" s="3" t="n"/>
      <c r="CO221" s="3" t="n"/>
      <c r="CP221" s="3" t="n"/>
      <c r="CQ221" s="3" t="n"/>
      <c r="CR221" s="3" t="n"/>
      <c r="CS221" s="3" t="n"/>
      <c r="CT221" s="3" t="n"/>
      <c r="CU221" s="3" t="n"/>
      <c r="CV221" s="3" t="n"/>
      <c r="CW221" s="3" t="n"/>
      <c r="CX221" s="3" t="n"/>
      <c r="CY221" s="3" t="n"/>
    </row>
    <row r="222" hidden="1" outlineLevel="1">
      <c r="C222" s="34" t="inlineStr">
        <is>
          <t xml:space="preserve">Dividendos a Pagar </t>
        </is>
      </c>
      <c r="D222" s="6" t="n"/>
      <c r="E222" s="6" t="n"/>
      <c r="F222" s="6" t="n"/>
      <c r="G222" s="6" t="n"/>
      <c r="H222" s="3" t="n"/>
      <c r="I222" s="6" t="n"/>
      <c r="J222" s="6" t="n"/>
      <c r="K222" s="6" t="n"/>
      <c r="L222" s="6" t="n"/>
      <c r="M222" s="3" t="n"/>
      <c r="N222" s="6" t="n"/>
      <c r="O222" s="6" t="n"/>
      <c r="P222" s="6" t="n"/>
      <c r="Q222" s="6" t="n"/>
      <c r="R222" s="3" t="n"/>
      <c r="S222" s="6" t="n"/>
      <c r="T222" s="6" t="n"/>
      <c r="U222" s="6" t="n"/>
      <c r="V222" s="6" t="n"/>
      <c r="W222" s="3" t="n"/>
      <c r="X222" s="6" t="n"/>
      <c r="Y222" s="6" t="n"/>
      <c r="Z222" s="6" t="n"/>
      <c r="AA222" s="6" t="n"/>
      <c r="AB222" s="3" t="n"/>
      <c r="AC222" s="6" t="n"/>
      <c r="AD222" s="6" t="n"/>
      <c r="AE222" s="6" t="n"/>
      <c r="AF222" s="6" t="n"/>
      <c r="AG222" s="3" t="n"/>
      <c r="AH222" s="6" t="n"/>
      <c r="AI222" s="6" t="n"/>
      <c r="AJ222" s="6" t="n"/>
      <c r="AK222" s="6" t="n"/>
      <c r="AL222" s="3" t="n"/>
      <c r="AM222" s="6" t="n"/>
      <c r="AN222" s="6" t="n"/>
      <c r="AO222" s="6" t="n"/>
      <c r="AP222" s="6" t="n"/>
      <c r="AQ222" s="3" t="n"/>
      <c r="AR222" s="6" t="n"/>
      <c r="AS222" s="6" t="n"/>
      <c r="AT222" s="6" t="n"/>
      <c r="AU222" s="6" t="n"/>
      <c r="AV222" s="3" t="n"/>
      <c r="AW222" s="6" t="n"/>
      <c r="AX222" s="6" t="n"/>
      <c r="AY222" s="6" t="n"/>
      <c r="AZ222" s="6" t="n"/>
      <c r="BA222" s="3" t="n"/>
      <c r="BB222" s="6" t="n"/>
      <c r="BC222" s="6" t="n"/>
      <c r="BD222" s="6" t="n"/>
      <c r="BE222" s="6" t="n"/>
      <c r="BF222" s="3" t="n"/>
      <c r="BG222" s="6" t="n"/>
      <c r="BH222" s="6" t="n"/>
      <c r="BI222" s="6" t="n"/>
      <c r="BJ222" s="6" t="n"/>
      <c r="BK222" s="3" t="n"/>
      <c r="BL222" s="6" t="n"/>
      <c r="BM222" s="6" t="n"/>
      <c r="BN222" s="6" t="n"/>
      <c r="BO222" s="6" t="n"/>
      <c r="BP222" s="3" t="n"/>
      <c r="BQ222" s="6" t="n"/>
      <c r="BR222" s="6" t="n"/>
      <c r="BS222" s="6" t="n"/>
      <c r="BT222" s="6" t="n"/>
      <c r="BU222" s="3" t="n"/>
      <c r="BV222" s="6" t="n"/>
      <c r="BW222" s="6" t="n"/>
      <c r="BX222" s="6" t="n"/>
      <c r="BY222" s="6" t="n"/>
      <c r="BZ222" s="3" t="n"/>
      <c r="CA222" s="6" t="n"/>
      <c r="CB222" s="6" t="n"/>
      <c r="CC222" s="6" t="n"/>
      <c r="CD222" s="6" t="n"/>
      <c r="CE222" s="3" t="n"/>
      <c r="CF222" s="6" t="n"/>
      <c r="CG222" s="6" t="n"/>
      <c r="CH222" s="6" t="n"/>
      <c r="CI222" s="6" t="n"/>
      <c r="CJ222" s="3" t="n"/>
      <c r="CK222" s="6" t="n"/>
      <c r="CL222" s="6" t="n"/>
      <c r="CM222" s="6" t="n"/>
      <c r="CN222" s="6" t="n"/>
      <c r="CO222" s="3" t="n"/>
      <c r="CP222" s="6" t="n"/>
      <c r="CQ222" s="6" t="n"/>
      <c r="CR222" s="6" t="n"/>
      <c r="CS222" s="6" t="n"/>
      <c r="CT222" s="3" t="n"/>
      <c r="CU222" s="6" t="n"/>
      <c r="CV222" s="6" t="n"/>
      <c r="CW222" s="6" t="n"/>
      <c r="CX222" s="6" t="n"/>
      <c r="CY222" s="3" t="n"/>
    </row>
    <row r="223" hidden="1" outlineLevel="1">
      <c r="C223" s="34" t="inlineStr">
        <is>
          <t>Contas a pagar pela aquisição de controladas</t>
        </is>
      </c>
      <c r="D223" s="6" t="n"/>
      <c r="E223" s="6" t="n"/>
      <c r="F223" s="6" t="n"/>
      <c r="G223" s="6" t="n"/>
      <c r="H223" s="3" t="n"/>
      <c r="I223" s="6" t="n"/>
      <c r="J223" s="6" t="n"/>
      <c r="K223" s="6" t="n"/>
      <c r="L223" s="6" t="n"/>
      <c r="M223" s="3" t="n"/>
      <c r="N223" s="6" t="n"/>
      <c r="O223" s="6" t="n"/>
      <c r="P223" s="6" t="n"/>
      <c r="Q223" s="6" t="n"/>
      <c r="R223" s="3" t="n"/>
      <c r="S223" s="6" t="n"/>
      <c r="T223" s="6" t="n"/>
      <c r="U223" s="6" t="n"/>
      <c r="V223" s="6" t="n"/>
      <c r="W223" s="3" t="n"/>
      <c r="X223" s="6" t="n"/>
      <c r="Y223" s="6" t="n"/>
      <c r="Z223" s="6" t="n"/>
      <c r="AA223" s="6" t="n"/>
      <c r="AB223" s="3" t="n"/>
      <c r="AC223" s="6" t="n"/>
      <c r="AD223" s="6" t="n"/>
      <c r="AE223" s="6" t="n"/>
      <c r="AF223" s="6" t="n"/>
      <c r="AG223" s="3" t="n"/>
      <c r="AH223" s="6" t="n"/>
      <c r="AI223" s="6" t="n"/>
      <c r="AJ223" s="6" t="n"/>
      <c r="AK223" s="6" t="n"/>
      <c r="AL223" s="3" t="n"/>
      <c r="AM223" s="6" t="n"/>
      <c r="AN223" s="6" t="n"/>
      <c r="AO223" s="6" t="n"/>
      <c r="AP223" s="6" t="n"/>
      <c r="AQ223" s="3" t="n"/>
      <c r="AR223" s="6" t="n"/>
      <c r="AS223" s="6" t="n"/>
      <c r="AT223" s="6" t="n"/>
      <c r="AU223" s="6" t="n"/>
      <c r="AV223" s="3" t="n"/>
      <c r="AW223" s="6" t="n"/>
      <c r="AX223" s="6" t="n"/>
      <c r="AY223" s="6" t="n"/>
      <c r="AZ223" s="6" t="n"/>
      <c r="BA223" s="3" t="n"/>
      <c r="BB223" s="6" t="n"/>
      <c r="BC223" s="6" t="n"/>
      <c r="BD223" s="6" t="n"/>
      <c r="BE223" s="6" t="n"/>
      <c r="BF223" s="3" t="n"/>
      <c r="BG223" s="6" t="n"/>
      <c r="BH223" s="6" t="n"/>
      <c r="BI223" s="6" t="n"/>
      <c r="BJ223" s="6" t="n"/>
      <c r="BK223" s="3" t="n"/>
      <c r="BL223" s="6" t="n"/>
      <c r="BM223" s="6" t="n"/>
      <c r="BN223" s="6" t="n"/>
      <c r="BO223" s="6" t="n"/>
      <c r="BP223" s="3" t="n"/>
      <c r="BQ223" s="6" t="n"/>
      <c r="BR223" s="6" t="n"/>
      <c r="BS223" s="6" t="n"/>
      <c r="BT223" s="6" t="n"/>
      <c r="BU223" s="3" t="n"/>
      <c r="BV223" s="6" t="n"/>
      <c r="BW223" s="6" t="n"/>
      <c r="BX223" s="6" t="n"/>
      <c r="BY223" s="6" t="n"/>
      <c r="BZ223" s="3" t="n"/>
      <c r="CA223" s="6" t="n"/>
      <c r="CB223" s="6" t="n"/>
      <c r="CC223" s="6" t="n"/>
      <c r="CD223" s="6" t="n"/>
      <c r="CE223" s="3" t="n"/>
      <c r="CF223" s="6" t="n"/>
      <c r="CG223" s="6" t="n"/>
      <c r="CH223" s="6" t="n"/>
      <c r="CI223" s="6" t="n"/>
      <c r="CJ223" s="3" t="n"/>
      <c r="CK223" s="6" t="n"/>
      <c r="CL223" s="6" t="n"/>
      <c r="CM223" s="6" t="n"/>
      <c r="CN223" s="6" t="n"/>
      <c r="CO223" s="3" t="n"/>
      <c r="CP223" s="6" t="n"/>
      <c r="CQ223" s="6" t="n"/>
      <c r="CR223" s="6" t="n"/>
      <c r="CS223" s="6" t="n"/>
      <c r="CT223" s="3" t="n"/>
      <c r="CU223" s="6" t="n"/>
      <c r="CV223" s="6" t="n"/>
      <c r="CW223" s="6" t="n"/>
      <c r="CX223" s="6" t="n"/>
      <c r="CY223" s="3" t="n"/>
    </row>
    <row r="224" hidden="1" outlineLevel="1">
      <c r="C224" s="34" t="inlineStr">
        <is>
          <t>Outros</t>
        </is>
      </c>
      <c r="D224" s="6" t="n"/>
      <c r="E224" s="6" t="n"/>
      <c r="F224" s="6" t="n"/>
      <c r="G224" s="6" t="n"/>
      <c r="H224" s="3" t="n"/>
      <c r="I224" s="6" t="n"/>
      <c r="J224" s="6" t="n"/>
      <c r="K224" s="6" t="n"/>
      <c r="L224" s="6" t="n"/>
      <c r="M224" s="3" t="n"/>
      <c r="N224" s="6" t="n"/>
      <c r="O224" s="6" t="n"/>
      <c r="P224" s="6" t="n"/>
      <c r="Q224" s="6" t="n"/>
      <c r="R224" s="3" t="n"/>
      <c r="S224" s="6" t="n"/>
      <c r="T224" s="6" t="n"/>
      <c r="U224" s="6" t="n"/>
      <c r="V224" s="6" t="n"/>
      <c r="W224" s="3" t="n"/>
      <c r="X224" s="6" t="n"/>
      <c r="Y224" s="6" t="n"/>
      <c r="Z224" s="6" t="n"/>
      <c r="AA224" s="6" t="n"/>
      <c r="AB224" s="3" t="n"/>
      <c r="AC224" s="6" t="n"/>
      <c r="AD224" s="6" t="n"/>
      <c r="AE224" s="6" t="n"/>
      <c r="AF224" s="6" t="n"/>
      <c r="AG224" s="3" t="n"/>
      <c r="AH224" s="6" t="n"/>
      <c r="AI224" s="6" t="n"/>
      <c r="AJ224" s="6" t="n"/>
      <c r="AK224" s="6" t="n"/>
      <c r="AL224" s="3" t="n"/>
      <c r="AM224" s="6" t="n"/>
      <c r="AN224" s="6" t="n"/>
      <c r="AO224" s="6" t="n"/>
      <c r="AP224" s="6" t="n"/>
      <c r="AQ224" s="3" t="n"/>
      <c r="AR224" s="6" t="n"/>
      <c r="AS224" s="6" t="n"/>
      <c r="AT224" s="6" t="n"/>
      <c r="AU224" s="6" t="n"/>
      <c r="AV224" s="3" t="n"/>
      <c r="AW224" s="6" t="n"/>
      <c r="AX224" s="6" t="n"/>
      <c r="AY224" s="6" t="n"/>
      <c r="AZ224" s="6" t="n"/>
      <c r="BA224" s="3" t="n"/>
      <c r="BB224" s="6" t="n"/>
      <c r="BC224" s="6" t="n"/>
      <c r="BD224" s="6" t="n"/>
      <c r="BE224" s="6" t="n"/>
      <c r="BF224" s="3" t="n"/>
      <c r="BG224" s="6" t="n"/>
      <c r="BH224" s="6" t="n"/>
      <c r="BI224" s="6" t="n"/>
      <c r="BJ224" s="6" t="n"/>
      <c r="BK224" s="3" t="n"/>
      <c r="BL224" s="6" t="n"/>
      <c r="BM224" s="6" t="n"/>
      <c r="BN224" s="6" t="n"/>
      <c r="BO224" s="6" t="n"/>
      <c r="BP224" s="3" t="n"/>
      <c r="BQ224" s="6" t="n"/>
      <c r="BR224" s="6" t="n"/>
      <c r="BS224" s="6" t="n"/>
      <c r="BT224" s="6" t="n"/>
      <c r="BU224" s="3" t="n"/>
      <c r="BV224" s="6" t="n"/>
      <c r="BW224" s="6" t="n"/>
      <c r="BX224" s="6" t="n"/>
      <c r="BY224" s="6" t="n"/>
      <c r="BZ224" s="3" t="n"/>
      <c r="CA224" s="6" t="n"/>
      <c r="CB224" s="6" t="n"/>
      <c r="CC224" s="6" t="n"/>
      <c r="CD224" s="6" t="n"/>
      <c r="CE224" s="3" t="n"/>
      <c r="CF224" s="6" t="n"/>
      <c r="CG224" s="6" t="n"/>
      <c r="CH224" s="6" t="n"/>
      <c r="CI224" s="6" t="n"/>
      <c r="CJ224" s="3" t="n"/>
      <c r="CK224" s="6" t="n"/>
      <c r="CL224" s="6" t="n"/>
      <c r="CM224" s="6" t="n"/>
      <c r="CN224" s="6" t="n"/>
      <c r="CO224" s="3" t="n"/>
      <c r="CP224" s="6" t="n"/>
      <c r="CQ224" s="6" t="n"/>
      <c r="CR224" s="6" t="n"/>
      <c r="CS224" s="6" t="n"/>
      <c r="CT224" s="3" t="n"/>
      <c r="CU224" s="6" t="n"/>
      <c r="CV224" s="6" t="n"/>
      <c r="CW224" s="6" t="n"/>
      <c r="CX224" s="6" t="n"/>
      <c r="CY224" s="3" t="n"/>
    </row>
    <row r="225" hidden="1" outlineLevel="1">
      <c r="C225" s="34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  <c r="CU225" s="3" t="n"/>
      <c r="CV225" s="3" t="n"/>
      <c r="CW225" s="3" t="n"/>
      <c r="CX225" s="3" t="n"/>
      <c r="CY225" s="3" t="n"/>
    </row>
    <row r="226" collapsed="1">
      <c r="C226" s="26" t="inlineStr">
        <is>
          <t>Current portion of long-term debt</t>
        </is>
      </c>
      <c r="D226" s="25">
        <f>INDEX('Inputs (2)'!$D$32:$AL$32,MATCH(D$7,'Inputs (2)'!$D$2:$AL$2,0))</f>
        <v>60.662</v>
      </c>
      <c r="E226" s="25">
        <f>INDEX('Inputs (2)'!$D$32:$AL$32,MATCH(E$7,'Inputs (2)'!$D$2:$AL$2,0))</f>
        <v>102.684</v>
      </c>
      <c r="F226" s="25">
        <f>INDEX('Inputs (2)'!$D$32:$AL$32,MATCH(F$7,'Inputs (2)'!$D$2:$AL$2,0))</f>
        <v>93.603</v>
      </c>
      <c r="G226" s="25">
        <f>INDEX('Inputs (2)'!$D$32:$AL$32,MATCH(G$7,'Inputs (2)'!$D$2:$AL$2,0))</f>
        <v>91.704</v>
      </c>
      <c r="H226" s="3">
        <f>G226</f>
        <v>91.704</v>
      </c>
      <c r="I226" s="25">
        <f>INDEX('Inputs (2)'!$D$32:$AL$32,MATCH(I$7,'Inputs (2)'!$D$2:$AL$2,0))</f>
        <v>100.616</v>
      </c>
      <c r="J226" s="25">
        <f>INDEX('Inputs (2)'!$D$32:$AL$32,MATCH(J$7,'Inputs (2)'!$D$2:$AL$2,0))</f>
        <v>116.92</v>
      </c>
      <c r="K226" s="25">
        <f>INDEX('Inputs (2)'!$D$32:$AL$32,MATCH(K$7,'Inputs (2)'!$D$2:$AL$2,0))</f>
        <v>63.863</v>
      </c>
      <c r="L226" s="25">
        <f>INDEX('Inputs (2)'!$D$32:$AL$32,MATCH(L$7,'Inputs (2)'!$D$2:$AL$2,0))</f>
        <v>68.02</v>
      </c>
      <c r="M226" s="3">
        <f>L226</f>
        <v>68.02</v>
      </c>
      <c r="N226" s="25">
        <f>INDEX('Inputs (2)'!$D$32:$AL$32,MATCH(N$7,'Inputs (2)'!$D$2:$AL$2,0))</f>
        <v>67.654</v>
      </c>
      <c r="O226" s="25">
        <f>INDEX('Inputs (2)'!$D$32:$AL$32,MATCH(O$7,'Inputs (2)'!$D$2:$AL$2,0))</f>
        <v>75.764</v>
      </c>
      <c r="P226" s="25">
        <f>INDEX('Inputs (2)'!$D$32:$AL$32,MATCH(P$7,'Inputs (2)'!$D$2:$AL$2,0))</f>
        <v>32.789</v>
      </c>
      <c r="Q226" s="25">
        <f>INDEX('Inputs (2)'!$D$32:$AL$32,MATCH(Q$7,'Inputs (2)'!$D$2:$AL$2,0))</f>
        <v>120.906</v>
      </c>
      <c r="R226" s="3">
        <f>Q226</f>
        <v>120.906</v>
      </c>
      <c r="S226" s="25">
        <f>INDEX('Inputs (2)'!$D$32:$AL$32,MATCH(S$7,'Inputs (2)'!$D$2:$AL$2,0))</f>
        <v>114.117</v>
      </c>
      <c r="T226" s="25">
        <f>INDEX('Inputs (2)'!$D$32:$AL$32,MATCH(T$7,'Inputs (2)'!$D$2:$AL$2,0))</f>
        <v>138.967</v>
      </c>
      <c r="U226" s="25">
        <f>INDEX('Inputs (2)'!$D$32:$AL$32,MATCH(U$7,'Inputs (2)'!$D$2:$AL$2,0))</f>
        <v>134.94</v>
      </c>
      <c r="V226" s="25">
        <f>INDEX('Inputs (2)'!$D$32:$AL$32,MATCH(V$7,'Inputs (2)'!$D$2:$AL$2,0))</f>
        <v>124.271</v>
      </c>
      <c r="W226" s="3">
        <f>V226</f>
        <v>124.271</v>
      </c>
      <c r="X226" s="25">
        <f>INDEX('Inputs (2)'!$D$32:$AL$32,MATCH(X$7,'Inputs (2)'!$D$2:$AL$2,0))</f>
        <v>121.622</v>
      </c>
      <c r="Y226" s="25">
        <f>INDEX('Inputs (2)'!$D$32:$AL$32,MATCH(Y$7,'Inputs (2)'!$D$2:$AL$2,0))</f>
        <v>120.03</v>
      </c>
      <c r="Z226" s="25">
        <f>INDEX('Inputs (2)'!$D$32:$AL$32,MATCH(Z$7,'Inputs (2)'!$D$2:$AL$2,0))</f>
        <v>141.5</v>
      </c>
      <c r="AA226" s="25">
        <f>INDEX('Inputs (2)'!$D$32:$AL$32,MATCH(AA$7,'Inputs (2)'!$D$2:$AL$2,0))</f>
        <v>208.869</v>
      </c>
      <c r="AB226" s="3">
        <f>AA226</f>
        <v>208.869</v>
      </c>
      <c r="AC226" s="25">
        <f>INDEX('Inputs (2)'!$D$32:$AL$32,MATCH(AC$7,'Inputs (2)'!$D$2:$AL$2,0))</f>
        <v>132.078</v>
      </c>
      <c r="AD226" s="25">
        <f>INDEX('Inputs (2)'!$D$32:$AL$32,MATCH(AD$7,'Inputs (2)'!$D$2:$AL$2,0))</f>
        <v>156.104</v>
      </c>
      <c r="AE226" s="25">
        <f>INDEX('Inputs (2)'!$D$32:$AL$32,MATCH(AE$7,'Inputs (2)'!$D$2:$AL$2,0))</f>
        <v>150.698</v>
      </c>
      <c r="AF226" s="25">
        <f>INDEX('Inputs (2)'!$D$32:$AL$32,MATCH(AF$7,'Inputs (2)'!$D$2:$AL$2,0))</f>
        <v>299.859</v>
      </c>
      <c r="AG226" s="3">
        <f>AF226</f>
        <v>299.859</v>
      </c>
      <c r="AH226" s="3">
        <f>INDEX('Inputs (2)'!$D$32:$AL$32,MATCH(AH$7,'Inputs (2)'!$D$2:$AL$2,0))</f>
        <v>175.806</v>
      </c>
      <c r="AI226" s="3">
        <f>INDEX('Inputs (2)'!$D$32:$AL$32,MATCH(AI$7,'Inputs (2)'!$D$2:$AL$2,0))</f>
        <v>178.913</v>
      </c>
      <c r="AJ226" s="3">
        <f>AI226</f>
        <v>178.913</v>
      </c>
      <c r="AK226" s="3">
        <f>AJ226</f>
        <v>178.913</v>
      </c>
      <c r="AL226" s="3">
        <f>AK226</f>
        <v>178.913</v>
      </c>
      <c r="AM226" s="3">
        <f>AL226</f>
        <v>178.913</v>
      </c>
      <c r="AN226" s="3">
        <f>AM226</f>
        <v>178.913</v>
      </c>
      <c r="AO226" s="3">
        <f>AN226</f>
        <v>178.913</v>
      </c>
      <c r="AP226" s="3">
        <f>AO226</f>
        <v>178.913</v>
      </c>
      <c r="AQ226" s="3">
        <f>AP226</f>
        <v>178.913</v>
      </c>
      <c r="AR226" s="3">
        <f>AQ226</f>
        <v>178.913</v>
      </c>
      <c r="AS226" s="3">
        <f>AR226</f>
        <v>178.913</v>
      </c>
      <c r="AT226" s="3">
        <f>AS226</f>
        <v>178.913</v>
      </c>
      <c r="AU226" s="3">
        <f>AT226</f>
        <v>178.913</v>
      </c>
      <c r="AV226" s="3">
        <f>AU226</f>
        <v>178.913</v>
      </c>
      <c r="AW226" s="3">
        <f>AV226</f>
        <v>178.913</v>
      </c>
      <c r="AX226" s="3">
        <f>AW226</f>
        <v>178.913</v>
      </c>
      <c r="AY226" s="3">
        <f>AX226</f>
        <v>178.913</v>
      </c>
      <c r="AZ226" s="3">
        <f>AY226</f>
        <v>178.913</v>
      </c>
      <c r="BA226" s="3">
        <f>AZ226</f>
        <v>178.913</v>
      </c>
      <c r="BB226" s="3">
        <f>BA226</f>
        <v>178.913</v>
      </c>
      <c r="BC226" s="3">
        <f>BB226</f>
        <v>178.913</v>
      </c>
      <c r="BD226" s="3">
        <f>BC226</f>
        <v>178.913</v>
      </c>
      <c r="BE226" s="3">
        <f>BD226</f>
        <v>178.913</v>
      </c>
      <c r="BF226" s="3">
        <f>BE226</f>
        <v>178.913</v>
      </c>
      <c r="BG226" s="3">
        <f>BF226</f>
        <v>178.913</v>
      </c>
      <c r="BH226" s="3">
        <f>BG226</f>
        <v>178.913</v>
      </c>
      <c r="BI226" s="3">
        <f>BH226</f>
        <v>178.913</v>
      </c>
      <c r="BJ226" s="3">
        <f>BI226</f>
        <v>178.913</v>
      </c>
      <c r="BK226" s="3">
        <f>BJ226</f>
        <v>178.913</v>
      </c>
      <c r="BL226" s="3">
        <f>BK226</f>
        <v>178.913</v>
      </c>
      <c r="BM226" s="3">
        <f>BL226</f>
        <v>178.913</v>
      </c>
      <c r="BN226" s="3">
        <f>BM226</f>
        <v>178.913</v>
      </c>
      <c r="BO226" s="3">
        <f>BN226</f>
        <v>178.913</v>
      </c>
      <c r="BP226" s="3">
        <f>BO226</f>
        <v>178.913</v>
      </c>
      <c r="BQ226" s="3">
        <f>BP226</f>
        <v>178.913</v>
      </c>
      <c r="BR226" s="3">
        <f>BQ226</f>
        <v>178.913</v>
      </c>
      <c r="BS226" s="3">
        <f>BR226</f>
        <v>178.913</v>
      </c>
      <c r="BT226" s="3">
        <f>BS226</f>
        <v>178.913</v>
      </c>
      <c r="BU226" s="3">
        <f>BT226</f>
        <v>178.913</v>
      </c>
      <c r="BV226" s="3">
        <f>BU226</f>
        <v>178.913</v>
      </c>
      <c r="BW226" s="3">
        <f>BV226</f>
        <v>178.913</v>
      </c>
      <c r="BX226" s="3">
        <f>BW226</f>
        <v>178.913</v>
      </c>
      <c r="BY226" s="3">
        <f>BX226</f>
        <v>178.913</v>
      </c>
      <c r="BZ226" s="3">
        <f>BY226</f>
        <v>178.913</v>
      </c>
      <c r="CA226" s="3">
        <f>BZ226</f>
        <v>178.913</v>
      </c>
      <c r="CB226" s="3">
        <f>CA226</f>
        <v>178.913</v>
      </c>
      <c r="CC226" s="3">
        <f>CB226</f>
        <v>178.913</v>
      </c>
      <c r="CD226" s="3">
        <f>CC226</f>
        <v>178.913</v>
      </c>
      <c r="CE226" s="3">
        <f>CD226</f>
        <v>178.913</v>
      </c>
      <c r="CF226" s="3">
        <f>CE226</f>
        <v>178.913</v>
      </c>
      <c r="CG226" s="3">
        <f>CF226</f>
        <v>178.913</v>
      </c>
      <c r="CH226" s="3">
        <f>CG226</f>
        <v>178.913</v>
      </c>
      <c r="CI226" s="3">
        <f>CH226</f>
        <v>178.913</v>
      </c>
      <c r="CJ226" s="3">
        <f>CI226</f>
        <v>178.913</v>
      </c>
      <c r="CK226" s="3">
        <f>CJ226</f>
        <v>178.913</v>
      </c>
      <c r="CL226" s="3">
        <f>CK226</f>
        <v>178.913</v>
      </c>
      <c r="CM226" s="3">
        <f>CL226</f>
        <v>178.913</v>
      </c>
      <c r="CN226" s="3">
        <f>CM226</f>
        <v>178.913</v>
      </c>
      <c r="CO226" s="3">
        <f>CN226</f>
        <v>178.913</v>
      </c>
      <c r="CP226" s="3">
        <f>CO226</f>
        <v>178.913</v>
      </c>
      <c r="CQ226" s="3">
        <f>CP226</f>
        <v>178.913</v>
      </c>
      <c r="CR226" s="3">
        <f>CQ226</f>
        <v>178.913</v>
      </c>
      <c r="CS226" s="3">
        <f>CR226</f>
        <v>178.913</v>
      </c>
      <c r="CT226" s="3">
        <f>CS226</f>
        <v>178.913</v>
      </c>
      <c r="CU226" s="3">
        <f>CT226</f>
        <v>178.913</v>
      </c>
      <c r="CV226" s="3">
        <f>CU226</f>
        <v>178.913</v>
      </c>
      <c r="CW226" s="3">
        <f>CV226</f>
        <v>178.913</v>
      </c>
      <c r="CX226" s="3">
        <f>CW226</f>
        <v>178.913</v>
      </c>
      <c r="CY226" s="3">
        <f>CX226</f>
        <v>178.913</v>
      </c>
    </row>
    <row r="227">
      <c r="C227" s="26" t="inlineStr">
        <is>
          <t>Short term debt (Revolving credit facility)</t>
        </is>
      </c>
      <c r="D227" s="25" t="n"/>
      <c r="E227" s="25" t="n"/>
      <c r="F227" s="25" t="n"/>
      <c r="G227" s="25" t="n"/>
      <c r="H227" s="3">
        <f>G227</f>
        <v>0</v>
      </c>
      <c r="I227" s="25" t="n"/>
      <c r="J227" s="25" t="n"/>
      <c r="K227" s="25" t="n"/>
      <c r="L227" s="25" t="n"/>
      <c r="M227" s="3">
        <f>L227</f>
        <v>0</v>
      </c>
      <c r="N227" s="25" t="n"/>
      <c r="O227" s="25" t="n"/>
      <c r="P227" s="25" t="n"/>
      <c r="Q227" s="25" t="n"/>
      <c r="R227" s="3">
        <f>Q227</f>
        <v>0</v>
      </c>
      <c r="S227" s="25" t="n"/>
      <c r="T227" s="25" t="n"/>
      <c r="U227" s="25" t="n"/>
      <c r="V227" s="25" t="n"/>
      <c r="W227" s="3">
        <f>V227</f>
        <v>0</v>
      </c>
      <c r="X227" s="25" t="n"/>
      <c r="Y227" s="25" t="n"/>
      <c r="Z227" s="25" t="n"/>
      <c r="AA227" s="25" t="n"/>
      <c r="AB227" s="3">
        <f>AA227</f>
        <v>0</v>
      </c>
      <c r="AC227" s="25" t="n"/>
      <c r="AD227" s="25" t="n"/>
      <c r="AE227" s="25" t="n"/>
      <c r="AF227" s="25" t="n"/>
      <c r="AG227" s="3">
        <f>AF227</f>
        <v>0</v>
      </c>
      <c r="AH227" s="3">
        <f>AG227</f>
        <v>0</v>
      </c>
      <c r="AI227" s="3">
        <f>AH227</f>
        <v>0</v>
      </c>
      <c r="AJ227" s="3">
        <f>AI227</f>
        <v>0</v>
      </c>
      <c r="AK227" s="3">
        <f>AJ227</f>
        <v>0</v>
      </c>
      <c r="AL227" s="3">
        <f>AK227</f>
        <v>0</v>
      </c>
      <c r="AM227" s="3">
        <f>AL227</f>
        <v>0</v>
      </c>
      <c r="AN227" s="3">
        <f>AM227</f>
        <v>0</v>
      </c>
      <c r="AO227" s="3">
        <f>AN227</f>
        <v>0</v>
      </c>
      <c r="AP227" s="3">
        <f>AO227</f>
        <v>0</v>
      </c>
      <c r="AQ227" s="3">
        <f>AP227</f>
        <v>0</v>
      </c>
      <c r="AR227" s="3">
        <f>AQ227</f>
        <v>0</v>
      </c>
      <c r="AS227" s="3">
        <f>AR227</f>
        <v>0</v>
      </c>
      <c r="AT227" s="3">
        <f>AS227</f>
        <v>0</v>
      </c>
      <c r="AU227" s="3">
        <f>AT227</f>
        <v>0</v>
      </c>
      <c r="AV227" s="3">
        <f>AU227</f>
        <v>0</v>
      </c>
      <c r="AW227" s="3">
        <f>AV227</f>
        <v>0</v>
      </c>
      <c r="AX227" s="3">
        <f>AW227</f>
        <v>0</v>
      </c>
      <c r="AY227" s="3">
        <f>AX227</f>
        <v>0</v>
      </c>
      <c r="AZ227" s="3">
        <f>AY227</f>
        <v>0</v>
      </c>
      <c r="BA227" s="3">
        <f>AZ227</f>
        <v>0</v>
      </c>
      <c r="BB227" s="3">
        <f>BA227</f>
        <v>0</v>
      </c>
      <c r="BC227" s="3">
        <f>BB227</f>
        <v>0</v>
      </c>
      <c r="BD227" s="3">
        <f>BC227</f>
        <v>0</v>
      </c>
      <c r="BE227" s="3">
        <f>BD227</f>
        <v>0</v>
      </c>
      <c r="BF227" s="3">
        <f>BE227</f>
        <v>0</v>
      </c>
      <c r="BG227" s="3">
        <f>BF227</f>
        <v>0</v>
      </c>
      <c r="BH227" s="3">
        <f>BG227</f>
        <v>0</v>
      </c>
      <c r="BI227" s="3">
        <f>BH227</f>
        <v>0</v>
      </c>
      <c r="BJ227" s="3">
        <f>BI227</f>
        <v>0</v>
      </c>
      <c r="BK227" s="3">
        <f>BJ227</f>
        <v>0</v>
      </c>
      <c r="BL227" s="3">
        <f>BK227</f>
        <v>0</v>
      </c>
      <c r="BM227" s="3">
        <f>BL227</f>
        <v>0</v>
      </c>
      <c r="BN227" s="3">
        <f>BM227</f>
        <v>0</v>
      </c>
      <c r="BO227" s="3">
        <f>BN227</f>
        <v>0</v>
      </c>
      <c r="BP227" s="3">
        <f>BO227</f>
        <v>0</v>
      </c>
      <c r="BQ227" s="3">
        <f>BP227</f>
        <v>0</v>
      </c>
      <c r="BR227" s="3">
        <f>BQ227</f>
        <v>0</v>
      </c>
      <c r="BS227" s="3">
        <f>BR227</f>
        <v>0</v>
      </c>
      <c r="BT227" s="3">
        <f>BS227</f>
        <v>0</v>
      </c>
      <c r="BU227" s="3">
        <f>BT227</f>
        <v>0</v>
      </c>
      <c r="BV227" s="3">
        <f>BU227</f>
        <v>0</v>
      </c>
      <c r="BW227" s="3">
        <f>BV227</f>
        <v>0</v>
      </c>
      <c r="BX227" s="3">
        <f>BW227</f>
        <v>0</v>
      </c>
      <c r="BY227" s="3">
        <f>BX227</f>
        <v>0</v>
      </c>
      <c r="BZ227" s="3">
        <f>BY227</f>
        <v>0</v>
      </c>
      <c r="CA227" s="3">
        <f>BZ227</f>
        <v>0</v>
      </c>
      <c r="CB227" s="3">
        <f>CA227</f>
        <v>0</v>
      </c>
      <c r="CC227" s="3">
        <f>CB227</f>
        <v>0</v>
      </c>
      <c r="CD227" s="3">
        <f>CC227</f>
        <v>0</v>
      </c>
      <c r="CE227" s="3">
        <f>CD227</f>
        <v>0</v>
      </c>
      <c r="CF227" s="3">
        <f>CE227</f>
        <v>0</v>
      </c>
      <c r="CG227" s="3">
        <f>CF227</f>
        <v>0</v>
      </c>
      <c r="CH227" s="3">
        <f>CG227</f>
        <v>0</v>
      </c>
      <c r="CI227" s="3">
        <f>CH227</f>
        <v>0</v>
      </c>
      <c r="CJ227" s="3">
        <f>CI227</f>
        <v>0</v>
      </c>
      <c r="CK227" s="3">
        <f>CJ227</f>
        <v>0</v>
      </c>
      <c r="CL227" s="3">
        <f>CK227</f>
        <v>0</v>
      </c>
      <c r="CM227" s="3">
        <f>CL227</f>
        <v>0</v>
      </c>
      <c r="CN227" s="3">
        <f>CM227</f>
        <v>0</v>
      </c>
      <c r="CO227" s="3">
        <f>CN227</f>
        <v>0</v>
      </c>
      <c r="CP227" s="3">
        <f>CO227</f>
        <v>0</v>
      </c>
      <c r="CQ227" s="3">
        <f>CP227</f>
        <v>0</v>
      </c>
      <c r="CR227" s="3">
        <f>CQ227</f>
        <v>0</v>
      </c>
      <c r="CS227" s="3">
        <f>CR227</f>
        <v>0</v>
      </c>
      <c r="CT227" s="3">
        <f>CS227</f>
        <v>0</v>
      </c>
      <c r="CU227" s="3">
        <f>CT227</f>
        <v>0</v>
      </c>
      <c r="CV227" s="3">
        <f>CU227</f>
        <v>0</v>
      </c>
      <c r="CW227" s="3">
        <f>CV227</f>
        <v>0</v>
      </c>
      <c r="CX227" s="3">
        <f>CW227</f>
        <v>0</v>
      </c>
      <c r="CY227" s="3">
        <f>CX227</f>
        <v>0</v>
      </c>
    </row>
    <row r="228">
      <c r="C228" s="26" t="inlineStr">
        <is>
          <t>Short term operating leases</t>
        </is>
      </c>
      <c r="D228" s="25" t="n"/>
      <c r="E228" s="25" t="n"/>
      <c r="F228" s="25" t="n"/>
      <c r="G228" s="25" t="n"/>
      <c r="H228" s="3">
        <f>G228</f>
        <v>0</v>
      </c>
      <c r="I228" s="25" t="n"/>
      <c r="J228" s="25" t="n"/>
      <c r="K228" s="25" t="n"/>
      <c r="L228" s="25" t="n"/>
      <c r="M228" s="3">
        <f>L228</f>
        <v>0</v>
      </c>
      <c r="N228" s="25" t="n"/>
      <c r="O228" s="25" t="n"/>
      <c r="P228" s="25" t="n"/>
      <c r="Q228" s="25" t="n"/>
      <c r="R228" s="3">
        <f>Q228</f>
        <v>0</v>
      </c>
      <c r="S228" s="25" t="n"/>
      <c r="T228" s="25" t="n"/>
      <c r="U228" s="25" t="n"/>
      <c r="V228" s="25" t="n"/>
      <c r="W228" s="3">
        <f>V228</f>
        <v>0</v>
      </c>
      <c r="X228" s="25" t="n"/>
      <c r="Y228" s="25" t="n"/>
      <c r="Z228" s="25" t="n"/>
      <c r="AA228" s="25" t="n"/>
      <c r="AB228" s="3">
        <f>AA228</f>
        <v>0</v>
      </c>
      <c r="AC228" s="25" t="n"/>
      <c r="AD228" s="25" t="n"/>
      <c r="AE228" s="25" t="n"/>
      <c r="AF228" s="25" t="n"/>
      <c r="AG228" s="3">
        <f>AF228</f>
        <v>0</v>
      </c>
      <c r="AH228" s="3">
        <f>AG228</f>
        <v>0</v>
      </c>
      <c r="AI228" s="3">
        <f>AH228</f>
        <v>0</v>
      </c>
      <c r="AJ228" s="3">
        <f>AI228</f>
        <v>0</v>
      </c>
      <c r="AK228" s="3">
        <f>AJ228</f>
        <v>0</v>
      </c>
      <c r="AL228" s="3">
        <f>AK228</f>
        <v>0</v>
      </c>
      <c r="AM228" s="3">
        <f>AL228</f>
        <v>0</v>
      </c>
      <c r="AN228" s="3">
        <f>AM228</f>
        <v>0</v>
      </c>
      <c r="AO228" s="3">
        <f>AN228</f>
        <v>0</v>
      </c>
      <c r="AP228" s="3">
        <f>AO228</f>
        <v>0</v>
      </c>
      <c r="AQ228" s="3">
        <f>AP228</f>
        <v>0</v>
      </c>
      <c r="AR228" s="3">
        <f>AQ228</f>
        <v>0</v>
      </c>
      <c r="AS228" s="3">
        <f>AR228</f>
        <v>0</v>
      </c>
      <c r="AT228" s="3">
        <f>AS228</f>
        <v>0</v>
      </c>
      <c r="AU228" s="3">
        <f>AT228</f>
        <v>0</v>
      </c>
      <c r="AV228" s="3">
        <f>AU228</f>
        <v>0</v>
      </c>
      <c r="AW228" s="3">
        <f>AV228</f>
        <v>0</v>
      </c>
      <c r="AX228" s="3">
        <f>AW228</f>
        <v>0</v>
      </c>
      <c r="AY228" s="3">
        <f>AX228</f>
        <v>0</v>
      </c>
      <c r="AZ228" s="3">
        <f>AY228</f>
        <v>0</v>
      </c>
      <c r="BA228" s="3">
        <f>AZ228</f>
        <v>0</v>
      </c>
      <c r="BB228" s="3">
        <f>BA228</f>
        <v>0</v>
      </c>
      <c r="BC228" s="3">
        <f>BB228</f>
        <v>0</v>
      </c>
      <c r="BD228" s="3">
        <f>BC228</f>
        <v>0</v>
      </c>
      <c r="BE228" s="3">
        <f>BD228</f>
        <v>0</v>
      </c>
      <c r="BF228" s="3">
        <f>BE228</f>
        <v>0</v>
      </c>
      <c r="BG228" s="3">
        <f>BF228</f>
        <v>0</v>
      </c>
      <c r="BH228" s="3">
        <f>BG228</f>
        <v>0</v>
      </c>
      <c r="BI228" s="3">
        <f>BH228</f>
        <v>0</v>
      </c>
      <c r="BJ228" s="3">
        <f>BI228</f>
        <v>0</v>
      </c>
      <c r="BK228" s="3">
        <f>BJ228</f>
        <v>0</v>
      </c>
      <c r="BL228" s="3">
        <f>BK228</f>
        <v>0</v>
      </c>
      <c r="BM228" s="3">
        <f>BL228</f>
        <v>0</v>
      </c>
      <c r="BN228" s="3">
        <f>BM228</f>
        <v>0</v>
      </c>
      <c r="BO228" s="3">
        <f>BN228</f>
        <v>0</v>
      </c>
      <c r="BP228" s="3">
        <f>BO228</f>
        <v>0</v>
      </c>
      <c r="BQ228" s="3">
        <f>BP228</f>
        <v>0</v>
      </c>
      <c r="BR228" s="3">
        <f>BQ228</f>
        <v>0</v>
      </c>
      <c r="BS228" s="3">
        <f>BR228</f>
        <v>0</v>
      </c>
      <c r="BT228" s="3">
        <f>BS228</f>
        <v>0</v>
      </c>
      <c r="BU228" s="3">
        <f>BT228</f>
        <v>0</v>
      </c>
      <c r="BV228" s="3">
        <f>BU228</f>
        <v>0</v>
      </c>
      <c r="BW228" s="3">
        <f>BV228</f>
        <v>0</v>
      </c>
      <c r="BX228" s="3">
        <f>BW228</f>
        <v>0</v>
      </c>
      <c r="BY228" s="3">
        <f>BX228</f>
        <v>0</v>
      </c>
      <c r="BZ228" s="3">
        <f>BY228</f>
        <v>0</v>
      </c>
      <c r="CA228" s="3">
        <f>BZ228</f>
        <v>0</v>
      </c>
      <c r="CB228" s="3">
        <f>CA228</f>
        <v>0</v>
      </c>
      <c r="CC228" s="3">
        <f>CB228</f>
        <v>0</v>
      </c>
      <c r="CD228" s="3">
        <f>CC228</f>
        <v>0</v>
      </c>
      <c r="CE228" s="3">
        <f>CD228</f>
        <v>0</v>
      </c>
      <c r="CF228" s="3">
        <f>CE228</f>
        <v>0</v>
      </c>
      <c r="CG228" s="3">
        <f>CF228</f>
        <v>0</v>
      </c>
      <c r="CH228" s="3">
        <f>CG228</f>
        <v>0</v>
      </c>
      <c r="CI228" s="3">
        <f>CH228</f>
        <v>0</v>
      </c>
      <c r="CJ228" s="3">
        <f>CI228</f>
        <v>0</v>
      </c>
      <c r="CK228" s="3">
        <f>CJ228</f>
        <v>0</v>
      </c>
      <c r="CL228" s="3">
        <f>CK228</f>
        <v>0</v>
      </c>
      <c r="CM228" s="3">
        <f>CL228</f>
        <v>0</v>
      </c>
      <c r="CN228" s="3">
        <f>CM228</f>
        <v>0</v>
      </c>
      <c r="CO228" s="3">
        <f>CN228</f>
        <v>0</v>
      </c>
      <c r="CP228" s="3">
        <f>CO228</f>
        <v>0</v>
      </c>
      <c r="CQ228" s="3">
        <f>CP228</f>
        <v>0</v>
      </c>
      <c r="CR228" s="3">
        <f>CQ228</f>
        <v>0</v>
      </c>
      <c r="CS228" s="3">
        <f>CR228</f>
        <v>0</v>
      </c>
      <c r="CT228" s="3">
        <f>CS228</f>
        <v>0</v>
      </c>
      <c r="CU228" s="3">
        <f>CT228</f>
        <v>0</v>
      </c>
      <c r="CV228" s="3">
        <f>CU228</f>
        <v>0</v>
      </c>
      <c r="CW228" s="3">
        <f>CV228</f>
        <v>0</v>
      </c>
      <c r="CX228" s="3">
        <f>CW228</f>
        <v>0</v>
      </c>
      <c r="CY228" s="3">
        <f>CX228</f>
        <v>0</v>
      </c>
    </row>
    <row r="229" hidden="1" outlineLevel="1">
      <c r="C229" s="38" t="inlineStr">
        <is>
          <t>%(Var.)</t>
        </is>
      </c>
      <c r="D229" s="3" t="n"/>
      <c r="E229" s="47">
        <f>IFERROR((E228-D228)/D228,0)</f>
        <v>0</v>
      </c>
      <c r="F229" s="47">
        <f>IFERROR((F228-E228)/E228,0)</f>
        <v>0</v>
      </c>
      <c r="G229" s="47">
        <f>IFERROR((G228-F228)/F228,0)</f>
        <v>0</v>
      </c>
      <c r="H229" s="3" t="n"/>
      <c r="I229" s="47">
        <f>IFERROR((I228-H228)/H228,0)</f>
        <v>0</v>
      </c>
      <c r="J229" s="47">
        <f>IFERROR((J228-I228)/I228,0)</f>
        <v>0</v>
      </c>
      <c r="K229" s="47">
        <f>IFERROR((K228-J228)/J228,0)</f>
        <v>0</v>
      </c>
      <c r="L229" s="47">
        <f>IFERROR((L228-K228)/K228,0)</f>
        <v>0</v>
      </c>
      <c r="M229" s="3" t="n"/>
      <c r="N229" s="47">
        <f>IFERROR((N228-M228)/M228,0)</f>
        <v>0</v>
      </c>
      <c r="O229" s="47">
        <f>IFERROR((O228-N228)/N228,0)</f>
        <v>0</v>
      </c>
      <c r="P229" s="47">
        <f>IFERROR((P228-O228)/O228,0)</f>
        <v>0</v>
      </c>
      <c r="Q229" s="47">
        <f>IFERROR((Q228-P228)/P228,0)</f>
        <v>0</v>
      </c>
      <c r="R229" s="3" t="n"/>
      <c r="S229" s="47">
        <f>IFERROR((S228-R228)/R228,0)</f>
        <v>0</v>
      </c>
      <c r="T229" s="47">
        <f>IFERROR((T228-S228)/S228,0)</f>
        <v>0</v>
      </c>
      <c r="U229" s="47">
        <f>IFERROR((U228-T228)/T228,0)</f>
        <v>0</v>
      </c>
      <c r="V229" s="47">
        <f>IFERROR((V228-U228)/U228,0)</f>
        <v>0</v>
      </c>
      <c r="W229" s="3" t="n"/>
      <c r="X229" s="47">
        <f>IFERROR((X228-W228)/W228,0)</f>
        <v>0</v>
      </c>
      <c r="Y229" s="47">
        <f>IFERROR((Y228-X228)/X228,0)</f>
        <v>0</v>
      </c>
      <c r="Z229" s="47">
        <f>IFERROR((Z228-Y228)/Y228,0)</f>
        <v>0</v>
      </c>
      <c r="AA229" s="47">
        <f>IFERROR((AA228-Z228)/Z228,0)</f>
        <v>0</v>
      </c>
      <c r="AB229" s="3" t="n"/>
      <c r="AC229" s="47">
        <f>IFERROR((AC228-AB228)/AB228,0)</f>
        <v>0</v>
      </c>
      <c r="AD229" s="47">
        <f>IFERROR((AD228-AC228)/AC228,0)</f>
        <v>0</v>
      </c>
      <c r="AE229" s="47">
        <f>IFERROR((AE228-AD228)/AD228,0)</f>
        <v>0</v>
      </c>
      <c r="AF229" s="6">
        <f>IFERROR((AF228-AE228)/AE228,0)</f>
        <v>0</v>
      </c>
      <c r="AG229" s="3" t="n"/>
      <c r="AH229" s="6">
        <f>IFERROR((AH228-AG228)/AG228,0)</f>
        <v>0</v>
      </c>
      <c r="AI229" s="6">
        <f>IFERROR((AI228-AH228)/AH228,0)</f>
        <v>0</v>
      </c>
      <c r="AJ229" s="6" t="n"/>
      <c r="AK229" s="6" t="n"/>
      <c r="AL229" s="3" t="n"/>
      <c r="AM229" s="6" t="n"/>
      <c r="AN229" s="6" t="n"/>
      <c r="AO229" s="6" t="n"/>
      <c r="AP229" s="6" t="n"/>
      <c r="AQ229" s="3" t="n"/>
      <c r="AR229" s="6" t="n"/>
      <c r="AS229" s="6" t="n"/>
      <c r="AT229" s="6" t="n"/>
      <c r="AU229" s="6" t="n"/>
      <c r="AV229" s="3" t="n"/>
      <c r="AW229" s="6" t="n"/>
      <c r="AX229" s="6" t="n"/>
      <c r="AY229" s="6" t="n"/>
      <c r="AZ229" s="6" t="n"/>
      <c r="BA229" s="3" t="n"/>
      <c r="BB229" s="6" t="n"/>
      <c r="BC229" s="6" t="n"/>
      <c r="BD229" s="6" t="n"/>
      <c r="BE229" s="6" t="n"/>
      <c r="BF229" s="3" t="n"/>
      <c r="BG229" s="6" t="n"/>
      <c r="BH229" s="6" t="n"/>
      <c r="BI229" s="6" t="n"/>
      <c r="BJ229" s="6" t="n"/>
      <c r="BK229" s="3" t="n"/>
      <c r="BL229" s="6" t="n"/>
      <c r="BM229" s="6" t="n"/>
      <c r="BN229" s="6" t="n"/>
      <c r="BO229" s="6" t="n"/>
      <c r="BP229" s="3" t="n"/>
      <c r="BQ229" s="6" t="n"/>
      <c r="BR229" s="6" t="n"/>
      <c r="BS229" s="6" t="n"/>
      <c r="BT229" s="6" t="n"/>
      <c r="BU229" s="3" t="n"/>
      <c r="BV229" s="6" t="n"/>
      <c r="BW229" s="6" t="n"/>
      <c r="BX229" s="6" t="n"/>
      <c r="BY229" s="6" t="n"/>
      <c r="BZ229" s="3" t="n"/>
      <c r="CA229" s="6" t="n"/>
      <c r="CB229" s="6" t="n"/>
      <c r="CC229" s="6" t="n"/>
      <c r="CD229" s="6" t="n"/>
      <c r="CE229" s="3" t="n"/>
      <c r="CF229" s="6" t="n"/>
      <c r="CG229" s="6" t="n"/>
      <c r="CH229" s="6" t="n"/>
      <c r="CI229" s="6" t="n"/>
      <c r="CJ229" s="3" t="n"/>
      <c r="CK229" s="6" t="n"/>
      <c r="CL229" s="6" t="n"/>
      <c r="CM229" s="6" t="n"/>
      <c r="CN229" s="6" t="n"/>
      <c r="CO229" s="3" t="n"/>
      <c r="CP229" s="6" t="n"/>
      <c r="CQ229" s="6" t="n"/>
      <c r="CR229" s="6" t="n"/>
      <c r="CS229" s="6" t="n"/>
      <c r="CT229" s="3" t="n"/>
      <c r="CU229" s="6" t="n"/>
      <c r="CV229" s="6" t="n"/>
      <c r="CW229" s="6" t="n"/>
      <c r="CX229" s="6" t="n"/>
      <c r="CY229" s="3" t="n"/>
    </row>
    <row r="230" hidden="1" outlineLevel="1">
      <c r="C230" s="34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  <c r="BO230" s="3" t="n"/>
      <c r="BP230" s="3" t="n"/>
      <c r="BQ230" s="3" t="n"/>
      <c r="BR230" s="3" t="n"/>
      <c r="BS230" s="3" t="n"/>
      <c r="BT230" s="3" t="n"/>
      <c r="BU230" s="3" t="n"/>
      <c r="BV230" s="3" t="n"/>
      <c r="BW230" s="3" t="n"/>
      <c r="BX230" s="3" t="n"/>
      <c r="BY230" s="3" t="n"/>
      <c r="BZ230" s="3" t="n"/>
      <c r="CA230" s="3" t="n"/>
      <c r="CB230" s="3" t="n"/>
      <c r="CC230" s="3" t="n"/>
      <c r="CD230" s="3" t="n"/>
      <c r="CE230" s="3" t="n"/>
      <c r="CF230" s="3" t="n"/>
      <c r="CG230" s="3" t="n"/>
      <c r="CH230" s="3" t="n"/>
      <c r="CI230" s="3" t="n"/>
      <c r="CJ230" s="3" t="n"/>
      <c r="CK230" s="3" t="n"/>
      <c r="CL230" s="3" t="n"/>
      <c r="CM230" s="3" t="n"/>
      <c r="CN230" s="3" t="n"/>
      <c r="CO230" s="3" t="n"/>
      <c r="CP230" s="3" t="n"/>
      <c r="CQ230" s="3" t="n"/>
      <c r="CR230" s="3" t="n"/>
      <c r="CS230" s="3" t="n"/>
      <c r="CT230" s="3" t="n"/>
      <c r="CU230" s="3" t="n"/>
      <c r="CV230" s="3" t="n"/>
      <c r="CW230" s="3" t="n"/>
      <c r="CX230" s="3" t="n"/>
      <c r="CY230" s="3" t="n"/>
    </row>
    <row r="231" collapsed="1">
      <c r="C231" s="26" t="inlineStr">
        <is>
          <t>Long term debt</t>
        </is>
      </c>
      <c r="D231" s="25">
        <f>INDEX('Inputs (2)'!$D$35:$AL$35,MATCH(D$7,'Inputs (2)'!$D$2:$AL$2,0))</f>
        <v>234.669</v>
      </c>
      <c r="E231" s="25">
        <f>INDEX('Inputs (2)'!$D$35:$AL$35,MATCH(E$7,'Inputs (2)'!$D$2:$AL$2,0))</f>
        <v>233.112</v>
      </c>
      <c r="F231" s="25">
        <f>INDEX('Inputs (2)'!$D$35:$AL$35,MATCH(F$7,'Inputs (2)'!$D$2:$AL$2,0))</f>
        <v>212.589</v>
      </c>
      <c r="G231" s="25">
        <f>INDEX('Inputs (2)'!$D$35:$AL$35,MATCH(G$7,'Inputs (2)'!$D$2:$AL$2,0))</f>
        <v>184.999</v>
      </c>
      <c r="H231" s="3">
        <f>G231</f>
        <v>184.999</v>
      </c>
      <c r="I231" s="25">
        <f>INDEX('Inputs (2)'!$D$35:$AL$35,MATCH(I$7,'Inputs (2)'!$D$2:$AL$2,0))</f>
        <v>180.173</v>
      </c>
      <c r="J231" s="25">
        <f>INDEX('Inputs (2)'!$D$35:$AL$35,MATCH(J$7,'Inputs (2)'!$D$2:$AL$2,0))</f>
        <v>153.375</v>
      </c>
      <c r="K231" s="25">
        <f>INDEX('Inputs (2)'!$D$35:$AL$35,MATCH(K$7,'Inputs (2)'!$D$2:$AL$2,0))</f>
        <v>326.361</v>
      </c>
      <c r="L231" s="25">
        <f>INDEX('Inputs (2)'!$D$35:$AL$35,MATCH(L$7,'Inputs (2)'!$D$2:$AL$2,0))</f>
        <v>323.208</v>
      </c>
      <c r="M231" s="3">
        <f>L231</f>
        <v>323.208</v>
      </c>
      <c r="N231" s="25">
        <f>INDEX('Inputs (2)'!$D$35:$AL$35,MATCH(N$7,'Inputs (2)'!$D$2:$AL$2,0))</f>
        <v>323.208</v>
      </c>
      <c r="O231" s="25">
        <f>INDEX('Inputs (2)'!$D$35:$AL$35,MATCH(O$7,'Inputs (2)'!$D$2:$AL$2,0))</f>
        <v>323.208</v>
      </c>
      <c r="P231" s="25">
        <f>INDEX('Inputs (2)'!$D$35:$AL$35,MATCH(P$7,'Inputs (2)'!$D$2:$AL$2,0))</f>
        <v>423.232</v>
      </c>
      <c r="Q231" s="25">
        <f>INDEX('Inputs (2)'!$D$35:$AL$35,MATCH(Q$7,'Inputs (2)'!$D$2:$AL$2,0))</f>
        <v>360.082</v>
      </c>
      <c r="R231" s="3">
        <f>Q231</f>
        <v>360.082</v>
      </c>
      <c r="S231" s="25">
        <f>INDEX('Inputs (2)'!$D$35:$AL$35,MATCH(S$7,'Inputs (2)'!$D$2:$AL$2,0))</f>
        <v>360.4</v>
      </c>
      <c r="T231" s="25">
        <f>INDEX('Inputs (2)'!$D$35:$AL$35,MATCH(T$7,'Inputs (2)'!$D$2:$AL$2,0))</f>
        <v>360.64</v>
      </c>
      <c r="U231" s="25">
        <f>INDEX('Inputs (2)'!$D$35:$AL$35,MATCH(U$7,'Inputs (2)'!$D$2:$AL$2,0))</f>
        <v>510.779</v>
      </c>
      <c r="V231" s="25">
        <f>INDEX('Inputs (2)'!$D$35:$AL$35,MATCH(V$7,'Inputs (2)'!$D$2:$AL$2,0))</f>
        <v>489.081</v>
      </c>
      <c r="W231" s="3">
        <f>V231</f>
        <v>489.081</v>
      </c>
      <c r="X231" s="25">
        <f>INDEX('Inputs (2)'!$D$35:$AL$35,MATCH(X$7,'Inputs (2)'!$D$2:$AL$2,0))</f>
        <v>480.268</v>
      </c>
      <c r="Y231" s="25">
        <f>INDEX('Inputs (2)'!$D$35:$AL$35,MATCH(Y$7,'Inputs (2)'!$D$2:$AL$2,0))</f>
        <v>960.708</v>
      </c>
      <c r="Z231" s="25">
        <f>INDEX('Inputs (2)'!$D$35:$AL$35,MATCH(Z$7,'Inputs (2)'!$D$2:$AL$2,0))</f>
        <v>961.025</v>
      </c>
      <c r="AA231" s="25">
        <f>INDEX('Inputs (2)'!$D$35:$AL$35,MATCH(AA$7,'Inputs (2)'!$D$2:$AL$2,0))</f>
        <v>777.513</v>
      </c>
      <c r="AB231" s="3">
        <f>AA231</f>
        <v>777.513</v>
      </c>
      <c r="AC231" s="25">
        <f>INDEX('Inputs (2)'!$D$35:$AL$35,MATCH(AC$7,'Inputs (2)'!$D$2:$AL$2,0))</f>
        <v>1150.733</v>
      </c>
      <c r="AD231" s="25">
        <f>INDEX('Inputs (2)'!$D$35:$AL$35,MATCH(AD$7,'Inputs (2)'!$D$2:$AL$2,0))</f>
        <v>1147.008</v>
      </c>
      <c r="AE231" s="25">
        <f>INDEX('Inputs (2)'!$D$35:$AL$35,MATCH(AE$7,'Inputs (2)'!$D$2:$AL$2,0))</f>
        <v>1172.288</v>
      </c>
      <c r="AF231" s="25">
        <f>INDEX('Inputs (2)'!$D$35:$AL$35,MATCH(AF$7,'Inputs (2)'!$D$2:$AL$2,0))</f>
        <v>1175.028</v>
      </c>
      <c r="AG231" s="3">
        <f>AF231</f>
        <v>1175.028</v>
      </c>
      <c r="AH231" s="3">
        <f>INDEX('Inputs (2)'!$D$35:$AL$35,MATCH(AH$7,'Inputs (2)'!$D$2:$AL$2,0))</f>
        <v>1174.61</v>
      </c>
      <c r="AI231" s="3">
        <f>INDEX('Inputs (2)'!$D$35:$AL$35,MATCH(AI$7,'Inputs (2)'!$D$2:$AL$2,0))</f>
        <v>1164.242</v>
      </c>
      <c r="AJ231" s="3">
        <f>AJ237</f>
        <v>1164.242</v>
      </c>
      <c r="AK231" s="3">
        <f>AK237</f>
        <v>1164.242</v>
      </c>
      <c r="AL231" s="3">
        <f>AK231</f>
        <v>1164.242</v>
      </c>
      <c r="AM231" s="3">
        <f>AM237</f>
        <v>1164.242</v>
      </c>
      <c r="AN231" s="3">
        <f>AN237</f>
        <v>1164.242</v>
      </c>
      <c r="AO231" s="3">
        <f>AO237</f>
        <v>1164.242</v>
      </c>
      <c r="AP231" s="3">
        <f>AP237</f>
        <v>1164.242</v>
      </c>
      <c r="AQ231" s="3">
        <f>AP231</f>
        <v>1164.242</v>
      </c>
      <c r="AR231" s="3">
        <f>AR237</f>
        <v>1164.242</v>
      </c>
      <c r="AS231" s="3">
        <f>AS237</f>
        <v>1164.242</v>
      </c>
      <c r="AT231" s="3">
        <f>AT237</f>
        <v>1164.242</v>
      </c>
      <c r="AU231" s="3">
        <f>AU237</f>
        <v>1164.242</v>
      </c>
      <c r="AV231" s="3">
        <f>AU231</f>
        <v>1164.242</v>
      </c>
      <c r="AW231" s="3">
        <f>AW237</f>
        <v>1164.242</v>
      </c>
      <c r="AX231" s="3">
        <f>AX237</f>
        <v>1164.242</v>
      </c>
      <c r="AY231" s="3">
        <f>AY237</f>
        <v>1164.242</v>
      </c>
      <c r="AZ231" s="3">
        <f>AZ237</f>
        <v>1164.242</v>
      </c>
      <c r="BA231" s="3">
        <f>AZ231</f>
        <v>1164.242</v>
      </c>
      <c r="BB231" s="3">
        <f>BB237</f>
        <v>1164.242</v>
      </c>
      <c r="BC231" s="3">
        <f>BC237</f>
        <v>1164.242</v>
      </c>
      <c r="BD231" s="3">
        <f>BD237</f>
        <v>1164.242</v>
      </c>
      <c r="BE231" s="3">
        <f>BE237</f>
        <v>1164.242</v>
      </c>
      <c r="BF231" s="3">
        <f>BE231</f>
        <v>1164.242</v>
      </c>
      <c r="BG231" s="3">
        <f>BG237</f>
        <v>1164.242</v>
      </c>
      <c r="BH231" s="3">
        <f>BH237</f>
        <v>1164.242</v>
      </c>
      <c r="BI231" s="3">
        <f>BI237</f>
        <v>1164.242</v>
      </c>
      <c r="BJ231" s="3">
        <f>BJ237</f>
        <v>1164.242</v>
      </c>
      <c r="BK231" s="3">
        <f>BJ231</f>
        <v>1164.242</v>
      </c>
      <c r="BL231" s="3">
        <f>BL237</f>
        <v>1164.242</v>
      </c>
      <c r="BM231" s="3">
        <f>BM237</f>
        <v>1164.242</v>
      </c>
      <c r="BN231" s="3">
        <f>BN237</f>
        <v>1164.242</v>
      </c>
      <c r="BO231" s="3">
        <f>BO237</f>
        <v>1164.242</v>
      </c>
      <c r="BP231" s="3">
        <f>BO231</f>
        <v>1164.242</v>
      </c>
      <c r="BQ231" s="3">
        <f>BQ237</f>
        <v>1164.242</v>
      </c>
      <c r="BR231" s="3">
        <f>BR237</f>
        <v>1164.242</v>
      </c>
      <c r="BS231" s="3">
        <f>BS237</f>
        <v>1164.242</v>
      </c>
      <c r="BT231" s="3">
        <f>BT237</f>
        <v>1164.242</v>
      </c>
      <c r="BU231" s="3">
        <f>BT231</f>
        <v>1164.242</v>
      </c>
      <c r="BV231" s="3">
        <f>BV237</f>
        <v>1164.242</v>
      </c>
      <c r="BW231" s="3">
        <f>BW237</f>
        <v>1164.242</v>
      </c>
      <c r="BX231" s="3">
        <f>BX237</f>
        <v>1164.242</v>
      </c>
      <c r="BY231" s="3">
        <f>BY237</f>
        <v>1164.242</v>
      </c>
      <c r="BZ231" s="3">
        <f>BY231</f>
        <v>1164.242</v>
      </c>
      <c r="CA231" s="3">
        <f>CA237</f>
        <v>1164.242</v>
      </c>
      <c r="CB231" s="3">
        <f>CB237</f>
        <v>1164.242</v>
      </c>
      <c r="CC231" s="3">
        <f>CC237</f>
        <v>1164.242</v>
      </c>
      <c r="CD231" s="3">
        <f>CD237</f>
        <v>1164.242</v>
      </c>
      <c r="CE231" s="3">
        <f>CD231</f>
        <v>1164.242</v>
      </c>
      <c r="CF231" s="3">
        <f>CF237</f>
        <v>1164.242</v>
      </c>
      <c r="CG231" s="3">
        <f>CG237</f>
        <v>1164.242</v>
      </c>
      <c r="CH231" s="3">
        <f>CH237</f>
        <v>1164.242</v>
      </c>
      <c r="CI231" s="3">
        <f>CI237</f>
        <v>1164.242</v>
      </c>
      <c r="CJ231" s="3">
        <f>CI231</f>
        <v>1164.242</v>
      </c>
      <c r="CK231" s="3">
        <f>CK237</f>
        <v>1164.242</v>
      </c>
      <c r="CL231" s="3">
        <f>CL237</f>
        <v>1164.242</v>
      </c>
      <c r="CM231" s="3">
        <f>CM237</f>
        <v>1164.242</v>
      </c>
      <c r="CN231" s="3">
        <f>CN237</f>
        <v>1164.242</v>
      </c>
      <c r="CO231" s="3">
        <f>CN231</f>
        <v>1164.242</v>
      </c>
      <c r="CP231" s="3">
        <f>CP237</f>
        <v>1164.242</v>
      </c>
      <c r="CQ231" s="3">
        <f>CQ237</f>
        <v>1164.242</v>
      </c>
      <c r="CR231" s="3">
        <f>CR237</f>
        <v>1164.242</v>
      </c>
      <c r="CS231" s="3">
        <f>CS237</f>
        <v>1164.242</v>
      </c>
      <c r="CT231" s="3">
        <f>CS231</f>
        <v>1164.242</v>
      </c>
      <c r="CU231" s="3">
        <f>CU237</f>
        <v>1164.242</v>
      </c>
      <c r="CV231" s="3">
        <f>CV237</f>
        <v>1164.242</v>
      </c>
      <c r="CW231" s="3">
        <f>CW237</f>
        <v>1164.242</v>
      </c>
      <c r="CX231" s="3">
        <f>CX237</f>
        <v>1164.242</v>
      </c>
      <c r="CY231" s="3">
        <f>CX231</f>
        <v>1164.242</v>
      </c>
    </row>
    <row r="232" hidden="1" outlineLevel="1">
      <c r="C232" s="34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  <c r="CU232" s="3" t="n"/>
      <c r="CV232" s="3" t="n"/>
      <c r="CW232" s="3" t="n"/>
      <c r="CX232" s="3" t="n"/>
      <c r="CY232" s="3" t="n"/>
    </row>
    <row r="233" hidden="1" outlineLevel="1">
      <c r="C233" s="34" t="inlineStr">
        <is>
          <t>Current portion of LTD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>
        <f>AF226</f>
        <v>299.859</v>
      </c>
      <c r="AI233" s="35" t="n"/>
      <c r="AJ233" s="35" t="n"/>
      <c r="AK233" s="35" t="n"/>
      <c r="AL233" s="3" t="n"/>
      <c r="AM233" s="3">
        <f>AK226</f>
        <v>178.913</v>
      </c>
      <c r="AN233" s="35" t="n"/>
      <c r="AO233" s="35" t="n"/>
      <c r="AP233" s="35" t="n"/>
      <c r="AQ233" s="3" t="n"/>
      <c r="AR233" s="3">
        <f>AP226</f>
        <v>178.913</v>
      </c>
      <c r="AS233" s="35" t="n"/>
      <c r="AT233" s="35" t="n"/>
      <c r="AU233" s="35" t="n"/>
      <c r="AV233" s="3" t="n"/>
      <c r="AW233" s="3">
        <f>AU226</f>
        <v>178.913</v>
      </c>
      <c r="AX233" s="35" t="n"/>
      <c r="AY233" s="35" t="n"/>
      <c r="AZ233" s="35" t="n"/>
      <c r="BA233" s="3" t="n"/>
      <c r="BB233" s="3">
        <f>AZ226</f>
        <v>178.913</v>
      </c>
      <c r="BC233" s="35" t="n"/>
      <c r="BD233" s="35" t="n"/>
      <c r="BE233" s="35" t="n"/>
      <c r="BF233" s="3" t="n"/>
      <c r="BG233" s="3">
        <f>BE226</f>
        <v>178.913</v>
      </c>
      <c r="BH233" s="35" t="n"/>
      <c r="BI233" s="35" t="n"/>
      <c r="BJ233" s="35" t="n"/>
      <c r="BK233" s="3" t="n"/>
      <c r="BL233" s="3">
        <f>BJ226</f>
        <v>178.913</v>
      </c>
      <c r="BM233" s="35" t="n"/>
      <c r="BN233" s="35" t="n"/>
      <c r="BO233" s="35" t="n"/>
      <c r="BP233" s="3" t="n"/>
      <c r="BQ233" s="3">
        <f>BO226</f>
        <v>178.913</v>
      </c>
      <c r="BR233" s="35" t="n"/>
      <c r="BS233" s="35" t="n"/>
      <c r="BT233" s="35" t="n"/>
      <c r="BU233" s="3" t="n"/>
      <c r="BV233" s="3">
        <f>BT226</f>
        <v>178.913</v>
      </c>
      <c r="BW233" s="35" t="n"/>
      <c r="BX233" s="35" t="n"/>
      <c r="BY233" s="35" t="n"/>
      <c r="BZ233" s="3" t="n"/>
      <c r="CA233" s="3">
        <f>BY226</f>
        <v>178.913</v>
      </c>
      <c r="CB233" s="35" t="n"/>
      <c r="CC233" s="35" t="n"/>
      <c r="CD233" s="35" t="n"/>
      <c r="CE233" s="3" t="n"/>
      <c r="CF233" s="3">
        <f>CD226</f>
        <v>178.913</v>
      </c>
      <c r="CG233" s="35" t="n"/>
      <c r="CH233" s="35" t="n"/>
      <c r="CI233" s="35" t="n"/>
      <c r="CJ233" s="3" t="n"/>
      <c r="CK233" s="3">
        <f>CI226</f>
        <v>178.913</v>
      </c>
      <c r="CL233" s="35" t="n"/>
      <c r="CM233" s="35" t="n"/>
      <c r="CN233" s="35" t="n"/>
      <c r="CO233" s="3" t="n"/>
      <c r="CP233" s="3">
        <f>CN226</f>
        <v>178.913</v>
      </c>
      <c r="CQ233" s="35" t="n"/>
      <c r="CR233" s="35" t="n"/>
      <c r="CS233" s="35" t="n"/>
      <c r="CT233" s="3" t="n"/>
      <c r="CU233" s="3">
        <f>CS226</f>
        <v>178.913</v>
      </c>
      <c r="CV233" s="35" t="n"/>
      <c r="CW233" s="35" t="n"/>
      <c r="CX233" s="35" t="n"/>
      <c r="CY233" s="3" t="n"/>
    </row>
    <row r="234" hidden="1" outlineLevel="1">
      <c r="C234" s="34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  <c r="BO234" s="3" t="n"/>
      <c r="BP234" s="3" t="n"/>
      <c r="BQ234" s="3" t="n"/>
      <c r="BR234" s="3" t="n"/>
      <c r="BS234" s="3" t="n"/>
      <c r="BT234" s="3" t="n"/>
      <c r="BU234" s="3" t="n"/>
      <c r="BV234" s="3" t="n"/>
      <c r="BW234" s="3" t="n"/>
      <c r="BX234" s="3" t="n"/>
      <c r="BY234" s="3" t="n"/>
      <c r="BZ234" s="3" t="n"/>
      <c r="CA234" s="3" t="n"/>
      <c r="CB234" s="3" t="n"/>
      <c r="CC234" s="3" t="n"/>
      <c r="CD234" s="3" t="n"/>
      <c r="CE234" s="3" t="n"/>
      <c r="CF234" s="3" t="n"/>
      <c r="CG234" s="3" t="n"/>
      <c r="CH234" s="3" t="n"/>
      <c r="CI234" s="3" t="n"/>
      <c r="CJ234" s="3" t="n"/>
      <c r="CK234" s="3" t="n"/>
      <c r="CL234" s="3" t="n"/>
      <c r="CM234" s="3" t="n"/>
      <c r="CN234" s="3" t="n"/>
      <c r="CO234" s="3" t="n"/>
      <c r="CP234" s="3" t="n"/>
      <c r="CQ234" s="3" t="n"/>
      <c r="CR234" s="3" t="n"/>
      <c r="CS234" s="3" t="n"/>
      <c r="CT234" s="3" t="n"/>
      <c r="CU234" s="3" t="n"/>
      <c r="CV234" s="3" t="n"/>
      <c r="CW234" s="3" t="n"/>
      <c r="CX234" s="3" t="n"/>
      <c r="CY234" s="3" t="n"/>
    </row>
    <row r="235" hidden="1" outlineLevel="1">
      <c r="C235" s="34" t="inlineStr">
        <is>
          <t>Reclassification of LTD to CP of LTD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>
        <f>-AI233</f>
        <v>0</v>
      </c>
      <c r="AJ235" s="3">
        <f>-AJ233</f>
        <v>0</v>
      </c>
      <c r="AK235" s="3">
        <f>-AK233</f>
        <v>0</v>
      </c>
      <c r="AL235" s="3" t="n"/>
      <c r="AM235" s="3" t="n"/>
      <c r="AN235" s="3">
        <f>-AN233</f>
        <v>0</v>
      </c>
      <c r="AO235" s="3">
        <f>-AO233</f>
        <v>0</v>
      </c>
      <c r="AP235" s="3">
        <f>-AP233</f>
        <v>0</v>
      </c>
      <c r="AQ235" s="3" t="n"/>
      <c r="AR235" s="3" t="n"/>
      <c r="AS235" s="3">
        <f>-AS233</f>
        <v>0</v>
      </c>
      <c r="AT235" s="3">
        <f>-AT233</f>
        <v>0</v>
      </c>
      <c r="AU235" s="3">
        <f>-AU233</f>
        <v>0</v>
      </c>
      <c r="AV235" s="3" t="n"/>
      <c r="AW235" s="3" t="n"/>
      <c r="AX235" s="3">
        <f>-AX233</f>
        <v>0</v>
      </c>
      <c r="AY235" s="3">
        <f>-AY233</f>
        <v>0</v>
      </c>
      <c r="AZ235" s="3">
        <f>-AZ233</f>
        <v>0</v>
      </c>
      <c r="BA235" s="3" t="n"/>
      <c r="BB235" s="3" t="n"/>
      <c r="BC235" s="3">
        <f>-BC233</f>
        <v>0</v>
      </c>
      <c r="BD235" s="3">
        <f>-BD233</f>
        <v>0</v>
      </c>
      <c r="BE235" s="3">
        <f>-BE233</f>
        <v>0</v>
      </c>
      <c r="BF235" s="3" t="n"/>
      <c r="BG235" s="3" t="n"/>
      <c r="BH235" s="3">
        <f>-BH233</f>
        <v>0</v>
      </c>
      <c r="BI235" s="3">
        <f>-BI233</f>
        <v>0</v>
      </c>
      <c r="BJ235" s="3">
        <f>-BJ233</f>
        <v>0</v>
      </c>
      <c r="BK235" s="3" t="n"/>
      <c r="BL235" s="3" t="n"/>
      <c r="BM235" s="3">
        <f>-BM233</f>
        <v>0</v>
      </c>
      <c r="BN235" s="3">
        <f>-BN233</f>
        <v>0</v>
      </c>
      <c r="BO235" s="3">
        <f>-BO233</f>
        <v>0</v>
      </c>
      <c r="BP235" s="3" t="n"/>
      <c r="BQ235" s="3" t="n"/>
      <c r="BR235" s="3">
        <f>-BR233</f>
        <v>0</v>
      </c>
      <c r="BS235" s="3">
        <f>-BS233</f>
        <v>0</v>
      </c>
      <c r="BT235" s="3">
        <f>-BT233</f>
        <v>0</v>
      </c>
      <c r="BU235" s="3" t="n"/>
      <c r="BV235" s="3" t="n"/>
      <c r="BW235" s="3">
        <f>-BW233</f>
        <v>0</v>
      </c>
      <c r="BX235" s="3">
        <f>-BX233</f>
        <v>0</v>
      </c>
      <c r="BY235" s="3">
        <f>-BY233</f>
        <v>0</v>
      </c>
      <c r="BZ235" s="3" t="n"/>
      <c r="CA235" s="3" t="n"/>
      <c r="CB235" s="3">
        <f>-CB233</f>
        <v>0</v>
      </c>
      <c r="CC235" s="3">
        <f>-CC233</f>
        <v>0</v>
      </c>
      <c r="CD235" s="3">
        <f>-CD233</f>
        <v>0</v>
      </c>
      <c r="CE235" s="3" t="n"/>
      <c r="CF235" s="3" t="n"/>
      <c r="CG235" s="3">
        <f>-CG233</f>
        <v>0</v>
      </c>
      <c r="CH235" s="3">
        <f>-CH233</f>
        <v>0</v>
      </c>
      <c r="CI235" s="3">
        <f>-CI233</f>
        <v>0</v>
      </c>
      <c r="CJ235" s="3" t="n"/>
      <c r="CK235" s="3" t="n"/>
      <c r="CL235" s="3">
        <f>-CL233</f>
        <v>0</v>
      </c>
      <c r="CM235" s="3">
        <f>-CM233</f>
        <v>0</v>
      </c>
      <c r="CN235" s="3">
        <f>-CN233</f>
        <v>0</v>
      </c>
      <c r="CO235" s="3" t="n"/>
      <c r="CP235" s="3" t="n"/>
      <c r="CQ235" s="3">
        <f>-CQ233</f>
        <v>0</v>
      </c>
      <c r="CR235" s="3">
        <f>-CR233</f>
        <v>0</v>
      </c>
      <c r="CS235" s="3">
        <f>-CS233</f>
        <v>0</v>
      </c>
      <c r="CT235" s="3" t="n"/>
      <c r="CU235" s="3" t="n"/>
      <c r="CV235" s="3">
        <f>-CV233</f>
        <v>0</v>
      </c>
      <c r="CW235" s="3">
        <f>-CW233</f>
        <v>0</v>
      </c>
      <c r="CX235" s="3">
        <f>-CX233</f>
        <v>0</v>
      </c>
      <c r="CY235" s="3" t="n"/>
    </row>
    <row r="236" hidden="1" outlineLevel="1">
      <c r="C236" s="34" t="inlineStr">
        <is>
          <t>Discretionary (paydown)/borrowing of long term debt</t>
        </is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5" t="n"/>
      <c r="AI236" s="35" t="n"/>
      <c r="AJ236" s="35" t="n"/>
      <c r="AK236" s="35" t="n"/>
      <c r="AL236" s="3" t="n"/>
      <c r="AM236" s="35" t="n"/>
      <c r="AN236" s="35" t="n"/>
      <c r="AO236" s="35" t="n"/>
      <c r="AP236" s="35" t="n"/>
      <c r="AQ236" s="3" t="n"/>
      <c r="AR236" s="35" t="n"/>
      <c r="AS236" s="35" t="n"/>
      <c r="AT236" s="35" t="n"/>
      <c r="AU236" s="35" t="n"/>
      <c r="AV236" s="3" t="n"/>
      <c r="AW236" s="35" t="n"/>
      <c r="AX236" s="35" t="n"/>
      <c r="AY236" s="35" t="n"/>
      <c r="AZ236" s="35" t="n"/>
      <c r="BA236" s="3" t="n"/>
      <c r="BB236" s="35" t="n"/>
      <c r="BC236" s="35" t="n"/>
      <c r="BD236" s="35" t="n"/>
      <c r="BE236" s="35" t="n"/>
      <c r="BF236" s="3" t="n"/>
      <c r="BG236" s="35" t="n"/>
      <c r="BH236" s="35" t="n"/>
      <c r="BI236" s="35" t="n"/>
      <c r="BJ236" s="35" t="n"/>
      <c r="BK236" s="3" t="n"/>
      <c r="BL236" s="35" t="n"/>
      <c r="BM236" s="35" t="n"/>
      <c r="BN236" s="35" t="n"/>
      <c r="BO236" s="35" t="n"/>
      <c r="BP236" s="3" t="n"/>
      <c r="BQ236" s="35" t="n"/>
      <c r="BR236" s="35" t="n"/>
      <c r="BS236" s="35" t="n"/>
      <c r="BT236" s="35" t="n"/>
      <c r="BU236" s="3" t="n"/>
      <c r="BV236" s="35" t="n"/>
      <c r="BW236" s="35" t="n"/>
      <c r="BX236" s="35" t="n"/>
      <c r="BY236" s="35" t="n"/>
      <c r="BZ236" s="3" t="n"/>
      <c r="CA236" s="35" t="n"/>
      <c r="CB236" s="35" t="n"/>
      <c r="CC236" s="35" t="n"/>
      <c r="CD236" s="35" t="n"/>
      <c r="CE236" s="3" t="n"/>
      <c r="CF236" s="35" t="n"/>
      <c r="CG236" s="35" t="n"/>
      <c r="CH236" s="35" t="n"/>
      <c r="CI236" s="35" t="n"/>
      <c r="CJ236" s="3" t="n"/>
      <c r="CK236" s="35" t="n"/>
      <c r="CL236" s="35" t="n"/>
      <c r="CM236" s="35" t="n"/>
      <c r="CN236" s="35" t="n"/>
      <c r="CO236" s="3" t="n"/>
      <c r="CP236" s="35" t="n"/>
      <c r="CQ236" s="35" t="n"/>
      <c r="CR236" s="35" t="n"/>
      <c r="CS236" s="35" t="n"/>
      <c r="CT236" s="3" t="n"/>
      <c r="CU236" s="35" t="n"/>
      <c r="CV236" s="35" t="n"/>
      <c r="CW236" s="35" t="n"/>
      <c r="CX236" s="35" t="n"/>
      <c r="CY236" s="3" t="n"/>
    </row>
    <row r="237" hidden="1" outlineLevel="1">
      <c r="C237" s="34" t="inlineStr">
        <is>
          <t>Long term debt</t>
        </is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>
        <f>AF231+SUM(AH235:AH236)</f>
        <v>1175.028</v>
      </c>
      <c r="AI237" s="3">
        <f>AH237+SUM(AI235:AI236)</f>
        <v>1175.028</v>
      </c>
      <c r="AJ237" s="3">
        <f>AI231+SUM(AJ235:AJ236)</f>
        <v>1164.242</v>
      </c>
      <c r="AK237" s="3">
        <f>AJ237+SUM(AK235:AK236)</f>
        <v>1164.242</v>
      </c>
      <c r="AL237" s="3" t="n"/>
      <c r="AM237" s="3">
        <f>AK237+SUM(AM235:AM236)</f>
        <v>1164.242</v>
      </c>
      <c r="AN237" s="3">
        <f>AM237+SUM(AN235:AN236)</f>
        <v>1164.242</v>
      </c>
      <c r="AO237" s="3">
        <f>AN237+SUM(AO235:AO236)</f>
        <v>1164.242</v>
      </c>
      <c r="AP237" s="3">
        <f>AO237+SUM(AP235:AP236)</f>
        <v>1164.242</v>
      </c>
      <c r="AQ237" s="3" t="n"/>
      <c r="AR237" s="3">
        <f>AP237+SUM(AR235:AR236)</f>
        <v>1164.242</v>
      </c>
      <c r="AS237" s="3">
        <f>AR237+SUM(AS235:AS236)</f>
        <v>1164.242</v>
      </c>
      <c r="AT237" s="3">
        <f>AS237+SUM(AT235:AT236)</f>
        <v>1164.242</v>
      </c>
      <c r="AU237" s="3">
        <f>AT237+SUM(AU235:AU236)</f>
        <v>1164.242</v>
      </c>
      <c r="AV237" s="3" t="n"/>
      <c r="AW237" s="3">
        <f>AU237+SUM(AW235:AW236)</f>
        <v>1164.242</v>
      </c>
      <c r="AX237" s="3">
        <f>AW237+SUM(AX235:AX236)</f>
        <v>1164.242</v>
      </c>
      <c r="AY237" s="3">
        <f>AX237+SUM(AY235:AY236)</f>
        <v>1164.242</v>
      </c>
      <c r="AZ237" s="3">
        <f>AY237+SUM(AZ235:AZ236)</f>
        <v>1164.242</v>
      </c>
      <c r="BA237" s="3" t="n"/>
      <c r="BB237" s="3">
        <f>AZ237+SUM(BB235:BB236)</f>
        <v>1164.242</v>
      </c>
      <c r="BC237" s="3">
        <f>BB237+SUM(BC235:BC236)</f>
        <v>1164.242</v>
      </c>
      <c r="BD237" s="3">
        <f>BC237+SUM(BD235:BD236)</f>
        <v>1164.242</v>
      </c>
      <c r="BE237" s="3">
        <f>BD237+SUM(BE235:BE236)</f>
        <v>1164.242</v>
      </c>
      <c r="BF237" s="3" t="n"/>
      <c r="BG237" s="3">
        <f>BE237+SUM(BG235:BG236)</f>
        <v>1164.242</v>
      </c>
      <c r="BH237" s="3">
        <f>BG237+SUM(BH235:BH236)</f>
        <v>1164.242</v>
      </c>
      <c r="BI237" s="3">
        <f>BH237+SUM(BI235:BI236)</f>
        <v>1164.242</v>
      </c>
      <c r="BJ237" s="3">
        <f>BI237+SUM(BJ235:BJ236)</f>
        <v>1164.242</v>
      </c>
      <c r="BK237" s="3" t="n"/>
      <c r="BL237" s="3">
        <f>BJ237+SUM(BL235:BL236)</f>
        <v>1164.242</v>
      </c>
      <c r="BM237" s="3">
        <f>BL237+SUM(BM235:BM236)</f>
        <v>1164.242</v>
      </c>
      <c r="BN237" s="3">
        <f>BM237+SUM(BN235:BN236)</f>
        <v>1164.242</v>
      </c>
      <c r="BO237" s="3">
        <f>BN237+SUM(BO235:BO236)</f>
        <v>1164.242</v>
      </c>
      <c r="BP237" s="3" t="n"/>
      <c r="BQ237" s="3">
        <f>BO237+SUM(BQ235:BQ236)</f>
        <v>1164.242</v>
      </c>
      <c r="BR237" s="3">
        <f>BQ237+SUM(BR235:BR236)</f>
        <v>1164.242</v>
      </c>
      <c r="BS237" s="3">
        <f>BR237+SUM(BS235:BS236)</f>
        <v>1164.242</v>
      </c>
      <c r="BT237" s="3">
        <f>BS237+SUM(BT235:BT236)</f>
        <v>1164.242</v>
      </c>
      <c r="BU237" s="3" t="n"/>
      <c r="BV237" s="3">
        <f>BT237+SUM(BV235:BV236)</f>
        <v>1164.242</v>
      </c>
      <c r="BW237" s="3">
        <f>BV237+SUM(BW235:BW236)</f>
        <v>1164.242</v>
      </c>
      <c r="BX237" s="3">
        <f>BW237+SUM(BX235:BX236)</f>
        <v>1164.242</v>
      </c>
      <c r="BY237" s="3">
        <f>BX237+SUM(BY235:BY236)</f>
        <v>1164.242</v>
      </c>
      <c r="BZ237" s="3" t="n"/>
      <c r="CA237" s="3">
        <f>BY237+SUM(CA235:CA236)</f>
        <v>1164.242</v>
      </c>
      <c r="CB237" s="3">
        <f>CA237+SUM(CB235:CB236)</f>
        <v>1164.242</v>
      </c>
      <c r="CC237" s="3">
        <f>CB237+SUM(CC235:CC236)</f>
        <v>1164.242</v>
      </c>
      <c r="CD237" s="3">
        <f>CC237+SUM(CD235:CD236)</f>
        <v>1164.242</v>
      </c>
      <c r="CE237" s="3" t="n"/>
      <c r="CF237" s="3">
        <f>CD237+SUM(CF235:CF236)</f>
        <v>1164.242</v>
      </c>
      <c r="CG237" s="3">
        <f>CF237+SUM(CG235:CG236)</f>
        <v>1164.242</v>
      </c>
      <c r="CH237" s="3">
        <f>CG237+SUM(CH235:CH236)</f>
        <v>1164.242</v>
      </c>
      <c r="CI237" s="3">
        <f>CH237+SUM(CI235:CI236)</f>
        <v>1164.242</v>
      </c>
      <c r="CJ237" s="3" t="n"/>
      <c r="CK237" s="3">
        <f>CI237+SUM(CK235:CK236)</f>
        <v>1164.242</v>
      </c>
      <c r="CL237" s="3">
        <f>CK237+SUM(CL235:CL236)</f>
        <v>1164.242</v>
      </c>
      <c r="CM237" s="3">
        <f>CL237+SUM(CM235:CM236)</f>
        <v>1164.242</v>
      </c>
      <c r="CN237" s="3">
        <f>CM237+SUM(CN235:CN236)</f>
        <v>1164.242</v>
      </c>
      <c r="CO237" s="3" t="n"/>
      <c r="CP237" s="3">
        <f>CN237+SUM(CP235:CP236)</f>
        <v>1164.242</v>
      </c>
      <c r="CQ237" s="3">
        <f>CP237+SUM(CQ235:CQ236)</f>
        <v>1164.242</v>
      </c>
      <c r="CR237" s="3">
        <f>CQ237+SUM(CR235:CR236)</f>
        <v>1164.242</v>
      </c>
      <c r="CS237" s="3">
        <f>CR237+SUM(CS235:CS236)</f>
        <v>1164.242</v>
      </c>
      <c r="CT237" s="3" t="n"/>
      <c r="CU237" s="3">
        <f>CS237+SUM(CU235:CU236)</f>
        <v>1164.242</v>
      </c>
      <c r="CV237" s="3">
        <f>CU237+SUM(CV235:CV236)</f>
        <v>1164.242</v>
      </c>
      <c r="CW237" s="3">
        <f>CV237+SUM(CW235:CW236)</f>
        <v>1164.242</v>
      </c>
      <c r="CX237" s="3">
        <f>CW237+SUM(CX235:CX236)</f>
        <v>1164.242</v>
      </c>
      <c r="CY237" s="3" t="n"/>
      <c r="CZ237">
        <f>CX237+SUM(CZ235:CZ236)</f>
        <v>1164.242</v>
      </c>
      <c r="DA237">
        <f>CZ237+SUM(DA235:DA236)</f>
        <v>1164.242</v>
      </c>
      <c r="DB237">
        <f>DA237+SUM(DB235:DB236)</f>
        <v>1164.242</v>
      </c>
      <c r="DC237">
        <f>DB237+SUM(DC235:DC236)</f>
        <v>1164.242</v>
      </c>
    </row>
    <row r="238" hidden="1" outlineLevel="1">
      <c r="C238" s="34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hidden="1" outlineLevel="1">
      <c r="C239" s="34" t="inlineStr">
        <is>
          <t>Discretionary (paydown)/borrowing of convertible debt</t>
        </is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5" t="n"/>
      <c r="AI239" s="35" t="n"/>
      <c r="AJ239" s="35" t="n"/>
      <c r="AK239" s="35" t="n"/>
      <c r="AL239" s="3" t="n"/>
      <c r="AM239" s="35" t="n"/>
      <c r="AN239" s="35" t="n"/>
      <c r="AO239" s="35" t="n"/>
      <c r="AP239" s="35" t="n"/>
      <c r="AQ239" s="3" t="n"/>
      <c r="AR239" s="35" t="n"/>
      <c r="AS239" s="35" t="n"/>
      <c r="AT239" s="35" t="n"/>
      <c r="AU239" s="35" t="n"/>
      <c r="AV239" s="3" t="n"/>
      <c r="AW239" s="35" t="n"/>
      <c r="AX239" s="35" t="n"/>
      <c r="AY239" s="35" t="n"/>
      <c r="AZ239" s="35" t="n"/>
      <c r="BA239" s="3" t="n"/>
      <c r="BB239" s="35" t="n"/>
      <c r="BC239" s="35" t="n"/>
      <c r="BD239" s="35" t="n"/>
      <c r="BE239" s="35" t="n"/>
      <c r="BF239" s="3" t="n"/>
      <c r="BG239" s="35" t="n"/>
      <c r="BH239" s="35" t="n"/>
      <c r="BI239" s="35" t="n"/>
      <c r="BJ239" s="35" t="n"/>
      <c r="BK239" s="3" t="n"/>
      <c r="BL239" s="35" t="n"/>
      <c r="BM239" s="35" t="n"/>
      <c r="BN239" s="35" t="n"/>
      <c r="BO239" s="35" t="n"/>
      <c r="BP239" s="3" t="n"/>
      <c r="BQ239" s="35" t="n"/>
      <c r="BR239" s="35" t="n"/>
      <c r="BS239" s="35" t="n"/>
      <c r="BT239" s="35" t="n"/>
      <c r="BU239" s="3" t="n"/>
      <c r="BV239" s="35" t="n"/>
      <c r="BW239" s="35" t="n"/>
      <c r="BX239" s="35" t="n"/>
      <c r="BY239" s="35" t="n"/>
      <c r="BZ239" s="3" t="n"/>
      <c r="CA239" s="35" t="n"/>
      <c r="CB239" s="35" t="n"/>
      <c r="CC239" s="35" t="n"/>
      <c r="CD239" s="35" t="n"/>
      <c r="CE239" s="3" t="n"/>
      <c r="CF239" s="35" t="n"/>
      <c r="CG239" s="35" t="n"/>
      <c r="CH239" s="35" t="n"/>
      <c r="CI239" s="35" t="n"/>
      <c r="CJ239" s="3" t="n"/>
      <c r="CK239" s="35" t="n"/>
      <c r="CL239" s="35" t="n"/>
      <c r="CM239" s="35" t="n"/>
      <c r="CN239" s="35" t="n"/>
      <c r="CO239" s="3" t="n"/>
      <c r="CP239" s="35" t="n"/>
      <c r="CQ239" s="35" t="n"/>
      <c r="CR239" s="35" t="n"/>
      <c r="CS239" s="35" t="n"/>
      <c r="CT239" s="3" t="n"/>
      <c r="CU239" s="35" t="n"/>
      <c r="CV239" s="35" t="n"/>
      <c r="CW239" s="35" t="n"/>
      <c r="CX239" s="35" t="n"/>
      <c r="CY239" s="3" t="n"/>
    </row>
    <row r="240" hidden="1" outlineLevel="1">
      <c r="C240" s="34" t="inlineStr">
        <is>
          <t>Convertible debt</t>
        </is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>
        <f>AH252</f>
        <v>0</v>
      </c>
      <c r="AI240" s="3">
        <f>AH240+SUM(AI239)</f>
        <v>0</v>
      </c>
      <c r="AJ240" s="3">
        <f>AI240+SUM(AJ239)</f>
        <v>0</v>
      </c>
      <c r="AK240" s="3">
        <f>AJ240+SUM(AK239)</f>
        <v>0</v>
      </c>
      <c r="AL240" s="3" t="n"/>
      <c r="AM240" s="3">
        <f>AM252</f>
        <v>0</v>
      </c>
      <c r="AN240" s="3">
        <f>AM240+SUM(AN239)</f>
        <v>0</v>
      </c>
      <c r="AO240" s="3">
        <f>AN240+SUM(AO239)</f>
        <v>0</v>
      </c>
      <c r="AP240" s="3">
        <f>AO240+SUM(AP239)</f>
        <v>0</v>
      </c>
      <c r="AQ240" s="3" t="n"/>
      <c r="AR240" s="3">
        <f>AR252</f>
        <v>0</v>
      </c>
      <c r="AS240" s="3">
        <f>AR240+SUM(AS239)</f>
        <v>0</v>
      </c>
      <c r="AT240" s="3">
        <f>AS240+SUM(AT239)</f>
        <v>0</v>
      </c>
      <c r="AU240" s="3">
        <f>AT240+SUM(AU239)</f>
        <v>0</v>
      </c>
      <c r="AV240" s="3" t="n"/>
      <c r="AW240" s="3">
        <f>AW252</f>
        <v>0</v>
      </c>
      <c r="AX240" s="3">
        <f>AW240+SUM(AX239)</f>
        <v>0</v>
      </c>
      <c r="AY240" s="3">
        <f>AX240+SUM(AY239)</f>
        <v>0</v>
      </c>
      <c r="AZ240" s="3">
        <f>AY240+SUM(AZ239)</f>
        <v>0</v>
      </c>
      <c r="BA240" s="3" t="n"/>
      <c r="BB240" s="3">
        <f>BB252</f>
        <v>0</v>
      </c>
      <c r="BC240" s="3">
        <f>BB240+SUM(BC239)</f>
        <v>0</v>
      </c>
      <c r="BD240" s="3">
        <f>BC240+SUM(BD239)</f>
        <v>0</v>
      </c>
      <c r="BE240" s="3">
        <f>BD240+SUM(BE239)</f>
        <v>0</v>
      </c>
      <c r="BF240" s="3" t="n"/>
      <c r="BG240" s="3">
        <f>BG252</f>
        <v>0</v>
      </c>
      <c r="BH240" s="3">
        <f>BG240+SUM(BH239)</f>
        <v>0</v>
      </c>
      <c r="BI240" s="3">
        <f>BH240+SUM(BI239)</f>
        <v>0</v>
      </c>
      <c r="BJ240" s="3">
        <f>BI240+SUM(BJ239)</f>
        <v>0</v>
      </c>
      <c r="BK240" s="3" t="n"/>
      <c r="BL240" s="3">
        <f>BL252</f>
        <v>0</v>
      </c>
      <c r="BM240" s="3">
        <f>BL240+SUM(BM239)</f>
        <v>0</v>
      </c>
      <c r="BN240" s="3">
        <f>BM240+SUM(BN239)</f>
        <v>0</v>
      </c>
      <c r="BO240" s="3">
        <f>BN240+SUM(BO239)</f>
        <v>0</v>
      </c>
      <c r="BP240" s="3" t="n"/>
      <c r="BQ240" s="3">
        <f>BQ252</f>
        <v>0</v>
      </c>
      <c r="BR240" s="3">
        <f>BQ240+SUM(BR239)</f>
        <v>0</v>
      </c>
      <c r="BS240" s="3">
        <f>BR240+SUM(BS239)</f>
        <v>0</v>
      </c>
      <c r="BT240" s="3">
        <f>BS240+SUM(BT239)</f>
        <v>0</v>
      </c>
      <c r="BU240" s="3" t="n"/>
      <c r="BV240" s="3">
        <f>BV252</f>
        <v>0</v>
      </c>
      <c r="BW240" s="3">
        <f>BV240+SUM(BW239)</f>
        <v>0</v>
      </c>
      <c r="BX240" s="3">
        <f>BW240+SUM(BX239)</f>
        <v>0</v>
      </c>
      <c r="BY240" s="3">
        <f>BX240+SUM(BY239)</f>
        <v>0</v>
      </c>
      <c r="BZ240" s="3" t="n"/>
      <c r="CA240" s="3">
        <f>CA252</f>
        <v>0</v>
      </c>
      <c r="CB240" s="3">
        <f>CA240+SUM(CB239)</f>
        <v>0</v>
      </c>
      <c r="CC240" s="3">
        <f>CB240+SUM(CC239)</f>
        <v>0</v>
      </c>
      <c r="CD240" s="3">
        <f>CC240+SUM(CD239)</f>
        <v>0</v>
      </c>
      <c r="CE240" s="3" t="n"/>
      <c r="CF240" s="3">
        <f>CF252</f>
        <v>0</v>
      </c>
      <c r="CG240" s="3">
        <f>CF240+SUM(CG239)</f>
        <v>0</v>
      </c>
      <c r="CH240" s="3">
        <f>CG240+SUM(CH239)</f>
        <v>0</v>
      </c>
      <c r="CI240" s="3">
        <f>CH240+SUM(CI239)</f>
        <v>0</v>
      </c>
      <c r="CJ240" s="3" t="n"/>
      <c r="CK240" s="3">
        <f>CK252</f>
        <v>0</v>
      </c>
      <c r="CL240" s="3">
        <f>CK240+SUM(CL239)</f>
        <v>0</v>
      </c>
      <c r="CM240" s="3">
        <f>CL240+SUM(CM239)</f>
        <v>0</v>
      </c>
      <c r="CN240" s="3">
        <f>CM240+SUM(CN239)</f>
        <v>0</v>
      </c>
      <c r="CO240" s="3" t="n"/>
      <c r="CP240" s="3">
        <f>CP252</f>
        <v>0</v>
      </c>
      <c r="CQ240" s="3">
        <f>CP240+SUM(CQ239)</f>
        <v>0</v>
      </c>
      <c r="CR240" s="3">
        <f>CQ240+SUM(CR239)</f>
        <v>0</v>
      </c>
      <c r="CS240" s="3">
        <f>CR240+SUM(CS239)</f>
        <v>0</v>
      </c>
      <c r="CT240" s="3" t="n"/>
      <c r="CU240" s="3">
        <f>CU252</f>
        <v>0</v>
      </c>
      <c r="CV240" s="3">
        <f>CU240+SUM(CV239)</f>
        <v>0</v>
      </c>
      <c r="CW240" s="3">
        <f>CV240+SUM(CW239)</f>
        <v>0</v>
      </c>
      <c r="CX240" s="3">
        <f>CW240+SUM(CX239)</f>
        <v>0</v>
      </c>
      <c r="CY240" s="3" t="n"/>
    </row>
    <row r="241" hidden="1" outlineLevel="1">
      <c r="C241" s="34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I241" s="3" t="n"/>
      <c r="AJ241" s="3" t="n"/>
      <c r="AK241" s="3" t="n"/>
      <c r="AL241" s="3" t="n"/>
      <c r="AN241" s="3" t="n"/>
      <c r="AO241" s="3" t="n"/>
      <c r="AP241" s="3" t="n"/>
      <c r="AQ241" s="3" t="n"/>
      <c r="AS241" s="3" t="n"/>
      <c r="AT241" s="3" t="n"/>
      <c r="AU241" s="3" t="n"/>
      <c r="AV241" s="3" t="n"/>
      <c r="AX241" s="3" t="n"/>
      <c r="AY241" s="3" t="n"/>
      <c r="AZ241" s="3" t="n"/>
      <c r="BA241" s="3" t="n"/>
      <c r="BC241" s="3" t="n"/>
      <c r="BD241" s="3" t="n"/>
      <c r="BE241" s="3" t="n"/>
      <c r="BF241" s="3" t="n"/>
      <c r="BH241" s="3" t="n"/>
      <c r="BI241" s="3" t="n"/>
      <c r="BJ241" s="3" t="n"/>
      <c r="BK241" s="3" t="n"/>
      <c r="BM241" s="3" t="n"/>
      <c r="BN241" s="3" t="n"/>
      <c r="BO241" s="3" t="n"/>
      <c r="BP241" s="3" t="n"/>
      <c r="BR241" s="3" t="n"/>
      <c r="BS241" s="3" t="n"/>
      <c r="BT241" s="3" t="n"/>
      <c r="BU241" s="3" t="n"/>
      <c r="BW241" s="3" t="n"/>
      <c r="BX241" s="3" t="n"/>
      <c r="BY241" s="3" t="n"/>
      <c r="BZ241" s="3" t="n"/>
      <c r="CB241" s="3" t="n"/>
      <c r="CC241" s="3" t="n"/>
      <c r="CD241" s="3" t="n"/>
      <c r="CE241" s="3" t="n"/>
      <c r="CG241" s="3" t="n"/>
      <c r="CH241" s="3" t="n"/>
      <c r="CI241" s="3" t="n"/>
      <c r="CJ241" s="3" t="n"/>
      <c r="CL241" s="3" t="n"/>
      <c r="CM241" s="3" t="n"/>
      <c r="CN241" s="3" t="n"/>
      <c r="CO241" s="3" t="n"/>
      <c r="CQ241" s="3" t="n"/>
      <c r="CR241" s="3" t="n"/>
      <c r="CS241" s="3" t="n"/>
      <c r="CT241" s="3" t="n"/>
      <c r="CV241" s="3" t="n"/>
      <c r="CW241" s="3" t="n"/>
      <c r="CX241" s="3" t="n"/>
      <c r="CY241" s="3" t="n"/>
    </row>
    <row r="242" hidden="1" outlineLevel="1">
      <c r="C242" s="34" t="inlineStr">
        <is>
          <t>Calculation of short term debt</t>
        </is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  <c r="BO242" s="3" t="n"/>
      <c r="BP242" s="3" t="n"/>
      <c r="BQ242" s="3" t="n"/>
      <c r="BR242" s="3" t="n"/>
      <c r="BS242" s="3" t="n"/>
      <c r="BT242" s="3" t="n"/>
      <c r="BU242" s="3" t="n"/>
      <c r="BV242" s="3" t="n"/>
      <c r="BW242" s="3" t="n"/>
      <c r="BX242" s="3" t="n"/>
      <c r="BY242" s="3" t="n"/>
      <c r="BZ242" s="3" t="n"/>
      <c r="CA242" s="3" t="n"/>
      <c r="CB242" s="3" t="n"/>
      <c r="CC242" s="3" t="n"/>
      <c r="CD242" s="3" t="n"/>
      <c r="CE242" s="3" t="n"/>
      <c r="CF242" s="3" t="n"/>
      <c r="CG242" s="3" t="n"/>
      <c r="CH242" s="3" t="n"/>
      <c r="CI242" s="3" t="n"/>
      <c r="CJ242" s="3" t="n"/>
      <c r="CK242" s="3" t="n"/>
      <c r="CL242" s="3" t="n"/>
      <c r="CM242" s="3" t="n"/>
      <c r="CN242" s="3" t="n"/>
      <c r="CO242" s="3" t="n"/>
      <c r="CP242" s="3" t="n"/>
      <c r="CQ242" s="3" t="n"/>
      <c r="CR242" s="3" t="n"/>
      <c r="CS242" s="3" t="n"/>
      <c r="CT242" s="3" t="n"/>
      <c r="CU242" s="3" t="n"/>
      <c r="CV242" s="3" t="n"/>
      <c r="CW242" s="3" t="n"/>
      <c r="CX242" s="3" t="n"/>
      <c r="CY242" s="3" t="n"/>
    </row>
    <row r="243" hidden="1" outlineLevel="1">
      <c r="C243" s="34" t="inlineStr">
        <is>
          <t>Cash @ beginning of the period (end of last period)</t>
        </is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6">
        <f>AG158</f>
        <v>1790.937</v>
      </c>
      <c r="AI243" s="3" t="n"/>
      <c r="AJ243" s="3" t="n"/>
      <c r="AK243" s="3" t="n"/>
      <c r="AL243" s="3" t="n"/>
      <c r="AM243" s="36">
        <f>AL158</f>
        <v>5513.926</v>
      </c>
      <c r="AN243" s="3" t="n"/>
      <c r="AO243" s="3" t="n"/>
      <c r="AP243" s="3" t="n"/>
      <c r="AQ243" s="3" t="n"/>
      <c r="AR243" s="36" t="e">
        <f>AQ158</f>
        <v>#DIV/0!</v>
      </c>
      <c r="AS243" s="3" t="n"/>
      <c r="AT243" s="3" t="n"/>
      <c r="AU243" s="3" t="n"/>
      <c r="AV243" s="3" t="n"/>
      <c r="AW243" s="36" t="e">
        <f>AV158</f>
        <v>#DIV/0!</v>
      </c>
      <c r="AX243" s="3" t="n"/>
      <c r="AY243" s="3" t="n"/>
      <c r="AZ243" s="3" t="n"/>
      <c r="BA243" s="3" t="n"/>
      <c r="BB243" s="36" t="e">
        <f>BA158</f>
        <v>#DIV/0!</v>
      </c>
      <c r="BC243" s="3" t="n"/>
      <c r="BD243" s="3" t="n"/>
      <c r="BE243" s="3" t="n"/>
      <c r="BF243" s="3" t="n"/>
      <c r="BG243" s="36" t="e">
        <f>BF158</f>
        <v>#DIV/0!</v>
      </c>
      <c r="BH243" s="3" t="n"/>
      <c r="BI243" s="3" t="n"/>
      <c r="BJ243" s="3" t="n"/>
      <c r="BK243" s="3" t="n"/>
      <c r="BL243" s="36" t="e">
        <f>BK158</f>
        <v>#DIV/0!</v>
      </c>
      <c r="BM243" s="3" t="n"/>
      <c r="BN243" s="3" t="n"/>
      <c r="BO243" s="3" t="n"/>
      <c r="BP243" s="3" t="n"/>
      <c r="BQ243" s="36" t="e">
        <f>BP158</f>
        <v>#DIV/0!</v>
      </c>
      <c r="BR243" s="3" t="n"/>
      <c r="BS243" s="3" t="n"/>
      <c r="BT243" s="3" t="n"/>
      <c r="BU243" s="3" t="n"/>
      <c r="BV243" s="36" t="e">
        <f>BU158</f>
        <v>#DIV/0!</v>
      </c>
      <c r="BW243" s="3" t="n"/>
      <c r="BX243" s="3" t="n"/>
      <c r="BY243" s="3" t="n"/>
      <c r="BZ243" s="3" t="n"/>
      <c r="CA243" s="36" t="e">
        <f>BZ158</f>
        <v>#DIV/0!</v>
      </c>
      <c r="CB243" s="3" t="n"/>
      <c r="CC243" s="3" t="n"/>
      <c r="CD243" s="3" t="n"/>
      <c r="CE243" s="3" t="n"/>
      <c r="CF243" s="36" t="e">
        <f>CE158</f>
        <v>#DIV/0!</v>
      </c>
      <c r="CG243" s="3" t="n"/>
      <c r="CH243" s="3" t="n"/>
      <c r="CI243" s="3" t="n"/>
      <c r="CJ243" s="3" t="n"/>
      <c r="CK243" s="36" t="e">
        <f>CJ158</f>
        <v>#DIV/0!</v>
      </c>
      <c r="CL243" s="3" t="n"/>
      <c r="CM243" s="3" t="n"/>
      <c r="CN243" s="3" t="n"/>
      <c r="CO243" s="3" t="n"/>
      <c r="CP243" s="36" t="e">
        <f>CO158</f>
        <v>#DIV/0!</v>
      </c>
      <c r="CQ243" s="3" t="n"/>
      <c r="CR243" s="3" t="n"/>
      <c r="CS243" s="3" t="n"/>
      <c r="CT243" s="3" t="n"/>
      <c r="CU243" s="36" t="e">
        <f>CT158</f>
        <v>#DIV/0!</v>
      </c>
      <c r="CV243" s="3" t="n"/>
      <c r="CW243" s="3" t="n"/>
      <c r="CX243" s="3" t="n"/>
      <c r="CY243" s="3" t="n"/>
    </row>
    <row r="244" hidden="1" outlineLevel="1">
      <c r="C244" s="34" t="inlineStr">
        <is>
          <t>Plus: Free cash flows prior to debt during period</t>
        </is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inlineStr">
        <is>
          <t>% of sales</t>
        </is>
      </c>
      <c r="AH244" s="37">
        <f>SUM(AH307,AH314)+SUM(AH316:AH322)</f>
        <v>90.8440000000005</v>
      </c>
      <c r="AI244" s="37">
        <f>SUM(AI307,AI314)+SUM(AI316:AI322)</f>
        <v>-116.343</v>
      </c>
      <c r="AJ244" s="37">
        <f>SUM(AJ307,AJ314)+SUM(AJ316:AJ322)</f>
        <v>3832.052</v>
      </c>
      <c r="AK244" s="37">
        <f>SUM(AK307,AK314)+SUM(AK316:AK322)</f>
        <v>48.168</v>
      </c>
      <c r="AL244" s="3" t="n"/>
      <c r="AM244" s="37" t="e">
        <f>SUM(AM307,AM314)+SUM(AM316:AM322)</f>
        <v>#DIV/0!</v>
      </c>
      <c r="AN244" s="37" t="e">
        <f>SUM(AN307,AN314)+SUM(AN316:AN322)</f>
        <v>#DIV/0!</v>
      </c>
      <c r="AO244" s="37" t="e">
        <f>SUM(AO307,AO314)+SUM(AO316:AO322)</f>
        <v>#DIV/0!</v>
      </c>
      <c r="AP244" s="37" t="e">
        <f>SUM(AP307,AP314)+SUM(AP316:AP322)</f>
        <v>#DIV/0!</v>
      </c>
      <c r="AQ244" s="3" t="n"/>
      <c r="AR244" s="37" t="e">
        <f>SUM(AR307,AR314)+SUM(AR316:AR322)</f>
        <v>#DIV/0!</v>
      </c>
      <c r="AS244" s="37" t="e">
        <f>SUM(AS307,AS314)+SUM(AS316:AS322)</f>
        <v>#DIV/0!</v>
      </c>
      <c r="AT244" s="37" t="e">
        <f>SUM(AT307,AT314)+SUM(AT316:AT322)</f>
        <v>#DIV/0!</v>
      </c>
      <c r="AU244" s="37" t="e">
        <f>SUM(AU307,AU314)+SUM(AU316:AU322)</f>
        <v>#DIV/0!</v>
      </c>
      <c r="AV244" s="3" t="n"/>
      <c r="AW244" s="37" t="e">
        <f>SUM(AW307,AW314)+SUM(AW316:AW322)</f>
        <v>#DIV/0!</v>
      </c>
      <c r="AX244" s="37" t="e">
        <f>SUM(AX307,AX314)+SUM(AX316:AX322)</f>
        <v>#DIV/0!</v>
      </c>
      <c r="AY244" s="37" t="e">
        <f>SUM(AY307,AY314)+SUM(AY316:AY322)</f>
        <v>#DIV/0!</v>
      </c>
      <c r="AZ244" s="37" t="e">
        <f>SUM(AZ307,AZ314)+SUM(AZ316:AZ322)</f>
        <v>#DIV/0!</v>
      </c>
      <c r="BA244" s="3" t="n"/>
      <c r="BB244" s="37" t="e">
        <f>SUM(BB307,BB314)+SUM(BB316:BB322)</f>
        <v>#DIV/0!</v>
      </c>
      <c r="BC244" s="37" t="e">
        <f>SUM(BC307,BC314)+SUM(BC316:BC322)</f>
        <v>#DIV/0!</v>
      </c>
      <c r="BD244" s="37" t="e">
        <f>SUM(BD307,BD314)+SUM(BD316:BD322)</f>
        <v>#DIV/0!</v>
      </c>
      <c r="BE244" s="37" t="e">
        <f>SUM(BE307,BE314)+SUM(BE316:BE322)</f>
        <v>#DIV/0!</v>
      </c>
      <c r="BF244" s="3" t="n"/>
      <c r="BG244" s="37" t="e">
        <f>SUM(BG307,BG314)+SUM(BG316:BG322)</f>
        <v>#DIV/0!</v>
      </c>
      <c r="BH244" s="37" t="e">
        <f>SUM(BH307,BH314)+SUM(BH316:BH322)</f>
        <v>#DIV/0!</v>
      </c>
      <c r="BI244" s="37" t="e">
        <f>SUM(BI307,BI314)+SUM(BI316:BI322)</f>
        <v>#DIV/0!</v>
      </c>
      <c r="BJ244" s="37" t="e">
        <f>SUM(BJ307,BJ314)+SUM(BJ316:BJ322)</f>
        <v>#DIV/0!</v>
      </c>
      <c r="BK244" s="3" t="n"/>
      <c r="BL244" s="37" t="e">
        <f>SUM(BL307,BL314)+SUM(BL316:BL322)</f>
        <v>#DIV/0!</v>
      </c>
      <c r="BM244" s="37" t="e">
        <f>SUM(BM307,BM314)+SUM(BM316:BM322)</f>
        <v>#DIV/0!</v>
      </c>
      <c r="BN244" s="37" t="e">
        <f>SUM(BN307,BN314)+SUM(BN316:BN322)</f>
        <v>#DIV/0!</v>
      </c>
      <c r="BO244" s="37" t="e">
        <f>SUM(BO307,BO314)+SUM(BO316:BO322)</f>
        <v>#DIV/0!</v>
      </c>
      <c r="BP244" s="3" t="n"/>
      <c r="BQ244" s="37" t="e">
        <f>SUM(BQ307,BQ314)+SUM(BQ316:BQ322)</f>
        <v>#DIV/0!</v>
      </c>
      <c r="BR244" s="37" t="e">
        <f>SUM(BR307,BR314)+SUM(BR316:BR322)</f>
        <v>#DIV/0!</v>
      </c>
      <c r="BS244" s="37" t="e">
        <f>SUM(BS307,BS314)+SUM(BS316:BS322)</f>
        <v>#DIV/0!</v>
      </c>
      <c r="BT244" s="37" t="e">
        <f>SUM(BT307,BT314)+SUM(BT316:BT322)</f>
        <v>#DIV/0!</v>
      </c>
      <c r="BU244" s="3" t="n"/>
      <c r="BV244" s="37" t="e">
        <f>SUM(BV307,BV314)+SUM(BV316:BV322)</f>
        <v>#DIV/0!</v>
      </c>
      <c r="BW244" s="37" t="e">
        <f>SUM(BW307,BW314)+SUM(BW316:BW322)</f>
        <v>#DIV/0!</v>
      </c>
      <c r="BX244" s="37" t="e">
        <f>SUM(BX307,BX314)+SUM(BX316:BX322)</f>
        <v>#DIV/0!</v>
      </c>
      <c r="BY244" s="37" t="e">
        <f>SUM(BY307,BY314)+SUM(BY316:BY322)</f>
        <v>#DIV/0!</v>
      </c>
      <c r="BZ244" s="3" t="n"/>
      <c r="CA244" s="37" t="e">
        <f>SUM(CA307,CA314)+SUM(CA316:CA322)</f>
        <v>#DIV/0!</v>
      </c>
      <c r="CB244" s="37" t="e">
        <f>SUM(CB307,CB314)+SUM(CB316:CB322)</f>
        <v>#DIV/0!</v>
      </c>
      <c r="CC244" s="37" t="e">
        <f>SUM(CC307,CC314)+SUM(CC316:CC322)</f>
        <v>#DIV/0!</v>
      </c>
      <c r="CD244" s="37" t="e">
        <f>SUM(CD307,CD314)+SUM(CD316:CD322)</f>
        <v>#DIV/0!</v>
      </c>
      <c r="CE244" s="3" t="n"/>
      <c r="CF244" s="37" t="e">
        <f>SUM(CF307,CF314)+SUM(CF316:CF322)</f>
        <v>#DIV/0!</v>
      </c>
      <c r="CG244" s="37" t="e">
        <f>SUM(CG307,CG314)+SUM(CG316:CG322)</f>
        <v>#DIV/0!</v>
      </c>
      <c r="CH244" s="37" t="e">
        <f>SUM(CH307,CH314)+SUM(CH316:CH322)</f>
        <v>#DIV/0!</v>
      </c>
      <c r="CI244" s="37" t="e">
        <f>SUM(CI307,CI314)+SUM(CI316:CI322)</f>
        <v>#DIV/0!</v>
      </c>
      <c r="CJ244" s="3" t="n"/>
      <c r="CK244" s="37" t="e">
        <f>SUM(CK307,CK314)+SUM(CK316:CK322)</f>
        <v>#DIV/0!</v>
      </c>
      <c r="CL244" s="37" t="e">
        <f>SUM(CL307,CL314)+SUM(CL316:CL322)</f>
        <v>#DIV/0!</v>
      </c>
      <c r="CM244" s="37" t="e">
        <f>SUM(CM307,CM314)+SUM(CM316:CM322)</f>
        <v>#DIV/0!</v>
      </c>
      <c r="CN244" s="37" t="e">
        <f>SUM(CN307,CN314)+SUM(CN316:CN322)</f>
        <v>#DIV/0!</v>
      </c>
      <c r="CO244" s="3" t="n"/>
      <c r="CP244" s="37" t="e">
        <f>SUM(CP307,CP314)+SUM(CP316:CP322)</f>
        <v>#DIV/0!</v>
      </c>
      <c r="CQ244" s="37" t="e">
        <f>SUM(CQ307,CQ314)+SUM(CQ316:CQ322)</f>
        <v>#DIV/0!</v>
      </c>
      <c r="CR244" s="37" t="e">
        <f>SUM(CR307,CR314)+SUM(CR316:CR322)</f>
        <v>#DIV/0!</v>
      </c>
      <c r="CS244" s="37" t="e">
        <f>SUM(CS307,CS314)+SUM(CS316:CS322)</f>
        <v>#DIV/0!</v>
      </c>
      <c r="CT244" s="3" t="n"/>
      <c r="CU244" s="37" t="e">
        <f>SUM(CU307,CU314)+SUM(CU316:CU322)</f>
        <v>#DIV/0!</v>
      </c>
      <c r="CV244" s="37" t="e">
        <f>SUM(CV307,CV314)+SUM(CV316:CV322)</f>
        <v>#DIV/0!</v>
      </c>
      <c r="CW244" s="37" t="e">
        <f>SUM(CW307,CW314)+SUM(CW316:CW322)</f>
        <v>#DIV/0!</v>
      </c>
      <c r="CX244" s="37" t="e">
        <f>SUM(CX307,CX314)+SUM(CX316:CX322)</f>
        <v>#DIV/0!</v>
      </c>
      <c r="CY244" s="3" t="n"/>
    </row>
    <row r="245" hidden="1" outlineLevel="1">
      <c r="C245" s="34" t="inlineStr">
        <is>
          <t>Less: Minimum cash balance</t>
        </is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250" t="n"/>
      <c r="AH245" s="3">
        <f>($AG$245*AH15)</f>
        <v>0</v>
      </c>
      <c r="AI245" s="3">
        <f>($AG$245*AI15)</f>
        <v>0</v>
      </c>
      <c r="AJ245" s="3">
        <f>($AG$245*AJ15)</f>
        <v>0</v>
      </c>
      <c r="AK245" s="3">
        <f>($AG$245*AK15)</f>
        <v>0</v>
      </c>
      <c r="AL245" s="3" t="n"/>
      <c r="AM245" s="3">
        <f>($AG$245*AM15)</f>
        <v>0</v>
      </c>
      <c r="AN245" s="3">
        <f>($AG$245*AN15)</f>
        <v>0</v>
      </c>
      <c r="AO245" s="3">
        <f>($AG$245*AO15)</f>
        <v>0</v>
      </c>
      <c r="AP245" s="3">
        <f>($AG$245*AP15)</f>
        <v>0</v>
      </c>
      <c r="AQ245" s="3" t="n"/>
      <c r="AR245" s="3">
        <f>($AG$245*AR15)</f>
        <v>0</v>
      </c>
      <c r="AS245" s="3">
        <f>($AG$245*AS15)</f>
        <v>0</v>
      </c>
      <c r="AT245" s="3">
        <f>($AG$245*AT15)</f>
        <v>0</v>
      </c>
      <c r="AU245" s="3">
        <f>($AG$245*AU15)</f>
        <v>0</v>
      </c>
      <c r="AV245" s="3" t="n"/>
      <c r="AW245" s="3">
        <f>($AG$245*AW15)</f>
        <v>0</v>
      </c>
      <c r="AX245" s="3">
        <f>($AG$245*AX15)</f>
        <v>0</v>
      </c>
      <c r="AY245" s="3">
        <f>($AG$245*AY15)</f>
        <v>0</v>
      </c>
      <c r="AZ245" s="3">
        <f>($AG$245*AZ15)</f>
        <v>0</v>
      </c>
      <c r="BA245" s="3" t="n"/>
      <c r="BB245" s="3">
        <f>($AG$245*BB15)</f>
        <v>0</v>
      </c>
      <c r="BC245" s="3">
        <f>($AG$245*BC15)</f>
        <v>0</v>
      </c>
      <c r="BD245" s="3">
        <f>($AG$245*BD15)</f>
        <v>0</v>
      </c>
      <c r="BE245" s="3">
        <f>($AG$245*BE15)</f>
        <v>0</v>
      </c>
      <c r="BF245" s="3" t="n"/>
      <c r="BG245" s="3">
        <f>($AG$245*BG15)</f>
        <v>0</v>
      </c>
      <c r="BH245" s="3">
        <f>($AG$245*BH15)</f>
        <v>0</v>
      </c>
      <c r="BI245" s="3">
        <f>($AG$245*BI15)</f>
        <v>0</v>
      </c>
      <c r="BJ245" s="3">
        <f>($AG$245*BJ15)</f>
        <v>0</v>
      </c>
      <c r="BK245" s="3" t="n"/>
      <c r="BL245" s="3">
        <f>($AG$245*BL15)</f>
        <v>0</v>
      </c>
      <c r="BM245" s="3">
        <f>($AG$245*BM15)</f>
        <v>0</v>
      </c>
      <c r="BN245" s="3">
        <f>($AG$245*BN15)</f>
        <v>0</v>
      </c>
      <c r="BO245" s="3">
        <f>($AG$245*BO15)</f>
        <v>0</v>
      </c>
      <c r="BP245" s="3" t="n"/>
      <c r="BQ245" s="3">
        <f>($AG$245*BQ15)</f>
        <v>0</v>
      </c>
      <c r="BR245" s="3">
        <f>($AG$245*BR15)</f>
        <v>0</v>
      </c>
      <c r="BS245" s="3">
        <f>($AG$245*BS15)</f>
        <v>0</v>
      </c>
      <c r="BT245" s="3">
        <f>($AG$245*BT15)</f>
        <v>0</v>
      </c>
      <c r="BU245" s="3" t="n"/>
      <c r="BV245" s="3">
        <f>($AG$245*BV15)</f>
        <v>0</v>
      </c>
      <c r="BW245" s="3">
        <f>($AG$245*BW15)</f>
        <v>0</v>
      </c>
      <c r="BX245" s="3">
        <f>($AG$245*BX15)</f>
        <v>0</v>
      </c>
      <c r="BY245" s="3">
        <f>($AG$245*BY15)</f>
        <v>0</v>
      </c>
      <c r="BZ245" s="3" t="n"/>
      <c r="CA245" s="3">
        <f>($AG$245*CA15)</f>
        <v>0</v>
      </c>
      <c r="CB245" s="3">
        <f>($AG$245*CB15)</f>
        <v>0</v>
      </c>
      <c r="CC245" s="3">
        <f>($AG$245*CC15)</f>
        <v>0</v>
      </c>
      <c r="CD245" s="3">
        <f>($AG$245*CD15)</f>
        <v>0</v>
      </c>
      <c r="CE245" s="3" t="n"/>
      <c r="CF245" s="3">
        <f>($AG$245*CF15)</f>
        <v>0</v>
      </c>
      <c r="CG245" s="3">
        <f>($AG$245*CG15)</f>
        <v>0</v>
      </c>
      <c r="CH245" s="3">
        <f>($AG$245*CH15)</f>
        <v>0</v>
      </c>
      <c r="CI245" s="3">
        <f>($AG$245*CI15)</f>
        <v>0</v>
      </c>
      <c r="CJ245" s="3" t="n"/>
      <c r="CK245" s="3">
        <f>($AG$245*CK15)</f>
        <v>0</v>
      </c>
      <c r="CL245" s="3">
        <f>($AG$245*CL15)</f>
        <v>0</v>
      </c>
      <c r="CM245" s="3">
        <f>($AG$245*CM15)</f>
        <v>0</v>
      </c>
      <c r="CN245" s="3">
        <f>($AG$245*CN15)</f>
        <v>0</v>
      </c>
      <c r="CO245" s="3" t="n"/>
      <c r="CP245" s="3">
        <f>($AG$245*CP15)</f>
        <v>0</v>
      </c>
      <c r="CQ245" s="3">
        <f>($AG$245*CQ15)</f>
        <v>0</v>
      </c>
      <c r="CR245" s="3">
        <f>($AG$245*CR15)</f>
        <v>0</v>
      </c>
      <c r="CS245" s="3">
        <f>($AG$245*CS15)</f>
        <v>0</v>
      </c>
      <c r="CT245" s="3" t="n"/>
      <c r="CU245" s="3">
        <f>($AG$245*CU15)</f>
        <v>0</v>
      </c>
      <c r="CV245" s="3">
        <f>($AG$245*CV15)</f>
        <v>0</v>
      </c>
      <c r="CW245" s="3">
        <f>($AG$245*CW15)</f>
        <v>0</v>
      </c>
      <c r="CX245" s="3">
        <f>($AG$245*CX15)</f>
        <v>0</v>
      </c>
      <c r="CY245" s="3" t="n"/>
    </row>
    <row r="246" hidden="1" outlineLevel="1">
      <c r="C246" s="34" t="inlineStr">
        <is>
          <t>Total cash available / (debt required) for short term debt paydown</t>
        </is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1">
        <f>AH243+AH244-AH245-AF233+AH235+AH239</f>
        <v>1881.781</v>
      </c>
      <c r="AI246" s="1">
        <f>AI243+AI244-AI245-AG233+AI235+AI239</f>
        <v>-116.343</v>
      </c>
      <c r="AJ246" s="1">
        <f>AJ243+AJ244-AJ245-AH233+AJ235+AJ239</f>
        <v>3532.193</v>
      </c>
      <c r="AK246" s="1">
        <f>AK243+AK244-AK245-AI233+AK235+AK239</f>
        <v>48.168</v>
      </c>
      <c r="AL246" s="3" t="n"/>
      <c r="AM246" s="1" t="e">
        <f>AM243+AM244-AM245-AK233+AM235+AM239</f>
        <v>#DIV/0!</v>
      </c>
      <c r="AN246" s="1" t="e">
        <f>AN243+AN244-AN245-AL233+AN235+AN239</f>
        <v>#DIV/0!</v>
      </c>
      <c r="AO246" s="1" t="e">
        <f>AO243+AO244-AO245-AM233+AO235+AO239</f>
        <v>#DIV/0!</v>
      </c>
      <c r="AP246" s="1" t="e">
        <f>AP243+AP244-AP245-AN233+AP235+AP239</f>
        <v>#DIV/0!</v>
      </c>
      <c r="AQ246" s="3" t="n"/>
      <c r="AR246" s="1" t="e">
        <f>AR243+AR244-AR245-AP233+AR235+AR239</f>
        <v>#DIV/0!</v>
      </c>
      <c r="AS246" s="1" t="e">
        <f>AS243+AS244-AS245-AQ233+AS235+AS239</f>
        <v>#DIV/0!</v>
      </c>
      <c r="AT246" s="1" t="e">
        <f>AT243+AT244-AT245-AR233+AT235+AT239</f>
        <v>#DIV/0!</v>
      </c>
      <c r="AU246" s="1" t="e">
        <f>AU243+AU244-AU245-AS233+AU235+AU239</f>
        <v>#DIV/0!</v>
      </c>
      <c r="AV246" s="3" t="n"/>
      <c r="AW246" s="1" t="e">
        <f>AW243+AW244-AW245-AU233+AW235+AW239</f>
        <v>#DIV/0!</v>
      </c>
      <c r="AX246" s="1" t="e">
        <f>AX243+AX244-AX245-AV233+AX235+AX239</f>
        <v>#DIV/0!</v>
      </c>
      <c r="AY246" s="1" t="e">
        <f>AY243+AY244-AY245-AW233+AY235+AY239</f>
        <v>#DIV/0!</v>
      </c>
      <c r="AZ246" s="1" t="e">
        <f>AZ243+AZ244-AZ245-AX233+AZ235+AZ239</f>
        <v>#DIV/0!</v>
      </c>
      <c r="BA246" s="3" t="n"/>
      <c r="BB246" s="1" t="e">
        <f>BB243+BB244-BB245-AZ233+BB235+BB239</f>
        <v>#DIV/0!</v>
      </c>
      <c r="BC246" s="1" t="e">
        <f>BC243+BC244-BC245-BA233+BC235+BC239</f>
        <v>#DIV/0!</v>
      </c>
      <c r="BD246" s="1" t="e">
        <f>BD243+BD244-BD245-BB233+BD235+BD239</f>
        <v>#DIV/0!</v>
      </c>
      <c r="BE246" s="1" t="e">
        <f>BE243+BE244-BE245-BC233+BE235+BE239</f>
        <v>#DIV/0!</v>
      </c>
      <c r="BF246" s="3" t="n"/>
      <c r="BG246" s="1" t="e">
        <f>BG243+BG244-BG245-BE233+BG235+BG239</f>
        <v>#DIV/0!</v>
      </c>
      <c r="BH246" s="1" t="e">
        <f>BH243+BH244-BH245-BF233+BH235+BH239</f>
        <v>#DIV/0!</v>
      </c>
      <c r="BI246" s="1" t="e">
        <f>BI243+BI244-BI245-BG233+BI235+BI239</f>
        <v>#DIV/0!</v>
      </c>
      <c r="BJ246" s="1" t="e">
        <f>BJ243+BJ244-BJ245-BH233+BJ235+BJ239</f>
        <v>#DIV/0!</v>
      </c>
      <c r="BK246" s="3" t="n"/>
      <c r="BL246" s="1" t="e">
        <f>BL243+BL244-BL245-BJ233+BL235+BL239</f>
        <v>#DIV/0!</v>
      </c>
      <c r="BM246" s="1" t="e">
        <f>BM243+BM244-BM245-BK233+BM235+BM239</f>
        <v>#DIV/0!</v>
      </c>
      <c r="BN246" s="1" t="e">
        <f>BN243+BN244-BN245-BL233+BN235+BN239</f>
        <v>#DIV/0!</v>
      </c>
      <c r="BO246" s="1" t="e">
        <f>BO243+BO244-BO245-BM233+BO235+BO239</f>
        <v>#DIV/0!</v>
      </c>
      <c r="BP246" s="3" t="n"/>
      <c r="BQ246" s="1" t="e">
        <f>BQ243+BQ244-BQ245-BO233+BQ235+BQ239</f>
        <v>#DIV/0!</v>
      </c>
      <c r="BR246" s="1" t="e">
        <f>BR243+BR244-BR245-BP233+BR235+BR239</f>
        <v>#DIV/0!</v>
      </c>
      <c r="BS246" s="1" t="e">
        <f>BS243+BS244-BS245-BQ233+BS235+BS239</f>
        <v>#DIV/0!</v>
      </c>
      <c r="BT246" s="1" t="e">
        <f>BT243+BT244-BT245-BR233+BT235+BT239</f>
        <v>#DIV/0!</v>
      </c>
      <c r="BU246" s="3" t="n"/>
      <c r="BV246" s="1" t="e">
        <f>BV243+BV244-BV245-BT233+BV235+BV239</f>
        <v>#DIV/0!</v>
      </c>
      <c r="BW246" s="1" t="e">
        <f>BW243+BW244-BW245-BU233+BW235+BW239</f>
        <v>#DIV/0!</v>
      </c>
      <c r="BX246" s="1" t="e">
        <f>BX243+BX244-BX245-BV233+BX235+BX239</f>
        <v>#DIV/0!</v>
      </c>
      <c r="BY246" s="1" t="e">
        <f>BY243+BY244-BY245-BW233+BY235+BY239</f>
        <v>#DIV/0!</v>
      </c>
      <c r="BZ246" s="3" t="n"/>
      <c r="CA246" s="1" t="e">
        <f>CA243+CA244-CA245-BY233+CA235+CA239</f>
        <v>#DIV/0!</v>
      </c>
      <c r="CB246" s="1" t="e">
        <f>CB243+CB244-CB245-BZ233+CB235+CB239</f>
        <v>#DIV/0!</v>
      </c>
      <c r="CC246" s="1" t="e">
        <f>CC243+CC244-CC245-CA233+CC235+CC239</f>
        <v>#DIV/0!</v>
      </c>
      <c r="CD246" s="1" t="e">
        <f>CD243+CD244-CD245-CB233+CD235+CD239</f>
        <v>#DIV/0!</v>
      </c>
      <c r="CE246" s="3" t="n"/>
      <c r="CF246" s="1" t="e">
        <f>CF243+CF244-CF245-CD233+CF235+CF239</f>
        <v>#DIV/0!</v>
      </c>
      <c r="CG246" s="1" t="e">
        <f>CG243+CG244-CG245-CE233+CG235+CG239</f>
        <v>#DIV/0!</v>
      </c>
      <c r="CH246" s="1" t="e">
        <f>CH243+CH244-CH245-CF233+CH235+CH239</f>
        <v>#DIV/0!</v>
      </c>
      <c r="CI246" s="1" t="e">
        <f>CI243+CI244-CI245-CG233+CI235+CI239</f>
        <v>#DIV/0!</v>
      </c>
      <c r="CJ246" s="3" t="n"/>
      <c r="CK246" s="1" t="e">
        <f>CK243+CK244-CK245-CI233+CK235+CK239</f>
        <v>#DIV/0!</v>
      </c>
      <c r="CL246" s="1" t="e">
        <f>CL243+CL244-CL245-CJ233+CL235+CL239</f>
        <v>#DIV/0!</v>
      </c>
      <c r="CM246" s="1" t="e">
        <f>CM243+CM244-CM245-CK233+CM235+CM239</f>
        <v>#DIV/0!</v>
      </c>
      <c r="CN246" s="1" t="e">
        <f>CN243+CN244-CN245-CL233+CN235+CN239</f>
        <v>#DIV/0!</v>
      </c>
      <c r="CO246" s="3" t="n"/>
      <c r="CP246" s="1" t="e">
        <f>CP243+CP244-CP245-CN233+CP235+CP239</f>
        <v>#DIV/0!</v>
      </c>
      <c r="CQ246" s="1" t="e">
        <f>CQ243+CQ244-CQ245-CO233+CQ235+CQ239</f>
        <v>#DIV/0!</v>
      </c>
      <c r="CR246" s="1" t="e">
        <f>CR243+CR244-CR245-CP233+CR235+CR239</f>
        <v>#DIV/0!</v>
      </c>
      <c r="CS246" s="1" t="e">
        <f>CS243+CS244-CS245-CQ233+CS235+CS239</f>
        <v>#DIV/0!</v>
      </c>
      <c r="CT246" s="3" t="n"/>
      <c r="CU246" s="1" t="e">
        <f>CU243+CU244-CU245-CS233+CU235+CU239</f>
        <v>#DIV/0!</v>
      </c>
      <c r="CV246" s="1" t="e">
        <f>CV243+CV244-CV245-CT233+CV235+CV239</f>
        <v>#DIV/0!</v>
      </c>
      <c r="CW246" s="1" t="e">
        <f>CW243+CW244-CW245-CU233+CW235+CW239</f>
        <v>#DIV/0!</v>
      </c>
      <c r="CX246" s="1" t="e">
        <f>CX243+CX244-CX245-CV233+CX235+CX239</f>
        <v>#DIV/0!</v>
      </c>
      <c r="CY246" s="3" t="n"/>
    </row>
    <row r="247" hidden="1" outlineLevel="1">
      <c r="C247" s="34" t="inlineStr">
        <is>
          <t>Short term debt</t>
        </is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>
        <f>AH227</f>
        <v>0</v>
      </c>
      <c r="AI247" s="3">
        <f>MAX(0,AH247-AI246)</f>
        <v>116.343</v>
      </c>
      <c r="AJ247" s="3">
        <f>MAX(0,AI247-AJ246)</f>
        <v>0</v>
      </c>
      <c r="AK247" s="3">
        <f>MAX(0,AJ247-AK246)</f>
        <v>0</v>
      </c>
      <c r="AL247" s="3" t="n"/>
      <c r="AM247" s="3">
        <f>AM227</f>
        <v>0</v>
      </c>
      <c r="AN247" s="3" t="e">
        <f>MAX(0,AM247-AN246)</f>
        <v>#DIV/0!</v>
      </c>
      <c r="AO247" s="3" t="e">
        <f>MAX(0,AN247-AO246)</f>
        <v>#DIV/0!</v>
      </c>
      <c r="AP247" s="3" t="e">
        <f>MAX(0,AO247-AP246)</f>
        <v>#DIV/0!</v>
      </c>
      <c r="AQ247" s="3" t="n"/>
      <c r="AR247" s="3">
        <f>AR227</f>
        <v>0</v>
      </c>
      <c r="AS247" s="3" t="e">
        <f>MAX(0,AR247-AS246)</f>
        <v>#DIV/0!</v>
      </c>
      <c r="AT247" s="3" t="e">
        <f>MAX(0,AS247-AT246)</f>
        <v>#DIV/0!</v>
      </c>
      <c r="AU247" s="3" t="e">
        <f>MAX(0,AT247-AU246)</f>
        <v>#DIV/0!</v>
      </c>
      <c r="AV247" s="3" t="n"/>
      <c r="AW247" s="3">
        <f>AW227</f>
        <v>0</v>
      </c>
      <c r="AX247" s="3" t="e">
        <f>MAX(0,AW247-AX246)</f>
        <v>#DIV/0!</v>
      </c>
      <c r="AY247" s="3" t="e">
        <f>MAX(0,AX247-AY246)</f>
        <v>#DIV/0!</v>
      </c>
      <c r="AZ247" s="3" t="e">
        <f>MAX(0,AY247-AZ246)</f>
        <v>#DIV/0!</v>
      </c>
      <c r="BA247" s="3" t="n"/>
      <c r="BB247" s="3">
        <f>BB227</f>
        <v>0</v>
      </c>
      <c r="BC247" s="3" t="e">
        <f>MAX(0,BB247-BC246)</f>
        <v>#DIV/0!</v>
      </c>
      <c r="BD247" s="3" t="e">
        <f>MAX(0,BC247-BD246)</f>
        <v>#DIV/0!</v>
      </c>
      <c r="BE247" s="3" t="e">
        <f>MAX(0,BD247-BE246)</f>
        <v>#DIV/0!</v>
      </c>
      <c r="BF247" s="3" t="n"/>
      <c r="BG247" s="3">
        <f>BG227</f>
        <v>0</v>
      </c>
      <c r="BH247" s="3" t="e">
        <f>MAX(0,BG247-BH246)</f>
        <v>#DIV/0!</v>
      </c>
      <c r="BI247" s="3" t="e">
        <f>MAX(0,BH247-BI246)</f>
        <v>#DIV/0!</v>
      </c>
      <c r="BJ247" s="3" t="e">
        <f>MAX(0,BI247-BJ246)</f>
        <v>#DIV/0!</v>
      </c>
      <c r="BK247" s="3" t="n"/>
      <c r="BL247" s="3">
        <f>BL227</f>
        <v>0</v>
      </c>
      <c r="BM247" s="3" t="e">
        <f>MAX(0,BL247-BM246)</f>
        <v>#DIV/0!</v>
      </c>
      <c r="BN247" s="3" t="e">
        <f>MAX(0,BM247-BN246)</f>
        <v>#DIV/0!</v>
      </c>
      <c r="BO247" s="3" t="e">
        <f>MAX(0,BN247-BO246)</f>
        <v>#DIV/0!</v>
      </c>
      <c r="BP247" s="3" t="n"/>
      <c r="BQ247" s="3">
        <f>BQ227</f>
        <v>0</v>
      </c>
      <c r="BR247" s="3" t="e">
        <f>MAX(0,BQ247-BR246)</f>
        <v>#DIV/0!</v>
      </c>
      <c r="BS247" s="3" t="e">
        <f>MAX(0,BR247-BS246)</f>
        <v>#DIV/0!</v>
      </c>
      <c r="BT247" s="3" t="e">
        <f>MAX(0,BS247-BT246)</f>
        <v>#DIV/0!</v>
      </c>
      <c r="BU247" s="3" t="n"/>
      <c r="BV247" s="3">
        <f>BV227</f>
        <v>0</v>
      </c>
      <c r="BW247" s="3" t="e">
        <f>MAX(0,BV247-BW246)</f>
        <v>#DIV/0!</v>
      </c>
      <c r="BX247" s="3" t="e">
        <f>MAX(0,BW247-BX246)</f>
        <v>#DIV/0!</v>
      </c>
      <c r="BY247" s="3" t="e">
        <f>MAX(0,BX247-BY246)</f>
        <v>#DIV/0!</v>
      </c>
      <c r="BZ247" s="3" t="n"/>
      <c r="CA247" s="3">
        <f>CA227</f>
        <v>0</v>
      </c>
      <c r="CB247" s="3" t="e">
        <f>MAX(0,CA247-CB246)</f>
        <v>#DIV/0!</v>
      </c>
      <c r="CC247" s="3" t="e">
        <f>MAX(0,CB247-CC246)</f>
        <v>#DIV/0!</v>
      </c>
      <c r="CD247" s="3" t="e">
        <f>MAX(0,CC247-CD246)</f>
        <v>#DIV/0!</v>
      </c>
      <c r="CE247" s="3" t="n"/>
      <c r="CF247" s="3">
        <f>CF227</f>
        <v>0</v>
      </c>
      <c r="CG247" s="3" t="e">
        <f>MAX(0,CF247-CG246)</f>
        <v>#DIV/0!</v>
      </c>
      <c r="CH247" s="3" t="e">
        <f>MAX(0,CG247-CH246)</f>
        <v>#DIV/0!</v>
      </c>
      <c r="CI247" s="3" t="e">
        <f>MAX(0,CH247-CI246)</f>
        <v>#DIV/0!</v>
      </c>
      <c r="CJ247" s="3" t="n"/>
      <c r="CK247" s="3">
        <f>CK227</f>
        <v>0</v>
      </c>
      <c r="CL247" s="3" t="e">
        <f>MAX(0,CK247-CL246)</f>
        <v>#DIV/0!</v>
      </c>
      <c r="CM247" s="3" t="e">
        <f>MAX(0,CL247-CM246)</f>
        <v>#DIV/0!</v>
      </c>
      <c r="CN247" s="3" t="e">
        <f>MAX(0,CM247-CN246)</f>
        <v>#DIV/0!</v>
      </c>
      <c r="CO247" s="3" t="n"/>
      <c r="CP247" s="3">
        <f>CP227</f>
        <v>0</v>
      </c>
      <c r="CQ247" s="3" t="e">
        <f>MAX(0,CP247-CQ246)</f>
        <v>#DIV/0!</v>
      </c>
      <c r="CR247" s="3" t="e">
        <f>MAX(0,CQ247-CR246)</f>
        <v>#DIV/0!</v>
      </c>
      <c r="CS247" s="3" t="e">
        <f>MAX(0,CR247-CS246)</f>
        <v>#DIV/0!</v>
      </c>
      <c r="CT247" s="3" t="n"/>
      <c r="CU247" s="3">
        <f>CU227</f>
        <v>0</v>
      </c>
      <c r="CV247" s="3" t="e">
        <f>MAX(0,CU247-CV246)</f>
        <v>#DIV/0!</v>
      </c>
      <c r="CW247" s="3" t="e">
        <f>MAX(0,CV247-CW246)</f>
        <v>#DIV/0!</v>
      </c>
      <c r="CX247" s="3" t="e">
        <f>MAX(0,CW247-CX246)</f>
        <v>#DIV/0!</v>
      </c>
      <c r="CY247" s="3" t="n"/>
    </row>
    <row r="248" hidden="1" outlineLevel="1">
      <c r="C248" s="34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/>
      <c r="BX248" s="3" t="n"/>
      <c r="BY248" s="3" t="n"/>
      <c r="BZ248" s="3" t="n"/>
      <c r="CA248" s="3" t="n"/>
      <c r="CB248" s="3" t="n"/>
      <c r="CC248" s="3" t="n"/>
      <c r="CD248" s="3" t="n"/>
      <c r="CE248" s="3" t="n"/>
      <c r="CF248" s="3" t="n"/>
      <c r="CG248" s="3" t="n"/>
      <c r="CH248" s="3" t="n"/>
      <c r="CI248" s="3" t="n"/>
      <c r="CJ248" s="3" t="n"/>
      <c r="CK248" s="3" t="n"/>
      <c r="CL248" s="3" t="n"/>
      <c r="CM248" s="3" t="n"/>
      <c r="CN248" s="3" t="n"/>
      <c r="CO248" s="3" t="n"/>
      <c r="CP248" s="3" t="n"/>
      <c r="CQ248" s="3" t="n"/>
      <c r="CR248" s="3" t="n"/>
      <c r="CS248" s="3" t="n"/>
      <c r="CT248" s="3" t="n"/>
      <c r="CU248" s="3" t="n"/>
      <c r="CV248" s="3" t="n"/>
      <c r="CW248" s="3" t="n"/>
      <c r="CX248" s="3" t="n"/>
      <c r="CY248" s="3" t="n"/>
    </row>
    <row r="249" collapsed="1">
      <c r="C249" s="26" t="inlineStr">
        <is>
          <t>Long term operating leases</t>
        </is>
      </c>
      <c r="D249" s="25" t="n"/>
      <c r="E249" s="25" t="n"/>
      <c r="F249" s="25" t="n"/>
      <c r="G249" s="25" t="n"/>
      <c r="H249" s="3">
        <f>G249</f>
        <v>0</v>
      </c>
      <c r="I249" s="25" t="n"/>
      <c r="J249" s="25" t="n"/>
      <c r="K249" s="25" t="n"/>
      <c r="L249" s="25" t="n"/>
      <c r="M249" s="3">
        <f>L249</f>
        <v>0</v>
      </c>
      <c r="N249" s="25" t="n"/>
      <c r="O249" s="25" t="n"/>
      <c r="P249" s="25" t="n"/>
      <c r="Q249" s="25" t="n"/>
      <c r="R249" s="3">
        <f>Q249</f>
        <v>0</v>
      </c>
      <c r="S249" s="25" t="n"/>
      <c r="T249" s="25" t="n"/>
      <c r="U249" s="25" t="n"/>
      <c r="V249" s="25" t="n"/>
      <c r="W249" s="3">
        <f>V249</f>
        <v>0</v>
      </c>
      <c r="X249" s="25" t="n"/>
      <c r="Y249" s="25" t="n"/>
      <c r="Z249" s="25" t="n"/>
      <c r="AA249" s="25" t="n"/>
      <c r="AB249" s="3">
        <f>AA249</f>
        <v>0</v>
      </c>
      <c r="AC249" s="25" t="n"/>
      <c r="AD249" s="25" t="n"/>
      <c r="AE249" s="25" t="n"/>
      <c r="AF249" s="25" t="n"/>
      <c r="AG249" s="3">
        <f>AF249</f>
        <v>0</v>
      </c>
      <c r="AH249" s="3">
        <f>AG249</f>
        <v>0</v>
      </c>
      <c r="AI249" s="3">
        <f>AH249</f>
        <v>0</v>
      </c>
      <c r="AJ249" s="3">
        <f>AI249</f>
        <v>0</v>
      </c>
      <c r="AK249" s="3">
        <f>AJ249</f>
        <v>0</v>
      </c>
      <c r="AL249" s="3">
        <f>AK249</f>
        <v>0</v>
      </c>
      <c r="AM249" s="3">
        <f>AL249</f>
        <v>0</v>
      </c>
      <c r="AN249" s="3">
        <f>AM249</f>
        <v>0</v>
      </c>
      <c r="AO249" s="3">
        <f>AN249</f>
        <v>0</v>
      </c>
      <c r="AP249" s="3">
        <f>AO249</f>
        <v>0</v>
      </c>
      <c r="AQ249" s="3">
        <f>AP249</f>
        <v>0</v>
      </c>
      <c r="AR249" s="3">
        <f>AQ249</f>
        <v>0</v>
      </c>
      <c r="AS249" s="3">
        <f>AR249</f>
        <v>0</v>
      </c>
      <c r="AT249" s="3">
        <f>AS249</f>
        <v>0</v>
      </c>
      <c r="AU249" s="3">
        <f>AT249</f>
        <v>0</v>
      </c>
      <c r="AV249" s="3">
        <f>AU249</f>
        <v>0</v>
      </c>
      <c r="AW249" s="3">
        <f>AV249</f>
        <v>0</v>
      </c>
      <c r="AX249" s="3">
        <f>AW249</f>
        <v>0</v>
      </c>
      <c r="AY249" s="3">
        <f>AX249</f>
        <v>0</v>
      </c>
      <c r="AZ249" s="3">
        <f>AY249</f>
        <v>0</v>
      </c>
      <c r="BA249" s="3">
        <f>AZ249</f>
        <v>0</v>
      </c>
      <c r="BB249" s="3">
        <f>BA249</f>
        <v>0</v>
      </c>
      <c r="BC249" s="3">
        <f>BB249</f>
        <v>0</v>
      </c>
      <c r="BD249" s="3">
        <f>BC249</f>
        <v>0</v>
      </c>
      <c r="BE249" s="3">
        <f>BD249</f>
        <v>0</v>
      </c>
      <c r="BF249" s="3">
        <f>BE249</f>
        <v>0</v>
      </c>
      <c r="BG249" s="3">
        <f>BF249</f>
        <v>0</v>
      </c>
      <c r="BH249" s="3">
        <f>BG249</f>
        <v>0</v>
      </c>
      <c r="BI249" s="3">
        <f>BH249</f>
        <v>0</v>
      </c>
      <c r="BJ249" s="3">
        <f>BI249</f>
        <v>0</v>
      </c>
      <c r="BK249" s="3">
        <f>BJ249</f>
        <v>0</v>
      </c>
      <c r="BL249" s="3">
        <f>BK249</f>
        <v>0</v>
      </c>
      <c r="BM249" s="3">
        <f>BL249</f>
        <v>0</v>
      </c>
      <c r="BN249" s="3">
        <f>BM249</f>
        <v>0</v>
      </c>
      <c r="BO249" s="3">
        <f>BN249</f>
        <v>0</v>
      </c>
      <c r="BP249" s="3">
        <f>BO249</f>
        <v>0</v>
      </c>
      <c r="BQ249" s="3">
        <f>BP249</f>
        <v>0</v>
      </c>
      <c r="BR249" s="3">
        <f>BQ249</f>
        <v>0</v>
      </c>
      <c r="BS249" s="3">
        <f>BR249</f>
        <v>0</v>
      </c>
      <c r="BT249" s="3">
        <f>BS249</f>
        <v>0</v>
      </c>
      <c r="BU249" s="3">
        <f>BT249</f>
        <v>0</v>
      </c>
      <c r="BV249" s="3">
        <f>BU249</f>
        <v>0</v>
      </c>
      <c r="BW249" s="3">
        <f>BV249</f>
        <v>0</v>
      </c>
      <c r="BX249" s="3">
        <f>BW249</f>
        <v>0</v>
      </c>
      <c r="BY249" s="3">
        <f>BX249</f>
        <v>0</v>
      </c>
      <c r="BZ249" s="3">
        <f>BY249</f>
        <v>0</v>
      </c>
      <c r="CA249" s="3">
        <f>BZ249</f>
        <v>0</v>
      </c>
      <c r="CB249" s="3">
        <f>CA249</f>
        <v>0</v>
      </c>
      <c r="CC249" s="3">
        <f>CB249</f>
        <v>0</v>
      </c>
      <c r="CD249" s="3">
        <f>CC249</f>
        <v>0</v>
      </c>
      <c r="CE249" s="3">
        <f>CD249</f>
        <v>0</v>
      </c>
      <c r="CF249" s="3">
        <f>CE249</f>
        <v>0</v>
      </c>
      <c r="CG249" s="3">
        <f>CF249</f>
        <v>0</v>
      </c>
      <c r="CH249" s="3">
        <f>CG249</f>
        <v>0</v>
      </c>
      <c r="CI249" s="3">
        <f>CH249</f>
        <v>0</v>
      </c>
      <c r="CJ249" s="3">
        <f>CI249</f>
        <v>0</v>
      </c>
      <c r="CK249" s="3">
        <f>CJ249</f>
        <v>0</v>
      </c>
      <c r="CL249" s="3">
        <f>CK249</f>
        <v>0</v>
      </c>
      <c r="CM249" s="3">
        <f>CL249</f>
        <v>0</v>
      </c>
      <c r="CN249" s="3">
        <f>CM249</f>
        <v>0</v>
      </c>
      <c r="CO249" s="3">
        <f>CN249</f>
        <v>0</v>
      </c>
      <c r="CP249" s="3">
        <f>CO249</f>
        <v>0</v>
      </c>
      <c r="CQ249" s="3">
        <f>CP249</f>
        <v>0</v>
      </c>
      <c r="CR249" s="3">
        <f>CQ249</f>
        <v>0</v>
      </c>
      <c r="CS249" s="3">
        <f>CR249</f>
        <v>0</v>
      </c>
      <c r="CT249" s="3">
        <f>CS249</f>
        <v>0</v>
      </c>
      <c r="CU249" s="3">
        <f>CT249</f>
        <v>0</v>
      </c>
      <c r="CV249" s="3">
        <f>CU249</f>
        <v>0</v>
      </c>
      <c r="CW249" s="3">
        <f>CV249</f>
        <v>0</v>
      </c>
      <c r="CX249" s="3">
        <f>CW249</f>
        <v>0</v>
      </c>
      <c r="CY249" s="3">
        <f>CX249</f>
        <v>0</v>
      </c>
    </row>
    <row r="250" hidden="1" outlineLevel="1">
      <c r="C250" s="38" t="inlineStr">
        <is>
          <t>%(Var.)</t>
        </is>
      </c>
      <c r="D250" s="3" t="n"/>
      <c r="E250" s="47">
        <f>IFERROR((E249-D249)/D249,0)</f>
        <v>0</v>
      </c>
      <c r="F250" s="47">
        <f>IFERROR((F249-E249)/E249,0)</f>
        <v>0</v>
      </c>
      <c r="G250" s="47">
        <f>IFERROR((G249-F249)/F249,0)</f>
        <v>0</v>
      </c>
      <c r="H250" s="3" t="n"/>
      <c r="I250" s="47">
        <f>IFERROR((I249-H249)/H249,0)</f>
        <v>0</v>
      </c>
      <c r="J250" s="47">
        <f>IFERROR((J249-I249)/I249,0)</f>
        <v>0</v>
      </c>
      <c r="K250" s="47">
        <f>IFERROR((K249-J249)/J249,0)</f>
        <v>0</v>
      </c>
      <c r="L250" s="47">
        <f>IFERROR((L249-K249)/K249,0)</f>
        <v>0</v>
      </c>
      <c r="M250" s="3" t="n"/>
      <c r="N250" s="47">
        <f>IFERROR((N249-M249)/M249,0)</f>
        <v>0</v>
      </c>
      <c r="O250" s="47">
        <f>IFERROR((O249-N249)/N249,0)</f>
        <v>0</v>
      </c>
      <c r="P250" s="47">
        <f>IFERROR((P249-O249)/O249,0)</f>
        <v>0</v>
      </c>
      <c r="Q250" s="47">
        <f>IFERROR((Q249-P249)/P249,0)</f>
        <v>0</v>
      </c>
      <c r="R250" s="3" t="n"/>
      <c r="S250" s="47">
        <f>IFERROR((S249-R249)/R249,0)</f>
        <v>0</v>
      </c>
      <c r="T250" s="47">
        <f>IFERROR((T249-S249)/S249,0)</f>
        <v>0</v>
      </c>
      <c r="U250" s="47">
        <f>IFERROR((U249-T249)/T249,0)</f>
        <v>0</v>
      </c>
      <c r="V250" s="47">
        <f>IFERROR((V249-U249)/U249,0)</f>
        <v>0</v>
      </c>
      <c r="W250" s="3" t="n"/>
      <c r="X250" s="47">
        <f>IFERROR((X249-W249)/W249,0)</f>
        <v>0</v>
      </c>
      <c r="Y250" s="47">
        <f>IFERROR((Y249-X249)/X249,0)</f>
        <v>0</v>
      </c>
      <c r="Z250" s="47">
        <f>IFERROR((Z249-Y249)/Y249,0)</f>
        <v>0</v>
      </c>
      <c r="AA250" s="47">
        <f>IFERROR((AA249-Z249)/Z249,0)</f>
        <v>0</v>
      </c>
      <c r="AB250" s="3" t="n"/>
      <c r="AC250" s="47">
        <f>IFERROR((AC249-AB249)/AB249,0)</f>
        <v>0</v>
      </c>
      <c r="AD250" s="47">
        <f>IFERROR((AD249-AC249)/AC249,0)</f>
        <v>0</v>
      </c>
      <c r="AE250" s="47">
        <f>IFERROR((AE249-AD249)/AD249,0)</f>
        <v>0</v>
      </c>
      <c r="AF250" s="230">
        <f>IFERROR((AF249-AE249)/AE249,0)</f>
        <v>0</v>
      </c>
      <c r="AG250" s="3" t="n"/>
      <c r="AH250" s="6">
        <f>IFERROR((AH249-AG249)/AG249,0)</f>
        <v>0</v>
      </c>
      <c r="AI250" s="6">
        <f>IFERROR((AI249-AH249)/AH249,0)</f>
        <v>0</v>
      </c>
      <c r="AJ250" s="6" t="n"/>
      <c r="AK250" s="6" t="n"/>
      <c r="AL250" s="3" t="n"/>
      <c r="AM250" s="6" t="n"/>
      <c r="AN250" s="6" t="n"/>
      <c r="AO250" s="6" t="n"/>
      <c r="AP250" s="6" t="n"/>
      <c r="AQ250" s="3" t="n"/>
      <c r="AR250" s="6" t="n"/>
      <c r="AS250" s="6" t="n"/>
      <c r="AT250" s="6" t="n"/>
      <c r="AU250" s="6" t="n"/>
      <c r="AV250" s="3" t="n"/>
      <c r="AW250" s="6" t="n"/>
      <c r="AX250" s="6" t="n"/>
      <c r="AY250" s="6" t="n"/>
      <c r="AZ250" s="6" t="n"/>
      <c r="BA250" s="3" t="n"/>
      <c r="BB250" s="6" t="n"/>
      <c r="BC250" s="6" t="n"/>
      <c r="BD250" s="6" t="n"/>
      <c r="BE250" s="6" t="n"/>
      <c r="BF250" s="3" t="n"/>
      <c r="BG250" s="6" t="n"/>
      <c r="BH250" s="6" t="n"/>
      <c r="BI250" s="6" t="n"/>
      <c r="BJ250" s="6" t="n"/>
      <c r="BK250" s="3" t="n"/>
      <c r="BL250" s="6" t="n"/>
      <c r="BM250" s="6" t="n"/>
      <c r="BN250" s="6" t="n"/>
      <c r="BO250" s="6" t="n"/>
      <c r="BP250" s="3" t="n"/>
      <c r="BQ250" s="6" t="n"/>
      <c r="BR250" s="6" t="n"/>
      <c r="BS250" s="6" t="n"/>
      <c r="BT250" s="6" t="n"/>
      <c r="BU250" s="3" t="n"/>
      <c r="BV250" s="6" t="n"/>
      <c r="BW250" s="6" t="n"/>
      <c r="BX250" s="6" t="n"/>
      <c r="BY250" s="6" t="n"/>
      <c r="BZ250" s="3" t="n"/>
      <c r="CA250" s="6" t="n"/>
      <c r="CB250" s="6" t="n"/>
      <c r="CC250" s="6" t="n"/>
      <c r="CD250" s="6" t="n"/>
      <c r="CE250" s="3" t="n"/>
      <c r="CF250" s="6" t="n"/>
      <c r="CG250" s="6" t="n"/>
      <c r="CH250" s="6" t="n"/>
      <c r="CI250" s="6" t="n"/>
      <c r="CJ250" s="3" t="n"/>
      <c r="CK250" s="6" t="n"/>
      <c r="CL250" s="6" t="n"/>
      <c r="CM250" s="6" t="n"/>
      <c r="CN250" s="6" t="n"/>
      <c r="CO250" s="3" t="n"/>
      <c r="CP250" s="6" t="n"/>
      <c r="CQ250" s="6" t="n"/>
      <c r="CR250" s="6" t="n"/>
      <c r="CS250" s="6" t="n"/>
      <c r="CT250" s="3" t="n"/>
      <c r="CU250" s="6" t="n"/>
      <c r="CV250" s="6" t="n"/>
      <c r="CW250" s="6" t="n"/>
      <c r="CX250" s="6" t="n"/>
      <c r="CY250" s="3" t="n"/>
    </row>
    <row r="251" hidden="1" outlineLevel="1">
      <c r="C251" s="34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  <c r="BO251" s="3" t="n"/>
      <c r="BP251" s="3" t="n"/>
      <c r="BQ251" s="3" t="n"/>
      <c r="BR251" s="3" t="n"/>
      <c r="BS251" s="3" t="n"/>
      <c r="BT251" s="3" t="n"/>
      <c r="BU251" s="3" t="n"/>
      <c r="BV251" s="3" t="n"/>
      <c r="BW251" s="3" t="n"/>
      <c r="BX251" s="3" t="n"/>
      <c r="BY251" s="3" t="n"/>
      <c r="BZ251" s="3" t="n"/>
      <c r="CA251" s="3" t="n"/>
      <c r="CB251" s="3" t="n"/>
      <c r="CC251" s="3" t="n"/>
      <c r="CD251" s="3" t="n"/>
      <c r="CE251" s="3" t="n"/>
      <c r="CF251" s="3" t="n"/>
      <c r="CG251" s="3" t="n"/>
      <c r="CH251" s="3" t="n"/>
      <c r="CI251" s="3" t="n"/>
      <c r="CJ251" s="3" t="n"/>
      <c r="CK251" s="3" t="n"/>
      <c r="CL251" s="3" t="n"/>
      <c r="CM251" s="3" t="n"/>
      <c r="CN251" s="3" t="n"/>
      <c r="CO251" s="3" t="n"/>
      <c r="CP251" s="3" t="n"/>
      <c r="CQ251" s="3" t="n"/>
      <c r="CR251" s="3" t="n"/>
      <c r="CS251" s="3" t="n"/>
      <c r="CT251" s="3" t="n"/>
      <c r="CU251" s="3" t="n"/>
      <c r="CV251" s="3" t="n"/>
      <c r="CW251" s="3" t="n"/>
      <c r="CX251" s="3" t="n"/>
      <c r="CY251" s="3" t="n"/>
    </row>
    <row r="252" collapsed="1">
      <c r="C252" s="26" t="inlineStr">
        <is>
          <t>Convertible debt</t>
        </is>
      </c>
      <c r="D252" s="25" t="n"/>
      <c r="E252" s="25" t="n"/>
      <c r="F252" s="25" t="n"/>
      <c r="G252" s="25" t="n"/>
      <c r="H252" s="3">
        <f>G252</f>
        <v>0</v>
      </c>
      <c r="I252" s="25" t="n"/>
      <c r="J252" s="25" t="n"/>
      <c r="K252" s="25" t="n"/>
      <c r="L252" s="25" t="n"/>
      <c r="M252" s="3">
        <f>L252</f>
        <v>0</v>
      </c>
      <c r="N252" s="25" t="n"/>
      <c r="O252" s="25" t="n"/>
      <c r="P252" s="25" t="n"/>
      <c r="Q252" s="25" t="n"/>
      <c r="R252" s="3">
        <f>Q252</f>
        <v>0</v>
      </c>
      <c r="S252" s="25" t="n"/>
      <c r="T252" s="25" t="n"/>
      <c r="U252" s="25" t="n"/>
      <c r="V252" s="25" t="n"/>
      <c r="W252" s="3">
        <f>V252</f>
        <v>0</v>
      </c>
      <c r="X252" s="25" t="n"/>
      <c r="Y252" s="25" t="n"/>
      <c r="Z252" s="25" t="n"/>
      <c r="AA252" s="25" t="n"/>
      <c r="AB252" s="3">
        <f>AA252</f>
        <v>0</v>
      </c>
      <c r="AC252" s="25" t="n"/>
      <c r="AD252" s="25" t="n"/>
      <c r="AE252" s="25" t="n"/>
      <c r="AF252" s="25" t="n"/>
      <c r="AG252" s="3">
        <f>AF252</f>
        <v>0</v>
      </c>
      <c r="AH252" s="3">
        <f>AG252</f>
        <v>0</v>
      </c>
      <c r="AI252" s="3">
        <f>AH252</f>
        <v>0</v>
      </c>
      <c r="AJ252" s="3">
        <f>AI252</f>
        <v>0</v>
      </c>
      <c r="AK252" s="3">
        <f>AJ252</f>
        <v>0</v>
      </c>
      <c r="AL252" s="3">
        <f>AK252</f>
        <v>0</v>
      </c>
      <c r="AM252" s="3">
        <f>AL252</f>
        <v>0</v>
      </c>
      <c r="AN252" s="3">
        <f>AM252</f>
        <v>0</v>
      </c>
      <c r="AO252" s="3">
        <f>AN252</f>
        <v>0</v>
      </c>
      <c r="AP252" s="3">
        <f>AO252</f>
        <v>0</v>
      </c>
      <c r="AQ252" s="3">
        <f>AP252</f>
        <v>0</v>
      </c>
      <c r="AR252" s="3">
        <f>AQ252</f>
        <v>0</v>
      </c>
      <c r="AS252" s="3">
        <f>AR252</f>
        <v>0</v>
      </c>
      <c r="AT252" s="3">
        <f>AS252</f>
        <v>0</v>
      </c>
      <c r="AU252" s="3">
        <f>AT252</f>
        <v>0</v>
      </c>
      <c r="AV252" s="3">
        <f>AU252</f>
        <v>0</v>
      </c>
      <c r="AW252" s="3">
        <f>AV252</f>
        <v>0</v>
      </c>
      <c r="AX252" s="3">
        <f>AW252</f>
        <v>0</v>
      </c>
      <c r="AY252" s="3">
        <f>AX252</f>
        <v>0</v>
      </c>
      <c r="AZ252" s="3">
        <f>AY252</f>
        <v>0</v>
      </c>
      <c r="BA252" s="3">
        <f>AZ252</f>
        <v>0</v>
      </c>
      <c r="BB252" s="3">
        <f>BA252</f>
        <v>0</v>
      </c>
      <c r="BC252" s="3">
        <f>BB252</f>
        <v>0</v>
      </c>
      <c r="BD252" s="3">
        <f>BC252</f>
        <v>0</v>
      </c>
      <c r="BE252" s="3">
        <f>BD252</f>
        <v>0</v>
      </c>
      <c r="BF252" s="3">
        <f>BE252</f>
        <v>0</v>
      </c>
      <c r="BG252" s="3">
        <f>BF252</f>
        <v>0</v>
      </c>
      <c r="BH252" s="3">
        <f>BG252</f>
        <v>0</v>
      </c>
      <c r="BI252" s="3">
        <f>BH252</f>
        <v>0</v>
      </c>
      <c r="BJ252" s="3">
        <f>BI252</f>
        <v>0</v>
      </c>
      <c r="BK252" s="3">
        <f>BJ252</f>
        <v>0</v>
      </c>
      <c r="BL252" s="3">
        <f>BK252</f>
        <v>0</v>
      </c>
      <c r="BM252" s="3">
        <f>BL252</f>
        <v>0</v>
      </c>
      <c r="BN252" s="3">
        <f>BM252</f>
        <v>0</v>
      </c>
      <c r="BO252" s="3">
        <f>BN252</f>
        <v>0</v>
      </c>
      <c r="BP252" s="3">
        <f>BO252</f>
        <v>0</v>
      </c>
      <c r="BQ252" s="3">
        <f>BP252</f>
        <v>0</v>
      </c>
      <c r="BR252" s="3">
        <f>BQ252</f>
        <v>0</v>
      </c>
      <c r="BS252" s="3">
        <f>BR252</f>
        <v>0</v>
      </c>
      <c r="BT252" s="3">
        <f>BS252</f>
        <v>0</v>
      </c>
      <c r="BU252" s="3">
        <f>BT252</f>
        <v>0</v>
      </c>
      <c r="BV252" s="3">
        <f>BU252</f>
        <v>0</v>
      </c>
      <c r="BW252" s="3">
        <f>BV252</f>
        <v>0</v>
      </c>
      <c r="BX252" s="3">
        <f>BW252</f>
        <v>0</v>
      </c>
      <c r="BY252" s="3">
        <f>BX252</f>
        <v>0</v>
      </c>
      <c r="BZ252" s="3">
        <f>BY252</f>
        <v>0</v>
      </c>
      <c r="CA252" s="3">
        <f>BZ252</f>
        <v>0</v>
      </c>
      <c r="CB252" s="3">
        <f>CA252</f>
        <v>0</v>
      </c>
      <c r="CC252" s="3">
        <f>CB252</f>
        <v>0</v>
      </c>
      <c r="CD252" s="3">
        <f>CC252</f>
        <v>0</v>
      </c>
      <c r="CE252" s="3">
        <f>CD252</f>
        <v>0</v>
      </c>
      <c r="CF252" s="3">
        <f>CE252</f>
        <v>0</v>
      </c>
      <c r="CG252" s="3">
        <f>CF252</f>
        <v>0</v>
      </c>
      <c r="CH252" s="3">
        <f>CG252</f>
        <v>0</v>
      </c>
      <c r="CI252" s="3">
        <f>CH252</f>
        <v>0</v>
      </c>
      <c r="CJ252" s="3">
        <f>CI252</f>
        <v>0</v>
      </c>
      <c r="CK252" s="3">
        <f>CJ252</f>
        <v>0</v>
      </c>
      <c r="CL252" s="3">
        <f>CK252</f>
        <v>0</v>
      </c>
      <c r="CM252" s="3">
        <f>CL252</f>
        <v>0</v>
      </c>
      <c r="CN252" s="3">
        <f>CM252</f>
        <v>0</v>
      </c>
      <c r="CO252" s="3">
        <f>CN252</f>
        <v>0</v>
      </c>
      <c r="CP252" s="3">
        <f>CO252</f>
        <v>0</v>
      </c>
      <c r="CQ252" s="3">
        <f>CP252</f>
        <v>0</v>
      </c>
      <c r="CR252" s="3">
        <f>CQ252</f>
        <v>0</v>
      </c>
      <c r="CS252" s="3">
        <f>CR252</f>
        <v>0</v>
      </c>
      <c r="CT252" s="3">
        <f>CS252</f>
        <v>0</v>
      </c>
      <c r="CU252" s="3">
        <f>CT252</f>
        <v>0</v>
      </c>
      <c r="CV252" s="3">
        <f>CU252</f>
        <v>0</v>
      </c>
      <c r="CW252" s="3">
        <f>CV252</f>
        <v>0</v>
      </c>
      <c r="CX252" s="3">
        <f>CW252</f>
        <v>0</v>
      </c>
      <c r="CY252" s="3">
        <f>CX252</f>
        <v>0</v>
      </c>
    </row>
    <row r="253">
      <c r="C253" s="26" t="inlineStr">
        <is>
          <t>Deferred income taxes</t>
        </is>
      </c>
      <c r="D253" s="25">
        <f>INDEX('Inputs (2)'!$D$38:$AL$38,MATCH(D$7,'Inputs (2)'!$D$2:$AL$2,0))</f>
        <v>22.885</v>
      </c>
      <c r="E253" s="25">
        <f>INDEX('Inputs (2)'!$D$38:$AL$38,MATCH(E$7,'Inputs (2)'!$D$2:$AL$2,0))</f>
        <v>22.529</v>
      </c>
      <c r="F253" s="25">
        <f>INDEX('Inputs (2)'!$D$38:$AL$38,MATCH(F$7,'Inputs (2)'!$D$2:$AL$2,0))</f>
        <v>24.612</v>
      </c>
      <c r="G253" s="25">
        <f>INDEX('Inputs (2)'!$D$38:$AL$38,MATCH(G$7,'Inputs (2)'!$D$2:$AL$2,0))</f>
        <v>24.633</v>
      </c>
      <c r="H253" s="3">
        <f>G253</f>
        <v>24.633</v>
      </c>
      <c r="I253" s="25">
        <f>INDEX('Inputs (2)'!$D$38:$AL$38,MATCH(I$7,'Inputs (2)'!$D$2:$AL$2,0))</f>
        <v>27.746</v>
      </c>
      <c r="J253" s="25">
        <f>INDEX('Inputs (2)'!$D$38:$AL$38,MATCH(J$7,'Inputs (2)'!$D$2:$AL$2,0))</f>
        <v>32.242</v>
      </c>
      <c r="K253" s="25">
        <f>INDEX('Inputs (2)'!$D$38:$AL$38,MATCH(K$7,'Inputs (2)'!$D$2:$AL$2,0))</f>
        <v>33.256</v>
      </c>
      <c r="L253" s="25">
        <f>INDEX('Inputs (2)'!$D$38:$AL$38,MATCH(L$7,'Inputs (2)'!$D$2:$AL$2,0))</f>
        <v>32.69</v>
      </c>
      <c r="M253" s="3">
        <f>L253</f>
        <v>32.69</v>
      </c>
      <c r="N253" s="25">
        <f>INDEX('Inputs (2)'!$D$38:$AL$38,MATCH(N$7,'Inputs (2)'!$D$2:$AL$2,0))</f>
        <v>38.11</v>
      </c>
      <c r="O253" s="25">
        <f>INDEX('Inputs (2)'!$D$38:$AL$38,MATCH(O$7,'Inputs (2)'!$D$2:$AL$2,0))</f>
        <v>42.818</v>
      </c>
      <c r="P253" s="25">
        <f>INDEX('Inputs (2)'!$D$38:$AL$38,MATCH(P$7,'Inputs (2)'!$D$2:$AL$2,0))</f>
        <v>46.246</v>
      </c>
      <c r="Q253" s="25">
        <f>INDEX('Inputs (2)'!$D$38:$AL$38,MATCH(Q$7,'Inputs (2)'!$D$2:$AL$2,0))</f>
        <v>46.095</v>
      </c>
      <c r="R253" s="3">
        <f>Q253</f>
        <v>46.095</v>
      </c>
      <c r="S253" s="25">
        <f>INDEX('Inputs (2)'!$D$38:$AL$38,MATCH(S$7,'Inputs (2)'!$D$2:$AL$2,0))</f>
        <v>49.482</v>
      </c>
      <c r="T253" s="25">
        <f>INDEX('Inputs (2)'!$D$38:$AL$38,MATCH(T$7,'Inputs (2)'!$D$2:$AL$2,0))</f>
        <v>54.275</v>
      </c>
      <c r="U253" s="25">
        <f>INDEX('Inputs (2)'!$D$38:$AL$38,MATCH(U$7,'Inputs (2)'!$D$2:$AL$2,0))</f>
        <v>55.941</v>
      </c>
      <c r="V253" s="25">
        <f>INDEX('Inputs (2)'!$D$38:$AL$38,MATCH(V$7,'Inputs (2)'!$D$2:$AL$2,0))</f>
        <v>55.673</v>
      </c>
      <c r="W253" s="3">
        <f>V253</f>
        <v>55.673</v>
      </c>
      <c r="X253" s="25">
        <f>INDEX('Inputs (2)'!$D$38:$AL$38,MATCH(X$7,'Inputs (2)'!$D$2:$AL$2,0))</f>
        <v>61.751</v>
      </c>
      <c r="Y253" s="25">
        <f>INDEX('Inputs (2)'!$D$38:$AL$38,MATCH(Y$7,'Inputs (2)'!$D$2:$AL$2,0))</f>
        <v>61.162</v>
      </c>
      <c r="Z253" s="25">
        <f>INDEX('Inputs (2)'!$D$38:$AL$38,MATCH(Z$7,'Inputs (2)'!$D$2:$AL$2,0))</f>
        <v>62.667</v>
      </c>
      <c r="AA253" s="25">
        <f>INDEX('Inputs (2)'!$D$38:$AL$38,MATCH(AA$7,'Inputs (2)'!$D$2:$AL$2,0))</f>
        <v>58.007</v>
      </c>
      <c r="AB253" s="3">
        <f>AA253</f>
        <v>58.007</v>
      </c>
      <c r="AC253" s="25">
        <f>INDEX('Inputs (2)'!$D$38:$AL$38,MATCH(AC$7,'Inputs (2)'!$D$2:$AL$2,0))</f>
        <v>76.117</v>
      </c>
      <c r="AD253" s="25">
        <f>INDEX('Inputs (2)'!$D$38:$AL$38,MATCH(AD$7,'Inputs (2)'!$D$2:$AL$2,0))</f>
        <v>82.147</v>
      </c>
      <c r="AE253" s="25">
        <f>INDEX('Inputs (2)'!$D$38:$AL$38,MATCH(AE$7,'Inputs (2)'!$D$2:$AL$2,0))</f>
        <v>81.604</v>
      </c>
      <c r="AF253" s="25">
        <f>INDEX('Inputs (2)'!$D$38:$AL$38,MATCH(AF$7,'Inputs (2)'!$D$2:$AL$2,0))</f>
        <v>81.321</v>
      </c>
      <c r="AG253" s="3">
        <f>AF253</f>
        <v>81.321</v>
      </c>
      <c r="AH253" s="3">
        <f>INDEX('Inputs (2)'!$D$38:$AL$38,MATCH(AH$7,'Inputs (2)'!$D$2:$AL$2,0))</f>
        <v>89.549</v>
      </c>
      <c r="AI253" s="3">
        <f>INDEX('Inputs (2)'!$D$38:$AL$38,MATCH(AI$7,'Inputs (2)'!$D$2:$AL$2,0))</f>
        <v>95.822</v>
      </c>
      <c r="AJ253" s="3">
        <f>AI253</f>
        <v>95.822</v>
      </c>
      <c r="AK253" s="3">
        <f>AJ253</f>
        <v>95.822</v>
      </c>
      <c r="AL253" s="3">
        <f>AK253</f>
        <v>95.822</v>
      </c>
      <c r="AM253" s="3">
        <f>AL253</f>
        <v>95.822</v>
      </c>
      <c r="AN253" s="3">
        <f>AM253</f>
        <v>95.822</v>
      </c>
      <c r="AO253" s="3">
        <f>AN253</f>
        <v>95.822</v>
      </c>
      <c r="AP253" s="3">
        <f>AO253</f>
        <v>95.822</v>
      </c>
      <c r="AQ253" s="3">
        <f>AP253</f>
        <v>95.822</v>
      </c>
      <c r="AR253" s="3">
        <f>AQ253</f>
        <v>95.822</v>
      </c>
      <c r="AS253" s="3">
        <f>AR253</f>
        <v>95.822</v>
      </c>
      <c r="AT253" s="3">
        <f>AS253</f>
        <v>95.822</v>
      </c>
      <c r="AU253" s="3">
        <f>AT253</f>
        <v>95.822</v>
      </c>
      <c r="AV253" s="3">
        <f>AU253</f>
        <v>95.822</v>
      </c>
      <c r="AW253" s="3">
        <f>AV253</f>
        <v>95.822</v>
      </c>
      <c r="AX253" s="3">
        <f>AW253</f>
        <v>95.822</v>
      </c>
      <c r="AY253" s="3">
        <f>AX253</f>
        <v>95.822</v>
      </c>
      <c r="AZ253" s="3">
        <f>AY253</f>
        <v>95.822</v>
      </c>
      <c r="BA253" s="3">
        <f>AZ253</f>
        <v>95.822</v>
      </c>
      <c r="BB253" s="3">
        <f>BA253</f>
        <v>95.822</v>
      </c>
      <c r="BC253" s="3">
        <f>BB253</f>
        <v>95.822</v>
      </c>
      <c r="BD253" s="3">
        <f>BC253</f>
        <v>95.822</v>
      </c>
      <c r="BE253" s="3">
        <f>BD253</f>
        <v>95.822</v>
      </c>
      <c r="BF253" s="3">
        <f>BE253</f>
        <v>95.822</v>
      </c>
      <c r="BG253" s="3">
        <f>BF253</f>
        <v>95.822</v>
      </c>
      <c r="BH253" s="3">
        <f>BG253</f>
        <v>95.822</v>
      </c>
      <c r="BI253" s="3">
        <f>BH253</f>
        <v>95.822</v>
      </c>
      <c r="BJ253" s="3">
        <f>BI253</f>
        <v>95.822</v>
      </c>
      <c r="BK253" s="3">
        <f>BJ253</f>
        <v>95.822</v>
      </c>
      <c r="BL253" s="3">
        <f>BK253</f>
        <v>95.822</v>
      </c>
      <c r="BM253" s="3">
        <f>BL253</f>
        <v>95.822</v>
      </c>
      <c r="BN253" s="3">
        <f>BM253</f>
        <v>95.822</v>
      </c>
      <c r="BO253" s="3">
        <f>BN253</f>
        <v>95.822</v>
      </c>
      <c r="BP253" s="3">
        <f>BO253</f>
        <v>95.822</v>
      </c>
      <c r="BQ253" s="3">
        <f>BP253</f>
        <v>95.822</v>
      </c>
      <c r="BR253" s="3">
        <f>BQ253</f>
        <v>95.822</v>
      </c>
      <c r="BS253" s="3">
        <f>BR253</f>
        <v>95.822</v>
      </c>
      <c r="BT253" s="3">
        <f>BS253</f>
        <v>95.822</v>
      </c>
      <c r="BU253" s="3">
        <f>BT253</f>
        <v>95.822</v>
      </c>
      <c r="BV253" s="3">
        <f>BU253</f>
        <v>95.822</v>
      </c>
      <c r="BW253" s="3">
        <f>BV253</f>
        <v>95.822</v>
      </c>
      <c r="BX253" s="3">
        <f>BW253</f>
        <v>95.822</v>
      </c>
      <c r="BY253" s="3">
        <f>BX253</f>
        <v>95.822</v>
      </c>
      <c r="BZ253" s="3">
        <f>BY253</f>
        <v>95.822</v>
      </c>
      <c r="CA253" s="3">
        <f>BZ253</f>
        <v>95.822</v>
      </c>
      <c r="CB253" s="3">
        <f>CA253</f>
        <v>95.822</v>
      </c>
      <c r="CC253" s="3">
        <f>CB253</f>
        <v>95.822</v>
      </c>
      <c r="CD253" s="3">
        <f>CC253</f>
        <v>95.822</v>
      </c>
      <c r="CE253" s="3">
        <f>CD253</f>
        <v>95.822</v>
      </c>
      <c r="CF253" s="3">
        <f>CE253</f>
        <v>95.822</v>
      </c>
      <c r="CG253" s="3">
        <f>CF253</f>
        <v>95.822</v>
      </c>
      <c r="CH253" s="3">
        <f>CG253</f>
        <v>95.822</v>
      </c>
      <c r="CI253" s="3">
        <f>CH253</f>
        <v>95.822</v>
      </c>
      <c r="CJ253" s="3">
        <f>CI253</f>
        <v>95.822</v>
      </c>
      <c r="CK253" s="3">
        <f>CJ253</f>
        <v>95.822</v>
      </c>
      <c r="CL253" s="3">
        <f>CK253</f>
        <v>95.822</v>
      </c>
      <c r="CM253" s="3">
        <f>CL253</f>
        <v>95.822</v>
      </c>
      <c r="CN253" s="3">
        <f>CM253</f>
        <v>95.822</v>
      </c>
      <c r="CO253" s="3">
        <f>CN253</f>
        <v>95.822</v>
      </c>
      <c r="CP253" s="3">
        <f>CO253</f>
        <v>95.822</v>
      </c>
      <c r="CQ253" s="3">
        <f>CP253</f>
        <v>95.822</v>
      </c>
      <c r="CR253" s="3">
        <f>CQ253</f>
        <v>95.822</v>
      </c>
      <c r="CS253" s="3">
        <f>CR253</f>
        <v>95.822</v>
      </c>
      <c r="CT253" s="3">
        <f>CS253</f>
        <v>95.822</v>
      </c>
      <c r="CU253" s="3">
        <f>CT253</f>
        <v>95.822</v>
      </c>
      <c r="CV253" s="3">
        <f>CU253</f>
        <v>95.822</v>
      </c>
      <c r="CW253" s="3">
        <f>CV253</f>
        <v>95.822</v>
      </c>
      <c r="CX253" s="3">
        <f>CW253</f>
        <v>95.822</v>
      </c>
      <c r="CY253" s="3">
        <f>CX253</f>
        <v>95.822</v>
      </c>
    </row>
    <row r="254">
      <c r="C254" s="26" t="inlineStr">
        <is>
          <t>Other non-current liabilities</t>
        </is>
      </c>
      <c r="D254" s="25">
        <f>INDEX('Inputs (2)'!$D$39:$AL$39,MATCH(D$7,'Inputs (2)'!$D$2:$AL$2,0))</f>
        <v>122.34</v>
      </c>
      <c r="E254" s="25">
        <f>INDEX('Inputs (2)'!$D$39:$AL$39,MATCH(E$7,'Inputs (2)'!$D$2:$AL$2,0))</f>
        <v>136.657</v>
      </c>
      <c r="F254" s="25">
        <f>INDEX('Inputs (2)'!$D$39:$AL$39,MATCH(F$7,'Inputs (2)'!$D$2:$AL$2,0))</f>
        <v>125.522</v>
      </c>
      <c r="G254" s="25">
        <f>INDEX('Inputs (2)'!$D$39:$AL$39,MATCH(G$7,'Inputs (2)'!$D$2:$AL$2,0))</f>
        <v>200.747</v>
      </c>
      <c r="H254" s="3">
        <f>G254</f>
        <v>200.747</v>
      </c>
      <c r="I254" s="25">
        <f>INDEX('Inputs (2)'!$D$39:$AL$39,MATCH(I$7,'Inputs (2)'!$D$2:$AL$2,0))</f>
        <v>289.58</v>
      </c>
      <c r="J254" s="25">
        <f>INDEX('Inputs (2)'!$D$39:$AL$39,MATCH(J$7,'Inputs (2)'!$D$2:$AL$2,0))</f>
        <v>240.258</v>
      </c>
      <c r="K254" s="25">
        <f>INDEX('Inputs (2)'!$D$39:$AL$39,MATCH(K$7,'Inputs (2)'!$D$2:$AL$2,0))</f>
        <v>318.042</v>
      </c>
      <c r="L254" s="25">
        <f>INDEX('Inputs (2)'!$D$39:$AL$39,MATCH(L$7,'Inputs (2)'!$D$2:$AL$2,0))</f>
        <v>397.844</v>
      </c>
      <c r="M254" s="3">
        <f>L254</f>
        <v>397.844</v>
      </c>
      <c r="N254" s="25">
        <f>INDEX('Inputs (2)'!$D$39:$AL$39,MATCH(N$7,'Inputs (2)'!$D$2:$AL$2,0))</f>
        <v>392.31</v>
      </c>
      <c r="O254" s="25">
        <f>INDEX('Inputs (2)'!$D$39:$AL$39,MATCH(O$7,'Inputs (2)'!$D$2:$AL$2,0))</f>
        <v>381.787</v>
      </c>
      <c r="P254" s="25">
        <f>INDEX('Inputs (2)'!$D$39:$AL$39,MATCH(P$7,'Inputs (2)'!$D$2:$AL$2,0))</f>
        <v>466.87071860892</v>
      </c>
      <c r="Q254" s="25">
        <f>INDEX('Inputs (2)'!$D$39:$AL$39,MATCH(Q$7,'Inputs (2)'!$D$2:$AL$2,0))</f>
        <v>460.873</v>
      </c>
      <c r="R254" s="3">
        <f>Q254</f>
        <v>460.873</v>
      </c>
      <c r="S254" s="25">
        <f>INDEX('Inputs (2)'!$D$39:$AL$39,MATCH(S$7,'Inputs (2)'!$D$2:$AL$2,0))</f>
        <v>600.815</v>
      </c>
      <c r="T254" s="25">
        <f>INDEX('Inputs (2)'!$D$39:$AL$39,MATCH(T$7,'Inputs (2)'!$D$2:$AL$2,0))</f>
        <v>545.419</v>
      </c>
      <c r="U254" s="25">
        <f>INDEX('Inputs (2)'!$D$39:$AL$39,MATCH(U$7,'Inputs (2)'!$D$2:$AL$2,0))</f>
        <v>550.163</v>
      </c>
      <c r="V254" s="25">
        <f>INDEX('Inputs (2)'!$D$39:$AL$39,MATCH(V$7,'Inputs (2)'!$D$2:$AL$2,0))</f>
        <v>474.925</v>
      </c>
      <c r="W254" s="3">
        <f>V254</f>
        <v>474.925</v>
      </c>
      <c r="X254" s="25">
        <f>INDEX('Inputs (2)'!$D$39:$AL$39,MATCH(X$7,'Inputs (2)'!$D$2:$AL$2,0))</f>
        <v>557.066</v>
      </c>
      <c r="Y254" s="25">
        <f>INDEX('Inputs (2)'!$D$39:$AL$39,MATCH(Y$7,'Inputs (2)'!$D$2:$AL$2,0))</f>
        <v>554.32</v>
      </c>
      <c r="Z254" s="25">
        <f>INDEX('Inputs (2)'!$D$39:$AL$39,MATCH(Z$7,'Inputs (2)'!$D$2:$AL$2,0))</f>
        <v>517.875</v>
      </c>
      <c r="AA254" s="25">
        <f>INDEX('Inputs (2)'!$D$39:$AL$39,MATCH(AA$7,'Inputs (2)'!$D$2:$AL$2,0))</f>
        <v>951.601</v>
      </c>
      <c r="AB254" s="3">
        <f>AA254</f>
        <v>951.601</v>
      </c>
      <c r="AC254" s="25">
        <f>INDEX('Inputs (2)'!$D$39:$AL$39,MATCH(AC$7,'Inputs (2)'!$D$2:$AL$2,0))</f>
        <v>948.208</v>
      </c>
      <c r="AD254" s="25">
        <f>INDEX('Inputs (2)'!$D$39:$AL$39,MATCH(AD$7,'Inputs (2)'!$D$2:$AL$2,0))</f>
        <v>956.747</v>
      </c>
      <c r="AE254" s="25">
        <f>INDEX('Inputs (2)'!$D$39:$AL$39,MATCH(AE$7,'Inputs (2)'!$D$2:$AL$2,0))</f>
        <v>1039.125</v>
      </c>
      <c r="AF254" s="25">
        <f>INDEX('Inputs (2)'!$D$39:$AL$39,MATCH(AF$7,'Inputs (2)'!$D$2:$AL$2,0))</f>
        <v>1002.438</v>
      </c>
      <c r="AG254" s="3">
        <f>AF254</f>
        <v>1002.438</v>
      </c>
      <c r="AH254" s="3">
        <f>INDEX('Inputs (2)'!$D$39:$AL$39,MATCH(AH$7,'Inputs (2)'!$D$2:$AL$2,0))</f>
        <v>1151.572</v>
      </c>
      <c r="AI254" s="3">
        <f>INDEX('Inputs (2)'!$D$39:$AL$39,MATCH(AI$7,'Inputs (2)'!$D$2:$AL$2,0))</f>
        <v>1086.601</v>
      </c>
      <c r="AJ254" s="3">
        <f>AI254</f>
        <v>1086.601</v>
      </c>
      <c r="AK254" s="3">
        <f>AJ254</f>
        <v>1086.601</v>
      </c>
      <c r="AL254" s="3">
        <f>AK254</f>
        <v>1086.601</v>
      </c>
      <c r="AM254" s="3">
        <f>AL254</f>
        <v>1086.601</v>
      </c>
      <c r="AN254" s="3">
        <f>AM254</f>
        <v>1086.601</v>
      </c>
      <c r="AO254" s="3">
        <f>AN254</f>
        <v>1086.601</v>
      </c>
      <c r="AP254" s="3">
        <f>AO254</f>
        <v>1086.601</v>
      </c>
      <c r="AQ254" s="3">
        <f>AP254</f>
        <v>1086.601</v>
      </c>
      <c r="AR254" s="3">
        <f>AQ254</f>
        <v>1086.601</v>
      </c>
      <c r="AS254" s="3">
        <f>AR254</f>
        <v>1086.601</v>
      </c>
      <c r="AT254" s="3">
        <f>AS254</f>
        <v>1086.601</v>
      </c>
      <c r="AU254" s="3">
        <f>AT254</f>
        <v>1086.601</v>
      </c>
      <c r="AV254" s="3">
        <f>AU254</f>
        <v>1086.601</v>
      </c>
      <c r="AW254" s="3">
        <f>AV254</f>
        <v>1086.601</v>
      </c>
      <c r="AX254" s="3">
        <f>AW254</f>
        <v>1086.601</v>
      </c>
      <c r="AY254" s="3">
        <f>AX254</f>
        <v>1086.601</v>
      </c>
      <c r="AZ254" s="3">
        <f>AY254</f>
        <v>1086.601</v>
      </c>
      <c r="BA254" s="3">
        <f>AZ254</f>
        <v>1086.601</v>
      </c>
      <c r="BB254" s="3">
        <f>BA254</f>
        <v>1086.601</v>
      </c>
      <c r="BC254" s="3">
        <f>BB254</f>
        <v>1086.601</v>
      </c>
      <c r="BD254" s="3">
        <f>BC254</f>
        <v>1086.601</v>
      </c>
      <c r="BE254" s="3">
        <f>BD254</f>
        <v>1086.601</v>
      </c>
      <c r="BF254" s="3">
        <f>BE254</f>
        <v>1086.601</v>
      </c>
      <c r="BG254" s="3">
        <f>BF254</f>
        <v>1086.601</v>
      </c>
      <c r="BH254" s="3">
        <f>BG254</f>
        <v>1086.601</v>
      </c>
      <c r="BI254" s="3">
        <f>BH254</f>
        <v>1086.601</v>
      </c>
      <c r="BJ254" s="3">
        <f>BI254</f>
        <v>1086.601</v>
      </c>
      <c r="BK254" s="3">
        <f>BJ254</f>
        <v>1086.601</v>
      </c>
      <c r="BL254" s="3">
        <f>BK254</f>
        <v>1086.601</v>
      </c>
      <c r="BM254" s="3">
        <f>BL254</f>
        <v>1086.601</v>
      </c>
      <c r="BN254" s="3">
        <f>BM254</f>
        <v>1086.601</v>
      </c>
      <c r="BO254" s="3">
        <f>BN254</f>
        <v>1086.601</v>
      </c>
      <c r="BP254" s="3">
        <f>BO254</f>
        <v>1086.601</v>
      </c>
      <c r="BQ254" s="3">
        <f>BP254</f>
        <v>1086.601</v>
      </c>
      <c r="BR254" s="3">
        <f>BQ254</f>
        <v>1086.601</v>
      </c>
      <c r="BS254" s="3">
        <f>BR254</f>
        <v>1086.601</v>
      </c>
      <c r="BT254" s="3">
        <f>BS254</f>
        <v>1086.601</v>
      </c>
      <c r="BU254" s="3">
        <f>BT254</f>
        <v>1086.601</v>
      </c>
      <c r="BV254" s="3">
        <f>BU254</f>
        <v>1086.601</v>
      </c>
      <c r="BW254" s="3">
        <f>BV254</f>
        <v>1086.601</v>
      </c>
      <c r="BX254" s="3">
        <f>BW254</f>
        <v>1086.601</v>
      </c>
      <c r="BY254" s="3">
        <f>BX254</f>
        <v>1086.601</v>
      </c>
      <c r="BZ254" s="3">
        <f>BY254</f>
        <v>1086.601</v>
      </c>
      <c r="CA254" s="3">
        <f>BZ254</f>
        <v>1086.601</v>
      </c>
      <c r="CB254" s="3">
        <f>CA254</f>
        <v>1086.601</v>
      </c>
      <c r="CC254" s="3">
        <f>CB254</f>
        <v>1086.601</v>
      </c>
      <c r="CD254" s="3">
        <f>CC254</f>
        <v>1086.601</v>
      </c>
      <c r="CE254" s="3">
        <f>CD254</f>
        <v>1086.601</v>
      </c>
      <c r="CF254" s="3">
        <f>CE254</f>
        <v>1086.601</v>
      </c>
      <c r="CG254" s="3">
        <f>CF254</f>
        <v>1086.601</v>
      </c>
      <c r="CH254" s="3">
        <f>CG254</f>
        <v>1086.601</v>
      </c>
      <c r="CI254" s="3">
        <f>CH254</f>
        <v>1086.601</v>
      </c>
      <c r="CJ254" s="3">
        <f>CI254</f>
        <v>1086.601</v>
      </c>
      <c r="CK254" s="3">
        <f>CJ254</f>
        <v>1086.601</v>
      </c>
      <c r="CL254" s="3">
        <f>CK254</f>
        <v>1086.601</v>
      </c>
      <c r="CM254" s="3">
        <f>CL254</f>
        <v>1086.601</v>
      </c>
      <c r="CN254" s="3">
        <f>CM254</f>
        <v>1086.601</v>
      </c>
      <c r="CO254" s="3">
        <f>CN254</f>
        <v>1086.601</v>
      </c>
      <c r="CP254" s="3">
        <f>CO254</f>
        <v>1086.601</v>
      </c>
      <c r="CQ254" s="3">
        <f>CP254</f>
        <v>1086.601</v>
      </c>
      <c r="CR254" s="3">
        <f>CQ254</f>
        <v>1086.601</v>
      </c>
      <c r="CS254" s="3">
        <f>CR254</f>
        <v>1086.601</v>
      </c>
      <c r="CT254" s="3">
        <f>CS254</f>
        <v>1086.601</v>
      </c>
      <c r="CU254" s="3">
        <f>CT254</f>
        <v>1086.601</v>
      </c>
      <c r="CV254" s="3">
        <f>CU254</f>
        <v>1086.601</v>
      </c>
      <c r="CW254" s="3">
        <f>CV254</f>
        <v>1086.601</v>
      </c>
      <c r="CX254" s="3">
        <f>CW254</f>
        <v>1086.601</v>
      </c>
      <c r="CY254" s="3">
        <f>CX254</f>
        <v>1086.601</v>
      </c>
    </row>
    <row r="255" hidden="1" outlineLevel="1" ht="12" customHeight="1">
      <c r="C255" s="38" t="inlineStr">
        <is>
          <t>%(Var.)</t>
        </is>
      </c>
      <c r="D255" s="3" t="n"/>
      <c r="E255" s="47">
        <f>(E254-D254)/D254</f>
        <v>0.117026320091548</v>
      </c>
      <c r="F255" s="47">
        <f>(F254-E254)/E254</f>
        <v>-0.0814813730727296</v>
      </c>
      <c r="G255" s="47">
        <f>(G254-F254)/F254</f>
        <v>0.59929733433183</v>
      </c>
      <c r="H255" s="3" t="n"/>
      <c r="I255" s="47">
        <f>(I254-H254)/H254</f>
        <v>0.442512216869991</v>
      </c>
      <c r="J255" s="47">
        <f>(J254-I254)/I254</f>
        <v>-0.170322536086746</v>
      </c>
      <c r="K255" s="47">
        <f>(K254-J254)/J254</f>
        <v>0.323751966635867</v>
      </c>
      <c r="L255" s="47">
        <f>(L254-K254)/K254</f>
        <v>0.250916545613472</v>
      </c>
      <c r="M255" s="3" t="n"/>
      <c r="N255" s="47">
        <f>(N254-M254)/M254</f>
        <v>-0.0139099747639778</v>
      </c>
      <c r="O255" s="47">
        <f>(O254-N254)/N254</f>
        <v>-0.0268231755499477</v>
      </c>
      <c r="P255" s="47">
        <f>(P254-O254)/O254</f>
        <v>0.222856510590773</v>
      </c>
      <c r="Q255" s="47">
        <f>(Q254-P254)/P254</f>
        <v>-0.0128466369165114</v>
      </c>
      <c r="R255" s="3" t="n"/>
      <c r="S255" s="47">
        <f>(S254-R254)/R254</f>
        <v>0.30364547283091</v>
      </c>
      <c r="T255" s="47">
        <f>(T254-S254)/S254</f>
        <v>-0.0922014263958125</v>
      </c>
      <c r="U255" s="47">
        <f>(U254-T254)/T254</f>
        <v>0.00869790014649293</v>
      </c>
      <c r="V255" s="47">
        <f>(V254-U254)/U254</f>
        <v>-0.136755834180052</v>
      </c>
      <c r="W255" s="3" t="n"/>
      <c r="X255" s="47">
        <f>(X254-W254)/W254</f>
        <v>0.172955729852082</v>
      </c>
      <c r="Y255" s="47">
        <f>(Y254-X254)/X254</f>
        <v>-0.00492939795284577</v>
      </c>
      <c r="Z255" s="47">
        <f>(Z254-Y254)/Y254</f>
        <v>-0.0657472218213307</v>
      </c>
      <c r="AA255" s="47">
        <f>(AA254-Z254)/Z254</f>
        <v>0.837510982379918</v>
      </c>
      <c r="AB255" s="3" t="n"/>
      <c r="AC255" s="47">
        <f>(AC254-AB254)/AB254</f>
        <v>-0.00356557002357083</v>
      </c>
      <c r="AD255" s="47">
        <f>(AD254-AC254)/AC254</f>
        <v>0.00900540809611404</v>
      </c>
      <c r="AE255" s="47">
        <f>(AE254-AD254)/AD254</f>
        <v>0.0861021774826573</v>
      </c>
      <c r="AF255" s="230">
        <f>(AF254-AE254)/AE254</f>
        <v>-0.0353056658246121</v>
      </c>
      <c r="AG255" s="3" t="n"/>
      <c r="AH255" s="230">
        <f>(AH254-AG254)/AG254</f>
        <v>0.148771295581373</v>
      </c>
      <c r="AI255" s="230">
        <f>(AI254-AH254)/AH254</f>
        <v>-0.0564193988738874</v>
      </c>
      <c r="AJ255" s="230" t="n"/>
      <c r="AK255" s="230" t="n"/>
      <c r="AL255" s="3" t="n"/>
      <c r="AM255" s="230" t="n"/>
      <c r="AN255" s="230" t="n"/>
      <c r="AO255" s="230" t="n"/>
      <c r="AP255" s="230" t="n"/>
      <c r="AQ255" s="3" t="n"/>
      <c r="AR255" s="230" t="n"/>
      <c r="AS255" s="230" t="n"/>
      <c r="AT255" s="230" t="n"/>
      <c r="AU255" s="230" t="n"/>
      <c r="AV255" s="3" t="n"/>
      <c r="AW255" s="230" t="n"/>
      <c r="AX255" s="230" t="n"/>
      <c r="AY255" s="230" t="n"/>
      <c r="AZ255" s="230" t="n"/>
      <c r="BA255" s="3" t="n"/>
      <c r="BB255" s="230" t="n"/>
      <c r="BC255" s="230" t="n"/>
      <c r="BD255" s="230" t="n"/>
      <c r="BE255" s="230" t="n"/>
      <c r="BF255" s="3" t="n"/>
      <c r="BG255" s="230" t="n"/>
      <c r="BH255" s="230" t="n"/>
      <c r="BI255" s="230" t="n"/>
      <c r="BJ255" s="230" t="n"/>
      <c r="BK255" s="3" t="n"/>
      <c r="BL255" s="230" t="n"/>
      <c r="BM255" s="230" t="n"/>
      <c r="BN255" s="230" t="n"/>
      <c r="BO255" s="230" t="n"/>
      <c r="BP255" s="3" t="n"/>
      <c r="BQ255" s="230" t="n"/>
      <c r="BR255" s="230" t="n"/>
      <c r="BS255" s="230" t="n"/>
      <c r="BT255" s="230" t="n"/>
      <c r="BU255" s="3" t="n"/>
      <c r="BV255" s="230" t="n"/>
      <c r="BW255" s="230" t="n"/>
      <c r="BX255" s="230" t="n"/>
      <c r="BY255" s="230" t="n"/>
      <c r="BZ255" s="3" t="n"/>
      <c r="CA255" s="230" t="n"/>
      <c r="CB255" s="230" t="n"/>
      <c r="CC255" s="230" t="n"/>
      <c r="CD255" s="230" t="n"/>
      <c r="CE255" s="3" t="n"/>
      <c r="CF255" s="230" t="n"/>
      <c r="CG255" s="230" t="n"/>
      <c r="CH255" s="230" t="n"/>
      <c r="CI255" s="230" t="n"/>
      <c r="CJ255" s="3" t="n"/>
      <c r="CK255" s="230" t="n"/>
      <c r="CL255" s="230" t="n"/>
      <c r="CM255" s="230" t="n"/>
      <c r="CN255" s="230" t="n"/>
      <c r="CO255" s="3" t="n"/>
      <c r="CP255" s="230" t="n"/>
      <c r="CQ255" s="230" t="n"/>
      <c r="CR255" s="230" t="n"/>
      <c r="CS255" s="230" t="n"/>
      <c r="CT255" s="3" t="n"/>
      <c r="CU255" s="230" t="n"/>
      <c r="CV255" s="230" t="n"/>
      <c r="CW255" s="230" t="n"/>
      <c r="CX255" s="230" t="n"/>
      <c r="CY255" s="3" t="n"/>
    </row>
    <row r="256" hidden="1" outlineLevel="1" ht="12" customHeight="1">
      <c r="C256" s="38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  <c r="BO256" s="3" t="n"/>
      <c r="BP256" s="3" t="n"/>
      <c r="BQ256" s="3" t="n"/>
      <c r="BR256" s="3" t="n"/>
      <c r="BS256" s="3" t="n"/>
      <c r="BT256" s="3" t="n"/>
      <c r="BU256" s="3" t="n"/>
      <c r="BV256" s="3" t="n"/>
      <c r="BW256" s="3" t="n"/>
      <c r="BX256" s="3" t="n"/>
      <c r="BY256" s="3" t="n"/>
      <c r="BZ256" s="3" t="n"/>
      <c r="CA256" s="3" t="n"/>
      <c r="CB256" s="3" t="n"/>
      <c r="CC256" s="3" t="n"/>
      <c r="CD256" s="3" t="n"/>
      <c r="CE256" s="3" t="n"/>
      <c r="CF256" s="3" t="n"/>
      <c r="CG256" s="3" t="n"/>
      <c r="CH256" s="3" t="n"/>
      <c r="CI256" s="3" t="n"/>
      <c r="CJ256" s="3" t="n"/>
      <c r="CK256" s="3" t="n"/>
      <c r="CL256" s="3" t="n"/>
      <c r="CM256" s="3" t="n"/>
      <c r="CN256" s="3" t="n"/>
      <c r="CO256" s="3" t="n"/>
      <c r="CP256" s="3" t="n"/>
      <c r="CQ256" s="3" t="n"/>
      <c r="CR256" s="3" t="n"/>
      <c r="CS256" s="3" t="n"/>
      <c r="CT256" s="3" t="n"/>
      <c r="CU256" s="3" t="n"/>
      <c r="CV256" s="3" t="n"/>
      <c r="CW256" s="3" t="n"/>
      <c r="CX256" s="3" t="n"/>
      <c r="CY256" s="3" t="n"/>
    </row>
    <row r="257" hidden="1" outlineLevel="1">
      <c r="C257" s="34" t="inlineStr">
        <is>
          <t>Contas a pagar pela aquisição de controladas</t>
        </is>
      </c>
      <c r="D257" s="6" t="n"/>
      <c r="E257" s="6" t="n"/>
      <c r="F257" s="6" t="n"/>
      <c r="G257" s="6" t="n"/>
      <c r="H257" s="3" t="n"/>
      <c r="I257" s="6" t="n"/>
      <c r="J257" s="6" t="n"/>
      <c r="K257" s="6" t="n"/>
      <c r="L257" s="6" t="n"/>
      <c r="M257" s="3" t="n"/>
      <c r="N257" s="6" t="n"/>
      <c r="O257" s="6" t="n"/>
      <c r="P257" s="6" t="n"/>
      <c r="Q257" s="6" t="n"/>
      <c r="R257" s="3" t="n"/>
      <c r="S257" s="6" t="n"/>
      <c r="T257" s="6" t="n"/>
      <c r="U257" s="6" t="n"/>
      <c r="V257" s="6" t="n"/>
      <c r="W257" s="3" t="n"/>
      <c r="X257" s="6" t="n"/>
      <c r="Y257" s="6" t="n"/>
      <c r="Z257" s="6" t="n"/>
      <c r="AA257" s="6" t="n"/>
      <c r="AB257" s="3" t="n"/>
      <c r="AC257" s="6" t="n"/>
      <c r="AD257" s="6" t="n"/>
      <c r="AE257" s="6" t="n"/>
      <c r="AF257" s="6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  <c r="BO257" s="3" t="n"/>
      <c r="BP257" s="3" t="n"/>
      <c r="BQ257" s="3" t="n"/>
      <c r="BR257" s="3" t="n"/>
      <c r="BS257" s="3" t="n"/>
      <c r="BT257" s="3" t="n"/>
      <c r="BU257" s="3" t="n"/>
      <c r="BV257" s="3" t="n"/>
      <c r="BW257" s="3" t="n"/>
      <c r="BX257" s="3" t="n"/>
      <c r="BY257" s="3" t="n"/>
      <c r="BZ257" s="3" t="n"/>
      <c r="CA257" s="3" t="n"/>
      <c r="CB257" s="3" t="n"/>
      <c r="CC257" s="3" t="n"/>
      <c r="CD257" s="3" t="n"/>
      <c r="CE257" s="3" t="n"/>
      <c r="CF257" s="3" t="n"/>
      <c r="CG257" s="3" t="n"/>
      <c r="CH257" s="3" t="n"/>
      <c r="CI257" s="3" t="n"/>
      <c r="CJ257" s="3" t="n"/>
      <c r="CK257" s="3" t="n"/>
      <c r="CL257" s="3" t="n"/>
      <c r="CM257" s="3" t="n"/>
      <c r="CN257" s="3" t="n"/>
      <c r="CO257" s="3" t="n"/>
      <c r="CP257" s="3" t="n"/>
      <c r="CQ257" s="3" t="n"/>
      <c r="CR257" s="3" t="n"/>
      <c r="CS257" s="3" t="n"/>
      <c r="CT257" s="3" t="n"/>
      <c r="CU257" s="3" t="n"/>
      <c r="CV257" s="3" t="n"/>
      <c r="CW257" s="3" t="n"/>
      <c r="CX257" s="3" t="n"/>
      <c r="CY257" s="3" t="n"/>
    </row>
    <row r="258" hidden="1" outlineLevel="1">
      <c r="C258" s="34" t="inlineStr">
        <is>
          <t xml:space="preserve">Outras Obrigações </t>
        </is>
      </c>
      <c r="D258" s="6" t="n"/>
      <c r="E258" s="6" t="n"/>
      <c r="F258" s="6" t="n"/>
      <c r="G258" s="6" t="n"/>
      <c r="H258" s="3" t="n"/>
      <c r="I258" s="6" t="n"/>
      <c r="J258" s="6" t="n"/>
      <c r="K258" s="6" t="n"/>
      <c r="L258" s="6" t="n"/>
      <c r="M258" s="3" t="n"/>
      <c r="N258" s="6" t="n"/>
      <c r="O258" s="6" t="n"/>
      <c r="P258" s="6" t="n"/>
      <c r="Q258" s="6" t="n"/>
      <c r="R258" s="3" t="n"/>
      <c r="S258" s="6" t="n"/>
      <c r="T258" s="6" t="n"/>
      <c r="U258" s="6" t="n"/>
      <c r="V258" s="6" t="n"/>
      <c r="W258" s="3" t="n"/>
      <c r="X258" s="6" t="n"/>
      <c r="Y258" s="6" t="n"/>
      <c r="Z258" s="6" t="n"/>
      <c r="AA258" s="6" t="n"/>
      <c r="AB258" s="3" t="n"/>
      <c r="AC258" s="6" t="n"/>
      <c r="AD258" s="6" t="n"/>
      <c r="AE258" s="6" t="n"/>
      <c r="AF258" s="6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  <c r="BO258" s="3" t="n"/>
      <c r="BP258" s="3" t="n"/>
      <c r="BQ258" s="3" t="n"/>
      <c r="BR258" s="3" t="n"/>
      <c r="BS258" s="3" t="n"/>
      <c r="BT258" s="3" t="n"/>
      <c r="BU258" s="3" t="n"/>
      <c r="BV258" s="3" t="n"/>
      <c r="BW258" s="3" t="n"/>
      <c r="BX258" s="3" t="n"/>
      <c r="BY258" s="3" t="n"/>
      <c r="BZ258" s="3" t="n"/>
      <c r="CA258" s="3" t="n"/>
      <c r="CB258" s="3" t="n"/>
      <c r="CC258" s="3" t="n"/>
      <c r="CD258" s="3" t="n"/>
      <c r="CE258" s="3" t="n"/>
      <c r="CF258" s="3" t="n"/>
      <c r="CG258" s="3" t="n"/>
      <c r="CH258" s="3" t="n"/>
      <c r="CI258" s="3" t="n"/>
      <c r="CJ258" s="3" t="n"/>
      <c r="CK258" s="3" t="n"/>
      <c r="CL258" s="3" t="n"/>
      <c r="CM258" s="3" t="n"/>
      <c r="CN258" s="3" t="n"/>
      <c r="CO258" s="3" t="n"/>
      <c r="CP258" s="3" t="n"/>
      <c r="CQ258" s="3" t="n"/>
      <c r="CR258" s="3" t="n"/>
      <c r="CS258" s="3" t="n"/>
      <c r="CT258" s="3" t="n"/>
      <c r="CU258" s="3" t="n"/>
      <c r="CV258" s="3" t="n"/>
      <c r="CW258" s="3" t="n"/>
      <c r="CX258" s="3" t="n"/>
      <c r="CY258" s="3" t="n"/>
    </row>
    <row r="259" hidden="1" outlineLevel="1">
      <c r="C259" s="34" t="inlineStr">
        <is>
          <t xml:space="preserve">Provisão de Risco Cíveis, Trabalhistas e Tributários </t>
        </is>
      </c>
      <c r="D259" s="6" t="n"/>
      <c r="E259" s="6" t="n"/>
      <c r="F259" s="6" t="n"/>
      <c r="G259" s="6" t="n"/>
      <c r="H259" s="3" t="n"/>
      <c r="I259" s="6" t="n"/>
      <c r="J259" s="6" t="n"/>
      <c r="K259" s="6" t="n"/>
      <c r="L259" s="6" t="n"/>
      <c r="M259" s="3" t="n"/>
      <c r="N259" s="6" t="n"/>
      <c r="O259" s="6" t="n"/>
      <c r="P259" s="6" t="n"/>
      <c r="Q259" s="6" t="n"/>
      <c r="R259" s="3" t="n"/>
      <c r="S259" s="6" t="n"/>
      <c r="T259" s="6" t="n"/>
      <c r="U259" s="6" t="n"/>
      <c r="V259" s="6" t="n"/>
      <c r="W259" s="3" t="n"/>
      <c r="X259" s="6" t="n"/>
      <c r="Y259" s="6" t="n"/>
      <c r="Z259" s="6" t="n"/>
      <c r="AA259" s="6" t="n"/>
      <c r="AB259" s="3" t="n"/>
      <c r="AC259" s="6" t="n"/>
      <c r="AD259" s="6" t="n"/>
      <c r="AE259" s="6" t="n"/>
      <c r="AF259" s="6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/>
      <c r="BZ259" s="3" t="n"/>
      <c r="CA259" s="3" t="n"/>
      <c r="CB259" s="3" t="n"/>
      <c r="CC259" s="3" t="n"/>
      <c r="CD259" s="3" t="n"/>
      <c r="CE259" s="3" t="n"/>
      <c r="CF259" s="3" t="n"/>
      <c r="CG259" s="3" t="n"/>
      <c r="CH259" s="3" t="n"/>
      <c r="CI259" s="3" t="n"/>
      <c r="CJ259" s="3" t="n"/>
      <c r="CK259" s="3" t="n"/>
      <c r="CL259" s="3" t="n"/>
      <c r="CM259" s="3" t="n"/>
      <c r="CN259" s="3" t="n"/>
      <c r="CO259" s="3" t="n"/>
      <c r="CP259" s="3" t="n"/>
      <c r="CQ259" s="3" t="n"/>
      <c r="CR259" s="3" t="n"/>
      <c r="CS259" s="3" t="n"/>
      <c r="CT259" s="3" t="n"/>
      <c r="CU259" s="3" t="n"/>
      <c r="CV259" s="3" t="n"/>
      <c r="CW259" s="3" t="n"/>
      <c r="CX259" s="3" t="n"/>
      <c r="CY259" s="3" t="n"/>
    </row>
    <row r="260" hidden="1" outlineLevel="1">
      <c r="C260" s="34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n"/>
      <c r="CC260" s="3" t="n"/>
      <c r="CD260" s="3" t="n"/>
      <c r="CE260" s="3" t="n"/>
      <c r="CF260" s="3" t="n"/>
      <c r="CG260" s="3" t="n"/>
      <c r="CH260" s="3" t="n"/>
      <c r="CI260" s="3" t="n"/>
      <c r="CJ260" s="3" t="n"/>
      <c r="CK260" s="3" t="n"/>
      <c r="CL260" s="3" t="n"/>
      <c r="CM260" s="3" t="n"/>
      <c r="CN260" s="3" t="n"/>
      <c r="CO260" s="3" t="n"/>
      <c r="CP260" s="3" t="n"/>
      <c r="CQ260" s="3" t="n"/>
      <c r="CR260" s="3" t="n"/>
      <c r="CS260" s="3" t="n"/>
      <c r="CT260" s="3" t="n"/>
      <c r="CU260" s="3" t="n"/>
      <c r="CV260" s="3" t="n"/>
      <c r="CW260" s="3" t="n"/>
      <c r="CX260" s="3" t="n"/>
      <c r="CY260" s="3" t="n"/>
    </row>
    <row r="261" collapsed="1" customFormat="1" s="17">
      <c r="A261" s="13" t="n"/>
      <c r="B261" s="13" t="n"/>
      <c r="C261" s="27" t="inlineStr">
        <is>
          <t>Total Liabilities</t>
        </is>
      </c>
      <c r="D261" s="16">
        <f>SUM(D212+D216+D218+D219+D226+D227+D228+D231+D249+D252+D253+D254)</f>
        <v>888.25</v>
      </c>
      <c r="E261" s="16">
        <f>SUM(E212+E216+E218+E219+E226+E227+E228+E231+E249+E252+E253+E254)</f>
        <v>1010.394</v>
      </c>
      <c r="F261" s="16">
        <f>SUM(F212+F216+F218+F219+F226+F227+F228+F231+F249+F252+F253+F254)</f>
        <v>1164.609</v>
      </c>
      <c r="G261" s="16">
        <f>SUM(G212+G216+G218+G219+G226+G227+G228+G231+G249+G252+G253+G254)</f>
        <v>1002.325</v>
      </c>
      <c r="H261" s="16">
        <f>SUM(H212,H216,H218,H219,H226,H227,H231,H228,H249,H252,H253,H254)</f>
        <v>1002.325</v>
      </c>
      <c r="I261" s="16">
        <f>SUM(I212+I216+I218+I219+I226+I227+I228+I231+I249+I252+I253+I254)</f>
        <v>1224.582</v>
      </c>
      <c r="J261" s="16">
        <f>SUM(J212+J216+J218+J219+J226+J227+J228+J231+J249+J252+J253+J254)</f>
        <v>1341.185</v>
      </c>
      <c r="K261" s="16">
        <f>SUM(K212+K216+K218+K219+K226+K227+K228+K231+K249+K252+K253+K254)</f>
        <v>1420.019</v>
      </c>
      <c r="L261" s="16">
        <f>SUM(L212+L216+L218+L219+L226+L227+L228+L231+L249+L252+L253+L254)</f>
        <v>1859.594</v>
      </c>
      <c r="M261" s="16">
        <f>SUM(M212,M216,M218,M219,M226,M227,M231,M228,M249,M252,M253,M254)</f>
        <v>1859.594</v>
      </c>
      <c r="N261" s="16">
        <f>SUM(N212+N216+N218+N219+N226+N227+N228+N231+N249+N252+N253+N254)</f>
        <v>2141.767</v>
      </c>
      <c r="O261" s="16">
        <f>SUM(O212+O216+O218+O219+O226+O227+O228+O231+O249+O252+O253+O254)</f>
        <v>2121.385</v>
      </c>
      <c r="P261" s="16">
        <f>SUM(P212+P216+P218+P219+P226+P227+P228+P231+P249+P252+P253+P254)</f>
        <v>1912.52</v>
      </c>
      <c r="Q261" s="16">
        <f>SUM(Q212+Q216+Q218+Q219+Q226+Q227+Q228+Q231+Q249+Q252+Q253+Q254)</f>
        <v>1920.683</v>
      </c>
      <c r="R261" s="16">
        <f>SUM(R212,R216,R218,R219,R226,R227,R231,R228,R249,R252,R253,R254)</f>
        <v>1920.683</v>
      </c>
      <c r="S261" s="16">
        <f>SUM(S212+S216+S218+S219+S226+S227+S228+S231+S249+S252+S253+S254)</f>
        <v>1764.183</v>
      </c>
      <c r="T261" s="16">
        <f>SUM(T212+T216+T218+T219+T226+T227+T228+T231+T249+T252+T253+T254)</f>
        <v>1734.163</v>
      </c>
      <c r="U261" s="16">
        <f>SUM(U212+U216+U218+U219+U226+U227+U228+U231+U249+U252+U253+U254)</f>
        <v>2094.448</v>
      </c>
      <c r="V261" s="16">
        <f>SUM(V212+V216+V218+V219+V226+V227+V228+V231+V249+V252+V253+V254)</f>
        <v>2095.043</v>
      </c>
      <c r="W261" s="16">
        <f>SUM(W212,W216,W218,W219,W226,W227,W231,W228,W249,W252,W253,W254)</f>
        <v>2095.043</v>
      </c>
      <c r="X261" s="16">
        <f>SUM(X212+X216+X218+X219+X226+X227+X228+X231+X249+X252+X253+X254)</f>
        <v>2254.035</v>
      </c>
      <c r="Y261" s="16">
        <f>SUM(Y212+Y216+Y218+Y219+Y226+Y227+Y228+Y231+Y249+Y252+Y253+Y254)</f>
        <v>2930.701</v>
      </c>
      <c r="Z261" s="16">
        <f>SUM(Z212+Z216+Z218+Z219+Z226+Z227+Z228+Z231+Z249+Z252+Z253+Z254)</f>
        <v>2723.972</v>
      </c>
      <c r="AA261" s="16">
        <f>SUM(AA212+AA216+AA218+AA219+AA226+AA227+AA228+AA231+AA249+AA252+AA253+AA254)</f>
        <v>3029.756</v>
      </c>
      <c r="AB261" s="16">
        <f>SUM(AB212,AB216,AB218,AB219,AB226,AB227,AB231,AB228,AB249,AB252,AB253,AB254)</f>
        <v>3029.756</v>
      </c>
      <c r="AC261" s="16">
        <f>SUM(AC212+AC216+AC218+AC219+AC226+AC227+AC228+AC231+AC249+AC252+AC253+AC254)</f>
        <v>3509.484</v>
      </c>
      <c r="AD261" s="16">
        <f>SUM(AD212+AD216+AD218+AD219+AD226+AD227+AD228+AD231+AD249+AD252+AD253+AD254)</f>
        <v>3605.67</v>
      </c>
      <c r="AE261" s="16">
        <f>SUM(AE212+AE216+AE218+AE219+AE226+AE227+AE228+AE231+AE249+AE252+AE253+AE254)</f>
        <v>3989.868</v>
      </c>
      <c r="AF261" s="16">
        <f>SUM(AF212+AF216+AF218+AF219+AF226+AF227+AF228+AF231+AF249+AF252+AF253+AF254)</f>
        <v>3992.341</v>
      </c>
      <c r="AG261" s="16">
        <f>SUM(AG212,AG216,AG218,AG219,AG226,AG227,AG231,AG228,AG249,AG252,AG253,AG254)</f>
        <v>3992.341</v>
      </c>
      <c r="AH261" s="16">
        <f>SUM(AH212+AH216+AH218+AH219+AH226+AH227+AH228+AH231+AH249+AH252+AH253+AH254)</f>
        <v>4303.517</v>
      </c>
      <c r="AI261" s="16">
        <f>SUM(AI212+AI216+AI218+AI219+AI226+AI227+AI228+AI231+AI249+AI252+AI253+AI254)</f>
        <v>4229.668</v>
      </c>
      <c r="AJ261" s="16">
        <f>SUM(AJ212+AJ216+AJ218+AJ219+AJ226+AJ227+AJ228+AJ231+AJ249+AJ252+AJ253+AJ254)</f>
        <v>3760.168</v>
      </c>
      <c r="AK261" s="16">
        <f>SUM(AK212+AK216+AK218+AK219+AK226+AK227+AK228+AK231+AK249+AK252+AK253+AK254)</f>
        <v>3760.168</v>
      </c>
      <c r="AL261" s="16">
        <f>SUM(AL212,AL216,AL218,AL219,AL226,AL227,AL231,AL228,AL249,AL252,AL253,AL254)</f>
        <v>3760.168</v>
      </c>
      <c r="AM261" s="16" t="e">
        <f>SUM(AM212+AM216+AM218+AM219+AM226+AM227+AM228+AM231+AM249+AM252+AM253+AM254)</f>
        <v>#DIV/0!</v>
      </c>
      <c r="AN261" s="16">
        <f>SUM(AN212+AN216+AN218+AN219+AN226+AN227+AN228+AN231+AN249+AN252+AN253+AN254)</f>
        <v>3760.168</v>
      </c>
      <c r="AO261" s="16" t="e">
        <f>SUM(AO212+AO216+AO218+AO219+AO226+AO227+AO228+AO231+AO249+AO252+AO253+AO254)</f>
        <v>#DIV/0!</v>
      </c>
      <c r="AP261" s="16" t="e">
        <f>SUM(AP212+AP216+AP218+AP219+AP226+AP227+AP228+AP231+AP249+AP252+AP253+AP254)</f>
        <v>#DIV/0!</v>
      </c>
      <c r="AQ261" s="16" t="e">
        <f>SUM(AQ212,AQ216,AQ218,AQ219,AQ226,AQ227,AQ231,AQ228,AQ249,AQ252,AQ253,AQ254)</f>
        <v>#DIV/0!</v>
      </c>
      <c r="AR261" s="16" t="e">
        <f>SUM(AR212+AR216+AR218+AR219+AR226+AR227+AR228+AR231+AR249+AR252+AR253+AR254)</f>
        <v>#DIV/0!</v>
      </c>
      <c r="AS261" s="16" t="e">
        <f>SUM(AS212+AS216+AS218+AS219+AS226+AS227+AS228+AS231+AS249+AS252+AS253+AS254)</f>
        <v>#DIV/0!</v>
      </c>
      <c r="AT261" s="16" t="e">
        <f>SUM(AT212+AT216+AT218+AT219+AT226+AT227+AT228+AT231+AT249+AT252+AT253+AT254)</f>
        <v>#DIV/0!</v>
      </c>
      <c r="AU261" s="16" t="e">
        <f>SUM(AU212+AU216+AU218+AU219+AU226+AU227+AU228+AU231+AU249+AU252+AU253+AU254)</f>
        <v>#DIV/0!</v>
      </c>
      <c r="AV261" s="16" t="e">
        <f>SUM(AV212,AV216,AV218,AV219,AV226,AV227,AV231,AV228,AV249,AV252,AV253,AV254)</f>
        <v>#DIV/0!</v>
      </c>
      <c r="AW261" s="16" t="e">
        <f>SUM(AW212+AW216+AW218+AW219+AW226+AW227+AW228+AW231+AW249+AW252+AW253+AW254)</f>
        <v>#DIV/0!</v>
      </c>
      <c r="AX261" s="16" t="e">
        <f>SUM(AX212+AX216+AX218+AX219+AX226+AX227+AX228+AX231+AX249+AX252+AX253+AX254)</f>
        <v>#DIV/0!</v>
      </c>
      <c r="AY261" s="16" t="e">
        <f>SUM(AY212+AY216+AY218+AY219+AY226+AY227+AY228+AY231+AY249+AY252+AY253+AY254)</f>
        <v>#DIV/0!</v>
      </c>
      <c r="AZ261" s="16" t="e">
        <f>SUM(AZ212+AZ216+AZ218+AZ219+AZ226+AZ227+AZ228+AZ231+AZ249+AZ252+AZ253+AZ254)</f>
        <v>#DIV/0!</v>
      </c>
      <c r="BA261" s="16" t="e">
        <f>SUM(BA212,BA216,BA218,BA219,BA226,BA227,BA231,BA228,BA249,BA252,BA253,BA254)</f>
        <v>#DIV/0!</v>
      </c>
      <c r="BB261" s="16" t="e">
        <f>SUM(BB212+BB216+BB218+BB219+BB226+BB227+BB228+BB231+BB249+BB252+BB253+BB254)</f>
        <v>#DIV/0!</v>
      </c>
      <c r="BC261" s="16" t="e">
        <f>SUM(BC212+BC216+BC218+BC219+BC226+BC227+BC228+BC231+BC249+BC252+BC253+BC254)</f>
        <v>#DIV/0!</v>
      </c>
      <c r="BD261" s="16" t="e">
        <f>SUM(BD212+BD216+BD218+BD219+BD226+BD227+BD228+BD231+BD249+BD252+BD253+BD254)</f>
        <v>#DIV/0!</v>
      </c>
      <c r="BE261" s="16" t="e">
        <f>SUM(BE212+BE216+BE218+BE219+BE226+BE227+BE228+BE231+BE249+BE252+BE253+BE254)</f>
        <v>#DIV/0!</v>
      </c>
      <c r="BF261" s="16" t="e">
        <f>SUM(BF212,BF216,BF218,BF219,BF226,BF227,BF231,BF228,BF249,BF252,BF253,BF254)</f>
        <v>#DIV/0!</v>
      </c>
      <c r="BG261" s="16" t="e">
        <f>SUM(BG212+BG216+BG218+BG219+BG226+BG227+BG228+BG231+BG249+BG252+BG253+BG254)</f>
        <v>#DIV/0!</v>
      </c>
      <c r="BH261" s="16" t="e">
        <f>SUM(BH212+BH216+BH218+BH219+BH226+BH227+BH228+BH231+BH249+BH252+BH253+BH254)</f>
        <v>#DIV/0!</v>
      </c>
      <c r="BI261" s="16" t="e">
        <f>SUM(BI212+BI216+BI218+BI219+BI226+BI227+BI228+BI231+BI249+BI252+BI253+BI254)</f>
        <v>#DIV/0!</v>
      </c>
      <c r="BJ261" s="16" t="e">
        <f>SUM(BJ212+BJ216+BJ218+BJ219+BJ226+BJ227+BJ228+BJ231+BJ249+BJ252+BJ253+BJ254)</f>
        <v>#DIV/0!</v>
      </c>
      <c r="BK261" s="16" t="e">
        <f>SUM(BK212,BK216,BK218,BK219,BK226,BK227,BK231,BK228,BK249,BK252,BK253,BK254)</f>
        <v>#DIV/0!</v>
      </c>
      <c r="BL261" s="16" t="e">
        <f>SUM(BL212+BL216+BL218+BL219+BL226+BL227+BL228+BL231+BL249+BL252+BL253+BL254)</f>
        <v>#DIV/0!</v>
      </c>
      <c r="BM261" s="16" t="e">
        <f>SUM(BM212+BM216+BM218+BM219+BM226+BM227+BM228+BM231+BM249+BM252+BM253+BM254)</f>
        <v>#DIV/0!</v>
      </c>
      <c r="BN261" s="16" t="e">
        <f>SUM(BN212+BN216+BN218+BN219+BN226+BN227+BN228+BN231+BN249+BN252+BN253+BN254)</f>
        <v>#DIV/0!</v>
      </c>
      <c r="BO261" s="16" t="e">
        <f>SUM(BO212+BO216+BO218+BO219+BO226+BO227+BO228+BO231+BO249+BO252+BO253+BO254)</f>
        <v>#DIV/0!</v>
      </c>
      <c r="BP261" s="16" t="e">
        <f>SUM(BP212,BP216,BP218,BP219,BP226,BP227,BP231,BP228,BP249,BP252,BP253,BP254)</f>
        <v>#DIV/0!</v>
      </c>
      <c r="BQ261" s="16" t="e">
        <f>SUM(BQ212+BQ216+BQ218+BQ219+BQ226+BQ227+BQ228+BQ231+BQ249+BQ252+BQ253+BQ254)</f>
        <v>#DIV/0!</v>
      </c>
      <c r="BR261" s="16" t="e">
        <f>SUM(BR212+BR216+BR218+BR219+BR226+BR227+BR228+BR231+BR249+BR252+BR253+BR254)</f>
        <v>#DIV/0!</v>
      </c>
      <c r="BS261" s="16" t="e">
        <f>SUM(BS212+BS216+BS218+BS219+BS226+BS227+BS228+BS231+BS249+BS252+BS253+BS254)</f>
        <v>#DIV/0!</v>
      </c>
      <c r="BT261" s="16" t="e">
        <f>SUM(BT212+BT216+BT218+BT219+BT226+BT227+BT228+BT231+BT249+BT252+BT253+BT254)</f>
        <v>#DIV/0!</v>
      </c>
      <c r="BU261" s="16" t="e">
        <f>SUM(BU212,BU216,BU218,BU219,BU226,BU227,BU231,BU228,BU249,BU252,BU253,BU254)</f>
        <v>#DIV/0!</v>
      </c>
      <c r="BV261" s="16" t="e">
        <f>SUM(BV212+BV216+BV218+BV219+BV226+BV227+BV228+BV231+BV249+BV252+BV253+BV254)</f>
        <v>#DIV/0!</v>
      </c>
      <c r="BW261" s="16" t="e">
        <f>SUM(BW212+BW216+BW218+BW219+BW226+BW227+BW228+BW231+BW249+BW252+BW253+BW254)</f>
        <v>#DIV/0!</v>
      </c>
      <c r="BX261" s="16" t="e">
        <f>SUM(BX212+BX216+BX218+BX219+BX226+BX227+BX228+BX231+BX249+BX252+BX253+BX254)</f>
        <v>#DIV/0!</v>
      </c>
      <c r="BY261" s="16" t="e">
        <f>SUM(BY212+BY216+BY218+BY219+BY226+BY227+BY228+BY231+BY249+BY252+BY253+BY254)</f>
        <v>#DIV/0!</v>
      </c>
      <c r="BZ261" s="16" t="e">
        <f>SUM(BZ212,BZ216,BZ218,BZ219,BZ226,BZ227,BZ231,BZ228,BZ249,BZ252,BZ253,BZ254)</f>
        <v>#DIV/0!</v>
      </c>
      <c r="CA261" s="16" t="e">
        <f>SUM(CA212+CA216+CA218+CA219+CA226+CA227+CA228+CA231+CA249+CA252+CA253+CA254)</f>
        <v>#DIV/0!</v>
      </c>
      <c r="CB261" s="16" t="e">
        <f>SUM(CB212+CB216+CB218+CB219+CB226+CB227+CB228+CB231+CB249+CB252+CB253+CB254)</f>
        <v>#DIV/0!</v>
      </c>
      <c r="CC261" s="16" t="e">
        <f>SUM(CC212+CC216+CC218+CC219+CC226+CC227+CC228+CC231+CC249+CC252+CC253+CC254)</f>
        <v>#DIV/0!</v>
      </c>
      <c r="CD261" s="16" t="e">
        <f>SUM(CD212+CD216+CD218+CD219+CD226+CD227+CD228+CD231+CD249+CD252+CD253+CD254)</f>
        <v>#DIV/0!</v>
      </c>
      <c r="CE261" s="16" t="e">
        <f>SUM(CE212,CE216,CE218,CE219,CE226,CE227,CE231,CE228,CE249,CE252,CE253,CE254)</f>
        <v>#DIV/0!</v>
      </c>
      <c r="CF261" s="16" t="e">
        <f>SUM(CF212+CF216+CF218+CF219+CF226+CF227+CF228+CF231+CF249+CF252+CF253+CF254)</f>
        <v>#DIV/0!</v>
      </c>
      <c r="CG261" s="16" t="e">
        <f>SUM(CG212+CG216+CG218+CG219+CG226+CG227+CG228+CG231+CG249+CG252+CG253+CG254)</f>
        <v>#DIV/0!</v>
      </c>
      <c r="CH261" s="16" t="e">
        <f>SUM(CH212+CH216+CH218+CH219+CH226+CH227+CH228+CH231+CH249+CH252+CH253+CH254)</f>
        <v>#DIV/0!</v>
      </c>
      <c r="CI261" s="16" t="e">
        <f>SUM(CI212+CI216+CI218+CI219+CI226+CI227+CI228+CI231+CI249+CI252+CI253+CI254)</f>
        <v>#DIV/0!</v>
      </c>
      <c r="CJ261" s="16" t="e">
        <f>SUM(CJ212,CJ216,CJ218,CJ219,CJ226,CJ227,CJ231,CJ228,CJ249,CJ252,CJ253,CJ254)</f>
        <v>#DIV/0!</v>
      </c>
      <c r="CK261" s="16" t="e">
        <f>SUM(CK212+CK216+CK218+CK219+CK226+CK227+CK228+CK231+CK249+CK252+CK253+CK254)</f>
        <v>#DIV/0!</v>
      </c>
      <c r="CL261" s="16" t="e">
        <f>SUM(CL212+CL216+CL218+CL219+CL226+CL227+CL228+CL231+CL249+CL252+CL253+CL254)</f>
        <v>#DIV/0!</v>
      </c>
      <c r="CM261" s="16" t="e">
        <f>SUM(CM212+CM216+CM218+CM219+CM226+CM227+CM228+CM231+CM249+CM252+CM253+CM254)</f>
        <v>#DIV/0!</v>
      </c>
      <c r="CN261" s="16" t="e">
        <f>SUM(CN212+CN216+CN218+CN219+CN226+CN227+CN228+CN231+CN249+CN252+CN253+CN254)</f>
        <v>#DIV/0!</v>
      </c>
      <c r="CO261" s="16" t="e">
        <f>SUM(CO212,CO216,CO218,CO219,CO226,CO227,CO231,CO228,CO249,CO252,CO253,CO254)</f>
        <v>#DIV/0!</v>
      </c>
      <c r="CP261" s="16" t="e">
        <f>SUM(CP212+CP216+CP218+CP219+CP226+CP227+CP228+CP231+CP249+CP252+CP253+CP254)</f>
        <v>#DIV/0!</v>
      </c>
      <c r="CQ261" s="16" t="e">
        <f>SUM(CQ212+CQ216+CQ218+CQ219+CQ226+CQ227+CQ228+CQ231+CQ249+CQ252+CQ253+CQ254)</f>
        <v>#DIV/0!</v>
      </c>
      <c r="CR261" s="16" t="e">
        <f>SUM(CR212+CR216+CR218+CR219+CR226+CR227+CR228+CR231+CR249+CR252+CR253+CR254)</f>
        <v>#DIV/0!</v>
      </c>
      <c r="CS261" s="16" t="e">
        <f>SUM(CS212+CS216+CS218+CS219+CS226+CS227+CS228+CS231+CS249+CS252+CS253+CS254)</f>
        <v>#DIV/0!</v>
      </c>
      <c r="CT261" s="16" t="e">
        <f>SUM(CT212,CT216,CT218,CT219,CT226,CT227,CT231,CT228,CT249,CT252,CT253,CT254)</f>
        <v>#DIV/0!</v>
      </c>
      <c r="CU261" s="16" t="e">
        <f>SUM(CU212+CU216+CU218+CU219+CU226+CU227+CU228+CU231+CU249+CU252+CU253+CU254)</f>
        <v>#DIV/0!</v>
      </c>
      <c r="CV261" s="16" t="e">
        <f>SUM(CV212+CV216+CV218+CV219+CV226+CV227+CV228+CV231+CV249+CV252+CV253+CV254)</f>
        <v>#DIV/0!</v>
      </c>
      <c r="CW261" s="16" t="e">
        <f>SUM(CW212+CW216+CW218+CW219+CW226+CW227+CW228+CW231+CW249+CW252+CW253+CW254)</f>
        <v>#DIV/0!</v>
      </c>
      <c r="CX261" s="16" t="e">
        <f>SUM(CX212+CX216+CX218+CX219+CX226+CX227+CX228+CX231+CX249+CX252+CX253+CX254)</f>
        <v>#DIV/0!</v>
      </c>
      <c r="CY261" s="16" t="e">
        <f>SUM(CY212,CY216,CY218,CY219,CY226,CY227,CY231,CY228,CY249,CY252,CY253,CY254)</f>
        <v>#DIV/0!</v>
      </c>
    </row>
    <row r="262">
      <c r="C262" s="26" t="inlineStr">
        <is>
          <t>Minority interest</t>
        </is>
      </c>
      <c r="D262" s="25">
        <f>INDEX('Inputs (2)'!$D$41:$AL$41,MATCH(D$7,'Inputs (2)'!$D$2:$AL$2,0))</f>
        <v>155.51</v>
      </c>
      <c r="E262" s="25">
        <f>INDEX('Inputs (2)'!$D$41:$AL$41,MATCH(E$7,'Inputs (2)'!$D$2:$AL$2,0))</f>
        <v>162.668</v>
      </c>
      <c r="F262" s="25">
        <f>INDEX('Inputs (2)'!$D$41:$AL$41,MATCH(F$7,'Inputs (2)'!$D$2:$AL$2,0))</f>
        <v>170.936</v>
      </c>
      <c r="G262" s="25">
        <f>INDEX('Inputs (2)'!$D$41:$AL$41,MATCH(G$7,'Inputs (2)'!$D$2:$AL$2,0))</f>
        <v>152.923</v>
      </c>
      <c r="H262" s="3">
        <f>G262</f>
        <v>152.923</v>
      </c>
      <c r="I262" s="25">
        <f>INDEX('Inputs (2)'!$D$41:$AL$41,MATCH(I$7,'Inputs (2)'!$D$2:$AL$2,0))</f>
        <v>154.258</v>
      </c>
      <c r="J262" s="25">
        <f>INDEX('Inputs (2)'!$D$41:$AL$41,MATCH(J$7,'Inputs (2)'!$D$2:$AL$2,0))</f>
        <v>150.132</v>
      </c>
      <c r="K262" s="25">
        <f>INDEX('Inputs (2)'!$D$41:$AL$41,MATCH(K$7,'Inputs (2)'!$D$2:$AL$2,0))</f>
        <v>148.534</v>
      </c>
      <c r="L262" s="25">
        <f>INDEX('Inputs (2)'!$D$41:$AL$41,MATCH(L$7,'Inputs (2)'!$D$2:$AL$2,0))</f>
        <v>147.23</v>
      </c>
      <c r="M262" s="3">
        <f>L262</f>
        <v>147.23</v>
      </c>
      <c r="N262" s="25">
        <f>INDEX('Inputs (2)'!$D$41:$AL$41,MATCH(N$7,'Inputs (2)'!$D$2:$AL$2,0))</f>
        <v>144.035</v>
      </c>
      <c r="O262" s="25">
        <f>INDEX('Inputs (2)'!$D$41:$AL$41,MATCH(O$7,'Inputs (2)'!$D$2:$AL$2,0))</f>
        <v>147.818</v>
      </c>
      <c r="P262" s="25">
        <f>INDEX('Inputs (2)'!$D$41:$AL$41,MATCH(P$7,'Inputs (2)'!$D$2:$AL$2,0))</f>
        <v>134.033</v>
      </c>
      <c r="Q262" s="25">
        <f>INDEX('Inputs (2)'!$D$41:$AL$41,MATCH(Q$7,'Inputs (2)'!$D$2:$AL$2,0))</f>
        <v>126.011</v>
      </c>
      <c r="R262" s="3">
        <f>Q262</f>
        <v>126.011</v>
      </c>
      <c r="S262" s="25">
        <f>INDEX('Inputs (2)'!$D$41:$AL$41,MATCH(S$7,'Inputs (2)'!$D$2:$AL$2,0))</f>
        <v>126.067</v>
      </c>
      <c r="T262" s="25">
        <f>INDEX('Inputs (2)'!$D$41:$AL$41,MATCH(T$7,'Inputs (2)'!$D$2:$AL$2,0))</f>
        <v>137.528</v>
      </c>
      <c r="U262" s="25">
        <f>INDEX('Inputs (2)'!$D$41:$AL$41,MATCH(U$7,'Inputs (2)'!$D$2:$AL$2,0))</f>
        <v>132.985</v>
      </c>
      <c r="V262" s="25">
        <f>INDEX('Inputs (2)'!$D$41:$AL$41,MATCH(V$7,'Inputs (2)'!$D$2:$AL$2,0))</f>
        <v>132.015</v>
      </c>
      <c r="W262" s="3">
        <f>V262</f>
        <v>132.015</v>
      </c>
      <c r="X262" s="25">
        <f>INDEX('Inputs (2)'!$D$41:$AL$41,MATCH(X$7,'Inputs (2)'!$D$2:$AL$2,0))</f>
        <v>152.236</v>
      </c>
      <c r="Y262" s="25">
        <f>INDEX('Inputs (2)'!$D$41:$AL$41,MATCH(Y$7,'Inputs (2)'!$D$2:$AL$2,0))</f>
        <v>139.517</v>
      </c>
      <c r="Z262" s="25">
        <f>INDEX('Inputs (2)'!$D$41:$AL$41,MATCH(Z$7,'Inputs (2)'!$D$2:$AL$2,0))</f>
        <v>149.296</v>
      </c>
      <c r="AA262" s="25">
        <f>INDEX('Inputs (2)'!$D$41:$AL$41,MATCH(AA$7,'Inputs (2)'!$D$2:$AL$2,0))</f>
        <v>214.069</v>
      </c>
      <c r="AB262" s="3">
        <f>AA262</f>
        <v>214.069</v>
      </c>
      <c r="AC262" s="25">
        <f>INDEX('Inputs (2)'!$D$41:$AL$41,MATCH(AC$7,'Inputs (2)'!$D$2:$AL$2,0))</f>
        <v>227.539</v>
      </c>
      <c r="AD262" s="25">
        <f>INDEX('Inputs (2)'!$D$41:$AL$41,MATCH(AD$7,'Inputs (2)'!$D$2:$AL$2,0))</f>
        <v>248.326</v>
      </c>
      <c r="AE262" s="25">
        <f>INDEX('Inputs (2)'!$D$41:$AL$41,MATCH(AE$7,'Inputs (2)'!$D$2:$AL$2,0))</f>
        <v>256.908</v>
      </c>
      <c r="AF262" s="25">
        <f>INDEX('Inputs (2)'!$D$41:$AL$41,MATCH(AF$7,'Inputs (2)'!$D$2:$AL$2,0))</f>
        <v>280.348</v>
      </c>
      <c r="AG262" s="3">
        <f>AF262</f>
        <v>280.348</v>
      </c>
      <c r="AH262" s="3">
        <f>INDEX('Inputs (2)'!$D$41:$AL$41,MATCH(AH$7,'Inputs (2)'!$D$2:$AL$2,0))</f>
        <v>347.397</v>
      </c>
      <c r="AI262" s="3">
        <f>INDEX('Inputs (2)'!$D$41:$AL$41,MATCH(AI$7,'Inputs (2)'!$D$2:$AL$2,0))</f>
        <v>393.817</v>
      </c>
      <c r="AJ262" s="3">
        <f>AI262-AJ150+AJ265</f>
        <v>421.774</v>
      </c>
      <c r="AK262" s="3">
        <f>AJ262-AK150+AK265</f>
        <v>448.886</v>
      </c>
      <c r="AL262" s="3">
        <f>AK262</f>
        <v>448.886</v>
      </c>
      <c r="AM262" s="3">
        <f>AL262-AM150+AM265</f>
        <v>497.205</v>
      </c>
      <c r="AN262" s="3">
        <f>AM262-AN150+AN265</f>
        <v>537.945</v>
      </c>
      <c r="AO262" s="3">
        <f>AN262-AO150+AO265</f>
        <v>565.902</v>
      </c>
      <c r="AP262" s="3">
        <f>AO262-AP150+AP265</f>
        <v>593.014</v>
      </c>
      <c r="AQ262" s="3">
        <f>AP262</f>
        <v>593.014</v>
      </c>
      <c r="AR262" s="3">
        <f>AQ262-AR150+AR265</f>
        <v>641.333</v>
      </c>
      <c r="AS262" s="3">
        <f>AR262-AS150+AS265</f>
        <v>682.073</v>
      </c>
      <c r="AT262" s="3">
        <f>AS262-AT150+AT265</f>
        <v>710.03</v>
      </c>
      <c r="AU262" s="3">
        <f>AT262-AU150+AU265</f>
        <v>737.142</v>
      </c>
      <c r="AV262" s="3">
        <f>AU262</f>
        <v>737.142</v>
      </c>
      <c r="AW262" s="3">
        <f>AV262-AW150+AW265</f>
        <v>785.461</v>
      </c>
      <c r="AX262" s="3">
        <f>AW262-AX150+AX265</f>
        <v>826.201</v>
      </c>
      <c r="AY262" s="3">
        <f>AX262-AY150+AY265</f>
        <v>854.158</v>
      </c>
      <c r="AZ262" s="3">
        <f>AY262-AZ150+AZ265</f>
        <v>881.27</v>
      </c>
      <c r="BA262" s="3">
        <f>AZ262</f>
        <v>881.27</v>
      </c>
      <c r="BB262" s="3">
        <f>BA262-BB150+BB265</f>
        <v>929.589</v>
      </c>
      <c r="BC262" s="3">
        <f>BB262-BC150+BC265</f>
        <v>970.329</v>
      </c>
      <c r="BD262" s="3">
        <f>BC262-BD150+BD265</f>
        <v>998.286</v>
      </c>
      <c r="BE262" s="3">
        <f>BD262-BE150+BE265</f>
        <v>1025.398</v>
      </c>
      <c r="BF262" s="3">
        <f>BE262</f>
        <v>1025.398</v>
      </c>
      <c r="BG262" s="3">
        <f>BF262-BG150+BG265</f>
        <v>1073.717</v>
      </c>
      <c r="BH262" s="3">
        <f>BG262-BH150+BH265</f>
        <v>1114.457</v>
      </c>
      <c r="BI262" s="3">
        <f>BH262-BI150+BI265</f>
        <v>1142.414</v>
      </c>
      <c r="BJ262" s="3">
        <f>BI262-BJ150+BJ265</f>
        <v>1169.526</v>
      </c>
      <c r="BK262" s="3">
        <f>BJ262</f>
        <v>1169.526</v>
      </c>
      <c r="BL262" s="3">
        <f>BK262-BL150+BL265</f>
        <v>1217.845</v>
      </c>
      <c r="BM262" s="3">
        <f>BL262-BM150+BM265</f>
        <v>1258.585</v>
      </c>
      <c r="BN262" s="3">
        <f>BM262-BN150+BN265</f>
        <v>1286.542</v>
      </c>
      <c r="BO262" s="3">
        <f>BN262-BO150+BO265</f>
        <v>1313.654</v>
      </c>
      <c r="BP262" s="3">
        <f>BO262</f>
        <v>1313.654</v>
      </c>
      <c r="BQ262" s="3">
        <f>BP262-BQ150+BQ265</f>
        <v>1361.973</v>
      </c>
      <c r="BR262" s="3">
        <f>BQ262-BR150+BR265</f>
        <v>1402.713</v>
      </c>
      <c r="BS262" s="3">
        <f>BR262-BS150+BS265</f>
        <v>1430.67</v>
      </c>
      <c r="BT262" s="3">
        <f>BS262-BT150+BT265</f>
        <v>1457.782</v>
      </c>
      <c r="BU262" s="3">
        <f>BT262</f>
        <v>1457.782</v>
      </c>
      <c r="BV262" s="3">
        <f>BU262-BV150+BV265</f>
        <v>1506.101</v>
      </c>
      <c r="BW262" s="3">
        <f>BV262-BW150+BW265</f>
        <v>1546.841</v>
      </c>
      <c r="BX262" s="3">
        <f>BW262-BX150+BX265</f>
        <v>1574.798</v>
      </c>
      <c r="BY262" s="3">
        <f>BX262-BY150+BY265</f>
        <v>1601.91</v>
      </c>
      <c r="BZ262" s="3">
        <f>BY262</f>
        <v>1601.91</v>
      </c>
      <c r="CA262" s="3">
        <f>BZ262-CA150+CA265</f>
        <v>1650.229</v>
      </c>
      <c r="CB262" s="3">
        <f>CA262-CB150+CB265</f>
        <v>1690.969</v>
      </c>
      <c r="CC262" s="3">
        <f>CB262-CC150+CC265</f>
        <v>1718.926</v>
      </c>
      <c r="CD262" s="3">
        <f>CC262-CD150+CD265</f>
        <v>1746.038</v>
      </c>
      <c r="CE262" s="3">
        <f>CD262</f>
        <v>1746.038</v>
      </c>
      <c r="CF262" s="3">
        <f>CE262-CF150+CF265</f>
        <v>1794.357</v>
      </c>
      <c r="CG262" s="3">
        <f>CF262-CG150+CG265</f>
        <v>1835.097</v>
      </c>
      <c r="CH262" s="3">
        <f>CG262-CH150+CH265</f>
        <v>1863.054</v>
      </c>
      <c r="CI262" s="3">
        <f>CH262-CI150+CI265</f>
        <v>1890.166</v>
      </c>
      <c r="CJ262" s="3">
        <f>CI262</f>
        <v>1890.166</v>
      </c>
      <c r="CK262" s="3">
        <f>CJ262-CK150+CK265</f>
        <v>1938.485</v>
      </c>
      <c r="CL262" s="3">
        <f>CK262-CL150+CL265</f>
        <v>1979.225</v>
      </c>
      <c r="CM262" s="3">
        <f>CL262-CM150+CM265</f>
        <v>2007.182</v>
      </c>
      <c r="CN262" s="3">
        <f>CM262-CN150+CN265</f>
        <v>2034.294</v>
      </c>
      <c r="CO262" s="3">
        <f>CN262</f>
        <v>2034.294</v>
      </c>
      <c r="CP262" s="3">
        <f>CO262-CP150+CP265</f>
        <v>2082.613</v>
      </c>
      <c r="CQ262" s="3">
        <f>CP262-CQ150+CQ265</f>
        <v>2123.353</v>
      </c>
      <c r="CR262" s="3">
        <f>CQ262-CR150+CR265</f>
        <v>2151.31</v>
      </c>
      <c r="CS262" s="3">
        <f>CR262-CS150+CS265</f>
        <v>2178.422</v>
      </c>
      <c r="CT262" s="3">
        <f>CS262</f>
        <v>2178.422</v>
      </c>
      <c r="CU262" s="3">
        <f>CT262-CU150+CU265</f>
        <v>2226.741</v>
      </c>
      <c r="CV262" s="3">
        <f>CU262-CV150+CV265</f>
        <v>2267.481</v>
      </c>
      <c r="CW262" s="3">
        <f>CV262-CW150+CW265</f>
        <v>2295.438</v>
      </c>
      <c r="CX262" s="3">
        <f>CW262-CX150+CX265</f>
        <v>2322.55</v>
      </c>
      <c r="CY262" s="3">
        <f>CX262</f>
        <v>2322.55</v>
      </c>
    </row>
    <row r="263" hidden="1" outlineLevel="1" customFormat="1" s="39">
      <c r="A263" s="19" t="n"/>
      <c r="B263" s="19" t="n"/>
      <c r="C263" s="38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</row>
    <row r="264" hidden="1" outlineLevel="1" customFormat="1" s="39">
      <c r="A264" s="19" t="n"/>
      <c r="B264" s="19" t="n"/>
      <c r="C264" s="34" t="inlineStr">
        <is>
          <t>Minority Interest Expense - % YoY</t>
        </is>
      </c>
      <c r="D264" s="22" t="n"/>
      <c r="E264" s="40">
        <f>IF(D149=0,0,E149/D149-1)</f>
        <v>-0.753476611883692</v>
      </c>
      <c r="F264" s="22" t="n"/>
      <c r="G264" s="22" t="n"/>
      <c r="H264" s="40" t="n"/>
      <c r="I264" s="22" t="n"/>
      <c r="J264" s="40">
        <f>IF(I149=0,0,J149/I149-1)</f>
        <v>0.516695957820738</v>
      </c>
      <c r="K264" s="22" t="n"/>
      <c r="L264" s="22" t="n"/>
      <c r="M264" s="40" t="n"/>
      <c r="N264" s="40">
        <f>IF(I149=0,0,N149/I149-1)</f>
        <v>-1.27328646748682</v>
      </c>
      <c r="O264" s="40">
        <f>IF(J149=0,0,O149/J149-1)</f>
        <v>-1.08169177288528</v>
      </c>
      <c r="P264" s="40">
        <f>IF(K149=0,0,P149/K149-1)</f>
        <v>-2.02736842105263</v>
      </c>
      <c r="Q264" s="40">
        <f>IF(L149=0,0,Q149/L149-1)</f>
        <v>-0.853683148335015</v>
      </c>
      <c r="R264" s="40" t="n"/>
      <c r="S264" s="40">
        <f>IF(N149=0,0,S149/N149-1)</f>
        <v>-0.646302250803859</v>
      </c>
      <c r="T264" s="40">
        <f>IF(O149=0,0,T149/O149-1)</f>
        <v>-5.93617021276596</v>
      </c>
      <c r="U264" s="40">
        <f>IF(P149=0,0,U149/P149-1)</f>
        <v>-1.30225409836066</v>
      </c>
      <c r="V264" s="40">
        <f>IF(Q149=0,0,V149/Q149-1)</f>
        <v>-10.351724137931</v>
      </c>
      <c r="W264" s="40">
        <f>IF(R150=0,0,W150/R150-1)</f>
        <v>-0.253786041498248</v>
      </c>
      <c r="X264" s="40">
        <f>IF(S149=0,0,X149/S149-1)</f>
        <v>-12.8090909090909</v>
      </c>
      <c r="Y264" s="40">
        <f>IF(T149=0,0,Y149/T149-1)</f>
        <v>3.03304597701149</v>
      </c>
      <c r="Z264" s="40">
        <f>IF(U149=0,0,Z149/U149-1)</f>
        <v>-12.4881355932203</v>
      </c>
      <c r="AA264" s="40">
        <f>IF(V149=0,0,AA149/V149-1)</f>
        <v>-0.230088495575221</v>
      </c>
      <c r="AB264" s="40">
        <f>IF(W150=0,0,AB150/W150-1)</f>
        <v>2.53668929654774</v>
      </c>
      <c r="AC264" s="40">
        <f>IF(X149=0,0,AC149/X149-1)</f>
        <v>-0.47036181678214</v>
      </c>
      <c r="AD264" s="40">
        <f>IF(Y149=0,0,AD149/Y149-1)</f>
        <v>-0.611301674385465</v>
      </c>
      <c r="AE264" s="40">
        <f>IF(Z149=0,0,AE149/Z149-1)</f>
        <v>-0.269991147831219</v>
      </c>
      <c r="AF264" s="40">
        <f>IF(AA149=0,0,AF149/AA149-1)</f>
        <v>2.00478927203065</v>
      </c>
      <c r="AG264" s="40">
        <f>IF(AB150=0,0,AG150/AB150-1)</f>
        <v>1.15818987522718</v>
      </c>
      <c r="AH264" s="35">
        <f>IF(AC149=0,0,AH149/AC149-1)</f>
        <v>2.31686046511628</v>
      </c>
      <c r="AI264" s="35">
        <f>IF(AD149=0,0,AI149/AD149-1)</f>
        <v>-0.0706423621008322</v>
      </c>
      <c r="AJ264" s="35" t="n"/>
      <c r="AK264" s="35" t="n"/>
      <c r="AL264" s="40">
        <f>IF(AG150=0,0,AL150/AG150-1)</f>
        <v>0.36375851118992</v>
      </c>
      <c r="AM264" s="35" t="n"/>
      <c r="AN264" s="35" t="n"/>
      <c r="AO264" s="35" t="n"/>
      <c r="AP264" s="35" t="n"/>
      <c r="AQ264" s="40">
        <f>IF(AL150=0,0,AQ150/AL150-1)</f>
        <v>0</v>
      </c>
      <c r="AR264" s="35" t="n"/>
      <c r="AS264" s="35" t="n"/>
      <c r="AT264" s="35" t="n"/>
      <c r="AU264" s="35" t="n"/>
      <c r="AV264" s="40">
        <f>IF(AQ150=0,0,AV150/AQ150-1)</f>
        <v>0</v>
      </c>
      <c r="AW264" s="35" t="n"/>
      <c r="AX264" s="35" t="n"/>
      <c r="AY264" s="35" t="n"/>
      <c r="AZ264" s="35" t="n"/>
      <c r="BA264" s="40">
        <f>IF(AV150=0,0,BA150/AV150-1)</f>
        <v>0</v>
      </c>
      <c r="BB264" s="35" t="n"/>
      <c r="BC264" s="35" t="n"/>
      <c r="BD264" s="35" t="n"/>
      <c r="BE264" s="35" t="n"/>
      <c r="BF264" s="40">
        <f>IF(BA150=0,0,BF150/BA150-1)</f>
        <v>0</v>
      </c>
      <c r="BG264" s="35" t="n"/>
      <c r="BH264" s="35" t="n"/>
      <c r="BI264" s="35" t="n"/>
      <c r="BJ264" s="35" t="n"/>
      <c r="BK264" s="40">
        <f>IF(BF150=0,0,BK150/BF150-1)</f>
        <v>0</v>
      </c>
      <c r="BL264" s="35" t="n"/>
      <c r="BM264" s="35" t="n"/>
      <c r="BN264" s="35" t="n"/>
      <c r="BO264" s="35" t="n"/>
      <c r="BP264" s="40">
        <f>IF(BK150=0,0,BP150/BK150-1)</f>
        <v>0</v>
      </c>
      <c r="BQ264" s="35" t="n"/>
      <c r="BR264" s="35" t="n"/>
      <c r="BS264" s="35" t="n"/>
      <c r="BT264" s="35" t="n"/>
      <c r="BU264" s="40">
        <f>IF(BP150=0,0,BU150/BP150-1)</f>
        <v>0</v>
      </c>
      <c r="BV264" s="35" t="n"/>
      <c r="BW264" s="35" t="n"/>
      <c r="BX264" s="35" t="n"/>
      <c r="BY264" s="35" t="n"/>
      <c r="BZ264" s="40">
        <f>IF(BU150=0,0,BZ150/BU150-1)</f>
        <v>0</v>
      </c>
      <c r="CA264" s="35" t="n"/>
      <c r="CB264" s="35" t="n"/>
      <c r="CC264" s="35" t="n"/>
      <c r="CD264" s="35" t="n"/>
      <c r="CE264" s="40">
        <f>IF(BZ150=0,0,CE150/BZ150-1)</f>
        <v>0</v>
      </c>
      <c r="CF264" s="35" t="n"/>
      <c r="CG264" s="35" t="n"/>
      <c r="CH264" s="35" t="n"/>
      <c r="CI264" s="35" t="n"/>
      <c r="CJ264" s="40">
        <f>IF(CE150=0,0,CJ150/CE150-1)</f>
        <v>0</v>
      </c>
      <c r="CK264" s="35" t="n"/>
      <c r="CL264" s="35" t="n"/>
      <c r="CM264" s="35" t="n"/>
      <c r="CN264" s="35" t="n"/>
      <c r="CO264" s="40">
        <f>IF(CJ150=0,0,CO150/CJ150-1)</f>
        <v>0</v>
      </c>
      <c r="CP264" s="35" t="n"/>
      <c r="CQ264" s="35" t="n"/>
      <c r="CR264" s="35" t="n"/>
      <c r="CS264" s="35" t="n"/>
      <c r="CT264" s="40">
        <f>IF(CO150=0,0,CT150/CO150-1)</f>
        <v>0</v>
      </c>
      <c r="CU264" s="35" t="n"/>
      <c r="CV264" s="35" t="n"/>
      <c r="CW264" s="35" t="n"/>
      <c r="CX264" s="35" t="n"/>
      <c r="CY264" s="40">
        <f>IF(CT150=0,0,CY150/CT150-1)</f>
        <v>0</v>
      </c>
    </row>
    <row r="265" hidden="1" outlineLevel="1" customFormat="1" s="39">
      <c r="A265" s="19" t="n"/>
      <c r="B265" s="19" t="n"/>
      <c r="C265" s="34" t="inlineStr">
        <is>
          <t>Dividends (enter as -)</t>
        </is>
      </c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35" t="n"/>
      <c r="AI265" s="35" t="n"/>
      <c r="AJ265" s="35" t="n"/>
      <c r="AK265" s="35" t="n"/>
      <c r="AL265" s="22" t="n"/>
      <c r="AM265" s="35" t="n"/>
      <c r="AN265" s="35" t="n"/>
      <c r="AO265" s="35" t="n"/>
      <c r="AP265" s="35" t="n"/>
      <c r="AQ265" s="22" t="n"/>
      <c r="AR265" s="35" t="n"/>
      <c r="AS265" s="35" t="n"/>
      <c r="AT265" s="35" t="n"/>
      <c r="AU265" s="35" t="n"/>
      <c r="AV265" s="22" t="n"/>
      <c r="AW265" s="35" t="n"/>
      <c r="AX265" s="35" t="n"/>
      <c r="AY265" s="35" t="n"/>
      <c r="AZ265" s="35" t="n"/>
      <c r="BA265" s="22" t="n"/>
      <c r="BB265" s="35" t="n"/>
      <c r="BC265" s="35" t="n"/>
      <c r="BD265" s="35" t="n"/>
      <c r="BE265" s="35" t="n"/>
      <c r="BF265" s="22" t="n"/>
      <c r="BG265" s="35" t="n"/>
      <c r="BH265" s="35" t="n"/>
      <c r="BI265" s="35" t="n"/>
      <c r="BJ265" s="35" t="n"/>
      <c r="BK265" s="22" t="n"/>
      <c r="BL265" s="35" t="n"/>
      <c r="BM265" s="35" t="n"/>
      <c r="BN265" s="35" t="n"/>
      <c r="BO265" s="35" t="n"/>
      <c r="BP265" s="22" t="n"/>
      <c r="BQ265" s="35" t="n"/>
      <c r="BR265" s="35" t="n"/>
      <c r="BS265" s="35" t="n"/>
      <c r="BT265" s="35" t="n"/>
      <c r="BU265" s="22" t="n"/>
      <c r="BV265" s="35" t="n"/>
      <c r="BW265" s="35" t="n"/>
      <c r="BX265" s="35" t="n"/>
      <c r="BY265" s="35" t="n"/>
      <c r="BZ265" s="22" t="n"/>
      <c r="CA265" s="35" t="n"/>
      <c r="CB265" s="35" t="n"/>
      <c r="CC265" s="35" t="n"/>
      <c r="CD265" s="35" t="n"/>
      <c r="CE265" s="22" t="n"/>
      <c r="CF265" s="35" t="n"/>
      <c r="CG265" s="35" t="n"/>
      <c r="CH265" s="35" t="n"/>
      <c r="CI265" s="35" t="n"/>
      <c r="CJ265" s="22" t="n"/>
      <c r="CK265" s="35" t="n"/>
      <c r="CL265" s="35" t="n"/>
      <c r="CM265" s="35" t="n"/>
      <c r="CN265" s="35" t="n"/>
      <c r="CO265" s="22" t="n"/>
      <c r="CP265" s="35" t="n"/>
      <c r="CQ265" s="35" t="n"/>
      <c r="CR265" s="35" t="n"/>
      <c r="CS265" s="35" t="n"/>
      <c r="CT265" s="22" t="n"/>
      <c r="CU265" s="35" t="n"/>
      <c r="CV265" s="35" t="n"/>
      <c r="CW265" s="35" t="n"/>
      <c r="CX265" s="35" t="n"/>
      <c r="CY265" s="22" t="n"/>
    </row>
    <row r="266" hidden="1" outlineLevel="1" customFormat="1" s="39">
      <c r="A266" s="19" t="n"/>
      <c r="B266" s="19" t="n"/>
      <c r="C266" s="38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</row>
    <row r="267" collapsed="1">
      <c r="C267" s="26" t="inlineStr">
        <is>
          <t>Convertible Preferred Stock</t>
        </is>
      </c>
      <c r="D267" s="25" t="n"/>
      <c r="E267" s="25" t="n"/>
      <c r="F267" s="25" t="n"/>
      <c r="G267" s="25" t="n"/>
      <c r="H267" s="3">
        <f>G267</f>
        <v>0</v>
      </c>
      <c r="I267" s="25" t="n"/>
      <c r="J267" s="25" t="n"/>
      <c r="K267" s="25" t="n"/>
      <c r="L267" s="25" t="n"/>
      <c r="M267" s="3">
        <f>L267</f>
        <v>0</v>
      </c>
      <c r="N267" s="25" t="n"/>
      <c r="O267" s="25" t="n"/>
      <c r="P267" s="25" t="n"/>
      <c r="Q267" s="25" t="n"/>
      <c r="R267" s="3">
        <f>Q267</f>
        <v>0</v>
      </c>
      <c r="S267" s="25" t="n"/>
      <c r="T267" s="25" t="n"/>
      <c r="U267" s="25" t="n"/>
      <c r="V267" s="25" t="n"/>
      <c r="W267" s="3">
        <f>V267</f>
        <v>0</v>
      </c>
      <c r="X267" s="25" t="n"/>
      <c r="Y267" s="25" t="n"/>
      <c r="Z267" s="25" t="n"/>
      <c r="AA267" s="25" t="n"/>
      <c r="AB267" s="3">
        <f>AA267</f>
        <v>0</v>
      </c>
      <c r="AC267" s="25" t="n"/>
      <c r="AD267" s="25" t="n"/>
      <c r="AE267" s="25" t="n"/>
      <c r="AF267" s="25" t="n"/>
      <c r="AG267" s="3">
        <f>AF267</f>
        <v>0</v>
      </c>
      <c r="AH267" s="3">
        <f>AG267</f>
        <v>0</v>
      </c>
      <c r="AI267" s="3">
        <f>AH267</f>
        <v>0</v>
      </c>
      <c r="AJ267" s="3">
        <f>AI267</f>
        <v>0</v>
      </c>
      <c r="AK267" s="3">
        <f>AJ267</f>
        <v>0</v>
      </c>
      <c r="AL267" s="3">
        <f>AK267</f>
        <v>0</v>
      </c>
      <c r="AM267" s="3">
        <f>AL267</f>
        <v>0</v>
      </c>
      <c r="AN267" s="3">
        <f>AM267</f>
        <v>0</v>
      </c>
      <c r="AO267" s="3">
        <f>AN267</f>
        <v>0</v>
      </c>
      <c r="AP267" s="3">
        <f>AO267</f>
        <v>0</v>
      </c>
      <c r="AQ267" s="3">
        <f>AP267</f>
        <v>0</v>
      </c>
      <c r="AR267" s="3">
        <f>AQ267</f>
        <v>0</v>
      </c>
      <c r="AS267" s="3">
        <f>AR267</f>
        <v>0</v>
      </c>
      <c r="AT267" s="3">
        <f>AS267</f>
        <v>0</v>
      </c>
      <c r="AU267" s="3">
        <f>AT267</f>
        <v>0</v>
      </c>
      <c r="AV267" s="3">
        <f>AU267</f>
        <v>0</v>
      </c>
      <c r="AW267" s="3">
        <f>AV267</f>
        <v>0</v>
      </c>
      <c r="AX267" s="3">
        <f>AW267</f>
        <v>0</v>
      </c>
      <c r="AY267" s="3">
        <f>AX267</f>
        <v>0</v>
      </c>
      <c r="AZ267" s="3">
        <f>AY267</f>
        <v>0</v>
      </c>
      <c r="BA267" s="3">
        <f>AZ267</f>
        <v>0</v>
      </c>
      <c r="BB267" s="3">
        <f>BA267</f>
        <v>0</v>
      </c>
      <c r="BC267" s="3">
        <f>BB267</f>
        <v>0</v>
      </c>
      <c r="BD267" s="3">
        <f>BC267</f>
        <v>0</v>
      </c>
      <c r="BE267" s="3">
        <f>BD267</f>
        <v>0</v>
      </c>
      <c r="BF267" s="3">
        <f>BE267</f>
        <v>0</v>
      </c>
      <c r="BG267" s="3">
        <f>BF267</f>
        <v>0</v>
      </c>
      <c r="BH267" s="3">
        <f>BG267</f>
        <v>0</v>
      </c>
      <c r="BI267" s="3">
        <f>BH267</f>
        <v>0</v>
      </c>
      <c r="BJ267" s="3">
        <f>BI267</f>
        <v>0</v>
      </c>
      <c r="BK267" s="3">
        <f>BJ267</f>
        <v>0</v>
      </c>
      <c r="BL267" s="3">
        <f>BK267</f>
        <v>0</v>
      </c>
      <c r="BM267" s="3">
        <f>BL267</f>
        <v>0</v>
      </c>
      <c r="BN267" s="3">
        <f>BM267</f>
        <v>0</v>
      </c>
      <c r="BO267" s="3">
        <f>BN267</f>
        <v>0</v>
      </c>
      <c r="BP267" s="3">
        <f>BO267</f>
        <v>0</v>
      </c>
      <c r="BQ267" s="3">
        <f>BP267</f>
        <v>0</v>
      </c>
      <c r="BR267" s="3">
        <f>BQ267</f>
        <v>0</v>
      </c>
      <c r="BS267" s="3">
        <f>BR267</f>
        <v>0</v>
      </c>
      <c r="BT267" s="3">
        <f>BS267</f>
        <v>0</v>
      </c>
      <c r="BU267" s="3">
        <f>BT267</f>
        <v>0</v>
      </c>
      <c r="BV267" s="3">
        <f>BU267</f>
        <v>0</v>
      </c>
      <c r="BW267" s="3">
        <f>BV267</f>
        <v>0</v>
      </c>
      <c r="BX267" s="3">
        <f>BW267</f>
        <v>0</v>
      </c>
      <c r="BY267" s="3">
        <f>BX267</f>
        <v>0</v>
      </c>
      <c r="BZ267" s="3">
        <f>BY267</f>
        <v>0</v>
      </c>
      <c r="CA267" s="3">
        <f>BZ267</f>
        <v>0</v>
      </c>
      <c r="CB267" s="3">
        <f>CA267</f>
        <v>0</v>
      </c>
      <c r="CC267" s="3">
        <f>CB267</f>
        <v>0</v>
      </c>
      <c r="CD267" s="3">
        <f>CC267</f>
        <v>0</v>
      </c>
      <c r="CE267" s="3">
        <f>CD267</f>
        <v>0</v>
      </c>
      <c r="CF267" s="3">
        <f>CE267</f>
        <v>0</v>
      </c>
      <c r="CG267" s="3">
        <f>CF267</f>
        <v>0</v>
      </c>
      <c r="CH267" s="3">
        <f>CG267</f>
        <v>0</v>
      </c>
      <c r="CI267" s="3">
        <f>CH267</f>
        <v>0</v>
      </c>
      <c r="CJ267" s="3">
        <f>CI267</f>
        <v>0</v>
      </c>
      <c r="CK267" s="3">
        <f>CJ267</f>
        <v>0</v>
      </c>
      <c r="CL267" s="3">
        <f>CK267</f>
        <v>0</v>
      </c>
      <c r="CM267" s="3">
        <f>CL267</f>
        <v>0</v>
      </c>
      <c r="CN267" s="3">
        <f>CM267</f>
        <v>0</v>
      </c>
      <c r="CO267" s="3">
        <f>CN267</f>
        <v>0</v>
      </c>
      <c r="CP267" s="3">
        <f>CO267</f>
        <v>0</v>
      </c>
      <c r="CQ267" s="3">
        <f>CP267</f>
        <v>0</v>
      </c>
      <c r="CR267" s="3">
        <f>CQ267</f>
        <v>0</v>
      </c>
      <c r="CS267" s="3">
        <f>CR267</f>
        <v>0</v>
      </c>
      <c r="CT267" s="3">
        <f>CS267</f>
        <v>0</v>
      </c>
      <c r="CU267" s="3">
        <f>CT267</f>
        <v>0</v>
      </c>
      <c r="CV267" s="3">
        <f>CU267</f>
        <v>0</v>
      </c>
      <c r="CW267" s="3">
        <f>CV267</f>
        <v>0</v>
      </c>
      <c r="CX267" s="3">
        <f>CW267</f>
        <v>0</v>
      </c>
      <c r="CY267" s="3">
        <f>CX267</f>
        <v>0</v>
      </c>
    </row>
    <row r="268">
      <c r="C268" s="24" t="inlineStr">
        <is>
          <t>Common Stock and APIC</t>
        </is>
      </c>
      <c r="D268" s="25">
        <f>INDEX('Inputs (2)'!$D$43:$AL$43,MATCH(D$7,'Inputs (2)'!$D$2:$AL$2,0))</f>
        <v>124.445</v>
      </c>
      <c r="E268" s="25">
        <f>INDEX('Inputs (2)'!$D$43:$AL$43,MATCH(E$7,'Inputs (2)'!$D$2:$AL$2,0))</f>
        <v>154.445</v>
      </c>
      <c r="F268" s="25">
        <f>INDEX('Inputs (2)'!$D$43:$AL$43,MATCH(F$7,'Inputs (2)'!$D$2:$AL$2,0))</f>
        <v>308.652</v>
      </c>
      <c r="G268" s="25">
        <f>INDEX('Inputs (2)'!$D$43:$AL$43,MATCH(G$7,'Inputs (2)'!$D$2:$AL$2,0))</f>
        <v>308.652</v>
      </c>
      <c r="H268" s="3">
        <f>G268</f>
        <v>308.652</v>
      </c>
      <c r="I268" s="25">
        <f>INDEX('Inputs (2)'!$D$43:$AL$43,MATCH(I$7,'Inputs (2)'!$D$2:$AL$2,0))</f>
        <v>308.652</v>
      </c>
      <c r="J268" s="25">
        <f>INDEX('Inputs (2)'!$D$43:$AL$43,MATCH(J$7,'Inputs (2)'!$D$2:$AL$2,0))</f>
        <v>308.652</v>
      </c>
      <c r="K268" s="25">
        <f>INDEX('Inputs (2)'!$D$43:$AL$43,MATCH(K$7,'Inputs (2)'!$D$2:$AL$2,0))</f>
        <v>308.652</v>
      </c>
      <c r="L268" s="25">
        <f>INDEX('Inputs (2)'!$D$43:$AL$43,MATCH(L$7,'Inputs (2)'!$D$2:$AL$2,0))</f>
        <v>308.652</v>
      </c>
      <c r="M268" s="3">
        <f>L268</f>
        <v>308.652</v>
      </c>
      <c r="N268" s="25">
        <f>INDEX('Inputs (2)'!$D$43:$AL$43,MATCH(N$7,'Inputs (2)'!$D$2:$AL$2,0))</f>
        <v>308.652</v>
      </c>
      <c r="O268" s="25">
        <f>INDEX('Inputs (2)'!$D$43:$AL$43,MATCH(O$7,'Inputs (2)'!$D$2:$AL$2,0))</f>
        <v>308.652</v>
      </c>
      <c r="P268" s="25">
        <f>INDEX('Inputs (2)'!$D$43:$AL$43,MATCH(P$7,'Inputs (2)'!$D$2:$AL$2,0))</f>
        <v>308.652</v>
      </c>
      <c r="Q268" s="25">
        <f>INDEX('Inputs (2)'!$D$43:$AL$43,MATCH(Q$7,'Inputs (2)'!$D$2:$AL$2,0))</f>
        <v>308.652</v>
      </c>
      <c r="R268" s="3">
        <f>Q268</f>
        <v>308.652</v>
      </c>
      <c r="S268" s="25">
        <f>INDEX('Inputs (2)'!$D$43:$AL$43,MATCH(S$7,'Inputs (2)'!$D$2:$AL$2,0))</f>
        <v>308.652</v>
      </c>
      <c r="T268" s="25">
        <f>INDEX('Inputs (2)'!$D$43:$AL$43,MATCH(T$7,'Inputs (2)'!$D$2:$AL$2,0))</f>
        <v>308.652</v>
      </c>
      <c r="U268" s="25">
        <f>INDEX('Inputs (2)'!$D$43:$AL$43,MATCH(U$7,'Inputs (2)'!$D$2:$AL$2,0))</f>
        <v>308.652</v>
      </c>
      <c r="V268" s="25">
        <f>INDEX('Inputs (2)'!$D$43:$AL$43,MATCH(V$7,'Inputs (2)'!$D$2:$AL$2,0))</f>
        <v>308.652</v>
      </c>
      <c r="W268" s="3">
        <f>V268</f>
        <v>308.652</v>
      </c>
      <c r="X268" s="25">
        <f>INDEX('Inputs (2)'!$D$43:$AL$43,MATCH(X$7,'Inputs (2)'!$D$2:$AL$2,0))</f>
        <v>308.652</v>
      </c>
      <c r="Y268" s="25">
        <f>INDEX('Inputs (2)'!$D$43:$AL$43,MATCH(Y$7,'Inputs (2)'!$D$2:$AL$2,0))</f>
        <v>308.652</v>
      </c>
      <c r="Z268" s="25">
        <f>INDEX('Inputs (2)'!$D$43:$AL$43,MATCH(Z$7,'Inputs (2)'!$D$2:$AL$2,0))</f>
        <v>308.652</v>
      </c>
      <c r="AA268" s="25">
        <f>INDEX('Inputs (2)'!$D$43:$AL$43,MATCH(AA$7,'Inputs (2)'!$D$2:$AL$2,0))</f>
        <v>508.652</v>
      </c>
      <c r="AB268" s="3">
        <f>AA268</f>
        <v>508.652</v>
      </c>
      <c r="AC268" s="25">
        <f>INDEX('Inputs (2)'!$D$43:$AL$43,MATCH(AC$7,'Inputs (2)'!$D$2:$AL$2,0))</f>
        <v>508.652</v>
      </c>
      <c r="AD268" s="25">
        <f>INDEX('Inputs (2)'!$D$43:$AL$43,MATCH(AD$7,'Inputs (2)'!$D$2:$AL$2,0))</f>
        <v>555.734</v>
      </c>
      <c r="AE268" s="25">
        <f>INDEX('Inputs (2)'!$D$43:$AL$43,MATCH(AE$7,'Inputs (2)'!$D$2:$AL$2,0))</f>
        <v>555.734</v>
      </c>
      <c r="AF268" s="25">
        <f>INDEX('Inputs (2)'!$D$43:$AL$43,MATCH(AF$7,'Inputs (2)'!$D$2:$AL$2,0))</f>
        <v>1105.142</v>
      </c>
      <c r="AG268" s="3">
        <f>AF268</f>
        <v>1105.142</v>
      </c>
      <c r="AH268" s="3">
        <f>INDEX('Inputs (2)'!$D$43:$AL$43,MATCH(AH$7,'Inputs (2)'!$D$2:$AL$2,0))</f>
        <v>1105.142</v>
      </c>
      <c r="AI268" s="3">
        <f>INDEX('Inputs (2)'!$D$43:$AL$43,MATCH(AI$7,'Inputs (2)'!$D$2:$AL$2,0))</f>
        <v>1105.142</v>
      </c>
      <c r="AJ268" s="3">
        <f>AI268+AJ272</f>
        <v>1105.142</v>
      </c>
      <c r="AK268" s="3">
        <f>AJ268+AK272</f>
        <v>1105.142</v>
      </c>
      <c r="AL268" s="3">
        <f>AK268</f>
        <v>1105.142</v>
      </c>
      <c r="AM268" s="3">
        <f>AL268+AM272</f>
        <v>1105.142</v>
      </c>
      <c r="AN268" s="3">
        <f>AM268+AN272</f>
        <v>1105.142</v>
      </c>
      <c r="AO268" s="3">
        <f>AN268+AO272</f>
        <v>1105.142</v>
      </c>
      <c r="AP268" s="3">
        <f>AO268+AP272</f>
        <v>1105.142</v>
      </c>
      <c r="AQ268" s="3">
        <f>AP268</f>
        <v>1105.142</v>
      </c>
      <c r="AR268" s="3">
        <f>AQ268+AR272</f>
        <v>1105.142</v>
      </c>
      <c r="AS268" s="3">
        <f>AR268+AS272</f>
        <v>1105.142</v>
      </c>
      <c r="AT268" s="3">
        <f>AS268+AT272</f>
        <v>1105.142</v>
      </c>
      <c r="AU268" s="3">
        <f>AT268+AU272</f>
        <v>1105.142</v>
      </c>
      <c r="AV268" s="3">
        <f>AU268</f>
        <v>1105.142</v>
      </c>
      <c r="AW268" s="3">
        <f>AV268+AW272</f>
        <v>1105.142</v>
      </c>
      <c r="AX268" s="3">
        <f>AW268+AX272</f>
        <v>1105.142</v>
      </c>
      <c r="AY268" s="3">
        <f>AX268+AY272</f>
        <v>1105.142</v>
      </c>
      <c r="AZ268" s="3">
        <f>AY268+AZ272</f>
        <v>1105.142</v>
      </c>
      <c r="BA268" s="3">
        <f>AZ268</f>
        <v>1105.142</v>
      </c>
      <c r="BB268" s="3">
        <f>BA268+BB272</f>
        <v>1105.142</v>
      </c>
      <c r="BC268" s="3">
        <f>BB268+BC272</f>
        <v>1105.142</v>
      </c>
      <c r="BD268" s="3">
        <f>BC268+BD272</f>
        <v>1105.142</v>
      </c>
      <c r="BE268" s="3">
        <f>BD268+BE272</f>
        <v>1105.142</v>
      </c>
      <c r="BF268" s="3">
        <f>BE268</f>
        <v>1105.142</v>
      </c>
      <c r="BG268" s="3">
        <f>BF268+BG272</f>
        <v>1105.142</v>
      </c>
      <c r="BH268" s="3">
        <f>BG268+BH272</f>
        <v>1105.142</v>
      </c>
      <c r="BI268" s="3">
        <f>BH268+BI272</f>
        <v>1105.142</v>
      </c>
      <c r="BJ268" s="3">
        <f>BI268+BJ272</f>
        <v>1105.142</v>
      </c>
      <c r="BK268" s="3">
        <f>BJ268</f>
        <v>1105.142</v>
      </c>
      <c r="BL268" s="3">
        <f>BK268+BL272</f>
        <v>1105.142</v>
      </c>
      <c r="BM268" s="3">
        <f>BL268+BM272</f>
        <v>1105.142</v>
      </c>
      <c r="BN268" s="3">
        <f>BM268+BN272</f>
        <v>1105.142</v>
      </c>
      <c r="BO268" s="3">
        <f>BN268+BO272</f>
        <v>1105.142</v>
      </c>
      <c r="BP268" s="3">
        <f>BO268</f>
        <v>1105.142</v>
      </c>
      <c r="BQ268" s="3">
        <f>BP268+BQ272</f>
        <v>1105.142</v>
      </c>
      <c r="BR268" s="3">
        <f>BQ268+BR272</f>
        <v>1105.142</v>
      </c>
      <c r="BS268" s="3">
        <f>BR268+BS272</f>
        <v>1105.142</v>
      </c>
      <c r="BT268" s="3">
        <f>BS268+BT272</f>
        <v>1105.142</v>
      </c>
      <c r="BU268" s="3">
        <f>BT268</f>
        <v>1105.142</v>
      </c>
      <c r="BV268" s="3">
        <f>BU268+BV272</f>
        <v>1105.142</v>
      </c>
      <c r="BW268" s="3">
        <f>BV268+BW272</f>
        <v>1105.142</v>
      </c>
      <c r="BX268" s="3">
        <f>BW268+BX272</f>
        <v>1105.142</v>
      </c>
      <c r="BY268" s="3">
        <f>BX268+BY272</f>
        <v>1105.142</v>
      </c>
      <c r="BZ268" s="3">
        <f>BY268</f>
        <v>1105.142</v>
      </c>
      <c r="CA268" s="3">
        <f>BZ268+CA272</f>
        <v>1105.142</v>
      </c>
      <c r="CB268" s="3">
        <f>CA268+CB272</f>
        <v>1105.142</v>
      </c>
      <c r="CC268" s="3">
        <f>CB268+CC272</f>
        <v>1105.142</v>
      </c>
      <c r="CD268" s="3">
        <f>CC268+CD272</f>
        <v>1105.142</v>
      </c>
      <c r="CE268" s="3">
        <f>CD268</f>
        <v>1105.142</v>
      </c>
      <c r="CF268" s="3">
        <f>CE268+CF272</f>
        <v>1105.142</v>
      </c>
      <c r="CG268" s="3">
        <f>CF268+CG272</f>
        <v>1105.142</v>
      </c>
      <c r="CH268" s="3">
        <f>CG268+CH272</f>
        <v>1105.142</v>
      </c>
      <c r="CI268" s="3">
        <f>CH268+CI272</f>
        <v>1105.142</v>
      </c>
      <c r="CJ268" s="3">
        <f>CI268</f>
        <v>1105.142</v>
      </c>
      <c r="CK268" s="3">
        <f>CJ268+CK272</f>
        <v>1105.142</v>
      </c>
      <c r="CL268" s="3">
        <f>CK268+CL272</f>
        <v>1105.142</v>
      </c>
      <c r="CM268" s="3">
        <f>CL268+CM272</f>
        <v>1105.142</v>
      </c>
      <c r="CN268" s="3">
        <f>CM268+CN272</f>
        <v>1105.142</v>
      </c>
      <c r="CO268" s="3">
        <f>CN268</f>
        <v>1105.142</v>
      </c>
      <c r="CP268" s="3">
        <f>CO268+CP272</f>
        <v>1105.142</v>
      </c>
      <c r="CQ268" s="3">
        <f>CP268+CQ272</f>
        <v>1105.142</v>
      </c>
      <c r="CR268" s="3">
        <f>CQ268+CR272</f>
        <v>1105.142</v>
      </c>
      <c r="CS268" s="3">
        <f>CR268+CS272</f>
        <v>1105.142</v>
      </c>
      <c r="CT268" s="3">
        <f>CS268</f>
        <v>1105.142</v>
      </c>
      <c r="CU268" s="3">
        <f>CT268+CU272</f>
        <v>1105.142</v>
      </c>
      <c r="CV268" s="3">
        <f>CU268+CV272</f>
        <v>1105.142</v>
      </c>
      <c r="CW268" s="3">
        <f>CV268+CW272</f>
        <v>1105.142</v>
      </c>
      <c r="CX268" s="3">
        <f>CW268+CX272</f>
        <v>1105.142</v>
      </c>
      <c r="CY268" s="3">
        <f>CX268</f>
        <v>1105.142</v>
      </c>
    </row>
    <row r="269" hidden="1" outlineLevel="1" customFormat="1" s="39">
      <c r="A269" s="19" t="n"/>
      <c r="B269" s="19" t="n"/>
      <c r="C269" s="41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</row>
    <row r="270" hidden="1" outlineLevel="1" customFormat="1" s="39">
      <c r="A270" s="19" t="n"/>
      <c r="B270" s="19" t="n"/>
      <c r="C270" s="41" t="inlineStr">
        <is>
          <t>Diluted Shares outstanding</t>
        </is>
      </c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</row>
    <row r="271" hidden="1" outlineLevel="1" customFormat="1" s="39">
      <c r="A271" s="19" t="n"/>
      <c r="B271" s="19" t="n"/>
      <c r="C271" s="41" t="inlineStr">
        <is>
          <t>Treasury share $ repurchases</t>
        </is>
      </c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6" t="n"/>
      <c r="AI271" s="6" t="n"/>
      <c r="AJ271" s="6" t="n"/>
      <c r="AK271" s="6" t="n"/>
      <c r="AL271" s="22" t="n"/>
      <c r="AM271" s="6" t="n"/>
      <c r="AN271" s="6" t="n"/>
      <c r="AO271" s="6" t="n"/>
      <c r="AP271" s="6" t="n"/>
      <c r="AQ271" s="22" t="n"/>
      <c r="AR271" s="6" t="n"/>
      <c r="AS271" s="6" t="n"/>
      <c r="AT271" s="6" t="n"/>
      <c r="AU271" s="6" t="n"/>
      <c r="AV271" s="22" t="n"/>
      <c r="AW271" s="6" t="n"/>
      <c r="AX271" s="6" t="n"/>
      <c r="AY271" s="6" t="n"/>
      <c r="AZ271" s="6" t="n"/>
      <c r="BA271" s="22" t="n"/>
      <c r="BB271" s="6" t="n"/>
      <c r="BC271" s="6" t="n"/>
      <c r="BD271" s="6" t="n"/>
      <c r="BE271" s="6" t="n"/>
      <c r="BF271" s="22" t="n"/>
      <c r="BG271" s="6" t="n"/>
      <c r="BH271" s="6" t="n"/>
      <c r="BI271" s="6" t="n"/>
      <c r="BJ271" s="6" t="n"/>
      <c r="BK271" s="22" t="n"/>
      <c r="BL271" s="6" t="n"/>
      <c r="BM271" s="6" t="n"/>
      <c r="BN271" s="6" t="n"/>
      <c r="BO271" s="6" t="n"/>
      <c r="BP271" s="22" t="n"/>
      <c r="BQ271" s="6" t="n"/>
      <c r="BR271" s="6" t="n"/>
      <c r="BS271" s="6" t="n"/>
      <c r="BT271" s="6" t="n"/>
      <c r="BU271" s="22" t="n"/>
      <c r="BV271" s="6" t="n"/>
      <c r="BW271" s="6" t="n"/>
      <c r="BX271" s="6" t="n"/>
      <c r="BY271" s="6" t="n"/>
      <c r="BZ271" s="22" t="n"/>
      <c r="CA271" s="6" t="n"/>
      <c r="CB271" s="6" t="n"/>
      <c r="CC271" s="6" t="n"/>
      <c r="CD271" s="6" t="n"/>
      <c r="CE271" s="22" t="n"/>
      <c r="CF271" s="6" t="n"/>
      <c r="CG271" s="6" t="n"/>
      <c r="CH271" s="6" t="n"/>
      <c r="CI271" s="6" t="n"/>
      <c r="CJ271" s="22" t="n"/>
      <c r="CK271" s="6" t="n"/>
      <c r="CL271" s="6" t="n"/>
      <c r="CM271" s="6" t="n"/>
      <c r="CN271" s="6" t="n"/>
      <c r="CO271" s="22" t="n"/>
      <c r="CP271" s="6" t="n"/>
      <c r="CQ271" s="6" t="n"/>
      <c r="CR271" s="6" t="n"/>
      <c r="CS271" s="6" t="n"/>
      <c r="CT271" s="22" t="n"/>
      <c r="CU271" s="6" t="n"/>
      <c r="CV271" s="6" t="n"/>
      <c r="CW271" s="6" t="n"/>
      <c r="CX271" s="6" t="n"/>
      <c r="CY271" s="22" t="n"/>
    </row>
    <row r="272" hidden="1" outlineLevel="1" customFormat="1" s="39">
      <c r="A272" s="19" t="n"/>
      <c r="B272" s="19" t="n"/>
      <c r="C272" s="41" t="inlineStr">
        <is>
          <t>Value of shares issued</t>
        </is>
      </c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6" t="n"/>
      <c r="AI272" s="6" t="n"/>
      <c r="AJ272" s="6" t="n"/>
      <c r="AK272" s="6" t="n"/>
      <c r="AL272" s="22" t="n"/>
      <c r="AM272" s="6" t="n"/>
      <c r="AN272" s="6" t="n"/>
      <c r="AO272" s="6" t="n"/>
      <c r="AP272" s="6" t="n"/>
      <c r="AQ272" s="22" t="n"/>
      <c r="AR272" s="6" t="n"/>
      <c r="AS272" s="6" t="n"/>
      <c r="AT272" s="6" t="n"/>
      <c r="AU272" s="6" t="n"/>
      <c r="AV272" s="22" t="n"/>
      <c r="AW272" s="6" t="n"/>
      <c r="AX272" s="6" t="n"/>
      <c r="AY272" s="6" t="n"/>
      <c r="AZ272" s="6" t="n"/>
      <c r="BA272" s="22" t="n"/>
      <c r="BB272" s="6" t="n"/>
      <c r="BC272" s="6" t="n"/>
      <c r="BD272" s="6" t="n"/>
      <c r="BE272" s="6" t="n"/>
      <c r="BF272" s="22" t="n"/>
      <c r="BG272" s="6" t="n"/>
      <c r="BH272" s="6" t="n"/>
      <c r="BI272" s="6" t="n"/>
      <c r="BJ272" s="6" t="n"/>
      <c r="BK272" s="22" t="n"/>
      <c r="BL272" s="6" t="n"/>
      <c r="BM272" s="6" t="n"/>
      <c r="BN272" s="6" t="n"/>
      <c r="BO272" s="6" t="n"/>
      <c r="BP272" s="22" t="n"/>
      <c r="BQ272" s="6" t="n"/>
      <c r="BR272" s="6" t="n"/>
      <c r="BS272" s="6" t="n"/>
      <c r="BT272" s="6" t="n"/>
      <c r="BU272" s="22" t="n"/>
      <c r="BV272" s="6" t="n"/>
      <c r="BW272" s="6" t="n"/>
      <c r="BX272" s="6" t="n"/>
      <c r="BY272" s="6" t="n"/>
      <c r="BZ272" s="22" t="n"/>
      <c r="CA272" s="6" t="n"/>
      <c r="CB272" s="6" t="n"/>
      <c r="CC272" s="6" t="n"/>
      <c r="CD272" s="6" t="n"/>
      <c r="CE272" s="22" t="n"/>
      <c r="CF272" s="6" t="n"/>
      <c r="CG272" s="6" t="n"/>
      <c r="CH272" s="6" t="n"/>
      <c r="CI272" s="6" t="n"/>
      <c r="CJ272" s="22" t="n"/>
      <c r="CK272" s="6" t="n"/>
      <c r="CL272" s="6" t="n"/>
      <c r="CM272" s="6" t="n"/>
      <c r="CN272" s="6" t="n"/>
      <c r="CO272" s="22" t="n"/>
      <c r="CP272" s="6" t="n"/>
      <c r="CQ272" s="6" t="n"/>
      <c r="CR272" s="6" t="n"/>
      <c r="CS272" s="6" t="n"/>
      <c r="CT272" s="22" t="n"/>
      <c r="CU272" s="6" t="n"/>
      <c r="CV272" s="6" t="n"/>
      <c r="CW272" s="6" t="n"/>
      <c r="CX272" s="6" t="n"/>
      <c r="CY272" s="22" t="n"/>
    </row>
    <row r="273" hidden="1" outlineLevel="1" customFormat="1" s="39">
      <c r="A273" s="19" t="n"/>
      <c r="B273" s="19" t="n"/>
      <c r="C273" s="41" t="inlineStr">
        <is>
          <t>Expected average share price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51" t="n"/>
      <c r="AH273" s="42">
        <f>AG273*(1+AH274)</f>
        <v>0</v>
      </c>
      <c r="AI273" s="42">
        <f>AH273*(1+AI274)</f>
        <v>0</v>
      </c>
      <c r="AJ273" s="42">
        <f>AI273*(1+AJ274)</f>
        <v>0</v>
      </c>
      <c r="AK273" s="42">
        <f>AJ273*(1+AK274)</f>
        <v>0</v>
      </c>
      <c r="AL273" s="22" t="n"/>
      <c r="AM273" s="42">
        <f>AK273*(1+AM274)</f>
        <v>0</v>
      </c>
      <c r="AN273" s="42">
        <f>AM273*(1+AN274)</f>
        <v>0</v>
      </c>
      <c r="AO273" s="42">
        <f>AN273*(1+AO274)</f>
        <v>0</v>
      </c>
      <c r="AP273" s="42">
        <f>AO273*(1+AP274)</f>
        <v>0</v>
      </c>
      <c r="AQ273" s="22" t="n"/>
      <c r="AR273" s="42">
        <f>AP273*(1+AR274)</f>
        <v>0</v>
      </c>
      <c r="AS273" s="42">
        <f>AR273*(1+AS274)</f>
        <v>0</v>
      </c>
      <c r="AT273" s="42">
        <f>AS273*(1+AT274)</f>
        <v>0</v>
      </c>
      <c r="AU273" s="42">
        <f>AT273*(1+AU274)</f>
        <v>0</v>
      </c>
      <c r="AV273" s="22" t="n"/>
      <c r="AW273" s="42">
        <f>AU273*(1+AW274)</f>
        <v>0</v>
      </c>
      <c r="AX273" s="42">
        <f>AW273*(1+AX274)</f>
        <v>0</v>
      </c>
      <c r="AY273" s="42">
        <f>AX273*(1+AY274)</f>
        <v>0</v>
      </c>
      <c r="AZ273" s="42">
        <f>AY273*(1+AZ274)</f>
        <v>0</v>
      </c>
      <c r="BA273" s="22" t="n"/>
      <c r="BB273" s="42">
        <f>AZ273*(1+BB274)</f>
        <v>0</v>
      </c>
      <c r="BC273" s="42">
        <f>BB273*(1+BC274)</f>
        <v>0</v>
      </c>
      <c r="BD273" s="42">
        <f>BC273*(1+BD274)</f>
        <v>0</v>
      </c>
      <c r="BE273" s="42">
        <f>BD273*(1+BE274)</f>
        <v>0</v>
      </c>
      <c r="BF273" s="22" t="n"/>
      <c r="BG273" s="42">
        <f>BE273*(1+BG274)</f>
        <v>0</v>
      </c>
      <c r="BH273" s="42">
        <f>BG273*(1+BH274)</f>
        <v>0</v>
      </c>
      <c r="BI273" s="42">
        <f>BH273*(1+BI274)</f>
        <v>0</v>
      </c>
      <c r="BJ273" s="42">
        <f>BI273*(1+BJ274)</f>
        <v>0</v>
      </c>
      <c r="BK273" s="22" t="n"/>
      <c r="BL273" s="42">
        <f>BJ273*(1+BL274)</f>
        <v>0</v>
      </c>
      <c r="BM273" s="42">
        <f>BL273*(1+BM274)</f>
        <v>0</v>
      </c>
      <c r="BN273" s="42">
        <f>BM273*(1+BN274)</f>
        <v>0</v>
      </c>
      <c r="BO273" s="42">
        <f>BN273*(1+BO274)</f>
        <v>0</v>
      </c>
      <c r="BP273" s="22" t="n"/>
      <c r="BQ273" s="42">
        <f>BO273*(1+BQ274)</f>
        <v>0</v>
      </c>
      <c r="BR273" s="42">
        <f>BQ273*(1+BR274)</f>
        <v>0</v>
      </c>
      <c r="BS273" s="42">
        <f>BR273*(1+BS274)</f>
        <v>0</v>
      </c>
      <c r="BT273" s="42">
        <f>BS273*(1+BT274)</f>
        <v>0</v>
      </c>
      <c r="BU273" s="22" t="n"/>
      <c r="BV273" s="42">
        <f>BT273*(1+BV274)</f>
        <v>0</v>
      </c>
      <c r="BW273" s="42">
        <f>BV273*(1+BW274)</f>
        <v>0</v>
      </c>
      <c r="BX273" s="42">
        <f>BW273*(1+BX274)</f>
        <v>0</v>
      </c>
      <c r="BY273" s="42">
        <f>BX273*(1+BY274)</f>
        <v>0</v>
      </c>
      <c r="BZ273" s="22" t="n"/>
      <c r="CA273" s="42">
        <f>BY273*(1+CA274)</f>
        <v>0</v>
      </c>
      <c r="CB273" s="42">
        <f>CA273*(1+CB274)</f>
        <v>0</v>
      </c>
      <c r="CC273" s="42">
        <f>CB273*(1+CC274)</f>
        <v>0</v>
      </c>
      <c r="CD273" s="42">
        <f>CC273*(1+CD274)</f>
        <v>0</v>
      </c>
      <c r="CE273" s="22" t="n"/>
      <c r="CF273" s="42">
        <f>CD273*(1+CF274)</f>
        <v>0</v>
      </c>
      <c r="CG273" s="42">
        <f>CF273*(1+CG274)</f>
        <v>0</v>
      </c>
      <c r="CH273" s="42">
        <f>CG273*(1+CH274)</f>
        <v>0</v>
      </c>
      <c r="CI273" s="42">
        <f>CH273*(1+CI274)</f>
        <v>0</v>
      </c>
      <c r="CJ273" s="22" t="n"/>
      <c r="CK273" s="42">
        <f>CI273*(1+CK274)</f>
        <v>0</v>
      </c>
      <c r="CL273" s="42">
        <f>CK273*(1+CL274)</f>
        <v>0</v>
      </c>
      <c r="CM273" s="42">
        <f>CL273*(1+CM274)</f>
        <v>0</v>
      </c>
      <c r="CN273" s="42">
        <f>CM273*(1+CN274)</f>
        <v>0</v>
      </c>
      <c r="CO273" s="22" t="n"/>
      <c r="CP273" s="42">
        <f>CN273*(1+CP274)</f>
        <v>0</v>
      </c>
      <c r="CQ273" s="42">
        <f>CP273*(1+CQ274)</f>
        <v>0</v>
      </c>
      <c r="CR273" s="42">
        <f>CQ273*(1+CR274)</f>
        <v>0</v>
      </c>
      <c r="CS273" s="42">
        <f>CR273*(1+CS274)</f>
        <v>0</v>
      </c>
      <c r="CT273" s="22" t="n"/>
      <c r="CU273" s="42">
        <f>CS273*(1+CU274)</f>
        <v>0</v>
      </c>
      <c r="CV273" s="42">
        <f>CU273*(1+CV274)</f>
        <v>0</v>
      </c>
      <c r="CW273" s="42">
        <f>CV273*(1+CW274)</f>
        <v>0</v>
      </c>
      <c r="CX273" s="42">
        <f>CW273*(1+CX274)</f>
        <v>0</v>
      </c>
      <c r="CY273" s="22" t="n"/>
      <c r="CZ273">
        <f>CX273*(1+CZ274)</f>
        <v>0</v>
      </c>
      <c r="DA273">
        <f>CZ273*(1+DA274)</f>
        <v>0</v>
      </c>
      <c r="DB273">
        <f>DA273*(1+DB274)</f>
        <v>0</v>
      </c>
      <c r="DC273">
        <f>DB273*(1+DC274)</f>
        <v>0</v>
      </c>
    </row>
    <row r="274" hidden="1" outlineLevel="1" customFormat="1" s="39">
      <c r="A274" s="19" t="n"/>
      <c r="B274" s="19" t="n"/>
      <c r="C274" s="41" t="inlineStr">
        <is>
          <t>Consensus EPS growth</t>
        </is>
      </c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40">
        <f>$AL$279</f>
        <v>0</v>
      </c>
      <c r="AI274" s="40">
        <f>$AL$279</f>
        <v>0</v>
      </c>
      <c r="AJ274" s="40">
        <f>$AL$279</f>
        <v>0</v>
      </c>
      <c r="AK274" s="40">
        <f>$AL$279</f>
        <v>0</v>
      </c>
      <c r="AL274" s="22" t="n"/>
      <c r="AM274" s="40">
        <f>$AL$279</f>
        <v>0</v>
      </c>
      <c r="AN274" s="40">
        <f>$AL$279</f>
        <v>0</v>
      </c>
      <c r="AO274" s="40">
        <f>$AL$279</f>
        <v>0</v>
      </c>
      <c r="AP274" s="40">
        <f>$AL$279</f>
        <v>0</v>
      </c>
      <c r="AQ274" s="22" t="n"/>
      <c r="AR274" s="40">
        <f>$AL$279</f>
        <v>0</v>
      </c>
      <c r="AS274" s="40">
        <f>$AL$279</f>
        <v>0</v>
      </c>
      <c r="AT274" s="40">
        <f>$AL$279</f>
        <v>0</v>
      </c>
      <c r="AU274" s="40">
        <f>$AL$279</f>
        <v>0</v>
      </c>
      <c r="AV274" s="22" t="n"/>
      <c r="AW274" s="40">
        <f>$AL$279</f>
        <v>0</v>
      </c>
      <c r="AX274" s="40">
        <f>$AL$279</f>
        <v>0</v>
      </c>
      <c r="AY274" s="40">
        <f>$AL$279</f>
        <v>0</v>
      </c>
      <c r="AZ274" s="40">
        <f>$AL$279</f>
        <v>0</v>
      </c>
      <c r="BA274" s="22" t="n"/>
      <c r="BB274" s="40">
        <f>$AL$279</f>
        <v>0</v>
      </c>
      <c r="BC274" s="40">
        <f>$AL$279</f>
        <v>0</v>
      </c>
      <c r="BD274" s="40">
        <f>$AL$279</f>
        <v>0</v>
      </c>
      <c r="BE274" s="40">
        <f>$AL$279</f>
        <v>0</v>
      </c>
      <c r="BF274" s="22" t="n"/>
      <c r="BG274" s="40">
        <f>$AL$279</f>
        <v>0</v>
      </c>
      <c r="BH274" s="40">
        <f>$AL$279</f>
        <v>0</v>
      </c>
      <c r="BI274" s="40">
        <f>$AL$279</f>
        <v>0</v>
      </c>
      <c r="BJ274" s="40">
        <f>$AL$279</f>
        <v>0</v>
      </c>
      <c r="BK274" s="22" t="n"/>
      <c r="BL274" s="40">
        <f>$AL$279</f>
        <v>0</v>
      </c>
      <c r="BM274" s="40">
        <f>$AL$279</f>
        <v>0</v>
      </c>
      <c r="BN274" s="40">
        <f>$AL$279</f>
        <v>0</v>
      </c>
      <c r="BO274" s="40">
        <f>$AL$279</f>
        <v>0</v>
      </c>
      <c r="BP274" s="22" t="n"/>
      <c r="BQ274" s="40">
        <f>$AL$279</f>
        <v>0</v>
      </c>
      <c r="BR274" s="40">
        <f>$AL$279</f>
        <v>0</v>
      </c>
      <c r="BS274" s="40">
        <f>$AL$279</f>
        <v>0</v>
      </c>
      <c r="BT274" s="40">
        <f>$AL$279</f>
        <v>0</v>
      </c>
      <c r="BU274" s="22" t="n"/>
      <c r="BV274" s="40">
        <f>$AL$279</f>
        <v>0</v>
      </c>
      <c r="BW274" s="40">
        <f>$AL$279</f>
        <v>0</v>
      </c>
      <c r="BX274" s="40">
        <f>$AL$279</f>
        <v>0</v>
      </c>
      <c r="BY274" s="40">
        <f>$AL$279</f>
        <v>0</v>
      </c>
      <c r="BZ274" s="22" t="n"/>
      <c r="CA274" s="40">
        <f>$AL$279</f>
        <v>0</v>
      </c>
      <c r="CB274" s="40">
        <f>$AL$279</f>
        <v>0</v>
      </c>
      <c r="CC274" s="40">
        <f>$AL$279</f>
        <v>0</v>
      </c>
      <c r="CD274" s="40">
        <f>$AL$279</f>
        <v>0</v>
      </c>
      <c r="CE274" s="22" t="n"/>
      <c r="CF274" s="40">
        <f>$AL$279</f>
        <v>0</v>
      </c>
      <c r="CG274" s="40">
        <f>$AL$279</f>
        <v>0</v>
      </c>
      <c r="CH274" s="40">
        <f>$AL$279</f>
        <v>0</v>
      </c>
      <c r="CI274" s="40">
        <f>$AL$279</f>
        <v>0</v>
      </c>
      <c r="CJ274" s="22" t="n"/>
      <c r="CK274" s="40">
        <f>$AL$279</f>
        <v>0</v>
      </c>
      <c r="CL274" s="40">
        <f>$AL$279</f>
        <v>0</v>
      </c>
      <c r="CM274" s="40">
        <f>$AL$279</f>
        <v>0</v>
      </c>
      <c r="CN274" s="40">
        <f>$AL$279</f>
        <v>0</v>
      </c>
      <c r="CO274" s="22" t="n"/>
      <c r="CP274" s="40">
        <f>$AL$279</f>
        <v>0</v>
      </c>
      <c r="CQ274" s="40">
        <f>$AL$279</f>
        <v>0</v>
      </c>
      <c r="CR274" s="40">
        <f>$AL$279</f>
        <v>0</v>
      </c>
      <c r="CS274" s="40">
        <f>$AL$279</f>
        <v>0</v>
      </c>
      <c r="CT274" s="22" t="n"/>
      <c r="CU274" s="40">
        <f>$AL$279</f>
        <v>0</v>
      </c>
      <c r="CV274" s="40">
        <f>$AL$279</f>
        <v>0</v>
      </c>
      <c r="CW274" s="40">
        <f>$AL$279</f>
        <v>0</v>
      </c>
      <c r="CX274" s="40">
        <f>$AL$279</f>
        <v>0</v>
      </c>
      <c r="CY274" s="22" t="n"/>
    </row>
    <row r="275" hidden="1" outlineLevel="1" customFormat="1" s="39">
      <c r="A275" s="19" t="n"/>
      <c r="B275" s="19" t="n"/>
      <c r="C275" s="41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3" t="n"/>
      <c r="AI275" s="3" t="n"/>
      <c r="AJ275" s="3" t="n"/>
      <c r="AK275" s="3" t="n"/>
      <c r="AL275" s="22" t="n"/>
      <c r="AM275" s="3" t="n"/>
      <c r="AN275" s="3" t="n"/>
      <c r="AO275" s="3" t="n"/>
      <c r="AP275" s="3" t="n"/>
      <c r="AQ275" s="22" t="n"/>
      <c r="AR275" s="3" t="n"/>
      <c r="AS275" s="3" t="n"/>
      <c r="AT275" s="3" t="n"/>
      <c r="AU275" s="3" t="n"/>
      <c r="AV275" s="22" t="n"/>
      <c r="AW275" s="3" t="n"/>
      <c r="AX275" s="3" t="n"/>
      <c r="AY275" s="3" t="n"/>
      <c r="AZ275" s="3" t="n"/>
      <c r="BA275" s="22" t="n"/>
      <c r="BB275" s="3" t="n"/>
      <c r="BC275" s="3" t="n"/>
      <c r="BD275" s="3" t="n"/>
      <c r="BE275" s="3" t="n"/>
      <c r="BF275" s="22" t="n"/>
      <c r="BG275" s="3" t="n"/>
      <c r="BH275" s="3" t="n"/>
      <c r="BI275" s="3" t="n"/>
      <c r="BJ275" s="3" t="n"/>
      <c r="BK275" s="22" t="n"/>
      <c r="BL275" s="3" t="n"/>
      <c r="BM275" s="3" t="n"/>
      <c r="BN275" s="3" t="n"/>
      <c r="BO275" s="3" t="n"/>
      <c r="BP275" s="22" t="n"/>
      <c r="BQ275" s="3" t="n"/>
      <c r="BR275" s="3" t="n"/>
      <c r="BS275" s="3" t="n"/>
      <c r="BT275" s="3" t="n"/>
      <c r="BU275" s="22" t="n"/>
      <c r="BV275" s="3" t="n"/>
      <c r="BW275" s="3" t="n"/>
      <c r="BX275" s="3" t="n"/>
      <c r="BY275" s="3" t="n"/>
      <c r="BZ275" s="22" t="n"/>
      <c r="CA275" s="3" t="n"/>
      <c r="CB275" s="3" t="n"/>
      <c r="CC275" s="3" t="n"/>
      <c r="CD275" s="3" t="n"/>
      <c r="CE275" s="22" t="n"/>
      <c r="CF275" s="3" t="n"/>
      <c r="CG275" s="3" t="n"/>
      <c r="CH275" s="3" t="n"/>
      <c r="CI275" s="3" t="n"/>
      <c r="CJ275" s="22" t="n"/>
      <c r="CK275" s="3" t="n"/>
      <c r="CL275" s="3" t="n"/>
      <c r="CM275" s="3" t="n"/>
      <c r="CN275" s="3" t="n"/>
      <c r="CO275" s="22" t="n"/>
      <c r="CP275" s="3" t="n"/>
      <c r="CQ275" s="3" t="n"/>
      <c r="CR275" s="3" t="n"/>
      <c r="CS275" s="3" t="n"/>
      <c r="CT275" s="22" t="n"/>
      <c r="CU275" s="3" t="n"/>
      <c r="CV275" s="3" t="n"/>
      <c r="CW275" s="3" t="n"/>
      <c r="CX275" s="3" t="n"/>
      <c r="CY275" s="22" t="n"/>
    </row>
    <row r="276" hidden="1" outlineLevel="1" customFormat="1" s="39">
      <c r="A276" s="19" t="n"/>
      <c r="B276" s="19" t="n"/>
      <c r="C276" s="41" t="inlineStr">
        <is>
          <t>Shares repurchased</t>
        </is>
      </c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43" t="n"/>
      <c r="AI276" s="43" t="n"/>
      <c r="AJ276" s="43" t="e">
        <f>-AJ271/AJ273</f>
        <v>#DIV/0!</v>
      </c>
      <c r="AK276" s="43" t="e">
        <f>-AK271/AK273</f>
        <v>#DIV/0!</v>
      </c>
      <c r="AL276" s="22" t="n"/>
      <c r="AM276" s="43" t="e">
        <f>-AM271/AM273</f>
        <v>#DIV/0!</v>
      </c>
      <c r="AN276" s="43" t="e">
        <f>-AN271/AN273</f>
        <v>#DIV/0!</v>
      </c>
      <c r="AO276" s="43" t="e">
        <f>-AO271/AO273</f>
        <v>#DIV/0!</v>
      </c>
      <c r="AP276" s="43" t="e">
        <f>-AP271/AP273</f>
        <v>#DIV/0!</v>
      </c>
      <c r="AQ276" s="22" t="n"/>
      <c r="AR276" s="43" t="e">
        <f>-AR271/AR273</f>
        <v>#DIV/0!</v>
      </c>
      <c r="AS276" s="43" t="e">
        <f>-AS271/AS273</f>
        <v>#DIV/0!</v>
      </c>
      <c r="AT276" s="43" t="e">
        <f>-AT271/AT273</f>
        <v>#DIV/0!</v>
      </c>
      <c r="AU276" s="43" t="e">
        <f>-AU271/AU273</f>
        <v>#DIV/0!</v>
      </c>
      <c r="AV276" s="22" t="n"/>
      <c r="AW276" s="43" t="e">
        <f>-AW271/AW273</f>
        <v>#DIV/0!</v>
      </c>
      <c r="AX276" s="43" t="e">
        <f>-AX271/AX273</f>
        <v>#DIV/0!</v>
      </c>
      <c r="AY276" s="43" t="e">
        <f>-AY271/AY273</f>
        <v>#DIV/0!</v>
      </c>
      <c r="AZ276" s="43" t="e">
        <f>-AZ271/AZ273</f>
        <v>#DIV/0!</v>
      </c>
      <c r="BA276" s="22" t="n"/>
      <c r="BB276" s="43" t="e">
        <f>-BB271/BB273</f>
        <v>#DIV/0!</v>
      </c>
      <c r="BC276" s="43" t="e">
        <f>-BC271/BC273</f>
        <v>#DIV/0!</v>
      </c>
      <c r="BD276" s="43" t="e">
        <f>-BD271/BD273</f>
        <v>#DIV/0!</v>
      </c>
      <c r="BE276" s="43" t="e">
        <f>-BE271/BE273</f>
        <v>#DIV/0!</v>
      </c>
      <c r="BF276" s="22" t="n"/>
      <c r="BG276" s="43" t="e">
        <f>-BG271/BG273</f>
        <v>#DIV/0!</v>
      </c>
      <c r="BH276" s="43" t="e">
        <f>-BH271/BH273</f>
        <v>#DIV/0!</v>
      </c>
      <c r="BI276" s="43" t="e">
        <f>-BI271/BI273</f>
        <v>#DIV/0!</v>
      </c>
      <c r="BJ276" s="43" t="e">
        <f>-BJ271/BJ273</f>
        <v>#DIV/0!</v>
      </c>
      <c r="BK276" s="22" t="n"/>
      <c r="BL276" s="43" t="e">
        <f>-BL271/BL273</f>
        <v>#DIV/0!</v>
      </c>
      <c r="BM276" s="43" t="e">
        <f>-BM271/BM273</f>
        <v>#DIV/0!</v>
      </c>
      <c r="BN276" s="43" t="e">
        <f>-BN271/BN273</f>
        <v>#DIV/0!</v>
      </c>
      <c r="BO276" s="43" t="e">
        <f>-BO271/BO273</f>
        <v>#DIV/0!</v>
      </c>
      <c r="BP276" s="22" t="n"/>
      <c r="BQ276" s="43" t="e">
        <f>-BQ271/BQ273</f>
        <v>#DIV/0!</v>
      </c>
      <c r="BR276" s="43" t="e">
        <f>-BR271/BR273</f>
        <v>#DIV/0!</v>
      </c>
      <c r="BS276" s="43" t="e">
        <f>-BS271/BS273</f>
        <v>#DIV/0!</v>
      </c>
      <c r="BT276" s="43" t="e">
        <f>-BT271/BT273</f>
        <v>#DIV/0!</v>
      </c>
      <c r="BU276" s="22" t="n"/>
      <c r="BV276" s="43" t="e">
        <f>-BV271/BV273</f>
        <v>#DIV/0!</v>
      </c>
      <c r="BW276" s="43" t="e">
        <f>-BW271/BW273</f>
        <v>#DIV/0!</v>
      </c>
      <c r="BX276" s="43" t="e">
        <f>-BX271/BX273</f>
        <v>#DIV/0!</v>
      </c>
      <c r="BY276" s="43" t="e">
        <f>-BY271/BY273</f>
        <v>#DIV/0!</v>
      </c>
      <c r="BZ276" s="22" t="n"/>
      <c r="CA276" s="43" t="e">
        <f>-CA271/CA273</f>
        <v>#DIV/0!</v>
      </c>
      <c r="CB276" s="43" t="e">
        <f>-CB271/CB273</f>
        <v>#DIV/0!</v>
      </c>
      <c r="CC276" s="43" t="e">
        <f>-CC271/CC273</f>
        <v>#DIV/0!</v>
      </c>
      <c r="CD276" s="43" t="e">
        <f>-CD271/CD273</f>
        <v>#DIV/0!</v>
      </c>
      <c r="CE276" s="22" t="n"/>
      <c r="CF276" s="43" t="e">
        <f>-CF271/CF273</f>
        <v>#DIV/0!</v>
      </c>
      <c r="CG276" s="43" t="e">
        <f>-CG271/CG273</f>
        <v>#DIV/0!</v>
      </c>
      <c r="CH276" s="43" t="e">
        <f>-CH271/CH273</f>
        <v>#DIV/0!</v>
      </c>
      <c r="CI276" s="43" t="e">
        <f>-CI271/CI273</f>
        <v>#DIV/0!</v>
      </c>
      <c r="CJ276" s="22" t="n"/>
      <c r="CK276" s="43" t="e">
        <f>-CK271/CK273</f>
        <v>#DIV/0!</v>
      </c>
      <c r="CL276" s="43" t="e">
        <f>-CL271/CL273</f>
        <v>#DIV/0!</v>
      </c>
      <c r="CM276" s="43" t="e">
        <f>-CM271/CM273</f>
        <v>#DIV/0!</v>
      </c>
      <c r="CN276" s="43" t="e">
        <f>-CN271/CN273</f>
        <v>#DIV/0!</v>
      </c>
      <c r="CO276" s="22" t="n"/>
      <c r="CP276" s="43" t="e">
        <f>-CP271/CP273</f>
        <v>#DIV/0!</v>
      </c>
      <c r="CQ276" s="43" t="e">
        <f>-CQ271/CQ273</f>
        <v>#DIV/0!</v>
      </c>
      <c r="CR276" s="43" t="e">
        <f>-CR271/CR273</f>
        <v>#DIV/0!</v>
      </c>
      <c r="CS276" s="43" t="e">
        <f>-CS271/CS273</f>
        <v>#DIV/0!</v>
      </c>
      <c r="CT276" s="22" t="n"/>
      <c r="CU276" s="43" t="e">
        <f>-CU271/CU273</f>
        <v>#DIV/0!</v>
      </c>
      <c r="CV276" s="43" t="e">
        <f>-CV271/CV273</f>
        <v>#DIV/0!</v>
      </c>
      <c r="CW276" s="43" t="e">
        <f>-CW271/CW273</f>
        <v>#DIV/0!</v>
      </c>
      <c r="CX276" s="43" t="e">
        <f>-CX271/CX273</f>
        <v>#DIV/0!</v>
      </c>
      <c r="CY276" s="22" t="n"/>
    </row>
    <row r="277" hidden="1" outlineLevel="1" customFormat="1" s="39">
      <c r="A277" s="19" t="n"/>
      <c r="B277" s="19" t="n"/>
      <c r="C277" s="41" t="inlineStr">
        <is>
          <t>Shares issued</t>
        </is>
      </c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46" t="n"/>
      <c r="AG277" s="22" t="n"/>
      <c r="AH277" s="43" t="n"/>
      <c r="AI277" s="43" t="n"/>
      <c r="AJ277" s="43" t="e">
        <f>AJ272/AJ273</f>
        <v>#DIV/0!</v>
      </c>
      <c r="AK277" s="43" t="e">
        <f>AK272/AK273</f>
        <v>#DIV/0!</v>
      </c>
      <c r="AL277" s="22" t="n"/>
      <c r="AM277" s="43" t="e">
        <f>AM272/AM273</f>
        <v>#DIV/0!</v>
      </c>
      <c r="AN277" s="43" t="e">
        <f>AN272/AN273</f>
        <v>#DIV/0!</v>
      </c>
      <c r="AO277" s="43" t="e">
        <f>AO272/AO273</f>
        <v>#DIV/0!</v>
      </c>
      <c r="AP277" s="43" t="e">
        <f>AP272/AP273</f>
        <v>#DIV/0!</v>
      </c>
      <c r="AQ277" s="22" t="n"/>
      <c r="AR277" s="43" t="e">
        <f>AR272/AR273</f>
        <v>#DIV/0!</v>
      </c>
      <c r="AS277" s="43" t="e">
        <f>AS272/AS273</f>
        <v>#DIV/0!</v>
      </c>
      <c r="AT277" s="43" t="e">
        <f>AT272/AT273</f>
        <v>#DIV/0!</v>
      </c>
      <c r="AU277" s="43" t="e">
        <f>AU272/AU273</f>
        <v>#DIV/0!</v>
      </c>
      <c r="AV277" s="22" t="n"/>
      <c r="AW277" s="43" t="e">
        <f>AW272/AW273</f>
        <v>#DIV/0!</v>
      </c>
      <c r="AX277" s="43" t="e">
        <f>AX272/AX273</f>
        <v>#DIV/0!</v>
      </c>
      <c r="AY277" s="43" t="e">
        <f>AY272/AY273</f>
        <v>#DIV/0!</v>
      </c>
      <c r="AZ277" s="43" t="e">
        <f>AZ272/AZ273</f>
        <v>#DIV/0!</v>
      </c>
      <c r="BA277" s="22" t="n"/>
      <c r="BB277" s="43" t="e">
        <f>BB272/BB273</f>
        <v>#DIV/0!</v>
      </c>
      <c r="BC277" s="43" t="e">
        <f>BC272/BC273</f>
        <v>#DIV/0!</v>
      </c>
      <c r="BD277" s="43" t="e">
        <f>BD272/BD273</f>
        <v>#DIV/0!</v>
      </c>
      <c r="BE277" s="43" t="e">
        <f>BE272/BE273</f>
        <v>#DIV/0!</v>
      </c>
      <c r="BF277" s="22" t="n"/>
      <c r="BG277" s="43" t="e">
        <f>BG272/BG273</f>
        <v>#DIV/0!</v>
      </c>
      <c r="BH277" s="43" t="e">
        <f>BH272/BH273</f>
        <v>#DIV/0!</v>
      </c>
      <c r="BI277" s="43" t="e">
        <f>BI272/BI273</f>
        <v>#DIV/0!</v>
      </c>
      <c r="BJ277" s="43" t="e">
        <f>BJ272/BJ273</f>
        <v>#DIV/0!</v>
      </c>
      <c r="BK277" s="22" t="n"/>
      <c r="BL277" s="43" t="e">
        <f>BL272/BL273</f>
        <v>#DIV/0!</v>
      </c>
      <c r="BM277" s="43" t="e">
        <f>BM272/BM273</f>
        <v>#DIV/0!</v>
      </c>
      <c r="BN277" s="43" t="e">
        <f>BN272/BN273</f>
        <v>#DIV/0!</v>
      </c>
      <c r="BO277" s="43" t="e">
        <f>BO272/BO273</f>
        <v>#DIV/0!</v>
      </c>
      <c r="BP277" s="22" t="n"/>
      <c r="BQ277" s="43" t="e">
        <f>BQ272/BQ273</f>
        <v>#DIV/0!</v>
      </c>
      <c r="BR277" s="43" t="e">
        <f>BR272/BR273</f>
        <v>#DIV/0!</v>
      </c>
      <c r="BS277" s="43" t="e">
        <f>BS272/BS273</f>
        <v>#DIV/0!</v>
      </c>
      <c r="BT277" s="43" t="e">
        <f>BT272/BT273</f>
        <v>#DIV/0!</v>
      </c>
      <c r="BU277" s="22" t="n"/>
      <c r="BV277" s="43" t="e">
        <f>BV272/BV273</f>
        <v>#DIV/0!</v>
      </c>
      <c r="BW277" s="43" t="e">
        <f>BW272/BW273</f>
        <v>#DIV/0!</v>
      </c>
      <c r="BX277" s="43" t="e">
        <f>BX272/BX273</f>
        <v>#DIV/0!</v>
      </c>
      <c r="BY277" s="43" t="e">
        <f>BY272/BY273</f>
        <v>#DIV/0!</v>
      </c>
      <c r="BZ277" s="22" t="n"/>
      <c r="CA277" s="43" t="e">
        <f>CA272/CA273</f>
        <v>#DIV/0!</v>
      </c>
      <c r="CB277" s="43" t="e">
        <f>CB272/CB273</f>
        <v>#DIV/0!</v>
      </c>
      <c r="CC277" s="43" t="e">
        <f>CC272/CC273</f>
        <v>#DIV/0!</v>
      </c>
      <c r="CD277" s="43" t="e">
        <f>CD272/CD273</f>
        <v>#DIV/0!</v>
      </c>
      <c r="CE277" s="22" t="n"/>
      <c r="CF277" s="43" t="e">
        <f>CF272/CF273</f>
        <v>#DIV/0!</v>
      </c>
      <c r="CG277" s="43" t="e">
        <f>CG272/CG273</f>
        <v>#DIV/0!</v>
      </c>
      <c r="CH277" s="43" t="e">
        <f>CH272/CH273</f>
        <v>#DIV/0!</v>
      </c>
      <c r="CI277" s="43" t="e">
        <f>CI272/CI273</f>
        <v>#DIV/0!</v>
      </c>
      <c r="CJ277" s="22" t="n"/>
      <c r="CK277" s="43" t="e">
        <f>CK272/CK273</f>
        <v>#DIV/0!</v>
      </c>
      <c r="CL277" s="43" t="e">
        <f>CL272/CL273</f>
        <v>#DIV/0!</v>
      </c>
      <c r="CM277" s="43" t="e">
        <f>CM272/CM273</f>
        <v>#DIV/0!</v>
      </c>
      <c r="CN277" s="43" t="e">
        <f>CN272/CN273</f>
        <v>#DIV/0!</v>
      </c>
      <c r="CO277" s="22" t="n"/>
      <c r="CP277" s="43" t="e">
        <f>CP272/CP273</f>
        <v>#DIV/0!</v>
      </c>
      <c r="CQ277" s="43" t="e">
        <f>CQ272/CQ273</f>
        <v>#DIV/0!</v>
      </c>
      <c r="CR277" s="43" t="e">
        <f>CR272/CR273</f>
        <v>#DIV/0!</v>
      </c>
      <c r="CS277" s="43" t="e">
        <f>CS272/CS273</f>
        <v>#DIV/0!</v>
      </c>
      <c r="CT277" s="22" t="n"/>
      <c r="CU277" s="43" t="e">
        <f>CU272/CU273</f>
        <v>#DIV/0!</v>
      </c>
      <c r="CV277" s="43" t="e">
        <f>CV272/CV273</f>
        <v>#DIV/0!</v>
      </c>
      <c r="CW277" s="43" t="e">
        <f>CW272/CW273</f>
        <v>#DIV/0!</v>
      </c>
      <c r="CX277" s="43" t="e">
        <f>CX272/CX273</f>
        <v>#DIV/0!</v>
      </c>
      <c r="CY277" s="22" t="n"/>
    </row>
    <row r="278" hidden="1" outlineLevel="1" customFormat="1" s="39">
      <c r="A278" s="19" t="n"/>
      <c r="B278" s="19" t="n"/>
      <c r="C278" s="41" t="inlineStr">
        <is>
          <t>End of period basic shares outstanding</t>
        </is>
      </c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51" t="n"/>
      <c r="AH278" s="1">
        <f>AG278+AH277-AH276</f>
        <v>0</v>
      </c>
      <c r="AI278" s="1">
        <f>AH278+AI277-AI276</f>
        <v>0</v>
      </c>
      <c r="AJ278" s="43" t="e">
        <f>AI278+AJ277-AJ276</f>
        <v>#DIV/0!</v>
      </c>
      <c r="AK278" s="43" t="e">
        <f>AJ278+AK277-AK276</f>
        <v>#DIV/0!</v>
      </c>
      <c r="AL278" s="22" t="n"/>
      <c r="AM278" s="1" t="e">
        <f>AK278+AM277-AM276</f>
        <v>#DIV/0!</v>
      </c>
      <c r="AN278" s="1" t="e">
        <f>AM278+AN277-AN276</f>
        <v>#DIV/0!</v>
      </c>
      <c r="AO278" s="43" t="e">
        <f>AN278+AO277-AO276</f>
        <v>#DIV/0!</v>
      </c>
      <c r="AP278" s="43" t="e">
        <f>AO278+AP277-AP276</f>
        <v>#DIV/0!</v>
      </c>
      <c r="AQ278" s="22" t="n"/>
      <c r="AR278" s="1" t="e">
        <f>AP278+AR277-AR276</f>
        <v>#DIV/0!</v>
      </c>
      <c r="AS278" s="1" t="e">
        <f>AR278+AS277-AS276</f>
        <v>#DIV/0!</v>
      </c>
      <c r="AT278" s="43" t="e">
        <f>AS278+AT277-AT276</f>
        <v>#DIV/0!</v>
      </c>
      <c r="AU278" s="43" t="e">
        <f>AT278+AU277-AU276</f>
        <v>#DIV/0!</v>
      </c>
      <c r="AV278" s="22" t="n"/>
      <c r="AW278" s="1" t="e">
        <f>AU278+AW277-AW276</f>
        <v>#DIV/0!</v>
      </c>
      <c r="AX278" s="1" t="e">
        <f>AW278+AX277-AX276</f>
        <v>#DIV/0!</v>
      </c>
      <c r="AY278" s="43" t="e">
        <f>AX278+AY277-AY276</f>
        <v>#DIV/0!</v>
      </c>
      <c r="AZ278" s="43" t="e">
        <f>AY278+AZ277-AZ276</f>
        <v>#DIV/0!</v>
      </c>
      <c r="BA278" s="22" t="n"/>
      <c r="BB278" s="1" t="e">
        <f>AZ278+BB277-BB276</f>
        <v>#DIV/0!</v>
      </c>
      <c r="BC278" s="1" t="e">
        <f>BB278+BC277-BC276</f>
        <v>#DIV/0!</v>
      </c>
      <c r="BD278" s="43" t="e">
        <f>BC278+BD277-BD276</f>
        <v>#DIV/0!</v>
      </c>
      <c r="BE278" s="43" t="e">
        <f>BD278+BE277-BE276</f>
        <v>#DIV/0!</v>
      </c>
      <c r="BF278" s="22" t="n"/>
      <c r="BG278" s="1" t="e">
        <f>BE278+BG277-BG276</f>
        <v>#DIV/0!</v>
      </c>
      <c r="BH278" s="1" t="e">
        <f>BG278+BH277-BH276</f>
        <v>#DIV/0!</v>
      </c>
      <c r="BI278" s="43" t="e">
        <f>BH278+BI277-BI276</f>
        <v>#DIV/0!</v>
      </c>
      <c r="BJ278" s="43" t="e">
        <f>BI278+BJ277-BJ276</f>
        <v>#DIV/0!</v>
      </c>
      <c r="BK278" s="22" t="n"/>
      <c r="BL278" s="1" t="e">
        <f>BJ278+BL277-BL276</f>
        <v>#DIV/0!</v>
      </c>
      <c r="BM278" s="1" t="e">
        <f>BL278+BM277-BM276</f>
        <v>#DIV/0!</v>
      </c>
      <c r="BN278" s="43" t="e">
        <f>BM278+BN277-BN276</f>
        <v>#DIV/0!</v>
      </c>
      <c r="BO278" s="43" t="e">
        <f>BN278+BO277-BO276</f>
        <v>#DIV/0!</v>
      </c>
      <c r="BP278" s="22" t="n"/>
      <c r="BQ278" s="1" t="e">
        <f>BO278+BQ277-BQ276</f>
        <v>#DIV/0!</v>
      </c>
      <c r="BR278" s="1" t="e">
        <f>BQ278+BR277-BR276</f>
        <v>#DIV/0!</v>
      </c>
      <c r="BS278" s="43" t="e">
        <f>BR278+BS277-BS276</f>
        <v>#DIV/0!</v>
      </c>
      <c r="BT278" s="43" t="e">
        <f>BS278+BT277-BT276</f>
        <v>#DIV/0!</v>
      </c>
      <c r="BU278" s="22" t="n"/>
      <c r="BV278" s="1" t="e">
        <f>BT278+BV277-BV276</f>
        <v>#DIV/0!</v>
      </c>
      <c r="BW278" s="1" t="e">
        <f>BV278+BW277-BW276</f>
        <v>#DIV/0!</v>
      </c>
      <c r="BX278" s="43" t="e">
        <f>BW278+BX277-BX276</f>
        <v>#DIV/0!</v>
      </c>
      <c r="BY278" s="43" t="e">
        <f>BX278+BY277-BY276</f>
        <v>#DIV/0!</v>
      </c>
      <c r="BZ278" s="22" t="n"/>
      <c r="CA278" s="1" t="e">
        <f>BY278+CA277-CA276</f>
        <v>#DIV/0!</v>
      </c>
      <c r="CB278" s="1" t="e">
        <f>CA278+CB277-CB276</f>
        <v>#DIV/0!</v>
      </c>
      <c r="CC278" s="43" t="e">
        <f>CB278+CC277-CC276</f>
        <v>#DIV/0!</v>
      </c>
      <c r="CD278" s="43" t="e">
        <f>CC278+CD277-CD276</f>
        <v>#DIV/0!</v>
      </c>
      <c r="CE278" s="22" t="n"/>
      <c r="CF278" s="1" t="e">
        <f>CD278+CF277-CF276</f>
        <v>#DIV/0!</v>
      </c>
      <c r="CG278" s="1" t="e">
        <f>CF278+CG277-CG276</f>
        <v>#DIV/0!</v>
      </c>
      <c r="CH278" s="43" t="e">
        <f>CG278+CH277-CH276</f>
        <v>#DIV/0!</v>
      </c>
      <c r="CI278" s="43" t="e">
        <f>CH278+CI277-CI276</f>
        <v>#DIV/0!</v>
      </c>
      <c r="CJ278" s="22" t="n"/>
      <c r="CK278" s="1" t="e">
        <f>CI278+CK277-CK276</f>
        <v>#DIV/0!</v>
      </c>
      <c r="CL278" s="1" t="e">
        <f>CK278+CL277-CL276</f>
        <v>#DIV/0!</v>
      </c>
      <c r="CM278" s="43" t="e">
        <f>CL278+CM277-CM276</f>
        <v>#DIV/0!</v>
      </c>
      <c r="CN278" s="43" t="e">
        <f>CM278+CN277-CN276</f>
        <v>#DIV/0!</v>
      </c>
      <c r="CO278" s="22" t="n"/>
      <c r="CP278" s="1" t="e">
        <f>CN278+CP277-CP276</f>
        <v>#DIV/0!</v>
      </c>
      <c r="CQ278" s="1" t="e">
        <f>CP278+CQ277-CQ276</f>
        <v>#DIV/0!</v>
      </c>
      <c r="CR278" s="43" t="e">
        <f>CQ278+CR277-CR276</f>
        <v>#DIV/0!</v>
      </c>
      <c r="CS278" s="43" t="e">
        <f>CR278+CS277-CS276</f>
        <v>#DIV/0!</v>
      </c>
      <c r="CT278" s="22" t="n"/>
      <c r="CU278" s="1" t="e">
        <f>CS278+CU277-CU276</f>
        <v>#DIV/0!</v>
      </c>
      <c r="CV278" s="1" t="e">
        <f>CU278+CV277-CV276</f>
        <v>#DIV/0!</v>
      </c>
      <c r="CW278" s="43" t="e">
        <f>CV278+CW277-CW276</f>
        <v>#DIV/0!</v>
      </c>
      <c r="CX278" s="43" t="e">
        <f>CW278+CX277-CX276</f>
        <v>#DIV/0!</v>
      </c>
      <c r="CY278" s="22" t="n"/>
      <c r="CZ278" t="e">
        <f>CX278+CZ277-CZ276</f>
        <v>#DIV/0!</v>
      </c>
      <c r="DA278" t="e">
        <f>CZ278+DA277-DA276</f>
        <v>#DIV/0!</v>
      </c>
      <c r="DB278" t="e">
        <f>DA278+DB277-DB276</f>
        <v>#DIV/0!</v>
      </c>
      <c r="DC278" t="e">
        <f>DB278+DC277-DC276</f>
        <v>#DIV/0!</v>
      </c>
    </row>
    <row r="279" hidden="1" outlineLevel="1" customFormat="1" s="39">
      <c r="A279" s="19" t="n"/>
      <c r="B279" s="19" t="n"/>
      <c r="C279" s="41" t="inlineStr">
        <is>
          <t>Weighted average basic shares outstanding</t>
        </is>
      </c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43">
        <f>AVERAGE(AG278,AH278)</f>
        <v>0</v>
      </c>
      <c r="AI279" s="43">
        <f>AVERAGE(AH278,AI278)</f>
        <v>0</v>
      </c>
      <c r="AJ279" s="43" t="e">
        <f>AVERAGE(AI278,AJ278)</f>
        <v>#DIV/0!</v>
      </c>
      <c r="AK279" s="43" t="e">
        <f>AVERAGE(AJ278,AK278)</f>
        <v>#DIV/0!</v>
      </c>
      <c r="AL279" s="22" t="n"/>
      <c r="AM279" s="43" t="e">
        <f>AVERAGE(AK278,AM278)</f>
        <v>#DIV/0!</v>
      </c>
      <c r="AN279" s="43" t="e">
        <f>AVERAGE(AM278,AN278)</f>
        <v>#DIV/0!</v>
      </c>
      <c r="AO279" s="43" t="e">
        <f>AVERAGE(AN278,AO278)</f>
        <v>#DIV/0!</v>
      </c>
      <c r="AP279" s="43" t="e">
        <f>AVERAGE(AO278,AP278)</f>
        <v>#DIV/0!</v>
      </c>
      <c r="AQ279" s="22" t="n"/>
      <c r="AR279" s="43" t="e">
        <f>AVERAGE(AP278,AR278)</f>
        <v>#DIV/0!</v>
      </c>
      <c r="AS279" s="43" t="e">
        <f>AVERAGE(AR278,AS278)</f>
        <v>#DIV/0!</v>
      </c>
      <c r="AT279" s="43" t="e">
        <f>AVERAGE(AS278,AT278)</f>
        <v>#DIV/0!</v>
      </c>
      <c r="AU279" s="43" t="e">
        <f>AVERAGE(AT278,AU278)</f>
        <v>#DIV/0!</v>
      </c>
      <c r="AV279" s="22" t="n"/>
      <c r="AW279" s="43" t="e">
        <f>AVERAGE(AU278,AW278)</f>
        <v>#DIV/0!</v>
      </c>
      <c r="AX279" s="43" t="e">
        <f>AVERAGE(AW278,AX278)</f>
        <v>#DIV/0!</v>
      </c>
      <c r="AY279" s="43" t="e">
        <f>AVERAGE(AX278,AY278)</f>
        <v>#DIV/0!</v>
      </c>
      <c r="AZ279" s="43" t="e">
        <f>AVERAGE(AY278,AZ278)</f>
        <v>#DIV/0!</v>
      </c>
      <c r="BA279" s="22" t="n"/>
      <c r="BB279" s="43" t="e">
        <f>AVERAGE(AZ278,BB278)</f>
        <v>#DIV/0!</v>
      </c>
      <c r="BC279" s="43" t="e">
        <f>AVERAGE(BB278,BC278)</f>
        <v>#DIV/0!</v>
      </c>
      <c r="BD279" s="43" t="e">
        <f>AVERAGE(BC278,BD278)</f>
        <v>#DIV/0!</v>
      </c>
      <c r="BE279" s="43" t="e">
        <f>AVERAGE(BD278,BE278)</f>
        <v>#DIV/0!</v>
      </c>
      <c r="BF279" s="22" t="n"/>
      <c r="BG279" s="43" t="e">
        <f>AVERAGE(BE278,BG278)</f>
        <v>#DIV/0!</v>
      </c>
      <c r="BH279" s="43" t="e">
        <f>AVERAGE(BG278,BH278)</f>
        <v>#DIV/0!</v>
      </c>
      <c r="BI279" s="43" t="e">
        <f>AVERAGE(BH278,BI278)</f>
        <v>#DIV/0!</v>
      </c>
      <c r="BJ279" s="43" t="e">
        <f>AVERAGE(BI278,BJ278)</f>
        <v>#DIV/0!</v>
      </c>
      <c r="BK279" s="22" t="n"/>
      <c r="BL279" s="43" t="e">
        <f>AVERAGE(BJ278,BL278)</f>
        <v>#DIV/0!</v>
      </c>
      <c r="BM279" s="43" t="e">
        <f>AVERAGE(BL278,BM278)</f>
        <v>#DIV/0!</v>
      </c>
      <c r="BN279" s="43" t="e">
        <f>AVERAGE(BM278,BN278)</f>
        <v>#DIV/0!</v>
      </c>
      <c r="BO279" s="43" t="e">
        <f>AVERAGE(BN278,BO278)</f>
        <v>#DIV/0!</v>
      </c>
      <c r="BP279" s="22" t="n"/>
      <c r="BQ279" s="43" t="e">
        <f>AVERAGE(BO278,BQ278)</f>
        <v>#DIV/0!</v>
      </c>
      <c r="BR279" s="43" t="e">
        <f>AVERAGE(BQ278,BR278)</f>
        <v>#DIV/0!</v>
      </c>
      <c r="BS279" s="43" t="e">
        <f>AVERAGE(BR278,BS278)</f>
        <v>#DIV/0!</v>
      </c>
      <c r="BT279" s="43" t="e">
        <f>AVERAGE(BS278,BT278)</f>
        <v>#DIV/0!</v>
      </c>
      <c r="BU279" s="22" t="n"/>
      <c r="BV279" s="43" t="e">
        <f>AVERAGE(BT278,BV278)</f>
        <v>#DIV/0!</v>
      </c>
      <c r="BW279" s="43" t="e">
        <f>AVERAGE(BV278,BW278)</f>
        <v>#DIV/0!</v>
      </c>
      <c r="BX279" s="43" t="e">
        <f>AVERAGE(BW278,BX278)</f>
        <v>#DIV/0!</v>
      </c>
      <c r="BY279" s="43" t="e">
        <f>AVERAGE(BX278,BY278)</f>
        <v>#DIV/0!</v>
      </c>
      <c r="BZ279" s="22" t="n"/>
      <c r="CA279" s="43" t="e">
        <f>AVERAGE(BY278,CA278)</f>
        <v>#DIV/0!</v>
      </c>
      <c r="CB279" s="43" t="e">
        <f>AVERAGE(CA278,CB278)</f>
        <v>#DIV/0!</v>
      </c>
      <c r="CC279" s="43" t="e">
        <f>AVERAGE(CB278,CC278)</f>
        <v>#DIV/0!</v>
      </c>
      <c r="CD279" s="43" t="e">
        <f>AVERAGE(CC278,CD278)</f>
        <v>#DIV/0!</v>
      </c>
      <c r="CE279" s="22" t="n"/>
      <c r="CF279" s="43" t="e">
        <f>AVERAGE(CD278,CF278)</f>
        <v>#DIV/0!</v>
      </c>
      <c r="CG279" s="43" t="e">
        <f>AVERAGE(CF278,CG278)</f>
        <v>#DIV/0!</v>
      </c>
      <c r="CH279" s="43" t="e">
        <f>AVERAGE(CG278,CH278)</f>
        <v>#DIV/0!</v>
      </c>
      <c r="CI279" s="43" t="e">
        <f>AVERAGE(CH278,CI278)</f>
        <v>#DIV/0!</v>
      </c>
      <c r="CJ279" s="22" t="n"/>
      <c r="CK279" s="43" t="e">
        <f>AVERAGE(CI278,CK278)</f>
        <v>#DIV/0!</v>
      </c>
      <c r="CL279" s="43" t="e">
        <f>AVERAGE(CK278,CL278)</f>
        <v>#DIV/0!</v>
      </c>
      <c r="CM279" s="43" t="e">
        <f>AVERAGE(CL278,CM278)</f>
        <v>#DIV/0!</v>
      </c>
      <c r="CN279" s="43" t="e">
        <f>AVERAGE(CM278,CN278)</f>
        <v>#DIV/0!</v>
      </c>
      <c r="CO279" s="22" t="n"/>
      <c r="CP279" s="43" t="e">
        <f>AVERAGE(CN278,CP278)</f>
        <v>#DIV/0!</v>
      </c>
      <c r="CQ279" s="43" t="e">
        <f>AVERAGE(CP278,CQ278)</f>
        <v>#DIV/0!</v>
      </c>
      <c r="CR279" s="43" t="e">
        <f>AVERAGE(CQ278,CR278)</f>
        <v>#DIV/0!</v>
      </c>
      <c r="CS279" s="43" t="e">
        <f>AVERAGE(CR278,CS278)</f>
        <v>#DIV/0!</v>
      </c>
      <c r="CT279" s="22" t="n"/>
      <c r="CU279" s="43" t="e">
        <f>AVERAGE(CS278,CU278)</f>
        <v>#DIV/0!</v>
      </c>
      <c r="CV279" s="43" t="e">
        <f>AVERAGE(CU278,CV278)</f>
        <v>#DIV/0!</v>
      </c>
      <c r="CW279" s="43" t="e">
        <f>AVERAGE(CV278,CW278)</f>
        <v>#DIV/0!</v>
      </c>
      <c r="CX279" s="43" t="e">
        <f>AVERAGE(CW278,CX278)</f>
        <v>#DIV/0!</v>
      </c>
      <c r="CY279" s="22" t="n"/>
      <c r="CZ279" t="e">
        <f>AVERAGE(CX278,CZ278)</f>
        <v>#DIV/0!</v>
      </c>
      <c r="DA279" t="e">
        <f>AVERAGE(CZ278,DA278)</f>
        <v>#DIV/0!</v>
      </c>
      <c r="DB279" t="e">
        <f>AVERAGE(DA278,DB278)</f>
        <v>#DIV/0!</v>
      </c>
      <c r="DC279" t="e">
        <f>AVERAGE(DB278,DC278)</f>
        <v>#DIV/0!</v>
      </c>
    </row>
    <row r="280" hidden="1" outlineLevel="1" customFormat="1" s="39">
      <c r="A280" s="19" t="n"/>
      <c r="B280" s="19" t="n"/>
      <c r="C280" s="41" t="n"/>
      <c r="D280" s="22" t="n"/>
      <c r="E280" s="22" t="n"/>
      <c r="F280" s="22" t="n"/>
      <c r="G280" s="22" t="n"/>
      <c r="H280" s="3" t="n"/>
      <c r="I280" s="22" t="n"/>
      <c r="J280" s="22" t="n"/>
      <c r="K280" s="22" t="n"/>
      <c r="L280" s="22" t="n"/>
      <c r="M280" s="3" t="n"/>
      <c r="N280" s="22" t="n"/>
      <c r="O280" s="22" t="n"/>
      <c r="P280" s="22" t="n"/>
      <c r="Q280" s="22" t="n"/>
      <c r="R280" s="3" t="n"/>
      <c r="S280" s="22" t="n"/>
      <c r="T280" s="22" t="n"/>
      <c r="U280" s="22" t="n"/>
      <c r="V280" s="22" t="n"/>
      <c r="W280" s="3" t="n"/>
      <c r="X280" s="22" t="n"/>
      <c r="Y280" s="22" t="n"/>
      <c r="Z280" s="22" t="n"/>
      <c r="AA280" s="22" t="n"/>
      <c r="AB280" s="3" t="n"/>
      <c r="AC280" s="22" t="n"/>
      <c r="AD280" s="22" t="n"/>
      <c r="AE280" s="22" t="n"/>
      <c r="AF280" s="22" t="n"/>
      <c r="AG280" s="3" t="n"/>
      <c r="AH280" s="22" t="n"/>
      <c r="AI280" s="22" t="n"/>
      <c r="AJ280" s="22" t="n"/>
      <c r="AK280" s="22" t="n"/>
      <c r="AL280" s="3" t="n"/>
      <c r="AM280" s="22" t="n"/>
      <c r="AN280" s="22" t="n"/>
      <c r="AO280" s="22" t="n"/>
      <c r="AP280" s="22" t="n"/>
      <c r="AQ280" s="3" t="n"/>
      <c r="AR280" s="22" t="n"/>
      <c r="AS280" s="22" t="n"/>
      <c r="AT280" s="22" t="n"/>
      <c r="AU280" s="22" t="n"/>
      <c r="AV280" s="3" t="n"/>
      <c r="AW280" s="22" t="n"/>
      <c r="AX280" s="22" t="n"/>
      <c r="AY280" s="22" t="n"/>
      <c r="AZ280" s="22" t="n"/>
      <c r="BA280" s="3" t="n"/>
      <c r="BB280" s="22" t="n"/>
      <c r="BC280" s="22" t="n"/>
      <c r="BD280" s="22" t="n"/>
      <c r="BE280" s="22" t="n"/>
      <c r="BF280" s="3" t="n"/>
      <c r="BG280" s="22" t="n"/>
      <c r="BH280" s="22" t="n"/>
      <c r="BI280" s="22" t="n"/>
      <c r="BJ280" s="22" t="n"/>
      <c r="BK280" s="3" t="n"/>
      <c r="BL280" s="22" t="n"/>
      <c r="BM280" s="22" t="n"/>
      <c r="BN280" s="22" t="n"/>
      <c r="BO280" s="22" t="n"/>
      <c r="BP280" s="3" t="n"/>
      <c r="BQ280" s="22" t="n"/>
      <c r="BR280" s="22" t="n"/>
      <c r="BS280" s="22" t="n"/>
      <c r="BT280" s="22" t="n"/>
      <c r="BU280" s="3" t="n"/>
      <c r="BV280" s="22" t="n"/>
      <c r="BW280" s="22" t="n"/>
      <c r="BX280" s="22" t="n"/>
      <c r="BY280" s="22" t="n"/>
      <c r="BZ280" s="3" t="n"/>
      <c r="CA280" s="22" t="n"/>
      <c r="CB280" s="22" t="n"/>
      <c r="CC280" s="22" t="n"/>
      <c r="CD280" s="22" t="n"/>
      <c r="CE280" s="3" t="n"/>
      <c r="CF280" s="22" t="n"/>
      <c r="CG280" s="22" t="n"/>
      <c r="CH280" s="22" t="n"/>
      <c r="CI280" s="22" t="n"/>
      <c r="CJ280" s="3" t="n"/>
      <c r="CK280" s="22" t="n"/>
      <c r="CL280" s="22" t="n"/>
      <c r="CM280" s="22" t="n"/>
      <c r="CN280" s="22" t="n"/>
      <c r="CO280" s="3" t="n"/>
      <c r="CP280" s="22" t="n"/>
      <c r="CQ280" s="22" t="n"/>
      <c r="CR280" s="22" t="n"/>
      <c r="CS280" s="22" t="n"/>
      <c r="CT280" s="3" t="n"/>
      <c r="CU280" s="22" t="n"/>
      <c r="CV280" s="22" t="n"/>
      <c r="CW280" s="22" t="n"/>
      <c r="CX280" s="22" t="n"/>
      <c r="CY280" s="3" t="n"/>
    </row>
    <row r="281" collapsed="1">
      <c r="C281" s="26" t="inlineStr">
        <is>
          <t>Treasury stock (contra account)</t>
        </is>
      </c>
      <c r="D281" s="25">
        <f>INDEX('Inputs (2)'!$D$44:$AL$44,MATCH(D$7,'Inputs (2)'!$D$2:$AL$2,0))</f>
        <v>0</v>
      </c>
      <c r="E281" s="25">
        <f>INDEX('Inputs (2)'!$D$44:$AL$44,MATCH(E$7,'Inputs (2)'!$D$2:$AL$2,0))</f>
        <v>0</v>
      </c>
      <c r="F281" s="25">
        <f>INDEX('Inputs (2)'!$D$44:$AL$44,MATCH(F$7,'Inputs (2)'!$D$2:$AL$2,0))</f>
        <v>0</v>
      </c>
      <c r="G281" s="25">
        <f>INDEX('Inputs (2)'!$D$44:$AL$44,MATCH(G$7,'Inputs (2)'!$D$2:$AL$2,0))</f>
        <v>0</v>
      </c>
      <c r="H281" s="3">
        <f>G281</f>
        <v>0</v>
      </c>
      <c r="I281" s="25">
        <f>INDEX('Inputs (2)'!$D$44:$AL$44,MATCH(I$7,'Inputs (2)'!$D$2:$AL$2,0))</f>
        <v>0</v>
      </c>
      <c r="J281" s="25">
        <f>INDEX('Inputs (2)'!$D$44:$AL$44,MATCH(J$7,'Inputs (2)'!$D$2:$AL$2,0))</f>
        <v>0</v>
      </c>
      <c r="K281" s="25">
        <f>INDEX('Inputs (2)'!$D$44:$AL$44,MATCH(K$7,'Inputs (2)'!$D$2:$AL$2,0))</f>
        <v>0</v>
      </c>
      <c r="L281" s="25">
        <f>INDEX('Inputs (2)'!$D$44:$AL$44,MATCH(L$7,'Inputs (2)'!$D$2:$AL$2,0))</f>
        <v>-0.121</v>
      </c>
      <c r="M281" s="3">
        <f>L281</f>
        <v>-0.121</v>
      </c>
      <c r="N281" s="25">
        <f>INDEX('Inputs (2)'!$D$44:$AL$44,MATCH(N$7,'Inputs (2)'!$D$2:$AL$2,0))</f>
        <v>-5.015</v>
      </c>
      <c r="O281" s="25">
        <f>INDEX('Inputs (2)'!$D$44:$AL$44,MATCH(O$7,'Inputs (2)'!$D$2:$AL$2,0))</f>
        <v>-12.21</v>
      </c>
      <c r="P281" s="25">
        <f>INDEX('Inputs (2)'!$D$44:$AL$44,MATCH(P$7,'Inputs (2)'!$D$2:$AL$2,0))</f>
        <v>-12.21</v>
      </c>
      <c r="Q281" s="25">
        <f>INDEX('Inputs (2)'!$D$44:$AL$44,MATCH(Q$7,'Inputs (2)'!$D$2:$AL$2,0))</f>
        <v>-12.21</v>
      </c>
      <c r="R281" s="3">
        <f>Q281</f>
        <v>-12.21</v>
      </c>
      <c r="S281" s="25">
        <f>INDEX('Inputs (2)'!$D$44:$AL$44,MATCH(S$7,'Inputs (2)'!$D$2:$AL$2,0))</f>
        <v>-12.21</v>
      </c>
      <c r="T281" s="25">
        <f>INDEX('Inputs (2)'!$D$44:$AL$44,MATCH(T$7,'Inputs (2)'!$D$2:$AL$2,0))</f>
        <v>-12.21</v>
      </c>
      <c r="U281" s="25">
        <f>INDEX('Inputs (2)'!$D$44:$AL$44,MATCH(U$7,'Inputs (2)'!$D$2:$AL$2,0))</f>
        <v>-12.21</v>
      </c>
      <c r="V281" s="25">
        <f>INDEX('Inputs (2)'!$D$44:$AL$44,MATCH(V$7,'Inputs (2)'!$D$2:$AL$2,0))</f>
        <v>-12.21</v>
      </c>
      <c r="W281" s="3">
        <f>V281</f>
        <v>-12.21</v>
      </c>
      <c r="X281" s="25">
        <f>INDEX('Inputs (2)'!$D$44:$AL$44,MATCH(X$7,'Inputs (2)'!$D$2:$AL$2,0))</f>
        <v>-12.21</v>
      </c>
      <c r="Y281" s="25">
        <f>INDEX('Inputs (2)'!$D$44:$AL$44,MATCH(Y$7,'Inputs (2)'!$D$2:$AL$2,0))</f>
        <v>-12.21</v>
      </c>
      <c r="Z281" s="25">
        <f>INDEX('Inputs (2)'!$D$44:$AL$44,MATCH(Z$7,'Inputs (2)'!$D$2:$AL$2,0))</f>
        <v>-12.21</v>
      </c>
      <c r="AA281" s="25">
        <f>INDEX('Inputs (2)'!$D$44:$AL$44,MATCH(AA$7,'Inputs (2)'!$D$2:$AL$2,0))</f>
        <v>-12.21</v>
      </c>
      <c r="AB281" s="3">
        <f>AA281</f>
        <v>-12.21</v>
      </c>
      <c r="AC281" s="25">
        <f>INDEX('Inputs (2)'!$D$44:$AL$44,MATCH(AC$7,'Inputs (2)'!$D$2:$AL$2,0))</f>
        <v>-12.21</v>
      </c>
      <c r="AD281" s="25">
        <f>INDEX('Inputs (2)'!$D$44:$AL$44,MATCH(AD$7,'Inputs (2)'!$D$2:$AL$2,0))</f>
        <v>0</v>
      </c>
      <c r="AE281" s="25">
        <f>INDEX('Inputs (2)'!$D$44:$AL$44,MATCH(AE$7,'Inputs (2)'!$D$2:$AL$2,0))</f>
        <v>0</v>
      </c>
      <c r="AF281" s="25">
        <f>INDEX('Inputs (2)'!$D$44:$AL$44,MATCH(AF$7,'Inputs (2)'!$D$2:$AL$2,0))</f>
        <v>0</v>
      </c>
      <c r="AG281" s="3">
        <f>AF281</f>
        <v>0</v>
      </c>
      <c r="AH281" s="3">
        <f>INDEX('Inputs (2)'!$D$44:$AL$44,MATCH(AH$7,'Inputs (2)'!$D$2:$AL$2,0))</f>
        <v>0</v>
      </c>
      <c r="AI281" s="3">
        <f>INDEX('Inputs (2)'!$D$44:$AL$44,MATCH(AI$7,'Inputs (2)'!$D$2:$AL$2,0))</f>
        <v>0</v>
      </c>
      <c r="AJ281" s="3">
        <f>AI281+AJ271</f>
        <v>0</v>
      </c>
      <c r="AK281" s="3">
        <f>AJ281+AK271</f>
        <v>0</v>
      </c>
      <c r="AL281" s="3">
        <f>AK281</f>
        <v>0</v>
      </c>
      <c r="AM281" s="3">
        <f>AL281+AM271</f>
        <v>0</v>
      </c>
      <c r="AN281" s="3">
        <f>AM281+AN271</f>
        <v>0</v>
      </c>
      <c r="AO281" s="3">
        <f>AN281+AO271</f>
        <v>0</v>
      </c>
      <c r="AP281" s="3">
        <f>AO281+AP271</f>
        <v>0</v>
      </c>
      <c r="AQ281" s="3">
        <f>AP281</f>
        <v>0</v>
      </c>
      <c r="AR281" s="3">
        <f>AQ281+AR271</f>
        <v>0</v>
      </c>
      <c r="AS281" s="3">
        <f>AR281+AS271</f>
        <v>0</v>
      </c>
      <c r="AT281" s="3">
        <f>AS281+AT271</f>
        <v>0</v>
      </c>
      <c r="AU281" s="3">
        <f>AT281+AU271</f>
        <v>0</v>
      </c>
      <c r="AV281" s="3">
        <f>AU281</f>
        <v>0</v>
      </c>
      <c r="AW281" s="3">
        <f>AV281+AW271</f>
        <v>0</v>
      </c>
      <c r="AX281" s="3">
        <f>AW281+AX271</f>
        <v>0</v>
      </c>
      <c r="AY281" s="3">
        <f>AX281+AY271</f>
        <v>0</v>
      </c>
      <c r="AZ281" s="3">
        <f>AY281+AZ271</f>
        <v>0</v>
      </c>
      <c r="BA281" s="3">
        <f>AZ281</f>
        <v>0</v>
      </c>
      <c r="BB281" s="3">
        <f>BA281+BB271</f>
        <v>0</v>
      </c>
      <c r="BC281" s="3">
        <f>BB281+BC271</f>
        <v>0</v>
      </c>
      <c r="BD281" s="3">
        <f>BC281+BD271</f>
        <v>0</v>
      </c>
      <c r="BE281" s="3">
        <f>BD281+BE271</f>
        <v>0</v>
      </c>
      <c r="BF281" s="3">
        <f>BE281</f>
        <v>0</v>
      </c>
      <c r="BG281" s="3">
        <f>BF281+BG271</f>
        <v>0</v>
      </c>
      <c r="BH281" s="3">
        <f>BG281+BH271</f>
        <v>0</v>
      </c>
      <c r="BI281" s="3">
        <f>BH281+BI271</f>
        <v>0</v>
      </c>
      <c r="BJ281" s="3">
        <f>BI281+BJ271</f>
        <v>0</v>
      </c>
      <c r="BK281" s="3">
        <f>BJ281</f>
        <v>0</v>
      </c>
      <c r="BL281" s="3">
        <f>BK281+BL271</f>
        <v>0</v>
      </c>
      <c r="BM281" s="3">
        <f>BL281+BM271</f>
        <v>0</v>
      </c>
      <c r="BN281" s="3">
        <f>BM281+BN271</f>
        <v>0</v>
      </c>
      <c r="BO281" s="3">
        <f>BN281+BO271</f>
        <v>0</v>
      </c>
      <c r="BP281" s="3">
        <f>BO281</f>
        <v>0</v>
      </c>
      <c r="BQ281" s="3">
        <f>BP281+BQ271</f>
        <v>0</v>
      </c>
      <c r="BR281" s="3">
        <f>BQ281+BR271</f>
        <v>0</v>
      </c>
      <c r="BS281" s="3">
        <f>BR281+BS271</f>
        <v>0</v>
      </c>
      <c r="BT281" s="3">
        <f>BS281+BT271</f>
        <v>0</v>
      </c>
      <c r="BU281" s="3">
        <f>BT281</f>
        <v>0</v>
      </c>
      <c r="BV281" s="3">
        <f>BU281+BV271</f>
        <v>0</v>
      </c>
      <c r="BW281" s="3">
        <f>BV281+BW271</f>
        <v>0</v>
      </c>
      <c r="BX281" s="3">
        <f>BW281+BX271</f>
        <v>0</v>
      </c>
      <c r="BY281" s="3">
        <f>BX281+BY271</f>
        <v>0</v>
      </c>
      <c r="BZ281" s="3">
        <f>BY281</f>
        <v>0</v>
      </c>
      <c r="CA281" s="3">
        <f>BZ281+CA271</f>
        <v>0</v>
      </c>
      <c r="CB281" s="3">
        <f>CA281+CB271</f>
        <v>0</v>
      </c>
      <c r="CC281" s="3">
        <f>CB281+CC271</f>
        <v>0</v>
      </c>
      <c r="CD281" s="3">
        <f>CC281+CD271</f>
        <v>0</v>
      </c>
      <c r="CE281" s="3">
        <f>CD281</f>
        <v>0</v>
      </c>
      <c r="CF281" s="3">
        <f>CE281+CF271</f>
        <v>0</v>
      </c>
      <c r="CG281" s="3">
        <f>CF281+CG271</f>
        <v>0</v>
      </c>
      <c r="CH281" s="3">
        <f>CG281+CH271</f>
        <v>0</v>
      </c>
      <c r="CI281" s="3">
        <f>CH281+CI271</f>
        <v>0</v>
      </c>
      <c r="CJ281" s="3">
        <f>CI281</f>
        <v>0</v>
      </c>
      <c r="CK281" s="3">
        <f>CJ281+CK271</f>
        <v>0</v>
      </c>
      <c r="CL281" s="3">
        <f>CK281+CL271</f>
        <v>0</v>
      </c>
      <c r="CM281" s="3">
        <f>CL281+CM271</f>
        <v>0</v>
      </c>
      <c r="CN281" s="3">
        <f>CM281+CN271</f>
        <v>0</v>
      </c>
      <c r="CO281" s="3">
        <f>CN281</f>
        <v>0</v>
      </c>
      <c r="CP281" s="3">
        <f>CO281+CP271</f>
        <v>0</v>
      </c>
      <c r="CQ281" s="3">
        <f>CP281+CQ271</f>
        <v>0</v>
      </c>
      <c r="CR281" s="3">
        <f>CQ281+CR271</f>
        <v>0</v>
      </c>
      <c r="CS281" s="3">
        <f>CR281+CS271</f>
        <v>0</v>
      </c>
      <c r="CT281" s="3">
        <f>CS281</f>
        <v>0</v>
      </c>
      <c r="CU281" s="3">
        <f>CT281+CU271</f>
        <v>0</v>
      </c>
      <c r="CV281" s="3">
        <f>CU281+CV271</f>
        <v>0</v>
      </c>
      <c r="CW281" s="3">
        <f>CV281+CW271</f>
        <v>0</v>
      </c>
      <c r="CX281" s="3">
        <f>CW281+CX271</f>
        <v>0</v>
      </c>
      <c r="CY281" s="3">
        <f>CX281</f>
        <v>0</v>
      </c>
    </row>
    <row r="282">
      <c r="C282" s="26" t="inlineStr">
        <is>
          <t>Comprehensive (accumulated) loss</t>
        </is>
      </c>
      <c r="D282" s="25" t="n"/>
      <c r="E282" s="25" t="n"/>
      <c r="F282" s="25" t="n"/>
      <c r="G282" s="25" t="n"/>
      <c r="H282" s="3">
        <f>G282</f>
        <v>0</v>
      </c>
      <c r="I282" s="25" t="n"/>
      <c r="J282" s="25" t="n"/>
      <c r="K282" s="25" t="n"/>
      <c r="L282" s="25" t="n"/>
      <c r="M282" s="3">
        <f>L282</f>
        <v>0</v>
      </c>
      <c r="N282" s="25" t="n"/>
      <c r="O282" s="25" t="n"/>
      <c r="P282" s="25" t="n"/>
      <c r="Q282" s="25" t="n"/>
      <c r="R282" s="3">
        <f>Q282</f>
        <v>0</v>
      </c>
      <c r="S282" s="25" t="n"/>
      <c r="T282" s="25" t="n"/>
      <c r="U282" s="25" t="n"/>
      <c r="V282" s="25" t="n"/>
      <c r="W282" s="3">
        <f>V282</f>
        <v>0</v>
      </c>
      <c r="X282" s="25" t="n"/>
      <c r="Y282" s="25" t="n"/>
      <c r="Z282" s="25" t="n"/>
      <c r="AA282" s="25" t="n"/>
      <c r="AB282" s="3">
        <f>AA282</f>
        <v>0</v>
      </c>
      <c r="AC282" s="25" t="n"/>
      <c r="AD282" s="25" t="n"/>
      <c r="AE282" s="25" t="n"/>
      <c r="AF282" s="25" t="n"/>
      <c r="AG282" s="3">
        <f>AF282</f>
        <v>0</v>
      </c>
      <c r="AH282" s="3">
        <f>AG282</f>
        <v>0</v>
      </c>
      <c r="AI282" s="3">
        <f>AH282</f>
        <v>0</v>
      </c>
      <c r="AJ282" s="3">
        <f>AI282</f>
        <v>0</v>
      </c>
      <c r="AK282" s="3">
        <f>AJ282</f>
        <v>0</v>
      </c>
      <c r="AL282" s="3">
        <f>AK282</f>
        <v>0</v>
      </c>
      <c r="AM282" s="3">
        <f>AL282</f>
        <v>0</v>
      </c>
      <c r="AN282" s="3">
        <f>AM282</f>
        <v>0</v>
      </c>
      <c r="AO282" s="3">
        <f>AN282</f>
        <v>0</v>
      </c>
      <c r="AP282" s="3">
        <f>AO282</f>
        <v>0</v>
      </c>
      <c r="AQ282" s="3">
        <f>AP282</f>
        <v>0</v>
      </c>
      <c r="AR282" s="3">
        <f>AQ282</f>
        <v>0</v>
      </c>
      <c r="AS282" s="3">
        <f>AR282</f>
        <v>0</v>
      </c>
      <c r="AT282" s="3">
        <f>AS282</f>
        <v>0</v>
      </c>
      <c r="AU282" s="3">
        <f>AT282</f>
        <v>0</v>
      </c>
      <c r="AV282" s="3">
        <f>AU282</f>
        <v>0</v>
      </c>
      <c r="AW282" s="3">
        <f>AV282</f>
        <v>0</v>
      </c>
      <c r="AX282" s="3">
        <f>AW282</f>
        <v>0</v>
      </c>
      <c r="AY282" s="3">
        <f>AX282</f>
        <v>0</v>
      </c>
      <c r="AZ282" s="3">
        <f>AY282</f>
        <v>0</v>
      </c>
      <c r="BA282" s="3">
        <f>AZ282</f>
        <v>0</v>
      </c>
      <c r="BB282" s="3">
        <f>BA282</f>
        <v>0</v>
      </c>
      <c r="BC282" s="3">
        <f>BB282</f>
        <v>0</v>
      </c>
      <c r="BD282" s="3">
        <f>BC282</f>
        <v>0</v>
      </c>
      <c r="BE282" s="3">
        <f>BD282</f>
        <v>0</v>
      </c>
      <c r="BF282" s="3">
        <f>BE282</f>
        <v>0</v>
      </c>
      <c r="BG282" s="3">
        <f>BF282</f>
        <v>0</v>
      </c>
      <c r="BH282" s="3">
        <f>BG282</f>
        <v>0</v>
      </c>
      <c r="BI282" s="3">
        <f>BH282</f>
        <v>0</v>
      </c>
      <c r="BJ282" s="3">
        <f>BI282</f>
        <v>0</v>
      </c>
      <c r="BK282" s="3">
        <f>BJ282</f>
        <v>0</v>
      </c>
      <c r="BL282" s="3">
        <f>BK282</f>
        <v>0</v>
      </c>
      <c r="BM282" s="3">
        <f>BL282</f>
        <v>0</v>
      </c>
      <c r="BN282" s="3">
        <f>BM282</f>
        <v>0</v>
      </c>
      <c r="BO282" s="3">
        <f>BN282</f>
        <v>0</v>
      </c>
      <c r="BP282" s="3">
        <f>BO282</f>
        <v>0</v>
      </c>
      <c r="BQ282" s="3">
        <f>BP282</f>
        <v>0</v>
      </c>
      <c r="BR282" s="3">
        <f>BQ282</f>
        <v>0</v>
      </c>
      <c r="BS282" s="3">
        <f>BR282</f>
        <v>0</v>
      </c>
      <c r="BT282" s="3">
        <f>BS282</f>
        <v>0</v>
      </c>
      <c r="BU282" s="3">
        <f>BT282</f>
        <v>0</v>
      </c>
      <c r="BV282" s="3">
        <f>BU282</f>
        <v>0</v>
      </c>
      <c r="BW282" s="3">
        <f>BV282</f>
        <v>0</v>
      </c>
      <c r="BX282" s="3">
        <f>BW282</f>
        <v>0</v>
      </c>
      <c r="BY282" s="3">
        <f>BX282</f>
        <v>0</v>
      </c>
      <c r="BZ282" s="3">
        <f>BY282</f>
        <v>0</v>
      </c>
      <c r="CA282" s="3">
        <f>BZ282</f>
        <v>0</v>
      </c>
      <c r="CB282" s="3">
        <f>CA282</f>
        <v>0</v>
      </c>
      <c r="CC282" s="3">
        <f>CB282</f>
        <v>0</v>
      </c>
      <c r="CD282" s="3">
        <f>CC282</f>
        <v>0</v>
      </c>
      <c r="CE282" s="3">
        <f>CD282</f>
        <v>0</v>
      </c>
      <c r="CF282" s="3">
        <f>CE282</f>
        <v>0</v>
      </c>
      <c r="CG282" s="3">
        <f>CF282</f>
        <v>0</v>
      </c>
      <c r="CH282" s="3">
        <f>CG282</f>
        <v>0</v>
      </c>
      <c r="CI282" s="3">
        <f>CH282</f>
        <v>0</v>
      </c>
      <c r="CJ282" s="3">
        <f>CI282</f>
        <v>0</v>
      </c>
      <c r="CK282" s="3">
        <f>CJ282</f>
        <v>0</v>
      </c>
      <c r="CL282" s="3">
        <f>CK282</f>
        <v>0</v>
      </c>
      <c r="CM282" s="3">
        <f>CL282</f>
        <v>0</v>
      </c>
      <c r="CN282" s="3">
        <f>CM282</f>
        <v>0</v>
      </c>
      <c r="CO282" s="3">
        <f>CN282</f>
        <v>0</v>
      </c>
      <c r="CP282" s="3">
        <f>CO282</f>
        <v>0</v>
      </c>
      <c r="CQ282" s="3">
        <f>CP282</f>
        <v>0</v>
      </c>
      <c r="CR282" s="3">
        <f>CQ282</f>
        <v>0</v>
      </c>
      <c r="CS282" s="3">
        <f>CR282</f>
        <v>0</v>
      </c>
      <c r="CT282" s="3">
        <f>CS282</f>
        <v>0</v>
      </c>
      <c r="CU282" s="3">
        <f>CT282</f>
        <v>0</v>
      </c>
      <c r="CV282" s="3">
        <f>CU282</f>
        <v>0</v>
      </c>
      <c r="CW282" s="3">
        <f>CV282</f>
        <v>0</v>
      </c>
      <c r="CX282" s="3">
        <f>CW282</f>
        <v>0</v>
      </c>
      <c r="CY282" s="3">
        <f>CX282</f>
        <v>0</v>
      </c>
    </row>
    <row r="283">
      <c r="C283" s="26" t="inlineStr">
        <is>
          <t>Other equity account</t>
        </is>
      </c>
      <c r="D283" s="25" t="n"/>
      <c r="E283" s="25" t="n"/>
      <c r="F283" s="25" t="n"/>
      <c r="G283" s="25" t="n"/>
      <c r="H283" s="3">
        <f>G283</f>
        <v>0</v>
      </c>
      <c r="I283" s="25" t="n"/>
      <c r="J283" s="25" t="n"/>
      <c r="K283" s="25" t="n"/>
      <c r="L283" s="25" t="n"/>
      <c r="M283" s="3">
        <f>L283</f>
        <v>0</v>
      </c>
      <c r="N283" s="25" t="n"/>
      <c r="O283" s="25" t="n"/>
      <c r="P283" s="25" t="n"/>
      <c r="Q283" s="25" t="n"/>
      <c r="R283" s="3">
        <f>Q283</f>
        <v>0</v>
      </c>
      <c r="S283" s="25" t="n"/>
      <c r="T283" s="25" t="n"/>
      <c r="U283" s="25" t="n"/>
      <c r="V283" s="25" t="n"/>
      <c r="W283" s="3">
        <f>V283</f>
        <v>0</v>
      </c>
      <c r="X283" s="25" t="n"/>
      <c r="Y283" s="25" t="n"/>
      <c r="Z283" s="25" t="n"/>
      <c r="AA283" s="25" t="n"/>
      <c r="AB283" s="3">
        <f>AA283</f>
        <v>0</v>
      </c>
      <c r="AC283" s="25" t="n"/>
      <c r="AD283" s="25" t="n"/>
      <c r="AE283" s="25" t="n"/>
      <c r="AF283" s="25" t="n"/>
      <c r="AG283" s="3">
        <f>AF283</f>
        <v>0</v>
      </c>
      <c r="AH283" s="3">
        <f>AG283</f>
        <v>0</v>
      </c>
      <c r="AI283" s="3">
        <f>AH283</f>
        <v>0</v>
      </c>
      <c r="AJ283" s="3">
        <f>AI283</f>
        <v>0</v>
      </c>
      <c r="AK283" s="3">
        <f>AJ283</f>
        <v>0</v>
      </c>
      <c r="AL283" s="3">
        <f>AK283</f>
        <v>0</v>
      </c>
      <c r="AM283" s="3">
        <f>AL283</f>
        <v>0</v>
      </c>
      <c r="AN283" s="3">
        <f>AM283</f>
        <v>0</v>
      </c>
      <c r="AO283" s="3">
        <f>AN283</f>
        <v>0</v>
      </c>
      <c r="AP283" s="3">
        <f>AO283</f>
        <v>0</v>
      </c>
      <c r="AQ283" s="3">
        <f>AP283</f>
        <v>0</v>
      </c>
      <c r="AR283" s="3">
        <f>AQ283</f>
        <v>0</v>
      </c>
      <c r="AS283" s="3">
        <f>AR283</f>
        <v>0</v>
      </c>
      <c r="AT283" s="3">
        <f>AS283</f>
        <v>0</v>
      </c>
      <c r="AU283" s="3">
        <f>AT283</f>
        <v>0</v>
      </c>
      <c r="AV283" s="3">
        <f>AU283</f>
        <v>0</v>
      </c>
      <c r="AW283" s="3">
        <f>AV283</f>
        <v>0</v>
      </c>
      <c r="AX283" s="3">
        <f>AW283</f>
        <v>0</v>
      </c>
      <c r="AY283" s="3">
        <f>AX283</f>
        <v>0</v>
      </c>
      <c r="AZ283" s="3">
        <f>AY283</f>
        <v>0</v>
      </c>
      <c r="BA283" s="3">
        <f>AZ283</f>
        <v>0</v>
      </c>
      <c r="BB283" s="3">
        <f>BA283</f>
        <v>0</v>
      </c>
      <c r="BC283" s="3">
        <f>BB283</f>
        <v>0</v>
      </c>
      <c r="BD283" s="3">
        <f>BC283</f>
        <v>0</v>
      </c>
      <c r="BE283" s="3">
        <f>BD283</f>
        <v>0</v>
      </c>
      <c r="BF283" s="3">
        <f>BE283</f>
        <v>0</v>
      </c>
      <c r="BG283" s="3">
        <f>BF283</f>
        <v>0</v>
      </c>
      <c r="BH283" s="3">
        <f>BG283</f>
        <v>0</v>
      </c>
      <c r="BI283" s="3">
        <f>BH283</f>
        <v>0</v>
      </c>
      <c r="BJ283" s="3">
        <f>BI283</f>
        <v>0</v>
      </c>
      <c r="BK283" s="3">
        <f>BJ283</f>
        <v>0</v>
      </c>
      <c r="BL283" s="3">
        <f>BK283</f>
        <v>0</v>
      </c>
      <c r="BM283" s="3">
        <f>BL283</f>
        <v>0</v>
      </c>
      <c r="BN283" s="3">
        <f>BM283</f>
        <v>0</v>
      </c>
      <c r="BO283" s="3">
        <f>BN283</f>
        <v>0</v>
      </c>
      <c r="BP283" s="3">
        <f>BO283</f>
        <v>0</v>
      </c>
      <c r="BQ283" s="3">
        <f>BP283</f>
        <v>0</v>
      </c>
      <c r="BR283" s="3">
        <f>BQ283</f>
        <v>0</v>
      </c>
      <c r="BS283" s="3">
        <f>BR283</f>
        <v>0</v>
      </c>
      <c r="BT283" s="3">
        <f>BS283</f>
        <v>0</v>
      </c>
      <c r="BU283" s="3">
        <f>BT283</f>
        <v>0</v>
      </c>
      <c r="BV283" s="3">
        <f>BU283</f>
        <v>0</v>
      </c>
      <c r="BW283" s="3">
        <f>BV283</f>
        <v>0</v>
      </c>
      <c r="BX283" s="3">
        <f>BW283</f>
        <v>0</v>
      </c>
      <c r="BY283" s="3">
        <f>BX283</f>
        <v>0</v>
      </c>
      <c r="BZ283" s="3">
        <f>BY283</f>
        <v>0</v>
      </c>
      <c r="CA283" s="3">
        <f>BZ283</f>
        <v>0</v>
      </c>
      <c r="CB283" s="3">
        <f>CA283</f>
        <v>0</v>
      </c>
      <c r="CC283" s="3">
        <f>CB283</f>
        <v>0</v>
      </c>
      <c r="CD283" s="3">
        <f>CC283</f>
        <v>0</v>
      </c>
      <c r="CE283" s="3">
        <f>CD283</f>
        <v>0</v>
      </c>
      <c r="CF283" s="3">
        <f>CE283</f>
        <v>0</v>
      </c>
      <c r="CG283" s="3">
        <f>CF283</f>
        <v>0</v>
      </c>
      <c r="CH283" s="3">
        <f>CG283</f>
        <v>0</v>
      </c>
      <c r="CI283" s="3">
        <f>CH283</f>
        <v>0</v>
      </c>
      <c r="CJ283" s="3">
        <f>CI283</f>
        <v>0</v>
      </c>
      <c r="CK283" s="3">
        <f>CJ283</f>
        <v>0</v>
      </c>
      <c r="CL283" s="3">
        <f>CK283</f>
        <v>0</v>
      </c>
      <c r="CM283" s="3">
        <f>CL283</f>
        <v>0</v>
      </c>
      <c r="CN283" s="3">
        <f>CM283</f>
        <v>0</v>
      </c>
      <c r="CO283" s="3">
        <f>CN283</f>
        <v>0</v>
      </c>
      <c r="CP283" s="3">
        <f>CO283</f>
        <v>0</v>
      </c>
      <c r="CQ283" s="3">
        <f>CP283</f>
        <v>0</v>
      </c>
      <c r="CR283" s="3">
        <f>CQ283</f>
        <v>0</v>
      </c>
      <c r="CS283" s="3">
        <f>CR283</f>
        <v>0</v>
      </c>
      <c r="CT283" s="3">
        <f>CS283</f>
        <v>0</v>
      </c>
      <c r="CU283" s="3">
        <f>CT283</f>
        <v>0</v>
      </c>
      <c r="CV283" s="3">
        <f>CU283</f>
        <v>0</v>
      </c>
      <c r="CW283" s="3">
        <f>CV283</f>
        <v>0</v>
      </c>
      <c r="CX283" s="3">
        <f>CW283</f>
        <v>0</v>
      </c>
      <c r="CY283" s="3">
        <f>CX283</f>
        <v>0</v>
      </c>
    </row>
    <row r="284">
      <c r="C284" s="28" t="inlineStr">
        <is>
          <t>Retained earnings</t>
        </is>
      </c>
      <c r="D284" s="25">
        <f>INDEX('Inputs (2)'!$D$47:$AL$47,MATCH(D$7,'Inputs (2)'!$D$2:$AL$2,0))</f>
        <v>95.67</v>
      </c>
      <c r="E284" s="25">
        <f>INDEX('Inputs (2)'!$D$47:$AL$47,MATCH(E$7,'Inputs (2)'!$D$2:$AL$2,0))</f>
        <v>102.659</v>
      </c>
      <c r="F284" s="25">
        <f>INDEX('Inputs (2)'!$D$47:$AL$47,MATCH(F$7,'Inputs (2)'!$D$2:$AL$2,0))</f>
        <v>151.035</v>
      </c>
      <c r="G284" s="25">
        <f>INDEX('Inputs (2)'!$D$47:$AL$47,MATCH(G$7,'Inputs (2)'!$D$2:$AL$2,0))</f>
        <v>180.812</v>
      </c>
      <c r="H284" s="3">
        <f>G284</f>
        <v>180.812</v>
      </c>
      <c r="I284" s="25">
        <f>INDEX('Inputs (2)'!$D$47:$AL$47,MATCH(I$7,'Inputs (2)'!$D$2:$AL$2,0))</f>
        <v>230.805</v>
      </c>
      <c r="J284" s="25">
        <f>INDEX('Inputs (2)'!$D$47:$AL$47,MATCH(J$7,'Inputs (2)'!$D$2:$AL$2,0))</f>
        <v>232.601</v>
      </c>
      <c r="K284" s="25">
        <f>INDEX('Inputs (2)'!$D$47:$AL$47,MATCH(K$7,'Inputs (2)'!$D$2:$AL$2,0))</f>
        <v>300.006</v>
      </c>
      <c r="L284" s="25">
        <f>INDEX('Inputs (2)'!$D$47:$AL$47,MATCH(L$7,'Inputs (2)'!$D$2:$AL$2,0))</f>
        <v>282.567</v>
      </c>
      <c r="M284" s="3">
        <f>L284</f>
        <v>282.567</v>
      </c>
      <c r="N284" s="25">
        <f>INDEX('Inputs (2)'!$D$47:$AL$47,MATCH(N$7,'Inputs (2)'!$D$2:$AL$2,0))</f>
        <v>344.47</v>
      </c>
      <c r="O284" s="25">
        <f>INDEX('Inputs (2)'!$D$47:$AL$47,MATCH(O$7,'Inputs (2)'!$D$2:$AL$2,0))</f>
        <v>351.986</v>
      </c>
      <c r="P284" s="25">
        <f>INDEX('Inputs (2)'!$D$47:$AL$47,MATCH(P$7,'Inputs (2)'!$D$2:$AL$2,0))</f>
        <v>441.858</v>
      </c>
      <c r="Q284" s="25">
        <f>INDEX('Inputs (2)'!$D$47:$AL$47,MATCH(Q$7,'Inputs (2)'!$D$2:$AL$2,0))</f>
        <v>455.295</v>
      </c>
      <c r="R284" s="3">
        <f>Q284</f>
        <v>455.295</v>
      </c>
      <c r="S284" s="25">
        <f>INDEX('Inputs (2)'!$D$47:$AL$47,MATCH(S$7,'Inputs (2)'!$D$2:$AL$2,0))</f>
        <v>547.144</v>
      </c>
      <c r="T284" s="25">
        <f>INDEX('Inputs (2)'!$D$47:$AL$47,MATCH(T$7,'Inputs (2)'!$D$2:$AL$2,0))</f>
        <v>668.517</v>
      </c>
      <c r="U284" s="25">
        <f>INDEX('Inputs (2)'!$D$47:$AL$47,MATCH(U$7,'Inputs (2)'!$D$2:$AL$2,0))</f>
        <v>626.737</v>
      </c>
      <c r="V284" s="25">
        <f>INDEX('Inputs (2)'!$D$47:$AL$47,MATCH(V$7,'Inputs (2)'!$D$2:$AL$2,0))</f>
        <v>568.523</v>
      </c>
      <c r="W284" s="3">
        <f>V284</f>
        <v>568.523</v>
      </c>
      <c r="X284" s="25">
        <f>INDEX('Inputs (2)'!$D$47:$AL$47,MATCH(X$7,'Inputs (2)'!$D$2:$AL$2,0))</f>
        <v>709.764</v>
      </c>
      <c r="Y284" s="25">
        <f>INDEX('Inputs (2)'!$D$47:$AL$47,MATCH(Y$7,'Inputs (2)'!$D$2:$AL$2,0))</f>
        <v>617.011</v>
      </c>
      <c r="Z284" s="25">
        <f>INDEX('Inputs (2)'!$D$47:$AL$47,MATCH(Z$7,'Inputs (2)'!$D$2:$AL$2,0))</f>
        <v>787.582</v>
      </c>
      <c r="AA284" s="25">
        <f>INDEX('Inputs (2)'!$D$47:$AL$47,MATCH(AA$7,'Inputs (2)'!$D$2:$AL$2,0))</f>
        <v>599.028</v>
      </c>
      <c r="AB284" s="3">
        <f>AA284</f>
        <v>599.028</v>
      </c>
      <c r="AC284" s="25">
        <f>INDEX('Inputs (2)'!$D$47:$AL$47,MATCH(AC$7,'Inputs (2)'!$D$2:$AL$2,0))</f>
        <v>637.503</v>
      </c>
      <c r="AD284" s="25">
        <f>INDEX('Inputs (2)'!$D$47:$AL$47,MATCH(AD$7,'Inputs (2)'!$D$2:$AL$2,0))</f>
        <v>774.234</v>
      </c>
      <c r="AE284" s="25">
        <f>INDEX('Inputs (2)'!$D$47:$AL$47,MATCH(AE$7,'Inputs (2)'!$D$2:$AL$2,0))</f>
        <v>829.487</v>
      </c>
      <c r="AF284" s="25">
        <f>INDEX('Inputs (2)'!$D$47:$AL$47,MATCH(AF$7,'Inputs (2)'!$D$2:$AL$2,0))</f>
        <v>276.564</v>
      </c>
      <c r="AG284" s="3">
        <f>AF284</f>
        <v>276.564</v>
      </c>
      <c r="AH284" s="3">
        <f>INDEX('Inputs (2)'!$D$47:$AL$47,MATCH(AH$7,'Inputs (2)'!$D$2:$AL$2,0))</f>
        <v>439.431</v>
      </c>
      <c r="AI284" s="3">
        <f>INDEX('Inputs (2)'!$D$47:$AL$47,MATCH(AI$7,'Inputs (2)'!$D$2:$AL$2,0))</f>
        <v>549.882</v>
      </c>
      <c r="AJ284" s="3">
        <f>AI284+AJ151+AJ152</f>
        <v>573.492</v>
      </c>
      <c r="AK284" s="3">
        <f>AJ284+AK151+AK152</f>
        <v>597.685</v>
      </c>
      <c r="AL284" s="3">
        <f>AK284</f>
        <v>597.685</v>
      </c>
      <c r="AM284" s="3">
        <f>AL284+AM151+AM152</f>
        <v>599.816</v>
      </c>
      <c r="AN284" s="3">
        <f>AM284+AN151+AN152</f>
        <v>754.612</v>
      </c>
      <c r="AO284" s="3">
        <f>AN284+AO151+AO152</f>
        <v>777.297</v>
      </c>
      <c r="AP284" s="3">
        <f>AO284+AP151+AP152</f>
        <v>947.844</v>
      </c>
      <c r="AQ284" s="3">
        <f>AP284</f>
        <v>947.844</v>
      </c>
      <c r="AR284" s="3">
        <f>AQ284+AR151+AR152</f>
        <v>1096.329</v>
      </c>
      <c r="AS284" s="3">
        <f>AR284+AS151+AS152</f>
        <v>1541.983</v>
      </c>
      <c r="AT284" s="3">
        <f>AS284+AT151+AT152</f>
        <v>1711.022</v>
      </c>
      <c r="AU284" s="3">
        <f>AT284+AU151+AU152</f>
        <v>2172.427</v>
      </c>
      <c r="AV284" s="3">
        <f>AU284</f>
        <v>2172.427</v>
      </c>
      <c r="AW284" s="3">
        <f>AV284+AW151+AW152</f>
        <v>2611.77</v>
      </c>
      <c r="AX284" s="3">
        <f>AW284+AX151+AX152</f>
        <v>3931.848</v>
      </c>
      <c r="AY284" s="3">
        <f>AX284+AY151+AY152</f>
        <v>4391.745</v>
      </c>
      <c r="AZ284" s="3">
        <f>AY284+AZ151+AZ152</f>
        <v>5727.574</v>
      </c>
      <c r="BA284" s="3">
        <f>AZ284</f>
        <v>5727.574</v>
      </c>
      <c r="BB284" s="3">
        <f>BA284+BB151+BB152</f>
        <v>7041.341</v>
      </c>
      <c r="BC284" s="3">
        <f>BB284+BC151+BC152</f>
        <v>10691.983</v>
      </c>
      <c r="BD284" s="3">
        <f>BC284+BD151+BD152</f>
        <v>12026.304</v>
      </c>
      <c r="BE284" s="3">
        <f>BD284+BE151+BE152</f>
        <v>15692.697</v>
      </c>
      <c r="BF284" s="3">
        <f>BE284</f>
        <v>15692.697</v>
      </c>
      <c r="BG284" s="3">
        <f>BF284+BG151+BG152</f>
        <v>19337.028</v>
      </c>
      <c r="BH284" s="3">
        <f>BG284+BH151+BH152</f>
        <v>29397.646</v>
      </c>
      <c r="BI284" s="3">
        <f>BH284+BI151+BI152</f>
        <v>33062.531</v>
      </c>
      <c r="BJ284" s="3">
        <f>BI284+BJ151+BJ152</f>
        <v>43138.9</v>
      </c>
      <c r="BK284" s="3">
        <f>BJ284</f>
        <v>43138.9</v>
      </c>
      <c r="BL284" s="3">
        <f>BK284+BL151+BL152</f>
        <v>53193.207</v>
      </c>
      <c r="BM284" s="3">
        <f>BL284+BM151+BM152</f>
        <v>80734.905</v>
      </c>
      <c r="BN284" s="3">
        <f>BM284+BN151+BN152</f>
        <v>90809.766</v>
      </c>
      <c r="BO284" s="3">
        <f>BN284+BO151+BO152</f>
        <v>118367.215</v>
      </c>
      <c r="BP284" s="3">
        <f>BO284</f>
        <v>118367.215</v>
      </c>
      <c r="BQ284" s="3">
        <f>BP284+BQ151+BQ152</f>
        <v>145902.602</v>
      </c>
      <c r="BR284" s="3">
        <f>BQ284+BR151+BR152</f>
        <v>221226.412</v>
      </c>
      <c r="BS284" s="3">
        <f>BR284+BS151+BS152</f>
        <v>248782.353</v>
      </c>
      <c r="BT284" s="3">
        <f>BS284+BT151+BT152</f>
        <v>324121.914</v>
      </c>
      <c r="BU284" s="3">
        <f>BT284</f>
        <v>324121.914</v>
      </c>
      <c r="BV284" s="3">
        <f>BU284+BV151+BV152</f>
        <v>399439.413</v>
      </c>
      <c r="BW284" s="3">
        <f>BV284+BW151+BW152</f>
        <v>605289.607</v>
      </c>
      <c r="BX284" s="3">
        <f>BW284+BX151+BX152</f>
        <v>680627.66</v>
      </c>
      <c r="BY284" s="3">
        <f>BX284+BY151+BY152</f>
        <v>886493.605</v>
      </c>
      <c r="BZ284" s="3">
        <f>BY284</f>
        <v>886493.605</v>
      </c>
      <c r="CA284" s="3">
        <f>BZ284+CA151+CA152</f>
        <v>1092337.488</v>
      </c>
      <c r="CB284" s="3">
        <f>CA284+CB151+CB152</f>
        <v>1654804.674</v>
      </c>
      <c r="CC284" s="3">
        <f>CB284+CC151+CC152</f>
        <v>1860669.111</v>
      </c>
      <c r="CD284" s="3">
        <f>CC284+CD151+CD152</f>
        <v>2423152.048</v>
      </c>
      <c r="CE284" s="3">
        <f>CD284</f>
        <v>2423152.048</v>
      </c>
      <c r="CF284" s="3">
        <f>CE284+CF151+CF152</f>
        <v>2985612.923</v>
      </c>
      <c r="CG284" s="3">
        <f>CF284+CG151+CG152</f>
        <v>4522366.861</v>
      </c>
      <c r="CH284" s="3">
        <f>CG284+CH151+CH152</f>
        <v>5084848.29</v>
      </c>
      <c r="CI284" s="3">
        <f>CH284+CI151+CI152</f>
        <v>6621617.979</v>
      </c>
      <c r="CJ284" s="3">
        <f>CI284</f>
        <v>6621617.979</v>
      </c>
      <c r="CK284" s="3">
        <f>CJ284+CK151+CK152</f>
        <v>8158365.606</v>
      </c>
      <c r="CL284" s="3">
        <f>CK284+CL151+CL152</f>
        <v>12356927.032</v>
      </c>
      <c r="CM284" s="3">
        <f>CL284+CM151+CM152</f>
        <v>13893695.213</v>
      </c>
      <c r="CN284" s="3">
        <f>CM284+CN151+CN152</f>
        <v>18092272.39</v>
      </c>
      <c r="CO284" s="3">
        <f>CN284</f>
        <v>18092272.39</v>
      </c>
      <c r="CP284" s="3">
        <f>CO284+CP151+CP152</f>
        <v>22290827.505</v>
      </c>
      <c r="CQ284" s="3">
        <f>CP284+CQ151+CQ152</f>
        <v>33761577.411</v>
      </c>
      <c r="CR284" s="3">
        <f>CQ284+CR151+CR152</f>
        <v>37960153.08</v>
      </c>
      <c r="CS284" s="3">
        <f>CR284+CS151+CS152</f>
        <v>49430918.737</v>
      </c>
      <c r="CT284" s="3">
        <f>CS284</f>
        <v>49430918.737</v>
      </c>
      <c r="CU284" s="3">
        <f>CT284+CU151+CU152</f>
        <v>60901662.332</v>
      </c>
      <c r="CV284" s="3">
        <f>CU284+CV151+CV152</f>
        <v>92240404.174</v>
      </c>
      <c r="CW284" s="3">
        <f>CV284+CW151+CW152</f>
        <v>103711168.323</v>
      </c>
      <c r="CX284" s="3">
        <f>CW284+CX151+CX152</f>
        <v>135049925.916</v>
      </c>
      <c r="CY284" s="3">
        <f>CX284</f>
        <v>135049925.916</v>
      </c>
    </row>
    <row r="285" customFormat="1" s="17">
      <c r="A285" s="13" t="inlineStr">
        <is>
          <t xml:space="preserve"> </t>
        </is>
      </c>
      <c r="B285" s="13" t="n"/>
      <c r="C285" s="27" t="inlineStr">
        <is>
          <t>Total Shareholders' Equity</t>
        </is>
      </c>
      <c r="D285" s="16">
        <f>SUM(D262+D267+D268+D281+D282+D283+D284)</f>
        <v>375.625</v>
      </c>
      <c r="E285" s="16">
        <f>SUM(E262+E267+E268+E281+E282+E283+E284)</f>
        <v>419.772</v>
      </c>
      <c r="F285" s="16">
        <f>SUM(F262+F267+F268+F281+F282+F283+F284)</f>
        <v>630.623</v>
      </c>
      <c r="G285" s="16">
        <f>SUM(G262+G267+G268+G281+G282+G283+G284)</f>
        <v>642.387</v>
      </c>
      <c r="H285" s="16">
        <f>SUM(H262,H267,H268,H281,H282,H283,H284)</f>
        <v>642.387</v>
      </c>
      <c r="I285" s="16">
        <f>SUM(I262+I267+I268+I281+I282+I283+I284)</f>
        <v>693.715</v>
      </c>
      <c r="J285" s="16">
        <f>SUM(J262+J267+J268+J281+J282+J283+J284)</f>
        <v>691.385</v>
      </c>
      <c r="K285" s="16">
        <f>SUM(K262+K267+K268+K281+K282+K283+K284)</f>
        <v>757.192</v>
      </c>
      <c r="L285" s="16">
        <f>SUM(L262+L267+L268+L281+L282+L283+L284)</f>
        <v>738.328</v>
      </c>
      <c r="M285" s="16">
        <f>SUM(M262,M267,M268,M281,M282,M283,M284)</f>
        <v>738.328</v>
      </c>
      <c r="N285" s="16">
        <f>SUM(N262+N267+N268+N281+N282+N283+N284)</f>
        <v>792.142</v>
      </c>
      <c r="O285" s="16">
        <f>SUM(O262+O267+O268+O281+O282+O283+O284)</f>
        <v>796.246</v>
      </c>
      <c r="P285" s="16">
        <f>SUM(P262+P267+P268+P281+P282+P283+P284)</f>
        <v>872.333</v>
      </c>
      <c r="Q285" s="16">
        <f>SUM(Q262+Q267+Q268+Q281+Q282+Q283+Q284)</f>
        <v>877.748</v>
      </c>
      <c r="R285" s="16">
        <f>SUM(R262,R267,R268,R281,R282,R283,R284)</f>
        <v>877.748</v>
      </c>
      <c r="S285" s="16">
        <f>SUM(S262+S267+S268+S281+S282+S283+S284)</f>
        <v>969.653</v>
      </c>
      <c r="T285" s="16">
        <f>SUM(T262+T267+T268+T281+T282+T283+T284)</f>
        <v>1102.487</v>
      </c>
      <c r="U285" s="16">
        <f>SUM(U262+U267+U268+U281+U282+U283+U284)</f>
        <v>1056.164</v>
      </c>
      <c r="V285" s="16">
        <f>SUM(V262+V267+V268+V281+V282+V283+V284)</f>
        <v>996.98</v>
      </c>
      <c r="W285" s="16">
        <f>SUM(W262,W267,W268,W281,W282,W283,W284)</f>
        <v>996.98</v>
      </c>
      <c r="X285" s="16">
        <f>SUM(X262+X267+X268+X281+X282+X283+X284)</f>
        <v>1158.442</v>
      </c>
      <c r="Y285" s="16">
        <f>SUM(Y262+Y267+Y268+Y281+Y282+Y283+Y284)</f>
        <v>1052.97</v>
      </c>
      <c r="Z285" s="16">
        <f>SUM(Z262+Z267+Z268+Z281+Z282+Z283+Z284)</f>
        <v>1233.32</v>
      </c>
      <c r="AA285" s="16">
        <f>SUM(AA262+AA267+AA268+AA281+AA282+AA283+AA284)</f>
        <v>1309.539</v>
      </c>
      <c r="AB285" s="16">
        <f>SUM(AB262,AB267,AB268,AB281,AB282,AB283,AB284)</f>
        <v>1309.539</v>
      </c>
      <c r="AC285" s="16">
        <f>SUM(AC262+AC267+AC268+AC281+AC282+AC283+AC284)</f>
        <v>1361.484</v>
      </c>
      <c r="AD285" s="16">
        <f>SUM(AD262+AD267+AD268+AD281+AD282+AD283+AD284)</f>
        <v>1578.294</v>
      </c>
      <c r="AE285" s="16">
        <f>SUM(AE262+AE267+AE268+AE281+AE282+AE283+AE284)</f>
        <v>1642.129</v>
      </c>
      <c r="AF285" s="16">
        <f>SUM(AF262+AF267+AF268+AF281+AF282+AF283+AF284)</f>
        <v>1662.054</v>
      </c>
      <c r="AG285" s="16">
        <f>SUM(AG262,AG267,AG268,AG281,AG282,AG283,AG284)</f>
        <v>1662.054</v>
      </c>
      <c r="AH285" s="16">
        <f>SUM(AH262+AH267+AH268+AH281+AH282+AH283+AH284)</f>
        <v>1891.97</v>
      </c>
      <c r="AI285" s="16">
        <f>SUM(AI262+AI267+AI268+AI281+AI282+AI283+AI284)</f>
        <v>2048.841</v>
      </c>
      <c r="AJ285" s="16">
        <f>SUM(AJ262+AJ267+AJ268+AJ281+AJ282+AJ283+AJ284)</f>
        <v>2100.408</v>
      </c>
      <c r="AK285" s="16">
        <f>SUM(AK262+AK267+AK268+AK281+AK282+AK283+AK284)</f>
        <v>2151.713</v>
      </c>
      <c r="AL285" s="16">
        <f>SUM(AL262,AL267,AL268,AL281,AL282,AL283,AL284)</f>
        <v>2151.713</v>
      </c>
      <c r="AM285" s="16">
        <f>SUM(AM262+AM267+AM268+AM281+AM282+AM283+AM284)</f>
        <v>2202.163</v>
      </c>
      <c r="AN285" s="16">
        <f>SUM(AN262+AN267+AN268+AN281+AN282+AN283+AN284)</f>
        <v>2397.699</v>
      </c>
      <c r="AO285" s="16">
        <f>SUM(AO262+AO267+AO268+AO281+AO282+AO283+AO284)</f>
        <v>2448.341</v>
      </c>
      <c r="AP285" s="16">
        <f>SUM(AP262+AP267+AP268+AP281+AP282+AP283+AP284)</f>
        <v>2646</v>
      </c>
      <c r="AQ285" s="16">
        <f>SUM(AQ262,AQ267,AQ268,AQ281,AQ282,AQ283,AQ284)</f>
        <v>2646</v>
      </c>
      <c r="AR285" s="16">
        <f>SUM(AR262+AR267+AR268+AR281+AR282+AR283+AR284)</f>
        <v>2842.804</v>
      </c>
      <c r="AS285" s="16">
        <f>SUM(AS262+AS267+AS268+AS281+AS282+AS283+AS284)</f>
        <v>3329.198</v>
      </c>
      <c r="AT285" s="16">
        <f>SUM(AT262+AT267+AT268+AT281+AT282+AT283+AT284)</f>
        <v>3526.194</v>
      </c>
      <c r="AU285" s="16">
        <f>SUM(AU262+AU267+AU268+AU281+AU282+AU283+AU284)</f>
        <v>4014.711</v>
      </c>
      <c r="AV285" s="16">
        <f>SUM(AV262,AV267,AV268,AV281,AV282,AV283,AV284)</f>
        <v>4014.711</v>
      </c>
      <c r="AW285" s="16">
        <f>SUM(AW262+AW267+AW268+AW281+AW282+AW283+AW284)</f>
        <v>4502.373</v>
      </c>
      <c r="AX285" s="16">
        <f>SUM(AX262+AX267+AX268+AX281+AX282+AX283+AX284)</f>
        <v>5863.191</v>
      </c>
      <c r="AY285" s="16">
        <f>SUM(AY262+AY267+AY268+AY281+AY282+AY283+AY284)</f>
        <v>6351.045</v>
      </c>
      <c r="AZ285" s="16">
        <f>SUM(AZ262+AZ267+AZ268+AZ281+AZ282+AZ283+AZ284)</f>
        <v>7713.986</v>
      </c>
      <c r="BA285" s="16">
        <f>SUM(BA262,BA267,BA268,BA281,BA282,BA283,BA284)</f>
        <v>7713.986</v>
      </c>
      <c r="BB285" s="16">
        <f>SUM(BB262+BB267+BB268+BB281+BB282+BB283+BB284)</f>
        <v>9076.072</v>
      </c>
      <c r="BC285" s="16">
        <f>SUM(BC262+BC267+BC268+BC281+BC282+BC283+BC284)</f>
        <v>12767.454</v>
      </c>
      <c r="BD285" s="16">
        <f>SUM(BD262+BD267+BD268+BD281+BD282+BD283+BD284)</f>
        <v>14129.732</v>
      </c>
      <c r="BE285" s="16">
        <f>SUM(BE262+BE267+BE268+BE281+BE282+BE283+BE284)</f>
        <v>17823.237</v>
      </c>
      <c r="BF285" s="16">
        <f>SUM(BF262,BF267,BF268,BF281,BF282,BF283,BF284)</f>
        <v>17823.237</v>
      </c>
      <c r="BG285" s="16">
        <f>SUM(BG262+BG267+BG268+BG281+BG282+BG283+BG284)</f>
        <v>21515.887</v>
      </c>
      <c r="BH285" s="16">
        <f>SUM(BH262+BH267+BH268+BH281+BH282+BH283+BH284)</f>
        <v>31617.245</v>
      </c>
      <c r="BI285" s="16">
        <f>SUM(BI262+BI267+BI268+BI281+BI282+BI283+BI284)</f>
        <v>35310.087</v>
      </c>
      <c r="BJ285" s="16">
        <f>SUM(BJ262+BJ267+BJ268+BJ281+BJ282+BJ283+BJ284)</f>
        <v>45413.568</v>
      </c>
      <c r="BK285" s="16">
        <f>SUM(BK262,BK267,BK268,BK281,BK282,BK283,BK284)</f>
        <v>45413.568</v>
      </c>
      <c r="BL285" s="16">
        <f>SUM(BL262+BL267+BL268+BL281+BL282+BL283+BL284)</f>
        <v>55516.194</v>
      </c>
      <c r="BM285" s="16">
        <f>SUM(BM262+BM267+BM268+BM281+BM282+BM283+BM284)</f>
        <v>83098.632</v>
      </c>
      <c r="BN285" s="16">
        <f>SUM(BN262+BN267+BN268+BN281+BN282+BN283+BN284)</f>
        <v>93201.45</v>
      </c>
      <c r="BO285" s="16">
        <f>SUM(BO262+BO267+BO268+BO281+BO282+BO283+BO284)</f>
        <v>120786.011</v>
      </c>
      <c r="BP285" s="16">
        <f>SUM(BP262,BP267,BP268,BP281,BP282,BP283,BP284)</f>
        <v>120786.011</v>
      </c>
      <c r="BQ285" s="16">
        <f>SUM(BQ262+BQ267+BQ268+BQ281+BQ282+BQ283+BQ284)</f>
        <v>148369.717</v>
      </c>
      <c r="BR285" s="16">
        <f>SUM(BR262+BR267+BR268+BR281+BR282+BR283+BR284)</f>
        <v>223734.267</v>
      </c>
      <c r="BS285" s="16">
        <f>SUM(BS262+BS267+BS268+BS281+BS282+BS283+BS284)</f>
        <v>251318.165</v>
      </c>
      <c r="BT285" s="16">
        <f>SUM(BT262+BT267+BT268+BT281+BT282+BT283+BT284)</f>
        <v>326684.838</v>
      </c>
      <c r="BU285" s="16">
        <f>SUM(BU262,BU267,BU268,BU281,BU282,BU283,BU284)</f>
        <v>326684.838</v>
      </c>
      <c r="BV285" s="16">
        <f>SUM(BV262+BV267+BV268+BV281+BV282+BV283+BV284)</f>
        <v>402050.656</v>
      </c>
      <c r="BW285" s="16">
        <f>SUM(BW262+BW267+BW268+BW281+BW282+BW283+BW284)</f>
        <v>607941.59</v>
      </c>
      <c r="BX285" s="16">
        <f>SUM(BX262+BX267+BX268+BX281+BX282+BX283+BX284)</f>
        <v>683307.6</v>
      </c>
      <c r="BY285" s="16">
        <f>SUM(BY262+BY267+BY268+BY281+BY282+BY283+BY284)</f>
        <v>889200.657</v>
      </c>
      <c r="BZ285" s="16">
        <f>SUM(BZ262,BZ267,BZ268,BZ281,BZ282,BZ283,BZ284)</f>
        <v>889200.657</v>
      </c>
      <c r="CA285" s="16">
        <f>SUM(CA262+CA267+CA268+CA281+CA282+CA283+CA284)</f>
        <v>1095092.859</v>
      </c>
      <c r="CB285" s="16">
        <f>SUM(CB262+CB267+CB268+CB281+CB282+CB283+CB284)</f>
        <v>1657600.785</v>
      </c>
      <c r="CC285" s="16">
        <f>SUM(CC262+CC267+CC268+CC281+CC282+CC283+CC284)</f>
        <v>1863493.179</v>
      </c>
      <c r="CD285" s="16">
        <f>SUM(CD262+CD267+CD268+CD281+CD282+CD283+CD284)</f>
        <v>2426003.228</v>
      </c>
      <c r="CE285" s="16">
        <f>SUM(CE262,CE267,CE268,CE281,CE282,CE283,CE284)</f>
        <v>2426003.228</v>
      </c>
      <c r="CF285" s="16">
        <f>SUM(CF262+CF267+CF268+CF281+CF282+CF283+CF284)</f>
        <v>2988512.422</v>
      </c>
      <c r="CG285" s="16">
        <f>SUM(CG262+CG267+CG268+CG281+CG282+CG283+CG284)</f>
        <v>4525307.1</v>
      </c>
      <c r="CH285" s="16">
        <f>SUM(CH262+CH267+CH268+CH281+CH282+CH283+CH284)</f>
        <v>5087816.486</v>
      </c>
      <c r="CI285" s="16">
        <f>SUM(CI262+CI267+CI268+CI281+CI282+CI283+CI284)</f>
        <v>6624613.287</v>
      </c>
      <c r="CJ285" s="16">
        <f>SUM(CJ262,CJ267,CJ268,CJ281,CJ282,CJ283,CJ284)</f>
        <v>6624613.287</v>
      </c>
      <c r="CK285" s="16">
        <f>SUM(CK262+CK267+CK268+CK281+CK282+CK283+CK284)</f>
        <v>8161409.233</v>
      </c>
      <c r="CL285" s="16">
        <f>SUM(CL262+CL267+CL268+CL281+CL282+CL283+CL284)</f>
        <v>12360011.399</v>
      </c>
      <c r="CM285" s="16">
        <f>SUM(CM262+CM267+CM268+CM281+CM282+CM283+CM284)</f>
        <v>13896807.537</v>
      </c>
      <c r="CN285" s="16">
        <f>SUM(CN262+CN267+CN268+CN281+CN282+CN283+CN284)</f>
        <v>18095411.826</v>
      </c>
      <c r="CO285" s="16">
        <f>SUM(CO262,CO267,CO268,CO281,CO282,CO283,CO284)</f>
        <v>18095411.826</v>
      </c>
      <c r="CP285" s="16">
        <f>SUM(CP262+CP267+CP268+CP281+CP282+CP283+CP284)</f>
        <v>22294015.26</v>
      </c>
      <c r="CQ285" s="16">
        <f>SUM(CQ262+CQ267+CQ268+CQ281+CQ282+CQ283+CQ284)</f>
        <v>33764805.906</v>
      </c>
      <c r="CR285" s="16">
        <f>SUM(CR262+CR267+CR268+CR281+CR282+CR283+CR284)</f>
        <v>37963409.532</v>
      </c>
      <c r="CS285" s="16">
        <f>SUM(CS262+CS267+CS268+CS281+CS282+CS283+CS284)</f>
        <v>49434202.301</v>
      </c>
      <c r="CT285" s="16">
        <f>SUM(CT262,CT267,CT268,CT281,CT282,CT283,CT284)</f>
        <v>49434202.301</v>
      </c>
      <c r="CU285" s="16">
        <f>SUM(CU262+CU267+CU268+CU281+CU282+CU283+CU284)</f>
        <v>60904994.215</v>
      </c>
      <c r="CV285" s="16">
        <f>SUM(CV262+CV267+CV268+CV281+CV282+CV283+CV284)</f>
        <v>92243776.797</v>
      </c>
      <c r="CW285" s="16">
        <f>SUM(CW262+CW267+CW268+CW281+CW282+CW283+CW284)</f>
        <v>103714568.903</v>
      </c>
      <c r="CX285" s="16">
        <f>SUM(CX262+CX267+CX268+CX281+CX282+CX283+CX284)</f>
        <v>135053353.608</v>
      </c>
      <c r="CY285" s="16">
        <f>SUM(CY262,CY267,CY268,CY281,CY282,CY283,CY284)</f>
        <v>135053353.608</v>
      </c>
    </row>
    <row r="286">
      <c r="C286" s="29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3" t="n"/>
      <c r="CG286" s="3" t="n"/>
      <c r="CH286" s="3" t="n"/>
      <c r="CI286" s="3" t="n"/>
      <c r="CJ286" s="3" t="n"/>
      <c r="CK286" s="3" t="n"/>
      <c r="CL286" s="3" t="n"/>
      <c r="CM286" s="3" t="n"/>
      <c r="CN286" s="3" t="n"/>
      <c r="CO286" s="3" t="n"/>
      <c r="CP286" s="3" t="n"/>
      <c r="CQ286" s="3" t="n"/>
      <c r="CR286" s="3" t="n"/>
      <c r="CS286" s="3" t="n"/>
      <c r="CT286" s="3" t="n"/>
      <c r="CU286" s="3" t="n"/>
      <c r="CV286" s="3" t="n"/>
      <c r="CW286" s="3" t="n"/>
      <c r="CX286" s="3" t="n"/>
      <c r="CY286" s="3" t="n"/>
    </row>
    <row r="287" customFormat="1" s="17">
      <c r="A287" s="13" t="n"/>
      <c r="B287" s="1" t="n"/>
      <c r="C287" s="14" t="inlineStr">
        <is>
          <t>Total Liabilities + Shareholders' Equity</t>
        </is>
      </c>
      <c r="D287" s="16">
        <f>D285+D261</f>
        <v>1263.875</v>
      </c>
      <c r="E287" s="16">
        <f>E285+E261</f>
        <v>1430.166</v>
      </c>
      <c r="F287" s="16">
        <f>F285+F261</f>
        <v>1795.232</v>
      </c>
      <c r="G287" s="16">
        <f>G285+G261</f>
        <v>1644.712</v>
      </c>
      <c r="H287" s="16">
        <f>H285+H261</f>
        <v>1644.712</v>
      </c>
      <c r="I287" s="16">
        <f>I285+I261</f>
        <v>1918.297</v>
      </c>
      <c r="J287" s="16">
        <f>J285+J261</f>
        <v>2032.57</v>
      </c>
      <c r="K287" s="16">
        <f>K285+K261</f>
        <v>2177.211</v>
      </c>
      <c r="L287" s="16">
        <f>L285+L261</f>
        <v>2597.922</v>
      </c>
      <c r="M287" s="16">
        <f>M285+M261</f>
        <v>2597.922</v>
      </c>
      <c r="N287" s="16">
        <f>N285+N261</f>
        <v>2933.909</v>
      </c>
      <c r="O287" s="16">
        <f>O285+O261</f>
        <v>2917.631</v>
      </c>
      <c r="P287" s="16">
        <f>P285+P261</f>
        <v>2784.853</v>
      </c>
      <c r="Q287" s="16">
        <f>Q285+Q261</f>
        <v>2798.431</v>
      </c>
      <c r="R287" s="16">
        <f>R285+R261</f>
        <v>2798.431</v>
      </c>
      <c r="S287" s="16">
        <f>S285+S261</f>
        <v>2733.836</v>
      </c>
      <c r="T287" s="16">
        <f>T285+T261</f>
        <v>2836.65</v>
      </c>
      <c r="U287" s="16">
        <f>U285+U261</f>
        <v>3150.612</v>
      </c>
      <c r="V287" s="16">
        <f>V285+V261</f>
        <v>3092.023</v>
      </c>
      <c r="W287" s="16">
        <f>W285+W261</f>
        <v>3092.023</v>
      </c>
      <c r="X287" s="16">
        <f>X285+X261</f>
        <v>3412.477</v>
      </c>
      <c r="Y287" s="16">
        <f>Y285+Y261</f>
        <v>3983.671</v>
      </c>
      <c r="Z287" s="16">
        <f>Z285+Z261</f>
        <v>3957.292</v>
      </c>
      <c r="AA287" s="16">
        <f>AA285+AA261</f>
        <v>4339.295</v>
      </c>
      <c r="AB287" s="16">
        <f>AB285+AB261</f>
        <v>4339.295</v>
      </c>
      <c r="AC287" s="16">
        <f>AC285+AC261</f>
        <v>4870.968</v>
      </c>
      <c r="AD287" s="16">
        <f>AD285+AD261</f>
        <v>5183.964</v>
      </c>
      <c r="AE287" s="16">
        <f>AE285+AE261</f>
        <v>5631.997</v>
      </c>
      <c r="AF287" s="16">
        <f>AF285+AF261</f>
        <v>5654.395</v>
      </c>
      <c r="AG287" s="16">
        <f>AG285+AG261</f>
        <v>5654.395</v>
      </c>
      <c r="AH287" s="16">
        <f>AH285+AH261</f>
        <v>6195.487</v>
      </c>
      <c r="AI287" s="16">
        <f>AI285+AI261</f>
        <v>6278.509</v>
      </c>
      <c r="AJ287" s="16">
        <f>AJ285+AJ261</f>
        <v>5860.576</v>
      </c>
      <c r="AK287" s="16">
        <f>AK285+AK261</f>
        <v>5911.881</v>
      </c>
      <c r="AL287" s="16">
        <f>AL285+AL261</f>
        <v>5911.881</v>
      </c>
      <c r="AM287" s="16" t="e">
        <f>AM285+AM261</f>
        <v>#DIV/0!</v>
      </c>
      <c r="AN287" s="16">
        <f>AN285+AN261</f>
        <v>6157.867</v>
      </c>
      <c r="AO287" s="16" t="e">
        <f>AO285+AO261</f>
        <v>#DIV/0!</v>
      </c>
      <c r="AP287" s="16" t="e">
        <f>AP285+AP261</f>
        <v>#DIV/0!</v>
      </c>
      <c r="AQ287" s="16" t="e">
        <f>AQ285+AQ261</f>
        <v>#DIV/0!</v>
      </c>
      <c r="AR287" s="16" t="e">
        <f>AR285+AR261</f>
        <v>#DIV/0!</v>
      </c>
      <c r="AS287" s="16" t="e">
        <f>AS285+AS261</f>
        <v>#DIV/0!</v>
      </c>
      <c r="AT287" s="16" t="e">
        <f>AT285+AT261</f>
        <v>#DIV/0!</v>
      </c>
      <c r="AU287" s="16" t="e">
        <f>AU285+AU261</f>
        <v>#DIV/0!</v>
      </c>
      <c r="AV287" s="16" t="e">
        <f>AV285+AV261</f>
        <v>#DIV/0!</v>
      </c>
      <c r="AW287" s="16" t="e">
        <f>AW285+AW261</f>
        <v>#DIV/0!</v>
      </c>
      <c r="AX287" s="16" t="e">
        <f>AX285+AX261</f>
        <v>#DIV/0!</v>
      </c>
      <c r="AY287" s="16" t="e">
        <f>AY285+AY261</f>
        <v>#DIV/0!</v>
      </c>
      <c r="AZ287" s="16" t="e">
        <f>AZ285+AZ261</f>
        <v>#DIV/0!</v>
      </c>
      <c r="BA287" s="16" t="e">
        <f>BA285+BA261</f>
        <v>#DIV/0!</v>
      </c>
      <c r="BB287" s="16" t="e">
        <f>BB285+BB261</f>
        <v>#DIV/0!</v>
      </c>
      <c r="BC287" s="16" t="e">
        <f>BC285+BC261</f>
        <v>#DIV/0!</v>
      </c>
      <c r="BD287" s="16" t="e">
        <f>BD285+BD261</f>
        <v>#DIV/0!</v>
      </c>
      <c r="BE287" s="16" t="e">
        <f>BE285+BE261</f>
        <v>#DIV/0!</v>
      </c>
      <c r="BF287" s="16" t="e">
        <f>BF285+BF261</f>
        <v>#DIV/0!</v>
      </c>
      <c r="BG287" s="16" t="e">
        <f>BG285+BG261</f>
        <v>#DIV/0!</v>
      </c>
      <c r="BH287" s="16" t="e">
        <f>BH285+BH261</f>
        <v>#DIV/0!</v>
      </c>
      <c r="BI287" s="16" t="e">
        <f>BI285+BI261</f>
        <v>#DIV/0!</v>
      </c>
      <c r="BJ287" s="16" t="e">
        <f>BJ285+BJ261</f>
        <v>#DIV/0!</v>
      </c>
      <c r="BK287" s="16" t="e">
        <f>BK285+BK261</f>
        <v>#DIV/0!</v>
      </c>
      <c r="BL287" s="16" t="e">
        <f>BL285+BL261</f>
        <v>#DIV/0!</v>
      </c>
      <c r="BM287" s="16" t="e">
        <f>BM285+BM261</f>
        <v>#DIV/0!</v>
      </c>
      <c r="BN287" s="16" t="e">
        <f>BN285+BN261</f>
        <v>#DIV/0!</v>
      </c>
      <c r="BO287" s="16" t="e">
        <f>BO285+BO261</f>
        <v>#DIV/0!</v>
      </c>
      <c r="BP287" s="16" t="e">
        <f>BP285+BP261</f>
        <v>#DIV/0!</v>
      </c>
      <c r="BQ287" s="16" t="e">
        <f>BQ285+BQ261</f>
        <v>#DIV/0!</v>
      </c>
      <c r="BR287" s="16" t="e">
        <f>BR285+BR261</f>
        <v>#DIV/0!</v>
      </c>
      <c r="BS287" s="16" t="e">
        <f>BS285+BS261</f>
        <v>#DIV/0!</v>
      </c>
      <c r="BT287" s="16" t="e">
        <f>BT285+BT261</f>
        <v>#DIV/0!</v>
      </c>
      <c r="BU287" s="16" t="e">
        <f>BU285+BU261</f>
        <v>#DIV/0!</v>
      </c>
      <c r="BV287" s="16" t="e">
        <f>BV285+BV261</f>
        <v>#DIV/0!</v>
      </c>
      <c r="BW287" s="16" t="e">
        <f>BW285+BW261</f>
        <v>#DIV/0!</v>
      </c>
      <c r="BX287" s="16" t="e">
        <f>BX285+BX261</f>
        <v>#DIV/0!</v>
      </c>
      <c r="BY287" s="16" t="e">
        <f>BY285+BY261</f>
        <v>#DIV/0!</v>
      </c>
      <c r="BZ287" s="16" t="e">
        <f>BZ285+BZ261</f>
        <v>#DIV/0!</v>
      </c>
      <c r="CA287" s="16" t="e">
        <f>CA285+CA261</f>
        <v>#DIV/0!</v>
      </c>
      <c r="CB287" s="16" t="e">
        <f>CB285+CB261</f>
        <v>#DIV/0!</v>
      </c>
      <c r="CC287" s="16" t="e">
        <f>CC285+CC261</f>
        <v>#DIV/0!</v>
      </c>
      <c r="CD287" s="16" t="e">
        <f>CD285+CD261</f>
        <v>#DIV/0!</v>
      </c>
      <c r="CE287" s="16" t="e">
        <f>CE285+CE261</f>
        <v>#DIV/0!</v>
      </c>
      <c r="CF287" s="16" t="e">
        <f>CF285+CF261</f>
        <v>#DIV/0!</v>
      </c>
      <c r="CG287" s="16" t="e">
        <f>CG285+CG261</f>
        <v>#DIV/0!</v>
      </c>
      <c r="CH287" s="16" t="e">
        <f>CH285+CH261</f>
        <v>#DIV/0!</v>
      </c>
      <c r="CI287" s="16" t="e">
        <f>CI285+CI261</f>
        <v>#DIV/0!</v>
      </c>
      <c r="CJ287" s="16" t="e">
        <f>CJ285+CJ261</f>
        <v>#DIV/0!</v>
      </c>
      <c r="CK287" s="16" t="e">
        <f>CK285+CK261</f>
        <v>#DIV/0!</v>
      </c>
      <c r="CL287" s="16" t="e">
        <f>CL285+CL261</f>
        <v>#DIV/0!</v>
      </c>
      <c r="CM287" s="16" t="e">
        <f>CM285+CM261</f>
        <v>#DIV/0!</v>
      </c>
      <c r="CN287" s="16" t="e">
        <f>CN285+CN261</f>
        <v>#DIV/0!</v>
      </c>
      <c r="CO287" s="16" t="e">
        <f>CO285+CO261</f>
        <v>#DIV/0!</v>
      </c>
      <c r="CP287" s="16" t="e">
        <f>CP285+CP261</f>
        <v>#DIV/0!</v>
      </c>
      <c r="CQ287" s="16" t="e">
        <f>CQ285+CQ261</f>
        <v>#DIV/0!</v>
      </c>
      <c r="CR287" s="16" t="e">
        <f>CR285+CR261</f>
        <v>#DIV/0!</v>
      </c>
      <c r="CS287" s="16" t="e">
        <f>CS285+CS261</f>
        <v>#DIV/0!</v>
      </c>
      <c r="CT287" s="16" t="e">
        <f>CT285+CT261</f>
        <v>#DIV/0!</v>
      </c>
      <c r="CU287" s="16" t="e">
        <f>CU285+CU261</f>
        <v>#DIV/0!</v>
      </c>
      <c r="CV287" s="16" t="e">
        <f>CV285+CV261</f>
        <v>#DIV/0!</v>
      </c>
      <c r="CW287" s="16" t="e">
        <f>CW285+CW261</f>
        <v>#DIV/0!</v>
      </c>
      <c r="CX287" s="16" t="e">
        <f>CX285+CX261</f>
        <v>#DIV/0!</v>
      </c>
      <c r="CY287" s="16" t="e">
        <f>CY285+CY261</f>
        <v>#DIV/0!</v>
      </c>
    </row>
    <row r="288">
      <c r="C288" s="5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  <c r="BJ288" s="1" t="n"/>
      <c r="BK288" s="1" t="n"/>
      <c r="BL288" s="1" t="n"/>
      <c r="BM288" s="1" t="n"/>
      <c r="BN288" s="1" t="n"/>
      <c r="BO288" s="1" t="n"/>
      <c r="BP288" s="1" t="n"/>
      <c r="BQ288" s="1" t="n"/>
      <c r="BR288" s="1" t="n"/>
      <c r="BS288" s="1" t="n"/>
      <c r="BT288" s="1" t="n"/>
      <c r="BU288" s="1" t="n"/>
      <c r="BV288" s="1" t="n"/>
      <c r="BW288" s="1" t="n"/>
      <c r="BX288" s="1" t="n"/>
      <c r="BY288" s="1" t="n"/>
      <c r="BZ288" s="1" t="n"/>
      <c r="CA288" s="1" t="n"/>
      <c r="CB288" s="1" t="n"/>
      <c r="CC288" s="1" t="n"/>
      <c r="CD288" s="1" t="n"/>
      <c r="CE288" s="1" t="n"/>
      <c r="CF288" s="1" t="n"/>
      <c r="CG288" s="1" t="n"/>
      <c r="CH288" s="1" t="n"/>
      <c r="CI288" s="1" t="n"/>
      <c r="CJ288" s="1" t="n"/>
      <c r="CK288" s="1" t="n"/>
      <c r="CL288" s="1" t="n"/>
      <c r="CM288" s="1" t="n"/>
      <c r="CN288" s="1" t="n"/>
      <c r="CO288" s="1" t="n"/>
      <c r="CP288" s="1" t="n"/>
      <c r="CQ288" s="1" t="n"/>
      <c r="CR288" s="1" t="n"/>
      <c r="CS288" s="1" t="n"/>
      <c r="CT288" s="1" t="n"/>
      <c r="CU288" s="1" t="n"/>
      <c r="CV288" s="1" t="n"/>
      <c r="CW288" s="1" t="n"/>
      <c r="CX288" s="1" t="n"/>
      <c r="CY288" s="1" t="n"/>
    </row>
    <row r="289" customFormat="1" s="17">
      <c r="A289" s="13" t="n"/>
      <c r="B289" s="13" t="n"/>
      <c r="C289" s="12" t="inlineStr">
        <is>
          <t>Cash Flow Statement</t>
        </is>
      </c>
      <c r="D289" s="232" t="str">
        <f>D156</f>
        <v>1Q20</v>
      </c>
      <c r="E289" s="232" t="str">
        <f>E156</f>
        <v>2Q20</v>
      </c>
      <c r="F289" s="232" t="str">
        <f>F156</f>
        <v>3Q20</v>
      </c>
      <c r="G289" s="232" t="str">
        <f>G156</f>
        <v>4Q20</v>
      </c>
      <c r="H289" s="232">
        <f>H156</f>
        <v>2020</v>
      </c>
      <c r="I289" s="232" t="str">
        <f>I156</f>
        <v>1Q21</v>
      </c>
      <c r="J289" s="232" t="str">
        <f>J156</f>
        <v>2Q21</v>
      </c>
      <c r="K289" s="232" t="str">
        <f>K156</f>
        <v>3Q21</v>
      </c>
      <c r="L289" s="232" t="str">
        <f>L156</f>
        <v>4Q21</v>
      </c>
      <c r="M289" s="232">
        <f>M156</f>
        <v>2021</v>
      </c>
      <c r="N289" s="232" t="str">
        <f>N156</f>
        <v>1Q22</v>
      </c>
      <c r="O289" s="232" t="str">
        <f>O156</f>
        <v>2Q22</v>
      </c>
      <c r="P289" s="232" t="str">
        <f>P156</f>
        <v>3Q22</v>
      </c>
      <c r="Q289" s="232" t="str">
        <f>Q156</f>
        <v>4Q22</v>
      </c>
      <c r="R289" s="232">
        <f>R156</f>
        <v>2022</v>
      </c>
      <c r="S289" s="232" t="str">
        <f>S156</f>
        <v>1Q23</v>
      </c>
      <c r="T289" s="232" t="str">
        <f>T156</f>
        <v>2Q23</v>
      </c>
      <c r="U289" s="232" t="str">
        <f>U156</f>
        <v>3Q23</v>
      </c>
      <c r="V289" s="232" t="str">
        <f>V156</f>
        <v>4Q23</v>
      </c>
      <c r="W289" s="232">
        <f>W156</f>
        <v>2023</v>
      </c>
      <c r="X289" s="232" t="str">
        <f>X156</f>
        <v>1Q24</v>
      </c>
      <c r="Y289" s="232" t="str">
        <f>Y156</f>
        <v>2Q24</v>
      </c>
      <c r="Z289" s="232" t="str">
        <f>Z156</f>
        <v>3Q24</v>
      </c>
      <c r="AA289" s="232" t="str">
        <f>AA156</f>
        <v>4Q24</v>
      </c>
      <c r="AB289" s="232">
        <f>AB156</f>
        <v>2024</v>
      </c>
      <c r="AC289" s="232" t="str">
        <f>AC156</f>
        <v>1Q25</v>
      </c>
      <c r="AD289" s="232" t="str">
        <f>AD156</f>
        <v>2Q25</v>
      </c>
      <c r="AE289" s="232" t="str">
        <f>AE156</f>
        <v>3Q25</v>
      </c>
      <c r="AF289" s="232" t="str">
        <f>AF156</f>
        <v>4Q25</v>
      </c>
      <c r="AG289" s="232">
        <f>AG156</f>
        <v>2025</v>
      </c>
      <c r="AH289" s="232" t="str">
        <f>AH156</f>
        <v>1Q26</v>
      </c>
      <c r="AI289" s="232" t="str">
        <f>AI156</f>
        <v>2Q26</v>
      </c>
      <c r="AJ289" s="232" t="str">
        <f>AJ156</f>
        <v>3Q26</v>
      </c>
      <c r="AK289" s="232" t="str">
        <f>AK156</f>
        <v>4Q26</v>
      </c>
      <c r="AL289" s="232">
        <f>AL156</f>
        <v>2026</v>
      </c>
      <c r="AM289" s="232" t="str">
        <f>AM156</f>
        <v>1Q27</v>
      </c>
      <c r="AN289" s="232" t="str">
        <f>AN156</f>
        <v>2Q27</v>
      </c>
      <c r="AO289" s="232" t="str">
        <f>AO156</f>
        <v>3Q27</v>
      </c>
      <c r="AP289" s="232" t="str">
        <f>AP156</f>
        <v>4Q27</v>
      </c>
      <c r="AQ289" s="232">
        <f>AQ156</f>
        <v>2027</v>
      </c>
      <c r="AR289" s="232" t="str">
        <f>AR156</f>
        <v>1Q28</v>
      </c>
      <c r="AS289" s="232" t="str">
        <f>AS156</f>
        <v>2Q28</v>
      </c>
      <c r="AT289" s="232" t="str">
        <f>AT156</f>
        <v>3Q28</v>
      </c>
      <c r="AU289" s="232" t="str">
        <f>AU156</f>
        <v>4Q28</v>
      </c>
      <c r="AV289" s="232">
        <f>AV156</f>
        <v>2028</v>
      </c>
      <c r="AW289" s="232" t="str">
        <f>AW156</f>
        <v>1Q29</v>
      </c>
      <c r="AX289" s="232" t="str">
        <f>AX156</f>
        <v>2Q29</v>
      </c>
      <c r="AY289" s="232" t="str">
        <f>AY156</f>
        <v>3Q29</v>
      </c>
      <c r="AZ289" s="232" t="str">
        <f>AZ156</f>
        <v>4Q29</v>
      </c>
      <c r="BA289" s="232">
        <f>BA156</f>
        <v>2029</v>
      </c>
      <c r="BB289" s="232" t="str">
        <f>BB156</f>
        <v>1Q30</v>
      </c>
      <c r="BC289" s="232" t="str">
        <f>BC156</f>
        <v>2Q30</v>
      </c>
      <c r="BD289" s="232" t="str">
        <f>BD156</f>
        <v>3Q30</v>
      </c>
      <c r="BE289" s="232" t="str">
        <f>BE156</f>
        <v>4Q30</v>
      </c>
      <c r="BF289" s="232">
        <f>BF156</f>
        <v>2030</v>
      </c>
      <c r="BG289" s="232" t="str">
        <f>BG156</f>
        <v>1Q31</v>
      </c>
      <c r="BH289" s="232" t="str">
        <f>BH156</f>
        <v>2Q31</v>
      </c>
      <c r="BI289" s="232" t="str">
        <f>BI156</f>
        <v>3Q31</v>
      </c>
      <c r="BJ289" s="232" t="str">
        <f>BJ156</f>
        <v>4Q31</v>
      </c>
      <c r="BK289" s="232">
        <f>BK156</f>
        <v>2031</v>
      </c>
      <c r="BL289" s="232" t="str">
        <f>BL156</f>
        <v>1Q32</v>
      </c>
      <c r="BM289" s="232" t="str">
        <f>BM156</f>
        <v>2Q32</v>
      </c>
      <c r="BN289" s="232" t="str">
        <f>BN156</f>
        <v>3Q32</v>
      </c>
      <c r="BO289" s="232" t="str">
        <f>BO156</f>
        <v>4Q32</v>
      </c>
      <c r="BP289" s="232">
        <f>BP156</f>
        <v>2032</v>
      </c>
      <c r="BQ289" s="232" t="str">
        <f>BQ156</f>
        <v>1Q33</v>
      </c>
      <c r="BR289" s="232" t="str">
        <f>BR156</f>
        <v>2Q33</v>
      </c>
      <c r="BS289" s="232" t="str">
        <f>BS156</f>
        <v>3Q33</v>
      </c>
      <c r="BT289" s="232" t="str">
        <f>BT156</f>
        <v>4Q33</v>
      </c>
      <c r="BU289" s="232">
        <f>BU156</f>
        <v>2033</v>
      </c>
      <c r="BV289" s="232" t="str">
        <f>BV156</f>
        <v>1Q34</v>
      </c>
      <c r="BW289" s="232" t="str">
        <f>BW156</f>
        <v>2Q34</v>
      </c>
      <c r="BX289" s="232" t="str">
        <f>BX156</f>
        <v>3Q34</v>
      </c>
      <c r="BY289" s="232" t="str">
        <f>BY156</f>
        <v>4Q34</v>
      </c>
      <c r="BZ289" s="232">
        <f>BZ156</f>
        <v>2034</v>
      </c>
      <c r="CA289" s="232" t="str">
        <f>CA156</f>
        <v>1Q35</v>
      </c>
      <c r="CB289" s="232" t="str">
        <f>CB156</f>
        <v>2Q35</v>
      </c>
      <c r="CC289" s="232" t="str">
        <f>CC156</f>
        <v>3Q35</v>
      </c>
      <c r="CD289" s="232" t="str">
        <f>CD156</f>
        <v>4Q35</v>
      </c>
      <c r="CE289" s="232">
        <f>CE156</f>
        <v>2035</v>
      </c>
      <c r="CF289" s="232" t="str">
        <f>CF156</f>
        <v>1Q36</v>
      </c>
      <c r="CG289" s="232" t="str">
        <f>CG156</f>
        <v>2Q36</v>
      </c>
      <c r="CH289" s="232" t="str">
        <f>CH156</f>
        <v>3Q36</v>
      </c>
      <c r="CI289" s="232" t="str">
        <f>CI156</f>
        <v>4Q36</v>
      </c>
      <c r="CJ289" s="232">
        <f>CJ156</f>
        <v>2036</v>
      </c>
      <c r="CK289" s="232" t="str">
        <f>CK156</f>
        <v>1Q37</v>
      </c>
      <c r="CL289" s="232" t="str">
        <f>CL156</f>
        <v>2Q37</v>
      </c>
      <c r="CM289" s="232" t="str">
        <f>CM156</f>
        <v>3Q37</v>
      </c>
      <c r="CN289" s="232" t="str">
        <f>CN156</f>
        <v>4Q37</v>
      </c>
      <c r="CO289" s="232">
        <f>CO156</f>
        <v>2037</v>
      </c>
      <c r="CP289" s="232" t="str">
        <f>CP156</f>
        <v>1Q38</v>
      </c>
      <c r="CQ289" s="232" t="str">
        <f>CQ156</f>
        <v>2Q38</v>
      </c>
      <c r="CR289" s="232" t="str">
        <f>CR156</f>
        <v>3Q38</v>
      </c>
      <c r="CS289" s="232" t="str">
        <f>CS156</f>
        <v>4Q38</v>
      </c>
      <c r="CT289" s="232">
        <f>CT156</f>
        <v>2038</v>
      </c>
      <c r="CU289" s="232" t="str">
        <f>CU156</f>
        <v>1Q39</v>
      </c>
      <c r="CV289" s="232" t="str">
        <f>CV156</f>
        <v>2Q39</v>
      </c>
      <c r="CW289" s="232" t="str">
        <f>CW156</f>
        <v>3Q39</v>
      </c>
      <c r="CX289" s="232" t="str">
        <f>CX156</f>
        <v>4Q39</v>
      </c>
      <c r="CY289" s="232">
        <f>CY156</f>
        <v>2039</v>
      </c>
    </row>
    <row r="290">
      <c r="C290" s="5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  <c r="BJ290" s="1" t="n"/>
      <c r="BK290" s="1" t="n"/>
      <c r="BL290" s="1" t="n"/>
      <c r="BM290" s="1" t="n"/>
      <c r="BN290" s="1" t="n"/>
      <c r="BO290" s="1" t="n"/>
      <c r="BP290" s="1" t="n"/>
      <c r="BQ290" s="1" t="n"/>
      <c r="BR290" s="1" t="n"/>
      <c r="BS290" s="1" t="n"/>
      <c r="BT290" s="1" t="n"/>
      <c r="BU290" s="1" t="n"/>
      <c r="BV290" s="1" t="n"/>
      <c r="BW290" s="1" t="n"/>
      <c r="BX290" s="1" t="n"/>
      <c r="BY290" s="1" t="n"/>
      <c r="BZ290" s="1" t="n"/>
      <c r="CA290" s="1" t="n"/>
      <c r="CB290" s="1" t="n"/>
      <c r="CC290" s="1" t="n"/>
      <c r="CD290" s="1" t="n"/>
      <c r="CE290" s="1" t="n"/>
      <c r="CF290" s="1" t="n"/>
      <c r="CG290" s="1" t="n"/>
      <c r="CH290" s="1" t="n"/>
      <c r="CI290" s="1" t="n"/>
      <c r="CJ290" s="1" t="n"/>
      <c r="CK290" s="1" t="n"/>
      <c r="CL290" s="1" t="n"/>
      <c r="CM290" s="1" t="n"/>
      <c r="CN290" s="1" t="n"/>
      <c r="CO290" s="1" t="n"/>
      <c r="CP290" s="1" t="n"/>
      <c r="CQ290" s="1" t="n"/>
      <c r="CR290" s="1" t="n"/>
      <c r="CS290" s="1" t="n"/>
      <c r="CT290" s="1" t="n"/>
      <c r="CU290" s="1" t="n"/>
      <c r="CV290" s="1" t="n"/>
      <c r="CW290" s="1" t="n"/>
      <c r="CX290" s="1" t="n"/>
      <c r="CY290" s="1" t="n"/>
    </row>
    <row r="291">
      <c r="C291" s="29" t="inlineStr">
        <is>
          <t>Net Income</t>
        </is>
      </c>
      <c r="D291" s="3" t="n"/>
      <c r="E291" s="3">
        <f>E151</f>
        <v>36.989</v>
      </c>
      <c r="F291" s="3">
        <f>F151</f>
        <v>49.3550000000001</v>
      </c>
      <c r="G291" s="3">
        <f>G151</f>
        <v>67.968</v>
      </c>
      <c r="H291" s="3">
        <f>SUM(D291:G291)</f>
        <v>154.312</v>
      </c>
      <c r="I291" s="3">
        <f>I151</f>
        <v>49.993</v>
      </c>
      <c r="J291" s="3">
        <f>J151</f>
        <v>78.603</v>
      </c>
      <c r="K291" s="3">
        <f>K151</f>
        <v>67.3981147624758</v>
      </c>
      <c r="L291" s="3">
        <f>L151</f>
        <v>103.752</v>
      </c>
      <c r="M291" s="3">
        <f>SUM(I291:L291)</f>
        <v>299.746114762476</v>
      </c>
      <c r="N291" s="3">
        <f>N151</f>
        <v>61.903</v>
      </c>
      <c r="O291" s="3">
        <f>O151</f>
        <v>86.325</v>
      </c>
      <c r="P291" s="3">
        <f>P151</f>
        <v>89.872</v>
      </c>
      <c r="Q291" s="3">
        <f>Q151</f>
        <v>91.785</v>
      </c>
      <c r="R291" s="3">
        <f>SUM(N291:Q291)</f>
        <v>329.885</v>
      </c>
      <c r="S291" s="3">
        <f>S151</f>
        <v>91.849</v>
      </c>
      <c r="T291" s="3">
        <f>T151</f>
        <v>121.373</v>
      </c>
      <c r="U291" s="3">
        <f>U151</f>
        <v>108.22</v>
      </c>
      <c r="V291" s="3">
        <f>V151</f>
        <v>160.323</v>
      </c>
      <c r="W291" s="3">
        <f>SUM(S291:V291)</f>
        <v>481.765</v>
      </c>
      <c r="X291" s="3">
        <f>X151</f>
        <v>141.241</v>
      </c>
      <c r="Y291" s="3">
        <f>Y151</f>
        <v>172.24726339</v>
      </c>
      <c r="Z291" s="3">
        <f>Z151</f>
        <v>170.57</v>
      </c>
      <c r="AA291" s="3">
        <f>AA151</f>
        <v>165.784</v>
      </c>
      <c r="AB291" s="3">
        <f>SUM(X291:AA291)</f>
        <v>649.84226339</v>
      </c>
      <c r="AC291" s="3">
        <f>AC151</f>
        <v>213.475</v>
      </c>
      <c r="AD291" s="3">
        <f>AD151</f>
        <v>236.73094176</v>
      </c>
      <c r="AE291" s="3">
        <f>AE151</f>
        <v>255.253</v>
      </c>
      <c r="AF291" s="3">
        <f>AF151</f>
        <v>270.077</v>
      </c>
      <c r="AG291" s="3">
        <f>SUM(AC291:AF291)</f>
        <v>975.53594176</v>
      </c>
      <c r="AH291" s="3">
        <f>AH151</f>
        <v>302.867</v>
      </c>
      <c r="AI291" s="3">
        <f>AI151</f>
        <v>270.451</v>
      </c>
      <c r="AJ291" s="3">
        <f>AJ151</f>
        <v>23.61</v>
      </c>
      <c r="AK291" s="3">
        <f>AK151</f>
        <v>24.193</v>
      </c>
      <c r="AL291" s="3">
        <f>SUM(AH291:AK291)</f>
        <v>621.121</v>
      </c>
      <c r="AM291" s="3">
        <f>AM151</f>
        <v>2.131</v>
      </c>
      <c r="AN291" s="3">
        <f>AN151</f>
        <v>154.796</v>
      </c>
      <c r="AO291" s="3">
        <f>AO151</f>
        <v>22.685</v>
      </c>
      <c r="AP291" s="3">
        <f>AP151</f>
        <v>170.547</v>
      </c>
      <c r="AQ291" s="3">
        <f>SUM(AM291:AP291)</f>
        <v>350.159</v>
      </c>
      <c r="AR291" s="3">
        <f>AR151</f>
        <v>148.485</v>
      </c>
      <c r="AS291" s="3">
        <f>AS151</f>
        <v>445.654</v>
      </c>
      <c r="AT291" s="3">
        <f>AT151</f>
        <v>169.039</v>
      </c>
      <c r="AU291" s="3">
        <f>AU151</f>
        <v>461.405</v>
      </c>
      <c r="AV291" s="3">
        <f>SUM(AR291:AU291)</f>
        <v>1224.583</v>
      </c>
      <c r="AW291" s="3">
        <f>AW151</f>
        <v>439.343</v>
      </c>
      <c r="AX291" s="3">
        <f>AX151</f>
        <v>1320.078</v>
      </c>
      <c r="AY291" s="3">
        <f>AY151</f>
        <v>459.897</v>
      </c>
      <c r="AZ291" s="3">
        <f>AZ151</f>
        <v>1335.829</v>
      </c>
      <c r="BA291" s="3">
        <f>SUM(AW291:AZ291)</f>
        <v>3555.147</v>
      </c>
      <c r="BB291" s="3">
        <f>BB151</f>
        <v>1313.767</v>
      </c>
      <c r="BC291" s="3">
        <f>BC151</f>
        <v>3650.642</v>
      </c>
      <c r="BD291" s="3">
        <f>BD151</f>
        <v>1334.321</v>
      </c>
      <c r="BE291" s="3">
        <f>BE151</f>
        <v>3666.393</v>
      </c>
      <c r="BF291" s="3">
        <f>SUM(BB291:BE291)</f>
        <v>9965.123</v>
      </c>
      <c r="BG291" s="3">
        <f>BG151</f>
        <v>3644.331</v>
      </c>
      <c r="BH291" s="3">
        <f>BH151</f>
        <v>10060.618</v>
      </c>
      <c r="BI291" s="3">
        <f>BI151</f>
        <v>3664.885</v>
      </c>
      <c r="BJ291" s="3">
        <f>BJ151</f>
        <v>10076.369</v>
      </c>
      <c r="BK291" s="3">
        <f>SUM(BG291:BJ291)</f>
        <v>27446.203</v>
      </c>
      <c r="BL291" s="3">
        <f>BL151</f>
        <v>10054.307</v>
      </c>
      <c r="BM291" s="3">
        <f>BM151</f>
        <v>27541.698</v>
      </c>
      <c r="BN291" s="3">
        <f>BN151</f>
        <v>10074.861</v>
      </c>
      <c r="BO291" s="3">
        <f>BO151</f>
        <v>27557.449</v>
      </c>
      <c r="BP291" s="3">
        <f>SUM(BL291:BO291)</f>
        <v>75228.315</v>
      </c>
      <c r="BQ291" s="3">
        <f>BQ151</f>
        <v>27535.387</v>
      </c>
      <c r="BR291" s="3">
        <f>BR151</f>
        <v>75323.81</v>
      </c>
      <c r="BS291" s="3">
        <f>BS151</f>
        <v>27555.941</v>
      </c>
      <c r="BT291" s="3">
        <f>BT151</f>
        <v>75339.561</v>
      </c>
      <c r="BU291" s="3">
        <f>SUM(BQ291:BT291)</f>
        <v>205754.699</v>
      </c>
      <c r="BV291" s="3">
        <f>BV151</f>
        <v>75317.499</v>
      </c>
      <c r="BW291" s="3">
        <f>BW151</f>
        <v>205850.194</v>
      </c>
      <c r="BX291" s="3">
        <f>BX151</f>
        <v>75338.053</v>
      </c>
      <c r="BY291" s="3">
        <f>BY151</f>
        <v>205865.945</v>
      </c>
      <c r="BZ291" s="3">
        <f>SUM(BV291:BY291)</f>
        <v>562371.691</v>
      </c>
      <c r="CA291" s="3">
        <f>CA151</f>
        <v>205843.883</v>
      </c>
      <c r="CB291" s="3">
        <f>CB151</f>
        <v>562467.186</v>
      </c>
      <c r="CC291" s="3">
        <f>CC151</f>
        <v>205864.437</v>
      </c>
      <c r="CD291" s="3">
        <f>CD151</f>
        <v>562482.937</v>
      </c>
      <c r="CE291" s="3">
        <f>SUM(CA291:CD291)</f>
        <v>1536658.443</v>
      </c>
      <c r="CF291" s="3">
        <f>CF151</f>
        <v>562460.875</v>
      </c>
      <c r="CG291" s="3">
        <f>CG151</f>
        <v>1536753.938</v>
      </c>
      <c r="CH291" s="3">
        <f>CH151</f>
        <v>562481.429</v>
      </c>
      <c r="CI291" s="3">
        <f>CI151</f>
        <v>1536769.689</v>
      </c>
      <c r="CJ291" s="3">
        <f>SUM(CF291:CI291)</f>
        <v>4198465.931</v>
      </c>
      <c r="CK291" s="3">
        <f>CK151</f>
        <v>1536747.627</v>
      </c>
      <c r="CL291" s="3">
        <f>CL151</f>
        <v>4198561.426</v>
      </c>
      <c r="CM291" s="3">
        <f>CM151</f>
        <v>1536768.181</v>
      </c>
      <c r="CN291" s="3">
        <f>CN151</f>
        <v>4198577.177</v>
      </c>
      <c r="CO291" s="3">
        <f>SUM(CK291:CN291)</f>
        <v>11470654.411</v>
      </c>
      <c r="CP291" s="3">
        <f>CP151</f>
        <v>4198555.115</v>
      </c>
      <c r="CQ291" s="3">
        <f>CQ151</f>
        <v>11470749.906</v>
      </c>
      <c r="CR291" s="3">
        <f>CR151</f>
        <v>4198575.669</v>
      </c>
      <c r="CS291" s="3">
        <f>CS151</f>
        <v>11470765.657</v>
      </c>
      <c r="CT291" s="3">
        <f>SUM(CP291:CS291)</f>
        <v>31338646.347</v>
      </c>
      <c r="CU291" s="3">
        <f>CU151</f>
        <v>11470743.595</v>
      </c>
      <c r="CV291" s="3">
        <f>CV151</f>
        <v>31338741.842</v>
      </c>
      <c r="CW291" s="3">
        <f>CW151</f>
        <v>11470764.149</v>
      </c>
      <c r="CX291" s="3">
        <f>CX151</f>
        <v>31338757.593</v>
      </c>
      <c r="CY291" s="3">
        <f>SUM(CU291:CX291)</f>
        <v>85619007.179</v>
      </c>
    </row>
    <row r="292">
      <c r="C292" s="29" t="inlineStr">
        <is>
          <t>Depreciation &amp; amortization</t>
        </is>
      </c>
      <c r="D292" s="3" t="n"/>
      <c r="E292" s="3">
        <f>-E84</f>
        <v>0.307</v>
      </c>
      <c r="F292" s="3">
        <f>-F84</f>
        <v>0.365</v>
      </c>
      <c r="G292" s="3">
        <f>-G84</f>
        <v>0.263710060000041</v>
      </c>
      <c r="H292" s="3">
        <f>SUM(D292:G292)</f>
        <v>0.935710060000041</v>
      </c>
      <c r="I292" s="3">
        <f>-I84</f>
        <v>0.334652710000039</v>
      </c>
      <c r="J292" s="3">
        <f>-J84</f>
        <v>0.355058499999999</v>
      </c>
      <c r="K292" s="3">
        <f>-K84</f>
        <v>0.375960359999997</v>
      </c>
      <c r="L292" s="3">
        <f>-L84</f>
        <v>0.377742069999891</v>
      </c>
      <c r="M292" s="3">
        <f>SUM(I292:L292)</f>
        <v>1.44341363999993</v>
      </c>
      <c r="N292" s="3">
        <f>-N84</f>
        <v>0.924386809999996</v>
      </c>
      <c r="O292" s="3">
        <f>-O84</f>
        <v>5.704</v>
      </c>
      <c r="P292" s="3">
        <f>-P84</f>
        <v>5.715</v>
      </c>
      <c r="Q292" s="3">
        <f>-Q84</f>
        <v>6.302</v>
      </c>
      <c r="R292" s="3">
        <f>SUM(N292:Q292)</f>
        <v>18.64538681</v>
      </c>
      <c r="S292" s="3">
        <f>-S84</f>
        <v>6.2210827</v>
      </c>
      <c r="T292" s="3">
        <f>-T84</f>
        <v>6.3</v>
      </c>
      <c r="U292" s="3">
        <f>-U84</f>
        <v>6.34089384999999</v>
      </c>
      <c r="V292" s="3">
        <f>-V84</f>
        <v>7.01002345000001</v>
      </c>
      <c r="W292" s="3">
        <f>SUM(S292:V292)</f>
        <v>25.872</v>
      </c>
      <c r="X292" s="3">
        <f>-X84</f>
        <v>7.117</v>
      </c>
      <c r="Y292" s="3">
        <f>-Y84</f>
        <v>7.011576789999</v>
      </c>
      <c r="Z292" s="3">
        <f>-Z84</f>
        <v>8.1911989450003</v>
      </c>
      <c r="AA292" s="3">
        <f>-AA84</f>
        <v>8.81118731000001</v>
      </c>
      <c r="AB292" s="3">
        <f>SUM(X292:AA292)</f>
        <v>31.1309630449993</v>
      </c>
      <c r="AC292" s="3">
        <f>-AC84</f>
        <v>8.533</v>
      </c>
      <c r="AD292" s="3">
        <f>-AD84</f>
        <v>8.754</v>
      </c>
      <c r="AE292" s="3">
        <f>-AE84</f>
        <v>8.521</v>
      </c>
      <c r="AF292" s="3">
        <f>-AF84</f>
        <v>9.07</v>
      </c>
      <c r="AG292" s="3">
        <f>SUM(AC292:AF292)</f>
        <v>34.878</v>
      </c>
      <c r="AH292" s="3">
        <f>-AH84</f>
        <v>8.349</v>
      </c>
      <c r="AI292" s="3">
        <f>-AI84</f>
        <v>8.551</v>
      </c>
      <c r="AJ292" s="3">
        <f>-AJ84</f>
        <v>0</v>
      </c>
      <c r="AK292" s="3">
        <f>-AK84</f>
        <v>0</v>
      </c>
      <c r="AL292" s="3">
        <f>SUM(AH292:AK292)</f>
        <v>16.9</v>
      </c>
      <c r="AM292" s="3">
        <f>-AM84</f>
        <v>0</v>
      </c>
      <c r="AN292" s="3">
        <f>-AN84</f>
        <v>0</v>
      </c>
      <c r="AO292" s="3">
        <f>-AO84</f>
        <v>0</v>
      </c>
      <c r="AP292" s="3">
        <f>-AP84</f>
        <v>0</v>
      </c>
      <c r="AQ292" s="3">
        <f>SUM(AM292:AP292)</f>
        <v>0</v>
      </c>
      <c r="AR292" s="3">
        <f>-AR84</f>
        <v>0</v>
      </c>
      <c r="AS292" s="3">
        <f>-AS84</f>
        <v>0</v>
      </c>
      <c r="AT292" s="3">
        <f>-AT84</f>
        <v>0</v>
      </c>
      <c r="AU292" s="3">
        <f>-AU84</f>
        <v>0</v>
      </c>
      <c r="AV292" s="3">
        <f>SUM(AR292:AU292)</f>
        <v>0</v>
      </c>
      <c r="AW292" s="3">
        <f>-AW84</f>
        <v>0</v>
      </c>
      <c r="AX292" s="3">
        <f>-AX84</f>
        <v>0</v>
      </c>
      <c r="AY292" s="3">
        <f>-AY84</f>
        <v>0</v>
      </c>
      <c r="AZ292" s="3">
        <f>-AZ84</f>
        <v>0</v>
      </c>
      <c r="BA292" s="3">
        <f>SUM(AW292:AZ292)</f>
        <v>0</v>
      </c>
      <c r="BB292" s="3">
        <f>-BB84</f>
        <v>0</v>
      </c>
      <c r="BC292" s="3">
        <f>-BC84</f>
        <v>0</v>
      </c>
      <c r="BD292" s="3">
        <f>-BD84</f>
        <v>0</v>
      </c>
      <c r="BE292" s="3">
        <f>-BE84</f>
        <v>0</v>
      </c>
      <c r="BF292" s="3">
        <f>SUM(BB292:BE292)</f>
        <v>0</v>
      </c>
      <c r="BG292" s="3">
        <f>-BG84</f>
        <v>0</v>
      </c>
      <c r="BH292" s="3">
        <f>-BH84</f>
        <v>0</v>
      </c>
      <c r="BI292" s="3">
        <f>-BI84</f>
        <v>0</v>
      </c>
      <c r="BJ292" s="3">
        <f>-BJ84</f>
        <v>0</v>
      </c>
      <c r="BK292" s="3">
        <f>SUM(BG292:BJ292)</f>
        <v>0</v>
      </c>
      <c r="BL292" s="3">
        <f>-BL84</f>
        <v>0</v>
      </c>
      <c r="BM292" s="3">
        <f>-BM84</f>
        <v>0</v>
      </c>
      <c r="BN292" s="3">
        <f>-BN84</f>
        <v>0</v>
      </c>
      <c r="BO292" s="3">
        <f>-BO84</f>
        <v>0</v>
      </c>
      <c r="BP292" s="3">
        <f>SUM(BL292:BO292)</f>
        <v>0</v>
      </c>
      <c r="BQ292" s="3">
        <f>-BQ84</f>
        <v>0</v>
      </c>
      <c r="BR292" s="3">
        <f>-BR84</f>
        <v>0</v>
      </c>
      <c r="BS292" s="3">
        <f>-BS84</f>
        <v>0</v>
      </c>
      <c r="BT292" s="3">
        <f>-BT84</f>
        <v>0</v>
      </c>
      <c r="BU292" s="3">
        <f>SUM(BQ292:BT292)</f>
        <v>0</v>
      </c>
      <c r="BV292" s="3">
        <f>-BV84</f>
        <v>0</v>
      </c>
      <c r="BW292" s="3">
        <f>-BW84</f>
        <v>0</v>
      </c>
      <c r="BX292" s="3">
        <f>-BX84</f>
        <v>0</v>
      </c>
      <c r="BY292" s="3">
        <f>-BY84</f>
        <v>0</v>
      </c>
      <c r="BZ292" s="3">
        <f>SUM(BV292:BY292)</f>
        <v>0</v>
      </c>
      <c r="CA292" s="3">
        <f>-CA84</f>
        <v>0</v>
      </c>
      <c r="CB292" s="3">
        <f>-CB84</f>
        <v>0</v>
      </c>
      <c r="CC292" s="3">
        <f>-CC84</f>
        <v>0</v>
      </c>
      <c r="CD292" s="3">
        <f>-CD84</f>
        <v>0</v>
      </c>
      <c r="CE292" s="3">
        <f>SUM(CA292:CD292)</f>
        <v>0</v>
      </c>
      <c r="CF292" s="3">
        <f>-CF84</f>
        <v>0</v>
      </c>
      <c r="CG292" s="3">
        <f>-CG84</f>
        <v>0</v>
      </c>
      <c r="CH292" s="3">
        <f>-CH84</f>
        <v>0</v>
      </c>
      <c r="CI292" s="3">
        <f>-CI84</f>
        <v>0</v>
      </c>
      <c r="CJ292" s="3">
        <f>SUM(CF292:CI292)</f>
        <v>0</v>
      </c>
      <c r="CK292" s="3">
        <f>-CK84</f>
        <v>0</v>
      </c>
      <c r="CL292" s="3">
        <f>-CL84</f>
        <v>0</v>
      </c>
      <c r="CM292" s="3">
        <f>-CM84</f>
        <v>0</v>
      </c>
      <c r="CN292" s="3">
        <f>-CN84</f>
        <v>0</v>
      </c>
      <c r="CO292" s="3">
        <f>SUM(CK292:CN292)</f>
        <v>0</v>
      </c>
      <c r="CP292" s="3">
        <f>-CP84</f>
        <v>0</v>
      </c>
      <c r="CQ292" s="3">
        <f>-CQ84</f>
        <v>0</v>
      </c>
      <c r="CR292" s="3">
        <f>-CR84</f>
        <v>0</v>
      </c>
      <c r="CS292" s="3">
        <f>-CS84</f>
        <v>0</v>
      </c>
      <c r="CT292" s="3">
        <f>SUM(CP292:CS292)</f>
        <v>0</v>
      </c>
      <c r="CU292" s="3">
        <f>-CU84</f>
        <v>0</v>
      </c>
      <c r="CV292" s="3">
        <f>-CV84</f>
        <v>0</v>
      </c>
      <c r="CW292" s="3">
        <f>-CW84</f>
        <v>0</v>
      </c>
      <c r="CX292" s="3">
        <f>-CX84</f>
        <v>0</v>
      </c>
      <c r="CY292" s="3">
        <f>SUM(CU292:CX292)</f>
        <v>0</v>
      </c>
    </row>
    <row r="293">
      <c r="C293" s="29" t="inlineStr">
        <is>
          <t xml:space="preserve">Changes in working capital </t>
        </is>
      </c>
      <c r="D293" s="3" t="n"/>
      <c r="E293" s="3">
        <f>SUM(E294:E303)</f>
        <v>7.84199999999996</v>
      </c>
      <c r="F293" s="3">
        <f>SUM(F294:F303)</f>
        <v>7.69700000000002</v>
      </c>
      <c r="G293" s="3">
        <f>SUM(G294:G303)</f>
        <v>-218.723</v>
      </c>
      <c r="H293" s="3">
        <f>SUM(D293:G293)</f>
        <v>-203.184</v>
      </c>
      <c r="I293" s="3">
        <f>SUM(I294:I303)</f>
        <v>-131.72</v>
      </c>
      <c r="J293" s="3">
        <f>SUM(J294:J303)</f>
        <v>117.534</v>
      </c>
      <c r="K293" s="3">
        <f>SUM(K294:K303)</f>
        <v>-200.586</v>
      </c>
      <c r="L293" s="3">
        <f>SUM(L294:L303)</f>
        <v>35.2720000000004</v>
      </c>
      <c r="M293" s="3">
        <f>SUM(I293:L293)</f>
        <v>-179.5</v>
      </c>
      <c r="N293" s="3">
        <f>SUM(N294:N303)</f>
        <v>-35.4580000000004</v>
      </c>
      <c r="O293" s="3">
        <f>SUM(O294:O303)</f>
        <v>80.1730000000004</v>
      </c>
      <c r="P293" s="3">
        <f>SUM(P294:P303)</f>
        <v>-260.30171860892</v>
      </c>
      <c r="Q293" s="3">
        <f>SUM(Q294:Q303)</f>
        <v>127.788718608919</v>
      </c>
      <c r="R293" s="3">
        <f>SUM(N293:Q293)</f>
        <v>-87.7980000000004</v>
      </c>
      <c r="S293" s="3">
        <f>SUM(S294:S303)</f>
        <v>-277.509</v>
      </c>
      <c r="T293" s="3">
        <f>SUM(T294:T303)</f>
        <v>12.7190000000001</v>
      </c>
      <c r="U293" s="3">
        <f>SUM(U294:U303)</f>
        <v>164.803</v>
      </c>
      <c r="V293" s="3">
        <f>SUM(V294:V303)</f>
        <v>62.7250000000003</v>
      </c>
      <c r="W293" s="3">
        <f>SUM(S293:V293)</f>
        <v>-37.2619999999997</v>
      </c>
      <c r="X293" s="3">
        <f>SUM(X294:X303)</f>
        <v>-204.045</v>
      </c>
      <c r="Y293" s="3">
        <f>SUM(Y294:Y303)</f>
        <v>112.662</v>
      </c>
      <c r="Z293" s="3">
        <f>SUM(Z294:Z303)</f>
        <v>-298.894</v>
      </c>
      <c r="AA293" s="3">
        <f>SUM(AA294:AA303)</f>
        <v>-404.872</v>
      </c>
      <c r="AB293" s="3">
        <f>SUM(X293:AA293)</f>
        <v>-795.149</v>
      </c>
      <c r="AC293" s="3">
        <f>SUM(AC294:AC303)</f>
        <v>-218.421</v>
      </c>
      <c r="AD293" s="3">
        <f>SUM(AD294:AD303)</f>
        <v>-237.154</v>
      </c>
      <c r="AE293" s="3">
        <f>SUM(AE294:AE303)</f>
        <v>65.3480000000001</v>
      </c>
      <c r="AF293" s="3">
        <f>SUM(AF294:AF303)</f>
        <v>-122.015000000001</v>
      </c>
      <c r="AG293" s="3">
        <f>SUM(AC293:AF293)</f>
        <v>-512.242</v>
      </c>
      <c r="AH293" s="3">
        <f>SUM(AH294:AH303)</f>
        <v>-279.656</v>
      </c>
      <c r="AI293" s="3">
        <f>SUM(AI294:AI303)</f>
        <v>-205.873</v>
      </c>
      <c r="AJ293" s="3">
        <f>SUM(AJ294:AJ303)</f>
        <v>3782.959</v>
      </c>
      <c r="AK293" s="3">
        <f>SUM(AK294:AK303)</f>
        <v>0</v>
      </c>
      <c r="AL293" s="3">
        <f>SUM(AH293:AK293)</f>
        <v>3297.43</v>
      </c>
      <c r="AM293" s="3" t="e">
        <f>SUM(AM294:AM303)</f>
        <v>#DIV/0!</v>
      </c>
      <c r="AN293" s="3" t="e">
        <f>SUM(AN294:AN303)</f>
        <v>#DIV/0!</v>
      </c>
      <c r="AO293" s="3" t="e">
        <f>SUM(AO294:AO303)</f>
        <v>#DIV/0!</v>
      </c>
      <c r="AP293" s="3" t="e">
        <f>SUM(AP294:AP303)</f>
        <v>#DIV/0!</v>
      </c>
      <c r="AQ293" s="3" t="e">
        <f>SUM(AM293:AP293)</f>
        <v>#DIV/0!</v>
      </c>
      <c r="AR293" s="3" t="e">
        <f>SUM(AR294:AR303)</f>
        <v>#DIV/0!</v>
      </c>
      <c r="AS293" s="3" t="e">
        <f>SUM(AS294:AS303)</f>
        <v>#DIV/0!</v>
      </c>
      <c r="AT293" s="3" t="e">
        <f>SUM(AT294:AT303)</f>
        <v>#DIV/0!</v>
      </c>
      <c r="AU293" s="3" t="e">
        <f>SUM(AU294:AU303)</f>
        <v>#DIV/0!</v>
      </c>
      <c r="AV293" s="3" t="e">
        <f>SUM(AR293:AU293)</f>
        <v>#DIV/0!</v>
      </c>
      <c r="AW293" s="3" t="e">
        <f>SUM(AW294:AW303)</f>
        <v>#DIV/0!</v>
      </c>
      <c r="AX293" s="3" t="e">
        <f>SUM(AX294:AX303)</f>
        <v>#DIV/0!</v>
      </c>
      <c r="AY293" s="3" t="e">
        <f>SUM(AY294:AY303)</f>
        <v>#DIV/0!</v>
      </c>
      <c r="AZ293" s="3" t="e">
        <f>SUM(AZ294:AZ303)</f>
        <v>#DIV/0!</v>
      </c>
      <c r="BA293" s="3" t="e">
        <f>SUM(AW293:AZ293)</f>
        <v>#DIV/0!</v>
      </c>
      <c r="BB293" s="3" t="e">
        <f>SUM(BB294:BB303)</f>
        <v>#DIV/0!</v>
      </c>
      <c r="BC293" s="3" t="e">
        <f>SUM(BC294:BC303)</f>
        <v>#DIV/0!</v>
      </c>
      <c r="BD293" s="3" t="e">
        <f>SUM(BD294:BD303)</f>
        <v>#DIV/0!</v>
      </c>
      <c r="BE293" s="3" t="e">
        <f>SUM(BE294:BE303)</f>
        <v>#DIV/0!</v>
      </c>
      <c r="BF293" s="3" t="e">
        <f>SUM(BB293:BE293)</f>
        <v>#DIV/0!</v>
      </c>
      <c r="BG293" s="3" t="e">
        <f>SUM(BG294:BG303)</f>
        <v>#DIV/0!</v>
      </c>
      <c r="BH293" s="3" t="e">
        <f>SUM(BH294:BH303)</f>
        <v>#DIV/0!</v>
      </c>
      <c r="BI293" s="3" t="e">
        <f>SUM(BI294:BI303)</f>
        <v>#DIV/0!</v>
      </c>
      <c r="BJ293" s="3" t="e">
        <f>SUM(BJ294:BJ303)</f>
        <v>#DIV/0!</v>
      </c>
      <c r="BK293" s="3" t="e">
        <f>SUM(BG293:BJ293)</f>
        <v>#DIV/0!</v>
      </c>
      <c r="BL293" s="3" t="e">
        <f>SUM(BL294:BL303)</f>
        <v>#DIV/0!</v>
      </c>
      <c r="BM293" s="3" t="e">
        <f>SUM(BM294:BM303)</f>
        <v>#DIV/0!</v>
      </c>
      <c r="BN293" s="3" t="e">
        <f>SUM(BN294:BN303)</f>
        <v>#DIV/0!</v>
      </c>
      <c r="BO293" s="3" t="e">
        <f>SUM(BO294:BO303)</f>
        <v>#DIV/0!</v>
      </c>
      <c r="BP293" s="3" t="e">
        <f>SUM(BL293:BO293)</f>
        <v>#DIV/0!</v>
      </c>
      <c r="BQ293" s="3" t="e">
        <f>SUM(BQ294:BQ303)</f>
        <v>#DIV/0!</v>
      </c>
      <c r="BR293" s="3" t="e">
        <f>SUM(BR294:BR303)</f>
        <v>#DIV/0!</v>
      </c>
      <c r="BS293" s="3" t="e">
        <f>SUM(BS294:BS303)</f>
        <v>#DIV/0!</v>
      </c>
      <c r="BT293" s="3" t="e">
        <f>SUM(BT294:BT303)</f>
        <v>#DIV/0!</v>
      </c>
      <c r="BU293" s="3" t="e">
        <f>SUM(BQ293:BT293)</f>
        <v>#DIV/0!</v>
      </c>
      <c r="BV293" s="3" t="e">
        <f>SUM(BV294:BV303)</f>
        <v>#DIV/0!</v>
      </c>
      <c r="BW293" s="3" t="e">
        <f>SUM(BW294:BW303)</f>
        <v>#DIV/0!</v>
      </c>
      <c r="BX293" s="3" t="e">
        <f>SUM(BX294:BX303)</f>
        <v>#DIV/0!</v>
      </c>
      <c r="BY293" s="3" t="e">
        <f>SUM(BY294:BY303)</f>
        <v>#DIV/0!</v>
      </c>
      <c r="BZ293" s="3" t="e">
        <f>SUM(BV293:BY293)</f>
        <v>#DIV/0!</v>
      </c>
      <c r="CA293" s="3" t="e">
        <f>SUM(CA294:CA303)</f>
        <v>#DIV/0!</v>
      </c>
      <c r="CB293" s="3" t="e">
        <f>SUM(CB294:CB303)</f>
        <v>#DIV/0!</v>
      </c>
      <c r="CC293" s="3" t="e">
        <f>SUM(CC294:CC303)</f>
        <v>#DIV/0!</v>
      </c>
      <c r="CD293" s="3" t="e">
        <f>SUM(CD294:CD303)</f>
        <v>#DIV/0!</v>
      </c>
      <c r="CE293" s="3" t="e">
        <f>SUM(CA293:CD293)</f>
        <v>#DIV/0!</v>
      </c>
      <c r="CF293" s="3" t="e">
        <f>SUM(CF294:CF303)</f>
        <v>#DIV/0!</v>
      </c>
      <c r="CG293" s="3" t="e">
        <f>SUM(CG294:CG303)</f>
        <v>#DIV/0!</v>
      </c>
      <c r="CH293" s="3" t="e">
        <f>SUM(CH294:CH303)</f>
        <v>#DIV/0!</v>
      </c>
      <c r="CI293" s="3" t="e">
        <f>SUM(CI294:CI303)</f>
        <v>#DIV/0!</v>
      </c>
      <c r="CJ293" s="3" t="e">
        <f>SUM(CF293:CI293)</f>
        <v>#DIV/0!</v>
      </c>
      <c r="CK293" s="3" t="e">
        <f>SUM(CK294:CK303)</f>
        <v>#DIV/0!</v>
      </c>
      <c r="CL293" s="3" t="e">
        <f>SUM(CL294:CL303)</f>
        <v>#DIV/0!</v>
      </c>
      <c r="CM293" s="3" t="e">
        <f>SUM(CM294:CM303)</f>
        <v>#DIV/0!</v>
      </c>
      <c r="CN293" s="3" t="e">
        <f>SUM(CN294:CN303)</f>
        <v>#DIV/0!</v>
      </c>
      <c r="CO293" s="3" t="e">
        <f>SUM(CK293:CN293)</f>
        <v>#DIV/0!</v>
      </c>
      <c r="CP293" s="3" t="e">
        <f>SUM(CP294:CP303)</f>
        <v>#DIV/0!</v>
      </c>
      <c r="CQ293" s="3" t="e">
        <f>SUM(CQ294:CQ303)</f>
        <v>#DIV/0!</v>
      </c>
      <c r="CR293" s="3" t="e">
        <f>SUM(CR294:CR303)</f>
        <v>#DIV/0!</v>
      </c>
      <c r="CS293" s="3" t="e">
        <f>SUM(CS294:CS303)</f>
        <v>#DIV/0!</v>
      </c>
      <c r="CT293" s="3" t="e">
        <f>SUM(CP293:CS293)</f>
        <v>#DIV/0!</v>
      </c>
      <c r="CU293" s="3" t="e">
        <f>SUM(CU294:CU303)</f>
        <v>#DIV/0!</v>
      </c>
      <c r="CV293" s="3" t="e">
        <f>SUM(CV294:CV303)</f>
        <v>#DIV/0!</v>
      </c>
      <c r="CW293" s="3" t="e">
        <f>SUM(CW294:CW303)</f>
        <v>#DIV/0!</v>
      </c>
      <c r="CX293" s="3" t="e">
        <f>SUM(CX294:CX303)</f>
        <v>#DIV/0!</v>
      </c>
      <c r="CY293" s="3" t="e">
        <f>SUM(CU293:CX293)</f>
        <v>#DIV/0!</v>
      </c>
    </row>
    <row r="294" hidden="1" outlineLevel="1">
      <c r="C294" s="29" t="inlineStr">
        <is>
          <t>Accounts receivable</t>
        </is>
      </c>
      <c r="D294" s="3" t="n"/>
      <c r="E294" s="3">
        <f>(E159-D159)*-1</f>
        <v>-80.2190000000001</v>
      </c>
      <c r="F294" s="3">
        <f>(F159-E159)*-1</f>
        <v>-145.381</v>
      </c>
      <c r="G294" s="3">
        <f>(G159-F159)*-1</f>
        <v>31.7319999999999</v>
      </c>
      <c r="H294" s="3">
        <f>SUM(D294:G294)</f>
        <v>-193.868</v>
      </c>
      <c r="I294" s="3">
        <f>(I159-H159)*-1</f>
        <v>-138.691</v>
      </c>
      <c r="J294" s="3">
        <f>(J159-I159)*-1</f>
        <v>-111.111</v>
      </c>
      <c r="K294" s="3">
        <f>(K159-J159)*-1</f>
        <v>-57.1580000000001</v>
      </c>
      <c r="L294" s="3">
        <f>(L159-K159)*-1</f>
        <v>-171.383</v>
      </c>
      <c r="M294" s="3">
        <f>SUM(I294:L294)</f>
        <v>-478.343</v>
      </c>
      <c r="N294" s="3">
        <f>(N159-M159)*-1</f>
        <v>-352.914</v>
      </c>
      <c r="O294" s="3">
        <f>(O159-N159)*-1</f>
        <v>73.7870000000003</v>
      </c>
      <c r="P294" s="3">
        <f>(P159-O159)*-1</f>
        <v>157.091</v>
      </c>
      <c r="Q294" s="3">
        <f>(Q159-P159)*-1</f>
        <v>220.439</v>
      </c>
      <c r="R294" s="3">
        <f>SUM(N294:Q294)</f>
        <v>98.4029999999998</v>
      </c>
      <c r="S294" s="3">
        <f>(S159-R159)*-1</f>
        <v>128.626</v>
      </c>
      <c r="T294" s="3">
        <f>(T159-S159)*-1</f>
        <v>-35.0529999999999</v>
      </c>
      <c r="U294" s="3">
        <f>(U159-T159)*-1</f>
        <v>5.29799999999977</v>
      </c>
      <c r="V294" s="3">
        <f>(V159-U159)*-1</f>
        <v>-10.4099999999999</v>
      </c>
      <c r="W294" s="3">
        <f>SUM(S294:V294)</f>
        <v>88.4610000000002</v>
      </c>
      <c r="X294" s="3">
        <f>(X159-W159)*-1</f>
        <v>-194.407</v>
      </c>
      <c r="Y294" s="3">
        <f>(Y159-X159)*-1</f>
        <v>-94.0439999999999</v>
      </c>
      <c r="Z294" s="3">
        <f>(Z159-Y159)*-1</f>
        <v>-74.9780000000001</v>
      </c>
      <c r="AA294" s="3">
        <f>(AA159-Z159)*-1</f>
        <v>16.9929999999999</v>
      </c>
      <c r="AB294" s="3">
        <f>SUM(X294:AA294)</f>
        <v>-346.436</v>
      </c>
      <c r="AC294" s="3">
        <f>(AC159-AB159)*-1</f>
        <v>-459.471</v>
      </c>
      <c r="AD294" s="3">
        <f>(AD159-AC159)*-1</f>
        <v>-236.999</v>
      </c>
      <c r="AE294" s="3">
        <f>(AE159-AD159)*-1</f>
        <v>-65.0709999999999</v>
      </c>
      <c r="AF294" s="3">
        <f>(AF159-AE159)*-1</f>
        <v>40.8349999999996</v>
      </c>
      <c r="AG294" s="3">
        <f>SUM(AC294:AF294)</f>
        <v>-720.706</v>
      </c>
      <c r="AH294" s="3">
        <f>(AH159-AG159)*-1</f>
        <v>-391.437</v>
      </c>
      <c r="AI294" s="3">
        <f>(AI159-AH159)*-1</f>
        <v>-172.96</v>
      </c>
      <c r="AJ294" s="3">
        <f>(AJ159-AI159)*-1</f>
        <v>2722.34</v>
      </c>
      <c r="AK294" s="3">
        <f>(AK159-AJ159)*-1</f>
        <v>0</v>
      </c>
      <c r="AL294" s="3">
        <f>SUM(AH294:AK294)</f>
        <v>2157.943</v>
      </c>
      <c r="AM294" s="3">
        <f>(AM159-AL159)*-1</f>
        <v>0</v>
      </c>
      <c r="AN294" s="3">
        <f>(AN159-AM159)*-1</f>
        <v>0</v>
      </c>
      <c r="AO294" s="3">
        <f>(AO159-AN159)*-1</f>
        <v>0</v>
      </c>
      <c r="AP294" s="3">
        <f>(AP159-AO159)*-1</f>
        <v>0</v>
      </c>
      <c r="AQ294" s="3">
        <f>SUM(AM294:AP294)</f>
        <v>0</v>
      </c>
      <c r="AR294" s="3">
        <f>(AR159-AQ159)*-1</f>
        <v>0</v>
      </c>
      <c r="AS294" s="3">
        <f>(AS159-AR159)*-1</f>
        <v>0</v>
      </c>
      <c r="AT294" s="3">
        <f>(AT159-AS159)*-1</f>
        <v>0</v>
      </c>
      <c r="AU294" s="3">
        <f>(AU159-AT159)*-1</f>
        <v>0</v>
      </c>
      <c r="AV294" s="3">
        <f>SUM(AR294:AU294)</f>
        <v>0</v>
      </c>
      <c r="AW294" s="3">
        <f>(AW159-AV159)*-1</f>
        <v>0</v>
      </c>
      <c r="AX294" s="3">
        <f>(AX159-AW159)*-1</f>
        <v>0</v>
      </c>
      <c r="AY294" s="3">
        <f>(AY159-AX159)*-1</f>
        <v>0</v>
      </c>
      <c r="AZ294" s="3">
        <f>(AZ159-AY159)*-1</f>
        <v>0</v>
      </c>
      <c r="BA294" s="3">
        <f>SUM(AW294:AZ294)</f>
        <v>0</v>
      </c>
      <c r="BB294" s="3">
        <f>(BB159-BA159)*-1</f>
        <v>0</v>
      </c>
      <c r="BC294" s="3">
        <f>(BC159-BB159)*-1</f>
        <v>0</v>
      </c>
      <c r="BD294" s="3">
        <f>(BD159-BC159)*-1</f>
        <v>0</v>
      </c>
      <c r="BE294" s="3">
        <f>(BE159-BD159)*-1</f>
        <v>0</v>
      </c>
      <c r="BF294" s="3">
        <f>SUM(BB294:BE294)</f>
        <v>0</v>
      </c>
      <c r="BG294" s="3">
        <f>(BG159-BF159)*-1</f>
        <v>0</v>
      </c>
      <c r="BH294" s="3">
        <f>(BH159-BG159)*-1</f>
        <v>0</v>
      </c>
      <c r="BI294" s="3">
        <f>(BI159-BH159)*-1</f>
        <v>0</v>
      </c>
      <c r="BJ294" s="3">
        <f>(BJ159-BI159)*-1</f>
        <v>0</v>
      </c>
      <c r="BK294" s="3">
        <f>SUM(BG294:BJ294)</f>
        <v>0</v>
      </c>
      <c r="BL294" s="3">
        <f>(BL159-BK159)*-1</f>
        <v>0</v>
      </c>
      <c r="BM294" s="3">
        <f>(BM159-BL159)*-1</f>
        <v>0</v>
      </c>
      <c r="BN294" s="3">
        <f>(BN159-BM159)*-1</f>
        <v>0</v>
      </c>
      <c r="BO294" s="3">
        <f>(BO159-BN159)*-1</f>
        <v>0</v>
      </c>
      <c r="BP294" s="3">
        <f>SUM(BL294:BO294)</f>
        <v>0</v>
      </c>
      <c r="BQ294" s="3">
        <f>(BQ159-BP159)*-1</f>
        <v>0</v>
      </c>
      <c r="BR294" s="3">
        <f>(BR159-BQ159)*-1</f>
        <v>0</v>
      </c>
      <c r="BS294" s="3">
        <f>(BS159-BR159)*-1</f>
        <v>0</v>
      </c>
      <c r="BT294" s="3">
        <f>(BT159-BS159)*-1</f>
        <v>0</v>
      </c>
      <c r="BU294" s="3">
        <f>SUM(BQ294:BT294)</f>
        <v>0</v>
      </c>
      <c r="BV294" s="3">
        <f>(BV159-BU159)*-1</f>
        <v>0</v>
      </c>
      <c r="BW294" s="3">
        <f>(BW159-BV159)*-1</f>
        <v>0</v>
      </c>
      <c r="BX294" s="3">
        <f>(BX159-BW159)*-1</f>
        <v>0</v>
      </c>
      <c r="BY294" s="3">
        <f>(BY159-BX159)*-1</f>
        <v>0</v>
      </c>
      <c r="BZ294" s="3">
        <f>SUM(BV294:BY294)</f>
        <v>0</v>
      </c>
      <c r="CA294" s="3">
        <f>(CA159-BZ159)*-1</f>
        <v>0</v>
      </c>
      <c r="CB294" s="3">
        <f>(CB159-CA159)*-1</f>
        <v>0</v>
      </c>
      <c r="CC294" s="3">
        <f>(CC159-CB159)*-1</f>
        <v>0</v>
      </c>
      <c r="CD294" s="3">
        <f>(CD159-CC159)*-1</f>
        <v>0</v>
      </c>
      <c r="CE294" s="3">
        <f>SUM(CA294:CD294)</f>
        <v>0</v>
      </c>
      <c r="CF294" s="3">
        <f>(CF159-CE159)*-1</f>
        <v>0</v>
      </c>
      <c r="CG294" s="3">
        <f>(CG159-CF159)*-1</f>
        <v>0</v>
      </c>
      <c r="CH294" s="3">
        <f>(CH159-CG159)*-1</f>
        <v>0</v>
      </c>
      <c r="CI294" s="3">
        <f>(CI159-CH159)*-1</f>
        <v>0</v>
      </c>
      <c r="CJ294" s="3">
        <f>SUM(CF294:CI294)</f>
        <v>0</v>
      </c>
      <c r="CK294" s="3">
        <f>(CK159-CJ159)*-1</f>
        <v>0</v>
      </c>
      <c r="CL294" s="3">
        <f>(CL159-CK159)*-1</f>
        <v>0</v>
      </c>
      <c r="CM294" s="3">
        <f>(CM159-CL159)*-1</f>
        <v>0</v>
      </c>
      <c r="CN294" s="3">
        <f>(CN159-CM159)*-1</f>
        <v>0</v>
      </c>
      <c r="CO294" s="3">
        <f>SUM(CK294:CN294)</f>
        <v>0</v>
      </c>
      <c r="CP294" s="3">
        <f>(CP159-CO159)*-1</f>
        <v>0</v>
      </c>
      <c r="CQ294" s="3">
        <f>(CQ159-CP159)*-1</f>
        <v>0</v>
      </c>
      <c r="CR294" s="3">
        <f>(CR159-CQ159)*-1</f>
        <v>0</v>
      </c>
      <c r="CS294" s="3">
        <f>(CS159-CR159)*-1</f>
        <v>0</v>
      </c>
      <c r="CT294" s="3">
        <f>SUM(CP294:CS294)</f>
        <v>0</v>
      </c>
      <c r="CU294" s="3">
        <f>(CU159-CT159)*-1</f>
        <v>0</v>
      </c>
      <c r="CV294" s="3">
        <f>(CV159-CU159)*-1</f>
        <v>0</v>
      </c>
      <c r="CW294" s="3">
        <f>(CW159-CV159)*-1</f>
        <v>0</v>
      </c>
      <c r="CX294" s="3">
        <f>(CX159-CW159)*-1</f>
        <v>0</v>
      </c>
      <c r="CY294" s="3">
        <f>SUM(CU294:CX294)</f>
        <v>0</v>
      </c>
    </row>
    <row r="295" hidden="1" outlineLevel="1">
      <c r="C295" s="29" t="inlineStr">
        <is>
          <t>Inventories</t>
        </is>
      </c>
      <c r="D295" s="3" t="n"/>
      <c r="E295" s="3">
        <f>(E163-D163)*-1</f>
        <v>20.663</v>
      </c>
      <c r="F295" s="3">
        <f>(F163-E163)*-1</f>
        <v>-36.678</v>
      </c>
      <c r="G295" s="3">
        <f>(G163-F163)*-1</f>
        <v>-69.554</v>
      </c>
      <c r="H295" s="3">
        <f>SUM(D295:G295)</f>
        <v>-85.569</v>
      </c>
      <c r="I295" s="3">
        <f>(I163-H163)*-1</f>
        <v>-123.227</v>
      </c>
      <c r="J295" s="3">
        <f>(J163-I163)*-1</f>
        <v>53.807</v>
      </c>
      <c r="K295" s="3">
        <f>(K163-J163)*-1</f>
        <v>-15.95</v>
      </c>
      <c r="L295" s="3">
        <f>(L163-K163)*-1</f>
        <v>-151.08</v>
      </c>
      <c r="M295" s="3">
        <f>SUM(I295:L295)</f>
        <v>-236.45</v>
      </c>
      <c r="N295" s="3">
        <f>(N163-M163)*-1</f>
        <v>31.917</v>
      </c>
      <c r="O295" s="3">
        <f>(O163-N163)*-1</f>
        <v>30.204</v>
      </c>
      <c r="P295" s="3">
        <f>(P163-O163)*-1</f>
        <v>-57.5529999999999</v>
      </c>
      <c r="Q295" s="3">
        <f>(Q163-P163)*-1</f>
        <v>-75.9490000000001</v>
      </c>
      <c r="R295" s="3">
        <f>SUM(N295:Q295)</f>
        <v>-71.3810000000001</v>
      </c>
      <c r="S295" s="3">
        <f>(S163-R163)*-1</f>
        <v>-108.409</v>
      </c>
      <c r="T295" s="3">
        <f>(T163-S163)*-1</f>
        <v>54.895</v>
      </c>
      <c r="U295" s="3">
        <f>(U163-T163)*-1</f>
        <v>-31.422</v>
      </c>
      <c r="V295" s="3">
        <f>(V163-U163)*-1</f>
        <v>-28.5229999999999</v>
      </c>
      <c r="W295" s="3">
        <f>SUM(S295:V295)</f>
        <v>-113.459</v>
      </c>
      <c r="X295" s="3">
        <f>(X163-W163)*-1</f>
        <v>-93.837</v>
      </c>
      <c r="Y295" s="3">
        <f>(Y163-X163)*-1</f>
        <v>45.3339999999999</v>
      </c>
      <c r="Z295" s="3">
        <f>(Z163-Y163)*-1</f>
        <v>-25.5659999999999</v>
      </c>
      <c r="AA295" s="3">
        <f>(AA163-Z163)*-1</f>
        <v>-401.511</v>
      </c>
      <c r="AB295" s="3">
        <f>SUM(X295:AA295)</f>
        <v>-475.58</v>
      </c>
      <c r="AC295" s="3">
        <f>(AC163-AB163)*-1</f>
        <v>58.1849999999999</v>
      </c>
      <c r="AD295" s="3">
        <f>(AD163-AC163)*-1</f>
        <v>-48.914</v>
      </c>
      <c r="AE295" s="3">
        <f>(AE163-AD163)*-1</f>
        <v>-132.998</v>
      </c>
      <c r="AF295" s="3">
        <f>(AF163-AE163)*-1</f>
        <v>-31.7940000000001</v>
      </c>
      <c r="AG295" s="3">
        <f>SUM(AC295:AF295)</f>
        <v>-155.521</v>
      </c>
      <c r="AH295" s="3">
        <f>(AH163-AG163)*-1</f>
        <v>-172.939</v>
      </c>
      <c r="AI295" s="3">
        <f>(AI163-AH163)*-1</f>
        <v>-8.53100000000018</v>
      </c>
      <c r="AJ295" s="3">
        <f>(AJ163-AI163)*-1</f>
        <v>1530.119</v>
      </c>
      <c r="AK295" s="3">
        <f>(AK163-AJ163)*-1</f>
        <v>0</v>
      </c>
      <c r="AL295" s="3">
        <f>SUM(AH295:AK295)</f>
        <v>1348.649</v>
      </c>
      <c r="AM295" s="3">
        <f>(AM163-AL163)*-1</f>
        <v>0</v>
      </c>
      <c r="AN295" s="3">
        <f>(AN163-AM163)*-1</f>
        <v>0</v>
      </c>
      <c r="AO295" s="3">
        <f>(AO163-AN163)*-1</f>
        <v>0</v>
      </c>
      <c r="AP295" s="3">
        <f>(AP163-AO163)*-1</f>
        <v>0</v>
      </c>
      <c r="AQ295" s="3">
        <f>SUM(AM295:AP295)</f>
        <v>0</v>
      </c>
      <c r="AR295" s="3">
        <f>(AR163-AQ163)*-1</f>
        <v>0</v>
      </c>
      <c r="AS295" s="3">
        <f>(AS163-AR163)*-1</f>
        <v>0</v>
      </c>
      <c r="AT295" s="3">
        <f>(AT163-AS163)*-1</f>
        <v>0</v>
      </c>
      <c r="AU295" s="3">
        <f>(AU163-AT163)*-1</f>
        <v>0</v>
      </c>
      <c r="AV295" s="3">
        <f>SUM(AR295:AU295)</f>
        <v>0</v>
      </c>
      <c r="AW295" s="3">
        <f>(AW163-AV163)*-1</f>
        <v>0</v>
      </c>
      <c r="AX295" s="3">
        <f>(AX163-AW163)*-1</f>
        <v>0</v>
      </c>
      <c r="AY295" s="3">
        <f>(AY163-AX163)*-1</f>
        <v>0</v>
      </c>
      <c r="AZ295" s="3">
        <f>(AZ163-AY163)*-1</f>
        <v>0</v>
      </c>
      <c r="BA295" s="3">
        <f>SUM(AW295:AZ295)</f>
        <v>0</v>
      </c>
      <c r="BB295" s="3">
        <f>(BB163-BA163)*-1</f>
        <v>0</v>
      </c>
      <c r="BC295" s="3">
        <f>(BC163-BB163)*-1</f>
        <v>0</v>
      </c>
      <c r="BD295" s="3">
        <f>(BD163-BC163)*-1</f>
        <v>0</v>
      </c>
      <c r="BE295" s="3">
        <f>(BE163-BD163)*-1</f>
        <v>0</v>
      </c>
      <c r="BF295" s="3">
        <f>SUM(BB295:BE295)</f>
        <v>0</v>
      </c>
      <c r="BG295" s="3">
        <f>(BG163-BF163)*-1</f>
        <v>0</v>
      </c>
      <c r="BH295" s="3">
        <f>(BH163-BG163)*-1</f>
        <v>0</v>
      </c>
      <c r="BI295" s="3">
        <f>(BI163-BH163)*-1</f>
        <v>0</v>
      </c>
      <c r="BJ295" s="3">
        <f>(BJ163-BI163)*-1</f>
        <v>0</v>
      </c>
      <c r="BK295" s="3">
        <f>SUM(BG295:BJ295)</f>
        <v>0</v>
      </c>
      <c r="BL295" s="3">
        <f>(BL163-BK163)*-1</f>
        <v>0</v>
      </c>
      <c r="BM295" s="3">
        <f>(BM163-BL163)*-1</f>
        <v>0</v>
      </c>
      <c r="BN295" s="3">
        <f>(BN163-BM163)*-1</f>
        <v>0</v>
      </c>
      <c r="BO295" s="3">
        <f>(BO163-BN163)*-1</f>
        <v>0</v>
      </c>
      <c r="BP295" s="3">
        <f>SUM(BL295:BO295)</f>
        <v>0</v>
      </c>
      <c r="BQ295" s="3">
        <f>(BQ163-BP163)*-1</f>
        <v>0</v>
      </c>
      <c r="BR295" s="3">
        <f>(BR163-BQ163)*-1</f>
        <v>0</v>
      </c>
      <c r="BS295" s="3">
        <f>(BS163-BR163)*-1</f>
        <v>0</v>
      </c>
      <c r="BT295" s="3">
        <f>(BT163-BS163)*-1</f>
        <v>0</v>
      </c>
      <c r="BU295" s="3">
        <f>SUM(BQ295:BT295)</f>
        <v>0</v>
      </c>
      <c r="BV295" s="3">
        <f>(BV163-BU163)*-1</f>
        <v>0</v>
      </c>
      <c r="BW295" s="3">
        <f>(BW163-BV163)*-1</f>
        <v>0</v>
      </c>
      <c r="BX295" s="3">
        <f>(BX163-BW163)*-1</f>
        <v>0</v>
      </c>
      <c r="BY295" s="3">
        <f>(BY163-BX163)*-1</f>
        <v>0</v>
      </c>
      <c r="BZ295" s="3">
        <f>SUM(BV295:BY295)</f>
        <v>0</v>
      </c>
      <c r="CA295" s="3">
        <f>(CA163-BZ163)*-1</f>
        <v>0</v>
      </c>
      <c r="CB295" s="3">
        <f>(CB163-CA163)*-1</f>
        <v>0</v>
      </c>
      <c r="CC295" s="3">
        <f>(CC163-CB163)*-1</f>
        <v>0</v>
      </c>
      <c r="CD295" s="3">
        <f>(CD163-CC163)*-1</f>
        <v>0</v>
      </c>
      <c r="CE295" s="3">
        <f>SUM(CA295:CD295)</f>
        <v>0</v>
      </c>
      <c r="CF295" s="3">
        <f>(CF163-CE163)*-1</f>
        <v>0</v>
      </c>
      <c r="CG295" s="3">
        <f>(CG163-CF163)*-1</f>
        <v>0</v>
      </c>
      <c r="CH295" s="3">
        <f>(CH163-CG163)*-1</f>
        <v>0</v>
      </c>
      <c r="CI295" s="3">
        <f>(CI163-CH163)*-1</f>
        <v>0</v>
      </c>
      <c r="CJ295" s="3">
        <f>SUM(CF295:CI295)</f>
        <v>0</v>
      </c>
      <c r="CK295" s="3">
        <f>(CK163-CJ163)*-1</f>
        <v>0</v>
      </c>
      <c r="CL295" s="3">
        <f>(CL163-CK163)*-1</f>
        <v>0</v>
      </c>
      <c r="CM295" s="3">
        <f>(CM163-CL163)*-1</f>
        <v>0</v>
      </c>
      <c r="CN295" s="3">
        <f>(CN163-CM163)*-1</f>
        <v>0</v>
      </c>
      <c r="CO295" s="3">
        <f>SUM(CK295:CN295)</f>
        <v>0</v>
      </c>
      <c r="CP295" s="3">
        <f>(CP163-CO163)*-1</f>
        <v>0</v>
      </c>
      <c r="CQ295" s="3">
        <f>(CQ163-CP163)*-1</f>
        <v>0</v>
      </c>
      <c r="CR295" s="3">
        <f>(CR163-CQ163)*-1</f>
        <v>0</v>
      </c>
      <c r="CS295" s="3">
        <f>(CS163-CR163)*-1</f>
        <v>0</v>
      </c>
      <c r="CT295" s="3">
        <f>SUM(CP295:CS295)</f>
        <v>0</v>
      </c>
      <c r="CU295" s="3">
        <f>(CU163-CT163)*-1</f>
        <v>0</v>
      </c>
      <c r="CV295" s="3">
        <f>(CV163-CU163)*-1</f>
        <v>0</v>
      </c>
      <c r="CW295" s="3">
        <f>(CW163-CV163)*-1</f>
        <v>0</v>
      </c>
      <c r="CX295" s="3">
        <f>(CX163-CW163)*-1</f>
        <v>0</v>
      </c>
      <c r="CY295" s="3">
        <f>SUM(CU295:CX295)</f>
        <v>0</v>
      </c>
    </row>
    <row r="296" hidden="1" outlineLevel="1">
      <c r="C296" s="29" t="inlineStr">
        <is>
          <t>Deferred income taxes</t>
        </is>
      </c>
      <c r="D296" s="3" t="n"/>
      <c r="E296" s="3">
        <f>(E167-D167)*-1</f>
        <v>0</v>
      </c>
      <c r="F296" s="3">
        <f>(F167-E167)*-1</f>
        <v>0</v>
      </c>
      <c r="G296" s="3">
        <f>(G167-F167)*-1</f>
        <v>0</v>
      </c>
      <c r="H296" s="3">
        <f>SUM(D296:G296)</f>
        <v>0</v>
      </c>
      <c r="I296" s="3">
        <f>(I167-H167)*-1</f>
        <v>0</v>
      </c>
      <c r="J296" s="3">
        <f>(J167-I167)*-1</f>
        <v>0</v>
      </c>
      <c r="K296" s="3">
        <f>(K167-J167)*-1</f>
        <v>0</v>
      </c>
      <c r="L296" s="3">
        <f>(L167-K167)*-1</f>
        <v>0</v>
      </c>
      <c r="M296" s="3">
        <f>SUM(I296:L296)</f>
        <v>0</v>
      </c>
      <c r="N296" s="3">
        <f>(N167-M167)*-1</f>
        <v>0</v>
      </c>
      <c r="O296" s="3">
        <f>(O167-N167)*-1</f>
        <v>0</v>
      </c>
      <c r="P296" s="3">
        <f>(P167-O167)*-1</f>
        <v>0</v>
      </c>
      <c r="Q296" s="3">
        <f>(Q167-P167)*-1</f>
        <v>0</v>
      </c>
      <c r="R296" s="3">
        <f>SUM(N296:Q296)</f>
        <v>0</v>
      </c>
      <c r="S296" s="3">
        <f>(S167-R167)*-1</f>
        <v>0</v>
      </c>
      <c r="T296" s="3">
        <f>(T167-S167)*-1</f>
        <v>0</v>
      </c>
      <c r="U296" s="3">
        <f>(U167-T167)*-1</f>
        <v>0</v>
      </c>
      <c r="V296" s="3">
        <f>(V167-U167)*-1</f>
        <v>0</v>
      </c>
      <c r="W296" s="3">
        <f>SUM(S296:V296)</f>
        <v>0</v>
      </c>
      <c r="X296" s="3">
        <f>(X167-W167)*-1</f>
        <v>0</v>
      </c>
      <c r="Y296" s="3">
        <f>(Y167-X167)*-1</f>
        <v>0</v>
      </c>
      <c r="Z296" s="3">
        <f>(Z167-Y167)*-1</f>
        <v>0</v>
      </c>
      <c r="AA296" s="3">
        <f>(AA167-Z167)*-1</f>
        <v>0</v>
      </c>
      <c r="AB296" s="3">
        <f>SUM(X296:AA296)</f>
        <v>0</v>
      </c>
      <c r="AC296" s="3">
        <f>(AC167-AB167)*-1</f>
        <v>0</v>
      </c>
      <c r="AD296" s="3">
        <f>(AD167-AC167)*-1</f>
        <v>0</v>
      </c>
      <c r="AE296" s="3">
        <f>(AE167-AD167)*-1</f>
        <v>0</v>
      </c>
      <c r="AF296" s="3">
        <f>(AF167-AE167)*-1</f>
        <v>0</v>
      </c>
      <c r="AG296" s="3">
        <f>SUM(AC296:AF296)</f>
        <v>0</v>
      </c>
      <c r="AH296" s="3">
        <f>(AH167-AG167)*-1</f>
        <v>0</v>
      </c>
      <c r="AI296" s="3">
        <f>(AI167-AH167)*-1</f>
        <v>0</v>
      </c>
      <c r="AJ296" s="3">
        <f>(AJ167-AI167)*-1</f>
        <v>0</v>
      </c>
      <c r="AK296" s="3">
        <f>(AK167-AJ167)*-1</f>
        <v>0</v>
      </c>
      <c r="AL296" s="3">
        <f>SUM(AH296:AK296)</f>
        <v>0</v>
      </c>
      <c r="AM296" s="3">
        <f>(AM167-AL167)*-1</f>
        <v>0</v>
      </c>
      <c r="AN296" s="3">
        <f>(AN167-AM167)*-1</f>
        <v>0</v>
      </c>
      <c r="AO296" s="3">
        <f>(AO167-AN167)*-1</f>
        <v>0</v>
      </c>
      <c r="AP296" s="3">
        <f>(AP167-AO167)*-1</f>
        <v>0</v>
      </c>
      <c r="AQ296" s="3">
        <f>SUM(AM296:AP296)</f>
        <v>0</v>
      </c>
      <c r="AR296" s="3">
        <f>(AR167-AQ167)*-1</f>
        <v>0</v>
      </c>
      <c r="AS296" s="3">
        <f>(AS167-AR167)*-1</f>
        <v>0</v>
      </c>
      <c r="AT296" s="3">
        <f>(AT167-AS167)*-1</f>
        <v>0</v>
      </c>
      <c r="AU296" s="3">
        <f>(AU167-AT167)*-1</f>
        <v>0</v>
      </c>
      <c r="AV296" s="3">
        <f>SUM(AR296:AU296)</f>
        <v>0</v>
      </c>
      <c r="AW296" s="3">
        <f>(AW167-AV167)*-1</f>
        <v>0</v>
      </c>
      <c r="AX296" s="3">
        <f>(AX167-AW167)*-1</f>
        <v>0</v>
      </c>
      <c r="AY296" s="3">
        <f>(AY167-AX167)*-1</f>
        <v>0</v>
      </c>
      <c r="AZ296" s="3">
        <f>(AZ167-AY167)*-1</f>
        <v>0</v>
      </c>
      <c r="BA296" s="3">
        <f>SUM(AW296:AZ296)</f>
        <v>0</v>
      </c>
      <c r="BB296" s="3">
        <f>(BB167-BA167)*-1</f>
        <v>0</v>
      </c>
      <c r="BC296" s="3">
        <f>(BC167-BB167)*-1</f>
        <v>0</v>
      </c>
      <c r="BD296" s="3">
        <f>(BD167-BC167)*-1</f>
        <v>0</v>
      </c>
      <c r="BE296" s="3">
        <f>(BE167-BD167)*-1</f>
        <v>0</v>
      </c>
      <c r="BF296" s="3">
        <f>SUM(BB296:BE296)</f>
        <v>0</v>
      </c>
      <c r="BG296" s="3">
        <f>(BG167-BF167)*-1</f>
        <v>0</v>
      </c>
      <c r="BH296" s="3">
        <f>(BH167-BG167)*-1</f>
        <v>0</v>
      </c>
      <c r="BI296" s="3">
        <f>(BI167-BH167)*-1</f>
        <v>0</v>
      </c>
      <c r="BJ296" s="3">
        <f>(BJ167-BI167)*-1</f>
        <v>0</v>
      </c>
      <c r="BK296" s="3">
        <f>SUM(BG296:BJ296)</f>
        <v>0</v>
      </c>
      <c r="BL296" s="3">
        <f>(BL167-BK167)*-1</f>
        <v>0</v>
      </c>
      <c r="BM296" s="3">
        <f>(BM167-BL167)*-1</f>
        <v>0</v>
      </c>
      <c r="BN296" s="3">
        <f>(BN167-BM167)*-1</f>
        <v>0</v>
      </c>
      <c r="BO296" s="3">
        <f>(BO167-BN167)*-1</f>
        <v>0</v>
      </c>
      <c r="BP296" s="3">
        <f>SUM(BL296:BO296)</f>
        <v>0</v>
      </c>
      <c r="BQ296" s="3">
        <f>(BQ167-BP167)*-1</f>
        <v>0</v>
      </c>
      <c r="BR296" s="3">
        <f>(BR167-BQ167)*-1</f>
        <v>0</v>
      </c>
      <c r="BS296" s="3">
        <f>(BS167-BR167)*-1</f>
        <v>0</v>
      </c>
      <c r="BT296" s="3">
        <f>(BT167-BS167)*-1</f>
        <v>0</v>
      </c>
      <c r="BU296" s="3">
        <f>SUM(BQ296:BT296)</f>
        <v>0</v>
      </c>
      <c r="BV296" s="3">
        <f>(BV167-BU167)*-1</f>
        <v>0</v>
      </c>
      <c r="BW296" s="3">
        <f>(BW167-BV167)*-1</f>
        <v>0</v>
      </c>
      <c r="BX296" s="3">
        <f>(BX167-BW167)*-1</f>
        <v>0</v>
      </c>
      <c r="BY296" s="3">
        <f>(BY167-BX167)*-1</f>
        <v>0</v>
      </c>
      <c r="BZ296" s="3">
        <f>SUM(BV296:BY296)</f>
        <v>0</v>
      </c>
      <c r="CA296" s="3">
        <f>(CA167-BZ167)*-1</f>
        <v>0</v>
      </c>
      <c r="CB296" s="3">
        <f>(CB167-CA167)*-1</f>
        <v>0</v>
      </c>
      <c r="CC296" s="3">
        <f>(CC167-CB167)*-1</f>
        <v>0</v>
      </c>
      <c r="CD296" s="3">
        <f>(CD167-CC167)*-1</f>
        <v>0</v>
      </c>
      <c r="CE296" s="3">
        <f>SUM(CA296:CD296)</f>
        <v>0</v>
      </c>
      <c r="CF296" s="3">
        <f>(CF167-CE167)*-1</f>
        <v>0</v>
      </c>
      <c r="CG296" s="3">
        <f>(CG167-CF167)*-1</f>
        <v>0</v>
      </c>
      <c r="CH296" s="3">
        <f>(CH167-CG167)*-1</f>
        <v>0</v>
      </c>
      <c r="CI296" s="3">
        <f>(CI167-CH167)*-1</f>
        <v>0</v>
      </c>
      <c r="CJ296" s="3">
        <f>SUM(CF296:CI296)</f>
        <v>0</v>
      </c>
      <c r="CK296" s="3">
        <f>(CK167-CJ167)*-1</f>
        <v>0</v>
      </c>
      <c r="CL296" s="3">
        <f>(CL167-CK167)*-1</f>
        <v>0</v>
      </c>
      <c r="CM296" s="3">
        <f>(CM167-CL167)*-1</f>
        <v>0</v>
      </c>
      <c r="CN296" s="3">
        <f>(CN167-CM167)*-1</f>
        <v>0</v>
      </c>
      <c r="CO296" s="3">
        <f>SUM(CK296:CN296)</f>
        <v>0</v>
      </c>
      <c r="CP296" s="3">
        <f>(CP167-CO167)*-1</f>
        <v>0</v>
      </c>
      <c r="CQ296" s="3">
        <f>(CQ167-CP167)*-1</f>
        <v>0</v>
      </c>
      <c r="CR296" s="3">
        <f>(CR167-CQ167)*-1</f>
        <v>0</v>
      </c>
      <c r="CS296" s="3">
        <f>(CS167-CR167)*-1</f>
        <v>0</v>
      </c>
      <c r="CT296" s="3">
        <f>SUM(CP296:CS296)</f>
        <v>0</v>
      </c>
      <c r="CU296" s="3">
        <f>(CU167-CT167)*-1</f>
        <v>0</v>
      </c>
      <c r="CV296" s="3">
        <f>(CV167-CU167)*-1</f>
        <v>0</v>
      </c>
      <c r="CW296" s="3">
        <f>(CW167-CV167)*-1</f>
        <v>0</v>
      </c>
      <c r="CX296" s="3">
        <f>(CX167-CW167)*-1</f>
        <v>0</v>
      </c>
      <c r="CY296" s="3">
        <f>SUM(CU296:CX296)</f>
        <v>0</v>
      </c>
    </row>
    <row r="297" hidden="1" outlineLevel="1">
      <c r="C297" s="29" t="inlineStr">
        <is>
          <t>Prepaid expenses</t>
        </is>
      </c>
      <c r="D297" s="3" t="n"/>
      <c r="E297" s="3">
        <f>(E168-D168)*-1</f>
        <v>2.593</v>
      </c>
      <c r="F297" s="3">
        <f>(F168-E168)*-1</f>
        <v>0.661999999999999</v>
      </c>
      <c r="G297" s="3">
        <f>(G168-F168)*-1</f>
        <v>0.715000000000001</v>
      </c>
      <c r="H297" s="3">
        <f>SUM(D297:G297)</f>
        <v>3.97</v>
      </c>
      <c r="I297" s="3">
        <f>(I168-H168)*-1</f>
        <v>-0.00699999999999967</v>
      </c>
      <c r="J297" s="3">
        <f>(J168-I168)*-1</f>
        <v>2.195</v>
      </c>
      <c r="K297" s="3">
        <f>(K168-J168)*-1</f>
        <v>-3.523</v>
      </c>
      <c r="L297" s="3">
        <f>(L168-K168)*-1</f>
        <v>2.472</v>
      </c>
      <c r="M297" s="3">
        <f>SUM(I297:L297)</f>
        <v>1.137</v>
      </c>
      <c r="N297" s="3">
        <f>(N168-M168)*-1</f>
        <v>-0.0650000000000004</v>
      </c>
      <c r="O297" s="3">
        <f>(O168-N168)*-1</f>
        <v>0.0940000000000003</v>
      </c>
      <c r="P297" s="3">
        <f>(P168-O168)*-1</f>
        <v>-1.761</v>
      </c>
      <c r="Q297" s="3">
        <f>(Q168-P168)*-1</f>
        <v>1.046</v>
      </c>
      <c r="R297" s="3">
        <f>SUM(N297:Q297)</f>
        <v>-0.686</v>
      </c>
      <c r="S297" s="3">
        <f>(S168-R168)*-1</f>
        <v>0.188999999999999</v>
      </c>
      <c r="T297" s="3">
        <f>(T168-S168)*-1</f>
        <v>-2.454</v>
      </c>
      <c r="U297" s="3">
        <f>(U168-T168)*-1</f>
        <v>-1.996</v>
      </c>
      <c r="V297" s="3">
        <f>(V168-U168)*-1</f>
        <v>-1.989</v>
      </c>
      <c r="W297" s="3">
        <f>SUM(S297:V297)</f>
        <v>-6.25</v>
      </c>
      <c r="X297" s="3">
        <f>(X168-W168)*-1</f>
        <v>3.708</v>
      </c>
      <c r="Y297" s="3">
        <f>(Y168-X168)*-1</f>
        <v>-16.231</v>
      </c>
      <c r="Z297" s="3">
        <f>(Z168-Y168)*-1</f>
        <v>11.048</v>
      </c>
      <c r="AA297" s="3">
        <f>(AA168-Z168)*-1</f>
        <v>-2.011</v>
      </c>
      <c r="AB297" s="3">
        <f>SUM(X297:AA297)</f>
        <v>-3.486</v>
      </c>
      <c r="AC297" s="3">
        <f>(AC168-AB168)*-1</f>
        <v>1.795</v>
      </c>
      <c r="AD297" s="3">
        <f>(AD168-AC168)*-1</f>
        <v>6.922</v>
      </c>
      <c r="AE297" s="3">
        <f>(AE168-AD168)*-1</f>
        <v>-1.265</v>
      </c>
      <c r="AF297" s="3">
        <f>(AF168-AE168)*-1</f>
        <v>-2.127</v>
      </c>
      <c r="AG297" s="3">
        <f>SUM(AC297:AF297)</f>
        <v>5.325</v>
      </c>
      <c r="AH297" s="3">
        <f>(AH168-AG168)*-1</f>
        <v>1.455</v>
      </c>
      <c r="AI297" s="3">
        <f>(AI168-AH168)*-1</f>
        <v>1.101</v>
      </c>
      <c r="AJ297" s="3">
        <f>(AJ168-AI168)*-1</f>
        <v>0</v>
      </c>
      <c r="AK297" s="3">
        <f>(AK168-AJ168)*-1</f>
        <v>0</v>
      </c>
      <c r="AL297" s="3">
        <f>SUM(AH297:AK297)</f>
        <v>2.556</v>
      </c>
      <c r="AM297" s="3">
        <f>(AM168-AL168)*-1</f>
        <v>0</v>
      </c>
      <c r="AN297" s="3">
        <f>(AN168-AM168)*-1</f>
        <v>0</v>
      </c>
      <c r="AO297" s="3">
        <f>(AO168-AN168)*-1</f>
        <v>0</v>
      </c>
      <c r="AP297" s="3">
        <f>(AP168-AO168)*-1</f>
        <v>0</v>
      </c>
      <c r="AQ297" s="3">
        <f>SUM(AM297:AP297)</f>
        <v>0</v>
      </c>
      <c r="AR297" s="3">
        <f>(AR168-AQ168)*-1</f>
        <v>0</v>
      </c>
      <c r="AS297" s="3">
        <f>(AS168-AR168)*-1</f>
        <v>0</v>
      </c>
      <c r="AT297" s="3">
        <f>(AT168-AS168)*-1</f>
        <v>0</v>
      </c>
      <c r="AU297" s="3">
        <f>(AU168-AT168)*-1</f>
        <v>0</v>
      </c>
      <c r="AV297" s="3">
        <f>SUM(AR297:AU297)</f>
        <v>0</v>
      </c>
      <c r="AW297" s="3">
        <f>(AW168-AV168)*-1</f>
        <v>0</v>
      </c>
      <c r="AX297" s="3">
        <f>(AX168-AW168)*-1</f>
        <v>0</v>
      </c>
      <c r="AY297" s="3">
        <f>(AY168-AX168)*-1</f>
        <v>0</v>
      </c>
      <c r="AZ297" s="3">
        <f>(AZ168-AY168)*-1</f>
        <v>0</v>
      </c>
      <c r="BA297" s="3">
        <f>SUM(AW297:AZ297)</f>
        <v>0</v>
      </c>
      <c r="BB297" s="3">
        <f>(BB168-BA168)*-1</f>
        <v>0</v>
      </c>
      <c r="BC297" s="3">
        <f>(BC168-BB168)*-1</f>
        <v>0</v>
      </c>
      <c r="BD297" s="3">
        <f>(BD168-BC168)*-1</f>
        <v>0</v>
      </c>
      <c r="BE297" s="3">
        <f>(BE168-BD168)*-1</f>
        <v>0</v>
      </c>
      <c r="BF297" s="3">
        <f>SUM(BB297:BE297)</f>
        <v>0</v>
      </c>
      <c r="BG297" s="3">
        <f>(BG168-BF168)*-1</f>
        <v>0</v>
      </c>
      <c r="BH297" s="3">
        <f>(BH168-BG168)*-1</f>
        <v>0</v>
      </c>
      <c r="BI297" s="3">
        <f>(BI168-BH168)*-1</f>
        <v>0</v>
      </c>
      <c r="BJ297" s="3">
        <f>(BJ168-BI168)*-1</f>
        <v>0</v>
      </c>
      <c r="BK297" s="3">
        <f>SUM(BG297:BJ297)</f>
        <v>0</v>
      </c>
      <c r="BL297" s="3">
        <f>(BL168-BK168)*-1</f>
        <v>0</v>
      </c>
      <c r="BM297" s="3">
        <f>(BM168-BL168)*-1</f>
        <v>0</v>
      </c>
      <c r="BN297" s="3">
        <f>(BN168-BM168)*-1</f>
        <v>0</v>
      </c>
      <c r="BO297" s="3">
        <f>(BO168-BN168)*-1</f>
        <v>0</v>
      </c>
      <c r="BP297" s="3">
        <f>SUM(BL297:BO297)</f>
        <v>0</v>
      </c>
      <c r="BQ297" s="3">
        <f>(BQ168-BP168)*-1</f>
        <v>0</v>
      </c>
      <c r="BR297" s="3">
        <f>(BR168-BQ168)*-1</f>
        <v>0</v>
      </c>
      <c r="BS297" s="3">
        <f>(BS168-BR168)*-1</f>
        <v>0</v>
      </c>
      <c r="BT297" s="3">
        <f>(BT168-BS168)*-1</f>
        <v>0</v>
      </c>
      <c r="BU297" s="3">
        <f>SUM(BQ297:BT297)</f>
        <v>0</v>
      </c>
      <c r="BV297" s="3">
        <f>(BV168-BU168)*-1</f>
        <v>0</v>
      </c>
      <c r="BW297" s="3">
        <f>(BW168-BV168)*-1</f>
        <v>0</v>
      </c>
      <c r="BX297" s="3">
        <f>(BX168-BW168)*-1</f>
        <v>0</v>
      </c>
      <c r="BY297" s="3">
        <f>(BY168-BX168)*-1</f>
        <v>0</v>
      </c>
      <c r="BZ297" s="3">
        <f>SUM(BV297:BY297)</f>
        <v>0</v>
      </c>
      <c r="CA297" s="3">
        <f>(CA168-BZ168)*-1</f>
        <v>0</v>
      </c>
      <c r="CB297" s="3">
        <f>(CB168-CA168)*-1</f>
        <v>0</v>
      </c>
      <c r="CC297" s="3">
        <f>(CC168-CB168)*-1</f>
        <v>0</v>
      </c>
      <c r="CD297" s="3">
        <f>(CD168-CC168)*-1</f>
        <v>0</v>
      </c>
      <c r="CE297" s="3">
        <f>SUM(CA297:CD297)</f>
        <v>0</v>
      </c>
      <c r="CF297" s="3">
        <f>(CF168-CE168)*-1</f>
        <v>0</v>
      </c>
      <c r="CG297" s="3">
        <f>(CG168-CF168)*-1</f>
        <v>0</v>
      </c>
      <c r="CH297" s="3">
        <f>(CH168-CG168)*-1</f>
        <v>0</v>
      </c>
      <c r="CI297" s="3">
        <f>(CI168-CH168)*-1</f>
        <v>0</v>
      </c>
      <c r="CJ297" s="3">
        <f>SUM(CF297:CI297)</f>
        <v>0</v>
      </c>
      <c r="CK297" s="3">
        <f>(CK168-CJ168)*-1</f>
        <v>0</v>
      </c>
      <c r="CL297" s="3">
        <f>(CL168-CK168)*-1</f>
        <v>0</v>
      </c>
      <c r="CM297" s="3">
        <f>(CM168-CL168)*-1</f>
        <v>0</v>
      </c>
      <c r="CN297" s="3">
        <f>(CN168-CM168)*-1</f>
        <v>0</v>
      </c>
      <c r="CO297" s="3">
        <f>SUM(CK297:CN297)</f>
        <v>0</v>
      </c>
      <c r="CP297" s="3">
        <f>(CP168-CO168)*-1</f>
        <v>0</v>
      </c>
      <c r="CQ297" s="3">
        <f>(CQ168-CP168)*-1</f>
        <v>0</v>
      </c>
      <c r="CR297" s="3">
        <f>(CR168-CQ168)*-1</f>
        <v>0</v>
      </c>
      <c r="CS297" s="3">
        <f>(CS168-CR168)*-1</f>
        <v>0</v>
      </c>
      <c r="CT297" s="3">
        <f>SUM(CP297:CS297)</f>
        <v>0</v>
      </c>
      <c r="CU297" s="3">
        <f>(CU168-CT168)*-1</f>
        <v>0</v>
      </c>
      <c r="CV297" s="3">
        <f>(CV168-CU168)*-1</f>
        <v>0</v>
      </c>
      <c r="CW297" s="3">
        <f>(CW168-CV168)*-1</f>
        <v>0</v>
      </c>
      <c r="CX297" s="3">
        <f>(CX168-CW168)*-1</f>
        <v>0</v>
      </c>
      <c r="CY297" s="3">
        <f>SUM(CU297:CX297)</f>
        <v>0</v>
      </c>
    </row>
    <row r="298" hidden="1" outlineLevel="1">
      <c r="C298" s="29" t="inlineStr">
        <is>
          <t>Other current assets</t>
        </is>
      </c>
      <c r="D298" s="3" t="n"/>
      <c r="E298" s="3">
        <f>(E169-D169)*-1</f>
        <v>-2.557</v>
      </c>
      <c r="F298" s="3">
        <f>(F169-E169)*-1</f>
        <v>-5.86</v>
      </c>
      <c r="G298" s="3">
        <f>(G169-F169)*-1</f>
        <v>26.404</v>
      </c>
      <c r="H298" s="3">
        <f>SUM(D298:G298)</f>
        <v>17.987</v>
      </c>
      <c r="I298" s="3">
        <f>(I169-H169)*-1</f>
        <v>0.866999999999999</v>
      </c>
      <c r="J298" s="3">
        <f>(J169-I169)*-1</f>
        <v>-3.776</v>
      </c>
      <c r="K298" s="3">
        <f>(K169-J169)*-1</f>
        <v>-5.076</v>
      </c>
      <c r="L298" s="3">
        <f>(L169-K169)*-1</f>
        <v>-3.506</v>
      </c>
      <c r="M298" s="3">
        <f>SUM(I298:L298)</f>
        <v>-11.491</v>
      </c>
      <c r="N298" s="3">
        <f>(N169-M169)*-1</f>
        <v>-2.469</v>
      </c>
      <c r="O298" s="3">
        <f>(O169-N169)*-1</f>
        <v>-5.943</v>
      </c>
      <c r="P298" s="3">
        <f>(P169-O169)*-1</f>
        <v>-7.081</v>
      </c>
      <c r="Q298" s="3">
        <f>(Q169-P169)*-1</f>
        <v>-6.941</v>
      </c>
      <c r="R298" s="3">
        <f>SUM(N298:Q298)</f>
        <v>-22.434</v>
      </c>
      <c r="S298" s="3">
        <f>(S169-R169)*-1</f>
        <v>-7.944</v>
      </c>
      <c r="T298" s="3">
        <f>(T169-S169)*-1</f>
        <v>-4.95500000000001</v>
      </c>
      <c r="U298" s="3">
        <f>(U169-T169)*-1</f>
        <v>-16.506</v>
      </c>
      <c r="V298" s="3">
        <f>(V169-U169)*-1</f>
        <v>-4.55300000000001</v>
      </c>
      <c r="W298" s="3">
        <f>SUM(S298:V298)</f>
        <v>-33.958</v>
      </c>
      <c r="X298" s="3">
        <f>(X169-W169)*-1</f>
        <v>-7.82199999999999</v>
      </c>
      <c r="Y298" s="3">
        <f>(Y169-X169)*-1</f>
        <v>-22.961</v>
      </c>
      <c r="Z298" s="3">
        <f>(Z169-Y169)*-1</f>
        <v>-17.327</v>
      </c>
      <c r="AA298" s="3">
        <f>(AA169-Z169)*-1</f>
        <v>-6.54400000000001</v>
      </c>
      <c r="AB298" s="3">
        <f>SUM(X298:AA298)</f>
        <v>-54.654</v>
      </c>
      <c r="AC298" s="3">
        <f>(AC169-AB169)*-1</f>
        <v>-5.62199999999999</v>
      </c>
      <c r="AD298" s="3">
        <f>(AD169-AC169)*-1</f>
        <v>-25.509</v>
      </c>
      <c r="AE298" s="3">
        <f>(AE169-AD169)*-1</f>
        <v>-17.264</v>
      </c>
      <c r="AF298" s="3">
        <f>(AF169-AE169)*-1</f>
        <v>-16.188</v>
      </c>
      <c r="AG298" s="3">
        <f>SUM(AC298:AF298)</f>
        <v>-64.583</v>
      </c>
      <c r="AH298" s="3">
        <f>(AH169-AG169)*-1</f>
        <v>-3.24799999999999</v>
      </c>
      <c r="AI298" s="3">
        <f>(AI169-AH169)*-1</f>
        <v>-23.866</v>
      </c>
      <c r="AJ298" s="3">
        <f>(AJ169-AI169)*-1</f>
        <v>0</v>
      </c>
      <c r="AK298" s="3">
        <f>(AK169-AJ169)*-1</f>
        <v>0</v>
      </c>
      <c r="AL298" s="3">
        <f>SUM(AH298:AK298)</f>
        <v>-27.114</v>
      </c>
      <c r="AM298" s="3">
        <f>(AM169-AL169)*-1</f>
        <v>0</v>
      </c>
      <c r="AN298" s="3">
        <f>(AN169-AM169)*-1</f>
        <v>0</v>
      </c>
      <c r="AO298" s="3">
        <f>(AO169-AN169)*-1</f>
        <v>0</v>
      </c>
      <c r="AP298" s="3">
        <f>(AP169-AO169)*-1</f>
        <v>0</v>
      </c>
      <c r="AQ298" s="3">
        <f>SUM(AM298:AP298)</f>
        <v>0</v>
      </c>
      <c r="AR298" s="3">
        <f>(AR169-AQ169)*-1</f>
        <v>0</v>
      </c>
      <c r="AS298" s="3">
        <f>(AS169-AR169)*-1</f>
        <v>0</v>
      </c>
      <c r="AT298" s="3">
        <f>(AT169-AS169)*-1</f>
        <v>0</v>
      </c>
      <c r="AU298" s="3">
        <f>(AU169-AT169)*-1</f>
        <v>0</v>
      </c>
      <c r="AV298" s="3">
        <f>SUM(AR298:AU298)</f>
        <v>0</v>
      </c>
      <c r="AW298" s="3">
        <f>(AW169-AV169)*-1</f>
        <v>0</v>
      </c>
      <c r="AX298" s="3">
        <f>(AX169-AW169)*-1</f>
        <v>0</v>
      </c>
      <c r="AY298" s="3">
        <f>(AY169-AX169)*-1</f>
        <v>0</v>
      </c>
      <c r="AZ298" s="3">
        <f>(AZ169-AY169)*-1</f>
        <v>0</v>
      </c>
      <c r="BA298" s="3">
        <f>SUM(AW298:AZ298)</f>
        <v>0</v>
      </c>
      <c r="BB298" s="3">
        <f>(BB169-BA169)*-1</f>
        <v>0</v>
      </c>
      <c r="BC298" s="3">
        <f>(BC169-BB169)*-1</f>
        <v>0</v>
      </c>
      <c r="BD298" s="3">
        <f>(BD169-BC169)*-1</f>
        <v>0</v>
      </c>
      <c r="BE298" s="3">
        <f>(BE169-BD169)*-1</f>
        <v>0</v>
      </c>
      <c r="BF298" s="3">
        <f>SUM(BB298:BE298)</f>
        <v>0</v>
      </c>
      <c r="BG298" s="3">
        <f>(BG169-BF169)*-1</f>
        <v>0</v>
      </c>
      <c r="BH298" s="3">
        <f>(BH169-BG169)*-1</f>
        <v>0</v>
      </c>
      <c r="BI298" s="3">
        <f>(BI169-BH169)*-1</f>
        <v>0</v>
      </c>
      <c r="BJ298" s="3">
        <f>(BJ169-BI169)*-1</f>
        <v>0</v>
      </c>
      <c r="BK298" s="3">
        <f>SUM(BG298:BJ298)</f>
        <v>0</v>
      </c>
      <c r="BL298" s="3">
        <f>(BL169-BK169)*-1</f>
        <v>0</v>
      </c>
      <c r="BM298" s="3">
        <f>(BM169-BL169)*-1</f>
        <v>0</v>
      </c>
      <c r="BN298" s="3">
        <f>(BN169-BM169)*-1</f>
        <v>0</v>
      </c>
      <c r="BO298" s="3">
        <f>(BO169-BN169)*-1</f>
        <v>0</v>
      </c>
      <c r="BP298" s="3">
        <f>SUM(BL298:BO298)</f>
        <v>0</v>
      </c>
      <c r="BQ298" s="3">
        <f>(BQ169-BP169)*-1</f>
        <v>0</v>
      </c>
      <c r="BR298" s="3">
        <f>(BR169-BQ169)*-1</f>
        <v>0</v>
      </c>
      <c r="BS298" s="3">
        <f>(BS169-BR169)*-1</f>
        <v>0</v>
      </c>
      <c r="BT298" s="3">
        <f>(BT169-BS169)*-1</f>
        <v>0</v>
      </c>
      <c r="BU298" s="3">
        <f>SUM(BQ298:BT298)</f>
        <v>0</v>
      </c>
      <c r="BV298" s="3">
        <f>(BV169-BU169)*-1</f>
        <v>0</v>
      </c>
      <c r="BW298" s="3">
        <f>(BW169-BV169)*-1</f>
        <v>0</v>
      </c>
      <c r="BX298" s="3">
        <f>(BX169-BW169)*-1</f>
        <v>0</v>
      </c>
      <c r="BY298" s="3">
        <f>(BY169-BX169)*-1</f>
        <v>0</v>
      </c>
      <c r="BZ298" s="3">
        <f>SUM(BV298:BY298)</f>
        <v>0</v>
      </c>
      <c r="CA298" s="3">
        <f>(CA169-BZ169)*-1</f>
        <v>0</v>
      </c>
      <c r="CB298" s="3">
        <f>(CB169-CA169)*-1</f>
        <v>0</v>
      </c>
      <c r="CC298" s="3">
        <f>(CC169-CB169)*-1</f>
        <v>0</v>
      </c>
      <c r="CD298" s="3">
        <f>(CD169-CC169)*-1</f>
        <v>0</v>
      </c>
      <c r="CE298" s="3">
        <f>SUM(CA298:CD298)</f>
        <v>0</v>
      </c>
      <c r="CF298" s="3">
        <f>(CF169-CE169)*-1</f>
        <v>0</v>
      </c>
      <c r="CG298" s="3">
        <f>(CG169-CF169)*-1</f>
        <v>0</v>
      </c>
      <c r="CH298" s="3">
        <f>(CH169-CG169)*-1</f>
        <v>0</v>
      </c>
      <c r="CI298" s="3">
        <f>(CI169-CH169)*-1</f>
        <v>0</v>
      </c>
      <c r="CJ298" s="3">
        <f>SUM(CF298:CI298)</f>
        <v>0</v>
      </c>
      <c r="CK298" s="3">
        <f>(CK169-CJ169)*-1</f>
        <v>0</v>
      </c>
      <c r="CL298" s="3">
        <f>(CL169-CK169)*-1</f>
        <v>0</v>
      </c>
      <c r="CM298" s="3">
        <f>(CM169-CL169)*-1</f>
        <v>0</v>
      </c>
      <c r="CN298" s="3">
        <f>(CN169-CM169)*-1</f>
        <v>0</v>
      </c>
      <c r="CO298" s="3">
        <f>SUM(CK298:CN298)</f>
        <v>0</v>
      </c>
      <c r="CP298" s="3">
        <f>(CP169-CO169)*-1</f>
        <v>0</v>
      </c>
      <c r="CQ298" s="3">
        <f>(CQ169-CP169)*-1</f>
        <v>0</v>
      </c>
      <c r="CR298" s="3">
        <f>(CR169-CQ169)*-1</f>
        <v>0</v>
      </c>
      <c r="CS298" s="3">
        <f>(CS169-CR169)*-1</f>
        <v>0</v>
      </c>
      <c r="CT298" s="3">
        <f>SUM(CP298:CS298)</f>
        <v>0</v>
      </c>
      <c r="CU298" s="3">
        <f>(CU169-CT169)*-1</f>
        <v>0</v>
      </c>
      <c r="CV298" s="3">
        <f>(CV169-CU169)*-1</f>
        <v>0</v>
      </c>
      <c r="CW298" s="3">
        <f>(CW169-CV169)*-1</f>
        <v>0</v>
      </c>
      <c r="CX298" s="3">
        <f>(CX169-CW169)*-1</f>
        <v>0</v>
      </c>
      <c r="CY298" s="3">
        <f>SUM(CU298:CX298)</f>
        <v>0</v>
      </c>
    </row>
    <row r="299" hidden="1" outlineLevel="1">
      <c r="C299" s="29" t="inlineStr">
        <is>
          <t>Accounts payable</t>
        </is>
      </c>
      <c r="D299" s="3" t="n"/>
      <c r="E299" s="3">
        <f>E212-D212</f>
        <v>8.40300000000001</v>
      </c>
      <c r="F299" s="3">
        <f>F212-E212</f>
        <v>30.127</v>
      </c>
      <c r="G299" s="3">
        <f>G212-F212</f>
        <v>-48.901</v>
      </c>
      <c r="H299" s="3">
        <f>SUM(D299:G299)</f>
        <v>-10.371</v>
      </c>
      <c r="I299" s="3">
        <f>I212-H212</f>
        <v>16.386</v>
      </c>
      <c r="J299" s="3">
        <f>J212-I212</f>
        <v>31.253</v>
      </c>
      <c r="K299" s="3">
        <f>K212-J212</f>
        <v>-1.33500000000001</v>
      </c>
      <c r="L299" s="3">
        <f>L212-K212</f>
        <v>-2.726</v>
      </c>
      <c r="M299" s="3">
        <f>SUM(I299:L299)</f>
        <v>43.578</v>
      </c>
      <c r="N299" s="3">
        <f>N212-M212</f>
        <v>-3.66499999999999</v>
      </c>
      <c r="O299" s="3">
        <f>O212-N212</f>
        <v>29.925</v>
      </c>
      <c r="P299" s="3">
        <f>P212-O212</f>
        <v>-9.46600000000001</v>
      </c>
      <c r="Q299" s="3">
        <f>Q212-P212</f>
        <v>10.309</v>
      </c>
      <c r="R299" s="3">
        <f>SUM(N299:Q299)</f>
        <v>27.103</v>
      </c>
      <c r="S299" s="3">
        <f>S212-R212</f>
        <v>6.464</v>
      </c>
      <c r="T299" s="3">
        <f>T212-S212</f>
        <v>-2.09700000000001</v>
      </c>
      <c r="U299" s="3">
        <f>U212-T212</f>
        <v>25.863</v>
      </c>
      <c r="V299" s="3">
        <f>V212-U212</f>
        <v>27.083</v>
      </c>
      <c r="W299" s="3">
        <f>SUM(S299:V299)</f>
        <v>57.313</v>
      </c>
      <c r="X299" s="3">
        <f>X212-W212</f>
        <v>0.302999999999997</v>
      </c>
      <c r="Y299" s="3">
        <f>Y212-X212</f>
        <v>-30.81</v>
      </c>
      <c r="Z299" s="3">
        <f>Z212-Y212</f>
        <v>40.83</v>
      </c>
      <c r="AA299" s="3">
        <f>AA212-Z212</f>
        <v>5.09</v>
      </c>
      <c r="AB299" s="3">
        <f>SUM(X299:AA299)</f>
        <v>15.413</v>
      </c>
      <c r="AC299" s="3">
        <f>AC212-AB212</f>
        <v>68.984</v>
      </c>
      <c r="AD299" s="3">
        <f>AD212-AC212</f>
        <v>30.349</v>
      </c>
      <c r="AE299" s="3">
        <f>AE212-AD212</f>
        <v>-2.82700000000006</v>
      </c>
      <c r="AF299" s="3">
        <f>AF212-AE212</f>
        <v>-5.34699999999998</v>
      </c>
      <c r="AG299" s="3">
        <f>SUM(AC299:AF299)</f>
        <v>91.159</v>
      </c>
      <c r="AH299" s="3">
        <f>AH212-AG212</f>
        <v>61.18</v>
      </c>
      <c r="AI299" s="3">
        <f>AI212-AH212</f>
        <v>11.854</v>
      </c>
      <c r="AJ299" s="3">
        <f>AJ212-AI212</f>
        <v>-351.51</v>
      </c>
      <c r="AK299" s="3">
        <f>AK212-AJ212</f>
        <v>0</v>
      </c>
      <c r="AL299" s="3">
        <f>SUM(AH299:AK299)</f>
        <v>-278.476</v>
      </c>
      <c r="AM299" s="3">
        <f>AM212-AL212</f>
        <v>0</v>
      </c>
      <c r="AN299" s="3">
        <f>AN212-AM212</f>
        <v>0</v>
      </c>
      <c r="AO299" s="3">
        <f>AO212-AN212</f>
        <v>0</v>
      </c>
      <c r="AP299" s="3">
        <f>AP212-AO212</f>
        <v>0</v>
      </c>
      <c r="AQ299" s="3">
        <f>SUM(AM299:AP299)</f>
        <v>0</v>
      </c>
      <c r="AR299" s="3">
        <f>AR212-AQ212</f>
        <v>0</v>
      </c>
      <c r="AS299" s="3">
        <f>AS212-AR212</f>
        <v>0</v>
      </c>
      <c r="AT299" s="3">
        <f>AT212-AS212</f>
        <v>0</v>
      </c>
      <c r="AU299" s="3">
        <f>AU212-AT212</f>
        <v>0</v>
      </c>
      <c r="AV299" s="3">
        <f>SUM(AR299:AU299)</f>
        <v>0</v>
      </c>
      <c r="AW299" s="3">
        <f>AW212-AV212</f>
        <v>0</v>
      </c>
      <c r="AX299" s="3">
        <f>AX212-AW212</f>
        <v>0</v>
      </c>
      <c r="AY299" s="3">
        <f>AY212-AX212</f>
        <v>0</v>
      </c>
      <c r="AZ299" s="3">
        <f>AZ212-AY212</f>
        <v>0</v>
      </c>
      <c r="BA299" s="3">
        <f>SUM(AW299:AZ299)</f>
        <v>0</v>
      </c>
      <c r="BB299" s="3">
        <f>BB212-BA212</f>
        <v>0</v>
      </c>
      <c r="BC299" s="3">
        <f>BC212-BB212</f>
        <v>0</v>
      </c>
      <c r="BD299" s="3">
        <f>BD212-BC212</f>
        <v>0</v>
      </c>
      <c r="BE299" s="3">
        <f>BE212-BD212</f>
        <v>0</v>
      </c>
      <c r="BF299" s="3">
        <f>SUM(BB299:BE299)</f>
        <v>0</v>
      </c>
      <c r="BG299" s="3">
        <f>BG212-BF212</f>
        <v>0</v>
      </c>
      <c r="BH299" s="3">
        <f>BH212-BG212</f>
        <v>0</v>
      </c>
      <c r="BI299" s="3">
        <f>BI212-BH212</f>
        <v>0</v>
      </c>
      <c r="BJ299" s="3">
        <f>BJ212-BI212</f>
        <v>0</v>
      </c>
      <c r="BK299" s="3">
        <f>SUM(BG299:BJ299)</f>
        <v>0</v>
      </c>
      <c r="BL299" s="3">
        <f>BL212-BK212</f>
        <v>0</v>
      </c>
      <c r="BM299" s="3">
        <f>BM212-BL212</f>
        <v>0</v>
      </c>
      <c r="BN299" s="3">
        <f>BN212-BM212</f>
        <v>0</v>
      </c>
      <c r="BO299" s="3">
        <f>BO212-BN212</f>
        <v>0</v>
      </c>
      <c r="BP299" s="3">
        <f>SUM(BL299:BO299)</f>
        <v>0</v>
      </c>
      <c r="BQ299" s="3">
        <f>BQ212-BP212</f>
        <v>0</v>
      </c>
      <c r="BR299" s="3">
        <f>BR212-BQ212</f>
        <v>0</v>
      </c>
      <c r="BS299" s="3">
        <f>BS212-BR212</f>
        <v>0</v>
      </c>
      <c r="BT299" s="3">
        <f>BT212-BS212</f>
        <v>0</v>
      </c>
      <c r="BU299" s="3">
        <f>SUM(BQ299:BT299)</f>
        <v>0</v>
      </c>
      <c r="BV299" s="3">
        <f>BV212-BU212</f>
        <v>0</v>
      </c>
      <c r="BW299" s="3">
        <f>BW212-BV212</f>
        <v>0</v>
      </c>
      <c r="BX299" s="3">
        <f>BX212-BW212</f>
        <v>0</v>
      </c>
      <c r="BY299" s="3">
        <f>BY212-BX212</f>
        <v>0</v>
      </c>
      <c r="BZ299" s="3">
        <f>SUM(BV299:BY299)</f>
        <v>0</v>
      </c>
      <c r="CA299" s="3">
        <f>CA212-BZ212</f>
        <v>0</v>
      </c>
      <c r="CB299" s="3">
        <f>CB212-CA212</f>
        <v>0</v>
      </c>
      <c r="CC299" s="3">
        <f>CC212-CB212</f>
        <v>0</v>
      </c>
      <c r="CD299" s="3">
        <f>CD212-CC212</f>
        <v>0</v>
      </c>
      <c r="CE299" s="3">
        <f>SUM(CA299:CD299)</f>
        <v>0</v>
      </c>
      <c r="CF299" s="3">
        <f>CF212-CE212</f>
        <v>0</v>
      </c>
      <c r="CG299" s="3">
        <f>CG212-CF212</f>
        <v>0</v>
      </c>
      <c r="CH299" s="3">
        <f>CH212-CG212</f>
        <v>0</v>
      </c>
      <c r="CI299" s="3">
        <f>CI212-CH212</f>
        <v>0</v>
      </c>
      <c r="CJ299" s="3">
        <f>SUM(CF299:CI299)</f>
        <v>0</v>
      </c>
      <c r="CK299" s="3">
        <f>CK212-CJ212</f>
        <v>0</v>
      </c>
      <c r="CL299" s="3">
        <f>CL212-CK212</f>
        <v>0</v>
      </c>
      <c r="CM299" s="3">
        <f>CM212-CL212</f>
        <v>0</v>
      </c>
      <c r="CN299" s="3">
        <f>CN212-CM212</f>
        <v>0</v>
      </c>
      <c r="CO299" s="3">
        <f>SUM(CK299:CN299)</f>
        <v>0</v>
      </c>
      <c r="CP299" s="3">
        <f>CP212-CO212</f>
        <v>0</v>
      </c>
      <c r="CQ299" s="3">
        <f>CQ212-CP212</f>
        <v>0</v>
      </c>
      <c r="CR299" s="3">
        <f>CR212-CQ212</f>
        <v>0</v>
      </c>
      <c r="CS299" s="3">
        <f>CS212-CR212</f>
        <v>0</v>
      </c>
      <c r="CT299" s="3">
        <f>SUM(CP299:CS299)</f>
        <v>0</v>
      </c>
      <c r="CU299" s="3">
        <f>CU212-CT212</f>
        <v>0</v>
      </c>
      <c r="CV299" s="3">
        <f>CV212-CU212</f>
        <v>0</v>
      </c>
      <c r="CW299" s="3">
        <f>CW212-CV212</f>
        <v>0</v>
      </c>
      <c r="CX299" s="3">
        <f>CX212-CW212</f>
        <v>0</v>
      </c>
      <c r="CY299" s="3">
        <f>SUM(CU299:CX299)</f>
        <v>0</v>
      </c>
    </row>
    <row r="300" hidden="1" outlineLevel="1">
      <c r="C300" s="29" t="inlineStr">
        <is>
          <t>Accrued expenses</t>
        </is>
      </c>
      <c r="D300" s="3" t="n"/>
      <c r="E300" s="3">
        <f>E216-D216</f>
        <v>3.103</v>
      </c>
      <c r="F300" s="3">
        <f>F216-E216</f>
        <v>0.718</v>
      </c>
      <c r="G300" s="3">
        <f>G216-F216</f>
        <v>-4.086</v>
      </c>
      <c r="H300" s="3">
        <f>SUM(D300:G300)</f>
        <v>-0.264999999999999</v>
      </c>
      <c r="I300" s="3">
        <f>I216-H216</f>
        <v>2.369</v>
      </c>
      <c r="J300" s="3">
        <f>J216-I216</f>
        <v>4.725</v>
      </c>
      <c r="K300" s="3">
        <f>K216-J216</f>
        <v>-1.532</v>
      </c>
      <c r="L300" s="3">
        <f>L216-K216</f>
        <v>-0.439</v>
      </c>
      <c r="M300" s="3">
        <f>SUM(I300:L300)</f>
        <v>5.123</v>
      </c>
      <c r="N300" s="3">
        <f>N216-M216</f>
        <v>-0.303000000000001</v>
      </c>
      <c r="O300" s="3">
        <f>O216-N216</f>
        <v>4.665</v>
      </c>
      <c r="P300" s="3">
        <f>P216-O216</f>
        <v>2.78</v>
      </c>
      <c r="Q300" s="3">
        <f>Q216-P216</f>
        <v>-5.222</v>
      </c>
      <c r="R300" s="3">
        <f>SUM(N300:Q300)</f>
        <v>1.92</v>
      </c>
      <c r="S300" s="3">
        <f>S216-R216</f>
        <v>4.166</v>
      </c>
      <c r="T300" s="3">
        <f>T216-S216</f>
        <v>3.809</v>
      </c>
      <c r="U300" s="3">
        <f>U216-T216</f>
        <v>3.337</v>
      </c>
      <c r="V300" s="3">
        <f>V216-U216</f>
        <v>-7.065</v>
      </c>
      <c r="W300" s="3">
        <f>SUM(S300:V300)</f>
        <v>4.247</v>
      </c>
      <c r="X300" s="3">
        <f>X216-W216</f>
        <v>5.005</v>
      </c>
      <c r="Y300" s="3">
        <f>Y216-X216</f>
        <v>7.852</v>
      </c>
      <c r="Z300" s="3">
        <f>Z216-Y216</f>
        <v>14.347</v>
      </c>
      <c r="AA300" s="3">
        <f>AA216-Z216</f>
        <v>-17.346</v>
      </c>
      <c r="AB300" s="3">
        <f>SUM(X300:AA300)</f>
        <v>9.858</v>
      </c>
      <c r="AC300" s="3">
        <f>AC216-AB216</f>
        <v>6.069</v>
      </c>
      <c r="AD300" s="3">
        <f>AD216-AC216</f>
        <v>10.346</v>
      </c>
      <c r="AE300" s="3">
        <f>AE216-AD216</f>
        <v>7.38200000000001</v>
      </c>
      <c r="AF300" s="3">
        <f>AF216-AE216</f>
        <v>-12.39</v>
      </c>
      <c r="AG300" s="3">
        <f>SUM(AC300:AF300)</f>
        <v>11.407</v>
      </c>
      <c r="AH300" s="3">
        <f>AH216-AG216</f>
        <v>10.667</v>
      </c>
      <c r="AI300" s="3">
        <f>AI216-AH216</f>
        <v>17.496</v>
      </c>
      <c r="AJ300" s="3">
        <f>AJ216-AI216</f>
        <v>-72.162</v>
      </c>
      <c r="AK300" s="3">
        <f>AK216-AJ216</f>
        <v>0</v>
      </c>
      <c r="AL300" s="3">
        <f>SUM(AH300:AK300)</f>
        <v>-43.999</v>
      </c>
      <c r="AM300" s="3" t="e">
        <f>AM216-AL216</f>
        <v>#DIV/0!</v>
      </c>
      <c r="AN300" s="3" t="e">
        <f>AN216-AM216</f>
        <v>#DIV/0!</v>
      </c>
      <c r="AO300" s="3" t="e">
        <f>AO216-AN216</f>
        <v>#DIV/0!</v>
      </c>
      <c r="AP300" s="3" t="e">
        <f>AP216-AO216</f>
        <v>#DIV/0!</v>
      </c>
      <c r="AQ300" s="3" t="e">
        <f>SUM(AM300:AP300)</f>
        <v>#DIV/0!</v>
      </c>
      <c r="AR300" s="3" t="e">
        <f>AR216-AQ216</f>
        <v>#DIV/0!</v>
      </c>
      <c r="AS300" s="3" t="e">
        <f>AS216-AR216</f>
        <v>#DIV/0!</v>
      </c>
      <c r="AT300" s="3" t="e">
        <f>AT216-AS216</f>
        <v>#DIV/0!</v>
      </c>
      <c r="AU300" s="3" t="e">
        <f>AU216-AT216</f>
        <v>#DIV/0!</v>
      </c>
      <c r="AV300" s="3" t="e">
        <f>SUM(AR300:AU300)</f>
        <v>#DIV/0!</v>
      </c>
      <c r="AW300" s="3" t="e">
        <f>AW216-AV216</f>
        <v>#DIV/0!</v>
      </c>
      <c r="AX300" s="3" t="e">
        <f>AX216-AW216</f>
        <v>#DIV/0!</v>
      </c>
      <c r="AY300" s="3" t="e">
        <f>AY216-AX216</f>
        <v>#DIV/0!</v>
      </c>
      <c r="AZ300" s="3" t="e">
        <f>AZ216-AY216</f>
        <v>#DIV/0!</v>
      </c>
      <c r="BA300" s="3" t="e">
        <f>SUM(AW300:AZ300)</f>
        <v>#DIV/0!</v>
      </c>
      <c r="BB300" s="3" t="e">
        <f>BB216-BA216</f>
        <v>#DIV/0!</v>
      </c>
      <c r="BC300" s="3" t="e">
        <f>BC216-BB216</f>
        <v>#DIV/0!</v>
      </c>
      <c r="BD300" s="3" t="e">
        <f>BD216-BC216</f>
        <v>#DIV/0!</v>
      </c>
      <c r="BE300" s="3" t="e">
        <f>BE216-BD216</f>
        <v>#DIV/0!</v>
      </c>
      <c r="BF300" s="3" t="e">
        <f>SUM(BB300:BE300)</f>
        <v>#DIV/0!</v>
      </c>
      <c r="BG300" s="3" t="e">
        <f>BG216-BF216</f>
        <v>#DIV/0!</v>
      </c>
      <c r="BH300" s="3" t="e">
        <f>BH216-BG216</f>
        <v>#DIV/0!</v>
      </c>
      <c r="BI300" s="3" t="e">
        <f>BI216-BH216</f>
        <v>#DIV/0!</v>
      </c>
      <c r="BJ300" s="3" t="e">
        <f>BJ216-BI216</f>
        <v>#DIV/0!</v>
      </c>
      <c r="BK300" s="3" t="e">
        <f>SUM(BG300:BJ300)</f>
        <v>#DIV/0!</v>
      </c>
      <c r="BL300" s="3" t="e">
        <f>BL216-BK216</f>
        <v>#DIV/0!</v>
      </c>
      <c r="BM300" s="3" t="e">
        <f>BM216-BL216</f>
        <v>#DIV/0!</v>
      </c>
      <c r="BN300" s="3" t="e">
        <f>BN216-BM216</f>
        <v>#DIV/0!</v>
      </c>
      <c r="BO300" s="3" t="e">
        <f>BO216-BN216</f>
        <v>#DIV/0!</v>
      </c>
      <c r="BP300" s="3" t="e">
        <f>SUM(BL300:BO300)</f>
        <v>#DIV/0!</v>
      </c>
      <c r="BQ300" s="3" t="e">
        <f>BQ216-BP216</f>
        <v>#DIV/0!</v>
      </c>
      <c r="BR300" s="3" t="e">
        <f>BR216-BQ216</f>
        <v>#DIV/0!</v>
      </c>
      <c r="BS300" s="3" t="e">
        <f>BS216-BR216</f>
        <v>#DIV/0!</v>
      </c>
      <c r="BT300" s="3" t="e">
        <f>BT216-BS216</f>
        <v>#DIV/0!</v>
      </c>
      <c r="BU300" s="3" t="e">
        <f>SUM(BQ300:BT300)</f>
        <v>#DIV/0!</v>
      </c>
      <c r="BV300" s="3" t="e">
        <f>BV216-BU216</f>
        <v>#DIV/0!</v>
      </c>
      <c r="BW300" s="3" t="e">
        <f>BW216-BV216</f>
        <v>#DIV/0!</v>
      </c>
      <c r="BX300" s="3" t="e">
        <f>BX216-BW216</f>
        <v>#DIV/0!</v>
      </c>
      <c r="BY300" s="3" t="e">
        <f>BY216-BX216</f>
        <v>#DIV/0!</v>
      </c>
      <c r="BZ300" s="3" t="e">
        <f>SUM(BV300:BY300)</f>
        <v>#DIV/0!</v>
      </c>
      <c r="CA300" s="3" t="e">
        <f>CA216-BZ216</f>
        <v>#DIV/0!</v>
      </c>
      <c r="CB300" s="3" t="e">
        <f>CB216-CA216</f>
        <v>#DIV/0!</v>
      </c>
      <c r="CC300" s="3" t="e">
        <f>CC216-CB216</f>
        <v>#DIV/0!</v>
      </c>
      <c r="CD300" s="3" t="e">
        <f>CD216-CC216</f>
        <v>#DIV/0!</v>
      </c>
      <c r="CE300" s="3" t="e">
        <f>SUM(CA300:CD300)</f>
        <v>#DIV/0!</v>
      </c>
      <c r="CF300" s="3" t="e">
        <f>CF216-CE216</f>
        <v>#DIV/0!</v>
      </c>
      <c r="CG300" s="3" t="e">
        <f>CG216-CF216</f>
        <v>#DIV/0!</v>
      </c>
      <c r="CH300" s="3" t="e">
        <f>CH216-CG216</f>
        <v>#DIV/0!</v>
      </c>
      <c r="CI300" s="3" t="e">
        <f>CI216-CH216</f>
        <v>#DIV/0!</v>
      </c>
      <c r="CJ300" s="3" t="e">
        <f>SUM(CF300:CI300)</f>
        <v>#DIV/0!</v>
      </c>
      <c r="CK300" s="3" t="e">
        <f>CK216-CJ216</f>
        <v>#DIV/0!</v>
      </c>
      <c r="CL300" s="3" t="e">
        <f>CL216-CK216</f>
        <v>#DIV/0!</v>
      </c>
      <c r="CM300" s="3" t="e">
        <f>CM216-CL216</f>
        <v>#DIV/0!</v>
      </c>
      <c r="CN300" s="3" t="e">
        <f>CN216-CM216</f>
        <v>#DIV/0!</v>
      </c>
      <c r="CO300" s="3" t="e">
        <f>SUM(CK300:CN300)</f>
        <v>#DIV/0!</v>
      </c>
      <c r="CP300" s="3" t="e">
        <f>CP216-CO216</f>
        <v>#DIV/0!</v>
      </c>
      <c r="CQ300" s="3" t="e">
        <f>CQ216-CP216</f>
        <v>#DIV/0!</v>
      </c>
      <c r="CR300" s="3" t="e">
        <f>CR216-CQ216</f>
        <v>#DIV/0!</v>
      </c>
      <c r="CS300" s="3" t="e">
        <f>CS216-CR216</f>
        <v>#DIV/0!</v>
      </c>
      <c r="CT300" s="3" t="e">
        <f>SUM(CP300:CS300)</f>
        <v>#DIV/0!</v>
      </c>
      <c r="CU300" s="3" t="e">
        <f>CU216-CT216</f>
        <v>#DIV/0!</v>
      </c>
      <c r="CV300" s="3" t="e">
        <f>CV216-CU216</f>
        <v>#DIV/0!</v>
      </c>
      <c r="CW300" s="3" t="e">
        <f>CW216-CV216</f>
        <v>#DIV/0!</v>
      </c>
      <c r="CX300" s="3" t="e">
        <f>CX216-CW216</f>
        <v>#DIV/0!</v>
      </c>
      <c r="CY300" s="3" t="e">
        <f>SUM(CU300:CX300)</f>
        <v>#DIV/0!</v>
      </c>
    </row>
    <row r="301" hidden="1" outlineLevel="1">
      <c r="C301" s="29" t="inlineStr">
        <is>
          <t>Taxes payable</t>
        </is>
      </c>
      <c r="D301" s="3" t="n"/>
      <c r="E301" s="3">
        <f>E218-D218</f>
        <v>-1.174</v>
      </c>
      <c r="F301" s="3">
        <f>F218-E218</f>
        <v>2.273</v>
      </c>
      <c r="G301" s="3">
        <f>G218-F218</f>
        <v>-0.0289999999999999</v>
      </c>
      <c r="H301" s="3">
        <f>SUM(D301:G301)</f>
        <v>1.07</v>
      </c>
      <c r="I301" s="3">
        <f>I218-H218</f>
        <v>0.183999999999999</v>
      </c>
      <c r="J301" s="3">
        <f>J218-I218</f>
        <v>-0.639999999999999</v>
      </c>
      <c r="K301" s="3">
        <f>K218-J218</f>
        <v>0.526</v>
      </c>
      <c r="L301" s="3">
        <f>L218-K218</f>
        <v>-0.905000000000001</v>
      </c>
      <c r="M301" s="3">
        <f>SUM(I301:L301)</f>
        <v>-0.835000000000001</v>
      </c>
      <c r="N301" s="3">
        <f>N218-M218</f>
        <v>1.816</v>
      </c>
      <c r="O301" s="3">
        <f>O218-N218</f>
        <v>2.336</v>
      </c>
      <c r="P301" s="3">
        <f>P218-O218</f>
        <v>-0.376000000000001</v>
      </c>
      <c r="Q301" s="3">
        <f>Q218-P218</f>
        <v>2.698</v>
      </c>
      <c r="R301" s="3">
        <f>SUM(N301:Q301)</f>
        <v>6.474</v>
      </c>
      <c r="S301" s="3">
        <f>S218-R218</f>
        <v>0.0839999999999996</v>
      </c>
      <c r="T301" s="3">
        <f>T218-S218</f>
        <v>-0.921999999999999</v>
      </c>
      <c r="U301" s="3">
        <f>U218-T218</f>
        <v>2.901</v>
      </c>
      <c r="V301" s="3">
        <f>V218-U218</f>
        <v>2.148</v>
      </c>
      <c r="W301" s="3">
        <f>SUM(S301:V301)</f>
        <v>4.211</v>
      </c>
      <c r="X301" s="3">
        <f>X218-W218</f>
        <v>-1.356</v>
      </c>
      <c r="Y301" s="3">
        <f>Y218-X218</f>
        <v>1.846</v>
      </c>
      <c r="Z301" s="3">
        <f>Z218-Y218</f>
        <v>1.184</v>
      </c>
      <c r="AA301" s="3">
        <f>AA218-Z218</f>
        <v>7.173</v>
      </c>
      <c r="AB301" s="3">
        <f>SUM(X301:AA301)</f>
        <v>8.847</v>
      </c>
      <c r="AC301" s="3">
        <f>AC218-AB218</f>
        <v>-3.388</v>
      </c>
      <c r="AD301" s="3">
        <f>AD218-AC218</f>
        <v>6.172</v>
      </c>
      <c r="AE301" s="3">
        <f>AE218-AD218</f>
        <v>8.366</v>
      </c>
      <c r="AF301" s="3">
        <f>AF218-AE218</f>
        <v>3.055</v>
      </c>
      <c r="AG301" s="3">
        <f>SUM(AC301:AF301)</f>
        <v>14.205</v>
      </c>
      <c r="AH301" s="3">
        <f>AH218-AG218</f>
        <v>-1.914</v>
      </c>
      <c r="AI301" s="3">
        <f>AI218-AH218</f>
        <v>5.639</v>
      </c>
      <c r="AJ301" s="3">
        <f>AJ218-AI218</f>
        <v>-45.828</v>
      </c>
      <c r="AK301" s="3">
        <f>AK218-AJ218</f>
        <v>0</v>
      </c>
      <c r="AL301" s="3">
        <f>SUM(AH301:AK301)</f>
        <v>-42.103</v>
      </c>
      <c r="AM301" s="3" t="e">
        <f>AM218-AL218</f>
        <v>#DIV/0!</v>
      </c>
      <c r="AN301" s="3" t="e">
        <f>AN218-AM218</f>
        <v>#DIV/0!</v>
      </c>
      <c r="AO301" s="3" t="e">
        <f>AO218-AN218</f>
        <v>#DIV/0!</v>
      </c>
      <c r="AP301" s="3" t="e">
        <f>AP218-AO218</f>
        <v>#DIV/0!</v>
      </c>
      <c r="AQ301" s="3" t="e">
        <f>SUM(AM301:AP301)</f>
        <v>#DIV/0!</v>
      </c>
      <c r="AR301" s="3" t="e">
        <f>AR218-AQ218</f>
        <v>#DIV/0!</v>
      </c>
      <c r="AS301" s="3" t="e">
        <f>AS218-AR218</f>
        <v>#DIV/0!</v>
      </c>
      <c r="AT301" s="3" t="e">
        <f>AT218-AS218</f>
        <v>#DIV/0!</v>
      </c>
      <c r="AU301" s="3" t="e">
        <f>AU218-AT218</f>
        <v>#DIV/0!</v>
      </c>
      <c r="AV301" s="3" t="e">
        <f>SUM(AR301:AU301)</f>
        <v>#DIV/0!</v>
      </c>
      <c r="AW301" s="3" t="e">
        <f>AW218-AV218</f>
        <v>#DIV/0!</v>
      </c>
      <c r="AX301" s="3" t="e">
        <f>AX218-AW218</f>
        <v>#DIV/0!</v>
      </c>
      <c r="AY301" s="3" t="e">
        <f>AY218-AX218</f>
        <v>#DIV/0!</v>
      </c>
      <c r="AZ301" s="3" t="e">
        <f>AZ218-AY218</f>
        <v>#DIV/0!</v>
      </c>
      <c r="BA301" s="3" t="e">
        <f>SUM(AW301:AZ301)</f>
        <v>#DIV/0!</v>
      </c>
      <c r="BB301" s="3" t="e">
        <f>BB218-BA218</f>
        <v>#DIV/0!</v>
      </c>
      <c r="BC301" s="3" t="e">
        <f>BC218-BB218</f>
        <v>#DIV/0!</v>
      </c>
      <c r="BD301" s="3" t="e">
        <f>BD218-BC218</f>
        <v>#DIV/0!</v>
      </c>
      <c r="BE301" s="3" t="e">
        <f>BE218-BD218</f>
        <v>#DIV/0!</v>
      </c>
      <c r="BF301" s="3" t="e">
        <f>SUM(BB301:BE301)</f>
        <v>#DIV/0!</v>
      </c>
      <c r="BG301" s="3" t="e">
        <f>BG218-BF218</f>
        <v>#DIV/0!</v>
      </c>
      <c r="BH301" s="3" t="e">
        <f>BH218-BG218</f>
        <v>#DIV/0!</v>
      </c>
      <c r="BI301" s="3" t="e">
        <f>BI218-BH218</f>
        <v>#DIV/0!</v>
      </c>
      <c r="BJ301" s="3" t="e">
        <f>BJ218-BI218</f>
        <v>#DIV/0!</v>
      </c>
      <c r="BK301" s="3" t="e">
        <f>SUM(BG301:BJ301)</f>
        <v>#DIV/0!</v>
      </c>
      <c r="BL301" s="3" t="e">
        <f>BL218-BK218</f>
        <v>#DIV/0!</v>
      </c>
      <c r="BM301" s="3" t="e">
        <f>BM218-BL218</f>
        <v>#DIV/0!</v>
      </c>
      <c r="BN301" s="3" t="e">
        <f>BN218-BM218</f>
        <v>#DIV/0!</v>
      </c>
      <c r="BO301" s="3" t="e">
        <f>BO218-BN218</f>
        <v>#DIV/0!</v>
      </c>
      <c r="BP301" s="3" t="e">
        <f>SUM(BL301:BO301)</f>
        <v>#DIV/0!</v>
      </c>
      <c r="BQ301" s="3" t="e">
        <f>BQ218-BP218</f>
        <v>#DIV/0!</v>
      </c>
      <c r="BR301" s="3" t="e">
        <f>BR218-BQ218</f>
        <v>#DIV/0!</v>
      </c>
      <c r="BS301" s="3" t="e">
        <f>BS218-BR218</f>
        <v>#DIV/0!</v>
      </c>
      <c r="BT301" s="3" t="e">
        <f>BT218-BS218</f>
        <v>#DIV/0!</v>
      </c>
      <c r="BU301" s="3" t="e">
        <f>SUM(BQ301:BT301)</f>
        <v>#DIV/0!</v>
      </c>
      <c r="BV301" s="3" t="e">
        <f>BV218-BU218</f>
        <v>#DIV/0!</v>
      </c>
      <c r="BW301" s="3" t="e">
        <f>BW218-BV218</f>
        <v>#DIV/0!</v>
      </c>
      <c r="BX301" s="3" t="e">
        <f>BX218-BW218</f>
        <v>#DIV/0!</v>
      </c>
      <c r="BY301" s="3" t="e">
        <f>BY218-BX218</f>
        <v>#DIV/0!</v>
      </c>
      <c r="BZ301" s="3" t="e">
        <f>SUM(BV301:BY301)</f>
        <v>#DIV/0!</v>
      </c>
      <c r="CA301" s="3" t="e">
        <f>CA218-BZ218</f>
        <v>#DIV/0!</v>
      </c>
      <c r="CB301" s="3" t="e">
        <f>CB218-CA218</f>
        <v>#DIV/0!</v>
      </c>
      <c r="CC301" s="3" t="e">
        <f>CC218-CB218</f>
        <v>#DIV/0!</v>
      </c>
      <c r="CD301" s="3" t="e">
        <f>CD218-CC218</f>
        <v>#DIV/0!</v>
      </c>
      <c r="CE301" s="3" t="e">
        <f>SUM(CA301:CD301)</f>
        <v>#DIV/0!</v>
      </c>
      <c r="CF301" s="3" t="e">
        <f>CF218-CE218</f>
        <v>#DIV/0!</v>
      </c>
      <c r="CG301" s="3" t="e">
        <f>CG218-CF218</f>
        <v>#DIV/0!</v>
      </c>
      <c r="CH301" s="3" t="e">
        <f>CH218-CG218</f>
        <v>#DIV/0!</v>
      </c>
      <c r="CI301" s="3" t="e">
        <f>CI218-CH218</f>
        <v>#DIV/0!</v>
      </c>
      <c r="CJ301" s="3" t="e">
        <f>SUM(CF301:CI301)</f>
        <v>#DIV/0!</v>
      </c>
      <c r="CK301" s="3" t="e">
        <f>CK218-CJ218</f>
        <v>#DIV/0!</v>
      </c>
      <c r="CL301" s="3" t="e">
        <f>CL218-CK218</f>
        <v>#DIV/0!</v>
      </c>
      <c r="CM301" s="3" t="e">
        <f>CM218-CL218</f>
        <v>#DIV/0!</v>
      </c>
      <c r="CN301" s="3" t="e">
        <f>CN218-CM218</f>
        <v>#DIV/0!</v>
      </c>
      <c r="CO301" s="3" t="e">
        <f>SUM(CK301:CN301)</f>
        <v>#DIV/0!</v>
      </c>
      <c r="CP301" s="3" t="e">
        <f>CP218-CO218</f>
        <v>#DIV/0!</v>
      </c>
      <c r="CQ301" s="3" t="e">
        <f>CQ218-CP218</f>
        <v>#DIV/0!</v>
      </c>
      <c r="CR301" s="3" t="e">
        <f>CR218-CQ218</f>
        <v>#DIV/0!</v>
      </c>
      <c r="CS301" s="3" t="e">
        <f>CS218-CR218</f>
        <v>#DIV/0!</v>
      </c>
      <c r="CT301" s="3" t="e">
        <f>SUM(CP301:CS301)</f>
        <v>#DIV/0!</v>
      </c>
      <c r="CU301" s="3" t="e">
        <f>CU218-CT218</f>
        <v>#DIV/0!</v>
      </c>
      <c r="CV301" s="3" t="e">
        <f>CV218-CU218</f>
        <v>#DIV/0!</v>
      </c>
      <c r="CW301" s="3" t="e">
        <f>CW218-CV218</f>
        <v>#DIV/0!</v>
      </c>
      <c r="CX301" s="3" t="e">
        <f>CX218-CW218</f>
        <v>#DIV/0!</v>
      </c>
      <c r="CY301" s="3" t="e">
        <f>SUM(CU301:CX301)</f>
        <v>#DIV/0!</v>
      </c>
    </row>
    <row r="302" hidden="1" outlineLevel="1">
      <c r="C302" s="29" t="inlineStr">
        <is>
          <t>Other current liabilities (non-debt)</t>
        </is>
      </c>
      <c r="D302" s="3" t="n"/>
      <c r="E302" s="3">
        <f>E219-D219</f>
        <v>57.386</v>
      </c>
      <c r="F302" s="3">
        <f>F219-E219</f>
        <v>159.753</v>
      </c>
      <c r="G302" s="3">
        <f>G219-F219</f>
        <v>-155.025</v>
      </c>
      <c r="H302" s="3">
        <f>SUM(D302:G302)</f>
        <v>62.114</v>
      </c>
      <c r="I302" s="3">
        <f>I219-H219</f>
        <v>107.286</v>
      </c>
      <c r="J302" s="3">
        <f>J219-I219</f>
        <v>136.585</v>
      </c>
      <c r="K302" s="3">
        <f>K219-J219</f>
        <v>-117.552</v>
      </c>
      <c r="L302" s="3">
        <f>L219-K219</f>
        <v>363.405</v>
      </c>
      <c r="M302" s="3">
        <f>SUM(I302:L302)</f>
        <v>489.724</v>
      </c>
      <c r="N302" s="3">
        <f>N219-M219</f>
        <v>284.805</v>
      </c>
      <c r="O302" s="3">
        <f>O219-N219</f>
        <v>-59.6029999999998</v>
      </c>
      <c r="P302" s="3">
        <f>P219-O219</f>
        <v>-347.36371860892</v>
      </c>
      <c r="Q302" s="3">
        <f>Q219-P219</f>
        <v>-18.4402813910805</v>
      </c>
      <c r="R302" s="3">
        <f>SUM(N302:Q302)</f>
        <v>-140.602</v>
      </c>
      <c r="S302" s="3">
        <f>S219-R219</f>
        <v>-304.072</v>
      </c>
      <c r="T302" s="3">
        <f>T219-S219</f>
        <v>-5.29700000000003</v>
      </c>
      <c r="U302" s="3">
        <f>U219-T219</f>
        <v>175.662</v>
      </c>
      <c r="V302" s="3">
        <f>V219-U219</f>
        <v>86.302</v>
      </c>
      <c r="W302" s="3">
        <f>SUM(S302:V302)</f>
        <v>-47.405</v>
      </c>
      <c r="X302" s="3">
        <f>X219-W219</f>
        <v>78.283</v>
      </c>
      <c r="Y302" s="3">
        <f>Y219-X219</f>
        <v>222.265</v>
      </c>
      <c r="Z302" s="3">
        <f>Z219-Y219</f>
        <v>-249.937</v>
      </c>
      <c r="AA302" s="3">
        <f>AA219-Z219</f>
        <v>-2.05599999999993</v>
      </c>
      <c r="AB302" s="3">
        <f>SUM(X302:AA302)</f>
        <v>48.5550000000001</v>
      </c>
      <c r="AC302" s="3">
        <f>AC219-AB219</f>
        <v>96.9169999999999</v>
      </c>
      <c r="AD302" s="3">
        <f>AD219-AC219</f>
        <v>14.449</v>
      </c>
      <c r="AE302" s="3">
        <f>AE219-AD219</f>
        <v>269.568</v>
      </c>
      <c r="AF302" s="3">
        <f>AF219-AE219</f>
        <v>-97.7760000000001</v>
      </c>
      <c r="AG302" s="3">
        <f>SUM(AC302:AF302)</f>
        <v>283.158</v>
      </c>
      <c r="AH302" s="3">
        <f>AH219-AG219</f>
        <v>208.352</v>
      </c>
      <c r="AI302" s="3">
        <f>AI219-AH219</f>
        <v>-42.8789999999999</v>
      </c>
      <c r="AJ302" s="3">
        <f>AJ219-AI219</f>
        <v>0</v>
      </c>
      <c r="AK302" s="3">
        <f>AK219-AJ219</f>
        <v>0</v>
      </c>
      <c r="AL302" s="3">
        <f>SUM(AH302:AK302)</f>
        <v>165.473</v>
      </c>
      <c r="AM302" s="3">
        <f>AM219-AL219</f>
        <v>0</v>
      </c>
      <c r="AN302" s="3">
        <f>AN219-AM219</f>
        <v>0</v>
      </c>
      <c r="AO302" s="3">
        <f>AO219-AN219</f>
        <v>0</v>
      </c>
      <c r="AP302" s="3">
        <f>AP219-AO219</f>
        <v>0</v>
      </c>
      <c r="AQ302" s="3">
        <f>SUM(AM302:AP302)</f>
        <v>0</v>
      </c>
      <c r="AR302" s="3">
        <f>AR219-AQ219</f>
        <v>0</v>
      </c>
      <c r="AS302" s="3">
        <f>AS219-AR219</f>
        <v>0</v>
      </c>
      <c r="AT302" s="3">
        <f>AT219-AS219</f>
        <v>0</v>
      </c>
      <c r="AU302" s="3">
        <f>AU219-AT219</f>
        <v>0</v>
      </c>
      <c r="AV302" s="3">
        <f>SUM(AR302:AU302)</f>
        <v>0</v>
      </c>
      <c r="AW302" s="3">
        <f>AW219-AV219</f>
        <v>0</v>
      </c>
      <c r="AX302" s="3">
        <f>AX219-AW219</f>
        <v>0</v>
      </c>
      <c r="AY302" s="3">
        <f>AY219-AX219</f>
        <v>0</v>
      </c>
      <c r="AZ302" s="3">
        <f>AZ219-AY219</f>
        <v>0</v>
      </c>
      <c r="BA302" s="3">
        <f>SUM(AW302:AZ302)</f>
        <v>0</v>
      </c>
      <c r="BB302" s="3">
        <f>BB219-BA219</f>
        <v>0</v>
      </c>
      <c r="BC302" s="3">
        <f>BC219-BB219</f>
        <v>0</v>
      </c>
      <c r="BD302" s="3">
        <f>BD219-BC219</f>
        <v>0</v>
      </c>
      <c r="BE302" s="3">
        <f>BE219-BD219</f>
        <v>0</v>
      </c>
      <c r="BF302" s="3">
        <f>SUM(BB302:BE302)</f>
        <v>0</v>
      </c>
      <c r="BG302" s="3">
        <f>BG219-BF219</f>
        <v>0</v>
      </c>
      <c r="BH302" s="3">
        <f>BH219-BG219</f>
        <v>0</v>
      </c>
      <c r="BI302" s="3">
        <f>BI219-BH219</f>
        <v>0</v>
      </c>
      <c r="BJ302" s="3">
        <f>BJ219-BI219</f>
        <v>0</v>
      </c>
      <c r="BK302" s="3">
        <f>SUM(BG302:BJ302)</f>
        <v>0</v>
      </c>
      <c r="BL302" s="3">
        <f>BL219-BK219</f>
        <v>0</v>
      </c>
      <c r="BM302" s="3">
        <f>BM219-BL219</f>
        <v>0</v>
      </c>
      <c r="BN302" s="3">
        <f>BN219-BM219</f>
        <v>0</v>
      </c>
      <c r="BO302" s="3">
        <f>BO219-BN219</f>
        <v>0</v>
      </c>
      <c r="BP302" s="3">
        <f>SUM(BL302:BO302)</f>
        <v>0</v>
      </c>
      <c r="BQ302" s="3">
        <f>BQ219-BP219</f>
        <v>0</v>
      </c>
      <c r="BR302" s="3">
        <f>BR219-BQ219</f>
        <v>0</v>
      </c>
      <c r="BS302" s="3">
        <f>BS219-BR219</f>
        <v>0</v>
      </c>
      <c r="BT302" s="3">
        <f>BT219-BS219</f>
        <v>0</v>
      </c>
      <c r="BU302" s="3">
        <f>SUM(BQ302:BT302)</f>
        <v>0</v>
      </c>
      <c r="BV302" s="3">
        <f>BV219-BU219</f>
        <v>0</v>
      </c>
      <c r="BW302" s="3">
        <f>BW219-BV219</f>
        <v>0</v>
      </c>
      <c r="BX302" s="3">
        <f>BX219-BW219</f>
        <v>0</v>
      </c>
      <c r="BY302" s="3">
        <f>BY219-BX219</f>
        <v>0</v>
      </c>
      <c r="BZ302" s="3">
        <f>SUM(BV302:BY302)</f>
        <v>0</v>
      </c>
      <c r="CA302" s="3">
        <f>CA219-BZ219</f>
        <v>0</v>
      </c>
      <c r="CB302" s="3">
        <f>CB219-CA219</f>
        <v>0</v>
      </c>
      <c r="CC302" s="3">
        <f>CC219-CB219</f>
        <v>0</v>
      </c>
      <c r="CD302" s="3">
        <f>CD219-CC219</f>
        <v>0</v>
      </c>
      <c r="CE302" s="3">
        <f>SUM(CA302:CD302)</f>
        <v>0</v>
      </c>
      <c r="CF302" s="3">
        <f>CF219-CE219</f>
        <v>0</v>
      </c>
      <c r="CG302" s="3">
        <f>CG219-CF219</f>
        <v>0</v>
      </c>
      <c r="CH302" s="3">
        <f>CH219-CG219</f>
        <v>0</v>
      </c>
      <c r="CI302" s="3">
        <f>CI219-CH219</f>
        <v>0</v>
      </c>
      <c r="CJ302" s="3">
        <f>SUM(CF302:CI302)</f>
        <v>0</v>
      </c>
      <c r="CK302" s="3">
        <f>CK219-CJ219</f>
        <v>0</v>
      </c>
      <c r="CL302" s="3">
        <f>CL219-CK219</f>
        <v>0</v>
      </c>
      <c r="CM302" s="3">
        <f>CM219-CL219</f>
        <v>0</v>
      </c>
      <c r="CN302" s="3">
        <f>CN219-CM219</f>
        <v>0</v>
      </c>
      <c r="CO302" s="3">
        <f>SUM(CK302:CN302)</f>
        <v>0</v>
      </c>
      <c r="CP302" s="3">
        <f>CP219-CO219</f>
        <v>0</v>
      </c>
      <c r="CQ302" s="3">
        <f>CQ219-CP219</f>
        <v>0</v>
      </c>
      <c r="CR302" s="3">
        <f>CR219-CQ219</f>
        <v>0</v>
      </c>
      <c r="CS302" s="3">
        <f>CS219-CR219</f>
        <v>0</v>
      </c>
      <c r="CT302" s="3">
        <f>SUM(CP302:CS302)</f>
        <v>0</v>
      </c>
      <c r="CU302" s="3">
        <f>CU219-CT219</f>
        <v>0</v>
      </c>
      <c r="CV302" s="3">
        <f>CV219-CU219</f>
        <v>0</v>
      </c>
      <c r="CW302" s="3">
        <f>CW219-CV219</f>
        <v>0</v>
      </c>
      <c r="CX302" s="3">
        <f>CX219-CW219</f>
        <v>0</v>
      </c>
      <c r="CY302" s="3">
        <f>SUM(CU302:CX302)</f>
        <v>0</v>
      </c>
    </row>
    <row r="303" hidden="1" outlineLevel="1">
      <c r="C303" s="29" t="inlineStr">
        <is>
          <t>Deferred income taxes</t>
        </is>
      </c>
      <c r="D303" s="3" t="n"/>
      <c r="E303" s="3">
        <f>E253-D253</f>
        <v>-0.355999999999998</v>
      </c>
      <c r="F303" s="3">
        <f>F253-E253</f>
        <v>2.083</v>
      </c>
      <c r="G303" s="3">
        <f>G253-F253</f>
        <v>0.0210000000000008</v>
      </c>
      <c r="H303" s="3">
        <f>SUM(D303:G303)</f>
        <v>1.748</v>
      </c>
      <c r="I303" s="3">
        <f>I253-H253</f>
        <v>3.113</v>
      </c>
      <c r="J303" s="3">
        <f>J253-I253</f>
        <v>4.496</v>
      </c>
      <c r="K303" s="3">
        <f>K253-J253</f>
        <v>1.014</v>
      </c>
      <c r="L303" s="3">
        <f>L253-K253</f>
        <v>-0.566000000000003</v>
      </c>
      <c r="M303" s="3">
        <f>SUM(I303:L303)</f>
        <v>8.057</v>
      </c>
      <c r="N303" s="3">
        <f>N253-M253</f>
        <v>5.42</v>
      </c>
      <c r="O303" s="3">
        <f>O253-N253</f>
        <v>4.708</v>
      </c>
      <c r="P303" s="3">
        <f>P253-O253</f>
        <v>3.428</v>
      </c>
      <c r="Q303" s="3">
        <f>Q253-P253</f>
        <v>-0.151000000000003</v>
      </c>
      <c r="R303" s="3">
        <f>SUM(N303:Q303)</f>
        <v>13.405</v>
      </c>
      <c r="S303" s="3">
        <f>S253-R253</f>
        <v>3.387</v>
      </c>
      <c r="T303" s="3">
        <f>T253-S253</f>
        <v>4.79300000000001</v>
      </c>
      <c r="U303" s="3">
        <f>U253-T253</f>
        <v>1.666</v>
      </c>
      <c r="V303" s="3">
        <f>V253-U253</f>
        <v>-0.268000000000001</v>
      </c>
      <c r="W303" s="3">
        <f>SUM(S303:V303)</f>
        <v>9.578</v>
      </c>
      <c r="X303" s="3">
        <f>X253-W253</f>
        <v>6.078</v>
      </c>
      <c r="Y303" s="3">
        <f>Y253-X253</f>
        <v>-0.588999999999999</v>
      </c>
      <c r="Z303" s="3">
        <f>Z253-Y253</f>
        <v>1.505</v>
      </c>
      <c r="AA303" s="3">
        <f>AA253-Z253</f>
        <v>-4.66</v>
      </c>
      <c r="AB303" s="3">
        <f>SUM(X303:AA303)</f>
        <v>2.334</v>
      </c>
      <c r="AC303" s="3">
        <f>AC253-AB253</f>
        <v>18.11</v>
      </c>
      <c r="AD303" s="3">
        <f>AD253-AC253</f>
        <v>6.03</v>
      </c>
      <c r="AE303" s="3">
        <f>AE253-AD253</f>
        <v>-0.543000000000006</v>
      </c>
      <c r="AF303" s="3">
        <f>AF253-AE253</f>
        <v>-0.283000000000001</v>
      </c>
      <c r="AG303" s="3">
        <f>SUM(AC303:AF303)</f>
        <v>23.314</v>
      </c>
      <c r="AH303" s="3">
        <f>AH253-AG253</f>
        <v>8.22800000000001</v>
      </c>
      <c r="AI303" s="3">
        <f>AI253-AH253</f>
        <v>6.273</v>
      </c>
      <c r="AJ303" s="3">
        <f>AJ253-AI253</f>
        <v>0</v>
      </c>
      <c r="AK303" s="3">
        <f>AK253-AJ253</f>
        <v>0</v>
      </c>
      <c r="AL303" s="3">
        <f>SUM(AH303:AK303)</f>
        <v>14.501</v>
      </c>
      <c r="AM303" s="3">
        <f>AM253-AL253</f>
        <v>0</v>
      </c>
      <c r="AN303" s="3">
        <f>AN253-AM253</f>
        <v>0</v>
      </c>
      <c r="AO303" s="3">
        <f>AO253-AN253</f>
        <v>0</v>
      </c>
      <c r="AP303" s="3">
        <f>AP253-AO253</f>
        <v>0</v>
      </c>
      <c r="AQ303" s="3">
        <f>SUM(AM303:AP303)</f>
        <v>0</v>
      </c>
      <c r="AR303" s="3">
        <f>AR253-AQ253</f>
        <v>0</v>
      </c>
      <c r="AS303" s="3">
        <f>AS253-AR253</f>
        <v>0</v>
      </c>
      <c r="AT303" s="3">
        <f>AT253-AS253</f>
        <v>0</v>
      </c>
      <c r="AU303" s="3">
        <f>AU253-AT253</f>
        <v>0</v>
      </c>
      <c r="AV303" s="3">
        <f>SUM(AR303:AU303)</f>
        <v>0</v>
      </c>
      <c r="AW303" s="3">
        <f>AW253-AV253</f>
        <v>0</v>
      </c>
      <c r="AX303" s="3">
        <f>AX253-AW253</f>
        <v>0</v>
      </c>
      <c r="AY303" s="3">
        <f>AY253-AX253</f>
        <v>0</v>
      </c>
      <c r="AZ303" s="3">
        <f>AZ253-AY253</f>
        <v>0</v>
      </c>
      <c r="BA303" s="3">
        <f>SUM(AW303:AZ303)</f>
        <v>0</v>
      </c>
      <c r="BB303" s="3">
        <f>BB253-BA253</f>
        <v>0</v>
      </c>
      <c r="BC303" s="3">
        <f>BC253-BB253</f>
        <v>0</v>
      </c>
      <c r="BD303" s="3">
        <f>BD253-BC253</f>
        <v>0</v>
      </c>
      <c r="BE303" s="3">
        <f>BE253-BD253</f>
        <v>0</v>
      </c>
      <c r="BF303" s="3">
        <f>SUM(BB303:BE303)</f>
        <v>0</v>
      </c>
      <c r="BG303" s="3">
        <f>BG253-BF253</f>
        <v>0</v>
      </c>
      <c r="BH303" s="3">
        <f>BH253-BG253</f>
        <v>0</v>
      </c>
      <c r="BI303" s="3">
        <f>BI253-BH253</f>
        <v>0</v>
      </c>
      <c r="BJ303" s="3">
        <f>BJ253-BI253</f>
        <v>0</v>
      </c>
      <c r="BK303" s="3">
        <f>SUM(BG303:BJ303)</f>
        <v>0</v>
      </c>
      <c r="BL303" s="3">
        <f>BL253-BK253</f>
        <v>0</v>
      </c>
      <c r="BM303" s="3">
        <f>BM253-BL253</f>
        <v>0</v>
      </c>
      <c r="BN303" s="3">
        <f>BN253-BM253</f>
        <v>0</v>
      </c>
      <c r="BO303" s="3">
        <f>BO253-BN253</f>
        <v>0</v>
      </c>
      <c r="BP303" s="3">
        <f>SUM(BL303:BO303)</f>
        <v>0</v>
      </c>
      <c r="BQ303" s="3">
        <f>BQ253-BP253</f>
        <v>0</v>
      </c>
      <c r="BR303" s="3">
        <f>BR253-BQ253</f>
        <v>0</v>
      </c>
      <c r="BS303" s="3">
        <f>BS253-BR253</f>
        <v>0</v>
      </c>
      <c r="BT303" s="3">
        <f>BT253-BS253</f>
        <v>0</v>
      </c>
      <c r="BU303" s="3">
        <f>SUM(BQ303:BT303)</f>
        <v>0</v>
      </c>
      <c r="BV303" s="3">
        <f>BV253-BU253</f>
        <v>0</v>
      </c>
      <c r="BW303" s="3">
        <f>BW253-BV253</f>
        <v>0</v>
      </c>
      <c r="BX303" s="3">
        <f>BX253-BW253</f>
        <v>0</v>
      </c>
      <c r="BY303" s="3">
        <f>BY253-BX253</f>
        <v>0</v>
      </c>
      <c r="BZ303" s="3">
        <f>SUM(BV303:BY303)</f>
        <v>0</v>
      </c>
      <c r="CA303" s="3">
        <f>CA253-BZ253</f>
        <v>0</v>
      </c>
      <c r="CB303" s="3">
        <f>CB253-CA253</f>
        <v>0</v>
      </c>
      <c r="CC303" s="3">
        <f>CC253-CB253</f>
        <v>0</v>
      </c>
      <c r="CD303" s="3">
        <f>CD253-CC253</f>
        <v>0</v>
      </c>
      <c r="CE303" s="3">
        <f>SUM(CA303:CD303)</f>
        <v>0</v>
      </c>
      <c r="CF303" s="3">
        <f>CF253-CE253</f>
        <v>0</v>
      </c>
      <c r="CG303" s="3">
        <f>CG253-CF253</f>
        <v>0</v>
      </c>
      <c r="CH303" s="3">
        <f>CH253-CG253</f>
        <v>0</v>
      </c>
      <c r="CI303" s="3">
        <f>CI253-CH253</f>
        <v>0</v>
      </c>
      <c r="CJ303" s="3">
        <f>SUM(CF303:CI303)</f>
        <v>0</v>
      </c>
      <c r="CK303" s="3">
        <f>CK253-CJ253</f>
        <v>0</v>
      </c>
      <c r="CL303" s="3">
        <f>CL253-CK253</f>
        <v>0</v>
      </c>
      <c r="CM303" s="3">
        <f>CM253-CL253</f>
        <v>0</v>
      </c>
      <c r="CN303" s="3">
        <f>CN253-CM253</f>
        <v>0</v>
      </c>
      <c r="CO303" s="3">
        <f>SUM(CK303:CN303)</f>
        <v>0</v>
      </c>
      <c r="CP303" s="3">
        <f>CP253-CO253</f>
        <v>0</v>
      </c>
      <c r="CQ303" s="3">
        <f>CQ253-CP253</f>
        <v>0</v>
      </c>
      <c r="CR303" s="3">
        <f>CR253-CQ253</f>
        <v>0</v>
      </c>
      <c r="CS303" s="3">
        <f>CS253-CR253</f>
        <v>0</v>
      </c>
      <c r="CT303" s="3">
        <f>SUM(CP303:CS303)</f>
        <v>0</v>
      </c>
      <c r="CU303" s="3">
        <f>CU253-CT253</f>
        <v>0</v>
      </c>
      <c r="CV303" s="3">
        <f>CV253-CU253</f>
        <v>0</v>
      </c>
      <c r="CW303" s="3">
        <f>CW253-CV253</f>
        <v>0</v>
      </c>
      <c r="CX303" s="3">
        <f>CX253-CW253</f>
        <v>0</v>
      </c>
      <c r="CY303" s="3">
        <f>SUM(CU303:CX303)</f>
        <v>0</v>
      </c>
    </row>
    <row r="304" collapsed="1">
      <c r="C304" s="29" t="inlineStr">
        <is>
          <t>Equity income in affiliates</t>
        </is>
      </c>
      <c r="D304" s="3" t="n"/>
      <c r="E304" s="3">
        <f>(E175-D175)*-1</f>
        <v>-5.921</v>
      </c>
      <c r="F304" s="3">
        <f>(F175-E175)*-1</f>
        <v>-0.901999999999998</v>
      </c>
      <c r="G304" s="3">
        <f>(G175-F175)*-1</f>
        <v>-1.268</v>
      </c>
      <c r="H304" s="3">
        <f>SUM(D304:G304)</f>
        <v>-8.091</v>
      </c>
      <c r="I304" s="3">
        <f>(I175-H175)*-1</f>
        <v>-1.789</v>
      </c>
      <c r="J304" s="3">
        <f>(J175-I175)*-1</f>
        <v>-3.402</v>
      </c>
      <c r="K304" s="3">
        <f>(K175-J175)*-1</f>
        <v>2.465</v>
      </c>
      <c r="L304" s="3">
        <f>(L175-K175)*-1</f>
        <v>-0.0960000000000001</v>
      </c>
      <c r="M304" s="3">
        <f>SUM(I304:L304)</f>
        <v>-2.822</v>
      </c>
      <c r="N304" s="3">
        <f>(N175-M175)*-1</f>
        <v>-0.994</v>
      </c>
      <c r="O304" s="3">
        <f>(O175-N175)*-1</f>
        <v>-2.84</v>
      </c>
      <c r="P304" s="3">
        <f>(P175-O175)*-1</f>
        <v>-2.789</v>
      </c>
      <c r="Q304" s="3">
        <f>(Q175-P175)*-1</f>
        <v>2.077</v>
      </c>
      <c r="R304" s="3">
        <f>SUM(N304:Q304)</f>
        <v>-4.546</v>
      </c>
      <c r="S304" s="3">
        <f>(S175-R175)*-1</f>
        <v>1.989</v>
      </c>
      <c r="T304" s="3">
        <f>(T175-S175)*-1</f>
        <v>-1.271</v>
      </c>
      <c r="U304" s="3">
        <f>(U175-T175)*-1</f>
        <v>3.906</v>
      </c>
      <c r="V304" s="3">
        <f>(V175-U175)*-1</f>
        <v>-11.183</v>
      </c>
      <c r="W304" s="3">
        <f>SUM(S304:V304)</f>
        <v>-6.559</v>
      </c>
      <c r="X304" s="3">
        <f>(X175-W175)*-1</f>
        <v>0.0719999999999956</v>
      </c>
      <c r="Y304" s="3">
        <f>(Y175-X175)*-1</f>
        <v>-3.904</v>
      </c>
      <c r="Z304" s="3">
        <f>(Z175-Y175)*-1</f>
        <v>1.87</v>
      </c>
      <c r="AA304" s="3">
        <f>(AA175-Z175)*-1</f>
        <v>0.593000000000004</v>
      </c>
      <c r="AB304" s="3">
        <f>SUM(X304:AA304)</f>
        <v>-1.369</v>
      </c>
      <c r="AC304" s="3">
        <f>(AC175-AB175)*-1</f>
        <v>1.872</v>
      </c>
      <c r="AD304" s="3">
        <f>(AD175-AC175)*-1</f>
        <v>-0.355000000000004</v>
      </c>
      <c r="AE304" s="3">
        <f>(AE175-AD175)*-1</f>
        <v>-0.475999999999999</v>
      </c>
      <c r="AF304" s="3">
        <f>(AF175-AE175)*-1</f>
        <v>-0.117999999999995</v>
      </c>
      <c r="AG304" s="3">
        <f>SUM(AC304:AF304)</f>
        <v>0.923000000000002</v>
      </c>
      <c r="AH304" s="3">
        <f>(AH175-AG175)*-1</f>
        <v>3.564</v>
      </c>
      <c r="AI304" s="3">
        <f>(AI175-AH175)*-1</f>
        <v>7.286</v>
      </c>
      <c r="AJ304" s="3">
        <f>(AJ175-AI175)*-1</f>
        <v>-2.474</v>
      </c>
      <c r="AK304" s="3">
        <f>(AK175-AJ175)*-1</f>
        <v>-3.137</v>
      </c>
      <c r="AL304" s="3">
        <f>SUM(AH304:AK304)</f>
        <v>5.239</v>
      </c>
      <c r="AM304" s="3">
        <f>(AM175-AL175)*-1</f>
        <v>-2.282</v>
      </c>
      <c r="AN304" s="3">
        <f>(AN175-AM175)*-1</f>
        <v>-1.014</v>
      </c>
      <c r="AO304" s="3">
        <f>(AO175-AN175)*-1</f>
        <v>-2.474</v>
      </c>
      <c r="AP304" s="3">
        <f>(AP175-AO175)*-1</f>
        <v>-3.137</v>
      </c>
      <c r="AQ304" s="3">
        <f>SUM(AM304:AP304)</f>
        <v>-8.907</v>
      </c>
      <c r="AR304" s="3">
        <f>(AR175-AQ175)*-1</f>
        <v>-2.282</v>
      </c>
      <c r="AS304" s="3">
        <f>(AS175-AR175)*-1</f>
        <v>-1.014</v>
      </c>
      <c r="AT304" s="3">
        <f>(AT175-AS175)*-1</f>
        <v>-2.474</v>
      </c>
      <c r="AU304" s="3">
        <f>(AU175-AT175)*-1</f>
        <v>-3.137</v>
      </c>
      <c r="AV304" s="3">
        <f>SUM(AR304:AU304)</f>
        <v>-8.907</v>
      </c>
      <c r="AW304" s="3">
        <f>(AW175-AV175)*-1</f>
        <v>-2.282</v>
      </c>
      <c r="AX304" s="3">
        <f>(AX175-AW175)*-1</f>
        <v>-1.014</v>
      </c>
      <c r="AY304" s="3">
        <f>(AY175-AX175)*-1</f>
        <v>-2.474</v>
      </c>
      <c r="AZ304" s="3">
        <f>(AZ175-AY175)*-1</f>
        <v>-3.137</v>
      </c>
      <c r="BA304" s="3">
        <f>SUM(AW304:AZ304)</f>
        <v>-8.907</v>
      </c>
      <c r="BB304" s="3">
        <f>(BB175-BA175)*-1</f>
        <v>-2.282</v>
      </c>
      <c r="BC304" s="3">
        <f>(BC175-BB175)*-1</f>
        <v>-1.014</v>
      </c>
      <c r="BD304" s="3">
        <f>(BD175-BC175)*-1</f>
        <v>-2.474</v>
      </c>
      <c r="BE304" s="3">
        <f>(BE175-BD175)*-1</f>
        <v>-3.137</v>
      </c>
      <c r="BF304" s="3">
        <f>SUM(BB304:BE304)</f>
        <v>-8.907</v>
      </c>
      <c r="BG304" s="3">
        <f>(BG175-BF175)*-1</f>
        <v>-2.282</v>
      </c>
      <c r="BH304" s="3">
        <f>(BH175-BG175)*-1</f>
        <v>-1.014</v>
      </c>
      <c r="BI304" s="3">
        <f>(BI175-BH175)*-1</f>
        <v>-2.474</v>
      </c>
      <c r="BJ304" s="3">
        <f>(BJ175-BI175)*-1</f>
        <v>-3.137</v>
      </c>
      <c r="BK304" s="3">
        <f>SUM(BG304:BJ304)</f>
        <v>-8.907</v>
      </c>
      <c r="BL304" s="3">
        <f>(BL175-BK175)*-1</f>
        <v>-2.282</v>
      </c>
      <c r="BM304" s="3">
        <f>(BM175-BL175)*-1</f>
        <v>-1.014</v>
      </c>
      <c r="BN304" s="3">
        <f>(BN175-BM175)*-1</f>
        <v>-2.474</v>
      </c>
      <c r="BO304" s="3">
        <f>(BO175-BN175)*-1</f>
        <v>-3.137</v>
      </c>
      <c r="BP304" s="3">
        <f>SUM(BL304:BO304)</f>
        <v>-8.907</v>
      </c>
      <c r="BQ304" s="3">
        <f>(BQ175-BP175)*-1</f>
        <v>-2.282</v>
      </c>
      <c r="BR304" s="3">
        <f>(BR175-BQ175)*-1</f>
        <v>-1.014</v>
      </c>
      <c r="BS304" s="3">
        <f>(BS175-BR175)*-1</f>
        <v>-2.474</v>
      </c>
      <c r="BT304" s="3">
        <f>(BT175-BS175)*-1</f>
        <v>-3.137</v>
      </c>
      <c r="BU304" s="3">
        <f>SUM(BQ304:BT304)</f>
        <v>-8.907</v>
      </c>
      <c r="BV304" s="3">
        <f>(BV175-BU175)*-1</f>
        <v>-2.282</v>
      </c>
      <c r="BW304" s="3">
        <f>(BW175-BV175)*-1</f>
        <v>-1.014</v>
      </c>
      <c r="BX304" s="3">
        <f>(BX175-BW175)*-1</f>
        <v>-2.474</v>
      </c>
      <c r="BY304" s="3">
        <f>(BY175-BX175)*-1</f>
        <v>-3.137</v>
      </c>
      <c r="BZ304" s="3">
        <f>SUM(BV304:BY304)</f>
        <v>-8.907</v>
      </c>
      <c r="CA304" s="3">
        <f>(CA175-BZ175)*-1</f>
        <v>-2.282</v>
      </c>
      <c r="CB304" s="3">
        <f>(CB175-CA175)*-1</f>
        <v>-1.014</v>
      </c>
      <c r="CC304" s="3">
        <f>(CC175-CB175)*-1</f>
        <v>-2.474</v>
      </c>
      <c r="CD304" s="3">
        <f>(CD175-CC175)*-1</f>
        <v>-3.137</v>
      </c>
      <c r="CE304" s="3">
        <f>SUM(CA304:CD304)</f>
        <v>-8.907</v>
      </c>
      <c r="CF304" s="3">
        <f>(CF175-CE175)*-1</f>
        <v>-2.282</v>
      </c>
      <c r="CG304" s="3">
        <f>(CG175-CF175)*-1</f>
        <v>-1.014</v>
      </c>
      <c r="CH304" s="3">
        <f>(CH175-CG175)*-1</f>
        <v>-2.474</v>
      </c>
      <c r="CI304" s="3">
        <f>(CI175-CH175)*-1</f>
        <v>-3.137</v>
      </c>
      <c r="CJ304" s="3">
        <f>SUM(CF304:CI304)</f>
        <v>-8.907</v>
      </c>
      <c r="CK304" s="3">
        <f>(CK175-CJ175)*-1</f>
        <v>-2.282</v>
      </c>
      <c r="CL304" s="3">
        <f>(CL175-CK175)*-1</f>
        <v>-1.01400000000001</v>
      </c>
      <c r="CM304" s="3">
        <f>(CM175-CL175)*-1</f>
        <v>-2.47399999999999</v>
      </c>
      <c r="CN304" s="3">
        <f>(CN175-CM175)*-1</f>
        <v>-3.137</v>
      </c>
      <c r="CO304" s="3">
        <f>SUM(CK304:CN304)</f>
        <v>-8.907</v>
      </c>
      <c r="CP304" s="3">
        <f>(CP175-CO175)*-1</f>
        <v>-2.28200000000001</v>
      </c>
      <c r="CQ304" s="3">
        <f>(CQ175-CP175)*-1</f>
        <v>-1.01400000000001</v>
      </c>
      <c r="CR304" s="3">
        <f>(CR175-CQ175)*-1</f>
        <v>-2.47399999999999</v>
      </c>
      <c r="CS304" s="3">
        <f>(CS175-CR175)*-1</f>
        <v>-3.137</v>
      </c>
      <c r="CT304" s="3">
        <f>SUM(CP304:CS304)</f>
        <v>-8.90700000000001</v>
      </c>
      <c r="CU304" s="3">
        <f>(CU175-CT175)*-1</f>
        <v>-2.28200000000001</v>
      </c>
      <c r="CV304" s="3">
        <f>(CV175-CU175)*-1</f>
        <v>-1.01400000000001</v>
      </c>
      <c r="CW304" s="3">
        <f>(CW175-CV175)*-1</f>
        <v>-2.47399999999999</v>
      </c>
      <c r="CX304" s="3">
        <f>(CX175-CW175)*-1</f>
        <v>-3.137</v>
      </c>
      <c r="CY304" s="3">
        <f>SUM(CU304:CX304)</f>
        <v>-8.90700000000001</v>
      </c>
    </row>
    <row r="305">
      <c r="C305" s="29" t="inlineStr">
        <is>
          <t>Dividends received from affiliates</t>
        </is>
      </c>
      <c r="D305" s="3" t="n"/>
      <c r="E305" s="3">
        <f>-E178</f>
        <v>0</v>
      </c>
      <c r="F305" s="3">
        <f>-F178</f>
        <v>0</v>
      </c>
      <c r="G305" s="3">
        <f>-G178</f>
        <v>0</v>
      </c>
      <c r="H305" s="3">
        <f>SUM(D305:G305)</f>
        <v>0</v>
      </c>
      <c r="I305" s="3">
        <f>-I178</f>
        <v>0</v>
      </c>
      <c r="J305" s="3">
        <f>-J178</f>
        <v>0</v>
      </c>
      <c r="K305" s="3">
        <f>-K178</f>
        <v>0</v>
      </c>
      <c r="L305" s="3">
        <f>-L178</f>
        <v>0</v>
      </c>
      <c r="M305" s="3">
        <f>SUM(I305:L305)</f>
        <v>0</v>
      </c>
      <c r="N305" s="3">
        <f>-N178</f>
        <v>0</v>
      </c>
      <c r="O305" s="3">
        <f>-O178</f>
        <v>0</v>
      </c>
      <c r="P305" s="3">
        <f>-P178</f>
        <v>0</v>
      </c>
      <c r="Q305" s="3">
        <f>-Q178</f>
        <v>0</v>
      </c>
      <c r="R305" s="3">
        <f>SUM(N305:Q305)</f>
        <v>0</v>
      </c>
      <c r="S305" s="3">
        <f>-S178</f>
        <v>0</v>
      </c>
      <c r="T305" s="3">
        <f>-T178</f>
        <v>0</v>
      </c>
      <c r="U305" s="3">
        <f>-U178</f>
        <v>0</v>
      </c>
      <c r="V305" s="3">
        <f>-V178</f>
        <v>0</v>
      </c>
      <c r="W305" s="3">
        <f>SUM(S305:V305)</f>
        <v>0</v>
      </c>
      <c r="X305" s="3">
        <f>-X178</f>
        <v>0</v>
      </c>
      <c r="Y305" s="3">
        <f>-Y178</f>
        <v>0</v>
      </c>
      <c r="Z305" s="3">
        <f>-Z178</f>
        <v>0</v>
      </c>
      <c r="AA305" s="3">
        <f>-AA178</f>
        <v>0</v>
      </c>
      <c r="AB305" s="3">
        <f>SUM(X305:AA305)</f>
        <v>0</v>
      </c>
      <c r="AC305" s="3">
        <f>-AC178</f>
        <v>0</v>
      </c>
      <c r="AD305" s="3">
        <f>-AD178</f>
        <v>0</v>
      </c>
      <c r="AE305" s="3">
        <f>-AE178</f>
        <v>0</v>
      </c>
      <c r="AF305" s="3">
        <f>-AF178</f>
        <v>0</v>
      </c>
      <c r="AG305" s="3">
        <f>SUM(AC305:AF305)</f>
        <v>0</v>
      </c>
      <c r="AH305" s="3">
        <f>-AH178</f>
        <v>0</v>
      </c>
      <c r="AI305" s="3">
        <f>-AI178</f>
        <v>0</v>
      </c>
      <c r="AJ305" s="3">
        <f>-AJ178</f>
        <v>0</v>
      </c>
      <c r="AK305" s="3">
        <f>-AK178</f>
        <v>0</v>
      </c>
      <c r="AL305" s="3">
        <f>SUM(AH305:AK305)</f>
        <v>0</v>
      </c>
      <c r="AM305" s="3">
        <f>-AM178</f>
        <v>0</v>
      </c>
      <c r="AN305" s="3">
        <f>-AN178</f>
        <v>0</v>
      </c>
      <c r="AO305" s="3">
        <f>-AO178</f>
        <v>0</v>
      </c>
      <c r="AP305" s="3">
        <f>-AP178</f>
        <v>0</v>
      </c>
      <c r="AQ305" s="3">
        <f>SUM(AM305:AP305)</f>
        <v>0</v>
      </c>
      <c r="AR305" s="3">
        <f>-AR178</f>
        <v>0</v>
      </c>
      <c r="AS305" s="3">
        <f>-AS178</f>
        <v>0</v>
      </c>
      <c r="AT305" s="3">
        <f>-AT178</f>
        <v>0</v>
      </c>
      <c r="AU305" s="3">
        <f>-AU178</f>
        <v>0</v>
      </c>
      <c r="AV305" s="3">
        <f>SUM(AR305:AU305)</f>
        <v>0</v>
      </c>
      <c r="AW305" s="3">
        <f>-AW178</f>
        <v>0</v>
      </c>
      <c r="AX305" s="3">
        <f>-AX178</f>
        <v>0</v>
      </c>
      <c r="AY305" s="3">
        <f>-AY178</f>
        <v>0</v>
      </c>
      <c r="AZ305" s="3">
        <f>-AZ178</f>
        <v>0</v>
      </c>
      <c r="BA305" s="3">
        <f>SUM(AW305:AZ305)</f>
        <v>0</v>
      </c>
      <c r="BB305" s="3">
        <f>-BB178</f>
        <v>0</v>
      </c>
      <c r="BC305" s="3">
        <f>-BC178</f>
        <v>0</v>
      </c>
      <c r="BD305" s="3">
        <f>-BD178</f>
        <v>0</v>
      </c>
      <c r="BE305" s="3">
        <f>-BE178</f>
        <v>0</v>
      </c>
      <c r="BF305" s="3">
        <f>SUM(BB305:BE305)</f>
        <v>0</v>
      </c>
      <c r="BG305" s="3">
        <f>-BG178</f>
        <v>0</v>
      </c>
      <c r="BH305" s="3">
        <f>-BH178</f>
        <v>0</v>
      </c>
      <c r="BI305" s="3">
        <f>-BI178</f>
        <v>0</v>
      </c>
      <c r="BJ305" s="3">
        <f>-BJ178</f>
        <v>0</v>
      </c>
      <c r="BK305" s="3">
        <f>SUM(BG305:BJ305)</f>
        <v>0</v>
      </c>
      <c r="BL305" s="3">
        <f>-BL178</f>
        <v>0</v>
      </c>
      <c r="BM305" s="3">
        <f>-BM178</f>
        <v>0</v>
      </c>
      <c r="BN305" s="3">
        <f>-BN178</f>
        <v>0</v>
      </c>
      <c r="BO305" s="3">
        <f>-BO178</f>
        <v>0</v>
      </c>
      <c r="BP305" s="3">
        <f>SUM(BL305:BO305)</f>
        <v>0</v>
      </c>
      <c r="BQ305" s="3">
        <f>-BQ178</f>
        <v>0</v>
      </c>
      <c r="BR305" s="3">
        <f>-BR178</f>
        <v>0</v>
      </c>
      <c r="BS305" s="3">
        <f>-BS178</f>
        <v>0</v>
      </c>
      <c r="BT305" s="3">
        <f>-BT178</f>
        <v>0</v>
      </c>
      <c r="BU305" s="3">
        <f>SUM(BQ305:BT305)</f>
        <v>0</v>
      </c>
      <c r="BV305" s="3">
        <f>-BV178</f>
        <v>0</v>
      </c>
      <c r="BW305" s="3">
        <f>-BW178</f>
        <v>0</v>
      </c>
      <c r="BX305" s="3">
        <f>-BX178</f>
        <v>0</v>
      </c>
      <c r="BY305" s="3">
        <f>-BY178</f>
        <v>0</v>
      </c>
      <c r="BZ305" s="3">
        <f>SUM(BV305:BY305)</f>
        <v>0</v>
      </c>
      <c r="CA305" s="3">
        <f>-CA178</f>
        <v>0</v>
      </c>
      <c r="CB305" s="3">
        <f>-CB178</f>
        <v>0</v>
      </c>
      <c r="CC305" s="3">
        <f>-CC178</f>
        <v>0</v>
      </c>
      <c r="CD305" s="3">
        <f>-CD178</f>
        <v>0</v>
      </c>
      <c r="CE305" s="3">
        <f>SUM(CA305:CD305)</f>
        <v>0</v>
      </c>
      <c r="CF305" s="3">
        <f>-CF178</f>
        <v>0</v>
      </c>
      <c r="CG305" s="3">
        <f>-CG178</f>
        <v>0</v>
      </c>
      <c r="CH305" s="3">
        <f>-CH178</f>
        <v>0</v>
      </c>
      <c r="CI305" s="3">
        <f>-CI178</f>
        <v>0</v>
      </c>
      <c r="CJ305" s="3">
        <f>SUM(CF305:CI305)</f>
        <v>0</v>
      </c>
      <c r="CK305" s="3">
        <f>-CK178</f>
        <v>0</v>
      </c>
      <c r="CL305" s="3">
        <f>-CL178</f>
        <v>0</v>
      </c>
      <c r="CM305" s="3">
        <f>-CM178</f>
        <v>0</v>
      </c>
      <c r="CN305" s="3">
        <f>-CN178</f>
        <v>0</v>
      </c>
      <c r="CO305" s="3">
        <f>SUM(CK305:CN305)</f>
        <v>0</v>
      </c>
      <c r="CP305" s="3">
        <f>-CP178</f>
        <v>0</v>
      </c>
      <c r="CQ305" s="3">
        <f>-CQ178</f>
        <v>0</v>
      </c>
      <c r="CR305" s="3">
        <f>-CR178</f>
        <v>0</v>
      </c>
      <c r="CS305" s="3">
        <f>-CS178</f>
        <v>0</v>
      </c>
      <c r="CT305" s="3">
        <f>SUM(CP305:CS305)</f>
        <v>0</v>
      </c>
      <c r="CU305" s="3">
        <f>-CU178</f>
        <v>0</v>
      </c>
      <c r="CV305" s="3">
        <f>-CV178</f>
        <v>0</v>
      </c>
      <c r="CW305" s="3">
        <f>-CW178</f>
        <v>0</v>
      </c>
      <c r="CX305" s="3">
        <f>-CX178</f>
        <v>0</v>
      </c>
      <c r="CY305" s="3">
        <f>SUM(CU305:CX305)</f>
        <v>0</v>
      </c>
    </row>
    <row r="306">
      <c r="C306" s="30" t="inlineStr">
        <is>
          <t>Minority interest expense</t>
        </is>
      </c>
      <c r="D306" s="3" t="n"/>
      <c r="E306" s="3">
        <f>-E150</f>
        <v>4.023</v>
      </c>
      <c r="F306" s="3">
        <f>-F150</f>
        <v>9.861</v>
      </c>
      <c r="G306" s="3">
        <f>-G150</f>
        <v>6.384</v>
      </c>
      <c r="H306" s="3">
        <f>SUM(D306:G306)</f>
        <v>20.268</v>
      </c>
      <c r="I306" s="3">
        <f>-I150</f>
        <v>2.075</v>
      </c>
      <c r="J306" s="3">
        <f>-J150</f>
        <v>-1.652</v>
      </c>
      <c r="K306" s="3">
        <f>-K150</f>
        <v>7.24172588752408</v>
      </c>
      <c r="L306" s="3">
        <f>-L150</f>
        <v>7.891</v>
      </c>
      <c r="M306" s="3">
        <f>SUM(I306:L306)</f>
        <v>15.5557258875241</v>
      </c>
      <c r="N306" s="3">
        <f>-N150</f>
        <v>1.448</v>
      </c>
      <c r="O306" s="3">
        <f>-O150</f>
        <v>6.614</v>
      </c>
      <c r="P306" s="3">
        <f>-P150</f>
        <v>4.999</v>
      </c>
      <c r="Q306" s="3">
        <f>-Q150</f>
        <v>5.494</v>
      </c>
      <c r="R306" s="3">
        <f>SUM(N306:Q306)</f>
        <v>18.555</v>
      </c>
      <c r="S306" s="3">
        <f>-S150</f>
        <v>2.207</v>
      </c>
      <c r="T306" s="3">
        <f>-T150</f>
        <v>2.697</v>
      </c>
      <c r="U306" s="3">
        <f>-U150</f>
        <v>4.671</v>
      </c>
      <c r="V306" s="3">
        <f>-V150</f>
        <v>4.271</v>
      </c>
      <c r="W306" s="3">
        <f>SUM(S306:V306)</f>
        <v>13.846</v>
      </c>
      <c r="X306" s="3">
        <f>-X150</f>
        <v>12.829</v>
      </c>
      <c r="Y306" s="3">
        <f>-Y150</f>
        <v>3.035</v>
      </c>
      <c r="Z306" s="3">
        <f>-Z150</f>
        <v>10.017</v>
      </c>
      <c r="AA306" s="3">
        <f>-AA150</f>
        <v>23.088</v>
      </c>
      <c r="AB306" s="3">
        <f>SUM(X306:AA306)</f>
        <v>48.969</v>
      </c>
      <c r="AC306" s="3">
        <f>-AC150</f>
        <v>20.189</v>
      </c>
      <c r="AD306" s="3">
        <f>-AD150</f>
        <v>30.4264</v>
      </c>
      <c r="AE306" s="3">
        <f>-AE150</f>
        <v>27.957</v>
      </c>
      <c r="AF306" s="3">
        <f>-AF150</f>
        <v>27.112</v>
      </c>
      <c r="AG306" s="3">
        <f>SUM(AC306:AF306)</f>
        <v>105.6844</v>
      </c>
      <c r="AH306" s="3">
        <f>-AH150</f>
        <v>48.319</v>
      </c>
      <c r="AI306" s="3">
        <f>-AI150</f>
        <v>40.74</v>
      </c>
      <c r="AJ306" s="3">
        <f>-AJ150</f>
        <v>27.957</v>
      </c>
      <c r="AK306" s="3">
        <f>-AK150</f>
        <v>27.112</v>
      </c>
      <c r="AL306" s="3">
        <f>SUM(AH306:AK306)</f>
        <v>144.128</v>
      </c>
      <c r="AM306" s="3">
        <f>-AM150</f>
        <v>48.319</v>
      </c>
      <c r="AN306" s="3">
        <f>-AN150</f>
        <v>40.74</v>
      </c>
      <c r="AO306" s="3">
        <f>-AO150</f>
        <v>27.957</v>
      </c>
      <c r="AP306" s="3">
        <f>-AP150</f>
        <v>27.112</v>
      </c>
      <c r="AQ306" s="3">
        <f>SUM(AM306:AP306)</f>
        <v>144.128</v>
      </c>
      <c r="AR306" s="3">
        <f>-AR150</f>
        <v>48.319</v>
      </c>
      <c r="AS306" s="3">
        <f>-AS150</f>
        <v>40.74</v>
      </c>
      <c r="AT306" s="3">
        <f>-AT150</f>
        <v>27.957</v>
      </c>
      <c r="AU306" s="3">
        <f>-AU150</f>
        <v>27.112</v>
      </c>
      <c r="AV306" s="3">
        <f>SUM(AR306:AU306)</f>
        <v>144.128</v>
      </c>
      <c r="AW306" s="3">
        <f>-AW150</f>
        <v>48.319</v>
      </c>
      <c r="AX306" s="3">
        <f>-AX150</f>
        <v>40.74</v>
      </c>
      <c r="AY306" s="3">
        <f>-AY150</f>
        <v>27.957</v>
      </c>
      <c r="AZ306" s="3">
        <f>-AZ150</f>
        <v>27.112</v>
      </c>
      <c r="BA306" s="3">
        <f>SUM(AW306:AZ306)</f>
        <v>144.128</v>
      </c>
      <c r="BB306" s="3">
        <f>-BB150</f>
        <v>48.319</v>
      </c>
      <c r="BC306" s="3">
        <f>-BC150</f>
        <v>40.74</v>
      </c>
      <c r="BD306" s="3">
        <f>-BD150</f>
        <v>27.957</v>
      </c>
      <c r="BE306" s="3">
        <f>-BE150</f>
        <v>27.112</v>
      </c>
      <c r="BF306" s="3">
        <f>SUM(BB306:BE306)</f>
        <v>144.128</v>
      </c>
      <c r="BG306" s="3">
        <f>-BG150</f>
        <v>48.319</v>
      </c>
      <c r="BH306" s="3">
        <f>-BH150</f>
        <v>40.74</v>
      </c>
      <c r="BI306" s="3">
        <f>-BI150</f>
        <v>27.957</v>
      </c>
      <c r="BJ306" s="3">
        <f>-BJ150</f>
        <v>27.112</v>
      </c>
      <c r="BK306" s="3">
        <f>SUM(BG306:BJ306)</f>
        <v>144.128</v>
      </c>
      <c r="BL306" s="3">
        <f>-BL150</f>
        <v>48.319</v>
      </c>
      <c r="BM306" s="3">
        <f>-BM150</f>
        <v>40.74</v>
      </c>
      <c r="BN306" s="3">
        <f>-BN150</f>
        <v>27.957</v>
      </c>
      <c r="BO306" s="3">
        <f>-BO150</f>
        <v>27.112</v>
      </c>
      <c r="BP306" s="3">
        <f>SUM(BL306:BO306)</f>
        <v>144.128</v>
      </c>
      <c r="BQ306" s="3">
        <f>-BQ150</f>
        <v>48.319</v>
      </c>
      <c r="BR306" s="3">
        <f>-BR150</f>
        <v>40.74</v>
      </c>
      <c r="BS306" s="3">
        <f>-BS150</f>
        <v>27.957</v>
      </c>
      <c r="BT306" s="3">
        <f>-BT150</f>
        <v>27.112</v>
      </c>
      <c r="BU306" s="3">
        <f>SUM(BQ306:BT306)</f>
        <v>144.128</v>
      </c>
      <c r="BV306" s="3">
        <f>-BV150</f>
        <v>48.319</v>
      </c>
      <c r="BW306" s="3">
        <f>-BW150</f>
        <v>40.74</v>
      </c>
      <c r="BX306" s="3">
        <f>-BX150</f>
        <v>27.957</v>
      </c>
      <c r="BY306" s="3">
        <f>-BY150</f>
        <v>27.112</v>
      </c>
      <c r="BZ306" s="3">
        <f>SUM(BV306:BY306)</f>
        <v>144.128</v>
      </c>
      <c r="CA306" s="3">
        <f>-CA150</f>
        <v>48.319</v>
      </c>
      <c r="CB306" s="3">
        <f>-CB150</f>
        <v>40.74</v>
      </c>
      <c r="CC306" s="3">
        <f>-CC150</f>
        <v>27.957</v>
      </c>
      <c r="CD306" s="3">
        <f>-CD150</f>
        <v>27.112</v>
      </c>
      <c r="CE306" s="3">
        <f>SUM(CA306:CD306)</f>
        <v>144.128</v>
      </c>
      <c r="CF306" s="3">
        <f>-CF150</f>
        <v>48.319</v>
      </c>
      <c r="CG306" s="3">
        <f>-CG150</f>
        <v>40.74</v>
      </c>
      <c r="CH306" s="3">
        <f>-CH150</f>
        <v>27.957</v>
      </c>
      <c r="CI306" s="3">
        <f>-CI150</f>
        <v>27.112</v>
      </c>
      <c r="CJ306" s="3">
        <f>SUM(CF306:CI306)</f>
        <v>144.128</v>
      </c>
      <c r="CK306" s="3">
        <f>-CK150</f>
        <v>48.319</v>
      </c>
      <c r="CL306" s="3">
        <f>-CL150</f>
        <v>40.74</v>
      </c>
      <c r="CM306" s="3">
        <f>-CM150</f>
        <v>27.957</v>
      </c>
      <c r="CN306" s="3">
        <f>-CN150</f>
        <v>27.112</v>
      </c>
      <c r="CO306" s="3">
        <f>SUM(CK306:CN306)</f>
        <v>144.128</v>
      </c>
      <c r="CP306" s="3">
        <f>-CP150</f>
        <v>48.319</v>
      </c>
      <c r="CQ306" s="3">
        <f>-CQ150</f>
        <v>40.74</v>
      </c>
      <c r="CR306" s="3">
        <f>-CR150</f>
        <v>27.957</v>
      </c>
      <c r="CS306" s="3">
        <f>-CS150</f>
        <v>27.112</v>
      </c>
      <c r="CT306" s="3">
        <f>SUM(CP306:CS306)</f>
        <v>144.128</v>
      </c>
      <c r="CU306" s="3">
        <f>-CU150</f>
        <v>48.319</v>
      </c>
      <c r="CV306" s="3">
        <f>-CV150</f>
        <v>40.74</v>
      </c>
      <c r="CW306" s="3">
        <f>-CW150</f>
        <v>27.957</v>
      </c>
      <c r="CX306" s="3">
        <f>-CX150</f>
        <v>27.112</v>
      </c>
      <c r="CY306" s="3">
        <f>SUM(CU306:CX306)</f>
        <v>144.128</v>
      </c>
    </row>
    <row r="307">
      <c r="C307" s="26" t="inlineStr">
        <is>
          <t>Cash from operations</t>
        </is>
      </c>
      <c r="D307" s="3" t="n"/>
      <c r="E307" s="3">
        <f>SUM(E291,E292,E293,E304,E305,E306)</f>
        <v>43.24</v>
      </c>
      <c r="F307" s="3">
        <f>SUM(F291,F292,F293,F304,F305,F306)</f>
        <v>66.3760000000001</v>
      </c>
      <c r="G307" s="3">
        <f>SUM(G291,G292,G293,G304,G305,G306)</f>
        <v>-145.37528994</v>
      </c>
      <c r="H307" s="3">
        <f>SUM(H291,H292,H293,H304,H305,H306)</f>
        <v>-35.75928994</v>
      </c>
      <c r="I307" s="3">
        <f>SUM(I291,I292,I293,I304,I305,I306)</f>
        <v>-81.10634729</v>
      </c>
      <c r="J307" s="3">
        <f>SUM(J291,J292,J293,J304,J305,J306)</f>
        <v>191.4380585</v>
      </c>
      <c r="K307" s="3">
        <f>SUM(K291,K292,K293,K304,K305,K306)</f>
        <v>-123.10519899</v>
      </c>
      <c r="L307" s="3">
        <f>SUM(L291,L292,L293,L304,L305,L306)</f>
        <v>147.19674207</v>
      </c>
      <c r="M307" s="3">
        <f>SUM(M291,M292,M293,M304,M305,M306)</f>
        <v>134.42325429</v>
      </c>
      <c r="N307" s="3">
        <f>SUM(N291,N292,N293,N304,N305,N306)</f>
        <v>27.8233868099996</v>
      </c>
      <c r="O307" s="3">
        <f>SUM(O291,O292,O293,O304,O305,O306)</f>
        <v>175.976</v>
      </c>
      <c r="P307" s="3">
        <f>SUM(P291,P292,P293,P304,P305,P306)</f>
        <v>-162.50471860892</v>
      </c>
      <c r="Q307" s="3">
        <f>SUM(Q291,Q292,Q293,Q304,Q305,Q306)</f>
        <v>233.446718608919</v>
      </c>
      <c r="R307" s="3">
        <f>SUM(R291,R292,R293,R304,R305,R306)</f>
        <v>274.74138681</v>
      </c>
      <c r="S307" s="3">
        <f>SUM(S291,S292,S293,S304,S305,S306)</f>
        <v>-175.2429173</v>
      </c>
      <c r="T307" s="3">
        <f>SUM(T291,T292,T293,T304,T305,T306)</f>
        <v>141.818</v>
      </c>
      <c r="U307" s="3">
        <f>SUM(U291,U292,U293,U304,U305,U306)</f>
        <v>287.94089385</v>
      </c>
      <c r="V307" s="3">
        <f>SUM(V291,V292,V293,V304,V305,V306)</f>
        <v>223.14602345</v>
      </c>
      <c r="W307" s="3">
        <f>SUM(W291,W292,W293,W304,W305,W306)</f>
        <v>477.662</v>
      </c>
      <c r="X307" s="3">
        <f>SUM(X291,X292,X293,X304,X305,X306)</f>
        <v>-42.7860000000001</v>
      </c>
      <c r="Y307" s="3">
        <f>SUM(Y291,Y292,Y293,Y304,Y305,Y306)</f>
        <v>291.051840179999</v>
      </c>
      <c r="Z307" s="3">
        <f>SUM(Z291,Z292,Z293,Z304,Z305,Z306)</f>
        <v>-108.245801055</v>
      </c>
      <c r="AA307" s="3">
        <f>SUM(AA291,AA292,AA293,AA304,AA305,AA306)</f>
        <v>-206.59581269</v>
      </c>
      <c r="AB307" s="3">
        <f>SUM(AB291,AB292,AB293,AB304,AB305,AB306)</f>
        <v>-66.5757735650006</v>
      </c>
      <c r="AC307" s="3">
        <f>SUM(AC291,AC292,AC293,AC304,AC305,AC306)</f>
        <v>25.6480000000002</v>
      </c>
      <c r="AD307" s="3">
        <f>SUM(AD291,AD292,AD293,AD304,AD305,AD306)</f>
        <v>38.4023417599997</v>
      </c>
      <c r="AE307" s="3">
        <f>SUM(AE291,AE292,AE293,AE304,AE305,AE306)</f>
        <v>356.603</v>
      </c>
      <c r="AF307" s="3">
        <f>SUM(AF291,AF292,AF293,AF304,AF305,AF306)</f>
        <v>184.125999999999</v>
      </c>
      <c r="AG307" s="3">
        <f>SUM(AG291,AG292,AG293,AG304,AG305,AG306)</f>
        <v>604.779341759999</v>
      </c>
      <c r="AH307" s="3">
        <f>SUM(AH291,AH292,AH293,AH304,AH305,AH306)</f>
        <v>83.4430000000006</v>
      </c>
      <c r="AI307" s="3">
        <f>SUM(AI291,AI292,AI293,AI304,AI305,AI306)</f>
        <v>121.155</v>
      </c>
      <c r="AJ307" s="3">
        <f>SUM(AJ291,AJ292,AJ293,AJ304,AJ305,AJ306)</f>
        <v>3832.052</v>
      </c>
      <c r="AK307" s="3">
        <f>SUM(AK291,AK292,AK293,AK304,AK305,AK306)</f>
        <v>48.168</v>
      </c>
      <c r="AL307" s="3">
        <f>SUM(AL291,AL292,AL293,AL304,AL305,AL306)</f>
        <v>4084.818</v>
      </c>
      <c r="AM307" s="3" t="e">
        <f>SUM(AM291,AM292,AM293,AM304,AM305,AM306)</f>
        <v>#DIV/0!</v>
      </c>
      <c r="AN307" s="3" t="e">
        <f>SUM(AN291,AN292,AN293,AN304,AN305,AN306)</f>
        <v>#DIV/0!</v>
      </c>
      <c r="AO307" s="3" t="e">
        <f>SUM(AO291,AO292,AO293,AO304,AO305,AO306)</f>
        <v>#DIV/0!</v>
      </c>
      <c r="AP307" s="3" t="e">
        <f>SUM(AP291,AP292,AP293,AP304,AP305,AP306)</f>
        <v>#DIV/0!</v>
      </c>
      <c r="AQ307" s="3" t="e">
        <f>SUM(AQ291,AQ292,AQ293,AQ304,AQ305,AQ306)</f>
        <v>#DIV/0!</v>
      </c>
      <c r="AR307" s="3" t="e">
        <f>SUM(AR291,AR292,AR293,AR304,AR305,AR306)</f>
        <v>#DIV/0!</v>
      </c>
      <c r="AS307" s="3" t="e">
        <f>SUM(AS291,AS292,AS293,AS304,AS305,AS306)</f>
        <v>#DIV/0!</v>
      </c>
      <c r="AT307" s="3" t="e">
        <f>SUM(AT291,AT292,AT293,AT304,AT305,AT306)</f>
        <v>#DIV/0!</v>
      </c>
      <c r="AU307" s="3" t="e">
        <f>SUM(AU291,AU292,AU293,AU304,AU305,AU306)</f>
        <v>#DIV/0!</v>
      </c>
      <c r="AV307" s="3" t="e">
        <f>SUM(AV291,AV292,AV293,AV304,AV305,AV306)</f>
        <v>#DIV/0!</v>
      </c>
      <c r="AW307" s="3" t="e">
        <f>SUM(AW291,AW292,AW293,AW304,AW305,AW306)</f>
        <v>#DIV/0!</v>
      </c>
      <c r="AX307" s="3" t="e">
        <f>SUM(AX291,AX292,AX293,AX304,AX305,AX306)</f>
        <v>#DIV/0!</v>
      </c>
      <c r="AY307" s="3" t="e">
        <f>SUM(AY291,AY292,AY293,AY304,AY305,AY306)</f>
        <v>#DIV/0!</v>
      </c>
      <c r="AZ307" s="3" t="e">
        <f>SUM(AZ291,AZ292,AZ293,AZ304,AZ305,AZ306)</f>
        <v>#DIV/0!</v>
      </c>
      <c r="BA307" s="3" t="e">
        <f>SUM(BA291,BA292,BA293,BA304,BA305,BA306)</f>
        <v>#DIV/0!</v>
      </c>
      <c r="BB307" s="3" t="e">
        <f>SUM(BB291,BB292,BB293,BB304,BB305,BB306)</f>
        <v>#DIV/0!</v>
      </c>
      <c r="BC307" s="3" t="e">
        <f>SUM(BC291,BC292,BC293,BC304,BC305,BC306)</f>
        <v>#DIV/0!</v>
      </c>
      <c r="BD307" s="3" t="e">
        <f>SUM(BD291,BD292,BD293,BD304,BD305,BD306)</f>
        <v>#DIV/0!</v>
      </c>
      <c r="BE307" s="3" t="e">
        <f>SUM(BE291,BE292,BE293,BE304,BE305,BE306)</f>
        <v>#DIV/0!</v>
      </c>
      <c r="BF307" s="3" t="e">
        <f>SUM(BF291,BF292,BF293,BF304,BF305,BF306)</f>
        <v>#DIV/0!</v>
      </c>
      <c r="BG307" s="3" t="e">
        <f>SUM(BG291,BG292,BG293,BG304,BG305,BG306)</f>
        <v>#DIV/0!</v>
      </c>
      <c r="BH307" s="3" t="e">
        <f>SUM(BH291,BH292,BH293,BH304,BH305,BH306)</f>
        <v>#DIV/0!</v>
      </c>
      <c r="BI307" s="3" t="e">
        <f>SUM(BI291,BI292,BI293,BI304,BI305,BI306)</f>
        <v>#DIV/0!</v>
      </c>
      <c r="BJ307" s="3" t="e">
        <f>SUM(BJ291,BJ292,BJ293,BJ304,BJ305,BJ306)</f>
        <v>#DIV/0!</v>
      </c>
      <c r="BK307" s="3" t="e">
        <f>SUM(BK291,BK292,BK293,BK304,BK305,BK306)</f>
        <v>#DIV/0!</v>
      </c>
      <c r="BL307" s="3" t="e">
        <f>SUM(BL291,BL292,BL293,BL304,BL305,BL306)</f>
        <v>#DIV/0!</v>
      </c>
      <c r="BM307" s="3" t="e">
        <f>SUM(BM291,BM292,BM293,BM304,BM305,BM306)</f>
        <v>#DIV/0!</v>
      </c>
      <c r="BN307" s="3" t="e">
        <f>SUM(BN291,BN292,BN293,BN304,BN305,BN306)</f>
        <v>#DIV/0!</v>
      </c>
      <c r="BO307" s="3" t="e">
        <f>SUM(BO291,BO292,BO293,BO304,BO305,BO306)</f>
        <v>#DIV/0!</v>
      </c>
      <c r="BP307" s="3" t="e">
        <f>SUM(BP291,BP292,BP293,BP304,BP305,BP306)</f>
        <v>#DIV/0!</v>
      </c>
      <c r="BQ307" s="3" t="e">
        <f>SUM(BQ291,BQ292,BQ293,BQ304,BQ305,BQ306)</f>
        <v>#DIV/0!</v>
      </c>
      <c r="BR307" s="3" t="e">
        <f>SUM(BR291,BR292,BR293,BR304,BR305,BR306)</f>
        <v>#DIV/0!</v>
      </c>
      <c r="BS307" s="3" t="e">
        <f>SUM(BS291,BS292,BS293,BS304,BS305,BS306)</f>
        <v>#DIV/0!</v>
      </c>
      <c r="BT307" s="3" t="e">
        <f>SUM(BT291,BT292,BT293,BT304,BT305,BT306)</f>
        <v>#DIV/0!</v>
      </c>
      <c r="BU307" s="3" t="e">
        <f>SUM(BU291,BU292,BU293,BU304,BU305,BU306)</f>
        <v>#DIV/0!</v>
      </c>
      <c r="BV307" s="3" t="e">
        <f>SUM(BV291,BV292,BV293,BV304,BV305,BV306)</f>
        <v>#DIV/0!</v>
      </c>
      <c r="BW307" s="3" t="e">
        <f>SUM(BW291,BW292,BW293,BW304,BW305,BW306)</f>
        <v>#DIV/0!</v>
      </c>
      <c r="BX307" s="3" t="e">
        <f>SUM(BX291,BX292,BX293,BX304,BX305,BX306)</f>
        <v>#DIV/0!</v>
      </c>
      <c r="BY307" s="3" t="e">
        <f>SUM(BY291,BY292,BY293,BY304,BY305,BY306)</f>
        <v>#DIV/0!</v>
      </c>
      <c r="BZ307" s="3" t="e">
        <f>SUM(BZ291,BZ292,BZ293,BZ304,BZ305,BZ306)</f>
        <v>#DIV/0!</v>
      </c>
      <c r="CA307" s="3" t="e">
        <f>SUM(CA291,CA292,CA293,CA304,CA305,CA306)</f>
        <v>#DIV/0!</v>
      </c>
      <c r="CB307" s="3" t="e">
        <f>SUM(CB291,CB292,CB293,CB304,CB305,CB306)</f>
        <v>#DIV/0!</v>
      </c>
      <c r="CC307" s="3" t="e">
        <f>SUM(CC291,CC292,CC293,CC304,CC305,CC306)</f>
        <v>#DIV/0!</v>
      </c>
      <c r="CD307" s="3" t="e">
        <f>SUM(CD291,CD292,CD293,CD304,CD305,CD306)</f>
        <v>#DIV/0!</v>
      </c>
      <c r="CE307" s="3" t="e">
        <f>SUM(CE291,CE292,CE293,CE304,CE305,CE306)</f>
        <v>#DIV/0!</v>
      </c>
      <c r="CF307" s="3" t="e">
        <f>SUM(CF291,CF292,CF293,CF304,CF305,CF306)</f>
        <v>#DIV/0!</v>
      </c>
      <c r="CG307" s="3" t="e">
        <f>SUM(CG291,CG292,CG293,CG304,CG305,CG306)</f>
        <v>#DIV/0!</v>
      </c>
      <c r="CH307" s="3" t="e">
        <f>SUM(CH291,CH292,CH293,CH304,CH305,CH306)</f>
        <v>#DIV/0!</v>
      </c>
      <c r="CI307" s="3" t="e">
        <f>SUM(CI291,CI292,CI293,CI304,CI305,CI306)</f>
        <v>#DIV/0!</v>
      </c>
      <c r="CJ307" s="3" t="e">
        <f>SUM(CJ291,CJ292,CJ293,CJ304,CJ305,CJ306)</f>
        <v>#DIV/0!</v>
      </c>
      <c r="CK307" s="3" t="e">
        <f>SUM(CK291,CK292,CK293,CK304,CK305,CK306)</f>
        <v>#DIV/0!</v>
      </c>
      <c r="CL307" s="3" t="e">
        <f>SUM(CL291,CL292,CL293,CL304,CL305,CL306)</f>
        <v>#DIV/0!</v>
      </c>
      <c r="CM307" s="3" t="e">
        <f>SUM(CM291,CM292,CM293,CM304,CM305,CM306)</f>
        <v>#DIV/0!</v>
      </c>
      <c r="CN307" s="3" t="e">
        <f>SUM(CN291,CN292,CN293,CN304,CN305,CN306)</f>
        <v>#DIV/0!</v>
      </c>
      <c r="CO307" s="3" t="e">
        <f>SUM(CO291,CO292,CO293,CO304,CO305,CO306)</f>
        <v>#DIV/0!</v>
      </c>
      <c r="CP307" s="3" t="e">
        <f>SUM(CP291,CP292,CP293,CP304,CP305,CP306)</f>
        <v>#DIV/0!</v>
      </c>
      <c r="CQ307" s="3" t="e">
        <f>SUM(CQ291,CQ292,CQ293,CQ304,CQ305,CQ306)</f>
        <v>#DIV/0!</v>
      </c>
      <c r="CR307" s="3" t="e">
        <f>SUM(CR291,CR292,CR293,CR304,CR305,CR306)</f>
        <v>#DIV/0!</v>
      </c>
      <c r="CS307" s="3" t="e">
        <f>SUM(CS291,CS292,CS293,CS304,CS305,CS306)</f>
        <v>#DIV/0!</v>
      </c>
      <c r="CT307" s="3" t="e">
        <f>SUM(CT291,CT292,CT293,CT304,CT305,CT306)</f>
        <v>#DIV/0!</v>
      </c>
      <c r="CU307" s="3" t="e">
        <f>SUM(CU291,CU292,CU293,CU304,CU305,CU306)</f>
        <v>#DIV/0!</v>
      </c>
      <c r="CV307" s="3" t="e">
        <f>SUM(CV291,CV292,CV293,CV304,CV305,CV306)</f>
        <v>#DIV/0!</v>
      </c>
      <c r="CW307" s="3" t="e">
        <f>SUM(CW291,CW292,CW293,CW304,CW305,CW306)</f>
        <v>#DIV/0!</v>
      </c>
      <c r="CX307" s="3" t="e">
        <f>SUM(CX291,CX292,CX293,CX304,CX305,CX306)</f>
        <v>#DIV/0!</v>
      </c>
      <c r="CY307" s="3" t="e">
        <f>SUM(CY291,CY292,CY293,CY304,CY305,CY306)</f>
        <v>#DIV/0!</v>
      </c>
    </row>
    <row r="308">
      <c r="C308" s="26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  <c r="CU308" s="3" t="n"/>
      <c r="CV308" s="3" t="n"/>
      <c r="CW308" s="3" t="n"/>
      <c r="CX308" s="3" t="n"/>
      <c r="CY308" s="3" t="n"/>
    </row>
    <row r="309">
      <c r="C309" s="29" t="inlineStr">
        <is>
          <t>Purchase of fixed assets (capital expenditures)</t>
        </is>
      </c>
      <c r="D309" s="3" t="n"/>
      <c r="E309" s="3">
        <f>-E182</f>
        <v>-0.902000000000001</v>
      </c>
      <c r="F309" s="3">
        <f>-F182</f>
        <v>-1.098</v>
      </c>
      <c r="G309" s="3">
        <f>-G182</f>
        <v>-1.32871006000004</v>
      </c>
      <c r="H309" s="3">
        <f>SUM(D309:G309)</f>
        <v>-3.32871006000004</v>
      </c>
      <c r="I309" s="3">
        <f>-I182</f>
        <v>-5.87665271000004</v>
      </c>
      <c r="J309" s="3">
        <f>-J182</f>
        <v>-3.7130585</v>
      </c>
      <c r="K309" s="3">
        <f>-K182</f>
        <v>-2.38596036</v>
      </c>
      <c r="L309" s="3">
        <f>-L182</f>
        <v>-0.563742069999891</v>
      </c>
      <c r="M309" s="3">
        <f>SUM(I309:L309)</f>
        <v>-12.5394136399999</v>
      </c>
      <c r="N309" s="3">
        <f>-N182</f>
        <v>0.510613190000002</v>
      </c>
      <c r="O309" s="3">
        <f>-O182</f>
        <v>-3.883</v>
      </c>
      <c r="P309" s="3">
        <f>-P182</f>
        <v>-5.409</v>
      </c>
      <c r="Q309" s="3">
        <f>-Q182</f>
        <v>-7.03</v>
      </c>
      <c r="R309" s="3">
        <f>SUM(N309:Q309)</f>
        <v>-15.81138681</v>
      </c>
      <c r="S309" s="3">
        <f>-S182</f>
        <v>-14.3910827</v>
      </c>
      <c r="T309" s="3">
        <f>-T182</f>
        <v>-8.492</v>
      </c>
      <c r="U309" s="3">
        <f>-U182</f>
        <v>-6.32589384999999</v>
      </c>
      <c r="V309" s="3">
        <f>-V182</f>
        <v>-8.32802345000001</v>
      </c>
      <c r="W309" s="3">
        <f>SUM(S309:V309)</f>
        <v>-37.537</v>
      </c>
      <c r="X309" s="3">
        <f>-X182</f>
        <v>-9.376</v>
      </c>
      <c r="Y309" s="3">
        <f>-Y182</f>
        <v>-7.319576789999</v>
      </c>
      <c r="Z309" s="3">
        <f>-Z182</f>
        <v>-10.8341989450003</v>
      </c>
      <c r="AA309" s="3">
        <f>-AA182</f>
        <v>-10.60618731</v>
      </c>
      <c r="AB309" s="3">
        <f>SUM(X309:AA309)</f>
        <v>-38.1359630449993</v>
      </c>
      <c r="AC309" s="3">
        <f>-AC182</f>
        <v>-8.816</v>
      </c>
      <c r="AD309" s="3">
        <f>-AD182</f>
        <v>-7.259</v>
      </c>
      <c r="AE309" s="3">
        <f>-AE182</f>
        <v>-8.645</v>
      </c>
      <c r="AF309" s="3">
        <f>-AF182</f>
        <v>-9.76000000000001</v>
      </c>
      <c r="AG309" s="3">
        <f>SUM(AC309:AF309)</f>
        <v>-34.48</v>
      </c>
      <c r="AH309" s="3">
        <f>-AH182</f>
        <v>-13.519</v>
      </c>
      <c r="AI309" s="3">
        <f>-AI182</f>
        <v>-13.32</v>
      </c>
      <c r="AJ309" s="3">
        <f>-AJ182</f>
        <v>0</v>
      </c>
      <c r="AK309" s="3">
        <f>-AK182</f>
        <v>0</v>
      </c>
      <c r="AL309" s="3">
        <f>SUM(AH309:AK309)</f>
        <v>-26.839</v>
      </c>
      <c r="AM309" s="3">
        <f>-AM182</f>
        <v>0</v>
      </c>
      <c r="AN309" s="3">
        <f>-AN182</f>
        <v>0</v>
      </c>
      <c r="AO309" s="3">
        <f>-AO182</f>
        <v>0</v>
      </c>
      <c r="AP309" s="3">
        <f>-AP182</f>
        <v>0</v>
      </c>
      <c r="AQ309" s="3">
        <f>SUM(AM309:AP309)</f>
        <v>0</v>
      </c>
      <c r="AR309" s="3">
        <f>-AR182</f>
        <v>0</v>
      </c>
      <c r="AS309" s="3">
        <f>-AS182</f>
        <v>0</v>
      </c>
      <c r="AT309" s="3">
        <f>-AT182</f>
        <v>0</v>
      </c>
      <c r="AU309" s="3">
        <f>-AU182</f>
        <v>0</v>
      </c>
      <c r="AV309" s="3">
        <f>SUM(AR309:AU309)</f>
        <v>0</v>
      </c>
      <c r="AW309" s="3">
        <f>-AW182</f>
        <v>0</v>
      </c>
      <c r="AX309" s="3">
        <f>-AX182</f>
        <v>0</v>
      </c>
      <c r="AY309" s="3">
        <f>-AY182</f>
        <v>0</v>
      </c>
      <c r="AZ309" s="3">
        <f>-AZ182</f>
        <v>0</v>
      </c>
      <c r="BA309" s="3">
        <f>SUM(AW309:AZ309)</f>
        <v>0</v>
      </c>
      <c r="BB309" s="3">
        <f>-BB182</f>
        <v>0</v>
      </c>
      <c r="BC309" s="3">
        <f>-BC182</f>
        <v>0</v>
      </c>
      <c r="BD309" s="3">
        <f>-BD182</f>
        <v>0</v>
      </c>
      <c r="BE309" s="3">
        <f>-BE182</f>
        <v>0</v>
      </c>
      <c r="BF309" s="3">
        <f>SUM(BB309:BE309)</f>
        <v>0</v>
      </c>
      <c r="BG309" s="3">
        <f>-BG182</f>
        <v>0</v>
      </c>
      <c r="BH309" s="3">
        <f>-BH182</f>
        <v>0</v>
      </c>
      <c r="BI309" s="3">
        <f>-BI182</f>
        <v>0</v>
      </c>
      <c r="BJ309" s="3">
        <f>-BJ182</f>
        <v>0</v>
      </c>
      <c r="BK309" s="3">
        <f>SUM(BG309:BJ309)</f>
        <v>0</v>
      </c>
      <c r="BL309" s="3">
        <f>-BL182</f>
        <v>0</v>
      </c>
      <c r="BM309" s="3">
        <f>-BM182</f>
        <v>0</v>
      </c>
      <c r="BN309" s="3">
        <f>-BN182</f>
        <v>0</v>
      </c>
      <c r="BO309" s="3">
        <f>-BO182</f>
        <v>0</v>
      </c>
      <c r="BP309" s="3">
        <f>SUM(BL309:BO309)</f>
        <v>0</v>
      </c>
      <c r="BQ309" s="3">
        <f>-BQ182</f>
        <v>0</v>
      </c>
      <c r="BR309" s="3">
        <f>-BR182</f>
        <v>0</v>
      </c>
      <c r="BS309" s="3">
        <f>-BS182</f>
        <v>0</v>
      </c>
      <c r="BT309" s="3">
        <f>-BT182</f>
        <v>0</v>
      </c>
      <c r="BU309" s="3">
        <f>SUM(BQ309:BT309)</f>
        <v>0</v>
      </c>
      <c r="BV309" s="3">
        <f>-BV182</f>
        <v>0</v>
      </c>
      <c r="BW309" s="3">
        <f>-BW182</f>
        <v>0</v>
      </c>
      <c r="BX309" s="3">
        <f>-BX182</f>
        <v>0</v>
      </c>
      <c r="BY309" s="3">
        <f>-BY182</f>
        <v>0</v>
      </c>
      <c r="BZ309" s="3">
        <f>SUM(BV309:BY309)</f>
        <v>0</v>
      </c>
      <c r="CA309" s="3">
        <f>-CA182</f>
        <v>0</v>
      </c>
      <c r="CB309" s="3">
        <f>-CB182</f>
        <v>0</v>
      </c>
      <c r="CC309" s="3">
        <f>-CC182</f>
        <v>0</v>
      </c>
      <c r="CD309" s="3">
        <f>-CD182</f>
        <v>0</v>
      </c>
      <c r="CE309" s="3">
        <f>SUM(CA309:CD309)</f>
        <v>0</v>
      </c>
      <c r="CF309" s="3">
        <f>-CF182</f>
        <v>0</v>
      </c>
      <c r="CG309" s="3">
        <f>-CG182</f>
        <v>0</v>
      </c>
      <c r="CH309" s="3">
        <f>-CH182</f>
        <v>0</v>
      </c>
      <c r="CI309" s="3">
        <f>-CI182</f>
        <v>0</v>
      </c>
      <c r="CJ309" s="3">
        <f>SUM(CF309:CI309)</f>
        <v>0</v>
      </c>
      <c r="CK309" s="3">
        <f>-CK182</f>
        <v>0</v>
      </c>
      <c r="CL309" s="3">
        <f>-CL182</f>
        <v>0</v>
      </c>
      <c r="CM309" s="3">
        <f>-CM182</f>
        <v>0</v>
      </c>
      <c r="CN309" s="3">
        <f>-CN182</f>
        <v>0</v>
      </c>
      <c r="CO309" s="3">
        <f>SUM(CK309:CN309)</f>
        <v>0</v>
      </c>
      <c r="CP309" s="3">
        <f>-CP182</f>
        <v>0</v>
      </c>
      <c r="CQ309" s="3">
        <f>-CQ182</f>
        <v>0</v>
      </c>
      <c r="CR309" s="3">
        <f>-CR182</f>
        <v>0</v>
      </c>
      <c r="CS309" s="3">
        <f>-CS182</f>
        <v>0</v>
      </c>
      <c r="CT309" s="3">
        <f>SUM(CP309:CS309)</f>
        <v>0</v>
      </c>
      <c r="CU309" s="3">
        <f>-CU182</f>
        <v>0</v>
      </c>
      <c r="CV309" s="3">
        <f>-CV182</f>
        <v>0</v>
      </c>
      <c r="CW309" s="3">
        <f>-CW182</f>
        <v>0</v>
      </c>
      <c r="CX309" s="3">
        <f>-CX182</f>
        <v>0</v>
      </c>
      <c r="CY309" s="3">
        <f>SUM(CU309:CX309)</f>
        <v>0</v>
      </c>
    </row>
    <row r="310">
      <c r="C310" s="29" t="inlineStr">
        <is>
          <t>Proceeds from sale of fixed assets</t>
        </is>
      </c>
      <c r="D310" s="3" t="n"/>
      <c r="E310" s="3">
        <f>-E183</f>
        <v>0</v>
      </c>
      <c r="F310" s="3">
        <f>-F183</f>
        <v>0</v>
      </c>
      <c r="G310" s="3">
        <f>-G183</f>
        <v>0</v>
      </c>
      <c r="H310" s="3">
        <f>SUM(D310:G310)</f>
        <v>0</v>
      </c>
      <c r="I310" s="3">
        <f>-I183</f>
        <v>0</v>
      </c>
      <c r="J310" s="3">
        <f>-J183</f>
        <v>0</v>
      </c>
      <c r="K310" s="3">
        <f>-K183</f>
        <v>0</v>
      </c>
      <c r="L310" s="3">
        <f>-L183</f>
        <v>0</v>
      </c>
      <c r="M310" s="3">
        <f>SUM(I310:L310)</f>
        <v>0</v>
      </c>
      <c r="N310" s="3">
        <f>-N183</f>
        <v>0</v>
      </c>
      <c r="O310" s="3">
        <f>-O183</f>
        <v>0</v>
      </c>
      <c r="P310" s="3">
        <f>-P183</f>
        <v>0</v>
      </c>
      <c r="Q310" s="3">
        <f>-Q183</f>
        <v>0</v>
      </c>
      <c r="R310" s="3">
        <f>SUM(N310:Q310)</f>
        <v>0</v>
      </c>
      <c r="S310" s="3">
        <f>-S183</f>
        <v>0</v>
      </c>
      <c r="T310" s="3">
        <f>-T183</f>
        <v>0</v>
      </c>
      <c r="U310" s="3">
        <f>-U183</f>
        <v>0</v>
      </c>
      <c r="V310" s="3">
        <f>-V183</f>
        <v>0</v>
      </c>
      <c r="W310" s="3">
        <f>SUM(S310:V310)</f>
        <v>0</v>
      </c>
      <c r="X310" s="3">
        <f>-X183</f>
        <v>0</v>
      </c>
      <c r="Y310" s="3">
        <f>-Y183</f>
        <v>0</v>
      </c>
      <c r="Z310" s="3">
        <f>-Z183</f>
        <v>0</v>
      </c>
      <c r="AA310" s="3">
        <f>-AA183</f>
        <v>0</v>
      </c>
      <c r="AB310" s="3">
        <f>SUM(X310:AA310)</f>
        <v>0</v>
      </c>
      <c r="AC310" s="3">
        <f>-AC183</f>
        <v>0</v>
      </c>
      <c r="AD310" s="3">
        <f>-AD183</f>
        <v>0</v>
      </c>
      <c r="AE310" s="3">
        <f>-AE183</f>
        <v>0</v>
      </c>
      <c r="AF310" s="3">
        <f>-AF183</f>
        <v>0</v>
      </c>
      <c r="AG310" s="3">
        <f>SUM(AC310:AF310)</f>
        <v>0</v>
      </c>
      <c r="AH310" s="3">
        <f>-AH183</f>
        <v>0</v>
      </c>
      <c r="AI310" s="3">
        <f>-AI183</f>
        <v>0</v>
      </c>
      <c r="AJ310" s="3">
        <f>-AJ183</f>
        <v>0</v>
      </c>
      <c r="AK310" s="3">
        <f>-AK183</f>
        <v>0</v>
      </c>
      <c r="AL310" s="3">
        <f>SUM(AH310:AK310)</f>
        <v>0</v>
      </c>
      <c r="AM310" s="3">
        <f>-AM183</f>
        <v>0</v>
      </c>
      <c r="AN310" s="3">
        <f>-AN183</f>
        <v>0</v>
      </c>
      <c r="AO310" s="3">
        <f>-AO183</f>
        <v>0</v>
      </c>
      <c r="AP310" s="3">
        <f>-AP183</f>
        <v>0</v>
      </c>
      <c r="AQ310" s="3">
        <f>SUM(AM310:AP310)</f>
        <v>0</v>
      </c>
      <c r="AR310" s="3">
        <f>-AR183</f>
        <v>0</v>
      </c>
      <c r="AS310" s="3">
        <f>-AS183</f>
        <v>0</v>
      </c>
      <c r="AT310" s="3">
        <f>-AT183</f>
        <v>0</v>
      </c>
      <c r="AU310" s="3">
        <f>-AU183</f>
        <v>0</v>
      </c>
      <c r="AV310" s="3">
        <f>SUM(AR310:AU310)</f>
        <v>0</v>
      </c>
      <c r="AW310" s="3">
        <f>-AW183</f>
        <v>0</v>
      </c>
      <c r="AX310" s="3">
        <f>-AX183</f>
        <v>0</v>
      </c>
      <c r="AY310" s="3">
        <f>-AY183</f>
        <v>0</v>
      </c>
      <c r="AZ310" s="3">
        <f>-AZ183</f>
        <v>0</v>
      </c>
      <c r="BA310" s="3">
        <f>SUM(AW310:AZ310)</f>
        <v>0</v>
      </c>
      <c r="BB310" s="3">
        <f>-BB183</f>
        <v>0</v>
      </c>
      <c r="BC310" s="3">
        <f>-BC183</f>
        <v>0</v>
      </c>
      <c r="BD310" s="3">
        <f>-BD183</f>
        <v>0</v>
      </c>
      <c r="BE310" s="3">
        <f>-BE183</f>
        <v>0</v>
      </c>
      <c r="BF310" s="3">
        <f>SUM(BB310:BE310)</f>
        <v>0</v>
      </c>
      <c r="BG310" s="3">
        <f>-BG183</f>
        <v>0</v>
      </c>
      <c r="BH310" s="3">
        <f>-BH183</f>
        <v>0</v>
      </c>
      <c r="BI310" s="3">
        <f>-BI183</f>
        <v>0</v>
      </c>
      <c r="BJ310" s="3">
        <f>-BJ183</f>
        <v>0</v>
      </c>
      <c r="BK310" s="3">
        <f>SUM(BG310:BJ310)</f>
        <v>0</v>
      </c>
      <c r="BL310" s="3">
        <f>-BL183</f>
        <v>0</v>
      </c>
      <c r="BM310" s="3">
        <f>-BM183</f>
        <v>0</v>
      </c>
      <c r="BN310" s="3">
        <f>-BN183</f>
        <v>0</v>
      </c>
      <c r="BO310" s="3">
        <f>-BO183</f>
        <v>0</v>
      </c>
      <c r="BP310" s="3">
        <f>SUM(BL310:BO310)</f>
        <v>0</v>
      </c>
      <c r="BQ310" s="3">
        <f>-BQ183</f>
        <v>0</v>
      </c>
      <c r="BR310" s="3">
        <f>-BR183</f>
        <v>0</v>
      </c>
      <c r="BS310" s="3">
        <f>-BS183</f>
        <v>0</v>
      </c>
      <c r="BT310" s="3">
        <f>-BT183</f>
        <v>0</v>
      </c>
      <c r="BU310" s="3">
        <f>SUM(BQ310:BT310)</f>
        <v>0</v>
      </c>
      <c r="BV310" s="3">
        <f>-BV183</f>
        <v>0</v>
      </c>
      <c r="BW310" s="3">
        <f>-BW183</f>
        <v>0</v>
      </c>
      <c r="BX310" s="3">
        <f>-BX183</f>
        <v>0</v>
      </c>
      <c r="BY310" s="3">
        <f>-BY183</f>
        <v>0</v>
      </c>
      <c r="BZ310" s="3">
        <f>SUM(BV310:BY310)</f>
        <v>0</v>
      </c>
      <c r="CA310" s="3">
        <f>-CA183</f>
        <v>0</v>
      </c>
      <c r="CB310" s="3">
        <f>-CB183</f>
        <v>0</v>
      </c>
      <c r="CC310" s="3">
        <f>-CC183</f>
        <v>0</v>
      </c>
      <c r="CD310" s="3">
        <f>-CD183</f>
        <v>0</v>
      </c>
      <c r="CE310" s="3">
        <f>SUM(CA310:CD310)</f>
        <v>0</v>
      </c>
      <c r="CF310" s="3">
        <f>-CF183</f>
        <v>0</v>
      </c>
      <c r="CG310" s="3">
        <f>-CG183</f>
        <v>0</v>
      </c>
      <c r="CH310" s="3">
        <f>-CH183</f>
        <v>0</v>
      </c>
      <c r="CI310" s="3">
        <f>-CI183</f>
        <v>0</v>
      </c>
      <c r="CJ310" s="3">
        <f>SUM(CF310:CI310)</f>
        <v>0</v>
      </c>
      <c r="CK310" s="3">
        <f>-CK183</f>
        <v>0</v>
      </c>
      <c r="CL310" s="3">
        <f>-CL183</f>
        <v>0</v>
      </c>
      <c r="CM310" s="3">
        <f>-CM183</f>
        <v>0</v>
      </c>
      <c r="CN310" s="3">
        <f>-CN183</f>
        <v>0</v>
      </c>
      <c r="CO310" s="3">
        <f>SUM(CK310:CN310)</f>
        <v>0</v>
      </c>
      <c r="CP310" s="3">
        <f>-CP183</f>
        <v>0</v>
      </c>
      <c r="CQ310" s="3">
        <f>-CQ183</f>
        <v>0</v>
      </c>
      <c r="CR310" s="3">
        <f>-CR183</f>
        <v>0</v>
      </c>
      <c r="CS310" s="3">
        <f>-CS183</f>
        <v>0</v>
      </c>
      <c r="CT310" s="3">
        <f>SUM(CP310:CS310)</f>
        <v>0</v>
      </c>
      <c r="CU310" s="3">
        <f>-CU183</f>
        <v>0</v>
      </c>
      <c r="CV310" s="3">
        <f>-CV183</f>
        <v>0</v>
      </c>
      <c r="CW310" s="3">
        <f>-CW183</f>
        <v>0</v>
      </c>
      <c r="CX310" s="3">
        <f>-CX183</f>
        <v>0</v>
      </c>
      <c r="CY310" s="3">
        <f>SUM(CU310:CX310)</f>
        <v>0</v>
      </c>
    </row>
    <row r="311">
      <c r="C311" s="29" t="inlineStr">
        <is>
          <t>Var.Right-of-use-assets</t>
        </is>
      </c>
      <c r="D311" s="3" t="n"/>
      <c r="E311" s="3">
        <f>(E190-D190)*-1</f>
        <v>0</v>
      </c>
      <c r="F311" s="3">
        <f>(F190-E190)*-1</f>
        <v>0</v>
      </c>
      <c r="G311" s="3">
        <f>(G190-F190)*-1</f>
        <v>0</v>
      </c>
      <c r="H311" s="3">
        <f>SUM(D311:G311)</f>
        <v>0</v>
      </c>
      <c r="I311" s="3">
        <f>(I190-H190)*-1</f>
        <v>0</v>
      </c>
      <c r="J311" s="3">
        <f>(J190-I190)*-1</f>
        <v>0</v>
      </c>
      <c r="K311" s="3">
        <f>(K190-J190)*-1</f>
        <v>0</v>
      </c>
      <c r="L311" s="3">
        <f>(L190-K190)*-1</f>
        <v>0</v>
      </c>
      <c r="M311" s="3">
        <f>SUM(I311:L311)</f>
        <v>0</v>
      </c>
      <c r="N311" s="3">
        <f>(N190-M190)*-1</f>
        <v>0</v>
      </c>
      <c r="O311" s="3">
        <f>(O190-N190)*-1</f>
        <v>0</v>
      </c>
      <c r="P311" s="3">
        <f>(P190-O190)*-1</f>
        <v>0</v>
      </c>
      <c r="Q311" s="3">
        <f>(Q190-P190)*-1</f>
        <v>0</v>
      </c>
      <c r="R311" s="3">
        <f>SUM(N311:Q311)</f>
        <v>0</v>
      </c>
      <c r="S311" s="3">
        <f>(S190-R190)*-1</f>
        <v>0</v>
      </c>
      <c r="T311" s="3">
        <f>(T190-S190)*-1</f>
        <v>0</v>
      </c>
      <c r="U311" s="3">
        <f>(U190-T190)*-1</f>
        <v>0</v>
      </c>
      <c r="V311" s="3">
        <f>(V190-U190)*-1</f>
        <v>0</v>
      </c>
      <c r="W311" s="3">
        <f>SUM(S311:V311)</f>
        <v>0</v>
      </c>
      <c r="X311" s="3">
        <f>(X190-W190)*-1</f>
        <v>0</v>
      </c>
      <c r="Y311" s="3">
        <f>(Y190-X190)*-1</f>
        <v>0</v>
      </c>
      <c r="Z311" s="3">
        <f>(Z190-Y190)*-1</f>
        <v>0</v>
      </c>
      <c r="AA311" s="3">
        <f>(AA190-Z190)*-1</f>
        <v>0</v>
      </c>
      <c r="AB311" s="3">
        <f>SUM(X311:AA311)</f>
        <v>0</v>
      </c>
      <c r="AC311" s="3">
        <f>(AC190-AB190)*-1</f>
        <v>0</v>
      </c>
      <c r="AD311" s="3">
        <f>(AD190-AC190)*-1</f>
        <v>0</v>
      </c>
      <c r="AE311" s="3">
        <f>(AE190-AD190)*-1</f>
        <v>0</v>
      </c>
      <c r="AF311" s="3">
        <f>(AF190-AE190)*-1</f>
        <v>0</v>
      </c>
      <c r="AG311" s="3">
        <f>SUM(AC311:AF311)</f>
        <v>0</v>
      </c>
      <c r="AH311" s="3">
        <f>(AH190-AG190)*-1</f>
        <v>0</v>
      </c>
      <c r="AI311" s="3">
        <f>(AI190-AH190)*-1</f>
        <v>0</v>
      </c>
      <c r="AJ311" s="3">
        <f>(AJ190-AI190)*-1</f>
        <v>0</v>
      </c>
      <c r="AK311" s="3">
        <f>(AK190-AJ190)*-1</f>
        <v>0</v>
      </c>
      <c r="AL311" s="3">
        <f>SUM(AH311:AK311)</f>
        <v>0</v>
      </c>
      <c r="AM311" s="3">
        <f>(AM190-AL190)*-1</f>
        <v>0</v>
      </c>
      <c r="AN311" s="3">
        <f>(AN190-AM190)*-1</f>
        <v>0</v>
      </c>
      <c r="AO311" s="3">
        <f>(AO190-AN190)*-1</f>
        <v>0</v>
      </c>
      <c r="AP311" s="3">
        <f>(AP190-AO190)*-1</f>
        <v>0</v>
      </c>
      <c r="AQ311" s="3">
        <f>SUM(AM311:AP311)</f>
        <v>0</v>
      </c>
      <c r="AR311" s="3">
        <f>(AR190-AQ190)*-1</f>
        <v>0</v>
      </c>
      <c r="AS311" s="3">
        <f>(AS190-AR190)*-1</f>
        <v>0</v>
      </c>
      <c r="AT311" s="3">
        <f>(AT190-AS190)*-1</f>
        <v>0</v>
      </c>
      <c r="AU311" s="3">
        <f>(AU190-AT190)*-1</f>
        <v>0</v>
      </c>
      <c r="AV311" s="3">
        <f>SUM(AR311:AU311)</f>
        <v>0</v>
      </c>
      <c r="AW311" s="3">
        <f>(AW190-AV190)*-1</f>
        <v>0</v>
      </c>
      <c r="AX311" s="3">
        <f>(AX190-AW190)*-1</f>
        <v>0</v>
      </c>
      <c r="AY311" s="3">
        <f>(AY190-AX190)*-1</f>
        <v>0</v>
      </c>
      <c r="AZ311" s="3">
        <f>(AZ190-AY190)*-1</f>
        <v>0</v>
      </c>
      <c r="BA311" s="3">
        <f>SUM(AW311:AZ311)</f>
        <v>0</v>
      </c>
      <c r="BB311" s="3">
        <f>(BB190-BA190)*-1</f>
        <v>0</v>
      </c>
      <c r="BC311" s="3">
        <f>(BC190-BB190)*-1</f>
        <v>0</v>
      </c>
      <c r="BD311" s="3">
        <f>(BD190-BC190)*-1</f>
        <v>0</v>
      </c>
      <c r="BE311" s="3">
        <f>(BE190-BD190)*-1</f>
        <v>0</v>
      </c>
      <c r="BF311" s="3">
        <f>SUM(BB311:BE311)</f>
        <v>0</v>
      </c>
      <c r="BG311" s="3">
        <f>(BG190-BF190)*-1</f>
        <v>0</v>
      </c>
      <c r="BH311" s="3">
        <f>(BH190-BG190)*-1</f>
        <v>0</v>
      </c>
      <c r="BI311" s="3">
        <f>(BI190-BH190)*-1</f>
        <v>0</v>
      </c>
      <c r="BJ311" s="3">
        <f>(BJ190-BI190)*-1</f>
        <v>0</v>
      </c>
      <c r="BK311" s="3">
        <f>SUM(BG311:BJ311)</f>
        <v>0</v>
      </c>
      <c r="BL311" s="3">
        <f>(BL190-BK190)*-1</f>
        <v>0</v>
      </c>
      <c r="BM311" s="3">
        <f>(BM190-BL190)*-1</f>
        <v>0</v>
      </c>
      <c r="BN311" s="3">
        <f>(BN190-BM190)*-1</f>
        <v>0</v>
      </c>
      <c r="BO311" s="3">
        <f>(BO190-BN190)*-1</f>
        <v>0</v>
      </c>
      <c r="BP311" s="3">
        <f>SUM(BL311:BO311)</f>
        <v>0</v>
      </c>
      <c r="BQ311" s="3">
        <f>(BQ190-BP190)*-1</f>
        <v>0</v>
      </c>
      <c r="BR311" s="3">
        <f>(BR190-BQ190)*-1</f>
        <v>0</v>
      </c>
      <c r="BS311" s="3">
        <f>(BS190-BR190)*-1</f>
        <v>0</v>
      </c>
      <c r="BT311" s="3">
        <f>(BT190-BS190)*-1</f>
        <v>0</v>
      </c>
      <c r="BU311" s="3">
        <f>SUM(BQ311:BT311)</f>
        <v>0</v>
      </c>
      <c r="BV311" s="3">
        <f>(BV190-BU190)*-1</f>
        <v>0</v>
      </c>
      <c r="BW311" s="3">
        <f>(BW190-BV190)*-1</f>
        <v>0</v>
      </c>
      <c r="BX311" s="3">
        <f>(BX190-BW190)*-1</f>
        <v>0</v>
      </c>
      <c r="BY311" s="3">
        <f>(BY190-BX190)*-1</f>
        <v>0</v>
      </c>
      <c r="BZ311" s="3">
        <f>SUM(BV311:BY311)</f>
        <v>0</v>
      </c>
      <c r="CA311" s="3">
        <f>(CA190-BZ190)*-1</f>
        <v>0</v>
      </c>
      <c r="CB311" s="3">
        <f>(CB190-CA190)*-1</f>
        <v>0</v>
      </c>
      <c r="CC311" s="3">
        <f>(CC190-CB190)*-1</f>
        <v>0</v>
      </c>
      <c r="CD311" s="3">
        <f>(CD190-CC190)*-1</f>
        <v>0</v>
      </c>
      <c r="CE311" s="3">
        <f>SUM(CA311:CD311)</f>
        <v>0</v>
      </c>
      <c r="CF311" s="3">
        <f>(CF190-CE190)*-1</f>
        <v>0</v>
      </c>
      <c r="CG311" s="3">
        <f>(CG190-CF190)*-1</f>
        <v>0</v>
      </c>
      <c r="CH311" s="3">
        <f>(CH190-CG190)*-1</f>
        <v>0</v>
      </c>
      <c r="CI311" s="3">
        <f>(CI190-CH190)*-1</f>
        <v>0</v>
      </c>
      <c r="CJ311" s="3">
        <f>SUM(CF311:CI311)</f>
        <v>0</v>
      </c>
      <c r="CK311" s="3">
        <f>(CK190-CJ190)*-1</f>
        <v>0</v>
      </c>
      <c r="CL311" s="3">
        <f>(CL190-CK190)*-1</f>
        <v>0</v>
      </c>
      <c r="CM311" s="3">
        <f>(CM190-CL190)*-1</f>
        <v>0</v>
      </c>
      <c r="CN311" s="3">
        <f>(CN190-CM190)*-1</f>
        <v>0</v>
      </c>
      <c r="CO311" s="3">
        <f>SUM(CK311:CN311)</f>
        <v>0</v>
      </c>
      <c r="CP311" s="3">
        <f>(CP190-CO190)*-1</f>
        <v>0</v>
      </c>
      <c r="CQ311" s="3">
        <f>(CQ190-CP190)*-1</f>
        <v>0</v>
      </c>
      <c r="CR311" s="3">
        <f>(CR190-CQ190)*-1</f>
        <v>0</v>
      </c>
      <c r="CS311" s="3">
        <f>(CS190-CR190)*-1</f>
        <v>0</v>
      </c>
      <c r="CT311" s="3">
        <f>SUM(CP311:CS311)</f>
        <v>0</v>
      </c>
      <c r="CU311" s="3">
        <f>(CU190-CT190)*-1</f>
        <v>0</v>
      </c>
      <c r="CV311" s="3">
        <f>(CV190-CU190)*-1</f>
        <v>0</v>
      </c>
      <c r="CW311" s="3">
        <f>(CW190-CV190)*-1</f>
        <v>0</v>
      </c>
      <c r="CX311" s="3">
        <f>(CX190-CW190)*-1</f>
        <v>0</v>
      </c>
      <c r="CY311" s="3">
        <f>SUM(CU311:CX311)</f>
        <v>0</v>
      </c>
      <c r="CZ311" s="3" t="n"/>
      <c r="DA311" s="3" t="n"/>
      <c r="DB311" s="3" t="n"/>
      <c r="DC311" s="3" t="n"/>
    </row>
    <row r="312">
      <c r="C312" s="29" t="inlineStr">
        <is>
          <t>Purchases of intangible assets</t>
        </is>
      </c>
      <c r="D312" s="3" t="n"/>
      <c r="E312" s="3">
        <f>((E194-D194)*-1)+((E193-D193)*-1)</f>
        <v>0</v>
      </c>
      <c r="F312" s="3">
        <f>((F194-E194)*-1)+((F193-E193)*-1)</f>
        <v>0</v>
      </c>
      <c r="G312" s="3">
        <f>((G194-F194)*-1)+((G193-F193)*-1)</f>
        <v>0</v>
      </c>
      <c r="H312" s="3">
        <f>SUM(D312:G312)</f>
        <v>0</v>
      </c>
      <c r="I312" s="3">
        <f>((I194-H194)*-1)+((I193-H193)*-1)</f>
        <v>0</v>
      </c>
      <c r="J312" s="3">
        <f>((J194-I194)*-1)+((J193-I193)*-1)</f>
        <v>0</v>
      </c>
      <c r="K312" s="3">
        <f>((K194-J194)*-1)+((K193-J193)*-1)</f>
        <v>0</v>
      </c>
      <c r="L312" s="3">
        <f>((L194-K194)*-1)+((L193-K193)*-1)</f>
        <v>0</v>
      </c>
      <c r="M312" s="3">
        <f>SUM(I312:L312)</f>
        <v>0</v>
      </c>
      <c r="N312" s="3">
        <f>((N194-M194)*-1)+((N193-M193)*-1)</f>
        <v>0</v>
      </c>
      <c r="O312" s="3">
        <f>((O194-N194)*-1)+((O193-N193)*-1)</f>
        <v>0</v>
      </c>
      <c r="P312" s="3">
        <f>((P194-O194)*-1)+((P193-O193)*-1)</f>
        <v>0</v>
      </c>
      <c r="Q312" s="3">
        <f>((Q194-P194)*-1)+((Q193-P193)*-1)</f>
        <v>0</v>
      </c>
      <c r="R312" s="3">
        <f>SUM(N312:Q312)</f>
        <v>0</v>
      </c>
      <c r="S312" s="3">
        <f>((S194-R194)*-1)+((S193-R193)*-1)</f>
        <v>0</v>
      </c>
      <c r="T312" s="3">
        <f>((T194-S194)*-1)+((T193-S193)*-1)</f>
        <v>0</v>
      </c>
      <c r="U312" s="3">
        <f>((U194-T194)*-1)+((U193-T193)*-1)</f>
        <v>0</v>
      </c>
      <c r="V312" s="3">
        <f>((V194-U194)*-1)+((V193-U193)*-1)</f>
        <v>0</v>
      </c>
      <c r="W312" s="3">
        <f>SUM(S312:V312)</f>
        <v>0</v>
      </c>
      <c r="X312" s="3">
        <f>((X194-W194)*-1)+((X193-W193)*-1)</f>
        <v>0</v>
      </c>
      <c r="Y312" s="3">
        <f>((Y194-X194)*-1)+((Y193-X193)*-1)</f>
        <v>0</v>
      </c>
      <c r="Z312" s="3">
        <f>((Z194-Y194)*-1)+((Z193-Y193)*-1)</f>
        <v>0</v>
      </c>
      <c r="AA312" s="3">
        <f>((AA194-Z194)*-1)+((AA193-Z193)*-1)</f>
        <v>0</v>
      </c>
      <c r="AB312" s="3">
        <f>SUM(X312:AA312)</f>
        <v>0</v>
      </c>
      <c r="AC312" s="3">
        <f>((AC194-AB194)*-1)+((AC193-AB193)*-1)</f>
        <v>0</v>
      </c>
      <c r="AD312" s="3">
        <f>((AD194-AC194)*-1)+((AD193-AC193)*-1)</f>
        <v>0</v>
      </c>
      <c r="AE312" s="3">
        <f>((AE194-AD194)*-1)+((AE193-AD193)*-1)</f>
        <v>0</v>
      </c>
      <c r="AF312" s="3">
        <f>((AF194-AE194)*-1)+((AF193-AE193)*-1)</f>
        <v>0</v>
      </c>
      <c r="AG312" s="3">
        <f>SUM(AC312:AF312)</f>
        <v>0</v>
      </c>
      <c r="AH312" s="3">
        <f>((AH194-AG194)*-1)+((AH193-AG193)*-1)</f>
        <v>0</v>
      </c>
      <c r="AI312" s="3">
        <f>((AI194-AH194)*-1)+((AI193-AH193)*-1)</f>
        <v>0</v>
      </c>
      <c r="AJ312" s="3">
        <f>((AJ194-AI194)*-1)+((AJ193-AI193)*-1)</f>
        <v>0</v>
      </c>
      <c r="AK312" s="3">
        <f>((AK194-AJ194)*-1)+((AK193-AJ193)*-1)</f>
        <v>0</v>
      </c>
      <c r="AL312" s="3">
        <f>SUM(AH312:AK312)</f>
        <v>0</v>
      </c>
      <c r="AM312" s="3">
        <f>((AM194-AL194)*-1)+((AM193-AL193)*-1)</f>
        <v>0</v>
      </c>
      <c r="AN312" s="3">
        <f>((AN194-AM194)*-1)+((AN193-AM193)*-1)</f>
        <v>0</v>
      </c>
      <c r="AO312" s="3">
        <f>((AO194-AN194)*-1)+((AO193-AN193)*-1)</f>
        <v>0</v>
      </c>
      <c r="AP312" s="3">
        <f>((AP194-AO194)*-1)+((AP193-AO193)*-1)</f>
        <v>0</v>
      </c>
      <c r="AQ312" s="3">
        <f>SUM(AM312:AP312)</f>
        <v>0</v>
      </c>
      <c r="AR312" s="3">
        <f>((AR194-AQ194)*-1)+((AR193-AQ193)*-1)</f>
        <v>0</v>
      </c>
      <c r="AS312" s="3">
        <f>((AS194-AR194)*-1)+((AS193-AR193)*-1)</f>
        <v>0</v>
      </c>
      <c r="AT312" s="3">
        <f>((AT194-AS194)*-1)+((AT193-AS193)*-1)</f>
        <v>0</v>
      </c>
      <c r="AU312" s="3">
        <f>((AU194-AT194)*-1)+((AU193-AT193)*-1)</f>
        <v>0</v>
      </c>
      <c r="AV312" s="3">
        <f>SUM(AR312:AU312)</f>
        <v>0</v>
      </c>
      <c r="AW312" s="3">
        <f>((AW194-AV194)*-1)+((AW193-AV193)*-1)</f>
        <v>0</v>
      </c>
      <c r="AX312" s="3">
        <f>((AX194-AW194)*-1)+((AX193-AW193)*-1)</f>
        <v>0</v>
      </c>
      <c r="AY312" s="3">
        <f>((AY194-AX194)*-1)+((AY193-AX193)*-1)</f>
        <v>0</v>
      </c>
      <c r="AZ312" s="3">
        <f>((AZ194-AY194)*-1)+((AZ193-AY193)*-1)</f>
        <v>0</v>
      </c>
      <c r="BA312" s="3">
        <f>SUM(AW312:AZ312)</f>
        <v>0</v>
      </c>
      <c r="BB312" s="3">
        <f>((BB194-BA194)*-1)+((BB193-BA193)*-1)</f>
        <v>0</v>
      </c>
      <c r="BC312" s="3">
        <f>((BC194-BB194)*-1)+((BC193-BB193)*-1)</f>
        <v>0</v>
      </c>
      <c r="BD312" s="3">
        <f>((BD194-BC194)*-1)+((BD193-BC193)*-1)</f>
        <v>0</v>
      </c>
      <c r="BE312" s="3">
        <f>((BE194-BD194)*-1)+((BE193-BD193)*-1)</f>
        <v>0</v>
      </c>
      <c r="BF312" s="3">
        <f>SUM(BB312:BE312)</f>
        <v>0</v>
      </c>
      <c r="BG312" s="3">
        <f>((BG194-BF194)*-1)+((BG193-BF193)*-1)</f>
        <v>0</v>
      </c>
      <c r="BH312" s="3">
        <f>((BH194-BG194)*-1)+((BH193-BG193)*-1)</f>
        <v>0</v>
      </c>
      <c r="BI312" s="3">
        <f>((BI194-BH194)*-1)+((BI193-BH193)*-1)</f>
        <v>0</v>
      </c>
      <c r="BJ312" s="3">
        <f>((BJ194-BI194)*-1)+((BJ193-BI193)*-1)</f>
        <v>0</v>
      </c>
      <c r="BK312" s="3">
        <f>SUM(BG312:BJ312)</f>
        <v>0</v>
      </c>
      <c r="BL312" s="3">
        <f>((BL194-BK194)*-1)+((BL193-BK193)*-1)</f>
        <v>0</v>
      </c>
      <c r="BM312" s="3">
        <f>((BM194-BL194)*-1)+((BM193-BL193)*-1)</f>
        <v>0</v>
      </c>
      <c r="BN312" s="3">
        <f>((BN194-BM194)*-1)+((BN193-BM193)*-1)</f>
        <v>0</v>
      </c>
      <c r="BO312" s="3">
        <f>((BO194-BN194)*-1)+((BO193-BN193)*-1)</f>
        <v>0</v>
      </c>
      <c r="BP312" s="3">
        <f>SUM(BL312:BO312)</f>
        <v>0</v>
      </c>
      <c r="BQ312" s="3">
        <f>((BQ194-BP194)*-1)+((BQ193-BP193)*-1)</f>
        <v>0</v>
      </c>
      <c r="BR312" s="3">
        <f>((BR194-BQ194)*-1)+((BR193-BQ193)*-1)</f>
        <v>0</v>
      </c>
      <c r="BS312" s="3">
        <f>((BS194-BR194)*-1)+((BS193-BR193)*-1)</f>
        <v>0</v>
      </c>
      <c r="BT312" s="3">
        <f>((BT194-BS194)*-1)+((BT193-BS193)*-1)</f>
        <v>0</v>
      </c>
      <c r="BU312" s="3">
        <f>SUM(BQ312:BT312)</f>
        <v>0</v>
      </c>
      <c r="BV312" s="3">
        <f>((BV194-BU194)*-1)+((BV193-BU193)*-1)</f>
        <v>0</v>
      </c>
      <c r="BW312" s="3">
        <f>((BW194-BV194)*-1)+((BW193-BV193)*-1)</f>
        <v>0</v>
      </c>
      <c r="BX312" s="3">
        <f>((BX194-BW194)*-1)+((BX193-BW193)*-1)</f>
        <v>0</v>
      </c>
      <c r="BY312" s="3">
        <f>((BY194-BX194)*-1)+((BY193-BX193)*-1)</f>
        <v>0</v>
      </c>
      <c r="BZ312" s="3">
        <f>SUM(BV312:BY312)</f>
        <v>0</v>
      </c>
      <c r="CA312" s="3">
        <f>((CA194-BZ194)*-1)+((CA193-BZ193)*-1)</f>
        <v>0</v>
      </c>
      <c r="CB312" s="3">
        <f>((CB194-CA194)*-1)+((CB193-CA193)*-1)</f>
        <v>0</v>
      </c>
      <c r="CC312" s="3">
        <f>((CC194-CB194)*-1)+((CC193-CB193)*-1)</f>
        <v>0</v>
      </c>
      <c r="CD312" s="3">
        <f>((CD194-CC194)*-1)+((CD193-CC193)*-1)</f>
        <v>0</v>
      </c>
      <c r="CE312" s="3">
        <f>SUM(CA312:CD312)</f>
        <v>0</v>
      </c>
      <c r="CF312" s="3">
        <f>((CF194-CE194)*-1)+((CF193-CE193)*-1)</f>
        <v>0</v>
      </c>
      <c r="CG312" s="3">
        <f>((CG194-CF194)*-1)+((CG193-CF193)*-1)</f>
        <v>0</v>
      </c>
      <c r="CH312" s="3">
        <f>((CH194-CG194)*-1)+((CH193-CG193)*-1)</f>
        <v>0</v>
      </c>
      <c r="CI312" s="3">
        <f>((CI194-CH194)*-1)+((CI193-CH193)*-1)</f>
        <v>0</v>
      </c>
      <c r="CJ312" s="3">
        <f>SUM(CF312:CI312)</f>
        <v>0</v>
      </c>
      <c r="CK312" s="3">
        <f>((CK194-CJ194)*-1)+((CK193-CJ193)*-1)</f>
        <v>0</v>
      </c>
      <c r="CL312" s="3">
        <f>((CL194-CK194)*-1)+((CL193-CK193)*-1)</f>
        <v>0</v>
      </c>
      <c r="CM312" s="3">
        <f>((CM194-CL194)*-1)+((CM193-CL193)*-1)</f>
        <v>0</v>
      </c>
      <c r="CN312" s="3">
        <f>((CN194-CM194)*-1)+((CN193-CM193)*-1)</f>
        <v>0</v>
      </c>
      <c r="CO312" s="3">
        <f>SUM(CK312:CN312)</f>
        <v>0</v>
      </c>
      <c r="CP312" s="3">
        <f>((CP194-CO194)*-1)+((CP193-CO193)*-1)</f>
        <v>0</v>
      </c>
      <c r="CQ312" s="3">
        <f>((CQ194-CP194)*-1)+((CQ193-CP193)*-1)</f>
        <v>0</v>
      </c>
      <c r="CR312" s="3">
        <f>((CR194-CQ194)*-1)+((CR193-CQ193)*-1)</f>
        <v>0</v>
      </c>
      <c r="CS312" s="3">
        <f>((CS194-CR194)*-1)+((CS193-CR193)*-1)</f>
        <v>0</v>
      </c>
      <c r="CT312" s="3">
        <f>SUM(CP312:CS312)</f>
        <v>0</v>
      </c>
      <c r="CU312" s="3">
        <f>((CU194-CT194)*-1)+((CU193-CT193)*-1)</f>
        <v>0</v>
      </c>
      <c r="CV312" s="3">
        <f>((CV194-CU194)*-1)+((CV193-CU193)*-1)</f>
        <v>0</v>
      </c>
      <c r="CW312" s="3">
        <f>((CW194-CV194)*-1)+((CW193-CV193)*-1)</f>
        <v>0</v>
      </c>
      <c r="CX312" s="3">
        <f>((CX194-CW194)*-1)+((CX193-CW193)*-1)</f>
        <v>0</v>
      </c>
      <c r="CY312" s="3">
        <f>SUM(CU312:CX312)</f>
        <v>0</v>
      </c>
      <c r="CZ312" s="3" t="n"/>
      <c r="DA312" s="3" t="n"/>
      <c r="DB312" s="3" t="n"/>
      <c r="DC312" s="3" t="n"/>
    </row>
    <row r="313">
      <c r="C313" s="30" t="inlineStr">
        <is>
          <t>Purchases/Proceeds from other long-term assets</t>
        </is>
      </c>
      <c r="D313" s="3" t="n"/>
      <c r="E313" s="3">
        <f>((E203-D203)*-1)+(E254-D254)</f>
        <v>14.381</v>
      </c>
      <c r="F313" s="3">
        <f>((F203-E203)*-1)+(F254-E254)</f>
        <v>-3.30700000000001</v>
      </c>
      <c r="G313" s="3">
        <f>((G203-F203)*-1)+(G254-F254)</f>
        <v>59.83</v>
      </c>
      <c r="H313" s="3">
        <f>SUM(D313:G313)</f>
        <v>70.904</v>
      </c>
      <c r="I313" s="3">
        <f>((I203-H203)*-1)+(I254-H254)</f>
        <v>89.383</v>
      </c>
      <c r="J313" s="3">
        <f>((J203-I203)*-1)+(J254-I254)</f>
        <v>-42.607</v>
      </c>
      <c r="K313" s="3">
        <f>((K203-J203)*-1)+(K254-J254)</f>
        <v>77.335</v>
      </c>
      <c r="L313" s="3">
        <f>((L203-K203)*-1)+(L254-K254)</f>
        <v>22.43</v>
      </c>
      <c r="M313" s="3">
        <f>SUM(I313:L313)</f>
        <v>146.541</v>
      </c>
      <c r="N313" s="3">
        <f>((N203-M203)*-1)+(N254-M254)</f>
        <v>-10.35</v>
      </c>
      <c r="O313" s="3">
        <f>((O203-N203)*-1)+(O254-N254)</f>
        <v>-13.959</v>
      </c>
      <c r="P313" s="3">
        <f>((P203-O203)*-1)+(P254-O254)</f>
        <v>84.5797186089196</v>
      </c>
      <c r="Q313" s="3">
        <f>((Q203-P203)*-1)+(Q254-P254)</f>
        <v>-5.00171860891958</v>
      </c>
      <c r="R313" s="3">
        <f>SUM(N313:Q313)</f>
        <v>55.2690000000001</v>
      </c>
      <c r="S313" s="3">
        <f>((S203-R203)*-1)+(S254-R254)</f>
        <v>138.653</v>
      </c>
      <c r="T313" s="3">
        <f>((T203-S203)*-1)+(T254-S254)</f>
        <v>-61.6130000000001</v>
      </c>
      <c r="U313" s="3">
        <f>((U203-T203)*-1)+(U254-T254)</f>
        <v>5.17200000000003</v>
      </c>
      <c r="V313" s="3">
        <f>((V203-U203)*-1)+(V254-U254)</f>
        <v>-75.479</v>
      </c>
      <c r="W313" s="3">
        <f>SUM(S313:V313)</f>
        <v>6.73299999999998</v>
      </c>
      <c r="X313" s="3">
        <f>((X203-W203)*-1)+(X254-W254)</f>
        <v>75.631</v>
      </c>
      <c r="Y313" s="3">
        <f>((Y203-X203)*-1)+(Y254-X254)</f>
        <v>64.526</v>
      </c>
      <c r="Z313" s="3">
        <f>((Z203-Y203)*-1)+(Z254-Y254)</f>
        <v>-35.2750000000001</v>
      </c>
      <c r="AA313" s="3">
        <f>((AA203-Z203)*-1)+(AA254-Z254)</f>
        <v>437.019</v>
      </c>
      <c r="AB313" s="3">
        <f>SUM(X313:AA313)</f>
        <v>541.901</v>
      </c>
      <c r="AC313" s="3">
        <f>((AC203-AB203)*-1)+(AC254-AB254)</f>
        <v>-3.97200000000003</v>
      </c>
      <c r="AD313" s="3">
        <f>((AD203-AC203)*-1)+(AD254-AC254)</f>
        <v>-14.0279999999999</v>
      </c>
      <c r="AE313" s="3">
        <f>((AE203-AD203)*-1)+(AE254-AD254)</f>
        <v>93.8709999999999</v>
      </c>
      <c r="AF313" s="3">
        <f>((AF203-AE203)*-1)+(AF254-AE254)</f>
        <v>-31.269</v>
      </c>
      <c r="AG313" s="3">
        <f>SUM(AC313:AF313)</f>
        <v>44.602</v>
      </c>
      <c r="AH313" s="3">
        <f>((AH203-AG203)*-1)+(AH254-AG254)</f>
        <v>142.19</v>
      </c>
      <c r="AI313" s="3">
        <f>((AI203-AH203)*-1)+(AI254-AH254)</f>
        <v>-69.8580000000002</v>
      </c>
      <c r="AJ313" s="3">
        <f>((AJ203-AI203)*-1)+(AJ254-AI254)</f>
        <v>0</v>
      </c>
      <c r="AK313" s="3">
        <f>((AK203-AJ203)*-1)+(AK254-AJ254)</f>
        <v>0</v>
      </c>
      <c r="AL313" s="3">
        <f>SUM(AH313:AK313)</f>
        <v>72.3319999999999</v>
      </c>
      <c r="AM313" s="3">
        <f>((AM203-AL203)*-1)+(AM254-AL254)</f>
        <v>0</v>
      </c>
      <c r="AN313" s="3">
        <f>((AN203-AM203)*-1)+(AN254-AM254)</f>
        <v>0</v>
      </c>
      <c r="AO313" s="3">
        <f>((AO203-AN203)*-1)+(AO254-AN254)</f>
        <v>0</v>
      </c>
      <c r="AP313" s="3">
        <f>((AP203-AO203)*-1)+(AP254-AO254)</f>
        <v>0</v>
      </c>
      <c r="AQ313" s="3">
        <f>SUM(AM313:AP313)</f>
        <v>0</v>
      </c>
      <c r="AR313" s="3">
        <f>((AR203-AQ203)*-1)+(AR254-AQ254)</f>
        <v>0</v>
      </c>
      <c r="AS313" s="3">
        <f>((AS203-AR203)*-1)+(AS254-AR254)</f>
        <v>0</v>
      </c>
      <c r="AT313" s="3">
        <f>((AT203-AS203)*-1)+(AT254-AS254)</f>
        <v>0</v>
      </c>
      <c r="AU313" s="3">
        <f>((AU203-AT203)*-1)+(AU254-AT254)</f>
        <v>0</v>
      </c>
      <c r="AV313" s="3">
        <f>SUM(AR313:AU313)</f>
        <v>0</v>
      </c>
      <c r="AW313" s="3">
        <f>((AW203-AV203)*-1)+(AW254-AV254)</f>
        <v>0</v>
      </c>
      <c r="AX313" s="3">
        <f>((AX203-AW203)*-1)+(AX254-AW254)</f>
        <v>0</v>
      </c>
      <c r="AY313" s="3">
        <f>((AY203-AX203)*-1)+(AY254-AX254)</f>
        <v>0</v>
      </c>
      <c r="AZ313" s="3">
        <f>((AZ203-AY203)*-1)+(AZ254-AY254)</f>
        <v>0</v>
      </c>
      <c r="BA313" s="3">
        <f>SUM(AW313:AZ313)</f>
        <v>0</v>
      </c>
      <c r="BB313" s="3">
        <f>((BB203-BA203)*-1)+(BB254-BA254)</f>
        <v>0</v>
      </c>
      <c r="BC313" s="3">
        <f>((BC203-BB203)*-1)+(BC254-BB254)</f>
        <v>0</v>
      </c>
      <c r="BD313" s="3">
        <f>((BD203-BC203)*-1)+(BD254-BC254)</f>
        <v>0</v>
      </c>
      <c r="BE313" s="3">
        <f>((BE203-BD203)*-1)+(BE254-BD254)</f>
        <v>0</v>
      </c>
      <c r="BF313" s="3">
        <f>SUM(BB313:BE313)</f>
        <v>0</v>
      </c>
      <c r="BG313" s="3">
        <f>((BG203-BF203)*-1)+(BG254-BF254)</f>
        <v>0</v>
      </c>
      <c r="BH313" s="3">
        <f>((BH203-BG203)*-1)+(BH254-BG254)</f>
        <v>0</v>
      </c>
      <c r="BI313" s="3">
        <f>((BI203-BH203)*-1)+(BI254-BH254)</f>
        <v>0</v>
      </c>
      <c r="BJ313" s="3">
        <f>((BJ203-BI203)*-1)+(BJ254-BI254)</f>
        <v>0</v>
      </c>
      <c r="BK313" s="3">
        <f>SUM(BG313:BJ313)</f>
        <v>0</v>
      </c>
      <c r="BL313" s="3">
        <f>((BL203-BK203)*-1)+(BL254-BK254)</f>
        <v>0</v>
      </c>
      <c r="BM313" s="3">
        <f>((BM203-BL203)*-1)+(BM254-BL254)</f>
        <v>0</v>
      </c>
      <c r="BN313" s="3">
        <f>((BN203-BM203)*-1)+(BN254-BM254)</f>
        <v>0</v>
      </c>
      <c r="BO313" s="3">
        <f>((BO203-BN203)*-1)+(BO254-BN254)</f>
        <v>0</v>
      </c>
      <c r="BP313" s="3">
        <f>SUM(BL313:BO313)</f>
        <v>0</v>
      </c>
      <c r="BQ313" s="3">
        <f>((BQ203-BP203)*-1)+(BQ254-BP254)</f>
        <v>0</v>
      </c>
      <c r="BR313" s="3">
        <f>((BR203-BQ203)*-1)+(BR254-BQ254)</f>
        <v>0</v>
      </c>
      <c r="BS313" s="3">
        <f>((BS203-BR203)*-1)+(BS254-BR254)</f>
        <v>0</v>
      </c>
      <c r="BT313" s="3">
        <f>((BT203-BS203)*-1)+(BT254-BS254)</f>
        <v>0</v>
      </c>
      <c r="BU313" s="3">
        <f>SUM(BQ313:BT313)</f>
        <v>0</v>
      </c>
      <c r="BV313" s="3">
        <f>((BV203-BU203)*-1)+(BV254-BU254)</f>
        <v>0</v>
      </c>
      <c r="BW313" s="3">
        <f>((BW203-BV203)*-1)+(BW254-BV254)</f>
        <v>0</v>
      </c>
      <c r="BX313" s="3">
        <f>((BX203-BW203)*-1)+(BX254-BW254)</f>
        <v>0</v>
      </c>
      <c r="BY313" s="3">
        <f>((BY203-BX203)*-1)+(BY254-BX254)</f>
        <v>0</v>
      </c>
      <c r="BZ313" s="3">
        <f>SUM(BV313:BY313)</f>
        <v>0</v>
      </c>
      <c r="CA313" s="3">
        <f>((CA203-BZ203)*-1)+(CA254-BZ254)</f>
        <v>0</v>
      </c>
      <c r="CB313" s="3">
        <f>((CB203-CA203)*-1)+(CB254-CA254)</f>
        <v>0</v>
      </c>
      <c r="CC313" s="3">
        <f>((CC203-CB203)*-1)+(CC254-CB254)</f>
        <v>0</v>
      </c>
      <c r="CD313" s="3">
        <f>((CD203-CC203)*-1)+(CD254-CC254)</f>
        <v>0</v>
      </c>
      <c r="CE313" s="3">
        <f>SUM(CA313:CD313)</f>
        <v>0</v>
      </c>
      <c r="CF313" s="3">
        <f>((CF203-CE203)*-1)+(CF254-CE254)</f>
        <v>0</v>
      </c>
      <c r="CG313" s="3">
        <f>((CG203-CF203)*-1)+(CG254-CF254)</f>
        <v>0</v>
      </c>
      <c r="CH313" s="3">
        <f>((CH203-CG203)*-1)+(CH254-CG254)</f>
        <v>0</v>
      </c>
      <c r="CI313" s="3">
        <f>((CI203-CH203)*-1)+(CI254-CH254)</f>
        <v>0</v>
      </c>
      <c r="CJ313" s="3">
        <f>SUM(CF313:CI313)</f>
        <v>0</v>
      </c>
      <c r="CK313" s="3">
        <f>((CK203-CJ203)*-1)+(CK254-CJ254)</f>
        <v>0</v>
      </c>
      <c r="CL313" s="3">
        <f>((CL203-CK203)*-1)+(CL254-CK254)</f>
        <v>0</v>
      </c>
      <c r="CM313" s="3">
        <f>((CM203-CL203)*-1)+(CM254-CL254)</f>
        <v>0</v>
      </c>
      <c r="CN313" s="3">
        <f>((CN203-CM203)*-1)+(CN254-CM254)</f>
        <v>0</v>
      </c>
      <c r="CO313" s="3">
        <f>SUM(CK313:CN313)</f>
        <v>0</v>
      </c>
      <c r="CP313" s="3">
        <f>((CP203-CO203)*-1)+(CP254-CO254)</f>
        <v>0</v>
      </c>
      <c r="CQ313" s="3">
        <f>((CQ203-CP203)*-1)+(CQ254-CP254)</f>
        <v>0</v>
      </c>
      <c r="CR313" s="3">
        <f>((CR203-CQ203)*-1)+(CR254-CQ254)</f>
        <v>0</v>
      </c>
      <c r="CS313" s="3">
        <f>((CS203-CR203)*-1)+(CS254-CR254)</f>
        <v>0</v>
      </c>
      <c r="CT313" s="3">
        <f>SUM(CP313:CS313)</f>
        <v>0</v>
      </c>
      <c r="CU313" s="3">
        <f>((CU203-CT203)*-1)+(CU254-CT254)</f>
        <v>0</v>
      </c>
      <c r="CV313" s="3">
        <f>((CV203-CU203)*-1)+(CV254-CU254)</f>
        <v>0</v>
      </c>
      <c r="CW313" s="3">
        <f>((CW203-CV203)*-1)+(CW254-CV254)</f>
        <v>0</v>
      </c>
      <c r="CX313" s="3">
        <f>((CX203-CW203)*-1)+(CX254-CW254)</f>
        <v>0</v>
      </c>
      <c r="CY313" s="3">
        <f>SUM(CU313:CX313)</f>
        <v>0</v>
      </c>
    </row>
    <row r="314">
      <c r="C314" s="26" t="inlineStr">
        <is>
          <t>Cash from investing</t>
        </is>
      </c>
      <c r="D314" s="3" t="n"/>
      <c r="E314" s="3">
        <f>SUM(E309,E310,E312,E313,E311)</f>
        <v>13.479</v>
      </c>
      <c r="F314" s="3">
        <f>SUM(F309,F310,F312,F313,F311)</f>
        <v>-4.40500000000001</v>
      </c>
      <c r="G314" s="3">
        <f>SUM(G309,G310,G312,G313,G311)</f>
        <v>58.5012899399999</v>
      </c>
      <c r="H314" s="3">
        <f>SUM(H309,H310,H312,H313)</f>
        <v>67.57528994</v>
      </c>
      <c r="I314" s="3">
        <f>SUM(I309,I310,I312,I313,I311)</f>
        <v>83.50634729</v>
      </c>
      <c r="J314" s="3">
        <f>SUM(J309,J310,J312,J313,J311)</f>
        <v>-46.3200585</v>
      </c>
      <c r="K314" s="3">
        <f>SUM(K309,K310,K312,K313,K311)</f>
        <v>74.94903964</v>
      </c>
      <c r="L314" s="3">
        <f>SUM(L309,L310,L312,L313,L311)</f>
        <v>21.8662579300001</v>
      </c>
      <c r="M314" s="3">
        <f>SUM(M309,M310,M312,M313)</f>
        <v>134.00158636</v>
      </c>
      <c r="N314" s="3">
        <f>SUM(N309,N310,N312,N313,N311)</f>
        <v>-9.83938681000001</v>
      </c>
      <c r="O314" s="3">
        <f>SUM(O309,O310,O312,O313,O311)</f>
        <v>-17.842</v>
      </c>
      <c r="P314" s="3">
        <f>SUM(P309,P310,P312,P313,P311)</f>
        <v>79.1707186089196</v>
      </c>
      <c r="Q314" s="3">
        <f>SUM(Q309,Q310,Q312,Q313,Q311)</f>
        <v>-12.0317186089196</v>
      </c>
      <c r="R314" s="3">
        <f>SUM(R309,R310,R312,R313)</f>
        <v>39.45761319</v>
      </c>
      <c r="S314" s="3">
        <f>SUM(S309,S310,S312,S313,S311)</f>
        <v>124.2619173</v>
      </c>
      <c r="T314" s="3">
        <f>SUM(T309,T310,T312,T313,T311)</f>
        <v>-70.1050000000001</v>
      </c>
      <c r="U314" s="3">
        <f>SUM(U309,U310,U312,U313,U311)</f>
        <v>-1.15389384999997</v>
      </c>
      <c r="V314" s="3">
        <f>SUM(V309,V310,V312,V313,V311)</f>
        <v>-83.80702345</v>
      </c>
      <c r="W314" s="3">
        <f>SUM(W309,W310,W312,W313)</f>
        <v>-30.804</v>
      </c>
      <c r="X314" s="3">
        <f>SUM(X309,X310,X312,X313,X311)</f>
        <v>66.255</v>
      </c>
      <c r="Y314" s="3">
        <f>SUM(Y309,Y310,Y312,Y313,Y311)</f>
        <v>57.206423210001</v>
      </c>
      <c r="Z314" s="3">
        <f>SUM(Z309,Z310,Z312,Z313,Z311)</f>
        <v>-46.1091989450003</v>
      </c>
      <c r="AA314" s="3">
        <f>SUM(AA309,AA310,AA312,AA313,AA311)</f>
        <v>426.41281269</v>
      </c>
      <c r="AB314" s="3">
        <f>SUM(AB309,AB310,AB312,AB313)</f>
        <v>503.765036955001</v>
      </c>
      <c r="AC314" s="3">
        <f>SUM(AC309,AC310,AC312,AC313,AC311)</f>
        <v>-12.788</v>
      </c>
      <c r="AD314" s="3">
        <f>SUM(AD309,AD310,AD312,AD313,AD311)</f>
        <v>-21.2869999999999</v>
      </c>
      <c r="AE314" s="3">
        <f>SUM(AE309,AE310,AE312,AE313,AE311)</f>
        <v>85.2259999999999</v>
      </c>
      <c r="AF314" s="3">
        <f>SUM(AF309,AF310,AF312,AF313,AF311)</f>
        <v>-41.029</v>
      </c>
      <c r="AG314" s="3">
        <f>SUM(AG309,AG310,AG312,AG313)</f>
        <v>10.122</v>
      </c>
      <c r="AH314" s="3">
        <f>SUM(AH309,AH310,AH312,AH313,AH311)</f>
        <v>128.671</v>
      </c>
      <c r="AI314" s="3">
        <f>SUM(AI309,AI310,AI312,AI313,AI311)</f>
        <v>-83.1780000000002</v>
      </c>
      <c r="AJ314" s="3">
        <f>SUM(AJ309,AJ310,AJ312,AJ313,AJ311)</f>
        <v>0</v>
      </c>
      <c r="AK314" s="3">
        <f>SUM(AK309,AK310,AK312,AK313,AK311)</f>
        <v>0</v>
      </c>
      <c r="AL314" s="3">
        <f>SUM(AL309,AL310,AL312,AL313)</f>
        <v>45.4929999999999</v>
      </c>
      <c r="AM314" s="3">
        <f>SUM(AM309,AM310,AM312,AM313,AM311)</f>
        <v>0</v>
      </c>
      <c r="AN314" s="3">
        <f>SUM(AN309,AN310,AN312,AN313,AN311)</f>
        <v>0</v>
      </c>
      <c r="AO314" s="3">
        <f>SUM(AO309,AO310,AO312,AO313,AO311)</f>
        <v>0</v>
      </c>
      <c r="AP314" s="3">
        <f>SUM(AP309,AP310,AP312,AP313,AP311)</f>
        <v>0</v>
      </c>
      <c r="AQ314" s="3">
        <f>SUM(AQ309,AQ310,AQ312,AQ313)</f>
        <v>0</v>
      </c>
      <c r="AR314" s="3">
        <f>SUM(AR309,AR310,AR312,AR313,AR311)</f>
        <v>0</v>
      </c>
      <c r="AS314" s="3">
        <f>SUM(AS309,AS310,AS312,AS313,AS311)</f>
        <v>0</v>
      </c>
      <c r="AT314" s="3">
        <f>SUM(AT309,AT310,AT312,AT313,AT311)</f>
        <v>0</v>
      </c>
      <c r="AU314" s="3">
        <f>SUM(AU309,AU310,AU312,AU313,AU311)</f>
        <v>0</v>
      </c>
      <c r="AV314" s="3">
        <f>SUM(AV309,AV310,AV312,AV313)</f>
        <v>0</v>
      </c>
      <c r="AW314" s="3">
        <f>SUM(AW309,AW310,AW312,AW313,AW311)</f>
        <v>0</v>
      </c>
      <c r="AX314" s="3">
        <f>SUM(AX309,AX310,AX312,AX313,AX311)</f>
        <v>0</v>
      </c>
      <c r="AY314" s="3">
        <f>SUM(AY309,AY310,AY312,AY313,AY311)</f>
        <v>0</v>
      </c>
      <c r="AZ314" s="3">
        <f>SUM(AZ309,AZ310,AZ312,AZ313,AZ311)</f>
        <v>0</v>
      </c>
      <c r="BA314" s="3">
        <f>SUM(BA309,BA310,BA312,BA313)</f>
        <v>0</v>
      </c>
      <c r="BB314" s="3">
        <f>SUM(BB309,BB310,BB312,BB313,BB311)</f>
        <v>0</v>
      </c>
      <c r="BC314" s="3">
        <f>SUM(BC309,BC310,BC312,BC313,BC311)</f>
        <v>0</v>
      </c>
      <c r="BD314" s="3">
        <f>SUM(BD309,BD310,BD312,BD313,BD311)</f>
        <v>0</v>
      </c>
      <c r="BE314" s="3">
        <f>SUM(BE309,BE310,BE312,BE313,BE311)</f>
        <v>0</v>
      </c>
      <c r="BF314" s="3">
        <f>SUM(BF309,BF310,BF312,BF313)</f>
        <v>0</v>
      </c>
      <c r="BG314" s="3">
        <f>SUM(BG309,BG310,BG312,BG313,BG311)</f>
        <v>0</v>
      </c>
      <c r="BH314" s="3">
        <f>SUM(BH309,BH310,BH312,BH313,BH311)</f>
        <v>0</v>
      </c>
      <c r="BI314" s="3">
        <f>SUM(BI309,BI310,BI312,BI313,BI311)</f>
        <v>0</v>
      </c>
      <c r="BJ314" s="3">
        <f>SUM(BJ309,BJ310,BJ312,BJ313,BJ311)</f>
        <v>0</v>
      </c>
      <c r="BK314" s="3">
        <f>SUM(BK309,BK310,BK312,BK313)</f>
        <v>0</v>
      </c>
      <c r="BL314" s="3">
        <f>SUM(BL309,BL310,BL312,BL313,BL311)</f>
        <v>0</v>
      </c>
      <c r="BM314" s="3">
        <f>SUM(BM309,BM310,BM312,BM313,BM311)</f>
        <v>0</v>
      </c>
      <c r="BN314" s="3">
        <f>SUM(BN309,BN310,BN312,BN313,BN311)</f>
        <v>0</v>
      </c>
      <c r="BO314" s="3">
        <f>SUM(BO309,BO310,BO312,BO313,BO311)</f>
        <v>0</v>
      </c>
      <c r="BP314" s="3">
        <f>SUM(BP309,BP310,BP312,BP313)</f>
        <v>0</v>
      </c>
      <c r="BQ314" s="3">
        <f>SUM(BQ309,BQ310,BQ312,BQ313,BQ311)</f>
        <v>0</v>
      </c>
      <c r="BR314" s="3">
        <f>SUM(BR309,BR310,BR312,BR313,BR311)</f>
        <v>0</v>
      </c>
      <c r="BS314" s="3">
        <f>SUM(BS309,BS310,BS312,BS313,BS311)</f>
        <v>0</v>
      </c>
      <c r="BT314" s="3">
        <f>SUM(BT309,BT310,BT312,BT313,BT311)</f>
        <v>0</v>
      </c>
      <c r="BU314" s="3">
        <f>SUM(BU309,BU310,BU312,BU313)</f>
        <v>0</v>
      </c>
      <c r="BV314" s="3">
        <f>SUM(BV309,BV310,BV312,BV313,BV311)</f>
        <v>0</v>
      </c>
      <c r="BW314" s="3">
        <f>SUM(BW309,BW310,BW312,BW313,BW311)</f>
        <v>0</v>
      </c>
      <c r="BX314" s="3">
        <f>SUM(BX309,BX310,BX312,BX313,BX311)</f>
        <v>0</v>
      </c>
      <c r="BY314" s="3">
        <f>SUM(BY309,BY310,BY312,BY313,BY311)</f>
        <v>0</v>
      </c>
      <c r="BZ314" s="3">
        <f>SUM(BZ309,BZ310,BZ312,BZ313)</f>
        <v>0</v>
      </c>
      <c r="CA314" s="3">
        <f>SUM(CA309,CA310,CA312,CA313,CA311)</f>
        <v>0</v>
      </c>
      <c r="CB314" s="3">
        <f>SUM(CB309,CB310,CB312,CB313,CB311)</f>
        <v>0</v>
      </c>
      <c r="CC314" s="3">
        <f>SUM(CC309,CC310,CC312,CC313,CC311)</f>
        <v>0</v>
      </c>
      <c r="CD314" s="3">
        <f>SUM(CD309,CD310,CD312,CD313,CD311)</f>
        <v>0</v>
      </c>
      <c r="CE314" s="3">
        <f>SUM(CE309,CE310,CE312,CE313)</f>
        <v>0</v>
      </c>
      <c r="CF314" s="3">
        <f>SUM(CF309,CF310,CF312,CF313,CF311)</f>
        <v>0</v>
      </c>
      <c r="CG314" s="3">
        <f>SUM(CG309,CG310,CG312,CG313,CG311)</f>
        <v>0</v>
      </c>
      <c r="CH314" s="3">
        <f>SUM(CH309,CH310,CH312,CH313,CH311)</f>
        <v>0</v>
      </c>
      <c r="CI314" s="3">
        <f>SUM(CI309,CI310,CI312,CI313,CI311)</f>
        <v>0</v>
      </c>
      <c r="CJ314" s="3">
        <f>SUM(CJ309,CJ310,CJ312,CJ313)</f>
        <v>0</v>
      </c>
      <c r="CK314" s="3">
        <f>SUM(CK309,CK310,CK312,CK313,CK311)</f>
        <v>0</v>
      </c>
      <c r="CL314" s="3">
        <f>SUM(CL309,CL310,CL312,CL313,CL311)</f>
        <v>0</v>
      </c>
      <c r="CM314" s="3">
        <f>SUM(CM309,CM310,CM312,CM313,CM311)</f>
        <v>0</v>
      </c>
      <c r="CN314" s="3">
        <f>SUM(CN309,CN310,CN312,CN313,CN311)</f>
        <v>0</v>
      </c>
      <c r="CO314" s="3">
        <f>SUM(CO309,CO310,CO312,CO313)</f>
        <v>0</v>
      </c>
      <c r="CP314" s="3">
        <f>SUM(CP309,CP310,CP312,CP313,CP311)</f>
        <v>0</v>
      </c>
      <c r="CQ314" s="3">
        <f>SUM(CQ309,CQ310,CQ312,CQ313,CQ311)</f>
        <v>0</v>
      </c>
      <c r="CR314" s="3">
        <f>SUM(CR309,CR310,CR312,CR313,CR311)</f>
        <v>0</v>
      </c>
      <c r="CS314" s="3">
        <f>SUM(CS309,CS310,CS312,CS313,CS311)</f>
        <v>0</v>
      </c>
      <c r="CT314" s="3">
        <f>SUM(CT309,CT310,CT312,CT313)</f>
        <v>0</v>
      </c>
      <c r="CU314" s="3">
        <f>SUM(CU309,CU310,CU312,CU313,CU311)</f>
        <v>0</v>
      </c>
      <c r="CV314" s="3">
        <f>SUM(CV309,CV310,CV312,CV313,CV311)</f>
        <v>0</v>
      </c>
      <c r="CW314" s="3">
        <f>SUM(CW309,CW310,CW312,CW313,CW311)</f>
        <v>0</v>
      </c>
      <c r="CX314" s="3">
        <f>SUM(CX309,CX310,CX312,CX313,CX311)</f>
        <v>0</v>
      </c>
      <c r="CY314" s="3">
        <f>SUM(CY309,CY310,CY312,CY313)</f>
        <v>0</v>
      </c>
    </row>
    <row r="315">
      <c r="C315" s="26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  <c r="CG315" s="3" t="n"/>
      <c r="CH315" s="3" t="n"/>
      <c r="CI315" s="3" t="n"/>
      <c r="CJ315" s="3" t="n"/>
      <c r="CK315" s="3" t="n"/>
      <c r="CL315" s="3" t="n"/>
      <c r="CM315" s="3" t="n"/>
      <c r="CN315" s="3" t="n"/>
      <c r="CO315" s="3" t="n"/>
      <c r="CP315" s="3" t="n"/>
      <c r="CQ315" s="3" t="n"/>
      <c r="CR315" s="3" t="n"/>
      <c r="CS315" s="3" t="n"/>
      <c r="CT315" s="3" t="n"/>
      <c r="CU315" s="3" t="n"/>
      <c r="CV315" s="3" t="n"/>
      <c r="CW315" s="3" t="n"/>
      <c r="CX315" s="3" t="n"/>
      <c r="CY315" s="3" t="n"/>
    </row>
    <row r="316">
      <c r="C316" s="26" t="inlineStr">
        <is>
          <t>Convertible preferred stock</t>
        </is>
      </c>
      <c r="D316" s="3" t="n"/>
      <c r="E316" s="3">
        <f>E267-D267</f>
        <v>0</v>
      </c>
      <c r="F316" s="3">
        <f>F267-E267</f>
        <v>0</v>
      </c>
      <c r="G316" s="3">
        <f>G267-F267</f>
        <v>0</v>
      </c>
      <c r="H316" s="3">
        <f>SUM(D316:G316)</f>
        <v>0</v>
      </c>
      <c r="I316" s="3">
        <f>I267-H267</f>
        <v>0</v>
      </c>
      <c r="J316" s="3">
        <f>J267-I267</f>
        <v>0</v>
      </c>
      <c r="K316" s="3">
        <f>K267-J267</f>
        <v>0</v>
      </c>
      <c r="L316" s="3">
        <f>L267-K267</f>
        <v>0</v>
      </c>
      <c r="M316" s="3">
        <f>SUM(I316:L316)</f>
        <v>0</v>
      </c>
      <c r="N316" s="3">
        <f>N267-M267</f>
        <v>0</v>
      </c>
      <c r="O316" s="3">
        <f>O267-N267</f>
        <v>0</v>
      </c>
      <c r="P316" s="3">
        <f>P267-O267</f>
        <v>0</v>
      </c>
      <c r="Q316" s="3">
        <f>Q267-P267</f>
        <v>0</v>
      </c>
      <c r="R316" s="3">
        <f>SUM(N316:Q316)</f>
        <v>0</v>
      </c>
      <c r="S316" s="3">
        <f>S267-R267</f>
        <v>0</v>
      </c>
      <c r="T316" s="3">
        <f>T267-S267</f>
        <v>0</v>
      </c>
      <c r="U316" s="3">
        <f>U267-T267</f>
        <v>0</v>
      </c>
      <c r="V316" s="3">
        <f>V267-U267</f>
        <v>0</v>
      </c>
      <c r="W316" s="3">
        <f>SUM(S316:V316)</f>
        <v>0</v>
      </c>
      <c r="X316" s="3">
        <f>X267-W267</f>
        <v>0</v>
      </c>
      <c r="Y316" s="3">
        <f>Y267-X267</f>
        <v>0</v>
      </c>
      <c r="Z316" s="3">
        <f>Z267-Y267</f>
        <v>0</v>
      </c>
      <c r="AA316" s="3">
        <f>AA267-Z267</f>
        <v>0</v>
      </c>
      <c r="AB316" s="3">
        <f>SUM(X316:AA316)</f>
        <v>0</v>
      </c>
      <c r="AC316" s="3">
        <f>AC267-AB267</f>
        <v>0</v>
      </c>
      <c r="AD316" s="3">
        <f>AD267-AC267</f>
        <v>0</v>
      </c>
      <c r="AE316" s="3">
        <f>AE267-AD267</f>
        <v>0</v>
      </c>
      <c r="AF316" s="3">
        <f>AF267-AE267</f>
        <v>0</v>
      </c>
      <c r="AG316" s="3">
        <f>SUM(AC316:AF316)</f>
        <v>0</v>
      </c>
      <c r="AH316" s="3">
        <f>AH267-AG267</f>
        <v>0</v>
      </c>
      <c r="AI316" s="3">
        <f>AI267-AH267</f>
        <v>0</v>
      </c>
      <c r="AJ316" s="3">
        <f>AJ267-AI267</f>
        <v>0</v>
      </c>
      <c r="AK316" s="3">
        <f>AK267-AJ267</f>
        <v>0</v>
      </c>
      <c r="AL316" s="3">
        <f>SUM(AH316:AK316)</f>
        <v>0</v>
      </c>
      <c r="AM316" s="3">
        <f>AM267-AL267</f>
        <v>0</v>
      </c>
      <c r="AN316" s="3">
        <f>AN267-AM267</f>
        <v>0</v>
      </c>
      <c r="AO316" s="3">
        <f>AO267-AN267</f>
        <v>0</v>
      </c>
      <c r="AP316" s="3">
        <f>AP267-AO267</f>
        <v>0</v>
      </c>
      <c r="AQ316" s="3">
        <f>SUM(AM316:AP316)</f>
        <v>0</v>
      </c>
      <c r="AR316" s="3">
        <f>AR267-AQ267</f>
        <v>0</v>
      </c>
      <c r="AS316" s="3">
        <f>AS267-AR267</f>
        <v>0</v>
      </c>
      <c r="AT316" s="3">
        <f>AT267-AS267</f>
        <v>0</v>
      </c>
      <c r="AU316" s="3">
        <f>AU267-AT267</f>
        <v>0</v>
      </c>
      <c r="AV316" s="3">
        <f>SUM(AR316:AU316)</f>
        <v>0</v>
      </c>
      <c r="AW316" s="3">
        <f>AW267-AV267</f>
        <v>0</v>
      </c>
      <c r="AX316" s="3">
        <f>AX267-AW267</f>
        <v>0</v>
      </c>
      <c r="AY316" s="3">
        <f>AY267-AX267</f>
        <v>0</v>
      </c>
      <c r="AZ316" s="3">
        <f>AZ267-AY267</f>
        <v>0</v>
      </c>
      <c r="BA316" s="3">
        <f>SUM(AW316:AZ316)</f>
        <v>0</v>
      </c>
      <c r="BB316" s="3">
        <f>BB267-BA267</f>
        <v>0</v>
      </c>
      <c r="BC316" s="3">
        <f>BC267-BB267</f>
        <v>0</v>
      </c>
      <c r="BD316" s="3">
        <f>BD267-BC267</f>
        <v>0</v>
      </c>
      <c r="BE316" s="3">
        <f>BE267-BD267</f>
        <v>0</v>
      </c>
      <c r="BF316" s="3">
        <f>SUM(BB316:BE316)</f>
        <v>0</v>
      </c>
      <c r="BG316" s="3">
        <f>BG267-BF267</f>
        <v>0</v>
      </c>
      <c r="BH316" s="3">
        <f>BH267-BG267</f>
        <v>0</v>
      </c>
      <c r="BI316" s="3">
        <f>BI267-BH267</f>
        <v>0</v>
      </c>
      <c r="BJ316" s="3">
        <f>BJ267-BI267</f>
        <v>0</v>
      </c>
      <c r="BK316" s="3">
        <f>SUM(BG316:BJ316)</f>
        <v>0</v>
      </c>
      <c r="BL316" s="3">
        <f>BL267-BK267</f>
        <v>0</v>
      </c>
      <c r="BM316" s="3">
        <f>BM267-BL267</f>
        <v>0</v>
      </c>
      <c r="BN316" s="3">
        <f>BN267-BM267</f>
        <v>0</v>
      </c>
      <c r="BO316" s="3">
        <f>BO267-BN267</f>
        <v>0</v>
      </c>
      <c r="BP316" s="3">
        <f>SUM(BL316:BO316)</f>
        <v>0</v>
      </c>
      <c r="BQ316" s="3">
        <f>BQ267-BP267</f>
        <v>0</v>
      </c>
      <c r="BR316" s="3">
        <f>BR267-BQ267</f>
        <v>0</v>
      </c>
      <c r="BS316" s="3">
        <f>BS267-BR267</f>
        <v>0</v>
      </c>
      <c r="BT316" s="3">
        <f>BT267-BS267</f>
        <v>0</v>
      </c>
      <c r="BU316" s="3">
        <f>SUM(BQ316:BT316)</f>
        <v>0</v>
      </c>
      <c r="BV316" s="3">
        <f>BV267-BU267</f>
        <v>0</v>
      </c>
      <c r="BW316" s="3">
        <f>BW267-BV267</f>
        <v>0</v>
      </c>
      <c r="BX316" s="3">
        <f>BX267-BW267</f>
        <v>0</v>
      </c>
      <c r="BY316" s="3">
        <f>BY267-BX267</f>
        <v>0</v>
      </c>
      <c r="BZ316" s="3">
        <f>SUM(BV316:BY316)</f>
        <v>0</v>
      </c>
      <c r="CA316" s="3">
        <f>CA267-BZ267</f>
        <v>0</v>
      </c>
      <c r="CB316" s="3">
        <f>CB267-CA267</f>
        <v>0</v>
      </c>
      <c r="CC316" s="3">
        <f>CC267-CB267</f>
        <v>0</v>
      </c>
      <c r="CD316" s="3">
        <f>CD267-CC267</f>
        <v>0</v>
      </c>
      <c r="CE316" s="3">
        <f>SUM(CA316:CD316)</f>
        <v>0</v>
      </c>
      <c r="CF316" s="3">
        <f>CF267-CE267</f>
        <v>0</v>
      </c>
      <c r="CG316" s="3">
        <f>CG267-CF267</f>
        <v>0</v>
      </c>
      <c r="CH316" s="3">
        <f>CH267-CG267</f>
        <v>0</v>
      </c>
      <c r="CI316" s="3">
        <f>CI267-CH267</f>
        <v>0</v>
      </c>
      <c r="CJ316" s="3">
        <f>SUM(CF316:CI316)</f>
        <v>0</v>
      </c>
      <c r="CK316" s="3">
        <f>CK267-CJ267</f>
        <v>0</v>
      </c>
      <c r="CL316" s="3">
        <f>CL267-CK267</f>
        <v>0</v>
      </c>
      <c r="CM316" s="3">
        <f>CM267-CL267</f>
        <v>0</v>
      </c>
      <c r="CN316" s="3">
        <f>CN267-CM267</f>
        <v>0</v>
      </c>
      <c r="CO316" s="3">
        <f>SUM(CK316:CN316)</f>
        <v>0</v>
      </c>
      <c r="CP316" s="3">
        <f>CP267-CO267</f>
        <v>0</v>
      </c>
      <c r="CQ316" s="3">
        <f>CQ267-CP267</f>
        <v>0</v>
      </c>
      <c r="CR316" s="3">
        <f>CR267-CQ267</f>
        <v>0</v>
      </c>
      <c r="CS316" s="3">
        <f>CS267-CR267</f>
        <v>0</v>
      </c>
      <c r="CT316" s="3">
        <f>SUM(CP316:CS316)</f>
        <v>0</v>
      </c>
      <c r="CU316" s="3">
        <f>CU267-CT267</f>
        <v>0</v>
      </c>
      <c r="CV316" s="3">
        <f>CV267-CU267</f>
        <v>0</v>
      </c>
      <c r="CW316" s="3">
        <f>CW267-CV267</f>
        <v>0</v>
      </c>
      <c r="CX316" s="3">
        <f>CX267-CW267</f>
        <v>0</v>
      </c>
      <c r="CY316" s="3">
        <f>SUM(CU316:CX316)</f>
        <v>0</v>
      </c>
    </row>
    <row r="317">
      <c r="C317" s="26" t="inlineStr">
        <is>
          <t>Common stock and APIC</t>
        </is>
      </c>
      <c r="D317" s="3" t="n"/>
      <c r="E317" s="3">
        <f>E268-D268</f>
        <v>30</v>
      </c>
      <c r="F317" s="3">
        <f>F268-E268</f>
        <v>154.207</v>
      </c>
      <c r="G317" s="3">
        <f>G268-F268</f>
        <v>0</v>
      </c>
      <c r="H317" s="3">
        <f>SUM(D317:G317)</f>
        <v>184.207</v>
      </c>
      <c r="I317" s="3">
        <f>I268-H268</f>
        <v>0</v>
      </c>
      <c r="J317" s="3">
        <f>J268-I268</f>
        <v>0</v>
      </c>
      <c r="K317" s="3">
        <f>K268-J268</f>
        <v>0</v>
      </c>
      <c r="L317" s="3">
        <f>L268-K268</f>
        <v>0</v>
      </c>
      <c r="M317" s="3">
        <f>SUM(I317:L317)</f>
        <v>0</v>
      </c>
      <c r="N317" s="3">
        <f>N268-M268</f>
        <v>0</v>
      </c>
      <c r="O317" s="3">
        <f>O268-N268</f>
        <v>0</v>
      </c>
      <c r="P317" s="3">
        <f>P268-O268</f>
        <v>0</v>
      </c>
      <c r="Q317" s="3">
        <f>Q268-P268</f>
        <v>0</v>
      </c>
      <c r="R317" s="3">
        <f>SUM(N317:Q317)</f>
        <v>0</v>
      </c>
      <c r="S317" s="3">
        <f>S268-R268</f>
        <v>0</v>
      </c>
      <c r="T317" s="3">
        <f>T268-S268</f>
        <v>0</v>
      </c>
      <c r="U317" s="3">
        <f>U268-T268</f>
        <v>0</v>
      </c>
      <c r="V317" s="3">
        <f>V268-U268</f>
        <v>0</v>
      </c>
      <c r="W317" s="3">
        <f>SUM(S317:V317)</f>
        <v>0</v>
      </c>
      <c r="X317" s="3">
        <f>X268-W268</f>
        <v>0</v>
      </c>
      <c r="Y317" s="3">
        <f>Y268-X268</f>
        <v>0</v>
      </c>
      <c r="Z317" s="3">
        <f>Z268-Y268</f>
        <v>0</v>
      </c>
      <c r="AA317" s="3">
        <f>AA268-Z268</f>
        <v>200</v>
      </c>
      <c r="AB317" s="3">
        <f>SUM(X317:AA317)</f>
        <v>200</v>
      </c>
      <c r="AC317" s="3">
        <f>AC268-AB268</f>
        <v>0</v>
      </c>
      <c r="AD317" s="3">
        <f>AD268-AC268</f>
        <v>47.082</v>
      </c>
      <c r="AE317" s="3">
        <f>AE268-AD268</f>
        <v>0</v>
      </c>
      <c r="AF317" s="3">
        <f>AF268-AE268</f>
        <v>549.408</v>
      </c>
      <c r="AG317" s="3">
        <f>SUM(AC317:AF317)</f>
        <v>596.49</v>
      </c>
      <c r="AH317" s="3">
        <f>AH268-AG268</f>
        <v>0</v>
      </c>
      <c r="AI317" s="3">
        <f>AI268-AH268</f>
        <v>0</v>
      </c>
      <c r="AJ317" s="3">
        <f>AJ268-AI268</f>
        <v>0</v>
      </c>
      <c r="AK317" s="3">
        <f>AK268-AJ268</f>
        <v>0</v>
      </c>
      <c r="AL317" s="3">
        <f>SUM(AH317:AK317)</f>
        <v>0</v>
      </c>
      <c r="AM317" s="3">
        <f>AM268-AL268</f>
        <v>0</v>
      </c>
      <c r="AN317" s="3">
        <f>AN268-AM268</f>
        <v>0</v>
      </c>
      <c r="AO317" s="3">
        <f>AO268-AN268</f>
        <v>0</v>
      </c>
      <c r="AP317" s="3">
        <f>AP268-AO268</f>
        <v>0</v>
      </c>
      <c r="AQ317" s="3">
        <f>SUM(AM317:AP317)</f>
        <v>0</v>
      </c>
      <c r="AR317" s="3">
        <f>AR268-AQ268</f>
        <v>0</v>
      </c>
      <c r="AS317" s="3">
        <f>AS268-AR268</f>
        <v>0</v>
      </c>
      <c r="AT317" s="3">
        <f>AT268-AS268</f>
        <v>0</v>
      </c>
      <c r="AU317" s="3">
        <f>AU268-AT268</f>
        <v>0</v>
      </c>
      <c r="AV317" s="3">
        <f>SUM(AR317:AU317)</f>
        <v>0</v>
      </c>
      <c r="AW317" s="3">
        <f>AW268-AV268</f>
        <v>0</v>
      </c>
      <c r="AX317" s="3">
        <f>AX268-AW268</f>
        <v>0</v>
      </c>
      <c r="AY317" s="3">
        <f>AY268-AX268</f>
        <v>0</v>
      </c>
      <c r="AZ317" s="3">
        <f>AZ268-AY268</f>
        <v>0</v>
      </c>
      <c r="BA317" s="3">
        <f>SUM(AW317:AZ317)</f>
        <v>0</v>
      </c>
      <c r="BB317" s="3">
        <f>BB268-BA268</f>
        <v>0</v>
      </c>
      <c r="BC317" s="3">
        <f>BC268-BB268</f>
        <v>0</v>
      </c>
      <c r="BD317" s="3">
        <f>BD268-BC268</f>
        <v>0</v>
      </c>
      <c r="BE317" s="3">
        <f>BE268-BD268</f>
        <v>0</v>
      </c>
      <c r="BF317" s="3">
        <f>SUM(BB317:BE317)</f>
        <v>0</v>
      </c>
      <c r="BG317" s="3">
        <f>BG268-BF268</f>
        <v>0</v>
      </c>
      <c r="BH317" s="3">
        <f>BH268-BG268</f>
        <v>0</v>
      </c>
      <c r="BI317" s="3">
        <f>BI268-BH268</f>
        <v>0</v>
      </c>
      <c r="BJ317" s="3">
        <f>BJ268-BI268</f>
        <v>0</v>
      </c>
      <c r="BK317" s="3">
        <f>SUM(BG317:BJ317)</f>
        <v>0</v>
      </c>
      <c r="BL317" s="3">
        <f>BL268-BK268</f>
        <v>0</v>
      </c>
      <c r="BM317" s="3">
        <f>BM268-BL268</f>
        <v>0</v>
      </c>
      <c r="BN317" s="3">
        <f>BN268-BM268</f>
        <v>0</v>
      </c>
      <c r="BO317" s="3">
        <f>BO268-BN268</f>
        <v>0</v>
      </c>
      <c r="BP317" s="3">
        <f>SUM(BL317:BO317)</f>
        <v>0</v>
      </c>
      <c r="BQ317" s="3">
        <f>BQ268-BP268</f>
        <v>0</v>
      </c>
      <c r="BR317" s="3">
        <f>BR268-BQ268</f>
        <v>0</v>
      </c>
      <c r="BS317" s="3">
        <f>BS268-BR268</f>
        <v>0</v>
      </c>
      <c r="BT317" s="3">
        <f>BT268-BS268</f>
        <v>0</v>
      </c>
      <c r="BU317" s="3">
        <f>SUM(BQ317:BT317)</f>
        <v>0</v>
      </c>
      <c r="BV317" s="3">
        <f>BV268-BU268</f>
        <v>0</v>
      </c>
      <c r="BW317" s="3">
        <f>BW268-BV268</f>
        <v>0</v>
      </c>
      <c r="BX317" s="3">
        <f>BX268-BW268</f>
        <v>0</v>
      </c>
      <c r="BY317" s="3">
        <f>BY268-BX268</f>
        <v>0</v>
      </c>
      <c r="BZ317" s="3">
        <f>SUM(BV317:BY317)</f>
        <v>0</v>
      </c>
      <c r="CA317" s="3">
        <f>CA268-BZ268</f>
        <v>0</v>
      </c>
      <c r="CB317" s="3">
        <f>CB268-CA268</f>
        <v>0</v>
      </c>
      <c r="CC317" s="3">
        <f>CC268-CB268</f>
        <v>0</v>
      </c>
      <c r="CD317" s="3">
        <f>CD268-CC268</f>
        <v>0</v>
      </c>
      <c r="CE317" s="3">
        <f>SUM(CA317:CD317)</f>
        <v>0</v>
      </c>
      <c r="CF317" s="3">
        <f>CF268-CE268</f>
        <v>0</v>
      </c>
      <c r="CG317" s="3">
        <f>CG268-CF268</f>
        <v>0</v>
      </c>
      <c r="CH317" s="3">
        <f>CH268-CG268</f>
        <v>0</v>
      </c>
      <c r="CI317" s="3">
        <f>CI268-CH268</f>
        <v>0</v>
      </c>
      <c r="CJ317" s="3">
        <f>SUM(CF317:CI317)</f>
        <v>0</v>
      </c>
      <c r="CK317" s="3">
        <f>CK268-CJ268</f>
        <v>0</v>
      </c>
      <c r="CL317" s="3">
        <f>CL268-CK268</f>
        <v>0</v>
      </c>
      <c r="CM317" s="3">
        <f>CM268-CL268</f>
        <v>0</v>
      </c>
      <c r="CN317" s="3">
        <f>CN268-CM268</f>
        <v>0</v>
      </c>
      <c r="CO317" s="3">
        <f>SUM(CK317:CN317)</f>
        <v>0</v>
      </c>
      <c r="CP317" s="3">
        <f>CP268-CO268</f>
        <v>0</v>
      </c>
      <c r="CQ317" s="3">
        <f>CQ268-CP268</f>
        <v>0</v>
      </c>
      <c r="CR317" s="3">
        <f>CR268-CQ268</f>
        <v>0</v>
      </c>
      <c r="CS317" s="3">
        <f>CS268-CR268</f>
        <v>0</v>
      </c>
      <c r="CT317" s="3">
        <f>SUM(CP317:CS317)</f>
        <v>0</v>
      </c>
      <c r="CU317" s="3">
        <f>CU268-CT268</f>
        <v>0</v>
      </c>
      <c r="CV317" s="3">
        <f>CV268-CU268</f>
        <v>0</v>
      </c>
      <c r="CW317" s="3">
        <f>CW268-CV268</f>
        <v>0</v>
      </c>
      <c r="CX317" s="3">
        <f>CX268-CW268</f>
        <v>0</v>
      </c>
      <c r="CY317" s="3">
        <f>SUM(CU317:CX317)</f>
        <v>0</v>
      </c>
    </row>
    <row r="318">
      <c r="C318" s="26" t="inlineStr">
        <is>
          <t>Treasury stock repurchases</t>
        </is>
      </c>
      <c r="D318" s="3" t="n"/>
      <c r="E318" s="3">
        <f>E281-D281</f>
        <v>0</v>
      </c>
      <c r="F318" s="3">
        <f>F281-E281</f>
        <v>0</v>
      </c>
      <c r="G318" s="3">
        <f>G281-F281</f>
        <v>0</v>
      </c>
      <c r="H318" s="3">
        <f>SUM(D318:G318)</f>
        <v>0</v>
      </c>
      <c r="I318" s="3">
        <f>I281-H281</f>
        <v>0</v>
      </c>
      <c r="J318" s="3">
        <f>J281-I281</f>
        <v>0</v>
      </c>
      <c r="K318" s="3">
        <f>K281-J281</f>
        <v>0</v>
      </c>
      <c r="L318" s="3">
        <f>L281-K281</f>
        <v>-0.121</v>
      </c>
      <c r="M318" s="3">
        <f>SUM(I318:L318)</f>
        <v>-0.121</v>
      </c>
      <c r="N318" s="3">
        <f>N281-M281</f>
        <v>-4.894</v>
      </c>
      <c r="O318" s="3">
        <f>O281-N281</f>
        <v>-7.195</v>
      </c>
      <c r="P318" s="3">
        <f>P281-O281</f>
        <v>0</v>
      </c>
      <c r="Q318" s="3">
        <f>Q281-P281</f>
        <v>0</v>
      </c>
      <c r="R318" s="3">
        <f>SUM(N318:Q318)</f>
        <v>-12.089</v>
      </c>
      <c r="S318" s="3">
        <f>S281-R281</f>
        <v>0</v>
      </c>
      <c r="T318" s="3">
        <f>T281-S281</f>
        <v>0</v>
      </c>
      <c r="U318" s="3">
        <f>U281-T281</f>
        <v>0</v>
      </c>
      <c r="V318" s="3">
        <f>V281-U281</f>
        <v>0</v>
      </c>
      <c r="W318" s="3">
        <f>SUM(S318:V318)</f>
        <v>0</v>
      </c>
      <c r="X318" s="3">
        <f>X281-W281</f>
        <v>0</v>
      </c>
      <c r="Y318" s="3">
        <f>Y281-X281</f>
        <v>0</v>
      </c>
      <c r="Z318" s="3">
        <f>Z281-Y281</f>
        <v>0</v>
      </c>
      <c r="AA318" s="3">
        <f>AA281-Z281</f>
        <v>0</v>
      </c>
      <c r="AB318" s="3">
        <f>SUM(X318:AA318)</f>
        <v>0</v>
      </c>
      <c r="AC318" s="3">
        <f>AC281-AB281</f>
        <v>0</v>
      </c>
      <c r="AD318" s="3">
        <f>AD281-AC281</f>
        <v>12.21</v>
      </c>
      <c r="AE318" s="3">
        <f>AE281-AD281</f>
        <v>0</v>
      </c>
      <c r="AF318" s="3">
        <f>AF281-AE281</f>
        <v>0</v>
      </c>
      <c r="AG318" s="3">
        <f>SUM(AC318:AF318)</f>
        <v>12.21</v>
      </c>
      <c r="AH318" s="3">
        <f>AH281-AG281</f>
        <v>0</v>
      </c>
      <c r="AI318" s="3">
        <f>AI281-AH281</f>
        <v>0</v>
      </c>
      <c r="AJ318" s="3">
        <f>AJ281-AI281</f>
        <v>0</v>
      </c>
      <c r="AK318" s="3">
        <f>AK281-AJ281</f>
        <v>0</v>
      </c>
      <c r="AL318" s="3">
        <f>SUM(AH318:AK318)</f>
        <v>0</v>
      </c>
      <c r="AM318" s="3">
        <f>AM281-AL281</f>
        <v>0</v>
      </c>
      <c r="AN318" s="3">
        <f>AN281-AM281</f>
        <v>0</v>
      </c>
      <c r="AO318" s="3">
        <f>AO281-AN281</f>
        <v>0</v>
      </c>
      <c r="AP318" s="3">
        <f>AP281-AO281</f>
        <v>0</v>
      </c>
      <c r="AQ318" s="3">
        <f>SUM(AM318:AP318)</f>
        <v>0</v>
      </c>
      <c r="AR318" s="3">
        <f>AR281-AQ281</f>
        <v>0</v>
      </c>
      <c r="AS318" s="3">
        <f>AS281-AR281</f>
        <v>0</v>
      </c>
      <c r="AT318" s="3">
        <f>AT281-AS281</f>
        <v>0</v>
      </c>
      <c r="AU318" s="3">
        <f>AU281-AT281</f>
        <v>0</v>
      </c>
      <c r="AV318" s="3">
        <f>SUM(AR318:AU318)</f>
        <v>0</v>
      </c>
      <c r="AW318" s="3">
        <f>AW281-AV281</f>
        <v>0</v>
      </c>
      <c r="AX318" s="3">
        <f>AX281-AW281</f>
        <v>0</v>
      </c>
      <c r="AY318" s="3">
        <f>AY281-AX281</f>
        <v>0</v>
      </c>
      <c r="AZ318" s="3">
        <f>AZ281-AY281</f>
        <v>0</v>
      </c>
      <c r="BA318" s="3">
        <f>SUM(AW318:AZ318)</f>
        <v>0</v>
      </c>
      <c r="BB318" s="3">
        <f>BB281-BA281</f>
        <v>0</v>
      </c>
      <c r="BC318" s="3">
        <f>BC281-BB281</f>
        <v>0</v>
      </c>
      <c r="BD318" s="3">
        <f>BD281-BC281</f>
        <v>0</v>
      </c>
      <c r="BE318" s="3">
        <f>BE281-BD281</f>
        <v>0</v>
      </c>
      <c r="BF318" s="3">
        <f>SUM(BB318:BE318)</f>
        <v>0</v>
      </c>
      <c r="BG318" s="3">
        <f>BG281-BF281</f>
        <v>0</v>
      </c>
      <c r="BH318" s="3">
        <f>BH281-BG281</f>
        <v>0</v>
      </c>
      <c r="BI318" s="3">
        <f>BI281-BH281</f>
        <v>0</v>
      </c>
      <c r="BJ318" s="3">
        <f>BJ281-BI281</f>
        <v>0</v>
      </c>
      <c r="BK318" s="3">
        <f>SUM(BG318:BJ318)</f>
        <v>0</v>
      </c>
      <c r="BL318" s="3">
        <f>BL281-BK281</f>
        <v>0</v>
      </c>
      <c r="BM318" s="3">
        <f>BM281-BL281</f>
        <v>0</v>
      </c>
      <c r="BN318" s="3">
        <f>BN281-BM281</f>
        <v>0</v>
      </c>
      <c r="BO318" s="3">
        <f>BO281-BN281</f>
        <v>0</v>
      </c>
      <c r="BP318" s="3">
        <f>SUM(BL318:BO318)</f>
        <v>0</v>
      </c>
      <c r="BQ318" s="3">
        <f>BQ281-BP281</f>
        <v>0</v>
      </c>
      <c r="BR318" s="3">
        <f>BR281-BQ281</f>
        <v>0</v>
      </c>
      <c r="BS318" s="3">
        <f>BS281-BR281</f>
        <v>0</v>
      </c>
      <c r="BT318" s="3">
        <f>BT281-BS281</f>
        <v>0</v>
      </c>
      <c r="BU318" s="3">
        <f>SUM(BQ318:BT318)</f>
        <v>0</v>
      </c>
      <c r="BV318" s="3">
        <f>BV281-BU281</f>
        <v>0</v>
      </c>
      <c r="BW318" s="3">
        <f>BW281-BV281</f>
        <v>0</v>
      </c>
      <c r="BX318" s="3">
        <f>BX281-BW281</f>
        <v>0</v>
      </c>
      <c r="BY318" s="3">
        <f>BY281-BX281</f>
        <v>0</v>
      </c>
      <c r="BZ318" s="3">
        <f>SUM(BV318:BY318)</f>
        <v>0</v>
      </c>
      <c r="CA318" s="3">
        <f>CA281-BZ281</f>
        <v>0</v>
      </c>
      <c r="CB318" s="3">
        <f>CB281-CA281</f>
        <v>0</v>
      </c>
      <c r="CC318" s="3">
        <f>CC281-CB281</f>
        <v>0</v>
      </c>
      <c r="CD318" s="3">
        <f>CD281-CC281</f>
        <v>0</v>
      </c>
      <c r="CE318" s="3">
        <f>SUM(CA318:CD318)</f>
        <v>0</v>
      </c>
      <c r="CF318" s="3">
        <f>CF281-CE281</f>
        <v>0</v>
      </c>
      <c r="CG318" s="3">
        <f>CG281-CF281</f>
        <v>0</v>
      </c>
      <c r="CH318" s="3">
        <f>CH281-CG281</f>
        <v>0</v>
      </c>
      <c r="CI318" s="3">
        <f>CI281-CH281</f>
        <v>0</v>
      </c>
      <c r="CJ318" s="3">
        <f>SUM(CF318:CI318)</f>
        <v>0</v>
      </c>
      <c r="CK318" s="3">
        <f>CK281-CJ281</f>
        <v>0</v>
      </c>
      <c r="CL318" s="3">
        <f>CL281-CK281</f>
        <v>0</v>
      </c>
      <c r="CM318" s="3">
        <f>CM281-CL281</f>
        <v>0</v>
      </c>
      <c r="CN318" s="3">
        <f>CN281-CM281</f>
        <v>0</v>
      </c>
      <c r="CO318" s="3">
        <f>SUM(CK318:CN318)</f>
        <v>0</v>
      </c>
      <c r="CP318" s="3">
        <f>CP281-CO281</f>
        <v>0</v>
      </c>
      <c r="CQ318" s="3">
        <f>CQ281-CP281</f>
        <v>0</v>
      </c>
      <c r="CR318" s="3">
        <f>CR281-CQ281</f>
        <v>0</v>
      </c>
      <c r="CS318" s="3">
        <f>CS281-CR281</f>
        <v>0</v>
      </c>
      <c r="CT318" s="3">
        <f>SUM(CP318:CS318)</f>
        <v>0</v>
      </c>
      <c r="CU318" s="3">
        <f>CU281-CT281</f>
        <v>0</v>
      </c>
      <c r="CV318" s="3">
        <f>CV281-CU281</f>
        <v>0</v>
      </c>
      <c r="CW318" s="3">
        <f>CW281-CV281</f>
        <v>0</v>
      </c>
      <c r="CX318" s="3">
        <f>CX281-CW281</f>
        <v>0</v>
      </c>
      <c r="CY318" s="3">
        <f>SUM(CU318:CX318)</f>
        <v>0</v>
      </c>
    </row>
    <row r="319">
      <c r="C319" s="26" t="inlineStr">
        <is>
          <t>Comprehensive accumulated loss</t>
        </is>
      </c>
      <c r="D319" s="3" t="n"/>
      <c r="E319" s="3">
        <f>E282-D282</f>
        <v>0</v>
      </c>
      <c r="F319" s="3">
        <f>F282-E282</f>
        <v>0</v>
      </c>
      <c r="G319" s="3">
        <f>G282-F282</f>
        <v>0</v>
      </c>
      <c r="H319" s="3">
        <f>SUM(D319:G319)</f>
        <v>0</v>
      </c>
      <c r="I319" s="3">
        <f>I282-H282</f>
        <v>0</v>
      </c>
      <c r="J319" s="3">
        <f>J282-I282</f>
        <v>0</v>
      </c>
      <c r="K319" s="3">
        <f>K282-J282</f>
        <v>0</v>
      </c>
      <c r="L319" s="3">
        <f>L282-K282</f>
        <v>0</v>
      </c>
      <c r="M319" s="3">
        <f>SUM(I319:L319)</f>
        <v>0</v>
      </c>
      <c r="N319" s="3">
        <f>N282-M282</f>
        <v>0</v>
      </c>
      <c r="O319" s="3">
        <f>O282-N282</f>
        <v>0</v>
      </c>
      <c r="P319" s="3">
        <f>P282-O282</f>
        <v>0</v>
      </c>
      <c r="Q319" s="3">
        <f>Q282-P282</f>
        <v>0</v>
      </c>
      <c r="R319" s="3">
        <f>SUM(N319:Q319)</f>
        <v>0</v>
      </c>
      <c r="S319" s="3">
        <f>S282-R282</f>
        <v>0</v>
      </c>
      <c r="T319" s="3">
        <f>T282-S282</f>
        <v>0</v>
      </c>
      <c r="U319" s="3">
        <f>U282-T282</f>
        <v>0</v>
      </c>
      <c r="V319" s="3">
        <f>V282-U282</f>
        <v>0</v>
      </c>
      <c r="W319" s="3">
        <f>SUM(S319:V319)</f>
        <v>0</v>
      </c>
      <c r="X319" s="3">
        <f>X282-W282</f>
        <v>0</v>
      </c>
      <c r="Y319" s="3">
        <f>Y282-X282</f>
        <v>0</v>
      </c>
      <c r="Z319" s="3">
        <f>Z282-Y282</f>
        <v>0</v>
      </c>
      <c r="AA319" s="3">
        <f>AA282-Z282</f>
        <v>0</v>
      </c>
      <c r="AB319" s="3">
        <f>SUM(X319:AA319)</f>
        <v>0</v>
      </c>
      <c r="AC319" s="3">
        <f>AC282-AB282</f>
        <v>0</v>
      </c>
      <c r="AD319" s="3">
        <f>AD282-AC282</f>
        <v>0</v>
      </c>
      <c r="AE319" s="3">
        <f>AE282-AD282</f>
        <v>0</v>
      </c>
      <c r="AF319" s="3">
        <f>AF282-AE282</f>
        <v>0</v>
      </c>
      <c r="AG319" s="3">
        <f>SUM(AC319:AF319)</f>
        <v>0</v>
      </c>
      <c r="AH319" s="3">
        <f>AH282-AG282</f>
        <v>0</v>
      </c>
      <c r="AI319" s="3">
        <f>AI282-AH282</f>
        <v>0</v>
      </c>
      <c r="AJ319" s="3">
        <f>AJ282-AI282</f>
        <v>0</v>
      </c>
      <c r="AK319" s="3">
        <f>AK282-AJ282</f>
        <v>0</v>
      </c>
      <c r="AL319" s="3">
        <f>SUM(AH319:AK319)</f>
        <v>0</v>
      </c>
      <c r="AM319" s="3">
        <f>AM282-AL282</f>
        <v>0</v>
      </c>
      <c r="AN319" s="3">
        <f>AN282-AM282</f>
        <v>0</v>
      </c>
      <c r="AO319" s="3">
        <f>AO282-AN282</f>
        <v>0</v>
      </c>
      <c r="AP319" s="3">
        <f>AP282-AO282</f>
        <v>0</v>
      </c>
      <c r="AQ319" s="3">
        <f>SUM(AM319:AP319)</f>
        <v>0</v>
      </c>
      <c r="AR319" s="3">
        <f>AR282-AQ282</f>
        <v>0</v>
      </c>
      <c r="AS319" s="3">
        <f>AS282-AR282</f>
        <v>0</v>
      </c>
      <c r="AT319" s="3">
        <f>AT282-AS282</f>
        <v>0</v>
      </c>
      <c r="AU319" s="3">
        <f>AU282-AT282</f>
        <v>0</v>
      </c>
      <c r="AV319" s="3">
        <f>SUM(AR319:AU319)</f>
        <v>0</v>
      </c>
      <c r="AW319" s="3">
        <f>AW282-AV282</f>
        <v>0</v>
      </c>
      <c r="AX319" s="3">
        <f>AX282-AW282</f>
        <v>0</v>
      </c>
      <c r="AY319" s="3">
        <f>AY282-AX282</f>
        <v>0</v>
      </c>
      <c r="AZ319" s="3">
        <f>AZ282-AY282</f>
        <v>0</v>
      </c>
      <c r="BA319" s="3">
        <f>SUM(AW319:AZ319)</f>
        <v>0</v>
      </c>
      <c r="BB319" s="3">
        <f>BB282-BA282</f>
        <v>0</v>
      </c>
      <c r="BC319" s="3">
        <f>BC282-BB282</f>
        <v>0</v>
      </c>
      <c r="BD319" s="3">
        <f>BD282-BC282</f>
        <v>0</v>
      </c>
      <c r="BE319" s="3">
        <f>BE282-BD282</f>
        <v>0</v>
      </c>
      <c r="BF319" s="3">
        <f>SUM(BB319:BE319)</f>
        <v>0</v>
      </c>
      <c r="BG319" s="3">
        <f>BG282-BF282</f>
        <v>0</v>
      </c>
      <c r="BH319" s="3">
        <f>BH282-BG282</f>
        <v>0</v>
      </c>
      <c r="BI319" s="3">
        <f>BI282-BH282</f>
        <v>0</v>
      </c>
      <c r="BJ319" s="3">
        <f>BJ282-BI282</f>
        <v>0</v>
      </c>
      <c r="BK319" s="3">
        <f>SUM(BG319:BJ319)</f>
        <v>0</v>
      </c>
      <c r="BL319" s="3">
        <f>BL282-BK282</f>
        <v>0</v>
      </c>
      <c r="BM319" s="3">
        <f>BM282-BL282</f>
        <v>0</v>
      </c>
      <c r="BN319" s="3">
        <f>BN282-BM282</f>
        <v>0</v>
      </c>
      <c r="BO319" s="3">
        <f>BO282-BN282</f>
        <v>0</v>
      </c>
      <c r="BP319" s="3">
        <f>SUM(BL319:BO319)</f>
        <v>0</v>
      </c>
      <c r="BQ319" s="3">
        <f>BQ282-BP282</f>
        <v>0</v>
      </c>
      <c r="BR319" s="3">
        <f>BR282-BQ282</f>
        <v>0</v>
      </c>
      <c r="BS319" s="3">
        <f>BS282-BR282</f>
        <v>0</v>
      </c>
      <c r="BT319" s="3">
        <f>BT282-BS282</f>
        <v>0</v>
      </c>
      <c r="BU319" s="3">
        <f>SUM(BQ319:BT319)</f>
        <v>0</v>
      </c>
      <c r="BV319" s="3">
        <f>BV282-BU282</f>
        <v>0</v>
      </c>
      <c r="BW319" s="3">
        <f>BW282-BV282</f>
        <v>0</v>
      </c>
      <c r="BX319" s="3">
        <f>BX282-BW282</f>
        <v>0</v>
      </c>
      <c r="BY319" s="3">
        <f>BY282-BX282</f>
        <v>0</v>
      </c>
      <c r="BZ319" s="3">
        <f>SUM(BV319:BY319)</f>
        <v>0</v>
      </c>
      <c r="CA319" s="3">
        <f>CA282-BZ282</f>
        <v>0</v>
      </c>
      <c r="CB319" s="3">
        <f>CB282-CA282</f>
        <v>0</v>
      </c>
      <c r="CC319" s="3">
        <f>CC282-CB282</f>
        <v>0</v>
      </c>
      <c r="CD319" s="3">
        <f>CD282-CC282</f>
        <v>0</v>
      </c>
      <c r="CE319" s="3">
        <f>SUM(CA319:CD319)</f>
        <v>0</v>
      </c>
      <c r="CF319" s="3">
        <f>CF282-CE282</f>
        <v>0</v>
      </c>
      <c r="CG319" s="3">
        <f>CG282-CF282</f>
        <v>0</v>
      </c>
      <c r="CH319" s="3">
        <f>CH282-CG282</f>
        <v>0</v>
      </c>
      <c r="CI319" s="3">
        <f>CI282-CH282</f>
        <v>0</v>
      </c>
      <c r="CJ319" s="3">
        <f>SUM(CF319:CI319)</f>
        <v>0</v>
      </c>
      <c r="CK319" s="3">
        <f>CK282-CJ282</f>
        <v>0</v>
      </c>
      <c r="CL319" s="3">
        <f>CL282-CK282</f>
        <v>0</v>
      </c>
      <c r="CM319" s="3">
        <f>CM282-CL282</f>
        <v>0</v>
      </c>
      <c r="CN319" s="3">
        <f>CN282-CM282</f>
        <v>0</v>
      </c>
      <c r="CO319" s="3">
        <f>SUM(CK319:CN319)</f>
        <v>0</v>
      </c>
      <c r="CP319" s="3">
        <f>CP282-CO282</f>
        <v>0</v>
      </c>
      <c r="CQ319" s="3">
        <f>CQ282-CP282</f>
        <v>0</v>
      </c>
      <c r="CR319" s="3">
        <f>CR282-CQ282</f>
        <v>0</v>
      </c>
      <c r="CS319" s="3">
        <f>CS282-CR282</f>
        <v>0</v>
      </c>
      <c r="CT319" s="3">
        <f>SUM(CP319:CS319)</f>
        <v>0</v>
      </c>
      <c r="CU319" s="3">
        <f>CU282-CT282</f>
        <v>0</v>
      </c>
      <c r="CV319" s="3">
        <f>CV282-CU282</f>
        <v>0</v>
      </c>
      <c r="CW319" s="3">
        <f>CW282-CV282</f>
        <v>0</v>
      </c>
      <c r="CX319" s="3">
        <f>CX282-CW282</f>
        <v>0</v>
      </c>
      <c r="CY319" s="3">
        <f>SUM(CU319:CX319)</f>
        <v>0</v>
      </c>
    </row>
    <row r="320">
      <c r="C320" s="26" t="inlineStr">
        <is>
          <t>Other equity account</t>
        </is>
      </c>
      <c r="D320" s="3" t="n"/>
      <c r="E320" s="3">
        <f>E283-D283</f>
        <v>0</v>
      </c>
      <c r="F320" s="3">
        <f>F283-E283</f>
        <v>0</v>
      </c>
      <c r="G320" s="3">
        <f>G283-F283</f>
        <v>0</v>
      </c>
      <c r="H320" s="3">
        <f>SUM(D320:G320)</f>
        <v>0</v>
      </c>
      <c r="I320" s="3">
        <f>I283-H283</f>
        <v>0</v>
      </c>
      <c r="J320" s="3">
        <f>J283-I283</f>
        <v>0</v>
      </c>
      <c r="K320" s="3">
        <f>K283-J283</f>
        <v>0</v>
      </c>
      <c r="L320" s="3">
        <f>L283-K283</f>
        <v>0</v>
      </c>
      <c r="M320" s="3">
        <f>SUM(I320:L320)</f>
        <v>0</v>
      </c>
      <c r="N320" s="3">
        <f>N283-M283</f>
        <v>0</v>
      </c>
      <c r="O320" s="3">
        <f>O283-N283</f>
        <v>0</v>
      </c>
      <c r="P320" s="3">
        <f>P283-O283</f>
        <v>0</v>
      </c>
      <c r="Q320" s="3">
        <f>Q283-P283</f>
        <v>0</v>
      </c>
      <c r="R320" s="3">
        <f>SUM(N320:Q320)</f>
        <v>0</v>
      </c>
      <c r="S320" s="3">
        <f>S283-R283</f>
        <v>0</v>
      </c>
      <c r="T320" s="3">
        <f>T283-S283</f>
        <v>0</v>
      </c>
      <c r="U320" s="3">
        <f>U283-T283</f>
        <v>0</v>
      </c>
      <c r="V320" s="3">
        <f>V283-U283</f>
        <v>0</v>
      </c>
      <c r="W320" s="3">
        <f>SUM(S320:V320)</f>
        <v>0</v>
      </c>
      <c r="X320" s="3">
        <f>X283-W283</f>
        <v>0</v>
      </c>
      <c r="Y320" s="3">
        <f>Y283-X283</f>
        <v>0</v>
      </c>
      <c r="Z320" s="3">
        <f>Z283-Y283</f>
        <v>0</v>
      </c>
      <c r="AA320" s="3">
        <f>AA283-Z283</f>
        <v>0</v>
      </c>
      <c r="AB320" s="3">
        <f>SUM(X320:AA320)</f>
        <v>0</v>
      </c>
      <c r="AC320" s="3">
        <f>AC283-AB283</f>
        <v>0</v>
      </c>
      <c r="AD320" s="3">
        <f>AD283-AC283</f>
        <v>0</v>
      </c>
      <c r="AE320" s="3">
        <f>AE283-AD283</f>
        <v>0</v>
      </c>
      <c r="AF320" s="3">
        <f>AF283-AE283</f>
        <v>0</v>
      </c>
      <c r="AG320" s="3">
        <f>SUM(AC320:AF320)</f>
        <v>0</v>
      </c>
      <c r="AH320" s="3">
        <f>AH283-AG283</f>
        <v>0</v>
      </c>
      <c r="AI320" s="3">
        <f>AI283-AH283</f>
        <v>0</v>
      </c>
      <c r="AJ320" s="3">
        <f>AJ283-AI283</f>
        <v>0</v>
      </c>
      <c r="AK320" s="3">
        <f>AK283-AJ283</f>
        <v>0</v>
      </c>
      <c r="AL320" s="3">
        <f>SUM(AH320:AK320)</f>
        <v>0</v>
      </c>
      <c r="AM320" s="3">
        <f>AM283-AL283</f>
        <v>0</v>
      </c>
      <c r="AN320" s="3">
        <f>AN283-AM283</f>
        <v>0</v>
      </c>
      <c r="AO320" s="3">
        <f>AO283-AN283</f>
        <v>0</v>
      </c>
      <c r="AP320" s="3">
        <f>AP283-AO283</f>
        <v>0</v>
      </c>
      <c r="AQ320" s="3">
        <f>SUM(AM320:AP320)</f>
        <v>0</v>
      </c>
      <c r="AR320" s="3">
        <f>AR283-AQ283</f>
        <v>0</v>
      </c>
      <c r="AS320" s="3">
        <f>AS283-AR283</f>
        <v>0</v>
      </c>
      <c r="AT320" s="3">
        <f>AT283-AS283</f>
        <v>0</v>
      </c>
      <c r="AU320" s="3">
        <f>AU283-AT283</f>
        <v>0</v>
      </c>
      <c r="AV320" s="3">
        <f>SUM(AR320:AU320)</f>
        <v>0</v>
      </c>
      <c r="AW320" s="3">
        <f>AW283-AV283</f>
        <v>0</v>
      </c>
      <c r="AX320" s="3">
        <f>AX283-AW283</f>
        <v>0</v>
      </c>
      <c r="AY320" s="3">
        <f>AY283-AX283</f>
        <v>0</v>
      </c>
      <c r="AZ320" s="3">
        <f>AZ283-AY283</f>
        <v>0</v>
      </c>
      <c r="BA320" s="3">
        <f>SUM(AW320:AZ320)</f>
        <v>0</v>
      </c>
      <c r="BB320" s="3">
        <f>BB283-BA283</f>
        <v>0</v>
      </c>
      <c r="BC320" s="3">
        <f>BC283-BB283</f>
        <v>0</v>
      </c>
      <c r="BD320" s="3">
        <f>BD283-BC283</f>
        <v>0</v>
      </c>
      <c r="BE320" s="3">
        <f>BE283-BD283</f>
        <v>0</v>
      </c>
      <c r="BF320" s="3">
        <f>SUM(BB320:BE320)</f>
        <v>0</v>
      </c>
      <c r="BG320" s="3">
        <f>BG283-BF283</f>
        <v>0</v>
      </c>
      <c r="BH320" s="3">
        <f>BH283-BG283</f>
        <v>0</v>
      </c>
      <c r="BI320" s="3">
        <f>BI283-BH283</f>
        <v>0</v>
      </c>
      <c r="BJ320" s="3">
        <f>BJ283-BI283</f>
        <v>0</v>
      </c>
      <c r="BK320" s="3">
        <f>SUM(BG320:BJ320)</f>
        <v>0</v>
      </c>
      <c r="BL320" s="3">
        <f>BL283-BK283</f>
        <v>0</v>
      </c>
      <c r="BM320" s="3">
        <f>BM283-BL283</f>
        <v>0</v>
      </c>
      <c r="BN320" s="3">
        <f>BN283-BM283</f>
        <v>0</v>
      </c>
      <c r="BO320" s="3">
        <f>BO283-BN283</f>
        <v>0</v>
      </c>
      <c r="BP320" s="3">
        <f>SUM(BL320:BO320)</f>
        <v>0</v>
      </c>
      <c r="BQ320" s="3">
        <f>BQ283-BP283</f>
        <v>0</v>
      </c>
      <c r="BR320" s="3">
        <f>BR283-BQ283</f>
        <v>0</v>
      </c>
      <c r="BS320" s="3">
        <f>BS283-BR283</f>
        <v>0</v>
      </c>
      <c r="BT320" s="3">
        <f>BT283-BS283</f>
        <v>0</v>
      </c>
      <c r="BU320" s="3">
        <f>SUM(BQ320:BT320)</f>
        <v>0</v>
      </c>
      <c r="BV320" s="3">
        <f>BV283-BU283</f>
        <v>0</v>
      </c>
      <c r="BW320" s="3">
        <f>BW283-BV283</f>
        <v>0</v>
      </c>
      <c r="BX320" s="3">
        <f>BX283-BW283</f>
        <v>0</v>
      </c>
      <c r="BY320" s="3">
        <f>BY283-BX283</f>
        <v>0</v>
      </c>
      <c r="BZ320" s="3">
        <f>SUM(BV320:BY320)</f>
        <v>0</v>
      </c>
      <c r="CA320" s="3">
        <f>CA283-BZ283</f>
        <v>0</v>
      </c>
      <c r="CB320" s="3">
        <f>CB283-CA283</f>
        <v>0</v>
      </c>
      <c r="CC320" s="3">
        <f>CC283-CB283</f>
        <v>0</v>
      </c>
      <c r="CD320" s="3">
        <f>CD283-CC283</f>
        <v>0</v>
      </c>
      <c r="CE320" s="3">
        <f>SUM(CA320:CD320)</f>
        <v>0</v>
      </c>
      <c r="CF320" s="3">
        <f>CF283-CE283</f>
        <v>0</v>
      </c>
      <c r="CG320" s="3">
        <f>CG283-CF283</f>
        <v>0</v>
      </c>
      <c r="CH320" s="3">
        <f>CH283-CG283</f>
        <v>0</v>
      </c>
      <c r="CI320" s="3">
        <f>CI283-CH283</f>
        <v>0</v>
      </c>
      <c r="CJ320" s="3">
        <f>SUM(CF320:CI320)</f>
        <v>0</v>
      </c>
      <c r="CK320" s="3">
        <f>CK283-CJ283</f>
        <v>0</v>
      </c>
      <c r="CL320" s="3">
        <f>CL283-CK283</f>
        <v>0</v>
      </c>
      <c r="CM320" s="3">
        <f>CM283-CL283</f>
        <v>0</v>
      </c>
      <c r="CN320" s="3">
        <f>CN283-CM283</f>
        <v>0</v>
      </c>
      <c r="CO320" s="3">
        <f>SUM(CK320:CN320)</f>
        <v>0</v>
      </c>
      <c r="CP320" s="3">
        <f>CP283-CO283</f>
        <v>0</v>
      </c>
      <c r="CQ320" s="3">
        <f>CQ283-CP283</f>
        <v>0</v>
      </c>
      <c r="CR320" s="3">
        <f>CR283-CQ283</f>
        <v>0</v>
      </c>
      <c r="CS320" s="3">
        <f>CS283-CR283</f>
        <v>0</v>
      </c>
      <c r="CT320" s="3">
        <f>SUM(CP320:CS320)</f>
        <v>0</v>
      </c>
      <c r="CU320" s="3">
        <f>CU283-CT283</f>
        <v>0</v>
      </c>
      <c r="CV320" s="3">
        <f>CV283-CU283</f>
        <v>0</v>
      </c>
      <c r="CW320" s="3">
        <f>CW283-CV283</f>
        <v>0</v>
      </c>
      <c r="CX320" s="3">
        <f>CX283-CW283</f>
        <v>0</v>
      </c>
      <c r="CY320" s="3">
        <f>SUM(CU320:CX320)</f>
        <v>0</v>
      </c>
    </row>
    <row r="321">
      <c r="C321" s="29" t="inlineStr">
        <is>
          <t>Common and preferred dividends</t>
        </is>
      </c>
      <c r="D321" s="3" t="n"/>
      <c r="E321" s="3">
        <f>(E284-D284)-E291</f>
        <v>-30</v>
      </c>
      <c r="F321" s="3">
        <f>(F284-E284)-F291</f>
        <v>-0.979000000000056</v>
      </c>
      <c r="G321" s="3">
        <f>(G284-F284)-G291</f>
        <v>-38.191</v>
      </c>
      <c r="H321" s="3">
        <f>SUM(D321:G321)</f>
        <v>-69.1700000000001</v>
      </c>
      <c r="I321" s="3">
        <f>(I284-H284)-I291</f>
        <v>0</v>
      </c>
      <c r="J321" s="3">
        <f>(J284-I284)-J291</f>
        <v>-76.807</v>
      </c>
      <c r="K321" s="3">
        <f>(K284-J284)-K291</f>
        <v>0.00688523752413062</v>
      </c>
      <c r="L321" s="3">
        <f>(L284-K284)-L291</f>
        <v>-121.191</v>
      </c>
      <c r="M321" s="3">
        <f>SUM(I321:L321)</f>
        <v>-197.991114762476</v>
      </c>
      <c r="N321" s="3">
        <f>(N284-M284)-N291</f>
        <v>0</v>
      </c>
      <c r="O321" s="3">
        <f>(O284-N284)-O291</f>
        <v>-78.8090000000001</v>
      </c>
      <c r="P321" s="3">
        <f>(P284-O284)-P291</f>
        <v>0</v>
      </c>
      <c r="Q321" s="3">
        <f>(Q284-P284)-Q291</f>
        <v>-78.3480000000001</v>
      </c>
      <c r="R321" s="3">
        <f>SUM(N321:Q321)</f>
        <v>-157.157</v>
      </c>
      <c r="S321" s="3">
        <f>(S284-R284)-S291</f>
        <v>0</v>
      </c>
      <c r="T321" s="3">
        <f>(T284-S284)-T291</f>
        <v>0</v>
      </c>
      <c r="U321" s="3">
        <f>(U284-T284)-U291</f>
        <v>-150</v>
      </c>
      <c r="V321" s="3">
        <f>(V284-U284)-V291</f>
        <v>-218.537</v>
      </c>
      <c r="W321" s="3">
        <f>SUM(S321:V321)</f>
        <v>-368.537</v>
      </c>
      <c r="X321" s="3">
        <f>(X284-W284)-X291</f>
        <v>0</v>
      </c>
      <c r="Y321" s="3">
        <f>(Y284-X284)-Y291</f>
        <v>-265.00026339</v>
      </c>
      <c r="Z321" s="3">
        <f>(Z284-Y284)-Z291</f>
        <v>0.00100000000000477</v>
      </c>
      <c r="AA321" s="3">
        <f>(AA284-Z284)-AA291</f>
        <v>-354.338</v>
      </c>
      <c r="AB321" s="3">
        <f>SUM(X321:AA321)</f>
        <v>-619.33726339</v>
      </c>
      <c r="AC321" s="3">
        <f>(AC284-AB284)-AC291</f>
        <v>-175</v>
      </c>
      <c r="AD321" s="3">
        <f>(AD284-AC284)-AD291</f>
        <v>-99.99994176</v>
      </c>
      <c r="AE321" s="3">
        <f>(AE284-AD284)-AE291</f>
        <v>-200</v>
      </c>
      <c r="AF321" s="3">
        <f>(AF284-AE284)-AF291</f>
        <v>-823</v>
      </c>
      <c r="AG321" s="3">
        <f>SUM(AC321:AF321)</f>
        <v>-1297.99994176</v>
      </c>
      <c r="AH321" s="3">
        <f>(AH284-AG284)-AH291</f>
        <v>-140</v>
      </c>
      <c r="AI321" s="3">
        <f>(AI284-AH284)-AI291</f>
        <v>-160</v>
      </c>
      <c r="AJ321" s="3">
        <f>(AJ284-AI284)-AJ291</f>
        <v>0</v>
      </c>
      <c r="AK321" s="3">
        <f>(AK284-AJ284)-AK291</f>
        <v>0</v>
      </c>
      <c r="AL321" s="3">
        <f>SUM(AH321:AK321)</f>
        <v>-300</v>
      </c>
      <c r="AM321" s="3">
        <f>(AM284-AL284)-AM291</f>
        <v>-2.48689957516035e-14</v>
      </c>
      <c r="AN321" s="3">
        <f>(AN284-AM284)-AN291</f>
        <v>0</v>
      </c>
      <c r="AO321" s="3">
        <f>(AO284-AN284)-AO291</f>
        <v>0</v>
      </c>
      <c r="AP321" s="3">
        <f>(AP284-AO284)-AP291</f>
        <v>0</v>
      </c>
      <c r="AQ321" s="3">
        <f>SUM(AM321:AP321)</f>
        <v>-2.48689957516035e-14</v>
      </c>
      <c r="AR321" s="3">
        <f>(AR284-AQ284)-AR291</f>
        <v>0</v>
      </c>
      <c r="AS321" s="3">
        <f>(AS284-AR284)-AS291</f>
        <v>0</v>
      </c>
      <c r="AT321" s="3">
        <f>(AT284-AS284)-AT291</f>
        <v>0</v>
      </c>
      <c r="AU321" s="3">
        <f>(AU284-AT284)-AU291</f>
        <v>0</v>
      </c>
      <c r="AV321" s="3">
        <f>SUM(AR321:AU321)</f>
        <v>0</v>
      </c>
      <c r="AW321" s="3">
        <f>(AW284-AV284)-AW291</f>
        <v>0</v>
      </c>
      <c r="AX321" s="3">
        <f>(AX284-AW284)-AX291</f>
        <v>0</v>
      </c>
      <c r="AY321" s="3">
        <f>(AY284-AX284)-AY291</f>
        <v>0</v>
      </c>
      <c r="AZ321" s="3">
        <f>(AZ284-AY284)-AZ291</f>
        <v>0</v>
      </c>
      <c r="BA321" s="3">
        <f>SUM(AW321:AZ321)</f>
        <v>0</v>
      </c>
      <c r="BB321" s="3">
        <f>(BB284-BA284)-BB291</f>
        <v>0</v>
      </c>
      <c r="BC321" s="3">
        <f>(BC284-BB284)-BC291</f>
        <v>0</v>
      </c>
      <c r="BD321" s="3">
        <f>(BD284-BC284)-BD291</f>
        <v>0</v>
      </c>
      <c r="BE321" s="3">
        <f>(BE284-BD284)-BE291</f>
        <v>0</v>
      </c>
      <c r="BF321" s="3">
        <f>SUM(BB321:BE321)</f>
        <v>0</v>
      </c>
      <c r="BG321" s="3">
        <f>(BG284-BF284)-BG291</f>
        <v>0</v>
      </c>
      <c r="BH321" s="3">
        <f>(BH284-BG284)-BH291</f>
        <v>0</v>
      </c>
      <c r="BI321" s="3">
        <f>(BI284-BH284)-BI291</f>
        <v>0</v>
      </c>
      <c r="BJ321" s="3">
        <f>(BJ284-BI284)-BJ291</f>
        <v>0</v>
      </c>
      <c r="BK321" s="3">
        <f>SUM(BG321:BJ321)</f>
        <v>0</v>
      </c>
      <c r="BL321" s="3">
        <f>(BL284-BK284)-BL291</f>
        <v>0</v>
      </c>
      <c r="BM321" s="3">
        <f>(BM284-BL284)-BM291</f>
        <v>0</v>
      </c>
      <c r="BN321" s="3">
        <f>(BN284-BM284)-BN291</f>
        <v>0</v>
      </c>
      <c r="BO321" s="3">
        <f>(BO284-BN284)-BO291</f>
        <v>0</v>
      </c>
      <c r="BP321" s="3">
        <f>SUM(BL321:BO321)</f>
        <v>0</v>
      </c>
      <c r="BQ321" s="3">
        <f>(BQ284-BP284)-BQ291</f>
        <v>0</v>
      </c>
      <c r="BR321" s="3">
        <f>(BR284-BQ284)-BR291</f>
        <v>0</v>
      </c>
      <c r="BS321" s="3">
        <f>(BS284-BR284)-BS291</f>
        <v>0</v>
      </c>
      <c r="BT321" s="3">
        <f>(BT284-BS284)-BT291</f>
        <v>0</v>
      </c>
      <c r="BU321" s="3">
        <f>SUM(BQ321:BT321)</f>
        <v>0</v>
      </c>
      <c r="BV321" s="3">
        <f>(BV284-BU284)-BV291</f>
        <v>0</v>
      </c>
      <c r="BW321" s="3">
        <f>(BW284-BV284)-BW291</f>
        <v>0</v>
      </c>
      <c r="BX321" s="3">
        <f>(BX284-BW284)-BX291</f>
        <v>0</v>
      </c>
      <c r="BY321" s="3">
        <f>(BY284-BX284)-BY291</f>
        <v>0</v>
      </c>
      <c r="BZ321" s="3">
        <f>SUM(BV321:BY321)</f>
        <v>0</v>
      </c>
      <c r="CA321" s="3">
        <f>(CA284-BZ284)-CA291</f>
        <v>0</v>
      </c>
      <c r="CB321" s="3">
        <f>(CB284-CA284)-CB291</f>
        <v>0</v>
      </c>
      <c r="CC321" s="3">
        <f>(CC284-CB284)-CC291</f>
        <v>0</v>
      </c>
      <c r="CD321" s="3">
        <f>(CD284-CC284)-CD291</f>
        <v>0</v>
      </c>
      <c r="CE321" s="3">
        <f>SUM(CA321:CD321)</f>
        <v>0</v>
      </c>
      <c r="CF321" s="3">
        <f>(CF284-CE284)-CF291</f>
        <v>0</v>
      </c>
      <c r="CG321" s="3">
        <f>(CG284-CF284)-CG291</f>
        <v>0</v>
      </c>
      <c r="CH321" s="3">
        <f>(CH284-CG284)-CH291</f>
        <v>0</v>
      </c>
      <c r="CI321" s="3">
        <f>(CI284-CH284)-CI291</f>
        <v>0</v>
      </c>
      <c r="CJ321" s="3">
        <f>SUM(CF321:CI321)</f>
        <v>0</v>
      </c>
      <c r="CK321" s="3">
        <f>(CK284-CJ284)-CK291</f>
        <v>0</v>
      </c>
      <c r="CL321" s="3">
        <f>(CL284-CK284)-CL291</f>
        <v>0</v>
      </c>
      <c r="CM321" s="3">
        <f>(CM284-CL284)-CM291</f>
        <v>0</v>
      </c>
      <c r="CN321" s="3">
        <f>(CN284-CM284)-CN291</f>
        <v>0</v>
      </c>
      <c r="CO321" s="3">
        <f>SUM(CK321:CN321)</f>
        <v>0</v>
      </c>
      <c r="CP321" s="3">
        <f>(CP284-CO284)-CP291</f>
        <v>0</v>
      </c>
      <c r="CQ321" s="3">
        <f>(CQ284-CP284)-CQ291</f>
        <v>0</v>
      </c>
      <c r="CR321" s="3">
        <f>(CR284-CQ284)-CR291</f>
        <v>0</v>
      </c>
      <c r="CS321" s="3">
        <f>(CS284-CR284)-CS291</f>
        <v>0</v>
      </c>
      <c r="CT321" s="3">
        <f>SUM(CP321:CS321)</f>
        <v>0</v>
      </c>
      <c r="CU321" s="3">
        <f>(CU284-CT284)-CU291</f>
        <v>0</v>
      </c>
      <c r="CV321" s="3">
        <f>(CV284-CU284)-CV291</f>
        <v>0</v>
      </c>
      <c r="CW321" s="3">
        <f>(CW284-CV284)-CW291</f>
        <v>0</v>
      </c>
      <c r="CX321" s="3">
        <f>(CX284-CW284)-CX291</f>
        <v>0</v>
      </c>
      <c r="CY321" s="3">
        <f>SUM(CU321:CX321)</f>
        <v>0</v>
      </c>
    </row>
    <row r="322">
      <c r="C322" s="26" t="inlineStr">
        <is>
          <t>Dividends to minority interests</t>
        </is>
      </c>
      <c r="D322" s="3" t="n"/>
      <c r="E322" s="3">
        <f>(E262-D262)+E150</f>
        <v>3.13500000000002</v>
      </c>
      <c r="F322" s="3">
        <f>(F262-E262)+F150</f>
        <v>-1.593</v>
      </c>
      <c r="G322" s="3">
        <f>(G262-F262)+G150</f>
        <v>-24.397</v>
      </c>
      <c r="H322" s="3">
        <f>SUM(D322:G322)</f>
        <v>-22.855</v>
      </c>
      <c r="I322" s="3">
        <f>(I262-H262)+I150</f>
        <v>-0.739999999999992</v>
      </c>
      <c r="J322" s="3">
        <f>(J262-I262)+J150</f>
        <v>-2.474</v>
      </c>
      <c r="K322" s="3">
        <f>(K262-J262)+K150</f>
        <v>-8.83972588752409</v>
      </c>
      <c r="L322" s="3">
        <f>(L262-K262)+L150</f>
        <v>-9.195</v>
      </c>
      <c r="M322" s="3">
        <f>SUM(I322:L322)</f>
        <v>-21.2487258875241</v>
      </c>
      <c r="N322" s="3">
        <f>(N262-M262)+N150</f>
        <v>-4.64299999999999</v>
      </c>
      <c r="O322" s="3">
        <f>(O262-N262)+O150</f>
        <v>-2.83099999999998</v>
      </c>
      <c r="P322" s="3">
        <f>(P262-O262)+P150</f>
        <v>-18.784</v>
      </c>
      <c r="Q322" s="3">
        <f>(Q262-P262)+Q150</f>
        <v>-13.516</v>
      </c>
      <c r="R322" s="3">
        <f>SUM(N322:Q322)</f>
        <v>-39.774</v>
      </c>
      <c r="S322" s="3">
        <f>(S262-R262)+S150</f>
        <v>-2.15099999999999</v>
      </c>
      <c r="T322" s="3">
        <f>(T262-S262)+T150</f>
        <v>8.76399999999999</v>
      </c>
      <c r="U322" s="3">
        <f>(U262-T262)+U150</f>
        <v>-9.21399999999998</v>
      </c>
      <c r="V322" s="3">
        <f>(V262-U262)+V150</f>
        <v>-5.241</v>
      </c>
      <c r="W322" s="3">
        <f>SUM(S322:V322)</f>
        <v>-7.84199999999998</v>
      </c>
      <c r="X322" s="3">
        <f>(X262-W262)+X150</f>
        <v>7.39199999999998</v>
      </c>
      <c r="Y322" s="3">
        <f>(Y262-X262)+Y150</f>
        <v>-15.754</v>
      </c>
      <c r="Z322" s="3">
        <f>(Z262-Y262)+Z150</f>
        <v>-0.238000000000003</v>
      </c>
      <c r="AA322" s="3">
        <f>(AA262-Z262)+AA150</f>
        <v>41.685</v>
      </c>
      <c r="AB322" s="3">
        <f>SUM(X322:AA322)</f>
        <v>33.085</v>
      </c>
      <c r="AC322" s="3">
        <f>(AC262-AB262)+AC150</f>
        <v>-6.719</v>
      </c>
      <c r="AD322" s="3">
        <f>(AD262-AC262)+AD150</f>
        <v>-9.63940000000002</v>
      </c>
      <c r="AE322" s="3">
        <f>(AE262-AD262)+AE150</f>
        <v>-19.375</v>
      </c>
      <c r="AF322" s="3">
        <f>(AF262-AE262)+AF150</f>
        <v>-3.672</v>
      </c>
      <c r="AG322" s="3">
        <f>SUM(AC322:AF322)</f>
        <v>-39.4054</v>
      </c>
      <c r="AH322" s="3">
        <f>(AH262-AG262)+AH150</f>
        <v>18.73</v>
      </c>
      <c r="AI322" s="3">
        <f>(AI262-AH262)+AI150</f>
        <v>5.68000000000001</v>
      </c>
      <c r="AJ322" s="3">
        <f>(AJ262-AI262)+AJ150</f>
        <v>0</v>
      </c>
      <c r="AK322" s="3">
        <f>(AK262-AJ262)+AK150</f>
        <v>0</v>
      </c>
      <c r="AL322" s="3">
        <f>SUM(AH322:AK322)</f>
        <v>24.41</v>
      </c>
      <c r="AM322" s="3">
        <f>(AM262-AL262)+AM150</f>
        <v>0</v>
      </c>
      <c r="AN322" s="3">
        <f>(AN262-AM262)+AN150</f>
        <v>0</v>
      </c>
      <c r="AO322" s="3">
        <f>(AO262-AN262)+AO150</f>
        <v>0</v>
      </c>
      <c r="AP322" s="3">
        <f>(AP262-AO262)+AP150</f>
        <v>0</v>
      </c>
      <c r="AQ322" s="3">
        <f>SUM(AM322:AP322)</f>
        <v>0</v>
      </c>
      <c r="AR322" s="3">
        <f>(AR262-AQ262)+AR150</f>
        <v>0</v>
      </c>
      <c r="AS322" s="3">
        <f>(AS262-AR262)+AS150</f>
        <v>0</v>
      </c>
      <c r="AT322" s="3">
        <f>(AT262-AS262)+AT150</f>
        <v>0</v>
      </c>
      <c r="AU322" s="3">
        <f>(AU262-AT262)+AU150</f>
        <v>0</v>
      </c>
      <c r="AV322" s="3">
        <f>SUM(AR322:AU322)</f>
        <v>0</v>
      </c>
      <c r="AW322" s="3">
        <f>(AW262-AV262)+AW150</f>
        <v>0</v>
      </c>
      <c r="AX322" s="3">
        <f>(AX262-AW262)+AX150</f>
        <v>0</v>
      </c>
      <c r="AY322" s="3">
        <f>(AY262-AX262)+AY150</f>
        <v>0</v>
      </c>
      <c r="AZ322" s="3">
        <f>(AZ262-AY262)+AZ150</f>
        <v>0</v>
      </c>
      <c r="BA322" s="3">
        <f>SUM(AW322:AZ322)</f>
        <v>0</v>
      </c>
      <c r="BB322" s="3">
        <f>(BB262-BA262)+BB150</f>
        <v>0</v>
      </c>
      <c r="BC322" s="3">
        <f>(BC262-BB262)+BC150</f>
        <v>0</v>
      </c>
      <c r="BD322" s="3">
        <f>(BD262-BC262)+BD150</f>
        <v>0</v>
      </c>
      <c r="BE322" s="3">
        <f>(BE262-BD262)+BE150</f>
        <v>0</v>
      </c>
      <c r="BF322" s="3">
        <f>SUM(BB322:BE322)</f>
        <v>0</v>
      </c>
      <c r="BG322" s="3">
        <f>(BG262-BF262)+BG150</f>
        <v>0</v>
      </c>
      <c r="BH322" s="3">
        <f>(BH262-BG262)+BH150</f>
        <v>0</v>
      </c>
      <c r="BI322" s="3">
        <f>(BI262-BH262)+BI150</f>
        <v>1.06581410364015e-13</v>
      </c>
      <c r="BJ322" s="3">
        <f>(BJ262-BI262)+BJ150</f>
        <v>0</v>
      </c>
      <c r="BK322" s="3">
        <f>SUM(BG322:BJ322)</f>
        <v>1.06581410364015e-13</v>
      </c>
      <c r="BL322" s="3">
        <f>(BL262-BK262)+BL150</f>
        <v>0</v>
      </c>
      <c r="BM322" s="3">
        <f>(BM262-BL262)+BM150</f>
        <v>0</v>
      </c>
      <c r="BN322" s="3">
        <f>(BN262-BM262)+BN150</f>
        <v>1.06581410364015e-13</v>
      </c>
      <c r="BO322" s="3">
        <f>(BO262-BN262)+BO150</f>
        <v>0</v>
      </c>
      <c r="BP322" s="3">
        <f>SUM(BL322:BO322)</f>
        <v>1.06581410364015e-13</v>
      </c>
      <c r="BQ322" s="3">
        <f>(BQ262-BP262)+BQ150</f>
        <v>0</v>
      </c>
      <c r="BR322" s="3">
        <f>(BR262-BQ262)+BR150</f>
        <v>0</v>
      </c>
      <c r="BS322" s="3">
        <f>(BS262-BR262)+BS150</f>
        <v>1.06581410364015e-13</v>
      </c>
      <c r="BT322" s="3">
        <f>(BT262-BS262)+BT150</f>
        <v>0</v>
      </c>
      <c r="BU322" s="3">
        <f>SUM(BQ322:BT322)</f>
        <v>1.06581410364015e-13</v>
      </c>
      <c r="BV322" s="3">
        <f>(BV262-BU262)+BV150</f>
        <v>0</v>
      </c>
      <c r="BW322" s="3">
        <f>(BW262-BV262)+BW150</f>
        <v>0</v>
      </c>
      <c r="BX322" s="3">
        <f>(BX262-BW262)+BX150</f>
        <v>1.06581410364015e-13</v>
      </c>
      <c r="BY322" s="3">
        <f>(BY262-BX262)+BY150</f>
        <v>0</v>
      </c>
      <c r="BZ322" s="3">
        <f>SUM(BV322:BY322)</f>
        <v>1.06581410364015e-13</v>
      </c>
      <c r="CA322" s="3">
        <f>(CA262-BZ262)+CA150</f>
        <v>0</v>
      </c>
      <c r="CB322" s="3">
        <f>(CB262-CA262)+CB150</f>
        <v>0</v>
      </c>
      <c r="CC322" s="3">
        <f>(CC262-CB262)+CC150</f>
        <v>1.06581410364015e-13</v>
      </c>
      <c r="CD322" s="3">
        <f>(CD262-CC262)+CD150</f>
        <v>0</v>
      </c>
      <c r="CE322" s="3">
        <f>SUM(CA322:CD322)</f>
        <v>1.06581410364015e-13</v>
      </c>
      <c r="CF322" s="3">
        <f>(CF262-CE262)+CF150</f>
        <v>0</v>
      </c>
      <c r="CG322" s="3">
        <f>(CG262-CF262)+CG150</f>
        <v>0</v>
      </c>
      <c r="CH322" s="3">
        <f>(CH262-CG262)+CH150</f>
        <v>1.06581410364015e-13</v>
      </c>
      <c r="CI322" s="3">
        <f>(CI262-CH262)+CI150</f>
        <v>0</v>
      </c>
      <c r="CJ322" s="3">
        <f>SUM(CF322:CI322)</f>
        <v>1.06581410364015e-13</v>
      </c>
      <c r="CK322" s="3">
        <f>(CK262-CJ262)+CK150</f>
        <v>0</v>
      </c>
      <c r="CL322" s="3">
        <f>(CL262-CK262)+CL150</f>
        <v>0</v>
      </c>
      <c r="CM322" s="3">
        <f>(CM262-CL262)+CM150</f>
        <v>1.06581410364015e-13</v>
      </c>
      <c r="CN322" s="3">
        <f>(CN262-CM262)+CN150</f>
        <v>0</v>
      </c>
      <c r="CO322" s="3">
        <f>SUM(CK322:CN322)</f>
        <v>1.06581410364015e-13</v>
      </c>
      <c r="CP322" s="3">
        <f>(CP262-CO262)+CP150</f>
        <v>1.84741111297626e-13</v>
      </c>
      <c r="CQ322" s="3">
        <f>(CQ262-CP262)+CQ150</f>
        <v>-2.20268248085631e-13</v>
      </c>
      <c r="CR322" s="3">
        <f>(CR262-CQ262)+CR150</f>
        <v>-1.20792265079217e-13</v>
      </c>
      <c r="CS322" s="3">
        <f>(CS262-CR262)+CS150</f>
        <v>0</v>
      </c>
      <c r="CT322" s="3">
        <f>SUM(CP322:CS322)</f>
        <v>-1.56319401867222e-13</v>
      </c>
      <c r="CU322" s="3">
        <f>(CU262-CT262)+CU150</f>
        <v>0</v>
      </c>
      <c r="CV322" s="3">
        <f>(CV262-CU262)+CV150</f>
        <v>-2.20268248085631e-13</v>
      </c>
      <c r="CW322" s="3">
        <f>(CW262-CV262)+CW150</f>
        <v>-1.20792265079217e-13</v>
      </c>
      <c r="CX322" s="3">
        <f>(CX262-CW262)+CX150</f>
        <v>0</v>
      </c>
      <c r="CY322" s="3">
        <f>SUM(CU322:CX322)</f>
        <v>-3.41060513164848e-13</v>
      </c>
    </row>
    <row r="323">
      <c r="C323" s="28" t="inlineStr">
        <is>
          <t>Increases / (decreases) in debt</t>
        </is>
      </c>
      <c r="D323" s="3" t="n"/>
      <c r="E323" s="3">
        <f>SUM(E226:E228,E231,E252,E249)-SUM(D226:D228,D231,D252,D249)</f>
        <v>40.465</v>
      </c>
      <c r="F323" s="3">
        <f>SUM(F226:F228,F231,F252,F249)-SUM(E226:E228,E231,E252,E249)</f>
        <v>-29.604</v>
      </c>
      <c r="G323" s="3">
        <f>SUM(G226:G228,G231,G252,G249)-SUM(F226:F228,F231,F252,F249)</f>
        <v>-29.489</v>
      </c>
      <c r="H323" s="3">
        <f>SUM(D323:G323)</f>
        <v>-18.628</v>
      </c>
      <c r="I323" s="3">
        <f>SUM(I226:I228,I231,I252,I249)-SUM(H226:H228,H231,H252,H249)</f>
        <v>4.08600000000001</v>
      </c>
      <c r="J323" s="3">
        <f>SUM(J226:J228,J231,J252,J249)-SUM(I226:I228,I231,I252,I249)</f>
        <v>-10.494</v>
      </c>
      <c r="K323" s="3">
        <f>SUM(K226:K228,K231,K252,K249)-SUM(J226:J228,J231,J252,J249)</f>
        <v>119.929</v>
      </c>
      <c r="L323" s="3">
        <f>SUM(L226:L228,L231,L252,L249)-SUM(K226:K228,K231,K252,K249)</f>
        <v>1.00400000000002</v>
      </c>
      <c r="M323" s="3">
        <f>SUM(I323:L323)</f>
        <v>114.525</v>
      </c>
      <c r="N323" s="3">
        <f>SUM(N226:N228,N231,N252,N249)-SUM(M226:M228,M231,M252,M249)</f>
        <v>-0.365999999999985</v>
      </c>
      <c r="O323" s="3">
        <f>SUM(O226:O228,O231,O252,O249)-SUM(N226:N228,N231,N252,N249)</f>
        <v>8.11000000000001</v>
      </c>
      <c r="P323" s="3">
        <f>SUM(P226:P228,P231,P252,P249)-SUM(O226:O228,O231,O252,O249)</f>
        <v>57.049</v>
      </c>
      <c r="Q323" s="3">
        <f>SUM(Q226:Q228,Q231,Q252,Q249)-SUM(P226:P228,P231,P252,P249)</f>
        <v>24.967</v>
      </c>
      <c r="R323" s="3">
        <f>SUM(N323:Q323)</f>
        <v>89.76</v>
      </c>
      <c r="S323" s="3">
        <f>SUM(S226:S228,S231,S252,S249)-SUM(R226:R228,R231,R252,R249)</f>
        <v>-6.47099999999995</v>
      </c>
      <c r="T323" s="3">
        <f>SUM(T226:T228,T231,T252,T249)-SUM(S226:S228,S231,S252,S249)</f>
        <v>25.0899999999999</v>
      </c>
      <c r="U323" s="3">
        <f>SUM(U226:U228,U231,U252,U249)-SUM(T226:T228,T231,T252,T249)</f>
        <v>146.112</v>
      </c>
      <c r="V323" s="3">
        <f>SUM(V226:V228,V231,V252,V249)-SUM(U226:U228,U231,U252,U249)</f>
        <v>-32.3670000000001</v>
      </c>
      <c r="W323" s="3">
        <f>SUM(S323:V323)</f>
        <v>132.364</v>
      </c>
      <c r="X323" s="3">
        <f>SUM(X226:X228,X231,X252,X249)-SUM(W226:W228,W231,W252,W249)</f>
        <v>-11.462</v>
      </c>
      <c r="Y323" s="3">
        <f>SUM(Y226:Y228,Y231,Y252,Y249)-SUM(X226:X228,X231,X252,X249)</f>
        <v>478.848</v>
      </c>
      <c r="Z323" s="3">
        <f>SUM(Z226:Z228,Z231,Z252,Z249)-SUM(Y226:Y228,Y231,Y252,Y249)</f>
        <v>21.787</v>
      </c>
      <c r="AA323" s="3">
        <f>SUM(AA226:AA228,AA231,AA252,AA249)-SUM(Z226:Z228,Z231,Z252,Z249)</f>
        <v>-116.143</v>
      </c>
      <c r="AB323" s="3">
        <f>SUM(X323:AA323)</f>
        <v>373.03</v>
      </c>
      <c r="AC323" s="3">
        <f>SUM(AC226:AC228,AC231,AC252,AC249)-SUM(AB226:AB228,AB231,AB252,AB249)</f>
        <v>296.429</v>
      </c>
      <c r="AD323" s="3">
        <f>SUM(AD226:AD228,AD231,AD252,AD249)-SUM(AC226:AC228,AC231,AC252,AC249)</f>
        <v>20.3010000000002</v>
      </c>
      <c r="AE323" s="3">
        <f>SUM(AE226:AE228,AE231,AE252,AE249)-SUM(AD226:AD228,AD231,AD252,AD249)</f>
        <v>19.874</v>
      </c>
      <c r="AF323" s="3">
        <f>SUM(AF226:AF228,AF231,AF252,AF249)-SUM(AE226:AE228,AE231,AE252,AE249)</f>
        <v>151.901</v>
      </c>
      <c r="AG323" s="3">
        <f>SUM(AC323:AF323)</f>
        <v>488.505</v>
      </c>
      <c r="AH323" s="3">
        <f>SUM(AH226:AH228,AH231,AH252,AH249)-SUM(AG226:AG228,AG231,AG252,AG249)</f>
        <v>-124.471</v>
      </c>
      <c r="AI323" s="3">
        <f>SUM(AI226:AI228,AI231,AI252,AI249)-SUM(AH226:AH228,AH231,AH252,AH249)</f>
        <v>-7.2610000000002</v>
      </c>
      <c r="AJ323" s="3">
        <f>SUM(AJ226:AJ228,AJ231,AJ252,AJ249)-SUM(AI226:AI228,AI231,AI252,AI249)</f>
        <v>0</v>
      </c>
      <c r="AK323" s="3">
        <f>SUM(AK226:AK228,AK231,AK252,AK249)-SUM(AJ226:AJ228,AJ231,AJ252,AJ249)</f>
        <v>0</v>
      </c>
      <c r="AL323" s="3">
        <f>SUM(AH323:AK323)</f>
        <v>-131.732</v>
      </c>
      <c r="AM323" s="3">
        <f>SUM(AM226:AM228,AM231,AM252,AM249)-SUM(AL226:AL228,AL231,AL252,AL249)</f>
        <v>0</v>
      </c>
      <c r="AN323" s="3">
        <f>SUM(AN226:AN228,AN231,AN252,AN249)-SUM(AM226:AM228,AM231,AM252,AM249)</f>
        <v>0</v>
      </c>
      <c r="AO323" s="3">
        <f>SUM(AO226:AO228,AO231,AO252,AO249)-SUM(AN226:AN228,AN231,AN252,AN249)</f>
        <v>0</v>
      </c>
      <c r="AP323" s="3">
        <f>SUM(AP226:AP228,AP231,AP252,AP249)-SUM(AO226:AO228,AO231,AO252,AO249)</f>
        <v>0</v>
      </c>
      <c r="AQ323" s="3">
        <f>SUM(AM323:AP323)</f>
        <v>0</v>
      </c>
      <c r="AR323" s="3">
        <f>SUM(AR226:AR228,AR231,AR252,AR249)-SUM(AQ226:AQ228,AQ231,AQ252,AQ249)</f>
        <v>0</v>
      </c>
      <c r="AS323" s="3">
        <f>SUM(AS226:AS228,AS231,AS252,AS249)-SUM(AR226:AR228,AR231,AR252,AR249)</f>
        <v>0</v>
      </c>
      <c r="AT323" s="3">
        <f>SUM(AT226:AT228,AT231,AT252,AT249)-SUM(AS226:AS228,AS231,AS252,AS249)</f>
        <v>0</v>
      </c>
      <c r="AU323" s="3">
        <f>SUM(AU226:AU228,AU231,AU252,AU249)-SUM(AT226:AT228,AT231,AT252,AT249)</f>
        <v>0</v>
      </c>
      <c r="AV323" s="3">
        <f>SUM(AR323:AU323)</f>
        <v>0</v>
      </c>
      <c r="AW323" s="3">
        <f>SUM(AW226:AW228,AW231,AW252,AW249)-SUM(AV226:AV228,AV231,AV252,AV249)</f>
        <v>0</v>
      </c>
      <c r="AX323" s="3">
        <f>SUM(AX226:AX228,AX231,AX252,AX249)-SUM(AW226:AW228,AW231,AW252,AW249)</f>
        <v>0</v>
      </c>
      <c r="AY323" s="3">
        <f>SUM(AY226:AY228,AY231,AY252,AY249)-SUM(AX226:AX228,AX231,AX252,AX249)</f>
        <v>0</v>
      </c>
      <c r="AZ323" s="3">
        <f>SUM(AZ226:AZ228,AZ231,AZ252,AZ249)-SUM(AY226:AY228,AY231,AY252,AY249)</f>
        <v>0</v>
      </c>
      <c r="BA323" s="3">
        <f>SUM(AW323:AZ323)</f>
        <v>0</v>
      </c>
      <c r="BB323" s="3">
        <f>SUM(BB226:BB228,BB231,BB252,BB249)-SUM(BA226:BA228,BA231,BA252,BA249)</f>
        <v>0</v>
      </c>
      <c r="BC323" s="3">
        <f>SUM(BC226:BC228,BC231,BC252,BC249)-SUM(BB226:BB228,BB231,BB252,BB249)</f>
        <v>0</v>
      </c>
      <c r="BD323" s="3">
        <f>SUM(BD226:BD228,BD231,BD252,BD249)-SUM(BC226:BC228,BC231,BC252,BC249)</f>
        <v>0</v>
      </c>
      <c r="BE323" s="3">
        <f>SUM(BE226:BE228,BE231,BE252,BE249)-SUM(BD226:BD228,BD231,BD252,BD249)</f>
        <v>0</v>
      </c>
      <c r="BF323" s="3">
        <f>SUM(BB323:BE323)</f>
        <v>0</v>
      </c>
      <c r="BG323" s="3">
        <f>SUM(BG226:BG228,BG231,BG252,BG249)-SUM(BF226:BF228,BF231,BF252,BF249)</f>
        <v>0</v>
      </c>
      <c r="BH323" s="3">
        <f>SUM(BH226:BH228,BH231,BH252,BH249)-SUM(BG226:BG228,BG231,BG252,BG249)</f>
        <v>0</v>
      </c>
      <c r="BI323" s="3">
        <f>SUM(BI226:BI228,BI231,BI252,BI249)-SUM(BH226:BH228,BH231,BH252,BH249)</f>
        <v>0</v>
      </c>
      <c r="BJ323" s="3">
        <f>SUM(BJ226:BJ228,BJ231,BJ252,BJ249)-SUM(BI226:BI228,BI231,BI252,BI249)</f>
        <v>0</v>
      </c>
      <c r="BK323" s="3">
        <f>SUM(BG323:BJ323)</f>
        <v>0</v>
      </c>
      <c r="BL323" s="3">
        <f>SUM(BL226:BL228,BL231,BL252,BL249)-SUM(BK226:BK228,BK231,BK252,BK249)</f>
        <v>0</v>
      </c>
      <c r="BM323" s="3">
        <f>SUM(BM226:BM228,BM231,BM252,BM249)-SUM(BL226:BL228,BL231,BL252,BL249)</f>
        <v>0</v>
      </c>
      <c r="BN323" s="3">
        <f>SUM(BN226:BN228,BN231,BN252,BN249)-SUM(BM226:BM228,BM231,BM252,BM249)</f>
        <v>0</v>
      </c>
      <c r="BO323" s="3">
        <f>SUM(BO226:BO228,BO231,BO252,BO249)-SUM(BN226:BN228,BN231,BN252,BN249)</f>
        <v>0</v>
      </c>
      <c r="BP323" s="3">
        <f>SUM(BL323:BO323)</f>
        <v>0</v>
      </c>
      <c r="BQ323" s="3">
        <f>SUM(BQ226:BQ228,BQ231,BQ252,BQ249)-SUM(BP226:BP228,BP231,BP252,BP249)</f>
        <v>0</v>
      </c>
      <c r="BR323" s="3">
        <f>SUM(BR226:BR228,BR231,BR252,BR249)-SUM(BQ226:BQ228,BQ231,BQ252,BQ249)</f>
        <v>0</v>
      </c>
      <c r="BS323" s="3">
        <f>SUM(BS226:BS228,BS231,BS252,BS249)-SUM(BR226:BR228,BR231,BR252,BR249)</f>
        <v>0</v>
      </c>
      <c r="BT323" s="3">
        <f>SUM(BT226:BT228,BT231,BT252,BT249)-SUM(BS226:BS228,BS231,BS252,BS249)</f>
        <v>0</v>
      </c>
      <c r="BU323" s="3">
        <f>SUM(BQ323:BT323)</f>
        <v>0</v>
      </c>
      <c r="BV323" s="3">
        <f>SUM(BV226:BV228,BV231,BV252,BV249)-SUM(BU226:BU228,BU231,BU252,BU249)</f>
        <v>0</v>
      </c>
      <c r="BW323" s="3">
        <f>SUM(BW226:BW228,BW231,BW252,BW249)-SUM(BV226:BV228,BV231,BV252,BV249)</f>
        <v>0</v>
      </c>
      <c r="BX323" s="3">
        <f>SUM(BX226:BX228,BX231,BX252,BX249)-SUM(BW226:BW228,BW231,BW252,BW249)</f>
        <v>0</v>
      </c>
      <c r="BY323" s="3">
        <f>SUM(BY226:BY228,BY231,BY252,BY249)-SUM(BX226:BX228,BX231,BX252,BX249)</f>
        <v>0</v>
      </c>
      <c r="BZ323" s="3">
        <f>SUM(BV323:BY323)</f>
        <v>0</v>
      </c>
      <c r="CA323" s="3">
        <f>SUM(CA226:CA228,CA231,CA252,CA249)-SUM(BZ226:BZ228,BZ231,BZ252,BZ249)</f>
        <v>0</v>
      </c>
      <c r="CB323" s="3">
        <f>SUM(CB226:CB228,CB231,CB252,CB249)-SUM(CA226:CA228,CA231,CA252,CA249)</f>
        <v>0</v>
      </c>
      <c r="CC323" s="3">
        <f>SUM(CC226:CC228,CC231,CC252,CC249)-SUM(CB226:CB228,CB231,CB252,CB249)</f>
        <v>0</v>
      </c>
      <c r="CD323" s="3">
        <f>SUM(CD226:CD228,CD231,CD252,CD249)-SUM(CC226:CC228,CC231,CC252,CC249)</f>
        <v>0</v>
      </c>
      <c r="CE323" s="3">
        <f>SUM(CA323:CD323)</f>
        <v>0</v>
      </c>
      <c r="CF323" s="3">
        <f>SUM(CF226:CF228,CF231,CF252,CF249)-SUM(CE226:CE228,CE231,CE252,CE249)</f>
        <v>0</v>
      </c>
      <c r="CG323" s="3">
        <f>SUM(CG226:CG228,CG231,CG252,CG249)-SUM(CF226:CF228,CF231,CF252,CF249)</f>
        <v>0</v>
      </c>
      <c r="CH323" s="3">
        <f>SUM(CH226:CH228,CH231,CH252,CH249)-SUM(CG226:CG228,CG231,CG252,CG249)</f>
        <v>0</v>
      </c>
      <c r="CI323" s="3">
        <f>SUM(CI226:CI228,CI231,CI252,CI249)-SUM(CH226:CH228,CH231,CH252,CH249)</f>
        <v>0</v>
      </c>
      <c r="CJ323" s="3">
        <f>SUM(CF323:CI323)</f>
        <v>0</v>
      </c>
      <c r="CK323" s="3">
        <f>SUM(CK226:CK228,CK231,CK252,CK249)-SUM(CJ226:CJ228,CJ231,CJ252,CJ249)</f>
        <v>0</v>
      </c>
      <c r="CL323" s="3">
        <f>SUM(CL226:CL228,CL231,CL252,CL249)-SUM(CK226:CK228,CK231,CK252,CK249)</f>
        <v>0</v>
      </c>
      <c r="CM323" s="3">
        <f>SUM(CM226:CM228,CM231,CM252,CM249)-SUM(CL226:CL228,CL231,CL252,CL249)</f>
        <v>0</v>
      </c>
      <c r="CN323" s="3">
        <f>SUM(CN226:CN228,CN231,CN252,CN249)-SUM(CM226:CM228,CM231,CM252,CM249)</f>
        <v>0</v>
      </c>
      <c r="CO323" s="3">
        <f>SUM(CK323:CN323)</f>
        <v>0</v>
      </c>
      <c r="CP323" s="3">
        <f>SUM(CP226:CP228,CP231,CP252,CP249)-SUM(CO226:CO228,CO231,CO252,CO249)</f>
        <v>0</v>
      </c>
      <c r="CQ323" s="3">
        <f>SUM(CQ226:CQ228,CQ231,CQ252,CQ249)-SUM(CP226:CP228,CP231,CP252,CP249)</f>
        <v>0</v>
      </c>
      <c r="CR323" s="3">
        <f>SUM(CR226:CR228,CR231,CR252,CR249)-SUM(CQ226:CQ228,CQ231,CQ252,CQ249)</f>
        <v>0</v>
      </c>
      <c r="CS323" s="3">
        <f>SUM(CS226:CS228,CS231,CS252,CS249)-SUM(CR226:CR228,CR231,CR252,CR249)</f>
        <v>0</v>
      </c>
      <c r="CT323" s="3">
        <f>SUM(CP323:CS323)</f>
        <v>0</v>
      </c>
      <c r="CU323" s="3">
        <f>SUM(CU226:CU228,CU231,CU252,CU249)-SUM(CT226:CT228,CT231,CT252,CT249)</f>
        <v>0</v>
      </c>
      <c r="CV323" s="3">
        <f>SUM(CV226:CV228,CV231,CV252,CV249)-SUM(CU226:CU228,CU231,CU252,CU249)</f>
        <v>0</v>
      </c>
      <c r="CW323" s="3">
        <f>SUM(CW226:CW228,CW231,CW252,CW249)-SUM(CV226:CV228,CV231,CV252,CV249)</f>
        <v>0</v>
      </c>
      <c r="CX323" s="3">
        <f>SUM(CX226:CX228,CX231,CX252,CX249)-SUM(CW226:CW228,CW231,CW252,CW249)</f>
        <v>0</v>
      </c>
      <c r="CY323" s="3">
        <f>SUM(CU323:CX323)</f>
        <v>0</v>
      </c>
      <c r="CZ323" s="3" t="n"/>
      <c r="DA323" s="3" t="n"/>
      <c r="DB323" s="3" t="n"/>
      <c r="DC323" s="3" t="n"/>
    </row>
    <row r="324">
      <c r="C324" s="26" t="inlineStr">
        <is>
          <t>Cash from financing</t>
        </is>
      </c>
      <c r="D324" s="3" t="n"/>
      <c r="E324" s="3">
        <f>SUM(E316,E317,E318,E319,E320,E321,E322,E323)</f>
        <v>43.6</v>
      </c>
      <c r="F324" s="3">
        <f>SUM(F316,F317,F318,F319,F320,F321,F322,F323)</f>
        <v>122.031</v>
      </c>
      <c r="G324" s="3">
        <f>SUM(G316,G317,G318,G319,G320,G321,G322,G323)</f>
        <v>-92.0770000000001</v>
      </c>
      <c r="H324" s="3">
        <f>SUM(H316,H317,H318,H319,H320,H321,H322,H323)</f>
        <v>73.554</v>
      </c>
      <c r="I324" s="3">
        <f>SUM(I316,I317,I318,I319,I320,I321,I322,I323)</f>
        <v>3.34600000000002</v>
      </c>
      <c r="J324" s="3">
        <f>SUM(J316,J317,J318,J319,J320,J321,J322,J323)</f>
        <v>-89.775</v>
      </c>
      <c r="K324" s="3">
        <f>SUM(K316,K317,K318,K319,K320,K321,K322,K323)</f>
        <v>111.09615935</v>
      </c>
      <c r="L324" s="3">
        <f>SUM(L316,L317,L318,L319,L320,L321,L322,L323)</f>
        <v>-129.503</v>
      </c>
      <c r="M324" s="3">
        <f>SUM(M316,M317,M318,M319,M320,M321,M322,M323)</f>
        <v>-104.83584065</v>
      </c>
      <c r="N324" s="3">
        <f>SUM(N316,N317,N318,N319,N320,N321,N322,N323)</f>
        <v>-9.90299999999998</v>
      </c>
      <c r="O324" s="3">
        <f>SUM(O316,O317,O318,O319,O320,O321,O322,O323)</f>
        <v>-80.725</v>
      </c>
      <c r="P324" s="3">
        <f>SUM(P316,P317,P318,P319,P320,P321,P322,P323)</f>
        <v>38.265</v>
      </c>
      <c r="Q324" s="3">
        <f>SUM(Q316,Q317,Q318,Q319,Q320,Q321,Q322,Q323)</f>
        <v>-66.8970000000001</v>
      </c>
      <c r="R324" s="3">
        <f>SUM(R316,R317,R318,R319,R320,R321,R322,R323)</f>
        <v>-119.26</v>
      </c>
      <c r="S324" s="3">
        <f>SUM(S316,S317,S318,S319,S320,S321,S322,S323)</f>
        <v>-8.62199999999994</v>
      </c>
      <c r="T324" s="3">
        <f>SUM(T316,T317,T318,T319,T320,T321,T322,T323)</f>
        <v>33.8539999999999</v>
      </c>
      <c r="U324" s="3">
        <f>SUM(U316,U317,U318,U319,U320,U321,U322,U323)</f>
        <v>-13.102</v>
      </c>
      <c r="V324" s="3">
        <f>SUM(V316,V317,V318,V319,V320,V321,V322,V323)</f>
        <v>-256.145</v>
      </c>
      <c r="W324" s="3">
        <f>SUM(W316,W317,W318,W319,W320,W321,W322,W323)</f>
        <v>-244.015</v>
      </c>
      <c r="X324" s="3">
        <f>SUM(X316,X317,X318,X319,X320,X321,X322,X323)</f>
        <v>-4.07000000000001</v>
      </c>
      <c r="Y324" s="3">
        <f>SUM(Y316,Y317,Y318,Y319,Y320,Y321,Y322,Y323)</f>
        <v>198.09373661</v>
      </c>
      <c r="Z324" s="3">
        <f>SUM(Z316,Z317,Z318,Z319,Z320,Z321,Z322,Z323)</f>
        <v>21.55</v>
      </c>
      <c r="AA324" s="3">
        <f>SUM(AA316,AA317,AA318,AA319,AA320,AA321,AA322,AA323)</f>
        <v>-228.796</v>
      </c>
      <c r="AB324" s="3">
        <f>SUM(AB316,AB317,AB318,AB319,AB320,AB321,AB322,AB323)</f>
        <v>-13.22226339</v>
      </c>
      <c r="AC324" s="3">
        <f>SUM(AC316,AC317,AC318,AC319,AC320,AC321,AC322,AC323)</f>
        <v>114.71</v>
      </c>
      <c r="AD324" s="3">
        <f>SUM(AD316,AD317,AD318,AD319,AD320,AD321,AD322,AD323)</f>
        <v>-30.0463417599998</v>
      </c>
      <c r="AE324" s="3">
        <f>SUM(AE316,AE317,AE318,AE319,AE320,AE321,AE322,AE323)</f>
        <v>-199.501</v>
      </c>
      <c r="AF324" s="3">
        <f>SUM(AF316,AF317,AF318,AF319,AF320,AF321,AF322,AF323)</f>
        <v>-125.363</v>
      </c>
      <c r="AG324" s="3">
        <f>SUM(AG316,AG317,AG318,AG319,AG320,AG321,AG322,AG323)</f>
        <v>-240.20034176</v>
      </c>
      <c r="AH324" s="3">
        <f>SUM(AH316,AH317,AH318,AH319,AH320,AH321,AH322,AH323)</f>
        <v>-245.741</v>
      </c>
      <c r="AI324" s="3">
        <f>SUM(AI316,AI317,AI318,AI319,AI320,AI321,AI322,AI323)</f>
        <v>-161.581</v>
      </c>
      <c r="AJ324" s="3">
        <f>SUM(AJ316,AJ317,AJ318,AJ319,AJ320,AJ321,AJ322,AJ323)</f>
        <v>0</v>
      </c>
      <c r="AK324" s="3">
        <f>SUM(AK316,AK317,AK318,AK319,AK320,AK321,AK322,AK323)</f>
        <v>0</v>
      </c>
      <c r="AL324" s="3">
        <f>SUM(AL316,AL317,AL318,AL319,AL320,AL321,AL322,AL323)</f>
        <v>-407.322</v>
      </c>
      <c r="AM324" s="3">
        <f>SUM(AM316,AM317,AM318,AM319,AM320,AM321,AM322,AM323)</f>
        <v>-2.48689957516035e-14</v>
      </c>
      <c r="AN324" s="3">
        <f>SUM(AN316,AN317,AN318,AN319,AN320,AN321,AN322,AN323)</f>
        <v>0</v>
      </c>
      <c r="AO324" s="3">
        <f>SUM(AO316,AO317,AO318,AO319,AO320,AO321,AO322,AO323)</f>
        <v>0</v>
      </c>
      <c r="AP324" s="3">
        <f>SUM(AP316,AP317,AP318,AP319,AP320,AP321,AP322,AP323)</f>
        <v>0</v>
      </c>
      <c r="AQ324" s="3">
        <f>SUM(AQ316,AQ317,AQ318,AQ319,AQ320,AQ321,AQ322,AQ323)</f>
        <v>-2.48689957516035e-14</v>
      </c>
      <c r="AR324" s="3">
        <f>SUM(AR316,AR317,AR318,AR319,AR320,AR321,AR322,AR323)</f>
        <v>0</v>
      </c>
      <c r="AS324" s="3">
        <f>SUM(AS316,AS317,AS318,AS319,AS320,AS321,AS322,AS323)</f>
        <v>0</v>
      </c>
      <c r="AT324" s="3">
        <f>SUM(AT316,AT317,AT318,AT319,AT320,AT321,AT322,AT323)</f>
        <v>0</v>
      </c>
      <c r="AU324" s="3">
        <f>SUM(AU316,AU317,AU318,AU319,AU320,AU321,AU322,AU323)</f>
        <v>0</v>
      </c>
      <c r="AV324" s="3">
        <f>SUM(AV316,AV317,AV318,AV319,AV320,AV321,AV322,AV323)</f>
        <v>0</v>
      </c>
      <c r="AW324" s="3">
        <f>SUM(AW316,AW317,AW318,AW319,AW320,AW321,AW322,AW323)</f>
        <v>0</v>
      </c>
      <c r="AX324" s="3">
        <f>SUM(AX316,AX317,AX318,AX319,AX320,AX321,AX322,AX323)</f>
        <v>0</v>
      </c>
      <c r="AY324" s="3">
        <f>SUM(AY316,AY317,AY318,AY319,AY320,AY321,AY322,AY323)</f>
        <v>0</v>
      </c>
      <c r="AZ324" s="3">
        <f>SUM(AZ316,AZ317,AZ318,AZ319,AZ320,AZ321,AZ322,AZ323)</f>
        <v>0</v>
      </c>
      <c r="BA324" s="3">
        <f>SUM(BA316,BA317,BA318,BA319,BA320,BA321,BA322,BA323)</f>
        <v>0</v>
      </c>
      <c r="BB324" s="3">
        <f>SUM(BB316,BB317,BB318,BB319,BB320,BB321,BB322,BB323)</f>
        <v>0</v>
      </c>
      <c r="BC324" s="3">
        <f>SUM(BC316,BC317,BC318,BC319,BC320,BC321,BC322,BC323)</f>
        <v>0</v>
      </c>
      <c r="BD324" s="3">
        <f>SUM(BD316,BD317,BD318,BD319,BD320,BD321,BD322,BD323)</f>
        <v>0</v>
      </c>
      <c r="BE324" s="3">
        <f>SUM(BE316,BE317,BE318,BE319,BE320,BE321,BE322,BE323)</f>
        <v>0</v>
      </c>
      <c r="BF324" s="3">
        <f>SUM(BF316,BF317,BF318,BF319,BF320,BF321,BF322,BF323)</f>
        <v>0</v>
      </c>
      <c r="BG324" s="3">
        <f>SUM(BG316,BG317,BG318,BG319,BG320,BG321,BG322,BG323)</f>
        <v>0</v>
      </c>
      <c r="BH324" s="3">
        <f>SUM(BH316,BH317,BH318,BH319,BH320,BH321,BH322,BH323)</f>
        <v>0</v>
      </c>
      <c r="BI324" s="3">
        <f>SUM(BI316,BI317,BI318,BI319,BI320,BI321,BI322,BI323)</f>
        <v>1.06581410364015e-13</v>
      </c>
      <c r="BJ324" s="3">
        <f>SUM(BJ316,BJ317,BJ318,BJ319,BJ320,BJ321,BJ322,BJ323)</f>
        <v>0</v>
      </c>
      <c r="BK324" s="3">
        <f>SUM(BK316,BK317,BK318,BK319,BK320,BK321,BK322,BK323)</f>
        <v>1.06581410364015e-13</v>
      </c>
      <c r="BL324" s="3">
        <f>SUM(BL316,BL317,BL318,BL319,BL320,BL321,BL322,BL323)</f>
        <v>0</v>
      </c>
      <c r="BM324" s="3">
        <f>SUM(BM316,BM317,BM318,BM319,BM320,BM321,BM322,BM323)</f>
        <v>0</v>
      </c>
      <c r="BN324" s="3">
        <f>SUM(BN316,BN317,BN318,BN319,BN320,BN321,BN322,BN323)</f>
        <v>1.06581410364015e-13</v>
      </c>
      <c r="BO324" s="3">
        <f>SUM(BO316,BO317,BO318,BO319,BO320,BO321,BO322,BO323)</f>
        <v>0</v>
      </c>
      <c r="BP324" s="3">
        <f>SUM(BP316,BP317,BP318,BP319,BP320,BP321,BP322,BP323)</f>
        <v>1.06581410364015e-13</v>
      </c>
      <c r="BQ324" s="3">
        <f>SUM(BQ316,BQ317,BQ318,BQ319,BQ320,BQ321,BQ322,BQ323)</f>
        <v>0</v>
      </c>
      <c r="BR324" s="3">
        <f>SUM(BR316,BR317,BR318,BR319,BR320,BR321,BR322,BR323)</f>
        <v>0</v>
      </c>
      <c r="BS324" s="3">
        <f>SUM(BS316,BS317,BS318,BS319,BS320,BS321,BS322,BS323)</f>
        <v>1.06581410364015e-13</v>
      </c>
      <c r="BT324" s="3">
        <f>SUM(BT316,BT317,BT318,BT319,BT320,BT321,BT322,BT323)</f>
        <v>0</v>
      </c>
      <c r="BU324" s="3">
        <f>SUM(BU316,BU317,BU318,BU319,BU320,BU321,BU322,BU323)</f>
        <v>1.06581410364015e-13</v>
      </c>
      <c r="BV324" s="3">
        <f>SUM(BV316,BV317,BV318,BV319,BV320,BV321,BV322,BV323)</f>
        <v>0</v>
      </c>
      <c r="BW324" s="3">
        <f>SUM(BW316,BW317,BW318,BW319,BW320,BW321,BW322,BW323)</f>
        <v>0</v>
      </c>
      <c r="BX324" s="3">
        <f>SUM(BX316,BX317,BX318,BX319,BX320,BX321,BX322,BX323)</f>
        <v>1.06581410364015e-13</v>
      </c>
      <c r="BY324" s="3">
        <f>SUM(BY316,BY317,BY318,BY319,BY320,BY321,BY322,BY323)</f>
        <v>0</v>
      </c>
      <c r="BZ324" s="3">
        <f>SUM(BZ316,BZ317,BZ318,BZ319,BZ320,BZ321,BZ322,BZ323)</f>
        <v>1.06581410364015e-13</v>
      </c>
      <c r="CA324" s="3">
        <f>SUM(CA316,CA317,CA318,CA319,CA320,CA321,CA322,CA323)</f>
        <v>0</v>
      </c>
      <c r="CB324" s="3">
        <f>SUM(CB316,CB317,CB318,CB319,CB320,CB321,CB322,CB323)</f>
        <v>0</v>
      </c>
      <c r="CC324" s="3">
        <f>SUM(CC316,CC317,CC318,CC319,CC320,CC321,CC322,CC323)</f>
        <v>1.06581410364015e-13</v>
      </c>
      <c r="CD324" s="3">
        <f>SUM(CD316,CD317,CD318,CD319,CD320,CD321,CD322,CD323)</f>
        <v>0</v>
      </c>
      <c r="CE324" s="3">
        <f>SUM(CE316,CE317,CE318,CE319,CE320,CE321,CE322,CE323)</f>
        <v>1.06581410364015e-13</v>
      </c>
      <c r="CF324" s="3">
        <f>SUM(CF316,CF317,CF318,CF319,CF320,CF321,CF322,CF323)</f>
        <v>0</v>
      </c>
      <c r="CG324" s="3">
        <f>SUM(CG316,CG317,CG318,CG319,CG320,CG321,CG322,CG323)</f>
        <v>0</v>
      </c>
      <c r="CH324" s="3">
        <f>SUM(CH316,CH317,CH318,CH319,CH320,CH321,CH322,CH323)</f>
        <v>1.06581410364015e-13</v>
      </c>
      <c r="CI324" s="3">
        <f>SUM(CI316,CI317,CI318,CI319,CI320,CI321,CI322,CI323)</f>
        <v>0</v>
      </c>
      <c r="CJ324" s="3">
        <f>SUM(CJ316,CJ317,CJ318,CJ319,CJ320,CJ321,CJ322,CJ323)</f>
        <v>1.06581410364015e-13</v>
      </c>
      <c r="CK324" s="3">
        <f>SUM(CK316,CK317,CK318,CK319,CK320,CK321,CK322,CK323)</f>
        <v>0</v>
      </c>
      <c r="CL324" s="3">
        <f>SUM(CL316,CL317,CL318,CL319,CL320,CL321,CL322,CL323)</f>
        <v>0</v>
      </c>
      <c r="CM324" s="3">
        <f>SUM(CM316,CM317,CM318,CM319,CM320,CM321,CM322,CM323)</f>
        <v>1.06581410364015e-13</v>
      </c>
      <c r="CN324" s="3">
        <f>SUM(CN316,CN317,CN318,CN319,CN320,CN321,CN322,CN323)</f>
        <v>0</v>
      </c>
      <c r="CO324" s="3">
        <f>SUM(CO316,CO317,CO318,CO319,CO320,CO321,CO322,CO323)</f>
        <v>1.06581410364015e-13</v>
      </c>
      <c r="CP324" s="3">
        <f>SUM(CP316,CP317,CP318,CP319,CP320,CP321,CP322,CP323)</f>
        <v>1.84741111297626e-13</v>
      </c>
      <c r="CQ324" s="3">
        <f>SUM(CQ316,CQ317,CQ318,CQ319,CQ320,CQ321,CQ322,CQ323)</f>
        <v>-2.20268248085631e-13</v>
      </c>
      <c r="CR324" s="3">
        <f>SUM(CR316,CR317,CR318,CR319,CR320,CR321,CR322,CR323)</f>
        <v>-1.20792265079217e-13</v>
      </c>
      <c r="CS324" s="3">
        <f>SUM(CS316,CS317,CS318,CS319,CS320,CS321,CS322,CS323)</f>
        <v>0</v>
      </c>
      <c r="CT324" s="3">
        <f>SUM(CT316,CT317,CT318,CT319,CT320,CT321,CT322,CT323)</f>
        <v>-1.56319401867222e-13</v>
      </c>
      <c r="CU324" s="3">
        <f>SUM(CU316,CU317,CU318,CU319,CU320,CU321,CU322,CU323)</f>
        <v>0</v>
      </c>
      <c r="CV324" s="3">
        <f>SUM(CV316,CV317,CV318,CV319,CV320,CV321,CV322,CV323)</f>
        <v>-2.20268248085631e-13</v>
      </c>
      <c r="CW324" s="3">
        <f>SUM(CW316,CW317,CW318,CW319,CW320,CW321,CW322,CW323)</f>
        <v>-1.20792265079217e-13</v>
      </c>
      <c r="CX324" s="3">
        <f>SUM(CX316,CX317,CX318,CX319,CX320,CX321,CX322,CX323)</f>
        <v>0</v>
      </c>
      <c r="CY324" s="3">
        <f>SUM(CY316,CY317,CY318,CY319,CY320,CY321,CY322,CY323)</f>
        <v>-3.41060513164848e-13</v>
      </c>
    </row>
    <row r="325">
      <c r="C325" s="26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  <c r="CG325" s="3" t="n"/>
      <c r="CH325" s="3" t="n"/>
      <c r="CI325" s="3" t="n"/>
      <c r="CJ325" s="3" t="n"/>
      <c r="CK325" s="3" t="n"/>
      <c r="CL325" s="3" t="n"/>
      <c r="CM325" s="3" t="n"/>
      <c r="CN325" s="3" t="n"/>
      <c r="CO325" s="3" t="n"/>
      <c r="CP325" s="3" t="n"/>
      <c r="CQ325" s="3" t="n"/>
      <c r="CR325" s="3" t="n"/>
      <c r="CS325" s="3" t="n"/>
      <c r="CT325" s="3" t="n"/>
      <c r="CU325" s="3" t="n"/>
      <c r="CV325" s="3" t="n"/>
      <c r="CW325" s="3" t="n"/>
      <c r="CX325" s="3" t="n"/>
      <c r="CY325" s="3" t="n"/>
    </row>
    <row r="326">
      <c r="C326" s="26" t="inlineStr">
        <is>
          <t>Others</t>
        </is>
      </c>
      <c r="D326" s="3" t="n"/>
      <c r="E326" s="3" t="n"/>
      <c r="F326" s="3" t="n"/>
      <c r="G326" s="3" t="n"/>
      <c r="H326" s="3">
        <f>SUM(D326:G326)</f>
        <v>0</v>
      </c>
      <c r="I326" s="3" t="n"/>
      <c r="J326" s="3" t="n"/>
      <c r="K326" s="3" t="n"/>
      <c r="L326" s="3" t="n"/>
      <c r="M326" s="3">
        <f>SUM(I326:L326)</f>
        <v>0</v>
      </c>
      <c r="N326" s="3" t="n"/>
      <c r="O326" s="3" t="n"/>
      <c r="P326" s="3" t="n"/>
      <c r="Q326" s="3" t="n"/>
      <c r="R326" s="3">
        <f>SUM(N326:Q326)</f>
        <v>0</v>
      </c>
      <c r="S326" s="3" t="n"/>
      <c r="T326" s="3" t="n"/>
      <c r="U326" s="3" t="n"/>
      <c r="V326" s="3" t="n"/>
      <c r="W326" s="3">
        <f>SUM(S326:V326)</f>
        <v>0</v>
      </c>
      <c r="X326" s="3" t="n"/>
      <c r="Y326" s="3" t="n"/>
      <c r="Z326" s="3" t="n"/>
      <c r="AA326" s="3" t="n"/>
      <c r="AB326" s="3">
        <f>SUM(X326:AA326)</f>
        <v>0</v>
      </c>
      <c r="AC326" s="3" t="n"/>
      <c r="AD326" s="3" t="n"/>
      <c r="AE326" s="3" t="n"/>
      <c r="AF326" s="3" t="n"/>
      <c r="AG326" s="3">
        <f>SUM(AC326:AF326)</f>
        <v>0</v>
      </c>
      <c r="AH326" s="3" t="n"/>
      <c r="AI326" s="3" t="n"/>
      <c r="AJ326" s="3" t="n"/>
      <c r="AK326" s="3" t="n"/>
      <c r="AL326" s="3">
        <f>SUM(AH326:AK326)</f>
        <v>0</v>
      </c>
      <c r="AM326" s="3" t="n"/>
      <c r="AN326" s="3" t="n"/>
      <c r="AO326" s="3" t="n"/>
      <c r="AP326" s="3" t="n"/>
      <c r="AQ326" s="3">
        <f>SUM(AM326:AP326)</f>
        <v>0</v>
      </c>
      <c r="AR326" s="3" t="n"/>
      <c r="AS326" s="3" t="n"/>
      <c r="AT326" s="3" t="n"/>
      <c r="AU326" s="3" t="n"/>
      <c r="AV326" s="3">
        <f>SUM(AR326:AU326)</f>
        <v>0</v>
      </c>
      <c r="AW326" s="3" t="n"/>
      <c r="AX326" s="3" t="n"/>
      <c r="AY326" s="3" t="n"/>
      <c r="AZ326" s="3" t="n"/>
      <c r="BA326" s="3">
        <f>SUM(AW326:AZ326)</f>
        <v>0</v>
      </c>
      <c r="BB326" s="3" t="n"/>
      <c r="BC326" s="3" t="n"/>
      <c r="BD326" s="3" t="n"/>
      <c r="BE326" s="3" t="n"/>
      <c r="BF326" s="3">
        <f>SUM(BB326:BE326)</f>
        <v>0</v>
      </c>
      <c r="BG326" s="3" t="n"/>
      <c r="BH326" s="3" t="n"/>
      <c r="BI326" s="3" t="n"/>
      <c r="BJ326" s="3" t="n"/>
      <c r="BK326" s="3">
        <f>SUM(BG326:BJ326)</f>
        <v>0</v>
      </c>
      <c r="BL326" s="3" t="n"/>
      <c r="BM326" s="3" t="n"/>
      <c r="BN326" s="3" t="n"/>
      <c r="BO326" s="3" t="n"/>
      <c r="BP326" s="3">
        <f>SUM(BL326:BO326)</f>
        <v>0</v>
      </c>
      <c r="BQ326" s="3" t="n"/>
      <c r="BR326" s="3" t="n"/>
      <c r="BS326" s="3" t="n"/>
      <c r="BT326" s="3" t="n"/>
      <c r="BU326" s="3">
        <f>SUM(BQ326:BT326)</f>
        <v>0</v>
      </c>
      <c r="BV326" s="3" t="n"/>
      <c r="BW326" s="3" t="n"/>
      <c r="BX326" s="3" t="n"/>
      <c r="BY326" s="3" t="n"/>
      <c r="BZ326" s="3">
        <f>SUM(BV326:BY326)</f>
        <v>0</v>
      </c>
      <c r="CA326" s="3" t="n"/>
      <c r="CB326" s="3" t="n"/>
      <c r="CC326" s="3" t="n"/>
      <c r="CD326" s="3" t="n"/>
      <c r="CE326" s="3">
        <f>SUM(CA326:CD326)</f>
        <v>0</v>
      </c>
      <c r="CF326" s="3" t="n"/>
      <c r="CG326" s="3" t="n"/>
      <c r="CH326" s="3" t="n"/>
      <c r="CI326" s="3" t="n"/>
      <c r="CJ326" s="3">
        <f>SUM(CF326:CI326)</f>
        <v>0</v>
      </c>
      <c r="CK326" s="3" t="n"/>
      <c r="CL326" s="3" t="n"/>
      <c r="CM326" s="3" t="n"/>
      <c r="CN326" s="3" t="n"/>
      <c r="CO326" s="3">
        <f>SUM(CK326:CN326)</f>
        <v>0</v>
      </c>
      <c r="CP326" s="3" t="n"/>
      <c r="CQ326" s="3" t="n"/>
      <c r="CR326" s="3" t="n"/>
      <c r="CS326" s="3" t="n"/>
      <c r="CT326" s="3">
        <f>SUM(CP326:CS326)</f>
        <v>0</v>
      </c>
      <c r="CU326" s="3" t="n"/>
      <c r="CV326" s="3" t="n"/>
      <c r="CW326" s="3" t="n"/>
      <c r="CX326" s="3" t="n"/>
      <c r="CY326" s="3">
        <f>SUM(CU326:CX326)</f>
        <v>0</v>
      </c>
    </row>
    <row r="327">
      <c r="C327" s="26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  <c r="CG327" s="3" t="n"/>
      <c r="CH327" s="3" t="n"/>
      <c r="CI327" s="3" t="n"/>
      <c r="CJ327" s="3" t="n"/>
      <c r="CK327" s="3" t="n"/>
      <c r="CL327" s="3" t="n"/>
      <c r="CM327" s="3" t="n"/>
      <c r="CN327" s="3" t="n"/>
      <c r="CO327" s="3" t="n"/>
      <c r="CP327" s="3" t="n"/>
      <c r="CQ327" s="3" t="n"/>
      <c r="CR327" s="3" t="n"/>
      <c r="CS327" s="3" t="n"/>
      <c r="CT327" s="3" t="n"/>
      <c r="CU327" s="3" t="n"/>
      <c r="CV327" s="3" t="n"/>
      <c r="CW327" s="3" t="n"/>
      <c r="CX327" s="3" t="n"/>
      <c r="CY327" s="3" t="n"/>
    </row>
    <row r="328">
      <c r="C328" s="26" t="inlineStr">
        <is>
          <t>Total increase/decrease of cash</t>
        </is>
      </c>
      <c r="D328" s="3" t="n"/>
      <c r="E328" s="3">
        <f>SUM(E307,E314,E324,E326)</f>
        <v>100.319</v>
      </c>
      <c r="F328" s="3">
        <f>SUM(F307,F314,F324,F326)</f>
        <v>184.002</v>
      </c>
      <c r="G328" s="3">
        <f>SUM(G307,G314,G324,G326)</f>
        <v>-178.951</v>
      </c>
      <c r="H328" s="3">
        <f>SUM(D328:G328)</f>
        <v>105.37</v>
      </c>
      <c r="I328" s="3">
        <f>SUM(I307,I314,I324,I326)</f>
        <v>5.74600000000001</v>
      </c>
      <c r="J328" s="3">
        <f>SUM(J307,J314,J324,J326)</f>
        <v>55.3430000000001</v>
      </c>
      <c r="K328" s="3">
        <f>SUM(K307,K314,K324,K326)</f>
        <v>62.9399999999998</v>
      </c>
      <c r="L328" s="3">
        <f>SUM(L307,L314,L324,L326)</f>
        <v>39.5600000000004</v>
      </c>
      <c r="M328" s="3">
        <f>SUM(I328:L328)</f>
        <v>163.589</v>
      </c>
      <c r="N328" s="3">
        <f>SUM(N307,N314,N324,N326)</f>
        <v>8.08099999999959</v>
      </c>
      <c r="O328" s="3">
        <f>SUM(O307,O314,O324,O326)</f>
        <v>77.4090000000004</v>
      </c>
      <c r="P328" s="3">
        <f>SUM(P307,P314,P324,P326)</f>
        <v>-45.0690000000001</v>
      </c>
      <c r="Q328" s="3">
        <f>SUM(Q307,Q314,Q324,Q326)</f>
        <v>154.518</v>
      </c>
      <c r="R328" s="3">
        <f>SUM(N328:Q328)</f>
        <v>194.939</v>
      </c>
      <c r="S328" s="3">
        <f>SUM(S307,S314,S324,S326)</f>
        <v>-59.6029999999996</v>
      </c>
      <c r="T328" s="3">
        <f>SUM(T307,T314,T324,T326)</f>
        <v>105.567</v>
      </c>
      <c r="U328" s="3">
        <f>SUM(U307,U314,U324,U326)</f>
        <v>273.685</v>
      </c>
      <c r="V328" s="3">
        <f>SUM(V307,V314,V324,V326)</f>
        <v>-116.806</v>
      </c>
      <c r="W328" s="3">
        <f>SUM(S328:V328)</f>
        <v>202.843</v>
      </c>
      <c r="X328" s="3">
        <f>SUM(X307,X314,X324,X326)</f>
        <v>19.3989999999999</v>
      </c>
      <c r="Y328" s="3">
        <f>SUM(Y307,Y314,Y324,Y326)</f>
        <v>546.352</v>
      </c>
      <c r="Z328" s="3">
        <f>SUM(Z307,Z314,Z324,Z326)</f>
        <v>-132.805</v>
      </c>
      <c r="AA328" s="3">
        <f>SUM(AA307,AA314,AA324,AA326)</f>
        <v>-8.97900000000004</v>
      </c>
      <c r="AB328" s="3">
        <f>SUM(X328:AA328)</f>
        <v>423.967</v>
      </c>
      <c r="AC328" s="3">
        <f>SUM(AC307,AC314,AC324,AC326)</f>
        <v>127.57</v>
      </c>
      <c r="AD328" s="3">
        <f>SUM(AD307,AD314,AD324,AD326)</f>
        <v>-12.931</v>
      </c>
      <c r="AE328" s="3">
        <f>SUM(AE307,AE314,AE324,AE326)</f>
        <v>242.328</v>
      </c>
      <c r="AF328" s="3">
        <f>SUM(AF307,AF314,AF324,AF326)</f>
        <v>17.7339999999993</v>
      </c>
      <c r="AG328" s="3">
        <f>SUM(AC328:AF328)</f>
        <v>374.700999999999</v>
      </c>
      <c r="AH328" s="3">
        <f>SUM(AH307,AH314,AH324,AH326)</f>
        <v>-33.6269999999993</v>
      </c>
      <c r="AI328" s="3">
        <f>SUM(AI307,AI314,AI324,AI326)</f>
        <v>-123.604000000001</v>
      </c>
      <c r="AJ328" s="3">
        <f>SUM(AJ307,AJ314,AJ324,AJ326)</f>
        <v>3832.052</v>
      </c>
      <c r="AK328" s="3">
        <f>SUM(AK307,AK314,AK324,AK326)</f>
        <v>48.168</v>
      </c>
      <c r="AL328" s="3">
        <f>SUM(AH328:AK328)</f>
        <v>3722.989</v>
      </c>
      <c r="AM328" s="3" t="e">
        <f>SUM(AM307,AM314,AM324,AM326)</f>
        <v>#DIV/0!</v>
      </c>
      <c r="AN328" s="3" t="e">
        <f>SUM(AN307,AN314,AN324,AN326)</f>
        <v>#DIV/0!</v>
      </c>
      <c r="AO328" s="3" t="e">
        <f>SUM(AO307,AO314,AO324,AO326)</f>
        <v>#DIV/0!</v>
      </c>
      <c r="AP328" s="3" t="e">
        <f>SUM(AP307,AP314,AP324,AP326)</f>
        <v>#DIV/0!</v>
      </c>
      <c r="AQ328" s="3" t="e">
        <f>SUM(AM328:AP328)</f>
        <v>#DIV/0!</v>
      </c>
      <c r="AR328" s="3" t="e">
        <f>SUM(AR307,AR314,AR324,AR326)</f>
        <v>#DIV/0!</v>
      </c>
      <c r="AS328" s="3" t="e">
        <f>SUM(AS307,AS314,AS324,AS326)</f>
        <v>#DIV/0!</v>
      </c>
      <c r="AT328" s="3" t="e">
        <f>SUM(AT307,AT314,AT324,AT326)</f>
        <v>#DIV/0!</v>
      </c>
      <c r="AU328" s="3" t="e">
        <f>SUM(AU307,AU314,AU324,AU326)</f>
        <v>#DIV/0!</v>
      </c>
      <c r="AV328" s="3" t="e">
        <f>SUM(AR328:AU328)</f>
        <v>#DIV/0!</v>
      </c>
      <c r="AW328" s="3" t="e">
        <f>SUM(AW307,AW314,AW324,AW326)</f>
        <v>#DIV/0!</v>
      </c>
      <c r="AX328" s="3" t="e">
        <f>SUM(AX307,AX314,AX324,AX326)</f>
        <v>#DIV/0!</v>
      </c>
      <c r="AY328" s="3" t="e">
        <f>SUM(AY307,AY314,AY324,AY326)</f>
        <v>#DIV/0!</v>
      </c>
      <c r="AZ328" s="3" t="e">
        <f>SUM(AZ307,AZ314,AZ324,AZ326)</f>
        <v>#DIV/0!</v>
      </c>
      <c r="BA328" s="3" t="e">
        <f>SUM(AW328:AZ328)</f>
        <v>#DIV/0!</v>
      </c>
      <c r="BB328" s="3" t="e">
        <f>SUM(BB307,BB314,BB324,BB326)</f>
        <v>#DIV/0!</v>
      </c>
      <c r="BC328" s="3" t="e">
        <f>SUM(BC307,BC314,BC324,BC326)</f>
        <v>#DIV/0!</v>
      </c>
      <c r="BD328" s="3" t="e">
        <f>SUM(BD307,BD314,BD324,BD326)</f>
        <v>#DIV/0!</v>
      </c>
      <c r="BE328" s="3" t="e">
        <f>SUM(BE307,BE314,BE324,BE326)</f>
        <v>#DIV/0!</v>
      </c>
      <c r="BF328" s="3" t="e">
        <f>SUM(BB328:BE328)</f>
        <v>#DIV/0!</v>
      </c>
      <c r="BG328" s="3" t="e">
        <f>SUM(BG307,BG314,BG324,BG326)</f>
        <v>#DIV/0!</v>
      </c>
      <c r="BH328" s="3" t="e">
        <f>SUM(BH307,BH314,BH324,BH326)</f>
        <v>#DIV/0!</v>
      </c>
      <c r="BI328" s="3" t="e">
        <f>SUM(BI307,BI314,BI324,BI326)</f>
        <v>#DIV/0!</v>
      </c>
      <c r="BJ328" s="3" t="e">
        <f>SUM(BJ307,BJ314,BJ324,BJ326)</f>
        <v>#DIV/0!</v>
      </c>
      <c r="BK328" s="3" t="e">
        <f>SUM(BG328:BJ328)</f>
        <v>#DIV/0!</v>
      </c>
      <c r="BL328" s="3" t="e">
        <f>SUM(BL307,BL314,BL324,BL326)</f>
        <v>#DIV/0!</v>
      </c>
      <c r="BM328" s="3" t="e">
        <f>SUM(BM307,BM314,BM324,BM326)</f>
        <v>#DIV/0!</v>
      </c>
      <c r="BN328" s="3" t="e">
        <f>SUM(BN307,BN314,BN324,BN326)</f>
        <v>#DIV/0!</v>
      </c>
      <c r="BO328" s="3" t="e">
        <f>SUM(BO307,BO314,BO324,BO326)</f>
        <v>#DIV/0!</v>
      </c>
      <c r="BP328" s="3" t="e">
        <f>SUM(BL328:BO328)</f>
        <v>#DIV/0!</v>
      </c>
      <c r="BQ328" s="3" t="e">
        <f>SUM(BQ307,BQ314,BQ324,BQ326)</f>
        <v>#DIV/0!</v>
      </c>
      <c r="BR328" s="3" t="e">
        <f>SUM(BR307,BR314,BR324,BR326)</f>
        <v>#DIV/0!</v>
      </c>
      <c r="BS328" s="3" t="e">
        <f>SUM(BS307,BS314,BS324,BS326)</f>
        <v>#DIV/0!</v>
      </c>
      <c r="BT328" s="3" t="e">
        <f>SUM(BT307,BT314,BT324,BT326)</f>
        <v>#DIV/0!</v>
      </c>
      <c r="BU328" s="3" t="e">
        <f>SUM(BQ328:BT328)</f>
        <v>#DIV/0!</v>
      </c>
      <c r="BV328" s="3" t="e">
        <f>SUM(BV307,BV314,BV324,BV326)</f>
        <v>#DIV/0!</v>
      </c>
      <c r="BW328" s="3" t="e">
        <f>SUM(BW307,BW314,BW324,BW326)</f>
        <v>#DIV/0!</v>
      </c>
      <c r="BX328" s="3" t="e">
        <f>SUM(BX307,BX314,BX324,BX326)</f>
        <v>#DIV/0!</v>
      </c>
      <c r="BY328" s="3" t="e">
        <f>SUM(BY307,BY314,BY324,BY326)</f>
        <v>#DIV/0!</v>
      </c>
      <c r="BZ328" s="3" t="e">
        <f>SUM(BV328:BY328)</f>
        <v>#DIV/0!</v>
      </c>
      <c r="CA328" s="3" t="e">
        <f>SUM(CA307,CA314,CA324,CA326)</f>
        <v>#DIV/0!</v>
      </c>
      <c r="CB328" s="3" t="e">
        <f>SUM(CB307,CB314,CB324,CB326)</f>
        <v>#DIV/0!</v>
      </c>
      <c r="CC328" s="3" t="e">
        <f>SUM(CC307,CC314,CC324,CC326)</f>
        <v>#DIV/0!</v>
      </c>
      <c r="CD328" s="3" t="e">
        <f>SUM(CD307,CD314,CD324,CD326)</f>
        <v>#DIV/0!</v>
      </c>
      <c r="CE328" s="3" t="e">
        <f>SUM(CA328:CD328)</f>
        <v>#DIV/0!</v>
      </c>
      <c r="CF328" s="3" t="e">
        <f>SUM(CF307,CF314,CF324,CF326)</f>
        <v>#DIV/0!</v>
      </c>
      <c r="CG328" s="3" t="e">
        <f>SUM(CG307,CG314,CG324,CG326)</f>
        <v>#DIV/0!</v>
      </c>
      <c r="CH328" s="3" t="e">
        <f>SUM(CH307,CH314,CH324,CH326)</f>
        <v>#DIV/0!</v>
      </c>
      <c r="CI328" s="3" t="e">
        <f>SUM(CI307,CI314,CI324,CI326)</f>
        <v>#DIV/0!</v>
      </c>
      <c r="CJ328" s="3" t="e">
        <f>SUM(CF328:CI328)</f>
        <v>#DIV/0!</v>
      </c>
      <c r="CK328" s="3" t="e">
        <f>SUM(CK307,CK314,CK324,CK326)</f>
        <v>#DIV/0!</v>
      </c>
      <c r="CL328" s="3" t="e">
        <f>SUM(CL307,CL314,CL324,CL326)</f>
        <v>#DIV/0!</v>
      </c>
      <c r="CM328" s="3" t="e">
        <f>SUM(CM307,CM314,CM324,CM326)</f>
        <v>#DIV/0!</v>
      </c>
      <c r="CN328" s="3" t="e">
        <f>SUM(CN307,CN314,CN324,CN326)</f>
        <v>#DIV/0!</v>
      </c>
      <c r="CO328" s="3" t="e">
        <f>SUM(CK328:CN328)</f>
        <v>#DIV/0!</v>
      </c>
      <c r="CP328" s="3" t="e">
        <f>SUM(CP307,CP314,CP324,CP326)</f>
        <v>#DIV/0!</v>
      </c>
      <c r="CQ328" s="3" t="e">
        <f>SUM(CQ307,CQ314,CQ324,CQ326)</f>
        <v>#DIV/0!</v>
      </c>
      <c r="CR328" s="3" t="e">
        <f>SUM(CR307,CR314,CR324,CR326)</f>
        <v>#DIV/0!</v>
      </c>
      <c r="CS328" s="3" t="e">
        <f>SUM(CS307,CS314,CS324,CS326)</f>
        <v>#DIV/0!</v>
      </c>
      <c r="CT328" s="3" t="e">
        <f>SUM(CP328:CS328)</f>
        <v>#DIV/0!</v>
      </c>
      <c r="CU328" s="3" t="e">
        <f>SUM(CU307,CU314,CU324,CU326)</f>
        <v>#DIV/0!</v>
      </c>
      <c r="CV328" s="3" t="e">
        <f>SUM(CV307,CV314,CV324,CV326)</f>
        <v>#DIV/0!</v>
      </c>
      <c r="CW328" s="3" t="e">
        <f>SUM(CW307,CW314,CW324,CW326)</f>
        <v>#DIV/0!</v>
      </c>
      <c r="CX328" s="3" t="e">
        <f>SUM(CX307,CX314,CX324,CX326)</f>
        <v>#DIV/0!</v>
      </c>
      <c r="CY328" s="3" t="e">
        <f>SUM(CU328:CX328)</f>
        <v>#DIV/0!</v>
      </c>
    </row>
    <row r="329">
      <c r="C329" s="4" t="inlineStr">
        <is>
          <t>Check</t>
        </is>
      </c>
      <c r="E329" s="51">
        <f>(E328)-(E158-D158)</f>
        <v>0</v>
      </c>
      <c r="F329" s="51">
        <f>(F328)-(F158-E158)</f>
        <v>0</v>
      </c>
      <c r="G329" s="51">
        <f>(G328)-(G158-F158)</f>
        <v>0</v>
      </c>
      <c r="I329" s="51">
        <f>(I328)-(I158-H158)</f>
        <v>3.10862446895044e-14</v>
      </c>
      <c r="J329" s="51">
        <f>(J328)-(J158-I158)</f>
        <v>0</v>
      </c>
      <c r="K329" s="51">
        <f>(K328)-(K158-J158)</f>
        <v>-2.27373675443232e-13</v>
      </c>
      <c r="L329" s="51">
        <f>(L328)-(L158-K158)</f>
        <v>3.12638803734444e-13</v>
      </c>
      <c r="N329" s="51">
        <f>(N328)-(N158-M158)</f>
        <v>-3.12638803734444e-13</v>
      </c>
      <c r="O329" s="51">
        <f>(O328)-(O158-N158)</f>
        <v>4.2632564145606e-13</v>
      </c>
      <c r="P329" s="51">
        <f>(P328)-(P158-O158)</f>
        <v>0</v>
      </c>
      <c r="Q329" s="51">
        <f>(Q328)-(Q158-P158)</f>
        <v>0</v>
      </c>
      <c r="S329" s="51">
        <f>(S328)-(S158-R158)</f>
        <v>4.47641923528863e-13</v>
      </c>
      <c r="T329" s="51">
        <f>(T328)-(T158-S158)</f>
        <v>0</v>
      </c>
      <c r="U329" s="51">
        <f>(U328)-(U158-T158)</f>
        <v>0</v>
      </c>
      <c r="V329" s="51">
        <f>(V328)-(V158-U158)</f>
        <v>0</v>
      </c>
      <c r="X329" s="51">
        <f>(X328)-(X158-W158)</f>
        <v>-2.55795384873636e-13</v>
      </c>
      <c r="Y329" s="51">
        <f>(Y328)-(Y158-X158)</f>
        <v>0</v>
      </c>
      <c r="Z329" s="51">
        <f>(Z328)-(Z158-Y158)</f>
        <v>0</v>
      </c>
      <c r="AA329" s="51">
        <f>(AA328)-(AA158-Z158)</f>
        <v>0</v>
      </c>
      <c r="AC329" s="51">
        <f>(AC328)-(AC158-AB158)</f>
        <v>0</v>
      </c>
      <c r="AD329" s="51">
        <f>(AD328)-(AD158-AC158)</f>
        <v>0</v>
      </c>
      <c r="AE329" s="51">
        <f>(AE328)-(AE158-AD158)</f>
        <v>0</v>
      </c>
      <c r="AF329" s="51">
        <f>(AF328)-(AF158-AE158)</f>
        <v>-6.75015598972095e-13</v>
      </c>
      <c r="AH329" s="51">
        <f>(AH328)-(AH158-AG158)</f>
        <v>6.82121026329696e-13</v>
      </c>
      <c r="AI329" s="51">
        <f>(AI328)-(AI158-AH158)</f>
        <v>-8.38440428196918e-13</v>
      </c>
      <c r="AJ329" s="51">
        <f>(AJ328)-(AJ158-AI158)</f>
        <v>0</v>
      </c>
      <c r="AK329" s="51">
        <f>(AK328)-(AK158-AJ158)</f>
        <v>3.33955085807247e-13</v>
      </c>
      <c r="AM329" s="51" t="e">
        <f>(AM328)-(AM158-AL158)</f>
        <v>#DIV/0!</v>
      </c>
      <c r="AN329" s="51" t="e">
        <f>(AN328)-(AN158-AM158)</f>
        <v>#DIV/0!</v>
      </c>
      <c r="AO329" s="51" t="e">
        <f>(AO328)-(AO158-AN158)</f>
        <v>#DIV/0!</v>
      </c>
      <c r="AP329" s="51" t="e">
        <f>(AP328)-(AP158-AO158)</f>
        <v>#DIV/0!</v>
      </c>
      <c r="AR329" s="51" t="e">
        <f>(AR328)-(AR158-AQ158)</f>
        <v>#DIV/0!</v>
      </c>
      <c r="AS329" s="51" t="e">
        <f>(AS328)-(AS158-AR158)</f>
        <v>#DIV/0!</v>
      </c>
      <c r="AT329" s="51" t="e">
        <f>(AT328)-(AT158-AS158)</f>
        <v>#DIV/0!</v>
      </c>
      <c r="AU329" s="51" t="e">
        <f>(AU328)-(AU158-AT158)</f>
        <v>#DIV/0!</v>
      </c>
      <c r="AW329" s="51" t="e">
        <f>(AW328)-(AW158-AV158)</f>
        <v>#DIV/0!</v>
      </c>
      <c r="AX329" s="51" t="e">
        <f>(AX328)-(AX158-AW158)</f>
        <v>#DIV/0!</v>
      </c>
      <c r="AY329" s="51" t="e">
        <f>(AY328)-(AY158-AX158)</f>
        <v>#DIV/0!</v>
      </c>
      <c r="AZ329" s="51" t="e">
        <f>(AZ328)-(AZ158-AY158)</f>
        <v>#DIV/0!</v>
      </c>
      <c r="BB329" s="51" t="e">
        <f>(BB328)-(BB158-BA158)</f>
        <v>#DIV/0!</v>
      </c>
      <c r="BC329" s="51" t="e">
        <f>(BC328)-(BC158-BB158)</f>
        <v>#DIV/0!</v>
      </c>
      <c r="BD329" s="51" t="e">
        <f>(BD328)-(BD158-BC158)</f>
        <v>#DIV/0!</v>
      </c>
      <c r="BE329" s="51" t="e">
        <f>(BE328)-(BE158-BD158)</f>
        <v>#DIV/0!</v>
      </c>
      <c r="BG329" s="51" t="e">
        <f>(BG328)-(BG158-BF158)</f>
        <v>#DIV/0!</v>
      </c>
      <c r="BH329" s="51" t="e">
        <f>(BH328)-(BH158-BG158)</f>
        <v>#DIV/0!</v>
      </c>
      <c r="BI329" s="51" t="e">
        <f>(BI328)-(BI158-BH158)</f>
        <v>#DIV/0!</v>
      </c>
      <c r="BJ329" s="51" t="e">
        <f>(BJ328)-(BJ158-BI158)</f>
        <v>#DIV/0!</v>
      </c>
      <c r="BL329" s="51" t="e">
        <f>(BL328)-(BL158-BK158)</f>
        <v>#DIV/0!</v>
      </c>
      <c r="BM329" s="51" t="e">
        <f>(BM328)-(BM158-BL158)</f>
        <v>#DIV/0!</v>
      </c>
      <c r="BN329" s="51" t="e">
        <f>(BN328)-(BN158-BM158)</f>
        <v>#DIV/0!</v>
      </c>
      <c r="BO329" s="51" t="e">
        <f>(BO328)-(BO158-BN158)</f>
        <v>#DIV/0!</v>
      </c>
      <c r="BQ329" s="51" t="e">
        <f>(BQ328)-(BQ158-BP158)</f>
        <v>#DIV/0!</v>
      </c>
      <c r="BR329" s="51" t="e">
        <f>(BR328)-(BR158-BQ158)</f>
        <v>#DIV/0!</v>
      </c>
      <c r="BS329" s="51" t="e">
        <f>(BS328)-(BS158-BR158)</f>
        <v>#DIV/0!</v>
      </c>
      <c r="BT329" s="51" t="e">
        <f>(BT328)-(BT158-BS158)</f>
        <v>#DIV/0!</v>
      </c>
      <c r="BV329" s="51" t="e">
        <f>(BV328)-(BV158-BU158)</f>
        <v>#DIV/0!</v>
      </c>
      <c r="BW329" s="51" t="e">
        <f>(BW328)-(BW158-BV158)</f>
        <v>#DIV/0!</v>
      </c>
      <c r="BX329" s="51" t="e">
        <f>(BX328)-(BX158-BW158)</f>
        <v>#DIV/0!</v>
      </c>
      <c r="BY329" s="51" t="e">
        <f>(BY328)-(BY158-BX158)</f>
        <v>#DIV/0!</v>
      </c>
      <c r="CA329" s="51" t="e">
        <f>(CA328)-(CA158-BZ158)</f>
        <v>#DIV/0!</v>
      </c>
      <c r="CB329" s="51" t="e">
        <f>(CB328)-(CB158-CA158)</f>
        <v>#DIV/0!</v>
      </c>
      <c r="CC329" s="51" t="e">
        <f>(CC328)-(CC158-CB158)</f>
        <v>#DIV/0!</v>
      </c>
      <c r="CD329" s="51" t="e">
        <f>(CD328)-(CD158-CC158)</f>
        <v>#DIV/0!</v>
      </c>
      <c r="CF329" s="51" t="e">
        <f>(CF328)-(CF158-CE158)</f>
        <v>#DIV/0!</v>
      </c>
      <c r="CG329" s="51" t="e">
        <f>(CG328)-(CG158-CF158)</f>
        <v>#DIV/0!</v>
      </c>
      <c r="CH329" s="51" t="e">
        <f>(CH328)-(CH158-CG158)</f>
        <v>#DIV/0!</v>
      </c>
      <c r="CI329" s="51" t="e">
        <f>(CI328)-(CI158-CH158)</f>
        <v>#DIV/0!</v>
      </c>
      <c r="CK329" s="51" t="e">
        <f>(CK328)-(CK158-CJ158)</f>
        <v>#DIV/0!</v>
      </c>
      <c r="CL329" s="51" t="e">
        <f>(CL328)-(CL158-CK158)</f>
        <v>#DIV/0!</v>
      </c>
      <c r="CM329" s="51" t="e">
        <f>(CM328)-(CM158-CL158)</f>
        <v>#DIV/0!</v>
      </c>
      <c r="CN329" s="51" t="e">
        <f>(CN328)-(CN158-CM158)</f>
        <v>#DIV/0!</v>
      </c>
      <c r="CP329" s="51" t="e">
        <f>(CP328)-(CP158-CO158)</f>
        <v>#DIV/0!</v>
      </c>
      <c r="CQ329" s="51" t="e">
        <f>(CQ328)-(CQ158-CP158)</f>
        <v>#DIV/0!</v>
      </c>
      <c r="CR329" s="51" t="e">
        <f>(CR328)-(CR158-CQ158)</f>
        <v>#DIV/0!</v>
      </c>
      <c r="CS329" s="51" t="e">
        <f>(CS328)-(CS158-CR158)</f>
        <v>#DIV/0!</v>
      </c>
      <c r="CU329" s="51" t="e">
        <f>(CU328)-(CU158-CT158)</f>
        <v>#DIV/0!</v>
      </c>
      <c r="CV329" s="51" t="e">
        <f>(CV328)-(CV158-CU158)</f>
        <v>#DIV/0!</v>
      </c>
      <c r="CW329" s="51" t="e">
        <f>(CW328)-(CW158-CV158)</f>
        <v>#DIV/0!</v>
      </c>
      <c r="CX329" s="51" t="e">
        <f>(CX328)-(CX158-CW158)</f>
        <v>#DIV/0!</v>
      </c>
    </row>
    <row r="331">
      <c r="C331" s="53" t="inlineStr">
        <is>
          <t>Ratio Analysis</t>
        </is>
      </c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  <c r="AA331" s="53" t="n"/>
      <c r="AB331" s="53" t="n"/>
      <c r="AC331" s="53" t="n"/>
      <c r="AD331" s="53" t="n"/>
      <c r="AE331" s="53" t="n"/>
      <c r="AF331" s="53" t="n"/>
      <c r="AG331" s="53" t="n"/>
      <c r="AH331" s="53" t="n"/>
      <c r="AI331" s="53" t="n"/>
      <c r="AJ331" s="53" t="n"/>
      <c r="AK331" s="53" t="n"/>
      <c r="AL331" s="53" t="n"/>
      <c r="AM331" s="53" t="n"/>
      <c r="AN331" s="53" t="n"/>
      <c r="AO331" s="53" t="n"/>
      <c r="AP331" s="53" t="n"/>
      <c r="AQ331" s="53" t="n"/>
      <c r="AR331" s="53" t="n"/>
      <c r="AS331" s="53" t="n"/>
      <c r="AT331" s="53" t="n"/>
      <c r="AU331" s="53" t="n"/>
      <c r="AV331" s="53" t="n"/>
      <c r="AW331" s="53" t="n"/>
      <c r="AX331" s="53" t="n"/>
      <c r="AY331" s="53" t="n"/>
      <c r="AZ331" s="53" t="n"/>
      <c r="BA331" s="53" t="n"/>
      <c r="BB331" s="53" t="n"/>
      <c r="BC331" s="53" t="n"/>
      <c r="BD331" s="53" t="n"/>
      <c r="BE331" s="53" t="n"/>
      <c r="BF331" s="53" t="n"/>
      <c r="BG331" s="53" t="n"/>
      <c r="BH331" s="53" t="n"/>
      <c r="BI331" s="53" t="n"/>
      <c r="BJ331" s="53" t="n"/>
      <c r="BK331" s="53" t="n"/>
      <c r="BL331" s="53" t="n"/>
      <c r="BM331" s="53" t="n"/>
      <c r="BN331" s="53" t="n"/>
      <c r="BO331" s="53" t="n"/>
      <c r="BP331" s="53" t="n"/>
      <c r="BQ331" s="53" t="n"/>
      <c r="BR331" s="53" t="n"/>
      <c r="BS331" s="53" t="n"/>
      <c r="BT331" s="53" t="n"/>
      <c r="BU331" s="53" t="n"/>
      <c r="BV331" s="53" t="n"/>
      <c r="BW331" s="53" t="n"/>
      <c r="BX331" s="53" t="n"/>
      <c r="BY331" s="53" t="n"/>
      <c r="BZ331" s="53" t="n"/>
      <c r="CA331" s="53" t="n"/>
      <c r="CB331" s="53" t="n"/>
      <c r="CC331" s="53" t="n"/>
      <c r="CD331" s="53" t="n"/>
      <c r="CE331" s="53" t="n"/>
      <c r="CF331" s="53" t="n"/>
      <c r="CG331" s="53" t="n"/>
      <c r="CH331" s="53" t="n"/>
      <c r="CI331" s="53" t="n"/>
      <c r="CJ331" s="53" t="n"/>
      <c r="CK331" s="53" t="n"/>
      <c r="CL331" s="53" t="n"/>
      <c r="CM331" s="53" t="n"/>
      <c r="CN331" s="53" t="n"/>
      <c r="CO331" s="53" t="n"/>
      <c r="CP331" s="53" t="n"/>
      <c r="CQ331" s="53" t="n"/>
      <c r="CR331" s="53" t="n"/>
      <c r="CS331" s="53" t="n"/>
      <c r="CT331" s="53" t="n"/>
      <c r="CU331" s="53" t="n"/>
      <c r="CV331" s="53" t="n"/>
      <c r="CW331" s="53" t="n"/>
      <c r="CX331" s="53" t="n"/>
      <c r="CY331" s="53" t="n"/>
    </row>
    <row r="333" customFormat="1" s="234">
      <c r="C333" s="234" t="inlineStr">
        <is>
          <t>YEAR</t>
        </is>
      </c>
      <c r="D333" s="234" t="str">
        <f>D289</f>
        <v>1Q20</v>
      </c>
      <c r="E333" s="235" t="str">
        <f>E289</f>
        <v>2Q20</v>
      </c>
      <c r="F333" s="235" t="str">
        <f>F289</f>
        <v>3Q20</v>
      </c>
      <c r="G333" s="235" t="str">
        <f>G289</f>
        <v>4Q20</v>
      </c>
      <c r="H333" s="235">
        <f>H289</f>
        <v>2020</v>
      </c>
      <c r="I333" s="235" t="str">
        <f>I289</f>
        <v>1Q21</v>
      </c>
      <c r="J333" s="235" t="str">
        <f>J289</f>
        <v>2Q21</v>
      </c>
      <c r="K333" s="235" t="str">
        <f>K289</f>
        <v>3Q21</v>
      </c>
      <c r="L333" s="235" t="str">
        <f>L289</f>
        <v>4Q21</v>
      </c>
      <c r="M333" s="235">
        <f>M289</f>
        <v>2021</v>
      </c>
      <c r="N333" s="235" t="str">
        <f>N289</f>
        <v>1Q22</v>
      </c>
      <c r="O333" s="235" t="str">
        <f>O289</f>
        <v>2Q22</v>
      </c>
      <c r="P333" s="235" t="str">
        <f>P289</f>
        <v>3Q22</v>
      </c>
      <c r="Q333" s="235" t="str">
        <f>Q289</f>
        <v>4Q22</v>
      </c>
      <c r="R333" s="235">
        <f>R289</f>
        <v>2022</v>
      </c>
      <c r="S333" s="235" t="str">
        <f>S289</f>
        <v>1Q23</v>
      </c>
      <c r="T333" s="235" t="str">
        <f>T289</f>
        <v>2Q23</v>
      </c>
      <c r="U333" s="235" t="str">
        <f>U289</f>
        <v>3Q23</v>
      </c>
      <c r="V333" s="235" t="str">
        <f>V289</f>
        <v>4Q23</v>
      </c>
      <c r="W333" s="235">
        <f>W289</f>
        <v>2023</v>
      </c>
      <c r="X333" s="235" t="str">
        <f>X289</f>
        <v>1Q24</v>
      </c>
      <c r="Y333" s="235" t="str">
        <f>Y289</f>
        <v>2Q24</v>
      </c>
      <c r="Z333" s="235" t="str">
        <f>Z289</f>
        <v>3Q24</v>
      </c>
      <c r="AA333" s="235" t="str">
        <f>AA289</f>
        <v>4Q24</v>
      </c>
      <c r="AB333" s="235">
        <f>AB289</f>
        <v>2024</v>
      </c>
      <c r="AC333" s="235" t="str">
        <f>AC289</f>
        <v>1Q25</v>
      </c>
      <c r="AD333" s="235" t="str">
        <f>AD289</f>
        <v>2Q25</v>
      </c>
      <c r="AE333" s="235" t="str">
        <f>AE289</f>
        <v>3Q25</v>
      </c>
      <c r="AF333" s="235" t="str">
        <f>AF289</f>
        <v>4Q25</v>
      </c>
      <c r="AG333" s="235">
        <f>AG289</f>
        <v>2025</v>
      </c>
      <c r="AH333" s="235" t="str">
        <f>AH289</f>
        <v>1Q26</v>
      </c>
      <c r="AI333" s="235" t="str">
        <f>AI289</f>
        <v>2Q26</v>
      </c>
      <c r="AJ333" s="235" t="str">
        <f>AJ289</f>
        <v>3Q26</v>
      </c>
      <c r="AK333" s="235" t="str">
        <f>AK289</f>
        <v>4Q26</v>
      </c>
      <c r="AL333" s="235">
        <f>AL289</f>
        <v>2026</v>
      </c>
      <c r="AM333" s="235" t="str">
        <f>AM289</f>
        <v>1Q27</v>
      </c>
      <c r="AN333" s="235" t="str">
        <f>AN289</f>
        <v>2Q27</v>
      </c>
      <c r="AO333" s="235" t="str">
        <f>AO289</f>
        <v>3Q27</v>
      </c>
      <c r="AP333" s="235" t="str">
        <f>AP289</f>
        <v>4Q27</v>
      </c>
      <c r="AQ333" s="235">
        <f>AQ289</f>
        <v>2027</v>
      </c>
      <c r="AR333" s="235" t="str">
        <f>AR289</f>
        <v>1Q28</v>
      </c>
      <c r="AS333" s="235" t="str">
        <f>AS289</f>
        <v>2Q28</v>
      </c>
      <c r="AT333" s="235" t="str">
        <f>AT289</f>
        <v>3Q28</v>
      </c>
      <c r="AU333" s="235" t="str">
        <f>AU289</f>
        <v>4Q28</v>
      </c>
      <c r="AV333" s="235">
        <f>AV289</f>
        <v>2028</v>
      </c>
      <c r="AW333" s="235" t="str">
        <f>AW289</f>
        <v>1Q29</v>
      </c>
      <c r="AX333" s="235" t="str">
        <f>AX289</f>
        <v>2Q29</v>
      </c>
      <c r="AY333" s="235" t="str">
        <f>AY289</f>
        <v>3Q29</v>
      </c>
      <c r="AZ333" s="235" t="str">
        <f>AZ289</f>
        <v>4Q29</v>
      </c>
      <c r="BA333" s="235">
        <f>BA289</f>
        <v>2029</v>
      </c>
      <c r="BB333" s="235" t="str">
        <f>BB289</f>
        <v>1Q30</v>
      </c>
      <c r="BC333" s="235" t="str">
        <f>BC289</f>
        <v>2Q30</v>
      </c>
      <c r="BD333" s="235" t="str">
        <f>BD289</f>
        <v>3Q30</v>
      </c>
      <c r="BE333" s="235" t="str">
        <f>BE289</f>
        <v>4Q30</v>
      </c>
      <c r="BF333" s="235">
        <f>BF289</f>
        <v>2030</v>
      </c>
      <c r="BG333" s="235" t="str">
        <f>BG289</f>
        <v>1Q31</v>
      </c>
      <c r="BH333" s="235" t="str">
        <f>BH289</f>
        <v>2Q31</v>
      </c>
      <c r="BI333" s="235" t="str">
        <f>BI289</f>
        <v>3Q31</v>
      </c>
      <c r="BJ333" s="235" t="str">
        <f>BJ289</f>
        <v>4Q31</v>
      </c>
      <c r="BK333" s="235">
        <f>BK289</f>
        <v>2031</v>
      </c>
      <c r="BL333" s="235" t="str">
        <f>BL289</f>
        <v>1Q32</v>
      </c>
      <c r="BM333" s="235" t="str">
        <f>BM289</f>
        <v>2Q32</v>
      </c>
      <c r="BN333" s="235" t="str">
        <f>BN289</f>
        <v>3Q32</v>
      </c>
      <c r="BO333" s="235" t="str">
        <f>BO289</f>
        <v>4Q32</v>
      </c>
      <c r="BP333" s="235">
        <f>BP289</f>
        <v>2032</v>
      </c>
      <c r="BQ333" s="235" t="str">
        <f>BQ289</f>
        <v>1Q33</v>
      </c>
      <c r="BR333" s="235" t="str">
        <f>BR289</f>
        <v>2Q33</v>
      </c>
      <c r="BS333" s="235" t="str">
        <f>BS289</f>
        <v>3Q33</v>
      </c>
      <c r="BT333" s="235" t="str">
        <f>BT289</f>
        <v>4Q33</v>
      </c>
      <c r="BU333" s="235">
        <f>BU289</f>
        <v>2033</v>
      </c>
      <c r="BV333" s="235" t="str">
        <f>BV289</f>
        <v>1Q34</v>
      </c>
      <c r="BW333" s="235" t="str">
        <f>BW289</f>
        <v>2Q34</v>
      </c>
      <c r="BX333" s="235" t="str">
        <f>BX289</f>
        <v>3Q34</v>
      </c>
      <c r="BY333" s="235" t="str">
        <f>BY289</f>
        <v>4Q34</v>
      </c>
      <c r="BZ333" s="235">
        <f>BZ289</f>
        <v>2034</v>
      </c>
      <c r="CA333" s="235" t="str">
        <f>CA289</f>
        <v>1Q35</v>
      </c>
      <c r="CB333" s="235" t="str">
        <f>CB289</f>
        <v>2Q35</v>
      </c>
      <c r="CC333" s="235" t="str">
        <f>CC289</f>
        <v>3Q35</v>
      </c>
      <c r="CD333" s="235" t="str">
        <f>CD289</f>
        <v>4Q35</v>
      </c>
      <c r="CE333" s="235">
        <f>CE289</f>
        <v>2035</v>
      </c>
      <c r="CF333" s="235" t="str">
        <f>CF289</f>
        <v>1Q36</v>
      </c>
      <c r="CG333" s="235" t="str">
        <f>CG289</f>
        <v>2Q36</v>
      </c>
      <c r="CH333" s="235" t="str">
        <f>CH289</f>
        <v>3Q36</v>
      </c>
      <c r="CI333" s="235" t="str">
        <f>CI289</f>
        <v>4Q36</v>
      </c>
      <c r="CJ333" s="235">
        <f>CJ289</f>
        <v>2036</v>
      </c>
      <c r="CK333" s="235" t="str">
        <f>CK289</f>
        <v>1Q37</v>
      </c>
      <c r="CL333" s="235" t="str">
        <f>CL289</f>
        <v>2Q37</v>
      </c>
      <c r="CM333" s="235" t="str">
        <f>CM289</f>
        <v>3Q37</v>
      </c>
      <c r="CN333" s="235" t="str">
        <f>CN289</f>
        <v>4Q37</v>
      </c>
      <c r="CO333" s="235">
        <f>CO289</f>
        <v>2037</v>
      </c>
      <c r="CP333" s="235" t="str">
        <f>CP289</f>
        <v>1Q38</v>
      </c>
      <c r="CQ333" s="235" t="str">
        <f>CQ289</f>
        <v>2Q38</v>
      </c>
      <c r="CR333" s="235" t="str">
        <f>CR289</f>
        <v>3Q38</v>
      </c>
      <c r="CS333" s="235" t="str">
        <f>CS289</f>
        <v>4Q38</v>
      </c>
      <c r="CT333" s="235">
        <f>CT289</f>
        <v>2038</v>
      </c>
      <c r="CU333" s="235" t="str">
        <f>CU289</f>
        <v>1Q39</v>
      </c>
      <c r="CV333" s="235" t="str">
        <f>CV289</f>
        <v>2Q39</v>
      </c>
      <c r="CW333" s="235" t="str">
        <f>CW289</f>
        <v>3Q39</v>
      </c>
      <c r="CX333" s="235" t="str">
        <f>CX289</f>
        <v>4Q39</v>
      </c>
      <c r="CY333" s="235">
        <f>CY289</f>
        <v>2039</v>
      </c>
    </row>
    <row r="334" customFormat="1" s="233">
      <c r="A334" s="224" t="n"/>
      <c r="B334" s="224" t="n"/>
      <c r="C334" s="234" t="inlineStr">
        <is>
          <t>GROWTH &amp; MARGINS</t>
        </is>
      </c>
    </row>
    <row r="335" customFormat="1" s="233">
      <c r="A335" s="224" t="n"/>
      <c r="B335" s="224" t="n"/>
      <c r="C335" s="233" t="inlineStr">
        <is>
          <t>NET REVENUE GROWTH</t>
        </is>
      </c>
      <c r="E335" s="236">
        <f>E15/D15-1</f>
        <v>0.0830675564510099</v>
      </c>
      <c r="F335" s="236">
        <f>F15/E15-1</f>
        <v>0.323690922974444</v>
      </c>
      <c r="G335" s="236">
        <f>G15/F15-1</f>
        <v>0.059408158380843</v>
      </c>
      <c r="H335" s="236" t="n"/>
      <c r="I335" s="220">
        <f>I15/H15-1</f>
        <v>-0.703598029845844</v>
      </c>
      <c r="J335" s="220">
        <f>J15/I15-1</f>
        <v>0.330255300837641</v>
      </c>
      <c r="K335" s="220">
        <f>K15/J15-1</f>
        <v>0.0113276341846558</v>
      </c>
      <c r="L335" s="220">
        <f>L15/K15-1</f>
        <v>0.0761823891638627</v>
      </c>
      <c r="M335" s="236" t="n"/>
      <c r="N335" s="220">
        <f>N15/M15-1</f>
        <v>-0.742636404857376</v>
      </c>
      <c r="O335" s="220">
        <f>O15/N15-1</f>
        <v>0.347380491490341</v>
      </c>
      <c r="P335" s="220">
        <f>P15/O15-1</f>
        <v>0.039609610755446</v>
      </c>
      <c r="Q335" s="220">
        <f>Q15/P15-1</f>
        <v>-0.0736939866817519</v>
      </c>
      <c r="R335" s="236" t="n"/>
      <c r="S335" s="220">
        <f>S15/R15-1</f>
        <v>-0.73642954794546</v>
      </c>
      <c r="T335" s="220">
        <f>T15/S15-1</f>
        <v>0.223192975615003</v>
      </c>
      <c r="U335" s="220">
        <f>U15/T15-1</f>
        <v>0.0331544247580888</v>
      </c>
      <c r="V335" s="220">
        <f>V15/U15-1</f>
        <v>0.0794308620859345</v>
      </c>
      <c r="W335" s="236" t="n"/>
      <c r="X335" s="220">
        <f>X15/W15-1</f>
        <v>-0.709864138381219</v>
      </c>
      <c r="Y335" s="220">
        <f>Y15/X15-1</f>
        <v>0.191911218535865</v>
      </c>
      <c r="Z335" s="220">
        <f>Z15/Y15-1</f>
        <v>0.0578978744295327</v>
      </c>
      <c r="AA335" s="220">
        <f>AA15/Z15-1</f>
        <v>-0.0197950130318827</v>
      </c>
      <c r="AB335" s="236" t="n"/>
      <c r="AC335" s="220">
        <f>AC15/AB15-1</f>
        <v>-0.690247586155958</v>
      </c>
      <c r="AD335" s="220">
        <f>AD15/AC15-1</f>
        <v>0.107232951592851</v>
      </c>
      <c r="AE335" s="220">
        <f>AE15/AD15-1</f>
        <v>0.0522256440113205</v>
      </c>
      <c r="AF335" s="220">
        <f>AF15/AE15-1</f>
        <v>0.00196834555933045</v>
      </c>
      <c r="AG335" s="236" t="n"/>
      <c r="AH335" s="220">
        <f>AH15/AG15-1</f>
        <v>-0.701343884088377</v>
      </c>
      <c r="AI335" s="220">
        <f>AI15/AH15-1</f>
        <v>0.0483842261829091</v>
      </c>
      <c r="AJ335" s="220">
        <f>AJ15/AI15-1</f>
        <v>-0.161876831456873</v>
      </c>
      <c r="AK335" s="220">
        <f>AK15/AJ15-1</f>
        <v>0.00196834555933045</v>
      </c>
      <c r="AL335" s="236" t="n"/>
      <c r="AM335" s="220">
        <f>AM15/AL15-1</f>
        <v>-0.737357988183992</v>
      </c>
      <c r="AN335" s="220">
        <f>AN15/AM15-1</f>
        <v>0.0483842261829091</v>
      </c>
      <c r="AO335" s="220">
        <f>AO15/AN15-1</f>
        <v>-0.161876831456873</v>
      </c>
      <c r="AP335" s="220">
        <f>AP15/AO15-1</f>
        <v>0.00196834555933045</v>
      </c>
      <c r="AQ335" s="236" t="n"/>
      <c r="AR335" s="220">
        <f>AR15/AQ15-1</f>
        <v>-0.737357988183992</v>
      </c>
      <c r="AS335" s="220">
        <f>AS15/AR15-1</f>
        <v>0.0483842261829091</v>
      </c>
      <c r="AT335" s="220">
        <f>AT15/AS15-1</f>
        <v>-0.161876831456873</v>
      </c>
      <c r="AU335" s="220">
        <f>AU15/AT15-1</f>
        <v>0.00196834555933045</v>
      </c>
      <c r="AV335" s="236" t="n"/>
      <c r="AW335" s="220">
        <f>AW15/AV15-1</f>
        <v>-0.737357988183992</v>
      </c>
      <c r="AX335" s="220">
        <f>AX15/AW15-1</f>
        <v>0.0483842261829091</v>
      </c>
      <c r="AY335" s="220">
        <f>AY15/AX15-1</f>
        <v>-0.161876831456873</v>
      </c>
      <c r="AZ335" s="220">
        <f>AZ15/AY15-1</f>
        <v>0.00196834555933045</v>
      </c>
      <c r="BA335" s="236" t="n"/>
      <c r="BB335" s="220">
        <f>BB15/BA15-1</f>
        <v>-0.737357988183992</v>
      </c>
      <c r="BC335" s="220">
        <f>BC15/BB15-1</f>
        <v>0.0483842261829091</v>
      </c>
      <c r="BD335" s="220">
        <f>BD15/BC15-1</f>
        <v>-0.161876831456873</v>
      </c>
      <c r="BE335" s="220">
        <f>BE15/BD15-1</f>
        <v>0.00196834555933045</v>
      </c>
      <c r="BF335" s="236" t="n"/>
      <c r="BG335" s="220">
        <f>BG15/BF15-1</f>
        <v>-0.737357988183992</v>
      </c>
      <c r="BH335" s="220">
        <f>BH15/BG15-1</f>
        <v>0.0483842261829091</v>
      </c>
      <c r="BI335" s="220">
        <f>BI15/BH15-1</f>
        <v>-0.161876831456873</v>
      </c>
      <c r="BJ335" s="220">
        <f>BJ15/BI15-1</f>
        <v>0.00196834555933045</v>
      </c>
      <c r="BK335" s="236" t="n"/>
      <c r="BL335" s="220">
        <f>BL15/BK15-1</f>
        <v>-0.737357988183992</v>
      </c>
      <c r="BM335" s="220">
        <f>BM15/BL15-1</f>
        <v>0.0483842261829091</v>
      </c>
      <c r="BN335" s="220">
        <f>BN15/BM15-1</f>
        <v>-0.161876831456873</v>
      </c>
      <c r="BO335" s="220">
        <f>BO15/BN15-1</f>
        <v>0.00196834555933045</v>
      </c>
      <c r="BP335" s="236" t="n"/>
      <c r="BQ335" s="220">
        <f>BQ15/BP15-1</f>
        <v>-0.737357988183992</v>
      </c>
      <c r="BR335" s="220">
        <f>BR15/BQ15-1</f>
        <v>0.0483842261829091</v>
      </c>
      <c r="BS335" s="220">
        <f>BS15/BR15-1</f>
        <v>-0.161876831456873</v>
      </c>
      <c r="BT335" s="220">
        <f>BT15/BS15-1</f>
        <v>0.00196834555933045</v>
      </c>
      <c r="BU335" s="236" t="n"/>
      <c r="BV335" s="220">
        <f>BV15/BU15-1</f>
        <v>-0.737357988183992</v>
      </c>
      <c r="BW335" s="220">
        <f>BW15/BV15-1</f>
        <v>0.0483842261829091</v>
      </c>
      <c r="BX335" s="220">
        <f>BX15/BW15-1</f>
        <v>-0.161876831456873</v>
      </c>
      <c r="BY335" s="220">
        <f>BY15/BX15-1</f>
        <v>0.00196834555933045</v>
      </c>
      <c r="BZ335" s="236" t="n"/>
      <c r="CA335" s="220">
        <f>CA15/BZ15-1</f>
        <v>-0.737357988183992</v>
      </c>
      <c r="CB335" s="220">
        <f>CB15/CA15-1</f>
        <v>0.0483842261829091</v>
      </c>
      <c r="CC335" s="220">
        <f>CC15/CB15-1</f>
        <v>-0.161876831456873</v>
      </c>
      <c r="CD335" s="220">
        <f>CD15/CC15-1</f>
        <v>0.00196834555933045</v>
      </c>
      <c r="CE335" s="236" t="n"/>
      <c r="CF335" s="220">
        <f>CF15/CE15-1</f>
        <v>-0.737357988183992</v>
      </c>
      <c r="CG335" s="220">
        <f>CG15/CF15-1</f>
        <v>0.0483842261829091</v>
      </c>
      <c r="CH335" s="220">
        <f>CH15/CG15-1</f>
        <v>-0.161876831456873</v>
      </c>
      <c r="CI335" s="220">
        <f>CI15/CH15-1</f>
        <v>0.00196834555933045</v>
      </c>
      <c r="CJ335" s="236" t="n"/>
      <c r="CK335" s="220">
        <f>CK15/CJ15-1</f>
        <v>-0.737357988183992</v>
      </c>
      <c r="CL335" s="220">
        <f>CL15/CK15-1</f>
        <v>0.0483842261829091</v>
      </c>
      <c r="CM335" s="220">
        <f>CM15/CL15-1</f>
        <v>-0.161876831456873</v>
      </c>
      <c r="CN335" s="220">
        <f>CN15/CM15-1</f>
        <v>0.00196834555933045</v>
      </c>
      <c r="CO335" s="236" t="n"/>
      <c r="CP335" s="220">
        <f>CP15/CO15-1</f>
        <v>-0.737357988183992</v>
      </c>
      <c r="CQ335" s="220">
        <f>CQ15/CP15-1</f>
        <v>0.0483842261829091</v>
      </c>
      <c r="CR335" s="220">
        <f>CR15/CQ15-1</f>
        <v>-0.161876831456873</v>
      </c>
      <c r="CS335" s="220">
        <f>CS15/CR15-1</f>
        <v>0.00196834555933045</v>
      </c>
      <c r="CT335" s="236" t="n"/>
      <c r="CU335" s="220">
        <f>CU15/CT15-1</f>
        <v>-0.737357988183992</v>
      </c>
      <c r="CV335" s="220">
        <f>CV15/CU15-1</f>
        <v>0.0483842261829091</v>
      </c>
      <c r="CW335" s="220">
        <f>CW15/CV15-1</f>
        <v>-0.161876831456873</v>
      </c>
      <c r="CX335" s="220">
        <f>CX15/CW15-1</f>
        <v>0.00196834555933045</v>
      </c>
      <c r="CY335" s="236" t="n"/>
    </row>
    <row r="336" customFormat="1" s="233">
      <c r="A336" s="224" t="n"/>
      <c r="B336" s="224" t="n"/>
      <c r="C336" s="233" t="inlineStr">
        <is>
          <t>GROSS MARGIN</t>
        </is>
      </c>
      <c r="D336" s="220">
        <f>SUM(D15,D68)/D15</f>
        <v>0.343742988989139</v>
      </c>
      <c r="E336" s="220">
        <f>SUM(E15,E68)/E15</f>
        <v>0.353637633832107</v>
      </c>
      <c r="F336" s="220">
        <f>SUM(F15,F68)/F15</f>
        <v>0.378514136324862</v>
      </c>
      <c r="G336" s="220">
        <f>SUM(G15,G68)/G15</f>
        <v>0.404988718614142</v>
      </c>
      <c r="I336" s="221">
        <f>SUM(I15,I68)/I15</f>
        <v>0.35469191183839</v>
      </c>
      <c r="J336" s="221">
        <f>SUM(J15,J68)/J15</f>
        <v>0.360963094095986</v>
      </c>
      <c r="K336" s="221">
        <f>SUM(K15,K68)/K15</f>
        <v>0.383332241175832</v>
      </c>
      <c r="L336" s="221">
        <f>SUM(L15,L68)/L15</f>
        <v>0.379546560319855</v>
      </c>
      <c r="N336" s="221">
        <f>SUM(N15,N68)/N15</f>
        <v>0.370850787037244</v>
      </c>
      <c r="O336" s="221">
        <f>SUM(O15,O68)/O15</f>
        <v>0.35750344651392</v>
      </c>
      <c r="P336" s="221">
        <f>SUM(P15,P68)/P15</f>
        <v>0.372998712218288</v>
      </c>
      <c r="Q336" s="221">
        <f>SUM(Q15,Q68)/Q15</f>
        <v>0.382000695978142</v>
      </c>
      <c r="S336" s="221">
        <f>SUM(S15,S68)/S15</f>
        <v>0.375089922616126</v>
      </c>
      <c r="T336" s="221">
        <f>SUM(T15,T68)/T15</f>
        <v>0.377266243991722</v>
      </c>
      <c r="U336" s="221">
        <f>SUM(U15,U68)/U15</f>
        <v>0.377593852161399</v>
      </c>
      <c r="V336" s="221">
        <f>SUM(V15,V68)/V15</f>
        <v>0.386564251179158</v>
      </c>
      <c r="X336" s="221">
        <f>SUM(X15,X68)/X15</f>
        <v>0.378093868748074</v>
      </c>
      <c r="Y336" s="221">
        <f>SUM(Y15,Y68)/Y15</f>
        <v>0.383264952383815</v>
      </c>
      <c r="Z336" s="221">
        <f>SUM(Z15,Z68)/Z15</f>
        <v>0.387779958176749</v>
      </c>
      <c r="AA336" s="221">
        <f>SUM(AA15,AA68)/AA15</f>
        <v>0.390691140138226</v>
      </c>
      <c r="AC336" s="221">
        <f>SUM(AC15,AC68)/AC15</f>
        <v>0.390473809884031</v>
      </c>
      <c r="AD336" s="221">
        <f>SUM(AD15,AD68)/AD15</f>
        <v>0.395645622787482</v>
      </c>
      <c r="AE336" s="221">
        <f>SUM(AE15,AE68)/AE15</f>
        <v>0.399616493733618</v>
      </c>
      <c r="AF336" s="221">
        <f>SUM(AF15,AF68)/AF15</f>
        <v>0.403388003930366</v>
      </c>
      <c r="AH336" s="221">
        <f>SUM(AH15,AH68)/AH15</f>
        <v>0.390467148423232</v>
      </c>
      <c r="AI336" s="221">
        <f>SUM(AI15,AI68)/AI15</f>
        <v>0.395341519016393</v>
      </c>
      <c r="AJ336" s="221">
        <f>SUM(AJ15,AJ68)/AJ15</f>
        <v>0</v>
      </c>
      <c r="AK336" s="221">
        <f>SUM(AK15,AK68)/AK15</f>
        <v>0</v>
      </c>
      <c r="AM336" s="221">
        <f>SUM(AM15,AM68)/AM15</f>
        <v>0</v>
      </c>
      <c r="AN336" s="221">
        <f>SUM(AN15,AN68)/AN15</f>
        <v>0</v>
      </c>
      <c r="AO336" s="221">
        <f>SUM(AO15,AO68)/AO15</f>
        <v>0</v>
      </c>
      <c r="AP336" s="221">
        <f>SUM(AP15,AP68)/AP15</f>
        <v>0</v>
      </c>
      <c r="AR336" s="221">
        <f>SUM(AR15,AR68)/AR15</f>
        <v>0</v>
      </c>
      <c r="AS336" s="221">
        <f>SUM(AS15,AS68)/AS15</f>
        <v>0</v>
      </c>
      <c r="AT336" s="221">
        <f>SUM(AT15,AT68)/AT15</f>
        <v>0</v>
      </c>
      <c r="AU336" s="221">
        <f>SUM(AU15,AU68)/AU15</f>
        <v>0</v>
      </c>
      <c r="AW336" s="221">
        <f>SUM(AW15,AW68)/AW15</f>
        <v>0</v>
      </c>
      <c r="AX336" s="221">
        <f>SUM(AX15,AX68)/AX15</f>
        <v>0</v>
      </c>
      <c r="AY336" s="221">
        <f>SUM(AY15,AY68)/AY15</f>
        <v>0</v>
      </c>
      <c r="AZ336" s="221">
        <f>SUM(AZ15,AZ68)/AZ15</f>
        <v>0</v>
      </c>
      <c r="BB336" s="221">
        <f>SUM(BB15,BB68)/BB15</f>
        <v>0</v>
      </c>
      <c r="BC336" s="221">
        <f>SUM(BC15,BC68)/BC15</f>
        <v>0</v>
      </c>
      <c r="BD336" s="221">
        <f>SUM(BD15,BD68)/BD15</f>
        <v>0</v>
      </c>
      <c r="BE336" s="221">
        <f>SUM(BE15,BE68)/BE15</f>
        <v>0</v>
      </c>
      <c r="BG336" s="221">
        <f>SUM(BG15,BG68)/BG15</f>
        <v>0</v>
      </c>
      <c r="BH336" s="221">
        <f>SUM(BH15,BH68)/BH15</f>
        <v>0</v>
      </c>
      <c r="BI336" s="221">
        <f>SUM(BI15,BI68)/BI15</f>
        <v>0</v>
      </c>
      <c r="BJ336" s="221">
        <f>SUM(BJ15,BJ68)/BJ15</f>
        <v>0</v>
      </c>
      <c r="BL336" s="221">
        <f>SUM(BL15,BL68)/BL15</f>
        <v>0</v>
      </c>
      <c r="BM336" s="221">
        <f>SUM(BM15,BM68)/BM15</f>
        <v>0</v>
      </c>
      <c r="BN336" s="221">
        <f>SUM(BN15,BN68)/BN15</f>
        <v>0</v>
      </c>
      <c r="BO336" s="221">
        <f>SUM(BO15,BO68)/BO15</f>
        <v>0</v>
      </c>
      <c r="BQ336" s="221">
        <f>SUM(BQ15,BQ68)/BQ15</f>
        <v>0</v>
      </c>
      <c r="BR336" s="221">
        <f>SUM(BR15,BR68)/BR15</f>
        <v>0</v>
      </c>
      <c r="BS336" s="221">
        <f>SUM(BS15,BS68)/BS15</f>
        <v>0</v>
      </c>
      <c r="BT336" s="221">
        <f>SUM(BT15,BT68)/BT15</f>
        <v>0</v>
      </c>
      <c r="BV336" s="221">
        <f>SUM(BV15,BV68)/BV15</f>
        <v>0</v>
      </c>
      <c r="BW336" s="221">
        <f>SUM(BW15,BW68)/BW15</f>
        <v>0</v>
      </c>
      <c r="BX336" s="221">
        <f>SUM(BX15,BX68)/BX15</f>
        <v>0</v>
      </c>
      <c r="BY336" s="221">
        <f>SUM(BY15,BY68)/BY15</f>
        <v>0</v>
      </c>
      <c r="CA336" s="221">
        <f>SUM(CA15,CA68)/CA15</f>
        <v>0</v>
      </c>
      <c r="CB336" s="221">
        <f>SUM(CB15,CB68)/CB15</f>
        <v>0</v>
      </c>
      <c r="CC336" s="221">
        <f>SUM(CC15,CC68)/CC15</f>
        <v>0</v>
      </c>
      <c r="CD336" s="221">
        <f>SUM(CD15,CD68)/CD15</f>
        <v>0</v>
      </c>
      <c r="CF336" s="221">
        <f>SUM(CF15,CF68)/CF15</f>
        <v>0</v>
      </c>
      <c r="CG336" s="221">
        <f>SUM(CG15,CG68)/CG15</f>
        <v>0</v>
      </c>
      <c r="CH336" s="221">
        <f>SUM(CH15,CH68)/CH15</f>
        <v>0</v>
      </c>
      <c r="CI336" s="221">
        <f>SUM(CI15,CI68)/CI15</f>
        <v>0</v>
      </c>
      <c r="CK336" s="221">
        <f>SUM(CK15,CK68)/CK15</f>
        <v>0</v>
      </c>
      <c r="CL336" s="221">
        <f>SUM(CL15,CL68)/CL15</f>
        <v>0</v>
      </c>
      <c r="CM336" s="221">
        <f>SUM(CM15,CM68)/CM15</f>
        <v>0</v>
      </c>
      <c r="CN336" s="221">
        <f>SUM(CN15,CN68)/CN15</f>
        <v>0</v>
      </c>
      <c r="CP336" s="221">
        <f>SUM(CP15,CP68)/CP15</f>
        <v>0</v>
      </c>
      <c r="CQ336" s="221">
        <f>SUM(CQ15,CQ68)/CQ15</f>
        <v>0</v>
      </c>
      <c r="CR336" s="221">
        <f>SUM(CR15,CR68)/CR15</f>
        <v>0</v>
      </c>
      <c r="CS336" s="221">
        <f>SUM(CS15,CS68)/CS15</f>
        <v>0</v>
      </c>
      <c r="CU336" s="221">
        <f>SUM(CU15,CU68)/CU15</f>
        <v>0</v>
      </c>
      <c r="CV336" s="221">
        <f>SUM(CV15,CV68)/CV15</f>
        <v>0</v>
      </c>
      <c r="CW336" s="221">
        <f>SUM(CW15,CW68)/CW15</f>
        <v>0</v>
      </c>
      <c r="CX336" s="221">
        <f>SUM(CX15,CX68)/CX15</f>
        <v>0</v>
      </c>
    </row>
    <row r="337" customFormat="1" s="233">
      <c r="A337" s="224" t="n"/>
      <c r="B337" s="224" t="n"/>
      <c r="C337" s="233" t="inlineStr">
        <is>
          <t>EBIT MARGIN</t>
        </is>
      </c>
      <c r="D337" s="236">
        <f>(D87/D15)</f>
        <v>0.10794867170213</v>
      </c>
      <c r="E337" s="236">
        <f>(E87/E15)</f>
        <v>0.197320108527887</v>
      </c>
      <c r="F337" s="236">
        <f>(F87/F15)</f>
        <v>0.205567386114674</v>
      </c>
      <c r="G337" s="236">
        <f>(G87/G15)</f>
        <v>0.239090074407908</v>
      </c>
      <c r="I337" s="222">
        <f>(I87/I15)</f>
        <v>0.185221317708364</v>
      </c>
      <c r="J337" s="222">
        <f>(J87/J15)</f>
        <v>0.197225133326096</v>
      </c>
      <c r="K337" s="222">
        <f>(K87/K15)</f>
        <v>0.190583679730955</v>
      </c>
      <c r="L337" s="222">
        <f>(L87/L15)</f>
        <v>0.278061084273334</v>
      </c>
      <c r="N337" s="222">
        <f>(N87/N15)</f>
        <v>0.177444375399554</v>
      </c>
      <c r="O337" s="222">
        <f>(O87/O15)</f>
        <v>0.186032121012039</v>
      </c>
      <c r="P337" s="222">
        <f>(P87/P15)</f>
        <v>0.181109662511829</v>
      </c>
      <c r="Q337" s="222">
        <f>(Q87/Q15)</f>
        <v>0.213698021285906</v>
      </c>
      <c r="S337" s="222">
        <f>(S87/S15)</f>
        <v>0.193200841742919</v>
      </c>
      <c r="T337" s="222">
        <f>(T87/T15)</f>
        <v>0.202227150681694</v>
      </c>
      <c r="U337" s="222">
        <f>(U87/U15)</f>
        <v>0.180695169669386</v>
      </c>
      <c r="V337" s="222">
        <f>(V87/V15)</f>
        <v>0.224640091868368</v>
      </c>
      <c r="X337" s="222">
        <f>(X87/X15)</f>
        <v>0.212416794246831</v>
      </c>
      <c r="Y337" s="222">
        <f>(Y87/Y15)</f>
        <v>0.199514333338343</v>
      </c>
      <c r="Z337" s="222">
        <f>(Z87/Z15)</f>
        <v>0.196816470178203</v>
      </c>
      <c r="AA337" s="222">
        <f>(AA87/AA15)</f>
        <v>0.2186737599411</v>
      </c>
      <c r="AC337" s="222">
        <f>(AC87/AC15)</f>
        <v>0.229043467106951</v>
      </c>
      <c r="AD337" s="222">
        <f>(AD87/AD15)</f>
        <v>0.232536559042447</v>
      </c>
      <c r="AE337" s="222">
        <f>(AE87/AE15)</f>
        <v>0.230211740062643</v>
      </c>
      <c r="AF337" s="222">
        <f>(AF87/AF15)</f>
        <v>0.241446346625907</v>
      </c>
      <c r="AH337" s="222">
        <f>(AH87/AH15)</f>
        <v>0.248586263798617</v>
      </c>
      <c r="AI337" s="222">
        <f>(AI87/AI15)</f>
        <v>0.223241653525329</v>
      </c>
      <c r="AJ337" s="222">
        <f>(AJ87/AJ15)</f>
        <v>0</v>
      </c>
      <c r="AK337" s="222">
        <f>(AK87/AK15)</f>
        <v>0</v>
      </c>
      <c r="AM337" s="222">
        <f>(AM87/AM15)</f>
        <v>0</v>
      </c>
      <c r="AN337" s="222">
        <f>(AN87/AN15)</f>
        <v>0</v>
      </c>
      <c r="AO337" s="222">
        <f>(AO87/AO15)</f>
        <v>0</v>
      </c>
      <c r="AP337" s="222">
        <f>(AP87/AP15)</f>
        <v>0</v>
      </c>
      <c r="AR337" s="222">
        <f>(AR87/AR15)</f>
        <v>0</v>
      </c>
      <c r="AS337" s="222">
        <f>(AS87/AS15)</f>
        <v>0</v>
      </c>
      <c r="AT337" s="222">
        <f>(AT87/AT15)</f>
        <v>0</v>
      </c>
      <c r="AU337" s="222">
        <f>(AU87/AU15)</f>
        <v>0</v>
      </c>
      <c r="AW337" s="222">
        <f>(AW87/AW15)</f>
        <v>0</v>
      </c>
      <c r="AX337" s="222">
        <f>(AX87/AX15)</f>
        <v>0</v>
      </c>
      <c r="AY337" s="222">
        <f>(AY87/AY15)</f>
        <v>0</v>
      </c>
      <c r="AZ337" s="222">
        <f>(AZ87/AZ15)</f>
        <v>0</v>
      </c>
      <c r="BB337" s="222">
        <f>(BB87/BB15)</f>
        <v>0</v>
      </c>
      <c r="BC337" s="222">
        <f>(BC87/BC15)</f>
        <v>0</v>
      </c>
      <c r="BD337" s="222">
        <f>(BD87/BD15)</f>
        <v>0</v>
      </c>
      <c r="BE337" s="222">
        <f>(BE87/BE15)</f>
        <v>0</v>
      </c>
      <c r="BG337" s="222">
        <f>(BG87/BG15)</f>
        <v>0</v>
      </c>
      <c r="BH337" s="222">
        <f>(BH87/BH15)</f>
        <v>0</v>
      </c>
      <c r="BI337" s="222">
        <f>(BI87/BI15)</f>
        <v>0</v>
      </c>
      <c r="BJ337" s="222">
        <f>(BJ87/BJ15)</f>
        <v>0</v>
      </c>
      <c r="BL337" s="222">
        <f>(BL87/BL15)</f>
        <v>0</v>
      </c>
      <c r="BM337" s="222">
        <f>(BM87/BM15)</f>
        <v>0</v>
      </c>
      <c r="BN337" s="222">
        <f>(BN87/BN15)</f>
        <v>0</v>
      </c>
      <c r="BO337" s="222">
        <f>(BO87/BO15)</f>
        <v>0</v>
      </c>
      <c r="BQ337" s="222">
        <f>(BQ87/BQ15)</f>
        <v>0</v>
      </c>
      <c r="BR337" s="222">
        <f>(BR87/BR15)</f>
        <v>0</v>
      </c>
      <c r="BS337" s="222">
        <f>(BS87/BS15)</f>
        <v>0</v>
      </c>
      <c r="BT337" s="222">
        <f>(BT87/BT15)</f>
        <v>0</v>
      </c>
      <c r="BV337" s="222">
        <f>(BV87/BV15)</f>
        <v>0</v>
      </c>
      <c r="BW337" s="222">
        <f>(BW87/BW15)</f>
        <v>0</v>
      </c>
      <c r="BX337" s="222">
        <f>(BX87/BX15)</f>
        <v>0</v>
      </c>
      <c r="BY337" s="222">
        <f>(BY87/BY15)</f>
        <v>0</v>
      </c>
      <c r="CA337" s="222">
        <f>(CA87/CA15)</f>
        <v>0</v>
      </c>
      <c r="CB337" s="222">
        <f>(CB87/CB15)</f>
        <v>0</v>
      </c>
      <c r="CC337" s="222">
        <f>(CC87/CC15)</f>
        <v>0</v>
      </c>
      <c r="CD337" s="222">
        <f>(CD87/CD15)</f>
        <v>0</v>
      </c>
      <c r="CF337" s="222">
        <f>(CF87/CF15)</f>
        <v>0</v>
      </c>
      <c r="CG337" s="222">
        <f>(CG87/CG15)</f>
        <v>0</v>
      </c>
      <c r="CH337" s="222">
        <f>(CH87/CH15)</f>
        <v>0</v>
      </c>
      <c r="CI337" s="222">
        <f>(CI87/CI15)</f>
        <v>0</v>
      </c>
      <c r="CK337" s="222">
        <f>(CK87/CK15)</f>
        <v>0</v>
      </c>
      <c r="CL337" s="222">
        <f>(CL87/CL15)</f>
        <v>0</v>
      </c>
      <c r="CM337" s="222">
        <f>(CM87/CM15)</f>
        <v>0</v>
      </c>
      <c r="CN337" s="222">
        <f>(CN87/CN15)</f>
        <v>0</v>
      </c>
      <c r="CP337" s="222">
        <f>(CP87/CP15)</f>
        <v>0</v>
      </c>
      <c r="CQ337" s="222">
        <f>(CQ87/CQ15)</f>
        <v>0</v>
      </c>
      <c r="CR337" s="222">
        <f>(CR87/CR15)</f>
        <v>0</v>
      </c>
      <c r="CS337" s="222">
        <f>(CS87/CS15)</f>
        <v>0</v>
      </c>
      <c r="CU337" s="222">
        <f>(CU87/CU15)</f>
        <v>0</v>
      </c>
      <c r="CV337" s="222">
        <f>(CV87/CV15)</f>
        <v>0</v>
      </c>
      <c r="CW337" s="222">
        <f>(CW87/CW15)</f>
        <v>0</v>
      </c>
      <c r="CX337" s="222">
        <f>(CX87/CX15)</f>
        <v>0</v>
      </c>
    </row>
    <row r="338" customFormat="1" s="233">
      <c r="A338" s="224" t="n"/>
      <c r="B338" s="224" t="n"/>
      <c r="C338" s="233" t="inlineStr">
        <is>
          <t>EBITDA MARTGIN</t>
        </is>
      </c>
      <c r="D338" s="236">
        <f>D83/D15</f>
        <v>0.120815938694621</v>
      </c>
      <c r="E338" s="236">
        <f>E83/E15</f>
        <v>0.1985670419652</v>
      </c>
      <c r="F338" s="236">
        <f>F83/F15</f>
        <v>0.206687368440432</v>
      </c>
      <c r="G338" s="236">
        <f>G83/G15</f>
        <v>0.23985387798725</v>
      </c>
      <c r="I338" s="222">
        <f>I83/I15</f>
        <v>0.186207661707232</v>
      </c>
      <c r="J338" s="222">
        <f>J83/J15</f>
        <v>0.198011814896629</v>
      </c>
      <c r="K338" s="222">
        <f>K83/K15</f>
        <v>0.191407342137755</v>
      </c>
      <c r="L338" s="222">
        <f>L83/L15</f>
        <v>0.27883006713855</v>
      </c>
      <c r="N338" s="222">
        <f>N83/N15</f>
        <v>0.179510626031017</v>
      </c>
      <c r="O338" s="222">
        <f>O83/O15</f>
        <v>0.19549489617325</v>
      </c>
      <c r="P338" s="222">
        <f>P83/P15</f>
        <v>0.190229454934821</v>
      </c>
      <c r="Q338" s="222">
        <f>Q83/Q15</f>
        <v>0.224554591216205</v>
      </c>
      <c r="S338" s="222">
        <f>S83/S15</f>
        <v>0.203657216163884</v>
      </c>
      <c r="T338" s="222">
        <f>T83/T15</f>
        <v>0.21088401722579</v>
      </c>
      <c r="U338" s="222">
        <f>U83/U15</f>
        <v>0.189128622415458</v>
      </c>
      <c r="V338" s="222">
        <f>V83/V15</f>
        <v>0.23327742306517</v>
      </c>
      <c r="X338" s="222">
        <f>X83/X15</f>
        <v>0.220915902180845</v>
      </c>
      <c r="Y338" s="222">
        <f>Y83/Y15</f>
        <v>0.20653936306026</v>
      </c>
      <c r="Z338" s="222">
        <f>Z83/Z15</f>
        <v>0.204574227695213</v>
      </c>
      <c r="AA338" s="222">
        <f>AA83/AA15</f>
        <v>0.227187222936681</v>
      </c>
      <c r="AC338" s="222">
        <f>AC83/AC15</f>
        <v>0.236059675180729</v>
      </c>
      <c r="AD338" s="222">
        <f>AD83/AD15</f>
        <v>0.239037380742151</v>
      </c>
      <c r="AE338" s="222">
        <f>AE83/AE15</f>
        <v>0.236225462727058</v>
      </c>
      <c r="AF338" s="222">
        <f>AF83/AF15</f>
        <v>0.24783495278982</v>
      </c>
      <c r="AH338" s="222">
        <f>AH83/AH15</f>
        <v>0.253763710249037</v>
      </c>
      <c r="AI338" s="222">
        <f>AI83/AI15</f>
        <v>0.228299639061774</v>
      </c>
      <c r="AJ338" s="222">
        <f>AJ83/AJ15</f>
        <v>0</v>
      </c>
      <c r="AK338" s="222">
        <f>AK83/AK15</f>
        <v>0</v>
      </c>
      <c r="AM338" s="222">
        <f>AM83/AM15</f>
        <v>0</v>
      </c>
      <c r="AN338" s="222">
        <f>AN83/AN15</f>
        <v>0</v>
      </c>
      <c r="AO338" s="222">
        <f>AO83/AO15</f>
        <v>0</v>
      </c>
      <c r="AP338" s="222">
        <f>AP83/AP15</f>
        <v>0</v>
      </c>
      <c r="AR338" s="222">
        <f>AR83/AR15</f>
        <v>0</v>
      </c>
      <c r="AS338" s="222">
        <f>AS83/AS15</f>
        <v>0</v>
      </c>
      <c r="AT338" s="222">
        <f>AT83/AT15</f>
        <v>0</v>
      </c>
      <c r="AU338" s="222">
        <f>AU83/AU15</f>
        <v>0</v>
      </c>
      <c r="AW338" s="222">
        <f>AW83/AW15</f>
        <v>0</v>
      </c>
      <c r="AX338" s="222">
        <f>AX83/AX15</f>
        <v>0</v>
      </c>
      <c r="AY338" s="222">
        <f>AY83/AY15</f>
        <v>0</v>
      </c>
      <c r="AZ338" s="222">
        <f>AZ83/AZ15</f>
        <v>0</v>
      </c>
      <c r="BB338" s="222">
        <f>BB83/BB15</f>
        <v>0</v>
      </c>
      <c r="BC338" s="222">
        <f>BC83/BC15</f>
        <v>0</v>
      </c>
      <c r="BD338" s="222">
        <f>BD83/BD15</f>
        <v>0</v>
      </c>
      <c r="BE338" s="222">
        <f>BE83/BE15</f>
        <v>0</v>
      </c>
      <c r="BG338" s="222">
        <f>BG83/BG15</f>
        <v>0</v>
      </c>
      <c r="BH338" s="222">
        <f>BH83/BH15</f>
        <v>0</v>
      </c>
      <c r="BI338" s="222">
        <f>BI83/BI15</f>
        <v>0</v>
      </c>
      <c r="BJ338" s="222">
        <f>BJ83/BJ15</f>
        <v>0</v>
      </c>
      <c r="BL338" s="222">
        <f>BL83/BL15</f>
        <v>0</v>
      </c>
      <c r="BM338" s="222">
        <f>BM83/BM15</f>
        <v>0</v>
      </c>
      <c r="BN338" s="222">
        <f>BN83/BN15</f>
        <v>0</v>
      </c>
      <c r="BO338" s="222">
        <f>BO83/BO15</f>
        <v>0</v>
      </c>
      <c r="BQ338" s="222">
        <f>BQ83/BQ15</f>
        <v>0</v>
      </c>
      <c r="BR338" s="222">
        <f>BR83/BR15</f>
        <v>0</v>
      </c>
      <c r="BS338" s="222">
        <f>BS83/BS15</f>
        <v>0</v>
      </c>
      <c r="BT338" s="222">
        <f>BT83/BT15</f>
        <v>0</v>
      </c>
      <c r="BV338" s="222">
        <f>BV83/BV15</f>
        <v>0</v>
      </c>
      <c r="BW338" s="222">
        <f>BW83/BW15</f>
        <v>0</v>
      </c>
      <c r="BX338" s="222">
        <f>BX83/BX15</f>
        <v>0</v>
      </c>
      <c r="BY338" s="222">
        <f>BY83/BY15</f>
        <v>0</v>
      </c>
      <c r="CA338" s="222">
        <f>CA83/CA15</f>
        <v>0</v>
      </c>
      <c r="CB338" s="222">
        <f>CB83/CB15</f>
        <v>0</v>
      </c>
      <c r="CC338" s="222">
        <f>CC83/CC15</f>
        <v>0</v>
      </c>
      <c r="CD338" s="222">
        <f>CD83/CD15</f>
        <v>0</v>
      </c>
      <c r="CF338" s="222">
        <f>CF83/CF15</f>
        <v>0</v>
      </c>
      <c r="CG338" s="222">
        <f>CG83/CG15</f>
        <v>0</v>
      </c>
      <c r="CH338" s="222">
        <f>CH83/CH15</f>
        <v>0</v>
      </c>
      <c r="CI338" s="222">
        <f>CI83/CI15</f>
        <v>0</v>
      </c>
      <c r="CK338" s="222">
        <f>CK83/CK15</f>
        <v>0</v>
      </c>
      <c r="CL338" s="222">
        <f>CL83/CL15</f>
        <v>0</v>
      </c>
      <c r="CM338" s="222">
        <f>CM83/CM15</f>
        <v>0</v>
      </c>
      <c r="CN338" s="222">
        <f>CN83/CN15</f>
        <v>0</v>
      </c>
      <c r="CP338" s="222">
        <f>CP83/CP15</f>
        <v>0</v>
      </c>
      <c r="CQ338" s="222">
        <f>CQ83/CQ15</f>
        <v>0</v>
      </c>
      <c r="CR338" s="222">
        <f>CR83/CR15</f>
        <v>0</v>
      </c>
      <c r="CS338" s="222">
        <f>CS83/CS15</f>
        <v>0</v>
      </c>
      <c r="CU338" s="222">
        <f>CU83/CU15</f>
        <v>0</v>
      </c>
      <c r="CV338" s="222">
        <f>CV83/CV15</f>
        <v>0</v>
      </c>
      <c r="CW338" s="222">
        <f>CW83/CW15</f>
        <v>0</v>
      </c>
      <c r="CX338" s="222">
        <f>CX83/CX15</f>
        <v>0</v>
      </c>
    </row>
    <row r="339" customFormat="1" s="233">
      <c r="A339" s="224" t="n"/>
      <c r="B339" s="224" t="n"/>
      <c r="C339" s="233" t="inlineStr">
        <is>
          <t>ETR</t>
        </is>
      </c>
      <c r="D339" s="236">
        <f>-D145/D144</f>
        <v>0.345957789304239</v>
      </c>
      <c r="E339" s="236">
        <f>-E145/E144</f>
        <v>0.10663398192125</v>
      </c>
      <c r="F339" s="236">
        <f>-F145/F144</f>
        <v>0.104935925695088</v>
      </c>
      <c r="G339" s="236">
        <f>-G145/G144</f>
        <v>0.0837582483503299</v>
      </c>
      <c r="I339" s="222">
        <f>-I145/I144</f>
        <v>0.118995312148627</v>
      </c>
      <c r="J339" s="222">
        <f>-J145/J144</f>
        <v>0.100599002857519</v>
      </c>
      <c r="K339" s="222">
        <f>-K145/K144</f>
        <v>0.120248820577379</v>
      </c>
      <c r="L339" s="222">
        <f>-L145/L144</f>
        <v>0.0868303281878324</v>
      </c>
      <c r="N339" s="222">
        <f>-N145/N144</f>
        <v>0.154543885044954</v>
      </c>
      <c r="O339" s="222">
        <f>-O145/O144</f>
        <v>0.134365002603973</v>
      </c>
      <c r="P339" s="222">
        <f>-P145/P144</f>
        <v>0.141955057617268</v>
      </c>
      <c r="Q339" s="222">
        <f>-Q145/Q144</f>
        <v>0.132999314757629</v>
      </c>
      <c r="S339" s="222">
        <f>-S145/S144</f>
        <v>0.140052236488831</v>
      </c>
      <c r="T339" s="222">
        <f>-T145/T144</f>
        <v>0.128523900006357</v>
      </c>
      <c r="U339" s="222">
        <f>-U145/U144</f>
        <v>0.14456520096135</v>
      </c>
      <c r="V339" s="222">
        <f>-V145/V144</f>
        <v>0.107974447668541</v>
      </c>
      <c r="X339" s="222">
        <f>-X145/X144</f>
        <v>0.116711090039721</v>
      </c>
      <c r="Y339" s="222">
        <f>-Y145/Y144</f>
        <v>0.108116905431647</v>
      </c>
      <c r="Z339" s="222">
        <f>-Z145/Z144</f>
        <v>0.114895104895105</v>
      </c>
      <c r="AA339" s="222">
        <f>-AA145/AA144</f>
        <v>0.120309485003466</v>
      </c>
      <c r="AC339" s="222">
        <f>-AC145/AC144</f>
        <v>0.117444948272401</v>
      </c>
      <c r="AD339" s="222">
        <f>-AD145/AD144</f>
        <v>0.105675440536562</v>
      </c>
      <c r="AE339" s="222">
        <f>-AE145/AE144</f>
        <v>0.115789341068791</v>
      </c>
      <c r="AF339" s="222">
        <f>-AF145/AF144</f>
        <v>0.119269902028616</v>
      </c>
      <c r="AH339" s="222">
        <f>-AH145/AH144</f>
        <v>0.105727481968658</v>
      </c>
      <c r="AI339" s="222">
        <f>-AI145/AI144</f>
        <v>0.12697760427368</v>
      </c>
      <c r="AJ339" s="222">
        <f>-AJ145/AJ144</f>
        <v>0</v>
      </c>
      <c r="AK339" s="222">
        <f>-AK145/AK144</f>
        <v>0</v>
      </c>
      <c r="AM339" s="222">
        <f>-AM145/AM144</f>
        <v>0</v>
      </c>
      <c r="AN339" s="222">
        <f>-AN145/AN144</f>
        <v>0</v>
      </c>
      <c r="AO339" s="222">
        <f>-AO145/AO144</f>
        <v>0</v>
      </c>
      <c r="AP339" s="222">
        <f>-AP145/AP144</f>
        <v>0</v>
      </c>
      <c r="AR339" s="222">
        <f>-AR145/AR144</f>
        <v>0</v>
      </c>
      <c r="AS339" s="222">
        <f>-AS145/AS144</f>
        <v>0</v>
      </c>
      <c r="AT339" s="222">
        <f>-AT145/AT144</f>
        <v>0</v>
      </c>
      <c r="AU339" s="222">
        <f>-AU145/AU144</f>
        <v>0</v>
      </c>
      <c r="AW339" s="222">
        <f>-AW145/AW144</f>
        <v>0</v>
      </c>
      <c r="AX339" s="222">
        <f>-AX145/AX144</f>
        <v>0</v>
      </c>
      <c r="AY339" s="222">
        <f>-AY145/AY144</f>
        <v>0</v>
      </c>
      <c r="AZ339" s="222">
        <f>-AZ145/AZ144</f>
        <v>0</v>
      </c>
      <c r="BB339" s="222">
        <f>-BB145/BB144</f>
        <v>0</v>
      </c>
      <c r="BC339" s="222">
        <f>-BC145/BC144</f>
        <v>0</v>
      </c>
      <c r="BD339" s="222">
        <f>-BD145/BD144</f>
        <v>0</v>
      </c>
      <c r="BE339" s="222">
        <f>-BE145/BE144</f>
        <v>0</v>
      </c>
      <c r="BG339" s="222">
        <f>-BG145/BG144</f>
        <v>0</v>
      </c>
      <c r="BH339" s="222">
        <f>-BH145/BH144</f>
        <v>0</v>
      </c>
      <c r="BI339" s="222">
        <f>-BI145/BI144</f>
        <v>0</v>
      </c>
      <c r="BJ339" s="222">
        <f>-BJ145/BJ144</f>
        <v>0</v>
      </c>
      <c r="BL339" s="222">
        <f>-BL145/BL144</f>
        <v>0</v>
      </c>
      <c r="BM339" s="222">
        <f>-BM145/BM144</f>
        <v>0</v>
      </c>
      <c r="BN339" s="222">
        <f>-BN145/BN144</f>
        <v>0</v>
      </c>
      <c r="BO339" s="222">
        <f>-BO145/BO144</f>
        <v>0</v>
      </c>
      <c r="BQ339" s="222">
        <f>-BQ145/BQ144</f>
        <v>0</v>
      </c>
      <c r="BR339" s="222">
        <f>-BR145/BR144</f>
        <v>0</v>
      </c>
      <c r="BS339" s="222">
        <f>-BS145/BS144</f>
        <v>0</v>
      </c>
      <c r="BT339" s="222">
        <f>-BT145/BT144</f>
        <v>0</v>
      </c>
      <c r="BV339" s="222">
        <f>-BV145/BV144</f>
        <v>0</v>
      </c>
      <c r="BW339" s="222">
        <f>-BW145/BW144</f>
        <v>0</v>
      </c>
      <c r="BX339" s="222">
        <f>-BX145/BX144</f>
        <v>0</v>
      </c>
      <c r="BY339" s="222">
        <f>-BY145/BY144</f>
        <v>0</v>
      </c>
      <c r="CA339" s="222">
        <f>-CA145/CA144</f>
        <v>0</v>
      </c>
      <c r="CB339" s="222">
        <f>-CB145/CB144</f>
        <v>0</v>
      </c>
      <c r="CC339" s="222">
        <f>-CC145/CC144</f>
        <v>0</v>
      </c>
      <c r="CD339" s="222">
        <f>-CD145/CD144</f>
        <v>0</v>
      </c>
      <c r="CF339" s="222">
        <f>-CF145/CF144</f>
        <v>0</v>
      </c>
      <c r="CG339" s="222">
        <f>-CG145/CG144</f>
        <v>0</v>
      </c>
      <c r="CH339" s="222">
        <f>-CH145/CH144</f>
        <v>0</v>
      </c>
      <c r="CI339" s="222">
        <f>-CI145/CI144</f>
        <v>0</v>
      </c>
      <c r="CK339" s="222">
        <f>-CK145/CK144</f>
        <v>0</v>
      </c>
      <c r="CL339" s="222">
        <f>-CL145/CL144</f>
        <v>0</v>
      </c>
      <c r="CM339" s="222">
        <f>-CM145/CM144</f>
        <v>0</v>
      </c>
      <c r="CN339" s="222">
        <f>-CN145/CN144</f>
        <v>0</v>
      </c>
      <c r="CP339" s="222">
        <f>-CP145/CP144</f>
        <v>0</v>
      </c>
      <c r="CQ339" s="222">
        <f>-CQ145/CQ144</f>
        <v>0</v>
      </c>
      <c r="CR339" s="222">
        <f>-CR145/CR144</f>
        <v>0</v>
      </c>
      <c r="CS339" s="222">
        <f>-CS145/CS144</f>
        <v>0</v>
      </c>
      <c r="CU339" s="222">
        <f>-CU145/CU144</f>
        <v>0</v>
      </c>
      <c r="CV339" s="222">
        <f>-CV145/CV144</f>
        <v>0</v>
      </c>
      <c r="CW339" s="222">
        <f>-CW145/CW144</f>
        <v>0</v>
      </c>
      <c r="CX339" s="222">
        <f>-CX145/CX144</f>
        <v>0</v>
      </c>
    </row>
    <row r="340" customFormat="1" s="233">
      <c r="A340" s="224" t="n"/>
      <c r="B340" s="224" t="n"/>
    </row>
    <row r="341" customFormat="1" s="233">
      <c r="A341" s="224" t="n"/>
      <c r="B341" s="224" t="n"/>
      <c r="C341" s="234" t="inlineStr">
        <is>
          <t>CAPITAL STRUCTURE</t>
        </is>
      </c>
    </row>
    <row r="342" customFormat="1" s="233">
      <c r="A342" s="224" t="n"/>
      <c r="B342" s="224" t="n"/>
      <c r="C342" s="233" t="inlineStr">
        <is>
          <t>MARKET DEBT / EQUITY</t>
        </is>
      </c>
    </row>
    <row r="343" customFormat="1" s="233">
      <c r="A343" s="224" t="n"/>
      <c r="B343" s="224" t="n"/>
      <c r="C343" s="233" t="inlineStr">
        <is>
          <t>NET DEBT / (NET DEBT + MARKET CAP)</t>
        </is>
      </c>
    </row>
    <row r="344" customFormat="1" s="233">
      <c r="A344" s="224" t="n"/>
      <c r="B344" s="224" t="n"/>
    </row>
    <row r="345" customFormat="1" s="233">
      <c r="A345" s="224" t="n"/>
      <c r="B345" s="224" t="n"/>
      <c r="C345" s="234" t="inlineStr">
        <is>
          <t>FINANCIAL RISK RATIOS</t>
        </is>
      </c>
    </row>
    <row r="346" customFormat="1" s="233">
      <c r="A346" s="224" t="n"/>
      <c r="B346" s="224" t="n"/>
      <c r="C346" s="233" t="inlineStr">
        <is>
          <t>EBITDA / TOTAL INTEREST</t>
        </is>
      </c>
      <c r="D346" s="219">
        <f>D83/-D88</f>
        <v>5.53821334946561</v>
      </c>
      <c r="E346" s="219">
        <f>E83/-E88</f>
        <v>8.5483476132191</v>
      </c>
      <c r="F346" s="219">
        <f>F83/-F88</f>
        <v>10.1459557162223</v>
      </c>
      <c r="G346" s="219">
        <f>G83/-G88</f>
        <v>13.4303778884204</v>
      </c>
      <c r="I346" s="219">
        <f>I83/-I88</f>
        <v>8.70695324007718</v>
      </c>
      <c r="J346" s="219">
        <f>J83/-J88</f>
        <v>9.60968370967742</v>
      </c>
      <c r="K346" s="219">
        <f>K83/-K88</f>
        <v>7.64372712248468</v>
      </c>
      <c r="L346" s="219">
        <f>L83/-L88</f>
        <v>6.30287340987529</v>
      </c>
      <c r="N346" s="219">
        <f>N83/-N88</f>
        <v>4.706856570742</v>
      </c>
      <c r="O346" s="219">
        <f>O83/-O88</f>
        <v>5.30480777887818</v>
      </c>
      <c r="P346" s="219">
        <f>P83/-P88</f>
        <v>5.21474190726159</v>
      </c>
      <c r="Q346" s="219">
        <f>Q83/-Q88</f>
        <v>4.9502126689959</v>
      </c>
      <c r="S346" s="219">
        <f>S83/-S88</f>
        <v>4.7198146891555</v>
      </c>
      <c r="T346" s="219">
        <f>T83/-T88</f>
        <v>5.89679551218013</v>
      </c>
      <c r="U346" s="219">
        <f>U83/-U88</f>
        <v>6.12565235849057</v>
      </c>
      <c r="V346" s="219">
        <f>V83/-V88</f>
        <v>7.50850777116796</v>
      </c>
      <c r="X346" s="219">
        <f>X83/-X88</f>
        <v>7.45751027977102</v>
      </c>
      <c r="Y346" s="219">
        <f>Y83/-Y88</f>
        <v>6.62863243769893</v>
      </c>
      <c r="Z346" s="219">
        <f>Z83/-Z88</f>
        <v>5.4446146987876</v>
      </c>
      <c r="AA346" s="219">
        <f>AA83/-AA88</f>
        <v>5.65398291076538</v>
      </c>
      <c r="AC346" s="219">
        <f>AC83/-AC88</f>
        <v>5.59284656744331</v>
      </c>
      <c r="AD346" s="219">
        <f>AD83/-AD88</f>
        <v>6.33060518755573</v>
      </c>
      <c r="AE346" s="219">
        <f>AE83/-AE88</f>
        <v>5.97042560022832</v>
      </c>
      <c r="AF346" s="219">
        <f>AF83/-AF88</f>
        <v>5.90400362440432</v>
      </c>
      <c r="AH346" s="219">
        <f>AH83/-AH88</f>
        <v>6.84278117788703</v>
      </c>
      <c r="AI346" s="219">
        <f>AI83/-AI88</f>
        <v>5.49115069428637</v>
      </c>
      <c r="AJ346" s="219" t="e">
        <f>AJ83/-AJ88</f>
        <v>#DIV/0!</v>
      </c>
      <c r="AK346" s="219" t="e">
        <f>AK83/-AK88</f>
        <v>#DIV/0!</v>
      </c>
      <c r="AM346" s="219" t="e">
        <f>AM83/-AM88</f>
        <v>#DIV/0!</v>
      </c>
      <c r="AN346" s="219" t="e">
        <f>AN83/-AN88</f>
        <v>#DIV/0!</v>
      </c>
      <c r="AO346" s="219" t="e">
        <f>AO83/-AO88</f>
        <v>#DIV/0!</v>
      </c>
      <c r="AP346" s="219" t="e">
        <f>AP83/-AP88</f>
        <v>#DIV/0!</v>
      </c>
      <c r="AR346" s="219" t="e">
        <f>AR83/-AR88</f>
        <v>#DIV/0!</v>
      </c>
      <c r="AS346" s="219" t="e">
        <f>AS83/-AS88</f>
        <v>#DIV/0!</v>
      </c>
      <c r="AT346" s="219" t="e">
        <f>AT83/-AT88</f>
        <v>#DIV/0!</v>
      </c>
      <c r="AU346" s="219" t="e">
        <f>AU83/-AU88</f>
        <v>#DIV/0!</v>
      </c>
      <c r="AW346" s="219" t="e">
        <f>AW83/-AW88</f>
        <v>#DIV/0!</v>
      </c>
      <c r="AX346" s="219" t="e">
        <f>AX83/-AX88</f>
        <v>#DIV/0!</v>
      </c>
      <c r="AY346" s="219" t="e">
        <f>AY83/-AY88</f>
        <v>#DIV/0!</v>
      </c>
      <c r="AZ346" s="219" t="e">
        <f>AZ83/-AZ88</f>
        <v>#DIV/0!</v>
      </c>
      <c r="BB346" s="219" t="e">
        <f>BB83/-BB88</f>
        <v>#DIV/0!</v>
      </c>
      <c r="BC346" s="219" t="e">
        <f>BC83/-BC88</f>
        <v>#DIV/0!</v>
      </c>
      <c r="BD346" s="219" t="e">
        <f>BD83/-BD88</f>
        <v>#DIV/0!</v>
      </c>
      <c r="BE346" s="219" t="e">
        <f>BE83/-BE88</f>
        <v>#DIV/0!</v>
      </c>
      <c r="BG346" s="219" t="e">
        <f>BG83/-BG88</f>
        <v>#DIV/0!</v>
      </c>
      <c r="BH346" s="219" t="e">
        <f>BH83/-BH88</f>
        <v>#DIV/0!</v>
      </c>
      <c r="BI346" s="219" t="e">
        <f>BI83/-BI88</f>
        <v>#DIV/0!</v>
      </c>
      <c r="BJ346" s="219" t="e">
        <f>BJ83/-BJ88</f>
        <v>#DIV/0!</v>
      </c>
      <c r="BL346" s="219" t="e">
        <f>BL83/-BL88</f>
        <v>#DIV/0!</v>
      </c>
      <c r="BM346" s="219" t="e">
        <f>BM83/-BM88</f>
        <v>#DIV/0!</v>
      </c>
      <c r="BN346" s="219" t="e">
        <f>BN83/-BN88</f>
        <v>#DIV/0!</v>
      </c>
      <c r="BO346" s="219" t="e">
        <f>BO83/-BO88</f>
        <v>#DIV/0!</v>
      </c>
      <c r="BQ346" s="219" t="e">
        <f>BQ83/-BQ88</f>
        <v>#DIV/0!</v>
      </c>
      <c r="BR346" s="219" t="e">
        <f>BR83/-BR88</f>
        <v>#DIV/0!</v>
      </c>
      <c r="BS346" s="219" t="e">
        <f>BS83/-BS88</f>
        <v>#DIV/0!</v>
      </c>
      <c r="BT346" s="219" t="e">
        <f>BT83/-BT88</f>
        <v>#DIV/0!</v>
      </c>
      <c r="BV346" s="219" t="e">
        <f>BV83/-BV88</f>
        <v>#DIV/0!</v>
      </c>
      <c r="BW346" s="219" t="e">
        <f>BW83/-BW88</f>
        <v>#DIV/0!</v>
      </c>
      <c r="BX346" s="219" t="e">
        <f>BX83/-BX88</f>
        <v>#DIV/0!</v>
      </c>
      <c r="BY346" s="219" t="e">
        <f>BY83/-BY88</f>
        <v>#DIV/0!</v>
      </c>
      <c r="CA346" s="219" t="e">
        <f>CA83/-CA88</f>
        <v>#DIV/0!</v>
      </c>
      <c r="CB346" s="219" t="e">
        <f>CB83/-CB88</f>
        <v>#DIV/0!</v>
      </c>
      <c r="CC346" s="219" t="e">
        <f>CC83/-CC88</f>
        <v>#DIV/0!</v>
      </c>
      <c r="CD346" s="219" t="e">
        <f>CD83/-CD88</f>
        <v>#DIV/0!</v>
      </c>
      <c r="CF346" s="219" t="e">
        <f>CF83/-CF88</f>
        <v>#DIV/0!</v>
      </c>
      <c r="CG346" s="219" t="e">
        <f>CG83/-CG88</f>
        <v>#DIV/0!</v>
      </c>
      <c r="CH346" s="219" t="e">
        <f>CH83/-CH88</f>
        <v>#DIV/0!</v>
      </c>
      <c r="CI346" s="219" t="e">
        <f>CI83/-CI88</f>
        <v>#DIV/0!</v>
      </c>
      <c r="CK346" s="219" t="e">
        <f>CK83/-CK88</f>
        <v>#DIV/0!</v>
      </c>
      <c r="CL346" s="219" t="e">
        <f>CL83/-CL88</f>
        <v>#DIV/0!</v>
      </c>
      <c r="CM346" s="219" t="e">
        <f>CM83/-CM88</f>
        <v>#DIV/0!</v>
      </c>
      <c r="CN346" s="219" t="e">
        <f>CN83/-CN88</f>
        <v>#DIV/0!</v>
      </c>
      <c r="CP346" s="219" t="e">
        <f>CP83/-CP88</f>
        <v>#DIV/0!</v>
      </c>
      <c r="CQ346" s="219" t="e">
        <f>CQ83/-CQ88</f>
        <v>#DIV/0!</v>
      </c>
      <c r="CR346" s="219" t="e">
        <f>CR83/-CR88</f>
        <v>#DIV/0!</v>
      </c>
      <c r="CS346" s="219" t="e">
        <f>CS83/-CS88</f>
        <v>#DIV/0!</v>
      </c>
      <c r="CU346" s="219" t="e">
        <f>CU83/-CU88</f>
        <v>#DIV/0!</v>
      </c>
      <c r="CV346" s="219" t="e">
        <f>CV83/-CV88</f>
        <v>#DIV/0!</v>
      </c>
      <c r="CW346" s="219" t="e">
        <f>CW83/-CW88</f>
        <v>#DIV/0!</v>
      </c>
      <c r="CX346" s="219" t="e">
        <f>CX83/-CX88</f>
        <v>#DIV/0!</v>
      </c>
    </row>
    <row r="347" customFormat="1" s="233">
      <c r="A347" s="224" t="n"/>
      <c r="B347" s="224" t="n"/>
      <c r="C347" s="233" t="inlineStr">
        <is>
          <t>(EBITDA - CAPEX) / TOTAL INTEREST</t>
        </is>
      </c>
      <c r="D347" s="219">
        <f>(D83-D182)/-D88</f>
        <v>5.53821334946561</v>
      </c>
      <c r="E347" s="219">
        <f>(E83-E182)/-E88</f>
        <v>8.390627732121</v>
      </c>
      <c r="F347" s="219">
        <f>(F83-F182)/-F88</f>
        <v>9.98056936285586</v>
      </c>
      <c r="G347" s="219">
        <f>(G83-G182)/-G88</f>
        <v>13.2148880960104</v>
      </c>
      <c r="I347" s="219">
        <f>(I83-I182)/-I88</f>
        <v>7.89705071664829</v>
      </c>
      <c r="J347" s="219">
        <f>(J83-J182)/-J88</f>
        <v>9.21043010752688</v>
      </c>
      <c r="K347" s="219">
        <f>(K83-K182)/-K88</f>
        <v>7.43498168416447</v>
      </c>
      <c r="L347" s="219">
        <f>(L83-L182)/-L88</f>
        <v>6.27693157240808</v>
      </c>
      <c r="N347" s="219">
        <f>(N83-N182)/-N88</f>
        <v>4.73678349548705</v>
      </c>
      <c r="O347" s="219">
        <f>(O83-O182)/-O88</f>
        <v>5.13000810299811</v>
      </c>
      <c r="P347" s="219">
        <f>(P83-P182)/-P88</f>
        <v>4.97812773403325</v>
      </c>
      <c r="Q347" s="219">
        <f>(Q83-Q182)/-Q88</f>
        <v>4.68323712593043</v>
      </c>
      <c r="S347" s="219">
        <f>(S83-S182)/-S88</f>
        <v>4.15923963851667</v>
      </c>
      <c r="T347" s="219">
        <f>(T83-T182)/-T88</f>
        <v>5.57050641666026</v>
      </c>
      <c r="U347" s="219">
        <f>(U83-U182)/-U88</f>
        <v>5.85314896183338</v>
      </c>
      <c r="V347" s="219">
        <f>(V83-V182)/-V88</f>
        <v>7.17822724568709</v>
      </c>
      <c r="X347" s="219">
        <f>(X83-X182)/-X88</f>
        <v>7.07953720873982</v>
      </c>
      <c r="Y347" s="219">
        <f>(Y83-Y182)/-Y88</f>
        <v>6.39326870285219</v>
      </c>
      <c r="Z347" s="219">
        <f>(Z83-Z182)/-Z88</f>
        <v>5.17152723514733</v>
      </c>
      <c r="AA347" s="219">
        <f>(AA83-AA182)/-AA88</f>
        <v>5.39894678625532</v>
      </c>
      <c r="AC347" s="219">
        <f>(AC83-AC182)/-AC88</f>
        <v>5.42110184680121</v>
      </c>
      <c r="AD347" s="219">
        <f>(AD83-AD182)/-AD88</f>
        <v>6.18784144755168</v>
      </c>
      <c r="AE347" s="219">
        <f>(AE83-AE182)/-AE88</f>
        <v>5.81622132638864</v>
      </c>
      <c r="AF347" s="219">
        <f>(AF83-AF182)/-AF88</f>
        <v>5.74023424390899</v>
      </c>
      <c r="AH347" s="219">
        <f>(AH83-AH182)/-AH88</f>
        <v>6.61671850439785</v>
      </c>
      <c r="AI347" s="219">
        <f>(AI83-AI182)/-AI88</f>
        <v>5.30164466196221</v>
      </c>
      <c r="AJ347" s="219" t="e">
        <f>(AJ83-AJ182)/-AJ88</f>
        <v>#DIV/0!</v>
      </c>
      <c r="AK347" s="219" t="e">
        <f>(AK83-AK182)/-AK88</f>
        <v>#DIV/0!</v>
      </c>
      <c r="AM347" s="219" t="e">
        <f>(AM83-AM182)/-AM88</f>
        <v>#DIV/0!</v>
      </c>
      <c r="AN347" s="219" t="e">
        <f>(AN83-AN182)/-AN88</f>
        <v>#DIV/0!</v>
      </c>
      <c r="AO347" s="219" t="e">
        <f>(AO83-AO182)/-AO88</f>
        <v>#DIV/0!</v>
      </c>
      <c r="AP347" s="219" t="e">
        <f>(AP83-AP182)/-AP88</f>
        <v>#DIV/0!</v>
      </c>
      <c r="AR347" s="219" t="e">
        <f>(AR83-AR182)/-AR88</f>
        <v>#DIV/0!</v>
      </c>
      <c r="AS347" s="219" t="e">
        <f>(AS83-AS182)/-AS88</f>
        <v>#DIV/0!</v>
      </c>
      <c r="AT347" s="219" t="e">
        <f>(AT83-AT182)/-AT88</f>
        <v>#DIV/0!</v>
      </c>
      <c r="AU347" s="219" t="e">
        <f>(AU83-AU182)/-AU88</f>
        <v>#DIV/0!</v>
      </c>
      <c r="AW347" s="219" t="e">
        <f>(AW83-AW182)/-AW88</f>
        <v>#DIV/0!</v>
      </c>
      <c r="AX347" s="219" t="e">
        <f>(AX83-AX182)/-AX88</f>
        <v>#DIV/0!</v>
      </c>
      <c r="AY347" s="219" t="e">
        <f>(AY83-AY182)/-AY88</f>
        <v>#DIV/0!</v>
      </c>
      <c r="AZ347" s="219" t="e">
        <f>(AZ83-AZ182)/-AZ88</f>
        <v>#DIV/0!</v>
      </c>
      <c r="BB347" s="219" t="e">
        <f>(BB83-BB182)/-BB88</f>
        <v>#DIV/0!</v>
      </c>
      <c r="BC347" s="219" t="e">
        <f>(BC83-BC182)/-BC88</f>
        <v>#DIV/0!</v>
      </c>
      <c r="BD347" s="219" t="e">
        <f>(BD83-BD182)/-BD88</f>
        <v>#DIV/0!</v>
      </c>
      <c r="BE347" s="219" t="e">
        <f>(BE83-BE182)/-BE88</f>
        <v>#DIV/0!</v>
      </c>
      <c r="BG347" s="219" t="e">
        <f>(BG83-BG182)/-BG88</f>
        <v>#DIV/0!</v>
      </c>
      <c r="BH347" s="219" t="e">
        <f>(BH83-BH182)/-BH88</f>
        <v>#DIV/0!</v>
      </c>
      <c r="BI347" s="219" t="e">
        <f>(BI83-BI182)/-BI88</f>
        <v>#DIV/0!</v>
      </c>
      <c r="BJ347" s="219" t="e">
        <f>(BJ83-BJ182)/-BJ88</f>
        <v>#DIV/0!</v>
      </c>
      <c r="BL347" s="219" t="e">
        <f>(BL83-BL182)/-BL88</f>
        <v>#DIV/0!</v>
      </c>
      <c r="BM347" s="219" t="e">
        <f>(BM83-BM182)/-BM88</f>
        <v>#DIV/0!</v>
      </c>
      <c r="BN347" s="219" t="e">
        <f>(BN83-BN182)/-BN88</f>
        <v>#DIV/0!</v>
      </c>
      <c r="BO347" s="219" t="e">
        <f>(BO83-BO182)/-BO88</f>
        <v>#DIV/0!</v>
      </c>
      <c r="BQ347" s="219" t="e">
        <f>(BQ83-BQ182)/-BQ88</f>
        <v>#DIV/0!</v>
      </c>
      <c r="BR347" s="219" t="e">
        <f>(BR83-BR182)/-BR88</f>
        <v>#DIV/0!</v>
      </c>
      <c r="BS347" s="219" t="e">
        <f>(BS83-BS182)/-BS88</f>
        <v>#DIV/0!</v>
      </c>
      <c r="BT347" s="219" t="e">
        <f>(BT83-BT182)/-BT88</f>
        <v>#DIV/0!</v>
      </c>
      <c r="BV347" s="219" t="e">
        <f>(BV83-BV182)/-BV88</f>
        <v>#DIV/0!</v>
      </c>
      <c r="BW347" s="219" t="e">
        <f>(BW83-BW182)/-BW88</f>
        <v>#DIV/0!</v>
      </c>
      <c r="BX347" s="219" t="e">
        <f>(BX83-BX182)/-BX88</f>
        <v>#DIV/0!</v>
      </c>
      <c r="BY347" s="219" t="e">
        <f>(BY83-BY182)/-BY88</f>
        <v>#DIV/0!</v>
      </c>
      <c r="CA347" s="219" t="e">
        <f>(CA83-CA182)/-CA88</f>
        <v>#DIV/0!</v>
      </c>
      <c r="CB347" s="219" t="e">
        <f>(CB83-CB182)/-CB88</f>
        <v>#DIV/0!</v>
      </c>
      <c r="CC347" s="219" t="e">
        <f>(CC83-CC182)/-CC88</f>
        <v>#DIV/0!</v>
      </c>
      <c r="CD347" s="219" t="e">
        <f>(CD83-CD182)/-CD88</f>
        <v>#DIV/0!</v>
      </c>
      <c r="CF347" s="219" t="e">
        <f>(CF83-CF182)/-CF88</f>
        <v>#DIV/0!</v>
      </c>
      <c r="CG347" s="219" t="e">
        <f>(CG83-CG182)/-CG88</f>
        <v>#DIV/0!</v>
      </c>
      <c r="CH347" s="219" t="e">
        <f>(CH83-CH182)/-CH88</f>
        <v>#DIV/0!</v>
      </c>
      <c r="CI347" s="219" t="e">
        <f>(CI83-CI182)/-CI88</f>
        <v>#DIV/0!</v>
      </c>
      <c r="CK347" s="219" t="e">
        <f>(CK83-CK182)/-CK88</f>
        <v>#DIV/0!</v>
      </c>
      <c r="CL347" s="219" t="e">
        <f>(CL83-CL182)/-CL88</f>
        <v>#DIV/0!</v>
      </c>
      <c r="CM347" s="219" t="e">
        <f>(CM83-CM182)/-CM88</f>
        <v>#DIV/0!</v>
      </c>
      <c r="CN347" s="219" t="e">
        <f>(CN83-CN182)/-CN88</f>
        <v>#DIV/0!</v>
      </c>
      <c r="CP347" s="219" t="e">
        <f>(CP83-CP182)/-CP88</f>
        <v>#DIV/0!</v>
      </c>
      <c r="CQ347" s="219" t="e">
        <f>(CQ83-CQ182)/-CQ88</f>
        <v>#DIV/0!</v>
      </c>
      <c r="CR347" s="219" t="e">
        <f>(CR83-CR182)/-CR88</f>
        <v>#DIV/0!</v>
      </c>
      <c r="CS347" s="219" t="e">
        <f>(CS83-CS182)/-CS88</f>
        <v>#DIV/0!</v>
      </c>
      <c r="CU347" s="219" t="e">
        <f>(CU83-CU182)/-CU88</f>
        <v>#DIV/0!</v>
      </c>
      <c r="CV347" s="219" t="e">
        <f>(CV83-CV182)/-CV88</f>
        <v>#DIV/0!</v>
      </c>
      <c r="CW347" s="219" t="e">
        <f>(CW83-CW182)/-CW88</f>
        <v>#DIV/0!</v>
      </c>
      <c r="CX347" s="219" t="e">
        <f>(CX83-CX182)/-CX88</f>
        <v>#DIV/0!</v>
      </c>
    </row>
    <row r="348" customFormat="1" s="233">
      <c r="A348" s="224" t="n"/>
      <c r="B348" s="224" t="n"/>
      <c r="C348" s="233" t="inlineStr">
        <is>
          <t>TOTAL DEBT / EBITDA LTM</t>
        </is>
      </c>
      <c r="D348" s="219" t="str">
        <f>""</f>
        <v/>
      </c>
      <c r="E348" s="219" t="str">
        <f>""</f>
        <v/>
      </c>
      <c r="F348" s="219" t="str">
        <f>""</f>
        <v/>
      </c>
      <c r="G348" s="219">
        <f>IFERROR(SUM(G226,G227,G228,G231,G249,G252)/(G83+F83+E83+D83),"")</f>
        <v>1.22152432277853</v>
      </c>
      <c r="I348" s="219">
        <f>IFERROR(SUM(I226,I227,I228,I231,I249,I252)/(I83+G83+F83+E83),"")</f>
        <v>1.07074776752556</v>
      </c>
      <c r="J348" s="219">
        <f>IFERROR(SUM(J226,J227,J228,J231,J249,J252)/(J83+I83+G83+F83),"")</f>
        <v>0.892892473692306</v>
      </c>
      <c r="K348" s="219">
        <f>IFERROR(SUM(K226,K227,K228,K231,K249,K252)/(K83+J83+I83+G83),"")</f>
        <v>1.20914497774049</v>
      </c>
      <c r="L348" s="219">
        <f>IFERROR(SUM(L226,L227,L228,L231,L249,L252)/(L83+K83+J83+I83),"")</f>
        <v>1.03806150988858</v>
      </c>
      <c r="N348" s="219">
        <f>IFERROR(SUM(N226,N227,N228,N231,N249,N252)/(N83+L83+K83+J83),"")</f>
        <v>0.992000313484099</v>
      </c>
      <c r="O348" s="219">
        <f>IFERROR(SUM(O226,O227,O228,O231,O249,O252)/(O83+N83+L83+K83),"")</f>
        <v>0.944346109821901</v>
      </c>
      <c r="P348" s="219">
        <f>IFERROR(SUM(P226,P227,P228,P231,P249,P252)/(P83+O83+N83+L83),"")</f>
        <v>1.00373051649963</v>
      </c>
      <c r="Q348" s="219">
        <f>IFERROR(SUM(Q226,Q227,Q228,Q231,Q249,Q252)/(Q83+P83+O83+N83),"")</f>
        <v>1.07433563566402</v>
      </c>
      <c r="S348" s="219">
        <f>IFERROR(SUM(S226,S227,S228,S231,S249,S252)/(S83+Q83+P83+O83),"")</f>
        <v>0.971244252932255</v>
      </c>
      <c r="T348" s="219">
        <f>IFERROR(SUM(T226,T227,T228,T231,T249,T252)/(T83+S83+Q83+P83),"")</f>
        <v>0.953093641067076</v>
      </c>
      <c r="U348" s="219">
        <f>IFERROR(SUM(U226,U227,U228,U231,U249,U252)/(U83+T83+S83+Q83),"")</f>
        <v>1.18007011802664</v>
      </c>
      <c r="V348" s="219">
        <f>IFERROR(SUM(V226,V227,V228,V231,V249,V252)/(V83+U83+T83+S83),"")</f>
        <v>1.01185650771655</v>
      </c>
      <c r="X348" s="219">
        <f>IFERROR(SUM(X226,X227,X228,X231,X249,X252)/(X83+V83+U83+T83),"")</f>
        <v>0.898358143632535</v>
      </c>
      <c r="Y348" s="219">
        <f>IFERROR(SUM(Y226,Y227,Y228,Y231,Y249,Y252)/(Y83+X83+V83+U83),"")</f>
        <v>1.49549425207499</v>
      </c>
      <c r="Z348" s="219">
        <f>IFERROR(SUM(Z226,Z227,Z228,Z231,Z249,Z252)/(Z83+Y83+X83+V83),"")</f>
        <v>1.38427115957145</v>
      </c>
      <c r="AA348" s="219">
        <f>IFERROR(SUM(AA226,AA227,AA228,AA231,AA249,AA252)/(AA83+Z83+Y83+X83),"")</f>
        <v>1.17109782341131</v>
      </c>
      <c r="AC348" s="219">
        <f>IFERROR(SUM(AC226,AC227,AC228,AC231,AC249,AC252)/(AC83+AA83+Z83+Y83),"")</f>
        <v>1.35837434021393</v>
      </c>
      <c r="AD348" s="219">
        <f>IFERROR(SUM(AD226,AD227,AD228,AD231,AD249,AD252)/(AD83+AC83+AA83+Z83),"")</f>
        <v>1.2292165597307</v>
      </c>
      <c r="AE348" s="219">
        <f>IFERROR(SUM(AE226,AE227,AE228,AE231,AE249,AE252)/(AE83+AD83+AC83+AA83),"")</f>
        <v>1.12229146058858</v>
      </c>
      <c r="AF348" s="219">
        <f>IFERROR(SUM(AF226,AF227,AF228,AF231,AF249,AF252)/(AF83+AE83+AD83+AC83),"")</f>
        <v>1.13842669913542</v>
      </c>
      <c r="AH348" s="219">
        <f>IFERROR(SUM(AH226,AH227,AH228,AH231,AH249,AH252)/(AH83+AF83+AE83+AD83),"")</f>
        <v>0.952561196096941</v>
      </c>
      <c r="AI348" s="219">
        <f>IFERROR(SUM(AI226,AI227,AI228,AI231,AI249,AI252)/(AI83+AH83+AF83+AE83),"")</f>
        <v>0.906469610452015</v>
      </c>
      <c r="AJ348" s="219">
        <f>IFERROR(SUM(AJ226,AJ227,AJ228,AJ231,AJ249,AJ252)/(AJ83+AI83+AH83+AF83),"")</f>
        <v>1.17098608666389</v>
      </c>
      <c r="AK348" s="219">
        <f>IFERROR(SUM(AK226,AK227,AK228,AK231,AK249,AK252)/(AK83+AJ83+AI83+AH83),"")</f>
        <v>1.68913344752218</v>
      </c>
      <c r="AM348" s="219">
        <f>IFERROR(SUM(AM226,AM227,AM228,AM231,AM249,AM252)/(AM83+AK83+AJ83+AI83),"")</f>
        <v>3.48001875832336</v>
      </c>
      <c r="AN348" s="219" t="str">
        <f>IFERROR(SUM(AN226,AN227,AN228,AN231,AN249,AN252)/(AN83+AM83+AK83+AJ83),"")</f>
        <v/>
      </c>
      <c r="AO348" s="219" t="str">
        <f>IFERROR(SUM(AO226,AO227,AO228,AO231,AO249,AO252)/(AO83+AN83+AM83+AK83),"")</f>
        <v/>
      </c>
      <c r="AP348" s="219" t="str">
        <f>IFERROR(SUM(AP226,AP227,AP228,AP231,AP249,AP252)/(AP83+AO83+AN83+AM83),"")</f>
        <v/>
      </c>
      <c r="AR348" s="219" t="str">
        <f>IFERROR(SUM(AR226,AR227,AR228,AR231,AR249,AR252)/(AR83+AP83+AO83+AN83),"")</f>
        <v/>
      </c>
      <c r="AS348" s="219" t="str">
        <f>IFERROR(SUM(AS226,AS227,AS228,AS231,AS249,AS252)/(AS83+AR83+AP83+AO83),"")</f>
        <v/>
      </c>
      <c r="AT348" s="219" t="str">
        <f>IFERROR(SUM(AT226,AT227,AT228,AT231,AT249,AT252)/(AT83+AS83+AR83+AP83),"")</f>
        <v/>
      </c>
      <c r="AU348" s="219" t="str">
        <f>IFERROR(SUM(AU226,AU227,AU228,AU231,AU249,AU252)/(AU83+AT83+AS83+AR83),"")</f>
        <v/>
      </c>
      <c r="AW348" s="219" t="str">
        <f>IFERROR(SUM(AW226,AW227,AW228,AW231,AW249,AW252)/(AW83+AU83+AT83+AS83),"")</f>
        <v/>
      </c>
      <c r="AX348" s="219" t="str">
        <f>IFERROR(SUM(AX226,AX227,AX228,AX231,AX249,AX252)/(AX83+AW83+AU83+AT83),"")</f>
        <v/>
      </c>
      <c r="AY348" s="219" t="str">
        <f>IFERROR(SUM(AY226,AY227,AY228,AY231,AY249,AY252)/(AY83+AX83+AW83+AU83),"")</f>
        <v/>
      </c>
      <c r="AZ348" s="219" t="str">
        <f>IFERROR(SUM(AZ226,AZ227,AZ228,AZ231,AZ249,AZ252)/(AZ83+AY83+AX83+AW83),"")</f>
        <v/>
      </c>
      <c r="BB348" s="219" t="str">
        <f>IFERROR(SUM(BB226,BB227,BB228,BB231,BB249,BB252)/(BB83+AZ83+AY83+AX83),"")</f>
        <v/>
      </c>
      <c r="BC348" s="219" t="str">
        <f>IFERROR(SUM(BC226,BC227,BC228,BC231,BC249,BC252)/(BC83+BB83+AZ83+AY83),"")</f>
        <v/>
      </c>
      <c r="BD348" s="219" t="str">
        <f>IFERROR(SUM(BD226,BD227,BD228,BD231,BD249,BD252)/(BD83+BC83+BB83+AZ83),"")</f>
        <v/>
      </c>
      <c r="BE348" s="219" t="str">
        <f>IFERROR(SUM(BE226,BE227,BE228,BE231,BE249,BE252)/(BE83+BD83+BC83+BB83),"")</f>
        <v/>
      </c>
      <c r="BG348" s="219" t="str">
        <f>IFERROR(SUM(BG226,BG227,BG228,BG231,BG249,BG252)/(BG83+BE83+BD83+BC83),"")</f>
        <v/>
      </c>
      <c r="BH348" s="219" t="str">
        <f>IFERROR(SUM(BH226,BH227,BH228,BH231,BH249,BH252)/(BH83+BG83+BE83+BD83),"")</f>
        <v/>
      </c>
      <c r="BI348" s="219" t="str">
        <f>IFERROR(SUM(BI226,BI227,BI228,BI231,BI249,BI252)/(BI83+BH83+BG83+BE83),"")</f>
        <v/>
      </c>
      <c r="BJ348" s="219" t="str">
        <f>IFERROR(SUM(BJ226,BJ227,BJ228,BJ231,BJ249,BJ252)/(BJ83+BI83+BH83+BG83),"")</f>
        <v/>
      </c>
      <c r="BL348" s="219" t="str">
        <f>IFERROR(SUM(BL226,BL227,BL228,BL231,BL249,BL252)/(BL83+BJ83+BI83+BH83),"")</f>
        <v/>
      </c>
      <c r="BM348" s="219" t="str">
        <f>IFERROR(SUM(BM226,BM227,BM228,BM231,BM249,BM252)/(BM83+BL83+BJ83+BI83),"")</f>
        <v/>
      </c>
      <c r="BN348" s="219" t="str">
        <f>IFERROR(SUM(BN226,BN227,BN228,BN231,BN249,BN252)/(BN83+BM83+BL83+BJ83),"")</f>
        <v/>
      </c>
      <c r="BO348" s="219" t="str">
        <f>IFERROR(SUM(BO226,BO227,BO228,BO231,BO249,BO252)/(BO83+BN83+BM83+BL83),"")</f>
        <v/>
      </c>
      <c r="BQ348" s="219" t="str">
        <f>IFERROR(SUM(BQ226,BQ227,BQ228,BQ231,BQ249,BQ252)/(BQ83+BO83+BN83+BM83),"")</f>
        <v/>
      </c>
      <c r="BR348" s="219" t="str">
        <f>IFERROR(SUM(BR226,BR227,BR228,BR231,BR249,BR252)/(BR83+BQ83+BO83+BN83),"")</f>
        <v/>
      </c>
      <c r="BS348" s="219" t="str">
        <f>IFERROR(SUM(BS226,BS227,BS228,BS231,BS249,BS252)/(BS83+BR83+BQ83+BO83),"")</f>
        <v/>
      </c>
      <c r="BT348" s="219" t="str">
        <f>IFERROR(SUM(BT226,BT227,BT228,BT231,BT249,BT252)/(BT83+BS83+BR83+BQ83),"")</f>
        <v/>
      </c>
      <c r="BV348" s="219" t="str">
        <f>IFERROR(SUM(BV226,BV227,BV228,BV231,BV249,BV252)/(BV83+BT83+BS83+BR83),"")</f>
        <v/>
      </c>
      <c r="BW348" s="219" t="str">
        <f>IFERROR(SUM(BW226,BW227,BW228,BW231,BW249,BW252)/(BW83+BV83+BT83+BS83),"")</f>
        <v/>
      </c>
      <c r="BX348" s="219" t="str">
        <f>IFERROR(SUM(BX226,BX227,BX228,BX231,BX249,BX252)/(BX83+BW83+BV83+BT83),"")</f>
        <v/>
      </c>
      <c r="BY348" s="219" t="str">
        <f>IFERROR(SUM(BY226,BY227,BY228,BY231,BY249,BY252)/(BY83+BX83+BW83+BV83),"")</f>
        <v/>
      </c>
      <c r="CA348" s="219" t="str">
        <f>IFERROR(SUM(CA226,CA227,CA228,CA231,CA249,CA252)/(CA83+BY83+BX83+BW83),"")</f>
        <v/>
      </c>
      <c r="CB348" s="219" t="str">
        <f>IFERROR(SUM(CB226,CB227,CB228,CB231,CB249,CB252)/(CB83+CA83+BY83+BX83),"")</f>
        <v/>
      </c>
      <c r="CC348" s="219" t="str">
        <f>IFERROR(SUM(CC226,CC227,CC228,CC231,CC249,CC252)/(CC83+CB83+CA83+BY83),"")</f>
        <v/>
      </c>
      <c r="CD348" s="219" t="str">
        <f>IFERROR(SUM(CD226,CD227,CD228,CD231,CD249,CD252)/(CD83+CC83+CB83+CA83),"")</f>
        <v/>
      </c>
      <c r="CF348" s="219" t="str">
        <f>IFERROR(SUM(CF226,CF227,CF228,CF231,CF249,CF252)/(CF83+CD83+CC83+CB83),"")</f>
        <v/>
      </c>
      <c r="CG348" s="219" t="str">
        <f>IFERROR(SUM(CG226,CG227,CG228,CG231,CG249,CG252)/(CG83+CF83+CD83+CC83),"")</f>
        <v/>
      </c>
      <c r="CH348" s="219" t="str">
        <f>IFERROR(SUM(CH226,CH227,CH228,CH231,CH249,CH252)/(CH83+CG83+CF83+CD83),"")</f>
        <v/>
      </c>
      <c r="CI348" s="219" t="str">
        <f>IFERROR(SUM(CI226,CI227,CI228,CI231,CI249,CI252)/(CI83+CH83+CG83+CF83),"")</f>
        <v/>
      </c>
      <c r="CK348" s="219" t="str">
        <f>IFERROR(SUM(CK226,CK227,CK228,CK231,CK249,CK252)/(CK83+CI83+CH83+CG83),"")</f>
        <v/>
      </c>
      <c r="CL348" s="219" t="str">
        <f>IFERROR(SUM(CL226,CL227,CL228,CL231,CL249,CL252)/(CL83+CK83+CI83+CH83),"")</f>
        <v/>
      </c>
      <c r="CM348" s="219" t="str">
        <f>IFERROR(SUM(CM226,CM227,CM228,CM231,CM249,CM252)/(CM83+CL83+CK83+CI83),"")</f>
        <v/>
      </c>
      <c r="CN348" s="219" t="str">
        <f>IFERROR(SUM(CN226,CN227,CN228,CN231,CN249,CN252)/(CN83+CM83+CL83+CK83),"")</f>
        <v/>
      </c>
      <c r="CP348" s="219" t="str">
        <f>IFERROR(SUM(CP226,CP227,CP228,CP231,CP249,CP252)/(CP83+CN83+CM83+CL83),"")</f>
        <v/>
      </c>
      <c r="CQ348" s="219" t="str">
        <f>IFERROR(SUM(CQ226,CQ227,CQ228,CQ231,CQ249,CQ252)/(CQ83+CP83+CN83+CM83),"")</f>
        <v/>
      </c>
      <c r="CR348" s="219" t="str">
        <f>IFERROR(SUM(CR226,CR227,CR228,CR231,CR249,CR252)/(CR83+CQ83+CP83+CN83),"")</f>
        <v/>
      </c>
      <c r="CS348" s="219" t="str">
        <f>IFERROR(SUM(CS226,CS227,CS228,CS231,CS249,CS252)/(CS83+CR83+CQ83+CP83),"")</f>
        <v/>
      </c>
      <c r="CU348" s="219" t="str">
        <f>IFERROR(SUM(CU226,CU227,CU228,CU231,CU249,CU252)/(CU83+CS83+CR83+CQ83),"")</f>
        <v/>
      </c>
      <c r="CV348" s="219" t="str">
        <f>IFERROR(SUM(CV226,CV227,CV228,CV231,CV249,CV252)/(CV83+CU83+CS83+CR83),"")</f>
        <v/>
      </c>
      <c r="CW348" s="219" t="str">
        <f>IFERROR(SUM(CW226,CW227,CW228,CW231,CW249,CW252)/(CW83+CV83+CU83+CS83),"")</f>
        <v/>
      </c>
      <c r="CX348" s="219" t="str">
        <f>IFERROR(SUM(CX226,CX227,CX228,CX231,CX249,CX252)/(CX83+CW83+CV83+CU83),"")</f>
        <v/>
      </c>
    </row>
    <row r="349" customFormat="1" s="233">
      <c r="A349" s="224" t="n"/>
      <c r="B349" s="224" t="n"/>
      <c r="C349" s="233" t="inlineStr">
        <is>
          <t>TOTAL DEBT / TOTAL CAPITALIZATION</t>
        </is>
      </c>
      <c r="D349" s="221">
        <f>SUM(D226+D227+D228+D231+D249+D252)/(SUM(D226+D227+D228+D231+D249+D252)+D285)</f>
        <v>0.440164481724584</v>
      </c>
      <c r="E349" s="221">
        <f>SUM(E226+E227+E228+E231+E249+E252)/(SUM(E226+E227+E228+E231+E249+E252)+E285)</f>
        <v>0.444428562353091</v>
      </c>
      <c r="F349" s="221">
        <f>SUM(F226+F227+F228+F231+F249+F252)/(SUM(F226+F227+F228+F231+F249+F252)+F285)</f>
        <v>0.326843613733768</v>
      </c>
      <c r="G349" s="221">
        <f>SUM(G226+G227+G228+G231+G249+G252)/(SUM(G226+G227+G228+G231+G249+G252)+G285)</f>
        <v>0.301061919942552</v>
      </c>
      <c r="I349" s="221">
        <f>SUM(I226+I227+I228+I231+I249+I252)/(SUM(I226+I227+I228+I231+I249+I252)+I285)</f>
        <v>0.288135297546239</v>
      </c>
      <c r="J349" s="221">
        <f>SUM(J226+J227+J228+J231+J249+J252)/(SUM(J226+J227+J228+J231+J249+J252)+J285)</f>
        <v>0.281065427169121</v>
      </c>
      <c r="K349" s="221">
        <f>SUM(K226+K227+K228+K231+K249+K252)/(SUM(K226+K227+K228+K231+K249+K252)+K285)</f>
        <v>0.34008938344942</v>
      </c>
      <c r="L349" s="221">
        <f>SUM(L226+L227+L228+L231+L249+L252)/(SUM(L226+L227+L228+L231+L249+L252)+L285)</f>
        <v>0.346355559175464</v>
      </c>
      <c r="N349" s="221">
        <f>SUM(N226+N227+N228+N231+N249+N252)/(SUM(N226+N227+N228+N231+N249+N252)+N285)</f>
        <v>0.330397868477199</v>
      </c>
      <c r="O349" s="221">
        <f>SUM(O226+O227+O228+O231+O249+O252)/(SUM(O226+O227+O228+O231+O249+O252)+O285)</f>
        <v>0.333806887111807</v>
      </c>
      <c r="P349" s="221">
        <f>SUM(P226+P227+P228+P231+P249+P252)/(SUM(P226+P227+P228+P231+P249+P252)+P285)</f>
        <v>0.343297795617734</v>
      </c>
      <c r="Q349" s="221">
        <f>SUM(Q226+Q227+Q228+Q231+Q249+Q252)/(SUM(Q226+Q227+Q228+Q231+Q249+Q252)+Q285)</f>
        <v>0.353996655715312</v>
      </c>
      <c r="S349" s="221">
        <f>SUM(S226+S227+S228+S231+S249+S252)/(SUM(S226+S227+S228+S231+S249+S252)+S285)</f>
        <v>0.328574198328452</v>
      </c>
      <c r="T349" s="221">
        <f>SUM(T226+T227+T228+T231+T249+T252)/(SUM(T226+T227+T228+T231+T249+T252)+T285)</f>
        <v>0.311846246225253</v>
      </c>
      <c r="U349" s="221">
        <f>SUM(U226+U227+U228+U231+U249+U252)/(SUM(U226+U227+U228+U231+U249+U252)+U285)</f>
        <v>0.379414448584303</v>
      </c>
      <c r="V349" s="221">
        <f>SUM(V226+V227+V228+V231+V249+V252)/(SUM(V226+V227+V228+V231+V249+V252)+V285)</f>
        <v>0.380885432320789</v>
      </c>
      <c r="X349" s="221">
        <f>SUM(X226+X227+X228+X231+X249+X252)/(SUM(X226+X227+X228+X231+X249+X252)+X285)</f>
        <v>0.3419184562912</v>
      </c>
      <c r="Y349" s="221">
        <f>SUM(Y226+Y227+Y228+Y231+Y249+Y252)/(SUM(Y226+Y227+Y228+Y231+Y249+Y252)+Y285)</f>
        <v>0.506506982211249</v>
      </c>
      <c r="Z349" s="221">
        <f>SUM(Z226+Z227+Z228+Z231+Z249+Z252)/(SUM(Z226+Z227+Z228+Z231+Z249+Z252)+Z285)</f>
        <v>0.472002637161284</v>
      </c>
      <c r="AA349" s="221">
        <f>SUM(AA226+AA227+AA228+AA231+AA249+AA252)/(SUM(AA226+AA227+AA228+AA231+AA249+AA252)+AA285)</f>
        <v>0.429623667364861</v>
      </c>
      <c r="AC349" s="221">
        <f>SUM(AC226+AC227+AC228+AC231+AC249+AC252)/(SUM(AC226+AC227+AC228+AC231+AC249+AC252)+AC285)</f>
        <v>0.485124012260357</v>
      </c>
      <c r="AD349" s="221">
        <f>SUM(AD226+AD227+AD228+AD231+AD249+AD252)/(SUM(AD226+AD227+AD228+AD231+AD249+AD252)+AD285)</f>
        <v>0.452248659161534</v>
      </c>
      <c r="AE349" s="221">
        <f>SUM(AE226+AE227+AE228+AE231+AE249+AE252)/(SUM(AE226+AE227+AE228+AE231+AE249+AE252)+AE285)</f>
        <v>0.446183706196893</v>
      </c>
      <c r="AF349" s="221">
        <f>SUM(AF226+AF227+AF228+AF231+AF249+AF252)/(SUM(AF226+AF227+AF228+AF231+AF249+AF252)+AF285)</f>
        <v>0.470167274424352</v>
      </c>
      <c r="AH349" s="221">
        <f>SUM(AH226+AH227+AH228+AH231+AH249+AH252)/(SUM(AH226+AH227+AH228+AH231+AH249+AH252)+AH285)</f>
        <v>0.416488351479435</v>
      </c>
      <c r="AI349" s="221">
        <f>SUM(AI226+AI227+AI228+AI231+AI249+AI252)/(SUM(AI226+AI227+AI228+AI231+AI249+AI252)+AI285)</f>
        <v>0.395977766483215</v>
      </c>
      <c r="AJ349" s="221">
        <f>SUM(AJ226+AJ227+AJ228+AJ231+AJ249+AJ252)/(SUM(AJ226+AJ227+AJ228+AJ231+AJ249+AJ252)+AJ285)</f>
        <v>0.390048040358199</v>
      </c>
      <c r="AK349" s="221">
        <f>SUM(AK226+AK227+AK228+AK231+AK249+AK252)/(SUM(AK226+AK227+AK228+AK231+AK249+AK252)+AK285)</f>
        <v>0.384322097429717</v>
      </c>
      <c r="AM349" s="221">
        <f>SUM(AM226+AM227+AM228+AM231+AM249+AM252)/(SUM(AM226+AM227+AM228+AM231+AM249+AM252)+AM285)</f>
        <v>0.378853180448129</v>
      </c>
      <c r="AN349" s="221">
        <f>SUM(AN226+AN227+AN228+AN231+AN249+AN252)/(SUM(AN226+AN227+AN228+AN231+AN249+AN252)+AN285)</f>
        <v>0.35905036657405</v>
      </c>
      <c r="AO349" s="221">
        <f>SUM(AO226+AO227+AO228+AO231+AO249+AO252)/(SUM(AO226+AO227+AO228+AO231+AO249+AO252)+AO285)</f>
        <v>0.354254626669789</v>
      </c>
      <c r="AP349" s="221">
        <f>SUM(AP226+AP227+AP228+AP231+AP249+AP252)/(SUM(AP226+AP227+AP228+AP231+AP249+AP252)+AP285)</f>
        <v>0.336701632300575</v>
      </c>
      <c r="AR349" s="221">
        <f>SUM(AR226+AR227+AR228+AR231+AR249+AR252)/(SUM(AR226+AR227+AR228+AR231+AR249+AR252)+AR285)</f>
        <v>0.320871513552808</v>
      </c>
      <c r="AS349" s="221">
        <f>SUM(AS226+AS227+AS228+AS231+AS249+AS252)/(SUM(AS226+AS227+AS228+AS231+AS249+AS252)+AS285)</f>
        <v>0.287468648023812</v>
      </c>
      <c r="AT349" s="221">
        <f>SUM(AT226+AT227+AT228+AT231+AT249+AT252)/(SUM(AT226+AT227+AT228+AT231+AT249+AT252)+AT285)</f>
        <v>0.275838720946065</v>
      </c>
      <c r="AU349" s="221">
        <f>SUM(AU226+AU227+AU228+AU231+AU249+AU252)/(SUM(AU226+AU227+AU228+AU231+AU249+AU252)+AU285)</f>
        <v>0.250688427071524</v>
      </c>
      <c r="AW349" s="221">
        <f>SUM(AW226+AW227+AW228+AW231+AW249+AW252)/(SUM(AW226+AW227+AW228+AW231+AW249+AW252)+AW285)</f>
        <v>0.229774795364935</v>
      </c>
      <c r="AX349" s="221">
        <f>SUM(AX226+AX227+AX228+AX231+AX249+AX252)/(SUM(AX226+AX227+AX228+AX231+AX249+AX252)+AX285)</f>
        <v>0.186385027862942</v>
      </c>
      <c r="AY349" s="221">
        <f>SUM(AY226+AY227+AY228+AY231+AY249+AY252)/(SUM(AY226+AY227+AY228+AY231+AY249+AY252)+AY285)</f>
        <v>0.174567206467209</v>
      </c>
      <c r="AZ349" s="221">
        <f>SUM(AZ226+AZ227+AZ228+AZ231+AZ249+AZ252)/(SUM(AZ226+AZ227+AZ228+AZ231+AZ249+AZ252)+AZ285)</f>
        <v>0.148297901070548</v>
      </c>
      <c r="BB349" s="221">
        <f>SUM(BB226+BB227+BB228+BB231+BB249+BB252)/(SUM(BB226+BB227+BB228+BB231+BB249+BB252)+BB285)</f>
        <v>0.128911194659642</v>
      </c>
      <c r="BC349" s="221">
        <f>SUM(BC226+BC227+BC228+BC231+BC249+BC252)/(SUM(BC226+BC227+BC228+BC231+BC249+BC252)+BC285)</f>
        <v>0.0951875996280529</v>
      </c>
      <c r="BD349" s="221">
        <f>SUM(BD226+BD227+BD228+BD231+BD249+BD252)/(SUM(BD226+BD227+BD228+BD231+BD249+BD252)+BD285)</f>
        <v>0.0868070063460038</v>
      </c>
      <c r="BE349" s="221">
        <f>SUM(BE226+BE227+BE228+BE231+BE249+BE252)/(SUM(BE226+BE227+BE228+BE231+BE249+BE252)+BE285)</f>
        <v>0.0700786564315287</v>
      </c>
      <c r="BG349" s="221">
        <f>SUM(BG226+BG227+BG228+BG231+BG249+BG252)/(SUM(BG226+BG227+BG228+BG231+BG249+BG252)+BG285)</f>
        <v>0.0587581491822798</v>
      </c>
      <c r="BH349" s="221">
        <f>SUM(BH226+BH227+BH228+BH231+BH249+BH252)/(SUM(BH226+BH227+BH228+BH231+BH249+BH252)+BH285)</f>
        <v>0.0407505673474837</v>
      </c>
      <c r="BI349" s="221">
        <f>SUM(BI226+BI227+BI228+BI231+BI249+BI252)/(SUM(BI226+BI227+BI228+BI231+BI249+BI252)+BI285)</f>
        <v>0.0366449167034119</v>
      </c>
      <c r="BJ349" s="221">
        <f>SUM(BJ226+BJ227+BJ228+BJ231+BJ249+BJ252)/(SUM(BJ226+BJ227+BJ228+BJ231+BJ249+BJ252)+BJ285)</f>
        <v>0.0287264571556907</v>
      </c>
      <c r="BL349" s="221">
        <f>SUM(BL226+BL227+BL228+BL231+BL249+BL252)/(SUM(BL226+BL227+BL228+BL231+BL249+BL252)+BL285)</f>
        <v>0.0236224125605096</v>
      </c>
      <c r="BM349" s="221">
        <f>SUM(BM226+BM227+BM228+BM231+BM249+BM252)/(SUM(BM226+BM227+BM228+BM231+BM249+BM252)+BM285)</f>
        <v>0.0159062834612915</v>
      </c>
      <c r="BN349" s="221">
        <f>SUM(BN226+BN227+BN228+BN231+BN249+BN252)/(SUM(BN226+BN227+BN228+BN231+BN249+BN252)+BN285)</f>
        <v>0.014206574769655</v>
      </c>
      <c r="BO349" s="221">
        <f>SUM(BO226+BO227+BO228+BO231+BO249+BO252)/(SUM(BO226+BO227+BO228+BO231+BO249+BO252)+BO285)</f>
        <v>0.0109978234028062</v>
      </c>
      <c r="BQ349" s="221">
        <f>SUM(BQ226+BQ227+BQ228+BQ231+BQ249+BQ252)/(SUM(BQ226+BQ227+BQ228+BQ231+BQ249+BQ252)+BQ285)</f>
        <v>0.00897153986866273</v>
      </c>
      <c r="BR349" s="221">
        <f>SUM(BR226+BR227+BR228+BR231+BR249+BR252)/(SUM(BR226+BR227+BR228+BR231+BR249+BR252)+BR285)</f>
        <v>0.00596752436590464</v>
      </c>
      <c r="BS349" s="221">
        <f>SUM(BS226+BS227+BS228+BS231+BS249+BS252)/(SUM(BS226+BS227+BS228+BS231+BS249+BS252)+BS285)</f>
        <v>0.00531602937877472</v>
      </c>
      <c r="BT349" s="221">
        <f>SUM(BT226+BT227+BT228+BT231+BT249+BT252)/(SUM(BT226+BT227+BT228+BT231+BT249+BT252)+BT285)</f>
        <v>0.00409463530144514</v>
      </c>
      <c r="BV349" s="221">
        <f>SUM(BV226+BV227+BV228+BV231+BV249+BV252)/(SUM(BV226+BV227+BV228+BV231+BV249+BV252)+BV285)</f>
        <v>0.00332963710243933</v>
      </c>
      <c r="BW349" s="221">
        <f>SUM(BW226+BW227+BW228+BW231+BW249+BW252)/(SUM(BW226+BW227+BW228+BW231+BW249+BW252)+BW285)</f>
        <v>0.00220447830184883</v>
      </c>
      <c r="BX349" s="221">
        <f>SUM(BX226+BX227+BX228+BX231+BX249+BX252)/(SUM(BX226+BX227+BX228+BX231+BX249+BX252)+BX285)</f>
        <v>0.00196181044158784</v>
      </c>
      <c r="BY349" s="221">
        <f>SUM(BY226+BY227+BY228+BY231+BY249+BY252)/(SUM(BY226+BY227+BY228+BY231+BY249+BY252)+BY285)</f>
        <v>0.00150824134860195</v>
      </c>
      <c r="CA349" s="221">
        <f>SUM(CA226+CA227+CA228+CA231+CA249+CA252)/(SUM(CA226+CA227+CA228+CA231+CA249+CA252)+CA285)</f>
        <v>0.00122501904611827</v>
      </c>
      <c r="CB349" s="221">
        <f>SUM(CB226+CB227+CB228+CB231+CB249+CB252)/(SUM(CB226+CB227+CB228+CB231+CB249+CB252)+CB285)</f>
        <v>0.000809644598358158</v>
      </c>
      <c r="CC349" s="221">
        <f>SUM(CC226+CC227+CC228+CC231+CC249+CC252)/(SUM(CC226+CC227+CC228+CC231+CC249+CC252)+CC285)</f>
        <v>0.000720253555505853</v>
      </c>
      <c r="CD349" s="221">
        <f>SUM(CD226+CD227+CD228+CD231+CD249+CD252)/(SUM(CD226+CD227+CD228+CD231+CD249+CD252)+CD285)</f>
        <v>0.000553342946604914</v>
      </c>
      <c r="CF349" s="221">
        <f>SUM(CF226+CF227+CF228+CF231+CF249+CF252)/(SUM(CF226+CF227+CF228+CF231+CF249+CF252)+CF285)</f>
        <v>0.000449237418132321</v>
      </c>
      <c r="CG349" s="221">
        <f>SUM(CG226+CG227+CG228+CG231+CG249+CG252)/(SUM(CG226+CG227+CG228+CG231+CG249+CG252)+CG285)</f>
        <v>0.000296721620698748</v>
      </c>
      <c r="CH349" s="221">
        <f>SUM(CH226+CH227+CH228+CH231+CH249+CH252)/(SUM(CH226+CH227+CH228+CH231+CH249+CH252)+CH285)</f>
        <v>0.000263924713459387</v>
      </c>
      <c r="CI349" s="221">
        <f>SUM(CI226+CI227+CI228+CI231+CI249+CI252)/(SUM(CI226+CI227+CI228+CI231+CI249+CI252)+CI285)</f>
        <v>0.000202711112238247</v>
      </c>
      <c r="CK349" s="221">
        <f>SUM(CK226+CK227+CK228+CK231+CK249+CK252)/(SUM(CK226+CK227+CK228+CK231+CK249+CK252)+CK285)</f>
        <v>0.000164546826383532</v>
      </c>
      <c r="CL349" s="221">
        <f>SUM(CL226+CL227+CL228+CL231+CL249+CL252)/(SUM(CL226+CL227+CL228+CL231+CL249+CL252)+CL285)</f>
        <v>0.000108657590406657</v>
      </c>
      <c r="CM349" s="221">
        <f>SUM(CM226+CM227+CM228+CM231+CM249+CM252)/(SUM(CM226+CM227+CM228+CM231+CM249+CM252)+CM285)</f>
        <v>9.66427138232961e-05</v>
      </c>
      <c r="CN349" s="221">
        <f>SUM(CN226+CN227+CN228+CN231+CN249+CN252)/(SUM(CN226+CN227+CN228+CN231+CN249+CN252)+CN285)</f>
        <v>7.42207650714282e-05</v>
      </c>
      <c r="CP349" s="221">
        <f>SUM(CP226+CP227+CP228+CP231+CP249+CP252)/(SUM(CP226+CP227+CP228+CP231+CP249+CP252)+CP285)</f>
        <v>6.0243705214281e-05</v>
      </c>
      <c r="CQ349" s="221">
        <f>SUM(CQ226+CQ227+CQ228+CQ231+CQ249+CQ252)/(SUM(CQ226+CQ227+CQ228+CQ231+CQ249+CQ252)+CQ285)</f>
        <v>3.97781517096762e-05</v>
      </c>
      <c r="CR349" s="221">
        <f>SUM(CR226+CR227+CR228+CR231+CR249+CR252)/(SUM(CR226+CR227+CR228+CR231+CR249+CR252)+CR285)</f>
        <v>3.5379000386849e-05</v>
      </c>
      <c r="CS349" s="221">
        <f>SUM(CS226+CS227+CS228+CS231+CS249+CS252)/(SUM(CS226+CS227+CS228+CS231+CS249+CS252)+CS285)</f>
        <v>2.71698225964852e-05</v>
      </c>
      <c r="CU349" s="221">
        <f>SUM(CU226+CU227+CU228+CU231+CU249+CU252)/(SUM(CU226+CU227+CU228+CU231+CU249+CU252)+CU285)</f>
        <v>2.20527954560864e-05</v>
      </c>
      <c r="CV349" s="221">
        <f>SUM(CV226+CV227+CV228+CV231+CV249+CV252)/(SUM(CV226+CV227+CV228+CV231+CV249+CV252)+CV285)</f>
        <v>1.45607160649681e-05</v>
      </c>
      <c r="CW349" s="221">
        <f>SUM(CW226+CW227+CW228+CW231+CW249+CW252)/(SUM(CW226+CW227+CW228+CW231+CW249+CW252)+CW285)</f>
        <v>1.2950327228949e-05</v>
      </c>
      <c r="CX349" s="221">
        <f>SUM(CX226+CX227+CX228+CX231+CX249+CX252)/(SUM(CX226+CX227+CX228+CX231+CX249+CX252)+CX285)</f>
        <v>9.94526685996732e-06</v>
      </c>
    </row>
    <row r="350" customFormat="1" s="233">
      <c r="A350" s="224" t="n"/>
      <c r="B350" s="224" t="n"/>
      <c r="C350" s="233" t="inlineStr">
        <is>
          <t>NET DEBT / EBITDA LTM (com arrendamentos)</t>
        </is>
      </c>
      <c r="D350" s="219" t="str">
        <f>""</f>
        <v/>
      </c>
      <c r="E350" s="219" t="str">
        <f>""</f>
        <v/>
      </c>
      <c r="F350" s="219" t="str">
        <f>""</f>
        <v/>
      </c>
      <c r="G350" s="219">
        <f>IFERROR((SUM(G226,G227,G228,G231,G249,G252)-G158)/(G83+F83+E83+D83),"")</f>
        <v>-0.680704375994609</v>
      </c>
      <c r="I350" s="219">
        <f>IFERROR((SUM(I226,I227,I228,I231,I249,I252)-I158)/(I83+G83+F83+E83),"")</f>
        <v>-0.594330238391447</v>
      </c>
      <c r="J350" s="219">
        <f>IFERROR((SUM(J226,J227,J228,J231,J249,J252)-J158)/(J83+I83+G83+F83),"")</f>
        <v>-0.732337328762259</v>
      </c>
      <c r="K350" s="219">
        <f>IFERROR((SUM(K226,K227,K228,K231,K249,K252)-K158)/(K83+J83+I83+G83),"")</f>
        <v>-0.510347403718868</v>
      </c>
      <c r="L350" s="219">
        <f>IFERROR((SUM(L226,L227,L228,L231,L249,L252)-L158)/(L83+K83+J83+I83),"")</f>
        <v>-0.539315551132443</v>
      </c>
      <c r="N350" s="219">
        <f>IFERROR((SUM(N226,N227,N228,N231,N249,N252)-N158)/(N83+L83+K83+J83),"")</f>
        <v>-0.537305796845088</v>
      </c>
      <c r="O350" s="219">
        <f>IFERROR((SUM(O226,O227,O228,O231,O249,O252)-O158)/(O83+N83+L83+K83),"")</f>
        <v>-0.665124315968297</v>
      </c>
      <c r="P350" s="219">
        <f>IFERROR((SUM(P226,P227,P228,P231,P249,P252)-P158)/(P83+O83+N83+L83),"")</f>
        <v>-0.393741386701642</v>
      </c>
      <c r="Q350" s="219">
        <f>IFERROR((SUM(Q226,Q227,Q228,Q231,Q249,Q252)-Q158)/(Q83+P83+O83+N83),"")</f>
        <v>-0.688927654729307</v>
      </c>
      <c r="S350" s="219">
        <f>IFERROR((SUM(S226,S227,S228,S231,S249,S252)-S158)/(S83+Q83+P83+O83),"")</f>
        <v>-0.522561858140219</v>
      </c>
      <c r="T350" s="219">
        <f>IFERROR((SUM(T226,T227,T228,T231,T249,T252)-T158)/(T83+S83+Q83+P83),"")</f>
        <v>-0.640568771211024</v>
      </c>
      <c r="U350" s="219">
        <f>IFERROR((SUM(U226,U227,U228,U231,U249,U252)-U158)/(U83+T83+S83+Q83),"")</f>
        <v>-0.846796469684728</v>
      </c>
      <c r="V350" s="219">
        <f>IFERROR((SUM(V226,V227,V228,V231,V249,V252)-V158)/(V83+U83+T83+S83),"")</f>
        <v>-0.625105375599053</v>
      </c>
      <c r="X350" s="219">
        <f>IFERROR((SUM(X226,X227,X228,X231,X249,X252)-X158)/(X83+V83+U83+T83),"")</f>
        <v>-0.611619072224913</v>
      </c>
      <c r="Y350" s="219">
        <f>IFERROR((SUM(Y226,Y227,Y228,Y231,Y249,Y252)-Y158)/(Y83+X83+V83+U83),"")</f>
        <v>-0.660449144583474</v>
      </c>
      <c r="Z350" s="219">
        <f>IFERROR((SUM(Z226,Z227,Z228,Z231,Z249,Z252)-Z158)/(Z83+Y83+X83+V83),"")</f>
        <v>-0.405152228277917</v>
      </c>
      <c r="AA350" s="219">
        <f>IFERROR((SUM(AA226,AA227,AA228,AA231,AA249,AA252)-AA158)/(AA83+Z83+Y83+X83),"")</f>
        <v>-0.510351044306003</v>
      </c>
      <c r="AC350" s="219">
        <f>IFERROR((SUM(AC226,AC227,AC228,AC231,AC249,AC252)-AC158)/(AC83+AA83+Z83+Y83),"")</f>
        <v>-0.276368779909226</v>
      </c>
      <c r="AD350" s="219">
        <f>IFERROR((SUM(AD226,AD227,AD228,AD231,AD249,AD252)-AD158)/(AD83+AC83+AA83+Z83),"")</f>
        <v>-0.214847266615566</v>
      </c>
      <c r="AE350" s="219">
        <f>IFERROR((SUM(AE226,AE227,AE228,AE231,AE249,AE252)-AE158)/(AE83+AD83+AC83+AA83),"")</f>
        <v>-0.381919910348114</v>
      </c>
      <c r="AF350" s="219">
        <f>IFERROR((SUM(AF226,AF227,AF228,AF231,AF249,AF252)-AF158)/(AF83+AE83+AD83+AC83),"")</f>
        <v>-0.243950728606158</v>
      </c>
      <c r="AH350" s="219">
        <f>IFERROR((SUM(AH226,AH227,AH228,AH231,AH249,AH252)-AH158)/(AH83+AF83+AE83+AD83),"")</f>
        <v>-0.28701632335863</v>
      </c>
      <c r="AI350" s="219">
        <f>IFERROR((SUM(AI226,AI227,AI228,AI231,AI249,AI252)-AI158)/(AI83+AH83+AF83+AE83),"")</f>
        <v>-0.196087310687481</v>
      </c>
      <c r="AJ350" s="219">
        <f>IFERROR((SUM(AJ226,AJ227,AJ228,AJ231,AJ249,AJ252)-AJ158)/(AJ83+AI83+AH83+AF83),"")</f>
        <v>-3.5941576019438</v>
      </c>
      <c r="AK350" s="219">
        <f>IFERROR((SUM(AK226,AK227,AK228,AK231,AK249,AK252)-AK158)/(AK83+AJ83+AI83+AH83),"")</f>
        <v>-5.24510484497732</v>
      </c>
      <c r="AM350" s="219" t="str">
        <f>IFERROR((SUM(AM226,AM227,AM228,AM231,AM249,AM252)-AM158)/(AM83+AK83+AJ83+AI83),"")</f>
        <v/>
      </c>
      <c r="AN350" s="219" t="str">
        <f>IFERROR((SUM(AN226,AN227,AN228,AN231,AN249,AN252)-AN158)/(AN83+AM83+AK83+AJ83),"")</f>
        <v/>
      </c>
      <c r="AO350" s="219" t="str">
        <f>IFERROR((SUM(AO226,AO227,AO228,AO231,AO249,AO252)-AO158)/(AO83+AN83+AM83+AK83),"")</f>
        <v/>
      </c>
      <c r="AP350" s="219" t="str">
        <f>IFERROR((SUM(AP226,AP227,AP228,AP231,AP249,AP252)-AP158)/(AP83+AO83+AN83+AM83),"")</f>
        <v/>
      </c>
      <c r="AR350" s="219" t="str">
        <f>IFERROR((SUM(AR226,AR227,AR228,AR231,AR249,AR252)-AR158)/(AR83+AP83+AO83+AN83),"")</f>
        <v/>
      </c>
      <c r="AS350" s="219" t="str">
        <f>IFERROR((SUM(AS226,AS227,AS228,AS231,AS249,AS252)-AS158)/(AS83+AR83+AP83+AO83),"")</f>
        <v/>
      </c>
      <c r="AT350" s="219" t="str">
        <f>IFERROR((SUM(AT226,AT227,AT228,AT231,AT249,AT252)-AT158)/(AT83+AS83+AR83+AP83),"")</f>
        <v/>
      </c>
      <c r="AU350" s="219" t="str">
        <f>IFERROR((SUM(AU226,AU227,AU228,AU231,AU249,AU252)-AU158)/(AU83+AT83+AS83+AR83),"")</f>
        <v/>
      </c>
      <c r="AW350" s="219" t="str">
        <f>IFERROR((SUM(AW226,AW227,AW228,AW231,AW249,AW252)-AW158)/(AW83+AU83+AT83+AS83),"")</f>
        <v/>
      </c>
      <c r="AX350" s="219" t="str">
        <f>IFERROR((SUM(AX226,AX227,AX228,AX231,AX249,AX252)-AX158)/(AX83+AW83+AU83+AT83),"")</f>
        <v/>
      </c>
      <c r="AY350" s="219" t="str">
        <f>IFERROR((SUM(AY226,AY227,AY228,AY231,AY249,AY252)-AY158)/(AY83+AX83+AW83+AU83),"")</f>
        <v/>
      </c>
      <c r="AZ350" s="219" t="str">
        <f>IFERROR((SUM(AZ226,AZ227,AZ228,AZ231,AZ249,AZ252)-AZ158)/(AZ83+AY83+AX83+AW83),"")</f>
        <v/>
      </c>
      <c r="BB350" s="219" t="str">
        <f>IFERROR((SUM(BB226,BB227,BB228,BB231,BB249,BB252)-BB158)/(BB83+AZ83+AY83+AX83),"")</f>
        <v/>
      </c>
      <c r="BC350" s="219" t="str">
        <f>IFERROR((SUM(BC226,BC227,BC228,BC231,BC249,BC252)-BC158)/(BC83+BB83+AZ83+AY83),"")</f>
        <v/>
      </c>
      <c r="BD350" s="219" t="str">
        <f>IFERROR((SUM(BD226,BD227,BD228,BD231,BD249,BD252)-BD158)/(BD83+BC83+BB83+AZ83),"")</f>
        <v/>
      </c>
      <c r="BE350" s="219" t="str">
        <f>IFERROR((SUM(BE226,BE227,BE228,BE231,BE249,BE252)-BE158)/(BE83+BD83+BC83+BB83),"")</f>
        <v/>
      </c>
      <c r="BG350" s="219" t="str">
        <f>IFERROR((SUM(BG226,BG227,BG228,BG231,BG249,BG252)-BG158)/(BG83+BE83+BD83+BC83),"")</f>
        <v/>
      </c>
      <c r="BH350" s="219" t="str">
        <f>IFERROR((SUM(BH226,BH227,BH228,BH231,BH249,BH252)-BH158)/(BH83+BG83+BE83+BD83),"")</f>
        <v/>
      </c>
      <c r="BI350" s="219" t="str">
        <f>IFERROR((SUM(BI226,BI227,BI228,BI231,BI249,BI252)-BI158)/(BI83+BH83+BG83+BE83),"")</f>
        <v/>
      </c>
      <c r="BJ350" s="219" t="str">
        <f>IFERROR((SUM(BJ226,BJ227,BJ228,BJ231,BJ249,BJ252)-BJ158)/(BJ83+BI83+BH83+BG83),"")</f>
        <v/>
      </c>
      <c r="BL350" s="219" t="str">
        <f>IFERROR((SUM(BL226,BL227,BL228,BL231,BL249,BL252)-BL158)/(BL83+BJ83+BI83+BH83),"")</f>
        <v/>
      </c>
      <c r="BM350" s="219" t="str">
        <f>IFERROR((SUM(BM226,BM227,BM228,BM231,BM249,BM252)-BM158)/(BM83+BL83+BJ83+BI83),"")</f>
        <v/>
      </c>
      <c r="BN350" s="219" t="str">
        <f>IFERROR((SUM(BN226,BN227,BN228,BN231,BN249,BN252)-BN158)/(BN83+BM83+BL83+BJ83),"")</f>
        <v/>
      </c>
      <c r="BO350" s="219" t="str">
        <f>IFERROR((SUM(BO226,BO227,BO228,BO231,BO249,BO252)-BO158)/(BO83+BN83+BM83+BL83),"")</f>
        <v/>
      </c>
      <c r="BQ350" s="219" t="str">
        <f>IFERROR((SUM(BQ226,BQ227,BQ228,BQ231,BQ249,BQ252)-BQ158)/(BQ83+BO83+BN83+BM83),"")</f>
        <v/>
      </c>
      <c r="BR350" s="219" t="str">
        <f>IFERROR((SUM(BR226,BR227,BR228,BR231,BR249,BR252)-BR158)/(BR83+BQ83+BO83+BN83),"")</f>
        <v/>
      </c>
      <c r="BS350" s="219" t="str">
        <f>IFERROR((SUM(BS226,BS227,BS228,BS231,BS249,BS252)-BS158)/(BS83+BR83+BQ83+BO83),"")</f>
        <v/>
      </c>
      <c r="BT350" s="219" t="str">
        <f>IFERROR((SUM(BT226,BT227,BT228,BT231,BT249,BT252)-BT158)/(BT83+BS83+BR83+BQ83),"")</f>
        <v/>
      </c>
      <c r="BV350" s="219" t="str">
        <f>IFERROR((SUM(BV226,BV227,BV228,BV231,BV249,BV252)-BV158)/(BV83+BT83+BS83+BR83),"")</f>
        <v/>
      </c>
      <c r="BW350" s="219" t="str">
        <f>IFERROR((SUM(BW226,BW227,BW228,BW231,BW249,BW252)-BW158)/(BW83+BV83+BT83+BS83),"")</f>
        <v/>
      </c>
      <c r="BX350" s="219" t="str">
        <f>IFERROR((SUM(BX226,BX227,BX228,BX231,BX249,BX252)-BX158)/(BX83+BW83+BV83+BT83),"")</f>
        <v/>
      </c>
      <c r="BY350" s="219" t="str">
        <f>IFERROR((SUM(BY226,BY227,BY228,BY231,BY249,BY252)-BY158)/(BY83+BX83+BW83+BV83),"")</f>
        <v/>
      </c>
      <c r="CA350" s="219" t="str">
        <f>IFERROR((SUM(CA226,CA227,CA228,CA231,CA249,CA252)-CA158)/(CA83+BY83+BX83+BW83),"")</f>
        <v/>
      </c>
      <c r="CB350" s="219" t="str">
        <f>IFERROR((SUM(CB226,CB227,CB228,CB231,CB249,CB252)-CB158)/(CB83+CA83+BY83+BX83),"")</f>
        <v/>
      </c>
      <c r="CC350" s="219" t="str">
        <f>IFERROR((SUM(CC226,CC227,CC228,CC231,CC249,CC252)-CC158)/(CC83+CB83+CA83+BY83),"")</f>
        <v/>
      </c>
      <c r="CD350" s="219" t="str">
        <f>IFERROR((SUM(CD226,CD227,CD228,CD231,CD249,CD252)-CD158)/(CD83+CC83+CB83+CA83),"")</f>
        <v/>
      </c>
      <c r="CF350" s="219" t="str">
        <f>IFERROR((SUM(CF226,CF227,CF228,CF231,CF249,CF252)-CF158)/(CF83+CD83+CC83+CB83),"")</f>
        <v/>
      </c>
      <c r="CG350" s="219" t="str">
        <f>IFERROR((SUM(CG226,CG227,CG228,CG231,CG249,CG252)-CG158)/(CG83+CF83+CD83+CC83),"")</f>
        <v/>
      </c>
      <c r="CH350" s="219" t="str">
        <f>IFERROR((SUM(CH226,CH227,CH228,CH231,CH249,CH252)-CH158)/(CH83+CG83+CF83+CD83),"")</f>
        <v/>
      </c>
      <c r="CI350" s="219" t="str">
        <f>IFERROR((SUM(CI226,CI227,CI228,CI231,CI249,CI252)-CI158)/(CI83+CH83+CG83+CF83),"")</f>
        <v/>
      </c>
      <c r="CK350" s="219" t="str">
        <f>IFERROR((SUM(CK226,CK227,CK228,CK231,CK249,CK252)-CK158)/(CK83+CI83+CH83+CG83),"")</f>
        <v/>
      </c>
      <c r="CL350" s="219" t="str">
        <f>IFERROR((SUM(CL226,CL227,CL228,CL231,CL249,CL252)-CL158)/(CL83+CK83+CI83+CH83),"")</f>
        <v/>
      </c>
      <c r="CM350" s="219" t="str">
        <f>IFERROR((SUM(CM226,CM227,CM228,CM231,CM249,CM252)-CM158)/(CM83+CL83+CK83+CI83),"")</f>
        <v/>
      </c>
      <c r="CN350" s="219" t="str">
        <f>IFERROR((SUM(CN226,CN227,CN228,CN231,CN249,CN252)-CN158)/(CN83+CM83+CL83+CK83),"")</f>
        <v/>
      </c>
      <c r="CP350" s="219" t="str">
        <f>IFERROR((SUM(CP226,CP227,CP228,CP231,CP249,CP252)-CP158)/(CP83+CN83+CM83+CL83),"")</f>
        <v/>
      </c>
      <c r="CQ350" s="219" t="str">
        <f>IFERROR((SUM(CQ226,CQ227,CQ228,CQ231,CQ249,CQ252)-CQ158)/(CQ83+CP83+CN83+CM83),"")</f>
        <v/>
      </c>
      <c r="CR350" s="219" t="str">
        <f>IFERROR((SUM(CR226,CR227,CR228,CR231,CR249,CR252)-CR158)/(CR83+CQ83+CP83+CN83),"")</f>
        <v/>
      </c>
      <c r="CS350" s="219" t="str">
        <f>IFERROR((SUM(CS226,CS227,CS228,CS231,CS249,CS252)-CS158)/(CS83+CR83+CQ83+CP83),"")</f>
        <v/>
      </c>
      <c r="CU350" s="219" t="str">
        <f>IFERROR((SUM(CU226,CU227,CU228,CU231,CU249,CU252)-CU158)/(CU83+CS83+CR83+CQ83),"")</f>
        <v/>
      </c>
      <c r="CV350" s="219" t="str">
        <f>IFERROR((SUM(CV226,CV227,CV228,CV231,CV249,CV252)-CV158)/(CV83+CU83+CS83+CR83),"")</f>
        <v/>
      </c>
      <c r="CW350" s="219" t="str">
        <f>IFERROR((SUM(CW226,CW227,CW228,CW231,CW249,CW252)-CW158)/(CW83+CV83+CU83+CS83),"")</f>
        <v/>
      </c>
      <c r="CX350" s="219" t="str">
        <f>IFERROR((SUM(CX226,CX227,CX228,CX231,CX249,CX252)-CX158)/(CX83+CW83+CV83+CU83),"")</f>
        <v/>
      </c>
    </row>
    <row r="351" customFormat="1" s="233">
      <c r="A351" s="224" t="n"/>
      <c r="B351" s="224" t="n"/>
      <c r="C351" s="237" t="inlineStr">
        <is>
          <t>NET DEBT (EX IFRS 16) / EBITDA LTM</t>
        </is>
      </c>
      <c r="D351" s="219" t="str">
        <f>""</f>
        <v/>
      </c>
      <c r="E351" s="219" t="str">
        <f>""</f>
        <v/>
      </c>
      <c r="F351" s="219" t="str">
        <f>""</f>
        <v/>
      </c>
      <c r="G351" s="219">
        <f>IFERROR((SUM(G226,G227,G231,G252)-G158)/(G83+F83+E83+D83),"")</f>
        <v>-0.680704375994609</v>
      </c>
      <c r="I351" s="219">
        <f>IFERROR((SUM(I226,I227,I231,I252)-I158)/(I83+G83+F83+E83),"")</f>
        <v>-0.594330238391447</v>
      </c>
      <c r="J351" s="219">
        <f>IFERROR((SUM(J226,J227,J231,J252)-J158)/(J83+I83+G83+F83),"")</f>
        <v>-0.732337328762259</v>
      </c>
      <c r="K351" s="219">
        <f>IFERROR((SUM(K226,K227,K231,K252)-K158)/(K83+J83+I83+G83),"")</f>
        <v>-0.510347403718868</v>
      </c>
      <c r="L351" s="219">
        <f>IFERROR((SUM(L226,L227,L231,L252)-L158)/(L83+K83+J83+I83),"")</f>
        <v>-0.539315551132443</v>
      </c>
      <c r="N351" s="219">
        <f>IFERROR((SUM(N226,N227,N231,N252)-N158)/(N83+L83+K83+J83),"")</f>
        <v>-0.537305796845088</v>
      </c>
      <c r="O351" s="219">
        <f>IFERROR((SUM(O226,O227,O231,O252)-O158)/(O83+N83+L83+K83),"")</f>
        <v>-0.665124315968297</v>
      </c>
      <c r="P351" s="219">
        <f>IFERROR((SUM(P226,P227,P231,P252)-P158)/(P83+O83+N83+L83),"")</f>
        <v>-0.393741386701642</v>
      </c>
      <c r="Q351" s="219">
        <f>IFERROR((SUM(Q226,Q227,Q231,Q252)-Q158)/(Q83+P83+O83+N83),"")</f>
        <v>-0.688927654729307</v>
      </c>
      <c r="S351" s="219">
        <f>IFERROR((SUM(S226,S227,S231,S252)-S158)/(S83+Q83+P83+O83),"")</f>
        <v>-0.522561858140219</v>
      </c>
      <c r="T351" s="219">
        <f>IFERROR((SUM(T226,T227,T231,T252)-T158)/(T83+S83+Q83+P83),"")</f>
        <v>-0.640568771211024</v>
      </c>
      <c r="U351" s="219">
        <f>IFERROR((SUM(U226,U227,U231,U252)-U158)/(U83+T83+S83+Q83),"")</f>
        <v>-0.846796469684728</v>
      </c>
      <c r="V351" s="219">
        <f>IFERROR((SUM(V226,V227,V231,V252)-V158)/(V83+U83+T83+S83),"")</f>
        <v>-0.625105375599053</v>
      </c>
      <c r="X351" s="219">
        <f>IFERROR((SUM(X226,X227,X231,X252)-X158)/(X83+V83+U83+T83),"")</f>
        <v>-0.611619072224913</v>
      </c>
      <c r="Y351" s="219">
        <f>IFERROR((SUM(Y226,Y227,Y231,Y252)-Y158)/(Y83+X83+V83+U83),"")</f>
        <v>-0.660449144583474</v>
      </c>
      <c r="Z351" s="219">
        <f>IFERROR((SUM(Z226,Z227,Z231,Z252)-Z158)/(Z83+Y83+X83+V83),"")</f>
        <v>-0.405152228277917</v>
      </c>
      <c r="AA351" s="219">
        <f>IFERROR((SUM(AA226,AA227,AA231,AA252)-AA158)/(AA83+Z83+Y83+X83),"")</f>
        <v>-0.510351044306003</v>
      </c>
      <c r="AC351" s="219">
        <f>IFERROR((SUM(AC226,AC227,AC231,AC252)-AC158)/(AC83+AA83+Z83+Y83),"")</f>
        <v>-0.276368779909226</v>
      </c>
      <c r="AD351" s="219">
        <f>IFERROR((SUM(AD226,AD227,AD231,AD252)-AD158)/(AD83+AC83+AA83+Z83),"")</f>
        <v>-0.214847266615566</v>
      </c>
      <c r="AE351" s="219">
        <f>IFERROR((SUM(AE226,AE227,AE231,AE252)-AE158)/(AE83+AD83+AC83+AA83),"")</f>
        <v>-0.381919910348114</v>
      </c>
      <c r="AF351" s="219">
        <f>IFERROR((SUM(AF226,AF227,AF231,AF252)-AF158)/(AF83+AE83+AD83+AC83),"")</f>
        <v>-0.243950728606158</v>
      </c>
      <c r="AH351" s="219">
        <f>IFERROR((SUM(AH226,AH227,AH231,AH252)-AH158)/(AH83+AF83+AE83+AD83),"")</f>
        <v>-0.28701632335863</v>
      </c>
      <c r="AI351" s="219">
        <f>IFERROR((SUM(AI226,AI227,AI231,AI252)-AI158)/(AI83+AH83+AF83+AE83),"")</f>
        <v>-0.196087310687481</v>
      </c>
      <c r="AJ351" s="219">
        <f>IFERROR((SUM(AJ226,AJ227,AJ231,AJ252)-AJ158)/(AJ83+AI83+AH83+AF83),"")</f>
        <v>-3.5941576019438</v>
      </c>
      <c r="AK351" s="219">
        <f>IFERROR((SUM(AK226,AK227,AK231,AK252)-AK158)/(AK83+AJ83+AI83+AH83),"")</f>
        <v>-5.24510484497732</v>
      </c>
      <c r="AM351" s="219" t="str">
        <f>IFERROR((SUM(AM226,AM227,AM231,AM252)-AM158)/(AM83+AK83+AJ83+AI83),"")</f>
        <v/>
      </c>
      <c r="AN351" s="219" t="str">
        <f>IFERROR((SUM(AN226,AN227,AN231,AN252)-AN158)/(AN83+AM83+AK83+AJ83),"")</f>
        <v/>
      </c>
      <c r="AO351" s="219" t="str">
        <f>IFERROR((SUM(AO226,AO227,AO231,AO252)-AO158)/(AO83+AN83+AM83+AK83),"")</f>
        <v/>
      </c>
      <c r="AP351" s="219" t="str">
        <f>IFERROR((SUM(AP226,AP227,AP231,AP252)-AP158)/(AP83+AO83+AN83+AM83),"")</f>
        <v/>
      </c>
      <c r="AR351" s="219" t="str">
        <f>IFERROR((SUM(AR226,AR227,AR231,AR252)-AR158)/(AR83+AP83+AO83+AN83),"")</f>
        <v/>
      </c>
      <c r="AS351" s="219" t="str">
        <f>IFERROR((SUM(AS226,AS227,AS231,AS252)-AS158)/(AS83+AR83+AP83+AO83),"")</f>
        <v/>
      </c>
      <c r="AT351" s="219" t="str">
        <f>IFERROR((SUM(AT226,AT227,AT231,AT252)-AT158)/(AT83+AS83+AR83+AP83),"")</f>
        <v/>
      </c>
      <c r="AU351" s="219" t="str">
        <f>IFERROR((SUM(AU226,AU227,AU231,AU252)-AU158)/(AU83+AT83+AS83+AR83),"")</f>
        <v/>
      </c>
      <c r="AW351" s="219" t="str">
        <f>IFERROR((SUM(AW226,AW227,AW231,AW252)-AW158)/(AW83+AU83+AT83+AS83),"")</f>
        <v/>
      </c>
      <c r="AX351" s="219" t="str">
        <f>IFERROR((SUM(AX226,AX227,AX231,AX252)-AX158)/(AX83+AW83+AU83+AT83),"")</f>
        <v/>
      </c>
      <c r="AY351" s="219" t="str">
        <f>IFERROR((SUM(AY226,AY227,AY231,AY252)-AY158)/(AY83+AX83+AW83+AU83),"")</f>
        <v/>
      </c>
      <c r="AZ351" s="219" t="str">
        <f>IFERROR((SUM(AZ226,AZ227,AZ231,AZ252)-AZ158)/(AZ83+AY83+AX83+AW83),"")</f>
        <v/>
      </c>
      <c r="BB351" s="219" t="str">
        <f>IFERROR((SUM(BB226,BB227,BB231,BB252)-BB158)/(BB83+AZ83+AY83+AX83),"")</f>
        <v/>
      </c>
      <c r="BC351" s="219" t="str">
        <f>IFERROR((SUM(BC226,BC227,BC231,BC252)-BC158)/(BC83+BB83+AZ83+AY83),"")</f>
        <v/>
      </c>
      <c r="BD351" s="219" t="str">
        <f>IFERROR((SUM(BD226,BD227,BD231,BD252)-BD158)/(BD83+BC83+BB83+AZ83),"")</f>
        <v/>
      </c>
      <c r="BE351" s="219" t="str">
        <f>IFERROR((SUM(BE226,BE227,BE231,BE252)-BE158)/(BE83+BD83+BC83+BB83),"")</f>
        <v/>
      </c>
      <c r="BG351" s="219" t="str">
        <f>IFERROR((SUM(BG226,BG227,BG231,BG252)-BG158)/(BG83+BE83+BD83+BC83),"")</f>
        <v/>
      </c>
      <c r="BH351" s="219" t="str">
        <f>IFERROR((SUM(BH226,BH227,BH231,BH252)-BH158)/(BH83+BG83+BE83+BD83),"")</f>
        <v/>
      </c>
      <c r="BI351" s="219" t="str">
        <f>IFERROR((SUM(BI226,BI227,BI231,BI252)-BI158)/(BI83+BH83+BG83+BE83),"")</f>
        <v/>
      </c>
      <c r="BJ351" s="219" t="str">
        <f>IFERROR((SUM(BJ226,BJ227,BJ231,BJ252)-BJ158)/(BJ83+BI83+BH83+BG83),"")</f>
        <v/>
      </c>
      <c r="BL351" s="219" t="str">
        <f>IFERROR((SUM(BL226,BL227,BL231,BL252)-BL158)/(BL83+BJ83+BI83+BH83),"")</f>
        <v/>
      </c>
      <c r="BM351" s="219" t="str">
        <f>IFERROR((SUM(BM226,BM227,BM231,BM252)-BM158)/(BM83+BL83+BJ83+BI83),"")</f>
        <v/>
      </c>
      <c r="BN351" s="219" t="str">
        <f>IFERROR((SUM(BN226,BN227,BN231,BN252)-BN158)/(BN83+BM83+BL83+BJ83),"")</f>
        <v/>
      </c>
      <c r="BO351" s="219" t="str">
        <f>IFERROR((SUM(BO226,BO227,BO231,BO252)-BO158)/(BO83+BN83+BM83+BL83),"")</f>
        <v/>
      </c>
      <c r="BQ351" s="219" t="str">
        <f>IFERROR((SUM(BQ226,BQ227,BQ231,BQ252)-BQ158)/(BQ83+BO83+BN83+BM83),"")</f>
        <v/>
      </c>
      <c r="BR351" s="219" t="str">
        <f>IFERROR((SUM(BR226,BR227,BR231,BR252)-BR158)/(BR83+BQ83+BO83+BN83),"")</f>
        <v/>
      </c>
      <c r="BS351" s="219" t="str">
        <f>IFERROR((SUM(BS226,BS227,BS231,BS252)-BS158)/(BS83+BR83+BQ83+BO83),"")</f>
        <v/>
      </c>
      <c r="BT351" s="219" t="str">
        <f>IFERROR((SUM(BT226,BT227,BT231,BT252)-BT158)/(BT83+BS83+BR83+BQ83),"")</f>
        <v/>
      </c>
      <c r="BV351" s="219" t="str">
        <f>IFERROR((SUM(BV226,BV227,BV231,BV252)-BV158)/(BV83+BT83+BS83+BR83),"")</f>
        <v/>
      </c>
      <c r="BW351" s="219" t="str">
        <f>IFERROR((SUM(BW226,BW227,BW231,BW252)-BW158)/(BW83+BV83+BT83+BS83),"")</f>
        <v/>
      </c>
      <c r="BX351" s="219" t="str">
        <f>IFERROR((SUM(BX226,BX227,BX231,BX252)-BX158)/(BX83+BW83+BV83+BT83),"")</f>
        <v/>
      </c>
      <c r="BY351" s="219" t="str">
        <f>IFERROR((SUM(BY226,BY227,BY231,BY252)-BY158)/(BY83+BX83+BW83+BV83),"")</f>
        <v/>
      </c>
      <c r="CA351" s="219" t="str">
        <f>IFERROR((SUM(CA226,CA227,CA231,CA252)-CA158)/(CA83+BY83+BX83+BW83),"")</f>
        <v/>
      </c>
      <c r="CB351" s="219" t="str">
        <f>IFERROR((SUM(CB226,CB227,CB231,CB252)-CB158)/(CB83+CA83+BY83+BX83),"")</f>
        <v/>
      </c>
      <c r="CC351" s="219" t="str">
        <f>IFERROR((SUM(CC226,CC227,CC231,CC252)-CC158)/(CC83+CB83+CA83+BY83),"")</f>
        <v/>
      </c>
      <c r="CD351" s="219" t="str">
        <f>IFERROR((SUM(CD226,CD227,CD231,CD252)-CD158)/(CD83+CC83+CB83+CA83),"")</f>
        <v/>
      </c>
      <c r="CF351" s="219" t="str">
        <f>IFERROR((SUM(CF226,CF227,CF231,CF252)-CF158)/(CF83+CD83+CC83+CB83),"")</f>
        <v/>
      </c>
      <c r="CG351" s="219" t="str">
        <f>IFERROR((SUM(CG226,CG227,CG231,CG252)-CG158)/(CG83+CF83+CD83+CC83),"")</f>
        <v/>
      </c>
      <c r="CH351" s="219" t="str">
        <f>IFERROR((SUM(CH226,CH227,CH231,CH252)-CH158)/(CH83+CG83+CF83+CD83),"")</f>
        <v/>
      </c>
      <c r="CI351" s="219" t="str">
        <f>IFERROR((SUM(CI226,CI227,CI231,CI252)-CI158)/(CI83+CH83+CG83+CF83),"")</f>
        <v/>
      </c>
      <c r="CK351" s="219" t="str">
        <f>IFERROR((SUM(CK226,CK227,CK231,CK252)-CK158)/(CK83+CI83+CH83+CG83),"")</f>
        <v/>
      </c>
      <c r="CL351" s="219" t="str">
        <f>IFERROR((SUM(CL226,CL227,CL231,CL252)-CL158)/(CL83+CK83+CI83+CH83),"")</f>
        <v/>
      </c>
      <c r="CM351" s="219" t="str">
        <f>IFERROR((SUM(CM226,CM227,CM231,CM252)-CM158)/(CM83+CL83+CK83+CI83),"")</f>
        <v/>
      </c>
      <c r="CN351" s="219" t="str">
        <f>IFERROR((SUM(CN226,CN227,CN231,CN252)-CN158)/(CN83+CM83+CL83+CK83),"")</f>
        <v/>
      </c>
      <c r="CP351" s="219" t="str">
        <f>IFERROR((SUM(CP226,CP227,CP231,CP252)-CP158)/(CP83+CN83+CM83+CL83),"")</f>
        <v/>
      </c>
      <c r="CQ351" s="219" t="str">
        <f>IFERROR((SUM(CQ226,CQ227,CQ231,CQ252)-CQ158)/(CQ83+CP83+CN83+CM83),"")</f>
        <v/>
      </c>
      <c r="CR351" s="219" t="str">
        <f>IFERROR((SUM(CR226,CR227,CR231,CR252)-CR158)/(CR83+CQ83+CP83+CN83),"")</f>
        <v/>
      </c>
      <c r="CS351" s="219" t="str">
        <f>IFERROR((SUM(CS226,CS227,CS231,CS252)-CS158)/(CS83+CR83+CQ83+CP83),"")</f>
        <v/>
      </c>
      <c r="CU351" s="219" t="str">
        <f>IFERROR((SUM(CU226,CU227,CU231,CU252)-CU158)/(CU83+CS83+CR83+CQ83),"")</f>
        <v/>
      </c>
      <c r="CV351" s="219" t="str">
        <f>IFERROR((SUM(CV226,CV227,CV231,CV252)-CV158)/(CV83+CU83+CS83+CR83),"")</f>
        <v/>
      </c>
      <c r="CW351" s="219" t="str">
        <f>IFERROR((SUM(CW226,CW227,CW231,CW252)-CW158)/(CW83+CV83+CU83+CS83),"")</f>
        <v/>
      </c>
      <c r="CX351" s="219" t="str">
        <f>IFERROR((SUM(CX226,CX227,CX231,CX252)-CX158)/(CX83+CW83+CV83+CU83),"")</f>
        <v/>
      </c>
    </row>
    <row r="352" customFormat="1" s="233">
      <c r="A352" s="224" t="n"/>
      <c r="B352" s="224" t="n"/>
      <c r="C352" s="233" t="inlineStr">
        <is>
          <t>INTEREST COVERAGE</t>
        </is>
      </c>
      <c r="D352" s="219">
        <f>D87/-D88</f>
        <v>4.94837668884856</v>
      </c>
      <c r="E352" s="219">
        <f>E87/-E88</f>
        <v>8.49466689980766</v>
      </c>
      <c r="F352" s="219">
        <f>F87/-F88</f>
        <v>10.090977556861</v>
      </c>
      <c r="G352" s="219">
        <f>G87/-G88</f>
        <v>13.3876094712942</v>
      </c>
      <c r="I352" s="219">
        <f>I87/-I88</f>
        <v>8.66083241455347</v>
      </c>
      <c r="J352" s="219">
        <f>J87/-J88</f>
        <v>9.57150537634409</v>
      </c>
      <c r="K352" s="219">
        <f>K87/-K88</f>
        <v>7.61083470253718</v>
      </c>
      <c r="L352" s="219">
        <f>L87/-L88</f>
        <v>6.28549077354931</v>
      </c>
      <c r="N352" s="219">
        <f>N87/-N88</f>
        <v>4.65267846676826</v>
      </c>
      <c r="O352" s="219">
        <f>O87/-O88</f>
        <v>5.04803277212569</v>
      </c>
      <c r="P352" s="219">
        <f>P87/-P88</f>
        <v>4.96474190726159</v>
      </c>
      <c r="Q352" s="219">
        <f>Q87/-Q88</f>
        <v>4.71088409539724</v>
      </c>
      <c r="S352" s="219">
        <f>S87/-S88</f>
        <v>4.47748519788096</v>
      </c>
      <c r="T352" s="219">
        <f>T87/-T88</f>
        <v>5.65472988549912</v>
      </c>
      <c r="U352" s="219">
        <f>U87/-U88</f>
        <v>5.85250280003446</v>
      </c>
      <c r="V352" s="219">
        <f>V87/-V88</f>
        <v>7.23049771961134</v>
      </c>
      <c r="X352" s="219">
        <f>X87/-X88</f>
        <v>7.17060388615658</v>
      </c>
      <c r="Y352" s="219">
        <f>Y87/-Y88</f>
        <v>6.40317255828162</v>
      </c>
      <c r="Z352" s="219">
        <f>Z87/-Z88</f>
        <v>5.23814685050286</v>
      </c>
      <c r="AA352" s="219">
        <f>AA87/-AA88</f>
        <v>5.44210931300647</v>
      </c>
      <c r="AC352" s="219">
        <f>AC87/-AC88</f>
        <v>5.42661497701239</v>
      </c>
      <c r="AD352" s="219">
        <f>AD87/-AD88</f>
        <v>6.15843907927698</v>
      </c>
      <c r="AE352" s="219">
        <f>AE87/-AE88</f>
        <v>5.8184331632835</v>
      </c>
      <c r="AF352" s="219">
        <f>AF87/-AF88</f>
        <v>5.75181220216122</v>
      </c>
      <c r="AH352" s="219">
        <f>AH87/-AH88</f>
        <v>6.70317046252634</v>
      </c>
      <c r="AI352" s="219">
        <f>AI87/-AI88</f>
        <v>5.36949408149329</v>
      </c>
      <c r="AJ352" s="219" t="e">
        <f>AJ87/-AJ88</f>
        <v>#DIV/0!</v>
      </c>
      <c r="AK352" s="219" t="e">
        <f>AK87/-AK88</f>
        <v>#DIV/0!</v>
      </c>
      <c r="AM352" s="219" t="e">
        <f>AM87/-AM88</f>
        <v>#DIV/0!</v>
      </c>
      <c r="AN352" s="219" t="e">
        <f>AN87/-AN88</f>
        <v>#DIV/0!</v>
      </c>
      <c r="AO352" s="219" t="e">
        <f>AO87/-AO88</f>
        <v>#DIV/0!</v>
      </c>
      <c r="AP352" s="219" t="e">
        <f>AP87/-AP88</f>
        <v>#DIV/0!</v>
      </c>
      <c r="AR352" s="219" t="e">
        <f>AR87/-AR88</f>
        <v>#DIV/0!</v>
      </c>
      <c r="AS352" s="219" t="e">
        <f>AS87/-AS88</f>
        <v>#DIV/0!</v>
      </c>
      <c r="AT352" s="219" t="e">
        <f>AT87/-AT88</f>
        <v>#DIV/0!</v>
      </c>
      <c r="AU352" s="219" t="e">
        <f>AU87/-AU88</f>
        <v>#DIV/0!</v>
      </c>
      <c r="AW352" s="219" t="e">
        <f>AW87/-AW88</f>
        <v>#DIV/0!</v>
      </c>
      <c r="AX352" s="219" t="e">
        <f>AX87/-AX88</f>
        <v>#DIV/0!</v>
      </c>
      <c r="AY352" s="219" t="e">
        <f>AY87/-AY88</f>
        <v>#DIV/0!</v>
      </c>
      <c r="AZ352" s="219" t="e">
        <f>AZ87/-AZ88</f>
        <v>#DIV/0!</v>
      </c>
      <c r="BB352" s="219" t="e">
        <f>BB87/-BB88</f>
        <v>#DIV/0!</v>
      </c>
      <c r="BC352" s="219" t="e">
        <f>BC87/-BC88</f>
        <v>#DIV/0!</v>
      </c>
      <c r="BD352" s="219" t="e">
        <f>BD87/-BD88</f>
        <v>#DIV/0!</v>
      </c>
      <c r="BE352" s="219" t="e">
        <f>BE87/-BE88</f>
        <v>#DIV/0!</v>
      </c>
      <c r="BG352" s="219" t="e">
        <f>BG87/-BG88</f>
        <v>#DIV/0!</v>
      </c>
      <c r="BH352" s="219" t="e">
        <f>BH87/-BH88</f>
        <v>#DIV/0!</v>
      </c>
      <c r="BI352" s="219" t="e">
        <f>BI87/-BI88</f>
        <v>#DIV/0!</v>
      </c>
      <c r="BJ352" s="219" t="e">
        <f>BJ87/-BJ88</f>
        <v>#DIV/0!</v>
      </c>
      <c r="BL352" s="219" t="e">
        <f>BL87/-BL88</f>
        <v>#DIV/0!</v>
      </c>
      <c r="BM352" s="219" t="e">
        <f>BM87/-BM88</f>
        <v>#DIV/0!</v>
      </c>
      <c r="BN352" s="219" t="e">
        <f>BN87/-BN88</f>
        <v>#DIV/0!</v>
      </c>
      <c r="BO352" s="219" t="e">
        <f>BO87/-BO88</f>
        <v>#DIV/0!</v>
      </c>
      <c r="BQ352" s="219" t="e">
        <f>BQ87/-BQ88</f>
        <v>#DIV/0!</v>
      </c>
      <c r="BR352" s="219" t="e">
        <f>BR87/-BR88</f>
        <v>#DIV/0!</v>
      </c>
      <c r="BS352" s="219" t="e">
        <f>BS87/-BS88</f>
        <v>#DIV/0!</v>
      </c>
      <c r="BT352" s="219" t="e">
        <f>BT87/-BT88</f>
        <v>#DIV/0!</v>
      </c>
      <c r="BV352" s="219" t="e">
        <f>BV87/-BV88</f>
        <v>#DIV/0!</v>
      </c>
      <c r="BW352" s="219" t="e">
        <f>BW87/-BW88</f>
        <v>#DIV/0!</v>
      </c>
      <c r="BX352" s="219" t="e">
        <f>BX87/-BX88</f>
        <v>#DIV/0!</v>
      </c>
      <c r="BY352" s="219" t="e">
        <f>BY87/-BY88</f>
        <v>#DIV/0!</v>
      </c>
      <c r="CA352" s="219" t="e">
        <f>CA87/-CA88</f>
        <v>#DIV/0!</v>
      </c>
      <c r="CB352" s="219" t="e">
        <f>CB87/-CB88</f>
        <v>#DIV/0!</v>
      </c>
      <c r="CC352" s="219" t="e">
        <f>CC87/-CC88</f>
        <v>#DIV/0!</v>
      </c>
      <c r="CD352" s="219" t="e">
        <f>CD87/-CD88</f>
        <v>#DIV/0!</v>
      </c>
      <c r="CF352" s="219" t="e">
        <f>CF87/-CF88</f>
        <v>#DIV/0!</v>
      </c>
      <c r="CG352" s="219" t="e">
        <f>CG87/-CG88</f>
        <v>#DIV/0!</v>
      </c>
      <c r="CH352" s="219" t="e">
        <f>CH87/-CH88</f>
        <v>#DIV/0!</v>
      </c>
      <c r="CI352" s="219" t="e">
        <f>CI87/-CI88</f>
        <v>#DIV/0!</v>
      </c>
      <c r="CK352" s="219" t="e">
        <f>CK87/-CK88</f>
        <v>#DIV/0!</v>
      </c>
      <c r="CL352" s="219" t="e">
        <f>CL87/-CL88</f>
        <v>#DIV/0!</v>
      </c>
      <c r="CM352" s="219" t="e">
        <f>CM87/-CM88</f>
        <v>#DIV/0!</v>
      </c>
      <c r="CN352" s="219" t="e">
        <f>CN87/-CN88</f>
        <v>#DIV/0!</v>
      </c>
      <c r="CP352" s="219" t="e">
        <f>CP87/-CP88</f>
        <v>#DIV/0!</v>
      </c>
      <c r="CQ352" s="219" t="e">
        <f>CQ87/-CQ88</f>
        <v>#DIV/0!</v>
      </c>
      <c r="CR352" s="219" t="e">
        <f>CR87/-CR88</f>
        <v>#DIV/0!</v>
      </c>
      <c r="CS352" s="219" t="e">
        <f>CS87/-CS88</f>
        <v>#DIV/0!</v>
      </c>
      <c r="CU352" s="219" t="e">
        <f>CU87/-CU88</f>
        <v>#DIV/0!</v>
      </c>
      <c r="CV352" s="219" t="e">
        <f>CV87/-CV88</f>
        <v>#DIV/0!</v>
      </c>
      <c r="CW352" s="219" t="e">
        <f>CW87/-CW88</f>
        <v>#DIV/0!</v>
      </c>
      <c r="CX352" s="219" t="e">
        <f>CX87/-CX88</f>
        <v>#DIV/0!</v>
      </c>
    </row>
    <row r="353" customFormat="1" s="233">
      <c r="A353" s="224" t="n"/>
      <c r="B353" s="224" t="n"/>
    </row>
    <row r="354" customFormat="1" s="233">
      <c r="A354" s="224" t="n"/>
      <c r="B354" s="224" t="n"/>
      <c r="C354" s="234" t="inlineStr">
        <is>
          <t>INTERNAL LIQUIDITY</t>
        </is>
      </c>
    </row>
    <row r="355" customFormat="1" s="233">
      <c r="A355" s="224" t="n"/>
      <c r="B355" s="224" t="n"/>
      <c r="C355" s="233" t="inlineStr">
        <is>
          <t>CURRENT RATIO</t>
        </is>
      </c>
      <c r="D355" s="219">
        <f>SUM(D158,D159,D163,D167,D168,D169)/SUM(D212,D216,D218,D219)</f>
        <v>2.65297502311847</v>
      </c>
      <c r="E355" s="219">
        <f>SUM(E158,E159,E163,E167,E168,E169)/SUM(E212,E216,E218,E219)</f>
        <v>2.61452973543495</v>
      </c>
      <c r="F355" s="219">
        <f>SUM(F158,F159,F163,F167,F168,F169)/SUM(F212,F216,F218,F219)</f>
        <v>2.42674044132077</v>
      </c>
      <c r="G355" s="219">
        <f>SUM(G158,G159,G163,G167,G168,G169)/SUM(G212,G216,G218,G219)</f>
        <v>3.09964177338168</v>
      </c>
      <c r="I355" s="219">
        <f>SUM(I158,I159,I163,I167,I168,I169)/SUM(I212,I216,I218,I219)</f>
        <v>2.90099079440737</v>
      </c>
      <c r="J355" s="219">
        <f>SUM(J158,J159,J163,J167,J168,J169)/SUM(J212,J216,J218,J219)</f>
        <v>2.41937273763449</v>
      </c>
      <c r="K355" s="219">
        <f>SUM(K158,K159,K163,K167,K168,K169)/SUM(K212,K216,K218,K219)</f>
        <v>3.0600724837398</v>
      </c>
      <c r="L355" s="219">
        <f>SUM(L158,L159,L163,L167,L168,L169)/SUM(L212,L216,L218,L219)</f>
        <v>2.3503871532194</v>
      </c>
      <c r="N355" s="219">
        <f>SUM(N158,N159,N163,N167,N168,N169)/SUM(N212,N216,N218,N219)</f>
        <v>2.09841005388172</v>
      </c>
      <c r="O355" s="219">
        <f>SUM(O158,O159,O163,O167,O168,O169)/SUM(O212,O216,O218,O219)</f>
        <v>2.11910082230962</v>
      </c>
      <c r="P355" s="219">
        <f>SUM(P158,P159,P163,P167,P168,P169)/SUM(P212,P216,P218,P219)</f>
        <v>2.77132722499819</v>
      </c>
      <c r="Q355" s="219">
        <f>SUM(Q158,Q159,Q163,Q167,Q168,Q169)/SUM(Q212,Q216,Q218,Q219)</f>
        <v>2.82005774465626</v>
      </c>
      <c r="S355" s="219">
        <f>SUM(S158,S159,S163,S167,S168,S169)/SUM(S212,S216,S218,S219)</f>
        <v>4.00125592576431</v>
      </c>
      <c r="T355" s="219">
        <f>SUM(T158,T159,T163,T167,T168,T169)/SUM(T212,T216,T218,T219)</f>
        <v>4.17636116195331</v>
      </c>
      <c r="U355" s="219">
        <f>SUM(U158,U159,U163,U167,U168,U169)/SUM(U212,U216,U218,U219)</f>
        <v>3.52437205162439</v>
      </c>
      <c r="V355" s="219">
        <f>SUM(V158,V159,V163,V167,V168,V169)/SUM(V212,V216,V218,V219)</f>
        <v>3.04743384716321</v>
      </c>
      <c r="X355" s="219">
        <f>SUM(X158,X159,X163,X167,X168,X169)/SUM(X212,X216,X218,X219)</f>
        <v>3.10661280832417</v>
      </c>
      <c r="Y355" s="219">
        <f>SUM(Y158,Y159,Y163,Y167,Y168,Y169)/SUM(Y212,Y216,Y218,Y219)</f>
        <v>3.11418644758405</v>
      </c>
      <c r="Z355" s="219">
        <f>SUM(Z158,Z159,Z163,Z167,Z168,Z169)/SUM(Z212,Z216,Z218,Z219)</f>
        <v>3.66836743026501</v>
      </c>
      <c r="AA355" s="219">
        <f>SUM(AA158,AA159,AA163,AA167,AA168,AA169)/SUM(AA212,AA216,AA218,AA219)</f>
        <v>4.06524880872461</v>
      </c>
      <c r="AC355" s="219">
        <f>SUM(AC158,AC159,AC163,AC167,AC168,AC169)/SUM(AC212,AC216,AC218,AC219)</f>
        <v>3.93829323956126</v>
      </c>
      <c r="AD355" s="219">
        <f>SUM(AD158,AD159,AD163,AD167,AD168,AD169)/SUM(AD212,AD216,AD218,AD219)</f>
        <v>3.97793084237582</v>
      </c>
      <c r="AE355" s="219">
        <f>SUM(AE158,AE159,AE163,AE167,AE168,AE169)/SUM(AE212,AE216,AE218,AE219)</f>
        <v>3.54796323520376</v>
      </c>
      <c r="AF355" s="219">
        <f>SUM(AF158,AF159,AF163,AF167,AF168,AF169)/SUM(AF212,AF216,AF218,AF219)</f>
        <v>3.84510094545911</v>
      </c>
      <c r="AH355" s="219">
        <f>SUM(AH158,AH159,AH163,AH167,AH168,AH169)/SUM(AH212,AH216,AH218,AH219)</f>
        <v>3.53114171894531</v>
      </c>
      <c r="AI355" s="219">
        <f>SUM(AI158,AI159,AI163,AI167,AI168,AI169)/SUM(AI212,AI216,AI218,AI219)</f>
        <v>3.59481952244306</v>
      </c>
      <c r="AJ355" s="219">
        <f>SUM(AJ158,AJ159,AJ163,AJ167,AJ168,AJ169)/SUM(AJ212,AJ216,AJ218,AJ219)</f>
        <v>4.62136336759572</v>
      </c>
      <c r="AK355" s="219">
        <f>SUM(AK158,AK159,AK163,AK167,AK168,AK169)/SUM(AK212,AK216,AK218,AK219)</f>
        <v>4.66037874922039</v>
      </c>
      <c r="AM355" s="219" t="e">
        <f>SUM(AM158,AM159,AM163,AM167,AM168,AM169)/SUM(AM212,AM216,AM218,AM219)</f>
        <v>#DIV/0!</v>
      </c>
      <c r="AN355" s="219" t="e">
        <f>SUM(AN158,AN159,AN163,AN167,AN168,AN169)/SUM(AN212,AN216,AN218,AN219)</f>
        <v>#DIV/0!</v>
      </c>
      <c r="AO355" s="219" t="e">
        <f>SUM(AO158,AO159,AO163,AO167,AO168,AO169)/SUM(AO212,AO216,AO218,AO219)</f>
        <v>#DIV/0!</v>
      </c>
      <c r="AP355" s="219" t="e">
        <f>SUM(AP158,AP159,AP163,AP167,AP168,AP169)/SUM(AP212,AP216,AP218,AP219)</f>
        <v>#DIV/0!</v>
      </c>
      <c r="AR355" s="219" t="e">
        <f>SUM(AR158,AR159,AR163,AR167,AR168,AR169)/SUM(AR212,AR216,AR218,AR219)</f>
        <v>#DIV/0!</v>
      </c>
      <c r="AS355" s="219" t="e">
        <f>SUM(AS158,AS159,AS163,AS167,AS168,AS169)/SUM(AS212,AS216,AS218,AS219)</f>
        <v>#DIV/0!</v>
      </c>
      <c r="AT355" s="219" t="e">
        <f>SUM(AT158,AT159,AT163,AT167,AT168,AT169)/SUM(AT212,AT216,AT218,AT219)</f>
        <v>#DIV/0!</v>
      </c>
      <c r="AU355" s="219" t="e">
        <f>SUM(AU158,AU159,AU163,AU167,AU168,AU169)/SUM(AU212,AU216,AU218,AU219)</f>
        <v>#DIV/0!</v>
      </c>
      <c r="AW355" s="219" t="e">
        <f>SUM(AW158,AW159,AW163,AW167,AW168,AW169)/SUM(AW212,AW216,AW218,AW219)</f>
        <v>#DIV/0!</v>
      </c>
      <c r="AX355" s="219" t="e">
        <f>SUM(AX158,AX159,AX163,AX167,AX168,AX169)/SUM(AX212,AX216,AX218,AX219)</f>
        <v>#DIV/0!</v>
      </c>
      <c r="AY355" s="219" t="e">
        <f>SUM(AY158,AY159,AY163,AY167,AY168,AY169)/SUM(AY212,AY216,AY218,AY219)</f>
        <v>#DIV/0!</v>
      </c>
      <c r="AZ355" s="219" t="e">
        <f>SUM(AZ158,AZ159,AZ163,AZ167,AZ168,AZ169)/SUM(AZ212,AZ216,AZ218,AZ219)</f>
        <v>#DIV/0!</v>
      </c>
      <c r="BB355" s="219" t="e">
        <f>SUM(BB158,BB159,BB163,BB167,BB168,BB169)/SUM(BB212,BB216,BB218,BB219)</f>
        <v>#DIV/0!</v>
      </c>
      <c r="BC355" s="219" t="e">
        <f>SUM(BC158,BC159,BC163,BC167,BC168,BC169)/SUM(BC212,BC216,BC218,BC219)</f>
        <v>#DIV/0!</v>
      </c>
      <c r="BD355" s="219" t="e">
        <f>SUM(BD158,BD159,BD163,BD167,BD168,BD169)/SUM(BD212,BD216,BD218,BD219)</f>
        <v>#DIV/0!</v>
      </c>
      <c r="BE355" s="219" t="e">
        <f>SUM(BE158,BE159,BE163,BE167,BE168,BE169)/SUM(BE212,BE216,BE218,BE219)</f>
        <v>#DIV/0!</v>
      </c>
      <c r="BG355" s="219" t="e">
        <f>SUM(BG158,BG159,BG163,BG167,BG168,BG169)/SUM(BG212,BG216,BG218,BG219)</f>
        <v>#DIV/0!</v>
      </c>
      <c r="BH355" s="219" t="e">
        <f>SUM(BH158,BH159,BH163,BH167,BH168,BH169)/SUM(BH212,BH216,BH218,BH219)</f>
        <v>#DIV/0!</v>
      </c>
      <c r="BI355" s="219" t="e">
        <f>SUM(BI158,BI159,BI163,BI167,BI168,BI169)/SUM(BI212,BI216,BI218,BI219)</f>
        <v>#DIV/0!</v>
      </c>
      <c r="BJ355" s="219" t="e">
        <f>SUM(BJ158,BJ159,BJ163,BJ167,BJ168,BJ169)/SUM(BJ212,BJ216,BJ218,BJ219)</f>
        <v>#DIV/0!</v>
      </c>
      <c r="BL355" s="219" t="e">
        <f>SUM(BL158,BL159,BL163,BL167,BL168,BL169)/SUM(BL212,BL216,BL218,BL219)</f>
        <v>#DIV/0!</v>
      </c>
      <c r="BM355" s="219" t="e">
        <f>SUM(BM158,BM159,BM163,BM167,BM168,BM169)/SUM(BM212,BM216,BM218,BM219)</f>
        <v>#DIV/0!</v>
      </c>
      <c r="BN355" s="219" t="e">
        <f>SUM(BN158,BN159,BN163,BN167,BN168,BN169)/SUM(BN212,BN216,BN218,BN219)</f>
        <v>#DIV/0!</v>
      </c>
      <c r="BO355" s="219" t="e">
        <f>SUM(BO158,BO159,BO163,BO167,BO168,BO169)/SUM(BO212,BO216,BO218,BO219)</f>
        <v>#DIV/0!</v>
      </c>
      <c r="BQ355" s="219" t="e">
        <f>SUM(BQ158,BQ159,BQ163,BQ167,BQ168,BQ169)/SUM(BQ212,BQ216,BQ218,BQ219)</f>
        <v>#DIV/0!</v>
      </c>
      <c r="BR355" s="219" t="e">
        <f>SUM(BR158,BR159,BR163,BR167,BR168,BR169)/SUM(BR212,BR216,BR218,BR219)</f>
        <v>#DIV/0!</v>
      </c>
      <c r="BS355" s="219" t="e">
        <f>SUM(BS158,BS159,BS163,BS167,BS168,BS169)/SUM(BS212,BS216,BS218,BS219)</f>
        <v>#DIV/0!</v>
      </c>
      <c r="BT355" s="219" t="e">
        <f>SUM(BT158,BT159,BT163,BT167,BT168,BT169)/SUM(BT212,BT216,BT218,BT219)</f>
        <v>#DIV/0!</v>
      </c>
      <c r="BV355" s="219" t="e">
        <f>SUM(BV158,BV159,BV163,BV167,BV168,BV169)/SUM(BV212,BV216,BV218,BV219)</f>
        <v>#DIV/0!</v>
      </c>
      <c r="BW355" s="219" t="e">
        <f>SUM(BW158,BW159,BW163,BW167,BW168,BW169)/SUM(BW212,BW216,BW218,BW219)</f>
        <v>#DIV/0!</v>
      </c>
      <c r="BX355" s="219" t="e">
        <f>SUM(BX158,BX159,BX163,BX167,BX168,BX169)/SUM(BX212,BX216,BX218,BX219)</f>
        <v>#DIV/0!</v>
      </c>
      <c r="BY355" s="219" t="e">
        <f>SUM(BY158,BY159,BY163,BY167,BY168,BY169)/SUM(BY212,BY216,BY218,BY219)</f>
        <v>#DIV/0!</v>
      </c>
      <c r="CA355" s="219" t="e">
        <f>SUM(CA158,CA159,CA163,CA167,CA168,CA169)/SUM(CA212,CA216,CA218,CA219)</f>
        <v>#DIV/0!</v>
      </c>
      <c r="CB355" s="219" t="e">
        <f>SUM(CB158,CB159,CB163,CB167,CB168,CB169)/SUM(CB212,CB216,CB218,CB219)</f>
        <v>#DIV/0!</v>
      </c>
      <c r="CC355" s="219" t="e">
        <f>SUM(CC158,CC159,CC163,CC167,CC168,CC169)/SUM(CC212,CC216,CC218,CC219)</f>
        <v>#DIV/0!</v>
      </c>
      <c r="CD355" s="219" t="e">
        <f>SUM(CD158,CD159,CD163,CD167,CD168,CD169)/SUM(CD212,CD216,CD218,CD219)</f>
        <v>#DIV/0!</v>
      </c>
      <c r="CF355" s="219" t="e">
        <f>SUM(CF158,CF159,CF163,CF167,CF168,CF169)/SUM(CF212,CF216,CF218,CF219)</f>
        <v>#DIV/0!</v>
      </c>
      <c r="CG355" s="219" t="e">
        <f>SUM(CG158,CG159,CG163,CG167,CG168,CG169)/SUM(CG212,CG216,CG218,CG219)</f>
        <v>#DIV/0!</v>
      </c>
      <c r="CH355" s="219" t="e">
        <f>SUM(CH158,CH159,CH163,CH167,CH168,CH169)/SUM(CH212,CH216,CH218,CH219)</f>
        <v>#DIV/0!</v>
      </c>
      <c r="CI355" s="219" t="e">
        <f>SUM(CI158,CI159,CI163,CI167,CI168,CI169)/SUM(CI212,CI216,CI218,CI219)</f>
        <v>#DIV/0!</v>
      </c>
      <c r="CK355" s="219" t="e">
        <f>SUM(CK158,CK159,CK163,CK167,CK168,CK169)/SUM(CK212,CK216,CK218,CK219)</f>
        <v>#DIV/0!</v>
      </c>
      <c r="CL355" s="219" t="e">
        <f>SUM(CL158,CL159,CL163,CL167,CL168,CL169)/SUM(CL212,CL216,CL218,CL219)</f>
        <v>#DIV/0!</v>
      </c>
      <c r="CM355" s="219" t="e">
        <f>SUM(CM158,CM159,CM163,CM167,CM168,CM169)/SUM(CM212,CM216,CM218,CM219)</f>
        <v>#DIV/0!</v>
      </c>
      <c r="CN355" s="219" t="e">
        <f>SUM(CN158,CN159,CN163,CN167,CN168,CN169)/SUM(CN212,CN216,CN218,CN219)</f>
        <v>#DIV/0!</v>
      </c>
      <c r="CP355" s="219" t="e">
        <f>SUM(CP158,CP159,CP163,CP167,CP168,CP169)/SUM(CP212,CP216,CP218,CP219)</f>
        <v>#DIV/0!</v>
      </c>
      <c r="CQ355" s="219" t="e">
        <f>SUM(CQ158,CQ159,CQ163,CQ167,CQ168,CQ169)/SUM(CQ212,CQ216,CQ218,CQ219)</f>
        <v>#DIV/0!</v>
      </c>
      <c r="CR355" s="219" t="e">
        <f>SUM(CR158,CR159,CR163,CR167,CR168,CR169)/SUM(CR212,CR216,CR218,CR219)</f>
        <v>#DIV/0!</v>
      </c>
      <c r="CS355" s="219" t="e">
        <f>SUM(CS158,CS159,CS163,CS167,CS168,CS169)/SUM(CS212,CS216,CS218,CS219)</f>
        <v>#DIV/0!</v>
      </c>
      <c r="CU355" s="219" t="e">
        <f>SUM(CU158,CU159,CU163,CU167,CU168,CU169)/SUM(CU212,CU216,CU218,CU219)</f>
        <v>#DIV/0!</v>
      </c>
      <c r="CV355" s="219" t="e">
        <f>SUM(CV158,CV159,CV163,CV167,CV168,CV169)/SUM(CV212,CV216,CV218,CV219)</f>
        <v>#DIV/0!</v>
      </c>
      <c r="CW355" s="219" t="e">
        <f>SUM(CW158,CW159,CW163,CW167,CW168,CW169)/SUM(CW212,CW216,CW218,CW219)</f>
        <v>#DIV/0!</v>
      </c>
      <c r="CX355" s="219" t="e">
        <f>SUM(CX158,CX159,CX163,CX167,CX168,CX169)/SUM(CX212,CX216,CX218,CX219)</f>
        <v>#DIV/0!</v>
      </c>
    </row>
    <row r="356" customFormat="1" s="233">
      <c r="A356" s="224" t="n"/>
      <c r="B356" s="224" t="n"/>
      <c r="C356" s="233" t="inlineStr">
        <is>
          <t>CASH RATIO</t>
        </is>
      </c>
      <c r="D356" s="219">
        <f>SUM(D158)/SUM(D212,D216,D218,D219)</f>
        <v>0.727121650055619</v>
      </c>
      <c r="E356" s="219">
        <f>SUM(E158)/SUM(E212,E216,E218,E219)</f>
        <v>0.826226397522758</v>
      </c>
      <c r="F356" s="219">
        <f>SUM(F158)/SUM(F212,F216,F218,F219)</f>
        <v>0.861024477504049</v>
      </c>
      <c r="G356" s="219">
        <f>SUM(G158)/SUM(G212,G216,G218,G219)</f>
        <v>0.861379092519221</v>
      </c>
      <c r="I356" s="219">
        <f>SUM(I158)/SUM(I212,I216,I218,I219)</f>
        <v>0.696994414709793</v>
      </c>
      <c r="J356" s="219">
        <f>SUM(J158)/SUM(J212,J216,J218,J219)</f>
        <v>0.616223900599958</v>
      </c>
      <c r="K356" s="219">
        <f>SUM(K158)/SUM(K212,K216,K218,K219)</f>
        <v>0.8178768660731</v>
      </c>
      <c r="L356" s="219">
        <f>SUM(L158)/SUM(L212,L216,L218,L219)</f>
        <v>0.572816216882887</v>
      </c>
      <c r="N356" s="219">
        <f>SUM(N158)/SUM(N212,N216,N218,N219)</f>
        <v>0.456323244868363</v>
      </c>
      <c r="O356" s="219">
        <f>SUM(O158)/SUM(O212,O216,O218,O219)</f>
        <v>0.523942678732139</v>
      </c>
      <c r="P356" s="219">
        <f>SUM(P158)/SUM(P212,P216,P218,P219)</f>
        <v>0.673012428284943</v>
      </c>
      <c r="Q356" s="219">
        <f>SUM(Q158)/SUM(Q212,Q216,Q218,Q219)</f>
        <v>0.846363405369417</v>
      </c>
      <c r="S356" s="219">
        <f>SUM(S158)/SUM(S212,S216,S218,S219)</f>
        <v>1.14147385938324</v>
      </c>
      <c r="T356" s="219">
        <f>SUM(T158)/SUM(T212,T216,T218,T219)</f>
        <v>1.31586076974209</v>
      </c>
      <c r="U356" s="219">
        <f>SUM(U158)/SUM(U212,U216,U218,U219)</f>
        <v>1.31621421154131</v>
      </c>
      <c r="V356" s="219">
        <f>SUM(V158)/SUM(V212,V216,V218,V219)</f>
        <v>1.04329334775884</v>
      </c>
      <c r="X356" s="219">
        <f>SUM(X158)/SUM(X212,X216,X218,X219)</f>
        <v>0.979038601489556</v>
      </c>
      <c r="Y356" s="219">
        <f>SUM(Y158)/SUM(Y212,Y216,Y218,Y219)</f>
        <v>1.26208503816584</v>
      </c>
      <c r="Z356" s="219">
        <f>SUM(Z158)/SUM(Z212,Z216,Z218,Z219)</f>
        <v>1.36920756457121</v>
      </c>
      <c r="AA356" s="219">
        <f>SUM(AA158)/SUM(AA212,AA216,AA218,AA219)</f>
        <v>1.36997734496975</v>
      </c>
      <c r="AC356" s="219">
        <f>SUM(AC158)/SUM(AC212,AC216,AC218,AC219)</f>
        <v>1.28399265437294</v>
      </c>
      <c r="AD356" s="219">
        <f>SUM(AD158)/SUM(AD212,AD216,AD218,AD219)</f>
        <v>1.21145731776801</v>
      </c>
      <c r="AE356" s="219">
        <f>SUM(AE158)/SUM(AE212,AE216,AE218,AE219)</f>
        <v>1.14684833907123</v>
      </c>
      <c r="AF356" s="219">
        <f>SUM(AF158)/SUM(AF212,AF216,AF218,AF219)</f>
        <v>1.24917573123991</v>
      </c>
      <c r="AH356" s="219">
        <f>SUM(AH158)/SUM(AH212,AH216,AH218,AH219)</f>
        <v>1.02647811306207</v>
      </c>
      <c r="AI356" s="219">
        <f>SUM(AI158)/SUM(AI212,AI216,AI218,AI219)</f>
        <v>0.958697017176323</v>
      </c>
      <c r="AJ356" s="219">
        <f>SUM(AJ158)/SUM(AJ212,AJ216,AJ218,AJ219)</f>
        <v>4.42718473339327</v>
      </c>
      <c r="AK356" s="219">
        <f>SUM(AK158)/SUM(AK212,AK216,AK218,AK219)</f>
        <v>4.46620011501794</v>
      </c>
      <c r="AM356" s="219" t="e">
        <f>SUM(AM158)/SUM(AM212,AM216,AM218,AM219)</f>
        <v>#DIV/0!</v>
      </c>
      <c r="AN356" s="219" t="e">
        <f>SUM(AN158)/SUM(AN212,AN216,AN218,AN219)</f>
        <v>#DIV/0!</v>
      </c>
      <c r="AO356" s="219" t="e">
        <f>SUM(AO158)/SUM(AO212,AO216,AO218,AO219)</f>
        <v>#DIV/0!</v>
      </c>
      <c r="AP356" s="219" t="e">
        <f>SUM(AP158)/SUM(AP212,AP216,AP218,AP219)</f>
        <v>#DIV/0!</v>
      </c>
      <c r="AR356" s="219" t="e">
        <f>SUM(AR158)/SUM(AR212,AR216,AR218,AR219)</f>
        <v>#DIV/0!</v>
      </c>
      <c r="AS356" s="219" t="e">
        <f>SUM(AS158)/SUM(AS212,AS216,AS218,AS219)</f>
        <v>#DIV/0!</v>
      </c>
      <c r="AT356" s="219" t="e">
        <f>SUM(AT158)/SUM(AT212,AT216,AT218,AT219)</f>
        <v>#DIV/0!</v>
      </c>
      <c r="AU356" s="219" t="e">
        <f>SUM(AU158)/SUM(AU212,AU216,AU218,AU219)</f>
        <v>#DIV/0!</v>
      </c>
      <c r="AW356" s="219" t="e">
        <f>SUM(AW158)/SUM(AW212,AW216,AW218,AW219)</f>
        <v>#DIV/0!</v>
      </c>
      <c r="AX356" s="219" t="e">
        <f>SUM(AX158)/SUM(AX212,AX216,AX218,AX219)</f>
        <v>#DIV/0!</v>
      </c>
      <c r="AY356" s="219" t="e">
        <f>SUM(AY158)/SUM(AY212,AY216,AY218,AY219)</f>
        <v>#DIV/0!</v>
      </c>
      <c r="AZ356" s="219" t="e">
        <f>SUM(AZ158)/SUM(AZ212,AZ216,AZ218,AZ219)</f>
        <v>#DIV/0!</v>
      </c>
      <c r="BB356" s="219" t="e">
        <f>SUM(BB158)/SUM(BB212,BB216,BB218,BB219)</f>
        <v>#DIV/0!</v>
      </c>
      <c r="BC356" s="219" t="e">
        <f>SUM(BC158)/SUM(BC212,BC216,BC218,BC219)</f>
        <v>#DIV/0!</v>
      </c>
      <c r="BD356" s="219" t="e">
        <f>SUM(BD158)/SUM(BD212,BD216,BD218,BD219)</f>
        <v>#DIV/0!</v>
      </c>
      <c r="BE356" s="219" t="e">
        <f>SUM(BE158)/SUM(BE212,BE216,BE218,BE219)</f>
        <v>#DIV/0!</v>
      </c>
      <c r="BG356" s="219" t="e">
        <f>SUM(BG158)/SUM(BG212,BG216,BG218,BG219)</f>
        <v>#DIV/0!</v>
      </c>
      <c r="BH356" s="219" t="e">
        <f>SUM(BH158)/SUM(BH212,BH216,BH218,BH219)</f>
        <v>#DIV/0!</v>
      </c>
      <c r="BI356" s="219" t="e">
        <f>SUM(BI158)/SUM(BI212,BI216,BI218,BI219)</f>
        <v>#DIV/0!</v>
      </c>
      <c r="BJ356" s="219" t="e">
        <f>SUM(BJ158)/SUM(BJ212,BJ216,BJ218,BJ219)</f>
        <v>#DIV/0!</v>
      </c>
      <c r="BL356" s="219" t="e">
        <f>SUM(BL158)/SUM(BL212,BL216,BL218,BL219)</f>
        <v>#DIV/0!</v>
      </c>
      <c r="BM356" s="219" t="e">
        <f>SUM(BM158)/SUM(BM212,BM216,BM218,BM219)</f>
        <v>#DIV/0!</v>
      </c>
      <c r="BN356" s="219" t="e">
        <f>SUM(BN158)/SUM(BN212,BN216,BN218,BN219)</f>
        <v>#DIV/0!</v>
      </c>
      <c r="BO356" s="219" t="e">
        <f>SUM(BO158)/SUM(BO212,BO216,BO218,BO219)</f>
        <v>#DIV/0!</v>
      </c>
      <c r="BQ356" s="219" t="e">
        <f>SUM(BQ158)/SUM(BQ212,BQ216,BQ218,BQ219)</f>
        <v>#DIV/0!</v>
      </c>
      <c r="BR356" s="219" t="e">
        <f>SUM(BR158)/SUM(BR212,BR216,BR218,BR219)</f>
        <v>#DIV/0!</v>
      </c>
      <c r="BS356" s="219" t="e">
        <f>SUM(BS158)/SUM(BS212,BS216,BS218,BS219)</f>
        <v>#DIV/0!</v>
      </c>
      <c r="BT356" s="219" t="e">
        <f>SUM(BT158)/SUM(BT212,BT216,BT218,BT219)</f>
        <v>#DIV/0!</v>
      </c>
      <c r="BV356" s="219" t="e">
        <f>SUM(BV158)/SUM(BV212,BV216,BV218,BV219)</f>
        <v>#DIV/0!</v>
      </c>
      <c r="BW356" s="219" t="e">
        <f>SUM(BW158)/SUM(BW212,BW216,BW218,BW219)</f>
        <v>#DIV/0!</v>
      </c>
      <c r="BX356" s="219" t="e">
        <f>SUM(BX158)/SUM(BX212,BX216,BX218,BX219)</f>
        <v>#DIV/0!</v>
      </c>
      <c r="BY356" s="219" t="e">
        <f>SUM(BY158)/SUM(BY212,BY216,BY218,BY219)</f>
        <v>#DIV/0!</v>
      </c>
      <c r="CA356" s="219" t="e">
        <f>SUM(CA158)/SUM(CA212,CA216,CA218,CA219)</f>
        <v>#DIV/0!</v>
      </c>
      <c r="CB356" s="219" t="e">
        <f>SUM(CB158)/SUM(CB212,CB216,CB218,CB219)</f>
        <v>#DIV/0!</v>
      </c>
      <c r="CC356" s="219" t="e">
        <f>SUM(CC158)/SUM(CC212,CC216,CC218,CC219)</f>
        <v>#DIV/0!</v>
      </c>
      <c r="CD356" s="219" t="e">
        <f>SUM(CD158)/SUM(CD212,CD216,CD218,CD219)</f>
        <v>#DIV/0!</v>
      </c>
      <c r="CF356" s="219" t="e">
        <f>SUM(CF158)/SUM(CF212,CF216,CF218,CF219)</f>
        <v>#DIV/0!</v>
      </c>
      <c r="CG356" s="219" t="e">
        <f>SUM(CG158)/SUM(CG212,CG216,CG218,CG219)</f>
        <v>#DIV/0!</v>
      </c>
      <c r="CH356" s="219" t="e">
        <f>SUM(CH158)/SUM(CH212,CH216,CH218,CH219)</f>
        <v>#DIV/0!</v>
      </c>
      <c r="CI356" s="219" t="e">
        <f>SUM(CI158)/SUM(CI212,CI216,CI218,CI219)</f>
        <v>#DIV/0!</v>
      </c>
      <c r="CK356" s="219" t="e">
        <f>SUM(CK158)/SUM(CK212,CK216,CK218,CK219)</f>
        <v>#DIV/0!</v>
      </c>
      <c r="CL356" s="219" t="e">
        <f>SUM(CL158)/SUM(CL212,CL216,CL218,CL219)</f>
        <v>#DIV/0!</v>
      </c>
      <c r="CM356" s="219" t="e">
        <f>SUM(CM158)/SUM(CM212,CM216,CM218,CM219)</f>
        <v>#DIV/0!</v>
      </c>
      <c r="CN356" s="219" t="e">
        <f>SUM(CN158)/SUM(CN212,CN216,CN218,CN219)</f>
        <v>#DIV/0!</v>
      </c>
      <c r="CP356" s="219" t="e">
        <f>SUM(CP158)/SUM(CP212,CP216,CP218,CP219)</f>
        <v>#DIV/0!</v>
      </c>
      <c r="CQ356" s="219" t="e">
        <f>SUM(CQ158)/SUM(CQ212,CQ216,CQ218,CQ219)</f>
        <v>#DIV/0!</v>
      </c>
      <c r="CR356" s="219" t="e">
        <f>SUM(CR158)/SUM(CR212,CR216,CR218,CR219)</f>
        <v>#DIV/0!</v>
      </c>
      <c r="CS356" s="219" t="e">
        <f>SUM(CS158)/SUM(CS212,CS216,CS218,CS219)</f>
        <v>#DIV/0!</v>
      </c>
      <c r="CU356" s="219" t="e">
        <f>SUM(CU158)/SUM(CU212,CU216,CU218,CU219)</f>
        <v>#DIV/0!</v>
      </c>
      <c r="CV356" s="219" t="e">
        <f>SUM(CV158)/SUM(CV212,CV216,CV218,CV219)</f>
        <v>#DIV/0!</v>
      </c>
      <c r="CW356" s="219" t="e">
        <f>SUM(CW158)/SUM(CW212,CW216,CW218,CW219)</f>
        <v>#DIV/0!</v>
      </c>
      <c r="CX356" s="219" t="e">
        <f>SUM(CX158)/SUM(CX212,CX216,CX218,CX219)</f>
        <v>#DIV/0!</v>
      </c>
    </row>
    <row r="357" customFormat="1" s="233">
      <c r="A357" s="224" t="n"/>
      <c r="B357" s="224" t="n"/>
    </row>
    <row r="358" customFormat="1" s="233">
      <c r="A358" s="224" t="n"/>
      <c r="B358" s="224" t="n"/>
      <c r="C358" s="234" t="inlineStr">
        <is>
          <t>OPERATING EFFICIENCY</t>
        </is>
      </c>
    </row>
    <row r="359" customFormat="1" s="238">
      <c r="A359" s="222" t="n"/>
      <c r="B359" s="222" t="n"/>
      <c r="C359" s="238" t="inlineStr">
        <is>
          <t>RETURN ON CAPITAL (ROIC)</t>
        </is>
      </c>
      <c r="D359" s="238">
        <f>D361/D364</f>
        <v>0.0459272177563506</v>
      </c>
      <c r="E359" s="238">
        <f>E361/E364</f>
        <v>0.132532291384557</v>
      </c>
      <c r="F359" s="238">
        <f>F361/F364</f>
        <v>0.183995982160011</v>
      </c>
      <c r="G359" s="238">
        <f>G361/G364</f>
        <v>0.15566475489718</v>
      </c>
      <c r="H359" s="238">
        <f>H361/H364</f>
        <v>0.402093676589474</v>
      </c>
      <c r="I359" s="222">
        <f>I361/I364</f>
        <v>0.103125674230853</v>
      </c>
      <c r="J359" s="222">
        <f>J361/J364</f>
        <v>0.170414775265515</v>
      </c>
      <c r="K359" s="222">
        <f>K361/K364</f>
        <v>0.128392715652971</v>
      </c>
      <c r="L359" s="222">
        <f>L361/L364</f>
        <v>0.231844601790787</v>
      </c>
      <c r="M359" s="222">
        <f>M361/M364</f>
        <v>0.625557684817586</v>
      </c>
      <c r="N359" s="222">
        <f>N361/N364</f>
        <v>0.114184660689833</v>
      </c>
      <c r="O359" s="222">
        <f>O361/O364</f>
        <v>0.185086826711535</v>
      </c>
      <c r="P359" s="222">
        <f>P361/P364</f>
        <v>0.138465933679396</v>
      </c>
      <c r="Q359" s="222">
        <f>Q361/Q364</f>
        <v>0.185081517637161</v>
      </c>
      <c r="R359" s="222">
        <f>R361/R364</f>
        <v>0.635155480339577</v>
      </c>
      <c r="S359" s="222">
        <f>S361/S364</f>
        <v>0.135129576712784</v>
      </c>
      <c r="T359" s="222">
        <f>T361/T364</f>
        <v>0.162888281068586</v>
      </c>
      <c r="U359" s="222">
        <f>U361/U364</f>
        <v>0.187736140286583</v>
      </c>
      <c r="V359" s="222">
        <f>V361/V364</f>
        <v>0.256978108343561</v>
      </c>
      <c r="W359" s="222">
        <f>W361/W364</f>
        <v>0.799695872833734</v>
      </c>
      <c r="X359" s="222">
        <f>X361/X364</f>
        <v>0.204147195691173</v>
      </c>
      <c r="Y359" s="222">
        <f>Y361/Y364</f>
        <v>0.29993210981245</v>
      </c>
      <c r="Z359" s="222">
        <f>Z361/Z364</f>
        <v>0.197683192793278</v>
      </c>
      <c r="AA359" s="222">
        <f>AA361/AA364</f>
        <v>0.222338356939242</v>
      </c>
      <c r="AB359" s="222">
        <f>AB361/AB364</f>
        <v>0.801585925653419</v>
      </c>
      <c r="AC359" s="222">
        <f>AC361/AC364</f>
        <v>0.216367097494168</v>
      </c>
      <c r="AD359" s="222">
        <f>AD361/AD364</f>
        <v>0.201187381980999</v>
      </c>
      <c r="AE359" s="222">
        <f>AE361/AE364</f>
        <v>0.234050381249527</v>
      </c>
      <c r="AF359" s="222">
        <f>AF361/AF364</f>
        <v>0.217821208764997</v>
      </c>
      <c r="AG359" s="222">
        <f>AG361/AG364</f>
        <v>0.805310589886984</v>
      </c>
      <c r="AH359" s="222">
        <f>AH361/AH364</f>
        <v>0.233254101455426</v>
      </c>
      <c r="AI359" s="222">
        <f>AI361/AI364</f>
        <v>0.180676051587712</v>
      </c>
      <c r="AJ359" s="222">
        <f>AJ361/AJ364</f>
        <v>0</v>
      </c>
      <c r="AK359" s="222">
        <f>AK361/AK364</f>
        <v>0</v>
      </c>
      <c r="AL359" s="222">
        <f>AL361/AL364</f>
        <v>-0.356508365733755</v>
      </c>
      <c r="AM359" s="222" t="e">
        <f>AM361/AM364</f>
        <v>#DIV/0!</v>
      </c>
      <c r="AN359" s="222">
        <f>AN361/AN364</f>
        <v>0</v>
      </c>
      <c r="AO359" s="222" t="e">
        <f>AO361/AO364</f>
        <v>#DIV/0!</v>
      </c>
      <c r="AP359" s="222" t="e">
        <f>AP361/AP364</f>
        <v>#DIV/0!</v>
      </c>
      <c r="AQ359" s="222" t="e">
        <f>AQ361/AQ364</f>
        <v>#DIV/0!</v>
      </c>
      <c r="AR359" s="222" t="e">
        <f>AR361/AR364</f>
        <v>#DIV/0!</v>
      </c>
      <c r="AS359" s="222" t="e">
        <f>AS361/AS364</f>
        <v>#DIV/0!</v>
      </c>
      <c r="AT359" s="222" t="e">
        <f>AT361/AT364</f>
        <v>#DIV/0!</v>
      </c>
      <c r="AU359" s="222" t="e">
        <f>AU361/AU364</f>
        <v>#DIV/0!</v>
      </c>
      <c r="AV359" s="222" t="e">
        <f>AV361/AV364</f>
        <v>#DIV/0!</v>
      </c>
      <c r="AW359" s="222" t="e">
        <f>AW361/AW364</f>
        <v>#DIV/0!</v>
      </c>
      <c r="AX359" s="222" t="e">
        <f>AX361/AX364</f>
        <v>#DIV/0!</v>
      </c>
      <c r="AY359" s="222" t="e">
        <f>AY361/AY364</f>
        <v>#DIV/0!</v>
      </c>
      <c r="AZ359" s="222" t="e">
        <f>AZ361/AZ364</f>
        <v>#DIV/0!</v>
      </c>
      <c r="BA359" s="222" t="e">
        <f>BA361/BA364</f>
        <v>#DIV/0!</v>
      </c>
      <c r="BB359" s="222" t="e">
        <f>BB361/BB364</f>
        <v>#DIV/0!</v>
      </c>
      <c r="BC359" s="222" t="e">
        <f>BC361/BC364</f>
        <v>#DIV/0!</v>
      </c>
      <c r="BD359" s="222" t="e">
        <f>BD361/BD364</f>
        <v>#DIV/0!</v>
      </c>
      <c r="BE359" s="222" t="e">
        <f>BE361/BE364</f>
        <v>#DIV/0!</v>
      </c>
      <c r="BF359" s="222" t="e">
        <f>BF361/BF364</f>
        <v>#DIV/0!</v>
      </c>
      <c r="BG359" s="222" t="e">
        <f>BG361/BG364</f>
        <v>#DIV/0!</v>
      </c>
      <c r="BH359" s="222" t="e">
        <f>BH361/BH364</f>
        <v>#DIV/0!</v>
      </c>
      <c r="BI359" s="222" t="e">
        <f>BI361/BI364</f>
        <v>#DIV/0!</v>
      </c>
      <c r="BJ359" s="222" t="e">
        <f>BJ361/BJ364</f>
        <v>#DIV/0!</v>
      </c>
      <c r="BK359" s="222" t="e">
        <f>BK361/BK364</f>
        <v>#DIV/0!</v>
      </c>
      <c r="BL359" s="222" t="e">
        <f>BL361/BL364</f>
        <v>#DIV/0!</v>
      </c>
      <c r="BM359" s="222" t="e">
        <f>BM361/BM364</f>
        <v>#DIV/0!</v>
      </c>
      <c r="BN359" s="222" t="e">
        <f>BN361/BN364</f>
        <v>#DIV/0!</v>
      </c>
      <c r="BO359" s="222" t="e">
        <f>BO361/BO364</f>
        <v>#DIV/0!</v>
      </c>
      <c r="BP359" s="222" t="e">
        <f>BP361/BP364</f>
        <v>#DIV/0!</v>
      </c>
      <c r="BQ359" s="222" t="e">
        <f>BQ361/BQ364</f>
        <v>#DIV/0!</v>
      </c>
      <c r="BR359" s="222" t="e">
        <f>BR361/BR364</f>
        <v>#DIV/0!</v>
      </c>
      <c r="BS359" s="222" t="e">
        <f>BS361/BS364</f>
        <v>#DIV/0!</v>
      </c>
      <c r="BT359" s="222" t="e">
        <f>BT361/BT364</f>
        <v>#DIV/0!</v>
      </c>
      <c r="BU359" s="222" t="e">
        <f>BU361/BU364</f>
        <v>#DIV/0!</v>
      </c>
      <c r="BV359" s="222" t="e">
        <f>BV361/BV364</f>
        <v>#DIV/0!</v>
      </c>
      <c r="BW359" s="222" t="e">
        <f>BW361/BW364</f>
        <v>#DIV/0!</v>
      </c>
      <c r="BX359" s="222" t="e">
        <f>BX361/BX364</f>
        <v>#DIV/0!</v>
      </c>
      <c r="BY359" s="222" t="e">
        <f>BY361/BY364</f>
        <v>#DIV/0!</v>
      </c>
      <c r="BZ359" s="222" t="e">
        <f>BZ361/BZ364</f>
        <v>#DIV/0!</v>
      </c>
      <c r="CA359" s="222" t="e">
        <f>CA361/CA364</f>
        <v>#DIV/0!</v>
      </c>
      <c r="CB359" s="222" t="e">
        <f>CB361/CB364</f>
        <v>#DIV/0!</v>
      </c>
      <c r="CC359" s="222" t="e">
        <f>CC361/CC364</f>
        <v>#DIV/0!</v>
      </c>
      <c r="CD359" s="222" t="e">
        <f>CD361/CD364</f>
        <v>#DIV/0!</v>
      </c>
      <c r="CE359" s="222" t="e">
        <f>CE361/CE364</f>
        <v>#DIV/0!</v>
      </c>
      <c r="CF359" s="222" t="e">
        <f>CF361/CF364</f>
        <v>#DIV/0!</v>
      </c>
      <c r="CG359" s="222" t="e">
        <f>CG361/CG364</f>
        <v>#DIV/0!</v>
      </c>
      <c r="CH359" s="222" t="e">
        <f>CH361/CH364</f>
        <v>#DIV/0!</v>
      </c>
      <c r="CI359" s="222" t="e">
        <f>CI361/CI364</f>
        <v>#DIV/0!</v>
      </c>
      <c r="CJ359" s="222" t="e">
        <f>CJ361/CJ364</f>
        <v>#DIV/0!</v>
      </c>
      <c r="CK359" s="222" t="e">
        <f>CK361/CK364</f>
        <v>#DIV/0!</v>
      </c>
      <c r="CL359" s="222" t="e">
        <f>CL361/CL364</f>
        <v>#DIV/0!</v>
      </c>
      <c r="CM359" s="222" t="e">
        <f>CM361/CM364</f>
        <v>#DIV/0!</v>
      </c>
      <c r="CN359" s="222" t="e">
        <f>CN361/CN364</f>
        <v>#DIV/0!</v>
      </c>
      <c r="CO359" s="222" t="e">
        <f>CO361/CO364</f>
        <v>#DIV/0!</v>
      </c>
      <c r="CP359" s="222" t="e">
        <f>CP361/CP364</f>
        <v>#DIV/0!</v>
      </c>
      <c r="CQ359" s="222" t="e">
        <f>CQ361/CQ364</f>
        <v>#DIV/0!</v>
      </c>
      <c r="CR359" s="222" t="e">
        <f>CR361/CR364</f>
        <v>#DIV/0!</v>
      </c>
      <c r="CS359" s="222" t="e">
        <f>CS361/CS364</f>
        <v>#DIV/0!</v>
      </c>
      <c r="CT359" s="222" t="e">
        <f>CT361/CT364</f>
        <v>#DIV/0!</v>
      </c>
      <c r="CU359" s="222" t="e">
        <f>CU361/CU364</f>
        <v>#DIV/0!</v>
      </c>
      <c r="CV359" s="222" t="e">
        <f>CV361/CV364</f>
        <v>#DIV/0!</v>
      </c>
      <c r="CW359" s="222" t="e">
        <f>CW361/CW364</f>
        <v>#DIV/0!</v>
      </c>
      <c r="CX359" s="222" t="e">
        <f>CX361/CX364</f>
        <v>#DIV/0!</v>
      </c>
      <c r="CY359" s="222" t="e">
        <f>CY361/CY364</f>
        <v>#DIV/0!</v>
      </c>
    </row>
    <row r="360" customFormat="1" s="238">
      <c r="A360" s="222" t="n"/>
      <c r="B360" s="222" t="n"/>
      <c r="C360" s="238" t="inlineStr">
        <is>
          <t>RETURN ON CAPITAL (ROIC) - EX GOODWILL</t>
        </is>
      </c>
      <c r="D360" s="238">
        <f>D361/D365</f>
        <v>0.0459272177563506</v>
      </c>
      <c r="E360" s="238">
        <f>E361/E365</f>
        <v>0.132532291384557</v>
      </c>
      <c r="F360" s="238">
        <f>F361/F365</f>
        <v>0.183995982160011</v>
      </c>
      <c r="G360" s="238">
        <f>G361/G365</f>
        <v>0.15566475489718</v>
      </c>
      <c r="H360" s="238">
        <f>H361/H365</f>
        <v>0.402093676589474</v>
      </c>
      <c r="I360" s="222">
        <f>I361/I365</f>
        <v>0.103125674230853</v>
      </c>
      <c r="J360" s="222">
        <f>J361/J365</f>
        <v>0.170414775265515</v>
      </c>
      <c r="K360" s="222">
        <f>K361/K365</f>
        <v>0.128392715652971</v>
      </c>
      <c r="L360" s="222">
        <f>L361/L365</f>
        <v>0.231844601790787</v>
      </c>
      <c r="M360" s="222">
        <f>M361/M365</f>
        <v>0.625557684817586</v>
      </c>
      <c r="N360" s="222">
        <f>N361/N365</f>
        <v>0.114184660689833</v>
      </c>
      <c r="O360" s="222">
        <f>O361/O365</f>
        <v>0.185086826711535</v>
      </c>
      <c r="P360" s="222">
        <f>P361/P365</f>
        <v>0.138465933679396</v>
      </c>
      <c r="Q360" s="222">
        <f>Q361/Q365</f>
        <v>0.185081517637161</v>
      </c>
      <c r="R360" s="222">
        <f>R361/R365</f>
        <v>0.635155480339577</v>
      </c>
      <c r="S360" s="222">
        <f>S361/S365</f>
        <v>0.135129576712784</v>
      </c>
      <c r="T360" s="222">
        <f>T361/T365</f>
        <v>0.162888281068586</v>
      </c>
      <c r="U360" s="222">
        <f>U361/U365</f>
        <v>0.187736140286583</v>
      </c>
      <c r="V360" s="222">
        <f>V361/V365</f>
        <v>0.256978108343561</v>
      </c>
      <c r="W360" s="222">
        <f>W361/W365</f>
        <v>0.799695872833734</v>
      </c>
      <c r="X360" s="222">
        <f>X361/X365</f>
        <v>0.204147195691173</v>
      </c>
      <c r="Y360" s="222">
        <f>Y361/Y365</f>
        <v>0.29993210981245</v>
      </c>
      <c r="Z360" s="222">
        <f>Z361/Z365</f>
        <v>0.197683192793278</v>
      </c>
      <c r="AA360" s="222">
        <f>AA361/AA365</f>
        <v>0.222338356939242</v>
      </c>
      <c r="AB360" s="222">
        <f>AB361/AB365</f>
        <v>0.801585925653419</v>
      </c>
      <c r="AC360" s="222">
        <f>AC361/AC365</f>
        <v>0.216367097494168</v>
      </c>
      <c r="AD360" s="222">
        <f>AD361/AD365</f>
        <v>0.201187381980999</v>
      </c>
      <c r="AE360" s="222">
        <f>AE361/AE365</f>
        <v>0.234050381249527</v>
      </c>
      <c r="AF360" s="222">
        <f>AF361/AF365</f>
        <v>0.217821208764997</v>
      </c>
      <c r="AG360" s="222">
        <f>AG361/AG365</f>
        <v>0.805310589886984</v>
      </c>
      <c r="AH360" s="222">
        <f>AH361/AH365</f>
        <v>0.233254101455426</v>
      </c>
      <c r="AI360" s="222">
        <f>AI361/AI365</f>
        <v>0.180676051587712</v>
      </c>
      <c r="AJ360" s="222">
        <f>AJ361/AJ365</f>
        <v>0</v>
      </c>
      <c r="AK360" s="222">
        <f>AK361/AK365</f>
        <v>0</v>
      </c>
      <c r="AL360" s="222">
        <f>AL361/AL365</f>
        <v>-0.356508365733755</v>
      </c>
      <c r="AM360" s="222" t="e">
        <f>AM361/AM365</f>
        <v>#DIV/0!</v>
      </c>
      <c r="AN360" s="222">
        <f>AN361/AN365</f>
        <v>0</v>
      </c>
      <c r="AO360" s="222" t="e">
        <f>AO361/AO365</f>
        <v>#DIV/0!</v>
      </c>
      <c r="AP360" s="222" t="e">
        <f>AP361/AP365</f>
        <v>#DIV/0!</v>
      </c>
      <c r="AQ360" s="222" t="e">
        <f>AQ361/AQ365</f>
        <v>#DIV/0!</v>
      </c>
      <c r="AR360" s="222" t="e">
        <f>AR361/AR365</f>
        <v>#DIV/0!</v>
      </c>
      <c r="AS360" s="222" t="e">
        <f>AS361/AS365</f>
        <v>#DIV/0!</v>
      </c>
      <c r="AT360" s="222" t="e">
        <f>AT361/AT365</f>
        <v>#DIV/0!</v>
      </c>
      <c r="AU360" s="222" t="e">
        <f>AU361/AU365</f>
        <v>#DIV/0!</v>
      </c>
      <c r="AV360" s="222" t="e">
        <f>AV361/AV365</f>
        <v>#DIV/0!</v>
      </c>
      <c r="AW360" s="222" t="e">
        <f>AW361/AW365</f>
        <v>#DIV/0!</v>
      </c>
      <c r="AX360" s="222" t="e">
        <f>AX361/AX365</f>
        <v>#DIV/0!</v>
      </c>
      <c r="AY360" s="222" t="e">
        <f>AY361/AY365</f>
        <v>#DIV/0!</v>
      </c>
      <c r="AZ360" s="222" t="e">
        <f>AZ361/AZ365</f>
        <v>#DIV/0!</v>
      </c>
      <c r="BA360" s="222" t="e">
        <f>BA361/BA365</f>
        <v>#DIV/0!</v>
      </c>
      <c r="BB360" s="222" t="e">
        <f>BB361/BB365</f>
        <v>#DIV/0!</v>
      </c>
      <c r="BC360" s="222" t="e">
        <f>BC361/BC365</f>
        <v>#DIV/0!</v>
      </c>
      <c r="BD360" s="222" t="e">
        <f>BD361/BD365</f>
        <v>#DIV/0!</v>
      </c>
      <c r="BE360" s="222" t="e">
        <f>BE361/BE365</f>
        <v>#DIV/0!</v>
      </c>
      <c r="BF360" s="222" t="e">
        <f>BF361/BF365</f>
        <v>#DIV/0!</v>
      </c>
      <c r="BG360" s="222" t="e">
        <f>BG361/BG365</f>
        <v>#DIV/0!</v>
      </c>
      <c r="BH360" s="222" t="e">
        <f>BH361/BH365</f>
        <v>#DIV/0!</v>
      </c>
      <c r="BI360" s="222" t="e">
        <f>BI361/BI365</f>
        <v>#DIV/0!</v>
      </c>
      <c r="BJ360" s="222" t="e">
        <f>BJ361/BJ365</f>
        <v>#DIV/0!</v>
      </c>
      <c r="BK360" s="222" t="e">
        <f>BK361/BK365</f>
        <v>#DIV/0!</v>
      </c>
      <c r="BL360" s="222" t="e">
        <f>BL361/BL365</f>
        <v>#DIV/0!</v>
      </c>
      <c r="BM360" s="222" t="e">
        <f>BM361/BM365</f>
        <v>#DIV/0!</v>
      </c>
      <c r="BN360" s="222" t="e">
        <f>BN361/BN365</f>
        <v>#DIV/0!</v>
      </c>
      <c r="BO360" s="222" t="e">
        <f>BO361/BO365</f>
        <v>#DIV/0!</v>
      </c>
      <c r="BP360" s="222" t="e">
        <f>BP361/BP365</f>
        <v>#DIV/0!</v>
      </c>
      <c r="BQ360" s="222" t="e">
        <f>BQ361/BQ365</f>
        <v>#DIV/0!</v>
      </c>
      <c r="BR360" s="222" t="e">
        <f>BR361/BR365</f>
        <v>#DIV/0!</v>
      </c>
      <c r="BS360" s="222" t="e">
        <f>BS361/BS365</f>
        <v>#DIV/0!</v>
      </c>
      <c r="BT360" s="222" t="e">
        <f>BT361/BT365</f>
        <v>#DIV/0!</v>
      </c>
      <c r="BU360" s="222" t="e">
        <f>BU361/BU365</f>
        <v>#DIV/0!</v>
      </c>
      <c r="BV360" s="222" t="e">
        <f>BV361/BV365</f>
        <v>#DIV/0!</v>
      </c>
      <c r="BW360" s="222" t="e">
        <f>BW361/BW365</f>
        <v>#DIV/0!</v>
      </c>
      <c r="BX360" s="222" t="e">
        <f>BX361/BX365</f>
        <v>#DIV/0!</v>
      </c>
      <c r="BY360" s="222" t="e">
        <f>BY361/BY365</f>
        <v>#DIV/0!</v>
      </c>
      <c r="BZ360" s="222" t="e">
        <f>BZ361/BZ365</f>
        <v>#DIV/0!</v>
      </c>
      <c r="CA360" s="222" t="e">
        <f>CA361/CA365</f>
        <v>#DIV/0!</v>
      </c>
      <c r="CB360" s="222" t="e">
        <f>CB361/CB365</f>
        <v>#DIV/0!</v>
      </c>
      <c r="CC360" s="222" t="e">
        <f>CC361/CC365</f>
        <v>#DIV/0!</v>
      </c>
      <c r="CD360" s="222" t="e">
        <f>CD361/CD365</f>
        <v>#DIV/0!</v>
      </c>
      <c r="CE360" s="222" t="e">
        <f>CE361/CE365</f>
        <v>#DIV/0!</v>
      </c>
      <c r="CF360" s="222" t="e">
        <f>CF361/CF365</f>
        <v>#DIV/0!</v>
      </c>
      <c r="CG360" s="222" t="e">
        <f>CG361/CG365</f>
        <v>#DIV/0!</v>
      </c>
      <c r="CH360" s="222" t="e">
        <f>CH361/CH365</f>
        <v>#DIV/0!</v>
      </c>
      <c r="CI360" s="222" t="e">
        <f>CI361/CI365</f>
        <v>#DIV/0!</v>
      </c>
      <c r="CJ360" s="222" t="e">
        <f>CJ361/CJ365</f>
        <v>#DIV/0!</v>
      </c>
      <c r="CK360" s="222" t="e">
        <f>CK361/CK365</f>
        <v>#DIV/0!</v>
      </c>
      <c r="CL360" s="222" t="e">
        <f>CL361/CL365</f>
        <v>#DIV/0!</v>
      </c>
      <c r="CM360" s="222" t="e">
        <f>CM361/CM365</f>
        <v>#DIV/0!</v>
      </c>
      <c r="CN360" s="222" t="e">
        <f>CN361/CN365</f>
        <v>#DIV/0!</v>
      </c>
      <c r="CO360" s="222" t="e">
        <f>CO361/CO365</f>
        <v>#DIV/0!</v>
      </c>
      <c r="CP360" s="222" t="e">
        <f>CP361/CP365</f>
        <v>#DIV/0!</v>
      </c>
      <c r="CQ360" s="222" t="e">
        <f>CQ361/CQ365</f>
        <v>#DIV/0!</v>
      </c>
      <c r="CR360" s="222" t="e">
        <f>CR361/CR365</f>
        <v>#DIV/0!</v>
      </c>
      <c r="CS360" s="222" t="e">
        <f>CS361/CS365</f>
        <v>#DIV/0!</v>
      </c>
      <c r="CT360" s="222" t="e">
        <f>CT361/CT365</f>
        <v>#DIV/0!</v>
      </c>
      <c r="CU360" s="222" t="e">
        <f>CU361/CU365</f>
        <v>#DIV/0!</v>
      </c>
      <c r="CV360" s="222" t="e">
        <f>CV361/CV365</f>
        <v>#DIV/0!</v>
      </c>
      <c r="CW360" s="222" t="e">
        <f>CW361/CW365</f>
        <v>#DIV/0!</v>
      </c>
      <c r="CX360" s="222" t="e">
        <f>CX361/CX365</f>
        <v>#DIV/0!</v>
      </c>
      <c r="CY360" s="222" t="e">
        <f>CY361/CY365</f>
        <v>#DIV/0!</v>
      </c>
    </row>
    <row r="361" customFormat="1" s="233">
      <c r="A361" s="224" t="n"/>
      <c r="B361" s="224" t="n"/>
      <c r="C361" s="233" t="inlineStr">
        <is>
          <t>NOPLAT</t>
        </is>
      </c>
      <c r="D361" s="233">
        <f>D362*(1-D363)</f>
        <v>16.0495418082633</v>
      </c>
      <c r="E361" s="233">
        <f>E362*(1-E363)</f>
        <v>43.4006145242837</v>
      </c>
      <c r="F361" s="233">
        <f>F362*(1-F363)</f>
        <v>59.9639225939833</v>
      </c>
      <c r="G361" s="233">
        <f>G362*(1-G363)</f>
        <v>75.633924115177</v>
      </c>
      <c r="H361" s="233">
        <f>H362*(1-H363)</f>
        <v>195.368069300264</v>
      </c>
      <c r="I361" s="223">
        <f>I362*(1-I363)</f>
        <v>55.3649775986438</v>
      </c>
      <c r="J361" s="224">
        <f>J362*(1-J363)</f>
        <v>80.060179760638</v>
      </c>
      <c r="K361" s="224">
        <f>K362*(1-K363)</f>
        <v>76.5311744119821</v>
      </c>
      <c r="L361" s="224">
        <f>L362*(1-L363)</f>
        <v>124.729845472824</v>
      </c>
      <c r="M361" s="224">
        <f>M362*(1-M363)</f>
        <v>336.543153297328</v>
      </c>
      <c r="N361" s="223">
        <f>N362*(1-N363)</f>
        <v>67.1156882295913</v>
      </c>
      <c r="O361" s="224">
        <f>O362*(1-O363)</f>
        <v>97.0697117029983</v>
      </c>
      <c r="P361" s="224">
        <f>P362*(1-P363)</f>
        <v>97.3829526907858</v>
      </c>
      <c r="Q361" s="224">
        <f>Q362*(1-Q363)</f>
        <v>107.54883400226</v>
      </c>
      <c r="R361" s="224">
        <f>R362*(1-R363)</f>
        <v>369.081862915045</v>
      </c>
      <c r="S361" s="223">
        <f>S362*(1-S363)</f>
        <v>98.8475556245548</v>
      </c>
      <c r="T361" s="224">
        <f>T362*(1-T363)</f>
        <v>128.255137636064</v>
      </c>
      <c r="U361" s="224">
        <f>U362*(1-U363)</f>
        <v>116.219371797391</v>
      </c>
      <c r="V361" s="224">
        <f>V362*(1-V363)</f>
        <v>162.631422624415</v>
      </c>
      <c r="W361" s="224">
        <f>W362*(1-W363)</f>
        <v>506.096329777429</v>
      </c>
      <c r="X361" s="223">
        <f>X362*(1-X363)</f>
        <v>157.114131570275</v>
      </c>
      <c r="Y361" s="224">
        <f>Y362*(1-Y363)</f>
        <v>177.602699300674</v>
      </c>
      <c r="Z361" s="224">
        <f>Z362*(1-Z363)</f>
        <v>183.936303566434</v>
      </c>
      <c r="AA361" s="224">
        <f>AA362*(1-AA363)</f>
        <v>199.092437044531</v>
      </c>
      <c r="AB361" s="224">
        <f>AB362*(1-AB363)</f>
        <v>717.778513954503</v>
      </c>
      <c r="AC361" s="223">
        <f>AC362*(1-AC363)</f>
        <v>245.843652654188</v>
      </c>
      <c r="AD361" s="224">
        <f>AD362*(1-AD363)</f>
        <v>280.042977535833</v>
      </c>
      <c r="AE361" s="224">
        <f>AE362*(1-AE363)</f>
        <v>288.423327468748</v>
      </c>
      <c r="AF361" s="224">
        <f>AF362*(1-AF363)</f>
        <v>301.901066633121</v>
      </c>
      <c r="AG361" s="224">
        <f>AG362*(1-AG363)</f>
        <v>1116.16369882572</v>
      </c>
      <c r="AH361" s="223">
        <f>AH362*(1-AH363)</f>
        <v>358.480764395598</v>
      </c>
      <c r="AI361" s="224">
        <f>AI362*(1-AI363)</f>
        <v>329.488255393466</v>
      </c>
      <c r="AJ361" s="224">
        <f>AJ362*(1-AJ363)</f>
        <v>0</v>
      </c>
      <c r="AK361" s="224">
        <f>AK362*(1-AK363)</f>
        <v>0</v>
      </c>
      <c r="AL361" s="224">
        <f>AL362*(1-AL363)</f>
        <v>698.51325813273</v>
      </c>
      <c r="AM361" s="223">
        <f>AM362*(1-AM363)</f>
        <v>0</v>
      </c>
      <c r="AN361" s="224">
        <f>AN362*(1-AN363)</f>
        <v>0</v>
      </c>
      <c r="AO361" s="224">
        <f>AO362*(1-AO363)</f>
        <v>0</v>
      </c>
      <c r="AP361" s="224">
        <f>AP362*(1-AP363)</f>
        <v>0</v>
      </c>
      <c r="AQ361" s="224">
        <f>AQ362*(1-AQ363)</f>
        <v>0</v>
      </c>
      <c r="AR361" s="223">
        <f>AR362*(1-AR363)</f>
        <v>0</v>
      </c>
      <c r="AS361" s="224">
        <f>AS362*(1-AS363)</f>
        <v>0</v>
      </c>
      <c r="AT361" s="224">
        <f>AT362*(1-AT363)</f>
        <v>0</v>
      </c>
      <c r="AU361" s="224">
        <f>AU362*(1-AU363)</f>
        <v>0</v>
      </c>
      <c r="AV361" s="224">
        <f>AV362*(1-AV363)</f>
        <v>0</v>
      </c>
      <c r="AW361" s="223">
        <f>AW362*(1-AW363)</f>
        <v>0</v>
      </c>
      <c r="AX361" s="224">
        <f>AX362*(1-AX363)</f>
        <v>0</v>
      </c>
      <c r="AY361" s="224">
        <f>AY362*(1-AY363)</f>
        <v>0</v>
      </c>
      <c r="AZ361" s="224">
        <f>AZ362*(1-AZ363)</f>
        <v>0</v>
      </c>
      <c r="BA361" s="224">
        <f>BA362*(1-BA363)</f>
        <v>0</v>
      </c>
      <c r="BB361" s="223">
        <f>BB362*(1-BB363)</f>
        <v>0</v>
      </c>
      <c r="BC361" s="224">
        <f>BC362*(1-BC363)</f>
        <v>0</v>
      </c>
      <c r="BD361" s="224">
        <f>BD362*(1-BD363)</f>
        <v>0</v>
      </c>
      <c r="BE361" s="224">
        <f>BE362*(1-BE363)</f>
        <v>0</v>
      </c>
      <c r="BF361" s="224">
        <f>BF362*(1-BF363)</f>
        <v>0</v>
      </c>
      <c r="BG361" s="223">
        <f>BG362*(1-BG363)</f>
        <v>0</v>
      </c>
      <c r="BH361" s="224">
        <f>BH362*(1-BH363)</f>
        <v>0</v>
      </c>
      <c r="BI361" s="224">
        <f>BI362*(1-BI363)</f>
        <v>0</v>
      </c>
      <c r="BJ361" s="224">
        <f>BJ362*(1-BJ363)</f>
        <v>0</v>
      </c>
      <c r="BK361" s="224">
        <f>BK362*(1-BK363)</f>
        <v>0</v>
      </c>
      <c r="BL361" s="223">
        <f>BL362*(1-BL363)</f>
        <v>0</v>
      </c>
      <c r="BM361" s="224">
        <f>BM362*(1-BM363)</f>
        <v>0</v>
      </c>
      <c r="BN361" s="224">
        <f>BN362*(1-BN363)</f>
        <v>0</v>
      </c>
      <c r="BO361" s="224">
        <f>BO362*(1-BO363)</f>
        <v>0</v>
      </c>
      <c r="BP361" s="224">
        <f>BP362*(1-BP363)</f>
        <v>0</v>
      </c>
      <c r="BQ361" s="223">
        <f>BQ362*(1-BQ363)</f>
        <v>0</v>
      </c>
      <c r="BR361" s="224">
        <f>BR362*(1-BR363)</f>
        <v>0</v>
      </c>
      <c r="BS361" s="224">
        <f>BS362*(1-BS363)</f>
        <v>0</v>
      </c>
      <c r="BT361" s="224">
        <f>BT362*(1-BT363)</f>
        <v>0</v>
      </c>
      <c r="BU361" s="224">
        <f>BU362*(1-BU363)</f>
        <v>0</v>
      </c>
      <c r="BV361" s="223">
        <f>BV362*(1-BV363)</f>
        <v>0</v>
      </c>
      <c r="BW361" s="224">
        <f>BW362*(1-BW363)</f>
        <v>0</v>
      </c>
      <c r="BX361" s="224">
        <f>BX362*(1-BX363)</f>
        <v>0</v>
      </c>
      <c r="BY361" s="224">
        <f>BY362*(1-BY363)</f>
        <v>0</v>
      </c>
      <c r="BZ361" s="224">
        <f>BZ362*(1-BZ363)</f>
        <v>0</v>
      </c>
      <c r="CA361" s="223">
        <f>CA362*(1-CA363)</f>
        <v>0</v>
      </c>
      <c r="CB361" s="224">
        <f>CB362*(1-CB363)</f>
        <v>0</v>
      </c>
      <c r="CC361" s="224">
        <f>CC362*(1-CC363)</f>
        <v>0</v>
      </c>
      <c r="CD361" s="224">
        <f>CD362*(1-CD363)</f>
        <v>0</v>
      </c>
      <c r="CE361" s="224">
        <f>CE362*(1-CE363)</f>
        <v>0</v>
      </c>
      <c r="CF361" s="223">
        <f>CF362*(1-CF363)</f>
        <v>0</v>
      </c>
      <c r="CG361" s="224">
        <f>CG362*(1-CG363)</f>
        <v>0</v>
      </c>
      <c r="CH361" s="224">
        <f>CH362*(1-CH363)</f>
        <v>0</v>
      </c>
      <c r="CI361" s="224">
        <f>CI362*(1-CI363)</f>
        <v>0</v>
      </c>
      <c r="CJ361" s="224">
        <f>CJ362*(1-CJ363)</f>
        <v>0</v>
      </c>
      <c r="CK361" s="223">
        <f>CK362*(1-CK363)</f>
        <v>0</v>
      </c>
      <c r="CL361" s="224">
        <f>CL362*(1-CL363)</f>
        <v>0</v>
      </c>
      <c r="CM361" s="224">
        <f>CM362*(1-CM363)</f>
        <v>0</v>
      </c>
      <c r="CN361" s="224">
        <f>CN362*(1-CN363)</f>
        <v>0</v>
      </c>
      <c r="CO361" s="224">
        <f>CO362*(1-CO363)</f>
        <v>0</v>
      </c>
      <c r="CP361" s="223">
        <f>CP362*(1-CP363)</f>
        <v>0</v>
      </c>
      <c r="CQ361" s="224">
        <f>CQ362*(1-CQ363)</f>
        <v>0</v>
      </c>
      <c r="CR361" s="224">
        <f>CR362*(1-CR363)</f>
        <v>0</v>
      </c>
      <c r="CS361" s="224">
        <f>CS362*(1-CS363)</f>
        <v>0</v>
      </c>
      <c r="CT361" s="224">
        <f>CT362*(1-CT363)</f>
        <v>0</v>
      </c>
      <c r="CU361" s="223">
        <f>CU362*(1-CU363)</f>
        <v>0</v>
      </c>
      <c r="CV361" s="224">
        <f>CV362*(1-CV363)</f>
        <v>0</v>
      </c>
      <c r="CW361" s="224">
        <f>CW362*(1-CW363)</f>
        <v>0</v>
      </c>
      <c r="CX361" s="224">
        <f>CX362*(1-CX363)</f>
        <v>0</v>
      </c>
      <c r="CY361" s="224">
        <f>CY362*(1-CY363)</f>
        <v>0</v>
      </c>
    </row>
    <row r="362" customFormat="1" s="233">
      <c r="A362" s="224" t="n"/>
      <c r="B362" s="224" t="n"/>
      <c r="C362" s="233" t="inlineStr">
        <is>
          <t>EBIT</t>
        </is>
      </c>
      <c r="D362" s="239">
        <f>D87</f>
        <v>24.539</v>
      </c>
      <c r="E362" s="239">
        <f>E87</f>
        <v>48.581</v>
      </c>
      <c r="F362" s="239">
        <f>F87</f>
        <v>66.994</v>
      </c>
      <c r="G362" s="239">
        <f>G87</f>
        <v>82.548</v>
      </c>
      <c r="H362" s="239">
        <f>H87</f>
        <v>222.662</v>
      </c>
      <c r="I362" s="36">
        <f>I87</f>
        <v>62.843</v>
      </c>
      <c r="J362" s="36">
        <f>J87</f>
        <v>89.015</v>
      </c>
      <c r="K362" s="36">
        <f>K87</f>
        <v>86.9918406499999</v>
      </c>
      <c r="L362" s="36">
        <f>L87</f>
        <v>136.59</v>
      </c>
      <c r="M362" s="36">
        <f>M87</f>
        <v>375.43984065</v>
      </c>
      <c r="N362" s="36">
        <f>N87</f>
        <v>79.384</v>
      </c>
      <c r="O362" s="36">
        <f>O87</f>
        <v>112.137</v>
      </c>
      <c r="P362" s="36">
        <f>P87</f>
        <v>113.494</v>
      </c>
      <c r="Q362" s="36">
        <f>Q87</f>
        <v>124.047</v>
      </c>
      <c r="R362" s="36">
        <f>R87</f>
        <v>429.062</v>
      </c>
      <c r="S362" s="36">
        <f>S87</f>
        <v>114.946</v>
      </c>
      <c r="T362" s="36">
        <f>T87</f>
        <v>147.17</v>
      </c>
      <c r="U362" s="36">
        <f>U87</f>
        <v>135.86</v>
      </c>
      <c r="V362" s="36">
        <f>V87</f>
        <v>182.317</v>
      </c>
      <c r="W362" s="36">
        <f>W87</f>
        <v>580.293</v>
      </c>
      <c r="X362" s="36">
        <f>X87</f>
        <v>177.874</v>
      </c>
      <c r="Y362" s="36">
        <f>Y87</f>
        <v>199.13226339</v>
      </c>
      <c r="Z362" s="36">
        <f>Z87</f>
        <v>207.813</v>
      </c>
      <c r="AA362" s="36">
        <f>AA87</f>
        <v>226.321</v>
      </c>
      <c r="AB362" s="36">
        <f>AB87</f>
        <v>811.14026339</v>
      </c>
      <c r="AC362" s="36">
        <f>AC87</f>
        <v>278.559</v>
      </c>
      <c r="AD362" s="36">
        <f>AD87</f>
        <v>313.13349787</v>
      </c>
      <c r="AE362" s="36">
        <f>AE87</f>
        <v>326.193</v>
      </c>
      <c r="AF362" s="36">
        <f>AF87</f>
        <v>342.785</v>
      </c>
      <c r="AG362" s="36">
        <f>AG87</f>
        <v>1260.67049787</v>
      </c>
      <c r="AH362" s="36">
        <f>AH87</f>
        <v>400.863</v>
      </c>
      <c r="AI362" s="36">
        <f>AI87</f>
        <v>377.411</v>
      </c>
      <c r="AJ362" s="36">
        <f>AJ87</f>
        <v>0</v>
      </c>
      <c r="AK362" s="36">
        <f>AK87</f>
        <v>0</v>
      </c>
      <c r="AL362" s="36">
        <f>AL87</f>
        <v>778.274</v>
      </c>
      <c r="AM362" s="36">
        <f>AM87</f>
        <v>0</v>
      </c>
      <c r="AN362" s="36">
        <f>AN87</f>
        <v>0</v>
      </c>
      <c r="AO362" s="36">
        <f>AO87</f>
        <v>0</v>
      </c>
      <c r="AP362" s="36">
        <f>AP87</f>
        <v>0</v>
      </c>
      <c r="AQ362" s="36">
        <f>AQ87</f>
        <v>0</v>
      </c>
      <c r="AR362" s="36">
        <f>AR87</f>
        <v>0</v>
      </c>
      <c r="AS362" s="36">
        <f>AS87</f>
        <v>0</v>
      </c>
      <c r="AT362" s="36">
        <f>AT87</f>
        <v>0</v>
      </c>
      <c r="AU362" s="36">
        <f>AU87</f>
        <v>0</v>
      </c>
      <c r="AV362" s="36">
        <f>AV87</f>
        <v>0</v>
      </c>
      <c r="AW362" s="36">
        <f>AW87</f>
        <v>0</v>
      </c>
      <c r="AX362" s="36">
        <f>AX87</f>
        <v>0</v>
      </c>
      <c r="AY362" s="36">
        <f>AY87</f>
        <v>0</v>
      </c>
      <c r="AZ362" s="36">
        <f>AZ87</f>
        <v>0</v>
      </c>
      <c r="BA362" s="36">
        <f>BA87</f>
        <v>0</v>
      </c>
      <c r="BB362" s="36">
        <f>BB87</f>
        <v>0</v>
      </c>
      <c r="BC362" s="36">
        <f>BC87</f>
        <v>0</v>
      </c>
      <c r="BD362" s="36">
        <f>BD87</f>
        <v>0</v>
      </c>
      <c r="BE362" s="36">
        <f>BE87</f>
        <v>0</v>
      </c>
      <c r="BF362" s="36">
        <f>BF87</f>
        <v>0</v>
      </c>
      <c r="BG362" s="36">
        <f>BG87</f>
        <v>0</v>
      </c>
      <c r="BH362" s="36">
        <f>BH87</f>
        <v>0</v>
      </c>
      <c r="BI362" s="36">
        <f>BI87</f>
        <v>0</v>
      </c>
      <c r="BJ362" s="36">
        <f>BJ87</f>
        <v>0</v>
      </c>
      <c r="BK362" s="36">
        <f>BK87</f>
        <v>0</v>
      </c>
      <c r="BL362" s="36">
        <f>BL87</f>
        <v>0</v>
      </c>
      <c r="BM362" s="36">
        <f>BM87</f>
        <v>0</v>
      </c>
      <c r="BN362" s="36">
        <f>BN87</f>
        <v>0</v>
      </c>
      <c r="BO362" s="36">
        <f>BO87</f>
        <v>0</v>
      </c>
      <c r="BP362" s="36">
        <f>BP87</f>
        <v>0</v>
      </c>
      <c r="BQ362" s="36">
        <f>BQ87</f>
        <v>0</v>
      </c>
      <c r="BR362" s="36">
        <f>BR87</f>
        <v>0</v>
      </c>
      <c r="BS362" s="36">
        <f>BS87</f>
        <v>0</v>
      </c>
      <c r="BT362" s="36">
        <f>BT87</f>
        <v>0</v>
      </c>
      <c r="BU362" s="36">
        <f>BU87</f>
        <v>0</v>
      </c>
      <c r="BV362" s="36">
        <f>BV87</f>
        <v>0</v>
      </c>
      <c r="BW362" s="36">
        <f>BW87</f>
        <v>0</v>
      </c>
      <c r="BX362" s="36">
        <f>BX87</f>
        <v>0</v>
      </c>
      <c r="BY362" s="36">
        <f>BY87</f>
        <v>0</v>
      </c>
      <c r="BZ362" s="36">
        <f>BZ87</f>
        <v>0</v>
      </c>
      <c r="CA362" s="36">
        <f>CA87</f>
        <v>0</v>
      </c>
      <c r="CB362" s="36">
        <f>CB87</f>
        <v>0</v>
      </c>
      <c r="CC362" s="36">
        <f>CC87</f>
        <v>0</v>
      </c>
      <c r="CD362" s="36">
        <f>CD87</f>
        <v>0</v>
      </c>
      <c r="CE362" s="36">
        <f>CE87</f>
        <v>0</v>
      </c>
      <c r="CF362" s="36">
        <f>CF87</f>
        <v>0</v>
      </c>
      <c r="CG362" s="36">
        <f>CG87</f>
        <v>0</v>
      </c>
      <c r="CH362" s="36">
        <f>CH87</f>
        <v>0</v>
      </c>
      <c r="CI362" s="36">
        <f>CI87</f>
        <v>0</v>
      </c>
      <c r="CJ362" s="36">
        <f>CJ87</f>
        <v>0</v>
      </c>
      <c r="CK362" s="36">
        <f>CK87</f>
        <v>0</v>
      </c>
      <c r="CL362" s="36">
        <f>CL87</f>
        <v>0</v>
      </c>
      <c r="CM362" s="36">
        <f>CM87</f>
        <v>0</v>
      </c>
      <c r="CN362" s="36">
        <f>CN87</f>
        <v>0</v>
      </c>
      <c r="CO362" s="36">
        <f>CO87</f>
        <v>0</v>
      </c>
      <c r="CP362" s="36">
        <f>CP87</f>
        <v>0</v>
      </c>
      <c r="CQ362" s="36">
        <f>CQ87</f>
        <v>0</v>
      </c>
      <c r="CR362" s="36">
        <f>CR87</f>
        <v>0</v>
      </c>
      <c r="CS362" s="36">
        <f>CS87</f>
        <v>0</v>
      </c>
      <c r="CT362" s="36">
        <f>CT87</f>
        <v>0</v>
      </c>
      <c r="CU362" s="36">
        <f>CU87</f>
        <v>0</v>
      </c>
      <c r="CV362" s="36">
        <f>CV87</f>
        <v>0</v>
      </c>
      <c r="CW362" s="36">
        <f>CW87</f>
        <v>0</v>
      </c>
      <c r="CX362" s="36">
        <f>CX87</f>
        <v>0</v>
      </c>
      <c r="CY362" s="36">
        <f>CY87</f>
        <v>0</v>
      </c>
    </row>
    <row r="363" customFormat="1" s="233">
      <c r="A363" s="224" t="n"/>
      <c r="B363" s="224" t="n"/>
      <c r="C363" s="233" t="inlineStr">
        <is>
          <t>ETR</t>
        </is>
      </c>
      <c r="D363" s="240">
        <f>D146</f>
        <v>0.345957789304239</v>
      </c>
      <c r="E363" s="240">
        <f>E146</f>
        <v>0.10663398192125</v>
      </c>
      <c r="F363" s="240">
        <f>F146</f>
        <v>0.104935925695088</v>
      </c>
      <c r="G363" s="240">
        <f>G146</f>
        <v>0.0837582483503299</v>
      </c>
      <c r="H363" s="240">
        <f>H146</f>
        <v>0.122580102126704</v>
      </c>
      <c r="I363" s="225">
        <f>I146</f>
        <v>0.118995312148627</v>
      </c>
      <c r="J363" s="225">
        <f>J146</f>
        <v>0.100599002857519</v>
      </c>
      <c r="K363" s="225">
        <f>K146</f>
        <v>0.120248820577379</v>
      </c>
      <c r="L363" s="225">
        <f>L146</f>
        <v>0.0868303281878324</v>
      </c>
      <c r="M363" s="225">
        <f>M146</f>
        <v>0.103602982798335</v>
      </c>
      <c r="N363" s="225">
        <f>N146</f>
        <v>0.154543885044954</v>
      </c>
      <c r="O363" s="225">
        <f>O146</f>
        <v>0.134365002603973</v>
      </c>
      <c r="P363" s="225">
        <f>P146</f>
        <v>0.141955057617268</v>
      </c>
      <c r="Q363" s="225">
        <f>Q146</f>
        <v>0.132999314757629</v>
      </c>
      <c r="R363" s="225">
        <f>R146</f>
        <v>0.139793636082793</v>
      </c>
      <c r="S363" s="225">
        <f>S146</f>
        <v>0.140052236488831</v>
      </c>
      <c r="T363" s="225">
        <f>T146</f>
        <v>0.128523900006357</v>
      </c>
      <c r="U363" s="225">
        <f>U146</f>
        <v>0.14456520096135</v>
      </c>
      <c r="V363" s="225">
        <f>V146</f>
        <v>0.107974447668541</v>
      </c>
      <c r="W363" s="225">
        <f>W146</f>
        <v>0.127860701787839</v>
      </c>
      <c r="X363" s="225">
        <f>X146</f>
        <v>0.116711090039721</v>
      </c>
      <c r="Y363" s="225">
        <f>Y146</f>
        <v>0.108116905431647</v>
      </c>
      <c r="Z363" s="225">
        <f>Z146</f>
        <v>0.114895104895105</v>
      </c>
      <c r="AA363" s="225">
        <f>AA146</f>
        <v>0.120309485003466</v>
      </c>
      <c r="AB363" s="225">
        <f>AB146</f>
        <v>0.115099389895048</v>
      </c>
      <c r="AC363" s="225">
        <f>AC146</f>
        <v>0.117444948272401</v>
      </c>
      <c r="AD363" s="225">
        <f>AD146</f>
        <v>0.105675440536562</v>
      </c>
      <c r="AE363" s="225">
        <f>AE146</f>
        <v>0.115789341068791</v>
      </c>
      <c r="AF363" s="225">
        <f>AF146</f>
        <v>0.119269902028616</v>
      </c>
      <c r="AG363" s="225">
        <f>AG146</f>
        <v>0.11462693803689</v>
      </c>
      <c r="AH363" s="225">
        <f>AH146</f>
        <v>0.105727481968658</v>
      </c>
      <c r="AI363" s="225">
        <f>AI146</f>
        <v>0.12697760427368</v>
      </c>
      <c r="AJ363" s="225">
        <f>AJ146</f>
        <v>0</v>
      </c>
      <c r="AK363" s="225">
        <f>AK146</f>
        <v>0</v>
      </c>
      <c r="AL363" s="225">
        <f>AL146</f>
        <v>0.102484140376359</v>
      </c>
      <c r="AM363" s="225">
        <f>AM146</f>
        <v>0</v>
      </c>
      <c r="AN363" s="225">
        <f>AN146</f>
        <v>0</v>
      </c>
      <c r="AO363" s="225">
        <f>AO146</f>
        <v>0</v>
      </c>
      <c r="AP363" s="225">
        <f>AP146</f>
        <v>0</v>
      </c>
      <c r="AQ363" s="225">
        <f>AQ146</f>
        <v>0</v>
      </c>
      <c r="AR363" s="225">
        <f>AR146</f>
        <v>0</v>
      </c>
      <c r="AS363" s="225">
        <f>AS146</f>
        <v>0</v>
      </c>
      <c r="AT363" s="225">
        <f>AT146</f>
        <v>0</v>
      </c>
      <c r="AU363" s="225">
        <f>AU146</f>
        <v>0</v>
      </c>
      <c r="AV363" s="225">
        <f>AV146</f>
        <v>0</v>
      </c>
      <c r="AW363" s="225">
        <f>AW146</f>
        <v>0</v>
      </c>
      <c r="AX363" s="225">
        <f>AX146</f>
        <v>0</v>
      </c>
      <c r="AY363" s="225">
        <f>AY146</f>
        <v>0</v>
      </c>
      <c r="AZ363" s="225">
        <f>AZ146</f>
        <v>0</v>
      </c>
      <c r="BA363" s="225">
        <f>BA146</f>
        <v>0</v>
      </c>
      <c r="BB363" s="225">
        <f>BB146</f>
        <v>0</v>
      </c>
      <c r="BC363" s="225">
        <f>BC146</f>
        <v>0</v>
      </c>
      <c r="BD363" s="225">
        <f>BD146</f>
        <v>0</v>
      </c>
      <c r="BE363" s="225">
        <f>BE146</f>
        <v>0</v>
      </c>
      <c r="BF363" s="225">
        <f>BF146</f>
        <v>0</v>
      </c>
      <c r="BG363" s="225">
        <f>BG146</f>
        <v>0</v>
      </c>
      <c r="BH363" s="225">
        <f>BH146</f>
        <v>0</v>
      </c>
      <c r="BI363" s="225">
        <f>BI146</f>
        <v>0</v>
      </c>
      <c r="BJ363" s="225">
        <f>BJ146</f>
        <v>0</v>
      </c>
      <c r="BK363" s="225">
        <f>BK146</f>
        <v>0</v>
      </c>
      <c r="BL363" s="225">
        <f>BL146</f>
        <v>0</v>
      </c>
      <c r="BM363" s="225">
        <f>BM146</f>
        <v>0</v>
      </c>
      <c r="BN363" s="225">
        <f>BN146</f>
        <v>0</v>
      </c>
      <c r="BO363" s="225">
        <f>BO146</f>
        <v>0</v>
      </c>
      <c r="BP363" s="225">
        <f>BP146</f>
        <v>0</v>
      </c>
      <c r="BQ363" s="225">
        <f>BQ146</f>
        <v>0</v>
      </c>
      <c r="BR363" s="225">
        <f>BR146</f>
        <v>0</v>
      </c>
      <c r="BS363" s="225">
        <f>BS146</f>
        <v>0</v>
      </c>
      <c r="BT363" s="225">
        <f>BT146</f>
        <v>0</v>
      </c>
      <c r="BU363" s="225">
        <f>BU146</f>
        <v>0</v>
      </c>
      <c r="BV363" s="225">
        <f>BV146</f>
        <v>0</v>
      </c>
      <c r="BW363" s="225">
        <f>BW146</f>
        <v>0</v>
      </c>
      <c r="BX363" s="225">
        <f>BX146</f>
        <v>0</v>
      </c>
      <c r="BY363" s="225">
        <f>BY146</f>
        <v>0</v>
      </c>
      <c r="BZ363" s="225">
        <f>BZ146</f>
        <v>0</v>
      </c>
      <c r="CA363" s="225">
        <f>CA146</f>
        <v>0</v>
      </c>
      <c r="CB363" s="225">
        <f>CB146</f>
        <v>0</v>
      </c>
      <c r="CC363" s="225">
        <f>CC146</f>
        <v>0</v>
      </c>
      <c r="CD363" s="225">
        <f>CD146</f>
        <v>0</v>
      </c>
      <c r="CE363" s="225">
        <f>CE146</f>
        <v>0</v>
      </c>
      <c r="CF363" s="225">
        <f>CF146</f>
        <v>0</v>
      </c>
      <c r="CG363" s="225">
        <f>CG146</f>
        <v>0</v>
      </c>
      <c r="CH363" s="225">
        <f>CH146</f>
        <v>0</v>
      </c>
      <c r="CI363" s="225">
        <f>CI146</f>
        <v>0</v>
      </c>
      <c r="CJ363" s="225">
        <f>CJ146</f>
        <v>0</v>
      </c>
      <c r="CK363" s="225">
        <f>CK146</f>
        <v>0</v>
      </c>
      <c r="CL363" s="225">
        <f>CL146</f>
        <v>0</v>
      </c>
      <c r="CM363" s="225">
        <f>CM146</f>
        <v>0</v>
      </c>
      <c r="CN363" s="225">
        <f>CN146</f>
        <v>0</v>
      </c>
      <c r="CO363" s="225">
        <f>CO146</f>
        <v>0</v>
      </c>
      <c r="CP363" s="225">
        <f>CP146</f>
        <v>0</v>
      </c>
      <c r="CQ363" s="225">
        <f>CQ146</f>
        <v>0</v>
      </c>
      <c r="CR363" s="225">
        <f>CR146</f>
        <v>0</v>
      </c>
      <c r="CS363" s="225">
        <f>CS146</f>
        <v>0</v>
      </c>
      <c r="CT363" s="225">
        <f>CT146</f>
        <v>0</v>
      </c>
      <c r="CU363" s="225">
        <f>CU146</f>
        <v>0</v>
      </c>
      <c r="CV363" s="225">
        <f>CV146</f>
        <v>0</v>
      </c>
      <c r="CW363" s="225">
        <f>CW146</f>
        <v>0</v>
      </c>
      <c r="CX363" s="225">
        <f>CX146</f>
        <v>0</v>
      </c>
      <c r="CY363" s="225">
        <f>CY146</f>
        <v>0</v>
      </c>
    </row>
    <row r="364" customFormat="1" s="233">
      <c r="A364" s="224" t="n"/>
      <c r="B364" s="224" t="n"/>
      <c r="C364" s="233" t="inlineStr">
        <is>
          <t>INVESTED CAPITAL</t>
        </is>
      </c>
      <c r="D364" s="239">
        <f>D367-D368+D369</f>
        <v>349.456</v>
      </c>
      <c r="E364" s="239">
        <f>E367-E368+E369</f>
        <v>327.472</v>
      </c>
      <c r="F364" s="239">
        <f>F367-F368+F369</f>
        <v>325.898</v>
      </c>
      <c r="G364" s="239">
        <f>G367-G368+G369</f>
        <v>485.877</v>
      </c>
      <c r="H364" s="239">
        <f>H367-H368+H369</f>
        <v>485.877</v>
      </c>
      <c r="I364" s="36">
        <f>I367-I368+I369</f>
        <v>536.869</v>
      </c>
      <c r="J364" s="36">
        <f>J367-J368+J369</f>
        <v>469.796</v>
      </c>
      <c r="K364" s="36">
        <f>K367-K368+K369</f>
        <v>596.071</v>
      </c>
      <c r="L364" s="36">
        <f>L367-L368+L369</f>
        <v>537.989</v>
      </c>
      <c r="M364" s="36">
        <f>M367-M368+M369</f>
        <v>537.989</v>
      </c>
      <c r="N364" s="36">
        <f>N367-N368+N369</f>
        <v>587.782</v>
      </c>
      <c r="O364" s="36">
        <f>O367-O368+O369</f>
        <v>524.455</v>
      </c>
      <c r="P364" s="36">
        <f>P367-P368+P369</f>
        <v>703.299</v>
      </c>
      <c r="Q364" s="36">
        <f>Q367-Q368+Q369</f>
        <v>581.089</v>
      </c>
      <c r="R364" s="36">
        <f>R367-R368+R369</f>
        <v>581.089</v>
      </c>
      <c r="S364" s="36">
        <f>S367-S368+S369</f>
        <v>731.502</v>
      </c>
      <c r="T364" s="36">
        <f>T367-T368+T369</f>
        <v>787.381</v>
      </c>
      <c r="U364" s="36">
        <f>U367-U368+U369</f>
        <v>619.057</v>
      </c>
      <c r="V364" s="36">
        <f>V367-V368+V369</f>
        <v>632.861</v>
      </c>
      <c r="W364" s="36">
        <f>W367-W368+W369</f>
        <v>632.861</v>
      </c>
      <c r="X364" s="36">
        <f>X367-X368+X369</f>
        <v>769.612</v>
      </c>
      <c r="Y364" s="36">
        <f>Y367-Y368+Y369</f>
        <v>592.143</v>
      </c>
      <c r="Z364" s="36">
        <f>Z367-Z368+Z369</f>
        <v>930.46</v>
      </c>
      <c r="AA364" s="36">
        <f>AA367-AA368+AA369</f>
        <v>895.448</v>
      </c>
      <c r="AB364" s="36">
        <f>AB367-AB368+AB369</f>
        <v>895.448</v>
      </c>
      <c r="AC364" s="36">
        <f>AC367-AC368+AC369</f>
        <v>1136.234</v>
      </c>
      <c r="AD364" s="36">
        <f>AD367-AD368+AD369</f>
        <v>1391.951</v>
      </c>
      <c r="AE364" s="36">
        <f>AE367-AE368+AE369</f>
        <v>1232.313</v>
      </c>
      <c r="AF364" s="36">
        <f>AF367-AF368+AF369</f>
        <v>1386.004</v>
      </c>
      <c r="AG364" s="36">
        <f>AG367-AG368+AG369</f>
        <v>1386.004</v>
      </c>
      <c r="AH364" s="36">
        <f>AH367-AH368+AH369</f>
        <v>1536.868</v>
      </c>
      <c r="AI364" s="36">
        <f>AI367-AI368+AI369</f>
        <v>1823.641</v>
      </c>
      <c r="AJ364" s="36">
        <f>AJ367-AJ368+AJ369</f>
        <v>-1959.318</v>
      </c>
      <c r="AK364" s="36">
        <f>AK367-AK368+AK369</f>
        <v>-1959.318</v>
      </c>
      <c r="AL364" s="36">
        <f>AL367-AL368+AL369</f>
        <v>-1959.318</v>
      </c>
      <c r="AM364" s="36" t="e">
        <f>AM367-AM368+AM369</f>
        <v>#DIV/0!</v>
      </c>
      <c r="AN364" s="36">
        <f>AN367-AN368+AN369</f>
        <v>-1959.318</v>
      </c>
      <c r="AO364" s="36" t="e">
        <f>AO367-AO368+AO369</f>
        <v>#DIV/0!</v>
      </c>
      <c r="AP364" s="36" t="e">
        <f>AP367-AP368+AP369</f>
        <v>#DIV/0!</v>
      </c>
      <c r="AQ364" s="36" t="e">
        <f>AQ367-AQ368+AQ369</f>
        <v>#DIV/0!</v>
      </c>
      <c r="AR364" s="36" t="e">
        <f>AR367-AR368+AR369</f>
        <v>#DIV/0!</v>
      </c>
      <c r="AS364" s="36" t="e">
        <f>AS367-AS368+AS369</f>
        <v>#DIV/0!</v>
      </c>
      <c r="AT364" s="36" t="e">
        <f>AT367-AT368+AT369</f>
        <v>#DIV/0!</v>
      </c>
      <c r="AU364" s="36" t="e">
        <f>AU367-AU368+AU369</f>
        <v>#DIV/0!</v>
      </c>
      <c r="AV364" s="36" t="e">
        <f>AV367-AV368+AV369</f>
        <v>#DIV/0!</v>
      </c>
      <c r="AW364" s="36" t="e">
        <f>AW367-AW368+AW369</f>
        <v>#DIV/0!</v>
      </c>
      <c r="AX364" s="36" t="e">
        <f>AX367-AX368+AX369</f>
        <v>#DIV/0!</v>
      </c>
      <c r="AY364" s="36" t="e">
        <f>AY367-AY368+AY369</f>
        <v>#DIV/0!</v>
      </c>
      <c r="AZ364" s="36" t="e">
        <f>AZ367-AZ368+AZ369</f>
        <v>#DIV/0!</v>
      </c>
      <c r="BA364" s="36" t="e">
        <f>BA367-BA368+BA369</f>
        <v>#DIV/0!</v>
      </c>
      <c r="BB364" s="36" t="e">
        <f>BB367-BB368+BB369</f>
        <v>#DIV/0!</v>
      </c>
      <c r="BC364" s="36" t="e">
        <f>BC367-BC368+BC369</f>
        <v>#DIV/0!</v>
      </c>
      <c r="BD364" s="36" t="e">
        <f>BD367-BD368+BD369</f>
        <v>#DIV/0!</v>
      </c>
      <c r="BE364" s="36" t="e">
        <f>BE367-BE368+BE369</f>
        <v>#DIV/0!</v>
      </c>
      <c r="BF364" s="36" t="e">
        <f>BF367-BF368+BF369</f>
        <v>#DIV/0!</v>
      </c>
      <c r="BG364" s="36" t="e">
        <f>BG367-BG368+BG369</f>
        <v>#DIV/0!</v>
      </c>
      <c r="BH364" s="36" t="e">
        <f>BH367-BH368+BH369</f>
        <v>#DIV/0!</v>
      </c>
      <c r="BI364" s="36" t="e">
        <f>BI367-BI368+BI369</f>
        <v>#DIV/0!</v>
      </c>
      <c r="BJ364" s="36" t="e">
        <f>BJ367-BJ368+BJ369</f>
        <v>#DIV/0!</v>
      </c>
      <c r="BK364" s="36" t="e">
        <f>BK367-BK368+BK369</f>
        <v>#DIV/0!</v>
      </c>
      <c r="BL364" s="36" t="e">
        <f>BL367-BL368+BL369</f>
        <v>#DIV/0!</v>
      </c>
      <c r="BM364" s="36" t="e">
        <f>BM367-BM368+BM369</f>
        <v>#DIV/0!</v>
      </c>
      <c r="BN364" s="36" t="e">
        <f>BN367-BN368+BN369</f>
        <v>#DIV/0!</v>
      </c>
      <c r="BO364" s="36" t="e">
        <f>BO367-BO368+BO369</f>
        <v>#DIV/0!</v>
      </c>
      <c r="BP364" s="36" t="e">
        <f>BP367-BP368+BP369</f>
        <v>#DIV/0!</v>
      </c>
      <c r="BQ364" s="36" t="e">
        <f>BQ367-BQ368+BQ369</f>
        <v>#DIV/0!</v>
      </c>
      <c r="BR364" s="36" t="e">
        <f>BR367-BR368+BR369</f>
        <v>#DIV/0!</v>
      </c>
      <c r="BS364" s="36" t="e">
        <f>BS367-BS368+BS369</f>
        <v>#DIV/0!</v>
      </c>
      <c r="BT364" s="36" t="e">
        <f>BT367-BT368+BT369</f>
        <v>#DIV/0!</v>
      </c>
      <c r="BU364" s="36" t="e">
        <f>BU367-BU368+BU369</f>
        <v>#DIV/0!</v>
      </c>
      <c r="BV364" s="36" t="e">
        <f>BV367-BV368+BV369</f>
        <v>#DIV/0!</v>
      </c>
      <c r="BW364" s="36" t="e">
        <f>BW367-BW368+BW369</f>
        <v>#DIV/0!</v>
      </c>
      <c r="BX364" s="36" t="e">
        <f>BX367-BX368+BX369</f>
        <v>#DIV/0!</v>
      </c>
      <c r="BY364" s="36" t="e">
        <f>BY367-BY368+BY369</f>
        <v>#DIV/0!</v>
      </c>
      <c r="BZ364" s="36" t="e">
        <f>BZ367-BZ368+BZ369</f>
        <v>#DIV/0!</v>
      </c>
      <c r="CA364" s="36" t="e">
        <f>CA367-CA368+CA369</f>
        <v>#DIV/0!</v>
      </c>
      <c r="CB364" s="36" t="e">
        <f>CB367-CB368+CB369</f>
        <v>#DIV/0!</v>
      </c>
      <c r="CC364" s="36" t="e">
        <f>CC367-CC368+CC369</f>
        <v>#DIV/0!</v>
      </c>
      <c r="CD364" s="36" t="e">
        <f>CD367-CD368+CD369</f>
        <v>#DIV/0!</v>
      </c>
      <c r="CE364" s="36" t="e">
        <f>CE367-CE368+CE369</f>
        <v>#DIV/0!</v>
      </c>
      <c r="CF364" s="36" t="e">
        <f>CF367-CF368+CF369</f>
        <v>#DIV/0!</v>
      </c>
      <c r="CG364" s="36" t="e">
        <f>CG367-CG368+CG369</f>
        <v>#DIV/0!</v>
      </c>
      <c r="CH364" s="36" t="e">
        <f>CH367-CH368+CH369</f>
        <v>#DIV/0!</v>
      </c>
      <c r="CI364" s="36" t="e">
        <f>CI367-CI368+CI369</f>
        <v>#DIV/0!</v>
      </c>
      <c r="CJ364" s="36" t="e">
        <f>CJ367-CJ368+CJ369</f>
        <v>#DIV/0!</v>
      </c>
      <c r="CK364" s="36" t="e">
        <f>CK367-CK368+CK369</f>
        <v>#DIV/0!</v>
      </c>
      <c r="CL364" s="36" t="e">
        <f>CL367-CL368+CL369</f>
        <v>#DIV/0!</v>
      </c>
      <c r="CM364" s="36" t="e">
        <f>CM367-CM368+CM369</f>
        <v>#DIV/0!</v>
      </c>
      <c r="CN364" s="36" t="e">
        <f>CN367-CN368+CN369</f>
        <v>#DIV/0!</v>
      </c>
      <c r="CO364" s="36" t="e">
        <f>CO367-CO368+CO369</f>
        <v>#DIV/0!</v>
      </c>
      <c r="CP364" s="36" t="e">
        <f>CP367-CP368+CP369</f>
        <v>#DIV/0!</v>
      </c>
      <c r="CQ364" s="36" t="e">
        <f>CQ367-CQ368+CQ369</f>
        <v>#DIV/0!</v>
      </c>
      <c r="CR364" s="36" t="e">
        <f>CR367-CR368+CR369</f>
        <v>#DIV/0!</v>
      </c>
      <c r="CS364" s="36" t="e">
        <f>CS367-CS368+CS369</f>
        <v>#DIV/0!</v>
      </c>
      <c r="CT364" s="36" t="e">
        <f>CT367-CT368+CT369</f>
        <v>#DIV/0!</v>
      </c>
      <c r="CU364" s="36" t="e">
        <f>CU367-CU368+CU369</f>
        <v>#DIV/0!</v>
      </c>
      <c r="CV364" s="36" t="e">
        <f>CV367-CV368+CV369</f>
        <v>#DIV/0!</v>
      </c>
      <c r="CW364" s="36" t="e">
        <f>CW367-CW368+CW369</f>
        <v>#DIV/0!</v>
      </c>
      <c r="CX364" s="36" t="e">
        <f>CX367-CX368+CX369</f>
        <v>#DIV/0!</v>
      </c>
      <c r="CY364" s="36" t="e">
        <f>CY367-CY368+CY369</f>
        <v>#DIV/0!</v>
      </c>
    </row>
    <row r="365" customFormat="1" s="233">
      <c r="A365" s="224" t="n"/>
      <c r="B365" s="224" t="n"/>
      <c r="C365" s="233" t="inlineStr">
        <is>
          <t>INVESTED CAPITAL - EX GOODWILL</t>
        </is>
      </c>
      <c r="D365" s="241">
        <f>D364-D193</f>
        <v>349.456</v>
      </c>
      <c r="E365" s="241">
        <f>E364-E193</f>
        <v>327.472</v>
      </c>
      <c r="F365" s="241">
        <f>F364-F193</f>
        <v>325.898</v>
      </c>
      <c r="G365" s="241">
        <f>G364-G193</f>
        <v>485.877</v>
      </c>
      <c r="H365" s="241">
        <f>H364-H193</f>
        <v>485.877</v>
      </c>
      <c r="I365" s="226">
        <f>I364-I193</f>
        <v>536.869</v>
      </c>
      <c r="J365" s="226">
        <f>J364-J193</f>
        <v>469.796</v>
      </c>
      <c r="K365" s="226">
        <f>K364-K193</f>
        <v>596.071</v>
      </c>
      <c r="L365" s="226">
        <f>L364-L193</f>
        <v>537.989</v>
      </c>
      <c r="M365" s="226">
        <f>M364-M193</f>
        <v>537.989</v>
      </c>
      <c r="N365" s="226">
        <f>N364-N193</f>
        <v>587.782</v>
      </c>
      <c r="O365" s="226">
        <f>O364-O193</f>
        <v>524.455</v>
      </c>
      <c r="P365" s="226">
        <f>P364-P193</f>
        <v>703.299</v>
      </c>
      <c r="Q365" s="226">
        <f>Q364-Q193</f>
        <v>581.089</v>
      </c>
      <c r="R365" s="226">
        <f>R364-R193</f>
        <v>581.089</v>
      </c>
      <c r="S365" s="226">
        <f>S364-S193</f>
        <v>731.502</v>
      </c>
      <c r="T365" s="226">
        <f>T364-T193</f>
        <v>787.381</v>
      </c>
      <c r="U365" s="226">
        <f>U364-U193</f>
        <v>619.057</v>
      </c>
      <c r="V365" s="226">
        <f>V364-V193</f>
        <v>632.861</v>
      </c>
      <c r="W365" s="226">
        <f>W364-W193</f>
        <v>632.861</v>
      </c>
      <c r="X365" s="226">
        <f>X364-X193</f>
        <v>769.612</v>
      </c>
      <c r="Y365" s="226">
        <f>Y364-Y193</f>
        <v>592.143</v>
      </c>
      <c r="Z365" s="226">
        <f>Z364-Z193</f>
        <v>930.46</v>
      </c>
      <c r="AA365" s="226">
        <f>AA364-AA193</f>
        <v>895.448</v>
      </c>
      <c r="AB365" s="226">
        <f>AB364-AB193</f>
        <v>895.448</v>
      </c>
      <c r="AC365" s="226">
        <f>AC364-AC193</f>
        <v>1136.234</v>
      </c>
      <c r="AD365" s="226">
        <f>AD364-AD193</f>
        <v>1391.951</v>
      </c>
      <c r="AE365" s="226">
        <f>AE364-AE193</f>
        <v>1232.313</v>
      </c>
      <c r="AF365" s="226">
        <f>AF364-AF193</f>
        <v>1386.004</v>
      </c>
      <c r="AG365" s="226">
        <f>AG364-AG193</f>
        <v>1386.004</v>
      </c>
      <c r="AH365" s="226">
        <f>AH364-AH193</f>
        <v>1536.868</v>
      </c>
      <c r="AI365" s="226">
        <f>AI364-AI193</f>
        <v>1823.641</v>
      </c>
      <c r="AJ365" s="226">
        <f>AJ364-AJ193</f>
        <v>-1959.318</v>
      </c>
      <c r="AK365" s="226">
        <f>AK364-AK193</f>
        <v>-1959.318</v>
      </c>
      <c r="AL365" s="226">
        <f>AL364-AL193</f>
        <v>-1959.318</v>
      </c>
      <c r="AM365" s="226" t="e">
        <f>AM364-AM193</f>
        <v>#DIV/0!</v>
      </c>
      <c r="AN365" s="226">
        <f>AN364-AN193</f>
        <v>-1959.318</v>
      </c>
      <c r="AO365" s="226" t="e">
        <f>AO364-AO193</f>
        <v>#DIV/0!</v>
      </c>
      <c r="AP365" s="226" t="e">
        <f>AP364-AP193</f>
        <v>#DIV/0!</v>
      </c>
      <c r="AQ365" s="226" t="e">
        <f>AQ364-AQ193</f>
        <v>#DIV/0!</v>
      </c>
      <c r="AR365" s="226" t="e">
        <f>AR364-AR193</f>
        <v>#DIV/0!</v>
      </c>
      <c r="AS365" s="226" t="e">
        <f>AS364-AS193</f>
        <v>#DIV/0!</v>
      </c>
      <c r="AT365" s="226" t="e">
        <f>AT364-AT193</f>
        <v>#DIV/0!</v>
      </c>
      <c r="AU365" s="226" t="e">
        <f>AU364-AU193</f>
        <v>#DIV/0!</v>
      </c>
      <c r="AV365" s="226" t="e">
        <f>AV364-AV193</f>
        <v>#DIV/0!</v>
      </c>
      <c r="AW365" s="226" t="e">
        <f>AW364-AW193</f>
        <v>#DIV/0!</v>
      </c>
      <c r="AX365" s="226" t="e">
        <f>AX364-AX193</f>
        <v>#DIV/0!</v>
      </c>
      <c r="AY365" s="226" t="e">
        <f>AY364-AY193</f>
        <v>#DIV/0!</v>
      </c>
      <c r="AZ365" s="226" t="e">
        <f>AZ364-AZ193</f>
        <v>#DIV/0!</v>
      </c>
      <c r="BA365" s="226" t="e">
        <f>BA364-BA193</f>
        <v>#DIV/0!</v>
      </c>
      <c r="BB365" s="226" t="e">
        <f>BB364-BB193</f>
        <v>#DIV/0!</v>
      </c>
      <c r="BC365" s="226" t="e">
        <f>BC364-BC193</f>
        <v>#DIV/0!</v>
      </c>
      <c r="BD365" s="226" t="e">
        <f>BD364-BD193</f>
        <v>#DIV/0!</v>
      </c>
      <c r="BE365" s="226" t="e">
        <f>BE364-BE193</f>
        <v>#DIV/0!</v>
      </c>
      <c r="BF365" s="226" t="e">
        <f>BF364-BF193</f>
        <v>#DIV/0!</v>
      </c>
      <c r="BG365" s="226" t="e">
        <f>BG364-BG193</f>
        <v>#DIV/0!</v>
      </c>
      <c r="BH365" s="226" t="e">
        <f>BH364-BH193</f>
        <v>#DIV/0!</v>
      </c>
      <c r="BI365" s="226" t="e">
        <f>BI364-BI193</f>
        <v>#DIV/0!</v>
      </c>
      <c r="BJ365" s="226" t="e">
        <f>BJ364-BJ193</f>
        <v>#DIV/0!</v>
      </c>
      <c r="BK365" s="226" t="e">
        <f>BK364-BK193</f>
        <v>#DIV/0!</v>
      </c>
      <c r="BL365" s="226" t="e">
        <f>BL364-BL193</f>
        <v>#DIV/0!</v>
      </c>
      <c r="BM365" s="226" t="e">
        <f>BM364-BM193</f>
        <v>#DIV/0!</v>
      </c>
      <c r="BN365" s="226" t="e">
        <f>BN364-BN193</f>
        <v>#DIV/0!</v>
      </c>
      <c r="BO365" s="226" t="e">
        <f>BO364-BO193</f>
        <v>#DIV/0!</v>
      </c>
      <c r="BP365" s="226" t="e">
        <f>BP364-BP193</f>
        <v>#DIV/0!</v>
      </c>
      <c r="BQ365" s="226" t="e">
        <f>BQ364-BQ193</f>
        <v>#DIV/0!</v>
      </c>
      <c r="BR365" s="226" t="e">
        <f>BR364-BR193</f>
        <v>#DIV/0!</v>
      </c>
      <c r="BS365" s="226" t="e">
        <f>BS364-BS193</f>
        <v>#DIV/0!</v>
      </c>
      <c r="BT365" s="226" t="e">
        <f>BT364-BT193</f>
        <v>#DIV/0!</v>
      </c>
      <c r="BU365" s="226" t="e">
        <f>BU364-BU193</f>
        <v>#DIV/0!</v>
      </c>
      <c r="BV365" s="226" t="e">
        <f>BV364-BV193</f>
        <v>#DIV/0!</v>
      </c>
      <c r="BW365" s="226" t="e">
        <f>BW364-BW193</f>
        <v>#DIV/0!</v>
      </c>
      <c r="BX365" s="226" t="e">
        <f>BX364-BX193</f>
        <v>#DIV/0!</v>
      </c>
      <c r="BY365" s="226" t="e">
        <f>BY364-BY193</f>
        <v>#DIV/0!</v>
      </c>
      <c r="BZ365" s="226" t="e">
        <f>BZ364-BZ193</f>
        <v>#DIV/0!</v>
      </c>
      <c r="CA365" s="226" t="e">
        <f>CA364-CA193</f>
        <v>#DIV/0!</v>
      </c>
      <c r="CB365" s="226" t="e">
        <f>CB364-CB193</f>
        <v>#DIV/0!</v>
      </c>
      <c r="CC365" s="226" t="e">
        <f>CC364-CC193</f>
        <v>#DIV/0!</v>
      </c>
      <c r="CD365" s="226" t="e">
        <f>CD364-CD193</f>
        <v>#DIV/0!</v>
      </c>
      <c r="CE365" s="226" t="e">
        <f>CE364-CE193</f>
        <v>#DIV/0!</v>
      </c>
      <c r="CF365" s="226" t="e">
        <f>CF364-CF193</f>
        <v>#DIV/0!</v>
      </c>
      <c r="CG365" s="226" t="e">
        <f>CG364-CG193</f>
        <v>#DIV/0!</v>
      </c>
      <c r="CH365" s="226" t="e">
        <f>CH364-CH193</f>
        <v>#DIV/0!</v>
      </c>
      <c r="CI365" s="226" t="e">
        <f>CI364-CI193</f>
        <v>#DIV/0!</v>
      </c>
      <c r="CJ365" s="226" t="e">
        <f>CJ364-CJ193</f>
        <v>#DIV/0!</v>
      </c>
      <c r="CK365" s="226" t="e">
        <f>CK364-CK193</f>
        <v>#DIV/0!</v>
      </c>
      <c r="CL365" s="226" t="e">
        <f>CL364-CL193</f>
        <v>#DIV/0!</v>
      </c>
      <c r="CM365" s="226" t="e">
        <f>CM364-CM193</f>
        <v>#DIV/0!</v>
      </c>
      <c r="CN365" s="226" t="e">
        <f>CN364-CN193</f>
        <v>#DIV/0!</v>
      </c>
      <c r="CO365" s="226" t="e">
        <f>CO364-CO193</f>
        <v>#DIV/0!</v>
      </c>
      <c r="CP365" s="226" t="e">
        <f>CP364-CP193</f>
        <v>#DIV/0!</v>
      </c>
      <c r="CQ365" s="226" t="e">
        <f>CQ364-CQ193</f>
        <v>#DIV/0!</v>
      </c>
      <c r="CR365" s="226" t="e">
        <f>CR364-CR193</f>
        <v>#DIV/0!</v>
      </c>
      <c r="CS365" s="226" t="e">
        <f>CS364-CS193</f>
        <v>#DIV/0!</v>
      </c>
      <c r="CT365" s="226" t="e">
        <f>CT364-CT193</f>
        <v>#DIV/0!</v>
      </c>
      <c r="CU365" s="226" t="e">
        <f>CU364-CU193</f>
        <v>#DIV/0!</v>
      </c>
      <c r="CV365" s="226" t="e">
        <f>CV364-CV193</f>
        <v>#DIV/0!</v>
      </c>
      <c r="CW365" s="226" t="e">
        <f>CW364-CW193</f>
        <v>#DIV/0!</v>
      </c>
      <c r="CX365" s="226" t="e">
        <f>CX364-CX193</f>
        <v>#DIV/0!</v>
      </c>
      <c r="CY365" s="226" t="e">
        <f>CY364-CY193</f>
        <v>#DIV/0!</v>
      </c>
    </row>
    <row r="366" customFormat="1" s="233">
      <c r="A366" s="224" t="n"/>
      <c r="B366" s="224" t="n"/>
      <c r="C366" s="233" t="inlineStr">
        <is>
          <t>OPERATING WORKING CAPITAL</t>
        </is>
      </c>
      <c r="D366" s="242">
        <f>D367-D368</f>
        <v>414.499</v>
      </c>
      <c r="E366" s="242">
        <f>E367-E368</f>
        <v>406.301</v>
      </c>
      <c r="F366" s="242">
        <f>F367-F368</f>
        <v>400.687</v>
      </c>
      <c r="G366" s="242">
        <f>G367-G368</f>
        <v>619.431</v>
      </c>
      <c r="H366" s="242">
        <f>H367-H368</f>
        <v>619.431</v>
      </c>
      <c r="I366" s="36">
        <f>I367-I368</f>
        <v>754.264</v>
      </c>
      <c r="J366" s="36">
        <f>J367-J368</f>
        <v>641.226</v>
      </c>
      <c r="K366" s="36">
        <f>K367-K368</f>
        <v>842.826</v>
      </c>
      <c r="L366" s="36">
        <f>L367-L368</f>
        <v>806.988</v>
      </c>
      <c r="M366" s="36">
        <f>M367-M368</f>
        <v>806.988</v>
      </c>
      <c r="N366" s="36">
        <f>N367-N368</f>
        <v>847.866</v>
      </c>
      <c r="O366" s="36">
        <f>O367-O368</f>
        <v>772.401</v>
      </c>
      <c r="P366" s="36">
        <f>P367-P368</f>
        <v>1036.13071860892</v>
      </c>
      <c r="Q366" s="36">
        <f>Q367-Q368</f>
        <v>908.191</v>
      </c>
      <c r="R366" s="36">
        <f>R367-R368</f>
        <v>908.191</v>
      </c>
      <c r="S366" s="36">
        <f>S367-S368</f>
        <v>1189.087</v>
      </c>
      <c r="T366" s="36">
        <f>T367-T368</f>
        <v>1181.161</v>
      </c>
      <c r="U366" s="36">
        <f>U367-U368</f>
        <v>1018.024</v>
      </c>
      <c r="V366" s="36">
        <f>V367-V368</f>
        <v>955.031</v>
      </c>
      <c r="W366" s="36">
        <f>W367-W368</f>
        <v>955.031</v>
      </c>
      <c r="X366" s="36">
        <f>X367-X368</f>
        <v>1165.154</v>
      </c>
      <c r="Y366" s="36">
        <f>Y367-Y368</f>
        <v>1051.903</v>
      </c>
      <c r="Z366" s="36">
        <f>Z367-Z368</f>
        <v>1352.302</v>
      </c>
      <c r="AA366" s="36">
        <f>AA367-AA368</f>
        <v>1752.514</v>
      </c>
      <c r="AB366" s="36">
        <f>AB367-AB368</f>
        <v>1752.514</v>
      </c>
      <c r="AC366" s="36">
        <f>AC367-AC368</f>
        <v>1989.045</v>
      </c>
      <c r="AD366" s="36">
        <f>AD367-AD368</f>
        <v>2232.229</v>
      </c>
      <c r="AE366" s="36">
        <f>AE367-AE368</f>
        <v>2166.338</v>
      </c>
      <c r="AF366" s="36">
        <f>AF367-AF368</f>
        <v>2288.07</v>
      </c>
      <c r="AG366" s="36">
        <f>AG367-AG368</f>
        <v>2288.07</v>
      </c>
      <c r="AH366" s="36">
        <f>AH367-AH368</f>
        <v>2575.954</v>
      </c>
      <c r="AI366" s="36">
        <f>AI367-AI368</f>
        <v>2788.1</v>
      </c>
      <c r="AJ366" s="36">
        <f>AJ367-AJ368</f>
        <v>-994.859</v>
      </c>
      <c r="AK366" s="36">
        <f>AK367-AK368</f>
        <v>-994.859</v>
      </c>
      <c r="AL366" s="36">
        <f>AL367-AL368</f>
        <v>-994.859</v>
      </c>
      <c r="AM366" s="36" t="e">
        <f>AM367-AM368</f>
        <v>#DIV/0!</v>
      </c>
      <c r="AN366" s="36">
        <f>AN367-AN368</f>
        <v>-994.859</v>
      </c>
      <c r="AO366" s="36" t="e">
        <f>AO367-AO368</f>
        <v>#DIV/0!</v>
      </c>
      <c r="AP366" s="36" t="e">
        <f>AP367-AP368</f>
        <v>#DIV/0!</v>
      </c>
      <c r="AQ366" s="36" t="e">
        <f>AQ367-AQ368</f>
        <v>#DIV/0!</v>
      </c>
      <c r="AR366" s="36" t="e">
        <f>AR367-AR368</f>
        <v>#DIV/0!</v>
      </c>
      <c r="AS366" s="36" t="e">
        <f>AS367-AS368</f>
        <v>#DIV/0!</v>
      </c>
      <c r="AT366" s="36" t="e">
        <f>AT367-AT368</f>
        <v>#DIV/0!</v>
      </c>
      <c r="AU366" s="36" t="e">
        <f>AU367-AU368</f>
        <v>#DIV/0!</v>
      </c>
      <c r="AV366" s="36" t="e">
        <f>AV367-AV368</f>
        <v>#DIV/0!</v>
      </c>
      <c r="AW366" s="36" t="e">
        <f>AW367-AW368</f>
        <v>#DIV/0!</v>
      </c>
      <c r="AX366" s="36" t="e">
        <f>AX367-AX368</f>
        <v>#DIV/0!</v>
      </c>
      <c r="AY366" s="36" t="e">
        <f>AY367-AY368</f>
        <v>#DIV/0!</v>
      </c>
      <c r="AZ366" s="36" t="e">
        <f>AZ367-AZ368</f>
        <v>#DIV/0!</v>
      </c>
      <c r="BA366" s="36" t="e">
        <f>BA367-BA368</f>
        <v>#DIV/0!</v>
      </c>
      <c r="BB366" s="36" t="e">
        <f>BB367-BB368</f>
        <v>#DIV/0!</v>
      </c>
      <c r="BC366" s="36" t="e">
        <f>BC367-BC368</f>
        <v>#DIV/0!</v>
      </c>
      <c r="BD366" s="36" t="e">
        <f>BD367-BD368</f>
        <v>#DIV/0!</v>
      </c>
      <c r="BE366" s="36" t="e">
        <f>BE367-BE368</f>
        <v>#DIV/0!</v>
      </c>
      <c r="BF366" s="36" t="e">
        <f>BF367-BF368</f>
        <v>#DIV/0!</v>
      </c>
      <c r="BG366" s="36" t="e">
        <f>BG367-BG368</f>
        <v>#DIV/0!</v>
      </c>
      <c r="BH366" s="36" t="e">
        <f>BH367-BH368</f>
        <v>#DIV/0!</v>
      </c>
      <c r="BI366" s="36" t="e">
        <f>BI367-BI368</f>
        <v>#DIV/0!</v>
      </c>
      <c r="BJ366" s="36" t="e">
        <f>BJ367-BJ368</f>
        <v>#DIV/0!</v>
      </c>
      <c r="BK366" s="36" t="e">
        <f>BK367-BK368</f>
        <v>#DIV/0!</v>
      </c>
      <c r="BL366" s="36" t="e">
        <f>BL367-BL368</f>
        <v>#DIV/0!</v>
      </c>
      <c r="BM366" s="36" t="e">
        <f>BM367-BM368</f>
        <v>#DIV/0!</v>
      </c>
      <c r="BN366" s="36" t="e">
        <f>BN367-BN368</f>
        <v>#DIV/0!</v>
      </c>
      <c r="BO366" s="36" t="e">
        <f>BO367-BO368</f>
        <v>#DIV/0!</v>
      </c>
      <c r="BP366" s="36" t="e">
        <f>BP367-BP368</f>
        <v>#DIV/0!</v>
      </c>
      <c r="BQ366" s="36" t="e">
        <f>BQ367-BQ368</f>
        <v>#DIV/0!</v>
      </c>
      <c r="BR366" s="36" t="e">
        <f>BR367-BR368</f>
        <v>#DIV/0!</v>
      </c>
      <c r="BS366" s="36" t="e">
        <f>BS367-BS368</f>
        <v>#DIV/0!</v>
      </c>
      <c r="BT366" s="36" t="e">
        <f>BT367-BT368</f>
        <v>#DIV/0!</v>
      </c>
      <c r="BU366" s="36" t="e">
        <f>BU367-BU368</f>
        <v>#DIV/0!</v>
      </c>
      <c r="BV366" s="36" t="e">
        <f>BV367-BV368</f>
        <v>#DIV/0!</v>
      </c>
      <c r="BW366" s="36" t="e">
        <f>BW367-BW368</f>
        <v>#DIV/0!</v>
      </c>
      <c r="BX366" s="36" t="e">
        <f>BX367-BX368</f>
        <v>#DIV/0!</v>
      </c>
      <c r="BY366" s="36" t="e">
        <f>BY367-BY368</f>
        <v>#DIV/0!</v>
      </c>
      <c r="BZ366" s="36" t="e">
        <f>BZ367-BZ368</f>
        <v>#DIV/0!</v>
      </c>
      <c r="CA366" s="36" t="e">
        <f>CA367-CA368</f>
        <v>#DIV/0!</v>
      </c>
      <c r="CB366" s="36" t="e">
        <f>CB367-CB368</f>
        <v>#DIV/0!</v>
      </c>
      <c r="CC366" s="36" t="e">
        <f>CC367-CC368</f>
        <v>#DIV/0!</v>
      </c>
      <c r="CD366" s="36" t="e">
        <f>CD367-CD368</f>
        <v>#DIV/0!</v>
      </c>
      <c r="CE366" s="36" t="e">
        <f>CE367-CE368</f>
        <v>#DIV/0!</v>
      </c>
      <c r="CF366" s="36" t="e">
        <f>CF367-CF368</f>
        <v>#DIV/0!</v>
      </c>
      <c r="CG366" s="36" t="e">
        <f>CG367-CG368</f>
        <v>#DIV/0!</v>
      </c>
      <c r="CH366" s="36" t="e">
        <f>CH367-CH368</f>
        <v>#DIV/0!</v>
      </c>
      <c r="CI366" s="36" t="e">
        <f>CI367-CI368</f>
        <v>#DIV/0!</v>
      </c>
      <c r="CJ366" s="36" t="e">
        <f>CJ367-CJ368</f>
        <v>#DIV/0!</v>
      </c>
      <c r="CK366" s="36" t="e">
        <f>CK367-CK368</f>
        <v>#DIV/0!</v>
      </c>
      <c r="CL366" s="36" t="e">
        <f>CL367-CL368</f>
        <v>#DIV/0!</v>
      </c>
      <c r="CM366" s="36" t="e">
        <f>CM367-CM368</f>
        <v>#DIV/0!</v>
      </c>
      <c r="CN366" s="36" t="e">
        <f>CN367-CN368</f>
        <v>#DIV/0!</v>
      </c>
      <c r="CO366" s="36" t="e">
        <f>CO367-CO368</f>
        <v>#DIV/0!</v>
      </c>
      <c r="CP366" s="36" t="e">
        <f>CP367-CP368</f>
        <v>#DIV/0!</v>
      </c>
      <c r="CQ366" s="36" t="e">
        <f>CQ367-CQ368</f>
        <v>#DIV/0!</v>
      </c>
      <c r="CR366" s="36" t="e">
        <f>CR367-CR368</f>
        <v>#DIV/0!</v>
      </c>
      <c r="CS366" s="36" t="e">
        <f>CS367-CS368</f>
        <v>#DIV/0!</v>
      </c>
      <c r="CT366" s="36" t="e">
        <f>CT367-CT368</f>
        <v>#DIV/0!</v>
      </c>
      <c r="CU366" s="36" t="e">
        <f>CU367-CU368</f>
        <v>#DIV/0!</v>
      </c>
      <c r="CV366" s="36" t="e">
        <f>CV367-CV368</f>
        <v>#DIV/0!</v>
      </c>
      <c r="CW366" s="36" t="e">
        <f>CW367-CW368</f>
        <v>#DIV/0!</v>
      </c>
      <c r="CX366" s="36" t="e">
        <f>CX367-CX368</f>
        <v>#DIV/0!</v>
      </c>
      <c r="CY366" s="36" t="e">
        <f>CY367-CY368</f>
        <v>#DIV/0!</v>
      </c>
    </row>
    <row r="367" customFormat="1" s="233">
      <c r="A367" s="224" t="n"/>
      <c r="B367" s="224" t="n"/>
      <c r="C367" s="233" t="inlineStr">
        <is>
          <t>CURRENT ASSETS</t>
        </is>
      </c>
      <c r="D367" s="241">
        <f>D159+D163+D167+D168+D169</f>
        <v>862.193</v>
      </c>
      <c r="E367" s="241">
        <f>E159+E163+E167+E168+E169</f>
        <v>921.713</v>
      </c>
      <c r="F367" s="241">
        <f>F159+F163+F167+F168+F169</f>
        <v>1108.97</v>
      </c>
      <c r="G367" s="241">
        <f>G159+G163+G167+G168+G169</f>
        <v>1119.673</v>
      </c>
      <c r="H367" s="241">
        <f>H159+H163+H167+H168+H169</f>
        <v>1119.673</v>
      </c>
      <c r="I367" s="226">
        <f>I159+I163+I167+I168+I169</f>
        <v>1380.731</v>
      </c>
      <c r="J367" s="226">
        <f>J159+J163+J167+J168+J169</f>
        <v>1439.616</v>
      </c>
      <c r="K367" s="226">
        <f>K159+K163+K167+K168+K169</f>
        <v>1521.323</v>
      </c>
      <c r="L367" s="226">
        <f>L159+L163+L167+L168+L169</f>
        <v>1844.82</v>
      </c>
      <c r="M367" s="226">
        <f>M159+M163+M167+M168+M169</f>
        <v>1844.82</v>
      </c>
      <c r="N367" s="226">
        <f>N159+N163+N167+N168+N169</f>
        <v>2168.351</v>
      </c>
      <c r="O367" s="226">
        <f>O159+O163+O167+O168+O169</f>
        <v>2070.209</v>
      </c>
      <c r="P367" s="226">
        <f>P159+P163+P167+P168+P169</f>
        <v>1979.513</v>
      </c>
      <c r="Q367" s="226">
        <f>Q159+Q163+Q167+Q168+Q169</f>
        <v>1840.918</v>
      </c>
      <c r="R367" s="226">
        <f>R159+R163+R167+R168+R169</f>
        <v>1840.918</v>
      </c>
      <c r="S367" s="226">
        <f>S159+S163+S167+S168+S169</f>
        <v>1828.456</v>
      </c>
      <c r="T367" s="226">
        <f>T159+T163+T167+T168+T169</f>
        <v>1816.023</v>
      </c>
      <c r="U367" s="226">
        <f>U159+U163+U167+U168+U169</f>
        <v>1860.649</v>
      </c>
      <c r="V367" s="226">
        <f>V159+V163+V167+V168+V169</f>
        <v>1906.124</v>
      </c>
      <c r="W367" s="226">
        <f>W159+W163+W167+W168+W169</f>
        <v>1906.124</v>
      </c>
      <c r="X367" s="226">
        <f>X159+X163+X167+X168+X169</f>
        <v>2198.482</v>
      </c>
      <c r="Y367" s="226">
        <f>Y159+Y163+Y167+Y168+Y169</f>
        <v>2286.384</v>
      </c>
      <c r="Z367" s="226">
        <f>Z159+Z163+Z167+Z168+Z169</f>
        <v>2393.207</v>
      </c>
      <c r="AA367" s="226">
        <f>AA159+AA163+AA167+AA168+AA169</f>
        <v>2786.28</v>
      </c>
      <c r="AB367" s="226">
        <f>AB159+AB163+AB167+AB168+AB169</f>
        <v>2786.28</v>
      </c>
      <c r="AC367" s="226">
        <f>AC159+AC163+AC167+AC168+AC169</f>
        <v>3191.393</v>
      </c>
      <c r="AD367" s="226">
        <f>AD159+AD163+AD167+AD168+AD169</f>
        <v>3495.893</v>
      </c>
      <c r="AE367" s="226">
        <f>AE159+AE163+AE167+AE168+AE169</f>
        <v>3712.491</v>
      </c>
      <c r="AF367" s="226">
        <f>AF159+AF163+AF167+AF168+AF169</f>
        <v>3721.765</v>
      </c>
      <c r="AG367" s="226">
        <f>AG159+AG163+AG167+AG168+AG169</f>
        <v>3721.765</v>
      </c>
      <c r="AH367" s="226">
        <f>AH159+AH163+AH167+AH168+AH169</f>
        <v>4287.934</v>
      </c>
      <c r="AI367" s="226">
        <f>AI159+AI163+AI167+AI168+AI169</f>
        <v>4492.19</v>
      </c>
      <c r="AJ367" s="226">
        <f>AJ159+AJ163+AJ167+AJ168+AJ169</f>
        <v>239.731</v>
      </c>
      <c r="AK367" s="226">
        <f>AK159+AK163+AK167+AK168+AK169</f>
        <v>239.731</v>
      </c>
      <c r="AL367" s="226">
        <f>AL159+AL163+AL167+AL168+AL169</f>
        <v>239.731</v>
      </c>
      <c r="AM367" s="226">
        <f>AM159+AM163+AM167+AM168+AM169</f>
        <v>239.731</v>
      </c>
      <c r="AN367" s="226">
        <f>AN159+AN163+AN167+AN168+AN169</f>
        <v>239.731</v>
      </c>
      <c r="AO367" s="226">
        <f>AO159+AO163+AO167+AO168+AO169</f>
        <v>239.731</v>
      </c>
      <c r="AP367" s="226">
        <f>AP159+AP163+AP167+AP168+AP169</f>
        <v>239.731</v>
      </c>
      <c r="AQ367" s="226">
        <f>AQ159+AQ163+AQ167+AQ168+AQ169</f>
        <v>239.731</v>
      </c>
      <c r="AR367" s="226">
        <f>AR159+AR163+AR167+AR168+AR169</f>
        <v>239.731</v>
      </c>
      <c r="AS367" s="226">
        <f>AS159+AS163+AS167+AS168+AS169</f>
        <v>239.731</v>
      </c>
      <c r="AT367" s="226">
        <f>AT159+AT163+AT167+AT168+AT169</f>
        <v>239.731</v>
      </c>
      <c r="AU367" s="226">
        <f>AU159+AU163+AU167+AU168+AU169</f>
        <v>239.731</v>
      </c>
      <c r="AV367" s="226">
        <f>AV159+AV163+AV167+AV168+AV169</f>
        <v>239.731</v>
      </c>
      <c r="AW367" s="226">
        <f>AW159+AW163+AW167+AW168+AW169</f>
        <v>239.731</v>
      </c>
      <c r="AX367" s="226">
        <f>AX159+AX163+AX167+AX168+AX169</f>
        <v>239.731</v>
      </c>
      <c r="AY367" s="226">
        <f>AY159+AY163+AY167+AY168+AY169</f>
        <v>239.731</v>
      </c>
      <c r="AZ367" s="226">
        <f>AZ159+AZ163+AZ167+AZ168+AZ169</f>
        <v>239.731</v>
      </c>
      <c r="BA367" s="226">
        <f>BA159+BA163+BA167+BA168+BA169</f>
        <v>239.731</v>
      </c>
      <c r="BB367" s="226">
        <f>BB159+BB163+BB167+BB168+BB169</f>
        <v>239.731</v>
      </c>
      <c r="BC367" s="226">
        <f>BC159+BC163+BC167+BC168+BC169</f>
        <v>239.731</v>
      </c>
      <c r="BD367" s="226">
        <f>BD159+BD163+BD167+BD168+BD169</f>
        <v>239.731</v>
      </c>
      <c r="BE367" s="226">
        <f>BE159+BE163+BE167+BE168+BE169</f>
        <v>239.731</v>
      </c>
      <c r="BF367" s="226">
        <f>BF159+BF163+BF167+BF168+BF169</f>
        <v>239.731</v>
      </c>
      <c r="BG367" s="226">
        <f>BG159+BG163+BG167+BG168+BG169</f>
        <v>239.731</v>
      </c>
      <c r="BH367" s="226">
        <f>BH159+BH163+BH167+BH168+BH169</f>
        <v>239.731</v>
      </c>
      <c r="BI367" s="226">
        <f>BI159+BI163+BI167+BI168+BI169</f>
        <v>239.731</v>
      </c>
      <c r="BJ367" s="226">
        <f>BJ159+BJ163+BJ167+BJ168+BJ169</f>
        <v>239.731</v>
      </c>
      <c r="BK367" s="226">
        <f>BK159+BK163+BK167+BK168+BK169</f>
        <v>239.731</v>
      </c>
      <c r="BL367" s="226">
        <f>BL159+BL163+BL167+BL168+BL169</f>
        <v>239.731</v>
      </c>
      <c r="BM367" s="226">
        <f>BM159+BM163+BM167+BM168+BM169</f>
        <v>239.731</v>
      </c>
      <c r="BN367" s="226">
        <f>BN159+BN163+BN167+BN168+BN169</f>
        <v>239.731</v>
      </c>
      <c r="BO367" s="226">
        <f>BO159+BO163+BO167+BO168+BO169</f>
        <v>239.731</v>
      </c>
      <c r="BP367" s="226">
        <f>BP159+BP163+BP167+BP168+BP169</f>
        <v>239.731</v>
      </c>
      <c r="BQ367" s="226">
        <f>BQ159+BQ163+BQ167+BQ168+BQ169</f>
        <v>239.731</v>
      </c>
      <c r="BR367" s="226">
        <f>BR159+BR163+BR167+BR168+BR169</f>
        <v>239.731</v>
      </c>
      <c r="BS367" s="226">
        <f>BS159+BS163+BS167+BS168+BS169</f>
        <v>239.731</v>
      </c>
      <c r="BT367" s="226">
        <f>BT159+BT163+BT167+BT168+BT169</f>
        <v>239.731</v>
      </c>
      <c r="BU367" s="226">
        <f>BU159+BU163+BU167+BU168+BU169</f>
        <v>239.731</v>
      </c>
      <c r="BV367" s="226">
        <f>BV159+BV163+BV167+BV168+BV169</f>
        <v>239.731</v>
      </c>
      <c r="BW367" s="226">
        <f>BW159+BW163+BW167+BW168+BW169</f>
        <v>239.731</v>
      </c>
      <c r="BX367" s="226">
        <f>BX159+BX163+BX167+BX168+BX169</f>
        <v>239.731</v>
      </c>
      <c r="BY367" s="226">
        <f>BY159+BY163+BY167+BY168+BY169</f>
        <v>239.731</v>
      </c>
      <c r="BZ367" s="226">
        <f>BZ159+BZ163+BZ167+BZ168+BZ169</f>
        <v>239.731</v>
      </c>
      <c r="CA367" s="226">
        <f>CA159+CA163+CA167+CA168+CA169</f>
        <v>239.731</v>
      </c>
      <c r="CB367" s="226">
        <f>CB159+CB163+CB167+CB168+CB169</f>
        <v>239.731</v>
      </c>
      <c r="CC367" s="226">
        <f>CC159+CC163+CC167+CC168+CC169</f>
        <v>239.731</v>
      </c>
      <c r="CD367" s="226">
        <f>CD159+CD163+CD167+CD168+CD169</f>
        <v>239.731</v>
      </c>
      <c r="CE367" s="226">
        <f>CE159+CE163+CE167+CE168+CE169</f>
        <v>239.731</v>
      </c>
      <c r="CF367" s="226">
        <f>CF159+CF163+CF167+CF168+CF169</f>
        <v>239.731</v>
      </c>
      <c r="CG367" s="226">
        <f>CG159+CG163+CG167+CG168+CG169</f>
        <v>239.731</v>
      </c>
      <c r="CH367" s="226">
        <f>CH159+CH163+CH167+CH168+CH169</f>
        <v>239.731</v>
      </c>
      <c r="CI367" s="226">
        <f>CI159+CI163+CI167+CI168+CI169</f>
        <v>239.731</v>
      </c>
      <c r="CJ367" s="226">
        <f>CJ159+CJ163+CJ167+CJ168+CJ169</f>
        <v>239.731</v>
      </c>
      <c r="CK367" s="226">
        <f>CK159+CK163+CK167+CK168+CK169</f>
        <v>239.731</v>
      </c>
      <c r="CL367" s="226">
        <f>CL159+CL163+CL167+CL168+CL169</f>
        <v>239.731</v>
      </c>
      <c r="CM367" s="226">
        <f>CM159+CM163+CM167+CM168+CM169</f>
        <v>239.731</v>
      </c>
      <c r="CN367" s="226">
        <f>CN159+CN163+CN167+CN168+CN169</f>
        <v>239.731</v>
      </c>
      <c r="CO367" s="226">
        <f>CO159+CO163+CO167+CO168+CO169</f>
        <v>239.731</v>
      </c>
      <c r="CP367" s="226">
        <f>CP159+CP163+CP167+CP168+CP169</f>
        <v>239.731</v>
      </c>
      <c r="CQ367" s="226">
        <f>CQ159+CQ163+CQ167+CQ168+CQ169</f>
        <v>239.731</v>
      </c>
      <c r="CR367" s="226">
        <f>CR159+CR163+CR167+CR168+CR169</f>
        <v>239.731</v>
      </c>
      <c r="CS367" s="226">
        <f>CS159+CS163+CS167+CS168+CS169</f>
        <v>239.731</v>
      </c>
      <c r="CT367" s="226">
        <f>CT159+CT163+CT167+CT168+CT169</f>
        <v>239.731</v>
      </c>
      <c r="CU367" s="226">
        <f>CU159+CU163+CU167+CU168+CU169</f>
        <v>239.731</v>
      </c>
      <c r="CV367" s="226">
        <f>CV159+CV163+CV167+CV168+CV169</f>
        <v>239.731</v>
      </c>
      <c r="CW367" s="226">
        <f>CW159+CW163+CW167+CW168+CW169</f>
        <v>239.731</v>
      </c>
      <c r="CX367" s="226">
        <f>CX159+CX163+CX167+CX168+CX169</f>
        <v>239.731</v>
      </c>
      <c r="CY367" s="226">
        <f>CY159+CY163+CY167+CY168+CY169</f>
        <v>239.731</v>
      </c>
    </row>
    <row r="368" customFormat="1" s="233">
      <c r="A368" s="224" t="n"/>
      <c r="B368" s="224" t="n"/>
      <c r="C368" s="233" t="inlineStr">
        <is>
          <t>CURRENT LIABILITIES</t>
        </is>
      </c>
      <c r="D368" s="241">
        <f>D212+D216+D218+D219</f>
        <v>447.694</v>
      </c>
      <c r="E368" s="241">
        <f>E212+E216+E218+E219</f>
        <v>515.412</v>
      </c>
      <c r="F368" s="241">
        <f>F212+F216+F218+F219</f>
        <v>708.283</v>
      </c>
      <c r="G368" s="241">
        <f>G212+G216+G218+G219</f>
        <v>500.242</v>
      </c>
      <c r="H368" s="241">
        <f>H212+H216+H218+H219</f>
        <v>500.242</v>
      </c>
      <c r="I368" s="226">
        <f>I212+I216+I218+I219</f>
        <v>626.467</v>
      </c>
      <c r="J368" s="226">
        <f>J212+J216+J218+J219</f>
        <v>798.39</v>
      </c>
      <c r="K368" s="226">
        <f>K212+K216+K218+K219</f>
        <v>678.497</v>
      </c>
      <c r="L368" s="226">
        <f>L212+L216+L218+L219</f>
        <v>1037.832</v>
      </c>
      <c r="M368" s="226">
        <f>M212+M216+M218+M219</f>
        <v>1037.832</v>
      </c>
      <c r="N368" s="226">
        <f>N212+N216+N218+N219</f>
        <v>1320.485</v>
      </c>
      <c r="O368" s="226">
        <f>O212+O216+O218+O219</f>
        <v>1297.808</v>
      </c>
      <c r="P368" s="226">
        <f>P212+P216+P218+P219</f>
        <v>943.382281391081</v>
      </c>
      <c r="Q368" s="226">
        <f>Q212+Q216+Q218+Q219</f>
        <v>932.727</v>
      </c>
      <c r="R368" s="226">
        <f>R212+R216+R218+R219</f>
        <v>932.727</v>
      </c>
      <c r="S368" s="226">
        <f>S212+S216+S218+S219</f>
        <v>639.369</v>
      </c>
      <c r="T368" s="226">
        <f>T212+T216+T218+T219</f>
        <v>634.862</v>
      </c>
      <c r="U368" s="226">
        <f>U212+U216+U218+U219</f>
        <v>842.625</v>
      </c>
      <c r="V368" s="226">
        <f>V212+V216+V218+V219</f>
        <v>951.093</v>
      </c>
      <c r="W368" s="226">
        <f>W212+W216+W218+W219</f>
        <v>951.093</v>
      </c>
      <c r="X368" s="226">
        <f>X212+X216+X218+X219</f>
        <v>1033.328</v>
      </c>
      <c r="Y368" s="226">
        <f>Y212+Y216+Y218+Y219</f>
        <v>1234.481</v>
      </c>
      <c r="Z368" s="226">
        <f>Z212+Z216+Z218+Z219</f>
        <v>1040.905</v>
      </c>
      <c r="AA368" s="226">
        <f>AA212+AA216+AA218+AA219</f>
        <v>1033.766</v>
      </c>
      <c r="AB368" s="226">
        <f>AB212+AB216+AB218+AB219</f>
        <v>1033.766</v>
      </c>
      <c r="AC368" s="226">
        <f>AC212+AC216+AC218+AC219</f>
        <v>1202.348</v>
      </c>
      <c r="AD368" s="226">
        <f>AD212+AD216+AD218+AD219</f>
        <v>1263.664</v>
      </c>
      <c r="AE368" s="226">
        <f>AE212+AE216+AE218+AE219</f>
        <v>1546.153</v>
      </c>
      <c r="AF368" s="226">
        <f>AF212+AF216+AF218+AF219</f>
        <v>1433.695</v>
      </c>
      <c r="AG368" s="226">
        <f>AG212+AG216+AG218+AG219</f>
        <v>1433.695</v>
      </c>
      <c r="AH368" s="226">
        <f>AH212+AH216+AH218+AH219</f>
        <v>1711.98</v>
      </c>
      <c r="AI368" s="226">
        <f>AI212+AI216+AI218+AI219</f>
        <v>1704.09</v>
      </c>
      <c r="AJ368" s="226">
        <f>AJ212+AJ216+AJ218+AJ219</f>
        <v>1234.59</v>
      </c>
      <c r="AK368" s="226">
        <f>AK212+AK216+AK218+AK219</f>
        <v>1234.59</v>
      </c>
      <c r="AL368" s="226">
        <f>AL212+AL216+AL218+AL219</f>
        <v>1234.59</v>
      </c>
      <c r="AM368" s="226" t="e">
        <f>AM212+AM216+AM218+AM219</f>
        <v>#DIV/0!</v>
      </c>
      <c r="AN368" s="226">
        <f>AN212+AN216+AN218+AN219</f>
        <v>1234.59</v>
      </c>
      <c r="AO368" s="226" t="e">
        <f>AO212+AO216+AO218+AO219</f>
        <v>#DIV/0!</v>
      </c>
      <c r="AP368" s="226" t="e">
        <f>AP212+AP216+AP218+AP219</f>
        <v>#DIV/0!</v>
      </c>
      <c r="AQ368" s="226" t="e">
        <f>AQ212+AQ216+AQ218+AQ219</f>
        <v>#DIV/0!</v>
      </c>
      <c r="AR368" s="226" t="e">
        <f>AR212+AR216+AR218+AR219</f>
        <v>#DIV/0!</v>
      </c>
      <c r="AS368" s="226" t="e">
        <f>AS212+AS216+AS218+AS219</f>
        <v>#DIV/0!</v>
      </c>
      <c r="AT368" s="226" t="e">
        <f>AT212+AT216+AT218+AT219</f>
        <v>#DIV/0!</v>
      </c>
      <c r="AU368" s="226" t="e">
        <f>AU212+AU216+AU218+AU219</f>
        <v>#DIV/0!</v>
      </c>
      <c r="AV368" s="226" t="e">
        <f>AV212+AV216+AV218+AV219</f>
        <v>#DIV/0!</v>
      </c>
      <c r="AW368" s="226" t="e">
        <f>AW212+AW216+AW218+AW219</f>
        <v>#DIV/0!</v>
      </c>
      <c r="AX368" s="226" t="e">
        <f>AX212+AX216+AX218+AX219</f>
        <v>#DIV/0!</v>
      </c>
      <c r="AY368" s="226" t="e">
        <f>AY212+AY216+AY218+AY219</f>
        <v>#DIV/0!</v>
      </c>
      <c r="AZ368" s="226" t="e">
        <f>AZ212+AZ216+AZ218+AZ219</f>
        <v>#DIV/0!</v>
      </c>
      <c r="BA368" s="226" t="e">
        <f>BA212+BA216+BA218+BA219</f>
        <v>#DIV/0!</v>
      </c>
      <c r="BB368" s="226" t="e">
        <f>BB212+BB216+BB218+BB219</f>
        <v>#DIV/0!</v>
      </c>
      <c r="BC368" s="226" t="e">
        <f>BC212+BC216+BC218+BC219</f>
        <v>#DIV/0!</v>
      </c>
      <c r="BD368" s="226" t="e">
        <f>BD212+BD216+BD218+BD219</f>
        <v>#DIV/0!</v>
      </c>
      <c r="BE368" s="226" t="e">
        <f>BE212+BE216+BE218+BE219</f>
        <v>#DIV/0!</v>
      </c>
      <c r="BF368" s="226" t="e">
        <f>BF212+BF216+BF218+BF219</f>
        <v>#DIV/0!</v>
      </c>
      <c r="BG368" s="226" t="e">
        <f>BG212+BG216+BG218+BG219</f>
        <v>#DIV/0!</v>
      </c>
      <c r="BH368" s="226" t="e">
        <f>BH212+BH216+BH218+BH219</f>
        <v>#DIV/0!</v>
      </c>
      <c r="BI368" s="226" t="e">
        <f>BI212+BI216+BI218+BI219</f>
        <v>#DIV/0!</v>
      </c>
      <c r="BJ368" s="226" t="e">
        <f>BJ212+BJ216+BJ218+BJ219</f>
        <v>#DIV/0!</v>
      </c>
      <c r="BK368" s="226" t="e">
        <f>BK212+BK216+BK218+BK219</f>
        <v>#DIV/0!</v>
      </c>
      <c r="BL368" s="226" t="e">
        <f>BL212+BL216+BL218+BL219</f>
        <v>#DIV/0!</v>
      </c>
      <c r="BM368" s="226" t="e">
        <f>BM212+BM216+BM218+BM219</f>
        <v>#DIV/0!</v>
      </c>
      <c r="BN368" s="226" t="e">
        <f>BN212+BN216+BN218+BN219</f>
        <v>#DIV/0!</v>
      </c>
      <c r="BO368" s="226" t="e">
        <f>BO212+BO216+BO218+BO219</f>
        <v>#DIV/0!</v>
      </c>
      <c r="BP368" s="226" t="e">
        <f>BP212+BP216+BP218+BP219</f>
        <v>#DIV/0!</v>
      </c>
      <c r="BQ368" s="226" t="e">
        <f>BQ212+BQ216+BQ218+BQ219</f>
        <v>#DIV/0!</v>
      </c>
      <c r="BR368" s="226" t="e">
        <f>BR212+BR216+BR218+BR219</f>
        <v>#DIV/0!</v>
      </c>
      <c r="BS368" s="226" t="e">
        <f>BS212+BS216+BS218+BS219</f>
        <v>#DIV/0!</v>
      </c>
      <c r="BT368" s="226" t="e">
        <f>BT212+BT216+BT218+BT219</f>
        <v>#DIV/0!</v>
      </c>
      <c r="BU368" s="226" t="e">
        <f>BU212+BU216+BU218+BU219</f>
        <v>#DIV/0!</v>
      </c>
      <c r="BV368" s="226" t="e">
        <f>BV212+BV216+BV218+BV219</f>
        <v>#DIV/0!</v>
      </c>
      <c r="BW368" s="226" t="e">
        <f>BW212+BW216+BW218+BW219</f>
        <v>#DIV/0!</v>
      </c>
      <c r="BX368" s="226" t="e">
        <f>BX212+BX216+BX218+BX219</f>
        <v>#DIV/0!</v>
      </c>
      <c r="BY368" s="226" t="e">
        <f>BY212+BY216+BY218+BY219</f>
        <v>#DIV/0!</v>
      </c>
      <c r="BZ368" s="226" t="e">
        <f>BZ212+BZ216+BZ218+BZ219</f>
        <v>#DIV/0!</v>
      </c>
      <c r="CA368" s="226" t="e">
        <f>CA212+CA216+CA218+CA219</f>
        <v>#DIV/0!</v>
      </c>
      <c r="CB368" s="226" t="e">
        <f>CB212+CB216+CB218+CB219</f>
        <v>#DIV/0!</v>
      </c>
      <c r="CC368" s="226" t="e">
        <f>CC212+CC216+CC218+CC219</f>
        <v>#DIV/0!</v>
      </c>
      <c r="CD368" s="226" t="e">
        <f>CD212+CD216+CD218+CD219</f>
        <v>#DIV/0!</v>
      </c>
      <c r="CE368" s="226" t="e">
        <f>CE212+CE216+CE218+CE219</f>
        <v>#DIV/0!</v>
      </c>
      <c r="CF368" s="226" t="e">
        <f>CF212+CF216+CF218+CF219</f>
        <v>#DIV/0!</v>
      </c>
      <c r="CG368" s="226" t="e">
        <f>CG212+CG216+CG218+CG219</f>
        <v>#DIV/0!</v>
      </c>
      <c r="CH368" s="226" t="e">
        <f>CH212+CH216+CH218+CH219</f>
        <v>#DIV/0!</v>
      </c>
      <c r="CI368" s="226" t="e">
        <f>CI212+CI216+CI218+CI219</f>
        <v>#DIV/0!</v>
      </c>
      <c r="CJ368" s="226" t="e">
        <f>CJ212+CJ216+CJ218+CJ219</f>
        <v>#DIV/0!</v>
      </c>
      <c r="CK368" s="226" t="e">
        <f>CK212+CK216+CK218+CK219</f>
        <v>#DIV/0!</v>
      </c>
      <c r="CL368" s="226" t="e">
        <f>CL212+CL216+CL218+CL219</f>
        <v>#DIV/0!</v>
      </c>
      <c r="CM368" s="226" t="e">
        <f>CM212+CM216+CM218+CM219</f>
        <v>#DIV/0!</v>
      </c>
      <c r="CN368" s="226" t="e">
        <f>CN212+CN216+CN218+CN219</f>
        <v>#DIV/0!</v>
      </c>
      <c r="CO368" s="226" t="e">
        <f>CO212+CO216+CO218+CO219</f>
        <v>#DIV/0!</v>
      </c>
      <c r="CP368" s="226" t="e">
        <f>CP212+CP216+CP218+CP219</f>
        <v>#DIV/0!</v>
      </c>
      <c r="CQ368" s="226" t="e">
        <f>CQ212+CQ216+CQ218+CQ219</f>
        <v>#DIV/0!</v>
      </c>
      <c r="CR368" s="226" t="e">
        <f>CR212+CR216+CR218+CR219</f>
        <v>#DIV/0!</v>
      </c>
      <c r="CS368" s="226" t="e">
        <f>CS212+CS216+CS218+CS219</f>
        <v>#DIV/0!</v>
      </c>
      <c r="CT368" s="226" t="e">
        <f>CT212+CT216+CT218+CT219</f>
        <v>#DIV/0!</v>
      </c>
      <c r="CU368" s="226" t="e">
        <f>CU212+CU216+CU218+CU219</f>
        <v>#DIV/0!</v>
      </c>
      <c r="CV368" s="226" t="e">
        <f>CV212+CV216+CV218+CV219</f>
        <v>#DIV/0!</v>
      </c>
      <c r="CW368" s="226" t="e">
        <f>CW212+CW216+CW218+CW219</f>
        <v>#DIV/0!</v>
      </c>
      <c r="CX368" s="226" t="e">
        <f>CX212+CX216+CX218+CX219</f>
        <v>#DIV/0!</v>
      </c>
      <c r="CY368" s="226" t="e">
        <f>CY212+CY216+CY218+CY219</f>
        <v>#DIV/0!</v>
      </c>
    </row>
    <row r="369" customFormat="1" s="233">
      <c r="A369" s="224" t="n"/>
      <c r="B369" s="224" t="n"/>
      <c r="C369" s="233" t="inlineStr">
        <is>
          <t>FIXED ASSETS</t>
        </is>
      </c>
      <c r="D369" s="241">
        <f>D180+D190+D193+D194+D203-D254</f>
        <v>-65.043</v>
      </c>
      <c r="E369" s="241">
        <f>E180+E190+E193+E194+E203-E254</f>
        <v>-78.829</v>
      </c>
      <c r="F369" s="241">
        <f>F180+F190+F193+F194+F203-F254</f>
        <v>-74.789</v>
      </c>
      <c r="G369" s="241">
        <f>G180+G190+G193+G194+G203-G254</f>
        <v>-133.554</v>
      </c>
      <c r="H369" s="241">
        <f>H180+H190+H193+H194+H203-H254</f>
        <v>-133.554</v>
      </c>
      <c r="I369" s="226">
        <f>I180+I190+I193+I194+I203-I254</f>
        <v>-217.395</v>
      </c>
      <c r="J369" s="226">
        <f>J180+J190+J193+J194+J203-J254</f>
        <v>-171.43</v>
      </c>
      <c r="K369" s="226">
        <f>K180+K190+K193+K194+K203-K254</f>
        <v>-246.755</v>
      </c>
      <c r="L369" s="226">
        <f>L180+L190+L193+L194+L203-L254</f>
        <v>-268.999</v>
      </c>
      <c r="M369" s="226">
        <f>M180+M190+M193+M194+M203-M254</f>
        <v>-268.999</v>
      </c>
      <c r="N369" s="226">
        <f>N180+N190+N193+N194+N203-N254</f>
        <v>-260.084</v>
      </c>
      <c r="O369" s="226">
        <f>O180+O190+O193+O194+O203-O254</f>
        <v>-247.946</v>
      </c>
      <c r="P369" s="226">
        <f>P180+P190+P193+P194+P203-P254</f>
        <v>-332.83171860892</v>
      </c>
      <c r="Q369" s="226">
        <f>Q180+Q190+Q193+Q194+Q203-Q254</f>
        <v>-327.102</v>
      </c>
      <c r="R369" s="226">
        <f>R180+R190+R193+R194+R203-R254</f>
        <v>-327.102</v>
      </c>
      <c r="S369" s="226">
        <f>S180+S190+S193+S194+S203-S254</f>
        <v>-457.585</v>
      </c>
      <c r="T369" s="226">
        <f>T180+T190+T193+T194+T203-T254</f>
        <v>-393.78</v>
      </c>
      <c r="U369" s="226">
        <f>U180+U190+U193+U194+U203-U254</f>
        <v>-398.967</v>
      </c>
      <c r="V369" s="226">
        <f>V180+V190+V193+V194+V203-V254</f>
        <v>-322.17</v>
      </c>
      <c r="W369" s="226">
        <f>W180+W190+W193+W194+W203-W254</f>
        <v>-322.17</v>
      </c>
      <c r="X369" s="226">
        <f>X180+X190+X193+X194+X203-X254</f>
        <v>-395.542</v>
      </c>
      <c r="Y369" s="226">
        <f>Y180+Y190+Y193+Y194+Y203-Y254</f>
        <v>-459.76</v>
      </c>
      <c r="Z369" s="226">
        <f>Z180+Z190+Z193+Z194+Z203-Z254</f>
        <v>-421.842</v>
      </c>
      <c r="AA369" s="226">
        <f>AA180+AA190+AA193+AA194+AA203-AA254</f>
        <v>-857.066</v>
      </c>
      <c r="AB369" s="226">
        <f>AB180+AB190+AB193+AB194+AB203-AB254</f>
        <v>-857.066</v>
      </c>
      <c r="AC369" s="226">
        <f>AC180+AC190+AC193+AC194+AC203-AC254</f>
        <v>-852.811</v>
      </c>
      <c r="AD369" s="226">
        <f>AD180+AD190+AD193+AD194+AD203-AD254</f>
        <v>-840.278</v>
      </c>
      <c r="AE369" s="226">
        <f>AE180+AE190+AE193+AE194+AE203-AE254</f>
        <v>-934.025</v>
      </c>
      <c r="AF369" s="226">
        <f>AF180+AF190+AF193+AF194+AF203-AF254</f>
        <v>-902.066</v>
      </c>
      <c r="AG369" s="226">
        <f>AG180+AG190+AG193+AG194+AG203-AG254</f>
        <v>-902.066</v>
      </c>
      <c r="AH369" s="226">
        <f>AH180+AH190+AH193+AH194+AH203-AH254</f>
        <v>-1039.086</v>
      </c>
      <c r="AI369" s="226">
        <f>AI180+AI190+AI193+AI194+AI203-AI254</f>
        <v>-964.459</v>
      </c>
      <c r="AJ369" s="226">
        <f>AJ180+AJ190+AJ193+AJ194+AJ203-AJ254</f>
        <v>-964.459</v>
      </c>
      <c r="AK369" s="226">
        <f>AK180+AK190+AK193+AK194+AK203-AK254</f>
        <v>-964.459</v>
      </c>
      <c r="AL369" s="226">
        <f>AL180+AL190+AL193+AL194+AL203-AL254</f>
        <v>-964.459</v>
      </c>
      <c r="AM369" s="226">
        <f>AM180+AM190+AM193+AM194+AM203-AM254</f>
        <v>-964.459</v>
      </c>
      <c r="AN369" s="226">
        <f>AN180+AN190+AN193+AN194+AN203-AN254</f>
        <v>-964.459</v>
      </c>
      <c r="AO369" s="226">
        <f>AO180+AO190+AO193+AO194+AO203-AO254</f>
        <v>-964.459</v>
      </c>
      <c r="AP369" s="226">
        <f>AP180+AP190+AP193+AP194+AP203-AP254</f>
        <v>-964.459</v>
      </c>
      <c r="AQ369" s="226">
        <f>AQ180+AQ190+AQ193+AQ194+AQ203-AQ254</f>
        <v>-964.459</v>
      </c>
      <c r="AR369" s="226">
        <f>AR180+AR190+AR193+AR194+AR203-AR254</f>
        <v>-964.459</v>
      </c>
      <c r="AS369" s="226">
        <f>AS180+AS190+AS193+AS194+AS203-AS254</f>
        <v>-964.459</v>
      </c>
      <c r="AT369" s="226">
        <f>AT180+AT190+AT193+AT194+AT203-AT254</f>
        <v>-964.459</v>
      </c>
      <c r="AU369" s="226">
        <f>AU180+AU190+AU193+AU194+AU203-AU254</f>
        <v>-964.459</v>
      </c>
      <c r="AV369" s="226">
        <f>AV180+AV190+AV193+AV194+AV203-AV254</f>
        <v>-964.459</v>
      </c>
      <c r="AW369" s="226">
        <f>AW180+AW190+AW193+AW194+AW203-AW254</f>
        <v>-964.459</v>
      </c>
      <c r="AX369" s="226">
        <f>AX180+AX190+AX193+AX194+AX203-AX254</f>
        <v>-964.459</v>
      </c>
      <c r="AY369" s="226">
        <f>AY180+AY190+AY193+AY194+AY203-AY254</f>
        <v>-964.459</v>
      </c>
      <c r="AZ369" s="226">
        <f>AZ180+AZ190+AZ193+AZ194+AZ203-AZ254</f>
        <v>-964.459</v>
      </c>
      <c r="BA369" s="226">
        <f>BA180+BA190+BA193+BA194+BA203-BA254</f>
        <v>-964.459</v>
      </c>
      <c r="BB369" s="226">
        <f>BB180+BB190+BB193+BB194+BB203-BB254</f>
        <v>-964.459</v>
      </c>
      <c r="BC369" s="226">
        <f>BC180+BC190+BC193+BC194+BC203-BC254</f>
        <v>-964.459</v>
      </c>
      <c r="BD369" s="226">
        <f>BD180+BD190+BD193+BD194+BD203-BD254</f>
        <v>-964.459</v>
      </c>
      <c r="BE369" s="226">
        <f>BE180+BE190+BE193+BE194+BE203-BE254</f>
        <v>-964.459</v>
      </c>
      <c r="BF369" s="226">
        <f>BF180+BF190+BF193+BF194+BF203-BF254</f>
        <v>-964.459</v>
      </c>
      <c r="BG369" s="226">
        <f>BG180+BG190+BG193+BG194+BG203-BG254</f>
        <v>-964.459</v>
      </c>
      <c r="BH369" s="226">
        <f>BH180+BH190+BH193+BH194+BH203-BH254</f>
        <v>-964.459</v>
      </c>
      <c r="BI369" s="226">
        <f>BI180+BI190+BI193+BI194+BI203-BI254</f>
        <v>-964.459</v>
      </c>
      <c r="BJ369" s="226">
        <f>BJ180+BJ190+BJ193+BJ194+BJ203-BJ254</f>
        <v>-964.459</v>
      </c>
      <c r="BK369" s="226">
        <f>BK180+BK190+BK193+BK194+BK203-BK254</f>
        <v>-964.459</v>
      </c>
      <c r="BL369" s="226">
        <f>BL180+BL190+BL193+BL194+BL203-BL254</f>
        <v>-964.459</v>
      </c>
      <c r="BM369" s="226">
        <f>BM180+BM190+BM193+BM194+BM203-BM254</f>
        <v>-964.459</v>
      </c>
      <c r="BN369" s="226">
        <f>BN180+BN190+BN193+BN194+BN203-BN254</f>
        <v>-964.459</v>
      </c>
      <c r="BO369" s="226">
        <f>BO180+BO190+BO193+BO194+BO203-BO254</f>
        <v>-964.459</v>
      </c>
      <c r="BP369" s="226">
        <f>BP180+BP190+BP193+BP194+BP203-BP254</f>
        <v>-964.459</v>
      </c>
      <c r="BQ369" s="226">
        <f>BQ180+BQ190+BQ193+BQ194+BQ203-BQ254</f>
        <v>-964.459</v>
      </c>
      <c r="BR369" s="226">
        <f>BR180+BR190+BR193+BR194+BR203-BR254</f>
        <v>-964.459</v>
      </c>
      <c r="BS369" s="226">
        <f>BS180+BS190+BS193+BS194+BS203-BS254</f>
        <v>-964.459</v>
      </c>
      <c r="BT369" s="226">
        <f>BT180+BT190+BT193+BT194+BT203-BT254</f>
        <v>-964.459</v>
      </c>
      <c r="BU369" s="226">
        <f>BU180+BU190+BU193+BU194+BU203-BU254</f>
        <v>-964.459</v>
      </c>
      <c r="BV369" s="226">
        <f>BV180+BV190+BV193+BV194+BV203-BV254</f>
        <v>-964.459</v>
      </c>
      <c r="BW369" s="226">
        <f>BW180+BW190+BW193+BW194+BW203-BW254</f>
        <v>-964.459</v>
      </c>
      <c r="BX369" s="226">
        <f>BX180+BX190+BX193+BX194+BX203-BX254</f>
        <v>-964.459</v>
      </c>
      <c r="BY369" s="226">
        <f>BY180+BY190+BY193+BY194+BY203-BY254</f>
        <v>-964.459</v>
      </c>
      <c r="BZ369" s="226">
        <f>BZ180+BZ190+BZ193+BZ194+BZ203-BZ254</f>
        <v>-964.459</v>
      </c>
      <c r="CA369" s="226">
        <f>CA180+CA190+CA193+CA194+CA203-CA254</f>
        <v>-964.459</v>
      </c>
      <c r="CB369" s="226">
        <f>CB180+CB190+CB193+CB194+CB203-CB254</f>
        <v>-964.459</v>
      </c>
      <c r="CC369" s="226">
        <f>CC180+CC190+CC193+CC194+CC203-CC254</f>
        <v>-964.459</v>
      </c>
      <c r="CD369" s="226">
        <f>CD180+CD190+CD193+CD194+CD203-CD254</f>
        <v>-964.459</v>
      </c>
      <c r="CE369" s="226">
        <f>CE180+CE190+CE193+CE194+CE203-CE254</f>
        <v>-964.459</v>
      </c>
      <c r="CF369" s="226">
        <f>CF180+CF190+CF193+CF194+CF203-CF254</f>
        <v>-964.459</v>
      </c>
      <c r="CG369" s="226">
        <f>CG180+CG190+CG193+CG194+CG203-CG254</f>
        <v>-964.459</v>
      </c>
      <c r="CH369" s="226">
        <f>CH180+CH190+CH193+CH194+CH203-CH254</f>
        <v>-964.459</v>
      </c>
      <c r="CI369" s="226">
        <f>CI180+CI190+CI193+CI194+CI203-CI254</f>
        <v>-964.459</v>
      </c>
      <c r="CJ369" s="226">
        <f>CJ180+CJ190+CJ193+CJ194+CJ203-CJ254</f>
        <v>-964.459</v>
      </c>
      <c r="CK369" s="226">
        <f>CK180+CK190+CK193+CK194+CK203-CK254</f>
        <v>-964.459</v>
      </c>
      <c r="CL369" s="226">
        <f>CL180+CL190+CL193+CL194+CL203-CL254</f>
        <v>-964.459</v>
      </c>
      <c r="CM369" s="226">
        <f>CM180+CM190+CM193+CM194+CM203-CM254</f>
        <v>-964.459</v>
      </c>
      <c r="CN369" s="226">
        <f>CN180+CN190+CN193+CN194+CN203-CN254</f>
        <v>-964.459</v>
      </c>
      <c r="CO369" s="226">
        <f>CO180+CO190+CO193+CO194+CO203-CO254</f>
        <v>-964.459</v>
      </c>
      <c r="CP369" s="226">
        <f>CP180+CP190+CP193+CP194+CP203-CP254</f>
        <v>-964.459</v>
      </c>
      <c r="CQ369" s="226">
        <f>CQ180+CQ190+CQ193+CQ194+CQ203-CQ254</f>
        <v>-964.459</v>
      </c>
      <c r="CR369" s="226">
        <f>CR180+CR190+CR193+CR194+CR203-CR254</f>
        <v>-964.459</v>
      </c>
      <c r="CS369" s="226">
        <f>CS180+CS190+CS193+CS194+CS203-CS254</f>
        <v>-964.459</v>
      </c>
      <c r="CT369" s="226">
        <f>CT180+CT190+CT193+CT194+CT203-CT254</f>
        <v>-964.459</v>
      </c>
      <c r="CU369" s="226">
        <f>CU180+CU190+CU193+CU194+CU203-CU254</f>
        <v>-964.459</v>
      </c>
      <c r="CV369" s="226">
        <f>CV180+CV190+CV193+CV194+CV203-CV254</f>
        <v>-964.459</v>
      </c>
      <c r="CW369" s="226">
        <f>CW180+CW190+CW193+CW194+CW203-CW254</f>
        <v>-964.459</v>
      </c>
      <c r="CX369" s="226">
        <f>CX180+CX190+CX193+CX194+CX203-CX254</f>
        <v>-964.459</v>
      </c>
      <c r="CY369" s="226">
        <f>CY180+CY190+CY193+CY194+CY203-CY254</f>
        <v>-964.459</v>
      </c>
    </row>
    <row r="370" customFormat="1" s="233">
      <c r="A370" s="224" t="n"/>
      <c r="B370" s="224" t="n"/>
    </row>
    <row r="371" customFormat="1" s="233">
      <c r="A371" s="224" t="n"/>
      <c r="B371" s="224" t="n"/>
    </row>
    <row r="372" customFormat="1" s="233">
      <c r="A372" s="224" t="n"/>
      <c r="B372" s="224" t="n"/>
    </row>
    <row r="373" customFormat="1" s="233">
      <c r="A373" s="224" t="n"/>
      <c r="B373" s="224" t="n"/>
    </row>
    <row r="374" customFormat="1" s="233">
      <c r="A374" s="224" t="n"/>
      <c r="B374" s="224" t="n"/>
    </row>
    <row r="375" customFormat="1" s="233">
      <c r="A375" s="224" t="n"/>
      <c r="B375" s="224" t="n"/>
    </row>
    <row r="376" customFormat="1" s="233">
      <c r="A376" s="224" t="n"/>
      <c r="B376" s="224" t="n"/>
    </row>
    <row r="377" customFormat="1" s="233">
      <c r="A377" s="224" t="n"/>
      <c r="B377" s="224" t="n"/>
      <c r="C377" s="234" t="inlineStr">
        <is>
          <t>DUPONT ANALYSIS</t>
        </is>
      </c>
    </row>
    <row r="378" customFormat="1" s="233">
      <c r="A378" s="224" t="n"/>
      <c r="B378" s="224" t="n"/>
      <c r="C378" s="233" t="inlineStr">
        <is>
          <t>NET PROFIT MARGIN</t>
        </is>
      </c>
      <c r="D378" s="238">
        <f>D151/D15</f>
        <v>0.0285939266499795</v>
      </c>
      <c r="E378" s="238">
        <f>E151/E15</f>
        <v>0.15023720167016</v>
      </c>
      <c r="F378" s="238">
        <f>F151/F15</f>
        <v>0.151443089555628</v>
      </c>
      <c r="G378" s="238">
        <f>G151/G15</f>
        <v>0.196860907318853</v>
      </c>
      <c r="I378" s="222">
        <f>I151/I15</f>
        <v>0.14734766539144</v>
      </c>
      <c r="J378" s="222">
        <f>J151/J15</f>
        <v>0.174155896813246</v>
      </c>
      <c r="K378" s="222">
        <f>K151/K15</f>
        <v>0.14765730466656</v>
      </c>
      <c r="L378" s="222">
        <f>L151/L15</f>
        <v>0.21121160857696</v>
      </c>
      <c r="N378" s="222">
        <f>N151/N15</f>
        <v>0.138369686213325</v>
      </c>
      <c r="O378" s="222">
        <f>O151/O15</f>
        <v>0.143210740847038</v>
      </c>
      <c r="P378" s="222">
        <f>P151/P15</f>
        <v>0.143414520496793</v>
      </c>
      <c r="Q378" s="222">
        <f>Q151/Q15</f>
        <v>0.158119687567832</v>
      </c>
      <c r="S378" s="222">
        <f>S151/S15</f>
        <v>0.154379483524832</v>
      </c>
      <c r="T378" s="222">
        <f>T151/T15</f>
        <v>0.16677934334232</v>
      </c>
      <c r="U378" s="222">
        <f>U151/U15</f>
        <v>0.143933691017378</v>
      </c>
      <c r="V378" s="222">
        <f>V151/V15</f>
        <v>0.197540401874824</v>
      </c>
      <c r="X378" s="222">
        <f>X151/X15</f>
        <v>0.168669734959672</v>
      </c>
      <c r="Y378" s="222">
        <f>Y151/Y15</f>
        <v>0.17257774978083</v>
      </c>
      <c r="Z378" s="222">
        <f>Z151/Z15</f>
        <v>0.161544202327555</v>
      </c>
      <c r="AA378" s="222">
        <f>AA151/AA15</f>
        <v>0.160182265976535</v>
      </c>
      <c r="AC378" s="222">
        <f>AC151/AC15</f>
        <v>0.17552853844484</v>
      </c>
      <c r="AD378" s="222">
        <f>AD151/AD15</f>
        <v>0.175799136758604</v>
      </c>
      <c r="AE378" s="222">
        <f>AE151/AE15</f>
        <v>0.180145610991682</v>
      </c>
      <c r="AF378" s="222">
        <f>AF151/AF15</f>
        <v>0.190233251039821</v>
      </c>
      <c r="AH378" s="222">
        <f>AH151/AH15</f>
        <v>0.187816226386311</v>
      </c>
      <c r="AI378" s="222">
        <f>AI151/AI15</f>
        <v>0.159973949984443</v>
      </c>
      <c r="AJ378" s="222">
        <f>AJ151/AJ15</f>
        <v>0.016662832074505</v>
      </c>
      <c r="AK378" s="222">
        <f>AK151/AK15</f>
        <v>0.0170407440930046</v>
      </c>
      <c r="AM378" s="222">
        <f>AM151/AM15</f>
        <v>0.00132149220096355</v>
      </c>
      <c r="AN378" s="222">
        <f>AN151/AN15</f>
        <v>0.09156308374453</v>
      </c>
      <c r="AO378" s="222">
        <f>AO151/AO15</f>
        <v>0.0160100104028016</v>
      </c>
      <c r="AP378" s="222">
        <f>AP151/AP15</f>
        <v>0.120127631249934</v>
      </c>
      <c r="AR378" s="222">
        <f>AR151/AR15</f>
        <v>0.09207966656972</v>
      </c>
      <c r="AS378" s="222">
        <f>AS151/AS15</f>
        <v>0.263607938984759</v>
      </c>
      <c r="AT378" s="222">
        <f>AT151/AT15</f>
        <v>0.119299808176292</v>
      </c>
      <c r="AU378" s="222">
        <f>AU151/AU15</f>
        <v>0.324998327129037</v>
      </c>
      <c r="AW378" s="222">
        <f>AW151/AW15</f>
        <v>0.272448778999498</v>
      </c>
      <c r="AX378" s="222">
        <f>AX151/AX15</f>
        <v>0.78083679464141</v>
      </c>
      <c r="AY378" s="222">
        <f>AY151/AY15</f>
        <v>0.324573760379865</v>
      </c>
      <c r="AZ378" s="222">
        <f>AZ151/AZ15</f>
        <v>0.9409134932011</v>
      </c>
      <c r="BB378" s="222">
        <f>BB151/BB15</f>
        <v>0.814703352596568</v>
      </c>
      <c r="BC378" s="222">
        <f>BC151/BC15</f>
        <v>2.15938421643517</v>
      </c>
      <c r="BD378" s="222">
        <f>BD151/BD15</f>
        <v>0.941701260333991</v>
      </c>
      <c r="BE378" s="222">
        <f>BE151/BE15</f>
        <v>2.58248521710343</v>
      </c>
      <c r="BG378" s="222">
        <f>BG151/BG15</f>
        <v>2.25995072465026</v>
      </c>
      <c r="BH378" s="222">
        <f>BH151/BH15</f>
        <v>5.95093677133599</v>
      </c>
      <c r="BI378" s="222">
        <f>BI151/BI15</f>
        <v>2.58650416464939</v>
      </c>
      <c r="BJ378" s="222">
        <f>BJ151/BJ15</f>
        <v>7.09745899705223</v>
      </c>
      <c r="BL378" s="222">
        <f>BL151/BL15</f>
        <v>6.23495461595179</v>
      </c>
      <c r="BM378" s="222">
        <f>BM151/BM15</f>
        <v>16.2911367247252</v>
      </c>
      <c r="BN378" s="222">
        <f>BN151/BN15</f>
        <v>7.11036497318844</v>
      </c>
      <c r="BO378" s="222">
        <f>BO151/BO15</f>
        <v>19.4105500047545</v>
      </c>
      <c r="BQ378" s="222">
        <f>BQ151/BQ15</f>
        <v>17.0754571426622</v>
      </c>
      <c r="BR378" s="222">
        <f>BR151/BR15</f>
        <v>44.5546417413051</v>
      </c>
      <c r="BS378" s="222">
        <f>BS151/BS15</f>
        <v>19.4476923988973</v>
      </c>
      <c r="BT378" s="222">
        <f>BT151/BT15</f>
        <v>53.0666795800566</v>
      </c>
      <c r="BV378" s="222">
        <f>BV151/BV15</f>
        <v>46.7064699786862</v>
      </c>
      <c r="BW378" s="222">
        <f>BW151/BW15</f>
        <v>121.762051681243</v>
      </c>
      <c r="BX378" s="222">
        <f>BX151/BX15</f>
        <v>53.1700688673932</v>
      </c>
      <c r="BY378" s="222">
        <f>BY151/BY15</f>
        <v>145.005120746065</v>
      </c>
      <c r="CA378" s="222">
        <f>CA151/CA15</f>
        <v>127.649500704155</v>
      </c>
      <c r="CB378" s="222">
        <f>CB151/CB15</f>
        <v>332.70388159428</v>
      </c>
      <c r="CC378" s="222">
        <f>CC151/CC15</f>
        <v>145.289476655803</v>
      </c>
      <c r="CD378" s="222">
        <f>CD151/CD15</f>
        <v>396.194262228687</v>
      </c>
      <c r="CF378" s="222">
        <f>CF151/CF15</f>
        <v>348.797587827141</v>
      </c>
      <c r="CG378" s="222">
        <f>CG151/CG15</f>
        <v>909.00236130023</v>
      </c>
      <c r="CH378" s="222">
        <f>CH151/CH15</f>
        <v>396.973045169614</v>
      </c>
      <c r="CI378" s="222">
        <f>CI151/CI15</f>
        <v>1082.44942752595</v>
      </c>
      <c r="CK378" s="222">
        <f>CK151/CK15</f>
        <v>952.97982352405</v>
      </c>
      <c r="CL378" s="222">
        <f>CL151/CL15</f>
        <v>2483.4829805382</v>
      </c>
      <c r="CM378" s="222">
        <f>CM151/CM15</f>
        <v>1084.57899777405</v>
      </c>
      <c r="CN378" s="222">
        <f>CN151/CN15</f>
        <v>2957.33804108571</v>
      </c>
      <c r="CP378" s="222">
        <f>CP151/CP15</f>
        <v>2603.64046916384</v>
      </c>
      <c r="CQ378" s="222">
        <f>CQ151/CQ15</f>
        <v>6785.04117842605</v>
      </c>
      <c r="CR378" s="222">
        <f>CR151/CR15</f>
        <v>2963.15804001056</v>
      </c>
      <c r="CS378" s="222">
        <f>CS151/CS15</f>
        <v>8079.62559879976</v>
      </c>
      <c r="CU378" s="222">
        <f>CU151/CU15</f>
        <v>7113.32623183723</v>
      </c>
      <c r="CV378" s="222">
        <f>CV151/CV15</f>
        <v>18537.1188126777</v>
      </c>
      <c r="CW378" s="222">
        <f>CW151/CW15</f>
        <v>8095.52802969245</v>
      </c>
      <c r="CX378" s="222">
        <f>CX151/CX15</f>
        <v>22073.9779413474</v>
      </c>
    </row>
    <row r="379" customFormat="1" s="233">
      <c r="A379" s="224" t="n"/>
      <c r="B379" s="224" t="n"/>
      <c r="C379" s="233" t="inlineStr">
        <is>
          <t>ASSET TURNOVER</t>
        </is>
      </c>
      <c r="D379" s="238">
        <f>D151/D211</f>
        <v>0.00514291365839184</v>
      </c>
      <c r="E379" s="238">
        <f>E151/E211</f>
        <v>0.0258634312380521</v>
      </c>
      <c r="F379" s="238">
        <f>F151/F211</f>
        <v>0.0274922684087628</v>
      </c>
      <c r="G379" s="238">
        <f>G151/G211</f>
        <v>0.0413251681753401</v>
      </c>
      <c r="I379" s="222">
        <f>I151/I211</f>
        <v>0.0260611365184849</v>
      </c>
      <c r="J379" s="222">
        <f>J151/J211</f>
        <v>0.0386717308628977</v>
      </c>
      <c r="K379" s="222">
        <f>K151/K211</f>
        <v>0.0309561704228372</v>
      </c>
      <c r="L379" s="222">
        <f>L151/L211</f>
        <v>0.0399365338913178</v>
      </c>
      <c r="N379" s="222">
        <f>N151/N211</f>
        <v>0.0210991547454267</v>
      </c>
      <c r="O379" s="222">
        <f>O151/O211</f>
        <v>0.0295873604304314</v>
      </c>
      <c r="P379" s="222">
        <f>P151/P211</f>
        <v>0.0322717213439991</v>
      </c>
      <c r="Q379" s="222">
        <f>Q151/Q211</f>
        <v>0.0327987361489349</v>
      </c>
      <c r="S379" s="222">
        <f>S151/S211</f>
        <v>0.0335971140917012</v>
      </c>
      <c r="T379" s="222">
        <f>T151/T211</f>
        <v>0.0427874429344473</v>
      </c>
      <c r="U379" s="222">
        <f>U151/U211</f>
        <v>0.0343488820584699</v>
      </c>
      <c r="V379" s="222">
        <f>V151/V211</f>
        <v>0.051850519870001</v>
      </c>
      <c r="X379" s="222">
        <f>X151/X211</f>
        <v>0.0413895829920612</v>
      </c>
      <c r="Y379" s="222">
        <f>Y151/Y211</f>
        <v>0.0432383255017797</v>
      </c>
      <c r="Z379" s="222">
        <f>Z151/Z211</f>
        <v>0.0431027076091428</v>
      </c>
      <c r="AA379" s="222">
        <f>AA151/AA211</f>
        <v>0.0382052844989797</v>
      </c>
      <c r="AC379" s="222">
        <f>AC151/AC211</f>
        <v>0.0438259910555766</v>
      </c>
      <c r="AD379" s="222">
        <f>AD151/AD211</f>
        <v>0.0456660080509818</v>
      </c>
      <c r="AE379" s="222">
        <f>AE151/AE211</f>
        <v>0.0453219346530191</v>
      </c>
      <c r="AF379" s="222">
        <f>AF151/AF211</f>
        <v>0.0477640843980656</v>
      </c>
      <c r="AH379" s="222">
        <f>AH151/AH211</f>
        <v>0.0488850997508348</v>
      </c>
      <c r="AI379" s="222">
        <f>AI151/AI211</f>
        <v>0.0430756729025952</v>
      </c>
      <c r="AJ379" s="222">
        <f>AJ151/AJ211</f>
        <v>0.00402861425225097</v>
      </c>
      <c r="AK379" s="222">
        <f>AK151/AK211</f>
        <v>0.00409226775708104</v>
      </c>
      <c r="AM379" s="222" t="e">
        <f>AM151/AM211</f>
        <v>#DIV/0!</v>
      </c>
      <c r="AN379" s="222" t="e">
        <f>AN151/AN211</f>
        <v>#DIV/0!</v>
      </c>
      <c r="AO379" s="222" t="e">
        <f>AO151/AO211</f>
        <v>#DIV/0!</v>
      </c>
      <c r="AP379" s="222" t="e">
        <f>AP151/AP211</f>
        <v>#DIV/0!</v>
      </c>
      <c r="AR379" s="222" t="e">
        <f>AR151/AR211</f>
        <v>#DIV/0!</v>
      </c>
      <c r="AS379" s="222" t="e">
        <f>AS151/AS211</f>
        <v>#DIV/0!</v>
      </c>
      <c r="AT379" s="222" t="e">
        <f>AT151/AT211</f>
        <v>#DIV/0!</v>
      </c>
      <c r="AU379" s="222" t="e">
        <f>AU151/AU211</f>
        <v>#DIV/0!</v>
      </c>
      <c r="AW379" s="222" t="e">
        <f>AW151/AW211</f>
        <v>#DIV/0!</v>
      </c>
      <c r="AX379" s="222" t="e">
        <f>AX151/AX211</f>
        <v>#DIV/0!</v>
      </c>
      <c r="AY379" s="222" t="e">
        <f>AY151/AY211</f>
        <v>#DIV/0!</v>
      </c>
      <c r="AZ379" s="222" t="e">
        <f>AZ151/AZ211</f>
        <v>#DIV/0!</v>
      </c>
      <c r="BB379" s="222" t="e">
        <f>BB151/BB211</f>
        <v>#DIV/0!</v>
      </c>
      <c r="BC379" s="222" t="e">
        <f>BC151/BC211</f>
        <v>#DIV/0!</v>
      </c>
      <c r="BD379" s="222" t="e">
        <f>BD151/BD211</f>
        <v>#DIV/0!</v>
      </c>
      <c r="BE379" s="222" t="e">
        <f>BE151/BE211</f>
        <v>#DIV/0!</v>
      </c>
      <c r="BG379" s="222" t="e">
        <f>BG151/BG211</f>
        <v>#DIV/0!</v>
      </c>
      <c r="BH379" s="222" t="e">
        <f>BH151/BH211</f>
        <v>#DIV/0!</v>
      </c>
      <c r="BI379" s="222" t="e">
        <f>BI151/BI211</f>
        <v>#DIV/0!</v>
      </c>
      <c r="BJ379" s="222" t="e">
        <f>BJ151/BJ211</f>
        <v>#DIV/0!</v>
      </c>
      <c r="BL379" s="222" t="e">
        <f>BL151/BL211</f>
        <v>#DIV/0!</v>
      </c>
      <c r="BM379" s="222" t="e">
        <f>BM151/BM211</f>
        <v>#DIV/0!</v>
      </c>
      <c r="BN379" s="222" t="e">
        <f>BN151/BN211</f>
        <v>#DIV/0!</v>
      </c>
      <c r="BO379" s="222" t="e">
        <f>BO151/BO211</f>
        <v>#DIV/0!</v>
      </c>
      <c r="BQ379" s="222" t="e">
        <f>BQ151/BQ211</f>
        <v>#DIV/0!</v>
      </c>
      <c r="BR379" s="222" t="e">
        <f>BR151/BR211</f>
        <v>#DIV/0!</v>
      </c>
      <c r="BS379" s="222" t="e">
        <f>BS151/BS211</f>
        <v>#DIV/0!</v>
      </c>
      <c r="BT379" s="222" t="e">
        <f>BT151/BT211</f>
        <v>#DIV/0!</v>
      </c>
      <c r="BV379" s="222" t="e">
        <f>BV151/BV211</f>
        <v>#DIV/0!</v>
      </c>
      <c r="BW379" s="222" t="e">
        <f>BW151/BW211</f>
        <v>#DIV/0!</v>
      </c>
      <c r="BX379" s="222" t="e">
        <f>BX151/BX211</f>
        <v>#DIV/0!</v>
      </c>
      <c r="BY379" s="222" t="e">
        <f>BY151/BY211</f>
        <v>#DIV/0!</v>
      </c>
      <c r="CA379" s="222" t="e">
        <f>CA151/CA211</f>
        <v>#DIV/0!</v>
      </c>
      <c r="CB379" s="222" t="e">
        <f>CB151/CB211</f>
        <v>#DIV/0!</v>
      </c>
      <c r="CC379" s="222" t="e">
        <f>CC151/CC211</f>
        <v>#DIV/0!</v>
      </c>
      <c r="CD379" s="222" t="e">
        <f>CD151/CD211</f>
        <v>#DIV/0!</v>
      </c>
      <c r="CF379" s="222" t="e">
        <f>CF151/CF211</f>
        <v>#DIV/0!</v>
      </c>
      <c r="CG379" s="222" t="e">
        <f>CG151/CG211</f>
        <v>#DIV/0!</v>
      </c>
      <c r="CH379" s="222" t="e">
        <f>CH151/CH211</f>
        <v>#DIV/0!</v>
      </c>
      <c r="CI379" s="222" t="e">
        <f>CI151/CI211</f>
        <v>#DIV/0!</v>
      </c>
      <c r="CK379" s="222" t="e">
        <f>CK151/CK211</f>
        <v>#DIV/0!</v>
      </c>
      <c r="CL379" s="222" t="e">
        <f>CL151/CL211</f>
        <v>#DIV/0!</v>
      </c>
      <c r="CM379" s="222" t="e">
        <f>CM151/CM211</f>
        <v>#DIV/0!</v>
      </c>
      <c r="CN379" s="222" t="e">
        <f>CN151/CN211</f>
        <v>#DIV/0!</v>
      </c>
      <c r="CP379" s="222" t="e">
        <f>CP151/CP211</f>
        <v>#DIV/0!</v>
      </c>
      <c r="CQ379" s="222" t="e">
        <f>CQ151/CQ211</f>
        <v>#DIV/0!</v>
      </c>
      <c r="CR379" s="222" t="e">
        <f>CR151/CR211</f>
        <v>#DIV/0!</v>
      </c>
      <c r="CS379" s="222" t="e">
        <f>CS151/CS211</f>
        <v>#DIV/0!</v>
      </c>
      <c r="CU379" s="222" t="e">
        <f>CU151/CU211</f>
        <v>#DIV/0!</v>
      </c>
      <c r="CV379" s="222" t="e">
        <f>CV151/CV211</f>
        <v>#DIV/0!</v>
      </c>
      <c r="CW379" s="222" t="e">
        <f>CW151/CW211</f>
        <v>#DIV/0!</v>
      </c>
      <c r="CX379" s="222" t="e">
        <f>CX151/CX211</f>
        <v>#DIV/0!</v>
      </c>
    </row>
    <row r="380" customFormat="1" s="233">
      <c r="A380" s="224" t="n"/>
      <c r="B380" s="224" t="n"/>
      <c r="C380" s="233" t="inlineStr">
        <is>
          <t>EQUITY MULTIPLIER</t>
        </is>
      </c>
      <c r="D380" s="238">
        <f>D211/D285</f>
        <v>3.36472545757072</v>
      </c>
      <c r="E380" s="238">
        <f>E211/E285</f>
        <v>3.4070066607587</v>
      </c>
      <c r="F380" s="238">
        <f>F211/F285</f>
        <v>2.84675947436107</v>
      </c>
      <c r="G380" s="238">
        <f>G211/G285</f>
        <v>2.5603133313719</v>
      </c>
      <c r="I380" s="222">
        <f>I211/I285</f>
        <v>2.76525230101699</v>
      </c>
      <c r="J380" s="222">
        <f>J211/J285</f>
        <v>2.93985261467923</v>
      </c>
      <c r="K380" s="222">
        <f>K211/K285</f>
        <v>2.87537506999546</v>
      </c>
      <c r="L380" s="222">
        <f>L211/L285</f>
        <v>3.5186556652328</v>
      </c>
      <c r="N380" s="222">
        <f>N211/N285</f>
        <v>3.703766496411</v>
      </c>
      <c r="O380" s="222">
        <f>O211/O285</f>
        <v>3.66423316412264</v>
      </c>
      <c r="P380" s="222">
        <f>P211/P285</f>
        <v>3.1924196379135</v>
      </c>
      <c r="Q380" s="222">
        <f>Q211/Q285</f>
        <v>3.18819410582536</v>
      </c>
      <c r="S380" s="222">
        <f>S211/S285</f>
        <v>2.81939621699721</v>
      </c>
      <c r="T380" s="222">
        <f>T211/T285</f>
        <v>2.57295550877244</v>
      </c>
      <c r="U380" s="222">
        <f>U211/U285</f>
        <v>2.98307081097254</v>
      </c>
      <c r="V380" s="222">
        <f>V211/V285</f>
        <v>3.10138919537002</v>
      </c>
      <c r="X380" s="222">
        <f>X211/X285</f>
        <v>2.94574696014129</v>
      </c>
      <c r="Y380" s="222">
        <f>Y211/Y285</f>
        <v>3.78327112833224</v>
      </c>
      <c r="Z380" s="222">
        <f>Z211/Z285</f>
        <v>3.20864982324133</v>
      </c>
      <c r="AA380" s="222">
        <f>AA211/AA285</f>
        <v>3.31360501672726</v>
      </c>
      <c r="AC380" s="222">
        <f>AC211/AC285</f>
        <v>3.57769022625312</v>
      </c>
      <c r="AD380" s="222">
        <f>AD211/AD285</f>
        <v>3.28453634113796</v>
      </c>
      <c r="AE380" s="222">
        <f>AE211/AE285</f>
        <v>3.42969218618026</v>
      </c>
      <c r="AF380" s="222">
        <f>AF211/AF285</f>
        <v>3.40205252055589</v>
      </c>
      <c r="AH380" s="222">
        <f>AH211/AH285</f>
        <v>3.27462221916838</v>
      </c>
      <c r="AI380" s="222">
        <f>AI211/AI285</f>
        <v>3.06441983540939</v>
      </c>
      <c r="AJ380" s="222">
        <f>AJ211/AJ285</f>
        <v>2.79020837856264</v>
      </c>
      <c r="AK380" s="222">
        <f>AK211/AK285</f>
        <v>2.74752302003102</v>
      </c>
      <c r="AM380" s="222" t="e">
        <f>AM211/AM285</f>
        <v>#DIV/0!</v>
      </c>
      <c r="AN380" s="222" t="e">
        <f>AN211/AN285</f>
        <v>#DIV/0!</v>
      </c>
      <c r="AO380" s="222" t="e">
        <f>AO211/AO285</f>
        <v>#DIV/0!</v>
      </c>
      <c r="AP380" s="222" t="e">
        <f>AP211/AP285</f>
        <v>#DIV/0!</v>
      </c>
      <c r="AR380" s="222" t="e">
        <f>AR211/AR285</f>
        <v>#DIV/0!</v>
      </c>
      <c r="AS380" s="222" t="e">
        <f>AS211/AS285</f>
        <v>#DIV/0!</v>
      </c>
      <c r="AT380" s="222" t="e">
        <f>AT211/AT285</f>
        <v>#DIV/0!</v>
      </c>
      <c r="AU380" s="222" t="e">
        <f>AU211/AU285</f>
        <v>#DIV/0!</v>
      </c>
      <c r="AW380" s="222" t="e">
        <f>AW211/AW285</f>
        <v>#DIV/0!</v>
      </c>
      <c r="AX380" s="222" t="e">
        <f>AX211/AX285</f>
        <v>#DIV/0!</v>
      </c>
      <c r="AY380" s="222" t="e">
        <f>AY211/AY285</f>
        <v>#DIV/0!</v>
      </c>
      <c r="AZ380" s="222" t="e">
        <f>AZ211/AZ285</f>
        <v>#DIV/0!</v>
      </c>
      <c r="BB380" s="222" t="e">
        <f>BB211/BB285</f>
        <v>#DIV/0!</v>
      </c>
      <c r="BC380" s="222" t="e">
        <f>BC211/BC285</f>
        <v>#DIV/0!</v>
      </c>
      <c r="BD380" s="222" t="e">
        <f>BD211/BD285</f>
        <v>#DIV/0!</v>
      </c>
      <c r="BE380" s="222" t="e">
        <f>BE211/BE285</f>
        <v>#DIV/0!</v>
      </c>
      <c r="BG380" s="222" t="e">
        <f>BG211/BG285</f>
        <v>#DIV/0!</v>
      </c>
      <c r="BH380" s="222" t="e">
        <f>BH211/BH285</f>
        <v>#DIV/0!</v>
      </c>
      <c r="BI380" s="222" t="e">
        <f>BI211/BI285</f>
        <v>#DIV/0!</v>
      </c>
      <c r="BJ380" s="222" t="e">
        <f>BJ211/BJ285</f>
        <v>#DIV/0!</v>
      </c>
      <c r="BL380" s="222" t="e">
        <f>BL211/BL285</f>
        <v>#DIV/0!</v>
      </c>
      <c r="BM380" s="222" t="e">
        <f>BM211/BM285</f>
        <v>#DIV/0!</v>
      </c>
      <c r="BN380" s="222" t="e">
        <f>BN211/BN285</f>
        <v>#DIV/0!</v>
      </c>
      <c r="BO380" s="222" t="e">
        <f>BO211/BO285</f>
        <v>#DIV/0!</v>
      </c>
      <c r="BQ380" s="222" t="e">
        <f>BQ211/BQ285</f>
        <v>#DIV/0!</v>
      </c>
      <c r="BR380" s="222" t="e">
        <f>BR211/BR285</f>
        <v>#DIV/0!</v>
      </c>
      <c r="BS380" s="222" t="e">
        <f>BS211/BS285</f>
        <v>#DIV/0!</v>
      </c>
      <c r="BT380" s="222" t="e">
        <f>BT211/BT285</f>
        <v>#DIV/0!</v>
      </c>
      <c r="BV380" s="222" t="e">
        <f>BV211/BV285</f>
        <v>#DIV/0!</v>
      </c>
      <c r="BW380" s="222" t="e">
        <f>BW211/BW285</f>
        <v>#DIV/0!</v>
      </c>
      <c r="BX380" s="222" t="e">
        <f>BX211/BX285</f>
        <v>#DIV/0!</v>
      </c>
      <c r="BY380" s="222" t="e">
        <f>BY211/BY285</f>
        <v>#DIV/0!</v>
      </c>
      <c r="CA380" s="222" t="e">
        <f>CA211/CA285</f>
        <v>#DIV/0!</v>
      </c>
      <c r="CB380" s="222" t="e">
        <f>CB211/CB285</f>
        <v>#DIV/0!</v>
      </c>
      <c r="CC380" s="222" t="e">
        <f>CC211/CC285</f>
        <v>#DIV/0!</v>
      </c>
      <c r="CD380" s="222" t="e">
        <f>CD211/CD285</f>
        <v>#DIV/0!</v>
      </c>
      <c r="CF380" s="222" t="e">
        <f>CF211/CF285</f>
        <v>#DIV/0!</v>
      </c>
      <c r="CG380" s="222" t="e">
        <f>CG211/CG285</f>
        <v>#DIV/0!</v>
      </c>
      <c r="CH380" s="222" t="e">
        <f>CH211/CH285</f>
        <v>#DIV/0!</v>
      </c>
      <c r="CI380" s="222" t="e">
        <f>CI211/CI285</f>
        <v>#DIV/0!</v>
      </c>
      <c r="CK380" s="222" t="e">
        <f>CK211/CK285</f>
        <v>#DIV/0!</v>
      </c>
      <c r="CL380" s="222" t="e">
        <f>CL211/CL285</f>
        <v>#DIV/0!</v>
      </c>
      <c r="CM380" s="222" t="e">
        <f>CM211/CM285</f>
        <v>#DIV/0!</v>
      </c>
      <c r="CN380" s="222" t="e">
        <f>CN211/CN285</f>
        <v>#DIV/0!</v>
      </c>
      <c r="CP380" s="222" t="e">
        <f>CP211/CP285</f>
        <v>#DIV/0!</v>
      </c>
      <c r="CQ380" s="222" t="e">
        <f>CQ211/CQ285</f>
        <v>#DIV/0!</v>
      </c>
      <c r="CR380" s="222" t="e">
        <f>CR211/CR285</f>
        <v>#DIV/0!</v>
      </c>
      <c r="CS380" s="222" t="e">
        <f>CS211/CS285</f>
        <v>#DIV/0!</v>
      </c>
      <c r="CU380" s="222" t="e">
        <f>CU211/CU285</f>
        <v>#DIV/0!</v>
      </c>
      <c r="CV380" s="222" t="e">
        <f>CV211/CV285</f>
        <v>#DIV/0!</v>
      </c>
      <c r="CW380" s="222" t="e">
        <f>CW211/CW285</f>
        <v>#DIV/0!</v>
      </c>
      <c r="CX380" s="222" t="e">
        <f>CX211/CX285</f>
        <v>#DIV/0!</v>
      </c>
    </row>
    <row r="381" customFormat="1" s="233">
      <c r="A381" s="224" t="n"/>
      <c r="B381" s="224" t="n"/>
      <c r="C381" s="233" t="inlineStr">
        <is>
          <t>ROE - DUPONT</t>
        </is>
      </c>
      <c r="D381" s="238">
        <f>PRODUCT(D378:D380)</f>
        <v>0.000494803389616948</v>
      </c>
      <c r="E381" s="238">
        <f>PRODUCT(E378:E380)</f>
        <v>0.0132384338464155</v>
      </c>
      <c r="F381" s="238">
        <f>PRODUCT(F378:F380)</f>
        <v>0.0118525231160583</v>
      </c>
      <c r="G381" s="238">
        <f>PRODUCT(G378:G380)</f>
        <v>0.0208289429092554</v>
      </c>
      <c r="I381" s="222">
        <f>PRODUCT(I378:I380)</f>
        <v>0.0106187005267498</v>
      </c>
      <c r="J381" s="222">
        <f>PRODUCT(J378:J380)</f>
        <v>0.0197996426841942</v>
      </c>
      <c r="K381" s="222">
        <f>PRODUCT(K378:K380)</f>
        <v>0.0131430653855755</v>
      </c>
      <c r="L381" s="222">
        <f>PRODUCT(L378:L380)</f>
        <v>0.0296800701220552</v>
      </c>
      <c r="N381" s="222">
        <f>PRODUCT(N378:N380)</f>
        <v>0.010813084883346</v>
      </c>
      <c r="O381" s="222">
        <f>PRODUCT(O378:O380)</f>
        <v>0.0155261906541704</v>
      </c>
      <c r="P381" s="222">
        <f>PRODUCT(P378:P380)</f>
        <v>0.0147752633295861</v>
      </c>
      <c r="Q381" s="222">
        <f>PRODUCT(Q378:Q380)</f>
        <v>0.0165343760662667</v>
      </c>
      <c r="S381" s="222">
        <f>PRODUCT(S378:S380)</f>
        <v>0.01462337679796</v>
      </c>
      <c r="T381" s="222">
        <f>PRODUCT(T378:T380)</f>
        <v>0.0183607690970391</v>
      </c>
      <c r="U381" s="222">
        <f>PRODUCT(U378:U380)</f>
        <v>0.0147481868742929</v>
      </c>
      <c r="V381" s="222">
        <f>PRODUCT(V378:V380)</f>
        <v>0.0317662037852088</v>
      </c>
      <c r="X381" s="222">
        <f>PRODUCT(X378:X380)</f>
        <v>0.0205647602861766</v>
      </c>
      <c r="Y381" s="222">
        <f>PRODUCT(Y378:Y380)</f>
        <v>0.0282306667063185</v>
      </c>
      <c r="Z381" s="222">
        <f>PRODUCT(Z378:Z380)</f>
        <v>0.0223418047149248</v>
      </c>
      <c r="AA381" s="222">
        <f>PRODUCT(AA378:AA380)</f>
        <v>0.0202786299473737</v>
      </c>
      <c r="AC381" s="222">
        <f>PRODUCT(AC378:AC380)</f>
        <v>0.0275221410934776</v>
      </c>
      <c r="AD381" s="222">
        <f>PRODUCT(AD378:AD380)</f>
        <v>0.026368404876062</v>
      </c>
      <c r="AE381" s="222">
        <f>PRODUCT(AE378:AE380)</f>
        <v>0.0280018851396326</v>
      </c>
      <c r="AF381" s="222">
        <f>PRODUCT(AF378:AF380)</f>
        <v>0.0309121278496859</v>
      </c>
      <c r="AH381" s="222">
        <f>PRODUCT(AH378:AH380)</f>
        <v>0.0300656654370539</v>
      </c>
      <c r="AI381" s="222">
        <f>PRODUCT(AI378:AI380)</f>
        <v>0.0211168727818521</v>
      </c>
      <c r="AJ381" s="222">
        <f>PRODUCT(AJ378:AJ380)</f>
        <v>0.000187301450612958</v>
      </c>
      <c r="AK381" s="222">
        <f>PRODUCT(AK378:AK380)</f>
        <v>0.00019159930801276</v>
      </c>
      <c r="AM381" s="222" t="e">
        <f>PRODUCT(AM378:AM380)</f>
        <v>#DIV/0!</v>
      </c>
      <c r="AN381" s="222" t="e">
        <f>PRODUCT(AN378:AN380)</f>
        <v>#DIV/0!</v>
      </c>
      <c r="AO381" s="222" t="e">
        <f>PRODUCT(AO378:AO380)</f>
        <v>#DIV/0!</v>
      </c>
      <c r="AP381" s="222" t="e">
        <f>PRODUCT(AP378:AP380)</f>
        <v>#DIV/0!</v>
      </c>
      <c r="AR381" s="222" t="e">
        <f>PRODUCT(AR378:AR380)</f>
        <v>#DIV/0!</v>
      </c>
      <c r="AS381" s="222" t="e">
        <f>PRODUCT(AS378:AS380)</f>
        <v>#DIV/0!</v>
      </c>
      <c r="AT381" s="222" t="e">
        <f>PRODUCT(AT378:AT380)</f>
        <v>#DIV/0!</v>
      </c>
      <c r="AU381" s="222" t="e">
        <f>PRODUCT(AU378:AU380)</f>
        <v>#DIV/0!</v>
      </c>
      <c r="AW381" s="222" t="e">
        <f>PRODUCT(AW378:AW380)</f>
        <v>#DIV/0!</v>
      </c>
      <c r="AX381" s="222" t="e">
        <f>PRODUCT(AX378:AX380)</f>
        <v>#DIV/0!</v>
      </c>
      <c r="AY381" s="222" t="e">
        <f>PRODUCT(AY378:AY380)</f>
        <v>#DIV/0!</v>
      </c>
      <c r="AZ381" s="222" t="e">
        <f>PRODUCT(AZ378:AZ380)</f>
        <v>#DIV/0!</v>
      </c>
      <c r="BB381" s="222" t="e">
        <f>PRODUCT(BB378:BB380)</f>
        <v>#DIV/0!</v>
      </c>
      <c r="BC381" s="222" t="e">
        <f>PRODUCT(BC378:BC380)</f>
        <v>#DIV/0!</v>
      </c>
      <c r="BD381" s="222" t="e">
        <f>PRODUCT(BD378:BD380)</f>
        <v>#DIV/0!</v>
      </c>
      <c r="BE381" s="222" t="e">
        <f>PRODUCT(BE378:BE380)</f>
        <v>#DIV/0!</v>
      </c>
      <c r="BG381" s="222" t="e">
        <f>PRODUCT(BG378:BG380)</f>
        <v>#DIV/0!</v>
      </c>
      <c r="BH381" s="222" t="e">
        <f>PRODUCT(BH378:BH380)</f>
        <v>#DIV/0!</v>
      </c>
      <c r="BI381" s="222" t="e">
        <f>PRODUCT(BI378:BI380)</f>
        <v>#DIV/0!</v>
      </c>
      <c r="BJ381" s="222" t="e">
        <f>PRODUCT(BJ378:BJ380)</f>
        <v>#DIV/0!</v>
      </c>
      <c r="BL381" s="222" t="e">
        <f>PRODUCT(BL378:BL380)</f>
        <v>#DIV/0!</v>
      </c>
      <c r="BM381" s="222" t="e">
        <f>PRODUCT(BM378:BM380)</f>
        <v>#DIV/0!</v>
      </c>
      <c r="BN381" s="222" t="e">
        <f>PRODUCT(BN378:BN380)</f>
        <v>#DIV/0!</v>
      </c>
      <c r="BO381" s="222" t="e">
        <f>PRODUCT(BO378:BO380)</f>
        <v>#DIV/0!</v>
      </c>
      <c r="BQ381" s="222" t="e">
        <f>PRODUCT(BQ378:BQ380)</f>
        <v>#DIV/0!</v>
      </c>
      <c r="BR381" s="222" t="e">
        <f>PRODUCT(BR378:BR380)</f>
        <v>#DIV/0!</v>
      </c>
      <c r="BS381" s="222" t="e">
        <f>PRODUCT(BS378:BS380)</f>
        <v>#DIV/0!</v>
      </c>
      <c r="BT381" s="222" t="e">
        <f>PRODUCT(BT378:BT380)</f>
        <v>#DIV/0!</v>
      </c>
      <c r="BV381" s="222" t="e">
        <f>PRODUCT(BV378:BV380)</f>
        <v>#DIV/0!</v>
      </c>
      <c r="BW381" s="222" t="e">
        <f>PRODUCT(BW378:BW380)</f>
        <v>#DIV/0!</v>
      </c>
      <c r="BX381" s="222" t="e">
        <f>PRODUCT(BX378:BX380)</f>
        <v>#DIV/0!</v>
      </c>
      <c r="BY381" s="222" t="e">
        <f>PRODUCT(BY378:BY380)</f>
        <v>#DIV/0!</v>
      </c>
      <c r="CA381" s="222" t="e">
        <f>PRODUCT(CA378:CA380)</f>
        <v>#DIV/0!</v>
      </c>
      <c r="CB381" s="222" t="e">
        <f>PRODUCT(CB378:CB380)</f>
        <v>#DIV/0!</v>
      </c>
      <c r="CC381" s="222" t="e">
        <f>PRODUCT(CC378:CC380)</f>
        <v>#DIV/0!</v>
      </c>
      <c r="CD381" s="222" t="e">
        <f>PRODUCT(CD378:CD380)</f>
        <v>#DIV/0!</v>
      </c>
      <c r="CF381" s="222" t="e">
        <f>PRODUCT(CF378:CF380)</f>
        <v>#DIV/0!</v>
      </c>
      <c r="CG381" s="222" t="e">
        <f>PRODUCT(CG378:CG380)</f>
        <v>#DIV/0!</v>
      </c>
      <c r="CH381" s="222" t="e">
        <f>PRODUCT(CH378:CH380)</f>
        <v>#DIV/0!</v>
      </c>
      <c r="CI381" s="222" t="e">
        <f>PRODUCT(CI378:CI380)</f>
        <v>#DIV/0!</v>
      </c>
      <c r="CK381" s="222" t="e">
        <f>PRODUCT(CK378:CK380)</f>
        <v>#DIV/0!</v>
      </c>
      <c r="CL381" s="222" t="e">
        <f>PRODUCT(CL378:CL380)</f>
        <v>#DIV/0!</v>
      </c>
      <c r="CM381" s="222" t="e">
        <f>PRODUCT(CM378:CM380)</f>
        <v>#DIV/0!</v>
      </c>
      <c r="CN381" s="222" t="e">
        <f>PRODUCT(CN378:CN380)</f>
        <v>#DIV/0!</v>
      </c>
      <c r="CP381" s="222" t="e">
        <f>PRODUCT(CP378:CP380)</f>
        <v>#DIV/0!</v>
      </c>
      <c r="CQ381" s="222" t="e">
        <f>PRODUCT(CQ378:CQ380)</f>
        <v>#DIV/0!</v>
      </c>
      <c r="CR381" s="222" t="e">
        <f>PRODUCT(CR378:CR380)</f>
        <v>#DIV/0!</v>
      </c>
      <c r="CS381" s="222" t="e">
        <f>PRODUCT(CS378:CS380)</f>
        <v>#DIV/0!</v>
      </c>
      <c r="CU381" s="222" t="e">
        <f>PRODUCT(CU378:CU380)</f>
        <v>#DIV/0!</v>
      </c>
      <c r="CV381" s="222" t="e">
        <f>PRODUCT(CV378:CV380)</f>
        <v>#DIV/0!</v>
      </c>
      <c r="CW381" s="222" t="e">
        <f>PRODUCT(CW378:CW380)</f>
        <v>#DIV/0!</v>
      </c>
      <c r="CX381" s="222" t="e">
        <f>PRODUCT(CX378:CX380)</f>
        <v>#DIV/0!</v>
      </c>
    </row>
    <row r="382" customFormat="1" s="233">
      <c r="A382" s="224" t="n"/>
      <c r="B382" s="224" t="n"/>
      <c r="C382" s="233" t="inlineStr">
        <is>
          <t>ROE</t>
        </is>
      </c>
      <c r="D382" s="238">
        <f>D151/D285</f>
        <v>0.0173044925124792</v>
      </c>
      <c r="E382" s="238">
        <f>E151/E285</f>
        <v>0.088116882498118</v>
      </c>
      <c r="F382" s="238">
        <f>F151/F285</f>
        <v>0.078263875564323</v>
      </c>
      <c r="G382" s="238">
        <f>G151/G285</f>
        <v>0.105805379000509</v>
      </c>
      <c r="I382" s="222">
        <f>I151/I285</f>
        <v>0.0720656177248581</v>
      </c>
      <c r="J382" s="222">
        <f>J151/J285</f>
        <v>0.113689189091461</v>
      </c>
      <c r="K382" s="222">
        <f>K151/K285</f>
        <v>0.0890106006963569</v>
      </c>
      <c r="L382" s="222">
        <f>L151/L285</f>
        <v>0.140522911226447</v>
      </c>
      <c r="N382" s="222">
        <f>N151/N285</f>
        <v>0.0781463424487024</v>
      </c>
      <c r="O382" s="222">
        <f>O151/O285</f>
        <v>0.108414987328037</v>
      </c>
      <c r="P382" s="222">
        <f>P151/P285</f>
        <v>0.103024876967855</v>
      </c>
      <c r="Q382" s="222">
        <f>Q151/Q285</f>
        <v>0.104568737268555</v>
      </c>
      <c r="S382" s="222">
        <f>S151/S285</f>
        <v>0.0947235763721662</v>
      </c>
      <c r="T382" s="222">
        <f>T151/T285</f>
        <v>0.110090187004473</v>
      </c>
      <c r="U382" s="222">
        <f>U151/U285</f>
        <v>0.10246514745816</v>
      </c>
      <c r="V382" s="222">
        <f>V151/V285</f>
        <v>0.160808642099139</v>
      </c>
      <c r="X382" s="222">
        <f>X151/X285</f>
        <v>0.12192323828038</v>
      </c>
      <c r="Y382" s="222">
        <f>Y151/Y285</f>
        <v>0.163582308508315</v>
      </c>
      <c r="Z382" s="222">
        <f>Z151/Z285</f>
        <v>0.138301495151299</v>
      </c>
      <c r="AA382" s="222">
        <f>AA151/AA285</f>
        <v>0.126597222381311</v>
      </c>
      <c r="AC382" s="222">
        <f>AC151/AC285</f>
        <v>0.156795819855393</v>
      </c>
      <c r="AD382" s="222">
        <f>AD151/AD285</f>
        <v>0.149991662998149</v>
      </c>
      <c r="AE382" s="222">
        <f>AE151/AE285</f>
        <v>0.155440285142032</v>
      </c>
      <c r="AF382" s="222">
        <f>AF151/AF285</f>
        <v>0.162495923718483</v>
      </c>
      <c r="AH382" s="222">
        <f>AH151/AH285</f>
        <v>0.160080233830346</v>
      </c>
      <c r="AI382" s="222">
        <f>AI151/AI285</f>
        <v>0.132001946466319</v>
      </c>
      <c r="AJ382" s="222">
        <f>AJ151/AJ285</f>
        <v>0.0112406732406275</v>
      </c>
      <c r="AK382" s="222">
        <f>AK151/AK285</f>
        <v>0.0112435998667108</v>
      </c>
      <c r="AM382" s="222">
        <f>AM151/AM285</f>
        <v>0.000967684953384466</v>
      </c>
      <c r="AN382" s="222">
        <f>AN151/AN285</f>
        <v>0.0645602304542814</v>
      </c>
      <c r="AO382" s="222">
        <f>AO151/AO285</f>
        <v>0.00926545771197721</v>
      </c>
      <c r="AP382" s="222">
        <f>AP151/AP285</f>
        <v>0.0644546485260771</v>
      </c>
      <c r="AR382" s="222">
        <f>AR151/AR285</f>
        <v>0.0522318809175729</v>
      </c>
      <c r="AS382" s="222">
        <f>AS151/AS285</f>
        <v>0.133862269531581</v>
      </c>
      <c r="AT382" s="222">
        <f>AT151/AT285</f>
        <v>0.0479380884886084</v>
      </c>
      <c r="AU382" s="222">
        <f>AU151/AU285</f>
        <v>0.114928571446363</v>
      </c>
      <c r="AW382" s="222">
        <f>AW151/AW285</f>
        <v>0.0975803204221419</v>
      </c>
      <c r="AX382" s="222">
        <f>AX151/AX285</f>
        <v>0.225146682071248</v>
      </c>
      <c r="AY382" s="222">
        <f>AY151/AY285</f>
        <v>0.0724128076560629</v>
      </c>
      <c r="AZ382" s="222">
        <f>AZ151/AZ285</f>
        <v>0.173169746483854</v>
      </c>
      <c r="BB382" s="222">
        <f>BB151/BB285</f>
        <v>0.144750614583049</v>
      </c>
      <c r="BC382" s="222">
        <f>BC151/BC285</f>
        <v>0.285933436689884</v>
      </c>
      <c r="BD382" s="222">
        <f>BD151/BD285</f>
        <v>0.094433567459029</v>
      </c>
      <c r="BE382" s="222">
        <f>BE151/BE285</f>
        <v>0.205708592664733</v>
      </c>
      <c r="BG382" s="222">
        <f>BG151/BG285</f>
        <v>0.169378608467315</v>
      </c>
      <c r="BH382" s="222">
        <f>BH151/BH285</f>
        <v>0.318200336556838</v>
      </c>
      <c r="BI382" s="222">
        <f>BI151/BI285</f>
        <v>0.103791446336567</v>
      </c>
      <c r="BJ382" s="222">
        <f>BJ151/BJ285</f>
        <v>0.22188014383719</v>
      </c>
      <c r="BL382" s="222">
        <f>BL151/BL285</f>
        <v>0.181105840937151</v>
      </c>
      <c r="BM382" s="222">
        <f>BM151/BM285</f>
        <v>0.331433831546108</v>
      </c>
      <c r="BN382" s="222">
        <f>BN151/BN285</f>
        <v>0.108097685175499</v>
      </c>
      <c r="BO382" s="222">
        <f>BO151/BO285</f>
        <v>0.228150998380102</v>
      </c>
      <c r="BQ382" s="222">
        <f>BQ151/BQ285</f>
        <v>0.185586301280065</v>
      </c>
      <c r="BR382" s="222">
        <f>BR151/BR285</f>
        <v>0.33666639898304</v>
      </c>
      <c r="BS382" s="222">
        <f>BS151/BS285</f>
        <v>0.109645639820743</v>
      </c>
      <c r="BT382" s="222">
        <f>BT151/BT285</f>
        <v>0.230618480677698</v>
      </c>
      <c r="BV382" s="222">
        <f>BV151/BV285</f>
        <v>0.187333356819594</v>
      </c>
      <c r="BW382" s="222">
        <f>BW151/BW285</f>
        <v>0.338601927201592</v>
      </c>
      <c r="BX382" s="222">
        <f>BX151/BX285</f>
        <v>0.110254961308787</v>
      </c>
      <c r="BY382" s="222">
        <f>BY151/BY285</f>
        <v>0.231517985709271</v>
      </c>
      <c r="CA382" s="222">
        <f>CA151/CA285</f>
        <v>0.187969340963441</v>
      </c>
      <c r="CB382" s="222">
        <f>CB151/CB285</f>
        <v>0.339326085683532</v>
      </c>
      <c r="CC382" s="222">
        <f>CC151/CC285</f>
        <v>0.110472331919386</v>
      </c>
      <c r="CD382" s="222">
        <f>CD151/CD285</f>
        <v>0.231855807324589</v>
      </c>
      <c r="CF382" s="222">
        <f>CF151/CF285</f>
        <v>0.188207641654568</v>
      </c>
      <c r="CG382" s="222">
        <f>CG151/CG285</f>
        <v>0.339591082779774</v>
      </c>
      <c r="CH382" s="222">
        <f>CH151/CH285</f>
        <v>0.110554582805367</v>
      </c>
      <c r="CI382" s="222">
        <f>CI151/CI285</f>
        <v>0.231978777088124</v>
      </c>
      <c r="CK382" s="222">
        <f>CK151/CK285</f>
        <v>0.18829439660816</v>
      </c>
      <c r="CL382" s="222">
        <f>CL151/CL285</f>
        <v>0.339689122482499</v>
      </c>
      <c r="CM382" s="222">
        <f>CM151/CM285</f>
        <v>0.110584260227278</v>
      </c>
      <c r="CN382" s="222">
        <f>CN151/CN285</f>
        <v>0.232024405820229</v>
      </c>
      <c r="CP382" s="222">
        <f>CP151/CP285</f>
        <v>0.188326556075032</v>
      </c>
      <c r="CQ382" s="222">
        <f>CQ151/CQ285</f>
        <v>0.339725036119981</v>
      </c>
      <c r="CR382" s="222">
        <f>CR151/CR285</f>
        <v>0.110595326414529</v>
      </c>
      <c r="CS382" s="222">
        <f>CS151/CS285</f>
        <v>0.232041079314998</v>
      </c>
      <c r="CU382" s="222">
        <f>CU151/CU285</f>
        <v>0.188338308587753</v>
      </c>
      <c r="CV382" s="222">
        <f>CV151/CV285</f>
        <v>0.33973827753136</v>
      </c>
      <c r="CW382" s="222">
        <f>CW151/CW285</f>
        <v>0.110599352341021</v>
      </c>
      <c r="CX382" s="222">
        <f>CX151/CX285</f>
        <v>0.232047237301211</v>
      </c>
    </row>
    <row r="384">
      <c r="C384" s="53" t="inlineStr">
        <is>
          <t>Scenario Analysis</t>
        </is>
      </c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  <c r="AA384" s="53" t="n"/>
      <c r="AB384" s="53" t="n"/>
      <c r="AC384" s="53" t="n"/>
      <c r="AD384" s="53" t="n"/>
      <c r="AE384" s="53" t="n"/>
      <c r="AF384" s="53" t="n"/>
      <c r="AG384" s="53" t="n"/>
      <c r="AH384" s="53" t="n"/>
      <c r="AI384" s="53" t="n"/>
      <c r="AJ384" s="53" t="n"/>
      <c r="AK384" s="53" t="n"/>
      <c r="AL384" s="53" t="n"/>
      <c r="AM384" s="53" t="n"/>
      <c r="AN384" s="53" t="n"/>
      <c r="AO384" s="53" t="n"/>
      <c r="AP384" s="53" t="n"/>
      <c r="AQ384" s="53" t="n"/>
      <c r="AR384" s="53" t="n"/>
      <c r="AS384" s="53" t="n"/>
      <c r="AT384" s="53" t="n"/>
      <c r="AU384" s="53" t="n"/>
      <c r="AV384" s="53" t="n"/>
      <c r="AW384" s="53" t="n"/>
      <c r="AX384" s="53" t="n"/>
      <c r="AY384" s="53" t="n"/>
      <c r="AZ384" s="53" t="n"/>
      <c r="BA384" s="53" t="n"/>
      <c r="BB384" s="53" t="n"/>
      <c r="BC384" s="53" t="n"/>
      <c r="BD384" s="53" t="n"/>
      <c r="BE384" s="53" t="n"/>
      <c r="BF384" s="53" t="n"/>
      <c r="BG384" s="53" t="n"/>
      <c r="BH384" s="53" t="n"/>
      <c r="BI384" s="53" t="n"/>
      <c r="BJ384" s="53" t="n"/>
      <c r="BK384" s="53" t="n"/>
      <c r="BL384" s="53" t="n"/>
      <c r="BM384" s="53" t="n"/>
      <c r="BN384" s="53" t="n"/>
      <c r="BO384" s="53" t="n"/>
      <c r="BP384" s="53" t="n"/>
      <c r="BQ384" s="53" t="n"/>
      <c r="BR384" s="53" t="n"/>
      <c r="BS384" s="53" t="n"/>
      <c r="BT384" s="53" t="n"/>
      <c r="BU384" s="53" t="n"/>
      <c r="BV384" s="53" t="n"/>
      <c r="BW384" s="53" t="n"/>
      <c r="BX384" s="53" t="n"/>
      <c r="BY384" s="53" t="n"/>
      <c r="BZ384" s="53" t="n"/>
      <c r="CA384" s="53" t="n"/>
      <c r="CB384" s="53" t="n"/>
      <c r="CC384" s="53" t="n"/>
      <c r="CD384" s="53" t="n"/>
      <c r="CE384" s="53" t="n"/>
      <c r="CF384" s="53" t="n"/>
      <c r="CG384" s="53" t="n"/>
      <c r="CH384" s="53" t="n"/>
      <c r="CI384" s="53" t="n"/>
      <c r="CJ384" s="53" t="n"/>
      <c r="CK384" s="53" t="n"/>
      <c r="CL384" s="53" t="n"/>
      <c r="CM384" s="53" t="n"/>
      <c r="CN384" s="53" t="n"/>
      <c r="CO384" s="53" t="n"/>
      <c r="CP384" s="53" t="n"/>
      <c r="CQ384" s="53" t="n"/>
      <c r="CR384" s="53" t="n"/>
      <c r="CS384" s="53" t="n"/>
      <c r="CT384" s="53" t="n"/>
      <c r="CU384" s="53" t="n"/>
      <c r="CV384" s="53" t="n"/>
      <c r="CW384" s="53" t="n"/>
      <c r="CX384" s="53" t="n"/>
      <c r="CY384" s="53" t="n"/>
    </row>
    <row r="387">
      <c r="C387" s="4" t="inlineStr">
        <is>
          <t>Bull case</t>
        </is>
      </c>
    </row>
    <row r="388">
      <c r="C388" s="4" t="inlineStr">
        <is>
          <t>Base case</t>
        </is>
      </c>
    </row>
    <row r="389">
      <c r="C389" s="4" t="inlineStr">
        <is>
          <t>Bear case</t>
        </is>
      </c>
    </row>
    <row r="392">
      <c r="C392" s="4" t="inlineStr">
        <is>
          <t>Bull case</t>
        </is>
      </c>
    </row>
    <row r="393">
      <c r="C393" s="4" t="inlineStr">
        <is>
          <t>Base case</t>
        </is>
      </c>
    </row>
    <row r="394">
      <c r="C394" s="4" t="inlineStr">
        <is>
          <t>Bear case</t>
        </is>
      </c>
    </row>
    <row r="397">
      <c r="C397" s="4" t="inlineStr">
        <is>
          <t>% Gross Margin</t>
        </is>
      </c>
    </row>
    <row r="398">
      <c r="C398" s="4" t="inlineStr">
        <is>
          <t>Bull case</t>
        </is>
      </c>
    </row>
    <row r="399">
      <c r="C399" s="4" t="inlineStr">
        <is>
          <t>Base case</t>
        </is>
      </c>
    </row>
    <row r="400">
      <c r="C400" s="4" t="inlineStr">
        <is>
          <t>Bear case</t>
        </is>
      </c>
    </row>
    <row r="403">
      <c r="C403" s="4" t="inlineStr">
        <is>
          <t>Capital expenditures</t>
        </is>
      </c>
    </row>
    <row r="404">
      <c r="C404" s="4" t="inlineStr">
        <is>
          <t>Bull case</t>
        </is>
      </c>
    </row>
    <row r="405">
      <c r="C405" s="4" t="inlineStr">
        <is>
          <t>Base case</t>
        </is>
      </c>
    </row>
    <row r="406">
      <c r="C406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29:G329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29:L329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29:Q329">
    <cfRule type="cellIs" priority="44" operator="notEqual" dxfId="0">
      <formula>0</formula>
    </cfRule>
  </conditionalFormatting>
  <conditionalFormatting sqref="S329:V329">
    <cfRule type="cellIs" priority="43" operator="notEqual" dxfId="0">
      <formula>0</formula>
    </cfRule>
  </conditionalFormatting>
  <conditionalFormatting sqref="X329:AA329">
    <cfRule type="cellIs" priority="42" operator="notEqual" dxfId="0">
      <formula>0</formula>
    </cfRule>
  </conditionalFormatting>
  <conditionalFormatting sqref="AC329:AF329">
    <cfRule type="cellIs" priority="41" operator="notEqual" dxfId="0">
      <formula>0</formula>
    </cfRule>
  </conditionalFormatting>
  <conditionalFormatting sqref="AH329:AK329">
    <cfRule type="cellIs" priority="14" operator="notEqual" dxfId="0">
      <formula>0</formula>
    </cfRule>
  </conditionalFormatting>
  <conditionalFormatting sqref="AM329:AP329">
    <cfRule type="cellIs" priority="13" operator="notEqual" dxfId="0">
      <formula>0</formula>
    </cfRule>
  </conditionalFormatting>
  <conditionalFormatting sqref="AR329:AU329">
    <cfRule type="cellIs" priority="12" operator="notEqual" dxfId="0">
      <formula>0</formula>
    </cfRule>
  </conditionalFormatting>
  <conditionalFormatting sqref="AW329:AZ329">
    <cfRule type="cellIs" priority="11" operator="notEqual" dxfId="0">
      <formula>0</formula>
    </cfRule>
  </conditionalFormatting>
  <conditionalFormatting sqref="BB329:BE329">
    <cfRule type="cellIs" priority="10" operator="notEqual" dxfId="0">
      <formula>0</formula>
    </cfRule>
  </conditionalFormatting>
  <conditionalFormatting sqref="BG329:BJ329">
    <cfRule type="cellIs" priority="9" operator="notEqual" dxfId="0">
      <formula>0</formula>
    </cfRule>
  </conditionalFormatting>
  <conditionalFormatting sqref="BL329:BO329">
    <cfRule type="cellIs" priority="8" operator="notEqual" dxfId="0">
      <formula>0</formula>
    </cfRule>
  </conditionalFormatting>
  <conditionalFormatting sqref="BQ329:BT329">
    <cfRule type="cellIs" priority="7" operator="notEqual" dxfId="0">
      <formula>0</formula>
    </cfRule>
  </conditionalFormatting>
  <conditionalFormatting sqref="BV329:BY329">
    <cfRule type="cellIs" priority="6" operator="notEqual" dxfId="0">
      <formula>0</formula>
    </cfRule>
  </conditionalFormatting>
  <conditionalFormatting sqref="CA329:CD329">
    <cfRule type="cellIs" priority="5" operator="notEqual" dxfId="0">
      <formula>0</formula>
    </cfRule>
  </conditionalFormatting>
  <conditionalFormatting sqref="CF329:CI329">
    <cfRule type="cellIs" priority="4" operator="notEqual" dxfId="0">
      <formula>0</formula>
    </cfRule>
  </conditionalFormatting>
  <conditionalFormatting sqref="CK329:CN329">
    <cfRule type="cellIs" priority="3" operator="notEqual" dxfId="0">
      <formula>0</formula>
    </cfRule>
  </conditionalFormatting>
  <conditionalFormatting sqref="CP329:CS329">
    <cfRule type="cellIs" priority="2" operator="notEqual" dxfId="0">
      <formula>0</formula>
    </cfRule>
  </conditionalFormatting>
  <conditionalFormatting sqref="CU329:CX329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59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2886.172</v>
      </c>
      <c r="E18" s="83">
        <f>Model!AB15</f>
        <v>3926.31</v>
      </c>
      <c r="F18" s="83">
        <f>Model!AG15</f>
        <v>5399.424</v>
      </c>
      <c r="G18" s="83">
        <f>Model!AL15</f>
        <v>6139.806</v>
      </c>
      <c r="H18" s="83">
        <f>Model!AQ15</f>
        <v>6139.806</v>
      </c>
      <c r="I18" s="83">
        <f>Model!AV15</f>
        <v>6139.806</v>
      </c>
      <c r="J18" s="83">
        <f>Model!BA15</f>
        <v>6139.806</v>
      </c>
      <c r="K18" s="83">
        <f>Model!BF15</f>
        <v>6139.806</v>
      </c>
      <c r="L18" s="83">
        <f>Model!BK15</f>
        <v>6139.806</v>
      </c>
      <c r="M18" s="83">
        <f>Model!BP15</f>
        <v>6139.806</v>
      </c>
      <c r="N18" s="83">
        <f>Model!BU15</f>
        <v>6139.806</v>
      </c>
      <c r="O18" s="83">
        <f>Model!BZ15</f>
        <v>6139.806</v>
      </c>
      <c r="P18" s="83">
        <f>Model!CE15</f>
        <v>6139.806</v>
      </c>
      <c r="Q18" s="83">
        <f>Model!CJ15</f>
        <v>6139.806</v>
      </c>
      <c r="R18" s="83">
        <f>Model!CO15</f>
        <v>6139.806</v>
      </c>
      <c r="S18" s="83" t="n"/>
      <c r="T18" s="83" t="n"/>
      <c r="U18" s="83" t="n"/>
      <c r="V18" s="84" t="n"/>
      <c r="X18" s="85">
        <f>((L18/F18)^(1/6))-1</f>
        <v>0.0216477966633912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0.360386699060209</v>
      </c>
      <c r="F19" s="87">
        <f>F18/E18-1</f>
        <v>0.375190445991274</v>
      </c>
      <c r="G19" s="87">
        <f>G18/F18-1</f>
        <v>0.137122404167556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Model!W83</f>
        <v>606.165</v>
      </c>
      <c r="E20" s="83">
        <f>Model!AB83</f>
        <v>842.271226435</v>
      </c>
      <c r="F20" s="83">
        <f>Model!AG83</f>
        <v>1295.54849787</v>
      </c>
      <c r="G20" s="83">
        <f>Model!AL83</f>
        <v>795.174</v>
      </c>
      <c r="H20" s="83">
        <f>Model!AQ83</f>
        <v>0</v>
      </c>
      <c r="I20" s="83">
        <f>Model!BA83</f>
        <v>0</v>
      </c>
      <c r="J20" s="83">
        <f>Model!BA83</f>
        <v>0</v>
      </c>
      <c r="K20" s="83">
        <f>Model!BF83</f>
        <v>0</v>
      </c>
      <c r="L20" s="83">
        <f>Model!BK83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0.210023865521528</v>
      </c>
      <c r="E21" s="92">
        <f>E20/E18</f>
        <v>0.214519797579661</v>
      </c>
      <c r="F21" s="92">
        <f>F20/F18</f>
        <v>0.23994198230589</v>
      </c>
      <c r="G21" s="92">
        <f>G20/G18</f>
        <v>0.129511258173304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Model!W87</f>
        <v>580.293</v>
      </c>
      <c r="E22" s="83">
        <f>Model!AB87</f>
        <v>811.14026339</v>
      </c>
      <c r="F22" s="83">
        <f>Model!AG87</f>
        <v>1260.67049787</v>
      </c>
      <c r="G22" s="83">
        <f>Model!AL87</f>
        <v>778.274</v>
      </c>
      <c r="H22" s="83">
        <f>Model!AQ87</f>
        <v>0</v>
      </c>
      <c r="I22" s="83">
        <f>Model!AV87</f>
        <v>0</v>
      </c>
      <c r="J22" s="83">
        <f>Model!BA87</f>
        <v>0</v>
      </c>
      <c r="K22" s="83">
        <f>Model!BF87</f>
        <v>0</v>
      </c>
      <c r="L22" s="83">
        <f>Model!BK87</f>
        <v>0</v>
      </c>
      <c r="M22" s="83">
        <f>Model!BP87</f>
        <v>0</v>
      </c>
      <c r="N22" s="83">
        <f>Model!BU87</f>
        <v>0</v>
      </c>
      <c r="O22" s="83">
        <f>Model!BZ87</f>
        <v>0</v>
      </c>
      <c r="P22" s="83">
        <f>Model!CE87</f>
        <v>0</v>
      </c>
      <c r="Q22" s="83">
        <f>Model!CJ87</f>
        <v>0</v>
      </c>
      <c r="R22" s="83">
        <f>Model!CO87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0.201059742801191</v>
      </c>
      <c r="E23" s="92">
        <f>E22/E18</f>
        <v>0.20659098833001</v>
      </c>
      <c r="F23" s="92">
        <f>F22/F18</f>
        <v>0.233482404395358</v>
      </c>
      <c r="G23" s="92">
        <f>G22/G18</f>
        <v>0.126758728207373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Model!W146</f>
        <v>0.127860701787839</v>
      </c>
      <c r="E24" s="95">
        <f>Model!AB146</f>
        <v>0.115099389895048</v>
      </c>
      <c r="F24" s="95">
        <f>Model!AG146</f>
        <v>0.11462693803689</v>
      </c>
      <c r="G24" s="95">
        <f>Model!AL146</f>
        <v>0.102484140376359</v>
      </c>
      <c r="H24" s="95">
        <f>Model!AQ146</f>
        <v>0</v>
      </c>
      <c r="I24" s="95">
        <f>Model!AV146</f>
        <v>0</v>
      </c>
      <c r="J24" s="95">
        <f>Model!BA146</f>
        <v>0</v>
      </c>
      <c r="K24" s="95">
        <f>Model!BF146</f>
        <v>0</v>
      </c>
      <c r="L24" s="95">
        <f>Model!BK146</f>
        <v>0</v>
      </c>
      <c r="M24" s="95">
        <f>Model!BP146</f>
        <v>0</v>
      </c>
      <c r="N24" s="95">
        <f>Model!BU146</f>
        <v>0</v>
      </c>
      <c r="O24" s="95">
        <f>Model!BZ146</f>
        <v>0</v>
      </c>
      <c r="P24" s="95">
        <f>Model!CE146</f>
        <v>0</v>
      </c>
      <c r="Q24" s="95">
        <f>Model!CJ146</f>
        <v>0</v>
      </c>
      <c r="R24" s="95">
        <f>Model!CO146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506.096329777429</v>
      </c>
      <c r="E25" s="97">
        <f>E22*(1-E24)</f>
        <v>717.778513954503</v>
      </c>
      <c r="F25" s="97">
        <f>F22*(1-F24)</f>
        <v>1116.16369882572</v>
      </c>
      <c r="G25" s="97">
        <f>G22*(1-G24)</f>
        <v>698.51325813273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Model!W84</f>
        <v>-25.872</v>
      </c>
      <c r="E26" s="100">
        <f>Model!AB84</f>
        <v>-31.1309630449993</v>
      </c>
      <c r="F26" s="100">
        <f>Model!AG84</f>
        <v>-34.878</v>
      </c>
      <c r="G26" s="100">
        <f>Model!AL84</f>
        <v>-16.9</v>
      </c>
      <c r="H26" s="100">
        <f>Model!AQ84</f>
        <v>0</v>
      </c>
      <c r="I26" s="100">
        <f>Model!AV84</f>
        <v>0</v>
      </c>
      <c r="J26" s="100">
        <f>Model!BA84</f>
        <v>0</v>
      </c>
      <c r="K26" s="100">
        <f>Model!BF84</f>
        <v>0</v>
      </c>
      <c r="L26" s="101">
        <f>Model!BK84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-30.5289999999997</v>
      </c>
      <c r="E27" s="103">
        <f>SUM(E28:E39)</f>
        <v>-253.248</v>
      </c>
      <c r="F27" s="103">
        <f>SUM(F28:F39)</f>
        <v>-467.64</v>
      </c>
      <c r="G27" s="103">
        <f>SUM(G28:G39)</f>
        <v>3369.762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Model!W294</f>
        <v>88.4610000000002</v>
      </c>
      <c r="E28" s="106">
        <f>Model!AB294</f>
        <v>-346.436</v>
      </c>
      <c r="F28" s="106">
        <f>Model!AG294</f>
        <v>-720.706</v>
      </c>
      <c r="G28" s="106">
        <f>Model!AL294</f>
        <v>2157.943</v>
      </c>
      <c r="H28" s="106">
        <f>Model!AQ294</f>
        <v>0</v>
      </c>
      <c r="I28" s="106">
        <f>Model!AV294</f>
        <v>0</v>
      </c>
      <c r="J28" s="106">
        <f>Model!BA294</f>
        <v>0</v>
      </c>
      <c r="K28" s="106">
        <f>Model!BF294</f>
        <v>0</v>
      </c>
      <c r="L28" s="107">
        <f>Model!BK294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Model!W295</f>
        <v>-113.459</v>
      </c>
      <c r="E29" s="106">
        <f>Model!AB295</f>
        <v>-475.58</v>
      </c>
      <c r="F29" s="106">
        <f>Model!AG295</f>
        <v>-155.521</v>
      </c>
      <c r="G29" s="106">
        <f>Model!AL295</f>
        <v>1348.649</v>
      </c>
      <c r="H29" s="106">
        <f>Model!AQ295</f>
        <v>0</v>
      </c>
      <c r="I29" s="106">
        <f>Model!AV295</f>
        <v>0</v>
      </c>
      <c r="J29" s="106">
        <f>Model!BA295</f>
        <v>0</v>
      </c>
      <c r="K29" s="106">
        <f>Model!BF295</f>
        <v>0</v>
      </c>
      <c r="L29" s="107">
        <f>Model!BK295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Model!W296</f>
        <v>0</v>
      </c>
      <c r="E30" s="106">
        <f>Model!AB296</f>
        <v>0</v>
      </c>
      <c r="F30" s="106">
        <f>Model!AG296</f>
        <v>0</v>
      </c>
      <c r="G30" s="106">
        <f>Model!AL296</f>
        <v>0</v>
      </c>
      <c r="H30" s="106">
        <f>Model!AQ296</f>
        <v>0</v>
      </c>
      <c r="I30" s="106">
        <f>Model!AV296</f>
        <v>0</v>
      </c>
      <c r="J30" s="106">
        <f>Model!BA296</f>
        <v>0</v>
      </c>
      <c r="K30" s="106">
        <f>Model!BF296</f>
        <v>0</v>
      </c>
      <c r="L30" s="107">
        <f>Model!BK296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Model!W297</f>
        <v>-6.25</v>
      </c>
      <c r="E31" s="106">
        <f>Model!AB297</f>
        <v>-3.486</v>
      </c>
      <c r="F31" s="106">
        <f>Model!AG297</f>
        <v>5.325</v>
      </c>
      <c r="G31" s="106">
        <f>Model!AL297</f>
        <v>2.556</v>
      </c>
      <c r="H31" s="106">
        <f>Model!AQ297</f>
        <v>0</v>
      </c>
      <c r="I31" s="106">
        <f>Model!AV297</f>
        <v>0</v>
      </c>
      <c r="J31" s="106">
        <f>Model!BA297</f>
        <v>0</v>
      </c>
      <c r="K31" s="106">
        <f>Model!BF297</f>
        <v>0</v>
      </c>
      <c r="L31" s="107">
        <f>Model!BK297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Model!W298</f>
        <v>-33.958</v>
      </c>
      <c r="E32" s="106">
        <f>Model!AB298</f>
        <v>-54.654</v>
      </c>
      <c r="F32" s="106">
        <f>Model!AG298</f>
        <v>-64.583</v>
      </c>
      <c r="G32" s="106">
        <f>Model!AL298</f>
        <v>-27.114</v>
      </c>
      <c r="H32" s="106">
        <f>Model!AQ298</f>
        <v>0</v>
      </c>
      <c r="I32" s="106">
        <f>Model!AV298</f>
        <v>0</v>
      </c>
      <c r="J32" s="106">
        <f>Model!BA298</f>
        <v>0</v>
      </c>
      <c r="K32" s="106">
        <f>Model!BF298</f>
        <v>0</v>
      </c>
      <c r="L32" s="107">
        <f>Model!BK298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Model!W299</f>
        <v>57.313</v>
      </c>
      <c r="E33" s="106">
        <f>Model!AB299</f>
        <v>15.413</v>
      </c>
      <c r="F33" s="106">
        <f>Model!AG299</f>
        <v>91.159</v>
      </c>
      <c r="G33" s="106">
        <f>Model!AL299</f>
        <v>-278.476</v>
      </c>
      <c r="H33" s="106">
        <f>Model!AQ299</f>
        <v>0</v>
      </c>
      <c r="I33" s="106">
        <f>Model!AV299</f>
        <v>0</v>
      </c>
      <c r="J33" s="106">
        <f>Model!BA299</f>
        <v>0</v>
      </c>
      <c r="K33" s="106">
        <f>Model!BF299</f>
        <v>0</v>
      </c>
      <c r="L33" s="107">
        <f>Model!BK299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Model!W300</f>
        <v>4.247</v>
      </c>
      <c r="E34" s="106">
        <f>Model!AB300</f>
        <v>9.858</v>
      </c>
      <c r="F34" s="106">
        <f>Model!AG300</f>
        <v>11.407</v>
      </c>
      <c r="G34" s="106">
        <f>Model!AL300</f>
        <v>-43.999</v>
      </c>
      <c r="H34" s="106" t="e">
        <f>Model!AQ300</f>
        <v>#DIV/0!</v>
      </c>
      <c r="I34" s="106" t="e">
        <f>Model!AV300</f>
        <v>#DIV/0!</v>
      </c>
      <c r="J34" s="106" t="e">
        <f>Model!BA300</f>
        <v>#DIV/0!</v>
      </c>
      <c r="K34" s="106" t="e">
        <f>Model!BF300</f>
        <v>#DIV/0!</v>
      </c>
      <c r="L34" s="107" t="e">
        <f>Model!BK300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Model!W301</f>
        <v>4.211</v>
      </c>
      <c r="E35" s="106">
        <f>Model!AB301</f>
        <v>8.847</v>
      </c>
      <c r="F35" s="106">
        <f>Model!AG301</f>
        <v>14.205</v>
      </c>
      <c r="G35" s="106">
        <f>Model!AL301</f>
        <v>-42.103</v>
      </c>
      <c r="H35" s="106" t="e">
        <f>Model!AQ301</f>
        <v>#DIV/0!</v>
      </c>
      <c r="I35" s="106" t="e">
        <f>Model!AV301</f>
        <v>#DIV/0!</v>
      </c>
      <c r="J35" s="106" t="e">
        <f>Model!BA301</f>
        <v>#DIV/0!</v>
      </c>
      <c r="K35" s="106" t="e">
        <f>Model!BF301</f>
        <v>#DIV/0!</v>
      </c>
      <c r="L35" s="107" t="e">
        <f>Model!BK301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Model!W302</f>
        <v>-47.405</v>
      </c>
      <c r="E36" s="106">
        <f>Model!AB302</f>
        <v>48.5550000000001</v>
      </c>
      <c r="F36" s="106">
        <f>Model!AG302</f>
        <v>283.158</v>
      </c>
      <c r="G36" s="106">
        <f>Model!AL302</f>
        <v>165.473</v>
      </c>
      <c r="H36" s="106">
        <f>Model!AQ302</f>
        <v>0</v>
      </c>
      <c r="I36" s="106">
        <f>Model!AV302</f>
        <v>0</v>
      </c>
      <c r="J36" s="106">
        <f>Model!BA302</f>
        <v>0</v>
      </c>
      <c r="K36" s="106">
        <f>Model!BF302</f>
        <v>0</v>
      </c>
      <c r="L36" s="107">
        <f>Model!BK302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Model!W303</f>
        <v>9.578</v>
      </c>
      <c r="E37" s="106">
        <f>Model!AB303</f>
        <v>2.334</v>
      </c>
      <c r="F37" s="106">
        <f>Model!AG303</f>
        <v>23.314</v>
      </c>
      <c r="G37" s="106">
        <f>Model!AL303</f>
        <v>14.501</v>
      </c>
      <c r="H37" s="106">
        <f>Model!AQ303</f>
        <v>0</v>
      </c>
      <c r="I37" s="106">
        <f>Model!AV303</f>
        <v>0</v>
      </c>
      <c r="J37" s="106">
        <f>Model!BA303</f>
        <v>0</v>
      </c>
      <c r="K37" s="106">
        <f>Model!BF303</f>
        <v>0</v>
      </c>
      <c r="L37" s="107">
        <f>Model!BK303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(Model!W203-Model!R203)*-1</f>
        <v>-7.31899999999999</v>
      </c>
      <c r="E38" s="106">
        <f>(Model!AB203-Model!W203)*-1</f>
        <v>65.225</v>
      </c>
      <c r="F38" s="106">
        <f>(Model!AG203-Model!AB203)*-1</f>
        <v>-6.23500000000001</v>
      </c>
      <c r="G38" s="106">
        <f>(Model!AL203-Model!AG203)*-1</f>
        <v>-11.831</v>
      </c>
      <c r="H38" s="106">
        <f>(Model!AQ203-Model!AL203)*-1</f>
        <v>0</v>
      </c>
      <c r="I38" s="106">
        <f>(Model!AV203-Model!AQ203)*-1</f>
        <v>0</v>
      </c>
      <c r="J38" s="106">
        <f>(Model!BA203-Model!AV203)*-1</f>
        <v>0</v>
      </c>
      <c r="K38" s="106">
        <f>(Model!BF203-Model!BA203)*-1</f>
        <v>0</v>
      </c>
      <c r="L38" s="107">
        <f>(Model!BK203-Model!BF203)*-1</f>
        <v>0</v>
      </c>
      <c r="M38">
        <f>(Model!BP203-Model!BK203)*-1</f>
        <v>0</v>
      </c>
      <c r="N38">
        <f>(Model!BU203-Model!BP203)*-1</f>
        <v>0</v>
      </c>
      <c r="O38">
        <f>(Model!BZ203-Model!BU203)*-1</f>
        <v>0</v>
      </c>
      <c r="P38">
        <f>(Model!CE203-Model!BZ203)*-1</f>
        <v>0</v>
      </c>
      <c r="Q38">
        <f>(Model!CJ203-Model!CE203)*-1</f>
        <v>0</v>
      </c>
      <c r="R38">
        <f>(Model!CO203-Model!CJ203)*-1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Model!W254-Model!R254</f>
        <v>14.052</v>
      </c>
      <c r="E39" s="106">
        <f>Model!AB254-Model!W254</f>
        <v>476.676</v>
      </c>
      <c r="F39" s="106">
        <f>Model!AG254-Model!AB254</f>
        <v>50.837</v>
      </c>
      <c r="G39" s="106">
        <f>Model!AL254-Model!AG254</f>
        <v>84.1629999999999</v>
      </c>
      <c r="H39" s="106">
        <f>Model!AQ254-Model!AL254</f>
        <v>0</v>
      </c>
      <c r="I39" s="106">
        <f>Model!AV254-Model!AQ254</f>
        <v>0</v>
      </c>
      <c r="J39" s="106">
        <f>Model!BA254-Model!AV254</f>
        <v>0</v>
      </c>
      <c r="K39" s="106">
        <f>Model!BF254-Model!BA254</f>
        <v>0</v>
      </c>
      <c r="L39" s="107">
        <f>Model!BK254-Model!BF254</f>
        <v>0</v>
      </c>
      <c r="M39">
        <f>Model!BP254-Model!BK254</f>
        <v>0</v>
      </c>
      <c r="N39">
        <f>Model!BU254-Model!BP254</f>
        <v>0</v>
      </c>
      <c r="O39">
        <f>Model!BZ254-Model!BU254</f>
        <v>0</v>
      </c>
      <c r="P39">
        <f>Model!CE254-Model!BZ254</f>
        <v>0</v>
      </c>
      <c r="Q39">
        <f>Model!CJ254-Model!CE254</f>
        <v>0</v>
      </c>
      <c r="R39">
        <f>Model!CO254-Model!CJ254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-56.4009999999997</v>
      </c>
      <c r="E44" s="103">
        <f>SUM(E27+E40+E41+E42+E26)</f>
        <v>-284.378963044999</v>
      </c>
      <c r="F44" s="103">
        <f>SUM(F27+F40+F41+F42+F26)</f>
        <v>-502.518</v>
      </c>
      <c r="G44" s="103">
        <f>SUM(G27+G40+G41+G42+G26)</f>
        <v>3352.862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Model!W364</f>
        <v>632.861</v>
      </c>
      <c r="E46" s="106">
        <f>Model!AB364</f>
        <v>895.448</v>
      </c>
      <c r="F46" s="106">
        <f>Model!AG364</f>
        <v>1386.004</v>
      </c>
      <c r="G46" s="106">
        <f>Model!AL364</f>
        <v>-1959.318</v>
      </c>
      <c r="H46" s="106" t="e">
        <f>Model!AQ364</f>
        <v>#DIV/0!</v>
      </c>
      <c r="I46" s="106" t="e">
        <f>Model!AV364</f>
        <v>#DIV/0!</v>
      </c>
      <c r="J46" s="106" t="e">
        <f>Model!BA364</f>
        <v>#DIV/0!</v>
      </c>
      <c r="K46" s="106" t="e">
        <f>Model!BF364</f>
        <v>#DIV/0!</v>
      </c>
      <c r="L46" s="106" t="e">
        <f>Model!BK364</f>
        <v>#DIV/0!</v>
      </c>
      <c r="M46" s="115" t="e">
        <f>Model!BP364</f>
        <v>#DIV/0!</v>
      </c>
      <c r="N46" s="115" t="e">
        <f>Model!BU364</f>
        <v>#DIV/0!</v>
      </c>
      <c r="O46" s="115" t="e">
        <f>Model!BZ364</f>
        <v>#DIV/0!</v>
      </c>
      <c r="P46" s="115" t="e">
        <f>Model!CE364</f>
        <v>#DIV/0!</v>
      </c>
      <c r="Q46" s="115" t="e">
        <f>Model!CJ364</f>
        <v>#DIV/0!</v>
      </c>
      <c r="R46" s="115" t="e">
        <f>Model!CO364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Model!W365</f>
        <v>632.861</v>
      </c>
      <c r="E47" s="106">
        <f>Model!AB365</f>
        <v>895.448</v>
      </c>
      <c r="F47" s="106">
        <f>Model!AG365</f>
        <v>1386.004</v>
      </c>
      <c r="G47" s="106">
        <f>Model!AL365</f>
        <v>-1959.318</v>
      </c>
      <c r="H47" s="106" t="e">
        <f>Model!AQ365</f>
        <v>#DIV/0!</v>
      </c>
      <c r="I47" s="106" t="e">
        <f>Model!AV365</f>
        <v>#DIV/0!</v>
      </c>
      <c r="J47" s="106" t="e">
        <f>Model!BA365</f>
        <v>#DIV/0!</v>
      </c>
      <c r="K47" s="106" t="e">
        <f>Model!BF365</f>
        <v>#DIV/0!</v>
      </c>
      <c r="L47" s="106" t="e">
        <f>Model!BK365</f>
        <v>#DIV/0!</v>
      </c>
      <c r="M47" t="e">
        <f>Model!BP365</f>
        <v>#DIV/0!</v>
      </c>
      <c r="N47" t="e">
        <f>Model!BU365</f>
        <v>#DIV/0!</v>
      </c>
      <c r="O47" t="e">
        <f>Model!BZ365</f>
        <v>#DIV/0!</v>
      </c>
      <c r="P47" t="e">
        <f>Model!CE365</f>
        <v>#DIV/0!</v>
      </c>
      <c r="Q47" t="e">
        <f>Model!CJ365</f>
        <v>#DIV/0!</v>
      </c>
      <c r="R47" t="e">
        <f>Model!CO365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0.219273487512179</v>
      </c>
      <c r="E48" s="92">
        <f>E46/E18</f>
        <v>0.228063499825536</v>
      </c>
      <c r="F48" s="92">
        <f>F46/F18</f>
        <v>0.256694788184814</v>
      </c>
      <c r="G48" s="92">
        <f>G46/G18</f>
        <v>-0.319117248981482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-2.43675632596703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4.56051486819381</v>
      </c>
      <c r="E51" s="124">
        <f>E18/E46</f>
        <v>4.38474372604551</v>
      </c>
      <c r="F51" s="124">
        <f>F18/F46</f>
        <v>3.89567706875305</v>
      </c>
      <c r="G51" s="124">
        <f>G18/G46</f>
        <v>-3.13364446200157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449.69532977743</v>
      </c>
      <c r="E53" s="125">
        <f>E25+E44</f>
        <v>433.399550909503</v>
      </c>
      <c r="F53" s="125">
        <f>F25+F44</f>
        <v>613.645698825719</v>
      </c>
      <c r="G53" s="126">
        <f>(G25+G44)*stub_year_fraction</f>
        <v>1054.46753293866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0.11462693803689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2026-10-12T13:20:59Z</dcterms:modified>
  <cp:lastModifiedBy>Lucas Nascimento</cp:lastModifiedBy>
</cp:coreProperties>
</file>