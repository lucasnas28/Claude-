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40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0.0x"/>
    <numFmt numFmtId="202" formatCode="0.00x"/>
    <numFmt numFmtId="203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81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190" fontId="24" fillId="17" borderId="0" applyAlignment="1" pivotButton="0" quotePrefix="0" xfId="0">
      <alignment horizontal="center"/>
    </xf>
    <xf numFmtId="190" fontId="24" fillId="0" borderId="0" applyAlignment="1" pivotButton="0" quotePrefix="0" xfId="0">
      <alignment horizontal="center"/>
    </xf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0" fontId="25" fillId="16" borderId="0" pivotButton="0" quotePrefix="0" xfId="0"/>
    <xf numFmtId="201" fontId="24" fillId="17" borderId="0" applyAlignment="1" pivotButton="0" quotePrefix="0" xfId="0">
      <alignment horizontal="center"/>
    </xf>
    <xf numFmtId="201" fontId="24" fillId="0" borderId="0" applyAlignment="1" pivotButton="0" quotePrefix="0" xfId="0">
      <alignment horizontal="center"/>
    </xf>
    <xf numFmtId="202" fontId="24" fillId="17" borderId="0" applyAlignment="1" pivotButton="0" quotePrefix="0" xfId="0">
      <alignment horizontal="center"/>
    </xf>
    <xf numFmtId="202" fontId="24" fillId="0" borderId="0" applyAlignment="1" pivotButton="0" quotePrefix="0" xfId="0">
      <alignment horizontal="center"/>
    </xf>
    <xf numFmtId="203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14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(R$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R$ mil (monetário); demais unidades × 1.000</t>
        </is>
      </c>
    </row>
    <row r="4">
      <c r="A4" t="inlineStr">
        <is>
          <t>DRE - TRIMESTRE ISOLADO (aba Demonstracoes do Resultado; R$ mil)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liquida (DRE l.4) · fonte · unid. moeda</t>
        </is>
      </c>
      <c r="B5" t="n">
        <v>1</v>
      </c>
      <c r="C5" t="inlineStr">
        <is>
          <t>Net Revenues</t>
        </is>
      </c>
      <c r="D5" s="265" t="n">
        <v>339286</v>
      </c>
      <c r="E5" s="265" t="n">
        <v>451337</v>
      </c>
      <c r="F5" s="265" t="n">
        <v>456449.58043</v>
      </c>
      <c r="G5" s="265" t="n">
        <v>491223</v>
      </c>
      <c r="I5" s="265" t="n">
        <v>447374</v>
      </c>
      <c r="J5" s="265" t="n">
        <v>602783</v>
      </c>
      <c r="K5" s="265" t="n">
        <v>626659</v>
      </c>
      <c r="L5" s="265" t="n">
        <v>580478</v>
      </c>
      <c r="N5" s="265" t="n">
        <v>594956</v>
      </c>
      <c r="O5" s="265" t="n">
        <v>727746</v>
      </c>
      <c r="P5" s="265" t="n">
        <v>751874</v>
      </c>
      <c r="Q5" s="265" t="n">
        <v>811596</v>
      </c>
      <c r="S5" s="265" t="n">
        <v>837382</v>
      </c>
      <c r="T5" s="265" t="n">
        <v>998085</v>
      </c>
      <c r="U5" s="265" t="n">
        <v>1055872</v>
      </c>
      <c r="V5" s="265" t="n">
        <v>1034971</v>
      </c>
      <c r="X5" s="265" t="n">
        <v>1216184</v>
      </c>
      <c r="Y5" s="265" t="n">
        <v>1346599</v>
      </c>
      <c r="Z5" s="265" t="n">
        <v>1416926</v>
      </c>
      <c r="AA5" s="265" t="n">
        <v>1419715</v>
      </c>
      <c r="AC5" s="265" t="n">
        <v>1612571</v>
      </c>
      <c r="AD5" s="265" t="n">
        <v>1690594</v>
      </c>
    </row>
    <row r="6">
      <c r="A6" t="inlineStr">
        <is>
          <t>Custo das vendas e servicos (DRE l.5; inclui juros capitalizados apropriados ao custo) · fonte · unid. moeda</t>
        </is>
      </c>
      <c r="B6" t="n">
        <v>2</v>
      </c>
      <c r="C6" t="inlineStr">
        <is>
          <t>COGS (cash)</t>
        </is>
      </c>
      <c r="D6" s="265" t="n">
        <v>-218944</v>
      </c>
      <c r="E6" s="265" t="n">
        <v>-288421</v>
      </c>
      <c r="F6" s="265" t="n">
        <v>-281477.73978</v>
      </c>
      <c r="G6" s="265" t="n">
        <v>-304781</v>
      </c>
      <c r="I6" s="265" t="n">
        <v>-281465</v>
      </c>
      <c r="J6" s="265" t="n">
        <v>-387286</v>
      </c>
      <c r="K6" s="265" t="n">
        <v>-392916</v>
      </c>
      <c r="L6" s="265" t="n">
        <v>-358735</v>
      </c>
      <c r="N6" s="265" t="n">
        <v>-371794</v>
      </c>
      <c r="O6" s="265" t="n">
        <v>-453192</v>
      </c>
      <c r="P6" s="265" t="n">
        <v>-467971</v>
      </c>
      <c r="Q6" s="265" t="n">
        <v>-497862</v>
      </c>
      <c r="S6" s="265" t="n">
        <v>-520773</v>
      </c>
      <c r="T6" s="265" t="n">
        <v>-615554</v>
      </c>
      <c r="U6" s="265" t="n">
        <v>-646426</v>
      </c>
      <c r="V6" s="265" t="n">
        <v>-630617</v>
      </c>
      <c r="X6" s="265" t="n">
        <v>-741296</v>
      </c>
      <c r="Y6" s="265" t="n">
        <v>-813823</v>
      </c>
      <c r="Z6" s="265" t="n">
        <v>-850699</v>
      </c>
      <c r="AA6" s="265" t="n">
        <v>-847019</v>
      </c>
      <c r="AC6" s="265" t="n">
        <v>-982915</v>
      </c>
      <c r="AD6" s="265" t="n">
        <v>-1022232</v>
      </c>
    </row>
    <row r="7">
      <c r="A7" t="inlineStr">
        <is>
          <t>Despesas com vendas (DRE l.10; inclui depreciacao de estandes, devolvida abaixo) · fonte · unid. moeda</t>
        </is>
      </c>
      <c r="B7" t="n">
        <v>3</v>
      </c>
      <c r="C7" t="inlineStr">
        <is>
          <t>SG&amp;A and Other (cash)</t>
        </is>
      </c>
      <c r="D7" s="265" t="n">
        <v>-30360</v>
      </c>
      <c r="E7" s="265" t="n">
        <v>-38953</v>
      </c>
      <c r="F7" s="265" t="n">
        <v>-47900</v>
      </c>
      <c r="G7" s="265" t="n">
        <v>-46959</v>
      </c>
      <c r="I7" s="265" t="n">
        <v>-44417</v>
      </c>
      <c r="J7" s="265" t="n">
        <v>-53835</v>
      </c>
      <c r="K7" s="265" t="n">
        <v>-59384</v>
      </c>
      <c r="L7" s="265" t="n">
        <v>-54552</v>
      </c>
      <c r="N7" s="265" t="n">
        <v>-62031</v>
      </c>
      <c r="O7" s="265" t="n">
        <v>-66728</v>
      </c>
      <c r="P7" s="265" t="n">
        <v>-80995</v>
      </c>
      <c r="Q7" s="265" t="n">
        <v>-75476</v>
      </c>
      <c r="S7" s="265" t="n">
        <v>-76092</v>
      </c>
      <c r="T7" s="265" t="n">
        <v>-97945.73661000001</v>
      </c>
      <c r="U7" s="265" t="n">
        <v>-113852</v>
      </c>
      <c r="V7" s="265" t="n">
        <v>-103983</v>
      </c>
      <c r="X7" s="265" t="n">
        <v>-106236</v>
      </c>
      <c r="Y7" s="265" t="n">
        <v>-124746.9939</v>
      </c>
      <c r="Z7" s="265" t="n">
        <v>-134823</v>
      </c>
      <c r="AA7" s="265" t="n">
        <v>-129085</v>
      </c>
      <c r="AC7" s="265" t="n">
        <v>-119070</v>
      </c>
      <c r="AD7" s="265" t="n">
        <v>-166790</v>
      </c>
    </row>
    <row r="8">
      <c r="A8" t="inlineStr">
        <is>
          <t>Despesas gerais e administrativas (DRE l.11) · fonte · unid. moeda</t>
        </is>
      </c>
      <c r="B8" t="n">
        <v>3</v>
      </c>
      <c r="C8" t="inlineStr">
        <is>
          <t>SG&amp;A and Other (cash)</t>
        </is>
      </c>
      <c r="D8" s="265" t="n">
        <v>-20615</v>
      </c>
      <c r="E8" s="265" t="n">
        <v>-24043</v>
      </c>
      <c r="F8" s="265" t="n">
        <v>-31170</v>
      </c>
      <c r="G8" s="265" t="n">
        <v>-26689</v>
      </c>
      <c r="I8" s="265" t="n">
        <v>-22810</v>
      </c>
      <c r="J8" s="265" t="n">
        <v>-34143</v>
      </c>
      <c r="K8" s="265" t="n">
        <v>-49409</v>
      </c>
      <c r="L8" s="265" t="n">
        <v>-30206</v>
      </c>
      <c r="N8" s="265" t="n">
        <v>-33375</v>
      </c>
      <c r="O8" s="265" t="n">
        <v>-42088</v>
      </c>
      <c r="P8" s="265" t="n">
        <v>-54245</v>
      </c>
      <c r="Q8" s="265" t="n">
        <v>-36075</v>
      </c>
      <c r="S8" s="265" t="n">
        <v>-41298</v>
      </c>
      <c r="T8" s="265" t="n">
        <v>-62203</v>
      </c>
      <c r="U8" s="265" t="n">
        <v>-68034</v>
      </c>
      <c r="V8" s="265" t="n">
        <v>-52894</v>
      </c>
      <c r="X8" s="265" t="n">
        <v>-50355</v>
      </c>
      <c r="Y8" s="265" t="n">
        <v>-64401.68265</v>
      </c>
      <c r="Z8" s="265" t="n">
        <v>-66007</v>
      </c>
      <c r="AA8" s="265" t="n">
        <v>-58575</v>
      </c>
      <c r="AC8" s="265" t="n">
        <v>-64932</v>
      </c>
      <c r="AD8" s="265" t="n">
        <v>-78364</v>
      </c>
    </row>
    <row r="9">
      <c r="A9" t="inlineStr">
        <is>
          <t>Outros resultados operacionais (DRE l.12) · fonte · unid. moeda</t>
        </is>
      </c>
      <c r="B9" t="n">
        <v>3</v>
      </c>
      <c r="C9" t="inlineStr">
        <is>
          <t>SG&amp;A and Other (cash)</t>
        </is>
      </c>
      <c r="D9" s="265" t="n">
        <v>-6524</v>
      </c>
      <c r="E9" s="265" t="n">
        <v>-10905</v>
      </c>
      <c r="F9" s="265" t="n">
        <v>-8910</v>
      </c>
      <c r="G9" s="265" t="n">
        <v>23796</v>
      </c>
      <c r="I9" s="265" t="n">
        <v>-19298</v>
      </c>
      <c r="J9" s="265" t="n">
        <v>-15382</v>
      </c>
      <c r="K9" s="265" t="n">
        <v>-11456</v>
      </c>
      <c r="L9" s="265" t="n">
        <v>-12938</v>
      </c>
      <c r="N9" s="265" t="n">
        <v>-12810</v>
      </c>
      <c r="O9" s="265" t="n">
        <v>-18568</v>
      </c>
      <c r="P9" s="265" t="n">
        <v>-12803</v>
      </c>
      <c r="Q9" s="265" t="n">
        <v>-19866</v>
      </c>
      <c r="S9" s="265" t="n">
        <v>-21345</v>
      </c>
      <c r="T9" s="265" t="n">
        <v>-23250</v>
      </c>
      <c r="U9" s="265" t="n">
        <v>-19747</v>
      </c>
      <c r="V9" s="265" t="n">
        <v>-21156</v>
      </c>
      <c r="X9" s="265" t="n">
        <v>-39738</v>
      </c>
      <c r="Y9" s="265" t="n">
        <v>-30493.82558</v>
      </c>
      <c r="Z9" s="265" t="n">
        <v>-39204</v>
      </c>
      <c r="AA9" s="265" t="n">
        <v>-42251</v>
      </c>
      <c r="AC9" s="265" t="n">
        <v>-44791</v>
      </c>
      <c r="AD9" s="265" t="n">
        <v>-45797</v>
      </c>
    </row>
    <row r="10">
      <c r="A10" t="inlineStr">
        <is>
          <t>Equivalencia patrimonial (DRE l.14) · fonte · unid. moeda</t>
        </is>
      </c>
      <c r="B10" t="n">
        <v>8</v>
      </c>
      <c r="C10" t="inlineStr">
        <is>
          <t>Equity in Income of Affiliates, after tax (enter as +)</t>
        </is>
      </c>
      <c r="D10" s="265" t="n">
        <v>1138</v>
      </c>
      <c r="E10" s="265" t="n">
        <v>1726</v>
      </c>
      <c r="F10" s="265" t="n">
        <v>-950</v>
      </c>
      <c r="G10" s="265" t="n">
        <v>-991</v>
      </c>
      <c r="I10" s="265" t="n">
        <v>-311</v>
      </c>
      <c r="J10" s="265" t="n">
        <v>-141</v>
      </c>
      <c r="K10" s="265" t="n">
        <v>976</v>
      </c>
      <c r="L10" s="265" t="n">
        <v>-145</v>
      </c>
      <c r="N10" s="265" t="n">
        <v>-110</v>
      </c>
      <c r="O10" s="265" t="n">
        <v>696</v>
      </c>
      <c r="P10" s="265" t="n">
        <v>-295</v>
      </c>
      <c r="Q10" s="265" t="n">
        <v>1356</v>
      </c>
      <c r="S10" s="265" t="n">
        <v>1299</v>
      </c>
      <c r="T10" s="265" t="n">
        <v>2807</v>
      </c>
      <c r="U10" s="265" t="n">
        <v>3389</v>
      </c>
      <c r="V10" s="265" t="n">
        <v>1044</v>
      </c>
      <c r="X10" s="265" t="n">
        <v>688</v>
      </c>
      <c r="Y10" s="265" t="n">
        <v>1091.0762</v>
      </c>
      <c r="Z10" s="265" t="n">
        <v>2474</v>
      </c>
      <c r="AA10" s="265" t="n">
        <v>3137</v>
      </c>
      <c r="AC10" s="265" t="n">
        <v>2282</v>
      </c>
      <c r="AD10" s="265" t="n">
        <v>1014</v>
      </c>
    </row>
    <row r="11">
      <c r="A11" t="inlineStr">
        <is>
          <t>Despesas financeiras (DRE l.18) · fonte · unid. moeda</t>
        </is>
      </c>
      <c r="B11" t="n">
        <v>5</v>
      </c>
      <c r="C11" t="inlineStr">
        <is>
          <t>Interest Expense</t>
        </is>
      </c>
      <c r="D11" s="265" t="n">
        <v>-7256</v>
      </c>
      <c r="E11" s="265" t="n">
        <v>-9300</v>
      </c>
      <c r="F11" s="265" t="n">
        <v>-11430</v>
      </c>
      <c r="G11" s="265" t="n">
        <v>-21731</v>
      </c>
      <c r="I11" s="265" t="n">
        <v>-17062</v>
      </c>
      <c r="J11" s="265" t="n">
        <v>-22214</v>
      </c>
      <c r="K11" s="265" t="n">
        <v>-22860</v>
      </c>
      <c r="L11" s="265" t="n">
        <v>-26332</v>
      </c>
      <c r="N11" s="265" t="n">
        <v>-25672</v>
      </c>
      <c r="O11" s="265" t="n">
        <v>-26026</v>
      </c>
      <c r="P11" s="265" t="n">
        <v>-23214</v>
      </c>
      <c r="Q11" s="265" t="n">
        <v>-25215</v>
      </c>
      <c r="S11" s="265" t="n">
        <v>-24806</v>
      </c>
      <c r="T11" s="265" t="n">
        <v>-31099</v>
      </c>
      <c r="U11" s="265" t="n">
        <v>-39673</v>
      </c>
      <c r="V11" s="265" t="n">
        <v>-41587</v>
      </c>
      <c r="X11" s="265" t="n">
        <v>-51332</v>
      </c>
      <c r="Y11" s="265" t="n">
        <v>-50846.24429</v>
      </c>
      <c r="Z11" s="265" t="n">
        <v>-56062</v>
      </c>
      <c r="AA11" s="265" t="n">
        <v>-59596</v>
      </c>
      <c r="AC11" s="265" t="n">
        <v>-59802</v>
      </c>
      <c r="AD11" s="265" t="n">
        <v>-70288</v>
      </c>
    </row>
    <row r="12">
      <c r="A12" t="inlineStr">
        <is>
          <t>Receitas financeiras (DRE l.19) · fonte · unid. moeda</t>
        </is>
      </c>
      <c r="B12" t="n">
        <v>6</v>
      </c>
      <c r="C12" t="inlineStr">
        <is>
          <t>Nonoperating Income / (Loss)</t>
        </is>
      </c>
      <c r="D12" s="265" t="n">
        <v>2222</v>
      </c>
      <c r="E12" s="265" t="n">
        <v>3924</v>
      </c>
      <c r="F12" s="265" t="n">
        <v>10360</v>
      </c>
      <c r="G12" s="265" t="n">
        <v>8485</v>
      </c>
      <c r="I12" s="265" t="n">
        <v>12977</v>
      </c>
      <c r="J12" s="265" t="n">
        <v>17605</v>
      </c>
      <c r="K12" s="265" t="n">
        <v>18795</v>
      </c>
      <c r="L12" s="265" t="n">
        <v>14654</v>
      </c>
      <c r="N12" s="265" t="n">
        <v>20228</v>
      </c>
      <c r="O12" s="265" t="n">
        <v>20425</v>
      </c>
      <c r="P12" s="265" t="n">
        <v>19668</v>
      </c>
      <c r="Q12" s="265" t="n">
        <v>25895</v>
      </c>
      <c r="S12" s="265" t="n">
        <v>19889</v>
      </c>
      <c r="T12" s="265" t="n">
        <v>25350</v>
      </c>
      <c r="U12" s="265" t="n">
        <v>32060</v>
      </c>
      <c r="V12" s="265" t="n">
        <v>28782</v>
      </c>
      <c r="X12" s="265" t="n">
        <v>36752</v>
      </c>
      <c r="Y12" s="265" t="n">
        <v>35218.01198</v>
      </c>
      <c r="Z12" s="265" t="n">
        <v>47368</v>
      </c>
      <c r="AA12" s="265" t="n">
        <v>50684</v>
      </c>
      <c r="AC12" s="265" t="n">
        <v>49093</v>
      </c>
      <c r="AD12" s="265" t="n">
        <v>48168</v>
      </c>
    </row>
    <row r="13">
      <c r="A13" t="inlineStr">
        <is>
          <t>IR e CS diferido (DRE l.23) · fonte · unid. moeda</t>
        </is>
      </c>
      <c r="B13" t="n">
        <v>7</v>
      </c>
      <c r="C13" t="inlineStr">
        <is>
          <t>Taxes</t>
        </is>
      </c>
      <c r="D13" s="265" t="n">
        <v>-1492</v>
      </c>
      <c r="E13" s="265" t="n">
        <v>-2193</v>
      </c>
      <c r="F13" s="265" t="n">
        <v>-842</v>
      </c>
      <c r="G13" s="265" t="n">
        <v>89</v>
      </c>
      <c r="I13" s="265" t="n">
        <v>-2130</v>
      </c>
      <c r="J13" s="265" t="n">
        <v>-2124</v>
      </c>
      <c r="K13" s="265" t="n">
        <v>-1635</v>
      </c>
      <c r="L13" s="265" t="n">
        <v>81</v>
      </c>
      <c r="N13" s="265" t="n">
        <v>-1627</v>
      </c>
      <c r="O13" s="265" t="n">
        <v>-2289</v>
      </c>
      <c r="P13" s="265" t="n">
        <v>-800</v>
      </c>
      <c r="Q13" s="265" t="n">
        <v>133</v>
      </c>
      <c r="S13" s="265" t="n">
        <v>-2957</v>
      </c>
      <c r="T13" s="265" t="n">
        <v>-951</v>
      </c>
      <c r="U13" s="265" t="n">
        <v>-1562</v>
      </c>
      <c r="V13" s="265" t="n">
        <v>2237</v>
      </c>
      <c r="X13" s="265" t="n">
        <v>-8693</v>
      </c>
      <c r="Y13" s="265" t="n">
        <v>-2894</v>
      </c>
      <c r="Z13" s="265" t="n">
        <v>260</v>
      </c>
      <c r="AA13" s="265" t="n">
        <v>136</v>
      </c>
      <c r="AC13" s="265" t="n">
        <v>-4003</v>
      </c>
      <c r="AD13" s="265" t="n">
        <v>-3011</v>
      </c>
    </row>
    <row r="14">
      <c r="A14" t="inlineStr">
        <is>
          <t>IR e CS corrente (DRE l.24) · fonte · unid. moeda</t>
        </is>
      </c>
      <c r="B14" t="n">
        <v>7</v>
      </c>
      <c r="C14" t="inlineStr">
        <is>
          <t>Taxes</t>
        </is>
      </c>
      <c r="D14" s="265" t="n">
        <v>-5387</v>
      </c>
      <c r="E14" s="265" t="n">
        <v>-6221</v>
      </c>
      <c r="F14" s="265" t="n">
        <v>-9490</v>
      </c>
      <c r="G14" s="265" t="n">
        <v>-10799</v>
      </c>
      <c r="I14" s="265" t="n">
        <v>-9507</v>
      </c>
      <c r="J14" s="265" t="n">
        <v>-12324</v>
      </c>
      <c r="K14" s="265" t="n">
        <v>-13899</v>
      </c>
      <c r="L14" s="265" t="n">
        <v>-15026</v>
      </c>
      <c r="N14" s="265" t="n">
        <v>-13709</v>
      </c>
      <c r="O14" s="265" t="n">
        <v>-15906</v>
      </c>
      <c r="P14" s="265" t="n">
        <v>-18328</v>
      </c>
      <c r="Q14" s="265" t="n">
        <v>-19892</v>
      </c>
      <c r="S14" s="265" t="n">
        <v>-17229</v>
      </c>
      <c r="T14" s="265" t="n">
        <v>-19957</v>
      </c>
      <c r="U14" s="265" t="n">
        <v>-21440</v>
      </c>
      <c r="V14" s="265" t="n">
        <v>-27925</v>
      </c>
      <c r="X14" s="265" t="n">
        <v>-22310</v>
      </c>
      <c r="Y14" s="265" t="n">
        <v>-28545</v>
      </c>
      <c r="Z14" s="265" t="n">
        <v>-37023</v>
      </c>
      <c r="AA14" s="265" t="n">
        <v>-39957</v>
      </c>
      <c r="AC14" s="265" t="n">
        <v>-37247</v>
      </c>
      <c r="AD14" s="265" t="n">
        <v>-42103</v>
      </c>
    </row>
    <row r="15">
      <c r="A15" t="inlineStr">
        <is>
          <t>Lucro liquido do exercicio - 100% (DRE l.26) - memoria · memoria · unid. moeda</t>
        </is>
      </c>
      <c r="C15" t="inlineStr">
        <is>
          <t>[linha bruta, sem código; lançada nas linhas abaixo]</t>
        </is>
      </c>
      <c r="D15" s="265" t="n">
        <v>52068</v>
      </c>
      <c r="E15" s="265" t="n">
        <v>76951</v>
      </c>
      <c r="F15" s="265" t="n">
        <v>74639.48998</v>
      </c>
      <c r="G15" s="265" t="n">
        <v>111644</v>
      </c>
      <c r="I15" s="265" t="n">
        <v>63351</v>
      </c>
      <c r="J15" s="265" t="n">
        <v>92939</v>
      </c>
      <c r="K15" s="265" t="n">
        <v>94871</v>
      </c>
      <c r="L15" s="265" t="n">
        <v>97279</v>
      </c>
      <c r="N15" s="265" t="n">
        <v>94056</v>
      </c>
      <c r="O15" s="265" t="n">
        <v>124070</v>
      </c>
      <c r="P15" s="265" t="n">
        <v>112891</v>
      </c>
      <c r="Q15" s="265" t="n">
        <v>164594</v>
      </c>
      <c r="S15" s="265" t="n">
        <v>154070</v>
      </c>
      <c r="T15" s="265" t="n">
        <v>175282</v>
      </c>
      <c r="U15" s="265" t="n">
        <v>180588</v>
      </c>
      <c r="V15" s="265" t="n">
        <v>188872</v>
      </c>
      <c r="X15" s="265" t="n">
        <v>233664</v>
      </c>
      <c r="Y15" s="265" t="n">
        <v>267157</v>
      </c>
      <c r="Z15" s="265" t="n">
        <v>283210</v>
      </c>
      <c r="AA15" s="265" t="n">
        <v>297189</v>
      </c>
      <c r="AC15" s="265" t="n">
        <v>351186</v>
      </c>
      <c r="AD15" s="265" t="n">
        <v>311191</v>
      </c>
    </row>
    <row r="16">
      <c r="A16" t="inlineStr">
        <is>
          <t>Parcela do lucro atribuida aos nao controladores (DRE l.29; positiva na fonte -&gt; COD 9 com sinal -1) · fonte · unid. moeda</t>
        </is>
      </c>
      <c r="C16" t="inlineStr">
        <is>
          <t>[linha bruta, sem código; lançada nas linhas abaixo]</t>
        </is>
      </c>
      <c r="D16" s="265" t="n">
        <v>2075</v>
      </c>
      <c r="E16" s="265" t="n">
        <v>-1652</v>
      </c>
      <c r="F16" s="265" t="n">
        <v>7241.725888</v>
      </c>
      <c r="G16" s="265" t="n">
        <v>7891</v>
      </c>
      <c r="I16" s="265" t="n">
        <v>1448</v>
      </c>
      <c r="J16" s="265" t="n">
        <v>6614</v>
      </c>
      <c r="K16" s="265" t="n">
        <v>4999</v>
      </c>
      <c r="L16" s="265" t="n">
        <v>5494</v>
      </c>
      <c r="N16" s="265" t="n">
        <v>2207</v>
      </c>
      <c r="O16" s="265" t="n">
        <v>2697</v>
      </c>
      <c r="P16" s="265" t="n">
        <v>4671</v>
      </c>
      <c r="Q16" s="265" t="n">
        <v>4271</v>
      </c>
      <c r="S16" s="265" t="n">
        <v>12829</v>
      </c>
      <c r="T16" s="265" t="n">
        <v>3035</v>
      </c>
      <c r="U16" s="265" t="n">
        <v>10017</v>
      </c>
      <c r="V16" s="265" t="n">
        <v>23088</v>
      </c>
      <c r="X16" s="265" t="n">
        <v>20189</v>
      </c>
      <c r="Y16" s="265" t="n">
        <v>30426.4</v>
      </c>
      <c r="Z16" s="265" t="n">
        <v>27957</v>
      </c>
      <c r="AA16" s="265" t="n">
        <v>27112</v>
      </c>
      <c r="AC16" s="265" t="n">
        <v>48319</v>
      </c>
      <c r="AD16" s="265" t="n">
        <v>40740</v>
      </c>
    </row>
    <row r="17">
      <c r="A17" t="inlineStr">
        <is>
          <t>(lançamento) código 9, sinal -1 sobre a linha bruta 16: Parcela do lucro atribuida aos nao controladores (DRE l.29; positiva na fonte -&gt; COD 9 com</t>
        </is>
      </c>
      <c r="B17" t="n">
        <v>9</v>
      </c>
      <c r="C17" t="inlineStr">
        <is>
          <t>Minority Interest Expense, after tax (enter as - )</t>
        </is>
      </c>
      <c r="D17" s="265">
        <f>IF(D16="","",-1*D16)</f>
        <v>-2075</v>
      </c>
      <c r="E17" s="265">
        <f>IF(E16="","",-1*E16)</f>
        <v>1652</v>
      </c>
      <c r="F17" s="265">
        <f>IF(F16="","",-1*F16)</f>
        <v>-7241.725888</v>
      </c>
      <c r="G17" s="265">
        <f>IF(G16="","",-1*G16)</f>
        <v>-7891</v>
      </c>
      <c r="I17" s="265">
        <f>IF(I16="","",-1*I16)</f>
        <v>-1448</v>
      </c>
      <c r="J17" s="265">
        <f>IF(J16="","",-1*J16)</f>
        <v>-6614</v>
      </c>
      <c r="K17" s="265">
        <f>IF(K16="","",-1*K16)</f>
        <v>-4999</v>
      </c>
      <c r="L17" s="265">
        <f>IF(L16="","",-1*L16)</f>
        <v>-5494</v>
      </c>
      <c r="N17" s="265">
        <f>IF(N16="","",-1*N16)</f>
        <v>-2207</v>
      </c>
      <c r="O17" s="265">
        <f>IF(O16="","",-1*O16)</f>
        <v>-2697</v>
      </c>
      <c r="P17" s="265">
        <f>IF(P16="","",-1*P16)</f>
        <v>-4671</v>
      </c>
      <c r="Q17" s="265">
        <f>IF(Q16="","",-1*Q16)</f>
        <v>-4271</v>
      </c>
      <c r="S17" s="265">
        <f>IF(S16="","",-1*S16)</f>
        <v>-12829</v>
      </c>
      <c r="T17" s="265">
        <f>IF(T16="","",-1*T16)</f>
        <v>-3035</v>
      </c>
      <c r="U17" s="265">
        <f>IF(U16="","",-1*U16)</f>
        <v>-10017</v>
      </c>
      <c r="V17" s="265">
        <f>IF(V16="","",-1*V16)</f>
        <v>-23088</v>
      </c>
      <c r="X17" s="265">
        <f>IF(X16="","",-1*X16)</f>
        <v>-20189</v>
      </c>
      <c r="Y17" s="265">
        <f>IF(Y16="","",-1*Y16)</f>
        <v>-30426.4</v>
      </c>
      <c r="Z17" s="265">
        <f>IF(Z16="","",-1*Z16)</f>
        <v>-27957</v>
      </c>
      <c r="AA17" s="265">
        <f>IF(AA16="","",-1*AA16)</f>
        <v>-27112</v>
      </c>
      <c r="AC17" s="265">
        <f>IF(AC16="","",-1*AC16)</f>
        <v>-48319</v>
      </c>
      <c r="AD17" s="265">
        <f>IF(AD16="","",-1*AD16)</f>
        <v>-40740</v>
      </c>
    </row>
    <row r="18">
      <c r="A18" t="inlineStr">
        <is>
          <t>Lucro liquido atribuido aos acionistas da controladora - %Cury (DRE l.30). COD 44 alimenta o check IS do Model (linha 4) · fonte · unid. moeda</t>
        </is>
      </c>
      <c r="B18" t="n">
        <v>44</v>
      </c>
      <c r="C18" t="inlineStr">
        <is>
          <t>Lucro liquido atribuido aos acionistas da controladora - %Cu</t>
        </is>
      </c>
      <c r="D18" s="265" t="n">
        <v>49993</v>
      </c>
      <c r="E18" s="265" t="n">
        <v>78603</v>
      </c>
      <c r="F18" s="265" t="n">
        <v>67397.764092</v>
      </c>
      <c r="G18" s="265" t="n">
        <v>103753</v>
      </c>
      <c r="I18" s="265" t="n">
        <v>61903</v>
      </c>
      <c r="J18" s="265" t="n">
        <v>86325</v>
      </c>
      <c r="K18" s="265" t="n">
        <v>89872</v>
      </c>
      <c r="L18" s="265" t="n">
        <v>91785</v>
      </c>
      <c r="N18" s="265" t="n">
        <v>91849</v>
      </c>
      <c r="O18" s="265" t="n">
        <v>121373</v>
      </c>
      <c r="P18" s="265" t="n">
        <v>108220</v>
      </c>
      <c r="Q18" s="265" t="n">
        <v>160323</v>
      </c>
      <c r="S18" s="265" t="n">
        <v>141241</v>
      </c>
      <c r="T18" s="265" t="n">
        <v>172247</v>
      </c>
      <c r="U18" s="265" t="n">
        <v>170571</v>
      </c>
      <c r="V18" s="265" t="n">
        <v>165784</v>
      </c>
      <c r="X18" s="265" t="n">
        <v>213475</v>
      </c>
      <c r="Y18" s="265" t="n">
        <v>236730.6</v>
      </c>
      <c r="Z18" s="265" t="n">
        <v>255253</v>
      </c>
      <c r="AA18" s="265" t="n">
        <v>270077</v>
      </c>
      <c r="AC18" s="265" t="n">
        <v>302867</v>
      </c>
      <c r="AD18" s="265" t="n">
        <v>270451</v>
      </c>
    </row>
    <row r="19">
      <c r="A19" t="inlineStr">
        <is>
          <t>EBIT - lucro antes do resultado financeiro (DRE l.16) - memoria · memoria · unid. moeda</t>
        </is>
      </c>
      <c r="C19" t="inlineStr">
        <is>
          <t>[linha bruta, sem código; lançada nas linhas abaixo]</t>
        </is>
      </c>
      <c r="D19" s="265" t="n">
        <v>63981</v>
      </c>
      <c r="E19" s="265" t="n">
        <v>90741</v>
      </c>
      <c r="F19" s="265" t="n">
        <v>86041.84065</v>
      </c>
      <c r="G19" s="265" t="n">
        <v>135600</v>
      </c>
      <c r="I19" s="265" t="n">
        <v>79073</v>
      </c>
      <c r="J19" s="265" t="n">
        <v>111996</v>
      </c>
      <c r="K19" s="265" t="n">
        <v>114470</v>
      </c>
      <c r="L19" s="265" t="n">
        <v>123902</v>
      </c>
      <c r="N19" s="265" t="n">
        <v>114836</v>
      </c>
      <c r="O19" s="265" t="n">
        <v>147866</v>
      </c>
      <c r="P19" s="265" t="n">
        <v>135565</v>
      </c>
      <c r="Q19" s="265" t="n">
        <v>183673</v>
      </c>
      <c r="S19" s="265" t="n">
        <v>179173</v>
      </c>
      <c r="T19" s="265" t="n">
        <v>201938.5</v>
      </c>
      <c r="U19" s="265" t="n">
        <v>211203</v>
      </c>
      <c r="V19" s="265" t="n">
        <v>227365</v>
      </c>
      <c r="X19" s="265" t="n">
        <v>279247</v>
      </c>
      <c r="Y19" s="265" t="n">
        <v>314224</v>
      </c>
      <c r="Z19" s="265" t="n">
        <v>328667</v>
      </c>
      <c r="AA19" s="265" t="n">
        <v>345922</v>
      </c>
      <c r="AC19" s="265" t="n">
        <v>403145</v>
      </c>
      <c r="AD19" s="265" t="n">
        <v>378425</v>
      </c>
    </row>
    <row r="20">
      <c r="A20" t="inlineStr">
        <is>
          <t>EBITDA (DRE l.34, como divulgado) - memoria · memoria · unid. moeda</t>
        </is>
      </c>
      <c r="C20" t="inlineStr">
        <is>
          <t>[linha bruta, sem código; lançada nas linhas abaixo]</t>
        </is>
      </c>
      <c r="D20" s="265" t="n">
        <v>64315.65271</v>
      </c>
      <c r="E20" s="265" t="n">
        <v>91096.0585</v>
      </c>
      <c r="F20" s="265" t="n">
        <v>86417.80101</v>
      </c>
      <c r="G20" s="265" t="n">
        <v>135977.74207</v>
      </c>
      <c r="I20" s="265" t="n">
        <v>79997.38681</v>
      </c>
      <c r="J20" s="265" t="n">
        <v>117700</v>
      </c>
      <c r="K20" s="265" t="n">
        <v>120185</v>
      </c>
      <c r="L20" s="265" t="n">
        <v>130204</v>
      </c>
      <c r="N20" s="265" t="n">
        <v>121057.0827</v>
      </c>
      <c r="O20" s="265" t="n">
        <v>154166</v>
      </c>
      <c r="P20" s="265" t="n">
        <v>141905.89385</v>
      </c>
      <c r="Q20" s="265" t="n">
        <v>190683.02345</v>
      </c>
      <c r="S20" s="265" t="n">
        <v>186290</v>
      </c>
      <c r="T20" s="265" t="n">
        <v>208950.07679</v>
      </c>
      <c r="U20" s="265" t="n">
        <v>219394.198945</v>
      </c>
      <c r="V20" s="265" t="n">
        <v>236176.18731</v>
      </c>
      <c r="X20" s="265" t="n">
        <v>287780</v>
      </c>
      <c r="Y20" s="265" t="n">
        <v>322978</v>
      </c>
      <c r="Z20" s="265" t="n">
        <v>337188</v>
      </c>
      <c r="AA20" s="265" t="n">
        <v>354992</v>
      </c>
      <c r="AC20" s="265" t="n">
        <v>411494</v>
      </c>
      <c r="AD20" s="265" t="n">
        <v>386976</v>
      </c>
    </row>
    <row r="21">
      <c r="A21" t="inlineStr">
        <is>
          <t>EBITDA ajustado (DRE l.36; soma juros capitalizados) - memoria · memoria · unid. moeda</t>
        </is>
      </c>
      <c r="C21" t="inlineStr">
        <is>
          <t>[linha bruta, sem código; lançada nas linhas abaixo]</t>
        </is>
      </c>
      <c r="D21" s="265" t="n">
        <v>64437.65271</v>
      </c>
      <c r="E21" s="265" t="n">
        <v>91238.0585</v>
      </c>
      <c r="F21" s="265" t="n">
        <v>86926.40123</v>
      </c>
      <c r="G21" s="265" t="n">
        <v>136539.14185</v>
      </c>
      <c r="I21" s="265" t="n">
        <v>80604.38681</v>
      </c>
      <c r="J21" s="265" t="n">
        <v>118450.94069</v>
      </c>
      <c r="K21" s="265" t="n">
        <v>121285.05931</v>
      </c>
      <c r="L21" s="265" t="n">
        <v>131030</v>
      </c>
      <c r="N21" s="265" t="n">
        <v>122355.92273</v>
      </c>
      <c r="O21" s="265" t="n">
        <v>155581.15997</v>
      </c>
      <c r="P21" s="265" t="n">
        <v>143394.89385</v>
      </c>
      <c r="Q21" s="265" t="n">
        <v>192444.02345</v>
      </c>
      <c r="S21" s="265" t="n">
        <v>188146.00923</v>
      </c>
      <c r="T21" s="265" t="n">
        <v>211076</v>
      </c>
      <c r="U21" s="265" t="n">
        <v>221434.295155</v>
      </c>
      <c r="V21" s="265" t="n">
        <v>238513.68521</v>
      </c>
      <c r="X21" s="265" t="n">
        <v>289491</v>
      </c>
      <c r="Y21" s="265" t="n">
        <v>326435.3909</v>
      </c>
      <c r="Z21" s="265" t="n">
        <v>340249</v>
      </c>
      <c r="AA21" s="265" t="n">
        <v>359319</v>
      </c>
      <c r="AC21" s="265" t="n">
        <v>415737</v>
      </c>
      <c r="AD21" s="265" t="n">
        <v>392251</v>
      </c>
    </row>
    <row r="22">
      <c r="A22" t="inlineStr">
        <is>
          <t>Depreciacao e amortizacao (DRE l.33) - memoria · memoria · unid. moeda</t>
        </is>
      </c>
      <c r="C22" t="inlineStr">
        <is>
          <t>[linha bruta, sem código; lançada nas linhas abaixo]</t>
        </is>
      </c>
      <c r="D22" s="265" t="n">
        <v>334.74295</v>
      </c>
      <c r="E22" s="265" t="n">
        <v>355.0585</v>
      </c>
      <c r="F22" s="265" t="n">
        <v>370.45284</v>
      </c>
      <c r="G22" s="265" t="n">
        <v>378</v>
      </c>
      <c r="I22" s="265" t="n">
        <v>5875</v>
      </c>
      <c r="J22" s="265" t="n">
        <v>5704</v>
      </c>
      <c r="K22" s="265" t="n">
        <v>5715</v>
      </c>
      <c r="L22" s="265" t="n">
        <v>6302</v>
      </c>
      <c r="N22" s="265" t="n">
        <v>6221.0827</v>
      </c>
      <c r="O22" s="265" t="n">
        <v>6300</v>
      </c>
      <c r="P22" s="265" t="n">
        <v>6340.89385</v>
      </c>
      <c r="Q22" s="265" t="n">
        <v>7010.02345</v>
      </c>
      <c r="S22" s="265" t="n">
        <v>7117</v>
      </c>
      <c r="T22" s="265" t="n">
        <v>7009</v>
      </c>
      <c r="U22" s="265" t="n">
        <v>8191.32722</v>
      </c>
      <c r="V22" s="265" t="n">
        <v>8811.187309999999</v>
      </c>
      <c r="X22" s="265" t="n">
        <v>8533</v>
      </c>
      <c r="Y22" s="265" t="n">
        <v>8754</v>
      </c>
      <c r="Z22" s="265" t="n">
        <v>8521</v>
      </c>
      <c r="AA22" s="265" t="n">
        <v>9070</v>
      </c>
      <c r="AC22" s="265" t="n">
        <v>8349</v>
      </c>
      <c r="AD22" s="265" t="n">
        <v>8551</v>
      </c>
    </row>
    <row r="23">
      <c r="A23" t="inlineStr">
        <is>
          <t>DFC - TRIMESTRE ISOLADO (aba Fluxo de Caixa; R$ mil)</t>
        </is>
      </c>
      <c r="C23" t="inlineStr">
        <is>
          <t>[linha bruta, sem código; lançada nas linhas abaixo]</t>
        </is>
      </c>
      <c r="D23" s="265" t="n"/>
      <c r="E23" s="265" t="n"/>
      <c r="F23" s="265" t="n"/>
      <c r="G23" s="265" t="n"/>
      <c r="I23" s="265" t="n"/>
      <c r="J23" s="265" t="n"/>
      <c r="K23" s="265" t="n"/>
      <c r="L23" s="265" t="n"/>
      <c r="N23" s="265" t="n"/>
      <c r="O23" s="265" t="n"/>
      <c r="P23" s="265" t="n"/>
      <c r="Q23" s="265" t="n"/>
      <c r="S23" s="265" t="n"/>
      <c r="T23" s="265" t="n"/>
      <c r="U23" s="265" t="n"/>
      <c r="V23" s="265" t="n"/>
      <c r="X23" s="265" t="n"/>
      <c r="Y23" s="265" t="n"/>
      <c r="Z23" s="265" t="n"/>
      <c r="AA23" s="265" t="n"/>
      <c r="AC23" s="265" t="n"/>
      <c r="AD23" s="265" t="n"/>
    </row>
    <row r="24">
      <c r="A24" t="inlineStr">
        <is>
          <t>Dividendos pagos a acionistas (DFC l.55; ja negativo na fonte) · fonte · unid. moeda</t>
        </is>
      </c>
      <c r="B24" t="n">
        <v>10</v>
      </c>
      <c r="C24" t="inlineStr">
        <is>
          <t>Common Dividends</t>
        </is>
      </c>
      <c r="D24" s="265" t="n">
        <v>0</v>
      </c>
      <c r="E24" s="265" t="n">
        <v>0</v>
      </c>
      <c r="F24" s="265" t="n">
        <v>-115000</v>
      </c>
      <c r="G24" s="265" t="n">
        <v>-50000</v>
      </c>
      <c r="I24" s="265" t="n">
        <v>0</v>
      </c>
      <c r="J24" s="265" t="n">
        <v>0</v>
      </c>
      <c r="K24" s="265" t="n">
        <v>-150000</v>
      </c>
      <c r="L24" s="265" t="n">
        <v>0</v>
      </c>
      <c r="N24" s="265" t="n">
        <v>-60000</v>
      </c>
      <c r="O24" s="265" t="n">
        <v>-18348</v>
      </c>
      <c r="P24" s="265" t="n">
        <v>0</v>
      </c>
      <c r="Q24" s="265" t="n">
        <v>-250000</v>
      </c>
      <c r="S24" s="265" t="n">
        <v>0</v>
      </c>
      <c r="T24" s="265" t="n">
        <v>-118537</v>
      </c>
      <c r="U24" s="265" t="n">
        <v>-265000</v>
      </c>
      <c r="V24" s="265" t="n">
        <v>-100000</v>
      </c>
      <c r="X24" s="265" t="n">
        <v>-175000</v>
      </c>
      <c r="Y24" s="265" t="n">
        <v>-154338</v>
      </c>
      <c r="Z24" s="265" t="n">
        <v>0</v>
      </c>
      <c r="AA24" s="265" t="n">
        <v>-1023000</v>
      </c>
      <c r="AC24" s="265" t="n">
        <v>0</v>
      </c>
      <c r="AD24" s="265" t="n">
        <v>-270000</v>
      </c>
    </row>
    <row r="25">
      <c r="A25" t="inlineStr">
        <is>
          <t>Imobilizado (DFC l.45) - capex - memoria · memoria · unid. moeda</t>
        </is>
      </c>
      <c r="C25" t="inlineStr">
        <is>
          <t>[linha bruta, sem código; lançada nas linhas abaixo]</t>
        </is>
      </c>
      <c r="D25" s="265" t="n">
        <v>-10124</v>
      </c>
      <c r="E25" s="265" t="n">
        <v>-8154</v>
      </c>
      <c r="F25" s="265" t="n">
        <v>-7054</v>
      </c>
      <c r="G25" s="265" t="n">
        <v>-6369</v>
      </c>
      <c r="I25" s="265" t="n">
        <v>-3970</v>
      </c>
      <c r="J25" s="265" t="n">
        <v>-3383</v>
      </c>
      <c r="K25" s="265" t="n">
        <v>800</v>
      </c>
      <c r="L25" s="265" t="n">
        <v>-12210</v>
      </c>
      <c r="N25" s="265" t="n">
        <v>-13870</v>
      </c>
      <c r="O25" s="265" t="n">
        <v>-8152</v>
      </c>
      <c r="P25" s="265" t="n">
        <v>-6189</v>
      </c>
      <c r="Q25" s="265" t="n">
        <v>-7971</v>
      </c>
      <c r="S25" s="265" t="n">
        <v>-9128</v>
      </c>
      <c r="T25" s="265" t="n">
        <v>-7072</v>
      </c>
      <c r="U25" s="265" t="n">
        <v>-10833</v>
      </c>
      <c r="V25" s="265" t="n">
        <v>-10607</v>
      </c>
      <c r="X25" s="265" t="n">
        <v>-8816</v>
      </c>
      <c r="Y25" s="265" t="n">
        <v>-7259</v>
      </c>
      <c r="Z25" s="265" t="n">
        <v>-8645</v>
      </c>
      <c r="AA25" s="265" t="n">
        <v>-9760</v>
      </c>
      <c r="AC25" s="265" t="n">
        <v>-13519</v>
      </c>
      <c r="AD25" s="265" t="n">
        <v>-13320</v>
      </c>
    </row>
    <row r="26">
      <c r="A26" t="inlineStr">
        <is>
          <t>Fluxo de caixa liquido das atividades operacionais (DFC l.39) - memoria · memoria · unid. moeda</t>
        </is>
      </c>
      <c r="C26" t="inlineStr">
        <is>
          <t>[linha bruta, sem código; lançada nas linhas abaixo]</t>
        </is>
      </c>
      <c r="D26" s="265" t="n">
        <v>14590</v>
      </c>
      <c r="E26" s="265" t="n">
        <v>78624</v>
      </c>
      <c r="F26" s="265" t="n">
        <v>78369</v>
      </c>
      <c r="G26" s="265" t="n">
        <v>210711</v>
      </c>
      <c r="I26" s="265" t="n">
        <v>27317</v>
      </c>
      <c r="J26" s="265" t="n">
        <v>94261</v>
      </c>
      <c r="K26" s="265" t="n">
        <v>70903</v>
      </c>
      <c r="L26" s="265" t="n">
        <v>154885</v>
      </c>
      <c r="N26" s="265" t="n">
        <v>19409</v>
      </c>
      <c r="O26" s="265" t="n">
        <v>106372</v>
      </c>
      <c r="P26" s="265" t="n">
        <v>137791</v>
      </c>
      <c r="Q26" s="265" t="n">
        <v>154885</v>
      </c>
      <c r="S26" s="265" t="n">
        <v>24438</v>
      </c>
      <c r="T26" s="265" t="n">
        <v>173094</v>
      </c>
      <c r="U26" s="265" t="n">
        <v>114104</v>
      </c>
      <c r="V26" s="265" t="n">
        <v>167927.5996</v>
      </c>
      <c r="X26" s="265" t="n">
        <v>57863</v>
      </c>
      <c r="Y26" s="265" t="n">
        <v>105845</v>
      </c>
      <c r="Z26" s="265" t="n">
        <v>271006</v>
      </c>
      <c r="AA26" s="265" t="n">
        <v>312332</v>
      </c>
      <c r="AC26" s="265" t="n">
        <v>81925</v>
      </c>
      <c r="AD26" s="265" t="n">
        <v>149981</v>
      </c>
    </row>
    <row r="27">
      <c r="A27" t="inlineStr">
        <is>
          <t>DERIVADAS (formula nesta aba)</t>
        </is>
      </c>
      <c r="C27" t="inlineStr">
        <is>
          <t>[linha bruta, sem código; lançada nas linhas abaixo]</t>
        </is>
      </c>
      <c r="D27" s="265" t="n"/>
      <c r="E27" s="265" t="n"/>
      <c r="F27" s="265" t="n"/>
      <c r="G27" s="265" t="n"/>
      <c r="I27" s="265" t="n"/>
      <c r="J27" s="265" t="n"/>
      <c r="K27" s="265" t="n"/>
      <c r="L27" s="265" t="n"/>
      <c r="N27" s="265" t="n"/>
      <c r="O27" s="265" t="n"/>
      <c r="P27" s="265" t="n"/>
      <c r="Q27" s="265" t="n"/>
      <c r="S27" s="265" t="n"/>
      <c r="T27" s="265" t="n"/>
      <c r="U27" s="265" t="n"/>
      <c r="V27" s="265" t="n"/>
      <c r="X27" s="265" t="n"/>
      <c r="Y27" s="265" t="n"/>
      <c r="Z27" s="265" t="n"/>
      <c r="AA27" s="265" t="n"/>
      <c r="AC27" s="265" t="n"/>
      <c r="AD27" s="265" t="n"/>
    </row>
    <row r="28">
      <c r="A28" t="inlineStr">
        <is>
          <t>D&amp;A = EBITDA divulgado - EBIT (DRE l.34 - l.16), para o EBITDA do modelo ser o da Cia. Bate com a D&amp;A da l.33 exceto 1T22 (EBITDA divulgado R$ 80,0 mi = EBIT 79,1 + 0,9; l.33 traz 5,9). COD1=4 lanca; COD2=3 devolve as despesas operacionais · derivada · unid. moeda</t>
        </is>
      </c>
      <c r="C28" t="inlineStr">
        <is>
          <t>[linha bruta, sem código; lançada nas linhas abaixo]</t>
        </is>
      </c>
      <c r="D28" s="265">
        <f>D20-D19</f>
        <v>334.652710000002</v>
      </c>
      <c r="E28" s="265">
        <f>E20-E19</f>
        <v>355.058499999999</v>
      </c>
      <c r="F28" s="265">
        <f>F20-F19</f>
        <v>375.960359999997</v>
      </c>
      <c r="G28" s="265">
        <f>G20-G19</f>
        <v>377.742070000008</v>
      </c>
      <c r="I28" s="265">
        <f>I20-I19</f>
        <v>924.386809999996</v>
      </c>
      <c r="J28" s="265">
        <f>J20-J19</f>
        <v>5704</v>
      </c>
      <c r="K28" s="265">
        <f>K20-K19</f>
        <v>5715</v>
      </c>
      <c r="L28" s="265">
        <f>L20-L19</f>
        <v>6302</v>
      </c>
      <c r="N28" s="265">
        <f>N20-N19</f>
        <v>6221.0827</v>
      </c>
      <c r="O28" s="265">
        <f>O20-O19</f>
        <v>6300</v>
      </c>
      <c r="P28" s="265">
        <f>P20-P19</f>
        <v>6340.89384999999</v>
      </c>
      <c r="Q28" s="265">
        <f>Q20-Q19</f>
        <v>7010.02345000001</v>
      </c>
      <c r="S28" s="265">
        <f>S20-S19</f>
        <v>7117</v>
      </c>
      <c r="T28" s="265">
        <f>T20-T19</f>
        <v>7011.57678999999</v>
      </c>
      <c r="U28" s="265">
        <f>U20-U19</f>
        <v>8191.19894500001</v>
      </c>
      <c r="V28" s="265">
        <f>V20-V19</f>
        <v>8811.18731000001</v>
      </c>
      <c r="X28" s="265">
        <f>X20-X19</f>
        <v>8533</v>
      </c>
      <c r="Y28" s="265">
        <f>Y20-Y19</f>
        <v>8754</v>
      </c>
      <c r="Z28" s="265">
        <f>Z20-Z19</f>
        <v>8521</v>
      </c>
      <c r="AA28" s="265">
        <f>AA20-AA19</f>
        <v>9070</v>
      </c>
      <c r="AC28" s="265">
        <f>AC20-AC19</f>
        <v>8349</v>
      </c>
      <c r="AD28" s="265">
        <f>AD20-AD19</f>
        <v>8551</v>
      </c>
    </row>
    <row r="29">
      <c r="A29" t="inlineStr">
        <is>
          <t>(lançamento) código 4, sinal -1 sobre a linha bruta 28: D&amp;A = EBITDA divulgado - EBIT (DRE l.34 - l.16), para o EBITDA do modelo ser o da Cia. Bat</t>
        </is>
      </c>
      <c r="B29" t="n">
        <v>4</v>
      </c>
      <c r="C29" t="inlineStr">
        <is>
          <t>D&amp;A</t>
        </is>
      </c>
      <c r="D29" s="265">
        <f>IF(D28="","",-1*D28)</f>
        <v>-334.652710000002</v>
      </c>
      <c r="E29" s="265">
        <f>IF(E28="","",-1*E28)</f>
        <v>-355.058499999999</v>
      </c>
      <c r="F29" s="265">
        <f>IF(F28="","",-1*F28)</f>
        <v>-375.960359999997</v>
      </c>
      <c r="G29" s="265">
        <f>IF(G28="","",-1*G28)</f>
        <v>-377.742070000008</v>
      </c>
      <c r="I29" s="265">
        <f>IF(I28="","",-1*I28)</f>
        <v>-924.386809999996</v>
      </c>
      <c r="J29" s="265">
        <f>IF(J28="","",-1*J28)</f>
        <v>-5704</v>
      </c>
      <c r="K29" s="265">
        <f>IF(K28="","",-1*K28)</f>
        <v>-5715</v>
      </c>
      <c r="L29" s="265">
        <f>IF(L28="","",-1*L28)</f>
        <v>-6302</v>
      </c>
      <c r="N29" s="265">
        <f>IF(N28="","",-1*N28)</f>
        <v>-6221.0827</v>
      </c>
      <c r="O29" s="265">
        <f>IF(O28="","",-1*O28)</f>
        <v>-6300</v>
      </c>
      <c r="P29" s="265">
        <f>IF(P28="","",-1*P28)</f>
        <v>-6340.89384999999</v>
      </c>
      <c r="Q29" s="265">
        <f>IF(Q28="","",-1*Q28)</f>
        <v>-7010.02345000001</v>
      </c>
      <c r="S29" s="265">
        <f>IF(S28="","",-1*S28)</f>
        <v>-7117</v>
      </c>
      <c r="T29" s="265">
        <f>IF(T28="","",-1*T28)</f>
        <v>-7011.57678999999</v>
      </c>
      <c r="U29" s="265">
        <f>IF(U28="","",-1*U28)</f>
        <v>-8191.19894500001</v>
      </c>
      <c r="V29" s="265">
        <f>IF(V28="","",-1*V28)</f>
        <v>-8811.18731000001</v>
      </c>
      <c r="X29" s="265">
        <f>IF(X28="","",-1*X28)</f>
        <v>-8533</v>
      </c>
      <c r="Y29" s="265">
        <f>IF(Y28="","",-1*Y28)</f>
        <v>-8754</v>
      </c>
      <c r="Z29" s="265">
        <f>IF(Z28="","",-1*Z28)</f>
        <v>-8521</v>
      </c>
      <c r="AA29" s="265">
        <f>IF(AA28="","",-1*AA28)</f>
        <v>-9070</v>
      </c>
      <c r="AC29" s="265">
        <f>IF(AC28="","",-1*AC28)</f>
        <v>-8349</v>
      </c>
      <c r="AD29" s="265">
        <f>IF(AD28="","",-1*AD28)</f>
        <v>-8551</v>
      </c>
    </row>
    <row r="30">
      <c r="A30" t="inlineStr">
        <is>
          <t>(lançamento) código 3, sinal +1 sobre a linha bruta 28: D&amp;A = EBITDA divulgado - EBIT (DRE l.34 - l.16), para o EBITDA do modelo ser o da Cia. Bat</t>
        </is>
      </c>
      <c r="B30" t="n">
        <v>3</v>
      </c>
      <c r="C30" t="inlineStr">
        <is>
          <t>SG&amp;A and Other (cash)</t>
        </is>
      </c>
      <c r="D30" s="265">
        <f>IF(D28="","",D28)</f>
        <v>334.652710000002</v>
      </c>
      <c r="E30" s="265">
        <f>IF(E28="","",E28)</f>
        <v>355.058499999999</v>
      </c>
      <c r="F30" s="265">
        <f>IF(F28="","",F28)</f>
        <v>375.960359999997</v>
      </c>
      <c r="G30" s="265">
        <f>IF(G28="","",G28)</f>
        <v>377.742070000008</v>
      </c>
      <c r="I30" s="265">
        <f>IF(I28="","",I28)</f>
        <v>924.386809999996</v>
      </c>
      <c r="J30" s="265">
        <f>IF(J28="","",J28)</f>
        <v>5704</v>
      </c>
      <c r="K30" s="265">
        <f>IF(K28="","",K28)</f>
        <v>5715</v>
      </c>
      <c r="L30" s="265">
        <f>IF(L28="","",L28)</f>
        <v>6302</v>
      </c>
      <c r="N30" s="265">
        <f>IF(N28="","",N28)</f>
        <v>6221.0827</v>
      </c>
      <c r="O30" s="265">
        <f>IF(O28="","",O28)</f>
        <v>6300</v>
      </c>
      <c r="P30" s="265">
        <f>IF(P28="","",P28)</f>
        <v>6340.89384999999</v>
      </c>
      <c r="Q30" s="265">
        <f>IF(Q28="","",Q28)</f>
        <v>7010.02345000001</v>
      </c>
      <c r="S30" s="265">
        <f>IF(S28="","",S28)</f>
        <v>7117</v>
      </c>
      <c r="T30" s="265">
        <f>IF(T28="","",T28)</f>
        <v>7011.57678999999</v>
      </c>
      <c r="U30" s="265">
        <f>IF(U28="","",U28)</f>
        <v>8191.19894500001</v>
      </c>
      <c r="V30" s="265">
        <f>IF(V28="","",V28)</f>
        <v>8811.18731000001</v>
      </c>
      <c r="X30" s="265">
        <f>IF(X28="","",X28)</f>
        <v>8533</v>
      </c>
      <c r="Y30" s="265">
        <f>IF(Y28="","",Y28)</f>
        <v>8754</v>
      </c>
      <c r="Z30" s="265">
        <f>IF(Z28="","",Z28)</f>
        <v>8521</v>
      </c>
      <c r="AA30" s="265">
        <f>IF(AA28="","",AA28)</f>
        <v>9070</v>
      </c>
      <c r="AC30" s="265">
        <f>IF(AC28="","",AC28)</f>
        <v>8349</v>
      </c>
      <c r="AD30" s="265">
        <f>IF(AD28="","",AD28)</f>
        <v>8551</v>
      </c>
    </row>
    <row r="31">
      <c r="A31" t="inlineStr">
        <is>
          <t>BALANCO (abas BP Ativo e BP Passivo; R$ mil, fim de trimestre)</t>
        </is>
      </c>
      <c r="C31" t="inlineStr">
        <is>
          <t>[linha bruta, sem código; lançada nas linhas abaixo]</t>
        </is>
      </c>
      <c r="D31" s="265" t="n"/>
      <c r="E31" s="265" t="n"/>
      <c r="F31" s="265" t="n"/>
      <c r="G31" s="265" t="n"/>
      <c r="I31" s="265" t="n"/>
      <c r="J31" s="265" t="n"/>
      <c r="K31" s="265" t="n"/>
      <c r="L31" s="265" t="n"/>
      <c r="N31" s="265" t="n"/>
      <c r="O31" s="265" t="n"/>
      <c r="P31" s="265" t="n"/>
      <c r="Q31" s="265" t="n"/>
      <c r="S31" s="265" t="n"/>
      <c r="T31" s="265" t="n"/>
      <c r="U31" s="265" t="n"/>
      <c r="V31" s="265" t="n"/>
      <c r="X31" s="265" t="n"/>
      <c r="Y31" s="265" t="n"/>
      <c r="Z31" s="265" t="n"/>
      <c r="AA31" s="265" t="n"/>
      <c r="AC31" s="265" t="n"/>
      <c r="AD31" s="265" t="n"/>
    </row>
    <row r="32">
      <c r="A32" t="inlineStr">
        <is>
          <t>Ativo: Caixa e equivalentes (l.6) · fonte · unid. moeda</t>
        </is>
      </c>
      <c r="B32" t="n">
        <v>11</v>
      </c>
      <c r="C32" t="inlineStr">
        <is>
          <t>Cash and equivalents (inc. investment securities)</t>
        </is>
      </c>
      <c r="D32" s="265" t="n">
        <v>329971</v>
      </c>
      <c r="E32" s="265" t="n">
        <v>390596</v>
      </c>
      <c r="F32" s="265" t="n">
        <v>414633</v>
      </c>
      <c r="G32" s="265" t="n">
        <v>375963</v>
      </c>
      <c r="I32" s="265" t="n">
        <v>360921</v>
      </c>
      <c r="J32" s="265" t="n">
        <v>454074</v>
      </c>
      <c r="K32" s="265" t="n">
        <v>394522</v>
      </c>
      <c r="L32" s="265" t="n">
        <v>562264</v>
      </c>
      <c r="N32" s="265" t="n">
        <v>470159</v>
      </c>
      <c r="O32" s="265" t="n">
        <v>556696</v>
      </c>
      <c r="P32" s="265" t="n">
        <v>730072</v>
      </c>
      <c r="Q32" s="265" t="n">
        <v>643630</v>
      </c>
      <c r="S32" s="265" t="n">
        <v>647595</v>
      </c>
      <c r="T32" s="265" t="n">
        <v>889522</v>
      </c>
      <c r="U32" s="265" t="n">
        <v>760259</v>
      </c>
      <c r="V32" s="265" t="n">
        <v>975224</v>
      </c>
      <c r="X32" s="265" t="n">
        <v>1031724</v>
      </c>
      <c r="Y32" s="265" t="n">
        <v>1035262</v>
      </c>
      <c r="Z32" s="265" t="n">
        <v>1287134</v>
      </c>
      <c r="AA32" s="265" t="n">
        <v>1355394</v>
      </c>
      <c r="AC32" s="265" t="n">
        <v>1397709</v>
      </c>
      <c r="AD32" s="265" t="n">
        <v>1375239</v>
      </c>
    </row>
    <row r="33">
      <c r="A33" t="inlineStr">
        <is>
          <t>Ativo: Títulos e valores mobiliários (l.7) · fonte · unid. moeda</t>
        </is>
      </c>
      <c r="B33" t="n">
        <v>11</v>
      </c>
      <c r="C33" t="inlineStr">
        <is>
          <t>Cash and equivalents (inc. investment securities)</t>
        </is>
      </c>
      <c r="D33" s="265" t="n">
        <v>106673</v>
      </c>
      <c r="E33" s="265" t="n">
        <v>101391</v>
      </c>
      <c r="F33" s="265" t="n">
        <v>140294</v>
      </c>
      <c r="G33" s="265" t="n">
        <v>218524</v>
      </c>
      <c r="I33" s="265" t="n">
        <v>241647</v>
      </c>
      <c r="J33" s="265" t="n">
        <v>225903</v>
      </c>
      <c r="K33" s="265" t="n">
        <v>240386</v>
      </c>
      <c r="L33" s="265" t="n">
        <v>227162</v>
      </c>
      <c r="N33" s="265" t="n">
        <v>259664</v>
      </c>
      <c r="O33" s="265" t="n">
        <v>278694</v>
      </c>
      <c r="P33" s="265" t="n">
        <v>379003</v>
      </c>
      <c r="Q33" s="265" t="n">
        <v>348639</v>
      </c>
      <c r="S33" s="265" t="n">
        <v>364073</v>
      </c>
      <c r="T33" s="265" t="n">
        <v>668498</v>
      </c>
      <c r="U33" s="265" t="n">
        <v>664956</v>
      </c>
      <c r="V33" s="265" t="n">
        <v>441012</v>
      </c>
      <c r="X33" s="265" t="n">
        <v>512082</v>
      </c>
      <c r="Y33" s="265" t="n">
        <v>495613</v>
      </c>
      <c r="Z33" s="265" t="n">
        <v>486069</v>
      </c>
      <c r="AA33" s="265" t="n">
        <v>435543</v>
      </c>
      <c r="AC33" s="265" t="n">
        <v>359601</v>
      </c>
      <c r="AD33" s="265" t="n">
        <v>258467</v>
      </c>
    </row>
    <row r="34">
      <c r="A34" t="inlineStr">
        <is>
          <t>Ativo: Contas a receber de clientes (l.8) · fonte · unid. moeda</t>
        </is>
      </c>
      <c r="B34" t="n">
        <v>12</v>
      </c>
      <c r="C34" t="inlineStr">
        <is>
          <t>Accounts receivable</t>
        </is>
      </c>
      <c r="D34" s="265" t="n">
        <v>770187</v>
      </c>
      <c r="E34" s="265" t="n">
        <v>835343</v>
      </c>
      <c r="F34" s="265" t="n">
        <v>700282</v>
      </c>
      <c r="G34" s="265" t="n">
        <v>731349</v>
      </c>
      <c r="I34" s="265" t="n">
        <v>996524</v>
      </c>
      <c r="J34" s="265" t="n">
        <v>1004386</v>
      </c>
      <c r="K34" s="265" t="n">
        <v>879561.9846579999</v>
      </c>
      <c r="L34" s="265" t="n">
        <v>681536</v>
      </c>
      <c r="N34" s="265" t="n">
        <v>677724</v>
      </c>
      <c r="O34" s="265" t="n">
        <v>678261</v>
      </c>
      <c r="P34" s="265" t="n">
        <v>489221</v>
      </c>
      <c r="Q34" s="265" t="n">
        <v>481218</v>
      </c>
      <c r="S34" s="265" t="n">
        <v>649909</v>
      </c>
      <c r="T34" s="265" t="n">
        <v>494497</v>
      </c>
      <c r="U34" s="265" t="n">
        <v>371958</v>
      </c>
      <c r="V34" s="265" t="n">
        <v>345783</v>
      </c>
      <c r="X34" s="265" t="n">
        <v>602207.996711</v>
      </c>
      <c r="Y34" s="265" t="n">
        <v>552497</v>
      </c>
      <c r="Z34" s="265" t="n">
        <v>475943.340781</v>
      </c>
      <c r="AA34" s="265" t="n">
        <v>286215</v>
      </c>
      <c r="AC34" s="265" t="n">
        <v>536930</v>
      </c>
      <c r="AD34" s="265" t="n">
        <v>580014</v>
      </c>
    </row>
    <row r="35">
      <c r="A35" t="inlineStr">
        <is>
          <t>Ativo: Imóveis a comercializar (l.9) · fonte · unid. moeda</t>
        </is>
      </c>
      <c r="B35" t="n">
        <v>13</v>
      </c>
      <c r="C35" t="inlineStr">
        <is>
          <t>Inventories</t>
        </is>
      </c>
      <c r="D35" s="265" t="n">
        <v>382697</v>
      </c>
      <c r="E35" s="265" t="n">
        <v>320995</v>
      </c>
      <c r="F35" s="265" t="n">
        <v>338886</v>
      </c>
      <c r="G35" s="265" t="n">
        <v>486666</v>
      </c>
      <c r="I35" s="265" t="n">
        <v>454883</v>
      </c>
      <c r="J35" s="265" t="n">
        <v>420684</v>
      </c>
      <c r="K35" s="265" t="n">
        <v>477113</v>
      </c>
      <c r="L35" s="265" t="n">
        <v>534993</v>
      </c>
      <c r="N35" s="265" t="n">
        <v>675394</v>
      </c>
      <c r="O35" s="265" t="n">
        <v>602449</v>
      </c>
      <c r="P35" s="265" t="n">
        <v>626691</v>
      </c>
      <c r="Q35" s="265" t="n">
        <v>641546</v>
      </c>
      <c r="S35" s="265" t="n">
        <v>683171</v>
      </c>
      <c r="T35" s="265" t="n">
        <v>699423</v>
      </c>
      <c r="U35" s="265" t="n">
        <v>683894</v>
      </c>
      <c r="V35" s="265" t="n">
        <v>808203</v>
      </c>
      <c r="X35" s="265" t="n">
        <v>742802</v>
      </c>
      <c r="Y35" s="265" t="n">
        <v>744049</v>
      </c>
      <c r="Z35" s="265" t="n">
        <v>960833</v>
      </c>
      <c r="AA35" s="265" t="n">
        <v>919547</v>
      </c>
      <c r="AC35" s="265" t="n">
        <v>1180633</v>
      </c>
      <c r="AD35" s="265" t="n">
        <v>1185612</v>
      </c>
    </row>
    <row r="36">
      <c r="A36" t="inlineStr">
        <is>
          <t>Ativo: Adiantamentos a fornecedores (l.10) · fonte · unid. moeda</t>
        </is>
      </c>
      <c r="B36" t="n">
        <v>15</v>
      </c>
      <c r="C36" t="inlineStr">
        <is>
          <t>Prepaid expenses</t>
        </is>
      </c>
      <c r="D36" s="265" t="n">
        <v>7755</v>
      </c>
      <c r="E36" s="265" t="n">
        <v>5560</v>
      </c>
      <c r="F36" s="265" t="n">
        <v>9083</v>
      </c>
      <c r="G36" s="265" t="n">
        <v>6611</v>
      </c>
      <c r="I36" s="265" t="n">
        <v>6676</v>
      </c>
      <c r="J36" s="265" t="n">
        <v>6582</v>
      </c>
      <c r="K36" s="265" t="n">
        <v>8343</v>
      </c>
      <c r="L36" s="265" t="n">
        <v>7297</v>
      </c>
      <c r="N36" s="265" t="n">
        <v>7108</v>
      </c>
      <c r="O36" s="265" t="n">
        <v>9562</v>
      </c>
      <c r="P36" s="265" t="n">
        <v>11558</v>
      </c>
      <c r="Q36" s="265" t="n">
        <v>13547</v>
      </c>
      <c r="S36" s="265" t="n">
        <v>9839</v>
      </c>
      <c r="T36" s="265" t="n">
        <v>26070</v>
      </c>
      <c r="U36" s="265" t="n">
        <v>15022</v>
      </c>
      <c r="V36" s="265" t="n">
        <v>17033</v>
      </c>
      <c r="X36" s="265" t="n">
        <v>15238</v>
      </c>
      <c r="Y36" s="265" t="n">
        <v>8316</v>
      </c>
      <c r="Z36" s="265" t="n">
        <v>9581</v>
      </c>
      <c r="AA36" s="265" t="n">
        <v>11708</v>
      </c>
      <c r="AC36" s="265" t="n">
        <v>10253</v>
      </c>
      <c r="AD36" s="265" t="n">
        <v>9152</v>
      </c>
    </row>
    <row r="37">
      <c r="A37" t="inlineStr">
        <is>
          <t>Ativo: Outros créditos (l.11) · fonte · unid. moeda</t>
        </is>
      </c>
      <c r="B37" t="n">
        <v>16</v>
      </c>
      <c r="C37" t="inlineStr">
        <is>
          <t>Other current assets</t>
        </is>
      </c>
      <c r="D37" s="265" t="n">
        <v>15478</v>
      </c>
      <c r="E37" s="265" t="n">
        <v>19254</v>
      </c>
      <c r="F37" s="265" t="n">
        <v>24330</v>
      </c>
      <c r="G37" s="265" t="n">
        <v>27836</v>
      </c>
      <c r="I37" s="265" t="n">
        <v>30305</v>
      </c>
      <c r="J37" s="265" t="n">
        <v>36248</v>
      </c>
      <c r="K37" s="265" t="n">
        <v>43329</v>
      </c>
      <c r="L37" s="265" t="n">
        <v>50270</v>
      </c>
      <c r="N37" s="265" t="n">
        <v>58214</v>
      </c>
      <c r="O37" s="265" t="n">
        <v>63169</v>
      </c>
      <c r="P37" s="265" t="n">
        <v>79675</v>
      </c>
      <c r="Q37" s="265" t="n">
        <v>84228</v>
      </c>
      <c r="S37" s="265" t="n">
        <v>92050</v>
      </c>
      <c r="T37" s="265" t="n">
        <v>115011</v>
      </c>
      <c r="U37" s="265" t="n">
        <v>132338</v>
      </c>
      <c r="V37" s="265" t="n">
        <v>138882</v>
      </c>
      <c r="X37" s="265" t="n">
        <v>144504</v>
      </c>
      <c r="Y37" s="265" t="n">
        <v>170013</v>
      </c>
      <c r="Z37" s="265" t="n">
        <v>187277</v>
      </c>
      <c r="AA37" s="265" t="n">
        <v>203465</v>
      </c>
      <c r="AC37" s="265" t="n">
        <v>206713</v>
      </c>
      <c r="AD37" s="265" t="n">
        <v>230579</v>
      </c>
    </row>
    <row r="38">
      <c r="A38" t="inlineStr">
        <is>
          <t>Ativo: Contas a receber de clientes (l.14) -&gt; cod 12: contas a receber total (CP + LP), padrao de incorporadora; para separar, trocar para cod 22 · fonte · unid. moeda</t>
        </is>
      </c>
      <c r="B38" t="n">
        <v>12</v>
      </c>
      <c r="C38" t="inlineStr">
        <is>
          <t>Accounts receivable</t>
        </is>
      </c>
      <c r="D38" s="265" t="n">
        <v>167826</v>
      </c>
      <c r="E38" s="265" t="n">
        <v>213781</v>
      </c>
      <c r="F38" s="265" t="n">
        <v>406000</v>
      </c>
      <c r="G38" s="265" t="n">
        <v>546316</v>
      </c>
      <c r="I38" s="265" t="n">
        <v>634055</v>
      </c>
      <c r="J38" s="265" t="n">
        <v>552406</v>
      </c>
      <c r="K38" s="265" t="n">
        <v>520139.015342</v>
      </c>
      <c r="L38" s="265" t="n">
        <v>497726</v>
      </c>
      <c r="N38" s="265" t="n">
        <v>372912</v>
      </c>
      <c r="O38" s="265" t="n">
        <v>407428</v>
      </c>
      <c r="P38" s="265" t="n">
        <v>591170</v>
      </c>
      <c r="Q38" s="265" t="n">
        <v>609583</v>
      </c>
      <c r="S38" s="265" t="n">
        <v>635299</v>
      </c>
      <c r="T38" s="265" t="n">
        <v>884755</v>
      </c>
      <c r="U38" s="265" t="n">
        <v>1082272</v>
      </c>
      <c r="V38" s="265" t="n">
        <v>1091454</v>
      </c>
      <c r="X38" s="265" t="n">
        <v>1294500.003289</v>
      </c>
      <c r="Y38" s="265" t="n">
        <v>1581210</v>
      </c>
      <c r="Z38" s="265" t="n">
        <v>1722834.659219</v>
      </c>
      <c r="AA38" s="265" t="n">
        <v>1871728</v>
      </c>
      <c r="AC38" s="265" t="n">
        <v>2012450</v>
      </c>
      <c r="AD38" s="265" t="n">
        <v>2142326</v>
      </c>
    </row>
    <row r="39">
      <c r="A39" t="inlineStr">
        <is>
          <t>Ativo: Imóveis a comercializar (l.15) -&gt; cod 13: imoveis a comercializar total (CP + LP); para separar, trocar para cod 22 · fonte · unid. moeda</t>
        </is>
      </c>
      <c r="B39" t="n">
        <v>13</v>
      </c>
      <c r="C39" t="inlineStr">
        <is>
          <t>Inventories</t>
        </is>
      </c>
      <c r="D39" s="265" t="n">
        <v>36788</v>
      </c>
      <c r="E39" s="265" t="n">
        <v>44683</v>
      </c>
      <c r="F39" s="265" t="n">
        <v>42742</v>
      </c>
      <c r="G39" s="265" t="n">
        <v>46042</v>
      </c>
      <c r="I39" s="265" t="n">
        <v>45908</v>
      </c>
      <c r="J39" s="265" t="n">
        <v>49903</v>
      </c>
      <c r="K39" s="265" t="n">
        <v>51027</v>
      </c>
      <c r="L39" s="265" t="n">
        <v>69096</v>
      </c>
      <c r="N39" s="265" t="n">
        <v>37104</v>
      </c>
      <c r="O39" s="265" t="n">
        <v>55154</v>
      </c>
      <c r="P39" s="265" t="n">
        <v>62334</v>
      </c>
      <c r="Q39" s="265" t="n">
        <v>76002</v>
      </c>
      <c r="S39" s="265" t="n">
        <v>128214</v>
      </c>
      <c r="T39" s="265" t="n">
        <v>66628</v>
      </c>
      <c r="U39" s="265" t="n">
        <v>107723</v>
      </c>
      <c r="V39" s="265" t="n">
        <v>384925</v>
      </c>
      <c r="X39" s="265" t="n">
        <v>392141</v>
      </c>
      <c r="Y39" s="265" t="n">
        <v>439808</v>
      </c>
      <c r="Z39" s="265" t="n">
        <v>356022</v>
      </c>
      <c r="AA39" s="265" t="n">
        <v>429102</v>
      </c>
      <c r="AC39" s="265" t="n">
        <v>340955</v>
      </c>
      <c r="AD39" s="265" t="n">
        <v>344507</v>
      </c>
    </row>
    <row r="40">
      <c r="A40" t="inlineStr">
        <is>
          <t>Ativo: Valores a receber entre partes relacionadas (l.16) · fonte · unid. moeda</t>
        </is>
      </c>
      <c r="B40" t="n">
        <v>22</v>
      </c>
      <c r="C40" t="inlineStr">
        <is>
          <t>Other non-current assets</t>
        </is>
      </c>
      <c r="D40" s="265" t="n">
        <v>12223</v>
      </c>
      <c r="E40" s="265" t="n">
        <v>4771</v>
      </c>
      <c r="F40" s="265" t="n">
        <v>4788</v>
      </c>
      <c r="G40" s="265" t="n">
        <v>4321</v>
      </c>
      <c r="I40" s="265" t="n">
        <v>4445</v>
      </c>
      <c r="J40" s="265" t="n">
        <v>4724</v>
      </c>
      <c r="K40" s="265" t="n">
        <v>4355</v>
      </c>
      <c r="L40" s="265" t="n">
        <v>5073</v>
      </c>
      <c r="N40" s="265" t="n">
        <v>4990</v>
      </c>
      <c r="O40" s="265" t="n">
        <v>9220</v>
      </c>
      <c r="P40" s="265" t="n">
        <v>9055</v>
      </c>
      <c r="Q40" s="265" t="n">
        <v>12877</v>
      </c>
      <c r="S40" s="265" t="n">
        <v>17035</v>
      </c>
      <c r="T40" s="265" t="n">
        <v>20868</v>
      </c>
      <c r="U40" s="265" t="n">
        <v>18436</v>
      </c>
      <c r="V40" s="265" t="n">
        <v>19811</v>
      </c>
      <c r="X40" s="265" t="n">
        <v>15765</v>
      </c>
      <c r="Y40" s="265" t="n">
        <v>19451</v>
      </c>
      <c r="Z40" s="265" t="n">
        <v>12336</v>
      </c>
      <c r="AA40" s="265" t="n">
        <v>11893</v>
      </c>
      <c r="AC40" s="265" t="n">
        <v>17865</v>
      </c>
      <c r="AD40" s="265" t="n">
        <v>18291</v>
      </c>
    </row>
    <row r="41">
      <c r="A41" t="inlineStr">
        <is>
          <t>Ativo: Outros créditos (l.17) · fonte · unid. moeda</t>
        </is>
      </c>
      <c r="B41" t="n">
        <v>22</v>
      </c>
      <c r="C41" t="inlineStr">
        <is>
          <t>Other non-current assets</t>
        </is>
      </c>
      <c r="D41" s="265" t="n">
        <v>39751</v>
      </c>
      <c r="E41" s="265" t="n">
        <v>40488</v>
      </c>
      <c r="F41" s="265" t="n">
        <v>40920</v>
      </c>
      <c r="G41" s="265" t="n">
        <v>35863</v>
      </c>
      <c r="I41" s="265" t="n">
        <v>36988</v>
      </c>
      <c r="J41" s="265" t="n">
        <v>38934</v>
      </c>
      <c r="K41" s="265" t="n">
        <v>39513</v>
      </c>
      <c r="L41" s="265" t="n">
        <v>37485</v>
      </c>
      <c r="N41" s="265" t="n">
        <v>38625</v>
      </c>
      <c r="O41" s="265" t="n">
        <v>40822</v>
      </c>
      <c r="P41" s="265" t="n">
        <v>40775</v>
      </c>
      <c r="Q41" s="265" t="n">
        <v>37440</v>
      </c>
      <c r="S41" s="265" t="n">
        <v>40040</v>
      </c>
      <c r="T41" s="265" t="n">
        <v>36529</v>
      </c>
      <c r="U41" s="265" t="n">
        <v>37791</v>
      </c>
      <c r="V41" s="265" t="n">
        <v>33123</v>
      </c>
      <c r="X41" s="265" t="n">
        <v>37748</v>
      </c>
      <c r="Y41" s="265" t="n">
        <v>56629</v>
      </c>
      <c r="Z41" s="265" t="n">
        <v>52251</v>
      </c>
      <c r="AA41" s="265" t="n">
        <v>47276</v>
      </c>
      <c r="AC41" s="265" t="n">
        <v>48248</v>
      </c>
      <c r="AD41" s="265" t="n">
        <v>52709</v>
      </c>
    </row>
    <row r="42">
      <c r="A42" t="inlineStr">
        <is>
          <t>Ativo: Investimentos (l.18) · fonte · unid. moeda</t>
        </is>
      </c>
      <c r="B42" t="n">
        <v>17</v>
      </c>
      <c r="C42" t="inlineStr">
        <is>
          <t>Equity in affiliates</t>
        </is>
      </c>
      <c r="D42" s="265" t="n">
        <v>28737</v>
      </c>
      <c r="E42" s="265" t="n">
        <v>32139</v>
      </c>
      <c r="F42" s="265" t="n">
        <v>29674</v>
      </c>
      <c r="G42" s="265" t="n">
        <v>29770</v>
      </c>
      <c r="I42" s="265" t="n">
        <v>30764</v>
      </c>
      <c r="J42" s="265" t="n">
        <v>33604</v>
      </c>
      <c r="K42" s="265" t="n">
        <v>36393</v>
      </c>
      <c r="L42" s="265" t="n">
        <v>34316</v>
      </c>
      <c r="N42" s="265" t="n">
        <v>32327</v>
      </c>
      <c r="O42" s="265" t="n">
        <v>33598</v>
      </c>
      <c r="P42" s="265" t="n">
        <v>29692</v>
      </c>
      <c r="Q42" s="265" t="n">
        <v>40875</v>
      </c>
      <c r="S42" s="265" t="n">
        <v>40803</v>
      </c>
      <c r="T42" s="265" t="n">
        <v>44707</v>
      </c>
      <c r="U42" s="265" t="n">
        <v>42837</v>
      </c>
      <c r="V42" s="265" t="n">
        <v>42244</v>
      </c>
      <c r="X42" s="265" t="n">
        <v>40372</v>
      </c>
      <c r="Y42" s="265" t="n">
        <v>40727</v>
      </c>
      <c r="Z42" s="265" t="n">
        <v>41203</v>
      </c>
      <c r="AA42" s="265" t="n">
        <v>41321</v>
      </c>
      <c r="AC42" s="265" t="n">
        <v>37757</v>
      </c>
      <c r="AD42" s="265" t="n">
        <v>30471</v>
      </c>
    </row>
    <row r="43">
      <c r="A43" t="inlineStr">
        <is>
          <t>Ativo: Imobilizado (l.19) · fonte · unid. moeda</t>
        </is>
      </c>
      <c r="B43" t="n">
        <v>18</v>
      </c>
      <c r="C43" t="inlineStr">
        <is>
          <t>PP&amp;E</t>
        </is>
      </c>
      <c r="D43" s="265" t="n">
        <v>20211</v>
      </c>
      <c r="E43" s="265" t="n">
        <v>23569</v>
      </c>
      <c r="F43" s="265" t="n">
        <v>25579</v>
      </c>
      <c r="G43" s="265" t="n">
        <v>25765</v>
      </c>
      <c r="I43" s="265" t="n">
        <v>24330</v>
      </c>
      <c r="J43" s="265" t="n">
        <v>22509</v>
      </c>
      <c r="K43" s="265" t="n">
        <v>22203</v>
      </c>
      <c r="L43" s="265" t="n">
        <v>22931</v>
      </c>
      <c r="N43" s="265" t="n">
        <v>31101</v>
      </c>
      <c r="O43" s="265" t="n">
        <v>33293</v>
      </c>
      <c r="P43" s="265" t="n">
        <v>33278</v>
      </c>
      <c r="Q43" s="265" t="n">
        <v>34596</v>
      </c>
      <c r="S43" s="265" t="n">
        <v>36855</v>
      </c>
      <c r="T43" s="265" t="n">
        <v>37163</v>
      </c>
      <c r="U43" s="265" t="n">
        <v>39806</v>
      </c>
      <c r="V43" s="265" t="n">
        <v>41601</v>
      </c>
      <c r="X43" s="265" t="n">
        <v>41884</v>
      </c>
      <c r="Y43" s="265" t="n">
        <v>40389</v>
      </c>
      <c r="Z43" s="265" t="n">
        <v>40513</v>
      </c>
      <c r="AA43" s="265" t="n">
        <v>41203</v>
      </c>
      <c r="AC43" s="265" t="n">
        <v>46373</v>
      </c>
      <c r="AD43" s="265" t="n">
        <v>51142</v>
      </c>
    </row>
    <row r="44">
      <c r="A44" t="inlineStr">
        <is>
          <t>Ativo: Intangível (l.20) [0 em 9 per.: conta vazia/"-" na fonte] · fonte · unid. moeda</t>
        </is>
      </c>
      <c r="B44" t="n">
        <v>21</v>
      </c>
      <c r="C44" t="inlineStr">
        <is>
          <t>Intangibles</t>
        </is>
      </c>
      <c r="D44" s="265" t="n">
        <v>0</v>
      </c>
      <c r="E44" s="265" t="n">
        <v>0</v>
      </c>
      <c r="F44" s="265" t="n">
        <v>0</v>
      </c>
      <c r="G44" s="265" t="n">
        <v>0</v>
      </c>
      <c r="I44" s="265" t="n">
        <v>0</v>
      </c>
      <c r="J44" s="265" t="n">
        <v>0</v>
      </c>
      <c r="K44" s="265" t="n">
        <v>0</v>
      </c>
      <c r="L44" s="265" t="n">
        <v>0</v>
      </c>
      <c r="N44" s="265" t="n">
        <v>0</v>
      </c>
      <c r="O44" s="265" t="n">
        <v>0</v>
      </c>
      <c r="P44" s="265" t="n">
        <v>0</v>
      </c>
      <c r="Q44" s="265" t="n">
        <v>0</v>
      </c>
      <c r="S44" s="265" t="n">
        <v>0</v>
      </c>
      <c r="T44" s="265" t="n">
        <v>0</v>
      </c>
      <c r="U44" s="265" t="n">
        <v>0</v>
      </c>
      <c r="V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C44" s="265" t="n">
        <v>0</v>
      </c>
      <c r="AD44" s="265" t="n">
        <v>0</v>
      </c>
    </row>
    <row r="45">
      <c r="A45" t="inlineStr">
        <is>
          <t>Ativo: Propriedades para Investimentos (l.21) [0 em 2 per.: conta vazia/"-" na fonte] · fonte · unid. moeda</t>
        </is>
      </c>
      <c r="B45" t="n">
        <v>22</v>
      </c>
      <c r="C45" t="inlineStr">
        <is>
          <t>Other non-current assets</t>
        </is>
      </c>
      <c r="D45" s="265" t="n">
        <v>0</v>
      </c>
      <c r="E45" s="265" t="n">
        <v>0</v>
      </c>
      <c r="F45" s="265" t="n">
        <v>0</v>
      </c>
      <c r="G45" s="265" t="n">
        <v>62896</v>
      </c>
      <c r="I45" s="265" t="n">
        <v>66463</v>
      </c>
      <c r="J45" s="265" t="n">
        <v>67674</v>
      </c>
      <c r="K45" s="265" t="n">
        <v>67968</v>
      </c>
      <c r="L45" s="265" t="n">
        <v>68282</v>
      </c>
      <c r="N45" s="265" t="n">
        <v>68514</v>
      </c>
      <c r="O45" s="265" t="n">
        <v>68304</v>
      </c>
      <c r="P45" s="265" t="n">
        <v>68088</v>
      </c>
      <c r="Q45" s="265" t="n">
        <v>67842</v>
      </c>
      <c r="S45" s="265" t="n">
        <v>67594</v>
      </c>
      <c r="T45" s="265" t="n">
        <v>0</v>
      </c>
      <c r="U45" s="265" t="n">
        <v>0</v>
      </c>
      <c r="V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C45" s="265" t="n">
        <v>0</v>
      </c>
      <c r="AD45" s="265" t="n">
        <v>0</v>
      </c>
    </row>
    <row r="46">
      <c r="A46" t="inlineStr">
        <is>
          <t>Passivo/PL: Fornecedores (l.6) · fonte · unid. moeda</t>
        </is>
      </c>
      <c r="B46" t="n">
        <v>23</v>
      </c>
      <c r="C46" t="inlineStr">
        <is>
          <t>Accounts payable</t>
        </is>
      </c>
      <c r="D46" s="265" t="n">
        <v>60296</v>
      </c>
      <c r="E46" s="265" t="n">
        <v>91549</v>
      </c>
      <c r="F46" s="265" t="n">
        <v>90214</v>
      </c>
      <c r="G46" s="265" t="n">
        <v>87488</v>
      </c>
      <c r="I46" s="265" t="n">
        <v>83823</v>
      </c>
      <c r="J46" s="265" t="n">
        <v>113748</v>
      </c>
      <c r="K46" s="265" t="n">
        <v>104282</v>
      </c>
      <c r="L46" s="265" t="n">
        <v>114591</v>
      </c>
      <c r="N46" s="265" t="n">
        <v>121055</v>
      </c>
      <c r="O46" s="265" t="n">
        <v>118958</v>
      </c>
      <c r="P46" s="265" t="n">
        <v>144821</v>
      </c>
      <c r="Q46" s="265" t="n">
        <v>171904</v>
      </c>
      <c r="S46" s="265" t="n">
        <v>172207</v>
      </c>
      <c r="T46" s="265" t="n">
        <v>141397</v>
      </c>
      <c r="U46" s="265" t="n">
        <v>182227</v>
      </c>
      <c r="V46" s="265" t="n">
        <v>187317</v>
      </c>
      <c r="X46" s="265" t="n">
        <v>256301</v>
      </c>
      <c r="Y46" s="265" t="n">
        <v>286650</v>
      </c>
      <c r="Z46" s="265" t="n">
        <v>283823</v>
      </c>
      <c r="AA46" s="265" t="n">
        <v>278476</v>
      </c>
      <c r="AC46" s="265" t="n">
        <v>339656</v>
      </c>
      <c r="AD46" s="265" t="n">
        <v>351510</v>
      </c>
    </row>
    <row r="47">
      <c r="A47" t="inlineStr">
        <is>
          <t>Passivo/PL: Empréstimos e financiamentos (l.7) · fonte · unid. moeda</t>
        </is>
      </c>
      <c r="B47" t="n">
        <v>27</v>
      </c>
      <c r="C47" t="inlineStr">
        <is>
          <t>Current portion of long-term debt</t>
        </is>
      </c>
      <c r="D47" s="265" t="n">
        <v>100616</v>
      </c>
      <c r="E47" s="265" t="n">
        <v>116920</v>
      </c>
      <c r="F47" s="265" t="n">
        <v>63863</v>
      </c>
      <c r="G47" s="265" t="n">
        <v>68020</v>
      </c>
      <c r="I47" s="265" t="n">
        <v>67654</v>
      </c>
      <c r="J47" s="265" t="n">
        <v>75764</v>
      </c>
      <c r="K47" s="265" t="n">
        <v>32789</v>
      </c>
      <c r="L47" s="265" t="n">
        <v>120906</v>
      </c>
      <c r="N47" s="265" t="n">
        <v>114117</v>
      </c>
      <c r="O47" s="265" t="n">
        <v>138967</v>
      </c>
      <c r="P47" s="265" t="n">
        <v>134940</v>
      </c>
      <c r="Q47" s="265" t="n">
        <v>124271</v>
      </c>
      <c r="S47" s="265" t="n">
        <v>121622</v>
      </c>
      <c r="T47" s="265" t="n">
        <v>120030</v>
      </c>
      <c r="U47" s="265" t="n">
        <v>141500</v>
      </c>
      <c r="V47" s="265" t="n">
        <v>208869</v>
      </c>
      <c r="X47" s="265" t="n">
        <v>132078</v>
      </c>
      <c r="Y47" s="265" t="n">
        <v>156104</v>
      </c>
      <c r="Z47" s="265" t="n">
        <v>150698</v>
      </c>
      <c r="AA47" s="265" t="n">
        <v>299859</v>
      </c>
      <c r="AC47" s="265" t="n">
        <v>175806</v>
      </c>
      <c r="AD47" s="265" t="n">
        <v>178913</v>
      </c>
    </row>
    <row r="48">
      <c r="A48" t="inlineStr">
        <is>
          <t>Passivo/PL: Obrigações trabalhistas (l.8) · fonte · unid. moeda</t>
        </is>
      </c>
      <c r="B48" t="n">
        <v>24</v>
      </c>
      <c r="C48" t="inlineStr">
        <is>
          <t>Accrued expenses</t>
        </is>
      </c>
      <c r="D48" s="265" t="n">
        <v>13813</v>
      </c>
      <c r="E48" s="265" t="n">
        <v>18538</v>
      </c>
      <c r="F48" s="265" t="n">
        <v>17006</v>
      </c>
      <c r="G48" s="265" t="n">
        <v>16567</v>
      </c>
      <c r="I48" s="265" t="n">
        <v>16264</v>
      </c>
      <c r="J48" s="265" t="n">
        <v>20929</v>
      </c>
      <c r="K48" s="265" t="n">
        <v>23709</v>
      </c>
      <c r="L48" s="265" t="n">
        <v>18487</v>
      </c>
      <c r="N48" s="265" t="n">
        <v>22653</v>
      </c>
      <c r="O48" s="265" t="n">
        <v>26462</v>
      </c>
      <c r="P48" s="265" t="n">
        <v>29799</v>
      </c>
      <c r="Q48" s="265" t="n">
        <v>22734</v>
      </c>
      <c r="S48" s="265" t="n">
        <v>27739</v>
      </c>
      <c r="T48" s="265" t="n">
        <v>35591</v>
      </c>
      <c r="U48" s="265" t="n">
        <v>49938</v>
      </c>
      <c r="V48" s="265" t="n">
        <v>32592</v>
      </c>
      <c r="X48" s="265" t="n">
        <v>38661</v>
      </c>
      <c r="Y48" s="265" t="n">
        <v>49007</v>
      </c>
      <c r="Z48" s="265" t="n">
        <v>56389</v>
      </c>
      <c r="AA48" s="265" t="n">
        <v>43999</v>
      </c>
      <c r="AC48" s="265" t="n">
        <v>54666</v>
      </c>
      <c r="AD48" s="265" t="n">
        <v>72162</v>
      </c>
    </row>
    <row r="49">
      <c r="A49" t="inlineStr">
        <is>
          <t>Passivo/PL: Obrigações tributárias (l.9) · fonte · unid. moeda</t>
        </is>
      </c>
      <c r="B49" t="n">
        <v>25</v>
      </c>
      <c r="C49" t="inlineStr">
        <is>
          <t>Taxes payable</t>
        </is>
      </c>
      <c r="D49" s="265" t="n">
        <v>9385</v>
      </c>
      <c r="E49" s="265" t="n">
        <v>8745</v>
      </c>
      <c r="F49" s="265" t="n">
        <v>9271</v>
      </c>
      <c r="G49" s="265" t="n">
        <v>8366</v>
      </c>
      <c r="I49" s="265" t="n">
        <v>10182</v>
      </c>
      <c r="J49" s="265" t="n">
        <v>12518</v>
      </c>
      <c r="K49" s="265" t="n">
        <v>12142</v>
      </c>
      <c r="L49" s="265" t="n">
        <v>14840</v>
      </c>
      <c r="N49" s="265" t="n">
        <v>14924</v>
      </c>
      <c r="O49" s="265" t="n">
        <v>14002</v>
      </c>
      <c r="P49" s="265" t="n">
        <v>16903</v>
      </c>
      <c r="Q49" s="265" t="n">
        <v>19051</v>
      </c>
      <c r="S49" s="265" t="n">
        <v>17695</v>
      </c>
      <c r="T49" s="265" t="n">
        <v>19541</v>
      </c>
      <c r="U49" s="265" t="n">
        <v>20725</v>
      </c>
      <c r="V49" s="265" t="n">
        <v>27898</v>
      </c>
      <c r="X49" s="265" t="n">
        <v>24510</v>
      </c>
      <c r="Y49" s="265" t="n">
        <v>30682</v>
      </c>
      <c r="Z49" s="265" t="n">
        <v>39048</v>
      </c>
      <c r="AA49" s="265" t="n">
        <v>42103</v>
      </c>
      <c r="AC49" s="265" t="n">
        <v>40189</v>
      </c>
      <c r="AD49" s="265" t="n">
        <v>45828</v>
      </c>
    </row>
    <row r="50">
      <c r="A50" t="inlineStr">
        <is>
          <t>Passivo/PL: Credores por imóveis compromissados (l.10) (terrenos a pagar: nao e divida financeira) · fonte · unid. moeda</t>
        </is>
      </c>
      <c r="B50" t="n">
        <v>26</v>
      </c>
      <c r="C50" t="inlineStr">
        <is>
          <t>Other current liabilities (non-debt)</t>
        </is>
      </c>
      <c r="D50" s="265" t="n">
        <v>140502</v>
      </c>
      <c r="E50" s="265" t="n">
        <v>180089</v>
      </c>
      <c r="F50" s="265" t="n">
        <v>140604</v>
      </c>
      <c r="G50" s="265" t="n">
        <v>321259</v>
      </c>
      <c r="I50" s="265" t="n">
        <v>315359</v>
      </c>
      <c r="J50" s="265" t="n">
        <v>316154</v>
      </c>
      <c r="K50" s="265" t="n">
        <v>299651.281391</v>
      </c>
      <c r="L50" s="265" t="n">
        <v>346258</v>
      </c>
      <c r="N50" s="265" t="n">
        <v>350278</v>
      </c>
      <c r="O50" s="265" t="n">
        <v>396647</v>
      </c>
      <c r="P50" s="265" t="n">
        <v>431398</v>
      </c>
      <c r="Q50" s="265" t="n">
        <v>506369</v>
      </c>
      <c r="S50" s="265" t="n">
        <v>562486</v>
      </c>
      <c r="T50" s="265" t="n">
        <v>599894</v>
      </c>
      <c r="U50" s="265" t="n">
        <v>642080</v>
      </c>
      <c r="V50" s="265" t="n">
        <v>521618</v>
      </c>
      <c r="X50" s="265" t="n">
        <v>574539</v>
      </c>
      <c r="Y50" s="265" t="n">
        <v>627468</v>
      </c>
      <c r="Z50" s="265" t="n">
        <v>675251</v>
      </c>
      <c r="AA50" s="265" t="n">
        <v>717439</v>
      </c>
      <c r="AC50" s="265" t="n">
        <v>764029</v>
      </c>
      <c r="AD50" s="265" t="n">
        <v>840714</v>
      </c>
    </row>
    <row r="51">
      <c r="A51" t="inlineStr">
        <is>
          <t>Passivo/PL: Adiantamento de clientes (l.11) · fonte · unid. moeda</t>
        </is>
      </c>
      <c r="B51" t="n">
        <v>26</v>
      </c>
      <c r="C51" t="inlineStr">
        <is>
          <t>Other current liabilities (non-debt)</t>
        </is>
      </c>
      <c r="D51" s="265" t="n">
        <v>336426</v>
      </c>
      <c r="E51" s="265" t="n">
        <v>358402</v>
      </c>
      <c r="F51" s="265" t="n">
        <v>403842</v>
      </c>
      <c r="G51" s="265" t="n">
        <v>515238</v>
      </c>
      <c r="I51" s="265" t="n">
        <v>806999</v>
      </c>
      <c r="J51" s="265" t="n">
        <v>668553</v>
      </c>
      <c r="K51" s="265" t="n">
        <v>489825</v>
      </c>
      <c r="L51" s="265" t="n">
        <v>342626</v>
      </c>
      <c r="N51" s="265" t="n">
        <v>96307</v>
      </c>
      <c r="O51" s="265" t="n">
        <v>63829</v>
      </c>
      <c r="P51" s="265" t="n">
        <v>54193</v>
      </c>
      <c r="Q51" s="265" t="n">
        <v>97208</v>
      </c>
      <c r="S51" s="265" t="n">
        <v>118652</v>
      </c>
      <c r="T51" s="265" t="n">
        <v>150036</v>
      </c>
      <c r="U51" s="265" t="n">
        <v>122895</v>
      </c>
      <c r="V51" s="265" t="n">
        <v>184216</v>
      </c>
      <c r="X51" s="265" t="n">
        <v>238841</v>
      </c>
      <c r="Y51" s="265" t="n">
        <v>253521</v>
      </c>
      <c r="Z51" s="265" t="n">
        <v>273630</v>
      </c>
      <c r="AA51" s="265" t="n">
        <v>333123</v>
      </c>
      <c r="AC51" s="265" t="n">
        <v>351671</v>
      </c>
      <c r="AD51" s="265" t="n">
        <v>347634</v>
      </c>
    </row>
    <row r="52">
      <c r="A52" t="inlineStr">
        <is>
          <t>Passivo/PL: Impostos e contribuições diferidos (l.12) -&gt; cod 33 (impostos diferidos do RET/POC, CP + LP juntos) · fonte · unid. moeda</t>
        </is>
      </c>
      <c r="B52" t="n">
        <v>33</v>
      </c>
      <c r="C52" t="inlineStr">
        <is>
          <t>Deferred income taxes</t>
        </is>
      </c>
      <c r="D52" s="265" t="n">
        <v>11847</v>
      </c>
      <c r="E52" s="265" t="n">
        <v>13775</v>
      </c>
      <c r="F52" s="265" t="n">
        <v>14208</v>
      </c>
      <c r="G52" s="265" t="n">
        <v>9527</v>
      </c>
      <c r="I52" s="265" t="n">
        <v>12111</v>
      </c>
      <c r="J52" s="265" t="n">
        <v>14374</v>
      </c>
      <c r="K52" s="265" t="n">
        <v>15787</v>
      </c>
      <c r="L52" s="265" t="n">
        <v>13853</v>
      </c>
      <c r="N52" s="265" t="n">
        <v>16598</v>
      </c>
      <c r="O52" s="265" t="n">
        <v>17632</v>
      </c>
      <c r="P52" s="265" t="n">
        <v>13172</v>
      </c>
      <c r="Q52" s="265" t="n">
        <v>12772</v>
      </c>
      <c r="S52" s="265" t="n">
        <v>16238</v>
      </c>
      <c r="T52" s="265" t="n">
        <v>11403</v>
      </c>
      <c r="U52" s="265" t="n">
        <v>8335</v>
      </c>
      <c r="V52" s="265" t="n">
        <v>7330</v>
      </c>
      <c r="X52" s="265" t="n">
        <v>12640</v>
      </c>
      <c r="Y52" s="265" t="n">
        <v>11134</v>
      </c>
      <c r="Z52" s="265" t="n">
        <v>9258</v>
      </c>
      <c r="AA52" s="265" t="n">
        <v>10146</v>
      </c>
      <c r="AC52" s="265" t="n">
        <v>14430</v>
      </c>
      <c r="AD52" s="265" t="n">
        <v>14873</v>
      </c>
    </row>
    <row r="53">
      <c r="A53" t="inlineStr">
        <is>
          <t>Passivo/PL: Dividendos a pagar (l.13) [0 em 1 per.: conta vazia/"-" na fonte] · fonte · unid. moeda</t>
        </is>
      </c>
      <c r="B53" t="n">
        <v>26</v>
      </c>
      <c r="C53" t="inlineStr">
        <is>
          <t>Other current liabilities (non-debt)</t>
        </is>
      </c>
      <c r="D53" s="265" t="n">
        <v>38193</v>
      </c>
      <c r="E53" s="265" t="n">
        <v>115000</v>
      </c>
      <c r="F53" s="265" t="n">
        <v>0</v>
      </c>
      <c r="G53" s="265" t="n">
        <v>71191</v>
      </c>
      <c r="I53" s="265" t="n">
        <v>71191</v>
      </c>
      <c r="J53" s="265" t="n">
        <v>150000</v>
      </c>
      <c r="K53" s="265" t="n">
        <v>0</v>
      </c>
      <c r="L53" s="265" t="n">
        <v>78348</v>
      </c>
      <c r="N53" s="265" t="n">
        <v>18348</v>
      </c>
      <c r="O53" s="265" t="n">
        <v>0</v>
      </c>
      <c r="P53" s="265" t="n">
        <v>150000</v>
      </c>
      <c r="Q53" s="265" t="n">
        <v>118537</v>
      </c>
      <c r="S53" s="265" t="n">
        <v>118537</v>
      </c>
      <c r="T53" s="265" t="n">
        <v>265000</v>
      </c>
      <c r="U53" s="265" t="n">
        <v>0</v>
      </c>
      <c r="V53" s="265" t="n">
        <v>54338</v>
      </c>
      <c r="X53" s="265" t="n">
        <v>54338</v>
      </c>
      <c r="Y53" s="265" t="n">
        <v>0</v>
      </c>
      <c r="Z53" s="265" t="n">
        <v>200000</v>
      </c>
      <c r="AA53" s="265" t="n">
        <v>0</v>
      </c>
      <c r="AC53" s="265" t="n">
        <v>140000</v>
      </c>
      <c r="AD53" s="265" t="n">
        <v>30000</v>
      </c>
    </row>
    <row r="54">
      <c r="A54" t="inlineStr">
        <is>
          <t>Passivo/PL: Provisão para riscos cíveis, trabalhistas e tributários (l.14) · fonte · unid. moeda</t>
        </is>
      </c>
      <c r="B54" t="n">
        <v>26</v>
      </c>
      <c r="C54" t="inlineStr">
        <is>
          <t>Other current liabilities (non-debt)</t>
        </is>
      </c>
      <c r="D54" s="265" t="n">
        <v>14496</v>
      </c>
      <c r="E54" s="265" t="n">
        <v>13229</v>
      </c>
      <c r="F54" s="265" t="n">
        <v>12286</v>
      </c>
      <c r="G54" s="265" t="n">
        <v>11780</v>
      </c>
      <c r="I54" s="265" t="n">
        <v>11414</v>
      </c>
      <c r="J54" s="265" t="n">
        <v>11492</v>
      </c>
      <c r="K54" s="265" t="n">
        <v>10266</v>
      </c>
      <c r="L54" s="265" t="n">
        <v>10189</v>
      </c>
      <c r="N54" s="265" t="n">
        <v>10716</v>
      </c>
      <c r="O54" s="265" t="n">
        <v>11097</v>
      </c>
      <c r="P54" s="265" t="n">
        <v>10925</v>
      </c>
      <c r="Q54" s="265" t="n">
        <v>11390</v>
      </c>
      <c r="S54" s="265" t="n">
        <v>13291</v>
      </c>
      <c r="T54" s="265" t="n">
        <v>12885</v>
      </c>
      <c r="U54" s="265" t="n">
        <v>12641</v>
      </c>
      <c r="V54" s="265" t="n">
        <v>13493</v>
      </c>
      <c r="X54" s="265" t="n">
        <v>13600</v>
      </c>
      <c r="Y54" s="265" t="n">
        <v>13623</v>
      </c>
      <c r="Z54" s="265" t="n">
        <v>13826</v>
      </c>
      <c r="AA54" s="265" t="n">
        <v>12388</v>
      </c>
      <c r="AC54" s="265" t="n">
        <v>13254</v>
      </c>
      <c r="AD54" s="265" t="n">
        <v>12631</v>
      </c>
    </row>
    <row r="55">
      <c r="A55" t="inlineStr">
        <is>
          <t>Passivo/PL: Outras contas a pagar (l.15) · fonte · unid. moeda</t>
        </is>
      </c>
      <c r="B55" t="n">
        <v>26</v>
      </c>
      <c r="C55" t="inlineStr">
        <is>
          <t>Other current liabilities (non-debt)</t>
        </is>
      </c>
      <c r="D55" s="265" t="n">
        <v>13356</v>
      </c>
      <c r="E55" s="265" t="n">
        <v>12838</v>
      </c>
      <c r="F55" s="265" t="n">
        <v>5274</v>
      </c>
      <c r="G55" s="265" t="n">
        <v>5943</v>
      </c>
      <c r="I55" s="265" t="n">
        <v>5253</v>
      </c>
      <c r="J55" s="265" t="n">
        <v>4414</v>
      </c>
      <c r="K55" s="265" t="n">
        <v>3507</v>
      </c>
      <c r="L55" s="265" t="n">
        <v>7388</v>
      </c>
      <c r="N55" s="265" t="n">
        <v>5088</v>
      </c>
      <c r="O55" s="265" t="n">
        <v>3867</v>
      </c>
      <c r="P55" s="265" t="n">
        <v>4586</v>
      </c>
      <c r="Q55" s="265" t="n">
        <v>3900</v>
      </c>
      <c r="S55" s="265" t="n">
        <v>2721</v>
      </c>
      <c r="T55" s="265" t="n">
        <v>10137</v>
      </c>
      <c r="U55" s="265" t="n">
        <v>10399</v>
      </c>
      <c r="V55" s="265" t="n">
        <v>12294</v>
      </c>
      <c r="X55" s="265" t="n">
        <v>1558</v>
      </c>
      <c r="Y55" s="265" t="n">
        <v>2713</v>
      </c>
      <c r="Z55" s="265" t="n">
        <v>4186</v>
      </c>
      <c r="AA55" s="265" t="n">
        <v>6167</v>
      </c>
      <c r="AC55" s="265" t="n">
        <v>8515</v>
      </c>
      <c r="AD55" s="265" t="n">
        <v>3611</v>
      </c>
    </row>
    <row r="56">
      <c r="A56" t="inlineStr">
        <is>
          <t>Passivo/PL: Empréstimos e financiamentos (l.18) · fonte · unid. moeda</t>
        </is>
      </c>
      <c r="B56" t="n">
        <v>30</v>
      </c>
      <c r="C56" t="inlineStr">
        <is>
          <t>Long term debt</t>
        </is>
      </c>
      <c r="D56" s="265" t="n">
        <v>180173</v>
      </c>
      <c r="E56" s="265" t="n">
        <v>153375</v>
      </c>
      <c r="F56" s="265" t="n">
        <v>326361</v>
      </c>
      <c r="G56" s="265" t="n">
        <v>323208</v>
      </c>
      <c r="I56" s="265" t="n">
        <v>323208</v>
      </c>
      <c r="J56" s="265" t="n">
        <v>323208</v>
      </c>
      <c r="K56" s="265" t="n">
        <v>423232</v>
      </c>
      <c r="L56" s="265" t="n">
        <v>360082</v>
      </c>
      <c r="N56" s="265" t="n">
        <v>360400</v>
      </c>
      <c r="O56" s="265" t="n">
        <v>360640</v>
      </c>
      <c r="P56" s="265" t="n">
        <v>510779</v>
      </c>
      <c r="Q56" s="265" t="n">
        <v>489081</v>
      </c>
      <c r="S56" s="265" t="n">
        <v>480268</v>
      </c>
      <c r="T56" s="265" t="n">
        <v>960708</v>
      </c>
      <c r="U56" s="265" t="n">
        <v>961025</v>
      </c>
      <c r="V56" s="265" t="n">
        <v>777513</v>
      </c>
      <c r="X56" s="265" t="n">
        <v>1150733</v>
      </c>
      <c r="Y56" s="265" t="n">
        <v>1147008</v>
      </c>
      <c r="Z56" s="265" t="n">
        <v>1172288</v>
      </c>
      <c r="AA56" s="265" t="n">
        <v>1175028</v>
      </c>
      <c r="AC56" s="265" t="n">
        <v>1174610</v>
      </c>
      <c r="AD56" s="265" t="n">
        <v>1164242</v>
      </c>
    </row>
    <row r="57">
      <c r="A57" t="inlineStr">
        <is>
          <t>Passivo/PL: Provisão para garantias de obras (l.19) · fonte · unid. moeda</t>
        </is>
      </c>
      <c r="B57" t="n">
        <v>34</v>
      </c>
      <c r="C57" t="inlineStr">
        <is>
          <t>Other non-current liabilities</t>
        </is>
      </c>
      <c r="D57" s="265" t="n">
        <v>9475</v>
      </c>
      <c r="E57" s="265" t="n">
        <v>10377</v>
      </c>
      <c r="F57" s="265" t="n">
        <v>11427</v>
      </c>
      <c r="G57" s="265" t="n">
        <v>13220</v>
      </c>
      <c r="I57" s="265" t="n">
        <v>15037</v>
      </c>
      <c r="J57" s="265" t="n">
        <v>16723</v>
      </c>
      <c r="K57" s="265" t="n">
        <v>18755</v>
      </c>
      <c r="L57" s="265" t="n">
        <v>21389</v>
      </c>
      <c r="N57" s="265" t="n">
        <v>23738</v>
      </c>
      <c r="O57" s="265" t="n">
        <v>27158</v>
      </c>
      <c r="P57" s="265" t="n">
        <v>30803</v>
      </c>
      <c r="Q57" s="265" t="n">
        <v>38880</v>
      </c>
      <c r="S57" s="265" t="n">
        <v>43195</v>
      </c>
      <c r="T57" s="265" t="n">
        <v>48724</v>
      </c>
      <c r="U57" s="265" t="n">
        <v>54775</v>
      </c>
      <c r="V57" s="265" t="n">
        <v>60743</v>
      </c>
      <c r="X57" s="265" t="n">
        <v>67925</v>
      </c>
      <c r="Y57" s="265" t="n">
        <v>76096</v>
      </c>
      <c r="Z57" s="265" t="n">
        <v>82797</v>
      </c>
      <c r="AA57" s="265" t="n">
        <v>91000</v>
      </c>
      <c r="AC57" s="265" t="n">
        <v>99586</v>
      </c>
      <c r="AD57" s="265" t="n">
        <v>105495</v>
      </c>
    </row>
    <row r="58">
      <c r="A58" t="inlineStr">
        <is>
          <t>Passivo/PL: Credores por imóveis compromissados (l.20) (terrenos a pagar: nao e divida financeira) · fonte · unid. moeda</t>
        </is>
      </c>
      <c r="B58" t="n">
        <v>34</v>
      </c>
      <c r="C58" t="inlineStr">
        <is>
          <t>Other non-current liabilities</t>
        </is>
      </c>
      <c r="D58" s="265" t="n">
        <v>266241</v>
      </c>
      <c r="E58" s="265" t="n">
        <v>217357</v>
      </c>
      <c r="F58" s="265" t="n">
        <v>294980</v>
      </c>
      <c r="G58" s="265" t="n">
        <v>374570</v>
      </c>
      <c r="I58" s="265" t="n">
        <v>367692</v>
      </c>
      <c r="J58" s="265" t="n">
        <v>355650</v>
      </c>
      <c r="K58" s="265" t="n">
        <v>439709.718609</v>
      </c>
      <c r="L58" s="265" t="n">
        <v>429912</v>
      </c>
      <c r="N58" s="265" t="n">
        <v>567132</v>
      </c>
      <c r="O58" s="265" t="n">
        <v>507425</v>
      </c>
      <c r="P58" s="265" t="n">
        <v>509198</v>
      </c>
      <c r="Q58" s="265" t="n">
        <v>423231</v>
      </c>
      <c r="S58" s="265" t="n">
        <v>497891</v>
      </c>
      <c r="T58" s="265" t="n">
        <v>490050</v>
      </c>
      <c r="U58" s="265" t="n">
        <v>447808</v>
      </c>
      <c r="V58" s="265" t="n">
        <v>843900</v>
      </c>
      <c r="X58" s="265" t="n">
        <v>828495</v>
      </c>
      <c r="Y58" s="265" t="n">
        <v>841734</v>
      </c>
      <c r="Z58" s="265" t="n">
        <v>910977</v>
      </c>
      <c r="AA58" s="265" t="n">
        <v>864061</v>
      </c>
      <c r="AC58" s="265" t="n">
        <v>993296</v>
      </c>
      <c r="AD58" s="265" t="n">
        <v>916852</v>
      </c>
    </row>
    <row r="59">
      <c r="A59" t="inlineStr">
        <is>
          <t>Passivo/PL: Provisão para riscos cíveis, trabalhistas e tributários (l.21) · fonte · unid. moeda</t>
        </is>
      </c>
      <c r="B59" t="n">
        <v>34</v>
      </c>
      <c r="C59" t="inlineStr">
        <is>
          <t>Other non-current liabilities</t>
        </is>
      </c>
      <c r="D59" s="265" t="n">
        <v>12466</v>
      </c>
      <c r="E59" s="265" t="n">
        <v>11086</v>
      </c>
      <c r="F59" s="265" t="n">
        <v>10089</v>
      </c>
      <c r="G59" s="265" t="n">
        <v>9299</v>
      </c>
      <c r="I59" s="265" t="n">
        <v>8804</v>
      </c>
      <c r="J59" s="265" t="n">
        <v>8607</v>
      </c>
      <c r="K59" s="265" t="n">
        <v>7656</v>
      </c>
      <c r="L59" s="265" t="n">
        <v>8679</v>
      </c>
      <c r="N59" s="265" t="n">
        <v>9016</v>
      </c>
      <c r="O59" s="265" t="n">
        <v>9904</v>
      </c>
      <c r="P59" s="265" t="n">
        <v>9412</v>
      </c>
      <c r="Q59" s="265" t="n">
        <v>12048</v>
      </c>
      <c r="S59" s="265" t="n">
        <v>15285</v>
      </c>
      <c r="T59" s="265" t="n">
        <v>14816</v>
      </c>
      <c r="U59" s="265" t="n">
        <v>14537</v>
      </c>
      <c r="V59" s="265" t="n">
        <v>13769</v>
      </c>
      <c r="X59" s="265" t="n">
        <v>16877</v>
      </c>
      <c r="Y59" s="265" t="n">
        <v>21401</v>
      </c>
      <c r="Z59" s="265" t="n">
        <v>24107</v>
      </c>
      <c r="AA59" s="265" t="n">
        <v>28640</v>
      </c>
      <c r="AC59" s="265" t="n">
        <v>35524</v>
      </c>
      <c r="AD59" s="265" t="n">
        <v>41411</v>
      </c>
    </row>
    <row r="60">
      <c r="A60" t="inlineStr">
        <is>
          <t>Passivo/PL: Provisões para perdas com  investimentos (l.22) · fonte · unid. moeda</t>
        </is>
      </c>
      <c r="B60" t="n">
        <v>34</v>
      </c>
      <c r="C60" t="inlineStr">
        <is>
          <t>Other non-current liabilities</t>
        </is>
      </c>
      <c r="D60" s="265" t="n">
        <v>656</v>
      </c>
      <c r="E60" s="265" t="n">
        <v>696</v>
      </c>
      <c r="F60" s="265" t="n">
        <v>794</v>
      </c>
      <c r="G60" s="265" t="n">
        <v>755</v>
      </c>
      <c r="I60" s="265" t="n">
        <v>777</v>
      </c>
      <c r="J60" s="265" t="n">
        <v>807</v>
      </c>
      <c r="K60" s="265" t="n">
        <v>750</v>
      </c>
      <c r="L60" s="265" t="n">
        <v>893</v>
      </c>
      <c r="N60" s="265" t="n">
        <v>929</v>
      </c>
      <c r="O60" s="265" t="n">
        <v>932</v>
      </c>
      <c r="P60" s="265" t="n">
        <v>750</v>
      </c>
      <c r="Q60" s="265" t="n">
        <v>766</v>
      </c>
      <c r="S60" s="265" t="n">
        <v>695</v>
      </c>
      <c r="T60" s="265" t="n">
        <v>730</v>
      </c>
      <c r="U60" s="265" t="n">
        <v>755</v>
      </c>
      <c r="V60" s="265" t="n">
        <v>756</v>
      </c>
      <c r="X60" s="265" t="n">
        <v>769</v>
      </c>
      <c r="Y60" s="265" t="n">
        <v>833</v>
      </c>
      <c r="Z60" s="265" t="n">
        <v>835</v>
      </c>
      <c r="AA60" s="265" t="n">
        <v>896</v>
      </c>
      <c r="AC60" s="265" t="n">
        <v>895</v>
      </c>
      <c r="AD60" s="265" t="n">
        <v>886</v>
      </c>
    </row>
    <row r="61">
      <c r="A61" t="inlineStr">
        <is>
          <t>Passivo/PL: Adiantamento de clientes (l.23) [0 em 9 per.: conta vazia/"-" na fonte] · fonte · unid. moeda</t>
        </is>
      </c>
      <c r="B61" t="n">
        <v>34</v>
      </c>
      <c r="C61" t="inlineStr">
        <is>
          <t>Other non-current liabilities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Passivo/PL: Impostos e contribuições diferidos (l.24) · fonte · unid. moeda</t>
        </is>
      </c>
      <c r="B62" t="n">
        <v>33</v>
      </c>
      <c r="C62" t="inlineStr">
        <is>
          <t>Deferred income taxes</t>
        </is>
      </c>
      <c r="D62" s="265" t="n">
        <v>15899</v>
      </c>
      <c r="E62" s="265" t="n">
        <v>18467</v>
      </c>
      <c r="F62" s="265" t="n">
        <v>19048</v>
      </c>
      <c r="G62" s="265" t="n">
        <v>23163</v>
      </c>
      <c r="I62" s="265" t="n">
        <v>25999</v>
      </c>
      <c r="J62" s="265" t="n">
        <v>28444</v>
      </c>
      <c r="K62" s="265" t="n">
        <v>30459</v>
      </c>
      <c r="L62" s="265" t="n">
        <v>32242</v>
      </c>
      <c r="N62" s="265" t="n">
        <v>32884</v>
      </c>
      <c r="O62" s="265" t="n">
        <v>36643</v>
      </c>
      <c r="P62" s="265" t="n">
        <v>42769</v>
      </c>
      <c r="Q62" s="265" t="n">
        <v>42901</v>
      </c>
      <c r="S62" s="265" t="n">
        <v>45513</v>
      </c>
      <c r="T62" s="265" t="n">
        <v>49759</v>
      </c>
      <c r="U62" s="265" t="n">
        <v>54332</v>
      </c>
      <c r="V62" s="265" t="n">
        <v>50677</v>
      </c>
      <c r="X62" s="265" t="n">
        <v>63477</v>
      </c>
      <c r="Y62" s="265" t="n">
        <v>71013</v>
      </c>
      <c r="Z62" s="265" t="n">
        <v>72346</v>
      </c>
      <c r="AA62" s="265" t="n">
        <v>71175</v>
      </c>
      <c r="AC62" s="265" t="n">
        <v>75119</v>
      </c>
      <c r="AD62" s="265" t="n">
        <v>80949</v>
      </c>
    </row>
    <row r="63">
      <c r="A63" t="inlineStr">
        <is>
          <t>Passivo/PL: Valores a pagar entre partes relacionadas (l.25) [0 em 7 per.: conta vazia/"-" na fonte] · fonte · unid. moeda</t>
        </is>
      </c>
      <c r="B63" t="n">
        <v>34</v>
      </c>
      <c r="C63" t="inlineStr">
        <is>
          <t>Other non-current liabilities</t>
        </is>
      </c>
      <c r="D63" s="265" t="n">
        <v>742</v>
      </c>
      <c r="E63" s="265" t="n">
        <v>742</v>
      </c>
      <c r="F63" s="265" t="n">
        <v>752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Passivo/PL: Outras contas a pagar (l.26) [0 em 8 per.: conta vazia/"-" na fonte] · fonte · unid. moeda</t>
        </is>
      </c>
      <c r="B64" t="n">
        <v>34</v>
      </c>
      <c r="C64" t="inlineStr">
        <is>
          <t>Other non-current liabilities</t>
        </is>
      </c>
      <c r="D64" s="265" t="n">
        <v>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32433</v>
      </c>
      <c r="X64" s="265" t="n">
        <v>34142</v>
      </c>
      <c r="Y64" s="265" t="n">
        <v>16683</v>
      </c>
      <c r="Z64" s="265" t="n">
        <v>20409</v>
      </c>
      <c r="AA64" s="265" t="n">
        <v>17841</v>
      </c>
      <c r="AC64" s="265" t="n">
        <v>22271</v>
      </c>
      <c r="AD64" s="265" t="n">
        <v>21957</v>
      </c>
    </row>
    <row r="65">
      <c r="A65" t="inlineStr">
        <is>
          <t>Passivo/PL: Capital social (l.29) · fonte · unid. moeda</t>
        </is>
      </c>
      <c r="B65" t="n">
        <v>37</v>
      </c>
      <c r="C65" t="inlineStr">
        <is>
          <t>Common Stock and APIC</t>
        </is>
      </c>
      <c r="D65" s="265" t="n">
        <v>291054</v>
      </c>
      <c r="E65" s="265" t="n">
        <v>291054</v>
      </c>
      <c r="F65" s="265" t="n">
        <v>291054</v>
      </c>
      <c r="G65" s="265" t="n">
        <v>291054</v>
      </c>
      <c r="I65" s="265" t="n">
        <v>291054</v>
      </c>
      <c r="J65" s="265" t="n">
        <v>291054</v>
      </c>
      <c r="K65" s="265" t="n">
        <v>291054</v>
      </c>
      <c r="L65" s="265" t="n">
        <v>291054</v>
      </c>
      <c r="N65" s="265" t="n">
        <v>291054</v>
      </c>
      <c r="O65" s="265" t="n">
        <v>291054</v>
      </c>
      <c r="P65" s="265" t="n">
        <v>291054</v>
      </c>
      <c r="Q65" s="265" t="n">
        <v>291054</v>
      </c>
      <c r="S65" s="265" t="n">
        <v>291054</v>
      </c>
      <c r="T65" s="265" t="n">
        <v>291054</v>
      </c>
      <c r="U65" s="265" t="n">
        <v>291054</v>
      </c>
      <c r="V65" s="265" t="n">
        <v>491054</v>
      </c>
      <c r="X65" s="265" t="n">
        <v>491054</v>
      </c>
      <c r="Y65" s="265" t="n">
        <v>491054</v>
      </c>
      <c r="Z65" s="265" t="n">
        <v>491054</v>
      </c>
      <c r="AA65" s="265" t="n">
        <v>642267</v>
      </c>
      <c r="AC65" s="265" t="n">
        <v>642267</v>
      </c>
      <c r="AD65" s="265" t="n">
        <v>642267</v>
      </c>
    </row>
    <row r="66">
      <c r="A66" t="inlineStr">
        <is>
          <t>Passivo/PL: Reservas de capital (l.30) · fonte · unid. moeda</t>
        </is>
      </c>
      <c r="B66" t="n">
        <v>37</v>
      </c>
      <c r="C66" t="inlineStr">
        <is>
          <t>Common Stock and APIC</t>
        </is>
      </c>
      <c r="D66" s="265" t="n">
        <v>17598</v>
      </c>
      <c r="E66" s="265" t="n">
        <v>17598</v>
      </c>
      <c r="F66" s="265" t="n">
        <v>17598</v>
      </c>
      <c r="G66" s="265" t="n">
        <v>17598</v>
      </c>
      <c r="I66" s="265" t="n">
        <v>17598</v>
      </c>
      <c r="J66" s="265" t="n">
        <v>17598</v>
      </c>
      <c r="K66" s="265" t="n">
        <v>17598</v>
      </c>
      <c r="L66" s="265" t="n">
        <v>17598</v>
      </c>
      <c r="N66" s="265" t="n">
        <v>17598</v>
      </c>
      <c r="O66" s="265" t="n">
        <v>17598</v>
      </c>
      <c r="P66" s="265" t="n">
        <v>17598</v>
      </c>
      <c r="Q66" s="265" t="n">
        <v>17598</v>
      </c>
      <c r="S66" s="265" t="n">
        <v>17598</v>
      </c>
      <c r="T66" s="265" t="n">
        <v>17598</v>
      </c>
      <c r="U66" s="265" t="n">
        <v>17598</v>
      </c>
      <c r="V66" s="265" t="n">
        <v>17598</v>
      </c>
      <c r="X66" s="265" t="n">
        <v>17598</v>
      </c>
      <c r="Y66" s="265" t="n">
        <v>64680</v>
      </c>
      <c r="Z66" s="265" t="n">
        <v>64680</v>
      </c>
      <c r="AA66" s="265" t="n">
        <v>462875</v>
      </c>
      <c r="AC66" s="265" t="n">
        <v>462875</v>
      </c>
      <c r="AD66" s="265" t="n">
        <v>462875</v>
      </c>
    </row>
    <row r="67">
      <c r="A67" t="inlineStr">
        <is>
          <t>Passivo/PL: Reserva legal (l.31) · fonte · unid. moeda</t>
        </is>
      </c>
      <c r="B67" t="n">
        <v>41</v>
      </c>
      <c r="C67" t="inlineStr">
        <is>
          <t>Retained earnings</t>
        </is>
      </c>
      <c r="D67" s="265" t="n">
        <v>22268</v>
      </c>
      <c r="E67" s="265" t="n">
        <v>22268</v>
      </c>
      <c r="F67" s="265" t="n">
        <v>22268</v>
      </c>
      <c r="G67" s="265" t="n">
        <v>37256</v>
      </c>
      <c r="I67" s="265" t="n">
        <v>37256</v>
      </c>
      <c r="J67" s="265" t="n">
        <v>37256</v>
      </c>
      <c r="K67" s="265" t="n">
        <v>37256</v>
      </c>
      <c r="L67" s="265" t="n">
        <v>53750</v>
      </c>
      <c r="N67" s="265" t="n">
        <v>53750</v>
      </c>
      <c r="O67" s="265" t="n">
        <v>53750</v>
      </c>
      <c r="P67" s="265" t="n">
        <v>53750</v>
      </c>
      <c r="Q67" s="265" t="n">
        <v>61368</v>
      </c>
      <c r="S67" s="265" t="n">
        <v>61368</v>
      </c>
      <c r="T67" s="265" t="n">
        <v>61368</v>
      </c>
      <c r="U67" s="265" t="n">
        <v>61368</v>
      </c>
      <c r="V67" s="265" t="n">
        <v>93860</v>
      </c>
      <c r="X67" s="265" t="n">
        <v>93860</v>
      </c>
      <c r="Y67" s="265" t="n">
        <v>93860</v>
      </c>
      <c r="Z67" s="265" t="n">
        <v>93860</v>
      </c>
      <c r="AA67" s="265" t="n">
        <v>93860</v>
      </c>
      <c r="AC67" s="265" t="n">
        <v>93860</v>
      </c>
      <c r="AD67" s="265" t="n">
        <v>93860</v>
      </c>
    </row>
    <row r="68">
      <c r="A68" t="inlineStr">
        <is>
          <t>Passivo/PL: Reserva de lucros (l.32) · fonte · unid. moeda</t>
        </is>
      </c>
      <c r="B68" t="n">
        <v>41</v>
      </c>
      <c r="C68" t="inlineStr">
        <is>
          <t>Retained earnings</t>
        </is>
      </c>
      <c r="D68" s="265" t="n">
        <v>208537</v>
      </c>
      <c r="E68" s="265" t="n">
        <v>210333</v>
      </c>
      <c r="F68" s="265" t="n">
        <v>277738</v>
      </c>
      <c r="G68" s="265" t="n">
        <v>245311</v>
      </c>
      <c r="I68" s="265" t="n">
        <v>307214</v>
      </c>
      <c r="J68" s="265" t="n">
        <v>314730</v>
      </c>
      <c r="K68" s="265" t="n">
        <v>404602</v>
      </c>
      <c r="L68" s="265" t="n">
        <v>401545</v>
      </c>
      <c r="N68" s="265" t="n">
        <v>493394</v>
      </c>
      <c r="O68" s="265" t="n">
        <v>614767</v>
      </c>
      <c r="P68" s="265" t="n">
        <v>572987</v>
      </c>
      <c r="Q68" s="265" t="n">
        <v>507155</v>
      </c>
      <c r="S68" s="265" t="n">
        <v>648396</v>
      </c>
      <c r="T68" s="265" t="n">
        <v>555643</v>
      </c>
      <c r="U68" s="265" t="n">
        <v>726214</v>
      </c>
      <c r="V68" s="265" t="n">
        <v>505168</v>
      </c>
      <c r="X68" s="265" t="n">
        <v>543643</v>
      </c>
      <c r="Y68" s="265" t="n">
        <v>680374</v>
      </c>
      <c r="Z68" s="265" t="n">
        <v>735627</v>
      </c>
      <c r="AA68" s="265" t="n">
        <v>182704</v>
      </c>
      <c r="AC68" s="265" t="n">
        <v>345571</v>
      </c>
      <c r="AD68" s="265" t="n">
        <v>456022</v>
      </c>
    </row>
    <row r="69">
      <c r="A69" t="inlineStr">
        <is>
          <t>Passivo/PL: Ações em tesouraria (l.33) · fonte · unid. moeda</t>
        </is>
      </c>
      <c r="B69" t="n">
        <v>38</v>
      </c>
      <c r="C69" t="inlineStr">
        <is>
          <t>Treasury stock (contra account)</t>
        </is>
      </c>
      <c r="D69" s="265" t="n">
        <v>0</v>
      </c>
      <c r="E69" s="265" t="n">
        <v>0</v>
      </c>
      <c r="F69" s="265" t="n">
        <v>0</v>
      </c>
      <c r="G69" s="265" t="n">
        <v>-121</v>
      </c>
      <c r="I69" s="265" t="n">
        <v>-5015</v>
      </c>
      <c r="J69" s="265" t="n">
        <v>-12210</v>
      </c>
      <c r="K69" s="265" t="n">
        <v>-12210</v>
      </c>
      <c r="L69" s="265" t="n">
        <v>-12210</v>
      </c>
      <c r="N69" s="265" t="n">
        <v>-12210</v>
      </c>
      <c r="O69" s="265" t="n">
        <v>-12210</v>
      </c>
      <c r="P69" s="265" t="n">
        <v>-12210</v>
      </c>
      <c r="Q69" s="265" t="n">
        <v>-12210</v>
      </c>
      <c r="S69" s="265" t="n">
        <v>-12210</v>
      </c>
      <c r="T69" s="265" t="n">
        <v>-12210</v>
      </c>
      <c r="U69" s="265" t="n">
        <v>-12210</v>
      </c>
      <c r="V69" s="265" t="n">
        <v>-12210</v>
      </c>
      <c r="X69" s="265" t="n">
        <v>-12210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Passivo/PL: Participação dos sócios não controladores (l.35) · fonte · unid. moeda</t>
        </is>
      </c>
      <c r="B70" t="n">
        <v>35</v>
      </c>
      <c r="C70" t="inlineStr">
        <is>
          <t>Minority interest</t>
        </is>
      </c>
      <c r="D70" s="265" t="n">
        <v>154258</v>
      </c>
      <c r="E70" s="265" t="n">
        <v>150132</v>
      </c>
      <c r="F70" s="265" t="n">
        <v>148534</v>
      </c>
      <c r="G70" s="265" t="n">
        <v>147230</v>
      </c>
      <c r="I70" s="265" t="n">
        <v>144035</v>
      </c>
      <c r="J70" s="265" t="n">
        <v>147818</v>
      </c>
      <c r="K70" s="265" t="n">
        <v>134033</v>
      </c>
      <c r="L70" s="265" t="n">
        <v>126011</v>
      </c>
      <c r="N70" s="265" t="n">
        <v>126067</v>
      </c>
      <c r="O70" s="265" t="n">
        <v>137528</v>
      </c>
      <c r="P70" s="265" t="n">
        <v>132985</v>
      </c>
      <c r="Q70" s="265" t="n">
        <v>132015</v>
      </c>
      <c r="S70" s="265" t="n">
        <v>152236</v>
      </c>
      <c r="T70" s="265" t="n">
        <v>139517</v>
      </c>
      <c r="U70" s="265" t="n">
        <v>149296</v>
      </c>
      <c r="V70" s="265" t="n">
        <v>214069</v>
      </c>
      <c r="X70" s="265" t="n">
        <v>227539</v>
      </c>
      <c r="Y70" s="265" t="n">
        <v>248326</v>
      </c>
      <c r="Z70" s="265" t="n">
        <v>256908</v>
      </c>
      <c r="AA70" s="265" t="n">
        <v>280348</v>
      </c>
      <c r="AC70" s="265" t="n">
        <v>347397</v>
      </c>
      <c r="AD70" s="265" t="n">
        <v>393817</v>
      </c>
    </row>
    <row r="71">
      <c r="A71" t="inlineStr">
        <is>
          <t>BALANCO - totais divulgados (memoria)</t>
        </is>
      </c>
      <c r="C71" t="inlineStr">
        <is>
          <t>[linha bruta, sem código; lançada nas linhas abaixo]</t>
        </is>
      </c>
      <c r="D71" s="265" t="n"/>
      <c r="E71" s="265" t="n"/>
      <c r="F71" s="265" t="n"/>
      <c r="G71" s="265" t="n"/>
      <c r="I71" s="265" t="n"/>
      <c r="J71" s="265" t="n"/>
      <c r="K71" s="265" t="n"/>
      <c r="L71" s="265" t="n"/>
      <c r="N71" s="265" t="n"/>
      <c r="O71" s="265" t="n"/>
      <c r="P71" s="265" t="n"/>
      <c r="Q71" s="265" t="n"/>
      <c r="S71" s="265" t="n"/>
      <c r="T71" s="265" t="n"/>
      <c r="U71" s="265" t="n"/>
      <c r="V71" s="265" t="n"/>
      <c r="X71" s="265" t="n"/>
      <c r="Y71" s="265" t="n"/>
      <c r="Z71" s="265" t="n"/>
      <c r="AA71" s="265" t="n"/>
      <c r="AC71" s="265" t="n"/>
      <c r="AD71" s="265" t="n"/>
    </row>
    <row r="72">
      <c r="A72" t="inlineStr">
        <is>
          <t>Total do ativo (BP Ativo l.23) · memoria · unid. moeda</t>
        </is>
      </c>
      <c r="C72" t="inlineStr">
        <is>
          <t>[linha bruta, sem código; lançada nas linhas abaixo]</t>
        </is>
      </c>
      <c r="D72" s="265" t="n">
        <v>1918297</v>
      </c>
      <c r="E72" s="265" t="n">
        <v>2032570</v>
      </c>
      <c r="F72" s="265" t="n">
        <v>2177211</v>
      </c>
      <c r="G72" s="265" t="n">
        <v>2597922</v>
      </c>
      <c r="I72" s="265" t="n">
        <v>2933909</v>
      </c>
      <c r="J72" s="265" t="n">
        <v>2917631</v>
      </c>
      <c r="K72" s="265" t="n">
        <v>2784853</v>
      </c>
      <c r="L72" s="265" t="n">
        <v>2798431</v>
      </c>
      <c r="N72" s="265" t="n">
        <v>2733836</v>
      </c>
      <c r="O72" s="265" t="n">
        <v>2836650</v>
      </c>
      <c r="P72" s="265" t="n">
        <v>3150612</v>
      </c>
      <c r="Q72" s="265" t="n">
        <v>3092023</v>
      </c>
      <c r="S72" s="265" t="n">
        <v>3412477</v>
      </c>
      <c r="T72" s="265" t="n">
        <v>3983671</v>
      </c>
      <c r="U72" s="265" t="n">
        <v>3957292</v>
      </c>
      <c r="V72" s="265" t="n">
        <v>4339295</v>
      </c>
      <c r="X72" s="265" t="n">
        <v>4870968</v>
      </c>
      <c r="Y72" s="265" t="n">
        <v>5183964</v>
      </c>
      <c r="Z72" s="265" t="n">
        <v>5631997</v>
      </c>
      <c r="AA72" s="265" t="n">
        <v>5654395</v>
      </c>
      <c r="AC72" s="265" t="n">
        <v>6195487</v>
      </c>
      <c r="AD72" s="265" t="n">
        <v>6278509</v>
      </c>
    </row>
    <row r="73">
      <c r="A73" t="inlineStr">
        <is>
          <t>Total do passivo e PL (BP Passivo l.36) · memoria · unid. moeda</t>
        </is>
      </c>
      <c r="C73" t="inlineStr">
        <is>
          <t>[linha bruta, sem código; lançada nas linhas abaixo]</t>
        </is>
      </c>
      <c r="D73" s="265" t="n">
        <v>1918297</v>
      </c>
      <c r="E73" s="265" t="n">
        <v>2032570</v>
      </c>
      <c r="F73" s="265" t="n">
        <v>2177211</v>
      </c>
      <c r="G73" s="265" t="n">
        <v>2597922</v>
      </c>
      <c r="I73" s="265" t="n">
        <v>2933909</v>
      </c>
      <c r="J73" s="265" t="n">
        <v>2917631</v>
      </c>
      <c r="K73" s="265" t="n">
        <v>2784853</v>
      </c>
      <c r="L73" s="265" t="n">
        <v>2798431</v>
      </c>
      <c r="N73" s="265" t="n">
        <v>2733836</v>
      </c>
      <c r="O73" s="265" t="n">
        <v>2836650</v>
      </c>
      <c r="P73" s="265" t="n">
        <v>3150612</v>
      </c>
      <c r="Q73" s="265" t="n">
        <v>3092023</v>
      </c>
      <c r="S73" s="265" t="n">
        <v>3412477</v>
      </c>
      <c r="T73" s="265" t="n">
        <v>3983671</v>
      </c>
      <c r="U73" s="265" t="n">
        <v>3957292</v>
      </c>
      <c r="V73" s="265" t="n">
        <v>4339295</v>
      </c>
      <c r="X73" s="265" t="n">
        <v>4870968</v>
      </c>
      <c r="Y73" s="265" t="n">
        <v>5183964</v>
      </c>
      <c r="Z73" s="265" t="n">
        <v>5631997</v>
      </c>
      <c r="AA73" s="265" t="n">
        <v>5654395</v>
      </c>
      <c r="AC73" s="265" t="n">
        <v>6195487</v>
      </c>
      <c r="AD73" s="265" t="n">
        <v>6278509</v>
      </c>
    </row>
    <row r="74">
      <c r="A74" t="inlineStr">
        <is>
          <t>CHECKS (devem ser 0)</t>
        </is>
      </c>
      <c r="C74" t="inlineStr">
        <is>
          <t>[linha bruta, sem código; lançada nas linhas abaixo]</t>
        </is>
      </c>
      <c r="D74" s="265" t="n"/>
      <c r="E74" s="265" t="n"/>
      <c r="F74" s="265" t="n"/>
      <c r="G74" s="265" t="n"/>
      <c r="I74" s="265" t="n"/>
      <c r="J74" s="265" t="n"/>
      <c r="K74" s="265" t="n"/>
      <c r="L74" s="265" t="n"/>
      <c r="N74" s="265" t="n"/>
      <c r="O74" s="265" t="n"/>
      <c r="P74" s="265" t="n"/>
      <c r="Q74" s="265" t="n"/>
      <c r="S74" s="265" t="n"/>
      <c r="T74" s="265" t="n"/>
      <c r="U74" s="265" t="n"/>
      <c r="V74" s="265" t="n"/>
      <c r="X74" s="265" t="n"/>
      <c r="Y74" s="265" t="n"/>
      <c r="Z74" s="265" t="n"/>
      <c r="AA74" s="265" t="n"/>
      <c r="AC74" s="265" t="n"/>
      <c r="AD74" s="265" t="n"/>
    </row>
    <row r="75">
      <c r="A75" t="inlineStr">
        <is>
          <t>CHECK: receita + custo + despesas op. + equivalencia + resultado financeiro + IR - lucro liquido 100% (arredondamento da fonte: ate R$ 1 mil) · derivada · unid. moeda</t>
        </is>
      </c>
      <c r="C75" t="inlineStr">
        <is>
          <t>[linha bruta, sem código; lançada nas linhas abaixo]</t>
        </is>
      </c>
      <c r="D75" s="265">
        <f>ROUND(D5+D6+D7+D8+D9+D10+D11+D12+D13+D14-D15,0)</f>
        <v>0</v>
      </c>
      <c r="E75" s="265">
        <f>ROUND(E5+E6+E7+E8+E9+E10+E11+E12+E13+E14-E15,0)</f>
        <v>0</v>
      </c>
      <c r="F75" s="265">
        <f>ROUND(F5+F6+F7+F8+F9+F10+F11+F12+F13+F14-F15,0)</f>
        <v>0</v>
      </c>
      <c r="G75" s="265">
        <f>ROUND(G5+G6+G7+G8+G9+G10+G11+G12+G13+G14-G15,0)</f>
        <v>-1</v>
      </c>
      <c r="I75" s="265">
        <f>ROUND(I5+I6+I7+I8+I9+I10+I11+I12+I13+I14-I15,0)</f>
        <v>0</v>
      </c>
      <c r="J75" s="265">
        <f>ROUND(J5+J6+J7+J8+J9+J10+J11+J12+J13+J14-J15,0)</f>
        <v>0</v>
      </c>
      <c r="K75" s="265">
        <f>ROUND(K5+K6+K7+K8+K9+K10+K11+K12+K13+K14-K15,0)</f>
        <v>0</v>
      </c>
      <c r="L75" s="265">
        <f>ROUND(L5+L6+L7+L8+L9+L10+L11+L12+L13+L14-L15,0)</f>
        <v>0</v>
      </c>
      <c r="N75" s="265">
        <f>ROUND(N5+N6+N7+N8+N9+N10+N11+N12+N13+N14-N15,0)</f>
        <v>0</v>
      </c>
      <c r="O75" s="265">
        <f>ROUND(O5+O6+O7+O8+O9+O10+O11+O12+O13+O14-O15,0)</f>
        <v>0</v>
      </c>
      <c r="P75" s="265">
        <f>ROUND(P5+P6+P7+P8+P9+P10+P11+P12+P13+P14-P15,0)</f>
        <v>0</v>
      </c>
      <c r="Q75" s="265">
        <f>ROUND(Q5+Q6+Q7+Q8+Q9+Q10+Q11+Q12+Q13+Q14-Q15,0)</f>
        <v>0</v>
      </c>
      <c r="S75" s="265">
        <f>ROUND(S5+S6+S7+S8+S9+S10+S11+S12+S13+S14-S15,0)</f>
        <v>0</v>
      </c>
      <c r="T75" s="265">
        <f>ROUND(T5+T6+T7+T8+T9+T10+T11+T12+T13+T14-T15,0)</f>
        <v>0</v>
      </c>
      <c r="U75" s="265">
        <f>ROUND(U5+U6+U7+U8+U9+U10+U11+U12+U13+U14-U15,0)</f>
        <v>-1</v>
      </c>
      <c r="V75" s="265">
        <f>ROUND(V5+V6+V7+V8+V9+V10+V11+V12+V13+V14-V15,0)</f>
        <v>0</v>
      </c>
      <c r="X75" s="265">
        <f>ROUND(X5+X6+X7+X8+X9+X10+X11+X12+X13+X14-X15,0)</f>
        <v>0</v>
      </c>
      <c r="Y75" s="265">
        <f>ROUND(Y5+Y6+Y7+Y8+Y9+Y10+Y11+Y12+Y13+Y14-Y15,0)</f>
        <v>0</v>
      </c>
      <c r="Z75" s="265">
        <f>ROUND(Z5+Z6+Z7+Z8+Z9+Z10+Z11+Z12+Z13+Z14-Z15,0)</f>
        <v>0</v>
      </c>
      <c r="AA75" s="265">
        <f>ROUND(AA5+AA6+AA7+AA8+AA9+AA10+AA11+AA12+AA13+AA14-AA15,0)</f>
        <v>0</v>
      </c>
      <c r="AC75" s="265">
        <f>ROUND(AC5+AC6+AC7+AC8+AC9+AC10+AC11+AC12+AC13+AC14-AC15,0)</f>
        <v>0</v>
      </c>
      <c r="AD75" s="265">
        <f>ROUND(AD5+AD6+AD7+AD8+AD9+AD10+AD11+AD12+AD13+AD14-AD15,0)</f>
        <v>0</v>
      </c>
    </row>
    <row r="76">
      <c r="A76" t="inlineStr">
        <is>
          <t>CHECK: contas de ativo - ativo total · derivada · unid. moeda</t>
        </is>
      </c>
      <c r="C76" t="inlineStr">
        <is>
          <t>[linha bruta, sem código; lançada nas linhas abaixo]</t>
        </is>
      </c>
      <c r="D76" s="265">
        <f>ROUND(D32+D33+D34+D35+D36+D37+D38+D39+D40+D41+D42+D43+D44+D45-D72,0)</f>
        <v>0</v>
      </c>
      <c r="E76" s="265">
        <f>ROUND(E32+E33+E34+E35+E36+E37+E38+E39+E40+E41+E42+E43+E44+E45-E72,0)</f>
        <v>0</v>
      </c>
      <c r="F76" s="265">
        <f>ROUND(F32+F33+F34+F35+F36+F37+F38+F39+F40+F41+F42+F43+F44+F45-F72,0)</f>
        <v>0</v>
      </c>
      <c r="G76" s="265">
        <f>ROUND(G32+G33+G34+G35+G36+G37+G38+G39+G40+G41+G42+G43+G44+G45-G72,0)</f>
        <v>0</v>
      </c>
      <c r="I76" s="265">
        <f>ROUND(I32+I33+I34+I35+I36+I37+I38+I39+I40+I41+I42+I43+I44+I45-I72,0)</f>
        <v>0</v>
      </c>
      <c r="J76" s="265">
        <f>ROUND(J32+J33+J34+J35+J36+J37+J38+J39+J40+J41+J42+J43+J44+J45-J72,0)</f>
        <v>0</v>
      </c>
      <c r="K76" s="265">
        <f>ROUND(K32+K33+K34+K35+K36+K37+K38+K39+K40+K41+K42+K43+K44+K45-K72,0)</f>
        <v>0</v>
      </c>
      <c r="L76" s="265">
        <f>ROUND(L32+L33+L34+L35+L36+L37+L38+L39+L40+L41+L42+L43+L44+L45-L72,0)</f>
        <v>0</v>
      </c>
      <c r="N76" s="265">
        <f>ROUND(N32+N33+N34+N35+N36+N37+N38+N39+N40+N41+N42+N43+N44+N45-N72,0)</f>
        <v>0</v>
      </c>
      <c r="O76" s="265">
        <f>ROUND(O32+O33+O34+O35+O36+O37+O38+O39+O40+O41+O42+O43+O44+O45-O72,0)</f>
        <v>0</v>
      </c>
      <c r="P76" s="265">
        <f>ROUND(P32+P33+P34+P35+P36+P37+P38+P39+P40+P41+P42+P43+P44+P45-P72,0)</f>
        <v>0</v>
      </c>
      <c r="Q76" s="265">
        <f>ROUND(Q32+Q33+Q34+Q35+Q36+Q37+Q38+Q39+Q40+Q41+Q42+Q43+Q44+Q45-Q72,0)</f>
        <v>0</v>
      </c>
      <c r="S76" s="265">
        <f>ROUND(S32+S33+S34+S35+S36+S37+S38+S39+S40+S41+S42+S43+S44+S45-S72,0)</f>
        <v>0</v>
      </c>
      <c r="T76" s="265">
        <f>ROUND(T32+T33+T34+T35+T36+T37+T38+T39+T40+T41+T42+T43+T44+T45-T72,0)</f>
        <v>0</v>
      </c>
      <c r="U76" s="265">
        <f>ROUND(U32+U33+U34+U35+U36+U37+U38+U39+U40+U41+U42+U43+U44+U45-U72,0)</f>
        <v>0</v>
      </c>
      <c r="V76" s="265">
        <f>ROUND(V32+V33+V34+V35+V36+V37+V38+V39+V40+V41+V42+V43+V44+V45-V72,0)</f>
        <v>0</v>
      </c>
      <c r="X76" s="265">
        <f>ROUND(X32+X33+X34+X35+X36+X37+X38+X39+X40+X41+X42+X43+X44+X45-X72,0)</f>
        <v>0</v>
      </c>
      <c r="Y76" s="265">
        <f>ROUND(Y32+Y33+Y34+Y35+Y36+Y37+Y38+Y39+Y40+Y41+Y42+Y43+Y44+Y45-Y72,0)</f>
        <v>0</v>
      </c>
      <c r="Z76" s="265">
        <f>ROUND(Z32+Z33+Z34+Z35+Z36+Z37+Z38+Z39+Z40+Z41+Z42+Z43+Z44+Z45-Z72,0)</f>
        <v>0</v>
      </c>
      <c r="AA76" s="265">
        <f>ROUND(AA32+AA33+AA34+AA35+AA36+AA37+AA38+AA39+AA40+AA41+AA42+AA43+AA44+AA45-AA72,0)</f>
        <v>0</v>
      </c>
      <c r="AC76" s="265">
        <f>ROUND(AC32+AC33+AC34+AC35+AC36+AC37+AC38+AC39+AC40+AC41+AC42+AC43+AC44+AC45-AC72,0)</f>
        <v>0</v>
      </c>
      <c r="AD76" s="265">
        <f>ROUND(AD32+AD33+AD34+AD35+AD36+AD37+AD38+AD39+AD40+AD41+AD42+AD43+AD44+AD45-AD72,0)</f>
        <v>0</v>
      </c>
    </row>
    <row r="77">
      <c r="A77" t="inlineStr">
        <is>
          <t>CHECK: passivo + PL - passivo total · derivada · unid. moeda</t>
        </is>
      </c>
      <c r="C77" t="inlineStr">
        <is>
          <t>[linha bruta, sem código; lançada nas linhas abaixo]</t>
        </is>
      </c>
      <c r="D77" s="265">
        <f>ROUND(D46+D47+D48+D49+D50+D51+D52+D53+D54+D55+D56+D57+D58+D59+D60+D61+D62+D63+D64+D65+D66+D67+D68+D69+D70-D73,0)</f>
        <v>0</v>
      </c>
      <c r="E77" s="265">
        <f>ROUND(E46+E47+E48+E49+E50+E51+E52+E53+E54+E55+E56+E57+E58+E59+E60+E61+E62+E63+E64+E65+E66+E67+E68+E69+E70-E73,0)</f>
        <v>0</v>
      </c>
      <c r="F77" s="265">
        <f>ROUND(F46+F47+F48+F49+F50+F51+F52+F53+F54+F55+F56+F57+F58+F59+F60+F61+F62+F63+F64+F65+F66+F67+F68+F69+F70-F73,0)</f>
        <v>0</v>
      </c>
      <c r="G77" s="265">
        <f>ROUND(G46+G47+G48+G49+G50+G51+G52+G53+G54+G55+G56+G57+G58+G59+G60+G61+G62+G63+G64+G65+G66+G67+G68+G69+G70-G73,0)</f>
        <v>0</v>
      </c>
      <c r="I77" s="265">
        <f>ROUND(I46+I47+I48+I49+I50+I51+I52+I53+I54+I55+I56+I57+I58+I59+I60+I61+I62+I63+I64+I65+I66+I67+I68+I69+I70-I73,0)</f>
        <v>0</v>
      </c>
      <c r="J77" s="265">
        <f>ROUND(J46+J47+J48+J49+J50+J51+J52+J53+J54+J55+J56+J57+J58+J59+J60+J61+J62+J63+J64+J65+J66+J67+J68+J69+J70-J73,0)</f>
        <v>0</v>
      </c>
      <c r="K77" s="265">
        <f>ROUND(K46+K47+K48+K49+K50+K51+K52+K53+K54+K55+K56+K57+K58+K59+K60+K61+K62+K63+K64+K65+K66+K67+K68+K69+K70-K73,0)</f>
        <v>0</v>
      </c>
      <c r="L77" s="265">
        <f>ROUND(L46+L47+L48+L49+L50+L51+L52+L53+L54+L55+L56+L57+L58+L59+L60+L61+L62+L63+L64+L65+L66+L67+L68+L69+L70-L73,0)</f>
        <v>0</v>
      </c>
      <c r="N77" s="265">
        <f>ROUND(N46+N47+N48+N49+N50+N51+N52+N53+N54+N55+N56+N57+N58+N59+N60+N61+N62+N63+N64+N65+N66+N67+N68+N69+N70-N73,0)</f>
        <v>0</v>
      </c>
      <c r="O77" s="265">
        <f>ROUND(O46+O47+O48+O49+O50+O51+O52+O53+O54+O55+O56+O57+O58+O59+O60+O61+O62+O63+O64+O65+O66+O67+O68+O69+O70-O73,0)</f>
        <v>0</v>
      </c>
      <c r="P77" s="265">
        <f>ROUND(P46+P47+P48+P49+P50+P51+P52+P53+P54+P55+P56+P57+P58+P59+P60+P61+P62+P63+P64+P65+P66+P67+P68+P69+P70-P73,0)</f>
        <v>0</v>
      </c>
      <c r="Q77" s="265">
        <f>ROUND(Q46+Q47+Q48+Q49+Q50+Q51+Q52+Q53+Q54+Q55+Q56+Q57+Q58+Q59+Q60+Q61+Q62+Q63+Q64+Q65+Q66+Q67+Q68+Q69+Q70-Q73,0)</f>
        <v>0</v>
      </c>
      <c r="S77" s="265">
        <f>ROUND(S46+S47+S48+S49+S50+S51+S52+S53+S54+S55+S56+S57+S58+S59+S60+S61+S62+S63+S64+S65+S66+S67+S68+S69+S70-S73,0)</f>
        <v>0</v>
      </c>
      <c r="T77" s="265">
        <f>ROUND(T46+T47+T48+T49+T50+T51+T52+T53+T54+T55+T56+T57+T58+T59+T60+T61+T62+T63+T64+T65+T66+T67+T68+T69+T70-T73,0)</f>
        <v>0</v>
      </c>
      <c r="U77" s="265">
        <f>ROUND(U46+U47+U48+U49+U50+U51+U52+U53+U54+U55+U56+U57+U58+U59+U60+U61+U62+U63+U64+U65+U66+U67+U68+U69+U70-U73,0)</f>
        <v>0</v>
      </c>
      <c r="V77" s="265">
        <f>ROUND(V46+V47+V48+V49+V50+V51+V52+V53+V54+V55+V56+V57+V58+V59+V60+V61+V62+V63+V64+V65+V66+V67+V68+V69+V70-V73,0)</f>
        <v>0</v>
      </c>
      <c r="X77" s="265">
        <f>ROUND(X46+X47+X48+X49+X50+X51+X52+X53+X54+X55+X56+X57+X58+X59+X60+X61+X62+X63+X64+X65+X66+X67+X68+X69+X70-X73,0)</f>
        <v>0</v>
      </c>
      <c r="Y77" s="265">
        <f>ROUND(Y46+Y47+Y48+Y49+Y50+Y51+Y52+Y53+Y54+Y55+Y56+Y57+Y58+Y59+Y60+Y61+Y62+Y63+Y64+Y65+Y66+Y67+Y68+Y69+Y70-Y73,0)</f>
        <v>0</v>
      </c>
      <c r="Z77" s="265">
        <f>ROUND(Z46+Z47+Z48+Z49+Z50+Z51+Z52+Z53+Z54+Z55+Z56+Z57+Z58+Z59+Z60+Z61+Z62+Z63+Z64+Z65+Z66+Z67+Z68+Z69+Z70-Z73,0)</f>
        <v>0</v>
      </c>
      <c r="AA77" s="265">
        <f>ROUND(AA46+AA47+AA48+AA49+AA50+AA51+AA52+AA53+AA54+AA55+AA56+AA57+AA58+AA59+AA60+AA61+AA62+AA63+AA64+AA65+AA66+AA67+AA68+AA69+AA70-AA73,0)</f>
        <v>0</v>
      </c>
      <c r="AC77" s="265">
        <f>ROUND(AC46+AC47+AC48+AC49+AC50+AC51+AC52+AC53+AC54+AC55+AC56+AC57+AC58+AC59+AC60+AC61+AC62+AC63+AC64+AC65+AC66+AC67+AC68+AC69+AC70-AC73,0)</f>
        <v>0</v>
      </c>
      <c r="AD77" s="265">
        <f>ROUND(AD46+AD47+AD48+AD49+AD50+AD51+AD52+AD53+AD54+AD55+AD56+AD57+AD58+AD59+AD60+AD61+AD62+AD63+AD64+AD65+AD66+AD67+AD68+AD69+AD70-AD73,0)</f>
        <v>0</v>
      </c>
    </row>
    <row r="78">
      <c r="A78" t="inlineStr">
        <is>
          <t>[vazio] cod 14 Deferred income taxes (ativo): sem linha propria</t>
        </is>
      </c>
      <c r="C78" t="inlineStr">
        <is>
          <t>[linha bruta, sem código; lançada nas linhas abaixo]</t>
        </is>
      </c>
      <c r="D78" s="265" t="n"/>
      <c r="E78" s="265" t="n"/>
      <c r="F78" s="265" t="n"/>
      <c r="G78" s="265" t="n"/>
      <c r="I78" s="265" t="n"/>
      <c r="J78" s="265" t="n"/>
      <c r="K78" s="265" t="n"/>
      <c r="L78" s="265" t="n"/>
      <c r="N78" s="265" t="n"/>
      <c r="O78" s="265" t="n"/>
      <c r="P78" s="265" t="n"/>
      <c r="Q78" s="265" t="n"/>
      <c r="S78" s="265" t="n"/>
      <c r="T78" s="265" t="n"/>
      <c r="U78" s="265" t="n"/>
      <c r="V78" s="265" t="n"/>
      <c r="X78" s="265" t="n"/>
      <c r="Y78" s="265" t="n"/>
      <c r="Z78" s="265" t="n"/>
      <c r="AA78" s="265" t="n"/>
      <c r="AC78" s="265" t="n"/>
      <c r="AD78" s="265" t="n"/>
    </row>
    <row r="79">
      <c r="A79" t="inlineStr">
        <is>
          <t>[vazio] cod 19 Right-of-use: sem linha propria</t>
        </is>
      </c>
      <c r="C79" t="inlineStr">
        <is>
          <t>[linha bruta, sem código; lançada nas linhas abaixo]</t>
        </is>
      </c>
      <c r="D79" s="265" t="n"/>
      <c r="E79" s="265" t="n"/>
      <c r="F79" s="265" t="n"/>
      <c r="G79" s="265" t="n"/>
      <c r="I79" s="265" t="n"/>
      <c r="J79" s="265" t="n"/>
      <c r="K79" s="265" t="n"/>
      <c r="L79" s="265" t="n"/>
      <c r="N79" s="265" t="n"/>
      <c r="O79" s="265" t="n"/>
      <c r="P79" s="265" t="n"/>
      <c r="Q79" s="265" t="n"/>
      <c r="S79" s="265" t="n"/>
      <c r="T79" s="265" t="n"/>
      <c r="U79" s="265" t="n"/>
      <c r="V79" s="265" t="n"/>
      <c r="X79" s="265" t="n"/>
      <c r="Y79" s="265" t="n"/>
      <c r="Z79" s="265" t="n"/>
      <c r="AA79" s="265" t="n"/>
      <c r="AC79" s="265" t="n"/>
      <c r="AD79" s="265" t="n"/>
    </row>
    <row r="80">
      <c r="A80" t="inlineStr">
        <is>
          <t>[vazio] cod 20 Goodwill: inexistente</t>
        </is>
      </c>
      <c r="C80" t="inlineStr">
        <is>
          <t>[linha bruta, sem código; lançada nas linhas abaixo]</t>
        </is>
      </c>
      <c r="D80" s="265" t="n"/>
      <c r="E80" s="265" t="n"/>
      <c r="F80" s="265" t="n"/>
      <c r="G80" s="265" t="n"/>
      <c r="I80" s="265" t="n"/>
      <c r="J80" s="265" t="n"/>
      <c r="K80" s="265" t="n"/>
      <c r="L80" s="265" t="n"/>
      <c r="N80" s="265" t="n"/>
      <c r="O80" s="265" t="n"/>
      <c r="P80" s="265" t="n"/>
      <c r="Q80" s="265" t="n"/>
      <c r="S80" s="265" t="n"/>
      <c r="T80" s="265" t="n"/>
      <c r="U80" s="265" t="n"/>
      <c r="V80" s="265" t="n"/>
      <c r="X80" s="265" t="n"/>
      <c r="Y80" s="265" t="n"/>
      <c r="Z80" s="265" t="n"/>
      <c r="AA80" s="265" t="n"/>
      <c r="AC80" s="265" t="n"/>
      <c r="AD80" s="265" t="n"/>
    </row>
    <row r="81">
      <c r="A81" t="inlineStr">
        <is>
          <t>[vazio] cod 28 Revolver: sem linha propria (emprestimos CP no cod 27)</t>
        </is>
      </c>
      <c r="C81" t="inlineStr">
        <is>
          <t>[linha bruta, sem código; lançada nas linhas abaixo]</t>
        </is>
      </c>
      <c r="D81" s="265" t="n"/>
      <c r="E81" s="265" t="n"/>
      <c r="F81" s="265" t="n"/>
      <c r="G81" s="265" t="n"/>
      <c r="I81" s="265" t="n"/>
      <c r="J81" s="265" t="n"/>
      <c r="K81" s="265" t="n"/>
      <c r="L81" s="265" t="n"/>
      <c r="N81" s="265" t="n"/>
      <c r="O81" s="265" t="n"/>
      <c r="P81" s="265" t="n"/>
      <c r="Q81" s="265" t="n"/>
      <c r="S81" s="265" t="n"/>
      <c r="T81" s="265" t="n"/>
      <c r="U81" s="265" t="n"/>
      <c r="V81" s="265" t="n"/>
      <c r="X81" s="265" t="n"/>
      <c r="Y81" s="265" t="n"/>
      <c r="Z81" s="265" t="n"/>
      <c r="AA81" s="265" t="n"/>
      <c r="AC81" s="265" t="n"/>
      <c r="AD81" s="265" t="n"/>
    </row>
    <row r="82">
      <c r="A82" t="inlineStr">
        <is>
          <t>[vazio] cod 29 Leases CP: sem linha propria</t>
        </is>
      </c>
      <c r="C82" t="inlineStr">
        <is>
          <t>[linha bruta, sem código; lançada nas linhas abaixo]</t>
        </is>
      </c>
      <c r="D82" s="265" t="n"/>
      <c r="E82" s="265" t="n"/>
      <c r="F82" s="265" t="n"/>
      <c r="G82" s="265" t="n"/>
      <c r="I82" s="265" t="n"/>
      <c r="J82" s="265" t="n"/>
      <c r="K82" s="265" t="n"/>
      <c r="L82" s="265" t="n"/>
      <c r="N82" s="265" t="n"/>
      <c r="O82" s="265" t="n"/>
      <c r="P82" s="265" t="n"/>
      <c r="Q82" s="265" t="n"/>
      <c r="S82" s="265" t="n"/>
      <c r="T82" s="265" t="n"/>
      <c r="U82" s="265" t="n"/>
      <c r="V82" s="265" t="n"/>
      <c r="X82" s="265" t="n"/>
      <c r="Y82" s="265" t="n"/>
      <c r="Z82" s="265" t="n"/>
      <c r="AA82" s="265" t="n"/>
      <c r="AC82" s="265" t="n"/>
      <c r="AD82" s="265" t="n"/>
    </row>
    <row r="83">
      <c r="A83" t="inlineStr">
        <is>
          <t>[vazio] cod 31 Leases LP: sem linha propria</t>
        </is>
      </c>
      <c r="C83" t="inlineStr">
        <is>
          <t>[linha bruta, sem código; lançada nas linhas abaixo]</t>
        </is>
      </c>
      <c r="D83" s="265" t="n"/>
      <c r="E83" s="265" t="n"/>
      <c r="F83" s="265" t="n"/>
      <c r="G83" s="265" t="n"/>
      <c r="I83" s="265" t="n"/>
      <c r="J83" s="265" t="n"/>
      <c r="K83" s="265" t="n"/>
      <c r="L83" s="265" t="n"/>
      <c r="N83" s="265" t="n"/>
      <c r="O83" s="265" t="n"/>
      <c r="P83" s="265" t="n"/>
      <c r="Q83" s="265" t="n"/>
      <c r="S83" s="265" t="n"/>
      <c r="T83" s="265" t="n"/>
      <c r="U83" s="265" t="n"/>
      <c r="V83" s="265" t="n"/>
      <c r="X83" s="265" t="n"/>
      <c r="Y83" s="265" t="n"/>
      <c r="Z83" s="265" t="n"/>
      <c r="AA83" s="265" t="n"/>
      <c r="AC83" s="265" t="n"/>
      <c r="AD83" s="265" t="n"/>
    </row>
    <row r="84">
      <c r="A84" t="inlineStr">
        <is>
          <t>[vazio] cod 32 Convertible debt: inexistente</t>
        </is>
      </c>
      <c r="C84" t="inlineStr">
        <is>
          <t>[linha bruta, sem código; lançada nas linhas abaixo]</t>
        </is>
      </c>
      <c r="D84" s="265" t="n"/>
      <c r="E84" s="265" t="n"/>
      <c r="F84" s="265" t="n"/>
      <c r="G84" s="265" t="n"/>
      <c r="I84" s="265" t="n"/>
      <c r="J84" s="265" t="n"/>
      <c r="K84" s="265" t="n"/>
      <c r="L84" s="265" t="n"/>
      <c r="N84" s="265" t="n"/>
      <c r="O84" s="265" t="n"/>
      <c r="P84" s="265" t="n"/>
      <c r="Q84" s="265" t="n"/>
      <c r="S84" s="265" t="n"/>
      <c r="T84" s="265" t="n"/>
      <c r="U84" s="265" t="n"/>
      <c r="V84" s="265" t="n"/>
      <c r="X84" s="265" t="n"/>
      <c r="Y84" s="265" t="n"/>
      <c r="Z84" s="265" t="n"/>
      <c r="AA84" s="265" t="n"/>
      <c r="AC84" s="265" t="n"/>
      <c r="AD84" s="265" t="n"/>
    </row>
    <row r="85">
      <c r="A85" t="inlineStr">
        <is>
          <t>[vazio] cod 36 Convertible Preferred Stock: inexistente</t>
        </is>
      </c>
      <c r="C85" t="inlineStr">
        <is>
          <t>[linha bruta, sem código; lançada nas linhas abaixo]</t>
        </is>
      </c>
      <c r="D85" s="265" t="n"/>
      <c r="E85" s="265" t="n"/>
      <c r="F85" s="265" t="n"/>
      <c r="G85" s="265" t="n"/>
      <c r="I85" s="265" t="n"/>
      <c r="J85" s="265" t="n"/>
      <c r="K85" s="265" t="n"/>
      <c r="L85" s="265" t="n"/>
      <c r="N85" s="265" t="n"/>
      <c r="O85" s="265" t="n"/>
      <c r="P85" s="265" t="n"/>
      <c r="Q85" s="265" t="n"/>
      <c r="S85" s="265" t="n"/>
      <c r="T85" s="265" t="n"/>
      <c r="U85" s="265" t="n"/>
      <c r="V85" s="265" t="n"/>
      <c r="X85" s="265" t="n"/>
      <c r="Y85" s="265" t="n"/>
      <c r="Z85" s="265" t="n"/>
      <c r="AA85" s="265" t="n"/>
      <c r="AC85" s="265" t="n"/>
      <c r="AD85" s="265" t="n"/>
    </row>
    <row r="86">
      <c r="A86" t="inlineStr">
        <is>
          <t>[vazio] cod 39 ORA: sem linha propria</t>
        </is>
      </c>
      <c r="C86" t="inlineStr">
        <is>
          <t>[linha bruta, sem código; lançada nas linhas abaixo]</t>
        </is>
      </c>
      <c r="D86" s="265" t="n"/>
      <c r="E86" s="265" t="n"/>
      <c r="F86" s="265" t="n"/>
      <c r="G86" s="265" t="n"/>
      <c r="I86" s="265" t="n"/>
      <c r="J86" s="265" t="n"/>
      <c r="K86" s="265" t="n"/>
      <c r="L86" s="265" t="n"/>
      <c r="N86" s="265" t="n"/>
      <c r="O86" s="265" t="n"/>
      <c r="P86" s="265" t="n"/>
      <c r="Q86" s="265" t="n"/>
      <c r="S86" s="265" t="n"/>
      <c r="T86" s="265" t="n"/>
      <c r="U86" s="265" t="n"/>
      <c r="V86" s="265" t="n"/>
      <c r="X86" s="265" t="n"/>
      <c r="Y86" s="265" t="n"/>
      <c r="Z86" s="265" t="n"/>
      <c r="AA86" s="265" t="n"/>
      <c r="AC86" s="265" t="n"/>
      <c r="AD86" s="265" t="n"/>
    </row>
    <row r="87">
      <c r="A87" t="inlineStr">
        <is>
          <t>[vazio] cod 40 Other equity: sem linha propria</t>
        </is>
      </c>
      <c r="C87" t="inlineStr">
        <is>
          <t>[linha bruta, sem código; lançada nas linhas abaixo]</t>
        </is>
      </c>
      <c r="D87" s="265" t="n"/>
      <c r="E87" s="265" t="n"/>
      <c r="F87" s="265" t="n"/>
      <c r="G87" s="265" t="n"/>
      <c r="I87" s="265" t="n"/>
      <c r="J87" s="265" t="n"/>
      <c r="K87" s="265" t="n"/>
      <c r="L87" s="265" t="n"/>
      <c r="N87" s="265" t="n"/>
      <c r="O87" s="265" t="n"/>
      <c r="P87" s="265" t="n"/>
      <c r="Q87" s="265" t="n"/>
      <c r="S87" s="265" t="n"/>
      <c r="T87" s="265" t="n"/>
      <c r="U87" s="265" t="n"/>
      <c r="V87" s="265" t="n"/>
      <c r="X87" s="265" t="n"/>
      <c r="Y87" s="265" t="n"/>
      <c r="Z87" s="265" t="n"/>
      <c r="AA87" s="265" t="n"/>
      <c r="AC87" s="265" t="n"/>
      <c r="AD87" s="265" t="n"/>
    </row>
    <row r="88">
      <c r="A88" t="inlineStr">
        <is>
          <t>Nota: NI do Model = lucro %Cury (atribuido a controladora); nao controladores (SPEs com socios) no cod 9. Juros de financiamento a producao sao capitalizados no custo (EBITDA ajustado da Cia soma esses juros de volta; fica como memoria).</t>
        </is>
      </c>
      <c r="C88" t="inlineStr">
        <is>
          <t>[linha bruta, sem código; lançada nas linhas abaixo]</t>
        </is>
      </c>
      <c r="D88" s="265" t="n"/>
      <c r="E88" s="265" t="n"/>
      <c r="F88" s="265" t="n"/>
      <c r="G88" s="265" t="n"/>
      <c r="I88" s="265" t="n"/>
      <c r="J88" s="265" t="n"/>
      <c r="K88" s="265" t="n"/>
      <c r="L88" s="265" t="n"/>
      <c r="N88" s="265" t="n"/>
      <c r="O88" s="265" t="n"/>
      <c r="P88" s="265" t="n"/>
      <c r="Q88" s="265" t="n"/>
      <c r="S88" s="265" t="n"/>
      <c r="T88" s="265" t="n"/>
      <c r="U88" s="265" t="n"/>
      <c r="V88" s="265" t="n"/>
      <c r="X88" s="265" t="n"/>
      <c r="Y88" s="265" t="n"/>
      <c r="Z88" s="265" t="n"/>
      <c r="AA88" s="265" t="n"/>
      <c r="AC88" s="265" t="n"/>
      <c r="AD88" s="265" t="n"/>
    </row>
    <row r="89">
      <c r="D89" s="265" t="n"/>
      <c r="E89" s="265" t="n"/>
      <c r="F89" s="265" t="n"/>
      <c r="G89" s="265" t="n"/>
      <c r="I89" s="265" t="n"/>
      <c r="J89" s="265" t="n"/>
      <c r="K89" s="265" t="n"/>
      <c r="L89" s="265" t="n"/>
      <c r="N89" s="265" t="n"/>
      <c r="O89" s="265" t="n"/>
      <c r="P89" s="265" t="n"/>
      <c r="Q89" s="265" t="n"/>
      <c r="S89" s="265" t="n"/>
      <c r="T89" s="265" t="n"/>
      <c r="U89" s="265" t="n"/>
      <c r="V89" s="265" t="n"/>
      <c r="X89" s="265" t="n"/>
      <c r="Y89" s="265" t="n"/>
      <c r="Z89" s="265" t="n"/>
      <c r="AA89" s="265" t="n"/>
      <c r="AC89" s="265" t="n"/>
      <c r="AD89" s="265" t="n"/>
    </row>
    <row r="90">
      <c r="A90" t="inlineStr">
        <is>
          <t>DRIVERS DE RECEITA (codigos 45+): abas Resultados Operacionais e Demonstracoes do Resultado (REF). UNID "moeda" = R$ mil com fator; "un" = sem fator (unidades, %, landbank ja em R$ milhoes).</t>
        </is>
      </c>
      <c r="C90" t="inlineStr">
        <is>
          <t>[linha bruta, sem código; lançada nas linhas abaixo]</t>
        </is>
      </c>
      <c r="D90" s="265" t="n"/>
      <c r="E90" s="265" t="n"/>
      <c r="F90" s="265" t="n"/>
      <c r="G90" s="265" t="n"/>
      <c r="I90" s="265" t="n"/>
      <c r="J90" s="265" t="n"/>
      <c r="K90" s="265" t="n"/>
      <c r="L90" s="265" t="n"/>
      <c r="N90" s="265" t="n"/>
      <c r="O90" s="265" t="n"/>
      <c r="P90" s="265" t="n"/>
      <c r="Q90" s="265" t="n"/>
      <c r="S90" s="265" t="n"/>
      <c r="T90" s="265" t="n"/>
      <c r="U90" s="265" t="n"/>
      <c r="V90" s="265" t="n"/>
      <c r="X90" s="265" t="n"/>
      <c r="Y90" s="265" t="n"/>
      <c r="Z90" s="265" t="n"/>
      <c r="AA90" s="265" t="n"/>
      <c r="AC90" s="265" t="n"/>
      <c r="AD90" s="265" t="n"/>
    </row>
    <row r="91">
      <c r="A91" t="inlineStr">
        <is>
          <t>Lancamentos - VGV 100% (R$ mil; Res. Operacionais l.7) · fonte · unid. moeda</t>
        </is>
      </c>
      <c r="B91" t="n">
        <v>45</v>
      </c>
      <c r="C91" t="inlineStr">
        <is>
          <t>Lancamentos - VGV 100% (R$ mil; Res. Operacionais l.7)</t>
        </is>
      </c>
      <c r="D91" s="265" t="n">
        <v>590494.8419999999</v>
      </c>
      <c r="E91" s="265" t="n">
        <v>686188.6679999999</v>
      </c>
      <c r="F91" s="265" t="n">
        <v>720223.748</v>
      </c>
      <c r="G91" s="265" t="n">
        <v>788101.234956</v>
      </c>
      <c r="I91" s="265" t="n">
        <v>781150</v>
      </c>
      <c r="J91" s="265" t="n">
        <v>1056318</v>
      </c>
      <c r="K91" s="265" t="n">
        <v>919146.343</v>
      </c>
      <c r="L91" s="265" t="n">
        <v>556159.09318</v>
      </c>
      <c r="N91" s="265" t="n">
        <v>1419980.923</v>
      </c>
      <c r="O91" s="265" t="n">
        <v>1222565.181</v>
      </c>
      <c r="P91" s="265" t="n">
        <v>941717.108</v>
      </c>
      <c r="Q91" s="265" t="n">
        <v>856606.653</v>
      </c>
      <c r="S91" s="265" t="n">
        <v>1884338.01</v>
      </c>
      <c r="T91" s="265" t="n">
        <v>1734686.945</v>
      </c>
      <c r="U91" s="265" t="n">
        <v>1560697</v>
      </c>
      <c r="V91" s="265" t="n">
        <v>1399837</v>
      </c>
      <c r="X91" s="265" t="n">
        <v>2783509</v>
      </c>
      <c r="Y91" s="265" t="n">
        <v>2225285.611</v>
      </c>
      <c r="Z91" s="265" t="n">
        <v>1986377.642</v>
      </c>
      <c r="AA91" s="265" t="n">
        <v>1289513.823</v>
      </c>
      <c r="AC91" s="265" t="n">
        <v>2646758.13942</v>
      </c>
      <c r="AD91" s="265" t="n">
        <v>2256889.23928</v>
      </c>
    </row>
    <row r="92">
      <c r="A92" t="inlineStr">
        <is>
          <t>Lancamentos - VGV parte Cury (R$ mil; l.8) · fonte · unid. moeda</t>
        </is>
      </c>
      <c r="B92" t="n">
        <v>46</v>
      </c>
      <c r="C92" t="inlineStr">
        <is>
          <t>Lancamentos - VGV parte Cury (R$ mil; l.8)</t>
        </is>
      </c>
      <c r="D92" s="265" t="n">
        <v>472469.289</v>
      </c>
      <c r="E92" s="265" t="n">
        <v>650171.568</v>
      </c>
      <c r="F92" s="265" t="n">
        <v>633172.7036</v>
      </c>
      <c r="G92" s="265" t="n">
        <v>719679.333707</v>
      </c>
      <c r="I92" s="265" t="n">
        <v>781150</v>
      </c>
      <c r="J92" s="265" t="n">
        <v>1056318</v>
      </c>
      <c r="K92" s="265" t="n">
        <v>876846.343</v>
      </c>
      <c r="L92" s="265" t="n">
        <v>556159.09318</v>
      </c>
      <c r="N92" s="265" t="n">
        <v>1419980.923</v>
      </c>
      <c r="O92" s="265" t="n">
        <v>1137966.2765</v>
      </c>
      <c r="P92" s="265" t="n">
        <v>805577.1061</v>
      </c>
      <c r="Q92" s="265" t="n">
        <v>856606.653</v>
      </c>
      <c r="S92" s="265" t="n">
        <v>1499854.846</v>
      </c>
      <c r="T92" s="265" t="n">
        <v>1676918.567</v>
      </c>
      <c r="U92" s="265" t="n">
        <v>1503046</v>
      </c>
      <c r="V92" s="265" t="n">
        <v>1060952</v>
      </c>
      <c r="X92" s="265" t="n">
        <v>2666305</v>
      </c>
      <c r="Y92" s="265" t="n">
        <v>1960487.651</v>
      </c>
      <c r="Z92" s="265" t="n">
        <v>1733913.905</v>
      </c>
      <c r="AA92" s="265" t="n">
        <v>1179132.223</v>
      </c>
      <c r="AC92" s="265" t="n">
        <v>2268903.862852</v>
      </c>
      <c r="AD92" s="265" t="n">
        <v>1943927.85928</v>
      </c>
    </row>
    <row r="93">
      <c r="A93" t="inlineStr">
        <is>
          <t>Lancamentos - unidades (l.10) · fonte · unid. un</t>
        </is>
      </c>
      <c r="B93" t="n">
        <v>47</v>
      </c>
      <c r="C93" t="inlineStr">
        <is>
          <t>Lancamentos - unidades (l.10)</t>
        </is>
      </c>
      <c r="D93" s="265" t="n">
        <v>2957000</v>
      </c>
      <c r="E93" s="265" t="n">
        <v>3244000</v>
      </c>
      <c r="F93" s="265" t="n">
        <v>3163000</v>
      </c>
      <c r="G93" s="265" t="n">
        <v>3275000</v>
      </c>
      <c r="I93" s="265" t="n">
        <v>3240000</v>
      </c>
      <c r="J93" s="265" t="n">
        <v>3548000</v>
      </c>
      <c r="K93" s="265" t="n">
        <v>3650000</v>
      </c>
      <c r="L93" s="265" t="n">
        <v>2147000</v>
      </c>
      <c r="N93" s="265" t="n">
        <v>5095000</v>
      </c>
      <c r="O93" s="265" t="n">
        <v>3799000</v>
      </c>
      <c r="P93" s="265" t="n">
        <v>3658000</v>
      </c>
      <c r="Q93" s="265" t="n">
        <v>3123000</v>
      </c>
      <c r="S93" s="265" t="n">
        <v>5959000</v>
      </c>
      <c r="T93" s="265" t="n">
        <v>5588000</v>
      </c>
      <c r="U93" s="265" t="n">
        <v>5157000</v>
      </c>
      <c r="V93" s="265" t="n">
        <v>4061000</v>
      </c>
      <c r="X93" s="265" t="n">
        <v>9132000</v>
      </c>
      <c r="Y93" s="265" t="n">
        <v>6588000</v>
      </c>
      <c r="Z93" s="265" t="n">
        <v>6813000</v>
      </c>
      <c r="AA93" s="265" t="n">
        <v>3833000</v>
      </c>
      <c r="AC93" s="265" t="n">
        <v>8001000</v>
      </c>
      <c r="AD93" s="265" t="n">
        <v>6549000</v>
      </c>
    </row>
    <row r="94">
      <c r="A94" t="inlineStr">
        <is>
          <t>Lancamentos - numero de empreendimentos (l.6) · fonte · unid. un</t>
        </is>
      </c>
      <c r="B94" t="n">
        <v>48</v>
      </c>
      <c r="C94" t="inlineStr">
        <is>
          <t>Lancamentos - numero de empreendimentos (l.6)</t>
        </is>
      </c>
      <c r="D94" s="265" t="n">
        <v>6000</v>
      </c>
      <c r="E94" s="265" t="n">
        <v>7000</v>
      </c>
      <c r="F94" s="265" t="n">
        <v>6000</v>
      </c>
      <c r="G94" s="265" t="n">
        <v>7000</v>
      </c>
      <c r="I94" s="265" t="n">
        <v>5000</v>
      </c>
      <c r="J94" s="265" t="n">
        <v>7000</v>
      </c>
      <c r="K94" s="265" t="n">
        <v>6000</v>
      </c>
      <c r="L94" s="265" t="n">
        <v>5000</v>
      </c>
      <c r="N94" s="265" t="n">
        <v>8000</v>
      </c>
      <c r="O94" s="265" t="n">
        <v>8000</v>
      </c>
      <c r="P94" s="265" t="n">
        <v>7000</v>
      </c>
      <c r="Q94" s="265" t="n">
        <v>6000</v>
      </c>
      <c r="S94" s="265" t="n">
        <v>10000</v>
      </c>
      <c r="T94" s="265" t="n">
        <v>8000</v>
      </c>
      <c r="U94" s="265" t="n">
        <v>9000</v>
      </c>
      <c r="V94" s="265" t="n">
        <v>7000</v>
      </c>
      <c r="X94" s="265" t="n">
        <v>14000</v>
      </c>
      <c r="Y94" s="265" t="n">
        <v>9000</v>
      </c>
      <c r="Z94" s="265" t="n">
        <v>9000</v>
      </c>
      <c r="AA94" s="265" t="n">
        <v>5000</v>
      </c>
      <c r="AC94" s="265" t="n">
        <v>10000</v>
      </c>
      <c r="AD94" s="265" t="n">
        <v>11000</v>
      </c>
    </row>
    <row r="95">
      <c r="A95" t="inlineStr">
        <is>
          <t>Vendas brutas - VGV 100% (R$ mil; l.22) · fonte · unid. moeda</t>
        </is>
      </c>
      <c r="B95" t="n">
        <v>49</v>
      </c>
      <c r="C95" t="inlineStr">
        <is>
          <t>Vendas brutas - VGV 100% (R$ mil; l.22)</t>
        </is>
      </c>
      <c r="D95" s="265" t="n">
        <v>633518.595</v>
      </c>
      <c r="E95" s="265" t="n">
        <v>736468.39125</v>
      </c>
      <c r="F95" s="265" t="n">
        <v>748701.792</v>
      </c>
      <c r="G95" s="265" t="n">
        <v>671693.77856</v>
      </c>
      <c r="I95" s="265" t="n">
        <v>812740.16347</v>
      </c>
      <c r="J95" s="265" t="n">
        <v>987420.73506</v>
      </c>
      <c r="K95" s="265" t="n">
        <v>967263.29716</v>
      </c>
      <c r="L95" s="265" t="n">
        <v>835511.1194</v>
      </c>
      <c r="N95" s="265" t="n">
        <v>1164037.01824</v>
      </c>
      <c r="O95" s="265" t="n">
        <v>1342268.679</v>
      </c>
      <c r="P95" s="265" t="n">
        <v>1154323.11335</v>
      </c>
      <c r="Q95" s="265" t="n">
        <v>1025134.116</v>
      </c>
      <c r="S95" s="265" t="n">
        <v>1679488.91586</v>
      </c>
      <c r="T95" s="265" t="n">
        <v>1926220.49911</v>
      </c>
      <c r="U95" s="265" t="n">
        <v>1590241.65394</v>
      </c>
      <c r="V95" s="265" t="n">
        <v>1531003</v>
      </c>
      <c r="X95" s="265" t="n">
        <v>2225417.12449</v>
      </c>
      <c r="Y95" s="265" t="n">
        <v>2498004.83802</v>
      </c>
      <c r="Z95" s="265" t="n">
        <v>2051878.191</v>
      </c>
      <c r="AA95" s="265" t="n">
        <v>1714072.88715</v>
      </c>
      <c r="AC95" s="265" t="n">
        <v>2533872.32795</v>
      </c>
      <c r="AD95" s="265" t="n">
        <v>2216669.66465</v>
      </c>
    </row>
    <row r="96">
      <c r="A96" t="inlineStr">
        <is>
          <t>Distratos - VGV (R$ mil; l.23; positivo na fonte) · fonte · unid. moeda</t>
        </is>
      </c>
      <c r="B96" t="n">
        <v>50</v>
      </c>
      <c r="C96" t="inlineStr">
        <is>
          <t>Distratos - VGV (R$ mil; l.23; positivo na fonte)</t>
        </is>
      </c>
      <c r="D96" s="265" t="n">
        <v>43145.2657</v>
      </c>
      <c r="E96" s="265" t="n">
        <v>53890.71489</v>
      </c>
      <c r="F96" s="265" t="n">
        <v>66331.28406999999</v>
      </c>
      <c r="G96" s="265" t="n">
        <v>60327.68256</v>
      </c>
      <c r="I96" s="265" t="n">
        <v>59374.04232</v>
      </c>
      <c r="J96" s="265" t="n">
        <v>89935.35754</v>
      </c>
      <c r="K96" s="265" t="n">
        <v>81430.70051</v>
      </c>
      <c r="L96" s="265" t="n">
        <v>82449.07223999999</v>
      </c>
      <c r="N96" s="265" t="n">
        <v>85145.04427</v>
      </c>
      <c r="O96" s="265" t="n">
        <v>148317.923</v>
      </c>
      <c r="P96" s="265" t="n">
        <v>181679.1671</v>
      </c>
      <c r="Q96" s="265" t="n">
        <v>120462.53</v>
      </c>
      <c r="S96" s="265" t="n">
        <v>127353.59657</v>
      </c>
      <c r="T96" s="265" t="n">
        <v>176980.55782</v>
      </c>
      <c r="U96" s="265" t="n">
        <v>153090</v>
      </c>
      <c r="V96" s="265" t="n">
        <v>107255</v>
      </c>
      <c r="X96" s="265" t="n">
        <v>119838.22794</v>
      </c>
      <c r="Y96" s="265" t="n">
        <v>236641.65872</v>
      </c>
      <c r="Z96" s="265" t="n">
        <v>224841.948</v>
      </c>
      <c r="AA96" s="265" t="n">
        <v>157737.23287</v>
      </c>
      <c r="AC96" s="265" t="n">
        <v>229252.61925</v>
      </c>
      <c r="AD96" s="265" t="n">
        <v>171161.95926</v>
      </c>
    </row>
    <row r="97">
      <c r="A97" t="inlineStr">
        <is>
          <t>Vendas liquidas - VGV 100% (R$ mil; l.24) · fonte · unid. moeda</t>
        </is>
      </c>
      <c r="B97" t="n">
        <v>51</v>
      </c>
      <c r="C97" t="inlineStr">
        <is>
          <t>Vendas liquidas - VGV 100% (R$ mil; l.24)</t>
        </is>
      </c>
      <c r="D97" s="265" t="n">
        <v>590373.32932</v>
      </c>
      <c r="E97" s="265" t="n">
        <v>682578</v>
      </c>
      <c r="F97" s="265" t="n">
        <v>682370.50876</v>
      </c>
      <c r="G97" s="265" t="n">
        <v>611366.096</v>
      </c>
      <c r="I97" s="265" t="n">
        <v>753366.12115</v>
      </c>
      <c r="J97" s="265" t="n">
        <v>897485.37752</v>
      </c>
      <c r="K97" s="265" t="n">
        <v>885832.59665</v>
      </c>
      <c r="L97" s="265" t="n">
        <v>753062.04716</v>
      </c>
      <c r="N97" s="265" t="n">
        <v>1078891.97397</v>
      </c>
      <c r="O97" s="265" t="n">
        <v>1193950.756</v>
      </c>
      <c r="P97" s="265" t="n">
        <v>972643.94625</v>
      </c>
      <c r="Q97" s="265" t="n">
        <v>904671.586</v>
      </c>
      <c r="S97" s="265" t="n">
        <v>1552135.31929</v>
      </c>
      <c r="T97" s="265" t="n">
        <v>1749239.94129</v>
      </c>
      <c r="U97" s="265" t="n">
        <v>1437151.16322</v>
      </c>
      <c r="V97" s="265" t="n">
        <v>1423748</v>
      </c>
      <c r="X97" s="265" t="n">
        <v>2105578.89655</v>
      </c>
      <c r="Y97" s="265" t="n">
        <v>2261363.1793</v>
      </c>
      <c r="Z97" s="265" t="n">
        <v>1827036.243</v>
      </c>
      <c r="AA97" s="265" t="n">
        <v>1556335.65428</v>
      </c>
      <c r="AC97" s="265" t="n">
        <v>2304619.7087</v>
      </c>
      <c r="AD97" s="265" t="n">
        <v>2045507.70539</v>
      </c>
    </row>
    <row r="98">
      <c r="A98" t="inlineStr">
        <is>
          <t>Vendas liquidas - parte Cury (R$ mil; l.27) · fonte · unid. moeda</t>
        </is>
      </c>
      <c r="B98" t="n">
        <v>52</v>
      </c>
      <c r="C98" t="inlineStr">
        <is>
          <t>Vendas liquidas - parte Cury (R$ mil; l.27)</t>
        </is>
      </c>
      <c r="D98" s="265" t="n">
        <v>526078.977</v>
      </c>
      <c r="E98" s="265" t="n">
        <v>618279.072</v>
      </c>
      <c r="F98" s="265" t="n">
        <v>639576.982</v>
      </c>
      <c r="G98" s="265" t="n">
        <v>565420.452</v>
      </c>
      <c r="I98" s="265" t="n">
        <v>707012.388</v>
      </c>
      <c r="J98" s="265" t="n">
        <v>844809.697</v>
      </c>
      <c r="K98" s="265" t="n">
        <v>836735.121</v>
      </c>
      <c r="L98" s="265" t="n">
        <v>719681.964281</v>
      </c>
      <c r="N98" s="265" t="n">
        <v>1061205.884623</v>
      </c>
      <c r="O98" s="265" t="n">
        <v>1132517</v>
      </c>
      <c r="P98" s="265" t="n">
        <v>873639.208628</v>
      </c>
      <c r="Q98" s="265" t="n">
        <v>850285.464</v>
      </c>
      <c r="S98" s="265" t="n">
        <v>1327315.318966</v>
      </c>
      <c r="T98" s="265" t="n">
        <v>1635318.645691</v>
      </c>
      <c r="U98" s="265" t="n">
        <v>1359583.31408</v>
      </c>
      <c r="V98" s="265" t="n">
        <v>1177287</v>
      </c>
      <c r="X98" s="265" t="n">
        <v>1919242</v>
      </c>
      <c r="Y98" s="265" t="n">
        <v>2007235.897283</v>
      </c>
      <c r="Z98" s="265" t="n">
        <v>1630208.965</v>
      </c>
      <c r="AA98" s="265" t="n">
        <v>1434724.903205</v>
      </c>
      <c r="AC98" s="265" t="n">
        <v>1893602.810242</v>
      </c>
      <c r="AD98" s="265" t="n">
        <v>1748768.19676</v>
      </c>
    </row>
    <row r="99">
      <c r="A99" t="inlineStr">
        <is>
          <t>Unidades vendidas liquidas (l.35) · fonte · unid. un</t>
        </is>
      </c>
      <c r="B99" t="n">
        <v>53</v>
      </c>
      <c r="C99" t="inlineStr">
        <is>
          <t>Unidades vendidas liquidas (l.35)</t>
        </is>
      </c>
      <c r="D99" s="265" t="n">
        <v>2874000</v>
      </c>
      <c r="E99" s="265" t="n">
        <v>3253000</v>
      </c>
      <c r="F99" s="265" t="n">
        <v>3080000</v>
      </c>
      <c r="G99" s="265" t="n">
        <v>2667000</v>
      </c>
      <c r="I99" s="265" t="n">
        <v>3264000</v>
      </c>
      <c r="J99" s="265" t="n">
        <v>3734000</v>
      </c>
      <c r="K99" s="265" t="n">
        <v>3465000</v>
      </c>
      <c r="L99" s="265" t="n">
        <v>3073000</v>
      </c>
      <c r="N99" s="265" t="n">
        <v>4014000</v>
      </c>
      <c r="O99" s="265" t="n">
        <v>4292470</v>
      </c>
      <c r="P99" s="265" t="n">
        <v>3496000</v>
      </c>
      <c r="Q99" s="265" t="n">
        <v>3215000</v>
      </c>
      <c r="S99" s="265" t="n">
        <v>5321000</v>
      </c>
      <c r="T99" s="265" t="n">
        <v>5769000</v>
      </c>
      <c r="U99" s="265" t="n">
        <v>4688000</v>
      </c>
      <c r="V99" s="265" t="n">
        <v>4464000</v>
      </c>
      <c r="X99" s="265" t="n">
        <v>6790000</v>
      </c>
      <c r="Y99" s="265" t="n">
        <v>7712000</v>
      </c>
      <c r="Z99" s="265" t="n">
        <v>6117000</v>
      </c>
      <c r="AA99" s="265" t="n">
        <v>4956000</v>
      </c>
      <c r="AC99" s="265" t="n">
        <v>7058000</v>
      </c>
      <c r="AD99" s="265" t="n">
        <v>6137000</v>
      </c>
    </row>
    <row r="100">
      <c r="A100" t="inlineStr">
        <is>
          <t>VSO liquido trimestral (l.29) · fonte · unid. un</t>
        </is>
      </c>
      <c r="B100" t="n">
        <v>54</v>
      </c>
      <c r="C100" t="inlineStr">
        <is>
          <t>VSO liquido trimestral (l.29)</t>
        </is>
      </c>
      <c r="D100" s="265" t="n">
        <v>435.348252</v>
      </c>
      <c r="E100" s="265" t="n">
        <v>468</v>
      </c>
      <c r="F100" s="265" t="n">
        <v>452.050515</v>
      </c>
      <c r="G100" s="265" t="n">
        <v>379.516861</v>
      </c>
      <c r="I100" s="265" t="n">
        <v>413.751652</v>
      </c>
      <c r="J100" s="265" t="n">
        <v>416.294316</v>
      </c>
      <c r="K100" s="265" t="n">
        <v>403.130832</v>
      </c>
      <c r="L100" s="265" t="n">
        <v>410</v>
      </c>
      <c r="N100" s="265" t="n">
        <v>434.023582</v>
      </c>
      <c r="O100" s="265" t="n">
        <v>453.937692</v>
      </c>
      <c r="P100" s="265" t="n">
        <v>403.739323</v>
      </c>
      <c r="Q100" s="265" t="n">
        <v>388.5</v>
      </c>
      <c r="S100" s="265" t="n">
        <v>478.706116</v>
      </c>
      <c r="T100" s="265" t="n">
        <v>505.260826</v>
      </c>
      <c r="U100" s="265" t="n">
        <v>438.513004</v>
      </c>
      <c r="V100" s="265" t="n">
        <v>437.1</v>
      </c>
      <c r="X100" s="265" t="n">
        <v>454.118774</v>
      </c>
      <c r="Y100" s="265" t="n">
        <v>475.167507</v>
      </c>
      <c r="Z100" s="265" t="n">
        <v>405.535729</v>
      </c>
      <c r="AA100" s="265" t="n">
        <v>392.75059</v>
      </c>
      <c r="AC100" s="265" t="n">
        <v>451.019799</v>
      </c>
      <c r="AD100" s="265" t="n">
        <v>404.748972</v>
      </c>
    </row>
    <row r="101">
      <c r="A101" t="inlineStr">
        <is>
          <t>VSO liquido UDM (l.30) · fonte · unid. un</t>
        </is>
      </c>
      <c r="B101" t="n">
        <v>55</v>
      </c>
      <c r="C101" t="inlineStr">
        <is>
          <t>VSO liquido UDM (l.30)</t>
        </is>
      </c>
      <c r="D101" s="265" t="n">
        <v>689.126448</v>
      </c>
      <c r="E101" s="265" t="n">
        <v>728.677151</v>
      </c>
      <c r="F101" s="265" t="n">
        <v>740.472132</v>
      </c>
      <c r="G101" s="265" t="n">
        <v>720</v>
      </c>
      <c r="I101" s="265" t="n">
        <v>719</v>
      </c>
      <c r="J101" s="265" t="n">
        <v>701</v>
      </c>
      <c r="K101" s="265" t="n">
        <v>706</v>
      </c>
      <c r="L101" s="265" t="n">
        <v>753</v>
      </c>
      <c r="N101" s="265" t="n">
        <v>720</v>
      </c>
      <c r="O101" s="265" t="n">
        <v>731</v>
      </c>
      <c r="P101" s="265" t="n">
        <v>736</v>
      </c>
      <c r="Q101" s="265" t="n">
        <v>744.564986</v>
      </c>
      <c r="S101" s="265" t="n">
        <v>732.289944</v>
      </c>
      <c r="T101" s="265" t="n">
        <v>751.4677390000001</v>
      </c>
      <c r="U101" s="265" t="n">
        <v>754.09795</v>
      </c>
      <c r="V101" s="265" t="n">
        <v>770.7</v>
      </c>
      <c r="X101" s="265" t="n">
        <v>727.332393</v>
      </c>
      <c r="Y101" s="265" t="n">
        <v>743.179621</v>
      </c>
      <c r="Z101" s="265" t="n">
        <v>739.877352</v>
      </c>
      <c r="AA101" s="265" t="n">
        <v>763.078929</v>
      </c>
      <c r="AC101" s="265" t="n">
        <v>739.163227</v>
      </c>
      <c r="AD101" s="265" t="n">
        <v>719.947109</v>
      </c>
    </row>
    <row r="102">
      <c r="A102" t="inlineStr">
        <is>
          <t>Repasses - VGV repassado (R$ mil; l.40) · fonte · unid. moeda</t>
        </is>
      </c>
      <c r="B102" t="n">
        <v>56</v>
      </c>
      <c r="C102" t="inlineStr">
        <is>
          <t>Repasses - VGV repassado (R$ mil; l.40)</t>
        </is>
      </c>
      <c r="D102" s="265" t="n">
        <v>296903.31988</v>
      </c>
      <c r="E102" s="265" t="n">
        <v>540584</v>
      </c>
      <c r="F102" s="265" t="n">
        <v>723118.12501</v>
      </c>
      <c r="G102" s="265" t="n">
        <v>470010.72897</v>
      </c>
      <c r="I102" s="265" t="n">
        <v>532336.59483</v>
      </c>
      <c r="J102" s="265" t="n">
        <v>728501.12205</v>
      </c>
      <c r="K102" s="265" t="n">
        <v>860054.4294500001</v>
      </c>
      <c r="L102" s="265" t="n">
        <v>662004.3918099999</v>
      </c>
      <c r="N102" s="265" t="n">
        <v>578900.0708700001</v>
      </c>
      <c r="O102" s="265" t="n">
        <v>1228870.224</v>
      </c>
      <c r="P102" s="265" t="n">
        <v>866063.56864</v>
      </c>
      <c r="Q102" s="265" t="n">
        <v>857120.80559</v>
      </c>
      <c r="S102" s="265" t="n">
        <v>886489.75854</v>
      </c>
      <c r="T102" s="265" t="n">
        <v>1438166</v>
      </c>
      <c r="U102" s="265" t="n">
        <v>1437600</v>
      </c>
      <c r="V102" s="265" t="n">
        <v>927749</v>
      </c>
      <c r="X102" s="265" t="n">
        <v>1122907.57169</v>
      </c>
      <c r="Y102" s="265" t="n">
        <v>2149317.11625</v>
      </c>
      <c r="Z102" s="265" t="n">
        <v>1487163.2059</v>
      </c>
      <c r="AA102" s="265" t="n">
        <v>1492328.34378</v>
      </c>
      <c r="AC102" s="265" t="n">
        <v>1339829.30028</v>
      </c>
      <c r="AD102" s="265" t="n">
        <v>2014958.66037</v>
      </c>
    </row>
    <row r="103">
      <c r="A103" t="inlineStr">
        <is>
          <t>Repasses - unidades (l.41) · fonte · unid. un</t>
        </is>
      </c>
      <c r="B103" t="n">
        <v>57</v>
      </c>
      <c r="C103" t="inlineStr">
        <is>
          <t>Repasses - unidades (l.41)</t>
        </is>
      </c>
      <c r="D103" s="265" t="n">
        <v>1544000</v>
      </c>
      <c r="E103" s="265" t="n">
        <v>2819000</v>
      </c>
      <c r="F103" s="265" t="n">
        <v>3275000</v>
      </c>
      <c r="G103" s="265" t="n">
        <v>2213000</v>
      </c>
      <c r="I103" s="265" t="n">
        <v>2475000</v>
      </c>
      <c r="J103" s="265" t="n">
        <v>3085000</v>
      </c>
      <c r="K103" s="265" t="n">
        <v>3510000</v>
      </c>
      <c r="L103" s="265" t="n">
        <v>2737000</v>
      </c>
      <c r="N103" s="265" t="n">
        <v>2451000</v>
      </c>
      <c r="O103" s="265" t="n">
        <v>4611000</v>
      </c>
      <c r="P103" s="265" t="n">
        <v>3187000</v>
      </c>
      <c r="Q103" s="265" t="n">
        <v>3017000</v>
      </c>
      <c r="S103" s="265" t="n">
        <v>3157000</v>
      </c>
      <c r="T103" s="265" t="n">
        <v>5046000</v>
      </c>
      <c r="U103" s="265" t="n">
        <v>4756000</v>
      </c>
      <c r="V103" s="265" t="n">
        <v>3156000</v>
      </c>
      <c r="X103" s="265" t="n">
        <v>3783000</v>
      </c>
      <c r="Y103" s="265" t="n">
        <v>7155000</v>
      </c>
      <c r="Z103" s="265" t="n">
        <v>5101000</v>
      </c>
      <c r="AA103" s="265" t="n">
        <v>5001000</v>
      </c>
      <c r="AC103" s="265" t="n">
        <v>4364000</v>
      </c>
      <c r="AD103" s="265" t="n">
        <v>6296000</v>
      </c>
    </row>
    <row r="104">
      <c r="A104" t="inlineStr">
        <is>
          <t>Obras em andamento (l.57; media do trimestre) · fonte · unid. un</t>
        </is>
      </c>
      <c r="B104" t="n">
        <v>58</v>
      </c>
      <c r="C104" t="inlineStr">
        <is>
          <t>Obras em andamento (l.57; media do trimestre)</t>
        </is>
      </c>
      <c r="D104" s="265" t="n">
        <v>26666.666667</v>
      </c>
      <c r="E104" s="265" t="n">
        <v>31000</v>
      </c>
      <c r="F104" s="265" t="n">
        <v>40333.333333</v>
      </c>
      <c r="G104" s="265" t="n">
        <v>47066.666667</v>
      </c>
      <c r="I104" s="265" t="n">
        <v>48666.666667</v>
      </c>
      <c r="J104" s="265" t="n">
        <v>48000</v>
      </c>
      <c r="K104" s="265" t="n">
        <v>49666.666667</v>
      </c>
      <c r="L104" s="265" t="n">
        <v>51333.333333</v>
      </c>
      <c r="N104" s="265" t="n">
        <v>49000</v>
      </c>
      <c r="O104" s="265" t="n">
        <v>52000</v>
      </c>
      <c r="P104" s="265" t="n">
        <v>56000</v>
      </c>
      <c r="Q104" s="265" t="n">
        <v>57000</v>
      </c>
      <c r="S104" s="265" t="n">
        <v>66333.333333</v>
      </c>
      <c r="T104" s="265" t="n">
        <v>63333.333333</v>
      </c>
      <c r="U104" s="265" t="n">
        <v>68000</v>
      </c>
      <c r="V104" s="265" t="n">
        <v>70000</v>
      </c>
      <c r="X104" s="265" t="n">
        <v>72000</v>
      </c>
      <c r="Y104" s="265" t="n">
        <v>81000</v>
      </c>
      <c r="Z104" s="265" t="n">
        <v>82000</v>
      </c>
      <c r="AA104" s="265" t="n">
        <v>84000</v>
      </c>
      <c r="AC104" s="265" t="n">
        <v>87000</v>
      </c>
      <c r="AD104" s="265" t="n">
        <v>87000</v>
      </c>
    </row>
    <row r="105">
      <c r="A105" t="inlineStr">
        <is>
          <t>Unidades em producao (l.58; media do trimestre) · fonte · unid. un</t>
        </is>
      </c>
      <c r="B105" t="n">
        <v>59</v>
      </c>
      <c r="C105" t="inlineStr">
        <is>
          <t>Unidades em producao (l.58; media do trimestre)</t>
        </is>
      </c>
      <c r="D105" s="265" t="n">
        <v>11232666.666667</v>
      </c>
      <c r="E105" s="265" t="n">
        <v>16148000</v>
      </c>
      <c r="F105" s="265" t="n">
        <v>19582000</v>
      </c>
      <c r="G105" s="265" t="n">
        <v>17406000</v>
      </c>
      <c r="I105" s="265" t="n">
        <v>19454000</v>
      </c>
      <c r="J105" s="265" t="n">
        <v>21069000</v>
      </c>
      <c r="K105" s="265" t="n">
        <v>21994000</v>
      </c>
      <c r="L105" s="265" t="n">
        <v>22946000</v>
      </c>
      <c r="N105" s="265" t="n">
        <v>25009000</v>
      </c>
      <c r="O105" s="265" t="n">
        <v>25821000</v>
      </c>
      <c r="P105" s="265" t="n">
        <v>30815000</v>
      </c>
      <c r="Q105" s="265" t="n">
        <v>31082000</v>
      </c>
      <c r="S105" s="265" t="n">
        <v>33294000</v>
      </c>
      <c r="T105" s="265" t="n">
        <v>35713000</v>
      </c>
      <c r="U105" s="265" t="n">
        <v>39398000</v>
      </c>
      <c r="V105" s="265" t="n">
        <v>40531000</v>
      </c>
      <c r="X105" s="265" t="n">
        <v>46054000</v>
      </c>
      <c r="Y105" s="265" t="n">
        <v>51374000</v>
      </c>
      <c r="Z105" s="265" t="n">
        <v>53066000</v>
      </c>
      <c r="AA105" s="265" t="n">
        <v>57163000</v>
      </c>
      <c r="AC105" s="265" t="n">
        <v>62777000</v>
      </c>
      <c r="AD105" s="265" t="n">
        <v>66265000</v>
      </c>
    </row>
    <row r="106">
      <c r="A106" t="inlineStr">
        <is>
          <t>Unidades produzidas no trimestre (l.60) · fonte · unid. un</t>
        </is>
      </c>
      <c r="B106" t="n">
        <v>60</v>
      </c>
      <c r="C106" t="inlineStr">
        <is>
          <t>Unidades produzidas no trimestre (l.60)</t>
        </is>
      </c>
      <c r="D106" s="265" t="n">
        <v>1365000</v>
      </c>
      <c r="E106" s="265" t="n">
        <v>1832000</v>
      </c>
      <c r="F106" s="265" t="n">
        <v>2182465.159663</v>
      </c>
      <c r="G106" s="265" t="n">
        <v>2048959.538425</v>
      </c>
      <c r="I106" s="265" t="n">
        <v>1913561.224071</v>
      </c>
      <c r="J106" s="265" t="n">
        <v>2613425.80917</v>
      </c>
      <c r="K106" s="265" t="n">
        <v>2747701.697656</v>
      </c>
      <c r="L106" s="265" t="n">
        <v>2520000</v>
      </c>
      <c r="N106" s="265" t="n">
        <v>2458000</v>
      </c>
      <c r="O106" s="265" t="n">
        <v>3090000</v>
      </c>
      <c r="P106" s="265" t="n">
        <v>3473000</v>
      </c>
      <c r="Q106" s="265" t="n">
        <v>2817000</v>
      </c>
      <c r="S106" s="265" t="n">
        <v>2932000</v>
      </c>
      <c r="T106" s="265" t="n">
        <v>3694000</v>
      </c>
      <c r="U106" s="265" t="n">
        <v>4168000</v>
      </c>
      <c r="V106" s="265" t="n">
        <v>3225000</v>
      </c>
      <c r="X106" s="265" t="n">
        <v>3363000</v>
      </c>
      <c r="Y106" s="265" t="n">
        <v>4046000</v>
      </c>
      <c r="Z106" s="265" t="n">
        <v>4908000</v>
      </c>
      <c r="AA106" s="265" t="n">
        <v>4472000</v>
      </c>
      <c r="AC106" s="265" t="n">
        <v>4634000</v>
      </c>
      <c r="AD106" s="265" t="n">
        <v>5737130</v>
      </c>
    </row>
    <row r="107">
      <c r="A107" t="inlineStr">
        <is>
          <t>Estoque a valor de mercado - VGV (R$ mil; l.45; fim do periodo) · fonte · unid. moeda</t>
        </is>
      </c>
      <c r="B107" t="n">
        <v>61</v>
      </c>
      <c r="C107" t="inlineStr">
        <is>
          <t>Estoque a valor de mercado - VGV (R$ mil; l.45; fim do perio</t>
        </is>
      </c>
      <c r="D107" s="265" t="n">
        <v>765721.078097</v>
      </c>
      <c r="E107" s="265" t="n">
        <v>777430</v>
      </c>
      <c r="F107" s="265" t="n">
        <v>827130.0594959999</v>
      </c>
      <c r="G107" s="265" t="n">
        <v>999540.185305</v>
      </c>
      <c r="I107" s="265" t="n">
        <v>1067451.070858</v>
      </c>
      <c r="J107" s="265" t="n">
        <v>1258406.122029</v>
      </c>
      <c r="K107" s="265" t="n">
        <v>1311549.805731</v>
      </c>
      <c r="L107" s="265" t="n">
        <v>1081773.871763</v>
      </c>
      <c r="N107" s="265" t="n">
        <v>1406899.164821</v>
      </c>
      <c r="O107" s="265" t="n">
        <v>1436257.702</v>
      </c>
      <c r="P107" s="265" t="n">
        <v>1436445.014998</v>
      </c>
      <c r="Q107" s="265" t="n">
        <v>1423778.657494</v>
      </c>
      <c r="S107" s="265" t="n">
        <v>1689696.897074</v>
      </c>
      <c r="T107" s="265" t="n">
        <v>1712813.417605</v>
      </c>
      <c r="U107" s="265" t="n">
        <v>1840177.33444</v>
      </c>
      <c r="V107" s="265" t="n">
        <v>1833295</v>
      </c>
      <c r="X107" s="265" t="n">
        <v>2531047.06535</v>
      </c>
      <c r="Y107" s="265" t="n">
        <v>2497723.1315</v>
      </c>
      <c r="Z107" s="265" t="n">
        <v>2678204.883203</v>
      </c>
      <c r="AA107" s="265" t="n">
        <v>2406320.781567</v>
      </c>
      <c r="AC107" s="265" t="n">
        <v>2805177.501499</v>
      </c>
      <c r="AD107" s="265" t="n">
        <v>3008261.047057</v>
      </c>
    </row>
    <row r="108">
      <c r="A108" t="inlineStr">
        <is>
          <t>Estoque - unidades (l.50; fim do periodo) · fonte · unid. un</t>
        </is>
      </c>
      <c r="B108" t="n">
        <v>62</v>
      </c>
      <c r="C108" t="inlineStr">
        <is>
          <t>Estoque - unidades (l.50; fim do periodo)</t>
        </is>
      </c>
      <c r="D108" s="265" t="n">
        <v>3934000</v>
      </c>
      <c r="E108" s="265" t="n">
        <v>3904000</v>
      </c>
      <c r="F108" s="265" t="n">
        <v>3989000</v>
      </c>
      <c r="G108" s="265" t="n">
        <v>4600000</v>
      </c>
      <c r="I108" s="265" t="n">
        <v>4579000</v>
      </c>
      <c r="J108" s="265" t="n">
        <v>4393000</v>
      </c>
      <c r="K108" s="265" t="n">
        <v>4575000</v>
      </c>
      <c r="L108" s="265" t="n">
        <v>3781000</v>
      </c>
      <c r="N108" s="265" t="n">
        <v>4859000</v>
      </c>
      <c r="O108" s="265" t="n">
        <v>4485000</v>
      </c>
      <c r="P108" s="265" t="n">
        <v>4652000</v>
      </c>
      <c r="Q108" s="265" t="n">
        <v>4991000</v>
      </c>
      <c r="S108" s="265" t="n">
        <v>5320000</v>
      </c>
      <c r="T108" s="265" t="n">
        <v>5139000</v>
      </c>
      <c r="U108" s="265" t="n">
        <v>5609000</v>
      </c>
      <c r="V108" s="265" t="n">
        <v>5206000</v>
      </c>
      <c r="X108" s="265" t="n">
        <v>7548000</v>
      </c>
      <c r="Y108" s="265" t="n">
        <v>6852000</v>
      </c>
      <c r="Z108" s="265" t="n">
        <v>7548000</v>
      </c>
      <c r="AA108" s="265" t="n">
        <v>6425000</v>
      </c>
      <c r="AC108" s="265" t="n">
        <v>7373000</v>
      </c>
      <c r="AD108" s="265" t="n">
        <v>7785000</v>
      </c>
    </row>
    <row r="109">
      <c r="A109" t="inlineStr">
        <is>
          <t>Banco de terrenos - VGV (R$ milhoes; l.64; fim do periodo) · fonte · unid. un</t>
        </is>
      </c>
      <c r="B109" t="n">
        <v>63</v>
      </c>
      <c r="C109" t="inlineStr">
        <is>
          <t>Banco de terrenos - VGV (R$ milhoes; l.64; fim do periodo)</t>
        </is>
      </c>
      <c r="D109" s="265" t="n">
        <v>9966000</v>
      </c>
      <c r="E109" s="265" t="n">
        <v>10430000</v>
      </c>
      <c r="F109" s="265" t="n">
        <v>11456497.93456</v>
      </c>
      <c r="G109" s="265" t="n">
        <v>9793619.998299999</v>
      </c>
      <c r="I109" s="265" t="n">
        <v>9952710.6042</v>
      </c>
      <c r="J109" s="265" t="n">
        <v>9647194.703400001</v>
      </c>
      <c r="K109" s="265" t="n">
        <v>10487094.93404</v>
      </c>
      <c r="L109" s="265" t="n">
        <v>10138416.628</v>
      </c>
      <c r="N109" s="265" t="n">
        <v>9905531.26553</v>
      </c>
      <c r="O109" s="265" t="n">
        <v>10182554.84953</v>
      </c>
      <c r="P109" s="265" t="n">
        <v>11848093.692</v>
      </c>
      <c r="Q109" s="265" t="n">
        <v>14508048.284</v>
      </c>
      <c r="S109" s="265" t="n">
        <v>15637376.806</v>
      </c>
      <c r="T109" s="265" t="n">
        <v>17585580.512</v>
      </c>
      <c r="U109" s="265" t="n">
        <v>19517275.012</v>
      </c>
      <c r="V109" s="265" t="n">
        <v>20122400</v>
      </c>
      <c r="X109" s="265" t="n">
        <v>19805343.512</v>
      </c>
      <c r="Y109" s="265" t="n">
        <v>21114378.1</v>
      </c>
      <c r="Z109" s="265" t="n">
        <v>23343742.622</v>
      </c>
      <c r="AA109" s="265" t="n">
        <v>24641296.078</v>
      </c>
      <c r="AC109" s="265" t="n">
        <v>24924612.6995</v>
      </c>
      <c r="AD109" s="265" t="n">
        <v>26092783.6228</v>
      </c>
    </row>
    <row r="110">
      <c r="A110" t="inlineStr">
        <is>
          <t>Receitas de vendas a apropriar - REF (R$ mil; DRE l.40; fim do periodo) · fonte · unid. moeda</t>
        </is>
      </c>
      <c r="B110" t="n">
        <v>64</v>
      </c>
      <c r="C110" t="inlineStr">
        <is>
          <t xml:space="preserve">Receitas de vendas a apropriar - REF (R$ mil; DRE l.40; fim </t>
        </is>
      </c>
      <c r="D110" s="265" t="n">
        <v>972631.165942</v>
      </c>
      <c r="E110" s="265" t="n">
        <v>1172291</v>
      </c>
      <c r="F110" s="265" t="n">
        <v>1427093</v>
      </c>
      <c r="G110" s="265" t="n">
        <v>1560016</v>
      </c>
      <c r="I110" s="265" t="n">
        <v>1826371</v>
      </c>
      <c r="J110" s="265" t="n">
        <v>2064638</v>
      </c>
      <c r="K110" s="265" t="n">
        <v>2322205</v>
      </c>
      <c r="L110" s="265" t="n">
        <v>2454399</v>
      </c>
      <c r="N110" s="265" t="n">
        <v>2914433</v>
      </c>
      <c r="O110" s="265" t="n">
        <v>3245796</v>
      </c>
      <c r="P110" s="265" t="n">
        <v>3439133</v>
      </c>
      <c r="Q110" s="265" t="n">
        <v>3501917</v>
      </c>
      <c r="S110" s="265" t="n">
        <v>4153406</v>
      </c>
      <c r="T110" s="265" t="n">
        <v>4837930</v>
      </c>
      <c r="U110" s="265" t="n">
        <v>5203643</v>
      </c>
      <c r="V110" s="265" t="n">
        <v>5565297</v>
      </c>
      <c r="X110" s="265" t="n">
        <v>6430448</v>
      </c>
      <c r="Y110" s="265" t="n">
        <v>7284016</v>
      </c>
      <c r="Z110" s="265" t="n">
        <v>7701127</v>
      </c>
      <c r="AA110" s="265" t="n">
        <v>7802275</v>
      </c>
      <c r="AC110" s="265" t="n">
        <v>8471901</v>
      </c>
      <c r="AD110" s="265" t="n">
        <v>8831273</v>
      </c>
    </row>
    <row r="111">
      <c r="A111" t="inlineStr">
        <is>
          <t>(-) Custo orcado das unidades vendidas a apropriar (R$ mil; DRE l.41) · fonte · unid. moeda</t>
        </is>
      </c>
      <c r="B111" t="n">
        <v>65</v>
      </c>
      <c r="C111" t="inlineStr">
        <is>
          <t xml:space="preserve">(-) Custo orcado das unidades vendidas a apropriar (R$ mil; </t>
        </is>
      </c>
      <c r="D111" s="265" t="n">
        <v>-608580.9714940001</v>
      </c>
      <c r="E111" s="265" t="n">
        <v>-735781</v>
      </c>
      <c r="F111" s="265" t="n">
        <v>-872072</v>
      </c>
      <c r="G111" s="265" t="n">
        <v>-949761</v>
      </c>
      <c r="I111" s="265" t="n">
        <v>-1101334</v>
      </c>
      <c r="J111" s="265" t="n">
        <v>-1227464</v>
      </c>
      <c r="K111" s="265" t="n">
        <v>-1343940</v>
      </c>
      <c r="L111" s="265" t="n">
        <v>-1426532</v>
      </c>
      <c r="N111" s="265" t="n">
        <v>-1691437</v>
      </c>
      <c r="O111" s="265" t="n">
        <v>-1885672</v>
      </c>
      <c r="P111" s="265" t="n">
        <v>-1996732</v>
      </c>
      <c r="Q111" s="265" t="n">
        <v>-2032161</v>
      </c>
      <c r="S111" s="265" t="n">
        <v>-2404100</v>
      </c>
      <c r="T111" s="265" t="n">
        <v>-2769753</v>
      </c>
      <c r="U111" s="265" t="n">
        <v>-2950257</v>
      </c>
      <c r="V111" s="265" t="n">
        <v>-3150416</v>
      </c>
      <c r="X111" s="265" t="n">
        <v>-3656268</v>
      </c>
      <c r="Y111" s="265" t="n">
        <v>-4123959</v>
      </c>
      <c r="Z111" s="265" t="n">
        <v>-4355125</v>
      </c>
      <c r="AA111" s="265" t="n">
        <v>-4420540</v>
      </c>
      <c r="AC111" s="265" t="n">
        <v>-4834308</v>
      </c>
      <c r="AD111" s="265" t="n">
        <v>-4988360</v>
      </c>
    </row>
    <row r="112">
      <c r="A112" t="inlineStr">
        <is>
          <t>Nota: a aba Resultados Operacionais ja traz a previa operacional do 3T26 (coluna BA); ela fica fora da grade (ultimo trimestre com DRE/BP = 2T26).</t>
        </is>
      </c>
      <c r="C112" t="inlineStr">
        <is>
          <t>[linha bruta, sem código; lançada nas linhas abaixo]</t>
        </is>
      </c>
      <c r="D112" s="265" t="n"/>
      <c r="E112" s="265" t="n"/>
      <c r="F112" s="265" t="n"/>
      <c r="G112" s="265" t="n"/>
      <c r="I112" s="265" t="n"/>
      <c r="J112" s="265" t="n"/>
      <c r="K112" s="265" t="n"/>
      <c r="L112" s="265" t="n"/>
      <c r="N112" s="265" t="n"/>
      <c r="O112" s="265" t="n"/>
      <c r="P112" s="265" t="n"/>
      <c r="Q112" s="265" t="n"/>
      <c r="S112" s="265" t="n"/>
      <c r="T112" s="265" t="n"/>
      <c r="U112" s="265" t="n"/>
      <c r="V112" s="265" t="n"/>
      <c r="X112" s="265" t="n"/>
      <c r="Y112" s="265" t="n"/>
      <c r="Z112" s="265" t="n"/>
      <c r="AA112" s="265" t="n"/>
      <c r="AC112" s="265" t="n"/>
      <c r="AD112" s="265" t="n"/>
    </row>
    <row r="114">
      <c r="A114" t="inlineStr">
        <is>
          <t>Linhas de origem: 4 a 112. A Inputs (2) varre as linhas 4 a 200; as linhas 113 a 200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73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Cury Construtora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R$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IF(D$3=0,"",SUMIFS(INDEX(Inputs!$D$4:$AG$200,0,MATCH(D$2,Inputs!$D$2:$AG$2,0)),Inputs!$B$4:$B$200,$B4)/1000)</f>
        <v>339.286</v>
      </c>
      <c r="E4" s="11">
        <f>IF(E$3=0,"",SUMIFS(INDEX(Inputs!$D$4:$AG$200,0,MATCH(E$2,Inputs!$D$2:$AG$2,0)),Inputs!$B$4:$B$200,$B4)/1000)</f>
        <v>451.337</v>
      </c>
      <c r="F4" s="11">
        <f>IF(F$3=0,"",SUMIFS(INDEX(Inputs!$D$4:$AG$200,0,MATCH(F$2,Inputs!$D$2:$AG$2,0)),Inputs!$B$4:$B$200,$B4)/1000)</f>
        <v>456.44958043</v>
      </c>
      <c r="G4" s="11">
        <f>IF(G$3=0,"",SUMIFS(INDEX(Inputs!$D$4:$AG$200,0,MATCH(G$2,Inputs!$D$2:$AG$2,0)),Inputs!$B$4:$B$200,$B4)/1000)</f>
        <v>491.223</v>
      </c>
      <c r="H4" s="12">
        <f>IF(COUNT(D4:G4)=4,SUM(D4:G4),"")</f>
        <v>1738.29558043</v>
      </c>
      <c r="I4" s="11">
        <f>IF(I$3=0,"",SUMIFS(INDEX(Inputs!$D$4:$AG$200,0,MATCH(I$2,Inputs!$D$2:$AG$2,0)),Inputs!$B$4:$B$200,$B4)/1000)</f>
        <v>447.374</v>
      </c>
      <c r="J4" s="11">
        <f>IF(J$3=0,"",SUMIFS(INDEX(Inputs!$D$4:$AG$200,0,MATCH(J$2,Inputs!$D$2:$AG$2,0)),Inputs!$B$4:$B$200,$B4)/1000)</f>
        <v>602.783</v>
      </c>
      <c r="K4" s="11">
        <f>IF(K$3=0,"",SUMIFS(INDEX(Inputs!$D$4:$AG$200,0,MATCH(K$2,Inputs!$D$2:$AG$2,0)),Inputs!$B$4:$B$200,$B4)/1000)</f>
        <v>626.659</v>
      </c>
      <c r="L4" s="11">
        <f>IF(L$3=0,"",SUMIFS(INDEX(Inputs!$D$4:$AG$200,0,MATCH(L$2,Inputs!$D$2:$AG$2,0)),Inputs!$B$4:$B$200,$B4)/1000)</f>
        <v>580.478</v>
      </c>
      <c r="M4" s="12">
        <f>IF(COUNT(I4:L4)=4,SUM(I4:L4),"")</f>
        <v>2257.294</v>
      </c>
      <c r="N4" s="11">
        <f>IF(N$3=0,"",SUMIFS(INDEX(Inputs!$D$4:$AG$200,0,MATCH(N$2,Inputs!$D$2:$AG$2,0)),Inputs!$B$4:$B$200,$B4)/1000)</f>
        <v>594.956</v>
      </c>
      <c r="O4" s="11">
        <f>IF(O$3=0,"",SUMIFS(INDEX(Inputs!$D$4:$AG$200,0,MATCH(O$2,Inputs!$D$2:$AG$2,0)),Inputs!$B$4:$B$200,$B4)/1000)</f>
        <v>727.746</v>
      </c>
      <c r="P4" s="11">
        <f>IF(P$3=0,"",SUMIFS(INDEX(Inputs!$D$4:$AG$200,0,MATCH(P$2,Inputs!$D$2:$AG$2,0)),Inputs!$B$4:$B$200,$B4)/1000)</f>
        <v>751.874</v>
      </c>
      <c r="Q4" s="11">
        <f>IF(Q$3=0,"",SUMIFS(INDEX(Inputs!$D$4:$AG$200,0,MATCH(Q$2,Inputs!$D$2:$AG$2,0)),Inputs!$B$4:$B$200,$B4)/1000)</f>
        <v>811.596</v>
      </c>
      <c r="R4" s="12">
        <f>IF(COUNT(N4:Q4)=4,SUM(N4:Q4),"")</f>
        <v>2886.172</v>
      </c>
      <c r="S4" s="11">
        <f>IF(S$3=0,"",SUMIFS(INDEX(Inputs!$D$4:$AG$200,0,MATCH(S$2,Inputs!$D$2:$AG$2,0)),Inputs!$B$4:$B$200,$B4)/1000)</f>
        <v>837.382</v>
      </c>
      <c r="T4" s="11">
        <f>IF(T$3=0,"",SUMIFS(INDEX(Inputs!$D$4:$AG$200,0,MATCH(T$2,Inputs!$D$2:$AG$2,0)),Inputs!$B$4:$B$200,$B4)/1000)</f>
        <v>998.085</v>
      </c>
      <c r="U4" s="11">
        <f>IF(U$3=0,"",SUMIFS(INDEX(Inputs!$D$4:$AG$200,0,MATCH(U$2,Inputs!$D$2:$AG$2,0)),Inputs!$B$4:$B$200,$B4)/1000)</f>
        <v>1055.872</v>
      </c>
      <c r="V4" s="11">
        <f>IF(V$3=0,"",SUMIFS(INDEX(Inputs!$D$4:$AG$200,0,MATCH(V$2,Inputs!$D$2:$AG$2,0)),Inputs!$B$4:$B$200,$B4)/1000)</f>
        <v>1034.971</v>
      </c>
      <c r="W4" s="12">
        <f>IF(COUNT(S4:V4)=4,SUM(S4:V4),"")</f>
        <v>3926.31</v>
      </c>
      <c r="X4" s="11">
        <f>IF(X$3=0,"",SUMIFS(INDEX(Inputs!$D$4:$AG$200,0,MATCH(X$2,Inputs!$D$2:$AG$2,0)),Inputs!$B$4:$B$200,$B4)/1000)</f>
        <v>1216.184</v>
      </c>
      <c r="Y4" s="11">
        <f>IF(Y$3=0,"",SUMIFS(INDEX(Inputs!$D$4:$AG$200,0,MATCH(Y$2,Inputs!$D$2:$AG$2,0)),Inputs!$B$4:$B$200,$B4)/1000)</f>
        <v>1346.599</v>
      </c>
      <c r="Z4" s="11">
        <f>IF(Z$3=0,"",SUMIFS(INDEX(Inputs!$D$4:$AG$200,0,MATCH(Z$2,Inputs!$D$2:$AG$2,0)),Inputs!$B$4:$B$200,$B4)/1000)</f>
        <v>1416.926</v>
      </c>
      <c r="AA4" s="11">
        <f>IF(AA$3=0,"",SUMIFS(INDEX(Inputs!$D$4:$AG$200,0,MATCH(AA$2,Inputs!$D$2:$AG$2,0)),Inputs!$B$4:$B$200,$B4)/1000)</f>
        <v>1419.715</v>
      </c>
      <c r="AB4" s="12">
        <f>IF(COUNT(X4:AA4)=4,SUM(X4:AA4),"")</f>
        <v>5399.424</v>
      </c>
      <c r="AC4" s="11">
        <f>IF(AC$3=0,"",SUMIFS(INDEX(Inputs!$D$4:$AG$200,0,MATCH(AC$2,Inputs!$D$2:$AG$2,0)),Inputs!$B$4:$B$200,$B4)/1000)</f>
        <v>1612.571</v>
      </c>
      <c r="AD4" s="11">
        <f>IF(AD$3=0,"",SUMIFS(INDEX(Inputs!$D$4:$AG$200,0,MATCH(AD$2,Inputs!$D$2:$AG$2,0)),Inputs!$B$4:$B$200,$B4)/1000)</f>
        <v>1690.594</v>
      </c>
      <c r="AE4" s="11" t="str">
        <f>IF(AE$3=0,"",SUMIFS(INDEX(Inputs!$D$4:$AG$200,0,MATCH(AE$2,Inputs!$D$2:$AG$2,0)),Inputs!$B$4:$B$200,$B4)/1000)</f>
        <v/>
      </c>
      <c r="AF4" s="11" t="str">
        <f>IF(AF$3=0,"",SUMIFS(INDEX(Inputs!$D$4:$AG$200,0,MATCH(AF$2,Inputs!$D$2:$AG$2,0)),Inputs!$B$4:$B$200,$B4)/1000)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IF(D$3=0,"",SUMIFS(INDEX(Inputs!$D$4:$AG$200,0,MATCH(D$2,Inputs!$D$2:$AG$2,0)),Inputs!$B$4:$B$200,$B5)/1000)</f>
        <v>-218.944</v>
      </c>
      <c r="E5" s="11">
        <f>IF(E$3=0,"",SUMIFS(INDEX(Inputs!$D$4:$AG$200,0,MATCH(E$2,Inputs!$D$2:$AG$2,0)),Inputs!$B$4:$B$200,$B5)/1000)</f>
        <v>-288.421</v>
      </c>
      <c r="F5" s="11">
        <f>IF(F$3=0,"",SUMIFS(INDEX(Inputs!$D$4:$AG$200,0,MATCH(F$2,Inputs!$D$2:$AG$2,0)),Inputs!$B$4:$B$200,$B5)/1000)</f>
        <v>-281.47773978</v>
      </c>
      <c r="G5" s="11">
        <f>IF(G$3=0,"",SUMIFS(INDEX(Inputs!$D$4:$AG$200,0,MATCH(G$2,Inputs!$D$2:$AG$2,0)),Inputs!$B$4:$B$200,$B5)/1000)</f>
        <v>-304.781</v>
      </c>
      <c r="H5" s="12">
        <f>IF(COUNT(D5:G5)=4,SUM(D5:G5),"")</f>
        <v>-1093.62373978</v>
      </c>
      <c r="I5" s="11">
        <f>IF(I$3=0,"",SUMIFS(INDEX(Inputs!$D$4:$AG$200,0,MATCH(I$2,Inputs!$D$2:$AG$2,0)),Inputs!$B$4:$B$200,$B5)/1000)</f>
        <v>-281.465</v>
      </c>
      <c r="J5" s="11">
        <f>IF(J$3=0,"",SUMIFS(INDEX(Inputs!$D$4:$AG$200,0,MATCH(J$2,Inputs!$D$2:$AG$2,0)),Inputs!$B$4:$B$200,$B5)/1000)</f>
        <v>-387.286</v>
      </c>
      <c r="K5" s="11">
        <f>IF(K$3=0,"",SUMIFS(INDEX(Inputs!$D$4:$AG$200,0,MATCH(K$2,Inputs!$D$2:$AG$2,0)),Inputs!$B$4:$B$200,$B5)/1000)</f>
        <v>-392.916</v>
      </c>
      <c r="L5" s="11">
        <f>IF(L$3=0,"",SUMIFS(INDEX(Inputs!$D$4:$AG$200,0,MATCH(L$2,Inputs!$D$2:$AG$2,0)),Inputs!$B$4:$B$200,$B5)/1000)</f>
        <v>-358.735</v>
      </c>
      <c r="M5" s="12">
        <f>IF(COUNT(I5:L5)=4,SUM(I5:L5),"")</f>
        <v>-1420.402</v>
      </c>
      <c r="N5" s="11">
        <f>IF(N$3=0,"",SUMIFS(INDEX(Inputs!$D$4:$AG$200,0,MATCH(N$2,Inputs!$D$2:$AG$2,0)),Inputs!$B$4:$B$200,$B5)/1000)</f>
        <v>-371.794</v>
      </c>
      <c r="O5" s="11">
        <f>IF(O$3=0,"",SUMIFS(INDEX(Inputs!$D$4:$AG$200,0,MATCH(O$2,Inputs!$D$2:$AG$2,0)),Inputs!$B$4:$B$200,$B5)/1000)</f>
        <v>-453.192</v>
      </c>
      <c r="P5" s="11">
        <f>IF(P$3=0,"",SUMIFS(INDEX(Inputs!$D$4:$AG$200,0,MATCH(P$2,Inputs!$D$2:$AG$2,0)),Inputs!$B$4:$B$200,$B5)/1000)</f>
        <v>-467.971</v>
      </c>
      <c r="Q5" s="11">
        <f>IF(Q$3=0,"",SUMIFS(INDEX(Inputs!$D$4:$AG$200,0,MATCH(Q$2,Inputs!$D$2:$AG$2,0)),Inputs!$B$4:$B$200,$B5)/1000)</f>
        <v>-497.862</v>
      </c>
      <c r="R5" s="12">
        <f>IF(COUNT(N5:Q5)=4,SUM(N5:Q5),"")</f>
        <v>-1790.819</v>
      </c>
      <c r="S5" s="11">
        <f>IF(S$3=0,"",SUMIFS(INDEX(Inputs!$D$4:$AG$200,0,MATCH(S$2,Inputs!$D$2:$AG$2,0)),Inputs!$B$4:$B$200,$B5)/1000)</f>
        <v>-520.773</v>
      </c>
      <c r="T5" s="11">
        <f>IF(T$3=0,"",SUMIFS(INDEX(Inputs!$D$4:$AG$200,0,MATCH(T$2,Inputs!$D$2:$AG$2,0)),Inputs!$B$4:$B$200,$B5)/1000)</f>
        <v>-615.554</v>
      </c>
      <c r="U5" s="11">
        <f>IF(U$3=0,"",SUMIFS(INDEX(Inputs!$D$4:$AG$200,0,MATCH(U$2,Inputs!$D$2:$AG$2,0)),Inputs!$B$4:$B$200,$B5)/1000)</f>
        <v>-646.426</v>
      </c>
      <c r="V5" s="11">
        <f>IF(V$3=0,"",SUMIFS(INDEX(Inputs!$D$4:$AG$200,0,MATCH(V$2,Inputs!$D$2:$AG$2,0)),Inputs!$B$4:$B$200,$B5)/1000)</f>
        <v>-630.617</v>
      </c>
      <c r="W5" s="12">
        <f>IF(COUNT(S5:V5)=4,SUM(S5:V5),"")</f>
        <v>-2413.37</v>
      </c>
      <c r="X5" s="11">
        <f>IF(X$3=0,"",SUMIFS(INDEX(Inputs!$D$4:$AG$200,0,MATCH(X$2,Inputs!$D$2:$AG$2,0)),Inputs!$B$4:$B$200,$B5)/1000)</f>
        <v>-741.296</v>
      </c>
      <c r="Y5" s="11">
        <f>IF(Y$3=0,"",SUMIFS(INDEX(Inputs!$D$4:$AG$200,0,MATCH(Y$2,Inputs!$D$2:$AG$2,0)),Inputs!$B$4:$B$200,$B5)/1000)</f>
        <v>-813.823</v>
      </c>
      <c r="Z5" s="11">
        <f>IF(Z$3=0,"",SUMIFS(INDEX(Inputs!$D$4:$AG$200,0,MATCH(Z$2,Inputs!$D$2:$AG$2,0)),Inputs!$B$4:$B$200,$B5)/1000)</f>
        <v>-850.699</v>
      </c>
      <c r="AA5" s="11">
        <f>IF(AA$3=0,"",SUMIFS(INDEX(Inputs!$D$4:$AG$200,0,MATCH(AA$2,Inputs!$D$2:$AG$2,0)),Inputs!$B$4:$B$200,$B5)/1000)</f>
        <v>-847.019</v>
      </c>
      <c r="AB5" s="12">
        <f>IF(COUNT(X5:AA5)=4,SUM(X5:AA5),"")</f>
        <v>-3252.837</v>
      </c>
      <c r="AC5" s="11">
        <f>IF(AC$3=0,"",SUMIFS(INDEX(Inputs!$D$4:$AG$200,0,MATCH(AC$2,Inputs!$D$2:$AG$2,0)),Inputs!$B$4:$B$200,$B5)/1000)</f>
        <v>-982.915</v>
      </c>
      <c r="AD5" s="11">
        <f>IF(AD$3=0,"",SUMIFS(INDEX(Inputs!$D$4:$AG$200,0,MATCH(AD$2,Inputs!$D$2:$AG$2,0)),Inputs!$B$4:$B$200,$B5)/1000)</f>
        <v>-1022.232</v>
      </c>
      <c r="AE5" s="11" t="str">
        <f>IF(AE$3=0,"",SUMIFS(INDEX(Inputs!$D$4:$AG$200,0,MATCH(AE$2,Inputs!$D$2:$AG$2,0)),Inputs!$B$4:$B$200,$B5)/1000)</f>
        <v/>
      </c>
      <c r="AF5" s="11" t="str">
        <f>IF(AF$3=0,"",SUMIFS(INDEX(Inputs!$D$4:$AG$200,0,MATCH(AF$2,Inputs!$D$2:$AG$2,0)),Inputs!$B$4:$B$200,$B5)/1000)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IF(D$3=0,"",SUMIFS(INDEX(Inputs!$D$4:$AG$200,0,MATCH(D$2,Inputs!$D$2:$AG$2,0)),Inputs!$B$4:$B$200,$B6)/1000)</f>
        <v>-57.16434729</v>
      </c>
      <c r="E6" s="11">
        <f>IF(E$3=0,"",SUMIFS(INDEX(Inputs!$D$4:$AG$200,0,MATCH(E$2,Inputs!$D$2:$AG$2,0)),Inputs!$B$4:$B$200,$B6)/1000)</f>
        <v>-73.5459415</v>
      </c>
      <c r="F6" s="11">
        <f>IF(F$3=0,"",SUMIFS(INDEX(Inputs!$D$4:$AG$200,0,MATCH(F$2,Inputs!$D$2:$AG$2,0)),Inputs!$B$4:$B$200,$B6)/1000)</f>
        <v>-87.60403964</v>
      </c>
      <c r="G6" s="11">
        <f>IF(G$3=0,"",SUMIFS(INDEX(Inputs!$D$4:$AG$200,0,MATCH(G$2,Inputs!$D$2:$AG$2,0)),Inputs!$B$4:$B$200,$B6)/1000)</f>
        <v>-49.47425793</v>
      </c>
      <c r="H6" s="12">
        <f>IF(COUNT(D6:G6)=4,SUM(D6:G6),"")</f>
        <v>-267.78858636</v>
      </c>
      <c r="I6" s="11">
        <f>IF(I$3=0,"",SUMIFS(INDEX(Inputs!$D$4:$AG$200,0,MATCH(I$2,Inputs!$D$2:$AG$2,0)),Inputs!$B$4:$B$200,$B6)/1000)</f>
        <v>-85.60061319</v>
      </c>
      <c r="J6" s="11">
        <f>IF(J$3=0,"",SUMIFS(INDEX(Inputs!$D$4:$AG$200,0,MATCH(J$2,Inputs!$D$2:$AG$2,0)),Inputs!$B$4:$B$200,$B6)/1000)</f>
        <v>-97.656</v>
      </c>
      <c r="K6" s="11">
        <f>IF(K$3=0,"",SUMIFS(INDEX(Inputs!$D$4:$AG$200,0,MATCH(K$2,Inputs!$D$2:$AG$2,0)),Inputs!$B$4:$B$200,$B6)/1000)</f>
        <v>-114.534</v>
      </c>
      <c r="L6" s="11">
        <f>IF(L$3=0,"",SUMIFS(INDEX(Inputs!$D$4:$AG$200,0,MATCH(L$2,Inputs!$D$2:$AG$2,0)),Inputs!$B$4:$B$200,$B6)/1000)</f>
        <v>-91.394</v>
      </c>
      <c r="M6" s="12">
        <f>IF(COUNT(I6:L6)=4,SUM(I6:L6),"")</f>
        <v>-389.18461319</v>
      </c>
      <c r="N6" s="11">
        <f>IF(N$3=0,"",SUMIFS(INDEX(Inputs!$D$4:$AG$200,0,MATCH(N$2,Inputs!$D$2:$AG$2,0)),Inputs!$B$4:$B$200,$B6)/1000)</f>
        <v>-101.9949173</v>
      </c>
      <c r="O6" s="11">
        <f>IF(O$3=0,"",SUMIFS(INDEX(Inputs!$D$4:$AG$200,0,MATCH(O$2,Inputs!$D$2:$AG$2,0)),Inputs!$B$4:$B$200,$B6)/1000)</f>
        <v>-121.084</v>
      </c>
      <c r="P6" s="11">
        <f>IF(P$3=0,"",SUMIFS(INDEX(Inputs!$D$4:$AG$200,0,MATCH(P$2,Inputs!$D$2:$AG$2,0)),Inputs!$B$4:$B$200,$B6)/1000)</f>
        <v>-141.70210615</v>
      </c>
      <c r="Q6" s="11">
        <f>IF(Q$3=0,"",SUMIFS(INDEX(Inputs!$D$4:$AG$200,0,MATCH(Q$2,Inputs!$D$2:$AG$2,0)),Inputs!$B$4:$B$200,$B6)/1000)</f>
        <v>-124.40697655</v>
      </c>
      <c r="R6" s="12">
        <f>IF(COUNT(N6:Q6)=4,SUM(N6:Q6),"")</f>
        <v>-489.188</v>
      </c>
      <c r="S6" s="11">
        <f>IF(S$3=0,"",SUMIFS(INDEX(Inputs!$D$4:$AG$200,0,MATCH(S$2,Inputs!$D$2:$AG$2,0)),Inputs!$B$4:$B$200,$B6)/1000)</f>
        <v>-131.618</v>
      </c>
      <c r="T6" s="11">
        <f>IF(T$3=0,"",SUMIFS(INDEX(Inputs!$D$4:$AG$200,0,MATCH(T$2,Inputs!$D$2:$AG$2,0)),Inputs!$B$4:$B$200,$B6)/1000)</f>
        <v>-176.38715982</v>
      </c>
      <c r="U6" s="11">
        <f>IF(U$3=0,"",SUMIFS(INDEX(Inputs!$D$4:$AG$200,0,MATCH(U$2,Inputs!$D$2:$AG$2,0)),Inputs!$B$4:$B$200,$B6)/1000)</f>
        <v>-193.441801055</v>
      </c>
      <c r="V6" s="11">
        <f>IF(V$3=0,"",SUMIFS(INDEX(Inputs!$D$4:$AG$200,0,MATCH(V$2,Inputs!$D$2:$AG$2,0)),Inputs!$B$4:$B$200,$B6)/1000)</f>
        <v>-169.22181269</v>
      </c>
      <c r="W6" s="12">
        <f>IF(COUNT(S6:V6)=4,SUM(S6:V6),"")</f>
        <v>-670.668773565</v>
      </c>
      <c r="X6" s="11">
        <f>IF(X$3=0,"",SUMIFS(INDEX(Inputs!$D$4:$AG$200,0,MATCH(X$2,Inputs!$D$2:$AG$2,0)),Inputs!$B$4:$B$200,$B6)/1000)</f>
        <v>-187.796</v>
      </c>
      <c r="Y6" s="11">
        <f>IF(Y$3=0,"",SUMIFS(INDEX(Inputs!$D$4:$AG$200,0,MATCH(Y$2,Inputs!$D$2:$AG$2,0)),Inputs!$B$4:$B$200,$B6)/1000)</f>
        <v>-210.88850213</v>
      </c>
      <c r="Z6" s="11">
        <f>IF(Z$3=0,"",SUMIFS(INDEX(Inputs!$D$4:$AG$200,0,MATCH(Z$2,Inputs!$D$2:$AG$2,0)),Inputs!$B$4:$B$200,$B6)/1000)</f>
        <v>-231.513</v>
      </c>
      <c r="AA6" s="11">
        <f>IF(AA$3=0,"",SUMIFS(INDEX(Inputs!$D$4:$AG$200,0,MATCH(AA$2,Inputs!$D$2:$AG$2,0)),Inputs!$B$4:$B$200,$B6)/1000)</f>
        <v>-220.841</v>
      </c>
      <c r="AB6" s="12">
        <f>IF(COUNT(X6:AA6)=4,SUM(X6:AA6),"")</f>
        <v>-851.03850213</v>
      </c>
      <c r="AC6" s="11">
        <f>IF(AC$3=0,"",SUMIFS(INDEX(Inputs!$D$4:$AG$200,0,MATCH(AC$2,Inputs!$D$2:$AG$2,0)),Inputs!$B$4:$B$200,$B6)/1000)</f>
        <v>-220.444</v>
      </c>
      <c r="AD6" s="11">
        <f>IF(AD$3=0,"",SUMIFS(INDEX(Inputs!$D$4:$AG$200,0,MATCH(AD$2,Inputs!$D$2:$AG$2,0)),Inputs!$B$4:$B$200,$B6)/1000)</f>
        <v>-282.4</v>
      </c>
      <c r="AE6" s="11" t="str">
        <f>IF(AE$3=0,"",SUMIFS(INDEX(Inputs!$D$4:$AG$200,0,MATCH(AE$2,Inputs!$D$2:$AG$2,0)),Inputs!$B$4:$B$200,$B6)/1000)</f>
        <v/>
      </c>
      <c r="AF6" s="11" t="str">
        <f>IF(AF$3=0,"",SUMIFS(INDEX(Inputs!$D$4:$AG$200,0,MATCH(AF$2,Inputs!$D$2:$AG$2,0)),Inputs!$B$4:$B$200,$B6)/1000)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IF(D$3=0,"",SUMIFS(INDEX(Inputs!$D$4:$AG$200,0,MATCH(D$2,Inputs!$D$2:$AG$2,0)),Inputs!$B$4:$B$200,$B7)/1000)</f>
        <v>-0.334652710000002</v>
      </c>
      <c r="E7" s="11">
        <f>IF(E$3=0,"",SUMIFS(INDEX(Inputs!$D$4:$AG$200,0,MATCH(E$2,Inputs!$D$2:$AG$2,0)),Inputs!$B$4:$B$200,$B7)/1000)</f>
        <v>-0.355058499999999</v>
      </c>
      <c r="F7" s="11">
        <f>IF(F$3=0,"",SUMIFS(INDEX(Inputs!$D$4:$AG$200,0,MATCH(F$2,Inputs!$D$2:$AG$2,0)),Inputs!$B$4:$B$200,$B7)/1000)</f>
        <v>-0.375960359999997</v>
      </c>
      <c r="G7" s="11">
        <f>IF(G$3=0,"",SUMIFS(INDEX(Inputs!$D$4:$AG$200,0,MATCH(G$2,Inputs!$D$2:$AG$2,0)),Inputs!$B$4:$B$200,$B7)/1000)</f>
        <v>-0.377742070000008</v>
      </c>
      <c r="H7" s="12">
        <f>IF(COUNT(D7:G7)=4,SUM(D7:G7),"")</f>
        <v>-1.44341364000001</v>
      </c>
      <c r="I7" s="11">
        <f>IF(I$3=0,"",SUMIFS(INDEX(Inputs!$D$4:$AG$200,0,MATCH(I$2,Inputs!$D$2:$AG$2,0)),Inputs!$B$4:$B$200,$B7)/1000)</f>
        <v>-0.924386809999996</v>
      </c>
      <c r="J7" s="11">
        <f>IF(J$3=0,"",SUMIFS(INDEX(Inputs!$D$4:$AG$200,0,MATCH(J$2,Inputs!$D$2:$AG$2,0)),Inputs!$B$4:$B$200,$B7)/1000)</f>
        <v>-5.704</v>
      </c>
      <c r="K7" s="11">
        <f>IF(K$3=0,"",SUMIFS(INDEX(Inputs!$D$4:$AG$200,0,MATCH(K$2,Inputs!$D$2:$AG$2,0)),Inputs!$B$4:$B$200,$B7)/1000)</f>
        <v>-5.715</v>
      </c>
      <c r="L7" s="11">
        <f>IF(L$3=0,"",SUMIFS(INDEX(Inputs!$D$4:$AG$200,0,MATCH(L$2,Inputs!$D$2:$AG$2,0)),Inputs!$B$4:$B$200,$B7)/1000)</f>
        <v>-6.302</v>
      </c>
      <c r="M7" s="12">
        <f>IF(COUNT(I7:L7)=4,SUM(I7:L7),"")</f>
        <v>-18.64538681</v>
      </c>
      <c r="N7" s="11">
        <f>IF(N$3=0,"",SUMIFS(INDEX(Inputs!$D$4:$AG$200,0,MATCH(N$2,Inputs!$D$2:$AG$2,0)),Inputs!$B$4:$B$200,$B7)/1000)</f>
        <v>-6.2210827</v>
      </c>
      <c r="O7" s="11">
        <f>IF(O$3=0,"",SUMIFS(INDEX(Inputs!$D$4:$AG$200,0,MATCH(O$2,Inputs!$D$2:$AG$2,0)),Inputs!$B$4:$B$200,$B7)/1000)</f>
        <v>-6.3</v>
      </c>
      <c r="P7" s="11">
        <f>IF(P$3=0,"",SUMIFS(INDEX(Inputs!$D$4:$AG$200,0,MATCH(P$2,Inputs!$D$2:$AG$2,0)),Inputs!$B$4:$B$200,$B7)/1000)</f>
        <v>-6.34089384999999</v>
      </c>
      <c r="Q7" s="11">
        <f>IF(Q$3=0,"",SUMIFS(INDEX(Inputs!$D$4:$AG$200,0,MATCH(Q$2,Inputs!$D$2:$AG$2,0)),Inputs!$B$4:$B$200,$B7)/1000)</f>
        <v>-7.01002345000001</v>
      </c>
      <c r="R7" s="12">
        <f>IF(COUNT(N7:Q7)=4,SUM(N7:Q7),"")</f>
        <v>-25.872</v>
      </c>
      <c r="S7" s="11">
        <f>IF(S$3=0,"",SUMIFS(INDEX(Inputs!$D$4:$AG$200,0,MATCH(S$2,Inputs!$D$2:$AG$2,0)),Inputs!$B$4:$B$200,$B7)/1000)</f>
        <v>-7.117</v>
      </c>
      <c r="T7" s="11">
        <f>IF(T$3=0,"",SUMIFS(INDEX(Inputs!$D$4:$AG$200,0,MATCH(T$2,Inputs!$D$2:$AG$2,0)),Inputs!$B$4:$B$200,$B7)/1000)</f>
        <v>-7.01157678999999</v>
      </c>
      <c r="U7" s="11">
        <f>IF(U$3=0,"",SUMIFS(INDEX(Inputs!$D$4:$AG$200,0,MATCH(U$2,Inputs!$D$2:$AG$2,0)),Inputs!$B$4:$B$200,$B7)/1000)</f>
        <v>-8.19119894500001</v>
      </c>
      <c r="V7" s="11">
        <f>IF(V$3=0,"",SUMIFS(INDEX(Inputs!$D$4:$AG$200,0,MATCH(V$2,Inputs!$D$2:$AG$2,0)),Inputs!$B$4:$B$200,$B7)/1000)</f>
        <v>-8.81118731000001</v>
      </c>
      <c r="W7" s="12">
        <f>IF(COUNT(S7:V7)=4,SUM(S7:V7),"")</f>
        <v>-31.130963045</v>
      </c>
      <c r="X7" s="11">
        <f>IF(X$3=0,"",SUMIFS(INDEX(Inputs!$D$4:$AG$200,0,MATCH(X$2,Inputs!$D$2:$AG$2,0)),Inputs!$B$4:$B$200,$B7)/1000)</f>
        <v>-8.533</v>
      </c>
      <c r="Y7" s="11">
        <f>IF(Y$3=0,"",SUMIFS(INDEX(Inputs!$D$4:$AG$200,0,MATCH(Y$2,Inputs!$D$2:$AG$2,0)),Inputs!$B$4:$B$200,$B7)/1000)</f>
        <v>-8.754</v>
      </c>
      <c r="Z7" s="11">
        <f>IF(Z$3=0,"",SUMIFS(INDEX(Inputs!$D$4:$AG$200,0,MATCH(Z$2,Inputs!$D$2:$AG$2,0)),Inputs!$B$4:$B$200,$B7)/1000)</f>
        <v>-8.521</v>
      </c>
      <c r="AA7" s="11">
        <f>IF(AA$3=0,"",SUMIFS(INDEX(Inputs!$D$4:$AG$200,0,MATCH(AA$2,Inputs!$D$2:$AG$2,0)),Inputs!$B$4:$B$200,$B7)/1000)</f>
        <v>-9.07</v>
      </c>
      <c r="AB7" s="12">
        <f>IF(COUNT(X7:AA7)=4,SUM(X7:AA7),"")</f>
        <v>-34.878</v>
      </c>
      <c r="AC7" s="11">
        <f>IF(AC$3=0,"",SUMIFS(INDEX(Inputs!$D$4:$AG$200,0,MATCH(AC$2,Inputs!$D$2:$AG$2,0)),Inputs!$B$4:$B$200,$B7)/1000)</f>
        <v>-8.349</v>
      </c>
      <c r="AD7" s="11">
        <f>IF(AD$3=0,"",SUMIFS(INDEX(Inputs!$D$4:$AG$200,0,MATCH(AD$2,Inputs!$D$2:$AG$2,0)),Inputs!$B$4:$B$200,$B7)/1000)</f>
        <v>-8.551</v>
      </c>
      <c r="AE7" s="11" t="str">
        <f>IF(AE$3=0,"",SUMIFS(INDEX(Inputs!$D$4:$AG$200,0,MATCH(AE$2,Inputs!$D$2:$AG$2,0)),Inputs!$B$4:$B$200,$B7)/1000)</f>
        <v/>
      </c>
      <c r="AF7" s="11" t="str">
        <f>IF(AF$3=0,"",SUMIFS(INDEX(Inputs!$D$4:$AG$200,0,MATCH(AF$2,Inputs!$D$2:$AG$2,0)),Inputs!$B$4:$B$200,$B7)/1000)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IF(D$3=0,"",SUMIFS(INDEX(Inputs!$D$4:$AG$200,0,MATCH(D$2,Inputs!$D$2:$AG$2,0)),Inputs!$B$4:$B$200,$B8)/1000)</f>
        <v>-7.256</v>
      </c>
      <c r="E8" s="11">
        <f>IF(E$3=0,"",SUMIFS(INDEX(Inputs!$D$4:$AG$200,0,MATCH(E$2,Inputs!$D$2:$AG$2,0)),Inputs!$B$4:$B$200,$B8)/1000)</f>
        <v>-9.3</v>
      </c>
      <c r="F8" s="11">
        <f>IF(F$3=0,"",SUMIFS(INDEX(Inputs!$D$4:$AG$200,0,MATCH(F$2,Inputs!$D$2:$AG$2,0)),Inputs!$B$4:$B$200,$B8)/1000)</f>
        <v>-11.43</v>
      </c>
      <c r="G8" s="11">
        <f>IF(G$3=0,"",SUMIFS(INDEX(Inputs!$D$4:$AG$200,0,MATCH(G$2,Inputs!$D$2:$AG$2,0)),Inputs!$B$4:$B$200,$B8)/1000)</f>
        <v>-21.731</v>
      </c>
      <c r="H8" s="12">
        <f>IF(COUNT(D8:G8)=4,SUM(D8:G8),"")</f>
        <v>-49.717</v>
      </c>
      <c r="I8" s="11">
        <f>IF(I$3=0,"",SUMIFS(INDEX(Inputs!$D$4:$AG$200,0,MATCH(I$2,Inputs!$D$2:$AG$2,0)),Inputs!$B$4:$B$200,$B8)/1000)</f>
        <v>-17.062</v>
      </c>
      <c r="J8" s="11">
        <f>IF(J$3=0,"",SUMIFS(INDEX(Inputs!$D$4:$AG$200,0,MATCH(J$2,Inputs!$D$2:$AG$2,0)),Inputs!$B$4:$B$200,$B8)/1000)</f>
        <v>-22.214</v>
      </c>
      <c r="K8" s="11">
        <f>IF(K$3=0,"",SUMIFS(INDEX(Inputs!$D$4:$AG$200,0,MATCH(K$2,Inputs!$D$2:$AG$2,0)),Inputs!$B$4:$B$200,$B8)/1000)</f>
        <v>-22.86</v>
      </c>
      <c r="L8" s="11">
        <f>IF(L$3=0,"",SUMIFS(INDEX(Inputs!$D$4:$AG$200,0,MATCH(L$2,Inputs!$D$2:$AG$2,0)),Inputs!$B$4:$B$200,$B8)/1000)</f>
        <v>-26.332</v>
      </c>
      <c r="M8" s="12">
        <f>IF(COUNT(I8:L8)=4,SUM(I8:L8),"")</f>
        <v>-88.468</v>
      </c>
      <c r="N8" s="11">
        <f>IF(N$3=0,"",SUMIFS(INDEX(Inputs!$D$4:$AG$200,0,MATCH(N$2,Inputs!$D$2:$AG$2,0)),Inputs!$B$4:$B$200,$B8)/1000)</f>
        <v>-25.672</v>
      </c>
      <c r="O8" s="11">
        <f>IF(O$3=0,"",SUMIFS(INDEX(Inputs!$D$4:$AG$200,0,MATCH(O$2,Inputs!$D$2:$AG$2,0)),Inputs!$B$4:$B$200,$B8)/1000)</f>
        <v>-26.026</v>
      </c>
      <c r="P8" s="11">
        <f>IF(P$3=0,"",SUMIFS(INDEX(Inputs!$D$4:$AG$200,0,MATCH(P$2,Inputs!$D$2:$AG$2,0)),Inputs!$B$4:$B$200,$B8)/1000)</f>
        <v>-23.214</v>
      </c>
      <c r="Q8" s="11">
        <f>IF(Q$3=0,"",SUMIFS(INDEX(Inputs!$D$4:$AG$200,0,MATCH(Q$2,Inputs!$D$2:$AG$2,0)),Inputs!$B$4:$B$200,$B8)/1000)</f>
        <v>-25.215</v>
      </c>
      <c r="R8" s="12">
        <f>IF(COUNT(N8:Q8)=4,SUM(N8:Q8),"")</f>
        <v>-100.127</v>
      </c>
      <c r="S8" s="11">
        <f>IF(S$3=0,"",SUMIFS(INDEX(Inputs!$D$4:$AG$200,0,MATCH(S$2,Inputs!$D$2:$AG$2,0)),Inputs!$B$4:$B$200,$B8)/1000)</f>
        <v>-24.806</v>
      </c>
      <c r="T8" s="11">
        <f>IF(T$3=0,"",SUMIFS(INDEX(Inputs!$D$4:$AG$200,0,MATCH(T$2,Inputs!$D$2:$AG$2,0)),Inputs!$B$4:$B$200,$B8)/1000)</f>
        <v>-31.099</v>
      </c>
      <c r="U8" s="11">
        <f>IF(U$3=0,"",SUMIFS(INDEX(Inputs!$D$4:$AG$200,0,MATCH(U$2,Inputs!$D$2:$AG$2,0)),Inputs!$B$4:$B$200,$B8)/1000)</f>
        <v>-39.673</v>
      </c>
      <c r="V8" s="11">
        <f>IF(V$3=0,"",SUMIFS(INDEX(Inputs!$D$4:$AG$200,0,MATCH(V$2,Inputs!$D$2:$AG$2,0)),Inputs!$B$4:$B$200,$B8)/1000)</f>
        <v>-41.587</v>
      </c>
      <c r="W8" s="12">
        <f>IF(COUNT(S8:V8)=4,SUM(S8:V8),"")</f>
        <v>-137.165</v>
      </c>
      <c r="X8" s="11">
        <f>IF(X$3=0,"",SUMIFS(INDEX(Inputs!$D$4:$AG$200,0,MATCH(X$2,Inputs!$D$2:$AG$2,0)),Inputs!$B$4:$B$200,$B8)/1000)</f>
        <v>-51.332</v>
      </c>
      <c r="Y8" s="11">
        <f>IF(Y$3=0,"",SUMIFS(INDEX(Inputs!$D$4:$AG$200,0,MATCH(Y$2,Inputs!$D$2:$AG$2,0)),Inputs!$B$4:$B$200,$B8)/1000)</f>
        <v>-50.84624429</v>
      </c>
      <c r="Z8" s="11">
        <f>IF(Z$3=0,"",SUMIFS(INDEX(Inputs!$D$4:$AG$200,0,MATCH(Z$2,Inputs!$D$2:$AG$2,0)),Inputs!$B$4:$B$200,$B8)/1000)</f>
        <v>-56.062</v>
      </c>
      <c r="AA8" s="11">
        <f>IF(AA$3=0,"",SUMIFS(INDEX(Inputs!$D$4:$AG$200,0,MATCH(AA$2,Inputs!$D$2:$AG$2,0)),Inputs!$B$4:$B$200,$B8)/1000)</f>
        <v>-59.596</v>
      </c>
      <c r="AB8" s="12">
        <f>IF(COUNT(X8:AA8)=4,SUM(X8:AA8),"")</f>
        <v>-217.83624429</v>
      </c>
      <c r="AC8" s="11">
        <f>IF(AC$3=0,"",SUMIFS(INDEX(Inputs!$D$4:$AG$200,0,MATCH(AC$2,Inputs!$D$2:$AG$2,0)),Inputs!$B$4:$B$200,$B8)/1000)</f>
        <v>-59.802</v>
      </c>
      <c r="AD8" s="11">
        <f>IF(AD$3=0,"",SUMIFS(INDEX(Inputs!$D$4:$AG$200,0,MATCH(AD$2,Inputs!$D$2:$AG$2,0)),Inputs!$B$4:$B$200,$B8)/1000)</f>
        <v>-70.288</v>
      </c>
      <c r="AE8" s="11" t="str">
        <f>IF(AE$3=0,"",SUMIFS(INDEX(Inputs!$D$4:$AG$200,0,MATCH(AE$2,Inputs!$D$2:$AG$2,0)),Inputs!$B$4:$B$200,$B8)/1000)</f>
        <v/>
      </c>
      <c r="AF8" s="11" t="str">
        <f>IF(AF$3=0,"",SUMIFS(INDEX(Inputs!$D$4:$AG$200,0,MATCH(AF$2,Inputs!$D$2:$AG$2,0)),Inputs!$B$4:$B$200,$B8)/1000)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IF(D$3=0,"",SUMIFS(INDEX(Inputs!$D$4:$AG$200,0,MATCH(D$2,Inputs!$D$2:$AG$2,0)),Inputs!$B$4:$B$200,$B9)/1000)</f>
        <v>2.222</v>
      </c>
      <c r="E9" s="11">
        <f>IF(E$3=0,"",SUMIFS(INDEX(Inputs!$D$4:$AG$200,0,MATCH(E$2,Inputs!$D$2:$AG$2,0)),Inputs!$B$4:$B$200,$B9)/1000)</f>
        <v>3.924</v>
      </c>
      <c r="F9" s="11">
        <f>IF(F$3=0,"",SUMIFS(INDEX(Inputs!$D$4:$AG$200,0,MATCH(F$2,Inputs!$D$2:$AG$2,0)),Inputs!$B$4:$B$200,$B9)/1000)</f>
        <v>10.36</v>
      </c>
      <c r="G9" s="11">
        <f>IF(G$3=0,"",SUMIFS(INDEX(Inputs!$D$4:$AG$200,0,MATCH(G$2,Inputs!$D$2:$AG$2,0)),Inputs!$B$4:$B$200,$B9)/1000)</f>
        <v>8.485</v>
      </c>
      <c r="H9" s="12">
        <f>IF(COUNT(D9:G9)=4,SUM(D9:G9),"")</f>
        <v>24.991</v>
      </c>
      <c r="I9" s="11">
        <f>IF(I$3=0,"",SUMIFS(INDEX(Inputs!$D$4:$AG$200,0,MATCH(I$2,Inputs!$D$2:$AG$2,0)),Inputs!$B$4:$B$200,$B9)/1000)</f>
        <v>12.977</v>
      </c>
      <c r="J9" s="11">
        <f>IF(J$3=0,"",SUMIFS(INDEX(Inputs!$D$4:$AG$200,0,MATCH(J$2,Inputs!$D$2:$AG$2,0)),Inputs!$B$4:$B$200,$B9)/1000)</f>
        <v>17.605</v>
      </c>
      <c r="K9" s="11">
        <f>IF(K$3=0,"",SUMIFS(INDEX(Inputs!$D$4:$AG$200,0,MATCH(K$2,Inputs!$D$2:$AG$2,0)),Inputs!$B$4:$B$200,$B9)/1000)</f>
        <v>18.795</v>
      </c>
      <c r="L9" s="11">
        <f>IF(L$3=0,"",SUMIFS(INDEX(Inputs!$D$4:$AG$200,0,MATCH(L$2,Inputs!$D$2:$AG$2,0)),Inputs!$B$4:$B$200,$B9)/1000)</f>
        <v>14.654</v>
      </c>
      <c r="M9" s="12">
        <f>IF(COUNT(I9:L9)=4,SUM(I9:L9),"")</f>
        <v>64.031</v>
      </c>
      <c r="N9" s="11">
        <f>IF(N$3=0,"",SUMIFS(INDEX(Inputs!$D$4:$AG$200,0,MATCH(N$2,Inputs!$D$2:$AG$2,0)),Inputs!$B$4:$B$200,$B9)/1000)</f>
        <v>20.228</v>
      </c>
      <c r="O9" s="11">
        <f>IF(O$3=0,"",SUMIFS(INDEX(Inputs!$D$4:$AG$200,0,MATCH(O$2,Inputs!$D$2:$AG$2,0)),Inputs!$B$4:$B$200,$B9)/1000)</f>
        <v>20.425</v>
      </c>
      <c r="P9" s="11">
        <f>IF(P$3=0,"",SUMIFS(INDEX(Inputs!$D$4:$AG$200,0,MATCH(P$2,Inputs!$D$2:$AG$2,0)),Inputs!$B$4:$B$200,$B9)/1000)</f>
        <v>19.668</v>
      </c>
      <c r="Q9" s="11">
        <f>IF(Q$3=0,"",SUMIFS(INDEX(Inputs!$D$4:$AG$200,0,MATCH(Q$2,Inputs!$D$2:$AG$2,0)),Inputs!$B$4:$B$200,$B9)/1000)</f>
        <v>25.895</v>
      </c>
      <c r="R9" s="12">
        <f>IF(COUNT(N9:Q9)=4,SUM(N9:Q9),"")</f>
        <v>86.216</v>
      </c>
      <c r="S9" s="11">
        <f>IF(S$3=0,"",SUMIFS(INDEX(Inputs!$D$4:$AG$200,0,MATCH(S$2,Inputs!$D$2:$AG$2,0)),Inputs!$B$4:$B$200,$B9)/1000)</f>
        <v>19.889</v>
      </c>
      <c r="T9" s="11">
        <f>IF(T$3=0,"",SUMIFS(INDEX(Inputs!$D$4:$AG$200,0,MATCH(T$2,Inputs!$D$2:$AG$2,0)),Inputs!$B$4:$B$200,$B9)/1000)</f>
        <v>25.35</v>
      </c>
      <c r="U9" s="11">
        <f>IF(U$3=0,"",SUMIFS(INDEX(Inputs!$D$4:$AG$200,0,MATCH(U$2,Inputs!$D$2:$AG$2,0)),Inputs!$B$4:$B$200,$B9)/1000)</f>
        <v>32.06</v>
      </c>
      <c r="V9" s="11">
        <f>IF(V$3=0,"",SUMIFS(INDEX(Inputs!$D$4:$AG$200,0,MATCH(V$2,Inputs!$D$2:$AG$2,0)),Inputs!$B$4:$B$200,$B9)/1000)</f>
        <v>28.782</v>
      </c>
      <c r="W9" s="12">
        <f>IF(COUNT(S9:V9)=4,SUM(S9:V9),"")</f>
        <v>106.081</v>
      </c>
      <c r="X9" s="11">
        <f>IF(X$3=0,"",SUMIFS(INDEX(Inputs!$D$4:$AG$200,0,MATCH(X$2,Inputs!$D$2:$AG$2,0)),Inputs!$B$4:$B$200,$B9)/1000)</f>
        <v>36.752</v>
      </c>
      <c r="Y9" s="11">
        <f>IF(Y$3=0,"",SUMIFS(INDEX(Inputs!$D$4:$AG$200,0,MATCH(Y$2,Inputs!$D$2:$AG$2,0)),Inputs!$B$4:$B$200,$B9)/1000)</f>
        <v>35.21801198</v>
      </c>
      <c r="Z9" s="11">
        <f>IF(Z$3=0,"",SUMIFS(INDEX(Inputs!$D$4:$AG$200,0,MATCH(Z$2,Inputs!$D$2:$AG$2,0)),Inputs!$B$4:$B$200,$B9)/1000)</f>
        <v>47.368</v>
      </c>
      <c r="AA9" s="11">
        <f>IF(AA$3=0,"",SUMIFS(INDEX(Inputs!$D$4:$AG$200,0,MATCH(AA$2,Inputs!$D$2:$AG$2,0)),Inputs!$B$4:$B$200,$B9)/1000)</f>
        <v>50.684</v>
      </c>
      <c r="AB9" s="12">
        <f>IF(COUNT(X9:AA9)=4,SUM(X9:AA9),"")</f>
        <v>170.02201198</v>
      </c>
      <c r="AC9" s="11">
        <f>IF(AC$3=0,"",SUMIFS(INDEX(Inputs!$D$4:$AG$200,0,MATCH(AC$2,Inputs!$D$2:$AG$2,0)),Inputs!$B$4:$B$200,$B9)/1000)</f>
        <v>49.093</v>
      </c>
      <c r="AD9" s="11">
        <f>IF(AD$3=0,"",SUMIFS(INDEX(Inputs!$D$4:$AG$200,0,MATCH(AD$2,Inputs!$D$2:$AG$2,0)),Inputs!$B$4:$B$200,$B9)/1000)</f>
        <v>48.168</v>
      </c>
      <c r="AE9" s="11" t="str">
        <f>IF(AE$3=0,"",SUMIFS(INDEX(Inputs!$D$4:$AG$200,0,MATCH(AE$2,Inputs!$D$2:$AG$2,0)),Inputs!$B$4:$B$200,$B9)/1000)</f>
        <v/>
      </c>
      <c r="AF9" s="11" t="str">
        <f>IF(AF$3=0,"",SUMIFS(INDEX(Inputs!$D$4:$AG$200,0,MATCH(AF$2,Inputs!$D$2:$AG$2,0)),Inputs!$B$4:$B$200,$B9)/1000)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IF(D$3=0,"",SUMIFS(INDEX(Inputs!$D$4:$AG$200,0,MATCH(D$2,Inputs!$D$2:$AG$2,0)),Inputs!$B$4:$B$200,$B10)/1000)</f>
        <v>-6.879</v>
      </c>
      <c r="E10" s="11">
        <f>IF(E$3=0,"",SUMIFS(INDEX(Inputs!$D$4:$AG$200,0,MATCH(E$2,Inputs!$D$2:$AG$2,0)),Inputs!$B$4:$B$200,$B10)/1000)</f>
        <v>-8.414</v>
      </c>
      <c r="F10" s="11">
        <f>IF(F$3=0,"",SUMIFS(INDEX(Inputs!$D$4:$AG$200,0,MATCH(F$2,Inputs!$D$2:$AG$2,0)),Inputs!$B$4:$B$200,$B10)/1000)</f>
        <v>-10.332</v>
      </c>
      <c r="G10" s="11">
        <f>IF(G$3=0,"",SUMIFS(INDEX(Inputs!$D$4:$AG$200,0,MATCH(G$2,Inputs!$D$2:$AG$2,0)),Inputs!$B$4:$B$200,$B10)/1000)</f>
        <v>-10.71</v>
      </c>
      <c r="H10" s="12">
        <f>IF(COUNT(D10:G10)=4,SUM(D10:G10),"")</f>
        <v>-36.335</v>
      </c>
      <c r="I10" s="11">
        <f>IF(I$3=0,"",SUMIFS(INDEX(Inputs!$D$4:$AG$200,0,MATCH(I$2,Inputs!$D$2:$AG$2,0)),Inputs!$B$4:$B$200,$B10)/1000)</f>
        <v>-11.637</v>
      </c>
      <c r="J10" s="11">
        <f>IF(J$3=0,"",SUMIFS(INDEX(Inputs!$D$4:$AG$200,0,MATCH(J$2,Inputs!$D$2:$AG$2,0)),Inputs!$B$4:$B$200,$B10)/1000)</f>
        <v>-14.448</v>
      </c>
      <c r="K10" s="11">
        <f>IF(K$3=0,"",SUMIFS(INDEX(Inputs!$D$4:$AG$200,0,MATCH(K$2,Inputs!$D$2:$AG$2,0)),Inputs!$B$4:$B$200,$B10)/1000)</f>
        <v>-15.534</v>
      </c>
      <c r="L10" s="11">
        <f>IF(L$3=0,"",SUMIFS(INDEX(Inputs!$D$4:$AG$200,0,MATCH(L$2,Inputs!$D$2:$AG$2,0)),Inputs!$B$4:$B$200,$B10)/1000)</f>
        <v>-14.945</v>
      </c>
      <c r="M10" s="12">
        <f>IF(COUNT(I10:L10)=4,SUM(I10:L10),"")</f>
        <v>-56.564</v>
      </c>
      <c r="N10" s="11">
        <f>IF(N$3=0,"",SUMIFS(INDEX(Inputs!$D$4:$AG$200,0,MATCH(N$2,Inputs!$D$2:$AG$2,0)),Inputs!$B$4:$B$200,$B10)/1000)</f>
        <v>-15.336</v>
      </c>
      <c r="O10" s="11">
        <f>IF(O$3=0,"",SUMIFS(INDEX(Inputs!$D$4:$AG$200,0,MATCH(O$2,Inputs!$D$2:$AG$2,0)),Inputs!$B$4:$B$200,$B10)/1000)</f>
        <v>-18.195</v>
      </c>
      <c r="P10" s="11">
        <f>IF(P$3=0,"",SUMIFS(INDEX(Inputs!$D$4:$AG$200,0,MATCH(P$2,Inputs!$D$2:$AG$2,0)),Inputs!$B$4:$B$200,$B10)/1000)</f>
        <v>-19.128</v>
      </c>
      <c r="Q10" s="11">
        <f>IF(Q$3=0,"",SUMIFS(INDEX(Inputs!$D$4:$AG$200,0,MATCH(Q$2,Inputs!$D$2:$AG$2,0)),Inputs!$B$4:$B$200,$B10)/1000)</f>
        <v>-19.759</v>
      </c>
      <c r="R10" s="12">
        <f>IF(COUNT(N10:Q10)=4,SUM(N10:Q10),"")</f>
        <v>-72.418</v>
      </c>
      <c r="S10" s="11">
        <f>IF(S$3=0,"",SUMIFS(INDEX(Inputs!$D$4:$AG$200,0,MATCH(S$2,Inputs!$D$2:$AG$2,0)),Inputs!$B$4:$B$200,$B10)/1000)</f>
        <v>-20.186</v>
      </c>
      <c r="T10" s="11">
        <f>IF(T$3=0,"",SUMIFS(INDEX(Inputs!$D$4:$AG$200,0,MATCH(T$2,Inputs!$D$2:$AG$2,0)),Inputs!$B$4:$B$200,$B10)/1000)</f>
        <v>-20.908</v>
      </c>
      <c r="U10" s="11">
        <f>IF(U$3=0,"",SUMIFS(INDEX(Inputs!$D$4:$AG$200,0,MATCH(U$2,Inputs!$D$2:$AG$2,0)),Inputs!$B$4:$B$200,$B10)/1000)</f>
        <v>-23.002</v>
      </c>
      <c r="V10" s="11">
        <f>IF(V$3=0,"",SUMIFS(INDEX(Inputs!$D$4:$AG$200,0,MATCH(V$2,Inputs!$D$2:$AG$2,0)),Inputs!$B$4:$B$200,$B10)/1000)</f>
        <v>-25.688</v>
      </c>
      <c r="W10" s="12">
        <f>IF(COUNT(S10:V10)=4,SUM(S10:V10),"")</f>
        <v>-89.784</v>
      </c>
      <c r="X10" s="11">
        <f>IF(X$3=0,"",SUMIFS(INDEX(Inputs!$D$4:$AG$200,0,MATCH(X$2,Inputs!$D$2:$AG$2,0)),Inputs!$B$4:$B$200,$B10)/1000)</f>
        <v>-31.003</v>
      </c>
      <c r="Y10" s="11">
        <f>IF(Y$3=0,"",SUMIFS(INDEX(Inputs!$D$4:$AG$200,0,MATCH(Y$2,Inputs!$D$2:$AG$2,0)),Inputs!$B$4:$B$200,$B10)/1000)</f>
        <v>-31.439</v>
      </c>
      <c r="Z10" s="11">
        <f>IF(Z$3=0,"",SUMIFS(INDEX(Inputs!$D$4:$AG$200,0,MATCH(Z$2,Inputs!$D$2:$AG$2,0)),Inputs!$B$4:$B$200,$B10)/1000)</f>
        <v>-36.763</v>
      </c>
      <c r="AA10" s="11">
        <f>IF(AA$3=0,"",SUMIFS(INDEX(Inputs!$D$4:$AG$200,0,MATCH(AA$2,Inputs!$D$2:$AG$2,0)),Inputs!$B$4:$B$200,$B10)/1000)</f>
        <v>-39.821</v>
      </c>
      <c r="AB10" s="12">
        <f>IF(COUNT(X10:AA10)=4,SUM(X10:AA10),"")</f>
        <v>-139.026</v>
      </c>
      <c r="AC10" s="11">
        <f>IF(AC$3=0,"",SUMIFS(INDEX(Inputs!$D$4:$AG$200,0,MATCH(AC$2,Inputs!$D$2:$AG$2,0)),Inputs!$B$4:$B$200,$B10)/1000)</f>
        <v>-41.25</v>
      </c>
      <c r="AD10" s="11">
        <f>IF(AD$3=0,"",SUMIFS(INDEX(Inputs!$D$4:$AG$200,0,MATCH(AD$2,Inputs!$D$2:$AG$2,0)),Inputs!$B$4:$B$200,$B10)/1000)</f>
        <v>-45.114</v>
      </c>
      <c r="AE10" s="11" t="str">
        <f>IF(AE$3=0,"",SUMIFS(INDEX(Inputs!$D$4:$AG$200,0,MATCH(AE$2,Inputs!$D$2:$AG$2,0)),Inputs!$B$4:$B$200,$B10)/1000)</f>
        <v/>
      </c>
      <c r="AF10" s="11" t="str">
        <f>IF(AF$3=0,"",SUMIFS(INDEX(Inputs!$D$4:$AG$200,0,MATCH(AF$2,Inputs!$D$2:$AG$2,0)),Inputs!$B$4:$B$200,$B10)/1000)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IF(D$3=0,"",SUMIFS(INDEX(Inputs!$D$4:$AG$200,0,MATCH(D$2,Inputs!$D$2:$AG$2,0)),Inputs!$B$4:$B$200,$B11)/1000)</f>
        <v>1.138</v>
      </c>
      <c r="E11" s="11">
        <f>IF(E$3=0,"",SUMIFS(INDEX(Inputs!$D$4:$AG$200,0,MATCH(E$2,Inputs!$D$2:$AG$2,0)),Inputs!$B$4:$B$200,$B11)/1000)</f>
        <v>1.726</v>
      </c>
      <c r="F11" s="11">
        <f>IF(F$3=0,"",SUMIFS(INDEX(Inputs!$D$4:$AG$200,0,MATCH(F$2,Inputs!$D$2:$AG$2,0)),Inputs!$B$4:$B$200,$B11)/1000)</f>
        <v>-0.95</v>
      </c>
      <c r="G11" s="11">
        <f>IF(G$3=0,"",SUMIFS(INDEX(Inputs!$D$4:$AG$200,0,MATCH(G$2,Inputs!$D$2:$AG$2,0)),Inputs!$B$4:$B$200,$B11)/1000)</f>
        <v>-0.991</v>
      </c>
      <c r="H11" s="12">
        <f>IF(COUNT(D11:G11)=4,SUM(D11:G11),"")</f>
        <v>0.923</v>
      </c>
      <c r="I11" s="11">
        <f>IF(I$3=0,"",SUMIFS(INDEX(Inputs!$D$4:$AG$200,0,MATCH(I$2,Inputs!$D$2:$AG$2,0)),Inputs!$B$4:$B$200,$B11)/1000)</f>
        <v>-0.311</v>
      </c>
      <c r="J11" s="11">
        <f>IF(J$3=0,"",SUMIFS(INDEX(Inputs!$D$4:$AG$200,0,MATCH(J$2,Inputs!$D$2:$AG$2,0)),Inputs!$B$4:$B$200,$B11)/1000)</f>
        <v>-0.141</v>
      </c>
      <c r="K11" s="11">
        <f>IF(K$3=0,"",SUMIFS(INDEX(Inputs!$D$4:$AG$200,0,MATCH(K$2,Inputs!$D$2:$AG$2,0)),Inputs!$B$4:$B$200,$B11)/1000)</f>
        <v>0.976</v>
      </c>
      <c r="L11" s="11">
        <f>IF(L$3=0,"",SUMIFS(INDEX(Inputs!$D$4:$AG$200,0,MATCH(L$2,Inputs!$D$2:$AG$2,0)),Inputs!$B$4:$B$200,$B11)/1000)</f>
        <v>-0.145</v>
      </c>
      <c r="M11" s="12">
        <f>IF(COUNT(I11:L11)=4,SUM(I11:L11),"")</f>
        <v>0.379</v>
      </c>
      <c r="N11" s="11">
        <f>IF(N$3=0,"",SUMIFS(INDEX(Inputs!$D$4:$AG$200,0,MATCH(N$2,Inputs!$D$2:$AG$2,0)),Inputs!$B$4:$B$200,$B11)/1000)</f>
        <v>-0.11</v>
      </c>
      <c r="O11" s="11">
        <f>IF(O$3=0,"",SUMIFS(INDEX(Inputs!$D$4:$AG$200,0,MATCH(O$2,Inputs!$D$2:$AG$2,0)),Inputs!$B$4:$B$200,$B11)/1000)</f>
        <v>0.696</v>
      </c>
      <c r="P11" s="11">
        <f>IF(P$3=0,"",SUMIFS(INDEX(Inputs!$D$4:$AG$200,0,MATCH(P$2,Inputs!$D$2:$AG$2,0)),Inputs!$B$4:$B$200,$B11)/1000)</f>
        <v>-0.295</v>
      </c>
      <c r="Q11" s="11">
        <f>IF(Q$3=0,"",SUMIFS(INDEX(Inputs!$D$4:$AG$200,0,MATCH(Q$2,Inputs!$D$2:$AG$2,0)),Inputs!$B$4:$B$200,$B11)/1000)</f>
        <v>1.356</v>
      </c>
      <c r="R11" s="12">
        <f>IF(COUNT(N11:Q11)=4,SUM(N11:Q11),"")</f>
        <v>1.647</v>
      </c>
      <c r="S11" s="11">
        <f>IF(S$3=0,"",SUMIFS(INDEX(Inputs!$D$4:$AG$200,0,MATCH(S$2,Inputs!$D$2:$AG$2,0)),Inputs!$B$4:$B$200,$B11)/1000)</f>
        <v>1.299</v>
      </c>
      <c r="T11" s="11">
        <f>IF(T$3=0,"",SUMIFS(INDEX(Inputs!$D$4:$AG$200,0,MATCH(T$2,Inputs!$D$2:$AG$2,0)),Inputs!$B$4:$B$200,$B11)/1000)</f>
        <v>2.807</v>
      </c>
      <c r="U11" s="11">
        <f>IF(U$3=0,"",SUMIFS(INDEX(Inputs!$D$4:$AG$200,0,MATCH(U$2,Inputs!$D$2:$AG$2,0)),Inputs!$B$4:$B$200,$B11)/1000)</f>
        <v>3.389</v>
      </c>
      <c r="V11" s="11">
        <f>IF(V$3=0,"",SUMIFS(INDEX(Inputs!$D$4:$AG$200,0,MATCH(V$2,Inputs!$D$2:$AG$2,0)),Inputs!$B$4:$B$200,$B11)/1000)</f>
        <v>1.044</v>
      </c>
      <c r="W11" s="12">
        <f>IF(COUNT(S11:V11)=4,SUM(S11:V11),"")</f>
        <v>8.539</v>
      </c>
      <c r="X11" s="11">
        <f>IF(X$3=0,"",SUMIFS(INDEX(Inputs!$D$4:$AG$200,0,MATCH(X$2,Inputs!$D$2:$AG$2,0)),Inputs!$B$4:$B$200,$B11)/1000)</f>
        <v>0.688</v>
      </c>
      <c r="Y11" s="11">
        <f>IF(Y$3=0,"",SUMIFS(INDEX(Inputs!$D$4:$AG$200,0,MATCH(Y$2,Inputs!$D$2:$AG$2,0)),Inputs!$B$4:$B$200,$B11)/1000)</f>
        <v>1.0910762</v>
      </c>
      <c r="Z11" s="11">
        <f>IF(Z$3=0,"",SUMIFS(INDEX(Inputs!$D$4:$AG$200,0,MATCH(Z$2,Inputs!$D$2:$AG$2,0)),Inputs!$B$4:$B$200,$B11)/1000)</f>
        <v>2.474</v>
      </c>
      <c r="AA11" s="11">
        <f>IF(AA$3=0,"",SUMIFS(INDEX(Inputs!$D$4:$AG$200,0,MATCH(AA$2,Inputs!$D$2:$AG$2,0)),Inputs!$B$4:$B$200,$B11)/1000)</f>
        <v>3.137</v>
      </c>
      <c r="AB11" s="12">
        <f>IF(COUNT(X11:AA11)=4,SUM(X11:AA11),"")</f>
        <v>7.3900762</v>
      </c>
      <c r="AC11" s="11">
        <f>IF(AC$3=0,"",SUMIFS(INDEX(Inputs!$D$4:$AG$200,0,MATCH(AC$2,Inputs!$D$2:$AG$2,0)),Inputs!$B$4:$B$200,$B11)/1000)</f>
        <v>2.282</v>
      </c>
      <c r="AD11" s="11">
        <f>IF(AD$3=0,"",SUMIFS(INDEX(Inputs!$D$4:$AG$200,0,MATCH(AD$2,Inputs!$D$2:$AG$2,0)),Inputs!$B$4:$B$200,$B11)/1000)</f>
        <v>1.014</v>
      </c>
      <c r="AE11" s="11" t="str">
        <f>IF(AE$3=0,"",SUMIFS(INDEX(Inputs!$D$4:$AG$200,0,MATCH(AE$2,Inputs!$D$2:$AG$2,0)),Inputs!$B$4:$B$200,$B11)/1000)</f>
        <v/>
      </c>
      <c r="AF11" s="11" t="str">
        <f>IF(AF$3=0,"",SUMIFS(INDEX(Inputs!$D$4:$AG$200,0,MATCH(AF$2,Inputs!$D$2:$AG$2,0)),Inputs!$B$4:$B$200,$B11)/1000)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IF(D$3=0,"",SUMIFS(INDEX(Inputs!$D$4:$AG$200,0,MATCH(D$2,Inputs!$D$2:$AG$2,0)),Inputs!$B$4:$B$200,$B12)/1000)</f>
        <v>-2.075</v>
      </c>
      <c r="E12" s="11">
        <f>IF(E$3=0,"",SUMIFS(INDEX(Inputs!$D$4:$AG$200,0,MATCH(E$2,Inputs!$D$2:$AG$2,0)),Inputs!$B$4:$B$200,$B12)/1000)</f>
        <v>1.652</v>
      </c>
      <c r="F12" s="11">
        <f>IF(F$3=0,"",SUMIFS(INDEX(Inputs!$D$4:$AG$200,0,MATCH(F$2,Inputs!$D$2:$AG$2,0)),Inputs!$B$4:$B$200,$B12)/1000)</f>
        <v>-7.241725888</v>
      </c>
      <c r="G12" s="11">
        <f>IF(G$3=0,"",SUMIFS(INDEX(Inputs!$D$4:$AG$200,0,MATCH(G$2,Inputs!$D$2:$AG$2,0)),Inputs!$B$4:$B$200,$B12)/1000)</f>
        <v>-7.891</v>
      </c>
      <c r="H12" s="12">
        <f>IF(COUNT(D12:G12)=4,SUM(D12:G12),"")</f>
        <v>-15.555725888</v>
      </c>
      <c r="I12" s="11">
        <f>IF(I$3=0,"",SUMIFS(INDEX(Inputs!$D$4:$AG$200,0,MATCH(I$2,Inputs!$D$2:$AG$2,0)),Inputs!$B$4:$B$200,$B12)/1000)</f>
        <v>-1.448</v>
      </c>
      <c r="J12" s="11">
        <f>IF(J$3=0,"",SUMIFS(INDEX(Inputs!$D$4:$AG$200,0,MATCH(J$2,Inputs!$D$2:$AG$2,0)),Inputs!$B$4:$B$200,$B12)/1000)</f>
        <v>-6.614</v>
      </c>
      <c r="K12" s="11">
        <f>IF(K$3=0,"",SUMIFS(INDEX(Inputs!$D$4:$AG$200,0,MATCH(K$2,Inputs!$D$2:$AG$2,0)),Inputs!$B$4:$B$200,$B12)/1000)</f>
        <v>-4.999</v>
      </c>
      <c r="L12" s="11">
        <f>IF(L$3=0,"",SUMIFS(INDEX(Inputs!$D$4:$AG$200,0,MATCH(L$2,Inputs!$D$2:$AG$2,0)),Inputs!$B$4:$B$200,$B12)/1000)</f>
        <v>-5.494</v>
      </c>
      <c r="M12" s="12">
        <f>IF(COUNT(I12:L12)=4,SUM(I12:L12),"")</f>
        <v>-18.555</v>
      </c>
      <c r="N12" s="11">
        <f>IF(N$3=0,"",SUMIFS(INDEX(Inputs!$D$4:$AG$200,0,MATCH(N$2,Inputs!$D$2:$AG$2,0)),Inputs!$B$4:$B$200,$B12)/1000)</f>
        <v>-2.207</v>
      </c>
      <c r="O12" s="11">
        <f>IF(O$3=0,"",SUMIFS(INDEX(Inputs!$D$4:$AG$200,0,MATCH(O$2,Inputs!$D$2:$AG$2,0)),Inputs!$B$4:$B$200,$B12)/1000)</f>
        <v>-2.697</v>
      </c>
      <c r="P12" s="11">
        <f>IF(P$3=0,"",SUMIFS(INDEX(Inputs!$D$4:$AG$200,0,MATCH(P$2,Inputs!$D$2:$AG$2,0)),Inputs!$B$4:$B$200,$B12)/1000)</f>
        <v>-4.671</v>
      </c>
      <c r="Q12" s="11">
        <f>IF(Q$3=0,"",SUMIFS(INDEX(Inputs!$D$4:$AG$200,0,MATCH(Q$2,Inputs!$D$2:$AG$2,0)),Inputs!$B$4:$B$200,$B12)/1000)</f>
        <v>-4.271</v>
      </c>
      <c r="R12" s="12">
        <f>IF(COUNT(N12:Q12)=4,SUM(N12:Q12),"")</f>
        <v>-13.846</v>
      </c>
      <c r="S12" s="11">
        <f>IF(S$3=0,"",SUMIFS(INDEX(Inputs!$D$4:$AG$200,0,MATCH(S$2,Inputs!$D$2:$AG$2,0)),Inputs!$B$4:$B$200,$B12)/1000)</f>
        <v>-12.829</v>
      </c>
      <c r="T12" s="11">
        <f>IF(T$3=0,"",SUMIFS(INDEX(Inputs!$D$4:$AG$200,0,MATCH(T$2,Inputs!$D$2:$AG$2,0)),Inputs!$B$4:$B$200,$B12)/1000)</f>
        <v>-3.035</v>
      </c>
      <c r="U12" s="11">
        <f>IF(U$3=0,"",SUMIFS(INDEX(Inputs!$D$4:$AG$200,0,MATCH(U$2,Inputs!$D$2:$AG$2,0)),Inputs!$B$4:$B$200,$B12)/1000)</f>
        <v>-10.017</v>
      </c>
      <c r="V12" s="11">
        <f>IF(V$3=0,"",SUMIFS(INDEX(Inputs!$D$4:$AG$200,0,MATCH(V$2,Inputs!$D$2:$AG$2,0)),Inputs!$B$4:$B$200,$B12)/1000)</f>
        <v>-23.088</v>
      </c>
      <c r="W12" s="12">
        <f>IF(COUNT(S12:V12)=4,SUM(S12:V12),"")</f>
        <v>-48.969</v>
      </c>
      <c r="X12" s="11">
        <f>IF(X$3=0,"",SUMIFS(INDEX(Inputs!$D$4:$AG$200,0,MATCH(X$2,Inputs!$D$2:$AG$2,0)),Inputs!$B$4:$B$200,$B12)/1000)</f>
        <v>-20.189</v>
      </c>
      <c r="Y12" s="11">
        <f>IF(Y$3=0,"",SUMIFS(INDEX(Inputs!$D$4:$AG$200,0,MATCH(Y$2,Inputs!$D$2:$AG$2,0)),Inputs!$B$4:$B$200,$B12)/1000)</f>
        <v>-30.4264</v>
      </c>
      <c r="Z12" s="11">
        <f>IF(Z$3=0,"",SUMIFS(INDEX(Inputs!$D$4:$AG$200,0,MATCH(Z$2,Inputs!$D$2:$AG$2,0)),Inputs!$B$4:$B$200,$B12)/1000)</f>
        <v>-27.957</v>
      </c>
      <c r="AA12" s="11">
        <f>IF(AA$3=0,"",SUMIFS(INDEX(Inputs!$D$4:$AG$200,0,MATCH(AA$2,Inputs!$D$2:$AG$2,0)),Inputs!$B$4:$B$200,$B12)/1000)</f>
        <v>-27.112</v>
      </c>
      <c r="AB12" s="12">
        <f>IF(COUNT(X12:AA12)=4,SUM(X12:AA12),"")</f>
        <v>-105.6844</v>
      </c>
      <c r="AC12" s="11">
        <f>IF(AC$3=0,"",SUMIFS(INDEX(Inputs!$D$4:$AG$200,0,MATCH(AC$2,Inputs!$D$2:$AG$2,0)),Inputs!$B$4:$B$200,$B12)/1000)</f>
        <v>-48.319</v>
      </c>
      <c r="AD12" s="11">
        <f>IF(AD$3=0,"",SUMIFS(INDEX(Inputs!$D$4:$AG$200,0,MATCH(AD$2,Inputs!$D$2:$AG$2,0)),Inputs!$B$4:$B$200,$B12)/1000)</f>
        <v>-40.74</v>
      </c>
      <c r="AE12" s="11" t="str">
        <f>IF(AE$3=0,"",SUMIFS(INDEX(Inputs!$D$4:$AG$200,0,MATCH(AE$2,Inputs!$D$2:$AG$2,0)),Inputs!$B$4:$B$200,$B12)/1000)</f>
        <v/>
      </c>
      <c r="AF12" s="11" t="str">
        <f>IF(AF$3=0,"",SUMIFS(INDEX(Inputs!$D$4:$AG$200,0,MATCH(AF$2,Inputs!$D$2:$AG$2,0)),Inputs!$B$4:$B$200,$B12)/1000)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IF(D$3=0,"",SUMIFS(INDEX(Inputs!$D$4:$AG$200,0,MATCH(D$2,Inputs!$D$2:$AG$2,0)),Inputs!$B$4:$B$200,$B13)/1000)</f>
        <v>0</v>
      </c>
      <c r="E13" s="11">
        <f>IF(E$3=0,"",SUMIFS(INDEX(Inputs!$D$4:$AG$200,0,MATCH(E$2,Inputs!$D$2:$AG$2,0)),Inputs!$B$4:$B$200,$B13)/1000)</f>
        <v>0</v>
      </c>
      <c r="F13" s="11">
        <f>IF(F$3=0,"",SUMIFS(INDEX(Inputs!$D$4:$AG$200,0,MATCH(F$2,Inputs!$D$2:$AG$2,0)),Inputs!$B$4:$B$200,$B13)/1000)</f>
        <v>-115</v>
      </c>
      <c r="G13" s="11">
        <f>IF(G$3=0,"",SUMIFS(INDEX(Inputs!$D$4:$AG$200,0,MATCH(G$2,Inputs!$D$2:$AG$2,0)),Inputs!$B$4:$B$200,$B13)/1000)</f>
        <v>-50</v>
      </c>
      <c r="H13" s="12">
        <f>IF(COUNT(D13:G13)=4,SUM(D13:G13),"")</f>
        <v>-165</v>
      </c>
      <c r="I13" s="11">
        <f>IF(I$3=0,"",SUMIFS(INDEX(Inputs!$D$4:$AG$200,0,MATCH(I$2,Inputs!$D$2:$AG$2,0)),Inputs!$B$4:$B$200,$B13)/1000)</f>
        <v>0</v>
      </c>
      <c r="J13" s="11">
        <f>IF(J$3=0,"",SUMIFS(INDEX(Inputs!$D$4:$AG$200,0,MATCH(J$2,Inputs!$D$2:$AG$2,0)),Inputs!$B$4:$B$200,$B13)/1000)</f>
        <v>0</v>
      </c>
      <c r="K13" s="11">
        <f>IF(K$3=0,"",SUMIFS(INDEX(Inputs!$D$4:$AG$200,0,MATCH(K$2,Inputs!$D$2:$AG$2,0)),Inputs!$B$4:$B$200,$B13)/1000)</f>
        <v>-150</v>
      </c>
      <c r="L13" s="11">
        <f>IF(L$3=0,"",SUMIFS(INDEX(Inputs!$D$4:$AG$200,0,MATCH(L$2,Inputs!$D$2:$AG$2,0)),Inputs!$B$4:$B$200,$B13)/1000)</f>
        <v>0</v>
      </c>
      <c r="M13" s="12">
        <f>IF(COUNT(I13:L13)=4,SUM(I13:L13),"")</f>
        <v>-150</v>
      </c>
      <c r="N13" s="11">
        <f>IF(N$3=0,"",SUMIFS(INDEX(Inputs!$D$4:$AG$200,0,MATCH(N$2,Inputs!$D$2:$AG$2,0)),Inputs!$B$4:$B$200,$B13)/1000)</f>
        <v>-60</v>
      </c>
      <c r="O13" s="11">
        <f>IF(O$3=0,"",SUMIFS(INDEX(Inputs!$D$4:$AG$200,0,MATCH(O$2,Inputs!$D$2:$AG$2,0)),Inputs!$B$4:$B$200,$B13)/1000)</f>
        <v>-18.348</v>
      </c>
      <c r="P13" s="11">
        <f>IF(P$3=0,"",SUMIFS(INDEX(Inputs!$D$4:$AG$200,0,MATCH(P$2,Inputs!$D$2:$AG$2,0)),Inputs!$B$4:$B$200,$B13)/1000)</f>
        <v>0</v>
      </c>
      <c r="Q13" s="11">
        <f>IF(Q$3=0,"",SUMIFS(INDEX(Inputs!$D$4:$AG$200,0,MATCH(Q$2,Inputs!$D$2:$AG$2,0)),Inputs!$B$4:$B$200,$B13)/1000)</f>
        <v>-250</v>
      </c>
      <c r="R13" s="12">
        <f>IF(COUNT(N13:Q13)=4,SUM(N13:Q13),"")</f>
        <v>-328.348</v>
      </c>
      <c r="S13" s="11">
        <f>IF(S$3=0,"",SUMIFS(INDEX(Inputs!$D$4:$AG$200,0,MATCH(S$2,Inputs!$D$2:$AG$2,0)),Inputs!$B$4:$B$200,$B13)/1000)</f>
        <v>0</v>
      </c>
      <c r="T13" s="11">
        <f>IF(T$3=0,"",SUMIFS(INDEX(Inputs!$D$4:$AG$200,0,MATCH(T$2,Inputs!$D$2:$AG$2,0)),Inputs!$B$4:$B$200,$B13)/1000)</f>
        <v>-118.537</v>
      </c>
      <c r="U13" s="11">
        <f>IF(U$3=0,"",SUMIFS(INDEX(Inputs!$D$4:$AG$200,0,MATCH(U$2,Inputs!$D$2:$AG$2,0)),Inputs!$B$4:$B$200,$B13)/1000)</f>
        <v>-265</v>
      </c>
      <c r="V13" s="11">
        <f>IF(V$3=0,"",SUMIFS(INDEX(Inputs!$D$4:$AG$200,0,MATCH(V$2,Inputs!$D$2:$AG$2,0)),Inputs!$B$4:$B$200,$B13)/1000)</f>
        <v>-100</v>
      </c>
      <c r="W13" s="12">
        <f>IF(COUNT(S13:V13)=4,SUM(S13:V13),"")</f>
        <v>-483.537</v>
      </c>
      <c r="X13" s="11">
        <f>IF(X$3=0,"",SUMIFS(INDEX(Inputs!$D$4:$AG$200,0,MATCH(X$2,Inputs!$D$2:$AG$2,0)),Inputs!$B$4:$B$200,$B13)/1000)</f>
        <v>-175</v>
      </c>
      <c r="Y13" s="11">
        <f>IF(Y$3=0,"",SUMIFS(INDEX(Inputs!$D$4:$AG$200,0,MATCH(Y$2,Inputs!$D$2:$AG$2,0)),Inputs!$B$4:$B$200,$B13)/1000)</f>
        <v>-154.338</v>
      </c>
      <c r="Z13" s="11">
        <f>IF(Z$3=0,"",SUMIFS(INDEX(Inputs!$D$4:$AG$200,0,MATCH(Z$2,Inputs!$D$2:$AG$2,0)),Inputs!$B$4:$B$200,$B13)/1000)</f>
        <v>0</v>
      </c>
      <c r="AA13" s="11">
        <f>IF(AA$3=0,"",SUMIFS(INDEX(Inputs!$D$4:$AG$200,0,MATCH(AA$2,Inputs!$D$2:$AG$2,0)),Inputs!$B$4:$B$200,$B13)/1000)</f>
        <v>-1023</v>
      </c>
      <c r="AB13" s="12">
        <f>IF(COUNT(X13:AA13)=4,SUM(X13:AA13),"")</f>
        <v>-1352.338</v>
      </c>
      <c r="AC13" s="11">
        <f>IF(AC$3=0,"",SUMIFS(INDEX(Inputs!$D$4:$AG$200,0,MATCH(AC$2,Inputs!$D$2:$AG$2,0)),Inputs!$B$4:$B$200,$B13)/1000)</f>
        <v>0</v>
      </c>
      <c r="AD13" s="11">
        <f>IF(AD$3=0,"",SUMIFS(INDEX(Inputs!$D$4:$AG$200,0,MATCH(AD$2,Inputs!$D$2:$AG$2,0)),Inputs!$B$4:$B$200,$B13)/1000)</f>
        <v>-270</v>
      </c>
      <c r="AE13" s="11" t="str">
        <f>IF(AE$3=0,"",SUMIFS(INDEX(Inputs!$D$4:$AG$200,0,MATCH(AE$2,Inputs!$D$2:$AG$2,0)),Inputs!$B$4:$B$200,$B13)/1000)</f>
        <v/>
      </c>
      <c r="AF13" s="11" t="str">
        <f>IF(AF$3=0,"",SUMIFS(INDEX(Inputs!$D$4:$AG$200,0,MATCH(AF$2,Inputs!$D$2:$AG$2,0)),Inputs!$B$4:$B$200,$B13)/1000)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IF(D$3=0,"",SUMIFS(INDEX(Inputs!$D$4:$AG$200,0,MATCH(D$2,Inputs!$D$2:$AG$2,0)),Inputs!$B$4:$B$200,$B15)/1000)</f>
        <v>436.644</v>
      </c>
      <c r="E15" s="11">
        <f>IF(E$3=0,"",SUMIFS(INDEX(Inputs!$D$4:$AG$200,0,MATCH(E$2,Inputs!$D$2:$AG$2,0)),Inputs!$B$4:$B$200,$B15)/1000)</f>
        <v>491.987</v>
      </c>
      <c r="F15" s="11">
        <f>IF(F$3=0,"",SUMIFS(INDEX(Inputs!$D$4:$AG$200,0,MATCH(F$2,Inputs!$D$2:$AG$2,0)),Inputs!$B$4:$B$200,$B15)/1000)</f>
        <v>554.927</v>
      </c>
      <c r="G15" s="11">
        <f>IF(G$3=0,"",SUMIFS(INDEX(Inputs!$D$4:$AG$200,0,MATCH(G$2,Inputs!$D$2:$AG$2,0)),Inputs!$B$4:$B$200,$B15)/1000)</f>
        <v>594.487</v>
      </c>
      <c r="H15" s="12">
        <f>IF(G15="","",G15)</f>
        <v>594.487</v>
      </c>
      <c r="I15" s="11">
        <f>IF(I$3=0,"",SUMIFS(INDEX(Inputs!$D$4:$AG$200,0,MATCH(I$2,Inputs!$D$2:$AG$2,0)),Inputs!$B$4:$B$200,$B15)/1000)</f>
        <v>602.568</v>
      </c>
      <c r="J15" s="11">
        <f>IF(J$3=0,"",SUMIFS(INDEX(Inputs!$D$4:$AG$200,0,MATCH(J$2,Inputs!$D$2:$AG$2,0)),Inputs!$B$4:$B$200,$B15)/1000)</f>
        <v>679.977</v>
      </c>
      <c r="K15" s="11">
        <f>IF(K$3=0,"",SUMIFS(INDEX(Inputs!$D$4:$AG$200,0,MATCH(K$2,Inputs!$D$2:$AG$2,0)),Inputs!$B$4:$B$200,$B15)/1000)</f>
        <v>634.908</v>
      </c>
      <c r="L15" s="11">
        <f>IF(L$3=0,"",SUMIFS(INDEX(Inputs!$D$4:$AG$200,0,MATCH(L$2,Inputs!$D$2:$AG$2,0)),Inputs!$B$4:$B$200,$B15)/1000)</f>
        <v>789.426</v>
      </c>
      <c r="M15" s="12">
        <f>IF(L15="","",L15)</f>
        <v>789.426</v>
      </c>
      <c r="N15" s="11">
        <f>IF(N$3=0,"",SUMIFS(INDEX(Inputs!$D$4:$AG$200,0,MATCH(N$2,Inputs!$D$2:$AG$2,0)),Inputs!$B$4:$B$200,$B15)/1000)</f>
        <v>729.823</v>
      </c>
      <c r="O15" s="11">
        <f>IF(O$3=0,"",SUMIFS(INDEX(Inputs!$D$4:$AG$200,0,MATCH(O$2,Inputs!$D$2:$AG$2,0)),Inputs!$B$4:$B$200,$B15)/1000)</f>
        <v>835.39</v>
      </c>
      <c r="P15" s="11">
        <f>IF(P$3=0,"",SUMIFS(INDEX(Inputs!$D$4:$AG$200,0,MATCH(P$2,Inputs!$D$2:$AG$2,0)),Inputs!$B$4:$B$200,$B15)/1000)</f>
        <v>1109.075</v>
      </c>
      <c r="Q15" s="11">
        <f>IF(Q$3=0,"",SUMIFS(INDEX(Inputs!$D$4:$AG$200,0,MATCH(Q$2,Inputs!$D$2:$AG$2,0)),Inputs!$B$4:$B$200,$B15)/1000)</f>
        <v>992.269</v>
      </c>
      <c r="R15" s="12">
        <f>IF(Q15="","",Q15)</f>
        <v>992.269</v>
      </c>
      <c r="S15" s="11">
        <f>IF(S$3=0,"",SUMIFS(INDEX(Inputs!$D$4:$AG$200,0,MATCH(S$2,Inputs!$D$2:$AG$2,0)),Inputs!$B$4:$B$200,$B15)/1000)</f>
        <v>1011.668</v>
      </c>
      <c r="T15" s="11">
        <f>IF(T$3=0,"",SUMIFS(INDEX(Inputs!$D$4:$AG$200,0,MATCH(T$2,Inputs!$D$2:$AG$2,0)),Inputs!$B$4:$B$200,$B15)/1000)</f>
        <v>1558.02</v>
      </c>
      <c r="U15" s="11">
        <f>IF(U$3=0,"",SUMIFS(INDEX(Inputs!$D$4:$AG$200,0,MATCH(U$2,Inputs!$D$2:$AG$2,0)),Inputs!$B$4:$B$200,$B15)/1000)</f>
        <v>1425.215</v>
      </c>
      <c r="V15" s="11">
        <f>IF(V$3=0,"",SUMIFS(INDEX(Inputs!$D$4:$AG$200,0,MATCH(V$2,Inputs!$D$2:$AG$2,0)),Inputs!$B$4:$B$200,$B15)/1000)</f>
        <v>1416.236</v>
      </c>
      <c r="W15" s="12">
        <f>IF(V15="","",V15)</f>
        <v>1416.236</v>
      </c>
      <c r="X15" s="11">
        <f>IF(X$3=0,"",SUMIFS(INDEX(Inputs!$D$4:$AG$200,0,MATCH(X$2,Inputs!$D$2:$AG$2,0)),Inputs!$B$4:$B$200,$B15)/1000)</f>
        <v>1543.806</v>
      </c>
      <c r="Y15" s="11">
        <f>IF(Y$3=0,"",SUMIFS(INDEX(Inputs!$D$4:$AG$200,0,MATCH(Y$2,Inputs!$D$2:$AG$2,0)),Inputs!$B$4:$B$200,$B15)/1000)</f>
        <v>1530.875</v>
      </c>
      <c r="Z15" s="11">
        <f>IF(Z$3=0,"",SUMIFS(INDEX(Inputs!$D$4:$AG$200,0,MATCH(Z$2,Inputs!$D$2:$AG$2,0)),Inputs!$B$4:$B$200,$B15)/1000)</f>
        <v>1773.203</v>
      </c>
      <c r="AA15" s="11">
        <f>IF(AA$3=0,"",SUMIFS(INDEX(Inputs!$D$4:$AG$200,0,MATCH(AA$2,Inputs!$D$2:$AG$2,0)),Inputs!$B$4:$B$200,$B15)/1000)</f>
        <v>1790.937</v>
      </c>
      <c r="AB15" s="12">
        <f>IF(AA15="","",AA15)</f>
        <v>1790.937</v>
      </c>
      <c r="AC15" s="11">
        <f>IF(AC$3=0,"",SUMIFS(INDEX(Inputs!$D$4:$AG$200,0,MATCH(AC$2,Inputs!$D$2:$AG$2,0)),Inputs!$B$4:$B$200,$B15)/1000)</f>
        <v>1757.31</v>
      </c>
      <c r="AD15" s="11">
        <f>IF(AD$3=0,"",SUMIFS(INDEX(Inputs!$D$4:$AG$200,0,MATCH(AD$2,Inputs!$D$2:$AG$2,0)),Inputs!$B$4:$B$200,$B15)/1000)</f>
        <v>1633.706</v>
      </c>
      <c r="AE15" s="11" t="str">
        <f>IF(AE$3=0,"",SUMIFS(INDEX(Inputs!$D$4:$AG$200,0,MATCH(AE$2,Inputs!$D$2:$AG$2,0)),Inputs!$B$4:$B$200,$B15)/1000)</f>
        <v/>
      </c>
      <c r="AF15" s="11" t="str">
        <f>IF(AF$3=0,"",SUMIFS(INDEX(Inputs!$D$4:$AG$200,0,MATCH(AF$2,Inputs!$D$2:$AG$2,0)),Inputs!$B$4:$B$200,$B15)/1000)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IF(D$3=0,"",SUMIFS(INDEX(Inputs!$D$4:$AG$200,0,MATCH(D$2,Inputs!$D$2:$AG$2,0)),Inputs!$B$4:$B$200,$B16)/1000)</f>
        <v>938.013</v>
      </c>
      <c r="E16" s="11">
        <f>IF(E$3=0,"",SUMIFS(INDEX(Inputs!$D$4:$AG$200,0,MATCH(E$2,Inputs!$D$2:$AG$2,0)),Inputs!$B$4:$B$200,$B16)/1000)</f>
        <v>1049.124</v>
      </c>
      <c r="F16" s="11">
        <f>IF(F$3=0,"",SUMIFS(INDEX(Inputs!$D$4:$AG$200,0,MATCH(F$2,Inputs!$D$2:$AG$2,0)),Inputs!$B$4:$B$200,$B16)/1000)</f>
        <v>1106.282</v>
      </c>
      <c r="G16" s="11">
        <f>IF(G$3=0,"",SUMIFS(INDEX(Inputs!$D$4:$AG$200,0,MATCH(G$2,Inputs!$D$2:$AG$2,0)),Inputs!$B$4:$B$200,$B16)/1000)</f>
        <v>1277.665</v>
      </c>
      <c r="H16" s="12">
        <f>IF(G16="","",G16)</f>
        <v>1277.665</v>
      </c>
      <c r="I16" s="11">
        <f>IF(I$3=0,"",SUMIFS(INDEX(Inputs!$D$4:$AG$200,0,MATCH(I$2,Inputs!$D$2:$AG$2,0)),Inputs!$B$4:$B$200,$B16)/1000)</f>
        <v>1630.579</v>
      </c>
      <c r="J16" s="11">
        <f>IF(J$3=0,"",SUMIFS(INDEX(Inputs!$D$4:$AG$200,0,MATCH(J$2,Inputs!$D$2:$AG$2,0)),Inputs!$B$4:$B$200,$B16)/1000)</f>
        <v>1556.792</v>
      </c>
      <c r="K16" s="11">
        <f>IF(K$3=0,"",SUMIFS(INDEX(Inputs!$D$4:$AG$200,0,MATCH(K$2,Inputs!$D$2:$AG$2,0)),Inputs!$B$4:$B$200,$B16)/1000)</f>
        <v>1399.701</v>
      </c>
      <c r="L16" s="11">
        <f>IF(L$3=0,"",SUMIFS(INDEX(Inputs!$D$4:$AG$200,0,MATCH(L$2,Inputs!$D$2:$AG$2,0)),Inputs!$B$4:$B$200,$B16)/1000)</f>
        <v>1179.262</v>
      </c>
      <c r="M16" s="12">
        <f>IF(L16="","",L16)</f>
        <v>1179.262</v>
      </c>
      <c r="N16" s="11">
        <f>IF(N$3=0,"",SUMIFS(INDEX(Inputs!$D$4:$AG$200,0,MATCH(N$2,Inputs!$D$2:$AG$2,0)),Inputs!$B$4:$B$200,$B16)/1000)</f>
        <v>1050.636</v>
      </c>
      <c r="O16" s="11">
        <f>IF(O$3=0,"",SUMIFS(INDEX(Inputs!$D$4:$AG$200,0,MATCH(O$2,Inputs!$D$2:$AG$2,0)),Inputs!$B$4:$B$200,$B16)/1000)</f>
        <v>1085.689</v>
      </c>
      <c r="P16" s="11">
        <f>IF(P$3=0,"",SUMIFS(INDEX(Inputs!$D$4:$AG$200,0,MATCH(P$2,Inputs!$D$2:$AG$2,0)),Inputs!$B$4:$B$200,$B16)/1000)</f>
        <v>1080.391</v>
      </c>
      <c r="Q16" s="11">
        <f>IF(Q$3=0,"",SUMIFS(INDEX(Inputs!$D$4:$AG$200,0,MATCH(Q$2,Inputs!$D$2:$AG$2,0)),Inputs!$B$4:$B$200,$B16)/1000)</f>
        <v>1090.801</v>
      </c>
      <c r="R16" s="12">
        <f>IF(Q16="","",Q16)</f>
        <v>1090.801</v>
      </c>
      <c r="S16" s="11">
        <f>IF(S$3=0,"",SUMIFS(INDEX(Inputs!$D$4:$AG$200,0,MATCH(S$2,Inputs!$D$2:$AG$2,0)),Inputs!$B$4:$B$200,$B16)/1000)</f>
        <v>1285.208</v>
      </c>
      <c r="T16" s="11">
        <f>IF(T$3=0,"",SUMIFS(INDEX(Inputs!$D$4:$AG$200,0,MATCH(T$2,Inputs!$D$2:$AG$2,0)),Inputs!$B$4:$B$200,$B16)/1000)</f>
        <v>1379.252</v>
      </c>
      <c r="U16" s="11">
        <f>IF(U$3=0,"",SUMIFS(INDEX(Inputs!$D$4:$AG$200,0,MATCH(U$2,Inputs!$D$2:$AG$2,0)),Inputs!$B$4:$B$200,$B16)/1000)</f>
        <v>1454.23</v>
      </c>
      <c r="V16" s="11">
        <f>IF(V$3=0,"",SUMIFS(INDEX(Inputs!$D$4:$AG$200,0,MATCH(V$2,Inputs!$D$2:$AG$2,0)),Inputs!$B$4:$B$200,$B16)/1000)</f>
        <v>1437.237</v>
      </c>
      <c r="W16" s="12">
        <f>IF(V16="","",V16)</f>
        <v>1437.237</v>
      </c>
      <c r="X16" s="11">
        <f>IF(X$3=0,"",SUMIFS(INDEX(Inputs!$D$4:$AG$200,0,MATCH(X$2,Inputs!$D$2:$AG$2,0)),Inputs!$B$4:$B$200,$B16)/1000)</f>
        <v>1896.708</v>
      </c>
      <c r="Y16" s="11">
        <f>IF(Y$3=0,"",SUMIFS(INDEX(Inputs!$D$4:$AG$200,0,MATCH(Y$2,Inputs!$D$2:$AG$2,0)),Inputs!$B$4:$B$200,$B16)/1000)</f>
        <v>2133.707</v>
      </c>
      <c r="Z16" s="11">
        <f>IF(Z$3=0,"",SUMIFS(INDEX(Inputs!$D$4:$AG$200,0,MATCH(Z$2,Inputs!$D$2:$AG$2,0)),Inputs!$B$4:$B$200,$B16)/1000)</f>
        <v>2198.778</v>
      </c>
      <c r="AA16" s="11">
        <f>IF(AA$3=0,"",SUMIFS(INDEX(Inputs!$D$4:$AG$200,0,MATCH(AA$2,Inputs!$D$2:$AG$2,0)),Inputs!$B$4:$B$200,$B16)/1000)</f>
        <v>2157.943</v>
      </c>
      <c r="AB16" s="12">
        <f>IF(AA16="","",AA16)</f>
        <v>2157.943</v>
      </c>
      <c r="AC16" s="11">
        <f>IF(AC$3=0,"",SUMIFS(INDEX(Inputs!$D$4:$AG$200,0,MATCH(AC$2,Inputs!$D$2:$AG$2,0)),Inputs!$B$4:$B$200,$B16)/1000)</f>
        <v>2549.38</v>
      </c>
      <c r="AD16" s="11">
        <f>IF(AD$3=0,"",SUMIFS(INDEX(Inputs!$D$4:$AG$200,0,MATCH(AD$2,Inputs!$D$2:$AG$2,0)),Inputs!$B$4:$B$200,$B16)/1000)</f>
        <v>2722.34</v>
      </c>
      <c r="AE16" s="11" t="str">
        <f>IF(AE$3=0,"",SUMIFS(INDEX(Inputs!$D$4:$AG$200,0,MATCH(AE$2,Inputs!$D$2:$AG$2,0)),Inputs!$B$4:$B$200,$B16)/1000)</f>
        <v/>
      </c>
      <c r="AF16" s="11" t="str">
        <f>IF(AF$3=0,"",SUMIFS(INDEX(Inputs!$D$4:$AG$200,0,MATCH(AF$2,Inputs!$D$2:$AG$2,0)),Inputs!$B$4:$B$200,$B16)/1000)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IF(D$3=0,"",SUMIFS(INDEX(Inputs!$D$4:$AG$200,0,MATCH(D$2,Inputs!$D$2:$AG$2,0)),Inputs!$B$4:$B$200,$B17)/1000)</f>
        <v>419.485</v>
      </c>
      <c r="E17" s="11">
        <f>IF(E$3=0,"",SUMIFS(INDEX(Inputs!$D$4:$AG$200,0,MATCH(E$2,Inputs!$D$2:$AG$2,0)),Inputs!$B$4:$B$200,$B17)/1000)</f>
        <v>365.678</v>
      </c>
      <c r="F17" s="11">
        <f>IF(F$3=0,"",SUMIFS(INDEX(Inputs!$D$4:$AG$200,0,MATCH(F$2,Inputs!$D$2:$AG$2,0)),Inputs!$B$4:$B$200,$B17)/1000)</f>
        <v>381.628</v>
      </c>
      <c r="G17" s="11">
        <f>IF(G$3=0,"",SUMIFS(INDEX(Inputs!$D$4:$AG$200,0,MATCH(G$2,Inputs!$D$2:$AG$2,0)),Inputs!$B$4:$B$200,$B17)/1000)</f>
        <v>532.708</v>
      </c>
      <c r="H17" s="12">
        <f>IF(G17="","",G17)</f>
        <v>532.708</v>
      </c>
      <c r="I17" s="11">
        <f>IF(I$3=0,"",SUMIFS(INDEX(Inputs!$D$4:$AG$200,0,MATCH(I$2,Inputs!$D$2:$AG$2,0)),Inputs!$B$4:$B$200,$B17)/1000)</f>
        <v>500.791</v>
      </c>
      <c r="J17" s="11">
        <f>IF(J$3=0,"",SUMIFS(INDEX(Inputs!$D$4:$AG$200,0,MATCH(J$2,Inputs!$D$2:$AG$2,0)),Inputs!$B$4:$B$200,$B17)/1000)</f>
        <v>470.587</v>
      </c>
      <c r="K17" s="11">
        <f>IF(K$3=0,"",SUMIFS(INDEX(Inputs!$D$4:$AG$200,0,MATCH(K$2,Inputs!$D$2:$AG$2,0)),Inputs!$B$4:$B$200,$B17)/1000)</f>
        <v>528.14</v>
      </c>
      <c r="L17" s="11">
        <f>IF(L$3=0,"",SUMIFS(INDEX(Inputs!$D$4:$AG$200,0,MATCH(L$2,Inputs!$D$2:$AG$2,0)),Inputs!$B$4:$B$200,$B17)/1000)</f>
        <v>604.089</v>
      </c>
      <c r="M17" s="12">
        <f>IF(L17="","",L17)</f>
        <v>604.089</v>
      </c>
      <c r="N17" s="11">
        <f>IF(N$3=0,"",SUMIFS(INDEX(Inputs!$D$4:$AG$200,0,MATCH(N$2,Inputs!$D$2:$AG$2,0)),Inputs!$B$4:$B$200,$B17)/1000)</f>
        <v>712.498</v>
      </c>
      <c r="O17" s="11">
        <f>IF(O$3=0,"",SUMIFS(INDEX(Inputs!$D$4:$AG$200,0,MATCH(O$2,Inputs!$D$2:$AG$2,0)),Inputs!$B$4:$B$200,$B17)/1000)</f>
        <v>657.603</v>
      </c>
      <c r="P17" s="11">
        <f>IF(P$3=0,"",SUMIFS(INDEX(Inputs!$D$4:$AG$200,0,MATCH(P$2,Inputs!$D$2:$AG$2,0)),Inputs!$B$4:$B$200,$B17)/1000)</f>
        <v>689.025</v>
      </c>
      <c r="Q17" s="11">
        <f>IF(Q$3=0,"",SUMIFS(INDEX(Inputs!$D$4:$AG$200,0,MATCH(Q$2,Inputs!$D$2:$AG$2,0)),Inputs!$B$4:$B$200,$B17)/1000)</f>
        <v>717.548</v>
      </c>
      <c r="R17" s="12">
        <f>IF(Q17="","",Q17)</f>
        <v>717.548</v>
      </c>
      <c r="S17" s="11">
        <f>IF(S$3=0,"",SUMIFS(INDEX(Inputs!$D$4:$AG$200,0,MATCH(S$2,Inputs!$D$2:$AG$2,0)),Inputs!$B$4:$B$200,$B17)/1000)</f>
        <v>811.385</v>
      </c>
      <c r="T17" s="11">
        <f>IF(T$3=0,"",SUMIFS(INDEX(Inputs!$D$4:$AG$200,0,MATCH(T$2,Inputs!$D$2:$AG$2,0)),Inputs!$B$4:$B$200,$B17)/1000)</f>
        <v>766.051</v>
      </c>
      <c r="U17" s="11">
        <f>IF(U$3=0,"",SUMIFS(INDEX(Inputs!$D$4:$AG$200,0,MATCH(U$2,Inputs!$D$2:$AG$2,0)),Inputs!$B$4:$B$200,$B17)/1000)</f>
        <v>791.617</v>
      </c>
      <c r="V17" s="11">
        <f>IF(V$3=0,"",SUMIFS(INDEX(Inputs!$D$4:$AG$200,0,MATCH(V$2,Inputs!$D$2:$AG$2,0)),Inputs!$B$4:$B$200,$B17)/1000)</f>
        <v>1193.128</v>
      </c>
      <c r="W17" s="12">
        <f>IF(V17="","",V17)</f>
        <v>1193.128</v>
      </c>
      <c r="X17" s="11">
        <f>IF(X$3=0,"",SUMIFS(INDEX(Inputs!$D$4:$AG$200,0,MATCH(X$2,Inputs!$D$2:$AG$2,0)),Inputs!$B$4:$B$200,$B17)/1000)</f>
        <v>1134.943</v>
      </c>
      <c r="Y17" s="11">
        <f>IF(Y$3=0,"",SUMIFS(INDEX(Inputs!$D$4:$AG$200,0,MATCH(Y$2,Inputs!$D$2:$AG$2,0)),Inputs!$B$4:$B$200,$B17)/1000)</f>
        <v>1183.857</v>
      </c>
      <c r="Z17" s="11">
        <f>IF(Z$3=0,"",SUMIFS(INDEX(Inputs!$D$4:$AG$200,0,MATCH(Z$2,Inputs!$D$2:$AG$2,0)),Inputs!$B$4:$B$200,$B17)/1000)</f>
        <v>1316.855</v>
      </c>
      <c r="AA17" s="11">
        <f>IF(AA$3=0,"",SUMIFS(INDEX(Inputs!$D$4:$AG$200,0,MATCH(AA$2,Inputs!$D$2:$AG$2,0)),Inputs!$B$4:$B$200,$B17)/1000)</f>
        <v>1348.649</v>
      </c>
      <c r="AB17" s="12">
        <f>IF(AA17="","",AA17)</f>
        <v>1348.649</v>
      </c>
      <c r="AC17" s="11">
        <f>IF(AC$3=0,"",SUMIFS(INDEX(Inputs!$D$4:$AG$200,0,MATCH(AC$2,Inputs!$D$2:$AG$2,0)),Inputs!$B$4:$B$200,$B17)/1000)</f>
        <v>1521.588</v>
      </c>
      <c r="AD17" s="11">
        <f>IF(AD$3=0,"",SUMIFS(INDEX(Inputs!$D$4:$AG$200,0,MATCH(AD$2,Inputs!$D$2:$AG$2,0)),Inputs!$B$4:$B$200,$B17)/1000)</f>
        <v>1530.119</v>
      </c>
      <c r="AE17" s="11" t="str">
        <f>IF(AE$3=0,"",SUMIFS(INDEX(Inputs!$D$4:$AG$200,0,MATCH(AE$2,Inputs!$D$2:$AG$2,0)),Inputs!$B$4:$B$200,$B17)/1000)</f>
        <v/>
      </c>
      <c r="AF17" s="11" t="str">
        <f>IF(AF$3=0,"",SUMIFS(INDEX(Inputs!$D$4:$AG$200,0,MATCH(AF$2,Inputs!$D$2:$AG$2,0)),Inputs!$B$4:$B$200,$B17)/1000)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IF(D$3=0,"",SUMIFS(INDEX(Inputs!$D$4:$AG$200,0,MATCH(D$2,Inputs!$D$2:$AG$2,0)),Inputs!$B$4:$B$200,$B18)/1000)</f>
        <v>0</v>
      </c>
      <c r="E18" s="11">
        <f>IF(E$3=0,"",SUMIFS(INDEX(Inputs!$D$4:$AG$200,0,MATCH(E$2,Inputs!$D$2:$AG$2,0)),Inputs!$B$4:$B$200,$B18)/1000)</f>
        <v>0</v>
      </c>
      <c r="F18" s="11">
        <f>IF(F$3=0,"",SUMIFS(INDEX(Inputs!$D$4:$AG$200,0,MATCH(F$2,Inputs!$D$2:$AG$2,0)),Inputs!$B$4:$B$200,$B18)/1000)</f>
        <v>0</v>
      </c>
      <c r="G18" s="11">
        <f>IF(G$3=0,"",SUMIFS(INDEX(Inputs!$D$4:$AG$200,0,MATCH(G$2,Inputs!$D$2:$AG$2,0)),Inputs!$B$4:$B$200,$B18)/1000)</f>
        <v>0</v>
      </c>
      <c r="H18" s="12">
        <f>IF(G18="","",G18)</f>
        <v>0</v>
      </c>
      <c r="I18" s="11">
        <f>IF(I$3=0,"",SUMIFS(INDEX(Inputs!$D$4:$AG$200,0,MATCH(I$2,Inputs!$D$2:$AG$2,0)),Inputs!$B$4:$B$200,$B18)/1000)</f>
        <v>0</v>
      </c>
      <c r="J18" s="11">
        <f>IF(J$3=0,"",SUMIFS(INDEX(Inputs!$D$4:$AG$200,0,MATCH(J$2,Inputs!$D$2:$AG$2,0)),Inputs!$B$4:$B$200,$B18)/1000)</f>
        <v>0</v>
      </c>
      <c r="K18" s="11">
        <f>IF(K$3=0,"",SUMIFS(INDEX(Inputs!$D$4:$AG$200,0,MATCH(K$2,Inputs!$D$2:$AG$2,0)),Inputs!$B$4:$B$200,$B18)/1000)</f>
        <v>0</v>
      </c>
      <c r="L18" s="11">
        <f>IF(L$3=0,"",SUMIFS(INDEX(Inputs!$D$4:$AG$200,0,MATCH(L$2,Inputs!$D$2:$AG$2,0)),Inputs!$B$4:$B$200,$B18)/1000)</f>
        <v>0</v>
      </c>
      <c r="M18" s="12">
        <f>IF(L18="","",L18)</f>
        <v>0</v>
      </c>
      <c r="N18" s="11">
        <f>IF(N$3=0,"",SUMIFS(INDEX(Inputs!$D$4:$AG$200,0,MATCH(N$2,Inputs!$D$2:$AG$2,0)),Inputs!$B$4:$B$200,$B18)/1000)</f>
        <v>0</v>
      </c>
      <c r="O18" s="11">
        <f>IF(O$3=0,"",SUMIFS(INDEX(Inputs!$D$4:$AG$200,0,MATCH(O$2,Inputs!$D$2:$AG$2,0)),Inputs!$B$4:$B$200,$B18)/1000)</f>
        <v>0</v>
      </c>
      <c r="P18" s="11">
        <f>IF(P$3=0,"",SUMIFS(INDEX(Inputs!$D$4:$AG$200,0,MATCH(P$2,Inputs!$D$2:$AG$2,0)),Inputs!$B$4:$B$200,$B18)/1000)</f>
        <v>0</v>
      </c>
      <c r="Q18" s="11">
        <f>IF(Q$3=0,"",SUMIFS(INDEX(Inputs!$D$4:$AG$200,0,MATCH(Q$2,Inputs!$D$2:$AG$2,0)),Inputs!$B$4:$B$200,$B18)/1000)</f>
        <v>0</v>
      </c>
      <c r="R18" s="12">
        <f>IF(Q18="","",Q18)</f>
        <v>0</v>
      </c>
      <c r="S18" s="11">
        <f>IF(S$3=0,"",SUMIFS(INDEX(Inputs!$D$4:$AG$200,0,MATCH(S$2,Inputs!$D$2:$AG$2,0)),Inputs!$B$4:$B$200,$B18)/1000)</f>
        <v>0</v>
      </c>
      <c r="T18" s="11">
        <f>IF(T$3=0,"",SUMIFS(INDEX(Inputs!$D$4:$AG$200,0,MATCH(T$2,Inputs!$D$2:$AG$2,0)),Inputs!$B$4:$B$200,$B18)/1000)</f>
        <v>0</v>
      </c>
      <c r="U18" s="11">
        <f>IF(U$3=0,"",SUMIFS(INDEX(Inputs!$D$4:$AG$200,0,MATCH(U$2,Inputs!$D$2:$AG$2,0)),Inputs!$B$4:$B$200,$B18)/1000)</f>
        <v>0</v>
      </c>
      <c r="V18" s="11">
        <f>IF(V$3=0,"",SUMIFS(INDEX(Inputs!$D$4:$AG$200,0,MATCH(V$2,Inputs!$D$2:$AG$2,0)),Inputs!$B$4:$B$200,$B18)/1000)</f>
        <v>0</v>
      </c>
      <c r="W18" s="12">
        <f>IF(V18="","",V18)</f>
        <v>0</v>
      </c>
      <c r="X18" s="11">
        <f>IF(X$3=0,"",SUMIFS(INDEX(Inputs!$D$4:$AG$200,0,MATCH(X$2,Inputs!$D$2:$AG$2,0)),Inputs!$B$4:$B$200,$B18)/1000)</f>
        <v>0</v>
      </c>
      <c r="Y18" s="11">
        <f>IF(Y$3=0,"",SUMIFS(INDEX(Inputs!$D$4:$AG$200,0,MATCH(Y$2,Inputs!$D$2:$AG$2,0)),Inputs!$B$4:$B$200,$B18)/1000)</f>
        <v>0</v>
      </c>
      <c r="Z18" s="11">
        <f>IF(Z$3=0,"",SUMIFS(INDEX(Inputs!$D$4:$AG$200,0,MATCH(Z$2,Inputs!$D$2:$AG$2,0)),Inputs!$B$4:$B$200,$B18)/1000)</f>
        <v>0</v>
      </c>
      <c r="AA18" s="11">
        <f>IF(AA$3=0,"",SUMIFS(INDEX(Inputs!$D$4:$AG$200,0,MATCH(AA$2,Inputs!$D$2:$AG$2,0)),Inputs!$B$4:$B$200,$B18)/1000)</f>
        <v>0</v>
      </c>
      <c r="AB18" s="12">
        <f>IF(AA18="","",AA18)</f>
        <v>0</v>
      </c>
      <c r="AC18" s="11">
        <f>IF(AC$3=0,"",SUMIFS(INDEX(Inputs!$D$4:$AG$200,0,MATCH(AC$2,Inputs!$D$2:$AG$2,0)),Inputs!$B$4:$B$200,$B18)/1000)</f>
        <v>0</v>
      </c>
      <c r="AD18" s="11">
        <f>IF(AD$3=0,"",SUMIFS(INDEX(Inputs!$D$4:$AG$200,0,MATCH(AD$2,Inputs!$D$2:$AG$2,0)),Inputs!$B$4:$B$200,$B18)/1000)</f>
        <v>0</v>
      </c>
      <c r="AE18" s="11" t="str">
        <f>IF(AE$3=0,"",SUMIFS(INDEX(Inputs!$D$4:$AG$200,0,MATCH(AE$2,Inputs!$D$2:$AG$2,0)),Inputs!$B$4:$B$200,$B18)/1000)</f>
        <v/>
      </c>
      <c r="AF18" s="11" t="str">
        <f>IF(AF$3=0,"",SUMIFS(INDEX(Inputs!$D$4:$AG$200,0,MATCH(AF$2,Inputs!$D$2:$AG$2,0)),Inputs!$B$4:$B$200,$B18)/1000)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IF(D$3=0,"",SUMIFS(INDEX(Inputs!$D$4:$AG$200,0,MATCH(D$2,Inputs!$D$2:$AG$2,0)),Inputs!$B$4:$B$200,$B19)/1000)</f>
        <v>7.755</v>
      </c>
      <c r="E19" s="11">
        <f>IF(E$3=0,"",SUMIFS(INDEX(Inputs!$D$4:$AG$200,0,MATCH(E$2,Inputs!$D$2:$AG$2,0)),Inputs!$B$4:$B$200,$B19)/1000)</f>
        <v>5.56</v>
      </c>
      <c r="F19" s="11">
        <f>IF(F$3=0,"",SUMIFS(INDEX(Inputs!$D$4:$AG$200,0,MATCH(F$2,Inputs!$D$2:$AG$2,0)),Inputs!$B$4:$B$200,$B19)/1000)</f>
        <v>9.083</v>
      </c>
      <c r="G19" s="11">
        <f>IF(G$3=0,"",SUMIFS(INDEX(Inputs!$D$4:$AG$200,0,MATCH(G$2,Inputs!$D$2:$AG$2,0)),Inputs!$B$4:$B$200,$B19)/1000)</f>
        <v>6.611</v>
      </c>
      <c r="H19" s="12">
        <f>IF(G19="","",G19)</f>
        <v>6.611</v>
      </c>
      <c r="I19" s="11">
        <f>IF(I$3=0,"",SUMIFS(INDEX(Inputs!$D$4:$AG$200,0,MATCH(I$2,Inputs!$D$2:$AG$2,0)),Inputs!$B$4:$B$200,$B19)/1000)</f>
        <v>6.676</v>
      </c>
      <c r="J19" s="11">
        <f>IF(J$3=0,"",SUMIFS(INDEX(Inputs!$D$4:$AG$200,0,MATCH(J$2,Inputs!$D$2:$AG$2,0)),Inputs!$B$4:$B$200,$B19)/1000)</f>
        <v>6.582</v>
      </c>
      <c r="K19" s="11">
        <f>IF(K$3=0,"",SUMIFS(INDEX(Inputs!$D$4:$AG$200,0,MATCH(K$2,Inputs!$D$2:$AG$2,0)),Inputs!$B$4:$B$200,$B19)/1000)</f>
        <v>8.343</v>
      </c>
      <c r="L19" s="11">
        <f>IF(L$3=0,"",SUMIFS(INDEX(Inputs!$D$4:$AG$200,0,MATCH(L$2,Inputs!$D$2:$AG$2,0)),Inputs!$B$4:$B$200,$B19)/1000)</f>
        <v>7.297</v>
      </c>
      <c r="M19" s="12">
        <f>IF(L19="","",L19)</f>
        <v>7.297</v>
      </c>
      <c r="N19" s="11">
        <f>IF(N$3=0,"",SUMIFS(INDEX(Inputs!$D$4:$AG$200,0,MATCH(N$2,Inputs!$D$2:$AG$2,0)),Inputs!$B$4:$B$200,$B19)/1000)</f>
        <v>7.108</v>
      </c>
      <c r="O19" s="11">
        <f>IF(O$3=0,"",SUMIFS(INDEX(Inputs!$D$4:$AG$200,0,MATCH(O$2,Inputs!$D$2:$AG$2,0)),Inputs!$B$4:$B$200,$B19)/1000)</f>
        <v>9.562</v>
      </c>
      <c r="P19" s="11">
        <f>IF(P$3=0,"",SUMIFS(INDEX(Inputs!$D$4:$AG$200,0,MATCH(P$2,Inputs!$D$2:$AG$2,0)),Inputs!$B$4:$B$200,$B19)/1000)</f>
        <v>11.558</v>
      </c>
      <c r="Q19" s="11">
        <f>IF(Q$3=0,"",SUMIFS(INDEX(Inputs!$D$4:$AG$200,0,MATCH(Q$2,Inputs!$D$2:$AG$2,0)),Inputs!$B$4:$B$200,$B19)/1000)</f>
        <v>13.547</v>
      </c>
      <c r="R19" s="12">
        <f>IF(Q19="","",Q19)</f>
        <v>13.547</v>
      </c>
      <c r="S19" s="11">
        <f>IF(S$3=0,"",SUMIFS(INDEX(Inputs!$D$4:$AG$200,0,MATCH(S$2,Inputs!$D$2:$AG$2,0)),Inputs!$B$4:$B$200,$B19)/1000)</f>
        <v>9.839</v>
      </c>
      <c r="T19" s="11">
        <f>IF(T$3=0,"",SUMIFS(INDEX(Inputs!$D$4:$AG$200,0,MATCH(T$2,Inputs!$D$2:$AG$2,0)),Inputs!$B$4:$B$200,$B19)/1000)</f>
        <v>26.07</v>
      </c>
      <c r="U19" s="11">
        <f>IF(U$3=0,"",SUMIFS(INDEX(Inputs!$D$4:$AG$200,0,MATCH(U$2,Inputs!$D$2:$AG$2,0)),Inputs!$B$4:$B$200,$B19)/1000)</f>
        <v>15.022</v>
      </c>
      <c r="V19" s="11">
        <f>IF(V$3=0,"",SUMIFS(INDEX(Inputs!$D$4:$AG$200,0,MATCH(V$2,Inputs!$D$2:$AG$2,0)),Inputs!$B$4:$B$200,$B19)/1000)</f>
        <v>17.033</v>
      </c>
      <c r="W19" s="12">
        <f>IF(V19="","",V19)</f>
        <v>17.033</v>
      </c>
      <c r="X19" s="11">
        <f>IF(X$3=0,"",SUMIFS(INDEX(Inputs!$D$4:$AG$200,0,MATCH(X$2,Inputs!$D$2:$AG$2,0)),Inputs!$B$4:$B$200,$B19)/1000)</f>
        <v>15.238</v>
      </c>
      <c r="Y19" s="11">
        <f>IF(Y$3=0,"",SUMIFS(INDEX(Inputs!$D$4:$AG$200,0,MATCH(Y$2,Inputs!$D$2:$AG$2,0)),Inputs!$B$4:$B$200,$B19)/1000)</f>
        <v>8.316</v>
      </c>
      <c r="Z19" s="11">
        <f>IF(Z$3=0,"",SUMIFS(INDEX(Inputs!$D$4:$AG$200,0,MATCH(Z$2,Inputs!$D$2:$AG$2,0)),Inputs!$B$4:$B$200,$B19)/1000)</f>
        <v>9.581</v>
      </c>
      <c r="AA19" s="11">
        <f>IF(AA$3=0,"",SUMIFS(INDEX(Inputs!$D$4:$AG$200,0,MATCH(AA$2,Inputs!$D$2:$AG$2,0)),Inputs!$B$4:$B$200,$B19)/1000)</f>
        <v>11.708</v>
      </c>
      <c r="AB19" s="12">
        <f>IF(AA19="","",AA19)</f>
        <v>11.708</v>
      </c>
      <c r="AC19" s="11">
        <f>IF(AC$3=0,"",SUMIFS(INDEX(Inputs!$D$4:$AG$200,0,MATCH(AC$2,Inputs!$D$2:$AG$2,0)),Inputs!$B$4:$B$200,$B19)/1000)</f>
        <v>10.253</v>
      </c>
      <c r="AD19" s="11">
        <f>IF(AD$3=0,"",SUMIFS(INDEX(Inputs!$D$4:$AG$200,0,MATCH(AD$2,Inputs!$D$2:$AG$2,0)),Inputs!$B$4:$B$200,$B19)/1000)</f>
        <v>9.152</v>
      </c>
      <c r="AE19" s="11" t="str">
        <f>IF(AE$3=0,"",SUMIFS(INDEX(Inputs!$D$4:$AG$200,0,MATCH(AE$2,Inputs!$D$2:$AG$2,0)),Inputs!$B$4:$B$200,$B19)/1000)</f>
        <v/>
      </c>
      <c r="AF19" s="11" t="str">
        <f>IF(AF$3=0,"",SUMIFS(INDEX(Inputs!$D$4:$AG$200,0,MATCH(AF$2,Inputs!$D$2:$AG$2,0)),Inputs!$B$4:$B$200,$B19)/1000)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IF(D$3=0,"",SUMIFS(INDEX(Inputs!$D$4:$AG$200,0,MATCH(D$2,Inputs!$D$2:$AG$2,0)),Inputs!$B$4:$B$200,$B20)/1000)</f>
        <v>15.478</v>
      </c>
      <c r="E20" s="11">
        <f>IF(E$3=0,"",SUMIFS(INDEX(Inputs!$D$4:$AG$200,0,MATCH(E$2,Inputs!$D$2:$AG$2,0)),Inputs!$B$4:$B$200,$B20)/1000)</f>
        <v>19.254</v>
      </c>
      <c r="F20" s="11">
        <f>IF(F$3=0,"",SUMIFS(INDEX(Inputs!$D$4:$AG$200,0,MATCH(F$2,Inputs!$D$2:$AG$2,0)),Inputs!$B$4:$B$200,$B20)/1000)</f>
        <v>24.33</v>
      </c>
      <c r="G20" s="11">
        <f>IF(G$3=0,"",SUMIFS(INDEX(Inputs!$D$4:$AG$200,0,MATCH(G$2,Inputs!$D$2:$AG$2,0)),Inputs!$B$4:$B$200,$B20)/1000)</f>
        <v>27.836</v>
      </c>
      <c r="H20" s="12">
        <f>IF(G20="","",G20)</f>
        <v>27.836</v>
      </c>
      <c r="I20" s="11">
        <f>IF(I$3=0,"",SUMIFS(INDEX(Inputs!$D$4:$AG$200,0,MATCH(I$2,Inputs!$D$2:$AG$2,0)),Inputs!$B$4:$B$200,$B20)/1000)</f>
        <v>30.305</v>
      </c>
      <c r="J20" s="11">
        <f>IF(J$3=0,"",SUMIFS(INDEX(Inputs!$D$4:$AG$200,0,MATCH(J$2,Inputs!$D$2:$AG$2,0)),Inputs!$B$4:$B$200,$B20)/1000)</f>
        <v>36.248</v>
      </c>
      <c r="K20" s="11">
        <f>IF(K$3=0,"",SUMIFS(INDEX(Inputs!$D$4:$AG$200,0,MATCH(K$2,Inputs!$D$2:$AG$2,0)),Inputs!$B$4:$B$200,$B20)/1000)</f>
        <v>43.329</v>
      </c>
      <c r="L20" s="11">
        <f>IF(L$3=0,"",SUMIFS(INDEX(Inputs!$D$4:$AG$200,0,MATCH(L$2,Inputs!$D$2:$AG$2,0)),Inputs!$B$4:$B$200,$B20)/1000)</f>
        <v>50.27</v>
      </c>
      <c r="M20" s="12">
        <f>IF(L20="","",L20)</f>
        <v>50.27</v>
      </c>
      <c r="N20" s="11">
        <f>IF(N$3=0,"",SUMIFS(INDEX(Inputs!$D$4:$AG$200,0,MATCH(N$2,Inputs!$D$2:$AG$2,0)),Inputs!$B$4:$B$200,$B20)/1000)</f>
        <v>58.214</v>
      </c>
      <c r="O20" s="11">
        <f>IF(O$3=0,"",SUMIFS(INDEX(Inputs!$D$4:$AG$200,0,MATCH(O$2,Inputs!$D$2:$AG$2,0)),Inputs!$B$4:$B$200,$B20)/1000)</f>
        <v>63.169</v>
      </c>
      <c r="P20" s="11">
        <f>IF(P$3=0,"",SUMIFS(INDEX(Inputs!$D$4:$AG$200,0,MATCH(P$2,Inputs!$D$2:$AG$2,0)),Inputs!$B$4:$B$200,$B20)/1000)</f>
        <v>79.675</v>
      </c>
      <c r="Q20" s="11">
        <f>IF(Q$3=0,"",SUMIFS(INDEX(Inputs!$D$4:$AG$200,0,MATCH(Q$2,Inputs!$D$2:$AG$2,0)),Inputs!$B$4:$B$200,$B20)/1000)</f>
        <v>84.228</v>
      </c>
      <c r="R20" s="12">
        <f>IF(Q20="","",Q20)</f>
        <v>84.228</v>
      </c>
      <c r="S20" s="11">
        <f>IF(S$3=0,"",SUMIFS(INDEX(Inputs!$D$4:$AG$200,0,MATCH(S$2,Inputs!$D$2:$AG$2,0)),Inputs!$B$4:$B$200,$B20)/1000)</f>
        <v>92.05</v>
      </c>
      <c r="T20" s="11">
        <f>IF(T$3=0,"",SUMIFS(INDEX(Inputs!$D$4:$AG$200,0,MATCH(T$2,Inputs!$D$2:$AG$2,0)),Inputs!$B$4:$B$200,$B20)/1000)</f>
        <v>115.011</v>
      </c>
      <c r="U20" s="11">
        <f>IF(U$3=0,"",SUMIFS(INDEX(Inputs!$D$4:$AG$200,0,MATCH(U$2,Inputs!$D$2:$AG$2,0)),Inputs!$B$4:$B$200,$B20)/1000)</f>
        <v>132.338</v>
      </c>
      <c r="V20" s="11">
        <f>IF(V$3=0,"",SUMIFS(INDEX(Inputs!$D$4:$AG$200,0,MATCH(V$2,Inputs!$D$2:$AG$2,0)),Inputs!$B$4:$B$200,$B20)/1000)</f>
        <v>138.882</v>
      </c>
      <c r="W20" s="12">
        <f>IF(V20="","",V20)</f>
        <v>138.882</v>
      </c>
      <c r="X20" s="11">
        <f>IF(X$3=0,"",SUMIFS(INDEX(Inputs!$D$4:$AG$200,0,MATCH(X$2,Inputs!$D$2:$AG$2,0)),Inputs!$B$4:$B$200,$B20)/1000)</f>
        <v>144.504</v>
      </c>
      <c r="Y20" s="11">
        <f>IF(Y$3=0,"",SUMIFS(INDEX(Inputs!$D$4:$AG$200,0,MATCH(Y$2,Inputs!$D$2:$AG$2,0)),Inputs!$B$4:$B$200,$B20)/1000)</f>
        <v>170.013</v>
      </c>
      <c r="Z20" s="11">
        <f>IF(Z$3=0,"",SUMIFS(INDEX(Inputs!$D$4:$AG$200,0,MATCH(Z$2,Inputs!$D$2:$AG$2,0)),Inputs!$B$4:$B$200,$B20)/1000)</f>
        <v>187.277</v>
      </c>
      <c r="AA20" s="11">
        <f>IF(AA$3=0,"",SUMIFS(INDEX(Inputs!$D$4:$AG$200,0,MATCH(AA$2,Inputs!$D$2:$AG$2,0)),Inputs!$B$4:$B$200,$B20)/1000)</f>
        <v>203.465</v>
      </c>
      <c r="AB20" s="12">
        <f>IF(AA20="","",AA20)</f>
        <v>203.465</v>
      </c>
      <c r="AC20" s="11">
        <f>IF(AC$3=0,"",SUMIFS(INDEX(Inputs!$D$4:$AG$200,0,MATCH(AC$2,Inputs!$D$2:$AG$2,0)),Inputs!$B$4:$B$200,$B20)/1000)</f>
        <v>206.713</v>
      </c>
      <c r="AD20" s="11">
        <f>IF(AD$3=0,"",SUMIFS(INDEX(Inputs!$D$4:$AG$200,0,MATCH(AD$2,Inputs!$D$2:$AG$2,0)),Inputs!$B$4:$B$200,$B20)/1000)</f>
        <v>230.579</v>
      </c>
      <c r="AE20" s="11" t="str">
        <f>IF(AE$3=0,"",SUMIFS(INDEX(Inputs!$D$4:$AG$200,0,MATCH(AE$2,Inputs!$D$2:$AG$2,0)),Inputs!$B$4:$B$200,$B20)/1000)</f>
        <v/>
      </c>
      <c r="AF20" s="11" t="str">
        <f>IF(AF$3=0,"",SUMIFS(INDEX(Inputs!$D$4:$AG$200,0,MATCH(AF$2,Inputs!$D$2:$AG$2,0)),Inputs!$B$4:$B$200,$B20)/1000)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IF(D$3=0,"",SUMIFS(INDEX(Inputs!$D$4:$AG$200,0,MATCH(D$2,Inputs!$D$2:$AG$2,0)),Inputs!$B$4:$B$200,$B21)/1000)</f>
        <v>28.737</v>
      </c>
      <c r="E21" s="11">
        <f>IF(E$3=0,"",SUMIFS(INDEX(Inputs!$D$4:$AG$200,0,MATCH(E$2,Inputs!$D$2:$AG$2,0)),Inputs!$B$4:$B$200,$B21)/1000)</f>
        <v>32.139</v>
      </c>
      <c r="F21" s="11">
        <f>IF(F$3=0,"",SUMIFS(INDEX(Inputs!$D$4:$AG$200,0,MATCH(F$2,Inputs!$D$2:$AG$2,0)),Inputs!$B$4:$B$200,$B21)/1000)</f>
        <v>29.674</v>
      </c>
      <c r="G21" s="11">
        <f>IF(G$3=0,"",SUMIFS(INDEX(Inputs!$D$4:$AG$200,0,MATCH(G$2,Inputs!$D$2:$AG$2,0)),Inputs!$B$4:$B$200,$B21)/1000)</f>
        <v>29.77</v>
      </c>
      <c r="H21" s="12">
        <f>IF(G21="","",G21)</f>
        <v>29.77</v>
      </c>
      <c r="I21" s="11">
        <f>IF(I$3=0,"",SUMIFS(INDEX(Inputs!$D$4:$AG$200,0,MATCH(I$2,Inputs!$D$2:$AG$2,0)),Inputs!$B$4:$B$200,$B21)/1000)</f>
        <v>30.764</v>
      </c>
      <c r="J21" s="11">
        <f>IF(J$3=0,"",SUMIFS(INDEX(Inputs!$D$4:$AG$200,0,MATCH(J$2,Inputs!$D$2:$AG$2,0)),Inputs!$B$4:$B$200,$B21)/1000)</f>
        <v>33.604</v>
      </c>
      <c r="K21" s="11">
        <f>IF(K$3=0,"",SUMIFS(INDEX(Inputs!$D$4:$AG$200,0,MATCH(K$2,Inputs!$D$2:$AG$2,0)),Inputs!$B$4:$B$200,$B21)/1000)</f>
        <v>36.393</v>
      </c>
      <c r="L21" s="11">
        <f>IF(L$3=0,"",SUMIFS(INDEX(Inputs!$D$4:$AG$200,0,MATCH(L$2,Inputs!$D$2:$AG$2,0)),Inputs!$B$4:$B$200,$B21)/1000)</f>
        <v>34.316</v>
      </c>
      <c r="M21" s="12">
        <f>IF(L21="","",L21)</f>
        <v>34.316</v>
      </c>
      <c r="N21" s="11">
        <f>IF(N$3=0,"",SUMIFS(INDEX(Inputs!$D$4:$AG$200,0,MATCH(N$2,Inputs!$D$2:$AG$2,0)),Inputs!$B$4:$B$200,$B21)/1000)</f>
        <v>32.327</v>
      </c>
      <c r="O21" s="11">
        <f>IF(O$3=0,"",SUMIFS(INDEX(Inputs!$D$4:$AG$200,0,MATCH(O$2,Inputs!$D$2:$AG$2,0)),Inputs!$B$4:$B$200,$B21)/1000)</f>
        <v>33.598</v>
      </c>
      <c r="P21" s="11">
        <f>IF(P$3=0,"",SUMIFS(INDEX(Inputs!$D$4:$AG$200,0,MATCH(P$2,Inputs!$D$2:$AG$2,0)),Inputs!$B$4:$B$200,$B21)/1000)</f>
        <v>29.692</v>
      </c>
      <c r="Q21" s="11">
        <f>IF(Q$3=0,"",SUMIFS(INDEX(Inputs!$D$4:$AG$200,0,MATCH(Q$2,Inputs!$D$2:$AG$2,0)),Inputs!$B$4:$B$200,$B21)/1000)</f>
        <v>40.875</v>
      </c>
      <c r="R21" s="12">
        <f>IF(Q21="","",Q21)</f>
        <v>40.875</v>
      </c>
      <c r="S21" s="11">
        <f>IF(S$3=0,"",SUMIFS(INDEX(Inputs!$D$4:$AG$200,0,MATCH(S$2,Inputs!$D$2:$AG$2,0)),Inputs!$B$4:$B$200,$B21)/1000)</f>
        <v>40.803</v>
      </c>
      <c r="T21" s="11">
        <f>IF(T$3=0,"",SUMIFS(INDEX(Inputs!$D$4:$AG$200,0,MATCH(T$2,Inputs!$D$2:$AG$2,0)),Inputs!$B$4:$B$200,$B21)/1000)</f>
        <v>44.707</v>
      </c>
      <c r="U21" s="11">
        <f>IF(U$3=0,"",SUMIFS(INDEX(Inputs!$D$4:$AG$200,0,MATCH(U$2,Inputs!$D$2:$AG$2,0)),Inputs!$B$4:$B$200,$B21)/1000)</f>
        <v>42.837</v>
      </c>
      <c r="V21" s="11">
        <f>IF(V$3=0,"",SUMIFS(INDEX(Inputs!$D$4:$AG$200,0,MATCH(V$2,Inputs!$D$2:$AG$2,0)),Inputs!$B$4:$B$200,$B21)/1000)</f>
        <v>42.244</v>
      </c>
      <c r="W21" s="12">
        <f>IF(V21="","",V21)</f>
        <v>42.244</v>
      </c>
      <c r="X21" s="11">
        <f>IF(X$3=0,"",SUMIFS(INDEX(Inputs!$D$4:$AG$200,0,MATCH(X$2,Inputs!$D$2:$AG$2,0)),Inputs!$B$4:$B$200,$B21)/1000)</f>
        <v>40.372</v>
      </c>
      <c r="Y21" s="11">
        <f>IF(Y$3=0,"",SUMIFS(INDEX(Inputs!$D$4:$AG$200,0,MATCH(Y$2,Inputs!$D$2:$AG$2,0)),Inputs!$B$4:$B$200,$B21)/1000)</f>
        <v>40.727</v>
      </c>
      <c r="Z21" s="11">
        <f>IF(Z$3=0,"",SUMIFS(INDEX(Inputs!$D$4:$AG$200,0,MATCH(Z$2,Inputs!$D$2:$AG$2,0)),Inputs!$B$4:$B$200,$B21)/1000)</f>
        <v>41.203</v>
      </c>
      <c r="AA21" s="11">
        <f>IF(AA$3=0,"",SUMIFS(INDEX(Inputs!$D$4:$AG$200,0,MATCH(AA$2,Inputs!$D$2:$AG$2,0)),Inputs!$B$4:$B$200,$B21)/1000)</f>
        <v>41.321</v>
      </c>
      <c r="AB21" s="12">
        <f>IF(AA21="","",AA21)</f>
        <v>41.321</v>
      </c>
      <c r="AC21" s="11">
        <f>IF(AC$3=0,"",SUMIFS(INDEX(Inputs!$D$4:$AG$200,0,MATCH(AC$2,Inputs!$D$2:$AG$2,0)),Inputs!$B$4:$B$200,$B21)/1000)</f>
        <v>37.757</v>
      </c>
      <c r="AD21" s="11">
        <f>IF(AD$3=0,"",SUMIFS(INDEX(Inputs!$D$4:$AG$200,0,MATCH(AD$2,Inputs!$D$2:$AG$2,0)),Inputs!$B$4:$B$200,$B21)/1000)</f>
        <v>30.471</v>
      </c>
      <c r="AE21" s="11" t="str">
        <f>IF(AE$3=0,"",SUMIFS(INDEX(Inputs!$D$4:$AG$200,0,MATCH(AE$2,Inputs!$D$2:$AG$2,0)),Inputs!$B$4:$B$200,$B21)/1000)</f>
        <v/>
      </c>
      <c r="AF21" s="11" t="str">
        <f>IF(AF$3=0,"",SUMIFS(INDEX(Inputs!$D$4:$AG$200,0,MATCH(AF$2,Inputs!$D$2:$AG$2,0)),Inputs!$B$4:$B$200,$B21)/1000)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IF(D$3=0,"",SUMIFS(INDEX(Inputs!$D$4:$AG$200,0,MATCH(D$2,Inputs!$D$2:$AG$2,0)),Inputs!$B$4:$B$200,$B22)/1000)</f>
        <v>20.211</v>
      </c>
      <c r="E22" s="11">
        <f>IF(E$3=0,"",SUMIFS(INDEX(Inputs!$D$4:$AG$200,0,MATCH(E$2,Inputs!$D$2:$AG$2,0)),Inputs!$B$4:$B$200,$B22)/1000)</f>
        <v>23.569</v>
      </c>
      <c r="F22" s="11">
        <f>IF(F$3=0,"",SUMIFS(INDEX(Inputs!$D$4:$AG$200,0,MATCH(F$2,Inputs!$D$2:$AG$2,0)),Inputs!$B$4:$B$200,$B22)/1000)</f>
        <v>25.579</v>
      </c>
      <c r="G22" s="11">
        <f>IF(G$3=0,"",SUMIFS(INDEX(Inputs!$D$4:$AG$200,0,MATCH(G$2,Inputs!$D$2:$AG$2,0)),Inputs!$B$4:$B$200,$B22)/1000)</f>
        <v>25.765</v>
      </c>
      <c r="H22" s="12">
        <f>IF(G22="","",G22)</f>
        <v>25.765</v>
      </c>
      <c r="I22" s="11">
        <f>IF(I$3=0,"",SUMIFS(INDEX(Inputs!$D$4:$AG$200,0,MATCH(I$2,Inputs!$D$2:$AG$2,0)),Inputs!$B$4:$B$200,$B22)/1000)</f>
        <v>24.33</v>
      </c>
      <c r="J22" s="11">
        <f>IF(J$3=0,"",SUMIFS(INDEX(Inputs!$D$4:$AG$200,0,MATCH(J$2,Inputs!$D$2:$AG$2,0)),Inputs!$B$4:$B$200,$B22)/1000)</f>
        <v>22.509</v>
      </c>
      <c r="K22" s="11">
        <f>IF(K$3=0,"",SUMIFS(INDEX(Inputs!$D$4:$AG$200,0,MATCH(K$2,Inputs!$D$2:$AG$2,0)),Inputs!$B$4:$B$200,$B22)/1000)</f>
        <v>22.203</v>
      </c>
      <c r="L22" s="11">
        <f>IF(L$3=0,"",SUMIFS(INDEX(Inputs!$D$4:$AG$200,0,MATCH(L$2,Inputs!$D$2:$AG$2,0)),Inputs!$B$4:$B$200,$B22)/1000)</f>
        <v>22.931</v>
      </c>
      <c r="M22" s="12">
        <f>IF(L22="","",L22)</f>
        <v>22.931</v>
      </c>
      <c r="N22" s="11">
        <f>IF(N$3=0,"",SUMIFS(INDEX(Inputs!$D$4:$AG$200,0,MATCH(N$2,Inputs!$D$2:$AG$2,0)),Inputs!$B$4:$B$200,$B22)/1000)</f>
        <v>31.101</v>
      </c>
      <c r="O22" s="11">
        <f>IF(O$3=0,"",SUMIFS(INDEX(Inputs!$D$4:$AG$200,0,MATCH(O$2,Inputs!$D$2:$AG$2,0)),Inputs!$B$4:$B$200,$B22)/1000)</f>
        <v>33.293</v>
      </c>
      <c r="P22" s="11">
        <f>IF(P$3=0,"",SUMIFS(INDEX(Inputs!$D$4:$AG$200,0,MATCH(P$2,Inputs!$D$2:$AG$2,0)),Inputs!$B$4:$B$200,$B22)/1000)</f>
        <v>33.278</v>
      </c>
      <c r="Q22" s="11">
        <f>IF(Q$3=0,"",SUMIFS(INDEX(Inputs!$D$4:$AG$200,0,MATCH(Q$2,Inputs!$D$2:$AG$2,0)),Inputs!$B$4:$B$200,$B22)/1000)</f>
        <v>34.596</v>
      </c>
      <c r="R22" s="12">
        <f>IF(Q22="","",Q22)</f>
        <v>34.596</v>
      </c>
      <c r="S22" s="11">
        <f>IF(S$3=0,"",SUMIFS(INDEX(Inputs!$D$4:$AG$200,0,MATCH(S$2,Inputs!$D$2:$AG$2,0)),Inputs!$B$4:$B$200,$B22)/1000)</f>
        <v>36.855</v>
      </c>
      <c r="T22" s="11">
        <f>IF(T$3=0,"",SUMIFS(INDEX(Inputs!$D$4:$AG$200,0,MATCH(T$2,Inputs!$D$2:$AG$2,0)),Inputs!$B$4:$B$200,$B22)/1000)</f>
        <v>37.163</v>
      </c>
      <c r="U22" s="11">
        <f>IF(U$3=0,"",SUMIFS(INDEX(Inputs!$D$4:$AG$200,0,MATCH(U$2,Inputs!$D$2:$AG$2,0)),Inputs!$B$4:$B$200,$B22)/1000)</f>
        <v>39.806</v>
      </c>
      <c r="V22" s="11">
        <f>IF(V$3=0,"",SUMIFS(INDEX(Inputs!$D$4:$AG$200,0,MATCH(V$2,Inputs!$D$2:$AG$2,0)),Inputs!$B$4:$B$200,$B22)/1000)</f>
        <v>41.601</v>
      </c>
      <c r="W22" s="12">
        <f>IF(V22="","",V22)</f>
        <v>41.601</v>
      </c>
      <c r="X22" s="11">
        <f>IF(X$3=0,"",SUMIFS(INDEX(Inputs!$D$4:$AG$200,0,MATCH(X$2,Inputs!$D$2:$AG$2,0)),Inputs!$B$4:$B$200,$B22)/1000)</f>
        <v>41.884</v>
      </c>
      <c r="Y22" s="11">
        <f>IF(Y$3=0,"",SUMIFS(INDEX(Inputs!$D$4:$AG$200,0,MATCH(Y$2,Inputs!$D$2:$AG$2,0)),Inputs!$B$4:$B$200,$B22)/1000)</f>
        <v>40.389</v>
      </c>
      <c r="Z22" s="11">
        <f>IF(Z$3=0,"",SUMIFS(INDEX(Inputs!$D$4:$AG$200,0,MATCH(Z$2,Inputs!$D$2:$AG$2,0)),Inputs!$B$4:$B$200,$B22)/1000)</f>
        <v>40.513</v>
      </c>
      <c r="AA22" s="11">
        <f>IF(AA$3=0,"",SUMIFS(INDEX(Inputs!$D$4:$AG$200,0,MATCH(AA$2,Inputs!$D$2:$AG$2,0)),Inputs!$B$4:$B$200,$B22)/1000)</f>
        <v>41.203</v>
      </c>
      <c r="AB22" s="12">
        <f>IF(AA22="","",AA22)</f>
        <v>41.203</v>
      </c>
      <c r="AC22" s="11">
        <f>IF(AC$3=0,"",SUMIFS(INDEX(Inputs!$D$4:$AG$200,0,MATCH(AC$2,Inputs!$D$2:$AG$2,0)),Inputs!$B$4:$B$200,$B22)/1000)</f>
        <v>46.373</v>
      </c>
      <c r="AD22" s="11">
        <f>IF(AD$3=0,"",SUMIFS(INDEX(Inputs!$D$4:$AG$200,0,MATCH(AD$2,Inputs!$D$2:$AG$2,0)),Inputs!$B$4:$B$200,$B22)/1000)</f>
        <v>51.142</v>
      </c>
      <c r="AE22" s="11" t="str">
        <f>IF(AE$3=0,"",SUMIFS(INDEX(Inputs!$D$4:$AG$200,0,MATCH(AE$2,Inputs!$D$2:$AG$2,0)),Inputs!$B$4:$B$200,$B22)/1000)</f>
        <v/>
      </c>
      <c r="AF22" s="11" t="str">
        <f>IF(AF$3=0,"",SUMIFS(INDEX(Inputs!$D$4:$AG$200,0,MATCH(AF$2,Inputs!$D$2:$AG$2,0)),Inputs!$B$4:$B$200,$B22)/1000)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IF(D$3=0,"",SUMIFS(INDEX(Inputs!$D$4:$AG$200,0,MATCH(D$2,Inputs!$D$2:$AG$2,0)),Inputs!$B$4:$B$200,$B23)/1000)</f>
        <v>0</v>
      </c>
      <c r="E23" s="11">
        <f>IF(E$3=0,"",SUMIFS(INDEX(Inputs!$D$4:$AG$200,0,MATCH(E$2,Inputs!$D$2:$AG$2,0)),Inputs!$B$4:$B$200,$B23)/1000)</f>
        <v>0</v>
      </c>
      <c r="F23" s="11">
        <f>IF(F$3=0,"",SUMIFS(INDEX(Inputs!$D$4:$AG$200,0,MATCH(F$2,Inputs!$D$2:$AG$2,0)),Inputs!$B$4:$B$200,$B23)/1000)</f>
        <v>0</v>
      </c>
      <c r="G23" s="11">
        <f>IF(G$3=0,"",SUMIFS(INDEX(Inputs!$D$4:$AG$200,0,MATCH(G$2,Inputs!$D$2:$AG$2,0)),Inputs!$B$4:$B$200,$B23)/1000)</f>
        <v>0</v>
      </c>
      <c r="H23" s="12">
        <f>IF(G23="","",G23)</f>
        <v>0</v>
      </c>
      <c r="I23" s="11">
        <f>IF(I$3=0,"",SUMIFS(INDEX(Inputs!$D$4:$AG$200,0,MATCH(I$2,Inputs!$D$2:$AG$2,0)),Inputs!$B$4:$B$200,$B23)/1000)</f>
        <v>0</v>
      </c>
      <c r="J23" s="11">
        <f>IF(J$3=0,"",SUMIFS(INDEX(Inputs!$D$4:$AG$200,0,MATCH(J$2,Inputs!$D$2:$AG$2,0)),Inputs!$B$4:$B$200,$B23)/1000)</f>
        <v>0</v>
      </c>
      <c r="K23" s="11">
        <f>IF(K$3=0,"",SUMIFS(INDEX(Inputs!$D$4:$AG$200,0,MATCH(K$2,Inputs!$D$2:$AG$2,0)),Inputs!$B$4:$B$200,$B23)/1000)</f>
        <v>0</v>
      </c>
      <c r="L23" s="11">
        <f>IF(L$3=0,"",SUMIFS(INDEX(Inputs!$D$4:$AG$200,0,MATCH(L$2,Inputs!$D$2:$AG$2,0)),Inputs!$B$4:$B$200,$B23)/1000)</f>
        <v>0</v>
      </c>
      <c r="M23" s="12">
        <f>IF(L23="","",L23)</f>
        <v>0</v>
      </c>
      <c r="N23" s="11">
        <f>IF(N$3=0,"",SUMIFS(INDEX(Inputs!$D$4:$AG$200,0,MATCH(N$2,Inputs!$D$2:$AG$2,0)),Inputs!$B$4:$B$200,$B23)/1000)</f>
        <v>0</v>
      </c>
      <c r="O23" s="11">
        <f>IF(O$3=0,"",SUMIFS(INDEX(Inputs!$D$4:$AG$200,0,MATCH(O$2,Inputs!$D$2:$AG$2,0)),Inputs!$B$4:$B$200,$B23)/1000)</f>
        <v>0</v>
      </c>
      <c r="P23" s="11">
        <f>IF(P$3=0,"",SUMIFS(INDEX(Inputs!$D$4:$AG$200,0,MATCH(P$2,Inputs!$D$2:$AG$2,0)),Inputs!$B$4:$B$200,$B23)/1000)</f>
        <v>0</v>
      </c>
      <c r="Q23" s="11">
        <f>IF(Q$3=0,"",SUMIFS(INDEX(Inputs!$D$4:$AG$200,0,MATCH(Q$2,Inputs!$D$2:$AG$2,0)),Inputs!$B$4:$B$200,$B23)/1000)</f>
        <v>0</v>
      </c>
      <c r="R23" s="12">
        <f>IF(Q23="","",Q23)</f>
        <v>0</v>
      </c>
      <c r="S23" s="11">
        <f>IF(S$3=0,"",SUMIFS(INDEX(Inputs!$D$4:$AG$200,0,MATCH(S$2,Inputs!$D$2:$AG$2,0)),Inputs!$B$4:$B$200,$B23)/1000)</f>
        <v>0</v>
      </c>
      <c r="T23" s="11">
        <f>IF(T$3=0,"",SUMIFS(INDEX(Inputs!$D$4:$AG$200,0,MATCH(T$2,Inputs!$D$2:$AG$2,0)),Inputs!$B$4:$B$200,$B23)/1000)</f>
        <v>0</v>
      </c>
      <c r="U23" s="11">
        <f>IF(U$3=0,"",SUMIFS(INDEX(Inputs!$D$4:$AG$200,0,MATCH(U$2,Inputs!$D$2:$AG$2,0)),Inputs!$B$4:$B$200,$B23)/1000)</f>
        <v>0</v>
      </c>
      <c r="V23" s="11">
        <f>IF(V$3=0,"",SUMIFS(INDEX(Inputs!$D$4:$AG$200,0,MATCH(V$2,Inputs!$D$2:$AG$2,0)),Inputs!$B$4:$B$200,$B23)/1000)</f>
        <v>0</v>
      </c>
      <c r="W23" s="12">
        <f>IF(V23="","",V23)</f>
        <v>0</v>
      </c>
      <c r="X23" s="11">
        <f>IF(X$3=0,"",SUMIFS(INDEX(Inputs!$D$4:$AG$200,0,MATCH(X$2,Inputs!$D$2:$AG$2,0)),Inputs!$B$4:$B$200,$B23)/1000)</f>
        <v>0</v>
      </c>
      <c r="Y23" s="11">
        <f>IF(Y$3=0,"",SUMIFS(INDEX(Inputs!$D$4:$AG$200,0,MATCH(Y$2,Inputs!$D$2:$AG$2,0)),Inputs!$B$4:$B$200,$B23)/1000)</f>
        <v>0</v>
      </c>
      <c r="Z23" s="11">
        <f>IF(Z$3=0,"",SUMIFS(INDEX(Inputs!$D$4:$AG$200,0,MATCH(Z$2,Inputs!$D$2:$AG$2,0)),Inputs!$B$4:$B$200,$B23)/1000)</f>
        <v>0</v>
      </c>
      <c r="AA23" s="11">
        <f>IF(AA$3=0,"",SUMIFS(INDEX(Inputs!$D$4:$AG$200,0,MATCH(AA$2,Inputs!$D$2:$AG$2,0)),Inputs!$B$4:$B$200,$B23)/1000)</f>
        <v>0</v>
      </c>
      <c r="AB23" s="12">
        <f>IF(AA23="","",AA23)</f>
        <v>0</v>
      </c>
      <c r="AC23" s="11">
        <f>IF(AC$3=0,"",SUMIFS(INDEX(Inputs!$D$4:$AG$200,0,MATCH(AC$2,Inputs!$D$2:$AG$2,0)),Inputs!$B$4:$B$200,$B23)/1000)</f>
        <v>0</v>
      </c>
      <c r="AD23" s="11">
        <f>IF(AD$3=0,"",SUMIFS(INDEX(Inputs!$D$4:$AG$200,0,MATCH(AD$2,Inputs!$D$2:$AG$2,0)),Inputs!$B$4:$B$200,$B23)/1000)</f>
        <v>0</v>
      </c>
      <c r="AE23" s="11" t="str">
        <f>IF(AE$3=0,"",SUMIFS(INDEX(Inputs!$D$4:$AG$200,0,MATCH(AE$2,Inputs!$D$2:$AG$2,0)),Inputs!$B$4:$B$200,$B23)/1000)</f>
        <v/>
      </c>
      <c r="AF23" s="11" t="str">
        <f>IF(AF$3=0,"",SUMIFS(INDEX(Inputs!$D$4:$AG$200,0,MATCH(AF$2,Inputs!$D$2:$AG$2,0)),Inputs!$B$4:$B$200,$B23)/1000)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IF(D$3=0,"",SUMIFS(INDEX(Inputs!$D$4:$AG$200,0,MATCH(D$2,Inputs!$D$2:$AG$2,0)),Inputs!$B$4:$B$200,$B24)/1000)</f>
        <v>0</v>
      </c>
      <c r="E24" s="11">
        <f>IF(E$3=0,"",SUMIFS(INDEX(Inputs!$D$4:$AG$200,0,MATCH(E$2,Inputs!$D$2:$AG$2,0)),Inputs!$B$4:$B$200,$B24)/1000)</f>
        <v>0</v>
      </c>
      <c r="F24" s="11">
        <f>IF(F$3=0,"",SUMIFS(INDEX(Inputs!$D$4:$AG$200,0,MATCH(F$2,Inputs!$D$2:$AG$2,0)),Inputs!$B$4:$B$200,$B24)/1000)</f>
        <v>0</v>
      </c>
      <c r="G24" s="11">
        <f>IF(G$3=0,"",SUMIFS(INDEX(Inputs!$D$4:$AG$200,0,MATCH(G$2,Inputs!$D$2:$AG$2,0)),Inputs!$B$4:$B$200,$B24)/1000)</f>
        <v>0</v>
      </c>
      <c r="H24" s="12">
        <f>IF(G24="","",G24)</f>
        <v>0</v>
      </c>
      <c r="I24" s="11">
        <f>IF(I$3=0,"",SUMIFS(INDEX(Inputs!$D$4:$AG$200,0,MATCH(I$2,Inputs!$D$2:$AG$2,0)),Inputs!$B$4:$B$200,$B24)/1000)</f>
        <v>0</v>
      </c>
      <c r="J24" s="11">
        <f>IF(J$3=0,"",SUMIFS(INDEX(Inputs!$D$4:$AG$200,0,MATCH(J$2,Inputs!$D$2:$AG$2,0)),Inputs!$B$4:$B$200,$B24)/1000)</f>
        <v>0</v>
      </c>
      <c r="K24" s="11">
        <f>IF(K$3=0,"",SUMIFS(INDEX(Inputs!$D$4:$AG$200,0,MATCH(K$2,Inputs!$D$2:$AG$2,0)),Inputs!$B$4:$B$200,$B24)/1000)</f>
        <v>0</v>
      </c>
      <c r="L24" s="11">
        <f>IF(L$3=0,"",SUMIFS(INDEX(Inputs!$D$4:$AG$200,0,MATCH(L$2,Inputs!$D$2:$AG$2,0)),Inputs!$B$4:$B$200,$B24)/1000)</f>
        <v>0</v>
      </c>
      <c r="M24" s="12">
        <f>IF(L24="","",L24)</f>
        <v>0</v>
      </c>
      <c r="N24" s="11">
        <f>IF(N$3=0,"",SUMIFS(INDEX(Inputs!$D$4:$AG$200,0,MATCH(N$2,Inputs!$D$2:$AG$2,0)),Inputs!$B$4:$B$200,$B24)/1000)</f>
        <v>0</v>
      </c>
      <c r="O24" s="11">
        <f>IF(O$3=0,"",SUMIFS(INDEX(Inputs!$D$4:$AG$200,0,MATCH(O$2,Inputs!$D$2:$AG$2,0)),Inputs!$B$4:$B$200,$B24)/1000)</f>
        <v>0</v>
      </c>
      <c r="P24" s="11">
        <f>IF(P$3=0,"",SUMIFS(INDEX(Inputs!$D$4:$AG$200,0,MATCH(P$2,Inputs!$D$2:$AG$2,0)),Inputs!$B$4:$B$200,$B24)/1000)</f>
        <v>0</v>
      </c>
      <c r="Q24" s="11">
        <f>IF(Q$3=0,"",SUMIFS(INDEX(Inputs!$D$4:$AG$200,0,MATCH(Q$2,Inputs!$D$2:$AG$2,0)),Inputs!$B$4:$B$200,$B24)/1000)</f>
        <v>0</v>
      </c>
      <c r="R24" s="12">
        <f>IF(Q24="","",Q24)</f>
        <v>0</v>
      </c>
      <c r="S24" s="11">
        <f>IF(S$3=0,"",SUMIFS(INDEX(Inputs!$D$4:$AG$200,0,MATCH(S$2,Inputs!$D$2:$AG$2,0)),Inputs!$B$4:$B$200,$B24)/1000)</f>
        <v>0</v>
      </c>
      <c r="T24" s="11">
        <f>IF(T$3=0,"",SUMIFS(INDEX(Inputs!$D$4:$AG$200,0,MATCH(T$2,Inputs!$D$2:$AG$2,0)),Inputs!$B$4:$B$200,$B24)/1000)</f>
        <v>0</v>
      </c>
      <c r="U24" s="11">
        <f>IF(U$3=0,"",SUMIFS(INDEX(Inputs!$D$4:$AG$200,0,MATCH(U$2,Inputs!$D$2:$AG$2,0)),Inputs!$B$4:$B$200,$B24)/1000)</f>
        <v>0</v>
      </c>
      <c r="V24" s="11">
        <f>IF(V$3=0,"",SUMIFS(INDEX(Inputs!$D$4:$AG$200,0,MATCH(V$2,Inputs!$D$2:$AG$2,0)),Inputs!$B$4:$B$200,$B24)/1000)</f>
        <v>0</v>
      </c>
      <c r="W24" s="12">
        <f>IF(V24="","",V24)</f>
        <v>0</v>
      </c>
      <c r="X24" s="11">
        <f>IF(X$3=0,"",SUMIFS(INDEX(Inputs!$D$4:$AG$200,0,MATCH(X$2,Inputs!$D$2:$AG$2,0)),Inputs!$B$4:$B$200,$B24)/1000)</f>
        <v>0</v>
      </c>
      <c r="Y24" s="11">
        <f>IF(Y$3=0,"",SUMIFS(INDEX(Inputs!$D$4:$AG$200,0,MATCH(Y$2,Inputs!$D$2:$AG$2,0)),Inputs!$B$4:$B$200,$B24)/1000)</f>
        <v>0</v>
      </c>
      <c r="Z24" s="11">
        <f>IF(Z$3=0,"",SUMIFS(INDEX(Inputs!$D$4:$AG$200,0,MATCH(Z$2,Inputs!$D$2:$AG$2,0)),Inputs!$B$4:$B$200,$B24)/1000)</f>
        <v>0</v>
      </c>
      <c r="AA24" s="11">
        <f>IF(AA$3=0,"",SUMIFS(INDEX(Inputs!$D$4:$AG$200,0,MATCH(AA$2,Inputs!$D$2:$AG$2,0)),Inputs!$B$4:$B$200,$B24)/1000)</f>
        <v>0</v>
      </c>
      <c r="AB24" s="12">
        <f>IF(AA24="","",AA24)</f>
        <v>0</v>
      </c>
      <c r="AC24" s="11">
        <f>IF(AC$3=0,"",SUMIFS(INDEX(Inputs!$D$4:$AG$200,0,MATCH(AC$2,Inputs!$D$2:$AG$2,0)),Inputs!$B$4:$B$200,$B24)/1000)</f>
        <v>0</v>
      </c>
      <c r="AD24" s="11">
        <f>IF(AD$3=0,"",SUMIFS(INDEX(Inputs!$D$4:$AG$200,0,MATCH(AD$2,Inputs!$D$2:$AG$2,0)),Inputs!$B$4:$B$200,$B24)/1000)</f>
        <v>0</v>
      </c>
      <c r="AE24" s="11" t="str">
        <f>IF(AE$3=0,"",SUMIFS(INDEX(Inputs!$D$4:$AG$200,0,MATCH(AE$2,Inputs!$D$2:$AG$2,0)),Inputs!$B$4:$B$200,$B24)/1000)</f>
        <v/>
      </c>
      <c r="AF24" s="11" t="str">
        <f>IF(AF$3=0,"",SUMIFS(INDEX(Inputs!$D$4:$AG$200,0,MATCH(AF$2,Inputs!$D$2:$AG$2,0)),Inputs!$B$4:$B$200,$B24)/1000)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IF(D$3=0,"",SUMIFS(INDEX(Inputs!$D$4:$AG$200,0,MATCH(D$2,Inputs!$D$2:$AG$2,0)),Inputs!$B$4:$B$200,$B25)/1000)</f>
        <v>0</v>
      </c>
      <c r="E25" s="11">
        <f>IF(E$3=0,"",SUMIFS(INDEX(Inputs!$D$4:$AG$200,0,MATCH(E$2,Inputs!$D$2:$AG$2,0)),Inputs!$B$4:$B$200,$B25)/1000)</f>
        <v>0</v>
      </c>
      <c r="F25" s="11">
        <f>IF(F$3=0,"",SUMIFS(INDEX(Inputs!$D$4:$AG$200,0,MATCH(F$2,Inputs!$D$2:$AG$2,0)),Inputs!$B$4:$B$200,$B25)/1000)</f>
        <v>0</v>
      </c>
      <c r="G25" s="11">
        <f>IF(G$3=0,"",SUMIFS(INDEX(Inputs!$D$4:$AG$200,0,MATCH(G$2,Inputs!$D$2:$AG$2,0)),Inputs!$B$4:$B$200,$B25)/1000)</f>
        <v>0</v>
      </c>
      <c r="H25" s="12">
        <f>IF(G25="","",G25)</f>
        <v>0</v>
      </c>
      <c r="I25" s="11">
        <f>IF(I$3=0,"",SUMIFS(INDEX(Inputs!$D$4:$AG$200,0,MATCH(I$2,Inputs!$D$2:$AG$2,0)),Inputs!$B$4:$B$200,$B25)/1000)</f>
        <v>0</v>
      </c>
      <c r="J25" s="11">
        <f>IF(J$3=0,"",SUMIFS(INDEX(Inputs!$D$4:$AG$200,0,MATCH(J$2,Inputs!$D$2:$AG$2,0)),Inputs!$B$4:$B$200,$B25)/1000)</f>
        <v>0</v>
      </c>
      <c r="K25" s="11">
        <f>IF(K$3=0,"",SUMIFS(INDEX(Inputs!$D$4:$AG$200,0,MATCH(K$2,Inputs!$D$2:$AG$2,0)),Inputs!$B$4:$B$200,$B25)/1000)</f>
        <v>0</v>
      </c>
      <c r="L25" s="11">
        <f>IF(L$3=0,"",SUMIFS(INDEX(Inputs!$D$4:$AG$200,0,MATCH(L$2,Inputs!$D$2:$AG$2,0)),Inputs!$B$4:$B$200,$B25)/1000)</f>
        <v>0</v>
      </c>
      <c r="M25" s="12">
        <f>IF(L25="","",L25)</f>
        <v>0</v>
      </c>
      <c r="N25" s="11">
        <f>IF(N$3=0,"",SUMIFS(INDEX(Inputs!$D$4:$AG$200,0,MATCH(N$2,Inputs!$D$2:$AG$2,0)),Inputs!$B$4:$B$200,$B25)/1000)</f>
        <v>0</v>
      </c>
      <c r="O25" s="11">
        <f>IF(O$3=0,"",SUMIFS(INDEX(Inputs!$D$4:$AG$200,0,MATCH(O$2,Inputs!$D$2:$AG$2,0)),Inputs!$B$4:$B$200,$B25)/1000)</f>
        <v>0</v>
      </c>
      <c r="P25" s="11">
        <f>IF(P$3=0,"",SUMIFS(INDEX(Inputs!$D$4:$AG$200,0,MATCH(P$2,Inputs!$D$2:$AG$2,0)),Inputs!$B$4:$B$200,$B25)/1000)</f>
        <v>0</v>
      </c>
      <c r="Q25" s="11">
        <f>IF(Q$3=0,"",SUMIFS(INDEX(Inputs!$D$4:$AG$200,0,MATCH(Q$2,Inputs!$D$2:$AG$2,0)),Inputs!$B$4:$B$200,$B25)/1000)</f>
        <v>0</v>
      </c>
      <c r="R25" s="12">
        <f>IF(Q25="","",Q25)</f>
        <v>0</v>
      </c>
      <c r="S25" s="11">
        <f>IF(S$3=0,"",SUMIFS(INDEX(Inputs!$D$4:$AG$200,0,MATCH(S$2,Inputs!$D$2:$AG$2,0)),Inputs!$B$4:$B$200,$B25)/1000)</f>
        <v>0</v>
      </c>
      <c r="T25" s="11">
        <f>IF(T$3=0,"",SUMIFS(INDEX(Inputs!$D$4:$AG$200,0,MATCH(T$2,Inputs!$D$2:$AG$2,0)),Inputs!$B$4:$B$200,$B25)/1000)</f>
        <v>0</v>
      </c>
      <c r="U25" s="11">
        <f>IF(U$3=0,"",SUMIFS(INDEX(Inputs!$D$4:$AG$200,0,MATCH(U$2,Inputs!$D$2:$AG$2,0)),Inputs!$B$4:$B$200,$B25)/1000)</f>
        <v>0</v>
      </c>
      <c r="V25" s="11">
        <f>IF(V$3=0,"",SUMIFS(INDEX(Inputs!$D$4:$AG$200,0,MATCH(V$2,Inputs!$D$2:$AG$2,0)),Inputs!$B$4:$B$200,$B25)/1000)</f>
        <v>0</v>
      </c>
      <c r="W25" s="12">
        <f>IF(V25="","",V25)</f>
        <v>0</v>
      </c>
      <c r="X25" s="11">
        <f>IF(X$3=0,"",SUMIFS(INDEX(Inputs!$D$4:$AG$200,0,MATCH(X$2,Inputs!$D$2:$AG$2,0)),Inputs!$B$4:$B$200,$B25)/1000)</f>
        <v>0</v>
      </c>
      <c r="Y25" s="11">
        <f>IF(Y$3=0,"",SUMIFS(INDEX(Inputs!$D$4:$AG$200,0,MATCH(Y$2,Inputs!$D$2:$AG$2,0)),Inputs!$B$4:$B$200,$B25)/1000)</f>
        <v>0</v>
      </c>
      <c r="Z25" s="11">
        <f>IF(Z$3=0,"",SUMIFS(INDEX(Inputs!$D$4:$AG$200,0,MATCH(Z$2,Inputs!$D$2:$AG$2,0)),Inputs!$B$4:$B$200,$B25)/1000)</f>
        <v>0</v>
      </c>
      <c r="AA25" s="11">
        <f>IF(AA$3=0,"",SUMIFS(INDEX(Inputs!$D$4:$AG$200,0,MATCH(AA$2,Inputs!$D$2:$AG$2,0)),Inputs!$B$4:$B$200,$B25)/1000)</f>
        <v>0</v>
      </c>
      <c r="AB25" s="12">
        <f>IF(AA25="","",AA25)</f>
        <v>0</v>
      </c>
      <c r="AC25" s="11">
        <f>IF(AC$3=0,"",SUMIFS(INDEX(Inputs!$D$4:$AG$200,0,MATCH(AC$2,Inputs!$D$2:$AG$2,0)),Inputs!$B$4:$B$200,$B25)/1000)</f>
        <v>0</v>
      </c>
      <c r="AD25" s="11">
        <f>IF(AD$3=0,"",SUMIFS(INDEX(Inputs!$D$4:$AG$200,0,MATCH(AD$2,Inputs!$D$2:$AG$2,0)),Inputs!$B$4:$B$200,$B25)/1000)</f>
        <v>0</v>
      </c>
      <c r="AE25" s="11" t="str">
        <f>IF(AE$3=0,"",SUMIFS(INDEX(Inputs!$D$4:$AG$200,0,MATCH(AE$2,Inputs!$D$2:$AG$2,0)),Inputs!$B$4:$B$200,$B25)/1000)</f>
        <v/>
      </c>
      <c r="AF25" s="11" t="str">
        <f>IF(AF$3=0,"",SUMIFS(INDEX(Inputs!$D$4:$AG$200,0,MATCH(AF$2,Inputs!$D$2:$AG$2,0)),Inputs!$B$4:$B$200,$B25)/1000)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IF(D$3=0,"",SUMIFS(INDEX(Inputs!$D$4:$AG$200,0,MATCH(D$2,Inputs!$D$2:$AG$2,0)),Inputs!$B$4:$B$200,$B26)/1000)</f>
        <v>51.974</v>
      </c>
      <c r="E26" s="11">
        <f>IF(E$3=0,"",SUMIFS(INDEX(Inputs!$D$4:$AG$200,0,MATCH(E$2,Inputs!$D$2:$AG$2,0)),Inputs!$B$4:$B$200,$B26)/1000)</f>
        <v>45.259</v>
      </c>
      <c r="F26" s="11">
        <f>IF(F$3=0,"",SUMIFS(INDEX(Inputs!$D$4:$AG$200,0,MATCH(F$2,Inputs!$D$2:$AG$2,0)),Inputs!$B$4:$B$200,$B26)/1000)</f>
        <v>45.708</v>
      </c>
      <c r="G26" s="11">
        <f>IF(G$3=0,"",SUMIFS(INDEX(Inputs!$D$4:$AG$200,0,MATCH(G$2,Inputs!$D$2:$AG$2,0)),Inputs!$B$4:$B$200,$B26)/1000)</f>
        <v>103.08</v>
      </c>
      <c r="H26" s="12">
        <f>IF(G26="","",G26)</f>
        <v>103.08</v>
      </c>
      <c r="I26" s="11">
        <f>IF(I$3=0,"",SUMIFS(INDEX(Inputs!$D$4:$AG$200,0,MATCH(I$2,Inputs!$D$2:$AG$2,0)),Inputs!$B$4:$B$200,$B26)/1000)</f>
        <v>107.896</v>
      </c>
      <c r="J26" s="11">
        <f>IF(J$3=0,"",SUMIFS(INDEX(Inputs!$D$4:$AG$200,0,MATCH(J$2,Inputs!$D$2:$AG$2,0)),Inputs!$B$4:$B$200,$B26)/1000)</f>
        <v>111.332</v>
      </c>
      <c r="K26" s="11">
        <f>IF(K$3=0,"",SUMIFS(INDEX(Inputs!$D$4:$AG$200,0,MATCH(K$2,Inputs!$D$2:$AG$2,0)),Inputs!$B$4:$B$200,$B26)/1000)</f>
        <v>111.836</v>
      </c>
      <c r="L26" s="11">
        <f>IF(L$3=0,"",SUMIFS(INDEX(Inputs!$D$4:$AG$200,0,MATCH(L$2,Inputs!$D$2:$AG$2,0)),Inputs!$B$4:$B$200,$B26)/1000)</f>
        <v>110.84</v>
      </c>
      <c r="M26" s="12">
        <f>IF(L26="","",L26)</f>
        <v>110.84</v>
      </c>
      <c r="N26" s="11">
        <f>IF(N$3=0,"",SUMIFS(INDEX(Inputs!$D$4:$AG$200,0,MATCH(N$2,Inputs!$D$2:$AG$2,0)),Inputs!$B$4:$B$200,$B26)/1000)</f>
        <v>112.129</v>
      </c>
      <c r="O26" s="11">
        <f>IF(O$3=0,"",SUMIFS(INDEX(Inputs!$D$4:$AG$200,0,MATCH(O$2,Inputs!$D$2:$AG$2,0)),Inputs!$B$4:$B$200,$B26)/1000)</f>
        <v>118.346</v>
      </c>
      <c r="P26" s="11">
        <f>IF(P$3=0,"",SUMIFS(INDEX(Inputs!$D$4:$AG$200,0,MATCH(P$2,Inputs!$D$2:$AG$2,0)),Inputs!$B$4:$B$200,$B26)/1000)</f>
        <v>117.918</v>
      </c>
      <c r="Q26" s="11">
        <f>IF(Q$3=0,"",SUMIFS(INDEX(Inputs!$D$4:$AG$200,0,MATCH(Q$2,Inputs!$D$2:$AG$2,0)),Inputs!$B$4:$B$200,$B26)/1000)</f>
        <v>118.159</v>
      </c>
      <c r="R26" s="12">
        <f>IF(Q26="","",Q26)</f>
        <v>118.159</v>
      </c>
      <c r="S26" s="11">
        <f>IF(S$3=0,"",SUMIFS(INDEX(Inputs!$D$4:$AG$200,0,MATCH(S$2,Inputs!$D$2:$AG$2,0)),Inputs!$B$4:$B$200,$B26)/1000)</f>
        <v>124.669</v>
      </c>
      <c r="T26" s="11">
        <f>IF(T$3=0,"",SUMIFS(INDEX(Inputs!$D$4:$AG$200,0,MATCH(T$2,Inputs!$D$2:$AG$2,0)),Inputs!$B$4:$B$200,$B26)/1000)</f>
        <v>57.397</v>
      </c>
      <c r="U26" s="11">
        <f>IF(U$3=0,"",SUMIFS(INDEX(Inputs!$D$4:$AG$200,0,MATCH(U$2,Inputs!$D$2:$AG$2,0)),Inputs!$B$4:$B$200,$B26)/1000)</f>
        <v>56.227</v>
      </c>
      <c r="V26" s="11">
        <f>IF(V$3=0,"",SUMIFS(INDEX(Inputs!$D$4:$AG$200,0,MATCH(V$2,Inputs!$D$2:$AG$2,0)),Inputs!$B$4:$B$200,$B26)/1000)</f>
        <v>52.934</v>
      </c>
      <c r="W26" s="12">
        <f>IF(V26="","",V26)</f>
        <v>52.934</v>
      </c>
      <c r="X26" s="11">
        <f>IF(X$3=0,"",SUMIFS(INDEX(Inputs!$D$4:$AG$200,0,MATCH(X$2,Inputs!$D$2:$AG$2,0)),Inputs!$B$4:$B$200,$B26)/1000)</f>
        <v>53.513</v>
      </c>
      <c r="Y26" s="11">
        <f>IF(Y$3=0,"",SUMIFS(INDEX(Inputs!$D$4:$AG$200,0,MATCH(Y$2,Inputs!$D$2:$AG$2,0)),Inputs!$B$4:$B$200,$B26)/1000)</f>
        <v>76.08</v>
      </c>
      <c r="Z26" s="11">
        <f>IF(Z$3=0,"",SUMIFS(INDEX(Inputs!$D$4:$AG$200,0,MATCH(Z$2,Inputs!$D$2:$AG$2,0)),Inputs!$B$4:$B$200,$B26)/1000)</f>
        <v>64.587</v>
      </c>
      <c r="AA26" s="11">
        <f>IF(AA$3=0,"",SUMIFS(INDEX(Inputs!$D$4:$AG$200,0,MATCH(AA$2,Inputs!$D$2:$AG$2,0)),Inputs!$B$4:$B$200,$B26)/1000)</f>
        <v>59.169</v>
      </c>
      <c r="AB26" s="12">
        <f>IF(AA26="","",AA26)</f>
        <v>59.169</v>
      </c>
      <c r="AC26" s="11">
        <f>IF(AC$3=0,"",SUMIFS(INDEX(Inputs!$D$4:$AG$200,0,MATCH(AC$2,Inputs!$D$2:$AG$2,0)),Inputs!$B$4:$B$200,$B26)/1000)</f>
        <v>66.113</v>
      </c>
      <c r="AD26" s="11">
        <f>IF(AD$3=0,"",SUMIFS(INDEX(Inputs!$D$4:$AG$200,0,MATCH(AD$2,Inputs!$D$2:$AG$2,0)),Inputs!$B$4:$B$200,$B26)/1000)</f>
        <v>71</v>
      </c>
      <c r="AE26" s="11" t="str">
        <f>IF(AE$3=0,"",SUMIFS(INDEX(Inputs!$D$4:$AG$200,0,MATCH(AE$2,Inputs!$D$2:$AG$2,0)),Inputs!$B$4:$B$200,$B26)/1000)</f>
        <v/>
      </c>
      <c r="AF26" s="11" t="str">
        <f>IF(AF$3=0,"",SUMIFS(INDEX(Inputs!$D$4:$AG$200,0,MATCH(AF$2,Inputs!$D$2:$AG$2,0)),Inputs!$B$4:$B$200,$B26)/1000)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IF(D$3=0,"",SUMIFS(INDEX(Inputs!$D$4:$AG$200,0,MATCH(D$2,Inputs!$D$2:$AG$2,0)),Inputs!$B$4:$B$200,$B28)/1000)</f>
        <v>60.296</v>
      </c>
      <c r="E28" s="11">
        <f>IF(E$3=0,"",SUMIFS(INDEX(Inputs!$D$4:$AG$200,0,MATCH(E$2,Inputs!$D$2:$AG$2,0)),Inputs!$B$4:$B$200,$B28)/1000)</f>
        <v>91.549</v>
      </c>
      <c r="F28" s="11">
        <f>IF(F$3=0,"",SUMIFS(INDEX(Inputs!$D$4:$AG$200,0,MATCH(F$2,Inputs!$D$2:$AG$2,0)),Inputs!$B$4:$B$200,$B28)/1000)</f>
        <v>90.214</v>
      </c>
      <c r="G28" s="11">
        <f>IF(G$3=0,"",SUMIFS(INDEX(Inputs!$D$4:$AG$200,0,MATCH(G$2,Inputs!$D$2:$AG$2,0)),Inputs!$B$4:$B$200,$B28)/1000)</f>
        <v>87.488</v>
      </c>
      <c r="H28" s="12">
        <f>IF(G28="","",G28)</f>
        <v>87.488</v>
      </c>
      <c r="I28" s="11">
        <f>IF(I$3=0,"",SUMIFS(INDEX(Inputs!$D$4:$AG$200,0,MATCH(I$2,Inputs!$D$2:$AG$2,0)),Inputs!$B$4:$B$200,$B28)/1000)</f>
        <v>83.823</v>
      </c>
      <c r="J28" s="11">
        <f>IF(J$3=0,"",SUMIFS(INDEX(Inputs!$D$4:$AG$200,0,MATCH(J$2,Inputs!$D$2:$AG$2,0)),Inputs!$B$4:$B$200,$B28)/1000)</f>
        <v>113.748</v>
      </c>
      <c r="K28" s="11">
        <f>IF(K$3=0,"",SUMIFS(INDEX(Inputs!$D$4:$AG$200,0,MATCH(K$2,Inputs!$D$2:$AG$2,0)),Inputs!$B$4:$B$200,$B28)/1000)</f>
        <v>104.282</v>
      </c>
      <c r="L28" s="11">
        <f>IF(L$3=0,"",SUMIFS(INDEX(Inputs!$D$4:$AG$200,0,MATCH(L$2,Inputs!$D$2:$AG$2,0)),Inputs!$B$4:$B$200,$B28)/1000)</f>
        <v>114.591</v>
      </c>
      <c r="M28" s="12">
        <f>IF(L28="","",L28)</f>
        <v>114.591</v>
      </c>
      <c r="N28" s="11">
        <f>IF(N$3=0,"",SUMIFS(INDEX(Inputs!$D$4:$AG$200,0,MATCH(N$2,Inputs!$D$2:$AG$2,0)),Inputs!$B$4:$B$200,$B28)/1000)</f>
        <v>121.055</v>
      </c>
      <c r="O28" s="11">
        <f>IF(O$3=0,"",SUMIFS(INDEX(Inputs!$D$4:$AG$200,0,MATCH(O$2,Inputs!$D$2:$AG$2,0)),Inputs!$B$4:$B$200,$B28)/1000)</f>
        <v>118.958</v>
      </c>
      <c r="P28" s="11">
        <f>IF(P$3=0,"",SUMIFS(INDEX(Inputs!$D$4:$AG$200,0,MATCH(P$2,Inputs!$D$2:$AG$2,0)),Inputs!$B$4:$B$200,$B28)/1000)</f>
        <v>144.821</v>
      </c>
      <c r="Q28" s="11">
        <f>IF(Q$3=0,"",SUMIFS(INDEX(Inputs!$D$4:$AG$200,0,MATCH(Q$2,Inputs!$D$2:$AG$2,0)),Inputs!$B$4:$B$200,$B28)/1000)</f>
        <v>171.904</v>
      </c>
      <c r="R28" s="12">
        <f>IF(Q28="","",Q28)</f>
        <v>171.904</v>
      </c>
      <c r="S28" s="11">
        <f>IF(S$3=0,"",SUMIFS(INDEX(Inputs!$D$4:$AG$200,0,MATCH(S$2,Inputs!$D$2:$AG$2,0)),Inputs!$B$4:$B$200,$B28)/1000)</f>
        <v>172.207</v>
      </c>
      <c r="T28" s="11">
        <f>IF(T$3=0,"",SUMIFS(INDEX(Inputs!$D$4:$AG$200,0,MATCH(T$2,Inputs!$D$2:$AG$2,0)),Inputs!$B$4:$B$200,$B28)/1000)</f>
        <v>141.397</v>
      </c>
      <c r="U28" s="11">
        <f>IF(U$3=0,"",SUMIFS(INDEX(Inputs!$D$4:$AG$200,0,MATCH(U$2,Inputs!$D$2:$AG$2,0)),Inputs!$B$4:$B$200,$B28)/1000)</f>
        <v>182.227</v>
      </c>
      <c r="V28" s="11">
        <f>IF(V$3=0,"",SUMIFS(INDEX(Inputs!$D$4:$AG$200,0,MATCH(V$2,Inputs!$D$2:$AG$2,0)),Inputs!$B$4:$B$200,$B28)/1000)</f>
        <v>187.317</v>
      </c>
      <c r="W28" s="12">
        <f>IF(V28="","",V28)</f>
        <v>187.317</v>
      </c>
      <c r="X28" s="11">
        <f>IF(X$3=0,"",SUMIFS(INDEX(Inputs!$D$4:$AG$200,0,MATCH(X$2,Inputs!$D$2:$AG$2,0)),Inputs!$B$4:$B$200,$B28)/1000)</f>
        <v>256.301</v>
      </c>
      <c r="Y28" s="11">
        <f>IF(Y$3=0,"",SUMIFS(INDEX(Inputs!$D$4:$AG$200,0,MATCH(Y$2,Inputs!$D$2:$AG$2,0)),Inputs!$B$4:$B$200,$B28)/1000)</f>
        <v>286.65</v>
      </c>
      <c r="Z28" s="11">
        <f>IF(Z$3=0,"",SUMIFS(INDEX(Inputs!$D$4:$AG$200,0,MATCH(Z$2,Inputs!$D$2:$AG$2,0)),Inputs!$B$4:$B$200,$B28)/1000)</f>
        <v>283.823</v>
      </c>
      <c r="AA28" s="11">
        <f>IF(AA$3=0,"",SUMIFS(INDEX(Inputs!$D$4:$AG$200,0,MATCH(AA$2,Inputs!$D$2:$AG$2,0)),Inputs!$B$4:$B$200,$B28)/1000)</f>
        <v>278.476</v>
      </c>
      <c r="AB28" s="12">
        <f>IF(AA28="","",AA28)</f>
        <v>278.476</v>
      </c>
      <c r="AC28" s="11">
        <f>IF(AC$3=0,"",SUMIFS(INDEX(Inputs!$D$4:$AG$200,0,MATCH(AC$2,Inputs!$D$2:$AG$2,0)),Inputs!$B$4:$B$200,$B28)/1000)</f>
        <v>339.656</v>
      </c>
      <c r="AD28" s="11">
        <f>IF(AD$3=0,"",SUMIFS(INDEX(Inputs!$D$4:$AG$200,0,MATCH(AD$2,Inputs!$D$2:$AG$2,0)),Inputs!$B$4:$B$200,$B28)/1000)</f>
        <v>351.51</v>
      </c>
      <c r="AE28" s="11" t="str">
        <f>IF(AE$3=0,"",SUMIFS(INDEX(Inputs!$D$4:$AG$200,0,MATCH(AE$2,Inputs!$D$2:$AG$2,0)),Inputs!$B$4:$B$200,$B28)/1000)</f>
        <v/>
      </c>
      <c r="AF28" s="11" t="str">
        <f>IF(AF$3=0,"",SUMIFS(INDEX(Inputs!$D$4:$AG$200,0,MATCH(AF$2,Inputs!$D$2:$AG$2,0)),Inputs!$B$4:$B$200,$B28)/1000)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IF(D$3=0,"",SUMIFS(INDEX(Inputs!$D$4:$AG$200,0,MATCH(D$2,Inputs!$D$2:$AG$2,0)),Inputs!$B$4:$B$200,$B29)/1000)</f>
        <v>13.813</v>
      </c>
      <c r="E29" s="11">
        <f>IF(E$3=0,"",SUMIFS(INDEX(Inputs!$D$4:$AG$200,0,MATCH(E$2,Inputs!$D$2:$AG$2,0)),Inputs!$B$4:$B$200,$B29)/1000)</f>
        <v>18.538</v>
      </c>
      <c r="F29" s="11">
        <f>IF(F$3=0,"",SUMIFS(INDEX(Inputs!$D$4:$AG$200,0,MATCH(F$2,Inputs!$D$2:$AG$2,0)),Inputs!$B$4:$B$200,$B29)/1000)</f>
        <v>17.006</v>
      </c>
      <c r="G29" s="11">
        <f>IF(G$3=0,"",SUMIFS(INDEX(Inputs!$D$4:$AG$200,0,MATCH(G$2,Inputs!$D$2:$AG$2,0)),Inputs!$B$4:$B$200,$B29)/1000)</f>
        <v>16.567</v>
      </c>
      <c r="H29" s="12">
        <f>IF(G29="","",G29)</f>
        <v>16.567</v>
      </c>
      <c r="I29" s="11">
        <f>IF(I$3=0,"",SUMIFS(INDEX(Inputs!$D$4:$AG$200,0,MATCH(I$2,Inputs!$D$2:$AG$2,0)),Inputs!$B$4:$B$200,$B29)/1000)</f>
        <v>16.264</v>
      </c>
      <c r="J29" s="11">
        <f>IF(J$3=0,"",SUMIFS(INDEX(Inputs!$D$4:$AG$200,0,MATCH(J$2,Inputs!$D$2:$AG$2,0)),Inputs!$B$4:$B$200,$B29)/1000)</f>
        <v>20.929</v>
      </c>
      <c r="K29" s="11">
        <f>IF(K$3=0,"",SUMIFS(INDEX(Inputs!$D$4:$AG$200,0,MATCH(K$2,Inputs!$D$2:$AG$2,0)),Inputs!$B$4:$B$200,$B29)/1000)</f>
        <v>23.709</v>
      </c>
      <c r="L29" s="11">
        <f>IF(L$3=0,"",SUMIFS(INDEX(Inputs!$D$4:$AG$200,0,MATCH(L$2,Inputs!$D$2:$AG$2,0)),Inputs!$B$4:$B$200,$B29)/1000)</f>
        <v>18.487</v>
      </c>
      <c r="M29" s="12">
        <f>IF(L29="","",L29)</f>
        <v>18.487</v>
      </c>
      <c r="N29" s="11">
        <f>IF(N$3=0,"",SUMIFS(INDEX(Inputs!$D$4:$AG$200,0,MATCH(N$2,Inputs!$D$2:$AG$2,0)),Inputs!$B$4:$B$200,$B29)/1000)</f>
        <v>22.653</v>
      </c>
      <c r="O29" s="11">
        <f>IF(O$3=0,"",SUMIFS(INDEX(Inputs!$D$4:$AG$200,0,MATCH(O$2,Inputs!$D$2:$AG$2,0)),Inputs!$B$4:$B$200,$B29)/1000)</f>
        <v>26.462</v>
      </c>
      <c r="P29" s="11">
        <f>IF(P$3=0,"",SUMIFS(INDEX(Inputs!$D$4:$AG$200,0,MATCH(P$2,Inputs!$D$2:$AG$2,0)),Inputs!$B$4:$B$200,$B29)/1000)</f>
        <v>29.799</v>
      </c>
      <c r="Q29" s="11">
        <f>IF(Q$3=0,"",SUMIFS(INDEX(Inputs!$D$4:$AG$200,0,MATCH(Q$2,Inputs!$D$2:$AG$2,0)),Inputs!$B$4:$B$200,$B29)/1000)</f>
        <v>22.734</v>
      </c>
      <c r="R29" s="12">
        <f>IF(Q29="","",Q29)</f>
        <v>22.734</v>
      </c>
      <c r="S29" s="11">
        <f>IF(S$3=0,"",SUMIFS(INDEX(Inputs!$D$4:$AG$200,0,MATCH(S$2,Inputs!$D$2:$AG$2,0)),Inputs!$B$4:$B$200,$B29)/1000)</f>
        <v>27.739</v>
      </c>
      <c r="T29" s="11">
        <f>IF(T$3=0,"",SUMIFS(INDEX(Inputs!$D$4:$AG$200,0,MATCH(T$2,Inputs!$D$2:$AG$2,0)),Inputs!$B$4:$B$200,$B29)/1000)</f>
        <v>35.591</v>
      </c>
      <c r="U29" s="11">
        <f>IF(U$3=0,"",SUMIFS(INDEX(Inputs!$D$4:$AG$200,0,MATCH(U$2,Inputs!$D$2:$AG$2,0)),Inputs!$B$4:$B$200,$B29)/1000)</f>
        <v>49.938</v>
      </c>
      <c r="V29" s="11">
        <f>IF(V$3=0,"",SUMIFS(INDEX(Inputs!$D$4:$AG$200,0,MATCH(V$2,Inputs!$D$2:$AG$2,0)),Inputs!$B$4:$B$200,$B29)/1000)</f>
        <v>32.592</v>
      </c>
      <c r="W29" s="12">
        <f>IF(V29="","",V29)</f>
        <v>32.592</v>
      </c>
      <c r="X29" s="11">
        <f>IF(X$3=0,"",SUMIFS(INDEX(Inputs!$D$4:$AG$200,0,MATCH(X$2,Inputs!$D$2:$AG$2,0)),Inputs!$B$4:$B$200,$B29)/1000)</f>
        <v>38.661</v>
      </c>
      <c r="Y29" s="11">
        <f>IF(Y$3=0,"",SUMIFS(INDEX(Inputs!$D$4:$AG$200,0,MATCH(Y$2,Inputs!$D$2:$AG$2,0)),Inputs!$B$4:$B$200,$B29)/1000)</f>
        <v>49.007</v>
      </c>
      <c r="Z29" s="11">
        <f>IF(Z$3=0,"",SUMIFS(INDEX(Inputs!$D$4:$AG$200,0,MATCH(Z$2,Inputs!$D$2:$AG$2,0)),Inputs!$B$4:$B$200,$B29)/1000)</f>
        <v>56.389</v>
      </c>
      <c r="AA29" s="11">
        <f>IF(AA$3=0,"",SUMIFS(INDEX(Inputs!$D$4:$AG$200,0,MATCH(AA$2,Inputs!$D$2:$AG$2,0)),Inputs!$B$4:$B$200,$B29)/1000)</f>
        <v>43.999</v>
      </c>
      <c r="AB29" s="12">
        <f>IF(AA29="","",AA29)</f>
        <v>43.999</v>
      </c>
      <c r="AC29" s="11">
        <f>IF(AC$3=0,"",SUMIFS(INDEX(Inputs!$D$4:$AG$200,0,MATCH(AC$2,Inputs!$D$2:$AG$2,0)),Inputs!$B$4:$B$200,$B29)/1000)</f>
        <v>54.666</v>
      </c>
      <c r="AD29" s="11">
        <f>IF(AD$3=0,"",SUMIFS(INDEX(Inputs!$D$4:$AG$200,0,MATCH(AD$2,Inputs!$D$2:$AG$2,0)),Inputs!$B$4:$B$200,$B29)/1000)</f>
        <v>72.162</v>
      </c>
      <c r="AE29" s="11" t="str">
        <f>IF(AE$3=0,"",SUMIFS(INDEX(Inputs!$D$4:$AG$200,0,MATCH(AE$2,Inputs!$D$2:$AG$2,0)),Inputs!$B$4:$B$200,$B29)/1000)</f>
        <v/>
      </c>
      <c r="AF29" s="11" t="str">
        <f>IF(AF$3=0,"",SUMIFS(INDEX(Inputs!$D$4:$AG$200,0,MATCH(AF$2,Inputs!$D$2:$AG$2,0)),Inputs!$B$4:$B$200,$B29)/1000)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IF(D$3=0,"",SUMIFS(INDEX(Inputs!$D$4:$AG$200,0,MATCH(D$2,Inputs!$D$2:$AG$2,0)),Inputs!$B$4:$B$200,$B30)/1000)</f>
        <v>9.385</v>
      </c>
      <c r="E30" s="11">
        <f>IF(E$3=0,"",SUMIFS(INDEX(Inputs!$D$4:$AG$200,0,MATCH(E$2,Inputs!$D$2:$AG$2,0)),Inputs!$B$4:$B$200,$B30)/1000)</f>
        <v>8.745</v>
      </c>
      <c r="F30" s="11">
        <f>IF(F$3=0,"",SUMIFS(INDEX(Inputs!$D$4:$AG$200,0,MATCH(F$2,Inputs!$D$2:$AG$2,0)),Inputs!$B$4:$B$200,$B30)/1000)</f>
        <v>9.271</v>
      </c>
      <c r="G30" s="11">
        <f>IF(G$3=0,"",SUMIFS(INDEX(Inputs!$D$4:$AG$200,0,MATCH(G$2,Inputs!$D$2:$AG$2,0)),Inputs!$B$4:$B$200,$B30)/1000)</f>
        <v>8.366</v>
      </c>
      <c r="H30" s="12">
        <f>IF(G30="","",G30)</f>
        <v>8.366</v>
      </c>
      <c r="I30" s="11">
        <f>IF(I$3=0,"",SUMIFS(INDEX(Inputs!$D$4:$AG$200,0,MATCH(I$2,Inputs!$D$2:$AG$2,0)),Inputs!$B$4:$B$200,$B30)/1000)</f>
        <v>10.182</v>
      </c>
      <c r="J30" s="11">
        <f>IF(J$3=0,"",SUMIFS(INDEX(Inputs!$D$4:$AG$200,0,MATCH(J$2,Inputs!$D$2:$AG$2,0)),Inputs!$B$4:$B$200,$B30)/1000)</f>
        <v>12.518</v>
      </c>
      <c r="K30" s="11">
        <f>IF(K$3=0,"",SUMIFS(INDEX(Inputs!$D$4:$AG$200,0,MATCH(K$2,Inputs!$D$2:$AG$2,0)),Inputs!$B$4:$B$200,$B30)/1000)</f>
        <v>12.142</v>
      </c>
      <c r="L30" s="11">
        <f>IF(L$3=0,"",SUMIFS(INDEX(Inputs!$D$4:$AG$200,0,MATCH(L$2,Inputs!$D$2:$AG$2,0)),Inputs!$B$4:$B$200,$B30)/1000)</f>
        <v>14.84</v>
      </c>
      <c r="M30" s="12">
        <f>IF(L30="","",L30)</f>
        <v>14.84</v>
      </c>
      <c r="N30" s="11">
        <f>IF(N$3=0,"",SUMIFS(INDEX(Inputs!$D$4:$AG$200,0,MATCH(N$2,Inputs!$D$2:$AG$2,0)),Inputs!$B$4:$B$200,$B30)/1000)</f>
        <v>14.924</v>
      </c>
      <c r="O30" s="11">
        <f>IF(O$3=0,"",SUMIFS(INDEX(Inputs!$D$4:$AG$200,0,MATCH(O$2,Inputs!$D$2:$AG$2,0)),Inputs!$B$4:$B$200,$B30)/1000)</f>
        <v>14.002</v>
      </c>
      <c r="P30" s="11">
        <f>IF(P$3=0,"",SUMIFS(INDEX(Inputs!$D$4:$AG$200,0,MATCH(P$2,Inputs!$D$2:$AG$2,0)),Inputs!$B$4:$B$200,$B30)/1000)</f>
        <v>16.903</v>
      </c>
      <c r="Q30" s="11">
        <f>IF(Q$3=0,"",SUMIFS(INDEX(Inputs!$D$4:$AG$200,0,MATCH(Q$2,Inputs!$D$2:$AG$2,0)),Inputs!$B$4:$B$200,$B30)/1000)</f>
        <v>19.051</v>
      </c>
      <c r="R30" s="12">
        <f>IF(Q30="","",Q30)</f>
        <v>19.051</v>
      </c>
      <c r="S30" s="11">
        <f>IF(S$3=0,"",SUMIFS(INDEX(Inputs!$D$4:$AG$200,0,MATCH(S$2,Inputs!$D$2:$AG$2,0)),Inputs!$B$4:$B$200,$B30)/1000)</f>
        <v>17.695</v>
      </c>
      <c r="T30" s="11">
        <f>IF(T$3=0,"",SUMIFS(INDEX(Inputs!$D$4:$AG$200,0,MATCH(T$2,Inputs!$D$2:$AG$2,0)),Inputs!$B$4:$B$200,$B30)/1000)</f>
        <v>19.541</v>
      </c>
      <c r="U30" s="11">
        <f>IF(U$3=0,"",SUMIFS(INDEX(Inputs!$D$4:$AG$200,0,MATCH(U$2,Inputs!$D$2:$AG$2,0)),Inputs!$B$4:$B$200,$B30)/1000)</f>
        <v>20.725</v>
      </c>
      <c r="V30" s="11">
        <f>IF(V$3=0,"",SUMIFS(INDEX(Inputs!$D$4:$AG$200,0,MATCH(V$2,Inputs!$D$2:$AG$2,0)),Inputs!$B$4:$B$200,$B30)/1000)</f>
        <v>27.898</v>
      </c>
      <c r="W30" s="12">
        <f>IF(V30="","",V30)</f>
        <v>27.898</v>
      </c>
      <c r="X30" s="11">
        <f>IF(X$3=0,"",SUMIFS(INDEX(Inputs!$D$4:$AG$200,0,MATCH(X$2,Inputs!$D$2:$AG$2,0)),Inputs!$B$4:$B$200,$B30)/1000)</f>
        <v>24.51</v>
      </c>
      <c r="Y30" s="11">
        <f>IF(Y$3=0,"",SUMIFS(INDEX(Inputs!$D$4:$AG$200,0,MATCH(Y$2,Inputs!$D$2:$AG$2,0)),Inputs!$B$4:$B$200,$B30)/1000)</f>
        <v>30.682</v>
      </c>
      <c r="Z30" s="11">
        <f>IF(Z$3=0,"",SUMIFS(INDEX(Inputs!$D$4:$AG$200,0,MATCH(Z$2,Inputs!$D$2:$AG$2,0)),Inputs!$B$4:$B$200,$B30)/1000)</f>
        <v>39.048</v>
      </c>
      <c r="AA30" s="11">
        <f>IF(AA$3=0,"",SUMIFS(INDEX(Inputs!$D$4:$AG$200,0,MATCH(AA$2,Inputs!$D$2:$AG$2,0)),Inputs!$B$4:$B$200,$B30)/1000)</f>
        <v>42.103</v>
      </c>
      <c r="AB30" s="12">
        <f>IF(AA30="","",AA30)</f>
        <v>42.103</v>
      </c>
      <c r="AC30" s="11">
        <f>IF(AC$3=0,"",SUMIFS(INDEX(Inputs!$D$4:$AG$200,0,MATCH(AC$2,Inputs!$D$2:$AG$2,0)),Inputs!$B$4:$B$200,$B30)/1000)</f>
        <v>40.189</v>
      </c>
      <c r="AD30" s="11">
        <f>IF(AD$3=0,"",SUMIFS(INDEX(Inputs!$D$4:$AG$200,0,MATCH(AD$2,Inputs!$D$2:$AG$2,0)),Inputs!$B$4:$B$200,$B30)/1000)</f>
        <v>45.828</v>
      </c>
      <c r="AE30" s="11" t="str">
        <f>IF(AE$3=0,"",SUMIFS(INDEX(Inputs!$D$4:$AG$200,0,MATCH(AE$2,Inputs!$D$2:$AG$2,0)),Inputs!$B$4:$B$200,$B30)/1000)</f>
        <v/>
      </c>
      <c r="AF30" s="11" t="str">
        <f>IF(AF$3=0,"",SUMIFS(INDEX(Inputs!$D$4:$AG$200,0,MATCH(AF$2,Inputs!$D$2:$AG$2,0)),Inputs!$B$4:$B$200,$B30)/1000)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IF(D$3=0,"",SUMIFS(INDEX(Inputs!$D$4:$AG$200,0,MATCH(D$2,Inputs!$D$2:$AG$2,0)),Inputs!$B$4:$B$200,$B31)/1000)</f>
        <v>542.973</v>
      </c>
      <c r="E31" s="11">
        <f>IF(E$3=0,"",SUMIFS(INDEX(Inputs!$D$4:$AG$200,0,MATCH(E$2,Inputs!$D$2:$AG$2,0)),Inputs!$B$4:$B$200,$B31)/1000)</f>
        <v>679.558</v>
      </c>
      <c r="F31" s="11">
        <f>IF(F$3=0,"",SUMIFS(INDEX(Inputs!$D$4:$AG$200,0,MATCH(F$2,Inputs!$D$2:$AG$2,0)),Inputs!$B$4:$B$200,$B31)/1000)</f>
        <v>562.006</v>
      </c>
      <c r="G31" s="11">
        <f>IF(G$3=0,"",SUMIFS(INDEX(Inputs!$D$4:$AG$200,0,MATCH(G$2,Inputs!$D$2:$AG$2,0)),Inputs!$B$4:$B$200,$B31)/1000)</f>
        <v>925.411</v>
      </c>
      <c r="H31" s="12">
        <f>IF(G31="","",G31)</f>
        <v>925.411</v>
      </c>
      <c r="I31" s="11">
        <f>IF(I$3=0,"",SUMIFS(INDEX(Inputs!$D$4:$AG$200,0,MATCH(I$2,Inputs!$D$2:$AG$2,0)),Inputs!$B$4:$B$200,$B31)/1000)</f>
        <v>1210.216</v>
      </c>
      <c r="J31" s="11">
        <f>IF(J$3=0,"",SUMIFS(INDEX(Inputs!$D$4:$AG$200,0,MATCH(J$2,Inputs!$D$2:$AG$2,0)),Inputs!$B$4:$B$200,$B31)/1000)</f>
        <v>1150.613</v>
      </c>
      <c r="K31" s="11">
        <f>IF(K$3=0,"",SUMIFS(INDEX(Inputs!$D$4:$AG$200,0,MATCH(K$2,Inputs!$D$2:$AG$2,0)),Inputs!$B$4:$B$200,$B31)/1000)</f>
        <v>803.249281391</v>
      </c>
      <c r="L31" s="11">
        <f>IF(L$3=0,"",SUMIFS(INDEX(Inputs!$D$4:$AG$200,0,MATCH(L$2,Inputs!$D$2:$AG$2,0)),Inputs!$B$4:$B$200,$B31)/1000)</f>
        <v>784.809</v>
      </c>
      <c r="M31" s="12">
        <f>IF(L31="","",L31)</f>
        <v>784.809</v>
      </c>
      <c r="N31" s="11">
        <f>IF(N$3=0,"",SUMIFS(INDEX(Inputs!$D$4:$AG$200,0,MATCH(N$2,Inputs!$D$2:$AG$2,0)),Inputs!$B$4:$B$200,$B31)/1000)</f>
        <v>480.737</v>
      </c>
      <c r="O31" s="11">
        <f>IF(O$3=0,"",SUMIFS(INDEX(Inputs!$D$4:$AG$200,0,MATCH(O$2,Inputs!$D$2:$AG$2,0)),Inputs!$B$4:$B$200,$B31)/1000)</f>
        <v>475.44</v>
      </c>
      <c r="P31" s="11">
        <f>IF(P$3=0,"",SUMIFS(INDEX(Inputs!$D$4:$AG$200,0,MATCH(P$2,Inputs!$D$2:$AG$2,0)),Inputs!$B$4:$B$200,$B31)/1000)</f>
        <v>651.102</v>
      </c>
      <c r="Q31" s="11">
        <f>IF(Q$3=0,"",SUMIFS(INDEX(Inputs!$D$4:$AG$200,0,MATCH(Q$2,Inputs!$D$2:$AG$2,0)),Inputs!$B$4:$B$200,$B31)/1000)</f>
        <v>737.404</v>
      </c>
      <c r="R31" s="12">
        <f>IF(Q31="","",Q31)</f>
        <v>737.404</v>
      </c>
      <c r="S31" s="11">
        <f>IF(S$3=0,"",SUMIFS(INDEX(Inputs!$D$4:$AG$200,0,MATCH(S$2,Inputs!$D$2:$AG$2,0)),Inputs!$B$4:$B$200,$B31)/1000)</f>
        <v>815.687</v>
      </c>
      <c r="T31" s="11">
        <f>IF(T$3=0,"",SUMIFS(INDEX(Inputs!$D$4:$AG$200,0,MATCH(T$2,Inputs!$D$2:$AG$2,0)),Inputs!$B$4:$B$200,$B31)/1000)</f>
        <v>1037.952</v>
      </c>
      <c r="U31" s="11">
        <f>IF(U$3=0,"",SUMIFS(INDEX(Inputs!$D$4:$AG$200,0,MATCH(U$2,Inputs!$D$2:$AG$2,0)),Inputs!$B$4:$B$200,$B31)/1000)</f>
        <v>788.015</v>
      </c>
      <c r="V31" s="11">
        <f>IF(V$3=0,"",SUMIFS(INDEX(Inputs!$D$4:$AG$200,0,MATCH(V$2,Inputs!$D$2:$AG$2,0)),Inputs!$B$4:$B$200,$B31)/1000)</f>
        <v>785.959</v>
      </c>
      <c r="W31" s="12">
        <f>IF(V31="","",V31)</f>
        <v>785.959</v>
      </c>
      <c r="X31" s="11">
        <f>IF(X$3=0,"",SUMIFS(INDEX(Inputs!$D$4:$AG$200,0,MATCH(X$2,Inputs!$D$2:$AG$2,0)),Inputs!$B$4:$B$200,$B31)/1000)</f>
        <v>882.876</v>
      </c>
      <c r="Y31" s="11">
        <f>IF(Y$3=0,"",SUMIFS(INDEX(Inputs!$D$4:$AG$200,0,MATCH(Y$2,Inputs!$D$2:$AG$2,0)),Inputs!$B$4:$B$200,$B31)/1000)</f>
        <v>897.325</v>
      </c>
      <c r="Z31" s="11">
        <f>IF(Z$3=0,"",SUMIFS(INDEX(Inputs!$D$4:$AG$200,0,MATCH(Z$2,Inputs!$D$2:$AG$2,0)),Inputs!$B$4:$B$200,$B31)/1000)</f>
        <v>1166.893</v>
      </c>
      <c r="AA31" s="11">
        <f>IF(AA$3=0,"",SUMIFS(INDEX(Inputs!$D$4:$AG$200,0,MATCH(AA$2,Inputs!$D$2:$AG$2,0)),Inputs!$B$4:$B$200,$B31)/1000)</f>
        <v>1069.117</v>
      </c>
      <c r="AB31" s="12">
        <f>IF(AA31="","",AA31)</f>
        <v>1069.117</v>
      </c>
      <c r="AC31" s="11">
        <f>IF(AC$3=0,"",SUMIFS(INDEX(Inputs!$D$4:$AG$200,0,MATCH(AC$2,Inputs!$D$2:$AG$2,0)),Inputs!$B$4:$B$200,$B31)/1000)</f>
        <v>1277.469</v>
      </c>
      <c r="AD31" s="11">
        <f>IF(AD$3=0,"",SUMIFS(INDEX(Inputs!$D$4:$AG$200,0,MATCH(AD$2,Inputs!$D$2:$AG$2,0)),Inputs!$B$4:$B$200,$B31)/1000)</f>
        <v>1234.59</v>
      </c>
      <c r="AE31" s="11" t="str">
        <f>IF(AE$3=0,"",SUMIFS(INDEX(Inputs!$D$4:$AG$200,0,MATCH(AE$2,Inputs!$D$2:$AG$2,0)),Inputs!$B$4:$B$200,$B31)/1000)</f>
        <v/>
      </c>
      <c r="AF31" s="11" t="str">
        <f>IF(AF$3=0,"",SUMIFS(INDEX(Inputs!$D$4:$AG$200,0,MATCH(AF$2,Inputs!$D$2:$AG$2,0)),Inputs!$B$4:$B$200,$B31)/1000)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IF(D$3=0,"",SUMIFS(INDEX(Inputs!$D$4:$AG$200,0,MATCH(D$2,Inputs!$D$2:$AG$2,0)),Inputs!$B$4:$B$200,$B32)/1000)</f>
        <v>100.616</v>
      </c>
      <c r="E32" s="11">
        <f>IF(E$3=0,"",SUMIFS(INDEX(Inputs!$D$4:$AG$200,0,MATCH(E$2,Inputs!$D$2:$AG$2,0)),Inputs!$B$4:$B$200,$B32)/1000)</f>
        <v>116.92</v>
      </c>
      <c r="F32" s="11">
        <f>IF(F$3=0,"",SUMIFS(INDEX(Inputs!$D$4:$AG$200,0,MATCH(F$2,Inputs!$D$2:$AG$2,0)),Inputs!$B$4:$B$200,$B32)/1000)</f>
        <v>63.863</v>
      </c>
      <c r="G32" s="11">
        <f>IF(G$3=0,"",SUMIFS(INDEX(Inputs!$D$4:$AG$200,0,MATCH(G$2,Inputs!$D$2:$AG$2,0)),Inputs!$B$4:$B$200,$B32)/1000)</f>
        <v>68.02</v>
      </c>
      <c r="H32" s="12">
        <f>IF(G32="","",G32)</f>
        <v>68.02</v>
      </c>
      <c r="I32" s="11">
        <f>IF(I$3=0,"",SUMIFS(INDEX(Inputs!$D$4:$AG$200,0,MATCH(I$2,Inputs!$D$2:$AG$2,0)),Inputs!$B$4:$B$200,$B32)/1000)</f>
        <v>67.654</v>
      </c>
      <c r="J32" s="11">
        <f>IF(J$3=0,"",SUMIFS(INDEX(Inputs!$D$4:$AG$200,0,MATCH(J$2,Inputs!$D$2:$AG$2,0)),Inputs!$B$4:$B$200,$B32)/1000)</f>
        <v>75.764</v>
      </c>
      <c r="K32" s="11">
        <f>IF(K$3=0,"",SUMIFS(INDEX(Inputs!$D$4:$AG$200,0,MATCH(K$2,Inputs!$D$2:$AG$2,0)),Inputs!$B$4:$B$200,$B32)/1000)</f>
        <v>32.789</v>
      </c>
      <c r="L32" s="11">
        <f>IF(L$3=0,"",SUMIFS(INDEX(Inputs!$D$4:$AG$200,0,MATCH(L$2,Inputs!$D$2:$AG$2,0)),Inputs!$B$4:$B$200,$B32)/1000)</f>
        <v>120.906</v>
      </c>
      <c r="M32" s="12">
        <f>IF(L32="","",L32)</f>
        <v>120.906</v>
      </c>
      <c r="N32" s="11">
        <f>IF(N$3=0,"",SUMIFS(INDEX(Inputs!$D$4:$AG$200,0,MATCH(N$2,Inputs!$D$2:$AG$2,0)),Inputs!$B$4:$B$200,$B32)/1000)</f>
        <v>114.117</v>
      </c>
      <c r="O32" s="11">
        <f>IF(O$3=0,"",SUMIFS(INDEX(Inputs!$D$4:$AG$200,0,MATCH(O$2,Inputs!$D$2:$AG$2,0)),Inputs!$B$4:$B$200,$B32)/1000)</f>
        <v>138.967</v>
      </c>
      <c r="P32" s="11">
        <f>IF(P$3=0,"",SUMIFS(INDEX(Inputs!$D$4:$AG$200,0,MATCH(P$2,Inputs!$D$2:$AG$2,0)),Inputs!$B$4:$B$200,$B32)/1000)</f>
        <v>134.94</v>
      </c>
      <c r="Q32" s="11">
        <f>IF(Q$3=0,"",SUMIFS(INDEX(Inputs!$D$4:$AG$200,0,MATCH(Q$2,Inputs!$D$2:$AG$2,0)),Inputs!$B$4:$B$200,$B32)/1000)</f>
        <v>124.271</v>
      </c>
      <c r="R32" s="12">
        <f>IF(Q32="","",Q32)</f>
        <v>124.271</v>
      </c>
      <c r="S32" s="11">
        <f>IF(S$3=0,"",SUMIFS(INDEX(Inputs!$D$4:$AG$200,0,MATCH(S$2,Inputs!$D$2:$AG$2,0)),Inputs!$B$4:$B$200,$B32)/1000)</f>
        <v>121.622</v>
      </c>
      <c r="T32" s="11">
        <f>IF(T$3=0,"",SUMIFS(INDEX(Inputs!$D$4:$AG$200,0,MATCH(T$2,Inputs!$D$2:$AG$2,0)),Inputs!$B$4:$B$200,$B32)/1000)</f>
        <v>120.03</v>
      </c>
      <c r="U32" s="11">
        <f>IF(U$3=0,"",SUMIFS(INDEX(Inputs!$D$4:$AG$200,0,MATCH(U$2,Inputs!$D$2:$AG$2,0)),Inputs!$B$4:$B$200,$B32)/1000)</f>
        <v>141.5</v>
      </c>
      <c r="V32" s="11">
        <f>IF(V$3=0,"",SUMIFS(INDEX(Inputs!$D$4:$AG$200,0,MATCH(V$2,Inputs!$D$2:$AG$2,0)),Inputs!$B$4:$B$200,$B32)/1000)</f>
        <v>208.869</v>
      </c>
      <c r="W32" s="12">
        <f>IF(V32="","",V32)</f>
        <v>208.869</v>
      </c>
      <c r="X32" s="11">
        <f>IF(X$3=0,"",SUMIFS(INDEX(Inputs!$D$4:$AG$200,0,MATCH(X$2,Inputs!$D$2:$AG$2,0)),Inputs!$B$4:$B$200,$B32)/1000)</f>
        <v>132.078</v>
      </c>
      <c r="Y32" s="11">
        <f>IF(Y$3=0,"",SUMIFS(INDEX(Inputs!$D$4:$AG$200,0,MATCH(Y$2,Inputs!$D$2:$AG$2,0)),Inputs!$B$4:$B$200,$B32)/1000)</f>
        <v>156.104</v>
      </c>
      <c r="Z32" s="11">
        <f>IF(Z$3=0,"",SUMIFS(INDEX(Inputs!$D$4:$AG$200,0,MATCH(Z$2,Inputs!$D$2:$AG$2,0)),Inputs!$B$4:$B$200,$B32)/1000)</f>
        <v>150.698</v>
      </c>
      <c r="AA32" s="11">
        <f>IF(AA$3=0,"",SUMIFS(INDEX(Inputs!$D$4:$AG$200,0,MATCH(AA$2,Inputs!$D$2:$AG$2,0)),Inputs!$B$4:$B$200,$B32)/1000)</f>
        <v>299.859</v>
      </c>
      <c r="AB32" s="12">
        <f>IF(AA32="","",AA32)</f>
        <v>299.859</v>
      </c>
      <c r="AC32" s="11">
        <f>IF(AC$3=0,"",SUMIFS(INDEX(Inputs!$D$4:$AG$200,0,MATCH(AC$2,Inputs!$D$2:$AG$2,0)),Inputs!$B$4:$B$200,$B32)/1000)</f>
        <v>175.806</v>
      </c>
      <c r="AD32" s="11">
        <f>IF(AD$3=0,"",SUMIFS(INDEX(Inputs!$D$4:$AG$200,0,MATCH(AD$2,Inputs!$D$2:$AG$2,0)),Inputs!$B$4:$B$200,$B32)/1000)</f>
        <v>178.913</v>
      </c>
      <c r="AE32" s="11" t="str">
        <f>IF(AE$3=0,"",SUMIFS(INDEX(Inputs!$D$4:$AG$200,0,MATCH(AE$2,Inputs!$D$2:$AG$2,0)),Inputs!$B$4:$B$200,$B32)/1000)</f>
        <v/>
      </c>
      <c r="AF32" s="11" t="str">
        <f>IF(AF$3=0,"",SUMIFS(INDEX(Inputs!$D$4:$AG$200,0,MATCH(AF$2,Inputs!$D$2:$AG$2,0)),Inputs!$B$4:$B$200,$B32)/1000)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IF(D$3=0,"",SUMIFS(INDEX(Inputs!$D$4:$AG$200,0,MATCH(D$2,Inputs!$D$2:$AG$2,0)),Inputs!$B$4:$B$200,$B33)/1000)</f>
        <v>0</v>
      </c>
      <c r="E33" s="11">
        <f>IF(E$3=0,"",SUMIFS(INDEX(Inputs!$D$4:$AG$200,0,MATCH(E$2,Inputs!$D$2:$AG$2,0)),Inputs!$B$4:$B$200,$B33)/1000)</f>
        <v>0</v>
      </c>
      <c r="F33" s="11">
        <f>IF(F$3=0,"",SUMIFS(INDEX(Inputs!$D$4:$AG$200,0,MATCH(F$2,Inputs!$D$2:$AG$2,0)),Inputs!$B$4:$B$200,$B33)/1000)</f>
        <v>0</v>
      </c>
      <c r="G33" s="11">
        <f>IF(G$3=0,"",SUMIFS(INDEX(Inputs!$D$4:$AG$200,0,MATCH(G$2,Inputs!$D$2:$AG$2,0)),Inputs!$B$4:$B$200,$B33)/1000)</f>
        <v>0</v>
      </c>
      <c r="H33" s="12">
        <f>IF(G33="","",G33)</f>
        <v>0</v>
      </c>
      <c r="I33" s="11">
        <f>IF(I$3=0,"",SUMIFS(INDEX(Inputs!$D$4:$AG$200,0,MATCH(I$2,Inputs!$D$2:$AG$2,0)),Inputs!$B$4:$B$200,$B33)/1000)</f>
        <v>0</v>
      </c>
      <c r="J33" s="11">
        <f>IF(J$3=0,"",SUMIFS(INDEX(Inputs!$D$4:$AG$200,0,MATCH(J$2,Inputs!$D$2:$AG$2,0)),Inputs!$B$4:$B$200,$B33)/1000)</f>
        <v>0</v>
      </c>
      <c r="K33" s="11">
        <f>IF(K$3=0,"",SUMIFS(INDEX(Inputs!$D$4:$AG$200,0,MATCH(K$2,Inputs!$D$2:$AG$2,0)),Inputs!$B$4:$B$200,$B33)/1000)</f>
        <v>0</v>
      </c>
      <c r="L33" s="11">
        <f>IF(L$3=0,"",SUMIFS(INDEX(Inputs!$D$4:$AG$200,0,MATCH(L$2,Inputs!$D$2:$AG$2,0)),Inputs!$B$4:$B$200,$B33)/1000)</f>
        <v>0</v>
      </c>
      <c r="M33" s="12">
        <f>IF(L33="","",L33)</f>
        <v>0</v>
      </c>
      <c r="N33" s="11">
        <f>IF(N$3=0,"",SUMIFS(INDEX(Inputs!$D$4:$AG$200,0,MATCH(N$2,Inputs!$D$2:$AG$2,0)),Inputs!$B$4:$B$200,$B33)/1000)</f>
        <v>0</v>
      </c>
      <c r="O33" s="11">
        <f>IF(O$3=0,"",SUMIFS(INDEX(Inputs!$D$4:$AG$200,0,MATCH(O$2,Inputs!$D$2:$AG$2,0)),Inputs!$B$4:$B$200,$B33)/1000)</f>
        <v>0</v>
      </c>
      <c r="P33" s="11">
        <f>IF(P$3=0,"",SUMIFS(INDEX(Inputs!$D$4:$AG$200,0,MATCH(P$2,Inputs!$D$2:$AG$2,0)),Inputs!$B$4:$B$200,$B33)/1000)</f>
        <v>0</v>
      </c>
      <c r="Q33" s="11">
        <f>IF(Q$3=0,"",SUMIFS(INDEX(Inputs!$D$4:$AG$200,0,MATCH(Q$2,Inputs!$D$2:$AG$2,0)),Inputs!$B$4:$B$200,$B33)/1000)</f>
        <v>0</v>
      </c>
      <c r="R33" s="12">
        <f>IF(Q33="","",Q33)</f>
        <v>0</v>
      </c>
      <c r="S33" s="11">
        <f>IF(S$3=0,"",SUMIFS(INDEX(Inputs!$D$4:$AG$200,0,MATCH(S$2,Inputs!$D$2:$AG$2,0)),Inputs!$B$4:$B$200,$B33)/1000)</f>
        <v>0</v>
      </c>
      <c r="T33" s="11">
        <f>IF(T$3=0,"",SUMIFS(INDEX(Inputs!$D$4:$AG$200,0,MATCH(T$2,Inputs!$D$2:$AG$2,0)),Inputs!$B$4:$B$200,$B33)/1000)</f>
        <v>0</v>
      </c>
      <c r="U33" s="11">
        <f>IF(U$3=0,"",SUMIFS(INDEX(Inputs!$D$4:$AG$200,0,MATCH(U$2,Inputs!$D$2:$AG$2,0)),Inputs!$B$4:$B$200,$B33)/1000)</f>
        <v>0</v>
      </c>
      <c r="V33" s="11">
        <f>IF(V$3=0,"",SUMIFS(INDEX(Inputs!$D$4:$AG$200,0,MATCH(V$2,Inputs!$D$2:$AG$2,0)),Inputs!$B$4:$B$200,$B33)/1000)</f>
        <v>0</v>
      </c>
      <c r="W33" s="12">
        <f>IF(V33="","",V33)</f>
        <v>0</v>
      </c>
      <c r="X33" s="11">
        <f>IF(X$3=0,"",SUMIFS(INDEX(Inputs!$D$4:$AG$200,0,MATCH(X$2,Inputs!$D$2:$AG$2,0)),Inputs!$B$4:$B$200,$B33)/1000)</f>
        <v>0</v>
      </c>
      <c r="Y33" s="11">
        <f>IF(Y$3=0,"",SUMIFS(INDEX(Inputs!$D$4:$AG$200,0,MATCH(Y$2,Inputs!$D$2:$AG$2,0)),Inputs!$B$4:$B$200,$B33)/1000)</f>
        <v>0</v>
      </c>
      <c r="Z33" s="11">
        <f>IF(Z$3=0,"",SUMIFS(INDEX(Inputs!$D$4:$AG$200,0,MATCH(Z$2,Inputs!$D$2:$AG$2,0)),Inputs!$B$4:$B$200,$B33)/1000)</f>
        <v>0</v>
      </c>
      <c r="AA33" s="11">
        <f>IF(AA$3=0,"",SUMIFS(INDEX(Inputs!$D$4:$AG$200,0,MATCH(AA$2,Inputs!$D$2:$AG$2,0)),Inputs!$B$4:$B$200,$B33)/1000)</f>
        <v>0</v>
      </c>
      <c r="AB33" s="12">
        <f>IF(AA33="","",AA33)</f>
        <v>0</v>
      </c>
      <c r="AC33" s="11">
        <f>IF(AC$3=0,"",SUMIFS(INDEX(Inputs!$D$4:$AG$200,0,MATCH(AC$2,Inputs!$D$2:$AG$2,0)),Inputs!$B$4:$B$200,$B33)/1000)</f>
        <v>0</v>
      </c>
      <c r="AD33" s="11">
        <f>IF(AD$3=0,"",SUMIFS(INDEX(Inputs!$D$4:$AG$200,0,MATCH(AD$2,Inputs!$D$2:$AG$2,0)),Inputs!$B$4:$B$200,$B33)/1000)</f>
        <v>0</v>
      </c>
      <c r="AE33" s="11" t="str">
        <f>IF(AE$3=0,"",SUMIFS(INDEX(Inputs!$D$4:$AG$200,0,MATCH(AE$2,Inputs!$D$2:$AG$2,0)),Inputs!$B$4:$B$200,$B33)/1000)</f>
        <v/>
      </c>
      <c r="AF33" s="11" t="str">
        <f>IF(AF$3=0,"",SUMIFS(INDEX(Inputs!$D$4:$AG$200,0,MATCH(AF$2,Inputs!$D$2:$AG$2,0)),Inputs!$B$4:$B$200,$B33)/1000)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IF(D$3=0,"",SUMIFS(INDEX(Inputs!$D$4:$AG$200,0,MATCH(D$2,Inputs!$D$2:$AG$2,0)),Inputs!$B$4:$B$200,$B34)/1000)</f>
        <v>0</v>
      </c>
      <c r="E34" s="11">
        <f>IF(E$3=0,"",SUMIFS(INDEX(Inputs!$D$4:$AG$200,0,MATCH(E$2,Inputs!$D$2:$AG$2,0)),Inputs!$B$4:$B$200,$B34)/1000)</f>
        <v>0</v>
      </c>
      <c r="F34" s="11">
        <f>IF(F$3=0,"",SUMIFS(INDEX(Inputs!$D$4:$AG$200,0,MATCH(F$2,Inputs!$D$2:$AG$2,0)),Inputs!$B$4:$B$200,$B34)/1000)</f>
        <v>0</v>
      </c>
      <c r="G34" s="11">
        <f>IF(G$3=0,"",SUMIFS(INDEX(Inputs!$D$4:$AG$200,0,MATCH(G$2,Inputs!$D$2:$AG$2,0)),Inputs!$B$4:$B$200,$B34)/1000)</f>
        <v>0</v>
      </c>
      <c r="H34" s="12">
        <f>IF(G34="","",G34)</f>
        <v>0</v>
      </c>
      <c r="I34" s="11">
        <f>IF(I$3=0,"",SUMIFS(INDEX(Inputs!$D$4:$AG$200,0,MATCH(I$2,Inputs!$D$2:$AG$2,0)),Inputs!$B$4:$B$200,$B34)/1000)</f>
        <v>0</v>
      </c>
      <c r="J34" s="11">
        <f>IF(J$3=0,"",SUMIFS(INDEX(Inputs!$D$4:$AG$200,0,MATCH(J$2,Inputs!$D$2:$AG$2,0)),Inputs!$B$4:$B$200,$B34)/1000)</f>
        <v>0</v>
      </c>
      <c r="K34" s="11">
        <f>IF(K$3=0,"",SUMIFS(INDEX(Inputs!$D$4:$AG$200,0,MATCH(K$2,Inputs!$D$2:$AG$2,0)),Inputs!$B$4:$B$200,$B34)/1000)</f>
        <v>0</v>
      </c>
      <c r="L34" s="11">
        <f>IF(L$3=0,"",SUMIFS(INDEX(Inputs!$D$4:$AG$200,0,MATCH(L$2,Inputs!$D$2:$AG$2,0)),Inputs!$B$4:$B$200,$B34)/1000)</f>
        <v>0</v>
      </c>
      <c r="M34" s="12">
        <f>IF(L34="","",L34)</f>
        <v>0</v>
      </c>
      <c r="N34" s="11">
        <f>IF(N$3=0,"",SUMIFS(INDEX(Inputs!$D$4:$AG$200,0,MATCH(N$2,Inputs!$D$2:$AG$2,0)),Inputs!$B$4:$B$200,$B34)/1000)</f>
        <v>0</v>
      </c>
      <c r="O34" s="11">
        <f>IF(O$3=0,"",SUMIFS(INDEX(Inputs!$D$4:$AG$200,0,MATCH(O$2,Inputs!$D$2:$AG$2,0)),Inputs!$B$4:$B$200,$B34)/1000)</f>
        <v>0</v>
      </c>
      <c r="P34" s="11">
        <f>IF(P$3=0,"",SUMIFS(INDEX(Inputs!$D$4:$AG$200,0,MATCH(P$2,Inputs!$D$2:$AG$2,0)),Inputs!$B$4:$B$200,$B34)/1000)</f>
        <v>0</v>
      </c>
      <c r="Q34" s="11">
        <f>IF(Q$3=0,"",SUMIFS(INDEX(Inputs!$D$4:$AG$200,0,MATCH(Q$2,Inputs!$D$2:$AG$2,0)),Inputs!$B$4:$B$200,$B34)/1000)</f>
        <v>0</v>
      </c>
      <c r="R34" s="12">
        <f>IF(Q34="","",Q34)</f>
        <v>0</v>
      </c>
      <c r="S34" s="11">
        <f>IF(S$3=0,"",SUMIFS(INDEX(Inputs!$D$4:$AG$200,0,MATCH(S$2,Inputs!$D$2:$AG$2,0)),Inputs!$B$4:$B$200,$B34)/1000)</f>
        <v>0</v>
      </c>
      <c r="T34" s="11">
        <f>IF(T$3=0,"",SUMIFS(INDEX(Inputs!$D$4:$AG$200,0,MATCH(T$2,Inputs!$D$2:$AG$2,0)),Inputs!$B$4:$B$200,$B34)/1000)</f>
        <v>0</v>
      </c>
      <c r="U34" s="11">
        <f>IF(U$3=0,"",SUMIFS(INDEX(Inputs!$D$4:$AG$200,0,MATCH(U$2,Inputs!$D$2:$AG$2,0)),Inputs!$B$4:$B$200,$B34)/1000)</f>
        <v>0</v>
      </c>
      <c r="V34" s="11">
        <f>IF(V$3=0,"",SUMIFS(INDEX(Inputs!$D$4:$AG$200,0,MATCH(V$2,Inputs!$D$2:$AG$2,0)),Inputs!$B$4:$B$200,$B34)/1000)</f>
        <v>0</v>
      </c>
      <c r="W34" s="12">
        <f>IF(V34="","",V34)</f>
        <v>0</v>
      </c>
      <c r="X34" s="11">
        <f>IF(X$3=0,"",SUMIFS(INDEX(Inputs!$D$4:$AG$200,0,MATCH(X$2,Inputs!$D$2:$AG$2,0)),Inputs!$B$4:$B$200,$B34)/1000)</f>
        <v>0</v>
      </c>
      <c r="Y34" s="11">
        <f>IF(Y$3=0,"",SUMIFS(INDEX(Inputs!$D$4:$AG$200,0,MATCH(Y$2,Inputs!$D$2:$AG$2,0)),Inputs!$B$4:$B$200,$B34)/1000)</f>
        <v>0</v>
      </c>
      <c r="Z34" s="11">
        <f>IF(Z$3=0,"",SUMIFS(INDEX(Inputs!$D$4:$AG$200,0,MATCH(Z$2,Inputs!$D$2:$AG$2,0)),Inputs!$B$4:$B$200,$B34)/1000)</f>
        <v>0</v>
      </c>
      <c r="AA34" s="11">
        <f>IF(AA$3=0,"",SUMIFS(INDEX(Inputs!$D$4:$AG$200,0,MATCH(AA$2,Inputs!$D$2:$AG$2,0)),Inputs!$B$4:$B$200,$B34)/1000)</f>
        <v>0</v>
      </c>
      <c r="AB34" s="12">
        <f>IF(AA34="","",AA34)</f>
        <v>0</v>
      </c>
      <c r="AC34" s="11">
        <f>IF(AC$3=0,"",SUMIFS(INDEX(Inputs!$D$4:$AG$200,0,MATCH(AC$2,Inputs!$D$2:$AG$2,0)),Inputs!$B$4:$B$200,$B34)/1000)</f>
        <v>0</v>
      </c>
      <c r="AD34" s="11">
        <f>IF(AD$3=0,"",SUMIFS(INDEX(Inputs!$D$4:$AG$200,0,MATCH(AD$2,Inputs!$D$2:$AG$2,0)),Inputs!$B$4:$B$200,$B34)/1000)</f>
        <v>0</v>
      </c>
      <c r="AE34" s="11" t="str">
        <f>IF(AE$3=0,"",SUMIFS(INDEX(Inputs!$D$4:$AG$200,0,MATCH(AE$2,Inputs!$D$2:$AG$2,0)),Inputs!$B$4:$B$200,$B34)/1000)</f>
        <v/>
      </c>
      <c r="AF34" s="11" t="str">
        <f>IF(AF$3=0,"",SUMIFS(INDEX(Inputs!$D$4:$AG$200,0,MATCH(AF$2,Inputs!$D$2:$AG$2,0)),Inputs!$B$4:$B$200,$B34)/1000)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IF(D$3=0,"",SUMIFS(INDEX(Inputs!$D$4:$AG$200,0,MATCH(D$2,Inputs!$D$2:$AG$2,0)),Inputs!$B$4:$B$200,$B35)/1000)</f>
        <v>180.173</v>
      </c>
      <c r="E35" s="11">
        <f>IF(E$3=0,"",SUMIFS(INDEX(Inputs!$D$4:$AG$200,0,MATCH(E$2,Inputs!$D$2:$AG$2,0)),Inputs!$B$4:$B$200,$B35)/1000)</f>
        <v>153.375</v>
      </c>
      <c r="F35" s="11">
        <f>IF(F$3=0,"",SUMIFS(INDEX(Inputs!$D$4:$AG$200,0,MATCH(F$2,Inputs!$D$2:$AG$2,0)),Inputs!$B$4:$B$200,$B35)/1000)</f>
        <v>326.361</v>
      </c>
      <c r="G35" s="11">
        <f>IF(G$3=0,"",SUMIFS(INDEX(Inputs!$D$4:$AG$200,0,MATCH(G$2,Inputs!$D$2:$AG$2,0)),Inputs!$B$4:$B$200,$B35)/1000)</f>
        <v>323.208</v>
      </c>
      <c r="H35" s="12">
        <f>IF(G35="","",G35)</f>
        <v>323.208</v>
      </c>
      <c r="I35" s="11">
        <f>IF(I$3=0,"",SUMIFS(INDEX(Inputs!$D$4:$AG$200,0,MATCH(I$2,Inputs!$D$2:$AG$2,0)),Inputs!$B$4:$B$200,$B35)/1000)</f>
        <v>323.208</v>
      </c>
      <c r="J35" s="11">
        <f>IF(J$3=0,"",SUMIFS(INDEX(Inputs!$D$4:$AG$200,0,MATCH(J$2,Inputs!$D$2:$AG$2,0)),Inputs!$B$4:$B$200,$B35)/1000)</f>
        <v>323.208</v>
      </c>
      <c r="K35" s="11">
        <f>IF(K$3=0,"",SUMIFS(INDEX(Inputs!$D$4:$AG$200,0,MATCH(K$2,Inputs!$D$2:$AG$2,0)),Inputs!$B$4:$B$200,$B35)/1000)</f>
        <v>423.232</v>
      </c>
      <c r="L35" s="11">
        <f>IF(L$3=0,"",SUMIFS(INDEX(Inputs!$D$4:$AG$200,0,MATCH(L$2,Inputs!$D$2:$AG$2,0)),Inputs!$B$4:$B$200,$B35)/1000)</f>
        <v>360.082</v>
      </c>
      <c r="M35" s="12">
        <f>IF(L35="","",L35)</f>
        <v>360.082</v>
      </c>
      <c r="N35" s="11">
        <f>IF(N$3=0,"",SUMIFS(INDEX(Inputs!$D$4:$AG$200,0,MATCH(N$2,Inputs!$D$2:$AG$2,0)),Inputs!$B$4:$B$200,$B35)/1000)</f>
        <v>360.4</v>
      </c>
      <c r="O35" s="11">
        <f>IF(O$3=0,"",SUMIFS(INDEX(Inputs!$D$4:$AG$200,0,MATCH(O$2,Inputs!$D$2:$AG$2,0)),Inputs!$B$4:$B$200,$B35)/1000)</f>
        <v>360.64</v>
      </c>
      <c r="P35" s="11">
        <f>IF(P$3=0,"",SUMIFS(INDEX(Inputs!$D$4:$AG$200,0,MATCH(P$2,Inputs!$D$2:$AG$2,0)),Inputs!$B$4:$B$200,$B35)/1000)</f>
        <v>510.779</v>
      </c>
      <c r="Q35" s="11">
        <f>IF(Q$3=0,"",SUMIFS(INDEX(Inputs!$D$4:$AG$200,0,MATCH(Q$2,Inputs!$D$2:$AG$2,0)),Inputs!$B$4:$B$200,$B35)/1000)</f>
        <v>489.081</v>
      </c>
      <c r="R35" s="12">
        <f>IF(Q35="","",Q35)</f>
        <v>489.081</v>
      </c>
      <c r="S35" s="11">
        <f>IF(S$3=0,"",SUMIFS(INDEX(Inputs!$D$4:$AG$200,0,MATCH(S$2,Inputs!$D$2:$AG$2,0)),Inputs!$B$4:$B$200,$B35)/1000)</f>
        <v>480.268</v>
      </c>
      <c r="T35" s="11">
        <f>IF(T$3=0,"",SUMIFS(INDEX(Inputs!$D$4:$AG$200,0,MATCH(T$2,Inputs!$D$2:$AG$2,0)),Inputs!$B$4:$B$200,$B35)/1000)</f>
        <v>960.708</v>
      </c>
      <c r="U35" s="11">
        <f>IF(U$3=0,"",SUMIFS(INDEX(Inputs!$D$4:$AG$200,0,MATCH(U$2,Inputs!$D$2:$AG$2,0)),Inputs!$B$4:$B$200,$B35)/1000)</f>
        <v>961.025</v>
      </c>
      <c r="V35" s="11">
        <f>IF(V$3=0,"",SUMIFS(INDEX(Inputs!$D$4:$AG$200,0,MATCH(V$2,Inputs!$D$2:$AG$2,0)),Inputs!$B$4:$B$200,$B35)/1000)</f>
        <v>777.513</v>
      </c>
      <c r="W35" s="12">
        <f>IF(V35="","",V35)</f>
        <v>777.513</v>
      </c>
      <c r="X35" s="11">
        <f>IF(X$3=0,"",SUMIFS(INDEX(Inputs!$D$4:$AG$200,0,MATCH(X$2,Inputs!$D$2:$AG$2,0)),Inputs!$B$4:$B$200,$B35)/1000)</f>
        <v>1150.733</v>
      </c>
      <c r="Y35" s="11">
        <f>IF(Y$3=0,"",SUMIFS(INDEX(Inputs!$D$4:$AG$200,0,MATCH(Y$2,Inputs!$D$2:$AG$2,0)),Inputs!$B$4:$B$200,$B35)/1000)</f>
        <v>1147.008</v>
      </c>
      <c r="Z35" s="11">
        <f>IF(Z$3=0,"",SUMIFS(INDEX(Inputs!$D$4:$AG$200,0,MATCH(Z$2,Inputs!$D$2:$AG$2,0)),Inputs!$B$4:$B$200,$B35)/1000)</f>
        <v>1172.288</v>
      </c>
      <c r="AA35" s="11">
        <f>IF(AA$3=0,"",SUMIFS(INDEX(Inputs!$D$4:$AG$200,0,MATCH(AA$2,Inputs!$D$2:$AG$2,0)),Inputs!$B$4:$B$200,$B35)/1000)</f>
        <v>1175.028</v>
      </c>
      <c r="AB35" s="12">
        <f>IF(AA35="","",AA35)</f>
        <v>1175.028</v>
      </c>
      <c r="AC35" s="11">
        <f>IF(AC$3=0,"",SUMIFS(INDEX(Inputs!$D$4:$AG$200,0,MATCH(AC$2,Inputs!$D$2:$AG$2,0)),Inputs!$B$4:$B$200,$B35)/1000)</f>
        <v>1174.61</v>
      </c>
      <c r="AD35" s="11">
        <f>IF(AD$3=0,"",SUMIFS(INDEX(Inputs!$D$4:$AG$200,0,MATCH(AD$2,Inputs!$D$2:$AG$2,0)),Inputs!$B$4:$B$200,$B35)/1000)</f>
        <v>1164.242</v>
      </c>
      <c r="AE35" s="11" t="str">
        <f>IF(AE$3=0,"",SUMIFS(INDEX(Inputs!$D$4:$AG$200,0,MATCH(AE$2,Inputs!$D$2:$AG$2,0)),Inputs!$B$4:$B$200,$B35)/1000)</f>
        <v/>
      </c>
      <c r="AF35" s="11" t="str">
        <f>IF(AF$3=0,"",SUMIFS(INDEX(Inputs!$D$4:$AG$200,0,MATCH(AF$2,Inputs!$D$2:$AG$2,0)),Inputs!$B$4:$B$200,$B35)/1000)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IF(D$3=0,"",SUMIFS(INDEX(Inputs!$D$4:$AG$200,0,MATCH(D$2,Inputs!$D$2:$AG$2,0)),Inputs!$B$4:$B$200,$B36)/1000)</f>
        <v>0</v>
      </c>
      <c r="E36" s="11">
        <f>IF(E$3=0,"",SUMIFS(INDEX(Inputs!$D$4:$AG$200,0,MATCH(E$2,Inputs!$D$2:$AG$2,0)),Inputs!$B$4:$B$200,$B36)/1000)</f>
        <v>0</v>
      </c>
      <c r="F36" s="11">
        <f>IF(F$3=0,"",SUMIFS(INDEX(Inputs!$D$4:$AG$200,0,MATCH(F$2,Inputs!$D$2:$AG$2,0)),Inputs!$B$4:$B$200,$B36)/1000)</f>
        <v>0</v>
      </c>
      <c r="G36" s="11">
        <f>IF(G$3=0,"",SUMIFS(INDEX(Inputs!$D$4:$AG$200,0,MATCH(G$2,Inputs!$D$2:$AG$2,0)),Inputs!$B$4:$B$200,$B36)/1000)</f>
        <v>0</v>
      </c>
      <c r="H36" s="12">
        <f>IF(G36="","",G36)</f>
        <v>0</v>
      </c>
      <c r="I36" s="11">
        <f>IF(I$3=0,"",SUMIFS(INDEX(Inputs!$D$4:$AG$200,0,MATCH(I$2,Inputs!$D$2:$AG$2,0)),Inputs!$B$4:$B$200,$B36)/1000)</f>
        <v>0</v>
      </c>
      <c r="J36" s="11">
        <f>IF(J$3=0,"",SUMIFS(INDEX(Inputs!$D$4:$AG$200,0,MATCH(J$2,Inputs!$D$2:$AG$2,0)),Inputs!$B$4:$B$200,$B36)/1000)</f>
        <v>0</v>
      </c>
      <c r="K36" s="11">
        <f>IF(K$3=0,"",SUMIFS(INDEX(Inputs!$D$4:$AG$200,0,MATCH(K$2,Inputs!$D$2:$AG$2,0)),Inputs!$B$4:$B$200,$B36)/1000)</f>
        <v>0</v>
      </c>
      <c r="L36" s="11">
        <f>IF(L$3=0,"",SUMIFS(INDEX(Inputs!$D$4:$AG$200,0,MATCH(L$2,Inputs!$D$2:$AG$2,0)),Inputs!$B$4:$B$200,$B36)/1000)</f>
        <v>0</v>
      </c>
      <c r="M36" s="12">
        <f>IF(L36="","",L36)</f>
        <v>0</v>
      </c>
      <c r="N36" s="11">
        <f>IF(N$3=0,"",SUMIFS(INDEX(Inputs!$D$4:$AG$200,0,MATCH(N$2,Inputs!$D$2:$AG$2,0)),Inputs!$B$4:$B$200,$B36)/1000)</f>
        <v>0</v>
      </c>
      <c r="O36" s="11">
        <f>IF(O$3=0,"",SUMIFS(INDEX(Inputs!$D$4:$AG$200,0,MATCH(O$2,Inputs!$D$2:$AG$2,0)),Inputs!$B$4:$B$200,$B36)/1000)</f>
        <v>0</v>
      </c>
      <c r="P36" s="11">
        <f>IF(P$3=0,"",SUMIFS(INDEX(Inputs!$D$4:$AG$200,0,MATCH(P$2,Inputs!$D$2:$AG$2,0)),Inputs!$B$4:$B$200,$B36)/1000)</f>
        <v>0</v>
      </c>
      <c r="Q36" s="11">
        <f>IF(Q$3=0,"",SUMIFS(INDEX(Inputs!$D$4:$AG$200,0,MATCH(Q$2,Inputs!$D$2:$AG$2,0)),Inputs!$B$4:$B$200,$B36)/1000)</f>
        <v>0</v>
      </c>
      <c r="R36" s="12">
        <f>IF(Q36="","",Q36)</f>
        <v>0</v>
      </c>
      <c r="S36" s="11">
        <f>IF(S$3=0,"",SUMIFS(INDEX(Inputs!$D$4:$AG$200,0,MATCH(S$2,Inputs!$D$2:$AG$2,0)),Inputs!$B$4:$B$200,$B36)/1000)</f>
        <v>0</v>
      </c>
      <c r="T36" s="11">
        <f>IF(T$3=0,"",SUMIFS(INDEX(Inputs!$D$4:$AG$200,0,MATCH(T$2,Inputs!$D$2:$AG$2,0)),Inputs!$B$4:$B$200,$B36)/1000)</f>
        <v>0</v>
      </c>
      <c r="U36" s="11">
        <f>IF(U$3=0,"",SUMIFS(INDEX(Inputs!$D$4:$AG$200,0,MATCH(U$2,Inputs!$D$2:$AG$2,0)),Inputs!$B$4:$B$200,$B36)/1000)</f>
        <v>0</v>
      </c>
      <c r="V36" s="11">
        <f>IF(V$3=0,"",SUMIFS(INDEX(Inputs!$D$4:$AG$200,0,MATCH(V$2,Inputs!$D$2:$AG$2,0)),Inputs!$B$4:$B$200,$B36)/1000)</f>
        <v>0</v>
      </c>
      <c r="W36" s="12">
        <f>IF(V36="","",V36)</f>
        <v>0</v>
      </c>
      <c r="X36" s="11">
        <f>IF(X$3=0,"",SUMIFS(INDEX(Inputs!$D$4:$AG$200,0,MATCH(X$2,Inputs!$D$2:$AG$2,0)),Inputs!$B$4:$B$200,$B36)/1000)</f>
        <v>0</v>
      </c>
      <c r="Y36" s="11">
        <f>IF(Y$3=0,"",SUMIFS(INDEX(Inputs!$D$4:$AG$200,0,MATCH(Y$2,Inputs!$D$2:$AG$2,0)),Inputs!$B$4:$B$200,$B36)/1000)</f>
        <v>0</v>
      </c>
      <c r="Z36" s="11">
        <f>IF(Z$3=0,"",SUMIFS(INDEX(Inputs!$D$4:$AG$200,0,MATCH(Z$2,Inputs!$D$2:$AG$2,0)),Inputs!$B$4:$B$200,$B36)/1000)</f>
        <v>0</v>
      </c>
      <c r="AA36" s="11">
        <f>IF(AA$3=0,"",SUMIFS(INDEX(Inputs!$D$4:$AG$200,0,MATCH(AA$2,Inputs!$D$2:$AG$2,0)),Inputs!$B$4:$B$200,$B36)/1000)</f>
        <v>0</v>
      </c>
      <c r="AB36" s="12">
        <f>IF(AA36="","",AA36)</f>
        <v>0</v>
      </c>
      <c r="AC36" s="11">
        <f>IF(AC$3=0,"",SUMIFS(INDEX(Inputs!$D$4:$AG$200,0,MATCH(AC$2,Inputs!$D$2:$AG$2,0)),Inputs!$B$4:$B$200,$B36)/1000)</f>
        <v>0</v>
      </c>
      <c r="AD36" s="11">
        <f>IF(AD$3=0,"",SUMIFS(INDEX(Inputs!$D$4:$AG$200,0,MATCH(AD$2,Inputs!$D$2:$AG$2,0)),Inputs!$B$4:$B$200,$B36)/1000)</f>
        <v>0</v>
      </c>
      <c r="AE36" s="11" t="str">
        <f>IF(AE$3=0,"",SUMIFS(INDEX(Inputs!$D$4:$AG$200,0,MATCH(AE$2,Inputs!$D$2:$AG$2,0)),Inputs!$B$4:$B$200,$B36)/1000)</f>
        <v/>
      </c>
      <c r="AF36" s="11" t="str">
        <f>IF(AF$3=0,"",SUMIFS(INDEX(Inputs!$D$4:$AG$200,0,MATCH(AF$2,Inputs!$D$2:$AG$2,0)),Inputs!$B$4:$B$200,$B36)/1000)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IF(D$3=0,"",SUMIFS(INDEX(Inputs!$D$4:$AG$200,0,MATCH(D$2,Inputs!$D$2:$AG$2,0)),Inputs!$B$4:$B$200,$B37)/1000)</f>
        <v>0</v>
      </c>
      <c r="E37" s="11">
        <f>IF(E$3=0,"",SUMIFS(INDEX(Inputs!$D$4:$AG$200,0,MATCH(E$2,Inputs!$D$2:$AG$2,0)),Inputs!$B$4:$B$200,$B37)/1000)</f>
        <v>0</v>
      </c>
      <c r="F37" s="11">
        <f>IF(F$3=0,"",SUMIFS(INDEX(Inputs!$D$4:$AG$200,0,MATCH(F$2,Inputs!$D$2:$AG$2,0)),Inputs!$B$4:$B$200,$B37)/1000)</f>
        <v>0</v>
      </c>
      <c r="G37" s="11">
        <f>IF(G$3=0,"",SUMIFS(INDEX(Inputs!$D$4:$AG$200,0,MATCH(G$2,Inputs!$D$2:$AG$2,0)),Inputs!$B$4:$B$200,$B37)/1000)</f>
        <v>0</v>
      </c>
      <c r="H37" s="12">
        <f>IF(G37="","",G37)</f>
        <v>0</v>
      </c>
      <c r="I37" s="11">
        <f>IF(I$3=0,"",SUMIFS(INDEX(Inputs!$D$4:$AG$200,0,MATCH(I$2,Inputs!$D$2:$AG$2,0)),Inputs!$B$4:$B$200,$B37)/1000)</f>
        <v>0</v>
      </c>
      <c r="J37" s="11">
        <f>IF(J$3=0,"",SUMIFS(INDEX(Inputs!$D$4:$AG$200,0,MATCH(J$2,Inputs!$D$2:$AG$2,0)),Inputs!$B$4:$B$200,$B37)/1000)</f>
        <v>0</v>
      </c>
      <c r="K37" s="11">
        <f>IF(K$3=0,"",SUMIFS(INDEX(Inputs!$D$4:$AG$200,0,MATCH(K$2,Inputs!$D$2:$AG$2,0)),Inputs!$B$4:$B$200,$B37)/1000)</f>
        <v>0</v>
      </c>
      <c r="L37" s="11">
        <f>IF(L$3=0,"",SUMIFS(INDEX(Inputs!$D$4:$AG$200,0,MATCH(L$2,Inputs!$D$2:$AG$2,0)),Inputs!$B$4:$B$200,$B37)/1000)</f>
        <v>0</v>
      </c>
      <c r="M37" s="12">
        <f>IF(L37="","",L37)</f>
        <v>0</v>
      </c>
      <c r="N37" s="11">
        <f>IF(N$3=0,"",SUMIFS(INDEX(Inputs!$D$4:$AG$200,0,MATCH(N$2,Inputs!$D$2:$AG$2,0)),Inputs!$B$4:$B$200,$B37)/1000)</f>
        <v>0</v>
      </c>
      <c r="O37" s="11">
        <f>IF(O$3=0,"",SUMIFS(INDEX(Inputs!$D$4:$AG$200,0,MATCH(O$2,Inputs!$D$2:$AG$2,0)),Inputs!$B$4:$B$200,$B37)/1000)</f>
        <v>0</v>
      </c>
      <c r="P37" s="11">
        <f>IF(P$3=0,"",SUMIFS(INDEX(Inputs!$D$4:$AG$200,0,MATCH(P$2,Inputs!$D$2:$AG$2,0)),Inputs!$B$4:$B$200,$B37)/1000)</f>
        <v>0</v>
      </c>
      <c r="Q37" s="11">
        <f>IF(Q$3=0,"",SUMIFS(INDEX(Inputs!$D$4:$AG$200,0,MATCH(Q$2,Inputs!$D$2:$AG$2,0)),Inputs!$B$4:$B$200,$B37)/1000)</f>
        <v>0</v>
      </c>
      <c r="R37" s="12">
        <f>IF(Q37="","",Q37)</f>
        <v>0</v>
      </c>
      <c r="S37" s="11">
        <f>IF(S$3=0,"",SUMIFS(INDEX(Inputs!$D$4:$AG$200,0,MATCH(S$2,Inputs!$D$2:$AG$2,0)),Inputs!$B$4:$B$200,$B37)/1000)</f>
        <v>0</v>
      </c>
      <c r="T37" s="11">
        <f>IF(T$3=0,"",SUMIFS(INDEX(Inputs!$D$4:$AG$200,0,MATCH(T$2,Inputs!$D$2:$AG$2,0)),Inputs!$B$4:$B$200,$B37)/1000)</f>
        <v>0</v>
      </c>
      <c r="U37" s="11">
        <f>IF(U$3=0,"",SUMIFS(INDEX(Inputs!$D$4:$AG$200,0,MATCH(U$2,Inputs!$D$2:$AG$2,0)),Inputs!$B$4:$B$200,$B37)/1000)</f>
        <v>0</v>
      </c>
      <c r="V37" s="11">
        <f>IF(V$3=0,"",SUMIFS(INDEX(Inputs!$D$4:$AG$200,0,MATCH(V$2,Inputs!$D$2:$AG$2,0)),Inputs!$B$4:$B$200,$B37)/1000)</f>
        <v>0</v>
      </c>
      <c r="W37" s="12">
        <f>IF(V37="","",V37)</f>
        <v>0</v>
      </c>
      <c r="X37" s="11">
        <f>IF(X$3=0,"",SUMIFS(INDEX(Inputs!$D$4:$AG$200,0,MATCH(X$2,Inputs!$D$2:$AG$2,0)),Inputs!$B$4:$B$200,$B37)/1000)</f>
        <v>0</v>
      </c>
      <c r="Y37" s="11">
        <f>IF(Y$3=0,"",SUMIFS(INDEX(Inputs!$D$4:$AG$200,0,MATCH(Y$2,Inputs!$D$2:$AG$2,0)),Inputs!$B$4:$B$200,$B37)/1000)</f>
        <v>0</v>
      </c>
      <c r="Z37" s="11">
        <f>IF(Z$3=0,"",SUMIFS(INDEX(Inputs!$D$4:$AG$200,0,MATCH(Z$2,Inputs!$D$2:$AG$2,0)),Inputs!$B$4:$B$200,$B37)/1000)</f>
        <v>0</v>
      </c>
      <c r="AA37" s="11">
        <f>IF(AA$3=0,"",SUMIFS(INDEX(Inputs!$D$4:$AG$200,0,MATCH(AA$2,Inputs!$D$2:$AG$2,0)),Inputs!$B$4:$B$200,$B37)/1000)</f>
        <v>0</v>
      </c>
      <c r="AB37" s="12">
        <f>IF(AA37="","",AA37)</f>
        <v>0</v>
      </c>
      <c r="AC37" s="11">
        <f>IF(AC$3=0,"",SUMIFS(INDEX(Inputs!$D$4:$AG$200,0,MATCH(AC$2,Inputs!$D$2:$AG$2,0)),Inputs!$B$4:$B$200,$B37)/1000)</f>
        <v>0</v>
      </c>
      <c r="AD37" s="11">
        <f>IF(AD$3=0,"",SUMIFS(INDEX(Inputs!$D$4:$AG$200,0,MATCH(AD$2,Inputs!$D$2:$AG$2,0)),Inputs!$B$4:$B$200,$B37)/1000)</f>
        <v>0</v>
      </c>
      <c r="AE37" s="11" t="str">
        <f>IF(AE$3=0,"",SUMIFS(INDEX(Inputs!$D$4:$AG$200,0,MATCH(AE$2,Inputs!$D$2:$AG$2,0)),Inputs!$B$4:$B$200,$B37)/1000)</f>
        <v/>
      </c>
      <c r="AF37" s="11" t="str">
        <f>IF(AF$3=0,"",SUMIFS(INDEX(Inputs!$D$4:$AG$200,0,MATCH(AF$2,Inputs!$D$2:$AG$2,0)),Inputs!$B$4:$B$200,$B37)/1000)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IF(D$3=0,"",SUMIFS(INDEX(Inputs!$D$4:$AG$200,0,MATCH(D$2,Inputs!$D$2:$AG$2,0)),Inputs!$B$4:$B$200,$B38)/1000)</f>
        <v>27.746</v>
      </c>
      <c r="E38" s="11">
        <f>IF(E$3=0,"",SUMIFS(INDEX(Inputs!$D$4:$AG$200,0,MATCH(E$2,Inputs!$D$2:$AG$2,0)),Inputs!$B$4:$B$200,$B38)/1000)</f>
        <v>32.242</v>
      </c>
      <c r="F38" s="11">
        <f>IF(F$3=0,"",SUMIFS(INDEX(Inputs!$D$4:$AG$200,0,MATCH(F$2,Inputs!$D$2:$AG$2,0)),Inputs!$B$4:$B$200,$B38)/1000)</f>
        <v>33.256</v>
      </c>
      <c r="G38" s="11">
        <f>IF(G$3=0,"",SUMIFS(INDEX(Inputs!$D$4:$AG$200,0,MATCH(G$2,Inputs!$D$2:$AG$2,0)),Inputs!$B$4:$B$200,$B38)/1000)</f>
        <v>32.69</v>
      </c>
      <c r="H38" s="12">
        <f>IF(G38="","",G38)</f>
        <v>32.69</v>
      </c>
      <c r="I38" s="11">
        <f>IF(I$3=0,"",SUMIFS(INDEX(Inputs!$D$4:$AG$200,0,MATCH(I$2,Inputs!$D$2:$AG$2,0)),Inputs!$B$4:$B$200,$B38)/1000)</f>
        <v>38.11</v>
      </c>
      <c r="J38" s="11">
        <f>IF(J$3=0,"",SUMIFS(INDEX(Inputs!$D$4:$AG$200,0,MATCH(J$2,Inputs!$D$2:$AG$2,0)),Inputs!$B$4:$B$200,$B38)/1000)</f>
        <v>42.818</v>
      </c>
      <c r="K38" s="11">
        <f>IF(K$3=0,"",SUMIFS(INDEX(Inputs!$D$4:$AG$200,0,MATCH(K$2,Inputs!$D$2:$AG$2,0)),Inputs!$B$4:$B$200,$B38)/1000)</f>
        <v>46.246</v>
      </c>
      <c r="L38" s="11">
        <f>IF(L$3=0,"",SUMIFS(INDEX(Inputs!$D$4:$AG$200,0,MATCH(L$2,Inputs!$D$2:$AG$2,0)),Inputs!$B$4:$B$200,$B38)/1000)</f>
        <v>46.095</v>
      </c>
      <c r="M38" s="12">
        <f>IF(L38="","",L38)</f>
        <v>46.095</v>
      </c>
      <c r="N38" s="11">
        <f>IF(N$3=0,"",SUMIFS(INDEX(Inputs!$D$4:$AG$200,0,MATCH(N$2,Inputs!$D$2:$AG$2,0)),Inputs!$B$4:$B$200,$B38)/1000)</f>
        <v>49.482</v>
      </c>
      <c r="O38" s="11">
        <f>IF(O$3=0,"",SUMIFS(INDEX(Inputs!$D$4:$AG$200,0,MATCH(O$2,Inputs!$D$2:$AG$2,0)),Inputs!$B$4:$B$200,$B38)/1000)</f>
        <v>54.275</v>
      </c>
      <c r="P38" s="11">
        <f>IF(P$3=0,"",SUMIFS(INDEX(Inputs!$D$4:$AG$200,0,MATCH(P$2,Inputs!$D$2:$AG$2,0)),Inputs!$B$4:$B$200,$B38)/1000)</f>
        <v>55.941</v>
      </c>
      <c r="Q38" s="11">
        <f>IF(Q$3=0,"",SUMIFS(INDEX(Inputs!$D$4:$AG$200,0,MATCH(Q$2,Inputs!$D$2:$AG$2,0)),Inputs!$B$4:$B$200,$B38)/1000)</f>
        <v>55.673</v>
      </c>
      <c r="R38" s="12">
        <f>IF(Q38="","",Q38)</f>
        <v>55.673</v>
      </c>
      <c r="S38" s="11">
        <f>IF(S$3=0,"",SUMIFS(INDEX(Inputs!$D$4:$AG$200,0,MATCH(S$2,Inputs!$D$2:$AG$2,0)),Inputs!$B$4:$B$200,$B38)/1000)</f>
        <v>61.751</v>
      </c>
      <c r="T38" s="11">
        <f>IF(T$3=0,"",SUMIFS(INDEX(Inputs!$D$4:$AG$200,0,MATCH(T$2,Inputs!$D$2:$AG$2,0)),Inputs!$B$4:$B$200,$B38)/1000)</f>
        <v>61.162</v>
      </c>
      <c r="U38" s="11">
        <f>IF(U$3=0,"",SUMIFS(INDEX(Inputs!$D$4:$AG$200,0,MATCH(U$2,Inputs!$D$2:$AG$2,0)),Inputs!$B$4:$B$200,$B38)/1000)</f>
        <v>62.667</v>
      </c>
      <c r="V38" s="11">
        <f>IF(V$3=0,"",SUMIFS(INDEX(Inputs!$D$4:$AG$200,0,MATCH(V$2,Inputs!$D$2:$AG$2,0)),Inputs!$B$4:$B$200,$B38)/1000)</f>
        <v>58.007</v>
      </c>
      <c r="W38" s="12">
        <f>IF(V38="","",V38)</f>
        <v>58.007</v>
      </c>
      <c r="X38" s="11">
        <f>IF(X$3=0,"",SUMIFS(INDEX(Inputs!$D$4:$AG$200,0,MATCH(X$2,Inputs!$D$2:$AG$2,0)),Inputs!$B$4:$B$200,$B38)/1000)</f>
        <v>76.117</v>
      </c>
      <c r="Y38" s="11">
        <f>IF(Y$3=0,"",SUMIFS(INDEX(Inputs!$D$4:$AG$200,0,MATCH(Y$2,Inputs!$D$2:$AG$2,0)),Inputs!$B$4:$B$200,$B38)/1000)</f>
        <v>82.147</v>
      </c>
      <c r="Z38" s="11">
        <f>IF(Z$3=0,"",SUMIFS(INDEX(Inputs!$D$4:$AG$200,0,MATCH(Z$2,Inputs!$D$2:$AG$2,0)),Inputs!$B$4:$B$200,$B38)/1000)</f>
        <v>81.604</v>
      </c>
      <c r="AA38" s="11">
        <f>IF(AA$3=0,"",SUMIFS(INDEX(Inputs!$D$4:$AG$200,0,MATCH(AA$2,Inputs!$D$2:$AG$2,0)),Inputs!$B$4:$B$200,$B38)/1000)</f>
        <v>81.321</v>
      </c>
      <c r="AB38" s="12">
        <f>IF(AA38="","",AA38)</f>
        <v>81.321</v>
      </c>
      <c r="AC38" s="11">
        <f>IF(AC$3=0,"",SUMIFS(INDEX(Inputs!$D$4:$AG$200,0,MATCH(AC$2,Inputs!$D$2:$AG$2,0)),Inputs!$B$4:$B$200,$B38)/1000)</f>
        <v>89.549</v>
      </c>
      <c r="AD38" s="11">
        <f>IF(AD$3=0,"",SUMIFS(INDEX(Inputs!$D$4:$AG$200,0,MATCH(AD$2,Inputs!$D$2:$AG$2,0)),Inputs!$B$4:$B$200,$B38)/1000)</f>
        <v>95.822</v>
      </c>
      <c r="AE38" s="11" t="str">
        <f>IF(AE$3=0,"",SUMIFS(INDEX(Inputs!$D$4:$AG$200,0,MATCH(AE$2,Inputs!$D$2:$AG$2,0)),Inputs!$B$4:$B$200,$B38)/1000)</f>
        <v/>
      </c>
      <c r="AF38" s="11" t="str">
        <f>IF(AF$3=0,"",SUMIFS(INDEX(Inputs!$D$4:$AG$200,0,MATCH(AF$2,Inputs!$D$2:$AG$2,0)),Inputs!$B$4:$B$200,$B38)/1000)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IF(D$3=0,"",SUMIFS(INDEX(Inputs!$D$4:$AG$200,0,MATCH(D$2,Inputs!$D$2:$AG$2,0)),Inputs!$B$4:$B$200,$B39)/1000)</f>
        <v>289.58</v>
      </c>
      <c r="E39" s="11">
        <f>IF(E$3=0,"",SUMIFS(INDEX(Inputs!$D$4:$AG$200,0,MATCH(E$2,Inputs!$D$2:$AG$2,0)),Inputs!$B$4:$B$200,$B39)/1000)</f>
        <v>240.258</v>
      </c>
      <c r="F39" s="11">
        <f>IF(F$3=0,"",SUMIFS(INDEX(Inputs!$D$4:$AG$200,0,MATCH(F$2,Inputs!$D$2:$AG$2,0)),Inputs!$B$4:$B$200,$B39)/1000)</f>
        <v>318.042</v>
      </c>
      <c r="G39" s="11">
        <f>IF(G$3=0,"",SUMIFS(INDEX(Inputs!$D$4:$AG$200,0,MATCH(G$2,Inputs!$D$2:$AG$2,0)),Inputs!$B$4:$B$200,$B39)/1000)</f>
        <v>397.844</v>
      </c>
      <c r="H39" s="12">
        <f>IF(G39="","",G39)</f>
        <v>397.844</v>
      </c>
      <c r="I39" s="11">
        <f>IF(I$3=0,"",SUMIFS(INDEX(Inputs!$D$4:$AG$200,0,MATCH(I$2,Inputs!$D$2:$AG$2,0)),Inputs!$B$4:$B$200,$B39)/1000)</f>
        <v>392.31</v>
      </c>
      <c r="J39" s="11">
        <f>IF(J$3=0,"",SUMIFS(INDEX(Inputs!$D$4:$AG$200,0,MATCH(J$2,Inputs!$D$2:$AG$2,0)),Inputs!$B$4:$B$200,$B39)/1000)</f>
        <v>381.787</v>
      </c>
      <c r="K39" s="11">
        <f>IF(K$3=0,"",SUMIFS(INDEX(Inputs!$D$4:$AG$200,0,MATCH(K$2,Inputs!$D$2:$AG$2,0)),Inputs!$B$4:$B$200,$B39)/1000)</f>
        <v>466.870718609</v>
      </c>
      <c r="L39" s="11">
        <f>IF(L$3=0,"",SUMIFS(INDEX(Inputs!$D$4:$AG$200,0,MATCH(L$2,Inputs!$D$2:$AG$2,0)),Inputs!$B$4:$B$200,$B39)/1000)</f>
        <v>460.873</v>
      </c>
      <c r="M39" s="12">
        <f>IF(L39="","",L39)</f>
        <v>460.873</v>
      </c>
      <c r="N39" s="11">
        <f>IF(N$3=0,"",SUMIFS(INDEX(Inputs!$D$4:$AG$200,0,MATCH(N$2,Inputs!$D$2:$AG$2,0)),Inputs!$B$4:$B$200,$B39)/1000)</f>
        <v>600.815</v>
      </c>
      <c r="O39" s="11">
        <f>IF(O$3=0,"",SUMIFS(INDEX(Inputs!$D$4:$AG$200,0,MATCH(O$2,Inputs!$D$2:$AG$2,0)),Inputs!$B$4:$B$200,$B39)/1000)</f>
        <v>545.419</v>
      </c>
      <c r="P39" s="11">
        <f>IF(P$3=0,"",SUMIFS(INDEX(Inputs!$D$4:$AG$200,0,MATCH(P$2,Inputs!$D$2:$AG$2,0)),Inputs!$B$4:$B$200,$B39)/1000)</f>
        <v>550.163</v>
      </c>
      <c r="Q39" s="11">
        <f>IF(Q$3=0,"",SUMIFS(INDEX(Inputs!$D$4:$AG$200,0,MATCH(Q$2,Inputs!$D$2:$AG$2,0)),Inputs!$B$4:$B$200,$B39)/1000)</f>
        <v>474.925</v>
      </c>
      <c r="R39" s="12">
        <f>IF(Q39="","",Q39)</f>
        <v>474.925</v>
      </c>
      <c r="S39" s="11">
        <f>IF(S$3=0,"",SUMIFS(INDEX(Inputs!$D$4:$AG$200,0,MATCH(S$2,Inputs!$D$2:$AG$2,0)),Inputs!$B$4:$B$200,$B39)/1000)</f>
        <v>557.066</v>
      </c>
      <c r="T39" s="11">
        <f>IF(T$3=0,"",SUMIFS(INDEX(Inputs!$D$4:$AG$200,0,MATCH(T$2,Inputs!$D$2:$AG$2,0)),Inputs!$B$4:$B$200,$B39)/1000)</f>
        <v>554.32</v>
      </c>
      <c r="U39" s="11">
        <f>IF(U$3=0,"",SUMIFS(INDEX(Inputs!$D$4:$AG$200,0,MATCH(U$2,Inputs!$D$2:$AG$2,0)),Inputs!$B$4:$B$200,$B39)/1000)</f>
        <v>517.875</v>
      </c>
      <c r="V39" s="11">
        <f>IF(V$3=0,"",SUMIFS(INDEX(Inputs!$D$4:$AG$200,0,MATCH(V$2,Inputs!$D$2:$AG$2,0)),Inputs!$B$4:$B$200,$B39)/1000)</f>
        <v>951.601</v>
      </c>
      <c r="W39" s="12">
        <f>IF(V39="","",V39)</f>
        <v>951.601</v>
      </c>
      <c r="X39" s="11">
        <f>IF(X$3=0,"",SUMIFS(INDEX(Inputs!$D$4:$AG$200,0,MATCH(X$2,Inputs!$D$2:$AG$2,0)),Inputs!$B$4:$B$200,$B39)/1000)</f>
        <v>948.208</v>
      </c>
      <c r="Y39" s="11">
        <f>IF(Y$3=0,"",SUMIFS(INDEX(Inputs!$D$4:$AG$200,0,MATCH(Y$2,Inputs!$D$2:$AG$2,0)),Inputs!$B$4:$B$200,$B39)/1000)</f>
        <v>956.747</v>
      </c>
      <c r="Z39" s="11">
        <f>IF(Z$3=0,"",SUMIFS(INDEX(Inputs!$D$4:$AG$200,0,MATCH(Z$2,Inputs!$D$2:$AG$2,0)),Inputs!$B$4:$B$200,$B39)/1000)</f>
        <v>1039.125</v>
      </c>
      <c r="AA39" s="11">
        <f>IF(AA$3=0,"",SUMIFS(INDEX(Inputs!$D$4:$AG$200,0,MATCH(AA$2,Inputs!$D$2:$AG$2,0)),Inputs!$B$4:$B$200,$B39)/1000)</f>
        <v>1002.438</v>
      </c>
      <c r="AB39" s="12">
        <f>IF(AA39="","",AA39)</f>
        <v>1002.438</v>
      </c>
      <c r="AC39" s="11">
        <f>IF(AC$3=0,"",SUMIFS(INDEX(Inputs!$D$4:$AG$200,0,MATCH(AC$2,Inputs!$D$2:$AG$2,0)),Inputs!$B$4:$B$200,$B39)/1000)</f>
        <v>1151.572</v>
      </c>
      <c r="AD39" s="11">
        <f>IF(AD$3=0,"",SUMIFS(INDEX(Inputs!$D$4:$AG$200,0,MATCH(AD$2,Inputs!$D$2:$AG$2,0)),Inputs!$B$4:$B$200,$B39)/1000)</f>
        <v>1086.601</v>
      </c>
      <c r="AE39" s="11" t="str">
        <f>IF(AE$3=0,"",SUMIFS(INDEX(Inputs!$D$4:$AG$200,0,MATCH(AE$2,Inputs!$D$2:$AG$2,0)),Inputs!$B$4:$B$200,$B39)/1000)</f>
        <v/>
      </c>
      <c r="AF39" s="11" t="str">
        <f>IF(AF$3=0,"",SUMIFS(INDEX(Inputs!$D$4:$AG$200,0,MATCH(AF$2,Inputs!$D$2:$AG$2,0)),Inputs!$B$4:$B$200,$B39)/1000)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IF(D$3=0,"",SUMIFS(INDEX(Inputs!$D$4:$AG$200,0,MATCH(D$2,Inputs!$D$2:$AG$2,0)),Inputs!$B$4:$B$200,$B41)/1000)</f>
        <v>154.258</v>
      </c>
      <c r="E41" s="11">
        <f>IF(E$3=0,"",SUMIFS(INDEX(Inputs!$D$4:$AG$200,0,MATCH(E$2,Inputs!$D$2:$AG$2,0)),Inputs!$B$4:$B$200,$B41)/1000)</f>
        <v>150.132</v>
      </c>
      <c r="F41" s="11">
        <f>IF(F$3=0,"",SUMIFS(INDEX(Inputs!$D$4:$AG$200,0,MATCH(F$2,Inputs!$D$2:$AG$2,0)),Inputs!$B$4:$B$200,$B41)/1000)</f>
        <v>148.534</v>
      </c>
      <c r="G41" s="11">
        <f>IF(G$3=0,"",SUMIFS(INDEX(Inputs!$D$4:$AG$200,0,MATCH(G$2,Inputs!$D$2:$AG$2,0)),Inputs!$B$4:$B$200,$B41)/1000)</f>
        <v>147.23</v>
      </c>
      <c r="H41" s="12">
        <f>IF(G41="","",G41)</f>
        <v>147.23</v>
      </c>
      <c r="I41" s="11">
        <f>IF(I$3=0,"",SUMIFS(INDEX(Inputs!$D$4:$AG$200,0,MATCH(I$2,Inputs!$D$2:$AG$2,0)),Inputs!$B$4:$B$200,$B41)/1000)</f>
        <v>144.035</v>
      </c>
      <c r="J41" s="11">
        <f>IF(J$3=0,"",SUMIFS(INDEX(Inputs!$D$4:$AG$200,0,MATCH(J$2,Inputs!$D$2:$AG$2,0)),Inputs!$B$4:$B$200,$B41)/1000)</f>
        <v>147.818</v>
      </c>
      <c r="K41" s="11">
        <f>IF(K$3=0,"",SUMIFS(INDEX(Inputs!$D$4:$AG$200,0,MATCH(K$2,Inputs!$D$2:$AG$2,0)),Inputs!$B$4:$B$200,$B41)/1000)</f>
        <v>134.033</v>
      </c>
      <c r="L41" s="11">
        <f>IF(L$3=0,"",SUMIFS(INDEX(Inputs!$D$4:$AG$200,0,MATCH(L$2,Inputs!$D$2:$AG$2,0)),Inputs!$B$4:$B$200,$B41)/1000)</f>
        <v>126.011</v>
      </c>
      <c r="M41" s="12">
        <f>IF(L41="","",L41)</f>
        <v>126.011</v>
      </c>
      <c r="N41" s="11">
        <f>IF(N$3=0,"",SUMIFS(INDEX(Inputs!$D$4:$AG$200,0,MATCH(N$2,Inputs!$D$2:$AG$2,0)),Inputs!$B$4:$B$200,$B41)/1000)</f>
        <v>126.067</v>
      </c>
      <c r="O41" s="11">
        <f>IF(O$3=0,"",SUMIFS(INDEX(Inputs!$D$4:$AG$200,0,MATCH(O$2,Inputs!$D$2:$AG$2,0)),Inputs!$B$4:$B$200,$B41)/1000)</f>
        <v>137.528</v>
      </c>
      <c r="P41" s="11">
        <f>IF(P$3=0,"",SUMIFS(INDEX(Inputs!$D$4:$AG$200,0,MATCH(P$2,Inputs!$D$2:$AG$2,0)),Inputs!$B$4:$B$200,$B41)/1000)</f>
        <v>132.985</v>
      </c>
      <c r="Q41" s="11">
        <f>IF(Q$3=0,"",SUMIFS(INDEX(Inputs!$D$4:$AG$200,0,MATCH(Q$2,Inputs!$D$2:$AG$2,0)),Inputs!$B$4:$B$200,$B41)/1000)</f>
        <v>132.015</v>
      </c>
      <c r="R41" s="12">
        <f>IF(Q41="","",Q41)</f>
        <v>132.015</v>
      </c>
      <c r="S41" s="11">
        <f>IF(S$3=0,"",SUMIFS(INDEX(Inputs!$D$4:$AG$200,0,MATCH(S$2,Inputs!$D$2:$AG$2,0)),Inputs!$B$4:$B$200,$B41)/1000)</f>
        <v>152.236</v>
      </c>
      <c r="T41" s="11">
        <f>IF(T$3=0,"",SUMIFS(INDEX(Inputs!$D$4:$AG$200,0,MATCH(T$2,Inputs!$D$2:$AG$2,0)),Inputs!$B$4:$B$200,$B41)/1000)</f>
        <v>139.517</v>
      </c>
      <c r="U41" s="11">
        <f>IF(U$3=0,"",SUMIFS(INDEX(Inputs!$D$4:$AG$200,0,MATCH(U$2,Inputs!$D$2:$AG$2,0)),Inputs!$B$4:$B$200,$B41)/1000)</f>
        <v>149.296</v>
      </c>
      <c r="V41" s="11">
        <f>IF(V$3=0,"",SUMIFS(INDEX(Inputs!$D$4:$AG$200,0,MATCH(V$2,Inputs!$D$2:$AG$2,0)),Inputs!$B$4:$B$200,$B41)/1000)</f>
        <v>214.069</v>
      </c>
      <c r="W41" s="12">
        <f>IF(V41="","",V41)</f>
        <v>214.069</v>
      </c>
      <c r="X41" s="11">
        <f>IF(X$3=0,"",SUMIFS(INDEX(Inputs!$D$4:$AG$200,0,MATCH(X$2,Inputs!$D$2:$AG$2,0)),Inputs!$B$4:$B$200,$B41)/1000)</f>
        <v>227.539</v>
      </c>
      <c r="Y41" s="11">
        <f>IF(Y$3=0,"",SUMIFS(INDEX(Inputs!$D$4:$AG$200,0,MATCH(Y$2,Inputs!$D$2:$AG$2,0)),Inputs!$B$4:$B$200,$B41)/1000)</f>
        <v>248.326</v>
      </c>
      <c r="Z41" s="11">
        <f>IF(Z$3=0,"",SUMIFS(INDEX(Inputs!$D$4:$AG$200,0,MATCH(Z$2,Inputs!$D$2:$AG$2,0)),Inputs!$B$4:$B$200,$B41)/1000)</f>
        <v>256.908</v>
      </c>
      <c r="AA41" s="11">
        <f>IF(AA$3=0,"",SUMIFS(INDEX(Inputs!$D$4:$AG$200,0,MATCH(AA$2,Inputs!$D$2:$AG$2,0)),Inputs!$B$4:$B$200,$B41)/1000)</f>
        <v>280.348</v>
      </c>
      <c r="AB41" s="12">
        <f>IF(AA41="","",AA41)</f>
        <v>280.348</v>
      </c>
      <c r="AC41" s="11">
        <f>IF(AC$3=0,"",SUMIFS(INDEX(Inputs!$D$4:$AG$200,0,MATCH(AC$2,Inputs!$D$2:$AG$2,0)),Inputs!$B$4:$B$200,$B41)/1000)</f>
        <v>347.397</v>
      </c>
      <c r="AD41" s="11">
        <f>IF(AD$3=0,"",SUMIFS(INDEX(Inputs!$D$4:$AG$200,0,MATCH(AD$2,Inputs!$D$2:$AG$2,0)),Inputs!$B$4:$B$200,$B41)/1000)</f>
        <v>393.817</v>
      </c>
      <c r="AE41" s="11" t="str">
        <f>IF(AE$3=0,"",SUMIFS(INDEX(Inputs!$D$4:$AG$200,0,MATCH(AE$2,Inputs!$D$2:$AG$2,0)),Inputs!$B$4:$B$200,$B41)/1000)</f>
        <v/>
      </c>
      <c r="AF41" s="11" t="str">
        <f>IF(AF$3=0,"",SUMIFS(INDEX(Inputs!$D$4:$AG$200,0,MATCH(AF$2,Inputs!$D$2:$AG$2,0)),Inputs!$B$4:$B$200,$B41)/1000)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IF(D$3=0,"",SUMIFS(INDEX(Inputs!$D$4:$AG$200,0,MATCH(D$2,Inputs!$D$2:$AG$2,0)),Inputs!$B$4:$B$200,$B42)/1000)</f>
        <v>0</v>
      </c>
      <c r="E42" s="11">
        <f>IF(E$3=0,"",SUMIFS(INDEX(Inputs!$D$4:$AG$200,0,MATCH(E$2,Inputs!$D$2:$AG$2,0)),Inputs!$B$4:$B$200,$B42)/1000)</f>
        <v>0</v>
      </c>
      <c r="F42" s="11">
        <f>IF(F$3=0,"",SUMIFS(INDEX(Inputs!$D$4:$AG$200,0,MATCH(F$2,Inputs!$D$2:$AG$2,0)),Inputs!$B$4:$B$200,$B42)/1000)</f>
        <v>0</v>
      </c>
      <c r="G42" s="11">
        <f>IF(G$3=0,"",SUMIFS(INDEX(Inputs!$D$4:$AG$200,0,MATCH(G$2,Inputs!$D$2:$AG$2,0)),Inputs!$B$4:$B$200,$B42)/1000)</f>
        <v>0</v>
      </c>
      <c r="H42" s="12">
        <f>IF(G42="","",G42)</f>
        <v>0</v>
      </c>
      <c r="I42" s="11">
        <f>IF(I$3=0,"",SUMIFS(INDEX(Inputs!$D$4:$AG$200,0,MATCH(I$2,Inputs!$D$2:$AG$2,0)),Inputs!$B$4:$B$200,$B42)/1000)</f>
        <v>0</v>
      </c>
      <c r="J42" s="11">
        <f>IF(J$3=0,"",SUMIFS(INDEX(Inputs!$D$4:$AG$200,0,MATCH(J$2,Inputs!$D$2:$AG$2,0)),Inputs!$B$4:$B$200,$B42)/1000)</f>
        <v>0</v>
      </c>
      <c r="K42" s="11">
        <f>IF(K$3=0,"",SUMIFS(INDEX(Inputs!$D$4:$AG$200,0,MATCH(K$2,Inputs!$D$2:$AG$2,0)),Inputs!$B$4:$B$200,$B42)/1000)</f>
        <v>0</v>
      </c>
      <c r="L42" s="11">
        <f>IF(L$3=0,"",SUMIFS(INDEX(Inputs!$D$4:$AG$200,0,MATCH(L$2,Inputs!$D$2:$AG$2,0)),Inputs!$B$4:$B$200,$B42)/1000)</f>
        <v>0</v>
      </c>
      <c r="M42" s="12">
        <f>IF(L42="","",L42)</f>
        <v>0</v>
      </c>
      <c r="N42" s="11">
        <f>IF(N$3=0,"",SUMIFS(INDEX(Inputs!$D$4:$AG$200,0,MATCH(N$2,Inputs!$D$2:$AG$2,0)),Inputs!$B$4:$B$200,$B42)/1000)</f>
        <v>0</v>
      </c>
      <c r="O42" s="11">
        <f>IF(O$3=0,"",SUMIFS(INDEX(Inputs!$D$4:$AG$200,0,MATCH(O$2,Inputs!$D$2:$AG$2,0)),Inputs!$B$4:$B$200,$B42)/1000)</f>
        <v>0</v>
      </c>
      <c r="P42" s="11">
        <f>IF(P$3=0,"",SUMIFS(INDEX(Inputs!$D$4:$AG$200,0,MATCH(P$2,Inputs!$D$2:$AG$2,0)),Inputs!$B$4:$B$200,$B42)/1000)</f>
        <v>0</v>
      </c>
      <c r="Q42" s="11">
        <f>IF(Q$3=0,"",SUMIFS(INDEX(Inputs!$D$4:$AG$200,0,MATCH(Q$2,Inputs!$D$2:$AG$2,0)),Inputs!$B$4:$B$200,$B42)/1000)</f>
        <v>0</v>
      </c>
      <c r="R42" s="12">
        <f>IF(Q42="","",Q42)</f>
        <v>0</v>
      </c>
      <c r="S42" s="11">
        <f>IF(S$3=0,"",SUMIFS(INDEX(Inputs!$D$4:$AG$200,0,MATCH(S$2,Inputs!$D$2:$AG$2,0)),Inputs!$B$4:$B$200,$B42)/1000)</f>
        <v>0</v>
      </c>
      <c r="T42" s="11">
        <f>IF(T$3=0,"",SUMIFS(INDEX(Inputs!$D$4:$AG$200,0,MATCH(T$2,Inputs!$D$2:$AG$2,0)),Inputs!$B$4:$B$200,$B42)/1000)</f>
        <v>0</v>
      </c>
      <c r="U42" s="11">
        <f>IF(U$3=0,"",SUMIFS(INDEX(Inputs!$D$4:$AG$200,0,MATCH(U$2,Inputs!$D$2:$AG$2,0)),Inputs!$B$4:$B$200,$B42)/1000)</f>
        <v>0</v>
      </c>
      <c r="V42" s="11">
        <f>IF(V$3=0,"",SUMIFS(INDEX(Inputs!$D$4:$AG$200,0,MATCH(V$2,Inputs!$D$2:$AG$2,0)),Inputs!$B$4:$B$200,$B42)/1000)</f>
        <v>0</v>
      </c>
      <c r="W42" s="12">
        <f>IF(V42="","",V42)</f>
        <v>0</v>
      </c>
      <c r="X42" s="11">
        <f>IF(X$3=0,"",SUMIFS(INDEX(Inputs!$D$4:$AG$200,0,MATCH(X$2,Inputs!$D$2:$AG$2,0)),Inputs!$B$4:$B$200,$B42)/1000)</f>
        <v>0</v>
      </c>
      <c r="Y42" s="11">
        <f>IF(Y$3=0,"",SUMIFS(INDEX(Inputs!$D$4:$AG$200,0,MATCH(Y$2,Inputs!$D$2:$AG$2,0)),Inputs!$B$4:$B$200,$B42)/1000)</f>
        <v>0</v>
      </c>
      <c r="Z42" s="11">
        <f>IF(Z$3=0,"",SUMIFS(INDEX(Inputs!$D$4:$AG$200,0,MATCH(Z$2,Inputs!$D$2:$AG$2,0)),Inputs!$B$4:$B$200,$B42)/1000)</f>
        <v>0</v>
      </c>
      <c r="AA42" s="11">
        <f>IF(AA$3=0,"",SUMIFS(INDEX(Inputs!$D$4:$AG$200,0,MATCH(AA$2,Inputs!$D$2:$AG$2,0)),Inputs!$B$4:$B$200,$B42)/1000)</f>
        <v>0</v>
      </c>
      <c r="AB42" s="12">
        <f>IF(AA42="","",AA42)</f>
        <v>0</v>
      </c>
      <c r="AC42" s="11">
        <f>IF(AC$3=0,"",SUMIFS(INDEX(Inputs!$D$4:$AG$200,0,MATCH(AC$2,Inputs!$D$2:$AG$2,0)),Inputs!$B$4:$B$200,$B42)/1000)</f>
        <v>0</v>
      </c>
      <c r="AD42" s="11">
        <f>IF(AD$3=0,"",SUMIFS(INDEX(Inputs!$D$4:$AG$200,0,MATCH(AD$2,Inputs!$D$2:$AG$2,0)),Inputs!$B$4:$B$200,$B42)/1000)</f>
        <v>0</v>
      </c>
      <c r="AE42" s="11" t="str">
        <f>IF(AE$3=0,"",SUMIFS(INDEX(Inputs!$D$4:$AG$200,0,MATCH(AE$2,Inputs!$D$2:$AG$2,0)),Inputs!$B$4:$B$200,$B42)/1000)</f>
        <v/>
      </c>
      <c r="AF42" s="11" t="str">
        <f>IF(AF$3=0,"",SUMIFS(INDEX(Inputs!$D$4:$AG$200,0,MATCH(AF$2,Inputs!$D$2:$AG$2,0)),Inputs!$B$4:$B$200,$B42)/1000)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IF(D$3=0,"",SUMIFS(INDEX(Inputs!$D$4:$AG$200,0,MATCH(D$2,Inputs!$D$2:$AG$2,0)),Inputs!$B$4:$B$200,$B43)/1000)</f>
        <v>308.652</v>
      </c>
      <c r="E43" s="11">
        <f>IF(E$3=0,"",SUMIFS(INDEX(Inputs!$D$4:$AG$200,0,MATCH(E$2,Inputs!$D$2:$AG$2,0)),Inputs!$B$4:$B$200,$B43)/1000)</f>
        <v>308.652</v>
      </c>
      <c r="F43" s="11">
        <f>IF(F$3=0,"",SUMIFS(INDEX(Inputs!$D$4:$AG$200,0,MATCH(F$2,Inputs!$D$2:$AG$2,0)),Inputs!$B$4:$B$200,$B43)/1000)</f>
        <v>308.652</v>
      </c>
      <c r="G43" s="11">
        <f>IF(G$3=0,"",SUMIFS(INDEX(Inputs!$D$4:$AG$200,0,MATCH(G$2,Inputs!$D$2:$AG$2,0)),Inputs!$B$4:$B$200,$B43)/1000)</f>
        <v>308.652</v>
      </c>
      <c r="H43" s="12">
        <f>IF(G43="","",G43)</f>
        <v>308.652</v>
      </c>
      <c r="I43" s="11">
        <f>IF(I$3=0,"",SUMIFS(INDEX(Inputs!$D$4:$AG$200,0,MATCH(I$2,Inputs!$D$2:$AG$2,0)),Inputs!$B$4:$B$200,$B43)/1000)</f>
        <v>308.652</v>
      </c>
      <c r="J43" s="11">
        <f>IF(J$3=0,"",SUMIFS(INDEX(Inputs!$D$4:$AG$200,0,MATCH(J$2,Inputs!$D$2:$AG$2,0)),Inputs!$B$4:$B$200,$B43)/1000)</f>
        <v>308.652</v>
      </c>
      <c r="K43" s="11">
        <f>IF(K$3=0,"",SUMIFS(INDEX(Inputs!$D$4:$AG$200,0,MATCH(K$2,Inputs!$D$2:$AG$2,0)),Inputs!$B$4:$B$200,$B43)/1000)</f>
        <v>308.652</v>
      </c>
      <c r="L43" s="11">
        <f>IF(L$3=0,"",SUMIFS(INDEX(Inputs!$D$4:$AG$200,0,MATCH(L$2,Inputs!$D$2:$AG$2,0)),Inputs!$B$4:$B$200,$B43)/1000)</f>
        <v>308.652</v>
      </c>
      <c r="M43" s="12">
        <f>IF(L43="","",L43)</f>
        <v>308.652</v>
      </c>
      <c r="N43" s="11">
        <f>IF(N$3=0,"",SUMIFS(INDEX(Inputs!$D$4:$AG$200,0,MATCH(N$2,Inputs!$D$2:$AG$2,0)),Inputs!$B$4:$B$200,$B43)/1000)</f>
        <v>308.652</v>
      </c>
      <c r="O43" s="11">
        <f>IF(O$3=0,"",SUMIFS(INDEX(Inputs!$D$4:$AG$200,0,MATCH(O$2,Inputs!$D$2:$AG$2,0)),Inputs!$B$4:$B$200,$B43)/1000)</f>
        <v>308.652</v>
      </c>
      <c r="P43" s="11">
        <f>IF(P$3=0,"",SUMIFS(INDEX(Inputs!$D$4:$AG$200,0,MATCH(P$2,Inputs!$D$2:$AG$2,0)),Inputs!$B$4:$B$200,$B43)/1000)</f>
        <v>308.652</v>
      </c>
      <c r="Q43" s="11">
        <f>IF(Q$3=0,"",SUMIFS(INDEX(Inputs!$D$4:$AG$200,0,MATCH(Q$2,Inputs!$D$2:$AG$2,0)),Inputs!$B$4:$B$200,$B43)/1000)</f>
        <v>308.652</v>
      </c>
      <c r="R43" s="12">
        <f>IF(Q43="","",Q43)</f>
        <v>308.652</v>
      </c>
      <c r="S43" s="11">
        <f>IF(S$3=0,"",SUMIFS(INDEX(Inputs!$D$4:$AG$200,0,MATCH(S$2,Inputs!$D$2:$AG$2,0)),Inputs!$B$4:$B$200,$B43)/1000)</f>
        <v>308.652</v>
      </c>
      <c r="T43" s="11">
        <f>IF(T$3=0,"",SUMIFS(INDEX(Inputs!$D$4:$AG$200,0,MATCH(T$2,Inputs!$D$2:$AG$2,0)),Inputs!$B$4:$B$200,$B43)/1000)</f>
        <v>308.652</v>
      </c>
      <c r="U43" s="11">
        <f>IF(U$3=0,"",SUMIFS(INDEX(Inputs!$D$4:$AG$200,0,MATCH(U$2,Inputs!$D$2:$AG$2,0)),Inputs!$B$4:$B$200,$B43)/1000)</f>
        <v>308.652</v>
      </c>
      <c r="V43" s="11">
        <f>IF(V$3=0,"",SUMIFS(INDEX(Inputs!$D$4:$AG$200,0,MATCH(V$2,Inputs!$D$2:$AG$2,0)),Inputs!$B$4:$B$200,$B43)/1000)</f>
        <v>508.652</v>
      </c>
      <c r="W43" s="12">
        <f>IF(V43="","",V43)</f>
        <v>508.652</v>
      </c>
      <c r="X43" s="11">
        <f>IF(X$3=0,"",SUMIFS(INDEX(Inputs!$D$4:$AG$200,0,MATCH(X$2,Inputs!$D$2:$AG$2,0)),Inputs!$B$4:$B$200,$B43)/1000)</f>
        <v>508.652</v>
      </c>
      <c r="Y43" s="11">
        <f>IF(Y$3=0,"",SUMIFS(INDEX(Inputs!$D$4:$AG$200,0,MATCH(Y$2,Inputs!$D$2:$AG$2,0)),Inputs!$B$4:$B$200,$B43)/1000)</f>
        <v>555.734</v>
      </c>
      <c r="Z43" s="11">
        <f>IF(Z$3=0,"",SUMIFS(INDEX(Inputs!$D$4:$AG$200,0,MATCH(Z$2,Inputs!$D$2:$AG$2,0)),Inputs!$B$4:$B$200,$B43)/1000)</f>
        <v>555.734</v>
      </c>
      <c r="AA43" s="11">
        <f>IF(AA$3=0,"",SUMIFS(INDEX(Inputs!$D$4:$AG$200,0,MATCH(AA$2,Inputs!$D$2:$AG$2,0)),Inputs!$B$4:$B$200,$B43)/1000)</f>
        <v>1105.142</v>
      </c>
      <c r="AB43" s="12">
        <f>IF(AA43="","",AA43)</f>
        <v>1105.142</v>
      </c>
      <c r="AC43" s="11">
        <f>IF(AC$3=0,"",SUMIFS(INDEX(Inputs!$D$4:$AG$200,0,MATCH(AC$2,Inputs!$D$2:$AG$2,0)),Inputs!$B$4:$B$200,$B43)/1000)</f>
        <v>1105.142</v>
      </c>
      <c r="AD43" s="11">
        <f>IF(AD$3=0,"",SUMIFS(INDEX(Inputs!$D$4:$AG$200,0,MATCH(AD$2,Inputs!$D$2:$AG$2,0)),Inputs!$B$4:$B$200,$B43)/1000)</f>
        <v>1105.142</v>
      </c>
      <c r="AE43" s="11" t="str">
        <f>IF(AE$3=0,"",SUMIFS(INDEX(Inputs!$D$4:$AG$200,0,MATCH(AE$2,Inputs!$D$2:$AG$2,0)),Inputs!$B$4:$B$200,$B43)/1000)</f>
        <v/>
      </c>
      <c r="AF43" s="11" t="str">
        <f>IF(AF$3=0,"",SUMIFS(INDEX(Inputs!$D$4:$AG$200,0,MATCH(AF$2,Inputs!$D$2:$AG$2,0)),Inputs!$B$4:$B$200,$B43)/1000)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IF(D$3=0,"",SUMIFS(INDEX(Inputs!$D$4:$AG$200,0,MATCH(D$2,Inputs!$D$2:$AG$2,0)),Inputs!$B$4:$B$200,$B44)/1000)</f>
        <v>0</v>
      </c>
      <c r="E44" s="11">
        <f>IF(E$3=0,"",SUMIFS(INDEX(Inputs!$D$4:$AG$200,0,MATCH(E$2,Inputs!$D$2:$AG$2,0)),Inputs!$B$4:$B$200,$B44)/1000)</f>
        <v>0</v>
      </c>
      <c r="F44" s="11">
        <f>IF(F$3=0,"",SUMIFS(INDEX(Inputs!$D$4:$AG$200,0,MATCH(F$2,Inputs!$D$2:$AG$2,0)),Inputs!$B$4:$B$200,$B44)/1000)</f>
        <v>0</v>
      </c>
      <c r="G44" s="11">
        <f>IF(G$3=0,"",SUMIFS(INDEX(Inputs!$D$4:$AG$200,0,MATCH(G$2,Inputs!$D$2:$AG$2,0)),Inputs!$B$4:$B$200,$B44)/1000)</f>
        <v>-0.121</v>
      </c>
      <c r="H44" s="12">
        <f>IF(G44="","",G44)</f>
        <v>-0.121</v>
      </c>
      <c r="I44" s="11">
        <f>IF(I$3=0,"",SUMIFS(INDEX(Inputs!$D$4:$AG$200,0,MATCH(I$2,Inputs!$D$2:$AG$2,0)),Inputs!$B$4:$B$200,$B44)/1000)</f>
        <v>-5.015</v>
      </c>
      <c r="J44" s="11">
        <f>IF(J$3=0,"",SUMIFS(INDEX(Inputs!$D$4:$AG$200,0,MATCH(J$2,Inputs!$D$2:$AG$2,0)),Inputs!$B$4:$B$200,$B44)/1000)</f>
        <v>-12.21</v>
      </c>
      <c r="K44" s="11">
        <f>IF(K$3=0,"",SUMIFS(INDEX(Inputs!$D$4:$AG$200,0,MATCH(K$2,Inputs!$D$2:$AG$2,0)),Inputs!$B$4:$B$200,$B44)/1000)</f>
        <v>-12.21</v>
      </c>
      <c r="L44" s="11">
        <f>IF(L$3=0,"",SUMIFS(INDEX(Inputs!$D$4:$AG$200,0,MATCH(L$2,Inputs!$D$2:$AG$2,0)),Inputs!$B$4:$B$200,$B44)/1000)</f>
        <v>-12.21</v>
      </c>
      <c r="M44" s="12">
        <f>IF(L44="","",L44)</f>
        <v>-12.21</v>
      </c>
      <c r="N44" s="11">
        <f>IF(N$3=0,"",SUMIFS(INDEX(Inputs!$D$4:$AG$200,0,MATCH(N$2,Inputs!$D$2:$AG$2,0)),Inputs!$B$4:$B$200,$B44)/1000)</f>
        <v>-12.21</v>
      </c>
      <c r="O44" s="11">
        <f>IF(O$3=0,"",SUMIFS(INDEX(Inputs!$D$4:$AG$200,0,MATCH(O$2,Inputs!$D$2:$AG$2,0)),Inputs!$B$4:$B$200,$B44)/1000)</f>
        <v>-12.21</v>
      </c>
      <c r="P44" s="11">
        <f>IF(P$3=0,"",SUMIFS(INDEX(Inputs!$D$4:$AG$200,0,MATCH(P$2,Inputs!$D$2:$AG$2,0)),Inputs!$B$4:$B$200,$B44)/1000)</f>
        <v>-12.21</v>
      </c>
      <c r="Q44" s="11">
        <f>IF(Q$3=0,"",SUMIFS(INDEX(Inputs!$D$4:$AG$200,0,MATCH(Q$2,Inputs!$D$2:$AG$2,0)),Inputs!$B$4:$B$200,$B44)/1000)</f>
        <v>-12.21</v>
      </c>
      <c r="R44" s="12">
        <f>IF(Q44="","",Q44)</f>
        <v>-12.21</v>
      </c>
      <c r="S44" s="11">
        <f>IF(S$3=0,"",SUMIFS(INDEX(Inputs!$D$4:$AG$200,0,MATCH(S$2,Inputs!$D$2:$AG$2,0)),Inputs!$B$4:$B$200,$B44)/1000)</f>
        <v>-12.21</v>
      </c>
      <c r="T44" s="11">
        <f>IF(T$3=0,"",SUMIFS(INDEX(Inputs!$D$4:$AG$200,0,MATCH(T$2,Inputs!$D$2:$AG$2,0)),Inputs!$B$4:$B$200,$B44)/1000)</f>
        <v>-12.21</v>
      </c>
      <c r="U44" s="11">
        <f>IF(U$3=0,"",SUMIFS(INDEX(Inputs!$D$4:$AG$200,0,MATCH(U$2,Inputs!$D$2:$AG$2,0)),Inputs!$B$4:$B$200,$B44)/1000)</f>
        <v>-12.21</v>
      </c>
      <c r="V44" s="11">
        <f>IF(V$3=0,"",SUMIFS(INDEX(Inputs!$D$4:$AG$200,0,MATCH(V$2,Inputs!$D$2:$AG$2,0)),Inputs!$B$4:$B$200,$B44)/1000)</f>
        <v>-12.21</v>
      </c>
      <c r="W44" s="12">
        <f>IF(V44="","",V44)</f>
        <v>-12.21</v>
      </c>
      <c r="X44" s="11">
        <f>IF(X$3=0,"",SUMIFS(INDEX(Inputs!$D$4:$AG$200,0,MATCH(X$2,Inputs!$D$2:$AG$2,0)),Inputs!$B$4:$B$200,$B44)/1000)</f>
        <v>-12.21</v>
      </c>
      <c r="Y44" s="11">
        <f>IF(Y$3=0,"",SUMIFS(INDEX(Inputs!$D$4:$AG$200,0,MATCH(Y$2,Inputs!$D$2:$AG$2,0)),Inputs!$B$4:$B$200,$B44)/1000)</f>
        <v>0</v>
      </c>
      <c r="Z44" s="11">
        <f>IF(Z$3=0,"",SUMIFS(INDEX(Inputs!$D$4:$AG$200,0,MATCH(Z$2,Inputs!$D$2:$AG$2,0)),Inputs!$B$4:$B$200,$B44)/1000)</f>
        <v>0</v>
      </c>
      <c r="AA44" s="11">
        <f>IF(AA$3=0,"",SUMIFS(INDEX(Inputs!$D$4:$AG$200,0,MATCH(AA$2,Inputs!$D$2:$AG$2,0)),Inputs!$B$4:$B$200,$B44)/1000)</f>
        <v>0</v>
      </c>
      <c r="AB44" s="12">
        <f>IF(AA44="","",AA44)</f>
        <v>0</v>
      </c>
      <c r="AC44" s="11">
        <f>IF(AC$3=0,"",SUMIFS(INDEX(Inputs!$D$4:$AG$200,0,MATCH(AC$2,Inputs!$D$2:$AG$2,0)),Inputs!$B$4:$B$200,$B44)/1000)</f>
        <v>0</v>
      </c>
      <c r="AD44" s="11">
        <f>IF(AD$3=0,"",SUMIFS(INDEX(Inputs!$D$4:$AG$200,0,MATCH(AD$2,Inputs!$D$2:$AG$2,0)),Inputs!$B$4:$B$200,$B44)/1000)</f>
        <v>0</v>
      </c>
      <c r="AE44" s="11" t="str">
        <f>IF(AE$3=0,"",SUMIFS(INDEX(Inputs!$D$4:$AG$200,0,MATCH(AE$2,Inputs!$D$2:$AG$2,0)),Inputs!$B$4:$B$200,$B44)/1000)</f>
        <v/>
      </c>
      <c r="AF44" s="11" t="str">
        <f>IF(AF$3=0,"",SUMIFS(INDEX(Inputs!$D$4:$AG$200,0,MATCH(AF$2,Inputs!$D$2:$AG$2,0)),Inputs!$B$4:$B$200,$B44)/1000)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IF(D$3=0,"",SUMIFS(INDEX(Inputs!$D$4:$AG$200,0,MATCH(D$2,Inputs!$D$2:$AG$2,0)),Inputs!$B$4:$B$200,$B45)/1000)</f>
        <v>0</v>
      </c>
      <c r="E45" s="11">
        <f>IF(E$3=0,"",SUMIFS(INDEX(Inputs!$D$4:$AG$200,0,MATCH(E$2,Inputs!$D$2:$AG$2,0)),Inputs!$B$4:$B$200,$B45)/1000)</f>
        <v>0</v>
      </c>
      <c r="F45" s="11">
        <f>IF(F$3=0,"",SUMIFS(INDEX(Inputs!$D$4:$AG$200,0,MATCH(F$2,Inputs!$D$2:$AG$2,0)),Inputs!$B$4:$B$200,$B45)/1000)</f>
        <v>0</v>
      </c>
      <c r="G45" s="11">
        <f>IF(G$3=0,"",SUMIFS(INDEX(Inputs!$D$4:$AG$200,0,MATCH(G$2,Inputs!$D$2:$AG$2,0)),Inputs!$B$4:$B$200,$B45)/1000)</f>
        <v>0</v>
      </c>
      <c r="H45" s="12">
        <f>IF(G45="","",G45)</f>
        <v>0</v>
      </c>
      <c r="I45" s="11">
        <f>IF(I$3=0,"",SUMIFS(INDEX(Inputs!$D$4:$AG$200,0,MATCH(I$2,Inputs!$D$2:$AG$2,0)),Inputs!$B$4:$B$200,$B45)/1000)</f>
        <v>0</v>
      </c>
      <c r="J45" s="11">
        <f>IF(J$3=0,"",SUMIFS(INDEX(Inputs!$D$4:$AG$200,0,MATCH(J$2,Inputs!$D$2:$AG$2,0)),Inputs!$B$4:$B$200,$B45)/1000)</f>
        <v>0</v>
      </c>
      <c r="K45" s="11">
        <f>IF(K$3=0,"",SUMIFS(INDEX(Inputs!$D$4:$AG$200,0,MATCH(K$2,Inputs!$D$2:$AG$2,0)),Inputs!$B$4:$B$200,$B45)/1000)</f>
        <v>0</v>
      </c>
      <c r="L45" s="11">
        <f>IF(L$3=0,"",SUMIFS(INDEX(Inputs!$D$4:$AG$200,0,MATCH(L$2,Inputs!$D$2:$AG$2,0)),Inputs!$B$4:$B$200,$B45)/1000)</f>
        <v>0</v>
      </c>
      <c r="M45" s="12">
        <f>IF(L45="","",L45)</f>
        <v>0</v>
      </c>
      <c r="N45" s="11">
        <f>IF(N$3=0,"",SUMIFS(INDEX(Inputs!$D$4:$AG$200,0,MATCH(N$2,Inputs!$D$2:$AG$2,0)),Inputs!$B$4:$B$200,$B45)/1000)</f>
        <v>0</v>
      </c>
      <c r="O45" s="11">
        <f>IF(O$3=0,"",SUMIFS(INDEX(Inputs!$D$4:$AG$200,0,MATCH(O$2,Inputs!$D$2:$AG$2,0)),Inputs!$B$4:$B$200,$B45)/1000)</f>
        <v>0</v>
      </c>
      <c r="P45" s="11">
        <f>IF(P$3=0,"",SUMIFS(INDEX(Inputs!$D$4:$AG$200,0,MATCH(P$2,Inputs!$D$2:$AG$2,0)),Inputs!$B$4:$B$200,$B45)/1000)</f>
        <v>0</v>
      </c>
      <c r="Q45" s="11">
        <f>IF(Q$3=0,"",SUMIFS(INDEX(Inputs!$D$4:$AG$200,0,MATCH(Q$2,Inputs!$D$2:$AG$2,0)),Inputs!$B$4:$B$200,$B45)/1000)</f>
        <v>0</v>
      </c>
      <c r="R45" s="12">
        <f>IF(Q45="","",Q45)</f>
        <v>0</v>
      </c>
      <c r="S45" s="11">
        <f>IF(S$3=0,"",SUMIFS(INDEX(Inputs!$D$4:$AG$200,0,MATCH(S$2,Inputs!$D$2:$AG$2,0)),Inputs!$B$4:$B$200,$B45)/1000)</f>
        <v>0</v>
      </c>
      <c r="T45" s="11">
        <f>IF(T$3=0,"",SUMIFS(INDEX(Inputs!$D$4:$AG$200,0,MATCH(T$2,Inputs!$D$2:$AG$2,0)),Inputs!$B$4:$B$200,$B45)/1000)</f>
        <v>0</v>
      </c>
      <c r="U45" s="11">
        <f>IF(U$3=0,"",SUMIFS(INDEX(Inputs!$D$4:$AG$200,0,MATCH(U$2,Inputs!$D$2:$AG$2,0)),Inputs!$B$4:$B$200,$B45)/1000)</f>
        <v>0</v>
      </c>
      <c r="V45" s="11">
        <f>IF(V$3=0,"",SUMIFS(INDEX(Inputs!$D$4:$AG$200,0,MATCH(V$2,Inputs!$D$2:$AG$2,0)),Inputs!$B$4:$B$200,$B45)/1000)</f>
        <v>0</v>
      </c>
      <c r="W45" s="12">
        <f>IF(V45="","",V45)</f>
        <v>0</v>
      </c>
      <c r="X45" s="11">
        <f>IF(X$3=0,"",SUMIFS(INDEX(Inputs!$D$4:$AG$200,0,MATCH(X$2,Inputs!$D$2:$AG$2,0)),Inputs!$B$4:$B$200,$B45)/1000)</f>
        <v>0</v>
      </c>
      <c r="Y45" s="11">
        <f>IF(Y$3=0,"",SUMIFS(INDEX(Inputs!$D$4:$AG$200,0,MATCH(Y$2,Inputs!$D$2:$AG$2,0)),Inputs!$B$4:$B$200,$B45)/1000)</f>
        <v>0</v>
      </c>
      <c r="Z45" s="11">
        <f>IF(Z$3=0,"",SUMIFS(INDEX(Inputs!$D$4:$AG$200,0,MATCH(Z$2,Inputs!$D$2:$AG$2,0)),Inputs!$B$4:$B$200,$B45)/1000)</f>
        <v>0</v>
      </c>
      <c r="AA45" s="11">
        <f>IF(AA$3=0,"",SUMIFS(INDEX(Inputs!$D$4:$AG$200,0,MATCH(AA$2,Inputs!$D$2:$AG$2,0)),Inputs!$B$4:$B$200,$B45)/1000)</f>
        <v>0</v>
      </c>
      <c r="AB45" s="12">
        <f>IF(AA45="","",AA45)</f>
        <v>0</v>
      </c>
      <c r="AC45" s="11">
        <f>IF(AC$3=0,"",SUMIFS(INDEX(Inputs!$D$4:$AG$200,0,MATCH(AC$2,Inputs!$D$2:$AG$2,0)),Inputs!$B$4:$B$200,$B45)/1000)</f>
        <v>0</v>
      </c>
      <c r="AD45" s="11">
        <f>IF(AD$3=0,"",SUMIFS(INDEX(Inputs!$D$4:$AG$200,0,MATCH(AD$2,Inputs!$D$2:$AG$2,0)),Inputs!$B$4:$B$200,$B45)/1000)</f>
        <v>0</v>
      </c>
      <c r="AE45" s="11" t="str">
        <f>IF(AE$3=0,"",SUMIFS(INDEX(Inputs!$D$4:$AG$200,0,MATCH(AE$2,Inputs!$D$2:$AG$2,0)),Inputs!$B$4:$B$200,$B45)/1000)</f>
        <v/>
      </c>
      <c r="AF45" s="11" t="str">
        <f>IF(AF$3=0,"",SUMIFS(INDEX(Inputs!$D$4:$AG$200,0,MATCH(AF$2,Inputs!$D$2:$AG$2,0)),Inputs!$B$4:$B$200,$B45)/1000)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IF(D$3=0,"",SUMIFS(INDEX(Inputs!$D$4:$AG$200,0,MATCH(D$2,Inputs!$D$2:$AG$2,0)),Inputs!$B$4:$B$200,$B46)/1000)</f>
        <v>0</v>
      </c>
      <c r="E46" s="11">
        <f>IF(E$3=0,"",SUMIFS(INDEX(Inputs!$D$4:$AG$200,0,MATCH(E$2,Inputs!$D$2:$AG$2,0)),Inputs!$B$4:$B$200,$B46)/1000)</f>
        <v>0</v>
      </c>
      <c r="F46" s="11">
        <f>IF(F$3=0,"",SUMIFS(INDEX(Inputs!$D$4:$AG$200,0,MATCH(F$2,Inputs!$D$2:$AG$2,0)),Inputs!$B$4:$B$200,$B46)/1000)</f>
        <v>0</v>
      </c>
      <c r="G46" s="11">
        <f>IF(G$3=0,"",SUMIFS(INDEX(Inputs!$D$4:$AG$200,0,MATCH(G$2,Inputs!$D$2:$AG$2,0)),Inputs!$B$4:$B$200,$B46)/1000)</f>
        <v>0</v>
      </c>
      <c r="H46" s="12">
        <f>IF(G46="","",G46)</f>
        <v>0</v>
      </c>
      <c r="I46" s="11">
        <f>IF(I$3=0,"",SUMIFS(INDEX(Inputs!$D$4:$AG$200,0,MATCH(I$2,Inputs!$D$2:$AG$2,0)),Inputs!$B$4:$B$200,$B46)/1000)</f>
        <v>0</v>
      </c>
      <c r="J46" s="11">
        <f>IF(J$3=0,"",SUMIFS(INDEX(Inputs!$D$4:$AG$200,0,MATCH(J$2,Inputs!$D$2:$AG$2,0)),Inputs!$B$4:$B$200,$B46)/1000)</f>
        <v>0</v>
      </c>
      <c r="K46" s="11">
        <f>IF(K$3=0,"",SUMIFS(INDEX(Inputs!$D$4:$AG$200,0,MATCH(K$2,Inputs!$D$2:$AG$2,0)),Inputs!$B$4:$B$200,$B46)/1000)</f>
        <v>0</v>
      </c>
      <c r="L46" s="11">
        <f>IF(L$3=0,"",SUMIFS(INDEX(Inputs!$D$4:$AG$200,0,MATCH(L$2,Inputs!$D$2:$AG$2,0)),Inputs!$B$4:$B$200,$B46)/1000)</f>
        <v>0</v>
      </c>
      <c r="M46" s="12">
        <f>IF(L46="","",L46)</f>
        <v>0</v>
      </c>
      <c r="N46" s="11">
        <f>IF(N$3=0,"",SUMIFS(INDEX(Inputs!$D$4:$AG$200,0,MATCH(N$2,Inputs!$D$2:$AG$2,0)),Inputs!$B$4:$B$200,$B46)/1000)</f>
        <v>0</v>
      </c>
      <c r="O46" s="11">
        <f>IF(O$3=0,"",SUMIFS(INDEX(Inputs!$D$4:$AG$200,0,MATCH(O$2,Inputs!$D$2:$AG$2,0)),Inputs!$B$4:$B$200,$B46)/1000)</f>
        <v>0</v>
      </c>
      <c r="P46" s="11">
        <f>IF(P$3=0,"",SUMIFS(INDEX(Inputs!$D$4:$AG$200,0,MATCH(P$2,Inputs!$D$2:$AG$2,0)),Inputs!$B$4:$B$200,$B46)/1000)</f>
        <v>0</v>
      </c>
      <c r="Q46" s="11">
        <f>IF(Q$3=0,"",SUMIFS(INDEX(Inputs!$D$4:$AG$200,0,MATCH(Q$2,Inputs!$D$2:$AG$2,0)),Inputs!$B$4:$B$200,$B46)/1000)</f>
        <v>0</v>
      </c>
      <c r="R46" s="12">
        <f>IF(Q46="","",Q46)</f>
        <v>0</v>
      </c>
      <c r="S46" s="11">
        <f>IF(S$3=0,"",SUMIFS(INDEX(Inputs!$D$4:$AG$200,0,MATCH(S$2,Inputs!$D$2:$AG$2,0)),Inputs!$B$4:$B$200,$B46)/1000)</f>
        <v>0</v>
      </c>
      <c r="T46" s="11">
        <f>IF(T$3=0,"",SUMIFS(INDEX(Inputs!$D$4:$AG$200,0,MATCH(T$2,Inputs!$D$2:$AG$2,0)),Inputs!$B$4:$B$200,$B46)/1000)</f>
        <v>0</v>
      </c>
      <c r="U46" s="11">
        <f>IF(U$3=0,"",SUMIFS(INDEX(Inputs!$D$4:$AG$200,0,MATCH(U$2,Inputs!$D$2:$AG$2,0)),Inputs!$B$4:$B$200,$B46)/1000)</f>
        <v>0</v>
      </c>
      <c r="V46" s="11">
        <f>IF(V$3=0,"",SUMIFS(INDEX(Inputs!$D$4:$AG$200,0,MATCH(V$2,Inputs!$D$2:$AG$2,0)),Inputs!$B$4:$B$200,$B46)/1000)</f>
        <v>0</v>
      </c>
      <c r="W46" s="12">
        <f>IF(V46="","",V46)</f>
        <v>0</v>
      </c>
      <c r="X46" s="11">
        <f>IF(X$3=0,"",SUMIFS(INDEX(Inputs!$D$4:$AG$200,0,MATCH(X$2,Inputs!$D$2:$AG$2,0)),Inputs!$B$4:$B$200,$B46)/1000)</f>
        <v>0</v>
      </c>
      <c r="Y46" s="11">
        <f>IF(Y$3=0,"",SUMIFS(INDEX(Inputs!$D$4:$AG$200,0,MATCH(Y$2,Inputs!$D$2:$AG$2,0)),Inputs!$B$4:$B$200,$B46)/1000)</f>
        <v>0</v>
      </c>
      <c r="Z46" s="11">
        <f>IF(Z$3=0,"",SUMIFS(INDEX(Inputs!$D$4:$AG$200,0,MATCH(Z$2,Inputs!$D$2:$AG$2,0)),Inputs!$B$4:$B$200,$B46)/1000)</f>
        <v>0</v>
      </c>
      <c r="AA46" s="11">
        <f>IF(AA$3=0,"",SUMIFS(INDEX(Inputs!$D$4:$AG$200,0,MATCH(AA$2,Inputs!$D$2:$AG$2,0)),Inputs!$B$4:$B$200,$B46)/1000)</f>
        <v>0</v>
      </c>
      <c r="AB46" s="12">
        <f>IF(AA46="","",AA46)</f>
        <v>0</v>
      </c>
      <c r="AC46" s="11">
        <f>IF(AC$3=0,"",SUMIFS(INDEX(Inputs!$D$4:$AG$200,0,MATCH(AC$2,Inputs!$D$2:$AG$2,0)),Inputs!$B$4:$B$200,$B46)/1000)</f>
        <v>0</v>
      </c>
      <c r="AD46" s="11">
        <f>IF(AD$3=0,"",SUMIFS(INDEX(Inputs!$D$4:$AG$200,0,MATCH(AD$2,Inputs!$D$2:$AG$2,0)),Inputs!$B$4:$B$200,$B46)/1000)</f>
        <v>0</v>
      </c>
      <c r="AE46" s="11" t="str">
        <f>IF(AE$3=0,"",SUMIFS(INDEX(Inputs!$D$4:$AG$200,0,MATCH(AE$2,Inputs!$D$2:$AG$2,0)),Inputs!$B$4:$B$200,$B46)/1000)</f>
        <v/>
      </c>
      <c r="AF46" s="11" t="str">
        <f>IF(AF$3=0,"",SUMIFS(INDEX(Inputs!$D$4:$AG$200,0,MATCH(AF$2,Inputs!$D$2:$AG$2,0)),Inputs!$B$4:$B$200,$B46)/1000)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IF(D$3=0,"",SUMIFS(INDEX(Inputs!$D$4:$AG$200,0,MATCH(D$2,Inputs!$D$2:$AG$2,0)),Inputs!$B$4:$B$200,$B47)/1000)</f>
        <v>230.805</v>
      </c>
      <c r="E47" s="11">
        <f>IF(E$3=0,"",SUMIFS(INDEX(Inputs!$D$4:$AG$200,0,MATCH(E$2,Inputs!$D$2:$AG$2,0)),Inputs!$B$4:$B$200,$B47)/1000)</f>
        <v>232.601</v>
      </c>
      <c r="F47" s="11">
        <f>IF(F$3=0,"",SUMIFS(INDEX(Inputs!$D$4:$AG$200,0,MATCH(F$2,Inputs!$D$2:$AG$2,0)),Inputs!$B$4:$B$200,$B47)/1000)</f>
        <v>300.006</v>
      </c>
      <c r="G47" s="11">
        <f>IF(G$3=0,"",SUMIFS(INDEX(Inputs!$D$4:$AG$200,0,MATCH(G$2,Inputs!$D$2:$AG$2,0)),Inputs!$B$4:$B$200,$B47)/1000)</f>
        <v>282.567</v>
      </c>
      <c r="H47" s="12">
        <f>IF(G47="","",G47)</f>
        <v>282.567</v>
      </c>
      <c r="I47" s="11">
        <f>IF(I$3=0,"",SUMIFS(INDEX(Inputs!$D$4:$AG$200,0,MATCH(I$2,Inputs!$D$2:$AG$2,0)),Inputs!$B$4:$B$200,$B47)/1000)</f>
        <v>344.47</v>
      </c>
      <c r="J47" s="11">
        <f>IF(J$3=0,"",SUMIFS(INDEX(Inputs!$D$4:$AG$200,0,MATCH(J$2,Inputs!$D$2:$AG$2,0)),Inputs!$B$4:$B$200,$B47)/1000)</f>
        <v>351.986</v>
      </c>
      <c r="K47" s="11">
        <f>IF(K$3=0,"",SUMIFS(INDEX(Inputs!$D$4:$AG$200,0,MATCH(K$2,Inputs!$D$2:$AG$2,0)),Inputs!$B$4:$B$200,$B47)/1000)</f>
        <v>441.858</v>
      </c>
      <c r="L47" s="11">
        <f>IF(L$3=0,"",SUMIFS(INDEX(Inputs!$D$4:$AG$200,0,MATCH(L$2,Inputs!$D$2:$AG$2,0)),Inputs!$B$4:$B$200,$B47)/1000)</f>
        <v>455.295</v>
      </c>
      <c r="M47" s="12">
        <f>IF(L47="","",L47)</f>
        <v>455.295</v>
      </c>
      <c r="N47" s="11">
        <f>IF(N$3=0,"",SUMIFS(INDEX(Inputs!$D$4:$AG$200,0,MATCH(N$2,Inputs!$D$2:$AG$2,0)),Inputs!$B$4:$B$200,$B47)/1000)</f>
        <v>547.144</v>
      </c>
      <c r="O47" s="11">
        <f>IF(O$3=0,"",SUMIFS(INDEX(Inputs!$D$4:$AG$200,0,MATCH(O$2,Inputs!$D$2:$AG$2,0)),Inputs!$B$4:$B$200,$B47)/1000)</f>
        <v>668.517</v>
      </c>
      <c r="P47" s="11">
        <f>IF(P$3=0,"",SUMIFS(INDEX(Inputs!$D$4:$AG$200,0,MATCH(P$2,Inputs!$D$2:$AG$2,0)),Inputs!$B$4:$B$200,$B47)/1000)</f>
        <v>626.737</v>
      </c>
      <c r="Q47" s="11">
        <f>IF(Q$3=0,"",SUMIFS(INDEX(Inputs!$D$4:$AG$200,0,MATCH(Q$2,Inputs!$D$2:$AG$2,0)),Inputs!$B$4:$B$200,$B47)/1000)</f>
        <v>568.523</v>
      </c>
      <c r="R47" s="12">
        <f>IF(Q47="","",Q47)</f>
        <v>568.523</v>
      </c>
      <c r="S47" s="11">
        <f>IF(S$3=0,"",SUMIFS(INDEX(Inputs!$D$4:$AG$200,0,MATCH(S$2,Inputs!$D$2:$AG$2,0)),Inputs!$B$4:$B$200,$B47)/1000)</f>
        <v>709.764</v>
      </c>
      <c r="T47" s="11">
        <f>IF(T$3=0,"",SUMIFS(INDEX(Inputs!$D$4:$AG$200,0,MATCH(T$2,Inputs!$D$2:$AG$2,0)),Inputs!$B$4:$B$200,$B47)/1000)</f>
        <v>617.011</v>
      </c>
      <c r="U47" s="11">
        <f>IF(U$3=0,"",SUMIFS(INDEX(Inputs!$D$4:$AG$200,0,MATCH(U$2,Inputs!$D$2:$AG$2,0)),Inputs!$B$4:$B$200,$B47)/1000)</f>
        <v>787.582</v>
      </c>
      <c r="V47" s="11">
        <f>IF(V$3=0,"",SUMIFS(INDEX(Inputs!$D$4:$AG$200,0,MATCH(V$2,Inputs!$D$2:$AG$2,0)),Inputs!$B$4:$B$200,$B47)/1000)</f>
        <v>599.028</v>
      </c>
      <c r="W47" s="12">
        <f>IF(V47="","",V47)</f>
        <v>599.028</v>
      </c>
      <c r="X47" s="11">
        <f>IF(X$3=0,"",SUMIFS(INDEX(Inputs!$D$4:$AG$200,0,MATCH(X$2,Inputs!$D$2:$AG$2,0)),Inputs!$B$4:$B$200,$B47)/1000)</f>
        <v>637.503</v>
      </c>
      <c r="Y47" s="11">
        <f>IF(Y$3=0,"",SUMIFS(INDEX(Inputs!$D$4:$AG$200,0,MATCH(Y$2,Inputs!$D$2:$AG$2,0)),Inputs!$B$4:$B$200,$B47)/1000)</f>
        <v>774.234</v>
      </c>
      <c r="Z47" s="11">
        <f>IF(Z$3=0,"",SUMIFS(INDEX(Inputs!$D$4:$AG$200,0,MATCH(Z$2,Inputs!$D$2:$AG$2,0)),Inputs!$B$4:$B$200,$B47)/1000)</f>
        <v>829.487</v>
      </c>
      <c r="AA47" s="11">
        <f>IF(AA$3=0,"",SUMIFS(INDEX(Inputs!$D$4:$AG$200,0,MATCH(AA$2,Inputs!$D$2:$AG$2,0)),Inputs!$B$4:$B$200,$B47)/1000)</f>
        <v>276.564</v>
      </c>
      <c r="AB47" s="12">
        <f>IF(AA47="","",AA47)</f>
        <v>276.564</v>
      </c>
      <c r="AC47" s="11">
        <f>IF(AC$3=0,"",SUMIFS(INDEX(Inputs!$D$4:$AG$200,0,MATCH(AC$2,Inputs!$D$2:$AG$2,0)),Inputs!$B$4:$B$200,$B47)/1000)</f>
        <v>439.431</v>
      </c>
      <c r="AD47" s="11">
        <f>IF(AD$3=0,"",SUMIFS(INDEX(Inputs!$D$4:$AG$200,0,MATCH(AD$2,Inputs!$D$2:$AG$2,0)),Inputs!$B$4:$B$200,$B47)/1000)</f>
        <v>549.882</v>
      </c>
      <c r="AE47" s="11" t="str">
        <f>IF(AE$3=0,"",SUMIFS(INDEX(Inputs!$D$4:$AG$200,0,MATCH(AE$2,Inputs!$D$2:$AG$2,0)),Inputs!$B$4:$B$200,$B47)/1000)</f>
        <v/>
      </c>
      <c r="AF47" s="11" t="str">
        <f>IF(AF$3=0,"",SUMIFS(INDEX(Inputs!$D$4:$AG$200,0,MATCH(AF$2,Inputs!$D$2:$AG$2,0)),Inputs!$B$4:$B$200,$B47)/1000)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IF(SUMPRODUCT((Inputs!$B$4:$B$200=$B50)*ISNUMBER(INDEX(Inputs!$D$4:$AG$200,0,MATCH(D$2,Inputs!$D$2:$AG$2,0))))=0,"",SUMIFS(INDEX(Inputs!$D$4:$AG$200,0,MATCH(D$2,Inputs!$D$2:$AG$2,0)),Inputs!$B$4:$B$200,$B50)/1000)</f>
        <v>49.993</v>
      </c>
      <c r="E50" s="11">
        <f>IF(SUMPRODUCT((Inputs!$B$4:$B$200=$B50)*ISNUMBER(INDEX(Inputs!$D$4:$AG$200,0,MATCH(E$2,Inputs!$D$2:$AG$2,0))))=0,"",SUMIFS(INDEX(Inputs!$D$4:$AG$200,0,MATCH(E$2,Inputs!$D$2:$AG$2,0)),Inputs!$B$4:$B$200,$B50)/1000)</f>
        <v>78.603</v>
      </c>
      <c r="F50" s="11">
        <f>IF(SUMPRODUCT((Inputs!$B$4:$B$200=$B50)*ISNUMBER(INDEX(Inputs!$D$4:$AG$200,0,MATCH(F$2,Inputs!$D$2:$AG$2,0))))=0,"",SUMIFS(INDEX(Inputs!$D$4:$AG$200,0,MATCH(F$2,Inputs!$D$2:$AG$2,0)),Inputs!$B$4:$B$200,$B50)/1000)</f>
        <v>67.397764092</v>
      </c>
      <c r="G50" s="11">
        <f>IF(SUMPRODUCT((Inputs!$B$4:$B$200=$B50)*ISNUMBER(INDEX(Inputs!$D$4:$AG$200,0,MATCH(G$2,Inputs!$D$2:$AG$2,0))))=0,"",SUMIFS(INDEX(Inputs!$D$4:$AG$200,0,MATCH(G$2,Inputs!$D$2:$AG$2,0)),Inputs!$B$4:$B$200,$B50)/1000)</f>
        <v>103.753</v>
      </c>
      <c r="H50" s="12">
        <f>IF(COUNT(D50:G50)=4,SUM(D50:G50),"")</f>
        <v>299.746764092</v>
      </c>
      <c r="I50" s="11">
        <f>IF(SUMPRODUCT((Inputs!$B$4:$B$200=$B50)*ISNUMBER(INDEX(Inputs!$D$4:$AG$200,0,MATCH(I$2,Inputs!$D$2:$AG$2,0))))=0,"",SUMIFS(INDEX(Inputs!$D$4:$AG$200,0,MATCH(I$2,Inputs!$D$2:$AG$2,0)),Inputs!$B$4:$B$200,$B50)/1000)</f>
        <v>61.903</v>
      </c>
      <c r="J50" s="11">
        <f>IF(SUMPRODUCT((Inputs!$B$4:$B$200=$B50)*ISNUMBER(INDEX(Inputs!$D$4:$AG$200,0,MATCH(J$2,Inputs!$D$2:$AG$2,0))))=0,"",SUMIFS(INDEX(Inputs!$D$4:$AG$200,0,MATCH(J$2,Inputs!$D$2:$AG$2,0)),Inputs!$B$4:$B$200,$B50)/1000)</f>
        <v>86.325</v>
      </c>
      <c r="K50" s="11">
        <f>IF(SUMPRODUCT((Inputs!$B$4:$B$200=$B50)*ISNUMBER(INDEX(Inputs!$D$4:$AG$200,0,MATCH(K$2,Inputs!$D$2:$AG$2,0))))=0,"",SUMIFS(INDEX(Inputs!$D$4:$AG$200,0,MATCH(K$2,Inputs!$D$2:$AG$2,0)),Inputs!$B$4:$B$200,$B50)/1000)</f>
        <v>89.872</v>
      </c>
      <c r="L50" s="11">
        <f>IF(SUMPRODUCT((Inputs!$B$4:$B$200=$B50)*ISNUMBER(INDEX(Inputs!$D$4:$AG$200,0,MATCH(L$2,Inputs!$D$2:$AG$2,0))))=0,"",SUMIFS(INDEX(Inputs!$D$4:$AG$200,0,MATCH(L$2,Inputs!$D$2:$AG$2,0)),Inputs!$B$4:$B$200,$B50)/1000)</f>
        <v>91.785</v>
      </c>
      <c r="M50" s="12">
        <f>IF(COUNT(I50:L50)=4,SUM(I50:L50),"")</f>
        <v>329.885</v>
      </c>
      <c r="N50" s="11">
        <f>IF(SUMPRODUCT((Inputs!$B$4:$B$200=$B50)*ISNUMBER(INDEX(Inputs!$D$4:$AG$200,0,MATCH(N$2,Inputs!$D$2:$AG$2,0))))=0,"",SUMIFS(INDEX(Inputs!$D$4:$AG$200,0,MATCH(N$2,Inputs!$D$2:$AG$2,0)),Inputs!$B$4:$B$200,$B50)/1000)</f>
        <v>91.849</v>
      </c>
      <c r="O50" s="11">
        <f>IF(SUMPRODUCT((Inputs!$B$4:$B$200=$B50)*ISNUMBER(INDEX(Inputs!$D$4:$AG$200,0,MATCH(O$2,Inputs!$D$2:$AG$2,0))))=0,"",SUMIFS(INDEX(Inputs!$D$4:$AG$200,0,MATCH(O$2,Inputs!$D$2:$AG$2,0)),Inputs!$B$4:$B$200,$B50)/1000)</f>
        <v>121.373</v>
      </c>
      <c r="P50" s="11">
        <f>IF(SUMPRODUCT((Inputs!$B$4:$B$200=$B50)*ISNUMBER(INDEX(Inputs!$D$4:$AG$200,0,MATCH(P$2,Inputs!$D$2:$AG$2,0))))=0,"",SUMIFS(INDEX(Inputs!$D$4:$AG$200,0,MATCH(P$2,Inputs!$D$2:$AG$2,0)),Inputs!$B$4:$B$200,$B50)/1000)</f>
        <v>108.22</v>
      </c>
      <c r="Q50" s="11">
        <f>IF(SUMPRODUCT((Inputs!$B$4:$B$200=$B50)*ISNUMBER(INDEX(Inputs!$D$4:$AG$200,0,MATCH(Q$2,Inputs!$D$2:$AG$2,0))))=0,"",SUMIFS(INDEX(Inputs!$D$4:$AG$200,0,MATCH(Q$2,Inputs!$D$2:$AG$2,0)),Inputs!$B$4:$B$200,$B50)/1000)</f>
        <v>160.323</v>
      </c>
      <c r="R50" s="12">
        <f>IF(COUNT(N50:Q50)=4,SUM(N50:Q50),"")</f>
        <v>481.765</v>
      </c>
      <c r="S50" s="11">
        <f>IF(SUMPRODUCT((Inputs!$B$4:$B$200=$B50)*ISNUMBER(INDEX(Inputs!$D$4:$AG$200,0,MATCH(S$2,Inputs!$D$2:$AG$2,0))))=0,"",SUMIFS(INDEX(Inputs!$D$4:$AG$200,0,MATCH(S$2,Inputs!$D$2:$AG$2,0)),Inputs!$B$4:$B$200,$B50)/1000)</f>
        <v>141.241</v>
      </c>
      <c r="T50" s="11">
        <f>IF(SUMPRODUCT((Inputs!$B$4:$B$200=$B50)*ISNUMBER(INDEX(Inputs!$D$4:$AG$200,0,MATCH(T$2,Inputs!$D$2:$AG$2,0))))=0,"",SUMIFS(INDEX(Inputs!$D$4:$AG$200,0,MATCH(T$2,Inputs!$D$2:$AG$2,0)),Inputs!$B$4:$B$200,$B50)/1000)</f>
        <v>172.247</v>
      </c>
      <c r="U50" s="11">
        <f>IF(SUMPRODUCT((Inputs!$B$4:$B$200=$B50)*ISNUMBER(INDEX(Inputs!$D$4:$AG$200,0,MATCH(U$2,Inputs!$D$2:$AG$2,0))))=0,"",SUMIFS(INDEX(Inputs!$D$4:$AG$200,0,MATCH(U$2,Inputs!$D$2:$AG$2,0)),Inputs!$B$4:$B$200,$B50)/1000)</f>
        <v>170.571</v>
      </c>
      <c r="V50" s="11">
        <f>IF(SUMPRODUCT((Inputs!$B$4:$B$200=$B50)*ISNUMBER(INDEX(Inputs!$D$4:$AG$200,0,MATCH(V$2,Inputs!$D$2:$AG$2,0))))=0,"",SUMIFS(INDEX(Inputs!$D$4:$AG$200,0,MATCH(V$2,Inputs!$D$2:$AG$2,0)),Inputs!$B$4:$B$200,$B50)/1000)</f>
        <v>165.784</v>
      </c>
      <c r="W50" s="12">
        <f>IF(COUNT(S50:V50)=4,SUM(S50:V50),"")</f>
        <v>649.843</v>
      </c>
      <c r="X50" s="11">
        <f>IF(SUMPRODUCT((Inputs!$B$4:$B$200=$B50)*ISNUMBER(INDEX(Inputs!$D$4:$AG$200,0,MATCH(X$2,Inputs!$D$2:$AG$2,0))))=0,"",SUMIFS(INDEX(Inputs!$D$4:$AG$200,0,MATCH(X$2,Inputs!$D$2:$AG$2,0)),Inputs!$B$4:$B$200,$B50)/1000)</f>
        <v>213.475</v>
      </c>
      <c r="Y50" s="11">
        <f>IF(SUMPRODUCT((Inputs!$B$4:$B$200=$B50)*ISNUMBER(INDEX(Inputs!$D$4:$AG$200,0,MATCH(Y$2,Inputs!$D$2:$AG$2,0))))=0,"",SUMIFS(INDEX(Inputs!$D$4:$AG$200,0,MATCH(Y$2,Inputs!$D$2:$AG$2,0)),Inputs!$B$4:$B$200,$B50)/1000)</f>
        <v>236.7306</v>
      </c>
      <c r="Z50" s="11">
        <f>IF(SUMPRODUCT((Inputs!$B$4:$B$200=$B50)*ISNUMBER(INDEX(Inputs!$D$4:$AG$200,0,MATCH(Z$2,Inputs!$D$2:$AG$2,0))))=0,"",SUMIFS(INDEX(Inputs!$D$4:$AG$200,0,MATCH(Z$2,Inputs!$D$2:$AG$2,0)),Inputs!$B$4:$B$200,$B50)/1000)</f>
        <v>255.253</v>
      </c>
      <c r="AA50" s="11">
        <f>IF(SUMPRODUCT((Inputs!$B$4:$B$200=$B50)*ISNUMBER(INDEX(Inputs!$D$4:$AG$200,0,MATCH(AA$2,Inputs!$D$2:$AG$2,0))))=0,"",SUMIFS(INDEX(Inputs!$D$4:$AG$200,0,MATCH(AA$2,Inputs!$D$2:$AG$2,0)),Inputs!$B$4:$B$200,$B50)/1000)</f>
        <v>270.077</v>
      </c>
      <c r="AB50" s="12">
        <f>IF(COUNT(X50:AA50)=4,SUM(X50:AA50),"")</f>
        <v>975.5356</v>
      </c>
      <c r="AC50" s="11">
        <f>IF(SUMPRODUCT((Inputs!$B$4:$B$200=$B50)*ISNUMBER(INDEX(Inputs!$D$4:$AG$200,0,MATCH(AC$2,Inputs!$D$2:$AG$2,0))))=0,"",SUMIFS(INDEX(Inputs!$D$4:$AG$200,0,MATCH(AC$2,Inputs!$D$2:$AG$2,0)),Inputs!$B$4:$B$200,$B50)/1000)</f>
        <v>302.867</v>
      </c>
      <c r="AD50" s="11">
        <f>IF(SUMPRODUCT((Inputs!$B$4:$B$200=$B50)*ISNUMBER(INDEX(Inputs!$D$4:$AG$200,0,MATCH(AD$2,Inputs!$D$2:$AG$2,0))))=0,"",SUMIFS(INDEX(Inputs!$D$4:$AG$200,0,MATCH(AD$2,Inputs!$D$2:$AG$2,0)),Inputs!$B$4:$B$200,$B50)/1000)</f>
        <v>270.451</v>
      </c>
      <c r="AE50" s="11" t="str">
        <f>IF(SUMPRODUCT((Inputs!$B$4:$B$200=$B50)*ISNUMBER(INDEX(Inputs!$D$4:$AG$200,0,MATCH(AE$2,Inputs!$D$2:$AG$2,0))))=0,"",SUMIFS(INDEX(Inputs!$D$4:$AG$200,0,MATCH(AE$2,Inputs!$D$2:$AG$2,0)),Inputs!$B$4:$B$200,$B50)/1000)</f>
        <v/>
      </c>
      <c r="AF50" s="11" t="str">
        <f>IF(SUMPRODUCT((Inputs!$B$4:$B$200=$B50)*ISNUMBER(INDEX(Inputs!$D$4:$AG$200,0,MATCH(AF$2,Inputs!$D$2:$AG$2,0))))=0,"",SUMIFS(INDEX(Inputs!$D$4:$AG$200,0,MATCH(AF$2,Inputs!$D$2:$AG$2,0)),Inputs!$B$4:$B$200,$B50)/1000)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Lancamentos - VGV 100% (R$ mil; Res. Operacionais l.7)</t>
        </is>
      </c>
      <c r="D53" s="11">
        <f>IF(SUMPRODUCT((Inputs!$B$4:$B$200=$B53)*ISNUMBER(INDEX(Inputs!$D$4:$AG$200,0,MATCH(D$2,Inputs!$D$2:$AG$2,0))))=0,"",SUMIFS(INDEX(Inputs!$D$4:$AG$200,0,MATCH(D$2,Inputs!$D$2:$AG$2,0)),Inputs!$B$4:$B$200,$B53)/1000)</f>
        <v>590.494842</v>
      </c>
      <c r="E53" s="11">
        <f>IF(SUMPRODUCT((Inputs!$B$4:$B$200=$B53)*ISNUMBER(INDEX(Inputs!$D$4:$AG$200,0,MATCH(E$2,Inputs!$D$2:$AG$2,0))))=0,"",SUMIFS(INDEX(Inputs!$D$4:$AG$200,0,MATCH(E$2,Inputs!$D$2:$AG$2,0)),Inputs!$B$4:$B$200,$B53)/1000)</f>
        <v>686.188668</v>
      </c>
      <c r="F53" s="11">
        <f>IF(SUMPRODUCT((Inputs!$B$4:$B$200=$B53)*ISNUMBER(INDEX(Inputs!$D$4:$AG$200,0,MATCH(F$2,Inputs!$D$2:$AG$2,0))))=0,"",SUMIFS(INDEX(Inputs!$D$4:$AG$200,0,MATCH(F$2,Inputs!$D$2:$AG$2,0)),Inputs!$B$4:$B$200,$B53)/1000)</f>
        <v>720.223748</v>
      </c>
      <c r="G53" s="11">
        <f>IF(SUMPRODUCT((Inputs!$B$4:$B$200=$B53)*ISNUMBER(INDEX(Inputs!$D$4:$AG$200,0,MATCH(G$2,Inputs!$D$2:$AG$2,0))))=0,"",SUMIFS(INDEX(Inputs!$D$4:$AG$200,0,MATCH(G$2,Inputs!$D$2:$AG$2,0)),Inputs!$B$4:$B$200,$B53)/1000)</f>
        <v>788.101234956</v>
      </c>
      <c r="H53" s="12">
        <f>IF(COUNT(D53:G53)=4,SUM(D53:G53),"")</f>
        <v>2785.008492956</v>
      </c>
      <c r="I53" s="11">
        <f>IF(SUMPRODUCT((Inputs!$B$4:$B$200=$B53)*ISNUMBER(INDEX(Inputs!$D$4:$AG$200,0,MATCH(I$2,Inputs!$D$2:$AG$2,0))))=0,"",SUMIFS(INDEX(Inputs!$D$4:$AG$200,0,MATCH(I$2,Inputs!$D$2:$AG$2,0)),Inputs!$B$4:$B$200,$B53)/1000)</f>
        <v>781.15</v>
      </c>
      <c r="J53" s="11">
        <f>IF(SUMPRODUCT((Inputs!$B$4:$B$200=$B53)*ISNUMBER(INDEX(Inputs!$D$4:$AG$200,0,MATCH(J$2,Inputs!$D$2:$AG$2,0))))=0,"",SUMIFS(INDEX(Inputs!$D$4:$AG$200,0,MATCH(J$2,Inputs!$D$2:$AG$2,0)),Inputs!$B$4:$B$200,$B53)/1000)</f>
        <v>1056.318</v>
      </c>
      <c r="K53" s="11">
        <f>IF(SUMPRODUCT((Inputs!$B$4:$B$200=$B53)*ISNUMBER(INDEX(Inputs!$D$4:$AG$200,0,MATCH(K$2,Inputs!$D$2:$AG$2,0))))=0,"",SUMIFS(INDEX(Inputs!$D$4:$AG$200,0,MATCH(K$2,Inputs!$D$2:$AG$2,0)),Inputs!$B$4:$B$200,$B53)/1000)</f>
        <v>919.146343</v>
      </c>
      <c r="L53" s="11">
        <f>IF(SUMPRODUCT((Inputs!$B$4:$B$200=$B53)*ISNUMBER(INDEX(Inputs!$D$4:$AG$200,0,MATCH(L$2,Inputs!$D$2:$AG$2,0))))=0,"",SUMIFS(INDEX(Inputs!$D$4:$AG$200,0,MATCH(L$2,Inputs!$D$2:$AG$2,0)),Inputs!$B$4:$B$200,$B53)/1000)</f>
        <v>556.15909318</v>
      </c>
      <c r="M53" s="12">
        <f>IF(COUNT(I53:L53)=4,SUM(I53:L53),"")</f>
        <v>3312.77343618</v>
      </c>
      <c r="N53" s="11">
        <f>IF(SUMPRODUCT((Inputs!$B$4:$B$200=$B53)*ISNUMBER(INDEX(Inputs!$D$4:$AG$200,0,MATCH(N$2,Inputs!$D$2:$AG$2,0))))=0,"",SUMIFS(INDEX(Inputs!$D$4:$AG$200,0,MATCH(N$2,Inputs!$D$2:$AG$2,0)),Inputs!$B$4:$B$200,$B53)/1000)</f>
        <v>1419.980923</v>
      </c>
      <c r="O53" s="11">
        <f>IF(SUMPRODUCT((Inputs!$B$4:$B$200=$B53)*ISNUMBER(INDEX(Inputs!$D$4:$AG$200,0,MATCH(O$2,Inputs!$D$2:$AG$2,0))))=0,"",SUMIFS(INDEX(Inputs!$D$4:$AG$200,0,MATCH(O$2,Inputs!$D$2:$AG$2,0)),Inputs!$B$4:$B$200,$B53)/1000)</f>
        <v>1222.565181</v>
      </c>
      <c r="P53" s="11">
        <f>IF(SUMPRODUCT((Inputs!$B$4:$B$200=$B53)*ISNUMBER(INDEX(Inputs!$D$4:$AG$200,0,MATCH(P$2,Inputs!$D$2:$AG$2,0))))=0,"",SUMIFS(INDEX(Inputs!$D$4:$AG$200,0,MATCH(P$2,Inputs!$D$2:$AG$2,0)),Inputs!$B$4:$B$200,$B53)/1000)</f>
        <v>941.717108</v>
      </c>
      <c r="Q53" s="11">
        <f>IF(SUMPRODUCT((Inputs!$B$4:$B$200=$B53)*ISNUMBER(INDEX(Inputs!$D$4:$AG$200,0,MATCH(Q$2,Inputs!$D$2:$AG$2,0))))=0,"",SUMIFS(INDEX(Inputs!$D$4:$AG$200,0,MATCH(Q$2,Inputs!$D$2:$AG$2,0)),Inputs!$B$4:$B$200,$B53)/1000)</f>
        <v>856.606653</v>
      </c>
      <c r="R53" s="12">
        <f>IF(COUNT(N53:Q53)=4,SUM(N53:Q53),"")</f>
        <v>4440.869865</v>
      </c>
      <c r="S53" s="11">
        <f>IF(SUMPRODUCT((Inputs!$B$4:$B$200=$B53)*ISNUMBER(INDEX(Inputs!$D$4:$AG$200,0,MATCH(S$2,Inputs!$D$2:$AG$2,0))))=0,"",SUMIFS(INDEX(Inputs!$D$4:$AG$200,0,MATCH(S$2,Inputs!$D$2:$AG$2,0)),Inputs!$B$4:$B$200,$B53)/1000)</f>
        <v>1884.33801</v>
      </c>
      <c r="T53" s="11">
        <f>IF(SUMPRODUCT((Inputs!$B$4:$B$200=$B53)*ISNUMBER(INDEX(Inputs!$D$4:$AG$200,0,MATCH(T$2,Inputs!$D$2:$AG$2,0))))=0,"",SUMIFS(INDEX(Inputs!$D$4:$AG$200,0,MATCH(T$2,Inputs!$D$2:$AG$2,0)),Inputs!$B$4:$B$200,$B53)/1000)</f>
        <v>1734.686945</v>
      </c>
      <c r="U53" s="11">
        <f>IF(SUMPRODUCT((Inputs!$B$4:$B$200=$B53)*ISNUMBER(INDEX(Inputs!$D$4:$AG$200,0,MATCH(U$2,Inputs!$D$2:$AG$2,0))))=0,"",SUMIFS(INDEX(Inputs!$D$4:$AG$200,0,MATCH(U$2,Inputs!$D$2:$AG$2,0)),Inputs!$B$4:$B$200,$B53)/1000)</f>
        <v>1560.697</v>
      </c>
      <c r="V53" s="11">
        <f>IF(SUMPRODUCT((Inputs!$B$4:$B$200=$B53)*ISNUMBER(INDEX(Inputs!$D$4:$AG$200,0,MATCH(V$2,Inputs!$D$2:$AG$2,0))))=0,"",SUMIFS(INDEX(Inputs!$D$4:$AG$200,0,MATCH(V$2,Inputs!$D$2:$AG$2,0)),Inputs!$B$4:$B$200,$B53)/1000)</f>
        <v>1399.837</v>
      </c>
      <c r="W53" s="12">
        <f>IF(COUNT(S53:V53)=4,SUM(S53:V53),"")</f>
        <v>6579.558955</v>
      </c>
      <c r="X53" s="11">
        <f>IF(SUMPRODUCT((Inputs!$B$4:$B$200=$B53)*ISNUMBER(INDEX(Inputs!$D$4:$AG$200,0,MATCH(X$2,Inputs!$D$2:$AG$2,0))))=0,"",SUMIFS(INDEX(Inputs!$D$4:$AG$200,0,MATCH(X$2,Inputs!$D$2:$AG$2,0)),Inputs!$B$4:$B$200,$B53)/1000)</f>
        <v>2783.509</v>
      </c>
      <c r="Y53" s="11">
        <f>IF(SUMPRODUCT((Inputs!$B$4:$B$200=$B53)*ISNUMBER(INDEX(Inputs!$D$4:$AG$200,0,MATCH(Y$2,Inputs!$D$2:$AG$2,0))))=0,"",SUMIFS(INDEX(Inputs!$D$4:$AG$200,0,MATCH(Y$2,Inputs!$D$2:$AG$2,0)),Inputs!$B$4:$B$200,$B53)/1000)</f>
        <v>2225.285611</v>
      </c>
      <c r="Z53" s="11">
        <f>IF(SUMPRODUCT((Inputs!$B$4:$B$200=$B53)*ISNUMBER(INDEX(Inputs!$D$4:$AG$200,0,MATCH(Z$2,Inputs!$D$2:$AG$2,0))))=0,"",SUMIFS(INDEX(Inputs!$D$4:$AG$200,0,MATCH(Z$2,Inputs!$D$2:$AG$2,0)),Inputs!$B$4:$B$200,$B53)/1000)</f>
        <v>1986.377642</v>
      </c>
      <c r="AA53" s="11">
        <f>IF(SUMPRODUCT((Inputs!$B$4:$B$200=$B53)*ISNUMBER(INDEX(Inputs!$D$4:$AG$200,0,MATCH(AA$2,Inputs!$D$2:$AG$2,0))))=0,"",SUMIFS(INDEX(Inputs!$D$4:$AG$200,0,MATCH(AA$2,Inputs!$D$2:$AG$2,0)),Inputs!$B$4:$B$200,$B53)/1000)</f>
        <v>1289.513823</v>
      </c>
      <c r="AB53" s="12">
        <f>IF(COUNT(X53:AA53)=4,SUM(X53:AA53),"")</f>
        <v>8284.686076</v>
      </c>
      <c r="AC53" s="11">
        <f>IF(SUMPRODUCT((Inputs!$B$4:$B$200=$B53)*ISNUMBER(INDEX(Inputs!$D$4:$AG$200,0,MATCH(AC$2,Inputs!$D$2:$AG$2,0))))=0,"",SUMIFS(INDEX(Inputs!$D$4:$AG$200,0,MATCH(AC$2,Inputs!$D$2:$AG$2,0)),Inputs!$B$4:$B$200,$B53)/1000)</f>
        <v>2646.75813942</v>
      </c>
      <c r="AD53" s="11">
        <f>IF(SUMPRODUCT((Inputs!$B$4:$B$200=$B53)*ISNUMBER(INDEX(Inputs!$D$4:$AG$200,0,MATCH(AD$2,Inputs!$D$2:$AG$2,0))))=0,"",SUMIFS(INDEX(Inputs!$D$4:$AG$200,0,MATCH(AD$2,Inputs!$D$2:$AG$2,0)),Inputs!$B$4:$B$200,$B53)/1000)</f>
        <v>2256.88923928</v>
      </c>
      <c r="AE53" s="11" t="str">
        <f>IF(SUMPRODUCT((Inputs!$B$4:$B$200=$B53)*ISNUMBER(INDEX(Inputs!$D$4:$AG$200,0,MATCH(AE$2,Inputs!$D$2:$AG$2,0))))=0,"",SUMIFS(INDEX(Inputs!$D$4:$AG$200,0,MATCH(AE$2,Inputs!$D$2:$AG$2,0)),Inputs!$B$4:$B$200,$B53)/1000)</f>
        <v/>
      </c>
      <c r="AF53" s="11" t="str">
        <f>IF(SUMPRODUCT((Inputs!$B$4:$B$200=$B53)*ISNUMBER(INDEX(Inputs!$D$4:$AG$200,0,MATCH(AF$2,Inputs!$D$2:$AG$2,0))))=0,"",SUMIFS(INDEX(Inputs!$D$4:$AG$200,0,MATCH(AF$2,Inputs!$D$2:$AG$2,0)),Inputs!$B$4:$B$200,$B53)/1000)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Lancamentos - VGV parte Cury (R$ mil; l.8)</t>
        </is>
      </c>
      <c r="D54" s="11">
        <f>IF(SUMPRODUCT((Inputs!$B$4:$B$200=$B54)*ISNUMBER(INDEX(Inputs!$D$4:$AG$200,0,MATCH(D$2,Inputs!$D$2:$AG$2,0))))=0,"",SUMIFS(INDEX(Inputs!$D$4:$AG$200,0,MATCH(D$2,Inputs!$D$2:$AG$2,0)),Inputs!$B$4:$B$200,$B54)/1000)</f>
        <v>472.469289</v>
      </c>
      <c r="E54" s="11">
        <f>IF(SUMPRODUCT((Inputs!$B$4:$B$200=$B54)*ISNUMBER(INDEX(Inputs!$D$4:$AG$200,0,MATCH(E$2,Inputs!$D$2:$AG$2,0))))=0,"",SUMIFS(INDEX(Inputs!$D$4:$AG$200,0,MATCH(E$2,Inputs!$D$2:$AG$2,0)),Inputs!$B$4:$B$200,$B54)/1000)</f>
        <v>650.171568</v>
      </c>
      <c r="F54" s="11">
        <f>IF(SUMPRODUCT((Inputs!$B$4:$B$200=$B54)*ISNUMBER(INDEX(Inputs!$D$4:$AG$200,0,MATCH(F$2,Inputs!$D$2:$AG$2,0))))=0,"",SUMIFS(INDEX(Inputs!$D$4:$AG$200,0,MATCH(F$2,Inputs!$D$2:$AG$2,0)),Inputs!$B$4:$B$200,$B54)/1000)</f>
        <v>633.1727036</v>
      </c>
      <c r="G54" s="11">
        <f>IF(SUMPRODUCT((Inputs!$B$4:$B$200=$B54)*ISNUMBER(INDEX(Inputs!$D$4:$AG$200,0,MATCH(G$2,Inputs!$D$2:$AG$2,0))))=0,"",SUMIFS(INDEX(Inputs!$D$4:$AG$200,0,MATCH(G$2,Inputs!$D$2:$AG$2,0)),Inputs!$B$4:$B$200,$B54)/1000)</f>
        <v>719.679333707</v>
      </c>
      <c r="H54" s="12">
        <f>IF(COUNT(D54:G54)=4,SUM(D54:G54),"")</f>
        <v>2475.492894307</v>
      </c>
      <c r="I54" s="11">
        <f>IF(SUMPRODUCT((Inputs!$B$4:$B$200=$B54)*ISNUMBER(INDEX(Inputs!$D$4:$AG$200,0,MATCH(I$2,Inputs!$D$2:$AG$2,0))))=0,"",SUMIFS(INDEX(Inputs!$D$4:$AG$200,0,MATCH(I$2,Inputs!$D$2:$AG$2,0)),Inputs!$B$4:$B$200,$B54)/1000)</f>
        <v>781.15</v>
      </c>
      <c r="J54" s="11">
        <f>IF(SUMPRODUCT((Inputs!$B$4:$B$200=$B54)*ISNUMBER(INDEX(Inputs!$D$4:$AG$200,0,MATCH(J$2,Inputs!$D$2:$AG$2,0))))=0,"",SUMIFS(INDEX(Inputs!$D$4:$AG$200,0,MATCH(J$2,Inputs!$D$2:$AG$2,0)),Inputs!$B$4:$B$200,$B54)/1000)</f>
        <v>1056.318</v>
      </c>
      <c r="K54" s="11">
        <f>IF(SUMPRODUCT((Inputs!$B$4:$B$200=$B54)*ISNUMBER(INDEX(Inputs!$D$4:$AG$200,0,MATCH(K$2,Inputs!$D$2:$AG$2,0))))=0,"",SUMIFS(INDEX(Inputs!$D$4:$AG$200,0,MATCH(K$2,Inputs!$D$2:$AG$2,0)),Inputs!$B$4:$B$200,$B54)/1000)</f>
        <v>876.846343</v>
      </c>
      <c r="L54" s="11">
        <f>IF(SUMPRODUCT((Inputs!$B$4:$B$200=$B54)*ISNUMBER(INDEX(Inputs!$D$4:$AG$200,0,MATCH(L$2,Inputs!$D$2:$AG$2,0))))=0,"",SUMIFS(INDEX(Inputs!$D$4:$AG$200,0,MATCH(L$2,Inputs!$D$2:$AG$2,0)),Inputs!$B$4:$B$200,$B54)/1000)</f>
        <v>556.15909318</v>
      </c>
      <c r="M54" s="12">
        <f>IF(COUNT(I54:L54)=4,SUM(I54:L54),"")</f>
        <v>3270.47343618</v>
      </c>
      <c r="N54" s="11">
        <f>IF(SUMPRODUCT((Inputs!$B$4:$B$200=$B54)*ISNUMBER(INDEX(Inputs!$D$4:$AG$200,0,MATCH(N$2,Inputs!$D$2:$AG$2,0))))=0,"",SUMIFS(INDEX(Inputs!$D$4:$AG$200,0,MATCH(N$2,Inputs!$D$2:$AG$2,0)),Inputs!$B$4:$B$200,$B54)/1000)</f>
        <v>1419.980923</v>
      </c>
      <c r="O54" s="11">
        <f>IF(SUMPRODUCT((Inputs!$B$4:$B$200=$B54)*ISNUMBER(INDEX(Inputs!$D$4:$AG$200,0,MATCH(O$2,Inputs!$D$2:$AG$2,0))))=0,"",SUMIFS(INDEX(Inputs!$D$4:$AG$200,0,MATCH(O$2,Inputs!$D$2:$AG$2,0)),Inputs!$B$4:$B$200,$B54)/1000)</f>
        <v>1137.9662765</v>
      </c>
      <c r="P54" s="11">
        <f>IF(SUMPRODUCT((Inputs!$B$4:$B$200=$B54)*ISNUMBER(INDEX(Inputs!$D$4:$AG$200,0,MATCH(P$2,Inputs!$D$2:$AG$2,0))))=0,"",SUMIFS(INDEX(Inputs!$D$4:$AG$200,0,MATCH(P$2,Inputs!$D$2:$AG$2,0)),Inputs!$B$4:$B$200,$B54)/1000)</f>
        <v>805.5771061</v>
      </c>
      <c r="Q54" s="11">
        <f>IF(SUMPRODUCT((Inputs!$B$4:$B$200=$B54)*ISNUMBER(INDEX(Inputs!$D$4:$AG$200,0,MATCH(Q$2,Inputs!$D$2:$AG$2,0))))=0,"",SUMIFS(INDEX(Inputs!$D$4:$AG$200,0,MATCH(Q$2,Inputs!$D$2:$AG$2,0)),Inputs!$B$4:$B$200,$B54)/1000)</f>
        <v>856.606653</v>
      </c>
      <c r="R54" s="12">
        <f>IF(COUNT(N54:Q54)=4,SUM(N54:Q54),"")</f>
        <v>4220.1309586</v>
      </c>
      <c r="S54" s="11">
        <f>IF(SUMPRODUCT((Inputs!$B$4:$B$200=$B54)*ISNUMBER(INDEX(Inputs!$D$4:$AG$200,0,MATCH(S$2,Inputs!$D$2:$AG$2,0))))=0,"",SUMIFS(INDEX(Inputs!$D$4:$AG$200,0,MATCH(S$2,Inputs!$D$2:$AG$2,0)),Inputs!$B$4:$B$200,$B54)/1000)</f>
        <v>1499.854846</v>
      </c>
      <c r="T54" s="11">
        <f>IF(SUMPRODUCT((Inputs!$B$4:$B$200=$B54)*ISNUMBER(INDEX(Inputs!$D$4:$AG$200,0,MATCH(T$2,Inputs!$D$2:$AG$2,0))))=0,"",SUMIFS(INDEX(Inputs!$D$4:$AG$200,0,MATCH(T$2,Inputs!$D$2:$AG$2,0)),Inputs!$B$4:$B$200,$B54)/1000)</f>
        <v>1676.918567</v>
      </c>
      <c r="U54" s="11">
        <f>IF(SUMPRODUCT((Inputs!$B$4:$B$200=$B54)*ISNUMBER(INDEX(Inputs!$D$4:$AG$200,0,MATCH(U$2,Inputs!$D$2:$AG$2,0))))=0,"",SUMIFS(INDEX(Inputs!$D$4:$AG$200,0,MATCH(U$2,Inputs!$D$2:$AG$2,0)),Inputs!$B$4:$B$200,$B54)/1000)</f>
        <v>1503.046</v>
      </c>
      <c r="V54" s="11">
        <f>IF(SUMPRODUCT((Inputs!$B$4:$B$200=$B54)*ISNUMBER(INDEX(Inputs!$D$4:$AG$200,0,MATCH(V$2,Inputs!$D$2:$AG$2,0))))=0,"",SUMIFS(INDEX(Inputs!$D$4:$AG$200,0,MATCH(V$2,Inputs!$D$2:$AG$2,0)),Inputs!$B$4:$B$200,$B54)/1000)</f>
        <v>1060.952</v>
      </c>
      <c r="W54" s="12">
        <f>IF(COUNT(S54:V54)=4,SUM(S54:V54),"")</f>
        <v>5740.771413</v>
      </c>
      <c r="X54" s="11">
        <f>IF(SUMPRODUCT((Inputs!$B$4:$B$200=$B54)*ISNUMBER(INDEX(Inputs!$D$4:$AG$200,0,MATCH(X$2,Inputs!$D$2:$AG$2,0))))=0,"",SUMIFS(INDEX(Inputs!$D$4:$AG$200,0,MATCH(X$2,Inputs!$D$2:$AG$2,0)),Inputs!$B$4:$B$200,$B54)/1000)</f>
        <v>2666.305</v>
      </c>
      <c r="Y54" s="11">
        <f>IF(SUMPRODUCT((Inputs!$B$4:$B$200=$B54)*ISNUMBER(INDEX(Inputs!$D$4:$AG$200,0,MATCH(Y$2,Inputs!$D$2:$AG$2,0))))=0,"",SUMIFS(INDEX(Inputs!$D$4:$AG$200,0,MATCH(Y$2,Inputs!$D$2:$AG$2,0)),Inputs!$B$4:$B$200,$B54)/1000)</f>
        <v>1960.487651</v>
      </c>
      <c r="Z54" s="11">
        <f>IF(SUMPRODUCT((Inputs!$B$4:$B$200=$B54)*ISNUMBER(INDEX(Inputs!$D$4:$AG$200,0,MATCH(Z$2,Inputs!$D$2:$AG$2,0))))=0,"",SUMIFS(INDEX(Inputs!$D$4:$AG$200,0,MATCH(Z$2,Inputs!$D$2:$AG$2,0)),Inputs!$B$4:$B$200,$B54)/1000)</f>
        <v>1733.913905</v>
      </c>
      <c r="AA54" s="11">
        <f>IF(SUMPRODUCT((Inputs!$B$4:$B$200=$B54)*ISNUMBER(INDEX(Inputs!$D$4:$AG$200,0,MATCH(AA$2,Inputs!$D$2:$AG$2,0))))=0,"",SUMIFS(INDEX(Inputs!$D$4:$AG$200,0,MATCH(AA$2,Inputs!$D$2:$AG$2,0)),Inputs!$B$4:$B$200,$B54)/1000)</f>
        <v>1179.132223</v>
      </c>
      <c r="AB54" s="12">
        <f>IF(COUNT(X54:AA54)=4,SUM(X54:AA54),"")</f>
        <v>7539.838779</v>
      </c>
      <c r="AC54" s="11">
        <f>IF(SUMPRODUCT((Inputs!$B$4:$B$200=$B54)*ISNUMBER(INDEX(Inputs!$D$4:$AG$200,0,MATCH(AC$2,Inputs!$D$2:$AG$2,0))))=0,"",SUMIFS(INDEX(Inputs!$D$4:$AG$200,0,MATCH(AC$2,Inputs!$D$2:$AG$2,0)),Inputs!$B$4:$B$200,$B54)/1000)</f>
        <v>2268.903862852</v>
      </c>
      <c r="AD54" s="11">
        <f>IF(SUMPRODUCT((Inputs!$B$4:$B$200=$B54)*ISNUMBER(INDEX(Inputs!$D$4:$AG$200,0,MATCH(AD$2,Inputs!$D$2:$AG$2,0))))=0,"",SUMIFS(INDEX(Inputs!$D$4:$AG$200,0,MATCH(AD$2,Inputs!$D$2:$AG$2,0)),Inputs!$B$4:$B$200,$B54)/1000)</f>
        <v>1943.92785928</v>
      </c>
      <c r="AE54" s="11" t="str">
        <f>IF(SUMPRODUCT((Inputs!$B$4:$B$200=$B54)*ISNUMBER(INDEX(Inputs!$D$4:$AG$200,0,MATCH(AE$2,Inputs!$D$2:$AG$2,0))))=0,"",SUMIFS(INDEX(Inputs!$D$4:$AG$200,0,MATCH(AE$2,Inputs!$D$2:$AG$2,0)),Inputs!$B$4:$B$200,$B54)/1000)</f>
        <v/>
      </c>
      <c r="AF54" s="11" t="str">
        <f>IF(SUMPRODUCT((Inputs!$B$4:$B$200=$B54)*ISNUMBER(INDEX(Inputs!$D$4:$AG$200,0,MATCH(AF$2,Inputs!$D$2:$AG$2,0))))=0,"",SUMIFS(INDEX(Inputs!$D$4:$AG$200,0,MATCH(AF$2,Inputs!$D$2:$AG$2,0)),Inputs!$B$4:$B$200,$B54)/1000)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Lancamentos - unidades (l.10)</t>
        </is>
      </c>
      <c r="D55" s="11">
        <f>IF(SUMPRODUCT((Inputs!$B$4:$B$200=$B55)*ISNUMBER(INDEX(Inputs!$D$4:$AG$200,0,MATCH(D$2,Inputs!$D$2:$AG$2,0))))=0,"",SUMIFS(INDEX(Inputs!$D$4:$AG$200,0,MATCH(D$2,Inputs!$D$2:$AG$2,0)),Inputs!$B$4:$B$200,$B55)/1000)</f>
        <v>2957</v>
      </c>
      <c r="E55" s="11">
        <f>IF(SUMPRODUCT((Inputs!$B$4:$B$200=$B55)*ISNUMBER(INDEX(Inputs!$D$4:$AG$200,0,MATCH(E$2,Inputs!$D$2:$AG$2,0))))=0,"",SUMIFS(INDEX(Inputs!$D$4:$AG$200,0,MATCH(E$2,Inputs!$D$2:$AG$2,0)),Inputs!$B$4:$B$200,$B55)/1000)</f>
        <v>3244</v>
      </c>
      <c r="F55" s="11">
        <f>IF(SUMPRODUCT((Inputs!$B$4:$B$200=$B55)*ISNUMBER(INDEX(Inputs!$D$4:$AG$200,0,MATCH(F$2,Inputs!$D$2:$AG$2,0))))=0,"",SUMIFS(INDEX(Inputs!$D$4:$AG$200,0,MATCH(F$2,Inputs!$D$2:$AG$2,0)),Inputs!$B$4:$B$200,$B55)/1000)</f>
        <v>3163</v>
      </c>
      <c r="G55" s="11">
        <f>IF(SUMPRODUCT((Inputs!$B$4:$B$200=$B55)*ISNUMBER(INDEX(Inputs!$D$4:$AG$200,0,MATCH(G$2,Inputs!$D$2:$AG$2,0))))=0,"",SUMIFS(INDEX(Inputs!$D$4:$AG$200,0,MATCH(G$2,Inputs!$D$2:$AG$2,0)),Inputs!$B$4:$B$200,$B55)/1000)</f>
        <v>3275</v>
      </c>
      <c r="H55" s="12">
        <f>IF(COUNT(D55:G55)=4,SUM(D55:G55),"")</f>
        <v>12639</v>
      </c>
      <c r="I55" s="11">
        <f>IF(SUMPRODUCT((Inputs!$B$4:$B$200=$B55)*ISNUMBER(INDEX(Inputs!$D$4:$AG$200,0,MATCH(I$2,Inputs!$D$2:$AG$2,0))))=0,"",SUMIFS(INDEX(Inputs!$D$4:$AG$200,0,MATCH(I$2,Inputs!$D$2:$AG$2,0)),Inputs!$B$4:$B$200,$B55)/1000)</f>
        <v>3240</v>
      </c>
      <c r="J55" s="11">
        <f>IF(SUMPRODUCT((Inputs!$B$4:$B$200=$B55)*ISNUMBER(INDEX(Inputs!$D$4:$AG$200,0,MATCH(J$2,Inputs!$D$2:$AG$2,0))))=0,"",SUMIFS(INDEX(Inputs!$D$4:$AG$200,0,MATCH(J$2,Inputs!$D$2:$AG$2,0)),Inputs!$B$4:$B$200,$B55)/1000)</f>
        <v>3548</v>
      </c>
      <c r="K55" s="11">
        <f>IF(SUMPRODUCT((Inputs!$B$4:$B$200=$B55)*ISNUMBER(INDEX(Inputs!$D$4:$AG$200,0,MATCH(K$2,Inputs!$D$2:$AG$2,0))))=0,"",SUMIFS(INDEX(Inputs!$D$4:$AG$200,0,MATCH(K$2,Inputs!$D$2:$AG$2,0)),Inputs!$B$4:$B$200,$B55)/1000)</f>
        <v>3650</v>
      </c>
      <c r="L55" s="11">
        <f>IF(SUMPRODUCT((Inputs!$B$4:$B$200=$B55)*ISNUMBER(INDEX(Inputs!$D$4:$AG$200,0,MATCH(L$2,Inputs!$D$2:$AG$2,0))))=0,"",SUMIFS(INDEX(Inputs!$D$4:$AG$200,0,MATCH(L$2,Inputs!$D$2:$AG$2,0)),Inputs!$B$4:$B$200,$B55)/1000)</f>
        <v>2147</v>
      </c>
      <c r="M55" s="12">
        <f>IF(COUNT(I55:L55)=4,SUM(I55:L55),"")</f>
        <v>12585</v>
      </c>
      <c r="N55" s="11">
        <f>IF(SUMPRODUCT((Inputs!$B$4:$B$200=$B55)*ISNUMBER(INDEX(Inputs!$D$4:$AG$200,0,MATCH(N$2,Inputs!$D$2:$AG$2,0))))=0,"",SUMIFS(INDEX(Inputs!$D$4:$AG$200,0,MATCH(N$2,Inputs!$D$2:$AG$2,0)),Inputs!$B$4:$B$200,$B55)/1000)</f>
        <v>5095</v>
      </c>
      <c r="O55" s="11">
        <f>IF(SUMPRODUCT((Inputs!$B$4:$B$200=$B55)*ISNUMBER(INDEX(Inputs!$D$4:$AG$200,0,MATCH(O$2,Inputs!$D$2:$AG$2,0))))=0,"",SUMIFS(INDEX(Inputs!$D$4:$AG$200,0,MATCH(O$2,Inputs!$D$2:$AG$2,0)),Inputs!$B$4:$B$200,$B55)/1000)</f>
        <v>3799</v>
      </c>
      <c r="P55" s="11">
        <f>IF(SUMPRODUCT((Inputs!$B$4:$B$200=$B55)*ISNUMBER(INDEX(Inputs!$D$4:$AG$200,0,MATCH(P$2,Inputs!$D$2:$AG$2,0))))=0,"",SUMIFS(INDEX(Inputs!$D$4:$AG$200,0,MATCH(P$2,Inputs!$D$2:$AG$2,0)),Inputs!$B$4:$B$200,$B55)/1000)</f>
        <v>3658</v>
      </c>
      <c r="Q55" s="11">
        <f>IF(SUMPRODUCT((Inputs!$B$4:$B$200=$B55)*ISNUMBER(INDEX(Inputs!$D$4:$AG$200,0,MATCH(Q$2,Inputs!$D$2:$AG$2,0))))=0,"",SUMIFS(INDEX(Inputs!$D$4:$AG$200,0,MATCH(Q$2,Inputs!$D$2:$AG$2,0)),Inputs!$B$4:$B$200,$B55)/1000)</f>
        <v>3123</v>
      </c>
      <c r="R55" s="12">
        <f>IF(COUNT(N55:Q55)=4,SUM(N55:Q55),"")</f>
        <v>15675</v>
      </c>
      <c r="S55" s="11">
        <f>IF(SUMPRODUCT((Inputs!$B$4:$B$200=$B55)*ISNUMBER(INDEX(Inputs!$D$4:$AG$200,0,MATCH(S$2,Inputs!$D$2:$AG$2,0))))=0,"",SUMIFS(INDEX(Inputs!$D$4:$AG$200,0,MATCH(S$2,Inputs!$D$2:$AG$2,0)),Inputs!$B$4:$B$200,$B55)/1000)</f>
        <v>5959</v>
      </c>
      <c r="T55" s="11">
        <f>IF(SUMPRODUCT((Inputs!$B$4:$B$200=$B55)*ISNUMBER(INDEX(Inputs!$D$4:$AG$200,0,MATCH(T$2,Inputs!$D$2:$AG$2,0))))=0,"",SUMIFS(INDEX(Inputs!$D$4:$AG$200,0,MATCH(T$2,Inputs!$D$2:$AG$2,0)),Inputs!$B$4:$B$200,$B55)/1000)</f>
        <v>5588</v>
      </c>
      <c r="U55" s="11">
        <f>IF(SUMPRODUCT((Inputs!$B$4:$B$200=$B55)*ISNUMBER(INDEX(Inputs!$D$4:$AG$200,0,MATCH(U$2,Inputs!$D$2:$AG$2,0))))=0,"",SUMIFS(INDEX(Inputs!$D$4:$AG$200,0,MATCH(U$2,Inputs!$D$2:$AG$2,0)),Inputs!$B$4:$B$200,$B55)/1000)</f>
        <v>5157</v>
      </c>
      <c r="V55" s="11">
        <f>IF(SUMPRODUCT((Inputs!$B$4:$B$200=$B55)*ISNUMBER(INDEX(Inputs!$D$4:$AG$200,0,MATCH(V$2,Inputs!$D$2:$AG$2,0))))=0,"",SUMIFS(INDEX(Inputs!$D$4:$AG$200,0,MATCH(V$2,Inputs!$D$2:$AG$2,0)),Inputs!$B$4:$B$200,$B55)/1000)</f>
        <v>4061</v>
      </c>
      <c r="W55" s="12">
        <f>IF(COUNT(S55:V55)=4,SUM(S55:V55),"")</f>
        <v>20765</v>
      </c>
      <c r="X55" s="11">
        <f>IF(SUMPRODUCT((Inputs!$B$4:$B$200=$B55)*ISNUMBER(INDEX(Inputs!$D$4:$AG$200,0,MATCH(X$2,Inputs!$D$2:$AG$2,0))))=0,"",SUMIFS(INDEX(Inputs!$D$4:$AG$200,0,MATCH(X$2,Inputs!$D$2:$AG$2,0)),Inputs!$B$4:$B$200,$B55)/1000)</f>
        <v>9132</v>
      </c>
      <c r="Y55" s="11">
        <f>IF(SUMPRODUCT((Inputs!$B$4:$B$200=$B55)*ISNUMBER(INDEX(Inputs!$D$4:$AG$200,0,MATCH(Y$2,Inputs!$D$2:$AG$2,0))))=0,"",SUMIFS(INDEX(Inputs!$D$4:$AG$200,0,MATCH(Y$2,Inputs!$D$2:$AG$2,0)),Inputs!$B$4:$B$200,$B55)/1000)</f>
        <v>6588</v>
      </c>
      <c r="Z55" s="11">
        <f>IF(SUMPRODUCT((Inputs!$B$4:$B$200=$B55)*ISNUMBER(INDEX(Inputs!$D$4:$AG$200,0,MATCH(Z$2,Inputs!$D$2:$AG$2,0))))=0,"",SUMIFS(INDEX(Inputs!$D$4:$AG$200,0,MATCH(Z$2,Inputs!$D$2:$AG$2,0)),Inputs!$B$4:$B$200,$B55)/1000)</f>
        <v>6813</v>
      </c>
      <c r="AA55" s="11">
        <f>IF(SUMPRODUCT((Inputs!$B$4:$B$200=$B55)*ISNUMBER(INDEX(Inputs!$D$4:$AG$200,0,MATCH(AA$2,Inputs!$D$2:$AG$2,0))))=0,"",SUMIFS(INDEX(Inputs!$D$4:$AG$200,0,MATCH(AA$2,Inputs!$D$2:$AG$2,0)),Inputs!$B$4:$B$200,$B55)/1000)</f>
        <v>3833</v>
      </c>
      <c r="AB55" s="12">
        <f>IF(COUNT(X55:AA55)=4,SUM(X55:AA55),"")</f>
        <v>26366</v>
      </c>
      <c r="AC55" s="11">
        <f>IF(SUMPRODUCT((Inputs!$B$4:$B$200=$B55)*ISNUMBER(INDEX(Inputs!$D$4:$AG$200,0,MATCH(AC$2,Inputs!$D$2:$AG$2,0))))=0,"",SUMIFS(INDEX(Inputs!$D$4:$AG$200,0,MATCH(AC$2,Inputs!$D$2:$AG$2,0)),Inputs!$B$4:$B$200,$B55)/1000)</f>
        <v>8001</v>
      </c>
      <c r="AD55" s="11">
        <f>IF(SUMPRODUCT((Inputs!$B$4:$B$200=$B55)*ISNUMBER(INDEX(Inputs!$D$4:$AG$200,0,MATCH(AD$2,Inputs!$D$2:$AG$2,0))))=0,"",SUMIFS(INDEX(Inputs!$D$4:$AG$200,0,MATCH(AD$2,Inputs!$D$2:$AG$2,0)),Inputs!$B$4:$B$200,$B55)/1000)</f>
        <v>6549</v>
      </c>
      <c r="AE55" s="11" t="str">
        <f>IF(SUMPRODUCT((Inputs!$B$4:$B$200=$B55)*ISNUMBER(INDEX(Inputs!$D$4:$AG$200,0,MATCH(AE$2,Inputs!$D$2:$AG$2,0))))=0,"",SUMIFS(INDEX(Inputs!$D$4:$AG$200,0,MATCH(AE$2,Inputs!$D$2:$AG$2,0)),Inputs!$B$4:$B$200,$B55)/1000)</f>
        <v/>
      </c>
      <c r="AF55" s="11" t="str">
        <f>IF(SUMPRODUCT((Inputs!$B$4:$B$200=$B55)*ISNUMBER(INDEX(Inputs!$D$4:$AG$200,0,MATCH(AF$2,Inputs!$D$2:$AG$2,0))))=0,"",SUMIFS(INDEX(Inputs!$D$4:$AG$200,0,MATCH(AF$2,Inputs!$D$2:$AG$2,0)),Inputs!$B$4:$B$200,$B55)/1000)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Lancamentos - numero de empreendimentos (l.6)</t>
        </is>
      </c>
      <c r="D56" s="11">
        <f>IF(SUMPRODUCT((Inputs!$B$4:$B$200=$B56)*ISNUMBER(INDEX(Inputs!$D$4:$AG$200,0,MATCH(D$2,Inputs!$D$2:$AG$2,0))))=0,"",SUMIFS(INDEX(Inputs!$D$4:$AG$200,0,MATCH(D$2,Inputs!$D$2:$AG$2,0)),Inputs!$B$4:$B$200,$B56)/1000)</f>
        <v>6</v>
      </c>
      <c r="E56" s="11">
        <f>IF(SUMPRODUCT((Inputs!$B$4:$B$200=$B56)*ISNUMBER(INDEX(Inputs!$D$4:$AG$200,0,MATCH(E$2,Inputs!$D$2:$AG$2,0))))=0,"",SUMIFS(INDEX(Inputs!$D$4:$AG$200,0,MATCH(E$2,Inputs!$D$2:$AG$2,0)),Inputs!$B$4:$B$200,$B56)/1000)</f>
        <v>7</v>
      </c>
      <c r="F56" s="11">
        <f>IF(SUMPRODUCT((Inputs!$B$4:$B$200=$B56)*ISNUMBER(INDEX(Inputs!$D$4:$AG$200,0,MATCH(F$2,Inputs!$D$2:$AG$2,0))))=0,"",SUMIFS(INDEX(Inputs!$D$4:$AG$200,0,MATCH(F$2,Inputs!$D$2:$AG$2,0)),Inputs!$B$4:$B$200,$B56)/1000)</f>
        <v>6</v>
      </c>
      <c r="G56" s="11">
        <f>IF(SUMPRODUCT((Inputs!$B$4:$B$200=$B56)*ISNUMBER(INDEX(Inputs!$D$4:$AG$200,0,MATCH(G$2,Inputs!$D$2:$AG$2,0))))=0,"",SUMIFS(INDEX(Inputs!$D$4:$AG$200,0,MATCH(G$2,Inputs!$D$2:$AG$2,0)),Inputs!$B$4:$B$200,$B56)/1000)</f>
        <v>7</v>
      </c>
      <c r="H56" s="12">
        <f>IF(COUNT(D56:G56)=4,SUM(D56:G56),"")</f>
        <v>26</v>
      </c>
      <c r="I56" s="11">
        <f>IF(SUMPRODUCT((Inputs!$B$4:$B$200=$B56)*ISNUMBER(INDEX(Inputs!$D$4:$AG$200,0,MATCH(I$2,Inputs!$D$2:$AG$2,0))))=0,"",SUMIFS(INDEX(Inputs!$D$4:$AG$200,0,MATCH(I$2,Inputs!$D$2:$AG$2,0)),Inputs!$B$4:$B$200,$B56)/1000)</f>
        <v>5</v>
      </c>
      <c r="J56" s="11">
        <f>IF(SUMPRODUCT((Inputs!$B$4:$B$200=$B56)*ISNUMBER(INDEX(Inputs!$D$4:$AG$200,0,MATCH(J$2,Inputs!$D$2:$AG$2,0))))=0,"",SUMIFS(INDEX(Inputs!$D$4:$AG$200,0,MATCH(J$2,Inputs!$D$2:$AG$2,0)),Inputs!$B$4:$B$200,$B56)/1000)</f>
        <v>7</v>
      </c>
      <c r="K56" s="11">
        <f>IF(SUMPRODUCT((Inputs!$B$4:$B$200=$B56)*ISNUMBER(INDEX(Inputs!$D$4:$AG$200,0,MATCH(K$2,Inputs!$D$2:$AG$2,0))))=0,"",SUMIFS(INDEX(Inputs!$D$4:$AG$200,0,MATCH(K$2,Inputs!$D$2:$AG$2,0)),Inputs!$B$4:$B$200,$B56)/1000)</f>
        <v>6</v>
      </c>
      <c r="L56" s="11">
        <f>IF(SUMPRODUCT((Inputs!$B$4:$B$200=$B56)*ISNUMBER(INDEX(Inputs!$D$4:$AG$200,0,MATCH(L$2,Inputs!$D$2:$AG$2,0))))=0,"",SUMIFS(INDEX(Inputs!$D$4:$AG$200,0,MATCH(L$2,Inputs!$D$2:$AG$2,0)),Inputs!$B$4:$B$200,$B56)/1000)</f>
        <v>5</v>
      </c>
      <c r="M56" s="12">
        <f>IF(COUNT(I56:L56)=4,SUM(I56:L56),"")</f>
        <v>23</v>
      </c>
      <c r="N56" s="11">
        <f>IF(SUMPRODUCT((Inputs!$B$4:$B$200=$B56)*ISNUMBER(INDEX(Inputs!$D$4:$AG$200,0,MATCH(N$2,Inputs!$D$2:$AG$2,0))))=0,"",SUMIFS(INDEX(Inputs!$D$4:$AG$200,0,MATCH(N$2,Inputs!$D$2:$AG$2,0)),Inputs!$B$4:$B$200,$B56)/1000)</f>
        <v>8</v>
      </c>
      <c r="O56" s="11">
        <f>IF(SUMPRODUCT((Inputs!$B$4:$B$200=$B56)*ISNUMBER(INDEX(Inputs!$D$4:$AG$200,0,MATCH(O$2,Inputs!$D$2:$AG$2,0))))=0,"",SUMIFS(INDEX(Inputs!$D$4:$AG$200,0,MATCH(O$2,Inputs!$D$2:$AG$2,0)),Inputs!$B$4:$B$200,$B56)/1000)</f>
        <v>8</v>
      </c>
      <c r="P56" s="11">
        <f>IF(SUMPRODUCT((Inputs!$B$4:$B$200=$B56)*ISNUMBER(INDEX(Inputs!$D$4:$AG$200,0,MATCH(P$2,Inputs!$D$2:$AG$2,0))))=0,"",SUMIFS(INDEX(Inputs!$D$4:$AG$200,0,MATCH(P$2,Inputs!$D$2:$AG$2,0)),Inputs!$B$4:$B$200,$B56)/1000)</f>
        <v>7</v>
      </c>
      <c r="Q56" s="11">
        <f>IF(SUMPRODUCT((Inputs!$B$4:$B$200=$B56)*ISNUMBER(INDEX(Inputs!$D$4:$AG$200,0,MATCH(Q$2,Inputs!$D$2:$AG$2,0))))=0,"",SUMIFS(INDEX(Inputs!$D$4:$AG$200,0,MATCH(Q$2,Inputs!$D$2:$AG$2,0)),Inputs!$B$4:$B$200,$B56)/1000)</f>
        <v>6</v>
      </c>
      <c r="R56" s="12">
        <f>IF(COUNT(N56:Q56)=4,SUM(N56:Q56),"")</f>
        <v>29</v>
      </c>
      <c r="S56" s="11">
        <f>IF(SUMPRODUCT((Inputs!$B$4:$B$200=$B56)*ISNUMBER(INDEX(Inputs!$D$4:$AG$200,0,MATCH(S$2,Inputs!$D$2:$AG$2,0))))=0,"",SUMIFS(INDEX(Inputs!$D$4:$AG$200,0,MATCH(S$2,Inputs!$D$2:$AG$2,0)),Inputs!$B$4:$B$200,$B56)/1000)</f>
        <v>10</v>
      </c>
      <c r="T56" s="11">
        <f>IF(SUMPRODUCT((Inputs!$B$4:$B$200=$B56)*ISNUMBER(INDEX(Inputs!$D$4:$AG$200,0,MATCH(T$2,Inputs!$D$2:$AG$2,0))))=0,"",SUMIFS(INDEX(Inputs!$D$4:$AG$200,0,MATCH(T$2,Inputs!$D$2:$AG$2,0)),Inputs!$B$4:$B$200,$B56)/1000)</f>
        <v>8</v>
      </c>
      <c r="U56" s="11">
        <f>IF(SUMPRODUCT((Inputs!$B$4:$B$200=$B56)*ISNUMBER(INDEX(Inputs!$D$4:$AG$200,0,MATCH(U$2,Inputs!$D$2:$AG$2,0))))=0,"",SUMIFS(INDEX(Inputs!$D$4:$AG$200,0,MATCH(U$2,Inputs!$D$2:$AG$2,0)),Inputs!$B$4:$B$200,$B56)/1000)</f>
        <v>9</v>
      </c>
      <c r="V56" s="11">
        <f>IF(SUMPRODUCT((Inputs!$B$4:$B$200=$B56)*ISNUMBER(INDEX(Inputs!$D$4:$AG$200,0,MATCH(V$2,Inputs!$D$2:$AG$2,0))))=0,"",SUMIFS(INDEX(Inputs!$D$4:$AG$200,0,MATCH(V$2,Inputs!$D$2:$AG$2,0)),Inputs!$B$4:$B$200,$B56)/1000)</f>
        <v>7</v>
      </c>
      <c r="W56" s="12">
        <f>IF(COUNT(S56:V56)=4,SUM(S56:V56),"")</f>
        <v>34</v>
      </c>
      <c r="X56" s="11">
        <f>IF(SUMPRODUCT((Inputs!$B$4:$B$200=$B56)*ISNUMBER(INDEX(Inputs!$D$4:$AG$200,0,MATCH(X$2,Inputs!$D$2:$AG$2,0))))=0,"",SUMIFS(INDEX(Inputs!$D$4:$AG$200,0,MATCH(X$2,Inputs!$D$2:$AG$2,0)),Inputs!$B$4:$B$200,$B56)/1000)</f>
        <v>14</v>
      </c>
      <c r="Y56" s="11">
        <f>IF(SUMPRODUCT((Inputs!$B$4:$B$200=$B56)*ISNUMBER(INDEX(Inputs!$D$4:$AG$200,0,MATCH(Y$2,Inputs!$D$2:$AG$2,0))))=0,"",SUMIFS(INDEX(Inputs!$D$4:$AG$200,0,MATCH(Y$2,Inputs!$D$2:$AG$2,0)),Inputs!$B$4:$B$200,$B56)/1000)</f>
        <v>9</v>
      </c>
      <c r="Z56" s="11">
        <f>IF(SUMPRODUCT((Inputs!$B$4:$B$200=$B56)*ISNUMBER(INDEX(Inputs!$D$4:$AG$200,0,MATCH(Z$2,Inputs!$D$2:$AG$2,0))))=0,"",SUMIFS(INDEX(Inputs!$D$4:$AG$200,0,MATCH(Z$2,Inputs!$D$2:$AG$2,0)),Inputs!$B$4:$B$200,$B56)/1000)</f>
        <v>9</v>
      </c>
      <c r="AA56" s="11">
        <f>IF(SUMPRODUCT((Inputs!$B$4:$B$200=$B56)*ISNUMBER(INDEX(Inputs!$D$4:$AG$200,0,MATCH(AA$2,Inputs!$D$2:$AG$2,0))))=0,"",SUMIFS(INDEX(Inputs!$D$4:$AG$200,0,MATCH(AA$2,Inputs!$D$2:$AG$2,0)),Inputs!$B$4:$B$200,$B56)/1000)</f>
        <v>5</v>
      </c>
      <c r="AB56" s="12">
        <f>IF(COUNT(X56:AA56)=4,SUM(X56:AA56),"")</f>
        <v>37</v>
      </c>
      <c r="AC56" s="11">
        <f>IF(SUMPRODUCT((Inputs!$B$4:$B$200=$B56)*ISNUMBER(INDEX(Inputs!$D$4:$AG$200,0,MATCH(AC$2,Inputs!$D$2:$AG$2,0))))=0,"",SUMIFS(INDEX(Inputs!$D$4:$AG$200,0,MATCH(AC$2,Inputs!$D$2:$AG$2,0)),Inputs!$B$4:$B$200,$B56)/1000)</f>
        <v>10</v>
      </c>
      <c r="AD56" s="11">
        <f>IF(SUMPRODUCT((Inputs!$B$4:$B$200=$B56)*ISNUMBER(INDEX(Inputs!$D$4:$AG$200,0,MATCH(AD$2,Inputs!$D$2:$AG$2,0))))=0,"",SUMIFS(INDEX(Inputs!$D$4:$AG$200,0,MATCH(AD$2,Inputs!$D$2:$AG$2,0)),Inputs!$B$4:$B$200,$B56)/1000)</f>
        <v>11</v>
      </c>
      <c r="AE56" s="11" t="str">
        <f>IF(SUMPRODUCT((Inputs!$B$4:$B$200=$B56)*ISNUMBER(INDEX(Inputs!$D$4:$AG$200,0,MATCH(AE$2,Inputs!$D$2:$AG$2,0))))=0,"",SUMIFS(INDEX(Inputs!$D$4:$AG$200,0,MATCH(AE$2,Inputs!$D$2:$AG$2,0)),Inputs!$B$4:$B$200,$B56)/1000)</f>
        <v/>
      </c>
      <c r="AF56" s="11" t="str">
        <f>IF(SUMPRODUCT((Inputs!$B$4:$B$200=$B56)*ISNUMBER(INDEX(Inputs!$D$4:$AG$200,0,MATCH(AF$2,Inputs!$D$2:$AG$2,0))))=0,"",SUMIFS(INDEX(Inputs!$D$4:$AG$200,0,MATCH(AF$2,Inputs!$D$2:$AG$2,0)),Inputs!$B$4:$B$200,$B56)/1000)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Vendas brutas - VGV 100% (R$ mil; l.22)</t>
        </is>
      </c>
      <c r="D57" s="11">
        <f>IF(SUMPRODUCT((Inputs!$B$4:$B$200=$B57)*ISNUMBER(INDEX(Inputs!$D$4:$AG$200,0,MATCH(D$2,Inputs!$D$2:$AG$2,0))))=0,"",SUMIFS(INDEX(Inputs!$D$4:$AG$200,0,MATCH(D$2,Inputs!$D$2:$AG$2,0)),Inputs!$B$4:$B$200,$B57)/1000)</f>
        <v>633.518595</v>
      </c>
      <c r="E57" s="11">
        <f>IF(SUMPRODUCT((Inputs!$B$4:$B$200=$B57)*ISNUMBER(INDEX(Inputs!$D$4:$AG$200,0,MATCH(E$2,Inputs!$D$2:$AG$2,0))))=0,"",SUMIFS(INDEX(Inputs!$D$4:$AG$200,0,MATCH(E$2,Inputs!$D$2:$AG$2,0)),Inputs!$B$4:$B$200,$B57)/1000)</f>
        <v>736.46839125</v>
      </c>
      <c r="F57" s="11">
        <f>IF(SUMPRODUCT((Inputs!$B$4:$B$200=$B57)*ISNUMBER(INDEX(Inputs!$D$4:$AG$200,0,MATCH(F$2,Inputs!$D$2:$AG$2,0))))=0,"",SUMIFS(INDEX(Inputs!$D$4:$AG$200,0,MATCH(F$2,Inputs!$D$2:$AG$2,0)),Inputs!$B$4:$B$200,$B57)/1000)</f>
        <v>748.701792</v>
      </c>
      <c r="G57" s="11">
        <f>IF(SUMPRODUCT((Inputs!$B$4:$B$200=$B57)*ISNUMBER(INDEX(Inputs!$D$4:$AG$200,0,MATCH(G$2,Inputs!$D$2:$AG$2,0))))=0,"",SUMIFS(INDEX(Inputs!$D$4:$AG$200,0,MATCH(G$2,Inputs!$D$2:$AG$2,0)),Inputs!$B$4:$B$200,$B57)/1000)</f>
        <v>671.69377856</v>
      </c>
      <c r="H57" s="12">
        <f>IF(COUNT(D57:G57)=4,SUM(D57:G57),"")</f>
        <v>2790.38255681</v>
      </c>
      <c r="I57" s="11">
        <f>IF(SUMPRODUCT((Inputs!$B$4:$B$200=$B57)*ISNUMBER(INDEX(Inputs!$D$4:$AG$200,0,MATCH(I$2,Inputs!$D$2:$AG$2,0))))=0,"",SUMIFS(INDEX(Inputs!$D$4:$AG$200,0,MATCH(I$2,Inputs!$D$2:$AG$2,0)),Inputs!$B$4:$B$200,$B57)/1000)</f>
        <v>812.74016347</v>
      </c>
      <c r="J57" s="11">
        <f>IF(SUMPRODUCT((Inputs!$B$4:$B$200=$B57)*ISNUMBER(INDEX(Inputs!$D$4:$AG$200,0,MATCH(J$2,Inputs!$D$2:$AG$2,0))))=0,"",SUMIFS(INDEX(Inputs!$D$4:$AG$200,0,MATCH(J$2,Inputs!$D$2:$AG$2,0)),Inputs!$B$4:$B$200,$B57)/1000)</f>
        <v>987.42073506</v>
      </c>
      <c r="K57" s="11">
        <f>IF(SUMPRODUCT((Inputs!$B$4:$B$200=$B57)*ISNUMBER(INDEX(Inputs!$D$4:$AG$200,0,MATCH(K$2,Inputs!$D$2:$AG$2,0))))=0,"",SUMIFS(INDEX(Inputs!$D$4:$AG$200,0,MATCH(K$2,Inputs!$D$2:$AG$2,0)),Inputs!$B$4:$B$200,$B57)/1000)</f>
        <v>967.26329716</v>
      </c>
      <c r="L57" s="11">
        <f>IF(SUMPRODUCT((Inputs!$B$4:$B$200=$B57)*ISNUMBER(INDEX(Inputs!$D$4:$AG$200,0,MATCH(L$2,Inputs!$D$2:$AG$2,0))))=0,"",SUMIFS(INDEX(Inputs!$D$4:$AG$200,0,MATCH(L$2,Inputs!$D$2:$AG$2,0)),Inputs!$B$4:$B$200,$B57)/1000)</f>
        <v>835.5111194</v>
      </c>
      <c r="M57" s="12">
        <f>IF(COUNT(I57:L57)=4,SUM(I57:L57),"")</f>
        <v>3602.93531509</v>
      </c>
      <c r="N57" s="11">
        <f>IF(SUMPRODUCT((Inputs!$B$4:$B$200=$B57)*ISNUMBER(INDEX(Inputs!$D$4:$AG$200,0,MATCH(N$2,Inputs!$D$2:$AG$2,0))))=0,"",SUMIFS(INDEX(Inputs!$D$4:$AG$200,0,MATCH(N$2,Inputs!$D$2:$AG$2,0)),Inputs!$B$4:$B$200,$B57)/1000)</f>
        <v>1164.03701824</v>
      </c>
      <c r="O57" s="11">
        <f>IF(SUMPRODUCT((Inputs!$B$4:$B$200=$B57)*ISNUMBER(INDEX(Inputs!$D$4:$AG$200,0,MATCH(O$2,Inputs!$D$2:$AG$2,0))))=0,"",SUMIFS(INDEX(Inputs!$D$4:$AG$200,0,MATCH(O$2,Inputs!$D$2:$AG$2,0)),Inputs!$B$4:$B$200,$B57)/1000)</f>
        <v>1342.268679</v>
      </c>
      <c r="P57" s="11">
        <f>IF(SUMPRODUCT((Inputs!$B$4:$B$200=$B57)*ISNUMBER(INDEX(Inputs!$D$4:$AG$200,0,MATCH(P$2,Inputs!$D$2:$AG$2,0))))=0,"",SUMIFS(INDEX(Inputs!$D$4:$AG$200,0,MATCH(P$2,Inputs!$D$2:$AG$2,0)),Inputs!$B$4:$B$200,$B57)/1000)</f>
        <v>1154.32311335</v>
      </c>
      <c r="Q57" s="11">
        <f>IF(SUMPRODUCT((Inputs!$B$4:$B$200=$B57)*ISNUMBER(INDEX(Inputs!$D$4:$AG$200,0,MATCH(Q$2,Inputs!$D$2:$AG$2,0))))=0,"",SUMIFS(INDEX(Inputs!$D$4:$AG$200,0,MATCH(Q$2,Inputs!$D$2:$AG$2,0)),Inputs!$B$4:$B$200,$B57)/1000)</f>
        <v>1025.134116</v>
      </c>
      <c r="R57" s="12">
        <f>IF(COUNT(N57:Q57)=4,SUM(N57:Q57),"")</f>
        <v>4685.76292659</v>
      </c>
      <c r="S57" s="11">
        <f>IF(SUMPRODUCT((Inputs!$B$4:$B$200=$B57)*ISNUMBER(INDEX(Inputs!$D$4:$AG$200,0,MATCH(S$2,Inputs!$D$2:$AG$2,0))))=0,"",SUMIFS(INDEX(Inputs!$D$4:$AG$200,0,MATCH(S$2,Inputs!$D$2:$AG$2,0)),Inputs!$B$4:$B$200,$B57)/1000)</f>
        <v>1679.48891586</v>
      </c>
      <c r="T57" s="11">
        <f>IF(SUMPRODUCT((Inputs!$B$4:$B$200=$B57)*ISNUMBER(INDEX(Inputs!$D$4:$AG$200,0,MATCH(T$2,Inputs!$D$2:$AG$2,0))))=0,"",SUMIFS(INDEX(Inputs!$D$4:$AG$200,0,MATCH(T$2,Inputs!$D$2:$AG$2,0)),Inputs!$B$4:$B$200,$B57)/1000)</f>
        <v>1926.22049911</v>
      </c>
      <c r="U57" s="11">
        <f>IF(SUMPRODUCT((Inputs!$B$4:$B$200=$B57)*ISNUMBER(INDEX(Inputs!$D$4:$AG$200,0,MATCH(U$2,Inputs!$D$2:$AG$2,0))))=0,"",SUMIFS(INDEX(Inputs!$D$4:$AG$200,0,MATCH(U$2,Inputs!$D$2:$AG$2,0)),Inputs!$B$4:$B$200,$B57)/1000)</f>
        <v>1590.24165394</v>
      </c>
      <c r="V57" s="11">
        <f>IF(SUMPRODUCT((Inputs!$B$4:$B$200=$B57)*ISNUMBER(INDEX(Inputs!$D$4:$AG$200,0,MATCH(V$2,Inputs!$D$2:$AG$2,0))))=0,"",SUMIFS(INDEX(Inputs!$D$4:$AG$200,0,MATCH(V$2,Inputs!$D$2:$AG$2,0)),Inputs!$B$4:$B$200,$B57)/1000)</f>
        <v>1531.003</v>
      </c>
      <c r="W57" s="12">
        <f>IF(COUNT(S57:V57)=4,SUM(S57:V57),"")</f>
        <v>6726.95406891</v>
      </c>
      <c r="X57" s="11">
        <f>IF(SUMPRODUCT((Inputs!$B$4:$B$200=$B57)*ISNUMBER(INDEX(Inputs!$D$4:$AG$200,0,MATCH(X$2,Inputs!$D$2:$AG$2,0))))=0,"",SUMIFS(INDEX(Inputs!$D$4:$AG$200,0,MATCH(X$2,Inputs!$D$2:$AG$2,0)),Inputs!$B$4:$B$200,$B57)/1000)</f>
        <v>2225.41712449</v>
      </c>
      <c r="Y57" s="11">
        <f>IF(SUMPRODUCT((Inputs!$B$4:$B$200=$B57)*ISNUMBER(INDEX(Inputs!$D$4:$AG$200,0,MATCH(Y$2,Inputs!$D$2:$AG$2,0))))=0,"",SUMIFS(INDEX(Inputs!$D$4:$AG$200,0,MATCH(Y$2,Inputs!$D$2:$AG$2,0)),Inputs!$B$4:$B$200,$B57)/1000)</f>
        <v>2498.00483802</v>
      </c>
      <c r="Z57" s="11">
        <f>IF(SUMPRODUCT((Inputs!$B$4:$B$200=$B57)*ISNUMBER(INDEX(Inputs!$D$4:$AG$200,0,MATCH(Z$2,Inputs!$D$2:$AG$2,0))))=0,"",SUMIFS(INDEX(Inputs!$D$4:$AG$200,0,MATCH(Z$2,Inputs!$D$2:$AG$2,0)),Inputs!$B$4:$B$200,$B57)/1000)</f>
        <v>2051.878191</v>
      </c>
      <c r="AA57" s="11">
        <f>IF(SUMPRODUCT((Inputs!$B$4:$B$200=$B57)*ISNUMBER(INDEX(Inputs!$D$4:$AG$200,0,MATCH(AA$2,Inputs!$D$2:$AG$2,0))))=0,"",SUMIFS(INDEX(Inputs!$D$4:$AG$200,0,MATCH(AA$2,Inputs!$D$2:$AG$2,0)),Inputs!$B$4:$B$200,$B57)/1000)</f>
        <v>1714.07288715</v>
      </c>
      <c r="AB57" s="12">
        <f>IF(COUNT(X57:AA57)=4,SUM(X57:AA57),"")</f>
        <v>8489.37304066</v>
      </c>
      <c r="AC57" s="11">
        <f>IF(SUMPRODUCT((Inputs!$B$4:$B$200=$B57)*ISNUMBER(INDEX(Inputs!$D$4:$AG$200,0,MATCH(AC$2,Inputs!$D$2:$AG$2,0))))=0,"",SUMIFS(INDEX(Inputs!$D$4:$AG$200,0,MATCH(AC$2,Inputs!$D$2:$AG$2,0)),Inputs!$B$4:$B$200,$B57)/1000)</f>
        <v>2533.87232795</v>
      </c>
      <c r="AD57" s="11">
        <f>IF(SUMPRODUCT((Inputs!$B$4:$B$200=$B57)*ISNUMBER(INDEX(Inputs!$D$4:$AG$200,0,MATCH(AD$2,Inputs!$D$2:$AG$2,0))))=0,"",SUMIFS(INDEX(Inputs!$D$4:$AG$200,0,MATCH(AD$2,Inputs!$D$2:$AG$2,0)),Inputs!$B$4:$B$200,$B57)/1000)</f>
        <v>2216.66966465</v>
      </c>
      <c r="AE57" s="11" t="str">
        <f>IF(SUMPRODUCT((Inputs!$B$4:$B$200=$B57)*ISNUMBER(INDEX(Inputs!$D$4:$AG$200,0,MATCH(AE$2,Inputs!$D$2:$AG$2,0))))=0,"",SUMIFS(INDEX(Inputs!$D$4:$AG$200,0,MATCH(AE$2,Inputs!$D$2:$AG$2,0)),Inputs!$B$4:$B$200,$B57)/1000)</f>
        <v/>
      </c>
      <c r="AF57" s="11" t="str">
        <f>IF(SUMPRODUCT((Inputs!$B$4:$B$200=$B57)*ISNUMBER(INDEX(Inputs!$D$4:$AG$200,0,MATCH(AF$2,Inputs!$D$2:$AG$2,0))))=0,"",SUMIFS(INDEX(Inputs!$D$4:$AG$200,0,MATCH(AF$2,Inputs!$D$2:$AG$2,0)),Inputs!$B$4:$B$200,$B57)/1000)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Distratos - VGV (R$ mil; l.23; positivo na fonte)</t>
        </is>
      </c>
      <c r="D58" s="11">
        <f>IF(SUMPRODUCT((Inputs!$B$4:$B$200=$B58)*ISNUMBER(INDEX(Inputs!$D$4:$AG$200,0,MATCH(D$2,Inputs!$D$2:$AG$2,0))))=0,"",SUMIFS(INDEX(Inputs!$D$4:$AG$200,0,MATCH(D$2,Inputs!$D$2:$AG$2,0)),Inputs!$B$4:$B$200,$B58)/1000)</f>
        <v>43.1452657</v>
      </c>
      <c r="E58" s="11">
        <f>IF(SUMPRODUCT((Inputs!$B$4:$B$200=$B58)*ISNUMBER(INDEX(Inputs!$D$4:$AG$200,0,MATCH(E$2,Inputs!$D$2:$AG$2,0))))=0,"",SUMIFS(INDEX(Inputs!$D$4:$AG$200,0,MATCH(E$2,Inputs!$D$2:$AG$2,0)),Inputs!$B$4:$B$200,$B58)/1000)</f>
        <v>53.89071489</v>
      </c>
      <c r="F58" s="11">
        <f>IF(SUMPRODUCT((Inputs!$B$4:$B$200=$B58)*ISNUMBER(INDEX(Inputs!$D$4:$AG$200,0,MATCH(F$2,Inputs!$D$2:$AG$2,0))))=0,"",SUMIFS(INDEX(Inputs!$D$4:$AG$200,0,MATCH(F$2,Inputs!$D$2:$AG$2,0)),Inputs!$B$4:$B$200,$B58)/1000)</f>
        <v>66.33128407</v>
      </c>
      <c r="G58" s="11">
        <f>IF(SUMPRODUCT((Inputs!$B$4:$B$200=$B58)*ISNUMBER(INDEX(Inputs!$D$4:$AG$200,0,MATCH(G$2,Inputs!$D$2:$AG$2,0))))=0,"",SUMIFS(INDEX(Inputs!$D$4:$AG$200,0,MATCH(G$2,Inputs!$D$2:$AG$2,0)),Inputs!$B$4:$B$200,$B58)/1000)</f>
        <v>60.32768256</v>
      </c>
      <c r="H58" s="12">
        <f>IF(COUNT(D58:G58)=4,SUM(D58:G58),"")</f>
        <v>223.69494722</v>
      </c>
      <c r="I58" s="11">
        <f>IF(SUMPRODUCT((Inputs!$B$4:$B$200=$B58)*ISNUMBER(INDEX(Inputs!$D$4:$AG$200,0,MATCH(I$2,Inputs!$D$2:$AG$2,0))))=0,"",SUMIFS(INDEX(Inputs!$D$4:$AG$200,0,MATCH(I$2,Inputs!$D$2:$AG$2,0)),Inputs!$B$4:$B$200,$B58)/1000)</f>
        <v>59.37404232</v>
      </c>
      <c r="J58" s="11">
        <f>IF(SUMPRODUCT((Inputs!$B$4:$B$200=$B58)*ISNUMBER(INDEX(Inputs!$D$4:$AG$200,0,MATCH(J$2,Inputs!$D$2:$AG$2,0))))=0,"",SUMIFS(INDEX(Inputs!$D$4:$AG$200,0,MATCH(J$2,Inputs!$D$2:$AG$2,0)),Inputs!$B$4:$B$200,$B58)/1000)</f>
        <v>89.93535754</v>
      </c>
      <c r="K58" s="11">
        <f>IF(SUMPRODUCT((Inputs!$B$4:$B$200=$B58)*ISNUMBER(INDEX(Inputs!$D$4:$AG$200,0,MATCH(K$2,Inputs!$D$2:$AG$2,0))))=0,"",SUMIFS(INDEX(Inputs!$D$4:$AG$200,0,MATCH(K$2,Inputs!$D$2:$AG$2,0)),Inputs!$B$4:$B$200,$B58)/1000)</f>
        <v>81.43070051</v>
      </c>
      <c r="L58" s="11">
        <f>IF(SUMPRODUCT((Inputs!$B$4:$B$200=$B58)*ISNUMBER(INDEX(Inputs!$D$4:$AG$200,0,MATCH(L$2,Inputs!$D$2:$AG$2,0))))=0,"",SUMIFS(INDEX(Inputs!$D$4:$AG$200,0,MATCH(L$2,Inputs!$D$2:$AG$2,0)),Inputs!$B$4:$B$200,$B58)/1000)</f>
        <v>82.44907224</v>
      </c>
      <c r="M58" s="12">
        <f>IF(COUNT(I58:L58)=4,SUM(I58:L58),"")</f>
        <v>313.18917261</v>
      </c>
      <c r="N58" s="11">
        <f>IF(SUMPRODUCT((Inputs!$B$4:$B$200=$B58)*ISNUMBER(INDEX(Inputs!$D$4:$AG$200,0,MATCH(N$2,Inputs!$D$2:$AG$2,0))))=0,"",SUMIFS(INDEX(Inputs!$D$4:$AG$200,0,MATCH(N$2,Inputs!$D$2:$AG$2,0)),Inputs!$B$4:$B$200,$B58)/1000)</f>
        <v>85.14504427</v>
      </c>
      <c r="O58" s="11">
        <f>IF(SUMPRODUCT((Inputs!$B$4:$B$200=$B58)*ISNUMBER(INDEX(Inputs!$D$4:$AG$200,0,MATCH(O$2,Inputs!$D$2:$AG$2,0))))=0,"",SUMIFS(INDEX(Inputs!$D$4:$AG$200,0,MATCH(O$2,Inputs!$D$2:$AG$2,0)),Inputs!$B$4:$B$200,$B58)/1000)</f>
        <v>148.317923</v>
      </c>
      <c r="P58" s="11">
        <f>IF(SUMPRODUCT((Inputs!$B$4:$B$200=$B58)*ISNUMBER(INDEX(Inputs!$D$4:$AG$200,0,MATCH(P$2,Inputs!$D$2:$AG$2,0))))=0,"",SUMIFS(INDEX(Inputs!$D$4:$AG$200,0,MATCH(P$2,Inputs!$D$2:$AG$2,0)),Inputs!$B$4:$B$200,$B58)/1000)</f>
        <v>181.6791671</v>
      </c>
      <c r="Q58" s="11">
        <f>IF(SUMPRODUCT((Inputs!$B$4:$B$200=$B58)*ISNUMBER(INDEX(Inputs!$D$4:$AG$200,0,MATCH(Q$2,Inputs!$D$2:$AG$2,0))))=0,"",SUMIFS(INDEX(Inputs!$D$4:$AG$200,0,MATCH(Q$2,Inputs!$D$2:$AG$2,0)),Inputs!$B$4:$B$200,$B58)/1000)</f>
        <v>120.46253</v>
      </c>
      <c r="R58" s="12">
        <f>IF(COUNT(N58:Q58)=4,SUM(N58:Q58),"")</f>
        <v>535.60466437</v>
      </c>
      <c r="S58" s="11">
        <f>IF(SUMPRODUCT((Inputs!$B$4:$B$200=$B58)*ISNUMBER(INDEX(Inputs!$D$4:$AG$200,0,MATCH(S$2,Inputs!$D$2:$AG$2,0))))=0,"",SUMIFS(INDEX(Inputs!$D$4:$AG$200,0,MATCH(S$2,Inputs!$D$2:$AG$2,0)),Inputs!$B$4:$B$200,$B58)/1000)</f>
        <v>127.35359657</v>
      </c>
      <c r="T58" s="11">
        <f>IF(SUMPRODUCT((Inputs!$B$4:$B$200=$B58)*ISNUMBER(INDEX(Inputs!$D$4:$AG$200,0,MATCH(T$2,Inputs!$D$2:$AG$2,0))))=0,"",SUMIFS(INDEX(Inputs!$D$4:$AG$200,0,MATCH(T$2,Inputs!$D$2:$AG$2,0)),Inputs!$B$4:$B$200,$B58)/1000)</f>
        <v>176.98055782</v>
      </c>
      <c r="U58" s="11">
        <f>IF(SUMPRODUCT((Inputs!$B$4:$B$200=$B58)*ISNUMBER(INDEX(Inputs!$D$4:$AG$200,0,MATCH(U$2,Inputs!$D$2:$AG$2,0))))=0,"",SUMIFS(INDEX(Inputs!$D$4:$AG$200,0,MATCH(U$2,Inputs!$D$2:$AG$2,0)),Inputs!$B$4:$B$200,$B58)/1000)</f>
        <v>153.09</v>
      </c>
      <c r="V58" s="11">
        <f>IF(SUMPRODUCT((Inputs!$B$4:$B$200=$B58)*ISNUMBER(INDEX(Inputs!$D$4:$AG$200,0,MATCH(V$2,Inputs!$D$2:$AG$2,0))))=0,"",SUMIFS(INDEX(Inputs!$D$4:$AG$200,0,MATCH(V$2,Inputs!$D$2:$AG$2,0)),Inputs!$B$4:$B$200,$B58)/1000)</f>
        <v>107.255</v>
      </c>
      <c r="W58" s="12">
        <f>IF(COUNT(S58:V58)=4,SUM(S58:V58),"")</f>
        <v>564.67915439</v>
      </c>
      <c r="X58" s="11">
        <f>IF(SUMPRODUCT((Inputs!$B$4:$B$200=$B58)*ISNUMBER(INDEX(Inputs!$D$4:$AG$200,0,MATCH(X$2,Inputs!$D$2:$AG$2,0))))=0,"",SUMIFS(INDEX(Inputs!$D$4:$AG$200,0,MATCH(X$2,Inputs!$D$2:$AG$2,0)),Inputs!$B$4:$B$200,$B58)/1000)</f>
        <v>119.83822794</v>
      </c>
      <c r="Y58" s="11">
        <f>IF(SUMPRODUCT((Inputs!$B$4:$B$200=$B58)*ISNUMBER(INDEX(Inputs!$D$4:$AG$200,0,MATCH(Y$2,Inputs!$D$2:$AG$2,0))))=0,"",SUMIFS(INDEX(Inputs!$D$4:$AG$200,0,MATCH(Y$2,Inputs!$D$2:$AG$2,0)),Inputs!$B$4:$B$200,$B58)/1000)</f>
        <v>236.64165872</v>
      </c>
      <c r="Z58" s="11">
        <f>IF(SUMPRODUCT((Inputs!$B$4:$B$200=$B58)*ISNUMBER(INDEX(Inputs!$D$4:$AG$200,0,MATCH(Z$2,Inputs!$D$2:$AG$2,0))))=0,"",SUMIFS(INDEX(Inputs!$D$4:$AG$200,0,MATCH(Z$2,Inputs!$D$2:$AG$2,0)),Inputs!$B$4:$B$200,$B58)/1000)</f>
        <v>224.841948</v>
      </c>
      <c r="AA58" s="11">
        <f>IF(SUMPRODUCT((Inputs!$B$4:$B$200=$B58)*ISNUMBER(INDEX(Inputs!$D$4:$AG$200,0,MATCH(AA$2,Inputs!$D$2:$AG$2,0))))=0,"",SUMIFS(INDEX(Inputs!$D$4:$AG$200,0,MATCH(AA$2,Inputs!$D$2:$AG$2,0)),Inputs!$B$4:$B$200,$B58)/1000)</f>
        <v>157.73723287</v>
      </c>
      <c r="AB58" s="12">
        <f>IF(COUNT(X58:AA58)=4,SUM(X58:AA58),"")</f>
        <v>739.05906753</v>
      </c>
      <c r="AC58" s="11">
        <f>IF(SUMPRODUCT((Inputs!$B$4:$B$200=$B58)*ISNUMBER(INDEX(Inputs!$D$4:$AG$200,0,MATCH(AC$2,Inputs!$D$2:$AG$2,0))))=0,"",SUMIFS(INDEX(Inputs!$D$4:$AG$200,0,MATCH(AC$2,Inputs!$D$2:$AG$2,0)),Inputs!$B$4:$B$200,$B58)/1000)</f>
        <v>229.25261925</v>
      </c>
      <c r="AD58" s="11">
        <f>IF(SUMPRODUCT((Inputs!$B$4:$B$200=$B58)*ISNUMBER(INDEX(Inputs!$D$4:$AG$200,0,MATCH(AD$2,Inputs!$D$2:$AG$2,0))))=0,"",SUMIFS(INDEX(Inputs!$D$4:$AG$200,0,MATCH(AD$2,Inputs!$D$2:$AG$2,0)),Inputs!$B$4:$B$200,$B58)/1000)</f>
        <v>171.16195926</v>
      </c>
      <c r="AE58" s="11" t="str">
        <f>IF(SUMPRODUCT((Inputs!$B$4:$B$200=$B58)*ISNUMBER(INDEX(Inputs!$D$4:$AG$200,0,MATCH(AE$2,Inputs!$D$2:$AG$2,0))))=0,"",SUMIFS(INDEX(Inputs!$D$4:$AG$200,0,MATCH(AE$2,Inputs!$D$2:$AG$2,0)),Inputs!$B$4:$B$200,$B58)/1000)</f>
        <v/>
      </c>
      <c r="AF58" s="11" t="str">
        <f>IF(SUMPRODUCT((Inputs!$B$4:$B$200=$B58)*ISNUMBER(INDEX(Inputs!$D$4:$AG$200,0,MATCH(AF$2,Inputs!$D$2:$AG$2,0))))=0,"",SUMIFS(INDEX(Inputs!$D$4:$AG$200,0,MATCH(AF$2,Inputs!$D$2:$AG$2,0)),Inputs!$B$4:$B$200,$B58)/1000)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Vendas liquidas - VGV 100% (R$ mil; l.24)</t>
        </is>
      </c>
      <c r="D59" s="11">
        <f>IF(SUMPRODUCT((Inputs!$B$4:$B$200=$B59)*ISNUMBER(INDEX(Inputs!$D$4:$AG$200,0,MATCH(D$2,Inputs!$D$2:$AG$2,0))))=0,"",SUMIFS(INDEX(Inputs!$D$4:$AG$200,0,MATCH(D$2,Inputs!$D$2:$AG$2,0)),Inputs!$B$4:$B$200,$B59)/1000)</f>
        <v>590.37332932</v>
      </c>
      <c r="E59" s="11">
        <f>IF(SUMPRODUCT((Inputs!$B$4:$B$200=$B59)*ISNUMBER(INDEX(Inputs!$D$4:$AG$200,0,MATCH(E$2,Inputs!$D$2:$AG$2,0))))=0,"",SUMIFS(INDEX(Inputs!$D$4:$AG$200,0,MATCH(E$2,Inputs!$D$2:$AG$2,0)),Inputs!$B$4:$B$200,$B59)/1000)</f>
        <v>682.578</v>
      </c>
      <c r="F59" s="11">
        <f>IF(SUMPRODUCT((Inputs!$B$4:$B$200=$B59)*ISNUMBER(INDEX(Inputs!$D$4:$AG$200,0,MATCH(F$2,Inputs!$D$2:$AG$2,0))))=0,"",SUMIFS(INDEX(Inputs!$D$4:$AG$200,0,MATCH(F$2,Inputs!$D$2:$AG$2,0)),Inputs!$B$4:$B$200,$B59)/1000)</f>
        <v>682.37050876</v>
      </c>
      <c r="G59" s="11">
        <f>IF(SUMPRODUCT((Inputs!$B$4:$B$200=$B59)*ISNUMBER(INDEX(Inputs!$D$4:$AG$200,0,MATCH(G$2,Inputs!$D$2:$AG$2,0))))=0,"",SUMIFS(INDEX(Inputs!$D$4:$AG$200,0,MATCH(G$2,Inputs!$D$2:$AG$2,0)),Inputs!$B$4:$B$200,$B59)/1000)</f>
        <v>611.366096</v>
      </c>
      <c r="H59" s="12">
        <f>IF(COUNT(D59:G59)=4,SUM(D59:G59),"")</f>
        <v>2566.68793408</v>
      </c>
      <c r="I59" s="11">
        <f>IF(SUMPRODUCT((Inputs!$B$4:$B$200=$B59)*ISNUMBER(INDEX(Inputs!$D$4:$AG$200,0,MATCH(I$2,Inputs!$D$2:$AG$2,0))))=0,"",SUMIFS(INDEX(Inputs!$D$4:$AG$200,0,MATCH(I$2,Inputs!$D$2:$AG$2,0)),Inputs!$B$4:$B$200,$B59)/1000)</f>
        <v>753.36612115</v>
      </c>
      <c r="J59" s="11">
        <f>IF(SUMPRODUCT((Inputs!$B$4:$B$200=$B59)*ISNUMBER(INDEX(Inputs!$D$4:$AG$200,0,MATCH(J$2,Inputs!$D$2:$AG$2,0))))=0,"",SUMIFS(INDEX(Inputs!$D$4:$AG$200,0,MATCH(J$2,Inputs!$D$2:$AG$2,0)),Inputs!$B$4:$B$200,$B59)/1000)</f>
        <v>897.48537752</v>
      </c>
      <c r="K59" s="11">
        <f>IF(SUMPRODUCT((Inputs!$B$4:$B$200=$B59)*ISNUMBER(INDEX(Inputs!$D$4:$AG$200,0,MATCH(K$2,Inputs!$D$2:$AG$2,0))))=0,"",SUMIFS(INDEX(Inputs!$D$4:$AG$200,0,MATCH(K$2,Inputs!$D$2:$AG$2,0)),Inputs!$B$4:$B$200,$B59)/1000)</f>
        <v>885.83259665</v>
      </c>
      <c r="L59" s="11">
        <f>IF(SUMPRODUCT((Inputs!$B$4:$B$200=$B59)*ISNUMBER(INDEX(Inputs!$D$4:$AG$200,0,MATCH(L$2,Inputs!$D$2:$AG$2,0))))=0,"",SUMIFS(INDEX(Inputs!$D$4:$AG$200,0,MATCH(L$2,Inputs!$D$2:$AG$2,0)),Inputs!$B$4:$B$200,$B59)/1000)</f>
        <v>753.06204716</v>
      </c>
      <c r="M59" s="12">
        <f>IF(COUNT(I59:L59)=4,SUM(I59:L59),"")</f>
        <v>3289.74614248</v>
      </c>
      <c r="N59" s="11">
        <f>IF(SUMPRODUCT((Inputs!$B$4:$B$200=$B59)*ISNUMBER(INDEX(Inputs!$D$4:$AG$200,0,MATCH(N$2,Inputs!$D$2:$AG$2,0))))=0,"",SUMIFS(INDEX(Inputs!$D$4:$AG$200,0,MATCH(N$2,Inputs!$D$2:$AG$2,0)),Inputs!$B$4:$B$200,$B59)/1000)</f>
        <v>1078.89197397</v>
      </c>
      <c r="O59" s="11">
        <f>IF(SUMPRODUCT((Inputs!$B$4:$B$200=$B59)*ISNUMBER(INDEX(Inputs!$D$4:$AG$200,0,MATCH(O$2,Inputs!$D$2:$AG$2,0))))=0,"",SUMIFS(INDEX(Inputs!$D$4:$AG$200,0,MATCH(O$2,Inputs!$D$2:$AG$2,0)),Inputs!$B$4:$B$200,$B59)/1000)</f>
        <v>1193.950756</v>
      </c>
      <c r="P59" s="11">
        <f>IF(SUMPRODUCT((Inputs!$B$4:$B$200=$B59)*ISNUMBER(INDEX(Inputs!$D$4:$AG$200,0,MATCH(P$2,Inputs!$D$2:$AG$2,0))))=0,"",SUMIFS(INDEX(Inputs!$D$4:$AG$200,0,MATCH(P$2,Inputs!$D$2:$AG$2,0)),Inputs!$B$4:$B$200,$B59)/1000)</f>
        <v>972.64394625</v>
      </c>
      <c r="Q59" s="11">
        <f>IF(SUMPRODUCT((Inputs!$B$4:$B$200=$B59)*ISNUMBER(INDEX(Inputs!$D$4:$AG$200,0,MATCH(Q$2,Inputs!$D$2:$AG$2,0))))=0,"",SUMIFS(INDEX(Inputs!$D$4:$AG$200,0,MATCH(Q$2,Inputs!$D$2:$AG$2,0)),Inputs!$B$4:$B$200,$B59)/1000)</f>
        <v>904.671586</v>
      </c>
      <c r="R59" s="12">
        <f>IF(COUNT(N59:Q59)=4,SUM(N59:Q59),"")</f>
        <v>4150.15826222</v>
      </c>
      <c r="S59" s="11">
        <f>IF(SUMPRODUCT((Inputs!$B$4:$B$200=$B59)*ISNUMBER(INDEX(Inputs!$D$4:$AG$200,0,MATCH(S$2,Inputs!$D$2:$AG$2,0))))=0,"",SUMIFS(INDEX(Inputs!$D$4:$AG$200,0,MATCH(S$2,Inputs!$D$2:$AG$2,0)),Inputs!$B$4:$B$200,$B59)/1000)</f>
        <v>1552.13531929</v>
      </c>
      <c r="T59" s="11">
        <f>IF(SUMPRODUCT((Inputs!$B$4:$B$200=$B59)*ISNUMBER(INDEX(Inputs!$D$4:$AG$200,0,MATCH(T$2,Inputs!$D$2:$AG$2,0))))=0,"",SUMIFS(INDEX(Inputs!$D$4:$AG$200,0,MATCH(T$2,Inputs!$D$2:$AG$2,0)),Inputs!$B$4:$B$200,$B59)/1000)</f>
        <v>1749.23994129</v>
      </c>
      <c r="U59" s="11">
        <f>IF(SUMPRODUCT((Inputs!$B$4:$B$200=$B59)*ISNUMBER(INDEX(Inputs!$D$4:$AG$200,0,MATCH(U$2,Inputs!$D$2:$AG$2,0))))=0,"",SUMIFS(INDEX(Inputs!$D$4:$AG$200,0,MATCH(U$2,Inputs!$D$2:$AG$2,0)),Inputs!$B$4:$B$200,$B59)/1000)</f>
        <v>1437.15116322</v>
      </c>
      <c r="V59" s="11">
        <f>IF(SUMPRODUCT((Inputs!$B$4:$B$200=$B59)*ISNUMBER(INDEX(Inputs!$D$4:$AG$200,0,MATCH(V$2,Inputs!$D$2:$AG$2,0))))=0,"",SUMIFS(INDEX(Inputs!$D$4:$AG$200,0,MATCH(V$2,Inputs!$D$2:$AG$2,0)),Inputs!$B$4:$B$200,$B59)/1000)</f>
        <v>1423.748</v>
      </c>
      <c r="W59" s="12">
        <f>IF(COUNT(S59:V59)=4,SUM(S59:V59),"")</f>
        <v>6162.2744238</v>
      </c>
      <c r="X59" s="11">
        <f>IF(SUMPRODUCT((Inputs!$B$4:$B$200=$B59)*ISNUMBER(INDEX(Inputs!$D$4:$AG$200,0,MATCH(X$2,Inputs!$D$2:$AG$2,0))))=0,"",SUMIFS(INDEX(Inputs!$D$4:$AG$200,0,MATCH(X$2,Inputs!$D$2:$AG$2,0)),Inputs!$B$4:$B$200,$B59)/1000)</f>
        <v>2105.57889655</v>
      </c>
      <c r="Y59" s="11">
        <f>IF(SUMPRODUCT((Inputs!$B$4:$B$200=$B59)*ISNUMBER(INDEX(Inputs!$D$4:$AG$200,0,MATCH(Y$2,Inputs!$D$2:$AG$2,0))))=0,"",SUMIFS(INDEX(Inputs!$D$4:$AG$200,0,MATCH(Y$2,Inputs!$D$2:$AG$2,0)),Inputs!$B$4:$B$200,$B59)/1000)</f>
        <v>2261.3631793</v>
      </c>
      <c r="Z59" s="11">
        <f>IF(SUMPRODUCT((Inputs!$B$4:$B$200=$B59)*ISNUMBER(INDEX(Inputs!$D$4:$AG$200,0,MATCH(Z$2,Inputs!$D$2:$AG$2,0))))=0,"",SUMIFS(INDEX(Inputs!$D$4:$AG$200,0,MATCH(Z$2,Inputs!$D$2:$AG$2,0)),Inputs!$B$4:$B$200,$B59)/1000)</f>
        <v>1827.036243</v>
      </c>
      <c r="AA59" s="11">
        <f>IF(SUMPRODUCT((Inputs!$B$4:$B$200=$B59)*ISNUMBER(INDEX(Inputs!$D$4:$AG$200,0,MATCH(AA$2,Inputs!$D$2:$AG$2,0))))=0,"",SUMIFS(INDEX(Inputs!$D$4:$AG$200,0,MATCH(AA$2,Inputs!$D$2:$AG$2,0)),Inputs!$B$4:$B$200,$B59)/1000)</f>
        <v>1556.33565428</v>
      </c>
      <c r="AB59" s="12">
        <f>IF(COUNT(X59:AA59)=4,SUM(X59:AA59),"")</f>
        <v>7750.31397313</v>
      </c>
      <c r="AC59" s="11">
        <f>IF(SUMPRODUCT((Inputs!$B$4:$B$200=$B59)*ISNUMBER(INDEX(Inputs!$D$4:$AG$200,0,MATCH(AC$2,Inputs!$D$2:$AG$2,0))))=0,"",SUMIFS(INDEX(Inputs!$D$4:$AG$200,0,MATCH(AC$2,Inputs!$D$2:$AG$2,0)),Inputs!$B$4:$B$200,$B59)/1000)</f>
        <v>2304.6197087</v>
      </c>
      <c r="AD59" s="11">
        <f>IF(SUMPRODUCT((Inputs!$B$4:$B$200=$B59)*ISNUMBER(INDEX(Inputs!$D$4:$AG$200,0,MATCH(AD$2,Inputs!$D$2:$AG$2,0))))=0,"",SUMIFS(INDEX(Inputs!$D$4:$AG$200,0,MATCH(AD$2,Inputs!$D$2:$AG$2,0)),Inputs!$B$4:$B$200,$B59)/1000)</f>
        <v>2045.50770539</v>
      </c>
      <c r="AE59" s="11" t="str">
        <f>IF(SUMPRODUCT((Inputs!$B$4:$B$200=$B59)*ISNUMBER(INDEX(Inputs!$D$4:$AG$200,0,MATCH(AE$2,Inputs!$D$2:$AG$2,0))))=0,"",SUMIFS(INDEX(Inputs!$D$4:$AG$200,0,MATCH(AE$2,Inputs!$D$2:$AG$2,0)),Inputs!$B$4:$B$200,$B59)/1000)</f>
        <v/>
      </c>
      <c r="AF59" s="11" t="str">
        <f>IF(SUMPRODUCT((Inputs!$B$4:$B$200=$B59)*ISNUMBER(INDEX(Inputs!$D$4:$AG$200,0,MATCH(AF$2,Inputs!$D$2:$AG$2,0))))=0,"",SUMIFS(INDEX(Inputs!$D$4:$AG$200,0,MATCH(AF$2,Inputs!$D$2:$AG$2,0)),Inputs!$B$4:$B$200,$B59)/1000)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Vendas liquidas - parte Cury (R$ mil; l.27)</t>
        </is>
      </c>
      <c r="D60" s="11">
        <f>IF(SUMPRODUCT((Inputs!$B$4:$B$200=$B60)*ISNUMBER(INDEX(Inputs!$D$4:$AG$200,0,MATCH(D$2,Inputs!$D$2:$AG$2,0))))=0,"",SUMIFS(INDEX(Inputs!$D$4:$AG$200,0,MATCH(D$2,Inputs!$D$2:$AG$2,0)),Inputs!$B$4:$B$200,$B60)/1000)</f>
        <v>526.078977</v>
      </c>
      <c r="E60" s="11">
        <f>IF(SUMPRODUCT((Inputs!$B$4:$B$200=$B60)*ISNUMBER(INDEX(Inputs!$D$4:$AG$200,0,MATCH(E$2,Inputs!$D$2:$AG$2,0))))=0,"",SUMIFS(INDEX(Inputs!$D$4:$AG$200,0,MATCH(E$2,Inputs!$D$2:$AG$2,0)),Inputs!$B$4:$B$200,$B60)/1000)</f>
        <v>618.279072</v>
      </c>
      <c r="F60" s="11">
        <f>IF(SUMPRODUCT((Inputs!$B$4:$B$200=$B60)*ISNUMBER(INDEX(Inputs!$D$4:$AG$200,0,MATCH(F$2,Inputs!$D$2:$AG$2,0))))=0,"",SUMIFS(INDEX(Inputs!$D$4:$AG$200,0,MATCH(F$2,Inputs!$D$2:$AG$2,0)),Inputs!$B$4:$B$200,$B60)/1000)</f>
        <v>639.576982</v>
      </c>
      <c r="G60" s="11">
        <f>IF(SUMPRODUCT((Inputs!$B$4:$B$200=$B60)*ISNUMBER(INDEX(Inputs!$D$4:$AG$200,0,MATCH(G$2,Inputs!$D$2:$AG$2,0))))=0,"",SUMIFS(INDEX(Inputs!$D$4:$AG$200,0,MATCH(G$2,Inputs!$D$2:$AG$2,0)),Inputs!$B$4:$B$200,$B60)/1000)</f>
        <v>565.420452</v>
      </c>
      <c r="H60" s="12">
        <f>IF(COUNT(D60:G60)=4,SUM(D60:G60),"")</f>
        <v>2349.355483</v>
      </c>
      <c r="I60" s="11">
        <f>IF(SUMPRODUCT((Inputs!$B$4:$B$200=$B60)*ISNUMBER(INDEX(Inputs!$D$4:$AG$200,0,MATCH(I$2,Inputs!$D$2:$AG$2,0))))=0,"",SUMIFS(INDEX(Inputs!$D$4:$AG$200,0,MATCH(I$2,Inputs!$D$2:$AG$2,0)),Inputs!$B$4:$B$200,$B60)/1000)</f>
        <v>707.012388</v>
      </c>
      <c r="J60" s="11">
        <f>IF(SUMPRODUCT((Inputs!$B$4:$B$200=$B60)*ISNUMBER(INDEX(Inputs!$D$4:$AG$200,0,MATCH(J$2,Inputs!$D$2:$AG$2,0))))=0,"",SUMIFS(INDEX(Inputs!$D$4:$AG$200,0,MATCH(J$2,Inputs!$D$2:$AG$2,0)),Inputs!$B$4:$B$200,$B60)/1000)</f>
        <v>844.809697</v>
      </c>
      <c r="K60" s="11">
        <f>IF(SUMPRODUCT((Inputs!$B$4:$B$200=$B60)*ISNUMBER(INDEX(Inputs!$D$4:$AG$200,0,MATCH(K$2,Inputs!$D$2:$AG$2,0))))=0,"",SUMIFS(INDEX(Inputs!$D$4:$AG$200,0,MATCH(K$2,Inputs!$D$2:$AG$2,0)),Inputs!$B$4:$B$200,$B60)/1000)</f>
        <v>836.735121</v>
      </c>
      <c r="L60" s="11">
        <f>IF(SUMPRODUCT((Inputs!$B$4:$B$200=$B60)*ISNUMBER(INDEX(Inputs!$D$4:$AG$200,0,MATCH(L$2,Inputs!$D$2:$AG$2,0))))=0,"",SUMIFS(INDEX(Inputs!$D$4:$AG$200,0,MATCH(L$2,Inputs!$D$2:$AG$2,0)),Inputs!$B$4:$B$200,$B60)/1000)</f>
        <v>719.681964281</v>
      </c>
      <c r="M60" s="12">
        <f>IF(COUNT(I60:L60)=4,SUM(I60:L60),"")</f>
        <v>3108.239170281</v>
      </c>
      <c r="N60" s="11">
        <f>IF(SUMPRODUCT((Inputs!$B$4:$B$200=$B60)*ISNUMBER(INDEX(Inputs!$D$4:$AG$200,0,MATCH(N$2,Inputs!$D$2:$AG$2,0))))=0,"",SUMIFS(INDEX(Inputs!$D$4:$AG$200,0,MATCH(N$2,Inputs!$D$2:$AG$2,0)),Inputs!$B$4:$B$200,$B60)/1000)</f>
        <v>1061.205884623</v>
      </c>
      <c r="O60" s="11">
        <f>IF(SUMPRODUCT((Inputs!$B$4:$B$200=$B60)*ISNUMBER(INDEX(Inputs!$D$4:$AG$200,0,MATCH(O$2,Inputs!$D$2:$AG$2,0))))=0,"",SUMIFS(INDEX(Inputs!$D$4:$AG$200,0,MATCH(O$2,Inputs!$D$2:$AG$2,0)),Inputs!$B$4:$B$200,$B60)/1000)</f>
        <v>1132.517</v>
      </c>
      <c r="P60" s="11">
        <f>IF(SUMPRODUCT((Inputs!$B$4:$B$200=$B60)*ISNUMBER(INDEX(Inputs!$D$4:$AG$200,0,MATCH(P$2,Inputs!$D$2:$AG$2,0))))=0,"",SUMIFS(INDEX(Inputs!$D$4:$AG$200,0,MATCH(P$2,Inputs!$D$2:$AG$2,0)),Inputs!$B$4:$B$200,$B60)/1000)</f>
        <v>873.639208628</v>
      </c>
      <c r="Q60" s="11">
        <f>IF(SUMPRODUCT((Inputs!$B$4:$B$200=$B60)*ISNUMBER(INDEX(Inputs!$D$4:$AG$200,0,MATCH(Q$2,Inputs!$D$2:$AG$2,0))))=0,"",SUMIFS(INDEX(Inputs!$D$4:$AG$200,0,MATCH(Q$2,Inputs!$D$2:$AG$2,0)),Inputs!$B$4:$B$200,$B60)/1000)</f>
        <v>850.285464</v>
      </c>
      <c r="R60" s="12">
        <f>IF(COUNT(N60:Q60)=4,SUM(N60:Q60),"")</f>
        <v>3917.647557251</v>
      </c>
      <c r="S60" s="11">
        <f>IF(SUMPRODUCT((Inputs!$B$4:$B$200=$B60)*ISNUMBER(INDEX(Inputs!$D$4:$AG$200,0,MATCH(S$2,Inputs!$D$2:$AG$2,0))))=0,"",SUMIFS(INDEX(Inputs!$D$4:$AG$200,0,MATCH(S$2,Inputs!$D$2:$AG$2,0)),Inputs!$B$4:$B$200,$B60)/1000)</f>
        <v>1327.315318966</v>
      </c>
      <c r="T60" s="11">
        <f>IF(SUMPRODUCT((Inputs!$B$4:$B$200=$B60)*ISNUMBER(INDEX(Inputs!$D$4:$AG$200,0,MATCH(T$2,Inputs!$D$2:$AG$2,0))))=0,"",SUMIFS(INDEX(Inputs!$D$4:$AG$200,0,MATCH(T$2,Inputs!$D$2:$AG$2,0)),Inputs!$B$4:$B$200,$B60)/1000)</f>
        <v>1635.318645691</v>
      </c>
      <c r="U60" s="11">
        <f>IF(SUMPRODUCT((Inputs!$B$4:$B$200=$B60)*ISNUMBER(INDEX(Inputs!$D$4:$AG$200,0,MATCH(U$2,Inputs!$D$2:$AG$2,0))))=0,"",SUMIFS(INDEX(Inputs!$D$4:$AG$200,0,MATCH(U$2,Inputs!$D$2:$AG$2,0)),Inputs!$B$4:$B$200,$B60)/1000)</f>
        <v>1359.58331408</v>
      </c>
      <c r="V60" s="11">
        <f>IF(SUMPRODUCT((Inputs!$B$4:$B$200=$B60)*ISNUMBER(INDEX(Inputs!$D$4:$AG$200,0,MATCH(V$2,Inputs!$D$2:$AG$2,0))))=0,"",SUMIFS(INDEX(Inputs!$D$4:$AG$200,0,MATCH(V$2,Inputs!$D$2:$AG$2,0)),Inputs!$B$4:$B$200,$B60)/1000)</f>
        <v>1177.287</v>
      </c>
      <c r="W60" s="12">
        <f>IF(COUNT(S60:V60)=4,SUM(S60:V60),"")</f>
        <v>5499.504278737</v>
      </c>
      <c r="X60" s="11">
        <f>IF(SUMPRODUCT((Inputs!$B$4:$B$200=$B60)*ISNUMBER(INDEX(Inputs!$D$4:$AG$200,0,MATCH(X$2,Inputs!$D$2:$AG$2,0))))=0,"",SUMIFS(INDEX(Inputs!$D$4:$AG$200,0,MATCH(X$2,Inputs!$D$2:$AG$2,0)),Inputs!$B$4:$B$200,$B60)/1000)</f>
        <v>1919.242</v>
      </c>
      <c r="Y60" s="11">
        <f>IF(SUMPRODUCT((Inputs!$B$4:$B$200=$B60)*ISNUMBER(INDEX(Inputs!$D$4:$AG$200,0,MATCH(Y$2,Inputs!$D$2:$AG$2,0))))=0,"",SUMIFS(INDEX(Inputs!$D$4:$AG$200,0,MATCH(Y$2,Inputs!$D$2:$AG$2,0)),Inputs!$B$4:$B$200,$B60)/1000)</f>
        <v>2007.235897283</v>
      </c>
      <c r="Z60" s="11">
        <f>IF(SUMPRODUCT((Inputs!$B$4:$B$200=$B60)*ISNUMBER(INDEX(Inputs!$D$4:$AG$200,0,MATCH(Z$2,Inputs!$D$2:$AG$2,0))))=0,"",SUMIFS(INDEX(Inputs!$D$4:$AG$200,0,MATCH(Z$2,Inputs!$D$2:$AG$2,0)),Inputs!$B$4:$B$200,$B60)/1000)</f>
        <v>1630.208965</v>
      </c>
      <c r="AA60" s="11">
        <f>IF(SUMPRODUCT((Inputs!$B$4:$B$200=$B60)*ISNUMBER(INDEX(Inputs!$D$4:$AG$200,0,MATCH(AA$2,Inputs!$D$2:$AG$2,0))))=0,"",SUMIFS(INDEX(Inputs!$D$4:$AG$200,0,MATCH(AA$2,Inputs!$D$2:$AG$2,0)),Inputs!$B$4:$B$200,$B60)/1000)</f>
        <v>1434.724903205</v>
      </c>
      <c r="AB60" s="12">
        <f>IF(COUNT(X60:AA60)=4,SUM(X60:AA60),"")</f>
        <v>6991.411765488</v>
      </c>
      <c r="AC60" s="11">
        <f>IF(SUMPRODUCT((Inputs!$B$4:$B$200=$B60)*ISNUMBER(INDEX(Inputs!$D$4:$AG$200,0,MATCH(AC$2,Inputs!$D$2:$AG$2,0))))=0,"",SUMIFS(INDEX(Inputs!$D$4:$AG$200,0,MATCH(AC$2,Inputs!$D$2:$AG$2,0)),Inputs!$B$4:$B$200,$B60)/1000)</f>
        <v>1893.602810242</v>
      </c>
      <c r="AD60" s="11">
        <f>IF(SUMPRODUCT((Inputs!$B$4:$B$200=$B60)*ISNUMBER(INDEX(Inputs!$D$4:$AG$200,0,MATCH(AD$2,Inputs!$D$2:$AG$2,0))))=0,"",SUMIFS(INDEX(Inputs!$D$4:$AG$200,0,MATCH(AD$2,Inputs!$D$2:$AG$2,0)),Inputs!$B$4:$B$200,$B60)/1000)</f>
        <v>1748.76819676</v>
      </c>
      <c r="AE60" s="11" t="str">
        <f>IF(SUMPRODUCT((Inputs!$B$4:$B$200=$B60)*ISNUMBER(INDEX(Inputs!$D$4:$AG$200,0,MATCH(AE$2,Inputs!$D$2:$AG$2,0))))=0,"",SUMIFS(INDEX(Inputs!$D$4:$AG$200,0,MATCH(AE$2,Inputs!$D$2:$AG$2,0)),Inputs!$B$4:$B$200,$B60)/1000)</f>
        <v/>
      </c>
      <c r="AF60" s="11" t="str">
        <f>IF(SUMPRODUCT((Inputs!$B$4:$B$200=$B60)*ISNUMBER(INDEX(Inputs!$D$4:$AG$200,0,MATCH(AF$2,Inputs!$D$2:$AG$2,0))))=0,"",SUMIFS(INDEX(Inputs!$D$4:$AG$200,0,MATCH(AF$2,Inputs!$D$2:$AG$2,0)),Inputs!$B$4:$B$200,$B60)/1000)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Unidades vendidas liquidas (l.35)</t>
        </is>
      </c>
      <c r="D61" s="11">
        <f>IF(SUMPRODUCT((Inputs!$B$4:$B$200=$B61)*ISNUMBER(INDEX(Inputs!$D$4:$AG$200,0,MATCH(D$2,Inputs!$D$2:$AG$2,0))))=0,"",SUMIFS(INDEX(Inputs!$D$4:$AG$200,0,MATCH(D$2,Inputs!$D$2:$AG$2,0)),Inputs!$B$4:$B$200,$B61)/1000)</f>
        <v>2874</v>
      </c>
      <c r="E61" s="11">
        <f>IF(SUMPRODUCT((Inputs!$B$4:$B$200=$B61)*ISNUMBER(INDEX(Inputs!$D$4:$AG$200,0,MATCH(E$2,Inputs!$D$2:$AG$2,0))))=0,"",SUMIFS(INDEX(Inputs!$D$4:$AG$200,0,MATCH(E$2,Inputs!$D$2:$AG$2,0)),Inputs!$B$4:$B$200,$B61)/1000)</f>
        <v>3253</v>
      </c>
      <c r="F61" s="11">
        <f>IF(SUMPRODUCT((Inputs!$B$4:$B$200=$B61)*ISNUMBER(INDEX(Inputs!$D$4:$AG$200,0,MATCH(F$2,Inputs!$D$2:$AG$2,0))))=0,"",SUMIFS(INDEX(Inputs!$D$4:$AG$200,0,MATCH(F$2,Inputs!$D$2:$AG$2,0)),Inputs!$B$4:$B$200,$B61)/1000)</f>
        <v>3080</v>
      </c>
      <c r="G61" s="11">
        <f>IF(SUMPRODUCT((Inputs!$B$4:$B$200=$B61)*ISNUMBER(INDEX(Inputs!$D$4:$AG$200,0,MATCH(G$2,Inputs!$D$2:$AG$2,0))))=0,"",SUMIFS(INDEX(Inputs!$D$4:$AG$200,0,MATCH(G$2,Inputs!$D$2:$AG$2,0)),Inputs!$B$4:$B$200,$B61)/1000)</f>
        <v>2667</v>
      </c>
      <c r="H61" s="12">
        <f>IF(COUNT(D61:G61)=4,SUM(D61:G61),"")</f>
        <v>11874</v>
      </c>
      <c r="I61" s="11">
        <f>IF(SUMPRODUCT((Inputs!$B$4:$B$200=$B61)*ISNUMBER(INDEX(Inputs!$D$4:$AG$200,0,MATCH(I$2,Inputs!$D$2:$AG$2,0))))=0,"",SUMIFS(INDEX(Inputs!$D$4:$AG$200,0,MATCH(I$2,Inputs!$D$2:$AG$2,0)),Inputs!$B$4:$B$200,$B61)/1000)</f>
        <v>3264</v>
      </c>
      <c r="J61" s="11">
        <f>IF(SUMPRODUCT((Inputs!$B$4:$B$200=$B61)*ISNUMBER(INDEX(Inputs!$D$4:$AG$200,0,MATCH(J$2,Inputs!$D$2:$AG$2,0))))=0,"",SUMIFS(INDEX(Inputs!$D$4:$AG$200,0,MATCH(J$2,Inputs!$D$2:$AG$2,0)),Inputs!$B$4:$B$200,$B61)/1000)</f>
        <v>3734</v>
      </c>
      <c r="K61" s="11">
        <f>IF(SUMPRODUCT((Inputs!$B$4:$B$200=$B61)*ISNUMBER(INDEX(Inputs!$D$4:$AG$200,0,MATCH(K$2,Inputs!$D$2:$AG$2,0))))=0,"",SUMIFS(INDEX(Inputs!$D$4:$AG$200,0,MATCH(K$2,Inputs!$D$2:$AG$2,0)),Inputs!$B$4:$B$200,$B61)/1000)</f>
        <v>3465</v>
      </c>
      <c r="L61" s="11">
        <f>IF(SUMPRODUCT((Inputs!$B$4:$B$200=$B61)*ISNUMBER(INDEX(Inputs!$D$4:$AG$200,0,MATCH(L$2,Inputs!$D$2:$AG$2,0))))=0,"",SUMIFS(INDEX(Inputs!$D$4:$AG$200,0,MATCH(L$2,Inputs!$D$2:$AG$2,0)),Inputs!$B$4:$B$200,$B61)/1000)</f>
        <v>3073</v>
      </c>
      <c r="M61" s="12">
        <f>IF(COUNT(I61:L61)=4,SUM(I61:L61),"")</f>
        <v>13536</v>
      </c>
      <c r="N61" s="11">
        <f>IF(SUMPRODUCT((Inputs!$B$4:$B$200=$B61)*ISNUMBER(INDEX(Inputs!$D$4:$AG$200,0,MATCH(N$2,Inputs!$D$2:$AG$2,0))))=0,"",SUMIFS(INDEX(Inputs!$D$4:$AG$200,0,MATCH(N$2,Inputs!$D$2:$AG$2,0)),Inputs!$B$4:$B$200,$B61)/1000)</f>
        <v>4014</v>
      </c>
      <c r="O61" s="11">
        <f>IF(SUMPRODUCT((Inputs!$B$4:$B$200=$B61)*ISNUMBER(INDEX(Inputs!$D$4:$AG$200,0,MATCH(O$2,Inputs!$D$2:$AG$2,0))))=0,"",SUMIFS(INDEX(Inputs!$D$4:$AG$200,0,MATCH(O$2,Inputs!$D$2:$AG$2,0)),Inputs!$B$4:$B$200,$B61)/1000)</f>
        <v>4292.47</v>
      </c>
      <c r="P61" s="11">
        <f>IF(SUMPRODUCT((Inputs!$B$4:$B$200=$B61)*ISNUMBER(INDEX(Inputs!$D$4:$AG$200,0,MATCH(P$2,Inputs!$D$2:$AG$2,0))))=0,"",SUMIFS(INDEX(Inputs!$D$4:$AG$200,0,MATCH(P$2,Inputs!$D$2:$AG$2,0)),Inputs!$B$4:$B$200,$B61)/1000)</f>
        <v>3496</v>
      </c>
      <c r="Q61" s="11">
        <f>IF(SUMPRODUCT((Inputs!$B$4:$B$200=$B61)*ISNUMBER(INDEX(Inputs!$D$4:$AG$200,0,MATCH(Q$2,Inputs!$D$2:$AG$2,0))))=0,"",SUMIFS(INDEX(Inputs!$D$4:$AG$200,0,MATCH(Q$2,Inputs!$D$2:$AG$2,0)),Inputs!$B$4:$B$200,$B61)/1000)</f>
        <v>3215</v>
      </c>
      <c r="R61" s="12">
        <f>IF(COUNT(N61:Q61)=4,SUM(N61:Q61),"")</f>
        <v>15017.47</v>
      </c>
      <c r="S61" s="11">
        <f>IF(SUMPRODUCT((Inputs!$B$4:$B$200=$B61)*ISNUMBER(INDEX(Inputs!$D$4:$AG$200,0,MATCH(S$2,Inputs!$D$2:$AG$2,0))))=0,"",SUMIFS(INDEX(Inputs!$D$4:$AG$200,0,MATCH(S$2,Inputs!$D$2:$AG$2,0)),Inputs!$B$4:$B$200,$B61)/1000)</f>
        <v>5321</v>
      </c>
      <c r="T61" s="11">
        <f>IF(SUMPRODUCT((Inputs!$B$4:$B$200=$B61)*ISNUMBER(INDEX(Inputs!$D$4:$AG$200,0,MATCH(T$2,Inputs!$D$2:$AG$2,0))))=0,"",SUMIFS(INDEX(Inputs!$D$4:$AG$200,0,MATCH(T$2,Inputs!$D$2:$AG$2,0)),Inputs!$B$4:$B$200,$B61)/1000)</f>
        <v>5769</v>
      </c>
      <c r="U61" s="11">
        <f>IF(SUMPRODUCT((Inputs!$B$4:$B$200=$B61)*ISNUMBER(INDEX(Inputs!$D$4:$AG$200,0,MATCH(U$2,Inputs!$D$2:$AG$2,0))))=0,"",SUMIFS(INDEX(Inputs!$D$4:$AG$200,0,MATCH(U$2,Inputs!$D$2:$AG$2,0)),Inputs!$B$4:$B$200,$B61)/1000)</f>
        <v>4688</v>
      </c>
      <c r="V61" s="11">
        <f>IF(SUMPRODUCT((Inputs!$B$4:$B$200=$B61)*ISNUMBER(INDEX(Inputs!$D$4:$AG$200,0,MATCH(V$2,Inputs!$D$2:$AG$2,0))))=0,"",SUMIFS(INDEX(Inputs!$D$4:$AG$200,0,MATCH(V$2,Inputs!$D$2:$AG$2,0)),Inputs!$B$4:$B$200,$B61)/1000)</f>
        <v>4464</v>
      </c>
      <c r="W61" s="12">
        <f>IF(COUNT(S61:V61)=4,SUM(S61:V61),"")</f>
        <v>20242</v>
      </c>
      <c r="X61" s="11">
        <f>IF(SUMPRODUCT((Inputs!$B$4:$B$200=$B61)*ISNUMBER(INDEX(Inputs!$D$4:$AG$200,0,MATCH(X$2,Inputs!$D$2:$AG$2,0))))=0,"",SUMIFS(INDEX(Inputs!$D$4:$AG$200,0,MATCH(X$2,Inputs!$D$2:$AG$2,0)),Inputs!$B$4:$B$200,$B61)/1000)</f>
        <v>6790</v>
      </c>
      <c r="Y61" s="11">
        <f>IF(SUMPRODUCT((Inputs!$B$4:$B$200=$B61)*ISNUMBER(INDEX(Inputs!$D$4:$AG$200,0,MATCH(Y$2,Inputs!$D$2:$AG$2,0))))=0,"",SUMIFS(INDEX(Inputs!$D$4:$AG$200,0,MATCH(Y$2,Inputs!$D$2:$AG$2,0)),Inputs!$B$4:$B$200,$B61)/1000)</f>
        <v>7712</v>
      </c>
      <c r="Z61" s="11">
        <f>IF(SUMPRODUCT((Inputs!$B$4:$B$200=$B61)*ISNUMBER(INDEX(Inputs!$D$4:$AG$200,0,MATCH(Z$2,Inputs!$D$2:$AG$2,0))))=0,"",SUMIFS(INDEX(Inputs!$D$4:$AG$200,0,MATCH(Z$2,Inputs!$D$2:$AG$2,0)),Inputs!$B$4:$B$200,$B61)/1000)</f>
        <v>6117</v>
      </c>
      <c r="AA61" s="11">
        <f>IF(SUMPRODUCT((Inputs!$B$4:$B$200=$B61)*ISNUMBER(INDEX(Inputs!$D$4:$AG$200,0,MATCH(AA$2,Inputs!$D$2:$AG$2,0))))=0,"",SUMIFS(INDEX(Inputs!$D$4:$AG$200,0,MATCH(AA$2,Inputs!$D$2:$AG$2,0)),Inputs!$B$4:$B$200,$B61)/1000)</f>
        <v>4956</v>
      </c>
      <c r="AB61" s="12">
        <f>IF(COUNT(X61:AA61)=4,SUM(X61:AA61),"")</f>
        <v>25575</v>
      </c>
      <c r="AC61" s="11">
        <f>IF(SUMPRODUCT((Inputs!$B$4:$B$200=$B61)*ISNUMBER(INDEX(Inputs!$D$4:$AG$200,0,MATCH(AC$2,Inputs!$D$2:$AG$2,0))))=0,"",SUMIFS(INDEX(Inputs!$D$4:$AG$200,0,MATCH(AC$2,Inputs!$D$2:$AG$2,0)),Inputs!$B$4:$B$200,$B61)/1000)</f>
        <v>7058</v>
      </c>
      <c r="AD61" s="11">
        <f>IF(SUMPRODUCT((Inputs!$B$4:$B$200=$B61)*ISNUMBER(INDEX(Inputs!$D$4:$AG$200,0,MATCH(AD$2,Inputs!$D$2:$AG$2,0))))=0,"",SUMIFS(INDEX(Inputs!$D$4:$AG$200,0,MATCH(AD$2,Inputs!$D$2:$AG$2,0)),Inputs!$B$4:$B$200,$B61)/1000)</f>
        <v>6137</v>
      </c>
      <c r="AE61" s="11" t="str">
        <f>IF(SUMPRODUCT((Inputs!$B$4:$B$200=$B61)*ISNUMBER(INDEX(Inputs!$D$4:$AG$200,0,MATCH(AE$2,Inputs!$D$2:$AG$2,0))))=0,"",SUMIFS(INDEX(Inputs!$D$4:$AG$200,0,MATCH(AE$2,Inputs!$D$2:$AG$2,0)),Inputs!$B$4:$B$200,$B61)/1000)</f>
        <v/>
      </c>
      <c r="AF61" s="11" t="str">
        <f>IF(SUMPRODUCT((Inputs!$B$4:$B$200=$B61)*ISNUMBER(INDEX(Inputs!$D$4:$AG$200,0,MATCH(AF$2,Inputs!$D$2:$AG$2,0))))=0,"",SUMIFS(INDEX(Inputs!$D$4:$AG$200,0,MATCH(AF$2,Inputs!$D$2:$AG$2,0)),Inputs!$B$4:$B$200,$B61)/1000)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VSO liquido trimestral (l.29)</t>
        </is>
      </c>
      <c r="D62" s="11">
        <f>IF(SUMPRODUCT((Inputs!$B$4:$B$200=$B62)*ISNUMBER(INDEX(Inputs!$D$4:$AG$200,0,MATCH(D$2,Inputs!$D$2:$AG$2,0))))=0,"",SUMIFS(INDEX(Inputs!$D$4:$AG$200,0,MATCH(D$2,Inputs!$D$2:$AG$2,0)),Inputs!$B$4:$B$200,$B62)/1000)</f>
        <v>0.435348252</v>
      </c>
      <c r="E62" s="11">
        <f>IF(SUMPRODUCT((Inputs!$B$4:$B$200=$B62)*ISNUMBER(INDEX(Inputs!$D$4:$AG$200,0,MATCH(E$2,Inputs!$D$2:$AG$2,0))))=0,"",SUMIFS(INDEX(Inputs!$D$4:$AG$200,0,MATCH(E$2,Inputs!$D$2:$AG$2,0)),Inputs!$B$4:$B$200,$B62)/1000)</f>
        <v>0.468</v>
      </c>
      <c r="F62" s="11">
        <f>IF(SUMPRODUCT((Inputs!$B$4:$B$200=$B62)*ISNUMBER(INDEX(Inputs!$D$4:$AG$200,0,MATCH(F$2,Inputs!$D$2:$AG$2,0))))=0,"",SUMIFS(INDEX(Inputs!$D$4:$AG$200,0,MATCH(F$2,Inputs!$D$2:$AG$2,0)),Inputs!$B$4:$B$200,$B62)/1000)</f>
        <v>0.452050515</v>
      </c>
      <c r="G62" s="11">
        <f>IF(SUMPRODUCT((Inputs!$B$4:$B$200=$B62)*ISNUMBER(INDEX(Inputs!$D$4:$AG$200,0,MATCH(G$2,Inputs!$D$2:$AG$2,0))))=0,"",SUMIFS(INDEX(Inputs!$D$4:$AG$200,0,MATCH(G$2,Inputs!$D$2:$AG$2,0)),Inputs!$B$4:$B$200,$B62)/1000)</f>
        <v>0.379516861</v>
      </c>
      <c r="H62" s="12">
        <f>IF(COUNT(D62:G62)=4,SUM(D62:G62),"")</f>
        <v>1.734915628</v>
      </c>
      <c r="I62" s="11">
        <f>IF(SUMPRODUCT((Inputs!$B$4:$B$200=$B62)*ISNUMBER(INDEX(Inputs!$D$4:$AG$200,0,MATCH(I$2,Inputs!$D$2:$AG$2,0))))=0,"",SUMIFS(INDEX(Inputs!$D$4:$AG$200,0,MATCH(I$2,Inputs!$D$2:$AG$2,0)),Inputs!$B$4:$B$200,$B62)/1000)</f>
        <v>0.413751652</v>
      </c>
      <c r="J62" s="11">
        <f>IF(SUMPRODUCT((Inputs!$B$4:$B$200=$B62)*ISNUMBER(INDEX(Inputs!$D$4:$AG$200,0,MATCH(J$2,Inputs!$D$2:$AG$2,0))))=0,"",SUMIFS(INDEX(Inputs!$D$4:$AG$200,0,MATCH(J$2,Inputs!$D$2:$AG$2,0)),Inputs!$B$4:$B$200,$B62)/1000)</f>
        <v>0.416294316</v>
      </c>
      <c r="K62" s="11">
        <f>IF(SUMPRODUCT((Inputs!$B$4:$B$200=$B62)*ISNUMBER(INDEX(Inputs!$D$4:$AG$200,0,MATCH(K$2,Inputs!$D$2:$AG$2,0))))=0,"",SUMIFS(INDEX(Inputs!$D$4:$AG$200,0,MATCH(K$2,Inputs!$D$2:$AG$2,0)),Inputs!$B$4:$B$200,$B62)/1000)</f>
        <v>0.403130832</v>
      </c>
      <c r="L62" s="11">
        <f>IF(SUMPRODUCT((Inputs!$B$4:$B$200=$B62)*ISNUMBER(INDEX(Inputs!$D$4:$AG$200,0,MATCH(L$2,Inputs!$D$2:$AG$2,0))))=0,"",SUMIFS(INDEX(Inputs!$D$4:$AG$200,0,MATCH(L$2,Inputs!$D$2:$AG$2,0)),Inputs!$B$4:$B$200,$B62)/1000)</f>
        <v>0.41</v>
      </c>
      <c r="M62" s="12">
        <f>IF(COUNT(I62:L62)=4,SUM(I62:L62),"")</f>
        <v>1.6431768</v>
      </c>
      <c r="N62" s="11">
        <f>IF(SUMPRODUCT((Inputs!$B$4:$B$200=$B62)*ISNUMBER(INDEX(Inputs!$D$4:$AG$200,0,MATCH(N$2,Inputs!$D$2:$AG$2,0))))=0,"",SUMIFS(INDEX(Inputs!$D$4:$AG$200,0,MATCH(N$2,Inputs!$D$2:$AG$2,0)),Inputs!$B$4:$B$200,$B62)/1000)</f>
        <v>0.434023582</v>
      </c>
      <c r="O62" s="11">
        <f>IF(SUMPRODUCT((Inputs!$B$4:$B$200=$B62)*ISNUMBER(INDEX(Inputs!$D$4:$AG$200,0,MATCH(O$2,Inputs!$D$2:$AG$2,0))))=0,"",SUMIFS(INDEX(Inputs!$D$4:$AG$200,0,MATCH(O$2,Inputs!$D$2:$AG$2,0)),Inputs!$B$4:$B$200,$B62)/1000)</f>
        <v>0.453937692</v>
      </c>
      <c r="P62" s="11">
        <f>IF(SUMPRODUCT((Inputs!$B$4:$B$200=$B62)*ISNUMBER(INDEX(Inputs!$D$4:$AG$200,0,MATCH(P$2,Inputs!$D$2:$AG$2,0))))=0,"",SUMIFS(INDEX(Inputs!$D$4:$AG$200,0,MATCH(P$2,Inputs!$D$2:$AG$2,0)),Inputs!$B$4:$B$200,$B62)/1000)</f>
        <v>0.403739323</v>
      </c>
      <c r="Q62" s="11">
        <f>IF(SUMPRODUCT((Inputs!$B$4:$B$200=$B62)*ISNUMBER(INDEX(Inputs!$D$4:$AG$200,0,MATCH(Q$2,Inputs!$D$2:$AG$2,0))))=0,"",SUMIFS(INDEX(Inputs!$D$4:$AG$200,0,MATCH(Q$2,Inputs!$D$2:$AG$2,0)),Inputs!$B$4:$B$200,$B62)/1000)</f>
        <v>0.3885</v>
      </c>
      <c r="R62" s="12">
        <f>IF(COUNT(N62:Q62)=4,SUM(N62:Q62),"")</f>
        <v>1.680200597</v>
      </c>
      <c r="S62" s="11">
        <f>IF(SUMPRODUCT((Inputs!$B$4:$B$200=$B62)*ISNUMBER(INDEX(Inputs!$D$4:$AG$200,0,MATCH(S$2,Inputs!$D$2:$AG$2,0))))=0,"",SUMIFS(INDEX(Inputs!$D$4:$AG$200,0,MATCH(S$2,Inputs!$D$2:$AG$2,0)),Inputs!$B$4:$B$200,$B62)/1000)</f>
        <v>0.478706116</v>
      </c>
      <c r="T62" s="11">
        <f>IF(SUMPRODUCT((Inputs!$B$4:$B$200=$B62)*ISNUMBER(INDEX(Inputs!$D$4:$AG$200,0,MATCH(T$2,Inputs!$D$2:$AG$2,0))))=0,"",SUMIFS(INDEX(Inputs!$D$4:$AG$200,0,MATCH(T$2,Inputs!$D$2:$AG$2,0)),Inputs!$B$4:$B$200,$B62)/1000)</f>
        <v>0.505260826</v>
      </c>
      <c r="U62" s="11">
        <f>IF(SUMPRODUCT((Inputs!$B$4:$B$200=$B62)*ISNUMBER(INDEX(Inputs!$D$4:$AG$200,0,MATCH(U$2,Inputs!$D$2:$AG$2,0))))=0,"",SUMIFS(INDEX(Inputs!$D$4:$AG$200,0,MATCH(U$2,Inputs!$D$2:$AG$2,0)),Inputs!$B$4:$B$200,$B62)/1000)</f>
        <v>0.438513004</v>
      </c>
      <c r="V62" s="11">
        <f>IF(SUMPRODUCT((Inputs!$B$4:$B$200=$B62)*ISNUMBER(INDEX(Inputs!$D$4:$AG$200,0,MATCH(V$2,Inputs!$D$2:$AG$2,0))))=0,"",SUMIFS(INDEX(Inputs!$D$4:$AG$200,0,MATCH(V$2,Inputs!$D$2:$AG$2,0)),Inputs!$B$4:$B$200,$B62)/1000)</f>
        <v>0.4371</v>
      </c>
      <c r="W62" s="12">
        <f>IF(COUNT(S62:V62)=4,SUM(S62:V62),"")</f>
        <v>1.859579946</v>
      </c>
      <c r="X62" s="11">
        <f>IF(SUMPRODUCT((Inputs!$B$4:$B$200=$B62)*ISNUMBER(INDEX(Inputs!$D$4:$AG$200,0,MATCH(X$2,Inputs!$D$2:$AG$2,0))))=0,"",SUMIFS(INDEX(Inputs!$D$4:$AG$200,0,MATCH(X$2,Inputs!$D$2:$AG$2,0)),Inputs!$B$4:$B$200,$B62)/1000)</f>
        <v>0.454118774</v>
      </c>
      <c r="Y62" s="11">
        <f>IF(SUMPRODUCT((Inputs!$B$4:$B$200=$B62)*ISNUMBER(INDEX(Inputs!$D$4:$AG$200,0,MATCH(Y$2,Inputs!$D$2:$AG$2,0))))=0,"",SUMIFS(INDEX(Inputs!$D$4:$AG$200,0,MATCH(Y$2,Inputs!$D$2:$AG$2,0)),Inputs!$B$4:$B$200,$B62)/1000)</f>
        <v>0.475167507</v>
      </c>
      <c r="Z62" s="11">
        <f>IF(SUMPRODUCT((Inputs!$B$4:$B$200=$B62)*ISNUMBER(INDEX(Inputs!$D$4:$AG$200,0,MATCH(Z$2,Inputs!$D$2:$AG$2,0))))=0,"",SUMIFS(INDEX(Inputs!$D$4:$AG$200,0,MATCH(Z$2,Inputs!$D$2:$AG$2,0)),Inputs!$B$4:$B$200,$B62)/1000)</f>
        <v>0.405535729</v>
      </c>
      <c r="AA62" s="11">
        <f>IF(SUMPRODUCT((Inputs!$B$4:$B$200=$B62)*ISNUMBER(INDEX(Inputs!$D$4:$AG$200,0,MATCH(AA$2,Inputs!$D$2:$AG$2,0))))=0,"",SUMIFS(INDEX(Inputs!$D$4:$AG$200,0,MATCH(AA$2,Inputs!$D$2:$AG$2,0)),Inputs!$B$4:$B$200,$B62)/1000)</f>
        <v>0.39275059</v>
      </c>
      <c r="AB62" s="12">
        <f>IF(COUNT(X62:AA62)=4,SUM(X62:AA62),"")</f>
        <v>1.7275726</v>
      </c>
      <c r="AC62" s="11">
        <f>IF(SUMPRODUCT((Inputs!$B$4:$B$200=$B62)*ISNUMBER(INDEX(Inputs!$D$4:$AG$200,0,MATCH(AC$2,Inputs!$D$2:$AG$2,0))))=0,"",SUMIFS(INDEX(Inputs!$D$4:$AG$200,0,MATCH(AC$2,Inputs!$D$2:$AG$2,0)),Inputs!$B$4:$B$200,$B62)/1000)</f>
        <v>0.451019799</v>
      </c>
      <c r="AD62" s="11">
        <f>IF(SUMPRODUCT((Inputs!$B$4:$B$200=$B62)*ISNUMBER(INDEX(Inputs!$D$4:$AG$200,0,MATCH(AD$2,Inputs!$D$2:$AG$2,0))))=0,"",SUMIFS(INDEX(Inputs!$D$4:$AG$200,0,MATCH(AD$2,Inputs!$D$2:$AG$2,0)),Inputs!$B$4:$B$200,$B62)/1000)</f>
        <v>0.404748972</v>
      </c>
      <c r="AE62" s="11" t="str">
        <f>IF(SUMPRODUCT((Inputs!$B$4:$B$200=$B62)*ISNUMBER(INDEX(Inputs!$D$4:$AG$200,0,MATCH(AE$2,Inputs!$D$2:$AG$2,0))))=0,"",SUMIFS(INDEX(Inputs!$D$4:$AG$200,0,MATCH(AE$2,Inputs!$D$2:$AG$2,0)),Inputs!$B$4:$B$200,$B62)/1000)</f>
        <v/>
      </c>
      <c r="AF62" s="11" t="str">
        <f>IF(SUMPRODUCT((Inputs!$B$4:$B$200=$B62)*ISNUMBER(INDEX(Inputs!$D$4:$AG$200,0,MATCH(AF$2,Inputs!$D$2:$AG$2,0))))=0,"",SUMIFS(INDEX(Inputs!$D$4:$AG$200,0,MATCH(AF$2,Inputs!$D$2:$AG$2,0)),Inputs!$B$4:$B$200,$B62)/1000)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VSO liquido UDM (l.30)</t>
        </is>
      </c>
      <c r="D63" s="11">
        <f>IF(SUMPRODUCT((Inputs!$B$4:$B$200=$B63)*ISNUMBER(INDEX(Inputs!$D$4:$AG$200,0,MATCH(D$2,Inputs!$D$2:$AG$2,0))))=0,"",SUMIFS(INDEX(Inputs!$D$4:$AG$200,0,MATCH(D$2,Inputs!$D$2:$AG$2,0)),Inputs!$B$4:$B$200,$B63)/1000)</f>
        <v>0.689126448</v>
      </c>
      <c r="E63" s="11">
        <f>IF(SUMPRODUCT((Inputs!$B$4:$B$200=$B63)*ISNUMBER(INDEX(Inputs!$D$4:$AG$200,0,MATCH(E$2,Inputs!$D$2:$AG$2,0))))=0,"",SUMIFS(INDEX(Inputs!$D$4:$AG$200,0,MATCH(E$2,Inputs!$D$2:$AG$2,0)),Inputs!$B$4:$B$200,$B63)/1000)</f>
        <v>0.728677151</v>
      </c>
      <c r="F63" s="11">
        <f>IF(SUMPRODUCT((Inputs!$B$4:$B$200=$B63)*ISNUMBER(INDEX(Inputs!$D$4:$AG$200,0,MATCH(F$2,Inputs!$D$2:$AG$2,0))))=0,"",SUMIFS(INDEX(Inputs!$D$4:$AG$200,0,MATCH(F$2,Inputs!$D$2:$AG$2,0)),Inputs!$B$4:$B$200,$B63)/1000)</f>
        <v>0.740472132</v>
      </c>
      <c r="G63" s="11">
        <f>IF(SUMPRODUCT((Inputs!$B$4:$B$200=$B63)*ISNUMBER(INDEX(Inputs!$D$4:$AG$200,0,MATCH(G$2,Inputs!$D$2:$AG$2,0))))=0,"",SUMIFS(INDEX(Inputs!$D$4:$AG$200,0,MATCH(G$2,Inputs!$D$2:$AG$2,0)),Inputs!$B$4:$B$200,$B63)/1000)</f>
        <v>0.72</v>
      </c>
      <c r="H63" s="12">
        <f>IF(COUNT(D63:G63)=4,SUM(D63:G63),"")</f>
        <v>2.878275731</v>
      </c>
      <c r="I63" s="11">
        <f>IF(SUMPRODUCT((Inputs!$B$4:$B$200=$B63)*ISNUMBER(INDEX(Inputs!$D$4:$AG$200,0,MATCH(I$2,Inputs!$D$2:$AG$2,0))))=0,"",SUMIFS(INDEX(Inputs!$D$4:$AG$200,0,MATCH(I$2,Inputs!$D$2:$AG$2,0)),Inputs!$B$4:$B$200,$B63)/1000)</f>
        <v>0.719</v>
      </c>
      <c r="J63" s="11">
        <f>IF(SUMPRODUCT((Inputs!$B$4:$B$200=$B63)*ISNUMBER(INDEX(Inputs!$D$4:$AG$200,0,MATCH(J$2,Inputs!$D$2:$AG$2,0))))=0,"",SUMIFS(INDEX(Inputs!$D$4:$AG$200,0,MATCH(J$2,Inputs!$D$2:$AG$2,0)),Inputs!$B$4:$B$200,$B63)/1000)</f>
        <v>0.701</v>
      </c>
      <c r="K63" s="11">
        <f>IF(SUMPRODUCT((Inputs!$B$4:$B$200=$B63)*ISNUMBER(INDEX(Inputs!$D$4:$AG$200,0,MATCH(K$2,Inputs!$D$2:$AG$2,0))))=0,"",SUMIFS(INDEX(Inputs!$D$4:$AG$200,0,MATCH(K$2,Inputs!$D$2:$AG$2,0)),Inputs!$B$4:$B$200,$B63)/1000)</f>
        <v>0.706</v>
      </c>
      <c r="L63" s="11">
        <f>IF(SUMPRODUCT((Inputs!$B$4:$B$200=$B63)*ISNUMBER(INDEX(Inputs!$D$4:$AG$200,0,MATCH(L$2,Inputs!$D$2:$AG$2,0))))=0,"",SUMIFS(INDEX(Inputs!$D$4:$AG$200,0,MATCH(L$2,Inputs!$D$2:$AG$2,0)),Inputs!$B$4:$B$200,$B63)/1000)</f>
        <v>0.753</v>
      </c>
      <c r="M63" s="12">
        <f>IF(COUNT(I63:L63)=4,SUM(I63:L63),"")</f>
        <v>2.879</v>
      </c>
      <c r="N63" s="11">
        <f>IF(SUMPRODUCT((Inputs!$B$4:$B$200=$B63)*ISNUMBER(INDEX(Inputs!$D$4:$AG$200,0,MATCH(N$2,Inputs!$D$2:$AG$2,0))))=0,"",SUMIFS(INDEX(Inputs!$D$4:$AG$200,0,MATCH(N$2,Inputs!$D$2:$AG$2,0)),Inputs!$B$4:$B$200,$B63)/1000)</f>
        <v>0.72</v>
      </c>
      <c r="O63" s="11">
        <f>IF(SUMPRODUCT((Inputs!$B$4:$B$200=$B63)*ISNUMBER(INDEX(Inputs!$D$4:$AG$200,0,MATCH(O$2,Inputs!$D$2:$AG$2,0))))=0,"",SUMIFS(INDEX(Inputs!$D$4:$AG$200,0,MATCH(O$2,Inputs!$D$2:$AG$2,0)),Inputs!$B$4:$B$200,$B63)/1000)</f>
        <v>0.731</v>
      </c>
      <c r="P63" s="11">
        <f>IF(SUMPRODUCT((Inputs!$B$4:$B$200=$B63)*ISNUMBER(INDEX(Inputs!$D$4:$AG$200,0,MATCH(P$2,Inputs!$D$2:$AG$2,0))))=0,"",SUMIFS(INDEX(Inputs!$D$4:$AG$200,0,MATCH(P$2,Inputs!$D$2:$AG$2,0)),Inputs!$B$4:$B$200,$B63)/1000)</f>
        <v>0.736</v>
      </c>
      <c r="Q63" s="11">
        <f>IF(SUMPRODUCT((Inputs!$B$4:$B$200=$B63)*ISNUMBER(INDEX(Inputs!$D$4:$AG$200,0,MATCH(Q$2,Inputs!$D$2:$AG$2,0))))=0,"",SUMIFS(INDEX(Inputs!$D$4:$AG$200,0,MATCH(Q$2,Inputs!$D$2:$AG$2,0)),Inputs!$B$4:$B$200,$B63)/1000)</f>
        <v>0.744564986</v>
      </c>
      <c r="R63" s="12">
        <f>IF(COUNT(N63:Q63)=4,SUM(N63:Q63),"")</f>
        <v>2.931564986</v>
      </c>
      <c r="S63" s="11">
        <f>IF(SUMPRODUCT((Inputs!$B$4:$B$200=$B63)*ISNUMBER(INDEX(Inputs!$D$4:$AG$200,0,MATCH(S$2,Inputs!$D$2:$AG$2,0))))=0,"",SUMIFS(INDEX(Inputs!$D$4:$AG$200,0,MATCH(S$2,Inputs!$D$2:$AG$2,0)),Inputs!$B$4:$B$200,$B63)/1000)</f>
        <v>0.732289944</v>
      </c>
      <c r="T63" s="11">
        <f>IF(SUMPRODUCT((Inputs!$B$4:$B$200=$B63)*ISNUMBER(INDEX(Inputs!$D$4:$AG$200,0,MATCH(T$2,Inputs!$D$2:$AG$2,0))))=0,"",SUMIFS(INDEX(Inputs!$D$4:$AG$200,0,MATCH(T$2,Inputs!$D$2:$AG$2,0)),Inputs!$B$4:$B$200,$B63)/1000)</f>
        <v>0.751467739</v>
      </c>
      <c r="U63" s="11">
        <f>IF(SUMPRODUCT((Inputs!$B$4:$B$200=$B63)*ISNUMBER(INDEX(Inputs!$D$4:$AG$200,0,MATCH(U$2,Inputs!$D$2:$AG$2,0))))=0,"",SUMIFS(INDEX(Inputs!$D$4:$AG$200,0,MATCH(U$2,Inputs!$D$2:$AG$2,0)),Inputs!$B$4:$B$200,$B63)/1000)</f>
        <v>0.75409795</v>
      </c>
      <c r="V63" s="11">
        <f>IF(SUMPRODUCT((Inputs!$B$4:$B$200=$B63)*ISNUMBER(INDEX(Inputs!$D$4:$AG$200,0,MATCH(V$2,Inputs!$D$2:$AG$2,0))))=0,"",SUMIFS(INDEX(Inputs!$D$4:$AG$200,0,MATCH(V$2,Inputs!$D$2:$AG$2,0)),Inputs!$B$4:$B$200,$B63)/1000)</f>
        <v>0.7707</v>
      </c>
      <c r="W63" s="12">
        <f>IF(COUNT(S63:V63)=4,SUM(S63:V63),"")</f>
        <v>3.008555633</v>
      </c>
      <c r="X63" s="11">
        <f>IF(SUMPRODUCT((Inputs!$B$4:$B$200=$B63)*ISNUMBER(INDEX(Inputs!$D$4:$AG$200,0,MATCH(X$2,Inputs!$D$2:$AG$2,0))))=0,"",SUMIFS(INDEX(Inputs!$D$4:$AG$200,0,MATCH(X$2,Inputs!$D$2:$AG$2,0)),Inputs!$B$4:$B$200,$B63)/1000)</f>
        <v>0.727332393</v>
      </c>
      <c r="Y63" s="11">
        <f>IF(SUMPRODUCT((Inputs!$B$4:$B$200=$B63)*ISNUMBER(INDEX(Inputs!$D$4:$AG$200,0,MATCH(Y$2,Inputs!$D$2:$AG$2,0))))=0,"",SUMIFS(INDEX(Inputs!$D$4:$AG$200,0,MATCH(Y$2,Inputs!$D$2:$AG$2,0)),Inputs!$B$4:$B$200,$B63)/1000)</f>
        <v>0.743179621</v>
      </c>
      <c r="Z63" s="11">
        <f>IF(SUMPRODUCT((Inputs!$B$4:$B$200=$B63)*ISNUMBER(INDEX(Inputs!$D$4:$AG$200,0,MATCH(Z$2,Inputs!$D$2:$AG$2,0))))=0,"",SUMIFS(INDEX(Inputs!$D$4:$AG$200,0,MATCH(Z$2,Inputs!$D$2:$AG$2,0)),Inputs!$B$4:$B$200,$B63)/1000)</f>
        <v>0.739877352</v>
      </c>
      <c r="AA63" s="11">
        <f>IF(SUMPRODUCT((Inputs!$B$4:$B$200=$B63)*ISNUMBER(INDEX(Inputs!$D$4:$AG$200,0,MATCH(AA$2,Inputs!$D$2:$AG$2,0))))=0,"",SUMIFS(INDEX(Inputs!$D$4:$AG$200,0,MATCH(AA$2,Inputs!$D$2:$AG$2,0)),Inputs!$B$4:$B$200,$B63)/1000)</f>
        <v>0.763078929</v>
      </c>
      <c r="AB63" s="12">
        <f>IF(COUNT(X63:AA63)=4,SUM(X63:AA63),"")</f>
        <v>2.973468295</v>
      </c>
      <c r="AC63" s="11">
        <f>IF(SUMPRODUCT((Inputs!$B$4:$B$200=$B63)*ISNUMBER(INDEX(Inputs!$D$4:$AG$200,0,MATCH(AC$2,Inputs!$D$2:$AG$2,0))))=0,"",SUMIFS(INDEX(Inputs!$D$4:$AG$200,0,MATCH(AC$2,Inputs!$D$2:$AG$2,0)),Inputs!$B$4:$B$200,$B63)/1000)</f>
        <v>0.739163227</v>
      </c>
      <c r="AD63" s="11">
        <f>IF(SUMPRODUCT((Inputs!$B$4:$B$200=$B63)*ISNUMBER(INDEX(Inputs!$D$4:$AG$200,0,MATCH(AD$2,Inputs!$D$2:$AG$2,0))))=0,"",SUMIFS(INDEX(Inputs!$D$4:$AG$200,0,MATCH(AD$2,Inputs!$D$2:$AG$2,0)),Inputs!$B$4:$B$200,$B63)/1000)</f>
        <v>0.719947109</v>
      </c>
      <c r="AE63" s="11" t="str">
        <f>IF(SUMPRODUCT((Inputs!$B$4:$B$200=$B63)*ISNUMBER(INDEX(Inputs!$D$4:$AG$200,0,MATCH(AE$2,Inputs!$D$2:$AG$2,0))))=0,"",SUMIFS(INDEX(Inputs!$D$4:$AG$200,0,MATCH(AE$2,Inputs!$D$2:$AG$2,0)),Inputs!$B$4:$B$200,$B63)/1000)</f>
        <v/>
      </c>
      <c r="AF63" s="11" t="str">
        <f>IF(SUMPRODUCT((Inputs!$B$4:$B$200=$B63)*ISNUMBER(INDEX(Inputs!$D$4:$AG$200,0,MATCH(AF$2,Inputs!$D$2:$AG$2,0))))=0,"",SUMIFS(INDEX(Inputs!$D$4:$AG$200,0,MATCH(AF$2,Inputs!$D$2:$AG$2,0)),Inputs!$B$4:$B$200,$B63)/1000)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Repasses - VGV repassado (R$ mil; l.40)</t>
        </is>
      </c>
      <c r="D64" s="11">
        <f>IF(SUMPRODUCT((Inputs!$B$4:$B$200=$B64)*ISNUMBER(INDEX(Inputs!$D$4:$AG$200,0,MATCH(D$2,Inputs!$D$2:$AG$2,0))))=0,"",SUMIFS(INDEX(Inputs!$D$4:$AG$200,0,MATCH(D$2,Inputs!$D$2:$AG$2,0)),Inputs!$B$4:$B$200,$B64)/1000)</f>
        <v>296.90331988</v>
      </c>
      <c r="E64" s="11">
        <f>IF(SUMPRODUCT((Inputs!$B$4:$B$200=$B64)*ISNUMBER(INDEX(Inputs!$D$4:$AG$200,0,MATCH(E$2,Inputs!$D$2:$AG$2,0))))=0,"",SUMIFS(INDEX(Inputs!$D$4:$AG$200,0,MATCH(E$2,Inputs!$D$2:$AG$2,0)),Inputs!$B$4:$B$200,$B64)/1000)</f>
        <v>540.584</v>
      </c>
      <c r="F64" s="11">
        <f>IF(SUMPRODUCT((Inputs!$B$4:$B$200=$B64)*ISNUMBER(INDEX(Inputs!$D$4:$AG$200,0,MATCH(F$2,Inputs!$D$2:$AG$2,0))))=0,"",SUMIFS(INDEX(Inputs!$D$4:$AG$200,0,MATCH(F$2,Inputs!$D$2:$AG$2,0)),Inputs!$B$4:$B$200,$B64)/1000)</f>
        <v>723.11812501</v>
      </c>
      <c r="G64" s="11">
        <f>IF(SUMPRODUCT((Inputs!$B$4:$B$200=$B64)*ISNUMBER(INDEX(Inputs!$D$4:$AG$200,0,MATCH(G$2,Inputs!$D$2:$AG$2,0))))=0,"",SUMIFS(INDEX(Inputs!$D$4:$AG$200,0,MATCH(G$2,Inputs!$D$2:$AG$2,0)),Inputs!$B$4:$B$200,$B64)/1000)</f>
        <v>470.01072897</v>
      </c>
      <c r="H64" s="12">
        <f>IF(COUNT(D64:G64)=4,SUM(D64:G64),"")</f>
        <v>2030.61617386</v>
      </c>
      <c r="I64" s="11">
        <f>IF(SUMPRODUCT((Inputs!$B$4:$B$200=$B64)*ISNUMBER(INDEX(Inputs!$D$4:$AG$200,0,MATCH(I$2,Inputs!$D$2:$AG$2,0))))=0,"",SUMIFS(INDEX(Inputs!$D$4:$AG$200,0,MATCH(I$2,Inputs!$D$2:$AG$2,0)),Inputs!$B$4:$B$200,$B64)/1000)</f>
        <v>532.33659483</v>
      </c>
      <c r="J64" s="11">
        <f>IF(SUMPRODUCT((Inputs!$B$4:$B$200=$B64)*ISNUMBER(INDEX(Inputs!$D$4:$AG$200,0,MATCH(J$2,Inputs!$D$2:$AG$2,0))))=0,"",SUMIFS(INDEX(Inputs!$D$4:$AG$200,0,MATCH(J$2,Inputs!$D$2:$AG$2,0)),Inputs!$B$4:$B$200,$B64)/1000)</f>
        <v>728.50112205</v>
      </c>
      <c r="K64" s="11">
        <f>IF(SUMPRODUCT((Inputs!$B$4:$B$200=$B64)*ISNUMBER(INDEX(Inputs!$D$4:$AG$200,0,MATCH(K$2,Inputs!$D$2:$AG$2,0))))=0,"",SUMIFS(INDEX(Inputs!$D$4:$AG$200,0,MATCH(K$2,Inputs!$D$2:$AG$2,0)),Inputs!$B$4:$B$200,$B64)/1000)</f>
        <v>860.05442945</v>
      </c>
      <c r="L64" s="11">
        <f>IF(SUMPRODUCT((Inputs!$B$4:$B$200=$B64)*ISNUMBER(INDEX(Inputs!$D$4:$AG$200,0,MATCH(L$2,Inputs!$D$2:$AG$2,0))))=0,"",SUMIFS(INDEX(Inputs!$D$4:$AG$200,0,MATCH(L$2,Inputs!$D$2:$AG$2,0)),Inputs!$B$4:$B$200,$B64)/1000)</f>
        <v>662.00439181</v>
      </c>
      <c r="M64" s="12">
        <f>IF(COUNT(I64:L64)=4,SUM(I64:L64),"")</f>
        <v>2782.89653814</v>
      </c>
      <c r="N64" s="11">
        <f>IF(SUMPRODUCT((Inputs!$B$4:$B$200=$B64)*ISNUMBER(INDEX(Inputs!$D$4:$AG$200,0,MATCH(N$2,Inputs!$D$2:$AG$2,0))))=0,"",SUMIFS(INDEX(Inputs!$D$4:$AG$200,0,MATCH(N$2,Inputs!$D$2:$AG$2,0)),Inputs!$B$4:$B$200,$B64)/1000)</f>
        <v>578.90007087</v>
      </c>
      <c r="O64" s="11">
        <f>IF(SUMPRODUCT((Inputs!$B$4:$B$200=$B64)*ISNUMBER(INDEX(Inputs!$D$4:$AG$200,0,MATCH(O$2,Inputs!$D$2:$AG$2,0))))=0,"",SUMIFS(INDEX(Inputs!$D$4:$AG$200,0,MATCH(O$2,Inputs!$D$2:$AG$2,0)),Inputs!$B$4:$B$200,$B64)/1000)</f>
        <v>1228.870224</v>
      </c>
      <c r="P64" s="11">
        <f>IF(SUMPRODUCT((Inputs!$B$4:$B$200=$B64)*ISNUMBER(INDEX(Inputs!$D$4:$AG$200,0,MATCH(P$2,Inputs!$D$2:$AG$2,0))))=0,"",SUMIFS(INDEX(Inputs!$D$4:$AG$200,0,MATCH(P$2,Inputs!$D$2:$AG$2,0)),Inputs!$B$4:$B$200,$B64)/1000)</f>
        <v>866.06356864</v>
      </c>
      <c r="Q64" s="11">
        <f>IF(SUMPRODUCT((Inputs!$B$4:$B$200=$B64)*ISNUMBER(INDEX(Inputs!$D$4:$AG$200,0,MATCH(Q$2,Inputs!$D$2:$AG$2,0))))=0,"",SUMIFS(INDEX(Inputs!$D$4:$AG$200,0,MATCH(Q$2,Inputs!$D$2:$AG$2,0)),Inputs!$B$4:$B$200,$B64)/1000)</f>
        <v>857.12080559</v>
      </c>
      <c r="R64" s="12">
        <f>IF(COUNT(N64:Q64)=4,SUM(N64:Q64),"")</f>
        <v>3530.9546691</v>
      </c>
      <c r="S64" s="11">
        <f>IF(SUMPRODUCT((Inputs!$B$4:$B$200=$B64)*ISNUMBER(INDEX(Inputs!$D$4:$AG$200,0,MATCH(S$2,Inputs!$D$2:$AG$2,0))))=0,"",SUMIFS(INDEX(Inputs!$D$4:$AG$200,0,MATCH(S$2,Inputs!$D$2:$AG$2,0)),Inputs!$B$4:$B$200,$B64)/1000)</f>
        <v>886.48975854</v>
      </c>
      <c r="T64" s="11">
        <f>IF(SUMPRODUCT((Inputs!$B$4:$B$200=$B64)*ISNUMBER(INDEX(Inputs!$D$4:$AG$200,0,MATCH(T$2,Inputs!$D$2:$AG$2,0))))=0,"",SUMIFS(INDEX(Inputs!$D$4:$AG$200,0,MATCH(T$2,Inputs!$D$2:$AG$2,0)),Inputs!$B$4:$B$200,$B64)/1000)</f>
        <v>1438.166</v>
      </c>
      <c r="U64" s="11">
        <f>IF(SUMPRODUCT((Inputs!$B$4:$B$200=$B64)*ISNUMBER(INDEX(Inputs!$D$4:$AG$200,0,MATCH(U$2,Inputs!$D$2:$AG$2,0))))=0,"",SUMIFS(INDEX(Inputs!$D$4:$AG$200,0,MATCH(U$2,Inputs!$D$2:$AG$2,0)),Inputs!$B$4:$B$200,$B64)/1000)</f>
        <v>1437.6</v>
      </c>
      <c r="V64" s="11">
        <f>IF(SUMPRODUCT((Inputs!$B$4:$B$200=$B64)*ISNUMBER(INDEX(Inputs!$D$4:$AG$200,0,MATCH(V$2,Inputs!$D$2:$AG$2,0))))=0,"",SUMIFS(INDEX(Inputs!$D$4:$AG$200,0,MATCH(V$2,Inputs!$D$2:$AG$2,0)),Inputs!$B$4:$B$200,$B64)/1000)</f>
        <v>927.749</v>
      </c>
      <c r="W64" s="12">
        <f>IF(COUNT(S64:V64)=4,SUM(S64:V64),"")</f>
        <v>4690.00475854</v>
      </c>
      <c r="X64" s="11">
        <f>IF(SUMPRODUCT((Inputs!$B$4:$B$200=$B64)*ISNUMBER(INDEX(Inputs!$D$4:$AG$200,0,MATCH(X$2,Inputs!$D$2:$AG$2,0))))=0,"",SUMIFS(INDEX(Inputs!$D$4:$AG$200,0,MATCH(X$2,Inputs!$D$2:$AG$2,0)),Inputs!$B$4:$B$200,$B64)/1000)</f>
        <v>1122.90757169</v>
      </c>
      <c r="Y64" s="11">
        <f>IF(SUMPRODUCT((Inputs!$B$4:$B$200=$B64)*ISNUMBER(INDEX(Inputs!$D$4:$AG$200,0,MATCH(Y$2,Inputs!$D$2:$AG$2,0))))=0,"",SUMIFS(INDEX(Inputs!$D$4:$AG$200,0,MATCH(Y$2,Inputs!$D$2:$AG$2,0)),Inputs!$B$4:$B$200,$B64)/1000)</f>
        <v>2149.31711625</v>
      </c>
      <c r="Z64" s="11">
        <f>IF(SUMPRODUCT((Inputs!$B$4:$B$200=$B64)*ISNUMBER(INDEX(Inputs!$D$4:$AG$200,0,MATCH(Z$2,Inputs!$D$2:$AG$2,0))))=0,"",SUMIFS(INDEX(Inputs!$D$4:$AG$200,0,MATCH(Z$2,Inputs!$D$2:$AG$2,0)),Inputs!$B$4:$B$200,$B64)/1000)</f>
        <v>1487.1632059</v>
      </c>
      <c r="AA64" s="11">
        <f>IF(SUMPRODUCT((Inputs!$B$4:$B$200=$B64)*ISNUMBER(INDEX(Inputs!$D$4:$AG$200,0,MATCH(AA$2,Inputs!$D$2:$AG$2,0))))=0,"",SUMIFS(INDEX(Inputs!$D$4:$AG$200,0,MATCH(AA$2,Inputs!$D$2:$AG$2,0)),Inputs!$B$4:$B$200,$B64)/1000)</f>
        <v>1492.32834378</v>
      </c>
      <c r="AB64" s="12">
        <f>IF(COUNT(X64:AA64)=4,SUM(X64:AA64),"")</f>
        <v>6251.71623762</v>
      </c>
      <c r="AC64" s="11">
        <f>IF(SUMPRODUCT((Inputs!$B$4:$B$200=$B64)*ISNUMBER(INDEX(Inputs!$D$4:$AG$200,0,MATCH(AC$2,Inputs!$D$2:$AG$2,0))))=0,"",SUMIFS(INDEX(Inputs!$D$4:$AG$200,0,MATCH(AC$2,Inputs!$D$2:$AG$2,0)),Inputs!$B$4:$B$200,$B64)/1000)</f>
        <v>1339.82930028</v>
      </c>
      <c r="AD64" s="11">
        <f>IF(SUMPRODUCT((Inputs!$B$4:$B$200=$B64)*ISNUMBER(INDEX(Inputs!$D$4:$AG$200,0,MATCH(AD$2,Inputs!$D$2:$AG$2,0))))=0,"",SUMIFS(INDEX(Inputs!$D$4:$AG$200,0,MATCH(AD$2,Inputs!$D$2:$AG$2,0)),Inputs!$B$4:$B$200,$B64)/1000)</f>
        <v>2014.95866037</v>
      </c>
      <c r="AE64" s="11" t="str">
        <f>IF(SUMPRODUCT((Inputs!$B$4:$B$200=$B64)*ISNUMBER(INDEX(Inputs!$D$4:$AG$200,0,MATCH(AE$2,Inputs!$D$2:$AG$2,0))))=0,"",SUMIFS(INDEX(Inputs!$D$4:$AG$200,0,MATCH(AE$2,Inputs!$D$2:$AG$2,0)),Inputs!$B$4:$B$200,$B64)/1000)</f>
        <v/>
      </c>
      <c r="AF64" s="11" t="str">
        <f>IF(SUMPRODUCT((Inputs!$B$4:$B$200=$B64)*ISNUMBER(INDEX(Inputs!$D$4:$AG$200,0,MATCH(AF$2,Inputs!$D$2:$AG$2,0))))=0,"",SUMIFS(INDEX(Inputs!$D$4:$AG$200,0,MATCH(AF$2,Inputs!$D$2:$AG$2,0)),Inputs!$B$4:$B$200,$B64)/1000)</f>
        <v/>
      </c>
      <c r="AG64" s="12" t="str">
        <f>IF(COUNT(AC64:AF64)=4,SUM(AC64:AF64),"")</f>
        <v/>
      </c>
    </row>
    <row r="65">
      <c r="B65" s="9" t="n">
        <v>57</v>
      </c>
      <c r="C65" s="10" t="inlineStr">
        <is>
          <t>Repasses - unidades (l.41)</t>
        </is>
      </c>
      <c r="D65" s="11">
        <f>IF(SUMPRODUCT((Inputs!$B$4:$B$200=$B65)*ISNUMBER(INDEX(Inputs!$D$4:$AG$200,0,MATCH(D$2,Inputs!$D$2:$AG$2,0))))=0,"",SUMIFS(INDEX(Inputs!$D$4:$AG$200,0,MATCH(D$2,Inputs!$D$2:$AG$2,0)),Inputs!$B$4:$B$200,$B65)/1000)</f>
        <v>1544</v>
      </c>
      <c r="E65" s="11">
        <f>IF(SUMPRODUCT((Inputs!$B$4:$B$200=$B65)*ISNUMBER(INDEX(Inputs!$D$4:$AG$200,0,MATCH(E$2,Inputs!$D$2:$AG$2,0))))=0,"",SUMIFS(INDEX(Inputs!$D$4:$AG$200,0,MATCH(E$2,Inputs!$D$2:$AG$2,0)),Inputs!$B$4:$B$200,$B65)/1000)</f>
        <v>2819</v>
      </c>
      <c r="F65" s="11">
        <f>IF(SUMPRODUCT((Inputs!$B$4:$B$200=$B65)*ISNUMBER(INDEX(Inputs!$D$4:$AG$200,0,MATCH(F$2,Inputs!$D$2:$AG$2,0))))=0,"",SUMIFS(INDEX(Inputs!$D$4:$AG$200,0,MATCH(F$2,Inputs!$D$2:$AG$2,0)),Inputs!$B$4:$B$200,$B65)/1000)</f>
        <v>3275</v>
      </c>
      <c r="G65" s="11">
        <f>IF(SUMPRODUCT((Inputs!$B$4:$B$200=$B65)*ISNUMBER(INDEX(Inputs!$D$4:$AG$200,0,MATCH(G$2,Inputs!$D$2:$AG$2,0))))=0,"",SUMIFS(INDEX(Inputs!$D$4:$AG$200,0,MATCH(G$2,Inputs!$D$2:$AG$2,0)),Inputs!$B$4:$B$200,$B65)/1000)</f>
        <v>2213</v>
      </c>
      <c r="H65" s="12">
        <f>IF(COUNT(D65:G65)=4,SUM(D65:G65),"")</f>
        <v>9851</v>
      </c>
      <c r="I65" s="11">
        <f>IF(SUMPRODUCT((Inputs!$B$4:$B$200=$B65)*ISNUMBER(INDEX(Inputs!$D$4:$AG$200,0,MATCH(I$2,Inputs!$D$2:$AG$2,0))))=0,"",SUMIFS(INDEX(Inputs!$D$4:$AG$200,0,MATCH(I$2,Inputs!$D$2:$AG$2,0)),Inputs!$B$4:$B$200,$B65)/1000)</f>
        <v>2475</v>
      </c>
      <c r="J65" s="11">
        <f>IF(SUMPRODUCT((Inputs!$B$4:$B$200=$B65)*ISNUMBER(INDEX(Inputs!$D$4:$AG$200,0,MATCH(J$2,Inputs!$D$2:$AG$2,0))))=0,"",SUMIFS(INDEX(Inputs!$D$4:$AG$200,0,MATCH(J$2,Inputs!$D$2:$AG$2,0)),Inputs!$B$4:$B$200,$B65)/1000)</f>
        <v>3085</v>
      </c>
      <c r="K65" s="11">
        <f>IF(SUMPRODUCT((Inputs!$B$4:$B$200=$B65)*ISNUMBER(INDEX(Inputs!$D$4:$AG$200,0,MATCH(K$2,Inputs!$D$2:$AG$2,0))))=0,"",SUMIFS(INDEX(Inputs!$D$4:$AG$200,0,MATCH(K$2,Inputs!$D$2:$AG$2,0)),Inputs!$B$4:$B$200,$B65)/1000)</f>
        <v>3510</v>
      </c>
      <c r="L65" s="11">
        <f>IF(SUMPRODUCT((Inputs!$B$4:$B$200=$B65)*ISNUMBER(INDEX(Inputs!$D$4:$AG$200,0,MATCH(L$2,Inputs!$D$2:$AG$2,0))))=0,"",SUMIFS(INDEX(Inputs!$D$4:$AG$200,0,MATCH(L$2,Inputs!$D$2:$AG$2,0)),Inputs!$B$4:$B$200,$B65)/1000)</f>
        <v>2737</v>
      </c>
      <c r="M65" s="12">
        <f>IF(COUNT(I65:L65)=4,SUM(I65:L65),"")</f>
        <v>11807</v>
      </c>
      <c r="N65" s="11">
        <f>IF(SUMPRODUCT((Inputs!$B$4:$B$200=$B65)*ISNUMBER(INDEX(Inputs!$D$4:$AG$200,0,MATCH(N$2,Inputs!$D$2:$AG$2,0))))=0,"",SUMIFS(INDEX(Inputs!$D$4:$AG$200,0,MATCH(N$2,Inputs!$D$2:$AG$2,0)),Inputs!$B$4:$B$200,$B65)/1000)</f>
        <v>2451</v>
      </c>
      <c r="O65" s="11">
        <f>IF(SUMPRODUCT((Inputs!$B$4:$B$200=$B65)*ISNUMBER(INDEX(Inputs!$D$4:$AG$200,0,MATCH(O$2,Inputs!$D$2:$AG$2,0))))=0,"",SUMIFS(INDEX(Inputs!$D$4:$AG$200,0,MATCH(O$2,Inputs!$D$2:$AG$2,0)),Inputs!$B$4:$B$200,$B65)/1000)</f>
        <v>4611</v>
      </c>
      <c r="P65" s="11">
        <f>IF(SUMPRODUCT((Inputs!$B$4:$B$200=$B65)*ISNUMBER(INDEX(Inputs!$D$4:$AG$200,0,MATCH(P$2,Inputs!$D$2:$AG$2,0))))=0,"",SUMIFS(INDEX(Inputs!$D$4:$AG$200,0,MATCH(P$2,Inputs!$D$2:$AG$2,0)),Inputs!$B$4:$B$200,$B65)/1000)</f>
        <v>3187</v>
      </c>
      <c r="Q65" s="11">
        <f>IF(SUMPRODUCT((Inputs!$B$4:$B$200=$B65)*ISNUMBER(INDEX(Inputs!$D$4:$AG$200,0,MATCH(Q$2,Inputs!$D$2:$AG$2,0))))=0,"",SUMIFS(INDEX(Inputs!$D$4:$AG$200,0,MATCH(Q$2,Inputs!$D$2:$AG$2,0)),Inputs!$B$4:$B$200,$B65)/1000)</f>
        <v>3017</v>
      </c>
      <c r="R65" s="12">
        <f>IF(COUNT(N65:Q65)=4,SUM(N65:Q65),"")</f>
        <v>13266</v>
      </c>
      <c r="S65" s="11">
        <f>IF(SUMPRODUCT((Inputs!$B$4:$B$200=$B65)*ISNUMBER(INDEX(Inputs!$D$4:$AG$200,0,MATCH(S$2,Inputs!$D$2:$AG$2,0))))=0,"",SUMIFS(INDEX(Inputs!$D$4:$AG$200,0,MATCH(S$2,Inputs!$D$2:$AG$2,0)),Inputs!$B$4:$B$200,$B65)/1000)</f>
        <v>3157</v>
      </c>
      <c r="T65" s="11">
        <f>IF(SUMPRODUCT((Inputs!$B$4:$B$200=$B65)*ISNUMBER(INDEX(Inputs!$D$4:$AG$200,0,MATCH(T$2,Inputs!$D$2:$AG$2,0))))=0,"",SUMIFS(INDEX(Inputs!$D$4:$AG$200,0,MATCH(T$2,Inputs!$D$2:$AG$2,0)),Inputs!$B$4:$B$200,$B65)/1000)</f>
        <v>5046</v>
      </c>
      <c r="U65" s="11">
        <f>IF(SUMPRODUCT((Inputs!$B$4:$B$200=$B65)*ISNUMBER(INDEX(Inputs!$D$4:$AG$200,0,MATCH(U$2,Inputs!$D$2:$AG$2,0))))=0,"",SUMIFS(INDEX(Inputs!$D$4:$AG$200,0,MATCH(U$2,Inputs!$D$2:$AG$2,0)),Inputs!$B$4:$B$200,$B65)/1000)</f>
        <v>4756</v>
      </c>
      <c r="V65" s="11">
        <f>IF(SUMPRODUCT((Inputs!$B$4:$B$200=$B65)*ISNUMBER(INDEX(Inputs!$D$4:$AG$200,0,MATCH(V$2,Inputs!$D$2:$AG$2,0))))=0,"",SUMIFS(INDEX(Inputs!$D$4:$AG$200,0,MATCH(V$2,Inputs!$D$2:$AG$2,0)),Inputs!$B$4:$B$200,$B65)/1000)</f>
        <v>3156</v>
      </c>
      <c r="W65" s="12">
        <f>IF(COUNT(S65:V65)=4,SUM(S65:V65),"")</f>
        <v>16115</v>
      </c>
      <c r="X65" s="11">
        <f>IF(SUMPRODUCT((Inputs!$B$4:$B$200=$B65)*ISNUMBER(INDEX(Inputs!$D$4:$AG$200,0,MATCH(X$2,Inputs!$D$2:$AG$2,0))))=0,"",SUMIFS(INDEX(Inputs!$D$4:$AG$200,0,MATCH(X$2,Inputs!$D$2:$AG$2,0)),Inputs!$B$4:$B$200,$B65)/1000)</f>
        <v>3783</v>
      </c>
      <c r="Y65" s="11">
        <f>IF(SUMPRODUCT((Inputs!$B$4:$B$200=$B65)*ISNUMBER(INDEX(Inputs!$D$4:$AG$200,0,MATCH(Y$2,Inputs!$D$2:$AG$2,0))))=0,"",SUMIFS(INDEX(Inputs!$D$4:$AG$200,0,MATCH(Y$2,Inputs!$D$2:$AG$2,0)),Inputs!$B$4:$B$200,$B65)/1000)</f>
        <v>7155</v>
      </c>
      <c r="Z65" s="11">
        <f>IF(SUMPRODUCT((Inputs!$B$4:$B$200=$B65)*ISNUMBER(INDEX(Inputs!$D$4:$AG$200,0,MATCH(Z$2,Inputs!$D$2:$AG$2,0))))=0,"",SUMIFS(INDEX(Inputs!$D$4:$AG$200,0,MATCH(Z$2,Inputs!$D$2:$AG$2,0)),Inputs!$B$4:$B$200,$B65)/1000)</f>
        <v>5101</v>
      </c>
      <c r="AA65" s="11">
        <f>IF(SUMPRODUCT((Inputs!$B$4:$B$200=$B65)*ISNUMBER(INDEX(Inputs!$D$4:$AG$200,0,MATCH(AA$2,Inputs!$D$2:$AG$2,0))))=0,"",SUMIFS(INDEX(Inputs!$D$4:$AG$200,0,MATCH(AA$2,Inputs!$D$2:$AG$2,0)),Inputs!$B$4:$B$200,$B65)/1000)</f>
        <v>5001</v>
      </c>
      <c r="AB65" s="12">
        <f>IF(COUNT(X65:AA65)=4,SUM(X65:AA65),"")</f>
        <v>21040</v>
      </c>
      <c r="AC65" s="11">
        <f>IF(SUMPRODUCT((Inputs!$B$4:$B$200=$B65)*ISNUMBER(INDEX(Inputs!$D$4:$AG$200,0,MATCH(AC$2,Inputs!$D$2:$AG$2,0))))=0,"",SUMIFS(INDEX(Inputs!$D$4:$AG$200,0,MATCH(AC$2,Inputs!$D$2:$AG$2,0)),Inputs!$B$4:$B$200,$B65)/1000)</f>
        <v>4364</v>
      </c>
      <c r="AD65" s="11">
        <f>IF(SUMPRODUCT((Inputs!$B$4:$B$200=$B65)*ISNUMBER(INDEX(Inputs!$D$4:$AG$200,0,MATCH(AD$2,Inputs!$D$2:$AG$2,0))))=0,"",SUMIFS(INDEX(Inputs!$D$4:$AG$200,0,MATCH(AD$2,Inputs!$D$2:$AG$2,0)),Inputs!$B$4:$B$200,$B65)/1000)</f>
        <v>6296</v>
      </c>
      <c r="AE65" s="11" t="str">
        <f>IF(SUMPRODUCT((Inputs!$B$4:$B$200=$B65)*ISNUMBER(INDEX(Inputs!$D$4:$AG$200,0,MATCH(AE$2,Inputs!$D$2:$AG$2,0))))=0,"",SUMIFS(INDEX(Inputs!$D$4:$AG$200,0,MATCH(AE$2,Inputs!$D$2:$AG$2,0)),Inputs!$B$4:$B$200,$B65)/1000)</f>
        <v/>
      </c>
      <c r="AF65" s="11" t="str">
        <f>IF(SUMPRODUCT((Inputs!$B$4:$B$200=$B65)*ISNUMBER(INDEX(Inputs!$D$4:$AG$200,0,MATCH(AF$2,Inputs!$D$2:$AG$2,0))))=0,"",SUMIFS(INDEX(Inputs!$D$4:$AG$200,0,MATCH(AF$2,Inputs!$D$2:$AG$2,0)),Inputs!$B$4:$B$200,$B65)/1000)</f>
        <v/>
      </c>
      <c r="AG65" s="12" t="str">
        <f>IF(COUNT(AC65:AF65)=4,SUM(AC65:AF65),"")</f>
        <v/>
      </c>
    </row>
    <row r="66">
      <c r="B66" s="9" t="n">
        <v>58</v>
      </c>
      <c r="C66" s="10" t="inlineStr">
        <is>
          <t>Obras em andamento (l.57; media do trimestre)</t>
        </is>
      </c>
      <c r="D66" s="11">
        <f>IF(SUMPRODUCT((Inputs!$B$4:$B$200=$B66)*ISNUMBER(INDEX(Inputs!$D$4:$AG$200,0,MATCH(D$2,Inputs!$D$2:$AG$2,0))))=0,"",SUMIFS(INDEX(Inputs!$D$4:$AG$200,0,MATCH(D$2,Inputs!$D$2:$AG$2,0)),Inputs!$B$4:$B$200,$B66)/1000)</f>
        <v>26.666666667</v>
      </c>
      <c r="E66" s="11">
        <f>IF(SUMPRODUCT((Inputs!$B$4:$B$200=$B66)*ISNUMBER(INDEX(Inputs!$D$4:$AG$200,0,MATCH(E$2,Inputs!$D$2:$AG$2,0))))=0,"",SUMIFS(INDEX(Inputs!$D$4:$AG$200,0,MATCH(E$2,Inputs!$D$2:$AG$2,0)),Inputs!$B$4:$B$200,$B66)/1000)</f>
        <v>31</v>
      </c>
      <c r="F66" s="11">
        <f>IF(SUMPRODUCT((Inputs!$B$4:$B$200=$B66)*ISNUMBER(INDEX(Inputs!$D$4:$AG$200,0,MATCH(F$2,Inputs!$D$2:$AG$2,0))))=0,"",SUMIFS(INDEX(Inputs!$D$4:$AG$200,0,MATCH(F$2,Inputs!$D$2:$AG$2,0)),Inputs!$B$4:$B$200,$B66)/1000)</f>
        <v>40.333333333</v>
      </c>
      <c r="G66" s="11">
        <f>IF(SUMPRODUCT((Inputs!$B$4:$B$200=$B66)*ISNUMBER(INDEX(Inputs!$D$4:$AG$200,0,MATCH(G$2,Inputs!$D$2:$AG$2,0))))=0,"",SUMIFS(INDEX(Inputs!$D$4:$AG$200,0,MATCH(G$2,Inputs!$D$2:$AG$2,0)),Inputs!$B$4:$B$200,$B66)/1000)</f>
        <v>47.066666667</v>
      </c>
      <c r="H66" s="12">
        <f>IF(COUNT(D66:G66)=4,SUM(D66:G66),"")</f>
        <v>145.066666667</v>
      </c>
      <c r="I66" s="11">
        <f>IF(SUMPRODUCT((Inputs!$B$4:$B$200=$B66)*ISNUMBER(INDEX(Inputs!$D$4:$AG$200,0,MATCH(I$2,Inputs!$D$2:$AG$2,0))))=0,"",SUMIFS(INDEX(Inputs!$D$4:$AG$200,0,MATCH(I$2,Inputs!$D$2:$AG$2,0)),Inputs!$B$4:$B$200,$B66)/1000)</f>
        <v>48.666666667</v>
      </c>
      <c r="J66" s="11">
        <f>IF(SUMPRODUCT((Inputs!$B$4:$B$200=$B66)*ISNUMBER(INDEX(Inputs!$D$4:$AG$200,0,MATCH(J$2,Inputs!$D$2:$AG$2,0))))=0,"",SUMIFS(INDEX(Inputs!$D$4:$AG$200,0,MATCH(J$2,Inputs!$D$2:$AG$2,0)),Inputs!$B$4:$B$200,$B66)/1000)</f>
        <v>48</v>
      </c>
      <c r="K66" s="11">
        <f>IF(SUMPRODUCT((Inputs!$B$4:$B$200=$B66)*ISNUMBER(INDEX(Inputs!$D$4:$AG$200,0,MATCH(K$2,Inputs!$D$2:$AG$2,0))))=0,"",SUMIFS(INDEX(Inputs!$D$4:$AG$200,0,MATCH(K$2,Inputs!$D$2:$AG$2,0)),Inputs!$B$4:$B$200,$B66)/1000)</f>
        <v>49.666666667</v>
      </c>
      <c r="L66" s="11">
        <f>IF(SUMPRODUCT((Inputs!$B$4:$B$200=$B66)*ISNUMBER(INDEX(Inputs!$D$4:$AG$200,0,MATCH(L$2,Inputs!$D$2:$AG$2,0))))=0,"",SUMIFS(INDEX(Inputs!$D$4:$AG$200,0,MATCH(L$2,Inputs!$D$2:$AG$2,0)),Inputs!$B$4:$B$200,$B66)/1000)</f>
        <v>51.333333333</v>
      </c>
      <c r="M66" s="12">
        <f>IF(COUNT(I66:L66)=4,SUM(I66:L66),"")</f>
        <v>197.666666667</v>
      </c>
      <c r="N66" s="11">
        <f>IF(SUMPRODUCT((Inputs!$B$4:$B$200=$B66)*ISNUMBER(INDEX(Inputs!$D$4:$AG$200,0,MATCH(N$2,Inputs!$D$2:$AG$2,0))))=0,"",SUMIFS(INDEX(Inputs!$D$4:$AG$200,0,MATCH(N$2,Inputs!$D$2:$AG$2,0)),Inputs!$B$4:$B$200,$B66)/1000)</f>
        <v>49</v>
      </c>
      <c r="O66" s="11">
        <f>IF(SUMPRODUCT((Inputs!$B$4:$B$200=$B66)*ISNUMBER(INDEX(Inputs!$D$4:$AG$200,0,MATCH(O$2,Inputs!$D$2:$AG$2,0))))=0,"",SUMIFS(INDEX(Inputs!$D$4:$AG$200,0,MATCH(O$2,Inputs!$D$2:$AG$2,0)),Inputs!$B$4:$B$200,$B66)/1000)</f>
        <v>52</v>
      </c>
      <c r="P66" s="11">
        <f>IF(SUMPRODUCT((Inputs!$B$4:$B$200=$B66)*ISNUMBER(INDEX(Inputs!$D$4:$AG$200,0,MATCH(P$2,Inputs!$D$2:$AG$2,0))))=0,"",SUMIFS(INDEX(Inputs!$D$4:$AG$200,0,MATCH(P$2,Inputs!$D$2:$AG$2,0)),Inputs!$B$4:$B$200,$B66)/1000)</f>
        <v>56</v>
      </c>
      <c r="Q66" s="11">
        <f>IF(SUMPRODUCT((Inputs!$B$4:$B$200=$B66)*ISNUMBER(INDEX(Inputs!$D$4:$AG$200,0,MATCH(Q$2,Inputs!$D$2:$AG$2,0))))=0,"",SUMIFS(INDEX(Inputs!$D$4:$AG$200,0,MATCH(Q$2,Inputs!$D$2:$AG$2,0)),Inputs!$B$4:$B$200,$B66)/1000)</f>
        <v>57</v>
      </c>
      <c r="R66" s="12">
        <f>IF(COUNT(N66:Q66)=4,SUM(N66:Q66),"")</f>
        <v>214</v>
      </c>
      <c r="S66" s="11">
        <f>IF(SUMPRODUCT((Inputs!$B$4:$B$200=$B66)*ISNUMBER(INDEX(Inputs!$D$4:$AG$200,0,MATCH(S$2,Inputs!$D$2:$AG$2,0))))=0,"",SUMIFS(INDEX(Inputs!$D$4:$AG$200,0,MATCH(S$2,Inputs!$D$2:$AG$2,0)),Inputs!$B$4:$B$200,$B66)/1000)</f>
        <v>66.333333333</v>
      </c>
      <c r="T66" s="11">
        <f>IF(SUMPRODUCT((Inputs!$B$4:$B$200=$B66)*ISNUMBER(INDEX(Inputs!$D$4:$AG$200,0,MATCH(T$2,Inputs!$D$2:$AG$2,0))))=0,"",SUMIFS(INDEX(Inputs!$D$4:$AG$200,0,MATCH(T$2,Inputs!$D$2:$AG$2,0)),Inputs!$B$4:$B$200,$B66)/1000)</f>
        <v>63.333333333</v>
      </c>
      <c r="U66" s="11">
        <f>IF(SUMPRODUCT((Inputs!$B$4:$B$200=$B66)*ISNUMBER(INDEX(Inputs!$D$4:$AG$200,0,MATCH(U$2,Inputs!$D$2:$AG$2,0))))=0,"",SUMIFS(INDEX(Inputs!$D$4:$AG$200,0,MATCH(U$2,Inputs!$D$2:$AG$2,0)),Inputs!$B$4:$B$200,$B66)/1000)</f>
        <v>68</v>
      </c>
      <c r="V66" s="11">
        <f>IF(SUMPRODUCT((Inputs!$B$4:$B$200=$B66)*ISNUMBER(INDEX(Inputs!$D$4:$AG$200,0,MATCH(V$2,Inputs!$D$2:$AG$2,0))))=0,"",SUMIFS(INDEX(Inputs!$D$4:$AG$200,0,MATCH(V$2,Inputs!$D$2:$AG$2,0)),Inputs!$B$4:$B$200,$B66)/1000)</f>
        <v>70</v>
      </c>
      <c r="W66" s="12">
        <f>IF(COUNT(S66:V66)=4,SUM(S66:V66),"")</f>
        <v>267.666666666</v>
      </c>
      <c r="X66" s="11">
        <f>IF(SUMPRODUCT((Inputs!$B$4:$B$200=$B66)*ISNUMBER(INDEX(Inputs!$D$4:$AG$200,0,MATCH(X$2,Inputs!$D$2:$AG$2,0))))=0,"",SUMIFS(INDEX(Inputs!$D$4:$AG$200,0,MATCH(X$2,Inputs!$D$2:$AG$2,0)),Inputs!$B$4:$B$200,$B66)/1000)</f>
        <v>72</v>
      </c>
      <c r="Y66" s="11">
        <f>IF(SUMPRODUCT((Inputs!$B$4:$B$200=$B66)*ISNUMBER(INDEX(Inputs!$D$4:$AG$200,0,MATCH(Y$2,Inputs!$D$2:$AG$2,0))))=0,"",SUMIFS(INDEX(Inputs!$D$4:$AG$200,0,MATCH(Y$2,Inputs!$D$2:$AG$2,0)),Inputs!$B$4:$B$200,$B66)/1000)</f>
        <v>81</v>
      </c>
      <c r="Z66" s="11">
        <f>IF(SUMPRODUCT((Inputs!$B$4:$B$200=$B66)*ISNUMBER(INDEX(Inputs!$D$4:$AG$200,0,MATCH(Z$2,Inputs!$D$2:$AG$2,0))))=0,"",SUMIFS(INDEX(Inputs!$D$4:$AG$200,0,MATCH(Z$2,Inputs!$D$2:$AG$2,0)),Inputs!$B$4:$B$200,$B66)/1000)</f>
        <v>82</v>
      </c>
      <c r="AA66" s="11">
        <f>IF(SUMPRODUCT((Inputs!$B$4:$B$200=$B66)*ISNUMBER(INDEX(Inputs!$D$4:$AG$200,0,MATCH(AA$2,Inputs!$D$2:$AG$2,0))))=0,"",SUMIFS(INDEX(Inputs!$D$4:$AG$200,0,MATCH(AA$2,Inputs!$D$2:$AG$2,0)),Inputs!$B$4:$B$200,$B66)/1000)</f>
        <v>84</v>
      </c>
      <c r="AB66" s="12">
        <f>IF(COUNT(X66:AA66)=4,SUM(X66:AA66),"")</f>
        <v>319</v>
      </c>
      <c r="AC66" s="11">
        <f>IF(SUMPRODUCT((Inputs!$B$4:$B$200=$B66)*ISNUMBER(INDEX(Inputs!$D$4:$AG$200,0,MATCH(AC$2,Inputs!$D$2:$AG$2,0))))=0,"",SUMIFS(INDEX(Inputs!$D$4:$AG$200,0,MATCH(AC$2,Inputs!$D$2:$AG$2,0)),Inputs!$B$4:$B$200,$B66)/1000)</f>
        <v>87</v>
      </c>
      <c r="AD66" s="11">
        <f>IF(SUMPRODUCT((Inputs!$B$4:$B$200=$B66)*ISNUMBER(INDEX(Inputs!$D$4:$AG$200,0,MATCH(AD$2,Inputs!$D$2:$AG$2,0))))=0,"",SUMIFS(INDEX(Inputs!$D$4:$AG$200,0,MATCH(AD$2,Inputs!$D$2:$AG$2,0)),Inputs!$B$4:$B$200,$B66)/1000)</f>
        <v>87</v>
      </c>
      <c r="AE66" s="11" t="str">
        <f>IF(SUMPRODUCT((Inputs!$B$4:$B$200=$B66)*ISNUMBER(INDEX(Inputs!$D$4:$AG$200,0,MATCH(AE$2,Inputs!$D$2:$AG$2,0))))=0,"",SUMIFS(INDEX(Inputs!$D$4:$AG$200,0,MATCH(AE$2,Inputs!$D$2:$AG$2,0)),Inputs!$B$4:$B$200,$B66)/1000)</f>
        <v/>
      </c>
      <c r="AF66" s="11" t="str">
        <f>IF(SUMPRODUCT((Inputs!$B$4:$B$200=$B66)*ISNUMBER(INDEX(Inputs!$D$4:$AG$200,0,MATCH(AF$2,Inputs!$D$2:$AG$2,0))))=0,"",SUMIFS(INDEX(Inputs!$D$4:$AG$200,0,MATCH(AF$2,Inputs!$D$2:$AG$2,0)),Inputs!$B$4:$B$200,$B66)/1000)</f>
        <v/>
      </c>
      <c r="AG66" s="12" t="str">
        <f>IF(COUNT(AC66:AF66)=4,SUM(AC66:AF66),"")</f>
        <v/>
      </c>
    </row>
    <row r="67">
      <c r="B67" s="9" t="n">
        <v>59</v>
      </c>
      <c r="C67" s="10" t="inlineStr">
        <is>
          <t>Unidades em producao (l.58; media do trimestre)</t>
        </is>
      </c>
      <c r="D67" s="11">
        <f>IF(SUMPRODUCT((Inputs!$B$4:$B$200=$B67)*ISNUMBER(INDEX(Inputs!$D$4:$AG$200,0,MATCH(D$2,Inputs!$D$2:$AG$2,0))))=0,"",SUMIFS(INDEX(Inputs!$D$4:$AG$200,0,MATCH(D$2,Inputs!$D$2:$AG$2,0)),Inputs!$B$4:$B$200,$B67)/1000)</f>
        <v>11232.666666667</v>
      </c>
      <c r="E67" s="11">
        <f>IF(SUMPRODUCT((Inputs!$B$4:$B$200=$B67)*ISNUMBER(INDEX(Inputs!$D$4:$AG$200,0,MATCH(E$2,Inputs!$D$2:$AG$2,0))))=0,"",SUMIFS(INDEX(Inputs!$D$4:$AG$200,0,MATCH(E$2,Inputs!$D$2:$AG$2,0)),Inputs!$B$4:$B$200,$B67)/1000)</f>
        <v>16148</v>
      </c>
      <c r="F67" s="11">
        <f>IF(SUMPRODUCT((Inputs!$B$4:$B$200=$B67)*ISNUMBER(INDEX(Inputs!$D$4:$AG$200,0,MATCH(F$2,Inputs!$D$2:$AG$2,0))))=0,"",SUMIFS(INDEX(Inputs!$D$4:$AG$200,0,MATCH(F$2,Inputs!$D$2:$AG$2,0)),Inputs!$B$4:$B$200,$B67)/1000)</f>
        <v>19582</v>
      </c>
      <c r="G67" s="11">
        <f>IF(SUMPRODUCT((Inputs!$B$4:$B$200=$B67)*ISNUMBER(INDEX(Inputs!$D$4:$AG$200,0,MATCH(G$2,Inputs!$D$2:$AG$2,0))))=0,"",SUMIFS(INDEX(Inputs!$D$4:$AG$200,0,MATCH(G$2,Inputs!$D$2:$AG$2,0)),Inputs!$B$4:$B$200,$B67)/1000)</f>
        <v>17406</v>
      </c>
      <c r="H67" s="12">
        <f>IF(COUNT(D67:G67)=4,SUM(D67:G67),"")</f>
        <v>64368.666666667</v>
      </c>
      <c r="I67" s="11">
        <f>IF(SUMPRODUCT((Inputs!$B$4:$B$200=$B67)*ISNUMBER(INDEX(Inputs!$D$4:$AG$200,0,MATCH(I$2,Inputs!$D$2:$AG$2,0))))=0,"",SUMIFS(INDEX(Inputs!$D$4:$AG$200,0,MATCH(I$2,Inputs!$D$2:$AG$2,0)),Inputs!$B$4:$B$200,$B67)/1000)</f>
        <v>19454</v>
      </c>
      <c r="J67" s="11">
        <f>IF(SUMPRODUCT((Inputs!$B$4:$B$200=$B67)*ISNUMBER(INDEX(Inputs!$D$4:$AG$200,0,MATCH(J$2,Inputs!$D$2:$AG$2,0))))=0,"",SUMIFS(INDEX(Inputs!$D$4:$AG$200,0,MATCH(J$2,Inputs!$D$2:$AG$2,0)),Inputs!$B$4:$B$200,$B67)/1000)</f>
        <v>21069</v>
      </c>
      <c r="K67" s="11">
        <f>IF(SUMPRODUCT((Inputs!$B$4:$B$200=$B67)*ISNUMBER(INDEX(Inputs!$D$4:$AG$200,0,MATCH(K$2,Inputs!$D$2:$AG$2,0))))=0,"",SUMIFS(INDEX(Inputs!$D$4:$AG$200,0,MATCH(K$2,Inputs!$D$2:$AG$2,0)),Inputs!$B$4:$B$200,$B67)/1000)</f>
        <v>21994</v>
      </c>
      <c r="L67" s="11">
        <f>IF(SUMPRODUCT((Inputs!$B$4:$B$200=$B67)*ISNUMBER(INDEX(Inputs!$D$4:$AG$200,0,MATCH(L$2,Inputs!$D$2:$AG$2,0))))=0,"",SUMIFS(INDEX(Inputs!$D$4:$AG$200,0,MATCH(L$2,Inputs!$D$2:$AG$2,0)),Inputs!$B$4:$B$200,$B67)/1000)</f>
        <v>22946</v>
      </c>
      <c r="M67" s="12">
        <f>IF(COUNT(I67:L67)=4,SUM(I67:L67),"")</f>
        <v>85463</v>
      </c>
      <c r="N67" s="11">
        <f>IF(SUMPRODUCT((Inputs!$B$4:$B$200=$B67)*ISNUMBER(INDEX(Inputs!$D$4:$AG$200,0,MATCH(N$2,Inputs!$D$2:$AG$2,0))))=0,"",SUMIFS(INDEX(Inputs!$D$4:$AG$200,0,MATCH(N$2,Inputs!$D$2:$AG$2,0)),Inputs!$B$4:$B$200,$B67)/1000)</f>
        <v>25009</v>
      </c>
      <c r="O67" s="11">
        <f>IF(SUMPRODUCT((Inputs!$B$4:$B$200=$B67)*ISNUMBER(INDEX(Inputs!$D$4:$AG$200,0,MATCH(O$2,Inputs!$D$2:$AG$2,0))))=0,"",SUMIFS(INDEX(Inputs!$D$4:$AG$200,0,MATCH(O$2,Inputs!$D$2:$AG$2,0)),Inputs!$B$4:$B$200,$B67)/1000)</f>
        <v>25821</v>
      </c>
      <c r="P67" s="11">
        <f>IF(SUMPRODUCT((Inputs!$B$4:$B$200=$B67)*ISNUMBER(INDEX(Inputs!$D$4:$AG$200,0,MATCH(P$2,Inputs!$D$2:$AG$2,0))))=0,"",SUMIFS(INDEX(Inputs!$D$4:$AG$200,0,MATCH(P$2,Inputs!$D$2:$AG$2,0)),Inputs!$B$4:$B$200,$B67)/1000)</f>
        <v>30815</v>
      </c>
      <c r="Q67" s="11">
        <f>IF(SUMPRODUCT((Inputs!$B$4:$B$200=$B67)*ISNUMBER(INDEX(Inputs!$D$4:$AG$200,0,MATCH(Q$2,Inputs!$D$2:$AG$2,0))))=0,"",SUMIFS(INDEX(Inputs!$D$4:$AG$200,0,MATCH(Q$2,Inputs!$D$2:$AG$2,0)),Inputs!$B$4:$B$200,$B67)/1000)</f>
        <v>31082</v>
      </c>
      <c r="R67" s="12">
        <f>IF(COUNT(N67:Q67)=4,SUM(N67:Q67),"")</f>
        <v>112727</v>
      </c>
      <c r="S67" s="11">
        <f>IF(SUMPRODUCT((Inputs!$B$4:$B$200=$B67)*ISNUMBER(INDEX(Inputs!$D$4:$AG$200,0,MATCH(S$2,Inputs!$D$2:$AG$2,0))))=0,"",SUMIFS(INDEX(Inputs!$D$4:$AG$200,0,MATCH(S$2,Inputs!$D$2:$AG$2,0)),Inputs!$B$4:$B$200,$B67)/1000)</f>
        <v>33294</v>
      </c>
      <c r="T67" s="11">
        <f>IF(SUMPRODUCT((Inputs!$B$4:$B$200=$B67)*ISNUMBER(INDEX(Inputs!$D$4:$AG$200,0,MATCH(T$2,Inputs!$D$2:$AG$2,0))))=0,"",SUMIFS(INDEX(Inputs!$D$4:$AG$200,0,MATCH(T$2,Inputs!$D$2:$AG$2,0)),Inputs!$B$4:$B$200,$B67)/1000)</f>
        <v>35713</v>
      </c>
      <c r="U67" s="11">
        <f>IF(SUMPRODUCT((Inputs!$B$4:$B$200=$B67)*ISNUMBER(INDEX(Inputs!$D$4:$AG$200,0,MATCH(U$2,Inputs!$D$2:$AG$2,0))))=0,"",SUMIFS(INDEX(Inputs!$D$4:$AG$200,0,MATCH(U$2,Inputs!$D$2:$AG$2,0)),Inputs!$B$4:$B$200,$B67)/1000)</f>
        <v>39398</v>
      </c>
      <c r="V67" s="11">
        <f>IF(SUMPRODUCT((Inputs!$B$4:$B$200=$B67)*ISNUMBER(INDEX(Inputs!$D$4:$AG$200,0,MATCH(V$2,Inputs!$D$2:$AG$2,0))))=0,"",SUMIFS(INDEX(Inputs!$D$4:$AG$200,0,MATCH(V$2,Inputs!$D$2:$AG$2,0)),Inputs!$B$4:$B$200,$B67)/1000)</f>
        <v>40531</v>
      </c>
      <c r="W67" s="12">
        <f>IF(COUNT(S67:V67)=4,SUM(S67:V67),"")</f>
        <v>148936</v>
      </c>
      <c r="X67" s="11">
        <f>IF(SUMPRODUCT((Inputs!$B$4:$B$200=$B67)*ISNUMBER(INDEX(Inputs!$D$4:$AG$200,0,MATCH(X$2,Inputs!$D$2:$AG$2,0))))=0,"",SUMIFS(INDEX(Inputs!$D$4:$AG$200,0,MATCH(X$2,Inputs!$D$2:$AG$2,0)),Inputs!$B$4:$B$200,$B67)/1000)</f>
        <v>46054</v>
      </c>
      <c r="Y67" s="11">
        <f>IF(SUMPRODUCT((Inputs!$B$4:$B$200=$B67)*ISNUMBER(INDEX(Inputs!$D$4:$AG$200,0,MATCH(Y$2,Inputs!$D$2:$AG$2,0))))=0,"",SUMIFS(INDEX(Inputs!$D$4:$AG$200,0,MATCH(Y$2,Inputs!$D$2:$AG$2,0)),Inputs!$B$4:$B$200,$B67)/1000)</f>
        <v>51374</v>
      </c>
      <c r="Z67" s="11">
        <f>IF(SUMPRODUCT((Inputs!$B$4:$B$200=$B67)*ISNUMBER(INDEX(Inputs!$D$4:$AG$200,0,MATCH(Z$2,Inputs!$D$2:$AG$2,0))))=0,"",SUMIFS(INDEX(Inputs!$D$4:$AG$200,0,MATCH(Z$2,Inputs!$D$2:$AG$2,0)),Inputs!$B$4:$B$200,$B67)/1000)</f>
        <v>53066</v>
      </c>
      <c r="AA67" s="11">
        <f>IF(SUMPRODUCT((Inputs!$B$4:$B$200=$B67)*ISNUMBER(INDEX(Inputs!$D$4:$AG$200,0,MATCH(AA$2,Inputs!$D$2:$AG$2,0))))=0,"",SUMIFS(INDEX(Inputs!$D$4:$AG$200,0,MATCH(AA$2,Inputs!$D$2:$AG$2,0)),Inputs!$B$4:$B$200,$B67)/1000)</f>
        <v>57163</v>
      </c>
      <c r="AB67" s="12">
        <f>IF(COUNT(X67:AA67)=4,SUM(X67:AA67),"")</f>
        <v>207657</v>
      </c>
      <c r="AC67" s="11">
        <f>IF(SUMPRODUCT((Inputs!$B$4:$B$200=$B67)*ISNUMBER(INDEX(Inputs!$D$4:$AG$200,0,MATCH(AC$2,Inputs!$D$2:$AG$2,0))))=0,"",SUMIFS(INDEX(Inputs!$D$4:$AG$200,0,MATCH(AC$2,Inputs!$D$2:$AG$2,0)),Inputs!$B$4:$B$200,$B67)/1000)</f>
        <v>62777</v>
      </c>
      <c r="AD67" s="11">
        <f>IF(SUMPRODUCT((Inputs!$B$4:$B$200=$B67)*ISNUMBER(INDEX(Inputs!$D$4:$AG$200,0,MATCH(AD$2,Inputs!$D$2:$AG$2,0))))=0,"",SUMIFS(INDEX(Inputs!$D$4:$AG$200,0,MATCH(AD$2,Inputs!$D$2:$AG$2,0)),Inputs!$B$4:$B$200,$B67)/1000)</f>
        <v>66265</v>
      </c>
      <c r="AE67" s="11" t="str">
        <f>IF(SUMPRODUCT((Inputs!$B$4:$B$200=$B67)*ISNUMBER(INDEX(Inputs!$D$4:$AG$200,0,MATCH(AE$2,Inputs!$D$2:$AG$2,0))))=0,"",SUMIFS(INDEX(Inputs!$D$4:$AG$200,0,MATCH(AE$2,Inputs!$D$2:$AG$2,0)),Inputs!$B$4:$B$200,$B67)/1000)</f>
        <v/>
      </c>
      <c r="AF67" s="11" t="str">
        <f>IF(SUMPRODUCT((Inputs!$B$4:$B$200=$B67)*ISNUMBER(INDEX(Inputs!$D$4:$AG$200,0,MATCH(AF$2,Inputs!$D$2:$AG$2,0))))=0,"",SUMIFS(INDEX(Inputs!$D$4:$AG$200,0,MATCH(AF$2,Inputs!$D$2:$AG$2,0)),Inputs!$B$4:$B$200,$B67)/1000)</f>
        <v/>
      </c>
      <c r="AG67" s="12" t="str">
        <f>IF(COUNT(AC67:AF67)=4,SUM(AC67:AF67),"")</f>
        <v/>
      </c>
    </row>
    <row r="68">
      <c r="B68" s="9" t="n">
        <v>60</v>
      </c>
      <c r="C68" s="10" t="inlineStr">
        <is>
          <t>Unidades produzidas no trimestre (l.60)</t>
        </is>
      </c>
      <c r="D68" s="11">
        <f>IF(SUMPRODUCT((Inputs!$B$4:$B$200=$B68)*ISNUMBER(INDEX(Inputs!$D$4:$AG$200,0,MATCH(D$2,Inputs!$D$2:$AG$2,0))))=0,"",SUMIFS(INDEX(Inputs!$D$4:$AG$200,0,MATCH(D$2,Inputs!$D$2:$AG$2,0)),Inputs!$B$4:$B$200,$B68)/1000)</f>
        <v>1365</v>
      </c>
      <c r="E68" s="11">
        <f>IF(SUMPRODUCT((Inputs!$B$4:$B$200=$B68)*ISNUMBER(INDEX(Inputs!$D$4:$AG$200,0,MATCH(E$2,Inputs!$D$2:$AG$2,0))))=0,"",SUMIFS(INDEX(Inputs!$D$4:$AG$200,0,MATCH(E$2,Inputs!$D$2:$AG$2,0)),Inputs!$B$4:$B$200,$B68)/1000)</f>
        <v>1832</v>
      </c>
      <c r="F68" s="11">
        <f>IF(SUMPRODUCT((Inputs!$B$4:$B$200=$B68)*ISNUMBER(INDEX(Inputs!$D$4:$AG$200,0,MATCH(F$2,Inputs!$D$2:$AG$2,0))))=0,"",SUMIFS(INDEX(Inputs!$D$4:$AG$200,0,MATCH(F$2,Inputs!$D$2:$AG$2,0)),Inputs!$B$4:$B$200,$B68)/1000)</f>
        <v>2182.465159663</v>
      </c>
      <c r="G68" s="11">
        <f>IF(SUMPRODUCT((Inputs!$B$4:$B$200=$B68)*ISNUMBER(INDEX(Inputs!$D$4:$AG$200,0,MATCH(G$2,Inputs!$D$2:$AG$2,0))))=0,"",SUMIFS(INDEX(Inputs!$D$4:$AG$200,0,MATCH(G$2,Inputs!$D$2:$AG$2,0)),Inputs!$B$4:$B$200,$B68)/1000)</f>
        <v>2048.959538425</v>
      </c>
      <c r="H68" s="12">
        <f>IF(COUNT(D68:G68)=4,SUM(D68:G68),"")</f>
        <v>7428.424698088</v>
      </c>
      <c r="I68" s="11">
        <f>IF(SUMPRODUCT((Inputs!$B$4:$B$200=$B68)*ISNUMBER(INDEX(Inputs!$D$4:$AG$200,0,MATCH(I$2,Inputs!$D$2:$AG$2,0))))=0,"",SUMIFS(INDEX(Inputs!$D$4:$AG$200,0,MATCH(I$2,Inputs!$D$2:$AG$2,0)),Inputs!$B$4:$B$200,$B68)/1000)</f>
        <v>1913.561224071</v>
      </c>
      <c r="J68" s="11">
        <f>IF(SUMPRODUCT((Inputs!$B$4:$B$200=$B68)*ISNUMBER(INDEX(Inputs!$D$4:$AG$200,0,MATCH(J$2,Inputs!$D$2:$AG$2,0))))=0,"",SUMIFS(INDEX(Inputs!$D$4:$AG$200,0,MATCH(J$2,Inputs!$D$2:$AG$2,0)),Inputs!$B$4:$B$200,$B68)/1000)</f>
        <v>2613.42580917</v>
      </c>
      <c r="K68" s="11">
        <f>IF(SUMPRODUCT((Inputs!$B$4:$B$200=$B68)*ISNUMBER(INDEX(Inputs!$D$4:$AG$200,0,MATCH(K$2,Inputs!$D$2:$AG$2,0))))=0,"",SUMIFS(INDEX(Inputs!$D$4:$AG$200,0,MATCH(K$2,Inputs!$D$2:$AG$2,0)),Inputs!$B$4:$B$200,$B68)/1000)</f>
        <v>2747.701697656</v>
      </c>
      <c r="L68" s="11">
        <f>IF(SUMPRODUCT((Inputs!$B$4:$B$200=$B68)*ISNUMBER(INDEX(Inputs!$D$4:$AG$200,0,MATCH(L$2,Inputs!$D$2:$AG$2,0))))=0,"",SUMIFS(INDEX(Inputs!$D$4:$AG$200,0,MATCH(L$2,Inputs!$D$2:$AG$2,0)),Inputs!$B$4:$B$200,$B68)/1000)</f>
        <v>2520</v>
      </c>
      <c r="M68" s="12">
        <f>IF(COUNT(I68:L68)=4,SUM(I68:L68),"")</f>
        <v>9794.688730897</v>
      </c>
      <c r="N68" s="11">
        <f>IF(SUMPRODUCT((Inputs!$B$4:$B$200=$B68)*ISNUMBER(INDEX(Inputs!$D$4:$AG$200,0,MATCH(N$2,Inputs!$D$2:$AG$2,0))))=0,"",SUMIFS(INDEX(Inputs!$D$4:$AG$200,0,MATCH(N$2,Inputs!$D$2:$AG$2,0)),Inputs!$B$4:$B$200,$B68)/1000)</f>
        <v>2458</v>
      </c>
      <c r="O68" s="11">
        <f>IF(SUMPRODUCT((Inputs!$B$4:$B$200=$B68)*ISNUMBER(INDEX(Inputs!$D$4:$AG$200,0,MATCH(O$2,Inputs!$D$2:$AG$2,0))))=0,"",SUMIFS(INDEX(Inputs!$D$4:$AG$200,0,MATCH(O$2,Inputs!$D$2:$AG$2,0)),Inputs!$B$4:$B$200,$B68)/1000)</f>
        <v>3090</v>
      </c>
      <c r="P68" s="11">
        <f>IF(SUMPRODUCT((Inputs!$B$4:$B$200=$B68)*ISNUMBER(INDEX(Inputs!$D$4:$AG$200,0,MATCH(P$2,Inputs!$D$2:$AG$2,0))))=0,"",SUMIFS(INDEX(Inputs!$D$4:$AG$200,0,MATCH(P$2,Inputs!$D$2:$AG$2,0)),Inputs!$B$4:$B$200,$B68)/1000)</f>
        <v>3473</v>
      </c>
      <c r="Q68" s="11">
        <f>IF(SUMPRODUCT((Inputs!$B$4:$B$200=$B68)*ISNUMBER(INDEX(Inputs!$D$4:$AG$200,0,MATCH(Q$2,Inputs!$D$2:$AG$2,0))))=0,"",SUMIFS(INDEX(Inputs!$D$4:$AG$200,0,MATCH(Q$2,Inputs!$D$2:$AG$2,0)),Inputs!$B$4:$B$200,$B68)/1000)</f>
        <v>2817</v>
      </c>
      <c r="R68" s="12">
        <f>IF(COUNT(N68:Q68)=4,SUM(N68:Q68),"")</f>
        <v>11838</v>
      </c>
      <c r="S68" s="11">
        <f>IF(SUMPRODUCT((Inputs!$B$4:$B$200=$B68)*ISNUMBER(INDEX(Inputs!$D$4:$AG$200,0,MATCH(S$2,Inputs!$D$2:$AG$2,0))))=0,"",SUMIFS(INDEX(Inputs!$D$4:$AG$200,0,MATCH(S$2,Inputs!$D$2:$AG$2,0)),Inputs!$B$4:$B$200,$B68)/1000)</f>
        <v>2932</v>
      </c>
      <c r="T68" s="11">
        <f>IF(SUMPRODUCT((Inputs!$B$4:$B$200=$B68)*ISNUMBER(INDEX(Inputs!$D$4:$AG$200,0,MATCH(T$2,Inputs!$D$2:$AG$2,0))))=0,"",SUMIFS(INDEX(Inputs!$D$4:$AG$200,0,MATCH(T$2,Inputs!$D$2:$AG$2,0)),Inputs!$B$4:$B$200,$B68)/1000)</f>
        <v>3694</v>
      </c>
      <c r="U68" s="11">
        <f>IF(SUMPRODUCT((Inputs!$B$4:$B$200=$B68)*ISNUMBER(INDEX(Inputs!$D$4:$AG$200,0,MATCH(U$2,Inputs!$D$2:$AG$2,0))))=0,"",SUMIFS(INDEX(Inputs!$D$4:$AG$200,0,MATCH(U$2,Inputs!$D$2:$AG$2,0)),Inputs!$B$4:$B$200,$B68)/1000)</f>
        <v>4168</v>
      </c>
      <c r="V68" s="11">
        <f>IF(SUMPRODUCT((Inputs!$B$4:$B$200=$B68)*ISNUMBER(INDEX(Inputs!$D$4:$AG$200,0,MATCH(V$2,Inputs!$D$2:$AG$2,0))))=0,"",SUMIFS(INDEX(Inputs!$D$4:$AG$200,0,MATCH(V$2,Inputs!$D$2:$AG$2,0)),Inputs!$B$4:$B$200,$B68)/1000)</f>
        <v>3225</v>
      </c>
      <c r="W68" s="12">
        <f>IF(COUNT(S68:V68)=4,SUM(S68:V68),"")</f>
        <v>14019</v>
      </c>
      <c r="X68" s="11">
        <f>IF(SUMPRODUCT((Inputs!$B$4:$B$200=$B68)*ISNUMBER(INDEX(Inputs!$D$4:$AG$200,0,MATCH(X$2,Inputs!$D$2:$AG$2,0))))=0,"",SUMIFS(INDEX(Inputs!$D$4:$AG$200,0,MATCH(X$2,Inputs!$D$2:$AG$2,0)),Inputs!$B$4:$B$200,$B68)/1000)</f>
        <v>3363</v>
      </c>
      <c r="Y68" s="11">
        <f>IF(SUMPRODUCT((Inputs!$B$4:$B$200=$B68)*ISNUMBER(INDEX(Inputs!$D$4:$AG$200,0,MATCH(Y$2,Inputs!$D$2:$AG$2,0))))=0,"",SUMIFS(INDEX(Inputs!$D$4:$AG$200,0,MATCH(Y$2,Inputs!$D$2:$AG$2,0)),Inputs!$B$4:$B$200,$B68)/1000)</f>
        <v>4046</v>
      </c>
      <c r="Z68" s="11">
        <f>IF(SUMPRODUCT((Inputs!$B$4:$B$200=$B68)*ISNUMBER(INDEX(Inputs!$D$4:$AG$200,0,MATCH(Z$2,Inputs!$D$2:$AG$2,0))))=0,"",SUMIFS(INDEX(Inputs!$D$4:$AG$200,0,MATCH(Z$2,Inputs!$D$2:$AG$2,0)),Inputs!$B$4:$B$200,$B68)/1000)</f>
        <v>4908</v>
      </c>
      <c r="AA68" s="11">
        <f>IF(SUMPRODUCT((Inputs!$B$4:$B$200=$B68)*ISNUMBER(INDEX(Inputs!$D$4:$AG$200,0,MATCH(AA$2,Inputs!$D$2:$AG$2,0))))=0,"",SUMIFS(INDEX(Inputs!$D$4:$AG$200,0,MATCH(AA$2,Inputs!$D$2:$AG$2,0)),Inputs!$B$4:$B$200,$B68)/1000)</f>
        <v>4472</v>
      </c>
      <c r="AB68" s="12">
        <f>IF(COUNT(X68:AA68)=4,SUM(X68:AA68),"")</f>
        <v>16789</v>
      </c>
      <c r="AC68" s="11">
        <f>IF(SUMPRODUCT((Inputs!$B$4:$B$200=$B68)*ISNUMBER(INDEX(Inputs!$D$4:$AG$200,0,MATCH(AC$2,Inputs!$D$2:$AG$2,0))))=0,"",SUMIFS(INDEX(Inputs!$D$4:$AG$200,0,MATCH(AC$2,Inputs!$D$2:$AG$2,0)),Inputs!$B$4:$B$200,$B68)/1000)</f>
        <v>4634</v>
      </c>
      <c r="AD68" s="11">
        <f>IF(SUMPRODUCT((Inputs!$B$4:$B$200=$B68)*ISNUMBER(INDEX(Inputs!$D$4:$AG$200,0,MATCH(AD$2,Inputs!$D$2:$AG$2,0))))=0,"",SUMIFS(INDEX(Inputs!$D$4:$AG$200,0,MATCH(AD$2,Inputs!$D$2:$AG$2,0)),Inputs!$B$4:$B$200,$B68)/1000)</f>
        <v>5737.13</v>
      </c>
      <c r="AE68" s="11" t="str">
        <f>IF(SUMPRODUCT((Inputs!$B$4:$B$200=$B68)*ISNUMBER(INDEX(Inputs!$D$4:$AG$200,0,MATCH(AE$2,Inputs!$D$2:$AG$2,0))))=0,"",SUMIFS(INDEX(Inputs!$D$4:$AG$200,0,MATCH(AE$2,Inputs!$D$2:$AG$2,0)),Inputs!$B$4:$B$200,$B68)/1000)</f>
        <v/>
      </c>
      <c r="AF68" s="11" t="str">
        <f>IF(SUMPRODUCT((Inputs!$B$4:$B$200=$B68)*ISNUMBER(INDEX(Inputs!$D$4:$AG$200,0,MATCH(AF$2,Inputs!$D$2:$AG$2,0))))=0,"",SUMIFS(INDEX(Inputs!$D$4:$AG$200,0,MATCH(AF$2,Inputs!$D$2:$AG$2,0)),Inputs!$B$4:$B$200,$B68)/1000)</f>
        <v/>
      </c>
      <c r="AG68" s="12" t="str">
        <f>IF(COUNT(AC68:AF68)=4,SUM(AC68:AF68),"")</f>
        <v/>
      </c>
    </row>
    <row r="69">
      <c r="B69" s="9" t="n">
        <v>61</v>
      </c>
      <c r="C69" s="10" t="inlineStr">
        <is>
          <t>Estoque a valor de mercado - VGV (R$ mil; l.45; fim do periodo)</t>
        </is>
      </c>
      <c r="D69" s="11">
        <f>IF(SUMPRODUCT((Inputs!$B$4:$B$200=$B69)*ISNUMBER(INDEX(Inputs!$D$4:$AG$200,0,MATCH(D$2,Inputs!$D$2:$AG$2,0))))=0,"",SUMIFS(INDEX(Inputs!$D$4:$AG$200,0,MATCH(D$2,Inputs!$D$2:$AG$2,0)),Inputs!$B$4:$B$200,$B69)/1000)</f>
        <v>765.721078097</v>
      </c>
      <c r="E69" s="11">
        <f>IF(SUMPRODUCT((Inputs!$B$4:$B$200=$B69)*ISNUMBER(INDEX(Inputs!$D$4:$AG$200,0,MATCH(E$2,Inputs!$D$2:$AG$2,0))))=0,"",SUMIFS(INDEX(Inputs!$D$4:$AG$200,0,MATCH(E$2,Inputs!$D$2:$AG$2,0)),Inputs!$B$4:$B$200,$B69)/1000)</f>
        <v>777.43</v>
      </c>
      <c r="F69" s="11">
        <f>IF(SUMPRODUCT((Inputs!$B$4:$B$200=$B69)*ISNUMBER(INDEX(Inputs!$D$4:$AG$200,0,MATCH(F$2,Inputs!$D$2:$AG$2,0))))=0,"",SUMIFS(INDEX(Inputs!$D$4:$AG$200,0,MATCH(F$2,Inputs!$D$2:$AG$2,0)),Inputs!$B$4:$B$200,$B69)/1000)</f>
        <v>827.130059496</v>
      </c>
      <c r="G69" s="11">
        <f>IF(SUMPRODUCT((Inputs!$B$4:$B$200=$B69)*ISNUMBER(INDEX(Inputs!$D$4:$AG$200,0,MATCH(G$2,Inputs!$D$2:$AG$2,0))))=0,"",SUMIFS(INDEX(Inputs!$D$4:$AG$200,0,MATCH(G$2,Inputs!$D$2:$AG$2,0)),Inputs!$B$4:$B$200,$B69)/1000)</f>
        <v>999.540185305</v>
      </c>
      <c r="H69" s="12">
        <f>IF(COUNT(D69:G69)=4,SUM(D69:G69),"")</f>
        <v>3369.821322898</v>
      </c>
      <c r="I69" s="11">
        <f>IF(SUMPRODUCT((Inputs!$B$4:$B$200=$B69)*ISNUMBER(INDEX(Inputs!$D$4:$AG$200,0,MATCH(I$2,Inputs!$D$2:$AG$2,0))))=0,"",SUMIFS(INDEX(Inputs!$D$4:$AG$200,0,MATCH(I$2,Inputs!$D$2:$AG$2,0)),Inputs!$B$4:$B$200,$B69)/1000)</f>
        <v>1067.451070858</v>
      </c>
      <c r="J69" s="11">
        <f>IF(SUMPRODUCT((Inputs!$B$4:$B$200=$B69)*ISNUMBER(INDEX(Inputs!$D$4:$AG$200,0,MATCH(J$2,Inputs!$D$2:$AG$2,0))))=0,"",SUMIFS(INDEX(Inputs!$D$4:$AG$200,0,MATCH(J$2,Inputs!$D$2:$AG$2,0)),Inputs!$B$4:$B$200,$B69)/1000)</f>
        <v>1258.406122029</v>
      </c>
      <c r="K69" s="11">
        <f>IF(SUMPRODUCT((Inputs!$B$4:$B$200=$B69)*ISNUMBER(INDEX(Inputs!$D$4:$AG$200,0,MATCH(K$2,Inputs!$D$2:$AG$2,0))))=0,"",SUMIFS(INDEX(Inputs!$D$4:$AG$200,0,MATCH(K$2,Inputs!$D$2:$AG$2,0)),Inputs!$B$4:$B$200,$B69)/1000)</f>
        <v>1311.549805731</v>
      </c>
      <c r="L69" s="11">
        <f>IF(SUMPRODUCT((Inputs!$B$4:$B$200=$B69)*ISNUMBER(INDEX(Inputs!$D$4:$AG$200,0,MATCH(L$2,Inputs!$D$2:$AG$2,0))))=0,"",SUMIFS(INDEX(Inputs!$D$4:$AG$200,0,MATCH(L$2,Inputs!$D$2:$AG$2,0)),Inputs!$B$4:$B$200,$B69)/1000)</f>
        <v>1081.773871763</v>
      </c>
      <c r="M69" s="12">
        <f>IF(COUNT(I69:L69)=4,SUM(I69:L69),"")</f>
        <v>4719.180870381</v>
      </c>
      <c r="N69" s="11">
        <f>IF(SUMPRODUCT((Inputs!$B$4:$B$200=$B69)*ISNUMBER(INDEX(Inputs!$D$4:$AG$200,0,MATCH(N$2,Inputs!$D$2:$AG$2,0))))=0,"",SUMIFS(INDEX(Inputs!$D$4:$AG$200,0,MATCH(N$2,Inputs!$D$2:$AG$2,0)),Inputs!$B$4:$B$200,$B69)/1000)</f>
        <v>1406.899164821</v>
      </c>
      <c r="O69" s="11">
        <f>IF(SUMPRODUCT((Inputs!$B$4:$B$200=$B69)*ISNUMBER(INDEX(Inputs!$D$4:$AG$200,0,MATCH(O$2,Inputs!$D$2:$AG$2,0))))=0,"",SUMIFS(INDEX(Inputs!$D$4:$AG$200,0,MATCH(O$2,Inputs!$D$2:$AG$2,0)),Inputs!$B$4:$B$200,$B69)/1000)</f>
        <v>1436.257702</v>
      </c>
      <c r="P69" s="11">
        <f>IF(SUMPRODUCT((Inputs!$B$4:$B$200=$B69)*ISNUMBER(INDEX(Inputs!$D$4:$AG$200,0,MATCH(P$2,Inputs!$D$2:$AG$2,0))))=0,"",SUMIFS(INDEX(Inputs!$D$4:$AG$200,0,MATCH(P$2,Inputs!$D$2:$AG$2,0)),Inputs!$B$4:$B$200,$B69)/1000)</f>
        <v>1436.445014998</v>
      </c>
      <c r="Q69" s="11">
        <f>IF(SUMPRODUCT((Inputs!$B$4:$B$200=$B69)*ISNUMBER(INDEX(Inputs!$D$4:$AG$200,0,MATCH(Q$2,Inputs!$D$2:$AG$2,0))))=0,"",SUMIFS(INDEX(Inputs!$D$4:$AG$200,0,MATCH(Q$2,Inputs!$D$2:$AG$2,0)),Inputs!$B$4:$B$200,$B69)/1000)</f>
        <v>1423.778657494</v>
      </c>
      <c r="R69" s="12">
        <f>IF(COUNT(N69:Q69)=4,SUM(N69:Q69),"")</f>
        <v>5703.380539313</v>
      </c>
      <c r="S69" s="11">
        <f>IF(SUMPRODUCT((Inputs!$B$4:$B$200=$B69)*ISNUMBER(INDEX(Inputs!$D$4:$AG$200,0,MATCH(S$2,Inputs!$D$2:$AG$2,0))))=0,"",SUMIFS(INDEX(Inputs!$D$4:$AG$200,0,MATCH(S$2,Inputs!$D$2:$AG$2,0)),Inputs!$B$4:$B$200,$B69)/1000)</f>
        <v>1689.696897074</v>
      </c>
      <c r="T69" s="11">
        <f>IF(SUMPRODUCT((Inputs!$B$4:$B$200=$B69)*ISNUMBER(INDEX(Inputs!$D$4:$AG$200,0,MATCH(T$2,Inputs!$D$2:$AG$2,0))))=0,"",SUMIFS(INDEX(Inputs!$D$4:$AG$200,0,MATCH(T$2,Inputs!$D$2:$AG$2,0)),Inputs!$B$4:$B$200,$B69)/1000)</f>
        <v>1712.813417605</v>
      </c>
      <c r="U69" s="11">
        <f>IF(SUMPRODUCT((Inputs!$B$4:$B$200=$B69)*ISNUMBER(INDEX(Inputs!$D$4:$AG$200,0,MATCH(U$2,Inputs!$D$2:$AG$2,0))))=0,"",SUMIFS(INDEX(Inputs!$D$4:$AG$200,0,MATCH(U$2,Inputs!$D$2:$AG$2,0)),Inputs!$B$4:$B$200,$B69)/1000)</f>
        <v>1840.17733444</v>
      </c>
      <c r="V69" s="11">
        <f>IF(SUMPRODUCT((Inputs!$B$4:$B$200=$B69)*ISNUMBER(INDEX(Inputs!$D$4:$AG$200,0,MATCH(V$2,Inputs!$D$2:$AG$2,0))))=0,"",SUMIFS(INDEX(Inputs!$D$4:$AG$200,0,MATCH(V$2,Inputs!$D$2:$AG$2,0)),Inputs!$B$4:$B$200,$B69)/1000)</f>
        <v>1833.295</v>
      </c>
      <c r="W69" s="12">
        <f>IF(COUNT(S69:V69)=4,SUM(S69:V69),"")</f>
        <v>7075.982649119</v>
      </c>
      <c r="X69" s="11">
        <f>IF(SUMPRODUCT((Inputs!$B$4:$B$200=$B69)*ISNUMBER(INDEX(Inputs!$D$4:$AG$200,0,MATCH(X$2,Inputs!$D$2:$AG$2,0))))=0,"",SUMIFS(INDEX(Inputs!$D$4:$AG$200,0,MATCH(X$2,Inputs!$D$2:$AG$2,0)),Inputs!$B$4:$B$200,$B69)/1000)</f>
        <v>2531.04706535</v>
      </c>
      <c r="Y69" s="11">
        <f>IF(SUMPRODUCT((Inputs!$B$4:$B$200=$B69)*ISNUMBER(INDEX(Inputs!$D$4:$AG$200,0,MATCH(Y$2,Inputs!$D$2:$AG$2,0))))=0,"",SUMIFS(INDEX(Inputs!$D$4:$AG$200,0,MATCH(Y$2,Inputs!$D$2:$AG$2,0)),Inputs!$B$4:$B$200,$B69)/1000)</f>
        <v>2497.7231315</v>
      </c>
      <c r="Z69" s="11">
        <f>IF(SUMPRODUCT((Inputs!$B$4:$B$200=$B69)*ISNUMBER(INDEX(Inputs!$D$4:$AG$200,0,MATCH(Z$2,Inputs!$D$2:$AG$2,0))))=0,"",SUMIFS(INDEX(Inputs!$D$4:$AG$200,0,MATCH(Z$2,Inputs!$D$2:$AG$2,0)),Inputs!$B$4:$B$200,$B69)/1000)</f>
        <v>2678.204883203</v>
      </c>
      <c r="AA69" s="11">
        <f>IF(SUMPRODUCT((Inputs!$B$4:$B$200=$B69)*ISNUMBER(INDEX(Inputs!$D$4:$AG$200,0,MATCH(AA$2,Inputs!$D$2:$AG$2,0))))=0,"",SUMIFS(INDEX(Inputs!$D$4:$AG$200,0,MATCH(AA$2,Inputs!$D$2:$AG$2,0)),Inputs!$B$4:$B$200,$B69)/1000)</f>
        <v>2406.320781567</v>
      </c>
      <c r="AB69" s="12">
        <f>IF(COUNT(X69:AA69)=4,SUM(X69:AA69),"")</f>
        <v>10113.29586162</v>
      </c>
      <c r="AC69" s="11">
        <f>IF(SUMPRODUCT((Inputs!$B$4:$B$200=$B69)*ISNUMBER(INDEX(Inputs!$D$4:$AG$200,0,MATCH(AC$2,Inputs!$D$2:$AG$2,0))))=0,"",SUMIFS(INDEX(Inputs!$D$4:$AG$200,0,MATCH(AC$2,Inputs!$D$2:$AG$2,0)),Inputs!$B$4:$B$200,$B69)/1000)</f>
        <v>2805.177501499</v>
      </c>
      <c r="AD69" s="11">
        <f>IF(SUMPRODUCT((Inputs!$B$4:$B$200=$B69)*ISNUMBER(INDEX(Inputs!$D$4:$AG$200,0,MATCH(AD$2,Inputs!$D$2:$AG$2,0))))=0,"",SUMIFS(INDEX(Inputs!$D$4:$AG$200,0,MATCH(AD$2,Inputs!$D$2:$AG$2,0)),Inputs!$B$4:$B$200,$B69)/1000)</f>
        <v>3008.261047057</v>
      </c>
      <c r="AE69" s="11" t="str">
        <f>IF(SUMPRODUCT((Inputs!$B$4:$B$200=$B69)*ISNUMBER(INDEX(Inputs!$D$4:$AG$200,0,MATCH(AE$2,Inputs!$D$2:$AG$2,0))))=0,"",SUMIFS(INDEX(Inputs!$D$4:$AG$200,0,MATCH(AE$2,Inputs!$D$2:$AG$2,0)),Inputs!$B$4:$B$200,$B69)/1000)</f>
        <v/>
      </c>
      <c r="AF69" s="11" t="str">
        <f>IF(SUMPRODUCT((Inputs!$B$4:$B$200=$B69)*ISNUMBER(INDEX(Inputs!$D$4:$AG$200,0,MATCH(AF$2,Inputs!$D$2:$AG$2,0))))=0,"",SUMIFS(INDEX(Inputs!$D$4:$AG$200,0,MATCH(AF$2,Inputs!$D$2:$AG$2,0)),Inputs!$B$4:$B$200,$B69)/1000)</f>
        <v/>
      </c>
      <c r="AG69" s="12" t="str">
        <f>IF(COUNT(AC69:AF69)=4,SUM(AC69:AF69),"")</f>
        <v/>
      </c>
    </row>
    <row r="70">
      <c r="B70" s="9" t="n">
        <v>62</v>
      </c>
      <c r="C70" s="10" t="inlineStr">
        <is>
          <t>Estoque - unidades (l.50; fim do periodo)</t>
        </is>
      </c>
      <c r="D70" s="11">
        <f>IF(SUMPRODUCT((Inputs!$B$4:$B$200=$B70)*ISNUMBER(INDEX(Inputs!$D$4:$AG$200,0,MATCH(D$2,Inputs!$D$2:$AG$2,0))))=0,"",SUMIFS(INDEX(Inputs!$D$4:$AG$200,0,MATCH(D$2,Inputs!$D$2:$AG$2,0)),Inputs!$B$4:$B$200,$B70)/1000)</f>
        <v>3934</v>
      </c>
      <c r="E70" s="11">
        <f>IF(SUMPRODUCT((Inputs!$B$4:$B$200=$B70)*ISNUMBER(INDEX(Inputs!$D$4:$AG$200,0,MATCH(E$2,Inputs!$D$2:$AG$2,0))))=0,"",SUMIFS(INDEX(Inputs!$D$4:$AG$200,0,MATCH(E$2,Inputs!$D$2:$AG$2,0)),Inputs!$B$4:$B$200,$B70)/1000)</f>
        <v>3904</v>
      </c>
      <c r="F70" s="11">
        <f>IF(SUMPRODUCT((Inputs!$B$4:$B$200=$B70)*ISNUMBER(INDEX(Inputs!$D$4:$AG$200,0,MATCH(F$2,Inputs!$D$2:$AG$2,0))))=0,"",SUMIFS(INDEX(Inputs!$D$4:$AG$200,0,MATCH(F$2,Inputs!$D$2:$AG$2,0)),Inputs!$B$4:$B$200,$B70)/1000)</f>
        <v>3989</v>
      </c>
      <c r="G70" s="11">
        <f>IF(SUMPRODUCT((Inputs!$B$4:$B$200=$B70)*ISNUMBER(INDEX(Inputs!$D$4:$AG$200,0,MATCH(G$2,Inputs!$D$2:$AG$2,0))))=0,"",SUMIFS(INDEX(Inputs!$D$4:$AG$200,0,MATCH(G$2,Inputs!$D$2:$AG$2,0)),Inputs!$B$4:$B$200,$B70)/1000)</f>
        <v>4600</v>
      </c>
      <c r="H70" s="12">
        <f>IF(COUNT(D70:G70)=4,SUM(D70:G70),"")</f>
        <v>16427</v>
      </c>
      <c r="I70" s="11">
        <f>IF(SUMPRODUCT((Inputs!$B$4:$B$200=$B70)*ISNUMBER(INDEX(Inputs!$D$4:$AG$200,0,MATCH(I$2,Inputs!$D$2:$AG$2,0))))=0,"",SUMIFS(INDEX(Inputs!$D$4:$AG$200,0,MATCH(I$2,Inputs!$D$2:$AG$2,0)),Inputs!$B$4:$B$200,$B70)/1000)</f>
        <v>4579</v>
      </c>
      <c r="J70" s="11">
        <f>IF(SUMPRODUCT((Inputs!$B$4:$B$200=$B70)*ISNUMBER(INDEX(Inputs!$D$4:$AG$200,0,MATCH(J$2,Inputs!$D$2:$AG$2,0))))=0,"",SUMIFS(INDEX(Inputs!$D$4:$AG$200,0,MATCH(J$2,Inputs!$D$2:$AG$2,0)),Inputs!$B$4:$B$200,$B70)/1000)</f>
        <v>4393</v>
      </c>
      <c r="K70" s="11">
        <f>IF(SUMPRODUCT((Inputs!$B$4:$B$200=$B70)*ISNUMBER(INDEX(Inputs!$D$4:$AG$200,0,MATCH(K$2,Inputs!$D$2:$AG$2,0))))=0,"",SUMIFS(INDEX(Inputs!$D$4:$AG$200,0,MATCH(K$2,Inputs!$D$2:$AG$2,0)),Inputs!$B$4:$B$200,$B70)/1000)</f>
        <v>4575</v>
      </c>
      <c r="L70" s="11">
        <f>IF(SUMPRODUCT((Inputs!$B$4:$B$200=$B70)*ISNUMBER(INDEX(Inputs!$D$4:$AG$200,0,MATCH(L$2,Inputs!$D$2:$AG$2,0))))=0,"",SUMIFS(INDEX(Inputs!$D$4:$AG$200,0,MATCH(L$2,Inputs!$D$2:$AG$2,0)),Inputs!$B$4:$B$200,$B70)/1000)</f>
        <v>3781</v>
      </c>
      <c r="M70" s="12">
        <f>IF(COUNT(I70:L70)=4,SUM(I70:L70),"")</f>
        <v>17328</v>
      </c>
      <c r="N70" s="11">
        <f>IF(SUMPRODUCT((Inputs!$B$4:$B$200=$B70)*ISNUMBER(INDEX(Inputs!$D$4:$AG$200,0,MATCH(N$2,Inputs!$D$2:$AG$2,0))))=0,"",SUMIFS(INDEX(Inputs!$D$4:$AG$200,0,MATCH(N$2,Inputs!$D$2:$AG$2,0)),Inputs!$B$4:$B$200,$B70)/1000)</f>
        <v>4859</v>
      </c>
      <c r="O70" s="11">
        <f>IF(SUMPRODUCT((Inputs!$B$4:$B$200=$B70)*ISNUMBER(INDEX(Inputs!$D$4:$AG$200,0,MATCH(O$2,Inputs!$D$2:$AG$2,0))))=0,"",SUMIFS(INDEX(Inputs!$D$4:$AG$200,0,MATCH(O$2,Inputs!$D$2:$AG$2,0)),Inputs!$B$4:$B$200,$B70)/1000)</f>
        <v>4485</v>
      </c>
      <c r="P70" s="11">
        <f>IF(SUMPRODUCT((Inputs!$B$4:$B$200=$B70)*ISNUMBER(INDEX(Inputs!$D$4:$AG$200,0,MATCH(P$2,Inputs!$D$2:$AG$2,0))))=0,"",SUMIFS(INDEX(Inputs!$D$4:$AG$200,0,MATCH(P$2,Inputs!$D$2:$AG$2,0)),Inputs!$B$4:$B$200,$B70)/1000)</f>
        <v>4652</v>
      </c>
      <c r="Q70" s="11">
        <f>IF(SUMPRODUCT((Inputs!$B$4:$B$200=$B70)*ISNUMBER(INDEX(Inputs!$D$4:$AG$200,0,MATCH(Q$2,Inputs!$D$2:$AG$2,0))))=0,"",SUMIFS(INDEX(Inputs!$D$4:$AG$200,0,MATCH(Q$2,Inputs!$D$2:$AG$2,0)),Inputs!$B$4:$B$200,$B70)/1000)</f>
        <v>4991</v>
      </c>
      <c r="R70" s="12">
        <f>IF(COUNT(N70:Q70)=4,SUM(N70:Q70),"")</f>
        <v>18987</v>
      </c>
      <c r="S70" s="11">
        <f>IF(SUMPRODUCT((Inputs!$B$4:$B$200=$B70)*ISNUMBER(INDEX(Inputs!$D$4:$AG$200,0,MATCH(S$2,Inputs!$D$2:$AG$2,0))))=0,"",SUMIFS(INDEX(Inputs!$D$4:$AG$200,0,MATCH(S$2,Inputs!$D$2:$AG$2,0)),Inputs!$B$4:$B$200,$B70)/1000)</f>
        <v>5320</v>
      </c>
      <c r="T70" s="11">
        <f>IF(SUMPRODUCT((Inputs!$B$4:$B$200=$B70)*ISNUMBER(INDEX(Inputs!$D$4:$AG$200,0,MATCH(T$2,Inputs!$D$2:$AG$2,0))))=0,"",SUMIFS(INDEX(Inputs!$D$4:$AG$200,0,MATCH(T$2,Inputs!$D$2:$AG$2,0)),Inputs!$B$4:$B$200,$B70)/1000)</f>
        <v>5139</v>
      </c>
      <c r="U70" s="11">
        <f>IF(SUMPRODUCT((Inputs!$B$4:$B$200=$B70)*ISNUMBER(INDEX(Inputs!$D$4:$AG$200,0,MATCH(U$2,Inputs!$D$2:$AG$2,0))))=0,"",SUMIFS(INDEX(Inputs!$D$4:$AG$200,0,MATCH(U$2,Inputs!$D$2:$AG$2,0)),Inputs!$B$4:$B$200,$B70)/1000)</f>
        <v>5609</v>
      </c>
      <c r="V70" s="11">
        <f>IF(SUMPRODUCT((Inputs!$B$4:$B$200=$B70)*ISNUMBER(INDEX(Inputs!$D$4:$AG$200,0,MATCH(V$2,Inputs!$D$2:$AG$2,0))))=0,"",SUMIFS(INDEX(Inputs!$D$4:$AG$200,0,MATCH(V$2,Inputs!$D$2:$AG$2,0)),Inputs!$B$4:$B$200,$B70)/1000)</f>
        <v>5206</v>
      </c>
      <c r="W70" s="12">
        <f>IF(COUNT(S70:V70)=4,SUM(S70:V70),"")</f>
        <v>21274</v>
      </c>
      <c r="X70" s="11">
        <f>IF(SUMPRODUCT((Inputs!$B$4:$B$200=$B70)*ISNUMBER(INDEX(Inputs!$D$4:$AG$200,0,MATCH(X$2,Inputs!$D$2:$AG$2,0))))=0,"",SUMIFS(INDEX(Inputs!$D$4:$AG$200,0,MATCH(X$2,Inputs!$D$2:$AG$2,0)),Inputs!$B$4:$B$200,$B70)/1000)</f>
        <v>7548</v>
      </c>
      <c r="Y70" s="11">
        <f>IF(SUMPRODUCT((Inputs!$B$4:$B$200=$B70)*ISNUMBER(INDEX(Inputs!$D$4:$AG$200,0,MATCH(Y$2,Inputs!$D$2:$AG$2,0))))=0,"",SUMIFS(INDEX(Inputs!$D$4:$AG$200,0,MATCH(Y$2,Inputs!$D$2:$AG$2,0)),Inputs!$B$4:$B$200,$B70)/1000)</f>
        <v>6852</v>
      </c>
      <c r="Z70" s="11">
        <f>IF(SUMPRODUCT((Inputs!$B$4:$B$200=$B70)*ISNUMBER(INDEX(Inputs!$D$4:$AG$200,0,MATCH(Z$2,Inputs!$D$2:$AG$2,0))))=0,"",SUMIFS(INDEX(Inputs!$D$4:$AG$200,0,MATCH(Z$2,Inputs!$D$2:$AG$2,0)),Inputs!$B$4:$B$200,$B70)/1000)</f>
        <v>7548</v>
      </c>
      <c r="AA70" s="11">
        <f>IF(SUMPRODUCT((Inputs!$B$4:$B$200=$B70)*ISNUMBER(INDEX(Inputs!$D$4:$AG$200,0,MATCH(AA$2,Inputs!$D$2:$AG$2,0))))=0,"",SUMIFS(INDEX(Inputs!$D$4:$AG$200,0,MATCH(AA$2,Inputs!$D$2:$AG$2,0)),Inputs!$B$4:$B$200,$B70)/1000)</f>
        <v>6425</v>
      </c>
      <c r="AB70" s="12">
        <f>IF(COUNT(X70:AA70)=4,SUM(X70:AA70),"")</f>
        <v>28373</v>
      </c>
      <c r="AC70" s="11">
        <f>IF(SUMPRODUCT((Inputs!$B$4:$B$200=$B70)*ISNUMBER(INDEX(Inputs!$D$4:$AG$200,0,MATCH(AC$2,Inputs!$D$2:$AG$2,0))))=0,"",SUMIFS(INDEX(Inputs!$D$4:$AG$200,0,MATCH(AC$2,Inputs!$D$2:$AG$2,0)),Inputs!$B$4:$B$200,$B70)/1000)</f>
        <v>7373</v>
      </c>
      <c r="AD70" s="11">
        <f>IF(SUMPRODUCT((Inputs!$B$4:$B$200=$B70)*ISNUMBER(INDEX(Inputs!$D$4:$AG$200,0,MATCH(AD$2,Inputs!$D$2:$AG$2,0))))=0,"",SUMIFS(INDEX(Inputs!$D$4:$AG$200,0,MATCH(AD$2,Inputs!$D$2:$AG$2,0)),Inputs!$B$4:$B$200,$B70)/1000)</f>
        <v>7785</v>
      </c>
      <c r="AE70" s="11" t="str">
        <f>IF(SUMPRODUCT((Inputs!$B$4:$B$200=$B70)*ISNUMBER(INDEX(Inputs!$D$4:$AG$200,0,MATCH(AE$2,Inputs!$D$2:$AG$2,0))))=0,"",SUMIFS(INDEX(Inputs!$D$4:$AG$200,0,MATCH(AE$2,Inputs!$D$2:$AG$2,0)),Inputs!$B$4:$B$200,$B70)/1000)</f>
        <v/>
      </c>
      <c r="AF70" s="11" t="str">
        <f>IF(SUMPRODUCT((Inputs!$B$4:$B$200=$B70)*ISNUMBER(INDEX(Inputs!$D$4:$AG$200,0,MATCH(AF$2,Inputs!$D$2:$AG$2,0))))=0,"",SUMIFS(INDEX(Inputs!$D$4:$AG$200,0,MATCH(AF$2,Inputs!$D$2:$AG$2,0)),Inputs!$B$4:$B$200,$B70)/1000)</f>
        <v/>
      </c>
      <c r="AG70" s="12" t="str">
        <f>IF(COUNT(AC70:AF70)=4,SUM(AC70:AF70),"")</f>
        <v/>
      </c>
    </row>
    <row r="71">
      <c r="B71" s="9" t="n">
        <v>63</v>
      </c>
      <c r="C71" s="10" t="inlineStr">
        <is>
          <t>Banco de terrenos - VGV (R$ milhoes; l.64; fim do periodo)</t>
        </is>
      </c>
      <c r="D71" s="11">
        <f>IF(SUMPRODUCT((Inputs!$B$4:$B$200=$B71)*ISNUMBER(INDEX(Inputs!$D$4:$AG$200,0,MATCH(D$2,Inputs!$D$2:$AG$2,0))))=0,"",SUMIFS(INDEX(Inputs!$D$4:$AG$200,0,MATCH(D$2,Inputs!$D$2:$AG$2,0)),Inputs!$B$4:$B$200,$B71)/1000)</f>
        <v>9966</v>
      </c>
      <c r="E71" s="11">
        <f>IF(SUMPRODUCT((Inputs!$B$4:$B$200=$B71)*ISNUMBER(INDEX(Inputs!$D$4:$AG$200,0,MATCH(E$2,Inputs!$D$2:$AG$2,0))))=0,"",SUMIFS(INDEX(Inputs!$D$4:$AG$200,0,MATCH(E$2,Inputs!$D$2:$AG$2,0)),Inputs!$B$4:$B$200,$B71)/1000)</f>
        <v>10430</v>
      </c>
      <c r="F71" s="11">
        <f>IF(SUMPRODUCT((Inputs!$B$4:$B$200=$B71)*ISNUMBER(INDEX(Inputs!$D$4:$AG$200,0,MATCH(F$2,Inputs!$D$2:$AG$2,0))))=0,"",SUMIFS(INDEX(Inputs!$D$4:$AG$200,0,MATCH(F$2,Inputs!$D$2:$AG$2,0)),Inputs!$B$4:$B$200,$B71)/1000)</f>
        <v>11456.49793456</v>
      </c>
      <c r="G71" s="11">
        <f>IF(SUMPRODUCT((Inputs!$B$4:$B$200=$B71)*ISNUMBER(INDEX(Inputs!$D$4:$AG$200,0,MATCH(G$2,Inputs!$D$2:$AG$2,0))))=0,"",SUMIFS(INDEX(Inputs!$D$4:$AG$200,0,MATCH(G$2,Inputs!$D$2:$AG$2,0)),Inputs!$B$4:$B$200,$B71)/1000)</f>
        <v>9793.6199983</v>
      </c>
      <c r="H71" s="12">
        <f>IF(COUNT(D71:G71)=4,SUM(D71:G71),"")</f>
        <v>41646.11793286</v>
      </c>
      <c r="I71" s="11">
        <f>IF(SUMPRODUCT((Inputs!$B$4:$B$200=$B71)*ISNUMBER(INDEX(Inputs!$D$4:$AG$200,0,MATCH(I$2,Inputs!$D$2:$AG$2,0))))=0,"",SUMIFS(INDEX(Inputs!$D$4:$AG$200,0,MATCH(I$2,Inputs!$D$2:$AG$2,0)),Inputs!$B$4:$B$200,$B71)/1000)</f>
        <v>9952.7106042</v>
      </c>
      <c r="J71" s="11">
        <f>IF(SUMPRODUCT((Inputs!$B$4:$B$200=$B71)*ISNUMBER(INDEX(Inputs!$D$4:$AG$200,0,MATCH(J$2,Inputs!$D$2:$AG$2,0))))=0,"",SUMIFS(INDEX(Inputs!$D$4:$AG$200,0,MATCH(J$2,Inputs!$D$2:$AG$2,0)),Inputs!$B$4:$B$200,$B71)/1000)</f>
        <v>9647.1947034</v>
      </c>
      <c r="K71" s="11">
        <f>IF(SUMPRODUCT((Inputs!$B$4:$B$200=$B71)*ISNUMBER(INDEX(Inputs!$D$4:$AG$200,0,MATCH(K$2,Inputs!$D$2:$AG$2,0))))=0,"",SUMIFS(INDEX(Inputs!$D$4:$AG$200,0,MATCH(K$2,Inputs!$D$2:$AG$2,0)),Inputs!$B$4:$B$200,$B71)/1000)</f>
        <v>10487.09493404</v>
      </c>
      <c r="L71" s="11">
        <f>IF(SUMPRODUCT((Inputs!$B$4:$B$200=$B71)*ISNUMBER(INDEX(Inputs!$D$4:$AG$200,0,MATCH(L$2,Inputs!$D$2:$AG$2,0))))=0,"",SUMIFS(INDEX(Inputs!$D$4:$AG$200,0,MATCH(L$2,Inputs!$D$2:$AG$2,0)),Inputs!$B$4:$B$200,$B71)/1000)</f>
        <v>10138.416628</v>
      </c>
      <c r="M71" s="12">
        <f>IF(COUNT(I71:L71)=4,SUM(I71:L71),"")</f>
        <v>40225.41686964</v>
      </c>
      <c r="N71" s="11">
        <f>IF(SUMPRODUCT((Inputs!$B$4:$B$200=$B71)*ISNUMBER(INDEX(Inputs!$D$4:$AG$200,0,MATCH(N$2,Inputs!$D$2:$AG$2,0))))=0,"",SUMIFS(INDEX(Inputs!$D$4:$AG$200,0,MATCH(N$2,Inputs!$D$2:$AG$2,0)),Inputs!$B$4:$B$200,$B71)/1000)</f>
        <v>9905.53126553</v>
      </c>
      <c r="O71" s="11">
        <f>IF(SUMPRODUCT((Inputs!$B$4:$B$200=$B71)*ISNUMBER(INDEX(Inputs!$D$4:$AG$200,0,MATCH(O$2,Inputs!$D$2:$AG$2,0))))=0,"",SUMIFS(INDEX(Inputs!$D$4:$AG$200,0,MATCH(O$2,Inputs!$D$2:$AG$2,0)),Inputs!$B$4:$B$200,$B71)/1000)</f>
        <v>10182.55484953</v>
      </c>
      <c r="P71" s="11">
        <f>IF(SUMPRODUCT((Inputs!$B$4:$B$200=$B71)*ISNUMBER(INDEX(Inputs!$D$4:$AG$200,0,MATCH(P$2,Inputs!$D$2:$AG$2,0))))=0,"",SUMIFS(INDEX(Inputs!$D$4:$AG$200,0,MATCH(P$2,Inputs!$D$2:$AG$2,0)),Inputs!$B$4:$B$200,$B71)/1000)</f>
        <v>11848.093692</v>
      </c>
      <c r="Q71" s="11">
        <f>IF(SUMPRODUCT((Inputs!$B$4:$B$200=$B71)*ISNUMBER(INDEX(Inputs!$D$4:$AG$200,0,MATCH(Q$2,Inputs!$D$2:$AG$2,0))))=0,"",SUMIFS(INDEX(Inputs!$D$4:$AG$200,0,MATCH(Q$2,Inputs!$D$2:$AG$2,0)),Inputs!$B$4:$B$200,$B71)/1000)</f>
        <v>14508.048284</v>
      </c>
      <c r="R71" s="12">
        <f>IF(COUNT(N71:Q71)=4,SUM(N71:Q71),"")</f>
        <v>46444.22809106</v>
      </c>
      <c r="S71" s="11">
        <f>IF(SUMPRODUCT((Inputs!$B$4:$B$200=$B71)*ISNUMBER(INDEX(Inputs!$D$4:$AG$200,0,MATCH(S$2,Inputs!$D$2:$AG$2,0))))=0,"",SUMIFS(INDEX(Inputs!$D$4:$AG$200,0,MATCH(S$2,Inputs!$D$2:$AG$2,0)),Inputs!$B$4:$B$200,$B71)/1000)</f>
        <v>15637.376806</v>
      </c>
      <c r="T71" s="11">
        <f>IF(SUMPRODUCT((Inputs!$B$4:$B$200=$B71)*ISNUMBER(INDEX(Inputs!$D$4:$AG$200,0,MATCH(T$2,Inputs!$D$2:$AG$2,0))))=0,"",SUMIFS(INDEX(Inputs!$D$4:$AG$200,0,MATCH(T$2,Inputs!$D$2:$AG$2,0)),Inputs!$B$4:$B$200,$B71)/1000)</f>
        <v>17585.580512</v>
      </c>
      <c r="U71" s="11">
        <f>IF(SUMPRODUCT((Inputs!$B$4:$B$200=$B71)*ISNUMBER(INDEX(Inputs!$D$4:$AG$200,0,MATCH(U$2,Inputs!$D$2:$AG$2,0))))=0,"",SUMIFS(INDEX(Inputs!$D$4:$AG$200,0,MATCH(U$2,Inputs!$D$2:$AG$2,0)),Inputs!$B$4:$B$200,$B71)/1000)</f>
        <v>19517.275012</v>
      </c>
      <c r="V71" s="11">
        <f>IF(SUMPRODUCT((Inputs!$B$4:$B$200=$B71)*ISNUMBER(INDEX(Inputs!$D$4:$AG$200,0,MATCH(V$2,Inputs!$D$2:$AG$2,0))))=0,"",SUMIFS(INDEX(Inputs!$D$4:$AG$200,0,MATCH(V$2,Inputs!$D$2:$AG$2,0)),Inputs!$B$4:$B$200,$B71)/1000)</f>
        <v>20122.4</v>
      </c>
      <c r="W71" s="12">
        <f>IF(COUNT(S71:V71)=4,SUM(S71:V71),"")</f>
        <v>72862.63233</v>
      </c>
      <c r="X71" s="11">
        <f>IF(SUMPRODUCT((Inputs!$B$4:$B$200=$B71)*ISNUMBER(INDEX(Inputs!$D$4:$AG$200,0,MATCH(X$2,Inputs!$D$2:$AG$2,0))))=0,"",SUMIFS(INDEX(Inputs!$D$4:$AG$200,0,MATCH(X$2,Inputs!$D$2:$AG$2,0)),Inputs!$B$4:$B$200,$B71)/1000)</f>
        <v>19805.343512</v>
      </c>
      <c r="Y71" s="11">
        <f>IF(SUMPRODUCT((Inputs!$B$4:$B$200=$B71)*ISNUMBER(INDEX(Inputs!$D$4:$AG$200,0,MATCH(Y$2,Inputs!$D$2:$AG$2,0))))=0,"",SUMIFS(INDEX(Inputs!$D$4:$AG$200,0,MATCH(Y$2,Inputs!$D$2:$AG$2,0)),Inputs!$B$4:$B$200,$B71)/1000)</f>
        <v>21114.3781</v>
      </c>
      <c r="Z71" s="11">
        <f>IF(SUMPRODUCT((Inputs!$B$4:$B$200=$B71)*ISNUMBER(INDEX(Inputs!$D$4:$AG$200,0,MATCH(Z$2,Inputs!$D$2:$AG$2,0))))=0,"",SUMIFS(INDEX(Inputs!$D$4:$AG$200,0,MATCH(Z$2,Inputs!$D$2:$AG$2,0)),Inputs!$B$4:$B$200,$B71)/1000)</f>
        <v>23343.742622</v>
      </c>
      <c r="AA71" s="11">
        <f>IF(SUMPRODUCT((Inputs!$B$4:$B$200=$B71)*ISNUMBER(INDEX(Inputs!$D$4:$AG$200,0,MATCH(AA$2,Inputs!$D$2:$AG$2,0))))=0,"",SUMIFS(INDEX(Inputs!$D$4:$AG$200,0,MATCH(AA$2,Inputs!$D$2:$AG$2,0)),Inputs!$B$4:$B$200,$B71)/1000)</f>
        <v>24641.296078</v>
      </c>
      <c r="AB71" s="12">
        <f>IF(COUNT(X71:AA71)=4,SUM(X71:AA71),"")</f>
        <v>88904.760312</v>
      </c>
      <c r="AC71" s="11">
        <f>IF(SUMPRODUCT((Inputs!$B$4:$B$200=$B71)*ISNUMBER(INDEX(Inputs!$D$4:$AG$200,0,MATCH(AC$2,Inputs!$D$2:$AG$2,0))))=0,"",SUMIFS(INDEX(Inputs!$D$4:$AG$200,0,MATCH(AC$2,Inputs!$D$2:$AG$2,0)),Inputs!$B$4:$B$200,$B71)/1000)</f>
        <v>24924.6126995</v>
      </c>
      <c r="AD71" s="11">
        <f>IF(SUMPRODUCT((Inputs!$B$4:$B$200=$B71)*ISNUMBER(INDEX(Inputs!$D$4:$AG$200,0,MATCH(AD$2,Inputs!$D$2:$AG$2,0))))=0,"",SUMIFS(INDEX(Inputs!$D$4:$AG$200,0,MATCH(AD$2,Inputs!$D$2:$AG$2,0)),Inputs!$B$4:$B$200,$B71)/1000)</f>
        <v>26092.7836228</v>
      </c>
      <c r="AE71" s="11" t="str">
        <f>IF(SUMPRODUCT((Inputs!$B$4:$B$200=$B71)*ISNUMBER(INDEX(Inputs!$D$4:$AG$200,0,MATCH(AE$2,Inputs!$D$2:$AG$2,0))))=0,"",SUMIFS(INDEX(Inputs!$D$4:$AG$200,0,MATCH(AE$2,Inputs!$D$2:$AG$2,0)),Inputs!$B$4:$B$200,$B71)/1000)</f>
        <v/>
      </c>
      <c r="AF71" s="11" t="str">
        <f>IF(SUMPRODUCT((Inputs!$B$4:$B$200=$B71)*ISNUMBER(INDEX(Inputs!$D$4:$AG$200,0,MATCH(AF$2,Inputs!$D$2:$AG$2,0))))=0,"",SUMIFS(INDEX(Inputs!$D$4:$AG$200,0,MATCH(AF$2,Inputs!$D$2:$AG$2,0)),Inputs!$B$4:$B$200,$B71)/1000)</f>
        <v/>
      </c>
      <c r="AG71" s="12" t="str">
        <f>IF(COUNT(AC71:AF71)=4,SUM(AC71:AF71),"")</f>
        <v/>
      </c>
    </row>
    <row r="72">
      <c r="B72" s="9" t="n">
        <v>64</v>
      </c>
      <c r="C72" s="10" t="inlineStr">
        <is>
          <t>Receitas de vendas a apropriar - REF (R$ mil; DRE l.40; fim do periodo)</t>
        </is>
      </c>
      <c r="D72" s="11">
        <f>IF(SUMPRODUCT((Inputs!$B$4:$B$200=$B72)*ISNUMBER(INDEX(Inputs!$D$4:$AG$200,0,MATCH(D$2,Inputs!$D$2:$AG$2,0))))=0,"",SUMIFS(INDEX(Inputs!$D$4:$AG$200,0,MATCH(D$2,Inputs!$D$2:$AG$2,0)),Inputs!$B$4:$B$200,$B72)/1000)</f>
        <v>972.631165942</v>
      </c>
      <c r="E72" s="11">
        <f>IF(SUMPRODUCT((Inputs!$B$4:$B$200=$B72)*ISNUMBER(INDEX(Inputs!$D$4:$AG$200,0,MATCH(E$2,Inputs!$D$2:$AG$2,0))))=0,"",SUMIFS(INDEX(Inputs!$D$4:$AG$200,0,MATCH(E$2,Inputs!$D$2:$AG$2,0)),Inputs!$B$4:$B$200,$B72)/1000)</f>
        <v>1172.291</v>
      </c>
      <c r="F72" s="11">
        <f>IF(SUMPRODUCT((Inputs!$B$4:$B$200=$B72)*ISNUMBER(INDEX(Inputs!$D$4:$AG$200,0,MATCH(F$2,Inputs!$D$2:$AG$2,0))))=0,"",SUMIFS(INDEX(Inputs!$D$4:$AG$200,0,MATCH(F$2,Inputs!$D$2:$AG$2,0)),Inputs!$B$4:$B$200,$B72)/1000)</f>
        <v>1427.093</v>
      </c>
      <c r="G72" s="11">
        <f>IF(SUMPRODUCT((Inputs!$B$4:$B$200=$B72)*ISNUMBER(INDEX(Inputs!$D$4:$AG$200,0,MATCH(G$2,Inputs!$D$2:$AG$2,0))))=0,"",SUMIFS(INDEX(Inputs!$D$4:$AG$200,0,MATCH(G$2,Inputs!$D$2:$AG$2,0)),Inputs!$B$4:$B$200,$B72)/1000)</f>
        <v>1560.016</v>
      </c>
      <c r="H72" s="12">
        <f>IF(COUNT(D72:G72)=4,SUM(D72:G72),"")</f>
        <v>5132.031165942</v>
      </c>
      <c r="I72" s="11">
        <f>IF(SUMPRODUCT((Inputs!$B$4:$B$200=$B72)*ISNUMBER(INDEX(Inputs!$D$4:$AG$200,0,MATCH(I$2,Inputs!$D$2:$AG$2,0))))=0,"",SUMIFS(INDEX(Inputs!$D$4:$AG$200,0,MATCH(I$2,Inputs!$D$2:$AG$2,0)),Inputs!$B$4:$B$200,$B72)/1000)</f>
        <v>1826.371</v>
      </c>
      <c r="J72" s="11">
        <f>IF(SUMPRODUCT((Inputs!$B$4:$B$200=$B72)*ISNUMBER(INDEX(Inputs!$D$4:$AG$200,0,MATCH(J$2,Inputs!$D$2:$AG$2,0))))=0,"",SUMIFS(INDEX(Inputs!$D$4:$AG$200,0,MATCH(J$2,Inputs!$D$2:$AG$2,0)),Inputs!$B$4:$B$200,$B72)/1000)</f>
        <v>2064.638</v>
      </c>
      <c r="K72" s="11">
        <f>IF(SUMPRODUCT((Inputs!$B$4:$B$200=$B72)*ISNUMBER(INDEX(Inputs!$D$4:$AG$200,0,MATCH(K$2,Inputs!$D$2:$AG$2,0))))=0,"",SUMIFS(INDEX(Inputs!$D$4:$AG$200,0,MATCH(K$2,Inputs!$D$2:$AG$2,0)),Inputs!$B$4:$B$200,$B72)/1000)</f>
        <v>2322.205</v>
      </c>
      <c r="L72" s="11">
        <f>IF(SUMPRODUCT((Inputs!$B$4:$B$200=$B72)*ISNUMBER(INDEX(Inputs!$D$4:$AG$200,0,MATCH(L$2,Inputs!$D$2:$AG$2,0))))=0,"",SUMIFS(INDEX(Inputs!$D$4:$AG$200,0,MATCH(L$2,Inputs!$D$2:$AG$2,0)),Inputs!$B$4:$B$200,$B72)/1000)</f>
        <v>2454.399</v>
      </c>
      <c r="M72" s="12">
        <f>IF(COUNT(I72:L72)=4,SUM(I72:L72),"")</f>
        <v>8667.613</v>
      </c>
      <c r="N72" s="11">
        <f>IF(SUMPRODUCT((Inputs!$B$4:$B$200=$B72)*ISNUMBER(INDEX(Inputs!$D$4:$AG$200,0,MATCH(N$2,Inputs!$D$2:$AG$2,0))))=0,"",SUMIFS(INDEX(Inputs!$D$4:$AG$200,0,MATCH(N$2,Inputs!$D$2:$AG$2,0)),Inputs!$B$4:$B$200,$B72)/1000)</f>
        <v>2914.433</v>
      </c>
      <c r="O72" s="11">
        <f>IF(SUMPRODUCT((Inputs!$B$4:$B$200=$B72)*ISNUMBER(INDEX(Inputs!$D$4:$AG$200,0,MATCH(O$2,Inputs!$D$2:$AG$2,0))))=0,"",SUMIFS(INDEX(Inputs!$D$4:$AG$200,0,MATCH(O$2,Inputs!$D$2:$AG$2,0)),Inputs!$B$4:$B$200,$B72)/1000)</f>
        <v>3245.796</v>
      </c>
      <c r="P72" s="11">
        <f>IF(SUMPRODUCT((Inputs!$B$4:$B$200=$B72)*ISNUMBER(INDEX(Inputs!$D$4:$AG$200,0,MATCH(P$2,Inputs!$D$2:$AG$2,0))))=0,"",SUMIFS(INDEX(Inputs!$D$4:$AG$200,0,MATCH(P$2,Inputs!$D$2:$AG$2,0)),Inputs!$B$4:$B$200,$B72)/1000)</f>
        <v>3439.133</v>
      </c>
      <c r="Q72" s="11">
        <f>IF(SUMPRODUCT((Inputs!$B$4:$B$200=$B72)*ISNUMBER(INDEX(Inputs!$D$4:$AG$200,0,MATCH(Q$2,Inputs!$D$2:$AG$2,0))))=0,"",SUMIFS(INDEX(Inputs!$D$4:$AG$200,0,MATCH(Q$2,Inputs!$D$2:$AG$2,0)),Inputs!$B$4:$B$200,$B72)/1000)</f>
        <v>3501.917</v>
      </c>
      <c r="R72" s="12">
        <f>IF(COUNT(N72:Q72)=4,SUM(N72:Q72),"")</f>
        <v>13101.279</v>
      </c>
      <c r="S72" s="11">
        <f>IF(SUMPRODUCT((Inputs!$B$4:$B$200=$B72)*ISNUMBER(INDEX(Inputs!$D$4:$AG$200,0,MATCH(S$2,Inputs!$D$2:$AG$2,0))))=0,"",SUMIFS(INDEX(Inputs!$D$4:$AG$200,0,MATCH(S$2,Inputs!$D$2:$AG$2,0)),Inputs!$B$4:$B$200,$B72)/1000)</f>
        <v>4153.406</v>
      </c>
      <c r="T72" s="11">
        <f>IF(SUMPRODUCT((Inputs!$B$4:$B$200=$B72)*ISNUMBER(INDEX(Inputs!$D$4:$AG$200,0,MATCH(T$2,Inputs!$D$2:$AG$2,0))))=0,"",SUMIFS(INDEX(Inputs!$D$4:$AG$200,0,MATCH(T$2,Inputs!$D$2:$AG$2,0)),Inputs!$B$4:$B$200,$B72)/1000)</f>
        <v>4837.93</v>
      </c>
      <c r="U72" s="11">
        <f>IF(SUMPRODUCT((Inputs!$B$4:$B$200=$B72)*ISNUMBER(INDEX(Inputs!$D$4:$AG$200,0,MATCH(U$2,Inputs!$D$2:$AG$2,0))))=0,"",SUMIFS(INDEX(Inputs!$D$4:$AG$200,0,MATCH(U$2,Inputs!$D$2:$AG$2,0)),Inputs!$B$4:$B$200,$B72)/1000)</f>
        <v>5203.643</v>
      </c>
      <c r="V72" s="11">
        <f>IF(SUMPRODUCT((Inputs!$B$4:$B$200=$B72)*ISNUMBER(INDEX(Inputs!$D$4:$AG$200,0,MATCH(V$2,Inputs!$D$2:$AG$2,0))))=0,"",SUMIFS(INDEX(Inputs!$D$4:$AG$200,0,MATCH(V$2,Inputs!$D$2:$AG$2,0)),Inputs!$B$4:$B$200,$B72)/1000)</f>
        <v>5565.297</v>
      </c>
      <c r="W72" s="12">
        <f>IF(COUNT(S72:V72)=4,SUM(S72:V72),"")</f>
        <v>19760.276</v>
      </c>
      <c r="X72" s="11">
        <f>IF(SUMPRODUCT((Inputs!$B$4:$B$200=$B72)*ISNUMBER(INDEX(Inputs!$D$4:$AG$200,0,MATCH(X$2,Inputs!$D$2:$AG$2,0))))=0,"",SUMIFS(INDEX(Inputs!$D$4:$AG$200,0,MATCH(X$2,Inputs!$D$2:$AG$2,0)),Inputs!$B$4:$B$200,$B72)/1000)</f>
        <v>6430.448</v>
      </c>
      <c r="Y72" s="11">
        <f>IF(SUMPRODUCT((Inputs!$B$4:$B$200=$B72)*ISNUMBER(INDEX(Inputs!$D$4:$AG$200,0,MATCH(Y$2,Inputs!$D$2:$AG$2,0))))=0,"",SUMIFS(INDEX(Inputs!$D$4:$AG$200,0,MATCH(Y$2,Inputs!$D$2:$AG$2,0)),Inputs!$B$4:$B$200,$B72)/1000)</f>
        <v>7284.016</v>
      </c>
      <c r="Z72" s="11">
        <f>IF(SUMPRODUCT((Inputs!$B$4:$B$200=$B72)*ISNUMBER(INDEX(Inputs!$D$4:$AG$200,0,MATCH(Z$2,Inputs!$D$2:$AG$2,0))))=0,"",SUMIFS(INDEX(Inputs!$D$4:$AG$200,0,MATCH(Z$2,Inputs!$D$2:$AG$2,0)),Inputs!$B$4:$B$200,$B72)/1000)</f>
        <v>7701.127</v>
      </c>
      <c r="AA72" s="11">
        <f>IF(SUMPRODUCT((Inputs!$B$4:$B$200=$B72)*ISNUMBER(INDEX(Inputs!$D$4:$AG$200,0,MATCH(AA$2,Inputs!$D$2:$AG$2,0))))=0,"",SUMIFS(INDEX(Inputs!$D$4:$AG$200,0,MATCH(AA$2,Inputs!$D$2:$AG$2,0)),Inputs!$B$4:$B$200,$B72)/1000)</f>
        <v>7802.275</v>
      </c>
      <c r="AB72" s="12">
        <f>IF(COUNT(X72:AA72)=4,SUM(X72:AA72),"")</f>
        <v>29217.866</v>
      </c>
      <c r="AC72" s="11">
        <f>IF(SUMPRODUCT((Inputs!$B$4:$B$200=$B72)*ISNUMBER(INDEX(Inputs!$D$4:$AG$200,0,MATCH(AC$2,Inputs!$D$2:$AG$2,0))))=0,"",SUMIFS(INDEX(Inputs!$D$4:$AG$200,0,MATCH(AC$2,Inputs!$D$2:$AG$2,0)),Inputs!$B$4:$B$200,$B72)/1000)</f>
        <v>8471.901</v>
      </c>
      <c r="AD72" s="11">
        <f>IF(SUMPRODUCT((Inputs!$B$4:$B$200=$B72)*ISNUMBER(INDEX(Inputs!$D$4:$AG$200,0,MATCH(AD$2,Inputs!$D$2:$AG$2,0))))=0,"",SUMIFS(INDEX(Inputs!$D$4:$AG$200,0,MATCH(AD$2,Inputs!$D$2:$AG$2,0)),Inputs!$B$4:$B$200,$B72)/1000)</f>
        <v>8831.273</v>
      </c>
      <c r="AE72" s="11" t="str">
        <f>IF(SUMPRODUCT((Inputs!$B$4:$B$200=$B72)*ISNUMBER(INDEX(Inputs!$D$4:$AG$200,0,MATCH(AE$2,Inputs!$D$2:$AG$2,0))))=0,"",SUMIFS(INDEX(Inputs!$D$4:$AG$200,0,MATCH(AE$2,Inputs!$D$2:$AG$2,0)),Inputs!$B$4:$B$200,$B72)/1000)</f>
        <v/>
      </c>
      <c r="AF72" s="11" t="str">
        <f>IF(SUMPRODUCT((Inputs!$B$4:$B$200=$B72)*ISNUMBER(INDEX(Inputs!$D$4:$AG$200,0,MATCH(AF$2,Inputs!$D$2:$AG$2,0))))=0,"",SUMIFS(INDEX(Inputs!$D$4:$AG$200,0,MATCH(AF$2,Inputs!$D$2:$AG$2,0)),Inputs!$B$4:$B$200,$B72)/1000)</f>
        <v/>
      </c>
      <c r="AG72" s="12" t="str">
        <f>IF(COUNT(AC72:AF72)=4,SUM(AC72:AF72),"")</f>
        <v/>
      </c>
    </row>
    <row r="73">
      <c r="B73" s="9" t="n">
        <v>65</v>
      </c>
      <c r="C73" s="10" t="inlineStr">
        <is>
          <t>(-) Custo orcado das unidades vendidas a apropriar (R$ mil; DRE l.41)</t>
        </is>
      </c>
      <c r="D73" s="11">
        <f>IF(SUMPRODUCT((Inputs!$B$4:$B$200=$B73)*ISNUMBER(INDEX(Inputs!$D$4:$AG$200,0,MATCH(D$2,Inputs!$D$2:$AG$2,0))))=0,"",SUMIFS(INDEX(Inputs!$D$4:$AG$200,0,MATCH(D$2,Inputs!$D$2:$AG$2,0)),Inputs!$B$4:$B$200,$B73)/1000)</f>
        <v>-608.580971494</v>
      </c>
      <c r="E73" s="11">
        <f>IF(SUMPRODUCT((Inputs!$B$4:$B$200=$B73)*ISNUMBER(INDEX(Inputs!$D$4:$AG$200,0,MATCH(E$2,Inputs!$D$2:$AG$2,0))))=0,"",SUMIFS(INDEX(Inputs!$D$4:$AG$200,0,MATCH(E$2,Inputs!$D$2:$AG$2,0)),Inputs!$B$4:$B$200,$B73)/1000)</f>
        <v>-735.781</v>
      </c>
      <c r="F73" s="11">
        <f>IF(SUMPRODUCT((Inputs!$B$4:$B$200=$B73)*ISNUMBER(INDEX(Inputs!$D$4:$AG$200,0,MATCH(F$2,Inputs!$D$2:$AG$2,0))))=0,"",SUMIFS(INDEX(Inputs!$D$4:$AG$200,0,MATCH(F$2,Inputs!$D$2:$AG$2,0)),Inputs!$B$4:$B$200,$B73)/1000)</f>
        <v>-872.072</v>
      </c>
      <c r="G73" s="11">
        <f>IF(SUMPRODUCT((Inputs!$B$4:$B$200=$B73)*ISNUMBER(INDEX(Inputs!$D$4:$AG$200,0,MATCH(G$2,Inputs!$D$2:$AG$2,0))))=0,"",SUMIFS(INDEX(Inputs!$D$4:$AG$200,0,MATCH(G$2,Inputs!$D$2:$AG$2,0)),Inputs!$B$4:$B$200,$B73)/1000)</f>
        <v>-949.761</v>
      </c>
      <c r="H73" s="12">
        <f>IF(COUNT(D73:G73)=4,SUM(D73:G73),"")</f>
        <v>-3166.194971494</v>
      </c>
      <c r="I73" s="11">
        <f>IF(SUMPRODUCT((Inputs!$B$4:$B$200=$B73)*ISNUMBER(INDEX(Inputs!$D$4:$AG$200,0,MATCH(I$2,Inputs!$D$2:$AG$2,0))))=0,"",SUMIFS(INDEX(Inputs!$D$4:$AG$200,0,MATCH(I$2,Inputs!$D$2:$AG$2,0)),Inputs!$B$4:$B$200,$B73)/1000)</f>
        <v>-1101.334</v>
      </c>
      <c r="J73" s="11">
        <f>IF(SUMPRODUCT((Inputs!$B$4:$B$200=$B73)*ISNUMBER(INDEX(Inputs!$D$4:$AG$200,0,MATCH(J$2,Inputs!$D$2:$AG$2,0))))=0,"",SUMIFS(INDEX(Inputs!$D$4:$AG$200,0,MATCH(J$2,Inputs!$D$2:$AG$2,0)),Inputs!$B$4:$B$200,$B73)/1000)</f>
        <v>-1227.464</v>
      </c>
      <c r="K73" s="11">
        <f>IF(SUMPRODUCT((Inputs!$B$4:$B$200=$B73)*ISNUMBER(INDEX(Inputs!$D$4:$AG$200,0,MATCH(K$2,Inputs!$D$2:$AG$2,0))))=0,"",SUMIFS(INDEX(Inputs!$D$4:$AG$200,0,MATCH(K$2,Inputs!$D$2:$AG$2,0)),Inputs!$B$4:$B$200,$B73)/1000)</f>
        <v>-1343.94</v>
      </c>
      <c r="L73" s="11">
        <f>IF(SUMPRODUCT((Inputs!$B$4:$B$200=$B73)*ISNUMBER(INDEX(Inputs!$D$4:$AG$200,0,MATCH(L$2,Inputs!$D$2:$AG$2,0))))=0,"",SUMIFS(INDEX(Inputs!$D$4:$AG$200,0,MATCH(L$2,Inputs!$D$2:$AG$2,0)),Inputs!$B$4:$B$200,$B73)/1000)</f>
        <v>-1426.532</v>
      </c>
      <c r="M73" s="12">
        <f>IF(COUNT(I73:L73)=4,SUM(I73:L73),"")</f>
        <v>-5099.27</v>
      </c>
      <c r="N73" s="11">
        <f>IF(SUMPRODUCT((Inputs!$B$4:$B$200=$B73)*ISNUMBER(INDEX(Inputs!$D$4:$AG$200,0,MATCH(N$2,Inputs!$D$2:$AG$2,0))))=0,"",SUMIFS(INDEX(Inputs!$D$4:$AG$200,0,MATCH(N$2,Inputs!$D$2:$AG$2,0)),Inputs!$B$4:$B$200,$B73)/1000)</f>
        <v>-1691.437</v>
      </c>
      <c r="O73" s="11">
        <f>IF(SUMPRODUCT((Inputs!$B$4:$B$200=$B73)*ISNUMBER(INDEX(Inputs!$D$4:$AG$200,0,MATCH(O$2,Inputs!$D$2:$AG$2,0))))=0,"",SUMIFS(INDEX(Inputs!$D$4:$AG$200,0,MATCH(O$2,Inputs!$D$2:$AG$2,0)),Inputs!$B$4:$B$200,$B73)/1000)</f>
        <v>-1885.672</v>
      </c>
      <c r="P73" s="11">
        <f>IF(SUMPRODUCT((Inputs!$B$4:$B$200=$B73)*ISNUMBER(INDEX(Inputs!$D$4:$AG$200,0,MATCH(P$2,Inputs!$D$2:$AG$2,0))))=0,"",SUMIFS(INDEX(Inputs!$D$4:$AG$200,0,MATCH(P$2,Inputs!$D$2:$AG$2,0)),Inputs!$B$4:$B$200,$B73)/1000)</f>
        <v>-1996.732</v>
      </c>
      <c r="Q73" s="11">
        <f>IF(SUMPRODUCT((Inputs!$B$4:$B$200=$B73)*ISNUMBER(INDEX(Inputs!$D$4:$AG$200,0,MATCH(Q$2,Inputs!$D$2:$AG$2,0))))=0,"",SUMIFS(INDEX(Inputs!$D$4:$AG$200,0,MATCH(Q$2,Inputs!$D$2:$AG$2,0)),Inputs!$B$4:$B$200,$B73)/1000)</f>
        <v>-2032.161</v>
      </c>
      <c r="R73" s="12">
        <f>IF(COUNT(N73:Q73)=4,SUM(N73:Q73),"")</f>
        <v>-7606.002</v>
      </c>
      <c r="S73" s="11">
        <f>IF(SUMPRODUCT((Inputs!$B$4:$B$200=$B73)*ISNUMBER(INDEX(Inputs!$D$4:$AG$200,0,MATCH(S$2,Inputs!$D$2:$AG$2,0))))=0,"",SUMIFS(INDEX(Inputs!$D$4:$AG$200,0,MATCH(S$2,Inputs!$D$2:$AG$2,0)),Inputs!$B$4:$B$200,$B73)/1000)</f>
        <v>-2404.1</v>
      </c>
      <c r="T73" s="11">
        <f>IF(SUMPRODUCT((Inputs!$B$4:$B$200=$B73)*ISNUMBER(INDEX(Inputs!$D$4:$AG$200,0,MATCH(T$2,Inputs!$D$2:$AG$2,0))))=0,"",SUMIFS(INDEX(Inputs!$D$4:$AG$200,0,MATCH(T$2,Inputs!$D$2:$AG$2,0)),Inputs!$B$4:$B$200,$B73)/1000)</f>
        <v>-2769.753</v>
      </c>
      <c r="U73" s="11">
        <f>IF(SUMPRODUCT((Inputs!$B$4:$B$200=$B73)*ISNUMBER(INDEX(Inputs!$D$4:$AG$200,0,MATCH(U$2,Inputs!$D$2:$AG$2,0))))=0,"",SUMIFS(INDEX(Inputs!$D$4:$AG$200,0,MATCH(U$2,Inputs!$D$2:$AG$2,0)),Inputs!$B$4:$B$200,$B73)/1000)</f>
        <v>-2950.257</v>
      </c>
      <c r="V73" s="11">
        <f>IF(SUMPRODUCT((Inputs!$B$4:$B$200=$B73)*ISNUMBER(INDEX(Inputs!$D$4:$AG$200,0,MATCH(V$2,Inputs!$D$2:$AG$2,0))))=0,"",SUMIFS(INDEX(Inputs!$D$4:$AG$200,0,MATCH(V$2,Inputs!$D$2:$AG$2,0)),Inputs!$B$4:$B$200,$B73)/1000)</f>
        <v>-3150.416</v>
      </c>
      <c r="W73" s="12">
        <f>IF(COUNT(S73:V73)=4,SUM(S73:V73),"")</f>
        <v>-11274.526</v>
      </c>
      <c r="X73" s="11">
        <f>IF(SUMPRODUCT((Inputs!$B$4:$B$200=$B73)*ISNUMBER(INDEX(Inputs!$D$4:$AG$200,0,MATCH(X$2,Inputs!$D$2:$AG$2,0))))=0,"",SUMIFS(INDEX(Inputs!$D$4:$AG$200,0,MATCH(X$2,Inputs!$D$2:$AG$2,0)),Inputs!$B$4:$B$200,$B73)/1000)</f>
        <v>-3656.268</v>
      </c>
      <c r="Y73" s="11">
        <f>IF(SUMPRODUCT((Inputs!$B$4:$B$200=$B73)*ISNUMBER(INDEX(Inputs!$D$4:$AG$200,0,MATCH(Y$2,Inputs!$D$2:$AG$2,0))))=0,"",SUMIFS(INDEX(Inputs!$D$4:$AG$200,0,MATCH(Y$2,Inputs!$D$2:$AG$2,0)),Inputs!$B$4:$B$200,$B73)/1000)</f>
        <v>-4123.959</v>
      </c>
      <c r="Z73" s="11">
        <f>IF(SUMPRODUCT((Inputs!$B$4:$B$200=$B73)*ISNUMBER(INDEX(Inputs!$D$4:$AG$200,0,MATCH(Z$2,Inputs!$D$2:$AG$2,0))))=0,"",SUMIFS(INDEX(Inputs!$D$4:$AG$200,0,MATCH(Z$2,Inputs!$D$2:$AG$2,0)),Inputs!$B$4:$B$200,$B73)/1000)</f>
        <v>-4355.125</v>
      </c>
      <c r="AA73" s="11">
        <f>IF(SUMPRODUCT((Inputs!$B$4:$B$200=$B73)*ISNUMBER(INDEX(Inputs!$D$4:$AG$200,0,MATCH(AA$2,Inputs!$D$2:$AG$2,0))))=0,"",SUMIFS(INDEX(Inputs!$D$4:$AG$200,0,MATCH(AA$2,Inputs!$D$2:$AG$2,0)),Inputs!$B$4:$B$200,$B73)/1000)</f>
        <v>-4420.54</v>
      </c>
      <c r="AB73" s="12">
        <f>IF(COUNT(X73:AA73)=4,SUM(X73:AA73),"")</f>
        <v>-16555.892</v>
      </c>
      <c r="AC73" s="11">
        <f>IF(SUMPRODUCT((Inputs!$B$4:$B$200=$B73)*ISNUMBER(INDEX(Inputs!$D$4:$AG$200,0,MATCH(AC$2,Inputs!$D$2:$AG$2,0))))=0,"",SUMIFS(INDEX(Inputs!$D$4:$AG$200,0,MATCH(AC$2,Inputs!$D$2:$AG$2,0)),Inputs!$B$4:$B$200,$B73)/1000)</f>
        <v>-4834.308</v>
      </c>
      <c r="AD73" s="11">
        <f>IF(SUMPRODUCT((Inputs!$B$4:$B$200=$B73)*ISNUMBER(INDEX(Inputs!$D$4:$AG$200,0,MATCH(AD$2,Inputs!$D$2:$AG$2,0))))=0,"",SUMIFS(INDEX(Inputs!$D$4:$AG$200,0,MATCH(AD$2,Inputs!$D$2:$AG$2,0)),Inputs!$B$4:$B$200,$B73)/1000)</f>
        <v>-4988.36</v>
      </c>
      <c r="AE73" s="11" t="str">
        <f>IF(SUMPRODUCT((Inputs!$B$4:$B$200=$B73)*ISNUMBER(INDEX(Inputs!$D$4:$AG$200,0,MATCH(AE$2,Inputs!$D$2:$AG$2,0))))=0,"",SUMIFS(INDEX(Inputs!$D$4:$AG$200,0,MATCH(AE$2,Inputs!$D$2:$AG$2,0)),Inputs!$B$4:$B$200,$B73)/1000)</f>
        <v/>
      </c>
      <c r="AF73" s="11" t="str">
        <f>IF(SUMPRODUCT((Inputs!$B$4:$B$200=$B73)*ISNUMBER(INDEX(Inputs!$D$4:$AG$200,0,MATCH(AF$2,Inputs!$D$2:$AG$2,0))))=0,"",SUMIFS(INDEX(Inputs!$D$4:$AG$200,0,MATCH(AF$2,Inputs!$D$2:$AG$2,0)),Inputs!$B$4:$B$200,$B73)/1000)</f>
        <v/>
      </c>
      <c r="AG73" s="12" t="str">
        <f>IF(COUNT(AC73:AF73)=4,SUM(AC73:AF73),"")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06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0.000350670000003106</v>
      </c>
      <c r="L1" s="12">
        <f>IF(L2="","",SUM(L2,L3))</f>
        <v>0.00100000000000477</v>
      </c>
      <c r="M1" s="12">
        <f>IF(M2="","",SUM(M2,M3))</f>
        <v>0.000649329999987458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0.000263390000071695</v>
      </c>
      <c r="Z1" s="12">
        <f>IF(Z2="","",SUM(Z2,Z3))</f>
        <v>0.000999999999947931</v>
      </c>
      <c r="AA1" s="12">
        <f>IF(AA2="","",SUM(AA2,AA3))</f>
        <v>0</v>
      </c>
      <c r="AB1" s="12">
        <f>IF(AB2="","",SUM(AB2,AB3))</f>
        <v>0.000736609999876237</v>
      </c>
      <c r="AC1" s="12">
        <f>IF(AC2="","",SUM(AC2,AC3))</f>
        <v>0</v>
      </c>
      <c r="AD1" s="12">
        <f>IF(AD2="","",SUM(AD2,AD3))</f>
        <v>0.000341759999940905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0.00034175999985564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448.16443121448</v>
      </c>
      <c r="AK1" s="12">
        <f>IF(AK2="","",SUM(AK2,AK3))</f>
        <v>449.04657368251</v>
      </c>
      <c r="AL1" s="12">
        <f>IF(AL2="","",SUM(AL2,AL3))</f>
        <v>1470.52900489699</v>
      </c>
      <c r="AM1" s="12">
        <f>IF(AM2="","",SUM(AM2,AM3))</f>
        <v>510.045665763748</v>
      </c>
      <c r="AN1" s="12">
        <f>IF(AN2="","",SUM(AN2,AN3))</f>
        <v>534.723830619674</v>
      </c>
      <c r="AO1" s="12">
        <f>IF(AO2="","",SUM(AO2,AO3))</f>
        <v>604.769606723371</v>
      </c>
      <c r="AP1" s="12">
        <f>IF(AP2="","",SUM(AP2,AP3))</f>
        <v>605.960002293183</v>
      </c>
      <c r="AQ1" s="12">
        <f>IF(AQ2="","",SUM(AQ2,AQ3))</f>
        <v>2255.49910539998</v>
      </c>
      <c r="AR1" s="12">
        <f>IF(AR2="","",SUM(AR2,AR3))</f>
        <v>685.724197776365</v>
      </c>
      <c r="AS1" s="12">
        <f>IF(AS2="","",SUM(AS2,AS3))</f>
        <v>718.90243246067</v>
      </c>
      <c r="AT1" s="12">
        <f>IF(AT2="","",SUM(AT2,AT3))</f>
        <v>813.07455635159</v>
      </c>
      <c r="AU1" s="12">
        <f>IF(AU2="","",SUM(AU2,AU3))</f>
        <v>814.67496804399</v>
      </c>
      <c r="AV1" s="12">
        <f>IF(AV2="","",SUM(AV2,AV3))</f>
        <v>3032.37615463262</v>
      </c>
      <c r="AW1" s="12">
        <f>IF(AW2="","",SUM(AW2,AW3))</f>
        <v>918.484272265352</v>
      </c>
      <c r="AX1" s="12">
        <f>IF(AX2="","",SUM(AX2,AX3))</f>
        <v>962.924423040083</v>
      </c>
      <c r="AY1" s="12">
        <f>IF(AY2="","",SUM(AY2,AY3))</f>
        <v>1089.06203778391</v>
      </c>
      <c r="AZ1" s="12">
        <f>IF(AZ2="","",SUM(AZ2,AZ3))</f>
        <v>1091.20568820982</v>
      </c>
      <c r="BA1" s="12">
        <f>IF(BA2="","",SUM(BA2,BA3))</f>
        <v>4061.67642129916</v>
      </c>
      <c r="BB1" s="12">
        <f>IF(BB2="","",SUM(BB2,BB3))</f>
        <v>1225.65927623728</v>
      </c>
      <c r="BC1" s="12">
        <f>IF(BC2="","",SUM(BC2,BC3))</f>
        <v>1284.96185188192</v>
      </c>
      <c r="BD1" s="12">
        <f>IF(BD2="","",SUM(BD2,BD3))</f>
        <v>1453.28453552669</v>
      </c>
      <c r="BE1" s="12">
        <f>IF(BE2="","",SUM(BE2,BE3))</f>
        <v>1456.14510168864</v>
      </c>
      <c r="BF1" s="12">
        <f>IF(BF2="","",SUM(BF2,BF3))</f>
        <v>5420.05076533452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IF(COUNT(I211,I287)&lt;2,"",ABS(I211-I287))</f>
        <v>0</v>
      </c>
      <c r="J2" s="12">
        <f>IF(COUNT(J211,J287)&lt;2,"",ABS(J211-J287))</f>
        <v>0</v>
      </c>
      <c r="K2" s="12">
        <f>IF(COUNT(K211,K287)&lt;2,"",ABS(K211-K287))</f>
        <v>0</v>
      </c>
      <c r="L2" s="12">
        <f>IF(COUNT(L211,L287)&lt;2,"",ABS(L211-L287))</f>
        <v>0</v>
      </c>
      <c r="M2" s="12">
        <f>IF(COUNT(M211,M287)&lt;2,"",ABS(M211-M287))</f>
        <v>0</v>
      </c>
      <c r="N2" s="12">
        <f>IF(COUNT(N211,N287)&lt;2,"",ABS(N211-N287))</f>
        <v>0</v>
      </c>
      <c r="O2" s="12">
        <f>IF(COUNT(O211,O287)&lt;2,"",ABS(O211-O287))</f>
        <v>0</v>
      </c>
      <c r="P2" s="12">
        <f>IF(COUNT(P211,P287)&lt;2,"",ABS(P211-P287))</f>
        <v>0</v>
      </c>
      <c r="Q2" s="12">
        <f>IF(COUNT(Q211,Q287)&lt;2,"",ABS(Q211-Q287))</f>
        <v>0</v>
      </c>
      <c r="R2" s="12">
        <f>IF(COUNT(R211,R287)&lt;2,"",ABS(R211-R287))</f>
        <v>0</v>
      </c>
      <c r="S2" s="12">
        <f>IF(COUNT(S211,S287)&lt;2,"",ABS(S211-S287))</f>
        <v>0</v>
      </c>
      <c r="T2" s="12">
        <f>IF(COUNT(T211,T287)&lt;2,"",ABS(T211-T287))</f>
        <v>0</v>
      </c>
      <c r="U2" s="12">
        <f>IF(COUNT(U211,U287)&lt;2,"",ABS(U211-U287))</f>
        <v>0</v>
      </c>
      <c r="V2" s="12">
        <f>IF(COUNT(V211,V287)&lt;2,"",ABS(V211-V287))</f>
        <v>0</v>
      </c>
      <c r="W2" s="12">
        <f>IF(COUNT(W211,W287)&lt;2,"",ABS(W211-W287))</f>
        <v>0</v>
      </c>
      <c r="X2" s="12">
        <f>IF(COUNT(X211,X287)&lt;2,"",ABS(X211-X287))</f>
        <v>0</v>
      </c>
      <c r="Y2" s="12">
        <f>IF(COUNT(Y211,Y287)&lt;2,"",ABS(Y211-Y287))</f>
        <v>0</v>
      </c>
      <c r="Z2" s="12">
        <f>IF(COUNT(Z211,Z287)&lt;2,"",ABS(Z211-Z287))</f>
        <v>0</v>
      </c>
      <c r="AA2" s="12">
        <f>IF(COUNT(AA211,AA287)&lt;2,"",ABS(AA211-AA287))</f>
        <v>0</v>
      </c>
      <c r="AB2" s="12">
        <f>IF(COUNT(AB211,AB287)&lt;2,"",ABS(AB211-AB287))</f>
        <v>0</v>
      </c>
      <c r="AC2" s="12">
        <f>IF(COUNT(AC211,AC287)&lt;2,"",ABS(AC211-AC287))</f>
        <v>0</v>
      </c>
      <c r="AD2" s="12">
        <f>IF(COUNT(AD211,AD287)&lt;2,"",ABS(AD211-AD287))</f>
        <v>0</v>
      </c>
      <c r="AE2" s="12">
        <f>IF(COUNT(AE211,AE287)&lt;2,"",ABS(AE211-AE287))</f>
        <v>0</v>
      </c>
      <c r="AF2" s="12">
        <f>IF(COUNT(AF211,AF287)&lt;2,"",ABS(AF211-AF287))</f>
        <v>0</v>
      </c>
      <c r="AG2" s="12">
        <f>IF(COUNT(AG211,AG287)&lt;2,"",ABS(AG211-AG287))</f>
        <v>0</v>
      </c>
      <c r="AH2" s="12">
        <f>IF(COUNT(AH211,AH287)&lt;2,"",ABS(AH211-AH287))</f>
        <v>0</v>
      </c>
      <c r="AI2" s="12">
        <f>IF(COUNT(AI211,AI287)&lt;2,"",ABS(AI211-AI287))</f>
        <v>0</v>
      </c>
      <c r="AJ2" s="12">
        <f>IF(COUNT(AJ211,AJ287)&lt;2,"",ABS(AJ211-AJ287))</f>
        <v>0</v>
      </c>
      <c r="AK2" s="12">
        <f>IF(COUNT(AK211,AK287)&lt;2,"",ABS(AK211-AK287))</f>
        <v>0</v>
      </c>
      <c r="AL2" s="12">
        <f>IF(COUNT(AL211,AL287)&lt;2,"",ABS(AL211-AL287))</f>
        <v>0</v>
      </c>
      <c r="AM2" s="12">
        <f>IF(COUNT(AM211,AM287)&lt;2,"",ABS(AM211-AM287))</f>
        <v>0</v>
      </c>
      <c r="AN2" s="12">
        <f>IF(COUNT(AN211,AN287)&lt;2,"",ABS(AN211-AN287))</f>
        <v>0</v>
      </c>
      <c r="AO2" s="12">
        <f>IF(COUNT(AO211,AO287)&lt;2,"",ABS(AO211-AO287))</f>
        <v>0</v>
      </c>
      <c r="AP2" s="12">
        <f>IF(COUNT(AP211,AP287)&lt;2,"",ABS(AP211-AP287))</f>
        <v>0</v>
      </c>
      <c r="AQ2" s="12">
        <f>IF(COUNT(AQ211,AQ287)&lt;2,"",ABS(AQ211-AQ287))</f>
        <v>0</v>
      </c>
      <c r="AR2" s="12">
        <f>IF(COUNT(AR211,AR287)&lt;2,"",ABS(AR211-AR287))</f>
        <v>0</v>
      </c>
      <c r="AS2" s="12">
        <f>IF(COUNT(AS211,AS287)&lt;2,"",ABS(AS211-AS287))</f>
        <v>0</v>
      </c>
      <c r="AT2" s="12">
        <f>IF(COUNT(AT211,AT287)&lt;2,"",ABS(AT211-AT287))</f>
        <v>0</v>
      </c>
      <c r="AU2" s="12">
        <f>IF(COUNT(AU211,AU287)&lt;2,"",ABS(AU211-AU287))</f>
        <v>0</v>
      </c>
      <c r="AV2" s="12">
        <f>IF(COUNT(AV211,AV287)&lt;2,"",ABS(AV211-AV287))</f>
        <v>0</v>
      </c>
      <c r="AW2" s="12">
        <f>IF(COUNT(AW211,AW287)&lt;2,"",ABS(AW211-AW287))</f>
        <v>0</v>
      </c>
      <c r="AX2" s="12">
        <f>IF(COUNT(AX211,AX287)&lt;2,"",ABS(AX211-AX287))</f>
        <v>0</v>
      </c>
      <c r="AY2" s="12">
        <f>IF(COUNT(AY211,AY287)&lt;2,"",ABS(AY211-AY287))</f>
        <v>0</v>
      </c>
      <c r="AZ2" s="12">
        <f>IF(COUNT(AZ211,AZ287)&lt;2,"",ABS(AZ211-AZ287))</f>
        <v>0</v>
      </c>
      <c r="BA2" s="12">
        <f>IF(COUNT(BA211,BA287)&lt;2,"",ABS(BA211-BA287))</f>
        <v>0</v>
      </c>
      <c r="BB2" s="12">
        <f>IF(COUNT(BB211,BB287)&lt;2,"",ABS(BB211-BB287))</f>
        <v>0</v>
      </c>
      <c r="BC2" s="12">
        <f>IF(COUNT(BC211,BC287)&lt;2,"",ABS(BC211-BC287))</f>
        <v>0</v>
      </c>
      <c r="BD2" s="12">
        <f>IF(COUNT(BD211,BD287)&lt;2,"",ABS(BD211-BD287))</f>
        <v>0</v>
      </c>
      <c r="BE2" s="12">
        <f>IF(COUNT(BE211,BE287)&lt;2,"",ABS(BE211-BE287))</f>
        <v>0</v>
      </c>
      <c r="BF2" s="12">
        <f>IF(COUNT(BF211,BF287)&lt;2,"",ABS(BF211-BF287))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IF(COUNT(I151,I4)&lt;2,"",ABS(I151-I4))</f>
        <v>0</v>
      </c>
      <c r="J3" s="12">
        <f>IF(COUNT(J151,J4)&lt;2,"",ABS(J151-J4))</f>
        <v>0</v>
      </c>
      <c r="K3" s="12">
        <f>IF(COUNT(K151,K4)&lt;2,"",ABS(K151-K4))</f>
        <v>0.000350670000003106</v>
      </c>
      <c r="L3" s="12">
        <f>IF(COUNT(L151,L4)&lt;2,"",ABS(L151-L4))</f>
        <v>0.00100000000000477</v>
      </c>
      <c r="M3" s="12">
        <f>IF(COUNT(M151,M4)&lt;2,"",ABS(M151-M4))</f>
        <v>0.000649329999987458</v>
      </c>
      <c r="N3" s="12">
        <f>IF(COUNT(N151,N4)&lt;2,"",ABS(N151-N4))</f>
        <v>0</v>
      </c>
      <c r="O3" s="12">
        <f>IF(COUNT(O151,O4)&lt;2,"",ABS(O151-O4))</f>
        <v>0</v>
      </c>
      <c r="P3" s="12">
        <f>IF(COUNT(P151,P4)&lt;2,"",ABS(P151-P4))</f>
        <v>0</v>
      </c>
      <c r="Q3" s="12">
        <f>IF(COUNT(Q151,Q4)&lt;2,"",ABS(Q151-Q4))</f>
        <v>0</v>
      </c>
      <c r="R3" s="12">
        <f>IF(COUNT(R151,R4)&lt;2,"",ABS(R151-R4))</f>
        <v>0</v>
      </c>
      <c r="S3" s="12">
        <f>IF(COUNT(S151,S4)&lt;2,"",ABS(S151-S4))</f>
        <v>0</v>
      </c>
      <c r="T3" s="12">
        <f>IF(COUNT(T151,T4)&lt;2,"",ABS(T151-T4))</f>
        <v>0</v>
      </c>
      <c r="U3" s="12">
        <f>IF(COUNT(U151,U4)&lt;2,"",ABS(U151-U4))</f>
        <v>0</v>
      </c>
      <c r="V3" s="12">
        <f>IF(COUNT(V151,V4)&lt;2,"",ABS(V151-V4))</f>
        <v>0</v>
      </c>
      <c r="W3" s="12">
        <f>IF(COUNT(W151,W4)&lt;2,"",ABS(W151-W4))</f>
        <v>0</v>
      </c>
      <c r="X3" s="12">
        <f>IF(COUNT(X151,X4)&lt;2,"",ABS(X151-X4))</f>
        <v>0</v>
      </c>
      <c r="Y3" s="12">
        <f>IF(COUNT(Y151,Y4)&lt;2,"",ABS(Y151-Y4))</f>
        <v>0.000263390000071695</v>
      </c>
      <c r="Z3" s="12">
        <f>IF(COUNT(Z151,Z4)&lt;2,"",ABS(Z151-Z4))</f>
        <v>0.000999999999947931</v>
      </c>
      <c r="AA3" s="12">
        <f>IF(COUNT(AA151,AA4)&lt;2,"",ABS(AA151-AA4))</f>
        <v>0</v>
      </c>
      <c r="AB3" s="12">
        <f>IF(COUNT(AB151,AB4)&lt;2,"",ABS(AB151-AB4))</f>
        <v>0.000736609999876237</v>
      </c>
      <c r="AC3" s="12">
        <f>IF(COUNT(AC151,AC4)&lt;2,"",ABS(AC151-AC4))</f>
        <v>0</v>
      </c>
      <c r="AD3" s="12">
        <f>IF(COUNT(AD151,AD4)&lt;2,"",ABS(AD151-AD4))</f>
        <v>0.000341759999940905</v>
      </c>
      <c r="AE3" s="12">
        <f>IF(COUNT(AE151,AE4)&lt;2,"",ABS(AE151-AE4))</f>
        <v>0</v>
      </c>
      <c r="AF3" s="12">
        <f>IF(COUNT(AF151,AF4)&lt;2,"",ABS(AF151-AF4))</f>
        <v>0</v>
      </c>
      <c r="AG3" s="12">
        <f>IF(COUNT(AG151,AG4)&lt;2,"",ABS(AG151-AG4))</f>
        <v>0.00034175999985564</v>
      </c>
      <c r="AH3" s="12">
        <f>IF(COUNT(AH151,AH4)&lt;2,"",ABS(AH151-AH4))</f>
        <v>0</v>
      </c>
      <c r="AI3" s="12">
        <f>IF(COUNT(AI151,AI4)&lt;2,"",ABS(AI151-AI4))</f>
        <v>0</v>
      </c>
      <c r="AJ3" s="12">
        <f>ABS(AJ151-AJ4)</f>
        <v>448.16443121448</v>
      </c>
      <c r="AK3" s="12">
        <f>ABS(AK151-AK4)</f>
        <v>449.04657368251</v>
      </c>
      <c r="AL3" s="12">
        <f>ABS(AL151-AL4)</f>
        <v>1470.52900489699</v>
      </c>
      <c r="AM3" s="12">
        <f>ABS(AM151-AM4)</f>
        <v>510.045665763748</v>
      </c>
      <c r="AN3" s="12">
        <f>ABS(AN151-AN4)</f>
        <v>534.723830619674</v>
      </c>
      <c r="AO3" s="12">
        <f>ABS(AO151-AO4)</f>
        <v>604.769606723371</v>
      </c>
      <c r="AP3" s="12">
        <f>ABS(AP151-AP4)</f>
        <v>605.960002293183</v>
      </c>
      <c r="AQ3" s="12">
        <f>ABS(AQ151-AQ4)</f>
        <v>2255.49910539998</v>
      </c>
      <c r="AR3" s="12">
        <f>ABS(AR151-AR4)</f>
        <v>685.724197776365</v>
      </c>
      <c r="AS3" s="12">
        <f>ABS(AS151-AS4)</f>
        <v>718.90243246067</v>
      </c>
      <c r="AT3" s="12">
        <f>ABS(AT151-AT4)</f>
        <v>813.07455635159</v>
      </c>
      <c r="AU3" s="12">
        <f>ABS(AU151-AU4)</f>
        <v>814.67496804399</v>
      </c>
      <c r="AV3" s="12">
        <f>ABS(AV151-AV4)</f>
        <v>3032.37615463262</v>
      </c>
      <c r="AW3" s="12">
        <f>ABS(AW151-AW4)</f>
        <v>918.484272265352</v>
      </c>
      <c r="AX3" s="12">
        <f>ABS(AX151-AX4)</f>
        <v>962.924423040083</v>
      </c>
      <c r="AY3" s="12">
        <f>ABS(AY151-AY4)</f>
        <v>1089.06203778391</v>
      </c>
      <c r="AZ3" s="12">
        <f>ABS(AZ151-AZ4)</f>
        <v>1091.20568820982</v>
      </c>
      <c r="BA3" s="12">
        <f>ABS(BA151-BA4)</f>
        <v>4061.67642129916</v>
      </c>
      <c r="BB3" s="12">
        <f>ABS(BB151-BB4)</f>
        <v>1225.65927623728</v>
      </c>
      <c r="BC3" s="12">
        <f>ABS(BC151-BC4)</f>
        <v>1284.96185188192</v>
      </c>
      <c r="BD3" s="12">
        <f>ABS(BD151-BD4)</f>
        <v>1453.28453552669</v>
      </c>
      <c r="BE3" s="12">
        <f>ABS(BE151-BE4)</f>
        <v>1456.14510168864</v>
      </c>
      <c r="BF3" s="12">
        <f>ABS(BF151-BF4)</f>
        <v>5420.05076533452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49.993</v>
      </c>
      <c r="J4">
        <f>IF(ISNUMBER('Inputs (2)'!E50),'Inputs (2)'!E50,"")</f>
        <v>78.603</v>
      </c>
      <c r="K4">
        <f>IF(ISNUMBER('Inputs (2)'!F50),'Inputs (2)'!F50,"")</f>
        <v>67.397764092</v>
      </c>
      <c r="L4">
        <f>IF(ISNUMBER('Inputs (2)'!G50),'Inputs (2)'!G50,"")</f>
        <v>103.753</v>
      </c>
      <c r="M4" s="11">
        <f>IF(COUNT(I4:L4)=4,SUM(I4:L4),"")</f>
        <v>299.746764092</v>
      </c>
      <c r="N4">
        <f>IF(ISNUMBER('Inputs (2)'!I50),'Inputs (2)'!I50,"")</f>
        <v>61.903</v>
      </c>
      <c r="O4">
        <f>IF(ISNUMBER('Inputs (2)'!J50),'Inputs (2)'!J50,"")</f>
        <v>86.325</v>
      </c>
      <c r="P4">
        <f>IF(ISNUMBER('Inputs (2)'!K50),'Inputs (2)'!K50,"")</f>
        <v>89.872</v>
      </c>
      <c r="Q4">
        <f>IF(ISNUMBER('Inputs (2)'!L50),'Inputs (2)'!L50,"")</f>
        <v>91.785</v>
      </c>
      <c r="R4" s="11">
        <f>IF(COUNT(N4:Q4)=4,SUM(N4:Q4),"")</f>
        <v>329.885</v>
      </c>
      <c r="S4">
        <f>IF(ISNUMBER('Inputs (2)'!N50),'Inputs (2)'!N50,"")</f>
        <v>91.849</v>
      </c>
      <c r="T4">
        <f>IF(ISNUMBER('Inputs (2)'!O50),'Inputs (2)'!O50,"")</f>
        <v>121.373</v>
      </c>
      <c r="U4">
        <f>IF(ISNUMBER('Inputs (2)'!P50),'Inputs (2)'!P50,"")</f>
        <v>108.22</v>
      </c>
      <c r="V4">
        <f>IF(ISNUMBER('Inputs (2)'!Q50),'Inputs (2)'!Q50,"")</f>
        <v>160.323</v>
      </c>
      <c r="W4" s="11">
        <f>IF(COUNT(S4:V4)=4,SUM(S4:V4),"")</f>
        <v>481.765</v>
      </c>
      <c r="X4">
        <f>IF(ISNUMBER('Inputs (2)'!S50),'Inputs (2)'!S50,"")</f>
        <v>141.241</v>
      </c>
      <c r="Y4">
        <f>IF(ISNUMBER('Inputs (2)'!T50),'Inputs (2)'!T50,"")</f>
        <v>172.247</v>
      </c>
      <c r="Z4">
        <f>IF(ISNUMBER('Inputs (2)'!U50),'Inputs (2)'!U50,"")</f>
        <v>170.571</v>
      </c>
      <c r="AA4">
        <f>IF(ISNUMBER('Inputs (2)'!V50),'Inputs (2)'!V50,"")</f>
        <v>165.784</v>
      </c>
      <c r="AB4" s="11">
        <f>IF(COUNT(X4:AA4)=4,SUM(X4:AA4),"")</f>
        <v>649.843</v>
      </c>
      <c r="AC4">
        <f>IF(ISNUMBER('Inputs (2)'!X50),'Inputs (2)'!X50,"")</f>
        <v>213.475</v>
      </c>
      <c r="AD4">
        <f>IF(ISNUMBER('Inputs (2)'!Y50),'Inputs (2)'!Y50,"")</f>
        <v>236.7306</v>
      </c>
      <c r="AE4">
        <f>IF(ISNUMBER('Inputs (2)'!Z50),'Inputs (2)'!Z50,"")</f>
        <v>255.253</v>
      </c>
      <c r="AF4">
        <f>IF(ISNUMBER('Inputs (2)'!AA50),'Inputs (2)'!AA50,"")</f>
        <v>270.077</v>
      </c>
      <c r="AG4" s="11">
        <f>IF(COUNT(AC4:AF4)=4,SUM(AC4:AF4),"")</f>
        <v>975.5356</v>
      </c>
      <c r="AH4" s="11">
        <f>IF(ISNUMBER('Inputs (2)'!AC50),'Inputs (2)'!AC50,"")</f>
        <v>302.867</v>
      </c>
      <c r="AI4" s="11">
        <f>IF(ISNUMBER('Inputs (2)'!AD50),'Inputs (2)'!AD50,"")</f>
        <v>270.451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339.286</v>
      </c>
      <c r="J15" s="34">
        <f>'Inputs (2)'!E4</f>
        <v>451.337</v>
      </c>
      <c r="K15" s="34">
        <f>'Inputs (2)'!F4</f>
        <v>456.44958043</v>
      </c>
      <c r="L15" s="34">
        <f>'Inputs (2)'!G4</f>
        <v>491.223</v>
      </c>
      <c r="M15" s="35">
        <f>'Inputs (2)'!H4</f>
        <v>1738.29558043</v>
      </c>
      <c r="N15" s="34">
        <f>'Inputs (2)'!I4</f>
        <v>447.374</v>
      </c>
      <c r="O15" s="34">
        <f>'Inputs (2)'!J4</f>
        <v>602.783</v>
      </c>
      <c r="P15" s="34">
        <f>'Inputs (2)'!K4</f>
        <v>626.659</v>
      </c>
      <c r="Q15" s="34">
        <f>'Inputs (2)'!L4</f>
        <v>580.478</v>
      </c>
      <c r="R15" s="35">
        <f>'Inputs (2)'!M4</f>
        <v>2257.294</v>
      </c>
      <c r="S15" s="34">
        <f>'Inputs (2)'!N4</f>
        <v>594.956</v>
      </c>
      <c r="T15" s="34">
        <f>'Inputs (2)'!O4</f>
        <v>727.746</v>
      </c>
      <c r="U15" s="34">
        <f>'Inputs (2)'!P4</f>
        <v>751.874</v>
      </c>
      <c r="V15" s="34">
        <f>'Inputs (2)'!Q4</f>
        <v>811.596</v>
      </c>
      <c r="W15" s="35">
        <f>'Inputs (2)'!R4</f>
        <v>2886.172</v>
      </c>
      <c r="X15" s="34">
        <f>'Inputs (2)'!S4</f>
        <v>837.382</v>
      </c>
      <c r="Y15" s="34">
        <f>'Inputs (2)'!T4</f>
        <v>998.085</v>
      </c>
      <c r="Z15" s="34">
        <f>'Inputs (2)'!U4</f>
        <v>1055.872</v>
      </c>
      <c r="AA15" s="34">
        <f>'Inputs (2)'!V4</f>
        <v>1034.971</v>
      </c>
      <c r="AB15" s="35">
        <f>'Inputs (2)'!W4</f>
        <v>3926.31</v>
      </c>
      <c r="AC15" s="34">
        <f>'Inputs (2)'!X4</f>
        <v>1216.184</v>
      </c>
      <c r="AD15" s="34">
        <f>'Inputs (2)'!Y4</f>
        <v>1346.599</v>
      </c>
      <c r="AE15" s="34">
        <f>'Inputs (2)'!Z4</f>
        <v>1416.926</v>
      </c>
      <c r="AF15" s="34">
        <f>'Inputs (2)'!AA4</f>
        <v>1419.715</v>
      </c>
      <c r="AG15" s="35">
        <f>'Inputs (2)'!AB4</f>
        <v>5399.424</v>
      </c>
      <c r="AH15" s="35">
        <f>'Inputs (2)'!AC4</f>
        <v>1612.571</v>
      </c>
      <c r="AI15" s="35">
        <f>'Inputs (2)'!AD4</f>
        <v>1690.594</v>
      </c>
      <c r="AJ15" s="35">
        <f>AE15*(1+AJ16)</f>
        <v>1912.0521846278</v>
      </c>
      <c r="AK15" s="35">
        <f>AF15*(1+AK16)</f>
        <v>1915.81576405462</v>
      </c>
      <c r="AL15" s="35">
        <f>SUM(AH15:AK15)</f>
        <v>7131.03294868241</v>
      </c>
      <c r="AM15" s="35">
        <f>AH15*(1+AM16)</f>
        <v>2176.06276080574</v>
      </c>
      <c r="AN15" s="35">
        <f>AI15*(1+AN16)</f>
        <v>2281.34987361277</v>
      </c>
      <c r="AO15" s="35">
        <f>AJ15*(1+AO16)</f>
        <v>2580.19371282616</v>
      </c>
      <c r="AP15" s="35">
        <f>AK15*(1+AP16)</f>
        <v>2585.27242566302</v>
      </c>
      <c r="AQ15" s="35">
        <f>SUM(AM15:AP15)</f>
        <v>9622.87877290769</v>
      </c>
      <c r="AR15" s="35">
        <f>AM15*(1+AR16)</f>
        <v>2925.5790042449</v>
      </c>
      <c r="AS15" s="35">
        <f>AN15*(1+AS16)</f>
        <v>3067.13088050226</v>
      </c>
      <c r="AT15" s="35">
        <f>AO15*(1+AT16)</f>
        <v>3468.90755592633</v>
      </c>
      <c r="AU15" s="35">
        <f>AP15*(1+AU16)</f>
        <v>3475.73556470977</v>
      </c>
      <c r="AV15" s="35">
        <f>SUM(AR15:AU15)</f>
        <v>12937.3530053833</v>
      </c>
      <c r="AW15" s="35">
        <f>AR15*(1+AW16)</f>
        <v>3918.62838059715</v>
      </c>
      <c r="AX15" s="35">
        <f>AS15*(1+AX16)</f>
        <v>4108.22818249073</v>
      </c>
      <c r="AY15" s="35">
        <f>AT15*(1+AY16)</f>
        <v>4646.38267453976</v>
      </c>
      <c r="AZ15" s="35">
        <f>AU15*(1+AZ16)</f>
        <v>4655.52836124414</v>
      </c>
      <c r="BA15" s="35">
        <f>SUM(AW15:AZ15)</f>
        <v>17328.7675988718</v>
      </c>
      <c r="BB15" s="35">
        <f>AW15*(1+BB16)</f>
        <v>5229.16218582563</v>
      </c>
      <c r="BC15" s="35">
        <f>AX15*(1+BC16)</f>
        <v>5482.17115177173</v>
      </c>
      <c r="BD15" s="35">
        <f>AY15*(1+BD16)</f>
        <v>6200.30434702159</v>
      </c>
      <c r="BE15" s="35">
        <f>AZ15*(1+BE16)</f>
        <v>6212.50868854955</v>
      </c>
      <c r="BF15" s="35">
        <f>SUM(BB15:BE15)</f>
        <v>23124.1463731685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0.318574889621146</v>
      </c>
      <c r="O16" s="40">
        <f>IFERROR(O15/J15-1,"")</f>
        <v>0.335549711191416</v>
      </c>
      <c r="P16" s="40">
        <f>IFERROR(P15/K15-1,"")</f>
        <v>0.372898622033246</v>
      </c>
      <c r="Q16" s="40">
        <f>IFERROR(Q15/L15-1,"")</f>
        <v>0.181699553970396</v>
      </c>
      <c r="R16" s="40">
        <f>IFERROR(R15/M15-1,"")</f>
        <v>0.298567415929123</v>
      </c>
      <c r="S16" s="40">
        <f>IFERROR(S15/N15-1,"")</f>
        <v>0.329885062609807</v>
      </c>
      <c r="T16" s="40">
        <f>IFERROR(T15/O15-1,"")</f>
        <v>0.207310093350343</v>
      </c>
      <c r="U16" s="40">
        <f>IFERROR(U15/P15-1,"")</f>
        <v>0.199813614741031</v>
      </c>
      <c r="V16" s="40">
        <f>IFERROR(V15/Q15-1,"")</f>
        <v>0.398151178856046</v>
      </c>
      <c r="W16" s="40">
        <f>IFERROR(W15/R15-1,"")</f>
        <v>0.27859817994466</v>
      </c>
      <c r="X16" s="40">
        <f>IFERROR(X15/S15-1,"")</f>
        <v>0.407468787607823</v>
      </c>
      <c r="Y16" s="40">
        <f>IFERROR(Y15/T15-1,"")</f>
        <v>0.371474388041982</v>
      </c>
      <c r="Z16" s="40">
        <f>IFERROR(Z15/U15-1,"")</f>
        <v>0.404320404748668</v>
      </c>
      <c r="AA16" s="40">
        <f>IFERROR(AA15/V15-1,"")</f>
        <v>0.275229301277976</v>
      </c>
      <c r="AB16" s="40">
        <f>IFERROR(AB15/W15-1,"")</f>
        <v>0.360386699060209</v>
      </c>
      <c r="AC16" s="40">
        <f>IFERROR(AC15/X15-1,"")</f>
        <v>0.452364631673478</v>
      </c>
      <c r="AD16" s="40">
        <f>IFERROR(AD15/Y15-1,"")</f>
        <v>0.349182684841471</v>
      </c>
      <c r="AE16" s="40">
        <f>IFERROR(AE15/Z15-1,"")</f>
        <v>0.341948645290338</v>
      </c>
      <c r="AF16" s="41">
        <f>IFERROR(AF15/AA15-1,"")</f>
        <v>0.371743749341769</v>
      </c>
      <c r="AG16" s="40">
        <f>IFERROR(AG15/AB15-1,"")</f>
        <v>0.375190445991274</v>
      </c>
      <c r="AH16" s="41">
        <f>IFERROR(AH15/AC15-1,"")</f>
        <v>0.325926833439677</v>
      </c>
      <c r="AI16" s="41">
        <f>IFERROR(AI15/AD15-1,"")</f>
        <v>0.255454667647904</v>
      </c>
      <c r="AJ16" s="41">
        <f>Control!$B$18</f>
        <v>0.349436868705773</v>
      </c>
      <c r="AK16" s="41">
        <f>Control!$B$18</f>
        <v>0.349436868705773</v>
      </c>
      <c r="AL16" s="42">
        <f>IFERROR(AL15/AG15-1,"")</f>
        <v>0.320702532100167</v>
      </c>
      <c r="AM16" s="41">
        <f>Control!$C$18</f>
        <v>0.349436868705773</v>
      </c>
      <c r="AN16" s="41">
        <f>Control!$C$18</f>
        <v>0.349436868705773</v>
      </c>
      <c r="AO16" s="41">
        <f>Control!$C$18</f>
        <v>0.349436868705773</v>
      </c>
      <c r="AP16" s="41">
        <f>Control!$C$18</f>
        <v>0.349436868705773</v>
      </c>
      <c r="AQ16" s="42">
        <f>IFERROR(AQ15/AL15-1,"")</f>
        <v>0.349436868705773</v>
      </c>
      <c r="AR16" s="41">
        <f>Control!$D$18</f>
        <v>0.344436868705773</v>
      </c>
      <c r="AS16" s="41">
        <f>Control!$D$18</f>
        <v>0.344436868705773</v>
      </c>
      <c r="AT16" s="41">
        <f>Control!$D$18</f>
        <v>0.344436868705773</v>
      </c>
      <c r="AU16" s="41">
        <f>Control!$D$18</f>
        <v>0.344436868705773</v>
      </c>
      <c r="AV16" s="42">
        <f>IFERROR(AV15/AQ15-1,"")</f>
        <v>0.344436868705773</v>
      </c>
      <c r="AW16" s="41">
        <f>Control!$E$18</f>
        <v>0.339436868705773</v>
      </c>
      <c r="AX16" s="41">
        <f>Control!$E$18</f>
        <v>0.339436868705773</v>
      </c>
      <c r="AY16" s="41">
        <f>Control!$E$18</f>
        <v>0.339436868705773</v>
      </c>
      <c r="AZ16" s="41">
        <f>Control!$E$18</f>
        <v>0.339436868705773</v>
      </c>
      <c r="BA16" s="42">
        <f>IFERROR(BA15/AV15-1,"")</f>
        <v>0.339436868705773</v>
      </c>
      <c r="BB16" s="41">
        <f>Control!$F$18</f>
        <v>0.334436868705773</v>
      </c>
      <c r="BC16" s="41">
        <f>Control!$F$18</f>
        <v>0.334436868705773</v>
      </c>
      <c r="BD16" s="41">
        <f>Control!$F$18</f>
        <v>0.334436868705773</v>
      </c>
      <c r="BE16" s="41">
        <f>Control!$F$18</f>
        <v>0.334436868705773</v>
      </c>
      <c r="BF16" s="42">
        <f>IFERROR(BF15/BA15-1,"")</f>
        <v>0.334436868705773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IF(ISNUMBER(I31),I31,"")</f>
        <v>0</v>
      </c>
      <c r="J17" s="40">
        <f>IF(ISNUMBER(J31),J31,"")</f>
        <v>0</v>
      </c>
      <c r="K17" s="40">
        <f>IF(ISNUMBER(K31),K31,"")</f>
        <v>0</v>
      </c>
      <c r="L17" s="40">
        <f>IF(ISNUMBER(L31),L31,"")</f>
        <v>0</v>
      </c>
      <c r="M17" s="39">
        <f>IF(ISNUMBER(M31),M31,"")</f>
        <v>0</v>
      </c>
      <c r="N17" s="40">
        <f>IF(ISNUMBER(N31),N31,"")</f>
        <v>0</v>
      </c>
      <c r="O17" s="40">
        <f>IF(ISNUMBER(O31),O31,"")</f>
        <v>0</v>
      </c>
      <c r="P17" s="40">
        <f>IF(ISNUMBER(P31),P31,"")</f>
        <v>0</v>
      </c>
      <c r="Q17" s="40">
        <f>IF(ISNUMBER(Q31),Q31,"")</f>
        <v>0</v>
      </c>
      <c r="R17" s="40">
        <f>IF(ISNUMBER(R31),R31,"")</f>
        <v>0</v>
      </c>
      <c r="S17" s="40">
        <f>IF(ISNUMBER(S31),S31,"")</f>
        <v>0</v>
      </c>
      <c r="T17" s="40">
        <f>IF(ISNUMBER(T31),T31,"")</f>
        <v>0</v>
      </c>
      <c r="U17" s="40">
        <f>IF(ISNUMBER(U31),U31,"")</f>
        <v>0</v>
      </c>
      <c r="V17" s="40">
        <f>IF(ISNUMBER(V31),V31,"")</f>
        <v>0</v>
      </c>
      <c r="W17" s="40">
        <f>IF(ISNUMBER(W31),W31,"")</f>
        <v>0</v>
      </c>
      <c r="X17" s="40">
        <f>IF(ISNUMBER(X31),X31,"")</f>
        <v>0</v>
      </c>
      <c r="Y17" s="40">
        <f>IF(ISNUMBER(Y31),Y31,"")</f>
        <v>0</v>
      </c>
      <c r="Z17" s="40">
        <f>IF(ISNUMBER(Z31),Z31,"")</f>
        <v>0</v>
      </c>
      <c r="AA17" s="40">
        <f>IF(ISNUMBER(AA31),AA31,"")</f>
        <v>0</v>
      </c>
      <c r="AB17" s="40">
        <f>IF(ISNUMBER(AB31),AB31,"")</f>
        <v>0</v>
      </c>
      <c r="AC17" s="40">
        <f>IF(ISNUMBER(AC31),AC31,"")</f>
        <v>0</v>
      </c>
      <c r="AD17" s="40">
        <f>IF(ISNUMBER(AD31),AD31,"")</f>
        <v>0</v>
      </c>
      <c r="AE17" s="40">
        <f>IF(ISNUMBER(AE31),AE31,"")</f>
        <v>0</v>
      </c>
      <c r="AF17" s="40">
        <f>IF(ISNUMBER(AF31),AF31,"")</f>
        <v>0</v>
      </c>
      <c r="AG17" s="40">
        <f>IF(ISNUMBER(AG31),AG31,"")</f>
        <v>0</v>
      </c>
      <c r="AH17" s="41">
        <f>IF(ISNUMBER(AH31),AH31,"")</f>
        <v>0</v>
      </c>
      <c r="AI17" s="41">
        <f>IF(ISNUMBER(AI31),AI31,"")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Lancamentos - como a Cia divulga (Resultados Operacionais; R$ milhoes)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>VGV lancado 100%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590.494842</v>
      </c>
      <c r="J19" s="269">
        <f>IFERROR(INDEX('Inputs (2)'!$D$53:$AL$53,MATCH(J$7&amp;"",'Inputs (2)'!$D$2:$AL$2,0)),"")</f>
        <v>686.188668</v>
      </c>
      <c r="K19" s="269">
        <f>IFERROR(INDEX('Inputs (2)'!$D$53:$AL$53,MATCH(K$7&amp;"",'Inputs (2)'!$D$2:$AL$2,0)),"")</f>
        <v>720.223748</v>
      </c>
      <c r="L19" s="269">
        <f>IFERROR(INDEX('Inputs (2)'!$D$53:$AL$53,MATCH(L$7&amp;"",'Inputs (2)'!$D$2:$AL$2,0)),"")</f>
        <v>788.101234956</v>
      </c>
      <c r="M19" s="270">
        <f>IF(COUNT(I19:L19)=4,SUM(I19:L19),"")</f>
        <v>2785.008492956</v>
      </c>
      <c r="N19" s="269">
        <f>IFERROR(INDEX('Inputs (2)'!$D$53:$AL$53,MATCH(N$7&amp;"",'Inputs (2)'!$D$2:$AL$2,0)),"")</f>
        <v>781.15</v>
      </c>
      <c r="O19" s="269">
        <f>IFERROR(INDEX('Inputs (2)'!$D$53:$AL$53,MATCH(O$7&amp;"",'Inputs (2)'!$D$2:$AL$2,0)),"")</f>
        <v>1056.318</v>
      </c>
      <c r="P19" s="269">
        <f>IFERROR(INDEX('Inputs (2)'!$D$53:$AL$53,MATCH(P$7&amp;"",'Inputs (2)'!$D$2:$AL$2,0)),"")</f>
        <v>919.146343</v>
      </c>
      <c r="Q19" s="269">
        <f>IFERROR(INDEX('Inputs (2)'!$D$53:$AL$53,MATCH(Q$7&amp;"",'Inputs (2)'!$D$2:$AL$2,0)),"")</f>
        <v>556.15909318</v>
      </c>
      <c r="R19" s="270">
        <f>IF(COUNT(N19:Q19)=4,SUM(N19:Q19),"")</f>
        <v>3312.77343618</v>
      </c>
      <c r="S19" s="269">
        <f>IFERROR(INDEX('Inputs (2)'!$D$53:$AL$53,MATCH(S$7&amp;"",'Inputs (2)'!$D$2:$AL$2,0)),"")</f>
        <v>1419.980923</v>
      </c>
      <c r="T19" s="269">
        <f>IFERROR(INDEX('Inputs (2)'!$D$53:$AL$53,MATCH(T$7&amp;"",'Inputs (2)'!$D$2:$AL$2,0)),"")</f>
        <v>1222.565181</v>
      </c>
      <c r="U19" s="269">
        <f>IFERROR(INDEX('Inputs (2)'!$D$53:$AL$53,MATCH(U$7&amp;"",'Inputs (2)'!$D$2:$AL$2,0)),"")</f>
        <v>941.717108</v>
      </c>
      <c r="V19" s="269">
        <f>IFERROR(INDEX('Inputs (2)'!$D$53:$AL$53,MATCH(V$7&amp;"",'Inputs (2)'!$D$2:$AL$2,0)),"")</f>
        <v>856.606653</v>
      </c>
      <c r="W19" s="270">
        <f>IF(COUNT(S19:V19)=4,SUM(S19:V19),"")</f>
        <v>4440.869865</v>
      </c>
      <c r="X19" s="269">
        <f>IFERROR(INDEX('Inputs (2)'!$D$53:$AL$53,MATCH(X$7&amp;"",'Inputs (2)'!$D$2:$AL$2,0)),"")</f>
        <v>1884.33801</v>
      </c>
      <c r="Y19" s="269">
        <f>IFERROR(INDEX('Inputs (2)'!$D$53:$AL$53,MATCH(Y$7&amp;"",'Inputs (2)'!$D$2:$AL$2,0)),"")</f>
        <v>1734.686945</v>
      </c>
      <c r="Z19" s="269">
        <f>IFERROR(INDEX('Inputs (2)'!$D$53:$AL$53,MATCH(Z$7&amp;"",'Inputs (2)'!$D$2:$AL$2,0)),"")</f>
        <v>1560.697</v>
      </c>
      <c r="AA19" s="269">
        <f>IFERROR(INDEX('Inputs (2)'!$D$53:$AL$53,MATCH(AA$7&amp;"",'Inputs (2)'!$D$2:$AL$2,0)),"")</f>
        <v>1399.837</v>
      </c>
      <c r="AB19" s="270">
        <f>IF(COUNT(X19:AA19)=4,SUM(X19:AA19),"")</f>
        <v>6579.558955</v>
      </c>
      <c r="AC19" s="269">
        <f>IFERROR(INDEX('Inputs (2)'!$D$53:$AL$53,MATCH(AC$7&amp;"",'Inputs (2)'!$D$2:$AL$2,0)),"")</f>
        <v>2783.509</v>
      </c>
      <c r="AD19" s="269">
        <f>IFERROR(INDEX('Inputs (2)'!$D$53:$AL$53,MATCH(AD$7&amp;"",'Inputs (2)'!$D$2:$AL$2,0)),"")</f>
        <v>2225.285611</v>
      </c>
      <c r="AE19" s="269">
        <f>IFERROR(INDEX('Inputs (2)'!$D$53:$AL$53,MATCH(AE$7&amp;"",'Inputs (2)'!$D$2:$AL$2,0)),"")</f>
        <v>1986.377642</v>
      </c>
      <c r="AF19" s="269">
        <f>IFERROR(INDEX('Inputs (2)'!$D$53:$AL$53,MATCH(AF$7&amp;"",'Inputs (2)'!$D$2:$AL$2,0)),"")</f>
        <v>1289.513823</v>
      </c>
      <c r="AG19" s="270">
        <f>IF(COUNT(AC19:AF19)=4,SUM(AC19:AF19),"")</f>
        <v>8284.686076</v>
      </c>
      <c r="AH19" s="270">
        <f>IFERROR(INDEX('Inputs (2)'!$D$53:$AL$53,MATCH(AH$7&amp;"",'Inputs (2)'!$D$2:$AL$2,0)),"")</f>
        <v>2646.75813942</v>
      </c>
      <c r="AI19" s="270">
        <f>IFERROR(INDEX('Inputs (2)'!$D$53:$AL$53,MATCH(AI$7&amp;"",'Inputs (2)'!$D$2:$AL$2,0)),"")</f>
        <v>2256.88923928</v>
      </c>
    </row>
    <row r="20">
      <c r="C20" s="268" t="inlineStr">
        <is>
          <t>VGV lancado parte Cury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472.469289</v>
      </c>
      <c r="J20" s="269">
        <f>IFERROR(INDEX('Inputs (2)'!$D$54:$AL$54,MATCH(J$7&amp;"",'Inputs (2)'!$D$2:$AL$2,0)),"")</f>
        <v>650.171568</v>
      </c>
      <c r="K20" s="269">
        <f>IFERROR(INDEX('Inputs (2)'!$D$54:$AL$54,MATCH(K$7&amp;"",'Inputs (2)'!$D$2:$AL$2,0)),"")</f>
        <v>633.1727036</v>
      </c>
      <c r="L20" s="269">
        <f>IFERROR(INDEX('Inputs (2)'!$D$54:$AL$54,MATCH(L$7&amp;"",'Inputs (2)'!$D$2:$AL$2,0)),"")</f>
        <v>719.679333707</v>
      </c>
      <c r="M20" s="270">
        <f>IF(COUNT(I20:L20)=4,SUM(I20:L20),"")</f>
        <v>2475.492894307</v>
      </c>
      <c r="N20" s="269">
        <f>IFERROR(INDEX('Inputs (2)'!$D$54:$AL$54,MATCH(N$7&amp;"",'Inputs (2)'!$D$2:$AL$2,0)),"")</f>
        <v>781.15</v>
      </c>
      <c r="O20" s="269">
        <f>IFERROR(INDEX('Inputs (2)'!$D$54:$AL$54,MATCH(O$7&amp;"",'Inputs (2)'!$D$2:$AL$2,0)),"")</f>
        <v>1056.318</v>
      </c>
      <c r="P20" s="269">
        <f>IFERROR(INDEX('Inputs (2)'!$D$54:$AL$54,MATCH(P$7&amp;"",'Inputs (2)'!$D$2:$AL$2,0)),"")</f>
        <v>876.846343</v>
      </c>
      <c r="Q20" s="269">
        <f>IFERROR(INDEX('Inputs (2)'!$D$54:$AL$54,MATCH(Q$7&amp;"",'Inputs (2)'!$D$2:$AL$2,0)),"")</f>
        <v>556.15909318</v>
      </c>
      <c r="R20" s="270">
        <f>IF(COUNT(N20:Q20)=4,SUM(N20:Q20),"")</f>
        <v>3270.47343618</v>
      </c>
      <c r="S20" s="269">
        <f>IFERROR(INDEX('Inputs (2)'!$D$54:$AL$54,MATCH(S$7&amp;"",'Inputs (2)'!$D$2:$AL$2,0)),"")</f>
        <v>1419.980923</v>
      </c>
      <c r="T20" s="269">
        <f>IFERROR(INDEX('Inputs (2)'!$D$54:$AL$54,MATCH(T$7&amp;"",'Inputs (2)'!$D$2:$AL$2,0)),"")</f>
        <v>1137.9662765</v>
      </c>
      <c r="U20" s="269">
        <f>IFERROR(INDEX('Inputs (2)'!$D$54:$AL$54,MATCH(U$7&amp;"",'Inputs (2)'!$D$2:$AL$2,0)),"")</f>
        <v>805.5771061</v>
      </c>
      <c r="V20" s="269">
        <f>IFERROR(INDEX('Inputs (2)'!$D$54:$AL$54,MATCH(V$7&amp;"",'Inputs (2)'!$D$2:$AL$2,0)),"")</f>
        <v>856.606653</v>
      </c>
      <c r="W20" s="270">
        <f>IF(COUNT(S20:V20)=4,SUM(S20:V20),"")</f>
        <v>4220.1309586</v>
      </c>
      <c r="X20" s="269">
        <f>IFERROR(INDEX('Inputs (2)'!$D$54:$AL$54,MATCH(X$7&amp;"",'Inputs (2)'!$D$2:$AL$2,0)),"")</f>
        <v>1499.854846</v>
      </c>
      <c r="Y20" s="269">
        <f>IFERROR(INDEX('Inputs (2)'!$D$54:$AL$54,MATCH(Y$7&amp;"",'Inputs (2)'!$D$2:$AL$2,0)),"")</f>
        <v>1676.918567</v>
      </c>
      <c r="Z20" s="269">
        <f>IFERROR(INDEX('Inputs (2)'!$D$54:$AL$54,MATCH(Z$7&amp;"",'Inputs (2)'!$D$2:$AL$2,0)),"")</f>
        <v>1503.046</v>
      </c>
      <c r="AA20" s="269">
        <f>IFERROR(INDEX('Inputs (2)'!$D$54:$AL$54,MATCH(AA$7&amp;"",'Inputs (2)'!$D$2:$AL$2,0)),"")</f>
        <v>1060.952</v>
      </c>
      <c r="AB20" s="270">
        <f>IF(COUNT(X20:AA20)=4,SUM(X20:AA20),"")</f>
        <v>5740.771413</v>
      </c>
      <c r="AC20" s="269">
        <f>IFERROR(INDEX('Inputs (2)'!$D$54:$AL$54,MATCH(AC$7&amp;"",'Inputs (2)'!$D$2:$AL$2,0)),"")</f>
        <v>2666.305</v>
      </c>
      <c r="AD20" s="269">
        <f>IFERROR(INDEX('Inputs (2)'!$D$54:$AL$54,MATCH(AD$7&amp;"",'Inputs (2)'!$D$2:$AL$2,0)),"")</f>
        <v>1960.487651</v>
      </c>
      <c r="AE20" s="269">
        <f>IFERROR(INDEX('Inputs (2)'!$D$54:$AL$54,MATCH(AE$7&amp;"",'Inputs (2)'!$D$2:$AL$2,0)),"")</f>
        <v>1733.913905</v>
      </c>
      <c r="AF20" s="269">
        <f>IFERROR(INDEX('Inputs (2)'!$D$54:$AL$54,MATCH(AF$7&amp;"",'Inputs (2)'!$D$2:$AL$2,0)),"")</f>
        <v>1179.132223</v>
      </c>
      <c r="AG20" s="270">
        <f>IF(COUNT(AC20:AF20)=4,SUM(AC20:AF20),"")</f>
        <v>7539.838779</v>
      </c>
      <c r="AH20" s="270">
        <f>IFERROR(INDEX('Inputs (2)'!$D$54:$AL$54,MATCH(AH$7&amp;"",'Inputs (2)'!$D$2:$AL$2,0)),"")</f>
        <v>2268.903862852</v>
      </c>
      <c r="AI20" s="270">
        <f>IFERROR(INDEX('Inputs (2)'!$D$54:$AL$54,MATCH(AI$7&amp;"",'Inputs (2)'!$D$2:$AL$2,0)),"")</f>
        <v>1943.92785928</v>
      </c>
    </row>
    <row r="21">
      <c r="C21" s="268" t="inlineStr">
        <is>
          <t xml:space="preserve">   % Cury no VGV lancado</t>
        </is>
      </c>
      <c r="D21" s="271" t="str">
        <f>IFERROR(D20/D19,"")</f>
        <v/>
      </c>
      <c r="E21" s="271" t="str">
        <f>IFERROR(E20/E19,"")</f>
        <v/>
      </c>
      <c r="F21" s="271" t="str">
        <f>IFERROR(F20/F19,"")</f>
        <v/>
      </c>
      <c r="G21" s="271" t="str">
        <f>IFERROR(G20/G19,"")</f>
        <v/>
      </c>
      <c r="H21" s="272" t="str">
        <f>IFERROR(H20/H19,"")</f>
        <v/>
      </c>
      <c r="I21" s="271">
        <f>IFERROR(I20/I19,"")</f>
        <v>0.800124328605058</v>
      </c>
      <c r="J21" s="271">
        <f>IFERROR(J20/J19,"")</f>
        <v>0.947511374524769</v>
      </c>
      <c r="K21" s="271">
        <f>IFERROR(K20/K19,"")</f>
        <v>0.879133332326609</v>
      </c>
      <c r="L21" s="271">
        <f>IFERROR(L20/L19,"")</f>
        <v>0.913181329740183</v>
      </c>
      <c r="M21" s="272">
        <f>IFERROR(M20/M19,"")</f>
        <v>0.888863678717015</v>
      </c>
      <c r="N21" s="271">
        <f>IFERROR(N20/N19,"")</f>
        <v>1</v>
      </c>
      <c r="O21" s="271">
        <f>IFERROR(O20/O19,"")</f>
        <v>1</v>
      </c>
      <c r="P21" s="271">
        <f>IFERROR(P20/P19,"")</f>
        <v>0.953979036828959</v>
      </c>
      <c r="Q21" s="271">
        <f>IFERROR(Q20/Q19,"")</f>
        <v>1</v>
      </c>
      <c r="R21" s="272">
        <f>IFERROR(R20/R19,"")</f>
        <v>0.987231242698934</v>
      </c>
      <c r="S21" s="271">
        <f>IFERROR(S20/S19,"")</f>
        <v>1</v>
      </c>
      <c r="T21" s="271">
        <f>IFERROR(T20/T19,"")</f>
        <v>0.930802131604302</v>
      </c>
      <c r="U21" s="271">
        <f>IFERROR(U20/U19,"")</f>
        <v>0.855434290464223</v>
      </c>
      <c r="V21" s="271">
        <f>IFERROR(V20/V19,"")</f>
        <v>1</v>
      </c>
      <c r="W21" s="272">
        <f>IFERROR(W20/W19,"")</f>
        <v>0.950293768313339</v>
      </c>
      <c r="X21" s="271">
        <f>IFERROR(X20/X19,"")</f>
        <v>0.795958494728873</v>
      </c>
      <c r="Y21" s="271">
        <f>IFERROR(Y20/Y19,"")</f>
        <v>0.96669809606482</v>
      </c>
      <c r="Z21" s="271">
        <f>IFERROR(Z20/Z19,"")</f>
        <v>0.963060735043381</v>
      </c>
      <c r="AA21" s="271">
        <f>IFERROR(AA20/AA19,"")</f>
        <v>0.757911099649459</v>
      </c>
      <c r="AB21" s="272">
        <f>IFERROR(AB20/AB19,"")</f>
        <v>0.872516144663073</v>
      </c>
      <c r="AC21" s="271">
        <f>IFERROR(AC20/AC19,"")</f>
        <v>0.957893435947216</v>
      </c>
      <c r="AD21" s="271">
        <f>IFERROR(AD20/AD19,"")</f>
        <v>0.88100495563758</v>
      </c>
      <c r="AE21" s="271">
        <f>IFERROR(AE20/AE19,"")</f>
        <v>0.872902447318223</v>
      </c>
      <c r="AF21" s="271">
        <f>IFERROR(AF20/AF19,"")</f>
        <v>0.91440060739853</v>
      </c>
      <c r="AG21" s="272">
        <f>IFERROR(AG20/AG19,"")</f>
        <v>0.910093479684432</v>
      </c>
      <c r="AH21" s="272">
        <f>IFERROR(AH20/AH19,"")</f>
        <v>0.857238834580178</v>
      </c>
      <c r="AI21" s="272">
        <f>IFERROR(AI20/AI19,"")</f>
        <v>0.861330642836579</v>
      </c>
    </row>
    <row r="22">
      <c r="C22" s="268" t="inlineStr">
        <is>
          <t>Unidades lancadas</t>
        </is>
      </c>
      <c r="D22" s="273" t="str">
        <f>IFERROR(INDEX('Inputs (2)'!$D$55:$AL$55,MATCH(D$7&amp;"",'Inputs (2)'!$D$2:$AL$2,0)),"")</f>
        <v/>
      </c>
      <c r="E22" s="273" t="str">
        <f>IFERROR(INDEX('Inputs (2)'!$D$55:$AL$55,MATCH(E$7&amp;"",'Inputs (2)'!$D$2:$AL$2,0)),"")</f>
        <v/>
      </c>
      <c r="F22" s="273" t="str">
        <f>IFERROR(INDEX('Inputs (2)'!$D$55:$AL$55,MATCH(F$7&amp;"",'Inputs (2)'!$D$2:$AL$2,0)),"")</f>
        <v/>
      </c>
      <c r="G22" s="273" t="str">
        <f>IFERROR(INDEX('Inputs (2)'!$D$55:$AL$55,MATCH(G$7&amp;"",'Inputs (2)'!$D$2:$AL$2,0)),"")</f>
        <v/>
      </c>
      <c r="H22" s="274" t="str">
        <f>IF(COUNT(D22:G22)=4,SUM(D22:G22),"")</f>
        <v/>
      </c>
      <c r="I22" s="273">
        <f>IFERROR(INDEX('Inputs (2)'!$D$55:$AL$55,MATCH(I$7&amp;"",'Inputs (2)'!$D$2:$AL$2,0)),"")</f>
        <v>2957</v>
      </c>
      <c r="J22" s="273">
        <f>IFERROR(INDEX('Inputs (2)'!$D$55:$AL$55,MATCH(J$7&amp;"",'Inputs (2)'!$D$2:$AL$2,0)),"")</f>
        <v>3244</v>
      </c>
      <c r="K22" s="273">
        <f>IFERROR(INDEX('Inputs (2)'!$D$55:$AL$55,MATCH(K$7&amp;"",'Inputs (2)'!$D$2:$AL$2,0)),"")</f>
        <v>3163</v>
      </c>
      <c r="L22" s="273">
        <f>IFERROR(INDEX('Inputs (2)'!$D$55:$AL$55,MATCH(L$7&amp;"",'Inputs (2)'!$D$2:$AL$2,0)),"")</f>
        <v>3275</v>
      </c>
      <c r="M22" s="274">
        <f>IF(COUNT(I22:L22)=4,SUM(I22:L22),"")</f>
        <v>12639</v>
      </c>
      <c r="N22" s="273">
        <f>IFERROR(INDEX('Inputs (2)'!$D$55:$AL$55,MATCH(N$7&amp;"",'Inputs (2)'!$D$2:$AL$2,0)),"")</f>
        <v>3240</v>
      </c>
      <c r="O22" s="273">
        <f>IFERROR(INDEX('Inputs (2)'!$D$55:$AL$55,MATCH(O$7&amp;"",'Inputs (2)'!$D$2:$AL$2,0)),"")</f>
        <v>3548</v>
      </c>
      <c r="P22" s="273">
        <f>IFERROR(INDEX('Inputs (2)'!$D$55:$AL$55,MATCH(P$7&amp;"",'Inputs (2)'!$D$2:$AL$2,0)),"")</f>
        <v>3650</v>
      </c>
      <c r="Q22" s="273">
        <f>IFERROR(INDEX('Inputs (2)'!$D$55:$AL$55,MATCH(Q$7&amp;"",'Inputs (2)'!$D$2:$AL$2,0)),"")</f>
        <v>2147</v>
      </c>
      <c r="R22" s="274">
        <f>IF(COUNT(N22:Q22)=4,SUM(N22:Q22),"")</f>
        <v>12585</v>
      </c>
      <c r="S22" s="273">
        <f>IFERROR(INDEX('Inputs (2)'!$D$55:$AL$55,MATCH(S$7&amp;"",'Inputs (2)'!$D$2:$AL$2,0)),"")</f>
        <v>5095</v>
      </c>
      <c r="T22" s="273">
        <f>IFERROR(INDEX('Inputs (2)'!$D$55:$AL$55,MATCH(T$7&amp;"",'Inputs (2)'!$D$2:$AL$2,0)),"")</f>
        <v>3799</v>
      </c>
      <c r="U22" s="273">
        <f>IFERROR(INDEX('Inputs (2)'!$D$55:$AL$55,MATCH(U$7&amp;"",'Inputs (2)'!$D$2:$AL$2,0)),"")</f>
        <v>3658</v>
      </c>
      <c r="V22" s="273">
        <f>IFERROR(INDEX('Inputs (2)'!$D$55:$AL$55,MATCH(V$7&amp;"",'Inputs (2)'!$D$2:$AL$2,0)),"")</f>
        <v>3123</v>
      </c>
      <c r="W22" s="274">
        <f>IF(COUNT(S22:V22)=4,SUM(S22:V22),"")</f>
        <v>15675</v>
      </c>
      <c r="X22" s="273">
        <f>IFERROR(INDEX('Inputs (2)'!$D$55:$AL$55,MATCH(X$7&amp;"",'Inputs (2)'!$D$2:$AL$2,0)),"")</f>
        <v>5959</v>
      </c>
      <c r="Y22" s="273">
        <f>IFERROR(INDEX('Inputs (2)'!$D$55:$AL$55,MATCH(Y$7&amp;"",'Inputs (2)'!$D$2:$AL$2,0)),"")</f>
        <v>5588</v>
      </c>
      <c r="Z22" s="273">
        <f>IFERROR(INDEX('Inputs (2)'!$D$55:$AL$55,MATCH(Z$7&amp;"",'Inputs (2)'!$D$2:$AL$2,0)),"")</f>
        <v>5157</v>
      </c>
      <c r="AA22" s="273">
        <f>IFERROR(INDEX('Inputs (2)'!$D$55:$AL$55,MATCH(AA$7&amp;"",'Inputs (2)'!$D$2:$AL$2,0)),"")</f>
        <v>4061</v>
      </c>
      <c r="AB22" s="274">
        <f>IF(COUNT(X22:AA22)=4,SUM(X22:AA22),"")</f>
        <v>20765</v>
      </c>
      <c r="AC22" s="273">
        <f>IFERROR(INDEX('Inputs (2)'!$D$55:$AL$55,MATCH(AC$7&amp;"",'Inputs (2)'!$D$2:$AL$2,0)),"")</f>
        <v>9132</v>
      </c>
      <c r="AD22" s="273">
        <f>IFERROR(INDEX('Inputs (2)'!$D$55:$AL$55,MATCH(AD$7&amp;"",'Inputs (2)'!$D$2:$AL$2,0)),"")</f>
        <v>6588</v>
      </c>
      <c r="AE22" s="273">
        <f>IFERROR(INDEX('Inputs (2)'!$D$55:$AL$55,MATCH(AE$7&amp;"",'Inputs (2)'!$D$2:$AL$2,0)),"")</f>
        <v>6813</v>
      </c>
      <c r="AF22" s="273">
        <f>IFERROR(INDEX('Inputs (2)'!$D$55:$AL$55,MATCH(AF$7&amp;"",'Inputs (2)'!$D$2:$AL$2,0)),"")</f>
        <v>3833</v>
      </c>
      <c r="AG22" s="274">
        <f>IF(COUNT(AC22:AF22)=4,SUM(AC22:AF22),"")</f>
        <v>26366</v>
      </c>
      <c r="AH22" s="274">
        <f>IFERROR(INDEX('Inputs (2)'!$D$55:$AL$55,MATCH(AH$7&amp;"",'Inputs (2)'!$D$2:$AL$2,0)),"")</f>
        <v>8001</v>
      </c>
      <c r="AI22" s="274">
        <f>IFERROR(INDEX('Inputs (2)'!$D$55:$AL$55,MATCH(AI$7&amp;"",'Inputs (2)'!$D$2:$AL$2,0)),"")</f>
        <v>6549</v>
      </c>
    </row>
    <row r="23">
      <c r="C23" s="268" t="inlineStr">
        <is>
          <t xml:space="preserve">   Preco medio lancado (R$ mil/unidade)</t>
        </is>
      </c>
      <c r="D23" s="269" t="str">
        <f>IFERROR(D19/D22*1000,"")</f>
        <v/>
      </c>
      <c r="E23" s="269" t="str">
        <f>IFERROR(E19/E22*1000,"")</f>
        <v/>
      </c>
      <c r="F23" s="269" t="str">
        <f>IFERROR(F19/F22*1000,"")</f>
        <v/>
      </c>
      <c r="G23" s="269" t="str">
        <f>IFERROR(G19/G22*1000,"")</f>
        <v/>
      </c>
      <c r="H23" s="270" t="str">
        <f>IFERROR(H19/H22*1000,"")</f>
        <v/>
      </c>
      <c r="I23" s="269">
        <f>IFERROR(I19/I22*1000,"")</f>
        <v>199.693893134934</v>
      </c>
      <c r="J23" s="269">
        <f>IFERROR(J19/J22*1000,"")</f>
        <v>211.525483353884</v>
      </c>
      <c r="K23" s="269">
        <f>IFERROR(K19/K22*1000,"")</f>
        <v>227.702734113184</v>
      </c>
      <c r="L23" s="269">
        <f>IFERROR(L19/L22*1000,"")</f>
        <v>240.641598459847</v>
      </c>
      <c r="M23" s="270">
        <f>IFERROR(M19/M22*1000,"")</f>
        <v>220.350383175568</v>
      </c>
      <c r="N23" s="269">
        <f>IFERROR(N19/N22*1000,"")</f>
        <v>241.095679012346</v>
      </c>
      <c r="O23" s="269">
        <f>IFERROR(O19/O22*1000,"")</f>
        <v>297.722096956032</v>
      </c>
      <c r="P23" s="269">
        <f>IFERROR(P19/P22*1000,"")</f>
        <v>251.820915890411</v>
      </c>
      <c r="Q23" s="269">
        <f>IFERROR(Q19/Q22*1000,"")</f>
        <v>259.040099292035</v>
      </c>
      <c r="R23" s="270">
        <f>IFERROR(R19/R22*1000,"")</f>
        <v>263.231897988081</v>
      </c>
      <c r="S23" s="269">
        <f>IFERROR(S19/S22*1000,"")</f>
        <v>278.700868105986</v>
      </c>
      <c r="T23" s="269">
        <f>IFERROR(T19/T22*1000,"")</f>
        <v>321.812366675441</v>
      </c>
      <c r="U23" s="269">
        <f>IFERROR(U19/U22*1000,"")</f>
        <v>257.440434117004</v>
      </c>
      <c r="V23" s="269">
        <f>IFERROR(V19/V22*1000,"")</f>
        <v>274.289674351585</v>
      </c>
      <c r="W23" s="270">
        <f>IFERROR(W19/W22*1000,"")</f>
        <v>283.309082296651</v>
      </c>
      <c r="X23" s="269">
        <f>IFERROR(X19/X22*1000,"")</f>
        <v>316.217152206746</v>
      </c>
      <c r="Y23" s="269">
        <f>IFERROR(Y19/Y22*1000,"")</f>
        <v>310.430734609878</v>
      </c>
      <c r="Z23" s="269">
        <f>IFERROR(Z19/Z22*1000,"")</f>
        <v>302.636610432422</v>
      </c>
      <c r="AA23" s="269">
        <f>IFERROR(AA19/AA22*1000,"")</f>
        <v>344.702536321103</v>
      </c>
      <c r="AB23" s="270">
        <f>IFERROR(AB19/AB22*1000,"")</f>
        <v>316.858124488322</v>
      </c>
      <c r="AC23" s="269">
        <f>IFERROR(AC19/AC22*1000,"")</f>
        <v>304.808256679807</v>
      </c>
      <c r="AD23" s="269">
        <f>IFERROR(AD19/AD22*1000,"")</f>
        <v>337.778629477839</v>
      </c>
      <c r="AE23" s="269">
        <f>IFERROR(AE19/AE22*1000,"")</f>
        <v>291.556970791135</v>
      </c>
      <c r="AF23" s="269">
        <f>IFERROR(AF19/AF22*1000,"")</f>
        <v>336.424164623011</v>
      </c>
      <c r="AG23" s="270">
        <f>IFERROR(AG19/AG22*1000,"")</f>
        <v>314.218541910036</v>
      </c>
      <c r="AH23" s="270">
        <f>IFERROR(AH19/AH22*1000,"")</f>
        <v>330.803417000375</v>
      </c>
      <c r="AI23" s="270">
        <f>IFERROR(AI19/AI22*1000,"")</f>
        <v>344.615855745915</v>
      </c>
    </row>
    <row r="24">
      <c r="C24" s="268" t="inlineStr">
        <is>
          <t>Empreendimentos lancados</t>
        </is>
      </c>
      <c r="D24" s="273" t="str">
        <f>IFERROR(INDEX('Inputs (2)'!$D$56:$AL$56,MATCH(D$7&amp;"",'Inputs (2)'!$D$2:$AL$2,0)),"")</f>
        <v/>
      </c>
      <c r="E24" s="273" t="str">
        <f>IFERROR(INDEX('Inputs (2)'!$D$56:$AL$56,MATCH(E$7&amp;"",'Inputs (2)'!$D$2:$AL$2,0)),"")</f>
        <v/>
      </c>
      <c r="F24" s="273" t="str">
        <f>IFERROR(INDEX('Inputs (2)'!$D$56:$AL$56,MATCH(F$7&amp;"",'Inputs (2)'!$D$2:$AL$2,0)),"")</f>
        <v/>
      </c>
      <c r="G24" s="273" t="str">
        <f>IFERROR(INDEX('Inputs (2)'!$D$56:$AL$56,MATCH(G$7&amp;"",'Inputs (2)'!$D$2:$AL$2,0)),"")</f>
        <v/>
      </c>
      <c r="H24" s="274" t="str">
        <f>IF(COUNT(D24:G24)=4,SUM(D24:G24),"")</f>
        <v/>
      </c>
      <c r="I24" s="273">
        <f>IFERROR(INDEX('Inputs (2)'!$D$56:$AL$56,MATCH(I$7&amp;"",'Inputs (2)'!$D$2:$AL$2,0)),"")</f>
        <v>6</v>
      </c>
      <c r="J24" s="273">
        <f>IFERROR(INDEX('Inputs (2)'!$D$56:$AL$56,MATCH(J$7&amp;"",'Inputs (2)'!$D$2:$AL$2,0)),"")</f>
        <v>7</v>
      </c>
      <c r="K24" s="273">
        <f>IFERROR(INDEX('Inputs (2)'!$D$56:$AL$56,MATCH(K$7&amp;"",'Inputs (2)'!$D$2:$AL$2,0)),"")</f>
        <v>6</v>
      </c>
      <c r="L24" s="273">
        <f>IFERROR(INDEX('Inputs (2)'!$D$56:$AL$56,MATCH(L$7&amp;"",'Inputs (2)'!$D$2:$AL$2,0)),"")</f>
        <v>7</v>
      </c>
      <c r="M24" s="274">
        <f>IF(COUNT(I24:L24)=4,SUM(I24:L24),"")</f>
        <v>26</v>
      </c>
      <c r="N24" s="273">
        <f>IFERROR(INDEX('Inputs (2)'!$D$56:$AL$56,MATCH(N$7&amp;"",'Inputs (2)'!$D$2:$AL$2,0)),"")</f>
        <v>5</v>
      </c>
      <c r="O24" s="273">
        <f>IFERROR(INDEX('Inputs (2)'!$D$56:$AL$56,MATCH(O$7&amp;"",'Inputs (2)'!$D$2:$AL$2,0)),"")</f>
        <v>7</v>
      </c>
      <c r="P24" s="273">
        <f>IFERROR(INDEX('Inputs (2)'!$D$56:$AL$56,MATCH(P$7&amp;"",'Inputs (2)'!$D$2:$AL$2,0)),"")</f>
        <v>6</v>
      </c>
      <c r="Q24" s="273">
        <f>IFERROR(INDEX('Inputs (2)'!$D$56:$AL$56,MATCH(Q$7&amp;"",'Inputs (2)'!$D$2:$AL$2,0)),"")</f>
        <v>5</v>
      </c>
      <c r="R24" s="274">
        <f>IF(COUNT(N24:Q24)=4,SUM(N24:Q24),"")</f>
        <v>23</v>
      </c>
      <c r="S24" s="273">
        <f>IFERROR(INDEX('Inputs (2)'!$D$56:$AL$56,MATCH(S$7&amp;"",'Inputs (2)'!$D$2:$AL$2,0)),"")</f>
        <v>8</v>
      </c>
      <c r="T24" s="273">
        <f>IFERROR(INDEX('Inputs (2)'!$D$56:$AL$56,MATCH(T$7&amp;"",'Inputs (2)'!$D$2:$AL$2,0)),"")</f>
        <v>8</v>
      </c>
      <c r="U24" s="273">
        <f>IFERROR(INDEX('Inputs (2)'!$D$56:$AL$56,MATCH(U$7&amp;"",'Inputs (2)'!$D$2:$AL$2,0)),"")</f>
        <v>7</v>
      </c>
      <c r="V24" s="273">
        <f>IFERROR(INDEX('Inputs (2)'!$D$56:$AL$56,MATCH(V$7&amp;"",'Inputs (2)'!$D$2:$AL$2,0)),"")</f>
        <v>6</v>
      </c>
      <c r="W24" s="274">
        <f>IF(COUNT(S24:V24)=4,SUM(S24:V24),"")</f>
        <v>29</v>
      </c>
      <c r="X24" s="273">
        <f>IFERROR(INDEX('Inputs (2)'!$D$56:$AL$56,MATCH(X$7&amp;"",'Inputs (2)'!$D$2:$AL$2,0)),"")</f>
        <v>10</v>
      </c>
      <c r="Y24" s="273">
        <f>IFERROR(INDEX('Inputs (2)'!$D$56:$AL$56,MATCH(Y$7&amp;"",'Inputs (2)'!$D$2:$AL$2,0)),"")</f>
        <v>8</v>
      </c>
      <c r="Z24" s="273">
        <f>IFERROR(INDEX('Inputs (2)'!$D$56:$AL$56,MATCH(Z$7&amp;"",'Inputs (2)'!$D$2:$AL$2,0)),"")</f>
        <v>9</v>
      </c>
      <c r="AA24" s="273">
        <f>IFERROR(INDEX('Inputs (2)'!$D$56:$AL$56,MATCH(AA$7&amp;"",'Inputs (2)'!$D$2:$AL$2,0)),"")</f>
        <v>7</v>
      </c>
      <c r="AB24" s="274">
        <f>IF(COUNT(X24:AA24)=4,SUM(X24:AA24),"")</f>
        <v>34</v>
      </c>
      <c r="AC24" s="273">
        <f>IFERROR(INDEX('Inputs (2)'!$D$56:$AL$56,MATCH(AC$7&amp;"",'Inputs (2)'!$D$2:$AL$2,0)),"")</f>
        <v>14</v>
      </c>
      <c r="AD24" s="273">
        <f>IFERROR(INDEX('Inputs (2)'!$D$56:$AL$56,MATCH(AD$7&amp;"",'Inputs (2)'!$D$2:$AL$2,0)),"")</f>
        <v>9</v>
      </c>
      <c r="AE24" s="273">
        <f>IFERROR(INDEX('Inputs (2)'!$D$56:$AL$56,MATCH(AE$7&amp;"",'Inputs (2)'!$D$2:$AL$2,0)),"")</f>
        <v>9</v>
      </c>
      <c r="AF24" s="273">
        <f>IFERROR(INDEX('Inputs (2)'!$D$56:$AL$56,MATCH(AF$7&amp;"",'Inputs (2)'!$D$2:$AL$2,0)),"")</f>
        <v>5</v>
      </c>
      <c r="AG24" s="274">
        <f>IF(COUNT(AC24:AF24)=4,SUM(AC24:AF24),"")</f>
        <v>37</v>
      </c>
      <c r="AH24" s="274">
        <f>IFERROR(INDEX('Inputs (2)'!$D$56:$AL$56,MATCH(AH$7&amp;"",'Inputs (2)'!$D$2:$AL$2,0)),"")</f>
        <v>10</v>
      </c>
      <c r="AI24" s="274">
        <f>IFERROR(INDEX('Inputs (2)'!$D$56:$AL$56,MATCH(AI$7&amp;"",'Inputs (2)'!$D$2:$AL$2,0)),"")</f>
        <v>11</v>
      </c>
    </row>
    <row r="25">
      <c r="C25" s="268" t="inlineStr">
        <is>
          <t xml:space="preserve">   % YoY VGV lancado 100%</t>
        </is>
      </c>
      <c r="D25" s="271" t="str">
        <f>""</f>
        <v/>
      </c>
      <c r="E25" s="271" t="str">
        <f>""</f>
        <v/>
      </c>
      <c r="F25" s="271" t="str">
        <f>""</f>
        <v/>
      </c>
      <c r="G25" s="271" t="str">
        <f>""</f>
        <v/>
      </c>
      <c r="H25" s="272" t="str">
        <f>""</f>
        <v/>
      </c>
      <c r="I25" s="271" t="str">
        <f>IFERROR(I19/D19-1,"")</f>
        <v/>
      </c>
      <c r="J25" s="271" t="str">
        <f>IFERROR(J19/E19-1,"")</f>
        <v/>
      </c>
      <c r="K25" s="271" t="str">
        <f>IFERROR(K19/F19-1,"")</f>
        <v/>
      </c>
      <c r="L25" s="271" t="str">
        <f>IFERROR(L19/G19-1,"")</f>
        <v/>
      </c>
      <c r="M25" s="272" t="str">
        <f>IFERROR(M19/H19-1,"")</f>
        <v/>
      </c>
      <c r="N25" s="271">
        <f>IFERROR(N19/I19-1,"")</f>
        <v>0.322873536632857</v>
      </c>
      <c r="O25" s="271">
        <f>IFERROR(O19/J19-1,"")</f>
        <v>0.539398782376861</v>
      </c>
      <c r="P25" s="271">
        <f>IFERROR(P19/K19-1,"")</f>
        <v>0.276195551108098</v>
      </c>
      <c r="Q25" s="271">
        <f>IFERROR(Q19/L19-1,"")</f>
        <v>-0.294305009925469</v>
      </c>
      <c r="R25" s="272">
        <f>IFERROR(R19/M19-1,"")</f>
        <v>0.189502094718509</v>
      </c>
      <c r="S25" s="271">
        <f>IFERROR(S19/N19-1,"")</f>
        <v>0.817808260897395</v>
      </c>
      <c r="T25" s="271">
        <f>IFERROR(T19/O19-1,"")</f>
        <v>0.157383648673979</v>
      </c>
      <c r="U25" s="271">
        <f>IFERROR(U19/P19-1,"")</f>
        <v>0.0245562256455609</v>
      </c>
      <c r="V25" s="271">
        <f>IFERROR(V19/Q19-1,"")</f>
        <v>0.540218731482218</v>
      </c>
      <c r="W25" s="272">
        <f>IFERROR(W19/R19-1,"")</f>
        <v>0.340529302879469</v>
      </c>
      <c r="X25" s="271">
        <f>IFERROR(X19/S19-1,"")</f>
        <v>0.327016426403075</v>
      </c>
      <c r="Y25" s="271">
        <f>IFERROR(Y19/T19-1,"")</f>
        <v>0.418891174032217</v>
      </c>
      <c r="Z25" s="271">
        <f>IFERROR(Z19/U19-1,"")</f>
        <v>0.657288570783828</v>
      </c>
      <c r="AA25" s="271">
        <f>IFERROR(AA19/V19-1,"")</f>
        <v>0.634165454000974</v>
      </c>
      <c r="AB25" s="272">
        <f>IFERROR(AB19/W19-1,"")</f>
        <v>0.481592380550427</v>
      </c>
      <c r="AC25" s="271">
        <f>IFERROR(AC19/X19-1,"")</f>
        <v>0.477181368325739</v>
      </c>
      <c r="AD25" s="271">
        <f>IFERROR(AD19/Y19-1,"")</f>
        <v>0.282816831828985</v>
      </c>
      <c r="AE25" s="271">
        <f>IFERROR(AE19/Z19-1,"")</f>
        <v>0.272750342955744</v>
      </c>
      <c r="AF25" s="271">
        <f>IFERROR(AF19/AA19-1,"")</f>
        <v>-0.07881144518969</v>
      </c>
      <c r="AG25" s="272">
        <f>IFERROR(AG19/AB19-1,"")</f>
        <v>0.259155231021104</v>
      </c>
      <c r="AH25" s="272">
        <f>IFERROR(AH19/AC19-1,"")</f>
        <v>-0.0491289450043094</v>
      </c>
      <c r="AI25" s="272">
        <f>IFERROR(AI19/AD19-1,"")</f>
        <v>0.0142020548390629</v>
      </c>
    </row>
    <row r="26"/>
    <row r="27">
      <c r="C27" s="267" t="inlineStr">
        <is>
          <t>Vendas e distratos (R$ milhoes)</t>
        </is>
      </c>
      <c r="D27" s="267">
        <f>D7</f>
        <v>0</v>
      </c>
      <c r="E27" s="267">
        <f>E7</f>
        <v>0</v>
      </c>
      <c r="F27" s="267">
        <f>F7</f>
        <v>0</v>
      </c>
      <c r="G27" s="267">
        <f>G7</f>
        <v>0</v>
      </c>
      <c r="H27" s="267">
        <f>H7</f>
        <v>2020</v>
      </c>
      <c r="I27" s="267" t="str">
        <f>I7</f>
        <v>1Q21</v>
      </c>
      <c r="J27" s="267" t="str">
        <f>J7</f>
        <v>2Q21</v>
      </c>
      <c r="K27" s="267" t="str">
        <f>K7</f>
        <v>3Q21</v>
      </c>
      <c r="L27" s="267" t="str">
        <f>L7</f>
        <v>4Q21</v>
      </c>
      <c r="M27" s="267">
        <f>M7</f>
        <v>2021</v>
      </c>
      <c r="N27" s="267" t="str">
        <f>N7</f>
        <v>1Q22</v>
      </c>
      <c r="O27" s="267" t="str">
        <f>O7</f>
        <v>2Q22</v>
      </c>
      <c r="P27" s="267" t="str">
        <f>P7</f>
        <v>3Q22</v>
      </c>
      <c r="Q27" s="267" t="str">
        <f>Q7</f>
        <v>4Q22</v>
      </c>
      <c r="R27" s="267">
        <f>R7</f>
        <v>2022</v>
      </c>
      <c r="S27" s="267" t="str">
        <f>S7</f>
        <v>1Q23</v>
      </c>
      <c r="T27" s="267" t="str">
        <f>T7</f>
        <v>2Q23</v>
      </c>
      <c r="U27" s="267" t="str">
        <f>U7</f>
        <v>3Q23</v>
      </c>
      <c r="V27" s="267" t="str">
        <f>V7</f>
        <v>4Q23</v>
      </c>
      <c r="W27" s="267">
        <f>W7</f>
        <v>2023</v>
      </c>
      <c r="X27" s="267" t="str">
        <f>X7</f>
        <v>1Q24</v>
      </c>
      <c r="Y27" s="267" t="str">
        <f>Y7</f>
        <v>2Q24</v>
      </c>
      <c r="Z27" s="267" t="str">
        <f>Z7</f>
        <v>3Q24</v>
      </c>
      <c r="AA27" s="267" t="str">
        <f>AA7</f>
        <v>4Q24</v>
      </c>
      <c r="AB27" s="267">
        <f>AB7</f>
        <v>2024</v>
      </c>
      <c r="AC27" s="267" t="str">
        <f>AC7</f>
        <v>1Q25</v>
      </c>
      <c r="AD27" s="267" t="str">
        <f>AD7</f>
        <v>2Q25</v>
      </c>
      <c r="AE27" s="267" t="str">
        <f>AE7</f>
        <v>3Q25</v>
      </c>
      <c r="AF27" s="267" t="str">
        <f>AF7</f>
        <v>4Q25</v>
      </c>
      <c r="AG27" s="267">
        <f>AG7</f>
        <v>2025</v>
      </c>
      <c r="AH27" s="267" t="str">
        <f>AH7</f>
        <v>1Q26</v>
      </c>
      <c r="AI27" s="267" t="str">
        <f>AI7</f>
        <v>2Q26</v>
      </c>
    </row>
    <row r="28">
      <c r="C28" s="268" t="inlineStr">
        <is>
          <t>Vendas brutas (VGV 100%)</t>
        </is>
      </c>
      <c r="D28" s="269" t="str">
        <f>IFERROR(INDEX('Inputs (2)'!$D$57:$AL$57,MATCH(D$7&amp;"",'Inputs (2)'!$D$2:$AL$2,0)),"")</f>
        <v/>
      </c>
      <c r="E28" s="269" t="str">
        <f>IFERROR(INDEX('Inputs (2)'!$D$57:$AL$57,MATCH(E$7&amp;"",'Inputs (2)'!$D$2:$AL$2,0)),"")</f>
        <v/>
      </c>
      <c r="F28" s="269" t="str">
        <f>IFERROR(INDEX('Inputs (2)'!$D$57:$AL$57,MATCH(F$7&amp;"",'Inputs (2)'!$D$2:$AL$2,0)),"")</f>
        <v/>
      </c>
      <c r="G28" s="269" t="str">
        <f>IFERROR(INDEX('Inputs (2)'!$D$57:$AL$57,MATCH(G$7&amp;"",'Inputs (2)'!$D$2:$AL$2,0)),"")</f>
        <v/>
      </c>
      <c r="H28" s="270" t="str">
        <f>IF(COUNT(D28:G28)=4,SUM(D28:G28),"")</f>
        <v/>
      </c>
      <c r="I28" s="269">
        <f>IFERROR(INDEX('Inputs (2)'!$D$57:$AL$57,MATCH(I$7&amp;"",'Inputs (2)'!$D$2:$AL$2,0)),"")</f>
        <v>633.518595</v>
      </c>
      <c r="J28" s="269">
        <f>IFERROR(INDEX('Inputs (2)'!$D$57:$AL$57,MATCH(J$7&amp;"",'Inputs (2)'!$D$2:$AL$2,0)),"")</f>
        <v>736.46839125</v>
      </c>
      <c r="K28" s="269">
        <f>IFERROR(INDEX('Inputs (2)'!$D$57:$AL$57,MATCH(K$7&amp;"",'Inputs (2)'!$D$2:$AL$2,0)),"")</f>
        <v>748.701792</v>
      </c>
      <c r="L28" s="269">
        <f>IFERROR(INDEX('Inputs (2)'!$D$57:$AL$57,MATCH(L$7&amp;"",'Inputs (2)'!$D$2:$AL$2,0)),"")</f>
        <v>671.69377856</v>
      </c>
      <c r="M28" s="270">
        <f>IF(COUNT(I28:L28)=4,SUM(I28:L28),"")</f>
        <v>2790.38255681</v>
      </c>
      <c r="N28" s="269">
        <f>IFERROR(INDEX('Inputs (2)'!$D$57:$AL$57,MATCH(N$7&amp;"",'Inputs (2)'!$D$2:$AL$2,0)),"")</f>
        <v>812.74016347</v>
      </c>
      <c r="O28" s="269">
        <f>IFERROR(INDEX('Inputs (2)'!$D$57:$AL$57,MATCH(O$7&amp;"",'Inputs (2)'!$D$2:$AL$2,0)),"")</f>
        <v>987.42073506</v>
      </c>
      <c r="P28" s="269">
        <f>IFERROR(INDEX('Inputs (2)'!$D$57:$AL$57,MATCH(P$7&amp;"",'Inputs (2)'!$D$2:$AL$2,0)),"")</f>
        <v>967.26329716</v>
      </c>
      <c r="Q28" s="269">
        <f>IFERROR(INDEX('Inputs (2)'!$D$57:$AL$57,MATCH(Q$7&amp;"",'Inputs (2)'!$D$2:$AL$2,0)),"")</f>
        <v>835.5111194</v>
      </c>
      <c r="R28" s="270">
        <f>IF(COUNT(N28:Q28)=4,SUM(N28:Q28),"")</f>
        <v>3602.93531509</v>
      </c>
      <c r="S28" s="269">
        <f>IFERROR(INDEX('Inputs (2)'!$D$57:$AL$57,MATCH(S$7&amp;"",'Inputs (2)'!$D$2:$AL$2,0)),"")</f>
        <v>1164.03701824</v>
      </c>
      <c r="T28" s="269">
        <f>IFERROR(INDEX('Inputs (2)'!$D$57:$AL$57,MATCH(T$7&amp;"",'Inputs (2)'!$D$2:$AL$2,0)),"")</f>
        <v>1342.268679</v>
      </c>
      <c r="U28" s="269">
        <f>IFERROR(INDEX('Inputs (2)'!$D$57:$AL$57,MATCH(U$7&amp;"",'Inputs (2)'!$D$2:$AL$2,0)),"")</f>
        <v>1154.32311335</v>
      </c>
      <c r="V28" s="269">
        <f>IFERROR(INDEX('Inputs (2)'!$D$57:$AL$57,MATCH(V$7&amp;"",'Inputs (2)'!$D$2:$AL$2,0)),"")</f>
        <v>1025.134116</v>
      </c>
      <c r="W28" s="270">
        <f>IF(COUNT(S28:V28)=4,SUM(S28:V28),"")</f>
        <v>4685.76292659</v>
      </c>
      <c r="X28" s="269">
        <f>IFERROR(INDEX('Inputs (2)'!$D$57:$AL$57,MATCH(X$7&amp;"",'Inputs (2)'!$D$2:$AL$2,0)),"")</f>
        <v>1679.48891586</v>
      </c>
      <c r="Y28" s="269">
        <f>IFERROR(INDEX('Inputs (2)'!$D$57:$AL$57,MATCH(Y$7&amp;"",'Inputs (2)'!$D$2:$AL$2,0)),"")</f>
        <v>1926.22049911</v>
      </c>
      <c r="Z28" s="269">
        <f>IFERROR(INDEX('Inputs (2)'!$D$57:$AL$57,MATCH(Z$7&amp;"",'Inputs (2)'!$D$2:$AL$2,0)),"")</f>
        <v>1590.24165394</v>
      </c>
      <c r="AA28" s="269">
        <f>IFERROR(INDEX('Inputs (2)'!$D$57:$AL$57,MATCH(AA$7&amp;"",'Inputs (2)'!$D$2:$AL$2,0)),"")</f>
        <v>1531.003</v>
      </c>
      <c r="AB28" s="270">
        <f>IF(COUNT(X28:AA28)=4,SUM(X28:AA28),"")</f>
        <v>6726.95406891</v>
      </c>
      <c r="AC28" s="269">
        <f>IFERROR(INDEX('Inputs (2)'!$D$57:$AL$57,MATCH(AC$7&amp;"",'Inputs (2)'!$D$2:$AL$2,0)),"")</f>
        <v>2225.41712449</v>
      </c>
      <c r="AD28" s="269">
        <f>IFERROR(INDEX('Inputs (2)'!$D$57:$AL$57,MATCH(AD$7&amp;"",'Inputs (2)'!$D$2:$AL$2,0)),"")</f>
        <v>2498.00483802</v>
      </c>
      <c r="AE28" s="269">
        <f>IFERROR(INDEX('Inputs (2)'!$D$57:$AL$57,MATCH(AE$7&amp;"",'Inputs (2)'!$D$2:$AL$2,0)),"")</f>
        <v>2051.878191</v>
      </c>
      <c r="AF28" s="269">
        <f>IFERROR(INDEX('Inputs (2)'!$D$57:$AL$57,MATCH(AF$7&amp;"",'Inputs (2)'!$D$2:$AL$2,0)),"")</f>
        <v>1714.07288715</v>
      </c>
      <c r="AG28" s="270">
        <f>IF(COUNT(AC28:AF28)=4,SUM(AC28:AF28),"")</f>
        <v>8489.37304066</v>
      </c>
      <c r="AH28" s="270">
        <f>IFERROR(INDEX('Inputs (2)'!$D$57:$AL$57,MATCH(AH$7&amp;"",'Inputs (2)'!$D$2:$AL$2,0)),"")</f>
        <v>2533.87232795</v>
      </c>
      <c r="AI28" s="270">
        <f>IFERROR(INDEX('Inputs (2)'!$D$57:$AL$57,MATCH(AI$7&amp;"",'Inputs (2)'!$D$2:$AL$2,0)),"")</f>
        <v>2216.66966465</v>
      </c>
    </row>
    <row r="29">
      <c r="C29" s="268" t="inlineStr">
        <is>
          <t>(-) Distratos</t>
        </is>
      </c>
      <c r="D29" s="269" t="str">
        <f>IFERROR(-IFERROR(INDEX('Inputs (2)'!$D$58:$AL$58,MATCH(D$7&amp;"",'Inputs (2)'!$D$2:$AL$2,0)),""),"")</f>
        <v/>
      </c>
      <c r="E29" s="269" t="str">
        <f>IFERROR(-IFERROR(INDEX('Inputs (2)'!$D$58:$AL$58,MATCH(E$7&amp;"",'Inputs (2)'!$D$2:$AL$2,0)),""),"")</f>
        <v/>
      </c>
      <c r="F29" s="269" t="str">
        <f>IFERROR(-IFERROR(INDEX('Inputs (2)'!$D$58:$AL$58,MATCH(F$7&amp;"",'Inputs (2)'!$D$2:$AL$2,0)),""),"")</f>
        <v/>
      </c>
      <c r="G29" s="269" t="str">
        <f>IFERROR(-IFERROR(INDEX('Inputs (2)'!$D$58:$AL$58,MATCH(G$7&amp;"",'Inputs (2)'!$D$2:$AL$2,0)),""),"")</f>
        <v/>
      </c>
      <c r="H29" s="270" t="str">
        <f>IF(COUNT(D29:G29)=4,SUM(D29:G29),"")</f>
        <v/>
      </c>
      <c r="I29" s="269">
        <f>IFERROR(-IFERROR(INDEX('Inputs (2)'!$D$58:$AL$58,MATCH(I$7&amp;"",'Inputs (2)'!$D$2:$AL$2,0)),""),"")</f>
        <v>-43.1452657</v>
      </c>
      <c r="J29" s="269">
        <f>IFERROR(-IFERROR(INDEX('Inputs (2)'!$D$58:$AL$58,MATCH(J$7&amp;"",'Inputs (2)'!$D$2:$AL$2,0)),""),"")</f>
        <v>-53.89071489</v>
      </c>
      <c r="K29" s="269">
        <f>IFERROR(-IFERROR(INDEX('Inputs (2)'!$D$58:$AL$58,MATCH(K$7&amp;"",'Inputs (2)'!$D$2:$AL$2,0)),""),"")</f>
        <v>-66.33128407</v>
      </c>
      <c r="L29" s="269">
        <f>IFERROR(-IFERROR(INDEX('Inputs (2)'!$D$58:$AL$58,MATCH(L$7&amp;"",'Inputs (2)'!$D$2:$AL$2,0)),""),"")</f>
        <v>-60.32768256</v>
      </c>
      <c r="M29" s="270">
        <f>IF(COUNT(I29:L29)=4,SUM(I29:L29),"")</f>
        <v>-223.69494722</v>
      </c>
      <c r="N29" s="269">
        <f>IFERROR(-IFERROR(INDEX('Inputs (2)'!$D$58:$AL$58,MATCH(N$7&amp;"",'Inputs (2)'!$D$2:$AL$2,0)),""),"")</f>
        <v>-59.37404232</v>
      </c>
      <c r="O29" s="269">
        <f>IFERROR(-IFERROR(INDEX('Inputs (2)'!$D$58:$AL$58,MATCH(O$7&amp;"",'Inputs (2)'!$D$2:$AL$2,0)),""),"")</f>
        <v>-89.93535754</v>
      </c>
      <c r="P29" s="269">
        <f>IFERROR(-IFERROR(INDEX('Inputs (2)'!$D$58:$AL$58,MATCH(P$7&amp;"",'Inputs (2)'!$D$2:$AL$2,0)),""),"")</f>
        <v>-81.43070051</v>
      </c>
      <c r="Q29" s="269">
        <f>IFERROR(-IFERROR(INDEX('Inputs (2)'!$D$58:$AL$58,MATCH(Q$7&amp;"",'Inputs (2)'!$D$2:$AL$2,0)),""),"")</f>
        <v>-82.44907224</v>
      </c>
      <c r="R29" s="270">
        <f>IF(COUNT(N29:Q29)=4,SUM(N29:Q29),"")</f>
        <v>-313.18917261</v>
      </c>
      <c r="S29" s="269">
        <f>IFERROR(-IFERROR(INDEX('Inputs (2)'!$D$58:$AL$58,MATCH(S$7&amp;"",'Inputs (2)'!$D$2:$AL$2,0)),""),"")</f>
        <v>-85.14504427</v>
      </c>
      <c r="T29" s="269">
        <f>IFERROR(-IFERROR(INDEX('Inputs (2)'!$D$58:$AL$58,MATCH(T$7&amp;"",'Inputs (2)'!$D$2:$AL$2,0)),""),"")</f>
        <v>-148.317923</v>
      </c>
      <c r="U29" s="269">
        <f>IFERROR(-IFERROR(INDEX('Inputs (2)'!$D$58:$AL$58,MATCH(U$7&amp;"",'Inputs (2)'!$D$2:$AL$2,0)),""),"")</f>
        <v>-181.6791671</v>
      </c>
      <c r="V29" s="269">
        <f>IFERROR(-IFERROR(INDEX('Inputs (2)'!$D$58:$AL$58,MATCH(V$7&amp;"",'Inputs (2)'!$D$2:$AL$2,0)),""),"")</f>
        <v>-120.46253</v>
      </c>
      <c r="W29" s="270">
        <f>IF(COUNT(S29:V29)=4,SUM(S29:V29),"")</f>
        <v>-535.60466437</v>
      </c>
      <c r="X29" s="269">
        <f>IFERROR(-IFERROR(INDEX('Inputs (2)'!$D$58:$AL$58,MATCH(X$7&amp;"",'Inputs (2)'!$D$2:$AL$2,0)),""),"")</f>
        <v>-127.35359657</v>
      </c>
      <c r="Y29" s="269">
        <f>IFERROR(-IFERROR(INDEX('Inputs (2)'!$D$58:$AL$58,MATCH(Y$7&amp;"",'Inputs (2)'!$D$2:$AL$2,0)),""),"")</f>
        <v>-176.98055782</v>
      </c>
      <c r="Z29" s="269">
        <f>IFERROR(-IFERROR(INDEX('Inputs (2)'!$D$58:$AL$58,MATCH(Z$7&amp;"",'Inputs (2)'!$D$2:$AL$2,0)),""),"")</f>
        <v>-153.09</v>
      </c>
      <c r="AA29" s="269">
        <f>IFERROR(-IFERROR(INDEX('Inputs (2)'!$D$58:$AL$58,MATCH(AA$7&amp;"",'Inputs (2)'!$D$2:$AL$2,0)),""),"")</f>
        <v>-107.255</v>
      </c>
      <c r="AB29" s="270">
        <f>IF(COUNT(X29:AA29)=4,SUM(X29:AA29),"")</f>
        <v>-564.67915439</v>
      </c>
      <c r="AC29" s="269">
        <f>IFERROR(-IFERROR(INDEX('Inputs (2)'!$D$58:$AL$58,MATCH(AC$7&amp;"",'Inputs (2)'!$D$2:$AL$2,0)),""),"")</f>
        <v>-119.83822794</v>
      </c>
      <c r="AD29" s="269">
        <f>IFERROR(-IFERROR(INDEX('Inputs (2)'!$D$58:$AL$58,MATCH(AD$7&amp;"",'Inputs (2)'!$D$2:$AL$2,0)),""),"")</f>
        <v>-236.64165872</v>
      </c>
      <c r="AE29" s="269">
        <f>IFERROR(-IFERROR(INDEX('Inputs (2)'!$D$58:$AL$58,MATCH(AE$7&amp;"",'Inputs (2)'!$D$2:$AL$2,0)),""),"")</f>
        <v>-224.841948</v>
      </c>
      <c r="AF29" s="269">
        <f>IFERROR(-IFERROR(INDEX('Inputs (2)'!$D$58:$AL$58,MATCH(AF$7&amp;"",'Inputs (2)'!$D$2:$AL$2,0)),""),"")</f>
        <v>-157.73723287</v>
      </c>
      <c r="AG29" s="270">
        <f>IF(COUNT(AC29:AF29)=4,SUM(AC29:AF29),"")</f>
        <v>-739.05906753</v>
      </c>
      <c r="AH29" s="270">
        <f>IFERROR(-IFERROR(INDEX('Inputs (2)'!$D$58:$AL$58,MATCH(AH$7&amp;"",'Inputs (2)'!$D$2:$AL$2,0)),""),"")</f>
        <v>-229.25261925</v>
      </c>
      <c r="AI29" s="270">
        <f>IFERROR(-IFERROR(INDEX('Inputs (2)'!$D$58:$AL$58,MATCH(AI$7&amp;"",'Inputs (2)'!$D$2:$AL$2,0)),""),"")</f>
        <v>-171.16195926</v>
      </c>
    </row>
    <row r="30">
      <c r="C30" s="275" t="inlineStr">
        <is>
          <t>Vendas liquidas 100%</t>
        </is>
      </c>
      <c r="D30" s="269" t="str">
        <f>IFERROR(INDEX('Inputs (2)'!$D$59:$AL$59,MATCH(D$7&amp;"",'Inputs (2)'!$D$2:$AL$2,0)),"")</f>
        <v/>
      </c>
      <c r="E30" s="269" t="str">
        <f>IFERROR(INDEX('Inputs (2)'!$D$59:$AL$59,MATCH(E$7&amp;"",'Inputs (2)'!$D$2:$AL$2,0)),"")</f>
        <v/>
      </c>
      <c r="F30" s="269" t="str">
        <f>IFERROR(INDEX('Inputs (2)'!$D$59:$AL$59,MATCH(F$7&amp;"",'Inputs (2)'!$D$2:$AL$2,0)),"")</f>
        <v/>
      </c>
      <c r="G30" s="269" t="str">
        <f>IFERROR(INDEX('Inputs (2)'!$D$59:$AL$59,MATCH(G$7&amp;"",'Inputs (2)'!$D$2:$AL$2,0)),"")</f>
        <v/>
      </c>
      <c r="H30" s="270" t="str">
        <f>IF(COUNT(D30:G30)=4,SUM(D30:G30),"")</f>
        <v/>
      </c>
      <c r="I30" s="269">
        <f>IFERROR(INDEX('Inputs (2)'!$D$59:$AL$59,MATCH(I$7&amp;"",'Inputs (2)'!$D$2:$AL$2,0)),"")</f>
        <v>590.37332932</v>
      </c>
      <c r="J30" s="269">
        <f>IFERROR(INDEX('Inputs (2)'!$D$59:$AL$59,MATCH(J$7&amp;"",'Inputs (2)'!$D$2:$AL$2,0)),"")</f>
        <v>682.578</v>
      </c>
      <c r="K30" s="269">
        <f>IFERROR(INDEX('Inputs (2)'!$D$59:$AL$59,MATCH(K$7&amp;"",'Inputs (2)'!$D$2:$AL$2,0)),"")</f>
        <v>682.37050876</v>
      </c>
      <c r="L30" s="269">
        <f>IFERROR(INDEX('Inputs (2)'!$D$59:$AL$59,MATCH(L$7&amp;"",'Inputs (2)'!$D$2:$AL$2,0)),"")</f>
        <v>611.366096</v>
      </c>
      <c r="M30" s="270">
        <f>IF(COUNT(I30:L30)=4,SUM(I30:L30),"")</f>
        <v>2566.68793408</v>
      </c>
      <c r="N30" s="269">
        <f>IFERROR(INDEX('Inputs (2)'!$D$59:$AL$59,MATCH(N$7&amp;"",'Inputs (2)'!$D$2:$AL$2,0)),"")</f>
        <v>753.36612115</v>
      </c>
      <c r="O30" s="269">
        <f>IFERROR(INDEX('Inputs (2)'!$D$59:$AL$59,MATCH(O$7&amp;"",'Inputs (2)'!$D$2:$AL$2,0)),"")</f>
        <v>897.48537752</v>
      </c>
      <c r="P30" s="269">
        <f>IFERROR(INDEX('Inputs (2)'!$D$59:$AL$59,MATCH(P$7&amp;"",'Inputs (2)'!$D$2:$AL$2,0)),"")</f>
        <v>885.83259665</v>
      </c>
      <c r="Q30" s="269">
        <f>IFERROR(INDEX('Inputs (2)'!$D$59:$AL$59,MATCH(Q$7&amp;"",'Inputs (2)'!$D$2:$AL$2,0)),"")</f>
        <v>753.06204716</v>
      </c>
      <c r="R30" s="270">
        <f>IF(COUNT(N30:Q30)=4,SUM(N30:Q30),"")</f>
        <v>3289.74614248</v>
      </c>
      <c r="S30" s="269">
        <f>IFERROR(INDEX('Inputs (2)'!$D$59:$AL$59,MATCH(S$7&amp;"",'Inputs (2)'!$D$2:$AL$2,0)),"")</f>
        <v>1078.89197397</v>
      </c>
      <c r="T30" s="269">
        <f>IFERROR(INDEX('Inputs (2)'!$D$59:$AL$59,MATCH(T$7&amp;"",'Inputs (2)'!$D$2:$AL$2,0)),"")</f>
        <v>1193.950756</v>
      </c>
      <c r="U30" s="269">
        <f>IFERROR(INDEX('Inputs (2)'!$D$59:$AL$59,MATCH(U$7&amp;"",'Inputs (2)'!$D$2:$AL$2,0)),"")</f>
        <v>972.64394625</v>
      </c>
      <c r="V30" s="269">
        <f>IFERROR(INDEX('Inputs (2)'!$D$59:$AL$59,MATCH(V$7&amp;"",'Inputs (2)'!$D$2:$AL$2,0)),"")</f>
        <v>904.671586</v>
      </c>
      <c r="W30" s="270">
        <f>IF(COUNT(S30:V30)=4,SUM(S30:V30),"")</f>
        <v>4150.15826222</v>
      </c>
      <c r="X30" s="269">
        <f>IFERROR(INDEX('Inputs (2)'!$D$59:$AL$59,MATCH(X$7&amp;"",'Inputs (2)'!$D$2:$AL$2,0)),"")</f>
        <v>1552.13531929</v>
      </c>
      <c r="Y30" s="269">
        <f>IFERROR(INDEX('Inputs (2)'!$D$59:$AL$59,MATCH(Y$7&amp;"",'Inputs (2)'!$D$2:$AL$2,0)),"")</f>
        <v>1749.23994129</v>
      </c>
      <c r="Z30" s="269">
        <f>IFERROR(INDEX('Inputs (2)'!$D$59:$AL$59,MATCH(Z$7&amp;"",'Inputs (2)'!$D$2:$AL$2,0)),"")</f>
        <v>1437.15116322</v>
      </c>
      <c r="AA30" s="269">
        <f>IFERROR(INDEX('Inputs (2)'!$D$59:$AL$59,MATCH(AA$7&amp;"",'Inputs (2)'!$D$2:$AL$2,0)),"")</f>
        <v>1423.748</v>
      </c>
      <c r="AB30" s="270">
        <f>IF(COUNT(X30:AA30)=4,SUM(X30:AA30),"")</f>
        <v>6162.2744238</v>
      </c>
      <c r="AC30" s="269">
        <f>IFERROR(INDEX('Inputs (2)'!$D$59:$AL$59,MATCH(AC$7&amp;"",'Inputs (2)'!$D$2:$AL$2,0)),"")</f>
        <v>2105.57889655</v>
      </c>
      <c r="AD30" s="269">
        <f>IFERROR(INDEX('Inputs (2)'!$D$59:$AL$59,MATCH(AD$7&amp;"",'Inputs (2)'!$D$2:$AL$2,0)),"")</f>
        <v>2261.3631793</v>
      </c>
      <c r="AE30" s="269">
        <f>IFERROR(INDEX('Inputs (2)'!$D$59:$AL$59,MATCH(AE$7&amp;"",'Inputs (2)'!$D$2:$AL$2,0)),"")</f>
        <v>1827.036243</v>
      </c>
      <c r="AF30" s="269">
        <f>IFERROR(INDEX('Inputs (2)'!$D$59:$AL$59,MATCH(AF$7&amp;"",'Inputs (2)'!$D$2:$AL$2,0)),"")</f>
        <v>1556.33565428</v>
      </c>
      <c r="AG30" s="270">
        <f>IF(COUNT(AC30:AF30)=4,SUM(AC30:AF30),"")</f>
        <v>7750.31397313</v>
      </c>
      <c r="AH30" s="270">
        <f>IFERROR(INDEX('Inputs (2)'!$D$59:$AL$59,MATCH(AH$7&amp;"",'Inputs (2)'!$D$2:$AL$2,0)),"")</f>
        <v>2304.6197087</v>
      </c>
      <c r="AI30" s="270">
        <f>IFERROR(INDEX('Inputs (2)'!$D$59:$AL$59,MATCH(AI$7&amp;"",'Inputs (2)'!$D$2:$AL$2,0)),"")</f>
        <v>2045.50770539</v>
      </c>
    </row>
    <row r="31">
      <c r="C31" s="268" t="inlineStr">
        <is>
          <t xml:space="preserve">   Check: brutas - distratos - liquidas</t>
        </is>
      </c>
      <c r="D31" s="269" t="str">
        <f>IF(COUNT(D30)=0,"",ROUND(D28+D29-D30,3))</f>
        <v/>
      </c>
      <c r="E31" s="269" t="str">
        <f>IF(COUNT(E30)=0,"",ROUND(E28+E29-E30,3))</f>
        <v/>
      </c>
      <c r="F31" s="269" t="str">
        <f>IF(COUNT(F30)=0,"",ROUND(F28+F29-F30,3))</f>
        <v/>
      </c>
      <c r="G31" s="269" t="str">
        <f>IF(COUNT(G30)=0,"",ROUND(G28+G29-G30,3))</f>
        <v/>
      </c>
      <c r="H31" s="270" t="str">
        <f>IF(COUNT(H30)=0,"",ROUND(H28+H29-H30,3))</f>
        <v/>
      </c>
      <c r="I31" s="269">
        <f>IF(COUNT(I30)=0,"",ROUND(I28+I29-I30,3))</f>
        <v>0</v>
      </c>
      <c r="J31" s="269">
        <f>IF(COUNT(J30)=0,"",ROUND(J28+J29-J30,3))</f>
        <v>0</v>
      </c>
      <c r="K31" s="269">
        <f>IF(COUNT(K30)=0,"",ROUND(K28+K29-K30,3))</f>
        <v>0</v>
      </c>
      <c r="L31" s="269">
        <f>IF(COUNT(L30)=0,"",ROUND(L28+L29-L30,3))</f>
        <v>0</v>
      </c>
      <c r="M31" s="270">
        <f>IF(COUNT(M30)=0,"",ROUND(M28+M29-M30,3))</f>
        <v>0</v>
      </c>
      <c r="N31" s="269">
        <f>IF(COUNT(N30)=0,"",ROUND(N28+N29-N30,3))</f>
        <v>0</v>
      </c>
      <c r="O31" s="269">
        <f>IF(COUNT(O30)=0,"",ROUND(O28+O29-O30,3))</f>
        <v>0</v>
      </c>
      <c r="P31" s="269">
        <f>IF(COUNT(P30)=0,"",ROUND(P28+P29-P30,3))</f>
        <v>0</v>
      </c>
      <c r="Q31" s="269">
        <f>IF(COUNT(Q30)=0,"",ROUND(Q28+Q29-Q30,3))</f>
        <v>0</v>
      </c>
      <c r="R31" s="270">
        <f>IF(COUNT(R30)=0,"",ROUND(R28+R29-R30,3))</f>
        <v>0</v>
      </c>
      <c r="S31" s="269">
        <f>IF(COUNT(S30)=0,"",ROUND(S28+S29-S30,3))</f>
        <v>0</v>
      </c>
      <c r="T31" s="269">
        <f>IF(COUNT(T30)=0,"",ROUND(T28+T29-T30,3))</f>
        <v>0</v>
      </c>
      <c r="U31" s="269">
        <f>IF(COUNT(U30)=0,"",ROUND(U28+U29-U30,3))</f>
        <v>0</v>
      </c>
      <c r="V31" s="269">
        <f>IF(COUNT(V30)=0,"",ROUND(V28+V29-V30,3))</f>
        <v>0</v>
      </c>
      <c r="W31" s="270">
        <f>IF(COUNT(W30)=0,"",ROUND(W28+W29-W30,3))</f>
        <v>0</v>
      </c>
      <c r="X31" s="269">
        <f>IF(COUNT(X30)=0,"",ROUND(X28+X29-X30,3))</f>
        <v>0</v>
      </c>
      <c r="Y31" s="269">
        <f>IF(COUNT(Y30)=0,"",ROUND(Y28+Y29-Y30,3))</f>
        <v>0</v>
      </c>
      <c r="Z31" s="269">
        <f>IF(COUNT(Z30)=0,"",ROUND(Z28+Z29-Z30,3))</f>
        <v>0</v>
      </c>
      <c r="AA31" s="269">
        <f>IF(COUNT(AA30)=0,"",ROUND(AA28+AA29-AA30,3))</f>
        <v>0</v>
      </c>
      <c r="AB31" s="270">
        <f>IF(COUNT(AB30)=0,"",ROUND(AB28+AB29-AB30,3))</f>
        <v>0</v>
      </c>
      <c r="AC31" s="269">
        <f>IF(COUNT(AC30)=0,"",ROUND(AC28+AC29-AC30,3))</f>
        <v>0</v>
      </c>
      <c r="AD31" s="269">
        <f>IF(COUNT(AD30)=0,"",ROUND(AD28+AD29-AD30,3))</f>
        <v>0</v>
      </c>
      <c r="AE31" s="269">
        <f>IF(COUNT(AE30)=0,"",ROUND(AE28+AE29-AE30,3))</f>
        <v>0</v>
      </c>
      <c r="AF31" s="269">
        <f>IF(COUNT(AF30)=0,"",ROUND(AF28+AF29-AF30,3))</f>
        <v>0</v>
      </c>
      <c r="AG31" s="270">
        <f>IF(COUNT(AG30)=0,"",ROUND(AG28+AG29-AG30,3))</f>
        <v>0</v>
      </c>
      <c r="AH31" s="270">
        <f>IF(COUNT(AH30)=0,"",ROUND(AH28+AH29-AH30,3))</f>
        <v>0</v>
      </c>
      <c r="AI31" s="270">
        <f>IF(COUNT(AI30)=0,"",ROUND(AI28+AI29-AI30,3))</f>
        <v>0</v>
      </c>
    </row>
    <row r="32">
      <c r="C32" s="275" t="inlineStr">
        <is>
          <t>Vendas liquidas parte Cury</t>
        </is>
      </c>
      <c r="D32" s="269" t="str">
        <f>IFERROR(INDEX('Inputs (2)'!$D$60:$AL$60,MATCH(D$7&amp;"",'Inputs (2)'!$D$2:$AL$2,0)),"")</f>
        <v/>
      </c>
      <c r="E32" s="269" t="str">
        <f>IFERROR(INDEX('Inputs (2)'!$D$60:$AL$60,MATCH(E$7&amp;"",'Inputs (2)'!$D$2:$AL$2,0)),"")</f>
        <v/>
      </c>
      <c r="F32" s="269" t="str">
        <f>IFERROR(INDEX('Inputs (2)'!$D$60:$AL$60,MATCH(F$7&amp;"",'Inputs (2)'!$D$2:$AL$2,0)),"")</f>
        <v/>
      </c>
      <c r="G32" s="269" t="str">
        <f>IFERROR(INDEX('Inputs (2)'!$D$60:$AL$60,MATCH(G$7&amp;"",'Inputs (2)'!$D$2:$AL$2,0)),"")</f>
        <v/>
      </c>
      <c r="H32" s="270" t="str">
        <f>IF(COUNT(D32:G32)=4,SUM(D32:G32),"")</f>
        <v/>
      </c>
      <c r="I32" s="269">
        <f>IFERROR(INDEX('Inputs (2)'!$D$60:$AL$60,MATCH(I$7&amp;"",'Inputs (2)'!$D$2:$AL$2,0)),"")</f>
        <v>526.078977</v>
      </c>
      <c r="J32" s="269">
        <f>IFERROR(INDEX('Inputs (2)'!$D$60:$AL$60,MATCH(J$7&amp;"",'Inputs (2)'!$D$2:$AL$2,0)),"")</f>
        <v>618.279072</v>
      </c>
      <c r="K32" s="269">
        <f>IFERROR(INDEX('Inputs (2)'!$D$60:$AL$60,MATCH(K$7&amp;"",'Inputs (2)'!$D$2:$AL$2,0)),"")</f>
        <v>639.576982</v>
      </c>
      <c r="L32" s="269">
        <f>IFERROR(INDEX('Inputs (2)'!$D$60:$AL$60,MATCH(L$7&amp;"",'Inputs (2)'!$D$2:$AL$2,0)),"")</f>
        <v>565.420452</v>
      </c>
      <c r="M32" s="270">
        <f>IF(COUNT(I32:L32)=4,SUM(I32:L32),"")</f>
        <v>2349.355483</v>
      </c>
      <c r="N32" s="269">
        <f>IFERROR(INDEX('Inputs (2)'!$D$60:$AL$60,MATCH(N$7&amp;"",'Inputs (2)'!$D$2:$AL$2,0)),"")</f>
        <v>707.012388</v>
      </c>
      <c r="O32" s="269">
        <f>IFERROR(INDEX('Inputs (2)'!$D$60:$AL$60,MATCH(O$7&amp;"",'Inputs (2)'!$D$2:$AL$2,0)),"")</f>
        <v>844.809697</v>
      </c>
      <c r="P32" s="269">
        <f>IFERROR(INDEX('Inputs (2)'!$D$60:$AL$60,MATCH(P$7&amp;"",'Inputs (2)'!$D$2:$AL$2,0)),"")</f>
        <v>836.735121</v>
      </c>
      <c r="Q32" s="269">
        <f>IFERROR(INDEX('Inputs (2)'!$D$60:$AL$60,MATCH(Q$7&amp;"",'Inputs (2)'!$D$2:$AL$2,0)),"")</f>
        <v>719.681964281</v>
      </c>
      <c r="R32" s="270">
        <f>IF(COUNT(N32:Q32)=4,SUM(N32:Q32),"")</f>
        <v>3108.239170281</v>
      </c>
      <c r="S32" s="269">
        <f>IFERROR(INDEX('Inputs (2)'!$D$60:$AL$60,MATCH(S$7&amp;"",'Inputs (2)'!$D$2:$AL$2,0)),"")</f>
        <v>1061.205884623</v>
      </c>
      <c r="T32" s="269">
        <f>IFERROR(INDEX('Inputs (2)'!$D$60:$AL$60,MATCH(T$7&amp;"",'Inputs (2)'!$D$2:$AL$2,0)),"")</f>
        <v>1132.517</v>
      </c>
      <c r="U32" s="269">
        <f>IFERROR(INDEX('Inputs (2)'!$D$60:$AL$60,MATCH(U$7&amp;"",'Inputs (2)'!$D$2:$AL$2,0)),"")</f>
        <v>873.639208628</v>
      </c>
      <c r="V32" s="269">
        <f>IFERROR(INDEX('Inputs (2)'!$D$60:$AL$60,MATCH(V$7&amp;"",'Inputs (2)'!$D$2:$AL$2,0)),"")</f>
        <v>850.285464</v>
      </c>
      <c r="W32" s="270">
        <f>IF(COUNT(S32:V32)=4,SUM(S32:V32),"")</f>
        <v>3917.647557251</v>
      </c>
      <c r="X32" s="269">
        <f>IFERROR(INDEX('Inputs (2)'!$D$60:$AL$60,MATCH(X$7&amp;"",'Inputs (2)'!$D$2:$AL$2,0)),"")</f>
        <v>1327.315318966</v>
      </c>
      <c r="Y32" s="269">
        <f>IFERROR(INDEX('Inputs (2)'!$D$60:$AL$60,MATCH(Y$7&amp;"",'Inputs (2)'!$D$2:$AL$2,0)),"")</f>
        <v>1635.318645691</v>
      </c>
      <c r="Z32" s="269">
        <f>IFERROR(INDEX('Inputs (2)'!$D$60:$AL$60,MATCH(Z$7&amp;"",'Inputs (2)'!$D$2:$AL$2,0)),"")</f>
        <v>1359.58331408</v>
      </c>
      <c r="AA32" s="269">
        <f>IFERROR(INDEX('Inputs (2)'!$D$60:$AL$60,MATCH(AA$7&amp;"",'Inputs (2)'!$D$2:$AL$2,0)),"")</f>
        <v>1177.287</v>
      </c>
      <c r="AB32" s="270">
        <f>IF(COUNT(X32:AA32)=4,SUM(X32:AA32),"")</f>
        <v>5499.504278737</v>
      </c>
      <c r="AC32" s="269">
        <f>IFERROR(INDEX('Inputs (2)'!$D$60:$AL$60,MATCH(AC$7&amp;"",'Inputs (2)'!$D$2:$AL$2,0)),"")</f>
        <v>1919.242</v>
      </c>
      <c r="AD32" s="269">
        <f>IFERROR(INDEX('Inputs (2)'!$D$60:$AL$60,MATCH(AD$7&amp;"",'Inputs (2)'!$D$2:$AL$2,0)),"")</f>
        <v>2007.235897283</v>
      </c>
      <c r="AE32" s="269">
        <f>IFERROR(INDEX('Inputs (2)'!$D$60:$AL$60,MATCH(AE$7&amp;"",'Inputs (2)'!$D$2:$AL$2,0)),"")</f>
        <v>1630.208965</v>
      </c>
      <c r="AF32" s="269">
        <f>IFERROR(INDEX('Inputs (2)'!$D$60:$AL$60,MATCH(AF$7&amp;"",'Inputs (2)'!$D$2:$AL$2,0)),"")</f>
        <v>1434.724903205</v>
      </c>
      <c r="AG32" s="270">
        <f>IF(COUNT(AC32:AF32)=4,SUM(AC32:AF32),"")</f>
        <v>6991.411765488</v>
      </c>
      <c r="AH32" s="270">
        <f>IFERROR(INDEX('Inputs (2)'!$D$60:$AL$60,MATCH(AH$7&amp;"",'Inputs (2)'!$D$2:$AL$2,0)),"")</f>
        <v>1893.602810242</v>
      </c>
      <c r="AI32" s="270">
        <f>IFERROR(INDEX('Inputs (2)'!$D$60:$AL$60,MATCH(AI$7&amp;"",'Inputs (2)'!$D$2:$AL$2,0)),"")</f>
        <v>1748.76819676</v>
      </c>
    </row>
    <row r="33">
      <c r="C33" s="268" t="inlineStr">
        <is>
          <t xml:space="preserve">   Distratos / vendas brutas</t>
        </is>
      </c>
      <c r="D33" s="271" t="str">
        <f>IFERROR(-D29/D28,"")</f>
        <v/>
      </c>
      <c r="E33" s="271" t="str">
        <f>IFERROR(-E29/E28,"")</f>
        <v/>
      </c>
      <c r="F33" s="271" t="str">
        <f>IFERROR(-F29/F28,"")</f>
        <v/>
      </c>
      <c r="G33" s="271" t="str">
        <f>IFERROR(-G29/G28,"")</f>
        <v/>
      </c>
      <c r="H33" s="272" t="str">
        <f>IFERROR(-H29/H28,"")</f>
        <v/>
      </c>
      <c r="I33" s="271">
        <f>IFERROR(-I29/I28,"")</f>
        <v>0.0681041820090537</v>
      </c>
      <c r="J33" s="271">
        <f>IFERROR(-J29/J28,"")</f>
        <v>0.0731745116698517</v>
      </c>
      <c r="K33" s="271">
        <f>IFERROR(-K29/K28,"")</f>
        <v>0.0885950651898533</v>
      </c>
      <c r="L33" s="271">
        <f>IFERROR(-L29/L28,"")</f>
        <v>0.0898142643055777</v>
      </c>
      <c r="M33" s="272">
        <f>IFERROR(-M29/M28,"")</f>
        <v>0.0801664082489574</v>
      </c>
      <c r="N33" s="271">
        <f>IFERROR(-N29/N28,"")</f>
        <v>0.0730541506236164</v>
      </c>
      <c r="O33" s="271">
        <f>IFERROR(-O29/O28,"")</f>
        <v>0.0910810907110788</v>
      </c>
      <c r="P33" s="271">
        <f>IFERROR(-P29/P28,"")</f>
        <v>0.084186695338374</v>
      </c>
      <c r="Q33" s="271">
        <f>IFERROR(-Q29/Q28,"")</f>
        <v>0.0986809993614551</v>
      </c>
      <c r="R33" s="272">
        <f>IFERROR(-R29/R28,"")</f>
        <v>0.086926115852895</v>
      </c>
      <c r="S33" s="271">
        <f>IFERROR(-S29/S28,"")</f>
        <v>0.0731463372176407</v>
      </c>
      <c r="T33" s="271">
        <f>IFERROR(-T29/T28,"")</f>
        <v>0.110497939287757</v>
      </c>
      <c r="U33" s="271">
        <f>IFERROR(-U29/U28,"")</f>
        <v>0.157390218560852</v>
      </c>
      <c r="V33" s="271">
        <f>IFERROR(-V29/V28,"")</f>
        <v>0.117509044055656</v>
      </c>
      <c r="W33" s="272">
        <f>IFERROR(-W29/W28,"")</f>
        <v>0.114304686933826</v>
      </c>
      <c r="X33" s="271">
        <f>IFERROR(-X29/X28,"")</f>
        <v>0.0758287806292471</v>
      </c>
      <c r="Y33" s="271">
        <f>IFERROR(-Y29/Y28,"")</f>
        <v>0.091879698041721</v>
      </c>
      <c r="Z33" s="271">
        <f>IFERROR(-Z29/Z28,"")</f>
        <v>0.0962683876508344</v>
      </c>
      <c r="AA33" s="271">
        <f>IFERROR(-AA29/AA28,"")</f>
        <v>0.0700553819946793</v>
      </c>
      <c r="AB33" s="272">
        <f>IFERROR(-AB29/AB28,"")</f>
        <v>0.0839427694325699</v>
      </c>
      <c r="AC33" s="271">
        <f>IFERROR(-AC29/AC28,"")</f>
        <v>0.053849782416617</v>
      </c>
      <c r="AD33" s="271">
        <f>IFERROR(-AD29/AD28,"")</f>
        <v>0.0947322659741404</v>
      </c>
      <c r="AE33" s="271">
        <f>IFERROR(-AE29/AE28,"")</f>
        <v>0.109578604122899</v>
      </c>
      <c r="AF33" s="271">
        <f>IFERROR(-AF29/AF28,"")</f>
        <v>0.092024810644004</v>
      </c>
      <c r="AG33" s="272">
        <f>IFERROR(-AG29/AG28,"")</f>
        <v>0.0870569668679022</v>
      </c>
      <c r="AH33" s="272">
        <f>IFERROR(-AH29/AH28,"")</f>
        <v>0.0904752053689596</v>
      </c>
      <c r="AI33" s="272">
        <f>IFERROR(-AI29/AI28,"")</f>
        <v>0.0772158170383162</v>
      </c>
    </row>
    <row r="34">
      <c r="C34" s="268" t="inlineStr">
        <is>
          <t>Unidades vendidas liquidas</t>
        </is>
      </c>
      <c r="D34" s="273" t="str">
        <f>IFERROR(INDEX('Inputs (2)'!$D$61:$AL$61,MATCH(D$7&amp;"",'Inputs (2)'!$D$2:$AL$2,0)),"")</f>
        <v/>
      </c>
      <c r="E34" s="273" t="str">
        <f>IFERROR(INDEX('Inputs (2)'!$D$61:$AL$61,MATCH(E$7&amp;"",'Inputs (2)'!$D$2:$AL$2,0)),"")</f>
        <v/>
      </c>
      <c r="F34" s="273" t="str">
        <f>IFERROR(INDEX('Inputs (2)'!$D$61:$AL$61,MATCH(F$7&amp;"",'Inputs (2)'!$D$2:$AL$2,0)),"")</f>
        <v/>
      </c>
      <c r="G34" s="273" t="str">
        <f>IFERROR(INDEX('Inputs (2)'!$D$61:$AL$61,MATCH(G$7&amp;"",'Inputs (2)'!$D$2:$AL$2,0)),"")</f>
        <v/>
      </c>
      <c r="H34" s="274" t="str">
        <f>IF(COUNT(D34:G34)=4,SUM(D34:G34),"")</f>
        <v/>
      </c>
      <c r="I34" s="273">
        <f>IFERROR(INDEX('Inputs (2)'!$D$61:$AL$61,MATCH(I$7&amp;"",'Inputs (2)'!$D$2:$AL$2,0)),"")</f>
        <v>2874</v>
      </c>
      <c r="J34" s="273">
        <f>IFERROR(INDEX('Inputs (2)'!$D$61:$AL$61,MATCH(J$7&amp;"",'Inputs (2)'!$D$2:$AL$2,0)),"")</f>
        <v>3253</v>
      </c>
      <c r="K34" s="273">
        <f>IFERROR(INDEX('Inputs (2)'!$D$61:$AL$61,MATCH(K$7&amp;"",'Inputs (2)'!$D$2:$AL$2,0)),"")</f>
        <v>3080</v>
      </c>
      <c r="L34" s="273">
        <f>IFERROR(INDEX('Inputs (2)'!$D$61:$AL$61,MATCH(L$7&amp;"",'Inputs (2)'!$D$2:$AL$2,0)),"")</f>
        <v>2667</v>
      </c>
      <c r="M34" s="274">
        <f>IF(COUNT(I34:L34)=4,SUM(I34:L34),"")</f>
        <v>11874</v>
      </c>
      <c r="N34" s="273">
        <f>IFERROR(INDEX('Inputs (2)'!$D$61:$AL$61,MATCH(N$7&amp;"",'Inputs (2)'!$D$2:$AL$2,0)),"")</f>
        <v>3264</v>
      </c>
      <c r="O34" s="273">
        <f>IFERROR(INDEX('Inputs (2)'!$D$61:$AL$61,MATCH(O$7&amp;"",'Inputs (2)'!$D$2:$AL$2,0)),"")</f>
        <v>3734</v>
      </c>
      <c r="P34" s="273">
        <f>IFERROR(INDEX('Inputs (2)'!$D$61:$AL$61,MATCH(P$7&amp;"",'Inputs (2)'!$D$2:$AL$2,0)),"")</f>
        <v>3465</v>
      </c>
      <c r="Q34" s="273">
        <f>IFERROR(INDEX('Inputs (2)'!$D$61:$AL$61,MATCH(Q$7&amp;"",'Inputs (2)'!$D$2:$AL$2,0)),"")</f>
        <v>3073</v>
      </c>
      <c r="R34" s="274">
        <f>IF(COUNT(N34:Q34)=4,SUM(N34:Q34),"")</f>
        <v>13536</v>
      </c>
      <c r="S34" s="273">
        <f>IFERROR(INDEX('Inputs (2)'!$D$61:$AL$61,MATCH(S$7&amp;"",'Inputs (2)'!$D$2:$AL$2,0)),"")</f>
        <v>4014</v>
      </c>
      <c r="T34" s="273">
        <f>IFERROR(INDEX('Inputs (2)'!$D$61:$AL$61,MATCH(T$7&amp;"",'Inputs (2)'!$D$2:$AL$2,0)),"")</f>
        <v>4292.47</v>
      </c>
      <c r="U34" s="273">
        <f>IFERROR(INDEX('Inputs (2)'!$D$61:$AL$61,MATCH(U$7&amp;"",'Inputs (2)'!$D$2:$AL$2,0)),"")</f>
        <v>3496</v>
      </c>
      <c r="V34" s="273">
        <f>IFERROR(INDEX('Inputs (2)'!$D$61:$AL$61,MATCH(V$7&amp;"",'Inputs (2)'!$D$2:$AL$2,0)),"")</f>
        <v>3215</v>
      </c>
      <c r="W34" s="274">
        <f>IF(COUNT(S34:V34)=4,SUM(S34:V34),"")</f>
        <v>15017.47</v>
      </c>
      <c r="X34" s="273">
        <f>IFERROR(INDEX('Inputs (2)'!$D$61:$AL$61,MATCH(X$7&amp;"",'Inputs (2)'!$D$2:$AL$2,0)),"")</f>
        <v>5321</v>
      </c>
      <c r="Y34" s="273">
        <f>IFERROR(INDEX('Inputs (2)'!$D$61:$AL$61,MATCH(Y$7&amp;"",'Inputs (2)'!$D$2:$AL$2,0)),"")</f>
        <v>5769</v>
      </c>
      <c r="Z34" s="273">
        <f>IFERROR(INDEX('Inputs (2)'!$D$61:$AL$61,MATCH(Z$7&amp;"",'Inputs (2)'!$D$2:$AL$2,0)),"")</f>
        <v>4688</v>
      </c>
      <c r="AA34" s="273">
        <f>IFERROR(INDEX('Inputs (2)'!$D$61:$AL$61,MATCH(AA$7&amp;"",'Inputs (2)'!$D$2:$AL$2,0)),"")</f>
        <v>4464</v>
      </c>
      <c r="AB34" s="274">
        <f>IF(COUNT(X34:AA34)=4,SUM(X34:AA34),"")</f>
        <v>20242</v>
      </c>
      <c r="AC34" s="273">
        <f>IFERROR(INDEX('Inputs (2)'!$D$61:$AL$61,MATCH(AC$7&amp;"",'Inputs (2)'!$D$2:$AL$2,0)),"")</f>
        <v>6790</v>
      </c>
      <c r="AD34" s="273">
        <f>IFERROR(INDEX('Inputs (2)'!$D$61:$AL$61,MATCH(AD$7&amp;"",'Inputs (2)'!$D$2:$AL$2,0)),"")</f>
        <v>7712</v>
      </c>
      <c r="AE34" s="273">
        <f>IFERROR(INDEX('Inputs (2)'!$D$61:$AL$61,MATCH(AE$7&amp;"",'Inputs (2)'!$D$2:$AL$2,0)),"")</f>
        <v>6117</v>
      </c>
      <c r="AF34" s="273">
        <f>IFERROR(INDEX('Inputs (2)'!$D$61:$AL$61,MATCH(AF$7&amp;"",'Inputs (2)'!$D$2:$AL$2,0)),"")</f>
        <v>4956</v>
      </c>
      <c r="AG34" s="274">
        <f>IF(COUNT(AC34:AF34)=4,SUM(AC34:AF34),"")</f>
        <v>25575</v>
      </c>
      <c r="AH34" s="274">
        <f>IFERROR(INDEX('Inputs (2)'!$D$61:$AL$61,MATCH(AH$7&amp;"",'Inputs (2)'!$D$2:$AL$2,0)),"")</f>
        <v>7058</v>
      </c>
      <c r="AI34" s="274">
        <f>IFERROR(INDEX('Inputs (2)'!$D$61:$AL$61,MATCH(AI$7&amp;"",'Inputs (2)'!$D$2:$AL$2,0)),"")</f>
        <v>6137</v>
      </c>
    </row>
    <row r="35">
      <c r="C35" s="268" t="inlineStr">
        <is>
          <t xml:space="preserve">   Preco medio das vendas liquidas (R$ mil/unidade)</t>
        </is>
      </c>
      <c r="D35" s="269" t="str">
        <f>IFERROR(D30/D34*1000,"")</f>
        <v/>
      </c>
      <c r="E35" s="269" t="str">
        <f>IFERROR(E30/E34*1000,"")</f>
        <v/>
      </c>
      <c r="F35" s="269" t="str">
        <f>IFERROR(F30/F34*1000,"")</f>
        <v/>
      </c>
      <c r="G35" s="269" t="str">
        <f>IFERROR(G30/G34*1000,"")</f>
        <v/>
      </c>
      <c r="H35" s="270" t="str">
        <f>IFERROR(H30/H34*1000,"")</f>
        <v/>
      </c>
      <c r="I35" s="269">
        <f>IFERROR(I30/I34*1000,"")</f>
        <v>205.418694961726</v>
      </c>
      <c r="J35" s="269">
        <f>IFERROR(J30/J34*1000,"")</f>
        <v>209.830310482631</v>
      </c>
      <c r="K35" s="269">
        <f>IFERROR(K30/K34*1000,"")</f>
        <v>221.54886648052</v>
      </c>
      <c r="L35" s="269">
        <f>IFERROR(L30/L34*1000,"")</f>
        <v>229.233631796026</v>
      </c>
      <c r="M35" s="270">
        <f>IFERROR(M30/M34*1000,"")</f>
        <v>216.160344793667</v>
      </c>
      <c r="N35" s="269">
        <f>IFERROR(N30/N34*1000,"")</f>
        <v>230.81069888174</v>
      </c>
      <c r="O35" s="269">
        <f>IFERROR(O30/O34*1000,"")</f>
        <v>240.354948452062</v>
      </c>
      <c r="P35" s="269">
        <f>IFERROR(P30/P34*1000,"")</f>
        <v>255.651543044733</v>
      </c>
      <c r="Q35" s="269">
        <f>IFERROR(Q30/Q34*1000,"")</f>
        <v>245.057613784575</v>
      </c>
      <c r="R35" s="270">
        <f>IFERROR(R30/R34*1000,"")</f>
        <v>243.036801306147</v>
      </c>
      <c r="S35" s="269">
        <f>IFERROR(S30/S34*1000,"")</f>
        <v>268.782255597907</v>
      </c>
      <c r="T35" s="269">
        <f>IFERROR(T30/T34*1000,"")</f>
        <v>278.150052533856</v>
      </c>
      <c r="U35" s="269">
        <f>IFERROR(U30/U34*1000,"")</f>
        <v>278.216231764874</v>
      </c>
      <c r="V35" s="269">
        <f>IFERROR(V30/V34*1000,"")</f>
        <v>281.390851010887</v>
      </c>
      <c r="W35" s="270">
        <f>IFERROR(W30/W34*1000,"")</f>
        <v>276.355355610499</v>
      </c>
      <c r="X35" s="269">
        <f>IFERROR(X30/X34*1000,"")</f>
        <v>291.699928451419</v>
      </c>
      <c r="Y35" s="269">
        <f>IFERROR(Y30/Y34*1000,"")</f>
        <v>303.213718372335</v>
      </c>
      <c r="Z35" s="269">
        <f>IFERROR(Z30/Z34*1000,"")</f>
        <v>306.55954846843</v>
      </c>
      <c r="AA35" s="269">
        <f>IFERROR(AA30/AA34*1000,"")</f>
        <v>318.939964157706</v>
      </c>
      <c r="AB35" s="270">
        <f>IFERROR(AB30/AB34*1000,"")</f>
        <v>304.430116776998</v>
      </c>
      <c r="AC35" s="269">
        <f>IFERROR(AC30/AC34*1000,"")</f>
        <v>310.099984764359</v>
      </c>
      <c r="AD35" s="269">
        <f>IFERROR(AD30/AD34*1000,"")</f>
        <v>293.226553332469</v>
      </c>
      <c r="AE35" s="269">
        <f>IFERROR(AE30/AE34*1000,"")</f>
        <v>298.681746444336</v>
      </c>
      <c r="AF35" s="269">
        <f>IFERROR(AF30/AF34*1000,"")</f>
        <v>314.030600137207</v>
      </c>
      <c r="AG35" s="270">
        <f>IFERROR(AG30/AG34*1000,"")</f>
        <v>303.042579594526</v>
      </c>
      <c r="AH35" s="270">
        <f>IFERROR(AH30/AH34*1000,"")</f>
        <v>326.525886752621</v>
      </c>
      <c r="AI35" s="270">
        <f>IFERROR(AI30/AI34*1000,"")</f>
        <v>333.307431218837</v>
      </c>
    </row>
    <row r="36">
      <c r="C36" s="268" t="inlineStr">
        <is>
          <t>VSO liquido trimestral</t>
        </is>
      </c>
      <c r="D36" s="271" t="str">
        <f>IFERROR(INDEX('Inputs (2)'!$D$62:$AL$62,MATCH(D$7&amp;"",'Inputs (2)'!$D$2:$AL$2,0)),"")</f>
        <v/>
      </c>
      <c r="E36" s="271" t="str">
        <f>IFERROR(INDEX('Inputs (2)'!$D$62:$AL$62,MATCH(E$7&amp;"",'Inputs (2)'!$D$2:$AL$2,0)),"")</f>
        <v/>
      </c>
      <c r="F36" s="271" t="str">
        <f>IFERROR(INDEX('Inputs (2)'!$D$62:$AL$62,MATCH(F$7&amp;"",'Inputs (2)'!$D$2:$AL$2,0)),"")</f>
        <v/>
      </c>
      <c r="G36" s="271" t="str">
        <f>IFERROR(INDEX('Inputs (2)'!$D$62:$AL$62,MATCH(G$7&amp;"",'Inputs (2)'!$D$2:$AL$2,0)),"")</f>
        <v/>
      </c>
      <c r="H36" s="272" t="n"/>
      <c r="I36" s="271">
        <f>IFERROR(INDEX('Inputs (2)'!$D$62:$AL$62,MATCH(I$7&amp;"",'Inputs (2)'!$D$2:$AL$2,0)),"")</f>
        <v>0.435348252</v>
      </c>
      <c r="J36" s="271">
        <f>IFERROR(INDEX('Inputs (2)'!$D$62:$AL$62,MATCH(J$7&amp;"",'Inputs (2)'!$D$2:$AL$2,0)),"")</f>
        <v>0.468</v>
      </c>
      <c r="K36" s="271">
        <f>IFERROR(INDEX('Inputs (2)'!$D$62:$AL$62,MATCH(K$7&amp;"",'Inputs (2)'!$D$2:$AL$2,0)),"")</f>
        <v>0.452050515</v>
      </c>
      <c r="L36" s="271">
        <f>IFERROR(INDEX('Inputs (2)'!$D$62:$AL$62,MATCH(L$7&amp;"",'Inputs (2)'!$D$2:$AL$2,0)),"")</f>
        <v>0.379516861</v>
      </c>
      <c r="M36" s="272" t="n"/>
      <c r="N36" s="271">
        <f>IFERROR(INDEX('Inputs (2)'!$D$62:$AL$62,MATCH(N$7&amp;"",'Inputs (2)'!$D$2:$AL$2,0)),"")</f>
        <v>0.413751652</v>
      </c>
      <c r="O36" s="271">
        <f>IFERROR(INDEX('Inputs (2)'!$D$62:$AL$62,MATCH(O$7&amp;"",'Inputs (2)'!$D$2:$AL$2,0)),"")</f>
        <v>0.416294316</v>
      </c>
      <c r="P36" s="271">
        <f>IFERROR(INDEX('Inputs (2)'!$D$62:$AL$62,MATCH(P$7&amp;"",'Inputs (2)'!$D$2:$AL$2,0)),"")</f>
        <v>0.403130832</v>
      </c>
      <c r="Q36" s="271">
        <f>IFERROR(INDEX('Inputs (2)'!$D$62:$AL$62,MATCH(Q$7&amp;"",'Inputs (2)'!$D$2:$AL$2,0)),"")</f>
        <v>0.41</v>
      </c>
      <c r="R36" s="272" t="n"/>
      <c r="S36" s="271">
        <f>IFERROR(INDEX('Inputs (2)'!$D$62:$AL$62,MATCH(S$7&amp;"",'Inputs (2)'!$D$2:$AL$2,0)),"")</f>
        <v>0.434023582</v>
      </c>
      <c r="T36" s="271">
        <f>IFERROR(INDEX('Inputs (2)'!$D$62:$AL$62,MATCH(T$7&amp;"",'Inputs (2)'!$D$2:$AL$2,0)),"")</f>
        <v>0.453937692</v>
      </c>
      <c r="U36" s="271">
        <f>IFERROR(INDEX('Inputs (2)'!$D$62:$AL$62,MATCH(U$7&amp;"",'Inputs (2)'!$D$2:$AL$2,0)),"")</f>
        <v>0.403739323</v>
      </c>
      <c r="V36" s="271">
        <f>IFERROR(INDEX('Inputs (2)'!$D$62:$AL$62,MATCH(V$7&amp;"",'Inputs (2)'!$D$2:$AL$2,0)),"")</f>
        <v>0.3885</v>
      </c>
      <c r="W36" s="272" t="n"/>
      <c r="X36" s="271">
        <f>IFERROR(INDEX('Inputs (2)'!$D$62:$AL$62,MATCH(X$7&amp;"",'Inputs (2)'!$D$2:$AL$2,0)),"")</f>
        <v>0.478706116</v>
      </c>
      <c r="Y36" s="271">
        <f>IFERROR(INDEX('Inputs (2)'!$D$62:$AL$62,MATCH(Y$7&amp;"",'Inputs (2)'!$D$2:$AL$2,0)),"")</f>
        <v>0.505260826</v>
      </c>
      <c r="Z36" s="271">
        <f>IFERROR(INDEX('Inputs (2)'!$D$62:$AL$62,MATCH(Z$7&amp;"",'Inputs (2)'!$D$2:$AL$2,0)),"")</f>
        <v>0.438513004</v>
      </c>
      <c r="AA36" s="271">
        <f>IFERROR(INDEX('Inputs (2)'!$D$62:$AL$62,MATCH(AA$7&amp;"",'Inputs (2)'!$D$2:$AL$2,0)),"")</f>
        <v>0.4371</v>
      </c>
      <c r="AB36" s="272" t="n"/>
      <c r="AC36" s="271">
        <f>IFERROR(INDEX('Inputs (2)'!$D$62:$AL$62,MATCH(AC$7&amp;"",'Inputs (2)'!$D$2:$AL$2,0)),"")</f>
        <v>0.454118774</v>
      </c>
      <c r="AD36" s="271">
        <f>IFERROR(INDEX('Inputs (2)'!$D$62:$AL$62,MATCH(AD$7&amp;"",'Inputs (2)'!$D$2:$AL$2,0)),"")</f>
        <v>0.475167507</v>
      </c>
      <c r="AE36" s="271">
        <f>IFERROR(INDEX('Inputs (2)'!$D$62:$AL$62,MATCH(AE$7&amp;"",'Inputs (2)'!$D$2:$AL$2,0)),"")</f>
        <v>0.405535729</v>
      </c>
      <c r="AF36" s="271">
        <f>IFERROR(INDEX('Inputs (2)'!$D$62:$AL$62,MATCH(AF$7&amp;"",'Inputs (2)'!$D$2:$AL$2,0)),"")</f>
        <v>0.39275059</v>
      </c>
      <c r="AG36" s="272" t="n"/>
      <c r="AH36" s="272">
        <f>IFERROR(INDEX('Inputs (2)'!$D$62:$AL$62,MATCH(AH$7&amp;"",'Inputs (2)'!$D$2:$AL$2,0)),"")</f>
        <v>0.451019799</v>
      </c>
      <c r="AI36" s="272">
        <f>IFERROR(INDEX('Inputs (2)'!$D$62:$AL$62,MATCH(AI$7&amp;"",'Inputs (2)'!$D$2:$AL$2,0)),"")</f>
        <v>0.404748972</v>
      </c>
    </row>
    <row r="37">
      <c r="C37" s="268" t="inlineStr">
        <is>
          <t>VSO liquido UDM</t>
        </is>
      </c>
      <c r="D37" s="271" t="str">
        <f>IFERROR(INDEX('Inputs (2)'!$D$63:$AL$63,MATCH(D$7&amp;"",'Inputs (2)'!$D$2:$AL$2,0)),"")</f>
        <v/>
      </c>
      <c r="E37" s="271" t="str">
        <f>IFERROR(INDEX('Inputs (2)'!$D$63:$AL$63,MATCH(E$7&amp;"",'Inputs (2)'!$D$2:$AL$2,0)),"")</f>
        <v/>
      </c>
      <c r="F37" s="271" t="str">
        <f>IFERROR(INDEX('Inputs (2)'!$D$63:$AL$63,MATCH(F$7&amp;"",'Inputs (2)'!$D$2:$AL$2,0)),"")</f>
        <v/>
      </c>
      <c r="G37" s="271" t="str">
        <f>IFERROR(INDEX('Inputs (2)'!$D$63:$AL$63,MATCH(G$7&amp;"",'Inputs (2)'!$D$2:$AL$2,0)),"")</f>
        <v/>
      </c>
      <c r="H37" s="272" t="str">
        <f>IF(COUNT(G37)=0,"",G37)</f>
        <v/>
      </c>
      <c r="I37" s="271">
        <f>IFERROR(INDEX('Inputs (2)'!$D$63:$AL$63,MATCH(I$7&amp;"",'Inputs (2)'!$D$2:$AL$2,0)),"")</f>
        <v>0.689126448</v>
      </c>
      <c r="J37" s="271">
        <f>IFERROR(INDEX('Inputs (2)'!$D$63:$AL$63,MATCH(J$7&amp;"",'Inputs (2)'!$D$2:$AL$2,0)),"")</f>
        <v>0.728677151</v>
      </c>
      <c r="K37" s="271">
        <f>IFERROR(INDEX('Inputs (2)'!$D$63:$AL$63,MATCH(K$7&amp;"",'Inputs (2)'!$D$2:$AL$2,0)),"")</f>
        <v>0.740472132</v>
      </c>
      <c r="L37" s="271">
        <f>IFERROR(INDEX('Inputs (2)'!$D$63:$AL$63,MATCH(L$7&amp;"",'Inputs (2)'!$D$2:$AL$2,0)),"")</f>
        <v>0.72</v>
      </c>
      <c r="M37" s="272">
        <f>IF(COUNT(L37)=0,"",L37)</f>
        <v>0.72</v>
      </c>
      <c r="N37" s="271">
        <f>IFERROR(INDEX('Inputs (2)'!$D$63:$AL$63,MATCH(N$7&amp;"",'Inputs (2)'!$D$2:$AL$2,0)),"")</f>
        <v>0.719</v>
      </c>
      <c r="O37" s="271">
        <f>IFERROR(INDEX('Inputs (2)'!$D$63:$AL$63,MATCH(O$7&amp;"",'Inputs (2)'!$D$2:$AL$2,0)),"")</f>
        <v>0.701</v>
      </c>
      <c r="P37" s="271">
        <f>IFERROR(INDEX('Inputs (2)'!$D$63:$AL$63,MATCH(P$7&amp;"",'Inputs (2)'!$D$2:$AL$2,0)),"")</f>
        <v>0.706</v>
      </c>
      <c r="Q37" s="271">
        <f>IFERROR(INDEX('Inputs (2)'!$D$63:$AL$63,MATCH(Q$7&amp;"",'Inputs (2)'!$D$2:$AL$2,0)),"")</f>
        <v>0.753</v>
      </c>
      <c r="R37" s="272">
        <f>IF(COUNT(Q37)=0,"",Q37)</f>
        <v>0.753</v>
      </c>
      <c r="S37" s="271">
        <f>IFERROR(INDEX('Inputs (2)'!$D$63:$AL$63,MATCH(S$7&amp;"",'Inputs (2)'!$D$2:$AL$2,0)),"")</f>
        <v>0.72</v>
      </c>
      <c r="T37" s="271">
        <f>IFERROR(INDEX('Inputs (2)'!$D$63:$AL$63,MATCH(T$7&amp;"",'Inputs (2)'!$D$2:$AL$2,0)),"")</f>
        <v>0.731</v>
      </c>
      <c r="U37" s="271">
        <f>IFERROR(INDEX('Inputs (2)'!$D$63:$AL$63,MATCH(U$7&amp;"",'Inputs (2)'!$D$2:$AL$2,0)),"")</f>
        <v>0.736</v>
      </c>
      <c r="V37" s="271">
        <f>IFERROR(INDEX('Inputs (2)'!$D$63:$AL$63,MATCH(V$7&amp;"",'Inputs (2)'!$D$2:$AL$2,0)),"")</f>
        <v>0.744564986</v>
      </c>
      <c r="W37" s="272">
        <f>IF(COUNT(V37)=0,"",V37)</f>
        <v>0.744564986</v>
      </c>
      <c r="X37" s="271">
        <f>IFERROR(INDEX('Inputs (2)'!$D$63:$AL$63,MATCH(X$7&amp;"",'Inputs (2)'!$D$2:$AL$2,0)),"")</f>
        <v>0.732289944</v>
      </c>
      <c r="Y37" s="271">
        <f>IFERROR(INDEX('Inputs (2)'!$D$63:$AL$63,MATCH(Y$7&amp;"",'Inputs (2)'!$D$2:$AL$2,0)),"")</f>
        <v>0.751467739</v>
      </c>
      <c r="Z37" s="271">
        <f>IFERROR(INDEX('Inputs (2)'!$D$63:$AL$63,MATCH(Z$7&amp;"",'Inputs (2)'!$D$2:$AL$2,0)),"")</f>
        <v>0.75409795</v>
      </c>
      <c r="AA37" s="271">
        <f>IFERROR(INDEX('Inputs (2)'!$D$63:$AL$63,MATCH(AA$7&amp;"",'Inputs (2)'!$D$2:$AL$2,0)),"")</f>
        <v>0.7707</v>
      </c>
      <c r="AB37" s="272">
        <f>IF(COUNT(AA37)=0,"",AA37)</f>
        <v>0.7707</v>
      </c>
      <c r="AC37" s="271">
        <f>IFERROR(INDEX('Inputs (2)'!$D$63:$AL$63,MATCH(AC$7&amp;"",'Inputs (2)'!$D$2:$AL$2,0)),"")</f>
        <v>0.727332393</v>
      </c>
      <c r="AD37" s="271">
        <f>IFERROR(INDEX('Inputs (2)'!$D$63:$AL$63,MATCH(AD$7&amp;"",'Inputs (2)'!$D$2:$AL$2,0)),"")</f>
        <v>0.743179621</v>
      </c>
      <c r="AE37" s="271">
        <f>IFERROR(INDEX('Inputs (2)'!$D$63:$AL$63,MATCH(AE$7&amp;"",'Inputs (2)'!$D$2:$AL$2,0)),"")</f>
        <v>0.739877352</v>
      </c>
      <c r="AF37" s="271">
        <f>IFERROR(INDEX('Inputs (2)'!$D$63:$AL$63,MATCH(AF$7&amp;"",'Inputs (2)'!$D$2:$AL$2,0)),"")</f>
        <v>0.763078929</v>
      </c>
      <c r="AG37" s="272">
        <f>IF(COUNT(AF37)=0,"",AF37)</f>
        <v>0.763078929</v>
      </c>
      <c r="AH37" s="272">
        <f>IFERROR(INDEX('Inputs (2)'!$D$63:$AL$63,MATCH(AH$7&amp;"",'Inputs (2)'!$D$2:$AL$2,0)),"")</f>
        <v>0.739163227</v>
      </c>
      <c r="AI37" s="272">
        <f>IFERROR(INDEX('Inputs (2)'!$D$63:$AL$63,MATCH(AI$7&amp;"",'Inputs (2)'!$D$2:$AL$2,0)),"")</f>
        <v>0.719947109</v>
      </c>
    </row>
    <row r="38">
      <c r="C38" s="268" t="inlineStr">
        <is>
          <t xml:space="preserve">   % YoY vendas liquidas parte Cury</t>
        </is>
      </c>
      <c r="D38" s="271" t="str">
        <f>""</f>
        <v/>
      </c>
      <c r="E38" s="271" t="str">
        <f>""</f>
        <v/>
      </c>
      <c r="F38" s="271" t="str">
        <f>""</f>
        <v/>
      </c>
      <c r="G38" s="271" t="str">
        <f>""</f>
        <v/>
      </c>
      <c r="H38" s="272" t="str">
        <f>""</f>
        <v/>
      </c>
      <c r="I38" s="271" t="str">
        <f>IFERROR(I32/D32-1,"")</f>
        <v/>
      </c>
      <c r="J38" s="271" t="str">
        <f>IFERROR(J32/E32-1,"")</f>
        <v/>
      </c>
      <c r="K38" s="271" t="str">
        <f>IFERROR(K32/F32-1,"")</f>
        <v/>
      </c>
      <c r="L38" s="271" t="str">
        <f>IFERROR(L32/G32-1,"")</f>
        <v/>
      </c>
      <c r="M38" s="272" t="str">
        <f>IFERROR(M32/H32-1,"")</f>
        <v/>
      </c>
      <c r="N38" s="271">
        <f>IFERROR(N32/I32-1,"")</f>
        <v>0.343928229239999</v>
      </c>
      <c r="O38" s="271">
        <f>IFERROR(O32/J32-1,"")</f>
        <v>0.366388958091727</v>
      </c>
      <c r="P38" s="271">
        <f>IFERROR(P32/K32-1,"")</f>
        <v>0.308263343661108</v>
      </c>
      <c r="Q38" s="271">
        <f>IFERROR(Q32/L32-1,"")</f>
        <v>0.272826198159878</v>
      </c>
      <c r="R38" s="272">
        <f>IFERROR(R32/M32-1,"")</f>
        <v>0.323017820322341</v>
      </c>
      <c r="S38" s="271">
        <f>IFERROR(S32/N32-1,"")</f>
        <v>0.500972122461594</v>
      </c>
      <c r="T38" s="271">
        <f>IFERROR(T32/O32-1,"")</f>
        <v>0.340558712833998</v>
      </c>
      <c r="U38" s="271">
        <f>IFERROR(U32/P32-1,"")</f>
        <v>0.0441048627000324</v>
      </c>
      <c r="V38" s="271">
        <f>IFERROR(V32/Q32-1,"")</f>
        <v>0.181473909589328</v>
      </c>
      <c r="W38" s="272">
        <f>IFERROR(W32/R32-1,"")</f>
        <v>0.260407369776768</v>
      </c>
      <c r="X38" s="271">
        <f>IFERROR(X32/S32-1,"")</f>
        <v>0.250761363274514</v>
      </c>
      <c r="Y38" s="271">
        <f>IFERROR(Y32/T32-1,"")</f>
        <v>0.443968298657768</v>
      </c>
      <c r="Z38" s="271">
        <f>IFERROR(Z32/U32-1,"")</f>
        <v>0.556229734944185</v>
      </c>
      <c r="AA38" s="271">
        <f>IFERROR(AA32/V32-1,"")</f>
        <v>0.384578532557391</v>
      </c>
      <c r="AB38" s="272">
        <f>IFERROR(AB32/W32-1,"")</f>
        <v>0.4037771898491</v>
      </c>
      <c r="AC38" s="271">
        <f>IFERROR(AC32/X32-1,"")</f>
        <v>0.445957846320285</v>
      </c>
      <c r="AD38" s="271">
        <f>IFERROR(AD32/Y32-1,"")</f>
        <v>0.227428001614234</v>
      </c>
      <c r="AE38" s="271">
        <f>IFERROR(AE32/Z32-1,"")</f>
        <v>0.199050435613154</v>
      </c>
      <c r="AF38" s="271">
        <f>IFERROR(AF32/AA32-1,"")</f>
        <v>0.218670471350656</v>
      </c>
      <c r="AG38" s="272">
        <f>IFERROR(AG32/AB32-1,"")</f>
        <v>0.271280357489535</v>
      </c>
      <c r="AH38" s="272">
        <f>IFERROR(AH32/AC32-1,"")</f>
        <v>-0.0133590186948805</v>
      </c>
      <c r="AI38" s="272">
        <f>IFERROR(AI32/AD32-1,"")</f>
        <v>-0.128767974343655</v>
      </c>
    </row>
    <row r="39"/>
    <row r="40">
      <c r="C40" s="267" t="inlineStr">
        <is>
          <t>Repasses, producao, estoque e terrenos</t>
        </is>
      </c>
      <c r="D40" s="267">
        <f>D7</f>
        <v>0</v>
      </c>
      <c r="E40" s="267">
        <f>E7</f>
        <v>0</v>
      </c>
      <c r="F40" s="267">
        <f>F7</f>
        <v>0</v>
      </c>
      <c r="G40" s="267">
        <f>G7</f>
        <v>0</v>
      </c>
      <c r="H40" s="267">
        <f>H7</f>
        <v>2020</v>
      </c>
      <c r="I40" s="267" t="str">
        <f>I7</f>
        <v>1Q21</v>
      </c>
      <c r="J40" s="267" t="str">
        <f>J7</f>
        <v>2Q21</v>
      </c>
      <c r="K40" s="267" t="str">
        <f>K7</f>
        <v>3Q21</v>
      </c>
      <c r="L40" s="267" t="str">
        <f>L7</f>
        <v>4Q21</v>
      </c>
      <c r="M40" s="267">
        <f>M7</f>
        <v>2021</v>
      </c>
      <c r="N40" s="267" t="str">
        <f>N7</f>
        <v>1Q22</v>
      </c>
      <c r="O40" s="267" t="str">
        <f>O7</f>
        <v>2Q22</v>
      </c>
      <c r="P40" s="267" t="str">
        <f>P7</f>
        <v>3Q22</v>
      </c>
      <c r="Q40" s="267" t="str">
        <f>Q7</f>
        <v>4Q22</v>
      </c>
      <c r="R40" s="267">
        <f>R7</f>
        <v>2022</v>
      </c>
      <c r="S40" s="267" t="str">
        <f>S7</f>
        <v>1Q23</v>
      </c>
      <c r="T40" s="267" t="str">
        <f>T7</f>
        <v>2Q23</v>
      </c>
      <c r="U40" s="267" t="str">
        <f>U7</f>
        <v>3Q23</v>
      </c>
      <c r="V40" s="267" t="str">
        <f>V7</f>
        <v>4Q23</v>
      </c>
      <c r="W40" s="267">
        <f>W7</f>
        <v>2023</v>
      </c>
      <c r="X40" s="267" t="str">
        <f>X7</f>
        <v>1Q24</v>
      </c>
      <c r="Y40" s="267" t="str">
        <f>Y7</f>
        <v>2Q24</v>
      </c>
      <c r="Z40" s="267" t="str">
        <f>Z7</f>
        <v>3Q24</v>
      </c>
      <c r="AA40" s="267" t="str">
        <f>AA7</f>
        <v>4Q24</v>
      </c>
      <c r="AB40" s="267">
        <f>AB7</f>
        <v>2024</v>
      </c>
      <c r="AC40" s="267" t="str">
        <f>AC7</f>
        <v>1Q25</v>
      </c>
      <c r="AD40" s="267" t="str">
        <f>AD7</f>
        <v>2Q25</v>
      </c>
      <c r="AE40" s="267" t="str">
        <f>AE7</f>
        <v>3Q25</v>
      </c>
      <c r="AF40" s="267" t="str">
        <f>AF7</f>
        <v>4Q25</v>
      </c>
      <c r="AG40" s="267">
        <f>AG7</f>
        <v>2025</v>
      </c>
      <c r="AH40" s="267" t="str">
        <f>AH7</f>
        <v>1Q26</v>
      </c>
      <c r="AI40" s="267" t="str">
        <f>AI7</f>
        <v>2Q26</v>
      </c>
    </row>
    <row r="41">
      <c r="C41" s="268" t="inlineStr">
        <is>
          <t>VGV repassado (R$ milhoes)</t>
        </is>
      </c>
      <c r="D41" s="269" t="str">
        <f>IFERROR(INDEX('Inputs (2)'!$D$64:$AL$64,MATCH(D$7&amp;"",'Inputs (2)'!$D$2:$AL$2,0)),"")</f>
        <v/>
      </c>
      <c r="E41" s="269" t="str">
        <f>IFERROR(INDEX('Inputs (2)'!$D$64:$AL$64,MATCH(E$7&amp;"",'Inputs (2)'!$D$2:$AL$2,0)),"")</f>
        <v/>
      </c>
      <c r="F41" s="269" t="str">
        <f>IFERROR(INDEX('Inputs (2)'!$D$64:$AL$64,MATCH(F$7&amp;"",'Inputs (2)'!$D$2:$AL$2,0)),"")</f>
        <v/>
      </c>
      <c r="G41" s="269" t="str">
        <f>IFERROR(INDEX('Inputs (2)'!$D$64:$AL$64,MATCH(G$7&amp;"",'Inputs (2)'!$D$2:$AL$2,0)),"")</f>
        <v/>
      </c>
      <c r="H41" s="270" t="str">
        <f>IF(COUNT(D41:G41)=4,SUM(D41:G41),"")</f>
        <v/>
      </c>
      <c r="I41" s="269">
        <f>IFERROR(INDEX('Inputs (2)'!$D$64:$AL$64,MATCH(I$7&amp;"",'Inputs (2)'!$D$2:$AL$2,0)),"")</f>
        <v>296.90331988</v>
      </c>
      <c r="J41" s="269">
        <f>IFERROR(INDEX('Inputs (2)'!$D$64:$AL$64,MATCH(J$7&amp;"",'Inputs (2)'!$D$2:$AL$2,0)),"")</f>
        <v>540.584</v>
      </c>
      <c r="K41" s="269">
        <f>IFERROR(INDEX('Inputs (2)'!$D$64:$AL$64,MATCH(K$7&amp;"",'Inputs (2)'!$D$2:$AL$2,0)),"")</f>
        <v>723.11812501</v>
      </c>
      <c r="L41" s="269">
        <f>IFERROR(INDEX('Inputs (2)'!$D$64:$AL$64,MATCH(L$7&amp;"",'Inputs (2)'!$D$2:$AL$2,0)),"")</f>
        <v>470.01072897</v>
      </c>
      <c r="M41" s="270">
        <f>IF(COUNT(I41:L41)=4,SUM(I41:L41),"")</f>
        <v>2030.61617386</v>
      </c>
      <c r="N41" s="269">
        <f>IFERROR(INDEX('Inputs (2)'!$D$64:$AL$64,MATCH(N$7&amp;"",'Inputs (2)'!$D$2:$AL$2,0)),"")</f>
        <v>532.33659483</v>
      </c>
      <c r="O41" s="269">
        <f>IFERROR(INDEX('Inputs (2)'!$D$64:$AL$64,MATCH(O$7&amp;"",'Inputs (2)'!$D$2:$AL$2,0)),"")</f>
        <v>728.50112205</v>
      </c>
      <c r="P41" s="269">
        <f>IFERROR(INDEX('Inputs (2)'!$D$64:$AL$64,MATCH(P$7&amp;"",'Inputs (2)'!$D$2:$AL$2,0)),"")</f>
        <v>860.05442945</v>
      </c>
      <c r="Q41" s="269">
        <f>IFERROR(INDEX('Inputs (2)'!$D$64:$AL$64,MATCH(Q$7&amp;"",'Inputs (2)'!$D$2:$AL$2,0)),"")</f>
        <v>662.00439181</v>
      </c>
      <c r="R41" s="270">
        <f>IF(COUNT(N41:Q41)=4,SUM(N41:Q41),"")</f>
        <v>2782.89653814</v>
      </c>
      <c r="S41" s="269">
        <f>IFERROR(INDEX('Inputs (2)'!$D$64:$AL$64,MATCH(S$7&amp;"",'Inputs (2)'!$D$2:$AL$2,0)),"")</f>
        <v>578.90007087</v>
      </c>
      <c r="T41" s="269">
        <f>IFERROR(INDEX('Inputs (2)'!$D$64:$AL$64,MATCH(T$7&amp;"",'Inputs (2)'!$D$2:$AL$2,0)),"")</f>
        <v>1228.870224</v>
      </c>
      <c r="U41" s="269">
        <f>IFERROR(INDEX('Inputs (2)'!$D$64:$AL$64,MATCH(U$7&amp;"",'Inputs (2)'!$D$2:$AL$2,0)),"")</f>
        <v>866.06356864</v>
      </c>
      <c r="V41" s="269">
        <f>IFERROR(INDEX('Inputs (2)'!$D$64:$AL$64,MATCH(V$7&amp;"",'Inputs (2)'!$D$2:$AL$2,0)),"")</f>
        <v>857.12080559</v>
      </c>
      <c r="W41" s="270">
        <f>IF(COUNT(S41:V41)=4,SUM(S41:V41),"")</f>
        <v>3530.9546691</v>
      </c>
      <c r="X41" s="269">
        <f>IFERROR(INDEX('Inputs (2)'!$D$64:$AL$64,MATCH(X$7&amp;"",'Inputs (2)'!$D$2:$AL$2,0)),"")</f>
        <v>886.48975854</v>
      </c>
      <c r="Y41" s="269">
        <f>IFERROR(INDEX('Inputs (2)'!$D$64:$AL$64,MATCH(Y$7&amp;"",'Inputs (2)'!$D$2:$AL$2,0)),"")</f>
        <v>1438.166</v>
      </c>
      <c r="Z41" s="269">
        <f>IFERROR(INDEX('Inputs (2)'!$D$64:$AL$64,MATCH(Z$7&amp;"",'Inputs (2)'!$D$2:$AL$2,0)),"")</f>
        <v>1437.6</v>
      </c>
      <c r="AA41" s="269">
        <f>IFERROR(INDEX('Inputs (2)'!$D$64:$AL$64,MATCH(AA$7&amp;"",'Inputs (2)'!$D$2:$AL$2,0)),"")</f>
        <v>927.749</v>
      </c>
      <c r="AB41" s="270">
        <f>IF(COUNT(X41:AA41)=4,SUM(X41:AA41),"")</f>
        <v>4690.00475854</v>
      </c>
      <c r="AC41" s="269">
        <f>IFERROR(INDEX('Inputs (2)'!$D$64:$AL$64,MATCH(AC$7&amp;"",'Inputs (2)'!$D$2:$AL$2,0)),"")</f>
        <v>1122.90757169</v>
      </c>
      <c r="AD41" s="269">
        <f>IFERROR(INDEX('Inputs (2)'!$D$64:$AL$64,MATCH(AD$7&amp;"",'Inputs (2)'!$D$2:$AL$2,0)),"")</f>
        <v>2149.31711625</v>
      </c>
      <c r="AE41" s="269">
        <f>IFERROR(INDEX('Inputs (2)'!$D$64:$AL$64,MATCH(AE$7&amp;"",'Inputs (2)'!$D$2:$AL$2,0)),"")</f>
        <v>1487.1632059</v>
      </c>
      <c r="AF41" s="269">
        <f>IFERROR(INDEX('Inputs (2)'!$D$64:$AL$64,MATCH(AF$7&amp;"",'Inputs (2)'!$D$2:$AL$2,0)),"")</f>
        <v>1492.32834378</v>
      </c>
      <c r="AG41" s="270">
        <f>IF(COUNT(AC41:AF41)=4,SUM(AC41:AF41),"")</f>
        <v>6251.71623762</v>
      </c>
      <c r="AH41" s="270">
        <f>IFERROR(INDEX('Inputs (2)'!$D$64:$AL$64,MATCH(AH$7&amp;"",'Inputs (2)'!$D$2:$AL$2,0)),"")</f>
        <v>1339.82930028</v>
      </c>
      <c r="AI41" s="270">
        <f>IFERROR(INDEX('Inputs (2)'!$D$64:$AL$64,MATCH(AI$7&amp;"",'Inputs (2)'!$D$2:$AL$2,0)),"")</f>
        <v>2014.95866037</v>
      </c>
    </row>
    <row r="42">
      <c r="C42" s="268" t="inlineStr">
        <is>
          <t>Unidades repassadas</t>
        </is>
      </c>
      <c r="D42" s="273" t="str">
        <f>IFERROR(INDEX('Inputs (2)'!$D$65:$AL$65,MATCH(D$7&amp;"",'Inputs (2)'!$D$2:$AL$2,0)),"")</f>
        <v/>
      </c>
      <c r="E42" s="273" t="str">
        <f>IFERROR(INDEX('Inputs (2)'!$D$65:$AL$65,MATCH(E$7&amp;"",'Inputs (2)'!$D$2:$AL$2,0)),"")</f>
        <v/>
      </c>
      <c r="F42" s="273" t="str">
        <f>IFERROR(INDEX('Inputs (2)'!$D$65:$AL$65,MATCH(F$7&amp;"",'Inputs (2)'!$D$2:$AL$2,0)),"")</f>
        <v/>
      </c>
      <c r="G42" s="273" t="str">
        <f>IFERROR(INDEX('Inputs (2)'!$D$65:$AL$65,MATCH(G$7&amp;"",'Inputs (2)'!$D$2:$AL$2,0)),"")</f>
        <v/>
      </c>
      <c r="H42" s="274" t="str">
        <f>IF(COUNT(D42:G42)=4,SUM(D42:G42),"")</f>
        <v/>
      </c>
      <c r="I42" s="273">
        <f>IFERROR(INDEX('Inputs (2)'!$D$65:$AL$65,MATCH(I$7&amp;"",'Inputs (2)'!$D$2:$AL$2,0)),"")</f>
        <v>1544</v>
      </c>
      <c r="J42" s="273">
        <f>IFERROR(INDEX('Inputs (2)'!$D$65:$AL$65,MATCH(J$7&amp;"",'Inputs (2)'!$D$2:$AL$2,0)),"")</f>
        <v>2819</v>
      </c>
      <c r="K42" s="273">
        <f>IFERROR(INDEX('Inputs (2)'!$D$65:$AL$65,MATCH(K$7&amp;"",'Inputs (2)'!$D$2:$AL$2,0)),"")</f>
        <v>3275</v>
      </c>
      <c r="L42" s="273">
        <f>IFERROR(INDEX('Inputs (2)'!$D$65:$AL$65,MATCH(L$7&amp;"",'Inputs (2)'!$D$2:$AL$2,0)),"")</f>
        <v>2213</v>
      </c>
      <c r="M42" s="274">
        <f>IF(COUNT(I42:L42)=4,SUM(I42:L42),"")</f>
        <v>9851</v>
      </c>
      <c r="N42" s="273">
        <f>IFERROR(INDEX('Inputs (2)'!$D$65:$AL$65,MATCH(N$7&amp;"",'Inputs (2)'!$D$2:$AL$2,0)),"")</f>
        <v>2475</v>
      </c>
      <c r="O42" s="273">
        <f>IFERROR(INDEX('Inputs (2)'!$D$65:$AL$65,MATCH(O$7&amp;"",'Inputs (2)'!$D$2:$AL$2,0)),"")</f>
        <v>3085</v>
      </c>
      <c r="P42" s="273">
        <f>IFERROR(INDEX('Inputs (2)'!$D$65:$AL$65,MATCH(P$7&amp;"",'Inputs (2)'!$D$2:$AL$2,0)),"")</f>
        <v>3510</v>
      </c>
      <c r="Q42" s="273">
        <f>IFERROR(INDEX('Inputs (2)'!$D$65:$AL$65,MATCH(Q$7&amp;"",'Inputs (2)'!$D$2:$AL$2,0)),"")</f>
        <v>2737</v>
      </c>
      <c r="R42" s="274">
        <f>IF(COUNT(N42:Q42)=4,SUM(N42:Q42),"")</f>
        <v>11807</v>
      </c>
      <c r="S42" s="273">
        <f>IFERROR(INDEX('Inputs (2)'!$D$65:$AL$65,MATCH(S$7&amp;"",'Inputs (2)'!$D$2:$AL$2,0)),"")</f>
        <v>2451</v>
      </c>
      <c r="T42" s="273">
        <f>IFERROR(INDEX('Inputs (2)'!$D$65:$AL$65,MATCH(T$7&amp;"",'Inputs (2)'!$D$2:$AL$2,0)),"")</f>
        <v>4611</v>
      </c>
      <c r="U42" s="273">
        <f>IFERROR(INDEX('Inputs (2)'!$D$65:$AL$65,MATCH(U$7&amp;"",'Inputs (2)'!$D$2:$AL$2,0)),"")</f>
        <v>3187</v>
      </c>
      <c r="V42" s="273">
        <f>IFERROR(INDEX('Inputs (2)'!$D$65:$AL$65,MATCH(V$7&amp;"",'Inputs (2)'!$D$2:$AL$2,0)),"")</f>
        <v>3017</v>
      </c>
      <c r="W42" s="274">
        <f>IF(COUNT(S42:V42)=4,SUM(S42:V42),"")</f>
        <v>13266</v>
      </c>
      <c r="X42" s="273">
        <f>IFERROR(INDEX('Inputs (2)'!$D$65:$AL$65,MATCH(X$7&amp;"",'Inputs (2)'!$D$2:$AL$2,0)),"")</f>
        <v>3157</v>
      </c>
      <c r="Y42" s="273">
        <f>IFERROR(INDEX('Inputs (2)'!$D$65:$AL$65,MATCH(Y$7&amp;"",'Inputs (2)'!$D$2:$AL$2,0)),"")</f>
        <v>5046</v>
      </c>
      <c r="Z42" s="273">
        <f>IFERROR(INDEX('Inputs (2)'!$D$65:$AL$65,MATCH(Z$7&amp;"",'Inputs (2)'!$D$2:$AL$2,0)),"")</f>
        <v>4756</v>
      </c>
      <c r="AA42" s="273">
        <f>IFERROR(INDEX('Inputs (2)'!$D$65:$AL$65,MATCH(AA$7&amp;"",'Inputs (2)'!$D$2:$AL$2,0)),"")</f>
        <v>3156</v>
      </c>
      <c r="AB42" s="274">
        <f>IF(COUNT(X42:AA42)=4,SUM(X42:AA42),"")</f>
        <v>16115</v>
      </c>
      <c r="AC42" s="273">
        <f>IFERROR(INDEX('Inputs (2)'!$D$65:$AL$65,MATCH(AC$7&amp;"",'Inputs (2)'!$D$2:$AL$2,0)),"")</f>
        <v>3783</v>
      </c>
      <c r="AD42" s="273">
        <f>IFERROR(INDEX('Inputs (2)'!$D$65:$AL$65,MATCH(AD$7&amp;"",'Inputs (2)'!$D$2:$AL$2,0)),"")</f>
        <v>7155</v>
      </c>
      <c r="AE42" s="273">
        <f>IFERROR(INDEX('Inputs (2)'!$D$65:$AL$65,MATCH(AE$7&amp;"",'Inputs (2)'!$D$2:$AL$2,0)),"")</f>
        <v>5101</v>
      </c>
      <c r="AF42" s="273">
        <f>IFERROR(INDEX('Inputs (2)'!$D$65:$AL$65,MATCH(AF$7&amp;"",'Inputs (2)'!$D$2:$AL$2,0)),"")</f>
        <v>5001</v>
      </c>
      <c r="AG42" s="274">
        <f>IF(COUNT(AC42:AF42)=4,SUM(AC42:AF42),"")</f>
        <v>21040</v>
      </c>
      <c r="AH42" s="274">
        <f>IFERROR(INDEX('Inputs (2)'!$D$65:$AL$65,MATCH(AH$7&amp;"",'Inputs (2)'!$D$2:$AL$2,0)),"")</f>
        <v>4364</v>
      </c>
      <c r="AI42" s="274">
        <f>IFERROR(INDEX('Inputs (2)'!$D$65:$AL$65,MATCH(AI$7&amp;"",'Inputs (2)'!$D$2:$AL$2,0)),"")</f>
        <v>6296</v>
      </c>
    </row>
    <row r="43">
      <c r="C43" s="268" t="inlineStr">
        <is>
          <t>Obras em andamento (media do trimestre)</t>
        </is>
      </c>
      <c r="D43" s="273" t="str">
        <f>IFERROR(INDEX('Inputs (2)'!$D$66:$AL$66,MATCH(D$7&amp;"",'Inputs (2)'!$D$2:$AL$2,0)),"")</f>
        <v/>
      </c>
      <c r="E43" s="273" t="str">
        <f>IFERROR(INDEX('Inputs (2)'!$D$66:$AL$66,MATCH(E$7&amp;"",'Inputs (2)'!$D$2:$AL$2,0)),"")</f>
        <v/>
      </c>
      <c r="F43" s="273" t="str">
        <f>IFERROR(INDEX('Inputs (2)'!$D$66:$AL$66,MATCH(F$7&amp;"",'Inputs (2)'!$D$2:$AL$2,0)),"")</f>
        <v/>
      </c>
      <c r="G43" s="273" t="str">
        <f>IFERROR(INDEX('Inputs (2)'!$D$66:$AL$66,MATCH(G$7&amp;"",'Inputs (2)'!$D$2:$AL$2,0)),"")</f>
        <v/>
      </c>
      <c r="H43" s="274" t="str">
        <f>IF(COUNT(G43)=0,"",G43)</f>
        <v/>
      </c>
      <c r="I43" s="273">
        <f>IFERROR(INDEX('Inputs (2)'!$D$66:$AL$66,MATCH(I$7&amp;"",'Inputs (2)'!$D$2:$AL$2,0)),"")</f>
        <v>26.666666667</v>
      </c>
      <c r="J43" s="273">
        <f>IFERROR(INDEX('Inputs (2)'!$D$66:$AL$66,MATCH(J$7&amp;"",'Inputs (2)'!$D$2:$AL$2,0)),"")</f>
        <v>31</v>
      </c>
      <c r="K43" s="273">
        <f>IFERROR(INDEX('Inputs (2)'!$D$66:$AL$66,MATCH(K$7&amp;"",'Inputs (2)'!$D$2:$AL$2,0)),"")</f>
        <v>40.333333333</v>
      </c>
      <c r="L43" s="273">
        <f>IFERROR(INDEX('Inputs (2)'!$D$66:$AL$66,MATCH(L$7&amp;"",'Inputs (2)'!$D$2:$AL$2,0)),"")</f>
        <v>47.066666667</v>
      </c>
      <c r="M43" s="274">
        <f>IF(COUNT(L43)=0,"",L43)</f>
        <v>47.066666667</v>
      </c>
      <c r="N43" s="273">
        <f>IFERROR(INDEX('Inputs (2)'!$D$66:$AL$66,MATCH(N$7&amp;"",'Inputs (2)'!$D$2:$AL$2,0)),"")</f>
        <v>48.666666667</v>
      </c>
      <c r="O43" s="273">
        <f>IFERROR(INDEX('Inputs (2)'!$D$66:$AL$66,MATCH(O$7&amp;"",'Inputs (2)'!$D$2:$AL$2,0)),"")</f>
        <v>48</v>
      </c>
      <c r="P43" s="273">
        <f>IFERROR(INDEX('Inputs (2)'!$D$66:$AL$66,MATCH(P$7&amp;"",'Inputs (2)'!$D$2:$AL$2,0)),"")</f>
        <v>49.666666667</v>
      </c>
      <c r="Q43" s="273">
        <f>IFERROR(INDEX('Inputs (2)'!$D$66:$AL$66,MATCH(Q$7&amp;"",'Inputs (2)'!$D$2:$AL$2,0)),"")</f>
        <v>51.333333333</v>
      </c>
      <c r="R43" s="274">
        <f>IF(COUNT(Q43)=0,"",Q43)</f>
        <v>51.333333333</v>
      </c>
      <c r="S43" s="273">
        <f>IFERROR(INDEX('Inputs (2)'!$D$66:$AL$66,MATCH(S$7&amp;"",'Inputs (2)'!$D$2:$AL$2,0)),"")</f>
        <v>49</v>
      </c>
      <c r="T43" s="273">
        <f>IFERROR(INDEX('Inputs (2)'!$D$66:$AL$66,MATCH(T$7&amp;"",'Inputs (2)'!$D$2:$AL$2,0)),"")</f>
        <v>52</v>
      </c>
      <c r="U43" s="273">
        <f>IFERROR(INDEX('Inputs (2)'!$D$66:$AL$66,MATCH(U$7&amp;"",'Inputs (2)'!$D$2:$AL$2,0)),"")</f>
        <v>56</v>
      </c>
      <c r="V43" s="273">
        <f>IFERROR(INDEX('Inputs (2)'!$D$66:$AL$66,MATCH(V$7&amp;"",'Inputs (2)'!$D$2:$AL$2,0)),"")</f>
        <v>57</v>
      </c>
      <c r="W43" s="274">
        <f>IF(COUNT(V43)=0,"",V43)</f>
        <v>57</v>
      </c>
      <c r="X43" s="273">
        <f>IFERROR(INDEX('Inputs (2)'!$D$66:$AL$66,MATCH(X$7&amp;"",'Inputs (2)'!$D$2:$AL$2,0)),"")</f>
        <v>66.333333333</v>
      </c>
      <c r="Y43" s="273">
        <f>IFERROR(INDEX('Inputs (2)'!$D$66:$AL$66,MATCH(Y$7&amp;"",'Inputs (2)'!$D$2:$AL$2,0)),"")</f>
        <v>63.333333333</v>
      </c>
      <c r="Z43" s="273">
        <f>IFERROR(INDEX('Inputs (2)'!$D$66:$AL$66,MATCH(Z$7&amp;"",'Inputs (2)'!$D$2:$AL$2,0)),"")</f>
        <v>68</v>
      </c>
      <c r="AA43" s="273">
        <f>IFERROR(INDEX('Inputs (2)'!$D$66:$AL$66,MATCH(AA$7&amp;"",'Inputs (2)'!$D$2:$AL$2,0)),"")</f>
        <v>70</v>
      </c>
      <c r="AB43" s="274">
        <f>IF(COUNT(AA43)=0,"",AA43)</f>
        <v>70</v>
      </c>
      <c r="AC43" s="273">
        <f>IFERROR(INDEX('Inputs (2)'!$D$66:$AL$66,MATCH(AC$7&amp;"",'Inputs (2)'!$D$2:$AL$2,0)),"")</f>
        <v>72</v>
      </c>
      <c r="AD43" s="273">
        <f>IFERROR(INDEX('Inputs (2)'!$D$66:$AL$66,MATCH(AD$7&amp;"",'Inputs (2)'!$D$2:$AL$2,0)),"")</f>
        <v>81</v>
      </c>
      <c r="AE43" s="273">
        <f>IFERROR(INDEX('Inputs (2)'!$D$66:$AL$66,MATCH(AE$7&amp;"",'Inputs (2)'!$D$2:$AL$2,0)),"")</f>
        <v>82</v>
      </c>
      <c r="AF43" s="273">
        <f>IFERROR(INDEX('Inputs (2)'!$D$66:$AL$66,MATCH(AF$7&amp;"",'Inputs (2)'!$D$2:$AL$2,0)),"")</f>
        <v>84</v>
      </c>
      <c r="AG43" s="274">
        <f>IF(COUNT(AF43)=0,"",AF43)</f>
        <v>84</v>
      </c>
      <c r="AH43" s="274">
        <f>IFERROR(INDEX('Inputs (2)'!$D$66:$AL$66,MATCH(AH$7&amp;"",'Inputs (2)'!$D$2:$AL$2,0)),"")</f>
        <v>87</v>
      </c>
      <c r="AI43" s="274">
        <f>IFERROR(INDEX('Inputs (2)'!$D$66:$AL$66,MATCH(AI$7&amp;"",'Inputs (2)'!$D$2:$AL$2,0)),"")</f>
        <v>87</v>
      </c>
    </row>
    <row r="44">
      <c r="C44" s="268" t="inlineStr">
        <is>
          <t>Unidades em producao (media do trimestre)</t>
        </is>
      </c>
      <c r="D44" s="273" t="str">
        <f>IFERROR(INDEX('Inputs (2)'!$D$67:$AL$67,MATCH(D$7&amp;"",'Inputs (2)'!$D$2:$AL$2,0)),"")</f>
        <v/>
      </c>
      <c r="E44" s="273" t="str">
        <f>IFERROR(INDEX('Inputs (2)'!$D$67:$AL$67,MATCH(E$7&amp;"",'Inputs (2)'!$D$2:$AL$2,0)),"")</f>
        <v/>
      </c>
      <c r="F44" s="273" t="str">
        <f>IFERROR(INDEX('Inputs (2)'!$D$67:$AL$67,MATCH(F$7&amp;"",'Inputs (2)'!$D$2:$AL$2,0)),"")</f>
        <v/>
      </c>
      <c r="G44" s="273" t="str">
        <f>IFERROR(INDEX('Inputs (2)'!$D$67:$AL$67,MATCH(G$7&amp;"",'Inputs (2)'!$D$2:$AL$2,0)),"")</f>
        <v/>
      </c>
      <c r="H44" s="274" t="str">
        <f>IF(COUNT(G44)=0,"",G44)</f>
        <v/>
      </c>
      <c r="I44" s="273">
        <f>IFERROR(INDEX('Inputs (2)'!$D$67:$AL$67,MATCH(I$7&amp;"",'Inputs (2)'!$D$2:$AL$2,0)),"")</f>
        <v>11232.666666667</v>
      </c>
      <c r="J44" s="273">
        <f>IFERROR(INDEX('Inputs (2)'!$D$67:$AL$67,MATCH(J$7&amp;"",'Inputs (2)'!$D$2:$AL$2,0)),"")</f>
        <v>16148</v>
      </c>
      <c r="K44" s="273">
        <f>IFERROR(INDEX('Inputs (2)'!$D$67:$AL$67,MATCH(K$7&amp;"",'Inputs (2)'!$D$2:$AL$2,0)),"")</f>
        <v>19582</v>
      </c>
      <c r="L44" s="273">
        <f>IFERROR(INDEX('Inputs (2)'!$D$67:$AL$67,MATCH(L$7&amp;"",'Inputs (2)'!$D$2:$AL$2,0)),"")</f>
        <v>17406</v>
      </c>
      <c r="M44" s="274">
        <f>IF(COUNT(L44)=0,"",L44)</f>
        <v>17406</v>
      </c>
      <c r="N44" s="273">
        <f>IFERROR(INDEX('Inputs (2)'!$D$67:$AL$67,MATCH(N$7&amp;"",'Inputs (2)'!$D$2:$AL$2,0)),"")</f>
        <v>19454</v>
      </c>
      <c r="O44" s="273">
        <f>IFERROR(INDEX('Inputs (2)'!$D$67:$AL$67,MATCH(O$7&amp;"",'Inputs (2)'!$D$2:$AL$2,0)),"")</f>
        <v>21069</v>
      </c>
      <c r="P44" s="273">
        <f>IFERROR(INDEX('Inputs (2)'!$D$67:$AL$67,MATCH(P$7&amp;"",'Inputs (2)'!$D$2:$AL$2,0)),"")</f>
        <v>21994</v>
      </c>
      <c r="Q44" s="273">
        <f>IFERROR(INDEX('Inputs (2)'!$D$67:$AL$67,MATCH(Q$7&amp;"",'Inputs (2)'!$D$2:$AL$2,0)),"")</f>
        <v>22946</v>
      </c>
      <c r="R44" s="274">
        <f>IF(COUNT(Q44)=0,"",Q44)</f>
        <v>22946</v>
      </c>
      <c r="S44" s="273">
        <f>IFERROR(INDEX('Inputs (2)'!$D$67:$AL$67,MATCH(S$7&amp;"",'Inputs (2)'!$D$2:$AL$2,0)),"")</f>
        <v>25009</v>
      </c>
      <c r="T44" s="273">
        <f>IFERROR(INDEX('Inputs (2)'!$D$67:$AL$67,MATCH(T$7&amp;"",'Inputs (2)'!$D$2:$AL$2,0)),"")</f>
        <v>25821</v>
      </c>
      <c r="U44" s="273">
        <f>IFERROR(INDEX('Inputs (2)'!$D$67:$AL$67,MATCH(U$7&amp;"",'Inputs (2)'!$D$2:$AL$2,0)),"")</f>
        <v>30815</v>
      </c>
      <c r="V44" s="273">
        <f>IFERROR(INDEX('Inputs (2)'!$D$67:$AL$67,MATCH(V$7&amp;"",'Inputs (2)'!$D$2:$AL$2,0)),"")</f>
        <v>31082</v>
      </c>
      <c r="W44" s="274">
        <f>IF(COUNT(V44)=0,"",V44)</f>
        <v>31082</v>
      </c>
      <c r="X44" s="273">
        <f>IFERROR(INDEX('Inputs (2)'!$D$67:$AL$67,MATCH(X$7&amp;"",'Inputs (2)'!$D$2:$AL$2,0)),"")</f>
        <v>33294</v>
      </c>
      <c r="Y44" s="273">
        <f>IFERROR(INDEX('Inputs (2)'!$D$67:$AL$67,MATCH(Y$7&amp;"",'Inputs (2)'!$D$2:$AL$2,0)),"")</f>
        <v>35713</v>
      </c>
      <c r="Z44" s="273">
        <f>IFERROR(INDEX('Inputs (2)'!$D$67:$AL$67,MATCH(Z$7&amp;"",'Inputs (2)'!$D$2:$AL$2,0)),"")</f>
        <v>39398</v>
      </c>
      <c r="AA44" s="273">
        <f>IFERROR(INDEX('Inputs (2)'!$D$67:$AL$67,MATCH(AA$7&amp;"",'Inputs (2)'!$D$2:$AL$2,0)),"")</f>
        <v>40531</v>
      </c>
      <c r="AB44" s="274">
        <f>IF(COUNT(AA44)=0,"",AA44)</f>
        <v>40531</v>
      </c>
      <c r="AC44" s="273">
        <f>IFERROR(INDEX('Inputs (2)'!$D$67:$AL$67,MATCH(AC$7&amp;"",'Inputs (2)'!$D$2:$AL$2,0)),"")</f>
        <v>46054</v>
      </c>
      <c r="AD44" s="273">
        <f>IFERROR(INDEX('Inputs (2)'!$D$67:$AL$67,MATCH(AD$7&amp;"",'Inputs (2)'!$D$2:$AL$2,0)),"")</f>
        <v>51374</v>
      </c>
      <c r="AE44" s="273">
        <f>IFERROR(INDEX('Inputs (2)'!$D$67:$AL$67,MATCH(AE$7&amp;"",'Inputs (2)'!$D$2:$AL$2,0)),"")</f>
        <v>53066</v>
      </c>
      <c r="AF44" s="273">
        <f>IFERROR(INDEX('Inputs (2)'!$D$67:$AL$67,MATCH(AF$7&amp;"",'Inputs (2)'!$D$2:$AL$2,0)),"")</f>
        <v>57163</v>
      </c>
      <c r="AG44" s="274">
        <f>IF(COUNT(AF44)=0,"",AF44)</f>
        <v>57163</v>
      </c>
      <c r="AH44" s="274">
        <f>IFERROR(INDEX('Inputs (2)'!$D$67:$AL$67,MATCH(AH$7&amp;"",'Inputs (2)'!$D$2:$AL$2,0)),"")</f>
        <v>62777</v>
      </c>
      <c r="AI44" s="274">
        <f>IFERROR(INDEX('Inputs (2)'!$D$67:$AL$67,MATCH(AI$7&amp;"",'Inputs (2)'!$D$2:$AL$2,0)),"")</f>
        <v>66265</v>
      </c>
    </row>
    <row r="45">
      <c r="C45" s="268" t="inlineStr">
        <is>
          <t>Unidades produzidas no trimestre</t>
        </is>
      </c>
      <c r="D45" s="273" t="str">
        <f>IFERROR(INDEX('Inputs (2)'!$D$68:$AL$68,MATCH(D$7&amp;"",'Inputs (2)'!$D$2:$AL$2,0)),"")</f>
        <v/>
      </c>
      <c r="E45" s="273" t="str">
        <f>IFERROR(INDEX('Inputs (2)'!$D$68:$AL$68,MATCH(E$7&amp;"",'Inputs (2)'!$D$2:$AL$2,0)),"")</f>
        <v/>
      </c>
      <c r="F45" s="273" t="str">
        <f>IFERROR(INDEX('Inputs (2)'!$D$68:$AL$68,MATCH(F$7&amp;"",'Inputs (2)'!$D$2:$AL$2,0)),"")</f>
        <v/>
      </c>
      <c r="G45" s="273" t="str">
        <f>IFERROR(INDEX('Inputs (2)'!$D$68:$AL$68,MATCH(G$7&amp;"",'Inputs (2)'!$D$2:$AL$2,0)),"")</f>
        <v/>
      </c>
      <c r="H45" s="274" t="str">
        <f>IF(COUNT(D45:G45)=4,SUM(D45:G45),"")</f>
        <v/>
      </c>
      <c r="I45" s="273">
        <f>IFERROR(INDEX('Inputs (2)'!$D$68:$AL$68,MATCH(I$7&amp;"",'Inputs (2)'!$D$2:$AL$2,0)),"")</f>
        <v>1365</v>
      </c>
      <c r="J45" s="273">
        <f>IFERROR(INDEX('Inputs (2)'!$D$68:$AL$68,MATCH(J$7&amp;"",'Inputs (2)'!$D$2:$AL$2,0)),"")</f>
        <v>1832</v>
      </c>
      <c r="K45" s="273">
        <f>IFERROR(INDEX('Inputs (2)'!$D$68:$AL$68,MATCH(K$7&amp;"",'Inputs (2)'!$D$2:$AL$2,0)),"")</f>
        <v>2182.465159663</v>
      </c>
      <c r="L45" s="273">
        <f>IFERROR(INDEX('Inputs (2)'!$D$68:$AL$68,MATCH(L$7&amp;"",'Inputs (2)'!$D$2:$AL$2,0)),"")</f>
        <v>2048.959538425</v>
      </c>
      <c r="M45" s="274">
        <f>IF(COUNT(I45:L45)=4,SUM(I45:L45),"")</f>
        <v>7428.424698088</v>
      </c>
      <c r="N45" s="273">
        <f>IFERROR(INDEX('Inputs (2)'!$D$68:$AL$68,MATCH(N$7&amp;"",'Inputs (2)'!$D$2:$AL$2,0)),"")</f>
        <v>1913.561224071</v>
      </c>
      <c r="O45" s="273">
        <f>IFERROR(INDEX('Inputs (2)'!$D$68:$AL$68,MATCH(O$7&amp;"",'Inputs (2)'!$D$2:$AL$2,0)),"")</f>
        <v>2613.42580917</v>
      </c>
      <c r="P45" s="273">
        <f>IFERROR(INDEX('Inputs (2)'!$D$68:$AL$68,MATCH(P$7&amp;"",'Inputs (2)'!$D$2:$AL$2,0)),"")</f>
        <v>2747.701697656</v>
      </c>
      <c r="Q45" s="273">
        <f>IFERROR(INDEX('Inputs (2)'!$D$68:$AL$68,MATCH(Q$7&amp;"",'Inputs (2)'!$D$2:$AL$2,0)),"")</f>
        <v>2520</v>
      </c>
      <c r="R45" s="274">
        <f>IF(COUNT(N45:Q45)=4,SUM(N45:Q45),"")</f>
        <v>9794.688730897</v>
      </c>
      <c r="S45" s="273">
        <f>IFERROR(INDEX('Inputs (2)'!$D$68:$AL$68,MATCH(S$7&amp;"",'Inputs (2)'!$D$2:$AL$2,0)),"")</f>
        <v>2458</v>
      </c>
      <c r="T45" s="273">
        <f>IFERROR(INDEX('Inputs (2)'!$D$68:$AL$68,MATCH(T$7&amp;"",'Inputs (2)'!$D$2:$AL$2,0)),"")</f>
        <v>3090</v>
      </c>
      <c r="U45" s="273">
        <f>IFERROR(INDEX('Inputs (2)'!$D$68:$AL$68,MATCH(U$7&amp;"",'Inputs (2)'!$D$2:$AL$2,0)),"")</f>
        <v>3473</v>
      </c>
      <c r="V45" s="273">
        <f>IFERROR(INDEX('Inputs (2)'!$D$68:$AL$68,MATCH(V$7&amp;"",'Inputs (2)'!$D$2:$AL$2,0)),"")</f>
        <v>2817</v>
      </c>
      <c r="W45" s="274">
        <f>IF(COUNT(S45:V45)=4,SUM(S45:V45),"")</f>
        <v>11838</v>
      </c>
      <c r="X45" s="273">
        <f>IFERROR(INDEX('Inputs (2)'!$D$68:$AL$68,MATCH(X$7&amp;"",'Inputs (2)'!$D$2:$AL$2,0)),"")</f>
        <v>2932</v>
      </c>
      <c r="Y45" s="273">
        <f>IFERROR(INDEX('Inputs (2)'!$D$68:$AL$68,MATCH(Y$7&amp;"",'Inputs (2)'!$D$2:$AL$2,0)),"")</f>
        <v>3694</v>
      </c>
      <c r="Z45" s="273">
        <f>IFERROR(INDEX('Inputs (2)'!$D$68:$AL$68,MATCH(Z$7&amp;"",'Inputs (2)'!$D$2:$AL$2,0)),"")</f>
        <v>4168</v>
      </c>
      <c r="AA45" s="273">
        <f>IFERROR(INDEX('Inputs (2)'!$D$68:$AL$68,MATCH(AA$7&amp;"",'Inputs (2)'!$D$2:$AL$2,0)),"")</f>
        <v>3225</v>
      </c>
      <c r="AB45" s="274">
        <f>IF(COUNT(X45:AA45)=4,SUM(X45:AA45),"")</f>
        <v>14019</v>
      </c>
      <c r="AC45" s="273">
        <f>IFERROR(INDEX('Inputs (2)'!$D$68:$AL$68,MATCH(AC$7&amp;"",'Inputs (2)'!$D$2:$AL$2,0)),"")</f>
        <v>3363</v>
      </c>
      <c r="AD45" s="273">
        <f>IFERROR(INDEX('Inputs (2)'!$D$68:$AL$68,MATCH(AD$7&amp;"",'Inputs (2)'!$D$2:$AL$2,0)),"")</f>
        <v>4046</v>
      </c>
      <c r="AE45" s="273">
        <f>IFERROR(INDEX('Inputs (2)'!$D$68:$AL$68,MATCH(AE$7&amp;"",'Inputs (2)'!$D$2:$AL$2,0)),"")</f>
        <v>4908</v>
      </c>
      <c r="AF45" s="273">
        <f>IFERROR(INDEX('Inputs (2)'!$D$68:$AL$68,MATCH(AF$7&amp;"",'Inputs (2)'!$D$2:$AL$2,0)),"")</f>
        <v>4472</v>
      </c>
      <c r="AG45" s="274">
        <f>IF(COUNT(AC45:AF45)=4,SUM(AC45:AF45),"")</f>
        <v>16789</v>
      </c>
      <c r="AH45" s="274">
        <f>IFERROR(INDEX('Inputs (2)'!$D$68:$AL$68,MATCH(AH$7&amp;"",'Inputs (2)'!$D$2:$AL$2,0)),"")</f>
        <v>4634</v>
      </c>
      <c r="AI45" s="274">
        <f>IFERROR(INDEX('Inputs (2)'!$D$68:$AL$68,MATCH(AI$7&amp;"",'Inputs (2)'!$D$2:$AL$2,0)),"")</f>
        <v>5737.13</v>
      </c>
    </row>
    <row r="46">
      <c r="C46" s="268" t="inlineStr">
        <is>
          <t>Estoque a valor de mercado - VGV (R$ milhoes, fim do periodo)</t>
        </is>
      </c>
      <c r="D46" s="269" t="str">
        <f>IFERROR(INDEX('Inputs (2)'!$D$69:$AL$69,MATCH(D$7&amp;"",'Inputs (2)'!$D$2:$AL$2,0)),"")</f>
        <v/>
      </c>
      <c r="E46" s="269" t="str">
        <f>IFERROR(INDEX('Inputs (2)'!$D$69:$AL$69,MATCH(E$7&amp;"",'Inputs (2)'!$D$2:$AL$2,0)),"")</f>
        <v/>
      </c>
      <c r="F46" s="269" t="str">
        <f>IFERROR(INDEX('Inputs (2)'!$D$69:$AL$69,MATCH(F$7&amp;"",'Inputs (2)'!$D$2:$AL$2,0)),"")</f>
        <v/>
      </c>
      <c r="G46" s="269" t="str">
        <f>IFERROR(INDEX('Inputs (2)'!$D$69:$AL$69,MATCH(G$7&amp;"",'Inputs (2)'!$D$2:$AL$2,0)),"")</f>
        <v/>
      </c>
      <c r="H46" s="270" t="str">
        <f>IF(COUNT(G46)=0,"",G46)</f>
        <v/>
      </c>
      <c r="I46" s="269">
        <f>IFERROR(INDEX('Inputs (2)'!$D$69:$AL$69,MATCH(I$7&amp;"",'Inputs (2)'!$D$2:$AL$2,0)),"")</f>
        <v>765.721078097</v>
      </c>
      <c r="J46" s="269">
        <f>IFERROR(INDEX('Inputs (2)'!$D$69:$AL$69,MATCH(J$7&amp;"",'Inputs (2)'!$D$2:$AL$2,0)),"")</f>
        <v>777.43</v>
      </c>
      <c r="K46" s="269">
        <f>IFERROR(INDEX('Inputs (2)'!$D$69:$AL$69,MATCH(K$7&amp;"",'Inputs (2)'!$D$2:$AL$2,0)),"")</f>
        <v>827.130059496</v>
      </c>
      <c r="L46" s="269">
        <f>IFERROR(INDEX('Inputs (2)'!$D$69:$AL$69,MATCH(L$7&amp;"",'Inputs (2)'!$D$2:$AL$2,0)),"")</f>
        <v>999.540185305</v>
      </c>
      <c r="M46" s="270">
        <f>IF(COUNT(L46)=0,"",L46)</f>
        <v>999.540185305</v>
      </c>
      <c r="N46" s="269">
        <f>IFERROR(INDEX('Inputs (2)'!$D$69:$AL$69,MATCH(N$7&amp;"",'Inputs (2)'!$D$2:$AL$2,0)),"")</f>
        <v>1067.451070858</v>
      </c>
      <c r="O46" s="269">
        <f>IFERROR(INDEX('Inputs (2)'!$D$69:$AL$69,MATCH(O$7&amp;"",'Inputs (2)'!$D$2:$AL$2,0)),"")</f>
        <v>1258.406122029</v>
      </c>
      <c r="P46" s="269">
        <f>IFERROR(INDEX('Inputs (2)'!$D$69:$AL$69,MATCH(P$7&amp;"",'Inputs (2)'!$D$2:$AL$2,0)),"")</f>
        <v>1311.549805731</v>
      </c>
      <c r="Q46" s="269">
        <f>IFERROR(INDEX('Inputs (2)'!$D$69:$AL$69,MATCH(Q$7&amp;"",'Inputs (2)'!$D$2:$AL$2,0)),"")</f>
        <v>1081.773871763</v>
      </c>
      <c r="R46" s="270">
        <f>IF(COUNT(Q46)=0,"",Q46)</f>
        <v>1081.773871763</v>
      </c>
      <c r="S46" s="269">
        <f>IFERROR(INDEX('Inputs (2)'!$D$69:$AL$69,MATCH(S$7&amp;"",'Inputs (2)'!$D$2:$AL$2,0)),"")</f>
        <v>1406.899164821</v>
      </c>
      <c r="T46" s="269">
        <f>IFERROR(INDEX('Inputs (2)'!$D$69:$AL$69,MATCH(T$7&amp;"",'Inputs (2)'!$D$2:$AL$2,0)),"")</f>
        <v>1436.257702</v>
      </c>
      <c r="U46" s="269">
        <f>IFERROR(INDEX('Inputs (2)'!$D$69:$AL$69,MATCH(U$7&amp;"",'Inputs (2)'!$D$2:$AL$2,0)),"")</f>
        <v>1436.445014998</v>
      </c>
      <c r="V46" s="269">
        <f>IFERROR(INDEX('Inputs (2)'!$D$69:$AL$69,MATCH(V$7&amp;"",'Inputs (2)'!$D$2:$AL$2,0)),"")</f>
        <v>1423.778657494</v>
      </c>
      <c r="W46" s="270">
        <f>IF(COUNT(V46)=0,"",V46)</f>
        <v>1423.778657494</v>
      </c>
      <c r="X46" s="269">
        <f>IFERROR(INDEX('Inputs (2)'!$D$69:$AL$69,MATCH(X$7&amp;"",'Inputs (2)'!$D$2:$AL$2,0)),"")</f>
        <v>1689.696897074</v>
      </c>
      <c r="Y46" s="269">
        <f>IFERROR(INDEX('Inputs (2)'!$D$69:$AL$69,MATCH(Y$7&amp;"",'Inputs (2)'!$D$2:$AL$2,0)),"")</f>
        <v>1712.813417605</v>
      </c>
      <c r="Z46" s="269">
        <f>IFERROR(INDEX('Inputs (2)'!$D$69:$AL$69,MATCH(Z$7&amp;"",'Inputs (2)'!$D$2:$AL$2,0)),"")</f>
        <v>1840.17733444</v>
      </c>
      <c r="AA46" s="269">
        <f>IFERROR(INDEX('Inputs (2)'!$D$69:$AL$69,MATCH(AA$7&amp;"",'Inputs (2)'!$D$2:$AL$2,0)),"")</f>
        <v>1833.295</v>
      </c>
      <c r="AB46" s="270">
        <f>IF(COUNT(AA46)=0,"",AA46)</f>
        <v>1833.295</v>
      </c>
      <c r="AC46" s="269">
        <f>IFERROR(INDEX('Inputs (2)'!$D$69:$AL$69,MATCH(AC$7&amp;"",'Inputs (2)'!$D$2:$AL$2,0)),"")</f>
        <v>2531.04706535</v>
      </c>
      <c r="AD46" s="269">
        <f>IFERROR(INDEX('Inputs (2)'!$D$69:$AL$69,MATCH(AD$7&amp;"",'Inputs (2)'!$D$2:$AL$2,0)),"")</f>
        <v>2497.7231315</v>
      </c>
      <c r="AE46" s="269">
        <f>IFERROR(INDEX('Inputs (2)'!$D$69:$AL$69,MATCH(AE$7&amp;"",'Inputs (2)'!$D$2:$AL$2,0)),"")</f>
        <v>2678.204883203</v>
      </c>
      <c r="AF46" s="269">
        <f>IFERROR(INDEX('Inputs (2)'!$D$69:$AL$69,MATCH(AF$7&amp;"",'Inputs (2)'!$D$2:$AL$2,0)),"")</f>
        <v>2406.320781567</v>
      </c>
      <c r="AG46" s="270">
        <f>IF(COUNT(AF46)=0,"",AF46)</f>
        <v>2406.320781567</v>
      </c>
      <c r="AH46" s="270">
        <f>IFERROR(INDEX('Inputs (2)'!$D$69:$AL$69,MATCH(AH$7&amp;"",'Inputs (2)'!$D$2:$AL$2,0)),"")</f>
        <v>2805.177501499</v>
      </c>
      <c r="AI46" s="270">
        <f>IFERROR(INDEX('Inputs (2)'!$D$69:$AL$69,MATCH(AI$7&amp;"",'Inputs (2)'!$D$2:$AL$2,0)),"")</f>
        <v>3008.261047057</v>
      </c>
    </row>
    <row r="47">
      <c r="C47" s="268" t="inlineStr">
        <is>
          <t>Estoque - unidades (fim do periodo)</t>
        </is>
      </c>
      <c r="D47" s="273" t="str">
        <f>IFERROR(INDEX('Inputs (2)'!$D$70:$AL$70,MATCH(D$7&amp;"",'Inputs (2)'!$D$2:$AL$2,0)),"")</f>
        <v/>
      </c>
      <c r="E47" s="273" t="str">
        <f>IFERROR(INDEX('Inputs (2)'!$D$70:$AL$70,MATCH(E$7&amp;"",'Inputs (2)'!$D$2:$AL$2,0)),"")</f>
        <v/>
      </c>
      <c r="F47" s="273" t="str">
        <f>IFERROR(INDEX('Inputs (2)'!$D$70:$AL$70,MATCH(F$7&amp;"",'Inputs (2)'!$D$2:$AL$2,0)),"")</f>
        <v/>
      </c>
      <c r="G47" s="273" t="str">
        <f>IFERROR(INDEX('Inputs (2)'!$D$70:$AL$70,MATCH(G$7&amp;"",'Inputs (2)'!$D$2:$AL$2,0)),"")</f>
        <v/>
      </c>
      <c r="H47" s="274" t="str">
        <f>IF(COUNT(G47)=0,"",G47)</f>
        <v/>
      </c>
      <c r="I47" s="273">
        <f>IFERROR(INDEX('Inputs (2)'!$D$70:$AL$70,MATCH(I$7&amp;"",'Inputs (2)'!$D$2:$AL$2,0)),"")</f>
        <v>3934</v>
      </c>
      <c r="J47" s="273">
        <f>IFERROR(INDEX('Inputs (2)'!$D$70:$AL$70,MATCH(J$7&amp;"",'Inputs (2)'!$D$2:$AL$2,0)),"")</f>
        <v>3904</v>
      </c>
      <c r="K47" s="273">
        <f>IFERROR(INDEX('Inputs (2)'!$D$70:$AL$70,MATCH(K$7&amp;"",'Inputs (2)'!$D$2:$AL$2,0)),"")</f>
        <v>3989</v>
      </c>
      <c r="L47" s="273">
        <f>IFERROR(INDEX('Inputs (2)'!$D$70:$AL$70,MATCH(L$7&amp;"",'Inputs (2)'!$D$2:$AL$2,0)),"")</f>
        <v>4600</v>
      </c>
      <c r="M47" s="274">
        <f>IF(COUNT(L47)=0,"",L47)</f>
        <v>4600</v>
      </c>
      <c r="N47" s="273">
        <f>IFERROR(INDEX('Inputs (2)'!$D$70:$AL$70,MATCH(N$7&amp;"",'Inputs (2)'!$D$2:$AL$2,0)),"")</f>
        <v>4579</v>
      </c>
      <c r="O47" s="273">
        <f>IFERROR(INDEX('Inputs (2)'!$D$70:$AL$70,MATCH(O$7&amp;"",'Inputs (2)'!$D$2:$AL$2,0)),"")</f>
        <v>4393</v>
      </c>
      <c r="P47" s="273">
        <f>IFERROR(INDEX('Inputs (2)'!$D$70:$AL$70,MATCH(P$7&amp;"",'Inputs (2)'!$D$2:$AL$2,0)),"")</f>
        <v>4575</v>
      </c>
      <c r="Q47" s="273">
        <f>IFERROR(INDEX('Inputs (2)'!$D$70:$AL$70,MATCH(Q$7&amp;"",'Inputs (2)'!$D$2:$AL$2,0)),"")</f>
        <v>3781</v>
      </c>
      <c r="R47" s="274">
        <f>IF(COUNT(Q47)=0,"",Q47)</f>
        <v>3781</v>
      </c>
      <c r="S47" s="273">
        <f>IFERROR(INDEX('Inputs (2)'!$D$70:$AL$70,MATCH(S$7&amp;"",'Inputs (2)'!$D$2:$AL$2,0)),"")</f>
        <v>4859</v>
      </c>
      <c r="T47" s="273">
        <f>IFERROR(INDEX('Inputs (2)'!$D$70:$AL$70,MATCH(T$7&amp;"",'Inputs (2)'!$D$2:$AL$2,0)),"")</f>
        <v>4485</v>
      </c>
      <c r="U47" s="273">
        <f>IFERROR(INDEX('Inputs (2)'!$D$70:$AL$70,MATCH(U$7&amp;"",'Inputs (2)'!$D$2:$AL$2,0)),"")</f>
        <v>4652</v>
      </c>
      <c r="V47" s="273">
        <f>IFERROR(INDEX('Inputs (2)'!$D$70:$AL$70,MATCH(V$7&amp;"",'Inputs (2)'!$D$2:$AL$2,0)),"")</f>
        <v>4991</v>
      </c>
      <c r="W47" s="274">
        <f>IF(COUNT(V47)=0,"",V47)</f>
        <v>4991</v>
      </c>
      <c r="X47" s="273">
        <f>IFERROR(INDEX('Inputs (2)'!$D$70:$AL$70,MATCH(X$7&amp;"",'Inputs (2)'!$D$2:$AL$2,0)),"")</f>
        <v>5320</v>
      </c>
      <c r="Y47" s="273">
        <f>IFERROR(INDEX('Inputs (2)'!$D$70:$AL$70,MATCH(Y$7&amp;"",'Inputs (2)'!$D$2:$AL$2,0)),"")</f>
        <v>5139</v>
      </c>
      <c r="Z47" s="273">
        <f>IFERROR(INDEX('Inputs (2)'!$D$70:$AL$70,MATCH(Z$7&amp;"",'Inputs (2)'!$D$2:$AL$2,0)),"")</f>
        <v>5609</v>
      </c>
      <c r="AA47" s="273">
        <f>IFERROR(INDEX('Inputs (2)'!$D$70:$AL$70,MATCH(AA$7&amp;"",'Inputs (2)'!$D$2:$AL$2,0)),"")</f>
        <v>5206</v>
      </c>
      <c r="AB47" s="274">
        <f>IF(COUNT(AA47)=0,"",AA47)</f>
        <v>5206</v>
      </c>
      <c r="AC47" s="273">
        <f>IFERROR(INDEX('Inputs (2)'!$D$70:$AL$70,MATCH(AC$7&amp;"",'Inputs (2)'!$D$2:$AL$2,0)),"")</f>
        <v>7548</v>
      </c>
      <c r="AD47" s="273">
        <f>IFERROR(INDEX('Inputs (2)'!$D$70:$AL$70,MATCH(AD$7&amp;"",'Inputs (2)'!$D$2:$AL$2,0)),"")</f>
        <v>6852</v>
      </c>
      <c r="AE47" s="273">
        <f>IFERROR(INDEX('Inputs (2)'!$D$70:$AL$70,MATCH(AE$7&amp;"",'Inputs (2)'!$D$2:$AL$2,0)),"")</f>
        <v>7548</v>
      </c>
      <c r="AF47" s="273">
        <f>IFERROR(INDEX('Inputs (2)'!$D$70:$AL$70,MATCH(AF$7&amp;"",'Inputs (2)'!$D$2:$AL$2,0)),"")</f>
        <v>6425</v>
      </c>
      <c r="AG47" s="274">
        <f>IF(COUNT(AF47)=0,"",AF47)</f>
        <v>6425</v>
      </c>
      <c r="AH47" s="274">
        <f>IFERROR(INDEX('Inputs (2)'!$D$70:$AL$70,MATCH(AH$7&amp;"",'Inputs (2)'!$D$2:$AL$2,0)),"")</f>
        <v>7373</v>
      </c>
      <c r="AI47" s="274">
        <f>IFERROR(INDEX('Inputs (2)'!$D$70:$AL$70,MATCH(AI$7&amp;"",'Inputs (2)'!$D$2:$AL$2,0)),"")</f>
        <v>7785</v>
      </c>
    </row>
    <row r="48">
      <c r="C48" s="268" t="inlineStr">
        <is>
          <t xml:space="preserve">   Estoque / vendas liquidas 100% do trimestre (trimestres de venda)</t>
        </is>
      </c>
      <c r="D48" s="276" t="str">
        <f>IFERROR(D46/D30,"")</f>
        <v/>
      </c>
      <c r="E48" s="276" t="str">
        <f>IFERROR(E46/E30,"")</f>
        <v/>
      </c>
      <c r="F48" s="276" t="str">
        <f>IFERROR(F46/F30,"")</f>
        <v/>
      </c>
      <c r="G48" s="276" t="str">
        <f>IFERROR(G46/G30,"")</f>
        <v/>
      </c>
      <c r="H48" s="277" t="n"/>
      <c r="I48" s="276">
        <f>IFERROR(I46/I30,"")</f>
        <v>1.29701163665196</v>
      </c>
      <c r="J48" s="276">
        <f>IFERROR(J46/J30,"")</f>
        <v>1.13896140807351</v>
      </c>
      <c r="K48" s="276">
        <f>IFERROR(K46/K30,"")</f>
        <v>1.21214215573158</v>
      </c>
      <c r="L48" s="276">
        <f>IFERROR(L46/L30,"")</f>
        <v>1.63492904144459</v>
      </c>
      <c r="M48" s="277" t="n"/>
      <c r="N48" s="276">
        <f>IFERROR(N46/N30,"")</f>
        <v>1.41690877899919</v>
      </c>
      <c r="O48" s="276">
        <f>IFERROR(O46/O30,"")</f>
        <v>1.40214665725956</v>
      </c>
      <c r="P48" s="276">
        <f>IFERROR(P46/P30,"")</f>
        <v>1.48058426692691</v>
      </c>
      <c r="Q48" s="276">
        <f>IFERROR(Q46/Q30,"")</f>
        <v>1.4365003200502</v>
      </c>
      <c r="R48" s="277" t="n"/>
      <c r="S48" s="276">
        <f>IFERROR(S46/S30,"")</f>
        <v>1.30402227355908</v>
      </c>
      <c r="T48" s="276">
        <f>IFERROR(T46/T30,"")</f>
        <v>1.20294551076108</v>
      </c>
      <c r="U48" s="276">
        <f>IFERROR(U46/U30,"")</f>
        <v>1.47684568493555</v>
      </c>
      <c r="V48" s="276">
        <f>IFERROR(V46/V30,"")</f>
        <v>1.57380720200269</v>
      </c>
      <c r="W48" s="277" t="n"/>
      <c r="X48" s="276">
        <f>IFERROR(X46/X30,"")</f>
        <v>1.0886273097934</v>
      </c>
      <c r="Y48" s="276">
        <f>IFERROR(Y46/Y30,"")</f>
        <v>0.979175799257055</v>
      </c>
      <c r="Z48" s="276">
        <f>IFERROR(Z46/Z30,"")</f>
        <v>1.28043408483002</v>
      </c>
      <c r="AA48" s="276">
        <f>IFERROR(AA46/AA30,"")</f>
        <v>1.28765413542284</v>
      </c>
      <c r="AB48" s="277" t="n"/>
      <c r="AC48" s="276">
        <f>IFERROR(AC46/AC30,"")</f>
        <v>1.2020670749964</v>
      </c>
      <c r="AD48" s="276">
        <f>IFERROR(AD46/AD30,"")</f>
        <v>1.10452100501308</v>
      </c>
      <c r="AE48" s="276">
        <f>IFERROR(AE46/AE30,"")</f>
        <v>1.46587397675559</v>
      </c>
      <c r="AF48" s="276">
        <f>IFERROR(AF46/AF30,"")</f>
        <v>1.54614512296849</v>
      </c>
      <c r="AG48" s="277" t="n"/>
      <c r="AH48" s="277">
        <f>IFERROR(AH46/AH30,"")</f>
        <v>1.21719756665682</v>
      </c>
      <c r="AI48" s="277">
        <f>IFERROR(AI46/AI30,"")</f>
        <v>1.47066717917029</v>
      </c>
    </row>
    <row r="49">
      <c r="C49" s="268" t="inlineStr">
        <is>
          <t>Banco de terrenos - VGV (R$ milhoes, fim do periodo)</t>
        </is>
      </c>
      <c r="D49" s="273" t="str">
        <f>IFERROR(INDEX('Inputs (2)'!$D$71:$AL$71,MATCH(D$7&amp;"",'Inputs (2)'!$D$2:$AL$2,0)),"")</f>
        <v/>
      </c>
      <c r="E49" s="273" t="str">
        <f>IFERROR(INDEX('Inputs (2)'!$D$71:$AL$71,MATCH(E$7&amp;"",'Inputs (2)'!$D$2:$AL$2,0)),"")</f>
        <v/>
      </c>
      <c r="F49" s="273" t="str">
        <f>IFERROR(INDEX('Inputs (2)'!$D$71:$AL$71,MATCH(F$7&amp;"",'Inputs (2)'!$D$2:$AL$2,0)),"")</f>
        <v/>
      </c>
      <c r="G49" s="273" t="str">
        <f>IFERROR(INDEX('Inputs (2)'!$D$71:$AL$71,MATCH(G$7&amp;"",'Inputs (2)'!$D$2:$AL$2,0)),"")</f>
        <v/>
      </c>
      <c r="H49" s="274" t="str">
        <f>IF(COUNT(G49)=0,"",G49)</f>
        <v/>
      </c>
      <c r="I49" s="273">
        <f>IFERROR(INDEX('Inputs (2)'!$D$71:$AL$71,MATCH(I$7&amp;"",'Inputs (2)'!$D$2:$AL$2,0)),"")</f>
        <v>9966</v>
      </c>
      <c r="J49" s="273">
        <f>IFERROR(INDEX('Inputs (2)'!$D$71:$AL$71,MATCH(J$7&amp;"",'Inputs (2)'!$D$2:$AL$2,0)),"")</f>
        <v>10430</v>
      </c>
      <c r="K49" s="273">
        <f>IFERROR(INDEX('Inputs (2)'!$D$71:$AL$71,MATCH(K$7&amp;"",'Inputs (2)'!$D$2:$AL$2,0)),"")</f>
        <v>11456.49793456</v>
      </c>
      <c r="L49" s="273">
        <f>IFERROR(INDEX('Inputs (2)'!$D$71:$AL$71,MATCH(L$7&amp;"",'Inputs (2)'!$D$2:$AL$2,0)),"")</f>
        <v>9793.6199983</v>
      </c>
      <c r="M49" s="274">
        <f>IF(COUNT(L49)=0,"",L49)</f>
        <v>9793.6199983</v>
      </c>
      <c r="N49" s="273">
        <f>IFERROR(INDEX('Inputs (2)'!$D$71:$AL$71,MATCH(N$7&amp;"",'Inputs (2)'!$D$2:$AL$2,0)),"")</f>
        <v>9952.7106042</v>
      </c>
      <c r="O49" s="273">
        <f>IFERROR(INDEX('Inputs (2)'!$D$71:$AL$71,MATCH(O$7&amp;"",'Inputs (2)'!$D$2:$AL$2,0)),"")</f>
        <v>9647.1947034</v>
      </c>
      <c r="P49" s="273">
        <f>IFERROR(INDEX('Inputs (2)'!$D$71:$AL$71,MATCH(P$7&amp;"",'Inputs (2)'!$D$2:$AL$2,0)),"")</f>
        <v>10487.09493404</v>
      </c>
      <c r="Q49" s="273">
        <f>IFERROR(INDEX('Inputs (2)'!$D$71:$AL$71,MATCH(Q$7&amp;"",'Inputs (2)'!$D$2:$AL$2,0)),"")</f>
        <v>10138.416628</v>
      </c>
      <c r="R49" s="274">
        <f>IF(COUNT(Q49)=0,"",Q49)</f>
        <v>10138.416628</v>
      </c>
      <c r="S49" s="273">
        <f>IFERROR(INDEX('Inputs (2)'!$D$71:$AL$71,MATCH(S$7&amp;"",'Inputs (2)'!$D$2:$AL$2,0)),"")</f>
        <v>9905.53126553</v>
      </c>
      <c r="T49" s="273">
        <f>IFERROR(INDEX('Inputs (2)'!$D$71:$AL$71,MATCH(T$7&amp;"",'Inputs (2)'!$D$2:$AL$2,0)),"")</f>
        <v>10182.55484953</v>
      </c>
      <c r="U49" s="273">
        <f>IFERROR(INDEX('Inputs (2)'!$D$71:$AL$71,MATCH(U$7&amp;"",'Inputs (2)'!$D$2:$AL$2,0)),"")</f>
        <v>11848.093692</v>
      </c>
      <c r="V49" s="273">
        <f>IFERROR(INDEX('Inputs (2)'!$D$71:$AL$71,MATCH(V$7&amp;"",'Inputs (2)'!$D$2:$AL$2,0)),"")</f>
        <v>14508.048284</v>
      </c>
      <c r="W49" s="274">
        <f>IF(COUNT(V49)=0,"",V49)</f>
        <v>14508.048284</v>
      </c>
      <c r="X49" s="273">
        <f>IFERROR(INDEX('Inputs (2)'!$D$71:$AL$71,MATCH(X$7&amp;"",'Inputs (2)'!$D$2:$AL$2,0)),"")</f>
        <v>15637.376806</v>
      </c>
      <c r="Y49" s="273">
        <f>IFERROR(INDEX('Inputs (2)'!$D$71:$AL$71,MATCH(Y$7&amp;"",'Inputs (2)'!$D$2:$AL$2,0)),"")</f>
        <v>17585.580512</v>
      </c>
      <c r="Z49" s="273">
        <f>IFERROR(INDEX('Inputs (2)'!$D$71:$AL$71,MATCH(Z$7&amp;"",'Inputs (2)'!$D$2:$AL$2,0)),"")</f>
        <v>19517.275012</v>
      </c>
      <c r="AA49" s="273">
        <f>IFERROR(INDEX('Inputs (2)'!$D$71:$AL$71,MATCH(AA$7&amp;"",'Inputs (2)'!$D$2:$AL$2,0)),"")</f>
        <v>20122.4</v>
      </c>
      <c r="AB49" s="274">
        <f>IF(COUNT(AA49)=0,"",AA49)</f>
        <v>20122.4</v>
      </c>
      <c r="AC49" s="273">
        <f>IFERROR(INDEX('Inputs (2)'!$D$71:$AL$71,MATCH(AC$7&amp;"",'Inputs (2)'!$D$2:$AL$2,0)),"")</f>
        <v>19805.343512</v>
      </c>
      <c r="AD49" s="273">
        <f>IFERROR(INDEX('Inputs (2)'!$D$71:$AL$71,MATCH(AD$7&amp;"",'Inputs (2)'!$D$2:$AL$2,0)),"")</f>
        <v>21114.3781</v>
      </c>
      <c r="AE49" s="273">
        <f>IFERROR(INDEX('Inputs (2)'!$D$71:$AL$71,MATCH(AE$7&amp;"",'Inputs (2)'!$D$2:$AL$2,0)),"")</f>
        <v>23343.742622</v>
      </c>
      <c r="AF49" s="273">
        <f>IFERROR(INDEX('Inputs (2)'!$D$71:$AL$71,MATCH(AF$7&amp;"",'Inputs (2)'!$D$2:$AL$2,0)),"")</f>
        <v>24641.296078</v>
      </c>
      <c r="AG49" s="274">
        <f>IF(COUNT(AF49)=0,"",AF49)</f>
        <v>24641.296078</v>
      </c>
      <c r="AH49" s="274">
        <f>IFERROR(INDEX('Inputs (2)'!$D$71:$AL$71,MATCH(AH$7&amp;"",'Inputs (2)'!$D$2:$AL$2,0)),"")</f>
        <v>24924.6126995</v>
      </c>
      <c r="AI49" s="274">
        <f>IFERROR(INDEX('Inputs (2)'!$D$71:$AL$71,MATCH(AI$7&amp;"",'Inputs (2)'!$D$2:$AL$2,0)),"")</f>
        <v>26092.7836228</v>
      </c>
    </row>
    <row r="50"/>
    <row r="51">
      <c r="C51" s="267" t="inlineStr">
        <is>
          <t>Da venda a receita - resultado a apropriar (REF) e reconhecimento por POC (R$ milhoes)</t>
        </is>
      </c>
      <c r="D51" s="267">
        <f>D7</f>
        <v>0</v>
      </c>
      <c r="E51" s="267">
        <f>E7</f>
        <v>0</v>
      </c>
      <c r="F51" s="267">
        <f>F7</f>
        <v>0</v>
      </c>
      <c r="G51" s="267">
        <f>G7</f>
        <v>0</v>
      </c>
      <c r="H51" s="267">
        <f>H7</f>
        <v>2020</v>
      </c>
      <c r="I51" s="267" t="str">
        <f>I7</f>
        <v>1Q21</v>
      </c>
      <c r="J51" s="267" t="str">
        <f>J7</f>
        <v>2Q21</v>
      </c>
      <c r="K51" s="267" t="str">
        <f>K7</f>
        <v>3Q21</v>
      </c>
      <c r="L51" s="267" t="str">
        <f>L7</f>
        <v>4Q21</v>
      </c>
      <c r="M51" s="267">
        <f>M7</f>
        <v>2021</v>
      </c>
      <c r="N51" s="267" t="str">
        <f>N7</f>
        <v>1Q22</v>
      </c>
      <c r="O51" s="267" t="str">
        <f>O7</f>
        <v>2Q22</v>
      </c>
      <c r="P51" s="267" t="str">
        <f>P7</f>
        <v>3Q22</v>
      </c>
      <c r="Q51" s="267" t="str">
        <f>Q7</f>
        <v>4Q22</v>
      </c>
      <c r="R51" s="267">
        <f>R7</f>
        <v>2022</v>
      </c>
      <c r="S51" s="267" t="str">
        <f>S7</f>
        <v>1Q23</v>
      </c>
      <c r="T51" s="267" t="str">
        <f>T7</f>
        <v>2Q23</v>
      </c>
      <c r="U51" s="267" t="str">
        <f>U7</f>
        <v>3Q23</v>
      </c>
      <c r="V51" s="267" t="str">
        <f>V7</f>
        <v>4Q23</v>
      </c>
      <c r="W51" s="267">
        <f>W7</f>
        <v>2023</v>
      </c>
      <c r="X51" s="267" t="str">
        <f>X7</f>
        <v>1Q24</v>
      </c>
      <c r="Y51" s="267" t="str">
        <f>Y7</f>
        <v>2Q24</v>
      </c>
      <c r="Z51" s="267" t="str">
        <f>Z7</f>
        <v>3Q24</v>
      </c>
      <c r="AA51" s="267" t="str">
        <f>AA7</f>
        <v>4Q24</v>
      </c>
      <c r="AB51" s="267">
        <f>AB7</f>
        <v>2024</v>
      </c>
      <c r="AC51" s="267" t="str">
        <f>AC7</f>
        <v>1Q25</v>
      </c>
      <c r="AD51" s="267" t="str">
        <f>AD7</f>
        <v>2Q25</v>
      </c>
      <c r="AE51" s="267" t="str">
        <f>AE7</f>
        <v>3Q25</v>
      </c>
      <c r="AF51" s="267" t="str">
        <f>AF7</f>
        <v>4Q25</v>
      </c>
      <c r="AG51" s="267">
        <f>AG7</f>
        <v>2025</v>
      </c>
      <c r="AH51" s="267" t="str">
        <f>AH7</f>
        <v>1Q26</v>
      </c>
      <c r="AI51" s="267" t="str">
        <f>AI7</f>
        <v>2Q26</v>
      </c>
    </row>
    <row r="52">
      <c r="C52" s="268" t="inlineStr">
        <is>
          <t>Receita de vendas a apropriar (REF)</t>
        </is>
      </c>
      <c r="D52" s="269" t="str">
        <f>IFERROR(INDEX('Inputs (2)'!$D$72:$AL$72,MATCH(D$7&amp;"",'Inputs (2)'!$D$2:$AL$2,0)),"")</f>
        <v/>
      </c>
      <c r="E52" s="269" t="str">
        <f>IFERROR(INDEX('Inputs (2)'!$D$72:$AL$72,MATCH(E$7&amp;"",'Inputs (2)'!$D$2:$AL$2,0)),"")</f>
        <v/>
      </c>
      <c r="F52" s="269" t="str">
        <f>IFERROR(INDEX('Inputs (2)'!$D$72:$AL$72,MATCH(F$7&amp;"",'Inputs (2)'!$D$2:$AL$2,0)),"")</f>
        <v/>
      </c>
      <c r="G52" s="269" t="str">
        <f>IFERROR(INDEX('Inputs (2)'!$D$72:$AL$72,MATCH(G$7&amp;"",'Inputs (2)'!$D$2:$AL$2,0)),"")</f>
        <v/>
      </c>
      <c r="H52" s="270" t="str">
        <f>IF(COUNT(G52)=0,"",G52)</f>
        <v/>
      </c>
      <c r="I52" s="269">
        <f>IFERROR(INDEX('Inputs (2)'!$D$72:$AL$72,MATCH(I$7&amp;"",'Inputs (2)'!$D$2:$AL$2,0)),"")</f>
        <v>972.631165942</v>
      </c>
      <c r="J52" s="269">
        <f>IFERROR(INDEX('Inputs (2)'!$D$72:$AL$72,MATCH(J$7&amp;"",'Inputs (2)'!$D$2:$AL$2,0)),"")</f>
        <v>1172.291</v>
      </c>
      <c r="K52" s="269">
        <f>IFERROR(INDEX('Inputs (2)'!$D$72:$AL$72,MATCH(K$7&amp;"",'Inputs (2)'!$D$2:$AL$2,0)),"")</f>
        <v>1427.093</v>
      </c>
      <c r="L52" s="269">
        <f>IFERROR(INDEX('Inputs (2)'!$D$72:$AL$72,MATCH(L$7&amp;"",'Inputs (2)'!$D$2:$AL$2,0)),"")</f>
        <v>1560.016</v>
      </c>
      <c r="M52" s="270">
        <f>IF(COUNT(L52)=0,"",L52)</f>
        <v>1560.016</v>
      </c>
      <c r="N52" s="269">
        <f>IFERROR(INDEX('Inputs (2)'!$D$72:$AL$72,MATCH(N$7&amp;"",'Inputs (2)'!$D$2:$AL$2,0)),"")</f>
        <v>1826.371</v>
      </c>
      <c r="O52" s="269">
        <f>IFERROR(INDEX('Inputs (2)'!$D$72:$AL$72,MATCH(O$7&amp;"",'Inputs (2)'!$D$2:$AL$2,0)),"")</f>
        <v>2064.638</v>
      </c>
      <c r="P52" s="269">
        <f>IFERROR(INDEX('Inputs (2)'!$D$72:$AL$72,MATCH(P$7&amp;"",'Inputs (2)'!$D$2:$AL$2,0)),"")</f>
        <v>2322.205</v>
      </c>
      <c r="Q52" s="269">
        <f>IFERROR(INDEX('Inputs (2)'!$D$72:$AL$72,MATCH(Q$7&amp;"",'Inputs (2)'!$D$2:$AL$2,0)),"")</f>
        <v>2454.399</v>
      </c>
      <c r="R52" s="270">
        <f>IF(COUNT(Q52)=0,"",Q52)</f>
        <v>2454.399</v>
      </c>
      <c r="S52" s="269">
        <f>IFERROR(INDEX('Inputs (2)'!$D$72:$AL$72,MATCH(S$7&amp;"",'Inputs (2)'!$D$2:$AL$2,0)),"")</f>
        <v>2914.433</v>
      </c>
      <c r="T52" s="269">
        <f>IFERROR(INDEX('Inputs (2)'!$D$72:$AL$72,MATCH(T$7&amp;"",'Inputs (2)'!$D$2:$AL$2,0)),"")</f>
        <v>3245.796</v>
      </c>
      <c r="U52" s="269">
        <f>IFERROR(INDEX('Inputs (2)'!$D$72:$AL$72,MATCH(U$7&amp;"",'Inputs (2)'!$D$2:$AL$2,0)),"")</f>
        <v>3439.133</v>
      </c>
      <c r="V52" s="269">
        <f>IFERROR(INDEX('Inputs (2)'!$D$72:$AL$72,MATCH(V$7&amp;"",'Inputs (2)'!$D$2:$AL$2,0)),"")</f>
        <v>3501.917</v>
      </c>
      <c r="W52" s="270">
        <f>IF(COUNT(V52)=0,"",V52)</f>
        <v>3501.917</v>
      </c>
      <c r="X52" s="269">
        <f>IFERROR(INDEX('Inputs (2)'!$D$72:$AL$72,MATCH(X$7&amp;"",'Inputs (2)'!$D$2:$AL$2,0)),"")</f>
        <v>4153.406</v>
      </c>
      <c r="Y52" s="269">
        <f>IFERROR(INDEX('Inputs (2)'!$D$72:$AL$72,MATCH(Y$7&amp;"",'Inputs (2)'!$D$2:$AL$2,0)),"")</f>
        <v>4837.93</v>
      </c>
      <c r="Z52" s="269">
        <f>IFERROR(INDEX('Inputs (2)'!$D$72:$AL$72,MATCH(Z$7&amp;"",'Inputs (2)'!$D$2:$AL$2,0)),"")</f>
        <v>5203.643</v>
      </c>
      <c r="AA52" s="269">
        <f>IFERROR(INDEX('Inputs (2)'!$D$72:$AL$72,MATCH(AA$7&amp;"",'Inputs (2)'!$D$2:$AL$2,0)),"")</f>
        <v>5565.297</v>
      </c>
      <c r="AB52" s="270">
        <f>IF(COUNT(AA52)=0,"",AA52)</f>
        <v>5565.297</v>
      </c>
      <c r="AC52" s="269">
        <f>IFERROR(INDEX('Inputs (2)'!$D$72:$AL$72,MATCH(AC$7&amp;"",'Inputs (2)'!$D$2:$AL$2,0)),"")</f>
        <v>6430.448</v>
      </c>
      <c r="AD52" s="269">
        <f>IFERROR(INDEX('Inputs (2)'!$D$72:$AL$72,MATCH(AD$7&amp;"",'Inputs (2)'!$D$2:$AL$2,0)),"")</f>
        <v>7284.016</v>
      </c>
      <c r="AE52" s="269">
        <f>IFERROR(INDEX('Inputs (2)'!$D$72:$AL$72,MATCH(AE$7&amp;"",'Inputs (2)'!$D$2:$AL$2,0)),"")</f>
        <v>7701.127</v>
      </c>
      <c r="AF52" s="269">
        <f>IFERROR(INDEX('Inputs (2)'!$D$72:$AL$72,MATCH(AF$7&amp;"",'Inputs (2)'!$D$2:$AL$2,0)),"")</f>
        <v>7802.275</v>
      </c>
      <c r="AG52" s="270">
        <f>IF(COUNT(AF52)=0,"",AF52)</f>
        <v>7802.275</v>
      </c>
      <c r="AH52" s="270">
        <f>IFERROR(INDEX('Inputs (2)'!$D$72:$AL$72,MATCH(AH$7&amp;"",'Inputs (2)'!$D$2:$AL$2,0)),"")</f>
        <v>8471.901</v>
      </c>
      <c r="AI52" s="270">
        <f>IFERROR(INDEX('Inputs (2)'!$D$72:$AL$72,MATCH(AI$7&amp;"",'Inputs (2)'!$D$2:$AL$2,0)),"")</f>
        <v>8831.273</v>
      </c>
    </row>
    <row r="53">
      <c r="C53" s="268" t="inlineStr">
        <is>
          <t>(-) Custo orcado a apropriar</t>
        </is>
      </c>
      <c r="D53" s="269" t="str">
        <f>IFERROR(INDEX('Inputs (2)'!$D$73:$AL$73,MATCH(D$7&amp;"",'Inputs (2)'!$D$2:$AL$2,0)),"")</f>
        <v/>
      </c>
      <c r="E53" s="269" t="str">
        <f>IFERROR(INDEX('Inputs (2)'!$D$73:$AL$73,MATCH(E$7&amp;"",'Inputs (2)'!$D$2:$AL$2,0)),"")</f>
        <v/>
      </c>
      <c r="F53" s="269" t="str">
        <f>IFERROR(INDEX('Inputs (2)'!$D$73:$AL$73,MATCH(F$7&amp;"",'Inputs (2)'!$D$2:$AL$2,0)),"")</f>
        <v/>
      </c>
      <c r="G53" s="269" t="str">
        <f>IFERROR(INDEX('Inputs (2)'!$D$73:$AL$73,MATCH(G$7&amp;"",'Inputs (2)'!$D$2:$AL$2,0)),"")</f>
        <v/>
      </c>
      <c r="H53" s="270" t="str">
        <f>IF(COUNT(G53)=0,"",G53)</f>
        <v/>
      </c>
      <c r="I53" s="269">
        <f>IFERROR(INDEX('Inputs (2)'!$D$73:$AL$73,MATCH(I$7&amp;"",'Inputs (2)'!$D$2:$AL$2,0)),"")</f>
        <v>-608.580971494</v>
      </c>
      <c r="J53" s="269">
        <f>IFERROR(INDEX('Inputs (2)'!$D$73:$AL$73,MATCH(J$7&amp;"",'Inputs (2)'!$D$2:$AL$2,0)),"")</f>
        <v>-735.781</v>
      </c>
      <c r="K53" s="269">
        <f>IFERROR(INDEX('Inputs (2)'!$D$73:$AL$73,MATCH(K$7&amp;"",'Inputs (2)'!$D$2:$AL$2,0)),"")</f>
        <v>-872.072</v>
      </c>
      <c r="L53" s="269">
        <f>IFERROR(INDEX('Inputs (2)'!$D$73:$AL$73,MATCH(L$7&amp;"",'Inputs (2)'!$D$2:$AL$2,0)),"")</f>
        <v>-949.761</v>
      </c>
      <c r="M53" s="270">
        <f>IF(COUNT(L53)=0,"",L53)</f>
        <v>-949.761</v>
      </c>
      <c r="N53" s="269">
        <f>IFERROR(INDEX('Inputs (2)'!$D$73:$AL$73,MATCH(N$7&amp;"",'Inputs (2)'!$D$2:$AL$2,0)),"")</f>
        <v>-1101.334</v>
      </c>
      <c r="O53" s="269">
        <f>IFERROR(INDEX('Inputs (2)'!$D$73:$AL$73,MATCH(O$7&amp;"",'Inputs (2)'!$D$2:$AL$2,0)),"")</f>
        <v>-1227.464</v>
      </c>
      <c r="P53" s="269">
        <f>IFERROR(INDEX('Inputs (2)'!$D$73:$AL$73,MATCH(P$7&amp;"",'Inputs (2)'!$D$2:$AL$2,0)),"")</f>
        <v>-1343.94</v>
      </c>
      <c r="Q53" s="269">
        <f>IFERROR(INDEX('Inputs (2)'!$D$73:$AL$73,MATCH(Q$7&amp;"",'Inputs (2)'!$D$2:$AL$2,0)),"")</f>
        <v>-1426.532</v>
      </c>
      <c r="R53" s="270">
        <f>IF(COUNT(Q53)=0,"",Q53)</f>
        <v>-1426.532</v>
      </c>
      <c r="S53" s="269">
        <f>IFERROR(INDEX('Inputs (2)'!$D$73:$AL$73,MATCH(S$7&amp;"",'Inputs (2)'!$D$2:$AL$2,0)),"")</f>
        <v>-1691.437</v>
      </c>
      <c r="T53" s="269">
        <f>IFERROR(INDEX('Inputs (2)'!$D$73:$AL$73,MATCH(T$7&amp;"",'Inputs (2)'!$D$2:$AL$2,0)),"")</f>
        <v>-1885.672</v>
      </c>
      <c r="U53" s="269">
        <f>IFERROR(INDEX('Inputs (2)'!$D$73:$AL$73,MATCH(U$7&amp;"",'Inputs (2)'!$D$2:$AL$2,0)),"")</f>
        <v>-1996.732</v>
      </c>
      <c r="V53" s="269">
        <f>IFERROR(INDEX('Inputs (2)'!$D$73:$AL$73,MATCH(V$7&amp;"",'Inputs (2)'!$D$2:$AL$2,0)),"")</f>
        <v>-2032.161</v>
      </c>
      <c r="W53" s="270">
        <f>IF(COUNT(V53)=0,"",V53)</f>
        <v>-2032.161</v>
      </c>
      <c r="X53" s="269">
        <f>IFERROR(INDEX('Inputs (2)'!$D$73:$AL$73,MATCH(X$7&amp;"",'Inputs (2)'!$D$2:$AL$2,0)),"")</f>
        <v>-2404.1</v>
      </c>
      <c r="Y53" s="269">
        <f>IFERROR(INDEX('Inputs (2)'!$D$73:$AL$73,MATCH(Y$7&amp;"",'Inputs (2)'!$D$2:$AL$2,0)),"")</f>
        <v>-2769.753</v>
      </c>
      <c r="Z53" s="269">
        <f>IFERROR(INDEX('Inputs (2)'!$D$73:$AL$73,MATCH(Z$7&amp;"",'Inputs (2)'!$D$2:$AL$2,0)),"")</f>
        <v>-2950.257</v>
      </c>
      <c r="AA53" s="269">
        <f>IFERROR(INDEX('Inputs (2)'!$D$73:$AL$73,MATCH(AA$7&amp;"",'Inputs (2)'!$D$2:$AL$2,0)),"")</f>
        <v>-3150.416</v>
      </c>
      <c r="AB53" s="270">
        <f>IF(COUNT(AA53)=0,"",AA53)</f>
        <v>-3150.416</v>
      </c>
      <c r="AC53" s="269">
        <f>IFERROR(INDEX('Inputs (2)'!$D$73:$AL$73,MATCH(AC$7&amp;"",'Inputs (2)'!$D$2:$AL$2,0)),"")</f>
        <v>-3656.268</v>
      </c>
      <c r="AD53" s="269">
        <f>IFERROR(INDEX('Inputs (2)'!$D$73:$AL$73,MATCH(AD$7&amp;"",'Inputs (2)'!$D$2:$AL$2,0)),"")</f>
        <v>-4123.959</v>
      </c>
      <c r="AE53" s="269">
        <f>IFERROR(INDEX('Inputs (2)'!$D$73:$AL$73,MATCH(AE$7&amp;"",'Inputs (2)'!$D$2:$AL$2,0)),"")</f>
        <v>-4355.125</v>
      </c>
      <c r="AF53" s="269">
        <f>IFERROR(INDEX('Inputs (2)'!$D$73:$AL$73,MATCH(AF$7&amp;"",'Inputs (2)'!$D$2:$AL$2,0)),"")</f>
        <v>-4420.54</v>
      </c>
      <c r="AG53" s="270">
        <f>IF(COUNT(AF53)=0,"",AF53)</f>
        <v>-4420.54</v>
      </c>
      <c r="AH53" s="270">
        <f>IFERROR(INDEX('Inputs (2)'!$D$73:$AL$73,MATCH(AH$7&amp;"",'Inputs (2)'!$D$2:$AL$2,0)),"")</f>
        <v>-4834.308</v>
      </c>
      <c r="AI53" s="270">
        <f>IFERROR(INDEX('Inputs (2)'!$D$73:$AL$73,MATCH(AI$7&amp;"",'Inputs (2)'!$D$2:$AL$2,0)),"")</f>
        <v>-4988.36</v>
      </c>
    </row>
    <row r="54">
      <c r="C54" s="275" t="inlineStr">
        <is>
          <t>Resultado a apropriar</t>
        </is>
      </c>
      <c r="D54" s="269" t="str">
        <f>IF(COUNT(D52)=0,"",D52+D53)</f>
        <v/>
      </c>
      <c r="E54" s="269" t="str">
        <f>IF(COUNT(E52)=0,"",E52+E53)</f>
        <v/>
      </c>
      <c r="F54" s="269" t="str">
        <f>IF(COUNT(F52)=0,"",F52+F53)</f>
        <v/>
      </c>
      <c r="G54" s="269" t="str">
        <f>IF(COUNT(G52)=0,"",G52+G53)</f>
        <v/>
      </c>
      <c r="H54" s="270" t="str">
        <f>IF(COUNT(H52)=0,"",H52+H53)</f>
        <v/>
      </c>
      <c r="I54" s="269">
        <f>IF(COUNT(I52)=0,"",I52+I53)</f>
        <v>364.050194448</v>
      </c>
      <c r="J54" s="269">
        <f>IF(COUNT(J52)=0,"",J52+J53)</f>
        <v>436.51</v>
      </c>
      <c r="K54" s="269">
        <f>IF(COUNT(K52)=0,"",K52+K53)</f>
        <v>555.021</v>
      </c>
      <c r="L54" s="269">
        <f>IF(COUNT(L52)=0,"",L52+L53)</f>
        <v>610.255</v>
      </c>
      <c r="M54" s="270">
        <f>IF(COUNT(M52)=0,"",M52+M53)</f>
        <v>610.255</v>
      </c>
      <c r="N54" s="269">
        <f>IF(COUNT(N52)=0,"",N52+N53)</f>
        <v>725.037</v>
      </c>
      <c r="O54" s="269">
        <f>IF(COUNT(O52)=0,"",O52+O53)</f>
        <v>837.174</v>
      </c>
      <c r="P54" s="269">
        <f>IF(COUNT(P52)=0,"",P52+P53)</f>
        <v>978.265</v>
      </c>
      <c r="Q54" s="269">
        <f>IF(COUNT(Q52)=0,"",Q52+Q53)</f>
        <v>1027.867</v>
      </c>
      <c r="R54" s="270">
        <f>IF(COUNT(R52)=0,"",R52+R53)</f>
        <v>1027.867</v>
      </c>
      <c r="S54" s="269">
        <f>IF(COUNT(S52)=0,"",S52+S53)</f>
        <v>1222.996</v>
      </c>
      <c r="T54" s="269">
        <f>IF(COUNT(T52)=0,"",T52+T53)</f>
        <v>1360.124</v>
      </c>
      <c r="U54" s="269">
        <f>IF(COUNT(U52)=0,"",U52+U53)</f>
        <v>1442.401</v>
      </c>
      <c r="V54" s="269">
        <f>IF(COUNT(V52)=0,"",V52+V53)</f>
        <v>1469.756</v>
      </c>
      <c r="W54" s="270">
        <f>IF(COUNT(W52)=0,"",W52+W53)</f>
        <v>1469.756</v>
      </c>
      <c r="X54" s="269">
        <f>IF(COUNT(X52)=0,"",X52+X53)</f>
        <v>1749.306</v>
      </c>
      <c r="Y54" s="269">
        <f>IF(COUNT(Y52)=0,"",Y52+Y53)</f>
        <v>2068.177</v>
      </c>
      <c r="Z54" s="269">
        <f>IF(COUNT(Z52)=0,"",Z52+Z53)</f>
        <v>2253.386</v>
      </c>
      <c r="AA54" s="269">
        <f>IF(COUNT(AA52)=0,"",AA52+AA53)</f>
        <v>2414.881</v>
      </c>
      <c r="AB54" s="270">
        <f>IF(COUNT(AB52)=0,"",AB52+AB53)</f>
        <v>2414.881</v>
      </c>
      <c r="AC54" s="269">
        <f>IF(COUNT(AC52)=0,"",AC52+AC53)</f>
        <v>2774.18</v>
      </c>
      <c r="AD54" s="269">
        <f>IF(COUNT(AD52)=0,"",AD52+AD53)</f>
        <v>3160.057</v>
      </c>
      <c r="AE54" s="269">
        <f>IF(COUNT(AE52)=0,"",AE52+AE53)</f>
        <v>3346.002</v>
      </c>
      <c r="AF54" s="269">
        <f>IF(COUNT(AF52)=0,"",AF52+AF53)</f>
        <v>3381.735</v>
      </c>
      <c r="AG54" s="270">
        <f>IF(COUNT(AG52)=0,"",AG52+AG53)</f>
        <v>3381.735</v>
      </c>
      <c r="AH54" s="270">
        <f>IF(COUNT(AH52)=0,"",AH52+AH53)</f>
        <v>3637.593</v>
      </c>
      <c r="AI54" s="270">
        <f>IF(COUNT(AI52)=0,"",AI52+AI53)</f>
        <v>3842.913</v>
      </c>
    </row>
    <row r="55">
      <c r="C55" s="268" t="inlineStr">
        <is>
          <t xml:space="preserve">   Margem REF</t>
        </is>
      </c>
      <c r="D55" s="271" t="str">
        <f>IFERROR(D54/D52,"")</f>
        <v/>
      </c>
      <c r="E55" s="271" t="str">
        <f>IFERROR(E54/E52,"")</f>
        <v/>
      </c>
      <c r="F55" s="271" t="str">
        <f>IFERROR(F54/F52,"")</f>
        <v/>
      </c>
      <c r="G55" s="271" t="str">
        <f>IFERROR(G54/G52,"")</f>
        <v/>
      </c>
      <c r="H55" s="272" t="str">
        <f>IFERROR(H54/H52,"")</f>
        <v/>
      </c>
      <c r="I55" s="271">
        <f>IFERROR(I54/I52,"")</f>
        <v>0.37429419002363</v>
      </c>
      <c r="J55" s="271">
        <f>IFERROR(J54/J52,"")</f>
        <v>0.372356351793198</v>
      </c>
      <c r="K55" s="271">
        <f>IFERROR(K54/K52,"")</f>
        <v>0.388917190400345</v>
      </c>
      <c r="L55" s="271">
        <f>IFERROR(L54/L52,"")</f>
        <v>0.391185090409329</v>
      </c>
      <c r="M55" s="272">
        <f>IFERROR(M54/M52,"")</f>
        <v>0.391185090409329</v>
      </c>
      <c r="N55" s="271">
        <f>IFERROR(N54/N52,"")</f>
        <v>0.396982321773616</v>
      </c>
      <c r="O55" s="271">
        <f>IFERROR(O54/O52,"")</f>
        <v>0.405482220127693</v>
      </c>
      <c r="P55" s="271">
        <f>IFERROR(P54/P52,"")</f>
        <v>0.421265564409688</v>
      </c>
      <c r="Q55" s="271">
        <f>IFERROR(Q54/Q52,"")</f>
        <v>0.418785617171454</v>
      </c>
      <c r="R55" s="272">
        <f>IFERROR(R54/R52,"")</f>
        <v>0.418785617171454</v>
      </c>
      <c r="S55" s="271">
        <f>IFERROR(S54/S52,"")</f>
        <v>0.419634282208581</v>
      </c>
      <c r="T55" s="271">
        <f>IFERROR(T54/T52,"")</f>
        <v>0.419041738913967</v>
      </c>
      <c r="U55" s="271">
        <f>IFERROR(U54/U52,"")</f>
        <v>0.419408321806688</v>
      </c>
      <c r="V55" s="271">
        <f>IFERROR(V54/V52,"")</f>
        <v>0.419700409804116</v>
      </c>
      <c r="W55" s="272">
        <f>IFERROR(W54/W52,"")</f>
        <v>0.419700409804116</v>
      </c>
      <c r="X55" s="271">
        <f>IFERROR(X54/X52,"")</f>
        <v>0.421173851051402</v>
      </c>
      <c r="Y55" s="271">
        <f>IFERROR(Y54/Y52,"")</f>
        <v>0.427492129898531</v>
      </c>
      <c r="Z55" s="271">
        <f>IFERROR(Z54/Z52,"")</f>
        <v>0.43304008364909</v>
      </c>
      <c r="AA55" s="271">
        <f>IFERROR(AA54/AA52,"")</f>
        <v>0.433917722630077</v>
      </c>
      <c r="AB55" s="272">
        <f>IFERROR(AB54/AB52,"")</f>
        <v>0.433917722630077</v>
      </c>
      <c r="AC55" s="271">
        <f>IFERROR(AC54/AC52,"")</f>
        <v>0.43141317681132</v>
      </c>
      <c r="AD55" s="271">
        <f>IFERROR(AD54/AD52,"")</f>
        <v>0.433834439682724</v>
      </c>
      <c r="AE55" s="271">
        <f>IFERROR(AE54/AE52,"")</f>
        <v>0.434482121902418</v>
      </c>
      <c r="AF55" s="271">
        <f>IFERROR(AF54/AF52,"")</f>
        <v>0.433429352336338</v>
      </c>
      <c r="AG55" s="272">
        <f>IFERROR(AG54/AG52,"")</f>
        <v>0.433429352336338</v>
      </c>
      <c r="AH55" s="272">
        <f>IFERROR(AH54/AH52,"")</f>
        <v>0.429371518859817</v>
      </c>
      <c r="AI55" s="272">
        <f>IFERROR(AI54/AI52,"")</f>
        <v>0.435148250993939</v>
      </c>
    </row>
    <row r="56">
      <c r="C56" s="275" t="inlineStr">
        <is>
          <t>Receita liquida (linha 15)</t>
        </is>
      </c>
      <c r="D56" s="269">
        <f>D15</f>
        <v>0</v>
      </c>
      <c r="E56" s="269">
        <f>E15</f>
        <v>0</v>
      </c>
      <c r="F56" s="269">
        <f>F15</f>
        <v>0</v>
      </c>
      <c r="G56" s="269">
        <f>G15</f>
        <v>0</v>
      </c>
      <c r="H56" s="270">
        <f>H15</f>
        <v>0</v>
      </c>
      <c r="I56" s="269">
        <f>I15</f>
        <v>339.286</v>
      </c>
      <c r="J56" s="269">
        <f>J15</f>
        <v>451.337</v>
      </c>
      <c r="K56" s="269">
        <f>K15</f>
        <v>456.44958043</v>
      </c>
      <c r="L56" s="269">
        <f>L15</f>
        <v>491.223</v>
      </c>
      <c r="M56" s="270">
        <f>M15</f>
        <v>1738.29558043</v>
      </c>
      <c r="N56" s="269">
        <f>N15</f>
        <v>447.374</v>
      </c>
      <c r="O56" s="269">
        <f>O15</f>
        <v>602.783</v>
      </c>
      <c r="P56" s="269">
        <f>P15</f>
        <v>626.659</v>
      </c>
      <c r="Q56" s="269">
        <f>Q15</f>
        <v>580.478</v>
      </c>
      <c r="R56" s="270">
        <f>R15</f>
        <v>2257.294</v>
      </c>
      <c r="S56" s="269">
        <f>S15</f>
        <v>594.956</v>
      </c>
      <c r="T56" s="269">
        <f>T15</f>
        <v>727.746</v>
      </c>
      <c r="U56" s="269">
        <f>U15</f>
        <v>751.874</v>
      </c>
      <c r="V56" s="269">
        <f>V15</f>
        <v>811.596</v>
      </c>
      <c r="W56" s="270">
        <f>W15</f>
        <v>2886.172</v>
      </c>
      <c r="X56" s="269">
        <f>X15</f>
        <v>837.382</v>
      </c>
      <c r="Y56" s="269">
        <f>Y15</f>
        <v>998.085</v>
      </c>
      <c r="Z56" s="269">
        <f>Z15</f>
        <v>1055.872</v>
      </c>
      <c r="AA56" s="269">
        <f>AA15</f>
        <v>1034.971</v>
      </c>
      <c r="AB56" s="270">
        <f>AB15</f>
        <v>3926.31</v>
      </c>
      <c r="AC56" s="269">
        <f>AC15</f>
        <v>1216.184</v>
      </c>
      <c r="AD56" s="269">
        <f>AD15</f>
        <v>1346.599</v>
      </c>
      <c r="AE56" s="269">
        <f>AE15</f>
        <v>1416.926</v>
      </c>
      <c r="AF56" s="269">
        <f>AF15</f>
        <v>1419.715</v>
      </c>
      <c r="AG56" s="270">
        <f>AG15</f>
        <v>5399.424</v>
      </c>
      <c r="AH56" s="270">
        <f>AH15</f>
        <v>1612.571</v>
      </c>
      <c r="AI56" s="270">
        <f>AI15</f>
        <v>1690.594</v>
      </c>
    </row>
    <row r="57">
      <c r="C57" s="268" t="inlineStr">
        <is>
          <t xml:space="preserve">   Margem bruta reconhecida (linhas 15 e 68)</t>
        </is>
      </c>
      <c r="D57" s="271" t="str">
        <f>IFERROR((D15+D68)/D15,"")</f>
        <v/>
      </c>
      <c r="E57" s="271" t="str">
        <f>IFERROR((E15+E68)/E15,"")</f>
        <v/>
      </c>
      <c r="F57" s="271" t="str">
        <f>IFERROR((F15+F68)/F15,"")</f>
        <v/>
      </c>
      <c r="G57" s="271" t="str">
        <f>IFERROR((G15+G68)/G15,"")</f>
        <v/>
      </c>
      <c r="H57" s="272" t="str">
        <f>IFERROR((H15+H68)/H15,"")</f>
        <v/>
      </c>
      <c r="I57" s="271">
        <f>IFERROR((I15+I68)/I15,"")</f>
        <v>0.35469191183839</v>
      </c>
      <c r="J57" s="271">
        <f>IFERROR((J15+J68)/J15,"")</f>
        <v>0.360963094095986</v>
      </c>
      <c r="K57" s="271">
        <f>IFERROR((K15+K68)/K15,"")</f>
        <v>0.383332241175832</v>
      </c>
      <c r="L57" s="271">
        <f>IFERROR((L15+L68)/L15,"")</f>
        <v>0.379546560319855</v>
      </c>
      <c r="M57" s="272">
        <f>IFERROR((M15+M68)/M15,"")</f>
        <v>0.37086433855543</v>
      </c>
      <c r="N57" s="271">
        <f>IFERROR((N15+N68)/N15,"")</f>
        <v>0.370850787037244</v>
      </c>
      <c r="O57" s="271">
        <f>IFERROR((O15+O68)/O15,"")</f>
        <v>0.35750344651392</v>
      </c>
      <c r="P57" s="271">
        <f>IFERROR((P15+P68)/P15,"")</f>
        <v>0.372998712218288</v>
      </c>
      <c r="Q57" s="271">
        <f>IFERROR((Q15+Q68)/Q15,"")</f>
        <v>0.382000695978142</v>
      </c>
      <c r="R57" s="272">
        <f>IFERROR((R15+R68)/R15,"")</f>
        <v>0.370750110530573</v>
      </c>
      <c r="S57" s="271">
        <f>IFERROR((S15+S68)/S15,"")</f>
        <v>0.375089922616126</v>
      </c>
      <c r="T57" s="271">
        <f>IFERROR((T15+T68)/T15,"")</f>
        <v>0.377266243991722</v>
      </c>
      <c r="U57" s="271">
        <f>IFERROR((U15+U68)/U15,"")</f>
        <v>0.377593852161399</v>
      </c>
      <c r="V57" s="271">
        <f>IFERROR((V15+V68)/V15,"")</f>
        <v>0.386564251179158</v>
      </c>
      <c r="W57" s="272">
        <f>IFERROR((W15+W68)/W15,"")</f>
        <v>0.379517575529109</v>
      </c>
      <c r="X57" s="271">
        <f>IFERROR((X15+X68)/X15,"")</f>
        <v>0.378093868748074</v>
      </c>
      <c r="Y57" s="271">
        <f>IFERROR((Y15+Y68)/Y15,"")</f>
        <v>0.383264952383815</v>
      </c>
      <c r="Z57" s="271">
        <f>IFERROR((Z15+Z68)/Z15,"")</f>
        <v>0.387779958176749</v>
      </c>
      <c r="AA57" s="271">
        <f>IFERROR((AA15+AA68)/AA15,"")</f>
        <v>0.390691140138226</v>
      </c>
      <c r="AB57" s="272">
        <f>IFERROR((AB15+AB68)/AB15,"")</f>
        <v>0.385333812154415</v>
      </c>
      <c r="AC57" s="271">
        <f>IFERROR((AC15+AC68)/AC15,"")</f>
        <v>0.390473809884031</v>
      </c>
      <c r="AD57" s="271">
        <f>IFERROR((AD15+AD68)/AD15,"")</f>
        <v>0.395645622787482</v>
      </c>
      <c r="AE57" s="271">
        <f>IFERROR((AE15+AE68)/AE15,"")</f>
        <v>0.399616493733618</v>
      </c>
      <c r="AF57" s="271">
        <f>IFERROR((AF15+AF68)/AF15,"")</f>
        <v>0.403388003930366</v>
      </c>
      <c r="AG57" s="272">
        <f>IFERROR((AG15+AG68)/AG15,"")</f>
        <v>0.397558517352962</v>
      </c>
      <c r="AH57" s="272">
        <f>IFERROR((AH15+AH68)/AH15,"")</f>
        <v>0.390467148423232</v>
      </c>
      <c r="AI57" s="272">
        <f>IFERROR((AI15+AI68)/AI15,"")</f>
        <v>0.395341519016393</v>
      </c>
    </row>
    <row r="58">
      <c r="C58" s="268" t="inlineStr">
        <is>
          <t xml:space="preserve">   Margem REF - margem bruta (p.p.)</t>
        </is>
      </c>
      <c r="D58" s="271" t="str">
        <f>IFERROR(D55-D57,"")</f>
        <v/>
      </c>
      <c r="E58" s="271" t="str">
        <f>IFERROR(E55-E57,"")</f>
        <v/>
      </c>
      <c r="F58" s="271" t="str">
        <f>IFERROR(F55-F57,"")</f>
        <v/>
      </c>
      <c r="G58" s="271" t="str">
        <f>IFERROR(G55-G57,"")</f>
        <v/>
      </c>
      <c r="H58" s="272" t="str">
        <f>IFERROR(H55-H57,"")</f>
        <v/>
      </c>
      <c r="I58" s="271">
        <f>IFERROR(I55-I57,"")</f>
        <v>0.0196022781852401</v>
      </c>
      <c r="J58" s="271">
        <f>IFERROR(J55-J57,"")</f>
        <v>0.0113932576972122</v>
      </c>
      <c r="K58" s="271">
        <f>IFERROR(K55-K57,"")</f>
        <v>0.00558494922451353</v>
      </c>
      <c r="L58" s="271">
        <f>IFERROR(L55-L57,"")</f>
        <v>0.0116385300894745</v>
      </c>
      <c r="M58" s="272">
        <f>IFERROR(M55-M57,"")</f>
        <v>0.0203207518538988</v>
      </c>
      <c r="N58" s="271">
        <f>IFERROR(N55-N57,"")</f>
        <v>0.0261315347363714</v>
      </c>
      <c r="O58" s="271">
        <f>IFERROR(O55-O57,"")</f>
        <v>0.0479787736137735</v>
      </c>
      <c r="P58" s="271">
        <f>IFERROR(P55-P57,"")</f>
        <v>0.0482668521914004</v>
      </c>
      <c r="Q58" s="271">
        <f>IFERROR(Q55-Q57,"")</f>
        <v>0.0367849211933121</v>
      </c>
      <c r="R58" s="272">
        <f>IFERROR(R55-R57,"")</f>
        <v>0.0480355066408809</v>
      </c>
      <c r="S58" s="271">
        <f>IFERROR(S55-S57,"")</f>
        <v>0.0445443595924543</v>
      </c>
      <c r="T58" s="271">
        <f>IFERROR(T55-T57,"")</f>
        <v>0.0417754949222451</v>
      </c>
      <c r="U58" s="271">
        <f>IFERROR(U55-U57,"")</f>
        <v>0.0418144696452885</v>
      </c>
      <c r="V58" s="271">
        <f>IFERROR(V55-V57,"")</f>
        <v>0.0331361586249577</v>
      </c>
      <c r="W58" s="272">
        <f>IFERROR(W55-W57,"")</f>
        <v>0.0401828342750067</v>
      </c>
      <c r="X58" s="271">
        <f>IFERROR(X55-X57,"")</f>
        <v>0.0430799823033279</v>
      </c>
      <c r="Y58" s="271">
        <f>IFERROR(Y55-Y57,"")</f>
        <v>0.0442271775147159</v>
      </c>
      <c r="Z58" s="271">
        <f>IFERROR(Z55-Z57,"")</f>
        <v>0.045260125472341</v>
      </c>
      <c r="AA58" s="271">
        <f>IFERROR(AA55-AA57,"")</f>
        <v>0.0432265824918509</v>
      </c>
      <c r="AB58" s="272">
        <f>IFERROR(AB55-AB57,"")</f>
        <v>0.0485839104756623</v>
      </c>
      <c r="AC58" s="271">
        <f>IFERROR(AC55-AC57,"")</f>
        <v>0.0409393669272896</v>
      </c>
      <c r="AD58" s="271">
        <f>IFERROR(AD55-AD57,"")</f>
        <v>0.0381888168952428</v>
      </c>
      <c r="AE58" s="271">
        <f>IFERROR(AE55-AE57,"")</f>
        <v>0.0348656281688</v>
      </c>
      <c r="AF58" s="271">
        <f>IFERROR(AF55-AF57,"")</f>
        <v>0.0300413484059715</v>
      </c>
      <c r="AG58" s="272">
        <f>IFERROR(AG55-AG57,"")</f>
        <v>0.0358708349833758</v>
      </c>
      <c r="AH58" s="272">
        <f>IFERROR(AH55-AH57,"")</f>
        <v>0.0389043704365845</v>
      </c>
      <c r="AI58" s="272">
        <f>IFERROR(AI55-AI57,"")</f>
        <v>0.0398067319775463</v>
      </c>
    </row>
    <row r="59">
      <c r="C59" s="268" t="inlineStr">
        <is>
          <t xml:space="preserve">   Receita liquida / vendas liquidas parte Cury</t>
        </is>
      </c>
      <c r="D59" s="278" t="str">
        <f>IFERROR(D56/D32,"")</f>
        <v/>
      </c>
      <c r="E59" s="278" t="str">
        <f>IFERROR(E56/E32,"")</f>
        <v/>
      </c>
      <c r="F59" s="278" t="str">
        <f>IFERROR(F56/F32,"")</f>
        <v/>
      </c>
      <c r="G59" s="278" t="str">
        <f>IFERROR(G56/G32,"")</f>
        <v/>
      </c>
      <c r="H59" s="279" t="str">
        <f>IFERROR(H56/H32,"")</f>
        <v/>
      </c>
      <c r="I59" s="278">
        <f>IFERROR(I56/I32,"")</f>
        <v>0.644933583802951</v>
      </c>
      <c r="J59" s="278">
        <f>IFERROR(J56/J32,"")</f>
        <v>0.729989126981157</v>
      </c>
      <c r="K59" s="278">
        <f>IFERROR(K56/K32,"")</f>
        <v>0.713674183524635</v>
      </c>
      <c r="L59" s="278">
        <f>IFERROR(L56/L32,"")</f>
        <v>0.868774729075417</v>
      </c>
      <c r="M59" s="279">
        <f>IFERROR(M56/M32,"")</f>
        <v>0.739903174725304</v>
      </c>
      <c r="N59" s="278">
        <f>IFERROR(N56/N32,"")</f>
        <v>0.632766847643977</v>
      </c>
      <c r="O59" s="278">
        <f>IFERROR(O56/O32,"")</f>
        <v>0.713513353528659</v>
      </c>
      <c r="P59" s="278">
        <f>IFERROR(P56/P32,"")</f>
        <v>0.748933544526094</v>
      </c>
      <c r="Q59" s="278">
        <f>IFERROR(Q56/Q32,"")</f>
        <v>0.806575722069022</v>
      </c>
      <c r="R59" s="279">
        <f>IFERROR(R56/R32,"")</f>
        <v>0.726229185187165</v>
      </c>
      <c r="S59" s="278">
        <f>IFERROR(S56/S32,"")</f>
        <v>0.560641444436922</v>
      </c>
      <c r="T59" s="278">
        <f>IFERROR(T56/T32,"")</f>
        <v>0.64259167853551</v>
      </c>
      <c r="U59" s="278">
        <f>IFERROR(U56/U32,"")</f>
        <v>0.860623003837906</v>
      </c>
      <c r="V59" s="278">
        <f>IFERROR(V56/V32,"")</f>
        <v>0.954498264832151</v>
      </c>
      <c r="W59" s="279">
        <f>IFERROR(W56/W32,"")</f>
        <v>0.736710476841673</v>
      </c>
      <c r="X59" s="278">
        <f>IFERROR(X56/X32,"")</f>
        <v>0.630884001739944</v>
      </c>
      <c r="Y59" s="278">
        <f>IFERROR(Y56/Y32,"")</f>
        <v>0.610330593753037</v>
      </c>
      <c r="Z59" s="278">
        <f>IFERROR(Z56/Z32,"")</f>
        <v>0.776614414920564</v>
      </c>
      <c r="AA59" s="278">
        <f>IFERROR(AA56/AA32,"")</f>
        <v>0.87911528794593</v>
      </c>
      <c r="AB59" s="279">
        <f>IFERROR(AB56/AB32,"")</f>
        <v>0.713938893580006</v>
      </c>
      <c r="AC59" s="278">
        <f>IFERROR(AC56/AC32,"")</f>
        <v>0.633679337988643</v>
      </c>
      <c r="AD59" s="278">
        <f>IFERROR(AD56/AD32,"")</f>
        <v>0.670872318407</v>
      </c>
      <c r="AE59" s="278">
        <f>IFERROR(AE56/AE32,"")</f>
        <v>0.869168327754841</v>
      </c>
      <c r="AF59" s="278">
        <f>IFERROR(AF56/AF32,"")</f>
        <v>0.989538131546006</v>
      </c>
      <c r="AG59" s="279">
        <f>IFERROR(AG56/AG32,"")</f>
        <v>0.772293805759432</v>
      </c>
      <c r="AH59" s="279">
        <f>IFERROR(AH56/AH32,"")</f>
        <v>0.851588829124052</v>
      </c>
      <c r="AI59" s="279">
        <f>IFERROR(AI56/AI32,"")</f>
        <v>0.966734186458914</v>
      </c>
    </row>
    <row r="60">
      <c r="C60" s="268" t="inlineStr">
        <is>
          <t xml:space="preserve">   Receita do trimestre / REF do trimestre anterior (velocidade de apropriacao)</t>
        </is>
      </c>
      <c r="D60" s="271" t="str">
        <f>""</f>
        <v/>
      </c>
      <c r="E60" s="271" t="str">
        <f>IFERROR(E56/D52,"")</f>
        <v/>
      </c>
      <c r="F60" s="271" t="str">
        <f>IFERROR(F56/E52,"")</f>
        <v/>
      </c>
      <c r="G60" s="271" t="str">
        <f>IFERROR(G56/F52,"")</f>
        <v/>
      </c>
      <c r="H60" s="272" t="n"/>
      <c r="I60" s="271" t="str">
        <f>IFERROR(I56/G52,"")</f>
        <v/>
      </c>
      <c r="J60" s="271">
        <f>IFERROR(J56/I52,"")</f>
        <v>0.46403715591704</v>
      </c>
      <c r="K60" s="271">
        <f>IFERROR(K56/J52,"")</f>
        <v>0.389365422433508</v>
      </c>
      <c r="L60" s="271">
        <f>IFERROR(L56/K52,"")</f>
        <v>0.34421232533549</v>
      </c>
      <c r="M60" s="272" t="n"/>
      <c r="N60" s="271">
        <f>IFERROR(N56/L52,"")</f>
        <v>0.286775263843448</v>
      </c>
      <c r="O60" s="271">
        <f>IFERROR(O56/N52,"")</f>
        <v>0.330044114804714</v>
      </c>
      <c r="P60" s="271">
        <f>IFERROR(P56/O52,"")</f>
        <v>0.303520035957877</v>
      </c>
      <c r="Q60" s="271">
        <f>IFERROR(Q56/P52,"")</f>
        <v>0.249968456703866</v>
      </c>
      <c r="R60" s="272" t="n"/>
      <c r="S60" s="271">
        <f>IFERROR(S56/Q52,"")</f>
        <v>0.242403944916862</v>
      </c>
      <c r="T60" s="271">
        <f>IFERROR(T56/S52,"")</f>
        <v>0.249704144854248</v>
      </c>
      <c r="U60" s="271">
        <f>IFERROR(U56/T52,"")</f>
        <v>0.231645488502666</v>
      </c>
      <c r="V60" s="271">
        <f>IFERROR(V56/U52,"")</f>
        <v>0.235988547113473</v>
      </c>
      <c r="W60" s="272" t="n"/>
      <c r="X60" s="271">
        <f>IFERROR(X56/V52,"")</f>
        <v>0.239121029995857</v>
      </c>
      <c r="Y60" s="271">
        <f>IFERROR(Y56/X52,"")</f>
        <v>0.240305185671711</v>
      </c>
      <c r="Z60" s="271">
        <f>IFERROR(Z56/Y52,"")</f>
        <v>0.218248713809419</v>
      </c>
      <c r="AA60" s="271">
        <f>IFERROR(AA56/Z52,"")</f>
        <v>0.198893544388037</v>
      </c>
      <c r="AB60" s="272" t="n"/>
      <c r="AC60" s="271">
        <f>IFERROR(AC56/AA52,"")</f>
        <v>0.218529936497549</v>
      </c>
      <c r="AD60" s="271">
        <f>IFERROR(AD56/AC52,"")</f>
        <v>0.209409826500424</v>
      </c>
      <c r="AE60" s="271">
        <f>IFERROR(AE56/AD52,"")</f>
        <v>0.194525382700972</v>
      </c>
      <c r="AF60" s="271">
        <f>IFERROR(AF56/AE52,"")</f>
        <v>0.184351589059627</v>
      </c>
      <c r="AG60" s="272" t="n"/>
      <c r="AH60" s="272">
        <f>IFERROR(AH56/AF52,"")</f>
        <v>0.206679590247716</v>
      </c>
      <c r="AI60" s="272">
        <f>IFERROR(AI56/AH52,"")</f>
        <v>0.199553087317711</v>
      </c>
    </row>
    <row r="61">
      <c r="C61" s="268" t="inlineStr">
        <is>
          <t xml:space="preserve">   % YoY receita liquida</t>
        </is>
      </c>
      <c r="D61" s="271" t="str">
        <f>""</f>
        <v/>
      </c>
      <c r="E61" s="271" t="str">
        <f>""</f>
        <v/>
      </c>
      <c r="F61" s="271" t="str">
        <f>""</f>
        <v/>
      </c>
      <c r="G61" s="271" t="str">
        <f>""</f>
        <v/>
      </c>
      <c r="H61" s="272" t="str">
        <f>""</f>
        <v/>
      </c>
      <c r="I61" s="271" t="str">
        <f>IFERROR(I56/D56-1,"")</f>
        <v/>
      </c>
      <c r="J61" s="271" t="str">
        <f>IFERROR(J56/E56-1,"")</f>
        <v/>
      </c>
      <c r="K61" s="271" t="str">
        <f>IFERROR(K56/F56-1,"")</f>
        <v/>
      </c>
      <c r="L61" s="271" t="str">
        <f>IFERROR(L56/G56-1,"")</f>
        <v/>
      </c>
      <c r="M61" s="272" t="str">
        <f>IFERROR(M56/H56-1,"")</f>
        <v/>
      </c>
      <c r="N61" s="271">
        <f>IFERROR(N56/I56-1,"")</f>
        <v>0.318574889621146</v>
      </c>
      <c r="O61" s="271">
        <f>IFERROR(O56/J56-1,"")</f>
        <v>0.335549711191416</v>
      </c>
      <c r="P61" s="271">
        <f>IFERROR(P56/K56-1,"")</f>
        <v>0.372898622033246</v>
      </c>
      <c r="Q61" s="271">
        <f>IFERROR(Q56/L56-1,"")</f>
        <v>0.181699553970396</v>
      </c>
      <c r="R61" s="272">
        <f>IFERROR(R56/M56-1,"")</f>
        <v>0.298567415929123</v>
      </c>
      <c r="S61" s="271">
        <f>IFERROR(S56/N56-1,"")</f>
        <v>0.329885062609807</v>
      </c>
      <c r="T61" s="271">
        <f>IFERROR(T56/O56-1,"")</f>
        <v>0.207310093350343</v>
      </c>
      <c r="U61" s="271">
        <f>IFERROR(U56/P56-1,"")</f>
        <v>0.199813614741031</v>
      </c>
      <c r="V61" s="271">
        <f>IFERROR(V56/Q56-1,"")</f>
        <v>0.398151178856046</v>
      </c>
      <c r="W61" s="272">
        <f>IFERROR(W56/R56-1,"")</f>
        <v>0.27859817994466</v>
      </c>
      <c r="X61" s="271">
        <f>IFERROR(X56/S56-1,"")</f>
        <v>0.407468787607823</v>
      </c>
      <c r="Y61" s="271">
        <f>IFERROR(Y56/T56-1,"")</f>
        <v>0.371474388041982</v>
      </c>
      <c r="Z61" s="271">
        <f>IFERROR(Z56/U56-1,"")</f>
        <v>0.404320404748668</v>
      </c>
      <c r="AA61" s="271">
        <f>IFERROR(AA56/V56-1,"")</f>
        <v>0.275229301277976</v>
      </c>
      <c r="AB61" s="272">
        <f>IFERROR(AB56/W56-1,"")</f>
        <v>0.360386699060209</v>
      </c>
      <c r="AC61" s="271">
        <f>IFERROR(AC56/X56-1,"")</f>
        <v>0.452364631673478</v>
      </c>
      <c r="AD61" s="271">
        <f>IFERROR(AD56/Y56-1,"")</f>
        <v>0.349182684841471</v>
      </c>
      <c r="AE61" s="271">
        <f>IFERROR(AE56/Z56-1,"")</f>
        <v>0.341948645290338</v>
      </c>
      <c r="AF61" s="271">
        <f>IFERROR(AF56/AA56-1,"")</f>
        <v>0.371743749341769</v>
      </c>
      <c r="AG61" s="272">
        <f>IFERROR(AG56/AB56-1,"")</f>
        <v>0.375190445991274</v>
      </c>
      <c r="AH61" s="272">
        <f>IFERROR(AH56/AC56-1,"")</f>
        <v>0.325926833439677</v>
      </c>
      <c r="AI61" s="272">
        <f>IFERROR(AI56/AD56-1,"")</f>
        <v>0.255454667647904</v>
      </c>
    </row>
    <row r="62"/>
    <row r="63"/>
    <row r="64"/>
    <row r="65"/>
    <row r="66" hidden="1" outlineLevel="1" customFormat="1" s="43">
      <c r="A66" s="36" t="n"/>
      <c r="B66" s="37" t="n"/>
      <c r="C66" s="45" t="n"/>
      <c r="D66" s="39" t="n"/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  <c r="BC66" s="39" t="n"/>
      <c r="BD66" s="39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39" t="n"/>
      <c r="BQ66" s="39" t="n"/>
      <c r="BR66" s="39" t="n"/>
      <c r="BS66" s="39" t="n"/>
      <c r="BT66" s="39" t="n"/>
      <c r="BU66" s="39" t="n"/>
      <c r="BV66" s="39" t="n"/>
      <c r="BW66" s="39" t="n"/>
      <c r="BX66" s="39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39" t="n"/>
      <c r="CH66" s="39" t="n"/>
      <c r="CI66" s="39" t="n"/>
      <c r="CJ66" s="39" t="n"/>
      <c r="CK66" s="39" t="n"/>
      <c r="CL66" s="39" t="n"/>
      <c r="CM66" s="39" t="n"/>
      <c r="CN66" s="39" t="n"/>
      <c r="CO66" s="39" t="n"/>
      <c r="CP66" s="39" t="n"/>
      <c r="CQ66" s="39" t="n"/>
      <c r="CR66" s="39" t="n"/>
      <c r="CS66" s="39" t="n"/>
      <c r="CT66" s="39" t="n"/>
      <c r="CU66" s="39" t="n"/>
      <c r="CV66" s="39" t="n"/>
      <c r="CW66" s="39" t="n"/>
      <c r="CX66" s="39" t="n"/>
      <c r="CY66" s="39" t="n"/>
    </row>
    <row r="67" hidden="1" outlineLevel="1" customFormat="1" s="43">
      <c r="A67" s="36" t="n"/>
      <c r="B67" s="37" t="n"/>
      <c r="C67" s="45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  <c r="BC67" s="39" t="n"/>
      <c r="BD67" s="39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39" t="n"/>
      <c r="BQ67" s="39" t="n"/>
      <c r="BR67" s="39" t="n"/>
      <c r="BS67" s="39" t="n"/>
      <c r="BT67" s="39" t="n"/>
      <c r="BU67" s="39" t="n"/>
      <c r="BV67" s="39" t="n"/>
      <c r="BW67" s="39" t="n"/>
      <c r="BX67" s="39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39" t="n"/>
      <c r="CH67" s="39" t="n"/>
      <c r="CI67" s="39" t="n"/>
      <c r="CJ67" s="39" t="n"/>
      <c r="CK67" s="39" t="n"/>
      <c r="CL67" s="39" t="n"/>
      <c r="CM67" s="39" t="n"/>
      <c r="CN67" s="39" t="n"/>
      <c r="CO67" s="39" t="n"/>
      <c r="CP67" s="39" t="n"/>
      <c r="CQ67" s="39" t="n"/>
      <c r="CR67" s="39" t="n"/>
      <c r="CS67" s="39" t="n"/>
      <c r="CT67" s="39" t="n"/>
      <c r="CU67" s="39" t="n"/>
      <c r="CV67" s="39" t="n"/>
      <c r="CW67" s="39" t="n"/>
      <c r="CX67" s="39" t="n"/>
      <c r="CY67" s="39" t="n"/>
    </row>
    <row r="68" collapsed="1">
      <c r="C68" s="13" t="inlineStr">
        <is>
          <t>COGS (cash)</t>
        </is>
      </c>
      <c r="D68" s="46" t="n"/>
      <c r="E68" s="46" t="n"/>
      <c r="F68" s="46" t="n"/>
      <c r="G68" s="46" t="n"/>
      <c r="H68" s="12" t="n"/>
      <c r="I68" s="46">
        <f>'Inputs (2)'!D5</f>
        <v>-218.944</v>
      </c>
      <c r="J68" s="46">
        <f>'Inputs (2)'!E5</f>
        <v>-288.421</v>
      </c>
      <c r="K68" s="46">
        <f>'Inputs (2)'!F5</f>
        <v>-281.47773978</v>
      </c>
      <c r="L68" s="46">
        <f>'Inputs (2)'!G5</f>
        <v>-304.781</v>
      </c>
      <c r="M68" s="12">
        <f>'Inputs (2)'!H5</f>
        <v>-1093.62373978</v>
      </c>
      <c r="N68" s="46">
        <f>'Inputs (2)'!I5</f>
        <v>-281.465</v>
      </c>
      <c r="O68" s="46">
        <f>'Inputs (2)'!J5</f>
        <v>-387.286</v>
      </c>
      <c r="P68" s="46">
        <f>'Inputs (2)'!K5</f>
        <v>-392.916</v>
      </c>
      <c r="Q68" s="46">
        <f>'Inputs (2)'!L5</f>
        <v>-358.735</v>
      </c>
      <c r="R68" s="12">
        <f>'Inputs (2)'!M5</f>
        <v>-1420.402</v>
      </c>
      <c r="S68" s="46">
        <f>'Inputs (2)'!N5</f>
        <v>-371.794</v>
      </c>
      <c r="T68" s="46">
        <f>'Inputs (2)'!O5</f>
        <v>-453.192</v>
      </c>
      <c r="U68" s="46">
        <f>'Inputs (2)'!P5</f>
        <v>-467.971</v>
      </c>
      <c r="V68" s="46">
        <f>'Inputs (2)'!Q5</f>
        <v>-497.862</v>
      </c>
      <c r="W68" s="12">
        <f>'Inputs (2)'!R5</f>
        <v>-1790.819</v>
      </c>
      <c r="X68" s="46">
        <f>'Inputs (2)'!S5</f>
        <v>-520.773</v>
      </c>
      <c r="Y68" s="46">
        <f>'Inputs (2)'!T5</f>
        <v>-615.554</v>
      </c>
      <c r="Z68" s="46">
        <f>'Inputs (2)'!U5</f>
        <v>-646.426</v>
      </c>
      <c r="AA68" s="46">
        <f>'Inputs (2)'!V5</f>
        <v>-630.617</v>
      </c>
      <c r="AB68" s="12">
        <f>'Inputs (2)'!W5</f>
        <v>-2413.37</v>
      </c>
      <c r="AC68" s="46">
        <f>'Inputs (2)'!X5</f>
        <v>-741.296</v>
      </c>
      <c r="AD68" s="46">
        <f>'Inputs (2)'!Y5</f>
        <v>-813.823</v>
      </c>
      <c r="AE68" s="46">
        <f>'Inputs (2)'!Z5</f>
        <v>-850.699</v>
      </c>
      <c r="AF68" s="46">
        <f>'Inputs (2)'!AA5</f>
        <v>-847.019</v>
      </c>
      <c r="AG68" s="12">
        <f>'Inputs (2)'!AB5</f>
        <v>-3252.837</v>
      </c>
      <c r="AH68" s="12">
        <f>'Inputs (2)'!AC5</f>
        <v>-982.915</v>
      </c>
      <c r="AI68" s="12">
        <f>'Inputs (2)'!AD5</f>
        <v>-1022.232</v>
      </c>
      <c r="AJ68" s="12">
        <f>-(1-AJ69)*AJ15</f>
        <v>-1155.21967430785</v>
      </c>
      <c r="AK68" s="12">
        <f>-(1-AK69)*AK15</f>
        <v>-1157.49354582382</v>
      </c>
      <c r="AL68" s="12">
        <f>SUM(AH68:AK68)</f>
        <v>-4317.86022013167</v>
      </c>
      <c r="AM68" s="12">
        <f>-(1-AM69)*AM15</f>
        <v>-1314.72902989872</v>
      </c>
      <c r="AN68" s="12">
        <f>-(1-AN69)*AN15</f>
        <v>-1378.34117665058</v>
      </c>
      <c r="AO68" s="12">
        <f>-(1-AO69)*AO15</f>
        <v>-1558.89601996528</v>
      </c>
      <c r="AP68" s="12">
        <f>-(1-AP69)*AP15</f>
        <v>-1561.96446602364</v>
      </c>
      <c r="AQ68" s="12">
        <f>SUM(AM68:AP68)</f>
        <v>-5813.93069253823</v>
      </c>
      <c r="AR68" s="12">
        <f>-(1-AR69)*AR15</f>
        <v>-1767.57018015362</v>
      </c>
      <c r="AS68" s="12">
        <f>-(1-AS69)*AS15</f>
        <v>-1853.09269554434</v>
      </c>
      <c r="AT68" s="12">
        <f>-(1-AT69)*AT15</f>
        <v>-2095.83728372002</v>
      </c>
      <c r="AU68" s="12">
        <f>-(1-AU69)*AU15</f>
        <v>-2099.96261573051</v>
      </c>
      <c r="AV68" s="12">
        <f>SUM(AR68:AU68)</f>
        <v>-7816.46277514849</v>
      </c>
      <c r="AW68" s="12">
        <f>-(1-AW69)*AW15</f>
        <v>-2367.54866732266</v>
      </c>
      <c r="AX68" s="12">
        <f>-(1-AX69)*AX15</f>
        <v>-2482.10067754145</v>
      </c>
      <c r="AY68" s="12">
        <f>-(1-AY69)*AY15</f>
        <v>-2807.24172862275</v>
      </c>
      <c r="AZ68" s="12">
        <f>-(1-AZ69)*AZ15</f>
        <v>-2812.76735041326</v>
      </c>
      <c r="BA68" s="12">
        <f>SUM(AW68:AZ68)</f>
        <v>-10469.6584239001</v>
      </c>
      <c r="BB68" s="12">
        <f>-(1-BB69)*BB15</f>
        <v>-3159.34423013058</v>
      </c>
      <c r="BC68" s="12">
        <f>-(1-BC69)*BC15</f>
        <v>-3312.20665595089</v>
      </c>
      <c r="BD68" s="12">
        <f>-(1-BD69)*BD15</f>
        <v>-3746.08686204353</v>
      </c>
      <c r="BE68" s="12">
        <f>-(1-BE69)*BE15</f>
        <v>-3753.4604554833</v>
      </c>
      <c r="BF68" s="12">
        <f>SUM(BB68:BE68)</f>
        <v>-13971.0982036083</v>
      </c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 customFormat="1" s="3">
      <c r="C69" s="47" t="inlineStr">
        <is>
          <t>% Gross Margin</t>
        </is>
      </c>
      <c r="D69" s="48" t="n"/>
      <c r="E69" s="48" t="n"/>
      <c r="F69" s="48" t="n"/>
      <c r="G69" s="48" t="n"/>
      <c r="H69" s="48" t="n"/>
      <c r="I69" s="48">
        <f>IFERROR((I15+I68)/I$15,"")</f>
        <v>0.35469191183839</v>
      </c>
      <c r="J69" s="48">
        <f>IFERROR((J15+J68)/J$15,"")</f>
        <v>0.360963094095986</v>
      </c>
      <c r="K69" s="48">
        <f>IFERROR((K15+K68)/K$15,"")</f>
        <v>0.383332241175832</v>
      </c>
      <c r="L69" s="48">
        <f>IFERROR((L15+L68)/L$15,"")</f>
        <v>0.379546560319855</v>
      </c>
      <c r="M69" s="48">
        <f>IFERROR((M15+M68)/M$15,"")</f>
        <v>0.37086433855543</v>
      </c>
      <c r="N69" s="48">
        <f>IFERROR((N15+N68)/N$15,"")</f>
        <v>0.370850787037244</v>
      </c>
      <c r="O69" s="48">
        <f>IFERROR((O15+O68)/O$15,"")</f>
        <v>0.35750344651392</v>
      </c>
      <c r="P69" s="48">
        <f>IFERROR((P15+P68)/P$15,"")</f>
        <v>0.372998712218288</v>
      </c>
      <c r="Q69" s="48">
        <f>IFERROR((Q15+Q68)/Q$15,"")</f>
        <v>0.382000695978142</v>
      </c>
      <c r="R69" s="48">
        <f>IFERROR((R15+R68)/R$15,"")</f>
        <v>0.370750110530573</v>
      </c>
      <c r="S69" s="48">
        <f>IFERROR((S15+S68)/S$15,"")</f>
        <v>0.375089922616126</v>
      </c>
      <c r="T69" s="48">
        <f>IFERROR((T15+T68)/T$15,"")</f>
        <v>0.377266243991722</v>
      </c>
      <c r="U69" s="48">
        <f>IFERROR((U15+U68)/U$15,"")</f>
        <v>0.377593852161399</v>
      </c>
      <c r="V69" s="48">
        <f>IFERROR((V15+V68)/V$15,"")</f>
        <v>0.386564251179158</v>
      </c>
      <c r="W69" s="48">
        <f>IFERROR((W15+W68)/W$15,"")</f>
        <v>0.379517575529109</v>
      </c>
      <c r="X69" s="48">
        <f>IFERROR((X15+X68)/X$15,"")</f>
        <v>0.378093868748074</v>
      </c>
      <c r="Y69" s="48">
        <f>IFERROR((Y15+Y68)/Y$15,"")</f>
        <v>0.383264952383815</v>
      </c>
      <c r="Z69" s="48">
        <f>IFERROR((Z15+Z68)/Z$15,"")</f>
        <v>0.387779958176749</v>
      </c>
      <c r="AA69" s="48">
        <f>IFERROR((AA15+AA68)/AA$15,"")</f>
        <v>0.390691140138226</v>
      </c>
      <c r="AB69" s="48">
        <f>IFERROR((AB15+AB68)/AB$15,"")</f>
        <v>0.385333812154415</v>
      </c>
      <c r="AC69" s="48">
        <f>IFERROR((AC15+AC68)/AC$15,"")</f>
        <v>0.390473809884031</v>
      </c>
      <c r="AD69" s="48">
        <f>IFERROR((AD15+AD68)/AD$15,"")</f>
        <v>0.395645622787482</v>
      </c>
      <c r="AE69" s="48">
        <f>IFERROR((AE15+AE68)/AE$15,"")</f>
        <v>0.399616493733618</v>
      </c>
      <c r="AF69" s="41">
        <f>IFERROR((AF15+AF68)/AF$15,"")</f>
        <v>0.403388003930366</v>
      </c>
      <c r="AG69" s="48">
        <f>IFERROR((AG15+AG68)/AG$15,"")</f>
        <v>0.397558517352962</v>
      </c>
      <c r="AH69" s="49">
        <f>IFERROR((AH15+AH68)/AH$15,"")</f>
        <v>0.390467148423232</v>
      </c>
      <c r="AI69" s="49">
        <f>IFERROR((AI15+AI68)/AI$15,"")</f>
        <v>0.395341519016393</v>
      </c>
      <c r="AJ69" s="49">
        <f>Control!$B$19</f>
        <v>0.395822099629187</v>
      </c>
      <c r="AK69" s="49">
        <f>Control!$B$19</f>
        <v>0.395822099629187</v>
      </c>
      <c r="AL69" s="48">
        <f>IFERROR((AL15+AL68)/AL$15,"")</f>
        <v>0.394497227652065</v>
      </c>
      <c r="AM69" s="49">
        <f>Control!$C$19</f>
        <v>0.395822099629187</v>
      </c>
      <c r="AN69" s="49">
        <f>Control!$C$19</f>
        <v>0.395822099629187</v>
      </c>
      <c r="AO69" s="49">
        <f>Control!$C$19</f>
        <v>0.395822099629187</v>
      </c>
      <c r="AP69" s="49">
        <f>Control!$C$19</f>
        <v>0.395822099629187</v>
      </c>
      <c r="AQ69" s="48">
        <f>IFERROR((AQ15+AQ68)/AQ$15,"")</f>
        <v>0.395822099629187</v>
      </c>
      <c r="AR69" s="49">
        <f>Control!$D$19</f>
        <v>0.395822099629187</v>
      </c>
      <c r="AS69" s="49">
        <f>Control!$D$19</f>
        <v>0.395822099629187</v>
      </c>
      <c r="AT69" s="49">
        <f>Control!$D$19</f>
        <v>0.395822099629187</v>
      </c>
      <c r="AU69" s="49">
        <f>Control!$D$19</f>
        <v>0.395822099629187</v>
      </c>
      <c r="AV69" s="48">
        <f>IFERROR((AV15+AV68)/AV$15,"")</f>
        <v>0.395822099629187</v>
      </c>
      <c r="AW69" s="49">
        <f>Control!$E$19</f>
        <v>0.395822099629187</v>
      </c>
      <c r="AX69" s="49">
        <f>Control!$E$19</f>
        <v>0.395822099629187</v>
      </c>
      <c r="AY69" s="49">
        <f>Control!$E$19</f>
        <v>0.395822099629187</v>
      </c>
      <c r="AZ69" s="49">
        <f>Control!$E$19</f>
        <v>0.395822099629187</v>
      </c>
      <c r="BA69" s="48">
        <f>IFERROR((BA15+BA68)/BA$15,"")</f>
        <v>0.395822099629187</v>
      </c>
      <c r="BB69" s="49">
        <f>Control!$F$19</f>
        <v>0.395822099629187</v>
      </c>
      <c r="BC69" s="49">
        <f>Control!$F$19</f>
        <v>0.395822099629187</v>
      </c>
      <c r="BD69" s="49">
        <f>Control!$F$19</f>
        <v>0.395822099629187</v>
      </c>
      <c r="BE69" s="49">
        <f>Control!$F$19</f>
        <v>0.395822099629187</v>
      </c>
      <c r="BF69" s="48">
        <f>IFERROR((BF15+BF68)/BF$15,"")</f>
        <v>0.395822099629187</v>
      </c>
      <c r="BG69" s="49" t="n"/>
      <c r="BH69" s="49" t="n"/>
      <c r="BI69" s="49" t="n"/>
      <c r="BJ69" s="49" t="n"/>
      <c r="BK69" s="48" t="n"/>
      <c r="BL69" s="49" t="n"/>
      <c r="BM69" s="49" t="n"/>
      <c r="BN69" s="49" t="n"/>
      <c r="BO69" s="49" t="n"/>
      <c r="BP69" s="48" t="n"/>
      <c r="BQ69" s="49" t="n"/>
      <c r="BR69" s="49" t="n"/>
      <c r="BS69" s="49" t="n"/>
      <c r="BT69" s="49" t="n"/>
      <c r="BU69" s="48" t="n"/>
      <c r="BV69" s="49" t="n"/>
      <c r="BW69" s="49" t="n"/>
      <c r="BX69" s="49" t="n"/>
      <c r="BY69" s="49" t="n"/>
      <c r="BZ69" s="48" t="n"/>
      <c r="CA69" s="49" t="n"/>
      <c r="CB69" s="49" t="n"/>
      <c r="CC69" s="49" t="n"/>
      <c r="CD69" s="49" t="n"/>
      <c r="CE69" s="48" t="n"/>
      <c r="CF69" s="49" t="n"/>
      <c r="CG69" s="49" t="n"/>
      <c r="CH69" s="49" t="n"/>
      <c r="CI69" s="49" t="n"/>
      <c r="CJ69" s="48" t="n"/>
      <c r="CK69" s="49" t="n"/>
      <c r="CL69" s="49" t="n"/>
      <c r="CM69" s="49" t="n"/>
      <c r="CN69" s="49" t="n"/>
      <c r="CO69" s="48" t="n"/>
      <c r="CP69" s="49" t="n"/>
      <c r="CQ69" s="49" t="n"/>
      <c r="CR69" s="49" t="n"/>
      <c r="CS69" s="49" t="n"/>
      <c r="CT69" s="48" t="n"/>
      <c r="CU69" s="49" t="n"/>
      <c r="CV69" s="49" t="n"/>
      <c r="CW69" s="49" t="n"/>
      <c r="CX69" s="49" t="n"/>
      <c r="CY69" s="48" t="n"/>
    </row>
    <row r="70" hidden="1" outlineLevel="1"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50" t="n"/>
      <c r="BB70" s="50" t="n"/>
      <c r="BC70" s="50" t="n"/>
      <c r="BD70" s="50" t="n"/>
      <c r="BE70" s="50" t="n"/>
      <c r="BF70" s="50" t="n"/>
      <c r="BG70" s="50" t="n"/>
      <c r="BH70" s="50" t="n"/>
      <c r="BI70" s="50" t="n"/>
      <c r="BJ70" s="50" t="n"/>
      <c r="BK70" s="50" t="n"/>
      <c r="BL70" s="50" t="n"/>
      <c r="BM70" s="50" t="n"/>
      <c r="BN70" s="50" t="n"/>
      <c r="BO70" s="50" t="n"/>
      <c r="BP70" s="50" t="n"/>
      <c r="BQ70" s="50" t="n"/>
      <c r="BR70" s="50" t="n"/>
      <c r="BS70" s="50" t="n"/>
      <c r="BT70" s="50" t="n"/>
      <c r="BU70" s="50" t="n"/>
      <c r="BV70" s="50" t="n"/>
      <c r="BW70" s="50" t="n"/>
      <c r="BX70" s="50" t="n"/>
      <c r="BY70" s="50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</row>
    <row r="71" hidden="1" outlineLevel="1"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50" t="n"/>
      <c r="AY71" s="50" t="n"/>
      <c r="AZ71" s="50" t="n"/>
      <c r="BA71" s="50" t="n"/>
      <c r="BB71" s="50" t="n"/>
      <c r="BC71" s="50" t="n"/>
      <c r="BD71" s="50" t="n"/>
      <c r="BE71" s="50" t="n"/>
      <c r="BF71" s="50" t="n"/>
      <c r="BG71" s="50" t="n"/>
      <c r="BH71" s="50" t="n"/>
      <c r="BI71" s="50" t="n"/>
      <c r="BJ71" s="50" t="n"/>
      <c r="BK71" s="50" t="n"/>
      <c r="BL71" s="50" t="n"/>
      <c r="BM71" s="50" t="n"/>
      <c r="BN71" s="50" t="n"/>
      <c r="BO71" s="50" t="n"/>
      <c r="BP71" s="50" t="n"/>
      <c r="BQ71" s="50" t="n"/>
      <c r="BR71" s="50" t="n"/>
      <c r="BS71" s="50" t="n"/>
      <c r="BT71" s="50" t="n"/>
      <c r="BU71" s="50" t="n"/>
      <c r="BV71" s="50" t="n"/>
      <c r="BW71" s="50" t="n"/>
      <c r="BX71" s="50" t="n"/>
      <c r="BY71" s="50" t="n"/>
      <c r="BZ71" s="50" t="n"/>
      <c r="CA71" s="50" t="n"/>
      <c r="CB71" s="50" t="n"/>
      <c r="CC71" s="50" t="n"/>
      <c r="CD71" s="50" t="n"/>
      <c r="CE71" s="50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</row>
    <row r="72" collapsed="1">
      <c r="C72" s="13" t="inlineStr">
        <is>
          <t>SG&amp;A and Other (cash)</t>
        </is>
      </c>
      <c r="D72" s="46" t="n"/>
      <c r="E72" s="46" t="n"/>
      <c r="F72" s="46" t="n"/>
      <c r="G72" s="46" t="n"/>
      <c r="H72" s="12" t="n"/>
      <c r="I72" s="46">
        <f>'Inputs (2)'!D6</f>
        <v>-57.16434729</v>
      </c>
      <c r="J72" s="46">
        <f>'Inputs (2)'!E6</f>
        <v>-73.5459415</v>
      </c>
      <c r="K72" s="46">
        <f>'Inputs (2)'!F6</f>
        <v>-87.60403964</v>
      </c>
      <c r="L72" s="46">
        <f>'Inputs (2)'!G6</f>
        <v>-49.47425793</v>
      </c>
      <c r="M72" s="12">
        <f>'Inputs (2)'!H6</f>
        <v>-267.78858636</v>
      </c>
      <c r="N72" s="46">
        <f>'Inputs (2)'!I6</f>
        <v>-85.60061319</v>
      </c>
      <c r="O72" s="46">
        <f>'Inputs (2)'!J6</f>
        <v>-97.656</v>
      </c>
      <c r="P72" s="46">
        <f>'Inputs (2)'!K6</f>
        <v>-114.534</v>
      </c>
      <c r="Q72" s="46">
        <f>'Inputs (2)'!L6</f>
        <v>-91.394</v>
      </c>
      <c r="R72" s="12">
        <f>'Inputs (2)'!M6</f>
        <v>-389.18461319</v>
      </c>
      <c r="S72" s="46">
        <f>'Inputs (2)'!N6</f>
        <v>-101.9949173</v>
      </c>
      <c r="T72" s="46">
        <f>'Inputs (2)'!O6</f>
        <v>-121.084</v>
      </c>
      <c r="U72" s="46">
        <f>'Inputs (2)'!P6</f>
        <v>-141.70210615</v>
      </c>
      <c r="V72" s="46">
        <f>'Inputs (2)'!Q6</f>
        <v>-124.40697655</v>
      </c>
      <c r="W72" s="12">
        <f>'Inputs (2)'!R6</f>
        <v>-489.188</v>
      </c>
      <c r="X72" s="46">
        <f>'Inputs (2)'!S6</f>
        <v>-131.618</v>
      </c>
      <c r="Y72" s="46">
        <f>'Inputs (2)'!T6</f>
        <v>-176.38715982</v>
      </c>
      <c r="Z72" s="46">
        <f>'Inputs (2)'!U6</f>
        <v>-193.441801055</v>
      </c>
      <c r="AA72" s="46">
        <f>'Inputs (2)'!V6</f>
        <v>-169.22181269</v>
      </c>
      <c r="AB72" s="12">
        <f>'Inputs (2)'!W6</f>
        <v>-670.668773565</v>
      </c>
      <c r="AC72" s="46">
        <f>'Inputs (2)'!X6</f>
        <v>-187.796</v>
      </c>
      <c r="AD72" s="46">
        <f>'Inputs (2)'!Y6</f>
        <v>-210.88850213</v>
      </c>
      <c r="AE72" s="46">
        <f>'Inputs (2)'!Z6</f>
        <v>-231.513</v>
      </c>
      <c r="AF72" s="46">
        <f>'Inputs (2)'!AA6</f>
        <v>-220.841</v>
      </c>
      <c r="AG72" s="12">
        <f>'Inputs (2)'!AB6</f>
        <v>-851.03850213</v>
      </c>
      <c r="AH72" s="12">
        <f>'Inputs (2)'!AC6</f>
        <v>-220.444</v>
      </c>
      <c r="AI72" s="12">
        <f>'Inputs (2)'!AD6</f>
        <v>-282.4</v>
      </c>
      <c r="AJ72" s="12">
        <f>-AJ15*AJ73</f>
        <v>-297.550940512083</v>
      </c>
      <c r="AK72" s="12">
        <f>-AK15*AK73</f>
        <v>-298.136623584514</v>
      </c>
      <c r="AL72" s="12">
        <f>SUM(AH72:AK72)</f>
        <v>-1098.5315640966</v>
      </c>
      <c r="AM72" s="12">
        <f>-AM15*AM73</f>
        <v>-338.635904551479</v>
      </c>
      <c r="AN72" s="12">
        <f>-AN15*AN73</f>
        <v>-355.020540750952</v>
      </c>
      <c r="AO72" s="12">
        <f>-AO15*AO73</f>
        <v>-401.526209445082</v>
      </c>
      <c r="AP72" s="12">
        <f>-AP15*AP73</f>
        <v>-402.316551776398</v>
      </c>
      <c r="AQ72" s="12">
        <f>SUM(AM72:AP72)</f>
        <v>-1497.49920652391</v>
      </c>
      <c r="AR72" s="12">
        <f>-AR15*AR73</f>
        <v>-455.274595146538</v>
      </c>
      <c r="AS72" s="12">
        <f>-AS15*AS73</f>
        <v>-477.30270413344</v>
      </c>
      <c r="AT72" s="12">
        <f>-AT15*AT73</f>
        <v>-539.826639729645</v>
      </c>
      <c r="AU72" s="12">
        <f>-AU15*AU73</f>
        <v>-540.889205098765</v>
      </c>
      <c r="AV72" s="12">
        <f>SUM(AR72:AU72)</f>
        <v>-2013.29314410839</v>
      </c>
      <c r="AW72" s="12">
        <f>-AW15*AW73</f>
        <v>-609.811578124367</v>
      </c>
      <c r="AX72" s="12">
        <f>-AX15*AX73</f>
        <v>-639.316839449293</v>
      </c>
      <c r="AY72" s="12">
        <f>-AY15*AY73</f>
        <v>-723.063703963435</v>
      </c>
      <c r="AZ72" s="12">
        <f>-AZ15*AZ73</f>
        <v>-724.486943194244</v>
      </c>
      <c r="BA72" s="12">
        <f>SUM(AW72:AZ72)</f>
        <v>-2696.67906473134</v>
      </c>
      <c r="BB72" s="12">
        <f>-BB15*BB73</f>
        <v>-813.755052812806</v>
      </c>
      <c r="BC72" s="12">
        <f>-BC15*BC73</f>
        <v>-853.127961345586</v>
      </c>
      <c r="BD72" s="12">
        <f>-BD15*BD73</f>
        <v>-964.882864991764</v>
      </c>
      <c r="BE72" s="12">
        <f>-BE15*BE73</f>
        <v>-966.782087894344</v>
      </c>
      <c r="BF72" s="12">
        <f>SUM(BB72:BE72)</f>
        <v>-3598.5479670445</v>
      </c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38" t="inlineStr">
        <is>
          <t>% SG&amp;A and Other Margin</t>
        </is>
      </c>
      <c r="D73" s="51" t="n"/>
      <c r="E73" s="51" t="n"/>
      <c r="F73" s="51" t="n"/>
      <c r="G73" s="51" t="n"/>
      <c r="H73" s="51" t="n"/>
      <c r="I73" s="51">
        <f>IFERROR(-(I72/I$15),"")</f>
        <v>0.168484250131158</v>
      </c>
      <c r="J73" s="51">
        <f>IFERROR(-(J72/J$15),"")</f>
        <v>0.162951279199357</v>
      </c>
      <c r="K73" s="51">
        <f>IFERROR(-(K72/K$15),"")</f>
        <v>0.191924899038076</v>
      </c>
      <c r="L73" s="51">
        <f>IFERROR(-(L72/L$15),"")</f>
        <v>0.100716493181305</v>
      </c>
      <c r="M73" s="51">
        <f>IFERROR(-(M72/M$15),"")</f>
        <v>0.154052388658641</v>
      </c>
      <c r="N73" s="51">
        <f>IFERROR(-(N72/N$15),"")</f>
        <v>0.191340161006227</v>
      </c>
      <c r="O73" s="51">
        <f>IFERROR(-(O72/O$15),"")</f>
        <v>0.16200855034067</v>
      </c>
      <c r="P73" s="51">
        <f>IFERROR(-(P72/P$15),"")</f>
        <v>0.182769257283467</v>
      </c>
      <c r="Q73" s="51">
        <f>IFERROR(-(Q72/Q$15),"")</f>
        <v>0.157446104761938</v>
      </c>
      <c r="R73" s="51">
        <f>IFERROR(-(R72/R$15),"")</f>
        <v>0.172412017747799</v>
      </c>
      <c r="S73" s="51">
        <f>IFERROR(-(S72/S$15),"")</f>
        <v>0.171432706452242</v>
      </c>
      <c r="T73" s="51">
        <f>IFERROR(-(T72/T$15),"")</f>
        <v>0.166382226765932</v>
      </c>
      <c r="U73" s="51">
        <f>IFERROR(-(U72/U$15),"")</f>
        <v>0.188465229745942</v>
      </c>
      <c r="V73" s="51">
        <f>IFERROR(-(V72/V$15),"")</f>
        <v>0.153286828113988</v>
      </c>
      <c r="W73" s="51">
        <f>IFERROR(-(W72/W$15),"")</f>
        <v>0.169493710007581</v>
      </c>
      <c r="X73" s="51">
        <f>IFERROR(-(X72/X$15),"")</f>
        <v>0.15717796656723</v>
      </c>
      <c r="Y73" s="51">
        <f>IFERROR(-(Y72/Y$15),"")</f>
        <v>0.176725589323555</v>
      </c>
      <c r="Z73" s="51">
        <f>IFERROR(-(Z72/Z$15),"")</f>
        <v>0.183205730481536</v>
      </c>
      <c r="AA73" s="51">
        <f>IFERROR(-(AA72/AA$15),"")</f>
        <v>0.163503917201545</v>
      </c>
      <c r="AB73" s="51">
        <f>IFERROR(-(AB72/AB$15),"")</f>
        <v>0.170814014574753</v>
      </c>
      <c r="AC73" s="51">
        <f>IFERROR(-(AC72/AC$15),"")</f>
        <v>0.154414134703301</v>
      </c>
      <c r="AD73" s="51">
        <f>IFERROR(-(AD72/AD$15),"")</f>
        <v>0.156608242045331</v>
      </c>
      <c r="AE73" s="51">
        <f>IFERROR(-(AE72/AE$15),"")</f>
        <v>0.163391031006559</v>
      </c>
      <c r="AF73" s="41">
        <f>IFERROR(-(AF72/AF$15),"")</f>
        <v>0.155553051140546</v>
      </c>
      <c r="AG73" s="51">
        <f>IFERROR(-(AG72/AG$15),"")</f>
        <v>0.157616535047072</v>
      </c>
      <c r="AH73" s="52">
        <f>IFERROR(-(AH72/AH$15),"")</f>
        <v>0.136703438174195</v>
      </c>
      <c r="AI73" s="52">
        <f>IFERROR(-(AI72/AI$15),"")</f>
        <v>0.167041879954619</v>
      </c>
      <c r="AJ73" s="52">
        <f>Control!$B$20</f>
        <v>0.155618629504092</v>
      </c>
      <c r="AK73" s="52">
        <f>Control!$B$20</f>
        <v>0.155618629504092</v>
      </c>
      <c r="AL73" s="51">
        <f>IFERROR(-(AL72/AL$15),"")</f>
        <v>0.154049430426425</v>
      </c>
      <c r="AM73" s="52">
        <f>Control!$C$20</f>
        <v>0.155618629504092</v>
      </c>
      <c r="AN73" s="52">
        <f>Control!$C$20</f>
        <v>0.155618629504092</v>
      </c>
      <c r="AO73" s="52">
        <f>Control!$C$20</f>
        <v>0.155618629504092</v>
      </c>
      <c r="AP73" s="52">
        <f>Control!$C$20</f>
        <v>0.155618629504092</v>
      </c>
      <c r="AQ73" s="51">
        <f>IFERROR(-(AQ72/AQ$15),"")</f>
        <v>0.155618629504092</v>
      </c>
      <c r="AR73" s="52">
        <f>Control!$D$20</f>
        <v>0.155618629504092</v>
      </c>
      <c r="AS73" s="52">
        <f>Control!$D$20</f>
        <v>0.155618629504092</v>
      </c>
      <c r="AT73" s="52">
        <f>Control!$D$20</f>
        <v>0.155618629504092</v>
      </c>
      <c r="AU73" s="52">
        <f>Control!$D$20</f>
        <v>0.155618629504092</v>
      </c>
      <c r="AV73" s="51">
        <f>IFERROR(-(AV72/AV$15),"")</f>
        <v>0.155618629504092</v>
      </c>
      <c r="AW73" s="52">
        <f>Control!$E$20</f>
        <v>0.155618629504092</v>
      </c>
      <c r="AX73" s="52">
        <f>Control!$E$20</f>
        <v>0.155618629504092</v>
      </c>
      <c r="AY73" s="52">
        <f>Control!$E$20</f>
        <v>0.155618629504092</v>
      </c>
      <c r="AZ73" s="52">
        <f>Control!$E$20</f>
        <v>0.155618629504092</v>
      </c>
      <c r="BA73" s="51">
        <f>IFERROR(-(BA72/BA$15),"")</f>
        <v>0.155618629504092</v>
      </c>
      <c r="BB73" s="52">
        <f>Control!$F$20</f>
        <v>0.155618629504092</v>
      </c>
      <c r="BC73" s="52">
        <f>Control!$F$20</f>
        <v>0.155618629504092</v>
      </c>
      <c r="BD73" s="52">
        <f>Control!$F$20</f>
        <v>0.155618629504092</v>
      </c>
      <c r="BE73" s="52">
        <f>Control!$F$20</f>
        <v>0.155618629504092</v>
      </c>
      <c r="BF73" s="51">
        <f>IFERROR(-(BF72/BF$15),"")</f>
        <v>0.155618629504092</v>
      </c>
      <c r="BG73" s="52" t="n"/>
      <c r="BH73" s="52" t="n"/>
      <c r="BI73" s="52" t="n"/>
      <c r="BJ73" s="52" t="n"/>
      <c r="BK73" s="51" t="n"/>
      <c r="BL73" s="52" t="n"/>
      <c r="BM73" s="52" t="n"/>
      <c r="BN73" s="52" t="n"/>
      <c r="BO73" s="52" t="n"/>
      <c r="BP73" s="51" t="n"/>
      <c r="BQ73" s="52" t="n"/>
      <c r="BR73" s="52" t="n"/>
      <c r="BS73" s="52" t="n"/>
      <c r="BT73" s="52" t="n"/>
      <c r="BU73" s="51" t="n"/>
      <c r="BV73" s="52" t="n"/>
      <c r="BW73" s="52" t="n"/>
      <c r="BX73" s="52" t="n"/>
      <c r="BY73" s="52" t="n"/>
      <c r="BZ73" s="51" t="n"/>
      <c r="CA73" s="52" t="n"/>
      <c r="CB73" s="52" t="n"/>
      <c r="CC73" s="52" t="n"/>
      <c r="CD73" s="52" t="n"/>
      <c r="CE73" s="51" t="n"/>
      <c r="CF73" s="52" t="n"/>
      <c r="CG73" s="52" t="n"/>
      <c r="CH73" s="52" t="n"/>
      <c r="CI73" s="52" t="n"/>
      <c r="CJ73" s="51" t="n"/>
      <c r="CK73" s="52" t="n"/>
      <c r="CL73" s="52" t="n"/>
      <c r="CM73" s="52" t="n"/>
      <c r="CN73" s="52" t="n"/>
      <c r="CO73" s="51" t="n"/>
      <c r="CP73" s="52" t="n"/>
      <c r="CQ73" s="52" t="n"/>
      <c r="CR73" s="52" t="n"/>
      <c r="CS73" s="52" t="n"/>
      <c r="CT73" s="51" t="n"/>
      <c r="CU73" s="52" t="n"/>
      <c r="CV73" s="52" t="n"/>
      <c r="CW73" s="52" t="n"/>
      <c r="CX73" s="52" t="n"/>
      <c r="CY73" s="51" t="n"/>
    </row>
    <row r="74" hidden="1" outlineLevel="1"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50" t="n"/>
      <c r="AY74" s="50" t="n"/>
      <c r="AZ74" s="50" t="n"/>
      <c r="BA74" s="50" t="n"/>
      <c r="BB74" s="50" t="n"/>
      <c r="BC74" s="50" t="n"/>
      <c r="BD74" s="50" t="n"/>
      <c r="BE74" s="50" t="n"/>
      <c r="BF74" s="50" t="n"/>
      <c r="BG74" s="50" t="n"/>
      <c r="BH74" s="50" t="n"/>
      <c r="BI74" s="50" t="n"/>
      <c r="BJ74" s="50" t="n"/>
      <c r="BK74" s="50" t="n"/>
      <c r="BL74" s="50" t="n"/>
      <c r="BM74" s="50" t="n"/>
      <c r="BN74" s="50" t="n"/>
      <c r="BO74" s="50" t="n"/>
      <c r="BP74" s="50" t="n"/>
      <c r="BQ74" s="50" t="n"/>
      <c r="BR74" s="50" t="n"/>
      <c r="BS74" s="50" t="n"/>
      <c r="BT74" s="50" t="n"/>
      <c r="BU74" s="50" t="n"/>
      <c r="BV74" s="50" t="n"/>
      <c r="BW74" s="50" t="n"/>
      <c r="BX74" s="50" t="n"/>
      <c r="BY74" s="50" t="n"/>
      <c r="BZ74" s="50" t="n"/>
      <c r="CA74" s="50" t="n"/>
      <c r="CB74" s="50" t="n"/>
      <c r="CC74" s="50" t="n"/>
      <c r="CD74" s="50" t="n"/>
      <c r="CE74" s="50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</row>
    <row r="75" hidden="1" outlineLevel="1">
      <c r="C75" s="50" t="inlineStr">
        <is>
          <t>Com Vendas</t>
        </is>
      </c>
      <c r="D75" s="11" t="n"/>
      <c r="E75" s="11" t="n"/>
      <c r="F75" s="11" t="n"/>
      <c r="G75" s="11" t="n"/>
      <c r="H75" s="50" t="n"/>
      <c r="I75" s="11" t="n"/>
      <c r="J75" s="11" t="n"/>
      <c r="K75" s="11" t="n"/>
      <c r="L75" s="11" t="n"/>
      <c r="M75" s="50" t="n"/>
      <c r="N75" s="11" t="n"/>
      <c r="O75" s="11" t="n"/>
      <c r="P75" s="11" t="n"/>
      <c r="Q75" s="11" t="n"/>
      <c r="R75" s="50" t="n"/>
      <c r="S75" s="11" t="n"/>
      <c r="T75" s="11" t="n"/>
      <c r="U75" s="11" t="n"/>
      <c r="V75" s="11" t="n"/>
      <c r="W75" s="50" t="n"/>
      <c r="X75" s="11" t="n"/>
      <c r="Y75" s="11" t="n"/>
      <c r="Z75" s="11" t="n"/>
      <c r="AA75" s="11" t="n"/>
      <c r="AB75" s="50" t="n"/>
      <c r="AC75" s="11" t="n"/>
      <c r="AD75" s="11" t="n"/>
      <c r="AE75" s="11" t="n"/>
      <c r="AF75" s="11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50" t="n"/>
      <c r="AY75" s="50" t="n"/>
      <c r="AZ75" s="50" t="n"/>
      <c r="BA75" s="50" t="n"/>
      <c r="BB75" s="50" t="n"/>
      <c r="BC75" s="50" t="n"/>
      <c r="BD75" s="50" t="n"/>
      <c r="BE75" s="50" t="n"/>
      <c r="BF75" s="50" t="n"/>
      <c r="BG75" s="50" t="n"/>
      <c r="BH75" s="50" t="n"/>
      <c r="BI75" s="50" t="n"/>
      <c r="BJ75" s="50" t="n"/>
      <c r="BK75" s="50" t="n"/>
      <c r="BL75" s="50" t="n"/>
      <c r="BM75" s="50" t="n"/>
      <c r="BN75" s="50" t="n"/>
      <c r="BO75" s="50" t="n"/>
      <c r="BP75" s="50" t="n"/>
      <c r="BQ75" s="50" t="n"/>
      <c r="BR75" s="50" t="n"/>
      <c r="BS75" s="50" t="n"/>
      <c r="BT75" s="50" t="n"/>
      <c r="BU75" s="50" t="n"/>
      <c r="BV75" s="50" t="n"/>
      <c r="BW75" s="50" t="n"/>
      <c r="BX75" s="50" t="n"/>
      <c r="BY75" s="50" t="n"/>
      <c r="BZ75" s="50" t="n"/>
      <c r="CA75" s="50" t="n"/>
      <c r="CB75" s="50" t="n"/>
      <c r="CC75" s="50" t="n"/>
      <c r="CD75" s="50" t="n"/>
      <c r="CE75" s="50" t="n"/>
      <c r="CF75" s="50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</row>
    <row r="76" hidden="1" outlineLevel="1">
      <c r="C76" s="50" t="inlineStr">
        <is>
          <t>Gerais &amp; Administrativas</t>
        </is>
      </c>
      <c r="D76" s="11" t="n"/>
      <c r="E76" s="11" t="n"/>
      <c r="F76" s="11" t="n"/>
      <c r="G76" s="11" t="n"/>
      <c r="H76" s="50" t="n"/>
      <c r="I76" s="11" t="n"/>
      <c r="J76" s="11" t="n"/>
      <c r="K76" s="11" t="n"/>
      <c r="L76" s="11" t="n"/>
      <c r="M76" s="50" t="n"/>
      <c r="N76" s="11" t="n"/>
      <c r="O76" s="11" t="n"/>
      <c r="P76" s="11" t="n"/>
      <c r="Q76" s="11" t="n"/>
      <c r="R76" s="50" t="n"/>
      <c r="S76" s="11" t="n"/>
      <c r="T76" s="11" t="n"/>
      <c r="U76" s="11" t="n"/>
      <c r="V76" s="11" t="n"/>
      <c r="W76" s="50" t="n"/>
      <c r="X76" s="11" t="n"/>
      <c r="Y76" s="11" t="n"/>
      <c r="Z76" s="11" t="n"/>
      <c r="AA76" s="11" t="n"/>
      <c r="AB76" s="50" t="n"/>
      <c r="AC76" s="11" t="n"/>
      <c r="AD76" s="11" t="n"/>
      <c r="AE76" s="11" t="n"/>
      <c r="AF76" s="11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50" t="n"/>
      <c r="AY76" s="50" t="n"/>
      <c r="AZ76" s="50" t="n"/>
      <c r="BA76" s="50" t="n"/>
      <c r="BB76" s="50" t="n"/>
      <c r="BC76" s="50" t="n"/>
      <c r="BD76" s="50" t="n"/>
      <c r="BE76" s="50" t="n"/>
      <c r="BF76" s="50" t="n"/>
      <c r="BG76" s="50" t="n"/>
      <c r="BH76" s="50" t="n"/>
      <c r="BI76" s="50" t="n"/>
      <c r="BJ76" s="50" t="n"/>
      <c r="BK76" s="50" t="n"/>
      <c r="BL76" s="50" t="n"/>
      <c r="BM76" s="50" t="n"/>
      <c r="BN76" s="50" t="n"/>
      <c r="BO76" s="50" t="n"/>
      <c r="BP76" s="50" t="n"/>
      <c r="BQ76" s="50" t="n"/>
      <c r="BR76" s="50" t="n"/>
      <c r="BS76" s="50" t="n"/>
      <c r="BT76" s="50" t="n"/>
      <c r="BU76" s="50" t="n"/>
      <c r="BV76" s="50" t="n"/>
      <c r="BW76" s="50" t="n"/>
      <c r="BX76" s="50" t="n"/>
      <c r="BY76" s="50" t="n"/>
      <c r="BZ76" s="50" t="n"/>
      <c r="CA76" s="50" t="n"/>
      <c r="CB76" s="50" t="n"/>
      <c r="CC76" s="50" t="n"/>
      <c r="CD76" s="50" t="n"/>
      <c r="CE76" s="50" t="n"/>
      <c r="CF76" s="50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</row>
    <row r="77" hidden="1" outlineLevel="1">
      <c r="C77" s="50" t="inlineStr">
        <is>
          <t>Outras Receitas (Despesas) Operacionais, Líquidas</t>
        </is>
      </c>
      <c r="D77" s="11" t="n"/>
      <c r="E77" s="11" t="n"/>
      <c r="F77" s="11" t="n"/>
      <c r="G77" s="11" t="n"/>
      <c r="H77" s="50" t="n"/>
      <c r="I77" s="11" t="n"/>
      <c r="J77" s="11" t="n"/>
      <c r="K77" s="11" t="n"/>
      <c r="L77" s="11" t="n"/>
      <c r="M77" s="50" t="n"/>
      <c r="N77" s="11" t="n"/>
      <c r="O77" s="11" t="n"/>
      <c r="P77" s="11" t="n"/>
      <c r="Q77" s="11" t="n"/>
      <c r="R77" s="50" t="n"/>
      <c r="S77" s="11" t="n"/>
      <c r="T77" s="11" t="n"/>
      <c r="U77" s="11" t="n"/>
      <c r="V77" s="11" t="n"/>
      <c r="W77" s="50" t="n"/>
      <c r="X77" s="11" t="n"/>
      <c r="Y77" s="11" t="n"/>
      <c r="Z77" s="11" t="n"/>
      <c r="AA77" s="11" t="n"/>
      <c r="AB77" s="50" t="n"/>
      <c r="AC77" s="11" t="n"/>
      <c r="AD77" s="11" t="n"/>
      <c r="AE77" s="11" t="n"/>
      <c r="AF77" s="11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50" t="n"/>
      <c r="AY77" s="50" t="n"/>
      <c r="AZ77" s="50" t="n"/>
      <c r="BA77" s="50" t="n"/>
      <c r="BB77" s="50" t="n"/>
      <c r="BC77" s="50" t="n"/>
      <c r="BD77" s="50" t="n"/>
      <c r="BE77" s="50" t="n"/>
      <c r="BF77" s="50" t="n"/>
      <c r="BG77" s="50" t="n"/>
      <c r="BH77" s="50" t="n"/>
      <c r="BI77" s="50" t="n"/>
      <c r="BJ77" s="50" t="n"/>
      <c r="BK77" s="50" t="n"/>
      <c r="BL77" s="50" t="n"/>
      <c r="BM77" s="50" t="n"/>
      <c r="BN77" s="50" t="n"/>
      <c r="BO77" s="50" t="n"/>
      <c r="BP77" s="50" t="n"/>
      <c r="BQ77" s="50" t="n"/>
      <c r="BR77" s="50" t="n"/>
      <c r="BS77" s="50" t="n"/>
      <c r="BT77" s="50" t="n"/>
      <c r="BU77" s="50" t="n"/>
      <c r="BV77" s="50" t="n"/>
      <c r="BW77" s="50" t="n"/>
      <c r="BX77" s="50" t="n"/>
      <c r="BY77" s="50" t="n"/>
      <c r="BZ77" s="50" t="n"/>
      <c r="CA77" s="50" t="n"/>
      <c r="CB77" s="50" t="n"/>
      <c r="CC77" s="50" t="n"/>
      <c r="CD77" s="50" t="n"/>
      <c r="CE77" s="50" t="n"/>
      <c r="CF77" s="50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</row>
    <row r="78" hidden="1" outlineLevel="1"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50" t="n"/>
      <c r="AY78" s="50" t="n"/>
      <c r="AZ78" s="50" t="n"/>
      <c r="BA78" s="50" t="n"/>
      <c r="BB78" s="50" t="n"/>
      <c r="BC78" s="50" t="n"/>
      <c r="BD78" s="50" t="n"/>
      <c r="BE78" s="50" t="n"/>
      <c r="BF78" s="50" t="n"/>
      <c r="BG78" s="50" t="n"/>
      <c r="BH78" s="50" t="n"/>
      <c r="BI78" s="50" t="n"/>
      <c r="BJ78" s="50" t="n"/>
      <c r="BK78" s="50" t="n"/>
      <c r="BL78" s="50" t="n"/>
      <c r="BM78" s="50" t="n"/>
      <c r="BN78" s="50" t="n"/>
      <c r="BO78" s="50" t="n"/>
      <c r="BP78" s="50" t="n"/>
      <c r="BQ78" s="50" t="n"/>
      <c r="BR78" s="50" t="n"/>
      <c r="BS78" s="50" t="n"/>
      <c r="BT78" s="50" t="n"/>
      <c r="BU78" s="50" t="n"/>
      <c r="BV78" s="50" t="n"/>
      <c r="BW78" s="50" t="n"/>
      <c r="BX78" s="50" t="n"/>
      <c r="BY78" s="50" t="n"/>
      <c r="BZ78" s="50" t="n"/>
      <c r="CA78" s="50" t="n"/>
      <c r="CB78" s="50" t="n"/>
      <c r="CC78" s="50" t="n"/>
      <c r="CD78" s="50" t="n"/>
      <c r="CE78" s="50" t="n"/>
      <c r="CF78" s="50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</row>
    <row r="79" hidden="1" outlineLevel="1">
      <c r="C79" s="50" t="inlineStr">
        <is>
          <t>Com Vendas (%)</t>
        </is>
      </c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50" t="n"/>
      <c r="AY79" s="50" t="n"/>
      <c r="AZ79" s="50" t="n"/>
      <c r="BA79" s="50" t="n"/>
      <c r="BB79" s="50" t="n"/>
      <c r="BC79" s="50" t="n"/>
      <c r="BD79" s="50" t="n"/>
      <c r="BE79" s="50" t="n"/>
      <c r="BF79" s="50" t="n"/>
      <c r="BG79" s="50" t="n"/>
      <c r="BH79" s="50" t="n"/>
      <c r="BI79" s="50" t="n"/>
      <c r="BJ79" s="50" t="n"/>
      <c r="BK79" s="50" t="n"/>
      <c r="BL79" s="50" t="n"/>
      <c r="BM79" s="50" t="n"/>
      <c r="BN79" s="50" t="n"/>
      <c r="BO79" s="50" t="n"/>
      <c r="BP79" s="50" t="n"/>
      <c r="BQ79" s="50" t="n"/>
      <c r="BR79" s="50" t="n"/>
      <c r="BS79" s="50" t="n"/>
      <c r="BT79" s="50" t="n"/>
      <c r="BU79" s="50" t="n"/>
      <c r="BV79" s="50" t="n"/>
      <c r="BW79" s="50" t="n"/>
      <c r="BX79" s="50" t="n"/>
      <c r="BY79" s="50" t="n"/>
      <c r="BZ79" s="50" t="n"/>
      <c r="CA79" s="50" t="n"/>
      <c r="CB79" s="50" t="n"/>
      <c r="CC79" s="50" t="n"/>
      <c r="CD79" s="50" t="n"/>
      <c r="CE79" s="50" t="n"/>
      <c r="CF79" s="50" t="n"/>
      <c r="CG79" s="50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</row>
    <row r="80" hidden="1" outlineLevel="1">
      <c r="C80" s="50" t="inlineStr">
        <is>
          <t>Gerais &amp; Administrativas (%)</t>
        </is>
      </c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0" t="n"/>
      <c r="T80" s="50" t="n"/>
      <c r="U80" s="50" t="n"/>
      <c r="V80" s="50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50" t="n"/>
      <c r="AY80" s="50" t="n"/>
      <c r="AZ80" s="50" t="n"/>
      <c r="BA80" s="50" t="n"/>
      <c r="BB80" s="50" t="n"/>
      <c r="BC80" s="50" t="n"/>
      <c r="BD80" s="50" t="n"/>
      <c r="BE80" s="50" t="n"/>
      <c r="BF80" s="50" t="n"/>
      <c r="BG80" s="50" t="n"/>
      <c r="BH80" s="50" t="n"/>
      <c r="BI80" s="50" t="n"/>
      <c r="BJ80" s="50" t="n"/>
      <c r="BK80" s="50" t="n"/>
      <c r="BL80" s="50" t="n"/>
      <c r="BM80" s="50" t="n"/>
      <c r="BN80" s="50" t="n"/>
      <c r="BO80" s="50" t="n"/>
      <c r="BP80" s="50" t="n"/>
      <c r="BQ80" s="50" t="n"/>
      <c r="BR80" s="50" t="n"/>
      <c r="BS80" s="50" t="n"/>
      <c r="BT80" s="50" t="n"/>
      <c r="BU80" s="50" t="n"/>
      <c r="BV80" s="50" t="n"/>
      <c r="BW80" s="50" t="n"/>
      <c r="BX80" s="50" t="n"/>
      <c r="BY80" s="50" t="n"/>
      <c r="BZ80" s="50" t="n"/>
      <c r="CA80" s="50" t="n"/>
      <c r="CB80" s="50" t="n"/>
      <c r="CC80" s="50" t="n"/>
      <c r="CD80" s="50" t="n"/>
      <c r="CE80" s="50" t="n"/>
      <c r="CF80" s="50" t="n"/>
      <c r="CG80" s="50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</row>
    <row r="81" hidden="1" outlineLevel="1">
      <c r="C81" s="50" t="inlineStr">
        <is>
          <t>Outras Receitas (Despesas) Operacionais, Líquidas (%)</t>
        </is>
      </c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0" t="n"/>
      <c r="T81" s="50" t="n"/>
      <c r="U81" s="50" t="n"/>
      <c r="V81" s="50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50" t="n"/>
      <c r="AY81" s="50" t="n"/>
      <c r="AZ81" s="50" t="n"/>
      <c r="BA81" s="50" t="n"/>
      <c r="BB81" s="50" t="n"/>
      <c r="BC81" s="50" t="n"/>
      <c r="BD81" s="50" t="n"/>
      <c r="BE81" s="50" t="n"/>
      <c r="BF81" s="50" t="n"/>
      <c r="BG81" s="50" t="n"/>
      <c r="BH81" s="50" t="n"/>
      <c r="BI81" s="50" t="n"/>
      <c r="BJ81" s="50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</row>
    <row r="82" hidden="1" outlineLevel="1"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0" t="n"/>
      <c r="T82" s="50" t="n"/>
      <c r="U82" s="50" t="n"/>
      <c r="V82" s="50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50" t="n"/>
      <c r="AY82" s="50" t="n"/>
      <c r="AZ82" s="50" t="n"/>
      <c r="BA82" s="50" t="n"/>
      <c r="BB82" s="50" t="n"/>
      <c r="BC82" s="50" t="n"/>
      <c r="BD82" s="50" t="n"/>
      <c r="BE82" s="50" t="n"/>
      <c r="BF82" s="50" t="n"/>
      <c r="BG82" s="50" t="n"/>
      <c r="BH82" s="50" t="n"/>
      <c r="BI82" s="50" t="n"/>
      <c r="BJ82" s="50" t="n"/>
      <c r="BK82" s="50" t="n"/>
      <c r="BL82" s="50" t="n"/>
      <c r="BM82" s="50" t="n"/>
      <c r="BN82" s="50" t="n"/>
      <c r="BO82" s="50" t="n"/>
      <c r="BP82" s="50" t="n"/>
      <c r="BQ82" s="50" t="n"/>
      <c r="BR82" s="50" t="n"/>
      <c r="BS82" s="50" t="n"/>
      <c r="BT82" s="50" t="n"/>
      <c r="BU82" s="50" t="n"/>
      <c r="BV82" s="50" t="n"/>
      <c r="BW82" s="50" t="n"/>
      <c r="BX82" s="50" t="n"/>
      <c r="BY82" s="50" t="n"/>
      <c r="BZ82" s="50" t="n"/>
      <c r="CA82" s="50" t="n"/>
      <c r="CB82" s="50" t="n"/>
      <c r="CC82" s="50" t="n"/>
      <c r="CD82" s="50" t="n"/>
      <c r="CE82" s="50" t="n"/>
      <c r="CF82" s="50" t="n"/>
      <c r="CG82" s="50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</row>
    <row r="83" collapsed="1" customFormat="1" s="32">
      <c r="A83" s="30" t="n"/>
      <c r="B83" s="3" t="n"/>
      <c r="C83" s="33" t="inlineStr">
        <is>
          <t>EBITDA</t>
        </is>
      </c>
      <c r="D83" s="35" t="n"/>
      <c r="E83" s="35" t="n"/>
      <c r="F83" s="35" t="n"/>
      <c r="G83" s="35" t="n"/>
      <c r="H83" s="35" t="n"/>
      <c r="I83" s="35">
        <f>SUM(I15,I68,I72)</f>
        <v>63.17765271</v>
      </c>
      <c r="J83" s="35">
        <f>SUM(J15,J68,J72)</f>
        <v>89.3700585</v>
      </c>
      <c r="K83" s="35">
        <f>SUM(K15,K68,K72)</f>
        <v>87.36780101</v>
      </c>
      <c r="L83" s="35">
        <f>SUM(L15,L68,L72)</f>
        <v>136.96774207</v>
      </c>
      <c r="M83" s="35">
        <f>SUM(I83:L83)</f>
        <v>376.88325429</v>
      </c>
      <c r="N83" s="35">
        <f>SUM(N15,N68,N72)</f>
        <v>80.30838681</v>
      </c>
      <c r="O83" s="35">
        <f>SUM(O15,O68,O72)</f>
        <v>117.841</v>
      </c>
      <c r="P83" s="35">
        <f>SUM(P15,P68,P72)</f>
        <v>119.209</v>
      </c>
      <c r="Q83" s="35">
        <f>SUM(Q15,Q68,Q72)</f>
        <v>130.349</v>
      </c>
      <c r="R83" s="35">
        <f>SUM(N83:Q83)</f>
        <v>447.70738681</v>
      </c>
      <c r="S83" s="35">
        <f>SUM(S15,S68,S72)</f>
        <v>121.1670827</v>
      </c>
      <c r="T83" s="35">
        <f>SUM(T15,T68,T72)</f>
        <v>153.47</v>
      </c>
      <c r="U83" s="35">
        <f>SUM(U15,U68,U72)</f>
        <v>142.20089385</v>
      </c>
      <c r="V83" s="35">
        <f>SUM(V15,V68,V72)</f>
        <v>189.32702345</v>
      </c>
      <c r="W83" s="35">
        <f>SUM(S83:V83)</f>
        <v>606.165</v>
      </c>
      <c r="X83" s="35">
        <f>SUM(X15,X68,X72)</f>
        <v>184.991</v>
      </c>
      <c r="Y83" s="35">
        <f>SUM(Y15,Y68,Y72)</f>
        <v>206.14384018</v>
      </c>
      <c r="Z83" s="35">
        <f>SUM(Z15,Z68,Z72)</f>
        <v>216.004198945</v>
      </c>
      <c r="AA83" s="35">
        <f>SUM(AA15,AA68,AA72)</f>
        <v>235.13218731</v>
      </c>
      <c r="AB83" s="35">
        <f>SUM(X83:AA83)</f>
        <v>842.271226435</v>
      </c>
      <c r="AC83" s="35">
        <f>SUM(AC15,AC68,AC72)</f>
        <v>287.092</v>
      </c>
      <c r="AD83" s="35">
        <f>SUM(AD15,AD68,AD72)</f>
        <v>321.88749787</v>
      </c>
      <c r="AE83" s="35">
        <f>SUM(AE15,AE68,AE72)</f>
        <v>334.714</v>
      </c>
      <c r="AF83" s="35">
        <f>SUM(AF15,AF68,AF72)</f>
        <v>351.855</v>
      </c>
      <c r="AG83" s="35">
        <f>SUM(AC83:AF83)</f>
        <v>1295.54849787</v>
      </c>
      <c r="AH83" s="35">
        <f>SUM(AH15,AH68,AH72)</f>
        <v>409.212</v>
      </c>
      <c r="AI83" s="35">
        <f>SUM(AI15,AI68,AI72)</f>
        <v>385.962</v>
      </c>
      <c r="AJ83" s="35">
        <f>SUM(AJ15,AJ68,AJ72)</f>
        <v>459.281569807866</v>
      </c>
      <c r="AK83" s="35">
        <f>SUM(AK15,AK68,AK72)</f>
        <v>460.185594646279</v>
      </c>
      <c r="AL83" s="35">
        <f>SUM(AH83:AK83)</f>
        <v>1714.64116445414</v>
      </c>
      <c r="AM83" s="35">
        <f>SUM(AM15,AM68,AM72)</f>
        <v>522.697826355533</v>
      </c>
      <c r="AN83" s="35">
        <f>SUM(AN15,AN68,AN72)</f>
        <v>547.988156211234</v>
      </c>
      <c r="AO83" s="35">
        <f>SUM(AO15,AO68,AO72)</f>
        <v>619.771483415798</v>
      </c>
      <c r="AP83" s="35">
        <f>SUM(AP15,AP68,AP72)</f>
        <v>620.991407862979</v>
      </c>
      <c r="AQ83" s="35">
        <f>SUM(AM83:AP83)</f>
        <v>2311.44887384554</v>
      </c>
      <c r="AR83" s="35">
        <f>SUM(AR15,AR68,AR72)</f>
        <v>702.734228944746</v>
      </c>
      <c r="AS83" s="35">
        <f>SUM(AS15,AS68,AS72)</f>
        <v>736.735480824481</v>
      </c>
      <c r="AT83" s="35">
        <f>SUM(AT15,AT68,AT72)</f>
        <v>833.243632476667</v>
      </c>
      <c r="AU83" s="35">
        <f>SUM(AU15,AU68,AU72)</f>
        <v>834.883743880493</v>
      </c>
      <c r="AV83" s="35">
        <f>SUM(AR83:AU83)</f>
        <v>3107.59708612639</v>
      </c>
      <c r="AW83" s="35">
        <f>SUM(AW15,AW68,AW72)</f>
        <v>941.268135150117</v>
      </c>
      <c r="AX83" s="35">
        <f>SUM(AX15,AX68,AX72)</f>
        <v>986.810665499985</v>
      </c>
      <c r="AY83" s="35">
        <f>SUM(AY15,AY68,AY72)</f>
        <v>1116.07724195357</v>
      </c>
      <c r="AZ83" s="35">
        <f>SUM(AZ15,AZ68,AZ72)</f>
        <v>1118.27406763664</v>
      </c>
      <c r="BA83" s="35">
        <f>SUM(AW83:AZ83)</f>
        <v>4162.43011024031</v>
      </c>
      <c r="BB83" s="35">
        <f>SUM(BB15,BB68,BB72)</f>
        <v>1256.06290288224</v>
      </c>
      <c r="BC83" s="35">
        <f>SUM(BC15,BC68,BC72)</f>
        <v>1316.83653447526</v>
      </c>
      <c r="BD83" s="35">
        <f>SUM(BD15,BD68,BD72)</f>
        <v>1489.3346199863</v>
      </c>
      <c r="BE83" s="35">
        <f>SUM(BE15,BE68,BE72)</f>
        <v>1492.26614517191</v>
      </c>
      <c r="BF83" s="35">
        <f>SUM(BB83:BE83)</f>
        <v>5554.50020251571</v>
      </c>
      <c r="BG83" s="35" t="n"/>
      <c r="BH83" s="35" t="n"/>
      <c r="BI83" s="35" t="n"/>
      <c r="BJ83" s="35" t="n"/>
      <c r="BK83" s="35" t="n"/>
      <c r="BL83" s="35" t="n"/>
      <c r="BM83" s="35" t="n"/>
      <c r="BN83" s="35" t="n"/>
      <c r="BO83" s="35" t="n"/>
      <c r="BP83" s="35" t="n"/>
      <c r="BQ83" s="35" t="n"/>
      <c r="BR83" s="35" t="n"/>
      <c r="BS83" s="35" t="n"/>
      <c r="BT83" s="35" t="n"/>
      <c r="BU83" s="35" t="n"/>
      <c r="BV83" s="35" t="n"/>
      <c r="BW83" s="35" t="n"/>
      <c r="BX83" s="35" t="n"/>
      <c r="BY83" s="35" t="n"/>
      <c r="BZ83" s="35" t="n"/>
      <c r="CA83" s="35" t="n"/>
      <c r="CB83" s="35" t="n"/>
      <c r="CC83" s="35" t="n"/>
      <c r="CD83" s="35" t="n"/>
      <c r="CE83" s="35" t="n"/>
      <c r="CF83" s="35" t="n"/>
      <c r="CG83" s="35" t="n"/>
      <c r="CH83" s="35" t="n"/>
      <c r="CI83" s="35" t="n"/>
      <c r="CJ83" s="35" t="n"/>
      <c r="CK83" s="35" t="n"/>
      <c r="CL83" s="35" t="n"/>
      <c r="CM83" s="35" t="n"/>
      <c r="CN83" s="35" t="n"/>
      <c r="CO83" s="35" t="n"/>
      <c r="CP83" s="35" t="n"/>
      <c r="CQ83" s="35" t="n"/>
      <c r="CR83" s="35" t="n"/>
      <c r="CS83" s="35" t="n"/>
      <c r="CT83" s="35" t="n"/>
      <c r="CU83" s="35" t="n"/>
      <c r="CV83" s="35" t="n"/>
      <c r="CW83" s="35" t="n"/>
      <c r="CX83" s="35" t="n"/>
      <c r="CY83" s="35" t="n"/>
    </row>
    <row r="84" ht="13.5" customHeight="1">
      <c r="C84" s="13" t="inlineStr">
        <is>
          <t>D&amp;A</t>
        </is>
      </c>
      <c r="D84" s="46" t="n"/>
      <c r="E84" s="46" t="n"/>
      <c r="F84" s="46" t="n"/>
      <c r="G84" s="46" t="n"/>
      <c r="H84" s="12" t="n"/>
      <c r="I84" s="46">
        <f>'Inputs (2)'!D7</f>
        <v>-0.334652710000002</v>
      </c>
      <c r="J84" s="46">
        <f>'Inputs (2)'!E7</f>
        <v>-0.355058499999999</v>
      </c>
      <c r="K84" s="46">
        <f>'Inputs (2)'!F7</f>
        <v>-0.375960359999997</v>
      </c>
      <c r="L84" s="46">
        <f>'Inputs (2)'!G7</f>
        <v>-0.377742070000008</v>
      </c>
      <c r="M84" s="12">
        <f>'Inputs (2)'!H7</f>
        <v>-1.44341364000001</v>
      </c>
      <c r="N84" s="46">
        <f>'Inputs (2)'!I7</f>
        <v>-0.924386809999996</v>
      </c>
      <c r="O84" s="46">
        <f>'Inputs (2)'!J7</f>
        <v>-5.704</v>
      </c>
      <c r="P84" s="46">
        <f>'Inputs (2)'!K7</f>
        <v>-5.715</v>
      </c>
      <c r="Q84" s="46">
        <f>'Inputs (2)'!L7</f>
        <v>-6.302</v>
      </c>
      <c r="R84" s="12">
        <f>'Inputs (2)'!M7</f>
        <v>-18.64538681</v>
      </c>
      <c r="S84" s="46">
        <f>'Inputs (2)'!N7</f>
        <v>-6.2210827</v>
      </c>
      <c r="T84" s="46">
        <f>'Inputs (2)'!O7</f>
        <v>-6.3</v>
      </c>
      <c r="U84" s="46">
        <f>'Inputs (2)'!P7</f>
        <v>-6.34089384999999</v>
      </c>
      <c r="V84" s="46">
        <f>'Inputs (2)'!Q7</f>
        <v>-7.01002345000001</v>
      </c>
      <c r="W84" s="12">
        <f>'Inputs (2)'!R7</f>
        <v>-25.872</v>
      </c>
      <c r="X84" s="46">
        <f>'Inputs (2)'!S7</f>
        <v>-7.117</v>
      </c>
      <c r="Y84" s="46">
        <f>'Inputs (2)'!T7</f>
        <v>-7.01157678999999</v>
      </c>
      <c r="Z84" s="46">
        <f>'Inputs (2)'!U7</f>
        <v>-8.19119894500001</v>
      </c>
      <c r="AA84" s="46">
        <f>'Inputs (2)'!V7</f>
        <v>-8.81118731000001</v>
      </c>
      <c r="AB84" s="12">
        <f>'Inputs (2)'!W7</f>
        <v>-31.130963045</v>
      </c>
      <c r="AC84" s="46">
        <f>'Inputs (2)'!X7</f>
        <v>-8.533</v>
      </c>
      <c r="AD84" s="46">
        <f>'Inputs (2)'!Y7</f>
        <v>-8.754</v>
      </c>
      <c r="AE84" s="46">
        <f>'Inputs (2)'!Z7</f>
        <v>-8.521</v>
      </c>
      <c r="AF84" s="46">
        <f>'Inputs (2)'!AA7</f>
        <v>-9.07</v>
      </c>
      <c r="AG84" s="12">
        <f>'Inputs (2)'!AB7</f>
        <v>-34.878</v>
      </c>
      <c r="AH84" s="12">
        <f>'Inputs (2)'!AC7</f>
        <v>-8.349</v>
      </c>
      <c r="AI84" s="12">
        <f>'Inputs (2)'!AD7</f>
        <v>-8.551</v>
      </c>
      <c r="AJ84" s="12">
        <f>-AJ85*AJ15</f>
        <v>-11.521641054973</v>
      </c>
      <c r="AK84" s="12">
        <f>-AK85*AK15</f>
        <v>-11.5443196259798</v>
      </c>
      <c r="AL84" s="12">
        <f>SUM(AH84:AK84)</f>
        <v>-39.9659606809529</v>
      </c>
      <c r="AM84" s="12">
        <f>-AM85*AM15</f>
        <v>-13.1125155707912</v>
      </c>
      <c r="AN84" s="12">
        <f>-AN85*AN15</f>
        <v>-13.7469544899953</v>
      </c>
      <c r="AO84" s="12">
        <f>-AO85*AO15</f>
        <v>-15.5477272275747</v>
      </c>
      <c r="AP84" s="12">
        <f>-AP85*AP15</f>
        <v>-15.5783305274208</v>
      </c>
      <c r="AQ84" s="12">
        <f>SUM(AM84:AP84)</f>
        <v>-57.9855278157821</v>
      </c>
      <c r="AR84" s="12">
        <f>-AR85*AR15</f>
        <v>-17.6289493748503</v>
      </c>
      <c r="AS84" s="12">
        <f>-AS85*AS15</f>
        <v>-18.4819124487701</v>
      </c>
      <c r="AT84" s="12">
        <f>-AT85*AT15</f>
        <v>-20.902937709332</v>
      </c>
      <c r="AU84" s="12">
        <f>-AU85*AU15</f>
        <v>-20.9440819139492</v>
      </c>
      <c r="AV84" s="12">
        <f>SUM(AR84:AU84)</f>
        <v>-77.9578814469015</v>
      </c>
      <c r="AW84" s="12">
        <f>-AW85*AW15</f>
        <v>-23.612864749222</v>
      </c>
      <c r="AX84" s="12">
        <f>-AX85*AX15</f>
        <v>-24.7553549380748</v>
      </c>
      <c r="AY84" s="12">
        <f>-AY85*AY15</f>
        <v>-27.9981654321395</v>
      </c>
      <c r="AZ84" s="12">
        <f>-AZ85*AZ15</f>
        <v>-28.0532754967373</v>
      </c>
      <c r="BA84" s="12">
        <f>SUM(AW84:AZ84)</f>
        <v>-104.419660616174</v>
      </c>
      <c r="BB84" s="12">
        <f>-BB85*BB15</f>
        <v>-31.5098772971248</v>
      </c>
      <c r="BC84" s="12">
        <f>-BC85*BC15</f>
        <v>-33.0344583272646</v>
      </c>
      <c r="BD84" s="12">
        <f>-BD85*BD15</f>
        <v>-37.3617842087705</v>
      </c>
      <c r="BE84" s="12">
        <f>-BE85*BE15</f>
        <v>-37.4353251108065</v>
      </c>
      <c r="BF84" s="12">
        <f>SUM(BB84:BE84)</f>
        <v>-139.341444943966</v>
      </c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 customFormat="1" s="56">
      <c r="A85" s="53" t="n"/>
      <c r="B85" s="53" t="n"/>
      <c r="C85" s="54" t="inlineStr">
        <is>
          <t>% of Revenue</t>
        </is>
      </c>
      <c r="D85" s="53" t="n"/>
      <c r="E85" s="53" t="n"/>
      <c r="F85" s="53" t="n"/>
      <c r="G85" s="53" t="n"/>
      <c r="H85" s="53" t="n"/>
      <c r="I85" s="53">
        <f>IFERROR(-I84/I15,"")</f>
        <v>0.000986343998868218</v>
      </c>
      <c r="J85" s="53">
        <f>IFERROR(-J84/J15,"")</f>
        <v>0.000786681570533768</v>
      </c>
      <c r="K85" s="53">
        <f>IFERROR(-K84/K15,"")</f>
        <v>0.00082366240680038</v>
      </c>
      <c r="L85" s="53">
        <f>IFERROR(-L84/L15,"")</f>
        <v>0.000768982865216017</v>
      </c>
      <c r="M85" s="53" t="n"/>
      <c r="N85" s="53">
        <f>IFERROR(-N84/N15,"")</f>
        <v>0.00206625063146271</v>
      </c>
      <c r="O85" s="53">
        <f>IFERROR(-O84/O15,"")</f>
        <v>0.00946277516121058</v>
      </c>
      <c r="P85" s="53">
        <f>IFERROR(-P84/P15,"")</f>
        <v>0.00911979242299241</v>
      </c>
      <c r="Q85" s="53">
        <f>IFERROR(-Q84/Q15,"")</f>
        <v>0.0108565699302988</v>
      </c>
      <c r="R85" s="53" t="n"/>
      <c r="S85" s="53">
        <f>IFERROR(-S84/S15,"")</f>
        <v>0.0104563744209656</v>
      </c>
      <c r="T85" s="53">
        <f>IFERROR(-T84/T15,"")</f>
        <v>0.00865686654409643</v>
      </c>
      <c r="U85" s="53">
        <f>IFERROR(-U84/U15,"")</f>
        <v>0.00843345274607181</v>
      </c>
      <c r="V85" s="53">
        <f>IFERROR(-V84/V15,"")</f>
        <v>0.00863733119680236</v>
      </c>
      <c r="W85" s="53" t="n"/>
      <c r="X85" s="53">
        <f>IFERROR(-X84/X15,"")</f>
        <v>0.00849910793401339</v>
      </c>
      <c r="Y85" s="53">
        <f>IFERROR(-Y84/Y15,"")</f>
        <v>0.00702502972191746</v>
      </c>
      <c r="Z85" s="53">
        <f>IFERROR(-Z84/Z15,"")</f>
        <v>0.00775775751700965</v>
      </c>
      <c r="AA85" s="53">
        <f>IFERROR(-AA84/AA15,"")</f>
        <v>0.00851346299558153</v>
      </c>
      <c r="AB85" s="53" t="n"/>
      <c r="AC85" s="53">
        <f>IFERROR(-AC84/AC15,"")</f>
        <v>0.00701620807377831</v>
      </c>
      <c r="AD85" s="53">
        <f>IFERROR(-AD84/AD15,"")</f>
        <v>0.00650082169970422</v>
      </c>
      <c r="AE85" s="53">
        <f>IFERROR(-AE84/AE15,"")</f>
        <v>0.00601372266441579</v>
      </c>
      <c r="AF85" s="55">
        <f>IFERROR(-AF84/AF15,"")</f>
        <v>0.00638860616391318</v>
      </c>
      <c r="AG85" s="53" t="n"/>
      <c r="AH85" s="55">
        <f>IFERROR(-AH84/AH15,"")</f>
        <v>0.00517744645041986</v>
      </c>
      <c r="AI85" s="55">
        <f>IFERROR(-AI84/AI15,"")</f>
        <v>0.00505798553644459</v>
      </c>
      <c r="AJ85" s="55">
        <f>Control!$B$21</f>
        <v>0.00602579843144599</v>
      </c>
      <c r="AK85" s="55">
        <f>Control!$B$21</f>
        <v>0.00602579843144599</v>
      </c>
      <c r="AL85" s="53" t="n"/>
      <c r="AM85" s="55">
        <f>Control!$C$21</f>
        <v>0.00602579843144599</v>
      </c>
      <c r="AN85" s="55">
        <f>Control!$C$21</f>
        <v>0.00602579843144599</v>
      </c>
      <c r="AO85" s="55">
        <f>Control!$C$21</f>
        <v>0.00602579843144599</v>
      </c>
      <c r="AP85" s="55">
        <f>Control!$C$21</f>
        <v>0.00602579843144599</v>
      </c>
      <c r="AQ85" s="53" t="n"/>
      <c r="AR85" s="55">
        <f>Control!$D$21</f>
        <v>0.00602579843144599</v>
      </c>
      <c r="AS85" s="55">
        <f>Control!$D$21</f>
        <v>0.00602579843144599</v>
      </c>
      <c r="AT85" s="55">
        <f>Control!$D$21</f>
        <v>0.00602579843144599</v>
      </c>
      <c r="AU85" s="55">
        <f>Control!$D$21</f>
        <v>0.00602579843144599</v>
      </c>
      <c r="AV85" s="53" t="n"/>
      <c r="AW85" s="55">
        <f>Control!$E$21</f>
        <v>0.00602579843144599</v>
      </c>
      <c r="AX85" s="55">
        <f>Control!$E$21</f>
        <v>0.00602579843144599</v>
      </c>
      <c r="AY85" s="55">
        <f>Control!$E$21</f>
        <v>0.00602579843144599</v>
      </c>
      <c r="AZ85" s="55">
        <f>Control!$E$21</f>
        <v>0.00602579843144599</v>
      </c>
      <c r="BA85" s="53" t="n"/>
      <c r="BB85" s="55">
        <f>Control!$F$21</f>
        <v>0.00602579843144599</v>
      </c>
      <c r="BC85" s="55">
        <f>Control!$F$21</f>
        <v>0.00602579843144599</v>
      </c>
      <c r="BD85" s="55">
        <f>Control!$F$21</f>
        <v>0.00602579843144599</v>
      </c>
      <c r="BE85" s="55">
        <f>Control!$F$21</f>
        <v>0.00602579843144599</v>
      </c>
      <c r="BF85" s="53" t="n"/>
      <c r="BG85" s="55" t="n"/>
      <c r="BH85" s="55" t="n"/>
      <c r="BI85" s="55" t="n"/>
      <c r="BJ85" s="55" t="n"/>
      <c r="BK85" s="53" t="n"/>
      <c r="BL85" s="55" t="n"/>
      <c r="BM85" s="55" t="n"/>
      <c r="BN85" s="55" t="n"/>
      <c r="BO85" s="55" t="n"/>
      <c r="BP85" s="53" t="n"/>
      <c r="BQ85" s="55" t="n"/>
      <c r="BR85" s="55" t="n"/>
      <c r="BS85" s="55" t="n"/>
      <c r="BT85" s="55" t="n"/>
      <c r="BU85" s="53" t="n"/>
      <c r="BV85" s="55" t="n"/>
      <c r="BW85" s="55" t="n"/>
      <c r="BX85" s="55" t="n"/>
      <c r="BY85" s="55" t="n"/>
      <c r="BZ85" s="53" t="n"/>
      <c r="CA85" s="55" t="n"/>
      <c r="CB85" s="55" t="n"/>
      <c r="CC85" s="55" t="n"/>
      <c r="CD85" s="55" t="n"/>
      <c r="CE85" s="53" t="n"/>
      <c r="CF85" s="55" t="n"/>
      <c r="CG85" s="55" t="n"/>
      <c r="CH85" s="55" t="n"/>
      <c r="CI85" s="55" t="n"/>
      <c r="CJ85" s="53" t="n"/>
      <c r="CK85" s="55" t="n"/>
      <c r="CL85" s="55" t="n"/>
      <c r="CM85" s="55" t="n"/>
      <c r="CN85" s="55" t="n"/>
      <c r="CO85" s="53" t="n"/>
      <c r="CP85" s="55" t="n"/>
      <c r="CQ85" s="55" t="n"/>
      <c r="CR85" s="55" t="n"/>
      <c r="CS85" s="55" t="n"/>
      <c r="CT85" s="53" t="n"/>
      <c r="CU85" s="55" t="n"/>
      <c r="CV85" s="55" t="n"/>
      <c r="CW85" s="55" t="n"/>
      <c r="CX85" s="55" t="n"/>
      <c r="CY85" s="53" t="n"/>
    </row>
    <row r="86" hidden="1" outlineLevel="1">
      <c r="C86" s="50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collapsed="1" customFormat="1" s="32">
      <c r="A87" s="30" t="n"/>
      <c r="B87" s="3" t="n"/>
      <c r="C87" s="33" t="inlineStr">
        <is>
          <t>Operating Profit - EBIT</t>
        </is>
      </c>
      <c r="D87" s="35" t="n"/>
      <c r="E87" s="35" t="n"/>
      <c r="F87" s="35" t="n"/>
      <c r="G87" s="35" t="n"/>
      <c r="H87" s="35" t="n"/>
      <c r="I87" s="35">
        <f>SUM(I83,I84)</f>
        <v>62.843</v>
      </c>
      <c r="J87" s="35">
        <f>SUM(J83,J84)</f>
        <v>89.015</v>
      </c>
      <c r="K87" s="35">
        <f>SUM(K83,K84)</f>
        <v>86.99184065</v>
      </c>
      <c r="L87" s="35">
        <f>SUM(L83,L84)</f>
        <v>136.59</v>
      </c>
      <c r="M87" s="35">
        <f>SUM(I87:L87)</f>
        <v>375.43984065</v>
      </c>
      <c r="N87" s="35">
        <f>SUM(N83,N84)</f>
        <v>79.384</v>
      </c>
      <c r="O87" s="35">
        <f>SUM(O83,O84)</f>
        <v>112.137</v>
      </c>
      <c r="P87" s="35">
        <f>SUM(P83,P84)</f>
        <v>113.494</v>
      </c>
      <c r="Q87" s="35">
        <f>SUM(Q83,Q84)</f>
        <v>124.047</v>
      </c>
      <c r="R87" s="35">
        <f>SUM(N87:Q87)</f>
        <v>429.062</v>
      </c>
      <c r="S87" s="35">
        <f>SUM(S83,S84)</f>
        <v>114.946</v>
      </c>
      <c r="T87" s="35">
        <f>SUM(T83,T84)</f>
        <v>147.17</v>
      </c>
      <c r="U87" s="35">
        <f>SUM(U83,U84)</f>
        <v>135.86</v>
      </c>
      <c r="V87" s="35">
        <f>SUM(V83,V84)</f>
        <v>182.317</v>
      </c>
      <c r="W87" s="35">
        <f>SUM(S87:V87)</f>
        <v>580.293</v>
      </c>
      <c r="X87" s="35">
        <f>SUM(X83,X84)</f>
        <v>177.874</v>
      </c>
      <c r="Y87" s="35">
        <f>SUM(Y83,Y84)</f>
        <v>199.13226339</v>
      </c>
      <c r="Z87" s="35">
        <f>SUM(Z83,Z84)</f>
        <v>207.813</v>
      </c>
      <c r="AA87" s="35">
        <f>SUM(AA83,AA84)</f>
        <v>226.321</v>
      </c>
      <c r="AB87" s="35">
        <f>SUM(X87:AA87)</f>
        <v>811.14026339</v>
      </c>
      <c r="AC87" s="35">
        <f>SUM(AC83,AC84)</f>
        <v>278.559</v>
      </c>
      <c r="AD87" s="35">
        <f>SUM(AD83,AD84)</f>
        <v>313.13349787</v>
      </c>
      <c r="AE87" s="35">
        <f>SUM(AE83,AE84)</f>
        <v>326.193</v>
      </c>
      <c r="AF87" s="35">
        <f>SUM(AF83,AF84)</f>
        <v>342.785</v>
      </c>
      <c r="AG87" s="35">
        <f>SUM(AC87:AF87)</f>
        <v>1260.67049787</v>
      </c>
      <c r="AH87" s="35">
        <f>SUM(AH83,AH84)</f>
        <v>400.863</v>
      </c>
      <c r="AI87" s="35">
        <f>SUM(AI83,AI84)</f>
        <v>377.411</v>
      </c>
      <c r="AJ87" s="35">
        <f>SUM(AJ83,AJ84)</f>
        <v>447.759928752893</v>
      </c>
      <c r="AK87" s="35">
        <f>SUM(AK83,AK84)</f>
        <v>448.641275020299</v>
      </c>
      <c r="AL87" s="35">
        <f>SUM(AL83,AL84)</f>
        <v>1674.67520377319</v>
      </c>
      <c r="AM87" s="35">
        <f>SUM(AM83,AM84)</f>
        <v>509.585310784741</v>
      </c>
      <c r="AN87" s="35">
        <f>SUM(AN83,AN84)</f>
        <v>534.241201721238</v>
      </c>
      <c r="AO87" s="35">
        <f>SUM(AO83,AO84)</f>
        <v>604.223756188223</v>
      </c>
      <c r="AP87" s="35">
        <f>SUM(AP83,AP84)</f>
        <v>605.413077335558</v>
      </c>
      <c r="AQ87" s="35">
        <f>SUM(AQ83,AQ84)</f>
        <v>2253.46334602976</v>
      </c>
      <c r="AR87" s="35">
        <f>SUM(AR83,AR84)</f>
        <v>685.105279569896</v>
      </c>
      <c r="AS87" s="35">
        <f>SUM(AS83,AS84)</f>
        <v>718.253568375711</v>
      </c>
      <c r="AT87" s="35">
        <f>SUM(AT83,AT84)</f>
        <v>812.340694767335</v>
      </c>
      <c r="AU87" s="35">
        <f>SUM(AU83,AU84)</f>
        <v>813.939661966544</v>
      </c>
      <c r="AV87" s="35">
        <f>SUM(AV83,AV84)</f>
        <v>3029.63920467949</v>
      </c>
      <c r="AW87" s="35">
        <f>SUM(AW83,AW84)</f>
        <v>917.655270400895</v>
      </c>
      <c r="AX87" s="35">
        <f>SUM(AX83,AX84)</f>
        <v>962.05531056191</v>
      </c>
      <c r="AY87" s="35">
        <f>SUM(AY83,AY84)</f>
        <v>1088.07907652143</v>
      </c>
      <c r="AZ87" s="35">
        <f>SUM(AZ83,AZ84)</f>
        <v>1090.2207921399</v>
      </c>
      <c r="BA87" s="35">
        <f>SUM(BA83,BA84)</f>
        <v>4058.01044962414</v>
      </c>
      <c r="BB87" s="35">
        <f>SUM(BB83,BB84)</f>
        <v>1224.55302558512</v>
      </c>
      <c r="BC87" s="35">
        <f>SUM(BC83,BC84)</f>
        <v>1283.80207614799</v>
      </c>
      <c r="BD87" s="35">
        <f>SUM(BD83,BD84)</f>
        <v>1451.97283577753</v>
      </c>
      <c r="BE87" s="35">
        <f>SUM(BE83,BE84)</f>
        <v>1454.8308200611</v>
      </c>
      <c r="BF87" s="35">
        <f>SUM(BF83,BF84)</f>
        <v>5415.15875757174</v>
      </c>
      <c r="BG87" s="35" t="n"/>
      <c r="BH87" s="35" t="n"/>
      <c r="BI87" s="35" t="n"/>
      <c r="BJ87" s="35" t="n"/>
      <c r="BK87" s="35" t="n"/>
      <c r="BL87" s="35" t="n"/>
      <c r="BM87" s="35" t="n"/>
      <c r="BN87" s="35" t="n"/>
      <c r="BO87" s="35" t="n"/>
      <c r="BP87" s="35" t="n"/>
      <c r="BQ87" s="35" t="n"/>
      <c r="BR87" s="35" t="n"/>
      <c r="BS87" s="35" t="n"/>
      <c r="BT87" s="35" t="n"/>
      <c r="BU87" s="35" t="n"/>
      <c r="BV87" s="35" t="n"/>
      <c r="BW87" s="35" t="n"/>
      <c r="BX87" s="35" t="n"/>
      <c r="BY87" s="35" t="n"/>
      <c r="BZ87" s="35" t="n"/>
      <c r="CA87" s="35" t="n"/>
      <c r="CB87" s="35" t="n"/>
      <c r="CC87" s="35" t="n"/>
      <c r="CD87" s="35" t="n"/>
      <c r="CE87" s="35" t="n"/>
      <c r="CF87" s="35" t="n"/>
      <c r="CG87" s="35" t="n"/>
      <c r="CH87" s="35" t="n"/>
      <c r="CI87" s="35" t="n"/>
      <c r="CJ87" s="35" t="n"/>
      <c r="CK87" s="35" t="n"/>
      <c r="CL87" s="35" t="n"/>
      <c r="CM87" s="35" t="n"/>
      <c r="CN87" s="35" t="n"/>
      <c r="CO87" s="35" t="n"/>
      <c r="CP87" s="35" t="n"/>
      <c r="CQ87" s="35" t="n"/>
      <c r="CR87" s="35" t="n"/>
      <c r="CS87" s="35" t="n"/>
      <c r="CT87" s="35" t="n"/>
      <c r="CU87" s="35" t="n"/>
      <c r="CV87" s="35" t="n"/>
      <c r="CW87" s="35" t="n"/>
      <c r="CX87" s="35" t="n"/>
      <c r="CY87" s="35" t="n"/>
    </row>
    <row r="88">
      <c r="C88" s="14" t="inlineStr">
        <is>
          <t>Interest Expense</t>
        </is>
      </c>
      <c r="D88" s="46" t="n"/>
      <c r="E88" s="46" t="n"/>
      <c r="F88" s="46" t="n"/>
      <c r="G88" s="46" t="n"/>
      <c r="H88" s="12" t="n"/>
      <c r="I88" s="46">
        <f>'Inputs (2)'!D8</f>
        <v>-7.256</v>
      </c>
      <c r="J88" s="46">
        <f>'Inputs (2)'!E8</f>
        <v>-9.3</v>
      </c>
      <c r="K88" s="46">
        <f>'Inputs (2)'!F8</f>
        <v>-11.43</v>
      </c>
      <c r="L88" s="46">
        <f>'Inputs (2)'!G8</f>
        <v>-21.731</v>
      </c>
      <c r="M88" s="12">
        <f>'Inputs (2)'!H8</f>
        <v>-49.717</v>
      </c>
      <c r="N88" s="46">
        <f>'Inputs (2)'!I8</f>
        <v>-17.062</v>
      </c>
      <c r="O88" s="46">
        <f>'Inputs (2)'!J8</f>
        <v>-22.214</v>
      </c>
      <c r="P88" s="46">
        <f>'Inputs (2)'!K8</f>
        <v>-22.86</v>
      </c>
      <c r="Q88" s="46">
        <f>'Inputs (2)'!L8</f>
        <v>-26.332</v>
      </c>
      <c r="R88" s="12">
        <f>'Inputs (2)'!M8</f>
        <v>-88.468</v>
      </c>
      <c r="S88" s="46">
        <f>'Inputs (2)'!N8</f>
        <v>-25.672</v>
      </c>
      <c r="T88" s="46">
        <f>'Inputs (2)'!O8</f>
        <v>-26.026</v>
      </c>
      <c r="U88" s="46">
        <f>'Inputs (2)'!P8</f>
        <v>-23.214</v>
      </c>
      <c r="V88" s="46">
        <f>'Inputs (2)'!Q8</f>
        <v>-25.215</v>
      </c>
      <c r="W88" s="12">
        <f>'Inputs (2)'!R8</f>
        <v>-100.127</v>
      </c>
      <c r="X88" s="46">
        <f>'Inputs (2)'!S8</f>
        <v>-24.806</v>
      </c>
      <c r="Y88" s="46">
        <f>'Inputs (2)'!T8</f>
        <v>-31.099</v>
      </c>
      <c r="Z88" s="46">
        <f>'Inputs (2)'!U8</f>
        <v>-39.673</v>
      </c>
      <c r="AA88" s="46">
        <f>'Inputs (2)'!V8</f>
        <v>-41.587</v>
      </c>
      <c r="AB88" s="12">
        <f>'Inputs (2)'!W8</f>
        <v>-137.165</v>
      </c>
      <c r="AC88" s="46">
        <f>'Inputs (2)'!X8</f>
        <v>-51.332</v>
      </c>
      <c r="AD88" s="46">
        <f>'Inputs (2)'!Y8</f>
        <v>-50.84624429</v>
      </c>
      <c r="AE88" s="46">
        <f>'Inputs (2)'!Z8</f>
        <v>-56.062</v>
      </c>
      <c r="AF88" s="46">
        <f>'Inputs (2)'!AA8</f>
        <v>-59.596</v>
      </c>
      <c r="AG88" s="12">
        <f>'Inputs (2)'!AB8</f>
        <v>-217.83624429</v>
      </c>
      <c r="AH88" s="12">
        <f>'Inputs (2)'!AC8</f>
        <v>-59.802</v>
      </c>
      <c r="AI88" s="12">
        <f>'Inputs (2)'!AD8</f>
        <v>-70.288</v>
      </c>
      <c r="AJ88" s="12" t="str">
        <f>IF(Control!$E$9="","",-AI106*Control!$E$9/4)</f>
        <v/>
      </c>
      <c r="AK88" s="12" t="str">
        <f>IF(Control!$E$9="","",-AJ106*Control!$E$9/4)</f>
        <v/>
      </c>
      <c r="AL88" s="12">
        <f>SUM(AH88:AK88)</f>
        <v>-130.09</v>
      </c>
      <c r="AM88" s="12" t="str">
        <f>IF(Control!$E$9="","",-AL106*Control!$E$9/4)</f>
        <v/>
      </c>
      <c r="AN88" s="12" t="str">
        <f>IF(Control!$E$9="","",-AM106*Control!$E$9/4)</f>
        <v/>
      </c>
      <c r="AO88" s="12" t="str">
        <f>IF(Control!$E$9="","",-AN106*Control!$E$9/4)</f>
        <v/>
      </c>
      <c r="AP88" s="12" t="str">
        <f>IF(Control!$E$9="","",-AO106*Control!$E$9/4)</f>
        <v/>
      </c>
      <c r="AQ88" s="12">
        <f>SUM(AM88:AP88)</f>
        <v>0</v>
      </c>
      <c r="AR88" s="12" t="str">
        <f>IF(Control!$E$9="","",-AQ106*Control!$E$9/4)</f>
        <v/>
      </c>
      <c r="AS88" s="12" t="str">
        <f>IF(Control!$E$9="","",-AR106*Control!$E$9/4)</f>
        <v/>
      </c>
      <c r="AT88" s="12" t="str">
        <f>IF(Control!$E$9="","",-AS106*Control!$E$9/4)</f>
        <v/>
      </c>
      <c r="AU88" s="12" t="str">
        <f>IF(Control!$E$9="","",-AT106*Control!$E$9/4)</f>
        <v/>
      </c>
      <c r="AV88" s="12">
        <f>SUM(AR88:AU88)</f>
        <v>0</v>
      </c>
      <c r="AW88" s="12" t="str">
        <f>IF(Control!$E$9="","",-AV106*Control!$E$9/4)</f>
        <v/>
      </c>
      <c r="AX88" s="12" t="str">
        <f>IF(Control!$E$9="","",-AW106*Control!$E$9/4)</f>
        <v/>
      </c>
      <c r="AY88" s="12" t="str">
        <f>IF(Control!$E$9="","",-AX106*Control!$E$9/4)</f>
        <v/>
      </c>
      <c r="AZ88" s="12" t="str">
        <f>IF(Control!$E$9="","",-AY106*Control!$E$9/4)</f>
        <v/>
      </c>
      <c r="BA88" s="12">
        <f>SUM(AW88:AZ88)</f>
        <v>0</v>
      </c>
      <c r="BB88" s="12" t="str">
        <f>IF(Control!$E$9="","",-BA106*Control!$E$9/4)</f>
        <v/>
      </c>
      <c r="BC88" s="12" t="str">
        <f>IF(Control!$E$9="","",-BB106*Control!$E$9/4)</f>
        <v/>
      </c>
      <c r="BD88" s="12" t="str">
        <f>IF(Control!$E$9="","",-BC106*Control!$E$9/4)</f>
        <v/>
      </c>
      <c r="BE88" s="12" t="str">
        <f>IF(Control!$E$9="","",-BD106*Control!$E$9/4)</f>
        <v/>
      </c>
      <c r="BF88" s="12">
        <f>SUM(BB88:BE88)</f>
        <v>0</v>
      </c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0" t="inlineStr">
        <is>
          <t>% of Debt</t>
        </is>
      </c>
      <c r="D89" s="53" t="n"/>
      <c r="E89" s="53" t="n"/>
      <c r="F89" s="53" t="n"/>
      <c r="G89" s="53" t="n"/>
      <c r="H89" s="12" t="n"/>
      <c r="I89" s="53">
        <f>IFERROR(-I88/SUM(I226+I231),"")</f>
        <v>0.025841468148681</v>
      </c>
      <c r="J89" s="53">
        <f>IFERROR(-J88/SUM(J226+J231),"")</f>
        <v>0.0344068517730628</v>
      </c>
      <c r="K89" s="53">
        <f>IFERROR(-K88/SUM(K226+K231),"")</f>
        <v>0.0292908688343106</v>
      </c>
      <c r="L89" s="53">
        <f>IFERROR(-L88/SUM(L226+L231),"")</f>
        <v>0.055545615344505</v>
      </c>
      <c r="M89" s="12" t="n"/>
      <c r="N89" s="53">
        <f>IFERROR(-N88/SUM(N226+N231),"")</f>
        <v>0.0436522353157892</v>
      </c>
      <c r="O89" s="53">
        <f>IFERROR(-O88/SUM(O226+O231),"")</f>
        <v>0.0556780926982345</v>
      </c>
      <c r="P89" s="53">
        <f>IFERROR(-P88/SUM(P226+P231),"")</f>
        <v>0.0501292703625491</v>
      </c>
      <c r="Q89" s="53">
        <f>IFERROR(-Q88/SUM(Q226+Q231),"")</f>
        <v>0.0547456485400883</v>
      </c>
      <c r="R89" s="12" t="n"/>
      <c r="S89" s="53">
        <f>IFERROR(-S88/SUM(S226+S231),"")</f>
        <v>0.0541013282980378</v>
      </c>
      <c r="T89" s="53">
        <f>IFERROR(-T88/SUM(T226+T231),"")</f>
        <v>0.0520929450548131</v>
      </c>
      <c r="U89" s="53">
        <f>IFERROR(-U88/SUM(U226+U231),"")</f>
        <v>0.0359506224843934</v>
      </c>
      <c r="V89" s="53">
        <f>IFERROR(-V88/SUM(V226+V231),"")</f>
        <v>0.0411101618646389</v>
      </c>
      <c r="W89" s="12" t="n"/>
      <c r="X89" s="53">
        <f>IFERROR(-X88/SUM(X226+X231),"")</f>
        <v>0.041213510774394</v>
      </c>
      <c r="Y89" s="53">
        <f>IFERROR(-Y88/SUM(Y226+Y231),"")</f>
        <v>0.0287757069706071</v>
      </c>
      <c r="Z89" s="53">
        <f>IFERROR(-Z88/SUM(Z226+Z231),"")</f>
        <v>0.0359837645404866</v>
      </c>
      <c r="AA89" s="53">
        <f>IFERROR(-AA88/SUM(AA226+AA231),"")</f>
        <v>0.0421611505481649</v>
      </c>
      <c r="AB89" s="12" t="n"/>
      <c r="AC89" s="53">
        <f>IFERROR(-AC88/SUM(AC226+AC231),"")</f>
        <v>0.0400152477644797</v>
      </c>
      <c r="AD89" s="53">
        <f>IFERROR(-AD88/SUM(AD226+AD231),"")</f>
        <v>0.0390190899093861</v>
      </c>
      <c r="AE89" s="53">
        <f>IFERROR(-AE88/SUM(AE226+AE231),"")</f>
        <v>0.0423753539342064</v>
      </c>
      <c r="AF89" s="55">
        <f>IFERROR(-AF88/SUM(AF226+AF231),"")</f>
        <v>0.0404071633962466</v>
      </c>
      <c r="AG89" s="12" t="n"/>
      <c r="AH89" s="11">
        <f>IFERROR(-AH88/SUM(AH226+AH231),"")</f>
        <v>0.0442841317046007</v>
      </c>
      <c r="AI89" s="11">
        <f>IFERROR(-AI88/SUM(AI226+AI231),"")</f>
        <v>0.0523305203048047</v>
      </c>
      <c r="AJ89" s="11" t="str">
        <f>IFERROR(Control!$E$9,0)</f>
        <v/>
      </c>
      <c r="AK89" s="11" t="str">
        <f>IFERROR(Control!$E$9,0)</f>
        <v/>
      </c>
      <c r="AL89" s="12" t="n"/>
      <c r="AM89" s="11" t="str">
        <f>IFERROR(Control!$E$9,0)</f>
        <v/>
      </c>
      <c r="AN89" s="11" t="str">
        <f>IFERROR(Control!$E$9,0)</f>
        <v/>
      </c>
      <c r="AO89" s="11" t="str">
        <f>IFERROR(Control!$E$9,0)</f>
        <v/>
      </c>
      <c r="AP89" s="11" t="str">
        <f>IFERROR(Control!$E$9,0)</f>
        <v/>
      </c>
      <c r="AQ89" s="12" t="n"/>
      <c r="AR89" s="11" t="str">
        <f>IFERROR(Control!$E$9,0)</f>
        <v/>
      </c>
      <c r="AS89" s="11" t="str">
        <f>IFERROR(Control!$E$9,0)</f>
        <v/>
      </c>
      <c r="AT89" s="11" t="str">
        <f>IFERROR(Control!$E$9,0)</f>
        <v/>
      </c>
      <c r="AU89" s="11" t="str">
        <f>IFERROR(Control!$E$9,0)</f>
        <v/>
      </c>
      <c r="AV89" s="12" t="n"/>
      <c r="AW89" s="11" t="str">
        <f>IFERROR(Control!$E$9,0)</f>
        <v/>
      </c>
      <c r="AX89" s="11" t="str">
        <f>IFERROR(Control!$E$9,0)</f>
        <v/>
      </c>
      <c r="AY89" s="11" t="str">
        <f>IFERROR(Control!$E$9,0)</f>
        <v/>
      </c>
      <c r="AZ89" s="11" t="str">
        <f>IFERROR(Control!$E$9,0)</f>
        <v/>
      </c>
      <c r="BA89" s="12" t="n"/>
      <c r="BB89" s="11" t="str">
        <f>IFERROR(Control!$E$9,0)</f>
        <v/>
      </c>
      <c r="BC89" s="11" t="str">
        <f>IFERROR(Control!$E$9,0)</f>
        <v/>
      </c>
      <c r="BD89" s="11" t="str">
        <f>IFERROR(Control!$E$9,0)</f>
        <v/>
      </c>
      <c r="BE89" s="11" t="str">
        <f>IFERROR(Control!$E$9,0)</f>
        <v/>
      </c>
      <c r="BF89" s="12" t="n"/>
      <c r="BG89" s="11" t="n"/>
      <c r="BH89" s="11" t="n"/>
      <c r="BI89" s="11" t="n"/>
      <c r="BJ89" s="11" t="n"/>
      <c r="BK89" s="12" t="n"/>
      <c r="BL89" s="11" t="n"/>
      <c r="BM89" s="11" t="n"/>
      <c r="BN89" s="11" t="n"/>
      <c r="BO89" s="11" t="n"/>
      <c r="BP89" s="12" t="n"/>
      <c r="BQ89" s="11" t="n"/>
      <c r="BR89" s="11" t="n"/>
      <c r="BS89" s="11" t="n"/>
      <c r="BT89" s="11" t="n"/>
      <c r="BU89" s="12" t="n"/>
      <c r="BV89" s="11" t="n"/>
      <c r="BW89" s="11" t="n"/>
      <c r="BX89" s="11" t="n"/>
      <c r="BY89" s="11" t="n"/>
      <c r="BZ89" s="12" t="n"/>
      <c r="CA89" s="11" t="n"/>
      <c r="CB89" s="11" t="n"/>
      <c r="CC89" s="11" t="n"/>
      <c r="CD89" s="11" t="n"/>
      <c r="CE89" s="12" t="n"/>
      <c r="CF89" s="11" t="n"/>
      <c r="CG89" s="11" t="n"/>
      <c r="CH89" s="11" t="n"/>
      <c r="CI89" s="11" t="n"/>
      <c r="CJ89" s="12" t="n"/>
      <c r="CK89" s="11" t="n"/>
      <c r="CL89" s="11" t="n"/>
      <c r="CM89" s="11" t="n"/>
      <c r="CN89" s="11" t="n"/>
      <c r="CO89" s="12" t="n"/>
      <c r="CP89" s="11" t="n"/>
      <c r="CQ89" s="11" t="n"/>
      <c r="CR89" s="11" t="n"/>
      <c r="CS89" s="11" t="n"/>
      <c r="CT89" s="12" t="n"/>
      <c r="CU89" s="11" t="n"/>
      <c r="CV89" s="11" t="n"/>
      <c r="CW89" s="11" t="n"/>
      <c r="CX89" s="11" t="n"/>
      <c r="CY89" s="12" t="n"/>
    </row>
    <row r="90" hidden="1" outlineLevel="1">
      <c r="C90" s="50" t="inlineStr">
        <is>
          <t>%CDI</t>
        </is>
      </c>
      <c r="D90" s="11" t="n"/>
      <c r="E90" s="11" t="n"/>
      <c r="F90" s="11" t="n"/>
      <c r="G90" s="11" t="n"/>
      <c r="H90" s="12" t="n"/>
      <c r="I90" s="11" t="n"/>
      <c r="J90" s="11" t="n"/>
      <c r="K90" s="11" t="n"/>
      <c r="L90" s="11" t="n"/>
      <c r="M90" s="12" t="n"/>
      <c r="N90" s="11" t="n"/>
      <c r="O90" s="11" t="n"/>
      <c r="P90" s="11" t="n"/>
      <c r="Q90" s="11" t="n"/>
      <c r="R90" s="12" t="n"/>
      <c r="S90" s="11" t="n"/>
      <c r="T90" s="11" t="n"/>
      <c r="U90" s="11" t="n"/>
      <c r="V90" s="11" t="n"/>
      <c r="W90" s="12" t="n"/>
      <c r="X90" s="11" t="n"/>
      <c r="Y90" s="11" t="n"/>
      <c r="Z90" s="11" t="n"/>
      <c r="AA90" s="11" t="n"/>
      <c r="AB90" s="12" t="n"/>
      <c r="AC90" s="11" t="n"/>
      <c r="AD90" s="11" t="n"/>
      <c r="AE90" s="11" t="n"/>
      <c r="AF90" s="11" t="n"/>
      <c r="AG90" s="12" t="n"/>
      <c r="AH90" s="11" t="n"/>
      <c r="AI90" s="11" t="n"/>
      <c r="AJ90" s="11" t="n"/>
      <c r="AK90" s="11" t="n"/>
      <c r="AL90" s="12" t="n"/>
      <c r="AM90" s="11" t="n"/>
      <c r="AN90" s="11" t="n"/>
      <c r="AO90" s="11" t="n"/>
      <c r="AP90" s="11" t="n"/>
      <c r="AQ90" s="12" t="n"/>
      <c r="AR90" s="11" t="n"/>
      <c r="AS90" s="11" t="n"/>
      <c r="AT90" s="11" t="n"/>
      <c r="AU90" s="11" t="n"/>
      <c r="AV90" s="12" t="n"/>
      <c r="AW90" s="11" t="n"/>
      <c r="AX90" s="11" t="n"/>
      <c r="AY90" s="11" t="n"/>
      <c r="AZ90" s="11" t="n"/>
      <c r="BA90" s="12" t="n"/>
      <c r="BB90" s="11" t="n"/>
      <c r="BC90" s="11" t="n"/>
      <c r="BD90" s="11" t="n"/>
      <c r="BE90" s="11" t="n"/>
      <c r="BF90" s="12" t="n"/>
      <c r="BG90" s="11" t="n"/>
      <c r="BH90" s="11" t="n"/>
      <c r="BI90" s="11" t="n"/>
      <c r="BJ90" s="11" t="n"/>
      <c r="BK90" s="12" t="n"/>
      <c r="BL90" s="11" t="n"/>
      <c r="BM90" s="11" t="n"/>
      <c r="BN90" s="11" t="n"/>
      <c r="BO90" s="11" t="n"/>
      <c r="BP90" s="12" t="n"/>
      <c r="BQ90" s="11" t="n"/>
      <c r="BR90" s="11" t="n"/>
      <c r="BS90" s="11" t="n"/>
      <c r="BT90" s="11" t="n"/>
      <c r="BU90" s="12" t="n"/>
      <c r="BV90" s="11" t="n"/>
      <c r="BW90" s="11" t="n"/>
      <c r="BX90" s="11" t="n"/>
      <c r="BY90" s="11" t="n"/>
      <c r="BZ90" s="12" t="n"/>
      <c r="CA90" s="11" t="n"/>
      <c r="CB90" s="11" t="n"/>
      <c r="CC90" s="11" t="n"/>
      <c r="CD90" s="11" t="n"/>
      <c r="CE90" s="12" t="n"/>
      <c r="CF90" s="11" t="n"/>
      <c r="CG90" s="11" t="n"/>
      <c r="CH90" s="11" t="n"/>
      <c r="CI90" s="11" t="n"/>
      <c r="CJ90" s="12" t="n"/>
      <c r="CK90" s="11" t="n"/>
      <c r="CL90" s="11" t="n"/>
      <c r="CM90" s="11" t="n"/>
      <c r="CN90" s="11" t="n"/>
      <c r="CO90" s="12" t="n"/>
      <c r="CP90" s="11" t="n"/>
      <c r="CQ90" s="11" t="n"/>
      <c r="CR90" s="11" t="n"/>
      <c r="CS90" s="11" t="n"/>
      <c r="CT90" s="12" t="n"/>
      <c r="CU90" s="11" t="n"/>
      <c r="CV90" s="11" t="n"/>
      <c r="CW90" s="11" t="n"/>
      <c r="CX90" s="11" t="n"/>
      <c r="CY90" s="12" t="n"/>
    </row>
    <row r="91" hidden="1" outlineLevel="1">
      <c r="C91" s="57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RECEITA FINANCEIRA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DESPESA FINANCEIRA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OUTROS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Cash and equivalents (inc. investment securities)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Interest on cash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Average interest rate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% CDI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Current portion of long-term debt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Short term debt (Revolving credit facility)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Long term debt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Convertible debt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Total debt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Interest expense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Average interest rate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Stake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PRE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CDI+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Spread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PRE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CDI+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inlineStr">
        <is>
          <t>RECEITAS FINANCEIRAS - Rendimentos de aplicações financeiras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inlineStr">
        <is>
          <t>RECEITAS FINANCEIRAS - Variação cambial ativa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inlineStr">
        <is>
          <t>RECEITAS FINANCEIRAS - Atualização de contas a pagar por aquisição de empresas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inlineStr">
        <is>
          <t>RECEITAS FINANCEIRAS - Resultado positivo com instrumentos derivativos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7" t="inlineStr">
        <is>
          <t>RECEITAS FINANCEIRAS - Descontos obtidos de fornecedores por antecipação</t>
        </is>
      </c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inlineStr">
        <is>
          <t>RECEITAS FINANCEIRAS - Atualização monetária sobre Exclusão ICMS da base de PIS/COFINS (nota explicativa nº 7)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inlineStr">
        <is>
          <t>RECEITAS FINANCEIRAS - Outras</t>
        </is>
      </c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57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inlineStr">
        <is>
          <t>DESPESAS FINANCEIRAS - Encargos sobre empréstimos, financiamentos e debêntures</t>
        </is>
      </c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hidden="1" outlineLevel="1">
      <c r="C127" s="57" t="inlineStr">
        <is>
          <t>DESPESAS FINANCEIRAS - Variação cambial passiva</t>
        </is>
      </c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7" t="inlineStr">
        <is>
          <t>DESPESAS FINANCEIRAS - Resultado negativo com instrumentos derivativos</t>
        </is>
      </c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hidden="1" outlineLevel="1">
      <c r="C129" s="57" t="inlineStr">
        <is>
          <t>DESPESAS FINANCEIRAS - Juros sobre arrendamento - IFRS16</t>
        </is>
      </c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hidden="1" outlineLevel="1">
      <c r="C130" s="57" t="inlineStr">
        <is>
          <t>DESPESAS FINANCEIRAS - Despesas bancárias</t>
        </is>
      </c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7" t="inlineStr">
        <is>
          <t>DESPESAS FINANCEIRAS - Despesas com obtenção de empréstimos e financiamentos</t>
        </is>
      </c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hidden="1" outlineLevel="1">
      <c r="C132" s="57" t="inlineStr">
        <is>
          <t>DESPESAS FINANCEIRAS - Atualização de contas a pagar por aquisição de empresas</t>
        </is>
      </c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hidden="1" outlineLevel="1">
      <c r="C133" s="57" t="inlineStr">
        <is>
          <t>DESPESAS FINANCEIRAS - Outras</t>
        </is>
      </c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hidden="1" outlineLevel="1">
      <c r="C134" s="57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 hidden="1" outlineLevel="1">
      <c r="C135" s="57" t="inlineStr">
        <is>
          <t>CHECK [EX IFRS-16]</t>
        </is>
      </c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hidden="1" outlineLevel="1">
      <c r="C136" s="57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collapsed="1">
      <c r="C137" s="14" t="inlineStr">
        <is>
          <t>Nonoperating Income / (Loss)</t>
        </is>
      </c>
      <c r="D137" s="46" t="n"/>
      <c r="E137" s="46" t="n"/>
      <c r="F137" s="46" t="n"/>
      <c r="G137" s="46" t="n"/>
      <c r="H137" s="12" t="n"/>
      <c r="I137" s="46">
        <f>'Inputs (2)'!D9</f>
        <v>2.222</v>
      </c>
      <c r="J137" s="46">
        <f>'Inputs (2)'!E9</f>
        <v>3.924</v>
      </c>
      <c r="K137" s="46">
        <f>'Inputs (2)'!F9</f>
        <v>10.36</v>
      </c>
      <c r="L137" s="46">
        <f>'Inputs (2)'!G9</f>
        <v>8.485</v>
      </c>
      <c r="M137" s="12">
        <f>'Inputs (2)'!H9</f>
        <v>24.991</v>
      </c>
      <c r="N137" s="46">
        <f>'Inputs (2)'!I9</f>
        <v>12.977</v>
      </c>
      <c r="O137" s="46">
        <f>'Inputs (2)'!J9</f>
        <v>17.605</v>
      </c>
      <c r="P137" s="46">
        <f>'Inputs (2)'!K9</f>
        <v>18.795</v>
      </c>
      <c r="Q137" s="46">
        <f>'Inputs (2)'!L9</f>
        <v>14.654</v>
      </c>
      <c r="R137" s="12">
        <f>'Inputs (2)'!M9</f>
        <v>64.031</v>
      </c>
      <c r="S137" s="46">
        <f>'Inputs (2)'!N9</f>
        <v>20.228</v>
      </c>
      <c r="T137" s="46">
        <f>'Inputs (2)'!O9</f>
        <v>20.425</v>
      </c>
      <c r="U137" s="46">
        <f>'Inputs (2)'!P9</f>
        <v>19.668</v>
      </c>
      <c r="V137" s="46">
        <f>'Inputs (2)'!Q9</f>
        <v>25.895</v>
      </c>
      <c r="W137" s="12">
        <f>'Inputs (2)'!R9</f>
        <v>86.216</v>
      </c>
      <c r="X137" s="46">
        <f>'Inputs (2)'!S9</f>
        <v>19.889</v>
      </c>
      <c r="Y137" s="46">
        <f>'Inputs (2)'!T9</f>
        <v>25.35</v>
      </c>
      <c r="Z137" s="46">
        <f>'Inputs (2)'!U9</f>
        <v>32.06</v>
      </c>
      <c r="AA137" s="46">
        <f>'Inputs (2)'!V9</f>
        <v>28.782</v>
      </c>
      <c r="AB137" s="12">
        <f>'Inputs (2)'!W9</f>
        <v>106.081</v>
      </c>
      <c r="AC137" s="46">
        <f>'Inputs (2)'!X9</f>
        <v>36.752</v>
      </c>
      <c r="AD137" s="46">
        <f>'Inputs (2)'!Y9</f>
        <v>35.21801198</v>
      </c>
      <c r="AE137" s="46">
        <f>'Inputs (2)'!Z9</f>
        <v>47.368</v>
      </c>
      <c r="AF137" s="46">
        <f>'Inputs (2)'!AA9</f>
        <v>50.684</v>
      </c>
      <c r="AG137" s="12">
        <f>'Inputs (2)'!AB9</f>
        <v>170.02201198</v>
      </c>
      <c r="AH137" s="12">
        <f>'Inputs (2)'!AC9</f>
        <v>49.093</v>
      </c>
      <c r="AI137" s="12">
        <f>'Inputs (2)'!AD9</f>
        <v>48.168</v>
      </c>
      <c r="AJ137" s="12">
        <f>AJ15*Control!$B$23</f>
        <v>58.724945756976</v>
      </c>
      <c r="AK137" s="12">
        <f>AK15*Control!$B$23</f>
        <v>58.8405367431787</v>
      </c>
      <c r="AL137" s="12">
        <f>SUM(AH137:AK137)</f>
        <v>214.826482500155</v>
      </c>
      <c r="AM137" s="12">
        <f>AM15*Control!$C$23</f>
        <v>66.833514597285</v>
      </c>
      <c r="AN137" s="12">
        <f>AN15*Control!$C$23</f>
        <v>70.0672024841588</v>
      </c>
      <c r="AO137" s="12">
        <f>AO15*Control!$C$23</f>
        <v>79.2456069172101</v>
      </c>
      <c r="AP137" s="12">
        <f>AP15*Control!$C$23</f>
        <v>79.4015896556821</v>
      </c>
      <c r="AQ137" s="12">
        <f>SUM(AM137:AP137)</f>
        <v>295.547913654336</v>
      </c>
      <c r="AR137" s="12">
        <f>AR15*Control!$D$23</f>
        <v>89.8534410897754</v>
      </c>
      <c r="AS137" s="12">
        <f>AS15*Control!$D$23</f>
        <v>94.2009303067758</v>
      </c>
      <c r="AT137" s="12">
        <f>AT15*Control!$D$23</f>
        <v>106.540715622463</v>
      </c>
      <c r="AU137" s="12">
        <f>AU15*Control!$D$23</f>
        <v>106.750424566946</v>
      </c>
      <c r="AV137" s="12">
        <f>SUM(AR137:AU137)</f>
        <v>397.34551158596</v>
      </c>
      <c r="AW137" s="12">
        <f>AW15*Control!$E$23</f>
        <v>120.353011775727</v>
      </c>
      <c r="AX137" s="12">
        <f>AX15*Control!$E$23</f>
        <v>126.176199119278</v>
      </c>
      <c r="AY137" s="12">
        <f>AY15*Control!$E$23</f>
        <v>142.704562523023</v>
      </c>
      <c r="AZ137" s="12">
        <f>AZ15*Control!$E$23</f>
        <v>142.985454414962</v>
      </c>
      <c r="BA137" s="12">
        <f>SUM(AW137:AZ137)</f>
        <v>532.219227832991</v>
      </c>
      <c r="BB137" s="12">
        <f>BB15*Control!$F$23</f>
        <v>160.603496173311</v>
      </c>
      <c r="BC137" s="12">
        <f>BC15*Control!$F$23</f>
        <v>168.374172057926</v>
      </c>
      <c r="BD137" s="12">
        <f>BD15*Control!$F$23</f>
        <v>190.430229563251</v>
      </c>
      <c r="BE137" s="12">
        <f>BE15*Control!$F$23</f>
        <v>190.805062059974</v>
      </c>
      <c r="BF137" s="12">
        <f>SUM(BB137:BE137)</f>
        <v>710.212959854461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hidden="1" outlineLevel="1">
      <c r="C138" s="57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hidden="1" outlineLevel="1">
      <c r="C139" s="50" t="inlineStr">
        <is>
          <t>Resultado Não Recorrente</t>
        </is>
      </c>
      <c r="D139" s="11" t="n"/>
      <c r="E139" s="11" t="n"/>
      <c r="F139" s="11" t="n"/>
      <c r="G139" s="11" t="n"/>
      <c r="H139" s="12" t="n"/>
      <c r="I139" s="11" t="n"/>
      <c r="J139" s="11" t="n"/>
      <c r="K139" s="11" t="n"/>
      <c r="L139" s="11" t="n"/>
      <c r="M139" s="12" t="n"/>
      <c r="N139" s="11" t="n"/>
      <c r="O139" s="11" t="n"/>
      <c r="P139" s="11" t="n"/>
      <c r="Q139" s="11" t="n"/>
      <c r="R139" s="12" t="n"/>
      <c r="S139" s="11" t="n"/>
      <c r="T139" s="11" t="n"/>
      <c r="U139" s="11" t="n"/>
      <c r="V139" s="11" t="n"/>
      <c r="W139" s="12" t="n"/>
      <c r="X139" s="11" t="n"/>
      <c r="Y139" s="11" t="n"/>
      <c r="Z139" s="11" t="n"/>
      <c r="AA139" s="11" t="n"/>
      <c r="AB139" s="12" t="n"/>
      <c r="AC139" s="11" t="n"/>
      <c r="AD139" s="11" t="n"/>
      <c r="AE139" s="11" t="n"/>
      <c r="AF139" s="11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hidden="1" outlineLevel="1">
      <c r="C140" s="50" t="inlineStr">
        <is>
          <t>Plano de Opção de Compra de Ações</t>
        </is>
      </c>
      <c r="D140" s="11" t="n"/>
      <c r="E140" s="11" t="n"/>
      <c r="F140" s="11" t="n"/>
      <c r="G140" s="11" t="n"/>
      <c r="H140" s="12" t="n"/>
      <c r="I140" s="11" t="n"/>
      <c r="J140" s="11" t="n"/>
      <c r="K140" s="11" t="n"/>
      <c r="L140" s="11" t="n"/>
      <c r="M140" s="12" t="n"/>
      <c r="N140" s="11" t="n"/>
      <c r="O140" s="11" t="n"/>
      <c r="P140" s="11" t="n"/>
      <c r="Q140" s="11" t="n"/>
      <c r="R140" s="12" t="n"/>
      <c r="S140" s="11" t="n"/>
      <c r="T140" s="11" t="n"/>
      <c r="U140" s="11" t="n"/>
      <c r="V140" s="11" t="n"/>
      <c r="W140" s="12" t="n"/>
      <c r="X140" s="11" t="n"/>
      <c r="Y140" s="11" t="n"/>
      <c r="Z140" s="11" t="n"/>
      <c r="AA140" s="11" t="n"/>
      <c r="AB140" s="12" t="n"/>
      <c r="AC140" s="11" t="n"/>
      <c r="AD140" s="11" t="n"/>
      <c r="AE140" s="11" t="n"/>
      <c r="AF140" s="11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50" t="inlineStr">
        <is>
          <t>Baixa Imobilizado</t>
        </is>
      </c>
      <c r="D141" s="11" t="n"/>
      <c r="E141" s="11" t="n"/>
      <c r="F141" s="11" t="n"/>
      <c r="G141" s="11" t="n"/>
      <c r="H141" s="12" t="n"/>
      <c r="I141" s="11" t="n"/>
      <c r="J141" s="11" t="n"/>
      <c r="K141" s="11" t="n"/>
      <c r="L141" s="11" t="n"/>
      <c r="M141" s="12" t="n"/>
      <c r="N141" s="11" t="n"/>
      <c r="O141" s="11" t="n"/>
      <c r="P141" s="11" t="n"/>
      <c r="Q141" s="11" t="n"/>
      <c r="R141" s="12" t="n"/>
      <c r="S141" s="11" t="n"/>
      <c r="T141" s="11" t="n"/>
      <c r="U141" s="11" t="n"/>
      <c r="V141" s="11" t="n"/>
      <c r="W141" s="12" t="n"/>
      <c r="X141" s="11" t="n"/>
      <c r="Y141" s="11" t="n"/>
      <c r="Z141" s="11" t="n"/>
      <c r="AA141" s="11" t="n"/>
      <c r="AB141" s="12" t="n"/>
      <c r="AC141" s="11" t="n"/>
      <c r="AD141" s="11" t="n"/>
      <c r="AE141" s="11" t="n"/>
      <c r="AF141" s="11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7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collapsed="1" customFormat="1" s="32">
      <c r="A144" s="30" t="n"/>
      <c r="B144" s="3" t="n"/>
      <c r="C144" s="33" t="inlineStr">
        <is>
          <t>Pretax Income - EBT</t>
        </is>
      </c>
      <c r="D144" s="35" t="n"/>
      <c r="E144" s="35" t="n"/>
      <c r="F144" s="35" t="n"/>
      <c r="G144" s="35" t="n"/>
      <c r="H144" s="35" t="n"/>
      <c r="I144" s="35">
        <f>SUM(I87,I88,I137)</f>
        <v>57.809</v>
      </c>
      <c r="J144" s="35">
        <f>SUM(J87,J88,J137)</f>
        <v>83.639</v>
      </c>
      <c r="K144" s="35">
        <f>SUM(K87,K88,K137)</f>
        <v>85.92184065</v>
      </c>
      <c r="L144" s="35">
        <f>SUM(L87,L88,L137)</f>
        <v>123.344</v>
      </c>
      <c r="M144" s="35">
        <f>SUM(I144:L144)</f>
        <v>350.71384065</v>
      </c>
      <c r="N144" s="35">
        <f>SUM(N87,N88,N137)</f>
        <v>75.299</v>
      </c>
      <c r="O144" s="35">
        <f>SUM(O87,O88,O137)</f>
        <v>107.528</v>
      </c>
      <c r="P144" s="35">
        <f>SUM(P87,P88,P137)</f>
        <v>109.429</v>
      </c>
      <c r="Q144" s="35">
        <f>SUM(Q87,Q88,Q137)</f>
        <v>112.369</v>
      </c>
      <c r="R144" s="35">
        <f>SUM(N144:Q144)</f>
        <v>404.625</v>
      </c>
      <c r="S144" s="35">
        <f>SUM(S87,S88,S137)</f>
        <v>109.502</v>
      </c>
      <c r="T144" s="35">
        <f>SUM(T87,T88,T137)</f>
        <v>141.569</v>
      </c>
      <c r="U144" s="35">
        <f>SUM(U87,U88,U137)</f>
        <v>132.314</v>
      </c>
      <c r="V144" s="35">
        <f>SUM(V87,V88,V137)</f>
        <v>182.997</v>
      </c>
      <c r="W144" s="35">
        <f>SUM(S144:V144)</f>
        <v>566.382</v>
      </c>
      <c r="X144" s="35">
        <f>SUM(X87,X88,X137)</f>
        <v>172.957</v>
      </c>
      <c r="Y144" s="35">
        <f>SUM(Y87,Y88,Y137)</f>
        <v>193.38326339</v>
      </c>
      <c r="Z144" s="35">
        <f>SUM(Z87,Z88,Z137)</f>
        <v>200.2</v>
      </c>
      <c r="AA144" s="35">
        <f>SUM(AA87,AA88,AA137)</f>
        <v>213.516</v>
      </c>
      <c r="AB144" s="35">
        <f>SUM(X144:AA144)</f>
        <v>780.05626339</v>
      </c>
      <c r="AC144" s="35">
        <f>SUM(AC87,AC88,AC137)</f>
        <v>263.979</v>
      </c>
      <c r="AD144" s="35">
        <f>SUM(AD87,AD88,AD137)</f>
        <v>297.50526556</v>
      </c>
      <c r="AE144" s="35">
        <f>SUM(AE87,AE88,AE137)</f>
        <v>317.499</v>
      </c>
      <c r="AF144" s="35">
        <f>SUM(AF87,AF88,AF137)</f>
        <v>333.873</v>
      </c>
      <c r="AG144" s="35">
        <f>SUM(AC144:AF144)</f>
        <v>1212.85626556</v>
      </c>
      <c r="AH144" s="35">
        <f>SUM(AH87,AH88,AH137)</f>
        <v>390.154</v>
      </c>
      <c r="AI144" s="35">
        <f>SUM(AI87,AI88,AI137)</f>
        <v>355.291</v>
      </c>
      <c r="AJ144" s="35">
        <f>SUM(AJ87,AJ88,AJ137:AJ142)</f>
        <v>506.484874509869</v>
      </c>
      <c r="AK144" s="35">
        <f>SUM(AK87,AK88,AK137:AK142)</f>
        <v>507.481811763478</v>
      </c>
      <c r="AL144" s="35">
        <f>SUM(AH144:AK144)</f>
        <v>1759.41168627335</v>
      </c>
      <c r="AM144" s="35">
        <f>SUM(AM87,AM88,AM137:AM142)</f>
        <v>576.418825382026</v>
      </c>
      <c r="AN144" s="35">
        <f>SUM(AN87,AN88,AN137:AN142)</f>
        <v>604.308404205397</v>
      </c>
      <c r="AO144" s="35">
        <f>SUM(AO87,AO88,AO137:AO142)</f>
        <v>683.469363105433</v>
      </c>
      <c r="AP144" s="35">
        <f>SUM(AP87,AP88,AP137:AP142)</f>
        <v>684.81466699124</v>
      </c>
      <c r="AQ144" s="35">
        <f>SUM(AM144:AP144)</f>
        <v>2549.0112596841</v>
      </c>
      <c r="AR144" s="35">
        <f>SUM(AR87,AR88,AR137:AR142)</f>
        <v>774.958720659672</v>
      </c>
      <c r="AS144" s="35">
        <f>SUM(AS87,AS88,AS137:AS142)</f>
        <v>812.454498682487</v>
      </c>
      <c r="AT144" s="35">
        <f>SUM(AT87,AT88,AT137:AT142)</f>
        <v>918.881410389798</v>
      </c>
      <c r="AU144" s="35">
        <f>SUM(AU87,AU88,AU137:AU142)</f>
        <v>920.69008653349</v>
      </c>
      <c r="AV144" s="35">
        <f>SUM(AR144:AU144)</f>
        <v>3426.98471626545</v>
      </c>
      <c r="AW144" s="35">
        <f>SUM(AW87,AW88,AW137:AW142)</f>
        <v>1038.00828217662</v>
      </c>
      <c r="AX144" s="35">
        <f>SUM(AX87,AX88,AX137:AX142)</f>
        <v>1088.23150968119</v>
      </c>
      <c r="AY144" s="35">
        <f>SUM(AY87,AY88,AY137:AY142)</f>
        <v>1230.78363904445</v>
      </c>
      <c r="AZ144" s="35">
        <f>SUM(AZ87,AZ88,AZ137:AZ142)</f>
        <v>1233.20624655486</v>
      </c>
      <c r="BA144" s="35">
        <f>SUM(AW144:AZ144)</f>
        <v>4590.22967745713</v>
      </c>
      <c r="BB144" s="35">
        <f>SUM(BB87,BB88,BB137:BB142)</f>
        <v>1385.15652175843</v>
      </c>
      <c r="BC144" s="35">
        <f>SUM(BC87,BC88,BC137:BC142)</f>
        <v>1452.17624820592</v>
      </c>
      <c r="BD144" s="35">
        <f>SUM(BD87,BD88,BD137:BD142)</f>
        <v>1642.40306534078</v>
      </c>
      <c r="BE144" s="35">
        <f>SUM(BE87,BE88,BE137:BE142)</f>
        <v>1645.63588212107</v>
      </c>
      <c r="BF144" s="35">
        <f>SUM(BB144:BE144)</f>
        <v>6125.3717174262</v>
      </c>
      <c r="BG144" s="35" t="n"/>
      <c r="BH144" s="35" t="n"/>
      <c r="BI144" s="35" t="n"/>
      <c r="BJ144" s="35" t="n"/>
      <c r="BK144" s="35" t="n"/>
      <c r="BL144" s="35" t="n"/>
      <c r="BM144" s="35" t="n"/>
      <c r="BN144" s="35" t="n"/>
      <c r="BO144" s="35" t="n"/>
      <c r="BP144" s="35" t="n"/>
      <c r="BQ144" s="35" t="n"/>
      <c r="BR144" s="35" t="n"/>
      <c r="BS144" s="35" t="n"/>
      <c r="BT144" s="35" t="n"/>
      <c r="BU144" s="35" t="n"/>
      <c r="BV144" s="35" t="n"/>
      <c r="BW144" s="35" t="n"/>
      <c r="BX144" s="35" t="n"/>
      <c r="BY144" s="35" t="n"/>
      <c r="BZ144" s="35" t="n"/>
      <c r="CA144" s="35" t="n"/>
      <c r="CB144" s="35" t="n"/>
      <c r="CC144" s="35" t="n"/>
      <c r="CD144" s="35" t="n"/>
      <c r="CE144" s="35" t="n"/>
      <c r="CF144" s="35" t="n"/>
      <c r="CG144" s="35" t="n"/>
      <c r="CH144" s="35" t="n"/>
      <c r="CI144" s="35" t="n"/>
      <c r="CJ144" s="35" t="n"/>
      <c r="CK144" s="35" t="n"/>
      <c r="CL144" s="35" t="n"/>
      <c r="CM144" s="35" t="n"/>
      <c r="CN144" s="35" t="n"/>
      <c r="CO144" s="35" t="n"/>
      <c r="CP144" s="35" t="n"/>
      <c r="CQ144" s="35" t="n"/>
      <c r="CR144" s="35" t="n"/>
      <c r="CS144" s="35" t="n"/>
      <c r="CT144" s="35" t="n"/>
      <c r="CU144" s="35" t="n"/>
      <c r="CV144" s="35" t="n"/>
      <c r="CW144" s="35" t="n"/>
      <c r="CX144" s="35" t="n"/>
      <c r="CY144" s="35" t="n"/>
    </row>
    <row r="145">
      <c r="C145" s="14" t="inlineStr">
        <is>
          <t>Taxes</t>
        </is>
      </c>
      <c r="D145" s="46" t="n"/>
      <c r="E145" s="46" t="n"/>
      <c r="F145" s="46" t="n"/>
      <c r="G145" s="46" t="n"/>
      <c r="H145" s="12" t="n"/>
      <c r="I145" s="46">
        <f>'Inputs (2)'!D10</f>
        <v>-6.879</v>
      </c>
      <c r="J145" s="46">
        <f>'Inputs (2)'!E10</f>
        <v>-8.414</v>
      </c>
      <c r="K145" s="46">
        <f>'Inputs (2)'!F10</f>
        <v>-10.332</v>
      </c>
      <c r="L145" s="46">
        <f>'Inputs (2)'!G10</f>
        <v>-10.71</v>
      </c>
      <c r="M145" s="12">
        <f>'Inputs (2)'!H10</f>
        <v>-36.335</v>
      </c>
      <c r="N145" s="46">
        <f>'Inputs (2)'!I10</f>
        <v>-11.637</v>
      </c>
      <c r="O145" s="46">
        <f>'Inputs (2)'!J10</f>
        <v>-14.448</v>
      </c>
      <c r="P145" s="46">
        <f>'Inputs (2)'!K10</f>
        <v>-15.534</v>
      </c>
      <c r="Q145" s="46">
        <f>'Inputs (2)'!L10</f>
        <v>-14.945</v>
      </c>
      <c r="R145" s="12">
        <f>'Inputs (2)'!M10</f>
        <v>-56.564</v>
      </c>
      <c r="S145" s="46">
        <f>'Inputs (2)'!N10</f>
        <v>-15.336</v>
      </c>
      <c r="T145" s="46">
        <f>'Inputs (2)'!O10</f>
        <v>-18.195</v>
      </c>
      <c r="U145" s="46">
        <f>'Inputs (2)'!P10</f>
        <v>-19.128</v>
      </c>
      <c r="V145" s="46">
        <f>'Inputs (2)'!Q10</f>
        <v>-19.759</v>
      </c>
      <c r="W145" s="12">
        <f>'Inputs (2)'!R10</f>
        <v>-72.418</v>
      </c>
      <c r="X145" s="46">
        <f>'Inputs (2)'!S10</f>
        <v>-20.186</v>
      </c>
      <c r="Y145" s="46">
        <f>'Inputs (2)'!T10</f>
        <v>-20.908</v>
      </c>
      <c r="Z145" s="46">
        <f>'Inputs (2)'!U10</f>
        <v>-23.002</v>
      </c>
      <c r="AA145" s="46">
        <f>'Inputs (2)'!V10</f>
        <v>-25.688</v>
      </c>
      <c r="AB145" s="12">
        <f>'Inputs (2)'!W10</f>
        <v>-89.784</v>
      </c>
      <c r="AC145" s="46">
        <f>'Inputs (2)'!X10</f>
        <v>-31.003</v>
      </c>
      <c r="AD145" s="46">
        <f>'Inputs (2)'!Y10</f>
        <v>-31.439</v>
      </c>
      <c r="AE145" s="46">
        <f>'Inputs (2)'!Z10</f>
        <v>-36.763</v>
      </c>
      <c r="AF145" s="46">
        <f>'Inputs (2)'!AA10</f>
        <v>-39.821</v>
      </c>
      <c r="AG145" s="12">
        <f>'Inputs (2)'!AB10</f>
        <v>-139.026</v>
      </c>
      <c r="AH145" s="12">
        <f>'Inputs (2)'!AC10</f>
        <v>-41.25</v>
      </c>
      <c r="AI145" s="12">
        <f>'Inputs (2)'!AD10</f>
        <v>-45.114</v>
      </c>
      <c r="AJ145" s="12">
        <f>-AJ144*AJ146</f>
        <v>-58.320443295389</v>
      </c>
      <c r="AK145" s="12">
        <f>-AK144*AK146</f>
        <v>-58.4352380809677</v>
      </c>
      <c r="AL145" s="12">
        <f>SUM(AH145:AK145)</f>
        <v>-203.119681376357</v>
      </c>
      <c r="AM145" s="12">
        <f>-AM144*AM146</f>
        <v>-66.3731596182784</v>
      </c>
      <c r="AN145" s="12">
        <f>-AN144*AN146</f>
        <v>-69.5845735857235</v>
      </c>
      <c r="AO145" s="12">
        <f>-AO144*AO146</f>
        <v>-78.6997563820624</v>
      </c>
      <c r="AP145" s="12">
        <f>-AP144*AP146</f>
        <v>-78.8546646980574</v>
      </c>
      <c r="AQ145" s="12">
        <f>SUM(AM145:AP145)</f>
        <v>-293.512154284122</v>
      </c>
      <c r="AR145" s="12">
        <f>-AR144*AR146</f>
        <v>-89.2345228833067</v>
      </c>
      <c r="AS145" s="12">
        <f>-AS144*AS146</f>
        <v>-93.5520662218166</v>
      </c>
      <c r="AT145" s="12">
        <f>-AT144*AT146</f>
        <v>-105.806854038207</v>
      </c>
      <c r="AU145" s="12">
        <f>-AU144*AU146</f>
        <v>-106.0151184895</v>
      </c>
      <c r="AV145" s="12">
        <f>SUM(AR145:AU145)</f>
        <v>-394.60856163283</v>
      </c>
      <c r="AW145" s="12">
        <f>-AW144*AW146</f>
        <v>-119.52400991127</v>
      </c>
      <c r="AX145" s="12">
        <f>-AX144*AX146</f>
        <v>-125.307086641105</v>
      </c>
      <c r="AY145" s="12">
        <f>-AY144*AY146</f>
        <v>-141.721601260545</v>
      </c>
      <c r="AZ145" s="12">
        <f>-AZ144*AZ146</f>
        <v>-142.000558345047</v>
      </c>
      <c r="BA145" s="12">
        <f>SUM(AW145:AZ145)</f>
        <v>-528.553256157967</v>
      </c>
      <c r="BB145" s="12">
        <f>-BB144*BB146</f>
        <v>-159.497245521153</v>
      </c>
      <c r="BC145" s="12">
        <f>-BC144*BC146</f>
        <v>-167.214396323999</v>
      </c>
      <c r="BD145" s="12">
        <f>-BD144*BD146</f>
        <v>-189.11852981409</v>
      </c>
      <c r="BE145" s="12">
        <f>-BE144*BE146</f>
        <v>-189.490780432436</v>
      </c>
      <c r="BF145" s="12">
        <f>SUM(BB145:BE145)</f>
        <v>-705.320952091678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 hidden="1" outlineLevel="1">
      <c r="C146" s="57" t="inlineStr">
        <is>
          <t>% ETR</t>
        </is>
      </c>
      <c r="D146" s="53" t="n"/>
      <c r="E146" s="53" t="n"/>
      <c r="F146" s="53" t="n"/>
      <c r="G146" s="53" t="n"/>
      <c r="H146" s="53" t="n"/>
      <c r="I146" s="53">
        <f>IFERROR(-I145/I144,"")</f>
        <v>0.118995312148627</v>
      </c>
      <c r="J146" s="53">
        <f>IFERROR(-J145/J144,"")</f>
        <v>0.100599002857519</v>
      </c>
      <c r="K146" s="53">
        <f>IFERROR(-K145/K144,"")</f>
        <v>0.120248820577379</v>
      </c>
      <c r="L146" s="53">
        <f>IFERROR(-L145/L144,"")</f>
        <v>0.0868303281878324</v>
      </c>
      <c r="M146" s="53">
        <f>IFERROR(-M145/M144,"")</f>
        <v>0.103602982798335</v>
      </c>
      <c r="N146" s="53">
        <f>IFERROR(-N145/N144,"")</f>
        <v>0.154543885044954</v>
      </c>
      <c r="O146" s="53">
        <f>IFERROR(-O145/O144,"")</f>
        <v>0.134365002603973</v>
      </c>
      <c r="P146" s="53">
        <f>IFERROR(-P145/P144,"")</f>
        <v>0.141955057617268</v>
      </c>
      <c r="Q146" s="53">
        <f>IFERROR(-Q145/Q144,"")</f>
        <v>0.132999314757629</v>
      </c>
      <c r="R146" s="53">
        <f>IFERROR(-R145/R144,"")</f>
        <v>0.139793636082793</v>
      </c>
      <c r="S146" s="53">
        <f>IFERROR(-S145/S144,"")</f>
        <v>0.140052236488831</v>
      </c>
      <c r="T146" s="53">
        <f>IFERROR(-T145/T144,"")</f>
        <v>0.128523900006357</v>
      </c>
      <c r="U146" s="53">
        <f>IFERROR(-U145/U144,"")</f>
        <v>0.14456520096135</v>
      </c>
      <c r="V146" s="53">
        <f>IFERROR(-V145/V144,"")</f>
        <v>0.107974447668541</v>
      </c>
      <c r="W146" s="53">
        <f>IFERROR(-W145/W144,"")</f>
        <v>0.127860701787839</v>
      </c>
      <c r="X146" s="53">
        <f>IFERROR(-X145/X144,"")</f>
        <v>0.116711090039721</v>
      </c>
      <c r="Y146" s="53">
        <f>IFERROR(-Y145/Y144,"")</f>
        <v>0.108116905431647</v>
      </c>
      <c r="Z146" s="53">
        <f>IFERROR(-Z145/Z144,"")</f>
        <v>0.114895104895105</v>
      </c>
      <c r="AA146" s="53">
        <f>IFERROR(-AA145/AA144,"")</f>
        <v>0.120309485003466</v>
      </c>
      <c r="AB146" s="53">
        <f>IFERROR(-AB145/AB144,"")</f>
        <v>0.115099389895048</v>
      </c>
      <c r="AC146" s="53">
        <f>IFERROR(-AC145/AC144,"")</f>
        <v>0.1174449482724</v>
      </c>
      <c r="AD146" s="53">
        <f>IFERROR(-AD145/AD144,"")</f>
        <v>0.105675440536562</v>
      </c>
      <c r="AE146" s="53">
        <f>IFERROR(-AE145/AE144,"")</f>
        <v>0.115789341068791</v>
      </c>
      <c r="AF146" s="41">
        <f>IFERROR(-AF145/AF144,"")</f>
        <v>0.119269902028616</v>
      </c>
      <c r="AG146" s="53">
        <f>IFERROR(-AG145/AG144,"")</f>
        <v>0.11462693803689</v>
      </c>
      <c r="AH146" s="41">
        <f>IFERROR(-AH145/AH144,"")</f>
        <v>0.105727481968659</v>
      </c>
      <c r="AI146" s="41">
        <f>IFERROR(-AI145/AI144,"")</f>
        <v>0.12697760427368</v>
      </c>
      <c r="AJ146" s="41">
        <f>Control!$B$22</f>
        <v>0.115147453024785</v>
      </c>
      <c r="AK146" s="41">
        <f>Control!$B$22</f>
        <v>0.115147453024785</v>
      </c>
      <c r="AL146" s="53">
        <f>IFERROR(-AL145/AL144,"")</f>
        <v>0.115447500412248</v>
      </c>
      <c r="AM146" s="41">
        <f>Control!$C$22</f>
        <v>0.115147453024785</v>
      </c>
      <c r="AN146" s="41">
        <f>Control!$C$22</f>
        <v>0.115147453024785</v>
      </c>
      <c r="AO146" s="41">
        <f>Control!$C$22</f>
        <v>0.115147453024785</v>
      </c>
      <c r="AP146" s="41">
        <f>Control!$C$22</f>
        <v>0.115147453024785</v>
      </c>
      <c r="AQ146" s="53">
        <f>IFERROR(-AQ145/AQ144,"")</f>
        <v>0.115147453024785</v>
      </c>
      <c r="AR146" s="41">
        <f>Control!$D$22</f>
        <v>0.115147453024785</v>
      </c>
      <c r="AS146" s="41">
        <f>Control!$D$22</f>
        <v>0.115147453024785</v>
      </c>
      <c r="AT146" s="41">
        <f>Control!$D$22</f>
        <v>0.115147453024785</v>
      </c>
      <c r="AU146" s="41">
        <f>Control!$D$22</f>
        <v>0.115147453024785</v>
      </c>
      <c r="AV146" s="53">
        <f>IFERROR(-AV145/AV144,"")</f>
        <v>0.115147453024785</v>
      </c>
      <c r="AW146" s="41">
        <f>Control!$E$22</f>
        <v>0.115147453024785</v>
      </c>
      <c r="AX146" s="41">
        <f>Control!$E$22</f>
        <v>0.115147453024785</v>
      </c>
      <c r="AY146" s="41">
        <f>Control!$E$22</f>
        <v>0.115147453024785</v>
      </c>
      <c r="AZ146" s="41">
        <f>Control!$E$22</f>
        <v>0.115147453024785</v>
      </c>
      <c r="BA146" s="53">
        <f>IFERROR(-BA145/BA144,"")</f>
        <v>0.115147453024785</v>
      </c>
      <c r="BB146" s="41">
        <f>Control!$F$22</f>
        <v>0.115147453024785</v>
      </c>
      <c r="BC146" s="41">
        <f>Control!$F$22</f>
        <v>0.115147453024785</v>
      </c>
      <c r="BD146" s="41">
        <f>Control!$F$22</f>
        <v>0.115147453024785</v>
      </c>
      <c r="BE146" s="41">
        <f>Control!$F$22</f>
        <v>0.115147453024785</v>
      </c>
      <c r="BF146" s="53">
        <f>IFERROR(-BF145/BF144,"")</f>
        <v>0.115147453024785</v>
      </c>
      <c r="BG146" s="41" t="n"/>
      <c r="BH146" s="41" t="n"/>
      <c r="BI146" s="41" t="n"/>
      <c r="BJ146" s="41" t="n"/>
      <c r="BK146" s="53" t="n"/>
      <c r="BL146" s="41" t="n"/>
      <c r="BM146" s="41" t="n"/>
      <c r="BN146" s="41" t="n"/>
      <c r="BO146" s="41" t="n"/>
      <c r="BP146" s="53" t="n"/>
      <c r="BQ146" s="41" t="n"/>
      <c r="BR146" s="41" t="n"/>
      <c r="BS146" s="41" t="n"/>
      <c r="BT146" s="41" t="n"/>
      <c r="BU146" s="53" t="n"/>
      <c r="BV146" s="41" t="n"/>
      <c r="BW146" s="41" t="n"/>
      <c r="BX146" s="41" t="n"/>
      <c r="BY146" s="41" t="n"/>
      <c r="BZ146" s="53" t="n"/>
      <c r="CA146" s="41" t="n"/>
      <c r="CB146" s="41" t="n"/>
      <c r="CC146" s="41" t="n"/>
      <c r="CD146" s="41" t="n"/>
      <c r="CE146" s="53" t="n"/>
      <c r="CF146" s="41" t="n"/>
      <c r="CG146" s="41" t="n"/>
      <c r="CH146" s="41" t="n"/>
      <c r="CI146" s="41" t="n"/>
      <c r="CJ146" s="53" t="n"/>
      <c r="CK146" s="41" t="n"/>
      <c r="CL146" s="41" t="n"/>
      <c r="CM146" s="41" t="n"/>
      <c r="CN146" s="41" t="n"/>
      <c r="CO146" s="53" t="n"/>
      <c r="CP146" s="41" t="n"/>
      <c r="CQ146" s="41" t="n"/>
      <c r="CR146" s="41" t="n"/>
      <c r="CS146" s="41" t="n"/>
      <c r="CT146" s="53" t="n"/>
      <c r="CU146" s="41" t="n"/>
      <c r="CV146" s="41" t="n"/>
      <c r="CW146" s="41" t="n"/>
      <c r="CX146" s="41" t="n"/>
      <c r="CY146" s="53" t="n"/>
    </row>
    <row r="147" hidden="1" outlineLevel="1">
      <c r="C147" s="57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collapsed="1">
      <c r="C149" s="14" t="inlineStr">
        <is>
          <t>Equity in Income of Affiliates, after tax (enter as +)</t>
        </is>
      </c>
      <c r="D149" s="46" t="n"/>
      <c r="E149" s="46" t="n"/>
      <c r="F149" s="46" t="n"/>
      <c r="G149" s="46" t="n"/>
      <c r="H149" s="12" t="n"/>
      <c r="I149" s="46">
        <f>'Inputs (2)'!D11</f>
        <v>1.138</v>
      </c>
      <c r="J149" s="46">
        <f>'Inputs (2)'!E11</f>
        <v>1.726</v>
      </c>
      <c r="K149" s="46">
        <f>'Inputs (2)'!F11</f>
        <v>-0.95</v>
      </c>
      <c r="L149" s="46">
        <f>'Inputs (2)'!G11</f>
        <v>-0.991</v>
      </c>
      <c r="M149" s="12">
        <f>'Inputs (2)'!H11</f>
        <v>0.923</v>
      </c>
      <c r="N149" s="46">
        <f>'Inputs (2)'!I11</f>
        <v>-0.311</v>
      </c>
      <c r="O149" s="46">
        <f>'Inputs (2)'!J11</f>
        <v>-0.141</v>
      </c>
      <c r="P149" s="46">
        <f>'Inputs (2)'!K11</f>
        <v>0.976</v>
      </c>
      <c r="Q149" s="46">
        <f>'Inputs (2)'!L11</f>
        <v>-0.145</v>
      </c>
      <c r="R149" s="12">
        <f>'Inputs (2)'!M11</f>
        <v>0.379</v>
      </c>
      <c r="S149" s="46">
        <f>'Inputs (2)'!N11</f>
        <v>-0.11</v>
      </c>
      <c r="T149" s="46">
        <f>'Inputs (2)'!O11</f>
        <v>0.696</v>
      </c>
      <c r="U149" s="46">
        <f>'Inputs (2)'!P11</f>
        <v>-0.295</v>
      </c>
      <c r="V149" s="46">
        <f>'Inputs (2)'!Q11</f>
        <v>1.356</v>
      </c>
      <c r="W149" s="12">
        <f>'Inputs (2)'!R11</f>
        <v>1.647</v>
      </c>
      <c r="X149" s="46">
        <f>'Inputs (2)'!S11</f>
        <v>1.299</v>
      </c>
      <c r="Y149" s="46">
        <f>'Inputs (2)'!T11</f>
        <v>2.807</v>
      </c>
      <c r="Z149" s="46">
        <f>'Inputs (2)'!U11</f>
        <v>3.389</v>
      </c>
      <c r="AA149" s="46">
        <f>'Inputs (2)'!V11</f>
        <v>1.044</v>
      </c>
      <c r="AB149" s="12">
        <f>'Inputs (2)'!W11</f>
        <v>8.539</v>
      </c>
      <c r="AC149" s="46">
        <f>'Inputs (2)'!X11</f>
        <v>0.688</v>
      </c>
      <c r="AD149" s="46">
        <f>'Inputs (2)'!Y11</f>
        <v>1.0910762</v>
      </c>
      <c r="AE149" s="46">
        <f>'Inputs (2)'!Z11</f>
        <v>2.474</v>
      </c>
      <c r="AF149" s="46">
        <f>'Inputs (2)'!AA11</f>
        <v>3.137</v>
      </c>
      <c r="AG149" s="12">
        <f>'Inputs (2)'!AB11</f>
        <v>7.3900762</v>
      </c>
      <c r="AH149" s="12">
        <f>'Inputs (2)'!AC11</f>
        <v>2.282</v>
      </c>
      <c r="AI149" s="12">
        <f>'Inputs (2)'!AD11</f>
        <v>1.014</v>
      </c>
      <c r="AJ149" s="12">
        <f>0</f>
        <v>0</v>
      </c>
      <c r="AK149" s="12">
        <f>0</f>
        <v>0</v>
      </c>
      <c r="AL149" s="12">
        <f>SUM(AH149:AK149)</f>
        <v>3.296</v>
      </c>
      <c r="AM149" s="12">
        <f>0</f>
        <v>0</v>
      </c>
      <c r="AN149" s="12">
        <f>0</f>
        <v>0</v>
      </c>
      <c r="AO149" s="12">
        <f>0</f>
        <v>0</v>
      </c>
      <c r="AP149" s="12">
        <f>0</f>
        <v>0</v>
      </c>
      <c r="AQ149" s="12">
        <f>SUM(AM149:AP149)</f>
        <v>0</v>
      </c>
      <c r="AR149" s="12">
        <f>0</f>
        <v>0</v>
      </c>
      <c r="AS149" s="12">
        <f>0</f>
        <v>0</v>
      </c>
      <c r="AT149" s="12">
        <f>0</f>
        <v>0</v>
      </c>
      <c r="AU149" s="12">
        <f>0</f>
        <v>0</v>
      </c>
      <c r="AV149" s="12">
        <f>SUM(AR149:AU149)</f>
        <v>0</v>
      </c>
      <c r="AW149" s="12">
        <f>0</f>
        <v>0</v>
      </c>
      <c r="AX149" s="12">
        <f>0</f>
        <v>0</v>
      </c>
      <c r="AY149" s="12">
        <f>0</f>
        <v>0</v>
      </c>
      <c r="AZ149" s="12">
        <f>0</f>
        <v>0</v>
      </c>
      <c r="BA149" s="12">
        <f>SUM(AW149:AZ149)</f>
        <v>0</v>
      </c>
      <c r="BB149" s="12">
        <f>0</f>
        <v>0</v>
      </c>
      <c r="BC149" s="12">
        <f>0</f>
        <v>0</v>
      </c>
      <c r="BD149" s="12">
        <f>0</f>
        <v>0</v>
      </c>
      <c r="BE149" s="12">
        <f>0</f>
        <v>0</v>
      </c>
      <c r="BF149" s="12">
        <f>SUM(BB149:BE149)</f>
        <v>0</v>
      </c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>
      <c r="C150" s="14" t="inlineStr">
        <is>
          <t>Minority Interest Expense, after tax (enter as - )</t>
        </is>
      </c>
      <c r="D150" s="46" t="n"/>
      <c r="E150" s="46" t="n"/>
      <c r="F150" s="46" t="n"/>
      <c r="G150" s="46" t="n"/>
      <c r="H150" s="12" t="n"/>
      <c r="I150" s="46">
        <f>'Inputs (2)'!D12</f>
        <v>-2.075</v>
      </c>
      <c r="J150" s="46">
        <f>'Inputs (2)'!E12</f>
        <v>1.652</v>
      </c>
      <c r="K150" s="46">
        <f>'Inputs (2)'!F12</f>
        <v>-7.241725888</v>
      </c>
      <c r="L150" s="46">
        <f>'Inputs (2)'!G12</f>
        <v>-7.891</v>
      </c>
      <c r="M150" s="12">
        <f>'Inputs (2)'!H12</f>
        <v>-15.555725888</v>
      </c>
      <c r="N150" s="46">
        <f>'Inputs (2)'!I12</f>
        <v>-1.448</v>
      </c>
      <c r="O150" s="46">
        <f>'Inputs (2)'!J12</f>
        <v>-6.614</v>
      </c>
      <c r="P150" s="46">
        <f>'Inputs (2)'!K12</f>
        <v>-4.999</v>
      </c>
      <c r="Q150" s="46">
        <f>'Inputs (2)'!L12</f>
        <v>-5.494</v>
      </c>
      <c r="R150" s="12">
        <f>'Inputs (2)'!M12</f>
        <v>-18.555</v>
      </c>
      <c r="S150" s="46">
        <f>'Inputs (2)'!N12</f>
        <v>-2.207</v>
      </c>
      <c r="T150" s="46">
        <f>'Inputs (2)'!O12</f>
        <v>-2.697</v>
      </c>
      <c r="U150" s="46">
        <f>'Inputs (2)'!P12</f>
        <v>-4.671</v>
      </c>
      <c r="V150" s="46">
        <f>'Inputs (2)'!Q12</f>
        <v>-4.271</v>
      </c>
      <c r="W150" s="12">
        <f>'Inputs (2)'!R12</f>
        <v>-13.846</v>
      </c>
      <c r="X150" s="46">
        <f>'Inputs (2)'!S12</f>
        <v>-12.829</v>
      </c>
      <c r="Y150" s="46">
        <f>'Inputs (2)'!T12</f>
        <v>-3.035</v>
      </c>
      <c r="Z150" s="46">
        <f>'Inputs (2)'!U12</f>
        <v>-10.017</v>
      </c>
      <c r="AA150" s="46">
        <f>'Inputs (2)'!V12</f>
        <v>-23.088</v>
      </c>
      <c r="AB150" s="12">
        <f>'Inputs (2)'!W12</f>
        <v>-48.969</v>
      </c>
      <c r="AC150" s="46">
        <f>'Inputs (2)'!X12</f>
        <v>-20.189</v>
      </c>
      <c r="AD150" s="46">
        <f>'Inputs (2)'!Y12</f>
        <v>-30.4264</v>
      </c>
      <c r="AE150" s="46">
        <f>'Inputs (2)'!Z12</f>
        <v>-27.957</v>
      </c>
      <c r="AF150" s="46">
        <f>'Inputs (2)'!AA12</f>
        <v>-27.112</v>
      </c>
      <c r="AG150" s="12">
        <f>'Inputs (2)'!AB12</f>
        <v>-105.6844</v>
      </c>
      <c r="AH150" s="12">
        <f>'Inputs (2)'!AC12</f>
        <v>-48.319</v>
      </c>
      <c r="AI150" s="12">
        <f>'Inputs (2)'!AD12</f>
        <v>-40.74</v>
      </c>
      <c r="AJ150" s="12">
        <f>0</f>
        <v>0</v>
      </c>
      <c r="AK150" s="12">
        <f>0</f>
        <v>0</v>
      </c>
      <c r="AL150" s="12">
        <f>SUM(AH150:AK150)</f>
        <v>-89.059</v>
      </c>
      <c r="AM150" s="12">
        <f>0</f>
        <v>0</v>
      </c>
      <c r="AN150" s="12">
        <f>0</f>
        <v>0</v>
      </c>
      <c r="AO150" s="12">
        <f>0</f>
        <v>0</v>
      </c>
      <c r="AP150" s="12">
        <f>0</f>
        <v>0</v>
      </c>
      <c r="AQ150" s="12">
        <f>SUM(AM150:AP150)</f>
        <v>0</v>
      </c>
      <c r="AR150" s="12">
        <f>0</f>
        <v>0</v>
      </c>
      <c r="AS150" s="12">
        <f>0</f>
        <v>0</v>
      </c>
      <c r="AT150" s="12">
        <f>0</f>
        <v>0</v>
      </c>
      <c r="AU150" s="12">
        <f>0</f>
        <v>0</v>
      </c>
      <c r="AV150" s="12">
        <f>SUM(AR150:AU150)</f>
        <v>0</v>
      </c>
      <c r="AW150" s="12">
        <f>0</f>
        <v>0</v>
      </c>
      <c r="AX150" s="12">
        <f>0</f>
        <v>0</v>
      </c>
      <c r="AY150" s="12">
        <f>0</f>
        <v>0</v>
      </c>
      <c r="AZ150" s="12">
        <f>0</f>
        <v>0</v>
      </c>
      <c r="BA150" s="12">
        <f>SUM(AW150:AZ150)</f>
        <v>0</v>
      </c>
      <c r="BB150" s="12">
        <f>0</f>
        <v>0</v>
      </c>
      <c r="BC150" s="12">
        <f>0</f>
        <v>0</v>
      </c>
      <c r="BD150" s="12">
        <f>0</f>
        <v>0</v>
      </c>
      <c r="BE150" s="12">
        <f>0</f>
        <v>0</v>
      </c>
      <c r="BF150" s="12">
        <f>SUM(BB150:BE150)</f>
        <v>0</v>
      </c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customFormat="1" s="32">
      <c r="A151" s="30" t="n"/>
      <c r="B151" s="3" t="n"/>
      <c r="C151" s="33" t="inlineStr">
        <is>
          <t>Net Income</t>
        </is>
      </c>
      <c r="D151" s="35" t="n"/>
      <c r="E151" s="35" t="n"/>
      <c r="F151" s="35" t="n"/>
      <c r="G151" s="35" t="n"/>
      <c r="H151" s="35" t="n"/>
      <c r="I151" s="35">
        <f>SUM(I144,I145,I149,I150)</f>
        <v>49.993</v>
      </c>
      <c r="J151" s="35">
        <f>SUM(J144,J145,J149,J150)</f>
        <v>78.603</v>
      </c>
      <c r="K151" s="35">
        <f>SUM(K144,K145,K149,K150)</f>
        <v>67.398114762</v>
      </c>
      <c r="L151" s="35">
        <f>SUM(L144,L145,L149,L150)</f>
        <v>103.752</v>
      </c>
      <c r="M151" s="35">
        <f>SUM(I151:L151)</f>
        <v>299.746114762</v>
      </c>
      <c r="N151" s="35">
        <f>SUM(N144,N145,N149,N150)</f>
        <v>61.903</v>
      </c>
      <c r="O151" s="35">
        <f>SUM(O144,O145,O149,O150)</f>
        <v>86.325</v>
      </c>
      <c r="P151" s="35">
        <f>SUM(P144,P145,P149,P150)</f>
        <v>89.872</v>
      </c>
      <c r="Q151" s="35">
        <f>SUM(Q144,Q145,Q149,Q150)</f>
        <v>91.7849999999999</v>
      </c>
      <c r="R151" s="35">
        <f>SUM(N151:Q151)</f>
        <v>329.885</v>
      </c>
      <c r="S151" s="35">
        <f>SUM(S144,S145,S149,S150)</f>
        <v>91.849</v>
      </c>
      <c r="T151" s="35">
        <f>SUM(T144,T145,T149,T150)</f>
        <v>121.373</v>
      </c>
      <c r="U151" s="35">
        <f>SUM(U144,U145,U149,U150)</f>
        <v>108.22</v>
      </c>
      <c r="V151" s="35">
        <f>SUM(V144,V145,V149,V150)</f>
        <v>160.323</v>
      </c>
      <c r="W151" s="35">
        <f>SUM(S151:V151)</f>
        <v>481.765</v>
      </c>
      <c r="X151" s="35">
        <f>SUM(X144,X145,X149,X150)</f>
        <v>141.241</v>
      </c>
      <c r="Y151" s="35">
        <f>SUM(Y144,Y145,Y149,Y150)</f>
        <v>172.24726339</v>
      </c>
      <c r="Z151" s="35">
        <f>SUM(Z144,Z145,Z149,Z150)</f>
        <v>170.57</v>
      </c>
      <c r="AA151" s="35">
        <f>SUM(AA144,AA145,AA149,AA150)</f>
        <v>165.784</v>
      </c>
      <c r="AB151" s="35">
        <f>SUM(X151:AA151)</f>
        <v>649.84226339</v>
      </c>
      <c r="AC151" s="35">
        <f>SUM(AC144,AC145,AC149,AC150)</f>
        <v>213.475</v>
      </c>
      <c r="AD151" s="35">
        <f>SUM(AD144,AD145,AD149,AD150)</f>
        <v>236.73094176</v>
      </c>
      <c r="AE151" s="35">
        <f>SUM(AE144,AE145,AE149,AE150)</f>
        <v>255.253</v>
      </c>
      <c r="AF151" s="35">
        <f>SUM(AF144,AF145,AF149,AF150)</f>
        <v>270.077</v>
      </c>
      <c r="AG151" s="35">
        <f>SUM(AC151:AF151)</f>
        <v>975.53594176</v>
      </c>
      <c r="AH151" s="35">
        <f>SUM(AH144,AH145,AH149,AH150)</f>
        <v>302.867</v>
      </c>
      <c r="AI151" s="35">
        <f>SUM(AI144,AI145,AI149,AI150)</f>
        <v>270.451</v>
      </c>
      <c r="AJ151" s="35">
        <f>SUM(AJ144,AJ145,AJ149,AJ150)</f>
        <v>448.16443121448</v>
      </c>
      <c r="AK151" s="35">
        <f>SUM(AK144,AK145,AK149,AK150)</f>
        <v>449.04657368251</v>
      </c>
      <c r="AL151" s="35">
        <f>SUM(AH151:AK151)</f>
        <v>1470.52900489699</v>
      </c>
      <c r="AM151" s="35">
        <f>SUM(AM144,AM145,AM149,AM150)</f>
        <v>510.045665763748</v>
      </c>
      <c r="AN151" s="35">
        <f>SUM(AN144,AN145,AN149,AN150)</f>
        <v>534.723830619674</v>
      </c>
      <c r="AO151" s="35">
        <f>SUM(AO144,AO145,AO149,AO150)</f>
        <v>604.769606723371</v>
      </c>
      <c r="AP151" s="35">
        <f>SUM(AP144,AP145,AP149,AP150)</f>
        <v>605.960002293183</v>
      </c>
      <c r="AQ151" s="35">
        <f>SUM(AM151:AP151)</f>
        <v>2255.49910539998</v>
      </c>
      <c r="AR151" s="35">
        <f>SUM(AR144,AR145,AR149,AR150)</f>
        <v>685.724197776365</v>
      </c>
      <c r="AS151" s="35">
        <f>SUM(AS144,AS145,AS149,AS150)</f>
        <v>718.90243246067</v>
      </c>
      <c r="AT151" s="35">
        <f>SUM(AT144,AT145,AT149,AT150)</f>
        <v>813.07455635159</v>
      </c>
      <c r="AU151" s="35">
        <f>SUM(AU144,AU145,AU149,AU150)</f>
        <v>814.67496804399</v>
      </c>
      <c r="AV151" s="35">
        <f>SUM(AR151:AU151)</f>
        <v>3032.37615463262</v>
      </c>
      <c r="AW151" s="35">
        <f>SUM(AW144,AW145,AW149,AW150)</f>
        <v>918.484272265352</v>
      </c>
      <c r="AX151" s="35">
        <f>SUM(AX144,AX145,AX149,AX150)</f>
        <v>962.924423040083</v>
      </c>
      <c r="AY151" s="35">
        <f>SUM(AY144,AY145,AY149,AY150)</f>
        <v>1089.06203778391</v>
      </c>
      <c r="AZ151" s="35">
        <f>SUM(AZ144,AZ145,AZ149,AZ150)</f>
        <v>1091.20568820982</v>
      </c>
      <c r="BA151" s="35">
        <f>SUM(AW151:AZ151)</f>
        <v>4061.67642129916</v>
      </c>
      <c r="BB151" s="35">
        <f>SUM(BB144,BB145,BB149,BB150)</f>
        <v>1225.65927623728</v>
      </c>
      <c r="BC151" s="35">
        <f>SUM(BC144,BC145,BC149,BC150)</f>
        <v>1284.96185188192</v>
      </c>
      <c r="BD151" s="35">
        <f>SUM(BD144,BD145,BD149,BD150)</f>
        <v>1453.28453552669</v>
      </c>
      <c r="BE151" s="35">
        <f>SUM(BE144,BE145,BE149,BE150)</f>
        <v>1456.14510168864</v>
      </c>
      <c r="BF151" s="35">
        <f>SUM(BB151:BE151)</f>
        <v>5420.05076533452</v>
      </c>
      <c r="BG151" s="35" t="n"/>
      <c r="BH151" s="35" t="n"/>
      <c r="BI151" s="35" t="n"/>
      <c r="BJ151" s="35" t="n"/>
      <c r="BK151" s="35" t="n"/>
      <c r="BL151" s="35" t="n"/>
      <c r="BM151" s="35" t="n"/>
      <c r="BN151" s="35" t="n"/>
      <c r="BO151" s="35" t="n"/>
      <c r="BP151" s="35" t="n"/>
      <c r="BQ151" s="35" t="n"/>
      <c r="BR151" s="35" t="n"/>
      <c r="BS151" s="35" t="n"/>
      <c r="BT151" s="35" t="n"/>
      <c r="BU151" s="35" t="n"/>
      <c r="BV151" s="35" t="n"/>
      <c r="BW151" s="35" t="n"/>
      <c r="BX151" s="35" t="n"/>
      <c r="BY151" s="35" t="n"/>
      <c r="BZ151" s="35" t="n"/>
      <c r="CA151" s="35" t="n"/>
      <c r="CB151" s="35" t="n"/>
      <c r="CC151" s="35" t="n"/>
      <c r="CD151" s="35" t="n"/>
      <c r="CE151" s="35" t="n"/>
      <c r="CF151" s="35" t="n"/>
      <c r="CG151" s="35" t="n"/>
      <c r="CH151" s="35" t="n"/>
      <c r="CI151" s="35" t="n"/>
      <c r="CJ151" s="35" t="n"/>
      <c r="CK151" s="35" t="n"/>
      <c r="CL151" s="35" t="n"/>
      <c r="CM151" s="35" t="n"/>
      <c r="CN151" s="35" t="n"/>
      <c r="CO151" s="35" t="n"/>
      <c r="CP151" s="35" t="n"/>
      <c r="CQ151" s="35" t="n"/>
      <c r="CR151" s="35" t="n"/>
      <c r="CS151" s="35" t="n"/>
      <c r="CT151" s="35" t="n"/>
      <c r="CU151" s="35" t="n"/>
      <c r="CV151" s="35" t="n"/>
      <c r="CW151" s="35" t="n"/>
      <c r="CX151" s="35" t="n"/>
      <c r="CY151" s="35" t="n"/>
    </row>
    <row r="152">
      <c r="C152" s="13" t="inlineStr">
        <is>
          <t>Common Dividends</t>
        </is>
      </c>
      <c r="D152" s="46" t="n"/>
      <c r="E152" s="46" t="n"/>
      <c r="F152" s="46" t="n"/>
      <c r="G152" s="46" t="n"/>
      <c r="H152" s="12" t="n"/>
      <c r="I152" s="46">
        <f>'Inputs (2)'!D13</f>
        <v>0</v>
      </c>
      <c r="J152" s="46">
        <f>'Inputs (2)'!E13</f>
        <v>0</v>
      </c>
      <c r="K152" s="46">
        <f>'Inputs (2)'!F13</f>
        <v>-115</v>
      </c>
      <c r="L152" s="46">
        <f>'Inputs (2)'!G13</f>
        <v>-50</v>
      </c>
      <c r="M152" s="12">
        <f>'Inputs (2)'!H13</f>
        <v>-165</v>
      </c>
      <c r="N152" s="46">
        <f>'Inputs (2)'!I13</f>
        <v>0</v>
      </c>
      <c r="O152" s="46">
        <f>'Inputs (2)'!J13</f>
        <v>0</v>
      </c>
      <c r="P152" s="46">
        <f>'Inputs (2)'!K13</f>
        <v>-150</v>
      </c>
      <c r="Q152" s="46">
        <f>'Inputs (2)'!L13</f>
        <v>0</v>
      </c>
      <c r="R152" s="12">
        <f>'Inputs (2)'!M13</f>
        <v>-150</v>
      </c>
      <c r="S152" s="46">
        <f>'Inputs (2)'!N13</f>
        <v>-60</v>
      </c>
      <c r="T152" s="46">
        <f>'Inputs (2)'!O13</f>
        <v>-18.348</v>
      </c>
      <c r="U152" s="46">
        <f>'Inputs (2)'!P13</f>
        <v>0</v>
      </c>
      <c r="V152" s="46">
        <f>'Inputs (2)'!Q13</f>
        <v>-250</v>
      </c>
      <c r="W152" s="12">
        <f>'Inputs (2)'!R13</f>
        <v>-328.348</v>
      </c>
      <c r="X152" s="46">
        <f>'Inputs (2)'!S13</f>
        <v>0</v>
      </c>
      <c r="Y152" s="46">
        <f>'Inputs (2)'!T13</f>
        <v>-118.537</v>
      </c>
      <c r="Z152" s="46">
        <f>'Inputs (2)'!U13</f>
        <v>-265</v>
      </c>
      <c r="AA152" s="46">
        <f>'Inputs (2)'!V13</f>
        <v>-100</v>
      </c>
      <c r="AB152" s="12">
        <f>'Inputs (2)'!W13</f>
        <v>-483.537</v>
      </c>
      <c r="AC152" s="46">
        <f>'Inputs (2)'!X13</f>
        <v>-175</v>
      </c>
      <c r="AD152" s="46">
        <f>'Inputs (2)'!Y13</f>
        <v>-154.338</v>
      </c>
      <c r="AE152" s="46">
        <f>'Inputs (2)'!Z13</f>
        <v>0</v>
      </c>
      <c r="AF152" s="46">
        <f>'Inputs (2)'!AA13</f>
        <v>-1023</v>
      </c>
      <c r="AG152" s="12">
        <f>'Inputs (2)'!AB13</f>
        <v>-1352.338</v>
      </c>
      <c r="AH152" s="12">
        <f>'Inputs (2)'!AC13</f>
        <v>0</v>
      </c>
      <c r="AI152" s="12">
        <f>'Inputs (2)'!AD13</f>
        <v>-270</v>
      </c>
      <c r="AJ152" s="12">
        <f>-MAX(0,AJ151)*Control!$E$15</f>
        <v>0</v>
      </c>
      <c r="AK152" s="12">
        <f>-MAX(0,AK151)*Control!$E$15</f>
        <v>0</v>
      </c>
      <c r="AL152" s="12">
        <f>SUM(AH152:AK152)</f>
        <v>-270</v>
      </c>
      <c r="AM152" s="12">
        <f>-MAX(0,AM151)*Control!$E$15</f>
        <v>0</v>
      </c>
      <c r="AN152" s="12">
        <f>-MAX(0,AN151)*Control!$E$15</f>
        <v>0</v>
      </c>
      <c r="AO152" s="12">
        <f>-MAX(0,AO151)*Control!$E$15</f>
        <v>0</v>
      </c>
      <c r="AP152" s="12">
        <f>-MAX(0,AP151)*Control!$E$15</f>
        <v>0</v>
      </c>
      <c r="AQ152" s="12">
        <f>SUM(AM152:AP152)</f>
        <v>0</v>
      </c>
      <c r="AR152" s="12">
        <f>-MAX(0,AR151)*Control!$E$15</f>
        <v>0</v>
      </c>
      <c r="AS152" s="12">
        <f>-MAX(0,AS151)*Control!$E$15</f>
        <v>0</v>
      </c>
      <c r="AT152" s="12">
        <f>-MAX(0,AT151)*Control!$E$15</f>
        <v>0</v>
      </c>
      <c r="AU152" s="12">
        <f>-MAX(0,AU151)*Control!$E$15</f>
        <v>0</v>
      </c>
      <c r="AV152" s="12">
        <f>SUM(AR152:AU152)</f>
        <v>0</v>
      </c>
      <c r="AW152" s="12">
        <f>-MAX(0,AW151)*Control!$E$15</f>
        <v>0</v>
      </c>
      <c r="AX152" s="12">
        <f>-MAX(0,AX151)*Control!$E$15</f>
        <v>0</v>
      </c>
      <c r="AY152" s="12">
        <f>-MAX(0,AY151)*Control!$E$15</f>
        <v>0</v>
      </c>
      <c r="AZ152" s="12">
        <f>-MAX(0,AZ151)*Control!$E$15</f>
        <v>0</v>
      </c>
      <c r="BA152" s="12">
        <f>SUM(AW152:AZ152)</f>
        <v>0</v>
      </c>
      <c r="BB152" s="12">
        <f>-MAX(0,BB151)*Control!$E$15</f>
        <v>0</v>
      </c>
      <c r="BC152" s="12">
        <f>-MAX(0,BC151)*Control!$E$15</f>
        <v>0</v>
      </c>
      <c r="BD152" s="12">
        <f>-MAX(0,BD151)*Control!$E$15</f>
        <v>0</v>
      </c>
      <c r="BE152" s="12">
        <f>-MAX(0,BE151)*Control!$E$15</f>
        <v>0</v>
      </c>
      <c r="BF152" s="12">
        <f>SUM(BB152:BE152)</f>
        <v>0</v>
      </c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hidden="1" outlineLevel="1">
      <c r="C153" s="50" t="inlineStr">
        <is>
          <t>% DVD Payout</t>
        </is>
      </c>
      <c r="D153" s="58" t="n"/>
      <c r="E153" s="58" t="n"/>
      <c r="F153" s="58" t="n"/>
      <c r="G153" s="58" t="n"/>
      <c r="H153" s="58" t="n"/>
      <c r="I153" s="58">
        <f>IF(I151=0,"",-I152/I151)</f>
        <v>0</v>
      </c>
      <c r="J153" s="58">
        <f>IF(J151=0,"",-J152/J151)</f>
        <v>0</v>
      </c>
      <c r="K153" s="58">
        <f>IF(K151=0,"",-K152/K151)</f>
        <v>1.70627918015355</v>
      </c>
      <c r="L153" s="58">
        <f>IF(L151=0,"",-L152/L151)</f>
        <v>0.481918420849719</v>
      </c>
      <c r="M153" s="58">
        <f>IF(M151=0,"",-M152/M151)</f>
        <v>0.55046585051156</v>
      </c>
      <c r="N153" s="58">
        <f>IF(N151=0,"",-N152/N151)</f>
        <v>0</v>
      </c>
      <c r="O153" s="58">
        <f>IF(O151=0,"",-O152/O151)</f>
        <v>0</v>
      </c>
      <c r="P153" s="58">
        <f>IF(P151=0,"",-P152/P151)</f>
        <v>1.66904041303187</v>
      </c>
      <c r="Q153" s="58">
        <f>IF(Q151=0,"",-Q152/Q151)</f>
        <v>0</v>
      </c>
      <c r="R153" s="58">
        <f>IF(R151=0,"",-R152/R151)</f>
        <v>0.454703911969323</v>
      </c>
      <c r="S153" s="58">
        <f>IF(S151=0,"",-S152/S151)</f>
        <v>0.653246088689044</v>
      </c>
      <c r="T153" s="58">
        <f>IF(T151=0,"",-T152/T151)</f>
        <v>0.15117035914083</v>
      </c>
      <c r="U153" s="58">
        <f>IF(U151=0,"",-U152/U151)</f>
        <v>0</v>
      </c>
      <c r="V153" s="58">
        <f>IF(V151=0,"",-V152/V151)</f>
        <v>1.55935205803285</v>
      </c>
      <c r="W153" s="58">
        <f>IF(W151=0,"",-W152/W151)</f>
        <v>0.681552209064586</v>
      </c>
      <c r="X153" s="58">
        <f>IF(X151=0,"",-X152/X151)</f>
        <v>0</v>
      </c>
      <c r="Y153" s="58">
        <f>IF(Y151=0,"",-Y152/Y151)</f>
        <v>0.688179293343024</v>
      </c>
      <c r="Z153" s="58">
        <f>IF(Z151=0,"",-Z152/Z151)</f>
        <v>1.55361435187899</v>
      </c>
      <c r="AA153" s="58">
        <f>IF(AA151=0,"",-AA152/AA151)</f>
        <v>0.603194518168219</v>
      </c>
      <c r="AB153" s="58">
        <f>IF(AB151=0,"",-AB152/AB151)</f>
        <v>0.744083644971868</v>
      </c>
      <c r="AC153" s="58">
        <f>IF(AC151=0,"",-AC152/AC151)</f>
        <v>0.819768122730999</v>
      </c>
      <c r="AD153" s="58">
        <f>IF(AD151=0,"",-AD152/AD151)</f>
        <v>0.651955333141323</v>
      </c>
      <c r="AE153" s="58">
        <f>IF(AE151=0,"",-AE152/AE151)</f>
        <v>0</v>
      </c>
      <c r="AF153" s="41">
        <f>IF(AF151=0,"",-AF152/AF151)</f>
        <v>3.78780866197418</v>
      </c>
      <c r="AG153" s="12">
        <f>IF(AG151=0,"",-AG152/AG151)</f>
        <v>1.38625133335446</v>
      </c>
      <c r="AH153" s="41">
        <f>IF(AH151=0,"",-AH152/AH151)</f>
        <v>0</v>
      </c>
      <c r="AI153" s="41">
        <f>IF(AI151=0,"",-AI152/AI151)</f>
        <v>0.998332415114013</v>
      </c>
      <c r="AJ153" s="41">
        <f>IF(AJ151=0,"",-AJ152/AJ151)</f>
        <v>0</v>
      </c>
      <c r="AK153" s="41">
        <f>IF(AK151=0,"",-AK152/AK151)</f>
        <v>0</v>
      </c>
      <c r="AL153" s="12">
        <f>IF(AL151=0,"",-AL152/AL151)</f>
        <v>0.18360739509447</v>
      </c>
      <c r="AM153" s="41">
        <f>IF(AM151=0,"",-AM152/AM151)</f>
        <v>0</v>
      </c>
      <c r="AN153" s="41">
        <f>IF(AN151=0,"",-AN152/AN151)</f>
        <v>0</v>
      </c>
      <c r="AO153" s="41">
        <f>IF(AO151=0,"",-AO152/AO151)</f>
        <v>0</v>
      </c>
      <c r="AP153" s="41">
        <f>IF(AP151=0,"",-AP152/AP151)</f>
        <v>0</v>
      </c>
      <c r="AQ153" s="12">
        <f>IF(AQ151=0,"",-AQ152/AQ151)</f>
        <v>0</v>
      </c>
      <c r="AR153" s="41">
        <f>IF(AR151=0,"",-AR152/AR151)</f>
        <v>0</v>
      </c>
      <c r="AS153" s="41">
        <f>IF(AS151=0,"",-AS152/AS151)</f>
        <v>0</v>
      </c>
      <c r="AT153" s="41">
        <f>IF(AT151=0,"",-AT152/AT151)</f>
        <v>0</v>
      </c>
      <c r="AU153" s="41">
        <f>IF(AU151=0,"",-AU152/AU151)</f>
        <v>0</v>
      </c>
      <c r="AV153" s="12">
        <f>IF(AV151=0,"",-AV152/AV151)</f>
        <v>0</v>
      </c>
      <c r="AW153" s="41">
        <f>IF(AW151=0,"",-AW152/AW151)</f>
        <v>0</v>
      </c>
      <c r="AX153" s="41">
        <f>IF(AX151=0,"",-AX152/AX151)</f>
        <v>0</v>
      </c>
      <c r="AY153" s="41">
        <f>IF(AY151=0,"",-AY152/AY151)</f>
        <v>0</v>
      </c>
      <c r="AZ153" s="41">
        <f>IF(AZ151=0,"",-AZ152/AZ151)</f>
        <v>0</v>
      </c>
      <c r="BA153" s="12">
        <f>IF(BA151=0,"",-BA152/BA151)</f>
        <v>0</v>
      </c>
      <c r="BB153" s="41">
        <f>IF(BB151=0,"",-BB152/BB151)</f>
        <v>0</v>
      </c>
      <c r="BC153" s="41">
        <f>IF(BC151=0,"",-BC152/BC151)</f>
        <v>0</v>
      </c>
      <c r="BD153" s="41">
        <f>IF(BD151=0,"",-BD152/BD151)</f>
        <v>0</v>
      </c>
      <c r="BE153" s="41">
        <f>IF(BE151=0,"",-BE152/BE151)</f>
        <v>0</v>
      </c>
      <c r="BF153" s="12">
        <f>IF(BF151=0,"",-BF152/BF151)</f>
        <v>0</v>
      </c>
      <c r="BG153" s="41" t="n"/>
      <c r="BH153" s="41" t="n"/>
      <c r="BI153" s="41" t="n"/>
      <c r="BJ153" s="41" t="n"/>
      <c r="BK153" s="12" t="n"/>
      <c r="BL153" s="41" t="n"/>
      <c r="BM153" s="41" t="n"/>
      <c r="BN153" s="41" t="n"/>
      <c r="BO153" s="41" t="n"/>
      <c r="BP153" s="12" t="n"/>
      <c r="BQ153" s="41" t="n"/>
      <c r="BR153" s="41" t="n"/>
      <c r="BS153" s="41" t="n"/>
      <c r="BT153" s="41" t="n"/>
      <c r="BU153" s="12" t="n"/>
      <c r="BV153" s="41" t="n"/>
      <c r="BW153" s="41" t="n"/>
      <c r="BX153" s="41" t="n"/>
      <c r="BY153" s="41" t="n"/>
      <c r="BZ153" s="12" t="n"/>
      <c r="CA153" s="41" t="n"/>
      <c r="CB153" s="41" t="n"/>
      <c r="CC153" s="41" t="n"/>
      <c r="CD153" s="41" t="n"/>
      <c r="CE153" s="12" t="n"/>
      <c r="CF153" s="41" t="n"/>
      <c r="CG153" s="41" t="n"/>
      <c r="CH153" s="41" t="n"/>
      <c r="CI153" s="41" t="n"/>
      <c r="CJ153" s="12" t="n"/>
      <c r="CK153" s="41" t="n"/>
      <c r="CL153" s="41" t="n"/>
      <c r="CM153" s="41" t="n"/>
      <c r="CN153" s="41" t="n"/>
      <c r="CO153" s="12" t="n"/>
      <c r="CP153" s="41" t="n"/>
      <c r="CQ153" s="41" t="n"/>
      <c r="CR153" s="41" t="n"/>
      <c r="CS153" s="41" t="n"/>
      <c r="CT153" s="12" t="n"/>
      <c r="CU153" s="41" t="n"/>
      <c r="CV153" s="41" t="n"/>
      <c r="CW153" s="41" t="n"/>
      <c r="CX153" s="41" t="n"/>
      <c r="CY153" s="12" t="n"/>
    </row>
    <row r="154" hidden="1" outlineLevel="1">
      <c r="C154" s="18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hidden="1" outlineLevel="1">
      <c r="C155" s="18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collapsed="1" ht="11.25" customHeight="1">
      <c r="C156" s="31" t="inlineStr">
        <is>
          <t>Balance Sheet</t>
        </is>
      </c>
      <c r="D156" s="31" t="n"/>
      <c r="E156" s="31" t="n"/>
      <c r="F156" s="31" t="n"/>
      <c r="G156" s="31" t="n"/>
      <c r="H156" s="31" t="n"/>
      <c r="I156" s="31" t="str">
        <f>I13</f>
        <v>1Q21</v>
      </c>
      <c r="J156" s="31" t="str">
        <f>J13</f>
        <v>2Q21</v>
      </c>
      <c r="K156" s="31" t="str">
        <f>K13</f>
        <v>3Q21</v>
      </c>
      <c r="L156" s="31" t="str">
        <f>L13</f>
        <v>4Q21</v>
      </c>
      <c r="M156" s="31">
        <f>M13</f>
        <v>2021</v>
      </c>
      <c r="N156" s="31" t="str">
        <f>N13</f>
        <v>1Q22</v>
      </c>
      <c r="O156" s="31" t="str">
        <f>O13</f>
        <v>2Q22</v>
      </c>
      <c r="P156" s="31" t="str">
        <f>P13</f>
        <v>3Q22</v>
      </c>
      <c r="Q156" s="31" t="str">
        <f>Q13</f>
        <v>4Q22</v>
      </c>
      <c r="R156" s="31">
        <f>R13</f>
        <v>2022</v>
      </c>
      <c r="S156" s="31" t="str">
        <f>S13</f>
        <v>1Q23</v>
      </c>
      <c r="T156" s="31" t="str">
        <f>T13</f>
        <v>2Q23</v>
      </c>
      <c r="U156" s="31" t="str">
        <f>U13</f>
        <v>3Q23</v>
      </c>
      <c r="V156" s="31" t="str">
        <f>V13</f>
        <v>4Q23</v>
      </c>
      <c r="W156" s="31">
        <f>W13</f>
        <v>2023</v>
      </c>
      <c r="X156" s="31" t="str">
        <f>X13</f>
        <v>1Q24</v>
      </c>
      <c r="Y156" s="31" t="str">
        <f>Y13</f>
        <v>2Q24</v>
      </c>
      <c r="Z156" s="31" t="str">
        <f>Z13</f>
        <v>3Q24</v>
      </c>
      <c r="AA156" s="31" t="str">
        <f>AA13</f>
        <v>4Q24</v>
      </c>
      <c r="AB156" s="31">
        <f>AB13</f>
        <v>2024</v>
      </c>
      <c r="AC156" s="31" t="str">
        <f>AC13</f>
        <v>1Q25</v>
      </c>
      <c r="AD156" s="31" t="str">
        <f>AD13</f>
        <v>2Q25</v>
      </c>
      <c r="AE156" s="31" t="str">
        <f>AE13</f>
        <v>3Q25</v>
      </c>
      <c r="AF156" s="31" t="str">
        <f>AF13</f>
        <v>4Q25</v>
      </c>
      <c r="AG156" s="31">
        <f>AG13</f>
        <v>2025</v>
      </c>
      <c r="AH156" s="31" t="str">
        <f>AH13</f>
        <v>1Q26</v>
      </c>
      <c r="AI156" s="31" t="str">
        <f>AI13</f>
        <v>2Q26</v>
      </c>
      <c r="AJ156" s="31" t="str">
        <f>AJ13</f>
        <v>3Q26</v>
      </c>
      <c r="AK156" s="31" t="str">
        <f>AK13</f>
        <v>4Q26</v>
      </c>
      <c r="AL156" s="31">
        <f>AL13</f>
        <v>2026</v>
      </c>
      <c r="AM156" s="31" t="str">
        <f>AM13</f>
        <v>1Q27</v>
      </c>
      <c r="AN156" s="31" t="str">
        <f>AN13</f>
        <v>2Q27</v>
      </c>
      <c r="AO156" s="31" t="str">
        <f>AO13</f>
        <v>3Q27</v>
      </c>
      <c r="AP156" s="31" t="str">
        <f>AP13</f>
        <v>4Q27</v>
      </c>
      <c r="AQ156" s="31">
        <f>AQ13</f>
        <v>2027</v>
      </c>
      <c r="AR156" s="31" t="str">
        <f>AR13</f>
        <v>1Q28</v>
      </c>
      <c r="AS156" s="31" t="str">
        <f>AS13</f>
        <v>2Q28</v>
      </c>
      <c r="AT156" s="31" t="str">
        <f>AT13</f>
        <v>3Q28</v>
      </c>
      <c r="AU156" s="31" t="str">
        <f>AU13</f>
        <v>4Q28</v>
      </c>
      <c r="AV156" s="31">
        <f>AV13</f>
        <v>2028</v>
      </c>
      <c r="AW156" s="31" t="str">
        <f>AW13</f>
        <v>1Q29</v>
      </c>
      <c r="AX156" s="31" t="str">
        <f>AX13</f>
        <v>2Q29</v>
      </c>
      <c r="AY156" s="31" t="str">
        <f>AY13</f>
        <v>3Q29</v>
      </c>
      <c r="AZ156" s="31" t="str">
        <f>AZ13</f>
        <v>4Q29</v>
      </c>
      <c r="BA156" s="31">
        <f>BA13</f>
        <v>2029</v>
      </c>
      <c r="BB156" s="31" t="str">
        <f>BB13</f>
        <v>1Q30</v>
      </c>
      <c r="BC156" s="31" t="str">
        <f>BC13</f>
        <v>2Q30</v>
      </c>
      <c r="BD156" s="31" t="str">
        <f>BD13</f>
        <v>3Q30</v>
      </c>
      <c r="BE156" s="31" t="str">
        <f>BE13</f>
        <v>4Q30</v>
      </c>
      <c r="BF156" s="31">
        <f>BF13</f>
        <v>2030</v>
      </c>
      <c r="BG156" s="31" t="n"/>
      <c r="BH156" s="31" t="n"/>
      <c r="BI156" s="31" t="n"/>
      <c r="BJ156" s="31" t="n"/>
      <c r="BK156" s="31" t="n"/>
      <c r="BL156" s="31" t="n"/>
      <c r="BM156" s="31" t="n"/>
      <c r="BN156" s="31" t="n"/>
      <c r="BO156" s="31" t="n"/>
      <c r="BP156" s="31" t="n"/>
      <c r="BQ156" s="31" t="n"/>
      <c r="BR156" s="31" t="n"/>
      <c r="BS156" s="31" t="n"/>
      <c r="BT156" s="31" t="n"/>
      <c r="BU156" s="31" t="n"/>
      <c r="BV156" s="31" t="n"/>
      <c r="BW156" s="31" t="n"/>
      <c r="BX156" s="31" t="n"/>
      <c r="BY156" s="31" t="n"/>
      <c r="BZ156" s="31" t="n"/>
      <c r="CA156" s="31" t="n"/>
      <c r="CB156" s="31" t="n"/>
      <c r="CC156" s="31" t="n"/>
      <c r="CD156" s="31" t="n"/>
      <c r="CE156" s="31" t="n"/>
      <c r="CF156" s="31" t="n"/>
      <c r="CG156" s="31" t="n"/>
      <c r="CH156" s="31" t="n"/>
      <c r="CI156" s="31" t="n"/>
      <c r="CJ156" s="31" t="n"/>
      <c r="CK156" s="31" t="n"/>
      <c r="CL156" s="31" t="n"/>
      <c r="CM156" s="31" t="n"/>
      <c r="CN156" s="31" t="n"/>
      <c r="CO156" s="31" t="n"/>
      <c r="CP156" s="31" t="n"/>
      <c r="CQ156" s="31" t="n"/>
      <c r="CR156" s="31" t="n"/>
      <c r="CS156" s="31" t="n"/>
      <c r="CT156" s="31" t="n"/>
      <c r="CU156" s="31" t="n"/>
      <c r="CV156" s="31" t="n"/>
      <c r="CW156" s="31" t="n"/>
      <c r="CX156" s="31" t="n"/>
      <c r="CY156" s="31" t="n"/>
    </row>
    <row r="157">
      <c r="C157" s="18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>
      <c r="C158" s="13" t="inlineStr">
        <is>
          <t>Cash and equivalents (inc. investment securities)</t>
        </is>
      </c>
      <c r="D158" s="46" t="n"/>
      <c r="E158" s="46" t="n"/>
      <c r="F158" s="46" t="n"/>
      <c r="G158" s="46" t="n"/>
      <c r="H158" s="12" t="n"/>
      <c r="I158" s="46">
        <f>'Inputs (2)'!D15</f>
        <v>436.644</v>
      </c>
      <c r="J158" s="46">
        <f>'Inputs (2)'!E15</f>
        <v>491.987</v>
      </c>
      <c r="K158" s="46">
        <f>'Inputs (2)'!F15</f>
        <v>554.927</v>
      </c>
      <c r="L158" s="46">
        <f>'Inputs (2)'!G15</f>
        <v>594.487</v>
      </c>
      <c r="M158" s="12">
        <f>'Inputs (2)'!H15</f>
        <v>594.487</v>
      </c>
      <c r="N158" s="46">
        <f>'Inputs (2)'!I15</f>
        <v>602.568</v>
      </c>
      <c r="O158" s="46">
        <f>'Inputs (2)'!J15</f>
        <v>679.977</v>
      </c>
      <c r="P158" s="46">
        <f>'Inputs (2)'!K15</f>
        <v>634.908</v>
      </c>
      <c r="Q158" s="46">
        <f>'Inputs (2)'!L15</f>
        <v>789.426</v>
      </c>
      <c r="R158" s="12">
        <f>'Inputs (2)'!M15</f>
        <v>789.426</v>
      </c>
      <c r="S158" s="46">
        <f>'Inputs (2)'!N15</f>
        <v>729.823</v>
      </c>
      <c r="T158" s="46">
        <f>'Inputs (2)'!O15</f>
        <v>835.39</v>
      </c>
      <c r="U158" s="46">
        <f>'Inputs (2)'!P15</f>
        <v>1109.075</v>
      </c>
      <c r="V158" s="46">
        <f>'Inputs (2)'!Q15</f>
        <v>992.269</v>
      </c>
      <c r="W158" s="12">
        <f>'Inputs (2)'!R15</f>
        <v>992.269</v>
      </c>
      <c r="X158" s="46">
        <f>'Inputs (2)'!S15</f>
        <v>1011.668</v>
      </c>
      <c r="Y158" s="46">
        <f>'Inputs (2)'!T15</f>
        <v>1558.02</v>
      </c>
      <c r="Z158" s="46">
        <f>'Inputs (2)'!U15</f>
        <v>1425.215</v>
      </c>
      <c r="AA158" s="46">
        <f>'Inputs (2)'!V15</f>
        <v>1416.236</v>
      </c>
      <c r="AB158" s="12">
        <f>'Inputs (2)'!W15</f>
        <v>1416.236</v>
      </c>
      <c r="AC158" s="46">
        <f>'Inputs (2)'!X15</f>
        <v>1543.806</v>
      </c>
      <c r="AD158" s="46">
        <f>'Inputs (2)'!Y15</f>
        <v>1530.875</v>
      </c>
      <c r="AE158" s="46">
        <f>'Inputs (2)'!Z15</f>
        <v>1773.203</v>
      </c>
      <c r="AF158" s="46">
        <f>'Inputs (2)'!AA15</f>
        <v>1790.937</v>
      </c>
      <c r="AG158" s="12">
        <f>'Inputs (2)'!AB15</f>
        <v>1790.937</v>
      </c>
      <c r="AH158" s="12">
        <f>'Inputs (2)'!AC15</f>
        <v>1757.31</v>
      </c>
      <c r="AI158" s="12">
        <f>'Inputs (2)'!AD15</f>
        <v>1633.706</v>
      </c>
      <c r="AJ158" s="12">
        <f>AJ287-SUM(AJ159,AJ163,AJ167,AJ168,AJ169,AJ175,AJ180,AJ190,AJ193,AJ194,AJ203)</f>
        <v>1700.78238692733</v>
      </c>
      <c r="AK158" s="12">
        <f>AK287-SUM(AK159,AK163,AK167,AK168,AK169,AK175,AK180,AK190,AK193,AK194,AK203)</f>
        <v>2195.0058336473</v>
      </c>
      <c r="AL158" s="12">
        <f>AK158</f>
        <v>2195.0058336473</v>
      </c>
      <c r="AM158" s="12">
        <f>AM287-SUM(AM159,AM163,AM167,AM168,AM169,AM175,AM180,AM190,AM193,AM194,AM203)</f>
        <v>2080.45287146239</v>
      </c>
      <c r="AN158" s="12">
        <f>AN287-SUM(AN159,AN163,AN167,AN168,AN169,AN175,AN180,AN190,AN193,AN194,AN203)</f>
        <v>2528.84039919189</v>
      </c>
      <c r="AO158" s="12">
        <f>AO287-SUM(AO159,AO163,AO167,AO168,AO169,AO175,AO180,AO190,AO193,AO194,AO203)</f>
        <v>2648.95445901775</v>
      </c>
      <c r="AP158" s="12">
        <f>AP287-SUM(AP159,AP163,AP167,AP168,AP169,AP175,AP180,AP190,AP193,AP194,AP203)</f>
        <v>3425.29037676743</v>
      </c>
      <c r="AQ158" s="12">
        <f>AP158</f>
        <v>3425.29037676743</v>
      </c>
      <c r="AR158" s="12">
        <f>AR287-SUM(AR159,AR163,AR167,AR168,AR169,AR175,AR180,AR190,AR193,AR194,AR203)</f>
        <v>3511.66191075604</v>
      </c>
      <c r="AS158" s="12">
        <f>AS287-SUM(AS159,AS163,AS167,AS168,AS169,AS175,AS180,AS190,AS193,AS194,AS203)</f>
        <v>4233.92802980379</v>
      </c>
      <c r="AT158" s="12">
        <f>AT287-SUM(AT159,AT163,AT167,AT168,AT169,AT175,AT180,AT190,AT193,AT194,AT203)</f>
        <v>4655.1643967768</v>
      </c>
      <c r="AU158" s="12">
        <f>AU287-SUM(AU159,AU163,AU167,AU168,AU169,AU175,AU180,AU190,AU193,AU194,AU203)</f>
        <v>6047.19826523543</v>
      </c>
      <c r="AV158" s="12">
        <f>AU158</f>
        <v>6047.19826523543</v>
      </c>
      <c r="AW158" s="12">
        <f>AW287-SUM(AW159,AW163,AW167,AW168,AW169,AW175,AW180,AW190,AW193,AW194,AW203)</f>
        <v>6554.02139627932</v>
      </c>
      <c r="AX158" s="12">
        <f>AX287-SUM(AX159,AX163,AX167,AX168,AX169,AX175,AX180,AX190,AX193,AX194,AX203)</f>
        <v>8237.31364052666</v>
      </c>
      <c r="AY158" s="12">
        <f>AY287-SUM(AY159,AY163,AY167,AY168,AY169,AY175,AY180,AY190,AY193,AY194,AY203)</f>
        <v>9624.92320488948</v>
      </c>
      <c r="AZ158" s="12">
        <f>AZ287-SUM(AZ159,AZ163,AZ167,AZ168,AZ169,AZ175,AZ180,AZ190,AZ193,AZ194,AZ203)</f>
        <v>12589.3730787465</v>
      </c>
      <c r="BA158" s="12">
        <f>AZ158</f>
        <v>12589.3730787465</v>
      </c>
      <c r="BB158" s="12">
        <f>BB287-SUM(BB159,BB163,BB167,BB168,BB169,BB175,BB180,BB190,BB193,BB194,BB203)</f>
        <v>14756.3153394114</v>
      </c>
      <c r="BC158" s="12">
        <f>BC287-SUM(BC159,BC163,BC167,BC168,BC169,BC175,BC180,BC190,BC193,BC194,BC203)</f>
        <v>18934.0155143224</v>
      </c>
      <c r="BD158" s="12">
        <f>BD287-SUM(BD159,BD163,BD167,BD168,BD169,BD175,BD180,BD190,BD193,BD194,BD203)</f>
        <v>23356.033806853</v>
      </c>
      <c r="BE158" s="12">
        <f>BE287-SUM(BE159,BE163,BE167,BE168,BE169,BE175,BE180,BE190,BE193,BE194,BE203)</f>
        <v>30732.4048360104</v>
      </c>
      <c r="BF158" s="12">
        <f>BE158</f>
        <v>30732.4048360104</v>
      </c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>
      <c r="C159" s="14" t="inlineStr">
        <is>
          <t>Accounts receivable</t>
        </is>
      </c>
      <c r="D159" s="46" t="n"/>
      <c r="E159" s="46" t="n"/>
      <c r="F159" s="46" t="n"/>
      <c r="G159" s="46" t="n"/>
      <c r="H159" s="12" t="n"/>
      <c r="I159" s="46">
        <f>'Inputs (2)'!D16</f>
        <v>938.013</v>
      </c>
      <c r="J159" s="46">
        <f>'Inputs (2)'!E16</f>
        <v>1049.124</v>
      </c>
      <c r="K159" s="46">
        <f>'Inputs (2)'!F16</f>
        <v>1106.282</v>
      </c>
      <c r="L159" s="46">
        <f>'Inputs (2)'!G16</f>
        <v>1277.665</v>
      </c>
      <c r="M159" s="12">
        <f>'Inputs (2)'!H16</f>
        <v>1277.665</v>
      </c>
      <c r="N159" s="46">
        <f>'Inputs (2)'!I16</f>
        <v>1630.579</v>
      </c>
      <c r="O159" s="46">
        <f>'Inputs (2)'!J16</f>
        <v>1556.792</v>
      </c>
      <c r="P159" s="46">
        <f>'Inputs (2)'!K16</f>
        <v>1399.701</v>
      </c>
      <c r="Q159" s="46">
        <f>'Inputs (2)'!L16</f>
        <v>1179.262</v>
      </c>
      <c r="R159" s="12">
        <f>'Inputs (2)'!M16</f>
        <v>1179.262</v>
      </c>
      <c r="S159" s="46">
        <f>'Inputs (2)'!N16</f>
        <v>1050.636</v>
      </c>
      <c r="T159" s="46">
        <f>'Inputs (2)'!O16</f>
        <v>1085.689</v>
      </c>
      <c r="U159" s="46">
        <f>'Inputs (2)'!P16</f>
        <v>1080.391</v>
      </c>
      <c r="V159" s="46">
        <f>'Inputs (2)'!Q16</f>
        <v>1090.801</v>
      </c>
      <c r="W159" s="12">
        <f>'Inputs (2)'!R16</f>
        <v>1090.801</v>
      </c>
      <c r="X159" s="46">
        <f>'Inputs (2)'!S16</f>
        <v>1285.208</v>
      </c>
      <c r="Y159" s="46">
        <f>'Inputs (2)'!T16</f>
        <v>1379.252</v>
      </c>
      <c r="Z159" s="46">
        <f>'Inputs (2)'!U16</f>
        <v>1454.23</v>
      </c>
      <c r="AA159" s="46">
        <f>'Inputs (2)'!V16</f>
        <v>1437.237</v>
      </c>
      <c r="AB159" s="12">
        <f>'Inputs (2)'!W16</f>
        <v>1437.237</v>
      </c>
      <c r="AC159" s="46">
        <f>'Inputs (2)'!X16</f>
        <v>1896.708</v>
      </c>
      <c r="AD159" s="46">
        <f>'Inputs (2)'!Y16</f>
        <v>2133.707</v>
      </c>
      <c r="AE159" s="46">
        <f>'Inputs (2)'!Z16</f>
        <v>2198.778</v>
      </c>
      <c r="AF159" s="46">
        <f>'Inputs (2)'!AA16</f>
        <v>2157.943</v>
      </c>
      <c r="AG159" s="12">
        <f>'Inputs (2)'!AB16</f>
        <v>2157.943</v>
      </c>
      <c r="AH159" s="12">
        <f>'Inputs (2)'!AC16</f>
        <v>2549.38</v>
      </c>
      <c r="AI159" s="12">
        <f>'Inputs (2)'!AD16</f>
        <v>2722.34</v>
      </c>
      <c r="AJ159" s="12">
        <f>(AJ160/(AJ$5-AI$5))*AJ$15</f>
        <v>2964.98094525148</v>
      </c>
      <c r="AK159" s="12">
        <f>(AK160/(AK$5-AJ$5))*AK$15</f>
        <v>2970.81705232857</v>
      </c>
      <c r="AL159" s="12">
        <f>AK159</f>
        <v>2970.81705232857</v>
      </c>
      <c r="AM159" s="12">
        <f>(AM160/(AM$5-AL$5))*AM$15</f>
        <v>3449.36299883293</v>
      </c>
      <c r="AN159" s="12">
        <f>(AN160/(AN$5-AM$5))*AN$15</f>
        <v>3576.51866210976</v>
      </c>
      <c r="AO159" s="12">
        <f>(AO160/(AO$5-AN$5))*AO$15</f>
        <v>4001.05460253244</v>
      </c>
      <c r="AP159" s="12">
        <f>(AP160/(AP$5-AO$5))*AP$15</f>
        <v>4008.93006059198</v>
      </c>
      <c r="AQ159" s="12">
        <f>AP159</f>
        <v>4008.93006059198</v>
      </c>
      <c r="AR159" s="12">
        <f>(AR160/(AR$5-AQ$5))*AR$15</f>
        <v>4586.4897914972</v>
      </c>
      <c r="AS159" s="12">
        <f>(AS160/(AS$5-AR$5))*AS$15</f>
        <v>4808.40355095461</v>
      </c>
      <c r="AT159" s="12">
        <f>(AT160/(AT$5-AS$5))*AT$15</f>
        <v>5379.16532134954</v>
      </c>
      <c r="AU159" s="12">
        <f>(AU160/(AU$5-AT$5))*AU$15</f>
        <v>5389.75337752272</v>
      </c>
      <c r="AV159" s="12">
        <f>AU159</f>
        <v>5389.75337752272</v>
      </c>
      <c r="AW159" s="12">
        <f>(AW160/(AW$5-AV$5))*AW$15</f>
        <v>6211.57256383705</v>
      </c>
      <c r="AX159" s="12">
        <f>(AX160/(AX$5-AW$5))*AX$15</f>
        <v>6440.55299576436</v>
      </c>
      <c r="AY159" s="12">
        <f>(AY160/(AY$5-AX$5))*AY$15</f>
        <v>7205.05235427911</v>
      </c>
      <c r="AZ159" s="12">
        <f>(AZ160/(AZ$5-AY$5))*AZ$15</f>
        <v>7219.2343870854</v>
      </c>
      <c r="BA159" s="12">
        <f>AZ159</f>
        <v>7219.2343870854</v>
      </c>
      <c r="BB159" s="12">
        <f>(BB160/(BB$5-BA$5))*BB$15</f>
        <v>8288.9514418254</v>
      </c>
      <c r="BC159" s="12">
        <f>(BC160/(BC$5-BB$5))*BC$15</f>
        <v>8594.51137240137</v>
      </c>
      <c r="BD159" s="12">
        <f>(BD160/(BD$5-BC$5))*BD$15</f>
        <v>9614.68750250537</v>
      </c>
      <c r="BE159" s="12">
        <f>(BE160/(BE$5-BD$5))*BE$15</f>
        <v>9633.61252995528</v>
      </c>
      <c r="BF159" s="12">
        <f>BE159</f>
        <v>9633.61252995528</v>
      </c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57" t="inlineStr">
        <is>
          <t>DSO</t>
        </is>
      </c>
      <c r="D160" s="12" t="n"/>
      <c r="E160" s="12" t="n"/>
      <c r="F160" s="12" t="n"/>
      <c r="G160" s="12" t="n"/>
      <c r="H160" s="12" t="n"/>
      <c r="I160" s="12">
        <f>IFERROR((I159/I$15)*(I$5-H$5),"")</f>
        <v>248.820080993616</v>
      </c>
      <c r="J160" s="12">
        <f>IFERROR((J159/J$15)*(J$5-I$5),"")</f>
        <v>211.52771432433</v>
      </c>
      <c r="K160" s="12">
        <f>IFERROR((K159/K$15)*(K$5-J$5),"")</f>
        <v>222.977407283669</v>
      </c>
      <c r="L160" s="12">
        <f>IFERROR((L159/L$15)*(L$5-K$5),"")</f>
        <v>239.2908719665</v>
      </c>
      <c r="M160" s="12" t="n"/>
      <c r="N160" s="12">
        <f>IFERROR((N159/N$15)*(N$5-M$5),"")</f>
        <v>328.030037507768</v>
      </c>
      <c r="O160" s="12">
        <f>IFERROR((O159/O$15)*(O$5-N$5),"")</f>
        <v>235.023336756345</v>
      </c>
      <c r="P160" s="12">
        <f>IFERROR((P159/P$15)*(P$5-O$5),"")</f>
        <v>205.490533128863</v>
      </c>
      <c r="Q160" s="12">
        <f>IFERROR((Q159/Q$15)*(Q$5-P$5),"")</f>
        <v>186.901319257577</v>
      </c>
      <c r="R160" s="12" t="n"/>
      <c r="S160" s="12">
        <f>IFERROR((S159/S$15)*(S$5-R$5),"")</f>
        <v>158.931484008902</v>
      </c>
      <c r="T160" s="12">
        <f>IFERROR((T159/T$15)*(T$5-S$5),"")</f>
        <v>135.758491286795</v>
      </c>
      <c r="U160" s="12">
        <f>IFERROR((U159/U$15)*(U$5-T$5),"")</f>
        <v>132.197644818148</v>
      </c>
      <c r="V160" s="12">
        <f>IFERROR((V159/V$15)*(V$5-U$5),"")</f>
        <v>123.649810989704</v>
      </c>
      <c r="W160" s="12" t="n"/>
      <c r="X160" s="12">
        <f>IFERROR((X159/X$15)*(X$5-W$5),"")</f>
        <v>139.666159530537</v>
      </c>
      <c r="Y160" s="12">
        <f>IFERROR((Y159/Y$15)*(Y$5-X$5),"")</f>
        <v>125.752748513403</v>
      </c>
      <c r="Z160" s="12">
        <f>IFERROR((Z159/Z$15)*(Z$5-Y$5),"")</f>
        <v>126.709639047157</v>
      </c>
      <c r="AA160" s="12">
        <f>IFERROR((AA159/AA$15)*(AA$5-Z$5),"")</f>
        <v>127.757979692185</v>
      </c>
      <c r="AB160" s="12" t="n"/>
      <c r="AC160" s="12">
        <f>IFERROR((AC159/AC$15)*(AC$5-AB$5),"")</f>
        <v>140.360109983358</v>
      </c>
      <c r="AD160" s="12">
        <f>IFERROR((AD159/AD$15)*(AD$5-AC$5),"")</f>
        <v>144.190911325495</v>
      </c>
      <c r="AE160" s="12">
        <f>IFERROR((AE159/AE$15)*(AE$5-AD$5),"")</f>
        <v>142.765095707186</v>
      </c>
      <c r="AF160" s="11">
        <f>IFERROR((AF159/AF$15)*(AF$5-AE$5),"")</f>
        <v>139.838457718627</v>
      </c>
      <c r="AG160" s="12" t="n"/>
      <c r="AH160" s="11">
        <f>IFERROR((AH159/AH$15)*(AH$5-AG$5),"")</f>
        <v>142.284711804938</v>
      </c>
      <c r="AI160" s="11">
        <f>IFERROR((AI159/AI$15)*(AI$5-AH$5),"")</f>
        <v>146.536034080329</v>
      </c>
      <c r="AJ160" s="11">
        <f>Control!$B$25</f>
        <v>142.662553436655</v>
      </c>
      <c r="AK160" s="11">
        <f>Control!$B$25</f>
        <v>142.662553436655</v>
      </c>
      <c r="AL160" s="12" t="n"/>
      <c r="AM160" s="11">
        <f>Control!$C$25</f>
        <v>142.662553436655</v>
      </c>
      <c r="AN160" s="11">
        <f>Control!$C$25</f>
        <v>142.662553436655</v>
      </c>
      <c r="AO160" s="11">
        <f>Control!$C$25</f>
        <v>142.662553436655</v>
      </c>
      <c r="AP160" s="11">
        <f>Control!$C$25</f>
        <v>142.662553436655</v>
      </c>
      <c r="AQ160" s="12" t="n"/>
      <c r="AR160" s="11">
        <f>Control!$D$25</f>
        <v>142.662553436655</v>
      </c>
      <c r="AS160" s="11">
        <f>Control!$D$25</f>
        <v>142.662553436655</v>
      </c>
      <c r="AT160" s="11">
        <f>Control!$D$25</f>
        <v>142.662553436655</v>
      </c>
      <c r="AU160" s="11">
        <f>Control!$D$25</f>
        <v>142.662553436655</v>
      </c>
      <c r="AV160" s="12" t="n"/>
      <c r="AW160" s="11">
        <f>Control!$E$25</f>
        <v>142.662553436655</v>
      </c>
      <c r="AX160" s="11">
        <f>Control!$E$25</f>
        <v>142.662553436655</v>
      </c>
      <c r="AY160" s="11">
        <f>Control!$E$25</f>
        <v>142.662553436655</v>
      </c>
      <c r="AZ160" s="11">
        <f>Control!$E$25</f>
        <v>142.662553436655</v>
      </c>
      <c r="BA160" s="12" t="n"/>
      <c r="BB160" s="11">
        <f>Control!$F$25</f>
        <v>142.662553436655</v>
      </c>
      <c r="BC160" s="11">
        <f>Control!$F$25</f>
        <v>142.662553436655</v>
      </c>
      <c r="BD160" s="11">
        <f>Control!$F$25</f>
        <v>142.662553436655</v>
      </c>
      <c r="BE160" s="11">
        <f>Control!$F$25</f>
        <v>142.662553436655</v>
      </c>
      <c r="BF160" s="12" t="n"/>
      <c r="BG160" s="11" t="n"/>
      <c r="BH160" s="11" t="n"/>
      <c r="BI160" s="11" t="n"/>
      <c r="BJ160" s="11" t="n"/>
      <c r="BK160" s="12" t="n"/>
      <c r="BL160" s="11" t="n"/>
      <c r="BM160" s="11" t="n"/>
      <c r="BN160" s="11" t="n"/>
      <c r="BO160" s="11" t="n"/>
      <c r="BP160" s="12" t="n"/>
      <c r="BQ160" s="11" t="n"/>
      <c r="BR160" s="11" t="n"/>
      <c r="BS160" s="11" t="n"/>
      <c r="BT160" s="11" t="n"/>
      <c r="BU160" s="12" t="n"/>
      <c r="BV160" s="11" t="n"/>
      <c r="BW160" s="11" t="n"/>
      <c r="BX160" s="11" t="n"/>
      <c r="BY160" s="11" t="n"/>
      <c r="BZ160" s="12" t="n"/>
      <c r="CA160" s="11" t="n"/>
      <c r="CB160" s="11" t="n"/>
      <c r="CC160" s="11" t="n"/>
      <c r="CD160" s="11" t="n"/>
      <c r="CE160" s="12" t="n"/>
      <c r="CF160" s="11" t="n"/>
      <c r="CG160" s="11" t="n"/>
      <c r="CH160" s="11" t="n"/>
      <c r="CI160" s="11" t="n"/>
      <c r="CJ160" s="12" t="n"/>
      <c r="CK160" s="11" t="n"/>
      <c r="CL160" s="11" t="n"/>
      <c r="CM160" s="11" t="n"/>
      <c r="CN160" s="11" t="n"/>
      <c r="CO160" s="12" t="n"/>
      <c r="CP160" s="11" t="n"/>
      <c r="CQ160" s="11" t="n"/>
      <c r="CR160" s="11" t="n"/>
      <c r="CS160" s="11" t="n"/>
      <c r="CT160" s="12" t="n"/>
      <c r="CU160" s="11" t="n"/>
      <c r="CV160" s="11" t="n"/>
      <c r="CW160" s="11" t="n"/>
      <c r="CX160" s="11" t="n"/>
      <c r="CY160" s="12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collapsed="1">
      <c r="C163" s="14" t="inlineStr">
        <is>
          <t>Inventories</t>
        </is>
      </c>
      <c r="D163" s="46" t="n"/>
      <c r="E163" s="46" t="n"/>
      <c r="F163" s="46" t="n"/>
      <c r="G163" s="46" t="n"/>
      <c r="H163" s="12" t="n"/>
      <c r="I163" s="46">
        <f>'Inputs (2)'!D17</f>
        <v>419.485</v>
      </c>
      <c r="J163" s="46">
        <f>'Inputs (2)'!E17</f>
        <v>365.678</v>
      </c>
      <c r="K163" s="46">
        <f>'Inputs (2)'!F17</f>
        <v>381.628</v>
      </c>
      <c r="L163" s="46">
        <f>'Inputs (2)'!G17</f>
        <v>532.708</v>
      </c>
      <c r="M163" s="12">
        <f>'Inputs (2)'!H17</f>
        <v>532.708</v>
      </c>
      <c r="N163" s="46">
        <f>'Inputs (2)'!I17</f>
        <v>500.791</v>
      </c>
      <c r="O163" s="46">
        <f>'Inputs (2)'!J17</f>
        <v>470.587</v>
      </c>
      <c r="P163" s="46">
        <f>'Inputs (2)'!K17</f>
        <v>528.14</v>
      </c>
      <c r="Q163" s="46">
        <f>'Inputs (2)'!L17</f>
        <v>604.089</v>
      </c>
      <c r="R163" s="12">
        <f>'Inputs (2)'!M17</f>
        <v>604.089</v>
      </c>
      <c r="S163" s="46">
        <f>'Inputs (2)'!N17</f>
        <v>712.498</v>
      </c>
      <c r="T163" s="46">
        <f>'Inputs (2)'!O17</f>
        <v>657.603</v>
      </c>
      <c r="U163" s="46">
        <f>'Inputs (2)'!P17</f>
        <v>689.025</v>
      </c>
      <c r="V163" s="46">
        <f>'Inputs (2)'!Q17</f>
        <v>717.548</v>
      </c>
      <c r="W163" s="12">
        <f>'Inputs (2)'!R17</f>
        <v>717.548</v>
      </c>
      <c r="X163" s="46">
        <f>'Inputs (2)'!S17</f>
        <v>811.385</v>
      </c>
      <c r="Y163" s="46">
        <f>'Inputs (2)'!T17</f>
        <v>766.051</v>
      </c>
      <c r="Z163" s="46">
        <f>'Inputs (2)'!U17</f>
        <v>791.617</v>
      </c>
      <c r="AA163" s="46">
        <f>'Inputs (2)'!V17</f>
        <v>1193.128</v>
      </c>
      <c r="AB163" s="12">
        <f>'Inputs (2)'!W17</f>
        <v>1193.128</v>
      </c>
      <c r="AC163" s="46">
        <f>'Inputs (2)'!X17</f>
        <v>1134.943</v>
      </c>
      <c r="AD163" s="46">
        <f>'Inputs (2)'!Y17</f>
        <v>1183.857</v>
      </c>
      <c r="AE163" s="46">
        <f>'Inputs (2)'!Z17</f>
        <v>1316.855</v>
      </c>
      <c r="AF163" s="46">
        <f>'Inputs (2)'!AA17</f>
        <v>1348.649</v>
      </c>
      <c r="AG163" s="12">
        <f>'Inputs (2)'!AB17</f>
        <v>1348.649</v>
      </c>
      <c r="AH163" s="12">
        <f>'Inputs (2)'!AC17</f>
        <v>1521.588</v>
      </c>
      <c r="AI163" s="12">
        <f>'Inputs (2)'!AD17</f>
        <v>1530.119</v>
      </c>
      <c r="AJ163" s="12">
        <f>(AJ164/(AJ$5-AI$5))*-AJ$68</f>
        <v>1746.64769022409</v>
      </c>
      <c r="AK163" s="12">
        <f>(AK164/(AK$5-AJ$5))*-AK$68</f>
        <v>1750.08569644886</v>
      </c>
      <c r="AL163" s="12">
        <f>AK163</f>
        <v>1750.08569644886</v>
      </c>
      <c r="AM163" s="12">
        <f>(AM164/(AM$5-AL$5))*-AM$68</f>
        <v>2031.99346839141</v>
      </c>
      <c r="AN163" s="12">
        <f>(AN164/(AN$5-AM$5))*-AN$68</f>
        <v>2106.8999010675</v>
      </c>
      <c r="AO163" s="12">
        <f>(AO164/(AO$5-AN$5))*-AO$68</f>
        <v>2356.99078982817</v>
      </c>
      <c r="AP163" s="12">
        <f>(AP164/(AP$5-AO$5))*-AP$68</f>
        <v>2361.63016218271</v>
      </c>
      <c r="AQ163" s="12">
        <f>AP163</f>
        <v>2361.63016218271</v>
      </c>
      <c r="AR163" s="12">
        <f>(AR164/(AR$5-AQ$5))*-AR$68</f>
        <v>2701.86620031566</v>
      </c>
      <c r="AS163" s="12">
        <f>(AS164/(AS$5-AR$5))*-AS$68</f>
        <v>2832.59390566769</v>
      </c>
      <c r="AT163" s="12">
        <f>(AT164/(AT$5-AS$5))*-AT$68</f>
        <v>3168.82531704493</v>
      </c>
      <c r="AU163" s="12">
        <f>(AU164/(AU$5-AT$5))*-AU$68</f>
        <v>3175.06266028603</v>
      </c>
      <c r="AV163" s="12">
        <f>AU163</f>
        <v>3175.06266028603</v>
      </c>
      <c r="AW163" s="12">
        <f>(AW164/(AW$5-AV$5))*-AW$68</f>
        <v>3659.19008304625</v>
      </c>
      <c r="AX163" s="12">
        <f>(AX164/(AX$5-AW$5))*-AX$68</f>
        <v>3794.08071132259</v>
      </c>
      <c r="AY163" s="12">
        <f>(AY164/(AY$5-AX$5))*-AY$68</f>
        <v>4244.44146013824</v>
      </c>
      <c r="AZ163" s="12">
        <f>(AZ164/(AZ$5-AY$5))*-AZ$68</f>
        <v>4252.79598763814</v>
      </c>
      <c r="BA163" s="12">
        <f>AZ163</f>
        <v>4252.79598763814</v>
      </c>
      <c r="BB163" s="12">
        <f>(BB164/(BB$5-BA$5))*-BB$68</f>
        <v>4882.95815641946</v>
      </c>
      <c r="BC163" s="12">
        <f>(BC164/(BC$5-BB$5))*-BC$68</f>
        <v>5062.96118403429</v>
      </c>
      <c r="BD163" s="12">
        <f>(BD164/(BD$5-BC$5))*-BD$68</f>
        <v>5663.93917147183</v>
      </c>
      <c r="BE163" s="12">
        <f>(BE164/(BE$5-BD$5))*-BE$68</f>
        <v>5675.08776098832</v>
      </c>
      <c r="BF163" s="12">
        <f>BE163</f>
        <v>5675.08776098832</v>
      </c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inlineStr">
        <is>
          <t>DIO</t>
        </is>
      </c>
      <c r="D164" s="12" t="n"/>
      <c r="E164" s="12" t="n"/>
      <c r="F164" s="12" t="n"/>
      <c r="G164" s="12" t="n"/>
      <c r="H164" s="12" t="n"/>
      <c r="I164" s="12">
        <f>IFERROR(((I163/I$68)*(I$5-H$5))*-1,"")</f>
        <v>172.435188906752</v>
      </c>
      <c r="J164" s="12">
        <f>IFERROR(((J163/J$68)*(J$5-I$5))*-1,"")</f>
        <v>115.375433827634</v>
      </c>
      <c r="K164" s="12">
        <f>IFERROR(((K163/K$68)*(K$5-J$5))*-1,"")</f>
        <v>124.733757019086</v>
      </c>
      <c r="L164" s="12">
        <f>IFERROR(((L163/L$68)*(L$5-K$5))*-1,"")</f>
        <v>160.801152302801</v>
      </c>
      <c r="M164" s="12" t="n"/>
      <c r="N164" s="12">
        <f>IFERROR(((N163/N$68)*(N$5-M$5))*-1,"")</f>
        <v>160.130708969144</v>
      </c>
      <c r="O164" s="12">
        <f>IFERROR(((O163/O$68)*(O$5-N$5))*-1,"")</f>
        <v>110.573108762</v>
      </c>
      <c r="P164" s="12">
        <f>IFERROR(((P163/P$68)*(P$5-O$5))*-1,"")</f>
        <v>123.662258599803</v>
      </c>
      <c r="Q164" s="12">
        <f>IFERROR(((Q163/Q$68)*(Q$5-P$5))*-1,"")</f>
        <v>154.922681087711</v>
      </c>
      <c r="R164" s="12" t="n"/>
      <c r="S164" s="12">
        <f>IFERROR(((S163/S$68)*(S$5-R$5))*-1,"")</f>
        <v>172.474058215033</v>
      </c>
      <c r="T164" s="12">
        <f>IFERROR(((T163/T$68)*(T$5-S$5))*-1,"")</f>
        <v>132.045298681354</v>
      </c>
      <c r="U164" s="12">
        <f>IFERROR(((U163/U$68)*(U$5-T$5))*-1,"")</f>
        <v>135.457752723994</v>
      </c>
      <c r="V164" s="12">
        <f>IFERROR(((V163/V$68)*(V$5-U$5))*-1,"")</f>
        <v>132.59581169079</v>
      </c>
      <c r="W164" s="12" t="n"/>
      <c r="X164" s="12">
        <f>IFERROR(((X163/X$68)*(X$5-W$5))*-1,"")</f>
        <v>141.781611181839</v>
      </c>
      <c r="Y164" s="12">
        <f>IFERROR(((Y163/Y$68)*(Y$5-X$5))*-1,"")</f>
        <v>113.248619942361</v>
      </c>
      <c r="Z164" s="12">
        <f>IFERROR(((Z163/Z$68)*(Z$5-Y$5))*-1,"")</f>
        <v>112.663729491079</v>
      </c>
      <c r="AA164" s="12">
        <f>IFERROR(((AA163/AA$68)*(AA$5-Z$5))*-1,"")</f>
        <v>174.06409278532</v>
      </c>
      <c r="AB164" s="12" t="n"/>
      <c r="AC164" s="12">
        <f>IFERROR(((AC163/AC$68)*(AC$5-AB$5))*-1,"")</f>
        <v>137.792285402862</v>
      </c>
      <c r="AD164" s="12">
        <f>IFERROR(((AD163/AD$68)*(AD$5-AC$5))*-1,"")</f>
        <v>132.376434433532</v>
      </c>
      <c r="AE164" s="12">
        <f>IFERROR(((AE163/AE$68)*(AE$5-AD$5))*-1,"")</f>
        <v>142.413074424679</v>
      </c>
      <c r="AF164" s="11">
        <f>IFERROR(((AF163/AF$68)*(AF$5-AE$5))*-1,"")</f>
        <v>146.485153225607</v>
      </c>
      <c r="AG164" s="12" t="n"/>
      <c r="AH164" s="11">
        <f>IFERROR(((AH163/AH$68)*(AH$5-AG$5))*-1,"")</f>
        <v>139.323257860547</v>
      </c>
      <c r="AI164" s="11">
        <f>IFERROR(((AI163/AI$68)*(AI$5-AH$5))*-1,"")</f>
        <v>136.212551553855</v>
      </c>
      <c r="AJ164" s="11">
        <f>Control!$B$26</f>
        <v>139.100459483514</v>
      </c>
      <c r="AK164" s="11">
        <f>Control!$B$26</f>
        <v>139.100459483514</v>
      </c>
      <c r="AL164" s="12" t="n"/>
      <c r="AM164" s="11">
        <f>Control!$C$26</f>
        <v>139.100459483514</v>
      </c>
      <c r="AN164" s="11">
        <f>Control!$C$26</f>
        <v>139.100459483514</v>
      </c>
      <c r="AO164" s="11">
        <f>Control!$C$26</f>
        <v>139.100459483514</v>
      </c>
      <c r="AP164" s="11">
        <f>Control!$C$26</f>
        <v>139.100459483514</v>
      </c>
      <c r="AQ164" s="12" t="n"/>
      <c r="AR164" s="11">
        <f>Control!$D$26</f>
        <v>139.100459483514</v>
      </c>
      <c r="AS164" s="11">
        <f>Control!$D$26</f>
        <v>139.100459483514</v>
      </c>
      <c r="AT164" s="11">
        <f>Control!$D$26</f>
        <v>139.100459483514</v>
      </c>
      <c r="AU164" s="11">
        <f>Control!$D$26</f>
        <v>139.100459483514</v>
      </c>
      <c r="AV164" s="12" t="n"/>
      <c r="AW164" s="11">
        <f>Control!$E$26</f>
        <v>139.100459483514</v>
      </c>
      <c r="AX164" s="11">
        <f>Control!$E$26</f>
        <v>139.100459483514</v>
      </c>
      <c r="AY164" s="11">
        <f>Control!$E$26</f>
        <v>139.100459483514</v>
      </c>
      <c r="AZ164" s="11">
        <f>Control!$E$26</f>
        <v>139.100459483514</v>
      </c>
      <c r="BA164" s="12" t="n"/>
      <c r="BB164" s="11">
        <f>Control!$F$26</f>
        <v>139.100459483514</v>
      </c>
      <c r="BC164" s="11">
        <f>Control!$F$26</f>
        <v>139.100459483514</v>
      </c>
      <c r="BD164" s="11">
        <f>Control!$F$26</f>
        <v>139.100459483514</v>
      </c>
      <c r="BE164" s="11">
        <f>Control!$F$26</f>
        <v>139.100459483514</v>
      </c>
      <c r="BF164" s="12" t="n"/>
      <c r="BG164" s="11" t="n"/>
      <c r="BH164" s="11" t="n"/>
      <c r="BI164" s="11" t="n"/>
      <c r="BJ164" s="11" t="n"/>
      <c r="BK164" s="12" t="n"/>
      <c r="BL164" s="11" t="n"/>
      <c r="BM164" s="11" t="n"/>
      <c r="BN164" s="11" t="n"/>
      <c r="BO164" s="11" t="n"/>
      <c r="BP164" s="12" t="n"/>
      <c r="BQ164" s="11" t="n"/>
      <c r="BR164" s="11" t="n"/>
      <c r="BS164" s="11" t="n"/>
      <c r="BT164" s="11" t="n"/>
      <c r="BU164" s="12" t="n"/>
      <c r="BV164" s="11" t="n"/>
      <c r="BW164" s="11" t="n"/>
      <c r="BX164" s="11" t="n"/>
      <c r="BY164" s="11" t="n"/>
      <c r="BZ164" s="12" t="n"/>
      <c r="CA164" s="11" t="n"/>
      <c r="CB164" s="11" t="n"/>
      <c r="CC164" s="11" t="n"/>
      <c r="CD164" s="11" t="n"/>
      <c r="CE164" s="12" t="n"/>
      <c r="CF164" s="11" t="n"/>
      <c r="CG164" s="11" t="n"/>
      <c r="CH164" s="11" t="n"/>
      <c r="CI164" s="11" t="n"/>
      <c r="CJ164" s="12" t="n"/>
      <c r="CK164" s="11" t="n"/>
      <c r="CL164" s="11" t="n"/>
      <c r="CM164" s="11" t="n"/>
      <c r="CN164" s="11" t="n"/>
      <c r="CO164" s="12" t="n"/>
      <c r="CP164" s="11" t="n"/>
      <c r="CQ164" s="11" t="n"/>
      <c r="CR164" s="11" t="n"/>
      <c r="CS164" s="11" t="n"/>
      <c r="CT164" s="12" t="n"/>
      <c r="CU164" s="11" t="n"/>
      <c r="CV164" s="11" t="n"/>
      <c r="CW164" s="11" t="n"/>
      <c r="CX164" s="11" t="n"/>
      <c r="CY164" s="12" t="n"/>
    </row>
    <row r="165" hidden="1" outlineLevel="1">
      <c r="C165" s="57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collapsed="1">
      <c r="C167" s="14" t="inlineStr">
        <is>
          <t>Deferred income taxes</t>
        </is>
      </c>
      <c r="D167" s="46" t="n"/>
      <c r="E167" s="46" t="n"/>
      <c r="F167" s="46" t="n"/>
      <c r="G167" s="46" t="n"/>
      <c r="H167" s="12" t="n"/>
      <c r="I167" s="46">
        <f>'Inputs (2)'!D18</f>
        <v>0</v>
      </c>
      <c r="J167" s="46">
        <f>'Inputs (2)'!E18</f>
        <v>0</v>
      </c>
      <c r="K167" s="46">
        <f>'Inputs (2)'!F18</f>
        <v>0</v>
      </c>
      <c r="L167" s="46">
        <f>'Inputs (2)'!G18</f>
        <v>0</v>
      </c>
      <c r="M167" s="12">
        <f>'Inputs (2)'!H18</f>
        <v>0</v>
      </c>
      <c r="N167" s="46">
        <f>'Inputs (2)'!I18</f>
        <v>0</v>
      </c>
      <c r="O167" s="46">
        <f>'Inputs (2)'!J18</f>
        <v>0</v>
      </c>
      <c r="P167" s="46">
        <f>'Inputs (2)'!K18</f>
        <v>0</v>
      </c>
      <c r="Q167" s="46">
        <f>'Inputs (2)'!L18</f>
        <v>0</v>
      </c>
      <c r="R167" s="12">
        <f>'Inputs (2)'!M18</f>
        <v>0</v>
      </c>
      <c r="S167" s="46">
        <f>'Inputs (2)'!N18</f>
        <v>0</v>
      </c>
      <c r="T167" s="46">
        <f>'Inputs (2)'!O18</f>
        <v>0</v>
      </c>
      <c r="U167" s="46">
        <f>'Inputs (2)'!P18</f>
        <v>0</v>
      </c>
      <c r="V167" s="46">
        <f>'Inputs (2)'!Q18</f>
        <v>0</v>
      </c>
      <c r="W167" s="12">
        <f>'Inputs (2)'!R18</f>
        <v>0</v>
      </c>
      <c r="X167" s="46">
        <f>'Inputs (2)'!S18</f>
        <v>0</v>
      </c>
      <c r="Y167" s="46">
        <f>'Inputs (2)'!T18</f>
        <v>0</v>
      </c>
      <c r="Z167" s="46">
        <f>'Inputs (2)'!U18</f>
        <v>0</v>
      </c>
      <c r="AA167" s="46">
        <f>'Inputs (2)'!V18</f>
        <v>0</v>
      </c>
      <c r="AB167" s="12">
        <f>'Inputs (2)'!W18</f>
        <v>0</v>
      </c>
      <c r="AC167" s="46">
        <f>'Inputs (2)'!X18</f>
        <v>0</v>
      </c>
      <c r="AD167" s="46">
        <f>'Inputs (2)'!Y18</f>
        <v>0</v>
      </c>
      <c r="AE167" s="46">
        <f>'Inputs (2)'!Z18</f>
        <v>0</v>
      </c>
      <c r="AF167" s="46">
        <f>'Inputs (2)'!AA18</f>
        <v>0</v>
      </c>
      <c r="AG167" s="12">
        <f>'Inputs (2)'!AB18</f>
        <v>0</v>
      </c>
      <c r="AH167" s="12">
        <f>'Inputs (2)'!AC18</f>
        <v>0</v>
      </c>
      <c r="AI167" s="12">
        <f>'Inputs (2)'!AD18</f>
        <v>0</v>
      </c>
      <c r="AJ167" s="12">
        <f>AI167</f>
        <v>0</v>
      </c>
      <c r="AK167" s="12">
        <f>AJ167</f>
        <v>0</v>
      </c>
      <c r="AL167" s="12">
        <f>AK167</f>
        <v>0</v>
      </c>
      <c r="AM167" s="12">
        <f>AL167</f>
        <v>0</v>
      </c>
      <c r="AN167" s="12">
        <f>AM167</f>
        <v>0</v>
      </c>
      <c r="AO167" s="12">
        <f>AN167</f>
        <v>0</v>
      </c>
      <c r="AP167" s="12">
        <f>AO167</f>
        <v>0</v>
      </c>
      <c r="AQ167" s="12">
        <f>AP167</f>
        <v>0</v>
      </c>
      <c r="AR167" s="12">
        <f>AQ167</f>
        <v>0</v>
      </c>
      <c r="AS167" s="12">
        <f>AR167</f>
        <v>0</v>
      </c>
      <c r="AT167" s="12">
        <f>AS167</f>
        <v>0</v>
      </c>
      <c r="AU167" s="12">
        <f>AT167</f>
        <v>0</v>
      </c>
      <c r="AV167" s="12">
        <f>AU167</f>
        <v>0</v>
      </c>
      <c r="AW167" s="12">
        <f>AV167</f>
        <v>0</v>
      </c>
      <c r="AX167" s="12">
        <f>AW167</f>
        <v>0</v>
      </c>
      <c r="AY167" s="12">
        <f>AX167</f>
        <v>0</v>
      </c>
      <c r="AZ167" s="12">
        <f>AY167</f>
        <v>0</v>
      </c>
      <c r="BA167" s="12">
        <f>AZ167</f>
        <v>0</v>
      </c>
      <c r="BB167" s="12">
        <f>BA167</f>
        <v>0</v>
      </c>
      <c r="BC167" s="12">
        <f>BB167</f>
        <v>0</v>
      </c>
      <c r="BD167" s="12">
        <f>BC167</f>
        <v>0</v>
      </c>
      <c r="BE167" s="12">
        <f>BD167</f>
        <v>0</v>
      </c>
      <c r="BF167" s="12">
        <f>BE167</f>
        <v>0</v>
      </c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>
      <c r="C168" s="14" t="inlineStr">
        <is>
          <t>Prepaid expenses</t>
        </is>
      </c>
      <c r="D168" s="46" t="n"/>
      <c r="E168" s="46" t="n"/>
      <c r="F168" s="46" t="n"/>
      <c r="G168" s="46" t="n"/>
      <c r="H168" s="12" t="n"/>
      <c r="I168" s="46">
        <f>'Inputs (2)'!D19</f>
        <v>7.755</v>
      </c>
      <c r="J168" s="46">
        <f>'Inputs (2)'!E19</f>
        <v>5.56</v>
      </c>
      <c r="K168" s="46">
        <f>'Inputs (2)'!F19</f>
        <v>9.083</v>
      </c>
      <c r="L168" s="46">
        <f>'Inputs (2)'!G19</f>
        <v>6.611</v>
      </c>
      <c r="M168" s="12">
        <f>'Inputs (2)'!H19</f>
        <v>6.611</v>
      </c>
      <c r="N168" s="46">
        <f>'Inputs (2)'!I19</f>
        <v>6.676</v>
      </c>
      <c r="O168" s="46">
        <f>'Inputs (2)'!J19</f>
        <v>6.582</v>
      </c>
      <c r="P168" s="46">
        <f>'Inputs (2)'!K19</f>
        <v>8.343</v>
      </c>
      <c r="Q168" s="46">
        <f>'Inputs (2)'!L19</f>
        <v>7.297</v>
      </c>
      <c r="R168" s="12">
        <f>'Inputs (2)'!M19</f>
        <v>7.297</v>
      </c>
      <c r="S168" s="46">
        <f>'Inputs (2)'!N19</f>
        <v>7.108</v>
      </c>
      <c r="T168" s="46">
        <f>'Inputs (2)'!O19</f>
        <v>9.562</v>
      </c>
      <c r="U168" s="46">
        <f>'Inputs (2)'!P19</f>
        <v>11.558</v>
      </c>
      <c r="V168" s="46">
        <f>'Inputs (2)'!Q19</f>
        <v>13.547</v>
      </c>
      <c r="W168" s="12">
        <f>'Inputs (2)'!R19</f>
        <v>13.547</v>
      </c>
      <c r="X168" s="46">
        <f>'Inputs (2)'!S19</f>
        <v>9.839</v>
      </c>
      <c r="Y168" s="46">
        <f>'Inputs (2)'!T19</f>
        <v>26.07</v>
      </c>
      <c r="Z168" s="46">
        <f>'Inputs (2)'!U19</f>
        <v>15.022</v>
      </c>
      <c r="AA168" s="46">
        <f>'Inputs (2)'!V19</f>
        <v>17.033</v>
      </c>
      <c r="AB168" s="12">
        <f>'Inputs (2)'!W19</f>
        <v>17.033</v>
      </c>
      <c r="AC168" s="46">
        <f>'Inputs (2)'!X19</f>
        <v>15.238</v>
      </c>
      <c r="AD168" s="46">
        <f>'Inputs (2)'!Y19</f>
        <v>8.316</v>
      </c>
      <c r="AE168" s="46">
        <f>'Inputs (2)'!Z19</f>
        <v>9.581</v>
      </c>
      <c r="AF168" s="46">
        <f>'Inputs (2)'!AA19</f>
        <v>11.708</v>
      </c>
      <c r="AG168" s="12">
        <f>'Inputs (2)'!AB19</f>
        <v>11.708</v>
      </c>
      <c r="AH168" s="12">
        <f>'Inputs (2)'!AC19</f>
        <v>10.253</v>
      </c>
      <c r="AI168" s="12">
        <f>'Inputs (2)'!AD19</f>
        <v>9.152</v>
      </c>
      <c r="AJ168" s="12">
        <f>AI168</f>
        <v>9.152</v>
      </c>
      <c r="AK168" s="12">
        <f>AJ168</f>
        <v>9.152</v>
      </c>
      <c r="AL168" s="12">
        <f>AK168</f>
        <v>9.152</v>
      </c>
      <c r="AM168" s="12">
        <f>AL168</f>
        <v>9.152</v>
      </c>
      <c r="AN168" s="12">
        <f>AM168</f>
        <v>9.152</v>
      </c>
      <c r="AO168" s="12">
        <f>AN168</f>
        <v>9.152</v>
      </c>
      <c r="AP168" s="12">
        <f>AO168</f>
        <v>9.152</v>
      </c>
      <c r="AQ168" s="12">
        <f>AP168</f>
        <v>9.152</v>
      </c>
      <c r="AR168" s="12">
        <f>AQ168</f>
        <v>9.152</v>
      </c>
      <c r="AS168" s="12">
        <f>AR168</f>
        <v>9.152</v>
      </c>
      <c r="AT168" s="12">
        <f>AS168</f>
        <v>9.152</v>
      </c>
      <c r="AU168" s="12">
        <f>AT168</f>
        <v>9.152</v>
      </c>
      <c r="AV168" s="12">
        <f>AU168</f>
        <v>9.152</v>
      </c>
      <c r="AW168" s="12">
        <f>AV168</f>
        <v>9.152</v>
      </c>
      <c r="AX168" s="12">
        <f>AW168</f>
        <v>9.152</v>
      </c>
      <c r="AY168" s="12">
        <f>AX168</f>
        <v>9.152</v>
      </c>
      <c r="AZ168" s="12">
        <f>AY168</f>
        <v>9.152</v>
      </c>
      <c r="BA168" s="12">
        <f>AZ168</f>
        <v>9.152</v>
      </c>
      <c r="BB168" s="12">
        <f>BA168</f>
        <v>9.152</v>
      </c>
      <c r="BC168" s="12">
        <f>BB168</f>
        <v>9.152</v>
      </c>
      <c r="BD168" s="12">
        <f>BC168</f>
        <v>9.152</v>
      </c>
      <c r="BE168" s="12">
        <f>BD168</f>
        <v>9.152</v>
      </c>
      <c r="BF168" s="12">
        <f>BE168</f>
        <v>9.152</v>
      </c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>
      <c r="C169" s="14" t="inlineStr">
        <is>
          <t>Other current assets</t>
        </is>
      </c>
      <c r="D169" s="46" t="n"/>
      <c r="E169" s="46" t="n"/>
      <c r="F169" s="46" t="n"/>
      <c r="G169" s="46" t="n"/>
      <c r="H169" s="12" t="n"/>
      <c r="I169" s="46">
        <f>'Inputs (2)'!D20</f>
        <v>15.478</v>
      </c>
      <c r="J169" s="46">
        <f>'Inputs (2)'!E20</f>
        <v>19.254</v>
      </c>
      <c r="K169" s="46">
        <f>'Inputs (2)'!F20</f>
        <v>24.33</v>
      </c>
      <c r="L169" s="46">
        <f>'Inputs (2)'!G20</f>
        <v>27.836</v>
      </c>
      <c r="M169" s="12">
        <f>'Inputs (2)'!H20</f>
        <v>27.836</v>
      </c>
      <c r="N169" s="46">
        <f>'Inputs (2)'!I20</f>
        <v>30.305</v>
      </c>
      <c r="O169" s="46">
        <f>'Inputs (2)'!J20</f>
        <v>36.248</v>
      </c>
      <c r="P169" s="46">
        <f>'Inputs (2)'!K20</f>
        <v>43.329</v>
      </c>
      <c r="Q169" s="46">
        <f>'Inputs (2)'!L20</f>
        <v>50.27</v>
      </c>
      <c r="R169" s="12">
        <f>'Inputs (2)'!M20</f>
        <v>50.27</v>
      </c>
      <c r="S169" s="46">
        <f>'Inputs (2)'!N20</f>
        <v>58.214</v>
      </c>
      <c r="T169" s="46">
        <f>'Inputs (2)'!O20</f>
        <v>63.169</v>
      </c>
      <c r="U169" s="46">
        <f>'Inputs (2)'!P20</f>
        <v>79.675</v>
      </c>
      <c r="V169" s="46">
        <f>'Inputs (2)'!Q20</f>
        <v>84.228</v>
      </c>
      <c r="W169" s="12">
        <f>'Inputs (2)'!R20</f>
        <v>84.228</v>
      </c>
      <c r="X169" s="46">
        <f>'Inputs (2)'!S20</f>
        <v>92.05</v>
      </c>
      <c r="Y169" s="46">
        <f>'Inputs (2)'!T20</f>
        <v>115.011</v>
      </c>
      <c r="Z169" s="46">
        <f>'Inputs (2)'!U20</f>
        <v>132.338</v>
      </c>
      <c r="AA169" s="46">
        <f>'Inputs (2)'!V20</f>
        <v>138.882</v>
      </c>
      <c r="AB169" s="12">
        <f>'Inputs (2)'!W20</f>
        <v>138.882</v>
      </c>
      <c r="AC169" s="46">
        <f>'Inputs (2)'!X20</f>
        <v>144.504</v>
      </c>
      <c r="AD169" s="46">
        <f>'Inputs (2)'!Y20</f>
        <v>170.013</v>
      </c>
      <c r="AE169" s="46">
        <f>'Inputs (2)'!Z20</f>
        <v>187.277</v>
      </c>
      <c r="AF169" s="46">
        <f>'Inputs (2)'!AA20</f>
        <v>203.465</v>
      </c>
      <c r="AG169" s="12">
        <f>'Inputs (2)'!AB20</f>
        <v>203.465</v>
      </c>
      <c r="AH169" s="12">
        <f>'Inputs (2)'!AC20</f>
        <v>206.713</v>
      </c>
      <c r="AI169" s="12">
        <f>'Inputs (2)'!AD20</f>
        <v>230.579</v>
      </c>
      <c r="AJ169" s="12">
        <f>AI169</f>
        <v>230.579</v>
      </c>
      <c r="AK169" s="12">
        <f>AJ169</f>
        <v>230.579</v>
      </c>
      <c r="AL169" s="12">
        <f>AK169</f>
        <v>230.579</v>
      </c>
      <c r="AM169" s="12">
        <f>AL169</f>
        <v>230.579</v>
      </c>
      <c r="AN169" s="12">
        <f>AM169</f>
        <v>230.579</v>
      </c>
      <c r="AO169" s="12">
        <f>AN169</f>
        <v>230.579</v>
      </c>
      <c r="AP169" s="12">
        <f>AO169</f>
        <v>230.579</v>
      </c>
      <c r="AQ169" s="12">
        <f>AP169</f>
        <v>230.579</v>
      </c>
      <c r="AR169" s="12">
        <f>AQ169</f>
        <v>230.579</v>
      </c>
      <c r="AS169" s="12">
        <f>AR169</f>
        <v>230.579</v>
      </c>
      <c r="AT169" s="12">
        <f>AS169</f>
        <v>230.579</v>
      </c>
      <c r="AU169" s="12">
        <f>AT169</f>
        <v>230.579</v>
      </c>
      <c r="AV169" s="12">
        <f>AU169</f>
        <v>230.579</v>
      </c>
      <c r="AW169" s="12">
        <f>AV169</f>
        <v>230.579</v>
      </c>
      <c r="AX169" s="12">
        <f>AW169</f>
        <v>230.579</v>
      </c>
      <c r="AY169" s="12">
        <f>AX169</f>
        <v>230.579</v>
      </c>
      <c r="AZ169" s="12">
        <f>AY169</f>
        <v>230.579</v>
      </c>
      <c r="BA169" s="12">
        <f>AZ169</f>
        <v>230.579</v>
      </c>
      <c r="BB169" s="12">
        <f>BA169</f>
        <v>230.579</v>
      </c>
      <c r="BC169" s="12">
        <f>BB169</f>
        <v>230.579</v>
      </c>
      <c r="BD169" s="12">
        <f>BC169</f>
        <v>230.579</v>
      </c>
      <c r="BE169" s="12">
        <f>BD169</f>
        <v>230.579</v>
      </c>
      <c r="BF169" s="12">
        <f>BE169</f>
        <v>230.579</v>
      </c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9" t="inlineStr">
        <is>
          <t>%(Var.)</t>
        </is>
      </c>
      <c r="D170" s="12" t="n"/>
      <c r="E170" s="40" t="n"/>
      <c r="F170" s="40" t="n"/>
      <c r="G170" s="40" t="n"/>
      <c r="H170" s="12" t="n"/>
      <c r="I170" s="40" t="str">
        <f>""</f>
        <v/>
      </c>
      <c r="J170" s="40">
        <f>IFERROR(IF(I169=0,"",J169/I169-1),"")</f>
        <v>0.243959167851144</v>
      </c>
      <c r="K170" s="40">
        <f>IFERROR(IF(J169=0,"",K169/J169-1),"")</f>
        <v>0.26363353069492</v>
      </c>
      <c r="L170" s="40">
        <f>IFERROR(IF(K169=0,"",L169/K169-1),"")</f>
        <v>0.144101931771476</v>
      </c>
      <c r="M170" s="12">
        <f>IFERROR(IF(L169=0,"",M169/L169-1),"")</f>
        <v>0</v>
      </c>
      <c r="N170" s="40">
        <f>IFERROR(IF(M169=0,"",N169/M169-1),"")</f>
        <v>0.0886980888058631</v>
      </c>
      <c r="O170" s="40">
        <f>IFERROR(IF(N169=0,"",O169/N169-1),"")</f>
        <v>0.196106253093549</v>
      </c>
      <c r="P170" s="40">
        <f>IFERROR(IF(O169=0,"",P169/O169-1),"")</f>
        <v>0.195348708894284</v>
      </c>
      <c r="Q170" s="40">
        <f>IFERROR(IF(P169=0,"",Q169/P169-1),"")</f>
        <v>0.16019294237116</v>
      </c>
      <c r="R170" s="12">
        <f>IFERROR(IF(Q169=0,"",R169/Q169-1),"")</f>
        <v>0</v>
      </c>
      <c r="S170" s="40">
        <f>IFERROR(IF(R169=0,"",S169/R169-1),"")</f>
        <v>0.158026656057291</v>
      </c>
      <c r="T170" s="40">
        <f>IFERROR(IF(S169=0,"",T169/S169-1),"")</f>
        <v>0.0851169821692377</v>
      </c>
      <c r="U170" s="40">
        <f>IFERROR(IF(T169=0,"",U169/T169-1),"")</f>
        <v>0.261299054916177</v>
      </c>
      <c r="V170" s="40">
        <f>IFERROR(IF(U169=0,"",V169/U169-1),"")</f>
        <v>0.0571446501411985</v>
      </c>
      <c r="W170" s="12">
        <f>IFERROR(IF(V169=0,"",W169/V169-1),"")</f>
        <v>0</v>
      </c>
      <c r="X170" s="40">
        <f>IFERROR(IF(W169=0,"",X169/W169-1),"")</f>
        <v>0.0928669801016289</v>
      </c>
      <c r="Y170" s="40">
        <f>IFERROR(IF(X169=0,"",Y169/X169-1),"")</f>
        <v>0.24944052145573</v>
      </c>
      <c r="Z170" s="40">
        <f>IFERROR(IF(Y169=0,"",Z169/Y169-1),"")</f>
        <v>0.150655154724331</v>
      </c>
      <c r="AA170" s="40">
        <f>IFERROR(IF(Z169=0,"",AA169/Z169-1),"")</f>
        <v>0.04944913781378</v>
      </c>
      <c r="AB170" s="12">
        <f>IFERROR(IF(AA169=0,"",AB169/AA169-1),"")</f>
        <v>0</v>
      </c>
      <c r="AC170" s="40">
        <f>IFERROR(IF(AB169=0,"",AC169/AB169-1),"")</f>
        <v>0.0404804078282282</v>
      </c>
      <c r="AD170" s="40">
        <f>IFERROR(IF(AC169=0,"",AD169/AC169-1),"")</f>
        <v>0.176527985384488</v>
      </c>
      <c r="AE170" s="40">
        <f>IFERROR(IF(AD169=0,"",AE169/AD169-1),"")</f>
        <v>0.101545175957133</v>
      </c>
      <c r="AF170" s="55">
        <f>IFERROR(IF(AE169=0,"",AF169/AE169-1),"")</f>
        <v>0.0864388045515467</v>
      </c>
      <c r="AG170" s="12">
        <f>IFERROR(IF(AF169=0,"",AG169/AF169-1),"")</f>
        <v>0</v>
      </c>
      <c r="AH170" s="12">
        <f>IFERROR(IF(AG169=0,"",AH169/AG169-1),"")</f>
        <v>0.0159634335143637</v>
      </c>
      <c r="AI170" s="12">
        <f>IFERROR(IF(AH169=0,"",AI169/AH169-1),"")</f>
        <v>0.115454760948755</v>
      </c>
      <c r="AJ170" s="12">
        <f>IFERROR(IF(AI169=0,"",AJ169/AI169-1),"")</f>
        <v>0</v>
      </c>
      <c r="AK170" s="12">
        <f>IFERROR(IF(AJ169=0,"",AK169/AJ169-1),"")</f>
        <v>0</v>
      </c>
      <c r="AL170" s="12">
        <f>IFERROR(IF(AK169=0,"",AL169/AK169-1),"")</f>
        <v>0</v>
      </c>
      <c r="AM170" s="12">
        <f>IFERROR(IF(AL169=0,"",AM169/AL169-1),"")</f>
        <v>0</v>
      </c>
      <c r="AN170" s="12">
        <f>IFERROR(IF(AM169=0,"",AN169/AM169-1),"")</f>
        <v>0</v>
      </c>
      <c r="AO170" s="12">
        <f>IFERROR(IF(AN169=0,"",AO169/AN169-1),"")</f>
        <v>0</v>
      </c>
      <c r="AP170" s="12">
        <f>IFERROR(IF(AO169=0,"",AP169/AO169-1),"")</f>
        <v>0</v>
      </c>
      <c r="AQ170" s="12">
        <f>IFERROR(IF(AP169=0,"",AQ169/AP169-1),"")</f>
        <v>0</v>
      </c>
      <c r="AR170" s="12">
        <f>IFERROR(IF(AQ169=0,"",AR169/AQ169-1),"")</f>
        <v>0</v>
      </c>
      <c r="AS170" s="12">
        <f>IFERROR(IF(AR169=0,"",AS169/AR169-1),"")</f>
        <v>0</v>
      </c>
      <c r="AT170" s="12">
        <f>IFERROR(IF(AS169=0,"",AT169/AS169-1),"")</f>
        <v>0</v>
      </c>
      <c r="AU170" s="12">
        <f>IFERROR(IF(AT169=0,"",AU169/AT169-1),"")</f>
        <v>0</v>
      </c>
      <c r="AV170" s="12">
        <f>IFERROR(IF(AU169=0,"",AV169/AU169-1),"")</f>
        <v>0</v>
      </c>
      <c r="AW170" s="12">
        <f>IFERROR(IF(AV169=0,"",AW169/AV169-1),"")</f>
        <v>0</v>
      </c>
      <c r="AX170" s="12">
        <f>IFERROR(IF(AW169=0,"",AX169/AW169-1),"")</f>
        <v>0</v>
      </c>
      <c r="AY170" s="12">
        <f>IFERROR(IF(AX169=0,"",AY169/AX169-1),"")</f>
        <v>0</v>
      </c>
      <c r="AZ170" s="12">
        <f>IFERROR(IF(AY169=0,"",AZ169/AY169-1),"")</f>
        <v>0</v>
      </c>
      <c r="BA170" s="12">
        <f>IFERROR(IF(AZ169=0,"",BA169/AZ169-1),"")</f>
        <v>0</v>
      </c>
      <c r="BB170" s="12">
        <f>IFERROR(IF(BA169=0,"",BB169/BA169-1),"")</f>
        <v>0</v>
      </c>
      <c r="BC170" s="12">
        <f>IFERROR(IF(BB169=0,"",BC169/BB169-1),"")</f>
        <v>0</v>
      </c>
      <c r="BD170" s="12">
        <f>IFERROR(IF(BC169=0,"",BD169/BC169-1),"")</f>
        <v>0</v>
      </c>
      <c r="BE170" s="12">
        <f>IFERROR(IF(BD169=0,"",BE169/BD169-1),"")</f>
        <v>0</v>
      </c>
      <c r="BF170" s="12">
        <f>IFERROR(IF(BE169=0,"",BF169/BE169-1),"")</f>
        <v>0</v>
      </c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7" t="n"/>
      <c r="D171" s="12" t="n"/>
      <c r="E171" s="40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hidden="1" outlineLevel="1">
      <c r="C172" s="60" t="inlineStr">
        <is>
          <t xml:space="preserve">Impostos e Contribuições a Recuperar </t>
        </is>
      </c>
      <c r="D172" s="11" t="n"/>
      <c r="E172" s="11" t="n"/>
      <c r="F172" s="11" t="n"/>
      <c r="G172" s="11" t="n"/>
      <c r="H172" s="12" t="n"/>
      <c r="I172" s="11" t="n"/>
      <c r="J172" s="11" t="n"/>
      <c r="K172" s="11" t="n"/>
      <c r="L172" s="11" t="n"/>
      <c r="M172" s="12" t="n"/>
      <c r="N172" s="11" t="n"/>
      <c r="O172" s="11" t="n"/>
      <c r="P172" s="11" t="n"/>
      <c r="Q172" s="11" t="n"/>
      <c r="R172" s="12" t="n"/>
      <c r="S172" s="11" t="n"/>
      <c r="T172" s="11" t="n"/>
      <c r="U172" s="11" t="n"/>
      <c r="V172" s="11" t="n"/>
      <c r="W172" s="12" t="n"/>
      <c r="X172" s="11" t="n"/>
      <c r="Y172" s="11" t="n"/>
      <c r="Z172" s="11" t="n"/>
      <c r="AA172" s="11" t="n"/>
      <c r="AB172" s="12" t="n"/>
      <c r="AC172" s="11" t="n"/>
      <c r="AD172" s="11" t="n"/>
      <c r="AE172" s="11" t="n"/>
      <c r="AF172" s="11" t="n"/>
      <c r="AG172" s="12">
        <f>AF172</f>
        <v>0</v>
      </c>
      <c r="AH172" s="61">
        <f>IFERROR(AG172*AH15/AG15,"")</f>
        <v>0</v>
      </c>
      <c r="AI172" s="61">
        <f>IFERROR(AH172*AI15/AH15,"")</f>
        <v>0</v>
      </c>
      <c r="AJ172" s="61">
        <f>IFERROR(AI172*AJ15/AI15,"")</f>
        <v>0</v>
      </c>
      <c r="AK172" s="61">
        <f>IFERROR(AJ172*AK15/AJ15,"")</f>
        <v>0</v>
      </c>
      <c r="AL172" s="12">
        <f>IFERROR(AK172,"")</f>
        <v>0</v>
      </c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60" t="inlineStr">
        <is>
          <t>Outros Créditos</t>
        </is>
      </c>
      <c r="D173" s="11" t="n"/>
      <c r="E173" s="11" t="n"/>
      <c r="F173" s="11" t="n"/>
      <c r="G173" s="11" t="n"/>
      <c r="H173" s="12" t="n"/>
      <c r="I173" s="11" t="n"/>
      <c r="J173" s="11" t="n"/>
      <c r="K173" s="11" t="n"/>
      <c r="L173" s="11" t="n"/>
      <c r="M173" s="12" t="n"/>
      <c r="N173" s="11" t="n"/>
      <c r="O173" s="11" t="n"/>
      <c r="P173" s="11" t="n"/>
      <c r="Q173" s="11" t="n"/>
      <c r="R173" s="12" t="n"/>
      <c r="S173" s="11" t="n"/>
      <c r="T173" s="11" t="n"/>
      <c r="U173" s="11" t="n"/>
      <c r="V173" s="11" t="n"/>
      <c r="W173" s="12" t="n"/>
      <c r="X173" s="11" t="n"/>
      <c r="Y173" s="11" t="n"/>
      <c r="Z173" s="11" t="n"/>
      <c r="AA173" s="11" t="n"/>
      <c r="AB173" s="12" t="n"/>
      <c r="AC173" s="11" t="n"/>
      <c r="AD173" s="11" t="n"/>
      <c r="AE173" s="11" t="n"/>
      <c r="AF173" s="11" t="n"/>
      <c r="AG173" s="12">
        <f>AF173</f>
        <v>0</v>
      </c>
      <c r="AH173" s="12">
        <f>AG173</f>
        <v>0</v>
      </c>
      <c r="AI173" s="12">
        <f>AH173</f>
        <v>0</v>
      </c>
      <c r="AJ173" s="12">
        <f>AI173</f>
        <v>0</v>
      </c>
      <c r="AK173" s="12">
        <f>AJ173</f>
        <v>0</v>
      </c>
      <c r="AL173" s="12">
        <f>AK173</f>
        <v>0</v>
      </c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collapsed="1">
      <c r="C175" s="14" t="inlineStr">
        <is>
          <t>Equity in affiliates</t>
        </is>
      </c>
      <c r="D175" s="46" t="n"/>
      <c r="E175" s="46" t="n"/>
      <c r="F175" s="46" t="n"/>
      <c r="G175" s="46" t="n"/>
      <c r="H175" s="12" t="n"/>
      <c r="I175" s="46">
        <f>'Inputs (2)'!D21</f>
        <v>28.737</v>
      </c>
      <c r="J175" s="46">
        <f>'Inputs (2)'!E21</f>
        <v>32.139</v>
      </c>
      <c r="K175" s="46">
        <f>'Inputs (2)'!F21</f>
        <v>29.674</v>
      </c>
      <c r="L175" s="46">
        <f>'Inputs (2)'!G21</f>
        <v>29.77</v>
      </c>
      <c r="M175" s="12">
        <f>'Inputs (2)'!H21</f>
        <v>29.77</v>
      </c>
      <c r="N175" s="46">
        <f>'Inputs (2)'!I21</f>
        <v>30.764</v>
      </c>
      <c r="O175" s="46">
        <f>'Inputs (2)'!J21</f>
        <v>33.604</v>
      </c>
      <c r="P175" s="46">
        <f>'Inputs (2)'!K21</f>
        <v>36.393</v>
      </c>
      <c r="Q175" s="46">
        <f>'Inputs (2)'!L21</f>
        <v>34.316</v>
      </c>
      <c r="R175" s="12">
        <f>'Inputs (2)'!M21</f>
        <v>34.316</v>
      </c>
      <c r="S175" s="46">
        <f>'Inputs (2)'!N21</f>
        <v>32.327</v>
      </c>
      <c r="T175" s="46">
        <f>'Inputs (2)'!O21</f>
        <v>33.598</v>
      </c>
      <c r="U175" s="46">
        <f>'Inputs (2)'!P21</f>
        <v>29.692</v>
      </c>
      <c r="V175" s="46">
        <f>'Inputs (2)'!Q21</f>
        <v>40.875</v>
      </c>
      <c r="W175" s="12">
        <f>'Inputs (2)'!R21</f>
        <v>40.875</v>
      </c>
      <c r="X175" s="46">
        <f>'Inputs (2)'!S21</f>
        <v>40.803</v>
      </c>
      <c r="Y175" s="46">
        <f>'Inputs (2)'!T21</f>
        <v>44.707</v>
      </c>
      <c r="Z175" s="46">
        <f>'Inputs (2)'!U21</f>
        <v>42.837</v>
      </c>
      <c r="AA175" s="46">
        <f>'Inputs (2)'!V21</f>
        <v>42.244</v>
      </c>
      <c r="AB175" s="12">
        <f>'Inputs (2)'!W21</f>
        <v>42.244</v>
      </c>
      <c r="AC175" s="46">
        <f>'Inputs (2)'!X21</f>
        <v>40.372</v>
      </c>
      <c r="AD175" s="46">
        <f>'Inputs (2)'!Y21</f>
        <v>40.727</v>
      </c>
      <c r="AE175" s="46">
        <f>'Inputs (2)'!Z21</f>
        <v>41.203</v>
      </c>
      <c r="AF175" s="46">
        <f>'Inputs (2)'!AA21</f>
        <v>41.321</v>
      </c>
      <c r="AG175" s="12">
        <f>'Inputs (2)'!AB21</f>
        <v>41.321</v>
      </c>
      <c r="AH175" s="12">
        <f>'Inputs (2)'!AC21</f>
        <v>37.757</v>
      </c>
      <c r="AI175" s="12">
        <f>'Inputs (2)'!AD21</f>
        <v>30.471</v>
      </c>
      <c r="AJ175" s="12">
        <f>AI175+AJ149</f>
        <v>30.471</v>
      </c>
      <c r="AK175" s="12">
        <f>AJ175+AK149</f>
        <v>30.471</v>
      </c>
      <c r="AL175" s="12">
        <f>AK175</f>
        <v>30.471</v>
      </c>
      <c r="AM175" s="12">
        <f>AL175+AM149</f>
        <v>30.471</v>
      </c>
      <c r="AN175" s="12">
        <f>AM175+AN149</f>
        <v>30.471</v>
      </c>
      <c r="AO175" s="12">
        <f>AN175+AO149</f>
        <v>30.471</v>
      </c>
      <c r="AP175" s="12">
        <f>AO175+AP149</f>
        <v>30.471</v>
      </c>
      <c r="AQ175" s="12">
        <f>AP175</f>
        <v>30.471</v>
      </c>
      <c r="AR175" s="12">
        <f>AQ175+AR149</f>
        <v>30.471</v>
      </c>
      <c r="AS175" s="12">
        <f>AR175+AS149</f>
        <v>30.471</v>
      </c>
      <c r="AT175" s="12">
        <f>AS175+AT149</f>
        <v>30.471</v>
      </c>
      <c r="AU175" s="12">
        <f>AT175+AU149</f>
        <v>30.471</v>
      </c>
      <c r="AV175" s="12">
        <f>AU175</f>
        <v>30.471</v>
      </c>
      <c r="AW175" s="12">
        <f>AV175+AW149</f>
        <v>30.471</v>
      </c>
      <c r="AX175" s="12">
        <f>AW175+AX149</f>
        <v>30.471</v>
      </c>
      <c r="AY175" s="12">
        <f>AX175+AY149</f>
        <v>30.471</v>
      </c>
      <c r="AZ175" s="12">
        <f>AY175+AZ149</f>
        <v>30.471</v>
      </c>
      <c r="BA175" s="12">
        <f>AZ175</f>
        <v>30.471</v>
      </c>
      <c r="BB175" s="12">
        <f>BA175+BB149</f>
        <v>30.471</v>
      </c>
      <c r="BC175" s="12">
        <f>BB175+BC149</f>
        <v>30.471</v>
      </c>
      <c r="BD175" s="12">
        <f>BC175+BD149</f>
        <v>30.471</v>
      </c>
      <c r="BE175" s="12">
        <f>BD175+BE149</f>
        <v>30.471</v>
      </c>
      <c r="BF175" s="12">
        <f>BE175</f>
        <v>30.471</v>
      </c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hidden="1" outlineLevel="1">
      <c r="C176" s="57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inlineStr">
        <is>
          <t>Equity in Income - % YoY</t>
        </is>
      </c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>
        <f>IF(I149=0,0,N149/I149-1)</f>
        <v>-1.27328646748682</v>
      </c>
      <c r="O177" s="12">
        <f>IF(J149=0,0,O149/J149-1)</f>
        <v>-1.08169177288528</v>
      </c>
      <c r="P177" s="12">
        <f>IF(K149=0,0,P149/K149-1)</f>
        <v>-2.02736842105263</v>
      </c>
      <c r="Q177" s="12">
        <f>IF(L149=0,0,Q149/L149-1)</f>
        <v>-0.853683148335015</v>
      </c>
      <c r="R177" s="12" t="n"/>
      <c r="S177" s="12">
        <f>IF(N149=0,0,S149/N149-1)</f>
        <v>-0.646302250803859</v>
      </c>
      <c r="T177" s="12">
        <f>IF(O149=0,0,T149/O149-1)</f>
        <v>-5.93617021276596</v>
      </c>
      <c r="U177" s="12">
        <f>IF(P149=0,0,U149/P149-1)</f>
        <v>-1.30225409836066</v>
      </c>
      <c r="V177" s="12">
        <f>IF(Q149=0,0,V149/Q149-1)</f>
        <v>-10.351724137931</v>
      </c>
      <c r="W177" s="12" t="n"/>
      <c r="X177" s="12">
        <f>IF(S149=0,0,X149/S149-1)</f>
        <v>-12.8090909090909</v>
      </c>
      <c r="Y177" s="12">
        <f>IF(T149=0,0,Y149/T149-1)</f>
        <v>3.03304597701149</v>
      </c>
      <c r="Z177" s="12">
        <f>IF(U149=0,0,Z149/U149-1)</f>
        <v>-12.4881355932203</v>
      </c>
      <c r="AA177" s="12">
        <f>IF(V149=0,0,AA149/V149-1)</f>
        <v>-0.230088495575221</v>
      </c>
      <c r="AB177" s="12" t="n"/>
      <c r="AC177" s="12">
        <f>IF(X149=0,0,AC149/X149-1)</f>
        <v>-0.47036181678214</v>
      </c>
      <c r="AD177" s="12">
        <f>IF(Y149=0,0,AD149/Y149-1)</f>
        <v>-0.611301674385465</v>
      </c>
      <c r="AE177" s="12">
        <f>IF(Z149=0,0,AE149/Z149-1)</f>
        <v>-0.269991147831219</v>
      </c>
      <c r="AF177" s="12">
        <f>IF(AA149=0,0,AF149/AA149-1)</f>
        <v>2.00478927203065</v>
      </c>
      <c r="AG177" s="12" t="n"/>
      <c r="AH177" s="11">
        <f>IF(AC149=0,0,AH149/AC149-1)</f>
        <v>2.31686046511628</v>
      </c>
      <c r="AI177" s="11">
        <f>IF(AD149=0,0,AI149/AD149-1)</f>
        <v>-0.0706423621008322</v>
      </c>
      <c r="AJ177" s="11" t="n"/>
      <c r="AK177" s="11" t="n"/>
      <c r="AL177" s="12" t="n"/>
      <c r="AM177" s="11" t="n"/>
      <c r="AN177" s="11" t="n"/>
      <c r="AO177" s="11" t="n"/>
      <c r="AP177" s="11" t="n"/>
      <c r="AQ177" s="12" t="n"/>
      <c r="AR177" s="11" t="n"/>
      <c r="AS177" s="11" t="n"/>
      <c r="AT177" s="11" t="n"/>
      <c r="AU177" s="11" t="n"/>
      <c r="AV177" s="12" t="n"/>
      <c r="AW177" s="11" t="n"/>
      <c r="AX177" s="11" t="n"/>
      <c r="AY177" s="11" t="n"/>
      <c r="AZ177" s="11" t="n"/>
      <c r="BA177" s="12" t="n"/>
      <c r="BB177" s="11" t="n"/>
      <c r="BC177" s="11" t="n"/>
      <c r="BD177" s="11" t="n"/>
      <c r="BE177" s="11" t="n"/>
      <c r="BF177" s="12" t="n"/>
      <c r="BG177" s="11" t="n"/>
      <c r="BH177" s="11" t="n"/>
      <c r="BI177" s="11" t="n"/>
      <c r="BJ177" s="11" t="n"/>
      <c r="BK177" s="12" t="n"/>
      <c r="BL177" s="11" t="n"/>
      <c r="BM177" s="11" t="n"/>
      <c r="BN177" s="11" t="n"/>
      <c r="BO177" s="11" t="n"/>
      <c r="BP177" s="12" t="n"/>
      <c r="BQ177" s="11" t="n"/>
      <c r="BR177" s="11" t="n"/>
      <c r="BS177" s="11" t="n"/>
      <c r="BT177" s="11" t="n"/>
      <c r="BU177" s="12" t="n"/>
      <c r="BV177" s="11" t="n"/>
      <c r="BW177" s="11" t="n"/>
      <c r="BX177" s="11" t="n"/>
      <c r="BY177" s="11" t="n"/>
      <c r="BZ177" s="12" t="n"/>
      <c r="CA177" s="11" t="n"/>
      <c r="CB177" s="11" t="n"/>
      <c r="CC177" s="11" t="n"/>
      <c r="CD177" s="11" t="n"/>
      <c r="CE177" s="12" t="n"/>
      <c r="CF177" s="11" t="n"/>
      <c r="CG177" s="11" t="n"/>
      <c r="CH177" s="11" t="n"/>
      <c r="CI177" s="11" t="n"/>
      <c r="CJ177" s="12" t="n"/>
      <c r="CK177" s="11" t="n"/>
      <c r="CL177" s="11" t="n"/>
      <c r="CM177" s="11" t="n"/>
      <c r="CN177" s="11" t="n"/>
      <c r="CO177" s="12" t="n"/>
      <c r="CP177" s="11" t="n"/>
      <c r="CQ177" s="11" t="n"/>
      <c r="CR177" s="11" t="n"/>
      <c r="CS177" s="11" t="n"/>
      <c r="CT177" s="12" t="n"/>
      <c r="CU177" s="11" t="n"/>
      <c r="CV177" s="11" t="n"/>
      <c r="CW177" s="11" t="n"/>
      <c r="CX177" s="11" t="n"/>
      <c r="CY177" s="12" t="n"/>
    </row>
    <row r="178" hidden="1" outlineLevel="1">
      <c r="C178" s="57" t="inlineStr">
        <is>
          <t>Dividends (enter as -)</t>
        </is>
      </c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1" t="n"/>
      <c r="AI178" s="11" t="n"/>
      <c r="AJ178" s="11" t="n"/>
      <c r="AK178" s="11" t="n"/>
      <c r="AL178" s="12" t="n"/>
      <c r="AM178" s="11" t="n"/>
      <c r="AN178" s="11" t="n"/>
      <c r="AO178" s="11" t="n"/>
      <c r="AP178" s="11" t="n"/>
      <c r="AQ178" s="12" t="n"/>
      <c r="AR178" s="11" t="n"/>
      <c r="AS178" s="11" t="n"/>
      <c r="AT178" s="11" t="n"/>
      <c r="AU178" s="11" t="n"/>
      <c r="AV178" s="12" t="n"/>
      <c r="AW178" s="11" t="n"/>
      <c r="AX178" s="11" t="n"/>
      <c r="AY178" s="11" t="n"/>
      <c r="AZ178" s="11" t="n"/>
      <c r="BA178" s="12" t="n"/>
      <c r="BB178" s="11" t="n"/>
      <c r="BC178" s="11" t="n"/>
      <c r="BD178" s="11" t="n"/>
      <c r="BE178" s="11" t="n"/>
      <c r="BF178" s="12" t="n"/>
      <c r="BG178" s="11" t="n"/>
      <c r="BH178" s="11" t="n"/>
      <c r="BI178" s="11" t="n"/>
      <c r="BJ178" s="11" t="n"/>
      <c r="BK178" s="12" t="n"/>
      <c r="BL178" s="11" t="n"/>
      <c r="BM178" s="11" t="n"/>
      <c r="BN178" s="11" t="n"/>
      <c r="BO178" s="11" t="n"/>
      <c r="BP178" s="12" t="n"/>
      <c r="BQ178" s="11" t="n"/>
      <c r="BR178" s="11" t="n"/>
      <c r="BS178" s="11" t="n"/>
      <c r="BT178" s="11" t="n"/>
      <c r="BU178" s="12" t="n"/>
      <c r="BV178" s="11" t="n"/>
      <c r="BW178" s="11" t="n"/>
      <c r="BX178" s="11" t="n"/>
      <c r="BY178" s="11" t="n"/>
      <c r="BZ178" s="12" t="n"/>
      <c r="CA178" s="11" t="n"/>
      <c r="CB178" s="11" t="n"/>
      <c r="CC178" s="11" t="n"/>
      <c r="CD178" s="11" t="n"/>
      <c r="CE178" s="12" t="n"/>
      <c r="CF178" s="11" t="n"/>
      <c r="CG178" s="11" t="n"/>
      <c r="CH178" s="11" t="n"/>
      <c r="CI178" s="11" t="n"/>
      <c r="CJ178" s="12" t="n"/>
      <c r="CK178" s="11" t="n"/>
      <c r="CL178" s="11" t="n"/>
      <c r="CM178" s="11" t="n"/>
      <c r="CN178" s="11" t="n"/>
      <c r="CO178" s="12" t="n"/>
      <c r="CP178" s="11" t="n"/>
      <c r="CQ178" s="11" t="n"/>
      <c r="CR178" s="11" t="n"/>
      <c r="CS178" s="11" t="n"/>
      <c r="CT178" s="12" t="n"/>
      <c r="CU178" s="11" t="n"/>
      <c r="CV178" s="11" t="n"/>
      <c r="CW178" s="11" t="n"/>
      <c r="CX178" s="11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collapsed="1">
      <c r="C180" s="14" t="inlineStr">
        <is>
          <t>PP&amp;E</t>
        </is>
      </c>
      <c r="D180" s="46" t="n"/>
      <c r="E180" s="46" t="n"/>
      <c r="F180" s="46" t="n"/>
      <c r="G180" s="46" t="n"/>
      <c r="H180" s="12" t="n"/>
      <c r="I180" s="46">
        <f>'Inputs (2)'!D22</f>
        <v>20.211</v>
      </c>
      <c r="J180" s="46">
        <f>'Inputs (2)'!E22</f>
        <v>23.569</v>
      </c>
      <c r="K180" s="46">
        <f>'Inputs (2)'!F22</f>
        <v>25.579</v>
      </c>
      <c r="L180" s="46">
        <f>'Inputs (2)'!G22</f>
        <v>25.765</v>
      </c>
      <c r="M180" s="12">
        <f>'Inputs (2)'!H22</f>
        <v>25.765</v>
      </c>
      <c r="N180" s="46">
        <f>'Inputs (2)'!I22</f>
        <v>24.33</v>
      </c>
      <c r="O180" s="46">
        <f>'Inputs (2)'!J22</f>
        <v>22.509</v>
      </c>
      <c r="P180" s="46">
        <f>'Inputs (2)'!K22</f>
        <v>22.203</v>
      </c>
      <c r="Q180" s="46">
        <f>'Inputs (2)'!L22</f>
        <v>22.931</v>
      </c>
      <c r="R180" s="12">
        <f>'Inputs (2)'!M22</f>
        <v>22.931</v>
      </c>
      <c r="S180" s="46">
        <f>'Inputs (2)'!N22</f>
        <v>31.101</v>
      </c>
      <c r="T180" s="46">
        <f>'Inputs (2)'!O22</f>
        <v>33.293</v>
      </c>
      <c r="U180" s="46">
        <f>'Inputs (2)'!P22</f>
        <v>33.278</v>
      </c>
      <c r="V180" s="46">
        <f>'Inputs (2)'!Q22</f>
        <v>34.596</v>
      </c>
      <c r="W180" s="12">
        <f>'Inputs (2)'!R22</f>
        <v>34.596</v>
      </c>
      <c r="X180" s="46">
        <f>'Inputs (2)'!S22</f>
        <v>36.855</v>
      </c>
      <c r="Y180" s="46">
        <f>'Inputs (2)'!T22</f>
        <v>37.163</v>
      </c>
      <c r="Z180" s="46">
        <f>'Inputs (2)'!U22</f>
        <v>39.806</v>
      </c>
      <c r="AA180" s="46">
        <f>'Inputs (2)'!V22</f>
        <v>41.601</v>
      </c>
      <c r="AB180" s="12">
        <f>'Inputs (2)'!W22</f>
        <v>41.601</v>
      </c>
      <c r="AC180" s="46">
        <f>'Inputs (2)'!X22</f>
        <v>41.884</v>
      </c>
      <c r="AD180" s="46">
        <f>'Inputs (2)'!Y22</f>
        <v>40.389</v>
      </c>
      <c r="AE180" s="46">
        <f>'Inputs (2)'!Z22</f>
        <v>40.513</v>
      </c>
      <c r="AF180" s="46">
        <f>'Inputs (2)'!AA22</f>
        <v>41.203</v>
      </c>
      <c r="AG180" s="12">
        <f>'Inputs (2)'!AB22</f>
        <v>41.203</v>
      </c>
      <c r="AH180" s="12">
        <f>'Inputs (2)'!AC22</f>
        <v>46.373</v>
      </c>
      <c r="AI180" s="12">
        <f>'Inputs (2)'!AD22</f>
        <v>51.142</v>
      </c>
      <c r="AJ180" s="12">
        <f>AJ185</f>
        <v>53.0928012158491</v>
      </c>
      <c r="AK180" s="12">
        <f>AK185</f>
        <v>55.0474422826086</v>
      </c>
      <c r="AL180" s="12">
        <f>AK180</f>
        <v>55.0474422826086</v>
      </c>
      <c r="AM180" s="12">
        <f>AM185</f>
        <v>57.2676044275921</v>
      </c>
      <c r="AN180" s="12">
        <f>AN185</f>
        <v>59.5951873999613</v>
      </c>
      <c r="AO180" s="12">
        <f>AO185</f>
        <v>62.2276704841441</v>
      </c>
      <c r="AP180" s="12">
        <f>AP185</f>
        <v>64.8653352047157</v>
      </c>
      <c r="AQ180" s="12">
        <f>AP180</f>
        <v>64.8653352047157</v>
      </c>
      <c r="AR180" s="12">
        <f>AR185</f>
        <v>67.8502030469365</v>
      </c>
      <c r="AS180" s="12">
        <f>AS185</f>
        <v>70.9794914099614</v>
      </c>
      <c r="AT180" s="12">
        <f>AT185</f>
        <v>74.5186987245811</v>
      </c>
      <c r="AU180" s="12">
        <f>AU185</f>
        <v>78.064872422202</v>
      </c>
      <c r="AV180" s="12">
        <f>AU180</f>
        <v>78.064872422202</v>
      </c>
      <c r="AW180" s="12">
        <f>AW185</f>
        <v>82.0629144582868</v>
      </c>
      <c r="AX180" s="12">
        <f>AX185</f>
        <v>86.2543986645343</v>
      </c>
      <c r="AY180" s="12">
        <f>AY185</f>
        <v>90.9949434277291</v>
      </c>
      <c r="AZ180" s="12">
        <f>AZ185</f>
        <v>95.7448192211572</v>
      </c>
      <c r="BA180" s="12">
        <f>AZ180</f>
        <v>95.7448192211572</v>
      </c>
      <c r="BB180" s="12">
        <f>BB185</f>
        <v>101.079953916744</v>
      </c>
      <c r="BC180" s="12">
        <f>BC185</f>
        <v>106.673224976159</v>
      </c>
      <c r="BD180" s="12">
        <f>BD185</f>
        <v>112.999182685916</v>
      </c>
      <c r="BE180" s="12">
        <f>BE185</f>
        <v>119.33759206644</v>
      </c>
      <c r="BF180" s="12">
        <f>BE180</f>
        <v>119.33759206644</v>
      </c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inlineStr">
        <is>
          <t>Capital expenditures</t>
        </is>
      </c>
      <c r="D182" s="12" t="n"/>
      <c r="E182" s="12" t="n"/>
      <c r="F182" s="12" t="n"/>
      <c r="G182" s="12" t="n"/>
      <c r="H182" s="12" t="n"/>
      <c r="I182" s="12" t="n"/>
      <c r="J182" s="12">
        <f>J180-I180-J84</f>
        <v>3.7130585</v>
      </c>
      <c r="K182" s="12">
        <f>K180-J180-K84</f>
        <v>2.38596036</v>
      </c>
      <c r="L182" s="12">
        <f>L180-K180-L84</f>
        <v>0.563742070000008</v>
      </c>
      <c r="M182" s="12" t="n"/>
      <c r="N182" s="12">
        <f>N180-M180-N84</f>
        <v>-0.510613190000006</v>
      </c>
      <c r="O182" s="12">
        <f>O180-N180-O84</f>
        <v>3.883</v>
      </c>
      <c r="P182" s="12">
        <f>P180-O180-P84</f>
        <v>5.409</v>
      </c>
      <c r="Q182" s="12">
        <f>Q180-P180-Q84</f>
        <v>7.03</v>
      </c>
      <c r="R182" s="12" t="n"/>
      <c r="S182" s="12">
        <f>S180-R180-S84</f>
        <v>14.3910827</v>
      </c>
      <c r="T182" s="12">
        <f>T180-S180-T84</f>
        <v>8.492</v>
      </c>
      <c r="U182" s="12">
        <f>U180-T180-U84</f>
        <v>6.32589384999999</v>
      </c>
      <c r="V182" s="12">
        <f>V180-U180-V84</f>
        <v>8.32802345000001</v>
      </c>
      <c r="W182" s="12" t="n"/>
      <c r="X182" s="12">
        <f>X180-W180-X84</f>
        <v>9.376</v>
      </c>
      <c r="Y182" s="12">
        <f>Y180-X180-Y84</f>
        <v>7.31957678999999</v>
      </c>
      <c r="Z182" s="12">
        <f>Z180-Y180-Z84</f>
        <v>10.834198945</v>
      </c>
      <c r="AA182" s="12">
        <f>AA180-Z180-AA84</f>
        <v>10.60618731</v>
      </c>
      <c r="AB182" s="12" t="n"/>
      <c r="AC182" s="12">
        <f>AC180-AB180-AC84</f>
        <v>8.816</v>
      </c>
      <c r="AD182" s="12">
        <f>AD180-AC180-AD84</f>
        <v>7.259</v>
      </c>
      <c r="AE182" s="12">
        <f>AE180-AD180-AE84</f>
        <v>8.645</v>
      </c>
      <c r="AF182" s="11">
        <f>AF180-AE180-AF84</f>
        <v>9.76000000000001</v>
      </c>
      <c r="AG182" s="12">
        <f>SUM(AC182:AF182)</f>
        <v>34.48</v>
      </c>
      <c r="AH182" s="11">
        <f>AH180-AG180-AH84</f>
        <v>13.519</v>
      </c>
      <c r="AI182" s="11">
        <f>AI180-AH180-AI84</f>
        <v>13.32</v>
      </c>
      <c r="AJ182" s="11">
        <f>AJ15*Control!$B$24</f>
        <v>13.4724422708221</v>
      </c>
      <c r="AK182" s="11">
        <f>AK15*Control!$B$24</f>
        <v>13.4989606927393</v>
      </c>
      <c r="AL182" s="12" t="n"/>
      <c r="AM182" s="11">
        <f>AM15*Control!$C$24</f>
        <v>15.3326777157748</v>
      </c>
      <c r="AN182" s="11">
        <f>AN15*Control!$C$24</f>
        <v>16.0745374623645</v>
      </c>
      <c r="AO182" s="11">
        <f>AO15*Control!$C$24</f>
        <v>18.1802103117575</v>
      </c>
      <c r="AP182" s="11">
        <f>AP15*Control!$C$24</f>
        <v>18.2159952479924</v>
      </c>
      <c r="AQ182" s="12" t="n"/>
      <c r="AR182" s="11">
        <f>AR15*Control!$D$24</f>
        <v>20.6138172170711</v>
      </c>
      <c r="AS182" s="11">
        <f>AS15*Control!$D$24</f>
        <v>21.611200811795</v>
      </c>
      <c r="AT182" s="11">
        <f>AT15*Control!$D$24</f>
        <v>24.4421450239517</v>
      </c>
      <c r="AU182" s="11">
        <f>AU15*Control!$D$24</f>
        <v>24.4902556115701</v>
      </c>
      <c r="AV182" s="12" t="n"/>
      <c r="AW182" s="11">
        <f>AW15*Control!$E$24</f>
        <v>27.6109067853068</v>
      </c>
      <c r="AX182" s="11">
        <f>AX15*Control!$E$24</f>
        <v>28.9468391443223</v>
      </c>
      <c r="AY182" s="11">
        <f>AY15*Control!$E$24</f>
        <v>32.7387101953342</v>
      </c>
      <c r="AZ182" s="11">
        <f>AZ15*Control!$E$24</f>
        <v>32.8031512901654</v>
      </c>
      <c r="BA182" s="12" t="n"/>
      <c r="BB182" s="11">
        <f>BB15*Control!$F$24</f>
        <v>36.8450119927118</v>
      </c>
      <c r="BC182" s="11">
        <f>BC15*Control!$F$24</f>
        <v>38.6277293866792</v>
      </c>
      <c r="BD182" s="11">
        <f>BD15*Control!$F$24</f>
        <v>43.6877419185276</v>
      </c>
      <c r="BE182" s="11">
        <f>BE15*Control!$F$24</f>
        <v>43.7737344913301</v>
      </c>
      <c r="BF182" s="12" t="n"/>
      <c r="BG182" s="11" t="n"/>
      <c r="BH182" s="11" t="n"/>
      <c r="BI182" s="11" t="n"/>
      <c r="BJ182" s="11" t="n"/>
      <c r="BK182" s="12" t="n"/>
      <c r="BL182" s="11" t="n"/>
      <c r="BM182" s="11" t="n"/>
      <c r="BN182" s="11" t="n"/>
      <c r="BO182" s="11" t="n"/>
      <c r="BP182" s="12" t="n"/>
      <c r="BQ182" s="11" t="n"/>
      <c r="BR182" s="11" t="n"/>
      <c r="BS182" s="11" t="n"/>
      <c r="BT182" s="11" t="n"/>
      <c r="BU182" s="12" t="n"/>
      <c r="BV182" s="11" t="n"/>
      <c r="BW182" s="11" t="n"/>
      <c r="BX182" s="11" t="n"/>
      <c r="BY182" s="11" t="n"/>
      <c r="BZ182" s="12" t="n"/>
      <c r="CA182" s="11" t="n"/>
      <c r="CB182" s="11" t="n"/>
      <c r="CC182" s="11" t="n"/>
      <c r="CD182" s="11" t="n"/>
      <c r="CE182" s="12" t="n"/>
      <c r="CF182" s="11" t="n"/>
      <c r="CG182" s="11" t="n"/>
      <c r="CH182" s="11" t="n"/>
      <c r="CI182" s="11" t="n"/>
      <c r="CJ182" s="12" t="n"/>
      <c r="CK182" s="11" t="n"/>
      <c r="CL182" s="11" t="n"/>
      <c r="CM182" s="11" t="n"/>
      <c r="CN182" s="11" t="n"/>
      <c r="CO182" s="12" t="n"/>
      <c r="CP182" s="11" t="n"/>
      <c r="CQ182" s="11" t="n"/>
      <c r="CR182" s="11" t="n"/>
      <c r="CS182" s="11" t="n"/>
      <c r="CT182" s="12" t="n"/>
      <c r="CU182" s="11" t="n"/>
      <c r="CV182" s="11" t="n"/>
      <c r="CW182" s="11" t="n"/>
      <c r="CX182" s="11" t="n"/>
      <c r="CY182" s="12" t="n"/>
    </row>
    <row r="183" hidden="1" outlineLevel="1">
      <c r="C183" s="57" t="inlineStr">
        <is>
          <t>Recurring asset sales (enter as -)</t>
        </is>
      </c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>
        <f>SUM(I183:L183)</f>
        <v>0</v>
      </c>
      <c r="N183" s="12" t="n"/>
      <c r="O183" s="12" t="n"/>
      <c r="P183" s="12" t="n"/>
      <c r="Q183" s="12" t="n"/>
      <c r="R183" s="12">
        <f>SUM(N183:Q183)</f>
        <v>0</v>
      </c>
      <c r="S183" s="12" t="n"/>
      <c r="T183" s="12" t="n"/>
      <c r="U183" s="12" t="n"/>
      <c r="V183" s="12" t="n"/>
      <c r="W183" s="12">
        <f>SUM(S183:V183)</f>
        <v>0</v>
      </c>
      <c r="X183" s="12" t="n"/>
      <c r="Y183" s="12" t="n"/>
      <c r="Z183" s="12" t="n"/>
      <c r="AA183" s="12" t="n"/>
      <c r="AB183" s="12">
        <f>SUM(X183:AA183)</f>
        <v>0</v>
      </c>
      <c r="AC183" s="12" t="n"/>
      <c r="AD183" s="12" t="n"/>
      <c r="AE183" s="12" t="n"/>
      <c r="AF183" s="11" t="n"/>
      <c r="AG183" s="12">
        <f>SUM(AC183:AF183)</f>
        <v>0</v>
      </c>
      <c r="AH183" s="11" t="n"/>
      <c r="AI183" s="11" t="n"/>
      <c r="AJ183" s="11">
        <f>0</f>
        <v>0</v>
      </c>
      <c r="AK183" s="11">
        <f>0</f>
        <v>0</v>
      </c>
      <c r="AL183" s="12" t="n"/>
      <c r="AM183" s="11">
        <f>0</f>
        <v>0</v>
      </c>
      <c r="AN183" s="11">
        <f>0</f>
        <v>0</v>
      </c>
      <c r="AO183" s="11">
        <f>0</f>
        <v>0</v>
      </c>
      <c r="AP183" s="11">
        <f>0</f>
        <v>0</v>
      </c>
      <c r="AQ183" s="12" t="n"/>
      <c r="AR183" s="11">
        <f>0</f>
        <v>0</v>
      </c>
      <c r="AS183" s="11">
        <f>0</f>
        <v>0</v>
      </c>
      <c r="AT183" s="11">
        <f>0</f>
        <v>0</v>
      </c>
      <c r="AU183" s="11">
        <f>0</f>
        <v>0</v>
      </c>
      <c r="AV183" s="12" t="n"/>
      <c r="AW183" s="11">
        <f>0</f>
        <v>0</v>
      </c>
      <c r="AX183" s="11">
        <f>0</f>
        <v>0</v>
      </c>
      <c r="AY183" s="11">
        <f>0</f>
        <v>0</v>
      </c>
      <c r="AZ183" s="11">
        <f>0</f>
        <v>0</v>
      </c>
      <c r="BA183" s="12" t="n"/>
      <c r="BB183" s="11">
        <f>0</f>
        <v>0</v>
      </c>
      <c r="BC183" s="11">
        <f>0</f>
        <v>0</v>
      </c>
      <c r="BD183" s="11">
        <f>0</f>
        <v>0</v>
      </c>
      <c r="BE183" s="11">
        <f>0</f>
        <v>0</v>
      </c>
      <c r="BF183" s="12" t="n"/>
      <c r="BG183" s="11" t="n"/>
      <c r="BH183" s="11" t="n"/>
      <c r="BI183" s="11" t="n"/>
      <c r="BJ183" s="11" t="n"/>
      <c r="BK183" s="12" t="n"/>
      <c r="BL183" s="11" t="n"/>
      <c r="BM183" s="11" t="n"/>
      <c r="BN183" s="11" t="n"/>
      <c r="BO183" s="11" t="n"/>
      <c r="BP183" s="12" t="n"/>
      <c r="BQ183" s="11" t="n"/>
      <c r="BR183" s="11" t="n"/>
      <c r="BS183" s="11" t="n"/>
      <c r="BT183" s="11" t="n"/>
      <c r="BU183" s="12" t="n"/>
      <c r="BV183" s="11" t="n"/>
      <c r="BW183" s="11" t="n"/>
      <c r="BX183" s="11" t="n"/>
      <c r="BY183" s="11" t="n"/>
      <c r="BZ183" s="12" t="n"/>
      <c r="CA183" s="11" t="n"/>
      <c r="CB183" s="11" t="n"/>
      <c r="CC183" s="11" t="n"/>
      <c r="CD183" s="11" t="n"/>
      <c r="CE183" s="12" t="n"/>
      <c r="CF183" s="11" t="n"/>
      <c r="CG183" s="11" t="n"/>
      <c r="CH183" s="11" t="n"/>
      <c r="CI183" s="11" t="n"/>
      <c r="CJ183" s="12" t="n"/>
      <c r="CK183" s="11" t="n"/>
      <c r="CL183" s="11" t="n"/>
      <c r="CM183" s="11" t="n"/>
      <c r="CN183" s="11" t="n"/>
      <c r="CO183" s="12" t="n"/>
      <c r="CP183" s="11" t="n"/>
      <c r="CQ183" s="11" t="n"/>
      <c r="CR183" s="11" t="n"/>
      <c r="CS183" s="11" t="n"/>
      <c r="CT183" s="12" t="n"/>
      <c r="CU183" s="11" t="n"/>
      <c r="CV183" s="11" t="n"/>
      <c r="CW183" s="11" t="n"/>
      <c r="CX183" s="11" t="n"/>
      <c r="CY183" s="12" t="n"/>
    </row>
    <row r="184" hidden="1" outlineLevel="1">
      <c r="C184" s="57" t="inlineStr">
        <is>
          <t>Depreciation</t>
        </is>
      </c>
      <c r="D184" s="12" t="n"/>
      <c r="E184" s="12" t="n"/>
      <c r="F184" s="12" t="n"/>
      <c r="G184" s="12" t="n"/>
      <c r="H184" s="12" t="n"/>
      <c r="I184" s="12">
        <f>I84</f>
        <v>-0.334652710000002</v>
      </c>
      <c r="J184" s="12">
        <f>J84</f>
        <v>-0.355058499999999</v>
      </c>
      <c r="K184" s="12">
        <f>K84</f>
        <v>-0.375960359999997</v>
      </c>
      <c r="L184" s="12">
        <f>L84</f>
        <v>-0.377742070000008</v>
      </c>
      <c r="M184" s="12" t="n"/>
      <c r="N184" s="12">
        <f>N84</f>
        <v>-0.924386809999996</v>
      </c>
      <c r="O184" s="12">
        <f>O84</f>
        <v>-5.704</v>
      </c>
      <c r="P184" s="12">
        <f>P84</f>
        <v>-5.715</v>
      </c>
      <c r="Q184" s="12">
        <f>Q84</f>
        <v>-6.302</v>
      </c>
      <c r="R184" s="12" t="n"/>
      <c r="S184" s="12">
        <f>S84</f>
        <v>-6.2210827</v>
      </c>
      <c r="T184" s="12">
        <f>T84</f>
        <v>-6.3</v>
      </c>
      <c r="U184" s="12">
        <f>U84</f>
        <v>-6.34089384999999</v>
      </c>
      <c r="V184" s="12">
        <f>V84</f>
        <v>-7.01002345000001</v>
      </c>
      <c r="W184" s="12" t="n"/>
      <c r="X184" s="12">
        <f>X84</f>
        <v>-7.117</v>
      </c>
      <c r="Y184" s="12">
        <f>Y84</f>
        <v>-7.01157678999999</v>
      </c>
      <c r="Z184" s="12">
        <f>Z84</f>
        <v>-8.19119894500001</v>
      </c>
      <c r="AA184" s="12">
        <f>AA84</f>
        <v>-8.81118731000001</v>
      </c>
      <c r="AB184" s="12" t="n"/>
      <c r="AC184" s="12">
        <f>AC84</f>
        <v>-8.533</v>
      </c>
      <c r="AD184" s="12">
        <f>AD84</f>
        <v>-8.754</v>
      </c>
      <c r="AE184" s="12">
        <f>AE84</f>
        <v>-8.521</v>
      </c>
      <c r="AF184" s="12">
        <f>AF84</f>
        <v>-9.07</v>
      </c>
      <c r="AG184" s="12" t="n"/>
      <c r="AH184" s="12">
        <f>AH84</f>
        <v>-8.349</v>
      </c>
      <c r="AI184" s="12">
        <f>AI84</f>
        <v>-8.551</v>
      </c>
      <c r="AJ184" s="12">
        <f>AJ84</f>
        <v>-11.521641054973</v>
      </c>
      <c r="AK184" s="12">
        <f>AK84</f>
        <v>-11.5443196259798</v>
      </c>
      <c r="AL184" s="12" t="n"/>
      <c r="AM184" s="12">
        <f>AM84</f>
        <v>-13.1125155707912</v>
      </c>
      <c r="AN184" s="12">
        <f>AN84</f>
        <v>-13.7469544899953</v>
      </c>
      <c r="AO184" s="12">
        <f>AO84</f>
        <v>-15.5477272275747</v>
      </c>
      <c r="AP184" s="12">
        <f>AP84</f>
        <v>-15.5783305274208</v>
      </c>
      <c r="AQ184" s="12" t="n"/>
      <c r="AR184" s="12">
        <f>AR84</f>
        <v>-17.6289493748503</v>
      </c>
      <c r="AS184" s="12">
        <f>AS84</f>
        <v>-18.4819124487701</v>
      </c>
      <c r="AT184" s="12">
        <f>AT84</f>
        <v>-20.902937709332</v>
      </c>
      <c r="AU184" s="12">
        <f>AU84</f>
        <v>-20.9440819139492</v>
      </c>
      <c r="AV184" s="12" t="n"/>
      <c r="AW184" s="12">
        <f>AW84</f>
        <v>-23.612864749222</v>
      </c>
      <c r="AX184" s="12">
        <f>AX84</f>
        <v>-24.7553549380748</v>
      </c>
      <c r="AY184" s="12">
        <f>AY84</f>
        <v>-27.9981654321395</v>
      </c>
      <c r="AZ184" s="12">
        <f>AZ84</f>
        <v>-28.0532754967373</v>
      </c>
      <c r="BA184" s="12" t="n"/>
      <c r="BB184" s="12">
        <f>BB84</f>
        <v>-31.5098772971248</v>
      </c>
      <c r="BC184" s="12">
        <f>BC84</f>
        <v>-33.0344583272646</v>
      </c>
      <c r="BD184" s="12">
        <f>BD84</f>
        <v>-37.3617842087705</v>
      </c>
      <c r="BE184" s="12">
        <f>BE84</f>
        <v>-37.4353251108065</v>
      </c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57" t="inlineStr">
        <is>
          <t>PP&amp;E</t>
        </is>
      </c>
      <c r="D185" s="12" t="n"/>
      <c r="E185" s="12" t="n"/>
      <c r="F185" s="12" t="n"/>
      <c r="G185" s="12" t="n"/>
      <c r="H185" s="12" t="n"/>
      <c r="I185" s="12">
        <f>I180</f>
        <v>20.211</v>
      </c>
      <c r="J185" s="12">
        <f>J180</f>
        <v>23.569</v>
      </c>
      <c r="K185" s="12">
        <f>K180</f>
        <v>25.579</v>
      </c>
      <c r="L185" s="12">
        <f>L180</f>
        <v>25.765</v>
      </c>
      <c r="M185" s="12" t="n"/>
      <c r="N185" s="12">
        <f>N180</f>
        <v>24.33</v>
      </c>
      <c r="O185" s="12">
        <f>O180</f>
        <v>22.509</v>
      </c>
      <c r="P185" s="12">
        <f>P180</f>
        <v>22.203</v>
      </c>
      <c r="Q185" s="12">
        <f>Q180</f>
        <v>22.931</v>
      </c>
      <c r="R185" s="12" t="n"/>
      <c r="S185" s="12">
        <f>S180</f>
        <v>31.101</v>
      </c>
      <c r="T185" s="12">
        <f>T180</f>
        <v>33.293</v>
      </c>
      <c r="U185" s="12">
        <f>U180</f>
        <v>33.278</v>
      </c>
      <c r="V185" s="12">
        <f>V180</f>
        <v>34.596</v>
      </c>
      <c r="W185" s="12" t="n"/>
      <c r="X185" s="12">
        <f>X180</f>
        <v>36.855</v>
      </c>
      <c r="Y185" s="12">
        <f>Y180</f>
        <v>37.163</v>
      </c>
      <c r="Z185" s="12">
        <f>Z180</f>
        <v>39.806</v>
      </c>
      <c r="AA185" s="12">
        <f>Y185+SUM(AA182:AA184)</f>
        <v>38.958</v>
      </c>
      <c r="AB185" s="12" t="n"/>
      <c r="AC185" s="12">
        <f>AC180</f>
        <v>41.884</v>
      </c>
      <c r="AD185" s="12">
        <f>AD180</f>
        <v>40.389</v>
      </c>
      <c r="AE185" s="12">
        <f>AE180</f>
        <v>40.513</v>
      </c>
      <c r="AF185" s="12">
        <f>AF180</f>
        <v>41.203</v>
      </c>
      <c r="AG185" s="12" t="n"/>
      <c r="AH185" s="12">
        <f>AH180</f>
        <v>46.373</v>
      </c>
      <c r="AI185" s="12">
        <f>AI180</f>
        <v>51.142</v>
      </c>
      <c r="AJ185" s="12">
        <f>AI185+SUM(AJ182:AJ184)</f>
        <v>53.0928012158491</v>
      </c>
      <c r="AK185" s="12">
        <f>AJ185+SUM(AK182:AK184)</f>
        <v>55.0474422826086</v>
      </c>
      <c r="AL185" s="12" t="n"/>
      <c r="AM185" s="12">
        <f>AK185+SUM(AM182:AM184)</f>
        <v>57.2676044275921</v>
      </c>
      <c r="AN185" s="12">
        <f>AM185+SUM(AN182:AN184)</f>
        <v>59.5951873999613</v>
      </c>
      <c r="AO185" s="12">
        <f>AN185+SUM(AO182:AO184)</f>
        <v>62.2276704841441</v>
      </c>
      <c r="AP185" s="12">
        <f>AO185+SUM(AP182:AP184)</f>
        <v>64.8653352047157</v>
      </c>
      <c r="AQ185" s="12" t="n"/>
      <c r="AR185" s="12">
        <f>AP185+SUM(AR182:AR184)</f>
        <v>67.8502030469365</v>
      </c>
      <c r="AS185" s="12">
        <f>AR185+SUM(AS182:AS184)</f>
        <v>70.9794914099614</v>
      </c>
      <c r="AT185" s="12">
        <f>AS185+SUM(AT182:AT184)</f>
        <v>74.5186987245811</v>
      </c>
      <c r="AU185" s="12">
        <f>AT185+SUM(AU182:AU184)</f>
        <v>78.064872422202</v>
      </c>
      <c r="AV185" s="12" t="n"/>
      <c r="AW185" s="12">
        <f>AU185+SUM(AW182:AW184)</f>
        <v>82.0629144582868</v>
      </c>
      <c r="AX185" s="12">
        <f>AW185+SUM(AX182:AX184)</f>
        <v>86.2543986645343</v>
      </c>
      <c r="AY185" s="12">
        <f>AX185+SUM(AY182:AY184)</f>
        <v>90.9949434277291</v>
      </c>
      <c r="AZ185" s="12">
        <f>AY185+SUM(AZ182:AZ184)</f>
        <v>95.7448192211572</v>
      </c>
      <c r="BA185" s="12" t="n"/>
      <c r="BB185" s="12">
        <f>AZ185+SUM(BB182:BB184)</f>
        <v>101.079953916744</v>
      </c>
      <c r="BC185" s="12">
        <f>BB185+SUM(BC182:BC184)</f>
        <v>106.673224976159</v>
      </c>
      <c r="BD185" s="12">
        <f>BC185+SUM(BD182:BD184)</f>
        <v>112.999182685916</v>
      </c>
      <c r="BE185" s="12">
        <f>BD185+SUM(BE182:BE184)</f>
        <v>119.33759206644</v>
      </c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57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>
        <f>IF(AJ15=0,"",AJ182/AJ15)</f>
        <v>0.00704606410804877</v>
      </c>
      <c r="AK186" s="12">
        <f>IF(AK15=0,"",AK182/AK15)</f>
        <v>0.00704606410804877</v>
      </c>
      <c r="AL186" s="12" t="n"/>
      <c r="AM186" s="12">
        <f>IF(AM15=0,"",AM182/AM15)</f>
        <v>0.00704606410804877</v>
      </c>
      <c r="AN186" s="12">
        <f>IF(AN15=0,"",AN182/AN15)</f>
        <v>0.00704606410804877</v>
      </c>
      <c r="AO186" s="12">
        <f>IF(AO15=0,"",AO182/AO15)</f>
        <v>0.00704606410804877</v>
      </c>
      <c r="AP186" s="12">
        <f>IF(AP15=0,"",AP182/AP15)</f>
        <v>0.00704606410804877</v>
      </c>
      <c r="AQ186" s="12" t="n"/>
      <c r="AR186" s="12">
        <f>IF(AR15=0,"",AR182/AR15)</f>
        <v>0.00704606410804877</v>
      </c>
      <c r="AS186" s="12">
        <f>IF(AS15=0,"",AS182/AS15)</f>
        <v>0.00704606410804877</v>
      </c>
      <c r="AT186" s="12">
        <f>IF(AT15=0,"",AT182/AT15)</f>
        <v>0.00704606410804877</v>
      </c>
      <c r="AU186" s="12">
        <f>IF(AU15=0,"",AU182/AU15)</f>
        <v>0.00704606410804877</v>
      </c>
      <c r="AV186" s="12" t="n"/>
      <c r="AW186" s="12">
        <f>IF(AW15=0,"",AW182/AW15)</f>
        <v>0.00704606410804877</v>
      </c>
      <c r="AX186" s="12">
        <f>IF(AX15=0,"",AX182/AX15)</f>
        <v>0.00704606410804877</v>
      </c>
      <c r="AY186" s="12">
        <f>IF(AY15=0,"",AY182/AY15)</f>
        <v>0.00704606410804877</v>
      </c>
      <c r="AZ186" s="12">
        <f>IF(AZ15=0,"",AZ182/AZ15)</f>
        <v>0.00704606410804877</v>
      </c>
      <c r="BA186" s="12" t="n"/>
      <c r="BB186" s="12">
        <f>IF(BB15=0,"",BB182/BB15)</f>
        <v>0.00704606410804877</v>
      </c>
      <c r="BC186" s="12">
        <f>IF(BC15=0,"",BC182/BC15)</f>
        <v>0.00704606410804877</v>
      </c>
      <c r="BD186" s="12">
        <f>IF(BD15=0,"",BD182/BD15)</f>
        <v>0.00704606410804877</v>
      </c>
      <c r="BE186" s="12">
        <f>IF(BE15=0,"",BE182/BE15)</f>
        <v>0.00704606410804877</v>
      </c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inlineStr">
        <is>
          <t>Capital expenditures (% Net Revenues)</t>
        </is>
      </c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58">
        <f>IFERROR(AF182/AF15,"")</f>
        <v>0.0068746192017412</v>
      </c>
      <c r="AG187" s="58">
        <f>IFERROR(AG182/AG15,"")</f>
        <v>0.00638586634426191</v>
      </c>
      <c r="AH187" s="58">
        <f>IFERROR(AH182/AH15,"")</f>
        <v>0.00838350683473782</v>
      </c>
      <c r="AI187" s="58">
        <f>IFERROR(AI182/AI15,"")</f>
        <v>0.00787888753893602</v>
      </c>
      <c r="AJ187" s="58">
        <f>IFERROR(AJ182/AJ15,"")</f>
        <v>0.00704606410804877</v>
      </c>
      <c r="AK187" s="58">
        <f>IFERROR(AK182/AK15,"")</f>
        <v>0.00704606410804877</v>
      </c>
      <c r="AL187" s="58">
        <f>IFERROR(AL182/AL15,"")</f>
        <v>0</v>
      </c>
      <c r="AM187" s="58">
        <f>IFERROR(AM182/AM15,"")</f>
        <v>0.00704606410804877</v>
      </c>
      <c r="AN187" s="58">
        <f>IFERROR(AN182/AN15,"")</f>
        <v>0.00704606410804877</v>
      </c>
      <c r="AO187" s="58">
        <f>IFERROR(AO182/AO15,"")</f>
        <v>0.00704606410804877</v>
      </c>
      <c r="AP187" s="58">
        <f>IFERROR(AP182/AP15,"")</f>
        <v>0.00704606410804877</v>
      </c>
      <c r="AQ187" s="58">
        <f>IFERROR(AQ182/AQ15,"")</f>
        <v>0</v>
      </c>
      <c r="AR187" s="58">
        <f>IFERROR(AR182/AR15,"")</f>
        <v>0.00704606410804877</v>
      </c>
      <c r="AS187" s="58">
        <f>IFERROR(AS182/AS15,"")</f>
        <v>0.00704606410804877</v>
      </c>
      <c r="AT187" s="58">
        <f>IFERROR(AT182/AT15,"")</f>
        <v>0.00704606410804877</v>
      </c>
      <c r="AU187" s="58">
        <f>IFERROR(AU182/AU15,"")</f>
        <v>0.00704606410804877</v>
      </c>
      <c r="AV187" s="58">
        <f>IFERROR(AV182/AV15,"")</f>
        <v>0</v>
      </c>
      <c r="AW187" s="58">
        <f>IFERROR(AW182/AW15,"")</f>
        <v>0.00704606410804877</v>
      </c>
      <c r="AX187" s="58">
        <f>IFERROR(AX182/AX15,"")</f>
        <v>0.00704606410804877</v>
      </c>
      <c r="AY187" s="58">
        <f>IFERROR(AY182/AY15,"")</f>
        <v>0.00704606410804877</v>
      </c>
      <c r="AZ187" s="58">
        <f>IFERROR(AZ182/AZ15,"")</f>
        <v>0.00704606410804877</v>
      </c>
      <c r="BA187" s="58">
        <f>IFERROR(BA182/BA15,"")</f>
        <v>0</v>
      </c>
      <c r="BB187" s="58">
        <f>IFERROR(BB182/BB15,"")</f>
        <v>0.00704606410804877</v>
      </c>
      <c r="BC187" s="58">
        <f>IFERROR(BC182/BC15,"")</f>
        <v>0.00704606410804877</v>
      </c>
      <c r="BD187" s="58">
        <f>IFERROR(BD182/BD15,"")</f>
        <v>0.00704606410804877</v>
      </c>
      <c r="BE187" s="58">
        <f>IFERROR(BE182/BE15,"")</f>
        <v>0.00704606410804877</v>
      </c>
      <c r="BF187" s="58">
        <f>IFERROR(BF182/BF15,"")</f>
        <v>0</v>
      </c>
      <c r="BG187" s="58" t="n"/>
      <c r="BH187" s="58" t="n"/>
      <c r="BI187" s="58" t="n"/>
      <c r="BJ187" s="58" t="n"/>
      <c r="BK187" s="58" t="n"/>
      <c r="BL187" s="58" t="n"/>
      <c r="BM187" s="58" t="n"/>
      <c r="BN187" s="58" t="n"/>
      <c r="BO187" s="58" t="n"/>
      <c r="BP187" s="58" t="n"/>
      <c r="BQ187" s="58" t="n"/>
      <c r="BR187" s="58" t="n"/>
      <c r="BS187" s="58" t="n"/>
      <c r="BT187" s="58" t="n"/>
      <c r="BU187" s="58" t="n"/>
      <c r="BV187" s="58" t="n"/>
      <c r="BW187" s="58" t="n"/>
      <c r="BX187" s="58" t="n"/>
      <c r="BY187" s="58" t="n"/>
      <c r="BZ187" s="58" t="n"/>
      <c r="CA187" s="58" t="n"/>
      <c r="CB187" s="58" t="n"/>
      <c r="CC187" s="58" t="n"/>
      <c r="CD187" s="58" t="n"/>
      <c r="CE187" s="58" t="n"/>
      <c r="CF187" s="58" t="n"/>
      <c r="CG187" s="58" t="n"/>
      <c r="CH187" s="58" t="n"/>
      <c r="CI187" s="58" t="n"/>
      <c r="CJ187" s="58" t="n"/>
      <c r="CK187" s="58" t="n"/>
      <c r="CL187" s="58" t="n"/>
      <c r="CM187" s="58" t="n"/>
      <c r="CN187" s="58" t="n"/>
      <c r="CO187" s="58" t="n"/>
      <c r="CP187" s="58" t="n"/>
      <c r="CQ187" s="58" t="n"/>
      <c r="CR187" s="58" t="n"/>
      <c r="CS187" s="58" t="n"/>
      <c r="CT187" s="58" t="n"/>
      <c r="CU187" s="58" t="n"/>
      <c r="CV187" s="58" t="n"/>
      <c r="CW187" s="58" t="n"/>
      <c r="CX187" s="58" t="n"/>
      <c r="CY187" s="58" t="n"/>
    </row>
    <row r="188" hidden="1" outlineLevel="1">
      <c r="C188" s="57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57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collapsed="1">
      <c r="C190" s="14" t="inlineStr">
        <is>
          <t>Right-of-use-assets</t>
        </is>
      </c>
      <c r="D190" s="46" t="n"/>
      <c r="E190" s="46" t="n"/>
      <c r="F190" s="46" t="n"/>
      <c r="G190" s="46" t="n"/>
      <c r="H190" s="12" t="n"/>
      <c r="I190" s="46">
        <f>'Inputs (2)'!D23</f>
        <v>0</v>
      </c>
      <c r="J190" s="46">
        <f>'Inputs (2)'!E23</f>
        <v>0</v>
      </c>
      <c r="K190" s="46">
        <f>'Inputs (2)'!F23</f>
        <v>0</v>
      </c>
      <c r="L190" s="46">
        <f>'Inputs (2)'!G23</f>
        <v>0</v>
      </c>
      <c r="M190" s="12">
        <f>'Inputs (2)'!H23</f>
        <v>0</v>
      </c>
      <c r="N190" s="46">
        <f>'Inputs (2)'!I23</f>
        <v>0</v>
      </c>
      <c r="O190" s="46">
        <f>'Inputs (2)'!J23</f>
        <v>0</v>
      </c>
      <c r="P190" s="46">
        <f>'Inputs (2)'!K23</f>
        <v>0</v>
      </c>
      <c r="Q190" s="46">
        <f>'Inputs (2)'!L23</f>
        <v>0</v>
      </c>
      <c r="R190" s="12">
        <f>'Inputs (2)'!M23</f>
        <v>0</v>
      </c>
      <c r="S190" s="46">
        <f>'Inputs (2)'!N23</f>
        <v>0</v>
      </c>
      <c r="T190" s="46">
        <f>'Inputs (2)'!O23</f>
        <v>0</v>
      </c>
      <c r="U190" s="46">
        <f>'Inputs (2)'!P23</f>
        <v>0</v>
      </c>
      <c r="V190" s="46">
        <f>'Inputs (2)'!Q23</f>
        <v>0</v>
      </c>
      <c r="W190" s="12">
        <f>'Inputs (2)'!R23</f>
        <v>0</v>
      </c>
      <c r="X190" s="46">
        <f>'Inputs (2)'!S23</f>
        <v>0</v>
      </c>
      <c r="Y190" s="46">
        <f>'Inputs (2)'!T23</f>
        <v>0</v>
      </c>
      <c r="Z190" s="46">
        <f>'Inputs (2)'!U23</f>
        <v>0</v>
      </c>
      <c r="AA190" s="46">
        <f>'Inputs (2)'!V23</f>
        <v>0</v>
      </c>
      <c r="AB190" s="12">
        <f>'Inputs (2)'!W23</f>
        <v>0</v>
      </c>
      <c r="AC190" s="46">
        <f>'Inputs (2)'!X23</f>
        <v>0</v>
      </c>
      <c r="AD190" s="46">
        <f>'Inputs (2)'!Y23</f>
        <v>0</v>
      </c>
      <c r="AE190" s="46">
        <f>'Inputs (2)'!Z23</f>
        <v>0</v>
      </c>
      <c r="AF190" s="46">
        <f>'Inputs (2)'!AA23</f>
        <v>0</v>
      </c>
      <c r="AG190" s="12">
        <f>'Inputs (2)'!AB23</f>
        <v>0</v>
      </c>
      <c r="AH190" s="12">
        <f>'Inputs (2)'!AC23</f>
        <v>0</v>
      </c>
      <c r="AI190" s="12">
        <f>'Inputs (2)'!AD23</f>
        <v>0</v>
      </c>
      <c r="AJ190" s="12">
        <f>AI190</f>
        <v>0</v>
      </c>
      <c r="AK190" s="12">
        <f>AJ190</f>
        <v>0</v>
      </c>
      <c r="AL190" s="12">
        <f>AK190</f>
        <v>0</v>
      </c>
      <c r="AM190" s="12">
        <f>AL190</f>
        <v>0</v>
      </c>
      <c r="AN190" s="12">
        <f>AM190</f>
        <v>0</v>
      </c>
      <c r="AO190" s="12">
        <f>AN190</f>
        <v>0</v>
      </c>
      <c r="AP190" s="12">
        <f>AO190</f>
        <v>0</v>
      </c>
      <c r="AQ190" s="12">
        <f>AP190</f>
        <v>0</v>
      </c>
      <c r="AR190" s="12">
        <f>AQ190</f>
        <v>0</v>
      </c>
      <c r="AS190" s="12">
        <f>AR190</f>
        <v>0</v>
      </c>
      <c r="AT190" s="12">
        <f>AS190</f>
        <v>0</v>
      </c>
      <c r="AU190" s="12">
        <f>AT190</f>
        <v>0</v>
      </c>
      <c r="AV190" s="12">
        <f>AU190</f>
        <v>0</v>
      </c>
      <c r="AW190" s="12">
        <f>AV190</f>
        <v>0</v>
      </c>
      <c r="AX190" s="12">
        <f>AW190</f>
        <v>0</v>
      </c>
      <c r="AY190" s="12">
        <f>AX190</f>
        <v>0</v>
      </c>
      <c r="AZ190" s="12">
        <f>AY190</f>
        <v>0</v>
      </c>
      <c r="BA190" s="12">
        <f>AZ190</f>
        <v>0</v>
      </c>
      <c r="BB190" s="12">
        <f>BA190</f>
        <v>0</v>
      </c>
      <c r="BC190" s="12">
        <f>BB190</f>
        <v>0</v>
      </c>
      <c r="BD190" s="12">
        <f>BC190</f>
        <v>0</v>
      </c>
      <c r="BE190" s="12">
        <f>BD190</f>
        <v>0</v>
      </c>
      <c r="BF190" s="12">
        <f>BE190</f>
        <v>0</v>
      </c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9" t="inlineStr">
        <is>
          <t>%(Var.)</t>
        </is>
      </c>
      <c r="D191" s="12" t="n"/>
      <c r="E191" s="40" t="n"/>
      <c r="F191" s="40" t="n"/>
      <c r="G191" s="40" t="n"/>
      <c r="H191" s="12" t="n"/>
      <c r="I191" s="40" t="str">
        <f>""</f>
        <v/>
      </c>
      <c r="J191" s="40" t="str">
        <f>IFERROR(IF(I190=0,"",J190/I190-1),"")</f>
        <v/>
      </c>
      <c r="K191" s="40" t="str">
        <f>IFERROR(IF(J190=0,"",K190/J190-1),"")</f>
        <v/>
      </c>
      <c r="L191" s="40" t="str">
        <f>IFERROR(IF(K190=0,"",L190/K190-1),"")</f>
        <v/>
      </c>
      <c r="M191" s="12" t="str">
        <f>IFERROR(IF(L190=0,"",M190/L190-1),"")</f>
        <v/>
      </c>
      <c r="N191" s="40" t="str">
        <f>IFERROR(IF(M190=0,"",N190/M190-1),"")</f>
        <v/>
      </c>
      <c r="O191" s="40" t="str">
        <f>IFERROR(IF(N190=0,"",O190/N190-1),"")</f>
        <v/>
      </c>
      <c r="P191" s="40" t="str">
        <f>IFERROR(IF(O190=0,"",P190/O190-1),"")</f>
        <v/>
      </c>
      <c r="Q191" s="40" t="str">
        <f>IFERROR(IF(P190=0,"",Q190/P190-1),"")</f>
        <v/>
      </c>
      <c r="R191" s="12" t="str">
        <f>IFERROR(IF(Q190=0,"",R190/Q190-1),"")</f>
        <v/>
      </c>
      <c r="S191" s="40" t="str">
        <f>IFERROR(IF(R190=0,"",S190/R190-1),"")</f>
        <v/>
      </c>
      <c r="T191" s="40" t="str">
        <f>IFERROR(IF(S190=0,"",T190/S190-1),"")</f>
        <v/>
      </c>
      <c r="U191" s="40" t="str">
        <f>IFERROR(IF(T190=0,"",U190/T190-1),"")</f>
        <v/>
      </c>
      <c r="V191" s="40" t="str">
        <f>IFERROR(IF(U190=0,"",V190/U190-1),"")</f>
        <v/>
      </c>
      <c r="W191" s="12" t="str">
        <f>IFERROR(IF(V190=0,"",W190/V190-1),"")</f>
        <v/>
      </c>
      <c r="X191" s="40" t="str">
        <f>IFERROR(IF(W190=0,"",X190/W190-1),"")</f>
        <v/>
      </c>
      <c r="Y191" s="40" t="str">
        <f>IFERROR(IF(X190=0,"",Y190/X190-1),"")</f>
        <v/>
      </c>
      <c r="Z191" s="40" t="str">
        <f>IFERROR(IF(Y190=0,"",Z190/Y190-1),"")</f>
        <v/>
      </c>
      <c r="AA191" s="40" t="str">
        <f>IFERROR(IF(Z190=0,"",AA190/Z190-1),"")</f>
        <v/>
      </c>
      <c r="AB191" s="12" t="str">
        <f>IFERROR(IF(AA190=0,"",AB190/AA190-1),"")</f>
        <v/>
      </c>
      <c r="AC191" s="40" t="str">
        <f>IFERROR(IF(AB190=0,"",AC190/AB190-1),"")</f>
        <v/>
      </c>
      <c r="AD191" s="40" t="str">
        <f>IFERROR(IF(AC190=0,"",AD190/AC190-1),"")</f>
        <v/>
      </c>
      <c r="AE191" s="40" t="str">
        <f>IFERROR(IF(AD190=0,"",AE190/AD190-1),"")</f>
        <v/>
      </c>
      <c r="AF191" s="55" t="str">
        <f>IFERROR(IF(AE190=0,"",AF190/AE190-1),"")</f>
        <v/>
      </c>
      <c r="AG191" s="12" t="str">
        <f>IFERROR(IF(AF190=0,"",AG190/AF190-1),"")</f>
        <v/>
      </c>
      <c r="AH191" s="55" t="str">
        <f>IFERROR(IF(AG190=0,"",AH190/AG190-1),"")</f>
        <v/>
      </c>
      <c r="AI191" s="55" t="str">
        <f>IFERROR(IF(AH190=0,"",AI190/AH190-1),"")</f>
        <v/>
      </c>
      <c r="AJ191" s="55" t="str">
        <f>IFERROR(IF(AI190=0,"",AJ190/AI190-1),"")</f>
        <v/>
      </c>
      <c r="AK191" s="55" t="str">
        <f>IFERROR(IF(AJ190=0,"",AK190/AJ190-1),"")</f>
        <v/>
      </c>
      <c r="AL191" s="12" t="str">
        <f>IFERROR(IF(AK190=0,"",AL190/AK190-1),"")</f>
        <v/>
      </c>
      <c r="AM191" s="55" t="str">
        <f>IFERROR(IF(AL190=0,"",AM190/AL190-1),"")</f>
        <v/>
      </c>
      <c r="AN191" s="55" t="str">
        <f>IFERROR(IF(AM190=0,"",AN190/AM190-1),"")</f>
        <v/>
      </c>
      <c r="AO191" s="55" t="str">
        <f>IFERROR(IF(AN190=0,"",AO190/AN190-1),"")</f>
        <v/>
      </c>
      <c r="AP191" s="55" t="str">
        <f>IFERROR(IF(AO190=0,"",AP190/AO190-1),"")</f>
        <v/>
      </c>
      <c r="AQ191" s="12" t="str">
        <f>IFERROR(IF(AP190=0,"",AQ190/AP190-1),"")</f>
        <v/>
      </c>
      <c r="AR191" s="55" t="str">
        <f>IFERROR(IF(AQ190=0,"",AR190/AQ190-1),"")</f>
        <v/>
      </c>
      <c r="AS191" s="55" t="str">
        <f>IFERROR(IF(AR190=0,"",AS190/AR190-1),"")</f>
        <v/>
      </c>
      <c r="AT191" s="55" t="str">
        <f>IFERROR(IF(AS190=0,"",AT190/AS190-1),"")</f>
        <v/>
      </c>
      <c r="AU191" s="55" t="str">
        <f>IFERROR(IF(AT190=0,"",AU190/AT190-1),"")</f>
        <v/>
      </c>
      <c r="AV191" s="12" t="str">
        <f>IFERROR(IF(AU190=0,"",AV190/AU190-1),"")</f>
        <v/>
      </c>
      <c r="AW191" s="55" t="str">
        <f>IFERROR(IF(AV190=0,"",AW190/AV190-1),"")</f>
        <v/>
      </c>
      <c r="AX191" s="55" t="str">
        <f>IFERROR(IF(AW190=0,"",AX190/AW190-1),"")</f>
        <v/>
      </c>
      <c r="AY191" s="55" t="str">
        <f>IFERROR(IF(AX190=0,"",AY190/AX190-1),"")</f>
        <v/>
      </c>
      <c r="AZ191" s="55" t="str">
        <f>IFERROR(IF(AY190=0,"",AZ190/AY190-1),"")</f>
        <v/>
      </c>
      <c r="BA191" s="12" t="str">
        <f>IFERROR(IF(AZ190=0,"",BA190/AZ190-1),"")</f>
        <v/>
      </c>
      <c r="BB191" s="55" t="str">
        <f>IFERROR(IF(BA190=0,"",BB190/BA190-1),"")</f>
        <v/>
      </c>
      <c r="BC191" s="55" t="str">
        <f>IFERROR(IF(BB190=0,"",BC190/BB190-1),"")</f>
        <v/>
      </c>
      <c r="BD191" s="55" t="str">
        <f>IFERROR(IF(BC190=0,"",BD190/BC190-1),"")</f>
        <v/>
      </c>
      <c r="BE191" s="55" t="str">
        <f>IFERROR(IF(BD190=0,"",BE190/BD190-1),"")</f>
        <v/>
      </c>
      <c r="BF191" s="12" t="str">
        <f>IFERROR(IF(BE190=0,"",BF190/BE190-1),"")</f>
        <v/>
      </c>
      <c r="BG191" s="55" t="n"/>
      <c r="BH191" s="55" t="n"/>
      <c r="BI191" s="55" t="n"/>
      <c r="BJ191" s="55" t="n"/>
      <c r="BK191" s="12" t="n"/>
      <c r="BL191" s="55" t="n"/>
      <c r="BM191" s="55" t="n"/>
      <c r="BN191" s="55" t="n"/>
      <c r="BO191" s="55" t="n"/>
      <c r="BP191" s="12" t="n"/>
      <c r="BQ191" s="55" t="n"/>
      <c r="BR191" s="55" t="n"/>
      <c r="BS191" s="55" t="n"/>
      <c r="BT191" s="55" t="n"/>
      <c r="BU191" s="12" t="n"/>
      <c r="BV191" s="55" t="n"/>
      <c r="BW191" s="55" t="n"/>
      <c r="BX191" s="55" t="n"/>
      <c r="BY191" s="55" t="n"/>
      <c r="BZ191" s="12" t="n"/>
      <c r="CA191" s="55" t="n"/>
      <c r="CB191" s="55" t="n"/>
      <c r="CC191" s="55" t="n"/>
      <c r="CD191" s="55" t="n"/>
      <c r="CE191" s="12" t="n"/>
      <c r="CF191" s="55" t="n"/>
      <c r="CG191" s="55" t="n"/>
      <c r="CH191" s="55" t="n"/>
      <c r="CI191" s="55" t="n"/>
      <c r="CJ191" s="12" t="n"/>
      <c r="CK191" s="55" t="n"/>
      <c r="CL191" s="55" t="n"/>
      <c r="CM191" s="55" t="n"/>
      <c r="CN191" s="55" t="n"/>
      <c r="CO191" s="12" t="n"/>
      <c r="CP191" s="55" t="n"/>
      <c r="CQ191" s="55" t="n"/>
      <c r="CR191" s="55" t="n"/>
      <c r="CS191" s="55" t="n"/>
      <c r="CT191" s="12" t="n"/>
      <c r="CU191" s="55" t="n"/>
      <c r="CV191" s="55" t="n"/>
      <c r="CW191" s="55" t="n"/>
      <c r="CX191" s="55" t="n"/>
      <c r="CY191" s="12" t="n"/>
    </row>
    <row r="192" hidden="1" outlineLevel="1">
      <c r="C192" s="57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collapsed="1">
      <c r="C193" s="14" t="inlineStr">
        <is>
          <t>Goodwill</t>
        </is>
      </c>
      <c r="D193" s="46" t="n"/>
      <c r="E193" s="46" t="n"/>
      <c r="F193" s="46" t="n"/>
      <c r="G193" s="46" t="n"/>
      <c r="H193" s="12" t="n"/>
      <c r="I193" s="46">
        <f>'Inputs (2)'!D24</f>
        <v>0</v>
      </c>
      <c r="J193" s="46">
        <f>'Inputs (2)'!E24</f>
        <v>0</v>
      </c>
      <c r="K193" s="46">
        <f>'Inputs (2)'!F24</f>
        <v>0</v>
      </c>
      <c r="L193" s="46">
        <f>'Inputs (2)'!G24</f>
        <v>0</v>
      </c>
      <c r="M193" s="12">
        <f>'Inputs (2)'!H24</f>
        <v>0</v>
      </c>
      <c r="N193" s="46">
        <f>'Inputs (2)'!I24</f>
        <v>0</v>
      </c>
      <c r="O193" s="46">
        <f>'Inputs (2)'!J24</f>
        <v>0</v>
      </c>
      <c r="P193" s="46">
        <f>'Inputs (2)'!K24</f>
        <v>0</v>
      </c>
      <c r="Q193" s="46">
        <f>'Inputs (2)'!L24</f>
        <v>0</v>
      </c>
      <c r="R193" s="12">
        <f>'Inputs (2)'!M24</f>
        <v>0</v>
      </c>
      <c r="S193" s="46">
        <f>'Inputs (2)'!N24</f>
        <v>0</v>
      </c>
      <c r="T193" s="46">
        <f>'Inputs (2)'!O24</f>
        <v>0</v>
      </c>
      <c r="U193" s="46">
        <f>'Inputs (2)'!P24</f>
        <v>0</v>
      </c>
      <c r="V193" s="46">
        <f>'Inputs (2)'!Q24</f>
        <v>0</v>
      </c>
      <c r="W193" s="12">
        <f>'Inputs (2)'!R24</f>
        <v>0</v>
      </c>
      <c r="X193" s="46">
        <f>'Inputs (2)'!S24</f>
        <v>0</v>
      </c>
      <c r="Y193" s="46">
        <f>'Inputs (2)'!T24</f>
        <v>0</v>
      </c>
      <c r="Z193" s="46">
        <f>'Inputs (2)'!U24</f>
        <v>0</v>
      </c>
      <c r="AA193" s="46">
        <f>'Inputs (2)'!V24</f>
        <v>0</v>
      </c>
      <c r="AB193" s="12">
        <f>'Inputs (2)'!W24</f>
        <v>0</v>
      </c>
      <c r="AC193" s="46">
        <f>'Inputs (2)'!X24</f>
        <v>0</v>
      </c>
      <c r="AD193" s="46">
        <f>'Inputs (2)'!Y24</f>
        <v>0</v>
      </c>
      <c r="AE193" s="46">
        <f>'Inputs (2)'!Z24</f>
        <v>0</v>
      </c>
      <c r="AF193" s="46">
        <f>'Inputs (2)'!AA24</f>
        <v>0</v>
      </c>
      <c r="AG193" s="12">
        <f>'Inputs (2)'!AB24</f>
        <v>0</v>
      </c>
      <c r="AH193" s="12">
        <f>'Inputs (2)'!AC24</f>
        <v>0</v>
      </c>
      <c r="AI193" s="12">
        <f>'Inputs (2)'!AD24</f>
        <v>0</v>
      </c>
      <c r="AJ193" s="12">
        <f>AI193</f>
        <v>0</v>
      </c>
      <c r="AK193" s="12">
        <f>AJ193</f>
        <v>0</v>
      </c>
      <c r="AL193" s="12">
        <f>AK193</f>
        <v>0</v>
      </c>
      <c r="AM193" s="12">
        <f>AL193</f>
        <v>0</v>
      </c>
      <c r="AN193" s="12">
        <f>AM193</f>
        <v>0</v>
      </c>
      <c r="AO193" s="12">
        <f>AN193</f>
        <v>0</v>
      </c>
      <c r="AP193" s="12">
        <f>AO193</f>
        <v>0</v>
      </c>
      <c r="AQ193" s="12">
        <f>AP193</f>
        <v>0</v>
      </c>
      <c r="AR193" s="12">
        <f>AQ193</f>
        <v>0</v>
      </c>
      <c r="AS193" s="12">
        <f>AR193</f>
        <v>0</v>
      </c>
      <c r="AT193" s="12">
        <f>AS193</f>
        <v>0</v>
      </c>
      <c r="AU193" s="12">
        <f>AT193</f>
        <v>0</v>
      </c>
      <c r="AV193" s="12">
        <f>AU193</f>
        <v>0</v>
      </c>
      <c r="AW193" s="12">
        <f>AV193</f>
        <v>0</v>
      </c>
      <c r="AX193" s="12">
        <f>AW193</f>
        <v>0</v>
      </c>
      <c r="AY193" s="12">
        <f>AX193</f>
        <v>0</v>
      </c>
      <c r="AZ193" s="12">
        <f>AY193</f>
        <v>0</v>
      </c>
      <c r="BA193" s="12">
        <f>AZ193</f>
        <v>0</v>
      </c>
      <c r="BB193" s="12">
        <f>BA193</f>
        <v>0</v>
      </c>
      <c r="BC193" s="12">
        <f>BB193</f>
        <v>0</v>
      </c>
      <c r="BD193" s="12">
        <f>BC193</f>
        <v>0</v>
      </c>
      <c r="BE193" s="12">
        <f>BD193</f>
        <v>0</v>
      </c>
      <c r="BF193" s="12">
        <f>BE193</f>
        <v>0</v>
      </c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>
      <c r="C194" s="14" t="inlineStr">
        <is>
          <t>Intangibles</t>
        </is>
      </c>
      <c r="D194" s="46" t="n"/>
      <c r="E194" s="46" t="n"/>
      <c r="F194" s="46" t="n"/>
      <c r="G194" s="46" t="n"/>
      <c r="H194" s="12" t="n"/>
      <c r="I194" s="46">
        <f>'Inputs (2)'!D25</f>
        <v>0</v>
      </c>
      <c r="J194" s="46">
        <f>'Inputs (2)'!E25</f>
        <v>0</v>
      </c>
      <c r="K194" s="46">
        <f>'Inputs (2)'!F25</f>
        <v>0</v>
      </c>
      <c r="L194" s="46">
        <f>'Inputs (2)'!G25</f>
        <v>0</v>
      </c>
      <c r="M194" s="12">
        <f>'Inputs (2)'!H25</f>
        <v>0</v>
      </c>
      <c r="N194" s="46">
        <f>'Inputs (2)'!I25</f>
        <v>0</v>
      </c>
      <c r="O194" s="46">
        <f>'Inputs (2)'!J25</f>
        <v>0</v>
      </c>
      <c r="P194" s="46">
        <f>'Inputs (2)'!K25</f>
        <v>0</v>
      </c>
      <c r="Q194" s="46">
        <f>'Inputs (2)'!L25</f>
        <v>0</v>
      </c>
      <c r="R194" s="12">
        <f>'Inputs (2)'!M25</f>
        <v>0</v>
      </c>
      <c r="S194" s="46">
        <f>'Inputs (2)'!N25</f>
        <v>0</v>
      </c>
      <c r="T194" s="46">
        <f>'Inputs (2)'!O25</f>
        <v>0</v>
      </c>
      <c r="U194" s="46">
        <f>'Inputs (2)'!P25</f>
        <v>0</v>
      </c>
      <c r="V194" s="46">
        <f>'Inputs (2)'!Q25</f>
        <v>0</v>
      </c>
      <c r="W194" s="12">
        <f>'Inputs (2)'!R25</f>
        <v>0</v>
      </c>
      <c r="X194" s="46">
        <f>'Inputs (2)'!S25</f>
        <v>0</v>
      </c>
      <c r="Y194" s="46">
        <f>'Inputs (2)'!T25</f>
        <v>0</v>
      </c>
      <c r="Z194" s="46">
        <f>'Inputs (2)'!U25</f>
        <v>0</v>
      </c>
      <c r="AA194" s="46">
        <f>'Inputs (2)'!V25</f>
        <v>0</v>
      </c>
      <c r="AB194" s="12">
        <f>'Inputs (2)'!W25</f>
        <v>0</v>
      </c>
      <c r="AC194" s="46">
        <f>'Inputs (2)'!X25</f>
        <v>0</v>
      </c>
      <c r="AD194" s="46">
        <f>'Inputs (2)'!Y25</f>
        <v>0</v>
      </c>
      <c r="AE194" s="46">
        <f>'Inputs (2)'!Z25</f>
        <v>0</v>
      </c>
      <c r="AF194" s="46">
        <f>'Inputs (2)'!AA25</f>
        <v>0</v>
      </c>
      <c r="AG194" s="12">
        <f>'Inputs (2)'!AB25</f>
        <v>0</v>
      </c>
      <c r="AH194" s="12">
        <f>'Inputs (2)'!AC25</f>
        <v>0</v>
      </c>
      <c r="AI194" s="12">
        <f>'Inputs (2)'!AD25</f>
        <v>0</v>
      </c>
      <c r="AJ194" s="12">
        <f>AI194</f>
        <v>0</v>
      </c>
      <c r="AK194" s="12">
        <f>AJ194</f>
        <v>0</v>
      </c>
      <c r="AL194" s="12">
        <f>AK194</f>
        <v>0</v>
      </c>
      <c r="AM194" s="16">
        <f>AL194</f>
        <v>0</v>
      </c>
      <c r="AN194" s="12">
        <f>AM194</f>
        <v>0</v>
      </c>
      <c r="AO194" s="12">
        <f>AN194</f>
        <v>0</v>
      </c>
      <c r="AP194" s="12">
        <f>AO194</f>
        <v>0</v>
      </c>
      <c r="AQ194" s="12">
        <f>AP194</f>
        <v>0</v>
      </c>
      <c r="AR194" s="16">
        <f>AQ194</f>
        <v>0</v>
      </c>
      <c r="AS194" s="12">
        <f>AR194</f>
        <v>0</v>
      </c>
      <c r="AT194" s="12">
        <f>AS194</f>
        <v>0</v>
      </c>
      <c r="AU194" s="12">
        <f>AT194</f>
        <v>0</v>
      </c>
      <c r="AV194" s="12">
        <f>AU194</f>
        <v>0</v>
      </c>
      <c r="AW194" s="16">
        <f>AV194</f>
        <v>0</v>
      </c>
      <c r="AX194" s="12">
        <f>AW194</f>
        <v>0</v>
      </c>
      <c r="AY194" s="12">
        <f>AX194</f>
        <v>0</v>
      </c>
      <c r="AZ194" s="12">
        <f>AY194</f>
        <v>0</v>
      </c>
      <c r="BA194" s="12">
        <f>AZ194</f>
        <v>0</v>
      </c>
      <c r="BB194" s="16">
        <f>BA194</f>
        <v>0</v>
      </c>
      <c r="BC194" s="12">
        <f>BB194</f>
        <v>0</v>
      </c>
      <c r="BD194" s="12">
        <f>BC194</f>
        <v>0</v>
      </c>
      <c r="BE194" s="12">
        <f>BD194</f>
        <v>0</v>
      </c>
      <c r="BF194" s="12">
        <f>BE194</f>
        <v>0</v>
      </c>
      <c r="BH194" s="12" t="n"/>
      <c r="BI194" s="12" t="n"/>
      <c r="BJ194" s="12" t="n"/>
      <c r="BK194" s="12" t="n"/>
      <c r="BM194" s="12" t="n"/>
      <c r="BN194" s="12" t="n"/>
      <c r="BO194" s="12" t="n"/>
      <c r="BP194" s="12" t="n"/>
      <c r="BR194" s="12" t="n"/>
      <c r="BS194" s="12" t="n"/>
      <c r="BT194" s="12" t="n"/>
      <c r="BU194" s="12" t="n"/>
      <c r="BW194" s="12" t="n"/>
      <c r="BX194" s="12" t="n"/>
      <c r="BY194" s="12" t="n"/>
      <c r="BZ194" s="12" t="n"/>
      <c r="CB194" s="12" t="n"/>
      <c r="CC194" s="12" t="n"/>
      <c r="CD194" s="12" t="n"/>
      <c r="CE194" s="12" t="n"/>
      <c r="CG194" s="12" t="n"/>
      <c r="CH194" s="12" t="n"/>
      <c r="CI194" s="12" t="n"/>
      <c r="CJ194" s="12" t="n"/>
      <c r="CL194" s="12" t="n"/>
      <c r="CM194" s="12" t="n"/>
      <c r="CN194" s="12" t="n"/>
      <c r="CO194" s="12" t="n"/>
      <c r="CQ194" s="12" t="n"/>
      <c r="CR194" s="12" t="n"/>
      <c r="CS194" s="12" t="n"/>
      <c r="CT194" s="12" t="n"/>
      <c r="CV194" s="12" t="n"/>
      <c r="CW194" s="12" t="n"/>
      <c r="CX194" s="12" t="n"/>
      <c r="CY194" s="12" t="n"/>
    </row>
    <row r="195" hidden="1" outlineLevel="1">
      <c r="C195" s="57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hidden="1" outlineLevel="1">
      <c r="C196" s="57" t="inlineStr">
        <is>
          <t>Purchase of intangible assets</t>
        </is>
      </c>
      <c r="D196" s="12" t="n"/>
      <c r="E196" s="12" t="n"/>
      <c r="F196" s="12" t="n"/>
      <c r="G196" s="12" t="n"/>
      <c r="H196" s="12" t="n"/>
      <c r="I196" s="12" t="str">
        <f>IF(COUNT(H194)=0,"",I194-H194-I98)</f>
        <v/>
      </c>
      <c r="J196" s="12">
        <f>J194-I194-J98</f>
        <v>0</v>
      </c>
      <c r="K196" s="12">
        <f>K194-J194-K98</f>
        <v>0</v>
      </c>
      <c r="L196" s="12">
        <f>L194-K194-L98</f>
        <v>0</v>
      </c>
      <c r="M196" s="12" t="n"/>
      <c r="N196" s="12">
        <f>N194-M194-N98</f>
        <v>0</v>
      </c>
      <c r="O196" s="12">
        <f>O194-N194-O98</f>
        <v>0</v>
      </c>
      <c r="P196" s="12">
        <f>P194-O194-P98</f>
        <v>0</v>
      </c>
      <c r="Q196" s="12">
        <f>Q194-P194-Q98</f>
        <v>0</v>
      </c>
      <c r="R196" s="12" t="n"/>
      <c r="S196" s="12">
        <f>S194-R194-S98</f>
        <v>0</v>
      </c>
      <c r="T196" s="12">
        <f>T194-S194-T98</f>
        <v>0</v>
      </c>
      <c r="U196" s="12">
        <f>U194-T194-U98</f>
        <v>0</v>
      </c>
      <c r="V196" s="12">
        <f>V194-U194-V98</f>
        <v>0</v>
      </c>
      <c r="W196" s="12" t="n"/>
      <c r="X196" s="12">
        <f>X194-W194-X98</f>
        <v>0</v>
      </c>
      <c r="Y196" s="12">
        <f>Y194-X194-Y98</f>
        <v>0</v>
      </c>
      <c r="Z196" s="12">
        <f>Z194-Y194-Z98</f>
        <v>0</v>
      </c>
      <c r="AA196" s="12">
        <f>AA194-Z194-AA98</f>
        <v>0</v>
      </c>
      <c r="AB196" s="12" t="n"/>
      <c r="AC196" s="12">
        <f>AC194-AB194-AC98</f>
        <v>0</v>
      </c>
      <c r="AD196" s="12">
        <f>AD194-AC194-AD98</f>
        <v>0</v>
      </c>
      <c r="AE196" s="12">
        <f>AE194-AD194-AE98</f>
        <v>0</v>
      </c>
      <c r="AF196" s="12">
        <f>AF194-AE194-AF98</f>
        <v>0</v>
      </c>
      <c r="AG196" s="12" t="n"/>
      <c r="AH196" s="11">
        <f>AH194-AG194-AH98</f>
        <v>0</v>
      </c>
      <c r="AI196" s="11">
        <f>AI194-AH194-AI98</f>
        <v>0</v>
      </c>
      <c r="AJ196" s="11" t="n"/>
      <c r="AK196" s="11" t="n"/>
      <c r="AL196" s="12" t="n"/>
      <c r="AM196" s="11" t="n"/>
      <c r="AN196" s="11" t="n"/>
      <c r="AO196" s="11" t="n"/>
      <c r="AP196" s="11" t="n"/>
      <c r="AQ196" s="12" t="n"/>
      <c r="AR196" s="11" t="n"/>
      <c r="AS196" s="11" t="n"/>
      <c r="AT196" s="11" t="n"/>
      <c r="AU196" s="11" t="n"/>
      <c r="AV196" s="12" t="n"/>
      <c r="AW196" s="11" t="n"/>
      <c r="AX196" s="11" t="n"/>
      <c r="AY196" s="11" t="n"/>
      <c r="AZ196" s="11" t="n"/>
      <c r="BA196" s="12" t="n"/>
      <c r="BB196" s="11" t="n"/>
      <c r="BC196" s="11" t="n"/>
      <c r="BD196" s="11" t="n"/>
      <c r="BE196" s="11" t="n"/>
      <c r="BF196" s="12" t="n"/>
      <c r="BG196" s="11" t="n"/>
      <c r="BH196" s="11" t="n"/>
      <c r="BI196" s="11" t="n"/>
      <c r="BJ196" s="11" t="n"/>
      <c r="BK196" s="12" t="n"/>
      <c r="BL196" s="11" t="n"/>
      <c r="BM196" s="11" t="n"/>
      <c r="BN196" s="11" t="n"/>
      <c r="BO196" s="11" t="n"/>
      <c r="BP196" s="12" t="n"/>
      <c r="BQ196" s="11" t="n"/>
      <c r="BR196" s="11" t="n"/>
      <c r="BS196" s="11" t="n"/>
      <c r="BT196" s="11" t="n"/>
      <c r="BU196" s="12" t="n"/>
      <c r="BV196" s="11" t="n"/>
      <c r="BW196" s="11" t="n"/>
      <c r="BX196" s="11" t="n"/>
      <c r="BY196" s="11" t="n"/>
      <c r="BZ196" s="12" t="n"/>
      <c r="CA196" s="11" t="n"/>
      <c r="CB196" s="11" t="n"/>
      <c r="CC196" s="11" t="n"/>
      <c r="CD196" s="11" t="n"/>
      <c r="CE196" s="12" t="n"/>
      <c r="CF196" s="11" t="n"/>
      <c r="CG196" s="11" t="n"/>
      <c r="CH196" s="11" t="n"/>
      <c r="CI196" s="11" t="n"/>
      <c r="CJ196" s="12" t="n"/>
      <c r="CK196" s="11" t="n"/>
      <c r="CL196" s="11" t="n"/>
      <c r="CM196" s="11" t="n"/>
      <c r="CN196" s="11" t="n"/>
      <c r="CO196" s="12" t="n"/>
      <c r="CP196" s="11" t="n"/>
      <c r="CQ196" s="11" t="n"/>
      <c r="CR196" s="11" t="n"/>
      <c r="CS196" s="11" t="n"/>
      <c r="CT196" s="12" t="n"/>
      <c r="CU196" s="11" t="n"/>
      <c r="CV196" s="11" t="n"/>
      <c r="CW196" s="11" t="n"/>
      <c r="CX196" s="11" t="n"/>
      <c r="CY196" s="12" t="n"/>
    </row>
    <row r="197" hidden="1" outlineLevel="1">
      <c r="C197" s="57" t="inlineStr">
        <is>
          <t>Amortization (enter as -)</t>
        </is>
      </c>
      <c r="D197" s="12" t="n"/>
      <c r="E197" s="12" t="n"/>
      <c r="F197" s="12" t="n"/>
      <c r="G197" s="12" t="n"/>
      <c r="H197" s="12" t="n"/>
      <c r="I197" s="12">
        <f>I97</f>
        <v>0</v>
      </c>
      <c r="J197" s="12">
        <f>J97</f>
        <v>0</v>
      </c>
      <c r="K197" s="12">
        <f>K97</f>
        <v>0</v>
      </c>
      <c r="L197" s="12">
        <f>L97</f>
        <v>0</v>
      </c>
      <c r="M197" s="12" t="n"/>
      <c r="N197" s="12">
        <f>N97</f>
        <v>0</v>
      </c>
      <c r="O197" s="12">
        <f>O97</f>
        <v>0</v>
      </c>
      <c r="P197" s="12">
        <f>P97</f>
        <v>0</v>
      </c>
      <c r="Q197" s="12">
        <f>Q97</f>
        <v>0</v>
      </c>
      <c r="R197" s="12" t="n"/>
      <c r="S197" s="12">
        <f>S97</f>
        <v>0</v>
      </c>
      <c r="T197" s="12">
        <f>T97</f>
        <v>0</v>
      </c>
      <c r="U197" s="12">
        <f>U97</f>
        <v>0</v>
      </c>
      <c r="V197" s="12">
        <f>V97</f>
        <v>0</v>
      </c>
      <c r="W197" s="12" t="n"/>
      <c r="X197" s="12">
        <f>X97</f>
        <v>0</v>
      </c>
      <c r="Y197" s="12">
        <f>Y97</f>
        <v>0</v>
      </c>
      <c r="Z197" s="12">
        <f>Z97</f>
        <v>0</v>
      </c>
      <c r="AA197" s="12">
        <f>AA97</f>
        <v>0</v>
      </c>
      <c r="AB197" s="12" t="n"/>
      <c r="AC197" s="12">
        <f>AC97</f>
        <v>0</v>
      </c>
      <c r="AD197" s="12">
        <f>AD97</f>
        <v>0</v>
      </c>
      <c r="AE197" s="12">
        <f>AE97</f>
        <v>0</v>
      </c>
      <c r="AF197" s="12">
        <f>AF97</f>
        <v>0</v>
      </c>
      <c r="AG197" s="12" t="n"/>
      <c r="AH197" s="12">
        <f>AH97</f>
        <v>0</v>
      </c>
      <c r="AI197" s="11">
        <f>AI97</f>
        <v>0</v>
      </c>
      <c r="AJ197" s="11" t="n"/>
      <c r="AK197" s="11" t="n"/>
      <c r="AL197" s="12" t="n"/>
      <c r="AM197" s="11" t="n"/>
      <c r="AN197" s="11" t="n"/>
      <c r="AO197" s="11" t="n"/>
      <c r="AP197" s="11" t="n"/>
      <c r="AQ197" s="12" t="n"/>
      <c r="AR197" s="11" t="n"/>
      <c r="AS197" s="11" t="n"/>
      <c r="AT197" s="11" t="n"/>
      <c r="AU197" s="11" t="n"/>
      <c r="AV197" s="12" t="n"/>
      <c r="AW197" s="11" t="n"/>
      <c r="AX197" s="11" t="n"/>
      <c r="AY197" s="11" t="n"/>
      <c r="AZ197" s="11" t="n"/>
      <c r="BA197" s="12" t="n"/>
      <c r="BB197" s="11" t="n"/>
      <c r="BC197" s="11" t="n"/>
      <c r="BD197" s="11" t="n"/>
      <c r="BE197" s="11" t="n"/>
      <c r="BF197" s="12" t="n"/>
      <c r="BG197" s="11" t="n"/>
      <c r="BH197" s="11" t="n"/>
      <c r="BI197" s="11" t="n"/>
      <c r="BJ197" s="11" t="n"/>
      <c r="BK197" s="12" t="n"/>
      <c r="BL197" s="11" t="n"/>
      <c r="BM197" s="11" t="n"/>
      <c r="BN197" s="11" t="n"/>
      <c r="BO197" s="11" t="n"/>
      <c r="BP197" s="12" t="n"/>
      <c r="BQ197" s="11" t="n"/>
      <c r="BR197" s="11" t="n"/>
      <c r="BS197" s="11" t="n"/>
      <c r="BT197" s="11" t="n"/>
      <c r="BU197" s="12" t="n"/>
      <c r="BV197" s="11" t="n"/>
      <c r="BW197" s="11" t="n"/>
      <c r="BX197" s="11" t="n"/>
      <c r="BY197" s="11" t="n"/>
      <c r="BZ197" s="12" t="n"/>
      <c r="CA197" s="11" t="n"/>
      <c r="CB197" s="11" t="n"/>
      <c r="CC197" s="11" t="n"/>
      <c r="CD197" s="11" t="n"/>
      <c r="CE197" s="12" t="n"/>
      <c r="CF197" s="11" t="n"/>
      <c r="CG197" s="11" t="n"/>
      <c r="CH197" s="11" t="n"/>
      <c r="CI197" s="11" t="n"/>
      <c r="CJ197" s="12" t="n"/>
      <c r="CK197" s="11" t="n"/>
      <c r="CL197" s="11" t="n"/>
      <c r="CM197" s="11" t="n"/>
      <c r="CN197" s="11" t="n"/>
      <c r="CO197" s="12" t="n"/>
      <c r="CP197" s="11" t="n"/>
      <c r="CQ197" s="11" t="n"/>
      <c r="CR197" s="11" t="n"/>
      <c r="CS197" s="11" t="n"/>
      <c r="CT197" s="12" t="n"/>
      <c r="CU197" s="11" t="n"/>
      <c r="CV197" s="11" t="n"/>
      <c r="CW197" s="11" t="n"/>
      <c r="CX197" s="11" t="n"/>
      <c r="CY197" s="12" t="n"/>
    </row>
    <row r="198" hidden="1" outlineLevel="1">
      <c r="C198" s="57" t="inlineStr">
        <is>
          <t>Intangibles</t>
        </is>
      </c>
      <c r="D198" s="12" t="n"/>
      <c r="E198" s="12" t="n"/>
      <c r="F198" s="12" t="n"/>
      <c r="G198" s="12" t="n"/>
      <c r="H198" s="12" t="n"/>
      <c r="I198" s="12">
        <f>I194</f>
        <v>0</v>
      </c>
      <c r="J198" s="12">
        <f>J194</f>
        <v>0</v>
      </c>
      <c r="K198" s="12">
        <f>K194</f>
        <v>0</v>
      </c>
      <c r="L198" s="12">
        <f>L194</f>
        <v>0</v>
      </c>
      <c r="M198" s="12">
        <f>M194</f>
        <v>0</v>
      </c>
      <c r="N198" s="12">
        <f>N194</f>
        <v>0</v>
      </c>
      <c r="O198" s="12">
        <f>O194</f>
        <v>0</v>
      </c>
      <c r="P198" s="12">
        <f>P194</f>
        <v>0</v>
      </c>
      <c r="Q198" s="12">
        <f>Q194</f>
        <v>0</v>
      </c>
      <c r="R198" s="12">
        <f>R194</f>
        <v>0</v>
      </c>
      <c r="S198" s="12">
        <f>S194</f>
        <v>0</v>
      </c>
      <c r="T198" s="12">
        <f>T194</f>
        <v>0</v>
      </c>
      <c r="U198" s="12">
        <f>U194</f>
        <v>0</v>
      </c>
      <c r="V198" s="12">
        <f>V194</f>
        <v>0</v>
      </c>
      <c r="W198" s="12">
        <f>W194</f>
        <v>0</v>
      </c>
      <c r="X198" s="12">
        <f>X194</f>
        <v>0</v>
      </c>
      <c r="Y198" s="12">
        <f>Y194</f>
        <v>0</v>
      </c>
      <c r="Z198" s="12">
        <f>Z194</f>
        <v>0</v>
      </c>
      <c r="AA198" s="12">
        <f>AA194</f>
        <v>0</v>
      </c>
      <c r="AB198" s="12">
        <f>AB194</f>
        <v>0</v>
      </c>
      <c r="AC198" s="12">
        <f>AC194</f>
        <v>0</v>
      </c>
      <c r="AD198" s="12">
        <f>AD194</f>
        <v>0</v>
      </c>
      <c r="AE198" s="12">
        <f>AE194</f>
        <v>0</v>
      </c>
      <c r="AF198" s="12">
        <f>AF194</f>
        <v>0</v>
      </c>
      <c r="AG198" s="12">
        <f>AG194</f>
        <v>0</v>
      </c>
      <c r="AH198" s="12">
        <f>AH194</f>
        <v>0</v>
      </c>
      <c r="AI198" s="12">
        <f>AI194</f>
        <v>0</v>
      </c>
      <c r="AJ198" s="12">
        <f>AJ194</f>
        <v>0</v>
      </c>
      <c r="AK198" s="12">
        <f>AK194</f>
        <v>0</v>
      </c>
      <c r="AL198" s="12" t="n"/>
      <c r="AM198" s="12">
        <f>AM194</f>
        <v>0</v>
      </c>
      <c r="AN198" s="12">
        <f>AN194</f>
        <v>0</v>
      </c>
      <c r="AO198" s="12">
        <f>AO194</f>
        <v>0</v>
      </c>
      <c r="AP198" s="12">
        <f>AP194</f>
        <v>0</v>
      </c>
      <c r="AQ198" s="12" t="n"/>
      <c r="AR198" s="12">
        <f>AR194</f>
        <v>0</v>
      </c>
      <c r="AS198" s="12">
        <f>AS194</f>
        <v>0</v>
      </c>
      <c r="AT198" s="12">
        <f>AT194</f>
        <v>0</v>
      </c>
      <c r="AU198" s="12">
        <f>AU194</f>
        <v>0</v>
      </c>
      <c r="AV198" s="12" t="n"/>
      <c r="AW198" s="12">
        <f>AW194</f>
        <v>0</v>
      </c>
      <c r="AX198" s="12">
        <f>AX194</f>
        <v>0</v>
      </c>
      <c r="AY198" s="12">
        <f>AY194</f>
        <v>0</v>
      </c>
      <c r="AZ198" s="12">
        <f>AZ194</f>
        <v>0</v>
      </c>
      <c r="BA198" s="12" t="n"/>
      <c r="BB198" s="12">
        <f>BB194</f>
        <v>0</v>
      </c>
      <c r="BC198" s="12">
        <f>BC194</f>
        <v>0</v>
      </c>
      <c r="BD198" s="12">
        <f>BD194</f>
        <v>0</v>
      </c>
      <c r="BE198" s="12">
        <f>BE194</f>
        <v>0</v>
      </c>
      <c r="BF198" s="12" t="n"/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hidden="1" outlineLevel="1">
      <c r="C199" s="57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7" t="inlineStr">
        <is>
          <t>Definir % do D&amp;A No PPE and Intagibles</t>
        </is>
      </c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57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7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collapsed="1">
      <c r="C203" s="14" t="inlineStr">
        <is>
          <t>Other non-current assets</t>
        </is>
      </c>
      <c r="D203" s="46" t="n"/>
      <c r="E203" s="46" t="n"/>
      <c r="F203" s="46" t="n"/>
      <c r="G203" s="46" t="n"/>
      <c r="H203" s="12" t="n"/>
      <c r="I203" s="46">
        <f>'Inputs (2)'!D26</f>
        <v>51.974</v>
      </c>
      <c r="J203" s="46">
        <f>'Inputs (2)'!E26</f>
        <v>45.259</v>
      </c>
      <c r="K203" s="46">
        <f>'Inputs (2)'!F26</f>
        <v>45.708</v>
      </c>
      <c r="L203" s="46">
        <f>'Inputs (2)'!G26</f>
        <v>103.08</v>
      </c>
      <c r="M203" s="12">
        <f>'Inputs (2)'!H26</f>
        <v>103.08</v>
      </c>
      <c r="N203" s="46">
        <f>'Inputs (2)'!I26</f>
        <v>107.896</v>
      </c>
      <c r="O203" s="46">
        <f>'Inputs (2)'!J26</f>
        <v>111.332</v>
      </c>
      <c r="P203" s="46">
        <f>'Inputs (2)'!K26</f>
        <v>111.836</v>
      </c>
      <c r="Q203" s="46">
        <f>'Inputs (2)'!L26</f>
        <v>110.84</v>
      </c>
      <c r="R203" s="12">
        <f>'Inputs (2)'!M26</f>
        <v>110.84</v>
      </c>
      <c r="S203" s="46">
        <f>'Inputs (2)'!N26</f>
        <v>112.129</v>
      </c>
      <c r="T203" s="46">
        <f>'Inputs (2)'!O26</f>
        <v>118.346</v>
      </c>
      <c r="U203" s="46">
        <f>'Inputs (2)'!P26</f>
        <v>117.918</v>
      </c>
      <c r="V203" s="46">
        <f>'Inputs (2)'!Q26</f>
        <v>118.159</v>
      </c>
      <c r="W203" s="12">
        <f>'Inputs (2)'!R26</f>
        <v>118.159</v>
      </c>
      <c r="X203" s="46">
        <f>'Inputs (2)'!S26</f>
        <v>124.669</v>
      </c>
      <c r="Y203" s="46">
        <f>'Inputs (2)'!T26</f>
        <v>57.397</v>
      </c>
      <c r="Z203" s="46">
        <f>'Inputs (2)'!U26</f>
        <v>56.227</v>
      </c>
      <c r="AA203" s="46">
        <f>'Inputs (2)'!V26</f>
        <v>52.934</v>
      </c>
      <c r="AB203" s="12">
        <f>'Inputs (2)'!W26</f>
        <v>52.934</v>
      </c>
      <c r="AC203" s="46">
        <f>'Inputs (2)'!X26</f>
        <v>53.513</v>
      </c>
      <c r="AD203" s="46">
        <f>'Inputs (2)'!Y26</f>
        <v>76.08</v>
      </c>
      <c r="AE203" s="46">
        <f>'Inputs (2)'!Z26</f>
        <v>64.587</v>
      </c>
      <c r="AF203" s="46">
        <f>'Inputs (2)'!AA26</f>
        <v>59.169</v>
      </c>
      <c r="AG203" s="12">
        <f>'Inputs (2)'!AB26</f>
        <v>59.169</v>
      </c>
      <c r="AH203" s="12">
        <f>'Inputs (2)'!AC26</f>
        <v>66.113</v>
      </c>
      <c r="AI203" s="12">
        <f>'Inputs (2)'!AD26</f>
        <v>71</v>
      </c>
      <c r="AJ203" s="12">
        <f>AI203</f>
        <v>71</v>
      </c>
      <c r="AK203" s="12">
        <f>AJ203</f>
        <v>71</v>
      </c>
      <c r="AL203" s="12">
        <f>AK203</f>
        <v>71</v>
      </c>
      <c r="AM203" s="12">
        <f>AL203</f>
        <v>71</v>
      </c>
      <c r="AN203" s="12">
        <f>AM203</f>
        <v>71</v>
      </c>
      <c r="AO203" s="12">
        <f>AN203</f>
        <v>71</v>
      </c>
      <c r="AP203" s="12">
        <f>AO203</f>
        <v>71</v>
      </c>
      <c r="AQ203" s="12">
        <f>AP203</f>
        <v>71</v>
      </c>
      <c r="AR203" s="12">
        <f>AQ203</f>
        <v>71</v>
      </c>
      <c r="AS203" s="12">
        <f>AR203</f>
        <v>71</v>
      </c>
      <c r="AT203" s="12">
        <f>AS203</f>
        <v>71</v>
      </c>
      <c r="AU203" s="12">
        <f>AT203</f>
        <v>71</v>
      </c>
      <c r="AV203" s="12">
        <f>AU203</f>
        <v>71</v>
      </c>
      <c r="AW203" s="12">
        <f>AV203</f>
        <v>71</v>
      </c>
      <c r="AX203" s="12">
        <f>AW203</f>
        <v>71</v>
      </c>
      <c r="AY203" s="12">
        <f>AX203</f>
        <v>71</v>
      </c>
      <c r="AZ203" s="12">
        <f>AY203</f>
        <v>71</v>
      </c>
      <c r="BA203" s="12">
        <f>AZ203</f>
        <v>71</v>
      </c>
      <c r="BB203" s="12">
        <f>BA203</f>
        <v>71</v>
      </c>
      <c r="BC203" s="12">
        <f>BB203</f>
        <v>71</v>
      </c>
      <c r="BD203" s="12">
        <f>BC203</f>
        <v>71</v>
      </c>
      <c r="BE203" s="12">
        <f>BD203</f>
        <v>71</v>
      </c>
      <c r="BF203" s="12">
        <f>BE203</f>
        <v>71</v>
      </c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hidden="1" outlineLevel="1">
      <c r="C204" s="59" t="inlineStr">
        <is>
          <t>%(Var.)</t>
        </is>
      </c>
      <c r="D204" s="12" t="n"/>
      <c r="E204" s="40" t="n"/>
      <c r="F204" s="40" t="n"/>
      <c r="G204" s="40" t="n"/>
      <c r="H204" s="12" t="n"/>
      <c r="I204" s="40" t="str">
        <f>""</f>
        <v/>
      </c>
      <c r="J204" s="40">
        <f>IF(I203=0,"",J203/I203-1)</f>
        <v>-0.129199214992111</v>
      </c>
      <c r="K204" s="40">
        <f>IF(J203=0,"",K203/J203-1)</f>
        <v>0.00992067876002567</v>
      </c>
      <c r="L204" s="40">
        <f>IF(K203=0,"",L203/K203-1)</f>
        <v>1.25518508794959</v>
      </c>
      <c r="M204" s="12">
        <f>IF(L203=0,"",M203/L203-1)</f>
        <v>0</v>
      </c>
      <c r="N204" s="40">
        <f>IF(M203=0,"",N203/M203-1)</f>
        <v>0.046720993403182</v>
      </c>
      <c r="O204" s="40">
        <f>IF(N203=0,"",O203/N203-1)</f>
        <v>0.031845480833395</v>
      </c>
      <c r="P204" s="40">
        <f>IF(O203=0,"",P203/O203-1)</f>
        <v>0.00452700032335729</v>
      </c>
      <c r="Q204" s="40">
        <f>IF(P203=0,"",Q203/P203-1)</f>
        <v>-0.00890589792195706</v>
      </c>
      <c r="R204" s="12">
        <f>IF(Q203=0,"",R203/Q203-1)</f>
        <v>0</v>
      </c>
      <c r="S204" s="40">
        <f>IF(R203=0,"",S203/R203-1)</f>
        <v>0.011629375676651</v>
      </c>
      <c r="T204" s="40">
        <f>IF(S203=0,"",T203/S203-1)</f>
        <v>0.0554450677344844</v>
      </c>
      <c r="U204" s="40">
        <f>IF(T203=0,"",U203/T203-1)</f>
        <v>-0.00361651428861132</v>
      </c>
      <c r="V204" s="40">
        <f>IF(U203=0,"",V203/U203-1)</f>
        <v>0.00204379314438841</v>
      </c>
      <c r="W204" s="12">
        <f>IF(V203=0,"",W203/V203-1)</f>
        <v>0</v>
      </c>
      <c r="X204" s="40">
        <f>IF(W203=0,"",X203/W203-1)</f>
        <v>0.0550952530065421</v>
      </c>
      <c r="Y204" s="40">
        <f>IF(X203=0,"",Y203/X203-1)</f>
        <v>-0.539604873705572</v>
      </c>
      <c r="Z204" s="40">
        <f>IF(Y203=0,"",Z203/Y203-1)</f>
        <v>-0.0203843406449815</v>
      </c>
      <c r="AA204" s="40">
        <f>IF(Z203=0,"",AA203/Z203-1)</f>
        <v>-0.0585661692781048</v>
      </c>
      <c r="AB204" s="12">
        <f>IF(AA203=0,"",AB203/AA203-1)</f>
        <v>0</v>
      </c>
      <c r="AC204" s="40">
        <f>IF(AB203=0,"",AC203/AB203-1)</f>
        <v>0.0109381493935845</v>
      </c>
      <c r="AD204" s="40">
        <f>IF(AC203=0,"",AD203/AC203-1)</f>
        <v>0.421710612374563</v>
      </c>
      <c r="AE204" s="40">
        <f>IF(AD203=0,"",AE203/AD203-1)</f>
        <v>-0.151064668769716</v>
      </c>
      <c r="AF204" s="55">
        <f>IF(AE203=0,"",AF203/AE203-1)</f>
        <v>-0.0838868502949511</v>
      </c>
      <c r="AG204" s="12">
        <f>IF(AF203=0,"",AG203/AF203-1)</f>
        <v>0</v>
      </c>
      <c r="AH204" s="55">
        <f>IF(AG203=0,"",AH203/AG203-1)</f>
        <v>0.117358752049215</v>
      </c>
      <c r="AI204" s="55">
        <f>IF(AH203=0,"",AI203/AH203-1)</f>
        <v>0.0739188964348918</v>
      </c>
      <c r="AJ204" s="55">
        <f>IF(AI203=0,"",AJ203/AI203-1)</f>
        <v>0</v>
      </c>
      <c r="AK204" s="55">
        <f>IF(AJ203=0,"",AK203/AJ203-1)</f>
        <v>0</v>
      </c>
      <c r="AL204" s="12">
        <f>IF(AK203=0,"",AL203/AK203-1)</f>
        <v>0</v>
      </c>
      <c r="AM204" s="55">
        <f>IF(AL203=0,"",AM203/AL203-1)</f>
        <v>0</v>
      </c>
      <c r="AN204" s="55">
        <f>IF(AM203=0,"",AN203/AM203-1)</f>
        <v>0</v>
      </c>
      <c r="AO204" s="55">
        <f>IF(AN203=0,"",AO203/AN203-1)</f>
        <v>0</v>
      </c>
      <c r="AP204" s="55">
        <f>IF(AO203=0,"",AP203/AO203-1)</f>
        <v>0</v>
      </c>
      <c r="AQ204" s="12">
        <f>IF(AP203=0,"",AQ203/AP203-1)</f>
        <v>0</v>
      </c>
      <c r="AR204" s="55">
        <f>IF(AQ203=0,"",AR203/AQ203-1)</f>
        <v>0</v>
      </c>
      <c r="AS204" s="55">
        <f>IF(AR203=0,"",AS203/AR203-1)</f>
        <v>0</v>
      </c>
      <c r="AT204" s="55">
        <f>IF(AS203=0,"",AT203/AS203-1)</f>
        <v>0</v>
      </c>
      <c r="AU204" s="55">
        <f>IF(AT203=0,"",AU203/AT203-1)</f>
        <v>0</v>
      </c>
      <c r="AV204" s="12">
        <f>IF(AU203=0,"",AV203/AU203-1)</f>
        <v>0</v>
      </c>
      <c r="AW204" s="55">
        <f>IF(AV203=0,"",AW203/AV203-1)</f>
        <v>0</v>
      </c>
      <c r="AX204" s="55">
        <f>IF(AW203=0,"",AX203/AW203-1)</f>
        <v>0</v>
      </c>
      <c r="AY204" s="55">
        <f>IF(AX203=0,"",AY203/AX203-1)</f>
        <v>0</v>
      </c>
      <c r="AZ204" s="55">
        <f>IF(AY203=0,"",AZ203/AY203-1)</f>
        <v>0</v>
      </c>
      <c r="BA204" s="12">
        <f>IF(AZ203=0,"",BA203/AZ203-1)</f>
        <v>0</v>
      </c>
      <c r="BB204" s="55">
        <f>IF(BA203=0,"",BB203/BA203-1)</f>
        <v>0</v>
      </c>
      <c r="BC204" s="55">
        <f>IF(BB203=0,"",BC203/BB203-1)</f>
        <v>0</v>
      </c>
      <c r="BD204" s="55">
        <f>IF(BC203=0,"",BD203/BC203-1)</f>
        <v>0</v>
      </c>
      <c r="BE204" s="55">
        <f>IF(BD203=0,"",BE203/BD203-1)</f>
        <v>0</v>
      </c>
      <c r="BF204" s="12">
        <f>IF(BE203=0,"",BF203/BE203-1)</f>
        <v>0</v>
      </c>
      <c r="BG204" s="55" t="n"/>
      <c r="BH204" s="55" t="n"/>
      <c r="BI204" s="55" t="n"/>
      <c r="BJ204" s="55" t="n"/>
      <c r="BK204" s="12" t="n"/>
      <c r="BL204" s="55" t="n"/>
      <c r="BM204" s="55" t="n"/>
      <c r="BN204" s="55" t="n"/>
      <c r="BO204" s="55" t="n"/>
      <c r="BP204" s="12" t="n"/>
      <c r="BQ204" s="55" t="n"/>
      <c r="BR204" s="55" t="n"/>
      <c r="BS204" s="55" t="n"/>
      <c r="BT204" s="55" t="n"/>
      <c r="BU204" s="12" t="n"/>
      <c r="BV204" s="55" t="n"/>
      <c r="BW204" s="55" t="n"/>
      <c r="BX204" s="55" t="n"/>
      <c r="BY204" s="55" t="n"/>
      <c r="BZ204" s="12" t="n"/>
      <c r="CA204" s="55" t="n"/>
      <c r="CB204" s="55" t="n"/>
      <c r="CC204" s="55" t="n"/>
      <c r="CD204" s="55" t="n"/>
      <c r="CE204" s="12" t="n"/>
      <c r="CF204" s="55" t="n"/>
      <c r="CG204" s="55" t="n"/>
      <c r="CH204" s="55" t="n"/>
      <c r="CI204" s="55" t="n"/>
      <c r="CJ204" s="12" t="n"/>
      <c r="CK204" s="55" t="n"/>
      <c r="CL204" s="55" t="n"/>
      <c r="CM204" s="55" t="n"/>
      <c r="CN204" s="55" t="n"/>
      <c r="CO204" s="12" t="n"/>
      <c r="CP204" s="55" t="n"/>
      <c r="CQ204" s="55" t="n"/>
      <c r="CR204" s="55" t="n"/>
      <c r="CS204" s="55" t="n"/>
      <c r="CT204" s="12" t="n"/>
      <c r="CU204" s="55" t="n"/>
      <c r="CV204" s="55" t="n"/>
      <c r="CW204" s="55" t="n"/>
      <c r="CX204" s="55" t="n"/>
      <c r="CY204" s="12" t="n"/>
    </row>
    <row r="205" hidden="1" outlineLevel="1">
      <c r="C205" s="57" t="n"/>
      <c r="D205" s="12" t="n"/>
      <c r="E205" s="40" t="n"/>
      <c r="F205" s="40" t="n"/>
      <c r="G205" s="40" t="n"/>
      <c r="H205" s="12" t="n"/>
      <c r="I205" s="40" t="n"/>
      <c r="J205" s="40" t="n"/>
      <c r="K205" s="40" t="n"/>
      <c r="L205" s="40" t="n"/>
      <c r="M205" s="12" t="n"/>
      <c r="N205" s="40" t="n"/>
      <c r="O205" s="40" t="n"/>
      <c r="P205" s="40" t="n"/>
      <c r="Q205" s="40" t="n"/>
      <c r="R205" s="12" t="n"/>
      <c r="S205" s="40" t="n"/>
      <c r="T205" s="40" t="n"/>
      <c r="U205" s="40" t="n"/>
      <c r="V205" s="40" t="n"/>
      <c r="W205" s="12" t="n"/>
      <c r="X205" s="40" t="n"/>
      <c r="Y205" s="40" t="n"/>
      <c r="Z205" s="40" t="n"/>
      <c r="AA205" s="40" t="n"/>
      <c r="AB205" s="12" t="n"/>
      <c r="AC205" s="40" t="n"/>
      <c r="AD205" s="40" t="n"/>
      <c r="AE205" s="40" t="n"/>
      <c r="AF205" s="55" t="n"/>
      <c r="AG205" s="12" t="n"/>
      <c r="AH205" s="55" t="n"/>
      <c r="AI205" s="55" t="n"/>
      <c r="AJ205" s="55" t="n"/>
      <c r="AK205" s="55" t="n"/>
      <c r="AL205" s="12" t="n"/>
      <c r="AM205" s="55" t="n"/>
      <c r="AN205" s="55" t="n"/>
      <c r="AO205" s="55" t="n"/>
      <c r="AP205" s="55" t="n"/>
      <c r="AQ205" s="12" t="n"/>
      <c r="AR205" s="55" t="n"/>
      <c r="AS205" s="55" t="n"/>
      <c r="AT205" s="55" t="n"/>
      <c r="AU205" s="55" t="n"/>
      <c r="AV205" s="12" t="n"/>
      <c r="AW205" s="55" t="n"/>
      <c r="AX205" s="55" t="n"/>
      <c r="AY205" s="55" t="n"/>
      <c r="AZ205" s="55" t="n"/>
      <c r="BA205" s="12" t="n"/>
      <c r="BB205" s="55" t="n"/>
      <c r="BC205" s="55" t="n"/>
      <c r="BD205" s="55" t="n"/>
      <c r="BE205" s="55" t="n"/>
      <c r="BF205" s="12" t="n"/>
      <c r="BG205" s="55" t="n"/>
      <c r="BH205" s="55" t="n"/>
      <c r="BI205" s="55" t="n"/>
      <c r="BJ205" s="55" t="n"/>
      <c r="BK205" s="12" t="n"/>
      <c r="BL205" s="55" t="n"/>
      <c r="BM205" s="55" t="n"/>
      <c r="BN205" s="55" t="n"/>
      <c r="BO205" s="55" t="n"/>
      <c r="BP205" s="12" t="n"/>
      <c r="BQ205" s="55" t="n"/>
      <c r="BR205" s="55" t="n"/>
      <c r="BS205" s="55" t="n"/>
      <c r="BT205" s="55" t="n"/>
      <c r="BU205" s="12" t="n"/>
      <c r="BV205" s="55" t="n"/>
      <c r="BW205" s="55" t="n"/>
      <c r="BX205" s="55" t="n"/>
      <c r="BY205" s="55" t="n"/>
      <c r="BZ205" s="12" t="n"/>
      <c r="CA205" s="55" t="n"/>
      <c r="CB205" s="55" t="n"/>
      <c r="CC205" s="55" t="n"/>
      <c r="CD205" s="55" t="n"/>
      <c r="CE205" s="12" t="n"/>
      <c r="CF205" s="55" t="n"/>
      <c r="CG205" s="55" t="n"/>
      <c r="CH205" s="55" t="n"/>
      <c r="CI205" s="55" t="n"/>
      <c r="CJ205" s="12" t="n"/>
      <c r="CK205" s="55" t="n"/>
      <c r="CL205" s="55" t="n"/>
      <c r="CM205" s="55" t="n"/>
      <c r="CN205" s="55" t="n"/>
      <c r="CO205" s="12" t="n"/>
      <c r="CP205" s="55" t="n"/>
      <c r="CQ205" s="55" t="n"/>
      <c r="CR205" s="55" t="n"/>
      <c r="CS205" s="55" t="n"/>
      <c r="CT205" s="12" t="n"/>
      <c r="CU205" s="55" t="n"/>
      <c r="CV205" s="55" t="n"/>
      <c r="CW205" s="55" t="n"/>
      <c r="CX205" s="55" t="n"/>
      <c r="CY205" s="12" t="n"/>
    </row>
    <row r="206" hidden="1" outlineLevel="1">
      <c r="C206" s="60" t="inlineStr">
        <is>
          <t>Outros Créditos - LP</t>
        </is>
      </c>
      <c r="D206" s="11" t="n"/>
      <c r="E206" s="11" t="n"/>
      <c r="F206" s="11" t="n"/>
      <c r="G206" s="11" t="n"/>
      <c r="H206" s="12" t="n"/>
      <c r="I206" s="11" t="n"/>
      <c r="J206" s="11" t="n"/>
      <c r="K206" s="11" t="n"/>
      <c r="L206" s="11" t="n"/>
      <c r="M206" s="12" t="n"/>
      <c r="N206" s="11" t="n"/>
      <c r="O206" s="11" t="n"/>
      <c r="P206" s="11" t="n"/>
      <c r="Q206" s="11" t="n"/>
      <c r="R206" s="12" t="n"/>
      <c r="S206" s="11" t="n"/>
      <c r="T206" s="11" t="n"/>
      <c r="U206" s="11" t="n"/>
      <c r="V206" s="11" t="n"/>
      <c r="W206" s="12" t="n"/>
      <c r="X206" s="11" t="n"/>
      <c r="Y206" s="11" t="n"/>
      <c r="Z206" s="11" t="n"/>
      <c r="AA206" s="11" t="n"/>
      <c r="AB206" s="12" t="n"/>
      <c r="AC206" s="11" t="n"/>
      <c r="AD206" s="11" t="n"/>
      <c r="AE206" s="11" t="n"/>
      <c r="AF206" s="11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60" t="inlineStr">
        <is>
          <t xml:space="preserve">Impostos e Contribuições a Recuperar </t>
        </is>
      </c>
      <c r="D207" s="11" t="n"/>
      <c r="E207" s="11" t="n"/>
      <c r="F207" s="11" t="n"/>
      <c r="G207" s="11" t="n"/>
      <c r="H207" s="12" t="n"/>
      <c r="I207" s="11" t="n"/>
      <c r="J207" s="11" t="n"/>
      <c r="K207" s="11" t="n"/>
      <c r="L207" s="11" t="n"/>
      <c r="M207" s="12" t="n"/>
      <c r="N207" s="11" t="n"/>
      <c r="O207" s="11" t="n"/>
      <c r="P207" s="11" t="n"/>
      <c r="Q207" s="11" t="n"/>
      <c r="R207" s="12" t="n"/>
      <c r="S207" s="11" t="n"/>
      <c r="T207" s="11" t="n"/>
      <c r="U207" s="11" t="n"/>
      <c r="V207" s="11" t="n"/>
      <c r="W207" s="12" t="n"/>
      <c r="X207" s="11" t="n"/>
      <c r="Y207" s="11" t="n"/>
      <c r="Z207" s="11" t="n"/>
      <c r="AA207" s="11" t="n"/>
      <c r="AB207" s="12" t="n"/>
      <c r="AC207" s="11" t="n"/>
      <c r="AD207" s="11" t="n"/>
      <c r="AE207" s="11" t="n"/>
      <c r="AF207" s="11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hidden="1" outlineLevel="1">
      <c r="C208" s="60" t="inlineStr">
        <is>
          <t xml:space="preserve">Imposto de Renda e Contribuição Social Diferidos </t>
        </is>
      </c>
      <c r="D208" s="11" t="n"/>
      <c r="E208" s="11" t="n"/>
      <c r="F208" s="11" t="n"/>
      <c r="G208" s="11" t="n"/>
      <c r="H208" s="12" t="n"/>
      <c r="I208" s="11" t="n"/>
      <c r="J208" s="11" t="n"/>
      <c r="K208" s="11" t="n"/>
      <c r="L208" s="11" t="n"/>
      <c r="M208" s="12" t="n"/>
      <c r="N208" s="11" t="n"/>
      <c r="O208" s="11" t="n"/>
      <c r="P208" s="11" t="n"/>
      <c r="Q208" s="11" t="n"/>
      <c r="R208" s="12" t="n"/>
      <c r="S208" s="11" t="n"/>
      <c r="T208" s="11" t="n"/>
      <c r="U208" s="11" t="n"/>
      <c r="V208" s="11" t="n"/>
      <c r="W208" s="12" t="n"/>
      <c r="X208" s="11" t="n"/>
      <c r="Y208" s="11" t="n"/>
      <c r="Z208" s="11" t="n"/>
      <c r="AA208" s="11" t="n"/>
      <c r="AB208" s="12" t="n"/>
      <c r="AC208" s="11" t="n"/>
      <c r="AD208" s="11" t="n"/>
      <c r="AE208" s="11" t="n"/>
      <c r="AF208" s="11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hidden="1" outlineLevel="1">
      <c r="C209" s="60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collapsed="1" customFormat="1" s="32">
      <c r="A211" s="30" t="n"/>
      <c r="B211" s="3" t="n"/>
      <c r="C211" s="33" t="inlineStr">
        <is>
          <t>Total Assets</t>
        </is>
      </c>
      <c r="D211" s="35" t="n"/>
      <c r="E211" s="35" t="n"/>
      <c r="F211" s="35" t="n"/>
      <c r="G211" s="35" t="n"/>
      <c r="H211" s="35" t="n"/>
      <c r="I211" s="35">
        <f>SUM(I158,I159,I163,I167,I168,I169,I175,I180,I190,I193,I194,I203)</f>
        <v>1918.297</v>
      </c>
      <c r="J211" s="35">
        <f>SUM(J158,J159,J163,J167,J168,J169,J175,J180,J190,J193,J194,J203)</f>
        <v>2032.57</v>
      </c>
      <c r="K211" s="35">
        <f>SUM(K158,K159,K163,K167,K168,K169,K175,K180,K190,K193,K194,K203)</f>
        <v>2177.211</v>
      </c>
      <c r="L211" s="35">
        <f>SUM(L158,L159,L163,L167,L168,L169,L175,L180,L190,L193,L194,L203)</f>
        <v>2597.922</v>
      </c>
      <c r="M211" s="35">
        <f>SUM(M158,M159,M163,M167,M168,M169,M175,M180,M190,M193,M194,M203)</f>
        <v>2597.922</v>
      </c>
      <c r="N211" s="35">
        <f>SUM(N158,N159,N163,N167,N168,N169,N175,N180,N190,N193,N194,N203)</f>
        <v>2933.909</v>
      </c>
      <c r="O211" s="35">
        <f>SUM(O158,O159,O163,O167,O168,O169,O175,O180,O190,O193,O194,O203)</f>
        <v>2917.631</v>
      </c>
      <c r="P211" s="35">
        <f>SUM(P158,P159,P163,P167,P168,P169,P175,P180,P190,P193,P194,P203)</f>
        <v>2784.853</v>
      </c>
      <c r="Q211" s="35">
        <f>SUM(Q158,Q159,Q163,Q167,Q168,Q169,Q175,Q180,Q190,Q193,Q194,Q203)</f>
        <v>2798.431</v>
      </c>
      <c r="R211" s="35">
        <f>SUM(R158,R159,R163,R167,R168,R169,R175,R180,R190,R193,R194,R203)</f>
        <v>2798.431</v>
      </c>
      <c r="S211" s="35">
        <f>SUM(S158,S159,S163,S167,S168,S169,S175,S180,S190,S193,S194,S203)</f>
        <v>2733.836</v>
      </c>
      <c r="T211" s="35">
        <f>SUM(T158,T159,T163,T167,T168,T169,T175,T180,T190,T193,T194,T203)</f>
        <v>2836.65</v>
      </c>
      <c r="U211" s="35">
        <f>SUM(U158,U159,U163,U167,U168,U169,U175,U180,U190,U193,U194,U203)</f>
        <v>3150.612</v>
      </c>
      <c r="V211" s="35">
        <f>SUM(V158,V159,V163,V167,V168,V169,V175,V180,V190,V193,V194,V203)</f>
        <v>3092.023</v>
      </c>
      <c r="W211" s="35">
        <f>SUM(W158,W159,W163,W167,W168,W169,W175,W180,W190,W193,W194,W203)</f>
        <v>3092.023</v>
      </c>
      <c r="X211" s="35">
        <f>SUM(X158,X159,X163,X167,X168,X169,X175,X180,X190,X193,X194,X203)</f>
        <v>3412.477</v>
      </c>
      <c r="Y211" s="35">
        <f>SUM(Y158,Y159,Y163,Y167,Y168,Y169,Y175,Y180,Y190,Y193,Y194,Y203)</f>
        <v>3983.671</v>
      </c>
      <c r="Z211" s="35">
        <f>SUM(Z158,Z159,Z163,Z167,Z168,Z169,Z175,Z180,Z190,Z193,Z194,Z203)</f>
        <v>3957.292</v>
      </c>
      <c r="AA211" s="35">
        <f>SUM(AA158,AA159,AA163,AA167,AA168,AA169,AA175,AA180,AA190,AA193,AA194,AA203)</f>
        <v>4339.295</v>
      </c>
      <c r="AB211" s="35">
        <f>SUM(AB158,AB159,AB163,AB167,AB168,AB169,AB175,AB180,AB190,AB193,AB194,AB203)</f>
        <v>4339.295</v>
      </c>
      <c r="AC211" s="35">
        <f>SUM(AC158,AC159,AC163,AC167,AC168,AC169,AC175,AC180,AC190,AC193,AC194,AC203)</f>
        <v>4870.968</v>
      </c>
      <c r="AD211" s="35">
        <f>SUM(AD158,AD159,AD163,AD167,AD168,AD169,AD175,AD180,AD190,AD193,AD194,AD203)</f>
        <v>5183.964</v>
      </c>
      <c r="AE211" s="35">
        <f>SUM(AE158,AE159,AE163,AE167,AE168,AE169,AE175,AE180,AE190,AE193,AE194,AE203)</f>
        <v>5631.997</v>
      </c>
      <c r="AF211" s="35">
        <f>SUM(AF158,AF159,AF163,AF167,AF168,AF169,AF175,AF180,AF190,AF193,AF194,AF203)</f>
        <v>5654.395</v>
      </c>
      <c r="AG211" s="35">
        <f>SUM(AG158,AG159,AG163,AG167,AG168,AG169,AG175,AG180,AG190,AG193,AG194,AG203)</f>
        <v>5654.395</v>
      </c>
      <c r="AH211" s="35">
        <f>SUM(AH158,AH159,AH163,AH167,AH168,AH169,AH175,AH180,AH190,AH193,AH194,AH203)</f>
        <v>6195.487</v>
      </c>
      <c r="AI211" s="35">
        <f>SUM(AI158,AI159,AI163,AI167,AI168,AI169,AI175,AI180,AI190,AI193,AI194,AI203)</f>
        <v>6278.509</v>
      </c>
      <c r="AJ211" s="35">
        <f>SUM(AJ158,AJ159,AJ163,AJ167,AJ168,AJ169,AJ175,AJ180,AJ190,AJ193,AJ194,AJ203)</f>
        <v>6806.70582361875</v>
      </c>
      <c r="AK211" s="35">
        <f>SUM(AK158,AK159,AK163,AK167,AK168,AK169,AK175,AK180,AK190,AK193,AK194,AK203)</f>
        <v>7312.15802470733</v>
      </c>
      <c r="AL211" s="35">
        <f>SUM(AL158,AL159,AL163,AL167,AL168,AL169,AL175,AL180,AL190,AL193,AL194,AL203)</f>
        <v>7312.15802470733</v>
      </c>
      <c r="AM211" s="35">
        <f>SUM(AM158,AM159,AM163,AM167,AM168,AM169,AM175,AM180,AM190,AM193,AM194,AM203)</f>
        <v>7960.27894311432</v>
      </c>
      <c r="AN211" s="35">
        <f>SUM(AN158,AN159,AN163,AN167,AN168,AN169,AN175,AN180,AN190,AN193,AN194,AN203)</f>
        <v>8613.05614976912</v>
      </c>
      <c r="AO211" s="35">
        <f>SUM(AO158,AO159,AO163,AO167,AO168,AO169,AO175,AO180,AO190,AO193,AO194,AO203)</f>
        <v>9410.42952186251</v>
      </c>
      <c r="AP211" s="35">
        <f>SUM(AP158,AP159,AP163,AP167,AP168,AP169,AP175,AP180,AP190,AP193,AP194,AP203)</f>
        <v>10201.9179347468</v>
      </c>
      <c r="AQ211" s="35">
        <f>SUM(AQ158,AQ159,AQ163,AQ167,AQ168,AQ169,AQ175,AQ180,AQ190,AQ193,AQ194,AQ203)</f>
        <v>10201.9179347468</v>
      </c>
      <c r="AR211" s="35">
        <f>SUM(AR158,AR159,AR163,AR167,AR168,AR169,AR175,AR180,AR190,AR193,AR194,AR203)</f>
        <v>11209.0701056158</v>
      </c>
      <c r="AS211" s="35">
        <f>SUM(AS158,AS159,AS163,AS167,AS168,AS169,AS175,AS180,AS190,AS193,AS194,AS203)</f>
        <v>12287.1069778361</v>
      </c>
      <c r="AT211" s="35">
        <f>SUM(AT158,AT159,AT163,AT167,AT168,AT169,AT175,AT180,AT190,AT193,AT194,AT203)</f>
        <v>13618.8757338959</v>
      </c>
      <c r="AU211" s="35">
        <f>SUM(AU158,AU159,AU163,AU167,AU168,AU169,AU175,AU180,AU190,AU193,AU194,AU203)</f>
        <v>15031.2811754664</v>
      </c>
      <c r="AV211" s="35">
        <f>SUM(AV158,AV159,AV163,AV167,AV168,AV169,AV175,AV180,AV190,AV193,AV194,AV203)</f>
        <v>15031.2811754664</v>
      </c>
      <c r="AW211" s="35">
        <f>SUM(AW158,AW159,AW163,AW167,AW168,AW169,AW175,AW180,AW190,AW193,AW194,AW203)</f>
        <v>16848.0489576209</v>
      </c>
      <c r="AX211" s="35">
        <f>SUM(AX158,AX159,AX163,AX167,AX168,AX169,AX175,AX180,AX190,AX193,AX194,AX203)</f>
        <v>18899.4037462781</v>
      </c>
      <c r="AY211" s="35">
        <f>SUM(AY158,AY159,AY163,AY167,AY168,AY169,AY175,AY180,AY190,AY193,AY194,AY203)</f>
        <v>21506.6139627346</v>
      </c>
      <c r="AZ211" s="35">
        <f>SUM(AZ158,AZ159,AZ163,AZ167,AZ168,AZ169,AZ175,AZ180,AZ190,AZ193,AZ194,AZ203)</f>
        <v>24498.3502726912</v>
      </c>
      <c r="BA211" s="35">
        <f>SUM(BA158,BA159,BA163,BA167,BA168,BA169,BA175,BA180,BA190,BA193,BA194,BA203)</f>
        <v>24498.3502726912</v>
      </c>
      <c r="BB211" s="35">
        <f>SUM(BB158,BB159,BB163,BB167,BB168,BB169,BB175,BB180,BB190,BB193,BB194,BB203)</f>
        <v>28370.506891573</v>
      </c>
      <c r="BC211" s="35">
        <f>SUM(BC158,BC159,BC163,BC167,BC168,BC169,BC175,BC180,BC190,BC193,BC194,BC203)</f>
        <v>33039.3632957343</v>
      </c>
      <c r="BD211" s="35">
        <f>SUM(BD158,BD159,BD163,BD167,BD168,BD169,BD175,BD180,BD190,BD193,BD194,BD203)</f>
        <v>39088.8616635162</v>
      </c>
      <c r="BE211" s="35">
        <f>SUM(BE158,BE159,BE163,BE167,BE168,BE169,BE175,BE180,BE190,BE193,BE194,BE203)</f>
        <v>46501.6447190205</v>
      </c>
      <c r="BF211" s="35">
        <f>SUM(BF158,BF159,BF163,BF167,BF168,BF169,BF175,BF180,BF190,BF193,BF194,BF203)</f>
        <v>46501.6447190205</v>
      </c>
      <c r="BG211" s="35" t="n"/>
      <c r="BH211" s="35" t="n"/>
      <c r="BI211" s="35" t="n"/>
      <c r="BJ211" s="35" t="n"/>
      <c r="BK211" s="35" t="n"/>
      <c r="BL211" s="35" t="n"/>
      <c r="BM211" s="35" t="n"/>
      <c r="BN211" s="35" t="n"/>
      <c r="BO211" s="35" t="n"/>
      <c r="BP211" s="35" t="n"/>
      <c r="BQ211" s="35" t="n"/>
      <c r="BR211" s="35" t="n"/>
      <c r="BS211" s="35" t="n"/>
      <c r="BT211" s="35" t="n"/>
      <c r="BU211" s="35" t="n"/>
      <c r="BV211" s="35" t="n"/>
      <c r="BW211" s="35" t="n"/>
      <c r="BX211" s="35" t="n"/>
      <c r="BY211" s="35" t="n"/>
      <c r="BZ211" s="35" t="n"/>
      <c r="CA211" s="35" t="n"/>
      <c r="CB211" s="35" t="n"/>
      <c r="CC211" s="35" t="n"/>
      <c r="CD211" s="35" t="n"/>
      <c r="CE211" s="35" t="n"/>
      <c r="CF211" s="35" t="n"/>
      <c r="CG211" s="35" t="n"/>
      <c r="CH211" s="35" t="n"/>
      <c r="CI211" s="35" t="n"/>
      <c r="CJ211" s="35" t="n"/>
      <c r="CK211" s="35" t="n"/>
      <c r="CL211" s="35" t="n"/>
      <c r="CM211" s="35" t="n"/>
      <c r="CN211" s="35" t="n"/>
      <c r="CO211" s="35" t="n"/>
      <c r="CP211" s="35" t="n"/>
      <c r="CQ211" s="35" t="n"/>
      <c r="CR211" s="35" t="n"/>
      <c r="CS211" s="35" t="n"/>
      <c r="CT211" s="35" t="n"/>
      <c r="CU211" s="35" t="n"/>
      <c r="CV211" s="35" t="n"/>
      <c r="CW211" s="35" t="n"/>
      <c r="CX211" s="35" t="n"/>
      <c r="CY211" s="35" t="n"/>
    </row>
    <row r="212">
      <c r="C212" s="14" t="inlineStr">
        <is>
          <t>Accounts payable</t>
        </is>
      </c>
      <c r="D212" s="46" t="n"/>
      <c r="E212" s="46" t="n"/>
      <c r="F212" s="46" t="n"/>
      <c r="G212" s="46" t="n"/>
      <c r="H212" s="12" t="n"/>
      <c r="I212" s="46">
        <f>'Inputs (2)'!D28</f>
        <v>60.296</v>
      </c>
      <c r="J212" s="46">
        <f>'Inputs (2)'!E28</f>
        <v>91.549</v>
      </c>
      <c r="K212" s="46">
        <f>'Inputs (2)'!F28</f>
        <v>90.214</v>
      </c>
      <c r="L212" s="46">
        <f>'Inputs (2)'!G28</f>
        <v>87.488</v>
      </c>
      <c r="M212" s="12">
        <f>'Inputs (2)'!H28</f>
        <v>87.488</v>
      </c>
      <c r="N212" s="46">
        <f>'Inputs (2)'!I28</f>
        <v>83.823</v>
      </c>
      <c r="O212" s="46">
        <f>'Inputs (2)'!J28</f>
        <v>113.748</v>
      </c>
      <c r="P212" s="46">
        <f>'Inputs (2)'!K28</f>
        <v>104.282</v>
      </c>
      <c r="Q212" s="46">
        <f>'Inputs (2)'!L28</f>
        <v>114.591</v>
      </c>
      <c r="R212" s="12">
        <f>'Inputs (2)'!M28</f>
        <v>114.591</v>
      </c>
      <c r="S212" s="46">
        <f>'Inputs (2)'!N28</f>
        <v>121.055</v>
      </c>
      <c r="T212" s="46">
        <f>'Inputs (2)'!O28</f>
        <v>118.958</v>
      </c>
      <c r="U212" s="46">
        <f>'Inputs (2)'!P28</f>
        <v>144.821</v>
      </c>
      <c r="V212" s="46">
        <f>'Inputs (2)'!Q28</f>
        <v>171.904</v>
      </c>
      <c r="W212" s="12">
        <f>'Inputs (2)'!R28</f>
        <v>171.904</v>
      </c>
      <c r="X212" s="46">
        <f>'Inputs (2)'!S28</f>
        <v>172.207</v>
      </c>
      <c r="Y212" s="46">
        <f>'Inputs (2)'!T28</f>
        <v>141.397</v>
      </c>
      <c r="Z212" s="46">
        <f>'Inputs (2)'!U28</f>
        <v>182.227</v>
      </c>
      <c r="AA212" s="46">
        <f>'Inputs (2)'!V28</f>
        <v>187.317</v>
      </c>
      <c r="AB212" s="12">
        <f>'Inputs (2)'!W28</f>
        <v>187.317</v>
      </c>
      <c r="AC212" s="46">
        <f>'Inputs (2)'!X28</f>
        <v>256.301</v>
      </c>
      <c r="AD212" s="46">
        <f>'Inputs (2)'!Y28</f>
        <v>286.65</v>
      </c>
      <c r="AE212" s="46">
        <f>'Inputs (2)'!Z28</f>
        <v>283.823</v>
      </c>
      <c r="AF212" s="46">
        <f>'Inputs (2)'!AA28</f>
        <v>278.476</v>
      </c>
      <c r="AG212" s="12">
        <f>'Inputs (2)'!AB28</f>
        <v>278.476</v>
      </c>
      <c r="AH212" s="12">
        <f>'Inputs (2)'!AC28</f>
        <v>339.656</v>
      </c>
      <c r="AI212" s="12">
        <f>'Inputs (2)'!AD28</f>
        <v>351.51</v>
      </c>
      <c r="AJ212" s="12">
        <f>(AJ213/(AJ$5-AI$5))*-AJ$68</f>
        <v>390.312336265681</v>
      </c>
      <c r="AK212" s="12">
        <f>(AK213/(AK$5-AJ$5))*-AK$68</f>
        <v>391.080605819521</v>
      </c>
      <c r="AL212" s="12">
        <f>AK212</f>
        <v>391.080605819521</v>
      </c>
      <c r="AM212" s="12">
        <f>(AM213/(AM$5-AL$5))*-AM$68</f>
        <v>454.076756499589</v>
      </c>
      <c r="AN212" s="12">
        <f>(AN213/(AN$5-AM$5))*-AN$68</f>
        <v>470.815624276286</v>
      </c>
      <c r="AO212" s="12">
        <f>(AO213/(AO$5-AN$5))*-AO$68</f>
        <v>526.701856867595</v>
      </c>
      <c r="AP212" s="12">
        <f>(AP213/(AP$5-AO$5))*-AP$68</f>
        <v>527.738588128652</v>
      </c>
      <c r="AQ212" s="12">
        <f>AP212</f>
        <v>527.738588128652</v>
      </c>
      <c r="AR212" s="12">
        <f>(AR213/(AR$5-AQ$5))*-AR$68</f>
        <v>603.768988345432</v>
      </c>
      <c r="AS212" s="12">
        <f>(AS213/(AS$5-AR$5))*-AS$68</f>
        <v>632.981883639763</v>
      </c>
      <c r="AT212" s="12">
        <f>(AT213/(AT$5-AS$5))*-AT$68</f>
        <v>708.117395188586</v>
      </c>
      <c r="AU212" s="12">
        <f>(AU213/(AU$5-AT$5))*-AU$68</f>
        <v>709.51121491889</v>
      </c>
      <c r="AV212" s="12">
        <f>AU212</f>
        <v>709.51121491889</v>
      </c>
      <c r="AW212" s="12">
        <f>(AW213/(AW$5-AV$5))*-AW$68</f>
        <v>817.696114761846</v>
      </c>
      <c r="AX212" s="12">
        <f>(AX213/(AX$5-AW$5))*-AX$68</f>
        <v>847.839272169926</v>
      </c>
      <c r="AY212" s="12">
        <f>(AY213/(AY$5-AX$5))*-AY$68</f>
        <v>948.478546487487</v>
      </c>
      <c r="AZ212" s="12">
        <f>(AZ213/(AZ$5-AY$5))*-AZ$68</f>
        <v>950.345480022586</v>
      </c>
      <c r="BA212" s="12">
        <f>AZ212</f>
        <v>950.345480022586</v>
      </c>
      <c r="BB212" s="12">
        <f>(BB213/(BB$5-BA$5))*-BB$68</f>
        <v>1091.16384293567</v>
      </c>
      <c r="BC212" s="12">
        <f>(BC213/(BC$5-BB$5))*-BC$68</f>
        <v>1131.38798352022</v>
      </c>
      <c r="BD212" s="12">
        <f>(BD213/(BD$5-BC$5))*-BD$68</f>
        <v>1265.68474160937</v>
      </c>
      <c r="BE212" s="12">
        <f>(BE213/(BE$5-BD$5))*-BE$68</f>
        <v>1268.17604655002</v>
      </c>
      <c r="BF212" s="12">
        <f>BE212</f>
        <v>1268.17604655002</v>
      </c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inlineStr">
        <is>
          <t>DPO</t>
        </is>
      </c>
      <c r="D213" s="12" t="n"/>
      <c r="E213" s="12" t="n"/>
      <c r="F213" s="12" t="n"/>
      <c r="G213" s="12" t="n"/>
      <c r="H213" s="12" t="n"/>
      <c r="I213" s="12">
        <f>IFERROR(-(I212/I$68)*(I$5-H$5),"")</f>
        <v>24.7855159310143</v>
      </c>
      <c r="J213" s="12">
        <f>IFERROR(-(J212/J$68)*(J$5-I$5),"")</f>
        <v>28.8847171322477</v>
      </c>
      <c r="K213" s="12">
        <f>IFERROR(-(K212/K$68)*(K$5-J$5),"")</f>
        <v>29.4861256399421</v>
      </c>
      <c r="L213" s="12">
        <f>IFERROR(-(L212/L$68)*(L$5-K$5),"")</f>
        <v>26.4087853245445</v>
      </c>
      <c r="M213" s="12" t="n"/>
      <c r="N213" s="12">
        <f>IFERROR(-(N212/N$68)*(N$5-M$5),"")</f>
        <v>26.8028706944025</v>
      </c>
      <c r="O213" s="12">
        <f>IFERROR(-(O212/O$68)*(O$5-N$5),"")</f>
        <v>26.7271938567364</v>
      </c>
      <c r="P213" s="12">
        <f>IFERROR(-(P212/P$68)*(P$5-O$5),"")</f>
        <v>24.4172902096122</v>
      </c>
      <c r="Q213" s="12">
        <f>IFERROR(-(Q212/Q$68)*(Q$5-P$5),"")</f>
        <v>29.3876315386009</v>
      </c>
      <c r="R213" s="12" t="n"/>
      <c r="S213" s="12">
        <f>IFERROR(-(S212/S$68)*(S$5-R$5),"")</f>
        <v>29.3037273328779</v>
      </c>
      <c r="T213" s="12">
        <f>IFERROR(-(T212/T$68)*(T$5-S$5),"")</f>
        <v>23.8865160903105</v>
      </c>
      <c r="U213" s="12">
        <f>IFERROR(-(U212/U$68)*(U$5-T$5),"")</f>
        <v>28.4708496894038</v>
      </c>
      <c r="V213" s="12">
        <f>IFERROR(-(V212/V$68)*(V$5-U$5),"")</f>
        <v>31.766168134945</v>
      </c>
      <c r="W213" s="12" t="n"/>
      <c r="X213" s="12">
        <f>IFERROR(-(X212/X$68)*(X$5-W$5),"")</f>
        <v>30.0914928385304</v>
      </c>
      <c r="Y213" s="12">
        <f>IFERROR(-(Y212/Y$68)*(Y$5-X$5),"")</f>
        <v>20.9033277340412</v>
      </c>
      <c r="Z213" s="12">
        <f>IFERROR(-(Z212/Z$68)*(Z$5-Y$5),"")</f>
        <v>25.9347303480986</v>
      </c>
      <c r="AA213" s="12">
        <f>IFERROR(-(AA212/AA$68)*(AA$5-Z$5),"")</f>
        <v>27.3274650064936</v>
      </c>
      <c r="AB213" s="12" t="n"/>
      <c r="AC213" s="12">
        <f>IFERROR(-(AC212/AC$68)*(AC$5-AB$5),"")</f>
        <v>31.1172460123891</v>
      </c>
      <c r="AD213" s="12">
        <f>IFERROR(-(AD212/AD$68)*(AD$5-AC$5),"")</f>
        <v>32.0526084910355</v>
      </c>
      <c r="AE213" s="12">
        <f>IFERROR(-(AE212/AE$68)*(AE$5-AD$5),"")</f>
        <v>30.6944242323078</v>
      </c>
      <c r="AF213" s="11">
        <f>IFERROR(-(AF212/AF$68)*(AF$5-AE$5),"")</f>
        <v>30.2470098073361</v>
      </c>
      <c r="AG213" s="12" t="n"/>
      <c r="AH213" s="11">
        <f>IFERROR(-(AH212/AH$68)*(AH$5-AG$5),"")</f>
        <v>31.1003901659859</v>
      </c>
      <c r="AI213" s="11">
        <f>IFERROR(-(AI212/AI$68)*(AI$5-AH$5),"")</f>
        <v>31.291732209518</v>
      </c>
      <c r="AJ213" s="11">
        <f>Control!$B$27</f>
        <v>31.0839018197621</v>
      </c>
      <c r="AK213" s="11">
        <f>Control!$B$27</f>
        <v>31.0839018197621</v>
      </c>
      <c r="AL213" s="12" t="n"/>
      <c r="AM213" s="11">
        <f>Control!$C$27</f>
        <v>31.0839018197621</v>
      </c>
      <c r="AN213" s="11">
        <f>Control!$C$27</f>
        <v>31.0839018197621</v>
      </c>
      <c r="AO213" s="11">
        <f>Control!$C$27</f>
        <v>31.0839018197621</v>
      </c>
      <c r="AP213" s="11">
        <f>Control!$C$27</f>
        <v>31.0839018197621</v>
      </c>
      <c r="AQ213" s="12" t="n"/>
      <c r="AR213" s="11">
        <f>Control!$D$27</f>
        <v>31.0839018197621</v>
      </c>
      <c r="AS213" s="11">
        <f>Control!$D$27</f>
        <v>31.0839018197621</v>
      </c>
      <c r="AT213" s="11">
        <f>Control!$D$27</f>
        <v>31.0839018197621</v>
      </c>
      <c r="AU213" s="11">
        <f>Control!$D$27</f>
        <v>31.0839018197621</v>
      </c>
      <c r="AV213" s="12" t="n"/>
      <c r="AW213" s="11">
        <f>Control!$E$27</f>
        <v>31.0839018197621</v>
      </c>
      <c r="AX213" s="11">
        <f>Control!$E$27</f>
        <v>31.0839018197621</v>
      </c>
      <c r="AY213" s="11">
        <f>Control!$E$27</f>
        <v>31.0839018197621</v>
      </c>
      <c r="AZ213" s="11">
        <f>Control!$E$27</f>
        <v>31.0839018197621</v>
      </c>
      <c r="BA213" s="12" t="n"/>
      <c r="BB213" s="11">
        <f>Control!$F$27</f>
        <v>31.0839018197621</v>
      </c>
      <c r="BC213" s="11">
        <f>Control!$F$27</f>
        <v>31.0839018197621</v>
      </c>
      <c r="BD213" s="11">
        <f>Control!$F$27</f>
        <v>31.0839018197621</v>
      </c>
      <c r="BE213" s="11">
        <f>Control!$F$27</f>
        <v>31.0839018197621</v>
      </c>
      <c r="BF213" s="12" t="n"/>
      <c r="BG213" s="11" t="n"/>
      <c r="BH213" s="11" t="n"/>
      <c r="BI213" s="11" t="n"/>
      <c r="BJ213" s="11" t="n"/>
      <c r="BK213" s="12" t="n"/>
      <c r="BL213" s="11" t="n"/>
      <c r="BM213" s="11" t="n"/>
      <c r="BN213" s="11" t="n"/>
      <c r="BO213" s="11" t="n"/>
      <c r="BP213" s="12" t="n"/>
      <c r="BQ213" s="11" t="n"/>
      <c r="BR213" s="11" t="n"/>
      <c r="BS213" s="11" t="n"/>
      <c r="BT213" s="11" t="n"/>
      <c r="BU213" s="12" t="n"/>
      <c r="BV213" s="11" t="n"/>
      <c r="BW213" s="11" t="n"/>
      <c r="BX213" s="11" t="n"/>
      <c r="BY213" s="11" t="n"/>
      <c r="BZ213" s="12" t="n"/>
      <c r="CA213" s="11" t="n"/>
      <c r="CB213" s="11" t="n"/>
      <c r="CC213" s="11" t="n"/>
      <c r="CD213" s="11" t="n"/>
      <c r="CE213" s="12" t="n"/>
      <c r="CF213" s="11" t="n"/>
      <c r="CG213" s="11" t="n"/>
      <c r="CH213" s="11" t="n"/>
      <c r="CI213" s="11" t="n"/>
      <c r="CJ213" s="12" t="n"/>
      <c r="CK213" s="11" t="n"/>
      <c r="CL213" s="11" t="n"/>
      <c r="CM213" s="11" t="n"/>
      <c r="CN213" s="11" t="n"/>
      <c r="CO213" s="12" t="n"/>
      <c r="CP213" s="11" t="n"/>
      <c r="CQ213" s="11" t="n"/>
      <c r="CR213" s="11" t="n"/>
      <c r="CS213" s="11" t="n"/>
      <c r="CT213" s="12" t="n"/>
      <c r="CU213" s="11" t="n"/>
      <c r="CV213" s="11" t="n"/>
      <c r="CW213" s="11" t="n"/>
      <c r="CX213" s="11" t="n"/>
      <c r="CY213" s="12" t="n"/>
    </row>
    <row r="214" hidden="1" outlineLevel="1">
      <c r="C214" s="57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7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collapsed="1">
      <c r="C216" s="14" t="inlineStr">
        <is>
          <t>Accrued expenses</t>
        </is>
      </c>
      <c r="D216" s="46" t="n"/>
      <c r="E216" s="46" t="n"/>
      <c r="F216" s="46" t="n"/>
      <c r="G216" s="46" t="n"/>
      <c r="H216" s="12" t="n"/>
      <c r="I216" s="46">
        <f>'Inputs (2)'!D29</f>
        <v>13.813</v>
      </c>
      <c r="J216" s="46">
        <f>'Inputs (2)'!E29</f>
        <v>18.538</v>
      </c>
      <c r="K216" s="46">
        <f>'Inputs (2)'!F29</f>
        <v>17.006</v>
      </c>
      <c r="L216" s="46">
        <f>'Inputs (2)'!G29</f>
        <v>16.567</v>
      </c>
      <c r="M216" s="12">
        <f>'Inputs (2)'!H29</f>
        <v>16.567</v>
      </c>
      <c r="N216" s="46">
        <f>'Inputs (2)'!I29</f>
        <v>16.264</v>
      </c>
      <c r="O216" s="46">
        <f>'Inputs (2)'!J29</f>
        <v>20.929</v>
      </c>
      <c r="P216" s="46">
        <f>'Inputs (2)'!K29</f>
        <v>23.709</v>
      </c>
      <c r="Q216" s="46">
        <f>'Inputs (2)'!L29</f>
        <v>18.487</v>
      </c>
      <c r="R216" s="12">
        <f>'Inputs (2)'!M29</f>
        <v>18.487</v>
      </c>
      <c r="S216" s="46">
        <f>'Inputs (2)'!N29</f>
        <v>22.653</v>
      </c>
      <c r="T216" s="46">
        <f>'Inputs (2)'!O29</f>
        <v>26.462</v>
      </c>
      <c r="U216" s="46">
        <f>'Inputs (2)'!P29</f>
        <v>29.799</v>
      </c>
      <c r="V216" s="46">
        <f>'Inputs (2)'!Q29</f>
        <v>22.734</v>
      </c>
      <c r="W216" s="12">
        <f>'Inputs (2)'!R29</f>
        <v>22.734</v>
      </c>
      <c r="X216" s="46">
        <f>'Inputs (2)'!S29</f>
        <v>27.739</v>
      </c>
      <c r="Y216" s="46">
        <f>'Inputs (2)'!T29</f>
        <v>35.591</v>
      </c>
      <c r="Z216" s="46">
        <f>'Inputs (2)'!U29</f>
        <v>49.938</v>
      </c>
      <c r="AA216" s="46">
        <f>'Inputs (2)'!V29</f>
        <v>32.592</v>
      </c>
      <c r="AB216" s="12">
        <f>'Inputs (2)'!W29</f>
        <v>32.592</v>
      </c>
      <c r="AC216" s="46">
        <f>'Inputs (2)'!X29</f>
        <v>38.661</v>
      </c>
      <c r="AD216" s="46">
        <f>'Inputs (2)'!Y29</f>
        <v>49.007</v>
      </c>
      <c r="AE216" s="46">
        <f>'Inputs (2)'!Z29</f>
        <v>56.389</v>
      </c>
      <c r="AF216" s="46">
        <f>'Inputs (2)'!AA29</f>
        <v>43.999</v>
      </c>
      <c r="AG216" s="12">
        <f>'Inputs (2)'!AB29</f>
        <v>43.999</v>
      </c>
      <c r="AH216" s="12">
        <f>'Inputs (2)'!AC29</f>
        <v>54.666</v>
      </c>
      <c r="AI216" s="12">
        <f>'Inputs (2)'!AD29</f>
        <v>72.162</v>
      </c>
      <c r="AJ216" s="12">
        <f>AI216*(1+AJ16)</f>
        <v>97.378063319546</v>
      </c>
      <c r="AK216" s="12">
        <f>AJ216*(1+AK16)</f>
        <v>131.405548846561</v>
      </c>
      <c r="AL216" s="12">
        <f>AK216</f>
        <v>131.405548846561</v>
      </c>
      <c r="AM216" s="12">
        <f>AL216*(1+AM16)</f>
        <v>177.323492366066</v>
      </c>
      <c r="AN216" s="12">
        <f>AM216*(1+AN16)</f>
        <v>239.286858286436</v>
      </c>
      <c r="AO216" s="12">
        <f>AN216*(1+AO16)</f>
        <v>322.902508768491</v>
      </c>
      <c r="AP216" s="12">
        <f>AO216*(1+AP16)</f>
        <v>435.73655032979</v>
      </c>
      <c r="AQ216" s="12">
        <f>AP216</f>
        <v>435.73655032979</v>
      </c>
      <c r="AR216" s="12">
        <f>AQ216*(1+AR16)</f>
        <v>585.820283306039</v>
      </c>
      <c r="AS216" s="12">
        <f>AR216*(1+AS16)</f>
        <v>787.5983873123</v>
      </c>
      <c r="AT216" s="12">
        <f>AS216*(1+AT16)</f>
        <v>1058.87630963586</v>
      </c>
      <c r="AU216" s="12">
        <f>AT216*(1+AU16)</f>
        <v>1423.59235007357</v>
      </c>
      <c r="AV216" s="12">
        <f>AU216</f>
        <v>1423.59235007357</v>
      </c>
      <c r="AW216" s="12">
        <f>AV216*(1+AW16)</f>
        <v>1906.81207969603</v>
      </c>
      <c r="AX216" s="12">
        <f>AW216*(1+AX16)</f>
        <v>2554.05440123839</v>
      </c>
      <c r="AY216" s="12">
        <f>AX216*(1+AY16)</f>
        <v>3420.99462969895</v>
      </c>
      <c r="AZ216" s="12">
        <f>AY216*(1+AZ16)</f>
        <v>4582.20633466323</v>
      </c>
      <c r="BA216" s="12">
        <f>AZ216</f>
        <v>4582.20633466323</v>
      </c>
      <c r="BB216" s="12">
        <f>BA216*(1+BB16)</f>
        <v>6114.66507299175</v>
      </c>
      <c r="BC216" s="12">
        <f>BB216*(1+BC16)</f>
        <v>8159.63451318767</v>
      </c>
      <c r="BD216" s="12">
        <f>BC216*(1+BD16)</f>
        <v>10888.5171295617</v>
      </c>
      <c r="BE216" s="12">
        <f>BD216*(1+BE16)</f>
        <v>14530.0387032215</v>
      </c>
      <c r="BF216" s="12">
        <f>BE216</f>
        <v>14530.0387032215</v>
      </c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9" t="inlineStr">
        <is>
          <t>%(Var.)</t>
        </is>
      </c>
      <c r="D217" s="12" t="n"/>
      <c r="E217" s="40" t="n"/>
      <c r="F217" s="40" t="n"/>
      <c r="G217" s="40" t="n"/>
      <c r="H217" s="12" t="n"/>
      <c r="I217" s="40" t="str">
        <f>""</f>
        <v/>
      </c>
      <c r="J217" s="40">
        <f>IFERROR(IF(I216=0,"",J216/I216-1),"")</f>
        <v>0.342069065373199</v>
      </c>
      <c r="K217" s="40">
        <f>IFERROR(IF(J216=0,"",K216/J216-1),"")</f>
        <v>-0.0826410616031934</v>
      </c>
      <c r="L217" s="40">
        <f>IFERROR(IF(K216=0,"",L216/K216-1),"")</f>
        <v>-0.0258144184405504</v>
      </c>
      <c r="M217" s="12">
        <f>IF(L216=0,"",M216/L216-1)</f>
        <v>0</v>
      </c>
      <c r="N217" s="40">
        <f>IFERROR(IF(M216=0,"",N216/M216-1),"")</f>
        <v>-0.0182893704352025</v>
      </c>
      <c r="O217" s="40">
        <f>IFERROR(IF(N216=0,"",O216/N216-1),"")</f>
        <v>0.286829808165273</v>
      </c>
      <c r="P217" s="40">
        <f>IFERROR(IF(O216=0,"",P216/O216-1),"")</f>
        <v>0.13283004443595</v>
      </c>
      <c r="Q217" s="40">
        <f>IFERROR(IF(P216=0,"",Q216/P216-1),"")</f>
        <v>-0.220253912016534</v>
      </c>
      <c r="R217" s="12">
        <f>IF(Q216=0,"",R216/Q216-1)</f>
        <v>0</v>
      </c>
      <c r="S217" s="40">
        <f>IFERROR(IF(R216=0,"",S216/R216-1),"")</f>
        <v>0.22534754151566</v>
      </c>
      <c r="T217" s="40">
        <f>IFERROR(IF(S216=0,"",T216/S216-1),"")</f>
        <v>0.168145499492341</v>
      </c>
      <c r="U217" s="40">
        <f>IFERROR(IF(T216=0,"",U216/T216-1),"")</f>
        <v>0.126105358627466</v>
      </c>
      <c r="V217" s="40">
        <f>IFERROR(IF(U216=0,"",V216/U216-1),"")</f>
        <v>-0.237088492902446</v>
      </c>
      <c r="W217" s="12">
        <f>IF(V216=0,"",W216/V216-1)</f>
        <v>0</v>
      </c>
      <c r="X217" s="40">
        <f>IFERROR(IF(W216=0,"",X216/W216-1),"")</f>
        <v>0.220154834169086</v>
      </c>
      <c r="Y217" s="40">
        <f>IFERROR(IF(X216=0,"",Y216/X216-1),"")</f>
        <v>0.283067161757814</v>
      </c>
      <c r="Z217" s="40">
        <f>IFERROR(IF(Y216=0,"",Z216/Y216-1),"")</f>
        <v>0.403107527183839</v>
      </c>
      <c r="AA217" s="40">
        <f>IFERROR(IF(Z216=0,"",AA216/Z216-1),"")</f>
        <v>-0.347350714886459</v>
      </c>
      <c r="AB217" s="12">
        <f>IF(AA216=0,"",AB216/AA216-1)</f>
        <v>0</v>
      </c>
      <c r="AC217" s="40">
        <f>IFERROR(IF(AB216=0,"",AC216/AB216-1),"")</f>
        <v>0.186211340206186</v>
      </c>
      <c r="AD217" s="40">
        <f>IFERROR(IF(AC216=0,"",AD216/AC216-1),"")</f>
        <v>0.267608183957994</v>
      </c>
      <c r="AE217" s="40">
        <f>IFERROR(IF(AD216=0,"",AE216/AD216-1),"")</f>
        <v>0.150631542432714</v>
      </c>
      <c r="AF217" s="55">
        <f>IFERROR(IF(AE216=0,"",AF216/AE216-1),"")</f>
        <v>-0.219723704977921</v>
      </c>
      <c r="AG217" s="12">
        <f>IF(AF216=0,"",AG216/AF216-1)</f>
        <v>0</v>
      </c>
      <c r="AH217" s="55">
        <f>IFERROR(IF(AG216=0,"",AH216/AG216-1),"")</f>
        <v>0.242437328121093</v>
      </c>
      <c r="AI217" s="55">
        <f>IFERROR(IF(AH216=0,"",AI216/AH216-1),"")</f>
        <v>0.320052683569312</v>
      </c>
      <c r="AJ217" s="55">
        <f>IFERROR(IF(AI216=0,"",AJ216/AI216-1),"")</f>
        <v>0.349436868705773</v>
      </c>
      <c r="AK217" s="55">
        <f>IF(AJ216=0,"",AK216/AJ216-1)</f>
        <v>0.349436868705773</v>
      </c>
      <c r="AL217" s="12">
        <f>IF(AK216=0,"",AL216/AK216-1)</f>
        <v>0</v>
      </c>
      <c r="AM217" s="55">
        <f>IF(AL216=0,"",AM216/AL216-1)</f>
        <v>0.349436868705773</v>
      </c>
      <c r="AN217" s="55">
        <f>IF(AM216=0,"",AN216/AM216-1)</f>
        <v>0.349436868705773</v>
      </c>
      <c r="AO217" s="55">
        <f>IF(AN216=0,"",AO216/AN216-1)</f>
        <v>0.349436868705773</v>
      </c>
      <c r="AP217" s="55">
        <f>IF(AO216=0,"",AP216/AO216-1)</f>
        <v>0.349436868705773</v>
      </c>
      <c r="AQ217" s="12">
        <f>IF(AP216=0,"",AQ216/AP216-1)</f>
        <v>0</v>
      </c>
      <c r="AR217" s="55">
        <f>IF(AQ216=0,"",AR216/AQ216-1)</f>
        <v>0.344436868705773</v>
      </c>
      <c r="AS217" s="55">
        <f>IF(AR216=0,"",AS216/AR216-1)</f>
        <v>0.344436868705773</v>
      </c>
      <c r="AT217" s="55">
        <f>IF(AS216=0,"",AT216/AS216-1)</f>
        <v>0.344436868705773</v>
      </c>
      <c r="AU217" s="55">
        <f>IF(AT216=0,"",AU216/AT216-1)</f>
        <v>0.344436868705773</v>
      </c>
      <c r="AV217" s="12">
        <f>IF(AU216=0,"",AV216/AU216-1)</f>
        <v>0</v>
      </c>
      <c r="AW217" s="55">
        <f>IF(AV216=0,"",AW216/AV216-1)</f>
        <v>0.339436868705773</v>
      </c>
      <c r="AX217" s="55">
        <f>IF(AW216=0,"",AX216/AW216-1)</f>
        <v>0.339436868705773</v>
      </c>
      <c r="AY217" s="55">
        <f>IF(AX216=0,"",AY216/AX216-1)</f>
        <v>0.339436868705773</v>
      </c>
      <c r="AZ217" s="55">
        <f>IF(AY216=0,"",AZ216/AY216-1)</f>
        <v>0.339436868705773</v>
      </c>
      <c r="BA217" s="12">
        <f>IF(AZ216=0,"",BA216/AZ216-1)</f>
        <v>0</v>
      </c>
      <c r="BB217" s="55">
        <f>IF(BA216=0,"",BB216/BA216-1)</f>
        <v>0.334436868705773</v>
      </c>
      <c r="BC217" s="55">
        <f>IF(BB216=0,"",BC216/BB216-1)</f>
        <v>0.334436868705773</v>
      </c>
      <c r="BD217" s="55">
        <f>IF(BC216=0,"",BD216/BC216-1)</f>
        <v>0.334436868705773</v>
      </c>
      <c r="BE217" s="55">
        <f>IF(BD216=0,"",BE216/BD216-1)</f>
        <v>0.334436868705773</v>
      </c>
      <c r="BF217" s="12">
        <f>IF(BE216=0,"",BF216/BE216-1)</f>
        <v>0</v>
      </c>
      <c r="BG217" s="55" t="n"/>
      <c r="BH217" s="55" t="n"/>
      <c r="BI217" s="55" t="n"/>
      <c r="BJ217" s="55" t="n"/>
      <c r="BK217" s="12" t="n"/>
      <c r="BL217" s="55" t="n"/>
      <c r="BM217" s="55" t="n"/>
      <c r="BN217" s="55" t="n"/>
      <c r="BO217" s="55" t="n"/>
      <c r="BP217" s="12" t="n"/>
      <c r="BQ217" s="55" t="n"/>
      <c r="BR217" s="55" t="n"/>
      <c r="BS217" s="55" t="n"/>
      <c r="BT217" s="55" t="n"/>
      <c r="BU217" s="12" t="n"/>
      <c r="BV217" s="55" t="n"/>
      <c r="BW217" s="55" t="n"/>
      <c r="BX217" s="55" t="n"/>
      <c r="BY217" s="55" t="n"/>
      <c r="BZ217" s="12" t="n"/>
      <c r="CA217" s="55" t="n"/>
      <c r="CB217" s="55" t="n"/>
      <c r="CC217" s="55" t="n"/>
      <c r="CD217" s="55" t="n"/>
      <c r="CE217" s="12" t="n"/>
      <c r="CF217" s="55" t="n"/>
      <c r="CG217" s="55" t="n"/>
      <c r="CH217" s="55" t="n"/>
      <c r="CI217" s="55" t="n"/>
      <c r="CJ217" s="12" t="n"/>
      <c r="CK217" s="55" t="n"/>
      <c r="CL217" s="55" t="n"/>
      <c r="CM217" s="55" t="n"/>
      <c r="CN217" s="55" t="n"/>
      <c r="CO217" s="12" t="n"/>
      <c r="CP217" s="55" t="n"/>
      <c r="CQ217" s="55" t="n"/>
      <c r="CR217" s="55" t="n"/>
      <c r="CS217" s="55" t="n"/>
      <c r="CT217" s="12" t="n"/>
      <c r="CU217" s="55" t="n"/>
      <c r="CV217" s="55" t="n"/>
      <c r="CW217" s="55" t="n"/>
      <c r="CX217" s="55" t="n"/>
      <c r="CY217" s="12" t="n"/>
    </row>
    <row r="218" collapsed="1">
      <c r="C218" s="14" t="inlineStr">
        <is>
          <t>Taxes payable</t>
        </is>
      </c>
      <c r="D218" s="46" t="n"/>
      <c r="E218" s="46" t="n"/>
      <c r="F218" s="46" t="n"/>
      <c r="G218" s="46" t="n"/>
      <c r="H218" s="12" t="n"/>
      <c r="I218" s="46">
        <f>'Inputs (2)'!D30</f>
        <v>9.385</v>
      </c>
      <c r="J218" s="46">
        <f>'Inputs (2)'!E30</f>
        <v>8.745</v>
      </c>
      <c r="K218" s="46">
        <f>'Inputs (2)'!F30</f>
        <v>9.271</v>
      </c>
      <c r="L218" s="46">
        <f>'Inputs (2)'!G30</f>
        <v>8.366</v>
      </c>
      <c r="M218" s="12">
        <f>'Inputs (2)'!H30</f>
        <v>8.366</v>
      </c>
      <c r="N218" s="46">
        <f>'Inputs (2)'!I30</f>
        <v>10.182</v>
      </c>
      <c r="O218" s="46">
        <f>'Inputs (2)'!J30</f>
        <v>12.518</v>
      </c>
      <c r="P218" s="46">
        <f>'Inputs (2)'!K30</f>
        <v>12.142</v>
      </c>
      <c r="Q218" s="46">
        <f>'Inputs (2)'!L30</f>
        <v>14.84</v>
      </c>
      <c r="R218" s="12">
        <f>'Inputs (2)'!M30</f>
        <v>14.84</v>
      </c>
      <c r="S218" s="46">
        <f>'Inputs (2)'!N30</f>
        <v>14.924</v>
      </c>
      <c r="T218" s="46">
        <f>'Inputs (2)'!O30</f>
        <v>14.002</v>
      </c>
      <c r="U218" s="46">
        <f>'Inputs (2)'!P30</f>
        <v>16.903</v>
      </c>
      <c r="V218" s="46">
        <f>'Inputs (2)'!Q30</f>
        <v>19.051</v>
      </c>
      <c r="W218" s="12">
        <f>'Inputs (2)'!R30</f>
        <v>19.051</v>
      </c>
      <c r="X218" s="46">
        <f>'Inputs (2)'!S30</f>
        <v>17.695</v>
      </c>
      <c r="Y218" s="46">
        <f>'Inputs (2)'!T30</f>
        <v>19.541</v>
      </c>
      <c r="Z218" s="46">
        <f>'Inputs (2)'!U30</f>
        <v>20.725</v>
      </c>
      <c r="AA218" s="46">
        <f>'Inputs (2)'!V30</f>
        <v>27.898</v>
      </c>
      <c r="AB218" s="12">
        <f>'Inputs (2)'!W30</f>
        <v>27.898</v>
      </c>
      <c r="AC218" s="46">
        <f>'Inputs (2)'!X30</f>
        <v>24.51</v>
      </c>
      <c r="AD218" s="46">
        <f>'Inputs (2)'!Y30</f>
        <v>30.682</v>
      </c>
      <c r="AE218" s="46">
        <f>'Inputs (2)'!Z30</f>
        <v>39.048</v>
      </c>
      <c r="AF218" s="46">
        <f>'Inputs (2)'!AA30</f>
        <v>42.103</v>
      </c>
      <c r="AG218" s="12">
        <f>'Inputs (2)'!AB30</f>
        <v>42.103</v>
      </c>
      <c r="AH218" s="12">
        <f>'Inputs (2)'!AC30</f>
        <v>40.189</v>
      </c>
      <c r="AI218" s="12">
        <f>'Inputs (2)'!AD30</f>
        <v>45.828</v>
      </c>
      <c r="AJ218" s="12">
        <f>AI218*(1+AJ16)</f>
        <v>61.8419928190482</v>
      </c>
      <c r="AK218" s="12">
        <f>AJ218*(1+AK16)</f>
        <v>83.4518651442612</v>
      </c>
      <c r="AL218" s="12">
        <f>AK218</f>
        <v>83.4518651442612</v>
      </c>
      <c r="AM218" s="12">
        <f>AL218*(1+AM16)</f>
        <v>112.613023587928</v>
      </c>
      <c r="AN218" s="12">
        <f>AM218*(1+AN16)</f>
        <v>151.964165925983</v>
      </c>
      <c r="AO218" s="12">
        <f>AN218*(1+AO16)</f>
        <v>205.066048222643</v>
      </c>
      <c r="AP218" s="12">
        <f>AO218*(1+AP16)</f>
        <v>276.723685991431</v>
      </c>
      <c r="AQ218" s="12">
        <f>AP218</f>
        <v>276.723685991431</v>
      </c>
      <c r="AR218" s="12">
        <f>AQ218*(1+AR16)</f>
        <v>372.037525891039</v>
      </c>
      <c r="AS218" s="12">
        <f>AR218*(1+AS16)</f>
        <v>500.180966349991</v>
      </c>
      <c r="AT218" s="12">
        <f>AS218*(1+AT16)</f>
        <v>672.46173218581</v>
      </c>
      <c r="AU218" s="12">
        <f>AT218*(1+AU16)</f>
        <v>904.08234554435</v>
      </c>
      <c r="AV218" s="12">
        <f>AU218</f>
        <v>904.08234554435</v>
      </c>
      <c r="AW218" s="12">
        <f>AV218*(1+AW16)</f>
        <v>1210.96122596809</v>
      </c>
      <c r="AX218" s="12">
        <f>AW218*(1+AX16)</f>
        <v>1622.00611263481</v>
      </c>
      <c r="AY218" s="12">
        <f>AX218*(1+AY16)</f>
        <v>2172.57478852919</v>
      </c>
      <c r="AZ218" s="12">
        <f>AY218*(1+AZ16)</f>
        <v>2910.02677177665</v>
      </c>
      <c r="BA218" s="12">
        <f>AZ218</f>
        <v>2910.02677177665</v>
      </c>
      <c r="BB218" s="12">
        <f>BA218*(1+BB16)</f>
        <v>3883.2470131796</v>
      </c>
      <c r="BC218" s="12">
        <f>BB218*(1+BC16)</f>
        <v>5181.94798467842</v>
      </c>
      <c r="BD218" s="12">
        <f>BC218*(1+BD16)</f>
        <v>6914.98244247047</v>
      </c>
      <c r="BE218" s="12">
        <f>BD218*(1+BE16)</f>
        <v>9227.60751768569</v>
      </c>
      <c r="BF218" s="12">
        <f>BE218</f>
        <v>9227.60751768569</v>
      </c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>
      <c r="C219" s="14" t="inlineStr">
        <is>
          <t>Other current liabilities (non-debt)</t>
        </is>
      </c>
      <c r="D219" s="46" t="n"/>
      <c r="E219" s="46" t="n"/>
      <c r="F219" s="46" t="n"/>
      <c r="G219" s="46" t="n"/>
      <c r="H219" s="12" t="n"/>
      <c r="I219" s="46">
        <f>'Inputs (2)'!D31</f>
        <v>542.973</v>
      </c>
      <c r="J219" s="46">
        <f>'Inputs (2)'!E31</f>
        <v>679.558</v>
      </c>
      <c r="K219" s="46">
        <f>'Inputs (2)'!F31</f>
        <v>562.006</v>
      </c>
      <c r="L219" s="46">
        <f>'Inputs (2)'!G31</f>
        <v>925.411</v>
      </c>
      <c r="M219" s="12">
        <f>'Inputs (2)'!H31</f>
        <v>925.411</v>
      </c>
      <c r="N219" s="46">
        <f>'Inputs (2)'!I31</f>
        <v>1210.216</v>
      </c>
      <c r="O219" s="46">
        <f>'Inputs (2)'!J31</f>
        <v>1150.613</v>
      </c>
      <c r="P219" s="46">
        <f>'Inputs (2)'!K31</f>
        <v>803.249281391</v>
      </c>
      <c r="Q219" s="46">
        <f>'Inputs (2)'!L31</f>
        <v>784.809</v>
      </c>
      <c r="R219" s="12">
        <f>'Inputs (2)'!M31</f>
        <v>784.809</v>
      </c>
      <c r="S219" s="46">
        <f>'Inputs (2)'!N31</f>
        <v>480.737</v>
      </c>
      <c r="T219" s="46">
        <f>'Inputs (2)'!O31</f>
        <v>475.44</v>
      </c>
      <c r="U219" s="46">
        <f>'Inputs (2)'!P31</f>
        <v>651.102</v>
      </c>
      <c r="V219" s="46">
        <f>'Inputs (2)'!Q31</f>
        <v>737.404</v>
      </c>
      <c r="W219" s="12">
        <f>'Inputs (2)'!R31</f>
        <v>737.404</v>
      </c>
      <c r="X219" s="46">
        <f>'Inputs (2)'!S31</f>
        <v>815.687</v>
      </c>
      <c r="Y219" s="46">
        <f>'Inputs (2)'!T31</f>
        <v>1037.952</v>
      </c>
      <c r="Z219" s="46">
        <f>'Inputs (2)'!U31</f>
        <v>788.015</v>
      </c>
      <c r="AA219" s="46">
        <f>'Inputs (2)'!V31</f>
        <v>785.959</v>
      </c>
      <c r="AB219" s="12">
        <f>'Inputs (2)'!W31</f>
        <v>785.959</v>
      </c>
      <c r="AC219" s="46">
        <f>'Inputs (2)'!X31</f>
        <v>882.876</v>
      </c>
      <c r="AD219" s="46">
        <f>'Inputs (2)'!Y31</f>
        <v>897.325</v>
      </c>
      <c r="AE219" s="46">
        <f>'Inputs (2)'!Z31</f>
        <v>1166.893</v>
      </c>
      <c r="AF219" s="46">
        <f>'Inputs (2)'!AA31</f>
        <v>1069.117</v>
      </c>
      <c r="AG219" s="12">
        <f>'Inputs (2)'!AB31</f>
        <v>1069.117</v>
      </c>
      <c r="AH219" s="12">
        <f>'Inputs (2)'!AC31</f>
        <v>1277.469</v>
      </c>
      <c r="AI219" s="12">
        <f>'Inputs (2)'!AD31</f>
        <v>1234.59</v>
      </c>
      <c r="AJ219" s="12">
        <f>AI219</f>
        <v>1234.59</v>
      </c>
      <c r="AK219" s="12">
        <f>AJ219</f>
        <v>1234.59</v>
      </c>
      <c r="AL219" s="12">
        <f>AK219</f>
        <v>1234.59</v>
      </c>
      <c r="AM219" s="12">
        <f>AL219</f>
        <v>1234.59</v>
      </c>
      <c r="AN219" s="12">
        <f>AM219</f>
        <v>1234.59</v>
      </c>
      <c r="AO219" s="12">
        <f>AN219</f>
        <v>1234.59</v>
      </c>
      <c r="AP219" s="12">
        <f>AO219</f>
        <v>1234.59</v>
      </c>
      <c r="AQ219" s="12">
        <f>AP219</f>
        <v>1234.59</v>
      </c>
      <c r="AR219" s="12">
        <f>AQ219</f>
        <v>1234.59</v>
      </c>
      <c r="AS219" s="12">
        <f>AR219</f>
        <v>1234.59</v>
      </c>
      <c r="AT219" s="12">
        <f>AS219</f>
        <v>1234.59</v>
      </c>
      <c r="AU219" s="12">
        <f>AT219</f>
        <v>1234.59</v>
      </c>
      <c r="AV219" s="12">
        <f>AU219</f>
        <v>1234.59</v>
      </c>
      <c r="AW219" s="12">
        <f>AV219</f>
        <v>1234.59</v>
      </c>
      <c r="AX219" s="12">
        <f>AW219</f>
        <v>1234.59</v>
      </c>
      <c r="AY219" s="12">
        <f>AX219</f>
        <v>1234.59</v>
      </c>
      <c r="AZ219" s="12">
        <f>AY219</f>
        <v>1234.59</v>
      </c>
      <c r="BA219" s="12">
        <f>AZ219</f>
        <v>1234.59</v>
      </c>
      <c r="BB219" s="12">
        <f>BA219</f>
        <v>1234.59</v>
      </c>
      <c r="BC219" s="12">
        <f>BB219</f>
        <v>1234.59</v>
      </c>
      <c r="BD219" s="12">
        <f>BC219</f>
        <v>1234.59</v>
      </c>
      <c r="BE219" s="12">
        <f>BD219</f>
        <v>1234.59</v>
      </c>
      <c r="BF219" s="12">
        <f>BE219</f>
        <v>1234.59</v>
      </c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9" t="inlineStr">
        <is>
          <t>%(Var.)</t>
        </is>
      </c>
      <c r="D220" s="12" t="n"/>
      <c r="E220" s="40" t="n"/>
      <c r="F220" s="40" t="n"/>
      <c r="G220" s="40" t="n"/>
      <c r="H220" s="12" t="n"/>
      <c r="I220" s="40" t="str">
        <f>""</f>
        <v/>
      </c>
      <c r="J220" s="40">
        <f>IFERROR(IF(I219=0,"",J219/I219-1),"")</f>
        <v>0.251550261246876</v>
      </c>
      <c r="K220" s="40">
        <f>IFERROR(IF(J219=0,"",K219/J219-1),"")</f>
        <v>-0.172983027202976</v>
      </c>
      <c r="L220" s="40">
        <f>IFERROR(IF(K219=0,"",L219/K219-1),"")</f>
        <v>0.64662121044971</v>
      </c>
      <c r="M220" s="12">
        <f>IF(L219=0,"",M219/L219-1)</f>
        <v>0</v>
      </c>
      <c r="N220" s="40">
        <f>IFERROR(IF(M219=0,"",N219/M219-1),"")</f>
        <v>0.307760551798066</v>
      </c>
      <c r="O220" s="40">
        <f>IFERROR(IF(N219=0,"",O219/N219-1),"")</f>
        <v>-0.0492498859707687</v>
      </c>
      <c r="P220" s="40">
        <f>IFERROR(IF(O219=0,"",P219/O219-1),"")</f>
        <v>-0.301894484599948</v>
      </c>
      <c r="Q220" s="40">
        <f>IFERROR(IF(P219=0,"",Q219/P219-1),"")</f>
        <v>-0.0229571091044947</v>
      </c>
      <c r="R220" s="12">
        <f>IF(Q219=0,"",R219/Q219-1)</f>
        <v>0</v>
      </c>
      <c r="S220" s="40">
        <f>IFERROR(IF(R219=0,"",S219/R219-1),"")</f>
        <v>-0.387447136819277</v>
      </c>
      <c r="T220" s="40">
        <f>IFERROR(IF(S219=0,"",T219/S219-1),"")</f>
        <v>-0.0110184986801516</v>
      </c>
      <c r="U220" s="40">
        <f>IFERROR(IF(T219=0,"",U219/T219-1),"")</f>
        <v>0.3694724886421</v>
      </c>
      <c r="V220" s="40">
        <f>IFERROR(IF(U219=0,"",V219/U219-1),"")</f>
        <v>0.132547588549874</v>
      </c>
      <c r="W220" s="12">
        <f>IF(V219=0,"",W219/V219-1)</f>
        <v>0</v>
      </c>
      <c r="X220" s="40">
        <f>IFERROR(IF(W219=0,"",X219/W219-1),"")</f>
        <v>0.106160259504966</v>
      </c>
      <c r="Y220" s="40">
        <f>IFERROR(IF(X219=0,"",Y219/X219-1),"")</f>
        <v>0.27248809898895</v>
      </c>
      <c r="Z220" s="40">
        <f>IFERROR(IF(Y219=0,"",Z219/Y219-1),"")</f>
        <v>-0.240798225736836</v>
      </c>
      <c r="AA220" s="40">
        <f>IFERROR(IF(Z219=0,"",AA219/Z219-1),"")</f>
        <v>-0.0026090873904685</v>
      </c>
      <c r="AB220" s="12">
        <f>IF(AA219=0,"",AB219/AA219-1)</f>
        <v>0</v>
      </c>
      <c r="AC220" s="40">
        <f>IFERROR(IF(AB219=0,"",AC219/AB219-1),"")</f>
        <v>0.1233105034741</v>
      </c>
      <c r="AD220" s="40">
        <f>IFERROR(IF(AC219=0,"",AD219/AC219-1),"")</f>
        <v>0.0163658316683204</v>
      </c>
      <c r="AE220" s="40">
        <f>IFERROR(IF(AD219=0,"",AE219/AD219-1),"")</f>
        <v>0.300412893879029</v>
      </c>
      <c r="AF220" s="55">
        <f>IFERROR(IF(AE219=0,"",AF219/AE219-1),"")</f>
        <v>-0.0837917444015861</v>
      </c>
      <c r="AG220" s="12">
        <f>IF(AF219=0,"",AG219/AF219-1)</f>
        <v>0</v>
      </c>
      <c r="AH220" s="55">
        <f>IFERROR(IF(AG219=0,"",AH219/AG219-1),"")</f>
        <v>0.194882318773343</v>
      </c>
      <c r="AI220" s="55">
        <f>IFERROR(IF(AH219=0,"",AI219/AH219-1),"")</f>
        <v>-0.0335655894585309</v>
      </c>
      <c r="AJ220" s="55">
        <f>IFERROR(IF(AI219=0,"",AJ219/AI219-1),"")</f>
        <v>0</v>
      </c>
      <c r="AK220" s="55">
        <f>IFERROR(IF(AJ219=0,"",AK219/AJ219-1),"")</f>
        <v>0</v>
      </c>
      <c r="AL220" s="12">
        <f>IFERROR(IF(AK219=0,"",AL219/AK219-1),"")</f>
        <v>0</v>
      </c>
      <c r="AM220" s="55">
        <f>IFERROR(IF(AL219=0,"",AM219/AL219-1),"")</f>
        <v>0</v>
      </c>
      <c r="AN220" s="55">
        <f>IFERROR(IF(AM219=0,"",AN219/AM219-1),"")</f>
        <v>0</v>
      </c>
      <c r="AO220" s="55">
        <f>IFERROR(IF(AN219=0,"",AO219/AN219-1),"")</f>
        <v>0</v>
      </c>
      <c r="AP220" s="55">
        <f>IFERROR(IF(AO219=0,"",AP219/AO219-1),"")</f>
        <v>0</v>
      </c>
      <c r="AQ220" s="12">
        <f>IFERROR(IF(AP219=0,"",AQ219/AP219-1),"")</f>
        <v>0</v>
      </c>
      <c r="AR220" s="55">
        <f>IFERROR(IF(AQ219=0,"",AR219/AQ219-1),"")</f>
        <v>0</v>
      </c>
      <c r="AS220" s="55">
        <f>IFERROR(IF(AR219=0,"",AS219/AR219-1),"")</f>
        <v>0</v>
      </c>
      <c r="AT220" s="55">
        <f>IFERROR(IF(AS219=0,"",AT219/AS219-1),"")</f>
        <v>0</v>
      </c>
      <c r="AU220" s="55">
        <f>IFERROR(IF(AT219=0,"",AU219/AT219-1),"")</f>
        <v>0</v>
      </c>
      <c r="AV220" s="12">
        <f>IFERROR(IF(AU219=0,"",AV219/AU219-1),"")</f>
        <v>0</v>
      </c>
      <c r="AW220" s="55">
        <f>IFERROR(IF(AV219=0,"",AW219/AV219-1),"")</f>
        <v>0</v>
      </c>
      <c r="AX220" s="55">
        <f>IFERROR(IF(AW219=0,"",AX219/AW219-1),"")</f>
        <v>0</v>
      </c>
      <c r="AY220" s="55">
        <f>IFERROR(IF(AX219=0,"",AY219/AX219-1),"")</f>
        <v>0</v>
      </c>
      <c r="AZ220" s="55">
        <f>IFERROR(IF(AY219=0,"",AZ219/AY219-1),"")</f>
        <v>0</v>
      </c>
      <c r="BA220" s="12">
        <f>IFERROR(IF(AZ219=0,"",BA219/AZ219-1),"")</f>
        <v>0</v>
      </c>
      <c r="BB220" s="55">
        <f>IFERROR(IF(BA219=0,"",BB219/BA219-1),"")</f>
        <v>0</v>
      </c>
      <c r="BC220" s="55">
        <f>IFERROR(IF(BB219=0,"",BC219/BB219-1),"")</f>
        <v>0</v>
      </c>
      <c r="BD220" s="55">
        <f>IFERROR(IF(BC219=0,"",BD219/BC219-1),"")</f>
        <v>0</v>
      </c>
      <c r="BE220" s="55">
        <f>IFERROR(IF(BD219=0,"",BE219/BD219-1),"")</f>
        <v>0</v>
      </c>
      <c r="BF220" s="12">
        <f>IFERROR(IF(BE219=0,"",BF219/BE219-1),"")</f>
        <v>0</v>
      </c>
      <c r="BG220" s="55" t="n"/>
      <c r="BH220" s="55" t="n"/>
      <c r="BI220" s="55" t="n"/>
      <c r="BJ220" s="55" t="n"/>
      <c r="BK220" s="12" t="n"/>
      <c r="BL220" s="55" t="n"/>
      <c r="BM220" s="55" t="n"/>
      <c r="BN220" s="55" t="n"/>
      <c r="BO220" s="55" t="n"/>
      <c r="BP220" s="12" t="n"/>
      <c r="BQ220" s="55" t="n"/>
      <c r="BR220" s="55" t="n"/>
      <c r="BS220" s="55" t="n"/>
      <c r="BT220" s="55" t="n"/>
      <c r="BU220" s="12" t="n"/>
      <c r="BV220" s="55" t="n"/>
      <c r="BW220" s="55" t="n"/>
      <c r="BX220" s="55" t="n"/>
      <c r="BY220" s="55" t="n"/>
      <c r="BZ220" s="12" t="n"/>
      <c r="CA220" s="55" t="n"/>
      <c r="CB220" s="55" t="n"/>
      <c r="CC220" s="55" t="n"/>
      <c r="CD220" s="55" t="n"/>
      <c r="CE220" s="12" t="n"/>
      <c r="CF220" s="55" t="n"/>
      <c r="CG220" s="55" t="n"/>
      <c r="CH220" s="55" t="n"/>
      <c r="CI220" s="55" t="n"/>
      <c r="CJ220" s="12" t="n"/>
      <c r="CK220" s="55" t="n"/>
      <c r="CL220" s="55" t="n"/>
      <c r="CM220" s="55" t="n"/>
      <c r="CN220" s="55" t="n"/>
      <c r="CO220" s="12" t="n"/>
      <c r="CP220" s="55" t="n"/>
      <c r="CQ220" s="55" t="n"/>
      <c r="CR220" s="55" t="n"/>
      <c r="CS220" s="55" t="n"/>
      <c r="CT220" s="12" t="n"/>
      <c r="CU220" s="55" t="n"/>
      <c r="CV220" s="55" t="n"/>
      <c r="CW220" s="55" t="n"/>
      <c r="CX220" s="55" t="n"/>
      <c r="CY220" s="12" t="n"/>
    </row>
    <row r="221" hidden="1" outlineLevel="1">
      <c r="C221" s="57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  <c r="AL221" s="12" t="n"/>
      <c r="AM221" s="12" t="n"/>
      <c r="AN221" s="12" t="n"/>
      <c r="AO221" s="12" t="n"/>
      <c r="AP221" s="12" t="n"/>
      <c r="AQ221" s="12" t="n"/>
      <c r="AR221" s="12" t="n"/>
      <c r="AS221" s="12" t="n"/>
      <c r="AT221" s="12" t="n"/>
      <c r="AU221" s="12" t="n"/>
      <c r="AV221" s="12" t="n"/>
      <c r="AW221" s="12" t="n"/>
      <c r="AX221" s="12" t="n"/>
      <c r="AY221" s="12" t="n"/>
      <c r="AZ221" s="12" t="n"/>
      <c r="BA221" s="12" t="n"/>
      <c r="BB221" s="12" t="n"/>
      <c r="BC221" s="12" t="n"/>
      <c r="BD221" s="12" t="n"/>
      <c r="BE221" s="12" t="n"/>
      <c r="BF221" s="12" t="n"/>
      <c r="BG221" s="12" t="n"/>
      <c r="BH221" s="12" t="n"/>
      <c r="BI221" s="12" t="n"/>
      <c r="BJ221" s="12" t="n"/>
      <c r="BK221" s="12" t="n"/>
      <c r="BL221" s="12" t="n"/>
      <c r="BM221" s="12" t="n"/>
      <c r="BN221" s="12" t="n"/>
      <c r="BO221" s="12" t="n"/>
      <c r="BP221" s="12" t="n"/>
      <c r="BQ221" s="12" t="n"/>
      <c r="BR221" s="12" t="n"/>
      <c r="BS221" s="12" t="n"/>
      <c r="BT221" s="12" t="n"/>
      <c r="BU221" s="12" t="n"/>
      <c r="BV221" s="12" t="n"/>
      <c r="BW221" s="12" t="n"/>
      <c r="BX221" s="12" t="n"/>
      <c r="BY221" s="12" t="n"/>
      <c r="BZ221" s="12" t="n"/>
      <c r="CA221" s="12" t="n"/>
      <c r="CB221" s="12" t="n"/>
      <c r="CC221" s="12" t="n"/>
      <c r="CD221" s="12" t="n"/>
      <c r="CE221" s="12" t="n"/>
      <c r="CF221" s="12" t="n"/>
      <c r="CG221" s="12" t="n"/>
      <c r="CH221" s="12" t="n"/>
      <c r="CI221" s="12" t="n"/>
      <c r="CJ221" s="12" t="n"/>
      <c r="CK221" s="12" t="n"/>
      <c r="CL221" s="12" t="n"/>
      <c r="CM221" s="12" t="n"/>
      <c r="CN221" s="12" t="n"/>
      <c r="CO221" s="12" t="n"/>
      <c r="CP221" s="12" t="n"/>
      <c r="CQ221" s="12" t="n"/>
      <c r="CR221" s="12" t="n"/>
      <c r="CS221" s="12" t="n"/>
      <c r="CT221" s="12" t="n"/>
      <c r="CU221" s="12" t="n"/>
      <c r="CV221" s="12" t="n"/>
      <c r="CW221" s="12" t="n"/>
      <c r="CX221" s="12" t="n"/>
      <c r="CY221" s="12" t="n"/>
    </row>
    <row r="222" hidden="1" outlineLevel="1">
      <c r="C222" s="57" t="inlineStr">
        <is>
          <t xml:space="preserve">Dividendos a Pagar </t>
        </is>
      </c>
      <c r="D222" s="11" t="n"/>
      <c r="E222" s="11" t="n"/>
      <c r="F222" s="11" t="n"/>
      <c r="G222" s="11" t="n"/>
      <c r="H222" s="12" t="n"/>
      <c r="I222" s="11" t="n"/>
      <c r="J222" s="11" t="n"/>
      <c r="K222" s="11" t="n"/>
      <c r="L222" s="11" t="n"/>
      <c r="M222" s="12" t="n"/>
      <c r="N222" s="11" t="n"/>
      <c r="O222" s="11" t="n"/>
      <c r="P222" s="11" t="n"/>
      <c r="Q222" s="11" t="n"/>
      <c r="R222" s="12" t="n"/>
      <c r="S222" s="11" t="n"/>
      <c r="T222" s="11" t="n"/>
      <c r="U222" s="11" t="n"/>
      <c r="V222" s="11" t="n"/>
      <c r="W222" s="12" t="n"/>
      <c r="X222" s="11" t="n"/>
      <c r="Y222" s="11" t="n"/>
      <c r="Z222" s="11" t="n"/>
      <c r="AA222" s="11" t="n"/>
      <c r="AB222" s="12" t="n"/>
      <c r="AC222" s="11" t="n"/>
      <c r="AD222" s="11" t="n"/>
      <c r="AE222" s="11" t="n"/>
      <c r="AF222" s="11" t="n"/>
      <c r="AG222" s="12" t="n"/>
      <c r="AH222" s="11" t="n"/>
      <c r="AI222" s="11" t="n"/>
      <c r="AJ222" s="11" t="n"/>
      <c r="AK222" s="11" t="n"/>
      <c r="AL222" s="12" t="n"/>
      <c r="AM222" s="11" t="n"/>
      <c r="AN222" s="11" t="n"/>
      <c r="AO222" s="11" t="n"/>
      <c r="AP222" s="11" t="n"/>
      <c r="AQ222" s="12" t="n"/>
      <c r="AR222" s="11" t="n"/>
      <c r="AS222" s="11" t="n"/>
      <c r="AT222" s="11" t="n"/>
      <c r="AU222" s="11" t="n"/>
      <c r="AV222" s="12" t="n"/>
      <c r="AW222" s="11" t="n"/>
      <c r="AX222" s="11" t="n"/>
      <c r="AY222" s="11" t="n"/>
      <c r="AZ222" s="11" t="n"/>
      <c r="BA222" s="12" t="n"/>
      <c r="BB222" s="11" t="n"/>
      <c r="BC222" s="11" t="n"/>
      <c r="BD222" s="11" t="n"/>
      <c r="BE222" s="11" t="n"/>
      <c r="BF222" s="12" t="n"/>
      <c r="BG222" s="11" t="n"/>
      <c r="BH222" s="11" t="n"/>
      <c r="BI222" s="11" t="n"/>
      <c r="BJ222" s="11" t="n"/>
      <c r="BK222" s="12" t="n"/>
      <c r="BL222" s="11" t="n"/>
      <c r="BM222" s="11" t="n"/>
      <c r="BN222" s="11" t="n"/>
      <c r="BO222" s="11" t="n"/>
      <c r="BP222" s="12" t="n"/>
      <c r="BQ222" s="11" t="n"/>
      <c r="BR222" s="11" t="n"/>
      <c r="BS222" s="11" t="n"/>
      <c r="BT222" s="11" t="n"/>
      <c r="BU222" s="12" t="n"/>
      <c r="BV222" s="11" t="n"/>
      <c r="BW222" s="11" t="n"/>
      <c r="BX222" s="11" t="n"/>
      <c r="BY222" s="11" t="n"/>
      <c r="BZ222" s="12" t="n"/>
      <c r="CA222" s="11" t="n"/>
      <c r="CB222" s="11" t="n"/>
      <c r="CC222" s="11" t="n"/>
      <c r="CD222" s="11" t="n"/>
      <c r="CE222" s="12" t="n"/>
      <c r="CF222" s="11" t="n"/>
      <c r="CG222" s="11" t="n"/>
      <c r="CH222" s="11" t="n"/>
      <c r="CI222" s="11" t="n"/>
      <c r="CJ222" s="12" t="n"/>
      <c r="CK222" s="11" t="n"/>
      <c r="CL222" s="11" t="n"/>
      <c r="CM222" s="11" t="n"/>
      <c r="CN222" s="11" t="n"/>
      <c r="CO222" s="12" t="n"/>
      <c r="CP222" s="11" t="n"/>
      <c r="CQ222" s="11" t="n"/>
      <c r="CR222" s="11" t="n"/>
      <c r="CS222" s="11" t="n"/>
      <c r="CT222" s="12" t="n"/>
      <c r="CU222" s="11" t="n"/>
      <c r="CV222" s="11" t="n"/>
      <c r="CW222" s="11" t="n"/>
      <c r="CX222" s="11" t="n"/>
      <c r="CY222" s="12" t="n"/>
    </row>
    <row r="223" hidden="1" outlineLevel="1">
      <c r="C223" s="57" t="inlineStr">
        <is>
          <t>Contas a pagar pela aquisição de controladas</t>
        </is>
      </c>
      <c r="D223" s="11" t="n"/>
      <c r="E223" s="11" t="n"/>
      <c r="F223" s="11" t="n"/>
      <c r="G223" s="11" t="n"/>
      <c r="H223" s="12" t="n"/>
      <c r="I223" s="11" t="n"/>
      <c r="J223" s="11" t="n"/>
      <c r="K223" s="11" t="n"/>
      <c r="L223" s="11" t="n"/>
      <c r="M223" s="12" t="n"/>
      <c r="N223" s="11" t="n"/>
      <c r="O223" s="11" t="n"/>
      <c r="P223" s="11" t="n"/>
      <c r="Q223" s="11" t="n"/>
      <c r="R223" s="12" t="n"/>
      <c r="S223" s="11" t="n"/>
      <c r="T223" s="11" t="n"/>
      <c r="U223" s="11" t="n"/>
      <c r="V223" s="11" t="n"/>
      <c r="W223" s="12" t="n"/>
      <c r="X223" s="11" t="n"/>
      <c r="Y223" s="11" t="n"/>
      <c r="Z223" s="11" t="n"/>
      <c r="AA223" s="11" t="n"/>
      <c r="AB223" s="12" t="n"/>
      <c r="AC223" s="11" t="n"/>
      <c r="AD223" s="11" t="n"/>
      <c r="AE223" s="11" t="n"/>
      <c r="AF223" s="11" t="n"/>
      <c r="AG223" s="12" t="n"/>
      <c r="AH223" s="11" t="n"/>
      <c r="AI223" s="11" t="n"/>
      <c r="AJ223" s="11" t="n"/>
      <c r="AK223" s="11" t="n"/>
      <c r="AL223" s="12" t="n"/>
      <c r="AM223" s="11" t="n"/>
      <c r="AN223" s="11" t="n"/>
      <c r="AO223" s="11" t="n"/>
      <c r="AP223" s="11" t="n"/>
      <c r="AQ223" s="12" t="n"/>
      <c r="AR223" s="11" t="n"/>
      <c r="AS223" s="11" t="n"/>
      <c r="AT223" s="11" t="n"/>
      <c r="AU223" s="11" t="n"/>
      <c r="AV223" s="12" t="n"/>
      <c r="AW223" s="11" t="n"/>
      <c r="AX223" s="11" t="n"/>
      <c r="AY223" s="11" t="n"/>
      <c r="AZ223" s="11" t="n"/>
      <c r="BA223" s="12" t="n"/>
      <c r="BB223" s="11" t="n"/>
      <c r="BC223" s="11" t="n"/>
      <c r="BD223" s="11" t="n"/>
      <c r="BE223" s="11" t="n"/>
      <c r="BF223" s="12" t="n"/>
      <c r="BG223" s="11" t="n"/>
      <c r="BH223" s="11" t="n"/>
      <c r="BI223" s="11" t="n"/>
      <c r="BJ223" s="11" t="n"/>
      <c r="BK223" s="12" t="n"/>
      <c r="BL223" s="11" t="n"/>
      <c r="BM223" s="11" t="n"/>
      <c r="BN223" s="11" t="n"/>
      <c r="BO223" s="11" t="n"/>
      <c r="BP223" s="12" t="n"/>
      <c r="BQ223" s="11" t="n"/>
      <c r="BR223" s="11" t="n"/>
      <c r="BS223" s="11" t="n"/>
      <c r="BT223" s="11" t="n"/>
      <c r="BU223" s="12" t="n"/>
      <c r="BV223" s="11" t="n"/>
      <c r="BW223" s="11" t="n"/>
      <c r="BX223" s="11" t="n"/>
      <c r="BY223" s="11" t="n"/>
      <c r="BZ223" s="12" t="n"/>
      <c r="CA223" s="11" t="n"/>
      <c r="CB223" s="11" t="n"/>
      <c r="CC223" s="11" t="n"/>
      <c r="CD223" s="11" t="n"/>
      <c r="CE223" s="12" t="n"/>
      <c r="CF223" s="11" t="n"/>
      <c r="CG223" s="11" t="n"/>
      <c r="CH223" s="11" t="n"/>
      <c r="CI223" s="11" t="n"/>
      <c r="CJ223" s="12" t="n"/>
      <c r="CK223" s="11" t="n"/>
      <c r="CL223" s="11" t="n"/>
      <c r="CM223" s="11" t="n"/>
      <c r="CN223" s="11" t="n"/>
      <c r="CO223" s="12" t="n"/>
      <c r="CP223" s="11" t="n"/>
      <c r="CQ223" s="11" t="n"/>
      <c r="CR223" s="11" t="n"/>
      <c r="CS223" s="11" t="n"/>
      <c r="CT223" s="12" t="n"/>
      <c r="CU223" s="11" t="n"/>
      <c r="CV223" s="11" t="n"/>
      <c r="CW223" s="11" t="n"/>
      <c r="CX223" s="11" t="n"/>
      <c r="CY223" s="12" t="n"/>
    </row>
    <row r="224" hidden="1" outlineLevel="1">
      <c r="C224" s="57" t="inlineStr">
        <is>
          <t>Outros</t>
        </is>
      </c>
      <c r="D224" s="11" t="n"/>
      <c r="E224" s="11" t="n"/>
      <c r="F224" s="11" t="n"/>
      <c r="G224" s="11" t="n"/>
      <c r="H224" s="12" t="n"/>
      <c r="I224" s="11" t="n"/>
      <c r="J224" s="11" t="n"/>
      <c r="K224" s="11" t="n"/>
      <c r="L224" s="11" t="n"/>
      <c r="M224" s="12" t="n"/>
      <c r="N224" s="11" t="n"/>
      <c r="O224" s="11" t="n"/>
      <c r="P224" s="11" t="n"/>
      <c r="Q224" s="11" t="n"/>
      <c r="R224" s="12" t="n"/>
      <c r="S224" s="11" t="n"/>
      <c r="T224" s="11" t="n"/>
      <c r="U224" s="11" t="n"/>
      <c r="V224" s="11" t="n"/>
      <c r="W224" s="12" t="n"/>
      <c r="X224" s="11" t="n"/>
      <c r="Y224" s="11" t="n"/>
      <c r="Z224" s="11" t="n"/>
      <c r="AA224" s="11" t="n"/>
      <c r="AB224" s="12" t="n"/>
      <c r="AC224" s="11" t="n"/>
      <c r="AD224" s="11" t="n"/>
      <c r="AE224" s="11" t="n"/>
      <c r="AF224" s="11" t="n"/>
      <c r="AG224" s="12" t="n"/>
      <c r="AH224" s="11" t="n"/>
      <c r="AI224" s="11" t="n"/>
      <c r="AJ224" s="11" t="n"/>
      <c r="AK224" s="11" t="n"/>
      <c r="AL224" s="12" t="n"/>
      <c r="AM224" s="11" t="n"/>
      <c r="AN224" s="11" t="n"/>
      <c r="AO224" s="11" t="n"/>
      <c r="AP224" s="11" t="n"/>
      <c r="AQ224" s="12" t="n"/>
      <c r="AR224" s="11" t="n"/>
      <c r="AS224" s="11" t="n"/>
      <c r="AT224" s="11" t="n"/>
      <c r="AU224" s="11" t="n"/>
      <c r="AV224" s="12" t="n"/>
      <c r="AW224" s="11" t="n"/>
      <c r="AX224" s="11" t="n"/>
      <c r="AY224" s="11" t="n"/>
      <c r="AZ224" s="11" t="n"/>
      <c r="BA224" s="12" t="n"/>
      <c r="BB224" s="11" t="n"/>
      <c r="BC224" s="11" t="n"/>
      <c r="BD224" s="11" t="n"/>
      <c r="BE224" s="11" t="n"/>
      <c r="BF224" s="12" t="n"/>
      <c r="BG224" s="11" t="n"/>
      <c r="BH224" s="11" t="n"/>
      <c r="BI224" s="11" t="n"/>
      <c r="BJ224" s="11" t="n"/>
      <c r="BK224" s="12" t="n"/>
      <c r="BL224" s="11" t="n"/>
      <c r="BM224" s="11" t="n"/>
      <c r="BN224" s="11" t="n"/>
      <c r="BO224" s="11" t="n"/>
      <c r="BP224" s="12" t="n"/>
      <c r="BQ224" s="11" t="n"/>
      <c r="BR224" s="11" t="n"/>
      <c r="BS224" s="11" t="n"/>
      <c r="BT224" s="11" t="n"/>
      <c r="BU224" s="12" t="n"/>
      <c r="BV224" s="11" t="n"/>
      <c r="BW224" s="11" t="n"/>
      <c r="BX224" s="11" t="n"/>
      <c r="BY224" s="11" t="n"/>
      <c r="BZ224" s="12" t="n"/>
      <c r="CA224" s="11" t="n"/>
      <c r="CB224" s="11" t="n"/>
      <c r="CC224" s="11" t="n"/>
      <c r="CD224" s="11" t="n"/>
      <c r="CE224" s="12" t="n"/>
      <c r="CF224" s="11" t="n"/>
      <c r="CG224" s="11" t="n"/>
      <c r="CH224" s="11" t="n"/>
      <c r="CI224" s="11" t="n"/>
      <c r="CJ224" s="12" t="n"/>
      <c r="CK224" s="11" t="n"/>
      <c r="CL224" s="11" t="n"/>
      <c r="CM224" s="11" t="n"/>
      <c r="CN224" s="11" t="n"/>
      <c r="CO224" s="12" t="n"/>
      <c r="CP224" s="11" t="n"/>
      <c r="CQ224" s="11" t="n"/>
      <c r="CR224" s="11" t="n"/>
      <c r="CS224" s="11" t="n"/>
      <c r="CT224" s="12" t="n"/>
      <c r="CU224" s="11" t="n"/>
      <c r="CV224" s="11" t="n"/>
      <c r="CW224" s="11" t="n"/>
      <c r="CX224" s="11" t="n"/>
      <c r="CY224" s="12" t="n"/>
    </row>
    <row r="225" hidden="1" outlineLevel="1">
      <c r="C225" s="57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collapsed="1">
      <c r="C226" s="14" t="inlineStr">
        <is>
          <t>Current portion of long-term debt</t>
        </is>
      </c>
      <c r="D226" s="46" t="n"/>
      <c r="E226" s="46" t="n"/>
      <c r="F226" s="46" t="n"/>
      <c r="G226" s="46" t="n"/>
      <c r="H226" s="12" t="n"/>
      <c r="I226" s="46">
        <f>'Inputs (2)'!D32</f>
        <v>100.616</v>
      </c>
      <c r="J226" s="46">
        <f>'Inputs (2)'!E32</f>
        <v>116.92</v>
      </c>
      <c r="K226" s="46">
        <f>'Inputs (2)'!F32</f>
        <v>63.863</v>
      </c>
      <c r="L226" s="46">
        <f>'Inputs (2)'!G32</f>
        <v>68.02</v>
      </c>
      <c r="M226" s="12">
        <f>'Inputs (2)'!H32</f>
        <v>68.02</v>
      </c>
      <c r="N226" s="46">
        <f>'Inputs (2)'!I32</f>
        <v>67.654</v>
      </c>
      <c r="O226" s="46">
        <f>'Inputs (2)'!J32</f>
        <v>75.764</v>
      </c>
      <c r="P226" s="46">
        <f>'Inputs (2)'!K32</f>
        <v>32.789</v>
      </c>
      <c r="Q226" s="46">
        <f>'Inputs (2)'!L32</f>
        <v>120.906</v>
      </c>
      <c r="R226" s="12">
        <f>'Inputs (2)'!M32</f>
        <v>120.906</v>
      </c>
      <c r="S226" s="46">
        <f>'Inputs (2)'!N32</f>
        <v>114.117</v>
      </c>
      <c r="T226" s="46">
        <f>'Inputs (2)'!O32</f>
        <v>138.967</v>
      </c>
      <c r="U226" s="46">
        <f>'Inputs (2)'!P32</f>
        <v>134.94</v>
      </c>
      <c r="V226" s="46">
        <f>'Inputs (2)'!Q32</f>
        <v>124.271</v>
      </c>
      <c r="W226" s="12">
        <f>'Inputs (2)'!R32</f>
        <v>124.271</v>
      </c>
      <c r="X226" s="46">
        <f>'Inputs (2)'!S32</f>
        <v>121.622</v>
      </c>
      <c r="Y226" s="46">
        <f>'Inputs (2)'!T32</f>
        <v>120.03</v>
      </c>
      <c r="Z226" s="46">
        <f>'Inputs (2)'!U32</f>
        <v>141.5</v>
      </c>
      <c r="AA226" s="46">
        <f>'Inputs (2)'!V32</f>
        <v>208.869</v>
      </c>
      <c r="AB226" s="12">
        <f>'Inputs (2)'!W32</f>
        <v>208.869</v>
      </c>
      <c r="AC226" s="46">
        <f>'Inputs (2)'!X32</f>
        <v>132.078</v>
      </c>
      <c r="AD226" s="46">
        <f>'Inputs (2)'!Y32</f>
        <v>156.104</v>
      </c>
      <c r="AE226" s="46">
        <f>'Inputs (2)'!Z32</f>
        <v>150.698</v>
      </c>
      <c r="AF226" s="46">
        <f>'Inputs (2)'!AA32</f>
        <v>299.859</v>
      </c>
      <c r="AG226" s="12">
        <f>'Inputs (2)'!AB32</f>
        <v>299.859</v>
      </c>
      <c r="AH226" s="12">
        <f>'Inputs (2)'!AC32</f>
        <v>175.806</v>
      </c>
      <c r="AI226" s="12">
        <f>'Inputs (2)'!AD32</f>
        <v>178.913</v>
      </c>
      <c r="AJ226" s="12">
        <f>AI226</f>
        <v>178.913</v>
      </c>
      <c r="AK226" s="12">
        <f>AJ226</f>
        <v>178.913</v>
      </c>
      <c r="AL226" s="12">
        <f>AK226</f>
        <v>178.913</v>
      </c>
      <c r="AM226" s="12">
        <f>AL226</f>
        <v>178.913</v>
      </c>
      <c r="AN226" s="12">
        <f>AM226</f>
        <v>178.913</v>
      </c>
      <c r="AO226" s="12">
        <f>AN226</f>
        <v>178.913</v>
      </c>
      <c r="AP226" s="12">
        <f>AO226</f>
        <v>178.913</v>
      </c>
      <c r="AQ226" s="12">
        <f>AP226</f>
        <v>178.913</v>
      </c>
      <c r="AR226" s="12">
        <f>AQ226</f>
        <v>178.913</v>
      </c>
      <c r="AS226" s="12">
        <f>AR226</f>
        <v>178.913</v>
      </c>
      <c r="AT226" s="12">
        <f>AS226</f>
        <v>178.913</v>
      </c>
      <c r="AU226" s="12">
        <f>AT226</f>
        <v>178.913</v>
      </c>
      <c r="AV226" s="12">
        <f>AU226</f>
        <v>178.913</v>
      </c>
      <c r="AW226" s="12">
        <f>AV226</f>
        <v>178.913</v>
      </c>
      <c r="AX226" s="12">
        <f>AW226</f>
        <v>178.913</v>
      </c>
      <c r="AY226" s="12">
        <f>AX226</f>
        <v>178.913</v>
      </c>
      <c r="AZ226" s="12">
        <f>AY226</f>
        <v>178.913</v>
      </c>
      <c r="BA226" s="12">
        <f>AZ226</f>
        <v>178.913</v>
      </c>
      <c r="BB226" s="12">
        <f>BA226</f>
        <v>178.913</v>
      </c>
      <c r="BC226" s="12">
        <f>BB226</f>
        <v>178.913</v>
      </c>
      <c r="BD226" s="12">
        <f>BC226</f>
        <v>178.913</v>
      </c>
      <c r="BE226" s="12">
        <f>BD226</f>
        <v>178.913</v>
      </c>
      <c r="BF226" s="12">
        <f>BE226</f>
        <v>178.913</v>
      </c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>
      <c r="C227" s="14" t="inlineStr">
        <is>
          <t>Short term debt (Revolving credit facility)</t>
        </is>
      </c>
      <c r="D227" s="46" t="n"/>
      <c r="E227" s="46" t="n"/>
      <c r="F227" s="46" t="n"/>
      <c r="G227" s="46" t="n"/>
      <c r="H227" s="12" t="n"/>
      <c r="I227" s="46">
        <f>'Inputs (2)'!D33</f>
        <v>0</v>
      </c>
      <c r="J227" s="46">
        <f>'Inputs (2)'!E33</f>
        <v>0</v>
      </c>
      <c r="K227" s="46">
        <f>'Inputs (2)'!F33</f>
        <v>0</v>
      </c>
      <c r="L227" s="46">
        <f>'Inputs (2)'!G33</f>
        <v>0</v>
      </c>
      <c r="M227" s="12">
        <f>'Inputs (2)'!H33</f>
        <v>0</v>
      </c>
      <c r="N227" s="46">
        <f>'Inputs (2)'!I33</f>
        <v>0</v>
      </c>
      <c r="O227" s="46">
        <f>'Inputs (2)'!J33</f>
        <v>0</v>
      </c>
      <c r="P227" s="46">
        <f>'Inputs (2)'!K33</f>
        <v>0</v>
      </c>
      <c r="Q227" s="46">
        <f>'Inputs (2)'!L33</f>
        <v>0</v>
      </c>
      <c r="R227" s="12">
        <f>'Inputs (2)'!M33</f>
        <v>0</v>
      </c>
      <c r="S227" s="46">
        <f>'Inputs (2)'!N33</f>
        <v>0</v>
      </c>
      <c r="T227" s="46">
        <f>'Inputs (2)'!O33</f>
        <v>0</v>
      </c>
      <c r="U227" s="46">
        <f>'Inputs (2)'!P33</f>
        <v>0</v>
      </c>
      <c r="V227" s="46">
        <f>'Inputs (2)'!Q33</f>
        <v>0</v>
      </c>
      <c r="W227" s="12">
        <f>'Inputs (2)'!R33</f>
        <v>0</v>
      </c>
      <c r="X227" s="46">
        <f>'Inputs (2)'!S33</f>
        <v>0</v>
      </c>
      <c r="Y227" s="46">
        <f>'Inputs (2)'!T33</f>
        <v>0</v>
      </c>
      <c r="Z227" s="46">
        <f>'Inputs (2)'!U33</f>
        <v>0</v>
      </c>
      <c r="AA227" s="46">
        <f>'Inputs (2)'!V33</f>
        <v>0</v>
      </c>
      <c r="AB227" s="12">
        <f>'Inputs (2)'!W33</f>
        <v>0</v>
      </c>
      <c r="AC227" s="46">
        <f>'Inputs (2)'!X33</f>
        <v>0</v>
      </c>
      <c r="AD227" s="46">
        <f>'Inputs (2)'!Y33</f>
        <v>0</v>
      </c>
      <c r="AE227" s="46">
        <f>'Inputs (2)'!Z33</f>
        <v>0</v>
      </c>
      <c r="AF227" s="46">
        <f>'Inputs (2)'!AA33</f>
        <v>0</v>
      </c>
      <c r="AG227" s="12">
        <f>'Inputs (2)'!AB33</f>
        <v>0</v>
      </c>
      <c r="AH227" s="12">
        <f>'Inputs (2)'!AC33</f>
        <v>0</v>
      </c>
      <c r="AI227" s="12">
        <f>'Inputs (2)'!AD33</f>
        <v>0</v>
      </c>
      <c r="AJ227" s="12">
        <f>AI227</f>
        <v>0</v>
      </c>
      <c r="AK227" s="12">
        <f>AJ227</f>
        <v>0</v>
      </c>
      <c r="AL227" s="12">
        <f>AK227</f>
        <v>0</v>
      </c>
      <c r="AM227" s="12">
        <f>AL227</f>
        <v>0</v>
      </c>
      <c r="AN227" s="12">
        <f>AM227</f>
        <v>0</v>
      </c>
      <c r="AO227" s="12">
        <f>AN227</f>
        <v>0</v>
      </c>
      <c r="AP227" s="12">
        <f>AO227</f>
        <v>0</v>
      </c>
      <c r="AQ227" s="12">
        <f>AP227</f>
        <v>0</v>
      </c>
      <c r="AR227" s="12">
        <f>AQ227</f>
        <v>0</v>
      </c>
      <c r="AS227" s="12">
        <f>AR227</f>
        <v>0</v>
      </c>
      <c r="AT227" s="12">
        <f>AS227</f>
        <v>0</v>
      </c>
      <c r="AU227" s="12">
        <f>AT227</f>
        <v>0</v>
      </c>
      <c r="AV227" s="12">
        <f>AU227</f>
        <v>0</v>
      </c>
      <c r="AW227" s="12">
        <f>AV227</f>
        <v>0</v>
      </c>
      <c r="AX227" s="12">
        <f>AW227</f>
        <v>0</v>
      </c>
      <c r="AY227" s="12">
        <f>AX227</f>
        <v>0</v>
      </c>
      <c r="AZ227" s="12">
        <f>AY227</f>
        <v>0</v>
      </c>
      <c r="BA227" s="12">
        <f>AZ227</f>
        <v>0</v>
      </c>
      <c r="BB227" s="12">
        <f>BA227</f>
        <v>0</v>
      </c>
      <c r="BC227" s="12">
        <f>BB227</f>
        <v>0</v>
      </c>
      <c r="BD227" s="12">
        <f>BC227</f>
        <v>0</v>
      </c>
      <c r="BE227" s="12">
        <f>BD227</f>
        <v>0</v>
      </c>
      <c r="BF227" s="12">
        <f>BE227</f>
        <v>0</v>
      </c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>
      <c r="C228" s="14" t="inlineStr">
        <is>
          <t>Short term operating leases</t>
        </is>
      </c>
      <c r="D228" s="46" t="n"/>
      <c r="E228" s="46" t="n"/>
      <c r="F228" s="46" t="n"/>
      <c r="G228" s="46" t="n"/>
      <c r="H228" s="12" t="n"/>
      <c r="I228" s="46">
        <f>'Inputs (2)'!D34</f>
        <v>0</v>
      </c>
      <c r="J228" s="46">
        <f>'Inputs (2)'!E34</f>
        <v>0</v>
      </c>
      <c r="K228" s="46">
        <f>'Inputs (2)'!F34</f>
        <v>0</v>
      </c>
      <c r="L228" s="46">
        <f>'Inputs (2)'!G34</f>
        <v>0</v>
      </c>
      <c r="M228" s="12">
        <f>'Inputs (2)'!H34</f>
        <v>0</v>
      </c>
      <c r="N228" s="46">
        <f>'Inputs (2)'!I34</f>
        <v>0</v>
      </c>
      <c r="O228" s="46">
        <f>'Inputs (2)'!J34</f>
        <v>0</v>
      </c>
      <c r="P228" s="46">
        <f>'Inputs (2)'!K34</f>
        <v>0</v>
      </c>
      <c r="Q228" s="46">
        <f>'Inputs (2)'!L34</f>
        <v>0</v>
      </c>
      <c r="R228" s="12">
        <f>'Inputs (2)'!M34</f>
        <v>0</v>
      </c>
      <c r="S228" s="46">
        <f>'Inputs (2)'!N34</f>
        <v>0</v>
      </c>
      <c r="T228" s="46">
        <f>'Inputs (2)'!O34</f>
        <v>0</v>
      </c>
      <c r="U228" s="46">
        <f>'Inputs (2)'!P34</f>
        <v>0</v>
      </c>
      <c r="V228" s="46">
        <f>'Inputs (2)'!Q34</f>
        <v>0</v>
      </c>
      <c r="W228" s="12">
        <f>'Inputs (2)'!R34</f>
        <v>0</v>
      </c>
      <c r="X228" s="46">
        <f>'Inputs (2)'!S34</f>
        <v>0</v>
      </c>
      <c r="Y228" s="46">
        <f>'Inputs (2)'!T34</f>
        <v>0</v>
      </c>
      <c r="Z228" s="46">
        <f>'Inputs (2)'!U34</f>
        <v>0</v>
      </c>
      <c r="AA228" s="46">
        <f>'Inputs (2)'!V34</f>
        <v>0</v>
      </c>
      <c r="AB228" s="12">
        <f>'Inputs (2)'!W34</f>
        <v>0</v>
      </c>
      <c r="AC228" s="46">
        <f>'Inputs (2)'!X34</f>
        <v>0</v>
      </c>
      <c r="AD228" s="46">
        <f>'Inputs (2)'!Y34</f>
        <v>0</v>
      </c>
      <c r="AE228" s="46">
        <f>'Inputs (2)'!Z34</f>
        <v>0</v>
      </c>
      <c r="AF228" s="46">
        <f>'Inputs (2)'!AA34</f>
        <v>0</v>
      </c>
      <c r="AG228" s="12">
        <f>'Inputs (2)'!AB34</f>
        <v>0</v>
      </c>
      <c r="AH228" s="12">
        <f>'Inputs (2)'!AC34</f>
        <v>0</v>
      </c>
      <c r="AI228" s="12">
        <f>'Inputs (2)'!AD34</f>
        <v>0</v>
      </c>
      <c r="AJ228" s="12">
        <f>AI228</f>
        <v>0</v>
      </c>
      <c r="AK228" s="12">
        <f>AJ228</f>
        <v>0</v>
      </c>
      <c r="AL228" s="12">
        <f>AK228</f>
        <v>0</v>
      </c>
      <c r="AM228" s="12">
        <f>AL228</f>
        <v>0</v>
      </c>
      <c r="AN228" s="12">
        <f>AM228</f>
        <v>0</v>
      </c>
      <c r="AO228" s="12">
        <f>AN228</f>
        <v>0</v>
      </c>
      <c r="AP228" s="12">
        <f>AO228</f>
        <v>0</v>
      </c>
      <c r="AQ228" s="12">
        <f>AP228</f>
        <v>0</v>
      </c>
      <c r="AR228" s="12">
        <f>AQ228</f>
        <v>0</v>
      </c>
      <c r="AS228" s="12">
        <f>AR228</f>
        <v>0</v>
      </c>
      <c r="AT228" s="12">
        <f>AS228</f>
        <v>0</v>
      </c>
      <c r="AU228" s="12">
        <f>AT228</f>
        <v>0</v>
      </c>
      <c r="AV228" s="12">
        <f>AU228</f>
        <v>0</v>
      </c>
      <c r="AW228" s="12">
        <f>AV228</f>
        <v>0</v>
      </c>
      <c r="AX228" s="12">
        <f>AW228</f>
        <v>0</v>
      </c>
      <c r="AY228" s="12">
        <f>AX228</f>
        <v>0</v>
      </c>
      <c r="AZ228" s="12">
        <f>AY228</f>
        <v>0</v>
      </c>
      <c r="BA228" s="12">
        <f>AZ228</f>
        <v>0</v>
      </c>
      <c r="BB228" s="12">
        <f>BA228</f>
        <v>0</v>
      </c>
      <c r="BC228" s="12">
        <f>BB228</f>
        <v>0</v>
      </c>
      <c r="BD228" s="12">
        <f>BC228</f>
        <v>0</v>
      </c>
      <c r="BE228" s="12">
        <f>BD228</f>
        <v>0</v>
      </c>
      <c r="BF228" s="12">
        <f>BE228</f>
        <v>0</v>
      </c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9" t="inlineStr">
        <is>
          <t>%(Var.)</t>
        </is>
      </c>
      <c r="D229" s="12" t="n"/>
      <c r="E229" s="40" t="n"/>
      <c r="F229" s="40" t="n"/>
      <c r="G229" s="40" t="n"/>
      <c r="H229" s="12" t="n"/>
      <c r="I229" s="40" t="str">
        <f>""</f>
        <v/>
      </c>
      <c r="J229" s="40" t="str">
        <f>IFERROR(IF(I228=0,"",J228/I228-1),"")</f>
        <v/>
      </c>
      <c r="K229" s="40" t="str">
        <f>IFERROR(IF(J228=0,"",K228/J228-1),"")</f>
        <v/>
      </c>
      <c r="L229" s="40" t="str">
        <f>IFERROR(IF(K228=0,"",L228/K228-1),"")</f>
        <v/>
      </c>
      <c r="M229" s="12" t="str">
        <f>IF(L228=0,"",M228/L228-1)</f>
        <v/>
      </c>
      <c r="N229" s="40" t="str">
        <f>IFERROR(IF(M228=0,"",N228/M228-1),"")</f>
        <v/>
      </c>
      <c r="O229" s="40" t="str">
        <f>IFERROR(IF(N228=0,"",O228/N228-1),"")</f>
        <v/>
      </c>
      <c r="P229" s="40" t="str">
        <f>IFERROR(IF(O228=0,"",P228/O228-1),"")</f>
        <v/>
      </c>
      <c r="Q229" s="40" t="str">
        <f>IFERROR(IF(P228=0,"",Q228/P228-1),"")</f>
        <v/>
      </c>
      <c r="R229" s="12" t="str">
        <f>IF(Q228=0,"",R228/Q228-1)</f>
        <v/>
      </c>
      <c r="S229" s="40" t="str">
        <f>IFERROR(IF(R228=0,"",S228/R228-1),"")</f>
        <v/>
      </c>
      <c r="T229" s="40" t="str">
        <f>IFERROR(IF(S228=0,"",T228/S228-1),"")</f>
        <v/>
      </c>
      <c r="U229" s="40" t="str">
        <f>IFERROR(IF(T228=0,"",U228/T228-1),"")</f>
        <v/>
      </c>
      <c r="V229" s="40" t="str">
        <f>IFERROR(IF(U228=0,"",V228/U228-1),"")</f>
        <v/>
      </c>
      <c r="W229" s="12" t="str">
        <f>IF(V228=0,"",W228/V228-1)</f>
        <v/>
      </c>
      <c r="X229" s="40" t="str">
        <f>IFERROR(IF(W228=0,"",X228/W228-1),"")</f>
        <v/>
      </c>
      <c r="Y229" s="40" t="str">
        <f>IFERROR(IF(X228=0,"",Y228/X228-1),"")</f>
        <v/>
      </c>
      <c r="Z229" s="40" t="str">
        <f>IFERROR(IF(Y228=0,"",Z228/Y228-1),"")</f>
        <v/>
      </c>
      <c r="AA229" s="40" t="str">
        <f>IFERROR(IF(Z228=0,"",AA228/Z228-1),"")</f>
        <v/>
      </c>
      <c r="AB229" s="12" t="str">
        <f>IF(AA228=0,"",AB228/AA228-1)</f>
        <v/>
      </c>
      <c r="AC229" s="40" t="str">
        <f>IFERROR(IF(AB228=0,"",AC228/AB228-1),"")</f>
        <v/>
      </c>
      <c r="AD229" s="40" t="str">
        <f>IFERROR(IF(AC228=0,"",AD228/AC228-1),"")</f>
        <v/>
      </c>
      <c r="AE229" s="40" t="str">
        <f>IFERROR(IF(AD228=0,"",AE228/AD228-1),"")</f>
        <v/>
      </c>
      <c r="AF229" s="11" t="str">
        <f>IFERROR(IF(AE228=0,"",AF228/AE228-1),"")</f>
        <v/>
      </c>
      <c r="AG229" s="12" t="str">
        <f>IF(AF228=0,"",AG228/AF228-1)</f>
        <v/>
      </c>
      <c r="AH229" s="11" t="str">
        <f>IFERROR(IF(AG228=0,"",AH228/AG228-1),"")</f>
        <v/>
      </c>
      <c r="AI229" s="11" t="str">
        <f>IFERROR(IF(AH228=0,"",AI228/AH228-1),"")</f>
        <v/>
      </c>
      <c r="AJ229" s="11" t="str">
        <f>IFERROR(IF(AI228=0,"",AJ228/AI228-1),"")</f>
        <v/>
      </c>
      <c r="AK229" s="11" t="str">
        <f>IFERROR(IF(AJ228=0,"",AK228/AJ228-1),"")</f>
        <v/>
      </c>
      <c r="AL229" s="12" t="str">
        <f>IFERROR(IF(AK228=0,"",AL228/AK228-1),"")</f>
        <v/>
      </c>
      <c r="AM229" s="11" t="str">
        <f>IFERROR(IF(AL228=0,"",AM228/AL228-1),"")</f>
        <v/>
      </c>
      <c r="AN229" s="11" t="str">
        <f>IFERROR(IF(AM228=0,"",AN228/AM228-1),"")</f>
        <v/>
      </c>
      <c r="AO229" s="11" t="str">
        <f>IFERROR(IF(AN228=0,"",AO228/AN228-1),"")</f>
        <v/>
      </c>
      <c r="AP229" s="11" t="str">
        <f>IFERROR(IF(AO228=0,"",AP228/AO228-1),"")</f>
        <v/>
      </c>
      <c r="AQ229" s="12" t="str">
        <f>IFERROR(IF(AP228=0,"",AQ228/AP228-1),"")</f>
        <v/>
      </c>
      <c r="AR229" s="11" t="str">
        <f>IFERROR(IF(AQ228=0,"",AR228/AQ228-1),"")</f>
        <v/>
      </c>
      <c r="AS229" s="11" t="str">
        <f>IFERROR(IF(AR228=0,"",AS228/AR228-1),"")</f>
        <v/>
      </c>
      <c r="AT229" s="11" t="str">
        <f>IFERROR(IF(AS228=0,"",AT228/AS228-1),"")</f>
        <v/>
      </c>
      <c r="AU229" s="11" t="str">
        <f>IFERROR(IF(AT228=0,"",AU228/AT228-1),"")</f>
        <v/>
      </c>
      <c r="AV229" s="12" t="str">
        <f>IFERROR(IF(AU228=0,"",AV228/AU228-1),"")</f>
        <v/>
      </c>
      <c r="AW229" s="11" t="str">
        <f>IFERROR(IF(AV228=0,"",AW228/AV228-1),"")</f>
        <v/>
      </c>
      <c r="AX229" s="11" t="str">
        <f>IFERROR(IF(AW228=0,"",AX228/AW228-1),"")</f>
        <v/>
      </c>
      <c r="AY229" s="11" t="str">
        <f>IFERROR(IF(AX228=0,"",AY228/AX228-1),"")</f>
        <v/>
      </c>
      <c r="AZ229" s="11" t="str">
        <f>IFERROR(IF(AY228=0,"",AZ228/AY228-1),"")</f>
        <v/>
      </c>
      <c r="BA229" s="12" t="str">
        <f>IFERROR(IF(AZ228=0,"",BA228/AZ228-1),"")</f>
        <v/>
      </c>
      <c r="BB229" s="11" t="str">
        <f>IFERROR(IF(BA228=0,"",BB228/BA228-1),"")</f>
        <v/>
      </c>
      <c r="BC229" s="11" t="str">
        <f>IFERROR(IF(BB228=0,"",BC228/BB228-1),"")</f>
        <v/>
      </c>
      <c r="BD229" s="11" t="str">
        <f>IFERROR(IF(BC228=0,"",BD228/BC228-1),"")</f>
        <v/>
      </c>
      <c r="BE229" s="11" t="str">
        <f>IFERROR(IF(BD228=0,"",BE228/BD228-1),"")</f>
        <v/>
      </c>
      <c r="BF229" s="12" t="str">
        <f>IFERROR(IF(BE228=0,"",BF228/BE228-1),"")</f>
        <v/>
      </c>
      <c r="BG229" s="11" t="n"/>
      <c r="BH229" s="11" t="n"/>
      <c r="BI229" s="11" t="n"/>
      <c r="BJ229" s="11" t="n"/>
      <c r="BK229" s="12" t="n"/>
      <c r="BL229" s="11" t="n"/>
      <c r="BM229" s="11" t="n"/>
      <c r="BN229" s="11" t="n"/>
      <c r="BO229" s="11" t="n"/>
      <c r="BP229" s="12" t="n"/>
      <c r="BQ229" s="11" t="n"/>
      <c r="BR229" s="11" t="n"/>
      <c r="BS229" s="11" t="n"/>
      <c r="BT229" s="11" t="n"/>
      <c r="BU229" s="12" t="n"/>
      <c r="BV229" s="11" t="n"/>
      <c r="BW229" s="11" t="n"/>
      <c r="BX229" s="11" t="n"/>
      <c r="BY229" s="11" t="n"/>
      <c r="BZ229" s="12" t="n"/>
      <c r="CA229" s="11" t="n"/>
      <c r="CB229" s="11" t="n"/>
      <c r="CC229" s="11" t="n"/>
      <c r="CD229" s="11" t="n"/>
      <c r="CE229" s="12" t="n"/>
      <c r="CF229" s="11" t="n"/>
      <c r="CG229" s="11" t="n"/>
      <c r="CH229" s="11" t="n"/>
      <c r="CI229" s="11" t="n"/>
      <c r="CJ229" s="12" t="n"/>
      <c r="CK229" s="11" t="n"/>
      <c r="CL229" s="11" t="n"/>
      <c r="CM229" s="11" t="n"/>
      <c r="CN229" s="11" t="n"/>
      <c r="CO229" s="12" t="n"/>
      <c r="CP229" s="11" t="n"/>
      <c r="CQ229" s="11" t="n"/>
      <c r="CR229" s="11" t="n"/>
      <c r="CS229" s="11" t="n"/>
      <c r="CT229" s="12" t="n"/>
      <c r="CU229" s="11" t="n"/>
      <c r="CV229" s="11" t="n"/>
      <c r="CW229" s="11" t="n"/>
      <c r="CX229" s="11" t="n"/>
      <c r="CY229" s="12" t="n"/>
    </row>
    <row r="230" hidden="1" outlineLevel="1">
      <c r="C230" s="57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collapsed="1">
      <c r="C231" s="14" t="inlineStr">
        <is>
          <t>Long term debt</t>
        </is>
      </c>
      <c r="D231" s="46" t="n"/>
      <c r="E231" s="46" t="n"/>
      <c r="F231" s="46" t="n"/>
      <c r="G231" s="46" t="n"/>
      <c r="H231" s="12" t="n"/>
      <c r="I231" s="46">
        <f>'Inputs (2)'!D35</f>
        <v>180.173</v>
      </c>
      <c r="J231" s="46">
        <f>'Inputs (2)'!E35</f>
        <v>153.375</v>
      </c>
      <c r="K231" s="46">
        <f>'Inputs (2)'!F35</f>
        <v>326.361</v>
      </c>
      <c r="L231" s="46">
        <f>'Inputs (2)'!G35</f>
        <v>323.208</v>
      </c>
      <c r="M231" s="12">
        <f>'Inputs (2)'!H35</f>
        <v>323.208</v>
      </c>
      <c r="N231" s="46">
        <f>'Inputs (2)'!I35</f>
        <v>323.208</v>
      </c>
      <c r="O231" s="46">
        <f>'Inputs (2)'!J35</f>
        <v>323.208</v>
      </c>
      <c r="P231" s="46">
        <f>'Inputs (2)'!K35</f>
        <v>423.232</v>
      </c>
      <c r="Q231" s="46">
        <f>'Inputs (2)'!L35</f>
        <v>360.082</v>
      </c>
      <c r="R231" s="12">
        <f>'Inputs (2)'!M35</f>
        <v>360.082</v>
      </c>
      <c r="S231" s="46">
        <f>'Inputs (2)'!N35</f>
        <v>360.4</v>
      </c>
      <c r="T231" s="46">
        <f>'Inputs (2)'!O35</f>
        <v>360.64</v>
      </c>
      <c r="U231" s="46">
        <f>'Inputs (2)'!P35</f>
        <v>510.779</v>
      </c>
      <c r="V231" s="46">
        <f>'Inputs (2)'!Q35</f>
        <v>489.081</v>
      </c>
      <c r="W231" s="12">
        <f>'Inputs (2)'!R35</f>
        <v>489.081</v>
      </c>
      <c r="X231" s="46">
        <f>'Inputs (2)'!S35</f>
        <v>480.268</v>
      </c>
      <c r="Y231" s="46">
        <f>'Inputs (2)'!T35</f>
        <v>960.708</v>
      </c>
      <c r="Z231" s="46">
        <f>'Inputs (2)'!U35</f>
        <v>961.025</v>
      </c>
      <c r="AA231" s="46">
        <f>'Inputs (2)'!V35</f>
        <v>777.513</v>
      </c>
      <c r="AB231" s="12">
        <f>'Inputs (2)'!W35</f>
        <v>777.513</v>
      </c>
      <c r="AC231" s="46">
        <f>'Inputs (2)'!X35</f>
        <v>1150.733</v>
      </c>
      <c r="AD231" s="46">
        <f>'Inputs (2)'!Y35</f>
        <v>1147.008</v>
      </c>
      <c r="AE231" s="46">
        <f>'Inputs (2)'!Z35</f>
        <v>1172.288</v>
      </c>
      <c r="AF231" s="46">
        <f>'Inputs (2)'!AA35</f>
        <v>1175.028</v>
      </c>
      <c r="AG231" s="12">
        <f>'Inputs (2)'!AB35</f>
        <v>1175.028</v>
      </c>
      <c r="AH231" s="12">
        <f>'Inputs (2)'!AC35</f>
        <v>1174.61</v>
      </c>
      <c r="AI231" s="12">
        <f>'Inputs (2)'!AD35</f>
        <v>1164.242</v>
      </c>
      <c r="AJ231" s="12">
        <f>AJ237</f>
        <v>1164.242</v>
      </c>
      <c r="AK231" s="12">
        <f>AK237</f>
        <v>1164.242</v>
      </c>
      <c r="AL231" s="12">
        <f>AK231</f>
        <v>1164.242</v>
      </c>
      <c r="AM231" s="12">
        <f>AM237</f>
        <v>1164.242</v>
      </c>
      <c r="AN231" s="12">
        <f>AN237</f>
        <v>1164.242</v>
      </c>
      <c r="AO231" s="12">
        <f>AO237</f>
        <v>1164.242</v>
      </c>
      <c r="AP231" s="12">
        <f>AP237</f>
        <v>1164.242</v>
      </c>
      <c r="AQ231" s="12">
        <f>AP231</f>
        <v>1164.242</v>
      </c>
      <c r="AR231" s="12">
        <f>AR237</f>
        <v>1164.242</v>
      </c>
      <c r="AS231" s="12">
        <f>AS237</f>
        <v>1164.242</v>
      </c>
      <c r="AT231" s="12">
        <f>AT237</f>
        <v>1164.242</v>
      </c>
      <c r="AU231" s="12">
        <f>AU237</f>
        <v>1164.242</v>
      </c>
      <c r="AV231" s="12">
        <f>AU231</f>
        <v>1164.242</v>
      </c>
      <c r="AW231" s="12">
        <f>AW237</f>
        <v>1164.242</v>
      </c>
      <c r="AX231" s="12">
        <f>AX237</f>
        <v>1164.242</v>
      </c>
      <c r="AY231" s="12">
        <f>AY237</f>
        <v>1164.242</v>
      </c>
      <c r="AZ231" s="12">
        <f>AZ237</f>
        <v>1164.242</v>
      </c>
      <c r="BA231" s="12">
        <f>AZ231</f>
        <v>1164.242</v>
      </c>
      <c r="BB231" s="12">
        <f>BB237</f>
        <v>1164.242</v>
      </c>
      <c r="BC231" s="12">
        <f>BC237</f>
        <v>1164.242</v>
      </c>
      <c r="BD231" s="12">
        <f>BD237</f>
        <v>1164.242</v>
      </c>
      <c r="BE231" s="12">
        <f>BE237</f>
        <v>1164.242</v>
      </c>
      <c r="BF231" s="12">
        <f>BE231</f>
        <v>1164.242</v>
      </c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hidden="1" outlineLevel="1">
      <c r="C232" s="57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  <c r="AL232" s="12" t="n"/>
      <c r="AM232" s="12" t="n"/>
      <c r="AN232" s="12" t="n"/>
      <c r="AO232" s="12" t="n"/>
      <c r="AP232" s="12" t="n"/>
      <c r="AQ232" s="12" t="n"/>
      <c r="AR232" s="12" t="n"/>
      <c r="AS232" s="12" t="n"/>
      <c r="AT232" s="12" t="n"/>
      <c r="AU232" s="12" t="n"/>
      <c r="AV232" s="12" t="n"/>
      <c r="AW232" s="12" t="n"/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 hidden="1" outlineLevel="1">
      <c r="C233" s="57" t="inlineStr">
        <is>
          <t>Current portion of LTD</t>
        </is>
      </c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>
        <f>AF226</f>
        <v>299.859</v>
      </c>
      <c r="AI233" s="62" t="n"/>
      <c r="AJ233" s="62" t="n"/>
      <c r="AK233" s="62" t="n"/>
      <c r="AL233" s="12" t="n"/>
      <c r="AM233" s="12">
        <f>AK226</f>
        <v>178.913</v>
      </c>
      <c r="AN233" s="62" t="n"/>
      <c r="AO233" s="62" t="n"/>
      <c r="AP233" s="62" t="n"/>
      <c r="AQ233" s="12" t="n"/>
      <c r="AR233" s="12">
        <f>AP226</f>
        <v>178.913</v>
      </c>
      <c r="AS233" s="62" t="n"/>
      <c r="AT233" s="62" t="n"/>
      <c r="AU233" s="62" t="n"/>
      <c r="AV233" s="12" t="n"/>
      <c r="AW233" s="12">
        <f>AU226</f>
        <v>178.913</v>
      </c>
      <c r="AX233" s="62" t="n"/>
      <c r="AY233" s="62" t="n"/>
      <c r="AZ233" s="62" t="n"/>
      <c r="BA233" s="12" t="n"/>
      <c r="BB233" s="12">
        <f>AZ226</f>
        <v>178.913</v>
      </c>
      <c r="BC233" s="62" t="n"/>
      <c r="BD233" s="62" t="n"/>
      <c r="BE233" s="62" t="n"/>
      <c r="BF233" s="12" t="n"/>
      <c r="BG233" s="12" t="n"/>
      <c r="BH233" s="62" t="n"/>
      <c r="BI233" s="62" t="n"/>
      <c r="BJ233" s="62" t="n"/>
      <c r="BK233" s="12" t="n"/>
      <c r="BL233" s="12" t="n"/>
      <c r="BM233" s="62" t="n"/>
      <c r="BN233" s="62" t="n"/>
      <c r="BO233" s="62" t="n"/>
      <c r="BP233" s="12" t="n"/>
      <c r="BQ233" s="12" t="n"/>
      <c r="BR233" s="62" t="n"/>
      <c r="BS233" s="62" t="n"/>
      <c r="BT233" s="62" t="n"/>
      <c r="BU233" s="12" t="n"/>
      <c r="BV233" s="12" t="n"/>
      <c r="BW233" s="62" t="n"/>
      <c r="BX233" s="62" t="n"/>
      <c r="BY233" s="62" t="n"/>
      <c r="BZ233" s="12" t="n"/>
      <c r="CA233" s="12" t="n"/>
      <c r="CB233" s="62" t="n"/>
      <c r="CC233" s="62" t="n"/>
      <c r="CD233" s="62" t="n"/>
      <c r="CE233" s="12" t="n"/>
      <c r="CF233" s="12" t="n"/>
      <c r="CG233" s="62" t="n"/>
      <c r="CH233" s="62" t="n"/>
      <c r="CI233" s="62" t="n"/>
      <c r="CJ233" s="12" t="n"/>
      <c r="CK233" s="12" t="n"/>
      <c r="CL233" s="62" t="n"/>
      <c r="CM233" s="62" t="n"/>
      <c r="CN233" s="62" t="n"/>
      <c r="CO233" s="12" t="n"/>
      <c r="CP233" s="12" t="n"/>
      <c r="CQ233" s="62" t="n"/>
      <c r="CR233" s="62" t="n"/>
      <c r="CS233" s="62" t="n"/>
      <c r="CT233" s="12" t="n"/>
      <c r="CU233" s="12" t="n"/>
      <c r="CV233" s="62" t="n"/>
      <c r="CW233" s="62" t="n"/>
      <c r="CX233" s="62" t="n"/>
      <c r="CY233" s="12" t="n"/>
    </row>
    <row r="234" hidden="1" outlineLevel="1">
      <c r="C234" s="57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>
      <c r="C235" s="57" t="inlineStr">
        <is>
          <t>Reclassification of LTD to CP of LTD</t>
        </is>
      </c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>
        <f>-AI233</f>
        <v>0</v>
      </c>
      <c r="AJ235" s="12">
        <f>-AJ233</f>
        <v>0</v>
      </c>
      <c r="AK235" s="12">
        <f>-AK233</f>
        <v>0</v>
      </c>
      <c r="AL235" s="12" t="n"/>
      <c r="AM235" s="12" t="n"/>
      <c r="AN235" s="12">
        <f>-AN233</f>
        <v>0</v>
      </c>
      <c r="AO235" s="12">
        <f>-AO233</f>
        <v>0</v>
      </c>
      <c r="AP235" s="12">
        <f>-AP233</f>
        <v>0</v>
      </c>
      <c r="AQ235" s="12" t="n"/>
      <c r="AR235" s="12" t="n"/>
      <c r="AS235" s="12">
        <f>-AS233</f>
        <v>0</v>
      </c>
      <c r="AT235" s="12">
        <f>-AT233</f>
        <v>0</v>
      </c>
      <c r="AU235" s="12">
        <f>-AU233</f>
        <v>0</v>
      </c>
      <c r="AV235" s="12" t="n"/>
      <c r="AW235" s="12" t="n"/>
      <c r="AX235" s="12">
        <f>-AX233</f>
        <v>0</v>
      </c>
      <c r="AY235" s="12">
        <f>-AY233</f>
        <v>0</v>
      </c>
      <c r="AZ235" s="12">
        <f>-AZ233</f>
        <v>0</v>
      </c>
      <c r="BA235" s="12" t="n"/>
      <c r="BB235" s="12" t="n"/>
      <c r="BC235" s="12">
        <f>-BC233</f>
        <v>0</v>
      </c>
      <c r="BD235" s="12">
        <f>-BD233</f>
        <v>0</v>
      </c>
      <c r="BE235" s="12">
        <f>-BE233</f>
        <v>0</v>
      </c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7" t="inlineStr">
        <is>
          <t>Discretionary (paydown)/borrowing of long term debt</t>
        </is>
      </c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62" t="n"/>
      <c r="AI236" s="62" t="n"/>
      <c r="AJ236" s="62" t="n"/>
      <c r="AK236" s="62" t="n"/>
      <c r="AL236" s="12" t="n"/>
      <c r="AM236" s="62" t="n"/>
      <c r="AN236" s="62" t="n"/>
      <c r="AO236" s="62" t="n"/>
      <c r="AP236" s="62" t="n"/>
      <c r="AQ236" s="12" t="n"/>
      <c r="AR236" s="62" t="n"/>
      <c r="AS236" s="62" t="n"/>
      <c r="AT236" s="62" t="n"/>
      <c r="AU236" s="62" t="n"/>
      <c r="AV236" s="12" t="n"/>
      <c r="AW236" s="62" t="n"/>
      <c r="AX236" s="62" t="n"/>
      <c r="AY236" s="62" t="n"/>
      <c r="AZ236" s="62" t="n"/>
      <c r="BA236" s="12" t="n"/>
      <c r="BB236" s="62" t="n"/>
      <c r="BC236" s="62" t="n"/>
      <c r="BD236" s="62" t="n"/>
      <c r="BE236" s="62" t="n"/>
      <c r="BF236" s="12" t="n"/>
      <c r="BG236" s="62" t="n"/>
      <c r="BH236" s="62" t="n"/>
      <c r="BI236" s="62" t="n"/>
      <c r="BJ236" s="62" t="n"/>
      <c r="BK236" s="12" t="n"/>
      <c r="BL236" s="62" t="n"/>
      <c r="BM236" s="62" t="n"/>
      <c r="BN236" s="62" t="n"/>
      <c r="BO236" s="62" t="n"/>
      <c r="BP236" s="12" t="n"/>
      <c r="BQ236" s="62" t="n"/>
      <c r="BR236" s="62" t="n"/>
      <c r="BS236" s="62" t="n"/>
      <c r="BT236" s="62" t="n"/>
      <c r="BU236" s="12" t="n"/>
      <c r="BV236" s="62" t="n"/>
      <c r="BW236" s="62" t="n"/>
      <c r="BX236" s="62" t="n"/>
      <c r="BY236" s="62" t="n"/>
      <c r="BZ236" s="12" t="n"/>
      <c r="CA236" s="62" t="n"/>
      <c r="CB236" s="62" t="n"/>
      <c r="CC236" s="62" t="n"/>
      <c r="CD236" s="62" t="n"/>
      <c r="CE236" s="12" t="n"/>
      <c r="CF236" s="62" t="n"/>
      <c r="CG236" s="62" t="n"/>
      <c r="CH236" s="62" t="n"/>
      <c r="CI236" s="62" t="n"/>
      <c r="CJ236" s="12" t="n"/>
      <c r="CK236" s="62" t="n"/>
      <c r="CL236" s="62" t="n"/>
      <c r="CM236" s="62" t="n"/>
      <c r="CN236" s="62" t="n"/>
      <c r="CO236" s="12" t="n"/>
      <c r="CP236" s="62" t="n"/>
      <c r="CQ236" s="62" t="n"/>
      <c r="CR236" s="62" t="n"/>
      <c r="CS236" s="62" t="n"/>
      <c r="CT236" s="12" t="n"/>
      <c r="CU236" s="62" t="n"/>
      <c r="CV236" s="62" t="n"/>
      <c r="CW236" s="62" t="n"/>
      <c r="CX236" s="62" t="n"/>
      <c r="CY236" s="12" t="n"/>
    </row>
    <row r="237" hidden="1" outlineLevel="1">
      <c r="C237" s="57" t="inlineStr">
        <is>
          <t>Long term debt</t>
        </is>
      </c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>
        <f>AH231</f>
        <v>1174.61</v>
      </c>
      <c r="AI237" s="12">
        <f>AI231</f>
        <v>1164.242</v>
      </c>
      <c r="AJ237" s="12">
        <f>AI237+SUM(AJ235:AJ236)</f>
        <v>1164.242</v>
      </c>
      <c r="AK237" s="12">
        <f>AJ237+SUM(AK235:AK236)</f>
        <v>1164.242</v>
      </c>
      <c r="AL237" s="12" t="n"/>
      <c r="AM237" s="12">
        <f>AK237+SUM(AM235:AM236)</f>
        <v>1164.242</v>
      </c>
      <c r="AN237" s="12">
        <f>AM237+SUM(AN235:AN236)</f>
        <v>1164.242</v>
      </c>
      <c r="AO237" s="12">
        <f>AN237+SUM(AO235:AO236)</f>
        <v>1164.242</v>
      </c>
      <c r="AP237" s="12">
        <f>AO237+SUM(AP235:AP236)</f>
        <v>1164.242</v>
      </c>
      <c r="AQ237" s="12" t="n"/>
      <c r="AR237" s="12">
        <f>AP237+SUM(AR235:AR236)</f>
        <v>1164.242</v>
      </c>
      <c r="AS237" s="12">
        <f>AR237+SUM(AS235:AS236)</f>
        <v>1164.242</v>
      </c>
      <c r="AT237" s="12">
        <f>AS237+SUM(AT235:AT236)</f>
        <v>1164.242</v>
      </c>
      <c r="AU237" s="12">
        <f>AT237+SUM(AU235:AU236)</f>
        <v>1164.242</v>
      </c>
      <c r="AV237" s="12" t="n"/>
      <c r="AW237" s="12">
        <f>AU237+SUM(AW235:AW236)</f>
        <v>1164.242</v>
      </c>
      <c r="AX237" s="12">
        <f>AW237+SUM(AX235:AX236)</f>
        <v>1164.242</v>
      </c>
      <c r="AY237" s="12">
        <f>AX237+SUM(AY235:AY236)</f>
        <v>1164.242</v>
      </c>
      <c r="AZ237" s="12">
        <f>AY237+SUM(AZ235:AZ236)</f>
        <v>1164.242</v>
      </c>
      <c r="BA237" s="12" t="n"/>
      <c r="BB237" s="12">
        <f>AZ237+SUM(BB235:BB236)</f>
        <v>1164.242</v>
      </c>
      <c r="BC237" s="12">
        <f>BB237+SUM(BC235:BC236)</f>
        <v>1164.242</v>
      </c>
      <c r="BD237" s="12">
        <f>BC237+SUM(BD235:BD236)</f>
        <v>1164.242</v>
      </c>
      <c r="BE237" s="12">
        <f>BD237+SUM(BE235:BE236)</f>
        <v>1164.242</v>
      </c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7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hidden="1" outlineLevel="1">
      <c r="C239" s="57" t="inlineStr">
        <is>
          <t>Discretionary (paydown)/borrowing of convertible debt</t>
        </is>
      </c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62" t="n"/>
      <c r="AI239" s="62" t="n"/>
      <c r="AJ239" s="62" t="n"/>
      <c r="AK239" s="62" t="n"/>
      <c r="AL239" s="12" t="n"/>
      <c r="AM239" s="62" t="n"/>
      <c r="AN239" s="62" t="n"/>
      <c r="AO239" s="62" t="n"/>
      <c r="AP239" s="62" t="n"/>
      <c r="AQ239" s="12" t="n"/>
      <c r="AR239" s="62" t="n"/>
      <c r="AS239" s="62" t="n"/>
      <c r="AT239" s="62" t="n"/>
      <c r="AU239" s="62" t="n"/>
      <c r="AV239" s="12" t="n"/>
      <c r="AW239" s="62" t="n"/>
      <c r="AX239" s="62" t="n"/>
      <c r="AY239" s="62" t="n"/>
      <c r="AZ239" s="62" t="n"/>
      <c r="BA239" s="12" t="n"/>
      <c r="BB239" s="62" t="n"/>
      <c r="BC239" s="62" t="n"/>
      <c r="BD239" s="62" t="n"/>
      <c r="BE239" s="62" t="n"/>
      <c r="BF239" s="12" t="n"/>
      <c r="BG239" s="62" t="n"/>
      <c r="BH239" s="62" t="n"/>
      <c r="BI239" s="62" t="n"/>
      <c r="BJ239" s="62" t="n"/>
      <c r="BK239" s="12" t="n"/>
      <c r="BL239" s="62" t="n"/>
      <c r="BM239" s="62" t="n"/>
      <c r="BN239" s="62" t="n"/>
      <c r="BO239" s="62" t="n"/>
      <c r="BP239" s="12" t="n"/>
      <c r="BQ239" s="62" t="n"/>
      <c r="BR239" s="62" t="n"/>
      <c r="BS239" s="62" t="n"/>
      <c r="BT239" s="62" t="n"/>
      <c r="BU239" s="12" t="n"/>
      <c r="BV239" s="62" t="n"/>
      <c r="BW239" s="62" t="n"/>
      <c r="BX239" s="62" t="n"/>
      <c r="BY239" s="62" t="n"/>
      <c r="BZ239" s="12" t="n"/>
      <c r="CA239" s="62" t="n"/>
      <c r="CB239" s="62" t="n"/>
      <c r="CC239" s="62" t="n"/>
      <c r="CD239" s="62" t="n"/>
      <c r="CE239" s="12" t="n"/>
      <c r="CF239" s="62" t="n"/>
      <c r="CG239" s="62" t="n"/>
      <c r="CH239" s="62" t="n"/>
      <c r="CI239" s="62" t="n"/>
      <c r="CJ239" s="12" t="n"/>
      <c r="CK239" s="62" t="n"/>
      <c r="CL239" s="62" t="n"/>
      <c r="CM239" s="62" t="n"/>
      <c r="CN239" s="62" t="n"/>
      <c r="CO239" s="12" t="n"/>
      <c r="CP239" s="62" t="n"/>
      <c r="CQ239" s="62" t="n"/>
      <c r="CR239" s="62" t="n"/>
      <c r="CS239" s="62" t="n"/>
      <c r="CT239" s="12" t="n"/>
      <c r="CU239" s="62" t="n"/>
      <c r="CV239" s="62" t="n"/>
      <c r="CW239" s="62" t="n"/>
      <c r="CX239" s="62" t="n"/>
      <c r="CY239" s="12" t="n"/>
    </row>
    <row r="240" hidden="1" outlineLevel="1">
      <c r="C240" s="57" t="inlineStr">
        <is>
          <t>Convertible debt</t>
        </is>
      </c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>
        <f>AH252</f>
        <v>0</v>
      </c>
      <c r="AI240" s="12">
        <f>AH240+SUM(AI239)</f>
        <v>0</v>
      </c>
      <c r="AJ240" s="12">
        <f>AI240+SUM(AJ239)</f>
        <v>0</v>
      </c>
      <c r="AK240" s="12">
        <f>AJ240+SUM(AK239)</f>
        <v>0</v>
      </c>
      <c r="AL240" s="12" t="n"/>
      <c r="AM240" s="12">
        <f>AM252</f>
        <v>0</v>
      </c>
      <c r="AN240" s="12">
        <f>AM240+SUM(AN239)</f>
        <v>0</v>
      </c>
      <c r="AO240" s="12">
        <f>AN240+SUM(AO239)</f>
        <v>0</v>
      </c>
      <c r="AP240" s="12">
        <f>AO240+SUM(AP239)</f>
        <v>0</v>
      </c>
      <c r="AQ240" s="12" t="n"/>
      <c r="AR240" s="12">
        <f>AR252</f>
        <v>0</v>
      </c>
      <c r="AS240" s="12">
        <f>AR240+SUM(AS239)</f>
        <v>0</v>
      </c>
      <c r="AT240" s="12">
        <f>AS240+SUM(AT239)</f>
        <v>0</v>
      </c>
      <c r="AU240" s="12">
        <f>AT240+SUM(AU239)</f>
        <v>0</v>
      </c>
      <c r="AV240" s="12" t="n"/>
      <c r="AW240" s="12">
        <f>AW252</f>
        <v>0</v>
      </c>
      <c r="AX240" s="12">
        <f>AW240+SUM(AX239)</f>
        <v>0</v>
      </c>
      <c r="AY240" s="12">
        <f>AX240+SUM(AY239)</f>
        <v>0</v>
      </c>
      <c r="AZ240" s="12">
        <f>AY240+SUM(AZ239)</f>
        <v>0</v>
      </c>
      <c r="BA240" s="12" t="n"/>
      <c r="BB240" s="12">
        <f>BB252</f>
        <v>0</v>
      </c>
      <c r="BC240" s="12">
        <f>BB240+SUM(BC239)</f>
        <v>0</v>
      </c>
      <c r="BD240" s="12">
        <f>BC240+SUM(BD239)</f>
        <v>0</v>
      </c>
      <c r="BE240" s="12">
        <f>BD240+SUM(BE239)</f>
        <v>0</v>
      </c>
      <c r="BF240" s="12" t="n"/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hidden="1" outlineLevel="1">
      <c r="C241" s="57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I241" s="12" t="n"/>
      <c r="AJ241" s="12" t="n"/>
      <c r="AK241" s="12" t="n"/>
      <c r="AL241" s="12" t="n"/>
      <c r="AN241" s="12" t="n"/>
      <c r="AO241" s="12" t="n"/>
      <c r="AP241" s="12" t="n"/>
      <c r="AQ241" s="12" t="n"/>
      <c r="AS241" s="12" t="n"/>
      <c r="AT241" s="12" t="n"/>
      <c r="AU241" s="12" t="n"/>
      <c r="AV241" s="12" t="n"/>
      <c r="AX241" s="12" t="n"/>
      <c r="AY241" s="12" t="n"/>
      <c r="AZ241" s="12" t="n"/>
      <c r="BA241" s="12" t="n"/>
      <c r="BC241" s="12" t="n"/>
      <c r="BD241" s="12" t="n"/>
      <c r="BE241" s="12" t="n"/>
      <c r="BF241" s="12" t="n"/>
      <c r="BH241" s="12" t="n"/>
      <c r="BI241" s="12" t="n"/>
      <c r="BJ241" s="12" t="n"/>
      <c r="BK241" s="12" t="n"/>
      <c r="BM241" s="12" t="n"/>
      <c r="BN241" s="12" t="n"/>
      <c r="BO241" s="12" t="n"/>
      <c r="BP241" s="12" t="n"/>
      <c r="BR241" s="12" t="n"/>
      <c r="BS241" s="12" t="n"/>
      <c r="BT241" s="12" t="n"/>
      <c r="BU241" s="12" t="n"/>
      <c r="BW241" s="12" t="n"/>
      <c r="BX241" s="12" t="n"/>
      <c r="BY241" s="12" t="n"/>
      <c r="BZ241" s="12" t="n"/>
      <c r="CB241" s="12" t="n"/>
      <c r="CC241" s="12" t="n"/>
      <c r="CD241" s="12" t="n"/>
      <c r="CE241" s="12" t="n"/>
      <c r="CG241" s="12" t="n"/>
      <c r="CH241" s="12" t="n"/>
      <c r="CI241" s="12" t="n"/>
      <c r="CJ241" s="12" t="n"/>
      <c r="CL241" s="12" t="n"/>
      <c r="CM241" s="12" t="n"/>
      <c r="CN241" s="12" t="n"/>
      <c r="CO241" s="12" t="n"/>
      <c r="CQ241" s="12" t="n"/>
      <c r="CR241" s="12" t="n"/>
      <c r="CS241" s="12" t="n"/>
      <c r="CT241" s="12" t="n"/>
      <c r="CV241" s="12" t="n"/>
      <c r="CW241" s="12" t="n"/>
      <c r="CX241" s="12" t="n"/>
      <c r="CY241" s="12" t="n"/>
    </row>
    <row r="242" hidden="1" outlineLevel="1">
      <c r="C242" s="57" t="inlineStr">
        <is>
          <t>Calculation of short term debt</t>
        </is>
      </c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  <c r="AL242" s="12" t="n"/>
      <c r="AM242" s="12" t="n"/>
      <c r="AN242" s="12" t="n"/>
      <c r="AO242" s="12" t="n"/>
      <c r="AP242" s="12" t="n"/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hidden="1" outlineLevel="1">
      <c r="C243" s="57" t="inlineStr">
        <is>
          <t>Cash @ beginning of the period (end of last period)</t>
        </is>
      </c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63">
        <f>AG158</f>
        <v>1790.937</v>
      </c>
      <c r="AI243" s="12" t="n"/>
      <c r="AJ243" s="12" t="n"/>
      <c r="AK243" s="12" t="n"/>
      <c r="AL243" s="12" t="n"/>
      <c r="AM243" s="63">
        <f>AL158</f>
        <v>2195.0058336473</v>
      </c>
      <c r="AN243" s="12" t="n"/>
      <c r="AO243" s="12" t="n"/>
      <c r="AP243" s="12" t="n"/>
      <c r="AQ243" s="12" t="n"/>
      <c r="AR243" s="63">
        <f>AQ158</f>
        <v>3425.29037676743</v>
      </c>
      <c r="AS243" s="12" t="n"/>
      <c r="AT243" s="12" t="n"/>
      <c r="AU243" s="12" t="n"/>
      <c r="AV243" s="12" t="n"/>
      <c r="AW243" s="63">
        <f>AV158</f>
        <v>6047.19826523543</v>
      </c>
      <c r="AX243" s="12" t="n"/>
      <c r="AY243" s="12" t="n"/>
      <c r="AZ243" s="12" t="n"/>
      <c r="BA243" s="12" t="n"/>
      <c r="BB243" s="63">
        <f>BA158</f>
        <v>12589.3730787465</v>
      </c>
      <c r="BC243" s="12" t="n"/>
      <c r="BD243" s="12" t="n"/>
      <c r="BE243" s="12" t="n"/>
      <c r="BF243" s="12" t="n"/>
      <c r="BG243" s="63" t="n"/>
      <c r="BH243" s="12" t="n"/>
      <c r="BI243" s="12" t="n"/>
      <c r="BJ243" s="12" t="n"/>
      <c r="BK243" s="12" t="n"/>
      <c r="BL243" s="63" t="n"/>
      <c r="BM243" s="12" t="n"/>
      <c r="BN243" s="12" t="n"/>
      <c r="BO243" s="12" t="n"/>
      <c r="BP243" s="12" t="n"/>
      <c r="BQ243" s="63" t="n"/>
      <c r="BR243" s="12" t="n"/>
      <c r="BS243" s="12" t="n"/>
      <c r="BT243" s="12" t="n"/>
      <c r="BU243" s="12" t="n"/>
      <c r="BV243" s="63" t="n"/>
      <c r="BW243" s="12" t="n"/>
      <c r="BX243" s="12" t="n"/>
      <c r="BY243" s="12" t="n"/>
      <c r="BZ243" s="12" t="n"/>
      <c r="CA243" s="63" t="n"/>
      <c r="CB243" s="12" t="n"/>
      <c r="CC243" s="12" t="n"/>
      <c r="CD243" s="12" t="n"/>
      <c r="CE243" s="12" t="n"/>
      <c r="CF243" s="63" t="n"/>
      <c r="CG243" s="12" t="n"/>
      <c r="CH243" s="12" t="n"/>
      <c r="CI243" s="12" t="n"/>
      <c r="CJ243" s="12" t="n"/>
      <c r="CK243" s="63" t="n"/>
      <c r="CL243" s="12" t="n"/>
      <c r="CM243" s="12" t="n"/>
      <c r="CN243" s="12" t="n"/>
      <c r="CO243" s="12" t="n"/>
      <c r="CP243" s="63" t="n"/>
      <c r="CQ243" s="12" t="n"/>
      <c r="CR243" s="12" t="n"/>
      <c r="CS243" s="12" t="n"/>
      <c r="CT243" s="12" t="n"/>
      <c r="CU243" s="63" t="n"/>
      <c r="CV243" s="12" t="n"/>
      <c r="CW243" s="12" t="n"/>
      <c r="CX243" s="12" t="n"/>
      <c r="CY243" s="12" t="n"/>
    </row>
    <row r="244" hidden="1" outlineLevel="1">
      <c r="C244" s="57" t="inlineStr">
        <is>
          <t>Plus: Free cash flows prior to debt during period</t>
        </is>
      </c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inlineStr">
        <is>
          <t>% of sales</t>
        </is>
      </c>
      <c r="AH244" s="64">
        <f>(AH306+AH313)+SUM(AH316:AH322)</f>
        <v>69.2389999999998</v>
      </c>
      <c r="AI244" s="64">
        <f>(AI306+AI313)+SUM(AI316:AI322)</f>
        <v>-183.438</v>
      </c>
      <c r="AJ244" s="64">
        <f>(AJ306+AJ313)+SUM(AJ316:AJ322)</f>
        <v>0</v>
      </c>
      <c r="AK244" s="64">
        <f>(AK306+AK313)+SUM(AK316:AK322)</f>
        <v>0</v>
      </c>
      <c r="AL244" s="12" t="n"/>
      <c r="AM244" s="64">
        <f>(AM306+AM313)+SUM(AM316:AM322)</f>
        <v>0</v>
      </c>
      <c r="AN244" s="64">
        <f>(AN306+AN313)+SUM(AN316:AN322)</f>
        <v>0</v>
      </c>
      <c r="AO244" s="64">
        <f>(AO306+AO313)+SUM(AO316:AO322)</f>
        <v>0</v>
      </c>
      <c r="AP244" s="64">
        <f>(AP306+AP313)+SUM(AP316:AP322)</f>
        <v>0</v>
      </c>
      <c r="AQ244" s="12" t="n"/>
      <c r="AR244" s="64">
        <f>(AR306+AR313)+SUM(AR316:AR322)</f>
        <v>0</v>
      </c>
      <c r="AS244" s="64">
        <f>(AS306+AS313)+SUM(AS316:AS322)</f>
        <v>0</v>
      </c>
      <c r="AT244" s="64">
        <f>(AT306+AT313)+SUM(AT316:AT322)</f>
        <v>0</v>
      </c>
      <c r="AU244" s="64">
        <f>(AU306+AU313)+SUM(AU316:AU322)</f>
        <v>0</v>
      </c>
      <c r="AV244" s="12" t="n"/>
      <c r="AW244" s="64">
        <f>(AW306+AW313)+SUM(AW316:AW322)</f>
        <v>0</v>
      </c>
      <c r="AX244" s="64">
        <f>(AX306+AX313)+SUM(AX316:AX322)</f>
        <v>0</v>
      </c>
      <c r="AY244" s="64">
        <f>(AY306+AY313)+SUM(AY316:AY322)</f>
        <v>0</v>
      </c>
      <c r="AZ244" s="64">
        <f>(AZ306+AZ313)+SUM(AZ316:AZ322)</f>
        <v>0</v>
      </c>
      <c r="BA244" s="12" t="n"/>
      <c r="BB244" s="64">
        <f>(BB306+BB313)+SUM(BB316:BB322)</f>
        <v>0</v>
      </c>
      <c r="BC244" s="64">
        <f>(BC306+BC313)+SUM(BC316:BC322)</f>
        <v>0</v>
      </c>
      <c r="BD244" s="64">
        <f>(BD306+BD313)+SUM(BD316:BD322)</f>
        <v>0</v>
      </c>
      <c r="BE244" s="64">
        <f>(BE306+BE313)+SUM(BE316:BE322)</f>
        <v>0</v>
      </c>
      <c r="BF244" s="12" t="n"/>
      <c r="BG244" s="64" t="n"/>
      <c r="BH244" s="64" t="n"/>
      <c r="BI244" s="64" t="n"/>
      <c r="BJ244" s="64" t="n"/>
      <c r="BK244" s="12" t="n"/>
      <c r="BL244" s="64" t="n"/>
      <c r="BM244" s="64" t="n"/>
      <c r="BN244" s="64" t="n"/>
      <c r="BO244" s="64" t="n"/>
      <c r="BP244" s="12" t="n"/>
      <c r="BQ244" s="64" t="n"/>
      <c r="BR244" s="64" t="n"/>
      <c r="BS244" s="64" t="n"/>
      <c r="BT244" s="64" t="n"/>
      <c r="BU244" s="12" t="n"/>
      <c r="BV244" s="64" t="n"/>
      <c r="BW244" s="64" t="n"/>
      <c r="BX244" s="64" t="n"/>
      <c r="BY244" s="64" t="n"/>
      <c r="BZ244" s="12" t="n"/>
      <c r="CA244" s="64" t="n"/>
      <c r="CB244" s="64" t="n"/>
      <c r="CC244" s="64" t="n"/>
      <c r="CD244" s="64" t="n"/>
      <c r="CE244" s="12" t="n"/>
      <c r="CF244" s="64" t="n"/>
      <c r="CG244" s="64" t="n"/>
      <c r="CH244" s="64" t="n"/>
      <c r="CI244" s="64" t="n"/>
      <c r="CJ244" s="12" t="n"/>
      <c r="CK244" s="64" t="n"/>
      <c r="CL244" s="64" t="n"/>
      <c r="CM244" s="64" t="n"/>
      <c r="CN244" s="64" t="n"/>
      <c r="CO244" s="12" t="n"/>
      <c r="CP244" s="64" t="n"/>
      <c r="CQ244" s="64" t="n"/>
      <c r="CR244" s="64" t="n"/>
      <c r="CS244" s="64" t="n"/>
      <c r="CT244" s="12" t="n"/>
      <c r="CU244" s="64" t="n"/>
      <c r="CV244" s="64" t="n"/>
      <c r="CW244" s="64" t="n"/>
      <c r="CX244" s="64" t="n"/>
      <c r="CY244" s="12" t="n"/>
    </row>
    <row r="245" hidden="1" outlineLevel="1">
      <c r="C245" s="57" t="inlineStr">
        <is>
          <t>Less: Minimum cash balance</t>
        </is>
      </c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52" t="n"/>
      <c r="AH245" s="12">
        <f>($AG$245*AH15)</f>
        <v>0</v>
      </c>
      <c r="AI245" s="12">
        <f>($AG$245*AI15)</f>
        <v>0</v>
      </c>
      <c r="AJ245" s="12">
        <f>($AG$245*AJ15)</f>
        <v>0</v>
      </c>
      <c r="AK245" s="12">
        <f>($AG$245*AK15)</f>
        <v>0</v>
      </c>
      <c r="AL245" s="12" t="n"/>
      <c r="AM245" s="12">
        <f>($AG$245*AM15)</f>
        <v>0</v>
      </c>
      <c r="AN245" s="12">
        <f>($AG$245*AN15)</f>
        <v>0</v>
      </c>
      <c r="AO245" s="12">
        <f>($AG$245*AO15)</f>
        <v>0</v>
      </c>
      <c r="AP245" s="12">
        <f>($AG$245*AP15)</f>
        <v>0</v>
      </c>
      <c r="AQ245" s="12" t="n"/>
      <c r="AR245" s="12">
        <f>($AG$245*AR15)</f>
        <v>0</v>
      </c>
      <c r="AS245" s="12">
        <f>($AG$245*AS15)</f>
        <v>0</v>
      </c>
      <c r="AT245" s="12">
        <f>($AG$245*AT15)</f>
        <v>0</v>
      </c>
      <c r="AU245" s="12">
        <f>($AG$245*AU15)</f>
        <v>0</v>
      </c>
      <c r="AV245" s="12" t="n"/>
      <c r="AW245" s="12">
        <f>($AG$245*AW15)</f>
        <v>0</v>
      </c>
      <c r="AX245" s="12">
        <f>($AG$245*AX15)</f>
        <v>0</v>
      </c>
      <c r="AY245" s="12">
        <f>($AG$245*AY15)</f>
        <v>0</v>
      </c>
      <c r="AZ245" s="12">
        <f>($AG$245*AZ15)</f>
        <v>0</v>
      </c>
      <c r="BA245" s="12" t="n"/>
      <c r="BB245" s="12">
        <f>($AG$245*BB15)</f>
        <v>0</v>
      </c>
      <c r="BC245" s="12">
        <f>($AG$245*BC15)</f>
        <v>0</v>
      </c>
      <c r="BD245" s="12">
        <f>($AG$245*BD15)</f>
        <v>0</v>
      </c>
      <c r="BE245" s="12">
        <f>($AG$245*BE15)</f>
        <v>0</v>
      </c>
      <c r="BF245" s="12" t="n"/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hidden="1" outlineLevel="1">
      <c r="C246" s="57" t="inlineStr">
        <is>
          <t>Total cash available / (debt required) for short term debt paydown</t>
        </is>
      </c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3">
        <f>AH243+AH244-AH245-AF233+AH235+AH239</f>
        <v>1860.176</v>
      </c>
      <c r="AI246" s="3">
        <f>AI243+AI244-AI245-AG233+AI235+AI239</f>
        <v>-183.438</v>
      </c>
      <c r="AJ246" s="3">
        <f>AJ243+AJ244-AJ245-AH233+AJ235+AJ239</f>
        <v>-299.859</v>
      </c>
      <c r="AK246" s="3">
        <f>AK243+AK244-AK245-AI233+AK235+AK239</f>
        <v>0</v>
      </c>
      <c r="AL246" s="12" t="n"/>
      <c r="AM246" s="3">
        <f>AM243+AM244-AM245-AK233+AM235+AM239</f>
        <v>2195.0058336473</v>
      </c>
      <c r="AN246" s="3">
        <f>AN243+AN244-AN245-AL233+AN235+AN239</f>
        <v>0</v>
      </c>
      <c r="AO246" s="3">
        <f>AO243+AO244-AO245-AM233+AO235+AO239</f>
        <v>-178.913</v>
      </c>
      <c r="AP246" s="3">
        <f>AP243+AP244-AP245-AN233+AP235+AP239</f>
        <v>0</v>
      </c>
      <c r="AQ246" s="12" t="n"/>
      <c r="AR246" s="3">
        <f>AR243+AR244-AR245-AP233+AR235+AR239</f>
        <v>3425.29037676743</v>
      </c>
      <c r="AS246" s="3">
        <f>AS243+AS244-AS245-AQ233+AS235+AS239</f>
        <v>0</v>
      </c>
      <c r="AT246" s="3">
        <f>AT243+AT244-AT245-AR233+AT235+AT239</f>
        <v>-178.913</v>
      </c>
      <c r="AU246" s="3">
        <f>AU243+AU244-AU245-AS233+AU235+AU239</f>
        <v>0</v>
      </c>
      <c r="AV246" s="12" t="n"/>
      <c r="AW246" s="3">
        <f>AW243+AW244-AW245-AU233+AW235+AW239</f>
        <v>6047.19826523543</v>
      </c>
      <c r="AX246" s="3">
        <f>AX243+AX244-AX245-AV233+AX235+AX239</f>
        <v>0</v>
      </c>
      <c r="AY246" s="3">
        <f>AY243+AY244-AY245-AW233+AY235+AY239</f>
        <v>-178.913</v>
      </c>
      <c r="AZ246" s="3">
        <f>AZ243+AZ244-AZ245-AX233+AZ235+AZ239</f>
        <v>0</v>
      </c>
      <c r="BA246" s="12" t="n"/>
      <c r="BB246" s="3">
        <f>BB243+BB244-BB245-AZ233+BB235+BB239</f>
        <v>12589.3730787465</v>
      </c>
      <c r="BC246" s="3">
        <f>BC243+BC244-BC245-BA233+BC235+BC239</f>
        <v>0</v>
      </c>
      <c r="BD246" s="3">
        <f>BD243+BD244-BD245-BB233+BD235+BD239</f>
        <v>-178.913</v>
      </c>
      <c r="BE246" s="3">
        <f>BE243+BE244-BE245-BC233+BE235+BE239</f>
        <v>0</v>
      </c>
      <c r="BF246" s="12" t="n"/>
      <c r="BG246" s="3" t="n"/>
      <c r="BH246" s="3" t="n"/>
      <c r="BI246" s="3" t="n"/>
      <c r="BJ246" s="3" t="n"/>
      <c r="BK246" s="12" t="n"/>
      <c r="BL246" s="3" t="n"/>
      <c r="BM246" s="3" t="n"/>
      <c r="BN246" s="3" t="n"/>
      <c r="BO246" s="3" t="n"/>
      <c r="BP246" s="12" t="n"/>
      <c r="BQ246" s="3" t="n"/>
      <c r="BR246" s="3" t="n"/>
      <c r="BS246" s="3" t="n"/>
      <c r="BT246" s="3" t="n"/>
      <c r="BU246" s="12" t="n"/>
      <c r="BV246" s="3" t="n"/>
      <c r="BW246" s="3" t="n"/>
      <c r="BX246" s="3" t="n"/>
      <c r="BY246" s="3" t="n"/>
      <c r="BZ246" s="12" t="n"/>
      <c r="CA246" s="3" t="n"/>
      <c r="CB246" s="3" t="n"/>
      <c r="CC246" s="3" t="n"/>
      <c r="CD246" s="3" t="n"/>
      <c r="CE246" s="12" t="n"/>
      <c r="CF246" s="3" t="n"/>
      <c r="CG246" s="3" t="n"/>
      <c r="CH246" s="3" t="n"/>
      <c r="CI246" s="3" t="n"/>
      <c r="CJ246" s="12" t="n"/>
      <c r="CK246" s="3" t="n"/>
      <c r="CL246" s="3" t="n"/>
      <c r="CM246" s="3" t="n"/>
      <c r="CN246" s="3" t="n"/>
      <c r="CO246" s="12" t="n"/>
      <c r="CP246" s="3" t="n"/>
      <c r="CQ246" s="3" t="n"/>
      <c r="CR246" s="3" t="n"/>
      <c r="CS246" s="3" t="n"/>
      <c r="CT246" s="12" t="n"/>
      <c r="CU246" s="3" t="n"/>
      <c r="CV246" s="3" t="n"/>
      <c r="CW246" s="3" t="n"/>
      <c r="CX246" s="3" t="n"/>
      <c r="CY246" s="12" t="n"/>
    </row>
    <row r="247" hidden="1" outlineLevel="1">
      <c r="C247" s="57" t="inlineStr">
        <is>
          <t>Short term debt</t>
        </is>
      </c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>
        <f>AH227</f>
        <v>0</v>
      </c>
      <c r="AI247" s="12">
        <f>MAX(0,AH247-AI246)</f>
        <v>183.438</v>
      </c>
      <c r="AJ247" s="12">
        <f>MAX(0,AI247-AJ246)</f>
        <v>483.297</v>
      </c>
      <c r="AK247" s="12">
        <f>MAX(0,AJ247-AK246)</f>
        <v>483.297</v>
      </c>
      <c r="AL247" s="12" t="n"/>
      <c r="AM247" s="12">
        <f>AM227</f>
        <v>0</v>
      </c>
      <c r="AN247" s="12">
        <f>MAX(0,AM247-AN246)</f>
        <v>0</v>
      </c>
      <c r="AO247" s="12">
        <f>MAX(0,AN247-AO246)</f>
        <v>178.913</v>
      </c>
      <c r="AP247" s="12">
        <f>MAX(0,AO247-AP246)</f>
        <v>178.913</v>
      </c>
      <c r="AQ247" s="12" t="n"/>
      <c r="AR247" s="12">
        <f>AR227</f>
        <v>0</v>
      </c>
      <c r="AS247" s="12">
        <f>MAX(0,AR247-AS246)</f>
        <v>0</v>
      </c>
      <c r="AT247" s="12">
        <f>MAX(0,AS247-AT246)</f>
        <v>178.913</v>
      </c>
      <c r="AU247" s="12">
        <f>MAX(0,AT247-AU246)</f>
        <v>178.913</v>
      </c>
      <c r="AV247" s="12" t="n"/>
      <c r="AW247" s="12">
        <f>AW227</f>
        <v>0</v>
      </c>
      <c r="AX247" s="12">
        <f>MAX(0,AW247-AX246)</f>
        <v>0</v>
      </c>
      <c r="AY247" s="12">
        <f>MAX(0,AX247-AY246)</f>
        <v>178.913</v>
      </c>
      <c r="AZ247" s="12">
        <f>MAX(0,AY247-AZ246)</f>
        <v>178.913</v>
      </c>
      <c r="BA247" s="12" t="n"/>
      <c r="BB247" s="12">
        <f>BB227</f>
        <v>0</v>
      </c>
      <c r="BC247" s="12">
        <f>MAX(0,BB247-BC246)</f>
        <v>0</v>
      </c>
      <c r="BD247" s="12">
        <f>MAX(0,BC247-BD246)</f>
        <v>178.913</v>
      </c>
      <c r="BE247" s="12">
        <f>MAX(0,BD247-BE246)</f>
        <v>178.913</v>
      </c>
      <c r="BF247" s="12" t="n"/>
      <c r="BG247" s="12" t="n"/>
      <c r="BH247" s="12" t="n"/>
      <c r="BI247" s="12" t="n"/>
      <c r="BJ247" s="12" t="n"/>
      <c r="BK247" s="12" t="n"/>
      <c r="BL247" s="12" t="n"/>
      <c r="BM247" s="12" t="n"/>
      <c r="BN247" s="12" t="n"/>
      <c r="BO247" s="12" t="n"/>
      <c r="BP247" s="12" t="n"/>
      <c r="BQ247" s="12" t="n"/>
      <c r="BR247" s="12" t="n"/>
      <c r="BS247" s="12" t="n"/>
      <c r="BT247" s="12" t="n"/>
      <c r="BU247" s="12" t="n"/>
      <c r="BV247" s="12" t="n"/>
      <c r="BW247" s="12" t="n"/>
      <c r="BX247" s="12" t="n"/>
      <c r="BY247" s="12" t="n"/>
      <c r="BZ247" s="12" t="n"/>
      <c r="CA247" s="12" t="n"/>
      <c r="CB247" s="12" t="n"/>
      <c r="CC247" s="12" t="n"/>
      <c r="CD247" s="12" t="n"/>
      <c r="CE247" s="12" t="n"/>
      <c r="CF247" s="12" t="n"/>
      <c r="CG247" s="12" t="n"/>
      <c r="CH247" s="12" t="n"/>
      <c r="CI247" s="12" t="n"/>
      <c r="CJ247" s="12" t="n"/>
      <c r="CK247" s="12" t="n"/>
      <c r="CL247" s="12" t="n"/>
      <c r="CM247" s="12" t="n"/>
      <c r="CN247" s="12" t="n"/>
      <c r="CO247" s="12" t="n"/>
      <c r="CP247" s="12" t="n"/>
      <c r="CQ247" s="12" t="n"/>
      <c r="CR247" s="12" t="n"/>
      <c r="CS247" s="12" t="n"/>
      <c r="CT247" s="12" t="n"/>
      <c r="CU247" s="12" t="n"/>
      <c r="CV247" s="12" t="n"/>
      <c r="CW247" s="12" t="n"/>
      <c r="CX247" s="12" t="n"/>
      <c r="CY247" s="12" t="n"/>
    </row>
    <row r="248" hidden="1" outlineLevel="1">
      <c r="C248" s="57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 collapsed="1">
      <c r="C249" s="14" t="inlineStr">
        <is>
          <t>Long term operating leases</t>
        </is>
      </c>
      <c r="D249" s="46" t="n"/>
      <c r="E249" s="46" t="n"/>
      <c r="F249" s="46" t="n"/>
      <c r="G249" s="46" t="n"/>
      <c r="H249" s="12" t="n"/>
      <c r="I249" s="46">
        <f>'Inputs (2)'!D36</f>
        <v>0</v>
      </c>
      <c r="J249" s="46">
        <f>'Inputs (2)'!E36</f>
        <v>0</v>
      </c>
      <c r="K249" s="46">
        <f>'Inputs (2)'!F36</f>
        <v>0</v>
      </c>
      <c r="L249" s="46">
        <f>'Inputs (2)'!G36</f>
        <v>0</v>
      </c>
      <c r="M249" s="12">
        <f>'Inputs (2)'!H36</f>
        <v>0</v>
      </c>
      <c r="N249" s="46">
        <f>'Inputs (2)'!I36</f>
        <v>0</v>
      </c>
      <c r="O249" s="46">
        <f>'Inputs (2)'!J36</f>
        <v>0</v>
      </c>
      <c r="P249" s="46">
        <f>'Inputs (2)'!K36</f>
        <v>0</v>
      </c>
      <c r="Q249" s="46">
        <f>'Inputs (2)'!L36</f>
        <v>0</v>
      </c>
      <c r="R249" s="12">
        <f>'Inputs (2)'!M36</f>
        <v>0</v>
      </c>
      <c r="S249" s="46">
        <f>'Inputs (2)'!N36</f>
        <v>0</v>
      </c>
      <c r="T249" s="46">
        <f>'Inputs (2)'!O36</f>
        <v>0</v>
      </c>
      <c r="U249" s="46">
        <f>'Inputs (2)'!P36</f>
        <v>0</v>
      </c>
      <c r="V249" s="46">
        <f>'Inputs (2)'!Q36</f>
        <v>0</v>
      </c>
      <c r="W249" s="12">
        <f>'Inputs (2)'!R36</f>
        <v>0</v>
      </c>
      <c r="X249" s="46">
        <f>'Inputs (2)'!S36</f>
        <v>0</v>
      </c>
      <c r="Y249" s="46">
        <f>'Inputs (2)'!T36</f>
        <v>0</v>
      </c>
      <c r="Z249" s="46">
        <f>'Inputs (2)'!U36</f>
        <v>0</v>
      </c>
      <c r="AA249" s="46">
        <f>'Inputs (2)'!V36</f>
        <v>0</v>
      </c>
      <c r="AB249" s="12">
        <f>'Inputs (2)'!W36</f>
        <v>0</v>
      </c>
      <c r="AC249" s="46">
        <f>'Inputs (2)'!X36</f>
        <v>0</v>
      </c>
      <c r="AD249" s="46">
        <f>'Inputs (2)'!Y36</f>
        <v>0</v>
      </c>
      <c r="AE249" s="46">
        <f>'Inputs (2)'!Z36</f>
        <v>0</v>
      </c>
      <c r="AF249" s="46">
        <f>'Inputs (2)'!AA36</f>
        <v>0</v>
      </c>
      <c r="AG249" s="12">
        <f>'Inputs (2)'!AB36</f>
        <v>0</v>
      </c>
      <c r="AH249" s="12">
        <f>'Inputs (2)'!AC36</f>
        <v>0</v>
      </c>
      <c r="AI249" s="12">
        <f>'Inputs (2)'!AD36</f>
        <v>0</v>
      </c>
      <c r="AJ249" s="12">
        <f>AI249</f>
        <v>0</v>
      </c>
      <c r="AK249" s="12">
        <f>AJ249</f>
        <v>0</v>
      </c>
      <c r="AL249" s="12">
        <f>AK249</f>
        <v>0</v>
      </c>
      <c r="AM249" s="12">
        <f>AL249</f>
        <v>0</v>
      </c>
      <c r="AN249" s="12">
        <f>AM249</f>
        <v>0</v>
      </c>
      <c r="AO249" s="12">
        <f>AN249</f>
        <v>0</v>
      </c>
      <c r="AP249" s="12">
        <f>AO249</f>
        <v>0</v>
      </c>
      <c r="AQ249" s="12">
        <f>AP249</f>
        <v>0</v>
      </c>
      <c r="AR249" s="12">
        <f>AQ249</f>
        <v>0</v>
      </c>
      <c r="AS249" s="12">
        <f>AR249</f>
        <v>0</v>
      </c>
      <c r="AT249" s="12">
        <f>AS249</f>
        <v>0</v>
      </c>
      <c r="AU249" s="12">
        <f>AT249</f>
        <v>0</v>
      </c>
      <c r="AV249" s="12">
        <f>AU249</f>
        <v>0</v>
      </c>
      <c r="AW249" s="12">
        <f>AV249</f>
        <v>0</v>
      </c>
      <c r="AX249" s="12">
        <f>AW249</f>
        <v>0</v>
      </c>
      <c r="AY249" s="12">
        <f>AX249</f>
        <v>0</v>
      </c>
      <c r="AZ249" s="12">
        <f>AY249</f>
        <v>0</v>
      </c>
      <c r="BA249" s="12">
        <f>AZ249</f>
        <v>0</v>
      </c>
      <c r="BB249" s="12">
        <f>BA249</f>
        <v>0</v>
      </c>
      <c r="BC249" s="12">
        <f>BB249</f>
        <v>0</v>
      </c>
      <c r="BD249" s="12">
        <f>BC249</f>
        <v>0</v>
      </c>
      <c r="BE249" s="12">
        <f>BD249</f>
        <v>0</v>
      </c>
      <c r="BF249" s="12">
        <f>BE249</f>
        <v>0</v>
      </c>
      <c r="BG249" s="12" t="n"/>
      <c r="BH249" s="12" t="n"/>
      <c r="BI249" s="12" t="n"/>
      <c r="BJ249" s="12" t="n"/>
      <c r="BK249" s="12" t="n"/>
      <c r="BL249" s="12" t="n"/>
      <c r="BM249" s="12" t="n"/>
      <c r="BN249" s="12" t="n"/>
      <c r="BO249" s="12" t="n"/>
      <c r="BP249" s="12" t="n"/>
      <c r="BQ249" s="12" t="n"/>
      <c r="BR249" s="12" t="n"/>
      <c r="BS249" s="12" t="n"/>
      <c r="BT249" s="12" t="n"/>
      <c r="BU249" s="12" t="n"/>
      <c r="BV249" s="12" t="n"/>
      <c r="BW249" s="12" t="n"/>
      <c r="BX249" s="12" t="n"/>
      <c r="BY249" s="12" t="n"/>
      <c r="BZ249" s="12" t="n"/>
      <c r="CA249" s="12" t="n"/>
      <c r="CB249" s="12" t="n"/>
      <c r="CC249" s="12" t="n"/>
      <c r="CD249" s="12" t="n"/>
      <c r="CE249" s="12" t="n"/>
      <c r="CF249" s="12" t="n"/>
      <c r="CG249" s="12" t="n"/>
      <c r="CH249" s="12" t="n"/>
      <c r="CI249" s="12" t="n"/>
      <c r="CJ249" s="12" t="n"/>
      <c r="CK249" s="12" t="n"/>
      <c r="CL249" s="12" t="n"/>
      <c r="CM249" s="12" t="n"/>
      <c r="CN249" s="12" t="n"/>
      <c r="CO249" s="12" t="n"/>
      <c r="CP249" s="12" t="n"/>
      <c r="CQ249" s="12" t="n"/>
      <c r="CR249" s="12" t="n"/>
      <c r="CS249" s="12" t="n"/>
      <c r="CT249" s="12" t="n"/>
      <c r="CU249" s="12" t="n"/>
      <c r="CV249" s="12" t="n"/>
      <c r="CW249" s="12" t="n"/>
      <c r="CX249" s="12" t="n"/>
      <c r="CY249" s="12" t="n"/>
    </row>
    <row r="250" hidden="1" outlineLevel="1">
      <c r="C250" s="59" t="inlineStr">
        <is>
          <t>%(Var.)</t>
        </is>
      </c>
      <c r="D250" s="12" t="n"/>
      <c r="E250" s="40" t="n"/>
      <c r="F250" s="40" t="n"/>
      <c r="G250" s="40" t="n"/>
      <c r="H250" s="12" t="n"/>
      <c r="I250" s="40" t="str">
        <f>""</f>
        <v/>
      </c>
      <c r="J250" s="40" t="str">
        <f>IFERROR(IF(I249=0,"",J249/I249-1),"")</f>
        <v/>
      </c>
      <c r="K250" s="40" t="str">
        <f>IFERROR(IF(J249=0,"",K249/J249-1),"")</f>
        <v/>
      </c>
      <c r="L250" s="40" t="str">
        <f>IFERROR(IF(K249=0,"",L249/K249-1),"")</f>
        <v/>
      </c>
      <c r="M250" s="12" t="str">
        <f>IF(L249=0,"",M249/L249-1)</f>
        <v/>
      </c>
      <c r="N250" s="40" t="str">
        <f>IFERROR(IF(M249=0,"",N249/M249-1),"")</f>
        <v/>
      </c>
      <c r="O250" s="40" t="str">
        <f>IFERROR(IF(N249=0,"",O249/N249-1),"")</f>
        <v/>
      </c>
      <c r="P250" s="40" t="str">
        <f>IFERROR(IF(O249=0,"",P249/O249-1),"")</f>
        <v/>
      </c>
      <c r="Q250" s="40" t="str">
        <f>IFERROR(IF(P249=0,"",Q249/P249-1),"")</f>
        <v/>
      </c>
      <c r="R250" s="12" t="str">
        <f>IF(Q249=0,"",R249/Q249-1)</f>
        <v/>
      </c>
      <c r="S250" s="40" t="str">
        <f>IFERROR(IF(R249=0,"",S249/R249-1),"")</f>
        <v/>
      </c>
      <c r="T250" s="40" t="str">
        <f>IFERROR(IF(S249=0,"",T249/S249-1),"")</f>
        <v/>
      </c>
      <c r="U250" s="40" t="str">
        <f>IFERROR(IF(T249=0,"",U249/T249-1),"")</f>
        <v/>
      </c>
      <c r="V250" s="40" t="str">
        <f>IFERROR(IF(U249=0,"",V249/U249-1),"")</f>
        <v/>
      </c>
      <c r="W250" s="12" t="str">
        <f>IF(V249=0,"",W249/V249-1)</f>
        <v/>
      </c>
      <c r="X250" s="40" t="str">
        <f>IFERROR(IF(W249=0,"",X249/W249-1),"")</f>
        <v/>
      </c>
      <c r="Y250" s="40" t="str">
        <f>IFERROR(IF(X249=0,"",Y249/X249-1),"")</f>
        <v/>
      </c>
      <c r="Z250" s="40" t="str">
        <f>IFERROR(IF(Y249=0,"",Z249/Y249-1),"")</f>
        <v/>
      </c>
      <c r="AA250" s="40" t="str">
        <f>IFERROR(IF(Z249=0,"",AA249/Z249-1),"")</f>
        <v/>
      </c>
      <c r="AB250" s="12" t="str">
        <f>IF(AA249=0,"",AB249/AA249-1)</f>
        <v/>
      </c>
      <c r="AC250" s="40" t="str">
        <f>IFERROR(IF(AB249=0,"",AC249/AB249-1),"")</f>
        <v/>
      </c>
      <c r="AD250" s="40" t="str">
        <f>IFERROR(IF(AC249=0,"",AD249/AC249-1),"")</f>
        <v/>
      </c>
      <c r="AE250" s="40" t="str">
        <f>IFERROR(IF(AD249=0,"",AE249/AD249-1),"")</f>
        <v/>
      </c>
      <c r="AF250" s="41" t="str">
        <f>IFERROR(IF(AE249=0,"",AF249/AE249-1),"")</f>
        <v/>
      </c>
      <c r="AG250" s="12" t="str">
        <f>IF(AF249=0,"",AG249/AF249-1)</f>
        <v/>
      </c>
      <c r="AH250" s="11" t="str">
        <f>IFERROR(IF(AG249=0,"",AH249/AG249-1),"")</f>
        <v/>
      </c>
      <c r="AI250" s="11" t="str">
        <f>IFERROR(IF(AH249=0,"",AI249/AH249-1),"")</f>
        <v/>
      </c>
      <c r="AJ250" s="11" t="str">
        <f>IFERROR(IF(AI249=0,"",AJ249/AI249-1),"")</f>
        <v/>
      </c>
      <c r="AK250" s="11" t="str">
        <f>IFERROR(IF(AJ249=0,"",AK249/AJ249-1),"")</f>
        <v/>
      </c>
      <c r="AL250" s="12" t="str">
        <f>IFERROR(IF(AK249=0,"",AL249/AK249-1),"")</f>
        <v/>
      </c>
      <c r="AM250" s="11" t="str">
        <f>IFERROR(IF(AL249=0,"",AM249/AL249-1),"")</f>
        <v/>
      </c>
      <c r="AN250" s="11" t="str">
        <f>IFERROR(IF(AM249=0,"",AN249/AM249-1),"")</f>
        <v/>
      </c>
      <c r="AO250" s="11" t="str">
        <f>IFERROR(IF(AN249=0,"",AO249/AN249-1),"")</f>
        <v/>
      </c>
      <c r="AP250" s="11" t="str">
        <f>IFERROR(IF(AO249=0,"",AP249/AO249-1),"")</f>
        <v/>
      </c>
      <c r="AQ250" s="12" t="str">
        <f>IFERROR(IF(AP249=0,"",AQ249/AP249-1),"")</f>
        <v/>
      </c>
      <c r="AR250" s="11" t="str">
        <f>IFERROR(IF(AQ249=0,"",AR249/AQ249-1),"")</f>
        <v/>
      </c>
      <c r="AS250" s="11" t="str">
        <f>IFERROR(IF(AR249=0,"",AS249/AR249-1),"")</f>
        <v/>
      </c>
      <c r="AT250" s="11" t="str">
        <f>IFERROR(IF(AS249=0,"",AT249/AS249-1),"")</f>
        <v/>
      </c>
      <c r="AU250" s="11" t="str">
        <f>IFERROR(IF(AT249=0,"",AU249/AT249-1),"")</f>
        <v/>
      </c>
      <c r="AV250" s="12" t="str">
        <f>IFERROR(IF(AU249=0,"",AV249/AU249-1),"")</f>
        <v/>
      </c>
      <c r="AW250" s="11" t="str">
        <f>IFERROR(IF(AV249=0,"",AW249/AV249-1),"")</f>
        <v/>
      </c>
      <c r="AX250" s="11" t="str">
        <f>IFERROR(IF(AW249=0,"",AX249/AW249-1),"")</f>
        <v/>
      </c>
      <c r="AY250" s="11" t="str">
        <f>IFERROR(IF(AX249=0,"",AY249/AX249-1),"")</f>
        <v/>
      </c>
      <c r="AZ250" s="11" t="str">
        <f>IFERROR(IF(AY249=0,"",AZ249/AY249-1),"")</f>
        <v/>
      </c>
      <c r="BA250" s="12" t="str">
        <f>IFERROR(IF(AZ249=0,"",BA249/AZ249-1),"")</f>
        <v/>
      </c>
      <c r="BB250" s="11" t="str">
        <f>IFERROR(IF(BA249=0,"",BB249/BA249-1),"")</f>
        <v/>
      </c>
      <c r="BC250" s="11" t="str">
        <f>IFERROR(IF(BB249=0,"",BC249/BB249-1),"")</f>
        <v/>
      </c>
      <c r="BD250" s="11" t="str">
        <f>IFERROR(IF(BC249=0,"",BD249/BC249-1),"")</f>
        <v/>
      </c>
      <c r="BE250" s="11" t="str">
        <f>IFERROR(IF(BD249=0,"",BE249/BD249-1),"")</f>
        <v/>
      </c>
      <c r="BF250" s="12" t="str">
        <f>IFERROR(IF(BE249=0,"",BF249/BE249-1),"")</f>
        <v/>
      </c>
      <c r="BG250" s="11" t="n"/>
      <c r="BH250" s="11" t="n"/>
      <c r="BI250" s="11" t="n"/>
      <c r="BJ250" s="11" t="n"/>
      <c r="BK250" s="12" t="n"/>
      <c r="BL250" s="11" t="n"/>
      <c r="BM250" s="11" t="n"/>
      <c r="BN250" s="11" t="n"/>
      <c r="BO250" s="11" t="n"/>
      <c r="BP250" s="12" t="n"/>
      <c r="BQ250" s="11" t="n"/>
      <c r="BR250" s="11" t="n"/>
      <c r="BS250" s="11" t="n"/>
      <c r="BT250" s="11" t="n"/>
      <c r="BU250" s="12" t="n"/>
      <c r="BV250" s="11" t="n"/>
      <c r="BW250" s="11" t="n"/>
      <c r="BX250" s="11" t="n"/>
      <c r="BY250" s="11" t="n"/>
      <c r="BZ250" s="12" t="n"/>
      <c r="CA250" s="11" t="n"/>
      <c r="CB250" s="11" t="n"/>
      <c r="CC250" s="11" t="n"/>
      <c r="CD250" s="11" t="n"/>
      <c r="CE250" s="12" t="n"/>
      <c r="CF250" s="11" t="n"/>
      <c r="CG250" s="11" t="n"/>
      <c r="CH250" s="11" t="n"/>
      <c r="CI250" s="11" t="n"/>
      <c r="CJ250" s="12" t="n"/>
      <c r="CK250" s="11" t="n"/>
      <c r="CL250" s="11" t="n"/>
      <c r="CM250" s="11" t="n"/>
      <c r="CN250" s="11" t="n"/>
      <c r="CO250" s="12" t="n"/>
      <c r="CP250" s="11" t="n"/>
      <c r="CQ250" s="11" t="n"/>
      <c r="CR250" s="11" t="n"/>
      <c r="CS250" s="11" t="n"/>
      <c r="CT250" s="12" t="n"/>
      <c r="CU250" s="11" t="n"/>
      <c r="CV250" s="11" t="n"/>
      <c r="CW250" s="11" t="n"/>
      <c r="CX250" s="11" t="n"/>
      <c r="CY250" s="12" t="n"/>
    </row>
    <row r="251" hidden="1" outlineLevel="1">
      <c r="C251" s="57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2" t="n"/>
      <c r="AK251" s="12" t="n"/>
      <c r="AL251" s="12" t="n"/>
      <c r="AM251" s="12" t="n"/>
      <c r="AN251" s="12" t="n"/>
      <c r="AO251" s="12" t="n"/>
      <c r="AP251" s="12" t="n"/>
      <c r="AQ251" s="12" t="n"/>
      <c r="AR251" s="12" t="n"/>
      <c r="AS251" s="12" t="n"/>
      <c r="AT251" s="12" t="n"/>
      <c r="AU251" s="12" t="n"/>
      <c r="AV251" s="12" t="n"/>
      <c r="AW251" s="12" t="n"/>
      <c r="AX251" s="12" t="n"/>
      <c r="AY251" s="12" t="n"/>
      <c r="AZ251" s="12" t="n"/>
      <c r="BA251" s="12" t="n"/>
      <c r="BB251" s="12" t="n"/>
      <c r="BC251" s="12" t="n"/>
      <c r="BD251" s="12" t="n"/>
      <c r="BE251" s="12" t="n"/>
      <c r="BF251" s="12" t="n"/>
      <c r="BG251" s="12" t="n"/>
      <c r="BH251" s="12" t="n"/>
      <c r="BI251" s="12" t="n"/>
      <c r="BJ251" s="12" t="n"/>
      <c r="BK251" s="12" t="n"/>
      <c r="BL251" s="12" t="n"/>
      <c r="BM251" s="12" t="n"/>
      <c r="BN251" s="12" t="n"/>
      <c r="BO251" s="12" t="n"/>
      <c r="BP251" s="12" t="n"/>
      <c r="BQ251" s="12" t="n"/>
      <c r="BR251" s="12" t="n"/>
      <c r="BS251" s="12" t="n"/>
      <c r="BT251" s="12" t="n"/>
      <c r="BU251" s="12" t="n"/>
      <c r="BV251" s="12" t="n"/>
      <c r="BW251" s="12" t="n"/>
      <c r="BX251" s="12" t="n"/>
      <c r="BY251" s="12" t="n"/>
      <c r="BZ251" s="12" t="n"/>
      <c r="CA251" s="12" t="n"/>
      <c r="CB251" s="12" t="n"/>
      <c r="CC251" s="12" t="n"/>
      <c r="CD251" s="12" t="n"/>
      <c r="CE251" s="12" t="n"/>
      <c r="CF251" s="12" t="n"/>
      <c r="CG251" s="12" t="n"/>
      <c r="CH251" s="12" t="n"/>
      <c r="CI251" s="12" t="n"/>
      <c r="CJ251" s="12" t="n"/>
      <c r="CK251" s="12" t="n"/>
      <c r="CL251" s="12" t="n"/>
      <c r="CM251" s="12" t="n"/>
      <c r="CN251" s="12" t="n"/>
      <c r="CO251" s="12" t="n"/>
      <c r="CP251" s="12" t="n"/>
      <c r="CQ251" s="12" t="n"/>
      <c r="CR251" s="12" t="n"/>
      <c r="CS251" s="12" t="n"/>
      <c r="CT251" s="12" t="n"/>
      <c r="CU251" s="12" t="n"/>
      <c r="CV251" s="12" t="n"/>
      <c r="CW251" s="12" t="n"/>
      <c r="CX251" s="12" t="n"/>
      <c r="CY251" s="12" t="n"/>
    </row>
    <row r="252" collapsed="1">
      <c r="C252" s="14" t="inlineStr">
        <is>
          <t>Convertible debt</t>
        </is>
      </c>
      <c r="D252" s="46" t="n"/>
      <c r="E252" s="46" t="n"/>
      <c r="F252" s="46" t="n"/>
      <c r="G252" s="46" t="n"/>
      <c r="H252" s="12" t="n"/>
      <c r="I252" s="46">
        <f>'Inputs (2)'!D37</f>
        <v>0</v>
      </c>
      <c r="J252" s="46">
        <f>'Inputs (2)'!E37</f>
        <v>0</v>
      </c>
      <c r="K252" s="46">
        <f>'Inputs (2)'!F37</f>
        <v>0</v>
      </c>
      <c r="L252" s="46">
        <f>'Inputs (2)'!G37</f>
        <v>0</v>
      </c>
      <c r="M252" s="12">
        <f>'Inputs (2)'!H37</f>
        <v>0</v>
      </c>
      <c r="N252" s="46">
        <f>'Inputs (2)'!I37</f>
        <v>0</v>
      </c>
      <c r="O252" s="46">
        <f>'Inputs (2)'!J37</f>
        <v>0</v>
      </c>
      <c r="P252" s="46">
        <f>'Inputs (2)'!K37</f>
        <v>0</v>
      </c>
      <c r="Q252" s="46">
        <f>'Inputs (2)'!L37</f>
        <v>0</v>
      </c>
      <c r="R252" s="12">
        <f>'Inputs (2)'!M37</f>
        <v>0</v>
      </c>
      <c r="S252" s="46">
        <f>'Inputs (2)'!N37</f>
        <v>0</v>
      </c>
      <c r="T252" s="46">
        <f>'Inputs (2)'!O37</f>
        <v>0</v>
      </c>
      <c r="U252" s="46">
        <f>'Inputs (2)'!P37</f>
        <v>0</v>
      </c>
      <c r="V252" s="46">
        <f>'Inputs (2)'!Q37</f>
        <v>0</v>
      </c>
      <c r="W252" s="12">
        <f>'Inputs (2)'!R37</f>
        <v>0</v>
      </c>
      <c r="X252" s="46">
        <f>'Inputs (2)'!S37</f>
        <v>0</v>
      </c>
      <c r="Y252" s="46">
        <f>'Inputs (2)'!T37</f>
        <v>0</v>
      </c>
      <c r="Z252" s="46">
        <f>'Inputs (2)'!U37</f>
        <v>0</v>
      </c>
      <c r="AA252" s="46">
        <f>'Inputs (2)'!V37</f>
        <v>0</v>
      </c>
      <c r="AB252" s="12">
        <f>'Inputs (2)'!W37</f>
        <v>0</v>
      </c>
      <c r="AC252" s="46">
        <f>'Inputs (2)'!X37</f>
        <v>0</v>
      </c>
      <c r="AD252" s="46">
        <f>'Inputs (2)'!Y37</f>
        <v>0</v>
      </c>
      <c r="AE252" s="46">
        <f>'Inputs (2)'!Z37</f>
        <v>0</v>
      </c>
      <c r="AF252" s="46">
        <f>'Inputs (2)'!AA37</f>
        <v>0</v>
      </c>
      <c r="AG252" s="12">
        <f>'Inputs (2)'!AB37</f>
        <v>0</v>
      </c>
      <c r="AH252" s="12">
        <f>'Inputs (2)'!AC37</f>
        <v>0</v>
      </c>
      <c r="AI252" s="12">
        <f>'Inputs (2)'!AD37</f>
        <v>0</v>
      </c>
      <c r="AJ252" s="12">
        <f>AI252</f>
        <v>0</v>
      </c>
      <c r="AK252" s="12">
        <f>AJ252</f>
        <v>0</v>
      </c>
      <c r="AL252" s="12">
        <f>AK252</f>
        <v>0</v>
      </c>
      <c r="AM252" s="12">
        <f>AL252</f>
        <v>0</v>
      </c>
      <c r="AN252" s="12">
        <f>AM252</f>
        <v>0</v>
      </c>
      <c r="AO252" s="12">
        <f>AN252</f>
        <v>0</v>
      </c>
      <c r="AP252" s="12">
        <f>AO252</f>
        <v>0</v>
      </c>
      <c r="AQ252" s="12">
        <f>AP252</f>
        <v>0</v>
      </c>
      <c r="AR252" s="12">
        <f>AQ252</f>
        <v>0</v>
      </c>
      <c r="AS252" s="12">
        <f>AR252</f>
        <v>0</v>
      </c>
      <c r="AT252" s="12">
        <f>AS252</f>
        <v>0</v>
      </c>
      <c r="AU252" s="12">
        <f>AT252</f>
        <v>0</v>
      </c>
      <c r="AV252" s="12">
        <f>AU252</f>
        <v>0</v>
      </c>
      <c r="AW252" s="12">
        <f>AV252</f>
        <v>0</v>
      </c>
      <c r="AX252" s="12">
        <f>AW252</f>
        <v>0</v>
      </c>
      <c r="AY252" s="12">
        <f>AX252</f>
        <v>0</v>
      </c>
      <c r="AZ252" s="12">
        <f>AY252</f>
        <v>0</v>
      </c>
      <c r="BA252" s="12">
        <f>AZ252</f>
        <v>0</v>
      </c>
      <c r="BB252" s="12">
        <f>BA252</f>
        <v>0</v>
      </c>
      <c r="BC252" s="12">
        <f>BB252</f>
        <v>0</v>
      </c>
      <c r="BD252" s="12">
        <f>BC252</f>
        <v>0</v>
      </c>
      <c r="BE252" s="12">
        <f>BD252</f>
        <v>0</v>
      </c>
      <c r="BF252" s="12">
        <f>BE252</f>
        <v>0</v>
      </c>
      <c r="BG252" s="12" t="n"/>
      <c r="BH252" s="12" t="n"/>
      <c r="BI252" s="12" t="n"/>
      <c r="BJ252" s="12" t="n"/>
      <c r="BK252" s="12" t="n"/>
      <c r="BL252" s="12" t="n"/>
      <c r="BM252" s="12" t="n"/>
      <c r="BN252" s="12" t="n"/>
      <c r="BO252" s="12" t="n"/>
      <c r="BP252" s="12" t="n"/>
      <c r="BQ252" s="12" t="n"/>
      <c r="BR252" s="12" t="n"/>
      <c r="BS252" s="12" t="n"/>
      <c r="BT252" s="12" t="n"/>
      <c r="BU252" s="12" t="n"/>
      <c r="BV252" s="12" t="n"/>
      <c r="BW252" s="12" t="n"/>
      <c r="BX252" s="12" t="n"/>
      <c r="BY252" s="12" t="n"/>
      <c r="BZ252" s="12" t="n"/>
      <c r="CA252" s="12" t="n"/>
      <c r="CB252" s="12" t="n"/>
      <c r="CC252" s="12" t="n"/>
      <c r="CD252" s="12" t="n"/>
      <c r="CE252" s="12" t="n"/>
      <c r="CF252" s="12" t="n"/>
      <c r="CG252" s="12" t="n"/>
      <c r="CH252" s="12" t="n"/>
      <c r="CI252" s="12" t="n"/>
      <c r="CJ252" s="12" t="n"/>
      <c r="CK252" s="12" t="n"/>
      <c r="CL252" s="12" t="n"/>
      <c r="CM252" s="12" t="n"/>
      <c r="CN252" s="12" t="n"/>
      <c r="CO252" s="12" t="n"/>
      <c r="CP252" s="12" t="n"/>
      <c r="CQ252" s="12" t="n"/>
      <c r="CR252" s="12" t="n"/>
      <c r="CS252" s="12" t="n"/>
      <c r="CT252" s="12" t="n"/>
      <c r="CU252" s="12" t="n"/>
      <c r="CV252" s="12" t="n"/>
      <c r="CW252" s="12" t="n"/>
      <c r="CX252" s="12" t="n"/>
      <c r="CY252" s="12" t="n"/>
    </row>
    <row r="253">
      <c r="C253" s="14" t="inlineStr">
        <is>
          <t>Deferred income taxes</t>
        </is>
      </c>
      <c r="D253" s="46" t="n"/>
      <c r="E253" s="46" t="n"/>
      <c r="F253" s="46" t="n"/>
      <c r="G253" s="46" t="n"/>
      <c r="H253" s="12" t="n"/>
      <c r="I253" s="46">
        <f>'Inputs (2)'!D38</f>
        <v>27.746</v>
      </c>
      <c r="J253" s="46">
        <f>'Inputs (2)'!E38</f>
        <v>32.242</v>
      </c>
      <c r="K253" s="46">
        <f>'Inputs (2)'!F38</f>
        <v>33.256</v>
      </c>
      <c r="L253" s="46">
        <f>'Inputs (2)'!G38</f>
        <v>32.69</v>
      </c>
      <c r="M253" s="12">
        <f>'Inputs (2)'!H38</f>
        <v>32.69</v>
      </c>
      <c r="N253" s="46">
        <f>'Inputs (2)'!I38</f>
        <v>38.11</v>
      </c>
      <c r="O253" s="46">
        <f>'Inputs (2)'!J38</f>
        <v>42.818</v>
      </c>
      <c r="P253" s="46">
        <f>'Inputs (2)'!K38</f>
        <v>46.246</v>
      </c>
      <c r="Q253" s="46">
        <f>'Inputs (2)'!L38</f>
        <v>46.095</v>
      </c>
      <c r="R253" s="12">
        <f>'Inputs (2)'!M38</f>
        <v>46.095</v>
      </c>
      <c r="S253" s="46">
        <f>'Inputs (2)'!N38</f>
        <v>49.482</v>
      </c>
      <c r="T253" s="46">
        <f>'Inputs (2)'!O38</f>
        <v>54.275</v>
      </c>
      <c r="U253" s="46">
        <f>'Inputs (2)'!P38</f>
        <v>55.941</v>
      </c>
      <c r="V253" s="46">
        <f>'Inputs (2)'!Q38</f>
        <v>55.673</v>
      </c>
      <c r="W253" s="12">
        <f>'Inputs (2)'!R38</f>
        <v>55.673</v>
      </c>
      <c r="X253" s="46">
        <f>'Inputs (2)'!S38</f>
        <v>61.751</v>
      </c>
      <c r="Y253" s="46">
        <f>'Inputs (2)'!T38</f>
        <v>61.162</v>
      </c>
      <c r="Z253" s="46">
        <f>'Inputs (2)'!U38</f>
        <v>62.667</v>
      </c>
      <c r="AA253" s="46">
        <f>'Inputs (2)'!V38</f>
        <v>58.007</v>
      </c>
      <c r="AB253" s="12">
        <f>'Inputs (2)'!W38</f>
        <v>58.007</v>
      </c>
      <c r="AC253" s="46">
        <f>'Inputs (2)'!X38</f>
        <v>76.117</v>
      </c>
      <c r="AD253" s="46">
        <f>'Inputs (2)'!Y38</f>
        <v>82.147</v>
      </c>
      <c r="AE253" s="46">
        <f>'Inputs (2)'!Z38</f>
        <v>81.604</v>
      </c>
      <c r="AF253" s="46">
        <f>'Inputs (2)'!AA38</f>
        <v>81.321</v>
      </c>
      <c r="AG253" s="12">
        <f>'Inputs (2)'!AB38</f>
        <v>81.321</v>
      </c>
      <c r="AH253" s="12">
        <f>'Inputs (2)'!AC38</f>
        <v>89.549</v>
      </c>
      <c r="AI253" s="12">
        <f>'Inputs (2)'!AD38</f>
        <v>95.822</v>
      </c>
      <c r="AJ253" s="12">
        <f>AI253</f>
        <v>95.822</v>
      </c>
      <c r="AK253" s="12">
        <f>AJ253</f>
        <v>95.822</v>
      </c>
      <c r="AL253" s="12">
        <f>AK253</f>
        <v>95.822</v>
      </c>
      <c r="AM253" s="12">
        <f>AL253</f>
        <v>95.822</v>
      </c>
      <c r="AN253" s="12">
        <f>AM253</f>
        <v>95.822</v>
      </c>
      <c r="AO253" s="12">
        <f>AN253</f>
        <v>95.822</v>
      </c>
      <c r="AP253" s="12">
        <f>AO253</f>
        <v>95.822</v>
      </c>
      <c r="AQ253" s="12">
        <f>AP253</f>
        <v>95.822</v>
      </c>
      <c r="AR253" s="12">
        <f>AQ253</f>
        <v>95.822</v>
      </c>
      <c r="AS253" s="12">
        <f>AR253</f>
        <v>95.822</v>
      </c>
      <c r="AT253" s="12">
        <f>AS253</f>
        <v>95.822</v>
      </c>
      <c r="AU253" s="12">
        <f>AT253</f>
        <v>95.822</v>
      </c>
      <c r="AV253" s="12">
        <f>AU253</f>
        <v>95.822</v>
      </c>
      <c r="AW253" s="12">
        <f>AV253</f>
        <v>95.822</v>
      </c>
      <c r="AX253" s="12">
        <f>AW253</f>
        <v>95.822</v>
      </c>
      <c r="AY253" s="12">
        <f>AX253</f>
        <v>95.822</v>
      </c>
      <c r="AZ253" s="12">
        <f>AY253</f>
        <v>95.822</v>
      </c>
      <c r="BA253" s="12">
        <f>AZ253</f>
        <v>95.822</v>
      </c>
      <c r="BB253" s="12">
        <f>BA253</f>
        <v>95.822</v>
      </c>
      <c r="BC253" s="12">
        <f>BB253</f>
        <v>95.822</v>
      </c>
      <c r="BD253" s="12">
        <f>BC253</f>
        <v>95.822</v>
      </c>
      <c r="BE253" s="12">
        <f>BD253</f>
        <v>95.822</v>
      </c>
      <c r="BF253" s="12">
        <f>BE253</f>
        <v>95.822</v>
      </c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</row>
    <row r="254">
      <c r="C254" s="14" t="inlineStr">
        <is>
          <t>Other non-current liabilities</t>
        </is>
      </c>
      <c r="D254" s="46" t="n"/>
      <c r="E254" s="46" t="n"/>
      <c r="F254" s="46" t="n"/>
      <c r="G254" s="46" t="n"/>
      <c r="H254" s="12" t="n"/>
      <c r="I254" s="46">
        <f>'Inputs (2)'!D39</f>
        <v>289.58</v>
      </c>
      <c r="J254" s="46">
        <f>'Inputs (2)'!E39</f>
        <v>240.258</v>
      </c>
      <c r="K254" s="46">
        <f>'Inputs (2)'!F39</f>
        <v>318.042</v>
      </c>
      <c r="L254" s="46">
        <f>'Inputs (2)'!G39</f>
        <v>397.844</v>
      </c>
      <c r="M254" s="12">
        <f>'Inputs (2)'!H39</f>
        <v>397.844</v>
      </c>
      <c r="N254" s="46">
        <f>'Inputs (2)'!I39</f>
        <v>392.31</v>
      </c>
      <c r="O254" s="46">
        <f>'Inputs (2)'!J39</f>
        <v>381.787</v>
      </c>
      <c r="P254" s="46">
        <f>'Inputs (2)'!K39</f>
        <v>466.870718609</v>
      </c>
      <c r="Q254" s="46">
        <f>'Inputs (2)'!L39</f>
        <v>460.873</v>
      </c>
      <c r="R254" s="12">
        <f>'Inputs (2)'!M39</f>
        <v>460.873</v>
      </c>
      <c r="S254" s="46">
        <f>'Inputs (2)'!N39</f>
        <v>600.815</v>
      </c>
      <c r="T254" s="46">
        <f>'Inputs (2)'!O39</f>
        <v>545.419</v>
      </c>
      <c r="U254" s="46">
        <f>'Inputs (2)'!P39</f>
        <v>550.163</v>
      </c>
      <c r="V254" s="46">
        <f>'Inputs (2)'!Q39</f>
        <v>474.925</v>
      </c>
      <c r="W254" s="12">
        <f>'Inputs (2)'!R39</f>
        <v>474.925</v>
      </c>
      <c r="X254" s="46">
        <f>'Inputs (2)'!S39</f>
        <v>557.066</v>
      </c>
      <c r="Y254" s="46">
        <f>'Inputs (2)'!T39</f>
        <v>554.32</v>
      </c>
      <c r="Z254" s="46">
        <f>'Inputs (2)'!U39</f>
        <v>517.875</v>
      </c>
      <c r="AA254" s="46">
        <f>'Inputs (2)'!V39</f>
        <v>951.601</v>
      </c>
      <c r="AB254" s="12">
        <f>'Inputs (2)'!W39</f>
        <v>951.601</v>
      </c>
      <c r="AC254" s="46">
        <f>'Inputs (2)'!X39</f>
        <v>948.208</v>
      </c>
      <c r="AD254" s="46">
        <f>'Inputs (2)'!Y39</f>
        <v>956.747</v>
      </c>
      <c r="AE254" s="46">
        <f>'Inputs (2)'!Z39</f>
        <v>1039.125</v>
      </c>
      <c r="AF254" s="46">
        <f>'Inputs (2)'!AA39</f>
        <v>1002.438</v>
      </c>
      <c r="AG254" s="12">
        <f>'Inputs (2)'!AB39</f>
        <v>1002.438</v>
      </c>
      <c r="AH254" s="12">
        <f>'Inputs (2)'!AC39</f>
        <v>1151.572</v>
      </c>
      <c r="AI254" s="12">
        <f>'Inputs (2)'!AD39</f>
        <v>1086.601</v>
      </c>
      <c r="AJ254" s="12">
        <f>AI254</f>
        <v>1086.601</v>
      </c>
      <c r="AK254" s="12">
        <f>AJ254</f>
        <v>1086.601</v>
      </c>
      <c r="AL254" s="12">
        <f>AK254</f>
        <v>1086.601</v>
      </c>
      <c r="AM254" s="12">
        <f>AL254</f>
        <v>1086.601</v>
      </c>
      <c r="AN254" s="12">
        <f>AM254</f>
        <v>1086.601</v>
      </c>
      <c r="AO254" s="12">
        <f>AN254</f>
        <v>1086.601</v>
      </c>
      <c r="AP254" s="12">
        <f>AO254</f>
        <v>1086.601</v>
      </c>
      <c r="AQ254" s="12">
        <f>AP254</f>
        <v>1086.601</v>
      </c>
      <c r="AR254" s="12">
        <f>AQ254</f>
        <v>1086.601</v>
      </c>
      <c r="AS254" s="12">
        <f>AR254</f>
        <v>1086.601</v>
      </c>
      <c r="AT254" s="12">
        <f>AS254</f>
        <v>1086.601</v>
      </c>
      <c r="AU254" s="12">
        <f>AT254</f>
        <v>1086.601</v>
      </c>
      <c r="AV254" s="12">
        <f>AU254</f>
        <v>1086.601</v>
      </c>
      <c r="AW254" s="12">
        <f>AV254</f>
        <v>1086.601</v>
      </c>
      <c r="AX254" s="12">
        <f>AW254</f>
        <v>1086.601</v>
      </c>
      <c r="AY254" s="12">
        <f>AX254</f>
        <v>1086.601</v>
      </c>
      <c r="AZ254" s="12">
        <f>AY254</f>
        <v>1086.601</v>
      </c>
      <c r="BA254" s="12">
        <f>AZ254</f>
        <v>1086.601</v>
      </c>
      <c r="BB254" s="12">
        <f>BA254</f>
        <v>1086.601</v>
      </c>
      <c r="BC254" s="12">
        <f>BB254</f>
        <v>1086.601</v>
      </c>
      <c r="BD254" s="12">
        <f>BC254</f>
        <v>1086.601</v>
      </c>
      <c r="BE254" s="12">
        <f>BD254</f>
        <v>1086.601</v>
      </c>
      <c r="BF254" s="12">
        <f>BE254</f>
        <v>1086.601</v>
      </c>
      <c r="BG254" s="12" t="n"/>
      <c r="BH254" s="12" t="n"/>
      <c r="BI254" s="12" t="n"/>
      <c r="BJ254" s="12" t="n"/>
      <c r="BK254" s="12" t="n"/>
      <c r="BL254" s="12" t="n"/>
      <c r="BM254" s="12" t="n"/>
      <c r="BN254" s="12" t="n"/>
      <c r="BO254" s="12" t="n"/>
      <c r="BP254" s="12" t="n"/>
      <c r="BQ254" s="12" t="n"/>
      <c r="BR254" s="12" t="n"/>
      <c r="BS254" s="12" t="n"/>
      <c r="BT254" s="12" t="n"/>
      <c r="BU254" s="12" t="n"/>
      <c r="BV254" s="12" t="n"/>
      <c r="BW254" s="12" t="n"/>
      <c r="BX254" s="12" t="n"/>
      <c r="BY254" s="12" t="n"/>
      <c r="BZ254" s="12" t="n"/>
      <c r="CA254" s="12" t="n"/>
      <c r="CB254" s="12" t="n"/>
      <c r="CC254" s="12" t="n"/>
      <c r="CD254" s="12" t="n"/>
      <c r="CE254" s="12" t="n"/>
      <c r="CF254" s="12" t="n"/>
      <c r="CG254" s="12" t="n"/>
      <c r="CH254" s="12" t="n"/>
      <c r="CI254" s="12" t="n"/>
      <c r="CJ254" s="12" t="n"/>
      <c r="CK254" s="12" t="n"/>
      <c r="CL254" s="12" t="n"/>
      <c r="CM254" s="12" t="n"/>
      <c r="CN254" s="12" t="n"/>
      <c r="CO254" s="12" t="n"/>
      <c r="CP254" s="12" t="n"/>
      <c r="CQ254" s="12" t="n"/>
      <c r="CR254" s="12" t="n"/>
      <c r="CS254" s="12" t="n"/>
      <c r="CT254" s="12" t="n"/>
      <c r="CU254" s="12" t="n"/>
      <c r="CV254" s="12" t="n"/>
      <c r="CW254" s="12" t="n"/>
      <c r="CX254" s="12" t="n"/>
      <c r="CY254" s="12" t="n"/>
    </row>
    <row r="255" hidden="1" outlineLevel="1" ht="12" customHeight="1">
      <c r="C255" s="59" t="inlineStr">
        <is>
          <t>%(Var.)</t>
        </is>
      </c>
      <c r="D255" s="12" t="n"/>
      <c r="E255" s="40" t="n"/>
      <c r="F255" s="40" t="n"/>
      <c r="G255" s="40" t="n"/>
      <c r="H255" s="12" t="n"/>
      <c r="I255" s="40" t="str">
        <f>""</f>
        <v/>
      </c>
      <c r="J255" s="40">
        <f>IF(I254=0,"",J254/I254-1)</f>
        <v>-0.170322536086746</v>
      </c>
      <c r="K255" s="40">
        <f>IF(J254=0,"",K254/J254-1)</f>
        <v>0.323751966635866</v>
      </c>
      <c r="L255" s="40">
        <f>IF(K254=0,"",L254/K254-1)</f>
        <v>0.250916545613473</v>
      </c>
      <c r="M255" s="12">
        <f>IF(L254=0,"",M254/L254-1)</f>
        <v>0</v>
      </c>
      <c r="N255" s="40">
        <f>IF(M254=0,"",N254/M254-1)</f>
        <v>-0.0139099747639778</v>
      </c>
      <c r="O255" s="40">
        <f>IF(N254=0,"",O254/N254-1)</f>
        <v>-0.0268231755499478</v>
      </c>
      <c r="P255" s="40">
        <f>IF(O254=0,"",P254/O254-1)</f>
        <v>0.222856510590984</v>
      </c>
      <c r="Q255" s="40">
        <f>IF(P254=0,"",Q254/P254-1)</f>
        <v>-0.0128466369166815</v>
      </c>
      <c r="R255" s="12">
        <f>IF(Q254=0,"",R254/Q254-1)</f>
        <v>0</v>
      </c>
      <c r="S255" s="40">
        <f>IF(R254=0,"",S254/R254-1)</f>
        <v>0.30364547283091</v>
      </c>
      <c r="T255" s="40">
        <f>IF(S254=0,"",T254/S254-1)</f>
        <v>-0.0922014263958124</v>
      </c>
      <c r="U255" s="40">
        <f>IF(T254=0,"",U254/T254-1)</f>
        <v>0.00869790014649285</v>
      </c>
      <c r="V255" s="40">
        <f>IF(U254=0,"",V254/U254-1)</f>
        <v>-0.136755834180052</v>
      </c>
      <c r="W255" s="12">
        <f>IF(V254=0,"",W254/V254-1)</f>
        <v>0</v>
      </c>
      <c r="X255" s="40">
        <f>IF(W254=0,"",X254/W254-1)</f>
        <v>0.172955729852082</v>
      </c>
      <c r="Y255" s="40">
        <f>IF(X254=0,"",Y254/X254-1)</f>
        <v>-0.00492939795284575</v>
      </c>
      <c r="Z255" s="40">
        <f>IF(Y254=0,"",Z254/Y254-1)</f>
        <v>-0.0657472218213308</v>
      </c>
      <c r="AA255" s="40">
        <f>IF(Z254=0,"",AA254/Z254-1)</f>
        <v>0.837510982379918</v>
      </c>
      <c r="AB255" s="12">
        <f>IF(AA254=0,"",AB254/AA254-1)</f>
        <v>0</v>
      </c>
      <c r="AC255" s="40">
        <f>IF(AB254=0,"",AC254/AB254-1)</f>
        <v>-0.00356557002357083</v>
      </c>
      <c r="AD255" s="40">
        <f>IF(AC254=0,"",AD254/AC254-1)</f>
        <v>0.00900540809611394</v>
      </c>
      <c r="AE255" s="40">
        <f>IF(AD254=0,"",AE254/AD254-1)</f>
        <v>0.0861021774826574</v>
      </c>
      <c r="AF255" s="41">
        <f>IF(AE254=0,"",AF254/AE254-1)</f>
        <v>-0.035305665824612</v>
      </c>
      <c r="AG255" s="12">
        <f>IF(AF254=0,"",AG254/AF254-1)</f>
        <v>0</v>
      </c>
      <c r="AH255" s="41">
        <f>IF(AG254=0,"",AH254/AG254-1)</f>
        <v>0.148771295581372</v>
      </c>
      <c r="AI255" s="41">
        <f>IF(AH254=0,"",AI254/AH254-1)</f>
        <v>-0.056419398873887</v>
      </c>
      <c r="AJ255" s="41">
        <f>IF(AI254=0,"",AJ254/AI254-1)</f>
        <v>0</v>
      </c>
      <c r="AK255" s="41">
        <f>IF(AJ254=0,"",AK254/AJ254-1)</f>
        <v>0</v>
      </c>
      <c r="AL255" s="12">
        <f>IF(AK254=0,"",AL254/AK254-1)</f>
        <v>0</v>
      </c>
      <c r="AM255" s="41">
        <f>IF(AL254=0,"",AM254/AL254-1)</f>
        <v>0</v>
      </c>
      <c r="AN255" s="41">
        <f>IF(AM254=0,"",AN254/AM254-1)</f>
        <v>0</v>
      </c>
      <c r="AO255" s="41">
        <f>IF(AN254=0,"",AO254/AN254-1)</f>
        <v>0</v>
      </c>
      <c r="AP255" s="41">
        <f>IF(AO254=0,"",AP254/AO254-1)</f>
        <v>0</v>
      </c>
      <c r="AQ255" s="12">
        <f>IF(AP254=0,"",AQ254/AP254-1)</f>
        <v>0</v>
      </c>
      <c r="AR255" s="41">
        <f>IF(AQ254=0,"",AR254/AQ254-1)</f>
        <v>0</v>
      </c>
      <c r="AS255" s="41">
        <f>IF(AR254=0,"",AS254/AR254-1)</f>
        <v>0</v>
      </c>
      <c r="AT255" s="41">
        <f>IF(AS254=0,"",AT254/AS254-1)</f>
        <v>0</v>
      </c>
      <c r="AU255" s="41">
        <f>IF(AT254=0,"",AU254/AT254-1)</f>
        <v>0</v>
      </c>
      <c r="AV255" s="12">
        <f>IF(AU254=0,"",AV254/AU254-1)</f>
        <v>0</v>
      </c>
      <c r="AW255" s="41">
        <f>IF(AV254=0,"",AW254/AV254-1)</f>
        <v>0</v>
      </c>
      <c r="AX255" s="41">
        <f>IF(AW254=0,"",AX254/AW254-1)</f>
        <v>0</v>
      </c>
      <c r="AY255" s="41">
        <f>IF(AX254=0,"",AY254/AX254-1)</f>
        <v>0</v>
      </c>
      <c r="AZ255" s="41">
        <f>IF(AY254=0,"",AZ254/AY254-1)</f>
        <v>0</v>
      </c>
      <c r="BA255" s="12">
        <f>IF(AZ254=0,"",BA254/AZ254-1)</f>
        <v>0</v>
      </c>
      <c r="BB255" s="41">
        <f>IF(BA254=0,"",BB254/BA254-1)</f>
        <v>0</v>
      </c>
      <c r="BC255" s="41">
        <f>IF(BB254=0,"",BC254/BB254-1)</f>
        <v>0</v>
      </c>
      <c r="BD255" s="41">
        <f>IF(BC254=0,"",BD254/BC254-1)</f>
        <v>0</v>
      </c>
      <c r="BE255" s="41">
        <f>IF(BD254=0,"",BE254/BD254-1)</f>
        <v>0</v>
      </c>
      <c r="BF255" s="12">
        <f>IF(BE254=0,"",BF254/BE254-1)</f>
        <v>0</v>
      </c>
      <c r="BG255" s="41" t="n"/>
      <c r="BH255" s="41" t="n"/>
      <c r="BI255" s="41" t="n"/>
      <c r="BJ255" s="41" t="n"/>
      <c r="BK255" s="12" t="n"/>
      <c r="BL255" s="41" t="n"/>
      <c r="BM255" s="41" t="n"/>
      <c r="BN255" s="41" t="n"/>
      <c r="BO255" s="41" t="n"/>
      <c r="BP255" s="12" t="n"/>
      <c r="BQ255" s="41" t="n"/>
      <c r="BR255" s="41" t="n"/>
      <c r="BS255" s="41" t="n"/>
      <c r="BT255" s="41" t="n"/>
      <c r="BU255" s="12" t="n"/>
      <c r="BV255" s="41" t="n"/>
      <c r="BW255" s="41" t="n"/>
      <c r="BX255" s="41" t="n"/>
      <c r="BY255" s="41" t="n"/>
      <c r="BZ255" s="12" t="n"/>
      <c r="CA255" s="41" t="n"/>
      <c r="CB255" s="41" t="n"/>
      <c r="CC255" s="41" t="n"/>
      <c r="CD255" s="41" t="n"/>
      <c r="CE255" s="12" t="n"/>
      <c r="CF255" s="41" t="n"/>
      <c r="CG255" s="41" t="n"/>
      <c r="CH255" s="41" t="n"/>
      <c r="CI255" s="41" t="n"/>
      <c r="CJ255" s="12" t="n"/>
      <c r="CK255" s="41" t="n"/>
      <c r="CL255" s="41" t="n"/>
      <c r="CM255" s="41" t="n"/>
      <c r="CN255" s="41" t="n"/>
      <c r="CO255" s="12" t="n"/>
      <c r="CP255" s="41" t="n"/>
      <c r="CQ255" s="41" t="n"/>
      <c r="CR255" s="41" t="n"/>
      <c r="CS255" s="41" t="n"/>
      <c r="CT255" s="12" t="n"/>
      <c r="CU255" s="41" t="n"/>
      <c r="CV255" s="41" t="n"/>
      <c r="CW255" s="41" t="n"/>
      <c r="CX255" s="41" t="n"/>
      <c r="CY255" s="12" t="n"/>
    </row>
    <row r="256" hidden="1" outlineLevel="1" ht="12" customHeight="1">
      <c r="C256" s="59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  <c r="AL256" s="12" t="n"/>
      <c r="AM256" s="12" t="n"/>
      <c r="AN256" s="12" t="n"/>
      <c r="AO256" s="12" t="n"/>
      <c r="AP256" s="12" t="n"/>
      <c r="AQ256" s="12" t="n"/>
      <c r="AR256" s="12" t="n"/>
      <c r="AS256" s="12" t="n"/>
      <c r="AT256" s="12" t="n"/>
      <c r="AU256" s="12" t="n"/>
      <c r="AV256" s="12" t="n"/>
      <c r="AW256" s="12" t="n"/>
      <c r="AX256" s="12" t="n"/>
      <c r="AY256" s="12" t="n"/>
      <c r="AZ256" s="12" t="n"/>
      <c r="BA256" s="12" t="n"/>
      <c r="BB256" s="12" t="n"/>
      <c r="BC256" s="12" t="n"/>
      <c r="BD256" s="12" t="n"/>
      <c r="BE256" s="12" t="n"/>
      <c r="BF256" s="12" t="n"/>
      <c r="BG256" s="12" t="n"/>
      <c r="BH256" s="12" t="n"/>
      <c r="BI256" s="12" t="n"/>
      <c r="BJ256" s="12" t="n"/>
      <c r="BK256" s="12" t="n"/>
      <c r="BL256" s="12" t="n"/>
      <c r="BM256" s="12" t="n"/>
      <c r="BN256" s="12" t="n"/>
      <c r="BO256" s="12" t="n"/>
      <c r="BP256" s="12" t="n"/>
      <c r="BQ256" s="12" t="n"/>
      <c r="BR256" s="12" t="n"/>
      <c r="BS256" s="12" t="n"/>
      <c r="BT256" s="12" t="n"/>
      <c r="BU256" s="12" t="n"/>
      <c r="BV256" s="12" t="n"/>
      <c r="BW256" s="12" t="n"/>
      <c r="BX256" s="12" t="n"/>
      <c r="BY256" s="12" t="n"/>
      <c r="BZ256" s="12" t="n"/>
      <c r="CA256" s="12" t="n"/>
      <c r="CB256" s="12" t="n"/>
      <c r="CC256" s="12" t="n"/>
      <c r="CD256" s="12" t="n"/>
      <c r="CE256" s="12" t="n"/>
      <c r="CF256" s="12" t="n"/>
      <c r="CG256" s="12" t="n"/>
      <c r="CH256" s="12" t="n"/>
      <c r="CI256" s="12" t="n"/>
      <c r="CJ256" s="12" t="n"/>
      <c r="CK256" s="12" t="n"/>
      <c r="CL256" s="12" t="n"/>
      <c r="CM256" s="12" t="n"/>
      <c r="CN256" s="12" t="n"/>
      <c r="CO256" s="12" t="n"/>
      <c r="CP256" s="12" t="n"/>
      <c r="CQ256" s="12" t="n"/>
      <c r="CR256" s="12" t="n"/>
      <c r="CS256" s="12" t="n"/>
      <c r="CT256" s="12" t="n"/>
      <c r="CU256" s="12" t="n"/>
      <c r="CV256" s="12" t="n"/>
      <c r="CW256" s="12" t="n"/>
      <c r="CX256" s="12" t="n"/>
      <c r="CY256" s="12" t="n"/>
    </row>
    <row r="257" hidden="1" outlineLevel="1">
      <c r="C257" s="57" t="inlineStr">
        <is>
          <t>Contas a pagar pela aquisição de controladas</t>
        </is>
      </c>
      <c r="D257" s="11" t="n"/>
      <c r="E257" s="11" t="n"/>
      <c r="F257" s="11" t="n"/>
      <c r="G257" s="11" t="n"/>
      <c r="H257" s="12" t="n"/>
      <c r="I257" s="11" t="n"/>
      <c r="J257" s="11" t="n"/>
      <c r="K257" s="11" t="n"/>
      <c r="L257" s="11" t="n"/>
      <c r="M257" s="12" t="n"/>
      <c r="N257" s="11" t="n"/>
      <c r="O257" s="11" t="n"/>
      <c r="P257" s="11" t="n"/>
      <c r="Q257" s="11" t="n"/>
      <c r="R257" s="12" t="n"/>
      <c r="S257" s="11" t="n"/>
      <c r="T257" s="11" t="n"/>
      <c r="U257" s="11" t="n"/>
      <c r="V257" s="11" t="n"/>
      <c r="W257" s="12" t="n"/>
      <c r="X257" s="11" t="n"/>
      <c r="Y257" s="11" t="n"/>
      <c r="Z257" s="11" t="n"/>
      <c r="AA257" s="11" t="n"/>
      <c r="AB257" s="12" t="n"/>
      <c r="AC257" s="11" t="n"/>
      <c r="AD257" s="11" t="n"/>
      <c r="AE257" s="11" t="n"/>
      <c r="AF257" s="11" t="n"/>
      <c r="AG257" s="12" t="n"/>
      <c r="AH257" s="12" t="n"/>
      <c r="AI257" s="12" t="n"/>
      <c r="AJ257" s="12" t="n"/>
      <c r="AK257" s="12" t="n"/>
      <c r="AL257" s="12" t="n"/>
      <c r="AM257" s="12" t="n"/>
      <c r="AN257" s="12" t="n"/>
      <c r="AO257" s="12" t="n"/>
      <c r="AP257" s="12" t="n"/>
      <c r="AQ257" s="12" t="n"/>
      <c r="AR257" s="12" t="n"/>
      <c r="AS257" s="12" t="n"/>
      <c r="AT257" s="12" t="n"/>
      <c r="AU257" s="12" t="n"/>
      <c r="AV257" s="12" t="n"/>
      <c r="AW257" s="12" t="n"/>
      <c r="AX257" s="12" t="n"/>
      <c r="AY257" s="12" t="n"/>
      <c r="AZ257" s="12" t="n"/>
      <c r="BA257" s="12" t="n"/>
      <c r="BB257" s="12" t="n"/>
      <c r="BC257" s="12" t="n"/>
      <c r="BD257" s="12" t="n"/>
      <c r="BE257" s="12" t="n"/>
      <c r="BF257" s="12" t="n"/>
      <c r="BG257" s="12" t="n"/>
      <c r="BH257" s="12" t="n"/>
      <c r="BI257" s="12" t="n"/>
      <c r="BJ257" s="12" t="n"/>
      <c r="BK257" s="12" t="n"/>
      <c r="BL257" s="12" t="n"/>
      <c r="BM257" s="12" t="n"/>
      <c r="BN257" s="12" t="n"/>
      <c r="BO257" s="12" t="n"/>
      <c r="BP257" s="12" t="n"/>
      <c r="BQ257" s="12" t="n"/>
      <c r="BR257" s="12" t="n"/>
      <c r="BS257" s="12" t="n"/>
      <c r="BT257" s="12" t="n"/>
      <c r="BU257" s="12" t="n"/>
      <c r="BV257" s="12" t="n"/>
      <c r="BW257" s="12" t="n"/>
      <c r="BX257" s="12" t="n"/>
      <c r="BY257" s="12" t="n"/>
      <c r="BZ257" s="12" t="n"/>
      <c r="CA257" s="12" t="n"/>
      <c r="CB257" s="12" t="n"/>
      <c r="CC257" s="12" t="n"/>
      <c r="CD257" s="12" t="n"/>
      <c r="CE257" s="12" t="n"/>
      <c r="CF257" s="12" t="n"/>
      <c r="CG257" s="12" t="n"/>
      <c r="CH257" s="12" t="n"/>
      <c r="CI257" s="12" t="n"/>
      <c r="CJ257" s="12" t="n"/>
      <c r="CK257" s="12" t="n"/>
      <c r="CL257" s="12" t="n"/>
      <c r="CM257" s="12" t="n"/>
      <c r="CN257" s="12" t="n"/>
      <c r="CO257" s="12" t="n"/>
      <c r="CP257" s="12" t="n"/>
      <c r="CQ257" s="12" t="n"/>
      <c r="CR257" s="12" t="n"/>
      <c r="CS257" s="12" t="n"/>
      <c r="CT257" s="12" t="n"/>
      <c r="CU257" s="12" t="n"/>
      <c r="CV257" s="12" t="n"/>
      <c r="CW257" s="12" t="n"/>
      <c r="CX257" s="12" t="n"/>
      <c r="CY257" s="12" t="n"/>
    </row>
    <row r="258" hidden="1" outlineLevel="1">
      <c r="C258" s="57" t="inlineStr">
        <is>
          <t xml:space="preserve">Outras Obrigações </t>
        </is>
      </c>
      <c r="D258" s="11" t="n"/>
      <c r="E258" s="11" t="n"/>
      <c r="F258" s="11" t="n"/>
      <c r="G258" s="11" t="n"/>
      <c r="H258" s="12" t="n"/>
      <c r="I258" s="11" t="n"/>
      <c r="J258" s="11" t="n"/>
      <c r="K258" s="11" t="n"/>
      <c r="L258" s="11" t="n"/>
      <c r="M258" s="12" t="n"/>
      <c r="N258" s="11" t="n"/>
      <c r="O258" s="11" t="n"/>
      <c r="P258" s="11" t="n"/>
      <c r="Q258" s="11" t="n"/>
      <c r="R258" s="12" t="n"/>
      <c r="S258" s="11" t="n"/>
      <c r="T258" s="11" t="n"/>
      <c r="U258" s="11" t="n"/>
      <c r="V258" s="11" t="n"/>
      <c r="W258" s="12" t="n"/>
      <c r="X258" s="11" t="n"/>
      <c r="Y258" s="11" t="n"/>
      <c r="Z258" s="11" t="n"/>
      <c r="AA258" s="11" t="n"/>
      <c r="AB258" s="12" t="n"/>
      <c r="AC258" s="11" t="n"/>
      <c r="AD258" s="11" t="n"/>
      <c r="AE258" s="11" t="n"/>
      <c r="AF258" s="11" t="n"/>
      <c r="AG258" s="12" t="n"/>
      <c r="AH258" s="12" t="n"/>
      <c r="AI258" s="12" t="n"/>
      <c r="AJ258" s="12" t="n"/>
      <c r="AK258" s="12" t="n"/>
      <c r="AL258" s="12" t="n"/>
      <c r="AM258" s="12" t="n"/>
      <c r="AN258" s="12" t="n"/>
      <c r="AO258" s="12" t="n"/>
      <c r="AP258" s="12" t="n"/>
      <c r="AQ258" s="12" t="n"/>
      <c r="AR258" s="12" t="n"/>
      <c r="AS258" s="12" t="n"/>
      <c r="AT258" s="12" t="n"/>
      <c r="AU258" s="12" t="n"/>
      <c r="AV258" s="12" t="n"/>
      <c r="AW258" s="12" t="n"/>
      <c r="AX258" s="12" t="n"/>
      <c r="AY258" s="12" t="n"/>
      <c r="AZ258" s="12" t="n"/>
      <c r="BA258" s="12" t="n"/>
      <c r="BB258" s="12" t="n"/>
      <c r="BC258" s="12" t="n"/>
      <c r="BD258" s="12" t="n"/>
      <c r="BE258" s="12" t="n"/>
      <c r="BF258" s="12" t="n"/>
      <c r="BG258" s="12" t="n"/>
      <c r="BH258" s="12" t="n"/>
      <c r="BI258" s="12" t="n"/>
      <c r="BJ258" s="12" t="n"/>
      <c r="BK258" s="12" t="n"/>
      <c r="BL258" s="12" t="n"/>
      <c r="BM258" s="12" t="n"/>
      <c r="BN258" s="12" t="n"/>
      <c r="BO258" s="12" t="n"/>
      <c r="BP258" s="12" t="n"/>
      <c r="BQ258" s="12" t="n"/>
      <c r="BR258" s="12" t="n"/>
      <c r="BS258" s="12" t="n"/>
      <c r="BT258" s="12" t="n"/>
      <c r="BU258" s="12" t="n"/>
      <c r="BV258" s="12" t="n"/>
      <c r="BW258" s="12" t="n"/>
      <c r="BX258" s="12" t="n"/>
      <c r="BY258" s="12" t="n"/>
      <c r="BZ258" s="12" t="n"/>
      <c r="CA258" s="12" t="n"/>
      <c r="CB258" s="12" t="n"/>
      <c r="CC258" s="12" t="n"/>
      <c r="CD258" s="12" t="n"/>
      <c r="CE258" s="12" t="n"/>
      <c r="CF258" s="12" t="n"/>
      <c r="CG258" s="12" t="n"/>
      <c r="CH258" s="12" t="n"/>
      <c r="CI258" s="12" t="n"/>
      <c r="CJ258" s="12" t="n"/>
      <c r="CK258" s="12" t="n"/>
      <c r="CL258" s="12" t="n"/>
      <c r="CM258" s="12" t="n"/>
      <c r="CN258" s="12" t="n"/>
      <c r="CO258" s="12" t="n"/>
      <c r="CP258" s="12" t="n"/>
      <c r="CQ258" s="12" t="n"/>
      <c r="CR258" s="12" t="n"/>
      <c r="CS258" s="12" t="n"/>
      <c r="CT258" s="12" t="n"/>
      <c r="CU258" s="12" t="n"/>
      <c r="CV258" s="12" t="n"/>
      <c r="CW258" s="12" t="n"/>
      <c r="CX258" s="12" t="n"/>
      <c r="CY258" s="12" t="n"/>
    </row>
    <row r="259" hidden="1" outlineLevel="1">
      <c r="C259" s="57" t="inlineStr">
        <is>
          <t xml:space="preserve">Provisão de Risco Cíveis, Trabalhistas e Tributários </t>
        </is>
      </c>
      <c r="D259" s="11" t="n"/>
      <c r="E259" s="11" t="n"/>
      <c r="F259" s="11" t="n"/>
      <c r="G259" s="11" t="n"/>
      <c r="H259" s="12" t="n"/>
      <c r="I259" s="11" t="n"/>
      <c r="J259" s="11" t="n"/>
      <c r="K259" s="11" t="n"/>
      <c r="L259" s="11" t="n"/>
      <c r="M259" s="12" t="n"/>
      <c r="N259" s="11" t="n"/>
      <c r="O259" s="11" t="n"/>
      <c r="P259" s="11" t="n"/>
      <c r="Q259" s="11" t="n"/>
      <c r="R259" s="12" t="n"/>
      <c r="S259" s="11" t="n"/>
      <c r="T259" s="11" t="n"/>
      <c r="U259" s="11" t="n"/>
      <c r="V259" s="11" t="n"/>
      <c r="W259" s="12" t="n"/>
      <c r="X259" s="11" t="n"/>
      <c r="Y259" s="11" t="n"/>
      <c r="Z259" s="11" t="n"/>
      <c r="AA259" s="11" t="n"/>
      <c r="AB259" s="12" t="n"/>
      <c r="AC259" s="11" t="n"/>
      <c r="AD259" s="11" t="n"/>
      <c r="AE259" s="11" t="n"/>
      <c r="AF259" s="11" t="n"/>
      <c r="AG259" s="12" t="n"/>
      <c r="AH259" s="12" t="n"/>
      <c r="AI259" s="12" t="n"/>
      <c r="AJ259" s="12" t="n"/>
      <c r="AK259" s="12" t="n"/>
      <c r="AL259" s="12" t="n"/>
      <c r="AM259" s="12" t="n"/>
      <c r="AN259" s="12" t="n"/>
      <c r="AO259" s="12" t="n"/>
      <c r="AP259" s="12" t="n"/>
      <c r="AQ259" s="12" t="n"/>
      <c r="AR259" s="12" t="n"/>
      <c r="AS259" s="12" t="n"/>
      <c r="AT259" s="12" t="n"/>
      <c r="AU259" s="12" t="n"/>
      <c r="AV259" s="12" t="n"/>
      <c r="AW259" s="12" t="n"/>
      <c r="AX259" s="12" t="n"/>
      <c r="AY259" s="12" t="n"/>
      <c r="AZ259" s="12" t="n"/>
      <c r="BA259" s="12" t="n"/>
      <c r="BB259" s="12" t="n"/>
      <c r="BC259" s="12" t="n"/>
      <c r="BD259" s="12" t="n"/>
      <c r="BE259" s="12" t="n"/>
      <c r="BF259" s="12" t="n"/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</row>
    <row r="260" hidden="1" outlineLevel="1">
      <c r="C260" s="57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  <c r="AL260" s="12" t="n"/>
      <c r="AM260" s="12" t="n"/>
      <c r="AN260" s="12" t="n"/>
      <c r="AO260" s="12" t="n"/>
      <c r="AP260" s="12" t="n"/>
      <c r="AQ260" s="12" t="n"/>
      <c r="AR260" s="12" t="n"/>
      <c r="AS260" s="12" t="n"/>
      <c r="AT260" s="12" t="n"/>
      <c r="AU260" s="12" t="n"/>
      <c r="AV260" s="12" t="n"/>
      <c r="AW260" s="12" t="n"/>
      <c r="AX260" s="12" t="n"/>
      <c r="AY260" s="12" t="n"/>
      <c r="AZ260" s="12" t="n"/>
      <c r="BA260" s="12" t="n"/>
      <c r="BB260" s="12" t="n"/>
      <c r="BC260" s="12" t="n"/>
      <c r="BD260" s="12" t="n"/>
      <c r="BE260" s="12" t="n"/>
      <c r="BF260" s="12" t="n"/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</row>
    <row r="261" collapsed="1" customFormat="1" s="32">
      <c r="A261" s="30" t="n"/>
      <c r="B261" s="30" t="n"/>
      <c r="C261" s="65" t="inlineStr">
        <is>
          <t>Total Liabilities</t>
        </is>
      </c>
      <c r="D261" s="35" t="n"/>
      <c r="E261" s="35" t="n"/>
      <c r="F261" s="35" t="n"/>
      <c r="G261" s="35" t="n"/>
      <c r="H261" s="35" t="n"/>
      <c r="I261" s="35">
        <f>SUM(I212+I216+I218+I219+I226+I227+I228+I231+I249+I252+I253+I254)</f>
        <v>1224.582</v>
      </c>
      <c r="J261" s="35">
        <f>SUM(J212+J216+J218+J219+J226+J227+J228+J231+J249+J252+J253+J254)</f>
        <v>1341.185</v>
      </c>
      <c r="K261" s="35">
        <f>SUM(K212+K216+K218+K219+K226+K227+K228+K231+K249+K252+K253+K254)</f>
        <v>1420.019</v>
      </c>
      <c r="L261" s="35">
        <f>SUM(L212+L216+L218+L219+L226+L227+L228+L231+L249+L252+L253+L254)</f>
        <v>1859.594</v>
      </c>
      <c r="M261" s="35">
        <f>SUM(M212,M216,M218,M219,M226,M227,M231,M228,M249,M252,M253,M254)</f>
        <v>1859.594</v>
      </c>
      <c r="N261" s="35">
        <f>SUM(N212+N216+N218+N219+N226+N227+N228+N231+N249+N252+N253+N254)</f>
        <v>2141.767</v>
      </c>
      <c r="O261" s="35">
        <f>SUM(O212+O216+O218+O219+O226+O227+O228+O231+O249+O252+O253+O254)</f>
        <v>2121.385</v>
      </c>
      <c r="P261" s="35">
        <f>SUM(P212+P216+P218+P219+P226+P227+P228+P231+P249+P252+P253+P254)</f>
        <v>1912.52</v>
      </c>
      <c r="Q261" s="35">
        <f>SUM(Q212+Q216+Q218+Q219+Q226+Q227+Q228+Q231+Q249+Q252+Q253+Q254)</f>
        <v>1920.683</v>
      </c>
      <c r="R261" s="35">
        <f>SUM(R212,R216,R218,R219,R226,R227,R231,R228,R249,R252,R253,R254)</f>
        <v>1920.683</v>
      </c>
      <c r="S261" s="35">
        <f>SUM(S212+S216+S218+S219+S226+S227+S228+S231+S249+S252+S253+S254)</f>
        <v>1764.183</v>
      </c>
      <c r="T261" s="35">
        <f>SUM(T212+T216+T218+T219+T226+T227+T228+T231+T249+T252+T253+T254)</f>
        <v>1734.163</v>
      </c>
      <c r="U261" s="35">
        <f>SUM(U212+U216+U218+U219+U226+U227+U228+U231+U249+U252+U253+U254)</f>
        <v>2094.448</v>
      </c>
      <c r="V261" s="35">
        <f>SUM(V212+V216+V218+V219+V226+V227+V228+V231+V249+V252+V253+V254)</f>
        <v>2095.043</v>
      </c>
      <c r="W261" s="35">
        <f>SUM(W212,W216,W218,W219,W226,W227,W231,W228,W249,W252,W253,W254)</f>
        <v>2095.043</v>
      </c>
      <c r="X261" s="35">
        <f>SUM(X212+X216+X218+X219+X226+X227+X228+X231+X249+X252+X253+X254)</f>
        <v>2254.035</v>
      </c>
      <c r="Y261" s="35">
        <f>SUM(Y212+Y216+Y218+Y219+Y226+Y227+Y228+Y231+Y249+Y252+Y253+Y254)</f>
        <v>2930.701</v>
      </c>
      <c r="Z261" s="35">
        <f>SUM(Z212+Z216+Z218+Z219+Z226+Z227+Z228+Z231+Z249+Z252+Z253+Z254)</f>
        <v>2723.972</v>
      </c>
      <c r="AA261" s="35">
        <f>SUM(AA212+AA216+AA218+AA219+AA226+AA227+AA228+AA231+AA249+AA252+AA253+AA254)</f>
        <v>3029.756</v>
      </c>
      <c r="AB261" s="35">
        <f>SUM(AB212,AB216,AB218,AB219,AB226,AB227,AB231,AB228,AB249,AB252,AB253,AB254)</f>
        <v>3029.756</v>
      </c>
      <c r="AC261" s="35">
        <f>SUM(AC212+AC216+AC218+AC219+AC226+AC227+AC228+AC231+AC249+AC252+AC253+AC254)</f>
        <v>3509.484</v>
      </c>
      <c r="AD261" s="35">
        <f>SUM(AD212+AD216+AD218+AD219+AD226+AD227+AD228+AD231+AD249+AD252+AD253+AD254)</f>
        <v>3605.67</v>
      </c>
      <c r="AE261" s="35">
        <f>SUM(AE212+AE216+AE218+AE219+AE226+AE227+AE228+AE231+AE249+AE252+AE253+AE254)</f>
        <v>3989.868</v>
      </c>
      <c r="AF261" s="35">
        <f>SUM(AF212+AF216+AF218+AF219+AF226+AF227+AF228+AF231+AF249+AF252+AF253+AF254)</f>
        <v>3992.341</v>
      </c>
      <c r="AG261" s="35">
        <f>SUM(AG212,AG216,AG218,AG219,AG226,AG227,AG231,AG228,AG249,AG252,AG253,AG254)</f>
        <v>3992.341</v>
      </c>
      <c r="AH261" s="35">
        <f>SUM(AH212+AH216+AH218+AH219+AH226+AH227+AH228+AH231+AH249+AH252+AH253+AH254)</f>
        <v>4303.517</v>
      </c>
      <c r="AI261" s="35">
        <f>SUM(AI212+AI216+AI218+AI219+AI226+AI227+AI228+AI231+AI249+AI252+AI253+AI254)</f>
        <v>4229.668</v>
      </c>
      <c r="AJ261" s="35">
        <f>SUM(AJ212+AJ216+AJ218+AJ219+AJ226+AJ227+AJ228+AJ231+AJ249+AJ252+AJ253+AJ254)</f>
        <v>4309.70039240428</v>
      </c>
      <c r="AK261" s="35">
        <f>SUM(AK212+AK216+AK218+AK219+AK226+AK227+AK228+AK231+AK249+AK252+AK253+AK254)</f>
        <v>4366.10601981034</v>
      </c>
      <c r="AL261" s="35">
        <f>SUM(AL212,AL216,AL218,AL219,AL226,AL227,AL231,AL228,AL249,AL252,AL253,AL254)</f>
        <v>4366.10601981034</v>
      </c>
      <c r="AM261" s="35">
        <f>SUM(AM212+AM216+AM218+AM219+AM226+AM227+AM228+AM231+AM249+AM252+AM253+AM254)</f>
        <v>4504.18127245358</v>
      </c>
      <c r="AN261" s="35">
        <f>SUM(AN212+AN216+AN218+AN219+AN226+AN227+AN228+AN231+AN249+AN252+AN253+AN254)</f>
        <v>4622.23464848871</v>
      </c>
      <c r="AO261" s="35">
        <f>SUM(AO212+AO216+AO218+AO219+AO226+AO227+AO228+AO231+AO249+AO252+AO253+AO254)</f>
        <v>4814.83841385873</v>
      </c>
      <c r="AP261" s="35">
        <f>SUM(AP212+AP216+AP218+AP219+AP226+AP227+AP228+AP231+AP249+AP252+AP253+AP254)</f>
        <v>5000.36682444987</v>
      </c>
      <c r="AQ261" s="35">
        <f>SUM(AQ212,AQ216,AQ218,AQ219,AQ226,AQ227,AQ231,AQ228,AQ249,AQ252,AQ253,AQ254)</f>
        <v>5000.36682444987</v>
      </c>
      <c r="AR261" s="35">
        <f>SUM(AR212+AR216+AR218+AR219+AR226+AR227+AR228+AR231+AR249+AR252+AR253+AR254)</f>
        <v>5321.79479754251</v>
      </c>
      <c r="AS261" s="35">
        <f>SUM(AS212+AS216+AS218+AS219+AS226+AS227+AS228+AS231+AS249+AS252+AS253+AS254)</f>
        <v>5680.92923730205</v>
      </c>
      <c r="AT261" s="35">
        <f>SUM(AT212+AT216+AT218+AT219+AT226+AT227+AT228+AT231+AT249+AT252+AT253+AT254)</f>
        <v>6199.62343701026</v>
      </c>
      <c r="AU261" s="35">
        <f>SUM(AU212+AU216+AU218+AU219+AU226+AU227+AU228+AU231+AU249+AU252+AU253+AU254)</f>
        <v>6797.35391053681</v>
      </c>
      <c r="AV261" s="35">
        <f>SUM(AV212,AV216,AV218,AV219,AV226,AV227,AV231,AV228,AV249,AV252,AV253,AV254)</f>
        <v>6797.35391053681</v>
      </c>
      <c r="AW261" s="35">
        <f>SUM(AW212+AW216+AW218+AW219+AW226+AW227+AW228+AW231+AW249+AW252+AW253+AW254)</f>
        <v>7695.63742042597</v>
      </c>
      <c r="AX261" s="35">
        <f>SUM(AX212+AX216+AX218+AX219+AX226+AX227+AX228+AX231+AX249+AX252+AX253+AX254)</f>
        <v>8784.06778604313</v>
      </c>
      <c r="AY261" s="35">
        <f>SUM(AY212+AY216+AY218+AY219+AY226+AY227+AY228+AY231+AY249+AY252+AY253+AY254)</f>
        <v>10302.2159647156</v>
      </c>
      <c r="AZ261" s="35">
        <f>SUM(AZ212+AZ216+AZ218+AZ219+AZ226+AZ227+AZ228+AZ231+AZ249+AZ252+AZ253+AZ254)</f>
        <v>12202.7465864625</v>
      </c>
      <c r="BA261" s="35">
        <f>SUM(BA212,BA216,BA218,BA219,BA226,BA227,BA231,BA228,BA249,BA252,BA253,BA254)</f>
        <v>12202.7465864625</v>
      </c>
      <c r="BB261" s="35">
        <f>SUM(BB212+BB216+BB218+BB219+BB226+BB227+BB228+BB231+BB249+BB252+BB253+BB254)</f>
        <v>14849.243929107</v>
      </c>
      <c r="BC261" s="35">
        <f>SUM(BC212+BC216+BC218+BC219+BC226+BC227+BC228+BC231+BC249+BC252+BC253+BC254)</f>
        <v>18233.1384813863</v>
      </c>
      <c r="BD261" s="35">
        <f>SUM(BD212+BD216+BD218+BD219+BD226+BD227+BD228+BD231+BD249+BD252+BD253+BD254)</f>
        <v>22829.3523136415</v>
      </c>
      <c r="BE261" s="35">
        <f>SUM(BE212+BE216+BE218+BE219+BE226+BE227+BE228+BE231+BE249+BE252+BE253+BE254)</f>
        <v>28785.9902674572</v>
      </c>
      <c r="BF261" s="35">
        <f>SUM(BF212,BF216,BF218,BF219,BF226,BF227,BF231,BF228,BF249,BF252,BF253,BF254)</f>
        <v>28785.9902674572</v>
      </c>
      <c r="BG261" s="35" t="n"/>
      <c r="BH261" s="35" t="n"/>
      <c r="BI261" s="35" t="n"/>
      <c r="BJ261" s="35" t="n"/>
      <c r="BK261" s="35" t="n"/>
      <c r="BL261" s="35" t="n"/>
      <c r="BM261" s="35" t="n"/>
      <c r="BN261" s="35" t="n"/>
      <c r="BO261" s="35" t="n"/>
      <c r="BP261" s="35" t="n"/>
      <c r="BQ261" s="35" t="n"/>
      <c r="BR261" s="35" t="n"/>
      <c r="BS261" s="35" t="n"/>
      <c r="BT261" s="35" t="n"/>
      <c r="BU261" s="35" t="n"/>
      <c r="BV261" s="35" t="n"/>
      <c r="BW261" s="35" t="n"/>
      <c r="BX261" s="35" t="n"/>
      <c r="BY261" s="35" t="n"/>
      <c r="BZ261" s="35" t="n"/>
      <c r="CA261" s="35" t="n"/>
      <c r="CB261" s="35" t="n"/>
      <c r="CC261" s="35" t="n"/>
      <c r="CD261" s="35" t="n"/>
      <c r="CE261" s="35" t="n"/>
      <c r="CF261" s="35" t="n"/>
      <c r="CG261" s="35" t="n"/>
      <c r="CH261" s="35" t="n"/>
      <c r="CI261" s="35" t="n"/>
      <c r="CJ261" s="35" t="n"/>
      <c r="CK261" s="35" t="n"/>
      <c r="CL261" s="35" t="n"/>
      <c r="CM261" s="35" t="n"/>
      <c r="CN261" s="35" t="n"/>
      <c r="CO261" s="35" t="n"/>
      <c r="CP261" s="35" t="n"/>
      <c r="CQ261" s="35" t="n"/>
      <c r="CR261" s="35" t="n"/>
      <c r="CS261" s="35" t="n"/>
      <c r="CT261" s="35" t="n"/>
      <c r="CU261" s="35" t="n"/>
      <c r="CV261" s="35" t="n"/>
      <c r="CW261" s="35" t="n"/>
      <c r="CX261" s="35" t="n"/>
      <c r="CY261" s="35" t="n"/>
    </row>
    <row r="262">
      <c r="C262" s="14" t="inlineStr">
        <is>
          <t>Minority interest</t>
        </is>
      </c>
      <c r="D262" s="46" t="n"/>
      <c r="E262" s="46" t="n"/>
      <c r="F262" s="46" t="n"/>
      <c r="G262" s="46" t="n"/>
      <c r="H262" s="12" t="n"/>
      <c r="I262" s="46">
        <f>'Inputs (2)'!D41</f>
        <v>154.258</v>
      </c>
      <c r="J262" s="46">
        <f>'Inputs (2)'!E41</f>
        <v>150.132</v>
      </c>
      <c r="K262" s="46">
        <f>'Inputs (2)'!F41</f>
        <v>148.534</v>
      </c>
      <c r="L262" s="46">
        <f>'Inputs (2)'!G41</f>
        <v>147.23</v>
      </c>
      <c r="M262" s="12">
        <f>'Inputs (2)'!H41</f>
        <v>147.23</v>
      </c>
      <c r="N262" s="46">
        <f>'Inputs (2)'!I41</f>
        <v>144.035</v>
      </c>
      <c r="O262" s="46">
        <f>'Inputs (2)'!J41</f>
        <v>147.818</v>
      </c>
      <c r="P262" s="46">
        <f>'Inputs (2)'!K41</f>
        <v>134.033</v>
      </c>
      <c r="Q262" s="46">
        <f>'Inputs (2)'!L41</f>
        <v>126.011</v>
      </c>
      <c r="R262" s="12">
        <f>'Inputs (2)'!M41</f>
        <v>126.011</v>
      </c>
      <c r="S262" s="46">
        <f>'Inputs (2)'!N41</f>
        <v>126.067</v>
      </c>
      <c r="T262" s="46">
        <f>'Inputs (2)'!O41</f>
        <v>137.528</v>
      </c>
      <c r="U262" s="46">
        <f>'Inputs (2)'!P41</f>
        <v>132.985</v>
      </c>
      <c r="V262" s="46">
        <f>'Inputs (2)'!Q41</f>
        <v>132.015</v>
      </c>
      <c r="W262" s="12">
        <f>'Inputs (2)'!R41</f>
        <v>132.015</v>
      </c>
      <c r="X262" s="46">
        <f>'Inputs (2)'!S41</f>
        <v>152.236</v>
      </c>
      <c r="Y262" s="46">
        <f>'Inputs (2)'!T41</f>
        <v>139.517</v>
      </c>
      <c r="Z262" s="46">
        <f>'Inputs (2)'!U41</f>
        <v>149.296</v>
      </c>
      <c r="AA262" s="46">
        <f>'Inputs (2)'!V41</f>
        <v>214.069</v>
      </c>
      <c r="AB262" s="12">
        <f>'Inputs (2)'!W41</f>
        <v>214.069</v>
      </c>
      <c r="AC262" s="46">
        <f>'Inputs (2)'!X41</f>
        <v>227.539</v>
      </c>
      <c r="AD262" s="46">
        <f>'Inputs (2)'!Y41</f>
        <v>248.326</v>
      </c>
      <c r="AE262" s="46">
        <f>'Inputs (2)'!Z41</f>
        <v>256.908</v>
      </c>
      <c r="AF262" s="46">
        <f>'Inputs (2)'!AA41</f>
        <v>280.348</v>
      </c>
      <c r="AG262" s="12">
        <f>'Inputs (2)'!AB41</f>
        <v>280.348</v>
      </c>
      <c r="AH262" s="12">
        <f>'Inputs (2)'!AC41</f>
        <v>347.397</v>
      </c>
      <c r="AI262" s="12">
        <f>'Inputs (2)'!AD41</f>
        <v>393.817</v>
      </c>
      <c r="AJ262" s="12">
        <f>AI262</f>
        <v>393.817</v>
      </c>
      <c r="AK262" s="12">
        <f>AJ262</f>
        <v>393.817</v>
      </c>
      <c r="AL262" s="12">
        <f>AK262</f>
        <v>393.817</v>
      </c>
      <c r="AM262" s="12">
        <f>AL262</f>
        <v>393.817</v>
      </c>
      <c r="AN262" s="12">
        <f>AM262</f>
        <v>393.817</v>
      </c>
      <c r="AO262" s="12">
        <f>AN262</f>
        <v>393.817</v>
      </c>
      <c r="AP262" s="12">
        <f>AO262</f>
        <v>393.817</v>
      </c>
      <c r="AQ262" s="12">
        <f>AP262</f>
        <v>393.817</v>
      </c>
      <c r="AR262" s="12">
        <f>AQ262</f>
        <v>393.817</v>
      </c>
      <c r="AS262" s="12">
        <f>AR262</f>
        <v>393.817</v>
      </c>
      <c r="AT262" s="12">
        <f>AS262</f>
        <v>393.817</v>
      </c>
      <c r="AU262" s="12">
        <f>AT262</f>
        <v>393.817</v>
      </c>
      <c r="AV262" s="12">
        <f>AU262</f>
        <v>393.817</v>
      </c>
      <c r="AW262" s="12">
        <f>AV262</f>
        <v>393.817</v>
      </c>
      <c r="AX262" s="12">
        <f>AW262</f>
        <v>393.817</v>
      </c>
      <c r="AY262" s="12">
        <f>AX262</f>
        <v>393.817</v>
      </c>
      <c r="AZ262" s="12">
        <f>AY262</f>
        <v>393.817</v>
      </c>
      <c r="BA262" s="12">
        <f>AZ262</f>
        <v>393.817</v>
      </c>
      <c r="BB262" s="12">
        <f>BA262</f>
        <v>393.817</v>
      </c>
      <c r="BC262" s="12">
        <f>BB262</f>
        <v>393.817</v>
      </c>
      <c r="BD262" s="12">
        <f>BC262</f>
        <v>393.817</v>
      </c>
      <c r="BE262" s="12">
        <f>BD262</f>
        <v>393.817</v>
      </c>
      <c r="BF262" s="12">
        <f>BE262</f>
        <v>393.817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 hidden="1" outlineLevel="1" customFormat="1" s="66">
      <c r="A263" s="37" t="n"/>
      <c r="B263" s="37" t="n"/>
      <c r="C263" s="59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42" t="n"/>
      <c r="AI263" s="42" t="n"/>
      <c r="AJ263" s="42" t="n"/>
      <c r="AK263" s="42" t="n"/>
      <c r="AL263" s="42" t="n"/>
      <c r="AM263" s="42" t="n"/>
      <c r="AN263" s="42" t="n"/>
      <c r="AO263" s="42" t="n"/>
      <c r="AP263" s="42" t="n"/>
      <c r="AQ263" s="42" t="n"/>
      <c r="AR263" s="42" t="n"/>
      <c r="AS263" s="42" t="n"/>
      <c r="AT263" s="42" t="n"/>
      <c r="AU263" s="42" t="n"/>
      <c r="AV263" s="42" t="n"/>
      <c r="AW263" s="42" t="n"/>
      <c r="AX263" s="42" t="n"/>
      <c r="AY263" s="42" t="n"/>
      <c r="AZ263" s="42" t="n"/>
      <c r="BA263" s="42" t="n"/>
      <c r="BB263" s="42" t="n"/>
      <c r="BC263" s="42" t="n"/>
      <c r="BD263" s="42" t="n"/>
      <c r="BE263" s="42" t="n"/>
      <c r="BF263" s="42" t="n"/>
      <c r="BG263" s="42" t="n"/>
      <c r="BH263" s="42" t="n"/>
      <c r="BI263" s="42" t="n"/>
      <c r="BJ263" s="42" t="n"/>
      <c r="BK263" s="42" t="n"/>
      <c r="BL263" s="42" t="n"/>
      <c r="BM263" s="42" t="n"/>
      <c r="BN263" s="42" t="n"/>
      <c r="BO263" s="42" t="n"/>
      <c r="BP263" s="42" t="n"/>
      <c r="BQ263" s="42" t="n"/>
      <c r="BR263" s="42" t="n"/>
      <c r="BS263" s="42" t="n"/>
      <c r="BT263" s="42" t="n"/>
      <c r="BU263" s="42" t="n"/>
      <c r="BV263" s="42" t="n"/>
      <c r="BW263" s="42" t="n"/>
      <c r="BX263" s="42" t="n"/>
      <c r="BY263" s="42" t="n"/>
      <c r="BZ263" s="42" t="n"/>
      <c r="CA263" s="42" t="n"/>
      <c r="CB263" s="42" t="n"/>
      <c r="CC263" s="42" t="n"/>
      <c r="CD263" s="42" t="n"/>
      <c r="CE263" s="42" t="n"/>
      <c r="CF263" s="42" t="n"/>
      <c r="CG263" s="42" t="n"/>
      <c r="CH263" s="42" t="n"/>
      <c r="CI263" s="42" t="n"/>
      <c r="CJ263" s="42" t="n"/>
      <c r="CK263" s="42" t="n"/>
      <c r="CL263" s="42" t="n"/>
      <c r="CM263" s="42" t="n"/>
      <c r="CN263" s="42" t="n"/>
      <c r="CO263" s="42" t="n"/>
      <c r="CP263" s="42" t="n"/>
      <c r="CQ263" s="42" t="n"/>
      <c r="CR263" s="42" t="n"/>
      <c r="CS263" s="42" t="n"/>
      <c r="CT263" s="42" t="n"/>
      <c r="CU263" s="42" t="n"/>
      <c r="CV263" s="42" t="n"/>
      <c r="CW263" s="42" t="n"/>
      <c r="CX263" s="42" t="n"/>
      <c r="CY263" s="42" t="n"/>
    </row>
    <row r="264" hidden="1" outlineLevel="1" customFormat="1" s="66">
      <c r="A264" s="37" t="n"/>
      <c r="B264" s="37" t="n"/>
      <c r="C264" s="57" t="inlineStr">
        <is>
          <t>Minority Interest Expense - % YoY</t>
        </is>
      </c>
      <c r="D264" s="42" t="n"/>
      <c r="E264" s="58" t="n"/>
      <c r="F264" s="42" t="n"/>
      <c r="G264" s="42" t="n"/>
      <c r="H264" s="58" t="n"/>
      <c r="I264" s="42" t="n"/>
      <c r="J264" s="58">
        <f>IF(I149=0,0,J149/I149-1)</f>
        <v>0.516695957820738</v>
      </c>
      <c r="K264" s="42" t="n"/>
      <c r="L264" s="42" t="n"/>
      <c r="M264" s="58" t="n"/>
      <c r="N264" s="58">
        <f>IF(I149=0,0,N149/I149-1)</f>
        <v>-1.27328646748682</v>
      </c>
      <c r="O264" s="58">
        <f>IF(J149=0,0,O149/J149-1)</f>
        <v>-1.08169177288528</v>
      </c>
      <c r="P264" s="58">
        <f>IF(K149=0,0,P149/K149-1)</f>
        <v>-2.02736842105263</v>
      </c>
      <c r="Q264" s="58">
        <f>IF(L149=0,0,Q149/L149-1)</f>
        <v>-0.853683148335015</v>
      </c>
      <c r="R264" s="58" t="n"/>
      <c r="S264" s="58">
        <f>IF(N149=0,0,S149/N149-1)</f>
        <v>-0.646302250803859</v>
      </c>
      <c r="T264" s="58">
        <f>IF(O149=0,0,T149/O149-1)</f>
        <v>-5.93617021276596</v>
      </c>
      <c r="U264" s="58">
        <f>IF(P149=0,0,U149/P149-1)</f>
        <v>-1.30225409836066</v>
      </c>
      <c r="V264" s="58">
        <f>IF(Q149=0,0,V149/Q149-1)</f>
        <v>-10.351724137931</v>
      </c>
      <c r="W264" s="58">
        <f>IF(R150=0,0,W150/R150-1)</f>
        <v>-0.253786041498248</v>
      </c>
      <c r="X264" s="58">
        <f>IF(S149=0,0,X149/S149-1)</f>
        <v>-12.8090909090909</v>
      </c>
      <c r="Y264" s="58">
        <f>IF(T149=0,0,Y149/T149-1)</f>
        <v>3.03304597701149</v>
      </c>
      <c r="Z264" s="58">
        <f>IF(U149=0,0,Z149/U149-1)</f>
        <v>-12.4881355932203</v>
      </c>
      <c r="AA264" s="58">
        <f>IF(V149=0,0,AA149/V149-1)</f>
        <v>-0.230088495575221</v>
      </c>
      <c r="AB264" s="58">
        <f>IF(W150=0,0,AB150/W150-1)</f>
        <v>2.53668929654774</v>
      </c>
      <c r="AC264" s="58">
        <f>IF(X149=0,0,AC149/X149-1)</f>
        <v>-0.47036181678214</v>
      </c>
      <c r="AD264" s="58">
        <f>IF(Y149=0,0,AD149/Y149-1)</f>
        <v>-0.611301674385465</v>
      </c>
      <c r="AE264" s="58">
        <f>IF(Z149=0,0,AE149/Z149-1)</f>
        <v>-0.269991147831219</v>
      </c>
      <c r="AF264" s="58">
        <f>IF(AA149=0,0,AF149/AA149-1)</f>
        <v>2.00478927203065</v>
      </c>
      <c r="AG264" s="58">
        <f>IF(AB150=0,0,AG150/AB150-1)</f>
        <v>1.15818987522718</v>
      </c>
      <c r="AH264" s="62">
        <f>IF(AC149=0,0,AH149/AC149-1)</f>
        <v>2.31686046511628</v>
      </c>
      <c r="AI264" s="62">
        <f>IF(AD149=0,0,AI149/AD149-1)</f>
        <v>-0.0706423621008322</v>
      </c>
      <c r="AJ264" s="62" t="n"/>
      <c r="AK264" s="62" t="n"/>
      <c r="AL264" s="58">
        <f>IF(AG150=0,0,AL150/AG150-1)</f>
        <v>-0.157311769759775</v>
      </c>
      <c r="AM264" s="62" t="n"/>
      <c r="AN264" s="62" t="n"/>
      <c r="AO264" s="62" t="n"/>
      <c r="AP264" s="62" t="n"/>
      <c r="AQ264" s="58">
        <f>IF(AL150=0,0,AQ150/AL150-1)</f>
        <v>-1</v>
      </c>
      <c r="AR264" s="62" t="n"/>
      <c r="AS264" s="62" t="n"/>
      <c r="AT264" s="62" t="n"/>
      <c r="AU264" s="62" t="n"/>
      <c r="AV264" s="58">
        <f>IF(AQ150=0,0,AV150/AQ150-1)</f>
        <v>0</v>
      </c>
      <c r="AW264" s="62" t="n"/>
      <c r="AX264" s="62" t="n"/>
      <c r="AY264" s="62" t="n"/>
      <c r="AZ264" s="62" t="n"/>
      <c r="BA264" s="58">
        <f>IF(AV150=0,0,BA150/AV150-1)</f>
        <v>0</v>
      </c>
      <c r="BB264" s="62" t="n"/>
      <c r="BC264" s="62" t="n"/>
      <c r="BD264" s="62" t="n"/>
      <c r="BE264" s="62" t="n"/>
      <c r="BF264" s="58">
        <f>IF(BA150=0,0,BF150/BA150-1)</f>
        <v>0</v>
      </c>
      <c r="BG264" s="62" t="n"/>
      <c r="BH264" s="62" t="n"/>
      <c r="BI264" s="62" t="n"/>
      <c r="BJ264" s="62" t="n"/>
      <c r="BK264" s="58" t="n"/>
      <c r="BL264" s="62" t="n"/>
      <c r="BM264" s="62" t="n"/>
      <c r="BN264" s="62" t="n"/>
      <c r="BO264" s="62" t="n"/>
      <c r="BP264" s="58" t="n"/>
      <c r="BQ264" s="62" t="n"/>
      <c r="BR264" s="62" t="n"/>
      <c r="BS264" s="62" t="n"/>
      <c r="BT264" s="62" t="n"/>
      <c r="BU264" s="58" t="n"/>
      <c r="BV264" s="62" t="n"/>
      <c r="BW264" s="62" t="n"/>
      <c r="BX264" s="62" t="n"/>
      <c r="BY264" s="62" t="n"/>
      <c r="BZ264" s="58" t="n"/>
      <c r="CA264" s="62" t="n"/>
      <c r="CB264" s="62" t="n"/>
      <c r="CC264" s="62" t="n"/>
      <c r="CD264" s="62" t="n"/>
      <c r="CE264" s="58" t="n"/>
      <c r="CF264" s="62" t="n"/>
      <c r="CG264" s="62" t="n"/>
      <c r="CH264" s="62" t="n"/>
      <c r="CI264" s="62" t="n"/>
      <c r="CJ264" s="58" t="n"/>
      <c r="CK264" s="62" t="n"/>
      <c r="CL264" s="62" t="n"/>
      <c r="CM264" s="62" t="n"/>
      <c r="CN264" s="62" t="n"/>
      <c r="CO264" s="58" t="n"/>
      <c r="CP264" s="62" t="n"/>
      <c r="CQ264" s="62" t="n"/>
      <c r="CR264" s="62" t="n"/>
      <c r="CS264" s="62" t="n"/>
      <c r="CT264" s="58" t="n"/>
      <c r="CU264" s="62" t="n"/>
      <c r="CV264" s="62" t="n"/>
      <c r="CW264" s="62" t="n"/>
      <c r="CX264" s="62" t="n"/>
      <c r="CY264" s="58" t="n"/>
    </row>
    <row r="265" hidden="1" outlineLevel="1" customFormat="1" s="66">
      <c r="A265" s="37" t="n"/>
      <c r="B265" s="37" t="n"/>
      <c r="C265" s="57" t="inlineStr">
        <is>
          <t>Dividends (enter as -)</t>
        </is>
      </c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62" t="n"/>
      <c r="AI265" s="62" t="n"/>
      <c r="AJ265" s="62" t="n"/>
      <c r="AK265" s="62" t="n"/>
      <c r="AL265" s="42" t="n"/>
      <c r="AM265" s="62" t="n"/>
      <c r="AN265" s="62" t="n"/>
      <c r="AO265" s="62" t="n"/>
      <c r="AP265" s="62" t="n"/>
      <c r="AQ265" s="42" t="n"/>
      <c r="AR265" s="62" t="n"/>
      <c r="AS265" s="62" t="n"/>
      <c r="AT265" s="62" t="n"/>
      <c r="AU265" s="62" t="n"/>
      <c r="AV265" s="42" t="n"/>
      <c r="AW265" s="62" t="n"/>
      <c r="AX265" s="62" t="n"/>
      <c r="AY265" s="62" t="n"/>
      <c r="AZ265" s="62" t="n"/>
      <c r="BA265" s="42" t="n"/>
      <c r="BB265" s="62" t="n"/>
      <c r="BC265" s="62" t="n"/>
      <c r="BD265" s="62" t="n"/>
      <c r="BE265" s="62" t="n"/>
      <c r="BF265" s="42" t="n"/>
      <c r="BG265" s="62" t="n"/>
      <c r="BH265" s="62" t="n"/>
      <c r="BI265" s="62" t="n"/>
      <c r="BJ265" s="62" t="n"/>
      <c r="BK265" s="42" t="n"/>
      <c r="BL265" s="62" t="n"/>
      <c r="BM265" s="62" t="n"/>
      <c r="BN265" s="62" t="n"/>
      <c r="BO265" s="62" t="n"/>
      <c r="BP265" s="42" t="n"/>
      <c r="BQ265" s="62" t="n"/>
      <c r="BR265" s="62" t="n"/>
      <c r="BS265" s="62" t="n"/>
      <c r="BT265" s="62" t="n"/>
      <c r="BU265" s="42" t="n"/>
      <c r="BV265" s="62" t="n"/>
      <c r="BW265" s="62" t="n"/>
      <c r="BX265" s="62" t="n"/>
      <c r="BY265" s="62" t="n"/>
      <c r="BZ265" s="42" t="n"/>
      <c r="CA265" s="62" t="n"/>
      <c r="CB265" s="62" t="n"/>
      <c r="CC265" s="62" t="n"/>
      <c r="CD265" s="62" t="n"/>
      <c r="CE265" s="42" t="n"/>
      <c r="CF265" s="62" t="n"/>
      <c r="CG265" s="62" t="n"/>
      <c r="CH265" s="62" t="n"/>
      <c r="CI265" s="62" t="n"/>
      <c r="CJ265" s="42" t="n"/>
      <c r="CK265" s="62" t="n"/>
      <c r="CL265" s="62" t="n"/>
      <c r="CM265" s="62" t="n"/>
      <c r="CN265" s="62" t="n"/>
      <c r="CO265" s="42" t="n"/>
      <c r="CP265" s="62" t="n"/>
      <c r="CQ265" s="62" t="n"/>
      <c r="CR265" s="62" t="n"/>
      <c r="CS265" s="62" t="n"/>
      <c r="CT265" s="42" t="n"/>
      <c r="CU265" s="62" t="n"/>
      <c r="CV265" s="62" t="n"/>
      <c r="CW265" s="62" t="n"/>
      <c r="CX265" s="62" t="n"/>
      <c r="CY265" s="42" t="n"/>
    </row>
    <row r="266" hidden="1" outlineLevel="1" customFormat="1" s="66">
      <c r="A266" s="37" t="n"/>
      <c r="B266" s="37" t="n"/>
      <c r="C266" s="59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42" t="n"/>
      <c r="AI266" s="42" t="n"/>
      <c r="AJ266" s="42" t="n"/>
      <c r="AK266" s="42" t="n"/>
      <c r="AL266" s="42" t="n"/>
      <c r="AM266" s="42" t="n"/>
      <c r="AN266" s="42" t="n"/>
      <c r="AO266" s="42" t="n"/>
      <c r="AP266" s="42" t="n"/>
      <c r="AQ266" s="42" t="n"/>
      <c r="AR266" s="42" t="n"/>
      <c r="AS266" s="42" t="n"/>
      <c r="AT266" s="42" t="n"/>
      <c r="AU266" s="42" t="n"/>
      <c r="AV266" s="42" t="n"/>
      <c r="AW266" s="42" t="n"/>
      <c r="AX266" s="42" t="n"/>
      <c r="AY266" s="42" t="n"/>
      <c r="AZ266" s="42" t="n"/>
      <c r="BA266" s="42" t="n"/>
      <c r="BB266" s="42" t="n"/>
      <c r="BC266" s="42" t="n"/>
      <c r="BD266" s="42" t="n"/>
      <c r="BE266" s="42" t="n"/>
      <c r="BF266" s="42" t="n"/>
      <c r="BG266" s="42" t="n"/>
      <c r="BH266" s="42" t="n"/>
      <c r="BI266" s="42" t="n"/>
      <c r="BJ266" s="42" t="n"/>
      <c r="BK266" s="42" t="n"/>
      <c r="BL266" s="42" t="n"/>
      <c r="BM266" s="42" t="n"/>
      <c r="BN266" s="42" t="n"/>
      <c r="BO266" s="42" t="n"/>
      <c r="BP266" s="42" t="n"/>
      <c r="BQ266" s="42" t="n"/>
      <c r="BR266" s="42" t="n"/>
      <c r="BS266" s="42" t="n"/>
      <c r="BT266" s="42" t="n"/>
      <c r="BU266" s="42" t="n"/>
      <c r="BV266" s="42" t="n"/>
      <c r="BW266" s="42" t="n"/>
      <c r="BX266" s="42" t="n"/>
      <c r="BY266" s="42" t="n"/>
      <c r="BZ266" s="42" t="n"/>
      <c r="CA266" s="42" t="n"/>
      <c r="CB266" s="42" t="n"/>
      <c r="CC266" s="42" t="n"/>
      <c r="CD266" s="42" t="n"/>
      <c r="CE266" s="42" t="n"/>
      <c r="CF266" s="42" t="n"/>
      <c r="CG266" s="42" t="n"/>
      <c r="CH266" s="42" t="n"/>
      <c r="CI266" s="42" t="n"/>
      <c r="CJ266" s="42" t="n"/>
      <c r="CK266" s="42" t="n"/>
      <c r="CL266" s="42" t="n"/>
      <c r="CM266" s="42" t="n"/>
      <c r="CN266" s="42" t="n"/>
      <c r="CO266" s="42" t="n"/>
      <c r="CP266" s="42" t="n"/>
      <c r="CQ266" s="42" t="n"/>
      <c r="CR266" s="42" t="n"/>
      <c r="CS266" s="42" t="n"/>
      <c r="CT266" s="42" t="n"/>
      <c r="CU266" s="42" t="n"/>
      <c r="CV266" s="42" t="n"/>
      <c r="CW266" s="42" t="n"/>
      <c r="CX266" s="42" t="n"/>
      <c r="CY266" s="42" t="n"/>
    </row>
    <row r="267" collapsed="1">
      <c r="C267" s="14" t="inlineStr">
        <is>
          <t>Convertible Preferred Stock</t>
        </is>
      </c>
      <c r="D267" s="46" t="n"/>
      <c r="E267" s="46" t="n"/>
      <c r="F267" s="46" t="n"/>
      <c r="G267" s="46" t="n"/>
      <c r="H267" s="12" t="n"/>
      <c r="I267" s="46">
        <f>'Inputs (2)'!D42</f>
        <v>0</v>
      </c>
      <c r="J267" s="46">
        <f>'Inputs (2)'!E42</f>
        <v>0</v>
      </c>
      <c r="K267" s="46">
        <f>'Inputs (2)'!F42</f>
        <v>0</v>
      </c>
      <c r="L267" s="46">
        <f>'Inputs (2)'!G42</f>
        <v>0</v>
      </c>
      <c r="M267" s="12">
        <f>'Inputs (2)'!H42</f>
        <v>0</v>
      </c>
      <c r="N267" s="46">
        <f>'Inputs (2)'!I42</f>
        <v>0</v>
      </c>
      <c r="O267" s="46">
        <f>'Inputs (2)'!J42</f>
        <v>0</v>
      </c>
      <c r="P267" s="46">
        <f>'Inputs (2)'!K42</f>
        <v>0</v>
      </c>
      <c r="Q267" s="46">
        <f>'Inputs (2)'!L42</f>
        <v>0</v>
      </c>
      <c r="R267" s="12">
        <f>'Inputs (2)'!M42</f>
        <v>0</v>
      </c>
      <c r="S267" s="46">
        <f>'Inputs (2)'!N42</f>
        <v>0</v>
      </c>
      <c r="T267" s="46">
        <f>'Inputs (2)'!O42</f>
        <v>0</v>
      </c>
      <c r="U267" s="46">
        <f>'Inputs (2)'!P42</f>
        <v>0</v>
      </c>
      <c r="V267" s="46">
        <f>'Inputs (2)'!Q42</f>
        <v>0</v>
      </c>
      <c r="W267" s="12">
        <f>'Inputs (2)'!R42</f>
        <v>0</v>
      </c>
      <c r="X267" s="46">
        <f>'Inputs (2)'!S42</f>
        <v>0</v>
      </c>
      <c r="Y267" s="46">
        <f>'Inputs (2)'!T42</f>
        <v>0</v>
      </c>
      <c r="Z267" s="46">
        <f>'Inputs (2)'!U42</f>
        <v>0</v>
      </c>
      <c r="AA267" s="46">
        <f>'Inputs (2)'!V42</f>
        <v>0</v>
      </c>
      <c r="AB267" s="12">
        <f>'Inputs (2)'!W42</f>
        <v>0</v>
      </c>
      <c r="AC267" s="46">
        <f>'Inputs (2)'!X42</f>
        <v>0</v>
      </c>
      <c r="AD267" s="46">
        <f>'Inputs (2)'!Y42</f>
        <v>0</v>
      </c>
      <c r="AE267" s="46">
        <f>'Inputs (2)'!Z42</f>
        <v>0</v>
      </c>
      <c r="AF267" s="46">
        <f>'Inputs (2)'!AA42</f>
        <v>0</v>
      </c>
      <c r="AG267" s="12">
        <f>'Inputs (2)'!AB42</f>
        <v>0</v>
      </c>
      <c r="AH267" s="12">
        <f>'Inputs (2)'!AC42</f>
        <v>0</v>
      </c>
      <c r="AI267" s="12">
        <f>'Inputs (2)'!AD42</f>
        <v>0</v>
      </c>
      <c r="AJ267" s="12">
        <f>AI267</f>
        <v>0</v>
      </c>
      <c r="AK267" s="12">
        <f>AJ267</f>
        <v>0</v>
      </c>
      <c r="AL267" s="12">
        <f>AK267</f>
        <v>0</v>
      </c>
      <c r="AM267" s="12">
        <f>AL267</f>
        <v>0</v>
      </c>
      <c r="AN267" s="12">
        <f>AM267</f>
        <v>0</v>
      </c>
      <c r="AO267" s="12">
        <f>AN267</f>
        <v>0</v>
      </c>
      <c r="AP267" s="12">
        <f>AO267</f>
        <v>0</v>
      </c>
      <c r="AQ267" s="12">
        <f>AP267</f>
        <v>0</v>
      </c>
      <c r="AR267" s="12">
        <f>AQ267</f>
        <v>0</v>
      </c>
      <c r="AS267" s="12">
        <f>AR267</f>
        <v>0</v>
      </c>
      <c r="AT267" s="12">
        <f>AS267</f>
        <v>0</v>
      </c>
      <c r="AU267" s="12">
        <f>AT267</f>
        <v>0</v>
      </c>
      <c r="AV267" s="12">
        <f>AU267</f>
        <v>0</v>
      </c>
      <c r="AW267" s="12">
        <f>AV267</f>
        <v>0</v>
      </c>
      <c r="AX267" s="12">
        <f>AW267</f>
        <v>0</v>
      </c>
      <c r="AY267" s="12">
        <f>AX267</f>
        <v>0</v>
      </c>
      <c r="AZ267" s="12">
        <f>AY267</f>
        <v>0</v>
      </c>
      <c r="BA267" s="12">
        <f>AZ267</f>
        <v>0</v>
      </c>
      <c r="BB267" s="12">
        <f>BA267</f>
        <v>0</v>
      </c>
      <c r="BC267" s="12">
        <f>BB267</f>
        <v>0</v>
      </c>
      <c r="BD267" s="12">
        <f>BC267</f>
        <v>0</v>
      </c>
      <c r="BE267" s="12">
        <f>BD267</f>
        <v>0</v>
      </c>
      <c r="BF267" s="12">
        <f>BE267</f>
        <v>0</v>
      </c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>
      <c r="C268" s="13" t="inlineStr">
        <is>
          <t>Common Stock and APIC</t>
        </is>
      </c>
      <c r="D268" s="46" t="n"/>
      <c r="E268" s="46" t="n"/>
      <c r="F268" s="46" t="n"/>
      <c r="G268" s="46" t="n"/>
      <c r="H268" s="12" t="n"/>
      <c r="I268" s="46">
        <f>'Inputs (2)'!D43</f>
        <v>308.652</v>
      </c>
      <c r="J268" s="46">
        <f>'Inputs (2)'!E43</f>
        <v>308.652</v>
      </c>
      <c r="K268" s="46">
        <f>'Inputs (2)'!F43</f>
        <v>308.652</v>
      </c>
      <c r="L268" s="46">
        <f>'Inputs (2)'!G43</f>
        <v>308.652</v>
      </c>
      <c r="M268" s="12">
        <f>'Inputs (2)'!H43</f>
        <v>308.652</v>
      </c>
      <c r="N268" s="46">
        <f>'Inputs (2)'!I43</f>
        <v>308.652</v>
      </c>
      <c r="O268" s="46">
        <f>'Inputs (2)'!J43</f>
        <v>308.652</v>
      </c>
      <c r="P268" s="46">
        <f>'Inputs (2)'!K43</f>
        <v>308.652</v>
      </c>
      <c r="Q268" s="46">
        <f>'Inputs (2)'!L43</f>
        <v>308.652</v>
      </c>
      <c r="R268" s="12">
        <f>'Inputs (2)'!M43</f>
        <v>308.652</v>
      </c>
      <c r="S268" s="46">
        <f>'Inputs (2)'!N43</f>
        <v>308.652</v>
      </c>
      <c r="T268" s="46">
        <f>'Inputs (2)'!O43</f>
        <v>308.652</v>
      </c>
      <c r="U268" s="46">
        <f>'Inputs (2)'!P43</f>
        <v>308.652</v>
      </c>
      <c r="V268" s="46">
        <f>'Inputs (2)'!Q43</f>
        <v>308.652</v>
      </c>
      <c r="W268" s="12">
        <f>'Inputs (2)'!R43</f>
        <v>308.652</v>
      </c>
      <c r="X268" s="46">
        <f>'Inputs (2)'!S43</f>
        <v>308.652</v>
      </c>
      <c r="Y268" s="46">
        <f>'Inputs (2)'!T43</f>
        <v>308.652</v>
      </c>
      <c r="Z268" s="46">
        <f>'Inputs (2)'!U43</f>
        <v>308.652</v>
      </c>
      <c r="AA268" s="46">
        <f>'Inputs (2)'!V43</f>
        <v>508.652</v>
      </c>
      <c r="AB268" s="12">
        <f>'Inputs (2)'!W43</f>
        <v>508.652</v>
      </c>
      <c r="AC268" s="46">
        <f>'Inputs (2)'!X43</f>
        <v>508.652</v>
      </c>
      <c r="AD268" s="46">
        <f>'Inputs (2)'!Y43</f>
        <v>555.734</v>
      </c>
      <c r="AE268" s="46">
        <f>'Inputs (2)'!Z43</f>
        <v>555.734</v>
      </c>
      <c r="AF268" s="46">
        <f>'Inputs (2)'!AA43</f>
        <v>1105.142</v>
      </c>
      <c r="AG268" s="12">
        <f>'Inputs (2)'!AB43</f>
        <v>1105.142</v>
      </c>
      <c r="AH268" s="12">
        <f>'Inputs (2)'!AC43</f>
        <v>1105.142</v>
      </c>
      <c r="AI268" s="12">
        <f>'Inputs (2)'!AD43</f>
        <v>1105.142</v>
      </c>
      <c r="AJ268" s="12">
        <f>AI268+AJ272</f>
        <v>1105.142</v>
      </c>
      <c r="AK268" s="12">
        <f>AJ268+AK272</f>
        <v>1105.142</v>
      </c>
      <c r="AL268" s="12">
        <f>AK268</f>
        <v>1105.142</v>
      </c>
      <c r="AM268" s="12">
        <f>AL268+AM272</f>
        <v>1105.142</v>
      </c>
      <c r="AN268" s="12">
        <f>AM268+AN272</f>
        <v>1105.142</v>
      </c>
      <c r="AO268" s="12">
        <f>AN268+AO272</f>
        <v>1105.142</v>
      </c>
      <c r="AP268" s="12">
        <f>AO268+AP272</f>
        <v>1105.142</v>
      </c>
      <c r="AQ268" s="12">
        <f>AP268</f>
        <v>1105.142</v>
      </c>
      <c r="AR268" s="12">
        <f>AQ268+AR272</f>
        <v>1105.142</v>
      </c>
      <c r="AS268" s="12">
        <f>AR268+AS272</f>
        <v>1105.142</v>
      </c>
      <c r="AT268" s="12">
        <f>AS268+AT272</f>
        <v>1105.142</v>
      </c>
      <c r="AU268" s="12">
        <f>AT268+AU272</f>
        <v>1105.142</v>
      </c>
      <c r="AV268" s="12">
        <f>AU268</f>
        <v>1105.142</v>
      </c>
      <c r="AW268" s="12">
        <f>AV268+AW272</f>
        <v>1105.142</v>
      </c>
      <c r="AX268" s="12">
        <f>AW268+AX272</f>
        <v>1105.142</v>
      </c>
      <c r="AY268" s="12">
        <f>AX268+AY272</f>
        <v>1105.142</v>
      </c>
      <c r="AZ268" s="12">
        <f>AY268+AZ272</f>
        <v>1105.142</v>
      </c>
      <c r="BA268" s="12">
        <f>AZ268</f>
        <v>1105.142</v>
      </c>
      <c r="BB268" s="12">
        <f>BA268+BB272</f>
        <v>1105.142</v>
      </c>
      <c r="BC268" s="12">
        <f>BB268+BC272</f>
        <v>1105.142</v>
      </c>
      <c r="BD268" s="12">
        <f>BC268+BD272</f>
        <v>1105.142</v>
      </c>
      <c r="BE268" s="12">
        <f>BD268+BE272</f>
        <v>1105.142</v>
      </c>
      <c r="BF268" s="12">
        <f>BE268</f>
        <v>1105.142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 hidden="1" outlineLevel="1" customFormat="1" s="66">
      <c r="A269" s="37" t="n"/>
      <c r="B269" s="37" t="n"/>
      <c r="C269" s="67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  <c r="AG269" s="42" t="n"/>
      <c r="AH269" s="42" t="n"/>
      <c r="AI269" s="42" t="n"/>
      <c r="AJ269" s="42" t="n"/>
      <c r="AK269" s="42" t="n"/>
      <c r="AL269" s="42" t="n"/>
      <c r="AM269" s="42" t="n"/>
      <c r="AN269" s="42" t="n"/>
      <c r="AO269" s="42" t="n"/>
      <c r="AP269" s="42" t="n"/>
      <c r="AQ269" s="42" t="n"/>
      <c r="AR269" s="42" t="n"/>
      <c r="AS269" s="42" t="n"/>
      <c r="AT269" s="42" t="n"/>
      <c r="AU269" s="42" t="n"/>
      <c r="AV269" s="42" t="n"/>
      <c r="AW269" s="42" t="n"/>
      <c r="AX269" s="42" t="n"/>
      <c r="AY269" s="42" t="n"/>
      <c r="AZ269" s="42" t="n"/>
      <c r="BA269" s="42" t="n"/>
      <c r="BB269" s="42" t="n"/>
      <c r="BC269" s="42" t="n"/>
      <c r="BD269" s="42" t="n"/>
      <c r="BE269" s="42" t="n"/>
      <c r="BF269" s="42" t="n"/>
      <c r="BG269" s="42" t="n"/>
      <c r="BH269" s="42" t="n"/>
      <c r="BI269" s="42" t="n"/>
      <c r="BJ269" s="42" t="n"/>
      <c r="BK269" s="42" t="n"/>
      <c r="BL269" s="42" t="n"/>
      <c r="BM269" s="42" t="n"/>
      <c r="BN269" s="42" t="n"/>
      <c r="BO269" s="42" t="n"/>
      <c r="BP269" s="42" t="n"/>
      <c r="BQ269" s="42" t="n"/>
      <c r="BR269" s="42" t="n"/>
      <c r="BS269" s="42" t="n"/>
      <c r="BT269" s="42" t="n"/>
      <c r="BU269" s="42" t="n"/>
      <c r="BV269" s="42" t="n"/>
      <c r="BW269" s="42" t="n"/>
      <c r="BX269" s="42" t="n"/>
      <c r="BY269" s="42" t="n"/>
      <c r="BZ269" s="42" t="n"/>
      <c r="CA269" s="42" t="n"/>
      <c r="CB269" s="42" t="n"/>
      <c r="CC269" s="42" t="n"/>
      <c r="CD269" s="42" t="n"/>
      <c r="CE269" s="42" t="n"/>
      <c r="CF269" s="42" t="n"/>
      <c r="CG269" s="42" t="n"/>
      <c r="CH269" s="42" t="n"/>
      <c r="CI269" s="42" t="n"/>
      <c r="CJ269" s="42" t="n"/>
      <c r="CK269" s="42" t="n"/>
      <c r="CL269" s="42" t="n"/>
      <c r="CM269" s="42" t="n"/>
      <c r="CN269" s="42" t="n"/>
      <c r="CO269" s="42" t="n"/>
      <c r="CP269" s="42" t="n"/>
      <c r="CQ269" s="42" t="n"/>
      <c r="CR269" s="42" t="n"/>
      <c r="CS269" s="42" t="n"/>
      <c r="CT269" s="42" t="n"/>
      <c r="CU269" s="42" t="n"/>
      <c r="CV269" s="42" t="n"/>
      <c r="CW269" s="42" t="n"/>
      <c r="CX269" s="42" t="n"/>
      <c r="CY269" s="42" t="n"/>
    </row>
    <row r="270" hidden="1" outlineLevel="1" customFormat="1" s="66">
      <c r="A270" s="37" t="n"/>
      <c r="B270" s="37" t="n"/>
      <c r="C270" s="67" t="inlineStr">
        <is>
          <t>Diluted Shares outstanding</t>
        </is>
      </c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42" t="n"/>
      <c r="AI270" s="42" t="n"/>
      <c r="AJ270" s="42" t="n"/>
      <c r="AK270" s="42" t="n"/>
      <c r="AL270" s="42" t="n"/>
      <c r="AM270" s="42" t="n"/>
      <c r="AN270" s="42" t="n"/>
      <c r="AO270" s="42" t="n"/>
      <c r="AP270" s="42" t="n"/>
      <c r="AQ270" s="42" t="n"/>
      <c r="AR270" s="42" t="n"/>
      <c r="AS270" s="42" t="n"/>
      <c r="AT270" s="42" t="n"/>
      <c r="AU270" s="42" t="n"/>
      <c r="AV270" s="42" t="n"/>
      <c r="AW270" s="42" t="n"/>
      <c r="AX270" s="42" t="n"/>
      <c r="AY270" s="42" t="n"/>
      <c r="AZ270" s="42" t="n"/>
      <c r="BA270" s="42" t="n"/>
      <c r="BB270" s="42" t="n"/>
      <c r="BC270" s="42" t="n"/>
      <c r="BD270" s="42" t="n"/>
      <c r="BE270" s="42" t="n"/>
      <c r="BF270" s="42" t="n"/>
      <c r="BG270" s="42" t="n"/>
      <c r="BH270" s="42" t="n"/>
      <c r="BI270" s="42" t="n"/>
      <c r="BJ270" s="42" t="n"/>
      <c r="BK270" s="42" t="n"/>
      <c r="BL270" s="42" t="n"/>
      <c r="BM270" s="42" t="n"/>
      <c r="BN270" s="42" t="n"/>
      <c r="BO270" s="42" t="n"/>
      <c r="BP270" s="42" t="n"/>
      <c r="BQ270" s="42" t="n"/>
      <c r="BR270" s="42" t="n"/>
      <c r="BS270" s="42" t="n"/>
      <c r="BT270" s="42" t="n"/>
      <c r="BU270" s="42" t="n"/>
      <c r="BV270" s="42" t="n"/>
      <c r="BW270" s="42" t="n"/>
      <c r="BX270" s="42" t="n"/>
      <c r="BY270" s="42" t="n"/>
      <c r="BZ270" s="42" t="n"/>
      <c r="CA270" s="42" t="n"/>
      <c r="CB270" s="42" t="n"/>
      <c r="CC270" s="42" t="n"/>
      <c r="CD270" s="42" t="n"/>
      <c r="CE270" s="42" t="n"/>
      <c r="CF270" s="42" t="n"/>
      <c r="CG270" s="42" t="n"/>
      <c r="CH270" s="42" t="n"/>
      <c r="CI270" s="42" t="n"/>
      <c r="CJ270" s="42" t="n"/>
      <c r="CK270" s="42" t="n"/>
      <c r="CL270" s="42" t="n"/>
      <c r="CM270" s="42" t="n"/>
      <c r="CN270" s="42" t="n"/>
      <c r="CO270" s="42" t="n"/>
      <c r="CP270" s="42" t="n"/>
      <c r="CQ270" s="42" t="n"/>
      <c r="CR270" s="42" t="n"/>
      <c r="CS270" s="42" t="n"/>
      <c r="CT270" s="42" t="n"/>
      <c r="CU270" s="42" t="n"/>
      <c r="CV270" s="42" t="n"/>
      <c r="CW270" s="42" t="n"/>
      <c r="CX270" s="42" t="n"/>
      <c r="CY270" s="42" t="n"/>
    </row>
    <row r="271" hidden="1" outlineLevel="1" customFormat="1" s="66">
      <c r="A271" s="37" t="n"/>
      <c r="B271" s="37" t="n"/>
      <c r="C271" s="67" t="inlineStr">
        <is>
          <t>Treasury share $ repurchases</t>
        </is>
      </c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11" t="n"/>
      <c r="AI271" s="11" t="n"/>
      <c r="AJ271" s="11" t="n"/>
      <c r="AK271" s="11" t="n"/>
      <c r="AL271" s="42" t="n"/>
      <c r="AM271" s="11" t="n"/>
      <c r="AN271" s="11" t="n"/>
      <c r="AO271" s="11" t="n"/>
      <c r="AP271" s="11" t="n"/>
      <c r="AQ271" s="42" t="n"/>
      <c r="AR271" s="11" t="n"/>
      <c r="AS271" s="11" t="n"/>
      <c r="AT271" s="11" t="n"/>
      <c r="AU271" s="11" t="n"/>
      <c r="AV271" s="42" t="n"/>
      <c r="AW271" s="11" t="n"/>
      <c r="AX271" s="11" t="n"/>
      <c r="AY271" s="11" t="n"/>
      <c r="AZ271" s="11" t="n"/>
      <c r="BA271" s="42" t="n"/>
      <c r="BB271" s="11" t="n"/>
      <c r="BC271" s="11" t="n"/>
      <c r="BD271" s="11" t="n"/>
      <c r="BE271" s="11" t="n"/>
      <c r="BF271" s="42" t="n"/>
      <c r="BG271" s="11" t="n"/>
      <c r="BH271" s="11" t="n"/>
      <c r="BI271" s="11" t="n"/>
      <c r="BJ271" s="11" t="n"/>
      <c r="BK271" s="42" t="n"/>
      <c r="BL271" s="11" t="n"/>
      <c r="BM271" s="11" t="n"/>
      <c r="BN271" s="11" t="n"/>
      <c r="BO271" s="11" t="n"/>
      <c r="BP271" s="42" t="n"/>
      <c r="BQ271" s="11" t="n"/>
      <c r="BR271" s="11" t="n"/>
      <c r="BS271" s="11" t="n"/>
      <c r="BT271" s="11" t="n"/>
      <c r="BU271" s="42" t="n"/>
      <c r="BV271" s="11" t="n"/>
      <c r="BW271" s="11" t="n"/>
      <c r="BX271" s="11" t="n"/>
      <c r="BY271" s="11" t="n"/>
      <c r="BZ271" s="42" t="n"/>
      <c r="CA271" s="11" t="n"/>
      <c r="CB271" s="11" t="n"/>
      <c r="CC271" s="11" t="n"/>
      <c r="CD271" s="11" t="n"/>
      <c r="CE271" s="42" t="n"/>
      <c r="CF271" s="11" t="n"/>
      <c r="CG271" s="11" t="n"/>
      <c r="CH271" s="11" t="n"/>
      <c r="CI271" s="11" t="n"/>
      <c r="CJ271" s="42" t="n"/>
      <c r="CK271" s="11" t="n"/>
      <c r="CL271" s="11" t="n"/>
      <c r="CM271" s="11" t="n"/>
      <c r="CN271" s="11" t="n"/>
      <c r="CO271" s="42" t="n"/>
      <c r="CP271" s="11" t="n"/>
      <c r="CQ271" s="11" t="n"/>
      <c r="CR271" s="11" t="n"/>
      <c r="CS271" s="11" t="n"/>
      <c r="CT271" s="42" t="n"/>
      <c r="CU271" s="11" t="n"/>
      <c r="CV271" s="11" t="n"/>
      <c r="CW271" s="11" t="n"/>
      <c r="CX271" s="11" t="n"/>
      <c r="CY271" s="42" t="n"/>
    </row>
    <row r="272" hidden="1" outlineLevel="1" customFormat="1" s="66">
      <c r="A272" s="37" t="n"/>
      <c r="B272" s="37" t="n"/>
      <c r="C272" s="67" t="inlineStr">
        <is>
          <t>Value of shares issued</t>
        </is>
      </c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  <c r="AG272" s="42" t="n"/>
      <c r="AH272" s="11" t="n"/>
      <c r="AI272" s="11" t="n"/>
      <c r="AJ272" s="11" t="n"/>
      <c r="AK272" s="11" t="n"/>
      <c r="AL272" s="42" t="n"/>
      <c r="AM272" s="11" t="n"/>
      <c r="AN272" s="11" t="n"/>
      <c r="AO272" s="11" t="n"/>
      <c r="AP272" s="11" t="n"/>
      <c r="AQ272" s="42" t="n"/>
      <c r="AR272" s="11" t="n"/>
      <c r="AS272" s="11" t="n"/>
      <c r="AT272" s="11" t="n"/>
      <c r="AU272" s="11" t="n"/>
      <c r="AV272" s="42" t="n"/>
      <c r="AW272" s="11" t="n"/>
      <c r="AX272" s="11" t="n"/>
      <c r="AY272" s="11" t="n"/>
      <c r="AZ272" s="11" t="n"/>
      <c r="BA272" s="42" t="n"/>
      <c r="BB272" s="11" t="n"/>
      <c r="BC272" s="11" t="n"/>
      <c r="BD272" s="11" t="n"/>
      <c r="BE272" s="11" t="n"/>
      <c r="BF272" s="42" t="n"/>
      <c r="BG272" s="11" t="n"/>
      <c r="BH272" s="11" t="n"/>
      <c r="BI272" s="11" t="n"/>
      <c r="BJ272" s="11" t="n"/>
      <c r="BK272" s="42" t="n"/>
      <c r="BL272" s="11" t="n"/>
      <c r="BM272" s="11" t="n"/>
      <c r="BN272" s="11" t="n"/>
      <c r="BO272" s="11" t="n"/>
      <c r="BP272" s="42" t="n"/>
      <c r="BQ272" s="11" t="n"/>
      <c r="BR272" s="11" t="n"/>
      <c r="BS272" s="11" t="n"/>
      <c r="BT272" s="11" t="n"/>
      <c r="BU272" s="42" t="n"/>
      <c r="BV272" s="11" t="n"/>
      <c r="BW272" s="11" t="n"/>
      <c r="BX272" s="11" t="n"/>
      <c r="BY272" s="11" t="n"/>
      <c r="BZ272" s="42" t="n"/>
      <c r="CA272" s="11" t="n"/>
      <c r="CB272" s="11" t="n"/>
      <c r="CC272" s="11" t="n"/>
      <c r="CD272" s="11" t="n"/>
      <c r="CE272" s="42" t="n"/>
      <c r="CF272" s="11" t="n"/>
      <c r="CG272" s="11" t="n"/>
      <c r="CH272" s="11" t="n"/>
      <c r="CI272" s="11" t="n"/>
      <c r="CJ272" s="42" t="n"/>
      <c r="CK272" s="11" t="n"/>
      <c r="CL272" s="11" t="n"/>
      <c r="CM272" s="11" t="n"/>
      <c r="CN272" s="11" t="n"/>
      <c r="CO272" s="42" t="n"/>
      <c r="CP272" s="11" t="n"/>
      <c r="CQ272" s="11" t="n"/>
      <c r="CR272" s="11" t="n"/>
      <c r="CS272" s="11" t="n"/>
      <c r="CT272" s="42" t="n"/>
      <c r="CU272" s="11" t="n"/>
      <c r="CV272" s="11" t="n"/>
      <c r="CW272" s="11" t="n"/>
      <c r="CX272" s="11" t="n"/>
      <c r="CY272" s="42" t="n"/>
    </row>
    <row r="273" hidden="1" outlineLevel="1" customFormat="1" s="66">
      <c r="A273" s="37" t="n"/>
      <c r="B273" s="37" t="n"/>
      <c r="C273" s="67" t="inlineStr">
        <is>
          <t>Expected average share price</t>
        </is>
      </c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  <c r="AG273" s="42" t="n"/>
      <c r="AH273" s="68">
        <f>AF273*(1+AH274)</f>
        <v>0</v>
      </c>
      <c r="AI273" s="68">
        <f>AH273*(1+AI274)</f>
        <v>0</v>
      </c>
      <c r="AJ273" s="68">
        <f>AH273*(1+AJ274)</f>
        <v>0</v>
      </c>
      <c r="AK273" s="68">
        <f>AJ273*(1+AK274)</f>
        <v>0</v>
      </c>
      <c r="AL273" s="42" t="n"/>
      <c r="AM273" s="68">
        <f>AK273*(1+AM274)</f>
        <v>0</v>
      </c>
      <c r="AN273" s="68">
        <f>AM273*(1+AN274)</f>
        <v>0</v>
      </c>
      <c r="AO273" s="68">
        <f>AM273*(1+AO274)</f>
        <v>0</v>
      </c>
      <c r="AP273" s="68">
        <f>AO273*(1+AP274)</f>
        <v>0</v>
      </c>
      <c r="AQ273" s="42" t="n"/>
      <c r="AR273" s="68">
        <f>AP273*(1+AR274)</f>
        <v>0</v>
      </c>
      <c r="AS273" s="68">
        <f>AR273*(1+AS274)</f>
        <v>0</v>
      </c>
      <c r="AT273" s="68">
        <f>AR273*(1+AT274)</f>
        <v>0</v>
      </c>
      <c r="AU273" s="68">
        <f>AT273*(1+AU274)</f>
        <v>0</v>
      </c>
      <c r="AV273" s="42" t="n"/>
      <c r="AW273" s="68">
        <f>AU273*(1+AW274)</f>
        <v>0</v>
      </c>
      <c r="AX273" s="68">
        <f>AW273*(1+AX274)</f>
        <v>0</v>
      </c>
      <c r="AY273" s="68">
        <f>AW273*(1+AY274)</f>
        <v>0</v>
      </c>
      <c r="AZ273" s="68">
        <f>AY273*(1+AZ274)</f>
        <v>0</v>
      </c>
      <c r="BA273" s="42" t="n"/>
      <c r="BB273" s="68">
        <f>AZ273*(1+BB274)</f>
        <v>0</v>
      </c>
      <c r="BC273" s="68">
        <f>BB273*(1+BC274)</f>
        <v>0</v>
      </c>
      <c r="BD273" s="68">
        <f>BB273*(1+BD274)</f>
        <v>0</v>
      </c>
      <c r="BE273" s="68">
        <f>BD273*(1+BE274)</f>
        <v>0</v>
      </c>
      <c r="BF273" s="42" t="n"/>
      <c r="BG273" s="68" t="n"/>
      <c r="BH273" s="68" t="n"/>
      <c r="BI273" s="68" t="n"/>
      <c r="BJ273" s="68" t="n"/>
      <c r="BK273" s="42" t="n"/>
      <c r="BL273" s="68" t="n"/>
      <c r="BM273" s="68" t="n"/>
      <c r="BN273" s="68" t="n"/>
      <c r="BO273" s="68" t="n"/>
      <c r="BP273" s="42" t="n"/>
      <c r="BQ273" s="68" t="n"/>
      <c r="BR273" s="68" t="n"/>
      <c r="BS273" s="68" t="n"/>
      <c r="BT273" s="68" t="n"/>
      <c r="BU273" s="42" t="n"/>
      <c r="BV273" s="68" t="n"/>
      <c r="BW273" s="68" t="n"/>
      <c r="BX273" s="68" t="n"/>
      <c r="BY273" s="68" t="n"/>
      <c r="BZ273" s="42" t="n"/>
      <c r="CA273" s="68" t="n"/>
      <c r="CB273" s="68" t="n"/>
      <c r="CC273" s="68" t="n"/>
      <c r="CD273" s="68" t="n"/>
      <c r="CE273" s="42" t="n"/>
      <c r="CF273" s="68" t="n"/>
      <c r="CG273" s="68" t="n"/>
      <c r="CH273" s="68" t="n"/>
      <c r="CI273" s="68" t="n"/>
      <c r="CJ273" s="42" t="n"/>
      <c r="CK273" s="68" t="n"/>
      <c r="CL273" s="68" t="n"/>
      <c r="CM273" s="68" t="n"/>
      <c r="CN273" s="68" t="n"/>
      <c r="CO273" s="42" t="n"/>
      <c r="CP273" s="68" t="n"/>
      <c r="CQ273" s="68" t="n"/>
      <c r="CR273" s="68" t="n"/>
      <c r="CS273" s="68" t="n"/>
      <c r="CT273" s="42" t="n"/>
      <c r="CU273" s="68" t="n"/>
      <c r="CV273" s="68" t="n"/>
      <c r="CW273" s="68" t="n"/>
      <c r="CX273" s="68" t="n"/>
      <c r="CY273" s="42" t="n"/>
    </row>
    <row r="274" hidden="1" outlineLevel="1" customFormat="1" s="66">
      <c r="A274" s="37" t="n"/>
      <c r="B274" s="37" t="n"/>
      <c r="C274" s="67" t="inlineStr">
        <is>
          <t>Consensus EPS growth</t>
        </is>
      </c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  <c r="AG274" s="42" t="n"/>
      <c r="AH274" s="58">
        <f>$AL$279</f>
        <v>0</v>
      </c>
      <c r="AI274" s="58">
        <f>$AL$279</f>
        <v>0</v>
      </c>
      <c r="AJ274" s="58">
        <f>$AL$279</f>
        <v>0</v>
      </c>
      <c r="AK274" s="58">
        <f>$AL$279</f>
        <v>0</v>
      </c>
      <c r="AL274" s="42" t="n"/>
      <c r="AM274" s="58">
        <f>$AL$279</f>
        <v>0</v>
      </c>
      <c r="AN274" s="58">
        <f>$AL$279</f>
        <v>0</v>
      </c>
      <c r="AO274" s="58">
        <f>$AL$279</f>
        <v>0</v>
      </c>
      <c r="AP274" s="58">
        <f>$AL$279</f>
        <v>0</v>
      </c>
      <c r="AQ274" s="42" t="n"/>
      <c r="AR274" s="58">
        <f>$AL$279</f>
        <v>0</v>
      </c>
      <c r="AS274" s="58">
        <f>$AL$279</f>
        <v>0</v>
      </c>
      <c r="AT274" s="58">
        <f>$AL$279</f>
        <v>0</v>
      </c>
      <c r="AU274" s="58">
        <f>$AL$279</f>
        <v>0</v>
      </c>
      <c r="AV274" s="42" t="n"/>
      <c r="AW274" s="58">
        <f>$AL$279</f>
        <v>0</v>
      </c>
      <c r="AX274" s="58">
        <f>$AL$279</f>
        <v>0</v>
      </c>
      <c r="AY274" s="58">
        <f>$AL$279</f>
        <v>0</v>
      </c>
      <c r="AZ274" s="58">
        <f>$AL$279</f>
        <v>0</v>
      </c>
      <c r="BA274" s="42" t="n"/>
      <c r="BB274" s="58">
        <f>$AL$279</f>
        <v>0</v>
      </c>
      <c r="BC274" s="58">
        <f>$AL$279</f>
        <v>0</v>
      </c>
      <c r="BD274" s="58">
        <f>$AL$279</f>
        <v>0</v>
      </c>
      <c r="BE274" s="58">
        <f>$AL$279</f>
        <v>0</v>
      </c>
      <c r="BF274" s="42" t="n"/>
      <c r="BG274" s="58" t="n"/>
      <c r="BH274" s="58" t="n"/>
      <c r="BI274" s="58" t="n"/>
      <c r="BJ274" s="58" t="n"/>
      <c r="BK274" s="42" t="n"/>
      <c r="BL274" s="58" t="n"/>
      <c r="BM274" s="58" t="n"/>
      <c r="BN274" s="58" t="n"/>
      <c r="BO274" s="58" t="n"/>
      <c r="BP274" s="42" t="n"/>
      <c r="BQ274" s="58" t="n"/>
      <c r="BR274" s="58" t="n"/>
      <c r="BS274" s="58" t="n"/>
      <c r="BT274" s="58" t="n"/>
      <c r="BU274" s="42" t="n"/>
      <c r="BV274" s="58" t="n"/>
      <c r="BW274" s="58" t="n"/>
      <c r="BX274" s="58" t="n"/>
      <c r="BY274" s="58" t="n"/>
      <c r="BZ274" s="42" t="n"/>
      <c r="CA274" s="58" t="n"/>
      <c r="CB274" s="58" t="n"/>
      <c r="CC274" s="58" t="n"/>
      <c r="CD274" s="58" t="n"/>
      <c r="CE274" s="42" t="n"/>
      <c r="CF274" s="58" t="n"/>
      <c r="CG274" s="58" t="n"/>
      <c r="CH274" s="58" t="n"/>
      <c r="CI274" s="58" t="n"/>
      <c r="CJ274" s="42" t="n"/>
      <c r="CK274" s="58" t="n"/>
      <c r="CL274" s="58" t="n"/>
      <c r="CM274" s="58" t="n"/>
      <c r="CN274" s="58" t="n"/>
      <c r="CO274" s="42" t="n"/>
      <c r="CP274" s="58" t="n"/>
      <c r="CQ274" s="58" t="n"/>
      <c r="CR274" s="58" t="n"/>
      <c r="CS274" s="58" t="n"/>
      <c r="CT274" s="42" t="n"/>
      <c r="CU274" s="58" t="n"/>
      <c r="CV274" s="58" t="n"/>
      <c r="CW274" s="58" t="n"/>
      <c r="CX274" s="58" t="n"/>
      <c r="CY274" s="42" t="n"/>
    </row>
    <row r="275" hidden="1" outlineLevel="1" customFormat="1" s="66">
      <c r="A275" s="37" t="n"/>
      <c r="B275" s="37" t="n"/>
      <c r="C275" s="67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  <c r="AG275" s="42" t="n"/>
      <c r="AH275" s="12" t="n"/>
      <c r="AI275" s="12" t="n"/>
      <c r="AJ275" s="12" t="n"/>
      <c r="AK275" s="12" t="n"/>
      <c r="AL275" s="42" t="n"/>
      <c r="AM275" s="12" t="n"/>
      <c r="AN275" s="12" t="n"/>
      <c r="AO275" s="12" t="n"/>
      <c r="AP275" s="12" t="n"/>
      <c r="AQ275" s="42" t="n"/>
      <c r="AR275" s="12" t="n"/>
      <c r="AS275" s="12" t="n"/>
      <c r="AT275" s="12" t="n"/>
      <c r="AU275" s="12" t="n"/>
      <c r="AV275" s="42" t="n"/>
      <c r="AW275" s="12" t="n"/>
      <c r="AX275" s="12" t="n"/>
      <c r="AY275" s="12" t="n"/>
      <c r="AZ275" s="12" t="n"/>
      <c r="BA275" s="42" t="n"/>
      <c r="BB275" s="12" t="n"/>
      <c r="BC275" s="12" t="n"/>
      <c r="BD275" s="12" t="n"/>
      <c r="BE275" s="12" t="n"/>
      <c r="BF275" s="42" t="n"/>
      <c r="BG275" s="12" t="n"/>
      <c r="BH275" s="12" t="n"/>
      <c r="BI275" s="12" t="n"/>
      <c r="BJ275" s="12" t="n"/>
      <c r="BK275" s="42" t="n"/>
      <c r="BL275" s="12" t="n"/>
      <c r="BM275" s="12" t="n"/>
      <c r="BN275" s="12" t="n"/>
      <c r="BO275" s="12" t="n"/>
      <c r="BP275" s="42" t="n"/>
      <c r="BQ275" s="12" t="n"/>
      <c r="BR275" s="12" t="n"/>
      <c r="BS275" s="12" t="n"/>
      <c r="BT275" s="12" t="n"/>
      <c r="BU275" s="42" t="n"/>
      <c r="BV275" s="12" t="n"/>
      <c r="BW275" s="12" t="n"/>
      <c r="BX275" s="12" t="n"/>
      <c r="BY275" s="12" t="n"/>
      <c r="BZ275" s="42" t="n"/>
      <c r="CA275" s="12" t="n"/>
      <c r="CB275" s="12" t="n"/>
      <c r="CC275" s="12" t="n"/>
      <c r="CD275" s="12" t="n"/>
      <c r="CE275" s="42" t="n"/>
      <c r="CF275" s="12" t="n"/>
      <c r="CG275" s="12" t="n"/>
      <c r="CH275" s="12" t="n"/>
      <c r="CI275" s="12" t="n"/>
      <c r="CJ275" s="42" t="n"/>
      <c r="CK275" s="12" t="n"/>
      <c r="CL275" s="12" t="n"/>
      <c r="CM275" s="12" t="n"/>
      <c r="CN275" s="12" t="n"/>
      <c r="CO275" s="42" t="n"/>
      <c r="CP275" s="12" t="n"/>
      <c r="CQ275" s="12" t="n"/>
      <c r="CR275" s="12" t="n"/>
      <c r="CS275" s="12" t="n"/>
      <c r="CT275" s="42" t="n"/>
      <c r="CU275" s="12" t="n"/>
      <c r="CV275" s="12" t="n"/>
      <c r="CW275" s="12" t="n"/>
      <c r="CX275" s="12" t="n"/>
      <c r="CY275" s="42" t="n"/>
    </row>
    <row r="276" hidden="1" outlineLevel="1" customFormat="1" s="66">
      <c r="A276" s="37" t="n"/>
      <c r="B276" s="37" t="n"/>
      <c r="C276" s="67" t="inlineStr">
        <is>
          <t>Shares repurchased</t>
        </is>
      </c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  <c r="AG276" s="42" t="n"/>
      <c r="AH276" s="69" t="str">
        <f>IFERROR(-AH271/AH273,"")</f>
        <v/>
      </c>
      <c r="AI276" s="69" t="str">
        <f>IFERROR(-AI271/AI273,"")</f>
        <v/>
      </c>
      <c r="AJ276" s="69" t="str">
        <f>IFERROR(-AJ271/AJ273,"")</f>
        <v/>
      </c>
      <c r="AK276" s="69" t="str">
        <f>IFERROR(-AK271/AK273,"")</f>
        <v/>
      </c>
      <c r="AL276" s="42" t="n"/>
      <c r="AM276" s="69" t="str">
        <f>IFERROR(-AM271/AM273,"")</f>
        <v/>
      </c>
      <c r="AN276" s="69" t="str">
        <f>IFERROR(-AN271/AN273,"")</f>
        <v/>
      </c>
      <c r="AO276" s="69" t="str">
        <f>IFERROR(-AO271/AO273,"")</f>
        <v/>
      </c>
      <c r="AP276" s="69" t="str">
        <f>IFERROR(-AP271/AP273,"")</f>
        <v/>
      </c>
      <c r="AQ276" s="42" t="n"/>
      <c r="AR276" s="69" t="str">
        <f>IFERROR(-AR271/AR273,"")</f>
        <v/>
      </c>
      <c r="AS276" s="69" t="str">
        <f>IFERROR(-AS271/AS273,"")</f>
        <v/>
      </c>
      <c r="AT276" s="69" t="str">
        <f>IFERROR(-AT271/AT273,"")</f>
        <v/>
      </c>
      <c r="AU276" s="69" t="str">
        <f>IFERROR(-AU271/AU273,"")</f>
        <v/>
      </c>
      <c r="AV276" s="42" t="n"/>
      <c r="AW276" s="69" t="str">
        <f>IFERROR(-AW271/AW273,"")</f>
        <v/>
      </c>
      <c r="AX276" s="69" t="str">
        <f>IFERROR(-AX271/AX273,"")</f>
        <v/>
      </c>
      <c r="AY276" s="69" t="str">
        <f>IFERROR(-AY271/AY273,"")</f>
        <v/>
      </c>
      <c r="AZ276" s="69" t="str">
        <f>IFERROR(-AZ271/AZ273,"")</f>
        <v/>
      </c>
      <c r="BA276" s="42" t="n"/>
      <c r="BB276" s="69" t="str">
        <f>IFERROR(-BB271/BB273,"")</f>
        <v/>
      </c>
      <c r="BC276" s="69" t="str">
        <f>IFERROR(-BC271/BC273,"")</f>
        <v/>
      </c>
      <c r="BD276" s="69" t="str">
        <f>IFERROR(-BD271/BD273,"")</f>
        <v/>
      </c>
      <c r="BE276" s="69" t="str">
        <f>IFERROR(-BE271/BE273,"")</f>
        <v/>
      </c>
      <c r="BF276" s="42" t="n"/>
      <c r="BG276" s="69" t="n"/>
      <c r="BH276" s="69" t="n"/>
      <c r="BI276" s="69" t="n"/>
      <c r="BJ276" s="69" t="n"/>
      <c r="BK276" s="42" t="n"/>
      <c r="BL276" s="69" t="n"/>
      <c r="BM276" s="69" t="n"/>
      <c r="BN276" s="69" t="n"/>
      <c r="BO276" s="69" t="n"/>
      <c r="BP276" s="42" t="n"/>
      <c r="BQ276" s="69" t="n"/>
      <c r="BR276" s="69" t="n"/>
      <c r="BS276" s="69" t="n"/>
      <c r="BT276" s="69" t="n"/>
      <c r="BU276" s="42" t="n"/>
      <c r="BV276" s="69" t="n"/>
      <c r="BW276" s="69" t="n"/>
      <c r="BX276" s="69" t="n"/>
      <c r="BY276" s="69" t="n"/>
      <c r="BZ276" s="42" t="n"/>
      <c r="CA276" s="69" t="n"/>
      <c r="CB276" s="69" t="n"/>
      <c r="CC276" s="69" t="n"/>
      <c r="CD276" s="69" t="n"/>
      <c r="CE276" s="42" t="n"/>
      <c r="CF276" s="69" t="n"/>
      <c r="CG276" s="69" t="n"/>
      <c r="CH276" s="69" t="n"/>
      <c r="CI276" s="69" t="n"/>
      <c r="CJ276" s="42" t="n"/>
      <c r="CK276" s="69" t="n"/>
      <c r="CL276" s="69" t="n"/>
      <c r="CM276" s="69" t="n"/>
      <c r="CN276" s="69" t="n"/>
      <c r="CO276" s="42" t="n"/>
      <c r="CP276" s="69" t="n"/>
      <c r="CQ276" s="69" t="n"/>
      <c r="CR276" s="69" t="n"/>
      <c r="CS276" s="69" t="n"/>
      <c r="CT276" s="42" t="n"/>
      <c r="CU276" s="69" t="n"/>
      <c r="CV276" s="69" t="n"/>
      <c r="CW276" s="69" t="n"/>
      <c r="CX276" s="69" t="n"/>
      <c r="CY276" s="42" t="n"/>
    </row>
    <row r="277" hidden="1" outlineLevel="1" customFormat="1" s="66">
      <c r="A277" s="37" t="n"/>
      <c r="B277" s="37" t="n"/>
      <c r="C277" s="67" t="inlineStr">
        <is>
          <t>Shares issued</t>
        </is>
      </c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9" t="n"/>
      <c r="AG277" s="42" t="n"/>
      <c r="AH277" s="69" t="str">
        <f>IFERROR(AH272/AH273,"")</f>
        <v/>
      </c>
      <c r="AI277" s="69" t="str">
        <f>IFERROR(AI272/AI273,"")</f>
        <v/>
      </c>
      <c r="AJ277" s="69" t="str">
        <f>IFERROR(AJ272/AJ273,"")</f>
        <v/>
      </c>
      <c r="AK277" s="69" t="str">
        <f>IFERROR(AK272/AK273,"")</f>
        <v/>
      </c>
      <c r="AL277" s="42" t="n"/>
      <c r="AM277" s="69" t="str">
        <f>IFERROR(AM272/AM273,"")</f>
        <v/>
      </c>
      <c r="AN277" s="69" t="str">
        <f>IFERROR(AN272/AN273,"")</f>
        <v/>
      </c>
      <c r="AO277" s="69" t="str">
        <f>IFERROR(AO272/AO273,"")</f>
        <v/>
      </c>
      <c r="AP277" s="69" t="str">
        <f>IFERROR(AP272/AP273,"")</f>
        <v/>
      </c>
      <c r="AQ277" s="42" t="n"/>
      <c r="AR277" s="69" t="str">
        <f>IFERROR(AR272/AR273,"")</f>
        <v/>
      </c>
      <c r="AS277" s="69" t="str">
        <f>IFERROR(AS272/AS273,"")</f>
        <v/>
      </c>
      <c r="AT277" s="69" t="str">
        <f>IFERROR(AT272/AT273,"")</f>
        <v/>
      </c>
      <c r="AU277" s="69" t="str">
        <f>IFERROR(AU272/AU273,"")</f>
        <v/>
      </c>
      <c r="AV277" s="42" t="n"/>
      <c r="AW277" s="69" t="str">
        <f>IFERROR(AW272/AW273,"")</f>
        <v/>
      </c>
      <c r="AX277" s="69" t="str">
        <f>IFERROR(AX272/AX273,"")</f>
        <v/>
      </c>
      <c r="AY277" s="69" t="str">
        <f>IFERROR(AY272/AY273,"")</f>
        <v/>
      </c>
      <c r="AZ277" s="69" t="str">
        <f>IFERROR(AZ272/AZ273,"")</f>
        <v/>
      </c>
      <c r="BA277" s="42" t="n"/>
      <c r="BB277" s="69" t="str">
        <f>IFERROR(BB272/BB273,"")</f>
        <v/>
      </c>
      <c r="BC277" s="69" t="str">
        <f>IFERROR(BC272/BC273,"")</f>
        <v/>
      </c>
      <c r="BD277" s="69" t="str">
        <f>IFERROR(BD272/BD273,"")</f>
        <v/>
      </c>
      <c r="BE277" s="69" t="str">
        <f>IFERROR(BE272/BE273,"")</f>
        <v/>
      </c>
      <c r="BF277" s="42" t="n"/>
      <c r="BG277" s="69" t="n"/>
      <c r="BH277" s="69" t="n"/>
      <c r="BI277" s="69" t="n"/>
      <c r="BJ277" s="69" t="n"/>
      <c r="BK277" s="42" t="n"/>
      <c r="BL277" s="69" t="n"/>
      <c r="BM277" s="69" t="n"/>
      <c r="BN277" s="69" t="n"/>
      <c r="BO277" s="69" t="n"/>
      <c r="BP277" s="42" t="n"/>
      <c r="BQ277" s="69" t="n"/>
      <c r="BR277" s="69" t="n"/>
      <c r="BS277" s="69" t="n"/>
      <c r="BT277" s="69" t="n"/>
      <c r="BU277" s="42" t="n"/>
      <c r="BV277" s="69" t="n"/>
      <c r="BW277" s="69" t="n"/>
      <c r="BX277" s="69" t="n"/>
      <c r="BY277" s="69" t="n"/>
      <c r="BZ277" s="42" t="n"/>
      <c r="CA277" s="69" t="n"/>
      <c r="CB277" s="69" t="n"/>
      <c r="CC277" s="69" t="n"/>
      <c r="CD277" s="69" t="n"/>
      <c r="CE277" s="42" t="n"/>
      <c r="CF277" s="69" t="n"/>
      <c r="CG277" s="69" t="n"/>
      <c r="CH277" s="69" t="n"/>
      <c r="CI277" s="69" t="n"/>
      <c r="CJ277" s="42" t="n"/>
      <c r="CK277" s="69" t="n"/>
      <c r="CL277" s="69" t="n"/>
      <c r="CM277" s="69" t="n"/>
      <c r="CN277" s="69" t="n"/>
      <c r="CO277" s="42" t="n"/>
      <c r="CP277" s="69" t="n"/>
      <c r="CQ277" s="69" t="n"/>
      <c r="CR277" s="69" t="n"/>
      <c r="CS277" s="69" t="n"/>
      <c r="CT277" s="42" t="n"/>
      <c r="CU277" s="69" t="n"/>
      <c r="CV277" s="69" t="n"/>
      <c r="CW277" s="69" t="n"/>
      <c r="CX277" s="69" t="n"/>
      <c r="CY277" s="42" t="n"/>
    </row>
    <row r="278" hidden="1" outlineLevel="1" customFormat="1" s="66">
      <c r="A278" s="37" t="n"/>
      <c r="B278" s="37" t="n"/>
      <c r="C278" s="67" t="inlineStr">
        <is>
          <t>End of period basic shares outstanding</t>
        </is>
      </c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  <c r="AG278" s="42" t="n"/>
      <c r="AH278" s="3" t="str">
        <f>IFERROR(AG278+AH277-AH276,"")</f>
        <v/>
      </c>
      <c r="AI278" s="3" t="str">
        <f>IFERROR(AH278+AI277-AI276,"")</f>
        <v/>
      </c>
      <c r="AJ278" s="69" t="str">
        <f>IFERROR(AH278+AJ277-AJ276,"")</f>
        <v/>
      </c>
      <c r="AK278" s="69" t="str">
        <f>IFERROR(AJ278+AK277-AK276,"")</f>
        <v/>
      </c>
      <c r="AL278" s="42" t="n"/>
      <c r="AM278" s="3" t="str">
        <f>IFERROR(AK278+AM277-AM276,"")</f>
        <v/>
      </c>
      <c r="AN278" s="3" t="str">
        <f>IFERROR(AM278+AN277-AN276,"")</f>
        <v/>
      </c>
      <c r="AO278" s="69" t="str">
        <f>IFERROR(AM278+AO277-AO276,"")</f>
        <v/>
      </c>
      <c r="AP278" s="69" t="str">
        <f>IFERROR(AO278+AP277-AP276,"")</f>
        <v/>
      </c>
      <c r="AQ278" s="42" t="n"/>
      <c r="AR278" s="3" t="str">
        <f>IFERROR(AP278+AR277-AR276,"")</f>
        <v/>
      </c>
      <c r="AS278" s="3" t="str">
        <f>IFERROR(AR278+AS277-AS276,"")</f>
        <v/>
      </c>
      <c r="AT278" s="69" t="str">
        <f>IFERROR(AR278+AT277-AT276,"")</f>
        <v/>
      </c>
      <c r="AU278" s="69" t="str">
        <f>IFERROR(AT278+AU277-AU276,"")</f>
        <v/>
      </c>
      <c r="AV278" s="42" t="n"/>
      <c r="AW278" s="3" t="str">
        <f>IFERROR(AU278+AW277-AW276,"")</f>
        <v/>
      </c>
      <c r="AX278" s="3" t="str">
        <f>IFERROR(AW278+AX277-AX276,"")</f>
        <v/>
      </c>
      <c r="AY278" s="69" t="str">
        <f>IFERROR(AW278+AY277-AY276,"")</f>
        <v/>
      </c>
      <c r="AZ278" s="69" t="str">
        <f>IFERROR(AY278+AZ277-AZ276,"")</f>
        <v/>
      </c>
      <c r="BA278" s="42" t="n"/>
      <c r="BB278" s="3" t="str">
        <f>IFERROR(AZ278+BB277-BB276,"")</f>
        <v/>
      </c>
      <c r="BC278" s="3" t="str">
        <f>IFERROR(BB278+BC277-BC276,"")</f>
        <v/>
      </c>
      <c r="BD278" s="69" t="str">
        <f>IFERROR(BB278+BD277-BD276,"")</f>
        <v/>
      </c>
      <c r="BE278" s="69" t="str">
        <f>IFERROR(BD278+BE277-BE276,"")</f>
        <v/>
      </c>
      <c r="BF278" s="42" t="n"/>
      <c r="BG278" s="3" t="n"/>
      <c r="BH278" s="3" t="n"/>
      <c r="BI278" s="69" t="n"/>
      <c r="BJ278" s="69" t="n"/>
      <c r="BK278" s="42" t="n"/>
      <c r="BL278" s="3" t="n"/>
      <c r="BM278" s="3" t="n"/>
      <c r="BN278" s="69" t="n"/>
      <c r="BO278" s="69" t="n"/>
      <c r="BP278" s="42" t="n"/>
      <c r="BQ278" s="3" t="n"/>
      <c r="BR278" s="3" t="n"/>
      <c r="BS278" s="69" t="n"/>
      <c r="BT278" s="69" t="n"/>
      <c r="BU278" s="42" t="n"/>
      <c r="BV278" s="3" t="n"/>
      <c r="BW278" s="3" t="n"/>
      <c r="BX278" s="69" t="n"/>
      <c r="BY278" s="69" t="n"/>
      <c r="BZ278" s="42" t="n"/>
      <c r="CA278" s="3" t="n"/>
      <c r="CB278" s="3" t="n"/>
      <c r="CC278" s="69" t="n"/>
      <c r="CD278" s="69" t="n"/>
      <c r="CE278" s="42" t="n"/>
      <c r="CF278" s="3" t="n"/>
      <c r="CG278" s="3" t="n"/>
      <c r="CH278" s="69" t="n"/>
      <c r="CI278" s="69" t="n"/>
      <c r="CJ278" s="42" t="n"/>
      <c r="CK278" s="3" t="n"/>
      <c r="CL278" s="3" t="n"/>
      <c r="CM278" s="69" t="n"/>
      <c r="CN278" s="69" t="n"/>
      <c r="CO278" s="42" t="n"/>
      <c r="CP278" s="3" t="n"/>
      <c r="CQ278" s="3" t="n"/>
      <c r="CR278" s="69" t="n"/>
      <c r="CS278" s="69" t="n"/>
      <c r="CT278" s="42" t="n"/>
      <c r="CU278" s="3" t="n"/>
      <c r="CV278" s="3" t="n"/>
      <c r="CW278" s="69" t="n"/>
      <c r="CX278" s="69" t="n"/>
      <c r="CY278" s="42" t="n"/>
    </row>
    <row r="279" hidden="1" outlineLevel="1" customFormat="1" s="66">
      <c r="A279" s="37" t="n"/>
      <c r="B279" s="37" t="n"/>
      <c r="C279" s="67" t="inlineStr">
        <is>
          <t>Weighted average basic shares outstanding</t>
        </is>
      </c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  <c r="AG279" s="42" t="n"/>
      <c r="AH279" s="69" t="str">
        <f>IFERROR(AVERAGE(AG278,AH278),"")</f>
        <v/>
      </c>
      <c r="AI279" s="69" t="str">
        <f>IFERROR(AVERAGE(AH278,AI278),"")</f>
        <v/>
      </c>
      <c r="AJ279" s="69" t="str">
        <f>IFERROR(AVERAGE(AH278,AJ278),"")</f>
        <v/>
      </c>
      <c r="AK279" s="69" t="str">
        <f>IFERROR(AVERAGE(AJ278,AK278),"")</f>
        <v/>
      </c>
      <c r="AL279" s="42" t="n"/>
      <c r="AM279" s="69" t="str">
        <f>IFERROR(AVERAGE(AL278,AM278),"")</f>
        <v/>
      </c>
      <c r="AN279" s="69" t="str">
        <f>IFERROR(AVERAGE(AM278,AN278),"")</f>
        <v/>
      </c>
      <c r="AO279" s="69" t="str">
        <f>IFERROR(AVERAGE(AM278,AO278),"")</f>
        <v/>
      </c>
      <c r="AP279" s="69" t="str">
        <f>IFERROR(AVERAGE(AO278,AP278),"")</f>
        <v/>
      </c>
      <c r="AQ279" s="42" t="n"/>
      <c r="AR279" s="69" t="str">
        <f>IFERROR(AVERAGE(AQ278,AR278),"")</f>
        <v/>
      </c>
      <c r="AS279" s="69" t="str">
        <f>IFERROR(AVERAGE(AR278,AS278),"")</f>
        <v/>
      </c>
      <c r="AT279" s="69" t="str">
        <f>IFERROR(AVERAGE(AR278,AT278),"")</f>
        <v/>
      </c>
      <c r="AU279" s="69" t="str">
        <f>IFERROR(AVERAGE(AT278,AU278),"")</f>
        <v/>
      </c>
      <c r="AV279" s="42" t="n"/>
      <c r="AW279" s="69" t="str">
        <f>IFERROR(AVERAGE(AV278,AW278),"")</f>
        <v/>
      </c>
      <c r="AX279" s="69" t="str">
        <f>IFERROR(AVERAGE(AW278,AX278),"")</f>
        <v/>
      </c>
      <c r="AY279" s="69" t="str">
        <f>IFERROR(AVERAGE(AW278,AY278),"")</f>
        <v/>
      </c>
      <c r="AZ279" s="69" t="str">
        <f>IFERROR(AVERAGE(AY278,AZ278),"")</f>
        <v/>
      </c>
      <c r="BA279" s="42" t="n"/>
      <c r="BB279" s="69" t="str">
        <f>IFERROR(AVERAGE(BA278,BB278),"")</f>
        <v/>
      </c>
      <c r="BC279" s="69" t="str">
        <f>IFERROR(AVERAGE(BB278,BC278),"")</f>
        <v/>
      </c>
      <c r="BD279" s="69" t="str">
        <f>IFERROR(AVERAGE(BB278,BD278),"")</f>
        <v/>
      </c>
      <c r="BE279" s="69" t="str">
        <f>IFERROR(AVERAGE(BD278,BE278),"")</f>
        <v/>
      </c>
      <c r="BF279" s="42" t="n"/>
      <c r="BG279" s="69" t="n"/>
      <c r="BH279" s="69" t="n"/>
      <c r="BI279" s="69" t="n"/>
      <c r="BJ279" s="69" t="n"/>
      <c r="BK279" s="42" t="n"/>
      <c r="BL279" s="69" t="n"/>
      <c r="BM279" s="69" t="n"/>
      <c r="BN279" s="69" t="n"/>
      <c r="BO279" s="69" t="n"/>
      <c r="BP279" s="42" t="n"/>
      <c r="BQ279" s="69" t="n"/>
      <c r="BR279" s="69" t="n"/>
      <c r="BS279" s="69" t="n"/>
      <c r="BT279" s="69" t="n"/>
      <c r="BU279" s="42" t="n"/>
      <c r="BV279" s="69" t="n"/>
      <c r="BW279" s="69" t="n"/>
      <c r="BX279" s="69" t="n"/>
      <c r="BY279" s="69" t="n"/>
      <c r="BZ279" s="42" t="n"/>
      <c r="CA279" s="69" t="n"/>
      <c r="CB279" s="69" t="n"/>
      <c r="CC279" s="69" t="n"/>
      <c r="CD279" s="69" t="n"/>
      <c r="CE279" s="42" t="n"/>
      <c r="CF279" s="69" t="n"/>
      <c r="CG279" s="69" t="n"/>
      <c r="CH279" s="69" t="n"/>
      <c r="CI279" s="69" t="n"/>
      <c r="CJ279" s="42" t="n"/>
      <c r="CK279" s="69" t="n"/>
      <c r="CL279" s="69" t="n"/>
      <c r="CM279" s="69" t="n"/>
      <c r="CN279" s="69" t="n"/>
      <c r="CO279" s="42" t="n"/>
      <c r="CP279" s="69" t="n"/>
      <c r="CQ279" s="69" t="n"/>
      <c r="CR279" s="69" t="n"/>
      <c r="CS279" s="69" t="n"/>
      <c r="CT279" s="42" t="n"/>
      <c r="CU279" s="69" t="n"/>
      <c r="CV279" s="69" t="n"/>
      <c r="CW279" s="69" t="n"/>
      <c r="CX279" s="69" t="n"/>
      <c r="CY279" s="42" t="n"/>
    </row>
    <row r="280" hidden="1" outlineLevel="1" customFormat="1" s="66">
      <c r="A280" s="37" t="n"/>
      <c r="B280" s="37" t="n"/>
      <c r="C280" s="67" t="n"/>
      <c r="D280" s="42" t="n"/>
      <c r="E280" s="42" t="n"/>
      <c r="F280" s="42" t="n"/>
      <c r="G280" s="42" t="n"/>
      <c r="H280" s="12" t="n"/>
      <c r="I280" s="42" t="n"/>
      <c r="J280" s="42" t="n"/>
      <c r="K280" s="42" t="n"/>
      <c r="L280" s="42" t="n"/>
      <c r="M280" s="12" t="n"/>
      <c r="N280" s="42" t="n"/>
      <c r="O280" s="42" t="n"/>
      <c r="P280" s="42" t="n"/>
      <c r="Q280" s="42" t="n"/>
      <c r="R280" s="12" t="n"/>
      <c r="S280" s="42" t="n"/>
      <c r="T280" s="42" t="n"/>
      <c r="U280" s="42" t="n"/>
      <c r="V280" s="42" t="n"/>
      <c r="W280" s="12" t="n"/>
      <c r="X280" s="42" t="n"/>
      <c r="Y280" s="42" t="n"/>
      <c r="Z280" s="42" t="n"/>
      <c r="AA280" s="42" t="n"/>
      <c r="AB280" s="12" t="n"/>
      <c r="AC280" s="42" t="n"/>
      <c r="AD280" s="42" t="n"/>
      <c r="AE280" s="42" t="n"/>
      <c r="AF280" s="42" t="n"/>
      <c r="AG280" s="12" t="n"/>
      <c r="AH280" s="42" t="n"/>
      <c r="AI280" s="42" t="n"/>
      <c r="AJ280" s="42" t="n"/>
      <c r="AK280" s="42" t="n"/>
      <c r="AL280" s="12" t="n"/>
      <c r="AM280" s="42" t="n"/>
      <c r="AN280" s="42" t="n"/>
      <c r="AO280" s="42" t="n"/>
      <c r="AP280" s="42" t="n"/>
      <c r="AQ280" s="12" t="n"/>
      <c r="AR280" s="42" t="n"/>
      <c r="AS280" s="42" t="n"/>
      <c r="AT280" s="42" t="n"/>
      <c r="AU280" s="42" t="n"/>
      <c r="AV280" s="12" t="n"/>
      <c r="AW280" s="42" t="n"/>
      <c r="AX280" s="42" t="n"/>
      <c r="AY280" s="42" t="n"/>
      <c r="AZ280" s="42" t="n"/>
      <c r="BA280" s="12" t="n"/>
      <c r="BB280" s="42" t="n"/>
      <c r="BC280" s="42" t="n"/>
      <c r="BD280" s="42" t="n"/>
      <c r="BE280" s="42" t="n"/>
      <c r="BF280" s="12" t="n"/>
      <c r="BG280" s="42" t="n"/>
      <c r="BH280" s="42" t="n"/>
      <c r="BI280" s="42" t="n"/>
      <c r="BJ280" s="42" t="n"/>
      <c r="BK280" s="12" t="n"/>
      <c r="BL280" s="42" t="n"/>
      <c r="BM280" s="42" t="n"/>
      <c r="BN280" s="42" t="n"/>
      <c r="BO280" s="42" t="n"/>
      <c r="BP280" s="12" t="n"/>
      <c r="BQ280" s="42" t="n"/>
      <c r="BR280" s="42" t="n"/>
      <c r="BS280" s="42" t="n"/>
      <c r="BT280" s="42" t="n"/>
      <c r="BU280" s="12" t="n"/>
      <c r="BV280" s="42" t="n"/>
      <c r="BW280" s="42" t="n"/>
      <c r="BX280" s="42" t="n"/>
      <c r="BY280" s="42" t="n"/>
      <c r="BZ280" s="12" t="n"/>
      <c r="CA280" s="42" t="n"/>
      <c r="CB280" s="42" t="n"/>
      <c r="CC280" s="42" t="n"/>
      <c r="CD280" s="42" t="n"/>
      <c r="CE280" s="12" t="n"/>
      <c r="CF280" s="42" t="n"/>
      <c r="CG280" s="42" t="n"/>
      <c r="CH280" s="42" t="n"/>
      <c r="CI280" s="42" t="n"/>
      <c r="CJ280" s="12" t="n"/>
      <c r="CK280" s="42" t="n"/>
      <c r="CL280" s="42" t="n"/>
      <c r="CM280" s="42" t="n"/>
      <c r="CN280" s="42" t="n"/>
      <c r="CO280" s="12" t="n"/>
      <c r="CP280" s="42" t="n"/>
      <c r="CQ280" s="42" t="n"/>
      <c r="CR280" s="42" t="n"/>
      <c r="CS280" s="42" t="n"/>
      <c r="CT280" s="12" t="n"/>
      <c r="CU280" s="42" t="n"/>
      <c r="CV280" s="42" t="n"/>
      <c r="CW280" s="42" t="n"/>
      <c r="CX280" s="42" t="n"/>
      <c r="CY280" s="12" t="n"/>
    </row>
    <row r="281" collapsed="1">
      <c r="C281" s="14" t="inlineStr">
        <is>
          <t>Treasury stock (contra account)</t>
        </is>
      </c>
      <c r="D281" s="46" t="n"/>
      <c r="E281" s="46" t="n"/>
      <c r="F281" s="46" t="n"/>
      <c r="G281" s="46" t="n"/>
      <c r="H281" s="12" t="n"/>
      <c r="I281" s="46">
        <f>'Inputs (2)'!D44</f>
        <v>0</v>
      </c>
      <c r="J281" s="46">
        <f>'Inputs (2)'!E44</f>
        <v>0</v>
      </c>
      <c r="K281" s="46">
        <f>'Inputs (2)'!F44</f>
        <v>0</v>
      </c>
      <c r="L281" s="46">
        <f>'Inputs (2)'!G44</f>
        <v>-0.121</v>
      </c>
      <c r="M281" s="12">
        <f>'Inputs (2)'!H44</f>
        <v>-0.121</v>
      </c>
      <c r="N281" s="46">
        <f>'Inputs (2)'!I44</f>
        <v>-5.015</v>
      </c>
      <c r="O281" s="46">
        <f>'Inputs (2)'!J44</f>
        <v>-12.21</v>
      </c>
      <c r="P281" s="46">
        <f>'Inputs (2)'!K44</f>
        <v>-12.21</v>
      </c>
      <c r="Q281" s="46">
        <f>'Inputs (2)'!L44</f>
        <v>-12.21</v>
      </c>
      <c r="R281" s="12">
        <f>'Inputs (2)'!M44</f>
        <v>-12.21</v>
      </c>
      <c r="S281" s="46">
        <f>'Inputs (2)'!N44</f>
        <v>-12.21</v>
      </c>
      <c r="T281" s="46">
        <f>'Inputs (2)'!O44</f>
        <v>-12.21</v>
      </c>
      <c r="U281" s="46">
        <f>'Inputs (2)'!P44</f>
        <v>-12.21</v>
      </c>
      <c r="V281" s="46">
        <f>'Inputs (2)'!Q44</f>
        <v>-12.21</v>
      </c>
      <c r="W281" s="12">
        <f>'Inputs (2)'!R44</f>
        <v>-12.21</v>
      </c>
      <c r="X281" s="46">
        <f>'Inputs (2)'!S44</f>
        <v>-12.21</v>
      </c>
      <c r="Y281" s="46">
        <f>'Inputs (2)'!T44</f>
        <v>-12.21</v>
      </c>
      <c r="Z281" s="46">
        <f>'Inputs (2)'!U44</f>
        <v>-12.21</v>
      </c>
      <c r="AA281" s="46">
        <f>'Inputs (2)'!V44</f>
        <v>-12.21</v>
      </c>
      <c r="AB281" s="12">
        <f>'Inputs (2)'!W44</f>
        <v>-12.21</v>
      </c>
      <c r="AC281" s="46">
        <f>'Inputs (2)'!X44</f>
        <v>-12.21</v>
      </c>
      <c r="AD281" s="46">
        <f>'Inputs (2)'!Y44</f>
        <v>0</v>
      </c>
      <c r="AE281" s="46">
        <f>'Inputs (2)'!Z44</f>
        <v>0</v>
      </c>
      <c r="AF281" s="46">
        <f>'Inputs (2)'!AA44</f>
        <v>0</v>
      </c>
      <c r="AG281" s="12">
        <f>'Inputs (2)'!AB44</f>
        <v>0</v>
      </c>
      <c r="AH281" s="12">
        <f>'Inputs (2)'!AC44</f>
        <v>0</v>
      </c>
      <c r="AI281" s="12">
        <f>'Inputs (2)'!AD44</f>
        <v>0</v>
      </c>
      <c r="AJ281" s="12">
        <f>AI281</f>
        <v>0</v>
      </c>
      <c r="AK281" s="12">
        <f>AJ281</f>
        <v>0</v>
      </c>
      <c r="AL281" s="12">
        <f>AK281</f>
        <v>0</v>
      </c>
      <c r="AM281" s="12">
        <f>AL281</f>
        <v>0</v>
      </c>
      <c r="AN281" s="12">
        <f>AM281</f>
        <v>0</v>
      </c>
      <c r="AO281" s="12">
        <f>AN281</f>
        <v>0</v>
      </c>
      <c r="AP281" s="12">
        <f>AO281</f>
        <v>0</v>
      </c>
      <c r="AQ281" s="12">
        <f>AP281</f>
        <v>0</v>
      </c>
      <c r="AR281" s="12">
        <f>AQ281</f>
        <v>0</v>
      </c>
      <c r="AS281" s="12">
        <f>AR281</f>
        <v>0</v>
      </c>
      <c r="AT281" s="12">
        <f>AS281</f>
        <v>0</v>
      </c>
      <c r="AU281" s="12">
        <f>AT281</f>
        <v>0</v>
      </c>
      <c r="AV281" s="12">
        <f>AU281</f>
        <v>0</v>
      </c>
      <c r="AW281" s="12">
        <f>AV281</f>
        <v>0</v>
      </c>
      <c r="AX281" s="12">
        <f>AW281</f>
        <v>0</v>
      </c>
      <c r="AY281" s="12">
        <f>AX281</f>
        <v>0</v>
      </c>
      <c r="AZ281" s="12">
        <f>AY281</f>
        <v>0</v>
      </c>
      <c r="BA281" s="12">
        <f>AZ281</f>
        <v>0</v>
      </c>
      <c r="BB281" s="12">
        <f>BA281</f>
        <v>0</v>
      </c>
      <c r="BC281" s="12">
        <f>BB281</f>
        <v>0</v>
      </c>
      <c r="BD281" s="12">
        <f>BC281</f>
        <v>0</v>
      </c>
      <c r="BE281" s="12">
        <f>BD281</f>
        <v>0</v>
      </c>
      <c r="BF281" s="12">
        <f>BE281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>
      <c r="C282" s="14" t="inlineStr">
        <is>
          <t>Comprehensive (accumulated) loss</t>
        </is>
      </c>
      <c r="D282" s="46" t="n"/>
      <c r="E282" s="46" t="n"/>
      <c r="F282" s="46" t="n"/>
      <c r="G282" s="46" t="n"/>
      <c r="H282" s="12" t="n"/>
      <c r="I282" s="46">
        <f>'Inputs (2)'!D45</f>
        <v>0</v>
      </c>
      <c r="J282" s="46">
        <f>'Inputs (2)'!E45</f>
        <v>0</v>
      </c>
      <c r="K282" s="46">
        <f>'Inputs (2)'!F45</f>
        <v>0</v>
      </c>
      <c r="L282" s="46">
        <f>'Inputs (2)'!G45</f>
        <v>0</v>
      </c>
      <c r="M282" s="12">
        <f>'Inputs (2)'!H45</f>
        <v>0</v>
      </c>
      <c r="N282" s="46">
        <f>'Inputs (2)'!I45</f>
        <v>0</v>
      </c>
      <c r="O282" s="46">
        <f>'Inputs (2)'!J45</f>
        <v>0</v>
      </c>
      <c r="P282" s="46">
        <f>'Inputs (2)'!K45</f>
        <v>0</v>
      </c>
      <c r="Q282" s="46">
        <f>'Inputs (2)'!L45</f>
        <v>0</v>
      </c>
      <c r="R282" s="12">
        <f>'Inputs (2)'!M45</f>
        <v>0</v>
      </c>
      <c r="S282" s="46">
        <f>'Inputs (2)'!N45</f>
        <v>0</v>
      </c>
      <c r="T282" s="46">
        <f>'Inputs (2)'!O45</f>
        <v>0</v>
      </c>
      <c r="U282" s="46">
        <f>'Inputs (2)'!P45</f>
        <v>0</v>
      </c>
      <c r="V282" s="46">
        <f>'Inputs (2)'!Q45</f>
        <v>0</v>
      </c>
      <c r="W282" s="12">
        <f>'Inputs (2)'!R45</f>
        <v>0</v>
      </c>
      <c r="X282" s="46">
        <f>'Inputs (2)'!S45</f>
        <v>0</v>
      </c>
      <c r="Y282" s="46">
        <f>'Inputs (2)'!T45</f>
        <v>0</v>
      </c>
      <c r="Z282" s="46">
        <f>'Inputs (2)'!U45</f>
        <v>0</v>
      </c>
      <c r="AA282" s="46">
        <f>'Inputs (2)'!V45</f>
        <v>0</v>
      </c>
      <c r="AB282" s="12">
        <f>'Inputs (2)'!W45</f>
        <v>0</v>
      </c>
      <c r="AC282" s="46">
        <f>'Inputs (2)'!X45</f>
        <v>0</v>
      </c>
      <c r="AD282" s="46">
        <f>'Inputs (2)'!Y45</f>
        <v>0</v>
      </c>
      <c r="AE282" s="46">
        <f>'Inputs (2)'!Z45</f>
        <v>0</v>
      </c>
      <c r="AF282" s="46">
        <f>'Inputs (2)'!AA45</f>
        <v>0</v>
      </c>
      <c r="AG282" s="12">
        <f>'Inputs (2)'!AB45</f>
        <v>0</v>
      </c>
      <c r="AH282" s="12">
        <f>'Inputs (2)'!AC45</f>
        <v>0</v>
      </c>
      <c r="AI282" s="12">
        <f>'Inputs (2)'!AD45</f>
        <v>0</v>
      </c>
      <c r="AJ282" s="12">
        <f>AI282</f>
        <v>0</v>
      </c>
      <c r="AK282" s="12">
        <f>AJ282</f>
        <v>0</v>
      </c>
      <c r="AL282" s="12">
        <f>AK282</f>
        <v>0</v>
      </c>
      <c r="AM282" s="12">
        <f>AL282</f>
        <v>0</v>
      </c>
      <c r="AN282" s="12">
        <f>AM282</f>
        <v>0</v>
      </c>
      <c r="AO282" s="12">
        <f>AN282</f>
        <v>0</v>
      </c>
      <c r="AP282" s="12">
        <f>AO282</f>
        <v>0</v>
      </c>
      <c r="AQ282" s="12">
        <f>AP282</f>
        <v>0</v>
      </c>
      <c r="AR282" s="12">
        <f>AQ282</f>
        <v>0</v>
      </c>
      <c r="AS282" s="12">
        <f>AR282</f>
        <v>0</v>
      </c>
      <c r="AT282" s="12">
        <f>AS282</f>
        <v>0</v>
      </c>
      <c r="AU282" s="12">
        <f>AT282</f>
        <v>0</v>
      </c>
      <c r="AV282" s="12">
        <f>AU282</f>
        <v>0</v>
      </c>
      <c r="AW282" s="12">
        <f>AV282</f>
        <v>0</v>
      </c>
      <c r="AX282" s="12">
        <f>AW282</f>
        <v>0</v>
      </c>
      <c r="AY282" s="12">
        <f>AX282</f>
        <v>0</v>
      </c>
      <c r="AZ282" s="12">
        <f>AY282</f>
        <v>0</v>
      </c>
      <c r="BA282" s="12">
        <f>AZ282</f>
        <v>0</v>
      </c>
      <c r="BB282" s="12">
        <f>BA282</f>
        <v>0</v>
      </c>
      <c r="BC282" s="12">
        <f>BB282</f>
        <v>0</v>
      </c>
      <c r="BD282" s="12">
        <f>BC282</f>
        <v>0</v>
      </c>
      <c r="BE282" s="12">
        <f>BD282</f>
        <v>0</v>
      </c>
      <c r="BF282" s="12">
        <f>BE282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>
      <c r="C283" s="14" t="inlineStr">
        <is>
          <t>Other equity account</t>
        </is>
      </c>
      <c r="D283" s="46" t="n"/>
      <c r="E283" s="46" t="n"/>
      <c r="F283" s="46" t="n"/>
      <c r="G283" s="46" t="n"/>
      <c r="H283" s="12" t="n"/>
      <c r="I283" s="46">
        <f>'Inputs (2)'!D46</f>
        <v>0</v>
      </c>
      <c r="J283" s="46">
        <f>'Inputs (2)'!E46</f>
        <v>0</v>
      </c>
      <c r="K283" s="46">
        <f>'Inputs (2)'!F46</f>
        <v>0</v>
      </c>
      <c r="L283" s="46">
        <f>'Inputs (2)'!G46</f>
        <v>0</v>
      </c>
      <c r="M283" s="12">
        <f>'Inputs (2)'!H46</f>
        <v>0</v>
      </c>
      <c r="N283" s="46">
        <f>'Inputs (2)'!I46</f>
        <v>0</v>
      </c>
      <c r="O283" s="46">
        <f>'Inputs (2)'!J46</f>
        <v>0</v>
      </c>
      <c r="P283" s="46">
        <f>'Inputs (2)'!K46</f>
        <v>0</v>
      </c>
      <c r="Q283" s="46">
        <f>'Inputs (2)'!L46</f>
        <v>0</v>
      </c>
      <c r="R283" s="12">
        <f>'Inputs (2)'!M46</f>
        <v>0</v>
      </c>
      <c r="S283" s="46">
        <f>'Inputs (2)'!N46</f>
        <v>0</v>
      </c>
      <c r="T283" s="46">
        <f>'Inputs (2)'!O46</f>
        <v>0</v>
      </c>
      <c r="U283" s="46">
        <f>'Inputs (2)'!P46</f>
        <v>0</v>
      </c>
      <c r="V283" s="46">
        <f>'Inputs (2)'!Q46</f>
        <v>0</v>
      </c>
      <c r="W283" s="12">
        <f>'Inputs (2)'!R46</f>
        <v>0</v>
      </c>
      <c r="X283" s="46">
        <f>'Inputs (2)'!S46</f>
        <v>0</v>
      </c>
      <c r="Y283" s="46">
        <f>'Inputs (2)'!T46</f>
        <v>0</v>
      </c>
      <c r="Z283" s="46">
        <f>'Inputs (2)'!U46</f>
        <v>0</v>
      </c>
      <c r="AA283" s="46">
        <f>'Inputs (2)'!V46</f>
        <v>0</v>
      </c>
      <c r="AB283" s="12">
        <f>'Inputs (2)'!W46</f>
        <v>0</v>
      </c>
      <c r="AC283" s="46">
        <f>'Inputs (2)'!X46</f>
        <v>0</v>
      </c>
      <c r="AD283" s="46">
        <f>'Inputs (2)'!Y46</f>
        <v>0</v>
      </c>
      <c r="AE283" s="46">
        <f>'Inputs (2)'!Z46</f>
        <v>0</v>
      </c>
      <c r="AF283" s="46">
        <f>'Inputs (2)'!AA46</f>
        <v>0</v>
      </c>
      <c r="AG283" s="12">
        <f>'Inputs (2)'!AB46</f>
        <v>0</v>
      </c>
      <c r="AH283" s="12">
        <f>'Inputs (2)'!AC46</f>
        <v>0</v>
      </c>
      <c r="AI283" s="12">
        <f>'Inputs (2)'!AD46</f>
        <v>0</v>
      </c>
      <c r="AJ283" s="12">
        <f>AI283</f>
        <v>0</v>
      </c>
      <c r="AK283" s="12">
        <f>AJ283</f>
        <v>0</v>
      </c>
      <c r="AL283" s="12">
        <f>AK283</f>
        <v>0</v>
      </c>
      <c r="AM283" s="12">
        <f>AL283</f>
        <v>0</v>
      </c>
      <c r="AN283" s="12">
        <f>AM283</f>
        <v>0</v>
      </c>
      <c r="AO283" s="12">
        <f>AN283</f>
        <v>0</v>
      </c>
      <c r="AP283" s="12">
        <f>AO283</f>
        <v>0</v>
      </c>
      <c r="AQ283" s="12">
        <f>AP283</f>
        <v>0</v>
      </c>
      <c r="AR283" s="12">
        <f>AQ283</f>
        <v>0</v>
      </c>
      <c r="AS283" s="12">
        <f>AR283</f>
        <v>0</v>
      </c>
      <c r="AT283" s="12">
        <f>AS283</f>
        <v>0</v>
      </c>
      <c r="AU283" s="12">
        <f>AT283</f>
        <v>0</v>
      </c>
      <c r="AV283" s="12">
        <f>AU283</f>
        <v>0</v>
      </c>
      <c r="AW283" s="12">
        <f>AV283</f>
        <v>0</v>
      </c>
      <c r="AX283" s="12">
        <f>AW283</f>
        <v>0</v>
      </c>
      <c r="AY283" s="12">
        <f>AX283</f>
        <v>0</v>
      </c>
      <c r="AZ283" s="12">
        <f>AY283</f>
        <v>0</v>
      </c>
      <c r="BA283" s="12">
        <f>AZ283</f>
        <v>0</v>
      </c>
      <c r="BB283" s="12">
        <f>BA283</f>
        <v>0</v>
      </c>
      <c r="BC283" s="12">
        <f>BB283</f>
        <v>0</v>
      </c>
      <c r="BD283" s="12">
        <f>BC283</f>
        <v>0</v>
      </c>
      <c r="BE283" s="12">
        <f>BD283</f>
        <v>0</v>
      </c>
      <c r="BF283" s="12">
        <f>BE283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>
      <c r="C284" s="15" t="inlineStr">
        <is>
          <t>Retained earnings</t>
        </is>
      </c>
      <c r="D284" s="46" t="n"/>
      <c r="E284" s="46" t="n"/>
      <c r="F284" s="46" t="n"/>
      <c r="G284" s="46" t="n"/>
      <c r="H284" s="12" t="n"/>
      <c r="I284" s="46">
        <f>'Inputs (2)'!D47</f>
        <v>230.805</v>
      </c>
      <c r="J284" s="46">
        <f>'Inputs (2)'!E47</f>
        <v>232.601</v>
      </c>
      <c r="K284" s="46">
        <f>'Inputs (2)'!F47</f>
        <v>300.006</v>
      </c>
      <c r="L284" s="46">
        <f>'Inputs (2)'!G47</f>
        <v>282.567</v>
      </c>
      <c r="M284" s="12">
        <f>'Inputs (2)'!H47</f>
        <v>282.567</v>
      </c>
      <c r="N284" s="46">
        <f>'Inputs (2)'!I47</f>
        <v>344.47</v>
      </c>
      <c r="O284" s="46">
        <f>'Inputs (2)'!J47</f>
        <v>351.986</v>
      </c>
      <c r="P284" s="46">
        <f>'Inputs (2)'!K47</f>
        <v>441.858</v>
      </c>
      <c r="Q284" s="46">
        <f>'Inputs (2)'!L47</f>
        <v>455.295</v>
      </c>
      <c r="R284" s="12">
        <f>'Inputs (2)'!M47</f>
        <v>455.295</v>
      </c>
      <c r="S284" s="46">
        <f>'Inputs (2)'!N47</f>
        <v>547.144</v>
      </c>
      <c r="T284" s="46">
        <f>'Inputs (2)'!O47</f>
        <v>668.517</v>
      </c>
      <c r="U284" s="46">
        <f>'Inputs (2)'!P47</f>
        <v>626.737</v>
      </c>
      <c r="V284" s="46">
        <f>'Inputs (2)'!Q47</f>
        <v>568.523</v>
      </c>
      <c r="W284" s="12">
        <f>'Inputs (2)'!R47</f>
        <v>568.523</v>
      </c>
      <c r="X284" s="46">
        <f>'Inputs (2)'!S47</f>
        <v>709.764</v>
      </c>
      <c r="Y284" s="46">
        <f>'Inputs (2)'!T47</f>
        <v>617.011</v>
      </c>
      <c r="Z284" s="46">
        <f>'Inputs (2)'!U47</f>
        <v>787.582</v>
      </c>
      <c r="AA284" s="46">
        <f>'Inputs (2)'!V47</f>
        <v>599.028</v>
      </c>
      <c r="AB284" s="12">
        <f>'Inputs (2)'!W47</f>
        <v>599.028</v>
      </c>
      <c r="AC284" s="46">
        <f>'Inputs (2)'!X47</f>
        <v>637.503</v>
      </c>
      <c r="AD284" s="46">
        <f>'Inputs (2)'!Y47</f>
        <v>774.234</v>
      </c>
      <c r="AE284" s="46">
        <f>'Inputs (2)'!Z47</f>
        <v>829.487</v>
      </c>
      <c r="AF284" s="46">
        <f>'Inputs (2)'!AA47</f>
        <v>276.564</v>
      </c>
      <c r="AG284" s="12">
        <f>'Inputs (2)'!AB47</f>
        <v>276.564</v>
      </c>
      <c r="AH284" s="12">
        <f>'Inputs (2)'!AC47</f>
        <v>439.431</v>
      </c>
      <c r="AI284" s="12">
        <f>'Inputs (2)'!AD47</f>
        <v>549.882</v>
      </c>
      <c r="AJ284" s="12">
        <f>AI284+AJ151+AJ152</f>
        <v>998.04643121448</v>
      </c>
      <c r="AK284" s="12">
        <f>AJ284+AK151+AK152</f>
        <v>1447.09300489699</v>
      </c>
      <c r="AL284" s="12">
        <f>AK284</f>
        <v>1447.09300489699</v>
      </c>
      <c r="AM284" s="12">
        <f>AL284+AM151+AM152</f>
        <v>1957.13867066074</v>
      </c>
      <c r="AN284" s="12">
        <f>AM284+AN151+AN152</f>
        <v>2491.86250128041</v>
      </c>
      <c r="AO284" s="12">
        <f>AN284+AO151+AO152</f>
        <v>3096.63210800378</v>
      </c>
      <c r="AP284" s="12">
        <f>AO284+AP151+AP152</f>
        <v>3702.59211029697</v>
      </c>
      <c r="AQ284" s="12">
        <f>AP284</f>
        <v>3702.59211029697</v>
      </c>
      <c r="AR284" s="12">
        <f>AQ284+AR151+AR152</f>
        <v>4388.31630807333</v>
      </c>
      <c r="AS284" s="12">
        <f>AR284+AS151+AS152</f>
        <v>5107.218740534</v>
      </c>
      <c r="AT284" s="12">
        <f>AS284+AT151+AT152</f>
        <v>5920.29329688559</v>
      </c>
      <c r="AU284" s="12">
        <f>AT284+AU151+AU152</f>
        <v>6734.96826492958</v>
      </c>
      <c r="AV284" s="12">
        <f>AU284</f>
        <v>6734.96826492958</v>
      </c>
      <c r="AW284" s="12">
        <f>AV284+AW151+AW152</f>
        <v>7653.45253719493</v>
      </c>
      <c r="AX284" s="12">
        <f>AW284+AX151+AX152</f>
        <v>8616.37696023502</v>
      </c>
      <c r="AY284" s="12">
        <f>AX284+AY151+AY152</f>
        <v>9705.43899801892</v>
      </c>
      <c r="AZ284" s="12">
        <f>AY284+AZ151+AZ152</f>
        <v>10796.6446862287</v>
      </c>
      <c r="BA284" s="12">
        <f>AZ284</f>
        <v>10796.6446862287</v>
      </c>
      <c r="BB284" s="12">
        <f>BA284+BB151+BB152</f>
        <v>12022.303962466</v>
      </c>
      <c r="BC284" s="12">
        <f>BB284+BC151+BC152</f>
        <v>13307.2658143479</v>
      </c>
      <c r="BD284" s="12">
        <f>BC284+BD151+BD152</f>
        <v>14760.5503498746</v>
      </c>
      <c r="BE284" s="12">
        <f>BD284+BE151+BE152</f>
        <v>16216.6954515633</v>
      </c>
      <c r="BF284" s="12">
        <f>BE284</f>
        <v>16216.6954515633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customFormat="1" s="32">
      <c r="A285" s="30" t="inlineStr">
        <is>
          <t xml:space="preserve"> </t>
        </is>
      </c>
      <c r="B285" s="30" t="n"/>
      <c r="C285" s="65" t="inlineStr">
        <is>
          <t>Total Shareholders' Equity</t>
        </is>
      </c>
      <c r="D285" s="35" t="n"/>
      <c r="E285" s="35" t="n"/>
      <c r="F285" s="35" t="n"/>
      <c r="G285" s="35" t="n"/>
      <c r="H285" s="35" t="n"/>
      <c r="I285" s="35">
        <f>SUM(I262+I267+I268+I281+I282+I283+I284)</f>
        <v>693.715</v>
      </c>
      <c r="J285" s="35">
        <f>SUM(J262+J267+J268+J281+J282+J283+J284)</f>
        <v>691.385</v>
      </c>
      <c r="K285" s="35">
        <f>SUM(K262+K267+K268+K281+K282+K283+K284)</f>
        <v>757.192</v>
      </c>
      <c r="L285" s="35">
        <f>SUM(L262+L267+L268+L281+L282+L283+L284)</f>
        <v>738.328</v>
      </c>
      <c r="M285" s="35">
        <f>SUM(M262,M267,M268,M281,M282,M283,M284)</f>
        <v>738.328</v>
      </c>
      <c r="N285" s="35">
        <f>SUM(N262+N267+N268+N281+N282+N283+N284)</f>
        <v>792.142</v>
      </c>
      <c r="O285" s="35">
        <f>SUM(O262+O267+O268+O281+O282+O283+O284)</f>
        <v>796.246</v>
      </c>
      <c r="P285" s="35">
        <f>SUM(P262+P267+P268+P281+P282+P283+P284)</f>
        <v>872.333</v>
      </c>
      <c r="Q285" s="35">
        <f>SUM(Q262+Q267+Q268+Q281+Q282+Q283+Q284)</f>
        <v>877.748</v>
      </c>
      <c r="R285" s="35">
        <f>SUM(R262,R267,R268,R281,R282,R283,R284)</f>
        <v>877.748</v>
      </c>
      <c r="S285" s="35">
        <f>SUM(S262+S267+S268+S281+S282+S283+S284)</f>
        <v>969.653</v>
      </c>
      <c r="T285" s="35">
        <f>SUM(T262+T267+T268+T281+T282+T283+T284)</f>
        <v>1102.487</v>
      </c>
      <c r="U285" s="35">
        <f>SUM(U262+U267+U268+U281+U282+U283+U284)</f>
        <v>1056.164</v>
      </c>
      <c r="V285" s="35">
        <f>SUM(V262+V267+V268+V281+V282+V283+V284)</f>
        <v>996.98</v>
      </c>
      <c r="W285" s="35">
        <f>SUM(W262,W267,W268,W281,W282,W283,W284)</f>
        <v>996.98</v>
      </c>
      <c r="X285" s="35">
        <f>SUM(X262+X267+X268+X281+X282+X283+X284)</f>
        <v>1158.442</v>
      </c>
      <c r="Y285" s="35">
        <f>SUM(Y262+Y267+Y268+Y281+Y282+Y283+Y284)</f>
        <v>1052.97</v>
      </c>
      <c r="Z285" s="35">
        <f>SUM(Z262+Z267+Z268+Z281+Z282+Z283+Z284)</f>
        <v>1233.32</v>
      </c>
      <c r="AA285" s="35">
        <f>SUM(AA262+AA267+AA268+AA281+AA282+AA283+AA284)</f>
        <v>1309.539</v>
      </c>
      <c r="AB285" s="35">
        <f>SUM(AB262,AB267,AB268,AB281,AB282,AB283,AB284)</f>
        <v>1309.539</v>
      </c>
      <c r="AC285" s="35">
        <f>SUM(AC262+AC267+AC268+AC281+AC282+AC283+AC284)</f>
        <v>1361.484</v>
      </c>
      <c r="AD285" s="35">
        <f>SUM(AD262+AD267+AD268+AD281+AD282+AD283+AD284)</f>
        <v>1578.294</v>
      </c>
      <c r="AE285" s="35">
        <f>SUM(AE262+AE267+AE268+AE281+AE282+AE283+AE284)</f>
        <v>1642.129</v>
      </c>
      <c r="AF285" s="35">
        <f>SUM(AF262+AF267+AF268+AF281+AF282+AF283+AF284)</f>
        <v>1662.054</v>
      </c>
      <c r="AG285" s="35">
        <f>SUM(AG262,AG267,AG268,AG281,AG282,AG283,AG284)</f>
        <v>1662.054</v>
      </c>
      <c r="AH285" s="35">
        <f>SUM(AH262+AH267+AH268+AH281+AH282+AH283+AH284)</f>
        <v>1891.97</v>
      </c>
      <c r="AI285" s="35">
        <f>SUM(AI262+AI267+AI268+AI281+AI282+AI283+AI284)</f>
        <v>2048.841</v>
      </c>
      <c r="AJ285" s="35">
        <f>SUM(AJ262+AJ267+AJ268+AJ281+AJ282+AJ283+AJ284)</f>
        <v>2497.00543121448</v>
      </c>
      <c r="AK285" s="35">
        <f>SUM(AK262+AK267+AK268+AK281+AK282+AK283+AK284)</f>
        <v>2946.05200489699</v>
      </c>
      <c r="AL285" s="35">
        <f>SUM(AL262,AL267,AL268,AL281,AL282,AL283,AL284)</f>
        <v>2946.05200489699</v>
      </c>
      <c r="AM285" s="35">
        <f>SUM(AM262+AM267+AM268+AM281+AM282+AM283+AM284)</f>
        <v>3456.09767066074</v>
      </c>
      <c r="AN285" s="35">
        <f>SUM(AN262+AN267+AN268+AN281+AN282+AN283+AN284)</f>
        <v>3990.82150128041</v>
      </c>
      <c r="AO285" s="35">
        <f>SUM(AO262+AO267+AO268+AO281+AO282+AO283+AO284)</f>
        <v>4595.59110800378</v>
      </c>
      <c r="AP285" s="35">
        <f>SUM(AP262+AP267+AP268+AP281+AP282+AP283+AP284)</f>
        <v>5201.55111029697</v>
      </c>
      <c r="AQ285" s="35">
        <f>SUM(AQ262,AQ267,AQ268,AQ281,AQ282,AQ283,AQ284)</f>
        <v>5201.55111029697</v>
      </c>
      <c r="AR285" s="35">
        <f>SUM(AR262+AR267+AR268+AR281+AR282+AR283+AR284)</f>
        <v>5887.27530807333</v>
      </c>
      <c r="AS285" s="35">
        <f>SUM(AS262+AS267+AS268+AS281+AS282+AS283+AS284)</f>
        <v>6606.177740534</v>
      </c>
      <c r="AT285" s="35">
        <f>SUM(AT262+AT267+AT268+AT281+AT282+AT283+AT284)</f>
        <v>7419.25229688559</v>
      </c>
      <c r="AU285" s="35">
        <f>SUM(AU262+AU267+AU268+AU281+AU282+AU283+AU284)</f>
        <v>8233.92726492958</v>
      </c>
      <c r="AV285" s="35">
        <f>SUM(AV262,AV267,AV268,AV281,AV282,AV283,AV284)</f>
        <v>8233.92726492958</v>
      </c>
      <c r="AW285" s="35">
        <f>SUM(AW262+AW267+AW268+AW281+AW282+AW283+AW284)</f>
        <v>9152.41153719493</v>
      </c>
      <c r="AX285" s="35">
        <f>SUM(AX262+AX267+AX268+AX281+AX282+AX283+AX284)</f>
        <v>10115.335960235</v>
      </c>
      <c r="AY285" s="35">
        <f>SUM(AY262+AY267+AY268+AY281+AY282+AY283+AY284)</f>
        <v>11204.3979980189</v>
      </c>
      <c r="AZ285" s="35">
        <f>SUM(AZ262+AZ267+AZ268+AZ281+AZ282+AZ283+AZ284)</f>
        <v>12295.6036862287</v>
      </c>
      <c r="BA285" s="35">
        <f>SUM(BA262,BA267,BA268,BA281,BA282,BA283,BA284)</f>
        <v>12295.6036862287</v>
      </c>
      <c r="BB285" s="35">
        <f>SUM(BB262+BB267+BB268+BB281+BB282+BB283+BB284)</f>
        <v>13521.262962466</v>
      </c>
      <c r="BC285" s="35">
        <f>SUM(BC262+BC267+BC268+BC281+BC282+BC283+BC284)</f>
        <v>14806.2248143479</v>
      </c>
      <c r="BD285" s="35">
        <f>SUM(BD262+BD267+BD268+BD281+BD282+BD283+BD284)</f>
        <v>16259.5093498746</v>
      </c>
      <c r="BE285" s="35">
        <f>SUM(BE262+BE267+BE268+BE281+BE282+BE283+BE284)</f>
        <v>17715.6544515633</v>
      </c>
      <c r="BF285" s="35">
        <f>SUM(BF262,BF267,BF268,BF281,BF282,BF283,BF284)</f>
        <v>17715.6544515633</v>
      </c>
      <c r="BG285" s="35" t="n"/>
      <c r="BH285" s="35" t="n"/>
      <c r="BI285" s="35" t="n"/>
      <c r="BJ285" s="35" t="n"/>
      <c r="BK285" s="35" t="n"/>
      <c r="BL285" s="35" t="n"/>
      <c r="BM285" s="35" t="n"/>
      <c r="BN285" s="35" t="n"/>
      <c r="BO285" s="35" t="n"/>
      <c r="BP285" s="35" t="n"/>
      <c r="BQ285" s="35" t="n"/>
      <c r="BR285" s="35" t="n"/>
      <c r="BS285" s="35" t="n"/>
      <c r="BT285" s="35" t="n"/>
      <c r="BU285" s="35" t="n"/>
      <c r="BV285" s="35" t="n"/>
      <c r="BW285" s="35" t="n"/>
      <c r="BX285" s="35" t="n"/>
      <c r="BY285" s="35" t="n"/>
      <c r="BZ285" s="35" t="n"/>
      <c r="CA285" s="35" t="n"/>
      <c r="CB285" s="35" t="n"/>
      <c r="CC285" s="35" t="n"/>
      <c r="CD285" s="35" t="n"/>
      <c r="CE285" s="35" t="n"/>
      <c r="CF285" s="35" t="n"/>
      <c r="CG285" s="35" t="n"/>
      <c r="CH285" s="35" t="n"/>
      <c r="CI285" s="35" t="n"/>
      <c r="CJ285" s="35" t="n"/>
      <c r="CK285" s="35" t="n"/>
      <c r="CL285" s="35" t="n"/>
      <c r="CM285" s="35" t="n"/>
      <c r="CN285" s="35" t="n"/>
      <c r="CO285" s="35" t="n"/>
      <c r="CP285" s="35" t="n"/>
      <c r="CQ285" s="35" t="n"/>
      <c r="CR285" s="35" t="n"/>
      <c r="CS285" s="35" t="n"/>
      <c r="CT285" s="35" t="n"/>
      <c r="CU285" s="35" t="n"/>
      <c r="CV285" s="35" t="n"/>
      <c r="CW285" s="35" t="n"/>
      <c r="CX285" s="35" t="n"/>
      <c r="CY285" s="35" t="n"/>
    </row>
    <row r="286">
      <c r="C286" s="10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  <c r="AQ286" s="12" t="n"/>
      <c r="AR286" s="12" t="n"/>
      <c r="AS286" s="12" t="n"/>
      <c r="AT286" s="12" t="n"/>
      <c r="AU286" s="12" t="n"/>
      <c r="AV286" s="12" t="n"/>
      <c r="AW286" s="12" t="n"/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 customFormat="1" s="32">
      <c r="A287" s="30" t="n"/>
      <c r="B287" s="3" t="n"/>
      <c r="C287" s="33" t="inlineStr">
        <is>
          <t>Total Liabilities + Shareholders' Equity</t>
        </is>
      </c>
      <c r="D287" s="35" t="n"/>
      <c r="E287" s="35" t="n"/>
      <c r="F287" s="35" t="n"/>
      <c r="G287" s="35" t="n"/>
      <c r="H287" s="35" t="n"/>
      <c r="I287" s="35">
        <f>I285+I261</f>
        <v>1918.297</v>
      </c>
      <c r="J287" s="35">
        <f>J285+J261</f>
        <v>2032.57</v>
      </c>
      <c r="K287" s="35">
        <f>K285+K261</f>
        <v>2177.211</v>
      </c>
      <c r="L287" s="35">
        <f>L285+L261</f>
        <v>2597.922</v>
      </c>
      <c r="M287" s="35">
        <f>M285+M261</f>
        <v>2597.922</v>
      </c>
      <c r="N287" s="35">
        <f>N285+N261</f>
        <v>2933.909</v>
      </c>
      <c r="O287" s="35">
        <f>O285+O261</f>
        <v>2917.631</v>
      </c>
      <c r="P287" s="35">
        <f>P285+P261</f>
        <v>2784.853</v>
      </c>
      <c r="Q287" s="35">
        <f>Q285+Q261</f>
        <v>2798.431</v>
      </c>
      <c r="R287" s="35">
        <f>R285+R261</f>
        <v>2798.431</v>
      </c>
      <c r="S287" s="35">
        <f>S285+S261</f>
        <v>2733.836</v>
      </c>
      <c r="T287" s="35">
        <f>T285+T261</f>
        <v>2836.65</v>
      </c>
      <c r="U287" s="35">
        <f>U285+U261</f>
        <v>3150.612</v>
      </c>
      <c r="V287" s="35">
        <f>V285+V261</f>
        <v>3092.023</v>
      </c>
      <c r="W287" s="35">
        <f>W285+W261</f>
        <v>3092.023</v>
      </c>
      <c r="X287" s="35">
        <f>X285+X261</f>
        <v>3412.477</v>
      </c>
      <c r="Y287" s="35">
        <f>Y285+Y261</f>
        <v>3983.671</v>
      </c>
      <c r="Z287" s="35">
        <f>Z285+Z261</f>
        <v>3957.292</v>
      </c>
      <c r="AA287" s="35">
        <f>AA285+AA261</f>
        <v>4339.295</v>
      </c>
      <c r="AB287" s="35">
        <f>AB285+AB261</f>
        <v>4339.295</v>
      </c>
      <c r="AC287" s="35">
        <f>AC285+AC261</f>
        <v>4870.968</v>
      </c>
      <c r="AD287" s="35">
        <f>AD285+AD261</f>
        <v>5183.964</v>
      </c>
      <c r="AE287" s="35">
        <f>AE285+AE261</f>
        <v>5631.997</v>
      </c>
      <c r="AF287" s="35">
        <f>AF285+AF261</f>
        <v>5654.395</v>
      </c>
      <c r="AG287" s="35">
        <f>AG285+AG261</f>
        <v>5654.395</v>
      </c>
      <c r="AH287" s="35">
        <f>AH285+AH261</f>
        <v>6195.487</v>
      </c>
      <c r="AI287" s="35">
        <f>AI285+AI261</f>
        <v>6278.509</v>
      </c>
      <c r="AJ287" s="35">
        <f>AJ285+AJ261</f>
        <v>6806.70582361875</v>
      </c>
      <c r="AK287" s="35">
        <f>AK285+AK261</f>
        <v>7312.15802470733</v>
      </c>
      <c r="AL287" s="35">
        <f>AL285+AL261</f>
        <v>7312.15802470733</v>
      </c>
      <c r="AM287" s="35">
        <f>AM285+AM261</f>
        <v>7960.27894311432</v>
      </c>
      <c r="AN287" s="35">
        <f>AN285+AN261</f>
        <v>8613.05614976912</v>
      </c>
      <c r="AO287" s="35">
        <f>AO285+AO261</f>
        <v>9410.42952186251</v>
      </c>
      <c r="AP287" s="35">
        <f>AP285+AP261</f>
        <v>10201.9179347468</v>
      </c>
      <c r="AQ287" s="35">
        <f>AQ285+AQ261</f>
        <v>10201.9179347468</v>
      </c>
      <c r="AR287" s="35">
        <f>AR285+AR261</f>
        <v>11209.0701056158</v>
      </c>
      <c r="AS287" s="35">
        <f>AS285+AS261</f>
        <v>12287.1069778361</v>
      </c>
      <c r="AT287" s="35">
        <f>AT285+AT261</f>
        <v>13618.8757338959</v>
      </c>
      <c r="AU287" s="35">
        <f>AU285+AU261</f>
        <v>15031.2811754664</v>
      </c>
      <c r="AV287" s="35">
        <f>AV285+AV261</f>
        <v>15031.2811754664</v>
      </c>
      <c r="AW287" s="35">
        <f>AW285+AW261</f>
        <v>16848.0489576209</v>
      </c>
      <c r="AX287" s="35">
        <f>AX285+AX261</f>
        <v>18899.4037462781</v>
      </c>
      <c r="AY287" s="35">
        <f>AY285+AY261</f>
        <v>21506.6139627346</v>
      </c>
      <c r="AZ287" s="35">
        <f>AZ285+AZ261</f>
        <v>24498.3502726912</v>
      </c>
      <c r="BA287" s="35">
        <f>BA285+BA261</f>
        <v>24498.3502726912</v>
      </c>
      <c r="BB287" s="35">
        <f>BB285+BB261</f>
        <v>28370.506891573</v>
      </c>
      <c r="BC287" s="35">
        <f>BC285+BC261</f>
        <v>33039.3632957343</v>
      </c>
      <c r="BD287" s="35">
        <f>BD285+BD261</f>
        <v>39088.8616635162</v>
      </c>
      <c r="BE287" s="35">
        <f>BE285+BE261</f>
        <v>46501.6447190205</v>
      </c>
      <c r="BF287" s="35">
        <f>BF285+BF261</f>
        <v>46501.6447190205</v>
      </c>
      <c r="BG287" s="35" t="n"/>
      <c r="BH287" s="35" t="n"/>
      <c r="BI287" s="35" t="n"/>
      <c r="BJ287" s="35" t="n"/>
      <c r="BK287" s="35" t="n"/>
      <c r="BL287" s="35" t="n"/>
      <c r="BM287" s="35" t="n"/>
      <c r="BN287" s="35" t="n"/>
      <c r="BO287" s="35" t="n"/>
      <c r="BP287" s="35" t="n"/>
      <c r="BQ287" s="35" t="n"/>
      <c r="BR287" s="35" t="n"/>
      <c r="BS287" s="35" t="n"/>
      <c r="BT287" s="35" t="n"/>
      <c r="BU287" s="35" t="n"/>
      <c r="BV287" s="35" t="n"/>
      <c r="BW287" s="35" t="n"/>
      <c r="BX287" s="35" t="n"/>
      <c r="BY287" s="35" t="n"/>
      <c r="BZ287" s="35" t="n"/>
      <c r="CA287" s="35" t="n"/>
      <c r="CB287" s="35" t="n"/>
      <c r="CC287" s="35" t="n"/>
      <c r="CD287" s="35" t="n"/>
      <c r="CE287" s="35" t="n"/>
      <c r="CF287" s="35" t="n"/>
      <c r="CG287" s="35" t="n"/>
      <c r="CH287" s="35" t="n"/>
      <c r="CI287" s="35" t="n"/>
      <c r="CJ287" s="35" t="n"/>
      <c r="CK287" s="35" t="n"/>
      <c r="CL287" s="35" t="n"/>
      <c r="CM287" s="35" t="n"/>
      <c r="CN287" s="35" t="n"/>
      <c r="CO287" s="35" t="n"/>
      <c r="CP287" s="35" t="n"/>
      <c r="CQ287" s="35" t="n"/>
      <c r="CR287" s="35" t="n"/>
      <c r="CS287" s="35" t="n"/>
      <c r="CT287" s="35" t="n"/>
      <c r="CU287" s="35" t="n"/>
      <c r="CV287" s="35" t="n"/>
      <c r="CW287" s="35" t="n"/>
      <c r="CX287" s="35" t="n"/>
      <c r="CY287" s="35" t="n"/>
    </row>
    <row r="288">
      <c r="C288" s="18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  <c r="AY288" s="3" t="n"/>
      <c r="AZ288" s="3" t="n"/>
      <c r="BA288" s="3" t="n"/>
      <c r="BB288" s="3" t="n"/>
      <c r="BC288" s="3" t="n"/>
      <c r="BD288" s="3" t="n"/>
      <c r="BE288" s="3" t="n"/>
      <c r="BF288" s="3" t="n"/>
      <c r="BG288" s="3" t="n"/>
      <c r="BH288" s="3" t="n"/>
      <c r="BI288" s="3" t="n"/>
      <c r="BJ288" s="3" t="n"/>
      <c r="BK288" s="3" t="n"/>
      <c r="BL288" s="3" t="n"/>
      <c r="BM288" s="3" t="n"/>
      <c r="BN288" s="3" t="n"/>
      <c r="BO288" s="3" t="n"/>
      <c r="BP288" s="3" t="n"/>
      <c r="BQ288" s="3" t="n"/>
      <c r="BR288" s="3" t="n"/>
      <c r="BS288" s="3" t="n"/>
      <c r="BT288" s="3" t="n"/>
      <c r="BU288" s="3" t="n"/>
      <c r="BV288" s="3" t="n"/>
      <c r="BW288" s="3" t="n"/>
      <c r="BX288" s="3" t="n"/>
      <c r="BY288" s="3" t="n"/>
      <c r="BZ288" s="3" t="n"/>
      <c r="CA288" s="3" t="n"/>
      <c r="CB288" s="3" t="n"/>
      <c r="CC288" s="3" t="n"/>
      <c r="CD288" s="3" t="n"/>
      <c r="CE288" s="3" t="n"/>
      <c r="CF288" s="3" t="n"/>
      <c r="CG288" s="3" t="n"/>
      <c r="CH288" s="3" t="n"/>
      <c r="CI288" s="3" t="n"/>
      <c r="CJ288" s="3" t="n"/>
      <c r="CK288" s="3" t="n"/>
      <c r="CL288" s="3" t="n"/>
      <c r="CM288" s="3" t="n"/>
      <c r="CN288" s="3" t="n"/>
      <c r="CO288" s="3" t="n"/>
      <c r="CP288" s="3" t="n"/>
      <c r="CQ288" s="3" t="n"/>
      <c r="CR288" s="3" t="n"/>
      <c r="CS288" s="3" t="n"/>
      <c r="CT288" s="3" t="n"/>
      <c r="CU288" s="3" t="n"/>
      <c r="CV288" s="3" t="n"/>
      <c r="CW288" s="3" t="n"/>
      <c r="CX288" s="3" t="n"/>
      <c r="CY288" s="3" t="n"/>
    </row>
    <row r="289" customFormat="1" s="32">
      <c r="A289" s="30" t="n"/>
      <c r="B289" s="30" t="n"/>
      <c r="C289" s="31" t="inlineStr">
        <is>
          <t>Cash Flow Statement</t>
        </is>
      </c>
      <c r="D289" s="70" t="n"/>
      <c r="E289" s="70" t="n"/>
      <c r="F289" s="70" t="n"/>
      <c r="G289" s="70" t="n"/>
      <c r="H289" s="70" t="n"/>
      <c r="I289" s="70" t="str">
        <f>I156</f>
        <v>1Q21</v>
      </c>
      <c r="J289" s="70" t="str">
        <f>J156</f>
        <v>2Q21</v>
      </c>
      <c r="K289" s="70" t="str">
        <f>K156</f>
        <v>3Q21</v>
      </c>
      <c r="L289" s="70" t="str">
        <f>L156</f>
        <v>4Q21</v>
      </c>
      <c r="M289" s="70">
        <f>M156</f>
        <v>2021</v>
      </c>
      <c r="N289" s="70" t="str">
        <f>N156</f>
        <v>1Q22</v>
      </c>
      <c r="O289" s="70" t="str">
        <f>O156</f>
        <v>2Q22</v>
      </c>
      <c r="P289" s="70" t="str">
        <f>P156</f>
        <v>3Q22</v>
      </c>
      <c r="Q289" s="70" t="str">
        <f>Q156</f>
        <v>4Q22</v>
      </c>
      <c r="R289" s="70">
        <f>R156</f>
        <v>2022</v>
      </c>
      <c r="S289" s="70" t="str">
        <f>S156</f>
        <v>1Q23</v>
      </c>
      <c r="T289" s="70" t="str">
        <f>T156</f>
        <v>2Q23</v>
      </c>
      <c r="U289" s="70" t="str">
        <f>U156</f>
        <v>3Q23</v>
      </c>
      <c r="V289" s="70" t="str">
        <f>V156</f>
        <v>4Q23</v>
      </c>
      <c r="W289" s="70">
        <f>W156</f>
        <v>2023</v>
      </c>
      <c r="X289" s="70" t="str">
        <f>X156</f>
        <v>1Q24</v>
      </c>
      <c r="Y289" s="70" t="str">
        <f>Y156</f>
        <v>2Q24</v>
      </c>
      <c r="Z289" s="70" t="str">
        <f>Z156</f>
        <v>3Q24</v>
      </c>
      <c r="AA289" s="70" t="str">
        <f>AA156</f>
        <v>4Q24</v>
      </c>
      <c r="AB289" s="70">
        <f>AB156</f>
        <v>2024</v>
      </c>
      <c r="AC289" s="70" t="str">
        <f>AC156</f>
        <v>1Q25</v>
      </c>
      <c r="AD289" s="70" t="str">
        <f>AD156</f>
        <v>2Q25</v>
      </c>
      <c r="AE289" s="70" t="str">
        <f>AE156</f>
        <v>3Q25</v>
      </c>
      <c r="AF289" s="70" t="str">
        <f>AF156</f>
        <v>4Q25</v>
      </c>
      <c r="AG289" s="70">
        <f>AG156</f>
        <v>2025</v>
      </c>
      <c r="AH289" s="70" t="str">
        <f>AH156</f>
        <v>1Q26</v>
      </c>
      <c r="AI289" s="70" t="str">
        <f>AI156</f>
        <v>2Q26</v>
      </c>
      <c r="AJ289" s="70" t="str">
        <f>AJ156</f>
        <v>3Q26</v>
      </c>
      <c r="AK289" s="70" t="str">
        <f>AK156</f>
        <v>4Q26</v>
      </c>
      <c r="AL289" s="70">
        <f>AL156</f>
        <v>2026</v>
      </c>
      <c r="AM289" s="70" t="str">
        <f>AM156</f>
        <v>1Q27</v>
      </c>
      <c r="AN289" s="70" t="str">
        <f>AN156</f>
        <v>2Q27</v>
      </c>
      <c r="AO289" s="70" t="str">
        <f>AO156</f>
        <v>3Q27</v>
      </c>
      <c r="AP289" s="70" t="str">
        <f>AP156</f>
        <v>4Q27</v>
      </c>
      <c r="AQ289" s="70">
        <f>AQ156</f>
        <v>2027</v>
      </c>
      <c r="AR289" s="70" t="str">
        <f>AR156</f>
        <v>1Q28</v>
      </c>
      <c r="AS289" s="70" t="str">
        <f>AS156</f>
        <v>2Q28</v>
      </c>
      <c r="AT289" s="70" t="str">
        <f>AT156</f>
        <v>3Q28</v>
      </c>
      <c r="AU289" s="70" t="str">
        <f>AU156</f>
        <v>4Q28</v>
      </c>
      <c r="AV289" s="70">
        <f>AV156</f>
        <v>2028</v>
      </c>
      <c r="AW289" s="70" t="str">
        <f>AW156</f>
        <v>1Q29</v>
      </c>
      <c r="AX289" s="70" t="str">
        <f>AX156</f>
        <v>2Q29</v>
      </c>
      <c r="AY289" s="70" t="str">
        <f>AY156</f>
        <v>3Q29</v>
      </c>
      <c r="AZ289" s="70" t="str">
        <f>AZ156</f>
        <v>4Q29</v>
      </c>
      <c r="BA289" s="70">
        <f>BA156</f>
        <v>2029</v>
      </c>
      <c r="BB289" s="70" t="str">
        <f>BB156</f>
        <v>1Q30</v>
      </c>
      <c r="BC289" s="70" t="str">
        <f>BC156</f>
        <v>2Q30</v>
      </c>
      <c r="BD289" s="70" t="str">
        <f>BD156</f>
        <v>3Q30</v>
      </c>
      <c r="BE289" s="70" t="str">
        <f>BE156</f>
        <v>4Q30</v>
      </c>
      <c r="BF289" s="70">
        <f>BF156</f>
        <v>2030</v>
      </c>
      <c r="BG289" s="70" t="n"/>
      <c r="BH289" s="70" t="n"/>
      <c r="BI289" s="70" t="n"/>
      <c r="BJ289" s="70" t="n"/>
      <c r="BK289" s="70" t="n"/>
      <c r="BL289" s="70" t="n"/>
      <c r="BM289" s="70" t="n"/>
      <c r="BN289" s="70" t="n"/>
      <c r="BO289" s="70" t="n"/>
      <c r="BP289" s="70" t="n"/>
      <c r="BQ289" s="70" t="n"/>
      <c r="BR289" s="70" t="n"/>
      <c r="BS289" s="70" t="n"/>
      <c r="BT289" s="70" t="n"/>
      <c r="BU289" s="70" t="n"/>
      <c r="BV289" s="70" t="n"/>
      <c r="BW289" s="70" t="n"/>
      <c r="BX289" s="70" t="n"/>
      <c r="BY289" s="70" t="n"/>
      <c r="BZ289" s="70" t="n"/>
      <c r="CA289" s="70" t="n"/>
      <c r="CB289" s="70" t="n"/>
      <c r="CC289" s="70" t="n"/>
      <c r="CD289" s="70" t="n"/>
      <c r="CE289" s="70" t="n"/>
      <c r="CF289" s="70" t="n"/>
      <c r="CG289" s="70" t="n"/>
      <c r="CH289" s="70" t="n"/>
      <c r="CI289" s="70" t="n"/>
      <c r="CJ289" s="70" t="n"/>
      <c r="CK289" s="70" t="n"/>
      <c r="CL289" s="70" t="n"/>
      <c r="CM289" s="70" t="n"/>
      <c r="CN289" s="70" t="n"/>
      <c r="CO289" s="70" t="n"/>
      <c r="CP289" s="70" t="n"/>
      <c r="CQ289" s="70" t="n"/>
      <c r="CR289" s="70" t="n"/>
      <c r="CS289" s="70" t="n"/>
      <c r="CT289" s="70" t="n"/>
      <c r="CU289" s="70" t="n"/>
      <c r="CV289" s="70" t="n"/>
      <c r="CW289" s="70" t="n"/>
      <c r="CX289" s="70" t="n"/>
      <c r="CY289" s="70" t="n"/>
    </row>
    <row r="290">
      <c r="C290" s="18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  <c r="AR290" s="3" t="n"/>
      <c r="AS290" s="3" t="n"/>
      <c r="AT290" s="3" t="n"/>
      <c r="AU290" s="3" t="n"/>
      <c r="AV290" s="3" t="n"/>
      <c r="AW290" s="3" t="n"/>
      <c r="AX290" s="3" t="n"/>
      <c r="AY290" s="3" t="n"/>
      <c r="AZ290" s="3" t="n"/>
      <c r="BA290" s="3" t="n"/>
      <c r="BB290" s="3" t="n"/>
      <c r="BC290" s="3" t="n"/>
      <c r="BD290" s="3" t="n"/>
      <c r="BE290" s="3" t="n"/>
      <c r="BF290" s="3" t="n"/>
      <c r="BG290" s="3" t="n"/>
      <c r="BH290" s="3" t="n"/>
      <c r="BI290" s="3" t="n"/>
      <c r="BJ290" s="3" t="n"/>
      <c r="BK290" s="3" t="n"/>
      <c r="BL290" s="3" t="n"/>
      <c r="BM290" s="3" t="n"/>
      <c r="BN290" s="3" t="n"/>
      <c r="BO290" s="3" t="n"/>
      <c r="BP290" s="3" t="n"/>
      <c r="BQ290" s="3" t="n"/>
      <c r="BR290" s="3" t="n"/>
      <c r="BS290" s="3" t="n"/>
      <c r="BT290" s="3" t="n"/>
      <c r="BU290" s="3" t="n"/>
      <c r="BV290" s="3" t="n"/>
      <c r="BW290" s="3" t="n"/>
      <c r="BX290" s="3" t="n"/>
      <c r="BY290" s="3" t="n"/>
      <c r="BZ290" s="3" t="n"/>
      <c r="CA290" s="3" t="n"/>
      <c r="CB290" s="3" t="n"/>
      <c r="CC290" s="3" t="n"/>
      <c r="CD290" s="3" t="n"/>
      <c r="CE290" s="3" t="n"/>
      <c r="CF290" s="3" t="n"/>
      <c r="CG290" s="3" t="n"/>
      <c r="CH290" s="3" t="n"/>
      <c r="CI290" s="3" t="n"/>
      <c r="CJ290" s="3" t="n"/>
      <c r="CK290" s="3" t="n"/>
      <c r="CL290" s="3" t="n"/>
      <c r="CM290" s="3" t="n"/>
      <c r="CN290" s="3" t="n"/>
      <c r="CO290" s="3" t="n"/>
      <c r="CP290" s="3" t="n"/>
      <c r="CQ290" s="3" t="n"/>
      <c r="CR290" s="3" t="n"/>
      <c r="CS290" s="3" t="n"/>
      <c r="CT290" s="3" t="n"/>
      <c r="CU290" s="3" t="n"/>
      <c r="CV290" s="3" t="n"/>
      <c r="CW290" s="3" t="n"/>
      <c r="CX290" s="3" t="n"/>
      <c r="CY290" s="3" t="n"/>
    </row>
    <row r="291">
      <c r="C291" s="10" t="inlineStr">
        <is>
          <t>Net Income</t>
        </is>
      </c>
      <c r="D291" s="12" t="n"/>
      <c r="E291" s="12" t="n"/>
      <c r="F291" s="12" t="n"/>
      <c r="G291" s="12" t="n"/>
      <c r="H291" s="12" t="n"/>
      <c r="I291" s="12" t="n"/>
      <c r="J291" s="12">
        <f>J151</f>
        <v>78.603</v>
      </c>
      <c r="K291" s="12">
        <f>K151</f>
        <v>67.398114762</v>
      </c>
      <c r="L291" s="12">
        <f>L151</f>
        <v>103.752</v>
      </c>
      <c r="M291" s="12" t="n"/>
      <c r="N291" s="12">
        <f>N151</f>
        <v>61.903</v>
      </c>
      <c r="O291" s="12">
        <f>O151</f>
        <v>86.325</v>
      </c>
      <c r="P291" s="12">
        <f>P151</f>
        <v>89.872</v>
      </c>
      <c r="Q291" s="12">
        <f>Q151</f>
        <v>91.7849999999999</v>
      </c>
      <c r="R291" s="12">
        <f>SUM(N291:Q291)</f>
        <v>329.885</v>
      </c>
      <c r="S291" s="12">
        <f>S151</f>
        <v>91.849</v>
      </c>
      <c r="T291" s="12">
        <f>T151</f>
        <v>121.373</v>
      </c>
      <c r="U291" s="12">
        <f>U151</f>
        <v>108.22</v>
      </c>
      <c r="V291" s="12">
        <f>V151</f>
        <v>160.323</v>
      </c>
      <c r="W291" s="12">
        <f>SUM(S291:V291)</f>
        <v>481.765</v>
      </c>
      <c r="X291" s="12">
        <f>X151</f>
        <v>141.241</v>
      </c>
      <c r="Y291" s="12">
        <f>Y151</f>
        <v>172.24726339</v>
      </c>
      <c r="Z291" s="12">
        <f>Z151</f>
        <v>170.57</v>
      </c>
      <c r="AA291" s="12">
        <f>AA151</f>
        <v>165.784</v>
      </c>
      <c r="AB291" s="12">
        <f>SUM(X291:AA291)</f>
        <v>649.84226339</v>
      </c>
      <c r="AC291" s="12">
        <f>AC151</f>
        <v>213.475</v>
      </c>
      <c r="AD291" s="12">
        <f>AD151</f>
        <v>236.73094176</v>
      </c>
      <c r="AE291" s="12">
        <f>AE151</f>
        <v>255.253</v>
      </c>
      <c r="AF291" s="12">
        <f>AF151</f>
        <v>270.077</v>
      </c>
      <c r="AG291" s="12">
        <f>SUM(AC291:AF291)</f>
        <v>975.53594176</v>
      </c>
      <c r="AH291" s="12">
        <f>AH151</f>
        <v>302.867</v>
      </c>
      <c r="AI291" s="12">
        <f>AI151</f>
        <v>270.451</v>
      </c>
      <c r="AJ291" s="12">
        <f>AJ151</f>
        <v>448.16443121448</v>
      </c>
      <c r="AK291" s="12">
        <f>AK151</f>
        <v>449.04657368251</v>
      </c>
      <c r="AL291" s="12">
        <f>SUM(AH291:AK291)</f>
        <v>1470.52900489699</v>
      </c>
      <c r="AM291" s="12">
        <f>AM151</f>
        <v>510.045665763748</v>
      </c>
      <c r="AN291" s="12">
        <f>AN151</f>
        <v>534.723830619674</v>
      </c>
      <c r="AO291" s="12">
        <f>AO151</f>
        <v>604.769606723371</v>
      </c>
      <c r="AP291" s="12">
        <f>AP151</f>
        <v>605.960002293183</v>
      </c>
      <c r="AQ291" s="12">
        <f>SUM(AM291:AP291)</f>
        <v>2255.49910539998</v>
      </c>
      <c r="AR291" s="12">
        <f>AR151</f>
        <v>685.724197776365</v>
      </c>
      <c r="AS291" s="12">
        <f>AS151</f>
        <v>718.90243246067</v>
      </c>
      <c r="AT291" s="12">
        <f>AT151</f>
        <v>813.07455635159</v>
      </c>
      <c r="AU291" s="12">
        <f>AU151</f>
        <v>814.67496804399</v>
      </c>
      <c r="AV291" s="12">
        <f>SUM(AR291:AU291)</f>
        <v>3032.37615463262</v>
      </c>
      <c r="AW291" s="12">
        <f>AW151</f>
        <v>918.484272265352</v>
      </c>
      <c r="AX291" s="12">
        <f>AX151</f>
        <v>962.924423040083</v>
      </c>
      <c r="AY291" s="12">
        <f>AY151</f>
        <v>1089.06203778391</v>
      </c>
      <c r="AZ291" s="12">
        <f>AZ151</f>
        <v>1091.20568820982</v>
      </c>
      <c r="BA291" s="12">
        <f>SUM(AW291:AZ291)</f>
        <v>4061.67642129916</v>
      </c>
      <c r="BB291" s="12">
        <f>BB151</f>
        <v>1225.65927623728</v>
      </c>
      <c r="BC291" s="12">
        <f>BC151</f>
        <v>1284.96185188192</v>
      </c>
      <c r="BD291" s="12">
        <f>BD151</f>
        <v>1453.28453552669</v>
      </c>
      <c r="BE291" s="12">
        <f>BE151</f>
        <v>1456.14510168864</v>
      </c>
      <c r="BF291" s="12">
        <f>SUM(BB291:BE291)</f>
        <v>5420.05076533452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0" t="inlineStr">
        <is>
          <t>Depreciation &amp; amortization</t>
        </is>
      </c>
      <c r="D292" s="12" t="n"/>
      <c r="E292" s="12" t="n"/>
      <c r="F292" s="12" t="n"/>
      <c r="G292" s="12" t="n"/>
      <c r="H292" s="12" t="n"/>
      <c r="I292" s="12" t="n"/>
      <c r="J292" s="12">
        <f>-J84</f>
        <v>0.355058499999999</v>
      </c>
      <c r="K292" s="12">
        <f>-K84</f>
        <v>0.375960359999997</v>
      </c>
      <c r="L292" s="12">
        <f>-L84</f>
        <v>0.377742070000008</v>
      </c>
      <c r="M292" s="12" t="n"/>
      <c r="N292" s="12">
        <f>-N84</f>
        <v>0.924386809999996</v>
      </c>
      <c r="O292" s="12">
        <f>-O84</f>
        <v>5.704</v>
      </c>
      <c r="P292" s="12">
        <f>-P84</f>
        <v>5.715</v>
      </c>
      <c r="Q292" s="12">
        <f>-Q84</f>
        <v>6.302</v>
      </c>
      <c r="R292" s="12">
        <f>SUM(N292:Q292)</f>
        <v>18.64538681</v>
      </c>
      <c r="S292" s="12">
        <f>-S84</f>
        <v>6.2210827</v>
      </c>
      <c r="T292" s="12">
        <f>-T84</f>
        <v>6.3</v>
      </c>
      <c r="U292" s="12">
        <f>-U84</f>
        <v>6.34089384999999</v>
      </c>
      <c r="V292" s="12">
        <f>-V84</f>
        <v>7.01002345000001</v>
      </c>
      <c r="W292" s="12">
        <f>SUM(S292:V292)</f>
        <v>25.872</v>
      </c>
      <c r="X292" s="12">
        <f>-X84</f>
        <v>7.117</v>
      </c>
      <c r="Y292" s="12">
        <f>-Y84</f>
        <v>7.01157678999999</v>
      </c>
      <c r="Z292" s="12">
        <f>-Z84</f>
        <v>8.19119894500001</v>
      </c>
      <c r="AA292" s="12">
        <f>-AA84</f>
        <v>8.81118731000001</v>
      </c>
      <c r="AB292" s="12">
        <f>SUM(X292:AA292)</f>
        <v>31.130963045</v>
      </c>
      <c r="AC292" s="12">
        <f>-AC84</f>
        <v>8.533</v>
      </c>
      <c r="AD292" s="12">
        <f>-AD84</f>
        <v>8.754</v>
      </c>
      <c r="AE292" s="12">
        <f>-AE84</f>
        <v>8.521</v>
      </c>
      <c r="AF292" s="12">
        <f>-AF84</f>
        <v>9.07</v>
      </c>
      <c r="AG292" s="12">
        <f>SUM(AC292:AF292)</f>
        <v>34.878</v>
      </c>
      <c r="AH292" s="12">
        <f>-AH84</f>
        <v>8.349</v>
      </c>
      <c r="AI292" s="12">
        <f>-AI84</f>
        <v>8.551</v>
      </c>
      <c r="AJ292" s="12">
        <f>-AJ84</f>
        <v>11.521641054973</v>
      </c>
      <c r="AK292" s="12">
        <f>-AK84</f>
        <v>11.5443196259798</v>
      </c>
      <c r="AL292" s="12">
        <f>SUM(AH292:AK292)</f>
        <v>39.9659606809529</v>
      </c>
      <c r="AM292" s="12">
        <f>-AM84</f>
        <v>13.1125155707912</v>
      </c>
      <c r="AN292" s="12">
        <f>-AN84</f>
        <v>13.7469544899953</v>
      </c>
      <c r="AO292" s="12">
        <f>-AO84</f>
        <v>15.5477272275747</v>
      </c>
      <c r="AP292" s="12">
        <f>-AP84</f>
        <v>15.5783305274208</v>
      </c>
      <c r="AQ292" s="12">
        <f>SUM(AM292:AP292)</f>
        <v>57.9855278157821</v>
      </c>
      <c r="AR292" s="12">
        <f>-AR84</f>
        <v>17.6289493748503</v>
      </c>
      <c r="AS292" s="12">
        <f>-AS84</f>
        <v>18.4819124487701</v>
      </c>
      <c r="AT292" s="12">
        <f>-AT84</f>
        <v>20.902937709332</v>
      </c>
      <c r="AU292" s="12">
        <f>-AU84</f>
        <v>20.9440819139492</v>
      </c>
      <c r="AV292" s="12">
        <f>SUM(AR292:AU292)</f>
        <v>77.9578814469015</v>
      </c>
      <c r="AW292" s="12">
        <f>-AW84</f>
        <v>23.612864749222</v>
      </c>
      <c r="AX292" s="12">
        <f>-AX84</f>
        <v>24.7553549380748</v>
      </c>
      <c r="AY292" s="12">
        <f>-AY84</f>
        <v>27.9981654321395</v>
      </c>
      <c r="AZ292" s="12">
        <f>-AZ84</f>
        <v>28.0532754967373</v>
      </c>
      <c r="BA292" s="12">
        <f>SUM(AW292:AZ292)</f>
        <v>104.419660616174</v>
      </c>
      <c r="BB292" s="12">
        <f>-BB84</f>
        <v>31.5098772971248</v>
      </c>
      <c r="BC292" s="12">
        <f>-BC84</f>
        <v>33.0344583272646</v>
      </c>
      <c r="BD292" s="12">
        <f>-BD84</f>
        <v>37.3617842087705</v>
      </c>
      <c r="BE292" s="12">
        <f>-BE84</f>
        <v>37.4353251108065</v>
      </c>
      <c r="BF292" s="12">
        <f>SUM(BB292:BE292)</f>
        <v>139.341444943966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0" t="inlineStr">
        <is>
          <t xml:space="preserve">Changes in working capital </t>
        </is>
      </c>
      <c r="D293" s="12" t="n"/>
      <c r="E293" s="12" t="n"/>
      <c r="F293" s="12" t="n"/>
      <c r="G293" s="12" t="n"/>
      <c r="H293" s="12" t="n"/>
      <c r="I293" s="12" t="n"/>
      <c r="J293" s="12">
        <f>SUM(J294:J303)</f>
        <v>117.534</v>
      </c>
      <c r="K293" s="12">
        <f>SUM(K294:K303)</f>
        <v>-200.586</v>
      </c>
      <c r="L293" s="12">
        <f>SUM(L294:L303)</f>
        <v>35.272</v>
      </c>
      <c r="M293" s="12" t="n"/>
      <c r="N293" s="12">
        <f>SUM(N294:N303)</f>
        <v>-35.4580000000001</v>
      </c>
      <c r="O293" s="12">
        <f>SUM(O294:O303)</f>
        <v>80.1730000000002</v>
      </c>
      <c r="P293" s="12">
        <f>SUM(P294:P303)</f>
        <v>-260.301718609</v>
      </c>
      <c r="Q293" s="12">
        <f>SUM(Q294:Q303)</f>
        <v>127.788718609</v>
      </c>
      <c r="R293" s="12">
        <f>SUM(N293:Q293)</f>
        <v>-87.798</v>
      </c>
      <c r="S293" s="12">
        <f>SUM(S294:S303)</f>
        <v>-277.509</v>
      </c>
      <c r="T293" s="12">
        <f>SUM(T294:T303)</f>
        <v>12.719</v>
      </c>
      <c r="U293" s="12">
        <f>SUM(U294:U303)</f>
        <v>164.803</v>
      </c>
      <c r="V293" s="12">
        <f>SUM(V294:V303)</f>
        <v>62.7250000000001</v>
      </c>
      <c r="W293" s="12">
        <f>SUM(S293:V293)</f>
        <v>-37.2619999999999</v>
      </c>
      <c r="X293" s="12">
        <f>SUM(X294:X303)</f>
        <v>-204.045</v>
      </c>
      <c r="Y293" s="12">
        <f>SUM(Y294:Y303)</f>
        <v>112.662</v>
      </c>
      <c r="Z293" s="12">
        <f>SUM(Z294:Z303)</f>
        <v>-298.894</v>
      </c>
      <c r="AA293" s="12">
        <f>SUM(AA294:AA303)</f>
        <v>-404.872</v>
      </c>
      <c r="AB293" s="12">
        <f>SUM(X293:AA293)</f>
        <v>-795.149</v>
      </c>
      <c r="AC293" s="12">
        <f>SUM(AC294:AC303)</f>
        <v>-218.421</v>
      </c>
      <c r="AD293" s="12">
        <f>SUM(AD294:AD303)</f>
        <v>-237.154</v>
      </c>
      <c r="AE293" s="12">
        <f>SUM(AE294:AE303)</f>
        <v>65.348</v>
      </c>
      <c r="AF293" s="12">
        <f>SUM(AF294:AF303)</f>
        <v>-122.015</v>
      </c>
      <c r="AG293" s="12">
        <f>SUM(AC293:AF293)</f>
        <v>-512.242</v>
      </c>
      <c r="AH293" s="12">
        <f>SUM(AH294:AH303)</f>
        <v>-279.656</v>
      </c>
      <c r="AI293" s="12">
        <f>SUM(AI294:AI303)</f>
        <v>-205.873</v>
      </c>
      <c r="AJ293" s="12">
        <f>SUM(AJ294:AJ303)</f>
        <v>-379.1372430713</v>
      </c>
      <c r="AK293" s="12">
        <f>SUM(AK294:AK303)</f>
        <v>47.1315141042152</v>
      </c>
      <c r="AL293" s="12">
        <f>SUM(AH293:AK293)</f>
        <v>-817.534728967085</v>
      </c>
      <c r="AM293" s="12">
        <f>SUM(AM294:AM303)</f>
        <v>-622.378465803673</v>
      </c>
      <c r="AN293" s="12">
        <f>SUM(AN294:AN303)</f>
        <v>-84.0087199177987</v>
      </c>
      <c r="AO293" s="12">
        <f>SUM(AO294:AO303)</f>
        <v>-482.023063813328</v>
      </c>
      <c r="AP293" s="12">
        <f>SUM(AP294:AP303)</f>
        <v>173.013580177069</v>
      </c>
      <c r="AQ293" s="12">
        <f>SUM(AM293:AP293)</f>
        <v>-1015.39666935773</v>
      </c>
      <c r="AR293" s="12">
        <f>SUM(AR294:AR303)</f>
        <v>-596.367795945541</v>
      </c>
      <c r="AS293" s="12">
        <f>SUM(AS294:AS303)</f>
        <v>6.49297495010904</v>
      </c>
      <c r="AT293" s="12">
        <f>SUM(AT294:AT303)</f>
        <v>-388.298982063963</v>
      </c>
      <c r="AU293" s="12">
        <f>SUM(AU294:AU303)</f>
        <v>580.905074112264</v>
      </c>
      <c r="AV293" s="12">
        <f>SUM(AR293:AU293)</f>
        <v>-397.268728947131</v>
      </c>
      <c r="AW293" s="12">
        <f>SUM(AW294:AW303)</f>
        <v>-407.663099185384</v>
      </c>
      <c r="AX293" s="12">
        <f>SUM(AX294:AX303)</f>
        <v>724.55930541351</v>
      </c>
      <c r="AY293" s="12">
        <f>SUM(AY294:AY303)</f>
        <v>303.2880713421</v>
      </c>
      <c r="AZ293" s="12">
        <f>SUM(AZ294:AZ303)</f>
        <v>1877.99406144064</v>
      </c>
      <c r="BA293" s="12">
        <f>SUM(AW293:AZ293)</f>
        <v>2498.17833901087</v>
      </c>
      <c r="BB293" s="12">
        <f>SUM(BB294:BB303)</f>
        <v>946.618119123245</v>
      </c>
      <c r="BC293" s="12">
        <f>SUM(BC294:BC303)</f>
        <v>2898.33159408849</v>
      </c>
      <c r="BD293" s="12">
        <f>SUM(BD294:BD303)</f>
        <v>2975.05971471369</v>
      </c>
      <c r="BE293" s="12">
        <f>SUM(BE294:BE303)</f>
        <v>5926.56433684928</v>
      </c>
      <c r="BF293" s="12">
        <f>SUM(BB293:BE293)</f>
        <v>12746.5737647747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 hidden="1" outlineLevel="1">
      <c r="C294" s="10" t="inlineStr">
        <is>
          <t>Accounts receivable</t>
        </is>
      </c>
      <c r="D294" s="12" t="n"/>
      <c r="E294" s="12" t="n"/>
      <c r="F294" s="12" t="n"/>
      <c r="G294" s="12" t="n"/>
      <c r="H294" s="12" t="n"/>
      <c r="I294" s="12" t="n"/>
      <c r="J294" s="12">
        <f>(J159-I159)*-1</f>
        <v>-111.111</v>
      </c>
      <c r="K294" s="12">
        <f>(K159-J159)*-1</f>
        <v>-57.1579999999999</v>
      </c>
      <c r="L294" s="12">
        <f>(L159-K159)*-1</f>
        <v>-171.383</v>
      </c>
      <c r="M294" s="12" t="n"/>
      <c r="N294" s="12">
        <f>(N159-M159)*-1</f>
        <v>-352.914</v>
      </c>
      <c r="O294" s="12">
        <f>(O159-N159)*-1</f>
        <v>73.787</v>
      </c>
      <c r="P294" s="12">
        <f>(P159-O159)*-1</f>
        <v>157.091</v>
      </c>
      <c r="Q294" s="12">
        <f>(Q159-P159)*-1</f>
        <v>220.439</v>
      </c>
      <c r="R294" s="12">
        <f>SUM(N294:Q294)</f>
        <v>98.403</v>
      </c>
      <c r="S294" s="12">
        <f>(S159-R159)*-1</f>
        <v>128.626</v>
      </c>
      <c r="T294" s="12">
        <f>(T159-S159)*-1</f>
        <v>-35.0530000000001</v>
      </c>
      <c r="U294" s="12">
        <f>(U159-T159)*-1</f>
        <v>5.298</v>
      </c>
      <c r="V294" s="12">
        <f>(V159-U159)*-1</f>
        <v>-10.4099999999999</v>
      </c>
      <c r="W294" s="12">
        <f>SUM(S294:V294)</f>
        <v>88.461</v>
      </c>
      <c r="X294" s="12">
        <f>(X159-W159)*-1</f>
        <v>-194.407</v>
      </c>
      <c r="Y294" s="12">
        <f>(Y159-X159)*-1</f>
        <v>-94.0439999999999</v>
      </c>
      <c r="Z294" s="12">
        <f>(Z159-Y159)*-1</f>
        <v>-74.9780000000001</v>
      </c>
      <c r="AA294" s="12">
        <f>(AA159-Z159)*-1</f>
        <v>16.9929999999999</v>
      </c>
      <c r="AB294" s="12">
        <f>SUM(X294:AA294)</f>
        <v>-346.436</v>
      </c>
      <c r="AC294" s="12">
        <f>(AC159-AB159)*-1</f>
        <v>-459.471</v>
      </c>
      <c r="AD294" s="12">
        <f>(AD159-AC159)*-1</f>
        <v>-236.999</v>
      </c>
      <c r="AE294" s="12">
        <f>(AE159-AD159)*-1</f>
        <v>-65.0709999999999</v>
      </c>
      <c r="AF294" s="12">
        <f>(AF159-AE159)*-1</f>
        <v>40.8349999999996</v>
      </c>
      <c r="AG294" s="12">
        <f>SUM(AC294:AF294)</f>
        <v>-720.706</v>
      </c>
      <c r="AH294" s="12">
        <f>(AH159-AG159)*-1</f>
        <v>-391.437</v>
      </c>
      <c r="AI294" s="12">
        <f>(AI159-AH159)*-1</f>
        <v>-172.96</v>
      </c>
      <c r="AJ294" s="12">
        <f>(AJ159-AI159)*-1</f>
        <v>-242.640945251483</v>
      </c>
      <c r="AK294" s="12">
        <f>(AK159-AJ159)*-1</f>
        <v>-5.83610707708522</v>
      </c>
      <c r="AL294" s="12">
        <f>SUM(AH294:AK294)</f>
        <v>-812.874052328568</v>
      </c>
      <c r="AM294" s="12">
        <f>(AM159-AL159)*-1</f>
        <v>-478.545946504366</v>
      </c>
      <c r="AN294" s="12">
        <f>(AN159-AM159)*-1</f>
        <v>-127.155663276827</v>
      </c>
      <c r="AO294" s="12">
        <f>(AO159-AN159)*-1</f>
        <v>-424.535940422683</v>
      </c>
      <c r="AP294" s="12">
        <f>(AP159-AO159)*-1</f>
        <v>-7.87545805953323</v>
      </c>
      <c r="AQ294" s="12">
        <f>SUM(AM294:AP294)</f>
        <v>-1038.11300826341</v>
      </c>
      <c r="AR294" s="12">
        <f>(AR159-AQ159)*-1</f>
        <v>-577.559730905226</v>
      </c>
      <c r="AS294" s="12">
        <f>(AS159-AR159)*-1</f>
        <v>-221.913759457405</v>
      </c>
      <c r="AT294" s="12">
        <f>(AT159-AS159)*-1</f>
        <v>-570.761770394932</v>
      </c>
      <c r="AU294" s="12">
        <f>(AU159-AT159)*-1</f>
        <v>-10.5880561731829</v>
      </c>
      <c r="AV294" s="12">
        <f>SUM(AR294:AU294)</f>
        <v>-1380.82331693075</v>
      </c>
      <c r="AW294" s="12">
        <f>(AW159-AV159)*-1</f>
        <v>-821.819186314328</v>
      </c>
      <c r="AX294" s="12">
        <f>(AX159-AW159)*-1</f>
        <v>-228.980431927307</v>
      </c>
      <c r="AY294" s="12">
        <f>(AY159-AX159)*-1</f>
        <v>-764.499358514751</v>
      </c>
      <c r="AZ294" s="12">
        <f>(AZ159-AY159)*-1</f>
        <v>-14.1820328062886</v>
      </c>
      <c r="BA294" s="12">
        <f>SUM(AW294:AZ294)</f>
        <v>-1829.48100956268</v>
      </c>
      <c r="BB294" s="12">
        <f>(BB159-BA159)*-1</f>
        <v>-1069.71705474</v>
      </c>
      <c r="BC294" s="12">
        <f>(BC159-BB159)*-1</f>
        <v>-305.559930575972</v>
      </c>
      <c r="BD294" s="12">
        <f>(BD159-BC159)*-1</f>
        <v>-1020.176130104</v>
      </c>
      <c r="BE294" s="12">
        <f>(BE159-BD159)*-1</f>
        <v>-18.9250274499063</v>
      </c>
      <c r="BF294" s="12">
        <f>SUM(BB294:BE294)</f>
        <v>-2414.37814286988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 hidden="1" outlineLevel="1">
      <c r="C295" s="10" t="inlineStr">
        <is>
          <t>Inventories</t>
        </is>
      </c>
      <c r="D295" s="12" t="n"/>
      <c r="E295" s="12" t="n"/>
      <c r="F295" s="12" t="n"/>
      <c r="G295" s="12" t="n"/>
      <c r="H295" s="12" t="n"/>
      <c r="I295" s="12" t="n"/>
      <c r="J295" s="12">
        <f>(J163-I163)*-1</f>
        <v>53.807</v>
      </c>
      <c r="K295" s="12">
        <f>(K163-J163)*-1</f>
        <v>-15.95</v>
      </c>
      <c r="L295" s="12">
        <f>(L163-K163)*-1</f>
        <v>-151.08</v>
      </c>
      <c r="M295" s="12" t="n"/>
      <c r="N295" s="12">
        <f>(N163-M163)*-1</f>
        <v>31.917</v>
      </c>
      <c r="O295" s="12">
        <f>(O163-N163)*-1</f>
        <v>30.204</v>
      </c>
      <c r="P295" s="12">
        <f>(P163-O163)*-1</f>
        <v>-57.553</v>
      </c>
      <c r="Q295" s="12">
        <f>(Q163-P163)*-1</f>
        <v>-75.9490000000001</v>
      </c>
      <c r="R295" s="12">
        <f>SUM(N295:Q295)</f>
        <v>-71.3810000000001</v>
      </c>
      <c r="S295" s="12">
        <f>(S163-R163)*-1</f>
        <v>-108.409</v>
      </c>
      <c r="T295" s="12">
        <f>(T163-S163)*-1</f>
        <v>54.8950000000001</v>
      </c>
      <c r="U295" s="12">
        <f>(U163-T163)*-1</f>
        <v>-31.422</v>
      </c>
      <c r="V295" s="12">
        <f>(V163-U163)*-1</f>
        <v>-28.523</v>
      </c>
      <c r="W295" s="12">
        <f>SUM(S295:V295)</f>
        <v>-113.459</v>
      </c>
      <c r="X295" s="12">
        <f>(X163-W163)*-1</f>
        <v>-93.837</v>
      </c>
      <c r="Y295" s="12">
        <f>(Y163-X163)*-1</f>
        <v>45.3339999999999</v>
      </c>
      <c r="Z295" s="12">
        <f>(Z163-Y163)*-1</f>
        <v>-25.5659999999999</v>
      </c>
      <c r="AA295" s="12">
        <f>(AA163-Z163)*-1</f>
        <v>-401.511</v>
      </c>
      <c r="AB295" s="12">
        <f>SUM(X295:AA295)</f>
        <v>-475.58</v>
      </c>
      <c r="AC295" s="12">
        <f>(AC163-AB163)*-1</f>
        <v>58.1849999999999</v>
      </c>
      <c r="AD295" s="12">
        <f>(AD163-AC163)*-1</f>
        <v>-48.914</v>
      </c>
      <c r="AE295" s="12">
        <f>(AE163-AD163)*-1</f>
        <v>-132.998</v>
      </c>
      <c r="AF295" s="12">
        <f>(AF163-AE163)*-1</f>
        <v>-31.7939999999999</v>
      </c>
      <c r="AG295" s="12">
        <f>SUM(AC295:AF295)</f>
        <v>-155.521</v>
      </c>
      <c r="AH295" s="12">
        <f>(AH163-AG163)*-1</f>
        <v>-172.939</v>
      </c>
      <c r="AI295" s="12">
        <f>(AI163-AH163)*-1</f>
        <v>-8.53099999999995</v>
      </c>
      <c r="AJ295" s="12">
        <f>(AJ163-AI163)*-1</f>
        <v>-216.528690224092</v>
      </c>
      <c r="AK295" s="12">
        <f>(AK163-AJ163)*-1</f>
        <v>-3.43800622476783</v>
      </c>
      <c r="AL295" s="12">
        <f>SUM(AH295:AK295)</f>
        <v>-401.43669644886</v>
      </c>
      <c r="AM295" s="12">
        <f>(AM163-AL163)*-1</f>
        <v>-281.907771942547</v>
      </c>
      <c r="AN295" s="12">
        <f>(AN163-AM163)*-1</f>
        <v>-74.9064326760943</v>
      </c>
      <c r="AO295" s="12">
        <f>(AO163-AN163)*-1</f>
        <v>-250.090888760669</v>
      </c>
      <c r="AP295" s="12">
        <f>(AP163-AO163)*-1</f>
        <v>-4.63937235454114</v>
      </c>
      <c r="AQ295" s="12">
        <f>SUM(AM295:AP295)</f>
        <v>-611.544465733851</v>
      </c>
      <c r="AR295" s="12">
        <f>(AR163-AQ163)*-1</f>
        <v>-340.236038132952</v>
      </c>
      <c r="AS295" s="12">
        <f>(AS163-AR163)*-1</f>
        <v>-130.727705352031</v>
      </c>
      <c r="AT295" s="12">
        <f>(AT163-AS163)*-1</f>
        <v>-336.231411377237</v>
      </c>
      <c r="AU295" s="12">
        <f>(AU163-AT163)*-1</f>
        <v>-6.23734324109955</v>
      </c>
      <c r="AV295" s="12">
        <f>SUM(AR295:AU295)</f>
        <v>-813.432498103319</v>
      </c>
      <c r="AW295" s="12">
        <f>(AW163-AV163)*-1</f>
        <v>-484.127422760221</v>
      </c>
      <c r="AX295" s="12">
        <f>(AX163-AW163)*-1</f>
        <v>-134.89062827634</v>
      </c>
      <c r="AY295" s="12">
        <f>(AY163-AX163)*-1</f>
        <v>-450.360748815649</v>
      </c>
      <c r="AZ295" s="12">
        <f>(AZ163-AY163)*-1</f>
        <v>-8.35452749990145</v>
      </c>
      <c r="BA295" s="12">
        <f>SUM(AW295:AZ295)</f>
        <v>-1077.73332735211</v>
      </c>
      <c r="BB295" s="12">
        <f>(BB163-BA163)*-1</f>
        <v>-630.162168781315</v>
      </c>
      <c r="BC295" s="12">
        <f>(BC163-BB163)*-1</f>
        <v>-180.003027614833</v>
      </c>
      <c r="BD295" s="12">
        <f>(BD163-BC163)*-1</f>
        <v>-600.977987437543</v>
      </c>
      <c r="BE295" s="12">
        <f>(BE163-BD163)*-1</f>
        <v>-11.1485895164842</v>
      </c>
      <c r="BF295" s="12">
        <f>SUM(BB295:BE295)</f>
        <v>-1422.29177335017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 hidden="1" outlineLevel="1">
      <c r="C296" s="10" t="inlineStr">
        <is>
          <t>Deferred income taxes</t>
        </is>
      </c>
      <c r="D296" s="12" t="n"/>
      <c r="E296" s="12" t="n"/>
      <c r="F296" s="12" t="n"/>
      <c r="G296" s="12" t="n"/>
      <c r="H296" s="12" t="n"/>
      <c r="I296" s="12" t="n"/>
      <c r="J296" s="12">
        <f>(J167-I167)*-1</f>
        <v>0</v>
      </c>
      <c r="K296" s="12">
        <f>(K167-J167)*-1</f>
        <v>0</v>
      </c>
      <c r="L296" s="12">
        <f>(L167-K167)*-1</f>
        <v>0</v>
      </c>
      <c r="M296" s="12" t="n"/>
      <c r="N296" s="12">
        <f>(N167-M167)*-1</f>
        <v>0</v>
      </c>
      <c r="O296" s="12">
        <f>(O167-N167)*-1</f>
        <v>0</v>
      </c>
      <c r="P296" s="12">
        <f>(P167-O167)*-1</f>
        <v>0</v>
      </c>
      <c r="Q296" s="12">
        <f>(Q167-P167)*-1</f>
        <v>0</v>
      </c>
      <c r="R296" s="12">
        <f>SUM(N296:Q296)</f>
        <v>0</v>
      </c>
      <c r="S296" s="12">
        <f>(S167-R167)*-1</f>
        <v>0</v>
      </c>
      <c r="T296" s="12">
        <f>(T167-S167)*-1</f>
        <v>0</v>
      </c>
      <c r="U296" s="12">
        <f>(U167-T167)*-1</f>
        <v>0</v>
      </c>
      <c r="V296" s="12">
        <f>(V167-U167)*-1</f>
        <v>0</v>
      </c>
      <c r="W296" s="12">
        <f>SUM(S296:V296)</f>
        <v>0</v>
      </c>
      <c r="X296" s="12">
        <f>(X167-W167)*-1</f>
        <v>0</v>
      </c>
      <c r="Y296" s="12">
        <f>(Y167-X167)*-1</f>
        <v>0</v>
      </c>
      <c r="Z296" s="12">
        <f>(Z167-Y167)*-1</f>
        <v>0</v>
      </c>
      <c r="AA296" s="12">
        <f>(AA167-Z167)*-1</f>
        <v>0</v>
      </c>
      <c r="AB296" s="12">
        <f>SUM(X296:AA296)</f>
        <v>0</v>
      </c>
      <c r="AC296" s="12">
        <f>(AC167-AB167)*-1</f>
        <v>0</v>
      </c>
      <c r="AD296" s="12">
        <f>(AD167-AC167)*-1</f>
        <v>0</v>
      </c>
      <c r="AE296" s="12">
        <f>(AE167-AD167)*-1</f>
        <v>0</v>
      </c>
      <c r="AF296" s="12">
        <f>(AF167-AE167)*-1</f>
        <v>0</v>
      </c>
      <c r="AG296" s="12">
        <f>SUM(AC296:AF296)</f>
        <v>0</v>
      </c>
      <c r="AH296" s="12">
        <f>(AH167-AG167)*-1</f>
        <v>0</v>
      </c>
      <c r="AI296" s="12">
        <f>(AI167-AH167)*-1</f>
        <v>0</v>
      </c>
      <c r="AJ296" s="12">
        <f>(AJ167-AI167)*-1</f>
        <v>0</v>
      </c>
      <c r="AK296" s="12">
        <f>(AK167-AJ167)*-1</f>
        <v>0</v>
      </c>
      <c r="AL296" s="12">
        <f>SUM(AH296:AK296)</f>
        <v>0</v>
      </c>
      <c r="AM296" s="12">
        <f>(AM167-AL167)*-1</f>
        <v>0</v>
      </c>
      <c r="AN296" s="12">
        <f>(AN167-AM167)*-1</f>
        <v>0</v>
      </c>
      <c r="AO296" s="12">
        <f>(AO167-AN167)*-1</f>
        <v>0</v>
      </c>
      <c r="AP296" s="12">
        <f>(AP167-AO167)*-1</f>
        <v>0</v>
      </c>
      <c r="AQ296" s="12">
        <f>SUM(AM296:AP296)</f>
        <v>0</v>
      </c>
      <c r="AR296" s="12">
        <f>(AR167-AQ167)*-1</f>
        <v>0</v>
      </c>
      <c r="AS296" s="12">
        <f>(AS167-AR167)*-1</f>
        <v>0</v>
      </c>
      <c r="AT296" s="12">
        <f>(AT167-AS167)*-1</f>
        <v>0</v>
      </c>
      <c r="AU296" s="12">
        <f>(AU167-AT167)*-1</f>
        <v>0</v>
      </c>
      <c r="AV296" s="12">
        <f>SUM(AR296:AU296)</f>
        <v>0</v>
      </c>
      <c r="AW296" s="12">
        <f>(AW167-AV167)*-1</f>
        <v>0</v>
      </c>
      <c r="AX296" s="12">
        <f>(AX167-AW167)*-1</f>
        <v>0</v>
      </c>
      <c r="AY296" s="12">
        <f>(AY167-AX167)*-1</f>
        <v>0</v>
      </c>
      <c r="AZ296" s="12">
        <f>(AZ167-AY167)*-1</f>
        <v>0</v>
      </c>
      <c r="BA296" s="12">
        <f>SUM(AW296:AZ296)</f>
        <v>0</v>
      </c>
      <c r="BB296" s="12">
        <f>(BB167-BA167)*-1</f>
        <v>0</v>
      </c>
      <c r="BC296" s="12">
        <f>(BC167-BB167)*-1</f>
        <v>0</v>
      </c>
      <c r="BD296" s="12">
        <f>(BD167-BC167)*-1</f>
        <v>0</v>
      </c>
      <c r="BE296" s="12">
        <f>(BE167-BD167)*-1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 hidden="1" outlineLevel="1">
      <c r="C297" s="10" t="inlineStr">
        <is>
          <t>Prepaid expenses</t>
        </is>
      </c>
      <c r="D297" s="12" t="n"/>
      <c r="E297" s="12" t="n"/>
      <c r="F297" s="12" t="n"/>
      <c r="G297" s="12" t="n"/>
      <c r="H297" s="12" t="n"/>
      <c r="I297" s="12" t="n"/>
      <c r="J297" s="12">
        <f>(J168-I168)*-1</f>
        <v>2.195</v>
      </c>
      <c r="K297" s="12">
        <f>(K168-J168)*-1</f>
        <v>-3.523</v>
      </c>
      <c r="L297" s="12">
        <f>(L168-K168)*-1</f>
        <v>2.472</v>
      </c>
      <c r="M297" s="12" t="n"/>
      <c r="N297" s="12">
        <f>(N168-M168)*-1</f>
        <v>-0.0650000000000004</v>
      </c>
      <c r="O297" s="12">
        <f>(O168-N168)*-1</f>
        <v>0.0940000000000003</v>
      </c>
      <c r="P297" s="12">
        <f>(P168-O168)*-1</f>
        <v>-1.761</v>
      </c>
      <c r="Q297" s="12">
        <f>(Q168-P168)*-1</f>
        <v>1.046</v>
      </c>
      <c r="R297" s="12">
        <f>SUM(N297:Q297)</f>
        <v>-0.686</v>
      </c>
      <c r="S297" s="12">
        <f>(S168-R168)*-1</f>
        <v>0.189</v>
      </c>
      <c r="T297" s="12">
        <f>(T168-S168)*-1</f>
        <v>-2.454</v>
      </c>
      <c r="U297" s="12">
        <f>(U168-T168)*-1</f>
        <v>-1.996</v>
      </c>
      <c r="V297" s="12">
        <f>(V168-U168)*-1</f>
        <v>-1.989</v>
      </c>
      <c r="W297" s="12">
        <f>SUM(S297:V297)</f>
        <v>-6.25</v>
      </c>
      <c r="X297" s="12">
        <f>(X168-W168)*-1</f>
        <v>3.708</v>
      </c>
      <c r="Y297" s="12">
        <f>(Y168-X168)*-1</f>
        <v>-16.231</v>
      </c>
      <c r="Z297" s="12">
        <f>(Z168-Y168)*-1</f>
        <v>11.048</v>
      </c>
      <c r="AA297" s="12">
        <f>(AA168-Z168)*-1</f>
        <v>-2.011</v>
      </c>
      <c r="AB297" s="12">
        <f>SUM(X297:AA297)</f>
        <v>-3.486</v>
      </c>
      <c r="AC297" s="12">
        <f>(AC168-AB168)*-1</f>
        <v>1.795</v>
      </c>
      <c r="AD297" s="12">
        <f>(AD168-AC168)*-1</f>
        <v>6.922</v>
      </c>
      <c r="AE297" s="12">
        <f>(AE168-AD168)*-1</f>
        <v>-1.265</v>
      </c>
      <c r="AF297" s="12">
        <f>(AF168-AE168)*-1</f>
        <v>-2.127</v>
      </c>
      <c r="AG297" s="12">
        <f>SUM(AC297:AF297)</f>
        <v>5.325</v>
      </c>
      <c r="AH297" s="12">
        <f>(AH168-AG168)*-1</f>
        <v>1.455</v>
      </c>
      <c r="AI297" s="12">
        <f>(AI168-AH168)*-1</f>
        <v>1.101</v>
      </c>
      <c r="AJ297" s="12">
        <f>(AJ168-AI168)*-1</f>
        <v>0</v>
      </c>
      <c r="AK297" s="12">
        <f>(AK168-AJ168)*-1</f>
        <v>0</v>
      </c>
      <c r="AL297" s="12">
        <f>SUM(AH297:AK297)</f>
        <v>2.556</v>
      </c>
      <c r="AM297" s="12">
        <f>(AM168-AL168)*-1</f>
        <v>0</v>
      </c>
      <c r="AN297" s="12">
        <f>(AN168-AM168)*-1</f>
        <v>0</v>
      </c>
      <c r="AO297" s="12">
        <f>(AO168-AN168)*-1</f>
        <v>0</v>
      </c>
      <c r="AP297" s="12">
        <f>(AP168-AO168)*-1</f>
        <v>0</v>
      </c>
      <c r="AQ297" s="12">
        <f>SUM(AM297:AP297)</f>
        <v>0</v>
      </c>
      <c r="AR297" s="12">
        <f>(AR168-AQ168)*-1</f>
        <v>0</v>
      </c>
      <c r="AS297" s="12">
        <f>(AS168-AR168)*-1</f>
        <v>0</v>
      </c>
      <c r="AT297" s="12">
        <f>(AT168-AS168)*-1</f>
        <v>0</v>
      </c>
      <c r="AU297" s="12">
        <f>(AU168-AT168)*-1</f>
        <v>0</v>
      </c>
      <c r="AV297" s="12">
        <f>SUM(AR297:AU297)</f>
        <v>0</v>
      </c>
      <c r="AW297" s="12">
        <f>(AW168-AV168)*-1</f>
        <v>0</v>
      </c>
      <c r="AX297" s="12">
        <f>(AX168-AW168)*-1</f>
        <v>0</v>
      </c>
      <c r="AY297" s="12">
        <f>(AY168-AX168)*-1</f>
        <v>0</v>
      </c>
      <c r="AZ297" s="12">
        <f>(AZ168-AY168)*-1</f>
        <v>0</v>
      </c>
      <c r="BA297" s="12">
        <f>SUM(AW297:AZ297)</f>
        <v>0</v>
      </c>
      <c r="BB297" s="12">
        <f>(BB168-BA168)*-1</f>
        <v>0</v>
      </c>
      <c r="BC297" s="12">
        <f>(BC168-BB168)*-1</f>
        <v>0</v>
      </c>
      <c r="BD297" s="12">
        <f>(BD168-BC168)*-1</f>
        <v>0</v>
      </c>
      <c r="BE297" s="12">
        <f>(BE168-BD168)*-1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 hidden="1" outlineLevel="1">
      <c r="C298" s="10" t="inlineStr">
        <is>
          <t>Other current assets</t>
        </is>
      </c>
      <c r="D298" s="12" t="n"/>
      <c r="E298" s="12" t="n"/>
      <c r="F298" s="12" t="n"/>
      <c r="G298" s="12" t="n"/>
      <c r="H298" s="12" t="n"/>
      <c r="I298" s="12" t="n"/>
      <c r="J298" s="12">
        <f>(J169-I169)*-1</f>
        <v>-3.776</v>
      </c>
      <c r="K298" s="12">
        <f>(K169-J169)*-1</f>
        <v>-5.076</v>
      </c>
      <c r="L298" s="12">
        <f>(L169-K169)*-1</f>
        <v>-3.506</v>
      </c>
      <c r="M298" s="12" t="n"/>
      <c r="N298" s="12">
        <f>(N169-M169)*-1</f>
        <v>-2.469</v>
      </c>
      <c r="O298" s="12">
        <f>(O169-N169)*-1</f>
        <v>-5.943</v>
      </c>
      <c r="P298" s="12">
        <f>(P169-O169)*-1</f>
        <v>-7.081</v>
      </c>
      <c r="Q298" s="12">
        <f>(Q169-P169)*-1</f>
        <v>-6.941</v>
      </c>
      <c r="R298" s="12">
        <f>SUM(N298:Q298)</f>
        <v>-22.434</v>
      </c>
      <c r="S298" s="12">
        <f>(S169-R169)*-1</f>
        <v>-7.944</v>
      </c>
      <c r="T298" s="12">
        <f>(T169-S169)*-1</f>
        <v>-4.955</v>
      </c>
      <c r="U298" s="12">
        <f>(U169-T169)*-1</f>
        <v>-16.506</v>
      </c>
      <c r="V298" s="12">
        <f>(V169-U169)*-1</f>
        <v>-4.553</v>
      </c>
      <c r="W298" s="12">
        <f>SUM(S298:V298)</f>
        <v>-33.958</v>
      </c>
      <c r="X298" s="12">
        <f>(X169-W169)*-1</f>
        <v>-7.822</v>
      </c>
      <c r="Y298" s="12">
        <f>(Y169-X169)*-1</f>
        <v>-22.961</v>
      </c>
      <c r="Z298" s="12">
        <f>(Z169-Y169)*-1</f>
        <v>-17.327</v>
      </c>
      <c r="AA298" s="12">
        <f>(AA169-Z169)*-1</f>
        <v>-6.54400000000001</v>
      </c>
      <c r="AB298" s="12">
        <f>SUM(X298:AA298)</f>
        <v>-54.654</v>
      </c>
      <c r="AC298" s="12">
        <f>(AC169-AB169)*-1</f>
        <v>-5.62199999999999</v>
      </c>
      <c r="AD298" s="12">
        <f>(AD169-AC169)*-1</f>
        <v>-25.509</v>
      </c>
      <c r="AE298" s="12">
        <f>(AE169-AD169)*-1</f>
        <v>-17.264</v>
      </c>
      <c r="AF298" s="12">
        <f>(AF169-AE169)*-1</f>
        <v>-16.188</v>
      </c>
      <c r="AG298" s="12">
        <f>SUM(AC298:AF298)</f>
        <v>-64.583</v>
      </c>
      <c r="AH298" s="12">
        <f>(AH169-AG169)*-1</f>
        <v>-3.24799999999999</v>
      </c>
      <c r="AI298" s="12">
        <f>(AI169-AH169)*-1</f>
        <v>-23.866</v>
      </c>
      <c r="AJ298" s="12">
        <f>(AJ169-AI169)*-1</f>
        <v>0</v>
      </c>
      <c r="AK298" s="12">
        <f>(AK169-AJ169)*-1</f>
        <v>0</v>
      </c>
      <c r="AL298" s="12">
        <f>SUM(AH298:AK298)</f>
        <v>-27.114</v>
      </c>
      <c r="AM298" s="12">
        <f>(AM169-AL169)*-1</f>
        <v>0</v>
      </c>
      <c r="AN298" s="12">
        <f>(AN169-AM169)*-1</f>
        <v>0</v>
      </c>
      <c r="AO298" s="12">
        <f>(AO169-AN169)*-1</f>
        <v>0</v>
      </c>
      <c r="AP298" s="12">
        <f>(AP169-AO169)*-1</f>
        <v>0</v>
      </c>
      <c r="AQ298" s="12">
        <f>SUM(AM298:AP298)</f>
        <v>0</v>
      </c>
      <c r="AR298" s="12">
        <f>(AR169-AQ169)*-1</f>
        <v>0</v>
      </c>
      <c r="AS298" s="12">
        <f>(AS169-AR169)*-1</f>
        <v>0</v>
      </c>
      <c r="AT298" s="12">
        <f>(AT169-AS169)*-1</f>
        <v>0</v>
      </c>
      <c r="AU298" s="12">
        <f>(AU169-AT169)*-1</f>
        <v>0</v>
      </c>
      <c r="AV298" s="12">
        <f>SUM(AR298:AU298)</f>
        <v>0</v>
      </c>
      <c r="AW298" s="12">
        <f>(AW169-AV169)*-1</f>
        <v>0</v>
      </c>
      <c r="AX298" s="12">
        <f>(AX169-AW169)*-1</f>
        <v>0</v>
      </c>
      <c r="AY298" s="12">
        <f>(AY169-AX169)*-1</f>
        <v>0</v>
      </c>
      <c r="AZ298" s="12">
        <f>(AZ169-AY169)*-1</f>
        <v>0</v>
      </c>
      <c r="BA298" s="12">
        <f>SUM(AW298:AZ298)</f>
        <v>0</v>
      </c>
      <c r="BB298" s="12">
        <f>(BB169-BA169)*-1</f>
        <v>0</v>
      </c>
      <c r="BC298" s="12">
        <f>(BC169-BB169)*-1</f>
        <v>0</v>
      </c>
      <c r="BD298" s="12">
        <f>(BD169-BC169)*-1</f>
        <v>0</v>
      </c>
      <c r="BE298" s="12">
        <f>(BE169-BD169)*-1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 hidden="1" outlineLevel="1">
      <c r="C299" s="10" t="inlineStr">
        <is>
          <t>Accounts payable</t>
        </is>
      </c>
      <c r="D299" s="12" t="n"/>
      <c r="E299" s="12" t="n"/>
      <c r="F299" s="12" t="n"/>
      <c r="G299" s="12" t="n"/>
      <c r="H299" s="12" t="n"/>
      <c r="I299" s="12" t="n"/>
      <c r="J299" s="12">
        <f>J212-I212</f>
        <v>31.253</v>
      </c>
      <c r="K299" s="12">
        <f>K212-J212</f>
        <v>-1.33500000000001</v>
      </c>
      <c r="L299" s="12">
        <f>L212-K212</f>
        <v>-2.726</v>
      </c>
      <c r="M299" s="12" t="n"/>
      <c r="N299" s="12">
        <f>N212-M212</f>
        <v>-3.66500000000001</v>
      </c>
      <c r="O299" s="12">
        <f>O212-N212</f>
        <v>29.925</v>
      </c>
      <c r="P299" s="12">
        <f>P212-O212</f>
        <v>-9.46600000000001</v>
      </c>
      <c r="Q299" s="12">
        <f>Q212-P212</f>
        <v>10.309</v>
      </c>
      <c r="R299" s="12">
        <f>SUM(N299:Q299)</f>
        <v>27.103</v>
      </c>
      <c r="S299" s="12">
        <f>S212-R212</f>
        <v>6.46400000000001</v>
      </c>
      <c r="T299" s="12">
        <f>T212-S212</f>
        <v>-2.09700000000001</v>
      </c>
      <c r="U299" s="12">
        <f>U212-T212</f>
        <v>25.863</v>
      </c>
      <c r="V299" s="12">
        <f>V212-U212</f>
        <v>27.083</v>
      </c>
      <c r="W299" s="12">
        <f>SUM(S299:V299)</f>
        <v>57.313</v>
      </c>
      <c r="X299" s="12">
        <f>X212-W212</f>
        <v>0.302999999999997</v>
      </c>
      <c r="Y299" s="12">
        <f>Y212-X212</f>
        <v>-30.81</v>
      </c>
      <c r="Z299" s="12">
        <f>Z212-Y212</f>
        <v>40.83</v>
      </c>
      <c r="AA299" s="12">
        <f>AA212-Z212</f>
        <v>5.09</v>
      </c>
      <c r="AB299" s="12">
        <f>SUM(X299:AA299)</f>
        <v>15.413</v>
      </c>
      <c r="AC299" s="12">
        <f>AC212-AB212</f>
        <v>68.984</v>
      </c>
      <c r="AD299" s="12">
        <f>AD212-AC212</f>
        <v>30.349</v>
      </c>
      <c r="AE299" s="12">
        <f>AE212-AD212</f>
        <v>-2.827</v>
      </c>
      <c r="AF299" s="12">
        <f>AF212-AE212</f>
        <v>-5.34699999999998</v>
      </c>
      <c r="AG299" s="12">
        <f>SUM(AC299:AF299)</f>
        <v>91.159</v>
      </c>
      <c r="AH299" s="12">
        <f>AH212-AG212</f>
        <v>61.18</v>
      </c>
      <c r="AI299" s="12">
        <f>AI212-AH212</f>
        <v>11.854</v>
      </c>
      <c r="AJ299" s="12">
        <f>AJ212-AI212</f>
        <v>38.8023362656809</v>
      </c>
      <c r="AK299" s="12">
        <f>AK212-AJ212</f>
        <v>0.768269553840526</v>
      </c>
      <c r="AL299" s="12">
        <f>SUM(AH299:AK299)</f>
        <v>112.604605819521</v>
      </c>
      <c r="AM299" s="12">
        <f>AM212-AL212</f>
        <v>62.9961506800672</v>
      </c>
      <c r="AN299" s="12">
        <f>AN212-AM212</f>
        <v>16.738867776697</v>
      </c>
      <c r="AO299" s="12">
        <f>AO212-AN212</f>
        <v>55.8862325913095</v>
      </c>
      <c r="AP299" s="12">
        <f>AP212-AO212</f>
        <v>1.03673126105639</v>
      </c>
      <c r="AQ299" s="12">
        <f>SUM(AM299:AP299)</f>
        <v>136.65798230913</v>
      </c>
      <c r="AR299" s="12">
        <f>AR212-AQ212</f>
        <v>76.03040021678</v>
      </c>
      <c r="AS299" s="12">
        <f>AS212-AR212</f>
        <v>29.2128952943316</v>
      </c>
      <c r="AT299" s="12">
        <f>AT212-AS212</f>
        <v>75.1355115488226</v>
      </c>
      <c r="AU299" s="12">
        <f>AU212-AT212</f>
        <v>1.39381973030413</v>
      </c>
      <c r="AV299" s="12">
        <f>SUM(AR299:AU299)</f>
        <v>181.772626790238</v>
      </c>
      <c r="AW299" s="12">
        <f>AW212-AV212</f>
        <v>108.184899842957</v>
      </c>
      <c r="AX299" s="12">
        <f>AX212-AW212</f>
        <v>30.1431574080798</v>
      </c>
      <c r="AY299" s="12">
        <f>AY212-AX212</f>
        <v>100.639274317561</v>
      </c>
      <c r="AZ299" s="12">
        <f>AZ212-AY212</f>
        <v>1.86693353509895</v>
      </c>
      <c r="BA299" s="12">
        <f>SUM(AW299:AZ299)</f>
        <v>240.834265103697</v>
      </c>
      <c r="BB299" s="12">
        <f>BB212-BA212</f>
        <v>140.818362913088</v>
      </c>
      <c r="BC299" s="12">
        <f>BC212-BB212</f>
        <v>40.224140584543</v>
      </c>
      <c r="BD299" s="12">
        <f>BD212-BC212</f>
        <v>134.296758089148</v>
      </c>
      <c r="BE299" s="12">
        <f>BE212-BD212</f>
        <v>2.49130494065912</v>
      </c>
      <c r="BF299" s="12">
        <f>SUM(BB299:BE299)</f>
        <v>317.830566527438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 hidden="1" outlineLevel="1">
      <c r="C300" s="10" t="inlineStr">
        <is>
          <t>Accrued expenses</t>
        </is>
      </c>
      <c r="D300" s="12" t="n"/>
      <c r="E300" s="12" t="n"/>
      <c r="F300" s="12" t="n"/>
      <c r="G300" s="12" t="n"/>
      <c r="H300" s="12" t="n"/>
      <c r="I300" s="12" t="n"/>
      <c r="J300" s="12">
        <f>J216-I216</f>
        <v>4.725</v>
      </c>
      <c r="K300" s="12">
        <f>K216-J216</f>
        <v>-1.532</v>
      </c>
      <c r="L300" s="12">
        <f>L216-K216</f>
        <v>-0.439</v>
      </c>
      <c r="M300" s="12" t="n"/>
      <c r="N300" s="12">
        <f>N216-M216</f>
        <v>-0.303000000000001</v>
      </c>
      <c r="O300" s="12">
        <f>O216-N216</f>
        <v>4.665</v>
      </c>
      <c r="P300" s="12">
        <f>P216-O216</f>
        <v>2.78</v>
      </c>
      <c r="Q300" s="12">
        <f>Q216-P216</f>
        <v>-5.222</v>
      </c>
      <c r="R300" s="12">
        <f>SUM(N300:Q300)</f>
        <v>1.92</v>
      </c>
      <c r="S300" s="12">
        <f>S216-R216</f>
        <v>4.166</v>
      </c>
      <c r="T300" s="12">
        <f>T216-S216</f>
        <v>3.809</v>
      </c>
      <c r="U300" s="12">
        <f>U216-T216</f>
        <v>3.337</v>
      </c>
      <c r="V300" s="12">
        <f>V216-U216</f>
        <v>-7.065</v>
      </c>
      <c r="W300" s="12">
        <f>SUM(S300:V300)</f>
        <v>4.247</v>
      </c>
      <c r="X300" s="12">
        <f>X216-W216</f>
        <v>5.005</v>
      </c>
      <c r="Y300" s="12">
        <f>Y216-X216</f>
        <v>7.852</v>
      </c>
      <c r="Z300" s="12">
        <f>Z216-Y216</f>
        <v>14.347</v>
      </c>
      <c r="AA300" s="12">
        <f>AA216-Z216</f>
        <v>-17.346</v>
      </c>
      <c r="AB300" s="12">
        <f>SUM(X300:AA300)</f>
        <v>9.858</v>
      </c>
      <c r="AC300" s="12">
        <f>AC216-AB216</f>
        <v>6.069</v>
      </c>
      <c r="AD300" s="12">
        <f>AD216-AC216</f>
        <v>10.346</v>
      </c>
      <c r="AE300" s="12">
        <f>AE216-AD216</f>
        <v>7.38200000000001</v>
      </c>
      <c r="AF300" s="12">
        <f>AF216-AE216</f>
        <v>-12.39</v>
      </c>
      <c r="AG300" s="12">
        <f>SUM(AC300:AF300)</f>
        <v>11.407</v>
      </c>
      <c r="AH300" s="12">
        <f>AH216-AG216</f>
        <v>10.667</v>
      </c>
      <c r="AI300" s="12">
        <f>AI216-AH216</f>
        <v>17.496</v>
      </c>
      <c r="AJ300" s="12">
        <f>AJ216-AI216</f>
        <v>25.216063319546</v>
      </c>
      <c r="AK300" s="12">
        <f>AK216-AJ216</f>
        <v>34.0274855270146</v>
      </c>
      <c r="AL300" s="12">
        <f>SUM(AH300:AK300)</f>
        <v>87.4065488465606</v>
      </c>
      <c r="AM300" s="12">
        <f>AM216-AL216</f>
        <v>45.9179435195056</v>
      </c>
      <c r="AN300" s="12">
        <f>AN216-AM216</f>
        <v>61.9633659203702</v>
      </c>
      <c r="AO300" s="12">
        <f>AO216-AN216</f>
        <v>83.6156504820543</v>
      </c>
      <c r="AP300" s="12">
        <f>AP216-AO216</f>
        <v>112.8340415613</v>
      </c>
      <c r="AQ300" s="12">
        <f>SUM(AM300:AP300)</f>
        <v>304.33100148323</v>
      </c>
      <c r="AR300" s="12">
        <f>AR216-AQ216</f>
        <v>150.083732976248</v>
      </c>
      <c r="AS300" s="12">
        <f>AS216-AR216</f>
        <v>201.778104006261</v>
      </c>
      <c r="AT300" s="12">
        <f>AT216-AS216</f>
        <v>271.277922323565</v>
      </c>
      <c r="AU300" s="12">
        <f>AU216-AT216</f>
        <v>364.716040437702</v>
      </c>
      <c r="AV300" s="12">
        <f>SUM(AR300:AU300)</f>
        <v>987.855799743776</v>
      </c>
      <c r="AW300" s="12">
        <f>AW216-AV216</f>
        <v>483.219729622464</v>
      </c>
      <c r="AX300" s="12">
        <f>AX216-AW216</f>
        <v>647.242321542363</v>
      </c>
      <c r="AY300" s="12">
        <f>AY216-AX216</f>
        <v>866.940228460557</v>
      </c>
      <c r="AZ300" s="12">
        <f>AZ216-AY216</f>
        <v>1161.21170496428</v>
      </c>
      <c r="BA300" s="12">
        <f>SUM(AW300:AZ300)</f>
        <v>3158.61398458966</v>
      </c>
      <c r="BB300" s="12">
        <f>BB216-BA216</f>
        <v>1532.45873832853</v>
      </c>
      <c r="BC300" s="12">
        <f>BC216-BB216</f>
        <v>2044.96944019592</v>
      </c>
      <c r="BD300" s="12">
        <f>BD216-BC216</f>
        <v>2728.88261637404</v>
      </c>
      <c r="BE300" s="12">
        <f>BE216-BD216</f>
        <v>3641.52157365979</v>
      </c>
      <c r="BF300" s="12">
        <f>SUM(BB300:BE300)</f>
        <v>9947.83236855827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 hidden="1" outlineLevel="1">
      <c r="C301" s="10" t="inlineStr">
        <is>
          <t>Taxes payable</t>
        </is>
      </c>
      <c r="D301" s="12" t="n"/>
      <c r="E301" s="12" t="n"/>
      <c r="F301" s="12" t="n"/>
      <c r="G301" s="12" t="n"/>
      <c r="H301" s="12" t="n"/>
      <c r="I301" s="12" t="n"/>
      <c r="J301" s="12">
        <f>J218-I218</f>
        <v>-0.640000000000001</v>
      </c>
      <c r="K301" s="12">
        <f>K218-J218</f>
        <v>0.526000000000002</v>
      </c>
      <c r="L301" s="12">
        <f>L218-K218</f>
        <v>-0.905000000000001</v>
      </c>
      <c r="M301" s="12" t="n"/>
      <c r="N301" s="12">
        <f>N218-M218</f>
        <v>1.816</v>
      </c>
      <c r="O301" s="12">
        <f>O218-N218</f>
        <v>2.336</v>
      </c>
      <c r="P301" s="12">
        <f>P218-O218</f>
        <v>-0.376000000000001</v>
      </c>
      <c r="Q301" s="12">
        <f>Q218-P218</f>
        <v>2.698</v>
      </c>
      <c r="R301" s="12">
        <f>SUM(N301:Q301)</f>
        <v>6.474</v>
      </c>
      <c r="S301" s="12">
        <f>S218-R218</f>
        <v>0.0839999999999996</v>
      </c>
      <c r="T301" s="12">
        <f>T218-S218</f>
        <v>-0.921999999999999</v>
      </c>
      <c r="U301" s="12">
        <f>U218-T218</f>
        <v>2.901</v>
      </c>
      <c r="V301" s="12">
        <f>V218-U218</f>
        <v>2.148</v>
      </c>
      <c r="W301" s="12">
        <f>SUM(S301:V301)</f>
        <v>4.211</v>
      </c>
      <c r="X301" s="12">
        <f>X218-W218</f>
        <v>-1.356</v>
      </c>
      <c r="Y301" s="12">
        <f>Y218-X218</f>
        <v>1.846</v>
      </c>
      <c r="Z301" s="12">
        <f>Z218-Y218</f>
        <v>1.184</v>
      </c>
      <c r="AA301" s="12">
        <f>AA218-Z218</f>
        <v>7.173</v>
      </c>
      <c r="AB301" s="12">
        <f>SUM(X301:AA301)</f>
        <v>8.847</v>
      </c>
      <c r="AC301" s="12">
        <f>AC218-AB218</f>
        <v>-3.388</v>
      </c>
      <c r="AD301" s="12">
        <f>AD218-AC218</f>
        <v>6.172</v>
      </c>
      <c r="AE301" s="12">
        <f>AE218-AD218</f>
        <v>8.366</v>
      </c>
      <c r="AF301" s="12">
        <f>AF218-AE218</f>
        <v>3.055</v>
      </c>
      <c r="AG301" s="12">
        <f>SUM(AC301:AF301)</f>
        <v>14.205</v>
      </c>
      <c r="AH301" s="12">
        <f>AH218-AG218</f>
        <v>-1.914</v>
      </c>
      <c r="AI301" s="12">
        <f>AI218-AH218</f>
        <v>5.639</v>
      </c>
      <c r="AJ301" s="12">
        <f>AJ218-AI218</f>
        <v>16.0139928190482</v>
      </c>
      <c r="AK301" s="12">
        <f>AK218-AJ218</f>
        <v>21.6098723252131</v>
      </c>
      <c r="AL301" s="12">
        <f>SUM(AH301:AK301)</f>
        <v>41.3488651442612</v>
      </c>
      <c r="AM301" s="12">
        <f>AM218-AL218</f>
        <v>29.1611584436671</v>
      </c>
      <c r="AN301" s="12">
        <f>AN218-AM218</f>
        <v>39.351142338055</v>
      </c>
      <c r="AO301" s="12">
        <f>AO218-AN218</f>
        <v>53.1018822966601</v>
      </c>
      <c r="AP301" s="12">
        <f>AP218-AO218</f>
        <v>71.6576377687875</v>
      </c>
      <c r="AQ301" s="12">
        <f>SUM(AM301:AP301)</f>
        <v>193.27182084717</v>
      </c>
      <c r="AR301" s="12">
        <f>AR218-AQ218</f>
        <v>95.313839899608</v>
      </c>
      <c r="AS301" s="12">
        <f>AS218-AR218</f>
        <v>128.143440458952</v>
      </c>
      <c r="AT301" s="12">
        <f>AT218-AS218</f>
        <v>172.280765835818</v>
      </c>
      <c r="AU301" s="12">
        <f>AU218-AT218</f>
        <v>231.62061335854</v>
      </c>
      <c r="AV301" s="12">
        <f>SUM(AR301:AU301)</f>
        <v>627.358659552919</v>
      </c>
      <c r="AW301" s="12">
        <f>AW218-AV218</f>
        <v>306.878880423745</v>
      </c>
      <c r="AX301" s="12">
        <f>AX218-AW218</f>
        <v>411.044886666714</v>
      </c>
      <c r="AY301" s="12">
        <f>AY218-AX218</f>
        <v>550.568675894382</v>
      </c>
      <c r="AZ301" s="12">
        <f>AZ218-AY218</f>
        <v>737.451983247455</v>
      </c>
      <c r="BA301" s="12">
        <f>SUM(AW301:AZ301)</f>
        <v>2005.9444262323</v>
      </c>
      <c r="BB301" s="12">
        <f>BB218-BA218</f>
        <v>973.22024140295</v>
      </c>
      <c r="BC301" s="12">
        <f>BC218-BB218</f>
        <v>1298.70097149883</v>
      </c>
      <c r="BD301" s="12">
        <f>BD218-BC218</f>
        <v>1733.03445779204</v>
      </c>
      <c r="BE301" s="12">
        <f>BE218-BD218</f>
        <v>2312.62507521522</v>
      </c>
      <c r="BF301" s="12">
        <f>SUM(BB301:BE301)</f>
        <v>6317.58074590904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 hidden="1" outlineLevel="1">
      <c r="C302" s="10" t="inlineStr">
        <is>
          <t>Other current liabilities (non-debt)</t>
        </is>
      </c>
      <c r="D302" s="12" t="n"/>
      <c r="E302" s="12" t="n"/>
      <c r="F302" s="12" t="n"/>
      <c r="G302" s="12" t="n"/>
      <c r="H302" s="12" t="n"/>
      <c r="I302" s="12" t="n"/>
      <c r="J302" s="12">
        <f>J219-I219</f>
        <v>136.585</v>
      </c>
      <c r="K302" s="12">
        <f>K219-J219</f>
        <v>-117.552</v>
      </c>
      <c r="L302" s="12">
        <f>L219-K219</f>
        <v>363.405</v>
      </c>
      <c r="M302" s="12" t="n"/>
      <c r="N302" s="12">
        <f>N219-M219</f>
        <v>284.805</v>
      </c>
      <c r="O302" s="12">
        <f>O219-N219</f>
        <v>-59.6029999999998</v>
      </c>
      <c r="P302" s="12">
        <f>P219-O219</f>
        <v>-347.363718609</v>
      </c>
      <c r="Q302" s="12">
        <f>Q219-P219</f>
        <v>-18.4402813910001</v>
      </c>
      <c r="R302" s="12">
        <f>SUM(N302:Q302)</f>
        <v>-140.602</v>
      </c>
      <c r="S302" s="12">
        <f>S219-R219</f>
        <v>-304.072</v>
      </c>
      <c r="T302" s="12">
        <f>T219-S219</f>
        <v>-5.29700000000003</v>
      </c>
      <c r="U302" s="12">
        <f>U219-T219</f>
        <v>175.662</v>
      </c>
      <c r="V302" s="12">
        <f>V219-U219</f>
        <v>86.302</v>
      </c>
      <c r="W302" s="12">
        <f>SUM(S302:V302)</f>
        <v>-47.405</v>
      </c>
      <c r="X302" s="12">
        <f>X219-W219</f>
        <v>78.283</v>
      </c>
      <c r="Y302" s="12">
        <f>Y219-X219</f>
        <v>222.265</v>
      </c>
      <c r="Z302" s="12">
        <f>Z219-Y219</f>
        <v>-249.937</v>
      </c>
      <c r="AA302" s="12">
        <f>AA219-Z219</f>
        <v>-2.05600000000004</v>
      </c>
      <c r="AB302" s="12">
        <f>SUM(X302:AA302)</f>
        <v>48.555</v>
      </c>
      <c r="AC302" s="12">
        <f>AC219-AB219</f>
        <v>96.917</v>
      </c>
      <c r="AD302" s="12">
        <f>AD219-AC219</f>
        <v>14.4490000000001</v>
      </c>
      <c r="AE302" s="12">
        <f>AE219-AD219</f>
        <v>269.568</v>
      </c>
      <c r="AF302" s="12">
        <f>AF219-AE219</f>
        <v>-97.7760000000001</v>
      </c>
      <c r="AG302" s="12">
        <f>SUM(AC302:AF302)</f>
        <v>283.158</v>
      </c>
      <c r="AH302" s="12">
        <f>AH219-AG219</f>
        <v>208.352</v>
      </c>
      <c r="AI302" s="12">
        <f>AI219-AH219</f>
        <v>-42.8790000000001</v>
      </c>
      <c r="AJ302" s="12">
        <f>AJ219-AI219</f>
        <v>0</v>
      </c>
      <c r="AK302" s="12">
        <f>AK219-AJ219</f>
        <v>0</v>
      </c>
      <c r="AL302" s="12">
        <f>SUM(AH302:AK302)</f>
        <v>165.473</v>
      </c>
      <c r="AM302" s="12">
        <f>AM219-AL219</f>
        <v>0</v>
      </c>
      <c r="AN302" s="12">
        <f>AN219-AM219</f>
        <v>0</v>
      </c>
      <c r="AO302" s="12">
        <f>AO219-AN219</f>
        <v>0</v>
      </c>
      <c r="AP302" s="12">
        <f>AP219-AO219</f>
        <v>0</v>
      </c>
      <c r="AQ302" s="12">
        <f>SUM(AM302:AP302)</f>
        <v>0</v>
      </c>
      <c r="AR302" s="12">
        <f>AR219-AQ219</f>
        <v>0</v>
      </c>
      <c r="AS302" s="12">
        <f>AS219-AR219</f>
        <v>0</v>
      </c>
      <c r="AT302" s="12">
        <f>AT219-AS219</f>
        <v>0</v>
      </c>
      <c r="AU302" s="12">
        <f>AU219-AT219</f>
        <v>0</v>
      </c>
      <c r="AV302" s="12">
        <f>SUM(AR302:AU302)</f>
        <v>0</v>
      </c>
      <c r="AW302" s="12">
        <f>AW219-AV219</f>
        <v>0</v>
      </c>
      <c r="AX302" s="12">
        <f>AX219-AW219</f>
        <v>0</v>
      </c>
      <c r="AY302" s="12">
        <f>AY219-AX219</f>
        <v>0</v>
      </c>
      <c r="AZ302" s="12">
        <f>AZ219-AY219</f>
        <v>0</v>
      </c>
      <c r="BA302" s="12">
        <f>SUM(AW302:AZ302)</f>
        <v>0</v>
      </c>
      <c r="BB302" s="12">
        <f>BB219-BA219</f>
        <v>0</v>
      </c>
      <c r="BC302" s="12">
        <f>BC219-BB219</f>
        <v>0</v>
      </c>
      <c r="BD302" s="12">
        <f>BD219-BC219</f>
        <v>0</v>
      </c>
      <c r="BE302" s="12">
        <f>BE219-BD219</f>
        <v>0</v>
      </c>
      <c r="BF302" s="12">
        <f>SUM(BB302:BE302)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 hidden="1" outlineLevel="1">
      <c r="C303" s="10" t="inlineStr">
        <is>
          <t>Deferred income taxes</t>
        </is>
      </c>
      <c r="D303" s="12" t="n"/>
      <c r="E303" s="12" t="n"/>
      <c r="F303" s="12" t="n"/>
      <c r="G303" s="12" t="n"/>
      <c r="H303" s="12" t="n"/>
      <c r="I303" s="12" t="n"/>
      <c r="J303" s="12">
        <f>J253-I253</f>
        <v>4.496</v>
      </c>
      <c r="K303" s="12">
        <f>K253-J253</f>
        <v>1.014</v>
      </c>
      <c r="L303" s="12">
        <f>L253-K253</f>
        <v>-0.566000000000003</v>
      </c>
      <c r="M303" s="12" t="n"/>
      <c r="N303" s="12">
        <f>N253-M253</f>
        <v>5.42</v>
      </c>
      <c r="O303" s="12">
        <f>O253-N253</f>
        <v>4.708</v>
      </c>
      <c r="P303" s="12">
        <f>P253-O253</f>
        <v>3.428</v>
      </c>
      <c r="Q303" s="12">
        <f>Q253-P253</f>
        <v>-0.151000000000003</v>
      </c>
      <c r="R303" s="12">
        <f>SUM(N303:Q303)</f>
        <v>13.405</v>
      </c>
      <c r="S303" s="12">
        <f>S253-R253</f>
        <v>3.387</v>
      </c>
      <c r="T303" s="12">
        <f>T253-S253</f>
        <v>4.793</v>
      </c>
      <c r="U303" s="12">
        <f>U253-T253</f>
        <v>1.666</v>
      </c>
      <c r="V303" s="12">
        <f>V253-U253</f>
        <v>-0.268000000000001</v>
      </c>
      <c r="W303" s="12">
        <f>SUM(S303:V303)</f>
        <v>9.578</v>
      </c>
      <c r="X303" s="12">
        <f>X253-W253</f>
        <v>6.078</v>
      </c>
      <c r="Y303" s="12">
        <f>Y253-X253</f>
        <v>-0.588999999999999</v>
      </c>
      <c r="Z303" s="12">
        <f>Z253-Y253</f>
        <v>1.505</v>
      </c>
      <c r="AA303" s="12">
        <f>AA253-Z253</f>
        <v>-4.66</v>
      </c>
      <c r="AB303" s="12">
        <f>SUM(X303:AA303)</f>
        <v>2.334</v>
      </c>
      <c r="AC303" s="12">
        <f>AC253-AB253</f>
        <v>18.11</v>
      </c>
      <c r="AD303" s="12">
        <f>AD253-AC253</f>
        <v>6.03</v>
      </c>
      <c r="AE303" s="12">
        <f>AE253-AD253</f>
        <v>-0.543000000000006</v>
      </c>
      <c r="AF303" s="12">
        <f>AF253-AE253</f>
        <v>-0.283000000000001</v>
      </c>
      <c r="AG303" s="12">
        <f>SUM(AC303:AF303)</f>
        <v>23.314</v>
      </c>
      <c r="AH303" s="12">
        <f>AH253-AG253</f>
        <v>8.22800000000001</v>
      </c>
      <c r="AI303" s="12">
        <f>AI253-AH253</f>
        <v>6.273</v>
      </c>
      <c r="AJ303" s="12">
        <f>AJ253-AI253</f>
        <v>0</v>
      </c>
      <c r="AK303" s="12">
        <f>AK253-AJ253</f>
        <v>0</v>
      </c>
      <c r="AL303" s="12">
        <f>SUM(AH303:AK303)</f>
        <v>14.501</v>
      </c>
      <c r="AM303" s="12">
        <f>AM253-AL253</f>
        <v>0</v>
      </c>
      <c r="AN303" s="12">
        <f>AN253-AM253</f>
        <v>0</v>
      </c>
      <c r="AO303" s="12">
        <f>AO253-AN253</f>
        <v>0</v>
      </c>
      <c r="AP303" s="12">
        <f>AP253-AO253</f>
        <v>0</v>
      </c>
      <c r="AQ303" s="12">
        <f>SUM(AM303:AP303)</f>
        <v>0</v>
      </c>
      <c r="AR303" s="12">
        <f>AR253-AQ253</f>
        <v>0</v>
      </c>
      <c r="AS303" s="12">
        <f>AS253-AR253</f>
        <v>0</v>
      </c>
      <c r="AT303" s="12">
        <f>AT253-AS253</f>
        <v>0</v>
      </c>
      <c r="AU303" s="12">
        <f>AU253-AT253</f>
        <v>0</v>
      </c>
      <c r="AV303" s="12">
        <f>SUM(AR303:AU303)</f>
        <v>0</v>
      </c>
      <c r="AW303" s="12">
        <f>AW253-AV253</f>
        <v>0</v>
      </c>
      <c r="AX303" s="12">
        <f>AX253-AW253</f>
        <v>0</v>
      </c>
      <c r="AY303" s="12">
        <f>AY253-AX253</f>
        <v>0</v>
      </c>
      <c r="AZ303" s="12">
        <f>AZ253-AY253</f>
        <v>0</v>
      </c>
      <c r="BA303" s="12">
        <f>SUM(AW303:AZ303)</f>
        <v>0</v>
      </c>
      <c r="BB303" s="12">
        <f>BB253-BA253</f>
        <v>0</v>
      </c>
      <c r="BC303" s="12">
        <f>BC253-BB253</f>
        <v>0</v>
      </c>
      <c r="BD303" s="12">
        <f>BD253-BC253</f>
        <v>0</v>
      </c>
      <c r="BE303" s="12">
        <f>BE253-BD253</f>
        <v>0</v>
      </c>
      <c r="BF303" s="12">
        <f>SUM(BB303:BE303)</f>
        <v>0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 collapsed="1">
      <c r="C304" s="10" t="inlineStr">
        <is>
          <t>Equity income in affiliates</t>
        </is>
      </c>
      <c r="D304" s="12" t="n"/>
      <c r="E304" s="12" t="n"/>
      <c r="F304" s="12" t="n"/>
      <c r="G304" s="12" t="n"/>
      <c r="H304" s="12" t="n"/>
      <c r="I304" s="12" t="n"/>
      <c r="J304" s="12">
        <f>(J175-I175)*-1</f>
        <v>-3.402</v>
      </c>
      <c r="K304" s="12">
        <f>(K175-J175)*-1</f>
        <v>2.465</v>
      </c>
      <c r="L304" s="12">
        <f>(L175-K175)*-1</f>
        <v>-0.0960000000000001</v>
      </c>
      <c r="M304" s="12" t="n"/>
      <c r="N304" s="12">
        <f>(N175-M175)*-1</f>
        <v>-0.994</v>
      </c>
      <c r="O304" s="12">
        <f>(O175-N175)*-1</f>
        <v>-2.84</v>
      </c>
      <c r="P304" s="12">
        <f>(P175-O175)*-1</f>
        <v>-2.789</v>
      </c>
      <c r="Q304" s="12">
        <f>(Q175-P175)*-1</f>
        <v>2.077</v>
      </c>
      <c r="R304" s="12">
        <f>SUM(N304:Q304)</f>
        <v>-4.546</v>
      </c>
      <c r="S304" s="12">
        <f>(S175-R175)*-1</f>
        <v>1.989</v>
      </c>
      <c r="T304" s="12">
        <f>(T175-S175)*-1</f>
        <v>-1.271</v>
      </c>
      <c r="U304" s="12">
        <f>(U175-T175)*-1</f>
        <v>3.906</v>
      </c>
      <c r="V304" s="12">
        <f>(V175-U175)*-1</f>
        <v>-11.183</v>
      </c>
      <c r="W304" s="12">
        <f>SUM(S304:V304)</f>
        <v>-6.559</v>
      </c>
      <c r="X304" s="12">
        <f>(X175-W175)*-1</f>
        <v>0.0720000000000027</v>
      </c>
      <c r="Y304" s="12">
        <f>(Y175-X175)*-1</f>
        <v>-3.904</v>
      </c>
      <c r="Z304" s="12">
        <f>(Z175-Y175)*-1</f>
        <v>1.87</v>
      </c>
      <c r="AA304" s="12">
        <f>(AA175-Z175)*-1</f>
        <v>0.593000000000004</v>
      </c>
      <c r="AB304" s="12">
        <f>SUM(X304:AA304)</f>
        <v>-1.369</v>
      </c>
      <c r="AC304" s="12">
        <f>(AC175-AB175)*-1</f>
        <v>1.872</v>
      </c>
      <c r="AD304" s="12">
        <f>(AD175-AC175)*-1</f>
        <v>-0.354999999999997</v>
      </c>
      <c r="AE304" s="12">
        <f>(AE175-AD175)*-1</f>
        <v>-0.476000000000006</v>
      </c>
      <c r="AF304" s="12">
        <f>(AF175-AE175)*-1</f>
        <v>-0.117999999999995</v>
      </c>
      <c r="AG304" s="12">
        <f>SUM(AC304:AF304)</f>
        <v>0.923000000000002</v>
      </c>
      <c r="AH304" s="12">
        <f>(AH175-AG175)*-1</f>
        <v>3.564</v>
      </c>
      <c r="AI304" s="12">
        <f>(AI175-AH175)*-1</f>
        <v>7.286</v>
      </c>
      <c r="AJ304" s="12">
        <f>(AJ175-AI175)*-1</f>
        <v>0</v>
      </c>
      <c r="AK304" s="12">
        <f>(AK175-AJ175)*-1</f>
        <v>0</v>
      </c>
      <c r="AL304" s="12">
        <f>SUM(AH304:AK304)</f>
        <v>10.85</v>
      </c>
      <c r="AM304" s="12">
        <f>(AM175-AL175)*-1</f>
        <v>0</v>
      </c>
      <c r="AN304" s="12">
        <f>(AN175-AM175)*-1</f>
        <v>0</v>
      </c>
      <c r="AO304" s="12">
        <f>(AO175-AN175)*-1</f>
        <v>0</v>
      </c>
      <c r="AP304" s="12">
        <f>(AP175-AO175)*-1</f>
        <v>0</v>
      </c>
      <c r="AQ304" s="12">
        <f>SUM(AM304:AP304)</f>
        <v>0</v>
      </c>
      <c r="AR304" s="12">
        <f>(AR175-AQ175)*-1</f>
        <v>0</v>
      </c>
      <c r="AS304" s="12">
        <f>(AS175-AR175)*-1</f>
        <v>0</v>
      </c>
      <c r="AT304" s="12">
        <f>(AT175-AS175)*-1</f>
        <v>0</v>
      </c>
      <c r="AU304" s="12">
        <f>(AU175-AT175)*-1</f>
        <v>0</v>
      </c>
      <c r="AV304" s="12">
        <f>SUM(AR304:AU304)</f>
        <v>0</v>
      </c>
      <c r="AW304" s="12">
        <f>(AW175-AV175)*-1</f>
        <v>0</v>
      </c>
      <c r="AX304" s="12">
        <f>(AX175-AW175)*-1</f>
        <v>0</v>
      </c>
      <c r="AY304" s="12">
        <f>(AY175-AX175)*-1</f>
        <v>0</v>
      </c>
      <c r="AZ304" s="12">
        <f>(AZ175-AY175)*-1</f>
        <v>0</v>
      </c>
      <c r="BA304" s="12">
        <f>SUM(AW304:AZ304)</f>
        <v>0</v>
      </c>
      <c r="BB304" s="12">
        <f>(BB175-BA175)*-1</f>
        <v>0</v>
      </c>
      <c r="BC304" s="12">
        <f>(BC175-BB175)*-1</f>
        <v>0</v>
      </c>
      <c r="BD304" s="12">
        <f>(BD175-BC175)*-1</f>
        <v>0</v>
      </c>
      <c r="BE304" s="12">
        <f>(BE175-BD175)*-1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0" t="inlineStr">
        <is>
          <t>Dividends received from affiliates</t>
        </is>
      </c>
      <c r="D305" s="12" t="n"/>
      <c r="E305" s="12" t="n"/>
      <c r="F305" s="12" t="n"/>
      <c r="G305" s="12" t="n"/>
      <c r="H305" s="12" t="n"/>
      <c r="I305" s="12" t="n"/>
      <c r="J305" s="12">
        <f>-J178</f>
        <v>0</v>
      </c>
      <c r="K305" s="12">
        <f>-K178</f>
        <v>0</v>
      </c>
      <c r="L305" s="12">
        <f>-L178</f>
        <v>0</v>
      </c>
      <c r="M305" s="12" t="n"/>
      <c r="N305" s="12">
        <f>-N178</f>
        <v>0</v>
      </c>
      <c r="O305" s="12">
        <f>-O178</f>
        <v>0</v>
      </c>
      <c r="P305" s="12">
        <f>-P178</f>
        <v>0</v>
      </c>
      <c r="Q305" s="12">
        <f>-Q178</f>
        <v>0</v>
      </c>
      <c r="R305" s="12">
        <f>SUM(N305:Q305)</f>
        <v>0</v>
      </c>
      <c r="S305" s="12">
        <f>-S178</f>
        <v>0</v>
      </c>
      <c r="T305" s="12">
        <f>-T178</f>
        <v>0</v>
      </c>
      <c r="U305" s="12">
        <f>-U178</f>
        <v>0</v>
      </c>
      <c r="V305" s="12">
        <f>-V178</f>
        <v>0</v>
      </c>
      <c r="W305" s="12">
        <f>SUM(S305:V305)</f>
        <v>0</v>
      </c>
      <c r="X305" s="12">
        <f>-X178</f>
        <v>0</v>
      </c>
      <c r="Y305" s="12">
        <f>-Y178</f>
        <v>0</v>
      </c>
      <c r="Z305" s="12">
        <f>-Z178</f>
        <v>0</v>
      </c>
      <c r="AA305" s="12">
        <f>-AA178</f>
        <v>0</v>
      </c>
      <c r="AB305" s="12">
        <f>SUM(X305:AA305)</f>
        <v>0</v>
      </c>
      <c r="AC305" s="12">
        <f>-AC178</f>
        <v>0</v>
      </c>
      <c r="AD305" s="12">
        <f>-AD178</f>
        <v>0</v>
      </c>
      <c r="AE305" s="12">
        <f>-AE178</f>
        <v>0</v>
      </c>
      <c r="AF305" s="12">
        <f>-AF178</f>
        <v>0</v>
      </c>
      <c r="AG305" s="12">
        <f>SUM(AC305:AF305)</f>
        <v>0</v>
      </c>
      <c r="AH305" s="12">
        <f>-AH178</f>
        <v>0</v>
      </c>
      <c r="AI305" s="12">
        <f>-AI178</f>
        <v>0</v>
      </c>
      <c r="AJ305" s="12">
        <f>-AJ178</f>
        <v>0</v>
      </c>
      <c r="AK305" s="12">
        <f>-AK178</f>
        <v>0</v>
      </c>
      <c r="AL305" s="12">
        <f>SUM(AH305:AK305)</f>
        <v>0</v>
      </c>
      <c r="AM305" s="12">
        <f>-AM178</f>
        <v>0</v>
      </c>
      <c r="AN305" s="12">
        <f>-AN178</f>
        <v>0</v>
      </c>
      <c r="AO305" s="12">
        <f>-AO178</f>
        <v>0</v>
      </c>
      <c r="AP305" s="12">
        <f>-AP178</f>
        <v>0</v>
      </c>
      <c r="AQ305" s="12">
        <f>SUM(AM305:AP305)</f>
        <v>0</v>
      </c>
      <c r="AR305" s="12">
        <f>-AR178</f>
        <v>0</v>
      </c>
      <c r="AS305" s="12">
        <f>-AS178</f>
        <v>0</v>
      </c>
      <c r="AT305" s="12">
        <f>-AT178</f>
        <v>0</v>
      </c>
      <c r="AU305" s="12">
        <f>-AU178</f>
        <v>0</v>
      </c>
      <c r="AV305" s="12">
        <f>SUM(AR305:AU305)</f>
        <v>0</v>
      </c>
      <c r="AW305" s="12">
        <f>-AW178</f>
        <v>0</v>
      </c>
      <c r="AX305" s="12">
        <f>-AX178</f>
        <v>0</v>
      </c>
      <c r="AY305" s="12">
        <f>-AY178</f>
        <v>0</v>
      </c>
      <c r="AZ305" s="12">
        <f>-AZ178</f>
        <v>0</v>
      </c>
      <c r="BA305" s="12">
        <f>SUM(AW305:AZ305)</f>
        <v>0</v>
      </c>
      <c r="BB305" s="12">
        <f>-BB178</f>
        <v>0</v>
      </c>
      <c r="BC305" s="12">
        <f>-BC178</f>
        <v>0</v>
      </c>
      <c r="BD305" s="12">
        <f>-BD178</f>
        <v>0</v>
      </c>
      <c r="BE305" s="12">
        <f>-BE178</f>
        <v>0</v>
      </c>
      <c r="BF305" s="12">
        <f>SUM(BB305:BE305)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71" t="inlineStr">
        <is>
          <t>Minority interest expense</t>
        </is>
      </c>
      <c r="D306" s="12" t="n"/>
      <c r="E306" s="12" t="n"/>
      <c r="F306" s="12" t="n"/>
      <c r="G306" s="12" t="n"/>
      <c r="H306" s="12" t="n"/>
      <c r="I306" s="12" t="n"/>
      <c r="J306" s="12">
        <f>-J150</f>
        <v>-1.652</v>
      </c>
      <c r="K306" s="12">
        <f>-K150</f>
        <v>7.241725888</v>
      </c>
      <c r="L306" s="12">
        <f>-L150</f>
        <v>7.891</v>
      </c>
      <c r="M306" s="12" t="n"/>
      <c r="N306" s="12">
        <f>-N150</f>
        <v>1.448</v>
      </c>
      <c r="O306" s="12">
        <f>-O150</f>
        <v>6.614</v>
      </c>
      <c r="P306" s="12">
        <f>-P150</f>
        <v>4.999</v>
      </c>
      <c r="Q306" s="12">
        <f>-Q150</f>
        <v>5.494</v>
      </c>
      <c r="R306" s="12">
        <f>SUM(N306:Q306)</f>
        <v>18.555</v>
      </c>
      <c r="S306" s="12">
        <f>-S150</f>
        <v>2.207</v>
      </c>
      <c r="T306" s="12">
        <f>-T150</f>
        <v>2.697</v>
      </c>
      <c r="U306" s="12">
        <f>-U150</f>
        <v>4.671</v>
      </c>
      <c r="V306" s="12">
        <f>-V150</f>
        <v>4.271</v>
      </c>
      <c r="W306" s="12">
        <f>SUM(S306:V306)</f>
        <v>13.846</v>
      </c>
      <c r="X306" s="12">
        <f>-X150</f>
        <v>12.829</v>
      </c>
      <c r="Y306" s="12">
        <f>-Y150</f>
        <v>3.035</v>
      </c>
      <c r="Z306" s="12">
        <f>-Z150</f>
        <v>10.017</v>
      </c>
      <c r="AA306" s="12">
        <f>-AA150</f>
        <v>23.088</v>
      </c>
      <c r="AB306" s="12">
        <f>SUM(X306:AA306)</f>
        <v>48.969</v>
      </c>
      <c r="AC306" s="12">
        <f>-AC150</f>
        <v>20.189</v>
      </c>
      <c r="AD306" s="12">
        <f>-AD150</f>
        <v>30.4264</v>
      </c>
      <c r="AE306" s="12">
        <f>-AE150</f>
        <v>27.957</v>
      </c>
      <c r="AF306" s="12">
        <f>-AF150</f>
        <v>27.112</v>
      </c>
      <c r="AG306" s="12">
        <f>SUM(AC306:AF306)</f>
        <v>105.6844</v>
      </c>
      <c r="AH306" s="12">
        <f>-AH150</f>
        <v>48.319</v>
      </c>
      <c r="AI306" s="12">
        <f>-AI150</f>
        <v>40.74</v>
      </c>
      <c r="AJ306" s="12">
        <f>-AJ150</f>
        <v>0</v>
      </c>
      <c r="AK306" s="12">
        <f>-AK150</f>
        <v>0</v>
      </c>
      <c r="AL306" s="12">
        <f>SUM(AH306:AK306)</f>
        <v>89.059</v>
      </c>
      <c r="AM306" s="12">
        <f>-AM150</f>
        <v>0</v>
      </c>
      <c r="AN306" s="12">
        <f>-AN150</f>
        <v>0</v>
      </c>
      <c r="AO306" s="12">
        <f>-AO150</f>
        <v>0</v>
      </c>
      <c r="AP306" s="12">
        <f>-AP150</f>
        <v>0</v>
      </c>
      <c r="AQ306" s="12">
        <f>SUM(AM306:AP306)</f>
        <v>0</v>
      </c>
      <c r="AR306" s="12">
        <f>-AR150</f>
        <v>0</v>
      </c>
      <c r="AS306" s="12">
        <f>-AS150</f>
        <v>0</v>
      </c>
      <c r="AT306" s="12">
        <f>-AT150</f>
        <v>0</v>
      </c>
      <c r="AU306" s="12">
        <f>-AU150</f>
        <v>0</v>
      </c>
      <c r="AV306" s="12">
        <f>SUM(AR306:AU306)</f>
        <v>0</v>
      </c>
      <c r="AW306" s="12">
        <f>-AW150</f>
        <v>0</v>
      </c>
      <c r="AX306" s="12">
        <f>-AX150</f>
        <v>0</v>
      </c>
      <c r="AY306" s="12">
        <f>-AY150</f>
        <v>0</v>
      </c>
      <c r="AZ306" s="12">
        <f>-AZ150</f>
        <v>0</v>
      </c>
      <c r="BA306" s="12">
        <f>SUM(AW306:AZ306)</f>
        <v>0</v>
      </c>
      <c r="BB306" s="12">
        <f>-BB150</f>
        <v>0</v>
      </c>
      <c r="BC306" s="12">
        <f>-BC150</f>
        <v>0</v>
      </c>
      <c r="BD306" s="12">
        <f>-BD150</f>
        <v>0</v>
      </c>
      <c r="BE306" s="12">
        <f>-BE150</f>
        <v>0</v>
      </c>
      <c r="BF306" s="12">
        <f>SUM(BB306:BE306)</f>
        <v>0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inlineStr">
        <is>
          <t>Cash from operations</t>
        </is>
      </c>
      <c r="D307" s="12" t="n"/>
      <c r="E307" s="12" t="n"/>
      <c r="F307" s="12" t="n"/>
      <c r="G307" s="12" t="n"/>
      <c r="H307" s="12" t="n"/>
      <c r="I307" s="12" t="n"/>
      <c r="J307" s="12">
        <f>SUM(J291,J292,J293,J304,J305,J306)</f>
        <v>191.4380585</v>
      </c>
      <c r="K307" s="12">
        <f>SUM(K291,K292,K293,K304,K305,K306)</f>
        <v>-123.10519899</v>
      </c>
      <c r="L307" s="12">
        <f>SUM(L291,L292,L293,L304,L305,L306)</f>
        <v>147.19674207</v>
      </c>
      <c r="M307" s="12" t="n"/>
      <c r="N307" s="12">
        <f>SUM(N291,N292,N293,N304,N305,N306)</f>
        <v>27.82338681</v>
      </c>
      <c r="O307" s="12">
        <f>SUM(O291,O292,O293,O304,O305,O306)</f>
        <v>175.976</v>
      </c>
      <c r="P307" s="12">
        <f>SUM(P291,P292,P293,P304,P305,P306)</f>
        <v>-162.504718609</v>
      </c>
      <c r="Q307" s="12">
        <f>SUM(Q291,Q292,Q293,Q304,Q305,Q306)</f>
        <v>233.446718609</v>
      </c>
      <c r="R307" s="12">
        <f>SUM(R291,R292,R293,R304,R305,R306)</f>
        <v>274.74138681</v>
      </c>
      <c r="S307" s="12">
        <f>SUM(S291,S292,S293,S304,S305,S306)</f>
        <v>-175.2429173</v>
      </c>
      <c r="T307" s="12">
        <f>SUM(T291,T292,T293,T304,T305,T306)</f>
        <v>141.818</v>
      </c>
      <c r="U307" s="12">
        <f>SUM(U291,U292,U293,U304,U305,U306)</f>
        <v>287.94089385</v>
      </c>
      <c r="V307" s="12">
        <f>SUM(V291,V292,V293,V304,V305,V306)</f>
        <v>223.14602345</v>
      </c>
      <c r="W307" s="12">
        <f>SUM(W291,W292,W293,W304,W305,W306)</f>
        <v>477.662</v>
      </c>
      <c r="X307" s="12">
        <f>SUM(X291,X292,X293,X304,X305,X306)</f>
        <v>-42.7860000000002</v>
      </c>
      <c r="Y307" s="12">
        <f>SUM(Y291,Y292,Y293,Y304,Y305,Y306)</f>
        <v>291.05184018</v>
      </c>
      <c r="Z307" s="12">
        <f>SUM(Z291,Z292,Z293,Z304,Z305,Z306)</f>
        <v>-108.245801055</v>
      </c>
      <c r="AA307" s="12">
        <f>SUM(AA291,AA292,AA293,AA304,AA305,AA306)</f>
        <v>-206.59581269</v>
      </c>
      <c r="AB307" s="12">
        <f>SUM(AB291,AB292,AB293,AB304,AB305,AB306)</f>
        <v>-66.5757735649999</v>
      </c>
      <c r="AC307" s="12">
        <f>SUM(AC291,AC292,AC293,AC304,AC305,AC306)</f>
        <v>25.6479999999999</v>
      </c>
      <c r="AD307" s="12">
        <f>SUM(AD291,AD292,AD293,AD304,AD305,AD306)</f>
        <v>38.4023417600002</v>
      </c>
      <c r="AE307" s="12">
        <f>SUM(AE291,AE292,AE293,AE304,AE305,AE306)</f>
        <v>356.603</v>
      </c>
      <c r="AF307" s="12">
        <f>SUM(AF291,AF292,AF293,AF304,AF305,AF306)</f>
        <v>184.126</v>
      </c>
      <c r="AG307" s="12">
        <f>SUM(AG291,AG292,AG293,AG304,AG305,AG306)</f>
        <v>604.77934176</v>
      </c>
      <c r="AH307" s="12">
        <f>SUM(AH291,AH292,AH293,AH304,AH305,AH306)</f>
        <v>83.4430000000001</v>
      </c>
      <c r="AI307" s="12">
        <f>SUM(AI291,AI292,AI293,AI304,AI305,AI306)</f>
        <v>121.155</v>
      </c>
      <c r="AJ307" s="12">
        <f>SUM(AJ291,AJ292,AJ293,AJ304,AJ305,AJ306)</f>
        <v>80.5488291981522</v>
      </c>
      <c r="AK307" s="12">
        <f>SUM(AK291,AK292,AK293,AK304,AK305,AK306)</f>
        <v>507.722407412705</v>
      </c>
      <c r="AL307" s="12">
        <f>SUM(AL291,AL292,AL293,AL304,AL305,AL306)</f>
        <v>792.869236610858</v>
      </c>
      <c r="AM307" s="12">
        <f>SUM(AM291,AM292,AM293,AM304,AM305,AM306)</f>
        <v>-99.2202844691336</v>
      </c>
      <c r="AN307" s="12">
        <f>SUM(AN291,AN292,AN293,AN304,AN305,AN306)</f>
        <v>464.46206519187</v>
      </c>
      <c r="AO307" s="12">
        <f>SUM(AO291,AO292,AO293,AO304,AO305,AO306)</f>
        <v>138.294270137618</v>
      </c>
      <c r="AP307" s="12">
        <f>SUM(AP291,AP292,AP293,AP304,AP305,AP306)</f>
        <v>794.551912997673</v>
      </c>
      <c r="AQ307" s="12">
        <f>SUM(AQ291,AQ292,AQ293,AQ304,AQ305,AQ306)</f>
        <v>1298.08796385803</v>
      </c>
      <c r="AR307" s="12">
        <f>SUM(AR291,AR292,AR293,AR304,AR305,AR306)</f>
        <v>106.985351205674</v>
      </c>
      <c r="AS307" s="12">
        <f>SUM(AS291,AS292,AS293,AS304,AS305,AS306)</f>
        <v>743.877319859549</v>
      </c>
      <c r="AT307" s="12">
        <f>SUM(AT291,AT292,AT293,AT304,AT305,AT306)</f>
        <v>445.67851199696</v>
      </c>
      <c r="AU307" s="12">
        <f>SUM(AU291,AU292,AU293,AU304,AU305,AU306)</f>
        <v>1416.5241240702</v>
      </c>
      <c r="AV307" s="12">
        <f>SUM(AV291,AV292,AV293,AV304,AV305,AV306)</f>
        <v>2713.06530713239</v>
      </c>
      <c r="AW307" s="12">
        <f>SUM(AW291,AW292,AW293,AW304,AW305,AW306)</f>
        <v>534.434037829189</v>
      </c>
      <c r="AX307" s="12">
        <f>SUM(AX291,AX292,AX293,AX304,AX305,AX306)</f>
        <v>1712.23908339167</v>
      </c>
      <c r="AY307" s="12">
        <f>SUM(AY291,AY292,AY293,AY304,AY305,AY306)</f>
        <v>1420.34827455815</v>
      </c>
      <c r="AZ307" s="12">
        <f>SUM(AZ291,AZ292,AZ293,AZ304,AZ305,AZ306)</f>
        <v>2997.25302514719</v>
      </c>
      <c r="BA307" s="12">
        <f>SUM(BA291,BA292,BA293,BA304,BA305,BA306)</f>
        <v>6664.2744209262</v>
      </c>
      <c r="BB307" s="12">
        <f>SUM(BB291,BB292,BB293,BB304,BB305,BB306)</f>
        <v>2203.78727265765</v>
      </c>
      <c r="BC307" s="12">
        <f>SUM(BC291,BC292,BC293,BC304,BC305,BC306)</f>
        <v>4216.32790429767</v>
      </c>
      <c r="BD307" s="12">
        <f>SUM(BD291,BD292,BD293,BD304,BD305,BD306)</f>
        <v>4465.70603444915</v>
      </c>
      <c r="BE307" s="12">
        <f>SUM(BE291,BE292,BE293,BE304,BE305,BE306)</f>
        <v>7420.14476364872</v>
      </c>
      <c r="BF307" s="12">
        <f>SUM(BF291,BF292,BF293,BF304,BF305,BF306)</f>
        <v>18305.9659750532</v>
      </c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  <c r="AL308" s="12" t="n"/>
      <c r="AM308" s="12" t="n"/>
      <c r="AN308" s="12" t="n"/>
      <c r="AO308" s="12" t="n"/>
      <c r="AP308" s="12" t="n"/>
      <c r="AQ308" s="12" t="n"/>
      <c r="AR308" s="12" t="n"/>
      <c r="AS308" s="12" t="n"/>
      <c r="AT308" s="12" t="n"/>
      <c r="AU308" s="12" t="n"/>
      <c r="AV308" s="12" t="n"/>
      <c r="AW308" s="12" t="n"/>
      <c r="AX308" s="12" t="n"/>
      <c r="AY308" s="12" t="n"/>
      <c r="AZ308" s="12" t="n"/>
      <c r="BA308" s="12" t="n"/>
      <c r="BB308" s="12" t="n"/>
      <c r="BC308" s="12" t="n"/>
      <c r="BD308" s="12" t="n"/>
      <c r="BE308" s="12" t="n"/>
      <c r="BF308" s="12" t="n"/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10" t="inlineStr">
        <is>
          <t>Purchase of fixed assets (capital expenditures)</t>
        </is>
      </c>
      <c r="D309" s="12" t="n"/>
      <c r="E309" s="12" t="n"/>
      <c r="F309" s="12" t="n"/>
      <c r="G309" s="12" t="n"/>
      <c r="H309" s="12" t="n"/>
      <c r="I309" s="12" t="n"/>
      <c r="J309" s="12">
        <f>-J182</f>
        <v>-3.7130585</v>
      </c>
      <c r="K309" s="12">
        <f>-K182</f>
        <v>-2.38596036</v>
      </c>
      <c r="L309" s="12">
        <f>-L182</f>
        <v>-0.563742070000008</v>
      </c>
      <c r="M309" s="12" t="n"/>
      <c r="N309" s="12">
        <f>-N182</f>
        <v>0.510613190000006</v>
      </c>
      <c r="O309" s="12">
        <f>-O182</f>
        <v>-3.883</v>
      </c>
      <c r="P309" s="12">
        <f>-P182</f>
        <v>-5.409</v>
      </c>
      <c r="Q309" s="12">
        <f>-Q182</f>
        <v>-7.03</v>
      </c>
      <c r="R309" s="12">
        <f>SUM(N309:Q309)</f>
        <v>-15.81138681</v>
      </c>
      <c r="S309" s="12">
        <f>-S182</f>
        <v>-14.3910827</v>
      </c>
      <c r="T309" s="12">
        <f>-T182</f>
        <v>-8.492</v>
      </c>
      <c r="U309" s="12">
        <f>-U182</f>
        <v>-6.32589384999999</v>
      </c>
      <c r="V309" s="12">
        <f>-V182</f>
        <v>-8.32802345000001</v>
      </c>
      <c r="W309" s="12">
        <f>SUM(S309:V309)</f>
        <v>-37.537</v>
      </c>
      <c r="X309" s="12">
        <f>-X182</f>
        <v>-9.376</v>
      </c>
      <c r="Y309" s="12">
        <f>-Y182</f>
        <v>-7.31957678999999</v>
      </c>
      <c r="Z309" s="12">
        <f>-Z182</f>
        <v>-10.834198945</v>
      </c>
      <c r="AA309" s="12">
        <f>-AA182</f>
        <v>-10.60618731</v>
      </c>
      <c r="AB309" s="12">
        <f>SUM(X309:AA309)</f>
        <v>-38.135963045</v>
      </c>
      <c r="AC309" s="12">
        <f>-AC182</f>
        <v>-8.816</v>
      </c>
      <c r="AD309" s="12">
        <f>-AD182</f>
        <v>-7.259</v>
      </c>
      <c r="AE309" s="12">
        <f>-AE182</f>
        <v>-8.645</v>
      </c>
      <c r="AF309" s="12">
        <f>-AF182</f>
        <v>-9.76000000000001</v>
      </c>
      <c r="AG309" s="12">
        <f>SUM(AC309:AF309)</f>
        <v>-34.48</v>
      </c>
      <c r="AH309" s="12">
        <f>-AH182</f>
        <v>-13.519</v>
      </c>
      <c r="AI309" s="12">
        <f>-AI182</f>
        <v>-13.32</v>
      </c>
      <c r="AJ309" s="12">
        <f>-AJ182</f>
        <v>-13.4724422708221</v>
      </c>
      <c r="AK309" s="12">
        <f>-AK182</f>
        <v>-13.4989606927393</v>
      </c>
      <c r="AL309" s="12">
        <f>SUM(AH309:AK309)</f>
        <v>-53.8104029635614</v>
      </c>
      <c r="AM309" s="12">
        <f>-AM182</f>
        <v>-15.3326777157748</v>
      </c>
      <c r="AN309" s="12">
        <f>-AN182</f>
        <v>-16.0745374623645</v>
      </c>
      <c r="AO309" s="12">
        <f>-AO182</f>
        <v>-18.1802103117575</v>
      </c>
      <c r="AP309" s="12">
        <f>-AP182</f>
        <v>-18.2159952479924</v>
      </c>
      <c r="AQ309" s="12">
        <f>SUM(AM309:AP309)</f>
        <v>-67.8034207378892</v>
      </c>
      <c r="AR309" s="12">
        <f>-AR182</f>
        <v>-20.6138172170711</v>
      </c>
      <c r="AS309" s="12">
        <f>-AS182</f>
        <v>-21.611200811795</v>
      </c>
      <c r="AT309" s="12">
        <f>-AT182</f>
        <v>-24.4421450239517</v>
      </c>
      <c r="AU309" s="12">
        <f>-AU182</f>
        <v>-24.4902556115701</v>
      </c>
      <c r="AV309" s="12">
        <f>SUM(AR309:AU309)</f>
        <v>-91.1574186643878</v>
      </c>
      <c r="AW309" s="12">
        <f>-AW182</f>
        <v>-27.6109067853068</v>
      </c>
      <c r="AX309" s="12">
        <f>-AX182</f>
        <v>-28.9468391443223</v>
      </c>
      <c r="AY309" s="12">
        <f>-AY182</f>
        <v>-32.7387101953342</v>
      </c>
      <c r="AZ309" s="12">
        <f>-AZ182</f>
        <v>-32.8031512901654</v>
      </c>
      <c r="BA309" s="12">
        <f>SUM(AW309:AZ309)</f>
        <v>-122.099607415129</v>
      </c>
      <c r="BB309" s="12">
        <f>-BB182</f>
        <v>-36.8450119927118</v>
      </c>
      <c r="BC309" s="12">
        <f>-BC182</f>
        <v>-38.6277293866792</v>
      </c>
      <c r="BD309" s="12">
        <f>-BD182</f>
        <v>-43.6877419185276</v>
      </c>
      <c r="BE309" s="12">
        <f>-BE182</f>
        <v>-43.7737344913301</v>
      </c>
      <c r="BF309" s="12">
        <f>SUM(BB309:BE309)</f>
        <v>-162.934217789249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0" t="inlineStr">
        <is>
          <t>Proceeds from sale of fixed assets</t>
        </is>
      </c>
      <c r="D310" s="12" t="n"/>
      <c r="E310" s="12" t="n"/>
      <c r="F310" s="12" t="n"/>
      <c r="G310" s="12" t="n"/>
      <c r="H310" s="12" t="n"/>
      <c r="I310" s="12" t="n"/>
      <c r="J310" s="12">
        <f>-J183</f>
        <v>0</v>
      </c>
      <c r="K310" s="12">
        <f>-K183</f>
        <v>0</v>
      </c>
      <c r="L310" s="12">
        <f>-L183</f>
        <v>0</v>
      </c>
      <c r="M310" s="12" t="n"/>
      <c r="N310" s="12">
        <f>-N183</f>
        <v>0</v>
      </c>
      <c r="O310" s="12">
        <f>-O183</f>
        <v>0</v>
      </c>
      <c r="P310" s="12">
        <f>-P183</f>
        <v>0</v>
      </c>
      <c r="Q310" s="12">
        <f>-Q183</f>
        <v>0</v>
      </c>
      <c r="R310" s="12">
        <f>SUM(N310:Q310)</f>
        <v>0</v>
      </c>
      <c r="S310" s="12">
        <f>-S183</f>
        <v>0</v>
      </c>
      <c r="T310" s="12">
        <f>-T183</f>
        <v>0</v>
      </c>
      <c r="U310" s="12">
        <f>-U183</f>
        <v>0</v>
      </c>
      <c r="V310" s="12">
        <f>-V183</f>
        <v>0</v>
      </c>
      <c r="W310" s="12">
        <f>SUM(S310:V310)</f>
        <v>0</v>
      </c>
      <c r="X310" s="12">
        <f>-X183</f>
        <v>0</v>
      </c>
      <c r="Y310" s="12">
        <f>-Y183</f>
        <v>0</v>
      </c>
      <c r="Z310" s="12">
        <f>-Z183</f>
        <v>0</v>
      </c>
      <c r="AA310" s="12">
        <f>-AA183</f>
        <v>0</v>
      </c>
      <c r="AB310" s="12">
        <f>SUM(X310:AA310)</f>
        <v>0</v>
      </c>
      <c r="AC310" s="12">
        <f>-AC183</f>
        <v>0</v>
      </c>
      <c r="AD310" s="12">
        <f>-AD183</f>
        <v>0</v>
      </c>
      <c r="AE310" s="12">
        <f>-AE183</f>
        <v>0</v>
      </c>
      <c r="AF310" s="12">
        <f>-AF183</f>
        <v>0</v>
      </c>
      <c r="AG310" s="12">
        <f>SUM(AC310:AF310)</f>
        <v>0</v>
      </c>
      <c r="AH310" s="12">
        <f>-AH183</f>
        <v>0</v>
      </c>
      <c r="AI310" s="12">
        <f>-AI183</f>
        <v>0</v>
      </c>
      <c r="AJ310" s="12">
        <f>-AJ183</f>
        <v>0</v>
      </c>
      <c r="AK310" s="12">
        <f>-AK183</f>
        <v>0</v>
      </c>
      <c r="AL310" s="12">
        <f>SUM(AH310:AK310)</f>
        <v>0</v>
      </c>
      <c r="AM310" s="12">
        <f>-AM183</f>
        <v>0</v>
      </c>
      <c r="AN310" s="12">
        <f>-AN183</f>
        <v>0</v>
      </c>
      <c r="AO310" s="12">
        <f>-AO183</f>
        <v>0</v>
      </c>
      <c r="AP310" s="12">
        <f>-AP183</f>
        <v>0</v>
      </c>
      <c r="AQ310" s="12">
        <f>SUM(AM310:AP310)</f>
        <v>0</v>
      </c>
      <c r="AR310" s="12">
        <f>-AR183</f>
        <v>0</v>
      </c>
      <c r="AS310" s="12">
        <f>-AS183</f>
        <v>0</v>
      </c>
      <c r="AT310" s="12">
        <f>-AT183</f>
        <v>0</v>
      </c>
      <c r="AU310" s="12">
        <f>-AU183</f>
        <v>0</v>
      </c>
      <c r="AV310" s="12">
        <f>SUM(AR310:AU310)</f>
        <v>0</v>
      </c>
      <c r="AW310" s="12">
        <f>-AW183</f>
        <v>0</v>
      </c>
      <c r="AX310" s="12">
        <f>-AX183</f>
        <v>0</v>
      </c>
      <c r="AY310" s="12">
        <f>-AY183</f>
        <v>0</v>
      </c>
      <c r="AZ310" s="12">
        <f>-AZ183</f>
        <v>0</v>
      </c>
      <c r="BA310" s="12">
        <f>SUM(AW310:AZ310)</f>
        <v>0</v>
      </c>
      <c r="BB310" s="12">
        <f>-BB183</f>
        <v>0</v>
      </c>
      <c r="BC310" s="12">
        <f>-BC183</f>
        <v>0</v>
      </c>
      <c r="BD310" s="12">
        <f>-BD183</f>
        <v>0</v>
      </c>
      <c r="BE310" s="12">
        <f>-BE183</f>
        <v>0</v>
      </c>
      <c r="BF310" s="12">
        <f>SUM(BB310:BE310)</f>
        <v>0</v>
      </c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10" t="inlineStr">
        <is>
          <t>Var.Right-of-use-assets</t>
        </is>
      </c>
      <c r="D311" s="12" t="n"/>
      <c r="E311" s="12" t="n"/>
      <c r="F311" s="12" t="n"/>
      <c r="G311" s="12" t="n"/>
      <c r="H311" s="12" t="n"/>
      <c r="I311" s="12" t="n"/>
      <c r="J311" s="12">
        <f>(J190-I190)*-1</f>
        <v>0</v>
      </c>
      <c r="K311" s="12">
        <f>(K190-J190)*-1</f>
        <v>0</v>
      </c>
      <c r="L311" s="12">
        <f>(L190-K190)*-1</f>
        <v>0</v>
      </c>
      <c r="M311" s="12" t="n"/>
      <c r="N311" s="12">
        <f>(N190-M190)*-1</f>
        <v>0</v>
      </c>
      <c r="O311" s="12">
        <f>(O190-N190)*-1</f>
        <v>0</v>
      </c>
      <c r="P311" s="12">
        <f>(P190-O190)*-1</f>
        <v>0</v>
      </c>
      <c r="Q311" s="12">
        <f>(Q190-P190)*-1</f>
        <v>0</v>
      </c>
      <c r="R311" s="12">
        <f>SUM(N311:Q311)</f>
        <v>0</v>
      </c>
      <c r="S311" s="12">
        <f>(S190-R190)*-1</f>
        <v>0</v>
      </c>
      <c r="T311" s="12">
        <f>(T190-S190)*-1</f>
        <v>0</v>
      </c>
      <c r="U311" s="12">
        <f>(U190-T190)*-1</f>
        <v>0</v>
      </c>
      <c r="V311" s="12">
        <f>(V190-U190)*-1</f>
        <v>0</v>
      </c>
      <c r="W311" s="12">
        <f>SUM(S311:V311)</f>
        <v>0</v>
      </c>
      <c r="X311" s="12">
        <f>(X190-W190)*-1</f>
        <v>0</v>
      </c>
      <c r="Y311" s="12">
        <f>(Y190-X190)*-1</f>
        <v>0</v>
      </c>
      <c r="Z311" s="12">
        <f>(Z190-Y190)*-1</f>
        <v>0</v>
      </c>
      <c r="AA311" s="12">
        <f>(AA190-Z190)*-1</f>
        <v>0</v>
      </c>
      <c r="AB311" s="12">
        <f>SUM(X311:AA311)</f>
        <v>0</v>
      </c>
      <c r="AC311" s="12">
        <f>(AC190-AB190)*-1</f>
        <v>0</v>
      </c>
      <c r="AD311" s="12">
        <f>(AD190-AC190)*-1</f>
        <v>0</v>
      </c>
      <c r="AE311" s="12">
        <f>(AE190-AD190)*-1</f>
        <v>0</v>
      </c>
      <c r="AF311" s="12">
        <f>(AF190-AE190)*-1</f>
        <v>0</v>
      </c>
      <c r="AG311" s="12">
        <f>SUM(AC311:AF311)</f>
        <v>0</v>
      </c>
      <c r="AH311" s="12">
        <f>(AH190-AG190)*-1</f>
        <v>0</v>
      </c>
      <c r="AI311" s="12">
        <f>(AI190-AH190)*-1</f>
        <v>0</v>
      </c>
      <c r="AJ311" s="12">
        <f>(AJ190-AI190)*-1</f>
        <v>0</v>
      </c>
      <c r="AK311" s="12">
        <f>(AK190-AJ190)*-1</f>
        <v>0</v>
      </c>
      <c r="AL311" s="12">
        <f>SUM(AH311:AK311)</f>
        <v>0</v>
      </c>
      <c r="AM311" s="12">
        <f>(AM190-AL190)*-1</f>
        <v>0</v>
      </c>
      <c r="AN311" s="12">
        <f>(AN190-AM190)*-1</f>
        <v>0</v>
      </c>
      <c r="AO311" s="12">
        <f>(AO190-AN190)*-1</f>
        <v>0</v>
      </c>
      <c r="AP311" s="12">
        <f>(AP190-AO190)*-1</f>
        <v>0</v>
      </c>
      <c r="AQ311" s="12">
        <f>SUM(AM311:AP311)</f>
        <v>0</v>
      </c>
      <c r="AR311" s="12">
        <f>(AR190-AQ190)*-1</f>
        <v>0</v>
      </c>
      <c r="AS311" s="12">
        <f>(AS190-AR190)*-1</f>
        <v>0</v>
      </c>
      <c r="AT311" s="12">
        <f>(AT190-AS190)*-1</f>
        <v>0</v>
      </c>
      <c r="AU311" s="12">
        <f>(AU190-AT190)*-1</f>
        <v>0</v>
      </c>
      <c r="AV311" s="12">
        <f>SUM(AR311:AU311)</f>
        <v>0</v>
      </c>
      <c r="AW311" s="12">
        <f>(AW190-AV190)*-1</f>
        <v>0</v>
      </c>
      <c r="AX311" s="12">
        <f>(AX190-AW190)*-1</f>
        <v>0</v>
      </c>
      <c r="AY311" s="12">
        <f>(AY190-AX190)*-1</f>
        <v>0</v>
      </c>
      <c r="AZ311" s="12">
        <f>(AZ190-AY190)*-1</f>
        <v>0</v>
      </c>
      <c r="BA311" s="12">
        <f>SUM(AW311:AZ311)</f>
        <v>0</v>
      </c>
      <c r="BB311" s="12">
        <f>(BB190-BA190)*-1</f>
        <v>0</v>
      </c>
      <c r="BC311" s="12">
        <f>(BC190-BB190)*-1</f>
        <v>0</v>
      </c>
      <c r="BD311" s="12">
        <f>(BD190-BC190)*-1</f>
        <v>0</v>
      </c>
      <c r="BE311" s="12">
        <f>(BE190-BD190)*-1</f>
        <v>0</v>
      </c>
      <c r="BF311" s="12">
        <f>SUM(BB311:BE311)</f>
        <v>0</v>
      </c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  <c r="CZ311" s="12" t="n"/>
      <c r="DA311" s="12" t="n"/>
      <c r="DB311" s="12" t="n"/>
      <c r="DC311" s="12" t="n"/>
    </row>
    <row r="312">
      <c r="C312" s="10" t="inlineStr">
        <is>
          <t>Purchases of intangible assets</t>
        </is>
      </c>
      <c r="D312" s="12" t="n"/>
      <c r="E312" s="12" t="n"/>
      <c r="F312" s="12" t="n"/>
      <c r="G312" s="12" t="n"/>
      <c r="H312" s="12" t="n"/>
      <c r="I312" s="12" t="n"/>
      <c r="J312" s="12">
        <f>((J194-I194)*-1)+((J193-I193)*-1)</f>
        <v>0</v>
      </c>
      <c r="K312" s="12">
        <f>((K194-J194)*-1)+((K193-J193)*-1)</f>
        <v>0</v>
      </c>
      <c r="L312" s="12">
        <f>((L194-K194)*-1)+((L193-K193)*-1)</f>
        <v>0</v>
      </c>
      <c r="M312" s="12" t="n"/>
      <c r="N312" s="12">
        <f>((N194-M194)*-1)+((N193-M193)*-1)</f>
        <v>0</v>
      </c>
      <c r="O312" s="12">
        <f>((O194-N194)*-1)+((O193-N193)*-1)</f>
        <v>0</v>
      </c>
      <c r="P312" s="12">
        <f>((P194-O194)*-1)+((P193-O193)*-1)</f>
        <v>0</v>
      </c>
      <c r="Q312" s="12">
        <f>((Q194-P194)*-1)+((Q193-P193)*-1)</f>
        <v>0</v>
      </c>
      <c r="R312" s="12">
        <f>SUM(N312:Q312)</f>
        <v>0</v>
      </c>
      <c r="S312" s="12">
        <f>((S194-R194)*-1)+((S193-R193)*-1)</f>
        <v>0</v>
      </c>
      <c r="T312" s="12">
        <f>((T194-S194)*-1)+((T193-S193)*-1)</f>
        <v>0</v>
      </c>
      <c r="U312" s="12">
        <f>((U194-T194)*-1)+((U193-T193)*-1)</f>
        <v>0</v>
      </c>
      <c r="V312" s="12">
        <f>((V194-U194)*-1)+((V193-U193)*-1)</f>
        <v>0</v>
      </c>
      <c r="W312" s="12">
        <f>SUM(S312:V312)</f>
        <v>0</v>
      </c>
      <c r="X312" s="12">
        <f>((X194-W194)*-1)+((X193-W193)*-1)</f>
        <v>0</v>
      </c>
      <c r="Y312" s="12">
        <f>((Y194-X194)*-1)+((Y193-X193)*-1)</f>
        <v>0</v>
      </c>
      <c r="Z312" s="12">
        <f>((Z194-Y194)*-1)+((Z193-Y193)*-1)</f>
        <v>0</v>
      </c>
      <c r="AA312" s="12">
        <f>((AA194-Z194)*-1)+((AA193-Z193)*-1)</f>
        <v>0</v>
      </c>
      <c r="AB312" s="12">
        <f>SUM(X312:AA312)</f>
        <v>0</v>
      </c>
      <c r="AC312" s="12">
        <f>((AC194-AB194)*-1)+((AC193-AB193)*-1)</f>
        <v>0</v>
      </c>
      <c r="AD312" s="12">
        <f>((AD194-AC194)*-1)+((AD193-AC193)*-1)</f>
        <v>0</v>
      </c>
      <c r="AE312" s="12">
        <f>((AE194-AD194)*-1)+((AE193-AD193)*-1)</f>
        <v>0</v>
      </c>
      <c r="AF312" s="12">
        <f>((AF194-AE194)*-1)+((AF193-AE193)*-1)</f>
        <v>0</v>
      </c>
      <c r="AG312" s="12">
        <f>SUM(AC312:AF312)</f>
        <v>0</v>
      </c>
      <c r="AH312" s="12">
        <f>((AH194-AG194)*-1)+((AH193-AG193)*-1)</f>
        <v>0</v>
      </c>
      <c r="AI312" s="12">
        <f>((AI194-AH194)*-1)+((AI193-AH193)*-1)</f>
        <v>0</v>
      </c>
      <c r="AJ312" s="12">
        <f>((AJ194-AI194)*-1)+((AJ193-AI193)*-1)</f>
        <v>0</v>
      </c>
      <c r="AK312" s="12">
        <f>((AK194-AJ194)*-1)+((AK193-AJ193)*-1)</f>
        <v>0</v>
      </c>
      <c r="AL312" s="12">
        <f>SUM(AH312:AK312)</f>
        <v>0</v>
      </c>
      <c r="AM312" s="12">
        <f>((AM194-AL194)*-1)+((AM193-AL193)*-1)</f>
        <v>0</v>
      </c>
      <c r="AN312" s="12">
        <f>((AN194-AM194)*-1)+((AN193-AM193)*-1)</f>
        <v>0</v>
      </c>
      <c r="AO312" s="12">
        <f>((AO194-AN194)*-1)+((AO193-AN193)*-1)</f>
        <v>0</v>
      </c>
      <c r="AP312" s="12">
        <f>((AP194-AO194)*-1)+((AP193-AO193)*-1)</f>
        <v>0</v>
      </c>
      <c r="AQ312" s="12">
        <f>SUM(AM312:AP312)</f>
        <v>0</v>
      </c>
      <c r="AR312" s="12">
        <f>((AR194-AQ194)*-1)+((AR193-AQ193)*-1)</f>
        <v>0</v>
      </c>
      <c r="AS312" s="12">
        <f>((AS194-AR194)*-1)+((AS193-AR193)*-1)</f>
        <v>0</v>
      </c>
      <c r="AT312" s="12">
        <f>((AT194-AS194)*-1)+((AT193-AS193)*-1)</f>
        <v>0</v>
      </c>
      <c r="AU312" s="12">
        <f>((AU194-AT194)*-1)+((AU193-AT193)*-1)</f>
        <v>0</v>
      </c>
      <c r="AV312" s="12">
        <f>SUM(AR312:AU312)</f>
        <v>0</v>
      </c>
      <c r="AW312" s="12">
        <f>((AW194-AV194)*-1)+((AW193-AV193)*-1)</f>
        <v>0</v>
      </c>
      <c r="AX312" s="12">
        <f>((AX194-AW194)*-1)+((AX193-AW193)*-1)</f>
        <v>0</v>
      </c>
      <c r="AY312" s="12">
        <f>((AY194-AX194)*-1)+((AY193-AX193)*-1)</f>
        <v>0</v>
      </c>
      <c r="AZ312" s="12">
        <f>((AZ194-AY194)*-1)+((AZ193-AY193)*-1)</f>
        <v>0</v>
      </c>
      <c r="BA312" s="12">
        <f>SUM(AW312:AZ312)</f>
        <v>0</v>
      </c>
      <c r="BB312" s="12">
        <f>((BB194-BA194)*-1)+((BB193-BA193)*-1)</f>
        <v>0</v>
      </c>
      <c r="BC312" s="12">
        <f>((BC194-BB194)*-1)+((BC193-BB193)*-1)</f>
        <v>0</v>
      </c>
      <c r="BD312" s="12">
        <f>((BD194-BC194)*-1)+((BD193-BC193)*-1)</f>
        <v>0</v>
      </c>
      <c r="BE312" s="12">
        <f>((BE194-BD194)*-1)+((BE193-BD193)*-1)</f>
        <v>0</v>
      </c>
      <c r="BF312" s="12">
        <f>SUM(BB312:BE312)</f>
        <v>0</v>
      </c>
      <c r="BG312" s="12" t="n"/>
      <c r="BH312" s="12" t="n"/>
      <c r="BI312" s="12" t="n"/>
      <c r="BJ312" s="12" t="n"/>
      <c r="BK312" s="12" t="n"/>
      <c r="BL312" s="12" t="n"/>
      <c r="BM312" s="12" t="n"/>
      <c r="BN312" s="12" t="n"/>
      <c r="BO312" s="12" t="n"/>
      <c r="BP312" s="12" t="n"/>
      <c r="BQ312" s="12" t="n"/>
      <c r="BR312" s="12" t="n"/>
      <c r="BS312" s="12" t="n"/>
      <c r="BT312" s="12" t="n"/>
      <c r="BU312" s="12" t="n"/>
      <c r="BV312" s="12" t="n"/>
      <c r="BW312" s="12" t="n"/>
      <c r="BX312" s="12" t="n"/>
      <c r="BY312" s="12" t="n"/>
      <c r="BZ312" s="12" t="n"/>
      <c r="CA312" s="12" t="n"/>
      <c r="CB312" s="12" t="n"/>
      <c r="CC312" s="12" t="n"/>
      <c r="CD312" s="12" t="n"/>
      <c r="CE312" s="12" t="n"/>
      <c r="CF312" s="12" t="n"/>
      <c r="CG312" s="12" t="n"/>
      <c r="CH312" s="12" t="n"/>
      <c r="CI312" s="12" t="n"/>
      <c r="CJ312" s="12" t="n"/>
      <c r="CK312" s="12" t="n"/>
      <c r="CL312" s="12" t="n"/>
      <c r="CM312" s="12" t="n"/>
      <c r="CN312" s="12" t="n"/>
      <c r="CO312" s="12" t="n"/>
      <c r="CP312" s="12" t="n"/>
      <c r="CQ312" s="12" t="n"/>
      <c r="CR312" s="12" t="n"/>
      <c r="CS312" s="12" t="n"/>
      <c r="CT312" s="12" t="n"/>
      <c r="CU312" s="12" t="n"/>
      <c r="CV312" s="12" t="n"/>
      <c r="CW312" s="12" t="n"/>
      <c r="CX312" s="12" t="n"/>
      <c r="CY312" s="12" t="n"/>
      <c r="CZ312" s="12" t="n"/>
      <c r="DA312" s="12" t="n"/>
      <c r="DB312" s="12" t="n"/>
      <c r="DC312" s="12" t="n"/>
    </row>
    <row r="313">
      <c r="C313" s="71" t="inlineStr">
        <is>
          <t>Purchases/Proceeds from other long-term assets</t>
        </is>
      </c>
      <c r="D313" s="12" t="n"/>
      <c r="E313" s="12" t="n"/>
      <c r="F313" s="12" t="n"/>
      <c r="G313" s="12" t="n"/>
      <c r="H313" s="12" t="n"/>
      <c r="I313" s="12" t="n"/>
      <c r="J313" s="12">
        <f>((J203-I203)*-1)+(J254-I254)</f>
        <v>-42.607</v>
      </c>
      <c r="K313" s="12">
        <f>((K203-J203)*-1)+(K254-J254)</f>
        <v>77.335</v>
      </c>
      <c r="L313" s="12">
        <f>((L203-K203)*-1)+(L254-K254)</f>
        <v>22.43</v>
      </c>
      <c r="M313" s="12" t="n"/>
      <c r="N313" s="12">
        <f>((N203-M203)*-1)+(N254-M254)</f>
        <v>-10.35</v>
      </c>
      <c r="O313" s="12">
        <f>((O203-N203)*-1)+(O254-N254)</f>
        <v>-13.959</v>
      </c>
      <c r="P313" s="12">
        <f>((P203-O203)*-1)+(P254-O254)</f>
        <v>84.579718609</v>
      </c>
      <c r="Q313" s="12">
        <f>((Q203-P203)*-1)+(Q254-P254)</f>
        <v>-5.00171860900001</v>
      </c>
      <c r="R313" s="12">
        <f>SUM(N313:Q313)</f>
        <v>55.269</v>
      </c>
      <c r="S313" s="12">
        <f>((S203-R203)*-1)+(S254-R254)</f>
        <v>138.653</v>
      </c>
      <c r="T313" s="12">
        <f>((T203-S203)*-1)+(T254-S254)</f>
        <v>-61.6130000000001</v>
      </c>
      <c r="U313" s="12">
        <f>((U203-T203)*-1)+(U254-T254)</f>
        <v>5.17200000000003</v>
      </c>
      <c r="V313" s="12">
        <f>((V203-U203)*-1)+(V254-U254)</f>
        <v>-75.479</v>
      </c>
      <c r="W313" s="12">
        <f>SUM(S313:V313)</f>
        <v>6.73300000000003</v>
      </c>
      <c r="X313" s="12">
        <f>((X203-W203)*-1)+(X254-W254)</f>
        <v>75.631</v>
      </c>
      <c r="Y313" s="12">
        <f>((Y203-X203)*-1)+(Y254-X254)</f>
        <v>64.526</v>
      </c>
      <c r="Z313" s="12">
        <f>((Z203-Y203)*-1)+(Z254-Y254)</f>
        <v>-35.2750000000001</v>
      </c>
      <c r="AA313" s="12">
        <f>((AA203-Z203)*-1)+(AA254-Z254)</f>
        <v>437.019</v>
      </c>
      <c r="AB313" s="12">
        <f>SUM(X313:AA313)</f>
        <v>541.901</v>
      </c>
      <c r="AC313" s="12">
        <f>((AC203-AB203)*-1)+(AC254-AB254)</f>
        <v>-3.97200000000003</v>
      </c>
      <c r="AD313" s="12">
        <f>((AD203-AC203)*-1)+(AD254-AC254)</f>
        <v>-14.028</v>
      </c>
      <c r="AE313" s="12">
        <f>((AE203-AD203)*-1)+(AE254-AD254)</f>
        <v>93.871</v>
      </c>
      <c r="AF313" s="12">
        <f>((AF203-AE203)*-1)+(AF254-AE254)</f>
        <v>-31.269</v>
      </c>
      <c r="AG313" s="12">
        <f>SUM(AC313:AF313)</f>
        <v>44.602</v>
      </c>
      <c r="AH313" s="12">
        <f>((AH203-AG203)*-1)+(AH254-AG254)</f>
        <v>142.19</v>
      </c>
      <c r="AI313" s="12">
        <f>((AI203-AH203)*-1)+(AI254-AH254)</f>
        <v>-69.8579999999998</v>
      </c>
      <c r="AJ313" s="12">
        <f>((AJ203-AI203)*-1)+(AJ254-AI254)</f>
        <v>0</v>
      </c>
      <c r="AK313" s="12">
        <f>((AK203-AJ203)*-1)+(AK254-AJ254)</f>
        <v>0</v>
      </c>
      <c r="AL313" s="12">
        <f>SUM(AH313:AK313)</f>
        <v>72.3320000000001</v>
      </c>
      <c r="AM313" s="12">
        <f>((AM203-AL203)*-1)+(AM254-AL254)</f>
        <v>0</v>
      </c>
      <c r="AN313" s="12">
        <f>((AN203-AM203)*-1)+(AN254-AM254)</f>
        <v>0</v>
      </c>
      <c r="AO313" s="12">
        <f>((AO203-AN203)*-1)+(AO254-AN254)</f>
        <v>0</v>
      </c>
      <c r="AP313" s="12">
        <f>((AP203-AO203)*-1)+(AP254-AO254)</f>
        <v>0</v>
      </c>
      <c r="AQ313" s="12">
        <f>SUM(AM313:AP313)</f>
        <v>0</v>
      </c>
      <c r="AR313" s="12">
        <f>((AR203-AQ203)*-1)+(AR254-AQ254)</f>
        <v>0</v>
      </c>
      <c r="AS313" s="12">
        <f>((AS203-AR203)*-1)+(AS254-AR254)</f>
        <v>0</v>
      </c>
      <c r="AT313" s="12">
        <f>((AT203-AS203)*-1)+(AT254-AS254)</f>
        <v>0</v>
      </c>
      <c r="AU313" s="12">
        <f>((AU203-AT203)*-1)+(AU254-AT254)</f>
        <v>0</v>
      </c>
      <c r="AV313" s="12">
        <f>SUM(AR313:AU313)</f>
        <v>0</v>
      </c>
      <c r="AW313" s="12">
        <f>((AW203-AV203)*-1)+(AW254-AV254)</f>
        <v>0</v>
      </c>
      <c r="AX313" s="12">
        <f>((AX203-AW203)*-1)+(AX254-AW254)</f>
        <v>0</v>
      </c>
      <c r="AY313" s="12">
        <f>((AY203-AX203)*-1)+(AY254-AX254)</f>
        <v>0</v>
      </c>
      <c r="AZ313" s="12">
        <f>((AZ203-AY203)*-1)+(AZ254-AY254)</f>
        <v>0</v>
      </c>
      <c r="BA313" s="12">
        <f>SUM(AW313:AZ313)</f>
        <v>0</v>
      </c>
      <c r="BB313" s="12">
        <f>((BB203-BA203)*-1)+(BB254-BA254)</f>
        <v>0</v>
      </c>
      <c r="BC313" s="12">
        <f>((BC203-BB203)*-1)+(BC254-BB254)</f>
        <v>0</v>
      </c>
      <c r="BD313" s="12">
        <f>((BD203-BC203)*-1)+(BD254-BC254)</f>
        <v>0</v>
      </c>
      <c r="BE313" s="12">
        <f>((BE203-BD203)*-1)+(BE254-BD254)</f>
        <v>0</v>
      </c>
      <c r="BF313" s="12">
        <f>SUM(BB313:BE313)</f>
        <v>0</v>
      </c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</row>
    <row r="314">
      <c r="C314" s="14" t="inlineStr">
        <is>
          <t>Cash from investing</t>
        </is>
      </c>
      <c r="D314" s="12" t="n"/>
      <c r="E314" s="12" t="n"/>
      <c r="F314" s="12" t="n"/>
      <c r="G314" s="12" t="n"/>
      <c r="H314" s="12" t="n"/>
      <c r="I314" s="12" t="n"/>
      <c r="J314" s="12">
        <f>SUM(J309,J310,J312,J313,J311)</f>
        <v>-46.3200585</v>
      </c>
      <c r="K314" s="12">
        <f>SUM(K309,K310,K312,K313,K311)</f>
        <v>74.94903964</v>
      </c>
      <c r="L314" s="12">
        <f>SUM(L309,L310,L312,L313,L311)</f>
        <v>21.86625793</v>
      </c>
      <c r="M314" s="12" t="n"/>
      <c r="N314" s="12">
        <f>SUM(N309,N310,N312,N313,N311)</f>
        <v>-9.83938680999999</v>
      </c>
      <c r="O314" s="12">
        <f>SUM(O309,O310,O312,O313,O311)</f>
        <v>-17.842</v>
      </c>
      <c r="P314" s="12">
        <f>SUM(P309,P310,P312,P313,P311)</f>
        <v>79.170718609</v>
      </c>
      <c r="Q314" s="12">
        <f>SUM(Q309,Q310,Q312,Q313,Q311)</f>
        <v>-12.031718609</v>
      </c>
      <c r="R314" s="12">
        <f>SUM(R309,R310,R312,R313)</f>
        <v>39.45761319</v>
      </c>
      <c r="S314" s="12">
        <f>SUM(S309,S310,S312,S313,S311)</f>
        <v>124.2619173</v>
      </c>
      <c r="T314" s="12">
        <f>SUM(T309,T310,T312,T313,T311)</f>
        <v>-70.1050000000001</v>
      </c>
      <c r="U314" s="12">
        <f>SUM(U309,U310,U312,U313,U311)</f>
        <v>-1.15389384999997</v>
      </c>
      <c r="V314" s="12">
        <f>SUM(V309,V310,V312,V313,V311)</f>
        <v>-83.80702345</v>
      </c>
      <c r="W314" s="12">
        <f>SUM(W309,W310,W312,W313)</f>
        <v>-30.804</v>
      </c>
      <c r="X314" s="12">
        <f>SUM(X309,X310,X312,X313,X311)</f>
        <v>66.255</v>
      </c>
      <c r="Y314" s="12">
        <f>SUM(Y309,Y310,Y312,Y313,Y311)</f>
        <v>57.20642321</v>
      </c>
      <c r="Z314" s="12">
        <f>SUM(Z309,Z310,Z312,Z313,Z311)</f>
        <v>-46.1091989450001</v>
      </c>
      <c r="AA314" s="12">
        <f>SUM(AA309,AA310,AA312,AA313,AA311)</f>
        <v>426.41281269</v>
      </c>
      <c r="AB314" s="12">
        <f>SUM(AB309,AB310,AB312,AB313)</f>
        <v>503.765036955</v>
      </c>
      <c r="AC314" s="12">
        <f>SUM(AC309,AC310,AC312,AC313,AC311)</f>
        <v>-12.788</v>
      </c>
      <c r="AD314" s="12">
        <f>SUM(AD309,AD310,AD312,AD313,AD311)</f>
        <v>-21.287</v>
      </c>
      <c r="AE314" s="12">
        <f>SUM(AE309,AE310,AE312,AE313,AE311)</f>
        <v>85.226</v>
      </c>
      <c r="AF314" s="12">
        <f>SUM(AF309,AF310,AF312,AF313,AF311)</f>
        <v>-41.029</v>
      </c>
      <c r="AG314" s="12">
        <f>SUM(AG309,AG310,AG312,AG313)</f>
        <v>10.122</v>
      </c>
      <c r="AH314" s="12">
        <f>SUM(AH309,AH310,AH312,AH313,AH311)</f>
        <v>128.671</v>
      </c>
      <c r="AI314" s="12">
        <f>SUM(AI309,AI310,AI312,AI313,AI311)</f>
        <v>-83.1779999999998</v>
      </c>
      <c r="AJ314" s="12">
        <f>SUM(AJ309,AJ310,AJ312,AJ313,AJ311)</f>
        <v>-13.4724422708221</v>
      </c>
      <c r="AK314" s="12">
        <f>SUM(AK309,AK310,AK312,AK313,AK311)</f>
        <v>-13.4989606927393</v>
      </c>
      <c r="AL314" s="12">
        <f>SUM(AL309,AL310,AL312,AL313)</f>
        <v>18.5215970364387</v>
      </c>
      <c r="AM314" s="12">
        <f>SUM(AM309,AM310,AM312,AM313,AM311)</f>
        <v>-15.3326777157748</v>
      </c>
      <c r="AN314" s="12">
        <f>SUM(AN309,AN310,AN312,AN313,AN311)</f>
        <v>-16.0745374623645</v>
      </c>
      <c r="AO314" s="12">
        <f>SUM(AO309,AO310,AO312,AO313,AO311)</f>
        <v>-18.1802103117575</v>
      </c>
      <c r="AP314" s="12">
        <f>SUM(AP309,AP310,AP312,AP313,AP311)</f>
        <v>-18.2159952479924</v>
      </c>
      <c r="AQ314" s="12">
        <f>SUM(AQ309,AQ310,AQ312,AQ313)</f>
        <v>-67.8034207378892</v>
      </c>
      <c r="AR314" s="12">
        <f>SUM(AR309,AR310,AR312,AR313,AR311)</f>
        <v>-20.6138172170711</v>
      </c>
      <c r="AS314" s="12">
        <f>SUM(AS309,AS310,AS312,AS313,AS311)</f>
        <v>-21.611200811795</v>
      </c>
      <c r="AT314" s="12">
        <f>SUM(AT309,AT310,AT312,AT313,AT311)</f>
        <v>-24.4421450239517</v>
      </c>
      <c r="AU314" s="12">
        <f>SUM(AU309,AU310,AU312,AU313,AU311)</f>
        <v>-24.4902556115701</v>
      </c>
      <c r="AV314" s="12">
        <f>SUM(AV309,AV310,AV312,AV313)</f>
        <v>-91.1574186643878</v>
      </c>
      <c r="AW314" s="12">
        <f>SUM(AW309,AW310,AW312,AW313,AW311)</f>
        <v>-27.6109067853068</v>
      </c>
      <c r="AX314" s="12">
        <f>SUM(AX309,AX310,AX312,AX313,AX311)</f>
        <v>-28.9468391443223</v>
      </c>
      <c r="AY314" s="12">
        <f>SUM(AY309,AY310,AY312,AY313,AY311)</f>
        <v>-32.7387101953342</v>
      </c>
      <c r="AZ314" s="12">
        <f>SUM(AZ309,AZ310,AZ312,AZ313,AZ311)</f>
        <v>-32.8031512901654</v>
      </c>
      <c r="BA314" s="12">
        <f>SUM(BA309,BA310,BA312,BA313)</f>
        <v>-122.099607415129</v>
      </c>
      <c r="BB314" s="12">
        <f>SUM(BB309,BB310,BB312,BB313,BB311)</f>
        <v>-36.8450119927118</v>
      </c>
      <c r="BC314" s="12">
        <f>SUM(BC309,BC310,BC312,BC313,BC311)</f>
        <v>-38.6277293866792</v>
      </c>
      <c r="BD314" s="12">
        <f>SUM(BD309,BD310,BD312,BD313,BD311)</f>
        <v>-43.6877419185276</v>
      </c>
      <c r="BE314" s="12">
        <f>SUM(BE309,BE310,BE312,BE313,BE311)</f>
        <v>-43.7737344913301</v>
      </c>
      <c r="BF314" s="12">
        <f>SUM(BF309,BF310,BF312,BF313)</f>
        <v>-162.934217789249</v>
      </c>
      <c r="BG314" s="12" t="n"/>
      <c r="BH314" s="12" t="n"/>
      <c r="BI314" s="12" t="n"/>
      <c r="BJ314" s="12" t="n"/>
      <c r="BK314" s="12" t="n"/>
      <c r="BL314" s="12" t="n"/>
      <c r="BM314" s="12" t="n"/>
      <c r="BN314" s="12" t="n"/>
      <c r="BO314" s="12" t="n"/>
      <c r="BP314" s="12" t="n"/>
      <c r="BQ314" s="12" t="n"/>
      <c r="BR314" s="12" t="n"/>
      <c r="BS314" s="12" t="n"/>
      <c r="BT314" s="12" t="n"/>
      <c r="BU314" s="12" t="n"/>
      <c r="BV314" s="12" t="n"/>
      <c r="BW314" s="12" t="n"/>
      <c r="BX314" s="12" t="n"/>
      <c r="BY314" s="12" t="n"/>
      <c r="BZ314" s="12" t="n"/>
      <c r="CA314" s="12" t="n"/>
      <c r="CB314" s="12" t="n"/>
      <c r="CC314" s="12" t="n"/>
      <c r="CD314" s="12" t="n"/>
      <c r="CE314" s="12" t="n"/>
      <c r="CF314" s="12" t="n"/>
      <c r="CG314" s="12" t="n"/>
      <c r="CH314" s="12" t="n"/>
      <c r="CI314" s="12" t="n"/>
      <c r="CJ314" s="12" t="n"/>
      <c r="CK314" s="12" t="n"/>
      <c r="CL314" s="12" t="n"/>
      <c r="CM314" s="12" t="n"/>
      <c r="CN314" s="12" t="n"/>
      <c r="CO314" s="12" t="n"/>
      <c r="CP314" s="12" t="n"/>
      <c r="CQ314" s="12" t="n"/>
      <c r="CR314" s="12" t="n"/>
      <c r="CS314" s="12" t="n"/>
      <c r="CT314" s="12" t="n"/>
      <c r="CU314" s="12" t="n"/>
      <c r="CV314" s="12" t="n"/>
      <c r="CW314" s="12" t="n"/>
      <c r="CX314" s="12" t="n"/>
      <c r="CY314" s="12" t="n"/>
    </row>
    <row r="315">
      <c r="C315" s="14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  <c r="AL315" s="12" t="n"/>
      <c r="AM315" s="12" t="n"/>
      <c r="AN315" s="12" t="n"/>
      <c r="AO315" s="12" t="n"/>
      <c r="AP315" s="12" t="n"/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  <c r="BJ315" s="12" t="n"/>
      <c r="BK315" s="12" t="n"/>
      <c r="BL315" s="12" t="n"/>
      <c r="BM315" s="12" t="n"/>
      <c r="BN315" s="12" t="n"/>
      <c r="BO315" s="12" t="n"/>
      <c r="BP315" s="12" t="n"/>
      <c r="BQ315" s="12" t="n"/>
      <c r="BR315" s="12" t="n"/>
      <c r="BS315" s="12" t="n"/>
      <c r="BT315" s="12" t="n"/>
      <c r="BU315" s="12" t="n"/>
      <c r="BV315" s="12" t="n"/>
      <c r="BW315" s="12" t="n"/>
      <c r="BX315" s="12" t="n"/>
      <c r="BY315" s="12" t="n"/>
      <c r="BZ315" s="12" t="n"/>
      <c r="CA315" s="12" t="n"/>
      <c r="CB315" s="12" t="n"/>
      <c r="CC315" s="12" t="n"/>
      <c r="CD315" s="12" t="n"/>
      <c r="CE315" s="12" t="n"/>
      <c r="CF315" s="12" t="n"/>
      <c r="CG315" s="12" t="n"/>
      <c r="CH315" s="12" t="n"/>
      <c r="CI315" s="12" t="n"/>
      <c r="CJ315" s="12" t="n"/>
      <c r="CK315" s="12" t="n"/>
      <c r="CL315" s="12" t="n"/>
      <c r="CM315" s="12" t="n"/>
      <c r="CN315" s="12" t="n"/>
      <c r="CO315" s="12" t="n"/>
      <c r="CP315" s="12" t="n"/>
      <c r="CQ315" s="12" t="n"/>
      <c r="CR315" s="12" t="n"/>
      <c r="CS315" s="12" t="n"/>
      <c r="CT315" s="12" t="n"/>
      <c r="CU315" s="12" t="n"/>
      <c r="CV315" s="12" t="n"/>
      <c r="CW315" s="12" t="n"/>
      <c r="CX315" s="12" t="n"/>
      <c r="CY315" s="12" t="n"/>
    </row>
    <row r="316">
      <c r="C316" s="14" t="inlineStr">
        <is>
          <t>Convertible preferred stock</t>
        </is>
      </c>
      <c r="D316" s="12" t="n"/>
      <c r="E316" s="12" t="n"/>
      <c r="F316" s="12" t="n"/>
      <c r="G316" s="12" t="n"/>
      <c r="H316" s="12" t="n"/>
      <c r="I316" s="12" t="n"/>
      <c r="J316" s="12">
        <f>J267-I267</f>
        <v>0</v>
      </c>
      <c r="K316" s="12">
        <f>K267-J267</f>
        <v>0</v>
      </c>
      <c r="L316" s="12">
        <f>L267-K267</f>
        <v>0</v>
      </c>
      <c r="M316" s="12" t="n"/>
      <c r="N316" s="12">
        <f>N267-M267</f>
        <v>0</v>
      </c>
      <c r="O316" s="12">
        <f>O267-N267</f>
        <v>0</v>
      </c>
      <c r="P316" s="12">
        <f>P267-O267</f>
        <v>0</v>
      </c>
      <c r="Q316" s="12">
        <f>Q267-P267</f>
        <v>0</v>
      </c>
      <c r="R316" s="12">
        <f>SUM(N316:Q316)</f>
        <v>0</v>
      </c>
      <c r="S316" s="12">
        <f>S267-R267</f>
        <v>0</v>
      </c>
      <c r="T316" s="12">
        <f>T267-S267</f>
        <v>0</v>
      </c>
      <c r="U316" s="12">
        <f>U267-T267</f>
        <v>0</v>
      </c>
      <c r="V316" s="12">
        <f>V267-U267</f>
        <v>0</v>
      </c>
      <c r="W316" s="12">
        <f>SUM(S316:V316)</f>
        <v>0</v>
      </c>
      <c r="X316" s="12">
        <f>X267-W267</f>
        <v>0</v>
      </c>
      <c r="Y316" s="12">
        <f>Y267-X267</f>
        <v>0</v>
      </c>
      <c r="Z316" s="12">
        <f>Z267-Y267</f>
        <v>0</v>
      </c>
      <c r="AA316" s="12">
        <f>AA267-Z267</f>
        <v>0</v>
      </c>
      <c r="AB316" s="12">
        <f>SUM(X316:AA316)</f>
        <v>0</v>
      </c>
      <c r="AC316" s="12">
        <f>AC267-AB267</f>
        <v>0</v>
      </c>
      <c r="AD316" s="12">
        <f>AD267-AC267</f>
        <v>0</v>
      </c>
      <c r="AE316" s="12">
        <f>AE267-AD267</f>
        <v>0</v>
      </c>
      <c r="AF316" s="12">
        <f>AF267-AE267</f>
        <v>0</v>
      </c>
      <c r="AG316" s="12">
        <f>SUM(AC316:AF316)</f>
        <v>0</v>
      </c>
      <c r="AH316" s="12">
        <f>AH267-AG267</f>
        <v>0</v>
      </c>
      <c r="AI316" s="12">
        <f>AI267-AH267</f>
        <v>0</v>
      </c>
      <c r="AJ316" s="12">
        <f>AJ267-AI267</f>
        <v>0</v>
      </c>
      <c r="AK316" s="12">
        <f>AK267-AJ267</f>
        <v>0</v>
      </c>
      <c r="AL316" s="12">
        <f>SUM(AH316:AK316)</f>
        <v>0</v>
      </c>
      <c r="AM316" s="12">
        <f>AM267-AL267</f>
        <v>0</v>
      </c>
      <c r="AN316" s="12">
        <f>AN267-AM267</f>
        <v>0</v>
      </c>
      <c r="AO316" s="12">
        <f>AO267-AN267</f>
        <v>0</v>
      </c>
      <c r="AP316" s="12">
        <f>AP267-AO267</f>
        <v>0</v>
      </c>
      <c r="AQ316" s="12">
        <f>SUM(AM316:AP316)</f>
        <v>0</v>
      </c>
      <c r="AR316" s="12">
        <f>AR267-AQ267</f>
        <v>0</v>
      </c>
      <c r="AS316" s="12">
        <f>AS267-AR267</f>
        <v>0</v>
      </c>
      <c r="AT316" s="12">
        <f>AT267-AS267</f>
        <v>0</v>
      </c>
      <c r="AU316" s="12">
        <f>AU267-AT267</f>
        <v>0</v>
      </c>
      <c r="AV316" s="12">
        <f>SUM(AR316:AU316)</f>
        <v>0</v>
      </c>
      <c r="AW316" s="12">
        <f>AW267-AV267</f>
        <v>0</v>
      </c>
      <c r="AX316" s="12">
        <f>AX267-AW267</f>
        <v>0</v>
      </c>
      <c r="AY316" s="12">
        <f>AY267-AX267</f>
        <v>0</v>
      </c>
      <c r="AZ316" s="12">
        <f>AZ267-AY267</f>
        <v>0</v>
      </c>
      <c r="BA316" s="12">
        <f>SUM(AW316:AZ316)</f>
        <v>0</v>
      </c>
      <c r="BB316" s="12">
        <f>BB267-BA267</f>
        <v>0</v>
      </c>
      <c r="BC316" s="12">
        <f>BC267-BB267</f>
        <v>0</v>
      </c>
      <c r="BD316" s="12">
        <f>BD267-BC267</f>
        <v>0</v>
      </c>
      <c r="BE316" s="12">
        <f>BE267-BD267</f>
        <v>0</v>
      </c>
      <c r="BF316" s="12">
        <f>SUM(BB316:BE316)</f>
        <v>0</v>
      </c>
      <c r="BG316" s="12" t="n"/>
      <c r="BH316" s="12" t="n"/>
      <c r="BI316" s="12" t="n"/>
      <c r="BJ316" s="12" t="n"/>
      <c r="BK316" s="12" t="n"/>
      <c r="BL316" s="12" t="n"/>
      <c r="BM316" s="12" t="n"/>
      <c r="BN316" s="12" t="n"/>
      <c r="BO316" s="12" t="n"/>
      <c r="BP316" s="12" t="n"/>
      <c r="BQ316" s="12" t="n"/>
      <c r="BR316" s="12" t="n"/>
      <c r="BS316" s="12" t="n"/>
      <c r="BT316" s="12" t="n"/>
      <c r="BU316" s="12" t="n"/>
      <c r="BV316" s="12" t="n"/>
      <c r="BW316" s="12" t="n"/>
      <c r="BX316" s="12" t="n"/>
      <c r="BY316" s="12" t="n"/>
      <c r="BZ316" s="12" t="n"/>
      <c r="CA316" s="12" t="n"/>
      <c r="CB316" s="12" t="n"/>
      <c r="CC316" s="12" t="n"/>
      <c r="CD316" s="12" t="n"/>
      <c r="CE316" s="12" t="n"/>
      <c r="CF316" s="12" t="n"/>
      <c r="CG316" s="12" t="n"/>
      <c r="CH316" s="12" t="n"/>
      <c r="CI316" s="12" t="n"/>
      <c r="CJ316" s="12" t="n"/>
      <c r="CK316" s="12" t="n"/>
      <c r="CL316" s="12" t="n"/>
      <c r="CM316" s="12" t="n"/>
      <c r="CN316" s="12" t="n"/>
      <c r="CO316" s="12" t="n"/>
      <c r="CP316" s="12" t="n"/>
      <c r="CQ316" s="12" t="n"/>
      <c r="CR316" s="12" t="n"/>
      <c r="CS316" s="12" t="n"/>
      <c r="CT316" s="12" t="n"/>
      <c r="CU316" s="12" t="n"/>
      <c r="CV316" s="12" t="n"/>
      <c r="CW316" s="12" t="n"/>
      <c r="CX316" s="12" t="n"/>
      <c r="CY316" s="12" t="n"/>
    </row>
    <row r="317">
      <c r="C317" s="14" t="inlineStr">
        <is>
          <t>Common stock and APIC</t>
        </is>
      </c>
      <c r="D317" s="12" t="n"/>
      <c r="E317" s="12" t="n"/>
      <c r="F317" s="12" t="n"/>
      <c r="G317" s="12" t="n"/>
      <c r="H317" s="12" t="n"/>
      <c r="I317" s="12" t="n"/>
      <c r="J317" s="12">
        <f>J268-I268</f>
        <v>0</v>
      </c>
      <c r="K317" s="12">
        <f>K268-J268</f>
        <v>0</v>
      </c>
      <c r="L317" s="12">
        <f>L268-K268</f>
        <v>0</v>
      </c>
      <c r="M317" s="12" t="n"/>
      <c r="N317" s="12">
        <f>N268-M268</f>
        <v>0</v>
      </c>
      <c r="O317" s="12">
        <f>O268-N268</f>
        <v>0</v>
      </c>
      <c r="P317" s="12">
        <f>P268-O268</f>
        <v>0</v>
      </c>
      <c r="Q317" s="12">
        <f>Q268-P268</f>
        <v>0</v>
      </c>
      <c r="R317" s="12">
        <f>SUM(N317:Q317)</f>
        <v>0</v>
      </c>
      <c r="S317" s="12">
        <f>S268-R268</f>
        <v>0</v>
      </c>
      <c r="T317" s="12">
        <f>T268-S268</f>
        <v>0</v>
      </c>
      <c r="U317" s="12">
        <f>U268-T268</f>
        <v>0</v>
      </c>
      <c r="V317" s="12">
        <f>V268-U268</f>
        <v>0</v>
      </c>
      <c r="W317" s="12">
        <f>SUM(S317:V317)</f>
        <v>0</v>
      </c>
      <c r="X317" s="12">
        <f>X268-W268</f>
        <v>0</v>
      </c>
      <c r="Y317" s="12">
        <f>Y268-X268</f>
        <v>0</v>
      </c>
      <c r="Z317" s="12">
        <f>Z268-Y268</f>
        <v>0</v>
      </c>
      <c r="AA317" s="12">
        <f>AA268-Z268</f>
        <v>200</v>
      </c>
      <c r="AB317" s="12">
        <f>SUM(X317:AA317)</f>
        <v>200</v>
      </c>
      <c r="AC317" s="12">
        <f>AC268-AB268</f>
        <v>0</v>
      </c>
      <c r="AD317" s="12">
        <f>AD268-AC268</f>
        <v>47.0820000000001</v>
      </c>
      <c r="AE317" s="12">
        <f>AE268-AD268</f>
        <v>0</v>
      </c>
      <c r="AF317" s="12">
        <f>AF268-AE268</f>
        <v>549.408</v>
      </c>
      <c r="AG317" s="12">
        <f>SUM(AC317:AF317)</f>
        <v>596.49</v>
      </c>
      <c r="AH317" s="12">
        <f>AH268-AG268</f>
        <v>0</v>
      </c>
      <c r="AI317" s="12">
        <f>AI268-AH268</f>
        <v>0</v>
      </c>
      <c r="AJ317" s="12">
        <f>AJ268-AI268</f>
        <v>0</v>
      </c>
      <c r="AK317" s="12">
        <f>AK268-AJ268</f>
        <v>0</v>
      </c>
      <c r="AL317" s="12">
        <f>SUM(AH317:AK317)</f>
        <v>0</v>
      </c>
      <c r="AM317" s="12">
        <f>AM268-AL268</f>
        <v>0</v>
      </c>
      <c r="AN317" s="12">
        <f>AN268-AM268</f>
        <v>0</v>
      </c>
      <c r="AO317" s="12">
        <f>AO268-AN268</f>
        <v>0</v>
      </c>
      <c r="AP317" s="12">
        <f>AP268-AO268</f>
        <v>0</v>
      </c>
      <c r="AQ317" s="12">
        <f>SUM(AM317:AP317)</f>
        <v>0</v>
      </c>
      <c r="AR317" s="12">
        <f>AR268-AQ268</f>
        <v>0</v>
      </c>
      <c r="AS317" s="12">
        <f>AS268-AR268</f>
        <v>0</v>
      </c>
      <c r="AT317" s="12">
        <f>AT268-AS268</f>
        <v>0</v>
      </c>
      <c r="AU317" s="12">
        <f>AU268-AT268</f>
        <v>0</v>
      </c>
      <c r="AV317" s="12">
        <f>SUM(AR317:AU317)</f>
        <v>0</v>
      </c>
      <c r="AW317" s="12">
        <f>AW268-AV268</f>
        <v>0</v>
      </c>
      <c r="AX317" s="12">
        <f>AX268-AW268</f>
        <v>0</v>
      </c>
      <c r="AY317" s="12">
        <f>AY268-AX268</f>
        <v>0</v>
      </c>
      <c r="AZ317" s="12">
        <f>AZ268-AY268</f>
        <v>0</v>
      </c>
      <c r="BA317" s="12">
        <f>SUM(AW317:AZ317)</f>
        <v>0</v>
      </c>
      <c r="BB317" s="12">
        <f>BB268-BA268</f>
        <v>0</v>
      </c>
      <c r="BC317" s="12">
        <f>BC268-BB268</f>
        <v>0</v>
      </c>
      <c r="BD317" s="12">
        <f>BD268-BC268</f>
        <v>0</v>
      </c>
      <c r="BE317" s="12">
        <f>BE268-BD268</f>
        <v>0</v>
      </c>
      <c r="BF317" s="12">
        <f>SUM(BB317:BE317)</f>
        <v>0</v>
      </c>
      <c r="BG317" s="12" t="n"/>
      <c r="BH317" s="12" t="n"/>
      <c r="BI317" s="12" t="n"/>
      <c r="BJ317" s="12" t="n"/>
      <c r="BK317" s="12" t="n"/>
      <c r="BL317" s="12" t="n"/>
      <c r="BM317" s="12" t="n"/>
      <c r="BN317" s="12" t="n"/>
      <c r="BO317" s="12" t="n"/>
      <c r="BP317" s="12" t="n"/>
      <c r="BQ317" s="12" t="n"/>
      <c r="BR317" s="12" t="n"/>
      <c r="BS317" s="12" t="n"/>
      <c r="BT317" s="12" t="n"/>
      <c r="BU317" s="12" t="n"/>
      <c r="BV317" s="12" t="n"/>
      <c r="BW317" s="12" t="n"/>
      <c r="BX317" s="12" t="n"/>
      <c r="BY317" s="12" t="n"/>
      <c r="BZ317" s="12" t="n"/>
      <c r="CA317" s="12" t="n"/>
      <c r="CB317" s="12" t="n"/>
      <c r="CC317" s="12" t="n"/>
      <c r="CD317" s="12" t="n"/>
      <c r="CE317" s="12" t="n"/>
      <c r="CF317" s="12" t="n"/>
      <c r="CG317" s="12" t="n"/>
      <c r="CH317" s="12" t="n"/>
      <c r="CI317" s="12" t="n"/>
      <c r="CJ317" s="12" t="n"/>
      <c r="CK317" s="12" t="n"/>
      <c r="CL317" s="12" t="n"/>
      <c r="CM317" s="12" t="n"/>
      <c r="CN317" s="12" t="n"/>
      <c r="CO317" s="12" t="n"/>
      <c r="CP317" s="12" t="n"/>
      <c r="CQ317" s="12" t="n"/>
      <c r="CR317" s="12" t="n"/>
      <c r="CS317" s="12" t="n"/>
      <c r="CT317" s="12" t="n"/>
      <c r="CU317" s="12" t="n"/>
      <c r="CV317" s="12" t="n"/>
      <c r="CW317" s="12" t="n"/>
      <c r="CX317" s="12" t="n"/>
      <c r="CY317" s="12" t="n"/>
    </row>
    <row r="318">
      <c r="C318" s="14" t="inlineStr">
        <is>
          <t>Treasury stock repurchases</t>
        </is>
      </c>
      <c r="D318" s="12" t="n"/>
      <c r="E318" s="12" t="n"/>
      <c r="F318" s="12" t="n"/>
      <c r="G318" s="12" t="n"/>
      <c r="H318" s="12" t="n"/>
      <c r="I318" s="12" t="n"/>
      <c r="J318" s="12">
        <f>J281-I281</f>
        <v>0</v>
      </c>
      <c r="K318" s="12">
        <f>K281-J281</f>
        <v>0</v>
      </c>
      <c r="L318" s="12">
        <f>L281-K281</f>
        <v>-0.121</v>
      </c>
      <c r="M318" s="12" t="n"/>
      <c r="N318" s="12">
        <f>N281-M281</f>
        <v>-4.894</v>
      </c>
      <c r="O318" s="12">
        <f>O281-N281</f>
        <v>-7.195</v>
      </c>
      <c r="P318" s="12">
        <f>P281-O281</f>
        <v>0</v>
      </c>
      <c r="Q318" s="12">
        <f>Q281-P281</f>
        <v>0</v>
      </c>
      <c r="R318" s="12">
        <f>SUM(N318:Q318)</f>
        <v>-12.089</v>
      </c>
      <c r="S318" s="12">
        <f>S281-R281</f>
        <v>0</v>
      </c>
      <c r="T318" s="12">
        <f>T281-S281</f>
        <v>0</v>
      </c>
      <c r="U318" s="12">
        <f>U281-T281</f>
        <v>0</v>
      </c>
      <c r="V318" s="12">
        <f>V281-U281</f>
        <v>0</v>
      </c>
      <c r="W318" s="12">
        <f>SUM(S318:V318)</f>
        <v>0</v>
      </c>
      <c r="X318" s="12">
        <f>X281-W281</f>
        <v>0</v>
      </c>
      <c r="Y318" s="12">
        <f>Y281-X281</f>
        <v>0</v>
      </c>
      <c r="Z318" s="12">
        <f>Z281-Y281</f>
        <v>0</v>
      </c>
      <c r="AA318" s="12">
        <f>AA281-Z281</f>
        <v>0</v>
      </c>
      <c r="AB318" s="12">
        <f>SUM(X318:AA318)</f>
        <v>0</v>
      </c>
      <c r="AC318" s="12">
        <f>AC281-AB281</f>
        <v>0</v>
      </c>
      <c r="AD318" s="12">
        <f>AD281-AC281</f>
        <v>12.21</v>
      </c>
      <c r="AE318" s="12">
        <f>AE281-AD281</f>
        <v>0</v>
      </c>
      <c r="AF318" s="12">
        <f>AF281-AE281</f>
        <v>0</v>
      </c>
      <c r="AG318" s="12">
        <f>SUM(AC318:AF318)</f>
        <v>12.21</v>
      </c>
      <c r="AH318" s="12">
        <f>AH281-AG281</f>
        <v>0</v>
      </c>
      <c r="AI318" s="12">
        <f>AI281-AH281</f>
        <v>0</v>
      </c>
      <c r="AJ318" s="12">
        <f>AJ281-AI281</f>
        <v>0</v>
      </c>
      <c r="AK318" s="12">
        <f>AK281-AJ281</f>
        <v>0</v>
      </c>
      <c r="AL318" s="12">
        <f>SUM(AH318:AK318)</f>
        <v>0</v>
      </c>
      <c r="AM318" s="12">
        <f>AM281-AL281</f>
        <v>0</v>
      </c>
      <c r="AN318" s="12">
        <f>AN281-AM281</f>
        <v>0</v>
      </c>
      <c r="AO318" s="12">
        <f>AO281-AN281</f>
        <v>0</v>
      </c>
      <c r="AP318" s="12">
        <f>AP281-AO281</f>
        <v>0</v>
      </c>
      <c r="AQ318" s="12">
        <f>SUM(AM318:AP318)</f>
        <v>0</v>
      </c>
      <c r="AR318" s="12">
        <f>AR281-AQ281</f>
        <v>0</v>
      </c>
      <c r="AS318" s="12">
        <f>AS281-AR281</f>
        <v>0</v>
      </c>
      <c r="AT318" s="12">
        <f>AT281-AS281</f>
        <v>0</v>
      </c>
      <c r="AU318" s="12">
        <f>AU281-AT281</f>
        <v>0</v>
      </c>
      <c r="AV318" s="12">
        <f>SUM(AR318:AU318)</f>
        <v>0</v>
      </c>
      <c r="AW318" s="12">
        <f>AW281-AV281</f>
        <v>0</v>
      </c>
      <c r="AX318" s="12">
        <f>AX281-AW281</f>
        <v>0</v>
      </c>
      <c r="AY318" s="12">
        <f>AY281-AX281</f>
        <v>0</v>
      </c>
      <c r="AZ318" s="12">
        <f>AZ281-AY281</f>
        <v>0</v>
      </c>
      <c r="BA318" s="12">
        <f>SUM(AW318:AZ318)</f>
        <v>0</v>
      </c>
      <c r="BB318" s="12">
        <f>BB281-BA281</f>
        <v>0</v>
      </c>
      <c r="BC318" s="12">
        <f>BC281-BB281</f>
        <v>0</v>
      </c>
      <c r="BD318" s="12">
        <f>BD281-BC281</f>
        <v>0</v>
      </c>
      <c r="BE318" s="12">
        <f>BE281-BD281</f>
        <v>0</v>
      </c>
      <c r="BF318" s="12">
        <f>SUM(BB318:BE318)</f>
        <v>0</v>
      </c>
      <c r="BG318" s="12" t="n"/>
      <c r="BH318" s="12" t="n"/>
      <c r="BI318" s="12" t="n"/>
      <c r="BJ318" s="12" t="n"/>
      <c r="BK318" s="12" t="n"/>
      <c r="BL318" s="12" t="n"/>
      <c r="BM318" s="12" t="n"/>
      <c r="BN318" s="12" t="n"/>
      <c r="BO318" s="12" t="n"/>
      <c r="BP318" s="12" t="n"/>
      <c r="BQ318" s="12" t="n"/>
      <c r="BR318" s="12" t="n"/>
      <c r="BS318" s="12" t="n"/>
      <c r="BT318" s="12" t="n"/>
      <c r="BU318" s="12" t="n"/>
      <c r="BV318" s="12" t="n"/>
      <c r="BW318" s="12" t="n"/>
      <c r="BX318" s="12" t="n"/>
      <c r="BY318" s="12" t="n"/>
      <c r="BZ318" s="12" t="n"/>
      <c r="CA318" s="12" t="n"/>
      <c r="CB318" s="12" t="n"/>
      <c r="CC318" s="12" t="n"/>
      <c r="CD318" s="12" t="n"/>
      <c r="CE318" s="12" t="n"/>
      <c r="CF318" s="12" t="n"/>
      <c r="CG318" s="12" t="n"/>
      <c r="CH318" s="12" t="n"/>
      <c r="CI318" s="12" t="n"/>
      <c r="CJ318" s="12" t="n"/>
      <c r="CK318" s="12" t="n"/>
      <c r="CL318" s="12" t="n"/>
      <c r="CM318" s="12" t="n"/>
      <c r="CN318" s="12" t="n"/>
      <c r="CO318" s="12" t="n"/>
      <c r="CP318" s="12" t="n"/>
      <c r="CQ318" s="12" t="n"/>
      <c r="CR318" s="12" t="n"/>
      <c r="CS318" s="12" t="n"/>
      <c r="CT318" s="12" t="n"/>
      <c r="CU318" s="12" t="n"/>
      <c r="CV318" s="12" t="n"/>
      <c r="CW318" s="12" t="n"/>
      <c r="CX318" s="12" t="n"/>
      <c r="CY318" s="12" t="n"/>
    </row>
    <row r="319">
      <c r="C319" s="14" t="inlineStr">
        <is>
          <t>Comprehensive accumulated loss</t>
        </is>
      </c>
      <c r="D319" s="12" t="n"/>
      <c r="E319" s="12" t="n"/>
      <c r="F319" s="12" t="n"/>
      <c r="G319" s="12" t="n"/>
      <c r="H319" s="12" t="n"/>
      <c r="I319" s="12" t="n"/>
      <c r="J319" s="12">
        <f>J282-I282</f>
        <v>0</v>
      </c>
      <c r="K319" s="12">
        <f>K282-J282</f>
        <v>0</v>
      </c>
      <c r="L319" s="12">
        <f>L282-K282</f>
        <v>0</v>
      </c>
      <c r="M319" s="12" t="n"/>
      <c r="N319" s="12">
        <f>N282-M282</f>
        <v>0</v>
      </c>
      <c r="O319" s="12">
        <f>O282-N282</f>
        <v>0</v>
      </c>
      <c r="P319" s="12">
        <f>P282-O282</f>
        <v>0</v>
      </c>
      <c r="Q319" s="12">
        <f>Q282-P282</f>
        <v>0</v>
      </c>
      <c r="R319" s="12">
        <f>SUM(N319:Q319)</f>
        <v>0</v>
      </c>
      <c r="S319" s="12">
        <f>S282-R282</f>
        <v>0</v>
      </c>
      <c r="T319" s="12">
        <f>T282-S282</f>
        <v>0</v>
      </c>
      <c r="U319" s="12">
        <f>U282-T282</f>
        <v>0</v>
      </c>
      <c r="V319" s="12">
        <f>V282-U282</f>
        <v>0</v>
      </c>
      <c r="W319" s="12">
        <f>SUM(S319:V319)</f>
        <v>0</v>
      </c>
      <c r="X319" s="12">
        <f>X282-W282</f>
        <v>0</v>
      </c>
      <c r="Y319" s="12">
        <f>Y282-X282</f>
        <v>0</v>
      </c>
      <c r="Z319" s="12">
        <f>Z282-Y282</f>
        <v>0</v>
      </c>
      <c r="AA319" s="12">
        <f>AA282-Z282</f>
        <v>0</v>
      </c>
      <c r="AB319" s="12">
        <f>SUM(X319:AA319)</f>
        <v>0</v>
      </c>
      <c r="AC319" s="12">
        <f>AC282-AB282</f>
        <v>0</v>
      </c>
      <c r="AD319" s="12">
        <f>AD282-AC282</f>
        <v>0</v>
      </c>
      <c r="AE319" s="12">
        <f>AE282-AD282</f>
        <v>0</v>
      </c>
      <c r="AF319" s="12">
        <f>AF282-AE282</f>
        <v>0</v>
      </c>
      <c r="AG319" s="12">
        <f>SUM(AC319:AF319)</f>
        <v>0</v>
      </c>
      <c r="AH319" s="12">
        <f>AH282-AG282</f>
        <v>0</v>
      </c>
      <c r="AI319" s="12">
        <f>AI282-AH282</f>
        <v>0</v>
      </c>
      <c r="AJ319" s="12">
        <f>AJ282-AI282</f>
        <v>0</v>
      </c>
      <c r="AK319" s="12">
        <f>AK282-AJ282</f>
        <v>0</v>
      </c>
      <c r="AL319" s="12">
        <f>SUM(AH319:AK319)</f>
        <v>0</v>
      </c>
      <c r="AM319" s="12">
        <f>AM282-AL282</f>
        <v>0</v>
      </c>
      <c r="AN319" s="12">
        <f>AN282-AM282</f>
        <v>0</v>
      </c>
      <c r="AO319" s="12">
        <f>AO282-AN282</f>
        <v>0</v>
      </c>
      <c r="AP319" s="12">
        <f>AP282-AO282</f>
        <v>0</v>
      </c>
      <c r="AQ319" s="12">
        <f>SUM(AM319:AP319)</f>
        <v>0</v>
      </c>
      <c r="AR319" s="12">
        <f>AR282-AQ282</f>
        <v>0</v>
      </c>
      <c r="AS319" s="12">
        <f>AS282-AR282</f>
        <v>0</v>
      </c>
      <c r="AT319" s="12">
        <f>AT282-AS282</f>
        <v>0</v>
      </c>
      <c r="AU319" s="12">
        <f>AU282-AT282</f>
        <v>0</v>
      </c>
      <c r="AV319" s="12">
        <f>SUM(AR319:AU319)</f>
        <v>0</v>
      </c>
      <c r="AW319" s="12">
        <f>AW282-AV282</f>
        <v>0</v>
      </c>
      <c r="AX319" s="12">
        <f>AX282-AW282</f>
        <v>0</v>
      </c>
      <c r="AY319" s="12">
        <f>AY282-AX282</f>
        <v>0</v>
      </c>
      <c r="AZ319" s="12">
        <f>AZ282-AY282</f>
        <v>0</v>
      </c>
      <c r="BA319" s="12">
        <f>SUM(AW319:AZ319)</f>
        <v>0</v>
      </c>
      <c r="BB319" s="12">
        <f>BB282-BA282</f>
        <v>0</v>
      </c>
      <c r="BC319" s="12">
        <f>BC282-BB282</f>
        <v>0</v>
      </c>
      <c r="BD319" s="12">
        <f>BD282-BC282</f>
        <v>0</v>
      </c>
      <c r="BE319" s="12">
        <f>BE282-BD282</f>
        <v>0</v>
      </c>
      <c r="BF319" s="12">
        <f>SUM(BB319:BE319)</f>
        <v>0</v>
      </c>
      <c r="BG319" s="12" t="n"/>
      <c r="BH319" s="12" t="n"/>
      <c r="BI319" s="12" t="n"/>
      <c r="BJ319" s="12" t="n"/>
      <c r="BK319" s="12" t="n"/>
      <c r="BL319" s="12" t="n"/>
      <c r="BM319" s="12" t="n"/>
      <c r="BN319" s="12" t="n"/>
      <c r="BO319" s="12" t="n"/>
      <c r="BP319" s="12" t="n"/>
      <c r="BQ319" s="12" t="n"/>
      <c r="BR319" s="12" t="n"/>
      <c r="BS319" s="12" t="n"/>
      <c r="BT319" s="12" t="n"/>
      <c r="BU319" s="12" t="n"/>
      <c r="BV319" s="12" t="n"/>
      <c r="BW319" s="12" t="n"/>
      <c r="BX319" s="12" t="n"/>
      <c r="BY319" s="12" t="n"/>
      <c r="BZ319" s="12" t="n"/>
      <c r="CA319" s="12" t="n"/>
      <c r="CB319" s="12" t="n"/>
      <c r="CC319" s="12" t="n"/>
      <c r="CD319" s="12" t="n"/>
      <c r="CE319" s="12" t="n"/>
      <c r="CF319" s="12" t="n"/>
      <c r="CG319" s="12" t="n"/>
      <c r="CH319" s="12" t="n"/>
      <c r="CI319" s="12" t="n"/>
      <c r="CJ319" s="12" t="n"/>
      <c r="CK319" s="12" t="n"/>
      <c r="CL319" s="12" t="n"/>
      <c r="CM319" s="12" t="n"/>
      <c r="CN319" s="12" t="n"/>
      <c r="CO319" s="12" t="n"/>
      <c r="CP319" s="12" t="n"/>
      <c r="CQ319" s="12" t="n"/>
      <c r="CR319" s="12" t="n"/>
      <c r="CS319" s="12" t="n"/>
      <c r="CT319" s="12" t="n"/>
      <c r="CU319" s="12" t="n"/>
      <c r="CV319" s="12" t="n"/>
      <c r="CW319" s="12" t="n"/>
      <c r="CX319" s="12" t="n"/>
      <c r="CY319" s="12" t="n"/>
    </row>
    <row r="320">
      <c r="C320" s="14" t="inlineStr">
        <is>
          <t>Other equity account</t>
        </is>
      </c>
      <c r="D320" s="12" t="n"/>
      <c r="E320" s="12" t="n"/>
      <c r="F320" s="12" t="n"/>
      <c r="G320" s="12" t="n"/>
      <c r="H320" s="12" t="n"/>
      <c r="I320" s="12" t="n"/>
      <c r="J320" s="12">
        <f>J283-I283</f>
        <v>0</v>
      </c>
      <c r="K320" s="12">
        <f>K283-J283</f>
        <v>0</v>
      </c>
      <c r="L320" s="12">
        <f>L283-K283</f>
        <v>0</v>
      </c>
      <c r="M320" s="12" t="n"/>
      <c r="N320" s="12">
        <f>N283-M283</f>
        <v>0</v>
      </c>
      <c r="O320" s="12">
        <f>O283-N283</f>
        <v>0</v>
      </c>
      <c r="P320" s="12">
        <f>P283-O283</f>
        <v>0</v>
      </c>
      <c r="Q320" s="12">
        <f>Q283-P283</f>
        <v>0</v>
      </c>
      <c r="R320" s="12">
        <f>SUM(N320:Q320)</f>
        <v>0</v>
      </c>
      <c r="S320" s="12">
        <f>S283-R283</f>
        <v>0</v>
      </c>
      <c r="T320" s="12">
        <f>T283-S283</f>
        <v>0</v>
      </c>
      <c r="U320" s="12">
        <f>U283-T283</f>
        <v>0</v>
      </c>
      <c r="V320" s="12">
        <f>V283-U283</f>
        <v>0</v>
      </c>
      <c r="W320" s="12">
        <f>SUM(S320:V320)</f>
        <v>0</v>
      </c>
      <c r="X320" s="12">
        <f>X283-W283</f>
        <v>0</v>
      </c>
      <c r="Y320" s="12">
        <f>Y283-X283</f>
        <v>0</v>
      </c>
      <c r="Z320" s="12">
        <f>Z283-Y283</f>
        <v>0</v>
      </c>
      <c r="AA320" s="12">
        <f>AA283-Z283</f>
        <v>0</v>
      </c>
      <c r="AB320" s="12">
        <f>SUM(X320:AA320)</f>
        <v>0</v>
      </c>
      <c r="AC320" s="12">
        <f>AC283-AB283</f>
        <v>0</v>
      </c>
      <c r="AD320" s="12">
        <f>AD283-AC283</f>
        <v>0</v>
      </c>
      <c r="AE320" s="12">
        <f>AE283-AD283</f>
        <v>0</v>
      </c>
      <c r="AF320" s="12">
        <f>AF283-AE283</f>
        <v>0</v>
      </c>
      <c r="AG320" s="12">
        <f>SUM(AC320:AF320)</f>
        <v>0</v>
      </c>
      <c r="AH320" s="12">
        <f>AH283-AG283</f>
        <v>0</v>
      </c>
      <c r="AI320" s="12">
        <f>AI283-AH283</f>
        <v>0</v>
      </c>
      <c r="AJ320" s="12">
        <f>AJ283-AI283</f>
        <v>0</v>
      </c>
      <c r="AK320" s="12">
        <f>AK283-AJ283</f>
        <v>0</v>
      </c>
      <c r="AL320" s="12">
        <f>SUM(AH320:AK320)</f>
        <v>0</v>
      </c>
      <c r="AM320" s="12">
        <f>AM283-AL283</f>
        <v>0</v>
      </c>
      <c r="AN320" s="12">
        <f>AN283-AM283</f>
        <v>0</v>
      </c>
      <c r="AO320" s="12">
        <f>AO283-AN283</f>
        <v>0</v>
      </c>
      <c r="AP320" s="12">
        <f>AP283-AO283</f>
        <v>0</v>
      </c>
      <c r="AQ320" s="12">
        <f>SUM(AM320:AP320)</f>
        <v>0</v>
      </c>
      <c r="AR320" s="12">
        <f>AR283-AQ283</f>
        <v>0</v>
      </c>
      <c r="AS320" s="12">
        <f>AS283-AR283</f>
        <v>0</v>
      </c>
      <c r="AT320" s="12">
        <f>AT283-AS283</f>
        <v>0</v>
      </c>
      <c r="AU320" s="12">
        <f>AU283-AT283</f>
        <v>0</v>
      </c>
      <c r="AV320" s="12">
        <f>SUM(AR320:AU320)</f>
        <v>0</v>
      </c>
      <c r="AW320" s="12">
        <f>AW283-AV283</f>
        <v>0</v>
      </c>
      <c r="AX320" s="12">
        <f>AX283-AW283</f>
        <v>0</v>
      </c>
      <c r="AY320" s="12">
        <f>AY283-AX283</f>
        <v>0</v>
      </c>
      <c r="AZ320" s="12">
        <f>AZ283-AY283</f>
        <v>0</v>
      </c>
      <c r="BA320" s="12">
        <f>SUM(AW320:AZ320)</f>
        <v>0</v>
      </c>
      <c r="BB320" s="12">
        <f>BB283-BA283</f>
        <v>0</v>
      </c>
      <c r="BC320" s="12">
        <f>BC283-BB283</f>
        <v>0</v>
      </c>
      <c r="BD320" s="12">
        <f>BD283-BC283</f>
        <v>0</v>
      </c>
      <c r="BE320" s="12">
        <f>BE283-BD283</f>
        <v>0</v>
      </c>
      <c r="BF320" s="12">
        <f>SUM(BB320:BE320)</f>
        <v>0</v>
      </c>
      <c r="BG320" s="12" t="n"/>
      <c r="BH320" s="12" t="n"/>
      <c r="BI320" s="12" t="n"/>
      <c r="BJ320" s="12" t="n"/>
      <c r="BK320" s="12" t="n"/>
      <c r="BL320" s="12" t="n"/>
      <c r="BM320" s="12" t="n"/>
      <c r="BN320" s="12" t="n"/>
      <c r="BO320" s="12" t="n"/>
      <c r="BP320" s="12" t="n"/>
      <c r="BQ320" s="12" t="n"/>
      <c r="BR320" s="12" t="n"/>
      <c r="BS320" s="12" t="n"/>
      <c r="BT320" s="12" t="n"/>
      <c r="BU320" s="12" t="n"/>
      <c r="BV320" s="12" t="n"/>
      <c r="BW320" s="12" t="n"/>
      <c r="BX320" s="12" t="n"/>
      <c r="BY320" s="12" t="n"/>
      <c r="BZ320" s="12" t="n"/>
      <c r="CA320" s="12" t="n"/>
      <c r="CB320" s="12" t="n"/>
      <c r="CC320" s="12" t="n"/>
      <c r="CD320" s="12" t="n"/>
      <c r="CE320" s="12" t="n"/>
      <c r="CF320" s="12" t="n"/>
      <c r="CG320" s="12" t="n"/>
      <c r="CH320" s="12" t="n"/>
      <c r="CI320" s="12" t="n"/>
      <c r="CJ320" s="12" t="n"/>
      <c r="CK320" s="12" t="n"/>
      <c r="CL320" s="12" t="n"/>
      <c r="CM320" s="12" t="n"/>
      <c r="CN320" s="12" t="n"/>
      <c r="CO320" s="12" t="n"/>
      <c r="CP320" s="12" t="n"/>
      <c r="CQ320" s="12" t="n"/>
      <c r="CR320" s="12" t="n"/>
      <c r="CS320" s="12" t="n"/>
      <c r="CT320" s="12" t="n"/>
      <c r="CU320" s="12" t="n"/>
      <c r="CV320" s="12" t="n"/>
      <c r="CW320" s="12" t="n"/>
      <c r="CX320" s="12" t="n"/>
      <c r="CY320" s="12" t="n"/>
    </row>
    <row r="321">
      <c r="C321" s="10" t="inlineStr">
        <is>
          <t>Common and preferred dividends</t>
        </is>
      </c>
      <c r="D321" s="12" t="n"/>
      <c r="E321" s="12" t="n"/>
      <c r="F321" s="12" t="n"/>
      <c r="G321" s="12" t="n"/>
      <c r="H321" s="12" t="n"/>
      <c r="I321" s="12" t="n"/>
      <c r="J321" s="12">
        <f>(J284-I284)-J291</f>
        <v>-76.807</v>
      </c>
      <c r="K321" s="12">
        <f>(K284-J284)-K291</f>
        <v>0.00688523799996688</v>
      </c>
      <c r="L321" s="12">
        <f>(L284-K284)-L291</f>
        <v>-121.191</v>
      </c>
      <c r="M321" s="12" t="n"/>
      <c r="N321" s="12">
        <f>(N284-M284)-N291</f>
        <v>0</v>
      </c>
      <c r="O321" s="12">
        <f>(O284-N284)-O291</f>
        <v>-78.8090000000001</v>
      </c>
      <c r="P321" s="12">
        <f>(P284-O284)-P291</f>
        <v>0</v>
      </c>
      <c r="Q321" s="12">
        <f>(Q284-P284)-Q291</f>
        <v>-78.3479999999999</v>
      </c>
      <c r="R321" s="12">
        <f>SUM(N321:Q321)</f>
        <v>-157.157</v>
      </c>
      <c r="S321" s="12">
        <f>(S284-R284)-S291</f>
        <v>0</v>
      </c>
      <c r="T321" s="12">
        <f>(T284-S284)-T291</f>
        <v>0</v>
      </c>
      <c r="U321" s="12">
        <f>(U284-T284)-U291</f>
        <v>-150</v>
      </c>
      <c r="V321" s="12">
        <f>(V284-U284)-V291</f>
        <v>-218.537</v>
      </c>
      <c r="W321" s="12">
        <f>SUM(S321:V321)</f>
        <v>-368.537</v>
      </c>
      <c r="X321" s="12">
        <f>(X284-W284)-X291</f>
        <v>0</v>
      </c>
      <c r="Y321" s="12">
        <f>(Y284-X284)-Y291</f>
        <v>-265.00026339</v>
      </c>
      <c r="Z321" s="12">
        <f>(Z284-Y284)-Z291</f>
        <v>0.000999999999976353</v>
      </c>
      <c r="AA321" s="12">
        <f>(AA284-Z284)-AA291</f>
        <v>-354.338</v>
      </c>
      <c r="AB321" s="12">
        <f>SUM(X321:AA321)</f>
        <v>-619.33726339</v>
      </c>
      <c r="AC321" s="12">
        <f>(AC284-AB284)-AC291</f>
        <v>-175</v>
      </c>
      <c r="AD321" s="12">
        <f>(AD284-AC284)-AD291</f>
        <v>-99.99994176</v>
      </c>
      <c r="AE321" s="12">
        <f>(AE284-AD284)-AE291</f>
        <v>-200</v>
      </c>
      <c r="AF321" s="12">
        <f>(AF284-AE284)-AF291</f>
        <v>-823</v>
      </c>
      <c r="AG321" s="12">
        <f>SUM(AC321:AF321)</f>
        <v>-1297.99994176</v>
      </c>
      <c r="AH321" s="12">
        <f>(AH284-AG284)-AH291</f>
        <v>-140</v>
      </c>
      <c r="AI321" s="12">
        <f>(AI284-AH284)-AI291</f>
        <v>-160</v>
      </c>
      <c r="AJ321" s="12">
        <f>(AJ284-AI284)-AJ291</f>
        <v>0</v>
      </c>
      <c r="AK321" s="12">
        <f>(AK284-AJ284)-AK291</f>
        <v>0</v>
      </c>
      <c r="AL321" s="12">
        <f>SUM(AH321:AK321)</f>
        <v>-300</v>
      </c>
      <c r="AM321" s="12">
        <f>(AM284-AL284)-AM291</f>
        <v>0</v>
      </c>
      <c r="AN321" s="12">
        <f>(AN284-AM284)-AN291</f>
        <v>0</v>
      </c>
      <c r="AO321" s="12">
        <f>(AO284-AN284)-AO291</f>
        <v>0</v>
      </c>
      <c r="AP321" s="12">
        <f>(AP284-AO284)-AP291</f>
        <v>0</v>
      </c>
      <c r="AQ321" s="12">
        <f>SUM(AM321:AP321)</f>
        <v>0</v>
      </c>
      <c r="AR321" s="12">
        <f>(AR284-AQ284)-AR291</f>
        <v>0</v>
      </c>
      <c r="AS321" s="12">
        <f>(AS284-AR284)-AS291</f>
        <v>0</v>
      </c>
      <c r="AT321" s="12">
        <f>(AT284-AS284)-AT291</f>
        <v>0</v>
      </c>
      <c r="AU321" s="12">
        <f>(AU284-AT284)-AU291</f>
        <v>0</v>
      </c>
      <c r="AV321" s="12">
        <f>SUM(AR321:AU321)</f>
        <v>0</v>
      </c>
      <c r="AW321" s="12">
        <f>(AW284-AV284)-AW291</f>
        <v>0</v>
      </c>
      <c r="AX321" s="12">
        <f>(AX284-AW284)-AX291</f>
        <v>0</v>
      </c>
      <c r="AY321" s="12">
        <f>(AY284-AX284)-AY291</f>
        <v>0</v>
      </c>
      <c r="AZ321" s="12">
        <f>(AZ284-AY284)-AZ291</f>
        <v>0</v>
      </c>
      <c r="BA321" s="12">
        <f>SUM(AW321:AZ321)</f>
        <v>0</v>
      </c>
      <c r="BB321" s="12">
        <f>(BB284-BA284)-BB291</f>
        <v>0</v>
      </c>
      <c r="BC321" s="12">
        <f>(BC284-BB284)-BC291</f>
        <v>0</v>
      </c>
      <c r="BD321" s="12">
        <f>(BD284-BC284)-BD291</f>
        <v>0</v>
      </c>
      <c r="BE321" s="12">
        <f>(BE284-BD284)-BE291</f>
        <v>0</v>
      </c>
      <c r="BF321" s="12">
        <f>SUM(BB321:BE321)</f>
        <v>0</v>
      </c>
      <c r="BG321" s="12" t="n"/>
      <c r="BH321" s="12" t="n"/>
      <c r="BI321" s="12" t="n"/>
      <c r="BJ321" s="12" t="n"/>
      <c r="BK321" s="12" t="n"/>
      <c r="BL321" s="12" t="n"/>
      <c r="BM321" s="12" t="n"/>
      <c r="BN321" s="12" t="n"/>
      <c r="BO321" s="12" t="n"/>
      <c r="BP321" s="12" t="n"/>
      <c r="BQ321" s="12" t="n"/>
      <c r="BR321" s="12" t="n"/>
      <c r="BS321" s="12" t="n"/>
      <c r="BT321" s="12" t="n"/>
      <c r="BU321" s="12" t="n"/>
      <c r="BV321" s="12" t="n"/>
      <c r="BW321" s="12" t="n"/>
      <c r="BX321" s="12" t="n"/>
      <c r="BY321" s="12" t="n"/>
      <c r="BZ321" s="12" t="n"/>
      <c r="CA321" s="12" t="n"/>
      <c r="CB321" s="12" t="n"/>
      <c r="CC321" s="12" t="n"/>
      <c r="CD321" s="12" t="n"/>
      <c r="CE321" s="12" t="n"/>
      <c r="CF321" s="12" t="n"/>
      <c r="CG321" s="12" t="n"/>
      <c r="CH321" s="12" t="n"/>
      <c r="CI321" s="12" t="n"/>
      <c r="CJ321" s="12" t="n"/>
      <c r="CK321" s="12" t="n"/>
      <c r="CL321" s="12" t="n"/>
      <c r="CM321" s="12" t="n"/>
      <c r="CN321" s="12" t="n"/>
      <c r="CO321" s="12" t="n"/>
      <c r="CP321" s="12" t="n"/>
      <c r="CQ321" s="12" t="n"/>
      <c r="CR321" s="12" t="n"/>
      <c r="CS321" s="12" t="n"/>
      <c r="CT321" s="12" t="n"/>
      <c r="CU321" s="12" t="n"/>
      <c r="CV321" s="12" t="n"/>
      <c r="CW321" s="12" t="n"/>
      <c r="CX321" s="12" t="n"/>
      <c r="CY321" s="12" t="n"/>
    </row>
    <row r="322">
      <c r="C322" s="14" t="inlineStr">
        <is>
          <t>Dividends to minority interests</t>
        </is>
      </c>
      <c r="D322" s="12" t="n"/>
      <c r="E322" s="12" t="n"/>
      <c r="F322" s="12" t="n"/>
      <c r="G322" s="12" t="n"/>
      <c r="H322" s="12" t="n"/>
      <c r="I322" s="12" t="n"/>
      <c r="J322" s="12">
        <f>(J262-I262)+J150</f>
        <v>-2.474</v>
      </c>
      <c r="K322" s="12">
        <f>(K262-J262)+K150</f>
        <v>-8.83972588800001</v>
      </c>
      <c r="L322" s="12">
        <f>(L262-K262)+L150</f>
        <v>-9.195</v>
      </c>
      <c r="M322" s="12" t="n"/>
      <c r="N322" s="12">
        <f>(N262-M262)+N150</f>
        <v>-4.64299999999999</v>
      </c>
      <c r="O322" s="12">
        <f>(O262-N262)+O150</f>
        <v>-2.83099999999998</v>
      </c>
      <c r="P322" s="12">
        <f>(P262-O262)+P150</f>
        <v>-18.784</v>
      </c>
      <c r="Q322" s="12">
        <f>(Q262-P262)+Q150</f>
        <v>-13.516</v>
      </c>
      <c r="R322" s="12">
        <f>SUM(N322:Q322)</f>
        <v>-39.774</v>
      </c>
      <c r="S322" s="12">
        <f>(S262-R262)+S150</f>
        <v>-2.151</v>
      </c>
      <c r="T322" s="12">
        <f>(T262-S262)+T150</f>
        <v>8.764</v>
      </c>
      <c r="U322" s="12">
        <f>(U262-T262)+U150</f>
        <v>-9.21399999999998</v>
      </c>
      <c r="V322" s="12">
        <f>(V262-U262)+V150</f>
        <v>-5.24100000000003</v>
      </c>
      <c r="W322" s="12">
        <f>SUM(S322:V322)</f>
        <v>-7.84200000000001</v>
      </c>
      <c r="X322" s="12">
        <f>(X262-W262)+X150</f>
        <v>7.392</v>
      </c>
      <c r="Y322" s="12">
        <f>(Y262-X262)+Y150</f>
        <v>-15.754</v>
      </c>
      <c r="Z322" s="12">
        <f>(Z262-Y262)+Z150</f>
        <v>-0.238000000000003</v>
      </c>
      <c r="AA322" s="12">
        <f>(AA262-Z262)+AA150</f>
        <v>41.685</v>
      </c>
      <c r="AB322" s="12">
        <f>SUM(X322:AA322)</f>
        <v>33.085</v>
      </c>
      <c r="AC322" s="12">
        <f>(AC262-AB262)+AC150</f>
        <v>-6.719</v>
      </c>
      <c r="AD322" s="12">
        <f>(AD262-AC262)+AD150</f>
        <v>-9.6394</v>
      </c>
      <c r="AE322" s="12">
        <f>(AE262-AD262)+AE150</f>
        <v>-19.375</v>
      </c>
      <c r="AF322" s="12">
        <f>(AF262-AE262)+AF150</f>
        <v>-3.672</v>
      </c>
      <c r="AG322" s="12">
        <f>SUM(AC322:AF322)</f>
        <v>-39.4054</v>
      </c>
      <c r="AH322" s="12">
        <f>(AH262-AG262)+AH150</f>
        <v>18.73</v>
      </c>
      <c r="AI322" s="12">
        <f>(AI262-AH262)+AI150</f>
        <v>5.68000000000001</v>
      </c>
      <c r="AJ322" s="12">
        <f>(AJ262-AI262)+AJ150</f>
        <v>0</v>
      </c>
      <c r="AK322" s="12">
        <f>(AK262-AJ262)+AK150</f>
        <v>0</v>
      </c>
      <c r="AL322" s="12">
        <f>SUM(AH322:AK322)</f>
        <v>24.41</v>
      </c>
      <c r="AM322" s="12">
        <f>(AM262-AL262)+AM150</f>
        <v>0</v>
      </c>
      <c r="AN322" s="12">
        <f>(AN262-AM262)+AN150</f>
        <v>0</v>
      </c>
      <c r="AO322" s="12">
        <f>(AO262-AN262)+AO150</f>
        <v>0</v>
      </c>
      <c r="AP322" s="12">
        <f>(AP262-AO262)+AP150</f>
        <v>0</v>
      </c>
      <c r="AQ322" s="12">
        <f>SUM(AM322:AP322)</f>
        <v>0</v>
      </c>
      <c r="AR322" s="12">
        <f>(AR262-AQ262)+AR150</f>
        <v>0</v>
      </c>
      <c r="AS322" s="12">
        <f>(AS262-AR262)+AS150</f>
        <v>0</v>
      </c>
      <c r="AT322" s="12">
        <f>(AT262-AS262)+AT150</f>
        <v>0</v>
      </c>
      <c r="AU322" s="12">
        <f>(AU262-AT262)+AU150</f>
        <v>0</v>
      </c>
      <c r="AV322" s="12">
        <f>SUM(AR322:AU322)</f>
        <v>0</v>
      </c>
      <c r="AW322" s="12">
        <f>(AW262-AV262)+AW150</f>
        <v>0</v>
      </c>
      <c r="AX322" s="12">
        <f>(AX262-AW262)+AX150</f>
        <v>0</v>
      </c>
      <c r="AY322" s="12">
        <f>(AY262-AX262)+AY150</f>
        <v>0</v>
      </c>
      <c r="AZ322" s="12">
        <f>(AZ262-AY262)+AZ150</f>
        <v>0</v>
      </c>
      <c r="BA322" s="12">
        <f>SUM(AW322:AZ322)</f>
        <v>0</v>
      </c>
      <c r="BB322" s="12">
        <f>(BB262-BA262)+BB150</f>
        <v>0</v>
      </c>
      <c r="BC322" s="12">
        <f>(BC262-BB262)+BC150</f>
        <v>0</v>
      </c>
      <c r="BD322" s="12">
        <f>(BD262-BC262)+BD150</f>
        <v>0</v>
      </c>
      <c r="BE322" s="12">
        <f>(BE262-BD262)+BE150</f>
        <v>0</v>
      </c>
      <c r="BF322" s="12">
        <f>SUM(BB322:BE322)</f>
        <v>0</v>
      </c>
      <c r="BG322" s="12" t="n"/>
      <c r="BH322" s="12" t="n"/>
      <c r="BI322" s="12" t="n"/>
      <c r="BJ322" s="12" t="n"/>
      <c r="BK322" s="12" t="n"/>
      <c r="BL322" s="12" t="n"/>
      <c r="BM322" s="12" t="n"/>
      <c r="BN322" s="12" t="n"/>
      <c r="BO322" s="12" t="n"/>
      <c r="BP322" s="12" t="n"/>
      <c r="BQ322" s="12" t="n"/>
      <c r="BR322" s="12" t="n"/>
      <c r="BS322" s="12" t="n"/>
      <c r="BT322" s="12" t="n"/>
      <c r="BU322" s="12" t="n"/>
      <c r="BV322" s="12" t="n"/>
      <c r="BW322" s="12" t="n"/>
      <c r="BX322" s="12" t="n"/>
      <c r="BY322" s="12" t="n"/>
      <c r="BZ322" s="12" t="n"/>
      <c r="CA322" s="12" t="n"/>
      <c r="CB322" s="12" t="n"/>
      <c r="CC322" s="12" t="n"/>
      <c r="CD322" s="12" t="n"/>
      <c r="CE322" s="12" t="n"/>
      <c r="CF322" s="12" t="n"/>
      <c r="CG322" s="12" t="n"/>
      <c r="CH322" s="12" t="n"/>
      <c r="CI322" s="12" t="n"/>
      <c r="CJ322" s="12" t="n"/>
      <c r="CK322" s="12" t="n"/>
      <c r="CL322" s="12" t="n"/>
      <c r="CM322" s="12" t="n"/>
      <c r="CN322" s="12" t="n"/>
      <c r="CO322" s="12" t="n"/>
      <c r="CP322" s="12" t="n"/>
      <c r="CQ322" s="12" t="n"/>
      <c r="CR322" s="12" t="n"/>
      <c r="CS322" s="12" t="n"/>
      <c r="CT322" s="12" t="n"/>
      <c r="CU322" s="12" t="n"/>
      <c r="CV322" s="12" t="n"/>
      <c r="CW322" s="12" t="n"/>
      <c r="CX322" s="12" t="n"/>
      <c r="CY322" s="12" t="n"/>
    </row>
    <row r="323">
      <c r="C323" s="15" t="inlineStr">
        <is>
          <t>Increases / (decreases) in debt</t>
        </is>
      </c>
      <c r="D323" s="12" t="n"/>
      <c r="E323" s="12" t="n"/>
      <c r="F323" s="12" t="n"/>
      <c r="G323" s="12" t="n"/>
      <c r="H323" s="12" t="n"/>
      <c r="I323" s="12" t="n"/>
      <c r="J323" s="12">
        <f>SUM(J226:J228,J231,J252,J249)-SUM(I226:I228,I231,I252,I249)</f>
        <v>-10.494</v>
      </c>
      <c r="K323" s="12">
        <f>SUM(K226:K228,K231,K252,K249)-SUM(J226:J228,J231,J252,J249)</f>
        <v>119.929</v>
      </c>
      <c r="L323" s="12">
        <f>SUM(L226:L228,L231,L252,L249)-SUM(K226:K228,K231,K252,K249)</f>
        <v>1.00400000000002</v>
      </c>
      <c r="M323" s="12" t="n"/>
      <c r="N323" s="12">
        <f>SUM(N226:N228,N231,N252,N249)-SUM(M226:M228,M231,M252,M249)</f>
        <v>-0.365999999999985</v>
      </c>
      <c r="O323" s="12">
        <f>SUM(O226:O228,O231,O252,O249)-SUM(N226:N228,N231,N252,N249)</f>
        <v>8.11000000000001</v>
      </c>
      <c r="P323" s="12">
        <f>SUM(P226:P228,P231,P252,P249)-SUM(O226:O228,O231,O252,O249)</f>
        <v>57.049</v>
      </c>
      <c r="Q323" s="12">
        <f>SUM(Q226:Q228,Q231,Q252,Q249)-SUM(P226:P228,P231,P252,P249)</f>
        <v>24.967</v>
      </c>
      <c r="R323" s="12">
        <f>SUM(N323:Q323)</f>
        <v>89.76</v>
      </c>
      <c r="S323" s="12">
        <f>SUM(S226:S228,S231,S252,S249)-SUM(R226:R228,R231,R252,R249)</f>
        <v>-6.471</v>
      </c>
      <c r="T323" s="12">
        <f>SUM(T226:T228,T231,T252,T249)-SUM(S226:S228,S231,S252,S249)</f>
        <v>25.09</v>
      </c>
      <c r="U323" s="12">
        <f>SUM(U226:U228,U231,U252,U249)-SUM(T226:T228,T231,T252,T249)</f>
        <v>146.112</v>
      </c>
      <c r="V323" s="12">
        <f>SUM(V226:V228,V231,V252,V249)-SUM(U226:U228,U231,U252,U249)</f>
        <v>-32.3670000000001</v>
      </c>
      <c r="W323" s="12">
        <f>SUM(S323:V323)</f>
        <v>132.364</v>
      </c>
      <c r="X323" s="12">
        <f>SUM(X226:X228,X231,X252,X249)-SUM(W226:W228,W231,W252,W249)</f>
        <v>-11.462</v>
      </c>
      <c r="Y323" s="12">
        <f>SUM(Y226:Y228,Y231,Y252,Y249)-SUM(X226:X228,X231,X252,X249)</f>
        <v>478.848</v>
      </c>
      <c r="Z323" s="12">
        <f>SUM(Z226:Z228,Z231,Z252,Z249)-SUM(Y226:Y228,Y231,Y252,Y249)</f>
        <v>21.787</v>
      </c>
      <c r="AA323" s="12">
        <f>SUM(AA226:AA228,AA231,AA252,AA249)-SUM(Z226:Z228,Z231,Z252,Z249)</f>
        <v>-116.143</v>
      </c>
      <c r="AB323" s="12">
        <f>SUM(X323:AA323)</f>
        <v>373.03</v>
      </c>
      <c r="AC323" s="12">
        <f>SUM(AC226:AC228,AC231,AC252,AC249)-SUM(AB226:AB228,AB231,AB252,AB249)</f>
        <v>296.429</v>
      </c>
      <c r="AD323" s="12">
        <f>SUM(AD226:AD228,AD231,AD252,AD249)-SUM(AC226:AC228,AC231,AC252,AC249)</f>
        <v>20.3010000000002</v>
      </c>
      <c r="AE323" s="12">
        <f>SUM(AE226:AE228,AE231,AE252,AE249)-SUM(AD226:AD228,AD231,AD252,AD249)</f>
        <v>19.874</v>
      </c>
      <c r="AF323" s="12">
        <f>SUM(AF226:AF228,AF231,AF252,AF249)-SUM(AE226:AE228,AE231,AE252,AE249)</f>
        <v>151.901</v>
      </c>
      <c r="AG323" s="12">
        <f>SUM(AC323:AF323)</f>
        <v>488.505</v>
      </c>
      <c r="AH323" s="12">
        <f>SUM(AH226:AH228,AH231,AH252,AH249)-SUM(AG226:AG228,AG231,AG252,AG249)</f>
        <v>-124.471</v>
      </c>
      <c r="AI323" s="12">
        <f>SUM(AI226:AI228,AI231,AI252,AI249)-SUM(AH226:AH228,AH231,AH252,AH249)</f>
        <v>-7.26099999999997</v>
      </c>
      <c r="AJ323" s="12">
        <f>SUM(AJ226:AJ228,AJ231,AJ252,AJ249)-SUM(AI226:AI228,AI231,AI252,AI249)</f>
        <v>0</v>
      </c>
      <c r="AK323" s="12">
        <f>SUM(AK226:AK228,AK231,AK252,AK249)-SUM(AJ226:AJ228,AJ231,AJ252,AJ249)</f>
        <v>0</v>
      </c>
      <c r="AL323" s="12">
        <f>SUM(AH323:AK323)</f>
        <v>-131.732</v>
      </c>
      <c r="AM323" s="12">
        <f>SUM(AM226:AM228,AM231,AM252,AM249)-SUM(AL226:AL228,AL231,AL252,AL249)</f>
        <v>0</v>
      </c>
      <c r="AN323" s="12">
        <f>SUM(AN226:AN228,AN231,AN252,AN249)-SUM(AM226:AM228,AM231,AM252,AM249)</f>
        <v>0</v>
      </c>
      <c r="AO323" s="12">
        <f>SUM(AO226:AO228,AO231,AO252,AO249)-SUM(AN226:AN228,AN231,AN252,AN249)</f>
        <v>0</v>
      </c>
      <c r="AP323" s="12">
        <f>SUM(AP226:AP228,AP231,AP252,AP249)-SUM(AO226:AO228,AO231,AO252,AO249)</f>
        <v>0</v>
      </c>
      <c r="AQ323" s="12">
        <f>SUM(AM323:AP323)</f>
        <v>0</v>
      </c>
      <c r="AR323" s="12">
        <f>SUM(AR226:AR228,AR231,AR252,AR249)-SUM(AQ226:AQ228,AQ231,AQ252,AQ249)</f>
        <v>0</v>
      </c>
      <c r="AS323" s="12">
        <f>SUM(AS226:AS228,AS231,AS252,AS249)-SUM(AR226:AR228,AR231,AR252,AR249)</f>
        <v>0</v>
      </c>
      <c r="AT323" s="12">
        <f>SUM(AT226:AT228,AT231,AT252,AT249)-SUM(AS226:AS228,AS231,AS252,AS249)</f>
        <v>0</v>
      </c>
      <c r="AU323" s="12">
        <f>SUM(AU226:AU228,AU231,AU252,AU249)-SUM(AT226:AT228,AT231,AT252,AT249)</f>
        <v>0</v>
      </c>
      <c r="AV323" s="12">
        <f>SUM(AR323:AU323)</f>
        <v>0</v>
      </c>
      <c r="AW323" s="12">
        <f>SUM(AW226:AW228,AW231,AW252,AW249)-SUM(AV226:AV228,AV231,AV252,AV249)</f>
        <v>0</v>
      </c>
      <c r="AX323" s="12">
        <f>SUM(AX226:AX228,AX231,AX252,AX249)-SUM(AW226:AW228,AW231,AW252,AW249)</f>
        <v>0</v>
      </c>
      <c r="AY323" s="12">
        <f>SUM(AY226:AY228,AY231,AY252,AY249)-SUM(AX226:AX228,AX231,AX252,AX249)</f>
        <v>0</v>
      </c>
      <c r="AZ323" s="12">
        <f>SUM(AZ226:AZ228,AZ231,AZ252,AZ249)-SUM(AY226:AY228,AY231,AY252,AY249)</f>
        <v>0</v>
      </c>
      <c r="BA323" s="12">
        <f>SUM(AW323:AZ323)</f>
        <v>0</v>
      </c>
      <c r="BB323" s="12">
        <f>SUM(BB226:BB228,BB231,BB252,BB249)-SUM(BA226:BA228,BA231,BA252,BA249)</f>
        <v>0</v>
      </c>
      <c r="BC323" s="12">
        <f>SUM(BC226:BC228,BC231,BC252,BC249)-SUM(BB226:BB228,BB231,BB252,BB249)</f>
        <v>0</v>
      </c>
      <c r="BD323" s="12">
        <f>SUM(BD226:BD228,BD231,BD252,BD249)-SUM(BC226:BC228,BC231,BC252,BC249)</f>
        <v>0</v>
      </c>
      <c r="BE323" s="12">
        <f>SUM(BE226:BE228,BE231,BE252,BE249)-SUM(BD226:BD228,BD231,BD252,BD249)</f>
        <v>0</v>
      </c>
      <c r="BF323" s="12">
        <f>SUM(BB323:BE323)</f>
        <v>0</v>
      </c>
      <c r="BG323" s="12" t="n"/>
      <c r="BH323" s="12" t="n"/>
      <c r="BI323" s="12" t="n"/>
      <c r="BJ323" s="12" t="n"/>
      <c r="BK323" s="12" t="n"/>
      <c r="BL323" s="12" t="n"/>
      <c r="BM323" s="12" t="n"/>
      <c r="BN323" s="12" t="n"/>
      <c r="BO323" s="12" t="n"/>
      <c r="BP323" s="12" t="n"/>
      <c r="BQ323" s="12" t="n"/>
      <c r="BR323" s="12" t="n"/>
      <c r="BS323" s="12" t="n"/>
      <c r="BT323" s="12" t="n"/>
      <c r="BU323" s="12" t="n"/>
      <c r="BV323" s="12" t="n"/>
      <c r="BW323" s="12" t="n"/>
      <c r="BX323" s="12" t="n"/>
      <c r="BY323" s="12" t="n"/>
      <c r="BZ323" s="12" t="n"/>
      <c r="CA323" s="12" t="n"/>
      <c r="CB323" s="12" t="n"/>
      <c r="CC323" s="12" t="n"/>
      <c r="CD323" s="12" t="n"/>
      <c r="CE323" s="12" t="n"/>
      <c r="CF323" s="12" t="n"/>
      <c r="CG323" s="12" t="n"/>
      <c r="CH323" s="12" t="n"/>
      <c r="CI323" s="12" t="n"/>
      <c r="CJ323" s="12" t="n"/>
      <c r="CK323" s="12" t="n"/>
      <c r="CL323" s="12" t="n"/>
      <c r="CM323" s="12" t="n"/>
      <c r="CN323" s="12" t="n"/>
      <c r="CO323" s="12" t="n"/>
      <c r="CP323" s="12" t="n"/>
      <c r="CQ323" s="12" t="n"/>
      <c r="CR323" s="12" t="n"/>
      <c r="CS323" s="12" t="n"/>
      <c r="CT323" s="12" t="n"/>
      <c r="CU323" s="12" t="n"/>
      <c r="CV323" s="12" t="n"/>
      <c r="CW323" s="12" t="n"/>
      <c r="CX323" s="12" t="n"/>
      <c r="CY323" s="12" t="n"/>
      <c r="CZ323" s="12" t="n"/>
      <c r="DA323" s="12" t="n"/>
      <c r="DB323" s="12" t="n"/>
      <c r="DC323" s="12" t="n"/>
    </row>
    <row r="324">
      <c r="C324" s="14" t="inlineStr">
        <is>
          <t>Cash from financing</t>
        </is>
      </c>
      <c r="D324" s="12" t="n"/>
      <c r="E324" s="12" t="n"/>
      <c r="F324" s="12" t="n"/>
      <c r="G324" s="12" t="n"/>
      <c r="H324" s="12" t="n"/>
      <c r="I324" s="12" t="n"/>
      <c r="J324" s="12">
        <f>SUM(J316,J317,J318,J319,J320,J321,J322,J323)</f>
        <v>-89.775</v>
      </c>
      <c r="K324" s="12">
        <f>SUM(K316,K317,K318,K319,K320,K321,K322,K323)</f>
        <v>111.09615935</v>
      </c>
      <c r="L324" s="12">
        <f>SUM(L316,L317,L318,L319,L320,L321,L322,L323)</f>
        <v>-129.503</v>
      </c>
      <c r="M324" s="12" t="n"/>
      <c r="N324" s="12">
        <f>SUM(N316,N317,N318,N319,N320,N321,N322,N323)</f>
        <v>-9.90299999999998</v>
      </c>
      <c r="O324" s="12">
        <f>SUM(O316,O317,O318,O319,O320,O321,O322,O323)</f>
        <v>-80.725</v>
      </c>
      <c r="P324" s="12">
        <f>SUM(P316,P317,P318,P319,P320,P321,P322,P323)</f>
        <v>38.265</v>
      </c>
      <c r="Q324" s="12">
        <f>SUM(Q316,Q317,Q318,Q319,Q320,Q321,Q322,Q323)</f>
        <v>-66.8969999999999</v>
      </c>
      <c r="R324" s="12">
        <f>SUM(R316,R317,R318,R319,R320,R321,R322,R323)</f>
        <v>-119.26</v>
      </c>
      <c r="S324" s="12">
        <f>SUM(S316,S317,S318,S319,S320,S321,S322,S323)</f>
        <v>-8.62200000000001</v>
      </c>
      <c r="T324" s="12">
        <f>SUM(T316,T317,T318,T319,T320,T321,T322,T323)</f>
        <v>33.854</v>
      </c>
      <c r="U324" s="12">
        <f>SUM(U316,U317,U318,U319,U320,U321,U322,U323)</f>
        <v>-13.102</v>
      </c>
      <c r="V324" s="12">
        <f>SUM(V316,V317,V318,V319,V320,V321,V322,V323)</f>
        <v>-256.145</v>
      </c>
      <c r="W324" s="12">
        <f>SUM(W316,W317,W318,W319,W320,W321,W322,W323)</f>
        <v>-244.015</v>
      </c>
      <c r="X324" s="12">
        <f>SUM(X316,X317,X318,X319,X320,X321,X322,X323)</f>
        <v>-4.06999999999999</v>
      </c>
      <c r="Y324" s="12">
        <f>SUM(Y316,Y317,Y318,Y319,Y320,Y321,Y322,Y323)</f>
        <v>198.09373661</v>
      </c>
      <c r="Z324" s="12">
        <f>SUM(Z316,Z317,Z318,Z319,Z320,Z321,Z322,Z323)</f>
        <v>21.55</v>
      </c>
      <c r="AA324" s="12">
        <f>SUM(AA316,AA317,AA318,AA319,AA320,AA321,AA322,AA323)</f>
        <v>-228.796</v>
      </c>
      <c r="AB324" s="12">
        <f>SUM(AB316,AB317,AB318,AB319,AB320,AB321,AB322,AB323)</f>
        <v>-13.22226339</v>
      </c>
      <c r="AC324" s="12">
        <f>SUM(AC316,AC317,AC318,AC319,AC320,AC321,AC322,AC323)</f>
        <v>114.71</v>
      </c>
      <c r="AD324" s="12">
        <f>SUM(AD316,AD317,AD318,AD319,AD320,AD321,AD322,AD323)</f>
        <v>-30.0463417599997</v>
      </c>
      <c r="AE324" s="12">
        <f>SUM(AE316,AE317,AE318,AE319,AE320,AE321,AE322,AE323)</f>
        <v>-199.501</v>
      </c>
      <c r="AF324" s="12">
        <f>SUM(AF316,AF317,AF318,AF319,AF320,AF321,AF322,AF323)</f>
        <v>-125.363</v>
      </c>
      <c r="AG324" s="12">
        <f>SUM(AG316,AG317,AG318,AG319,AG320,AG321,AG322,AG323)</f>
        <v>-240.20034176</v>
      </c>
      <c r="AH324" s="12">
        <f>SUM(AH316,AH317,AH318,AH319,AH320,AH321,AH322,AH323)</f>
        <v>-245.741</v>
      </c>
      <c r="AI324" s="12">
        <f>SUM(AI316,AI317,AI318,AI319,AI320,AI321,AI322,AI323)</f>
        <v>-161.581</v>
      </c>
      <c r="AJ324" s="12">
        <f>SUM(AJ316,AJ317,AJ318,AJ319,AJ320,AJ321,AJ322,AJ323)</f>
        <v>0</v>
      </c>
      <c r="AK324" s="12">
        <f>SUM(AK316,AK317,AK318,AK319,AK320,AK321,AK322,AK323)</f>
        <v>0</v>
      </c>
      <c r="AL324" s="12">
        <f>SUM(AL316,AL317,AL318,AL319,AL320,AL321,AL322,AL323)</f>
        <v>-407.322</v>
      </c>
      <c r="AM324" s="12">
        <f>SUM(AM316,AM317,AM318,AM319,AM320,AM321,AM322,AM323)</f>
        <v>0</v>
      </c>
      <c r="AN324" s="12">
        <f>SUM(AN316,AN317,AN318,AN319,AN320,AN321,AN322,AN323)</f>
        <v>0</v>
      </c>
      <c r="AO324" s="12">
        <f>SUM(AO316,AO317,AO318,AO319,AO320,AO321,AO322,AO323)</f>
        <v>0</v>
      </c>
      <c r="AP324" s="12">
        <f>SUM(AP316,AP317,AP318,AP319,AP320,AP321,AP322,AP323)</f>
        <v>0</v>
      </c>
      <c r="AQ324" s="12">
        <f>SUM(AQ316,AQ317,AQ318,AQ319,AQ320,AQ321,AQ322,AQ323)</f>
        <v>0</v>
      </c>
      <c r="AR324" s="12">
        <f>SUM(AR316,AR317,AR318,AR319,AR320,AR321,AR322,AR323)</f>
        <v>0</v>
      </c>
      <c r="AS324" s="12">
        <f>SUM(AS316,AS317,AS318,AS319,AS320,AS321,AS322,AS323)</f>
        <v>0</v>
      </c>
      <c r="AT324" s="12">
        <f>SUM(AT316,AT317,AT318,AT319,AT320,AT321,AT322,AT323)</f>
        <v>0</v>
      </c>
      <c r="AU324" s="12">
        <f>SUM(AU316,AU317,AU318,AU319,AU320,AU321,AU322,AU323)</f>
        <v>0</v>
      </c>
      <c r="AV324" s="12">
        <f>SUM(AV316,AV317,AV318,AV319,AV320,AV321,AV322,AV323)</f>
        <v>0</v>
      </c>
      <c r="AW324" s="12">
        <f>SUM(AW316,AW317,AW318,AW319,AW320,AW321,AW322,AW323)</f>
        <v>0</v>
      </c>
      <c r="AX324" s="12">
        <f>SUM(AX316,AX317,AX318,AX319,AX320,AX321,AX322,AX323)</f>
        <v>0</v>
      </c>
      <c r="AY324" s="12">
        <f>SUM(AY316,AY317,AY318,AY319,AY320,AY321,AY322,AY323)</f>
        <v>0</v>
      </c>
      <c r="AZ324" s="12">
        <f>SUM(AZ316,AZ317,AZ318,AZ319,AZ320,AZ321,AZ322,AZ323)</f>
        <v>0</v>
      </c>
      <c r="BA324" s="12">
        <f>SUM(BA316,BA317,BA318,BA319,BA320,BA321,BA322,BA323)</f>
        <v>0</v>
      </c>
      <c r="BB324" s="12">
        <f>SUM(BB316,BB317,BB318,BB319,BB320,BB321,BB322,BB323)</f>
        <v>0</v>
      </c>
      <c r="BC324" s="12">
        <f>SUM(BC316,BC317,BC318,BC319,BC320,BC321,BC322,BC323)</f>
        <v>0</v>
      </c>
      <c r="BD324" s="12">
        <f>SUM(BD316,BD317,BD318,BD319,BD320,BD321,BD322,BD323)</f>
        <v>0</v>
      </c>
      <c r="BE324" s="12">
        <f>SUM(BE316,BE317,BE318,BE319,BE320,BE321,BE322,BE323)</f>
        <v>0</v>
      </c>
      <c r="BF324" s="12">
        <f>SUM(BF316,BF317,BF318,BF319,BF320,BF321,BF322,BF323)</f>
        <v>0</v>
      </c>
      <c r="BG324" s="12" t="n"/>
      <c r="BH324" s="12" t="n"/>
      <c r="BI324" s="12" t="n"/>
      <c r="BJ324" s="12" t="n"/>
      <c r="BK324" s="12" t="n"/>
      <c r="BL324" s="12" t="n"/>
      <c r="BM324" s="12" t="n"/>
      <c r="BN324" s="12" t="n"/>
      <c r="BO324" s="12" t="n"/>
      <c r="BP324" s="12" t="n"/>
      <c r="BQ324" s="12" t="n"/>
      <c r="BR324" s="12" t="n"/>
      <c r="BS324" s="12" t="n"/>
      <c r="BT324" s="12" t="n"/>
      <c r="BU324" s="12" t="n"/>
      <c r="BV324" s="12" t="n"/>
      <c r="BW324" s="12" t="n"/>
      <c r="BX324" s="12" t="n"/>
      <c r="BY324" s="12" t="n"/>
      <c r="BZ324" s="12" t="n"/>
      <c r="CA324" s="12" t="n"/>
      <c r="CB324" s="12" t="n"/>
      <c r="CC324" s="12" t="n"/>
      <c r="CD324" s="12" t="n"/>
      <c r="CE324" s="12" t="n"/>
      <c r="CF324" s="12" t="n"/>
      <c r="CG324" s="12" t="n"/>
      <c r="CH324" s="12" t="n"/>
      <c r="CI324" s="12" t="n"/>
      <c r="CJ324" s="12" t="n"/>
      <c r="CK324" s="12" t="n"/>
      <c r="CL324" s="12" t="n"/>
      <c r="CM324" s="12" t="n"/>
      <c r="CN324" s="12" t="n"/>
      <c r="CO324" s="12" t="n"/>
      <c r="CP324" s="12" t="n"/>
      <c r="CQ324" s="12" t="n"/>
      <c r="CR324" s="12" t="n"/>
      <c r="CS324" s="12" t="n"/>
      <c r="CT324" s="12" t="n"/>
      <c r="CU324" s="12" t="n"/>
      <c r="CV324" s="12" t="n"/>
      <c r="CW324" s="12" t="n"/>
      <c r="CX324" s="12" t="n"/>
      <c r="CY324" s="12" t="n"/>
    </row>
    <row r="325">
      <c r="C325" s="14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  <c r="AL325" s="12" t="n"/>
      <c r="AM325" s="12" t="n"/>
      <c r="AN325" s="12" t="n"/>
      <c r="AO325" s="12" t="n"/>
      <c r="AP325" s="12" t="n"/>
      <c r="AQ325" s="12" t="n"/>
      <c r="AR325" s="12" t="n"/>
      <c r="AS325" s="12" t="n"/>
      <c r="AT325" s="12" t="n"/>
      <c r="AU325" s="12" t="n"/>
      <c r="AV325" s="12" t="n"/>
      <c r="AW325" s="12" t="n"/>
      <c r="AX325" s="12" t="n"/>
      <c r="AY325" s="12" t="n"/>
      <c r="AZ325" s="12" t="n"/>
      <c r="BA325" s="12" t="n"/>
      <c r="BB325" s="12" t="n"/>
      <c r="BC325" s="12" t="n"/>
      <c r="BD325" s="12" t="n"/>
      <c r="BE325" s="12" t="n"/>
      <c r="BF325" s="12" t="n"/>
      <c r="BG325" s="12" t="n"/>
      <c r="BH325" s="12" t="n"/>
      <c r="BI325" s="12" t="n"/>
      <c r="BJ325" s="12" t="n"/>
      <c r="BK325" s="12" t="n"/>
      <c r="BL325" s="12" t="n"/>
      <c r="BM325" s="12" t="n"/>
      <c r="BN325" s="12" t="n"/>
      <c r="BO325" s="12" t="n"/>
      <c r="BP325" s="12" t="n"/>
      <c r="BQ325" s="12" t="n"/>
      <c r="BR325" s="12" t="n"/>
      <c r="BS325" s="12" t="n"/>
      <c r="BT325" s="12" t="n"/>
      <c r="BU325" s="12" t="n"/>
      <c r="BV325" s="12" t="n"/>
      <c r="BW325" s="12" t="n"/>
      <c r="BX325" s="12" t="n"/>
      <c r="BY325" s="12" t="n"/>
      <c r="BZ325" s="12" t="n"/>
      <c r="CA325" s="12" t="n"/>
      <c r="CB325" s="12" t="n"/>
      <c r="CC325" s="12" t="n"/>
      <c r="CD325" s="12" t="n"/>
      <c r="CE325" s="12" t="n"/>
      <c r="CF325" s="12" t="n"/>
      <c r="CG325" s="12" t="n"/>
      <c r="CH325" s="12" t="n"/>
      <c r="CI325" s="12" t="n"/>
      <c r="CJ325" s="12" t="n"/>
      <c r="CK325" s="12" t="n"/>
      <c r="CL325" s="12" t="n"/>
      <c r="CM325" s="12" t="n"/>
      <c r="CN325" s="12" t="n"/>
      <c r="CO325" s="12" t="n"/>
      <c r="CP325" s="12" t="n"/>
      <c r="CQ325" s="12" t="n"/>
      <c r="CR325" s="12" t="n"/>
      <c r="CS325" s="12" t="n"/>
      <c r="CT325" s="12" t="n"/>
      <c r="CU325" s="12" t="n"/>
      <c r="CV325" s="12" t="n"/>
      <c r="CW325" s="12" t="n"/>
      <c r="CX325" s="12" t="n"/>
      <c r="CY325" s="12" t="n"/>
    </row>
    <row r="326">
      <c r="C326" s="14" t="inlineStr">
        <is>
          <t>Others / cash reconciliation plug</t>
        </is>
      </c>
      <c r="D326" s="12" t="n"/>
      <c r="E326" s="12" t="n"/>
      <c r="F326" s="12" t="n"/>
      <c r="G326" s="12" t="n"/>
      <c r="H326" s="12" t="n"/>
      <c r="I326" s="12" t="n"/>
      <c r="J326" s="12">
        <f>J158-I158-SUM(J307,J314,J324)</f>
        <v>0</v>
      </c>
      <c r="K326" s="12">
        <f>K158-J158-SUM(K307,K314,K324)</f>
        <v>0</v>
      </c>
      <c r="L326" s="12">
        <f>L158-K158-SUM(L307,L314,L324)</f>
        <v>0</v>
      </c>
      <c r="M326" s="12" t="n"/>
      <c r="N326" s="12">
        <f>N158-M158-SUM(N307,N314,N324)</f>
        <v>0</v>
      </c>
      <c r="O326" s="12">
        <f>O158-N158-SUM(O307,O314,O324)</f>
        <v>0</v>
      </c>
      <c r="P326" s="12">
        <f>P158-O158-SUM(P307,P314,P324)</f>
        <v>1.70530256582424e-13</v>
      </c>
      <c r="Q326" s="12">
        <f>Q158-P158-SUM(Q307,Q314,Q324)</f>
        <v>0</v>
      </c>
      <c r="R326" s="12">
        <f>SUM(N326:Q326)</f>
        <v>1.70530256582424e-13</v>
      </c>
      <c r="S326" s="12">
        <f>S158-R158-SUM(S307,S314,S324)</f>
        <v>0</v>
      </c>
      <c r="T326" s="12">
        <f>T158-S158-SUM(T307,T314,T324)</f>
        <v>0</v>
      </c>
      <c r="U326" s="12">
        <f>U158-T158-SUM(U307,U314,U324)</f>
        <v>0</v>
      </c>
      <c r="V326" s="12">
        <f>V158-U158-SUM(V307,V314,V324)</f>
        <v>0</v>
      </c>
      <c r="W326" s="12">
        <f>SUM(S326:V326)</f>
        <v>0</v>
      </c>
      <c r="X326" s="12">
        <f>X158-W158-SUM(X307,X314,X324)</f>
        <v>1.63424829224823e-13</v>
      </c>
      <c r="Y326" s="12">
        <f>Y158-X158-SUM(Y307,Y314,Y324)</f>
        <v>0</v>
      </c>
      <c r="Z326" s="12">
        <f>Z158-Y158-SUM(Z307,Z314,Z324)</f>
        <v>0</v>
      </c>
      <c r="AA326" s="12">
        <f>AA158-Z158-SUM(AA307,AA314,AA324)</f>
        <v>2.8421709430404e-13</v>
      </c>
      <c r="AB326" s="12">
        <f>SUM(X326:AA326)</f>
        <v>4.47641923528863e-13</v>
      </c>
      <c r="AC326" s="12">
        <f>AC158-AB158-SUM(AC307,AC314,AC324)</f>
        <v>0</v>
      </c>
      <c r="AD326" s="12">
        <f>AD158-AC158-SUM(AD307,AD314,AD324)</f>
        <v>-4.9737991503207e-13</v>
      </c>
      <c r="AE326" s="12">
        <f>AE158-AD158-SUM(AE307,AE314,AE324)</f>
        <v>0</v>
      </c>
      <c r="AF326" s="12">
        <f>AF158-AE158-SUM(AF307,AF314,AF324)</f>
        <v>4.9737991503207e-13</v>
      </c>
      <c r="AG326" s="12">
        <f>SUM(AC326:AF326)</f>
        <v>0</v>
      </c>
      <c r="AH326" s="12">
        <f>AH158-AG158-SUM(AH307,AH314,AH324)</f>
        <v>1.4210854715202e-13</v>
      </c>
      <c r="AI326" s="12">
        <f>AI158-AH158-SUM(AI307,AI314,AI324)</f>
        <v>0</v>
      </c>
      <c r="AJ326" s="12">
        <f>AJ158-AI158-SUM(AJ307,AJ314,AJ324)</f>
        <v>0</v>
      </c>
      <c r="AK326" s="12">
        <f>AK158-AJ158-SUM(AK307,AK314,AK324)</f>
        <v>1.81898940354586e-12</v>
      </c>
      <c r="AL326" s="12">
        <f>SUM(AH326:AK326)</f>
        <v>1.96109795069788e-12</v>
      </c>
      <c r="AM326" s="12">
        <f>AM158-AL158-SUM(AM307,AM314,AM324)</f>
        <v>-1.60582658281783e-12</v>
      </c>
      <c r="AN326" s="12">
        <f>AN158-AM158-SUM(AN307,AN314,AN324)</f>
        <v>0</v>
      </c>
      <c r="AO326" s="12">
        <f>AO158-AN158-SUM(AO307,AO314,AO324)</f>
        <v>4.54747350886464e-13</v>
      </c>
      <c r="AP326" s="12">
        <f>AP158-AO158-SUM(AP307,AP314,AP324)</f>
        <v>0</v>
      </c>
      <c r="AQ326" s="12">
        <f>SUM(AM326:AP326)</f>
        <v>-1.15107923193136e-12</v>
      </c>
      <c r="AR326" s="12">
        <f>AR158-AQ158-SUM(AR307,AR314,AR324)</f>
        <v>0</v>
      </c>
      <c r="AS326" s="12">
        <f>AS158-AR158-SUM(AS307,AS314,AS324)</f>
        <v>0</v>
      </c>
      <c r="AT326" s="12">
        <f>AT158-AS158-SUM(AT307,AT314,AT324)</f>
        <v>-1.64845914696343e-12</v>
      </c>
      <c r="AU326" s="12">
        <f>AU158-AT158-SUM(AU307,AU314,AU324)</f>
        <v>0</v>
      </c>
      <c r="AV326" s="12">
        <f>SUM(AR326:AU326)</f>
        <v>-1.64845914696343e-12</v>
      </c>
      <c r="AW326" s="12">
        <f>AW158-AV158-SUM(AW307,AW314,AW324)</f>
        <v>0</v>
      </c>
      <c r="AX326" s="12">
        <f>AX158-AW158-SUM(AX307,AX314,AX324)</f>
        <v>0</v>
      </c>
      <c r="AY326" s="12">
        <f>AY158-AX158-SUM(AY307,AY314,AY324)</f>
        <v>0</v>
      </c>
      <c r="AZ326" s="12">
        <f>AZ158-AY158-SUM(AZ307,AZ314,AZ324)</f>
        <v>0</v>
      </c>
      <c r="BA326" s="12">
        <f>SUM(AW326:AZ326)</f>
        <v>0</v>
      </c>
      <c r="BB326" s="12">
        <f>BB158-BA158-SUM(BB307,BB314,BB324)</f>
        <v>0</v>
      </c>
      <c r="BC326" s="12">
        <f>BC158-BB158-SUM(BC307,BC314,BC324)</f>
        <v>0</v>
      </c>
      <c r="BD326" s="12">
        <f>BD158-BC158-SUM(BD307,BD314,BD324)</f>
        <v>0</v>
      </c>
      <c r="BE326" s="12">
        <f>BE158-BD158-SUM(BE307,BE314,BE324)</f>
        <v>0</v>
      </c>
      <c r="BF326" s="12">
        <f>SUM(BB326:BE326)</f>
        <v>0</v>
      </c>
      <c r="BG326" s="12" t="n"/>
      <c r="BH326" s="12" t="n"/>
      <c r="BI326" s="12" t="n"/>
      <c r="BJ326" s="12" t="n"/>
      <c r="BK326" s="12" t="n"/>
      <c r="BL326" s="12" t="n"/>
      <c r="BM326" s="12" t="n"/>
      <c r="BN326" s="12" t="n"/>
      <c r="BO326" s="12" t="n"/>
      <c r="BP326" s="12" t="n"/>
      <c r="BQ326" s="12" t="n"/>
      <c r="BR326" s="12" t="n"/>
      <c r="BS326" s="12" t="n"/>
      <c r="BT326" s="12" t="n"/>
      <c r="BU326" s="12" t="n"/>
      <c r="BV326" s="12" t="n"/>
      <c r="BW326" s="12" t="n"/>
      <c r="BX326" s="12" t="n"/>
      <c r="BY326" s="12" t="n"/>
      <c r="BZ326" s="12" t="n"/>
      <c r="CA326" s="12" t="n"/>
      <c r="CB326" s="12" t="n"/>
      <c r="CC326" s="12" t="n"/>
      <c r="CD326" s="12" t="n"/>
      <c r="CE326" s="12" t="n"/>
      <c r="CF326" s="12" t="n"/>
      <c r="CG326" s="12" t="n"/>
      <c r="CH326" s="12" t="n"/>
      <c r="CI326" s="12" t="n"/>
      <c r="CJ326" s="12" t="n"/>
      <c r="CK326" s="12" t="n"/>
      <c r="CL326" s="12" t="n"/>
      <c r="CM326" s="12" t="n"/>
      <c r="CN326" s="12" t="n"/>
      <c r="CO326" s="12" t="n"/>
      <c r="CP326" s="12" t="n"/>
      <c r="CQ326" s="12" t="n"/>
      <c r="CR326" s="12" t="n"/>
      <c r="CS326" s="12" t="n"/>
      <c r="CT326" s="12" t="n"/>
      <c r="CU326" s="12" t="n"/>
      <c r="CV326" s="12" t="n"/>
      <c r="CW326" s="12" t="n"/>
      <c r="CX326" s="12" t="n"/>
      <c r="CY326" s="12" t="n"/>
    </row>
    <row r="327">
      <c r="C327" s="14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2" t="n"/>
      <c r="AK327" s="12" t="n"/>
      <c r="AL327" s="12" t="n"/>
      <c r="AM327" s="12" t="n"/>
      <c r="AN327" s="12" t="n"/>
      <c r="AO327" s="12" t="n"/>
      <c r="AP327" s="12" t="n"/>
      <c r="AQ327" s="12" t="n"/>
      <c r="AR327" s="12" t="n"/>
      <c r="AS327" s="12" t="n"/>
      <c r="AT327" s="12" t="n"/>
      <c r="AU327" s="12" t="n"/>
      <c r="AV327" s="12" t="n"/>
      <c r="AW327" s="12" t="n"/>
      <c r="AX327" s="12" t="n"/>
      <c r="AY327" s="12" t="n"/>
      <c r="AZ327" s="12" t="n"/>
      <c r="BA327" s="12" t="n"/>
      <c r="BB327" s="12" t="n"/>
      <c r="BC327" s="12" t="n"/>
      <c r="BD327" s="12" t="n"/>
      <c r="BE327" s="12" t="n"/>
      <c r="BF327" s="12" t="n"/>
      <c r="BG327" s="12" t="n"/>
      <c r="BH327" s="12" t="n"/>
      <c r="BI327" s="12" t="n"/>
      <c r="BJ327" s="12" t="n"/>
      <c r="BK327" s="12" t="n"/>
      <c r="BL327" s="12" t="n"/>
      <c r="BM327" s="12" t="n"/>
      <c r="BN327" s="12" t="n"/>
      <c r="BO327" s="12" t="n"/>
      <c r="BP327" s="12" t="n"/>
      <c r="BQ327" s="12" t="n"/>
      <c r="BR327" s="12" t="n"/>
      <c r="BS327" s="12" t="n"/>
      <c r="BT327" s="12" t="n"/>
      <c r="BU327" s="12" t="n"/>
      <c r="BV327" s="12" t="n"/>
      <c r="BW327" s="12" t="n"/>
      <c r="BX327" s="12" t="n"/>
      <c r="BY327" s="12" t="n"/>
      <c r="BZ327" s="12" t="n"/>
      <c r="CA327" s="12" t="n"/>
      <c r="CB327" s="12" t="n"/>
      <c r="CC327" s="12" t="n"/>
      <c r="CD327" s="12" t="n"/>
      <c r="CE327" s="12" t="n"/>
      <c r="CF327" s="12" t="n"/>
      <c r="CG327" s="12" t="n"/>
      <c r="CH327" s="12" t="n"/>
      <c r="CI327" s="12" t="n"/>
      <c r="CJ327" s="12" t="n"/>
      <c r="CK327" s="12" t="n"/>
      <c r="CL327" s="12" t="n"/>
      <c r="CM327" s="12" t="n"/>
      <c r="CN327" s="12" t="n"/>
      <c r="CO327" s="12" t="n"/>
      <c r="CP327" s="12" t="n"/>
      <c r="CQ327" s="12" t="n"/>
      <c r="CR327" s="12" t="n"/>
      <c r="CS327" s="12" t="n"/>
      <c r="CT327" s="12" t="n"/>
      <c r="CU327" s="12" t="n"/>
      <c r="CV327" s="12" t="n"/>
      <c r="CW327" s="12" t="n"/>
      <c r="CX327" s="12" t="n"/>
      <c r="CY327" s="12" t="n"/>
    </row>
    <row r="328">
      <c r="C328" s="14" t="inlineStr">
        <is>
          <t>Total increase/decrease of cash</t>
        </is>
      </c>
      <c r="D328" s="12" t="n"/>
      <c r="E328" s="12" t="n"/>
      <c r="F328" s="12" t="n"/>
      <c r="G328" s="12" t="n"/>
      <c r="H328" s="12" t="n"/>
      <c r="I328" s="12" t="n"/>
      <c r="J328" s="12">
        <f>SUM(J307,J314,J324,J326)</f>
        <v>55.3430000000001</v>
      </c>
      <c r="K328" s="12">
        <f>SUM(K307,K314,K324,K326)</f>
        <v>62.94</v>
      </c>
      <c r="L328" s="12">
        <f>SUM(L307,L314,L324,L326)</f>
        <v>39.56</v>
      </c>
      <c r="M328" s="12" t="n"/>
      <c r="N328" s="12">
        <f>SUM(N307,N314,N324,N326)</f>
        <v>8.08099999999999</v>
      </c>
      <c r="O328" s="12">
        <f>SUM(O307,O314,O324,O326)</f>
        <v>77.4090000000002</v>
      </c>
      <c r="P328" s="12">
        <f>SUM(P307,P314,P324,P326)</f>
        <v>-45.069</v>
      </c>
      <c r="Q328" s="12">
        <f>SUM(Q307,Q314,Q324,Q326)</f>
        <v>154.518</v>
      </c>
      <c r="R328" s="12">
        <f>SUM(N328:Q328)</f>
        <v>194.939</v>
      </c>
      <c r="S328" s="12">
        <f>SUM(S307,S314,S324,S326)</f>
        <v>-59.6029999999999</v>
      </c>
      <c r="T328" s="12">
        <f>SUM(T307,T314,T324,T326)</f>
        <v>105.567</v>
      </c>
      <c r="U328" s="12">
        <f>SUM(U307,U314,U324,U326)</f>
        <v>273.685</v>
      </c>
      <c r="V328" s="12">
        <f>SUM(V307,V314,V324,V326)</f>
        <v>-116.806</v>
      </c>
      <c r="W328" s="12">
        <f>SUM(S328:V328)</f>
        <v>202.843</v>
      </c>
      <c r="X328" s="12">
        <f>SUM(X307,X314,X324,X326)</f>
        <v>19.399</v>
      </c>
      <c r="Y328" s="12">
        <f>SUM(Y307,Y314,Y324,Y326)</f>
        <v>546.352</v>
      </c>
      <c r="Z328" s="12">
        <f>SUM(Z307,Z314,Z324,Z326)</f>
        <v>-132.805</v>
      </c>
      <c r="AA328" s="12">
        <f>SUM(AA307,AA314,AA324,AA326)</f>
        <v>-8.97899999999981</v>
      </c>
      <c r="AB328" s="12">
        <f>SUM(X328:AA328)</f>
        <v>423.967</v>
      </c>
      <c r="AC328" s="12">
        <f>SUM(AC307,AC314,AC324,AC326)</f>
        <v>127.57</v>
      </c>
      <c r="AD328" s="12">
        <f>SUM(AD307,AD314,AD324,AD326)</f>
        <v>-12.931</v>
      </c>
      <c r="AE328" s="12">
        <f>SUM(AE307,AE314,AE324,AE326)</f>
        <v>242.328</v>
      </c>
      <c r="AF328" s="12">
        <f>SUM(AF307,AF314,AF324,AF326)</f>
        <v>17.7339999999999</v>
      </c>
      <c r="AG328" s="12">
        <f>SUM(AC328:AF328)</f>
        <v>374.701</v>
      </c>
      <c r="AH328" s="12">
        <f>SUM(AH307,AH314,AH324,AH326)</f>
        <v>-33.627</v>
      </c>
      <c r="AI328" s="12">
        <f>SUM(AI307,AI314,AI324,AI326)</f>
        <v>-123.604</v>
      </c>
      <c r="AJ328" s="12">
        <f>SUM(AJ307,AJ314,AJ324,AJ326)</f>
        <v>67.0763869273301</v>
      </c>
      <c r="AK328" s="12">
        <f>SUM(AK307,AK314,AK324,AK326)</f>
        <v>494.223446719968</v>
      </c>
      <c r="AL328" s="12">
        <f>SUM(AH328:AK328)</f>
        <v>404.068833647298</v>
      </c>
      <c r="AM328" s="12">
        <f>SUM(AM307,AM314,AM324,AM326)</f>
        <v>-114.55296218491</v>
      </c>
      <c r="AN328" s="12">
        <f>SUM(AN307,AN314,AN324,AN326)</f>
        <v>448.387527729506</v>
      </c>
      <c r="AO328" s="12">
        <f>SUM(AO307,AO314,AO324,AO326)</f>
        <v>120.114059825861</v>
      </c>
      <c r="AP328" s="12">
        <f>SUM(AP307,AP314,AP324,AP326)</f>
        <v>776.33591774968</v>
      </c>
      <c r="AQ328" s="12">
        <f>SUM(AM328:AP328)</f>
        <v>1230.28454312014</v>
      </c>
      <c r="AR328" s="12">
        <f>SUM(AR307,AR314,AR324,AR326)</f>
        <v>86.3715339886027</v>
      </c>
      <c r="AS328" s="12">
        <f>SUM(AS307,AS314,AS324,AS326)</f>
        <v>722.266119047754</v>
      </c>
      <c r="AT328" s="12">
        <f>SUM(AT307,AT314,AT324,AT326)</f>
        <v>421.236366973007</v>
      </c>
      <c r="AU328" s="12">
        <f>SUM(AU307,AU314,AU324,AU326)</f>
        <v>1392.03386845863</v>
      </c>
      <c r="AV328" s="12">
        <f>SUM(AR328:AU328)</f>
        <v>2621.907888468</v>
      </c>
      <c r="AW328" s="12">
        <f>SUM(AW307,AW314,AW324,AW326)</f>
        <v>506.823131043883</v>
      </c>
      <c r="AX328" s="12">
        <f>SUM(AX307,AX314,AX324,AX326)</f>
        <v>1683.29224424735</v>
      </c>
      <c r="AY328" s="12">
        <f>SUM(AY307,AY314,AY324,AY326)</f>
        <v>1387.60956436282</v>
      </c>
      <c r="AZ328" s="12">
        <f>SUM(AZ307,AZ314,AZ324,AZ326)</f>
        <v>2964.44987385703</v>
      </c>
      <c r="BA328" s="12">
        <f>SUM(AW328:AZ328)</f>
        <v>6542.17481351107</v>
      </c>
      <c r="BB328" s="12">
        <f>SUM(BB307,BB314,BB324,BB326)</f>
        <v>2166.94226066493</v>
      </c>
      <c r="BC328" s="12">
        <f>SUM(BC307,BC314,BC324,BC326)</f>
        <v>4177.70017491099</v>
      </c>
      <c r="BD328" s="12">
        <f>SUM(BD307,BD314,BD324,BD326)</f>
        <v>4422.01829253062</v>
      </c>
      <c r="BE328" s="12">
        <f>SUM(BE307,BE314,BE324,BE326)</f>
        <v>7376.37102915739</v>
      </c>
      <c r="BF328" s="12">
        <f>SUM(BB328:BE328)</f>
        <v>18143.0317572639</v>
      </c>
      <c r="BG328" s="12" t="n"/>
      <c r="BH328" s="12" t="n"/>
      <c r="BI328" s="12" t="n"/>
      <c r="BJ328" s="12" t="n"/>
      <c r="BK328" s="12" t="n"/>
      <c r="BL328" s="12" t="n"/>
      <c r="BM328" s="12" t="n"/>
      <c r="BN328" s="12" t="n"/>
      <c r="BO328" s="12" t="n"/>
      <c r="BP328" s="12" t="n"/>
      <c r="BQ328" s="12" t="n"/>
      <c r="BR328" s="12" t="n"/>
      <c r="BS328" s="12" t="n"/>
      <c r="BT328" s="12" t="n"/>
      <c r="BU328" s="12" t="n"/>
      <c r="BV328" s="12" t="n"/>
      <c r="BW328" s="12" t="n"/>
      <c r="BX328" s="12" t="n"/>
      <c r="BY328" s="12" t="n"/>
      <c r="BZ328" s="12" t="n"/>
      <c r="CA328" s="12" t="n"/>
      <c r="CB328" s="12" t="n"/>
      <c r="CC328" s="12" t="n"/>
      <c r="CD328" s="12" t="n"/>
      <c r="CE328" s="12" t="n"/>
      <c r="CF328" s="12" t="n"/>
      <c r="CG328" s="12" t="n"/>
      <c r="CH328" s="12" t="n"/>
      <c r="CI328" s="12" t="n"/>
      <c r="CJ328" s="12" t="n"/>
      <c r="CK328" s="12" t="n"/>
      <c r="CL328" s="12" t="n"/>
      <c r="CM328" s="12" t="n"/>
      <c r="CN328" s="12" t="n"/>
      <c r="CO328" s="12" t="n"/>
      <c r="CP328" s="12" t="n"/>
      <c r="CQ328" s="12" t="n"/>
      <c r="CR328" s="12" t="n"/>
      <c r="CS328" s="12" t="n"/>
      <c r="CT328" s="12" t="n"/>
      <c r="CU328" s="12" t="n"/>
      <c r="CV328" s="12" t="n"/>
      <c r="CW328" s="12" t="n"/>
      <c r="CX328" s="12" t="n"/>
      <c r="CY328" s="12" t="n"/>
    </row>
    <row r="329">
      <c r="C329" s="4" t="inlineStr">
        <is>
          <t>Check</t>
        </is>
      </c>
      <c r="E329" s="72" t="n"/>
      <c r="F329" s="72" t="n"/>
      <c r="G329" s="72" t="n"/>
      <c r="I329" s="72" t="str">
        <f>""</f>
        <v/>
      </c>
      <c r="J329" s="72">
        <f>J158-I158-J328</f>
        <v>0</v>
      </c>
      <c r="K329" s="72">
        <f>K158-J158-K328</f>
        <v>0</v>
      </c>
      <c r="L329" s="72">
        <f>L158-K158-L328</f>
        <v>0</v>
      </c>
      <c r="M329" s="4" t="str">
        <f>""</f>
        <v/>
      </c>
      <c r="N329" s="72">
        <f>N158-M158-N328</f>
        <v>0</v>
      </c>
      <c r="O329" s="72">
        <f>O158-N158-O328</f>
        <v>0</v>
      </c>
      <c r="P329" s="72">
        <f>P158-O158-P328</f>
        <v>0</v>
      </c>
      <c r="Q329" s="72">
        <f>Q158-P158-Q328</f>
        <v>0</v>
      </c>
      <c r="R329" s="4">
        <f>R158-M158-R328</f>
        <v>0</v>
      </c>
      <c r="S329" s="72">
        <f>S158-R158-S328</f>
        <v>0</v>
      </c>
      <c r="T329" s="72">
        <f>T158-S158-T328</f>
        <v>0</v>
      </c>
      <c r="U329" s="72">
        <f>U158-T158-U328</f>
        <v>0</v>
      </c>
      <c r="V329" s="72">
        <f>V158-U158-V328</f>
        <v>0</v>
      </c>
      <c r="W329" s="4">
        <f>W158-R158-W328</f>
        <v>0</v>
      </c>
      <c r="X329" s="72">
        <f>X158-W158-X328</f>
        <v>0</v>
      </c>
      <c r="Y329" s="72">
        <f>Y158-X158-Y328</f>
        <v>0</v>
      </c>
      <c r="Z329" s="72">
        <f>Z158-Y158-Z328</f>
        <v>0</v>
      </c>
      <c r="AA329" s="72">
        <f>AA158-Z158-AA328</f>
        <v>0</v>
      </c>
      <c r="AB329" s="4">
        <f>AB158-W158-AB328</f>
        <v>0</v>
      </c>
      <c r="AC329" s="72">
        <f>AC158-AB158-AC328</f>
        <v>0</v>
      </c>
      <c r="AD329" s="72">
        <f>AD158-AC158-AD328</f>
        <v>0</v>
      </c>
      <c r="AE329" s="72">
        <f>AE158-AD158-AE328</f>
        <v>0</v>
      </c>
      <c r="AF329" s="72">
        <f>AF158-AE158-AF328</f>
        <v>0</v>
      </c>
      <c r="AG329" s="4">
        <f>AG158-AB158-AG328</f>
        <v>0</v>
      </c>
      <c r="AH329" s="72">
        <f>AH158-AG158-AH328</f>
        <v>0</v>
      </c>
      <c r="AI329" s="72">
        <f>AI158-AH158-AI328</f>
        <v>0</v>
      </c>
      <c r="AJ329" s="72">
        <f>AJ158-AI158-AJ328</f>
        <v>0</v>
      </c>
      <c r="AK329" s="72">
        <f>AK158-AJ158-AK328</f>
        <v>0</v>
      </c>
      <c r="AL329" s="4">
        <f>AL158-AG158-AL328</f>
        <v>0</v>
      </c>
      <c r="AM329" s="72">
        <f>AM158-AL158-AM328</f>
        <v>0</v>
      </c>
      <c r="AN329" s="72">
        <f>AN158-AM158-AN328</f>
        <v>0</v>
      </c>
      <c r="AO329" s="72">
        <f>AO158-AN158-AO328</f>
        <v>0</v>
      </c>
      <c r="AP329" s="72">
        <f>AP158-AO158-AP328</f>
        <v>0</v>
      </c>
      <c r="AQ329" s="4">
        <f>AQ158-AL158-AQ328</f>
        <v>0</v>
      </c>
      <c r="AR329" s="72">
        <f>AR158-AQ158-AR328</f>
        <v>0</v>
      </c>
      <c r="AS329" s="72">
        <f>AS158-AR158-AS328</f>
        <v>0</v>
      </c>
      <c r="AT329" s="72">
        <f>AT158-AS158-AT328</f>
        <v>0</v>
      </c>
      <c r="AU329" s="72">
        <f>AU158-AT158-AU328</f>
        <v>0</v>
      </c>
      <c r="AV329" s="4">
        <f>AV158-AQ158-AV328</f>
        <v>0</v>
      </c>
      <c r="AW329" s="72">
        <f>AW158-AV158-AW328</f>
        <v>0</v>
      </c>
      <c r="AX329" s="72">
        <f>AX158-AW158-AX328</f>
        <v>0</v>
      </c>
      <c r="AY329" s="72">
        <f>AY158-AX158-AY328</f>
        <v>0</v>
      </c>
      <c r="AZ329" s="72">
        <f>AZ158-AY158-AZ328</f>
        <v>0</v>
      </c>
      <c r="BA329" s="4">
        <f>BA158-AV158-BA328</f>
        <v>0</v>
      </c>
      <c r="BB329" s="72">
        <f>BB158-BA158-BB328</f>
        <v>0</v>
      </c>
      <c r="BC329" s="72">
        <f>BC158-BB158-BC328</f>
        <v>0</v>
      </c>
      <c r="BD329" s="72">
        <f>BD158-BC158-BD328</f>
        <v>0</v>
      </c>
      <c r="BE329" s="72">
        <f>BE158-BD158-BE328</f>
        <v>0</v>
      </c>
      <c r="BF329" s="4">
        <f>BF158-BA158-BF328</f>
        <v>0</v>
      </c>
      <c r="BG329" s="72" t="n"/>
      <c r="BH329" s="72" t="n"/>
      <c r="BI329" s="72" t="n"/>
      <c r="BJ329" s="72" t="n"/>
      <c r="BL329" s="72" t="n"/>
      <c r="BM329" s="72" t="n"/>
      <c r="BN329" s="72" t="n"/>
      <c r="BO329" s="72" t="n"/>
      <c r="BQ329" s="72" t="n"/>
      <c r="BR329" s="72" t="n"/>
      <c r="BS329" s="72" t="n"/>
      <c r="BT329" s="72" t="n"/>
      <c r="BV329" s="72" t="n"/>
      <c r="BW329" s="72" t="n"/>
      <c r="BX329" s="72" t="n"/>
      <c r="BY329" s="72" t="n"/>
      <c r="CA329" s="72" t="n"/>
      <c r="CB329" s="72" t="n"/>
      <c r="CC329" s="72" t="n"/>
      <c r="CD329" s="72" t="n"/>
      <c r="CF329" s="72" t="n"/>
      <c r="CG329" s="72" t="n"/>
      <c r="CH329" s="72" t="n"/>
      <c r="CI329" s="72" t="n"/>
      <c r="CK329" s="72" t="n"/>
      <c r="CL329" s="72" t="n"/>
      <c r="CM329" s="72" t="n"/>
      <c r="CN329" s="72" t="n"/>
      <c r="CP329" s="72" t="n"/>
      <c r="CQ329" s="72" t="n"/>
      <c r="CR329" s="72" t="n"/>
      <c r="CS329" s="72" t="n"/>
      <c r="CU329" s="72" t="n"/>
      <c r="CV329" s="72" t="n"/>
      <c r="CW329" s="72" t="n"/>
      <c r="CX329" s="72" t="n"/>
    </row>
    <row r="330"/>
    <row r="331">
      <c r="C331" s="73" t="inlineStr">
        <is>
          <t>Ratio Analysis</t>
        </is>
      </c>
      <c r="D331" s="73" t="n"/>
      <c r="E331" s="73" t="n"/>
      <c r="F331" s="73" t="n"/>
      <c r="G331" s="73" t="n"/>
      <c r="H331" s="73" t="n"/>
      <c r="I331" s="73" t="n"/>
      <c r="J331" s="73" t="n"/>
      <c r="K331" s="73" t="n"/>
      <c r="L331" s="73" t="n"/>
      <c r="M331" s="73" t="n"/>
      <c r="N331" s="73" t="n"/>
      <c r="O331" s="73" t="n"/>
      <c r="P331" s="73" t="n"/>
      <c r="Q331" s="73" t="n"/>
      <c r="R331" s="73" t="n"/>
      <c r="S331" s="73" t="n"/>
      <c r="T331" s="73" t="n"/>
      <c r="U331" s="73" t="n"/>
      <c r="V331" s="73" t="n"/>
      <c r="W331" s="73" t="n"/>
      <c r="X331" s="73" t="n"/>
      <c r="Y331" s="73" t="n"/>
      <c r="Z331" s="73" t="n"/>
      <c r="AA331" s="73" t="n"/>
      <c r="AB331" s="73" t="n"/>
      <c r="AC331" s="73" t="n"/>
      <c r="AD331" s="73" t="n"/>
      <c r="AE331" s="73" t="n"/>
      <c r="AF331" s="73" t="n"/>
      <c r="AG331" s="73" t="n"/>
      <c r="AH331" s="73" t="n"/>
      <c r="AI331" s="73" t="n"/>
      <c r="AJ331" s="73" t="n"/>
      <c r="AK331" s="73" t="n"/>
      <c r="AL331" s="73" t="n"/>
      <c r="AM331" s="73" t="n"/>
      <c r="AN331" s="73" t="n"/>
      <c r="AO331" s="73" t="n"/>
      <c r="AP331" s="73" t="n"/>
      <c r="AQ331" s="73" t="n"/>
      <c r="AR331" s="73" t="n"/>
      <c r="AS331" s="73" t="n"/>
      <c r="AT331" s="73" t="n"/>
      <c r="AU331" s="73" t="n"/>
      <c r="AV331" s="73" t="n"/>
      <c r="AW331" s="73" t="n"/>
      <c r="AX331" s="73" t="n"/>
      <c r="AY331" s="73" t="n"/>
      <c r="AZ331" s="73" t="n"/>
      <c r="BA331" s="73" t="n"/>
      <c r="BB331" s="73" t="n"/>
      <c r="BC331" s="73" t="n"/>
      <c r="BD331" s="73" t="n"/>
      <c r="BE331" s="73" t="n"/>
      <c r="BF331" s="73" t="n"/>
      <c r="BG331" s="73" t="n"/>
      <c r="BH331" s="73" t="n"/>
      <c r="BI331" s="73" t="n"/>
      <c r="BJ331" s="73" t="n"/>
      <c r="BK331" s="73" t="n"/>
      <c r="BL331" s="73" t="n"/>
      <c r="BM331" s="73" t="n"/>
      <c r="BN331" s="73" t="n"/>
      <c r="BO331" s="73" t="n"/>
      <c r="BP331" s="73" t="n"/>
      <c r="BQ331" s="73" t="n"/>
      <c r="BR331" s="73" t="n"/>
      <c r="BS331" s="73" t="n"/>
      <c r="BT331" s="73" t="n"/>
      <c r="BU331" s="73" t="n"/>
      <c r="BV331" s="73" t="n"/>
      <c r="BW331" s="73" t="n"/>
      <c r="BX331" s="73" t="n"/>
      <c r="BY331" s="73" t="n"/>
      <c r="BZ331" s="73" t="n"/>
      <c r="CA331" s="73" t="n"/>
      <c r="CB331" s="73" t="n"/>
      <c r="CC331" s="73" t="n"/>
      <c r="CD331" s="73" t="n"/>
      <c r="CE331" s="73" t="n"/>
      <c r="CF331" s="73" t="n"/>
      <c r="CG331" s="73" t="n"/>
      <c r="CH331" s="73" t="n"/>
      <c r="CI331" s="73" t="n"/>
      <c r="CJ331" s="73" t="n"/>
      <c r="CK331" s="73" t="n"/>
      <c r="CL331" s="73" t="n"/>
      <c r="CM331" s="73" t="n"/>
      <c r="CN331" s="73" t="n"/>
      <c r="CO331" s="73" t="n"/>
      <c r="CP331" s="73" t="n"/>
      <c r="CQ331" s="73" t="n"/>
      <c r="CR331" s="73" t="n"/>
      <c r="CS331" s="73" t="n"/>
      <c r="CT331" s="73" t="n"/>
      <c r="CU331" s="73" t="n"/>
      <c r="CV331" s="73" t="n"/>
      <c r="CW331" s="73" t="n"/>
      <c r="CX331" s="73" t="n"/>
      <c r="CY331" s="73" t="n"/>
    </row>
    <row r="332"/>
    <row r="333" customFormat="1" s="74">
      <c r="C333" s="74" t="inlineStr">
        <is>
          <t>YEAR</t>
        </is>
      </c>
      <c r="D333">
        <f>IFERROR(D289,"")</f>
        <v>0</v>
      </c>
      <c r="E333" s="75">
        <f>IFERROR(E289,"")</f>
        <v>0</v>
      </c>
      <c r="F333" s="75">
        <f>IFERROR(F289,"")</f>
        <v>0</v>
      </c>
      <c r="G333" s="75">
        <f>IFERROR(G289,"")</f>
        <v>0</v>
      </c>
      <c r="H333" s="75">
        <f>IFERROR(H289,"")</f>
        <v>0</v>
      </c>
      <c r="I333" s="75" t="str">
        <f>IFERROR(I289,"")</f>
        <v>1Q21</v>
      </c>
      <c r="J333" s="75" t="str">
        <f>IFERROR(J289,"")</f>
        <v>2Q21</v>
      </c>
      <c r="K333" s="75" t="str">
        <f>IFERROR(K289,"")</f>
        <v>3Q21</v>
      </c>
      <c r="L333" s="75" t="str">
        <f>IFERROR(L289,"")</f>
        <v>4Q21</v>
      </c>
      <c r="M333" s="75">
        <f>IFERROR(M289,"")</f>
        <v>2021</v>
      </c>
      <c r="N333" s="75" t="str">
        <f>IFERROR(N289,"")</f>
        <v>1Q22</v>
      </c>
      <c r="O333" s="75" t="str">
        <f>IFERROR(O289,"")</f>
        <v>2Q22</v>
      </c>
      <c r="P333" s="75" t="str">
        <f>IFERROR(P289,"")</f>
        <v>3Q22</v>
      </c>
      <c r="Q333" s="75" t="str">
        <f>IFERROR(Q289,"")</f>
        <v>4Q22</v>
      </c>
      <c r="R333" s="75">
        <f>IFERROR(R289,"")</f>
        <v>2022</v>
      </c>
      <c r="S333" s="75" t="str">
        <f>IFERROR(S289,"")</f>
        <v>1Q23</v>
      </c>
      <c r="T333" s="75" t="str">
        <f>IFERROR(T289,"")</f>
        <v>2Q23</v>
      </c>
      <c r="U333" s="75" t="str">
        <f>IFERROR(U289,"")</f>
        <v>3Q23</v>
      </c>
      <c r="V333" s="75" t="str">
        <f>IFERROR(V289,"")</f>
        <v>4Q23</v>
      </c>
      <c r="W333" s="75">
        <f>IFERROR(W289,"")</f>
        <v>2023</v>
      </c>
      <c r="X333" s="75" t="str">
        <f>IFERROR(X289,"")</f>
        <v>1Q24</v>
      </c>
      <c r="Y333" s="75" t="str">
        <f>IFERROR(Y289,"")</f>
        <v>2Q24</v>
      </c>
      <c r="Z333" s="75" t="str">
        <f>IFERROR(Z289,"")</f>
        <v>3Q24</v>
      </c>
      <c r="AA333" s="75" t="str">
        <f>IFERROR(AA289,"")</f>
        <v>4Q24</v>
      </c>
      <c r="AB333" s="75">
        <f>IFERROR(AB289,"")</f>
        <v>2024</v>
      </c>
      <c r="AC333" s="75" t="str">
        <f>IFERROR(AC289,"")</f>
        <v>1Q25</v>
      </c>
      <c r="AD333" s="75" t="str">
        <f>IFERROR(AD289,"")</f>
        <v>2Q25</v>
      </c>
      <c r="AE333" s="75" t="str">
        <f>IFERROR(AE289,"")</f>
        <v>3Q25</v>
      </c>
      <c r="AF333" s="75" t="str">
        <f>IFERROR(AF289,"")</f>
        <v>4Q25</v>
      </c>
      <c r="AG333" s="75">
        <f>IFERROR(AG289,"")</f>
        <v>2025</v>
      </c>
      <c r="AH333" s="75" t="str">
        <f>IFERROR(AH289,"")</f>
        <v>1Q26</v>
      </c>
      <c r="AI333" s="75" t="str">
        <f>IFERROR(AI289,"")</f>
        <v>2Q26</v>
      </c>
      <c r="AJ333" s="75" t="str">
        <f>IFERROR(AJ289,"")</f>
        <v>3Q26</v>
      </c>
      <c r="AK333" s="75" t="str">
        <f>IFERROR(AK289,"")</f>
        <v>4Q26</v>
      </c>
      <c r="AL333" s="75">
        <f>IFERROR(AL289,"")</f>
        <v>2026</v>
      </c>
      <c r="AM333" s="75" t="str">
        <f>IFERROR(AM289,"")</f>
        <v>1Q27</v>
      </c>
      <c r="AN333" s="75" t="str">
        <f>IFERROR(AN289,"")</f>
        <v>2Q27</v>
      </c>
      <c r="AO333" s="75" t="str">
        <f>IFERROR(AO289,"")</f>
        <v>3Q27</v>
      </c>
      <c r="AP333" s="75" t="str">
        <f>IFERROR(AP289,"")</f>
        <v>4Q27</v>
      </c>
      <c r="AQ333" s="75">
        <f>IFERROR(AQ289,"")</f>
        <v>2027</v>
      </c>
      <c r="AR333" s="75" t="str">
        <f>IFERROR(AR289,"")</f>
        <v>1Q28</v>
      </c>
      <c r="AS333" s="75" t="str">
        <f>IFERROR(AS289,"")</f>
        <v>2Q28</v>
      </c>
      <c r="AT333" s="75" t="str">
        <f>IFERROR(AT289,"")</f>
        <v>3Q28</v>
      </c>
      <c r="AU333" s="75" t="str">
        <f>IFERROR(AU289,"")</f>
        <v>4Q28</v>
      </c>
      <c r="AV333" s="75">
        <f>IFERROR(AV289,"")</f>
        <v>2028</v>
      </c>
      <c r="AW333" s="75" t="str">
        <f>IFERROR(AW289,"")</f>
        <v>1Q29</v>
      </c>
      <c r="AX333" s="75" t="str">
        <f>IFERROR(AX289,"")</f>
        <v>2Q29</v>
      </c>
      <c r="AY333" s="75" t="str">
        <f>IFERROR(AY289,"")</f>
        <v>3Q29</v>
      </c>
      <c r="AZ333" s="75" t="str">
        <f>IFERROR(AZ289,"")</f>
        <v>4Q29</v>
      </c>
      <c r="BA333" s="75">
        <f>IFERROR(BA289,"")</f>
        <v>2029</v>
      </c>
      <c r="BB333" s="75" t="str">
        <f>IFERROR(BB289,"")</f>
        <v>1Q30</v>
      </c>
      <c r="BC333" s="75" t="str">
        <f>IFERROR(BC289,"")</f>
        <v>2Q30</v>
      </c>
      <c r="BD333" s="75" t="str">
        <f>IFERROR(BD289,"")</f>
        <v>3Q30</v>
      </c>
      <c r="BE333" s="75" t="str">
        <f>IFERROR(BE289,"")</f>
        <v>4Q30</v>
      </c>
      <c r="BF333" s="75">
        <f>IFERROR(BF289,"")</f>
        <v>2030</v>
      </c>
      <c r="BG333" s="75" t="n"/>
      <c r="BH333" s="75" t="n"/>
      <c r="BI333" s="75" t="n"/>
      <c r="BJ333" s="75" t="n"/>
      <c r="BK333" s="75" t="n"/>
      <c r="BL333" s="75" t="n"/>
      <c r="BM333" s="75" t="n"/>
      <c r="BN333" s="75" t="n"/>
      <c r="BO333" s="75" t="n"/>
      <c r="BP333" s="75" t="n"/>
      <c r="BQ333" s="75" t="n"/>
      <c r="BR333" s="75" t="n"/>
      <c r="BS333" s="75" t="n"/>
      <c r="BT333" s="75" t="n"/>
      <c r="BU333" s="75" t="n"/>
      <c r="BV333" s="75" t="n"/>
      <c r="BW333" s="75" t="n"/>
      <c r="BX333" s="75" t="n"/>
      <c r="BY333" s="75" t="n"/>
      <c r="BZ333" s="75" t="n"/>
      <c r="CA333" s="75" t="n"/>
      <c r="CB333" s="75" t="n"/>
      <c r="CC333" s="75" t="n"/>
      <c r="CD333" s="75" t="n"/>
      <c r="CE333" s="75" t="n"/>
      <c r="CF333" s="75" t="n"/>
      <c r="CG333" s="75" t="n"/>
      <c r="CH333" s="75" t="n"/>
      <c r="CI333" s="75" t="n"/>
      <c r="CJ333" s="75" t="n"/>
      <c r="CK333" s="75" t="n"/>
      <c r="CL333" s="75" t="n"/>
      <c r="CM333" s="75" t="n"/>
      <c r="CN333" s="75" t="n"/>
      <c r="CO333" s="75" t="n"/>
      <c r="CP333" s="75" t="n"/>
      <c r="CQ333" s="75" t="n"/>
      <c r="CR333" s="75" t="n"/>
      <c r="CS333" s="75" t="n"/>
      <c r="CT333" s="75" t="n"/>
      <c r="CU333" s="75" t="n"/>
      <c r="CV333" s="75" t="n"/>
      <c r="CW333" s="75" t="n"/>
      <c r="CX333" s="75" t="n"/>
      <c r="CY333" s="75" t="n"/>
    </row>
    <row r="334" customFormat="1" s="77">
      <c r="A334" s="76" t="n"/>
      <c r="B334" s="76" t="n"/>
      <c r="C334" s="74" t="inlineStr">
        <is>
          <t>GROWTH &amp; MARGINS</t>
        </is>
      </c>
    </row>
    <row r="335" customFormat="1" s="77">
      <c r="A335" s="76" t="n"/>
      <c r="B335" s="76" t="n"/>
      <c r="C335" s="77" t="inlineStr">
        <is>
          <t>NET REVENUE GROWTH (YoY)</t>
        </is>
      </c>
      <c r="E335" s="78" t="str">
        <f>IFERROR(E15/D15-1,"")</f>
        <v/>
      </c>
      <c r="F335" s="78" t="str">
        <f>IFERROR(F15/E15-1,"")</f>
        <v/>
      </c>
      <c r="G335" s="78" t="str">
        <f>IFERROR(G15/F15-1,"")</f>
        <v/>
      </c>
      <c r="H335" s="257" t="str">
        <f>""</f>
        <v/>
      </c>
      <c r="I335" s="257" t="str">
        <f>""</f>
        <v/>
      </c>
      <c r="J335" s="257" t="str">
        <f>""</f>
        <v/>
      </c>
      <c r="K335" s="257" t="str">
        <f>""</f>
        <v/>
      </c>
      <c r="L335" s="257" t="str">
        <f>""</f>
        <v/>
      </c>
      <c r="M335" s="257" t="str">
        <f>IFERROR(IF(AND(ISNUMBER(M15),ISNUMBER(H15),H15&lt;&gt;0),M15/H15-1,""),"")</f>
        <v/>
      </c>
      <c r="N335" s="257">
        <f>IFERROR(IF(AND(ISNUMBER(N15),ISNUMBER(I15),I15&lt;&gt;0),N15/I15-1,""),"")</f>
        <v>0.318574889621146</v>
      </c>
      <c r="O335" s="257">
        <f>IFERROR(IF(AND(ISNUMBER(O15),ISNUMBER(J15),J15&lt;&gt;0),O15/J15-1,""),"")</f>
        <v>0.335549711191416</v>
      </c>
      <c r="P335" s="257">
        <f>IFERROR(IF(AND(ISNUMBER(P15),ISNUMBER(K15),K15&lt;&gt;0),P15/K15-1,""),"")</f>
        <v>0.372898622033246</v>
      </c>
      <c r="Q335" s="257">
        <f>IFERROR(IF(AND(ISNUMBER(Q15),ISNUMBER(L15),L15&lt;&gt;0),Q15/L15-1,""),"")</f>
        <v>0.181699553970396</v>
      </c>
      <c r="R335" s="257">
        <f>IFERROR(IF(AND(ISNUMBER(R15),ISNUMBER(M15),M15&lt;&gt;0),R15/M15-1,""),"")</f>
        <v>0.298567415929123</v>
      </c>
      <c r="S335" s="257">
        <f>IFERROR(IF(AND(ISNUMBER(S15),ISNUMBER(N15),N15&lt;&gt;0),S15/N15-1,""),"")</f>
        <v>0.329885062609807</v>
      </c>
      <c r="T335" s="257">
        <f>IFERROR(IF(AND(ISNUMBER(T15),ISNUMBER(O15),O15&lt;&gt;0),T15/O15-1,""),"")</f>
        <v>0.207310093350343</v>
      </c>
      <c r="U335" s="257">
        <f>IFERROR(IF(AND(ISNUMBER(U15),ISNUMBER(P15),P15&lt;&gt;0),U15/P15-1,""),"")</f>
        <v>0.199813614741031</v>
      </c>
      <c r="V335" s="257">
        <f>IFERROR(IF(AND(ISNUMBER(V15),ISNUMBER(Q15),Q15&lt;&gt;0),V15/Q15-1,""),"")</f>
        <v>0.398151178856046</v>
      </c>
      <c r="W335" s="257">
        <f>IFERROR(IF(AND(ISNUMBER(W15),ISNUMBER(R15),R15&lt;&gt;0),W15/R15-1,""),"")</f>
        <v>0.27859817994466</v>
      </c>
      <c r="X335" s="257">
        <f>IFERROR(IF(AND(ISNUMBER(X15),ISNUMBER(S15),S15&lt;&gt;0),X15/S15-1,""),"")</f>
        <v>0.407468787607823</v>
      </c>
      <c r="Y335" s="257">
        <f>IFERROR(IF(AND(ISNUMBER(Y15),ISNUMBER(T15),T15&lt;&gt;0),Y15/T15-1,""),"")</f>
        <v>0.371474388041982</v>
      </c>
      <c r="Z335" s="257">
        <f>IFERROR(IF(AND(ISNUMBER(Z15),ISNUMBER(U15),U15&lt;&gt;0),Z15/U15-1,""),"")</f>
        <v>0.404320404748668</v>
      </c>
      <c r="AA335" s="257">
        <f>IFERROR(IF(AND(ISNUMBER(AA15),ISNUMBER(V15),V15&lt;&gt;0),AA15/V15-1,""),"")</f>
        <v>0.275229301277976</v>
      </c>
      <c r="AB335" s="257">
        <f>IFERROR(IF(AND(ISNUMBER(AB15),ISNUMBER(W15),W15&lt;&gt;0),AB15/W15-1,""),"")</f>
        <v>0.360386699060209</v>
      </c>
      <c r="AC335" s="257">
        <f>IFERROR(IF(AND(ISNUMBER(AC15),ISNUMBER(X15),X15&lt;&gt;0),AC15/X15-1,""),"")</f>
        <v>0.452364631673478</v>
      </c>
      <c r="AD335" s="257">
        <f>IFERROR(IF(AND(ISNUMBER(AD15),ISNUMBER(Y15),Y15&lt;&gt;0),AD15/Y15-1,""),"")</f>
        <v>0.349182684841471</v>
      </c>
      <c r="AE335" s="257">
        <f>IFERROR(IF(AND(ISNUMBER(AE15),ISNUMBER(Z15),Z15&lt;&gt;0),AE15/Z15-1,""),"")</f>
        <v>0.341948645290338</v>
      </c>
      <c r="AF335" s="257">
        <f>IFERROR(IF(AND(ISNUMBER(AF15),ISNUMBER(AA15),AA15&lt;&gt;0),AF15/AA15-1,""),"")</f>
        <v>0.371743749341769</v>
      </c>
      <c r="AG335" s="257">
        <f>IFERROR(IF(AND(ISNUMBER(AG15),ISNUMBER(AB15),AB15&lt;&gt;0),AG15/AB15-1,""),"")</f>
        <v>0.375190445991274</v>
      </c>
      <c r="AH335" s="257">
        <f>IFERROR(IF(AND(ISNUMBER(AH15),ISNUMBER(AC15),AC15&lt;&gt;0),AH15/AC15-1,""),"")</f>
        <v>0.325926833439677</v>
      </c>
      <c r="AI335" s="257">
        <f>IFERROR(IF(AND(ISNUMBER(AI15),ISNUMBER(AD15),AD15&lt;&gt;0),AI15/AD15-1,""),"")</f>
        <v>0.255454667647904</v>
      </c>
      <c r="AJ335" s="257">
        <f>IFERROR(IF(AND(ISNUMBER(AJ15),ISNUMBER(AE15),AE15&lt;&gt;0),AJ15/AE15-1,""),"")</f>
        <v>0.349436868705773</v>
      </c>
      <c r="AK335" s="257">
        <f>IFERROR(IF(AND(ISNUMBER(AK15),ISNUMBER(AF15),AF15&lt;&gt;0),AK15/AF15-1,""),"")</f>
        <v>0.349436868705773</v>
      </c>
      <c r="AL335" s="257">
        <f>IFERROR(IF(AND(ISNUMBER(AL15),ISNUMBER(AG15),AG15&lt;&gt;0),AL15/AG15-1,""),"")</f>
        <v>0.320702532100167</v>
      </c>
      <c r="AM335" s="257">
        <f>IFERROR(IF(AND(ISNUMBER(AM15),ISNUMBER(AH15),AH15&lt;&gt;0),AM15/AH15-1,""),"")</f>
        <v>0.349436868705773</v>
      </c>
      <c r="AN335" s="257">
        <f>IFERROR(IF(AND(ISNUMBER(AN15),ISNUMBER(AI15),AI15&lt;&gt;0),AN15/AI15-1,""),"")</f>
        <v>0.349436868705773</v>
      </c>
      <c r="AO335" s="257">
        <f>IFERROR(IF(AND(ISNUMBER(AO15),ISNUMBER(AJ15),AJ15&lt;&gt;0),AO15/AJ15-1,""),"")</f>
        <v>0.349436868705773</v>
      </c>
      <c r="AP335" s="257">
        <f>IFERROR(IF(AND(ISNUMBER(AP15),ISNUMBER(AK15),AK15&lt;&gt;0),AP15/AK15-1,""),"")</f>
        <v>0.349436868705773</v>
      </c>
      <c r="AQ335" s="257">
        <f>IFERROR(IF(AND(ISNUMBER(AQ15),ISNUMBER(AL15),AL15&lt;&gt;0),AQ15/AL15-1,""),"")</f>
        <v>0.349436868705773</v>
      </c>
      <c r="AR335" s="257">
        <f>IFERROR(IF(AND(ISNUMBER(AR15),ISNUMBER(AM15),AM15&lt;&gt;0),AR15/AM15-1,""),"")</f>
        <v>0.344436868705773</v>
      </c>
      <c r="AS335" s="257">
        <f>IFERROR(IF(AND(ISNUMBER(AS15),ISNUMBER(AN15),AN15&lt;&gt;0),AS15/AN15-1,""),"")</f>
        <v>0.344436868705773</v>
      </c>
      <c r="AT335" s="257">
        <f>IFERROR(IF(AND(ISNUMBER(AT15),ISNUMBER(AO15),AO15&lt;&gt;0),AT15/AO15-1,""),"")</f>
        <v>0.344436868705773</v>
      </c>
      <c r="AU335" s="257">
        <f>IFERROR(IF(AND(ISNUMBER(AU15),ISNUMBER(AP15),AP15&lt;&gt;0),AU15/AP15-1,""),"")</f>
        <v>0.344436868705773</v>
      </c>
      <c r="AV335" s="257">
        <f>IFERROR(IF(AND(ISNUMBER(AV15),ISNUMBER(AQ15),AQ15&lt;&gt;0),AV15/AQ15-1,""),"")</f>
        <v>0.344436868705773</v>
      </c>
      <c r="AW335" s="257">
        <f>IFERROR(IF(AND(ISNUMBER(AW15),ISNUMBER(AR15),AR15&lt;&gt;0),AW15/AR15-1,""),"")</f>
        <v>0.339436868705773</v>
      </c>
      <c r="AX335" s="257">
        <f>IFERROR(IF(AND(ISNUMBER(AX15),ISNUMBER(AS15),AS15&lt;&gt;0),AX15/AS15-1,""),"")</f>
        <v>0.339436868705773</v>
      </c>
      <c r="AY335" s="257">
        <f>IFERROR(IF(AND(ISNUMBER(AY15),ISNUMBER(AT15),AT15&lt;&gt;0),AY15/AT15-1,""),"")</f>
        <v>0.339436868705773</v>
      </c>
      <c r="AZ335" s="257">
        <f>IFERROR(IF(AND(ISNUMBER(AZ15),ISNUMBER(AU15),AU15&lt;&gt;0),AZ15/AU15-1,""),"")</f>
        <v>0.339436868705773</v>
      </c>
      <c r="BA335" s="257">
        <f>IFERROR(IF(AND(ISNUMBER(BA15),ISNUMBER(AV15),AV15&lt;&gt;0),BA15/AV15-1,""),"")</f>
        <v>0.339436868705773</v>
      </c>
      <c r="BB335" s="257">
        <f>IFERROR(IF(AND(ISNUMBER(BB15),ISNUMBER(AW15),AW15&lt;&gt;0),BB15/AW15-1,""),"")</f>
        <v>0.334436868705773</v>
      </c>
      <c r="BC335" s="257">
        <f>IFERROR(IF(AND(ISNUMBER(BC15),ISNUMBER(AX15),AX15&lt;&gt;0),BC15/AX15-1,""),"")</f>
        <v>0.334436868705773</v>
      </c>
      <c r="BD335" s="257">
        <f>IFERROR(IF(AND(ISNUMBER(BD15),ISNUMBER(AY15),AY15&lt;&gt;0),BD15/AY15-1,""),"")</f>
        <v>0.334436868705773</v>
      </c>
      <c r="BE335" s="257">
        <f>IFERROR(IF(AND(ISNUMBER(BE15),ISNUMBER(AZ15),AZ15&lt;&gt;0),BE15/AZ15-1,""),"")</f>
        <v>0.334436868705773</v>
      </c>
      <c r="BF335" s="257">
        <f>IFERROR(IF(AND(ISNUMBER(BF15),ISNUMBER(BA15),BA15&lt;&gt;0),BF15/BA15-1,""),"")</f>
        <v>0.334436868705773</v>
      </c>
      <c r="BG335" s="79" t="n"/>
      <c r="BH335" s="79" t="n"/>
      <c r="BI335" s="79" t="n"/>
      <c r="BJ335" s="79" t="n"/>
      <c r="BK335" s="78" t="n"/>
      <c r="BL335" s="79" t="n"/>
      <c r="BM335" s="79" t="n"/>
      <c r="BN335" s="79" t="n"/>
      <c r="BO335" s="79" t="n"/>
      <c r="BP335" s="78" t="n"/>
      <c r="BQ335" s="79" t="n"/>
      <c r="BR335" s="79" t="n"/>
      <c r="BS335" s="79" t="n"/>
      <c r="BT335" s="79" t="n"/>
      <c r="BU335" s="78" t="n"/>
      <c r="BV335" s="79" t="n"/>
      <c r="BW335" s="79" t="n"/>
      <c r="BX335" s="79" t="n"/>
      <c r="BY335" s="79" t="n"/>
      <c r="BZ335" s="78" t="n"/>
      <c r="CA335" s="79" t="n"/>
      <c r="CB335" s="79" t="n"/>
      <c r="CC335" s="79" t="n"/>
      <c r="CD335" s="79" t="n"/>
      <c r="CE335" s="78" t="n"/>
      <c r="CF335" s="79" t="n"/>
      <c r="CG335" s="79" t="n"/>
      <c r="CH335" s="79" t="n"/>
      <c r="CI335" s="79" t="n"/>
      <c r="CJ335" s="78" t="n"/>
      <c r="CK335" s="79" t="n"/>
      <c r="CL335" s="79" t="n"/>
      <c r="CM335" s="79" t="n"/>
      <c r="CN335" s="79" t="n"/>
      <c r="CO335" s="78" t="n"/>
      <c r="CP335" s="79" t="n"/>
      <c r="CQ335" s="79" t="n"/>
      <c r="CR335" s="79" t="n"/>
      <c r="CS335" s="79" t="n"/>
      <c r="CT335" s="78" t="n"/>
      <c r="CU335" s="79" t="n"/>
      <c r="CV335" s="79" t="n"/>
      <c r="CW335" s="79" t="n"/>
      <c r="CX335" s="79" t="n"/>
      <c r="CY335" s="78" t="n"/>
    </row>
    <row r="336" customFormat="1" s="77">
      <c r="A336" s="76" t="n"/>
      <c r="B336" s="76" t="n"/>
      <c r="C336" s="77" t="inlineStr">
        <is>
          <t>GROSS MARGIN</t>
        </is>
      </c>
      <c r="D336" s="79" t="str">
        <f>IFERROR(SUM(D15,D68)/D15,"")</f>
        <v/>
      </c>
      <c r="E336" s="79" t="str">
        <f>IFERROR(SUM(E15,E68)/E15,"")</f>
        <v/>
      </c>
      <c r="F336" s="79" t="str">
        <f>IFERROR(SUM(F15,F68)/F15,"")</f>
        <v/>
      </c>
      <c r="G336" s="79" t="str">
        <f>IFERROR(SUM(G15,G68)/G15,"")</f>
        <v/>
      </c>
      <c r="H336" s="258" t="str">
        <f>IFERROR(IF(N(H15)&lt;&gt;0,(H15+H68)/H15,""),"")</f>
        <v/>
      </c>
      <c r="I336" s="258">
        <f>IFERROR(IF(N(I15)&lt;&gt;0,(I15+I68)/I15,""),"")</f>
        <v>0.35469191183839</v>
      </c>
      <c r="J336" s="258">
        <f>IFERROR(IF(N(J15)&lt;&gt;0,(J15+J68)/J15,""),"")</f>
        <v>0.360963094095986</v>
      </c>
      <c r="K336" s="258">
        <f>IFERROR(IF(N(K15)&lt;&gt;0,(K15+K68)/K15,""),"")</f>
        <v>0.383332241175832</v>
      </c>
      <c r="L336" s="258">
        <f>IFERROR(IF(N(L15)&lt;&gt;0,(L15+L68)/L15,""),"")</f>
        <v>0.379546560319855</v>
      </c>
      <c r="M336" s="258">
        <f>IFERROR(IF(N(M15)&lt;&gt;0,(M15+M68)/M15,""),"")</f>
        <v>0.37086433855543</v>
      </c>
      <c r="N336" s="258">
        <f>IFERROR(IF(N(N15)&lt;&gt;0,(N15+N68)/N15,""),"")</f>
        <v>0.370850787037244</v>
      </c>
      <c r="O336" s="258">
        <f>IFERROR(IF(N(O15)&lt;&gt;0,(O15+O68)/O15,""),"")</f>
        <v>0.35750344651392</v>
      </c>
      <c r="P336" s="258">
        <f>IFERROR(IF(N(P15)&lt;&gt;0,(P15+P68)/P15,""),"")</f>
        <v>0.372998712218288</v>
      </c>
      <c r="Q336" s="258">
        <f>IFERROR(IF(N(Q15)&lt;&gt;0,(Q15+Q68)/Q15,""),"")</f>
        <v>0.382000695978142</v>
      </c>
      <c r="R336" s="258">
        <f>IFERROR(IF(N(R15)&lt;&gt;0,(R15+R68)/R15,""),"")</f>
        <v>0.370750110530573</v>
      </c>
      <c r="S336" s="258">
        <f>IFERROR(IF(N(S15)&lt;&gt;0,(S15+S68)/S15,""),"")</f>
        <v>0.375089922616126</v>
      </c>
      <c r="T336" s="258">
        <f>IFERROR(IF(N(T15)&lt;&gt;0,(T15+T68)/T15,""),"")</f>
        <v>0.377266243991722</v>
      </c>
      <c r="U336" s="258">
        <f>IFERROR(IF(N(U15)&lt;&gt;0,(U15+U68)/U15,""),"")</f>
        <v>0.377593852161399</v>
      </c>
      <c r="V336" s="258">
        <f>IFERROR(IF(N(V15)&lt;&gt;0,(V15+V68)/V15,""),"")</f>
        <v>0.386564251179158</v>
      </c>
      <c r="W336" s="258">
        <f>IFERROR(IF(N(W15)&lt;&gt;0,(W15+W68)/W15,""),"")</f>
        <v>0.379517575529109</v>
      </c>
      <c r="X336" s="258">
        <f>IFERROR(IF(N(X15)&lt;&gt;0,(X15+X68)/X15,""),"")</f>
        <v>0.378093868748074</v>
      </c>
      <c r="Y336" s="258">
        <f>IFERROR(IF(N(Y15)&lt;&gt;0,(Y15+Y68)/Y15,""),"")</f>
        <v>0.383264952383815</v>
      </c>
      <c r="Z336" s="258">
        <f>IFERROR(IF(N(Z15)&lt;&gt;0,(Z15+Z68)/Z15,""),"")</f>
        <v>0.387779958176749</v>
      </c>
      <c r="AA336" s="258">
        <f>IFERROR(IF(N(AA15)&lt;&gt;0,(AA15+AA68)/AA15,""),"")</f>
        <v>0.390691140138226</v>
      </c>
      <c r="AB336" s="258">
        <f>IFERROR(IF(N(AB15)&lt;&gt;0,(AB15+AB68)/AB15,""),"")</f>
        <v>0.385333812154415</v>
      </c>
      <c r="AC336" s="258">
        <f>IFERROR(IF(N(AC15)&lt;&gt;0,(AC15+AC68)/AC15,""),"")</f>
        <v>0.390473809884031</v>
      </c>
      <c r="AD336" s="258">
        <f>IFERROR(IF(N(AD15)&lt;&gt;0,(AD15+AD68)/AD15,""),"")</f>
        <v>0.395645622787482</v>
      </c>
      <c r="AE336" s="258">
        <f>IFERROR(IF(N(AE15)&lt;&gt;0,(AE15+AE68)/AE15,""),"")</f>
        <v>0.399616493733618</v>
      </c>
      <c r="AF336" s="258">
        <f>IFERROR(IF(N(AF15)&lt;&gt;0,(AF15+AF68)/AF15,""),"")</f>
        <v>0.403388003930366</v>
      </c>
      <c r="AG336" s="258">
        <f>IFERROR(IF(N(AG15)&lt;&gt;0,(AG15+AG68)/AG15,""),"")</f>
        <v>0.397558517352962</v>
      </c>
      <c r="AH336" s="258">
        <f>IFERROR(IF(N(AH15)&lt;&gt;0,(AH15+AH68)/AH15,""),"")</f>
        <v>0.390467148423232</v>
      </c>
      <c r="AI336" s="258">
        <f>IFERROR(IF(N(AI15)&lt;&gt;0,(AI15+AI68)/AI15,""),"")</f>
        <v>0.395341519016393</v>
      </c>
      <c r="AJ336" s="258">
        <f>IFERROR(IF(N(AJ15)&lt;&gt;0,(AJ15+AJ68)/AJ15,""),"")</f>
        <v>0.395822099629187</v>
      </c>
      <c r="AK336" s="258">
        <f>IFERROR(IF(N(AK15)&lt;&gt;0,(AK15+AK68)/AK15,""),"")</f>
        <v>0.395822099629187</v>
      </c>
      <c r="AL336" s="258">
        <f>IFERROR(IF(N(AL15)&lt;&gt;0,(AL15+AL68)/AL15,""),"")</f>
        <v>0.394497227652065</v>
      </c>
      <c r="AM336" s="258">
        <f>IFERROR(IF(N(AM15)&lt;&gt;0,(AM15+AM68)/AM15,""),"")</f>
        <v>0.395822099629187</v>
      </c>
      <c r="AN336" s="258">
        <f>IFERROR(IF(N(AN15)&lt;&gt;0,(AN15+AN68)/AN15,""),"")</f>
        <v>0.395822099629187</v>
      </c>
      <c r="AO336" s="258">
        <f>IFERROR(IF(N(AO15)&lt;&gt;0,(AO15+AO68)/AO15,""),"")</f>
        <v>0.395822099629187</v>
      </c>
      <c r="AP336" s="258">
        <f>IFERROR(IF(N(AP15)&lt;&gt;0,(AP15+AP68)/AP15,""),"")</f>
        <v>0.395822099629187</v>
      </c>
      <c r="AQ336" s="258">
        <f>IFERROR(IF(N(AQ15)&lt;&gt;0,(AQ15+AQ68)/AQ15,""),"")</f>
        <v>0.395822099629187</v>
      </c>
      <c r="AR336" s="258">
        <f>IFERROR(IF(N(AR15)&lt;&gt;0,(AR15+AR68)/AR15,""),"")</f>
        <v>0.395822099629187</v>
      </c>
      <c r="AS336" s="258">
        <f>IFERROR(IF(N(AS15)&lt;&gt;0,(AS15+AS68)/AS15,""),"")</f>
        <v>0.395822099629187</v>
      </c>
      <c r="AT336" s="258">
        <f>IFERROR(IF(N(AT15)&lt;&gt;0,(AT15+AT68)/AT15,""),"")</f>
        <v>0.395822099629187</v>
      </c>
      <c r="AU336" s="258">
        <f>IFERROR(IF(N(AU15)&lt;&gt;0,(AU15+AU68)/AU15,""),"")</f>
        <v>0.395822099629187</v>
      </c>
      <c r="AV336" s="258">
        <f>IFERROR(IF(N(AV15)&lt;&gt;0,(AV15+AV68)/AV15,""),"")</f>
        <v>0.395822099629187</v>
      </c>
      <c r="AW336" s="258">
        <f>IFERROR(IF(N(AW15)&lt;&gt;0,(AW15+AW68)/AW15,""),"")</f>
        <v>0.395822099629187</v>
      </c>
      <c r="AX336" s="258">
        <f>IFERROR(IF(N(AX15)&lt;&gt;0,(AX15+AX68)/AX15,""),"")</f>
        <v>0.395822099629187</v>
      </c>
      <c r="AY336" s="258">
        <f>IFERROR(IF(N(AY15)&lt;&gt;0,(AY15+AY68)/AY15,""),"")</f>
        <v>0.395822099629187</v>
      </c>
      <c r="AZ336" s="258">
        <f>IFERROR(IF(N(AZ15)&lt;&gt;0,(AZ15+AZ68)/AZ15,""),"")</f>
        <v>0.395822099629187</v>
      </c>
      <c r="BA336" s="258">
        <f>IFERROR(IF(N(BA15)&lt;&gt;0,(BA15+BA68)/BA15,""),"")</f>
        <v>0.395822099629187</v>
      </c>
      <c r="BB336" s="258">
        <f>IFERROR(IF(N(BB15)&lt;&gt;0,(BB15+BB68)/BB15,""),"")</f>
        <v>0.395822099629187</v>
      </c>
      <c r="BC336" s="258">
        <f>IFERROR(IF(N(BC15)&lt;&gt;0,(BC15+BC68)/BC15,""),"")</f>
        <v>0.395822099629187</v>
      </c>
      <c r="BD336" s="258">
        <f>IFERROR(IF(N(BD15)&lt;&gt;0,(BD15+BD68)/BD15,""),"")</f>
        <v>0.395822099629187</v>
      </c>
      <c r="BE336" s="258">
        <f>IFERROR(IF(N(BE15)&lt;&gt;0,(BE15+BE68)/BE15,""),"")</f>
        <v>0.395822099629187</v>
      </c>
      <c r="BF336" s="258">
        <f>IFERROR(IF(N(BF15)&lt;&gt;0,(BF15+BF68)/BF15,""),"")</f>
        <v>0.395822099629187</v>
      </c>
      <c r="BG336" s="80" t="n"/>
      <c r="BH336" s="80" t="n"/>
      <c r="BI336" s="80" t="n"/>
      <c r="BJ336" s="80" t="n"/>
      <c r="BL336" s="80" t="n"/>
      <c r="BM336" s="80" t="n"/>
      <c r="BN336" s="80" t="n"/>
      <c r="BO336" s="80" t="n"/>
      <c r="BQ336" s="80" t="n"/>
      <c r="BR336" s="80" t="n"/>
      <c r="BS336" s="80" t="n"/>
      <c r="BT336" s="80" t="n"/>
      <c r="BV336" s="80" t="n"/>
      <c r="BW336" s="80" t="n"/>
      <c r="BX336" s="80" t="n"/>
      <c r="BY336" s="80" t="n"/>
      <c r="CA336" s="80" t="n"/>
      <c r="CB336" s="80" t="n"/>
      <c r="CC336" s="80" t="n"/>
      <c r="CD336" s="80" t="n"/>
      <c r="CF336" s="80" t="n"/>
      <c r="CG336" s="80" t="n"/>
      <c r="CH336" s="80" t="n"/>
      <c r="CI336" s="80" t="n"/>
      <c r="CK336" s="80" t="n"/>
      <c r="CL336" s="80" t="n"/>
      <c r="CM336" s="80" t="n"/>
      <c r="CN336" s="80" t="n"/>
      <c r="CP336" s="80" t="n"/>
      <c r="CQ336" s="80" t="n"/>
      <c r="CR336" s="80" t="n"/>
      <c r="CS336" s="80" t="n"/>
      <c r="CU336" s="80" t="n"/>
      <c r="CV336" s="80" t="n"/>
      <c r="CW336" s="80" t="n"/>
      <c r="CX336" s="80" t="n"/>
    </row>
    <row r="337" customFormat="1" s="77">
      <c r="A337" s="76" t="n"/>
      <c r="B337" s="76" t="n"/>
      <c r="C337" s="77" t="inlineStr">
        <is>
          <t>EBIT MARGIN</t>
        </is>
      </c>
      <c r="D337" s="78" t="str">
        <f>IFERROR((D87/D15),"")</f>
        <v/>
      </c>
      <c r="E337" s="78" t="str">
        <f>IFERROR((E87/E15),"")</f>
        <v/>
      </c>
      <c r="F337" s="78" t="str">
        <f>IFERROR((F87/F15),"")</f>
        <v/>
      </c>
      <c r="G337" s="78" t="str">
        <f>IFERROR((G87/G15),"")</f>
        <v/>
      </c>
      <c r="H337" s="258" t="str">
        <f>IFERROR(IF(N(H15)&lt;&gt;0,H87/H15,""),"")</f>
        <v/>
      </c>
      <c r="I337" s="257">
        <f>IFERROR(IF(N(I15)&lt;&gt;0,I87/I15,""),"")</f>
        <v>0.185221317708364</v>
      </c>
      <c r="J337" s="257">
        <f>IFERROR(IF(N(J15)&lt;&gt;0,J87/J15,""),"")</f>
        <v>0.197225133326096</v>
      </c>
      <c r="K337" s="257">
        <f>IFERROR(IF(N(K15)&lt;&gt;0,K87/K15,""),"")</f>
        <v>0.190583679730955</v>
      </c>
      <c r="L337" s="257">
        <f>IFERROR(IF(N(L15)&lt;&gt;0,L87/L15,""),"")</f>
        <v>0.278061084273334</v>
      </c>
      <c r="M337" s="258">
        <f>IFERROR(IF(N(M15)&lt;&gt;0,M87/M15,""),"")</f>
        <v>0.215981588446039</v>
      </c>
      <c r="N337" s="257">
        <f>IFERROR(IF(N(N15)&lt;&gt;0,N87/N15,""),"")</f>
        <v>0.177444375399554</v>
      </c>
      <c r="O337" s="257">
        <f>IFERROR(IF(N(O15)&lt;&gt;0,O87/O15,""),"")</f>
        <v>0.186032121012039</v>
      </c>
      <c r="P337" s="257">
        <f>IFERROR(IF(N(P15)&lt;&gt;0,P87/P15,""),"")</f>
        <v>0.181109662511829</v>
      </c>
      <c r="Q337" s="257">
        <f>IFERROR(IF(N(Q15)&lt;&gt;0,Q87/Q15,""),"")</f>
        <v>0.213698021285906</v>
      </c>
      <c r="R337" s="258">
        <f>IFERROR(IF(N(R15)&lt;&gt;0,R87/R15,""),"")</f>
        <v>0.190078031483715</v>
      </c>
      <c r="S337" s="257">
        <f>IFERROR(IF(N(S15)&lt;&gt;0,S87/S15,""),"")</f>
        <v>0.193200841742919</v>
      </c>
      <c r="T337" s="257">
        <f>IFERROR(IF(N(T15)&lt;&gt;0,T87/T15,""),"")</f>
        <v>0.202227150681694</v>
      </c>
      <c r="U337" s="257">
        <f>IFERROR(IF(N(U15)&lt;&gt;0,U87/U15,""),"")</f>
        <v>0.180695169669386</v>
      </c>
      <c r="V337" s="257">
        <f>IFERROR(IF(N(V15)&lt;&gt;0,V87/V15,""),"")</f>
        <v>0.224640091868368</v>
      </c>
      <c r="W337" s="258">
        <f>IFERROR(IF(N(W15)&lt;&gt;0,W87/W15,""),"")</f>
        <v>0.201059742801191</v>
      </c>
      <c r="X337" s="257">
        <f>IFERROR(IF(N(X15)&lt;&gt;0,X87/X15,""),"")</f>
        <v>0.212416794246831</v>
      </c>
      <c r="Y337" s="257">
        <f>IFERROR(IF(N(Y15)&lt;&gt;0,Y87/Y15,""),"")</f>
        <v>0.199514333338343</v>
      </c>
      <c r="Z337" s="257">
        <f>IFERROR(IF(N(Z15)&lt;&gt;0,Z87/Z15,""),"")</f>
        <v>0.196816470178203</v>
      </c>
      <c r="AA337" s="257">
        <f>IFERROR(IF(N(AA15)&lt;&gt;0,AA87/AA15,""),"")</f>
        <v>0.2186737599411</v>
      </c>
      <c r="AB337" s="258">
        <f>IFERROR(IF(N(AB15)&lt;&gt;0,AB87/AB15,""),"")</f>
        <v>0.20659098833001</v>
      </c>
      <c r="AC337" s="257">
        <f>IFERROR(IF(N(AC15)&lt;&gt;0,AC87/AC15,""),"")</f>
        <v>0.229043467106951</v>
      </c>
      <c r="AD337" s="257">
        <f>IFERROR(IF(N(AD15)&lt;&gt;0,AD87/AD15,""),"")</f>
        <v>0.232536559042447</v>
      </c>
      <c r="AE337" s="257">
        <f>IFERROR(IF(N(AE15)&lt;&gt;0,AE87/AE15,""),"")</f>
        <v>0.230211740062643</v>
      </c>
      <c r="AF337" s="257">
        <f>IFERROR(IF(N(AF15)&lt;&gt;0,AF87/AF15,""),"")</f>
        <v>0.241446346625907</v>
      </c>
      <c r="AG337" s="258">
        <f>IFERROR(IF(N(AG15)&lt;&gt;0,AG87/AG15,""),"")</f>
        <v>0.233482404395358</v>
      </c>
      <c r="AH337" s="257">
        <f>IFERROR(IF(N(AH15)&lt;&gt;0,AH87/AH15,""),"")</f>
        <v>0.248586263798617</v>
      </c>
      <c r="AI337" s="257">
        <f>IFERROR(IF(N(AI15)&lt;&gt;0,AI87/AI15,""),"")</f>
        <v>0.223241653525329</v>
      </c>
      <c r="AJ337" s="257">
        <f>IFERROR(IF(N(AJ15)&lt;&gt;0,AJ87/AJ15,""),"")</f>
        <v>0.234177671693649</v>
      </c>
      <c r="AK337" s="257">
        <f>IFERROR(IF(N(AK15)&lt;&gt;0,AK87/AK15,""),"")</f>
        <v>0.234177671693649</v>
      </c>
      <c r="AL337" s="258">
        <f>IFERROR(IF(N(AL15)&lt;&gt;0,AL87/AL15,""),"")</f>
        <v>0.234843285092746</v>
      </c>
      <c r="AM337" s="257">
        <f>IFERROR(IF(N(AM15)&lt;&gt;0,AM87/AM15,""),"")</f>
        <v>0.234177671693649</v>
      </c>
      <c r="AN337" s="257">
        <f>IFERROR(IF(N(AN15)&lt;&gt;0,AN87/AN15,""),"")</f>
        <v>0.234177671693649</v>
      </c>
      <c r="AO337" s="257">
        <f>IFERROR(IF(N(AO15)&lt;&gt;0,AO87/AO15,""),"")</f>
        <v>0.234177671693649</v>
      </c>
      <c r="AP337" s="257">
        <f>IFERROR(IF(N(AP15)&lt;&gt;0,AP87/AP15,""),"")</f>
        <v>0.234177671693649</v>
      </c>
      <c r="AQ337" s="258">
        <f>IFERROR(IF(N(AQ15)&lt;&gt;0,AQ87/AQ15,""),"")</f>
        <v>0.234177671693649</v>
      </c>
      <c r="AR337" s="257">
        <f>IFERROR(IF(N(AR15)&lt;&gt;0,AR87/AR15,""),"")</f>
        <v>0.234177671693649</v>
      </c>
      <c r="AS337" s="257">
        <f>IFERROR(IF(N(AS15)&lt;&gt;0,AS87/AS15,""),"")</f>
        <v>0.234177671693649</v>
      </c>
      <c r="AT337" s="257">
        <f>IFERROR(IF(N(AT15)&lt;&gt;0,AT87/AT15,""),"")</f>
        <v>0.234177671693649</v>
      </c>
      <c r="AU337" s="257">
        <f>IFERROR(IF(N(AU15)&lt;&gt;0,AU87/AU15,""),"")</f>
        <v>0.234177671693649</v>
      </c>
      <c r="AV337" s="258">
        <f>IFERROR(IF(N(AV15)&lt;&gt;0,AV87/AV15,""),"")</f>
        <v>0.234177671693649</v>
      </c>
      <c r="AW337" s="257">
        <f>IFERROR(IF(N(AW15)&lt;&gt;0,AW87/AW15,""),"")</f>
        <v>0.234177671693649</v>
      </c>
      <c r="AX337" s="257">
        <f>IFERROR(IF(N(AX15)&lt;&gt;0,AX87/AX15,""),"")</f>
        <v>0.234177671693649</v>
      </c>
      <c r="AY337" s="257">
        <f>IFERROR(IF(N(AY15)&lt;&gt;0,AY87/AY15,""),"")</f>
        <v>0.234177671693649</v>
      </c>
      <c r="AZ337" s="257">
        <f>IFERROR(IF(N(AZ15)&lt;&gt;0,AZ87/AZ15,""),"")</f>
        <v>0.234177671693649</v>
      </c>
      <c r="BA337" s="258">
        <f>IFERROR(IF(N(BA15)&lt;&gt;0,BA87/BA15,""),"")</f>
        <v>0.234177671693649</v>
      </c>
      <c r="BB337" s="257">
        <f>IFERROR(IF(N(BB15)&lt;&gt;0,BB87/BB15,""),"")</f>
        <v>0.234177671693649</v>
      </c>
      <c r="BC337" s="257">
        <f>IFERROR(IF(N(BC15)&lt;&gt;0,BC87/BC15,""),"")</f>
        <v>0.234177671693649</v>
      </c>
      <c r="BD337" s="257">
        <f>IFERROR(IF(N(BD15)&lt;&gt;0,BD87/BD15,""),"")</f>
        <v>0.234177671693649</v>
      </c>
      <c r="BE337" s="257">
        <f>IFERROR(IF(N(BE15)&lt;&gt;0,BE87/BE15,""),"")</f>
        <v>0.234177671693649</v>
      </c>
      <c r="BF337" s="258">
        <f>IFERROR(IF(N(BF15)&lt;&gt;0,BF87/BF15,""),"")</f>
        <v>0.234177671693649</v>
      </c>
      <c r="BG337" s="81" t="n"/>
      <c r="BH337" s="81" t="n"/>
      <c r="BI337" s="81" t="n"/>
      <c r="BJ337" s="81" t="n"/>
      <c r="BL337" s="81" t="n"/>
      <c r="BM337" s="81" t="n"/>
      <c r="BN337" s="81" t="n"/>
      <c r="BO337" s="81" t="n"/>
      <c r="BQ337" s="81" t="n"/>
      <c r="BR337" s="81" t="n"/>
      <c r="BS337" s="81" t="n"/>
      <c r="BT337" s="81" t="n"/>
      <c r="BV337" s="81" t="n"/>
      <c r="BW337" s="81" t="n"/>
      <c r="BX337" s="81" t="n"/>
      <c r="BY337" s="81" t="n"/>
      <c r="CA337" s="81" t="n"/>
      <c r="CB337" s="81" t="n"/>
      <c r="CC337" s="81" t="n"/>
      <c r="CD337" s="81" t="n"/>
      <c r="CF337" s="81" t="n"/>
      <c r="CG337" s="81" t="n"/>
      <c r="CH337" s="81" t="n"/>
      <c r="CI337" s="81" t="n"/>
      <c r="CK337" s="81" t="n"/>
      <c r="CL337" s="81" t="n"/>
      <c r="CM337" s="81" t="n"/>
      <c r="CN337" s="81" t="n"/>
      <c r="CP337" s="81" t="n"/>
      <c r="CQ337" s="81" t="n"/>
      <c r="CR337" s="81" t="n"/>
      <c r="CS337" s="81" t="n"/>
      <c r="CU337" s="81" t="n"/>
      <c r="CV337" s="81" t="n"/>
      <c r="CW337" s="81" t="n"/>
      <c r="CX337" s="81" t="n"/>
    </row>
    <row r="338" customFormat="1" s="77">
      <c r="A338" s="76" t="n"/>
      <c r="B338" s="76" t="n"/>
      <c r="C338" s="77" t="inlineStr">
        <is>
          <t>EBITDA MARGIN</t>
        </is>
      </c>
      <c r="D338" s="78" t="str">
        <f>IFERROR(D83/D15,"")</f>
        <v/>
      </c>
      <c r="E338" s="78" t="str">
        <f>IFERROR(E83/E15,"")</f>
        <v/>
      </c>
      <c r="F338" s="78" t="str">
        <f>IFERROR(F83/F15,"")</f>
        <v/>
      </c>
      <c r="G338" s="78" t="str">
        <f>IFERROR(G83/G15,"")</f>
        <v/>
      </c>
      <c r="H338" s="258" t="str">
        <f>IFERROR(IF(N(H15)&lt;&gt;0,H83/H15,""),"")</f>
        <v/>
      </c>
      <c r="I338" s="257">
        <f>IFERROR(IF(N(I15)&lt;&gt;0,I83/I15,""),"")</f>
        <v>0.186207661707232</v>
      </c>
      <c r="J338" s="257">
        <f>IFERROR(IF(N(J15)&lt;&gt;0,J83/J15,""),"")</f>
        <v>0.198011814896629</v>
      </c>
      <c r="K338" s="257">
        <f>IFERROR(IF(N(K15)&lt;&gt;0,K83/K15,""),"")</f>
        <v>0.191407342137756</v>
      </c>
      <c r="L338" s="257">
        <f>IFERROR(IF(N(L15)&lt;&gt;0,L83/L15,""),"")</f>
        <v>0.27883006713855</v>
      </c>
      <c r="M338" s="258">
        <f>IFERROR(IF(N(M15)&lt;&gt;0,M83/M15,""),"")</f>
        <v>0.21681194989679</v>
      </c>
      <c r="N338" s="257">
        <f>IFERROR(IF(N(N15)&lt;&gt;0,N83/N15,""),"")</f>
        <v>0.179510626031017</v>
      </c>
      <c r="O338" s="257">
        <f>IFERROR(IF(N(O15)&lt;&gt;0,O83/O15,""),"")</f>
        <v>0.19549489617325</v>
      </c>
      <c r="P338" s="257">
        <f>IFERROR(IF(N(P15)&lt;&gt;0,P83/P15,""),"")</f>
        <v>0.190229454934821</v>
      </c>
      <c r="Q338" s="257">
        <f>IFERROR(IF(N(Q15)&lt;&gt;0,Q83/Q15,""),"")</f>
        <v>0.224554591216204</v>
      </c>
      <c r="R338" s="258">
        <f>IFERROR(IF(N(R15)&lt;&gt;0,R83/R15,""),"")</f>
        <v>0.198338092782774</v>
      </c>
      <c r="S338" s="257">
        <f>IFERROR(IF(N(S15)&lt;&gt;0,S83/S15,""),"")</f>
        <v>0.203657216163884</v>
      </c>
      <c r="T338" s="257">
        <f>IFERROR(IF(N(T15)&lt;&gt;0,T83/T15,""),"")</f>
        <v>0.21088401722579</v>
      </c>
      <c r="U338" s="257">
        <f>IFERROR(IF(N(U15)&lt;&gt;0,U83/U15,""),"")</f>
        <v>0.189128622415458</v>
      </c>
      <c r="V338" s="257">
        <f>IFERROR(IF(N(V15)&lt;&gt;0,V83/V15,""),"")</f>
        <v>0.23327742306517</v>
      </c>
      <c r="W338" s="258">
        <f>IFERROR(IF(N(W15)&lt;&gt;0,W83/W15,""),"")</f>
        <v>0.210023865521528</v>
      </c>
      <c r="X338" s="257">
        <f>IFERROR(IF(N(X15)&lt;&gt;0,X83/X15,""),"")</f>
        <v>0.220915902180845</v>
      </c>
      <c r="Y338" s="257">
        <f>IFERROR(IF(N(Y15)&lt;&gt;0,Y83/Y15,""),"")</f>
        <v>0.20653936306026</v>
      </c>
      <c r="Z338" s="257">
        <f>IFERROR(IF(N(Z15)&lt;&gt;0,Z83/Z15,""),"")</f>
        <v>0.204574227695213</v>
      </c>
      <c r="AA338" s="257">
        <f>IFERROR(IF(N(AA15)&lt;&gt;0,AA83/AA15,""),"")</f>
        <v>0.227187222936681</v>
      </c>
      <c r="AB338" s="258">
        <f>IFERROR(IF(N(AB15)&lt;&gt;0,AB83/AB15,""),"")</f>
        <v>0.214519797579661</v>
      </c>
      <c r="AC338" s="257">
        <f>IFERROR(IF(N(AC15)&lt;&gt;0,AC83/AC15,""),"")</f>
        <v>0.236059675180729</v>
      </c>
      <c r="AD338" s="257">
        <f>IFERROR(IF(N(AD15)&lt;&gt;0,AD83/AD15,""),"")</f>
        <v>0.239037380742151</v>
      </c>
      <c r="AE338" s="257">
        <f>IFERROR(IF(N(AE15)&lt;&gt;0,AE83/AE15,""),"")</f>
        <v>0.236225462727058</v>
      </c>
      <c r="AF338" s="257">
        <f>IFERROR(IF(N(AF15)&lt;&gt;0,AF83/AF15,""),"")</f>
        <v>0.24783495278982</v>
      </c>
      <c r="AG338" s="258">
        <f>IFERROR(IF(N(AG15)&lt;&gt;0,AG83/AG15,""),"")</f>
        <v>0.23994198230589</v>
      </c>
      <c r="AH338" s="257">
        <f>IFERROR(IF(N(AH15)&lt;&gt;0,AH83/AH15,""),"")</f>
        <v>0.253763710249037</v>
      </c>
      <c r="AI338" s="257">
        <f>IFERROR(IF(N(AI15)&lt;&gt;0,AI83/AI15,""),"")</f>
        <v>0.228299639061774</v>
      </c>
      <c r="AJ338" s="257">
        <f>IFERROR(IF(N(AJ15)&lt;&gt;0,AJ83/AJ15,""),"")</f>
        <v>0.240203470125095</v>
      </c>
      <c r="AK338" s="257">
        <f>IFERROR(IF(N(AK15)&lt;&gt;0,AK83/AK15,""),"")</f>
        <v>0.240203470125095</v>
      </c>
      <c r="AL338" s="258">
        <f>IFERROR(IF(N(AL15)&lt;&gt;0,AL83/AL15,""),"")</f>
        <v>0.24044779722564</v>
      </c>
      <c r="AM338" s="257">
        <f>IFERROR(IF(N(AM15)&lt;&gt;0,AM83/AM15,""),"")</f>
        <v>0.240203470125095</v>
      </c>
      <c r="AN338" s="257">
        <f>IFERROR(IF(N(AN15)&lt;&gt;0,AN83/AN15,""),"")</f>
        <v>0.240203470125095</v>
      </c>
      <c r="AO338" s="257">
        <f>IFERROR(IF(N(AO15)&lt;&gt;0,AO83/AO15,""),"")</f>
        <v>0.240203470125095</v>
      </c>
      <c r="AP338" s="257">
        <f>IFERROR(IF(N(AP15)&lt;&gt;0,AP83/AP15,""),"")</f>
        <v>0.240203470125095</v>
      </c>
      <c r="AQ338" s="258">
        <f>IFERROR(IF(N(AQ15)&lt;&gt;0,AQ83/AQ15,""),"")</f>
        <v>0.240203470125095</v>
      </c>
      <c r="AR338" s="257">
        <f>IFERROR(IF(N(AR15)&lt;&gt;0,AR83/AR15,""),"")</f>
        <v>0.240203470125095</v>
      </c>
      <c r="AS338" s="257">
        <f>IFERROR(IF(N(AS15)&lt;&gt;0,AS83/AS15,""),"")</f>
        <v>0.240203470125095</v>
      </c>
      <c r="AT338" s="257">
        <f>IFERROR(IF(N(AT15)&lt;&gt;0,AT83/AT15,""),"")</f>
        <v>0.240203470125095</v>
      </c>
      <c r="AU338" s="257">
        <f>IFERROR(IF(N(AU15)&lt;&gt;0,AU83/AU15,""),"")</f>
        <v>0.240203470125095</v>
      </c>
      <c r="AV338" s="258">
        <f>IFERROR(IF(N(AV15)&lt;&gt;0,AV83/AV15,""),"")</f>
        <v>0.240203470125095</v>
      </c>
      <c r="AW338" s="257">
        <f>IFERROR(IF(N(AW15)&lt;&gt;0,AW83/AW15,""),"")</f>
        <v>0.240203470125095</v>
      </c>
      <c r="AX338" s="257">
        <f>IFERROR(IF(N(AX15)&lt;&gt;0,AX83/AX15,""),"")</f>
        <v>0.240203470125095</v>
      </c>
      <c r="AY338" s="257">
        <f>IFERROR(IF(N(AY15)&lt;&gt;0,AY83/AY15,""),"")</f>
        <v>0.240203470125095</v>
      </c>
      <c r="AZ338" s="257">
        <f>IFERROR(IF(N(AZ15)&lt;&gt;0,AZ83/AZ15,""),"")</f>
        <v>0.240203470125095</v>
      </c>
      <c r="BA338" s="258">
        <f>IFERROR(IF(N(BA15)&lt;&gt;0,BA83/BA15,""),"")</f>
        <v>0.240203470125095</v>
      </c>
      <c r="BB338" s="257">
        <f>IFERROR(IF(N(BB15)&lt;&gt;0,BB83/BB15,""),"")</f>
        <v>0.240203470125095</v>
      </c>
      <c r="BC338" s="257">
        <f>IFERROR(IF(N(BC15)&lt;&gt;0,BC83/BC15,""),"")</f>
        <v>0.240203470125095</v>
      </c>
      <c r="BD338" s="257">
        <f>IFERROR(IF(N(BD15)&lt;&gt;0,BD83/BD15,""),"")</f>
        <v>0.240203470125095</v>
      </c>
      <c r="BE338" s="257">
        <f>IFERROR(IF(N(BE15)&lt;&gt;0,BE83/BE15,""),"")</f>
        <v>0.240203470125095</v>
      </c>
      <c r="BF338" s="258">
        <f>IFERROR(IF(N(BF15)&lt;&gt;0,BF83/BF15,""),"")</f>
        <v>0.240203470125095</v>
      </c>
      <c r="BG338" s="81" t="n"/>
      <c r="BH338" s="81" t="n"/>
      <c r="BI338" s="81" t="n"/>
      <c r="BJ338" s="81" t="n"/>
      <c r="BL338" s="81" t="n"/>
      <c r="BM338" s="81" t="n"/>
      <c r="BN338" s="81" t="n"/>
      <c r="BO338" s="81" t="n"/>
      <c r="BQ338" s="81" t="n"/>
      <c r="BR338" s="81" t="n"/>
      <c r="BS338" s="81" t="n"/>
      <c r="BT338" s="81" t="n"/>
      <c r="BV338" s="81" t="n"/>
      <c r="BW338" s="81" t="n"/>
      <c r="BX338" s="81" t="n"/>
      <c r="BY338" s="81" t="n"/>
      <c r="CA338" s="81" t="n"/>
      <c r="CB338" s="81" t="n"/>
      <c r="CC338" s="81" t="n"/>
      <c r="CD338" s="81" t="n"/>
      <c r="CF338" s="81" t="n"/>
      <c r="CG338" s="81" t="n"/>
      <c r="CH338" s="81" t="n"/>
      <c r="CI338" s="81" t="n"/>
      <c r="CK338" s="81" t="n"/>
      <c r="CL338" s="81" t="n"/>
      <c r="CM338" s="81" t="n"/>
      <c r="CN338" s="81" t="n"/>
      <c r="CP338" s="81" t="n"/>
      <c r="CQ338" s="81" t="n"/>
      <c r="CR338" s="81" t="n"/>
      <c r="CS338" s="81" t="n"/>
      <c r="CU338" s="81" t="n"/>
      <c r="CV338" s="81" t="n"/>
      <c r="CW338" s="81" t="n"/>
      <c r="CX338" s="81" t="n"/>
    </row>
    <row r="339" customFormat="1" s="77">
      <c r="A339" s="76" t="n"/>
      <c r="B339" s="76" t="n"/>
      <c r="C339" s="77" t="inlineStr">
        <is>
          <t>ETR</t>
        </is>
      </c>
      <c r="D339" s="78" t="str">
        <f>IFERROR(-D145/D144,"")</f>
        <v/>
      </c>
      <c r="E339" s="78" t="str">
        <f>IFERROR(-E145/E144,"")</f>
        <v/>
      </c>
      <c r="F339" s="78" t="str">
        <f>IFERROR(-F145/F144,"")</f>
        <v/>
      </c>
      <c r="G339" s="78" t="str">
        <f>IFERROR(-G145/G144,"")</f>
        <v/>
      </c>
      <c r="H339" s="258" t="str">
        <f>IFERROR(IF(N(H144)&lt;&gt;0,-H145/H144,""),"")</f>
        <v/>
      </c>
      <c r="I339" s="257">
        <f>IFERROR(IF(N(I144)&lt;&gt;0,-I145/I144,""),"")</f>
        <v>0.118995312148627</v>
      </c>
      <c r="J339" s="257">
        <f>IFERROR(IF(N(J144)&lt;&gt;0,-J145/J144,""),"")</f>
        <v>0.100599002857519</v>
      </c>
      <c r="K339" s="257">
        <f>IFERROR(IF(N(K144)&lt;&gt;0,-K145/K144,""),"")</f>
        <v>0.120248820577379</v>
      </c>
      <c r="L339" s="257">
        <f>IFERROR(IF(N(L144)&lt;&gt;0,-L145/L144,""),"")</f>
        <v>0.0868303281878324</v>
      </c>
      <c r="M339" s="258">
        <f>IFERROR(IF(N(M144)&lt;&gt;0,-M145/M144,""),"")</f>
        <v>0.103602982798335</v>
      </c>
      <c r="N339" s="257">
        <f>IFERROR(IF(N(N144)&lt;&gt;0,-N145/N144,""),"")</f>
        <v>0.154543885044954</v>
      </c>
      <c r="O339" s="257">
        <f>IFERROR(IF(N(O144)&lt;&gt;0,-O145/O144,""),"")</f>
        <v>0.134365002603973</v>
      </c>
      <c r="P339" s="257">
        <f>IFERROR(IF(N(P144)&lt;&gt;0,-P145/P144,""),"")</f>
        <v>0.141955057617268</v>
      </c>
      <c r="Q339" s="257">
        <f>IFERROR(IF(N(Q144)&lt;&gt;0,-Q145/Q144,""),"")</f>
        <v>0.132999314757629</v>
      </c>
      <c r="R339" s="258">
        <f>IFERROR(IF(N(R144)&lt;&gt;0,-R145/R144,""),"")</f>
        <v>0.139793636082793</v>
      </c>
      <c r="S339" s="257">
        <f>IFERROR(IF(N(S144)&lt;&gt;0,-S145/S144,""),"")</f>
        <v>0.140052236488831</v>
      </c>
      <c r="T339" s="257">
        <f>IFERROR(IF(N(T144)&lt;&gt;0,-T145/T144,""),"")</f>
        <v>0.128523900006357</v>
      </c>
      <c r="U339" s="257">
        <f>IFERROR(IF(N(U144)&lt;&gt;0,-U145/U144,""),"")</f>
        <v>0.14456520096135</v>
      </c>
      <c r="V339" s="257">
        <f>IFERROR(IF(N(V144)&lt;&gt;0,-V145/V144,""),"")</f>
        <v>0.107974447668541</v>
      </c>
      <c r="W339" s="258">
        <f>IFERROR(IF(N(W144)&lt;&gt;0,-W145/W144,""),"")</f>
        <v>0.127860701787839</v>
      </c>
      <c r="X339" s="257">
        <f>IFERROR(IF(N(X144)&lt;&gt;0,-X145/X144,""),"")</f>
        <v>0.116711090039721</v>
      </c>
      <c r="Y339" s="257">
        <f>IFERROR(IF(N(Y144)&lt;&gt;0,-Y145/Y144,""),"")</f>
        <v>0.108116905431647</v>
      </c>
      <c r="Z339" s="257">
        <f>IFERROR(IF(N(Z144)&lt;&gt;0,-Z145/Z144,""),"")</f>
        <v>0.114895104895105</v>
      </c>
      <c r="AA339" s="257">
        <f>IFERROR(IF(N(AA144)&lt;&gt;0,-AA145/AA144,""),"")</f>
        <v>0.120309485003466</v>
      </c>
      <c r="AB339" s="258">
        <f>IFERROR(IF(N(AB144)&lt;&gt;0,-AB145/AB144,""),"")</f>
        <v>0.115099389895048</v>
      </c>
      <c r="AC339" s="257">
        <f>IFERROR(IF(N(AC144)&lt;&gt;0,-AC145/AC144,""),"")</f>
        <v>0.1174449482724</v>
      </c>
      <c r="AD339" s="257">
        <f>IFERROR(IF(N(AD144)&lt;&gt;0,-AD145/AD144,""),"")</f>
        <v>0.105675440536562</v>
      </c>
      <c r="AE339" s="257">
        <f>IFERROR(IF(N(AE144)&lt;&gt;0,-AE145/AE144,""),"")</f>
        <v>0.115789341068791</v>
      </c>
      <c r="AF339" s="257">
        <f>IFERROR(IF(N(AF144)&lt;&gt;0,-AF145/AF144,""),"")</f>
        <v>0.119269902028616</v>
      </c>
      <c r="AG339" s="258">
        <f>IFERROR(IF(N(AG144)&lt;&gt;0,-AG145/AG144,""),"")</f>
        <v>0.11462693803689</v>
      </c>
      <c r="AH339" s="257">
        <f>IFERROR(IF(N(AH144)&lt;&gt;0,-AH145/AH144,""),"")</f>
        <v>0.105727481968659</v>
      </c>
      <c r="AI339" s="257">
        <f>IFERROR(IF(N(AI144)&lt;&gt;0,-AI145/AI144,""),"")</f>
        <v>0.12697760427368</v>
      </c>
      <c r="AJ339" s="257">
        <f>IFERROR(IF(N(AJ144)&lt;&gt;0,-AJ145/AJ144,""),"")</f>
        <v>0.115147453024785</v>
      </c>
      <c r="AK339" s="257">
        <f>IFERROR(IF(N(AK144)&lt;&gt;0,-AK145/AK144,""),"")</f>
        <v>0.115147453024785</v>
      </c>
      <c r="AL339" s="258">
        <f>IFERROR(IF(N(AL144)&lt;&gt;0,-AL145/AL144,""),"")</f>
        <v>0.115447500412248</v>
      </c>
      <c r="AM339" s="257">
        <f>IFERROR(IF(N(AM144)&lt;&gt;0,-AM145/AM144,""),"")</f>
        <v>0.115147453024785</v>
      </c>
      <c r="AN339" s="257">
        <f>IFERROR(IF(N(AN144)&lt;&gt;0,-AN145/AN144,""),"")</f>
        <v>0.115147453024785</v>
      </c>
      <c r="AO339" s="257">
        <f>IFERROR(IF(N(AO144)&lt;&gt;0,-AO145/AO144,""),"")</f>
        <v>0.115147453024785</v>
      </c>
      <c r="AP339" s="257">
        <f>IFERROR(IF(N(AP144)&lt;&gt;0,-AP145/AP144,""),"")</f>
        <v>0.115147453024785</v>
      </c>
      <c r="AQ339" s="258">
        <f>IFERROR(IF(N(AQ144)&lt;&gt;0,-AQ145/AQ144,""),"")</f>
        <v>0.115147453024785</v>
      </c>
      <c r="AR339" s="257">
        <f>IFERROR(IF(N(AR144)&lt;&gt;0,-AR145/AR144,""),"")</f>
        <v>0.115147453024785</v>
      </c>
      <c r="AS339" s="257">
        <f>IFERROR(IF(N(AS144)&lt;&gt;0,-AS145/AS144,""),"")</f>
        <v>0.115147453024785</v>
      </c>
      <c r="AT339" s="257">
        <f>IFERROR(IF(N(AT144)&lt;&gt;0,-AT145/AT144,""),"")</f>
        <v>0.115147453024785</v>
      </c>
      <c r="AU339" s="257">
        <f>IFERROR(IF(N(AU144)&lt;&gt;0,-AU145/AU144,""),"")</f>
        <v>0.115147453024785</v>
      </c>
      <c r="AV339" s="258">
        <f>IFERROR(IF(N(AV144)&lt;&gt;0,-AV145/AV144,""),"")</f>
        <v>0.115147453024785</v>
      </c>
      <c r="AW339" s="257">
        <f>IFERROR(IF(N(AW144)&lt;&gt;0,-AW145/AW144,""),"")</f>
        <v>0.115147453024785</v>
      </c>
      <c r="AX339" s="257">
        <f>IFERROR(IF(N(AX144)&lt;&gt;0,-AX145/AX144,""),"")</f>
        <v>0.115147453024785</v>
      </c>
      <c r="AY339" s="257">
        <f>IFERROR(IF(N(AY144)&lt;&gt;0,-AY145/AY144,""),"")</f>
        <v>0.115147453024785</v>
      </c>
      <c r="AZ339" s="257">
        <f>IFERROR(IF(N(AZ144)&lt;&gt;0,-AZ145/AZ144,""),"")</f>
        <v>0.115147453024785</v>
      </c>
      <c r="BA339" s="258">
        <f>IFERROR(IF(N(BA144)&lt;&gt;0,-BA145/BA144,""),"")</f>
        <v>0.115147453024785</v>
      </c>
      <c r="BB339" s="257">
        <f>IFERROR(IF(N(BB144)&lt;&gt;0,-BB145/BB144,""),"")</f>
        <v>0.115147453024785</v>
      </c>
      <c r="BC339" s="257">
        <f>IFERROR(IF(N(BC144)&lt;&gt;0,-BC145/BC144,""),"")</f>
        <v>0.115147453024785</v>
      </c>
      <c r="BD339" s="257">
        <f>IFERROR(IF(N(BD144)&lt;&gt;0,-BD145/BD144,""),"")</f>
        <v>0.115147453024785</v>
      </c>
      <c r="BE339" s="257">
        <f>IFERROR(IF(N(BE144)&lt;&gt;0,-BE145/BE144,""),"")</f>
        <v>0.115147453024785</v>
      </c>
      <c r="BF339" s="258">
        <f>IFERROR(IF(N(BF144)&lt;&gt;0,-BF145/BF144,""),"")</f>
        <v>0.115147453024785</v>
      </c>
      <c r="BG339" s="81" t="n"/>
      <c r="BH339" s="81" t="n"/>
      <c r="BI339" s="81" t="n"/>
      <c r="BJ339" s="81" t="n"/>
      <c r="BL339" s="81" t="n"/>
      <c r="BM339" s="81" t="n"/>
      <c r="BN339" s="81" t="n"/>
      <c r="BO339" s="81" t="n"/>
      <c r="BQ339" s="81" t="n"/>
      <c r="BR339" s="81" t="n"/>
      <c r="BS339" s="81" t="n"/>
      <c r="BT339" s="81" t="n"/>
      <c r="BV339" s="81" t="n"/>
      <c r="BW339" s="81" t="n"/>
      <c r="BX339" s="81" t="n"/>
      <c r="BY339" s="81" t="n"/>
      <c r="CA339" s="81" t="n"/>
      <c r="CB339" s="81" t="n"/>
      <c r="CC339" s="81" t="n"/>
      <c r="CD339" s="81" t="n"/>
      <c r="CF339" s="81" t="n"/>
      <c r="CG339" s="81" t="n"/>
      <c r="CH339" s="81" t="n"/>
      <c r="CI339" s="81" t="n"/>
      <c r="CK339" s="81" t="n"/>
      <c r="CL339" s="81" t="n"/>
      <c r="CM339" s="81" t="n"/>
      <c r="CN339" s="81" t="n"/>
      <c r="CP339" s="81" t="n"/>
      <c r="CQ339" s="81" t="n"/>
      <c r="CR339" s="81" t="n"/>
      <c r="CS339" s="81" t="n"/>
      <c r="CU339" s="81" t="n"/>
      <c r="CV339" s="81" t="n"/>
      <c r="CW339" s="81" t="n"/>
      <c r="CX339" s="81" t="n"/>
    </row>
    <row r="340" customFormat="1" s="77">
      <c r="A340" s="76" t="n"/>
      <c r="B340" s="76" t="n"/>
    </row>
    <row r="341" customFormat="1" s="77">
      <c r="A341" s="76" t="n"/>
      <c r="B341" s="76" t="n"/>
      <c r="C341" s="74" t="inlineStr">
        <is>
          <t>CAPITAL STRUCTURE</t>
        </is>
      </c>
    </row>
    <row r="342" customFormat="1" s="77">
      <c r="A342" s="76" t="n"/>
      <c r="B342" s="76" t="n"/>
      <c r="C342" s="77" t="inlineStr">
        <is>
          <t>TOTAL DEBT / EQUITY (BOOK VALUE)</t>
        </is>
      </c>
      <c r="H342" s="262" t="str">
        <f>IFERROR(IF(N(H285)&lt;&gt;0,(N(H226)+N(H227)+N(H228)+N(H231)+N(H249)+N(H252))/H285,""),"")</f>
        <v/>
      </c>
      <c r="I342" s="262">
        <f>IFERROR(IF(N(I285)&lt;&gt;0,(N(I226)+N(I227)+N(I228)+N(I231)+N(I249)+N(I252))/I285,""),"")</f>
        <v>0.404761321291885</v>
      </c>
      <c r="J342" s="262">
        <f>IFERROR(IF(N(J285)&lt;&gt;0,(N(J226)+N(J227)+N(J228)+N(J231)+N(J249)+N(J252))/J285,""),"")</f>
        <v>0.390947156793972</v>
      </c>
      <c r="K342" s="262">
        <f>IFERROR(IF(N(K285)&lt;&gt;0,(N(K226)+N(K227)+N(K228)+N(K231)+N(K249)+N(K252))/K285,""),"")</f>
        <v>0.515356739109763</v>
      </c>
      <c r="L342" s="262">
        <f>IFERROR(IF(N(L285)&lt;&gt;0,(N(L226)+N(L227)+N(L228)+N(L231)+N(L249)+N(L252))/L285,""),"")</f>
        <v>0.529883737309163</v>
      </c>
      <c r="M342" s="262">
        <f>IFERROR(IF(N(M285)&lt;&gt;0,(N(M226)+N(M227)+N(M228)+N(M231)+N(M249)+N(M252))/M285,""),"")</f>
        <v>0.529883737309163</v>
      </c>
      <c r="N342" s="262">
        <f>IFERROR(IF(N(N285)&lt;&gt;0,(N(N226)+N(N227)+N(N228)+N(N231)+N(N249)+N(N252))/N285,""),"")</f>
        <v>0.493424158799811</v>
      </c>
      <c r="O342" s="262">
        <f>IFERROR(IF(N(O285)&lt;&gt;0,(N(O226)+N(O227)+N(O228)+N(O231)+N(O249)+N(O252))/O285,""),"")</f>
        <v>0.501066253394052</v>
      </c>
      <c r="P342" s="262">
        <f>IFERROR(IF(N(P285)&lt;&gt;0,(N(P226)+N(P227)+N(P228)+N(P231)+N(P249)+N(P252))/P285,""),"")</f>
        <v>0.522760230324887</v>
      </c>
      <c r="Q342" s="262">
        <f>IFERROR(IF(N(Q285)&lt;&gt;0,(N(Q226)+N(Q227)+N(Q228)+N(Q231)+N(Q249)+N(Q252))/Q285,""),"")</f>
        <v>0.547979602346004</v>
      </c>
      <c r="R342" s="262">
        <f>IFERROR(IF(N(R285)&lt;&gt;0,(N(R226)+N(R227)+N(R228)+N(R231)+N(R249)+N(R252))/R285,""),"")</f>
        <v>0.547979602346004</v>
      </c>
      <c r="S342" s="262">
        <f>IFERROR(IF(N(S285)&lt;&gt;0,(N(S226)+N(S227)+N(S228)+N(S231)+N(S249)+N(S252))/S285,""),"")</f>
        <v>0.489367846023268</v>
      </c>
      <c r="T342" s="262">
        <f>IFERROR(IF(N(T285)&lt;&gt;0,(N(T226)+N(T227)+N(T228)+N(T231)+N(T249)+N(T252))/T285,""),"")</f>
        <v>0.453163620069896</v>
      </c>
      <c r="U342" s="262">
        <f>IFERROR(IF(N(U285)&lt;&gt;0,(N(U226)+N(U227)+N(U228)+N(U231)+N(U249)+N(U252))/U285,""),"")</f>
        <v>0.611381376377154</v>
      </c>
      <c r="V342" s="262">
        <f>IFERROR(IF(N(V285)&lt;&gt;0,(N(V226)+N(V227)+N(V228)+N(V231)+N(V249)+N(V252))/V285,""),"")</f>
        <v>0.615209934000682</v>
      </c>
      <c r="W342" s="262">
        <f>IFERROR(IF(N(W285)&lt;&gt;0,(N(W226)+N(W227)+N(W228)+N(W231)+N(W249)+N(W252))/W285,""),"")</f>
        <v>0.615209934000682</v>
      </c>
      <c r="X342" s="262">
        <f>IFERROR(IF(N(X285)&lt;&gt;0,(N(X226)+N(X227)+N(X228)+N(X231)+N(X249)+N(X252))/X285,""),"")</f>
        <v>0.51956852393128</v>
      </c>
      <c r="Y342" s="262">
        <f>IFERROR(IF(N(Y285)&lt;&gt;0,(N(Y226)+N(Y227)+N(Y228)+N(Y231)+N(Y249)+N(Y252))/Y285,""),"")</f>
        <v>1.02637112168438</v>
      </c>
      <c r="Z342" s="262">
        <f>IFERROR(IF(N(Z285)&lt;&gt;0,(N(Z226)+N(Z227)+N(Z228)+N(Z231)+N(Z249)+N(Z252))/Z285,""),"")</f>
        <v>0.893948853501119</v>
      </c>
      <c r="AA342" s="262">
        <f>IFERROR(IF(N(AA285)&lt;&gt;0,(N(AA226)+N(AA227)+N(AA228)+N(AA231)+N(AA249)+N(AA252))/AA285,""),"")</f>
        <v>0.75322842618662</v>
      </c>
      <c r="AB342" s="262">
        <f>IFERROR(IF(N(AB285)&lt;&gt;0,(N(AB226)+N(AB227)+N(AB228)+N(AB231)+N(AB249)+N(AB252))/AB285,""),"")</f>
        <v>0.75322842618662</v>
      </c>
      <c r="AC342" s="262">
        <f>IFERROR(IF(N(AC285)&lt;&gt;0,(N(AC226)+N(AC227)+N(AC228)+N(AC231)+N(AC249)+N(AC252))/AC285,""),"")</f>
        <v>0.942215259231838</v>
      </c>
      <c r="AD342" s="262">
        <f>IFERROR(IF(N(AD285)&lt;&gt;0,(N(AD226)+N(AD227)+N(AD228)+N(AD231)+N(AD249)+N(AD252))/AD285,""),"")</f>
        <v>0.825645918947927</v>
      </c>
      <c r="AE342" s="262">
        <f>IFERROR(IF(N(AE285)&lt;&gt;0,(N(AE226)+N(AE227)+N(AE228)+N(AE231)+N(AE249)+N(AE252))/AE285,""),"")</f>
        <v>0.805652905466014</v>
      </c>
      <c r="AF342" s="262">
        <f>IFERROR(IF(N(AF285)&lt;&gt;0,(N(AF226)+N(AF227)+N(AF228)+N(AF231)+N(AF249)+N(AF252))/AF285,""),"")</f>
        <v>0.887388135403543</v>
      </c>
      <c r="AG342" s="262">
        <f>IFERROR(IF(N(AG285)&lt;&gt;0,(N(AG226)+N(AG227)+N(AG228)+N(AG231)+N(AG249)+N(AG252))/AG285,""),"")</f>
        <v>0.887388135403543</v>
      </c>
      <c r="AH342" s="262">
        <f>IFERROR(IF(N(AH285)&lt;&gt;0,(N(AH226)+N(AH227)+N(AH228)+N(AH231)+N(AH249)+N(AH252))/AH285,""),"")</f>
        <v>0.713761846118067</v>
      </c>
      <c r="AI342" s="262">
        <f>IFERROR(IF(N(AI285)&lt;&gt;0,(N(AI226)+N(AI227)+N(AI228)+N(AI231)+N(AI249)+N(AI252))/AI285,""),"")</f>
        <v>0.655568196848853</v>
      </c>
      <c r="AJ342" s="262">
        <f>IFERROR(IF(N(AJ285)&lt;&gt;0,(N(AJ226)+N(AJ227)+N(AJ228)+N(AJ231)+N(AJ249)+N(AJ252))/AJ285,""),"")</f>
        <v>0.537906318988952</v>
      </c>
      <c r="AK342" s="262">
        <f>IFERROR(IF(N(AK285)&lt;&gt;0,(N(AK226)+N(AK227)+N(AK228)+N(AK231)+N(AK249)+N(AK252))/AK285,""),"")</f>
        <v>0.455916934856336</v>
      </c>
      <c r="AL342" s="262">
        <f>IFERROR(IF(N(AL285)&lt;&gt;0,(N(AL226)+N(AL227)+N(AL228)+N(AL231)+N(AL249)+N(AL252))/AL285,""),"")</f>
        <v>0.455916934856336</v>
      </c>
      <c r="AM342" s="262">
        <f>IFERROR(IF(N(AM285)&lt;&gt;0,(N(AM226)+N(AM227)+N(AM228)+N(AM231)+N(AM249)+N(AM252))/AM285,""),"")</f>
        <v>0.388633403332961</v>
      </c>
      <c r="AN342" s="262">
        <f>IFERROR(IF(N(AN285)&lt;&gt;0,(N(AN226)+N(AN227)+N(AN228)+N(AN231)+N(AN249)+N(AN252))/AN285,""),"")</f>
        <v>0.336561031248595</v>
      </c>
      <c r="AO342" s="262">
        <f>IFERROR(IF(N(AO285)&lt;&gt;0,(N(AO226)+N(AO227)+N(AO228)+N(AO231)+N(AO249)+N(AO252))/AO285,""),"")</f>
        <v>0.292270345301333</v>
      </c>
      <c r="AP342" s="262">
        <f>IFERROR(IF(N(AP285)&lt;&gt;0,(N(AP226)+N(AP227)+N(AP228)+N(AP231)+N(AP249)+N(AP252))/AP285,""),"")</f>
        <v>0.258222013303127</v>
      </c>
      <c r="AQ342" s="262">
        <f>IFERROR(IF(N(AQ285)&lt;&gt;0,(N(AQ226)+N(AQ227)+N(AQ228)+N(AQ231)+N(AQ249)+N(AQ252))/AQ285,""),"")</f>
        <v>0.258222013303127</v>
      </c>
      <c r="AR342" s="262">
        <f>IFERROR(IF(N(AR285)&lt;&gt;0,(N(AR226)+N(AR227)+N(AR228)+N(AR231)+N(AR249)+N(AR252))/AR285,""),"")</f>
        <v>0.228145437356753</v>
      </c>
      <c r="AS342" s="262">
        <f>IFERROR(IF(N(AS285)&lt;&gt;0,(N(AS226)+N(AS227)+N(AS228)+N(AS231)+N(AS249)+N(AS252))/AS285,""),"")</f>
        <v>0.203318023334236</v>
      </c>
      <c r="AT342" s="262">
        <f>IFERROR(IF(N(AT285)&lt;&gt;0,(N(AT226)+N(AT227)+N(AT228)+N(AT231)+N(AT249)+N(AT252))/AT285,""),"")</f>
        <v>0.181036436860871</v>
      </c>
      <c r="AU342" s="262">
        <f>IFERROR(IF(N(AU285)&lt;&gt;0,(N(AU226)+N(AU227)+N(AU228)+N(AU231)+N(AU249)+N(AU252))/AU285,""),"")</f>
        <v>0.163124467436195</v>
      </c>
      <c r="AV342" s="262">
        <f>IFERROR(IF(N(AV285)&lt;&gt;0,(N(AV226)+N(AV227)+N(AV228)+N(AV231)+N(AV249)+N(AV252))/AV285,""),"")</f>
        <v>0.163124467436195</v>
      </c>
      <c r="AW342" s="262">
        <f>IFERROR(IF(N(AW285)&lt;&gt;0,(N(AW226)+N(AW227)+N(AW228)+N(AW231)+N(AW249)+N(AW252))/AW285,""),"")</f>
        <v>0.146754218223414</v>
      </c>
      <c r="AX342" s="262">
        <f>IFERROR(IF(N(AX285)&lt;&gt;0,(N(AX226)+N(AX227)+N(AX228)+N(AX231)+N(AX249)+N(AX252))/AX285,""),"")</f>
        <v>0.132784022723531</v>
      </c>
      <c r="AY342" s="262">
        <f>IFERROR(IF(N(AY285)&lt;&gt;0,(N(AY226)+N(AY227)+N(AY228)+N(AY231)+N(AY249)+N(AY252))/AY285,""),"")</f>
        <v>0.119877480274932</v>
      </c>
      <c r="AZ342" s="262">
        <f>IFERROR(IF(N(AZ285)&lt;&gt;0,(N(AZ226)+N(AZ227)+N(AZ228)+N(AZ231)+N(AZ249)+N(AZ252))/AZ285,""),"")</f>
        <v>0.109238637994192</v>
      </c>
      <c r="BA342" s="262">
        <f>IFERROR(IF(N(BA285)&lt;&gt;0,(N(BA226)+N(BA227)+N(BA228)+N(BA231)+N(BA249)+N(BA252))/BA285,""),"")</f>
        <v>0.109238637994192</v>
      </c>
      <c r="BB342" s="262">
        <f>IFERROR(IF(N(BB285)&lt;&gt;0,(N(BB226)+N(BB227)+N(BB228)+N(BB231)+N(BB249)+N(BB252))/BB285,""),"")</f>
        <v>0.0993365045653276</v>
      </c>
      <c r="BC342" s="262">
        <f>IFERROR(IF(N(BC285)&lt;&gt;0,(N(BC226)+N(BC227)+N(BC228)+N(BC231)+N(BC249)+N(BC252))/BC285,""),"")</f>
        <v>0.0907155616533945</v>
      </c>
      <c r="BD342" s="262">
        <f>IFERROR(IF(N(BD285)&lt;&gt;0,(N(BD226)+N(BD227)+N(BD228)+N(BD231)+N(BD249)+N(BD252))/BD285,""),"")</f>
        <v>0.0826073512489082</v>
      </c>
      <c r="BE342" s="262">
        <f>IFERROR(IF(N(BE285)&lt;&gt;0,(N(BE226)+N(BE227)+N(BE228)+N(BE231)+N(BE249)+N(BE252))/BE285,""),"")</f>
        <v>0.0758174079130042</v>
      </c>
      <c r="BF342" s="262">
        <f>IFERROR(IF(N(BF285)&lt;&gt;0,(N(BF226)+N(BF227)+N(BF228)+N(BF231)+N(BF249)+N(BF252))/BF285,""),"")</f>
        <v>0.0758174079130042</v>
      </c>
    </row>
    <row r="343" customFormat="1" s="77">
      <c r="A343" s="76" t="n"/>
      <c r="B343" s="76" t="n"/>
      <c r="C343" s="77" t="inlineStr">
        <is>
          <t>NET DEBT / (NET DEBT + EQUITY) (BOOK VALUE)</t>
        </is>
      </c>
      <c r="H343" s="258" t="str">
        <f>IFERROR(IF(((N(H226)+N(H227)+N(H228)+N(H231)+N(H249)+N(H252))-N(H158)+N(H285))&lt;&gt;0,((N(H226)+N(H227)+N(H228)+N(H231)+N(H249)+N(H252))-N(H158))/((N(H226)+N(H227)+N(H228)+N(H231)+N(H249)+N(H252))-N(H158)+H285),""),"")</f>
        <v/>
      </c>
      <c r="I343" s="258">
        <f>IFERROR(IF(((N(I226)+N(I227)+N(I228)+N(I231)+N(I249)+N(I252))-N(I158)+N(I285))&lt;&gt;0,((N(I226)+N(I227)+N(I228)+N(I231)+N(I249)+N(I252))-N(I158))/((N(I226)+N(I227)+N(I228)+N(I231)+N(I249)+N(I252))-N(I158)+I285),""),"")</f>
        <v>-0.289768713048005</v>
      </c>
      <c r="J343" s="258">
        <f>IFERROR(IF(((N(J226)+N(J227)+N(J228)+N(J231)+N(J249)+N(J252))-N(J158)+N(J285))&lt;&gt;0,((N(J226)+N(J227)+N(J228)+N(J231)+N(J249)+N(J252))-N(J158))/((N(J226)+N(J227)+N(J228)+N(J231)+N(J249)+N(J252))-N(J158)+J285),""),"")</f>
        <v>-0.47199340846042</v>
      </c>
      <c r="K343" s="258">
        <f>IFERROR(IF(((N(K226)+N(K227)+N(K228)+N(K231)+N(K249)+N(K252))-N(K158)+N(K285))&lt;&gt;0,((N(K226)+N(K227)+N(K228)+N(K231)+N(K249)+N(K252))-N(K158))/((N(K226)+N(K227)+N(K228)+N(K231)+N(K249)+N(K252))-N(K158)+K285),""),"")</f>
        <v>-0.277984907736684</v>
      </c>
      <c r="L343" s="258">
        <f>IFERROR(IF(((N(L226)+N(L227)+N(L228)+N(L231)+N(L249)+N(L252))-N(L158)+N(L285))&lt;&gt;0,((N(L226)+N(L227)+N(L228)+N(L231)+N(L249)+N(L252))-N(L158))/((N(L226)+N(L227)+N(L228)+N(L231)+N(L249)+N(L252))-N(L158)+L285),""),"")</f>
        <v>-0.379874371342761</v>
      </c>
      <c r="M343" s="258">
        <f>IFERROR(IF(((N(M226)+N(M227)+N(M228)+N(M231)+N(M249)+N(M252))-N(M158)+N(M285))&lt;&gt;0,((N(M226)+N(M227)+N(M228)+N(M231)+N(M249)+N(M252))-N(M158))/((N(M226)+N(M227)+N(M228)+N(M231)+N(M249)+N(M252))-N(M158)+M285),""),"")</f>
        <v>-0.379874371342761</v>
      </c>
      <c r="N343" s="258">
        <f>IFERROR(IF(((N(N226)+N(N227)+N(N228)+N(N231)+N(N249)+N(N252))-N(N158)+N(N285))&lt;&gt;0,((N(N226)+N(N227)+N(N228)+N(N231)+N(N249)+N(N252))-N(N158))/((N(N226)+N(N227)+N(N228)+N(N231)+N(N249)+N(N252))-N(N158)+N285),""),"")</f>
        <v>-0.364736163849244</v>
      </c>
      <c r="O343" s="258">
        <f>IFERROR(IF(((N(O226)+N(O227)+N(O228)+N(O231)+N(O249)+N(O252))-N(O158)+N(O285))&lt;&gt;0,((N(O226)+N(O227)+N(O228)+N(O231)+N(O249)+N(O252))-N(O158))/((N(O226)+N(O227)+N(O228)+N(O231)+N(O249)+N(O252))-N(O158)+O285),""),"")</f>
        <v>-0.545385557438169</v>
      </c>
      <c r="P343" s="258">
        <f>IFERROR(IF(((N(P226)+N(P227)+N(P228)+N(P231)+N(P249)+N(P252))-N(P158)+N(P285))&lt;&gt;0,((N(P226)+N(P227)+N(P228)+N(P231)+N(P249)+N(P252))-N(P158))/((N(P226)+N(P227)+N(P228)+N(P231)+N(P249)+N(P252))-N(P158)+P285),""),"")</f>
        <v>-0.257968176325193</v>
      </c>
      <c r="Q343" s="258">
        <f>IFERROR(IF(((N(Q226)+N(Q227)+N(Q228)+N(Q231)+N(Q249)+N(Q252))-N(Q158)+N(Q285))&lt;&gt;0,((N(Q226)+N(Q227)+N(Q228)+N(Q231)+N(Q249)+N(Q252))-N(Q158))/((N(Q226)+N(Q227)+N(Q228)+N(Q231)+N(Q249)+N(Q252))-N(Q158)+Q285),""),"")</f>
        <v>-0.541775131299292</v>
      </c>
      <c r="R343" s="258">
        <f>IFERROR(IF(((N(R226)+N(R227)+N(R228)+N(R231)+N(R249)+N(R252))-N(R158)+N(R285))&lt;&gt;0,((N(R226)+N(R227)+N(R228)+N(R231)+N(R249)+N(R252))-N(R158))/((N(R226)+N(R227)+N(R228)+N(R231)+N(R249)+N(R252))-N(R158)+R285),""),"")</f>
        <v>-0.541775131299292</v>
      </c>
      <c r="S343" s="258">
        <f>IFERROR(IF(((N(S226)+N(S227)+N(S228)+N(S231)+N(S249)+N(S252))-N(S158)+N(S285))&lt;&gt;0,((N(S226)+N(S227)+N(S228)+N(S231)+N(S249)+N(S252))-N(S158))/((N(S226)+N(S227)+N(S228)+N(S231)+N(S249)+N(S252))-N(S158)+S285),""),"")</f>
        <v>-0.357397735274313</v>
      </c>
      <c r="T343" s="258">
        <f>IFERROR(IF(((N(T226)+N(T227)+N(T228)+N(T231)+N(T249)+N(T252))-N(T158)+N(T285))&lt;&gt;0,((N(T226)+N(T227)+N(T228)+N(T231)+N(T249)+N(T252))-N(T158))/((N(T226)+N(T227)+N(T228)+N(T231)+N(T249)+N(T252))-N(T158)+T285),""),"")</f>
        <v>-0.437956499509589</v>
      </c>
      <c r="U343" s="258">
        <f>IFERROR(IF(((N(U226)+N(U227)+N(U228)+N(U231)+N(U249)+N(U252))-N(U158)+N(U285))&lt;&gt;0,((N(U226)+N(U227)+N(U228)+N(U231)+N(U249)+N(U252))-N(U158))/((N(U226)+N(U227)+N(U228)+N(U231)+N(U249)+N(U252))-N(U158)+U285),""),"")</f>
        <v>-0.78162912781204</v>
      </c>
      <c r="V343" s="258">
        <f>IFERROR(IF(((N(V226)+N(V227)+N(V228)+N(V231)+N(V249)+N(V252))-N(V158)+N(V285))&lt;&gt;0,((N(V226)+N(V227)+N(V228)+N(V231)+N(V249)+N(V252))-N(V158))/((N(V226)+N(V227)+N(V228)+N(V231)+N(V249)+N(V252))-N(V158)+V285),""),"")</f>
        <v>-0.613071806595768</v>
      </c>
      <c r="W343" s="258">
        <f>IFERROR(IF(((N(W226)+N(W227)+N(W228)+N(W231)+N(W249)+N(W252))-N(W158)+N(W285))&lt;&gt;0,((N(W226)+N(W227)+N(W228)+N(W231)+N(W249)+N(W252))-N(W158))/((N(W226)+N(W227)+N(W228)+N(W231)+N(W249)+N(W252))-N(W158)+W285),""),"")</f>
        <v>-0.613071806595768</v>
      </c>
      <c r="X343" s="258">
        <f>IFERROR(IF(((N(X226)+N(X227)+N(X228)+N(X231)+N(X249)+N(X252))-N(X158)+N(X285))&lt;&gt;0,((N(X226)+N(X227)+N(X228)+N(X231)+N(X249)+N(X252))-N(X158))/((N(X226)+N(X227)+N(X228)+N(X231)+N(X249)+N(X252))-N(X158)+X285),""),"")</f>
        <v>-0.547345671756623</v>
      </c>
      <c r="Y343" s="258">
        <f>IFERROR(IF(((N(Y226)+N(Y227)+N(Y228)+N(Y231)+N(Y249)+N(Y252))-N(Y158)+N(Y285))&lt;&gt;0,((N(Y226)+N(Y227)+N(Y228)+N(Y231)+N(Y249)+N(Y252))-N(Y158))/((N(Y226)+N(Y227)+N(Y228)+N(Y231)+N(Y249)+N(Y252))-N(Y158)+Y285),""),"")</f>
        <v>-0.829063659482219</v>
      </c>
      <c r="Z343" s="258">
        <f>IFERROR(IF(((N(Z226)+N(Z227)+N(Z228)+N(Z231)+N(Z249)+N(Z252))-N(Z158)+N(Z285))&lt;&gt;0,((N(Z226)+N(Z227)+N(Z228)+N(Z231)+N(Z249)+N(Z252))-N(Z158))/((N(Z226)+N(Z227)+N(Z228)+N(Z231)+N(Z249)+N(Z252))-N(Z158)+Z285),""),"")</f>
        <v>-0.35435907009433</v>
      </c>
      <c r="AA343" s="258">
        <f>IFERROR(IF(((N(AA226)+N(AA227)+N(AA228)+N(AA231)+N(AA249)+N(AA252))-N(AA158)+N(AA285))&lt;&gt;0,((N(AA226)+N(AA227)+N(AA228)+N(AA231)+N(AA249)+N(AA252))-N(AA158))/((N(AA226)+N(AA227)+N(AA228)+N(AA231)+N(AA249)+N(AA252))-N(AA158)+AA285),""),"")</f>
        <v>-0.488645367375822</v>
      </c>
      <c r="AB343" s="258">
        <f>IFERROR(IF(((N(AB226)+N(AB227)+N(AB228)+N(AB231)+N(AB249)+N(AB252))-N(AB158)+N(AB285))&lt;&gt;0,((N(AB226)+N(AB227)+N(AB228)+N(AB231)+N(AB249)+N(AB252))-N(AB158))/((N(AB226)+N(AB227)+N(AB228)+N(AB231)+N(AB249)+N(AB252))-N(AB158)+AB285),""),"")</f>
        <v>-0.488645367375822</v>
      </c>
      <c r="AC343" s="258">
        <f>IFERROR(IF(((N(AC226)+N(AC227)+N(AC228)+N(AC231)+N(AC249)+N(AC252))-N(AC158)+N(AC285))&lt;&gt;0,((N(AC226)+N(AC227)+N(AC228)+N(AC231)+N(AC249)+N(AC252))-N(AC158))/((N(AC226)+N(AC227)+N(AC228)+N(AC231)+N(AC249)+N(AC252))-N(AC158)+AC285),""),"")</f>
        <v>-0.237162752194706</v>
      </c>
      <c r="AD343" s="258">
        <f>IFERROR(IF(((N(AD226)+N(AD227)+N(AD228)+N(AD231)+N(AD249)+N(AD252))-N(AD158)+N(AD285))&lt;&gt;0,((N(AD226)+N(AD227)+N(AD228)+N(AD231)+N(AD249)+N(AD252))-N(AD158))/((N(AD226)+N(AD227)+N(AD228)+N(AD231)+N(AD249)+N(AD252))-N(AD158)+AD285),""),"")</f>
        <v>-0.16864699884712</v>
      </c>
      <c r="AE343" s="258">
        <f>IFERROR(IF(((N(AE226)+N(AE227)+N(AE228)+N(AE231)+N(AE249)+N(AE252))-N(AE158)+N(AE285))&lt;&gt;0,((N(AE226)+N(AE227)+N(AE228)+N(AE231)+N(AE249)+N(AE252))-N(AE158))/((N(AE226)+N(AE227)+N(AE228)+N(AE231)+N(AE249)+N(AE252))-N(AE158)+AE285),""),"")</f>
        <v>-0.377726711367953</v>
      </c>
      <c r="AF343" s="258">
        <f>IFERROR(IF(((N(AF226)+N(AF227)+N(AF228)+N(AF231)+N(AF249)+N(AF252))-N(AF158)+N(AF285))&lt;&gt;0,((N(AF226)+N(AF227)+N(AF228)+N(AF231)+N(AF249)+N(AF252))-N(AF158))/((N(AF226)+N(AF227)+N(AF228)+N(AF231)+N(AF249)+N(AF252))-N(AF158)+AF285),""),"")</f>
        <v>-0.234806137277452</v>
      </c>
      <c r="AG343" s="258">
        <f>IFERROR(IF(((N(AG226)+N(AG227)+N(AG228)+N(AG231)+N(AG249)+N(AG252))-N(AG158)+N(AG285))&lt;&gt;0,((N(AG226)+N(AG227)+N(AG228)+N(AG231)+N(AG249)+N(AG252))-N(AG158))/((N(AG226)+N(AG227)+N(AG228)+N(AG231)+N(AG249)+N(AG252))-N(AG158)+AG285),""),"")</f>
        <v>-0.234806137277452</v>
      </c>
      <c r="AH343" s="258">
        <f>IFERROR(IF(((N(AH226)+N(AH227)+N(AH228)+N(AH231)+N(AH249)+N(AH252))-N(AH158)+N(AH285))&lt;&gt;0,((N(AH226)+N(AH227)+N(AH228)+N(AH231)+N(AH249)+N(AH252))-N(AH158))/((N(AH226)+N(AH227)+N(AH228)+N(AH231)+N(AH249)+N(AH252))-N(AH158)+AH285),""),"")</f>
        <v>-0.273988671286857</v>
      </c>
      <c r="AI343" s="258">
        <f>IFERROR(IF(((N(AI226)+N(AI227)+N(AI228)+N(AI231)+N(AI249)+N(AI252))-N(AI158)+N(AI285))&lt;&gt;0,((N(AI226)+N(AI227)+N(AI228)+N(AI231)+N(AI249)+N(AI252))-N(AI158))/((N(AI226)+N(AI227)+N(AI228)+N(AI231)+N(AI249)+N(AI252))-N(AI158)+AI285),""),"")</f>
        <v>-0.165246347303346</v>
      </c>
      <c r="AJ343" s="258">
        <f>IFERROR(IF(((N(AJ226)+N(AJ227)+N(AJ228)+N(AJ231)+N(AJ249)+N(AJ252))-N(AJ158)+N(AJ285))&lt;&gt;0,((N(AJ226)+N(AJ227)+N(AJ228)+N(AJ231)+N(AJ249)+N(AJ252))-N(AJ158))/((N(AJ226)+N(AJ227)+N(AJ228)+N(AJ231)+N(AJ249)+N(AJ252))-N(AJ158)+AJ285),""),"")</f>
        <v>-0.167164184881823</v>
      </c>
      <c r="AK343" s="258">
        <f>IFERROR(IF(((N(AK226)+N(AK227)+N(AK228)+N(AK231)+N(AK249)+N(AK252))-N(AK158)+N(AK285))&lt;&gt;0,((N(AK226)+N(AK227)+N(AK228)+N(AK231)+N(AK249)+N(AK252))-N(AK158))/((N(AK226)+N(AK227)+N(AK228)+N(AK231)+N(AK249)+N(AK252))-N(AK158)+AK285),""),"")</f>
        <v>-0.406766477519905</v>
      </c>
      <c r="AL343" s="258">
        <f>IFERROR(IF(((N(AL226)+N(AL227)+N(AL228)+N(AL231)+N(AL249)+N(AL252))-N(AL158)+N(AL285))&lt;&gt;0,((N(AL226)+N(AL227)+N(AL228)+N(AL231)+N(AL249)+N(AL252))-N(AL158))/((N(AL226)+N(AL227)+N(AL228)+N(AL231)+N(AL249)+N(AL252))-N(AL158)+AL285),""),"")</f>
        <v>-0.406766477519905</v>
      </c>
      <c r="AM343" s="258">
        <f>IFERROR(IF(((N(AM226)+N(AM227)+N(AM228)+N(AM231)+N(AM249)+N(AM252))-N(AM158)+N(AM285))&lt;&gt;0,((N(AM226)+N(AM227)+N(AM228)+N(AM231)+N(AM249)+N(AM252))-N(AM158))/((N(AM226)+N(AM227)+N(AM228)+N(AM231)+N(AM249)+N(AM252))-N(AM158)+AM285),""),"")</f>
        <v>-0.271185054405177</v>
      </c>
      <c r="AN343" s="258">
        <f>IFERROR(IF(((N(AN226)+N(AN227)+N(AN228)+N(AN231)+N(AN249)+N(AN252))-N(AN158)+N(AN285))&lt;&gt;0,((N(AN226)+N(AN227)+N(AN228)+N(AN231)+N(AN249)+N(AN252))-N(AN158))/((N(AN226)+N(AN227)+N(AN228)+N(AN231)+N(AN249)+N(AN252))-N(AN158)+AN285),""),"")</f>
        <v>-0.42268373299574</v>
      </c>
      <c r="AO343" s="258">
        <f>IFERROR(IF(((N(AO226)+N(AO227)+N(AO228)+N(AO231)+N(AO249)+N(AO252))-N(AO158)+N(AO285))&lt;&gt;0,((N(AO226)+N(AO227)+N(AO228)+N(AO231)+N(AO249)+N(AO252))-N(AO158))/((N(AO226)+N(AO227)+N(AO228)+N(AO231)+N(AO249)+N(AO252))-N(AO158)+AO285),""),"")</f>
        <v>-0.396924668290232</v>
      </c>
      <c r="AP343" s="258">
        <f>IFERROR(IF(((N(AP226)+N(AP227)+N(AP228)+N(AP231)+N(AP249)+N(AP252))-N(AP158)+N(AP285))&lt;&gt;0,((N(AP226)+N(AP227)+N(AP228)+N(AP231)+N(AP249)+N(AP252))-N(AP158))/((N(AP226)+N(AP227)+N(AP228)+N(AP231)+N(AP249)+N(AP252))-N(AP158)+AP285),""),"")</f>
        <v>-0.667476077134341</v>
      </c>
      <c r="AQ343" s="258">
        <f>IFERROR(IF(((N(AQ226)+N(AQ227)+N(AQ228)+N(AQ231)+N(AQ249)+N(AQ252))-N(AQ158)+N(AQ285))&lt;&gt;0,((N(AQ226)+N(AQ227)+N(AQ228)+N(AQ231)+N(AQ249)+N(AQ252))-N(AQ158))/((N(AQ226)+N(AQ227)+N(AQ228)+N(AQ231)+N(AQ249)+N(AQ252))-N(AQ158)+AQ285),""),"")</f>
        <v>-0.667476077134341</v>
      </c>
      <c r="AR343" s="258">
        <f>IFERROR(IF(((N(AR226)+N(AR227)+N(AR228)+N(AR231)+N(AR249)+N(AR252))-N(AR158)+N(AR285))&lt;&gt;0,((N(AR226)+N(AR227)+N(AR228)+N(AR231)+N(AR249)+N(AR252))-N(AR158))/((N(AR226)+N(AR227)+N(AR228)+N(AR231)+N(AR249)+N(AR252))-N(AR158)+AR285),""),"")</f>
        <v>-0.583125023951583</v>
      </c>
      <c r="AS343" s="258">
        <f>IFERROR(IF(((N(AS226)+N(AS227)+N(AS228)+N(AS231)+N(AS249)+N(AS252))-N(AS158)+N(AS285))&lt;&gt;0,((N(AS226)+N(AS227)+N(AS228)+N(AS231)+N(AS249)+N(AS252))-N(AS158))/((N(AS226)+N(AS227)+N(AS228)+N(AS231)+N(AS249)+N(AS252))-N(AS158)+AS285),""),"")</f>
        <v>-0.778050644511255</v>
      </c>
      <c r="AT343" s="258">
        <f>IFERROR(IF(((N(AT226)+N(AT227)+N(AT228)+N(AT231)+N(AT249)+N(AT252))-N(AT158)+N(AT285))&lt;&gt;0,((N(AT226)+N(AT227)+N(AT228)+N(AT231)+N(AT249)+N(AT252))-N(AT158))/((N(AT226)+N(AT227)+N(AT228)+N(AT231)+N(AT249)+N(AT252))-N(AT158)+AT285),""),"")</f>
        <v>-0.806382645810665</v>
      </c>
      <c r="AU343" s="258">
        <f>IFERROR(IF(((N(AU226)+N(AU227)+N(AU228)+N(AU231)+N(AU249)+N(AU252))-N(AU158)+N(AU285))&lt;&gt;0,((N(AU226)+N(AU227)+N(AU228)+N(AU231)+N(AU249)+N(AU252))-N(AU158))/((N(AU226)+N(AU227)+N(AU228)+N(AU231)+N(AU249)+N(AU252))-N(AU158)+AU285),""),"")</f>
        <v>-1.33263395217606</v>
      </c>
      <c r="AV343" s="258">
        <f>IFERROR(IF(((N(AV226)+N(AV227)+N(AV228)+N(AV231)+N(AV249)+N(AV252))-N(AV158)+N(AV285))&lt;&gt;0,((N(AV226)+N(AV227)+N(AV228)+N(AV231)+N(AV249)+N(AV252))-N(AV158))/((N(AV226)+N(AV227)+N(AV228)+N(AV231)+N(AV249)+N(AV252))-N(AV158)+AV285),""),"")</f>
        <v>-1.33263395217606</v>
      </c>
      <c r="AW343" s="258">
        <f>IFERROR(IF(((N(AW226)+N(AW227)+N(AW228)+N(AW231)+N(AW249)+N(AW252))-N(AW158)+N(AW285))&lt;&gt;0,((N(AW226)+N(AW227)+N(AW228)+N(AW231)+N(AW249)+N(AW252))-N(AW158))/((N(AW226)+N(AW227)+N(AW228)+N(AW231)+N(AW249)+N(AW252))-N(AW158)+AW285),""),"")</f>
        <v>-1.32203646285498</v>
      </c>
      <c r="AX343" s="258">
        <f>IFERROR(IF(((N(AX226)+N(AX227)+N(AX228)+N(AX231)+N(AX249)+N(AX252))-N(AX158)+N(AX285))&lt;&gt;0,((N(AX226)+N(AX227)+N(AX228)+N(AX231)+N(AX249)+N(AX252))-N(AX158))/((N(AX226)+N(AX227)+N(AX228)+N(AX231)+N(AX249)+N(AX252))-N(AX158)+AX285),""),"")</f>
        <v>-2.14026051852087</v>
      </c>
      <c r="AY343" s="258">
        <f>IFERROR(IF(((N(AY226)+N(AY227)+N(AY228)+N(AY231)+N(AY249)+N(AY252))-N(AY158)+N(AY285))&lt;&gt;0,((N(AY226)+N(AY227)+N(AY228)+N(AY231)+N(AY249)+N(AY252))-N(AY158))/((N(AY226)+N(AY227)+N(AY228)+N(AY231)+N(AY249)+N(AY252))-N(AY158)+AY285),""),"")</f>
        <v>-2.83366994491001</v>
      </c>
      <c r="AZ343" s="258">
        <f>IFERROR(IF(((N(AZ226)+N(AZ227)+N(AZ228)+N(AZ231)+N(AZ249)+N(AZ252))-N(AZ158)+N(AZ285))&lt;&gt;0,((N(AZ226)+N(AZ227)+N(AZ228)+N(AZ231)+N(AZ249)+N(AZ252))-N(AZ158))/((N(AZ226)+N(AZ227)+N(AZ228)+N(AZ231)+N(AZ249)+N(AZ252))-N(AZ158)+AZ285),""),"")</f>
        <v>-10.7169547576789</v>
      </c>
      <c r="BA343" s="258">
        <f>IFERROR(IF(((N(BA226)+N(BA227)+N(BA228)+N(BA231)+N(BA249)+N(BA252))-N(BA158)+N(BA285))&lt;&gt;0,((N(BA226)+N(BA227)+N(BA228)+N(BA231)+N(BA249)+N(BA252))-N(BA158))/((N(BA226)+N(BA227)+N(BA228)+N(BA231)+N(BA249)+N(BA252))-N(BA158)+BA285),""),"")</f>
        <v>-10.7169547576789</v>
      </c>
      <c r="BB343" s="258">
        <f>IFERROR(IF(((N(BB226)+N(BB227)+N(BB228)+N(BB231)+N(BB249)+N(BB252))-N(BB158)+N(BB285))&lt;&gt;0,((N(BB226)+N(BB227)+N(BB228)+N(BB231)+N(BB249)+N(BB252))-N(BB158))/((N(BB226)+N(BB227)+N(BB228)+N(BB231)+N(BB249)+N(BB252))-N(BB158)+BB285),""),"")</f>
        <v>-124.078028454861</v>
      </c>
      <c r="BC343" s="258">
        <f>IFERROR(IF(((N(BC226)+N(BC227)+N(BC228)+N(BC231)+N(BC249)+N(BC252))-N(BC158)+N(BC285))&lt;&gt;0,((N(BC226)+N(BC227)+N(BC228)+N(BC231)+N(BC249)+N(BC252))-N(BC158))/((N(BC226)+N(BC227)+N(BC228)+N(BC231)+N(BC249)+N(BC252))-N(BC158)+BC285),""),"")</f>
        <v>6.31711376625804</v>
      </c>
      <c r="BD343" s="258">
        <f>IFERROR(IF(((N(BD226)+N(BD227)+N(BD228)+N(BD231)+N(BD249)+N(BD252))-N(BD158)+N(BD285))&lt;&gt;0,((N(BD226)+N(BD227)+N(BD228)+N(BD231)+N(BD249)+N(BD252))-N(BD158))/((N(BD226)+N(BD227)+N(BD228)+N(BD231)+N(BD249)+N(BD252))-N(BD158)+BD285),""),"")</f>
        <v>3.82608469201522</v>
      </c>
      <c r="BE343" s="258">
        <f>IFERROR(IF(((N(BE226)+N(BE227)+N(BE228)+N(BE231)+N(BE249)+N(BE252))-N(BE158)+N(BE285))&lt;&gt;0,((N(BE226)+N(BE227)+N(BE228)+N(BE231)+N(BE249)+N(BE252))-N(BE158))/((N(BE226)+N(BE227)+N(BE228)+N(BE231)+N(BE249)+N(BE252))-N(BE158)+BE285),""),"")</f>
        <v>2.51758338953276</v>
      </c>
      <c r="BF343" s="258">
        <f>IFERROR(IF(((N(BF226)+N(BF227)+N(BF228)+N(BF231)+N(BF249)+N(BF252))-N(BF158)+N(BF285))&lt;&gt;0,((N(BF226)+N(BF227)+N(BF228)+N(BF231)+N(BF249)+N(BF252))-N(BF158))/((N(BF226)+N(BF227)+N(BF228)+N(BF231)+N(BF249)+N(BF252))-N(BF158)+BF285),""),"")</f>
        <v>2.51758338953276</v>
      </c>
    </row>
    <row r="344" customFormat="1" s="77">
      <c r="A344" s="76" t="n"/>
      <c r="B344" s="76" t="n"/>
    </row>
    <row r="345" customFormat="1" s="77">
      <c r="A345" s="76" t="n"/>
      <c r="B345" s="76" t="n"/>
      <c r="C345" s="74" t="inlineStr">
        <is>
          <t>FINANCIAL RISK RATIOS</t>
        </is>
      </c>
    </row>
    <row r="346" customFormat="1" s="77">
      <c r="A346" s="76" t="n"/>
      <c r="B346" s="76" t="n"/>
      <c r="C346" s="77" t="inlineStr">
        <is>
          <t>EBITDA / TOTAL INTEREST (LTM)</t>
        </is>
      </c>
      <c r="D346" s="82" t="str">
        <f>IFERROR(D83/-D88,"")</f>
        <v/>
      </c>
      <c r="E346" s="82" t="str">
        <f>IFERROR(E83/-E88,"")</f>
        <v/>
      </c>
      <c r="F346" s="82" t="str">
        <f>IFERROR(F83/-F88,"")</f>
        <v/>
      </c>
      <c r="G346" s="82" t="str">
        <f>IFERROR(G83/-G88,"")</f>
        <v/>
      </c>
      <c r="H346" s="262" t="str">
        <f>IFERROR(IF(AND(COUNT(H83)=1,(H88)&lt;&gt;0),(H83)/-(H88),""),"")</f>
        <v/>
      </c>
      <c r="I346" s="262" t="str">
        <f>""</f>
        <v/>
      </c>
      <c r="J346" s="262" t="str">
        <f>""</f>
        <v/>
      </c>
      <c r="K346" s="262" t="str">
        <f>""</f>
        <v/>
      </c>
      <c r="L346" s="262">
        <f>IFERROR(IF(AND(COUNT(I83,J83,K83,L83)=4,(I88+J88+K88+L88)&lt;&gt;0),(I83+J83+K83+L83)/-(I88+J88+K88+L88),""),"")</f>
        <v>7.58057111832975</v>
      </c>
      <c r="M346" s="262">
        <f>IFERROR(IF(AND(COUNT(I83,J83,K83,L83)=4,(I88+J88+K88+L88)&lt;&gt;0),(I83+J83+K83+L83)/-(I88+J88+K88+L88),""),"")</f>
        <v>7.58057111832975</v>
      </c>
      <c r="N346" s="262">
        <f>IFERROR(IF(AND(COUNT(J83,K83,L83,N83)=4,(J88+K88+L88+N88)&lt;&gt;0),(J83+K83+L83+N83)/-(J88+K88+L88+N88),""),"")</f>
        <v>6.61952503049242</v>
      </c>
      <c r="O346" s="262">
        <f>IFERROR(IF(AND(COUNT(K83,L83,N83,O83)=4,(K88+L88+N88+O88)&lt;&gt;0),(K83+L83+N83+O83)/-(K88+L88+N88+O88),""),"")</f>
        <v>5.83244653823322</v>
      </c>
      <c r="P346" s="262">
        <f>IFERROR(IF(AND(COUNT(L83,N83,O83,P83)=4,(L88+N88+O88+P88)&lt;&gt;0),(L83+N83+O83+P83)/-(L88+N88+O88+P88),""),"")</f>
        <v>5.41722165905541</v>
      </c>
      <c r="Q346" s="262">
        <f>IFERROR(IF(AND(COUNT(N83,O83,P83,Q83)=4,(N88+O88+P88+Q88)&lt;&gt;0),(N83+O83+P83+Q83)/-(N88+O88+P88+Q88),""),"")</f>
        <v>5.06067037584211</v>
      </c>
      <c r="R346" s="262">
        <f>IFERROR(IF(AND(COUNT(N83,O83,P83,Q83)=4,(N88+O88+P88+Q88)&lt;&gt;0),(N83+O83+P83+Q83)/-(N88+O88+P88+Q88),""),"")</f>
        <v>5.06067037584211</v>
      </c>
      <c r="S346" s="262">
        <f>IFERROR(IF(AND(COUNT(O83,P83,Q83,S83)=4,(O88+P88+Q88+S88)&lt;&gt;0),(O83+P83+Q83+S83)/-(O88+P88+Q88+S88),""),"")</f>
        <v>5.03271681225406</v>
      </c>
      <c r="T346" s="262">
        <f>IFERROR(IF(AND(COUNT(P83,Q83,S83,T83)=4,(P88+Q88+S88+T88)&lt;&gt;0),(P83+Q83+S83+T83)/-(P88+Q88+S88+T88),""),"")</f>
        <v>5.19570901675092</v>
      </c>
      <c r="U346" s="262">
        <f>IFERROR(IF(AND(COUNT(Q83,S83,T83,U83)=4,(Q88+S88+T88+U88)&lt;&gt;0),(Q83+S83+T83+U83)/-(Q88+S88+T88+U88),""),"")</f>
        <v>5.40463609250919</v>
      </c>
      <c r="V346" s="262">
        <f>IFERROR(IF(AND(COUNT(S83,T83,U83,V83)=4,(S88+T88+U88+V88)&lt;&gt;0),(S83+T83+U83+V83)/-(S88+T88+U88+V88),""),"")</f>
        <v>6.05396146893445</v>
      </c>
      <c r="W346" s="262">
        <f>IFERROR(IF(AND(COUNT(S83,T83,U83,V83)=4,(S88+T88+U88+V88)&lt;&gt;0),(S83+T83+U83+V83)/-(S88+T88+U88+V88),""),"")</f>
        <v>6.05396146893445</v>
      </c>
      <c r="X346" s="262">
        <f>IFERROR(IF(AND(COUNT(T83,U83,V83,X83)=4,(T88+U88+V88+X88)&lt;&gt;0),(T83+U83+V83+X83)/-(T88+U88+V88+X88),""),"")</f>
        <v>6.74976997310122</v>
      </c>
      <c r="Y346" s="262">
        <f>IFERROR(IF(AND(COUNT(U83,V83,X83,Y83)=4,(U88+V88+X88+Y88)&lt;&gt;0),(U83+V83+X83+Y83)/-(U88+V88+X88+Y88),""),"")</f>
        <v>6.92643584526616</v>
      </c>
      <c r="Z346" s="262">
        <f>IFERROR(IF(AND(COUNT(V83,X83,Y83,Z83)=4,(V88+X88+Y88+Z88)&lt;&gt;0),(V83+X83+Y83+Z83)/-(V88+X88+Y88+Z88),""),"")</f>
        <v>6.59364418943979</v>
      </c>
      <c r="AA346" s="262">
        <f>IFERROR(IF(AND(COUNT(X83,Y83,Z83,AA83)=4,(X88+Y88+Z88+AA88)&lt;&gt;0),(X83+Y83+Z83+AA83)/-(X88+Y88+Z88+AA88),""),"")</f>
        <v>6.14056957995844</v>
      </c>
      <c r="AB346" s="262">
        <f>IFERROR(IF(AND(COUNT(X83,Y83,Z83,AA83)=4,(X88+Y88+Z88+AA88)&lt;&gt;0),(X83+Y83+Z83+AA83)/-(X88+Y88+Z88+AA88),""),"")</f>
        <v>6.14056957995844</v>
      </c>
      <c r="AC346" s="262">
        <f>IFERROR(IF(AND(COUNT(Y83,Z83,AA83,AC83)=4,(Y88+Z88+AA88+AC88)&lt;&gt;0),(Y83+Z83+AA83+AC83)/-(Y88+Z88+AA88+AC88),""),"")</f>
        <v>5.76923732175257</v>
      </c>
      <c r="AD346" s="262">
        <f>IFERROR(IF(AND(COUNT(Z83,AA83,AC83,AD83)=4,(Z88+AA88+AC88+AD88)&lt;&gt;0),(Z83+AA83+AC83+AD83)/-(Z88+AA88+AC88+AD88),""),"")</f>
        <v>5.77914321099284</v>
      </c>
      <c r="AE346" s="262">
        <f>IFERROR(IF(AND(COUNT(AA83,AC83,AD83,AE83)=4,(AA88+AC88+AD88+AE88)&lt;&gt;0),(AA83+AC83+AD83+AE83)/-(AA88+AC88+AD88+AE88),""),"")</f>
        <v>5.89922404909525</v>
      </c>
      <c r="AF346" s="262">
        <f>IFERROR(IF(AND(COUNT(AB83,AD83,AE83,AF83)=4,(AB88+AD88+AE88+AF88)&lt;&gt;0),(AB83+AD83+AE83+AF83)/-(AB88+AD88+AE88+AF88),""),"")</f>
        <v>6.09455109170549</v>
      </c>
      <c r="AG346" s="262">
        <f>IFERROR(IF(AND(COUNT(AC83,AD83,AE83,AF83)=4,(AC88+AD88+AE88+AF88)&lt;&gt;0),(AC83+AD83+AE83+AF83)/-(AC88+AD88+AE88+AF88),""),"")</f>
        <v>5.94735050676538</v>
      </c>
      <c r="AH346" s="262">
        <f>IFERROR(IF(AND(COUNT(AD83,AF83,AG83,AH83)=4,(AD88+AF88+AG88+AH88)&lt;&gt;0),(AD83+AF83+AG83+AH83)/-(AD88+AF88+AG88+AH88),""),"")</f>
        <v>6.12889095363445</v>
      </c>
      <c r="AI346" s="262">
        <f>IFERROR(IF(AND(COUNT(AE83,AG83,AH83,AI83)=4,(AE88+AG88+AH88+AI88)&lt;&gt;0),(AE83+AG83+AH83+AI83)/-(AE88+AG88+AH88+AI88),""),"")</f>
        <v>6.00373038609737</v>
      </c>
      <c r="AJ346" s="262" t="str">
        <f>IFERROR(IF(AND(COUNT(AF83,AH83,AI83,AJ83)=4,(AF88+AH88+AI88+AJ88)&lt;&gt;0),(AF83+AH83+AI83+AJ83)/-(AF88+AH88+AI88+AJ88),""),"")</f>
        <v/>
      </c>
      <c r="AK346" s="262" t="str">
        <f>IFERROR(IF(AND(COUNT(AH83,AI83,AJ83,AK83)=4,(AH88+AI88+AJ88+AK88)&lt;&gt;0),(AH83+AI83+AJ83+AK83)/-(AH88+AI88+AJ88+AK88),""),"")</f>
        <v/>
      </c>
      <c r="AL346" s="262" t="str">
        <f>IFERROR(IF(AND(COUNT(AH83,AI83,AJ83,AK83)=4,(AH88+AI88+AJ88+AK88)&lt;&gt;0),(AH83+AI83+AJ83+AK83)/-(AH88+AI88+AJ88+AK88),""),"")</f>
        <v/>
      </c>
      <c r="AM346" s="262" t="str">
        <f>IFERROR(IF(AND(COUNT(AI83,AJ83,AK83,AM83)=4,(AI88+AJ88+AK88+AM88)&lt;&gt;0),(AI83+AJ83+AK83+AM83)/-(AI88+AJ88+AK88+AM88),""),"")</f>
        <v/>
      </c>
      <c r="AN346" s="262" t="str">
        <f>IFERROR(IF(AND(COUNT(AJ83,AK83,AM83,AN83)=4,(AJ88+AK88+AM88+AN88)&lt;&gt;0),(AJ83+AK83+AM83+AN83)/-(AJ88+AK88+AM88+AN88),""),"")</f>
        <v/>
      </c>
      <c r="AO346" s="262" t="str">
        <f>IFERROR(IF(AND(COUNT(AK83,AM83,AN83,AO83)=4,(AK88+AM88+AN88+AO88)&lt;&gt;0),(AK83+AM83+AN83+AO83)/-(AK88+AM88+AN88+AO88),""),"")</f>
        <v/>
      </c>
      <c r="AP346" s="262" t="str">
        <f>IFERROR(IF(AND(COUNT(AM83,AN83,AO83,AP83)=4,(AM88+AN88+AO88+AP88)&lt;&gt;0),(AM83+AN83+AO83+AP83)/-(AM88+AN88+AO88+AP88),""),"")</f>
        <v/>
      </c>
      <c r="AQ346" s="262" t="str">
        <f>IFERROR(IF(AND(COUNT(AM83,AN83,AO83,AP83)=4,(AM88+AN88+AO88+AP88)&lt;&gt;0),(AM83+AN83+AO83+AP83)/-(AM88+AN88+AO88+AP88),""),"")</f>
        <v/>
      </c>
      <c r="AR346" s="262" t="str">
        <f>IFERROR(IF(AND(COUNT(AN83,AO83,AP83,AR83)=4,(AN88+AO88+AP88+AR88)&lt;&gt;0),(AN83+AO83+AP83+AR83)/-(AN88+AO88+AP88+AR88),""),"")</f>
        <v/>
      </c>
      <c r="AS346" s="262" t="str">
        <f>IFERROR(IF(AND(COUNT(AO83,AP83,AR83,AS83)=4,(AO88+AP88+AR88+AS88)&lt;&gt;0),(AO83+AP83+AR83+AS83)/-(AO88+AP88+AR88+AS88),""),"")</f>
        <v/>
      </c>
      <c r="AT346" s="262" t="str">
        <f>IFERROR(IF(AND(COUNT(AP83,AR83,AS83,AT83)=4,(AP88+AR88+AS88+AT88)&lt;&gt;0),(AP83+AR83+AS83+AT83)/-(AP88+AR88+AS88+AT88),""),"")</f>
        <v/>
      </c>
      <c r="AU346" s="262" t="str">
        <f>IFERROR(IF(AND(COUNT(AR83,AS83,AT83,AU83)=4,(AR88+AS88+AT88+AU88)&lt;&gt;0),(AR83+AS83+AT83+AU83)/-(AR88+AS88+AT88+AU88),""),"")</f>
        <v/>
      </c>
      <c r="AV346" s="262" t="str">
        <f>IFERROR(IF(AND(COUNT(AR83,AS83,AT83,AU83)=4,(AR88+AS88+AT88+AU88)&lt;&gt;0),(AR83+AS83+AT83+AU83)/-(AR88+AS88+AT88+AU88),""),"")</f>
        <v/>
      </c>
      <c r="AW346" s="262" t="str">
        <f>IFERROR(IF(AND(COUNT(AS83,AT83,AU83,AW83)=4,(AS88+AT88+AU88+AW88)&lt;&gt;0),(AS83+AT83+AU83+AW83)/-(AS88+AT88+AU88+AW88),""),"")</f>
        <v/>
      </c>
      <c r="AX346" s="262" t="str">
        <f>IFERROR(IF(AND(COUNT(AT83,AU83,AW83,AX83)=4,(AT88+AU88+AW88+AX88)&lt;&gt;0),(AT83+AU83+AW83+AX83)/-(AT88+AU88+AW88+AX88),""),"")</f>
        <v/>
      </c>
      <c r="AY346" s="262" t="str">
        <f>IFERROR(IF(AND(COUNT(AU83,AW83,AX83,AY83)=4,(AU88+AW88+AX88+AY88)&lt;&gt;0),(AU83+AW83+AX83+AY83)/-(AU88+AW88+AX88+AY88),""),"")</f>
        <v/>
      </c>
      <c r="AZ346" s="262" t="str">
        <f>IFERROR(IF(AND(COUNT(AW83,AX83,AY83,AZ83)=4,(AW88+AX88+AY88+AZ88)&lt;&gt;0),(AW83+AX83+AY83+AZ83)/-(AW88+AX88+AY88+AZ88),""),"")</f>
        <v/>
      </c>
      <c r="BA346" s="262" t="str">
        <f>IFERROR(IF(AND(COUNT(AW83,AX83,AY83,AZ83)=4,(AW88+AX88+AY88+AZ88)&lt;&gt;0),(AW83+AX83+AY83+AZ83)/-(AW88+AX88+AY88+AZ88),""),"")</f>
        <v/>
      </c>
      <c r="BB346" s="262" t="str">
        <f>IFERROR(IF(AND(COUNT(AX83,AY83,AZ83,BB83)=4,(AX88+AY88+AZ88+BB88)&lt;&gt;0),(AX83+AY83+AZ83+BB83)/-(AX88+AY88+AZ88+BB88),""),"")</f>
        <v/>
      </c>
      <c r="BC346" s="262" t="str">
        <f>IFERROR(IF(AND(COUNT(AY83,AZ83,BB83,BC83)=4,(AY88+AZ88+BB88+BC88)&lt;&gt;0),(AY83+AZ83+BB83+BC83)/-(AY88+AZ88+BB88+BC88),""),"")</f>
        <v/>
      </c>
      <c r="BD346" s="262" t="str">
        <f>IFERROR(IF(AND(COUNT(AZ83,BB83,BC83,BD83)=4,(AZ88+BB88+BC88+BD88)&lt;&gt;0),(AZ83+BB83+BC83+BD83)/-(AZ88+BB88+BC88+BD88),""),"")</f>
        <v/>
      </c>
      <c r="BE346" s="262" t="str">
        <f>IFERROR(IF(AND(COUNT(BB83,BC83,BD83,BE83)=4,(BB88+BC88+BD88+BE88)&lt;&gt;0),(BB83+BC83+BD83+BE83)/-(BB88+BC88+BD88+BE88),""),"")</f>
        <v/>
      </c>
      <c r="BF346" s="262" t="str">
        <f>IFERROR(IF(AND(COUNT(BB83,BC83,BD83,BE83)=4,(BB88+BC88+BD88+BE88)&lt;&gt;0),(BB83+BC83+BD83+BE83)/-(BB88+BC88+BD88+BE88),""),"")</f>
        <v/>
      </c>
      <c r="BG346" s="82" t="n"/>
      <c r="BH346" s="82" t="n"/>
      <c r="BI346" s="82" t="n"/>
      <c r="BJ346" s="82" t="n"/>
      <c r="BL346" s="82" t="n"/>
      <c r="BM346" s="82" t="n"/>
      <c r="BN346" s="82" t="n"/>
      <c r="BO346" s="82" t="n"/>
      <c r="BQ346" s="82" t="n"/>
      <c r="BR346" s="82" t="n"/>
      <c r="BS346" s="82" t="n"/>
      <c r="BT346" s="82" t="n"/>
      <c r="BV346" s="82" t="n"/>
      <c r="BW346" s="82" t="n"/>
      <c r="BX346" s="82" t="n"/>
      <c r="BY346" s="82" t="n"/>
      <c r="CA346" s="82" t="n"/>
      <c r="CB346" s="82" t="n"/>
      <c r="CC346" s="82" t="n"/>
      <c r="CD346" s="82" t="n"/>
      <c r="CF346" s="82" t="n"/>
      <c r="CG346" s="82" t="n"/>
      <c r="CH346" s="82" t="n"/>
      <c r="CI346" s="82" t="n"/>
      <c r="CK346" s="82" t="n"/>
      <c r="CL346" s="82" t="n"/>
      <c r="CM346" s="82" t="n"/>
      <c r="CN346" s="82" t="n"/>
      <c r="CP346" s="82" t="n"/>
      <c r="CQ346" s="82" t="n"/>
      <c r="CR346" s="82" t="n"/>
      <c r="CS346" s="82" t="n"/>
      <c r="CU346" s="82" t="n"/>
      <c r="CV346" s="82" t="n"/>
      <c r="CW346" s="82" t="n"/>
      <c r="CX346" s="82" t="n"/>
    </row>
    <row r="347" customFormat="1" s="77">
      <c r="A347" s="76" t="n"/>
      <c r="B347" s="76" t="n"/>
      <c r="C347" s="77" t="inlineStr">
        <is>
          <t>(EBITDA - CAPEX) / TOTAL INTEREST (LTM)</t>
        </is>
      </c>
      <c r="D347" s="82" t="str">
        <f>IFERROR((D83-D182)/-D88,"")</f>
        <v/>
      </c>
      <c r="E347" s="82" t="str">
        <f>IFERROR((E83-E182)/-E88,"")</f>
        <v/>
      </c>
      <c r="F347" s="82" t="str">
        <f>IFERROR((F83-F182)/-F88,"")</f>
        <v/>
      </c>
      <c r="G347" s="82" t="str">
        <f>IFERROR((G83-G182)/-G88,"")</f>
        <v/>
      </c>
      <c r="H347" s="262" t="str">
        <f>IFERROR(IF(AND(COUNT(H83)=1,(H88)&lt;&gt;0),((H83)-(H182))/-(H88),""),"")</f>
        <v/>
      </c>
      <c r="I347" s="262" t="str">
        <f>""</f>
        <v/>
      </c>
      <c r="J347" s="262" t="str">
        <f>""</f>
        <v/>
      </c>
      <c r="K347" s="262" t="str">
        <f>""</f>
        <v/>
      </c>
      <c r="L347" s="262">
        <f>IFERROR(IF(AND(COUNT(I83,J83,K83,L83)=4,(I88+J88+K88+L88)&lt;&gt;0),((I83+J83+K83+L83)-(I182+J182+K182+L182))/-(I88+J88+K88+L88),""),"")</f>
        <v>7.44655738198202</v>
      </c>
      <c r="M347" s="262">
        <f>IFERROR(IF(AND(COUNT(I83,J83,K83,L83)=4,(I88+J88+K88+L88)&lt;&gt;0),((I83+J83+K83+L83)-(I182+J182+K182+L182))/-(I88+J88+K88+L88),""),"")</f>
        <v>7.44655738198202</v>
      </c>
      <c r="N347" s="262">
        <f>IFERROR(IF(AND(COUNT(J83,K83,L83,N83)=4,(J88+K88+L88+N88)&lt;&gt;0),((J83+K83+L83+N83)-(J182+K182+L182+N182))/-(J88+K88+L88+N88),""),"")</f>
        <v>6.51616754279858</v>
      </c>
      <c r="O347" s="262">
        <f>IFERROR(IF(AND(COUNT(K83,L83,N83,O83)=4,(K88+L88+N88+O88)&lt;&gt;0),((K83+L83+N83+O83)-(K182+L182+N182+O182))/-(K88+L88+N88+O88),""),"")</f>
        <v>5.74516946657095</v>
      </c>
      <c r="P347" s="262">
        <f>IFERROR(IF(AND(COUNT(L83,N83,O83,P83)=4,(L88+N88+O88+P88)&lt;&gt;0),((L83+N83+O83+P83)-(L182+N182+O182+P182))/-(L88+N88+O88+P88),""),"")</f>
        <v>5.30579369716337</v>
      </c>
      <c r="Q347" s="262">
        <f>IFERROR(IF(AND(COUNT(N83,O83,P83,Q83)=4,(N88+O88+P88+Q88)&lt;&gt;0),((N83+O83+P83+Q83)-(N182+O182+P182+Q182))/-(N88+O88+P88+Q88),""),"")</f>
        <v>4.88194601437808</v>
      </c>
      <c r="R347" s="262">
        <f>IFERROR(IF(AND(COUNT(N83,O83,P83,Q83)=4,(N88+O88+P88+Q88)&lt;&gt;0),((N83+O83+P83+Q83)-(N182+O182+P182+Q182))/-(N88+O88+P88+Q88),""),"")</f>
        <v>4.88194601437808</v>
      </c>
      <c r="S347" s="262">
        <f>IFERROR(IF(AND(COUNT(O83,P83,Q83,S83)=4,(O88+P88+Q88+S88)&lt;&gt;0),((O83+P83+Q83+S83)-(O182+P182+Q182+S182))/-(O88+P88+Q88+S88),""),"")</f>
        <v>4.71634149858876</v>
      </c>
      <c r="T347" s="262">
        <f>IFERROR(IF(AND(COUNT(P83,Q83,S83,T83)=4,(P88+Q88+S88+T88)&lt;&gt;0),((P83+Q83+S83+T83)-(P182+Q182+S182+T182))/-(P88+Q88+S88+T88),""),"")</f>
        <v>4.84560412330261</v>
      </c>
      <c r="U347" s="262">
        <f>IFERROR(IF(AND(COUNT(Q83,S83,T83,U83)=4,(Q88+S88+T88+U88)&lt;&gt;0),((Q83+S83+T83+U83)-(Q182+S182+T182+U182))/-(Q88+S88+T88+U88),""),"")</f>
        <v>5.04669906364822</v>
      </c>
      <c r="V347" s="262">
        <f>IFERROR(IF(AND(COUNT(S83,T83,U83,V83)=4,(S88+T88+U88+V88)&lt;&gt;0),((S83+T83+U83+V83)-(S182+T182+U182+V182))/-(S88+T88+U88+V88),""),"")</f>
        <v>5.67906758416811</v>
      </c>
      <c r="W347" s="262">
        <f>IFERROR(IF(AND(COUNT(S83,T83,U83,V83)=4,(S88+T88+U88+V88)&lt;&gt;0),((S83+T83+U83+V83)-(S182+T182+U182+V182))/-(S88+T88+U88+V88),""),"")</f>
        <v>5.67906758416811</v>
      </c>
      <c r="X347" s="262">
        <f>IFERROR(IF(AND(COUNT(T83,U83,V83,X83)=4,(T88+U88+V88+X88)&lt;&gt;0),((T83+U83+V83+X83)-(T182+U182+V182+X182))/-(T88+U88+V88+X88),""),"")</f>
        <v>6.4221295372805</v>
      </c>
      <c r="Y347" s="262">
        <f>IFERROR(IF(AND(COUNT(U83,V83,X83,Y83)=4,(U88+V88+X88+Y88)&lt;&gt;0),((U83+V83+X83+Y83)-(U182+V182+X182+Y182))/-(U88+V88+X88+Y88),""),"")</f>
        <v>6.62596338096881</v>
      </c>
      <c r="Z347" s="262">
        <f>IFERROR(IF(AND(COUNT(V83,X83,Y83,Z83)=4,(V88+X88+Y88+Z88)&lt;&gt;0),((V83+X83+Y83+Z83)-(V182+X182+Y182+Z182))/-(V88+X88+Y88+Z88),""),"")</f>
        <v>6.29679090170788</v>
      </c>
      <c r="AA347" s="262">
        <f>IFERROR(IF(AND(COUNT(X83,Y83,Z83,AA83)=4,(X88+Y88+Z88+AA88)&lt;&gt;0),((X83+Y83+Z83+AA83)-(X182+Y182+Z182+AA182))/-(X88+Y88+Z88+AA88),""),"")</f>
        <v>5.86253973965662</v>
      </c>
      <c r="AB347" s="262">
        <f>IFERROR(IF(AND(COUNT(X83,Y83,Z83,AA83)=4,(X88+Y88+Z88+AA88)&lt;&gt;0),((X83+Y83+Z83+AA83)-(X182+Y182+Z182+AA182))/-(X88+Y88+Z88+AA88),""),"")</f>
        <v>5.86253973965662</v>
      </c>
      <c r="AC347" s="262">
        <f>IFERROR(IF(AND(COUNT(Y83,Z83,AA83,AC83)=4,(Y88+Z88+AA88+AC88)&lt;&gt;0),((Y83+Z83+AA83+AC83)-(Y182+Z182+AA182+AC182))/-(Y88+Z88+AA88+AC88),""),"")</f>
        <v>5.53968308208759</v>
      </c>
      <c r="AD347" s="262">
        <f>IFERROR(IF(AND(COUNT(Z83,AA83,AC83,AD83)=4,(Z88+AA88+AC88+AD88)&lt;&gt;0),((Z83+AA83+AC83+AD83)-(Z182+AA182+AC182+AD182))/-(Z88+AA88+AC88+AD88),""),"")</f>
        <v>5.57463086189027</v>
      </c>
      <c r="AE347" s="262">
        <f>IFERROR(IF(AND(COUNT(AA83,AC83,AD83,AE83)=4,(AA88+AC88+AD88+AE88)&lt;&gt;0),((AA83+AC83+AD83+AE83)-(AA182+AC182+AD182+AE182))/-(AA88+AC88+AD88+AE88),""),"")</f>
        <v>5.72244041063035</v>
      </c>
      <c r="AF347" s="262">
        <f>IFERROR(IF(AND(COUNT(AB83,AD83,AE83,AF83)=4,(AB88+AD88+AE88+AF88)&lt;&gt;0),((AB83+AD83+AE83+AF83)-(AB182+AD182+AE182+AF182))/-(AB88+AD88+AE88+AF88),""),"")</f>
        <v>6.01003808789437</v>
      </c>
      <c r="AG347" s="262">
        <f>IFERROR(IF(AND(COUNT(AC83,AD83,AE83,AF83)=4,(AC88+AD88+AE88+AF88)&lt;&gt;0),((AC83+AD83+AE83+AF83)-(AC182+AD182+AE182+AF182))/-(AC88+AD88+AE88+AF88),""),"")</f>
        <v>5.78906647045921</v>
      </c>
      <c r="AH347" s="262">
        <f>IFERROR(IF(AND(COUNT(AD83,AF83,AG83,AH83)=4,(AD88+AF88+AG88+AH88)&lt;&gt;0),((AD83+AF83+AG83+AH83)-(AD182+AF182+AG182+AH182))/-(AD88+AF88+AG88+AH88),""),"")</f>
        <v>5.96135354344951</v>
      </c>
      <c r="AI347" s="262">
        <f>IFERROR(IF(AND(COUNT(AE83,AG83,AH83,AI83)=4,(AE88+AG88+AH88+AI88)&lt;&gt;0),((AE83+AG83+AH83+AI83)-(AE182+AG182+AH182+AI182))/-(AE88+AG88+AH88+AI88),""),"")</f>
        <v>5.83054712893859</v>
      </c>
      <c r="AJ347" s="262" t="str">
        <f>IFERROR(IF(AND(COUNT(AF83,AH83,AI83,AJ83)=4,(AF88+AH88+AI88+AJ88)&lt;&gt;0),((AF83+AH83+AI83+AJ83)-(AF182+AH182+AI182+AJ182))/-(AF88+AH88+AI88+AJ88),""),"")</f>
        <v/>
      </c>
      <c r="AK347" s="262" t="str">
        <f>IFERROR(IF(AND(COUNT(AH83,AI83,AJ83,AK83)=4,(AH88+AI88+AJ88+AK88)&lt;&gt;0),((AH83+AI83+AJ83+AK83)-(AH182+AI182+AJ182+AK182))/-(AH88+AI88+AJ88+AK88),""),"")</f>
        <v/>
      </c>
      <c r="AL347" s="262" t="str">
        <f>IFERROR(IF(AND(COUNT(AH83,AI83,AJ83,AK83)=4,(AH88+AI88+AJ88+AK88)&lt;&gt;0),((AH83+AI83+AJ83+AK83)-(AH182+AI182+AJ182+AK182))/-(AH88+AI88+AJ88+AK88),""),"")</f>
        <v/>
      </c>
      <c r="AM347" s="262" t="str">
        <f>IFERROR(IF(AND(COUNT(AI83,AJ83,AK83,AM83)=4,(AI88+AJ88+AK88+AM88)&lt;&gt;0),((AI83+AJ83+AK83+AM83)-(AI182+AJ182+AK182+AM182))/-(AI88+AJ88+AK88+AM88),""),"")</f>
        <v/>
      </c>
      <c r="AN347" s="262" t="str">
        <f>IFERROR(IF(AND(COUNT(AJ83,AK83,AM83,AN83)=4,(AJ88+AK88+AM88+AN88)&lt;&gt;0),((AJ83+AK83+AM83+AN83)-(AJ182+AK182+AM182+AN182))/-(AJ88+AK88+AM88+AN88),""),"")</f>
        <v/>
      </c>
      <c r="AO347" s="262" t="str">
        <f>IFERROR(IF(AND(COUNT(AK83,AM83,AN83,AO83)=4,(AK88+AM88+AN88+AO88)&lt;&gt;0),((AK83+AM83+AN83+AO83)-(AK182+AM182+AN182+AO182))/-(AK88+AM88+AN88+AO88),""),"")</f>
        <v/>
      </c>
      <c r="AP347" s="262" t="str">
        <f>IFERROR(IF(AND(COUNT(AM83,AN83,AO83,AP83)=4,(AM88+AN88+AO88+AP88)&lt;&gt;0),((AM83+AN83+AO83+AP83)-(AM182+AN182+AO182+AP182))/-(AM88+AN88+AO88+AP88),""),"")</f>
        <v/>
      </c>
      <c r="AQ347" s="262" t="str">
        <f>IFERROR(IF(AND(COUNT(AM83,AN83,AO83,AP83)=4,(AM88+AN88+AO88+AP88)&lt;&gt;0),((AM83+AN83+AO83+AP83)-(AM182+AN182+AO182+AP182))/-(AM88+AN88+AO88+AP88),""),"")</f>
        <v/>
      </c>
      <c r="AR347" s="262" t="str">
        <f>IFERROR(IF(AND(COUNT(AN83,AO83,AP83,AR83)=4,(AN88+AO88+AP88+AR88)&lt;&gt;0),((AN83+AO83+AP83+AR83)-(AN182+AO182+AP182+AR182))/-(AN88+AO88+AP88+AR88),""),"")</f>
        <v/>
      </c>
      <c r="AS347" s="262" t="str">
        <f>IFERROR(IF(AND(COUNT(AO83,AP83,AR83,AS83)=4,(AO88+AP88+AR88+AS88)&lt;&gt;0),((AO83+AP83+AR83+AS83)-(AO182+AP182+AR182+AS182))/-(AO88+AP88+AR88+AS88),""),"")</f>
        <v/>
      </c>
      <c r="AT347" s="262" t="str">
        <f>IFERROR(IF(AND(COUNT(AP83,AR83,AS83,AT83)=4,(AP88+AR88+AS88+AT88)&lt;&gt;0),((AP83+AR83+AS83+AT83)-(AP182+AR182+AS182+AT182))/-(AP88+AR88+AS88+AT88),""),"")</f>
        <v/>
      </c>
      <c r="AU347" s="262" t="str">
        <f>IFERROR(IF(AND(COUNT(AR83,AS83,AT83,AU83)=4,(AR88+AS88+AT88+AU88)&lt;&gt;0),((AR83+AS83+AT83+AU83)-(AR182+AS182+AT182+AU182))/-(AR88+AS88+AT88+AU88),""),"")</f>
        <v/>
      </c>
      <c r="AV347" s="262" t="str">
        <f>IFERROR(IF(AND(COUNT(AR83,AS83,AT83,AU83)=4,(AR88+AS88+AT88+AU88)&lt;&gt;0),((AR83+AS83+AT83+AU83)-(AR182+AS182+AT182+AU182))/-(AR88+AS88+AT88+AU88),""),"")</f>
        <v/>
      </c>
      <c r="AW347" s="262" t="str">
        <f>IFERROR(IF(AND(COUNT(AS83,AT83,AU83,AW83)=4,(AS88+AT88+AU88+AW88)&lt;&gt;0),((AS83+AT83+AU83+AW83)-(AS182+AT182+AU182+AW182))/-(AS88+AT88+AU88+AW88),""),"")</f>
        <v/>
      </c>
      <c r="AX347" s="262" t="str">
        <f>IFERROR(IF(AND(COUNT(AT83,AU83,AW83,AX83)=4,(AT88+AU88+AW88+AX88)&lt;&gt;0),((AT83+AU83+AW83+AX83)-(AT182+AU182+AW182+AX182))/-(AT88+AU88+AW88+AX88),""),"")</f>
        <v/>
      </c>
      <c r="AY347" s="262" t="str">
        <f>IFERROR(IF(AND(COUNT(AU83,AW83,AX83,AY83)=4,(AU88+AW88+AX88+AY88)&lt;&gt;0),((AU83+AW83+AX83+AY83)-(AU182+AW182+AX182+AY182))/-(AU88+AW88+AX88+AY88),""),"")</f>
        <v/>
      </c>
      <c r="AZ347" s="262" t="str">
        <f>IFERROR(IF(AND(COUNT(AW83,AX83,AY83,AZ83)=4,(AW88+AX88+AY88+AZ88)&lt;&gt;0),((AW83+AX83+AY83+AZ83)-(AW182+AX182+AY182+AZ182))/-(AW88+AX88+AY88+AZ88),""),"")</f>
        <v/>
      </c>
      <c r="BA347" s="262" t="str">
        <f>IFERROR(IF(AND(COUNT(AW83,AX83,AY83,AZ83)=4,(AW88+AX88+AY88+AZ88)&lt;&gt;0),((AW83+AX83+AY83+AZ83)-(AW182+AX182+AY182+AZ182))/-(AW88+AX88+AY88+AZ88),""),"")</f>
        <v/>
      </c>
      <c r="BB347" s="262" t="str">
        <f>IFERROR(IF(AND(COUNT(AX83,AY83,AZ83,BB83)=4,(AX88+AY88+AZ88+BB88)&lt;&gt;0),((AX83+AY83+AZ83+BB83)-(AX182+AY182+AZ182+BB182))/-(AX88+AY88+AZ88+BB88),""),"")</f>
        <v/>
      </c>
      <c r="BC347" s="262" t="str">
        <f>IFERROR(IF(AND(COUNT(AY83,AZ83,BB83,BC83)=4,(AY88+AZ88+BB88+BC88)&lt;&gt;0),((AY83+AZ83+BB83+BC83)-(AY182+AZ182+BB182+BC182))/-(AY88+AZ88+BB88+BC88),""),"")</f>
        <v/>
      </c>
      <c r="BD347" s="262" t="str">
        <f>IFERROR(IF(AND(COUNT(AZ83,BB83,BC83,BD83)=4,(AZ88+BB88+BC88+BD88)&lt;&gt;0),((AZ83+BB83+BC83+BD83)-(AZ182+BB182+BC182+BD182))/-(AZ88+BB88+BC88+BD88),""),"")</f>
        <v/>
      </c>
      <c r="BE347" s="262" t="str">
        <f>IFERROR(IF(AND(COUNT(BB83,BC83,BD83,BE83)=4,(BB88+BC88+BD88+BE88)&lt;&gt;0),((BB83+BC83+BD83+BE83)-(BB182+BC182+BD182+BE182))/-(BB88+BC88+BD88+BE88),""),"")</f>
        <v/>
      </c>
      <c r="BF347" s="262" t="str">
        <f>IFERROR(IF(AND(COUNT(BB83,BC83,BD83,BE83)=4,(BB88+BC88+BD88+BE88)&lt;&gt;0),((BB83+BC83+BD83+BE83)-(BB182+BC182+BD182+BE182))/-(BB88+BC88+BD88+BE88),""),"")</f>
        <v/>
      </c>
      <c r="BG347" s="82" t="n"/>
      <c r="BH347" s="82" t="n"/>
      <c r="BI347" s="82" t="n"/>
      <c r="BJ347" s="82" t="n"/>
      <c r="BL347" s="82" t="n"/>
      <c r="BM347" s="82" t="n"/>
      <c r="BN347" s="82" t="n"/>
      <c r="BO347" s="82" t="n"/>
      <c r="BQ347" s="82" t="n"/>
      <c r="BR347" s="82" t="n"/>
      <c r="BS347" s="82" t="n"/>
      <c r="BT347" s="82" t="n"/>
      <c r="BV347" s="82" t="n"/>
      <c r="BW347" s="82" t="n"/>
      <c r="BX347" s="82" t="n"/>
      <c r="BY347" s="82" t="n"/>
      <c r="CA347" s="82" t="n"/>
      <c r="CB347" s="82" t="n"/>
      <c r="CC347" s="82" t="n"/>
      <c r="CD347" s="82" t="n"/>
      <c r="CF347" s="82" t="n"/>
      <c r="CG347" s="82" t="n"/>
      <c r="CH347" s="82" t="n"/>
      <c r="CI347" s="82" t="n"/>
      <c r="CK347" s="82" t="n"/>
      <c r="CL347" s="82" t="n"/>
      <c r="CM347" s="82" t="n"/>
      <c r="CN347" s="82" t="n"/>
      <c r="CP347" s="82" t="n"/>
      <c r="CQ347" s="82" t="n"/>
      <c r="CR347" s="82" t="n"/>
      <c r="CS347" s="82" t="n"/>
      <c r="CU347" s="82" t="n"/>
      <c r="CV347" s="82" t="n"/>
      <c r="CW347" s="82" t="n"/>
      <c r="CX347" s="82" t="n"/>
    </row>
    <row r="348" customFormat="1" s="77">
      <c r="A348" s="76" t="n"/>
      <c r="B348" s="76" t="n"/>
      <c r="C348" s="77" t="inlineStr">
        <is>
          <t>TOTAL DEBT / EBITDA (LTM)</t>
        </is>
      </c>
      <c r="D348" s="82" t="str">
        <f>IFERROR(SUM(D226,D227,D228,D231,D249,D252)/D83,"")</f>
        <v/>
      </c>
      <c r="E348" s="82" t="str">
        <f>IFERROR(SUM(E226,E227,E228,E231,E249,E252)/E83,"")</f>
        <v/>
      </c>
      <c r="F348" s="82" t="str">
        <f>IFERROR(SUM(F226,F227,F228,F231,F249,F252)/F83,"")</f>
        <v/>
      </c>
      <c r="G348" s="82" t="str">
        <f>IFERROR(SUM(G226,G227,G228,G231,G249,G252)/G83,"")</f>
        <v/>
      </c>
      <c r="H348" s="262" t="str">
        <f>IFERROR(IF(AND(COUNT(H83)=1,(H83)&lt;&gt;0),(N(H226)+N(H227)+N(H228)+N(H231)+N(H249)+N(H252))/(H83),""),"")</f>
        <v/>
      </c>
      <c r="I348" s="262" t="str">
        <f>""</f>
        <v/>
      </c>
      <c r="J348" s="262" t="str">
        <f>""</f>
        <v/>
      </c>
      <c r="K348" s="262" t="str">
        <f>""</f>
        <v/>
      </c>
      <c r="L348" s="262">
        <f>IFERROR(IF(AND(COUNT(I83,J83,K83,L83)=4,(I83+J83+K83+L83)&lt;&gt;0),(N(L226)+N(L227)+N(L228)+N(L231)+N(L249)+N(L252))/(I83+J83+K83+L83),""),"")</f>
        <v>1.03806150988858</v>
      </c>
      <c r="M348" s="262">
        <f>IFERROR(IF(AND(COUNT(I83,J83,K83,L83)=4,(I83+J83+K83+L83)&lt;&gt;0),(N(M226)+N(M227)+N(M228)+N(M231)+N(M249)+N(M252))/(I83+J83+K83+L83),""),"")</f>
        <v>1.03806150988858</v>
      </c>
      <c r="N348" s="262">
        <f>IFERROR(IF(AND(COUNT(J83,K83,L83,N83)=4,(J83+K83+L83+N83)&lt;&gt;0),(N(N226)+N(N227)+N(N228)+N(N231)+N(N249)+N(N252))/(J83+K83+L83+N83),""),"")</f>
        <v>0.992000313484099</v>
      </c>
      <c r="O348" s="262">
        <f>IFERROR(IF(AND(COUNT(K83,L83,N83,O83)=4,(K83+L83+N83+O83)&lt;&gt;0),(N(O226)+N(O227)+N(O228)+N(O231)+N(O249)+N(O252))/(K83+L83+N83+O83),""),"")</f>
        <v>0.944346109821901</v>
      </c>
      <c r="P348" s="262">
        <f>IFERROR(IF(AND(COUNT(L83,N83,O83,P83)=4,(L83+N83+O83+P83)&lt;&gt;0),(N(P226)+N(P227)+N(P228)+N(P231)+N(P249)+N(P252))/(L83+N83+O83+P83),""),"")</f>
        <v>1.00373051649963</v>
      </c>
      <c r="Q348" s="262">
        <f>IFERROR(IF(AND(COUNT(N83,O83,P83,Q83)=4,(N83+O83+P83+Q83)&lt;&gt;0),(N(Q226)+N(Q227)+N(Q228)+N(Q231)+N(Q249)+N(Q252))/(N83+O83+P83+Q83),""),"")</f>
        <v>1.07433563566402</v>
      </c>
      <c r="R348" s="262">
        <f>IFERROR(IF(AND(COUNT(N83,O83,P83,Q83)=4,(N83+O83+P83+Q83)&lt;&gt;0),(N(R226)+N(R227)+N(R228)+N(R231)+N(R249)+N(R252))/(N83+O83+P83+Q83),""),"")</f>
        <v>1.07433563566402</v>
      </c>
      <c r="S348" s="262">
        <f>IFERROR(IF(AND(COUNT(O83,P83,Q83,S83)=4,(O83+P83+Q83+S83)&lt;&gt;0),(N(S226)+N(S227)+N(S228)+N(S231)+N(S249)+N(S252))/(O83+P83+Q83+S83),""),"")</f>
        <v>0.971244252932255</v>
      </c>
      <c r="T348" s="262">
        <f>IFERROR(IF(AND(COUNT(P83,Q83,S83,T83)=4,(P83+Q83+S83+T83)&lt;&gt;0),(N(T226)+N(T227)+N(T228)+N(T231)+N(T249)+N(T252))/(P83+Q83+S83+T83),""),"")</f>
        <v>0.953093641067076</v>
      </c>
      <c r="U348" s="262">
        <f>IFERROR(IF(AND(COUNT(Q83,S83,T83,U83)=4,(Q83+S83+T83+U83)&lt;&gt;0),(N(U226)+N(U227)+N(U228)+N(U231)+N(U249)+N(U252))/(Q83+S83+T83+U83),""),"")</f>
        <v>1.18007011802664</v>
      </c>
      <c r="V348" s="262">
        <f>IFERROR(IF(AND(COUNT(S83,T83,U83,V83)=4,(S83+T83+U83+V83)&lt;&gt;0),(N(V226)+N(V227)+N(V228)+N(V231)+N(V249)+N(V252))/(S83+T83+U83+V83),""),"")</f>
        <v>1.01185650771655</v>
      </c>
      <c r="W348" s="262">
        <f>IFERROR(IF(AND(COUNT(S83,T83,U83,V83)=4,(S83+T83+U83+V83)&lt;&gt;0),(N(W226)+N(W227)+N(W228)+N(W231)+N(W249)+N(W252))/(S83+T83+U83+V83),""),"")</f>
        <v>1.01185650771655</v>
      </c>
      <c r="X348" s="262">
        <f>IFERROR(IF(AND(COUNT(T83,U83,V83,X83)=4,(T83+U83+V83+X83)&lt;&gt;0),(N(X226)+N(X227)+N(X228)+N(X231)+N(X249)+N(X252))/(T83+U83+V83+X83),""),"")</f>
        <v>0.898358143632535</v>
      </c>
      <c r="Y348" s="262">
        <f>IFERROR(IF(AND(COUNT(U83,V83,X83,Y83)=4,(U83+V83+X83+Y83)&lt;&gt;0),(N(Y226)+N(Y227)+N(Y228)+N(Y231)+N(Y249)+N(Y252))/(U83+V83+X83+Y83),""),"")</f>
        <v>1.49549425207499</v>
      </c>
      <c r="Z348" s="262">
        <f>IFERROR(IF(AND(COUNT(V83,X83,Y83,Z83)=4,(V83+X83+Y83+Z83)&lt;&gt;0),(N(Z226)+N(Z227)+N(Z228)+N(Z231)+N(Z249)+N(Z252))/(V83+X83+Y83+Z83),""),"")</f>
        <v>1.38427115957145</v>
      </c>
      <c r="AA348" s="262">
        <f>IFERROR(IF(AND(COUNT(X83,Y83,Z83,AA83)=4,(X83+Y83+Z83+AA83)&lt;&gt;0),(N(AA226)+N(AA227)+N(AA228)+N(AA231)+N(AA249)+N(AA252))/(X83+Y83+Z83+AA83),""),"")</f>
        <v>1.17109782341131</v>
      </c>
      <c r="AB348" s="262">
        <f>IFERROR(IF(AND(COUNT(X83,Y83,Z83,AA83)=4,(X83+Y83+Z83+AA83)&lt;&gt;0),(N(AB226)+N(AB227)+N(AB228)+N(AB231)+N(AB249)+N(AB252))/(X83+Y83+Z83+AA83),""),"")</f>
        <v>1.17109782341131</v>
      </c>
      <c r="AC348" s="262">
        <f>IFERROR(IF(AND(COUNT(Y83,Z83,AA83,AC83)=4,(Y83+Z83+AA83+AC83)&lt;&gt;0),(N(AC226)+N(AC227)+N(AC228)+N(AC231)+N(AC249)+N(AC252))/(Y83+Z83+AA83+AC83),""),"")</f>
        <v>1.35837434021393</v>
      </c>
      <c r="AD348" s="262">
        <f>IFERROR(IF(AND(COUNT(Z83,AA83,AC83,AD83)=4,(Z83+AA83+AC83+AD83)&lt;&gt;0),(N(AD226)+N(AD227)+N(AD228)+N(AD231)+N(AD249)+N(AD252))/(Z83+AA83+AC83+AD83),""),"")</f>
        <v>1.2292165597307</v>
      </c>
      <c r="AE348" s="262">
        <f>IFERROR(IF(AND(COUNT(AA83,AC83,AD83,AE83)=4,(AA83+AC83+AD83+AE83)&lt;&gt;0),(N(AE226)+N(AE227)+N(AE228)+N(AE231)+N(AE249)+N(AE252))/(AA83+AC83+AD83+AE83),""),"")</f>
        <v>1.12229146058858</v>
      </c>
      <c r="AF348" s="262">
        <f>IFERROR(IF(AND(COUNT(AB83,AD83,AE83,AF83)=4,(AB83+AD83+AE83+AF83)&lt;&gt;0),(N(AF226)+N(AF227)+N(AF228)+N(AF231)+N(AF249)+N(AF252))/(AB83+AD83+AE83+AF83),""),"")</f>
        <v>0.796922735111596</v>
      </c>
      <c r="AG348" s="262">
        <f>IFERROR(IF(AND(COUNT(AC83,AD83,AE83,AF83)=4,(AC83+AD83+AE83+AF83)&lt;&gt;0),(N(AG226)+N(AG227)+N(AG228)+N(AG231)+N(AG249)+N(AG252))/(AC83+AD83+AE83+AF83),""),"")</f>
        <v>1.13842669913542</v>
      </c>
      <c r="AH348" s="262">
        <f>IFERROR(IF(AND(COUNT(AD83,AF83,AG83,AH83)=4,(AD83+AF83+AG83+AH83)&lt;&gt;0),(N(AH226)+N(AH227)+N(AH228)+N(AH231)+N(AH249)+N(AH252))/(AD83+AF83+AG83+AH83),""),"")</f>
        <v>0.567758797200867</v>
      </c>
      <c r="AI348" s="262">
        <f>IFERROR(IF(AND(COUNT(AE83,AG83,AH83,AI83)=4,(AE83+AG83+AH83+AI83)&lt;&gt;0),(N(AI226)+N(AI227)+N(AI228)+N(AI231)+N(AI249)+N(AI252))/(AE83+AG83+AH83+AI83),""),"")</f>
        <v>0.553778670841124</v>
      </c>
      <c r="AJ348" s="262">
        <f>IFERROR(IF(AND(COUNT(AF83,AH83,AI83,AJ83)=4,(AF83+AH83+AI83+AJ83)&lt;&gt;0),(N(AJ226)+N(AJ227)+N(AJ228)+N(AJ231)+N(AJ249)+N(AJ252))/(AF83+AH83+AI83+AJ83),""),"")</f>
        <v>0.836173916330923</v>
      </c>
      <c r="AK348" s="262">
        <f>IFERROR(IF(AND(COUNT(AH83,AI83,AJ83,AK83)=4,(AH83+AI83+AJ83+AK83)&lt;&gt;0),(N(AK226)+N(AK227)+N(AK228)+N(AK231)+N(AK249)+N(AK252))/(AH83+AI83+AJ83+AK83),""),"")</f>
        <v>0.783344660005053</v>
      </c>
      <c r="AL348" s="262">
        <f>IFERROR(IF(AND(COUNT(AH83,AI83,AJ83,AK83)=4,(AH83+AI83+AJ83+AK83)&lt;&gt;0),(N(AL226)+N(AL227)+N(AL228)+N(AL231)+N(AL249)+N(AL252))/(AH83+AI83+AJ83+AK83),""),"")</f>
        <v>0.783344660005053</v>
      </c>
      <c r="AM348" s="262">
        <f>IFERROR(IF(AND(COUNT(AI83,AJ83,AK83,AM83)=4,(AI83+AJ83+AK83+AM83)&lt;&gt;0),(N(AM226)+N(AM227)+N(AM228)+N(AM231)+N(AM249)+N(AM252))/(AI83+AJ83+AK83+AM83),""),"")</f>
        <v>0.734716464858449</v>
      </c>
      <c r="AN348" s="262">
        <f>IFERROR(IF(AND(COUNT(AJ83,AK83,AM83,AN83)=4,(AJ83+AK83+AM83+AN83)&lt;&gt;0),(N(AN226)+N(AN227)+N(AN228)+N(AN231)+N(AN249)+N(AN252))/(AJ83+AK83+AM83+AN83),""),"")</f>
        <v>0.674900322123746</v>
      </c>
      <c r="AO348" s="262">
        <f>IFERROR(IF(AND(COUNT(AK83,AM83,AN83,AO83)=4,(AK83+AM83+AN83+AO83)&lt;&gt;0),(N(AO226)+N(AO227)+N(AO228)+N(AO231)+N(AO249)+N(AO252))/(AK83+AM83+AN83+AO83),""),"")</f>
        <v>0.62453645822904</v>
      </c>
      <c r="AP348" s="262">
        <f>IFERROR(IF(AND(COUNT(AM83,AN83,AO83,AP83)=4,(AM83+AN83+AO83+AP83)&lt;&gt;0),(N(AP226)+N(AP227)+N(AP228)+N(AP231)+N(AP249)+N(AP252))/(AM83+AN83+AO83+AP83),""),"")</f>
        <v>0.581087912087539</v>
      </c>
      <c r="AQ348" s="262">
        <f>IFERROR(IF(AND(COUNT(AM83,AN83,AO83,AP83)=4,(AM83+AN83+AO83+AP83)&lt;&gt;0),(N(AQ226)+N(AQ227)+N(AQ228)+N(AQ231)+N(AQ249)+N(AQ252))/(AM83+AN83+AO83+AP83),""),"")</f>
        <v>0.581087912087539</v>
      </c>
      <c r="AR348" s="262">
        <f>IFERROR(IF(AND(COUNT(AN83,AO83,AP83,AR83)=4,(AN83+AO83+AP83+AR83)&lt;&gt;0),(N(AR226)+N(AR227)+N(AR228)+N(AR231)+N(AR249)+N(AR252))/(AN83+AO83+AP83+AR83),""),"")</f>
        <v>0.539098108547531</v>
      </c>
      <c r="AS348" s="262">
        <f>IFERROR(IF(AND(COUNT(AO83,AP83,AR83,AS83)=4,(AO83+AP83+AR83+AS83)&lt;&gt;0),(N(AS226)+N(AS227)+N(AS228)+N(AS231)+N(AS249)+N(AS252))/(AO83+AP83+AR83+AS83),""),"")</f>
        <v>0.50113374468873</v>
      </c>
      <c r="AT348" s="262">
        <f>IFERROR(IF(AND(COUNT(AP83,AR83,AS83,AT83)=4,(AP83+AR83+AS83+AT83)&lt;&gt;0),(N(AT226)+N(AT227)+N(AT228)+N(AT231)+N(AT249)+N(AT252))/(AP83+AR83+AS83+AT83),""),"")</f>
        <v>0.464164493613063</v>
      </c>
      <c r="AU348" s="262">
        <f>IFERROR(IF(AND(COUNT(AR83,AS83,AT83,AU83)=4,(AR83+AS83+AT83+AU83)&lt;&gt;0),(N(AU226)+N(AU227)+N(AU228)+N(AU231)+N(AU249)+N(AU252))/(AR83+AS83+AT83+AU83),""),"")</f>
        <v>0.432216584960903</v>
      </c>
      <c r="AV348" s="262">
        <f>IFERROR(IF(AND(COUNT(AR83,AS83,AT83,AU83)=4,(AR83+AS83+AT83+AU83)&lt;&gt;0),(N(AV226)+N(AV227)+N(AV228)+N(AV231)+N(AV249)+N(AV252))/(AR83+AS83+AT83+AU83),""),"")</f>
        <v>0.432216584960903</v>
      </c>
      <c r="AW348" s="262">
        <f>IFERROR(IF(AND(COUNT(AS83,AT83,AU83,AW83)=4,(AS83+AT83+AU83+AW83)&lt;&gt;0),(N(AW226)+N(AW227)+N(AW228)+N(AW231)+N(AW249)+N(AW252))/(AS83+AT83+AU83+AW83),""),"")</f>
        <v>0.401405385227917</v>
      </c>
      <c r="AX348" s="262">
        <f>IFERROR(IF(AND(COUNT(AT83,AU83,AW83,AX83)=4,(AT83+AU83+AW83+AX83)&lt;&gt;0),(N(AX226)+N(AX227)+N(AX228)+N(AX231)+N(AX249)+N(AX252))/(AT83+AU83+AW83+AX83),""),"")</f>
        <v>0.373492212039346</v>
      </c>
      <c r="AY348" s="262">
        <f>IFERROR(IF(AND(COUNT(AU83,AW83,AX83,AY83)=4,(AU83+AW83+AX83+AY83)&lt;&gt;0),(N(AY226)+N(AY227)+N(AY228)+N(AY231)+N(AY249)+N(AY252))/(AU83+AW83+AX83+AY83),""),"")</f>
        <v>0.346259660620133</v>
      </c>
      <c r="AZ348" s="262">
        <f>IFERROR(IF(AND(COUNT(AW83,AX83,AY83,AZ83)=4,(AW83+AX83+AY83+AZ83)&lt;&gt;0),(N(AZ226)+N(AZ227)+N(AZ228)+N(AZ231)+N(AZ249)+N(AZ252))/(AW83+AX83+AY83+AZ83),""),"")</f>
        <v>0.322685297873375</v>
      </c>
      <c r="BA348" s="262">
        <f>IFERROR(IF(AND(COUNT(AW83,AX83,AY83,AZ83)=4,(AW83+AX83+AY83+AZ83)&lt;&gt;0),(N(BA226)+N(BA227)+N(BA228)+N(BA231)+N(BA249)+N(BA252))/(AW83+AX83+AY83+AZ83),""),"")</f>
        <v>0.322685297873375</v>
      </c>
      <c r="BB348" s="262">
        <f>IFERROR(IF(AND(COUNT(AX83,AY83,AZ83,BB83)=4,(AX83+AY83+AZ83+BB83)&lt;&gt;0),(N(BB226)+N(BB227)+N(BB228)+N(BB231)+N(BB249)+N(BB252))/(AX83+AY83+AZ83+BB83),""),"")</f>
        <v>0.299997216268543</v>
      </c>
      <c r="BC348" s="262">
        <f>IFERROR(IF(AND(COUNT(AY83,AZ83,BB83,BC83)=4,(AY83+AZ83+BB83+BC83)&lt;&gt;0),(N(BC226)+N(BC227)+N(BC228)+N(BC231)+N(BC249)+N(BC252))/(AY83+AZ83+BB83+BC83),""),"")</f>
        <v>0.279401901565633</v>
      </c>
      <c r="BD348" s="262">
        <f>IFERROR(IF(AND(COUNT(AZ83,BB83,BC83,BD83)=4,(AZ83+BB83+BC83+BD83)&lt;&gt;0),(N(BD226)+N(BD227)+N(BD228)+N(BD231)+N(BD249)+N(BD252))/(AZ83+BB83+BC83+BD83),""),"")</f>
        <v>0.259270899223823</v>
      </c>
      <c r="BE348" s="262">
        <f>IFERROR(IF(AND(COUNT(BB83,BC83,BD83,BE83)=4,(BB83+BC83+BD83+BE83)&lt;&gt;0),(N(BE226)+N(BE227)+N(BE228)+N(BE231)+N(BE249)+N(BE252))/(BB83+BC83+BD83+BE83),""),"")</f>
        <v>0.241813835814007</v>
      </c>
      <c r="BF348" s="262">
        <f>IFERROR(IF(AND(COUNT(BB83,BC83,BD83,BE83)=4,(BB83+BC83+BD83+BE83)&lt;&gt;0),(N(BF226)+N(BF227)+N(BF228)+N(BF231)+N(BF249)+N(BF252))/(BB83+BC83+BD83+BE83),""),"")</f>
        <v>0.241813835814007</v>
      </c>
      <c r="BG348" s="82" t="n"/>
      <c r="BH348" s="82" t="n"/>
      <c r="BI348" s="82" t="n"/>
      <c r="BJ348" s="82" t="n"/>
      <c r="BL348" s="82" t="n"/>
      <c r="BM348" s="82" t="n"/>
      <c r="BN348" s="82" t="n"/>
      <c r="BO348" s="82" t="n"/>
      <c r="BQ348" s="82" t="n"/>
      <c r="BR348" s="82" t="n"/>
      <c r="BS348" s="82" t="n"/>
      <c r="BT348" s="82" t="n"/>
      <c r="BV348" s="82" t="n"/>
      <c r="BW348" s="82" t="n"/>
      <c r="BX348" s="82" t="n"/>
      <c r="BY348" s="82" t="n"/>
      <c r="CA348" s="82" t="n"/>
      <c r="CB348" s="82" t="n"/>
      <c r="CC348" s="82" t="n"/>
      <c r="CD348" s="82" t="n"/>
      <c r="CF348" s="82" t="n"/>
      <c r="CG348" s="82" t="n"/>
      <c r="CH348" s="82" t="n"/>
      <c r="CI348" s="82" t="n"/>
      <c r="CK348" s="82" t="n"/>
      <c r="CL348" s="82" t="n"/>
      <c r="CM348" s="82" t="n"/>
      <c r="CN348" s="82" t="n"/>
      <c r="CP348" s="82" t="n"/>
      <c r="CQ348" s="82" t="n"/>
      <c r="CR348" s="82" t="n"/>
      <c r="CS348" s="82" t="n"/>
      <c r="CU348" s="82" t="n"/>
      <c r="CV348" s="82" t="n"/>
      <c r="CW348" s="82" t="n"/>
      <c r="CX348" s="82" t="n"/>
    </row>
    <row r="349" customFormat="1" s="77">
      <c r="A349" s="76" t="n"/>
      <c r="B349" s="76" t="n"/>
      <c r="C349" s="77" t="inlineStr">
        <is>
          <t>TOTAL DEBT / TOTAL CAPITALIZATION</t>
        </is>
      </c>
      <c r="D349" s="80" t="str">
        <f>IFERROR(SUM(D226+D227+D228+D231+D249+D252)/(SUM(D226+D227+D228+D231+D249+D252)+D285),"")</f>
        <v/>
      </c>
      <c r="E349" s="80" t="str">
        <f>IFERROR(SUM(E226+E227+E228+E231+E249+E252)/(SUM(E226+E227+E228+E231+E249+E252)+E285),"")</f>
        <v/>
      </c>
      <c r="F349" s="80" t="str">
        <f>IFERROR(SUM(F226+F227+F228+F231+F249+F252)/(SUM(F226+F227+F228+F231+F249+F252)+F285),"")</f>
        <v/>
      </c>
      <c r="G349" s="80" t="str">
        <f>IFERROR(SUM(G226+G227+G228+G231+G249+G252)/(SUM(G226+G227+G228+G231+G249+G252)+G285),"")</f>
        <v/>
      </c>
      <c r="H349" s="258" t="str">
        <f>IFERROR(IF(((N(H226)+N(H227)+N(H228)+N(H231)+N(H249)+N(H252))+N(H285))&lt;&gt;0,(N(H226)+N(H227)+N(H228)+N(H231)+N(H249)+N(H252))/((N(H226)+N(H227)+N(H228)+N(H231)+N(H249)+N(H252))+H285),""),"")</f>
        <v/>
      </c>
      <c r="I349" s="258">
        <f>IFERROR(IF(((N(I226)+N(I227)+N(I228)+N(I231)+N(I249)+N(I252))+N(I285))&lt;&gt;0,(N(I226)+N(I227)+N(I228)+N(I231)+N(I249)+N(I252))/((N(I226)+N(I227)+N(I228)+N(I231)+N(I249)+N(I252))+I285),""),"")</f>
        <v>0.288135297546239</v>
      </c>
      <c r="J349" s="258">
        <f>IFERROR(IF(((N(J226)+N(J227)+N(J228)+N(J231)+N(J249)+N(J252))+N(J285))&lt;&gt;0,(N(J226)+N(J227)+N(J228)+N(J231)+N(J249)+N(J252))/((N(J226)+N(J227)+N(J228)+N(J231)+N(J249)+N(J252))+J285),""),"")</f>
        <v>0.281065427169121</v>
      </c>
      <c r="K349" s="258">
        <f>IFERROR(IF(((N(K226)+N(K227)+N(K228)+N(K231)+N(K249)+N(K252))+N(K285))&lt;&gt;0,(N(K226)+N(K227)+N(K228)+N(K231)+N(K249)+N(K252))/((N(K226)+N(K227)+N(K228)+N(K231)+N(K249)+N(K252))+K285),""),"")</f>
        <v>0.34008938344942</v>
      </c>
      <c r="L349" s="258">
        <f>IFERROR(IF(((N(L226)+N(L227)+N(L228)+N(L231)+N(L249)+N(L252))+N(L285))&lt;&gt;0,(N(L226)+N(L227)+N(L228)+N(L231)+N(L249)+N(L252))/((N(L226)+N(L227)+N(L228)+N(L231)+N(L249)+N(L252))+L285),""),"")</f>
        <v>0.346355559175464</v>
      </c>
      <c r="M349" s="258">
        <f>IFERROR(IF(((N(M226)+N(M227)+N(M228)+N(M231)+N(M249)+N(M252))+N(M285))&lt;&gt;0,(N(M226)+N(M227)+N(M228)+N(M231)+N(M249)+N(M252))/((N(M226)+N(M227)+N(M228)+N(M231)+N(M249)+N(M252))+M285),""),"")</f>
        <v>0.346355559175464</v>
      </c>
      <c r="N349" s="258">
        <f>IFERROR(IF(((N(N226)+N(N227)+N(N228)+N(N231)+N(N249)+N(N252))+N(N285))&lt;&gt;0,(N(N226)+N(N227)+N(N228)+N(N231)+N(N249)+N(N252))/((N(N226)+N(N227)+N(N228)+N(N231)+N(N249)+N(N252))+N285),""),"")</f>
        <v>0.330397868477199</v>
      </c>
      <c r="O349" s="258">
        <f>IFERROR(IF(((N(O226)+N(O227)+N(O228)+N(O231)+N(O249)+N(O252))+N(O285))&lt;&gt;0,(N(O226)+N(O227)+N(O228)+N(O231)+N(O249)+N(O252))/((N(O226)+N(O227)+N(O228)+N(O231)+N(O249)+N(O252))+O285),""),"")</f>
        <v>0.333806887111807</v>
      </c>
      <c r="P349" s="258">
        <f>IFERROR(IF(((N(P226)+N(P227)+N(P228)+N(P231)+N(P249)+N(P252))+N(P285))&lt;&gt;0,(N(P226)+N(P227)+N(P228)+N(P231)+N(P249)+N(P252))/((N(P226)+N(P227)+N(P228)+N(P231)+N(P249)+N(P252))+P285),""),"")</f>
        <v>0.343297795617734</v>
      </c>
      <c r="Q349" s="258">
        <f>IFERROR(IF(((N(Q226)+N(Q227)+N(Q228)+N(Q231)+N(Q249)+N(Q252))+N(Q285))&lt;&gt;0,(N(Q226)+N(Q227)+N(Q228)+N(Q231)+N(Q249)+N(Q252))/((N(Q226)+N(Q227)+N(Q228)+N(Q231)+N(Q249)+N(Q252))+Q285),""),"")</f>
        <v>0.353996655715312</v>
      </c>
      <c r="R349" s="258">
        <f>IFERROR(IF(((N(R226)+N(R227)+N(R228)+N(R231)+N(R249)+N(R252))+N(R285))&lt;&gt;0,(N(R226)+N(R227)+N(R228)+N(R231)+N(R249)+N(R252))/((N(R226)+N(R227)+N(R228)+N(R231)+N(R249)+N(R252))+R285),""),"")</f>
        <v>0.353996655715312</v>
      </c>
      <c r="S349" s="258">
        <f>IFERROR(IF(((N(S226)+N(S227)+N(S228)+N(S231)+N(S249)+N(S252))+N(S285))&lt;&gt;0,(N(S226)+N(S227)+N(S228)+N(S231)+N(S249)+N(S252))/((N(S226)+N(S227)+N(S228)+N(S231)+N(S249)+N(S252))+S285),""),"")</f>
        <v>0.328574198328452</v>
      </c>
      <c r="T349" s="258">
        <f>IFERROR(IF(((N(T226)+N(T227)+N(T228)+N(T231)+N(T249)+N(T252))+N(T285))&lt;&gt;0,(N(T226)+N(T227)+N(T228)+N(T231)+N(T249)+N(T252))/((N(T226)+N(T227)+N(T228)+N(T231)+N(T249)+N(T252))+T285),""),"")</f>
        <v>0.311846246225253</v>
      </c>
      <c r="U349" s="258">
        <f>IFERROR(IF(((N(U226)+N(U227)+N(U228)+N(U231)+N(U249)+N(U252))+N(U285))&lt;&gt;0,(N(U226)+N(U227)+N(U228)+N(U231)+N(U249)+N(U252))/((N(U226)+N(U227)+N(U228)+N(U231)+N(U249)+N(U252))+U285),""),"")</f>
        <v>0.379414448584303</v>
      </c>
      <c r="V349" s="258">
        <f>IFERROR(IF(((N(V226)+N(V227)+N(V228)+N(V231)+N(V249)+N(V252))+N(V285))&lt;&gt;0,(N(V226)+N(V227)+N(V228)+N(V231)+N(V249)+N(V252))/((N(V226)+N(V227)+N(V228)+N(V231)+N(V249)+N(V252))+V285),""),"")</f>
        <v>0.380885432320789</v>
      </c>
      <c r="W349" s="258">
        <f>IFERROR(IF(((N(W226)+N(W227)+N(W228)+N(W231)+N(W249)+N(W252))+N(W285))&lt;&gt;0,(N(W226)+N(W227)+N(W228)+N(W231)+N(W249)+N(W252))/((N(W226)+N(W227)+N(W228)+N(W231)+N(W249)+N(W252))+W285),""),"")</f>
        <v>0.380885432320789</v>
      </c>
      <c r="X349" s="258">
        <f>IFERROR(IF(((N(X226)+N(X227)+N(X228)+N(X231)+N(X249)+N(X252))+N(X285))&lt;&gt;0,(N(X226)+N(X227)+N(X228)+N(X231)+N(X249)+N(X252))/((N(X226)+N(X227)+N(X228)+N(X231)+N(X249)+N(X252))+X285),""),"")</f>
        <v>0.3419184562912</v>
      </c>
      <c r="Y349" s="258">
        <f>IFERROR(IF(((N(Y226)+N(Y227)+N(Y228)+N(Y231)+N(Y249)+N(Y252))+N(Y285))&lt;&gt;0,(N(Y226)+N(Y227)+N(Y228)+N(Y231)+N(Y249)+N(Y252))/((N(Y226)+N(Y227)+N(Y228)+N(Y231)+N(Y249)+N(Y252))+Y285),""),"")</f>
        <v>0.506506982211249</v>
      </c>
      <c r="Z349" s="258">
        <f>IFERROR(IF(((N(Z226)+N(Z227)+N(Z228)+N(Z231)+N(Z249)+N(Z252))+N(Z285))&lt;&gt;0,(N(Z226)+N(Z227)+N(Z228)+N(Z231)+N(Z249)+N(Z252))/((N(Z226)+N(Z227)+N(Z228)+N(Z231)+N(Z249)+N(Z252))+Z285),""),"")</f>
        <v>0.472002637161284</v>
      </c>
      <c r="AA349" s="258">
        <f>IFERROR(IF(((N(AA226)+N(AA227)+N(AA228)+N(AA231)+N(AA249)+N(AA252))+N(AA285))&lt;&gt;0,(N(AA226)+N(AA227)+N(AA228)+N(AA231)+N(AA249)+N(AA252))/((N(AA226)+N(AA227)+N(AA228)+N(AA231)+N(AA249)+N(AA252))+AA285),""),"")</f>
        <v>0.429623667364861</v>
      </c>
      <c r="AB349" s="258">
        <f>IFERROR(IF(((N(AB226)+N(AB227)+N(AB228)+N(AB231)+N(AB249)+N(AB252))+N(AB285))&lt;&gt;0,(N(AB226)+N(AB227)+N(AB228)+N(AB231)+N(AB249)+N(AB252))/((N(AB226)+N(AB227)+N(AB228)+N(AB231)+N(AB249)+N(AB252))+AB285),""),"")</f>
        <v>0.429623667364861</v>
      </c>
      <c r="AC349" s="258">
        <f>IFERROR(IF(((N(AC226)+N(AC227)+N(AC228)+N(AC231)+N(AC249)+N(AC252))+N(AC285))&lt;&gt;0,(N(AC226)+N(AC227)+N(AC228)+N(AC231)+N(AC249)+N(AC252))/((N(AC226)+N(AC227)+N(AC228)+N(AC231)+N(AC249)+N(AC252))+AC285),""),"")</f>
        <v>0.485124012260357</v>
      </c>
      <c r="AD349" s="258">
        <f>IFERROR(IF(((N(AD226)+N(AD227)+N(AD228)+N(AD231)+N(AD249)+N(AD252))+N(AD285))&lt;&gt;0,(N(AD226)+N(AD227)+N(AD228)+N(AD231)+N(AD249)+N(AD252))/((N(AD226)+N(AD227)+N(AD228)+N(AD231)+N(AD249)+N(AD252))+AD285),""),"")</f>
        <v>0.452248659161534</v>
      </c>
      <c r="AE349" s="258">
        <f>IFERROR(IF(((N(AE226)+N(AE227)+N(AE228)+N(AE231)+N(AE249)+N(AE252))+N(AE285))&lt;&gt;0,(N(AE226)+N(AE227)+N(AE228)+N(AE231)+N(AE249)+N(AE252))/((N(AE226)+N(AE227)+N(AE228)+N(AE231)+N(AE249)+N(AE252))+AE285),""),"")</f>
        <v>0.446183706196893</v>
      </c>
      <c r="AF349" s="258">
        <f>IFERROR(IF(((N(AF226)+N(AF227)+N(AF228)+N(AF231)+N(AF249)+N(AF252))+N(AF285))&lt;&gt;0,(N(AF226)+N(AF227)+N(AF228)+N(AF231)+N(AF249)+N(AF252))/((N(AF226)+N(AF227)+N(AF228)+N(AF231)+N(AF249)+N(AF252))+AF285),""),"")</f>
        <v>0.470167274424352</v>
      </c>
      <c r="AG349" s="258">
        <f>IFERROR(IF(((N(AG226)+N(AG227)+N(AG228)+N(AG231)+N(AG249)+N(AG252))+N(AG285))&lt;&gt;0,(N(AG226)+N(AG227)+N(AG228)+N(AG231)+N(AG249)+N(AG252))/((N(AG226)+N(AG227)+N(AG228)+N(AG231)+N(AG249)+N(AG252))+AG285),""),"")</f>
        <v>0.470167274424352</v>
      </c>
      <c r="AH349" s="258">
        <f>IFERROR(IF(((N(AH226)+N(AH227)+N(AH228)+N(AH231)+N(AH249)+N(AH252))+N(AH285))&lt;&gt;0,(N(AH226)+N(AH227)+N(AH228)+N(AH231)+N(AH249)+N(AH252))/((N(AH226)+N(AH227)+N(AH228)+N(AH231)+N(AH249)+N(AH252))+AH285),""),"")</f>
        <v>0.416488351479435</v>
      </c>
      <c r="AI349" s="258">
        <f>IFERROR(IF(((N(AI226)+N(AI227)+N(AI228)+N(AI231)+N(AI249)+N(AI252))+N(AI285))&lt;&gt;0,(N(AI226)+N(AI227)+N(AI228)+N(AI231)+N(AI249)+N(AI252))/((N(AI226)+N(AI227)+N(AI228)+N(AI231)+N(AI249)+N(AI252))+AI285),""),"")</f>
        <v>0.395977766483215</v>
      </c>
      <c r="AJ349" s="258">
        <f>IFERROR(IF(((N(AJ226)+N(AJ227)+N(AJ228)+N(AJ231)+N(AJ249)+N(AJ252))+N(AJ285))&lt;&gt;0,(N(AJ226)+N(AJ227)+N(AJ228)+N(AJ231)+N(AJ249)+N(AJ252))/((N(AJ226)+N(AJ227)+N(AJ228)+N(AJ231)+N(AJ249)+N(AJ252))+AJ285),""),"")</f>
        <v>0.349765335083987</v>
      </c>
      <c r="AK349" s="258">
        <f>IFERROR(IF(((N(AK226)+N(AK227)+N(AK228)+N(AK231)+N(AK249)+N(AK252))+N(AK285))&lt;&gt;0,(N(AK226)+N(AK227)+N(AK228)+N(AK231)+N(AK249)+N(AK252))/((N(AK226)+N(AK227)+N(AK228)+N(AK231)+N(AK249)+N(AK252))+AK285),""),"")</f>
        <v>0.313147628096876</v>
      </c>
      <c r="AL349" s="258">
        <f>IFERROR(IF(((N(AL226)+N(AL227)+N(AL228)+N(AL231)+N(AL249)+N(AL252))+N(AL285))&lt;&gt;0,(N(AL226)+N(AL227)+N(AL228)+N(AL231)+N(AL249)+N(AL252))/((N(AL226)+N(AL227)+N(AL228)+N(AL231)+N(AL249)+N(AL252))+AL285),""),"")</f>
        <v>0.313147628096876</v>
      </c>
      <c r="AM349" s="258">
        <f>IFERROR(IF(((N(AM226)+N(AM227)+N(AM228)+N(AM231)+N(AM249)+N(AM252))+N(AM285))&lt;&gt;0,(N(AM226)+N(AM227)+N(AM228)+N(AM231)+N(AM249)+N(AM252))/((N(AM226)+N(AM227)+N(AM228)+N(AM231)+N(AM249)+N(AM252))+AM285),""),"")</f>
        <v>0.279867531920356</v>
      </c>
      <c r="AN349" s="258">
        <f>IFERROR(IF(((N(AN226)+N(AN227)+N(AN228)+N(AN231)+N(AN249)+N(AN252))+N(AN285))&lt;&gt;0,(N(AN226)+N(AN227)+N(AN228)+N(AN231)+N(AN249)+N(AN252))/((N(AN226)+N(AN227)+N(AN228)+N(AN231)+N(AN249)+N(AN252))+AN285),""),"")</f>
        <v>0.251811195583179</v>
      </c>
      <c r="AO349" s="258">
        <f>IFERROR(IF(((N(AO226)+N(AO227)+N(AO228)+N(AO231)+N(AO249)+N(AO252))+N(AO285))&lt;&gt;0,(N(AO226)+N(AO227)+N(AO228)+N(AO231)+N(AO249)+N(AO252))/((N(AO226)+N(AO227)+N(AO228)+N(AO231)+N(AO249)+N(AO252))+AO285),""),"")</f>
        <v>0.226168112859683</v>
      </c>
      <c r="AP349" s="258">
        <f>IFERROR(IF(((N(AP226)+N(AP227)+N(AP228)+N(AP231)+N(AP249)+N(AP252))+N(AP285))&lt;&gt;0,(N(AP226)+N(AP227)+N(AP228)+N(AP231)+N(AP249)+N(AP252))/((N(AP226)+N(AP227)+N(AP228)+N(AP231)+N(AP249)+N(AP252))+AP285),""),"")</f>
        <v>0.205227702720948</v>
      </c>
      <c r="AQ349" s="258">
        <f>IFERROR(IF(((N(AQ226)+N(AQ227)+N(AQ228)+N(AQ231)+N(AQ249)+N(AQ252))+N(AQ285))&lt;&gt;0,(N(AQ226)+N(AQ227)+N(AQ228)+N(AQ231)+N(AQ249)+N(AQ252))/((N(AQ226)+N(AQ227)+N(AQ228)+N(AQ231)+N(AQ249)+N(AQ252))+AQ285),""),"")</f>
        <v>0.205227702720948</v>
      </c>
      <c r="AR349" s="258">
        <f>IFERROR(IF(((N(AR226)+N(AR227)+N(AR228)+N(AR231)+N(AR249)+N(AR252))+N(AR285))&lt;&gt;0,(N(AR226)+N(AR227)+N(AR228)+N(AR231)+N(AR249)+N(AR252))/((N(AR226)+N(AR227)+N(AR228)+N(AR231)+N(AR249)+N(AR252))+AR285),""),"")</f>
        <v>0.185764185915777</v>
      </c>
      <c r="AS349" s="258">
        <f>IFERROR(IF(((N(AS226)+N(AS227)+N(AS228)+N(AS231)+N(AS249)+N(AS252))+N(AS285))&lt;&gt;0,(N(AS226)+N(AS227)+N(AS228)+N(AS231)+N(AS249)+N(AS252))/((N(AS226)+N(AS227)+N(AS228)+N(AS231)+N(AS249)+N(AS252))+AS285),""),"")</f>
        <v>0.168964495994889</v>
      </c>
      <c r="AT349" s="258">
        <f>IFERROR(IF(((N(AT226)+N(AT227)+N(AT228)+N(AT231)+N(AT249)+N(AT252))+N(AT285))&lt;&gt;0,(N(AT226)+N(AT227)+N(AT228)+N(AT231)+N(AT249)+N(AT252))/((N(AT226)+N(AT227)+N(AT228)+N(AT231)+N(AT249)+N(AT252))+AT285),""),"")</f>
        <v>0.153286072478895</v>
      </c>
      <c r="AU349" s="258">
        <f>IFERROR(IF(((N(AU226)+N(AU227)+N(AU228)+N(AU231)+N(AU249)+N(AU252))+N(AU285))&lt;&gt;0,(N(AU226)+N(AU227)+N(AU228)+N(AU231)+N(AU249)+N(AU252))/((N(AU226)+N(AU227)+N(AU228)+N(AU231)+N(AU249)+N(AU252))+AU285),""),"")</f>
        <v>0.140246785278071</v>
      </c>
      <c r="AV349" s="258">
        <f>IFERROR(IF(((N(AV226)+N(AV227)+N(AV228)+N(AV231)+N(AV249)+N(AV252))+N(AV285))&lt;&gt;0,(N(AV226)+N(AV227)+N(AV228)+N(AV231)+N(AV249)+N(AV252))/((N(AV226)+N(AV227)+N(AV228)+N(AV231)+N(AV249)+N(AV252))+AV285),""),"")</f>
        <v>0.140246785278071</v>
      </c>
      <c r="AW349" s="258">
        <f>IFERROR(IF(((N(AW226)+N(AW227)+N(AW228)+N(AW231)+N(AW249)+N(AW252))+N(AW285))&lt;&gt;0,(N(AW226)+N(AW227)+N(AW228)+N(AW231)+N(AW249)+N(AW252))/((N(AW226)+N(AW227)+N(AW228)+N(AW231)+N(AW249)+N(AW252))+AW285),""),"")</f>
        <v>0.127973558667846</v>
      </c>
      <c r="AX349" s="258">
        <f>IFERROR(IF(((N(AX226)+N(AX227)+N(AX228)+N(AX231)+N(AX249)+N(AX252))+N(AX285))&lt;&gt;0,(N(AX226)+N(AX227)+N(AX228)+N(AX231)+N(AX249)+N(AX252))/((N(AX226)+N(AX227)+N(AX228)+N(AX231)+N(AX249)+N(AX252))+AX285),""),"")</f>
        <v>0.117219187470778</v>
      </c>
      <c r="AY349" s="258">
        <f>IFERROR(IF(((N(AY226)+N(AY227)+N(AY228)+N(AY231)+N(AY249)+N(AY252))+N(AY285))&lt;&gt;0,(N(AY226)+N(AY227)+N(AY228)+N(AY231)+N(AY249)+N(AY252))/((N(AY226)+N(AY227)+N(AY228)+N(AY231)+N(AY249)+N(AY252))+AY285),""),"")</f>
        <v>0.107045174482392</v>
      </c>
      <c r="AZ349" s="258">
        <f>IFERROR(IF(((N(AZ226)+N(AZ227)+N(AZ228)+N(AZ231)+N(AZ249)+N(AZ252))+N(AZ285))&lt;&gt;0,(N(AZ226)+N(AZ227)+N(AZ228)+N(AZ231)+N(AZ249)+N(AZ252))/((N(AZ226)+N(AZ227)+N(AZ228)+N(AZ231)+N(AZ249)+N(AZ252))+AZ285),""),"")</f>
        <v>0.0984807364731956</v>
      </c>
      <c r="BA349" s="258">
        <f>IFERROR(IF(((N(BA226)+N(BA227)+N(BA228)+N(BA231)+N(BA249)+N(BA252))+N(BA285))&lt;&gt;0,(N(BA226)+N(BA227)+N(BA228)+N(BA231)+N(BA249)+N(BA252))/((N(BA226)+N(BA227)+N(BA228)+N(BA231)+N(BA249)+N(BA252))+BA285),""),"")</f>
        <v>0.0984807364731956</v>
      </c>
      <c r="BB349" s="258">
        <f>IFERROR(IF(((N(BB226)+N(BB227)+N(BB228)+N(BB231)+N(BB249)+N(BB252))+N(BB285))&lt;&gt;0,(N(BB226)+N(BB227)+N(BB228)+N(BB231)+N(BB249)+N(BB252))/((N(BB226)+N(BB227)+N(BB228)+N(BB231)+N(BB249)+N(BB252))+BB285),""),"")</f>
        <v>0.0903604166265767</v>
      </c>
      <c r="BC349" s="258">
        <f>IFERROR(IF(((N(BC226)+N(BC227)+N(BC228)+N(BC231)+N(BC249)+N(BC252))+N(BC285))&lt;&gt;0,(N(BC226)+N(BC227)+N(BC228)+N(BC231)+N(BC249)+N(BC252))/((N(BC226)+N(BC227)+N(BC228)+N(BC231)+N(BC249)+N(BC252))+BC285),""),"")</f>
        <v>0.0831706861465152</v>
      </c>
      <c r="BD349" s="258">
        <f>IFERROR(IF(((N(BD226)+N(BD227)+N(BD228)+N(BD231)+N(BD249)+N(BD252))+N(BD285))&lt;&gt;0,(N(BD226)+N(BD227)+N(BD228)+N(BD231)+N(BD249)+N(BD252))/((N(BD226)+N(BD227)+N(BD228)+N(BD231)+N(BD249)+N(BD252))+BD285),""),"")</f>
        <v>0.0763040738210501</v>
      </c>
      <c r="BE349" s="258">
        <f>IFERROR(IF(((N(BE226)+N(BE227)+N(BE228)+N(BE231)+N(BE249)+N(BE252))+N(BE285))&lt;&gt;0,(N(BE226)+N(BE227)+N(BE228)+N(BE231)+N(BE249)+N(BE252))/((N(BE226)+N(BE227)+N(BE228)+N(BE231)+N(BE249)+N(BE252))+BE285),""),"")</f>
        <v>0.0704742341547378</v>
      </c>
      <c r="BF349" s="258">
        <f>IFERROR(IF(((N(BF226)+N(BF227)+N(BF228)+N(BF231)+N(BF249)+N(BF252))+N(BF285))&lt;&gt;0,(N(BF226)+N(BF227)+N(BF228)+N(BF231)+N(BF249)+N(BF252))/((N(BF226)+N(BF227)+N(BF228)+N(BF231)+N(BF249)+N(BF252))+BF285),""),"")</f>
        <v>0.0704742341547378</v>
      </c>
      <c r="BG349" s="80" t="n"/>
      <c r="BH349" s="80" t="n"/>
      <c r="BI349" s="80" t="n"/>
      <c r="BJ349" s="80" t="n"/>
      <c r="BL349" s="80" t="n"/>
      <c r="BM349" s="80" t="n"/>
      <c r="BN349" s="80" t="n"/>
      <c r="BO349" s="80" t="n"/>
      <c r="BQ349" s="80" t="n"/>
      <c r="BR349" s="80" t="n"/>
      <c r="BS349" s="80" t="n"/>
      <c r="BT349" s="80" t="n"/>
      <c r="BV349" s="80" t="n"/>
      <c r="BW349" s="80" t="n"/>
      <c r="BX349" s="80" t="n"/>
      <c r="BY349" s="80" t="n"/>
      <c r="CA349" s="80" t="n"/>
      <c r="CB349" s="80" t="n"/>
      <c r="CC349" s="80" t="n"/>
      <c r="CD349" s="80" t="n"/>
      <c r="CF349" s="80" t="n"/>
      <c r="CG349" s="80" t="n"/>
      <c r="CH349" s="80" t="n"/>
      <c r="CI349" s="80" t="n"/>
      <c r="CK349" s="80" t="n"/>
      <c r="CL349" s="80" t="n"/>
      <c r="CM349" s="80" t="n"/>
      <c r="CN349" s="80" t="n"/>
      <c r="CP349" s="80" t="n"/>
      <c r="CQ349" s="80" t="n"/>
      <c r="CR349" s="80" t="n"/>
      <c r="CS349" s="80" t="n"/>
      <c r="CU349" s="80" t="n"/>
      <c r="CV349" s="80" t="n"/>
      <c r="CW349" s="80" t="n"/>
      <c r="CX349" s="80" t="n"/>
    </row>
    <row r="350" customFormat="1" s="77">
      <c r="A350" s="76" t="n"/>
      <c r="B350" s="76" t="n"/>
      <c r="C350" s="77" t="inlineStr">
        <is>
          <t>NET DEBT / EBITDA (LTM)</t>
        </is>
      </c>
      <c r="D350" s="82" t="str">
        <f>IFERROR(SUM((D226+D227+D228+D231+D249)-D158)/(D83*4),"")</f>
        <v/>
      </c>
      <c r="E350" s="82" t="str">
        <f>IFERROR(SUM((E226+E227+E228+E231+E249)-E158)/(E83*4),"")</f>
        <v/>
      </c>
      <c r="F350" s="82" t="str">
        <f>IFERROR(SUM((F226+F227+F228+F231+F249)-F158)/(F83*4),"")</f>
        <v/>
      </c>
      <c r="G350" s="82" t="str">
        <f>IFERROR(SUM((G226+G227+G228+G231+G249)-G158)/(G83*4),"")</f>
        <v/>
      </c>
      <c r="H350" s="262" t="str">
        <f>IFERROR(IF(AND(COUNT(H83)=1,(H83)&lt;&gt;0),((N(H226)+N(H227)+N(H228)+N(H231)+N(H249)+N(H252))-N(H158))/(H83),""),"")</f>
        <v/>
      </c>
      <c r="I350" s="262" t="str">
        <f>""</f>
        <v/>
      </c>
      <c r="J350" s="262" t="str">
        <f>""</f>
        <v/>
      </c>
      <c r="K350" s="262" t="str">
        <f>""</f>
        <v/>
      </c>
      <c r="L350" s="262">
        <f>IFERROR(IF(AND(COUNT(I83,J83,K83,L83)=4,(I83+J83+K83+L83)&lt;&gt;0),((N(L226)+N(L227)+N(L228)+N(L231)+N(L249)+N(L252))-N(L158))/(I83+J83+K83+L83),""),"")</f>
        <v>-0.539315551132443</v>
      </c>
      <c r="M350" s="262">
        <f>IFERROR(IF(AND(COUNT(I83,J83,K83,L83)=4,(I83+J83+K83+L83)&lt;&gt;0),((N(M226)+N(M227)+N(M228)+N(M231)+N(M249)+N(M252))-N(M158))/(I83+J83+K83+L83),""),"")</f>
        <v>-0.539315551132443</v>
      </c>
      <c r="N350" s="262">
        <f>IFERROR(IF(AND(COUNT(J83,K83,L83,N83)=4,(J83+K83+L83+N83)&lt;&gt;0),((N(N226)+N(N227)+N(N228)+N(N231)+N(N249)+N(N252))-N(N158))/(J83+K83+L83+N83),""),"")</f>
        <v>-0.537305796845087</v>
      </c>
      <c r="O350" s="262">
        <f>IFERROR(IF(AND(COUNT(K83,L83,N83,O83)=4,(K83+L83+N83+O83)&lt;&gt;0),((N(O226)+N(O227)+N(O228)+N(O231)+N(O249)+N(O252))-N(O158))/(K83+L83+N83+O83),""),"")</f>
        <v>-0.665124315968296</v>
      </c>
      <c r="P350" s="262">
        <f>IFERROR(IF(AND(COUNT(L83,N83,O83,P83)=4,(L83+N83+O83+P83)&lt;&gt;0),((N(P226)+N(P227)+N(P228)+N(P231)+N(P249)+N(P252))-N(P158))/(L83+N83+O83+P83),""),"")</f>
        <v>-0.393741386701642</v>
      </c>
      <c r="Q350" s="262">
        <f>IFERROR(IF(AND(COUNT(N83,O83,P83,Q83)=4,(N83+O83+P83+Q83)&lt;&gt;0),((N(Q226)+N(Q227)+N(Q228)+N(Q231)+N(Q249)+N(Q252))-N(Q158))/(N83+O83+P83+Q83),""),"")</f>
        <v>-0.688927654729307</v>
      </c>
      <c r="R350" s="262">
        <f>IFERROR(IF(AND(COUNT(N83,O83,P83,Q83)=4,(N83+O83+P83+Q83)&lt;&gt;0),((N(R226)+N(R227)+N(R228)+N(R231)+N(R249)+N(R252))-N(R158))/(N83+O83+P83+Q83),""),"")</f>
        <v>-0.688927654729307</v>
      </c>
      <c r="S350" s="262">
        <f>IFERROR(IF(AND(COUNT(O83,P83,Q83,S83)=4,(O83+P83+Q83+S83)&lt;&gt;0),((N(S226)+N(S227)+N(S228)+N(S231)+N(S249)+N(S252))-N(S158))/(O83+P83+Q83+S83),""),"")</f>
        <v>-0.522561858140219</v>
      </c>
      <c r="T350" s="262">
        <f>IFERROR(IF(AND(COUNT(P83,Q83,S83,T83)=4,(P83+Q83+S83+T83)&lt;&gt;0),((N(T226)+N(T227)+N(T228)+N(T231)+N(T249)+N(T252))-N(T158))/(P83+Q83+S83+T83),""),"")</f>
        <v>-0.640568771211024</v>
      </c>
      <c r="U350" s="262">
        <f>IFERROR(IF(AND(COUNT(Q83,S83,T83,U83)=4,(Q83+S83+T83+U83)&lt;&gt;0),((N(U226)+N(U227)+N(U228)+N(U231)+N(U249)+N(U252))-N(U158))/(Q83+S83+T83+U83),""),"")</f>
        <v>-0.846796469684728</v>
      </c>
      <c r="V350" s="262">
        <f>IFERROR(IF(AND(COUNT(S83,T83,U83,V83)=4,(S83+T83+U83+V83)&lt;&gt;0),((N(V226)+N(V227)+N(V228)+N(V231)+N(V249)+N(V252))-N(V158))/(S83+T83+U83+V83),""),"")</f>
        <v>-0.625105375599053</v>
      </c>
      <c r="W350" s="262">
        <f>IFERROR(IF(AND(COUNT(S83,T83,U83,V83)=4,(S83+T83+U83+V83)&lt;&gt;0),((N(W226)+N(W227)+N(W228)+N(W231)+N(W249)+N(W252))-N(W158))/(S83+T83+U83+V83),""),"")</f>
        <v>-0.625105375599053</v>
      </c>
      <c r="X350" s="262">
        <f>IFERROR(IF(AND(COUNT(T83,U83,V83,X83)=4,(T83+U83+V83+X83)&lt;&gt;0),((N(X226)+N(X227)+N(X228)+N(X231)+N(X249)+N(X252))-N(X158))/(T83+U83+V83+X83),""),"")</f>
        <v>-0.611619072224913</v>
      </c>
      <c r="Y350" s="262">
        <f>IFERROR(IF(AND(COUNT(U83,V83,X83,Y83)=4,(U83+V83+X83+Y83)&lt;&gt;0),((N(Y226)+N(Y227)+N(Y228)+N(Y231)+N(Y249)+N(Y252))-N(Y158))/(U83+V83+X83+Y83),""),"")</f>
        <v>-0.660449144583473</v>
      </c>
      <c r="Z350" s="262">
        <f>IFERROR(IF(AND(COUNT(V83,X83,Y83,Z83)=4,(V83+X83+Y83+Z83)&lt;&gt;0),((N(Z226)+N(Z227)+N(Z228)+N(Z231)+N(Z249)+N(Z252))-N(Z158))/(V83+X83+Y83+Z83),""),"")</f>
        <v>-0.405152228277917</v>
      </c>
      <c r="AA350" s="262">
        <f>IFERROR(IF(AND(COUNT(X83,Y83,Z83,AA83)=4,(X83+Y83+Z83+AA83)&lt;&gt;0),((N(AA226)+N(AA227)+N(AA228)+N(AA231)+N(AA249)+N(AA252))-N(AA158))/(X83+Y83+Z83+AA83),""),"")</f>
        <v>-0.510351044306003</v>
      </c>
      <c r="AB350" s="262">
        <f>IFERROR(IF(AND(COUNT(X83,Y83,Z83,AA83)=4,(X83+Y83+Z83+AA83)&lt;&gt;0),((N(AB226)+N(AB227)+N(AB228)+N(AB231)+N(AB249)+N(AB252))-N(AB158))/(X83+Y83+Z83+AA83),""),"")</f>
        <v>-0.510351044306003</v>
      </c>
      <c r="AC350" s="262">
        <f>IFERROR(IF(AND(COUNT(Y83,Z83,AA83,AC83)=4,(Y83+Z83+AA83+AC83)&lt;&gt;0),((N(AC226)+N(AC227)+N(AC228)+N(AC231)+N(AC249)+N(AC252))-N(AC158))/(Y83+Z83+AA83+AC83),""),"")</f>
        <v>-0.276368779909226</v>
      </c>
      <c r="AD350" s="262">
        <f>IFERROR(IF(AND(COUNT(Z83,AA83,AC83,AD83)=4,(Z83+AA83+AC83+AD83)&lt;&gt;0),((N(AD226)+N(AD227)+N(AD228)+N(AD231)+N(AD249)+N(AD252))-N(AD158))/(Z83+AA83+AC83+AD83),""),"")</f>
        <v>-0.214847266615566</v>
      </c>
      <c r="AE350" s="262">
        <f>IFERROR(IF(AND(COUNT(AA83,AC83,AD83,AE83)=4,(AA83+AC83+AD83+AE83)&lt;&gt;0),((N(AE226)+N(AE227)+N(AE228)+N(AE231)+N(AE249)+N(AE252))-N(AE158))/(AA83+AC83+AD83+AE83),""),"")</f>
        <v>-0.381919910348114</v>
      </c>
      <c r="AF350" s="262">
        <f>IFERROR(IF(AND(COUNT(AB83,AD83,AE83,AF83)=4,(AB83+AD83+AE83+AF83)&lt;&gt;0),((N(AF226)+N(AF227)+N(AF228)+N(AF231)+N(AF249)+N(AF252))-N(AF158))/(AB83+AD83+AE83+AF83),""),"")</f>
        <v>-0.170770662723327</v>
      </c>
      <c r="AG350" s="262">
        <f>IFERROR(IF(AND(COUNT(AC83,AD83,AE83,AF83)=4,(AC83+AD83+AE83+AF83)&lt;&gt;0),((N(AG226)+N(AG227)+N(AG228)+N(AG231)+N(AG249)+N(AG252))-N(AG158))/(AC83+AD83+AE83+AF83),""),"")</f>
        <v>-0.243950728606158</v>
      </c>
      <c r="AH350" s="262">
        <f>IFERROR(IF(AND(COUNT(AD83,AF83,AG83,AH83)=4,(AD83+AF83+AG83+AH83)&lt;&gt;0),((N(AH226)+N(AH227)+N(AH228)+N(AH231)+N(AH249)+N(AH252))-N(AH158))/(AD83+AF83+AG83+AH83),""),"")</f>
        <v>-0.171071468368451</v>
      </c>
      <c r="AI350" s="262">
        <f>IFERROR(IF(AND(COUNT(AE83,AG83,AH83,AI83)=4,(AE83+AG83+AH83+AI83)&lt;&gt;0),((N(AI226)+N(AI227)+N(AI228)+N(AI231)+N(AI249)+N(AI252))-N(AI158))/(AE83+AG83+AH83+AI83),""),"")</f>
        <v>-0.119793282675164</v>
      </c>
      <c r="AJ350" s="262">
        <f>IFERROR(IF(AND(COUNT(AF83,AH83,AI83,AJ83)=4,(AF83+AH83+AI83+AJ83)&lt;&gt;0),((N(AJ226)+N(AJ227)+N(AJ228)+N(AJ231)+N(AJ249)+N(AJ252))-N(AJ158))/(AF83+AH83+AI83+AJ83),""),"")</f>
        <v>-0.222639004965339</v>
      </c>
      <c r="AK350" s="262">
        <f>IFERROR(IF(AND(COUNT(AH83,AI83,AJ83,AK83)=4,(AH83+AI83+AJ83+AK83)&lt;&gt;0),((N(AK226)+N(AK227)+N(AK228)+N(AK231)+N(AK249)+N(AK252))-N(AK158))/(AH83+AI83+AJ83+AK83),""),"")</f>
        <v>-0.496809974767218</v>
      </c>
      <c r="AL350" s="262">
        <f>IFERROR(IF(AND(COUNT(AH83,AI83,AJ83,AK83)=4,(AH83+AI83+AJ83+AK83)&lt;&gt;0),((N(AL226)+N(AL227)+N(AL228)+N(AL231)+N(AL249)+N(AL252))-N(AL158))/(AH83+AI83+AJ83+AK83),""),"")</f>
        <v>-0.496809974767218</v>
      </c>
      <c r="AM350" s="262">
        <f>IFERROR(IF(AND(COUNT(AI83,AJ83,AK83,AM83)=4,(AI83+AJ83+AK83+AM83)&lt;&gt;0),((N(AM226)+N(AM227)+N(AM228)+N(AM231)+N(AM249)+N(AM252))-N(AM158))/(AI83+AJ83+AK83+AM83),""),"")</f>
        <v>-0.403307798183013</v>
      </c>
      <c r="AN350" s="262">
        <f>IFERROR(IF(AND(COUNT(AJ83,AK83,AM83,AN83)=4,(AJ83+AK83+AM83+AN83)&lt;&gt;0),((N(AN226)+N(AN227)+N(AN228)+N(AN231)+N(AN249)+N(AN252))-N(AN158))/(AJ83+AK83+AM83+AN83),""),"")</f>
        <v>-0.595775958733006</v>
      </c>
      <c r="AO350" s="262">
        <f>IFERROR(IF(AND(COUNT(AK83,AM83,AN83,AO83)=4,(AK83+AM83+AN83+AO83)&lt;&gt;0),((N(AO226)+N(AO227)+N(AO228)+N(AO231)+N(AO249)+N(AO252))-N(AO158))/(AK83+AM83+AN83+AO83),""),"")</f>
        <v>-0.607166983179413</v>
      </c>
      <c r="AP350" s="262">
        <f>IFERROR(IF(AND(COUNT(AM83,AN83,AO83,AP83)=4,(AM83+AN83+AO83+AP83)&lt;&gt;0),((N(AP226)+N(AP227)+N(AP228)+N(AP231)+N(AP249)+N(AP252))-N(AP158))/(AM83+AN83+AO83+AP83),""),"")</f>
        <v>-0.90079231270359</v>
      </c>
      <c r="AQ350" s="262">
        <f>IFERROR(IF(AND(COUNT(AM83,AN83,AO83,AP83)=4,(AM83+AN83+AO83+AP83)&lt;&gt;0),((N(AQ226)+N(AQ227)+N(AQ228)+N(AQ231)+N(AQ249)+N(AQ252))-N(AQ158))/(AM83+AN83+AO83+AP83),""),"")</f>
        <v>-0.90079231270359</v>
      </c>
      <c r="AR350" s="262">
        <f>IFERROR(IF(AND(COUNT(AN83,AO83,AP83,AR83)=4,(AN83+AO83+AP83+AR83)&lt;&gt;0),((N(AR226)+N(AR227)+N(AR228)+N(AR231)+N(AR249)+N(AR252))-N(AR158))/(AN83+AO83+AP83+AR83),""),"")</f>
        <v>-0.870367138536379</v>
      </c>
      <c r="AS350" s="262">
        <f>IFERROR(IF(AND(COUNT(AO83,AP83,AR83,AS83)=4,(AO83+AP83+AR83+AS83)&lt;&gt;0),((N(AS226)+N(AS227)+N(AS228)+N(AS231)+N(AS249)+N(AS252))-N(AS158))/(AO83+AP83+AR83+AS83),""),"")</f>
        <v>-1.07855304374459</v>
      </c>
      <c r="AT350" s="262">
        <f>IFERROR(IF(AND(COUNT(AP83,AR83,AS83,AT83)=4,(AP83+AR83+AS83+AT83)&lt;&gt;0),((N(AT226)+N(AT227)+N(AT228)+N(AT231)+N(AT249)+N(AT252))-N(AT158))/(AP83+AR83+AS83+AT83),""),"")</f>
        <v>-1.14455678197722</v>
      </c>
      <c r="AU350" s="262">
        <f>IFERROR(IF(AND(COUNT(AR83,AS83,AT83,AU83)=4,(AR83+AS83+AT83+AU83)&lt;&gt;0),((N(AU226)+N(AU227)+N(AU228)+N(AU231)+N(AU249)+N(AU252))-N(AU158))/(AR83+AS83+AT83+AU83),""),"")</f>
        <v>-1.51372366972419</v>
      </c>
      <c r="AV350" s="262">
        <f>IFERROR(IF(AND(COUNT(AR83,AS83,AT83,AU83)=4,(AR83+AS83+AT83+AU83)&lt;&gt;0),((N(AV226)+N(AV227)+N(AV228)+N(AV231)+N(AV249)+N(AV252))-N(AV158))/(AR83+AS83+AT83+AU83),""),"")</f>
        <v>-1.51372366972419</v>
      </c>
      <c r="AW350" s="262">
        <f>IFERROR(IF(AND(COUNT(AS83,AT83,AU83,AW83)=4,(AS83+AT83+AU83+AW83)&lt;&gt;0),((N(AW226)+N(AW227)+N(AW228)+N(AW231)+N(AW249)+N(AW252))-N(AW158))/(AS83+AT83+AU83+AW83),""),"")</f>
        <v>-1.55728105331827</v>
      </c>
      <c r="AX350" s="262">
        <f>IFERROR(IF(AND(COUNT(AT83,AU83,AW83,AX83)=4,(AT83+AU83+AW83+AX83)&lt;&gt;0),((N(AX226)+N(AX227)+N(AX228)+N(AX231)+N(AX249)+N(AX252))-N(AX158))/(AT83+AU83+AW83+AX83),""),"")</f>
        <v>-1.9170643453663</v>
      </c>
      <c r="AY350" s="262">
        <f>IFERROR(IF(AND(COUNT(AU83,AW83,AX83,AY83)=4,(AU83+AW83+AX83+AY83)&lt;&gt;0),((N(AY226)+N(AY227)+N(AY228)+N(AY231)+N(AY249)+N(AY252))-N(AY158))/(AU83+AW83+AX83+AY83),""),"")</f>
        <v>-2.13500470754279</v>
      </c>
      <c r="AZ350" s="262">
        <f>IFERROR(IF(AND(COUNT(AW83,AX83,AY83,AZ83)=4,(AW83+AX83+AY83+AZ83)&lt;&gt;0),((N(AZ226)+N(AZ227)+N(AZ228)+N(AZ231)+N(AZ249)+N(AZ252))-N(AZ158))/(AW83+AX83+AY83+AZ83),""),"")</f>
        <v>-2.70183949781615</v>
      </c>
      <c r="BA350" s="262">
        <f>IFERROR(IF(AND(COUNT(AW83,AX83,AY83,AZ83)=4,(AW83+AX83+AY83+AZ83)&lt;&gt;0),((N(BA226)+N(BA227)+N(BA228)+N(BA231)+N(BA249)+N(BA252))-N(BA158))/(AW83+AX83+AY83+AZ83),""),"")</f>
        <v>-2.70183949781615</v>
      </c>
      <c r="BB350" s="262">
        <f>IFERROR(IF(AND(COUNT(AX83,AY83,AZ83,BB83)=4,(AX83+AY83+AZ83+BB83)&lt;&gt;0),((N(BB226)+N(BB227)+N(BB228)+N(BB231)+N(BB249)+N(BB252))-N(BB158))/(AX83+AY83+AZ83+BB83),""),"")</f>
        <v>-2.99586478342936</v>
      </c>
      <c r="BC350" s="262">
        <f>IFERROR(IF(AND(COUNT(AY83,AZ83,BB83,BC83)=4,(AY83+AZ83+BB83+BC83)&lt;&gt;0),((N(BC226)+N(BC227)+N(BC228)+N(BC231)+N(BC249)+N(BC252))-N(BC158))/(AY83+AZ83+BB83+BC83),""),"")</f>
        <v>-3.65923506808782</v>
      </c>
      <c r="BD350" s="262">
        <f>IFERROR(IF(AND(COUNT(AZ83,BB83,BC83,BD83)=4,(AZ83+BB83+BC83+BD83)&lt;&gt;0),((N(BD226)+N(BD227)+N(BD228)+N(BD231)+N(BD249)+N(BD252))-N(BD158))/(AZ83+BB83+BC83+BD83),""),"")</f>
        <v>-4.24917368640092</v>
      </c>
      <c r="BE350" s="262">
        <f>IFERROR(IF(AND(COUNT(BB83,BC83,BD83,BE83)=4,(BB83+BC83+BD83+BE83)&lt;&gt;0),((N(BE226)+N(BE227)+N(BE228)+N(BE231)+N(BE249)+N(BE252))-N(BE158))/(BB83+BC83+BD83+BE83),""),"")</f>
        <v>-5.29107008092279</v>
      </c>
      <c r="BF350" s="262">
        <f>IFERROR(IF(AND(COUNT(BB83,BC83,BD83,BE83)=4,(BB83+BC83+BD83+BE83)&lt;&gt;0),((N(BF226)+N(BF227)+N(BF228)+N(BF231)+N(BF249)+N(BF252))-N(BF158))/(BB83+BC83+BD83+BE83),""),"")</f>
        <v>-5.29107008092279</v>
      </c>
      <c r="BG350" s="82" t="n"/>
      <c r="BH350" s="82" t="n"/>
      <c r="BI350" s="82" t="n"/>
      <c r="BJ350" s="82" t="n"/>
      <c r="BL350" s="82" t="n"/>
      <c r="BM350" s="82" t="n"/>
      <c r="BN350" s="82" t="n"/>
      <c r="BO350" s="82" t="n"/>
      <c r="BQ350" s="82" t="n"/>
      <c r="BR350" s="82" t="n"/>
      <c r="BS350" s="82" t="n"/>
      <c r="BT350" s="82" t="n"/>
      <c r="BV350" s="82" t="n"/>
      <c r="BW350" s="82" t="n"/>
      <c r="BX350" s="82" t="n"/>
      <c r="BY350" s="82" t="n"/>
      <c r="CA350" s="82" t="n"/>
      <c r="CB350" s="82" t="n"/>
      <c r="CC350" s="82" t="n"/>
      <c r="CD350" s="82" t="n"/>
      <c r="CF350" s="82" t="n"/>
      <c r="CG350" s="82" t="n"/>
      <c r="CH350" s="82" t="n"/>
      <c r="CI350" s="82" t="n"/>
      <c r="CK350" s="82" t="n"/>
      <c r="CL350" s="82" t="n"/>
      <c r="CM350" s="82" t="n"/>
      <c r="CN350" s="82" t="n"/>
      <c r="CP350" s="82" t="n"/>
      <c r="CQ350" s="82" t="n"/>
      <c r="CR350" s="82" t="n"/>
      <c r="CS350" s="82" t="n"/>
      <c r="CU350" s="82" t="n"/>
      <c r="CV350" s="82" t="n"/>
      <c r="CW350" s="82" t="n"/>
      <c r="CX350" s="82" t="n"/>
    </row>
    <row r="351" customFormat="1" s="77">
      <c r="A351" s="76" t="n"/>
      <c r="B351" s="76" t="n"/>
      <c r="C351" s="83" t="inlineStr">
        <is>
          <t>NET DEBT (EX IFRS 16.) / EBITDA (LTM)</t>
        </is>
      </c>
      <c r="D351" s="82" t="str">
        <f>IFERROR(SUM((D226+D227+D231)-D158)/(D83*4),"")</f>
        <v/>
      </c>
      <c r="E351" s="82" t="str">
        <f>IFERROR(SUM((E226+E227+E231)-E158)/(E83*4),"")</f>
        <v/>
      </c>
      <c r="F351" s="82" t="str">
        <f>IFERROR(SUM((F226+F227+F231)-F158)/(F83*4),"")</f>
        <v/>
      </c>
      <c r="G351" s="82" t="str">
        <f>IFERROR(SUM((G226+G227+G231)-G158)/(G83*4),"")</f>
        <v/>
      </c>
      <c r="H351" s="262" t="str">
        <f>IFERROR(IF(AND(COUNT(H83)=1,(H83)&lt;&gt;0),((N(H226)+N(H227)+N(H231)+N(H252))-N(H158))/(H83),""),"")</f>
        <v/>
      </c>
      <c r="I351" s="262" t="str">
        <f>""</f>
        <v/>
      </c>
      <c r="J351" s="262" t="str">
        <f>""</f>
        <v/>
      </c>
      <c r="K351" s="262" t="str">
        <f>""</f>
        <v/>
      </c>
      <c r="L351" s="262">
        <f>IFERROR(IF(AND(COUNT(I83,J83,K83,L83)=4,(I83+J83+K83+L83)&lt;&gt;0),((N(L226)+N(L227)+N(L231)+N(L252))-N(L158))/(I83+J83+K83+L83),""),"")</f>
        <v>-0.539315551132443</v>
      </c>
      <c r="M351" s="262">
        <f>IFERROR(IF(AND(COUNT(I83,J83,K83,L83)=4,(I83+J83+K83+L83)&lt;&gt;0),((N(M226)+N(M227)+N(M231)+N(M252))-N(M158))/(I83+J83+K83+L83),""),"")</f>
        <v>-0.539315551132443</v>
      </c>
      <c r="N351" s="262">
        <f>IFERROR(IF(AND(COUNT(J83,K83,L83,N83)=4,(J83+K83+L83+N83)&lt;&gt;0),((N(N226)+N(N227)+N(N231)+N(N252))-N(N158))/(J83+K83+L83+N83),""),"")</f>
        <v>-0.537305796845087</v>
      </c>
      <c r="O351" s="262">
        <f>IFERROR(IF(AND(COUNT(K83,L83,N83,O83)=4,(K83+L83+N83+O83)&lt;&gt;0),((N(O226)+N(O227)+N(O231)+N(O252))-N(O158))/(K83+L83+N83+O83),""),"")</f>
        <v>-0.665124315968296</v>
      </c>
      <c r="P351" s="262">
        <f>IFERROR(IF(AND(COUNT(L83,N83,O83,P83)=4,(L83+N83+O83+P83)&lt;&gt;0),((N(P226)+N(P227)+N(P231)+N(P252))-N(P158))/(L83+N83+O83+P83),""),"")</f>
        <v>-0.393741386701642</v>
      </c>
      <c r="Q351" s="262">
        <f>IFERROR(IF(AND(COUNT(N83,O83,P83,Q83)=4,(N83+O83+P83+Q83)&lt;&gt;0),((N(Q226)+N(Q227)+N(Q231)+N(Q252))-N(Q158))/(N83+O83+P83+Q83),""),"")</f>
        <v>-0.688927654729307</v>
      </c>
      <c r="R351" s="262">
        <f>IFERROR(IF(AND(COUNT(N83,O83,P83,Q83)=4,(N83+O83+P83+Q83)&lt;&gt;0),((N(R226)+N(R227)+N(R231)+N(R252))-N(R158))/(N83+O83+P83+Q83),""),"")</f>
        <v>-0.688927654729307</v>
      </c>
      <c r="S351" s="262">
        <f>IFERROR(IF(AND(COUNT(O83,P83,Q83,S83)=4,(O83+P83+Q83+S83)&lt;&gt;0),((N(S226)+N(S227)+N(S231)+N(S252))-N(S158))/(O83+P83+Q83+S83),""),"")</f>
        <v>-0.522561858140219</v>
      </c>
      <c r="T351" s="262">
        <f>IFERROR(IF(AND(COUNT(P83,Q83,S83,T83)=4,(P83+Q83+S83+T83)&lt;&gt;0),((N(T226)+N(T227)+N(T231)+N(T252))-N(T158))/(P83+Q83+S83+T83),""),"")</f>
        <v>-0.640568771211024</v>
      </c>
      <c r="U351" s="262">
        <f>IFERROR(IF(AND(COUNT(Q83,S83,T83,U83)=4,(Q83+S83+T83+U83)&lt;&gt;0),((N(U226)+N(U227)+N(U231)+N(U252))-N(U158))/(Q83+S83+T83+U83),""),"")</f>
        <v>-0.846796469684728</v>
      </c>
      <c r="V351" s="262">
        <f>IFERROR(IF(AND(COUNT(S83,T83,U83,V83)=4,(S83+T83+U83+V83)&lt;&gt;0),((N(V226)+N(V227)+N(V231)+N(V252))-N(V158))/(S83+T83+U83+V83),""),"")</f>
        <v>-0.625105375599053</v>
      </c>
      <c r="W351" s="262">
        <f>IFERROR(IF(AND(COUNT(S83,T83,U83,V83)=4,(S83+T83+U83+V83)&lt;&gt;0),((N(W226)+N(W227)+N(W231)+N(W252))-N(W158))/(S83+T83+U83+V83),""),"")</f>
        <v>-0.625105375599053</v>
      </c>
      <c r="X351" s="262">
        <f>IFERROR(IF(AND(COUNT(T83,U83,V83,X83)=4,(T83+U83+V83+X83)&lt;&gt;0),((N(X226)+N(X227)+N(X231)+N(X252))-N(X158))/(T83+U83+V83+X83),""),"")</f>
        <v>-0.611619072224913</v>
      </c>
      <c r="Y351" s="262">
        <f>IFERROR(IF(AND(COUNT(U83,V83,X83,Y83)=4,(U83+V83+X83+Y83)&lt;&gt;0),((N(Y226)+N(Y227)+N(Y231)+N(Y252))-N(Y158))/(U83+V83+X83+Y83),""),"")</f>
        <v>-0.660449144583473</v>
      </c>
      <c r="Z351" s="262">
        <f>IFERROR(IF(AND(COUNT(V83,X83,Y83,Z83)=4,(V83+X83+Y83+Z83)&lt;&gt;0),((N(Z226)+N(Z227)+N(Z231)+N(Z252))-N(Z158))/(V83+X83+Y83+Z83),""),"")</f>
        <v>-0.405152228277917</v>
      </c>
      <c r="AA351" s="262">
        <f>IFERROR(IF(AND(COUNT(X83,Y83,Z83,AA83)=4,(X83+Y83+Z83+AA83)&lt;&gt;0),((N(AA226)+N(AA227)+N(AA231)+N(AA252))-N(AA158))/(X83+Y83+Z83+AA83),""),"")</f>
        <v>-0.510351044306003</v>
      </c>
      <c r="AB351" s="262">
        <f>IFERROR(IF(AND(COUNT(X83,Y83,Z83,AA83)=4,(X83+Y83+Z83+AA83)&lt;&gt;0),((N(AB226)+N(AB227)+N(AB231)+N(AB252))-N(AB158))/(X83+Y83+Z83+AA83),""),"")</f>
        <v>-0.510351044306003</v>
      </c>
      <c r="AC351" s="262">
        <f>IFERROR(IF(AND(COUNT(Y83,Z83,AA83,AC83)=4,(Y83+Z83+AA83+AC83)&lt;&gt;0),((N(AC226)+N(AC227)+N(AC231)+N(AC252))-N(AC158))/(Y83+Z83+AA83+AC83),""),"")</f>
        <v>-0.276368779909226</v>
      </c>
      <c r="AD351" s="262">
        <f>IFERROR(IF(AND(COUNT(Z83,AA83,AC83,AD83)=4,(Z83+AA83+AC83+AD83)&lt;&gt;0),((N(AD226)+N(AD227)+N(AD231)+N(AD252))-N(AD158))/(Z83+AA83+AC83+AD83),""),"")</f>
        <v>-0.214847266615566</v>
      </c>
      <c r="AE351" s="262">
        <f>IFERROR(IF(AND(COUNT(AA83,AC83,AD83,AE83)=4,(AA83+AC83+AD83+AE83)&lt;&gt;0),((N(AE226)+N(AE227)+N(AE231)+N(AE252))-N(AE158))/(AA83+AC83+AD83+AE83),""),"")</f>
        <v>-0.381919910348114</v>
      </c>
      <c r="AF351" s="262">
        <f>IFERROR(IF(AND(COUNT(AB83,AD83,AE83,AF83)=4,(AB83+AD83+AE83+AF83)&lt;&gt;0),((N(AF226)+N(AF227)+N(AF231)+N(AF252))-N(AF158))/(AB83+AD83+AE83+AF83),""),"")</f>
        <v>-0.170770662723327</v>
      </c>
      <c r="AG351" s="262">
        <f>IFERROR(IF(AND(COUNT(AC83,AD83,AE83,AF83)=4,(AC83+AD83+AE83+AF83)&lt;&gt;0),((N(AG226)+N(AG227)+N(AG231)+N(AG252))-N(AG158))/(AC83+AD83+AE83+AF83),""),"")</f>
        <v>-0.243950728606158</v>
      </c>
      <c r="AH351" s="262">
        <f>IFERROR(IF(AND(COUNT(AD83,AF83,AG83,AH83)=4,(AD83+AF83+AG83+AH83)&lt;&gt;0),((N(AH226)+N(AH227)+N(AH231)+N(AH252))-N(AH158))/(AD83+AF83+AG83+AH83),""),"")</f>
        <v>-0.171071468368451</v>
      </c>
      <c r="AI351" s="262">
        <f>IFERROR(IF(AND(COUNT(AE83,AG83,AH83,AI83)=4,(AE83+AG83+AH83+AI83)&lt;&gt;0),((N(AI226)+N(AI227)+N(AI231)+N(AI252))-N(AI158))/(AE83+AG83+AH83+AI83),""),"")</f>
        <v>-0.119793282675164</v>
      </c>
      <c r="AJ351" s="262">
        <f>IFERROR(IF(AND(COUNT(AF83,AH83,AI83,AJ83)=4,(AF83+AH83+AI83+AJ83)&lt;&gt;0),((N(AJ226)+N(AJ227)+N(AJ231)+N(AJ252))-N(AJ158))/(AF83+AH83+AI83+AJ83),""),"")</f>
        <v>-0.222639004965339</v>
      </c>
      <c r="AK351" s="262">
        <f>IFERROR(IF(AND(COUNT(AH83,AI83,AJ83,AK83)=4,(AH83+AI83+AJ83+AK83)&lt;&gt;0),((N(AK226)+N(AK227)+N(AK231)+N(AK252))-N(AK158))/(AH83+AI83+AJ83+AK83),""),"")</f>
        <v>-0.496809974767218</v>
      </c>
      <c r="AL351" s="262">
        <f>IFERROR(IF(AND(COUNT(AH83,AI83,AJ83,AK83)=4,(AH83+AI83+AJ83+AK83)&lt;&gt;0),((N(AL226)+N(AL227)+N(AL231)+N(AL252))-N(AL158))/(AH83+AI83+AJ83+AK83),""),"")</f>
        <v>-0.496809974767218</v>
      </c>
      <c r="AM351" s="262">
        <f>IFERROR(IF(AND(COUNT(AI83,AJ83,AK83,AM83)=4,(AI83+AJ83+AK83+AM83)&lt;&gt;0),((N(AM226)+N(AM227)+N(AM231)+N(AM252))-N(AM158))/(AI83+AJ83+AK83+AM83),""),"")</f>
        <v>-0.403307798183013</v>
      </c>
      <c r="AN351" s="262">
        <f>IFERROR(IF(AND(COUNT(AJ83,AK83,AM83,AN83)=4,(AJ83+AK83+AM83+AN83)&lt;&gt;0),((N(AN226)+N(AN227)+N(AN231)+N(AN252))-N(AN158))/(AJ83+AK83+AM83+AN83),""),"")</f>
        <v>-0.595775958733006</v>
      </c>
      <c r="AO351" s="262">
        <f>IFERROR(IF(AND(COUNT(AK83,AM83,AN83,AO83)=4,(AK83+AM83+AN83+AO83)&lt;&gt;0),((N(AO226)+N(AO227)+N(AO231)+N(AO252))-N(AO158))/(AK83+AM83+AN83+AO83),""),"")</f>
        <v>-0.607166983179413</v>
      </c>
      <c r="AP351" s="262">
        <f>IFERROR(IF(AND(COUNT(AM83,AN83,AO83,AP83)=4,(AM83+AN83+AO83+AP83)&lt;&gt;0),((N(AP226)+N(AP227)+N(AP231)+N(AP252))-N(AP158))/(AM83+AN83+AO83+AP83),""),"")</f>
        <v>-0.90079231270359</v>
      </c>
      <c r="AQ351" s="262">
        <f>IFERROR(IF(AND(COUNT(AM83,AN83,AO83,AP83)=4,(AM83+AN83+AO83+AP83)&lt;&gt;0),((N(AQ226)+N(AQ227)+N(AQ231)+N(AQ252))-N(AQ158))/(AM83+AN83+AO83+AP83),""),"")</f>
        <v>-0.90079231270359</v>
      </c>
      <c r="AR351" s="262">
        <f>IFERROR(IF(AND(COUNT(AN83,AO83,AP83,AR83)=4,(AN83+AO83+AP83+AR83)&lt;&gt;0),((N(AR226)+N(AR227)+N(AR231)+N(AR252))-N(AR158))/(AN83+AO83+AP83+AR83),""),"")</f>
        <v>-0.870367138536379</v>
      </c>
      <c r="AS351" s="262">
        <f>IFERROR(IF(AND(COUNT(AO83,AP83,AR83,AS83)=4,(AO83+AP83+AR83+AS83)&lt;&gt;0),((N(AS226)+N(AS227)+N(AS231)+N(AS252))-N(AS158))/(AO83+AP83+AR83+AS83),""),"")</f>
        <v>-1.07855304374459</v>
      </c>
      <c r="AT351" s="262">
        <f>IFERROR(IF(AND(COUNT(AP83,AR83,AS83,AT83)=4,(AP83+AR83+AS83+AT83)&lt;&gt;0),((N(AT226)+N(AT227)+N(AT231)+N(AT252))-N(AT158))/(AP83+AR83+AS83+AT83),""),"")</f>
        <v>-1.14455678197722</v>
      </c>
      <c r="AU351" s="262">
        <f>IFERROR(IF(AND(COUNT(AR83,AS83,AT83,AU83)=4,(AR83+AS83+AT83+AU83)&lt;&gt;0),((N(AU226)+N(AU227)+N(AU231)+N(AU252))-N(AU158))/(AR83+AS83+AT83+AU83),""),"")</f>
        <v>-1.51372366972419</v>
      </c>
      <c r="AV351" s="262">
        <f>IFERROR(IF(AND(COUNT(AR83,AS83,AT83,AU83)=4,(AR83+AS83+AT83+AU83)&lt;&gt;0),((N(AV226)+N(AV227)+N(AV231)+N(AV252))-N(AV158))/(AR83+AS83+AT83+AU83),""),"")</f>
        <v>-1.51372366972419</v>
      </c>
      <c r="AW351" s="262">
        <f>IFERROR(IF(AND(COUNT(AS83,AT83,AU83,AW83)=4,(AS83+AT83+AU83+AW83)&lt;&gt;0),((N(AW226)+N(AW227)+N(AW231)+N(AW252))-N(AW158))/(AS83+AT83+AU83+AW83),""),"")</f>
        <v>-1.55728105331827</v>
      </c>
      <c r="AX351" s="262">
        <f>IFERROR(IF(AND(COUNT(AT83,AU83,AW83,AX83)=4,(AT83+AU83+AW83+AX83)&lt;&gt;0),((N(AX226)+N(AX227)+N(AX231)+N(AX252))-N(AX158))/(AT83+AU83+AW83+AX83),""),"")</f>
        <v>-1.9170643453663</v>
      </c>
      <c r="AY351" s="262">
        <f>IFERROR(IF(AND(COUNT(AU83,AW83,AX83,AY83)=4,(AU83+AW83+AX83+AY83)&lt;&gt;0),((N(AY226)+N(AY227)+N(AY231)+N(AY252))-N(AY158))/(AU83+AW83+AX83+AY83),""),"")</f>
        <v>-2.13500470754279</v>
      </c>
      <c r="AZ351" s="262">
        <f>IFERROR(IF(AND(COUNT(AW83,AX83,AY83,AZ83)=4,(AW83+AX83+AY83+AZ83)&lt;&gt;0),((N(AZ226)+N(AZ227)+N(AZ231)+N(AZ252))-N(AZ158))/(AW83+AX83+AY83+AZ83),""),"")</f>
        <v>-2.70183949781615</v>
      </c>
      <c r="BA351" s="262">
        <f>IFERROR(IF(AND(COUNT(AW83,AX83,AY83,AZ83)=4,(AW83+AX83+AY83+AZ83)&lt;&gt;0),((N(BA226)+N(BA227)+N(BA231)+N(BA252))-N(BA158))/(AW83+AX83+AY83+AZ83),""),"")</f>
        <v>-2.70183949781615</v>
      </c>
      <c r="BB351" s="262">
        <f>IFERROR(IF(AND(COUNT(AX83,AY83,AZ83,BB83)=4,(AX83+AY83+AZ83+BB83)&lt;&gt;0),((N(BB226)+N(BB227)+N(BB231)+N(BB252))-N(BB158))/(AX83+AY83+AZ83+BB83),""),"")</f>
        <v>-2.99586478342936</v>
      </c>
      <c r="BC351" s="262">
        <f>IFERROR(IF(AND(COUNT(AY83,AZ83,BB83,BC83)=4,(AY83+AZ83+BB83+BC83)&lt;&gt;0),((N(BC226)+N(BC227)+N(BC231)+N(BC252))-N(BC158))/(AY83+AZ83+BB83+BC83),""),"")</f>
        <v>-3.65923506808782</v>
      </c>
      <c r="BD351" s="262">
        <f>IFERROR(IF(AND(COUNT(AZ83,BB83,BC83,BD83)=4,(AZ83+BB83+BC83+BD83)&lt;&gt;0),((N(BD226)+N(BD227)+N(BD231)+N(BD252))-N(BD158))/(AZ83+BB83+BC83+BD83),""),"")</f>
        <v>-4.24917368640092</v>
      </c>
      <c r="BE351" s="262">
        <f>IFERROR(IF(AND(COUNT(BB83,BC83,BD83,BE83)=4,(BB83+BC83+BD83+BE83)&lt;&gt;0),((N(BE226)+N(BE227)+N(BE231)+N(BE252))-N(BE158))/(BB83+BC83+BD83+BE83),""),"")</f>
        <v>-5.29107008092279</v>
      </c>
      <c r="BF351" s="262">
        <f>IFERROR(IF(AND(COUNT(BB83,BC83,BD83,BE83)=4,(BB83+BC83+BD83+BE83)&lt;&gt;0),((N(BF226)+N(BF227)+N(BF231)+N(BF252))-N(BF158))/(BB83+BC83+BD83+BE83),""),"")</f>
        <v>-5.29107008092279</v>
      </c>
      <c r="BG351" s="82" t="n"/>
      <c r="BH351" s="82" t="n"/>
      <c r="BI351" s="82" t="n"/>
      <c r="BJ351" s="82" t="n"/>
      <c r="BL351" s="82" t="n"/>
      <c r="BM351" s="82" t="n"/>
      <c r="BN351" s="82" t="n"/>
      <c r="BO351" s="82" t="n"/>
      <c r="BQ351" s="82" t="n"/>
      <c r="BR351" s="82" t="n"/>
      <c r="BS351" s="82" t="n"/>
      <c r="BT351" s="82" t="n"/>
      <c r="BV351" s="82" t="n"/>
      <c r="BW351" s="82" t="n"/>
      <c r="BX351" s="82" t="n"/>
      <c r="BY351" s="82" t="n"/>
      <c r="CA351" s="82" t="n"/>
      <c r="CB351" s="82" t="n"/>
      <c r="CC351" s="82" t="n"/>
      <c r="CD351" s="82" t="n"/>
      <c r="CF351" s="82" t="n"/>
      <c r="CG351" s="82" t="n"/>
      <c r="CH351" s="82" t="n"/>
      <c r="CI351" s="82" t="n"/>
      <c r="CK351" s="82" t="n"/>
      <c r="CL351" s="82" t="n"/>
      <c r="CM351" s="82" t="n"/>
      <c r="CN351" s="82" t="n"/>
      <c r="CP351" s="82" t="n"/>
      <c r="CQ351" s="82" t="n"/>
      <c r="CR351" s="82" t="n"/>
      <c r="CS351" s="82" t="n"/>
      <c r="CU351" s="82" t="n"/>
      <c r="CV351" s="82" t="n"/>
      <c r="CW351" s="82" t="n"/>
      <c r="CX351" s="82" t="n"/>
    </row>
    <row r="352" customFormat="1" s="77">
      <c r="A352" s="76" t="n"/>
      <c r="B352" s="76" t="n"/>
      <c r="C352" s="77" t="inlineStr">
        <is>
          <t>INTEREST COVERAGE (EBIT / INTEREST, LTM)</t>
        </is>
      </c>
      <c r="D352" s="82" t="str">
        <f>IFERROR(D87/-D88,"")</f>
        <v/>
      </c>
      <c r="E352" s="82" t="str">
        <f>IFERROR(E87/-E88,"")</f>
        <v/>
      </c>
      <c r="F352" s="82" t="str">
        <f>IFERROR(F87/-F88,"")</f>
        <v/>
      </c>
      <c r="G352" s="82" t="str">
        <f>IFERROR(G87/-G88,"")</f>
        <v/>
      </c>
      <c r="H352" s="262" t="str">
        <f>IFERROR(IF(AND(COUNT(H87)=1,(H88)&lt;&gt;0),(H87)/-(H88),""),"")</f>
        <v/>
      </c>
      <c r="I352" s="262" t="str">
        <f>""</f>
        <v/>
      </c>
      <c r="J352" s="262" t="str">
        <f>""</f>
        <v/>
      </c>
      <c r="K352" s="262" t="str">
        <f>""</f>
        <v/>
      </c>
      <c r="L352" s="262">
        <f>IFERROR(IF(AND(COUNT(I87,J87,K87,L87)=4,(I88+J88+K88+L88)&lt;&gt;0),(I87+J87+K87+L87)/-(I88+J88+K88+L88),""),"")</f>
        <v>7.55153852102902</v>
      </c>
      <c r="M352" s="262">
        <f>IFERROR(IF(AND(COUNT(I87,J87,K87,L87)=4,(I88+J88+K88+L88)&lt;&gt;0),(I87+J87+K87+L87)/-(I88+J88+K88+L88),""),"")</f>
        <v>7.55153852102902</v>
      </c>
      <c r="N352" s="262">
        <f>IFERROR(IF(AND(COUNT(J87,K87,L87,N87)=4,(J88+K88+L88+N88)&lt;&gt;0),(J87+K87+L87+N87)/-(J88+K88+L88+N88),""),"")</f>
        <v>6.5853676839205</v>
      </c>
      <c r="O352" s="262">
        <f>IFERROR(IF(AND(COUNT(K87,L87,N87,O87)=4,(K88+L88+N88+O88)&lt;&gt;0),(K87+L87+N87+O87)/-(K88+L88+N88+O88),""),"")</f>
        <v>5.73053606099093</v>
      </c>
      <c r="P352" s="262">
        <f>IFERROR(IF(AND(COUNT(L87,N87,O87,P87)=4,(L88+N88+O88+P88)&lt;&gt;0),(L87+N87+O87+P87)/-(L88+N88+O88+P88),""),"")</f>
        <v>5.26553948513718</v>
      </c>
      <c r="Q352" s="262">
        <f>IFERROR(IF(AND(COUNT(N87,O87,P87,Q87)=4,(N88+O88+P88+Q88)&lt;&gt;0),(N87+O87+P87+Q87)/-(N88+O88+P88+Q88),""),"")</f>
        <v>4.84991183252702</v>
      </c>
      <c r="R352" s="262">
        <f>IFERROR(IF(AND(COUNT(N87,O87,P87,Q87)=4,(N88+O88+P88+Q88)&lt;&gt;0),(N87+O87+P87+Q87)/-(N88+O88+P88+Q88),""),"")</f>
        <v>4.84991183252702</v>
      </c>
      <c r="S352" s="262">
        <f>IFERROR(IF(AND(COUNT(O87,P87,Q87,S87)=4,(O88+P88+Q88+S88)&lt;&gt;0),(O87+P87+Q87+S87)/-(O88+P88+Q88+S88),""),"")</f>
        <v>4.7860895362492</v>
      </c>
      <c r="T352" s="262">
        <f>IFERROR(IF(AND(COUNT(P87,Q87,S87,T87)=4,(P88+Q88+S88+T88)&lt;&gt;0),(P87+Q87+S87+T87)/-(P88+Q88+S88+T88),""),"")</f>
        <v>4.95249281395579</v>
      </c>
      <c r="U352" s="262">
        <f>IFERROR(IF(AND(COUNT(Q87,S87,T87,U87)=4,(Q88+S88+T88+U88)&lt;&gt;0),(Q87+S87+T87+U87)/-(Q88+S88+T88+U88),""),"")</f>
        <v>5.15608826202046</v>
      </c>
      <c r="V352" s="262">
        <f>IFERROR(IF(AND(COUNT(S87,T87,U87,V87)=4,(S88+T88+U88+V88)&lt;&gt;0),(S87+T87+U87+V87)/-(S88+T88+U88+V88),""),"")</f>
        <v>5.79556962657425</v>
      </c>
      <c r="W352" s="262">
        <f>IFERROR(IF(AND(COUNT(S87,T87,U87,V87)=4,(S88+T88+U88+V88)&lt;&gt;0),(S87+T87+U87+V87)/-(S88+T88+U88+V88),""),"")</f>
        <v>5.79556962657425</v>
      </c>
      <c r="X352" s="262">
        <f>IFERROR(IF(AND(COUNT(T87,U87,V87,X87)=4,(T88+U88+V88+X88)&lt;&gt;0),(T87+U87+V87+X87)/-(T88+U88+V88+X88),""),"")</f>
        <v>6.48009792365582</v>
      </c>
      <c r="Y352" s="262">
        <f>IFERROR(IF(AND(COUNT(U87,V87,X87,Y87)=4,(U88+V88+X88+Y88)&lt;&gt;0),(U87+V87+X87+Y87)/-(U88+V88+X88+Y88),""),"")</f>
        <v>6.66305579571377</v>
      </c>
      <c r="Z352" s="262">
        <f>IFERROR(IF(AND(COUNT(V87,X87,Y87,Z87)=4,(V88+X88+Y88+Z88)&lt;&gt;0),(V87+X87+Y87+Z87)/-(V88+X88+Y88+Z88),""),"")</f>
        <v>6.35083376843029</v>
      </c>
      <c r="AA352" s="262">
        <f>IFERROR(IF(AND(COUNT(X87,Y87,Z87,AA87)=4,(X88+Y88+Z88+AA88)&lt;&gt;0),(X87+Y87+Z87+AA87)/-(X88+Y88+Z88+AA88),""),"")</f>
        <v>5.91360961899902</v>
      </c>
      <c r="AB352" s="262">
        <f>IFERROR(IF(AND(COUNT(X87,Y87,Z87,AA87)=4,(X88+Y88+Z88+AA88)&lt;&gt;0),(X87+Y87+Z87+AA87)/-(X88+Y88+Z88+AA88),""),"")</f>
        <v>5.91360961899902</v>
      </c>
      <c r="AC352" s="262">
        <f>IFERROR(IF(AND(COUNT(Y87,Z87,AA87,AC87)=4,(Y88+Z88+AA88+AC88)&lt;&gt;0),(Y87+Z87+AA87+AC87)/-(Y88+Z88+AA88+AC88),""),"")</f>
        <v>5.57040560195735</v>
      </c>
      <c r="AD352" s="262">
        <f>IFERROR(IF(AND(COUNT(Z87,AA87,AC87,AD87)=4,(Z88+AA88+AC88+AD88)&lt;&gt;0),(Z87+AA87+AC87+AD87)/-(Z88+AA88+AC88+AD88),""),"")</f>
        <v>5.59221716191449</v>
      </c>
      <c r="AE352" s="262">
        <f>IFERROR(IF(AND(COUNT(AA87,AC87,AD87,AE87)=4,(AA88+AC88+AD88+AE88)&lt;&gt;0),(AA87+AC87+AD87+AE87)/-(AA88+AC88+AD88+AE88),""),"")</f>
        <v>5.72597846672732</v>
      </c>
      <c r="AF352" s="262">
        <f>IFERROR(IF(AND(COUNT(AB87,AD87,AE87,AF87)=4,(AB88+AD88+AE88+AF88)&lt;&gt;0),(AB87+AD87+AE87+AF87)/-(AB88+AD88+AE88+AF88),""),"")</f>
        <v>5.90527949398612</v>
      </c>
      <c r="AG352" s="262">
        <f>IFERROR(IF(AND(COUNT(AC87,AD87,AE87,AF87)=4,(AC88+AD88+AE88+AF88)&lt;&gt;0),(AC87+AD87+AE87+AF87)/-(AC88+AD88+AE88+AF88),""),"")</f>
        <v>5.78723940994732</v>
      </c>
      <c r="AH352" s="262">
        <f>IFERROR(IF(AND(COUNT(AD87,AF87,AG87,AH87)=4,(AD88+AF88+AG88+AH88)&lt;&gt;0),(AD87+AF87+AG87+AH87)/-(AD88+AF88+AG88+AH88),""),"")</f>
        <v>5.9715756497309</v>
      </c>
      <c r="AI352" s="262">
        <f>IFERROR(IF(AND(COUNT(AE87,AG87,AH87,AI87)=4,(AE88+AG88+AH88+AI88)&lt;&gt;0),(AE87+AG87+AH87+AI87)/-(AE88+AG88+AH88+AI88),""),"")</f>
        <v>5.8544710924118</v>
      </c>
      <c r="AJ352" s="262" t="str">
        <f>IFERROR(IF(AND(COUNT(AF87,AH87,AI87,AJ87)=4,(AF88+AH88+AI88+AJ88)&lt;&gt;0),(AF87+AH87+AI87+AJ87)/-(AF88+AH88+AI88+AJ88),""),"")</f>
        <v/>
      </c>
      <c r="AK352" s="262" t="str">
        <f>IFERROR(IF(AND(COUNT(AH87,AI87,AJ87,AK87)=4,(AH88+AI88+AJ88+AK88)&lt;&gt;0),(AH87+AI87+AJ87+AK87)/-(AH88+AI88+AJ88+AK88),""),"")</f>
        <v/>
      </c>
      <c r="AL352" s="262" t="str">
        <f>IFERROR(IF(AND(COUNT(AH87,AI87,AJ87,AK87)=4,(AH88+AI88+AJ88+AK88)&lt;&gt;0),(AH87+AI87+AJ87+AK87)/-(AH88+AI88+AJ88+AK88),""),"")</f>
        <v/>
      </c>
      <c r="AM352" s="262" t="str">
        <f>IFERROR(IF(AND(COUNT(AI87,AJ87,AK87,AM87)=4,(AI88+AJ88+AK88+AM88)&lt;&gt;0),(AI87+AJ87+AK87+AM87)/-(AI88+AJ88+AK88+AM88),""),"")</f>
        <v/>
      </c>
      <c r="AN352" s="262" t="str">
        <f>IFERROR(IF(AND(COUNT(AJ87,AK87,AM87,AN87)=4,(AJ88+AK88+AM88+AN88)&lt;&gt;0),(AJ87+AK87+AM87+AN87)/-(AJ88+AK88+AM88+AN88),""),"")</f>
        <v/>
      </c>
      <c r="AO352" s="262" t="str">
        <f>IFERROR(IF(AND(COUNT(AK87,AM87,AN87,AO87)=4,(AK88+AM88+AN88+AO88)&lt;&gt;0),(AK87+AM87+AN87+AO87)/-(AK88+AM88+AN88+AO88),""),"")</f>
        <v/>
      </c>
      <c r="AP352" s="262" t="str">
        <f>IFERROR(IF(AND(COUNT(AM87,AN87,AO87,AP87)=4,(AM88+AN88+AO88+AP88)&lt;&gt;0),(AM87+AN87+AO87+AP87)/-(AM88+AN88+AO88+AP88),""),"")</f>
        <v/>
      </c>
      <c r="AQ352" s="262" t="str">
        <f>IFERROR(IF(AND(COUNT(AM87,AN87,AO87,AP87)=4,(AM88+AN88+AO88+AP88)&lt;&gt;0),(AM87+AN87+AO87+AP87)/-(AM88+AN88+AO88+AP88),""),"")</f>
        <v/>
      </c>
      <c r="AR352" s="262" t="str">
        <f>IFERROR(IF(AND(COUNT(AN87,AO87,AP87,AR87)=4,(AN88+AO88+AP88+AR88)&lt;&gt;0),(AN87+AO87+AP87+AR87)/-(AN88+AO88+AP88+AR88),""),"")</f>
        <v/>
      </c>
      <c r="AS352" s="262" t="str">
        <f>IFERROR(IF(AND(COUNT(AO87,AP87,AR87,AS87)=4,(AO88+AP88+AR88+AS88)&lt;&gt;0),(AO87+AP87+AR87+AS87)/-(AO88+AP88+AR88+AS88),""),"")</f>
        <v/>
      </c>
      <c r="AT352" s="262" t="str">
        <f>IFERROR(IF(AND(COUNT(AP87,AR87,AS87,AT87)=4,(AP88+AR88+AS88+AT88)&lt;&gt;0),(AP87+AR87+AS87+AT87)/-(AP88+AR88+AS88+AT88),""),"")</f>
        <v/>
      </c>
      <c r="AU352" s="262" t="str">
        <f>IFERROR(IF(AND(COUNT(AR87,AS87,AT87,AU87)=4,(AR88+AS88+AT88+AU88)&lt;&gt;0),(AR87+AS87+AT87+AU87)/-(AR88+AS88+AT88+AU88),""),"")</f>
        <v/>
      </c>
      <c r="AV352" s="262" t="str">
        <f>IFERROR(IF(AND(COUNT(AR87,AS87,AT87,AU87)=4,(AR88+AS88+AT88+AU88)&lt;&gt;0),(AR87+AS87+AT87+AU87)/-(AR88+AS88+AT88+AU88),""),"")</f>
        <v/>
      </c>
      <c r="AW352" s="262" t="str">
        <f>IFERROR(IF(AND(COUNT(AS87,AT87,AU87,AW87)=4,(AS88+AT88+AU88+AW88)&lt;&gt;0),(AS87+AT87+AU87+AW87)/-(AS88+AT88+AU88+AW88),""),"")</f>
        <v/>
      </c>
      <c r="AX352" s="262" t="str">
        <f>IFERROR(IF(AND(COUNT(AT87,AU87,AW87,AX87)=4,(AT88+AU88+AW88+AX88)&lt;&gt;0),(AT87+AU87+AW87+AX87)/-(AT88+AU88+AW88+AX88),""),"")</f>
        <v/>
      </c>
      <c r="AY352" s="262" t="str">
        <f>IFERROR(IF(AND(COUNT(AU87,AW87,AX87,AY87)=4,(AU88+AW88+AX88+AY88)&lt;&gt;0),(AU87+AW87+AX87+AY87)/-(AU88+AW88+AX88+AY88),""),"")</f>
        <v/>
      </c>
      <c r="AZ352" s="262" t="str">
        <f>IFERROR(IF(AND(COUNT(AW87,AX87,AY87,AZ87)=4,(AW88+AX88+AY88+AZ88)&lt;&gt;0),(AW87+AX87+AY87+AZ87)/-(AW88+AX88+AY88+AZ88),""),"")</f>
        <v/>
      </c>
      <c r="BA352" s="262" t="str">
        <f>IFERROR(IF(AND(COUNT(AW87,AX87,AY87,AZ87)=4,(AW88+AX88+AY88+AZ88)&lt;&gt;0),(AW87+AX87+AY87+AZ87)/-(AW88+AX88+AY88+AZ88),""),"")</f>
        <v/>
      </c>
      <c r="BB352" s="262" t="str">
        <f>IFERROR(IF(AND(COUNT(AX87,AY87,AZ87,BB87)=4,(AX88+AY88+AZ88+BB88)&lt;&gt;0),(AX87+AY87+AZ87+BB87)/-(AX88+AY88+AZ88+BB88),""),"")</f>
        <v/>
      </c>
      <c r="BC352" s="262" t="str">
        <f>IFERROR(IF(AND(COUNT(AY87,AZ87,BB87,BC87)=4,(AY88+AZ88+BB88+BC88)&lt;&gt;0),(AY87+AZ87+BB87+BC87)/-(AY88+AZ88+BB88+BC88),""),"")</f>
        <v/>
      </c>
      <c r="BD352" s="262" t="str">
        <f>IFERROR(IF(AND(COUNT(AZ87,BB87,BC87,BD87)=4,(AZ88+BB88+BC88+BD88)&lt;&gt;0),(AZ87+BB87+BC87+BD87)/-(AZ88+BB88+BC88+BD88),""),"")</f>
        <v/>
      </c>
      <c r="BE352" s="262" t="str">
        <f>IFERROR(IF(AND(COUNT(BB87,BC87,BD87,BE87)=4,(BB88+BC88+BD88+BE88)&lt;&gt;0),(BB87+BC87+BD87+BE87)/-(BB88+BC88+BD88+BE88),""),"")</f>
        <v/>
      </c>
      <c r="BF352" s="262" t="str">
        <f>IFERROR(IF(AND(COUNT(BB87,BC87,BD87,BE87)=4,(BB88+BC88+BD88+BE88)&lt;&gt;0),(BB87+BC87+BD87+BE87)/-(BB88+BC88+BD88+BE88),""),"")</f>
        <v/>
      </c>
      <c r="BG352" s="82" t="n"/>
      <c r="BH352" s="82" t="n"/>
      <c r="BI352" s="82" t="n"/>
      <c r="BJ352" s="82" t="n"/>
      <c r="BL352" s="82" t="n"/>
      <c r="BM352" s="82" t="n"/>
      <c r="BN352" s="82" t="n"/>
      <c r="BO352" s="82" t="n"/>
      <c r="BQ352" s="82" t="n"/>
      <c r="BR352" s="82" t="n"/>
      <c r="BS352" s="82" t="n"/>
      <c r="BT352" s="82" t="n"/>
      <c r="BV352" s="82" t="n"/>
      <c r="BW352" s="82" t="n"/>
      <c r="BX352" s="82" t="n"/>
      <c r="BY352" s="82" t="n"/>
      <c r="CA352" s="82" t="n"/>
      <c r="CB352" s="82" t="n"/>
      <c r="CC352" s="82" t="n"/>
      <c r="CD352" s="82" t="n"/>
      <c r="CF352" s="82" t="n"/>
      <c r="CG352" s="82" t="n"/>
      <c r="CH352" s="82" t="n"/>
      <c r="CI352" s="82" t="n"/>
      <c r="CK352" s="82" t="n"/>
      <c r="CL352" s="82" t="n"/>
      <c r="CM352" s="82" t="n"/>
      <c r="CN352" s="82" t="n"/>
      <c r="CP352" s="82" t="n"/>
      <c r="CQ352" s="82" t="n"/>
      <c r="CR352" s="82" t="n"/>
      <c r="CS352" s="82" t="n"/>
      <c r="CU352" s="82" t="n"/>
      <c r="CV352" s="82" t="n"/>
      <c r="CW352" s="82" t="n"/>
      <c r="CX352" s="82" t="n"/>
    </row>
    <row r="353" customFormat="1" s="77">
      <c r="A353" s="76" t="n"/>
      <c r="B353" s="76" t="n"/>
    </row>
    <row r="354" customFormat="1" s="77">
      <c r="A354" s="76" t="n"/>
      <c r="B354" s="76" t="n"/>
      <c r="C354" s="74" t="inlineStr">
        <is>
          <t>INTERNAL LIQUIDITY</t>
        </is>
      </c>
    </row>
    <row r="355" customFormat="1" s="77">
      <c r="A355" s="76" t="n"/>
      <c r="B355" s="76" t="n"/>
      <c r="C355" s="77" t="inlineStr">
        <is>
          <t>CURRENT RATIO</t>
        </is>
      </c>
      <c r="D355" s="82" t="str">
        <f>IFERROR(SUM(D158,D159,D163,D167,D168,D169)/SUM(D212,D216,D218,D219),"")</f>
        <v/>
      </c>
      <c r="E355" s="82" t="str">
        <f>IFERROR(SUM(E158,E159,E163,E167,E168,E169)/SUM(E212,E216,E218,E219),"")</f>
        <v/>
      </c>
      <c r="F355" s="82" t="str">
        <f>IFERROR(SUM(F158,F159,F163,F167,F168,F169)/SUM(F212,F216,F218,F219),"")</f>
        <v/>
      </c>
      <c r="G355" s="82" t="str">
        <f>IFERROR(SUM(G158,G159,G163,G167,G168,G169)/SUM(G212,G216,G218,G219),"")</f>
        <v/>
      </c>
      <c r="H355" s="262" t="str">
        <f>IFERROR(IF((N(H212)+N(H216)+N(H218)+N(H219)+N(H226)+N(H227)+N(H228))&lt;&gt;0,(N(H158)+(N(H159)+N(H163)+N(H167)+N(H168)+N(H169)))/(N(H212)+N(H216)+N(H218)+N(H219)+N(H226)+N(H227)+N(H228)),""),"")</f>
        <v/>
      </c>
      <c r="I355" s="262">
        <f>IFERROR(IF((N(I212)+N(I216)+N(I218)+N(I219)+N(I226)+N(I227)+N(I228))&lt;&gt;0,(N(I158)+(N(I159)+N(I163)+N(I167)+N(I168)+N(I169)))/(N(I212)+N(I216)+N(I218)+N(I219)+N(I226)+N(I227)+N(I228)),""),"")</f>
        <v>2.49954269320009</v>
      </c>
      <c r="J355" s="262">
        <f>IFERROR(IF((N(J212)+N(J216)+N(J218)+N(J219)+N(J226)+N(J227)+N(J228))&lt;&gt;0,(N(J158)+(N(J159)+N(J163)+N(J167)+N(J168)+N(J169)))/(N(J212)+N(J216)+N(J218)+N(J219)+N(J226)+N(J227)+N(J228)),""),"")</f>
        <v>2.1103265560302</v>
      </c>
      <c r="K355" s="262">
        <f>IFERROR(IF((N(K212)+N(K216)+N(K218)+N(K219)+N(K226)+N(K227)+N(K228))&lt;&gt;0,(N(K158)+(N(K159)+N(K163)+N(K167)+N(K168)+N(K169)))/(N(K212)+N(K216)+N(K218)+N(K219)+N(K226)+N(K227)+N(K228)),""),"")</f>
        <v>2.79682364351528</v>
      </c>
      <c r="L355" s="262">
        <f>IFERROR(IF((N(L212)+N(L216)+N(L218)+N(L219)+N(L226)+N(L227)+N(L228))&lt;&gt;0,(N(L158)+(N(L159)+N(L163)+N(L167)+N(L168)+N(L169)))/(N(L212)+N(L216)+N(L218)+N(L219)+N(L226)+N(L227)+N(L228)),""),"")</f>
        <v>2.20581687242054</v>
      </c>
      <c r="M355" s="262">
        <f>IFERROR(IF((N(M212)+N(M216)+N(M218)+N(M219)+N(M226)+N(M227)+N(M228))&lt;&gt;0,(N(M158)+(N(M159)+N(M163)+N(M167)+N(M168)+N(M169)))/(N(M212)+N(M216)+N(M218)+N(M219)+N(M226)+N(M227)+N(M228)),""),"")</f>
        <v>2.20581687242054</v>
      </c>
      <c r="N355" s="262">
        <f>IFERROR(IF((N(N212)+N(N216)+N(N218)+N(N219)+N(N226)+N(N227)+N(N228))&lt;&gt;0,(N(N158)+(N(N159)+N(N163)+N(N167)+N(N168)+N(N169)))/(N(N212)+N(N216)+N(N218)+N(N219)+N(N226)+N(N227)+N(N228)),""),"")</f>
        <v>1.99613943560407</v>
      </c>
      <c r="O355" s="262">
        <f>IFERROR(IF((N(O212)+N(O216)+N(O218)+N(O219)+N(O226)+N(O227)+N(O228))&lt;&gt;0,(N(O158)+(N(O159)+N(O163)+N(O167)+N(O168)+N(O169)))/(N(O212)+N(O216)+N(O218)+N(O219)+N(O226)+N(O227)+N(O228)),""),"")</f>
        <v>2.00221466366525</v>
      </c>
      <c r="P355" s="262">
        <f>IFERROR(IF((N(P212)+N(P216)+N(P218)+N(P219)+N(P226)+N(P227)+N(P228))&lt;&gt;0,(N(P158)+(N(P159)+N(P163)+N(P167)+N(P168)+N(P169)))/(N(P212)+N(P216)+N(P218)+N(P219)+N(P226)+N(P227)+N(P228)),""),"")</f>
        <v>2.67824002799444</v>
      </c>
      <c r="Q355" s="262">
        <f>IFERROR(IF((N(Q212)+N(Q216)+N(Q218)+N(Q219)+N(Q226)+N(Q227)+N(Q228))&lt;&gt;0,(N(Q158)+(N(Q159)+N(Q163)+N(Q167)+N(Q168)+N(Q169)))/(N(Q212)+N(Q216)+N(Q218)+N(Q219)+N(Q226)+N(Q227)+N(Q228)),""),"")</f>
        <v>2.49645180057952</v>
      </c>
      <c r="R355" s="262">
        <f>IFERROR(IF((N(R212)+N(R216)+N(R218)+N(R219)+N(R226)+N(R227)+N(R228))&lt;&gt;0,(N(R158)+(N(R159)+N(R163)+N(R167)+N(R168)+N(R169)))/(N(R212)+N(R216)+N(R218)+N(R219)+N(R226)+N(R227)+N(R228)),""),"")</f>
        <v>2.49645180057952</v>
      </c>
      <c r="S355" s="262">
        <f>IFERROR(IF((N(S212)+N(S216)+N(S218)+N(S219)+N(S226)+N(S227)+N(S228))&lt;&gt;0,(N(S158)+(N(S159)+N(S163)+N(S167)+N(S168)+N(S169)))/(N(S212)+N(S216)+N(S218)+N(S219)+N(S226)+N(S227)+N(S228)),""),"")</f>
        <v>3.3952575097613</v>
      </c>
      <c r="T355" s="262">
        <f>IFERROR(IF((N(T212)+N(T216)+N(T218)+N(T219)+N(T226)+N(T227)+N(T228))&lt;&gt;0,(N(T158)+(N(T159)+N(T163)+N(T167)+N(T168)+N(T169)))/(N(T212)+N(T216)+N(T218)+N(T219)+N(T226)+N(T227)+N(T228)),""),"")</f>
        <v>3.42635517666048</v>
      </c>
      <c r="U355" s="262">
        <f>IFERROR(IF((N(U212)+N(U216)+N(U218)+N(U219)+N(U226)+N(U227)+N(U228))&lt;&gt;0,(N(U158)+(N(U159)+N(U163)+N(U167)+N(U168)+N(U169)))/(N(U212)+N(U216)+N(U218)+N(U219)+N(U226)+N(U227)+N(U228)),""),"")</f>
        <v>3.03787881112765</v>
      </c>
      <c r="V355" s="262">
        <f>IFERROR(IF((N(V212)+N(V216)+N(V218)+N(V219)+N(V226)+N(V227)+N(V228))&lt;&gt;0,(N(V158)+(N(V159)+N(V163)+N(V167)+N(V168)+N(V169)))/(N(V212)+N(V216)+N(V218)+N(V219)+N(V226)+N(V227)+N(V228)),""),"")</f>
        <v>2.69526690497357</v>
      </c>
      <c r="W355" s="262">
        <f>IFERROR(IF((N(W212)+N(W216)+N(W218)+N(W219)+N(W226)+N(W227)+N(W228))&lt;&gt;0,(N(W158)+(N(W159)+N(W163)+N(W167)+N(W168)+N(W169)))/(N(W212)+N(W216)+N(W218)+N(W219)+N(W226)+N(W227)+N(W228)),""),"")</f>
        <v>2.69526690497357</v>
      </c>
      <c r="X355" s="262">
        <f>IFERROR(IF((N(X212)+N(X216)+N(X218)+N(X219)+N(X226)+N(X227)+N(X228))&lt;&gt;0,(N(X158)+(N(X159)+N(X163)+N(X167)+N(X168)+N(X169)))/(N(X212)+N(X216)+N(X218)+N(X219)+N(X226)+N(X227)+N(X228)),""),"")</f>
        <v>2.77947097276938</v>
      </c>
      <c r="Y355" s="262">
        <f>IFERROR(IF((N(Y212)+N(Y216)+N(Y218)+N(Y219)+N(Y226)+N(Y227)+N(Y228))&lt;&gt;0,(N(Y158)+(N(Y159)+N(Y163)+N(Y167)+N(Y168)+N(Y169)))/(N(Y212)+N(Y216)+N(Y218)+N(Y219)+N(Y226)+N(Y227)+N(Y228)),""),"")</f>
        <v>2.83822279774767</v>
      </c>
      <c r="Z355" s="262">
        <f>IFERROR(IF((N(Z212)+N(Z216)+N(Z218)+N(Z219)+N(Z226)+N(Z227)+N(Z228))&lt;&gt;0,(N(Z158)+(N(Z159)+N(Z163)+N(Z167)+N(Z168)+N(Z169)))/(N(Z212)+N(Z216)+N(Z218)+N(Z219)+N(Z226)+N(Z227)+N(Z228)),""),"")</f>
        <v>3.22936895564549</v>
      </c>
      <c r="AA355" s="262">
        <f>IFERROR(IF((N(AA212)+N(AA216)+N(AA218)+N(AA219)+N(AA226)+N(AA227)+N(AA228))&lt;&gt;0,(N(AA158)+(N(AA159)+N(AA163)+N(AA167)+N(AA168)+N(AA169)))/(N(AA212)+N(AA216)+N(AA218)+N(AA219)+N(AA226)+N(AA227)+N(AA228)),""),"")</f>
        <v>3.38193918568204</v>
      </c>
      <c r="AB355" s="262">
        <f>IFERROR(IF((N(AB212)+N(AB216)+N(AB218)+N(AB219)+N(AB226)+N(AB227)+N(AB228))&lt;&gt;0,(N(AB158)+(N(AB159)+N(AB163)+N(AB167)+N(AB168)+N(AB169)))/(N(AB212)+N(AB216)+N(AB218)+N(AB219)+N(AB226)+N(AB227)+N(AB228)),""),"")</f>
        <v>3.38193918568204</v>
      </c>
      <c r="AC355" s="262">
        <f>IFERROR(IF((N(AC212)+N(AC216)+N(AC218)+N(AC219)+N(AC226)+N(AC227)+N(AC228))&lt;&gt;0,(N(AC158)+(N(AC159)+N(AC163)+N(AC167)+N(AC168)+N(AC169)))/(N(AC212)+N(AC216)+N(AC218)+N(AC219)+N(AC226)+N(AC227)+N(AC228)),""),"")</f>
        <v>3.54849126141127</v>
      </c>
      <c r="AD355" s="262">
        <f>IFERROR(IF((N(AD212)+N(AD216)+N(AD218)+N(AD219)+N(AD226)+N(AD227)+N(AD228))&lt;&gt;0,(N(AD158)+(N(AD159)+N(AD163)+N(AD167)+N(AD168)+N(AD169)))/(N(AD212)+N(AD216)+N(AD218)+N(AD219)+N(AD226)+N(AD227)+N(AD228)),""),"")</f>
        <v>3.54055592181258</v>
      </c>
      <c r="AE355" s="262">
        <f>IFERROR(IF((N(AE212)+N(AE216)+N(AE218)+N(AE219)+N(AE226)+N(AE227)+N(AE228))&lt;&gt;0,(N(AE158)+(N(AE159)+N(AE163)+N(AE167)+N(AE168)+N(AE169)))/(N(AE212)+N(AE216)+N(AE218)+N(AE219)+N(AE226)+N(AE227)+N(AE228)),""),"")</f>
        <v>3.23286723465997</v>
      </c>
      <c r="AF355" s="262">
        <f>IFERROR(IF((N(AF212)+N(AF216)+N(AF218)+N(AF219)+N(AF226)+N(AF227)+N(AF228))&lt;&gt;0,(N(AF158)+(N(AF159)+N(AF163)+N(AF167)+N(AF168)+N(AF169)))/(N(AF212)+N(AF216)+N(AF218)+N(AF219)+N(AF226)+N(AF227)+N(AF228)),""),"")</f>
        <v>3.1800001615179</v>
      </c>
      <c r="AG355" s="262">
        <f>IFERROR(IF((N(AG212)+N(AG216)+N(AG218)+N(AG219)+N(AG226)+N(AG227)+N(AG228))&lt;&gt;0,(N(AG158)+(N(AG159)+N(AG163)+N(AG167)+N(AG168)+N(AG169)))/(N(AG212)+N(AG216)+N(AG218)+N(AG219)+N(AG226)+N(AG227)+N(AG228)),""),"")</f>
        <v>3.1800001615179</v>
      </c>
      <c r="AH355" s="262">
        <f>IFERROR(IF((N(AH212)+N(AH216)+N(AH218)+N(AH219)+N(AH226)+N(AH227)+N(AH228))&lt;&gt;0,(N(AH158)+(N(AH159)+N(AH163)+N(AH167)+N(AH168)+N(AH169)))/(N(AH212)+N(AH216)+N(AH218)+N(AH219)+N(AH226)+N(AH227)+N(AH228)),""),"")</f>
        <v>3.2022930565223</v>
      </c>
      <c r="AI355" s="262">
        <f>IFERROR(IF((N(AI212)+N(AI216)+N(AI218)+N(AI219)+N(AI226)+N(AI227)+N(AI228))&lt;&gt;0,(N(AI158)+(N(AI159)+N(AI163)+N(AI167)+N(AI168)+N(AI169)))/(N(AI212)+N(AI216)+N(AI218)+N(AI219)+N(AI226)+N(AI227)+N(AI228)),""),"")</f>
        <v>3.25325875742099</v>
      </c>
      <c r="AJ355" s="262">
        <f>IFERROR(IF((N(AJ212)+N(AJ216)+N(AJ218)+N(AJ219)+N(AJ226)+N(AJ227)+N(AJ228))&lt;&gt;0,(N(AJ158)+(N(AJ159)+N(AJ163)+N(AJ167)+N(AJ168)+N(AJ169)))/(N(AJ212)+N(AJ216)+N(AJ218)+N(AJ219)+N(AJ226)+N(AJ227)+N(AJ228)),""),"")</f>
        <v>3.38870203163048</v>
      </c>
      <c r="AK355" s="262">
        <f>IFERROR(IF((N(AK212)+N(AK216)+N(AK218)+N(AK219)+N(AK226)+N(AK227)+N(AK228))&lt;&gt;0,(N(AK158)+(N(AK159)+N(AK163)+N(AK167)+N(AK168)+N(AK169)))/(N(AK212)+N(AK216)+N(AK218)+N(AK219)+N(AK226)+N(AK227)+N(AK228)),""),"")</f>
        <v>3.54337636614748</v>
      </c>
      <c r="AL355" s="262">
        <f>IFERROR(IF((N(AL212)+N(AL216)+N(AL218)+N(AL219)+N(AL226)+N(AL227)+N(AL228))&lt;&gt;0,(N(AL158)+(N(AL159)+N(AL163)+N(AL167)+N(AL168)+N(AL169)))/(N(AL212)+N(AL216)+N(AL218)+N(AL219)+N(AL226)+N(AL227)+N(AL228)),""),"")</f>
        <v>3.54337636614748</v>
      </c>
      <c r="AM355" s="262">
        <f>IFERROR(IF((N(AM212)+N(AM216)+N(AM218)+N(AM219)+N(AM226)+N(AM227)+N(AM228))&lt;&gt;0,(N(AM158)+(N(AM159)+N(AM163)+N(AM167)+N(AM168)+N(AM169)))/(N(AM212)+N(AM216)+N(AM218)+N(AM219)+N(AM226)+N(AM227)+N(AM228)),""),"")</f>
        <v>3.61598215424564</v>
      </c>
      <c r="AN355" s="262">
        <f>IFERROR(IF((N(AN212)+N(AN216)+N(AN218)+N(AN219)+N(AN226)+N(AN227)+N(AN228))&lt;&gt;0,(N(AN158)+(N(AN159)+N(AN163)+N(AN167)+N(AN168)+N(AN169)))/(N(AN212)+N(AN216)+N(AN218)+N(AN219)+N(AN226)+N(AN227)+N(AN228)),""),"")</f>
        <v>3.71423039852129</v>
      </c>
      <c r="AO355" s="262">
        <f>IFERROR(IF((N(AO212)+N(AO216)+N(AO218)+N(AO219)+N(AO226)+N(AO227)+N(AO228))&lt;&gt;0,(N(AO158)+(N(AO159)+N(AO163)+N(AO167)+N(AO168)+N(AO169)))/(N(AO212)+N(AO216)+N(AO218)+N(AO219)+N(AO226)+N(AO227)+N(AO228)),""),"")</f>
        <v>3.74638621397436</v>
      </c>
      <c r="AP355" s="262">
        <f>IFERROR(IF((N(AP212)+N(AP216)+N(AP218)+N(AP219)+N(AP226)+N(AP227)+N(AP228))&lt;&gt;0,(N(AP158)+(N(AP159)+N(AP163)+N(AP167)+N(AP168)+N(AP169)))/(N(AP212)+N(AP216)+N(AP218)+N(AP219)+N(AP226)+N(AP227)+N(AP228)),""),"")</f>
        <v>3.7817291705795</v>
      </c>
      <c r="AQ355" s="262">
        <f>IFERROR(IF((N(AQ212)+N(AQ216)+N(AQ218)+N(AQ219)+N(AQ226)+N(AQ227)+N(AQ228))&lt;&gt;0,(N(AQ158)+(N(AQ159)+N(AQ163)+N(AQ167)+N(AQ168)+N(AQ169)))/(N(AQ212)+N(AQ216)+N(AQ218)+N(AQ219)+N(AQ226)+N(AQ227)+N(AQ228)),""),"")</f>
        <v>3.7817291705795</v>
      </c>
      <c r="AR355" s="262">
        <f>IFERROR(IF((N(AR212)+N(AR216)+N(AR218)+N(AR219)+N(AR226)+N(AR227)+N(AR228))&lt;&gt;0,(N(AR158)+(N(AR159)+N(AR163)+N(AR167)+N(AR168)+N(AR169)))/(N(AR212)+N(AR216)+N(AR218)+N(AR219)+N(AR226)+N(AR227)+N(AR228)),""),"")</f>
        <v>3.71067807249548</v>
      </c>
      <c r="AS355" s="262">
        <f>IFERROR(IF((N(AS212)+N(AS216)+N(AS218)+N(AS219)+N(AS226)+N(AS227)+N(AS228))&lt;&gt;0,(N(AS158)+(N(AS159)+N(AS163)+N(AS167)+N(AS168)+N(AS169)))/(N(AS212)+N(AS216)+N(AS218)+N(AS219)+N(AS226)+N(AS227)+N(AS228)),""),"")</f>
        <v>3.63338224694176</v>
      </c>
      <c r="AT355" s="262">
        <f>IFERROR(IF((N(AT212)+N(AT216)+N(AT218)+N(AT219)+N(AT226)+N(AT227)+N(AT228))&lt;&gt;0,(N(AT158)+(N(AT159)+N(AT163)+N(AT167)+N(AT168)+N(AT169)))/(N(AT212)+N(AT216)+N(AT218)+N(AT219)+N(AT226)+N(AT227)+N(AT228)),""),"")</f>
        <v>3.4889776920621</v>
      </c>
      <c r="AU355" s="262">
        <f>IFERROR(IF((N(AU212)+N(AU216)+N(AU218)+N(AU219)+N(AU226)+N(AU227)+N(AU228))&lt;&gt;0,(N(AU158)+(N(AU159)+N(AU163)+N(AU167)+N(AU168)+N(AU169)))/(N(AU212)+N(AU216)+N(AU218)+N(AU219)+N(AU226)+N(AU227)+N(AU228)),""),"")</f>
        <v>3.3369542562014</v>
      </c>
      <c r="AV355" s="262">
        <f>IFERROR(IF((N(AV212)+N(AV216)+N(AV218)+N(AV219)+N(AV226)+N(AV227)+N(AV228))&lt;&gt;0,(N(AV158)+(N(AV159)+N(AV163)+N(AV167)+N(AV168)+N(AV169)))/(N(AV212)+N(AV216)+N(AV218)+N(AV219)+N(AV226)+N(AV227)+N(AV228)),""),"")</f>
        <v>3.3369542562014</v>
      </c>
      <c r="AW355" s="262">
        <f>IFERROR(IF((N(AW212)+N(AW216)+N(AW218)+N(AW219)+N(AW226)+N(AW227)+N(AW228))&lt;&gt;0,(N(AW158)+(N(AW159)+N(AW163)+N(AW167)+N(AW168)+N(AW169)))/(N(AW212)+N(AW216)+N(AW218)+N(AW219)+N(AW226)+N(AW227)+N(AW228)),""),"")</f>
        <v>3.11546101444201</v>
      </c>
      <c r="AX355" s="262">
        <f>IFERROR(IF((N(AX212)+N(AX216)+N(AX218)+N(AX219)+N(AX226)+N(AX227)+N(AX228))&lt;&gt;0,(N(AX158)+(N(AX159)+N(AX163)+N(AX167)+N(AX168)+N(AX169)))/(N(AX212)+N(AX216)+N(AX218)+N(AX219)+N(AX226)+N(AX227)+N(AX228)),""),"")</f>
        <v>2.90671237601944</v>
      </c>
      <c r="AY355" s="262">
        <f>IFERROR(IF((N(AY212)+N(AY216)+N(AY218)+N(AY219)+N(AY226)+N(AY227)+N(AY228))&lt;&gt;0,(N(AY158)+(N(AY159)+N(AY163)+N(AY167)+N(AY168)+N(AY169)))/(N(AY212)+N(AY216)+N(AY218)+N(AY219)+N(AY226)+N(AY227)+N(AY228)),""),"")</f>
        <v>2.67915423002619</v>
      </c>
      <c r="AZ355" s="262">
        <f>IFERROR(IF((N(AZ212)+N(AZ216)+N(AZ218)+N(AZ219)+N(AZ226)+N(AZ227)+N(AZ228))&lt;&gt;0,(N(AZ158)+(N(AZ159)+N(AZ163)+N(AZ167)+N(AZ168)+N(AZ169)))/(N(AZ212)+N(AZ216)+N(AZ218)+N(AZ219)+N(AZ226)+N(AZ227)+N(AZ228)),""),"")</f>
        <v>2.46559793973785</v>
      </c>
      <c r="BA355" s="262">
        <f>IFERROR(IF((N(BA212)+N(BA216)+N(BA218)+N(BA219)+N(BA226)+N(BA227)+N(BA228))&lt;&gt;0,(N(BA158)+(N(BA159)+N(BA163)+N(BA167)+N(BA168)+N(BA169)))/(N(BA212)+N(BA216)+N(BA218)+N(BA219)+N(BA226)+N(BA227)+N(BA228)),""),"")</f>
        <v>2.46559793973785</v>
      </c>
      <c r="BB355" s="262">
        <f>IFERROR(IF((N(BB212)+N(BB216)+N(BB218)+N(BB219)+N(BB226)+N(BB227)+N(BB228))&lt;&gt;0,(N(BB158)+(N(BB159)+N(BB163)+N(BB167)+N(BB168)+N(BB169)))/(N(BB212)+N(BB216)+N(BB218)+N(BB219)+N(BB226)+N(BB227)+N(BB228)),""),"")</f>
        <v>2.2529716546783</v>
      </c>
      <c r="BC355" s="262">
        <f>IFERROR(IF((N(BC212)+N(BC216)+N(BC218)+N(BC219)+N(BC226)+N(BC227)+N(BC228))&lt;&gt;0,(N(BC158)+(N(BC159)+N(BC163)+N(BC167)+N(BC168)+N(BC169)))/(N(BC212)+N(BC216)+N(BC218)+N(BC219)+N(BC226)+N(BC227)+N(BC228)),""),"")</f>
        <v>2.06661466493652</v>
      </c>
      <c r="BD355" s="262">
        <f>IFERROR(IF((N(BD212)+N(BD216)+N(BD218)+N(BD219)+N(BD226)+N(BD227)+N(BD228))&lt;&gt;0,(N(BD158)+(N(BD159)+N(BD163)+N(BD167)+N(BD168)+N(BD169)))/(N(BD212)+N(BD216)+N(BD218)+N(BD219)+N(BD226)+N(BD227)+N(BD228)),""),"")</f>
        <v>1.89791460883845</v>
      </c>
      <c r="BE355" s="262">
        <f>IFERROR(IF((N(BE212)+N(BE216)+N(BE218)+N(BE219)+N(BE226)+N(BE227)+N(BE228))&lt;&gt;0,(N(BE158)+(N(BE159)+N(BE163)+N(BE167)+N(BE168)+N(BE169)))/(N(BE212)+N(BE216)+N(BE218)+N(BE219)+N(BE226)+N(BE227)+N(BE228)),""),"")</f>
        <v>1.75045450890983</v>
      </c>
      <c r="BF355" s="262">
        <f>IFERROR(IF((N(BF212)+N(BF216)+N(BF218)+N(BF219)+N(BF226)+N(BF227)+N(BF228))&lt;&gt;0,(N(BF158)+(N(BF159)+N(BF163)+N(BF167)+N(BF168)+N(BF169)))/(N(BF212)+N(BF216)+N(BF218)+N(BF219)+N(BF226)+N(BF227)+N(BF228)),""),"")</f>
        <v>1.75045450890983</v>
      </c>
      <c r="BG355" s="82" t="n"/>
      <c r="BH355" s="82" t="n"/>
      <c r="BI355" s="82" t="n"/>
      <c r="BJ355" s="82" t="n"/>
      <c r="BL355" s="82" t="n"/>
      <c r="BM355" s="82" t="n"/>
      <c r="BN355" s="82" t="n"/>
      <c r="BO355" s="82" t="n"/>
      <c r="BQ355" s="82" t="n"/>
      <c r="BR355" s="82" t="n"/>
      <c r="BS355" s="82" t="n"/>
      <c r="BT355" s="82" t="n"/>
      <c r="BV355" s="82" t="n"/>
      <c r="BW355" s="82" t="n"/>
      <c r="BX355" s="82" t="n"/>
      <c r="BY355" s="82" t="n"/>
      <c r="CA355" s="82" t="n"/>
      <c r="CB355" s="82" t="n"/>
      <c r="CC355" s="82" t="n"/>
      <c r="CD355" s="82" t="n"/>
      <c r="CF355" s="82" t="n"/>
      <c r="CG355" s="82" t="n"/>
      <c r="CH355" s="82" t="n"/>
      <c r="CI355" s="82" t="n"/>
      <c r="CK355" s="82" t="n"/>
      <c r="CL355" s="82" t="n"/>
      <c r="CM355" s="82" t="n"/>
      <c r="CN355" s="82" t="n"/>
      <c r="CP355" s="82" t="n"/>
      <c r="CQ355" s="82" t="n"/>
      <c r="CR355" s="82" t="n"/>
      <c r="CS355" s="82" t="n"/>
      <c r="CU355" s="82" t="n"/>
      <c r="CV355" s="82" t="n"/>
      <c r="CW355" s="82" t="n"/>
      <c r="CX355" s="82" t="n"/>
    </row>
    <row r="356" customFormat="1" s="77">
      <c r="A356" s="76" t="n"/>
      <c r="B356" s="76" t="n"/>
      <c r="C356" s="77" t="inlineStr">
        <is>
          <t>CASH RATIO</t>
        </is>
      </c>
      <c r="D356" s="82" t="str">
        <f>IFERROR(SUM(D158)/SUM(D212,D216,D218,D219),"")</f>
        <v/>
      </c>
      <c r="E356" s="82" t="str">
        <f>IFERROR(SUM(E158)/SUM(E212,E216,E218,E219),"")</f>
        <v/>
      </c>
      <c r="F356" s="82" t="str">
        <f>IFERROR(SUM(F158)/SUM(F212,F216,F218,F219),"")</f>
        <v/>
      </c>
      <c r="G356" s="82" t="str">
        <f>IFERROR(SUM(G158)/SUM(G212,G216,G218,G219),"")</f>
        <v/>
      </c>
      <c r="H356" s="262" t="str">
        <f>IFERROR(IF((N(H212)+N(H216)+N(H218)+N(H219)+N(H226)+N(H227)+N(H228))&lt;&gt;0,N(H158)/(N(H212)+N(H216)+N(H218)+N(H219)+N(H226)+N(H227)+N(H228)),""),"")</f>
        <v/>
      </c>
      <c r="I356" s="262">
        <f>IFERROR(IF((N(I212)+N(I216)+N(I218)+N(I219)+N(I226)+N(I227)+N(I228))&lt;&gt;0,N(I158)/(N(I212)+N(I216)+N(I218)+N(I219)+N(I226)+N(I227)+N(I228)),""),"")</f>
        <v>0.600542166437669</v>
      </c>
      <c r="J356" s="262">
        <f>IFERROR(IF((N(J212)+N(J216)+N(J218)+N(J219)+N(J226)+N(J227)+N(J228))&lt;&gt;0,N(J158)/(N(J212)+N(J216)+N(J218)+N(J219)+N(J226)+N(J227)+N(J228)),""),"")</f>
        <v>0.537508603642482</v>
      </c>
      <c r="K356" s="262">
        <f>IFERROR(IF((N(K212)+N(K216)+N(K218)+N(K219)+N(K226)+N(K227)+N(K228))&lt;&gt;0,N(K158)/(N(K212)+N(K216)+N(K218)+N(K219)+N(K226)+N(K227)+N(K228)),""),"")</f>
        <v>0.747517377013848</v>
      </c>
      <c r="L356" s="262">
        <f>IFERROR(IF((N(L212)+N(L216)+N(L218)+N(L219)+N(L226)+N(L227)+N(L228))&lt;&gt;0,N(L158)/(N(L212)+N(L216)+N(L218)+N(L219)+N(L226)+N(L227)+N(L228)),""),"")</f>
        <v>0.537582786846703</v>
      </c>
      <c r="M356" s="262">
        <f>IFERROR(IF((N(M212)+N(M216)+N(M218)+N(M219)+N(M226)+N(M227)+N(M228))&lt;&gt;0,N(M158)/(N(M212)+N(M216)+N(M218)+N(M219)+N(M226)+N(M227)+N(M228)),""),"")</f>
        <v>0.537582786846703</v>
      </c>
      <c r="N356" s="262">
        <f>IFERROR(IF((N(N212)+N(N216)+N(N218)+N(N219)+N(N226)+N(N227)+N(N228))&lt;&gt;0,N(N158)/(N(N212)+N(N216)+N(N218)+N(N219)+N(N226)+N(N227)+N(N228)),""),"")</f>
        <v>0.43408333027168</v>
      </c>
      <c r="O356" s="262">
        <f>IFERROR(IF((N(O212)+N(O216)+N(O218)+N(O219)+N(O226)+N(O227)+N(O228))&lt;&gt;0,N(O158)/(N(O212)+N(O216)+N(O218)+N(O219)+N(O226)+N(O227)+N(O228)),""),"")</f>
        <v>0.495042851776245</v>
      </c>
      <c r="P356" s="262">
        <f>IFERROR(IF((N(P212)+N(P216)+N(P218)+N(P219)+N(P226)+N(P227)+N(P228))&lt;&gt;0,N(P158)/(N(P212)+N(P216)+N(P218)+N(P219)+N(P226)+N(P227)+N(P228)),""),"")</f>
        <v>0.65040634989311</v>
      </c>
      <c r="Q356" s="262">
        <f>IFERROR(IF((N(Q212)+N(Q216)+N(Q218)+N(Q219)+N(Q226)+N(Q227)+N(Q228))&lt;&gt;0,N(Q158)/(N(Q212)+N(Q216)+N(Q218)+N(Q219)+N(Q226)+N(Q227)+N(Q228)),""),"")</f>
        <v>0.749241908710149</v>
      </c>
      <c r="R356" s="262">
        <f>IFERROR(IF((N(R212)+N(R216)+N(R218)+N(R219)+N(R226)+N(R227)+N(R228))&lt;&gt;0,N(R158)/(N(R212)+N(R216)+N(R218)+N(R219)+N(R226)+N(R227)+N(R228)),""),"")</f>
        <v>0.749241908710149</v>
      </c>
      <c r="S356" s="262">
        <f>IFERROR(IF((N(S212)+N(S216)+N(S218)+N(S219)+N(S226)+N(S227)+N(S228))&lt;&gt;0,N(S158)/(N(S212)+N(S216)+N(S218)+N(S219)+N(S226)+N(S227)+N(S228)),""),"")</f>
        <v>0.968595302367927</v>
      </c>
      <c r="T356" s="262">
        <f>IFERROR(IF((N(T212)+N(T216)+N(T218)+N(T219)+N(T226)+N(T227)+N(T228))&lt;&gt;0,N(T158)/(N(T212)+N(T216)+N(T218)+N(T219)+N(T226)+N(T227)+N(T228)),""),"")</f>
        <v>1.07955375153942</v>
      </c>
      <c r="U356" s="262">
        <f>IFERROR(IF((N(U212)+N(U216)+N(U218)+N(U219)+N(U226)+N(U227)+N(U228))&lt;&gt;0,N(U158)/(N(U212)+N(U216)+N(U218)+N(U219)+N(U226)+N(U227)+N(U228)),""),"")</f>
        <v>1.13452813879384</v>
      </c>
      <c r="V356" s="262">
        <f>IFERROR(IF((N(V212)+N(V216)+N(V218)+N(V219)+N(V226)+N(V227)+N(V228))&lt;&gt;0,N(V158)/(N(V212)+N(V216)+N(V218)+N(V219)+N(V226)+N(V227)+N(V228)),""),"")</f>
        <v>0.922728490074059</v>
      </c>
      <c r="W356" s="262">
        <f>IFERROR(IF((N(W212)+N(W216)+N(W218)+N(W219)+N(W226)+N(W227)+N(W228))&lt;&gt;0,N(W158)/(N(W212)+N(W216)+N(W218)+N(W219)+N(W226)+N(W227)+N(W228)),""),"")</f>
        <v>0.922728490074059</v>
      </c>
      <c r="X356" s="262">
        <f>IFERROR(IF((N(X212)+N(X216)+N(X218)+N(X219)+N(X226)+N(X227)+N(X228))&lt;&gt;0,N(X158)/(N(X212)+N(X216)+N(X218)+N(X219)+N(X226)+N(X227)+N(X228)),""),"")</f>
        <v>0.875940949824668</v>
      </c>
      <c r="Y356" s="262">
        <f>IFERROR(IF((N(Y212)+N(Y216)+N(Y218)+N(Y219)+N(Y226)+N(Y227)+N(Y228))&lt;&gt;0,N(Y158)/(N(Y212)+N(Y216)+N(Y218)+N(Y219)+N(Y226)+N(Y227)+N(Y228)),""),"")</f>
        <v>1.15024536530157</v>
      </c>
      <c r="Z356" s="262">
        <f>IFERROR(IF((N(Z212)+N(Z216)+N(Z218)+N(Z219)+N(Z226)+N(Z227)+N(Z228))&lt;&gt;0,N(Z158)/(N(Z212)+N(Z216)+N(Z218)+N(Z219)+N(Z226)+N(Z227)+N(Z228)),""),"")</f>
        <v>1.20535264989576</v>
      </c>
      <c r="AA356" s="262">
        <f>IFERROR(IF((N(AA212)+N(AA216)+N(AA218)+N(AA219)+N(AA226)+N(AA227)+N(AA228))&lt;&gt;0,N(AA158)/(N(AA212)+N(AA216)+N(AA218)+N(AA219)+N(AA226)+N(AA227)+N(AA228)),""),"")</f>
        <v>1.13970393558849</v>
      </c>
      <c r="AB356" s="262">
        <f>IFERROR(IF((N(AB212)+N(AB216)+N(AB218)+N(AB219)+N(AB226)+N(AB227)+N(AB228))&lt;&gt;0,N(AB158)/(N(AB212)+N(AB216)+N(AB218)+N(AB219)+N(AB226)+N(AB227)+N(AB228)),""),"")</f>
        <v>1.13970393558849</v>
      </c>
      <c r="AC356" s="262">
        <f>IFERROR(IF((N(AC212)+N(AC216)+N(AC218)+N(AC219)+N(AC226)+N(AC227)+N(AC228))&lt;&gt;0,N(AC158)/(N(AC212)+N(AC216)+N(AC218)+N(AC219)+N(AC226)+N(AC227)+N(AC228)),""),"")</f>
        <v>1.15690641519275</v>
      </c>
      <c r="AD356" s="262">
        <f>IFERROR(IF((N(AD212)+N(AD216)+N(AD218)+N(AD219)+N(AD226)+N(AD227)+N(AD228))&lt;&gt;0,N(AD158)/(N(AD212)+N(AD216)+N(AD218)+N(AD219)+N(AD226)+N(AD227)+N(AD228)),""),"")</f>
        <v>1.0782571518727</v>
      </c>
      <c r="AE356" s="262">
        <f>IFERROR(IF((N(AE212)+N(AE216)+N(AE218)+N(AE219)+N(AE226)+N(AE227)+N(AE228))&lt;&gt;0,N(AE158)/(N(AE212)+N(AE216)+N(AE218)+N(AE219)+N(AE226)+N(AE227)+N(AE228)),""),"")</f>
        <v>1.04499629018694</v>
      </c>
      <c r="AF356" s="262">
        <f>IFERROR(IF((N(AF212)+N(AF216)+N(AF218)+N(AF219)+N(AF226)+N(AF227)+N(AF228))&lt;&gt;0,N(AF158)/(N(AF212)+N(AF216)+N(AF218)+N(AF219)+N(AF226)+N(AF227)+N(AF228)),""),"")</f>
        <v>1.03310136286496</v>
      </c>
      <c r="AG356" s="262">
        <f>IFERROR(IF((N(AG212)+N(AG216)+N(AG218)+N(AG219)+N(AG226)+N(AG227)+N(AG228))&lt;&gt;0,N(AG158)/(N(AG212)+N(AG216)+N(AG218)+N(AG219)+N(AG226)+N(AG227)+N(AG228)),""),"")</f>
        <v>1.03310136286496</v>
      </c>
      <c r="AH356" s="262">
        <f>IFERROR(IF((N(AH212)+N(AH216)+N(AH218)+N(AH219)+N(AH226)+N(AH227)+N(AH228))&lt;&gt;0,N(AH158)/(N(AH212)+N(AH216)+N(AH218)+N(AH219)+N(AH226)+N(AH227)+N(AH228)),""),"")</f>
        <v>0.930884115042701</v>
      </c>
      <c r="AI356" s="262">
        <f>IFERROR(IF((N(AI212)+N(AI216)+N(AI218)+N(AI219)+N(AI226)+N(AI227)+N(AI228))&lt;&gt;0,N(AI158)/(N(AI212)+N(AI216)+N(AI218)+N(AI219)+N(AI226)+N(AI227)+N(AI228)),""),"")</f>
        <v>0.867606689952167</v>
      </c>
      <c r="AJ356" s="262">
        <f>IFERROR(IF((N(AJ212)+N(AJ216)+N(AJ218)+N(AJ219)+N(AJ226)+N(AJ227)+N(AJ228))&lt;&gt;0,N(AJ158)/(N(AJ212)+N(AJ216)+N(AJ218)+N(AJ219)+N(AJ226)+N(AJ227)+N(AJ228)),""),"")</f>
        <v>0.866404341719104</v>
      </c>
      <c r="AK356" s="262">
        <f>IFERROR(IF((N(AK212)+N(AK216)+N(AK218)+N(AK219)+N(AK226)+N(AK227)+N(AK228))&lt;&gt;0,N(AK158)/(N(AK212)+N(AK216)+N(AK218)+N(AK219)+N(AK226)+N(AK227)+N(AK228)),""),"")</f>
        <v>1.08693733172432</v>
      </c>
      <c r="AL356" s="262">
        <f>IFERROR(IF((N(AL212)+N(AL216)+N(AL218)+N(AL219)+N(AL226)+N(AL227)+N(AL228))&lt;&gt;0,N(AL158)/(N(AL212)+N(AL216)+N(AL218)+N(AL219)+N(AL226)+N(AL227)+N(AL228)),""),"")</f>
        <v>1.08693733172432</v>
      </c>
      <c r="AM356" s="262">
        <f>IFERROR(IF((N(AM212)+N(AM216)+N(AM218)+N(AM219)+N(AM226)+N(AM227)+N(AM228))&lt;&gt;0,N(AM158)/(N(AM212)+N(AM216)+N(AM218)+N(AM219)+N(AM226)+N(AM227)+N(AM228)),""),"")</f>
        <v>0.96428142768835</v>
      </c>
      <c r="AN356" s="262">
        <f>IFERROR(IF((N(AN212)+N(AN216)+N(AN218)+N(AN219)+N(AN226)+N(AN227)+N(AN228))&lt;&gt;0,N(AN158)/(N(AN212)+N(AN216)+N(AN218)+N(AN219)+N(AN226)+N(AN227)+N(AN228)),""),"")</f>
        <v>1.1112999335667</v>
      </c>
      <c r="AO356" s="262">
        <f>IFERROR(IF((N(AO212)+N(AO216)+N(AO218)+N(AO219)+N(AO226)+N(AO227)+N(AO228))&lt;&gt;0,N(AO158)/(N(AO212)+N(AO216)+N(AO218)+N(AO219)+N(AO226)+N(AO227)+N(AO228)),""),"")</f>
        <v>1.07324487175169</v>
      </c>
      <c r="AP356" s="262">
        <f>IFERROR(IF((N(AP212)+N(AP216)+N(AP218)+N(AP219)+N(AP226)+N(AP227)+N(AP228))&lt;&gt;0,N(AP158)/(N(AP212)+N(AP216)+N(AP218)+N(AP219)+N(AP226)+N(AP227)+N(AP228)),""),"")</f>
        <v>1.29075932541046</v>
      </c>
      <c r="AQ356" s="262">
        <f>IFERROR(IF((N(AQ212)+N(AQ216)+N(AQ218)+N(AQ219)+N(AQ226)+N(AQ227)+N(AQ228))&lt;&gt;0,N(AQ158)/(N(AQ212)+N(AQ216)+N(AQ218)+N(AQ219)+N(AQ226)+N(AQ227)+N(AQ228)),""),"")</f>
        <v>1.29075932541046</v>
      </c>
      <c r="AR356" s="262">
        <f>IFERROR(IF((N(AR212)+N(AR216)+N(AR218)+N(AR219)+N(AR226)+N(AR227)+N(AR228))&lt;&gt;0,N(AR158)/(N(AR212)+N(AR216)+N(AR218)+N(AR219)+N(AR226)+N(AR227)+N(AR228)),""),"")</f>
        <v>1.18033906072156</v>
      </c>
      <c r="AS356" s="262">
        <f>IFERROR(IF((N(AS212)+N(AS216)+N(AS218)+N(AS219)+N(AS226)+N(AS227)+N(AS228))&lt;&gt;0,N(AS158)/(N(AS212)+N(AS216)+N(AS218)+N(AS219)+N(AS226)+N(AS227)+N(AS228)),""),"")</f>
        <v>1.26982378374118</v>
      </c>
      <c r="AT356" s="262">
        <f>IFERROR(IF((N(AT212)+N(AT216)+N(AT218)+N(AT219)+N(AT226)+N(AT227)+N(AT228))&lt;&gt;0,N(AT158)/(N(AT212)+N(AT216)+N(AT218)+N(AT219)+N(AT226)+N(AT227)+N(AT228)),""),"")</f>
        <v>1.20820519423745</v>
      </c>
      <c r="AU356" s="262">
        <f>IFERROR(IF((N(AU212)+N(AU216)+N(AU218)+N(AU219)+N(AU226)+N(AU227)+N(AU228))&lt;&gt;0,N(AU158)/(N(AU212)+N(AU216)+N(AU218)+N(AU219)+N(AU226)+N(AU227)+N(AU228)),""),"")</f>
        <v>1.35871061464641</v>
      </c>
      <c r="AV356" s="262">
        <f>IFERROR(IF((N(AV212)+N(AV216)+N(AV218)+N(AV219)+N(AV226)+N(AV227)+N(AV228))&lt;&gt;0,N(AV158)/(N(AV212)+N(AV216)+N(AV218)+N(AV219)+N(AV226)+N(AV227)+N(AV228)),""),"")</f>
        <v>1.35871061464641</v>
      </c>
      <c r="AW356" s="262">
        <f>IFERROR(IF((N(AW212)+N(AW216)+N(AW218)+N(AW219)+N(AW226)+N(AW227)+N(AW228))&lt;&gt;0,N(AW158)/(N(AW212)+N(AW216)+N(AW218)+N(AW219)+N(AW226)+N(AW227)+N(AW228)),""),"")</f>
        <v>1.22528607013408</v>
      </c>
      <c r="AX356" s="262">
        <f>IFERROR(IF((N(AX212)+N(AX216)+N(AX218)+N(AX219)+N(AX226)+N(AX227)+N(AX228))&lt;&gt;0,N(AX158)/(N(AX212)+N(AX216)+N(AX218)+N(AX219)+N(AX226)+N(AX227)+N(AX228)),""),"")</f>
        <v>1.27960202496353</v>
      </c>
      <c r="AY356" s="262">
        <f>IFERROR(IF((N(AY212)+N(AY216)+N(AY218)+N(AY219)+N(AY226)+N(AY227)+N(AY228))&lt;&gt;0,N(AY158)/(N(AY212)+N(AY216)+N(AY218)+N(AY219)+N(AY226)+N(AY227)+N(AY228)),""),"")</f>
        <v>1.20983741384825</v>
      </c>
      <c r="AZ356" s="262">
        <f>IFERROR(IF((N(AZ212)+N(AZ216)+N(AZ218)+N(AZ219)+N(AZ226)+N(AZ227)+N(AZ228))&lt;&gt;0,N(AZ158)/(N(AZ212)+N(AZ216)+N(AZ218)+N(AZ219)+N(AZ226)+N(AZ227)+N(AZ228)),""),"")</f>
        <v>1.27732029897543</v>
      </c>
      <c r="BA356" s="262">
        <f>IFERROR(IF((N(BA212)+N(BA216)+N(BA218)+N(BA219)+N(BA226)+N(BA227)+N(BA228))&lt;&gt;0,N(BA158)/(N(BA212)+N(BA216)+N(BA218)+N(BA219)+N(BA226)+N(BA227)+N(BA228)),""),"")</f>
        <v>1.27732029897543</v>
      </c>
      <c r="BB356" s="262">
        <f>IFERROR(IF((N(BB212)+N(BB216)+N(BB218)+N(BB219)+N(BB226)+N(BB227)+N(BB228))&lt;&gt;0,N(BB158)/(N(BB212)+N(BB216)+N(BB218)+N(BB219)+N(BB226)+N(BB227)+N(BB228)),""),"")</f>
        <v>1.18026172224816</v>
      </c>
      <c r="BC356" s="262">
        <f>IFERROR(IF((N(BC212)+N(BC216)+N(BC218)+N(BC219)+N(BC226)+N(BC227)+N(BC228))&lt;&gt;0,N(BC158)/(N(BC212)+N(BC216)+N(BC218)+N(BC219)+N(BC226)+N(BC227)+N(BC228)),""),"")</f>
        <v>1.19183250684973</v>
      </c>
      <c r="BD356" s="262">
        <f>IFERROR(IF((N(BD212)+N(BD216)+N(BD218)+N(BD219)+N(BD226)+N(BD227)+N(BD228))&lt;&gt;0,N(BD158)/(N(BD212)+N(BD216)+N(BD218)+N(BD219)+N(BD226)+N(BD227)+N(BD228)),""),"")</f>
        <v>1.14028171446516</v>
      </c>
      <c r="BE356" s="262">
        <f>IFERROR(IF((N(BE212)+N(BE216)+N(BE218)+N(BE219)+N(BE226)+N(BE227)+N(BE228))&lt;&gt;0,N(BE158)/(N(BE212)+N(BE216)+N(BE218)+N(BE219)+N(BE226)+N(BE227)+N(BE228)),""),"")</f>
        <v>1.16237477791604</v>
      </c>
      <c r="BF356" s="262">
        <f>IFERROR(IF((N(BF212)+N(BF216)+N(BF218)+N(BF219)+N(BF226)+N(BF227)+N(BF228))&lt;&gt;0,N(BF158)/(N(BF212)+N(BF216)+N(BF218)+N(BF219)+N(BF226)+N(BF227)+N(BF228)),""),"")</f>
        <v>1.16237477791604</v>
      </c>
      <c r="BG356" s="82" t="n"/>
      <c r="BH356" s="82" t="n"/>
      <c r="BI356" s="82" t="n"/>
      <c r="BJ356" s="82" t="n"/>
      <c r="BL356" s="82" t="n"/>
      <c r="BM356" s="82" t="n"/>
      <c r="BN356" s="82" t="n"/>
      <c r="BO356" s="82" t="n"/>
      <c r="BQ356" s="82" t="n"/>
      <c r="BR356" s="82" t="n"/>
      <c r="BS356" s="82" t="n"/>
      <c r="BT356" s="82" t="n"/>
      <c r="BV356" s="82" t="n"/>
      <c r="BW356" s="82" t="n"/>
      <c r="BX356" s="82" t="n"/>
      <c r="BY356" s="82" t="n"/>
      <c r="CA356" s="82" t="n"/>
      <c r="CB356" s="82" t="n"/>
      <c r="CC356" s="82" t="n"/>
      <c r="CD356" s="82" t="n"/>
      <c r="CF356" s="82" t="n"/>
      <c r="CG356" s="82" t="n"/>
      <c r="CH356" s="82" t="n"/>
      <c r="CI356" s="82" t="n"/>
      <c r="CK356" s="82" t="n"/>
      <c r="CL356" s="82" t="n"/>
      <c r="CM356" s="82" t="n"/>
      <c r="CN356" s="82" t="n"/>
      <c r="CP356" s="82" t="n"/>
      <c r="CQ356" s="82" t="n"/>
      <c r="CR356" s="82" t="n"/>
      <c r="CS356" s="82" t="n"/>
      <c r="CU356" s="82" t="n"/>
      <c r="CV356" s="82" t="n"/>
      <c r="CW356" s="82" t="n"/>
      <c r="CX356" s="82" t="n"/>
    </row>
    <row r="357" customFormat="1" s="77">
      <c r="A357" s="76" t="n"/>
      <c r="B357" s="76" t="n"/>
    </row>
    <row r="358" customFormat="1" s="77">
      <c r="A358" s="76" t="n"/>
      <c r="B358" s="76" t="n"/>
      <c r="C358" s="74" t="inlineStr">
        <is>
          <t>OPERATING EFFICIENCY</t>
        </is>
      </c>
    </row>
    <row r="359" customFormat="1" s="84">
      <c r="A359" s="81" t="n"/>
      <c r="B359" s="81" t="n"/>
      <c r="C359" s="84" t="inlineStr">
        <is>
          <t>RETURN ON CAPITAL (ROIC) - LTM</t>
        </is>
      </c>
      <c r="D359" t="str">
        <f>IFERROR(D361/D364,"")</f>
        <v/>
      </c>
      <c r="E359" t="str">
        <f>IFERROR(E361/E364,"")</f>
        <v/>
      </c>
      <c r="F359" t="str">
        <f>IFERROR(F361/F364,"")</f>
        <v/>
      </c>
      <c r="G359" t="str">
        <f>IFERROR(G361/G364,"")</f>
        <v/>
      </c>
      <c r="H359" s="257" t="str">
        <f>IFERROR(IF(AND(COUNT(H361)=1,N(H364)&lt;&gt;0),(H361)/H364,""),"")</f>
        <v/>
      </c>
      <c r="I359" s="257" t="str">
        <f>""</f>
        <v/>
      </c>
      <c r="J359" s="257" t="str">
        <f>""</f>
        <v/>
      </c>
      <c r="K359" s="257" t="str">
        <f>""</f>
        <v/>
      </c>
      <c r="L359" s="257">
        <f>IFERROR(IF(AND(COUNT(I361,J361,K361,L361)=4,N(L364)&lt;&gt;0),(I361+J361+K361+L361)/L364,""),"")</f>
        <v>0.625823534020376</v>
      </c>
      <c r="M359" s="257">
        <f>IFERROR(IF(AND(COUNT(I361,J361,K361,L361)=4,N(M364)&lt;&gt;0),(I361+J361+K361+L361)/M364,""),"")</f>
        <v>0.625823534020376</v>
      </c>
      <c r="N359" s="257">
        <f>IFERROR(IF(AND(COUNT(J361,K361,L361,N361)=4,N(N364)&lt;&gt;0),(J361+K361+L361+N361)/N364,""),"")</f>
        <v>0.592799520698211</v>
      </c>
      <c r="O359" s="257">
        <f>IFERROR(IF(AND(COUNT(K361,L361,N361,O361)=4,N(O364)&lt;&gt;0),(K361+L361+N361+O361)/O364,""),"")</f>
        <v>0.69681177568599</v>
      </c>
      <c r="P359" s="257">
        <f>IFERROR(IF(AND(COUNT(L361,N361,O361,P361)=4,N(P364)&lt;&gt;0),(L361+N361+O361+P361)/P364,""),"")</f>
        <v>0.549265956721394</v>
      </c>
      <c r="Q359" s="257">
        <f>IFERROR(IF(AND(COUNT(N361,O361,P361,Q361)=4,N(Q364)&lt;&gt;0),(N361+O361+P361+Q361)/Q364,""),"")</f>
        <v>0.635216269152635</v>
      </c>
      <c r="R359" s="257">
        <f>IFERROR(IF(AND(COUNT(N361,O361,P361,Q361)=4,N(R364)&lt;&gt;0),(N361+O361+P361+Q361)/R364,""),"")</f>
        <v>0.635216269152635</v>
      </c>
      <c r="S359" s="257">
        <f>IFERROR(IF(AND(COUNT(O361,P361,Q361,S361)=4,N(S364)&lt;&gt;0),(O361+P361+Q361+S361)/S364,""),"")</f>
        <v>0.547980803908396</v>
      </c>
      <c r="T359" s="257">
        <f>IFERROR(IF(AND(COUNT(P361,Q361,S361,T361)=4,N(T364)&lt;&gt;0),(P361+Q361+S361+T361)/T364,""),"")</f>
        <v>0.548698127023214</v>
      </c>
      <c r="U359" s="257">
        <f>IFERROR(IF(AND(COUNT(Q361,S361,T361,U361)=4,N(U364)&lt;&gt;0),(Q361+S361+T361+U361)/U364,""),"")</f>
        <v>0.728318877034377</v>
      </c>
      <c r="V359" s="257">
        <f>IFERROR(IF(AND(COUNT(S361,T361,U361,V361)=4,N(V364)&lt;&gt;0),(S361+T361+U361+V361)/V364,""),"")</f>
        <v>0.799470164352717</v>
      </c>
      <c r="W359" s="257">
        <f>IFERROR(IF(AND(COUNT(S361,T361,U361,V361)=4,N(W364)&lt;&gt;0),(S361+T361+U361+V361)/W364,""),"")</f>
        <v>0.799470164352717</v>
      </c>
      <c r="X359" s="257">
        <f>IFERROR(IF(AND(COUNT(T361,U361,V361,X361)=4,N(X364)&lt;&gt;0),(T361+U361+V361+X361)/X364,""),"")</f>
        <v>0.733122747083134</v>
      </c>
      <c r="Y359" s="257">
        <f>IFERROR(IF(AND(COUNT(U361,V361,X361,Y361)=4,N(Y364)&lt;&gt;0),(U361+V361+X361+Y361)/Y364,""),"")</f>
        <v>1.03618150563758</v>
      </c>
      <c r="Z359" s="257">
        <f>IFERROR(IF(AND(COUNT(V361,X361,Y361,Z361)=4,N(Z364)&lt;&gt;0),(V361+X361+Y361+Z361)/Z364,""),"")</f>
        <v>0.732201875482876</v>
      </c>
      <c r="AA359" s="257">
        <f>IFERROR(IF(AND(COUNT(X361,Y361,Z361,AA361)=4,N(AA364)&lt;&gt;0),(X361+Y361+Z361+AA361)/AA364,""),"")</f>
        <v>0.801549136836436</v>
      </c>
      <c r="AB359" s="257">
        <f>IFERROR(IF(AND(COUNT(X361,Y361,Z361,AA361)=4,N(AB364)&lt;&gt;0),(X361+Y361+Z361+AA361)/AB364,""),"")</f>
        <v>0.801549136836436</v>
      </c>
      <c r="AC359" s="257">
        <f>IFERROR(IF(AND(COUNT(Y361,Z361,AA361,AC361)=4,N(AC364)&lt;&gt;0),(Y361+Z361+AA361+AC361)/AC364,""),"")</f>
        <v>0.709779053052299</v>
      </c>
      <c r="AD359" s="257">
        <f>IFERROR(IF(AND(COUNT(Z361,AA361,AC361,AD361)=4,N(AD364)&lt;&gt;0),(Z361+AA361+AC361+AD361)/AD364,""),"")</f>
        <v>0.652979430167431</v>
      </c>
      <c r="AE359" s="257">
        <f>IFERROR(IF(AND(COUNT(AA361,AC361,AD361,AE361)=4,N(AE364)&lt;&gt;0),(AA361+AC361+AD361+AE361)/AE364,""),"")</f>
        <v>0.822357951837966</v>
      </c>
      <c r="AF359" s="257">
        <f>IFERROR(IF(AND(COUNT(AB361,AD361,AE361,AF361)=4,N(AF364)&lt;&gt;0),(AB361+AD361+AE361+AF361)/AF364,""),"")</f>
        <v>1.14584509539093</v>
      </c>
      <c r="AG359" s="257">
        <f>IFERROR(IF(AND(COUNT(AC361,AD361,AE361,AF361)=4,N(AG364)&lt;&gt;0),(AC361+AD361+AE361+AF361)/AG364,""),"")</f>
        <v>0.805344735146428</v>
      </c>
      <c r="AH359" s="257">
        <f>IFERROR(IF(AND(COUNT(AD361,AF361,AG361,AH361)=4,N(AH364)&lt;&gt;0),(AD361+AF361+AG361+AH361)/AH364,""),"")</f>
        <v>1.33816860484457</v>
      </c>
      <c r="AI359" s="257">
        <f>IFERROR(IF(AND(COUNT(AE361,AG361,AH361,AI361)=4,N(AI364)&lt;&gt;0),(AE361+AG361+AH361+AI361)/AI364,""),"")</f>
        <v>1.14746051776832</v>
      </c>
      <c r="AJ359" s="257">
        <f>IFERROR(IF(AND(COUNT(AF361,AH361,AI361,AJ361)=4,N(AJ364)&lt;&gt;0),(AF361+AH361+AI361+AJ361)/AJ364,""),"")</f>
        <v>0.628681153996762</v>
      </c>
      <c r="AK359" s="257">
        <f>IFERROR(IF(AND(COUNT(AH361,AI361,AJ361,AK361)=4,N(AK364)&lt;&gt;0),(AH361+AI361+AJ361+AK361)/AK364,""),"")</f>
        <v>0.685860674161118</v>
      </c>
      <c r="AL359" s="257">
        <f>IFERROR(IF(AND(COUNT(AH361,AI361,AJ361,AK361)=4,N(AL364)&lt;&gt;0),(AH361+AI361+AJ361+AK361)/AL364,""),"")</f>
        <v>0.685860674161118</v>
      </c>
      <c r="AM359" s="257">
        <f>IFERROR(IF(AND(COUNT(AI361,AJ361,AK361,AM361)=4,N(AM364)&lt;&gt;0),(AI361+AJ361+AK361+AM361)/AM364,""),"")</f>
        <v>0.565191728934347</v>
      </c>
      <c r="AN359" s="257">
        <f>IFERROR(IF(AND(COUNT(AJ361,AK361,AM361,AN361)=4,N(AN364)&lt;&gt;0),(AJ361+AK361+AM361+AN361)/AN364,""),"")</f>
        <v>0.598092022504614</v>
      </c>
      <c r="AO359" s="257">
        <f>IFERROR(IF(AND(COUNT(AK361,AM361,AN361,AO361)=4,N(AO364)&lt;&gt;0),(AK361+AM361+AN361+AO361)/AO364,""),"")</f>
        <v>0.552960945859593</v>
      </c>
      <c r="AP359" s="257">
        <f>IFERROR(IF(AND(COUNT(AM361,AN361,AO361,AP361)=4,N(AP364)&lt;&gt;0),(AM361+AN361+AO361+AP361)/AP364,""),"")</f>
        <v>0.626100103425749</v>
      </c>
      <c r="AQ359" s="257">
        <f>IFERROR(IF(AND(COUNT(AM361,AN361,AO361,AP361)=4,N(AQ364)&lt;&gt;0),(AM361+AN361+AO361+AP361)/AQ364,""),"")</f>
        <v>0.626100103425749</v>
      </c>
      <c r="AR359" s="257">
        <f>IFERROR(IF(AND(COUNT(AN361,AO361,AP361,AR361)=4,N(AR364)&lt;&gt;0),(AN361+AO361+AP361+AR361)/AR364,""),"")</f>
        <v>0.567976812306185</v>
      </c>
      <c r="AS359" s="257">
        <f>IFERROR(IF(AND(COUNT(AO361,AP361,AR361,AS361)=4,N(AS364)&lt;&gt;0),(AO361+AP361+AR361+AS361)/AS364,""),"")</f>
        <v>0.611548605857126</v>
      </c>
      <c r="AT359" s="257">
        <f>IFERROR(IF(AND(COUNT(AP361,AR361,AS361,AT361)=4,N(AT364)&lt;&gt;0),(AP361+AR361+AS361+AT361)/AT364,""),"")</f>
        <v>0.598253447834632</v>
      </c>
      <c r="AU359" s="257">
        <f>IFERROR(IF(AND(COUNT(AR361,AS361,AT361,AU361)=4,N(AU364)&lt;&gt;0),(AR361+AS361+AT361+AU361)/AU364,""),"")</f>
        <v>0.74564916254561</v>
      </c>
      <c r="AV359" s="257">
        <f>IFERROR(IF(AND(COUNT(AR361,AS361,AT361,AU361)=4,N(AV364)&lt;&gt;0),(AR361+AS361+AT361+AU361)/AV364,""),"")</f>
        <v>0.74564916254561</v>
      </c>
      <c r="AW359" s="257">
        <f>IFERROR(IF(AND(COUNT(AS361,AT361,AU361,AW361)=4,N(AW364)&lt;&gt;0),(AS361+AT361+AU361+AW361)/AW364,""),"")</f>
        <v>0.720397114586273</v>
      </c>
      <c r="AX359" s="257">
        <f>IFERROR(IF(AND(COUNT(AT361,AU361,AW361,AX361)=4,N(AX364)&lt;&gt;0),(AT361+AU361+AW361+AX361)/AX364,""),"")</f>
        <v>0.943939838366653</v>
      </c>
      <c r="AY359" s="257">
        <f>IFERROR(IF(AND(COUNT(AU361,AW361,AX361,AY361)=4,N(AY364)&lt;&gt;0),(AU361+AW361+AX361+AY361)/AY364,""),"")</f>
        <v>1.11991108777582</v>
      </c>
      <c r="AZ359" s="257">
        <f>IFERROR(IF(AND(COUNT(AW361,AX361,AY361,AZ361)=4,N(AZ364)&lt;&gt;0),(AW361+AX361+AY361+AZ361)/AZ364,""),"")</f>
        <v>3.22115633226764</v>
      </c>
      <c r="BA359" s="257">
        <f>IFERROR(IF(AND(COUNT(AW361,AX361,AY361,AZ361)=4,N(BA364)&lt;&gt;0),(AW361+AX361+AY361+AZ361)/BA364,""),"")</f>
        <v>3.22115633226764</v>
      </c>
      <c r="BB359" s="257">
        <f>IFERROR(IF(AND(COUNT(AX361,AY361,AZ361,BB361)=4,N(BB364)&lt;&gt;0),(AX361+AY361+AZ361+BB361)/BB364,""),"")</f>
        <v>22.267047953921</v>
      </c>
      <c r="BC359" s="257">
        <f>IFERROR(IF(AND(COUNT(AY361,AZ361,BB361,BC361)=4,N(BC364)&lt;&gt;0),(AY361+AZ361+BB361+BC361)/BC364,""),"")</f>
        <v>-1.52503288360593</v>
      </c>
      <c r="BD359" s="257">
        <f>IFERROR(IF(AND(COUNT(AZ361,BB361,BC361,BD361)=4,N(BD364)&lt;&gt;0),(AZ361+BB361+BC361+BD361)/BD364,""),"")</f>
        <v>-0.78568502209603</v>
      </c>
      <c r="BE359" s="257">
        <f>IFERROR(IF(AND(COUNT(BB361,BC361,BD361,BE361)=4,N(BE364)&lt;&gt;0),(BB361+BC361+BD361+BE361)/BE364,""),"")</f>
        <v>-0.412777062596334</v>
      </c>
      <c r="BF359" s="257">
        <f>IFERROR(IF(AND(COUNT(BB361,BC361,BD361,BE361)=4,N(BF364)&lt;&gt;0),(BB361+BC361+BD361+BE361)/BF364,""),"")</f>
        <v>-0.412777062596334</v>
      </c>
      <c r="BG359" s="81" t="n"/>
      <c r="BH359" s="81" t="n"/>
      <c r="BI359" s="81" t="n"/>
      <c r="BJ359" s="81" t="n"/>
      <c r="BL359" s="81" t="n"/>
      <c r="BM359" s="81" t="n"/>
      <c r="BN359" s="81" t="n"/>
      <c r="BO359" s="81" t="n"/>
      <c r="BQ359" s="81" t="n"/>
      <c r="BR359" s="81" t="n"/>
      <c r="BS359" s="81" t="n"/>
      <c r="BT359" s="81" t="n"/>
      <c r="BV359" s="81" t="n"/>
      <c r="BW359" s="81" t="n"/>
      <c r="BX359" s="81" t="n"/>
      <c r="BY359" s="81" t="n"/>
      <c r="CA359" s="81" t="n"/>
      <c r="CB359" s="81" t="n"/>
      <c r="CC359" s="81" t="n"/>
      <c r="CD359" s="81" t="n"/>
      <c r="CF359" s="81" t="n"/>
      <c r="CG359" s="81" t="n"/>
      <c r="CH359" s="81" t="n"/>
      <c r="CI359" s="81" t="n"/>
      <c r="CK359" s="81" t="n"/>
      <c r="CL359" s="81" t="n"/>
      <c r="CM359" s="81" t="n"/>
      <c r="CN359" s="81" t="n"/>
      <c r="CP359" s="81" t="n"/>
      <c r="CQ359" s="81" t="n"/>
      <c r="CR359" s="81" t="n"/>
      <c r="CS359" s="81" t="n"/>
      <c r="CU359" s="81" t="n"/>
      <c r="CV359" s="81" t="n"/>
      <c r="CW359" s="81" t="n"/>
      <c r="CX359" s="81" t="n"/>
    </row>
    <row r="360" customFormat="1" s="84">
      <c r="A360" s="81" t="n"/>
      <c r="B360" s="81" t="n"/>
      <c r="C360" s="84" t="inlineStr">
        <is>
          <t>RETURN ON CAPITAL (ROIC) - EX GOODWILL - LTM</t>
        </is>
      </c>
      <c r="D360" t="str">
        <f>IFERROR(D361/D365,"")</f>
        <v/>
      </c>
      <c r="E360" t="str">
        <f>IFERROR(E361/E365,"")</f>
        <v/>
      </c>
      <c r="F360" t="str">
        <f>IFERROR(F361/F365,"")</f>
        <v/>
      </c>
      <c r="G360" t="str">
        <f>IFERROR(G361/G365,"")</f>
        <v/>
      </c>
      <c r="H360" s="257" t="str">
        <f>IFERROR(IF(AND(COUNT(H361)=1,N(H365)&lt;&gt;0),(H361)/H365,""),"")</f>
        <v/>
      </c>
      <c r="I360" s="257" t="str">
        <f>""</f>
        <v/>
      </c>
      <c r="J360" s="257" t="str">
        <f>""</f>
        <v/>
      </c>
      <c r="K360" s="257" t="str">
        <f>""</f>
        <v/>
      </c>
      <c r="L360" s="257">
        <f>IFERROR(IF(AND(COUNT(I361,J361,K361,L361)=4,N(L365)&lt;&gt;0),(I361+J361+K361+L361)/L365,""),"")</f>
        <v>0.625823534020376</v>
      </c>
      <c r="M360" s="257">
        <f>IFERROR(IF(AND(COUNT(I361,J361,K361,L361)=4,N(M365)&lt;&gt;0),(I361+J361+K361+L361)/M365,""),"")</f>
        <v>0.625823534020376</v>
      </c>
      <c r="N360" s="257">
        <f>IFERROR(IF(AND(COUNT(J361,K361,L361,N361)=4,N(N365)&lt;&gt;0),(J361+K361+L361+N361)/N365,""),"")</f>
        <v>0.592799520698211</v>
      </c>
      <c r="O360" s="257">
        <f>IFERROR(IF(AND(COUNT(K361,L361,N361,O361)=4,N(O365)&lt;&gt;0),(K361+L361+N361+O361)/O365,""),"")</f>
        <v>0.69681177568599</v>
      </c>
      <c r="P360" s="257">
        <f>IFERROR(IF(AND(COUNT(L361,N361,O361,P361)=4,N(P365)&lt;&gt;0),(L361+N361+O361+P361)/P365,""),"")</f>
        <v>0.549265956721394</v>
      </c>
      <c r="Q360" s="257">
        <f>IFERROR(IF(AND(COUNT(N361,O361,P361,Q361)=4,N(Q365)&lt;&gt;0),(N361+O361+P361+Q361)/Q365,""),"")</f>
        <v>0.635216269152635</v>
      </c>
      <c r="R360" s="257">
        <f>IFERROR(IF(AND(COUNT(N361,O361,P361,Q361)=4,N(R365)&lt;&gt;0),(N361+O361+P361+Q361)/R365,""),"")</f>
        <v>0.635216269152635</v>
      </c>
      <c r="S360" s="257">
        <f>IFERROR(IF(AND(COUNT(O361,P361,Q361,S361)=4,N(S365)&lt;&gt;0),(O361+P361+Q361+S361)/S365,""),"")</f>
        <v>0.547980803908396</v>
      </c>
      <c r="T360" s="257">
        <f>IFERROR(IF(AND(COUNT(P361,Q361,S361,T361)=4,N(T365)&lt;&gt;0),(P361+Q361+S361+T361)/T365,""),"")</f>
        <v>0.548698127023214</v>
      </c>
      <c r="U360" s="257">
        <f>IFERROR(IF(AND(COUNT(Q361,S361,T361,U361)=4,N(U365)&lt;&gt;0),(Q361+S361+T361+U361)/U365,""),"")</f>
        <v>0.728318877034377</v>
      </c>
      <c r="V360" s="257">
        <f>IFERROR(IF(AND(COUNT(S361,T361,U361,V361)=4,N(V365)&lt;&gt;0),(S361+T361+U361+V361)/V365,""),"")</f>
        <v>0.799470164352717</v>
      </c>
      <c r="W360" s="257">
        <f>IFERROR(IF(AND(COUNT(S361,T361,U361,V361)=4,N(W365)&lt;&gt;0),(S361+T361+U361+V361)/W365,""),"")</f>
        <v>0.799470164352717</v>
      </c>
      <c r="X360" s="257">
        <f>IFERROR(IF(AND(COUNT(T361,U361,V361,X361)=4,N(X365)&lt;&gt;0),(T361+U361+V361+X361)/X365,""),"")</f>
        <v>0.733122747083134</v>
      </c>
      <c r="Y360" s="257">
        <f>IFERROR(IF(AND(COUNT(U361,V361,X361,Y361)=4,N(Y365)&lt;&gt;0),(U361+V361+X361+Y361)/Y365,""),"")</f>
        <v>1.03618150563758</v>
      </c>
      <c r="Z360" s="257">
        <f>IFERROR(IF(AND(COUNT(V361,X361,Y361,Z361)=4,N(Z365)&lt;&gt;0),(V361+X361+Y361+Z361)/Z365,""),"")</f>
        <v>0.732201875482876</v>
      </c>
      <c r="AA360" s="257">
        <f>IFERROR(IF(AND(COUNT(X361,Y361,Z361,AA361)=4,N(AA365)&lt;&gt;0),(X361+Y361+Z361+AA361)/AA365,""),"")</f>
        <v>0.801549136836436</v>
      </c>
      <c r="AB360" s="257">
        <f>IFERROR(IF(AND(COUNT(X361,Y361,Z361,AA361)=4,N(AB365)&lt;&gt;0),(X361+Y361+Z361+AA361)/AB365,""),"")</f>
        <v>0.801549136836436</v>
      </c>
      <c r="AC360" s="257">
        <f>IFERROR(IF(AND(COUNT(Y361,Z361,AA361,AC361)=4,N(AC365)&lt;&gt;0),(Y361+Z361+AA361+AC361)/AC365,""),"")</f>
        <v>0.709779053052299</v>
      </c>
      <c r="AD360" s="257">
        <f>IFERROR(IF(AND(COUNT(Z361,AA361,AC361,AD361)=4,N(AD365)&lt;&gt;0),(Z361+AA361+AC361+AD361)/AD365,""),"")</f>
        <v>0.652979430167431</v>
      </c>
      <c r="AE360" s="257">
        <f>IFERROR(IF(AND(COUNT(AA361,AC361,AD361,AE361)=4,N(AE365)&lt;&gt;0),(AA361+AC361+AD361+AE361)/AE365,""),"")</f>
        <v>0.822357951837966</v>
      </c>
      <c r="AF360" s="257">
        <f>IFERROR(IF(AND(COUNT(AB361,AD361,AE361,AF361)=4,N(AF365)&lt;&gt;0),(AB361+AD361+AE361+AF361)/AF365,""),"")</f>
        <v>1.14584509539093</v>
      </c>
      <c r="AG360" s="257">
        <f>IFERROR(IF(AND(COUNT(AC361,AD361,AE361,AF361)=4,N(AG365)&lt;&gt;0),(AC361+AD361+AE361+AF361)/AG365,""),"")</f>
        <v>0.805344735146428</v>
      </c>
      <c r="AH360" s="257">
        <f>IFERROR(IF(AND(COUNT(AD361,AF361,AG361,AH361)=4,N(AH365)&lt;&gt;0),(AD361+AF361+AG361+AH361)/AH365,""),"")</f>
        <v>1.33816860484457</v>
      </c>
      <c r="AI360" s="257">
        <f>IFERROR(IF(AND(COUNT(AE361,AG361,AH361,AI361)=4,N(AI365)&lt;&gt;0),(AE361+AG361+AH361+AI361)/AI365,""),"")</f>
        <v>1.14746051776832</v>
      </c>
      <c r="AJ360" s="257">
        <f>IFERROR(IF(AND(COUNT(AF361,AH361,AI361,AJ361)=4,N(AJ365)&lt;&gt;0),(AF361+AH361+AI361+AJ361)/AJ365,""),"")</f>
        <v>0.628681153996762</v>
      </c>
      <c r="AK360" s="257">
        <f>IFERROR(IF(AND(COUNT(AH361,AI361,AJ361,AK361)=4,N(AK365)&lt;&gt;0),(AH361+AI361+AJ361+AK361)/AK365,""),"")</f>
        <v>0.685860674161118</v>
      </c>
      <c r="AL360" s="257">
        <f>IFERROR(IF(AND(COUNT(AH361,AI361,AJ361,AK361)=4,N(AL365)&lt;&gt;0),(AH361+AI361+AJ361+AK361)/AL365,""),"")</f>
        <v>0.685860674161118</v>
      </c>
      <c r="AM360" s="257">
        <f>IFERROR(IF(AND(COUNT(AI361,AJ361,AK361,AM361)=4,N(AM365)&lt;&gt;0),(AI361+AJ361+AK361+AM361)/AM365,""),"")</f>
        <v>0.565191728934347</v>
      </c>
      <c r="AN360" s="257">
        <f>IFERROR(IF(AND(COUNT(AJ361,AK361,AM361,AN361)=4,N(AN365)&lt;&gt;0),(AJ361+AK361+AM361+AN361)/AN365,""),"")</f>
        <v>0.598092022504614</v>
      </c>
      <c r="AO360" s="257">
        <f>IFERROR(IF(AND(COUNT(AK361,AM361,AN361,AO361)=4,N(AO365)&lt;&gt;0),(AK361+AM361+AN361+AO361)/AO365,""),"")</f>
        <v>0.552960945859593</v>
      </c>
      <c r="AP360" s="257">
        <f>IFERROR(IF(AND(COUNT(AM361,AN361,AO361,AP361)=4,N(AP365)&lt;&gt;0),(AM361+AN361+AO361+AP361)/AP365,""),"")</f>
        <v>0.626100103425749</v>
      </c>
      <c r="AQ360" s="257">
        <f>IFERROR(IF(AND(COUNT(AM361,AN361,AO361,AP361)=4,N(AQ365)&lt;&gt;0),(AM361+AN361+AO361+AP361)/AQ365,""),"")</f>
        <v>0.626100103425749</v>
      </c>
      <c r="AR360" s="257">
        <f>IFERROR(IF(AND(COUNT(AN361,AO361,AP361,AR361)=4,N(AR365)&lt;&gt;0),(AN361+AO361+AP361+AR361)/AR365,""),"")</f>
        <v>0.567976812306185</v>
      </c>
      <c r="AS360" s="257">
        <f>IFERROR(IF(AND(COUNT(AO361,AP361,AR361,AS361)=4,N(AS365)&lt;&gt;0),(AO361+AP361+AR361+AS361)/AS365,""),"")</f>
        <v>0.611548605857126</v>
      </c>
      <c r="AT360" s="257">
        <f>IFERROR(IF(AND(COUNT(AP361,AR361,AS361,AT361)=4,N(AT365)&lt;&gt;0),(AP361+AR361+AS361+AT361)/AT365,""),"")</f>
        <v>0.598253447834632</v>
      </c>
      <c r="AU360" s="257">
        <f>IFERROR(IF(AND(COUNT(AR361,AS361,AT361,AU361)=4,N(AU365)&lt;&gt;0),(AR361+AS361+AT361+AU361)/AU365,""),"")</f>
        <v>0.74564916254561</v>
      </c>
      <c r="AV360" s="257">
        <f>IFERROR(IF(AND(COUNT(AR361,AS361,AT361,AU361)=4,N(AV365)&lt;&gt;0),(AR361+AS361+AT361+AU361)/AV365,""),"")</f>
        <v>0.74564916254561</v>
      </c>
      <c r="AW360" s="257">
        <f>IFERROR(IF(AND(COUNT(AS361,AT361,AU361,AW361)=4,N(AW365)&lt;&gt;0),(AS361+AT361+AU361+AW361)/AW365,""),"")</f>
        <v>0.720397114586273</v>
      </c>
      <c r="AX360" s="257">
        <f>IFERROR(IF(AND(COUNT(AT361,AU361,AW361,AX361)=4,N(AX365)&lt;&gt;0),(AT361+AU361+AW361+AX361)/AX365,""),"")</f>
        <v>0.943939838366653</v>
      </c>
      <c r="AY360" s="257">
        <f>IFERROR(IF(AND(COUNT(AU361,AW361,AX361,AY361)=4,N(AY365)&lt;&gt;0),(AU361+AW361+AX361+AY361)/AY365,""),"")</f>
        <v>1.11991108777582</v>
      </c>
      <c r="AZ360" s="257">
        <f>IFERROR(IF(AND(COUNT(AW361,AX361,AY361,AZ361)=4,N(AZ365)&lt;&gt;0),(AW361+AX361+AY361+AZ361)/AZ365,""),"")</f>
        <v>3.22115633226764</v>
      </c>
      <c r="BA360" s="257">
        <f>IFERROR(IF(AND(COUNT(AW361,AX361,AY361,AZ361)=4,N(BA365)&lt;&gt;0),(AW361+AX361+AY361+AZ361)/BA365,""),"")</f>
        <v>3.22115633226764</v>
      </c>
      <c r="BB360" s="257">
        <f>IFERROR(IF(AND(COUNT(AX361,AY361,AZ361,BB361)=4,N(BB365)&lt;&gt;0),(AX361+AY361+AZ361+BB361)/BB365,""),"")</f>
        <v>22.267047953921</v>
      </c>
      <c r="BC360" s="257">
        <f>IFERROR(IF(AND(COUNT(AY361,AZ361,BB361,BC361)=4,N(BC365)&lt;&gt;0),(AY361+AZ361+BB361+BC361)/BC365,""),"")</f>
        <v>-1.52503288360593</v>
      </c>
      <c r="BD360" s="257">
        <f>IFERROR(IF(AND(COUNT(AZ361,BB361,BC361,BD361)=4,N(BD365)&lt;&gt;0),(AZ361+BB361+BC361+BD361)/BD365,""),"")</f>
        <v>-0.78568502209603</v>
      </c>
      <c r="BE360" s="257">
        <f>IFERROR(IF(AND(COUNT(BB361,BC361,BD361,BE361)=4,N(BE365)&lt;&gt;0),(BB361+BC361+BD361+BE361)/BE365,""),"")</f>
        <v>-0.412777062596334</v>
      </c>
      <c r="BF360" s="257">
        <f>IFERROR(IF(AND(COUNT(BB361,BC361,BD361,BE361)=4,N(BF365)&lt;&gt;0),(BB361+BC361+BD361+BE361)/BF365,""),"")</f>
        <v>-0.412777062596334</v>
      </c>
      <c r="BG360" s="81" t="n"/>
      <c r="BH360" s="81" t="n"/>
      <c r="BI360" s="81" t="n"/>
      <c r="BJ360" s="81" t="n"/>
      <c r="BL360" s="81" t="n"/>
      <c r="BM360" s="81" t="n"/>
      <c r="BN360" s="81" t="n"/>
      <c r="BO360" s="81" t="n"/>
      <c r="BQ360" s="81" t="n"/>
      <c r="BR360" s="81" t="n"/>
      <c r="BS360" s="81" t="n"/>
      <c r="BT360" s="81" t="n"/>
      <c r="BV360" s="81" t="n"/>
      <c r="BW360" s="81" t="n"/>
      <c r="BX360" s="81" t="n"/>
      <c r="BY360" s="81" t="n"/>
      <c r="CA360" s="81" t="n"/>
      <c r="CB360" s="81" t="n"/>
      <c r="CC360" s="81" t="n"/>
      <c r="CD360" s="81" t="n"/>
      <c r="CF360" s="81" t="n"/>
      <c r="CG360" s="81" t="n"/>
      <c r="CH360" s="81" t="n"/>
      <c r="CI360" s="81" t="n"/>
      <c r="CK360" s="81" t="n"/>
      <c r="CL360" s="81" t="n"/>
      <c r="CM360" s="81" t="n"/>
      <c r="CN360" s="81" t="n"/>
      <c r="CP360" s="81" t="n"/>
      <c r="CQ360" s="81" t="n"/>
      <c r="CR360" s="81" t="n"/>
      <c r="CS360" s="81" t="n"/>
      <c r="CU360" s="81" t="n"/>
      <c r="CV360" s="81" t="n"/>
      <c r="CW360" s="81" t="n"/>
      <c r="CX360" s="81" t="n"/>
    </row>
    <row r="361" customFormat="1" s="77">
      <c r="A361" s="76" t="n"/>
      <c r="B361" s="76" t="n"/>
      <c r="C361" s="77" t="inlineStr">
        <is>
          <t>NOPLAT</t>
        </is>
      </c>
      <c r="D361">
        <f>IFERROR(D362*(1-D363),"")</f>
        <v>0</v>
      </c>
      <c r="E361">
        <f>IFERROR(E362*(1-E363),"")</f>
        <v>0</v>
      </c>
      <c r="F361">
        <f>IFERROR(F362*(1-F363),"")</f>
        <v>0</v>
      </c>
      <c r="G361">
        <f>IFERROR(G362*(1-G363),"")</f>
        <v>0</v>
      </c>
      <c r="H361" s="263">
        <f>IFERROR(H362*(1-N(H363)),0)</f>
        <v>0</v>
      </c>
      <c r="I361" s="263">
        <f>IFERROR(I362*(1-N(I363)),0)</f>
        <v>55.3649775986438</v>
      </c>
      <c r="J361" s="263">
        <f>IFERROR(J362*(1-N(J363)),0)</f>
        <v>80.060179760638</v>
      </c>
      <c r="K361" s="263">
        <f>IFERROR(K362*(1-N(K363)),0)</f>
        <v>76.5311744119822</v>
      </c>
      <c r="L361" s="263">
        <f>IFERROR(L362*(1-N(L363)),0)</f>
        <v>124.729845472824</v>
      </c>
      <c r="M361" s="263">
        <f>IFERROR(M362*(1-N(M363)),0)</f>
        <v>336.543153297328</v>
      </c>
      <c r="N361" s="263">
        <f>IFERROR(N362*(1-N(N363)),0)</f>
        <v>67.1156882295914</v>
      </c>
      <c r="O361" s="263">
        <f>IFERROR(O362*(1-N(O363)),0)</f>
        <v>97.0697117029983</v>
      </c>
      <c r="P361" s="263">
        <f>IFERROR(P362*(1-N(P363)),0)</f>
        <v>97.3829526907858</v>
      </c>
      <c r="Q361" s="263">
        <f>IFERROR(Q362*(1-N(Q363)),0)</f>
        <v>107.54883400226</v>
      </c>
      <c r="R361" s="263">
        <f>IFERROR(R362*(1-N(R363)),0)</f>
        <v>369.081862915045</v>
      </c>
      <c r="S361" s="263">
        <f>IFERROR(S362*(1-N(S363)),0)</f>
        <v>98.8475556245548</v>
      </c>
      <c r="T361" s="263">
        <f>IFERROR(T362*(1-N(T363)),0)</f>
        <v>128.255137636064</v>
      </c>
      <c r="U361" s="263">
        <f>IFERROR(U362*(1-N(U363)),0)</f>
        <v>116.219371797391</v>
      </c>
      <c r="V361" s="263">
        <f>IFERROR(V362*(1-N(V363)),0)</f>
        <v>162.631422624415</v>
      </c>
      <c r="W361" s="263">
        <f>IFERROR(W362*(1-N(W363)),0)</f>
        <v>506.096329777429</v>
      </c>
      <c r="X361" s="263">
        <f>IFERROR(X362*(1-N(X363)),0)</f>
        <v>157.114131570275</v>
      </c>
      <c r="Y361" s="263">
        <f>IFERROR(Y362*(1-N(Y363)),0)</f>
        <v>177.602699300674</v>
      </c>
      <c r="Z361" s="263">
        <f>IFERROR(Z362*(1-N(Z363)),0)</f>
        <v>183.936303566434</v>
      </c>
      <c r="AA361" s="263">
        <f>IFERROR(AA362*(1-N(AA363)),0)</f>
        <v>199.092437044531</v>
      </c>
      <c r="AB361" s="263">
        <f>IFERROR(AB362*(1-N(AB363)),0)</f>
        <v>717.778513954502</v>
      </c>
      <c r="AC361" s="263">
        <f>IFERROR(AC362*(1-N(AC363)),0)</f>
        <v>245.843652654188</v>
      </c>
      <c r="AD361" s="263">
        <f>IFERROR(AD362*(1-N(AD363)),0)</f>
        <v>280.042977535833</v>
      </c>
      <c r="AE361" s="263">
        <f>IFERROR(AE362*(1-N(AE363)),0)</f>
        <v>288.423327468748</v>
      </c>
      <c r="AF361" s="263">
        <f>IFERROR(AF362*(1-N(AF363)),0)</f>
        <v>301.901066633121</v>
      </c>
      <c r="AG361" s="263">
        <f>IFERROR(AG362*(1-N(AG363)),0)</f>
        <v>1116.16369882572</v>
      </c>
      <c r="AH361" s="263">
        <f>IFERROR(AH362*(1-N(AH363)),0)</f>
        <v>358.480764395598</v>
      </c>
      <c r="AI361" s="263">
        <f>IFERROR(AI362*(1-N(AI363)),0)</f>
        <v>329.488255393466</v>
      </c>
      <c r="AJ361" s="263">
        <f>IFERROR(AJ362*(1-N(AJ363)),0)</f>
        <v>396.201513390438</v>
      </c>
      <c r="AK361" s="263">
        <f>IFERROR(AK362*(1-N(AK363)),0)</f>
        <v>396.98137487992</v>
      </c>
      <c r="AL361" s="263">
        <f>IFERROR(AL362*(1-N(AL363)),0)</f>
        <v>1481.3381374952</v>
      </c>
      <c r="AM361" s="263">
        <f>IFERROR(AM362*(1-N(AM363)),0)</f>
        <v>450.907860149035</v>
      </c>
      <c r="AN361" s="263">
        <f>IFERROR(AN362*(1-N(AN363)),0)</f>
        <v>472.724688042138</v>
      </c>
      <c r="AO361" s="263">
        <f>IFERROR(AO362*(1-N(AO363)),0)</f>
        <v>534.648929606081</v>
      </c>
      <c r="AP361" s="263">
        <f>IFERROR(AP362*(1-N(AP363)),0)</f>
        <v>535.701303452472</v>
      </c>
      <c r="AQ361" s="263">
        <f>IFERROR(AQ362*(1-N(AQ363)),0)</f>
        <v>1993.98278124973</v>
      </c>
      <c r="AR361" s="263">
        <f>IFERROR(AR362*(1-N(AR363)),0)</f>
        <v>606.21715157359</v>
      </c>
      <c r="AS361" s="263">
        <f>IFERROR(AS362*(1-N(AS363)),0)</f>
        <v>635.548499351285</v>
      </c>
      <c r="AT361" s="263">
        <f>IFERROR(AT362*(1-N(AT363)),0)</f>
        <v>718.801732776492</v>
      </c>
      <c r="AU361" s="263">
        <f>IFERROR(AU362*(1-N(AU363)),0)</f>
        <v>720.216582975242</v>
      </c>
      <c r="AV361" s="263">
        <f>IFERROR(AV362*(1-N(AV363)),0)</f>
        <v>2680.78396667661</v>
      </c>
      <c r="AW361" s="263">
        <f>IFERROR(AW362*(1-N(AW363)),0)</f>
        <v>811.989603259461</v>
      </c>
      <c r="AX361" s="263">
        <f>IFERROR(AX362*(1-N(AX363)),0)</f>
        <v>851.277091881738</v>
      </c>
      <c r="AY361" s="263">
        <f>IFERROR(AY362*(1-N(AY363)),0)</f>
        <v>962.789542170429</v>
      </c>
      <c r="AZ361" s="263">
        <f>IFERROR(AZ362*(1-N(AZ363)),0)</f>
        <v>964.68464469033</v>
      </c>
      <c r="BA361" s="263">
        <f>IFERROR(BA362*(1-N(BA363)),0)</f>
        <v>3590.74088200196</v>
      </c>
      <c r="BB361" s="263">
        <f>IFERROR(BB362*(1-N(BB363)),0)</f>
        <v>1083.5488635952</v>
      </c>
      <c r="BC361" s="263">
        <f>IFERROR(BC362*(1-N(BC363)),0)</f>
        <v>1135.97553689162</v>
      </c>
      <c r="BD361" s="263">
        <f>IFERROR(BD362*(1-N(BD363)),0)</f>
        <v>1284.78186187657</v>
      </c>
      <c r="BE361" s="263">
        <f>IFERROR(BE362*(1-N(BE363)),0)</f>
        <v>1287.3107565491</v>
      </c>
      <c r="BF361" s="263">
        <f>IFERROR(BF362*(1-N(BF363)),0)</f>
        <v>4791.6170189125</v>
      </c>
      <c r="BG361" s="85" t="n"/>
      <c r="BH361" s="76" t="n"/>
      <c r="BI361" s="76" t="n"/>
      <c r="BJ361" s="76" t="n"/>
      <c r="BL361" s="85" t="n"/>
      <c r="BM361" s="76" t="n"/>
      <c r="BN361" s="76" t="n"/>
      <c r="BO361" s="76" t="n"/>
      <c r="BQ361" s="85" t="n"/>
      <c r="BR361" s="76" t="n"/>
      <c r="BS361" s="76" t="n"/>
      <c r="BT361" s="76" t="n"/>
      <c r="BV361" s="85" t="n"/>
      <c r="BW361" s="76" t="n"/>
      <c r="BX361" s="76" t="n"/>
      <c r="BY361" s="76" t="n"/>
      <c r="CA361" s="85" t="n"/>
      <c r="CB361" s="76" t="n"/>
      <c r="CC361" s="76" t="n"/>
      <c r="CD361" s="76" t="n"/>
      <c r="CF361" s="85" t="n"/>
      <c r="CG361" s="76" t="n"/>
      <c r="CH361" s="76" t="n"/>
      <c r="CI361" s="76" t="n"/>
      <c r="CK361" s="85" t="n"/>
      <c r="CL361" s="76" t="n"/>
      <c r="CM361" s="76" t="n"/>
      <c r="CN361" s="76" t="n"/>
      <c r="CP361" s="85" t="n"/>
      <c r="CQ361" s="76" t="n"/>
      <c r="CR361" s="76" t="n"/>
      <c r="CS361" s="76" t="n"/>
      <c r="CU361" s="85" t="n"/>
      <c r="CV361" s="76" t="n"/>
      <c r="CW361" s="76" t="n"/>
      <c r="CX361" s="76" t="n"/>
    </row>
    <row r="362" customFormat="1" s="77">
      <c r="A362" s="76" t="n"/>
      <c r="B362" s="76" t="n"/>
      <c r="C362" s="77" t="inlineStr">
        <is>
          <t>EBIT</t>
        </is>
      </c>
      <c r="D362" s="86">
        <f>IFERROR(D144,"")</f>
        <v>0</v>
      </c>
      <c r="E362" s="86">
        <f>IFERROR(E144,"")</f>
        <v>0</v>
      </c>
      <c r="F362" s="86">
        <f>IFERROR(F144,"")</f>
        <v>0</v>
      </c>
      <c r="G362" s="86">
        <f>IFERROR(G144,"")</f>
        <v>0</v>
      </c>
      <c r="H362" s="263">
        <f>IFERROR(H87,0)</f>
        <v>0</v>
      </c>
      <c r="I362" s="263">
        <f>IFERROR(I87,0)</f>
        <v>62.843</v>
      </c>
      <c r="J362" s="263">
        <f>IFERROR(J87,0)</f>
        <v>89.015</v>
      </c>
      <c r="K362" s="263">
        <f>IFERROR(K87,0)</f>
        <v>86.99184065</v>
      </c>
      <c r="L362" s="263">
        <f>IFERROR(L87,0)</f>
        <v>136.59</v>
      </c>
      <c r="M362" s="263">
        <f>IFERROR(M87,0)</f>
        <v>375.43984065</v>
      </c>
      <c r="N362" s="263">
        <f>IFERROR(N87,0)</f>
        <v>79.384</v>
      </c>
      <c r="O362" s="263">
        <f>IFERROR(O87,0)</f>
        <v>112.137</v>
      </c>
      <c r="P362" s="263">
        <f>IFERROR(P87,0)</f>
        <v>113.494</v>
      </c>
      <c r="Q362" s="263">
        <f>IFERROR(Q87,0)</f>
        <v>124.047</v>
      </c>
      <c r="R362" s="263">
        <f>IFERROR(R87,0)</f>
        <v>429.062</v>
      </c>
      <c r="S362" s="263">
        <f>IFERROR(S87,0)</f>
        <v>114.946</v>
      </c>
      <c r="T362" s="263">
        <f>IFERROR(T87,0)</f>
        <v>147.17</v>
      </c>
      <c r="U362" s="263">
        <f>IFERROR(U87,0)</f>
        <v>135.86</v>
      </c>
      <c r="V362" s="263">
        <f>IFERROR(V87,0)</f>
        <v>182.317</v>
      </c>
      <c r="W362" s="263">
        <f>IFERROR(W87,0)</f>
        <v>580.293</v>
      </c>
      <c r="X362" s="263">
        <f>IFERROR(X87,0)</f>
        <v>177.874</v>
      </c>
      <c r="Y362" s="263">
        <f>IFERROR(Y87,0)</f>
        <v>199.13226339</v>
      </c>
      <c r="Z362" s="263">
        <f>IFERROR(Z87,0)</f>
        <v>207.813</v>
      </c>
      <c r="AA362" s="263">
        <f>IFERROR(AA87,0)</f>
        <v>226.321</v>
      </c>
      <c r="AB362" s="263">
        <f>IFERROR(AB87,0)</f>
        <v>811.14026339</v>
      </c>
      <c r="AC362" s="263">
        <f>IFERROR(AC87,0)</f>
        <v>278.559</v>
      </c>
      <c r="AD362" s="263">
        <f>IFERROR(AD87,0)</f>
        <v>313.13349787</v>
      </c>
      <c r="AE362" s="263">
        <f>IFERROR(AE87,0)</f>
        <v>326.193</v>
      </c>
      <c r="AF362" s="263">
        <f>IFERROR(AF87,0)</f>
        <v>342.785</v>
      </c>
      <c r="AG362" s="263">
        <f>IFERROR(AG87,0)</f>
        <v>1260.67049787</v>
      </c>
      <c r="AH362" s="263">
        <f>IFERROR(AH87,0)</f>
        <v>400.863</v>
      </c>
      <c r="AI362" s="263">
        <f>IFERROR(AI87,0)</f>
        <v>377.411</v>
      </c>
      <c r="AJ362" s="263">
        <f>IFERROR(AJ87,0)</f>
        <v>447.759928752893</v>
      </c>
      <c r="AK362" s="263">
        <f>IFERROR(AK87,0)</f>
        <v>448.641275020299</v>
      </c>
      <c r="AL362" s="263">
        <f>IFERROR(AL87,0)</f>
        <v>1674.67520377319</v>
      </c>
      <c r="AM362" s="263">
        <f>IFERROR(AM87,0)</f>
        <v>509.585310784741</v>
      </c>
      <c r="AN362" s="263">
        <f>IFERROR(AN87,0)</f>
        <v>534.241201721238</v>
      </c>
      <c r="AO362" s="263">
        <f>IFERROR(AO87,0)</f>
        <v>604.223756188223</v>
      </c>
      <c r="AP362" s="263">
        <f>IFERROR(AP87,0)</f>
        <v>605.413077335558</v>
      </c>
      <c r="AQ362" s="263">
        <f>IFERROR(AQ87,0)</f>
        <v>2253.46334602976</v>
      </c>
      <c r="AR362" s="263">
        <f>IFERROR(AR87,0)</f>
        <v>685.105279569896</v>
      </c>
      <c r="AS362" s="263">
        <f>IFERROR(AS87,0)</f>
        <v>718.253568375711</v>
      </c>
      <c r="AT362" s="263">
        <f>IFERROR(AT87,0)</f>
        <v>812.340694767335</v>
      </c>
      <c r="AU362" s="263">
        <f>IFERROR(AU87,0)</f>
        <v>813.939661966544</v>
      </c>
      <c r="AV362" s="263">
        <f>IFERROR(AV87,0)</f>
        <v>3029.63920467949</v>
      </c>
      <c r="AW362" s="263">
        <f>IFERROR(AW87,0)</f>
        <v>917.655270400895</v>
      </c>
      <c r="AX362" s="263">
        <f>IFERROR(AX87,0)</f>
        <v>962.05531056191</v>
      </c>
      <c r="AY362" s="263">
        <f>IFERROR(AY87,0)</f>
        <v>1088.07907652143</v>
      </c>
      <c r="AZ362" s="263">
        <f>IFERROR(AZ87,0)</f>
        <v>1090.2207921399</v>
      </c>
      <c r="BA362" s="263">
        <f>IFERROR(BA87,0)</f>
        <v>4058.01044962414</v>
      </c>
      <c r="BB362" s="263">
        <f>IFERROR(BB87,0)</f>
        <v>1224.55302558512</v>
      </c>
      <c r="BC362" s="263">
        <f>IFERROR(BC87,0)</f>
        <v>1283.80207614799</v>
      </c>
      <c r="BD362" s="263">
        <f>IFERROR(BD87,0)</f>
        <v>1451.97283577753</v>
      </c>
      <c r="BE362" s="263">
        <f>IFERROR(BE87,0)</f>
        <v>1454.8308200611</v>
      </c>
      <c r="BF362" s="263">
        <f>IFERROR(BF87,0)</f>
        <v>5415.15875757174</v>
      </c>
      <c r="BG362" s="63" t="n"/>
      <c r="BH362" s="63" t="n"/>
      <c r="BI362" s="63" t="n"/>
      <c r="BJ362" s="63" t="n"/>
      <c r="BL362" s="63" t="n"/>
      <c r="BM362" s="63" t="n"/>
      <c r="BN362" s="63" t="n"/>
      <c r="BO362" s="63" t="n"/>
      <c r="BQ362" s="63" t="n"/>
      <c r="BR362" s="63" t="n"/>
      <c r="BS362" s="63" t="n"/>
      <c r="BT362" s="63" t="n"/>
      <c r="BV362" s="63" t="n"/>
      <c r="BW362" s="63" t="n"/>
      <c r="BX362" s="63" t="n"/>
      <c r="BY362" s="63" t="n"/>
      <c r="CA362" s="63" t="n"/>
      <c r="CB362" s="63" t="n"/>
      <c r="CC362" s="63" t="n"/>
      <c r="CD362" s="63" t="n"/>
      <c r="CF362" s="63" t="n"/>
      <c r="CG362" s="63" t="n"/>
      <c r="CH362" s="63" t="n"/>
      <c r="CI362" s="63" t="n"/>
      <c r="CK362" s="63" t="n"/>
      <c r="CL362" s="63" t="n"/>
      <c r="CM362" s="63" t="n"/>
      <c r="CN362" s="63" t="n"/>
      <c r="CP362" s="63" t="n"/>
      <c r="CQ362" s="63" t="n"/>
      <c r="CR362" s="63" t="n"/>
      <c r="CS362" s="63" t="n"/>
      <c r="CU362" s="63" t="n"/>
      <c r="CV362" s="63" t="n"/>
      <c r="CW362" s="63" t="n"/>
      <c r="CX362" s="63" t="n"/>
    </row>
    <row r="363" customFormat="1" s="77">
      <c r="A363" s="76" t="n"/>
      <c r="B363" s="76" t="n"/>
      <c r="C363" s="77" t="inlineStr">
        <is>
          <t>ETR (LIMITED TO 0%-100%)</t>
        </is>
      </c>
      <c r="D363" s="87">
        <f>IFERROR(D146,"")</f>
        <v>0</v>
      </c>
      <c r="E363" s="87">
        <f>IFERROR(E146,"")</f>
        <v>0</v>
      </c>
      <c r="F363" s="87">
        <f>IFERROR(F146,"")</f>
        <v>0</v>
      </c>
      <c r="G363" s="87">
        <f>IFERROR(G146,"")</f>
        <v>0</v>
      </c>
      <c r="H363" s="258" t="str">
        <f>IFERROR(IF(N(H144)&lt;&gt;0,MAX(0,MIN(1,-H145/H144)),""),"")</f>
        <v/>
      </c>
      <c r="I363" s="258">
        <f>IFERROR(IF(N(I144)&lt;&gt;0,MAX(0,MIN(1,-I145/I144)),""),"")</f>
        <v>0.118995312148627</v>
      </c>
      <c r="J363" s="258">
        <f>IFERROR(IF(N(J144)&lt;&gt;0,MAX(0,MIN(1,-J145/J144)),""),"")</f>
        <v>0.100599002857519</v>
      </c>
      <c r="K363" s="258">
        <f>IFERROR(IF(N(K144)&lt;&gt;0,MAX(0,MIN(1,-K145/K144)),""),"")</f>
        <v>0.120248820577379</v>
      </c>
      <c r="L363" s="258">
        <f>IFERROR(IF(N(L144)&lt;&gt;0,MAX(0,MIN(1,-L145/L144)),""),"")</f>
        <v>0.0868303281878324</v>
      </c>
      <c r="M363" s="258">
        <f>IFERROR(IF(N(M144)&lt;&gt;0,MAX(0,MIN(1,-M145/M144)),""),"")</f>
        <v>0.103602982798335</v>
      </c>
      <c r="N363" s="258">
        <f>IFERROR(IF(N(N144)&lt;&gt;0,MAX(0,MIN(1,-N145/N144)),""),"")</f>
        <v>0.154543885044954</v>
      </c>
      <c r="O363" s="258">
        <f>IFERROR(IF(N(O144)&lt;&gt;0,MAX(0,MIN(1,-O145/O144)),""),"")</f>
        <v>0.134365002603973</v>
      </c>
      <c r="P363" s="258">
        <f>IFERROR(IF(N(P144)&lt;&gt;0,MAX(0,MIN(1,-P145/P144)),""),"")</f>
        <v>0.141955057617268</v>
      </c>
      <c r="Q363" s="258">
        <f>IFERROR(IF(N(Q144)&lt;&gt;0,MAX(0,MIN(1,-Q145/Q144)),""),"")</f>
        <v>0.132999314757629</v>
      </c>
      <c r="R363" s="258">
        <f>IFERROR(IF(N(R144)&lt;&gt;0,MAX(0,MIN(1,-R145/R144)),""),"")</f>
        <v>0.139793636082793</v>
      </c>
      <c r="S363" s="258">
        <f>IFERROR(IF(N(S144)&lt;&gt;0,MAX(0,MIN(1,-S145/S144)),""),"")</f>
        <v>0.140052236488831</v>
      </c>
      <c r="T363" s="258">
        <f>IFERROR(IF(N(T144)&lt;&gt;0,MAX(0,MIN(1,-T145/T144)),""),"")</f>
        <v>0.128523900006357</v>
      </c>
      <c r="U363" s="258">
        <f>IFERROR(IF(N(U144)&lt;&gt;0,MAX(0,MIN(1,-U145/U144)),""),"")</f>
        <v>0.14456520096135</v>
      </c>
      <c r="V363" s="258">
        <f>IFERROR(IF(N(V144)&lt;&gt;0,MAX(0,MIN(1,-V145/V144)),""),"")</f>
        <v>0.107974447668541</v>
      </c>
      <c r="W363" s="258">
        <f>IFERROR(IF(N(W144)&lt;&gt;0,MAX(0,MIN(1,-W145/W144)),""),"")</f>
        <v>0.127860701787839</v>
      </c>
      <c r="X363" s="258">
        <f>IFERROR(IF(N(X144)&lt;&gt;0,MAX(0,MIN(1,-X145/X144)),""),"")</f>
        <v>0.116711090039721</v>
      </c>
      <c r="Y363" s="258">
        <f>IFERROR(IF(N(Y144)&lt;&gt;0,MAX(0,MIN(1,-Y145/Y144)),""),"")</f>
        <v>0.108116905431647</v>
      </c>
      <c r="Z363" s="258">
        <f>IFERROR(IF(N(Z144)&lt;&gt;0,MAX(0,MIN(1,-Z145/Z144)),""),"")</f>
        <v>0.114895104895105</v>
      </c>
      <c r="AA363" s="258">
        <f>IFERROR(IF(N(AA144)&lt;&gt;0,MAX(0,MIN(1,-AA145/AA144)),""),"")</f>
        <v>0.120309485003466</v>
      </c>
      <c r="AB363" s="258">
        <f>IFERROR(IF(N(AB144)&lt;&gt;0,MAX(0,MIN(1,-AB145/AB144)),""),"")</f>
        <v>0.115099389895048</v>
      </c>
      <c r="AC363" s="258">
        <f>IFERROR(IF(N(AC144)&lt;&gt;0,MAX(0,MIN(1,-AC145/AC144)),""),"")</f>
        <v>0.1174449482724</v>
      </c>
      <c r="AD363" s="258">
        <f>IFERROR(IF(N(AD144)&lt;&gt;0,MAX(0,MIN(1,-AD145/AD144)),""),"")</f>
        <v>0.105675440536562</v>
      </c>
      <c r="AE363" s="258">
        <f>IFERROR(IF(N(AE144)&lt;&gt;0,MAX(0,MIN(1,-AE145/AE144)),""),"")</f>
        <v>0.115789341068791</v>
      </c>
      <c r="AF363" s="258">
        <f>IFERROR(IF(N(AF144)&lt;&gt;0,MAX(0,MIN(1,-AF145/AF144)),""),"")</f>
        <v>0.119269902028616</v>
      </c>
      <c r="AG363" s="258">
        <f>IFERROR(IF(N(AG144)&lt;&gt;0,MAX(0,MIN(1,-AG145/AG144)),""),"")</f>
        <v>0.11462693803689</v>
      </c>
      <c r="AH363" s="258">
        <f>IFERROR(IF(N(AH144)&lt;&gt;0,MAX(0,MIN(1,-AH145/AH144)),""),"")</f>
        <v>0.105727481968659</v>
      </c>
      <c r="AI363" s="258">
        <f>IFERROR(IF(N(AI144)&lt;&gt;0,MAX(0,MIN(1,-AI145/AI144)),""),"")</f>
        <v>0.12697760427368</v>
      </c>
      <c r="AJ363" s="258">
        <f>IFERROR(IF(N(AJ144)&lt;&gt;0,MAX(0,MIN(1,-AJ145/AJ144)),""),"")</f>
        <v>0.115147453024785</v>
      </c>
      <c r="AK363" s="258">
        <f>IFERROR(IF(N(AK144)&lt;&gt;0,MAX(0,MIN(1,-AK145/AK144)),""),"")</f>
        <v>0.115147453024785</v>
      </c>
      <c r="AL363" s="258">
        <f>IFERROR(IF(N(AL144)&lt;&gt;0,MAX(0,MIN(1,-AL145/AL144)),""),"")</f>
        <v>0.115447500412248</v>
      </c>
      <c r="AM363" s="258">
        <f>IFERROR(IF(N(AM144)&lt;&gt;0,MAX(0,MIN(1,-AM145/AM144)),""),"")</f>
        <v>0.115147453024785</v>
      </c>
      <c r="AN363" s="258">
        <f>IFERROR(IF(N(AN144)&lt;&gt;0,MAX(0,MIN(1,-AN145/AN144)),""),"")</f>
        <v>0.115147453024785</v>
      </c>
      <c r="AO363" s="258">
        <f>IFERROR(IF(N(AO144)&lt;&gt;0,MAX(0,MIN(1,-AO145/AO144)),""),"")</f>
        <v>0.115147453024785</v>
      </c>
      <c r="AP363" s="258">
        <f>IFERROR(IF(N(AP144)&lt;&gt;0,MAX(0,MIN(1,-AP145/AP144)),""),"")</f>
        <v>0.115147453024785</v>
      </c>
      <c r="AQ363" s="258">
        <f>IFERROR(IF(N(AQ144)&lt;&gt;0,MAX(0,MIN(1,-AQ145/AQ144)),""),"")</f>
        <v>0.115147453024785</v>
      </c>
      <c r="AR363" s="258">
        <f>IFERROR(IF(N(AR144)&lt;&gt;0,MAX(0,MIN(1,-AR145/AR144)),""),"")</f>
        <v>0.115147453024785</v>
      </c>
      <c r="AS363" s="258">
        <f>IFERROR(IF(N(AS144)&lt;&gt;0,MAX(0,MIN(1,-AS145/AS144)),""),"")</f>
        <v>0.115147453024785</v>
      </c>
      <c r="AT363" s="258">
        <f>IFERROR(IF(N(AT144)&lt;&gt;0,MAX(0,MIN(1,-AT145/AT144)),""),"")</f>
        <v>0.115147453024785</v>
      </c>
      <c r="AU363" s="258">
        <f>IFERROR(IF(N(AU144)&lt;&gt;0,MAX(0,MIN(1,-AU145/AU144)),""),"")</f>
        <v>0.115147453024785</v>
      </c>
      <c r="AV363" s="258">
        <f>IFERROR(IF(N(AV144)&lt;&gt;0,MAX(0,MIN(1,-AV145/AV144)),""),"")</f>
        <v>0.115147453024785</v>
      </c>
      <c r="AW363" s="258">
        <f>IFERROR(IF(N(AW144)&lt;&gt;0,MAX(0,MIN(1,-AW145/AW144)),""),"")</f>
        <v>0.115147453024785</v>
      </c>
      <c r="AX363" s="258">
        <f>IFERROR(IF(N(AX144)&lt;&gt;0,MAX(0,MIN(1,-AX145/AX144)),""),"")</f>
        <v>0.115147453024785</v>
      </c>
      <c r="AY363" s="258">
        <f>IFERROR(IF(N(AY144)&lt;&gt;0,MAX(0,MIN(1,-AY145/AY144)),""),"")</f>
        <v>0.115147453024785</v>
      </c>
      <c r="AZ363" s="258">
        <f>IFERROR(IF(N(AZ144)&lt;&gt;0,MAX(0,MIN(1,-AZ145/AZ144)),""),"")</f>
        <v>0.115147453024785</v>
      </c>
      <c r="BA363" s="258">
        <f>IFERROR(IF(N(BA144)&lt;&gt;0,MAX(0,MIN(1,-BA145/BA144)),""),"")</f>
        <v>0.115147453024785</v>
      </c>
      <c r="BB363" s="258">
        <f>IFERROR(IF(N(BB144)&lt;&gt;0,MAX(0,MIN(1,-BB145/BB144)),""),"")</f>
        <v>0.115147453024785</v>
      </c>
      <c r="BC363" s="258">
        <f>IFERROR(IF(N(BC144)&lt;&gt;0,MAX(0,MIN(1,-BC145/BC144)),""),"")</f>
        <v>0.115147453024785</v>
      </c>
      <c r="BD363" s="258">
        <f>IFERROR(IF(N(BD144)&lt;&gt;0,MAX(0,MIN(1,-BD145/BD144)),""),"")</f>
        <v>0.115147453024785</v>
      </c>
      <c r="BE363" s="258">
        <f>IFERROR(IF(N(BE144)&lt;&gt;0,MAX(0,MIN(1,-BE145/BE144)),""),"")</f>
        <v>0.115147453024785</v>
      </c>
      <c r="BF363" s="258">
        <f>IFERROR(IF(N(BF144)&lt;&gt;0,MAX(0,MIN(1,-BF145/BF144)),""),"")</f>
        <v>0.115147453024785</v>
      </c>
      <c r="BG363" s="88" t="n"/>
      <c r="BH363" s="88" t="n"/>
      <c r="BI363" s="88" t="n"/>
      <c r="BJ363" s="88" t="n"/>
      <c r="BL363" s="88" t="n"/>
      <c r="BM363" s="88" t="n"/>
      <c r="BN363" s="88" t="n"/>
      <c r="BO363" s="88" t="n"/>
      <c r="BQ363" s="88" t="n"/>
      <c r="BR363" s="88" t="n"/>
      <c r="BS363" s="88" t="n"/>
      <c r="BT363" s="88" t="n"/>
      <c r="BV363" s="88" t="n"/>
      <c r="BW363" s="88" t="n"/>
      <c r="BX363" s="88" t="n"/>
      <c r="BY363" s="88" t="n"/>
      <c r="CA363" s="88" t="n"/>
      <c r="CB363" s="88" t="n"/>
      <c r="CC363" s="88" t="n"/>
      <c r="CD363" s="88" t="n"/>
      <c r="CF363" s="88" t="n"/>
      <c r="CG363" s="88" t="n"/>
      <c r="CH363" s="88" t="n"/>
      <c r="CI363" s="88" t="n"/>
      <c r="CK363" s="88" t="n"/>
      <c r="CL363" s="88" t="n"/>
      <c r="CM363" s="88" t="n"/>
      <c r="CN363" s="88" t="n"/>
      <c r="CP363" s="88" t="n"/>
      <c r="CQ363" s="88" t="n"/>
      <c r="CR363" s="88" t="n"/>
      <c r="CS363" s="88" t="n"/>
      <c r="CU363" s="88" t="n"/>
      <c r="CV363" s="88" t="n"/>
      <c r="CW363" s="88" t="n"/>
      <c r="CX363" s="88" t="n"/>
    </row>
    <row r="364" customFormat="1" s="77">
      <c r="A364" s="76" t="n"/>
      <c r="B364" s="76" t="n"/>
      <c r="C364" s="77" t="inlineStr">
        <is>
          <t>INVESTED CAPITAL</t>
        </is>
      </c>
      <c r="D364" s="86">
        <f>IFERROR(D367-D368+D369,"")</f>
        <v>0</v>
      </c>
      <c r="E364" s="86">
        <f>IFERROR(E367-E368+E369,"")</f>
        <v>0</v>
      </c>
      <c r="F364" s="86">
        <f>IFERROR(F367-F368+F369,"")</f>
        <v>0</v>
      </c>
      <c r="G364" s="86">
        <f>IFERROR(G367-G368+G369,"")</f>
        <v>0</v>
      </c>
      <c r="H364" s="263">
        <f>IFERROR(H366+H369,0)</f>
        <v>0</v>
      </c>
      <c r="I364" s="263">
        <f>IFERROR(I366+I369,0)</f>
        <v>536.869</v>
      </c>
      <c r="J364" s="263">
        <f>IFERROR(J366+J369,0)</f>
        <v>469.796</v>
      </c>
      <c r="K364" s="263">
        <f>IFERROR(K366+K369,0)</f>
        <v>596.071</v>
      </c>
      <c r="L364" s="263">
        <f>IFERROR(L366+L369,0)</f>
        <v>537.989</v>
      </c>
      <c r="M364" s="263">
        <f>IFERROR(M366+M369,0)</f>
        <v>537.989</v>
      </c>
      <c r="N364" s="263">
        <f>IFERROR(N366+N369,0)</f>
        <v>587.782</v>
      </c>
      <c r="O364" s="263">
        <f>IFERROR(O366+O369,0)</f>
        <v>524.455</v>
      </c>
      <c r="P364" s="263">
        <f>IFERROR(P366+P369,0)</f>
        <v>703.299</v>
      </c>
      <c r="Q364" s="263">
        <f>IFERROR(Q366+Q369,0)</f>
        <v>581.089</v>
      </c>
      <c r="R364" s="263">
        <f>IFERROR(R366+R369,0)</f>
        <v>581.089</v>
      </c>
      <c r="S364" s="263">
        <f>IFERROR(S366+S369,0)</f>
        <v>731.502</v>
      </c>
      <c r="T364" s="263">
        <f>IFERROR(T366+T369,0)</f>
        <v>787.381</v>
      </c>
      <c r="U364" s="263">
        <f>IFERROR(U366+U369,0)</f>
        <v>619.057</v>
      </c>
      <c r="V364" s="263">
        <f>IFERROR(V366+V369,0)</f>
        <v>632.861</v>
      </c>
      <c r="W364" s="263">
        <f>IFERROR(W366+W369,0)</f>
        <v>632.861</v>
      </c>
      <c r="X364" s="263">
        <f>IFERROR(X366+X369,0)</f>
        <v>769.612</v>
      </c>
      <c r="Y364" s="263">
        <f>IFERROR(Y366+Y369,0)</f>
        <v>592.143</v>
      </c>
      <c r="Z364" s="263">
        <f>IFERROR(Z366+Z369,0)</f>
        <v>930.46</v>
      </c>
      <c r="AA364" s="263">
        <f>IFERROR(AA366+AA369,0)</f>
        <v>895.448</v>
      </c>
      <c r="AB364" s="263">
        <f>IFERROR(AB366+AB369,0)</f>
        <v>895.448</v>
      </c>
      <c r="AC364" s="263">
        <f>IFERROR(AC366+AC369,0)</f>
        <v>1136.234</v>
      </c>
      <c r="AD364" s="263">
        <f>IFERROR(AD366+AD369,0)</f>
        <v>1391.951</v>
      </c>
      <c r="AE364" s="263">
        <f>IFERROR(AE366+AE369,0)</f>
        <v>1232.313</v>
      </c>
      <c r="AF364" s="263">
        <f>IFERROR(AF366+AF369,0)</f>
        <v>1386.004</v>
      </c>
      <c r="AG364" s="263">
        <f>IFERROR(AG366+AG369,0)</f>
        <v>1386.004</v>
      </c>
      <c r="AH364" s="263">
        <f>IFERROR(AH366+AH369,0)</f>
        <v>1536.868</v>
      </c>
      <c r="AI364" s="263">
        <f>IFERROR(AI366+AI369,0)</f>
        <v>1823.641</v>
      </c>
      <c r="AJ364" s="263">
        <f>IFERROR(AJ366+AJ369,0)</f>
        <v>2204.72904428715</v>
      </c>
      <c r="AK364" s="263">
        <f>IFERROR(AK366+AK369,0)</f>
        <v>2159.55217124969</v>
      </c>
      <c r="AL364" s="263">
        <f>IFERROR(AL366+AL369,0)</f>
        <v>2159.55217124969</v>
      </c>
      <c r="AM364" s="263">
        <f>IFERROR(AM366+AM369,0)</f>
        <v>2784.15079919835</v>
      </c>
      <c r="AN364" s="263">
        <f>IFERROR(AN366+AN369,0)</f>
        <v>2870.48710208852</v>
      </c>
      <c r="AO364" s="263">
        <f>IFERROR(AO366+AO369,0)</f>
        <v>3355.14264898603</v>
      </c>
      <c r="AP364" s="263">
        <f>IFERROR(AP366+AP369,0)</f>
        <v>3184.76673352953</v>
      </c>
      <c r="AQ364" s="263">
        <f>IFERROR(AQ366+AQ369,0)</f>
        <v>3184.76673352953</v>
      </c>
      <c r="AR364" s="263">
        <f>IFERROR(AR366+AR369,0)</f>
        <v>3784.11939731729</v>
      </c>
      <c r="AS364" s="263">
        <f>IFERROR(AS366+AS369,0)</f>
        <v>3780.75571073021</v>
      </c>
      <c r="AT364" s="263">
        <f>IFERROR(AT366+AT369,0)</f>
        <v>4172.59390010879</v>
      </c>
      <c r="AU364" s="263">
        <f>IFERROR(AU366+AU369,0)</f>
        <v>3595.23499969415</v>
      </c>
      <c r="AV364" s="263">
        <f>IFERROR(AV366+AV369,0)</f>
        <v>3595.23499969415</v>
      </c>
      <c r="AW364" s="263">
        <f>IFERROR(AW366+AW369,0)</f>
        <v>4006.89614091562</v>
      </c>
      <c r="AX364" s="263">
        <f>IFERROR(AX366+AX369,0)</f>
        <v>3286.52831970836</v>
      </c>
      <c r="AY364" s="263">
        <f>IFERROR(AY366+AY369,0)</f>
        <v>2987.98079312945</v>
      </c>
      <c r="AZ364" s="263">
        <f>IFERROR(AZ366+AZ369,0)</f>
        <v>1114.73660748224</v>
      </c>
      <c r="BA364" s="263">
        <f>IFERROR(BA366+BA369,0)</f>
        <v>1114.73660748224</v>
      </c>
      <c r="BB364" s="263">
        <f>IFERROR(BB366+BB369,0)</f>
        <v>173.453623054581</v>
      </c>
      <c r="BC364" s="263">
        <f>IFERROR(BC366+BC369,0)</f>
        <v>-2719.28469997449</v>
      </c>
      <c r="BD364" s="263">
        <f>IFERROR(BD366+BD369,0)</f>
        <v>-5688.01845697842</v>
      </c>
      <c r="BE364" s="263">
        <f>IFERROR(BE366+BE369,0)</f>
        <v>-11608.2443844472</v>
      </c>
      <c r="BF364" s="263">
        <f>IFERROR(BF366+BF369,0)</f>
        <v>-11608.2443844472</v>
      </c>
      <c r="BG364" s="63" t="n"/>
      <c r="BH364" s="63" t="n"/>
      <c r="BI364" s="63" t="n"/>
      <c r="BJ364" s="63" t="n"/>
      <c r="BL364" s="63" t="n"/>
      <c r="BM364" s="63" t="n"/>
      <c r="BN364" s="63" t="n"/>
      <c r="BO364" s="63" t="n"/>
      <c r="BQ364" s="63" t="n"/>
      <c r="BR364" s="63" t="n"/>
      <c r="BS364" s="63" t="n"/>
      <c r="BT364" s="63" t="n"/>
      <c r="BV364" s="63" t="n"/>
      <c r="BW364" s="63" t="n"/>
      <c r="BX364" s="63" t="n"/>
      <c r="BY364" s="63" t="n"/>
      <c r="CA364" s="63" t="n"/>
      <c r="CB364" s="63" t="n"/>
      <c r="CC364" s="63" t="n"/>
      <c r="CD364" s="63" t="n"/>
      <c r="CF364" s="63" t="n"/>
      <c r="CG364" s="63" t="n"/>
      <c r="CH364" s="63" t="n"/>
      <c r="CI364" s="63" t="n"/>
      <c r="CK364" s="63" t="n"/>
      <c r="CL364" s="63" t="n"/>
      <c r="CM364" s="63" t="n"/>
      <c r="CN364" s="63" t="n"/>
      <c r="CP364" s="63" t="n"/>
      <c r="CQ364" s="63" t="n"/>
      <c r="CR364" s="63" t="n"/>
      <c r="CS364" s="63" t="n"/>
      <c r="CU364" s="63" t="n"/>
      <c r="CV364" s="63" t="n"/>
      <c r="CW364" s="63" t="n"/>
      <c r="CX364" s="63" t="n"/>
    </row>
    <row r="365" customFormat="1" s="77">
      <c r="A365" s="76" t="n"/>
      <c r="B365" s="76" t="n"/>
      <c r="C365" s="77" t="inlineStr">
        <is>
          <t>INVESTED CAPITAL - EX GOODWILL</t>
        </is>
      </c>
      <c r="D365" s="89">
        <f>IFERROR(D364-D193,"")</f>
        <v>0</v>
      </c>
      <c r="E365" s="89">
        <f>IFERROR(E364-E193,"")</f>
        <v>0</v>
      </c>
      <c r="F365" s="89">
        <f>IFERROR(F364-F193,"")</f>
        <v>0</v>
      </c>
      <c r="G365" s="89">
        <f>IFERROR(G364-G193,"")</f>
        <v>0</v>
      </c>
      <c r="H365" s="263">
        <f>IFERROR(H364-N(H193),0)</f>
        <v>0</v>
      </c>
      <c r="I365" s="263">
        <f>IFERROR(I364-N(I193),0)</f>
        <v>536.869</v>
      </c>
      <c r="J365" s="263">
        <f>IFERROR(J364-N(J193),0)</f>
        <v>469.796</v>
      </c>
      <c r="K365" s="263">
        <f>IFERROR(K364-N(K193),0)</f>
        <v>596.071</v>
      </c>
      <c r="L365" s="263">
        <f>IFERROR(L364-N(L193),0)</f>
        <v>537.989</v>
      </c>
      <c r="M365" s="263">
        <f>IFERROR(M364-N(M193),0)</f>
        <v>537.989</v>
      </c>
      <c r="N365" s="263">
        <f>IFERROR(N364-N(N193),0)</f>
        <v>587.782</v>
      </c>
      <c r="O365" s="263">
        <f>IFERROR(O364-N(O193),0)</f>
        <v>524.455</v>
      </c>
      <c r="P365" s="263">
        <f>IFERROR(P364-N(P193),0)</f>
        <v>703.299</v>
      </c>
      <c r="Q365" s="263">
        <f>IFERROR(Q364-N(Q193),0)</f>
        <v>581.089</v>
      </c>
      <c r="R365" s="263">
        <f>IFERROR(R364-N(R193),0)</f>
        <v>581.089</v>
      </c>
      <c r="S365" s="263">
        <f>IFERROR(S364-N(S193),0)</f>
        <v>731.502</v>
      </c>
      <c r="T365" s="263">
        <f>IFERROR(T364-N(T193),0)</f>
        <v>787.381</v>
      </c>
      <c r="U365" s="263">
        <f>IFERROR(U364-N(U193),0)</f>
        <v>619.057</v>
      </c>
      <c r="V365" s="263">
        <f>IFERROR(V364-N(V193),0)</f>
        <v>632.861</v>
      </c>
      <c r="W365" s="263">
        <f>IFERROR(W364-N(W193),0)</f>
        <v>632.861</v>
      </c>
      <c r="X365" s="263">
        <f>IFERROR(X364-N(X193),0)</f>
        <v>769.612</v>
      </c>
      <c r="Y365" s="263">
        <f>IFERROR(Y364-N(Y193),0)</f>
        <v>592.143</v>
      </c>
      <c r="Z365" s="263">
        <f>IFERROR(Z364-N(Z193),0)</f>
        <v>930.46</v>
      </c>
      <c r="AA365" s="263">
        <f>IFERROR(AA364-N(AA193),0)</f>
        <v>895.448</v>
      </c>
      <c r="AB365" s="263">
        <f>IFERROR(AB364-N(AB193),0)</f>
        <v>895.448</v>
      </c>
      <c r="AC365" s="263">
        <f>IFERROR(AC364-N(AC193),0)</f>
        <v>1136.234</v>
      </c>
      <c r="AD365" s="263">
        <f>IFERROR(AD364-N(AD193),0)</f>
        <v>1391.951</v>
      </c>
      <c r="AE365" s="263">
        <f>IFERROR(AE364-N(AE193),0)</f>
        <v>1232.313</v>
      </c>
      <c r="AF365" s="263">
        <f>IFERROR(AF364-N(AF193),0)</f>
        <v>1386.004</v>
      </c>
      <c r="AG365" s="263">
        <f>IFERROR(AG364-N(AG193),0)</f>
        <v>1386.004</v>
      </c>
      <c r="AH365" s="263">
        <f>IFERROR(AH364-N(AH193),0)</f>
        <v>1536.868</v>
      </c>
      <c r="AI365" s="263">
        <f>IFERROR(AI364-N(AI193),0)</f>
        <v>1823.641</v>
      </c>
      <c r="AJ365" s="263">
        <f>IFERROR(AJ364-N(AJ193),0)</f>
        <v>2204.72904428715</v>
      </c>
      <c r="AK365" s="263">
        <f>IFERROR(AK364-N(AK193),0)</f>
        <v>2159.55217124969</v>
      </c>
      <c r="AL365" s="263">
        <f>IFERROR(AL364-N(AL193),0)</f>
        <v>2159.55217124969</v>
      </c>
      <c r="AM365" s="263">
        <f>IFERROR(AM364-N(AM193),0)</f>
        <v>2784.15079919835</v>
      </c>
      <c r="AN365" s="263">
        <f>IFERROR(AN364-N(AN193),0)</f>
        <v>2870.48710208852</v>
      </c>
      <c r="AO365" s="263">
        <f>IFERROR(AO364-N(AO193),0)</f>
        <v>3355.14264898603</v>
      </c>
      <c r="AP365" s="263">
        <f>IFERROR(AP364-N(AP193),0)</f>
        <v>3184.76673352953</v>
      </c>
      <c r="AQ365" s="263">
        <f>IFERROR(AQ364-N(AQ193),0)</f>
        <v>3184.76673352953</v>
      </c>
      <c r="AR365" s="263">
        <f>IFERROR(AR364-N(AR193),0)</f>
        <v>3784.11939731729</v>
      </c>
      <c r="AS365" s="263">
        <f>IFERROR(AS364-N(AS193),0)</f>
        <v>3780.75571073021</v>
      </c>
      <c r="AT365" s="263">
        <f>IFERROR(AT364-N(AT193),0)</f>
        <v>4172.59390010879</v>
      </c>
      <c r="AU365" s="263">
        <f>IFERROR(AU364-N(AU193),0)</f>
        <v>3595.23499969415</v>
      </c>
      <c r="AV365" s="263">
        <f>IFERROR(AV364-N(AV193),0)</f>
        <v>3595.23499969415</v>
      </c>
      <c r="AW365" s="263">
        <f>IFERROR(AW364-N(AW193),0)</f>
        <v>4006.89614091562</v>
      </c>
      <c r="AX365" s="263">
        <f>IFERROR(AX364-N(AX193),0)</f>
        <v>3286.52831970836</v>
      </c>
      <c r="AY365" s="263">
        <f>IFERROR(AY364-N(AY193),0)</f>
        <v>2987.98079312945</v>
      </c>
      <c r="AZ365" s="263">
        <f>IFERROR(AZ364-N(AZ193),0)</f>
        <v>1114.73660748224</v>
      </c>
      <c r="BA365" s="263">
        <f>IFERROR(BA364-N(BA193),0)</f>
        <v>1114.73660748224</v>
      </c>
      <c r="BB365" s="263">
        <f>IFERROR(BB364-N(BB193),0)</f>
        <v>173.453623054581</v>
      </c>
      <c r="BC365" s="263">
        <f>IFERROR(BC364-N(BC193),0)</f>
        <v>-2719.28469997449</v>
      </c>
      <c r="BD365" s="263">
        <f>IFERROR(BD364-N(BD193),0)</f>
        <v>-5688.01845697842</v>
      </c>
      <c r="BE365" s="263">
        <f>IFERROR(BE364-N(BE193),0)</f>
        <v>-11608.2443844472</v>
      </c>
      <c r="BF365" s="263">
        <f>IFERROR(BF364-N(BF193),0)</f>
        <v>-11608.2443844472</v>
      </c>
      <c r="BG365" s="90" t="n"/>
      <c r="BH365" s="90" t="n"/>
      <c r="BI365" s="90" t="n"/>
      <c r="BJ365" s="90" t="n"/>
      <c r="BL365" s="90" t="n"/>
      <c r="BM365" s="90" t="n"/>
      <c r="BN365" s="90" t="n"/>
      <c r="BO365" s="90" t="n"/>
      <c r="BQ365" s="90" t="n"/>
      <c r="BR365" s="90" t="n"/>
      <c r="BS365" s="90" t="n"/>
      <c r="BT365" s="90" t="n"/>
      <c r="BV365" s="90" t="n"/>
      <c r="BW365" s="90" t="n"/>
      <c r="BX365" s="90" t="n"/>
      <c r="BY365" s="90" t="n"/>
      <c r="CA365" s="90" t="n"/>
      <c r="CB365" s="90" t="n"/>
      <c r="CC365" s="90" t="n"/>
      <c r="CD365" s="90" t="n"/>
      <c r="CF365" s="90" t="n"/>
      <c r="CG365" s="90" t="n"/>
      <c r="CH365" s="90" t="n"/>
      <c r="CI365" s="90" t="n"/>
      <c r="CK365" s="90" t="n"/>
      <c r="CL365" s="90" t="n"/>
      <c r="CM365" s="90" t="n"/>
      <c r="CN365" s="90" t="n"/>
      <c r="CP365" s="90" t="n"/>
      <c r="CQ365" s="90" t="n"/>
      <c r="CR365" s="90" t="n"/>
      <c r="CS365" s="90" t="n"/>
      <c r="CU365" s="90" t="n"/>
      <c r="CV365" s="90" t="n"/>
      <c r="CW365" s="90" t="n"/>
      <c r="CX365" s="90" t="n"/>
    </row>
    <row r="366" customFormat="1" s="77">
      <c r="A366" s="76" t="n"/>
      <c r="B366" s="76" t="n"/>
      <c r="C366" s="77" t="inlineStr">
        <is>
          <t>OPERATING WORKING CAPITAL</t>
        </is>
      </c>
      <c r="D366" s="91">
        <f>IFERROR(D367-D368,"")</f>
        <v>0</v>
      </c>
      <c r="E366" s="91">
        <f>IFERROR(E367-E368,"")</f>
        <v>0</v>
      </c>
      <c r="F366" s="91">
        <f>IFERROR(F367-F368,"")</f>
        <v>0</v>
      </c>
      <c r="G366" s="91">
        <f>IFERROR(G367-G368,"")</f>
        <v>0</v>
      </c>
      <c r="H366" s="263">
        <f>IFERROR(H367-H368,0)</f>
        <v>0</v>
      </c>
      <c r="I366" s="263">
        <f>IFERROR(I367-I368,0)</f>
        <v>754.264</v>
      </c>
      <c r="J366" s="263">
        <f>IFERROR(J367-J368,0)</f>
        <v>641.226</v>
      </c>
      <c r="K366" s="263">
        <f>IFERROR(K367-K368,0)</f>
        <v>842.826</v>
      </c>
      <c r="L366" s="263">
        <f>IFERROR(L367-L368,0)</f>
        <v>806.988</v>
      </c>
      <c r="M366" s="263">
        <f>IFERROR(M367-M368,0)</f>
        <v>806.988</v>
      </c>
      <c r="N366" s="263">
        <f>IFERROR(N367-N368,0)</f>
        <v>847.866</v>
      </c>
      <c r="O366" s="263">
        <f>IFERROR(O367-O368,0)</f>
        <v>772.401</v>
      </c>
      <c r="P366" s="263">
        <f>IFERROR(P367-P368,0)</f>
        <v>1036.130718609</v>
      </c>
      <c r="Q366" s="263">
        <f>IFERROR(Q367-Q368,0)</f>
        <v>908.191</v>
      </c>
      <c r="R366" s="263">
        <f>IFERROR(R367-R368,0)</f>
        <v>908.191</v>
      </c>
      <c r="S366" s="263">
        <f>IFERROR(S367-S368,0)</f>
        <v>1189.087</v>
      </c>
      <c r="T366" s="263">
        <f>IFERROR(T367-T368,0)</f>
        <v>1181.161</v>
      </c>
      <c r="U366" s="263">
        <f>IFERROR(U367-U368,0)</f>
        <v>1018.024</v>
      </c>
      <c r="V366" s="263">
        <f>IFERROR(V367-V368,0)</f>
        <v>955.031</v>
      </c>
      <c r="W366" s="263">
        <f>IFERROR(W367-W368,0)</f>
        <v>955.031</v>
      </c>
      <c r="X366" s="263">
        <f>IFERROR(X367-X368,0)</f>
        <v>1165.154</v>
      </c>
      <c r="Y366" s="263">
        <f>IFERROR(Y367-Y368,0)</f>
        <v>1051.903</v>
      </c>
      <c r="Z366" s="263">
        <f>IFERROR(Z367-Z368,0)</f>
        <v>1352.302</v>
      </c>
      <c r="AA366" s="263">
        <f>IFERROR(AA367-AA368,0)</f>
        <v>1752.514</v>
      </c>
      <c r="AB366" s="263">
        <f>IFERROR(AB367-AB368,0)</f>
        <v>1752.514</v>
      </c>
      <c r="AC366" s="263">
        <f>IFERROR(AC367-AC368,0)</f>
        <v>1989.045</v>
      </c>
      <c r="AD366" s="263">
        <f>IFERROR(AD367-AD368,0)</f>
        <v>2232.229</v>
      </c>
      <c r="AE366" s="263">
        <f>IFERROR(AE367-AE368,0)</f>
        <v>2166.338</v>
      </c>
      <c r="AF366" s="263">
        <f>IFERROR(AF367-AF368,0)</f>
        <v>2288.07</v>
      </c>
      <c r="AG366" s="263">
        <f>IFERROR(AG367-AG368,0)</f>
        <v>2288.07</v>
      </c>
      <c r="AH366" s="263">
        <f>IFERROR(AH367-AH368,0)</f>
        <v>2575.954</v>
      </c>
      <c r="AI366" s="263">
        <f>IFERROR(AI367-AI368,0)</f>
        <v>2788.1</v>
      </c>
      <c r="AJ366" s="263">
        <f>IFERROR(AJ367-AJ368,0)</f>
        <v>3167.2372430713</v>
      </c>
      <c r="AK366" s="263">
        <f>IFERROR(AK367-AK368,0)</f>
        <v>3120.10572896709</v>
      </c>
      <c r="AL366" s="263">
        <f>IFERROR(AL367-AL368,0)</f>
        <v>3120.10572896709</v>
      </c>
      <c r="AM366" s="263">
        <f>IFERROR(AM367-AM368,0)</f>
        <v>3742.48419477076</v>
      </c>
      <c r="AN366" s="263">
        <f>IFERROR(AN367-AN368,0)</f>
        <v>3826.49291468856</v>
      </c>
      <c r="AO366" s="263">
        <f>IFERROR(AO367-AO368,0)</f>
        <v>4308.51597850188</v>
      </c>
      <c r="AP366" s="263">
        <f>IFERROR(AP367-AP368,0)</f>
        <v>4135.50239832482</v>
      </c>
      <c r="AQ366" s="263">
        <f>IFERROR(AQ367-AQ368,0)</f>
        <v>4135.50239832482</v>
      </c>
      <c r="AR366" s="263">
        <f>IFERROR(AR367-AR368,0)</f>
        <v>4731.87019427036</v>
      </c>
      <c r="AS366" s="263">
        <f>IFERROR(AS367-AS368,0)</f>
        <v>4725.37721932025</v>
      </c>
      <c r="AT366" s="263">
        <f>IFERROR(AT367-AT368,0)</f>
        <v>5113.67620138421</v>
      </c>
      <c r="AU366" s="263">
        <f>IFERROR(AU367-AU368,0)</f>
        <v>4532.77112727195</v>
      </c>
      <c r="AV366" s="263">
        <f>IFERROR(AV367-AV368,0)</f>
        <v>4532.77112727195</v>
      </c>
      <c r="AW366" s="263">
        <f>IFERROR(AW367-AW368,0)</f>
        <v>4940.43422645733</v>
      </c>
      <c r="AX366" s="263">
        <f>IFERROR(AX367-AX368,0)</f>
        <v>4215.87492104382</v>
      </c>
      <c r="AY366" s="263">
        <f>IFERROR(AY367-AY368,0)</f>
        <v>3912.58684970172</v>
      </c>
      <c r="AZ366" s="263">
        <f>IFERROR(AZ367-AZ368,0)</f>
        <v>2034.59278826108</v>
      </c>
      <c r="BA366" s="263">
        <f>IFERROR(BA367-BA368,0)</f>
        <v>2034.59278826108</v>
      </c>
      <c r="BB366" s="263">
        <f>IFERROR(BB367-BB368,0)</f>
        <v>1087.97466913784</v>
      </c>
      <c r="BC366" s="263">
        <f>IFERROR(BC367-BC368,0)</f>
        <v>-1810.35692495065</v>
      </c>
      <c r="BD366" s="263">
        <f>IFERROR(BD367-BD368,0)</f>
        <v>-4785.41663966434</v>
      </c>
      <c r="BE366" s="263">
        <f>IFERROR(BE367-BE368,0)</f>
        <v>-10711.9809765136</v>
      </c>
      <c r="BF366" s="263">
        <f>IFERROR(BF367-BF368,0)</f>
        <v>-10711.9809765136</v>
      </c>
      <c r="BG366" s="63" t="n"/>
      <c r="BH366" s="63" t="n"/>
      <c r="BI366" s="63" t="n"/>
      <c r="BJ366" s="63" t="n"/>
      <c r="BL366" s="63" t="n"/>
      <c r="BM366" s="63" t="n"/>
      <c r="BN366" s="63" t="n"/>
      <c r="BO366" s="63" t="n"/>
      <c r="BQ366" s="63" t="n"/>
      <c r="BR366" s="63" t="n"/>
      <c r="BS366" s="63" t="n"/>
      <c r="BT366" s="63" t="n"/>
      <c r="BV366" s="63" t="n"/>
      <c r="BW366" s="63" t="n"/>
      <c r="BX366" s="63" t="n"/>
      <c r="BY366" s="63" t="n"/>
      <c r="CA366" s="63" t="n"/>
      <c r="CB366" s="63" t="n"/>
      <c r="CC366" s="63" t="n"/>
      <c r="CD366" s="63" t="n"/>
      <c r="CF366" s="63" t="n"/>
      <c r="CG366" s="63" t="n"/>
      <c r="CH366" s="63" t="n"/>
      <c r="CI366" s="63" t="n"/>
      <c r="CK366" s="63" t="n"/>
      <c r="CL366" s="63" t="n"/>
      <c r="CM366" s="63" t="n"/>
      <c r="CN366" s="63" t="n"/>
      <c r="CP366" s="63" t="n"/>
      <c r="CQ366" s="63" t="n"/>
      <c r="CR366" s="63" t="n"/>
      <c r="CS366" s="63" t="n"/>
      <c r="CU366" s="63" t="n"/>
      <c r="CV366" s="63" t="n"/>
      <c r="CW366" s="63" t="n"/>
      <c r="CX366" s="63" t="n"/>
    </row>
    <row r="367" customFormat="1" s="77">
      <c r="A367" s="76" t="n"/>
      <c r="B367" s="76" t="n"/>
      <c r="C367" s="77" t="inlineStr">
        <is>
          <t>CURRENT ASSETS (OPERATING, EX CASH)</t>
        </is>
      </c>
      <c r="D367" s="89">
        <f>IFERROR(D159+D163+D167+D168+D169,"")</f>
        <v>0</v>
      </c>
      <c r="E367" s="89">
        <f>IFERROR(E159+E163+E167+E168+E169,"")</f>
        <v>0</v>
      </c>
      <c r="F367" s="89">
        <f>IFERROR(F159+F163+F167+F168+F169,"")</f>
        <v>0</v>
      </c>
      <c r="G367" s="89">
        <f>IFERROR(G159+G163+G167+G168+G169,"")</f>
        <v>0</v>
      </c>
      <c r="H367" s="263">
        <f>IFERROR((N(H159)+N(H163)+N(H167)+N(H168)+N(H169)),0)</f>
        <v>0</v>
      </c>
      <c r="I367" s="263">
        <f>IFERROR((N(I159)+N(I163)+N(I167)+N(I168)+N(I169)),0)</f>
        <v>1380.731</v>
      </c>
      <c r="J367" s="263">
        <f>IFERROR((N(J159)+N(J163)+N(J167)+N(J168)+N(J169)),0)</f>
        <v>1439.616</v>
      </c>
      <c r="K367" s="263">
        <f>IFERROR((N(K159)+N(K163)+N(K167)+N(K168)+N(K169)),0)</f>
        <v>1521.323</v>
      </c>
      <c r="L367" s="263">
        <f>IFERROR((N(L159)+N(L163)+N(L167)+N(L168)+N(L169)),0)</f>
        <v>1844.82</v>
      </c>
      <c r="M367" s="263">
        <f>IFERROR((N(M159)+N(M163)+N(M167)+N(M168)+N(M169)),0)</f>
        <v>1844.82</v>
      </c>
      <c r="N367" s="263">
        <f>IFERROR((N(N159)+N(N163)+N(N167)+N(N168)+N(N169)),0)</f>
        <v>2168.351</v>
      </c>
      <c r="O367" s="263">
        <f>IFERROR((N(O159)+N(O163)+N(O167)+N(O168)+N(O169)),0)</f>
        <v>2070.209</v>
      </c>
      <c r="P367" s="263">
        <f>IFERROR((N(P159)+N(P163)+N(P167)+N(P168)+N(P169)),0)</f>
        <v>1979.513</v>
      </c>
      <c r="Q367" s="263">
        <f>IFERROR((N(Q159)+N(Q163)+N(Q167)+N(Q168)+N(Q169)),0)</f>
        <v>1840.918</v>
      </c>
      <c r="R367" s="263">
        <f>IFERROR((N(R159)+N(R163)+N(R167)+N(R168)+N(R169)),0)</f>
        <v>1840.918</v>
      </c>
      <c r="S367" s="263">
        <f>IFERROR((N(S159)+N(S163)+N(S167)+N(S168)+N(S169)),0)</f>
        <v>1828.456</v>
      </c>
      <c r="T367" s="263">
        <f>IFERROR((N(T159)+N(T163)+N(T167)+N(T168)+N(T169)),0)</f>
        <v>1816.023</v>
      </c>
      <c r="U367" s="263">
        <f>IFERROR((N(U159)+N(U163)+N(U167)+N(U168)+N(U169)),0)</f>
        <v>1860.649</v>
      </c>
      <c r="V367" s="263">
        <f>IFERROR((N(V159)+N(V163)+N(V167)+N(V168)+N(V169)),0)</f>
        <v>1906.124</v>
      </c>
      <c r="W367" s="263">
        <f>IFERROR((N(W159)+N(W163)+N(W167)+N(W168)+N(W169)),0)</f>
        <v>1906.124</v>
      </c>
      <c r="X367" s="263">
        <f>IFERROR((N(X159)+N(X163)+N(X167)+N(X168)+N(X169)),0)</f>
        <v>2198.482</v>
      </c>
      <c r="Y367" s="263">
        <f>IFERROR((N(Y159)+N(Y163)+N(Y167)+N(Y168)+N(Y169)),0)</f>
        <v>2286.384</v>
      </c>
      <c r="Z367" s="263">
        <f>IFERROR((N(Z159)+N(Z163)+N(Z167)+N(Z168)+N(Z169)),0)</f>
        <v>2393.207</v>
      </c>
      <c r="AA367" s="263">
        <f>IFERROR((N(AA159)+N(AA163)+N(AA167)+N(AA168)+N(AA169)),0)</f>
        <v>2786.28</v>
      </c>
      <c r="AB367" s="263">
        <f>IFERROR((N(AB159)+N(AB163)+N(AB167)+N(AB168)+N(AB169)),0)</f>
        <v>2786.28</v>
      </c>
      <c r="AC367" s="263">
        <f>IFERROR((N(AC159)+N(AC163)+N(AC167)+N(AC168)+N(AC169)),0)</f>
        <v>3191.393</v>
      </c>
      <c r="AD367" s="263">
        <f>IFERROR((N(AD159)+N(AD163)+N(AD167)+N(AD168)+N(AD169)),0)</f>
        <v>3495.893</v>
      </c>
      <c r="AE367" s="263">
        <f>IFERROR((N(AE159)+N(AE163)+N(AE167)+N(AE168)+N(AE169)),0)</f>
        <v>3712.491</v>
      </c>
      <c r="AF367" s="263">
        <f>IFERROR((N(AF159)+N(AF163)+N(AF167)+N(AF168)+N(AF169)),0)</f>
        <v>3721.765</v>
      </c>
      <c r="AG367" s="263">
        <f>IFERROR((N(AG159)+N(AG163)+N(AG167)+N(AG168)+N(AG169)),0)</f>
        <v>3721.765</v>
      </c>
      <c r="AH367" s="263">
        <f>IFERROR((N(AH159)+N(AH163)+N(AH167)+N(AH168)+N(AH169)),0)</f>
        <v>4287.934</v>
      </c>
      <c r="AI367" s="263">
        <f>IFERROR((N(AI159)+N(AI163)+N(AI167)+N(AI168)+N(AI169)),0)</f>
        <v>4492.19</v>
      </c>
      <c r="AJ367" s="263">
        <f>IFERROR((N(AJ159)+N(AJ163)+N(AJ167)+N(AJ168)+N(AJ169)),0)</f>
        <v>4951.35963547558</v>
      </c>
      <c r="AK367" s="263">
        <f>IFERROR((N(AK159)+N(AK163)+N(AK167)+N(AK168)+N(AK169)),0)</f>
        <v>4960.63374877743</v>
      </c>
      <c r="AL367" s="263">
        <f>IFERROR((N(AL159)+N(AL163)+N(AL167)+N(AL168)+N(AL169)),0)</f>
        <v>4960.63374877743</v>
      </c>
      <c r="AM367" s="263">
        <f>IFERROR((N(AM159)+N(AM163)+N(AM167)+N(AM168)+N(AM169)),0)</f>
        <v>5721.08746722434</v>
      </c>
      <c r="AN367" s="263">
        <f>IFERROR((N(AN159)+N(AN163)+N(AN167)+N(AN168)+N(AN169)),0)</f>
        <v>5923.14956317726</v>
      </c>
      <c r="AO367" s="263">
        <f>IFERROR((N(AO159)+N(AO163)+N(AO167)+N(AO168)+N(AO169)),0)</f>
        <v>6597.77639236061</v>
      </c>
      <c r="AP367" s="263">
        <f>IFERROR((N(AP159)+N(AP163)+N(AP167)+N(AP168)+N(AP169)),0)</f>
        <v>6610.29122277469</v>
      </c>
      <c r="AQ367" s="263">
        <f>IFERROR((N(AQ159)+N(AQ163)+N(AQ167)+N(AQ168)+N(AQ169)),0)</f>
        <v>6610.29122277469</v>
      </c>
      <c r="AR367" s="263">
        <f>IFERROR((N(AR159)+N(AR163)+N(AR167)+N(AR168)+N(AR169)),0)</f>
        <v>7528.08699181287</v>
      </c>
      <c r="AS367" s="263">
        <f>IFERROR((N(AS159)+N(AS163)+N(AS167)+N(AS168)+N(AS169)),0)</f>
        <v>7880.7284566223</v>
      </c>
      <c r="AT367" s="263">
        <f>IFERROR((N(AT159)+N(AT163)+N(AT167)+N(AT168)+N(AT169)),0)</f>
        <v>8787.72163839447</v>
      </c>
      <c r="AU367" s="263">
        <f>IFERROR((N(AU159)+N(AU163)+N(AU167)+N(AU168)+N(AU169)),0)</f>
        <v>8804.54703780875</v>
      </c>
      <c r="AV367" s="263">
        <f>IFERROR((N(AV159)+N(AV163)+N(AV167)+N(AV168)+N(AV169)),0)</f>
        <v>8804.54703780875</v>
      </c>
      <c r="AW367" s="263">
        <f>IFERROR((N(AW159)+N(AW163)+N(AW167)+N(AW168)+N(AW169)),0)</f>
        <v>10110.4936468833</v>
      </c>
      <c r="AX367" s="263">
        <f>IFERROR((N(AX159)+N(AX163)+N(AX167)+N(AX168)+N(AX169)),0)</f>
        <v>10474.3647070869</v>
      </c>
      <c r="AY367" s="263">
        <f>IFERROR((N(AY159)+N(AY163)+N(AY167)+N(AY168)+N(AY169)),0)</f>
        <v>11689.2248144173</v>
      </c>
      <c r="AZ367" s="263">
        <f>IFERROR((N(AZ159)+N(AZ163)+N(AZ167)+N(AZ168)+N(AZ169)),0)</f>
        <v>11711.7613747235</v>
      </c>
      <c r="BA367" s="263">
        <f>IFERROR((N(BA159)+N(BA163)+N(BA167)+N(BA168)+N(BA169)),0)</f>
        <v>11711.7613747235</v>
      </c>
      <c r="BB367" s="263">
        <f>IFERROR((N(BB159)+N(BB163)+N(BB167)+N(BB168)+N(BB169)),0)</f>
        <v>13411.6405982449</v>
      </c>
      <c r="BC367" s="263">
        <f>IFERROR((N(BC159)+N(BC163)+N(BC167)+N(BC168)+N(BC169)),0)</f>
        <v>13897.2035564357</v>
      </c>
      <c r="BD367" s="263">
        <f>IFERROR((N(BD159)+N(BD163)+N(BD167)+N(BD168)+N(BD169)),0)</f>
        <v>15518.3576739772</v>
      </c>
      <c r="BE367" s="263">
        <f>IFERROR((N(BE159)+N(BE163)+N(BE167)+N(BE168)+N(BE169)),0)</f>
        <v>15548.4312909436</v>
      </c>
      <c r="BF367" s="263">
        <f>IFERROR((N(BF159)+N(BF163)+N(BF167)+N(BF168)+N(BF169)),0)</f>
        <v>15548.4312909436</v>
      </c>
      <c r="BG367" s="90" t="n"/>
      <c r="BH367" s="90" t="n"/>
      <c r="BI367" s="90" t="n"/>
      <c r="BJ367" s="90" t="n"/>
      <c r="BL367" s="90" t="n"/>
      <c r="BM367" s="90" t="n"/>
      <c r="BN367" s="90" t="n"/>
      <c r="BO367" s="90" t="n"/>
      <c r="BQ367" s="90" t="n"/>
      <c r="BR367" s="90" t="n"/>
      <c r="BS367" s="90" t="n"/>
      <c r="BT367" s="90" t="n"/>
      <c r="BV367" s="90" t="n"/>
      <c r="BW367" s="90" t="n"/>
      <c r="BX367" s="90" t="n"/>
      <c r="BY367" s="90" t="n"/>
      <c r="CA367" s="90" t="n"/>
      <c r="CB367" s="90" t="n"/>
      <c r="CC367" s="90" t="n"/>
      <c r="CD367" s="90" t="n"/>
      <c r="CF367" s="90" t="n"/>
      <c r="CG367" s="90" t="n"/>
      <c r="CH367" s="90" t="n"/>
      <c r="CI367" s="90" t="n"/>
      <c r="CK367" s="90" t="n"/>
      <c r="CL367" s="90" t="n"/>
      <c r="CM367" s="90" t="n"/>
      <c r="CN367" s="90" t="n"/>
      <c r="CP367" s="90" t="n"/>
      <c r="CQ367" s="90" t="n"/>
      <c r="CR367" s="90" t="n"/>
      <c r="CS367" s="90" t="n"/>
      <c r="CU367" s="90" t="n"/>
      <c r="CV367" s="90" t="n"/>
      <c r="CW367" s="90" t="n"/>
      <c r="CX367" s="90" t="n"/>
    </row>
    <row r="368" customFormat="1" s="77">
      <c r="A368" s="76" t="n"/>
      <c r="B368" s="76" t="n"/>
      <c r="C368" s="77" t="inlineStr">
        <is>
          <t>CURRENT LIABILITIES (OPERATING, EX DEBT)</t>
        </is>
      </c>
      <c r="D368" s="89">
        <f>IFERROR(D212+D216+D218+D219,"")</f>
        <v>0</v>
      </c>
      <c r="E368" s="89">
        <f>IFERROR(E212+E216+E218+E219,"")</f>
        <v>0</v>
      </c>
      <c r="F368" s="89">
        <f>IFERROR(F212+F216+F218+F219,"")</f>
        <v>0</v>
      </c>
      <c r="G368" s="89">
        <f>IFERROR(G212+G216+G218+G219,"")</f>
        <v>0</v>
      </c>
      <c r="H368" s="263">
        <f>IFERROR((N(H212)+N(H216)+N(H218)+N(H219)),0)</f>
        <v>0</v>
      </c>
      <c r="I368" s="263">
        <f>IFERROR((N(I212)+N(I216)+N(I218)+N(I219)),0)</f>
        <v>626.467</v>
      </c>
      <c r="J368" s="263">
        <f>IFERROR((N(J212)+N(J216)+N(J218)+N(J219)),0)</f>
        <v>798.39</v>
      </c>
      <c r="K368" s="263">
        <f>IFERROR((N(K212)+N(K216)+N(K218)+N(K219)),0)</f>
        <v>678.497</v>
      </c>
      <c r="L368" s="263">
        <f>IFERROR((N(L212)+N(L216)+N(L218)+N(L219)),0)</f>
        <v>1037.832</v>
      </c>
      <c r="M368" s="263">
        <f>IFERROR((N(M212)+N(M216)+N(M218)+N(M219)),0)</f>
        <v>1037.832</v>
      </c>
      <c r="N368" s="263">
        <f>IFERROR((N(N212)+N(N216)+N(N218)+N(N219)),0)</f>
        <v>1320.485</v>
      </c>
      <c r="O368" s="263">
        <f>IFERROR((N(O212)+N(O216)+N(O218)+N(O219)),0)</f>
        <v>1297.808</v>
      </c>
      <c r="P368" s="263">
        <f>IFERROR((N(P212)+N(P216)+N(P218)+N(P219)),0)</f>
        <v>943.382281391</v>
      </c>
      <c r="Q368" s="263">
        <f>IFERROR((N(Q212)+N(Q216)+N(Q218)+N(Q219)),0)</f>
        <v>932.727</v>
      </c>
      <c r="R368" s="263">
        <f>IFERROR((N(R212)+N(R216)+N(R218)+N(R219)),0)</f>
        <v>932.727</v>
      </c>
      <c r="S368" s="263">
        <f>IFERROR((N(S212)+N(S216)+N(S218)+N(S219)),0)</f>
        <v>639.369</v>
      </c>
      <c r="T368" s="263">
        <f>IFERROR((N(T212)+N(T216)+N(T218)+N(T219)),0)</f>
        <v>634.862</v>
      </c>
      <c r="U368" s="263">
        <f>IFERROR((N(U212)+N(U216)+N(U218)+N(U219)),0)</f>
        <v>842.625</v>
      </c>
      <c r="V368" s="263">
        <f>IFERROR((N(V212)+N(V216)+N(V218)+N(V219)),0)</f>
        <v>951.093</v>
      </c>
      <c r="W368" s="263">
        <f>IFERROR((N(W212)+N(W216)+N(W218)+N(W219)),0)</f>
        <v>951.093</v>
      </c>
      <c r="X368" s="263">
        <f>IFERROR((N(X212)+N(X216)+N(X218)+N(X219)),0)</f>
        <v>1033.328</v>
      </c>
      <c r="Y368" s="263">
        <f>IFERROR((N(Y212)+N(Y216)+N(Y218)+N(Y219)),0)</f>
        <v>1234.481</v>
      </c>
      <c r="Z368" s="263">
        <f>IFERROR((N(Z212)+N(Z216)+N(Z218)+N(Z219)),0)</f>
        <v>1040.905</v>
      </c>
      <c r="AA368" s="263">
        <f>IFERROR((N(AA212)+N(AA216)+N(AA218)+N(AA219)),0)</f>
        <v>1033.766</v>
      </c>
      <c r="AB368" s="263">
        <f>IFERROR((N(AB212)+N(AB216)+N(AB218)+N(AB219)),0)</f>
        <v>1033.766</v>
      </c>
      <c r="AC368" s="263">
        <f>IFERROR((N(AC212)+N(AC216)+N(AC218)+N(AC219)),0)</f>
        <v>1202.348</v>
      </c>
      <c r="AD368" s="263">
        <f>IFERROR((N(AD212)+N(AD216)+N(AD218)+N(AD219)),0)</f>
        <v>1263.664</v>
      </c>
      <c r="AE368" s="263">
        <f>IFERROR((N(AE212)+N(AE216)+N(AE218)+N(AE219)),0)</f>
        <v>1546.153</v>
      </c>
      <c r="AF368" s="263">
        <f>IFERROR((N(AF212)+N(AF216)+N(AF218)+N(AF219)),0)</f>
        <v>1433.695</v>
      </c>
      <c r="AG368" s="263">
        <f>IFERROR((N(AG212)+N(AG216)+N(AG218)+N(AG219)),0)</f>
        <v>1433.695</v>
      </c>
      <c r="AH368" s="263">
        <f>IFERROR((N(AH212)+N(AH216)+N(AH218)+N(AH219)),0)</f>
        <v>1711.98</v>
      </c>
      <c r="AI368" s="263">
        <f>IFERROR((N(AI212)+N(AI216)+N(AI218)+N(AI219)),0)</f>
        <v>1704.09</v>
      </c>
      <c r="AJ368" s="263">
        <f>IFERROR((N(AJ212)+N(AJ216)+N(AJ218)+N(AJ219)),0)</f>
        <v>1784.12239240428</v>
      </c>
      <c r="AK368" s="263">
        <f>IFERROR((N(AK212)+N(AK216)+N(AK218)+N(AK219)),0)</f>
        <v>1840.52801981034</v>
      </c>
      <c r="AL368" s="263">
        <f>IFERROR((N(AL212)+N(AL216)+N(AL218)+N(AL219)),0)</f>
        <v>1840.52801981034</v>
      </c>
      <c r="AM368" s="263">
        <f>IFERROR((N(AM212)+N(AM216)+N(AM218)+N(AM219)),0)</f>
        <v>1978.60327245358</v>
      </c>
      <c r="AN368" s="263">
        <f>IFERROR((N(AN212)+N(AN216)+N(AN218)+N(AN219)),0)</f>
        <v>2096.65664848871</v>
      </c>
      <c r="AO368" s="263">
        <f>IFERROR((N(AO212)+N(AO216)+N(AO218)+N(AO219)),0)</f>
        <v>2289.26041385873</v>
      </c>
      <c r="AP368" s="263">
        <f>IFERROR((N(AP212)+N(AP216)+N(AP218)+N(AP219)),0)</f>
        <v>2474.78882444987</v>
      </c>
      <c r="AQ368" s="263">
        <f>IFERROR((N(AQ212)+N(AQ216)+N(AQ218)+N(AQ219)),0)</f>
        <v>2474.78882444987</v>
      </c>
      <c r="AR368" s="263">
        <f>IFERROR((N(AR212)+N(AR216)+N(AR218)+N(AR219)),0)</f>
        <v>2796.21679754251</v>
      </c>
      <c r="AS368" s="263">
        <f>IFERROR((N(AS212)+N(AS216)+N(AS218)+N(AS219)),0)</f>
        <v>3155.35123730205</v>
      </c>
      <c r="AT368" s="263">
        <f>IFERROR((N(AT212)+N(AT216)+N(AT218)+N(AT219)),0)</f>
        <v>3674.04543701026</v>
      </c>
      <c r="AU368" s="263">
        <f>IFERROR((N(AU212)+N(AU216)+N(AU218)+N(AU219)),0)</f>
        <v>4271.77591053681</v>
      </c>
      <c r="AV368" s="263">
        <f>IFERROR((N(AV212)+N(AV216)+N(AV218)+N(AV219)),0)</f>
        <v>4271.77591053681</v>
      </c>
      <c r="AW368" s="263">
        <f>IFERROR((N(AW212)+N(AW216)+N(AW218)+N(AW219)),0)</f>
        <v>5170.05942042597</v>
      </c>
      <c r="AX368" s="263">
        <f>IFERROR((N(AX212)+N(AX216)+N(AX218)+N(AX219)),0)</f>
        <v>6258.48978604313</v>
      </c>
      <c r="AY368" s="263">
        <f>IFERROR((N(AY212)+N(AY216)+N(AY218)+N(AY219)),0)</f>
        <v>7776.63796471563</v>
      </c>
      <c r="AZ368" s="263">
        <f>IFERROR((N(AZ212)+N(AZ216)+N(AZ218)+N(AZ219)),0)</f>
        <v>9677.16858646246</v>
      </c>
      <c r="BA368" s="263">
        <f>IFERROR((N(BA212)+N(BA216)+N(BA218)+N(BA219)),0)</f>
        <v>9677.16858646246</v>
      </c>
      <c r="BB368" s="263">
        <f>IFERROR((N(BB212)+N(BB216)+N(BB218)+N(BB219)),0)</f>
        <v>12323.665929107</v>
      </c>
      <c r="BC368" s="263">
        <f>IFERROR((N(BC212)+N(BC216)+N(BC218)+N(BC219)),0)</f>
        <v>15707.5604813863</v>
      </c>
      <c r="BD368" s="263">
        <f>IFERROR((N(BD212)+N(BD216)+N(BD218)+N(BD219)),0)</f>
        <v>20303.7743136415</v>
      </c>
      <c r="BE368" s="263">
        <f>IFERROR((N(BE212)+N(BE216)+N(BE218)+N(BE219)),0)</f>
        <v>26260.4122674572</v>
      </c>
      <c r="BF368" s="263">
        <f>IFERROR((N(BF212)+N(BF216)+N(BF218)+N(BF219)),0)</f>
        <v>26260.4122674572</v>
      </c>
      <c r="BG368" s="90" t="n"/>
      <c r="BH368" s="90" t="n"/>
      <c r="BI368" s="90" t="n"/>
      <c r="BJ368" s="90" t="n"/>
      <c r="BL368" s="90" t="n"/>
      <c r="BM368" s="90" t="n"/>
      <c r="BN368" s="90" t="n"/>
      <c r="BO368" s="90" t="n"/>
      <c r="BQ368" s="90" t="n"/>
      <c r="BR368" s="90" t="n"/>
      <c r="BS368" s="90" t="n"/>
      <c r="BT368" s="90" t="n"/>
      <c r="BV368" s="90" t="n"/>
      <c r="BW368" s="90" t="n"/>
      <c r="BX368" s="90" t="n"/>
      <c r="BY368" s="90" t="n"/>
      <c r="CA368" s="90" t="n"/>
      <c r="CB368" s="90" t="n"/>
      <c r="CC368" s="90" t="n"/>
      <c r="CD368" s="90" t="n"/>
      <c r="CF368" s="90" t="n"/>
      <c r="CG368" s="90" t="n"/>
      <c r="CH368" s="90" t="n"/>
      <c r="CI368" s="90" t="n"/>
      <c r="CK368" s="90" t="n"/>
      <c r="CL368" s="90" t="n"/>
      <c r="CM368" s="90" t="n"/>
      <c r="CN368" s="90" t="n"/>
      <c r="CP368" s="90" t="n"/>
      <c r="CQ368" s="90" t="n"/>
      <c r="CR368" s="90" t="n"/>
      <c r="CS368" s="90" t="n"/>
      <c r="CU368" s="90" t="n"/>
      <c r="CV368" s="90" t="n"/>
      <c r="CW368" s="90" t="n"/>
      <c r="CX368" s="90" t="n"/>
    </row>
    <row r="369" customFormat="1" s="77">
      <c r="A369" s="76" t="n"/>
      <c r="B369" s="76" t="n"/>
      <c r="C369" s="77" t="inlineStr">
        <is>
          <t>FIXED ASSETS</t>
        </is>
      </c>
      <c r="D369" s="89">
        <f>IFERROR(D180+D190+D193+D194+D203-D254,"")</f>
        <v>0</v>
      </c>
      <c r="E369" s="89">
        <f>IFERROR(E180+E190+E193+E194+E203-E254,"")</f>
        <v>0</v>
      </c>
      <c r="F369" s="89">
        <f>IFERROR(F180+F190+F193+F194+F203-F254,"")</f>
        <v>0</v>
      </c>
      <c r="G369" s="89">
        <f>IFERROR(G180+G190+G193+G194+G203-G254,"")</f>
        <v>0</v>
      </c>
      <c r="H369" s="263">
        <f>IFERROR((N(H180)+N(H190)+N(H193)+N(H194)+N(H203))-N(H254),0)</f>
        <v>0</v>
      </c>
      <c r="I369" s="263">
        <f>IFERROR((N(I180)+N(I190)+N(I193)+N(I194)+N(I203))-N(I254),0)</f>
        <v>-217.395</v>
      </c>
      <c r="J369" s="263">
        <f>IFERROR((N(J180)+N(J190)+N(J193)+N(J194)+N(J203))-N(J254),0)</f>
        <v>-171.43</v>
      </c>
      <c r="K369" s="263">
        <f>IFERROR((N(K180)+N(K190)+N(K193)+N(K194)+N(K203))-N(K254),0)</f>
        <v>-246.755</v>
      </c>
      <c r="L369" s="263">
        <f>IFERROR((N(L180)+N(L190)+N(L193)+N(L194)+N(L203))-N(L254),0)</f>
        <v>-268.999</v>
      </c>
      <c r="M369" s="263">
        <f>IFERROR((N(M180)+N(M190)+N(M193)+N(M194)+N(M203))-N(M254),0)</f>
        <v>-268.999</v>
      </c>
      <c r="N369" s="263">
        <f>IFERROR((N(N180)+N(N190)+N(N193)+N(N194)+N(N203))-N(N254),0)</f>
        <v>-260.084</v>
      </c>
      <c r="O369" s="263">
        <f>IFERROR((N(O180)+N(O190)+N(O193)+N(O194)+N(O203))-N(O254),0)</f>
        <v>-247.946</v>
      </c>
      <c r="P369" s="263">
        <f>IFERROR((N(P180)+N(P190)+N(P193)+N(P194)+N(P203))-N(P254),0)</f>
        <v>-332.831718609</v>
      </c>
      <c r="Q369" s="263">
        <f>IFERROR((N(Q180)+N(Q190)+N(Q193)+N(Q194)+N(Q203))-N(Q254),0)</f>
        <v>-327.102</v>
      </c>
      <c r="R369" s="263">
        <f>IFERROR((N(R180)+N(R190)+N(R193)+N(R194)+N(R203))-N(R254),0)</f>
        <v>-327.102</v>
      </c>
      <c r="S369" s="263">
        <f>IFERROR((N(S180)+N(S190)+N(S193)+N(S194)+N(S203))-N(S254),0)</f>
        <v>-457.585</v>
      </c>
      <c r="T369" s="263">
        <f>IFERROR((N(T180)+N(T190)+N(T193)+N(T194)+N(T203))-N(T254),0)</f>
        <v>-393.78</v>
      </c>
      <c r="U369" s="263">
        <f>IFERROR((N(U180)+N(U190)+N(U193)+N(U194)+N(U203))-N(U254),0)</f>
        <v>-398.967</v>
      </c>
      <c r="V369" s="263">
        <f>IFERROR((N(V180)+N(V190)+N(V193)+N(V194)+N(V203))-N(V254),0)</f>
        <v>-322.17</v>
      </c>
      <c r="W369" s="263">
        <f>IFERROR((N(W180)+N(W190)+N(W193)+N(W194)+N(W203))-N(W254),0)</f>
        <v>-322.17</v>
      </c>
      <c r="X369" s="263">
        <f>IFERROR((N(X180)+N(X190)+N(X193)+N(X194)+N(X203))-N(X254),0)</f>
        <v>-395.542</v>
      </c>
      <c r="Y369" s="263">
        <f>IFERROR((N(Y180)+N(Y190)+N(Y193)+N(Y194)+N(Y203))-N(Y254),0)</f>
        <v>-459.76</v>
      </c>
      <c r="Z369" s="263">
        <f>IFERROR((N(Z180)+N(Z190)+N(Z193)+N(Z194)+N(Z203))-N(Z254),0)</f>
        <v>-421.842</v>
      </c>
      <c r="AA369" s="263">
        <f>IFERROR((N(AA180)+N(AA190)+N(AA193)+N(AA194)+N(AA203))-N(AA254),0)</f>
        <v>-857.066</v>
      </c>
      <c r="AB369" s="263">
        <f>IFERROR((N(AB180)+N(AB190)+N(AB193)+N(AB194)+N(AB203))-N(AB254),0)</f>
        <v>-857.066</v>
      </c>
      <c r="AC369" s="263">
        <f>IFERROR((N(AC180)+N(AC190)+N(AC193)+N(AC194)+N(AC203))-N(AC254),0)</f>
        <v>-852.811</v>
      </c>
      <c r="AD369" s="263">
        <f>IFERROR((N(AD180)+N(AD190)+N(AD193)+N(AD194)+N(AD203))-N(AD254),0)</f>
        <v>-840.278</v>
      </c>
      <c r="AE369" s="263">
        <f>IFERROR((N(AE180)+N(AE190)+N(AE193)+N(AE194)+N(AE203))-N(AE254),0)</f>
        <v>-934.025</v>
      </c>
      <c r="AF369" s="263">
        <f>IFERROR((N(AF180)+N(AF190)+N(AF193)+N(AF194)+N(AF203))-N(AF254),0)</f>
        <v>-902.066</v>
      </c>
      <c r="AG369" s="263">
        <f>IFERROR((N(AG180)+N(AG190)+N(AG193)+N(AG194)+N(AG203))-N(AG254),0)</f>
        <v>-902.066</v>
      </c>
      <c r="AH369" s="263">
        <f>IFERROR((N(AH180)+N(AH190)+N(AH193)+N(AH194)+N(AH203))-N(AH254),0)</f>
        <v>-1039.086</v>
      </c>
      <c r="AI369" s="263">
        <f>IFERROR((N(AI180)+N(AI190)+N(AI193)+N(AI194)+N(AI203))-N(AI254),0)</f>
        <v>-964.459</v>
      </c>
      <c r="AJ369" s="263">
        <f>IFERROR((N(AJ180)+N(AJ190)+N(AJ193)+N(AJ194)+N(AJ203))-N(AJ254),0)</f>
        <v>-962.508198784151</v>
      </c>
      <c r="AK369" s="263">
        <f>IFERROR((N(AK180)+N(AK190)+N(AK193)+N(AK194)+N(AK203))-N(AK254),0)</f>
        <v>-960.553557717392</v>
      </c>
      <c r="AL369" s="263">
        <f>IFERROR((N(AL180)+N(AL190)+N(AL193)+N(AL194)+N(AL203))-N(AL254),0)</f>
        <v>-960.553557717392</v>
      </c>
      <c r="AM369" s="263">
        <f>IFERROR((N(AM180)+N(AM190)+N(AM193)+N(AM194)+N(AM203))-N(AM254),0)</f>
        <v>-958.333395572408</v>
      </c>
      <c r="AN369" s="263">
        <f>IFERROR((N(AN180)+N(AN190)+N(AN193)+N(AN194)+N(AN203))-N(AN254),0)</f>
        <v>-956.005812600039</v>
      </c>
      <c r="AO369" s="263">
        <f>IFERROR((N(AO180)+N(AO190)+N(AO193)+N(AO194)+N(AO203))-N(AO254),0)</f>
        <v>-953.373329515856</v>
      </c>
      <c r="AP369" s="263">
        <f>IFERROR((N(AP180)+N(AP190)+N(AP193)+N(AP194)+N(AP203))-N(AP254),0)</f>
        <v>-950.735664795284</v>
      </c>
      <c r="AQ369" s="263">
        <f>IFERROR((N(AQ180)+N(AQ190)+N(AQ193)+N(AQ194)+N(AQ203))-N(AQ254),0)</f>
        <v>-950.735664795284</v>
      </c>
      <c r="AR369" s="263">
        <f>IFERROR((N(AR180)+N(AR190)+N(AR193)+N(AR194)+N(AR203))-N(AR254),0)</f>
        <v>-947.750796953064</v>
      </c>
      <c r="AS369" s="263">
        <f>IFERROR((N(AS180)+N(AS190)+N(AS193)+N(AS194)+N(AS203))-N(AS254),0)</f>
        <v>-944.621508590039</v>
      </c>
      <c r="AT369" s="263">
        <f>IFERROR((N(AT180)+N(AT190)+N(AT193)+N(AT194)+N(AT203))-N(AT254),0)</f>
        <v>-941.082301275419</v>
      </c>
      <c r="AU369" s="263">
        <f>IFERROR((N(AU180)+N(AU190)+N(AU193)+N(AU194)+N(AU203))-N(AU254),0)</f>
        <v>-937.536127577798</v>
      </c>
      <c r="AV369" s="263">
        <f>IFERROR((N(AV180)+N(AV190)+N(AV193)+N(AV194)+N(AV203))-N(AV254),0)</f>
        <v>-937.536127577798</v>
      </c>
      <c r="AW369" s="263">
        <f>IFERROR((N(AW180)+N(AW190)+N(AW193)+N(AW194)+N(AW203))-N(AW254),0)</f>
        <v>-933.538085541713</v>
      </c>
      <c r="AX369" s="263">
        <f>IFERROR((N(AX180)+N(AX190)+N(AX193)+N(AX194)+N(AX203))-N(AX254),0)</f>
        <v>-929.346601335466</v>
      </c>
      <c r="AY369" s="263">
        <f>IFERROR((N(AY180)+N(AY190)+N(AY193)+N(AY194)+N(AY203))-N(AY254),0)</f>
        <v>-924.606056572271</v>
      </c>
      <c r="AZ369" s="263">
        <f>IFERROR((N(AZ180)+N(AZ190)+N(AZ193)+N(AZ194)+N(AZ203))-N(AZ254),0)</f>
        <v>-919.856180778843</v>
      </c>
      <c r="BA369" s="263">
        <f>IFERROR((N(BA180)+N(BA190)+N(BA193)+N(BA194)+N(BA203))-N(BA254),0)</f>
        <v>-919.856180778843</v>
      </c>
      <c r="BB369" s="263">
        <f>IFERROR((N(BB180)+N(BB190)+N(BB193)+N(BB194)+N(BB203))-N(BB254),0)</f>
        <v>-914.521046083256</v>
      </c>
      <c r="BC369" s="263">
        <f>IFERROR((N(BC180)+N(BC190)+N(BC193)+N(BC194)+N(BC203))-N(BC254),0)</f>
        <v>-908.927775023841</v>
      </c>
      <c r="BD369" s="263">
        <f>IFERROR((N(BD180)+N(BD190)+N(BD193)+N(BD194)+N(BD203))-N(BD254),0)</f>
        <v>-902.601817314084</v>
      </c>
      <c r="BE369" s="263">
        <f>IFERROR((N(BE180)+N(BE190)+N(BE193)+N(BE194)+N(BE203))-N(BE254),0)</f>
        <v>-896.263407933561</v>
      </c>
      <c r="BF369" s="263">
        <f>IFERROR((N(BF180)+N(BF190)+N(BF193)+N(BF194)+N(BF203))-N(BF254),0)</f>
        <v>-896.263407933561</v>
      </c>
      <c r="BG369" s="90" t="n"/>
      <c r="BH369" s="90" t="n"/>
      <c r="BI369" s="90" t="n"/>
      <c r="BJ369" s="90" t="n"/>
      <c r="BL369" s="90" t="n"/>
      <c r="BM369" s="90" t="n"/>
      <c r="BN369" s="90" t="n"/>
      <c r="BO369" s="90" t="n"/>
      <c r="BQ369" s="90" t="n"/>
      <c r="BR369" s="90" t="n"/>
      <c r="BS369" s="90" t="n"/>
      <c r="BT369" s="90" t="n"/>
      <c r="BV369" s="90" t="n"/>
      <c r="BW369" s="90" t="n"/>
      <c r="BX369" s="90" t="n"/>
      <c r="BY369" s="90" t="n"/>
      <c r="CA369" s="90" t="n"/>
      <c r="CB369" s="90" t="n"/>
      <c r="CC369" s="90" t="n"/>
      <c r="CD369" s="90" t="n"/>
      <c r="CF369" s="90" t="n"/>
      <c r="CG369" s="90" t="n"/>
      <c r="CH369" s="90" t="n"/>
      <c r="CI369" s="90" t="n"/>
      <c r="CK369" s="90" t="n"/>
      <c r="CL369" s="90" t="n"/>
      <c r="CM369" s="90" t="n"/>
      <c r="CN369" s="90" t="n"/>
      <c r="CP369" s="90" t="n"/>
      <c r="CQ369" s="90" t="n"/>
      <c r="CR369" s="90" t="n"/>
      <c r="CS369" s="90" t="n"/>
      <c r="CU369" s="90" t="n"/>
      <c r="CV369" s="90" t="n"/>
      <c r="CW369" s="90" t="n"/>
      <c r="CX369" s="90" t="n"/>
    </row>
    <row r="370" customFormat="1" s="77">
      <c r="A370" s="76" t="n"/>
      <c r="B370" s="76" t="n"/>
    </row>
    <row r="371" customFormat="1" s="77">
      <c r="A371" s="76" t="n"/>
      <c r="B371" s="76" t="n"/>
    </row>
    <row r="372" customFormat="1" s="77">
      <c r="A372" s="76" t="n"/>
      <c r="B372" s="76" t="n"/>
    </row>
    <row r="373" customFormat="1" s="77">
      <c r="A373" s="76" t="n"/>
      <c r="B373" s="76" t="n"/>
    </row>
    <row r="374" customFormat="1" s="77">
      <c r="A374" s="76" t="n"/>
      <c r="B374" s="76" t="n"/>
    </row>
    <row r="375" customFormat="1" s="77">
      <c r="A375" s="76" t="n"/>
      <c r="B375" s="76" t="n"/>
    </row>
    <row r="376" customFormat="1" s="77">
      <c r="A376" s="76" t="n"/>
      <c r="B376" s="76" t="n"/>
    </row>
    <row r="377" customFormat="1" s="77">
      <c r="A377" s="76" t="n"/>
      <c r="B377" s="76" t="n"/>
      <c r="C377" s="74" t="inlineStr">
        <is>
          <t>DUPONT ANALYSIS</t>
        </is>
      </c>
    </row>
    <row r="378" customFormat="1" s="77">
      <c r="A378" s="76" t="n"/>
      <c r="B378" s="76" t="n"/>
      <c r="C378" s="77" t="inlineStr">
        <is>
          <t>NET PROFIT MARGIN (LTM)</t>
        </is>
      </c>
      <c r="D378" s="84" t="str">
        <f>IFERROR(D151/D15,"")</f>
        <v/>
      </c>
      <c r="E378" s="84" t="str">
        <f>IFERROR(E151/E15,"")</f>
        <v/>
      </c>
      <c r="F378" s="84" t="str">
        <f>IFERROR(F151/F15,"")</f>
        <v/>
      </c>
      <c r="G378" s="84" t="str">
        <f>IFERROR(G151/G15,"")</f>
        <v/>
      </c>
      <c r="H378" s="258" t="str">
        <f>IFERROR(IF(AND(COUNT(H151)=1,(H15)&lt;&gt;0),(H151)/(H15),""),"")</f>
        <v/>
      </c>
      <c r="I378" s="257" t="str">
        <f>""</f>
        <v/>
      </c>
      <c r="J378" s="257" t="str">
        <f>""</f>
        <v/>
      </c>
      <c r="K378" s="257" t="str">
        <f>""</f>
        <v/>
      </c>
      <c r="L378" s="257">
        <f>IFERROR(IF(AND(COUNT(I151,J151,K151,L151)=4,(I15+J15+K15+L15)&lt;&gt;0),(I151+J151+K151+L151)/(I15+J15+K15+L15),""),"")</f>
        <v>0.172436792762168</v>
      </c>
      <c r="M378" s="258">
        <f>IFERROR(IF(AND(COUNT(I151,J151,K151,L151)=4,(I15+J15+K15+L15)&lt;&gt;0),(I151+J151+K151+L151)/(I15+J15+K15+L15),""),"")</f>
        <v>0.172436792762168</v>
      </c>
      <c r="N378" s="257">
        <f>IFERROR(IF(AND(COUNT(J151,K151,L151,N151)=4,(J15+K15+L15+N15)&lt;&gt;0),(J151+K151+L151+N151)/(J15+K15+L15+N15),""),"")</f>
        <v>0.168792724364143</v>
      </c>
      <c r="O378" s="257">
        <f>IFERROR(IF(AND(COUNT(K151,L151,N151,O151)=4,(K15+L15+N15+O15)&lt;&gt;0),(K151+L151+N151+O151)/(K15+L15+N15+O15),""),"")</f>
        <v>0.15986254177559</v>
      </c>
      <c r="P378" s="257">
        <f>IFERROR(IF(AND(COUNT(L151,N151,O151,P151)=4,(L15+N15+O15+P15)&lt;&gt;0),(L151+N151+O151+P151)/(L15+N15+O15+P15),""),"")</f>
        <v>0.157677975350074</v>
      </c>
      <c r="Q378" s="257">
        <f>IFERROR(IF(AND(COUNT(N151,O151,P151,Q151)=4,(N15+O15+P15+Q15)&lt;&gt;0),(N151+O151+P151+Q151)/(N15+O15+P15+Q15),""),"")</f>
        <v>0.146141796327816</v>
      </c>
      <c r="R378" s="258">
        <f>IFERROR(IF(AND(COUNT(N151,O151,P151,Q151)=4,(N15+O15+P15+Q15)&lt;&gt;0),(N151+O151+P151+Q151)/(N15+O15+P15+Q15),""),"")</f>
        <v>0.146141796327816</v>
      </c>
      <c r="S378" s="257">
        <f>IFERROR(IF(AND(COUNT(O151,P151,Q151,S151)=4,(O15+P15+Q15+S15)&lt;&gt;0),(O151+P151+Q151+S151)/(O15+P15+Q15+S15),""),"")</f>
        <v>0.14962559400152</v>
      </c>
      <c r="T378" s="257">
        <f>IFERROR(IF(AND(COUNT(P151,Q151,S151,T151)=4,(P15+Q15+S15+T15)&lt;&gt;0),(P151+Q151+S151+T151)/(P15+Q15+S15+T15),""),"")</f>
        <v>0.156088589036694</v>
      </c>
      <c r="U378" s="257">
        <f>IFERROR(IF(AND(COUNT(Q151,S151,T151,U151)=4,(Q15+S15+T15+U15)&lt;&gt;0),(Q151+S151+T151+U151)/(Q15+S15+T15+U15),""),"")</f>
        <v>0.155637889097548</v>
      </c>
      <c r="V378" s="257">
        <f>IFERROR(IF(AND(COUNT(S151,T151,U151,V151)=4,(S15+T15+U15+V15)&lt;&gt;0),(S151+T151+U151+V151)/(S15+T15+U15+V15),""),"")</f>
        <v>0.166921791216878</v>
      </c>
      <c r="W378" s="258">
        <f>IFERROR(IF(AND(COUNT(S151,T151,U151,V151)=4,(S15+T15+U15+V15)&lt;&gt;0),(S151+T151+U151+V151)/(S15+T15+U15+V15),""),"")</f>
        <v>0.166921791216878</v>
      </c>
      <c r="X378" s="257">
        <f>IFERROR(IF(AND(COUNT(T151,U151,V151,X151)=4,(T15+U15+V15+X15)&lt;&gt;0),(T151+U151+V151+X151)/(T15+U15+V15+X15),""),"")</f>
        <v>0.169774768122974</v>
      </c>
      <c r="Y378" s="257">
        <f>IFERROR(IF(AND(COUNT(U151,V151,X151,Y151)=4,(U15+V15+X15+Y15)&lt;&gt;0),(U151+V151+X151+Y151)/(U15+V15+X15+Y15),""),"")</f>
        <v>0.171239203136157</v>
      </c>
      <c r="Z378" s="257">
        <f>IFERROR(IF(AND(COUNT(V151,X151,Y151,Z151)=4,(V15+X15+Y15+Z15)&lt;&gt;0),(V151+X151+Y151+Z151)/(V15+X15+Y15+Z15),""),"")</f>
        <v>0.174019058770948</v>
      </c>
      <c r="AA378" s="257">
        <f>IFERROR(IF(AND(COUNT(X151,Y151,Z151,AA151)=4,(X15+Y15+Z15+AA15)&lt;&gt;0),(X151+Y151+Z151+AA151)/(X15+Y15+Z15+AA15),""),"")</f>
        <v>0.165509667700717</v>
      </c>
      <c r="AB378" s="258">
        <f>IFERROR(IF(AND(COUNT(X151,Y151,Z151,AA151)=4,(X15+Y15+Z15+AA15)&lt;&gt;0),(X151+Y151+Z151+AA151)/(X15+Y15+Z15+AA15),""),"")</f>
        <v>0.165509667700717</v>
      </c>
      <c r="AC378" s="257">
        <f>IFERROR(IF(AND(COUNT(Y151,Z151,AA151,AC151)=4,(Y15+Z15+AA15+AC15)&lt;&gt;0),(Y151+Z151+AA151+AC151)/(Y15+Z15+AA15+AC15),""),"")</f>
        <v>0.167725314321672</v>
      </c>
      <c r="AD378" s="257">
        <f>IFERROR(IF(AND(COUNT(Z151,AA151,AC151,AD151)=4,(Z15+AA15+AC15+AD15)&lt;&gt;0),(Z151+AA151+AC151+AD151)/(Z15+AA15+AC15+AD15),""),"")</f>
        <v>0.169020875712831</v>
      </c>
      <c r="AE378" s="257">
        <f>IFERROR(IF(AND(COUNT(AA151,AC151,AD151,AE151)=4,(AA15+AC15+AD15+AE15)&lt;&gt;0),(AA151+AC151+AD151+AE151)/(AA15+AC15+AD15+AE15),""),"")</f>
        <v>0.17373849213908</v>
      </c>
      <c r="AF378" s="257">
        <f>IFERROR(IF(AND(COUNT(AB151,AD151,AE151,AF151)=4,(AB15+AD15+AE15+AF15)&lt;&gt;0),(AB151+AD151+AE151+AF151)/(AB15+AD15+AE15+AF15),""),"")</f>
        <v>0.174103767181903</v>
      </c>
      <c r="AG378" s="258">
        <f>IFERROR(IF(AND(COUNT(AC151,AD151,AE151,AF151)=4,(AC15+AD15+AE15+AF15)&lt;&gt;0),(AC151+AD151+AE151+AF151)/(AC15+AD15+AE15+AF15),""),"")</f>
        <v>0.180674075931062</v>
      </c>
      <c r="AH378" s="257">
        <f>IFERROR(IF(AND(COUNT(AD151,AF151,AG151,AH151)=4,(AD15+AF15+AG15+AH15)&lt;&gt;0),(AD151+AF151+AG151+AH151)/(AD15+AF15+AG15+AH15),""),"")</f>
        <v>0.182568466952722</v>
      </c>
      <c r="AI378" s="257">
        <f>IFERROR(IF(AND(COUNT(AE151,AG151,AH151,AI151)=4,(AE15+AG15+AH15+AI15)&lt;&gt;0),(AE151+AG151+AH151+AI151)/(AE15+AG15+AH15+AI15),""),"")</f>
        <v>0.178279980983278</v>
      </c>
      <c r="AJ378" s="257">
        <f>IFERROR(IF(AND(COUNT(AF151,AH151,AI151,AJ151)=4,(AF15+AH15+AI15+AJ15)&lt;&gt;0),(AF151+AH151+AI151+AJ151)/(AF15+AH15+AI15+AJ15),""),"")</f>
        <v>0.194660532357338</v>
      </c>
      <c r="AK378" s="257">
        <f>IFERROR(IF(AND(COUNT(AH151,AI151,AJ151,AK151)=4,(AH15+AI15+AJ15+AK15)&lt;&gt;0),(AH151+AI151+AJ151+AK151)/(AH15+AI15+AJ15+AK15),""),"")</f>
        <v>0.206215427060773</v>
      </c>
      <c r="AL378" s="258">
        <f>IFERROR(IF(AND(COUNT(AH151,AI151,AJ151,AK151)=4,(AH15+AI15+AJ15+AK15)&lt;&gt;0),(AH151+AI151+AJ151+AK151)/(AH15+AI15+AJ15+AK15),""),"")</f>
        <v>0.206215427060773</v>
      </c>
      <c r="AM378" s="257">
        <f>IFERROR(IF(AND(COUNT(AI151,AJ151,AK151,AM151)=4,(AI15+AJ15+AK15+AM15)&lt;&gt;0),(AI151+AJ151+AK151+AM151)/(AI15+AJ15+AK15+AM15),""),"")</f>
        <v>0.218039155633869</v>
      </c>
      <c r="AN378" s="257">
        <f>IFERROR(IF(AND(COUNT(AJ151,AK151,AM151,AN151)=4,(AJ15+AK15+AM15+AN15)&lt;&gt;0),(AJ151+AK151+AM151+AN151)/(AJ15+AK15+AM15+AN15),""),"")</f>
        <v>0.234389225784504</v>
      </c>
      <c r="AO378" s="257">
        <f>IFERROR(IF(AND(COUNT(AK151,AM151,AN151,AO151)=4,(AK15+AM15+AN15+AO15)&lt;&gt;0),(AK151+AM151+AN151+AO151)/(AK15+AM15+AN15+AO15),""),"")</f>
        <v>0.234389225784504</v>
      </c>
      <c r="AP378" s="257">
        <f>IFERROR(IF(AND(COUNT(AM151,AN151,AO151,AP151)=4,(AM15+AN15+AO15+AP15)&lt;&gt;0),(AM151+AN151+AO151+AP151)/(AM15+AN15+AO15+AP15),""),"")</f>
        <v>0.234389225784504</v>
      </c>
      <c r="AQ378" s="258">
        <f>IFERROR(IF(AND(COUNT(AM151,AN151,AO151,AP151)=4,(AM15+AN15+AO15+AP15)&lt;&gt;0),(AM151+AN151+AO151+AP151)/(AM15+AN15+AO15+AP15),""),"")</f>
        <v>0.234389225784504</v>
      </c>
      <c r="AR378" s="257">
        <f>IFERROR(IF(AND(COUNT(AN151,AO151,AP151,AR151)=4,(AN15+AO15+AP15+AR15)&lt;&gt;0),(AN151+AO151+AP151+AR151)/(AN15+AO15+AP15+AR15),""),"")</f>
        <v>0.234389225784505</v>
      </c>
      <c r="AS378" s="257">
        <f>IFERROR(IF(AND(COUNT(AO151,AP151,AR151,AS151)=4,(AO15+AP15+AR15+AS15)&lt;&gt;0),(AO151+AP151+AR151+AS151)/(AO15+AP15+AR15+AS15),""),"")</f>
        <v>0.234389225784505</v>
      </c>
      <c r="AT378" s="257">
        <f>IFERROR(IF(AND(COUNT(AP151,AR151,AS151,AT151)=4,(AP15+AR15+AS15+AT15)&lt;&gt;0),(AP151+AR151+AS151+AT151)/(AP15+AR15+AS15+AT15),""),"")</f>
        <v>0.234389225784505</v>
      </c>
      <c r="AU378" s="257">
        <f>IFERROR(IF(AND(COUNT(AR151,AS151,AT151,AU151)=4,(AR15+AS15+AT15+AU15)&lt;&gt;0),(AR151+AS151+AT151+AU151)/(AR15+AS15+AT15+AU15),""),"")</f>
        <v>0.234389225784505</v>
      </c>
      <c r="AV378" s="258">
        <f>IFERROR(IF(AND(COUNT(AR151,AS151,AT151,AU151)=4,(AR15+AS15+AT15+AU15)&lt;&gt;0),(AR151+AS151+AT151+AU151)/(AR15+AS15+AT15+AU15),""),"")</f>
        <v>0.234389225784505</v>
      </c>
      <c r="AW378" s="257">
        <f>IFERROR(IF(AND(COUNT(AS151,AT151,AU151,AW151)=4,(AS15+AT15+AU15+AW15)&lt;&gt;0),(AS151+AT151+AU151+AW151)/(AS15+AT15+AU15+AW15),""),"")</f>
        <v>0.234389225784504</v>
      </c>
      <c r="AX378" s="257">
        <f>IFERROR(IF(AND(COUNT(AT151,AU151,AW151,AX151)=4,(AT15+AU15+AW15+AX15)&lt;&gt;0),(AT151+AU151+AW151+AX151)/(AT15+AU15+AW15+AX15),""),"")</f>
        <v>0.234389225784505</v>
      </c>
      <c r="AY378" s="257">
        <f>IFERROR(IF(AND(COUNT(AU151,AW151,AX151,AY151)=4,(AU15+AW15+AX15+AY15)&lt;&gt;0),(AU151+AW151+AX151+AY151)/(AU15+AW15+AX15+AY15),""),"")</f>
        <v>0.234389225784504</v>
      </c>
      <c r="AZ378" s="257">
        <f>IFERROR(IF(AND(COUNT(AW151,AX151,AY151,AZ151)=4,(AW15+AX15+AY15+AZ15)&lt;&gt;0),(AW151+AX151+AY151+AZ151)/(AW15+AX15+AY15+AZ15),""),"")</f>
        <v>0.234389225784505</v>
      </c>
      <c r="BA378" s="258">
        <f>IFERROR(IF(AND(COUNT(AW151,AX151,AY151,AZ151)=4,(AW15+AX15+AY15+AZ15)&lt;&gt;0),(AW151+AX151+AY151+AZ151)/(AW15+AX15+AY15+AZ15),""),"")</f>
        <v>0.234389225784505</v>
      </c>
      <c r="BB378" s="257">
        <f>IFERROR(IF(AND(COUNT(AX151,AY151,AZ151,BB151)=4,(AX15+AY15+AZ15+BB15)&lt;&gt;0),(AX151+AY151+AZ151+BB151)/(AX15+AY15+AZ15+BB15),""),"")</f>
        <v>0.234389225784504</v>
      </c>
      <c r="BC378" s="257">
        <f>IFERROR(IF(AND(COUNT(AY151,AZ151,BB151,BC151)=4,(AY15+AZ15+BB15+BC15)&lt;&gt;0),(AY151+AZ151+BB151+BC151)/(AY15+AZ15+BB15+BC15),""),"")</f>
        <v>0.234389225784505</v>
      </c>
      <c r="BD378" s="257">
        <f>IFERROR(IF(AND(COUNT(AZ151,BB151,BC151,BD151)=4,(AZ15+BB15+BC15+BD15)&lt;&gt;0),(AZ151+BB151+BC151+BD151)/(AZ15+BB15+BC15+BD15),""),"")</f>
        <v>0.234389225784505</v>
      </c>
      <c r="BE378" s="257">
        <f>IFERROR(IF(AND(COUNT(BB151,BC151,BD151,BE151)=4,(BB15+BC15+BD15+BE15)&lt;&gt;0),(BB151+BC151+BD151+BE151)/(BB15+BC15+BD15+BE15),""),"")</f>
        <v>0.234389225784505</v>
      </c>
      <c r="BF378" s="258">
        <f>IFERROR(IF(AND(COUNT(BB151,BC151,BD151,BE151)=4,(BB15+BC15+BD15+BE15)&lt;&gt;0),(BB151+BC151+BD151+BE151)/(BB15+BC15+BD15+BE15),""),"")</f>
        <v>0.234389225784505</v>
      </c>
      <c r="BG378" s="81" t="n"/>
      <c r="BH378" s="81" t="n"/>
      <c r="BI378" s="81" t="n"/>
      <c r="BJ378" s="81" t="n"/>
      <c r="BL378" s="81" t="n"/>
      <c r="BM378" s="81" t="n"/>
      <c r="BN378" s="81" t="n"/>
      <c r="BO378" s="81" t="n"/>
      <c r="BQ378" s="81" t="n"/>
      <c r="BR378" s="81" t="n"/>
      <c r="BS378" s="81" t="n"/>
      <c r="BT378" s="81" t="n"/>
      <c r="BV378" s="81" t="n"/>
      <c r="BW378" s="81" t="n"/>
      <c r="BX378" s="81" t="n"/>
      <c r="BY378" s="81" t="n"/>
      <c r="CA378" s="81" t="n"/>
      <c r="CB378" s="81" t="n"/>
      <c r="CC378" s="81" t="n"/>
      <c r="CD378" s="81" t="n"/>
      <c r="CF378" s="81" t="n"/>
      <c r="CG378" s="81" t="n"/>
      <c r="CH378" s="81" t="n"/>
      <c r="CI378" s="81" t="n"/>
      <c r="CK378" s="81" t="n"/>
      <c r="CL378" s="81" t="n"/>
      <c r="CM378" s="81" t="n"/>
      <c r="CN378" s="81" t="n"/>
      <c r="CP378" s="81" t="n"/>
      <c r="CQ378" s="81" t="n"/>
      <c r="CR378" s="81" t="n"/>
      <c r="CS378" s="81" t="n"/>
      <c r="CU378" s="81" t="n"/>
      <c r="CV378" s="81" t="n"/>
      <c r="CW378" s="81" t="n"/>
      <c r="CX378" s="81" t="n"/>
    </row>
    <row r="379" customFormat="1" s="77">
      <c r="A379" s="76" t="n"/>
      <c r="B379" s="76" t="n"/>
      <c r="C379" s="77" t="inlineStr">
        <is>
          <t>ASSET TURNOVER (LTM REVENUE / ASSETS)</t>
        </is>
      </c>
      <c r="D379" s="84" t="str">
        <f>IFERROR(D15/D211,"")</f>
        <v/>
      </c>
      <c r="E379" s="84" t="str">
        <f>IFERROR(E15/E211,"")</f>
        <v/>
      </c>
      <c r="F379" s="84" t="str">
        <f>IFERROR(F15/F211,"")</f>
        <v/>
      </c>
      <c r="G379" s="84" t="str">
        <f>IFERROR(G15/G211,"")</f>
        <v/>
      </c>
      <c r="H379" s="262" t="str">
        <f>IFERROR(IF(AND(COUNT(H15)=1,N(H211)&lt;&gt;0),(H15)/H211,""),"")</f>
        <v/>
      </c>
      <c r="I379" s="264" t="str">
        <f>""</f>
        <v/>
      </c>
      <c r="J379" s="264" t="str">
        <f>""</f>
        <v/>
      </c>
      <c r="K379" s="264" t="str">
        <f>""</f>
        <v/>
      </c>
      <c r="L379" s="264">
        <f>IFERROR(IF(AND(COUNT(I15,J15,K15,L15)=4,N(L211)&lt;&gt;0),(I15+J15+K15+L15)/L211,""),"")</f>
        <v>0.669109996539542</v>
      </c>
      <c r="M379" s="262">
        <f>IFERROR(IF(AND(COUNT(I15,J15,K15,L15)=4,N(M211)&lt;&gt;0),(I15+J15+K15+L15)/M211,""),"")</f>
        <v>0.669109996539542</v>
      </c>
      <c r="N379" s="264">
        <f>IFERROR(IF(AND(COUNT(J15,K15,L15,N15)=4,N(N211)&lt;&gt;0),(J15+K15+L15+N15)/N211,""),"")</f>
        <v>0.629325442755723</v>
      </c>
      <c r="O379" s="264">
        <f>IFERROR(IF(AND(COUNT(K15,L15,N15,O15)=4,N(O211)&lt;&gt;0),(K15+L15+N15+O15)/O211,""),"")</f>
        <v>0.684743746015175</v>
      </c>
      <c r="P379" s="264">
        <f>IFERROR(IF(AND(COUNT(L15,N15,O15,P15)=4,N(P211)&lt;&gt;0),(L15+N15+O15+P15)/P211,""),"")</f>
        <v>0.77851110992214</v>
      </c>
      <c r="Q379" s="264">
        <f>IFERROR(IF(AND(COUNT(N15,O15,P15,Q15)=4,N(Q211)&lt;&gt;0),(N15+O15+P15+Q15)/Q211,""),"")</f>
        <v>0.806628428573011</v>
      </c>
      <c r="R379" s="262">
        <f>IFERROR(IF(AND(COUNT(N15,O15,P15,Q15)=4,N(R211)&lt;&gt;0),(N15+O15+P15+Q15)/R211,""),"")</f>
        <v>0.806628428573011</v>
      </c>
      <c r="S379" s="264">
        <f>IFERROR(IF(AND(COUNT(O15,P15,Q15,S15)=4,N(S211)&lt;&gt;0),(O15+P15+Q15+S15)/S211,""),"")</f>
        <v>0.87967090930107</v>
      </c>
      <c r="T379" s="264">
        <f>IFERROR(IF(AND(COUNT(P15,Q15,S15,T15)=4,N(T211)&lt;&gt;0),(P15+Q15+S15+T15)/T211,""),"")</f>
        <v>0.891840375090335</v>
      </c>
      <c r="U379" s="264">
        <f>IFERROR(IF(AND(COUNT(Q15,S15,T15,U15)=4,N(U211)&lt;&gt;0),(Q15+S15+T15+U15)/U211,""),"")</f>
        <v>0.842710559091377</v>
      </c>
      <c r="V379" s="264">
        <f>IFERROR(IF(AND(COUNT(S15,T15,U15,V15)=4,N(V211)&lt;&gt;0),(S15+T15+U15+V15)/V211,""),"")</f>
        <v>0.93342513946371</v>
      </c>
      <c r="W379" s="262">
        <f>IFERROR(IF(AND(COUNT(S15,T15,U15,V15)=4,N(W211)&lt;&gt;0),(S15+T15+U15+V15)/W211,""),"")</f>
        <v>0.93342513946371</v>
      </c>
      <c r="X379" s="264">
        <f>IFERROR(IF(AND(COUNT(T15,U15,V15,X15)=4,N(X211)&lt;&gt;0),(T15+U15+V15+X15)/X211,""),"")</f>
        <v>0.916811453967309</v>
      </c>
      <c r="Y379" s="264">
        <f>IFERROR(IF(AND(COUNT(U15,V15,X15,Y15)=4,N(Y211)&lt;&gt;0),(U15+V15+X15+Y15)/Y211,""),"")</f>
        <v>0.853217296307853</v>
      </c>
      <c r="Z379" s="264">
        <f>IFERROR(IF(AND(COUNT(V15,X15,Y15,Z15)=4,N(Z211)&lt;&gt;0),(V15+X15+Y15+Z15)/Z211,""),"")</f>
        <v>0.935724480275906</v>
      </c>
      <c r="AA379" s="264">
        <f>IFERROR(IF(AND(COUNT(X15,Y15,Z15,AA15)=4,N(AA211)&lt;&gt;0),(X15+Y15+Z15+AA15)/AA211,""),"")</f>
        <v>0.90482670572063</v>
      </c>
      <c r="AB379" s="262">
        <f>IFERROR(IF(AND(COUNT(X15,Y15,Z15,AA15)=4,N(AB211)&lt;&gt;0),(X15+Y15+Z15+AA15)/AB211,""),"")</f>
        <v>0.90482670572063</v>
      </c>
      <c r="AC379" s="264">
        <f>IFERROR(IF(AND(COUNT(Y15,Z15,AA15,AC15)=4,N(AC211)&lt;&gt;0),(Y15+Z15+AA15+AC15)/AC211,""),"")</f>
        <v>0.883830893571873</v>
      </c>
      <c r="AD379" s="264">
        <f>IFERROR(IF(AND(COUNT(Z15,AA15,AC15,AD15)=4,N(AD211)&lt;&gt;0),(Z15+AA15+AC15+AD15)/AD211,""),"")</f>
        <v>0.897696434620302</v>
      </c>
      <c r="AE379" s="264">
        <f>IFERROR(IF(AND(COUNT(AA15,AC15,AD15,AE15)=4,N(AE211)&lt;&gt;0),(AA15+AC15+AD15+AE15)/AE211,""),"")</f>
        <v>0.890391099285032</v>
      </c>
      <c r="AF379" s="264">
        <f>IFERROR(IF(AND(COUNT(AB15,AD15,AE15,AF15)=4,N(AF211)&lt;&gt;0),(AB15+AD15+AE15+AF15)/AF211,""),"")</f>
        <v>1.43420295186311</v>
      </c>
      <c r="AG379" s="262">
        <f>IFERROR(IF(AND(COUNT(AC15,AD15,AE15,AF15)=4,N(AG211)&lt;&gt;0),(AC15+AD15+AE15+AF15)/AG211,""),"")</f>
        <v>0.954907465785464</v>
      </c>
      <c r="AH379" s="264">
        <f>IFERROR(IF(AND(COUNT(AD15,AF15,AG15,AH15)=4,N(AH211)&lt;&gt;0),(AD15+AF15+AG15+AH15)/AH211,""),"")</f>
        <v>1.5782954592593</v>
      </c>
      <c r="AI379" s="264">
        <f>IFERROR(IF(AND(COUNT(AE15,AG15,AH15,AI15)=4,N(AI211)&lt;&gt;0),(AE15+AG15+AH15+AI15)/AI211,""),"")</f>
        <v>1.61177040599926</v>
      </c>
      <c r="AJ379" s="264">
        <f>IFERROR(IF(AND(COUNT(AF15,AH15,AI15,AJ15)=4,N(AJ211)&lt;&gt;0),(AF15+AH15+AI15+AJ15)/AJ211,""),"")</f>
        <v>0.97476405717507</v>
      </c>
      <c r="AK379" s="264">
        <f>IFERROR(IF(AND(COUNT(AH15,AI15,AJ15,AK15)=4,N(AK211)&lt;&gt;0),(AH15+AI15+AJ15+AK15)/AK211,""),"")</f>
        <v>0.975229600425358</v>
      </c>
      <c r="AL379" s="262">
        <f>IFERROR(IF(AND(COUNT(AH15,AI15,AJ15,AK15)=4,N(AL211)&lt;&gt;0),(AH15+AI15+AJ15+AK15)/AL211,""),"")</f>
        <v>0.975229600425358</v>
      </c>
      <c r="AM379" s="264">
        <f>IFERROR(IF(AND(COUNT(AI15,AJ15,AK15,AM15)=4,N(AM211)&lt;&gt;0),(AI15+AJ15+AK15+AM15)/AM211,""),"")</f>
        <v>0.966614959660924</v>
      </c>
      <c r="AN379" s="264">
        <f>IFERROR(IF(AND(COUNT(AJ15,AK15,AM15,AN15)=4,N(AN211)&lt;&gt;0),(AJ15+AK15+AM15+AN15)/AN211,""),"")</f>
        <v>0.961944336485373</v>
      </c>
      <c r="AO379" s="264">
        <f>IFERROR(IF(AND(COUNT(AK15,AM15,AN15,AO15)=4,N(AO211)&lt;&gt;0),(AK15+AM15+AN15+AO15)/AO211,""),"")</f>
        <v>0.951436073188636</v>
      </c>
      <c r="AP379" s="264">
        <f>IFERROR(IF(AND(COUNT(AM15,AN15,AO15,AP15)=4,N(AP211)&lt;&gt;0),(AM15+AN15+AO15+AP15)/AP211,""),"")</f>
        <v>0.943242127064462</v>
      </c>
      <c r="AQ379" s="262">
        <f>IFERROR(IF(AND(COUNT(AM15,AN15,AO15,AP15)=4,N(AQ211)&lt;&gt;0),(AM15+AN15+AO15+AP15)/AQ211,""),"")</f>
        <v>0.943242127064462</v>
      </c>
      <c r="AR379" s="264">
        <f>IFERROR(IF(AND(COUNT(AN15,AO15,AP15,AR15)=4,N(AR211)&lt;&gt;0),(AN15+AO15+AP15+AR15)/AR211,""),"")</f>
        <v>0.92535731497925</v>
      </c>
      <c r="AS379" s="264">
        <f>IFERROR(IF(AND(COUNT(AO15,AP15,AR15,AS15)=4,N(AS211)&lt;&gt;0),(AO15+AP15+AR15+AS15)/AS211,""),"")</f>
        <v>0.908120686453197</v>
      </c>
      <c r="AT379" s="264">
        <f>IFERROR(IF(AND(COUNT(AP15,AR15,AS15,AT15)=4,N(AT211)&lt;&gt;0),(AP15+AR15+AS15+AT15)/AT211,""),"")</f>
        <v>0.884573007473235</v>
      </c>
      <c r="AU379" s="264">
        <f>IFERROR(IF(AND(COUNT(AR15,AS15,AT15,AU15)=4,N(AU211)&lt;&gt;0),(AR15+AS15+AT15+AU15)/AU211,""),"")</f>
        <v>0.860695296319733</v>
      </c>
      <c r="AV379" s="262">
        <f>IFERROR(IF(AND(COUNT(AR15,AS15,AT15,AU15)=4,N(AV211)&lt;&gt;0),(AR15+AS15+AT15+AU15)/AV211,""),"")</f>
        <v>0.860695296319733</v>
      </c>
      <c r="AW379" s="264">
        <f>IFERROR(IF(AND(COUNT(AS15,AT15,AU15,AW15)=4,N(AW211)&lt;&gt;0),(AS15+AT15+AU15+AW15)/AW211,""),"")</f>
        <v>0.826825848902484</v>
      </c>
      <c r="AX379" s="264">
        <f>IFERROR(IF(AND(COUNT(AT15,AU15,AW15,AX15)=4,N(AX211)&lt;&gt;0),(AT15+AU15+AW15+AX15)/AX211,""),"")</f>
        <v>0.792167831573645</v>
      </c>
      <c r="AY379" s="264">
        <f>IFERROR(IF(AND(COUNT(AU15,AW15,AX15,AY15)=4,N(AY211)&lt;&gt;0),(AU15+AW15+AX15+AY15)/AY211,""),"")</f>
        <v>0.750884115478124</v>
      </c>
      <c r="AZ379" s="264">
        <f>IFERROR(IF(AND(COUNT(AW15,AX15,AY15,AZ15)=4,N(AZ211)&lt;&gt;0),(AW15+AX15+AY15+AZ15)/AZ211,""),"")</f>
        <v>0.707344266286718</v>
      </c>
      <c r="BA379" s="262">
        <f>IFERROR(IF(AND(COUNT(AW15,AX15,AY15,AZ15)=4,N(BA211)&lt;&gt;0),(AW15+AX15+AY15+AZ15)/BA211,""),"")</f>
        <v>0.707344266286718</v>
      </c>
      <c r="BB379" s="264">
        <f>IFERROR(IF(AND(COUNT(AX15,AY15,AZ15,BB15)=4,N(BB211)&lt;&gt;0),(AX15+AY15+AZ15+BB15)/BB211,""),"")</f>
        <v>0.656995713024667</v>
      </c>
      <c r="BC379" s="264">
        <f>IFERROR(IF(AND(COUNT(AY15,AZ15,BB15,BC15)=4,N(BC211)&lt;&gt;0),(AY15+AZ15+BB15+BC15)/BC211,""),"")</f>
        <v>0.605739408300438</v>
      </c>
      <c r="BD379" s="264">
        <f>IFERROR(IF(AND(COUNT(AZ15,BB15,BC15,BD15)=4,N(BD211)&lt;&gt;0),(AZ15+BB15+BC15+BD15)/BD211,""),"")</f>
        <v>0.551747099506685</v>
      </c>
      <c r="BE379" s="264">
        <f>IFERROR(IF(AND(COUNT(BB15,BC15,BD15,BE15)=4,N(BE211)&lt;&gt;0),(BB15+BC15+BD15+BE15)/BE211,""),"")</f>
        <v>0.497275881592852</v>
      </c>
      <c r="BF379" s="262">
        <f>IFERROR(IF(AND(COUNT(BB15,BC15,BD15,BE15)=4,N(BF211)&lt;&gt;0),(BB15+BC15+BD15+BE15)/BF211,""),"")</f>
        <v>0.497275881592852</v>
      </c>
      <c r="BG379" s="81" t="n"/>
      <c r="BH379" s="81" t="n"/>
      <c r="BI379" s="81" t="n"/>
      <c r="BJ379" s="81" t="n"/>
      <c r="BL379" s="81" t="n"/>
      <c r="BM379" s="81" t="n"/>
      <c r="BN379" s="81" t="n"/>
      <c r="BO379" s="81" t="n"/>
      <c r="BQ379" s="81" t="n"/>
      <c r="BR379" s="81" t="n"/>
      <c r="BS379" s="81" t="n"/>
      <c r="BT379" s="81" t="n"/>
      <c r="BV379" s="81" t="n"/>
      <c r="BW379" s="81" t="n"/>
      <c r="BX379" s="81" t="n"/>
      <c r="BY379" s="81" t="n"/>
      <c r="CA379" s="81" t="n"/>
      <c r="CB379" s="81" t="n"/>
      <c r="CC379" s="81" t="n"/>
      <c r="CD379" s="81" t="n"/>
      <c r="CF379" s="81" t="n"/>
      <c r="CG379" s="81" t="n"/>
      <c r="CH379" s="81" t="n"/>
      <c r="CI379" s="81" t="n"/>
      <c r="CK379" s="81" t="n"/>
      <c r="CL379" s="81" t="n"/>
      <c r="CM379" s="81" t="n"/>
      <c r="CN379" s="81" t="n"/>
      <c r="CP379" s="81" t="n"/>
      <c r="CQ379" s="81" t="n"/>
      <c r="CR379" s="81" t="n"/>
      <c r="CS379" s="81" t="n"/>
      <c r="CU379" s="81" t="n"/>
      <c r="CV379" s="81" t="n"/>
      <c r="CW379" s="81" t="n"/>
      <c r="CX379" s="81" t="n"/>
    </row>
    <row r="380" customFormat="1" s="77">
      <c r="A380" s="76" t="n"/>
      <c r="B380" s="76" t="n"/>
      <c r="C380" s="77" t="inlineStr">
        <is>
          <t>EQUITY MULTIPLIER (ASSETS / EQUITY)</t>
        </is>
      </c>
      <c r="D380" s="84" t="str">
        <f>IFERROR(D211/D285,"")</f>
        <v/>
      </c>
      <c r="E380" s="84" t="str">
        <f>IFERROR(E211/E285,"")</f>
        <v/>
      </c>
      <c r="F380" s="84" t="str">
        <f>IFERROR(F211/F285,"")</f>
        <v/>
      </c>
      <c r="G380" s="84" t="str">
        <f>IFERROR(G211/G285,"")</f>
        <v/>
      </c>
      <c r="H380" s="262" t="str">
        <f>IFERROR(IF(N(H285)&lt;&gt;0,H211/H285,""),"")</f>
        <v/>
      </c>
      <c r="I380" s="264">
        <f>IFERROR(IF(N(I285)&lt;&gt;0,I211/I285,""),"")</f>
        <v>2.76525230101699</v>
      </c>
      <c r="J380" s="264">
        <f>IFERROR(IF(N(J285)&lt;&gt;0,J211/J285,""),"")</f>
        <v>2.93985261467923</v>
      </c>
      <c r="K380" s="264">
        <f>IFERROR(IF(N(K285)&lt;&gt;0,K211/K285,""),"")</f>
        <v>2.87537506999546</v>
      </c>
      <c r="L380" s="264">
        <f>IFERROR(IF(N(L285)&lt;&gt;0,L211/L285,""),"")</f>
        <v>3.5186556652328</v>
      </c>
      <c r="M380" s="262">
        <f>IFERROR(IF(N(M285)&lt;&gt;0,M211/M285,""),"")</f>
        <v>3.5186556652328</v>
      </c>
      <c r="N380" s="264">
        <f>IFERROR(IF(N(N285)&lt;&gt;0,N211/N285,""),"")</f>
        <v>3.703766496411</v>
      </c>
      <c r="O380" s="264">
        <f>IFERROR(IF(N(O285)&lt;&gt;0,O211/O285,""),"")</f>
        <v>3.66423316412265</v>
      </c>
      <c r="P380" s="264">
        <f>IFERROR(IF(N(P285)&lt;&gt;0,P211/P285,""),"")</f>
        <v>3.1924196379135</v>
      </c>
      <c r="Q380" s="264">
        <f>IFERROR(IF(N(Q285)&lt;&gt;0,Q211/Q285,""),"")</f>
        <v>3.18819410582536</v>
      </c>
      <c r="R380" s="262">
        <f>IFERROR(IF(N(R285)&lt;&gt;0,R211/R285,""),"")</f>
        <v>3.18819410582536</v>
      </c>
      <c r="S380" s="264">
        <f>IFERROR(IF(N(S285)&lt;&gt;0,S211/S285,""),"")</f>
        <v>2.81939621699721</v>
      </c>
      <c r="T380" s="264">
        <f>IFERROR(IF(N(T285)&lt;&gt;0,T211/T285,""),"")</f>
        <v>2.57295550877244</v>
      </c>
      <c r="U380" s="264">
        <f>IFERROR(IF(N(U285)&lt;&gt;0,U211/U285,""),"")</f>
        <v>2.98307081097254</v>
      </c>
      <c r="V380" s="264">
        <f>IFERROR(IF(N(V285)&lt;&gt;0,V211/V285,""),"")</f>
        <v>3.10138919537002</v>
      </c>
      <c r="W380" s="262">
        <f>IFERROR(IF(N(W285)&lt;&gt;0,W211/W285,""),"")</f>
        <v>3.10138919537002</v>
      </c>
      <c r="X380" s="264">
        <f>IFERROR(IF(N(X285)&lt;&gt;0,X211/X285,""),"")</f>
        <v>2.94574696014129</v>
      </c>
      <c r="Y380" s="264">
        <f>IFERROR(IF(N(Y285)&lt;&gt;0,Y211/Y285,""),"")</f>
        <v>3.78327112833224</v>
      </c>
      <c r="Z380" s="264">
        <f>IFERROR(IF(N(Z285)&lt;&gt;0,Z211/Z285,""),"")</f>
        <v>3.20864982324133</v>
      </c>
      <c r="AA380" s="264">
        <f>IFERROR(IF(N(AA285)&lt;&gt;0,AA211/AA285,""),"")</f>
        <v>3.31360501672726</v>
      </c>
      <c r="AB380" s="262">
        <f>IFERROR(IF(N(AB285)&lt;&gt;0,AB211/AB285,""),"")</f>
        <v>3.31360501672726</v>
      </c>
      <c r="AC380" s="264">
        <f>IFERROR(IF(N(AC285)&lt;&gt;0,AC211/AC285,""),"")</f>
        <v>3.57769022625312</v>
      </c>
      <c r="AD380" s="264">
        <f>IFERROR(IF(N(AD285)&lt;&gt;0,AD211/AD285,""),"")</f>
        <v>3.28453634113796</v>
      </c>
      <c r="AE380" s="264">
        <f>IFERROR(IF(N(AE285)&lt;&gt;0,AE211/AE285,""),"")</f>
        <v>3.42969218618026</v>
      </c>
      <c r="AF380" s="264">
        <f>IFERROR(IF(N(AF285)&lt;&gt;0,AF211/AF285,""),"")</f>
        <v>3.40205252055589</v>
      </c>
      <c r="AG380" s="262">
        <f>IFERROR(IF(N(AG285)&lt;&gt;0,AG211/AG285,""),"")</f>
        <v>3.40205252055589</v>
      </c>
      <c r="AH380" s="264">
        <f>IFERROR(IF(N(AH285)&lt;&gt;0,AH211/AH285,""),"")</f>
        <v>3.27462221916838</v>
      </c>
      <c r="AI380" s="264">
        <f>IFERROR(IF(N(AI285)&lt;&gt;0,AI211/AI285,""),"")</f>
        <v>3.06441983540939</v>
      </c>
      <c r="AJ380" s="264">
        <f>IFERROR(IF(N(AJ285)&lt;&gt;0,AJ211/AJ285,""),"")</f>
        <v>2.72594754441849</v>
      </c>
      <c r="AK380" s="264">
        <f>IFERROR(IF(N(AK285)&lt;&gt;0,AK211/AK285,""),"")</f>
        <v>2.48201933046427</v>
      </c>
      <c r="AL380" s="262">
        <f>IFERROR(IF(N(AL285)&lt;&gt;0,AL211/AL285,""),"")</f>
        <v>2.48201933046427</v>
      </c>
      <c r="AM380" s="264">
        <f>IFERROR(IF(N(AM285)&lt;&gt;0,AM211/AM285,""),"")</f>
        <v>2.30325636068973</v>
      </c>
      <c r="AN380" s="264">
        <f>IFERROR(IF(N(AN285)&lt;&gt;0,AN211/AN285,""),"")</f>
        <v>2.15821633390662</v>
      </c>
      <c r="AO380" s="264">
        <f>IFERROR(IF(N(AO285)&lt;&gt;0,AO211/AO285,""),"")</f>
        <v>2.04770818393157</v>
      </c>
      <c r="AP380" s="264">
        <f>IFERROR(IF(N(AP285)&lt;&gt;0,AP211/AP285,""),"")</f>
        <v>1.96132225146287</v>
      </c>
      <c r="AQ380" s="262">
        <f>IFERROR(IF(N(AQ285)&lt;&gt;0,AQ211/AQ285,""),"")</f>
        <v>1.96132225146287</v>
      </c>
      <c r="AR380" s="264">
        <f>IFERROR(IF(N(AR285)&lt;&gt;0,AR211/AR285,""),"")</f>
        <v>1.90394868917454</v>
      </c>
      <c r="AS380" s="264">
        <f>IFERROR(IF(N(AS285)&lt;&gt;0,AS211/AS285,""),"")</f>
        <v>1.85994193017926</v>
      </c>
      <c r="AT380" s="264">
        <f>IFERROR(IF(N(AT285)&lt;&gt;0,AT211/AT285,""),"")</f>
        <v>1.83561296865625</v>
      </c>
      <c r="AU380" s="264">
        <f>IFERROR(IF(N(AU285)&lt;&gt;0,AU211/AU285,""),"")</f>
        <v>1.82552999216892</v>
      </c>
      <c r="AV380" s="262">
        <f>IFERROR(IF(N(AV285)&lt;&gt;0,AV211/AV285,""),"")</f>
        <v>1.82552999216892</v>
      </c>
      <c r="AW380" s="264">
        <f>IFERROR(IF(N(AW285)&lt;&gt;0,AW211/AW285,""),"")</f>
        <v>1.84083166378077</v>
      </c>
      <c r="AX380" s="264">
        <f>IFERROR(IF(N(AX285)&lt;&gt;0,AX211/AX285,""),"")</f>
        <v>1.86839110639278</v>
      </c>
      <c r="AY380" s="264">
        <f>IFERROR(IF(N(AY285)&lt;&gt;0,AY211/AY285,""),"")</f>
        <v>1.91947965134202</v>
      </c>
      <c r="AZ380" s="264">
        <f>IFERROR(IF(N(AZ285)&lt;&gt;0,AZ211/AZ285,""),"")</f>
        <v>1.99244794300988</v>
      </c>
      <c r="BA380" s="262">
        <f>IFERROR(IF(N(BA285)&lt;&gt;0,BA211/BA285,""),"")</f>
        <v>1.99244794300988</v>
      </c>
      <c r="BB380" s="264">
        <f>IFERROR(IF(N(BB285)&lt;&gt;0,BB211/BB285,""),"")</f>
        <v>2.09821426965272</v>
      </c>
      <c r="BC380" s="264">
        <f>IFERROR(IF(N(BC285)&lt;&gt;0,BC211/BC285,""),"")</f>
        <v>2.23145087353513</v>
      </c>
      <c r="BD380" s="264">
        <f>IFERROR(IF(N(BD285)&lt;&gt;0,BD211/BD285,""),"")</f>
        <v>2.40406157543847</v>
      </c>
      <c r="BE380" s="264">
        <f>IFERROR(IF(N(BE285)&lt;&gt;0,BE211/BE285,""),"")</f>
        <v>2.62489002854292</v>
      </c>
      <c r="BF380" s="262">
        <f>IFERROR(IF(N(BF285)&lt;&gt;0,BF211/BF285,""),"")</f>
        <v>2.62489002854292</v>
      </c>
      <c r="BG380" s="81" t="n"/>
      <c r="BH380" s="81" t="n"/>
      <c r="BI380" s="81" t="n"/>
      <c r="BJ380" s="81" t="n"/>
      <c r="BL380" s="81" t="n"/>
      <c r="BM380" s="81" t="n"/>
      <c r="BN380" s="81" t="n"/>
      <c r="BO380" s="81" t="n"/>
      <c r="BQ380" s="81" t="n"/>
      <c r="BR380" s="81" t="n"/>
      <c r="BS380" s="81" t="n"/>
      <c r="BT380" s="81" t="n"/>
      <c r="BV380" s="81" t="n"/>
      <c r="BW380" s="81" t="n"/>
      <c r="BX380" s="81" t="n"/>
      <c r="BY380" s="81" t="n"/>
      <c r="CA380" s="81" t="n"/>
      <c r="CB380" s="81" t="n"/>
      <c r="CC380" s="81" t="n"/>
      <c r="CD380" s="81" t="n"/>
      <c r="CF380" s="81" t="n"/>
      <c r="CG380" s="81" t="n"/>
      <c r="CH380" s="81" t="n"/>
      <c r="CI380" s="81" t="n"/>
      <c r="CK380" s="81" t="n"/>
      <c r="CL380" s="81" t="n"/>
      <c r="CM380" s="81" t="n"/>
      <c r="CN380" s="81" t="n"/>
      <c r="CP380" s="81" t="n"/>
      <c r="CQ380" s="81" t="n"/>
      <c r="CR380" s="81" t="n"/>
      <c r="CS380" s="81" t="n"/>
      <c r="CU380" s="81" t="n"/>
      <c r="CV380" s="81" t="n"/>
      <c r="CW380" s="81" t="n"/>
      <c r="CX380" s="81" t="n"/>
    </row>
    <row r="381" customFormat="1" s="77">
      <c r="A381" s="76" t="n"/>
      <c r="B381" s="76" t="n"/>
      <c r="C381" s="77" t="inlineStr">
        <is>
          <t>ROE - DUPONT</t>
        </is>
      </c>
      <c r="D381" s="84">
        <f>IFERROR(PRODUCT(D378:D380),"")</f>
        <v>0</v>
      </c>
      <c r="E381" s="84">
        <f>IFERROR(PRODUCT(E378:E380),"")</f>
        <v>0</v>
      </c>
      <c r="F381" s="84">
        <f>IFERROR(PRODUCT(F378:F380),"")</f>
        <v>0</v>
      </c>
      <c r="G381" s="84">
        <f>IFERROR(PRODUCT(G378:G380),"")</f>
        <v>0</v>
      </c>
      <c r="H381" s="258" t="str">
        <f>IFERROR(IF(COUNT(H378,H379,H380)=3,H378*H379*H380,""),"")</f>
        <v/>
      </c>
      <c r="I381" s="257" t="str">
        <f>IFERROR(IF(COUNT(I378,I379,I380)=3,I378*I379*I380,""),"")</f>
        <v/>
      </c>
      <c r="J381" s="257" t="str">
        <f>IFERROR(IF(COUNT(J378,J379,J380)=3,J378*J379*J380,""),"")</f>
        <v/>
      </c>
      <c r="K381" s="257" t="str">
        <f>IFERROR(IF(COUNT(K378,K379,K380)=3,K378*K379*K380,""),"")</f>
        <v/>
      </c>
      <c r="L381" s="257">
        <f>IFERROR(IF(COUNT(L378,L379,L380)=3,L378*L379*L380,""),"")</f>
        <v>0.405979611719994</v>
      </c>
      <c r="M381" s="258">
        <f>IFERROR(IF(COUNT(M378,M379,M380)=3,M378*M379*M380,""),"")</f>
        <v>0.405979611719994</v>
      </c>
      <c r="N381" s="257">
        <f>IFERROR(IF(COUNT(N378,N379,N380)=3,N378*N379*N380,""),"")</f>
        <v>0.393434655354722</v>
      </c>
      <c r="O381" s="257">
        <f>IFERROR(IF(COUNT(O378,O379,O380)=3,O378*O379*O380,""),"")</f>
        <v>0.40110482785722</v>
      </c>
      <c r="P381" s="257">
        <f>IFERROR(IF(COUNT(P378,P379,P380)=3,P378*P379*P380,""),"")</f>
        <v>0.391882457731165</v>
      </c>
      <c r="Q381" s="257">
        <f>IFERROR(IF(COUNT(Q378,Q379,Q380)=3,Q378*Q379*Q380,""),"")</f>
        <v>0.375831104143786</v>
      </c>
      <c r="R381" s="258">
        <f>IFERROR(IF(COUNT(R378,R379,R380)=3,R378*R379*R380,""),"")</f>
        <v>0.375831104143786</v>
      </c>
      <c r="S381" s="257">
        <f>IFERROR(IF(COUNT(S378,S379,S380)=3,S378*S379*S380,""),"")</f>
        <v>0.371092545477609</v>
      </c>
      <c r="T381" s="257">
        <f>IFERROR(IF(COUNT(T378,T379,T380)=3,T378*T379*T380,""),"")</f>
        <v>0.358171116756932</v>
      </c>
      <c r="U381" s="257">
        <f>IFERROR(IF(COUNT(U378,U379,U380)=3,U378*U379*U380,""),"")</f>
        <v>0.39125268424222</v>
      </c>
      <c r="V381" s="257">
        <f>IFERROR(IF(COUNT(V378,V379,V380)=3,V378*V379*V380,""),"")</f>
        <v>0.483224337499248</v>
      </c>
      <c r="W381" s="258">
        <f>IFERROR(IF(COUNT(W378,W379,W380)=3,W378*W379*W380,""),"")</f>
        <v>0.483224337499248</v>
      </c>
      <c r="X381" s="257">
        <f>IFERROR(IF(COUNT(X378,X379,X380)=3,X378*X379*X380,""),"")</f>
        <v>0.458509791599407</v>
      </c>
      <c r="Y381" s="257">
        <f>IFERROR(IF(COUNT(Y378,Y379,Y380)=3,Y378*Y379*Y380,""),"")</f>
        <v>0.552751990455569</v>
      </c>
      <c r="Z381" s="257">
        <f>IFERROR(IF(COUNT(Z378,Z379,Z380)=3,Z378*Z379*Z380,""),"")</f>
        <v>0.522476943039925</v>
      </c>
      <c r="AA381" s="257">
        <f>IFERROR(IF(COUNT(AA378,AA379,AA380)=3,AA378*AA379*AA380,""),"")</f>
        <v>0.496237426598215</v>
      </c>
      <c r="AB381" s="258">
        <f>IFERROR(IF(COUNT(AB378,AB379,AB380)=3,AB378*AB379*AB380,""),"")</f>
        <v>0.496237426598215</v>
      </c>
      <c r="AC381" s="257">
        <f>IFERROR(IF(COUNT(AC378,AC379,AC380)=3,AC378*AC379*AC380,""),"")</f>
        <v>0.530359712923545</v>
      </c>
      <c r="AD381" s="257">
        <f>IFERROR(IF(COUNT(AD378,AD379,AD380)=3,AD378*AD379*AD380,""),"")</f>
        <v>0.498360851501685</v>
      </c>
      <c r="AE381" s="257">
        <f>IFERROR(IF(COUNT(AE378,AE379,AE380)=3,AE378*AE379*AE380,""),"")</f>
        <v>0.530556942700604</v>
      </c>
      <c r="AF381" s="257">
        <f>IFERROR(IF(COUNT(AF378,AF379,AF380)=3,AF378*AF379*AF380,""),"")</f>
        <v>0.849492979861064</v>
      </c>
      <c r="AG381" s="258">
        <f>IFERROR(IF(COUNT(AG378,AG379,AG380)=3,AG378*AG379*AG380,""),"")</f>
        <v>0.586945996796734</v>
      </c>
      <c r="AH381" s="257">
        <f>IFERROR(IF(COUNT(AH378,AH379,AH380)=3,AH378*AH379*AH380,""),"")</f>
        <v>0.943572510938334</v>
      </c>
      <c r="AI381" s="257">
        <f>IFERROR(IF(COUNT(AI378,AI379,AI380)=3,AI378*AI379*AI380,""),"")</f>
        <v>0.880549999614416</v>
      </c>
      <c r="AJ381" s="257">
        <f>IFERROR(IF(COUNT(AJ378,AJ379,AJ380)=3,AJ378*AJ379*AJ380,""),"")</f>
        <v>0.517243340790932</v>
      </c>
      <c r="AK381" s="257">
        <f>IFERROR(IF(COUNT(AK378,AK379,AK380)=3,AK378*AK379*AK380,""),"")</f>
        <v>0.499152425840632</v>
      </c>
      <c r="AL381" s="258">
        <f>IFERROR(IF(COUNT(AL378,AL379,AL380)=3,AL378*AL379*AL380,""),"")</f>
        <v>0.499152425840632</v>
      </c>
      <c r="AM381" s="257">
        <f>IFERROR(IF(COUNT(AM378,AM379,AM380)=3,AM378*AM379*AM380,""),"")</f>
        <v>0.485434102428012</v>
      </c>
      <c r="AN381" s="257">
        <f>IFERROR(IF(COUNT(AN378,AN379,AN380)=3,AN378*AN379*AN380,""),"")</f>
        <v>0.486611716574482</v>
      </c>
      <c r="AO381" s="257">
        <f>IFERROR(IF(COUNT(AO378,AO379,AO380)=3,AO378*AO379*AO380,""),"")</f>
        <v>0.456651957815472</v>
      </c>
      <c r="AP381" s="257">
        <f>IFERROR(IF(COUNT(AP378,AP379,AP380)=3,AP378*AP379*AP380,""),"")</f>
        <v>0.433620483116084</v>
      </c>
      <c r="AQ381" s="258">
        <f>IFERROR(IF(COUNT(AQ378,AQ379,AQ380)=3,AQ378*AQ379*AQ380,""),"")</f>
        <v>0.433620483116084</v>
      </c>
      <c r="AR381" s="257">
        <f>IFERROR(IF(COUNT(AR378,AR379,AR380)=3,AR378*AR379*AR380,""),"")</f>
        <v>0.412954636940228</v>
      </c>
      <c r="AS381" s="257">
        <f>IFERROR(IF(COUNT(AS378,AS379,AS380)=3,AS378*AS379*AS380,""),"")</f>
        <v>0.395895530210512</v>
      </c>
      <c r="AT381" s="257">
        <f>IFERROR(IF(COUNT(AT378,AT379,AT380)=3,AT378*AT379*AT380,""),"")</f>
        <v>0.3805856811295</v>
      </c>
      <c r="AU381" s="257">
        <f>IFERROR(IF(COUNT(AU378,AU379,AU380)=3,AU378*AU379*AU380,""),"")</f>
        <v>0.368278229460234</v>
      </c>
      <c r="AV381" s="258">
        <f>IFERROR(IF(COUNT(AV378,AV379,AV380)=3,AV378*AV379*AV380,""),"")</f>
        <v>0.368278229460234</v>
      </c>
      <c r="AW381" s="257">
        <f>IFERROR(IF(COUNT(AW378,AW379,AW380)=3,AW378*AW379*AW380,""),"")</f>
        <v>0.35675146554023</v>
      </c>
      <c r="AX381" s="257">
        <f>IFERROR(IF(COUNT(AX378,AX379,AX380)=3,AX378*AX379*AX380,""),"")</f>
        <v>0.346914648558987</v>
      </c>
      <c r="AY381" s="257">
        <f>IFERROR(IF(COUNT(AY378,AY379,AY380)=3,AY378*AY379*AY380,""),"")</f>
        <v>0.337826780323458</v>
      </c>
      <c r="AZ381" s="257">
        <f>IFERROR(IF(COUNT(AZ378,AZ379,AZ380)=3,AZ378*AZ379*AZ380,""),"")</f>
        <v>0.33033566508396</v>
      </c>
      <c r="BA381" s="258">
        <f>IFERROR(IF(COUNT(BA378,BA379,BA380)=3,BA378*BA379*BA380,""),"")</f>
        <v>0.33033566508396</v>
      </c>
      <c r="BB381" s="257">
        <f>IFERROR(IF(COUNT(BB378,BB379,BB380)=3,BB378*BB379*BB380,""),"")</f>
        <v>0.323109715223991</v>
      </c>
      <c r="BC381" s="257">
        <f>IFERROR(IF(COUNT(BC378,BC379,BC380)=3,BC378*BC379*BC380,""),"")</f>
        <v>0.316818697063632</v>
      </c>
      <c r="BD381" s="257">
        <f>IFERROR(IF(COUNT(BD378,BD379,BD380)=3,BD378*BD379*BD380,""),"")</f>
        <v>0.310901838615117</v>
      </c>
      <c r="BE381" s="257">
        <f>IFERROR(IF(COUNT(BE378,BE379,BE380)=3,BE378*BE379*BE380,""),"")</f>
        <v>0.305946967985495</v>
      </c>
      <c r="BF381" s="258">
        <f>IFERROR(IF(COUNT(BF378,BF379,BF380)=3,BF378*BF379*BF380,""),"")</f>
        <v>0.305946967985495</v>
      </c>
      <c r="BG381" s="81" t="n"/>
      <c r="BH381" s="81" t="n"/>
      <c r="BI381" s="81" t="n"/>
      <c r="BJ381" s="81" t="n"/>
      <c r="BL381" s="81" t="n"/>
      <c r="BM381" s="81" t="n"/>
      <c r="BN381" s="81" t="n"/>
      <c r="BO381" s="81" t="n"/>
      <c r="BQ381" s="81" t="n"/>
      <c r="BR381" s="81" t="n"/>
      <c r="BS381" s="81" t="n"/>
      <c r="BT381" s="81" t="n"/>
      <c r="BV381" s="81" t="n"/>
      <c r="BW381" s="81" t="n"/>
      <c r="BX381" s="81" t="n"/>
      <c r="BY381" s="81" t="n"/>
      <c r="CA381" s="81" t="n"/>
      <c r="CB381" s="81" t="n"/>
      <c r="CC381" s="81" t="n"/>
      <c r="CD381" s="81" t="n"/>
      <c r="CF381" s="81" t="n"/>
      <c r="CG381" s="81" t="n"/>
      <c r="CH381" s="81" t="n"/>
      <c r="CI381" s="81" t="n"/>
      <c r="CK381" s="81" t="n"/>
      <c r="CL381" s="81" t="n"/>
      <c r="CM381" s="81" t="n"/>
      <c r="CN381" s="81" t="n"/>
      <c r="CP381" s="81" t="n"/>
      <c r="CQ381" s="81" t="n"/>
      <c r="CR381" s="81" t="n"/>
      <c r="CS381" s="81" t="n"/>
      <c r="CU381" s="81" t="n"/>
      <c r="CV381" s="81" t="n"/>
      <c r="CW381" s="81" t="n"/>
      <c r="CX381" s="81" t="n"/>
    </row>
    <row r="382" customFormat="1" s="77">
      <c r="A382" s="76" t="n"/>
      <c r="B382" s="76" t="n"/>
      <c r="C382" s="77" t="inlineStr">
        <is>
          <t>ROE (LTM)</t>
        </is>
      </c>
      <c r="D382" s="84" t="str">
        <f>IFERROR(D151/D285,"")</f>
        <v/>
      </c>
      <c r="E382" s="84" t="str">
        <f>IFERROR(E151/E285,"")</f>
        <v/>
      </c>
      <c r="F382" s="84" t="str">
        <f>IFERROR(F151/F285,"")</f>
        <v/>
      </c>
      <c r="G382" s="84" t="str">
        <f>IFERROR(G151/G285,"")</f>
        <v/>
      </c>
      <c r="H382" s="258" t="str">
        <f>IFERROR(IF(AND(COUNT(H151)=1,N(H285)&lt;&gt;0),(H151)/H285,""),"")</f>
        <v/>
      </c>
      <c r="I382" s="257" t="str">
        <f>""</f>
        <v/>
      </c>
      <c r="J382" s="257" t="str">
        <f>""</f>
        <v/>
      </c>
      <c r="K382" s="257" t="str">
        <f>""</f>
        <v/>
      </c>
      <c r="L382" s="257">
        <f>IFERROR(IF(AND(COUNT(I151,J151,K151,L151)=4,N(L285)&lt;&gt;0),(I151+J151+K151+L151)/L285,""),"")</f>
        <v>0.405979611719994</v>
      </c>
      <c r="M382" s="258">
        <f>IFERROR(IF(AND(COUNT(I151,J151,K151,L151)=4,N(M285)&lt;&gt;0),(I151+J151+K151+L151)/M285,""),"")</f>
        <v>0.405979611719994</v>
      </c>
      <c r="N382" s="257">
        <f>IFERROR(IF(AND(COUNT(J151,K151,L151,N151)=4,N(N285)&lt;&gt;0),(J151+K151+L151+N151)/N285,""),"")</f>
        <v>0.393434655354722</v>
      </c>
      <c r="O382" s="257">
        <f>IFERROR(IF(AND(COUNT(K151,L151,N151,O151)=4,N(O285)&lt;&gt;0),(K151+L151+N151+O151)/O285,""),"")</f>
        <v>0.40110482785722</v>
      </c>
      <c r="P382" s="257">
        <f>IFERROR(IF(AND(COUNT(L151,N151,O151,P151)=4,N(P285)&lt;&gt;0),(L151+N151+O151+P151)/P285,""),"")</f>
        <v>0.391882457731165</v>
      </c>
      <c r="Q382" s="257">
        <f>IFERROR(IF(AND(COUNT(N151,O151,P151,Q151)=4,N(Q285)&lt;&gt;0),(N151+O151+P151+Q151)/Q285,""),"")</f>
        <v>0.375831104143786</v>
      </c>
      <c r="R382" s="258">
        <f>IFERROR(IF(AND(COUNT(N151,O151,P151,Q151)=4,N(R285)&lt;&gt;0),(N151+O151+P151+Q151)/R285,""),"")</f>
        <v>0.375831104143786</v>
      </c>
      <c r="S382" s="257">
        <f>IFERROR(IF(AND(COUNT(O151,P151,Q151,S151)=4,N(S285)&lt;&gt;0),(O151+P151+Q151+S151)/S285,""),"")</f>
        <v>0.371092545477609</v>
      </c>
      <c r="T382" s="257">
        <f>IFERROR(IF(AND(COUNT(P151,Q151,S151,T151)=4,N(T285)&lt;&gt;0),(P151+Q151+S151+T151)/T285,""),"")</f>
        <v>0.358171116756932</v>
      </c>
      <c r="U382" s="257">
        <f>IFERROR(IF(AND(COUNT(Q151,S151,T151,U151)=4,N(U285)&lt;&gt;0),(Q151+S151+T151+U151)/U285,""),"")</f>
        <v>0.39125268424222</v>
      </c>
      <c r="V382" s="257">
        <f>IFERROR(IF(AND(COUNT(S151,T151,U151,V151)=4,N(V285)&lt;&gt;0),(S151+T151+U151+V151)/V285,""),"")</f>
        <v>0.483224337499248</v>
      </c>
      <c r="W382" s="258">
        <f>IFERROR(IF(AND(COUNT(S151,T151,U151,V151)=4,N(W285)&lt;&gt;0),(S151+T151+U151+V151)/W285,""),"")</f>
        <v>0.483224337499248</v>
      </c>
      <c r="X382" s="257">
        <f>IFERROR(IF(AND(COUNT(T151,U151,V151,X151)=4,N(X285)&lt;&gt;0),(T151+U151+V151+X151)/X285,""),"")</f>
        <v>0.458509791599407</v>
      </c>
      <c r="Y382" s="257">
        <f>IFERROR(IF(AND(COUNT(U151,V151,X151,Y151)=4,N(Y285)&lt;&gt;0),(U151+V151+X151+Y151)/Y285,""),"")</f>
        <v>0.552751990455569</v>
      </c>
      <c r="Z382" s="257">
        <f>IFERROR(IF(AND(COUNT(V151,X151,Y151,Z151)=4,N(Z285)&lt;&gt;0),(V151+X151+Y151+Z151)/Z285,""),"")</f>
        <v>0.522476943039925</v>
      </c>
      <c r="AA382" s="257">
        <f>IFERROR(IF(AND(COUNT(X151,Y151,Z151,AA151)=4,N(AA285)&lt;&gt;0),(X151+Y151+Z151+AA151)/AA285,""),"")</f>
        <v>0.496237426598215</v>
      </c>
      <c r="AB382" s="258">
        <f>IFERROR(IF(AND(COUNT(X151,Y151,Z151,AA151)=4,N(AB285)&lt;&gt;0),(X151+Y151+Z151+AA151)/AB285,""),"")</f>
        <v>0.496237426598215</v>
      </c>
      <c r="AC382" s="257">
        <f>IFERROR(IF(AND(COUNT(Y151,Z151,AA151,AC151)=4,N(AC285)&lt;&gt;0),(Y151+Z151+AA151+AC151)/AC285,""),"")</f>
        <v>0.530359712923545</v>
      </c>
      <c r="AD382" s="257">
        <f>IFERROR(IF(AND(COUNT(Z151,AA151,AC151,AD151)=4,N(AD285)&lt;&gt;0),(Z151+AA151+AC151+AD151)/AD285,""),"")</f>
        <v>0.498360851501685</v>
      </c>
      <c r="AE382" s="257">
        <f>IFERROR(IF(AND(COUNT(AA151,AC151,AD151,AE151)=4,N(AE285)&lt;&gt;0),(AA151+AC151+AD151+AE151)/AE285,""),"")</f>
        <v>0.530556942700604</v>
      </c>
      <c r="AF382" s="257">
        <f>IFERROR(IF(AND(COUNT(AB151,AD151,AE151,AF151)=4,N(AF285)&lt;&gt;0),(AB151+AD151+AE151+AF151)/AF285,""),"")</f>
        <v>0.849492979861064</v>
      </c>
      <c r="AG382" s="258">
        <f>IFERROR(IF(AND(COUNT(AC151,AD151,AE151,AF151)=4,N(AG285)&lt;&gt;0),(AC151+AD151+AE151+AF151)/AG285,""),"")</f>
        <v>0.586945996796735</v>
      </c>
      <c r="AH382" s="257">
        <f>IFERROR(IF(AND(COUNT(AD151,AF151,AG151,AH151)=4,N(AH285)&lt;&gt;0),(AD151+AF151+AG151+AH151)/AH285,""),"")</f>
        <v>0.943572510938334</v>
      </c>
      <c r="AI382" s="257">
        <f>IFERROR(IF(AND(COUNT(AE151,AG151,AH151,AI151)=4,N(AI285)&lt;&gt;0),(AE151+AG151+AH151+AI151)/AI285,""),"")</f>
        <v>0.880549999614416</v>
      </c>
      <c r="AJ382" s="257">
        <f>IFERROR(IF(AND(COUNT(AF151,AH151,AI151,AJ151)=4,N(AJ285)&lt;&gt;0),(AF151+AH151+AI151+AJ151)/AJ285,""),"")</f>
        <v>0.517243340790932</v>
      </c>
      <c r="AK382" s="257">
        <f>IFERROR(IF(AND(COUNT(AH151,AI151,AJ151,AK151)=4,N(AK285)&lt;&gt;0),(AH151+AI151+AJ151+AK151)/AK285,""),"")</f>
        <v>0.499152425840632</v>
      </c>
      <c r="AL382" s="258">
        <f>IFERROR(IF(AND(COUNT(AH151,AI151,AJ151,AK151)=4,N(AL285)&lt;&gt;0),(AH151+AI151+AJ151+AK151)/AL285,""),"")</f>
        <v>0.499152425840632</v>
      </c>
      <c r="AM382" s="257">
        <f>IFERROR(IF(AND(COUNT(AI151,AJ151,AK151,AM151)=4,N(AM285)&lt;&gt;0),(AI151+AJ151+AK151+AM151)/AM285,""),"")</f>
        <v>0.485434102428012</v>
      </c>
      <c r="AN382" s="257">
        <f>IFERROR(IF(AND(COUNT(AJ151,AK151,AM151,AN151)=4,N(AN285)&lt;&gt;0),(AJ151+AK151+AM151+AN151)/AN285,""),"")</f>
        <v>0.486611716574482</v>
      </c>
      <c r="AO382" s="257">
        <f>IFERROR(IF(AND(COUNT(AK151,AM151,AN151,AO151)=4,N(AO285)&lt;&gt;0),(AK151+AM151+AN151+AO151)/AO285,""),"")</f>
        <v>0.456651957815472</v>
      </c>
      <c r="AP382" s="257">
        <f>IFERROR(IF(AND(COUNT(AM151,AN151,AO151,AP151)=4,N(AP285)&lt;&gt;0),(AM151+AN151+AO151+AP151)/AP285,""),"")</f>
        <v>0.433620483116084</v>
      </c>
      <c r="AQ382" s="258">
        <f>IFERROR(IF(AND(COUNT(AM151,AN151,AO151,AP151)=4,N(AQ285)&lt;&gt;0),(AM151+AN151+AO151+AP151)/AQ285,""),"")</f>
        <v>0.433620483116084</v>
      </c>
      <c r="AR382" s="257">
        <f>IFERROR(IF(AND(COUNT(AN151,AO151,AP151,AR151)=4,N(AR285)&lt;&gt;0),(AN151+AO151+AP151+AR151)/AR285,""),"")</f>
        <v>0.412954636940228</v>
      </c>
      <c r="AS382" s="257">
        <f>IFERROR(IF(AND(COUNT(AO151,AP151,AR151,AS151)=4,N(AS285)&lt;&gt;0),(AO151+AP151+AR151+AS151)/AS285,""),"")</f>
        <v>0.395895530210512</v>
      </c>
      <c r="AT382" s="257">
        <f>IFERROR(IF(AND(COUNT(AP151,AR151,AS151,AT151)=4,N(AT285)&lt;&gt;0),(AP151+AR151+AS151+AT151)/AT285,""),"")</f>
        <v>0.3805856811295</v>
      </c>
      <c r="AU382" s="257">
        <f>IFERROR(IF(AND(COUNT(AR151,AS151,AT151,AU151)=4,N(AU285)&lt;&gt;0),(AR151+AS151+AT151+AU151)/AU285,""),"")</f>
        <v>0.368278229460234</v>
      </c>
      <c r="AV382" s="258">
        <f>IFERROR(IF(AND(COUNT(AR151,AS151,AT151,AU151)=4,N(AV285)&lt;&gt;0),(AR151+AS151+AT151+AU151)/AV285,""),"")</f>
        <v>0.368278229460234</v>
      </c>
      <c r="AW382" s="257">
        <f>IFERROR(IF(AND(COUNT(AS151,AT151,AU151,AW151)=4,N(AW285)&lt;&gt;0),(AS151+AT151+AU151+AW151)/AW285,""),"")</f>
        <v>0.35675146554023</v>
      </c>
      <c r="AX382" s="257">
        <f>IFERROR(IF(AND(COUNT(AT151,AU151,AW151,AX151)=4,N(AX285)&lt;&gt;0),(AT151+AU151+AW151+AX151)/AX285,""),"")</f>
        <v>0.346914648558987</v>
      </c>
      <c r="AY382" s="257">
        <f>IFERROR(IF(AND(COUNT(AU151,AW151,AX151,AY151)=4,N(AY285)&lt;&gt;0),(AU151+AW151+AX151+AY151)/AY285,""),"")</f>
        <v>0.337826780323458</v>
      </c>
      <c r="AZ382" s="257">
        <f>IFERROR(IF(AND(COUNT(AW151,AX151,AY151,AZ151)=4,N(AZ285)&lt;&gt;0),(AW151+AX151+AY151+AZ151)/AZ285,""),"")</f>
        <v>0.33033566508396</v>
      </c>
      <c r="BA382" s="258">
        <f>IFERROR(IF(AND(COUNT(AW151,AX151,AY151,AZ151)=4,N(BA285)&lt;&gt;0),(AW151+AX151+AY151+AZ151)/BA285,""),"")</f>
        <v>0.33033566508396</v>
      </c>
      <c r="BB382" s="257">
        <f>IFERROR(IF(AND(COUNT(AX151,AY151,AZ151,BB151)=4,N(BB285)&lt;&gt;0),(AX151+AY151+AZ151+BB151)/BB285,""),"")</f>
        <v>0.323109715223991</v>
      </c>
      <c r="BC382" s="257">
        <f>IFERROR(IF(AND(COUNT(AY151,AZ151,BB151,BC151)=4,N(BC285)&lt;&gt;0),(AY151+AZ151+BB151+BC151)/BC285,""),"")</f>
        <v>0.316818697063632</v>
      </c>
      <c r="BD382" s="257">
        <f>IFERROR(IF(AND(COUNT(AZ151,BB151,BC151,BD151)=4,N(BD285)&lt;&gt;0),(AZ151+BB151+BC151+BD151)/BD285,""),"")</f>
        <v>0.310901838615117</v>
      </c>
      <c r="BE382" s="257">
        <f>IFERROR(IF(AND(COUNT(BB151,BC151,BD151,BE151)=4,N(BE285)&lt;&gt;0),(BB151+BC151+BD151+BE151)/BE285,""),"")</f>
        <v>0.305946967985495</v>
      </c>
      <c r="BF382" s="258">
        <f>IFERROR(IF(AND(COUNT(BB151,BC151,BD151,BE151)=4,N(BF285)&lt;&gt;0),(BB151+BC151+BD151+BE151)/BF285,""),"")</f>
        <v>0.305946967985495</v>
      </c>
      <c r="BG382" s="81" t="n"/>
      <c r="BH382" s="81" t="n"/>
      <c r="BI382" s="81" t="n"/>
      <c r="BJ382" s="81" t="n"/>
      <c r="BL382" s="81" t="n"/>
      <c r="BM382" s="81" t="n"/>
      <c r="BN382" s="81" t="n"/>
      <c r="BO382" s="81" t="n"/>
      <c r="BQ382" s="81" t="n"/>
      <c r="BR382" s="81" t="n"/>
      <c r="BS382" s="81" t="n"/>
      <c r="BT382" s="81" t="n"/>
      <c r="BV382" s="81" t="n"/>
      <c r="BW382" s="81" t="n"/>
      <c r="BX382" s="81" t="n"/>
      <c r="BY382" s="81" t="n"/>
      <c r="CA382" s="81" t="n"/>
      <c r="CB382" s="81" t="n"/>
      <c r="CC382" s="81" t="n"/>
      <c r="CD382" s="81" t="n"/>
      <c r="CF382" s="81" t="n"/>
      <c r="CG382" s="81" t="n"/>
      <c r="CH382" s="81" t="n"/>
      <c r="CI382" s="81" t="n"/>
      <c r="CK382" s="81" t="n"/>
      <c r="CL382" s="81" t="n"/>
      <c r="CM382" s="81" t="n"/>
      <c r="CN382" s="81" t="n"/>
      <c r="CP382" s="81" t="n"/>
      <c r="CQ382" s="81" t="n"/>
      <c r="CR382" s="81" t="n"/>
      <c r="CS382" s="81" t="n"/>
      <c r="CU382" s="81" t="n"/>
      <c r="CV382" s="81" t="n"/>
      <c r="CW382" s="81" t="n"/>
      <c r="CX382" s="81" t="n"/>
    </row>
    <row r="383"/>
    <row r="384">
      <c r="C384" s="73" t="inlineStr">
        <is>
          <t>Scenario Analysis</t>
        </is>
      </c>
      <c r="D384" s="73" t="n"/>
      <c r="E384" s="73" t="n"/>
      <c r="F384" s="73" t="n"/>
      <c r="G384" s="73" t="n"/>
      <c r="H384" s="73" t="n"/>
      <c r="I384" s="73" t="n"/>
      <c r="J384" s="73" t="n"/>
      <c r="K384" s="73" t="n"/>
      <c r="L384" s="73" t="n"/>
      <c r="M384" s="73" t="n"/>
      <c r="N384" s="73" t="n"/>
      <c r="O384" s="73" t="n"/>
      <c r="P384" s="73" t="n"/>
      <c r="Q384" s="73" t="n"/>
      <c r="R384" s="73" t="n"/>
      <c r="S384" s="73" t="n"/>
      <c r="T384" s="73" t="n"/>
      <c r="U384" s="73" t="n"/>
      <c r="V384" s="73" t="n"/>
      <c r="W384" s="73" t="n"/>
      <c r="X384" s="73" t="n"/>
      <c r="Y384" s="73" t="n"/>
      <c r="Z384" s="73" t="n"/>
      <c r="AA384" s="73" t="n"/>
      <c r="AB384" s="73" t="n"/>
      <c r="AC384" s="73" t="n"/>
      <c r="AD384" s="73" t="n"/>
      <c r="AE384" s="73" t="n"/>
      <c r="AF384" s="73" t="n"/>
      <c r="AG384" s="73" t="n"/>
      <c r="AH384" s="73" t="n"/>
      <c r="AI384" s="73" t="n"/>
      <c r="AJ384" s="73" t="n"/>
      <c r="AK384" s="73" t="n"/>
      <c r="AL384" s="73" t="n"/>
      <c r="AM384" s="73" t="n"/>
      <c r="AN384" s="73" t="n"/>
      <c r="AO384" s="73" t="n"/>
      <c r="AP384" s="73" t="n"/>
      <c r="AQ384" s="73" t="n"/>
      <c r="AR384" s="73" t="n"/>
      <c r="AS384" s="73" t="n"/>
      <c r="AT384" s="73" t="n"/>
      <c r="AU384" s="73" t="n"/>
      <c r="AV384" s="73" t="n"/>
      <c r="AW384" s="73" t="n"/>
      <c r="AX384" s="73" t="n"/>
      <c r="AY384" s="73" t="n"/>
      <c r="AZ384" s="73" t="n"/>
      <c r="BA384" s="73" t="n"/>
      <c r="BB384" s="73" t="n"/>
      <c r="BC384" s="73" t="n"/>
      <c r="BD384" s="73" t="n"/>
      <c r="BE384" s="73" t="n"/>
      <c r="BF384" s="73" t="n"/>
      <c r="BG384" s="73" t="n"/>
      <c r="BH384" s="73" t="n"/>
      <c r="BI384" s="73" t="n"/>
      <c r="BJ384" s="73" t="n"/>
      <c r="BK384" s="73" t="n"/>
      <c r="BL384" s="73" t="n"/>
      <c r="BM384" s="73" t="n"/>
      <c r="BN384" s="73" t="n"/>
      <c r="BO384" s="73" t="n"/>
      <c r="BP384" s="73" t="n"/>
      <c r="BQ384" s="73" t="n"/>
      <c r="BR384" s="73" t="n"/>
      <c r="BS384" s="73" t="n"/>
      <c r="BT384" s="73" t="n"/>
      <c r="BU384" s="73" t="n"/>
      <c r="BV384" s="73" t="n"/>
      <c r="BW384" s="73" t="n"/>
      <c r="BX384" s="73" t="n"/>
      <c r="BY384" s="73" t="n"/>
      <c r="BZ384" s="73" t="n"/>
      <c r="CA384" s="73" t="n"/>
      <c r="CB384" s="73" t="n"/>
      <c r="CC384" s="73" t="n"/>
      <c r="CD384" s="73" t="n"/>
      <c r="CE384" s="73" t="n"/>
      <c r="CF384" s="73" t="n"/>
      <c r="CG384" s="73" t="n"/>
      <c r="CH384" s="73" t="n"/>
      <c r="CI384" s="73" t="n"/>
      <c r="CJ384" s="73" t="n"/>
      <c r="CK384" s="73" t="n"/>
      <c r="CL384" s="73" t="n"/>
      <c r="CM384" s="73" t="n"/>
      <c r="CN384" s="73" t="n"/>
      <c r="CO384" s="73" t="n"/>
      <c r="CP384" s="73" t="n"/>
      <c r="CQ384" s="73" t="n"/>
      <c r="CR384" s="73" t="n"/>
      <c r="CS384" s="73" t="n"/>
      <c r="CT384" s="73" t="n"/>
      <c r="CU384" s="73" t="n"/>
      <c r="CV384" s="73" t="n"/>
      <c r="CW384" s="73" t="n"/>
      <c r="CX384" s="73" t="n"/>
      <c r="CY384" s="73" t="n"/>
    </row>
    <row r="385"/>
    <row r="386"/>
    <row r="387">
      <c r="C387" s="4" t="inlineStr">
        <is>
          <t>Bull case</t>
        </is>
      </c>
    </row>
    <row r="388">
      <c r="C388" s="4" t="inlineStr">
        <is>
          <t>Base case</t>
        </is>
      </c>
    </row>
    <row r="389">
      <c r="C389" s="4" t="inlineStr">
        <is>
          <t>Bear case</t>
        </is>
      </c>
    </row>
    <row r="390"/>
    <row r="391"/>
    <row r="392">
      <c r="C392" s="4" t="inlineStr">
        <is>
          <t>Bull case</t>
        </is>
      </c>
    </row>
    <row r="393">
      <c r="C393" s="4" t="inlineStr">
        <is>
          <t>Base case</t>
        </is>
      </c>
    </row>
    <row r="394">
      <c r="C394" s="4" t="inlineStr">
        <is>
          <t>Bear case</t>
        </is>
      </c>
    </row>
    <row r="395"/>
    <row r="396"/>
    <row r="397">
      <c r="C397" s="4" t="inlineStr">
        <is>
          <t>% Gross Margin</t>
        </is>
      </c>
    </row>
    <row r="398">
      <c r="C398" s="4" t="inlineStr">
        <is>
          <t>Bull case</t>
        </is>
      </c>
    </row>
    <row r="399">
      <c r="C399" s="4" t="inlineStr">
        <is>
          <t>Base case</t>
        </is>
      </c>
    </row>
    <row r="400">
      <c r="C400" s="4" t="inlineStr">
        <is>
          <t>Bear case</t>
        </is>
      </c>
    </row>
    <row r="401"/>
    <row r="402"/>
    <row r="403">
      <c r="C403" s="4" t="inlineStr">
        <is>
          <t>Capital expenditures</t>
        </is>
      </c>
    </row>
    <row r="404">
      <c r="C404" s="4" t="inlineStr">
        <is>
          <t>Bull case</t>
        </is>
      </c>
    </row>
    <row r="405">
      <c r="C405" s="4" t="inlineStr">
        <is>
          <t>Base case</t>
        </is>
      </c>
    </row>
    <row r="406">
      <c r="C406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29:G329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29:L329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29:Q329">
    <cfRule type="cellIs" priority="22" operator="notEqual" dxfId="0">
      <formula>0</formula>
    </cfRule>
  </conditionalFormatting>
  <conditionalFormatting sqref="S329:V329">
    <cfRule type="cellIs" priority="21" operator="notEqual" dxfId="0">
      <formula>0</formula>
    </cfRule>
  </conditionalFormatting>
  <conditionalFormatting sqref="X329:AA329">
    <cfRule type="cellIs" priority="20" operator="notEqual" dxfId="0">
      <formula>0</formula>
    </cfRule>
  </conditionalFormatting>
  <conditionalFormatting sqref="AC329:AF329">
    <cfRule type="cellIs" priority="19" operator="notEqual" dxfId="0">
      <formula>0</formula>
    </cfRule>
  </conditionalFormatting>
  <conditionalFormatting sqref="AH329:AK329">
    <cfRule type="cellIs" priority="15" operator="notEqual" dxfId="0">
      <formula>0</formula>
    </cfRule>
  </conditionalFormatting>
  <conditionalFormatting sqref="AM329:AP329">
    <cfRule type="cellIs" priority="14" operator="notEqual" dxfId="0">
      <formula>0</formula>
    </cfRule>
  </conditionalFormatting>
  <conditionalFormatting sqref="AR329:AU329">
    <cfRule type="cellIs" priority="13" operator="notEqual" dxfId="0">
      <formula>0</formula>
    </cfRule>
  </conditionalFormatting>
  <conditionalFormatting sqref="AW329:AZ329">
    <cfRule type="cellIs" priority="12" operator="notEqual" dxfId="0">
      <formula>0</formula>
    </cfRule>
  </conditionalFormatting>
  <conditionalFormatting sqref="BB329:BE329">
    <cfRule type="cellIs" priority="11" operator="notEqual" dxfId="0">
      <formula>0</formula>
    </cfRule>
  </conditionalFormatting>
  <conditionalFormatting sqref="BG329:BJ329">
    <cfRule type="cellIs" priority="10" operator="notEqual" dxfId="0">
      <formula>0</formula>
    </cfRule>
  </conditionalFormatting>
  <conditionalFormatting sqref="BL329:BO329">
    <cfRule type="cellIs" priority="9" operator="notEqual" dxfId="0">
      <formula>0</formula>
    </cfRule>
  </conditionalFormatting>
  <conditionalFormatting sqref="BQ329:BT329">
    <cfRule type="cellIs" priority="8" operator="notEqual" dxfId="0">
      <formula>0</formula>
    </cfRule>
  </conditionalFormatting>
  <conditionalFormatting sqref="BV329:BY329">
    <cfRule type="cellIs" priority="7" operator="notEqual" dxfId="0">
      <formula>0</formula>
    </cfRule>
  </conditionalFormatting>
  <conditionalFormatting sqref="CA329:CD329">
    <cfRule type="cellIs" priority="6" operator="notEqual" dxfId="0">
      <formula>0</formula>
    </cfRule>
  </conditionalFormatting>
  <conditionalFormatting sqref="CF329:CI329">
    <cfRule type="cellIs" priority="5" operator="notEqual" dxfId="0">
      <formula>0</formula>
    </cfRule>
  </conditionalFormatting>
  <conditionalFormatting sqref="CK329:CN329">
    <cfRule type="cellIs" priority="4" operator="notEqual" dxfId="0">
      <formula>0</formula>
    </cfRule>
  </conditionalFormatting>
  <conditionalFormatting sqref="CP329:CS329">
    <cfRule type="cellIs" priority="3" operator="notEqual" dxfId="0">
      <formula>0</formula>
    </cfRule>
  </conditionalFormatting>
  <conditionalFormatting sqref="CU329:CX329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CURY3) - fonte: Planilha Fundamentos do RI (abas Resultados Operacionais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2886.172</v>
      </c>
      <c r="E18" s="113">
        <f>IFERROR(Model!AB15,"")</f>
        <v>3926.31</v>
      </c>
      <c r="F18" s="113">
        <f>IFERROR(Model!AG15,"")</f>
        <v>5399.424</v>
      </c>
      <c r="G18" s="113">
        <f>IFERROR(Model!AL15,"")</f>
        <v>7131.03294868241</v>
      </c>
      <c r="H18" s="113">
        <f>IFERROR(Model!AQ15,"")</f>
        <v>9622.87877290769</v>
      </c>
      <c r="I18" s="113">
        <f>IFERROR(Model!AV15,"")</f>
        <v>12937.3530053833</v>
      </c>
      <c r="J18" s="113">
        <f>IFERROR(Model!BA15,"")</f>
        <v>17328.7675988718</v>
      </c>
      <c r="K18" s="113">
        <f>IFERROR(Model!BF15,"")</f>
        <v>23124.1463731685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0.360386699060209</v>
      </c>
      <c r="F19" s="117">
        <f>IFERROR(IF(E18=0,"",F18/E18-1),"")</f>
        <v>0.375190445991274</v>
      </c>
      <c r="G19" s="117">
        <f>IFERROR(IF(F18=0,"",G18/F18-1),"")</f>
        <v>0.320702532100167</v>
      </c>
      <c r="H19" s="117">
        <f>IFERROR(IF(G18=0,"",H18/G18-1),"")</f>
        <v>0.349436868705773</v>
      </c>
      <c r="I19" s="117">
        <f>IFERROR(IF(H18=0,"",I18/H18-1),"")</f>
        <v>0.344436868705773</v>
      </c>
      <c r="J19" s="117">
        <f>IFERROR(IF(I18=0,"",J18/I18-1),"")</f>
        <v>0.339436868705773</v>
      </c>
      <c r="K19" s="117">
        <f>IFERROR(IF(J18=0,"",K18/J18-1),"")</f>
        <v>0.334436868705773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IFERROR(Model!W83,"")</f>
        <v>606.165</v>
      </c>
      <c r="E20" s="113">
        <f>IFERROR(Model!AB83,"")</f>
        <v>842.271226435</v>
      </c>
      <c r="F20" s="113">
        <f>IFERROR(Model!AG83,"")</f>
        <v>1295.54849787</v>
      </c>
      <c r="G20" s="113">
        <f>IFERROR(Model!AL83,"")</f>
        <v>1714.64116445414</v>
      </c>
      <c r="H20" s="113">
        <f>IFERROR(Model!AQ83,"")</f>
        <v>2311.44887384554</v>
      </c>
      <c r="I20" s="113">
        <f>IFERROR(Model!AV83,"")</f>
        <v>3107.59708612639</v>
      </c>
      <c r="J20" s="113">
        <f>IFERROR(Model!BA83,"")</f>
        <v>4162.43011024031</v>
      </c>
      <c r="K20" s="113">
        <f>IFERROR(Model!BF83,"")</f>
        <v>5554.50020251571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0.210023865521528</v>
      </c>
      <c r="E21" s="122">
        <f>IFERROR(IF(E18=0,"",E20/E18),"")</f>
        <v>0.214519797579661</v>
      </c>
      <c r="F21" s="122">
        <f>IFERROR(IF(F18=0,"",F20/F18),"")</f>
        <v>0.23994198230589</v>
      </c>
      <c r="G21" s="122">
        <f>IFERROR(IF(G18=0,"",G20/G18),"")</f>
        <v>0.24044779722564</v>
      </c>
      <c r="H21" s="122">
        <f>IFERROR(IF(H18=0,"",H20/H18),"")</f>
        <v>0.240203470125095</v>
      </c>
      <c r="I21" s="122">
        <f>IFERROR(IF(I18=0,"",I20/I18),"")</f>
        <v>0.240203470125095</v>
      </c>
      <c r="J21" s="122">
        <f>IFERROR(IF(J18=0,"",J20/J18),"")</f>
        <v>0.240203470125095</v>
      </c>
      <c r="K21" s="122">
        <f>IFERROR(IF(K18=0,"",K20/K18),"")</f>
        <v>0.240203470125095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IFERROR(Model!W87,"")</f>
        <v>580.293</v>
      </c>
      <c r="E22" s="113">
        <f>IFERROR(Model!AB87,"")</f>
        <v>811.14026339</v>
      </c>
      <c r="F22" s="113">
        <f>IFERROR(Model!AG87,"")</f>
        <v>1260.67049787</v>
      </c>
      <c r="G22" s="113">
        <f>IFERROR(Model!AL87,"")</f>
        <v>1674.67520377319</v>
      </c>
      <c r="H22" s="113">
        <f>IFERROR(Model!AQ87,"")</f>
        <v>2253.46334602976</v>
      </c>
      <c r="I22" s="113">
        <f>IFERROR(Model!AV87,"")</f>
        <v>3029.63920467949</v>
      </c>
      <c r="J22" s="113">
        <f>IFERROR(Model!BA87,"")</f>
        <v>4058.01044962414</v>
      </c>
      <c r="K22" s="113">
        <f>IFERROR(Model!BF87,"")</f>
        <v>5415.15875757174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0.201059742801191</v>
      </c>
      <c r="E23" s="122">
        <f>IFERROR(IF(E18=0,"",E22/E18),"")</f>
        <v>0.20659098833001</v>
      </c>
      <c r="F23" s="122">
        <f>IFERROR(IF(F18=0,"",F22/F18),"")</f>
        <v>0.233482404395358</v>
      </c>
      <c r="G23" s="122">
        <f>IFERROR(IF(G18=0,"",G22/G18),"")</f>
        <v>0.234843285092746</v>
      </c>
      <c r="H23" s="122">
        <f>IFERROR(IF(H18=0,"",H22/H18),"")</f>
        <v>0.234177671693649</v>
      </c>
      <c r="I23" s="122">
        <f>IFERROR(IF(I18=0,"",I22/I18),"")</f>
        <v>0.234177671693649</v>
      </c>
      <c r="J23" s="122">
        <f>IFERROR(IF(J18=0,"",J22/J18),"")</f>
        <v>0.234177671693649</v>
      </c>
      <c r="K23" s="122">
        <f>IFERROR(IF(K18=0,"",K22/K18),"")</f>
        <v>0.234177671693649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IFERROR(Model!W146,"")</f>
        <v>0.127860701787839</v>
      </c>
      <c r="E24" s="125">
        <f>IFERROR(Model!AB146,"")</f>
        <v>0.115099389895048</v>
      </c>
      <c r="F24" s="125">
        <f>IFERROR(Model!AG146,"")</f>
        <v>0.11462693803689</v>
      </c>
      <c r="G24" s="125">
        <f>IFERROR(Model!AL146,"")</f>
        <v>0.115447500412248</v>
      </c>
      <c r="H24" s="125">
        <f>IFERROR(Model!AQ146,"")</f>
        <v>0.115147453024785</v>
      </c>
      <c r="I24" s="125">
        <f>IFERROR(Model!AV146,"")</f>
        <v>0.115147453024785</v>
      </c>
      <c r="J24" s="125">
        <f>IFERROR(Model!BA146,"")</f>
        <v>0.115147453024785</v>
      </c>
      <c r="K24" s="125">
        <f>IFERROR(Model!BF146,"")</f>
        <v>0.115147453024785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506.096329777429</v>
      </c>
      <c r="E25" s="127">
        <f>IFERROR(E22*(1-E24),"")</f>
        <v>717.778513954502</v>
      </c>
      <c r="F25" s="127">
        <f>IFERROR(F22*(1-F24),"")</f>
        <v>1116.16369882572</v>
      </c>
      <c r="G25" s="127">
        <f>IFERROR(G22*(1-G24),"")</f>
        <v>1481.3381374952</v>
      </c>
      <c r="H25" s="127">
        <f>IFERROR(H22*(1-H24),"")</f>
        <v>1993.98278124973</v>
      </c>
      <c r="I25" s="127">
        <f>IFERROR(I22*(1-I24),"")</f>
        <v>2680.78396667661</v>
      </c>
      <c r="J25" s="127">
        <f>IFERROR(J22*(1-J24),"")</f>
        <v>3590.74088200196</v>
      </c>
      <c r="K25" s="127">
        <f>IFERROR(K22*(1-K24),"")</f>
        <v>4791.6170189125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IFERROR(-Model!W84,"")</f>
        <v>25.872</v>
      </c>
      <c r="E26" s="130">
        <f>IFERROR(-Model!AB84,"")</f>
        <v>31.130963045</v>
      </c>
      <c r="F26" s="130">
        <f>IFERROR(-Model!AG84,"")</f>
        <v>34.878</v>
      </c>
      <c r="G26" s="130">
        <f>IFERROR(-Model!AL84,"")</f>
        <v>39.9659606809529</v>
      </c>
      <c r="H26" s="130">
        <f>IFERROR(-Model!AQ84,"")</f>
        <v>57.9855278157821</v>
      </c>
      <c r="I26" s="130">
        <f>IFERROR(-Model!AV84,"")</f>
        <v>77.9578814469015</v>
      </c>
      <c r="J26" s="130">
        <f>IFERROR(-Model!BA84,"")</f>
        <v>104.419660616174</v>
      </c>
      <c r="K26" s="130">
        <f>IFERROR(-Model!BF84,"")</f>
        <v>139.341444943966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IFERROR(Model!W293,"")</f>
        <v>-37.2619999999999</v>
      </c>
      <c r="E27" s="133">
        <f>IFERROR(Model!AB293,"")</f>
        <v>-795.149</v>
      </c>
      <c r="F27" s="133">
        <f>IFERROR(Model!AG293,"")</f>
        <v>-512.242</v>
      </c>
      <c r="G27" s="133">
        <f>IFERROR(Model!AL293,"")</f>
        <v>-817.534728967085</v>
      </c>
      <c r="H27" s="133">
        <f>IFERROR(Model!AQ293,"")</f>
        <v>-1015.39666935773</v>
      </c>
      <c r="I27" s="133">
        <f>IFERROR(Model!AV293,"")</f>
        <v>-397.268728947131</v>
      </c>
      <c r="J27" s="133">
        <f>IFERROR(Model!BA293,"")</f>
        <v>2498.17833901087</v>
      </c>
      <c r="K27" s="133">
        <f>IFERROR(Model!BF293,"")</f>
        <v>12746.5737647747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IFERROR(Model!W294,"")</f>
        <v>88.461</v>
      </c>
      <c r="E28" s="136">
        <f>IFERROR(Model!AB294,"")</f>
        <v>-346.436</v>
      </c>
      <c r="F28" s="136">
        <f>IFERROR(Model!AG294,"")</f>
        <v>-720.706</v>
      </c>
      <c r="G28" s="136">
        <f>IFERROR(Model!AL294,"")</f>
        <v>-812.874052328568</v>
      </c>
      <c r="H28" s="136">
        <f>IFERROR(Model!AQ294,"")</f>
        <v>-1038.11300826341</v>
      </c>
      <c r="I28" s="136">
        <f>IFERROR(Model!AV294,"")</f>
        <v>-1380.82331693075</v>
      </c>
      <c r="J28" s="136">
        <f>IFERROR(Model!BA294,"")</f>
        <v>-1829.48100956268</v>
      </c>
      <c r="K28" s="136">
        <f>IFERROR(Model!BF294,"")</f>
        <v>-2414.37814286988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IFERROR(Model!W295,"")</f>
        <v>-113.459</v>
      </c>
      <c r="E29" s="136">
        <f>IFERROR(Model!AB295,"")</f>
        <v>-475.58</v>
      </c>
      <c r="F29" s="136">
        <f>IFERROR(Model!AG295,"")</f>
        <v>-155.521</v>
      </c>
      <c r="G29" s="136">
        <f>IFERROR(Model!AL295,"")</f>
        <v>-401.43669644886</v>
      </c>
      <c r="H29" s="136">
        <f>IFERROR(Model!AQ295,"")</f>
        <v>-611.544465733851</v>
      </c>
      <c r="I29" s="136">
        <f>IFERROR(Model!AV295,"")</f>
        <v>-813.432498103319</v>
      </c>
      <c r="J29" s="136">
        <f>IFERROR(Model!BA295,"")</f>
        <v>-1077.73332735211</v>
      </c>
      <c r="K29" s="136">
        <f>IFERROR(Model!BF295,"")</f>
        <v>-1422.29177335017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IFERROR(Model!W296,"")</f>
        <v>0</v>
      </c>
      <c r="E30" s="136">
        <f>IFERROR(Model!AB296,"")</f>
        <v>0</v>
      </c>
      <c r="F30" s="136">
        <f>IFERROR(Model!AG296,"")</f>
        <v>0</v>
      </c>
      <c r="G30" s="136">
        <f>IFERROR(Model!AL296,"")</f>
        <v>0</v>
      </c>
      <c r="H30" s="136">
        <f>IFERROR(Model!AQ296,"")</f>
        <v>0</v>
      </c>
      <c r="I30" s="136">
        <f>IFERROR(Model!AV296,"")</f>
        <v>0</v>
      </c>
      <c r="J30" s="136">
        <f>IFERROR(Model!BA296,"")</f>
        <v>0</v>
      </c>
      <c r="K30" s="136">
        <f>IFERROR(Model!BF296,"")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IFERROR(Model!W297,"")</f>
        <v>-6.25</v>
      </c>
      <c r="E31" s="136">
        <f>IFERROR(Model!AB297,"")</f>
        <v>-3.486</v>
      </c>
      <c r="F31" s="136">
        <f>IFERROR(Model!AG297,"")</f>
        <v>5.325</v>
      </c>
      <c r="G31" s="136">
        <f>IFERROR(Model!AL297,"")</f>
        <v>2.556</v>
      </c>
      <c r="H31" s="136">
        <f>IFERROR(Model!AQ297,"")</f>
        <v>0</v>
      </c>
      <c r="I31" s="136">
        <f>IFERROR(Model!AV297,"")</f>
        <v>0</v>
      </c>
      <c r="J31" s="136">
        <f>IFERROR(Model!BA297,"")</f>
        <v>0</v>
      </c>
      <c r="K31" s="136">
        <f>IFERROR(Model!BF297,"")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IFERROR(Model!W298,"")</f>
        <v>-33.958</v>
      </c>
      <c r="E32" s="136">
        <f>IFERROR(Model!AB298,"")</f>
        <v>-54.654</v>
      </c>
      <c r="F32" s="136">
        <f>IFERROR(Model!AG298,"")</f>
        <v>-64.583</v>
      </c>
      <c r="G32" s="136">
        <f>IFERROR(Model!AL298,"")</f>
        <v>-27.114</v>
      </c>
      <c r="H32" s="136">
        <f>IFERROR(Model!AQ298,"")</f>
        <v>0</v>
      </c>
      <c r="I32" s="136">
        <f>IFERROR(Model!AV298,"")</f>
        <v>0</v>
      </c>
      <c r="J32" s="136">
        <f>IFERROR(Model!BA298,"")</f>
        <v>0</v>
      </c>
      <c r="K32" s="136">
        <f>IFERROR(Model!BF298,"")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IFERROR(Model!W299,"")</f>
        <v>57.313</v>
      </c>
      <c r="E33" s="136">
        <f>IFERROR(Model!AB299,"")</f>
        <v>15.413</v>
      </c>
      <c r="F33" s="136">
        <f>IFERROR(Model!AG299,"")</f>
        <v>91.159</v>
      </c>
      <c r="G33" s="136">
        <f>IFERROR(Model!AL299,"")</f>
        <v>112.604605819521</v>
      </c>
      <c r="H33" s="136">
        <f>IFERROR(Model!AQ299,"")</f>
        <v>136.65798230913</v>
      </c>
      <c r="I33" s="136">
        <f>IFERROR(Model!AV299,"")</f>
        <v>181.772626790238</v>
      </c>
      <c r="J33" s="136">
        <f>IFERROR(Model!BA299,"")</f>
        <v>240.834265103697</v>
      </c>
      <c r="K33" s="136">
        <f>IFERROR(Model!BF299,"")</f>
        <v>317.830566527438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IFERROR(Model!W300,"")</f>
        <v>4.247</v>
      </c>
      <c r="E34" s="136">
        <f>IFERROR(Model!AB300,"")</f>
        <v>9.858</v>
      </c>
      <c r="F34" s="136">
        <f>IFERROR(Model!AG300,"")</f>
        <v>11.407</v>
      </c>
      <c r="G34" s="136">
        <f>IFERROR(Model!AL300,"")</f>
        <v>87.4065488465606</v>
      </c>
      <c r="H34" s="136">
        <f>IFERROR(Model!AQ300,"")</f>
        <v>304.33100148323</v>
      </c>
      <c r="I34" s="136">
        <f>IFERROR(Model!AV300,"")</f>
        <v>987.855799743776</v>
      </c>
      <c r="J34" s="136">
        <f>IFERROR(Model!BA300,"")</f>
        <v>3158.61398458966</v>
      </c>
      <c r="K34" s="136">
        <f>IFERROR(Model!BF300,"")</f>
        <v>9947.83236855827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IFERROR(Model!W301,"")</f>
        <v>4.211</v>
      </c>
      <c r="E35" s="136">
        <f>IFERROR(Model!AB301,"")</f>
        <v>8.847</v>
      </c>
      <c r="F35" s="136">
        <f>IFERROR(Model!AG301,"")</f>
        <v>14.205</v>
      </c>
      <c r="G35" s="136">
        <f>IFERROR(Model!AL301,"")</f>
        <v>41.3488651442612</v>
      </c>
      <c r="H35" s="136">
        <f>IFERROR(Model!AQ301,"")</f>
        <v>193.27182084717</v>
      </c>
      <c r="I35" s="136">
        <f>IFERROR(Model!AV301,"")</f>
        <v>627.358659552919</v>
      </c>
      <c r="J35" s="136">
        <f>IFERROR(Model!BA301,"")</f>
        <v>2005.9444262323</v>
      </c>
      <c r="K35" s="136">
        <f>IFERROR(Model!BF301,"")</f>
        <v>6317.58074590904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IFERROR(Model!W302,"")</f>
        <v>-47.405</v>
      </c>
      <c r="E36" s="136">
        <f>IFERROR(Model!AB302,"")</f>
        <v>48.555</v>
      </c>
      <c r="F36" s="136">
        <f>IFERROR(Model!AG302,"")</f>
        <v>283.158</v>
      </c>
      <c r="G36" s="136">
        <f>IFERROR(Model!AL302,"")</f>
        <v>165.473</v>
      </c>
      <c r="H36" s="136">
        <f>IFERROR(Model!AQ302,"")</f>
        <v>0</v>
      </c>
      <c r="I36" s="136">
        <f>IFERROR(Model!AV302,"")</f>
        <v>0</v>
      </c>
      <c r="J36" s="136">
        <f>IFERROR(Model!BA302,"")</f>
        <v>0</v>
      </c>
      <c r="K36" s="136">
        <f>IFERROR(Model!BF302,"")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IFERROR(Model!W303,"")</f>
        <v>9.578</v>
      </c>
      <c r="E37" s="136">
        <f>IFERROR(Model!AB303,"")</f>
        <v>2.334</v>
      </c>
      <c r="F37" s="136">
        <f>IFERROR(Model!AG303,"")</f>
        <v>23.314</v>
      </c>
      <c r="G37" s="136">
        <f>IFERROR(Model!AL303,"")</f>
        <v>14.501</v>
      </c>
      <c r="H37" s="136">
        <f>IFERROR(Model!AQ303,"")</f>
        <v>0</v>
      </c>
      <c r="I37" s="136">
        <f>IFERROR(Model!AV303,"")</f>
        <v>0</v>
      </c>
      <c r="J37" s="136">
        <f>IFERROR(Model!BA303,"")</f>
        <v>0</v>
      </c>
      <c r="K37" s="136">
        <f>IFERROR(Model!BF303,"")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IFERROR((Model!W203-Model!R203)*-1,"")</f>
        <v>-7.319</v>
      </c>
      <c r="E38" s="136">
        <f>IFERROR((Model!AB203-Model!W203)*-1,"")</f>
        <v>65.225</v>
      </c>
      <c r="F38" s="136">
        <f>IFERROR((Model!AG203-Model!AB203)*-1,"")</f>
        <v>-6.235</v>
      </c>
      <c r="G38" s="136">
        <f>IFERROR((Model!AL203-Model!AG203)*-1,"")</f>
        <v>-11.831</v>
      </c>
      <c r="H38" s="136">
        <f>IFERROR((Model!AQ203-Model!AL203)*-1,"")</f>
        <v>0</v>
      </c>
      <c r="I38" s="136">
        <f>IFERROR((Model!AV203-Model!AQ203)*-1,"")</f>
        <v>0</v>
      </c>
      <c r="J38" s="136">
        <f>IFERROR((Model!BA203-Model!AV203)*-1,"")</f>
        <v>0</v>
      </c>
      <c r="K38" s="136">
        <f>IFERROR((Model!BF203-Model!BA203)*-1,"")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IFERROR(Model!W254-Model!R254,"")</f>
        <v>14.052</v>
      </c>
      <c r="E39" s="136">
        <f>IFERROR(Model!AB254-Model!W254,"")</f>
        <v>476.676</v>
      </c>
      <c r="F39" s="136">
        <f>IFERROR(Model!AG254-Model!AB254,"")</f>
        <v>50.837</v>
      </c>
      <c r="G39" s="136">
        <f>IFERROR(Model!AL254-Model!AG254,"")</f>
        <v>84.1630000000001</v>
      </c>
      <c r="H39" s="136">
        <f>IFERROR(Model!AQ254-Model!AL254,"")</f>
        <v>0</v>
      </c>
      <c r="I39" s="136">
        <f>IFERROR(Model!AV254-Model!AQ254,"")</f>
        <v>0</v>
      </c>
      <c r="J39" s="136">
        <f>IFERROR(Model!BA254-Model!AV254,"")</f>
        <v>0</v>
      </c>
      <c r="K39" s="136">
        <f>IFERROR(Model!BF254-Model!BA254,"")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IFERROR(Model!W309,"")</f>
        <v>-37.537</v>
      </c>
      <c r="E40" s="136">
        <f>IFERROR(Model!AB309,"")</f>
        <v>-38.135963045</v>
      </c>
      <c r="F40" s="136">
        <f>IFERROR(Model!AG309,"")</f>
        <v>-34.48</v>
      </c>
      <c r="G40" s="136">
        <f>IFERROR(Model!AL309,"")</f>
        <v>-53.8104029635614</v>
      </c>
      <c r="H40" s="136">
        <f>IFERROR(Model!AQ309,"")</f>
        <v>-67.8034207378892</v>
      </c>
      <c r="I40" s="136">
        <f>IFERROR(Model!AV309,"")</f>
        <v>-91.1574186643878</v>
      </c>
      <c r="J40" s="136">
        <f>IFERROR(Model!BA309,"")</f>
        <v>-122.099607415129</v>
      </c>
      <c r="K40" s="136">
        <f>IFERROR(Model!BF309,"")</f>
        <v>-162.934217789249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-48.9269999999999</v>
      </c>
      <c r="E44" s="133">
        <f>IFERROR(SUM(E27,E40:E42,E26),"")</f>
        <v>-802.154</v>
      </c>
      <c r="F44" s="133">
        <f>IFERROR(SUM(F27,F40:F42,F26),"")</f>
        <v>-511.844</v>
      </c>
      <c r="G44" s="133">
        <f>IFERROR(SUM(G27,G40:G42,G26),"")</f>
        <v>-831.379171249694</v>
      </c>
      <c r="H44" s="133">
        <f>IFERROR(SUM(H27,H40:H42,H26),"")</f>
        <v>-1025.21456227984</v>
      </c>
      <c r="I44" s="133">
        <f>IFERROR(SUM(I27,I40:I42,I26),"")</f>
        <v>-410.468266164617</v>
      </c>
      <c r="J44" s="133">
        <f>IFERROR(SUM(J27,J40:J42,J26),"")</f>
        <v>2480.49839221191</v>
      </c>
      <c r="K44" s="133">
        <f>IFERROR(SUM(K27,K40:K42,K26),"")</f>
        <v>12722.9809919294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IFERROR(Model!W364,"")</f>
        <v>632.861</v>
      </c>
      <c r="E46" s="136">
        <f>IFERROR(Model!AB364,"")</f>
        <v>895.448</v>
      </c>
      <c r="F46" s="136">
        <f>IFERROR(Model!AG364,"")</f>
        <v>1386.004</v>
      </c>
      <c r="G46" s="136">
        <f>IFERROR(Model!AL364,"")</f>
        <v>2159.55217124969</v>
      </c>
      <c r="H46" s="136">
        <f>IFERROR(Model!AQ364,"")</f>
        <v>3184.76673352953</v>
      </c>
      <c r="I46" s="136">
        <f>IFERROR(Model!AV364,"")</f>
        <v>3595.23499969415</v>
      </c>
      <c r="J46" s="136">
        <f>IFERROR(Model!BA364,"")</f>
        <v>1114.73660748224</v>
      </c>
      <c r="K46" s="136">
        <f>IFERROR(Model!BF364,"")</f>
        <v>-11608.2443844472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IFERROR(Model!W365,"")</f>
        <v>632.861</v>
      </c>
      <c r="E47" s="136">
        <f>IFERROR(Model!AB365,"")</f>
        <v>895.448</v>
      </c>
      <c r="F47" s="136">
        <f>IFERROR(Model!AG365,"")</f>
        <v>1386.004</v>
      </c>
      <c r="G47" s="136">
        <f>IFERROR(Model!AL365,"")</f>
        <v>2159.55217124969</v>
      </c>
      <c r="H47" s="136">
        <f>IFERROR(Model!AQ365,"")</f>
        <v>3184.76673352953</v>
      </c>
      <c r="I47" s="136">
        <f>IFERROR(Model!AV365,"")</f>
        <v>3595.23499969415</v>
      </c>
      <c r="J47" s="136">
        <f>IFERROR(Model!BA365,"")</f>
        <v>1114.73660748224</v>
      </c>
      <c r="K47" s="136">
        <f>IFERROR(Model!BF365,"")</f>
        <v>-11608.2443844472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0.219273487512179</v>
      </c>
      <c r="E48" s="122">
        <f>IFERROR(IF(E18=0,"",E46/E18),"")</f>
        <v>0.228063499825536</v>
      </c>
      <c r="F48" s="122">
        <f>IFERROR(IF(F18=0,"",F46/F18),"")</f>
        <v>0.256694788184814</v>
      </c>
      <c r="G48" s="122">
        <f>IFERROR(IF(G18=0,"",G46/G18),"")</f>
        <v>0.302838619144048</v>
      </c>
      <c r="H48" s="122">
        <f>IFERROR(IF(H18=0,"",H46/H18),"")</f>
        <v>0.330957794303295</v>
      </c>
      <c r="I48" s="122">
        <f>IFERROR(IF(I18=0,"",I46/I18),"")</f>
        <v>0.277895717786951</v>
      </c>
      <c r="J48" s="122">
        <f>IFERROR(IF(J18=0,"",J46/J18),"")</f>
        <v>0.0643286720259792</v>
      </c>
      <c r="K48" s="122">
        <f>IFERROR(IF(K18=0,"",K46/K18),"")</f>
        <v>-0.501996666044135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0.799695872833733</v>
      </c>
      <c r="E50" s="150">
        <f>IFERROR(IF(E46=0,"",E25/E46),"")</f>
        <v>0.801585925653419</v>
      </c>
      <c r="F50" s="150">
        <f>IFERROR(IF(F46=0,"",F25/F46),"")</f>
        <v>0.805310589886984</v>
      </c>
      <c r="G50" s="150">
        <f>IFERROR(IF(G46=0,"",G25/G46),"")</f>
        <v>0.685946909371484</v>
      </c>
      <c r="H50" s="150">
        <f>IFERROR(IF(H46=0,"",H25/H46),"")</f>
        <v>0.626100103425749</v>
      </c>
      <c r="I50" s="150">
        <f>IFERROR(IF(I46=0,"",I25/I46),"")</f>
        <v>0.74564916254561</v>
      </c>
      <c r="J50" s="150">
        <f>IFERROR(IF(J46=0,"",J25/J46),"")</f>
        <v>3.22115633226764</v>
      </c>
      <c r="K50" s="150">
        <f>IFERROR(IF(K46=0,"",K25/K46),"")</f>
        <v>-0.412777062596334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4.56051486819381</v>
      </c>
      <c r="E51" s="154">
        <f>IFERROR(IF(E46=0,"",E18/E46),"")</f>
        <v>4.38474372604551</v>
      </c>
      <c r="F51" s="154">
        <f>IFERROR(IF(F46=0,"",F18/F46),"")</f>
        <v>3.89567706875305</v>
      </c>
      <c r="G51" s="154">
        <f>IFERROR(IF(G46=0,"",G18/G46),"")</f>
        <v>3.30208875877993</v>
      </c>
      <c r="H51" s="154">
        <f>IFERROR(IF(H46=0,"",H18/H46),"")</f>
        <v>3.02153331093204</v>
      </c>
      <c r="I51" s="154">
        <f>IFERROR(IF(I46=0,"",I18/I46),"")</f>
        <v>3.59847214618345</v>
      </c>
      <c r="J51" s="154">
        <f>IFERROR(IF(J46=0,"",J18/J46),"")</f>
        <v>15.5451677845324</v>
      </c>
      <c r="K51" s="154">
        <f>IFERROR(IF(K46=0,"",K18/K46),"")</f>
        <v>-1.99204510237142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457.16932977743</v>
      </c>
      <c r="E53" s="155">
        <f>IFERROR(E25+E44,"")</f>
        <v>-84.3754860454977</v>
      </c>
      <c r="F53" s="155">
        <f>IFERROR(F25+F44,"")</f>
        <v>604.31969882572</v>
      </c>
      <c r="G53" s="156">
        <f>IFERROR(G25+G44,"")</f>
        <v>649.95896624551</v>
      </c>
      <c r="H53" s="155">
        <f>IFERROR(H25+H44,"")</f>
        <v>968.768218969888</v>
      </c>
      <c r="I53" s="155">
        <f>IFERROR(I25+I44,"")</f>
        <v>2270.31570051199</v>
      </c>
      <c r="J53" s="155">
        <f>IFERROR(J25+J44,"")</f>
        <v>6071.23927421387</v>
      </c>
      <c r="K53" s="155">
        <f>IFERROR(K25+K44,"")</f>
        <v>17514.5980108419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-0.412777062596334</v>
      </c>
      <c r="E64" s="157" t="inlineStr">
        <is>
          <t>Current portion of long-term debt</t>
        </is>
      </c>
      <c r="H64" s="137">
        <f>IFERROR(INDEX(Model!$I$226:$BF$226,1,MATCH(Control!$B$7,Model!$I$5:$BF$5,0)),"")</f>
        <v>178.913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IFERROR(INDEX(Model!$I$227:$BF$227,1,MATCH(Control!$B$7,Model!$I$5:$BF$5,0)),"")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IFERROR(INDEX(Model!$I$231:$BF$231,1,MATCH(Control!$B$7,Model!$I$5:$BF$5,0)),"")</f>
        <v>1164.242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IFERROR(INDEX(Model!$I$252:$BF$252,1,MATCH(Control!$B$7,Model!$I$5:$BF$5,0)),"")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IFERROR(INDEX(Model!$I$262:$BF$262,1,MATCH(Control!$B$7,Model!$I$5:$BF$5,0)),"")</f>
        <v>393.817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IFERROR(INDEX(Model!$I$267:$BF$267,1,MATCH(Control!$B$7,Model!$I$5:$BF$5,0)),"")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IFERROR(INDEX(Model!$I$228:$BF$228,1,MATCH(Control!$B$7,Model!$I$5:$BF$5,0)),"")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IFERROR(INDEX(Model!$I$249:$BF$249,1,MATCH(Control!$B$7,Model!$I$5:$BF$5,0)),"")</f>
        <v>0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IFERROR(-INDEX(Model!$I$158:$BF$158,1,MATCH(Control!$B$7,Model!$I$5:$BF$5,0)),"")</f>
        <v>-1633.706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5554.50020251571</v>
      </c>
      <c r="E73" s="157" t="inlineStr">
        <is>
          <t>Less: Equity investments</t>
        </is>
      </c>
      <c r="H73" s="137">
        <f>IFERROR(-INDEX(Model!$I$175:$BF$175,1,MATCH(Control!$B$7,Model!$I$5:$BF$5,0)),"")</f>
        <v>-30.471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72.7950000000001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72.7950000000001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72.7950000000001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CURY3) - fonte: Planilha Fundamentos do RI (abas Resultados Operacionais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Cury Construtora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CURY3) - fonte: Planilha Fundamentos do RI (abas Resultados Operacionais</t>
        </is>
      </c>
      <c r="D4" t="inlineStr">
        <is>
          <t>Last close (R$/share)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BRL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R$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80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IFERROR(-Model!AG88/AVERAGE(Model!AB106,Model!AG106),"")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0.349436868705773</v>
      </c>
      <c r="C18" s="247">
        <f>IF(B18="","",B18)</f>
        <v>0.349436868705773</v>
      </c>
      <c r="D18" s="247">
        <f>IF(C18="","",MAX(0,C18-0.5%))</f>
        <v>0.344436868705773</v>
      </c>
      <c r="E18" s="247">
        <f>IF(D18="","",MAX(0,D18-0.5%))</f>
        <v>0.339436868705773</v>
      </c>
      <c r="F18" s="247">
        <f>IF(E18="","",MAX(0,E18-0.5%))</f>
        <v>0.334436868705773</v>
      </c>
    </row>
    <row r="19" ht="15" customHeight="1">
      <c r="A19" t="inlineStr">
        <is>
          <t>Gross margin</t>
        </is>
      </c>
      <c r="B19" s="247">
        <f>IFERROR(AVERAGE(Model!AC69:AF69,Model!AH69:AI69),"")</f>
        <v>0.395822099629187</v>
      </c>
      <c r="C19" s="247">
        <f>IF(B19="","",B19)</f>
        <v>0.395822099629187</v>
      </c>
      <c r="D19" s="247">
        <f>IF(C19="","",C19)</f>
        <v>0.395822099629187</v>
      </c>
      <c r="E19" s="247">
        <f>IF(D19="","",D19)</f>
        <v>0.395822099629187</v>
      </c>
      <c r="F19" s="247">
        <f>IF(E19="","",E19)</f>
        <v>0.395822099629187</v>
      </c>
    </row>
    <row r="20" ht="15" customHeight="1">
      <c r="A20" t="inlineStr">
        <is>
          <t>SG&amp;A / Revenue</t>
        </is>
      </c>
      <c r="B20" s="247">
        <f>IFERROR(AVERAGE(Model!AC73:AF73,Model!AH73:AI73),"")</f>
        <v>0.155618629504092</v>
      </c>
      <c r="C20" s="247">
        <f>IF(B20="","",B20)</f>
        <v>0.155618629504092</v>
      </c>
      <c r="D20" s="247">
        <f>IF(C20="","",C20)</f>
        <v>0.155618629504092</v>
      </c>
      <c r="E20" s="247">
        <f>IF(D20="","",D20)</f>
        <v>0.155618629504092</v>
      </c>
      <c r="F20" s="247">
        <f>IF(E20="","",E20)</f>
        <v>0.155618629504092</v>
      </c>
    </row>
    <row r="21" ht="15" customHeight="1">
      <c r="A21" t="inlineStr">
        <is>
          <t>D&amp;A / Revenue</t>
        </is>
      </c>
      <c r="B21" s="247">
        <f>IFERROR(AVERAGE(Model!AC85:AF85,Model!AH85:AI85),"")</f>
        <v>0.00602579843144599</v>
      </c>
      <c r="C21" s="247">
        <f>IF(B21="","",B21)</f>
        <v>0.00602579843144599</v>
      </c>
      <c r="D21" s="247">
        <f>IF(C21="","",C21)</f>
        <v>0.00602579843144599</v>
      </c>
      <c r="E21" s="247">
        <f>IF(D21="","",D21)</f>
        <v>0.00602579843144599</v>
      </c>
      <c r="F21" s="247">
        <f>IF(E21="","",E21)</f>
        <v>0.00602579843144599</v>
      </c>
    </row>
    <row r="22" ht="15" customHeight="1">
      <c r="A22" t="inlineStr">
        <is>
          <t>Effective tax rate</t>
        </is>
      </c>
      <c r="B22" s="247">
        <f>IFERROR(AVERAGE(Model!AC146:AF146,Model!AH146:AI146),"")</f>
        <v>0.115147453024785</v>
      </c>
      <c r="C22" s="247">
        <f>IF(B22="","",B22)</f>
        <v>0.115147453024785</v>
      </c>
      <c r="D22" s="247">
        <f>IF(C22="","",C22)</f>
        <v>0.115147453024785</v>
      </c>
      <c r="E22" s="247">
        <f>IF(D22="","",D22)</f>
        <v>0.115147453024785</v>
      </c>
      <c r="F22" s="247">
        <f>IF(E22="","",E22)</f>
        <v>0.115147453024785</v>
      </c>
    </row>
    <row r="23" ht="15" customHeight="1">
      <c r="A23" t="inlineStr">
        <is>
          <t>Financial income / Revenue</t>
        </is>
      </c>
      <c r="B23" s="247">
        <f>IFERROR(AVERAGE(Model!AC137:AF137,Model!AH137:AI137)/AVERAGE(Model!AC15:AF15,Model!AH15:AI15),"")</f>
        <v>0.030713045506343</v>
      </c>
      <c r="C23" s="247">
        <f>IF(B23="","",B23)</f>
        <v>0.030713045506343</v>
      </c>
      <c r="D23" s="247">
        <f>IF(C23="","",C23)</f>
        <v>0.030713045506343</v>
      </c>
      <c r="E23" s="247">
        <f>IF(D23="","",D23)</f>
        <v>0.030713045506343</v>
      </c>
      <c r="F23" s="247">
        <f>IF(E23="","",E23)</f>
        <v>0.030713045506343</v>
      </c>
    </row>
    <row r="24" ht="15" customHeight="1">
      <c r="A24" t="inlineStr">
        <is>
          <t>Capex / Revenue</t>
        </is>
      </c>
      <c r="B24" s="247">
        <f>IFERROR(-AVERAGE(Model!AC309:AF309,Model!AH309:AI309)/AVERAGE(Model!AC15:AF15,Model!AH15:AI15),"")</f>
        <v>0.00704606410804877</v>
      </c>
      <c r="C24" s="247">
        <f>IF(B24="","",B24)</f>
        <v>0.00704606410804877</v>
      </c>
      <c r="D24" s="247">
        <f>IF(C24="","",C24)</f>
        <v>0.00704606410804877</v>
      </c>
      <c r="E24" s="247">
        <f>IF(D24="","",D24)</f>
        <v>0.00704606410804877</v>
      </c>
      <c r="F24" s="247">
        <f>IF(E24="","",E24)</f>
        <v>0.00704606410804877</v>
      </c>
    </row>
    <row r="25" ht="15" customHeight="1">
      <c r="A25" t="inlineStr">
        <is>
          <t>DSO</t>
        </is>
      </c>
      <c r="B25" s="249">
        <f>IFERROR(AVERAGE(Model!AC160:AF160,Model!AH160:AI160),0)</f>
        <v>142.662553436655</v>
      </c>
      <c r="C25" s="249">
        <f>IF(B25="","",B25)</f>
        <v>142.662553436655</v>
      </c>
      <c r="D25" s="249">
        <f>IF(C25="","",C25)</f>
        <v>142.662553436655</v>
      </c>
      <c r="E25" s="249">
        <f>IF(D25="","",D25)</f>
        <v>142.662553436655</v>
      </c>
      <c r="F25" s="249">
        <f>IF(E25="","",E25)</f>
        <v>142.662553436655</v>
      </c>
    </row>
    <row r="26" ht="15" customHeight="1">
      <c r="A26" t="inlineStr">
        <is>
          <t>DIO</t>
        </is>
      </c>
      <c r="B26" s="249">
        <f>IFERROR(AVERAGE(Model!AC164:AF164,Model!AH164:AI164),0)</f>
        <v>139.100459483514</v>
      </c>
      <c r="C26" s="249">
        <f>IF(B26="","",B26)</f>
        <v>139.100459483514</v>
      </c>
      <c r="D26" s="249">
        <f>IF(C26="","",C26)</f>
        <v>139.100459483514</v>
      </c>
      <c r="E26" s="249">
        <f>IF(D26="","",D26)</f>
        <v>139.100459483514</v>
      </c>
      <c r="F26" s="249">
        <f>IF(E26="","",E26)</f>
        <v>139.100459483514</v>
      </c>
    </row>
    <row r="27" ht="15" customHeight="1">
      <c r="A27" t="inlineStr">
        <is>
          <t>DPO</t>
        </is>
      </c>
      <c r="B27" s="249">
        <f>IFERROR(AVERAGE(Model!AC213:AF213,Model!AH213:AI213),0)</f>
        <v>31.0839018197621</v>
      </c>
      <c r="C27" s="249">
        <f>IF(B27="","",B27)</f>
        <v>31.0839018197621</v>
      </c>
      <c r="D27" s="249">
        <f>IF(C27="","",C27)</f>
        <v>31.0839018197621</v>
      </c>
      <c r="E27" s="249">
        <f>IF(D27="","",D27)</f>
        <v>31.0839018197621</v>
      </c>
      <c r="F27" s="249">
        <f>IF(E27="","",E27)</f>
        <v>31.0839018197621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Cury Construtora (CURY3) - fonte: Planilha Fundamentos do RI (abas Resultados Operacionais, Demonstracoes do Resultado, BP Ativo, BP Passivo, Fluxo de Caixa). Moeda: BRL. Brutos em R$ mil. Consolidado. DRE e DFC trimestrais isolados (soma = ano, conf</t>
        </is>
      </c>
    </row>
    <row r="31">
      <c r="A31" t="inlineStr">
        <is>
          <t>Unit flow</t>
        </is>
      </c>
      <c r="B31" t="inlineStr">
        <is>
          <t>R$ mil na Inputs → R$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2026-10-16T15:37:26Z</dcterms:modified>
  <cp:lastModifiedBy>Lucas Nascimento</cp:lastModifiedBy>
  <cp:revision>0</cp:revision>
</cp:coreProperties>
</file>