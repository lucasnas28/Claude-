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90" fontId="4" fillId="7" borderId="0" applyAlignment="1" pivotButton="0" quotePrefix="0" xfId="0">
      <alignment horizontal="center"/>
    </xf>
    <xf numFmtId="190" fontId="4" fillId="0" borderId="0" applyAlignment="1" pivotButton="0" quotePrefix="0" xfId="0">
      <alignment horizontal="center"/>
    </xf>
    <xf numFmtId="4" fontId="4" fillId="7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Netflix Inc. (NFLX, CIK 1065280)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5767691000</v>
      </c>
      <c r="L6" s="259" t="n">
        <v>6148286000</v>
      </c>
      <c r="M6" s="259" t="n">
        <v>6435637000</v>
      </c>
      <c r="N6" s="259" t="n">
        <v>6644442000</v>
      </c>
      <c r="O6" s="259" t="n">
        <v>7163282000</v>
      </c>
      <c r="P6" s="259" t="n">
        <v>7341777000</v>
      </c>
      <c r="Q6" s="259" t="n">
        <v>7483467000</v>
      </c>
      <c r="R6" s="259" t="n">
        <v>7709318000</v>
      </c>
      <c r="S6" s="259" t="n">
        <v>7867767000</v>
      </c>
      <c r="T6" s="259" t="n">
        <v>7970141000</v>
      </c>
      <c r="U6" s="259" t="n">
        <v>7925589000</v>
      </c>
      <c r="V6" s="259" t="n">
        <v>7852053000</v>
      </c>
      <c r="W6" s="259" t="n">
        <v>8161503000</v>
      </c>
      <c r="X6" s="259" t="n">
        <v>8187301000</v>
      </c>
      <c r="Y6" s="259" t="n">
        <v>8541668000</v>
      </c>
      <c r="Z6" s="259" t="n">
        <v>8832825000</v>
      </c>
      <c r="AA6" s="259" t="n">
        <v>9370440000</v>
      </c>
      <c r="AB6" s="259" t="n">
        <v>9559310000</v>
      </c>
      <c r="AC6" s="259" t="n">
        <v>9824703000</v>
      </c>
      <c r="AD6" s="259" t="n">
        <v>10246513000</v>
      </c>
      <c r="AE6" s="259" t="n">
        <v>10542801000</v>
      </c>
      <c r="AF6" s="259" t="n">
        <v>11079166000</v>
      </c>
      <c r="AG6" s="259" t="n">
        <v>11510307000</v>
      </c>
      <c r="AH6" s="259" t="n">
        <v>12050762000</v>
      </c>
      <c r="AI6" s="259" t="n">
        <v>12249757000</v>
      </c>
      <c r="AJ6" s="259" t="n">
        <v>12559938000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3599701000</v>
      </c>
      <c r="L7" s="259" t="n">
        <v>3643707000</v>
      </c>
      <c r="M7" s="259" t="n">
        <v>3867751000</v>
      </c>
      <c r="N7" s="259" t="n">
        <v>4165160000</v>
      </c>
      <c r="O7" s="259" t="n">
        <v>3868511000</v>
      </c>
      <c r="P7" s="259" t="n">
        <v>4018008000</v>
      </c>
      <c r="Q7" s="259" t="n">
        <v>4206589000</v>
      </c>
      <c r="R7" s="259" t="n">
        <v>5239575000</v>
      </c>
      <c r="S7" s="259" t="n">
        <v>4284705000</v>
      </c>
      <c r="T7" s="259" t="n">
        <v>4690755000</v>
      </c>
      <c r="U7" s="259" t="n">
        <v>4788665000</v>
      </c>
      <c r="V7" s="259" t="n">
        <v>5404160000</v>
      </c>
      <c r="W7" s="259" t="n">
        <v>4803625000</v>
      </c>
      <c r="X7" s="259" t="n">
        <v>4673470000</v>
      </c>
      <c r="Y7" s="259" t="n">
        <v>4930788000</v>
      </c>
      <c r="Z7" s="259" t="n">
        <v>5307485000</v>
      </c>
      <c r="AA7" s="259" t="n">
        <v>4977073000</v>
      </c>
      <c r="AB7" s="259" t="n">
        <v>5174143000</v>
      </c>
      <c r="AC7" s="259" t="n">
        <v>5119884000</v>
      </c>
      <c r="AD7" s="259" t="n">
        <v>5767364000</v>
      </c>
      <c r="AE7" s="259" t="n">
        <v>5263147000</v>
      </c>
      <c r="AF7" s="259" t="n">
        <v>5325311000</v>
      </c>
      <c r="AG7" s="259" t="n">
        <v>6164250000</v>
      </c>
      <c r="AH7" s="259" t="n">
        <v>6522621000</v>
      </c>
      <c r="AI7" s="259" t="n">
        <v>5888238000</v>
      </c>
      <c r="AJ7" s="259" t="n">
        <v>6036965000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958256000</v>
      </c>
      <c r="L8" s="259" t="n">
        <v>1357928000</v>
      </c>
      <c r="M8" s="259" t="n">
        <v>1314863000</v>
      </c>
      <c r="N8" s="259" t="n">
        <v>954242000</v>
      </c>
      <c r="O8" s="259" t="n">
        <v>1959856000</v>
      </c>
      <c r="P8" s="259" t="n">
        <v>1847630000</v>
      </c>
      <c r="Q8" s="259" t="n">
        <v>1755253000</v>
      </c>
      <c r="R8" s="259" t="n">
        <v>631770000</v>
      </c>
      <c r="S8" s="259" t="n">
        <v>1971626000</v>
      </c>
      <c r="T8" s="259" t="n">
        <v>1578283000</v>
      </c>
      <c r="U8" s="259" t="n">
        <v>1533018000</v>
      </c>
      <c r="V8" s="259" t="n">
        <v>549904000</v>
      </c>
      <c r="W8" s="259" t="n">
        <v>1714317000</v>
      </c>
      <c r="X8" s="259" t="n">
        <v>1827183000</v>
      </c>
      <c r="Y8" s="259" t="n">
        <v>1916394000</v>
      </c>
      <c r="Z8" s="259" t="n">
        <v>1496109000</v>
      </c>
      <c r="AA8" s="259" t="n">
        <v>2632534000</v>
      </c>
      <c r="AB8" s="259" t="n">
        <v>2602837000</v>
      </c>
      <c r="AC8" s="259" t="n">
        <v>2909477000</v>
      </c>
      <c r="AD8" s="259" t="n">
        <v>2272766000</v>
      </c>
      <c r="AE8" s="259" t="n">
        <v>3346999000</v>
      </c>
      <c r="AF8" s="259" t="n">
        <v>3774694000</v>
      </c>
      <c r="AG8" s="259" t="n">
        <v>3248247000</v>
      </c>
      <c r="AH8" s="259" t="n">
        <v>2956663000</v>
      </c>
      <c r="AI8" s="259" t="n">
        <v>3956997000</v>
      </c>
      <c r="AJ8" s="259" t="n">
        <v>4192610000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1209734000</v>
      </c>
      <c r="L9" s="259">
        <f>N(L6)-N(L7)-N(L8)</f>
        <v>1146651000</v>
      </c>
      <c r="M9" s="259">
        <f>N(M6)-N(M7)-N(M8)</f>
        <v>1253023000</v>
      </c>
      <c r="N9" s="259">
        <f>N(N6)-N(N7)-N(N8)</f>
        <v>1525040000</v>
      </c>
      <c r="O9" s="259">
        <f>N(O6)-N(O7)-N(O8)</f>
        <v>1334915000</v>
      </c>
      <c r="P9" s="259">
        <f>N(P6)-N(P7)-N(P8)</f>
        <v>1476139000</v>
      </c>
      <c r="Q9" s="259">
        <f>N(Q6)-N(Q7)-N(Q8)</f>
        <v>1521625000</v>
      </c>
      <c r="R9" s="259">
        <f>N(R6)-N(R7)-N(R8)</f>
        <v>1837973000</v>
      </c>
      <c r="S9" s="259">
        <f>N(S6)-N(S7)-N(S8)</f>
        <v>1611436000</v>
      </c>
      <c r="T9" s="259">
        <f>N(T6)-N(T7)-N(T8)</f>
        <v>1701103000</v>
      </c>
      <c r="U9" s="259">
        <f>N(U6)-N(U7)-N(U8)</f>
        <v>1603906000</v>
      </c>
      <c r="V9" s="259">
        <f>N(V6)-N(V7)-N(V8)</f>
        <v>1897989000</v>
      </c>
      <c r="W9" s="259">
        <f>N(W6)-N(W7)-N(W8)</f>
        <v>1643561000</v>
      </c>
      <c r="X9" s="259">
        <f>N(X6)-N(X7)-N(X8)</f>
        <v>1686648000</v>
      </c>
      <c r="Y9" s="259">
        <f>N(Y6)-N(Y7)-N(Y8)</f>
        <v>1694486000</v>
      </c>
      <c r="Z9" s="259">
        <f>N(Z6)-N(Z7)-N(Z8)</f>
        <v>2029231000</v>
      </c>
      <c r="AA9" s="259">
        <f>N(AA6)-N(AA7)-N(AA8)</f>
        <v>1760833000</v>
      </c>
      <c r="AB9" s="259">
        <f>N(AB6)-N(AB7)-N(AB8)</f>
        <v>1782330000</v>
      </c>
      <c r="AC9" s="259">
        <f>N(AC6)-N(AC7)-N(AC8)</f>
        <v>1795342000</v>
      </c>
      <c r="AD9" s="259">
        <f>N(AD6)-N(AD7)-N(AD8)</f>
        <v>2206383000</v>
      </c>
      <c r="AE9" s="259">
        <f>N(AE6)-N(AE7)-N(AE8)</f>
        <v>1932655000</v>
      </c>
      <c r="AF9" s="259">
        <f>N(AF6)-N(AF7)-N(AF8)</f>
        <v>1979161000</v>
      </c>
      <c r="AG9" s="259">
        <f>N(AG6)-N(AG7)-N(AG8)</f>
        <v>2097810000</v>
      </c>
      <c r="AH9" s="259">
        <f>N(AH6)-N(AH7)-N(AH8)</f>
        <v>2571478000</v>
      </c>
      <c r="AI9" s="259">
        <f>N(AI6)-N(AI7)-N(AI8)</f>
        <v>2404522000</v>
      </c>
      <c r="AJ9" s="259">
        <f>N(AJ6)-N(AJ7)-N(AJ8)</f>
        <v>2330363000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795870000</v>
      </c>
      <c r="L10" s="259" t="n">
        <v>1035602000</v>
      </c>
      <c r="M10" s="259" t="n">
        <v>861460000</v>
      </c>
      <c r="N10" s="259" t="n">
        <v>506417000</v>
      </c>
      <c r="O10" s="259" t="n">
        <v>2034502000</v>
      </c>
      <c r="P10" s="259" t="n">
        <v>1593789000</v>
      </c>
      <c r="Q10" s="259" t="n">
        <v>1660959000</v>
      </c>
      <c r="R10" s="259" t="n">
        <v>550853000</v>
      </c>
      <c r="S10" s="259" t="n">
        <v>1979692000</v>
      </c>
      <c r="T10" s="259" t="n">
        <v>1623054000</v>
      </c>
      <c r="U10" s="259" t="n">
        <v>1621847000</v>
      </c>
      <c r="V10" s="259" t="n">
        <v>39336000</v>
      </c>
      <c r="W10" s="259" t="n">
        <v>1468874000</v>
      </c>
      <c r="X10" s="259" t="n">
        <v>1679332000</v>
      </c>
      <c r="Y10" s="259" t="n">
        <v>1909049000</v>
      </c>
      <c r="Z10" s="259" t="n">
        <v>1148150000</v>
      </c>
      <c r="AA10" s="259" t="n">
        <v>2614579000</v>
      </c>
      <c r="AB10" s="259" t="n">
        <v>2513856000</v>
      </c>
      <c r="AC10" s="259" t="n">
        <v>2702954000</v>
      </c>
      <c r="AD10" s="259" t="n">
        <v>2134268000</v>
      </c>
      <c r="AE10" s="259" t="n">
        <v>3213726000</v>
      </c>
      <c r="AF10" s="259" t="n">
        <v>3631675000</v>
      </c>
      <c r="AG10" s="259" t="n">
        <v>3109410000</v>
      </c>
      <c r="AH10" s="259" t="n">
        <v>2767741000</v>
      </c>
      <c r="AI10" s="259" t="n">
        <v>6547086000</v>
      </c>
      <c r="AJ10" s="259" t="n">
        <v>4068586000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-162386000</v>
      </c>
      <c r="L11" s="259">
        <f>N(L10)-N(L8)</f>
        <v>-322326000</v>
      </c>
      <c r="M11" s="259">
        <f>N(M10)-N(M8)</f>
        <v>-453403000</v>
      </c>
      <c r="N11" s="259">
        <f>N(N10)-N(N8)</f>
        <v>-447825000</v>
      </c>
      <c r="O11" s="259">
        <f>N(O10)-N(O8)</f>
        <v>74646000</v>
      </c>
      <c r="P11" s="259">
        <f>N(P10)-N(P8)</f>
        <v>-253841000</v>
      </c>
      <c r="Q11" s="259">
        <f>N(Q10)-N(Q8)</f>
        <v>-94294000</v>
      </c>
      <c r="R11" s="259">
        <f>N(R10)-N(R8)</f>
        <v>-80917000</v>
      </c>
      <c r="S11" s="259">
        <f>N(S10)-N(S8)</f>
        <v>8066000</v>
      </c>
      <c r="T11" s="259">
        <f>N(T10)-N(T8)</f>
        <v>44771000</v>
      </c>
      <c r="U11" s="259">
        <f>N(U10)-N(U8)</f>
        <v>88829000</v>
      </c>
      <c r="V11" s="259">
        <f>N(V10)-N(V8)</f>
        <v>-510568000</v>
      </c>
      <c r="W11" s="259">
        <f>N(W10)-N(W8)</f>
        <v>-245443000</v>
      </c>
      <c r="X11" s="259">
        <f>N(X10)-N(X8)</f>
        <v>-147851000</v>
      </c>
      <c r="Y11" s="259">
        <f>N(Y10)-N(Y8)</f>
        <v>-7345000</v>
      </c>
      <c r="Z11" s="259">
        <f>N(Z10)-N(Z8)</f>
        <v>-347959000</v>
      </c>
      <c r="AA11" s="259">
        <f>N(AA10)-N(AA8)</f>
        <v>-17955000</v>
      </c>
      <c r="AB11" s="259">
        <f>N(AB10)-N(AB8)</f>
        <v>-88981000</v>
      </c>
      <c r="AC11" s="259">
        <f>N(AC10)-N(AC8)</f>
        <v>-206523000</v>
      </c>
      <c r="AD11" s="259">
        <f>N(AD10)-N(AD8)</f>
        <v>-138498000</v>
      </c>
      <c r="AE11" s="259">
        <f>N(AE10)-N(AE8)</f>
        <v>-133273000</v>
      </c>
      <c r="AF11" s="259">
        <f>N(AF10)-N(AF8)</f>
        <v>-143019000</v>
      </c>
      <c r="AG11" s="259">
        <f>N(AG10)-N(AG8)</f>
        <v>-138837000</v>
      </c>
      <c r="AH11" s="259">
        <f>N(AH10)-N(AH8)</f>
        <v>-188922000</v>
      </c>
      <c r="AI11" s="259">
        <f>N(AI10)-N(AI8)</f>
        <v>2590089000</v>
      </c>
      <c r="AJ11" s="259">
        <f>N(AJ10)-N(AJ8)</f>
        <v>-124024000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184083000</v>
      </c>
      <c r="L12" s="259" t="n">
        <v>189151000</v>
      </c>
      <c r="M12" s="259" t="n">
        <v>197079000</v>
      </c>
      <c r="N12" s="259" t="n">
        <v>197186000</v>
      </c>
      <c r="O12" s="259" t="n">
        <v>194440000</v>
      </c>
      <c r="P12" s="259" t="n">
        <v>191322000</v>
      </c>
      <c r="Q12" s="259" t="n">
        <v>190429000</v>
      </c>
      <c r="R12" s="259" t="n">
        <v>189429000</v>
      </c>
      <c r="S12" s="259" t="n">
        <v>187579000</v>
      </c>
      <c r="T12" s="259" t="n">
        <v>175455000</v>
      </c>
      <c r="U12" s="259" t="n">
        <v>172575000</v>
      </c>
      <c r="V12" s="259" t="n">
        <v>170603000</v>
      </c>
      <c r="W12" s="259" t="n">
        <v>174239000</v>
      </c>
      <c r="X12" s="259" t="n">
        <v>174812000</v>
      </c>
      <c r="Y12" s="259" t="n">
        <v>175563000</v>
      </c>
      <c r="Z12" s="259" t="n">
        <v>175212000</v>
      </c>
      <c r="AA12" s="259" t="n">
        <v>173314000</v>
      </c>
      <c r="AB12" s="259" t="n">
        <v>167986000</v>
      </c>
      <c r="AC12" s="259" t="n">
        <v>184830000</v>
      </c>
      <c r="AD12" s="259" t="n">
        <v>192603000</v>
      </c>
      <c r="AE12" s="259" t="n">
        <v>184172000</v>
      </c>
      <c r="AF12" s="259" t="n">
        <v>182649000</v>
      </c>
      <c r="AG12" s="259" t="n">
        <v>175294000</v>
      </c>
      <c r="AH12" s="259" t="n">
        <v>234395000</v>
      </c>
      <c r="AI12" s="259" t="n">
        <v>262077000</v>
      </c>
      <c r="AJ12" s="259" t="n">
        <v>175685000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86803000</v>
      </c>
      <c r="L13" s="259" t="n">
        <v>315406000</v>
      </c>
      <c r="M13" s="259" t="n">
        <v>71484000</v>
      </c>
      <c r="N13" s="259" t="n">
        <v>-35739000</v>
      </c>
      <c r="O13" s="259" t="n">
        <v>327787000</v>
      </c>
      <c r="P13" s="259" t="n">
        <v>240776000</v>
      </c>
      <c r="Q13" s="259" t="n">
        <v>211888000</v>
      </c>
      <c r="R13" s="259" t="n">
        <v>-56576000</v>
      </c>
      <c r="S13" s="259" t="n">
        <v>382245000</v>
      </c>
      <c r="T13" s="259" t="n">
        <v>182103000</v>
      </c>
      <c r="U13" s="259" t="n">
        <v>223605000</v>
      </c>
      <c r="V13" s="259" t="n">
        <v>-15948000</v>
      </c>
      <c r="W13" s="259" t="n">
        <v>163754000</v>
      </c>
      <c r="X13" s="259" t="n">
        <v>191722000</v>
      </c>
      <c r="Y13" s="259" t="n">
        <v>231627000</v>
      </c>
      <c r="Z13" s="259" t="n">
        <v>210312000</v>
      </c>
      <c r="AA13" s="259" t="n">
        <v>282370000</v>
      </c>
      <c r="AB13" s="259" t="n">
        <v>366550000</v>
      </c>
      <c r="AC13" s="259" t="n">
        <v>339445000</v>
      </c>
      <c r="AD13" s="259" t="n">
        <v>265661000</v>
      </c>
      <c r="AE13" s="259" t="n">
        <v>323375000</v>
      </c>
      <c r="AF13" s="259" t="n">
        <v>506262000</v>
      </c>
      <c r="AG13" s="259" t="n">
        <v>562494000</v>
      </c>
      <c r="AH13" s="259" t="n">
        <v>349220000</v>
      </c>
      <c r="AI13" s="259" t="n">
        <v>1264295000</v>
      </c>
      <c r="AJ13" s="259" t="n">
        <v>667172000</v>
      </c>
    </row>
    <row r="14">
      <c r="G14" t="inlineStr">
        <is>
          <t>moeda</t>
        </is>
      </c>
      <c r="H14" t="inlineStr">
        <is>
          <t>Lucro líquido atribuído à companhia [us-gaap:NetIncomeLoss]</t>
        </is>
      </c>
      <c r="J14" t="inlineStr">
        <is>
          <t>memoria</t>
        </is>
      </c>
      <c r="K14" s="259" t="n">
        <v>709067000</v>
      </c>
      <c r="L14" s="259" t="n">
        <v>720196000</v>
      </c>
      <c r="M14" s="259" t="n">
        <v>789976000</v>
      </c>
      <c r="N14" s="259" t="n">
        <v>542156000</v>
      </c>
      <c r="O14" s="259" t="n">
        <v>1706715000</v>
      </c>
      <c r="P14" s="259" t="n">
        <v>1353013000</v>
      </c>
      <c r="Q14" s="259" t="n">
        <v>1449071000</v>
      </c>
      <c r="R14" s="259" t="n">
        <v>607429000</v>
      </c>
      <c r="S14" s="259" t="n">
        <v>1597447000</v>
      </c>
      <c r="T14" s="259" t="n">
        <v>1440951000</v>
      </c>
      <c r="U14" s="259" t="n">
        <v>1398242000</v>
      </c>
      <c r="V14" s="259" t="n">
        <v>55284000</v>
      </c>
      <c r="W14" s="259" t="n">
        <v>1305120000</v>
      </c>
      <c r="X14" s="259" t="n">
        <v>1487610000</v>
      </c>
      <c r="Y14" s="259" t="n">
        <v>1677422000</v>
      </c>
      <c r="Z14" s="259" t="n">
        <v>937838000</v>
      </c>
      <c r="AA14" s="259" t="n">
        <v>2332209000</v>
      </c>
      <c r="AB14" s="259" t="n">
        <v>2147306000</v>
      </c>
      <c r="AC14" s="259" t="n">
        <v>2363509000</v>
      </c>
      <c r="AD14" s="259" t="n">
        <v>1868607000</v>
      </c>
      <c r="AE14" s="259" t="n">
        <v>2890351000</v>
      </c>
      <c r="AF14" s="259" t="n">
        <v>3125413000</v>
      </c>
      <c r="AG14" s="259" t="n">
        <v>2546916000</v>
      </c>
      <c r="AH14" s="259" t="n">
        <v>2418521000</v>
      </c>
      <c r="AI14" s="259" t="n">
        <v>5282791000</v>
      </c>
      <c r="AJ14" s="259" t="n">
        <v>3401414000</v>
      </c>
    </row>
    <row r="15">
      <c r="A15" t="n">
        <v>8</v>
      </c>
      <c r="B15" t="n">
        <v>1</v>
      </c>
      <c r="G15" t="inlineStr">
        <is>
          <t>moeda</t>
        </is>
      </c>
      <c r="H15" t="inlineStr">
        <is>
          <t>Resultado após IR não classificado acima (equivalência patrimonial, operações descontinuadas): lucro - (LAIR - IR - minoritários); zero quando não há</t>
        </is>
      </c>
      <c r="J15" t="inlineStr">
        <is>
          <t>derivada</t>
        </is>
      </c>
      <c r="K15" s="259">
        <f>N(K14)-(N(K10)-N(K13)-0)</f>
        <v>0</v>
      </c>
      <c r="L15" s="259">
        <f>N(L14)-(N(L10)-N(L13)-0)</f>
        <v>0</v>
      </c>
      <c r="M15" s="259">
        <f>N(M14)-(N(M10)-N(M13)-0)</f>
        <v>0</v>
      </c>
      <c r="N15" s="259">
        <f>N(N14)-(N(N10)-N(N13)-0)</f>
        <v>0</v>
      </c>
      <c r="O15" s="259">
        <f>N(O14)-(N(O10)-N(O13)-0)</f>
        <v>0</v>
      </c>
      <c r="P15" s="259">
        <f>N(P14)-(N(P10)-N(P13)-0)</f>
        <v>0</v>
      </c>
      <c r="Q15" s="259">
        <f>N(Q14)-(N(Q10)-N(Q13)-0)</f>
        <v>0</v>
      </c>
      <c r="R15" s="259">
        <f>N(R14)-(N(R10)-N(R13)-0)</f>
        <v>0</v>
      </c>
      <c r="S15" s="259">
        <f>N(S14)-(N(S10)-N(S13)-0)</f>
        <v>0</v>
      </c>
      <c r="T15" s="259">
        <f>N(T14)-(N(T10)-N(T13)-0)</f>
        <v>0</v>
      </c>
      <c r="U15" s="259">
        <f>N(U14)-(N(U10)-N(U13)-0)</f>
        <v>0</v>
      </c>
      <c r="V15" s="259">
        <f>N(V14)-(N(V10)-N(V13)-0)</f>
        <v>0</v>
      </c>
      <c r="W15" s="259">
        <f>N(W14)-(N(W10)-N(W13)-0)</f>
        <v>0</v>
      </c>
      <c r="X15" s="259">
        <f>N(X14)-(N(X10)-N(X13)-0)</f>
        <v>0</v>
      </c>
      <c r="Y15" s="259">
        <f>N(Y14)-(N(Y10)-N(Y13)-0)</f>
        <v>0</v>
      </c>
      <c r="Z15" s="259">
        <f>N(Z14)-(N(Z10)-N(Z13)-0)</f>
        <v>0</v>
      </c>
      <c r="AA15" s="259">
        <f>N(AA14)-(N(AA10)-N(AA13)-0)</f>
        <v>0</v>
      </c>
      <c r="AB15" s="259">
        <f>N(AB14)-(N(AB10)-N(AB13)-0)</f>
        <v>0</v>
      </c>
      <c r="AC15" s="259">
        <f>N(AC14)-(N(AC10)-N(AC13)-0)</f>
        <v>0</v>
      </c>
      <c r="AD15" s="259">
        <f>N(AD14)-(N(AD10)-N(AD13)-0)</f>
        <v>0</v>
      </c>
      <c r="AE15" s="259">
        <f>N(AE14)-(N(AE10)-N(AE13)-0)</f>
        <v>0</v>
      </c>
      <c r="AF15" s="259">
        <f>N(AF14)-(N(AF10)-N(AF13)-0)</f>
        <v>0</v>
      </c>
      <c r="AG15" s="259">
        <f>N(AG14)-(N(AG10)-N(AG13)-0)</f>
        <v>0</v>
      </c>
      <c r="AH15" s="259">
        <f>N(AH14)-(N(AH10)-N(AH13)-0)</f>
        <v>0</v>
      </c>
      <c r="AI15" s="259">
        <f>N(AI14)-(N(AI10)-N(AI13)-0)</f>
        <v>0</v>
      </c>
      <c r="AJ15" s="259">
        <f>N(AJ14)-(N(AJ10)-N(AJ13)-0)</f>
        <v>0</v>
      </c>
    </row>
    <row r="16">
      <c r="A16" t="n">
        <v>44</v>
      </c>
      <c r="B16" t="n">
        <v>1</v>
      </c>
      <c r="G16" t="inlineStr">
        <is>
          <t>moeda</t>
        </is>
      </c>
      <c r="H16" t="inlineStr">
        <is>
          <t>Lucro líquido (check IS, código 44)</t>
        </is>
      </c>
      <c r="J16" t="inlineStr">
        <is>
          <t>derivada</t>
        </is>
      </c>
      <c r="K16" s="259">
        <f>N(K14)</f>
        <v>709067000</v>
      </c>
      <c r="L16" s="259">
        <f>N(L14)</f>
        <v>720196000</v>
      </c>
      <c r="M16" s="259">
        <f>N(M14)</f>
        <v>789976000</v>
      </c>
      <c r="N16" s="259">
        <f>N(N14)</f>
        <v>542156000</v>
      </c>
      <c r="O16" s="259">
        <f>N(O14)</f>
        <v>1706715000</v>
      </c>
      <c r="P16" s="259">
        <f>N(P14)</f>
        <v>1353013000</v>
      </c>
      <c r="Q16" s="259">
        <f>N(Q14)</f>
        <v>1449071000</v>
      </c>
      <c r="R16" s="259">
        <f>N(R14)</f>
        <v>607429000</v>
      </c>
      <c r="S16" s="259">
        <f>N(S14)</f>
        <v>1597447000</v>
      </c>
      <c r="T16" s="259">
        <f>N(T14)</f>
        <v>1440951000</v>
      </c>
      <c r="U16" s="259">
        <f>N(U14)</f>
        <v>1398242000</v>
      </c>
      <c r="V16" s="259">
        <f>N(V14)</f>
        <v>55284000</v>
      </c>
      <c r="W16" s="259">
        <f>N(W14)</f>
        <v>1305120000</v>
      </c>
      <c r="X16" s="259">
        <f>N(X14)</f>
        <v>1487610000</v>
      </c>
      <c r="Y16" s="259">
        <f>N(Y14)</f>
        <v>1677422000</v>
      </c>
      <c r="Z16" s="259">
        <f>N(Z14)</f>
        <v>937838000</v>
      </c>
      <c r="AA16" s="259">
        <f>N(AA14)</f>
        <v>2332209000</v>
      </c>
      <c r="AB16" s="259">
        <f>N(AB14)</f>
        <v>2147306000</v>
      </c>
      <c r="AC16" s="259">
        <f>N(AC14)</f>
        <v>2363509000</v>
      </c>
      <c r="AD16" s="259">
        <f>N(AD14)</f>
        <v>1868607000</v>
      </c>
      <c r="AE16" s="259">
        <f>N(AE14)</f>
        <v>2890351000</v>
      </c>
      <c r="AF16" s="259">
        <f>N(AF14)</f>
        <v>3125413000</v>
      </c>
      <c r="AG16" s="259">
        <f>N(AG14)</f>
        <v>2546916000</v>
      </c>
      <c r="AH16" s="259">
        <f>N(AH14)</f>
        <v>2418521000</v>
      </c>
      <c r="AI16" s="259">
        <f>N(AI14)</f>
        <v>5282791000</v>
      </c>
      <c r="AJ16" s="259">
        <f>N(AJ14)</f>
        <v>3401414000</v>
      </c>
    </row>
    <row r="17">
      <c r="H17" s="254" t="inlineStr">
        <is>
          <t>DFC - trimestre isolado (desacumulado na extração)</t>
        </is>
      </c>
    </row>
    <row r="18">
      <c r="A18" t="n">
        <v>4</v>
      </c>
      <c r="B18" t="n">
        <v>-1</v>
      </c>
      <c r="C18" t="n">
        <v>3</v>
      </c>
      <c r="D18" t="n">
        <v>1</v>
      </c>
      <c r="G18" t="inlineStr">
        <is>
          <t>moeda</t>
        </is>
      </c>
      <c r="H18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8" t="inlineStr">
        <is>
          <t>fonte</t>
        </is>
      </c>
      <c r="K18" s="259" t="n">
        <v>28517000</v>
      </c>
      <c r="L18" s="259" t="n">
        <v>26661000</v>
      </c>
      <c r="M18" s="259" t="n">
        <v>28589000</v>
      </c>
      <c r="N18" s="259" t="n">
        <v>31943000</v>
      </c>
      <c r="O18" s="259" t="n">
        <v>35741000</v>
      </c>
      <c r="P18" s="259" t="n">
        <v>38434000</v>
      </c>
      <c r="Q18" s="259" t="n">
        <v>70253000</v>
      </c>
      <c r="R18" s="259" t="n">
        <v>63984000</v>
      </c>
      <c r="S18" s="259" t="n">
        <v>74602000</v>
      </c>
      <c r="T18" s="259" t="n">
        <v>83505000</v>
      </c>
      <c r="U18" s="259" t="n">
        <v>85188000</v>
      </c>
      <c r="V18" s="259" t="n">
        <v>93387000</v>
      </c>
      <c r="W18" s="259" t="n">
        <v>90335000</v>
      </c>
      <c r="X18" s="259" t="n">
        <v>89385000</v>
      </c>
      <c r="Y18" s="259" t="n">
        <v>90660000</v>
      </c>
      <c r="Z18" s="259" t="n">
        <v>86567000</v>
      </c>
      <c r="AA18" s="259" t="n">
        <v>87234000</v>
      </c>
      <c r="AB18" s="259" t="n">
        <v>81227000</v>
      </c>
      <c r="AC18" s="259" t="n">
        <v>80914000</v>
      </c>
      <c r="AD18" s="259" t="n">
        <v>79539000</v>
      </c>
      <c r="AE18" s="259" t="n">
        <v>80067000</v>
      </c>
      <c r="AF18" s="259" t="n">
        <v>80013000</v>
      </c>
      <c r="AG18" s="259" t="n">
        <v>87326000</v>
      </c>
      <c r="AH18" s="259" t="n">
        <v>85983000</v>
      </c>
      <c r="AI18" s="259" t="n">
        <v>98575000</v>
      </c>
      <c r="AJ18" s="259" t="n">
        <v>100530000</v>
      </c>
    </row>
    <row r="19">
      <c r="A19" t="n">
        <v>10</v>
      </c>
      <c r="B19" t="n">
        <v>-1</v>
      </c>
      <c r="G19" t="inlineStr">
        <is>
          <t>moeda</t>
        </is>
      </c>
      <c r="H19" t="inlineStr">
        <is>
          <t>Dividendos pagos [us-gaap:PaymentsOfDividends]</t>
        </is>
      </c>
      <c r="J19" t="inlineStr">
        <is>
          <t>fonte</t>
        </is>
      </c>
      <c r="K19" s="259" t="n">
        <v>0</v>
      </c>
      <c r="L19" s="259" t="n">
        <v>0</v>
      </c>
      <c r="M19" s="259" t="n">
        <v>0</v>
      </c>
      <c r="N19" s="259" t="n">
        <v>0</v>
      </c>
      <c r="O19" s="259" t="n">
        <v>0</v>
      </c>
      <c r="P19" s="259" t="n">
        <v>0</v>
      </c>
      <c r="Q19" s="259" t="n">
        <v>0</v>
      </c>
      <c r="R19" s="259" t="n">
        <v>0</v>
      </c>
      <c r="S19" s="259" t="n">
        <v>0</v>
      </c>
      <c r="T19" s="259" t="n">
        <v>0</v>
      </c>
      <c r="U19" s="259" t="n">
        <v>0</v>
      </c>
      <c r="V19" s="259" t="n">
        <v>0</v>
      </c>
      <c r="W19" s="259" t="n">
        <v>0</v>
      </c>
      <c r="X19" s="259" t="n">
        <v>0</v>
      </c>
      <c r="Y19" s="259" t="n">
        <v>0</v>
      </c>
      <c r="Z19" s="259" t="n">
        <v>0</v>
      </c>
      <c r="AA19" s="259" t="n">
        <v>0</v>
      </c>
      <c r="AB19" s="259" t="n">
        <v>0</v>
      </c>
      <c r="AC19" s="259" t="n">
        <v>0</v>
      </c>
      <c r="AD19" s="259" t="n">
        <v>0</v>
      </c>
      <c r="AE19" s="259" t="n">
        <v>0</v>
      </c>
      <c r="AF19" s="259" t="n">
        <v>0</v>
      </c>
      <c r="AG19" s="259" t="n">
        <v>0</v>
      </c>
      <c r="AH19" s="259" t="n">
        <v>0</v>
      </c>
      <c r="AI19" s="259" t="n">
        <v>0</v>
      </c>
      <c r="AJ19" s="259" t="n">
        <v>0</v>
      </c>
    </row>
    <row r="20">
      <c r="H20" s="254" t="inlineStr">
        <is>
          <t>BALANÇO DE FACE (USD, saldo no fim do trimestre; cada trimestre lido da instância do próprio 10-Q/10-K)</t>
        </is>
      </c>
    </row>
    <row r="21">
      <c r="A21" t="n">
        <v>11</v>
      </c>
      <c r="B21" t="n">
        <v>1</v>
      </c>
      <c r="G21" t="inlineStr">
        <is>
          <t>moeda</t>
        </is>
      </c>
      <c r="H21" t="inlineStr">
        <is>
          <t>CashAndCashEquivalentsAtCarryingValue</t>
        </is>
      </c>
      <c r="J21" t="inlineStr">
        <is>
          <t>fonte</t>
        </is>
      </c>
      <c r="K21" s="259" t="n">
        <v>5151884000</v>
      </c>
      <c r="L21" s="259" t="n">
        <v>7153248000</v>
      </c>
      <c r="M21" s="259" t="n">
        <v>8392391000</v>
      </c>
      <c r="N21" s="259" t="n">
        <v>8205550000</v>
      </c>
      <c r="O21" s="259" t="n">
        <v>8403705000</v>
      </c>
      <c r="P21" s="259" t="n">
        <v>7777530000</v>
      </c>
      <c r="Q21" s="259" t="n">
        <v>7526681000</v>
      </c>
      <c r="R21" s="259" t="n">
        <v>6027804000</v>
      </c>
      <c r="S21" s="259" t="n">
        <v>6008946000</v>
      </c>
      <c r="T21" s="259" t="n">
        <v>5819449000</v>
      </c>
      <c r="U21" s="259" t="n">
        <v>6113733000</v>
      </c>
      <c r="V21" s="259" t="n">
        <v>5147176000</v>
      </c>
      <c r="W21" s="259" t="n">
        <v>6714594000</v>
      </c>
      <c r="X21" s="259" t="n">
        <v>7662788000</v>
      </c>
      <c r="Y21" s="259" t="n">
        <v>7353245000</v>
      </c>
      <c r="Z21" s="259" t="n">
        <v>7116913000</v>
      </c>
      <c r="AA21" s="259" t="n">
        <v>7024766000</v>
      </c>
      <c r="AB21" s="259" t="n">
        <v>6624939000</v>
      </c>
      <c r="AC21" s="259" t="n">
        <v>7457025000</v>
      </c>
      <c r="AD21" s="259" t="n">
        <v>7804733000</v>
      </c>
      <c r="AE21" s="259" t="n">
        <v>7199848000</v>
      </c>
      <c r="AF21" s="259" t="n">
        <v>8177405000</v>
      </c>
      <c r="AG21" s="259" t="n">
        <v>9287287000</v>
      </c>
      <c r="AH21" s="259" t="n">
        <v>9033681000</v>
      </c>
      <c r="AI21" s="259" t="n">
        <v>12259772000</v>
      </c>
      <c r="AJ21" s="259" t="n">
        <v>9099232000</v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ShortTermInvestments</t>
        </is>
      </c>
      <c r="J22" t="inlineStr">
        <is>
          <t>fonte</t>
        </is>
      </c>
      <c r="K22" s="259" t="n">
        <v>0</v>
      </c>
      <c r="L22" s="259" t="n">
        <v>0</v>
      </c>
      <c r="M22" s="259" t="n">
        <v>0</v>
      </c>
      <c r="N22" s="259" t="n">
        <v>0</v>
      </c>
      <c r="O22" s="259" t="n">
        <v>0</v>
      </c>
      <c r="P22" s="259" t="n">
        <v>0</v>
      </c>
      <c r="Q22" s="259" t="n">
        <v>0</v>
      </c>
      <c r="R22" s="259" t="n">
        <v>0</v>
      </c>
      <c r="S22" s="259" t="n">
        <v>0</v>
      </c>
      <c r="T22" s="259" t="n">
        <v>0</v>
      </c>
      <c r="U22" s="259" t="n">
        <v>0</v>
      </c>
      <c r="V22" s="259" t="n">
        <v>911276000</v>
      </c>
      <c r="W22" s="259" t="n">
        <v>1112910000</v>
      </c>
      <c r="X22" s="259" t="n">
        <v>914201000</v>
      </c>
      <c r="Y22" s="259" t="n">
        <v>514201000</v>
      </c>
      <c r="Z22" s="259" t="n">
        <v>20973000</v>
      </c>
      <c r="AA22" s="259" t="n">
        <v>20973000</v>
      </c>
      <c r="AB22" s="259" t="n">
        <v>30973000</v>
      </c>
      <c r="AC22" s="259" t="n">
        <v>1766902000</v>
      </c>
      <c r="AD22" s="259" t="n">
        <v>1779006000</v>
      </c>
      <c r="AE22" s="259" t="n">
        <v>1171142000</v>
      </c>
      <c r="AF22" s="259" t="n">
        <v>213115000</v>
      </c>
      <c r="AG22" s="259" t="n">
        <v>37105000</v>
      </c>
      <c r="AH22" s="259" t="n">
        <v>28678000</v>
      </c>
      <c r="AI22" s="259" t="n">
        <v>28678000</v>
      </c>
      <c r="AJ22" s="259" t="n">
        <v>28678000</v>
      </c>
    </row>
    <row r="23">
      <c r="A23" t="n">
        <v>16</v>
      </c>
      <c r="B23" t="n">
        <v>1</v>
      </c>
      <c r="G23" t="inlineStr">
        <is>
          <t>moeda</t>
        </is>
      </c>
      <c r="H23" t="inlineStr">
        <is>
          <t>OtherAssetsCurrent</t>
        </is>
      </c>
      <c r="J23" t="inlineStr">
        <is>
          <t>fonte</t>
        </is>
      </c>
      <c r="K23" s="259" t="n">
        <v>1295897000</v>
      </c>
      <c r="L23" s="259" t="n">
        <v>1410891000</v>
      </c>
      <c r="M23" s="259" t="n">
        <v>1434089000</v>
      </c>
      <c r="N23" s="259" t="n">
        <v>1556030000</v>
      </c>
      <c r="O23" s="259" t="n">
        <v>1703803000</v>
      </c>
      <c r="P23" s="259" t="n">
        <v>1826746000</v>
      </c>
      <c r="Q23" s="259" t="n">
        <v>1889106000</v>
      </c>
      <c r="R23" s="259" t="n">
        <v>2042021000</v>
      </c>
      <c r="S23" s="259" t="n">
        <v>2089069000</v>
      </c>
      <c r="T23" s="259" t="n">
        <v>2021329000</v>
      </c>
      <c r="U23" s="259" t="n">
        <v>2703170000</v>
      </c>
      <c r="V23" s="259" t="n">
        <v>3208021000</v>
      </c>
      <c r="W23" s="259" t="n">
        <v>2655119000</v>
      </c>
      <c r="X23" s="259" t="n">
        <v>2929347000</v>
      </c>
      <c r="Y23" s="259" t="n">
        <v>2912028000</v>
      </c>
      <c r="Z23" s="259" t="n">
        <v>2780247000</v>
      </c>
      <c r="AA23" s="259" t="n">
        <v>2875574000</v>
      </c>
      <c r="AB23" s="259" t="n">
        <v>2959641000</v>
      </c>
      <c r="AC23" s="259" t="n">
        <v>2905172000</v>
      </c>
      <c r="AD23" s="259" t="n">
        <v>3516640000</v>
      </c>
      <c r="AE23" s="259" t="n">
        <v>3326642000</v>
      </c>
      <c r="AF23" s="259" t="n">
        <v>3602586000</v>
      </c>
      <c r="AG23" s="259" t="n">
        <v>3638543000</v>
      </c>
      <c r="AH23" s="259" t="n">
        <v>3957832000</v>
      </c>
      <c r="AI23" s="259" t="n">
        <v>4782532000</v>
      </c>
      <c r="AJ23" s="259" t="n">
        <v>4725393000</v>
      </c>
    </row>
    <row r="24">
      <c r="A24" t="n">
        <v>18</v>
      </c>
      <c r="B24" t="n">
        <v>1</v>
      </c>
      <c r="G24" t="inlineStr">
        <is>
          <t>moeda</t>
        </is>
      </c>
      <c r="H24" t="inlineStr">
        <is>
          <t>PropertyPlantAndEquipmentNet</t>
        </is>
      </c>
      <c r="J24" t="inlineStr">
        <is>
          <t>fonte</t>
        </is>
      </c>
      <c r="K24" s="259" t="n">
        <v>650455000</v>
      </c>
      <c r="L24" s="259" t="n">
        <v>751941000</v>
      </c>
      <c r="M24" s="259" t="n">
        <v>828118000</v>
      </c>
      <c r="N24" s="259" t="n">
        <v>960183000</v>
      </c>
      <c r="O24" s="259" t="n">
        <v>1015419000</v>
      </c>
      <c r="P24" s="259" t="n">
        <v>1107437000</v>
      </c>
      <c r="Q24" s="259" t="n">
        <v>1220114000</v>
      </c>
      <c r="R24" s="259" t="n">
        <v>1323453000</v>
      </c>
      <c r="S24" s="259" t="n">
        <v>1383763000</v>
      </c>
      <c r="T24" s="259" t="n">
        <v>1361920000</v>
      </c>
      <c r="U24" s="259" t="n">
        <v>1372754000</v>
      </c>
      <c r="V24" s="259" t="n">
        <v>1398257000</v>
      </c>
      <c r="W24" s="259" t="n">
        <v>1413094000</v>
      </c>
      <c r="X24" s="259" t="n">
        <v>1471968000</v>
      </c>
      <c r="Y24" s="259" t="n">
        <v>1498391000</v>
      </c>
      <c r="Z24" s="259" t="n">
        <v>1491444000</v>
      </c>
      <c r="AA24" s="259" t="n">
        <v>1501168000</v>
      </c>
      <c r="AB24" s="259" t="n">
        <v>1510958000</v>
      </c>
      <c r="AC24" s="259" t="n">
        <v>1568212000</v>
      </c>
      <c r="AD24" s="259" t="n">
        <v>1593756000</v>
      </c>
      <c r="AE24" s="259" t="n">
        <v>1644346000</v>
      </c>
      <c r="AF24" s="259" t="n">
        <v>1743566000</v>
      </c>
      <c r="AG24" s="259" t="n">
        <v>1837889000</v>
      </c>
      <c r="AH24" s="259" t="n">
        <v>2004350000</v>
      </c>
      <c r="AI24" s="259" t="n">
        <v>2147829000</v>
      </c>
      <c r="AJ24" s="259" t="n">
        <v>2398848000</v>
      </c>
    </row>
    <row r="25">
      <c r="A25" t="n">
        <v>22</v>
      </c>
      <c r="B25" t="n">
        <v>1</v>
      </c>
      <c r="G25" t="inlineStr">
        <is>
          <t>moeda</t>
        </is>
      </c>
      <c r="H25" t="inlineStr">
        <is>
          <t>ContentAssetsNetNoncurrent</t>
        </is>
      </c>
      <c r="J25" t="inlineStr">
        <is>
          <t>fonte</t>
        </is>
      </c>
      <c r="K25" s="259" t="n">
        <v>25266889000</v>
      </c>
      <c r="L25" s="259" t="n">
        <v>25155117000</v>
      </c>
      <c r="M25" s="259" t="n">
        <v>25067633000</v>
      </c>
      <c r="N25" s="259" t="n">
        <v>25383950000</v>
      </c>
      <c r="O25" s="259" t="n">
        <v>26043991000</v>
      </c>
      <c r="P25" s="259" t="n">
        <v>27291640000</v>
      </c>
      <c r="Q25" s="259" t="n">
        <v>28974045000</v>
      </c>
      <c r="R25" s="259" t="n">
        <v>30919539000</v>
      </c>
      <c r="S25" s="259" t="n">
        <v>31191920000</v>
      </c>
      <c r="T25" s="259" t="n">
        <v>32533199000</v>
      </c>
      <c r="U25" s="259" t="n">
        <v>32777340000</v>
      </c>
      <c r="V25" s="259" t="n">
        <v>32736713000</v>
      </c>
      <c r="W25" s="259" t="n">
        <v>32349184000</v>
      </c>
      <c r="X25" s="259" t="n">
        <v>32520774000</v>
      </c>
      <c r="Y25" s="259" t="n">
        <v>31749861000</v>
      </c>
      <c r="Z25" s="259" t="n">
        <v>31658056000</v>
      </c>
      <c r="AA25" s="259" t="n">
        <v>31662100000</v>
      </c>
      <c r="AB25" s="259" t="n">
        <v>31927355000</v>
      </c>
      <c r="AC25" s="259" t="n">
        <v>32175382000</v>
      </c>
      <c r="AD25" s="259" t="n">
        <v>32452462000</v>
      </c>
      <c r="AE25" s="259" t="n">
        <v>32040839000</v>
      </c>
      <c r="AF25" s="259" t="n">
        <v>32089394000</v>
      </c>
      <c r="AG25" s="259" t="n">
        <v>32639879000</v>
      </c>
      <c r="AH25" s="259" t="n">
        <v>32778392000</v>
      </c>
      <c r="AI25" s="259" t="n">
        <v>33376295000</v>
      </c>
      <c r="AJ25" s="259" t="n">
        <v>33837573000</v>
      </c>
    </row>
    <row r="26">
      <c r="A26" t="n">
        <v>22</v>
      </c>
      <c r="B26" t="n">
        <v>1</v>
      </c>
      <c r="G26" t="inlineStr">
        <is>
          <t>moeda</t>
        </is>
      </c>
      <c r="H26" t="inlineStr">
        <is>
          <t>OtherAssetsNoncurrent</t>
        </is>
      </c>
      <c r="J26" t="inlineStr">
        <is>
          <t>fonte</t>
        </is>
      </c>
      <c r="K26" s="259" t="n">
        <v>2694785000</v>
      </c>
      <c r="L26" s="259" t="n">
        <v>2704084000</v>
      </c>
      <c r="M26" s="259" t="n">
        <v>2900312000</v>
      </c>
      <c r="N26" s="259" t="n">
        <v>3174646000</v>
      </c>
      <c r="O26" s="259" t="n">
        <v>2956096000</v>
      </c>
      <c r="P26" s="259" t="n">
        <v>2967616000</v>
      </c>
      <c r="Q26" s="259" t="n">
        <v>3129911000</v>
      </c>
      <c r="R26" s="259" t="n">
        <v>4271846000</v>
      </c>
      <c r="S26" s="259" t="n">
        <v>4657206000</v>
      </c>
      <c r="T26" s="259" t="n">
        <v>4615038000</v>
      </c>
      <c r="U26" s="259" t="n">
        <v>4595190000</v>
      </c>
      <c r="V26" s="259" t="n">
        <v>5193325000</v>
      </c>
      <c r="W26" s="259" t="n">
        <v>5245444000</v>
      </c>
      <c r="X26" s="259" t="n">
        <v>5318395000</v>
      </c>
      <c r="Y26" s="259" t="n">
        <v>5474060000</v>
      </c>
      <c r="Z26" s="259" t="n">
        <v>5664359000</v>
      </c>
      <c r="AA26" s="259" t="n">
        <v>5743140000</v>
      </c>
      <c r="AB26" s="259" t="n">
        <v>6045029000</v>
      </c>
      <c r="AC26" s="259" t="n">
        <v>6409151000</v>
      </c>
      <c r="AD26" s="259" t="n">
        <v>6483777000</v>
      </c>
      <c r="AE26" s="259" t="n">
        <v>6704827000</v>
      </c>
      <c r="AF26" s="259" t="n">
        <v>7273598000</v>
      </c>
      <c r="AG26" s="259" t="n">
        <v>7494132000</v>
      </c>
      <c r="AH26" s="259" t="n">
        <v>7794060000</v>
      </c>
      <c r="AI26" s="259" t="n">
        <v>8420808000</v>
      </c>
      <c r="AJ26" s="259" t="n">
        <v>8360717000</v>
      </c>
    </row>
    <row r="27">
      <c r="A27" t="n">
        <v>23</v>
      </c>
      <c r="B27" t="n">
        <v>1</v>
      </c>
      <c r="G27" t="inlineStr">
        <is>
          <t>moeda</t>
        </is>
      </c>
      <c r="H27" t="inlineStr">
        <is>
          <t>AccountsPayableCurrent</t>
        </is>
      </c>
      <c r="J27" t="inlineStr">
        <is>
          <t>fonte</t>
        </is>
      </c>
      <c r="K27" s="259" t="n">
        <v>545488000</v>
      </c>
      <c r="L27" s="259" t="n">
        <v>446668000</v>
      </c>
      <c r="M27" s="259" t="n">
        <v>541298000</v>
      </c>
      <c r="N27" s="259" t="n">
        <v>656183000</v>
      </c>
      <c r="O27" s="259" t="n">
        <v>532942000</v>
      </c>
      <c r="P27" s="259" t="n">
        <v>622931000</v>
      </c>
      <c r="Q27" s="259" t="n">
        <v>643059000</v>
      </c>
      <c r="R27" s="259" t="n">
        <v>837483000</v>
      </c>
      <c r="S27" s="259" t="n">
        <v>617202000</v>
      </c>
      <c r="T27" s="259" t="n">
        <v>504278000</v>
      </c>
      <c r="U27" s="259" t="n">
        <v>560156000</v>
      </c>
      <c r="V27" s="259" t="n">
        <v>671513000</v>
      </c>
      <c r="W27" s="259" t="n">
        <v>591987000</v>
      </c>
      <c r="X27" s="259" t="n">
        <v>615374000</v>
      </c>
      <c r="Y27" s="259" t="n">
        <v>534429000</v>
      </c>
      <c r="Z27" s="259" t="n">
        <v>747412000</v>
      </c>
      <c r="AA27" s="259" t="n">
        <v>607348000</v>
      </c>
      <c r="AB27" s="259" t="n">
        <v>598557000</v>
      </c>
      <c r="AC27" s="259" t="n">
        <v>641953000</v>
      </c>
      <c r="AD27" s="259" t="n">
        <v>899909000</v>
      </c>
      <c r="AE27" s="259" t="n">
        <v>614489000</v>
      </c>
      <c r="AF27" s="259" t="n">
        <v>632718000</v>
      </c>
      <c r="AG27" s="259" t="n">
        <v>793233000</v>
      </c>
      <c r="AH27" s="259" t="n">
        <v>900612000</v>
      </c>
      <c r="AI27" s="259" t="n">
        <v>894681000</v>
      </c>
      <c r="AJ27" s="259" t="n">
        <v>814551000</v>
      </c>
    </row>
    <row r="28">
      <c r="A28" t="n">
        <v>24</v>
      </c>
      <c r="B28" t="n">
        <v>1</v>
      </c>
      <c r="G28" t="inlineStr">
        <is>
          <t>moeda</t>
        </is>
      </c>
      <c r="H28" t="inlineStr">
        <is>
          <t>AccruedLiabilitiesCurrent</t>
        </is>
      </c>
      <c r="J28" t="inlineStr">
        <is>
          <t>fonte</t>
        </is>
      </c>
      <c r="K28" s="259" t="n">
        <v>1061090000</v>
      </c>
      <c r="L28" s="259" t="n">
        <v>986595000</v>
      </c>
      <c r="M28" s="259" t="n">
        <v>1259124000</v>
      </c>
      <c r="N28" s="259" t="n">
        <v>1102196000</v>
      </c>
      <c r="O28" s="259" t="n">
        <v>1291812000</v>
      </c>
      <c r="P28" s="259" t="n">
        <v>1125591000</v>
      </c>
      <c r="Q28" s="259" t="n">
        <v>1413120000</v>
      </c>
      <c r="R28" s="259" t="n">
        <v>1449351000</v>
      </c>
      <c r="S28" s="259" t="n">
        <v>1817117000</v>
      </c>
      <c r="T28" s="259" t="n">
        <v>1596035000</v>
      </c>
      <c r="U28" s="259" t="n">
        <v>1803555000</v>
      </c>
      <c r="V28" s="259" t="n">
        <v>1514650000</v>
      </c>
      <c r="W28" s="259" t="n">
        <v>1718069000</v>
      </c>
      <c r="X28" s="259" t="n">
        <v>1908714000</v>
      </c>
      <c r="Y28" s="259" t="n">
        <v>1838908000</v>
      </c>
      <c r="Z28" s="259" t="n">
        <v>1803960000</v>
      </c>
      <c r="AA28" s="259" t="n">
        <v>1977428000</v>
      </c>
      <c r="AB28" s="259" t="n">
        <v>1876244000</v>
      </c>
      <c r="AC28" s="259" t="n">
        <v>2241758000</v>
      </c>
      <c r="AD28" s="259" t="n">
        <v>2156544000</v>
      </c>
      <c r="AE28" s="259" t="n">
        <v>2359518000</v>
      </c>
      <c r="AF28" s="259" t="n">
        <v>2489486000</v>
      </c>
      <c r="AG28" s="259" t="n">
        <v>3111311000</v>
      </c>
      <c r="AH28" s="259" t="n">
        <v>3220869000</v>
      </c>
      <c r="AI28" s="259" t="n">
        <v>4441986000</v>
      </c>
      <c r="AJ28" s="259" t="n">
        <v>3172611000</v>
      </c>
    </row>
    <row r="29">
      <c r="A29" t="n">
        <v>26</v>
      </c>
      <c r="B29" t="n">
        <v>1</v>
      </c>
      <c r="G29" t="inlineStr">
        <is>
          <t>moeda</t>
        </is>
      </c>
      <c r="H29" t="inlineStr">
        <is>
          <t>ContentLiabilitiesCurrent</t>
        </is>
      </c>
      <c r="J29" t="inlineStr">
        <is>
          <t>fonte</t>
        </is>
      </c>
      <c r="K29" s="259" t="n">
        <v>4761585000</v>
      </c>
      <c r="L29" s="259" t="n">
        <v>4664733000</v>
      </c>
      <c r="M29" s="259" t="n">
        <v>4599654000</v>
      </c>
      <c r="N29" s="259" t="n">
        <v>4429536000</v>
      </c>
      <c r="O29" s="259" t="n">
        <v>4297957000</v>
      </c>
      <c r="P29" s="259" t="n">
        <v>4197874000</v>
      </c>
      <c r="Q29" s="259" t="n">
        <v>4110962000</v>
      </c>
      <c r="R29" s="259" t="n">
        <v>4292967000</v>
      </c>
      <c r="S29" s="259" t="n">
        <v>4066289000</v>
      </c>
      <c r="T29" s="259" t="n">
        <v>4174966000</v>
      </c>
      <c r="U29" s="259" t="n">
        <v>4225890000</v>
      </c>
      <c r="V29" s="259" t="n">
        <v>4480150000</v>
      </c>
      <c r="W29" s="259" t="n">
        <v>4344580000</v>
      </c>
      <c r="X29" s="259" t="n">
        <v>4440412000</v>
      </c>
      <c r="Y29" s="259" t="n">
        <v>4259582000</v>
      </c>
      <c r="Z29" s="259" t="n">
        <v>4466470000</v>
      </c>
      <c r="AA29" s="259" t="n">
        <v>4436021000</v>
      </c>
      <c r="AB29" s="259" t="n">
        <v>4391437000</v>
      </c>
      <c r="AC29" s="259" t="n">
        <v>4489971000</v>
      </c>
      <c r="AD29" s="259" t="n">
        <v>4393681000</v>
      </c>
      <c r="AE29" s="259" t="n">
        <v>4128905000</v>
      </c>
      <c r="AF29" s="259" t="n">
        <v>4091770000</v>
      </c>
      <c r="AG29" s="259" t="n">
        <v>4102640000</v>
      </c>
      <c r="AH29" s="259" t="n">
        <v>4084854000</v>
      </c>
      <c r="AI29" s="259" t="n">
        <v>4052278000</v>
      </c>
      <c r="AJ29" s="259" t="n">
        <v>3866522000</v>
      </c>
    </row>
    <row r="30">
      <c r="A30" t="n">
        <v>26</v>
      </c>
      <c r="B30" t="n">
        <v>1</v>
      </c>
      <c r="G30" t="inlineStr">
        <is>
          <t>moeda</t>
        </is>
      </c>
      <c r="H30" t="inlineStr">
        <is>
          <t>ContractWithCustomerLiabilityCurrent</t>
        </is>
      </c>
      <c r="J30" t="inlineStr">
        <is>
          <t>fonte</t>
        </is>
      </c>
      <c r="K30" s="259" t="n">
        <v>986753000</v>
      </c>
      <c r="L30" s="259" t="n">
        <v>1029261000</v>
      </c>
      <c r="M30" s="259" t="n">
        <v>1040202000</v>
      </c>
      <c r="N30" s="259" t="n">
        <v>1117992000</v>
      </c>
      <c r="O30" s="259" t="n">
        <v>1140271000</v>
      </c>
      <c r="P30" s="259" t="n">
        <v>1187364000</v>
      </c>
      <c r="Q30" s="259" t="n">
        <v>1182632000</v>
      </c>
      <c r="R30" s="259" t="n">
        <v>1209342000</v>
      </c>
      <c r="S30" s="259" t="n">
        <v>1239048000</v>
      </c>
      <c r="T30" s="259" t="n">
        <v>1224743000</v>
      </c>
      <c r="U30" s="259" t="n">
        <v>1176323000</v>
      </c>
      <c r="V30" s="259" t="n">
        <v>1264661000</v>
      </c>
      <c r="W30" s="259" t="n">
        <v>1262271000</v>
      </c>
      <c r="X30" s="259" t="n">
        <v>1311918000</v>
      </c>
      <c r="Y30" s="259" t="n">
        <v>1306185000</v>
      </c>
      <c r="Z30" s="259" t="n">
        <v>1442969000</v>
      </c>
      <c r="AA30" s="259" t="n">
        <v>1469484000</v>
      </c>
      <c r="AB30" s="259" t="n">
        <v>1473720000</v>
      </c>
      <c r="AC30" s="259" t="n">
        <v>1513048000</v>
      </c>
      <c r="AD30" s="259" t="n">
        <v>1520813000</v>
      </c>
      <c r="AE30" s="259" t="n">
        <v>1609726000</v>
      </c>
      <c r="AF30" s="259" t="n">
        <v>1728361000</v>
      </c>
      <c r="AG30" s="259" t="n">
        <v>1724675000</v>
      </c>
      <c r="AH30" s="259" t="n">
        <v>1775730000</v>
      </c>
      <c r="AI30" s="259" t="n">
        <v>1743448000</v>
      </c>
      <c r="AJ30" s="259" t="n">
        <v>1797456000</v>
      </c>
    </row>
    <row r="31">
      <c r="A31" t="n">
        <v>27</v>
      </c>
      <c r="B31" t="n">
        <v>1</v>
      </c>
      <c r="G31" t="inlineStr">
        <is>
          <t>moeda</t>
        </is>
      </c>
      <c r="H31" t="inlineStr">
        <is>
          <t>ShortTermBorrowings</t>
        </is>
      </c>
      <c r="J31" t="inlineStr">
        <is>
          <t>fonte</t>
        </is>
      </c>
      <c r="K31" s="259" t="n">
        <v>498809000</v>
      </c>
      <c r="L31" s="259" t="n">
        <v>499161000</v>
      </c>
      <c r="M31" s="259" t="n">
        <v>499517000</v>
      </c>
      <c r="N31" s="259" t="n">
        <v>499878000</v>
      </c>
      <c r="O31" s="259" t="n">
        <v>698788000</v>
      </c>
      <c r="P31" s="259" t="n">
        <v>699128000</v>
      </c>
      <c r="Q31" s="259" t="n">
        <v>699473000</v>
      </c>
      <c r="R31" s="259" t="n">
        <v>699823000</v>
      </c>
      <c r="S31" s="259" t="n">
        <v>0</v>
      </c>
      <c r="T31" s="259" t="n">
        <v>0</v>
      </c>
      <c r="U31" s="259" t="n">
        <v>0</v>
      </c>
      <c r="V31" s="259" t="n">
        <v>0</v>
      </c>
      <c r="W31" s="259" t="n">
        <v>399163000</v>
      </c>
      <c r="X31" s="259" t="n">
        <v>399387000</v>
      </c>
      <c r="Y31" s="259" t="n">
        <v>399614000</v>
      </c>
      <c r="Z31" s="259" t="n">
        <v>399844000</v>
      </c>
      <c r="AA31" s="259" t="n">
        <v>798936000</v>
      </c>
      <c r="AB31" s="259" t="n">
        <v>1800041000</v>
      </c>
      <c r="AC31" s="259" t="n">
        <v>1820396000</v>
      </c>
      <c r="AD31" s="259" t="n">
        <v>1784453000</v>
      </c>
      <c r="AE31" s="259" t="n">
        <v>1005881000</v>
      </c>
      <c r="AF31" s="259" t="n">
        <v>0</v>
      </c>
      <c r="AG31" s="259" t="n">
        <v>0</v>
      </c>
      <c r="AH31" s="259" t="n">
        <v>998865000</v>
      </c>
      <c r="AI31" s="259" t="n">
        <v>999185000</v>
      </c>
      <c r="AJ31" s="259" t="n">
        <v>2483758000</v>
      </c>
    </row>
    <row r="32">
      <c r="A32" t="n">
        <v>30</v>
      </c>
      <c r="B32" t="n">
        <v>1</v>
      </c>
      <c r="G32" t="inlineStr">
        <is>
          <t>moeda</t>
        </is>
      </c>
      <c r="H32" t="inlineStr">
        <is>
          <t>LongTermDebtNoncurrent</t>
        </is>
      </c>
      <c r="J32" t="inlineStr">
        <is>
          <t>fonte</t>
        </is>
      </c>
      <c r="K32" s="259" t="n">
        <v>14170692000</v>
      </c>
      <c r="L32" s="259" t="n">
        <v>15294998000</v>
      </c>
      <c r="M32" s="259" t="n">
        <v>15547616000</v>
      </c>
      <c r="N32" s="259" t="n">
        <v>15809095000</v>
      </c>
      <c r="O32" s="259" t="n">
        <v>14860552000</v>
      </c>
      <c r="P32" s="259" t="n">
        <v>14926889000</v>
      </c>
      <c r="Q32" s="259" t="n">
        <v>14793691000</v>
      </c>
      <c r="R32" s="259" t="n">
        <v>14693072000</v>
      </c>
      <c r="S32" s="259" t="n">
        <v>14534561000</v>
      </c>
      <c r="T32" s="259" t="n">
        <v>14233303000</v>
      </c>
      <c r="U32" s="259" t="n">
        <v>13888117000</v>
      </c>
      <c r="V32" s="259" t="n">
        <v>14353076000</v>
      </c>
      <c r="W32" s="259" t="n">
        <v>14037965000</v>
      </c>
      <c r="X32" s="259" t="n">
        <v>14070151000</v>
      </c>
      <c r="Y32" s="259" t="n">
        <v>13900754000</v>
      </c>
      <c r="Z32" s="259" t="n">
        <v>14143417000</v>
      </c>
      <c r="AA32" s="259" t="n">
        <v>13217038000</v>
      </c>
      <c r="AB32" s="259" t="n">
        <v>12180024000</v>
      </c>
      <c r="AC32" s="259" t="n">
        <v>14160932000</v>
      </c>
      <c r="AD32" s="259" t="n">
        <v>13798351000</v>
      </c>
      <c r="AE32" s="259" t="n">
        <v>14011037000</v>
      </c>
      <c r="AF32" s="259" t="n">
        <v>14453206000</v>
      </c>
      <c r="AG32" s="259" t="n">
        <v>14463020000</v>
      </c>
      <c r="AH32" s="259" t="n">
        <v>13463971000</v>
      </c>
      <c r="AI32" s="259" t="n">
        <v>13361331000</v>
      </c>
      <c r="AJ32" s="259" t="n">
        <v>11825548000</v>
      </c>
    </row>
    <row r="33">
      <c r="A33" t="n">
        <v>34</v>
      </c>
      <c r="B33" t="n">
        <v>1</v>
      </c>
      <c r="G33" t="inlineStr">
        <is>
          <t>moeda</t>
        </is>
      </c>
      <c r="H33" t="inlineStr">
        <is>
          <t>ContentLiabilitiesNoncurrent</t>
        </is>
      </c>
      <c r="J33" t="inlineStr">
        <is>
          <t>fonte</t>
        </is>
      </c>
      <c r="K33" s="259" t="n">
        <v>3206051000</v>
      </c>
      <c r="L33" s="259" t="n">
        <v>3208164000</v>
      </c>
      <c r="M33" s="259" t="n">
        <v>2926574000</v>
      </c>
      <c r="N33" s="259" t="n">
        <v>2618084000</v>
      </c>
      <c r="O33" s="259" t="n">
        <v>2465626000</v>
      </c>
      <c r="P33" s="259" t="n">
        <v>2265286000</v>
      </c>
      <c r="Q33" s="259" t="n">
        <v>2301026000</v>
      </c>
      <c r="R33" s="259" t="n">
        <v>3094213000</v>
      </c>
      <c r="S33" s="259" t="n">
        <v>2945221000</v>
      </c>
      <c r="T33" s="259" t="n">
        <v>2989961000</v>
      </c>
      <c r="U33" s="259" t="n">
        <v>2955368000</v>
      </c>
      <c r="V33" s="259" t="n">
        <v>3081277000</v>
      </c>
      <c r="W33" s="259" t="n">
        <v>2908029000</v>
      </c>
      <c r="X33" s="259" t="n">
        <v>2849387000</v>
      </c>
      <c r="Y33" s="259" t="n">
        <v>2668472000</v>
      </c>
      <c r="Z33" s="259" t="n">
        <v>2578173000</v>
      </c>
      <c r="AA33" s="259" t="n">
        <v>2370692000</v>
      </c>
      <c r="AB33" s="259" t="n">
        <v>2028782000</v>
      </c>
      <c r="AC33" s="259" t="n">
        <v>1918089000</v>
      </c>
      <c r="AD33" s="259" t="n">
        <v>1780806000</v>
      </c>
      <c r="AE33" s="259" t="n">
        <v>1696662000</v>
      </c>
      <c r="AF33" s="259" t="n">
        <v>1606404000</v>
      </c>
      <c r="AG33" s="259" t="n">
        <v>1591973000</v>
      </c>
      <c r="AH33" s="259" t="n">
        <v>1579476000</v>
      </c>
      <c r="AI33" s="259" t="n">
        <v>1626498000</v>
      </c>
      <c r="AJ33" s="259" t="n">
        <v>1625600000</v>
      </c>
    </row>
    <row r="34">
      <c r="A34" t="n">
        <v>34</v>
      </c>
      <c r="B34" t="n">
        <v>1</v>
      </c>
      <c r="G34" t="inlineStr">
        <is>
          <t>moeda</t>
        </is>
      </c>
      <c r="H34" t="inlineStr">
        <is>
          <t>OtherLiabilitiesNoncurrent</t>
        </is>
      </c>
      <c r="J34" t="inlineStr">
        <is>
          <t>fonte</t>
        </is>
      </c>
      <c r="K34" s="259" t="n">
        <v>1420148000</v>
      </c>
      <c r="L34" s="259" t="n">
        <v>1710948000</v>
      </c>
      <c r="M34" s="259" t="n">
        <v>1875235000</v>
      </c>
      <c r="N34" s="259" t="n">
        <v>1982155000</v>
      </c>
      <c r="O34" s="259" t="n">
        <v>1950986000</v>
      </c>
      <c r="P34" s="259" t="n">
        <v>2082035000</v>
      </c>
      <c r="Q34" s="259" t="n">
        <v>2281277000</v>
      </c>
      <c r="R34" s="259" t="n">
        <v>2459164000</v>
      </c>
      <c r="S34" s="259" t="n">
        <v>2567427000</v>
      </c>
      <c r="T34" s="259" t="n">
        <v>2551675000</v>
      </c>
      <c r="U34" s="259" t="n">
        <v>2424637000</v>
      </c>
      <c r="V34" s="259" t="n">
        <v>2452040000</v>
      </c>
      <c r="W34" s="259" t="n">
        <v>2400085000</v>
      </c>
      <c r="X34" s="259" t="n">
        <v>2389915000</v>
      </c>
      <c r="Y34" s="259" t="n">
        <v>2486215000</v>
      </c>
      <c r="Z34" s="259" t="n">
        <v>2561434000</v>
      </c>
      <c r="AA34" s="259" t="n">
        <v>2585364000</v>
      </c>
      <c r="AB34" s="259" t="n">
        <v>2637397000</v>
      </c>
      <c r="AC34" s="259" t="n">
        <v>2774961000</v>
      </c>
      <c r="AD34" s="259" t="n">
        <v>2552250000</v>
      </c>
      <c r="AE34" s="259" t="n">
        <v>2633353000</v>
      </c>
      <c r="AF34" s="259" t="n">
        <v>3145820000</v>
      </c>
      <c r="AG34" s="259" t="n">
        <v>3193948000</v>
      </c>
      <c r="AH34" s="259" t="n">
        <v>2957128000</v>
      </c>
      <c r="AI34" s="259" t="n">
        <v>2770108000</v>
      </c>
      <c r="AJ34" s="259" t="n">
        <v>2712343000</v>
      </c>
    </row>
    <row r="35">
      <c r="A35" t="n">
        <v>37</v>
      </c>
      <c r="B35" t="n">
        <v>1</v>
      </c>
      <c r="G35" t="inlineStr">
        <is>
          <t>moeda</t>
        </is>
      </c>
      <c r="H35" t="inlineStr">
        <is>
          <t>CommonStockValue</t>
        </is>
      </c>
      <c r="J35" t="inlineStr">
        <is>
          <t>fonte</t>
        </is>
      </c>
      <c r="K35" s="259" t="n">
        <v>2935532000</v>
      </c>
      <c r="L35" s="259" t="n">
        <v>3127813000</v>
      </c>
      <c r="M35" s="259" t="n">
        <v>3303482000</v>
      </c>
      <c r="N35" s="259" t="n">
        <v>3447698000</v>
      </c>
      <c r="O35" s="259" t="n">
        <v>3600084000</v>
      </c>
      <c r="P35" s="259" t="n">
        <v>3721246000</v>
      </c>
      <c r="Q35" s="259" t="n">
        <v>3852531000</v>
      </c>
      <c r="R35" s="259" t="n">
        <v>4024561000</v>
      </c>
      <c r="S35" s="259" t="n">
        <v>4155580000</v>
      </c>
      <c r="T35" s="259" t="n">
        <v>4316870000</v>
      </c>
      <c r="U35" s="259" t="n">
        <v>4473962000</v>
      </c>
      <c r="V35" s="259" t="n">
        <v>4637601000</v>
      </c>
      <c r="W35" s="259" t="n">
        <v>4762395000</v>
      </c>
      <c r="X35" s="259" t="n">
        <v>4874208000</v>
      </c>
      <c r="Y35" s="259" t="n">
        <v>5011427000</v>
      </c>
      <c r="Z35" s="259" t="n">
        <v>5145172000</v>
      </c>
      <c r="AA35" s="259" t="n">
        <v>5489850000</v>
      </c>
      <c r="AB35" s="259" t="n">
        <v>5680061000</v>
      </c>
      <c r="AC35" s="259" t="n">
        <v>5887903000</v>
      </c>
      <c r="AD35" s="259" t="n">
        <v>6252126000</v>
      </c>
      <c r="AE35" s="259" t="n">
        <v>6677469000</v>
      </c>
      <c r="AF35" s="259" t="n">
        <v>6932828000</v>
      </c>
      <c r="AG35" s="259" t="n">
        <v>7080325000</v>
      </c>
      <c r="AH35" s="259" t="n">
        <v>7286410000</v>
      </c>
      <c r="AI35" s="259" t="n">
        <v>7478495000</v>
      </c>
      <c r="AJ35" s="259" t="n">
        <v>7670503000</v>
      </c>
    </row>
    <row r="36">
      <c r="A36" t="n">
        <v>38</v>
      </c>
      <c r="B36" t="n">
        <v>1</v>
      </c>
      <c r="G36" t="inlineStr">
        <is>
          <t>moeda</t>
        </is>
      </c>
      <c r="H36" t="inlineStr">
        <is>
          <t>TreasuryStockValue (divulgado positivo, lançado negativo)</t>
        </is>
      </c>
      <c r="J36" t="inlineStr">
        <is>
          <t>fonte</t>
        </is>
      </c>
      <c r="K36" s="259" t="n">
        <v>0</v>
      </c>
      <c r="L36" s="259" t="n">
        <v>0</v>
      </c>
      <c r="M36" s="259" t="n">
        <v>0</v>
      </c>
      <c r="N36" s="259" t="n">
        <v>0</v>
      </c>
      <c r="O36" s="259" t="n">
        <v>0</v>
      </c>
      <c r="P36" s="259" t="n">
        <v>-500022000</v>
      </c>
      <c r="Q36" s="259" t="n">
        <v>-600022000</v>
      </c>
      <c r="R36" s="259" t="n">
        <v>-824190000</v>
      </c>
      <c r="S36" s="259" t="n">
        <v>-824190000</v>
      </c>
      <c r="T36" s="259" t="n">
        <v>0</v>
      </c>
      <c r="U36" s="259" t="n">
        <v>0</v>
      </c>
      <c r="V36" s="259" t="n">
        <v>0</v>
      </c>
      <c r="W36" s="259" t="n">
        <v>0</v>
      </c>
      <c r="X36" s="259" t="n">
        <v>0</v>
      </c>
      <c r="Y36" s="259" t="n">
        <v>0</v>
      </c>
      <c r="Z36" s="259" t="n">
        <v>0</v>
      </c>
      <c r="AA36" s="259" t="n">
        <v>0</v>
      </c>
      <c r="AB36" s="259" t="n">
        <v>0</v>
      </c>
      <c r="AC36" s="259" t="n">
        <v>0</v>
      </c>
      <c r="AD36" s="259" t="n">
        <v>0</v>
      </c>
      <c r="AE36" s="259" t="n">
        <v>0</v>
      </c>
      <c r="AF36" s="259" t="n">
        <v>0</v>
      </c>
      <c r="AG36" s="259" t="n">
        <v>0</v>
      </c>
      <c r="AH36" s="259" t="n">
        <v>0</v>
      </c>
      <c r="AI36" s="259" t="n">
        <v>0</v>
      </c>
      <c r="AJ36" s="259" t="n">
        <v>0</v>
      </c>
    </row>
    <row r="37">
      <c r="A37" t="n">
        <v>38</v>
      </c>
      <c r="B37" t="n">
        <v>1</v>
      </c>
      <c r="G37" t="inlineStr">
        <is>
          <t>moeda</t>
        </is>
      </c>
      <c r="H37" t="inlineStr">
        <is>
          <t>TreasuryStockCommonValue (divulgado positivo, lançado negativo)</t>
        </is>
      </c>
      <c r="J37" t="inlineStr">
        <is>
          <t>fonte</t>
        </is>
      </c>
      <c r="K37" s="259" t="n">
        <v>0</v>
      </c>
      <c r="L37" s="259" t="n">
        <v>0</v>
      </c>
      <c r="M37" s="259" t="n">
        <v>0</v>
      </c>
      <c r="N37" s="259" t="n">
        <v>0</v>
      </c>
      <c r="O37" s="259" t="n">
        <v>0</v>
      </c>
      <c r="P37" s="259" t="n">
        <v>0</v>
      </c>
      <c r="Q37" s="259" t="n">
        <v>0</v>
      </c>
      <c r="R37" s="259" t="n">
        <v>0</v>
      </c>
      <c r="S37" s="259" t="n">
        <v>0</v>
      </c>
      <c r="T37" s="259" t="n">
        <v>-824190000</v>
      </c>
      <c r="U37" s="259" t="n">
        <v>-824190000</v>
      </c>
      <c r="V37" s="259" t="n">
        <v>-824190000</v>
      </c>
      <c r="W37" s="259" t="n">
        <v>-1228920000</v>
      </c>
      <c r="X37" s="259" t="n">
        <v>-1876753000</v>
      </c>
      <c r="Y37" s="259" t="n">
        <v>-4399677000</v>
      </c>
      <c r="Z37" s="259" t="n">
        <v>-6922200000</v>
      </c>
      <c r="AA37" s="259" t="n">
        <v>-8934056000</v>
      </c>
      <c r="AB37" s="259" t="n">
        <v>-10547055000</v>
      </c>
      <c r="AC37" s="259" t="n">
        <v>-12254855000</v>
      </c>
      <c r="AD37" s="259" t="n">
        <v>-13171638000</v>
      </c>
      <c r="AE37" s="259" t="n">
        <v>-16754929000</v>
      </c>
      <c r="AF37" s="259" t="n">
        <v>-18392942000</v>
      </c>
      <c r="AG37" s="259" t="n">
        <v>-20270631000</v>
      </c>
      <c r="AH37" s="259" t="n">
        <v>-22372658000</v>
      </c>
      <c r="AI37" s="259" t="n">
        <v>-23681974000</v>
      </c>
      <c r="AJ37" s="259" t="n">
        <v>-28387657000</v>
      </c>
    </row>
    <row r="38">
      <c r="A38" t="n">
        <v>39</v>
      </c>
      <c r="B38" t="n">
        <v>1</v>
      </c>
      <c r="G38" t="inlineStr">
        <is>
          <t>moeda</t>
        </is>
      </c>
      <c r="H38" t="inlineStr">
        <is>
          <t>AccumulatedOtherComprehensiveIncomeLossNetOfTax</t>
        </is>
      </c>
      <c r="J38" t="inlineStr">
        <is>
          <t>fonte</t>
        </is>
      </c>
      <c r="K38" s="259" t="n">
        <v>-47054000</v>
      </c>
      <c r="L38" s="259" t="n">
        <v>-34072000</v>
      </c>
      <c r="M38" s="259" t="n">
        <v>-1147000</v>
      </c>
      <c r="N38" s="259" t="n">
        <v>44398000</v>
      </c>
      <c r="O38" s="259" t="n">
        <v>4137000</v>
      </c>
      <c r="P38" s="259" t="n">
        <v>9775000</v>
      </c>
      <c r="Q38" s="259" t="n">
        <v>-19835000</v>
      </c>
      <c r="R38" s="259" t="n">
        <v>-40495000</v>
      </c>
      <c r="S38" s="259" t="n">
        <v>-74170000</v>
      </c>
      <c r="T38" s="259" t="n">
        <v>-144476000</v>
      </c>
      <c r="U38" s="259" t="n">
        <v>-247643000</v>
      </c>
      <c r="V38" s="259" t="n">
        <v>-217306000</v>
      </c>
      <c r="W38" s="259" t="n">
        <v>-191695000</v>
      </c>
      <c r="X38" s="259" t="n">
        <v>-139266000</v>
      </c>
      <c r="Y38" s="259" t="n">
        <v>-155571000</v>
      </c>
      <c r="Z38" s="259" t="n">
        <v>-223945000</v>
      </c>
      <c r="AA38" s="259" t="n">
        <v>-111879000</v>
      </c>
      <c r="AB38" s="259" t="n">
        <v>-89114000</v>
      </c>
      <c r="AC38" s="259" t="n">
        <v>-344622000</v>
      </c>
      <c r="AD38" s="259" t="n">
        <v>362162000</v>
      </c>
      <c r="AE38" s="259" t="n">
        <v>-85735000</v>
      </c>
      <c r="AF38" s="259" t="n">
        <v>-904668000</v>
      </c>
      <c r="AG38" s="259" t="n">
        <v>-719256000</v>
      </c>
      <c r="AH38" s="259" t="n">
        <v>-580382000</v>
      </c>
      <c r="AI38" s="259" t="n">
        <v>-235031000</v>
      </c>
      <c r="AJ38" s="259" t="n">
        <v>-97117000</v>
      </c>
    </row>
    <row r="39">
      <c r="A39" t="n">
        <v>41</v>
      </c>
      <c r="B39" t="n">
        <v>1</v>
      </c>
      <c r="G39" t="inlineStr">
        <is>
          <t>moeda</t>
        </is>
      </c>
      <c r="H39" t="inlineStr">
        <is>
          <t>RetainedEarningsAccumulatedDeficit</t>
        </is>
      </c>
      <c r="J39" t="inlineStr">
        <is>
          <t>fonte</t>
        </is>
      </c>
      <c r="K39" s="259" t="n">
        <v>5520816000</v>
      </c>
      <c r="L39" s="259" t="n">
        <v>6241012000</v>
      </c>
      <c r="M39" s="259" t="n">
        <v>7030988000</v>
      </c>
      <c r="N39" s="259" t="n">
        <v>7573144000</v>
      </c>
      <c r="O39" s="259" t="n">
        <v>9279859000</v>
      </c>
      <c r="P39" s="259" t="n">
        <v>10632872000</v>
      </c>
      <c r="Q39" s="259" t="n">
        <v>12081943000</v>
      </c>
      <c r="R39" s="259" t="n">
        <v>12689372000</v>
      </c>
      <c r="S39" s="259" t="n">
        <v>14286819000</v>
      </c>
      <c r="T39" s="259" t="n">
        <v>15727770000</v>
      </c>
      <c r="U39" s="259" t="n">
        <v>17126012000</v>
      </c>
      <c r="V39" s="259" t="n">
        <v>17181296000</v>
      </c>
      <c r="W39" s="259" t="n">
        <v>18486416000</v>
      </c>
      <c r="X39" s="259" t="n">
        <v>19974026000</v>
      </c>
      <c r="Y39" s="259" t="n">
        <v>21651448000</v>
      </c>
      <c r="Z39" s="259" t="n">
        <v>22589286000</v>
      </c>
      <c r="AA39" s="259" t="n">
        <v>24921495000</v>
      </c>
      <c r="AB39" s="259" t="n">
        <v>27068801000</v>
      </c>
      <c r="AC39" s="259" t="n">
        <v>29432310000</v>
      </c>
      <c r="AD39" s="259" t="n">
        <v>31300917000</v>
      </c>
      <c r="AE39" s="259" t="n">
        <v>34191268000</v>
      </c>
      <c r="AF39" s="259" t="n">
        <v>37316681000</v>
      </c>
      <c r="AG39" s="259" t="n">
        <v>39863597000</v>
      </c>
      <c r="AH39" s="259" t="n">
        <v>42282118000</v>
      </c>
      <c r="AI39" s="259" t="n">
        <v>47564909000</v>
      </c>
      <c r="AJ39" s="259" t="n">
        <v>50966323000</v>
      </c>
    </row>
    <row r="40">
      <c r="A40" t="n">
        <v>9</v>
      </c>
      <c r="B40" t="n">
        <v>1</v>
      </c>
      <c r="G40" t="inlineStr">
        <is>
          <t>moeda</t>
        </is>
      </c>
      <c r="H40" t="inlineStr">
        <is>
          <t>[vazio] Minoritários (DRE): não aparece como linha própria nas demonstrações (zero)</t>
        </is>
      </c>
      <c r="J40" t="inlineStr">
        <is>
          <t>derivada</t>
        </is>
      </c>
      <c r="K40" s="259" t="n">
        <v>0</v>
      </c>
      <c r="L40" s="259" t="n">
        <v>0</v>
      </c>
      <c r="M40" s="259" t="n">
        <v>0</v>
      </c>
      <c r="N40" s="259" t="n">
        <v>0</v>
      </c>
      <c r="O40" s="259" t="n">
        <v>0</v>
      </c>
      <c r="P40" s="259" t="n">
        <v>0</v>
      </c>
      <c r="Q40" s="259" t="n">
        <v>0</v>
      </c>
      <c r="R40" s="259" t="n">
        <v>0</v>
      </c>
      <c r="S40" s="259" t="n">
        <v>0</v>
      </c>
      <c r="T40" s="259" t="n">
        <v>0</v>
      </c>
      <c r="U40" s="259" t="n">
        <v>0</v>
      </c>
      <c r="V40" s="259" t="n">
        <v>0</v>
      </c>
      <c r="W40" s="259" t="n">
        <v>0</v>
      </c>
      <c r="X40" s="259" t="n">
        <v>0</v>
      </c>
      <c r="Y40" s="259" t="n">
        <v>0</v>
      </c>
      <c r="Z40" s="259" t="n">
        <v>0</v>
      </c>
      <c r="AA40" s="259" t="n">
        <v>0</v>
      </c>
      <c r="AB40" s="259" t="n">
        <v>0</v>
      </c>
      <c r="AC40" s="259" t="n">
        <v>0</v>
      </c>
      <c r="AD40" s="259" t="n">
        <v>0</v>
      </c>
      <c r="AE40" s="259" t="n">
        <v>0</v>
      </c>
      <c r="AF40" s="259" t="n">
        <v>0</v>
      </c>
      <c r="AG40" s="259" t="n">
        <v>0</v>
      </c>
      <c r="AH40" s="259" t="n">
        <v>0</v>
      </c>
      <c r="AI40" s="259" t="n">
        <v>0</v>
      </c>
      <c r="AJ40" s="259" t="n">
        <v>0</v>
      </c>
    </row>
    <row r="41">
      <c r="A41" t="n">
        <v>12</v>
      </c>
      <c r="B41" t="n">
        <v>1</v>
      </c>
      <c r="G41" t="inlineStr">
        <is>
          <t>moeda</t>
        </is>
      </c>
      <c r="H41" t="inlineStr">
        <is>
          <t>[vazio] Contas a receber: não aparece como linha própria nas demonstrações (zero)</t>
        </is>
      </c>
      <c r="J41" t="inlineStr">
        <is>
          <t>derivada</t>
        </is>
      </c>
      <c r="K41" s="259" t="n">
        <v>0</v>
      </c>
      <c r="L41" s="259" t="n">
        <v>0</v>
      </c>
      <c r="M41" s="259" t="n">
        <v>0</v>
      </c>
      <c r="N41" s="259" t="n">
        <v>0</v>
      </c>
      <c r="O41" s="259" t="n">
        <v>0</v>
      </c>
      <c r="P41" s="259" t="n">
        <v>0</v>
      </c>
      <c r="Q41" s="259" t="n">
        <v>0</v>
      </c>
      <c r="R41" s="259" t="n">
        <v>0</v>
      </c>
      <c r="S41" s="259" t="n">
        <v>0</v>
      </c>
      <c r="T41" s="259" t="n">
        <v>0</v>
      </c>
      <c r="U41" s="259" t="n">
        <v>0</v>
      </c>
      <c r="V41" s="259" t="n">
        <v>0</v>
      </c>
      <c r="W41" s="259" t="n">
        <v>0</v>
      </c>
      <c r="X41" s="259" t="n">
        <v>0</v>
      </c>
      <c r="Y41" s="259" t="n">
        <v>0</v>
      </c>
      <c r="Z41" s="259" t="n">
        <v>0</v>
      </c>
      <c r="AA41" s="259" t="n">
        <v>0</v>
      </c>
      <c r="AB41" s="259" t="n">
        <v>0</v>
      </c>
      <c r="AC41" s="259" t="n">
        <v>0</v>
      </c>
      <c r="AD41" s="259" t="n">
        <v>0</v>
      </c>
      <c r="AE41" s="259" t="n">
        <v>0</v>
      </c>
      <c r="AF41" s="259" t="n">
        <v>0</v>
      </c>
      <c r="AG41" s="259" t="n">
        <v>0</v>
      </c>
      <c r="AH41" s="259" t="n">
        <v>0</v>
      </c>
      <c r="AI41" s="259" t="n">
        <v>0</v>
      </c>
      <c r="AJ41" s="259" t="n">
        <v>0</v>
      </c>
    </row>
    <row r="42">
      <c r="A42" t="n">
        <v>13</v>
      </c>
      <c r="B42" t="n">
        <v>1</v>
      </c>
      <c r="G42" t="inlineStr">
        <is>
          <t>moeda</t>
        </is>
      </c>
      <c r="H42" t="inlineStr">
        <is>
          <t>[vazio] Estoques: não aparece como linha própria nas demonstrações (zero)</t>
        </is>
      </c>
      <c r="J42" t="inlineStr">
        <is>
          <t>derivada</t>
        </is>
      </c>
      <c r="K42" s="259" t="n">
        <v>0</v>
      </c>
      <c r="L42" s="259" t="n">
        <v>0</v>
      </c>
      <c r="M42" s="259" t="n">
        <v>0</v>
      </c>
      <c r="N42" s="259" t="n">
        <v>0</v>
      </c>
      <c r="O42" s="259" t="n">
        <v>0</v>
      </c>
      <c r="P42" s="259" t="n">
        <v>0</v>
      </c>
      <c r="Q42" s="259" t="n">
        <v>0</v>
      </c>
      <c r="R42" s="259" t="n">
        <v>0</v>
      </c>
      <c r="S42" s="259" t="n">
        <v>0</v>
      </c>
      <c r="T42" s="259" t="n">
        <v>0</v>
      </c>
      <c r="U42" s="259" t="n">
        <v>0</v>
      </c>
      <c r="V42" s="259" t="n">
        <v>0</v>
      </c>
      <c r="W42" s="259" t="n">
        <v>0</v>
      </c>
      <c r="X42" s="259" t="n">
        <v>0</v>
      </c>
      <c r="Y42" s="259" t="n">
        <v>0</v>
      </c>
      <c r="Z42" s="259" t="n">
        <v>0</v>
      </c>
      <c r="AA42" s="259" t="n">
        <v>0</v>
      </c>
      <c r="AB42" s="259" t="n">
        <v>0</v>
      </c>
      <c r="AC42" s="259" t="n">
        <v>0</v>
      </c>
      <c r="AD42" s="259" t="n">
        <v>0</v>
      </c>
      <c r="AE42" s="259" t="n">
        <v>0</v>
      </c>
      <c r="AF42" s="259" t="n">
        <v>0</v>
      </c>
      <c r="AG42" s="259" t="n">
        <v>0</v>
      </c>
      <c r="AH42" s="259" t="n">
        <v>0</v>
      </c>
      <c r="AI42" s="259" t="n">
        <v>0</v>
      </c>
      <c r="AJ42" s="259" t="n">
        <v>0</v>
      </c>
    </row>
    <row r="43">
      <c r="A43" t="n">
        <v>14</v>
      </c>
      <c r="B43" t="n">
        <v>1</v>
      </c>
      <c r="G43" t="inlineStr">
        <is>
          <t>moeda</t>
        </is>
      </c>
      <c r="H43" t="inlineStr">
        <is>
          <t>[vazio] IR diferido ativo: não aparece como linha própria nas demonstrações (zero)</t>
        </is>
      </c>
      <c r="J43" t="inlineStr">
        <is>
          <t>derivada</t>
        </is>
      </c>
      <c r="K43" s="259" t="n">
        <v>0</v>
      </c>
      <c r="L43" s="259" t="n">
        <v>0</v>
      </c>
      <c r="M43" s="259" t="n">
        <v>0</v>
      </c>
      <c r="N43" s="259" t="n">
        <v>0</v>
      </c>
      <c r="O43" s="259" t="n">
        <v>0</v>
      </c>
      <c r="P43" s="259" t="n">
        <v>0</v>
      </c>
      <c r="Q43" s="259" t="n">
        <v>0</v>
      </c>
      <c r="R43" s="259" t="n">
        <v>0</v>
      </c>
      <c r="S43" s="259" t="n">
        <v>0</v>
      </c>
      <c r="T43" s="259" t="n">
        <v>0</v>
      </c>
      <c r="U43" s="259" t="n">
        <v>0</v>
      </c>
      <c r="V43" s="259" t="n">
        <v>0</v>
      </c>
      <c r="W43" s="259" t="n">
        <v>0</v>
      </c>
      <c r="X43" s="259" t="n">
        <v>0</v>
      </c>
      <c r="Y43" s="259" t="n">
        <v>0</v>
      </c>
      <c r="Z43" s="259" t="n">
        <v>0</v>
      </c>
      <c r="AA43" s="259" t="n">
        <v>0</v>
      </c>
      <c r="AB43" s="259" t="n">
        <v>0</v>
      </c>
      <c r="AC43" s="259" t="n">
        <v>0</v>
      </c>
      <c r="AD43" s="259" t="n">
        <v>0</v>
      </c>
      <c r="AE43" s="259" t="n">
        <v>0</v>
      </c>
      <c r="AF43" s="259" t="n">
        <v>0</v>
      </c>
      <c r="AG43" s="259" t="n">
        <v>0</v>
      </c>
      <c r="AH43" s="259" t="n">
        <v>0</v>
      </c>
      <c r="AI43" s="259" t="n">
        <v>0</v>
      </c>
      <c r="AJ43" s="259" t="n">
        <v>0</v>
      </c>
    </row>
    <row r="44">
      <c r="A44" t="n">
        <v>15</v>
      </c>
      <c r="B44" t="n">
        <v>1</v>
      </c>
      <c r="G44" t="inlineStr">
        <is>
          <t>moeda</t>
        </is>
      </c>
      <c r="H44" t="inlineStr">
        <is>
          <t>[vazio] Despesas antecipadas: não aparece como linha própria nas demonstrações (zero)</t>
        </is>
      </c>
      <c r="J44" t="inlineStr">
        <is>
          <t>derivada</t>
        </is>
      </c>
      <c r="K44" s="259" t="n">
        <v>0</v>
      </c>
      <c r="L44" s="259" t="n">
        <v>0</v>
      </c>
      <c r="M44" s="259" t="n">
        <v>0</v>
      </c>
      <c r="N44" s="259" t="n">
        <v>0</v>
      </c>
      <c r="O44" s="259" t="n">
        <v>0</v>
      </c>
      <c r="P44" s="259" t="n">
        <v>0</v>
      </c>
      <c r="Q44" s="259" t="n">
        <v>0</v>
      </c>
      <c r="R44" s="259" t="n">
        <v>0</v>
      </c>
      <c r="S44" s="259" t="n">
        <v>0</v>
      </c>
      <c r="T44" s="259" t="n">
        <v>0</v>
      </c>
      <c r="U44" s="259" t="n">
        <v>0</v>
      </c>
      <c r="V44" s="259" t="n">
        <v>0</v>
      </c>
      <c r="W44" s="259" t="n">
        <v>0</v>
      </c>
      <c r="X44" s="259" t="n">
        <v>0</v>
      </c>
      <c r="Y44" s="259" t="n">
        <v>0</v>
      </c>
      <c r="Z44" s="259" t="n">
        <v>0</v>
      </c>
      <c r="AA44" s="259" t="n">
        <v>0</v>
      </c>
      <c r="AB44" s="259" t="n">
        <v>0</v>
      </c>
      <c r="AC44" s="259" t="n">
        <v>0</v>
      </c>
      <c r="AD44" s="259" t="n">
        <v>0</v>
      </c>
      <c r="AE44" s="259" t="n">
        <v>0</v>
      </c>
      <c r="AF44" s="259" t="n">
        <v>0</v>
      </c>
      <c r="AG44" s="259" t="n">
        <v>0</v>
      </c>
      <c r="AH44" s="259" t="n">
        <v>0</v>
      </c>
      <c r="AI44" s="259" t="n">
        <v>0</v>
      </c>
      <c r="AJ44" s="259" t="n">
        <v>0</v>
      </c>
    </row>
    <row r="45">
      <c r="A45" t="n">
        <v>17</v>
      </c>
      <c r="B45" t="n">
        <v>1</v>
      </c>
      <c r="G45" t="inlineStr">
        <is>
          <t>moeda</t>
        </is>
      </c>
      <c r="H45" t="inlineStr">
        <is>
          <t>[vazio] Investimentos em coligadas: não aparece como linha própria nas demonstrações (zero)</t>
        </is>
      </c>
      <c r="J45" t="inlineStr">
        <is>
          <t>derivada</t>
        </is>
      </c>
      <c r="K45" s="259" t="n">
        <v>0</v>
      </c>
      <c r="L45" s="259" t="n">
        <v>0</v>
      </c>
      <c r="M45" s="259" t="n">
        <v>0</v>
      </c>
      <c r="N45" s="259" t="n">
        <v>0</v>
      </c>
      <c r="O45" s="259" t="n">
        <v>0</v>
      </c>
      <c r="P45" s="259" t="n">
        <v>0</v>
      </c>
      <c r="Q45" s="259" t="n">
        <v>0</v>
      </c>
      <c r="R45" s="259" t="n">
        <v>0</v>
      </c>
      <c r="S45" s="259" t="n">
        <v>0</v>
      </c>
      <c r="T45" s="259" t="n">
        <v>0</v>
      </c>
      <c r="U45" s="259" t="n">
        <v>0</v>
      </c>
      <c r="V45" s="259" t="n">
        <v>0</v>
      </c>
      <c r="W45" s="259" t="n">
        <v>0</v>
      </c>
      <c r="X45" s="259" t="n">
        <v>0</v>
      </c>
      <c r="Y45" s="259" t="n">
        <v>0</v>
      </c>
      <c r="Z45" s="259" t="n">
        <v>0</v>
      </c>
      <c r="AA45" s="259" t="n">
        <v>0</v>
      </c>
      <c r="AB45" s="259" t="n">
        <v>0</v>
      </c>
      <c r="AC45" s="259" t="n">
        <v>0</v>
      </c>
      <c r="AD45" s="259" t="n">
        <v>0</v>
      </c>
      <c r="AE45" s="259" t="n">
        <v>0</v>
      </c>
      <c r="AF45" s="259" t="n">
        <v>0</v>
      </c>
      <c r="AG45" s="259" t="n">
        <v>0</v>
      </c>
      <c r="AH45" s="259" t="n">
        <v>0</v>
      </c>
      <c r="AI45" s="259" t="n">
        <v>0</v>
      </c>
      <c r="AJ45" s="259" t="n">
        <v>0</v>
      </c>
    </row>
    <row r="46">
      <c r="A46" t="n">
        <v>19</v>
      </c>
      <c r="B46" t="n">
        <v>1</v>
      </c>
      <c r="G46" t="inlineStr">
        <is>
          <t>moeda</t>
        </is>
      </c>
      <c r="H46" t="inlineStr">
        <is>
          <t>[vazio] Direito de uso: não aparece como linha própria nas demonstrações (zero)</t>
        </is>
      </c>
      <c r="J46" t="inlineStr">
        <is>
          <t>derivada</t>
        </is>
      </c>
      <c r="K46" s="259" t="n">
        <v>0</v>
      </c>
      <c r="L46" s="259" t="n">
        <v>0</v>
      </c>
      <c r="M46" s="259" t="n">
        <v>0</v>
      </c>
      <c r="N46" s="259" t="n">
        <v>0</v>
      </c>
      <c r="O46" s="259" t="n">
        <v>0</v>
      </c>
      <c r="P46" s="259" t="n">
        <v>0</v>
      </c>
      <c r="Q46" s="259" t="n">
        <v>0</v>
      </c>
      <c r="R46" s="259" t="n">
        <v>0</v>
      </c>
      <c r="S46" s="259" t="n">
        <v>0</v>
      </c>
      <c r="T46" s="259" t="n">
        <v>0</v>
      </c>
      <c r="U46" s="259" t="n">
        <v>0</v>
      </c>
      <c r="V46" s="259" t="n">
        <v>0</v>
      </c>
      <c r="W46" s="259" t="n">
        <v>0</v>
      </c>
      <c r="X46" s="259" t="n">
        <v>0</v>
      </c>
      <c r="Y46" s="259" t="n">
        <v>0</v>
      </c>
      <c r="Z46" s="259" t="n">
        <v>0</v>
      </c>
      <c r="AA46" s="259" t="n">
        <v>0</v>
      </c>
      <c r="AB46" s="259" t="n">
        <v>0</v>
      </c>
      <c r="AC46" s="259" t="n">
        <v>0</v>
      </c>
      <c r="AD46" s="259" t="n">
        <v>0</v>
      </c>
      <c r="AE46" s="259" t="n">
        <v>0</v>
      </c>
      <c r="AF46" s="259" t="n">
        <v>0</v>
      </c>
      <c r="AG46" s="259" t="n">
        <v>0</v>
      </c>
      <c r="AH46" s="259" t="n">
        <v>0</v>
      </c>
      <c r="AI46" s="259" t="n">
        <v>0</v>
      </c>
      <c r="AJ46" s="259" t="n">
        <v>0</v>
      </c>
    </row>
    <row r="47">
      <c r="A47" t="n">
        <v>20</v>
      </c>
      <c r="B47" t="n">
        <v>1</v>
      </c>
      <c r="G47" t="inlineStr">
        <is>
          <t>moeda</t>
        </is>
      </c>
      <c r="H47" t="inlineStr">
        <is>
          <t>[vazio] Goodwill: não aparece como linha própria nas demonstrações (zero)</t>
        </is>
      </c>
      <c r="J47" t="inlineStr">
        <is>
          <t>derivada</t>
        </is>
      </c>
      <c r="K47" s="259" t="n">
        <v>0</v>
      </c>
      <c r="L47" s="259" t="n">
        <v>0</v>
      </c>
      <c r="M47" s="259" t="n">
        <v>0</v>
      </c>
      <c r="N47" s="259" t="n">
        <v>0</v>
      </c>
      <c r="O47" s="259" t="n">
        <v>0</v>
      </c>
      <c r="P47" s="259" t="n">
        <v>0</v>
      </c>
      <c r="Q47" s="259" t="n">
        <v>0</v>
      </c>
      <c r="R47" s="259" t="n">
        <v>0</v>
      </c>
      <c r="S47" s="259" t="n">
        <v>0</v>
      </c>
      <c r="T47" s="259" t="n">
        <v>0</v>
      </c>
      <c r="U47" s="259" t="n">
        <v>0</v>
      </c>
      <c r="V47" s="259" t="n">
        <v>0</v>
      </c>
      <c r="W47" s="259" t="n">
        <v>0</v>
      </c>
      <c r="X47" s="259" t="n">
        <v>0</v>
      </c>
      <c r="Y47" s="259" t="n">
        <v>0</v>
      </c>
      <c r="Z47" s="259" t="n">
        <v>0</v>
      </c>
      <c r="AA47" s="259" t="n">
        <v>0</v>
      </c>
      <c r="AB47" s="259" t="n">
        <v>0</v>
      </c>
      <c r="AC47" s="259" t="n">
        <v>0</v>
      </c>
      <c r="AD47" s="259" t="n">
        <v>0</v>
      </c>
      <c r="AE47" s="259" t="n">
        <v>0</v>
      </c>
      <c r="AF47" s="259" t="n">
        <v>0</v>
      </c>
      <c r="AG47" s="259" t="n">
        <v>0</v>
      </c>
      <c r="AH47" s="259" t="n">
        <v>0</v>
      </c>
      <c r="AI47" s="259" t="n">
        <v>0</v>
      </c>
      <c r="AJ47" s="259" t="n">
        <v>0</v>
      </c>
    </row>
    <row r="48">
      <c r="A48" t="n">
        <v>21</v>
      </c>
      <c r="B48" t="n">
        <v>1</v>
      </c>
      <c r="G48" t="inlineStr">
        <is>
          <t>moeda</t>
        </is>
      </c>
      <c r="H48" t="inlineStr">
        <is>
          <t>[vazio] Intangíveis: não aparece como linha própria nas demonstrações (zero)</t>
        </is>
      </c>
      <c r="J48" t="inlineStr">
        <is>
          <t>derivada</t>
        </is>
      </c>
      <c r="K48" s="259" t="n">
        <v>0</v>
      </c>
      <c r="L48" s="259" t="n">
        <v>0</v>
      </c>
      <c r="M48" s="259" t="n">
        <v>0</v>
      </c>
      <c r="N48" s="259" t="n">
        <v>0</v>
      </c>
      <c r="O48" s="259" t="n">
        <v>0</v>
      </c>
      <c r="P48" s="259" t="n">
        <v>0</v>
      </c>
      <c r="Q48" s="259" t="n">
        <v>0</v>
      </c>
      <c r="R48" s="259" t="n">
        <v>0</v>
      </c>
      <c r="S48" s="259" t="n">
        <v>0</v>
      </c>
      <c r="T48" s="259" t="n">
        <v>0</v>
      </c>
      <c r="U48" s="259" t="n">
        <v>0</v>
      </c>
      <c r="V48" s="259" t="n">
        <v>0</v>
      </c>
      <c r="W48" s="259" t="n">
        <v>0</v>
      </c>
      <c r="X48" s="259" t="n">
        <v>0</v>
      </c>
      <c r="Y48" s="259" t="n">
        <v>0</v>
      </c>
      <c r="Z48" s="259" t="n">
        <v>0</v>
      </c>
      <c r="AA48" s="259" t="n">
        <v>0</v>
      </c>
      <c r="AB48" s="259" t="n">
        <v>0</v>
      </c>
      <c r="AC48" s="259" t="n">
        <v>0</v>
      </c>
      <c r="AD48" s="259" t="n">
        <v>0</v>
      </c>
      <c r="AE48" s="259" t="n">
        <v>0</v>
      </c>
      <c r="AF48" s="259" t="n">
        <v>0</v>
      </c>
      <c r="AG48" s="259" t="n">
        <v>0</v>
      </c>
      <c r="AH48" s="259" t="n">
        <v>0</v>
      </c>
      <c r="AI48" s="259" t="n">
        <v>0</v>
      </c>
      <c r="AJ48" s="259" t="n">
        <v>0</v>
      </c>
    </row>
    <row r="49">
      <c r="A49" t="n">
        <v>25</v>
      </c>
      <c r="B49" t="n">
        <v>1</v>
      </c>
      <c r="G49" t="inlineStr">
        <is>
          <t>moeda</t>
        </is>
      </c>
      <c r="H49" t="inlineStr">
        <is>
          <t>[vazio] Impostos a pagar: não aparece como linha própria nas demonstrações (zero)</t>
        </is>
      </c>
      <c r="J49" t="inlineStr">
        <is>
          <t>derivada</t>
        </is>
      </c>
      <c r="K49" s="259" t="n">
        <v>0</v>
      </c>
      <c r="L49" s="259" t="n">
        <v>0</v>
      </c>
      <c r="M49" s="259" t="n">
        <v>0</v>
      </c>
      <c r="N49" s="259" t="n">
        <v>0</v>
      </c>
      <c r="O49" s="259" t="n">
        <v>0</v>
      </c>
      <c r="P49" s="259" t="n">
        <v>0</v>
      </c>
      <c r="Q49" s="259" t="n">
        <v>0</v>
      </c>
      <c r="R49" s="259" t="n">
        <v>0</v>
      </c>
      <c r="S49" s="259" t="n">
        <v>0</v>
      </c>
      <c r="T49" s="259" t="n">
        <v>0</v>
      </c>
      <c r="U49" s="259" t="n">
        <v>0</v>
      </c>
      <c r="V49" s="259" t="n">
        <v>0</v>
      </c>
      <c r="W49" s="259" t="n">
        <v>0</v>
      </c>
      <c r="X49" s="259" t="n">
        <v>0</v>
      </c>
      <c r="Y49" s="259" t="n">
        <v>0</v>
      </c>
      <c r="Z49" s="259" t="n">
        <v>0</v>
      </c>
      <c r="AA49" s="259" t="n">
        <v>0</v>
      </c>
      <c r="AB49" s="259" t="n">
        <v>0</v>
      </c>
      <c r="AC49" s="259" t="n">
        <v>0</v>
      </c>
      <c r="AD49" s="259" t="n">
        <v>0</v>
      </c>
      <c r="AE49" s="259" t="n">
        <v>0</v>
      </c>
      <c r="AF49" s="259" t="n">
        <v>0</v>
      </c>
      <c r="AG49" s="259" t="n">
        <v>0</v>
      </c>
      <c r="AH49" s="259" t="n">
        <v>0</v>
      </c>
      <c r="AI49" s="259" t="n">
        <v>0</v>
      </c>
      <c r="AJ49" s="259" t="n">
        <v>0</v>
      </c>
    </row>
    <row r="50">
      <c r="A50" t="n">
        <v>28</v>
      </c>
      <c r="B50" t="n">
        <v>1</v>
      </c>
      <c r="G50" t="inlineStr">
        <is>
          <t>moeda</t>
        </is>
      </c>
      <c r="H50" t="inlineStr">
        <is>
          <t>[vazio] Revolving: não aparece como linha própria nas demonstrações (zero)</t>
        </is>
      </c>
      <c r="J50" t="inlineStr">
        <is>
          <t>derivada</t>
        </is>
      </c>
      <c r="K50" s="259" t="n">
        <v>0</v>
      </c>
      <c r="L50" s="259" t="n">
        <v>0</v>
      </c>
      <c r="M50" s="259" t="n">
        <v>0</v>
      </c>
      <c r="N50" s="259" t="n">
        <v>0</v>
      </c>
      <c r="O50" s="259" t="n">
        <v>0</v>
      </c>
      <c r="P50" s="259" t="n">
        <v>0</v>
      </c>
      <c r="Q50" s="259" t="n">
        <v>0</v>
      </c>
      <c r="R50" s="259" t="n">
        <v>0</v>
      </c>
      <c r="S50" s="259" t="n">
        <v>0</v>
      </c>
      <c r="T50" s="259" t="n">
        <v>0</v>
      </c>
      <c r="U50" s="259" t="n">
        <v>0</v>
      </c>
      <c r="V50" s="259" t="n">
        <v>0</v>
      </c>
      <c r="W50" s="259" t="n">
        <v>0</v>
      </c>
      <c r="X50" s="259" t="n">
        <v>0</v>
      </c>
      <c r="Y50" s="259" t="n">
        <v>0</v>
      </c>
      <c r="Z50" s="259" t="n">
        <v>0</v>
      </c>
      <c r="AA50" s="259" t="n">
        <v>0</v>
      </c>
      <c r="AB50" s="259" t="n">
        <v>0</v>
      </c>
      <c r="AC50" s="259" t="n">
        <v>0</v>
      </c>
      <c r="AD50" s="259" t="n">
        <v>0</v>
      </c>
      <c r="AE50" s="259" t="n">
        <v>0</v>
      </c>
      <c r="AF50" s="259" t="n">
        <v>0</v>
      </c>
      <c r="AG50" s="259" t="n">
        <v>0</v>
      </c>
      <c r="AH50" s="259" t="n">
        <v>0</v>
      </c>
      <c r="AI50" s="259" t="n">
        <v>0</v>
      </c>
      <c r="AJ50" s="259" t="n">
        <v>0</v>
      </c>
    </row>
    <row r="51">
      <c r="A51" t="n">
        <v>29</v>
      </c>
      <c r="B51" t="n">
        <v>1</v>
      </c>
      <c r="G51" t="inlineStr">
        <is>
          <t>moeda</t>
        </is>
      </c>
      <c r="H51" t="inlineStr">
        <is>
          <t>[vazio] Arrendamento CP: não aparece como linha própria nas demonstrações (zero)</t>
        </is>
      </c>
      <c r="J51" t="inlineStr">
        <is>
          <t>derivada</t>
        </is>
      </c>
      <c r="K51" s="259" t="n">
        <v>0</v>
      </c>
      <c r="L51" s="259" t="n">
        <v>0</v>
      </c>
      <c r="M51" s="259" t="n">
        <v>0</v>
      </c>
      <c r="N51" s="259" t="n">
        <v>0</v>
      </c>
      <c r="O51" s="259" t="n">
        <v>0</v>
      </c>
      <c r="P51" s="259" t="n">
        <v>0</v>
      </c>
      <c r="Q51" s="259" t="n">
        <v>0</v>
      </c>
      <c r="R51" s="259" t="n">
        <v>0</v>
      </c>
      <c r="S51" s="259" t="n">
        <v>0</v>
      </c>
      <c r="T51" s="259" t="n">
        <v>0</v>
      </c>
      <c r="U51" s="259" t="n">
        <v>0</v>
      </c>
      <c r="V51" s="259" t="n">
        <v>0</v>
      </c>
      <c r="W51" s="259" t="n">
        <v>0</v>
      </c>
      <c r="X51" s="259" t="n">
        <v>0</v>
      </c>
      <c r="Y51" s="259" t="n">
        <v>0</v>
      </c>
      <c r="Z51" s="259" t="n">
        <v>0</v>
      </c>
      <c r="AA51" s="259" t="n">
        <v>0</v>
      </c>
      <c r="AB51" s="259" t="n">
        <v>0</v>
      </c>
      <c r="AC51" s="259" t="n">
        <v>0</v>
      </c>
      <c r="AD51" s="259" t="n">
        <v>0</v>
      </c>
      <c r="AE51" s="259" t="n">
        <v>0</v>
      </c>
      <c r="AF51" s="259" t="n">
        <v>0</v>
      </c>
      <c r="AG51" s="259" t="n">
        <v>0</v>
      </c>
      <c r="AH51" s="259" t="n">
        <v>0</v>
      </c>
      <c r="AI51" s="259" t="n">
        <v>0</v>
      </c>
      <c r="AJ51" s="259" t="n">
        <v>0</v>
      </c>
    </row>
    <row r="52">
      <c r="A52" t="n">
        <v>31</v>
      </c>
      <c r="B52" t="n">
        <v>1</v>
      </c>
      <c r="G52" t="inlineStr">
        <is>
          <t>moeda</t>
        </is>
      </c>
      <c r="H52" t="inlineStr">
        <is>
          <t>[vazio] Arrendamento LP: não aparece como linha própria nas demonstrações (zero)</t>
        </is>
      </c>
      <c r="J52" t="inlineStr">
        <is>
          <t>derivada</t>
        </is>
      </c>
      <c r="K52" s="259" t="n">
        <v>0</v>
      </c>
      <c r="L52" s="259" t="n">
        <v>0</v>
      </c>
      <c r="M52" s="259" t="n">
        <v>0</v>
      </c>
      <c r="N52" s="259" t="n">
        <v>0</v>
      </c>
      <c r="O52" s="259" t="n">
        <v>0</v>
      </c>
      <c r="P52" s="259" t="n">
        <v>0</v>
      </c>
      <c r="Q52" s="259" t="n">
        <v>0</v>
      </c>
      <c r="R52" s="259" t="n">
        <v>0</v>
      </c>
      <c r="S52" s="259" t="n">
        <v>0</v>
      </c>
      <c r="T52" s="259" t="n">
        <v>0</v>
      </c>
      <c r="U52" s="259" t="n">
        <v>0</v>
      </c>
      <c r="V52" s="259" t="n">
        <v>0</v>
      </c>
      <c r="W52" s="259" t="n">
        <v>0</v>
      </c>
      <c r="X52" s="259" t="n">
        <v>0</v>
      </c>
      <c r="Y52" s="259" t="n">
        <v>0</v>
      </c>
      <c r="Z52" s="259" t="n">
        <v>0</v>
      </c>
      <c r="AA52" s="259" t="n">
        <v>0</v>
      </c>
      <c r="AB52" s="259" t="n">
        <v>0</v>
      </c>
      <c r="AC52" s="259" t="n">
        <v>0</v>
      </c>
      <c r="AD52" s="259" t="n">
        <v>0</v>
      </c>
      <c r="AE52" s="259" t="n">
        <v>0</v>
      </c>
      <c r="AF52" s="259" t="n">
        <v>0</v>
      </c>
      <c r="AG52" s="259" t="n">
        <v>0</v>
      </c>
      <c r="AH52" s="259" t="n">
        <v>0</v>
      </c>
      <c r="AI52" s="259" t="n">
        <v>0</v>
      </c>
      <c r="AJ52" s="259" t="n">
        <v>0</v>
      </c>
    </row>
    <row r="53">
      <c r="A53" t="n">
        <v>32</v>
      </c>
      <c r="B53" t="n">
        <v>1</v>
      </c>
      <c r="G53" t="inlineStr">
        <is>
          <t>moeda</t>
        </is>
      </c>
      <c r="H53" t="inlineStr">
        <is>
          <t>[vazio] Dívida conversível: não aparece como linha própria nas demonstrações (zero)</t>
        </is>
      </c>
      <c r="J53" t="inlineStr">
        <is>
          <t>derivada</t>
        </is>
      </c>
      <c r="K53" s="259" t="n">
        <v>0</v>
      </c>
      <c r="L53" s="259" t="n">
        <v>0</v>
      </c>
      <c r="M53" s="259" t="n">
        <v>0</v>
      </c>
      <c r="N53" s="259" t="n">
        <v>0</v>
      </c>
      <c r="O53" s="259" t="n">
        <v>0</v>
      </c>
      <c r="P53" s="259" t="n">
        <v>0</v>
      </c>
      <c r="Q53" s="259" t="n">
        <v>0</v>
      </c>
      <c r="R53" s="259" t="n">
        <v>0</v>
      </c>
      <c r="S53" s="259" t="n">
        <v>0</v>
      </c>
      <c r="T53" s="259" t="n">
        <v>0</v>
      </c>
      <c r="U53" s="259" t="n">
        <v>0</v>
      </c>
      <c r="V53" s="259" t="n">
        <v>0</v>
      </c>
      <c r="W53" s="259" t="n">
        <v>0</v>
      </c>
      <c r="X53" s="259" t="n">
        <v>0</v>
      </c>
      <c r="Y53" s="259" t="n">
        <v>0</v>
      </c>
      <c r="Z53" s="259" t="n">
        <v>0</v>
      </c>
      <c r="AA53" s="259" t="n">
        <v>0</v>
      </c>
      <c r="AB53" s="259" t="n">
        <v>0</v>
      </c>
      <c r="AC53" s="259" t="n">
        <v>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33</v>
      </c>
      <c r="B54" t="n">
        <v>1</v>
      </c>
      <c r="G54" t="inlineStr">
        <is>
          <t>moeda</t>
        </is>
      </c>
      <c r="H54" t="inlineStr">
        <is>
          <t>[vazio] IR diferido passivo: não aparece como linha própria nas demonstrações (zero)</t>
        </is>
      </c>
      <c r="J54" t="inlineStr">
        <is>
          <t>derivada</t>
        </is>
      </c>
      <c r="K54" s="259" t="n">
        <v>0</v>
      </c>
      <c r="L54" s="259" t="n">
        <v>0</v>
      </c>
      <c r="M54" s="259" t="n">
        <v>0</v>
      </c>
      <c r="N54" s="259" t="n">
        <v>0</v>
      </c>
      <c r="O54" s="259" t="n">
        <v>0</v>
      </c>
      <c r="P54" s="259" t="n">
        <v>0</v>
      </c>
      <c r="Q54" s="259" t="n">
        <v>0</v>
      </c>
      <c r="R54" s="259" t="n">
        <v>0</v>
      </c>
      <c r="S54" s="259" t="n">
        <v>0</v>
      </c>
      <c r="T54" s="259" t="n">
        <v>0</v>
      </c>
      <c r="U54" s="259" t="n">
        <v>0</v>
      </c>
      <c r="V54" s="259" t="n">
        <v>0</v>
      </c>
      <c r="W54" s="259" t="n">
        <v>0</v>
      </c>
      <c r="X54" s="259" t="n">
        <v>0</v>
      </c>
      <c r="Y54" s="259" t="n">
        <v>0</v>
      </c>
      <c r="Z54" s="259" t="n">
        <v>0</v>
      </c>
      <c r="AA54" s="259" t="n">
        <v>0</v>
      </c>
      <c r="AB54" s="259" t="n">
        <v>0</v>
      </c>
      <c r="AC54" s="259" t="n">
        <v>0</v>
      </c>
      <c r="AD54" s="259" t="n">
        <v>0</v>
      </c>
      <c r="AE54" s="259" t="n">
        <v>0</v>
      </c>
      <c r="AF54" s="259" t="n">
        <v>0</v>
      </c>
      <c r="AG54" s="259" t="n">
        <v>0</v>
      </c>
      <c r="AH54" s="259" t="n">
        <v>0</v>
      </c>
      <c r="AI54" s="259" t="n">
        <v>0</v>
      </c>
      <c r="AJ54" s="259" t="n">
        <v>0</v>
      </c>
    </row>
    <row r="55">
      <c r="A55" t="n">
        <v>35</v>
      </c>
      <c r="B55" t="n">
        <v>1</v>
      </c>
      <c r="G55" t="inlineStr">
        <is>
          <t>moeda</t>
        </is>
      </c>
      <c r="H55" t="inlineStr">
        <is>
          <t>[vazio] Participação de minoritários (balanço): não aparece como linha própria nas demonstrações (zero)</t>
        </is>
      </c>
      <c r="J55" t="inlineStr">
        <is>
          <t>derivada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0</v>
      </c>
      <c r="U55" s="259" t="n">
        <v>0</v>
      </c>
      <c r="V55" s="259" t="n">
        <v>0</v>
      </c>
      <c r="W55" s="259" t="n">
        <v>0</v>
      </c>
      <c r="X55" s="259" t="n">
        <v>0</v>
      </c>
      <c r="Y55" s="259" t="n">
        <v>0</v>
      </c>
      <c r="Z55" s="259" t="n">
        <v>0</v>
      </c>
      <c r="AA55" s="259" t="n">
        <v>0</v>
      </c>
      <c r="AB55" s="259" t="n">
        <v>0</v>
      </c>
      <c r="AC55" s="259" t="n">
        <v>0</v>
      </c>
      <c r="AD55" s="259" t="n">
        <v>0</v>
      </c>
      <c r="AE55" s="259" t="n">
        <v>0</v>
      </c>
      <c r="AF55" s="259" t="n">
        <v>0</v>
      </c>
      <c r="AG55" s="259" t="n">
        <v>0</v>
      </c>
      <c r="AH55" s="259" t="n">
        <v>0</v>
      </c>
      <c r="AI55" s="259" t="n">
        <v>0</v>
      </c>
      <c r="AJ55" s="259" t="n">
        <v>0</v>
      </c>
    </row>
    <row r="56">
      <c r="A56" t="n">
        <v>40</v>
      </c>
      <c r="B56" t="n">
        <v>1</v>
      </c>
      <c r="G56" t="inlineStr">
        <is>
          <t>moeda</t>
        </is>
      </c>
      <c r="H56" t="inlineStr">
        <is>
          <t>[vazio] Outras contas do PL: não aparece como linha própria nas demonstrações (zero)</t>
        </is>
      </c>
      <c r="J56" t="inlineStr">
        <is>
          <t>derivada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H57" s="254" t="inlineStr">
        <is>
          <t>BALANÇO - totais divulgados (memória)</t>
        </is>
      </c>
    </row>
    <row r="58">
      <c r="G58" t="inlineStr">
        <is>
          <t>moeda</t>
        </is>
      </c>
      <c r="H58" t="inlineStr">
        <is>
          <t>Total do ativo [us-gaap:Assets]</t>
        </is>
      </c>
      <c r="J58" t="inlineStr">
        <is>
          <t>memoria</t>
        </is>
      </c>
      <c r="K58" s="259" t="n">
        <v>35059910000</v>
      </c>
      <c r="L58" s="259" t="n">
        <v>37175281000</v>
      </c>
      <c r="M58" s="259" t="n">
        <v>38622543000</v>
      </c>
      <c r="N58" s="259" t="n">
        <v>39280359000</v>
      </c>
      <c r="O58" s="259" t="n">
        <v>40123014000</v>
      </c>
      <c r="P58" s="259" t="n">
        <v>40970969000</v>
      </c>
      <c r="Q58" s="259" t="n">
        <v>42739857000</v>
      </c>
      <c r="R58" s="259" t="n">
        <v>44584663000</v>
      </c>
      <c r="S58" s="259" t="n">
        <v>45330904000</v>
      </c>
      <c r="T58" s="259" t="n">
        <v>46350935000</v>
      </c>
      <c r="U58" s="259" t="n">
        <v>47562187000</v>
      </c>
      <c r="V58" s="259" t="n">
        <v>48594768000</v>
      </c>
      <c r="W58" s="259" t="n">
        <v>49490345000</v>
      </c>
      <c r="X58" s="259" t="n">
        <v>50817473000</v>
      </c>
      <c r="Y58" s="259" t="n">
        <v>49501786000</v>
      </c>
      <c r="Z58" s="259" t="n">
        <v>48731992000</v>
      </c>
      <c r="AA58" s="259" t="n">
        <v>48827721000</v>
      </c>
      <c r="AB58" s="259" t="n">
        <v>49098895000</v>
      </c>
      <c r="AC58" s="259" t="n">
        <v>52281844000</v>
      </c>
      <c r="AD58" s="259" t="n">
        <v>53630374000</v>
      </c>
      <c r="AE58" s="259" t="n">
        <v>52087644000</v>
      </c>
      <c r="AF58" s="259" t="n">
        <v>53099664000</v>
      </c>
      <c r="AG58" s="259" t="n">
        <v>54934835000</v>
      </c>
      <c r="AH58" s="259" t="n">
        <v>55596993000</v>
      </c>
      <c r="AI58" s="259" t="n">
        <v>61015914000</v>
      </c>
      <c r="AJ58" s="259" t="n">
        <v>58450441000</v>
      </c>
    </row>
    <row r="59">
      <c r="G59" t="inlineStr">
        <is>
          <t>moeda</t>
        </is>
      </c>
      <c r="H59" t="inlineStr">
        <is>
          <t>Total do passivo + PL [us-gaap:LiabilitiesAndStockholdersEquity]</t>
        </is>
      </c>
      <c r="J59" t="inlineStr">
        <is>
          <t>memoria</t>
        </is>
      </c>
      <c r="K59" s="259" t="n">
        <v>35059910000</v>
      </c>
      <c r="L59" s="259" t="n">
        <v>37175281000</v>
      </c>
      <c r="M59" s="259" t="n">
        <v>38622543000</v>
      </c>
      <c r="N59" s="259" t="n">
        <v>39280359000</v>
      </c>
      <c r="O59" s="259" t="n">
        <v>40123014000</v>
      </c>
      <c r="P59" s="259" t="n">
        <v>40970969000</v>
      </c>
      <c r="Q59" s="259" t="n">
        <v>42739857000</v>
      </c>
      <c r="R59" s="259" t="n">
        <v>44584663000</v>
      </c>
      <c r="S59" s="259" t="n">
        <v>45330904000</v>
      </c>
      <c r="T59" s="259" t="n">
        <v>46350935000</v>
      </c>
      <c r="U59" s="259" t="n">
        <v>47562187000</v>
      </c>
      <c r="V59" s="259" t="n">
        <v>48594768000</v>
      </c>
      <c r="W59" s="259" t="n">
        <v>49490345000</v>
      </c>
      <c r="X59" s="259" t="n">
        <v>50817473000</v>
      </c>
      <c r="Y59" s="259" t="n">
        <v>49501786000</v>
      </c>
      <c r="Z59" s="259" t="n">
        <v>48731992000</v>
      </c>
      <c r="AA59" s="259" t="n">
        <v>48827721000</v>
      </c>
      <c r="AB59" s="259" t="n">
        <v>49098895000</v>
      </c>
      <c r="AC59" s="259" t="n">
        <v>52281844000</v>
      </c>
      <c r="AD59" s="259" t="n">
        <v>53630374000</v>
      </c>
      <c r="AE59" s="259" t="n">
        <v>52087644000</v>
      </c>
      <c r="AF59" s="259" t="n">
        <v>53099664000</v>
      </c>
      <c r="AG59" s="259" t="n">
        <v>54934835000</v>
      </c>
      <c r="AH59" s="259" t="n">
        <v>55596993000</v>
      </c>
      <c r="AI59" s="259" t="n">
        <v>61015914000</v>
      </c>
      <c r="AJ59" s="259" t="n">
        <v>58450441000</v>
      </c>
    </row>
    <row r="60">
      <c r="H60" s="254" t="inlineStr">
        <is>
          <t>CHECKS (devem ser 0)</t>
        </is>
      </c>
    </row>
    <row r="61">
      <c r="G61" t="inlineStr">
        <is>
          <t>moeda</t>
        </is>
      </c>
      <c r="H61" t="inlineStr">
        <is>
          <t>CHECK: contas de ativo - ativo total (USD, arredondado a 100 mil)</t>
        </is>
      </c>
      <c r="J61" t="inlineStr">
        <is>
          <t>derivada</t>
        </is>
      </c>
      <c r="K61" s="260">
        <f>ROUND(N(K21)+N(K22)+N(K23)+N(K24)+N(K25)+N(K26)-N(K58),-5)</f>
        <v>0</v>
      </c>
      <c r="L61" s="260">
        <f>ROUND(N(L21)+N(L22)+N(L23)+N(L24)+N(L25)+N(L26)-N(L58),-5)</f>
        <v>0</v>
      </c>
      <c r="M61" s="260">
        <f>ROUND(N(M21)+N(M22)+N(M23)+N(M24)+N(M25)+N(M26)-N(M58),-5)</f>
        <v>0</v>
      </c>
      <c r="N61" s="260">
        <f>ROUND(N(N21)+N(N22)+N(N23)+N(N24)+N(N25)+N(N26)-N(N58),-5)</f>
        <v>0</v>
      </c>
      <c r="O61" s="260">
        <f>ROUND(N(O21)+N(O22)+N(O23)+N(O24)+N(O25)+N(O26)-N(O58),-5)</f>
        <v>0</v>
      </c>
      <c r="P61" s="260">
        <f>ROUND(N(P21)+N(P22)+N(P23)+N(P24)+N(P25)+N(P26)-N(P58),-5)</f>
        <v>0</v>
      </c>
      <c r="Q61" s="260">
        <f>ROUND(N(Q21)+N(Q22)+N(Q23)+N(Q24)+N(Q25)+N(Q26)-N(Q58),-5)</f>
        <v>0</v>
      </c>
      <c r="R61" s="260">
        <f>ROUND(N(R21)+N(R22)+N(R23)+N(R24)+N(R25)+N(R26)-N(R58),-5)</f>
        <v>0</v>
      </c>
      <c r="S61" s="260">
        <f>ROUND(N(S21)+N(S22)+N(S23)+N(S24)+N(S25)+N(S26)-N(S58),-5)</f>
        <v>0</v>
      </c>
      <c r="T61" s="260">
        <f>ROUND(N(T21)+N(T22)+N(T23)+N(T24)+N(T25)+N(T26)-N(T58),-5)</f>
        <v>0</v>
      </c>
      <c r="U61" s="260">
        <f>ROUND(N(U21)+N(U22)+N(U23)+N(U24)+N(U25)+N(U26)-N(U58),-5)</f>
        <v>0</v>
      </c>
      <c r="V61" s="260">
        <f>ROUND(N(V21)+N(V22)+N(V23)+N(V24)+N(V25)+N(V26)-N(V58),-5)</f>
        <v>0</v>
      </c>
      <c r="W61" s="260">
        <f>ROUND(N(W21)+N(W22)+N(W23)+N(W24)+N(W25)+N(W26)-N(W58),-5)</f>
        <v>0</v>
      </c>
      <c r="X61" s="260">
        <f>ROUND(N(X21)+N(X22)+N(X23)+N(X24)+N(X25)+N(X26)-N(X58),-5)</f>
        <v>0</v>
      </c>
      <c r="Y61" s="260">
        <f>ROUND(N(Y21)+N(Y22)+N(Y23)+N(Y24)+N(Y25)+N(Y26)-N(Y58),-5)</f>
        <v>0</v>
      </c>
      <c r="Z61" s="260">
        <f>ROUND(N(Z21)+N(Z22)+N(Z23)+N(Z24)+N(Z25)+N(Z26)-N(Z58),-5)</f>
        <v>0</v>
      </c>
      <c r="AA61" s="260">
        <f>ROUND(N(AA21)+N(AA22)+N(AA23)+N(AA24)+N(AA25)+N(AA26)-N(AA58),-5)</f>
        <v>0</v>
      </c>
      <c r="AB61" s="260">
        <f>ROUND(N(AB21)+N(AB22)+N(AB23)+N(AB24)+N(AB25)+N(AB26)-N(AB58),-5)</f>
        <v>0</v>
      </c>
      <c r="AC61" s="260">
        <f>ROUND(N(AC21)+N(AC22)+N(AC23)+N(AC24)+N(AC25)+N(AC26)-N(AC58),-5)</f>
        <v>0</v>
      </c>
      <c r="AD61" s="260">
        <f>ROUND(N(AD21)+N(AD22)+N(AD23)+N(AD24)+N(AD25)+N(AD26)-N(AD58),-5)</f>
        <v>0</v>
      </c>
      <c r="AE61" s="260">
        <f>ROUND(N(AE21)+N(AE22)+N(AE23)+N(AE24)+N(AE25)+N(AE26)-N(AE58),-5)</f>
        <v>0</v>
      </c>
      <c r="AF61" s="260">
        <f>ROUND(N(AF21)+N(AF22)+N(AF23)+N(AF24)+N(AF25)+N(AF26)-N(AF58),-5)</f>
        <v>0</v>
      </c>
      <c r="AG61" s="260">
        <f>ROUND(N(AG21)+N(AG22)+N(AG23)+N(AG24)+N(AG25)+N(AG26)-N(AG58),-5)</f>
        <v>0</v>
      </c>
      <c r="AH61" s="260">
        <f>ROUND(N(AH21)+N(AH22)+N(AH23)+N(AH24)+N(AH25)+N(AH26)-N(AH58),-5)</f>
        <v>0</v>
      </c>
      <c r="AI61" s="260">
        <f>ROUND(N(AI21)+N(AI22)+N(AI23)+N(AI24)+N(AI25)+N(AI26)-N(AI58),-5)</f>
        <v>0</v>
      </c>
      <c r="AJ61" s="260">
        <f>ROUND(N(AJ21)+N(AJ22)+N(AJ23)+N(AJ24)+N(AJ25)+N(AJ26)-N(AJ58),-5)</f>
        <v>0</v>
      </c>
    </row>
    <row r="62">
      <c r="G62" t="inlineStr">
        <is>
          <t>moeda</t>
        </is>
      </c>
      <c r="H62" t="inlineStr">
        <is>
          <t>CHECK: passivo + PL (contas) - passivo + PL total</t>
        </is>
      </c>
      <c r="J62" t="inlineStr">
        <is>
          <t>derivada</t>
        </is>
      </c>
      <c r="K62" s="260">
        <f>ROUND(N(K27)+N(K28)+N(K29)+N(K30)+N(K31)+N(K32)+N(K33)+N(K34)+N(K35)+N(K36)+N(K37)+N(K38)+N(K39)-N(K59),-5)</f>
        <v>0</v>
      </c>
      <c r="L62" s="260">
        <f>ROUND(N(L27)+N(L28)+N(L29)+N(L30)+N(L31)+N(L32)+N(L33)+N(L34)+N(L35)+N(L36)+N(L37)+N(L38)+N(L39)-N(L59),-5)</f>
        <v>0</v>
      </c>
      <c r="M62" s="260">
        <f>ROUND(N(M27)+N(M28)+N(M29)+N(M30)+N(M31)+N(M32)+N(M33)+N(M34)+N(M35)+N(M36)+N(M37)+N(M38)+N(M39)-N(M59),-5)</f>
        <v>0</v>
      </c>
      <c r="N62" s="260">
        <f>ROUND(N(N27)+N(N28)+N(N29)+N(N30)+N(N31)+N(N32)+N(N33)+N(N34)+N(N35)+N(N36)+N(N37)+N(N38)+N(N39)-N(N59),-5)</f>
        <v>0</v>
      </c>
      <c r="O62" s="260">
        <f>ROUND(N(O27)+N(O28)+N(O29)+N(O30)+N(O31)+N(O32)+N(O33)+N(O34)+N(O35)+N(O36)+N(O37)+N(O38)+N(O39)-N(O59),-5)</f>
        <v>0</v>
      </c>
      <c r="P62" s="260">
        <f>ROUND(N(P27)+N(P28)+N(P29)+N(P30)+N(P31)+N(P32)+N(P33)+N(P34)+N(P35)+N(P36)+N(P37)+N(P38)+N(P39)-N(P59),-5)</f>
        <v>0</v>
      </c>
      <c r="Q62" s="260">
        <f>ROUND(N(Q27)+N(Q28)+N(Q29)+N(Q30)+N(Q31)+N(Q32)+N(Q33)+N(Q34)+N(Q35)+N(Q36)+N(Q37)+N(Q38)+N(Q39)-N(Q59),-5)</f>
        <v>0</v>
      </c>
      <c r="R62" s="260">
        <f>ROUND(N(R27)+N(R28)+N(R29)+N(R30)+N(R31)+N(R32)+N(R33)+N(R34)+N(R35)+N(R36)+N(R37)+N(R38)+N(R39)-N(R59),-5)</f>
        <v>0</v>
      </c>
      <c r="S62" s="260">
        <f>ROUND(N(S27)+N(S28)+N(S29)+N(S30)+N(S31)+N(S32)+N(S33)+N(S34)+N(S35)+N(S36)+N(S37)+N(S38)+N(S39)-N(S59),-5)</f>
        <v>0</v>
      </c>
      <c r="T62" s="260">
        <f>ROUND(N(T27)+N(T28)+N(T29)+N(T30)+N(T31)+N(T32)+N(T33)+N(T34)+N(T35)+N(T36)+N(T37)+N(T38)+N(T39)-N(T59),-5)</f>
        <v>0</v>
      </c>
      <c r="U62" s="260">
        <f>ROUND(N(U27)+N(U28)+N(U29)+N(U30)+N(U31)+N(U32)+N(U33)+N(U34)+N(U35)+N(U36)+N(U37)+N(U38)+N(U39)-N(U59),-5)</f>
        <v>0</v>
      </c>
      <c r="V62" s="260">
        <f>ROUND(N(V27)+N(V28)+N(V29)+N(V30)+N(V31)+N(V32)+N(V33)+N(V34)+N(V35)+N(V36)+N(V37)+N(V38)+N(V39)-N(V59),-5)</f>
        <v>0</v>
      </c>
      <c r="W62" s="260">
        <f>ROUND(N(W27)+N(W28)+N(W29)+N(W30)+N(W31)+N(W32)+N(W33)+N(W34)+N(W35)+N(W36)+N(W37)+N(W38)+N(W39)-N(W59),-5)</f>
        <v>0</v>
      </c>
      <c r="X62" s="260">
        <f>ROUND(N(X27)+N(X28)+N(X29)+N(X30)+N(X31)+N(X32)+N(X33)+N(X34)+N(X35)+N(X36)+N(X37)+N(X38)+N(X39)-N(X59),-5)</f>
        <v>0</v>
      </c>
      <c r="Y62" s="260">
        <f>ROUND(N(Y27)+N(Y28)+N(Y29)+N(Y30)+N(Y31)+N(Y32)+N(Y33)+N(Y34)+N(Y35)+N(Y36)+N(Y37)+N(Y38)+N(Y39)-N(Y59),-5)</f>
        <v>0</v>
      </c>
      <c r="Z62" s="260">
        <f>ROUND(N(Z27)+N(Z28)+N(Z29)+N(Z30)+N(Z31)+N(Z32)+N(Z33)+N(Z34)+N(Z35)+N(Z36)+N(Z37)+N(Z38)+N(Z39)-N(Z59),-5)</f>
        <v>0</v>
      </c>
      <c r="AA62" s="260">
        <f>ROUND(N(AA27)+N(AA28)+N(AA29)+N(AA30)+N(AA31)+N(AA32)+N(AA33)+N(AA34)+N(AA35)+N(AA36)+N(AA37)+N(AA38)+N(AA39)-N(AA59),-5)</f>
        <v>0</v>
      </c>
      <c r="AB62" s="260">
        <f>ROUND(N(AB27)+N(AB28)+N(AB29)+N(AB30)+N(AB31)+N(AB32)+N(AB33)+N(AB34)+N(AB35)+N(AB36)+N(AB37)+N(AB38)+N(AB39)-N(AB59),-5)</f>
        <v>0</v>
      </c>
      <c r="AC62" s="260">
        <f>ROUND(N(AC27)+N(AC28)+N(AC29)+N(AC30)+N(AC31)+N(AC32)+N(AC33)+N(AC34)+N(AC35)+N(AC36)+N(AC37)+N(AC38)+N(AC39)-N(AC59),-5)</f>
        <v>0</v>
      </c>
      <c r="AD62" s="260">
        <f>ROUND(N(AD27)+N(AD28)+N(AD29)+N(AD30)+N(AD31)+N(AD32)+N(AD33)+N(AD34)+N(AD35)+N(AD36)+N(AD37)+N(AD38)+N(AD39)-N(AD59),-5)</f>
        <v>0</v>
      </c>
      <c r="AE62" s="260">
        <f>ROUND(N(AE27)+N(AE28)+N(AE29)+N(AE30)+N(AE31)+N(AE32)+N(AE33)+N(AE34)+N(AE35)+N(AE36)+N(AE37)+N(AE38)+N(AE39)-N(AE59),-5)</f>
        <v>0</v>
      </c>
      <c r="AF62" s="260">
        <f>ROUND(N(AF27)+N(AF28)+N(AF29)+N(AF30)+N(AF31)+N(AF32)+N(AF33)+N(AF34)+N(AF35)+N(AF36)+N(AF37)+N(AF38)+N(AF39)-N(AF59),-5)</f>
        <v>0</v>
      </c>
      <c r="AG62" s="260">
        <f>ROUND(N(AG27)+N(AG28)+N(AG29)+N(AG30)+N(AG31)+N(AG32)+N(AG33)+N(AG34)+N(AG35)+N(AG36)+N(AG37)+N(AG38)+N(AG39)-N(AG59),-5)</f>
        <v>0</v>
      </c>
      <c r="AH62" s="260">
        <f>ROUND(N(AH27)+N(AH28)+N(AH29)+N(AH30)+N(AH31)+N(AH32)+N(AH33)+N(AH34)+N(AH35)+N(AH36)+N(AH37)+N(AH38)+N(AH39)-N(AH59),-5)</f>
        <v>0</v>
      </c>
      <c r="AI62" s="260">
        <f>ROUND(N(AI27)+N(AI28)+N(AI29)+N(AI30)+N(AI31)+N(AI32)+N(AI33)+N(AI34)+N(AI35)+N(AI36)+N(AI37)+N(AI38)+N(AI39)-N(AI59),-5)</f>
        <v>0</v>
      </c>
      <c r="AJ62" s="260">
        <f>ROUND(N(AJ27)+N(AJ28)+N(AJ29)+N(AJ30)+N(AJ31)+N(AJ32)+N(AJ33)+N(AJ34)+N(AJ35)+N(AJ36)+N(AJ37)+N(AJ38)+N(AJ39)-N(AJ59),-5)</f>
        <v>0</v>
      </c>
    </row>
    <row r="63">
      <c r="H63" t="inlineStr">
        <is>
          <t>CHECK: receita - custo - despesas + não operacional - IR - minoritários + outros após IR - lucro (deve ser 0)</t>
        </is>
      </c>
      <c r="J63" t="inlineStr">
        <is>
          <t>derivada</t>
        </is>
      </c>
      <c r="K63">
        <f>ROUND(N(K6)-N(K7)-N(K9)+N(K11)-N(K13)+N(K15)-N(K16),-5)</f>
        <v>0</v>
      </c>
      <c r="L63">
        <f>ROUND(N(L6)-N(L7)-N(L9)+N(L11)-N(L13)+N(L15)-N(L16),-5)</f>
        <v>0</v>
      </c>
      <c r="M63">
        <f>ROUND(N(M6)-N(M7)-N(M9)+N(M11)-N(M13)+N(M15)-N(M16),-5)</f>
        <v>0</v>
      </c>
      <c r="N63">
        <f>ROUND(N(N6)-N(N7)-N(N9)+N(N11)-N(N13)+N(N15)-N(N16),-5)</f>
        <v>0</v>
      </c>
      <c r="O63">
        <f>ROUND(N(O6)-N(O7)-N(O9)+N(O11)-N(O13)+N(O15)-N(O16),-5)</f>
        <v>0</v>
      </c>
      <c r="P63">
        <f>ROUND(N(P6)-N(P7)-N(P9)+N(P11)-N(P13)+N(P15)-N(P16),-5)</f>
        <v>0</v>
      </c>
      <c r="Q63">
        <f>ROUND(N(Q6)-N(Q7)-N(Q9)+N(Q11)-N(Q13)+N(Q15)-N(Q16),-5)</f>
        <v>0</v>
      </c>
      <c r="R63">
        <f>ROUND(N(R6)-N(R7)-N(R9)+N(R11)-N(R13)+N(R15)-N(R16),-5)</f>
        <v>0</v>
      </c>
      <c r="S63">
        <f>ROUND(N(S6)-N(S7)-N(S9)+N(S11)-N(S13)+N(S15)-N(S16),-5)</f>
        <v>0</v>
      </c>
      <c r="T63">
        <f>ROUND(N(T6)-N(T7)-N(T9)+N(T11)-N(T13)+N(T15)-N(T16),-5)</f>
        <v>0</v>
      </c>
      <c r="U63">
        <f>ROUND(N(U6)-N(U7)-N(U9)+N(U11)-N(U13)+N(U15)-N(U16),-5)</f>
        <v>0</v>
      </c>
      <c r="V63">
        <f>ROUND(N(V6)-N(V7)-N(V9)+N(V11)-N(V13)+N(V15)-N(V16),-5)</f>
        <v>0</v>
      </c>
      <c r="W63">
        <f>ROUND(N(W6)-N(W7)-N(W9)+N(W11)-N(W13)+N(W15)-N(W16),-5)</f>
        <v>0</v>
      </c>
      <c r="X63">
        <f>ROUND(N(X6)-N(X7)-N(X9)+N(X11)-N(X13)+N(X15)-N(X16),-5)</f>
        <v>0</v>
      </c>
      <c r="Y63">
        <f>ROUND(N(Y6)-N(Y7)-N(Y9)+N(Y11)-N(Y13)+N(Y15)-N(Y16),-5)</f>
        <v>0</v>
      </c>
      <c r="Z63">
        <f>ROUND(N(Z6)-N(Z7)-N(Z9)+N(Z11)-N(Z13)+N(Z15)-N(Z16),-5)</f>
        <v>0</v>
      </c>
      <c r="AA63">
        <f>ROUND(N(AA6)-N(AA7)-N(AA9)+N(AA11)-N(AA13)+N(AA15)-N(AA16),-5)</f>
        <v>0</v>
      </c>
      <c r="AB63">
        <f>ROUND(N(AB6)-N(AB7)-N(AB9)+N(AB11)-N(AB13)+N(AB15)-N(AB16),-5)</f>
        <v>0</v>
      </c>
      <c r="AC63">
        <f>ROUND(N(AC6)-N(AC7)-N(AC9)+N(AC11)-N(AC13)+N(AC15)-N(AC16),-5)</f>
        <v>0</v>
      </c>
      <c r="AD63">
        <f>ROUND(N(AD6)-N(AD7)-N(AD9)+N(AD11)-N(AD13)+N(AD15)-N(AD16),-5)</f>
        <v>0</v>
      </c>
      <c r="AE63">
        <f>ROUND(N(AE6)-N(AE7)-N(AE9)+N(AE11)-N(AE13)+N(AE15)-N(AE16),-5)</f>
        <v>0</v>
      </c>
      <c r="AF63">
        <f>ROUND(N(AF6)-N(AF7)-N(AF9)+N(AF11)-N(AF13)+N(AF15)-N(AF16),-5)</f>
        <v>0</v>
      </c>
      <c r="AG63">
        <f>ROUND(N(AG6)-N(AG7)-N(AG9)+N(AG11)-N(AG13)+N(AG15)-N(AG16),-5)</f>
        <v>0</v>
      </c>
      <c r="AH63">
        <f>ROUND(N(AH6)-N(AH7)-N(AH9)+N(AH11)-N(AH13)+N(AH15)-N(AH16),-5)</f>
        <v>0</v>
      </c>
      <c r="AI63">
        <f>ROUND(N(AI6)-N(AI7)-N(AI9)+N(AI11)-N(AI13)+N(AI15)-N(AI16),-5)</f>
        <v>0</v>
      </c>
      <c r="AJ63">
        <f>ROUND(N(AJ6)-N(AJ7)-N(AJ9)+N(AJ11)-N(AJ13)+N(AJ15)-N(AJ16),-5)</f>
        <v>0</v>
      </c>
    </row>
    <row r="65">
      <c r="H65" s="254" t="inlineStr">
        <is>
          <t>DRIVERS DE RECEITA (codigos 45+): receita, assinantes pagos e receita média por assinante por região (UCAN, EMEA, LATAM, APAC) - SEC XBRL (receita em USD com fator 0,000001; assinantes em milhões).</t>
        </is>
      </c>
    </row>
    <row r="66">
      <c r="A66" t="n">
        <v>45</v>
      </c>
      <c r="B66" t="n">
        <v>1</v>
      </c>
      <c r="G66" t="inlineStr">
        <is>
          <t>moeda</t>
        </is>
      </c>
      <c r="H66" t="inlineStr">
        <is>
          <t>Receita streaming EUA e Canadá (USD)</t>
        </is>
      </c>
      <c r="J66" t="inlineStr">
        <is>
          <t>fonte</t>
        </is>
      </c>
      <c r="K66" s="262" t="n">
        <v>2702776000</v>
      </c>
      <c r="L66" s="262" t="n">
        <v>2839670000</v>
      </c>
      <c r="M66" s="262" t="n">
        <v>2933445000</v>
      </c>
      <c r="N66" s="262" t="n">
        <v>2979505000</v>
      </c>
      <c r="O66" s="262" t="n">
        <v>3170972000</v>
      </c>
      <c r="P66" s="262" t="n">
        <v>3234643000</v>
      </c>
      <c r="Q66" s="262" t="n">
        <v>3257697000</v>
      </c>
      <c r="R66" s="262" t="n">
        <v>3308788000</v>
      </c>
      <c r="S66" s="262" t="n">
        <v>3350424000</v>
      </c>
      <c r="T66" s="262" t="n">
        <v>3537863000</v>
      </c>
      <c r="U66" s="262" t="n">
        <v>3601565000</v>
      </c>
      <c r="V66" s="262" t="n">
        <v>3594791000</v>
      </c>
      <c r="W66" s="262" t="n">
        <v>3608645000</v>
      </c>
      <c r="X66" s="262" t="n">
        <v>3599448000</v>
      </c>
      <c r="Y66" s="262" t="n">
        <v>3735133000</v>
      </c>
      <c r="Z66" s="262" t="n">
        <v>3930557000</v>
      </c>
      <c r="AA66" s="262" t="n">
        <v>4224315000</v>
      </c>
      <c r="AB66" s="262" t="n">
        <v>4295560000</v>
      </c>
      <c r="AC66" s="262" t="n">
        <v>4322476000</v>
      </c>
      <c r="AD66" s="262" t="n">
        <v>4517018000</v>
      </c>
      <c r="AE66" s="262" t="n">
        <v>4617098000</v>
      </c>
      <c r="AF66" s="262" t="n">
        <v>4929003000</v>
      </c>
      <c r="AG66" s="262" t="n">
        <v>5071781000</v>
      </c>
      <c r="AH66" s="262" t="n">
        <v>5339270000</v>
      </c>
      <c r="AI66" s="262" t="n">
        <v>5245298000</v>
      </c>
      <c r="AJ66" s="262" t="n">
        <v>5431667000</v>
      </c>
    </row>
    <row r="67">
      <c r="A67" t="n">
        <v>46</v>
      </c>
      <c r="B67" t="n">
        <v>1</v>
      </c>
      <c r="G67" t="inlineStr">
        <is>
          <t>un</t>
        </is>
      </c>
      <c r="H67" t="inlineStr">
        <is>
          <t>Assinantes pagos EUA e Canadá (milhões, fim do trimestre)</t>
        </is>
      </c>
      <c r="J67" t="inlineStr">
        <is>
          <t>fonte</t>
        </is>
      </c>
      <c r="K67" s="263" t="n">
        <v>69.96899999999999</v>
      </c>
      <c r="L67" s="263" t="n">
        <v>72.904</v>
      </c>
      <c r="M67" s="263" t="n">
        <v>73.081</v>
      </c>
      <c r="N67" s="263" t="n">
        <v>73.93600000000001</v>
      </c>
      <c r="O67" s="263" t="n">
        <v>74.384</v>
      </c>
      <c r="P67" s="263" t="n">
        <v>73.95099999999999</v>
      </c>
      <c r="Q67" s="263" t="n">
        <v>74.024</v>
      </c>
      <c r="R67" s="263" t="n">
        <v>75.215</v>
      </c>
      <c r="S67" s="263" t="n">
        <v>74.57899999999999</v>
      </c>
      <c r="T67" s="263" t="n">
        <v>73.283</v>
      </c>
      <c r="U67" s="263" t="n">
        <v>73.387</v>
      </c>
      <c r="V67" s="263" t="n">
        <v>74.29600000000001</v>
      </c>
      <c r="W67" s="263" t="n">
        <v>74.398</v>
      </c>
      <c r="X67" s="263" t="n">
        <v>75.571</v>
      </c>
      <c r="Y67" s="263" t="n">
        <v>77.321</v>
      </c>
      <c r="Z67" s="263" t="n">
        <v>80.128</v>
      </c>
      <c r="AA67" s="263" t="n">
        <v>82.658</v>
      </c>
      <c r="AB67" s="263" t="n">
        <v>84.10899999999999</v>
      </c>
      <c r="AC67" s="263" t="n">
        <v>84.803</v>
      </c>
      <c r="AD67" s="263" t="n">
        <v>89.625</v>
      </c>
      <c r="AE67" s="263" t="n"/>
      <c r="AF67" s="263" t="n"/>
      <c r="AG67" s="263" t="n"/>
      <c r="AH67" s="263" t="n"/>
      <c r="AI67" s="263" t="n"/>
      <c r="AJ67" s="263" t="n"/>
    </row>
    <row r="68">
      <c r="A68" t="n">
        <v>47</v>
      </c>
      <c r="B68" t="n">
        <v>1</v>
      </c>
      <c r="G68" t="inlineStr">
        <is>
          <t>moeda</t>
        </is>
      </c>
      <c r="H68" t="inlineStr">
        <is>
          <t>Receita streaming EMEA (USD)</t>
        </is>
      </c>
      <c r="J68" t="inlineStr">
        <is>
          <t>fonte</t>
        </is>
      </c>
      <c r="K68" s="262" t="n">
        <v>1723474000</v>
      </c>
      <c r="L68" s="262" t="n">
        <v>1892537000</v>
      </c>
      <c r="M68" s="262" t="n">
        <v>2019083000</v>
      </c>
      <c r="N68" s="262" t="n">
        <v>2137158000</v>
      </c>
      <c r="O68" s="262" t="n">
        <v>2343674000</v>
      </c>
      <c r="P68" s="262" t="n">
        <v>2400480000</v>
      </c>
      <c r="Q68" s="262" t="n">
        <v>2432239000</v>
      </c>
      <c r="R68" s="262" t="n">
        <v>2523426000</v>
      </c>
      <c r="S68" s="262" t="n">
        <v>2561831000</v>
      </c>
      <c r="T68" s="262" t="n">
        <v>2457235000</v>
      </c>
      <c r="U68" s="262" t="n">
        <v>2375814000</v>
      </c>
      <c r="V68" s="262" t="n">
        <v>2350135000</v>
      </c>
      <c r="W68" s="262" t="n">
        <v>2517641000</v>
      </c>
      <c r="X68" s="262" t="n">
        <v>2562170000</v>
      </c>
      <c r="Y68" s="262" t="n">
        <v>2693146000</v>
      </c>
      <c r="Z68" s="262" t="n">
        <v>2783530000</v>
      </c>
      <c r="AA68" s="262" t="n">
        <v>2958193000</v>
      </c>
      <c r="AB68" s="262" t="n">
        <v>3007772000</v>
      </c>
      <c r="AC68" s="262" t="n">
        <v>3133466000</v>
      </c>
      <c r="AD68" s="262" t="n">
        <v>3287604000</v>
      </c>
      <c r="AE68" s="262" t="n">
        <v>3404676000</v>
      </c>
      <c r="AF68" s="262" t="n">
        <v>3538175000</v>
      </c>
      <c r="AG68" s="262" t="n">
        <v>3699052000</v>
      </c>
      <c r="AH68" s="262" t="n">
        <v>3872743000</v>
      </c>
      <c r="AI68" s="262" t="n">
        <v>3998419000</v>
      </c>
      <c r="AJ68" s="262" t="n">
        <v>4033515000</v>
      </c>
    </row>
    <row r="69">
      <c r="A69" t="n">
        <v>48</v>
      </c>
      <c r="B69" t="n">
        <v>1</v>
      </c>
      <c r="G69" t="inlineStr">
        <is>
          <t>un</t>
        </is>
      </c>
      <c r="H69" t="inlineStr">
        <is>
          <t>Assinantes pagos EMEA (milhões, fim do trimestre)</t>
        </is>
      </c>
      <c r="J69" t="inlineStr">
        <is>
          <t>fonte</t>
        </is>
      </c>
      <c r="K69" s="263" t="n">
        <v>58.734</v>
      </c>
      <c r="L69" s="263" t="n">
        <v>61.483</v>
      </c>
      <c r="M69" s="263" t="n">
        <v>62.242</v>
      </c>
      <c r="N69" s="263" t="n">
        <v>66.69799999999999</v>
      </c>
      <c r="O69" s="263" t="n">
        <v>68.508</v>
      </c>
      <c r="P69" s="263" t="n">
        <v>68.696</v>
      </c>
      <c r="Q69" s="263" t="n">
        <v>70.5</v>
      </c>
      <c r="R69" s="263" t="n">
        <v>74.036</v>
      </c>
      <c r="S69" s="263" t="n">
        <v>73.733</v>
      </c>
      <c r="T69" s="263" t="n">
        <v>72.96599999999999</v>
      </c>
      <c r="U69" s="263" t="n">
        <v>73.53400000000001</v>
      </c>
      <c r="V69" s="263" t="n">
        <v>76.729</v>
      </c>
      <c r="W69" s="263" t="n">
        <v>77.373</v>
      </c>
      <c r="X69" s="263" t="n">
        <v>79.807</v>
      </c>
      <c r="Y69" s="263" t="n">
        <v>83.76000000000001</v>
      </c>
      <c r="Z69" s="263" t="n">
        <v>88.813</v>
      </c>
      <c r="AA69" s="263" t="n">
        <v>91.729</v>
      </c>
      <c r="AB69" s="263" t="n">
        <v>93.964</v>
      </c>
      <c r="AC69" s="263" t="n">
        <v>96.131</v>
      </c>
      <c r="AD69" s="263" t="n">
        <v>101.133</v>
      </c>
      <c r="AE69" s="263" t="n"/>
      <c r="AF69" s="263" t="n"/>
      <c r="AG69" s="263" t="n"/>
      <c r="AH69" s="263" t="n"/>
      <c r="AI69" s="263" t="n"/>
      <c r="AJ69" s="263" t="n"/>
    </row>
    <row r="70">
      <c r="A70" t="n">
        <v>49</v>
      </c>
      <c r="B70" t="n">
        <v>1</v>
      </c>
      <c r="G70" t="inlineStr">
        <is>
          <t>moeda</t>
        </is>
      </c>
      <c r="H70" t="inlineStr">
        <is>
          <t>Receita streaming América Latina (USD)</t>
        </is>
      </c>
      <c r="J70" t="inlineStr">
        <is>
          <t>fonte</t>
        </is>
      </c>
      <c r="K70" s="262" t="n">
        <v>793453000</v>
      </c>
      <c r="L70" s="262" t="n">
        <v>785368000</v>
      </c>
      <c r="M70" s="262" t="n">
        <v>789384000</v>
      </c>
      <c r="N70" s="262" t="n">
        <v>788522000</v>
      </c>
      <c r="O70" s="262" t="n">
        <v>836647000</v>
      </c>
      <c r="P70" s="262" t="n">
        <v>860882000</v>
      </c>
      <c r="Q70" s="262" t="n">
        <v>915297000</v>
      </c>
      <c r="R70" s="262" t="n">
        <v>964150000</v>
      </c>
      <c r="S70" s="262" t="n">
        <v>998948000</v>
      </c>
      <c r="T70" s="262" t="n">
        <v>1030234000</v>
      </c>
      <c r="U70" s="262" t="n">
        <v>1023945000</v>
      </c>
      <c r="V70" s="262" t="n">
        <v>1016846000</v>
      </c>
      <c r="W70" s="262" t="n">
        <v>1070192000</v>
      </c>
      <c r="X70" s="262" t="n">
        <v>1077435000</v>
      </c>
      <c r="Y70" s="262" t="n">
        <v>1142811000</v>
      </c>
      <c r="Z70" s="262" t="n">
        <v>1156023000</v>
      </c>
      <c r="AA70" s="262" t="n">
        <v>1165008000</v>
      </c>
      <c r="AB70" s="262" t="n">
        <v>1204145000</v>
      </c>
      <c r="AC70" s="262" t="n">
        <v>1240892000</v>
      </c>
      <c r="AD70" s="262" t="n">
        <v>1229771000</v>
      </c>
      <c r="AE70" s="262" t="n">
        <v>1261934000</v>
      </c>
      <c r="AF70" s="262" t="n">
        <v>1306735000</v>
      </c>
      <c r="AG70" s="262" t="n">
        <v>1370913000</v>
      </c>
      <c r="AH70" s="262" t="n">
        <v>1417939000</v>
      </c>
      <c r="AI70" s="262" t="n">
        <v>1497058000</v>
      </c>
      <c r="AJ70" s="262" t="n">
        <v>1584290000</v>
      </c>
    </row>
    <row r="71">
      <c r="A71" t="n">
        <v>50</v>
      </c>
      <c r="B71" t="n">
        <v>1</v>
      </c>
      <c r="G71" t="inlineStr">
        <is>
          <t>un</t>
        </is>
      </c>
      <c r="H71" t="inlineStr">
        <is>
          <t>Assinantes pagos América Latina (milhões, fim do trimestre)</t>
        </is>
      </c>
      <c r="J71" t="inlineStr">
        <is>
          <t>fonte</t>
        </is>
      </c>
      <c r="K71" s="263" t="n">
        <v>34.318</v>
      </c>
      <c r="L71" s="263" t="n">
        <v>36.068</v>
      </c>
      <c r="M71" s="263" t="n">
        <v>36.324</v>
      </c>
      <c r="N71" s="263" t="n">
        <v>37.537</v>
      </c>
      <c r="O71" s="263" t="n">
        <v>37.894</v>
      </c>
      <c r="P71" s="263" t="n">
        <v>38.658</v>
      </c>
      <c r="Q71" s="263" t="n">
        <v>38.988</v>
      </c>
      <c r="R71" s="263" t="n">
        <v>39.961</v>
      </c>
      <c r="S71" s="263" t="n">
        <v>39.61</v>
      </c>
      <c r="T71" s="263" t="n">
        <v>39.624</v>
      </c>
      <c r="U71" s="263" t="n">
        <v>39.936</v>
      </c>
      <c r="V71" s="263" t="n">
        <v>41.699</v>
      </c>
      <c r="W71" s="263" t="n">
        <v>41.249</v>
      </c>
      <c r="X71" s="263" t="n">
        <v>42.466</v>
      </c>
      <c r="Y71" s="263" t="n">
        <v>43.645</v>
      </c>
      <c r="Z71" s="263" t="n">
        <v>45.997</v>
      </c>
      <c r="AA71" s="263" t="n">
        <v>47.72</v>
      </c>
      <c r="AB71" s="263" t="n">
        <v>49.25</v>
      </c>
      <c r="AC71" s="263" t="n">
        <v>49.182</v>
      </c>
      <c r="AD71" s="263" t="n">
        <v>53.327</v>
      </c>
      <c r="AE71" s="263" t="n"/>
      <c r="AF71" s="263" t="n"/>
      <c r="AG71" s="263" t="n"/>
      <c r="AH71" s="263" t="n"/>
      <c r="AI71" s="263" t="n"/>
      <c r="AJ71" s="263" t="n"/>
    </row>
    <row r="72">
      <c r="A72" t="n">
        <v>51</v>
      </c>
      <c r="B72" t="n">
        <v>1</v>
      </c>
      <c r="G72" t="inlineStr">
        <is>
          <t>moeda</t>
        </is>
      </c>
      <c r="H72" t="inlineStr">
        <is>
          <t>Receita streaming Ásia-Pacífico (USD)</t>
        </is>
      </c>
      <c r="J72" t="inlineStr">
        <is>
          <t>fonte</t>
        </is>
      </c>
      <c r="K72" s="262" t="n">
        <v>483660000</v>
      </c>
      <c r="L72" s="262" t="n">
        <v>569140000</v>
      </c>
      <c r="M72" s="262" t="n">
        <v>634891000</v>
      </c>
      <c r="N72" s="262" t="n">
        <v>684609000</v>
      </c>
      <c r="O72" s="262" t="n">
        <v>762414000</v>
      </c>
      <c r="P72" s="262" t="n">
        <v>799480000</v>
      </c>
      <c r="Q72" s="262" t="n">
        <v>834002000</v>
      </c>
      <c r="R72" s="262" t="n">
        <v>870705000</v>
      </c>
      <c r="S72" s="262" t="n">
        <v>916754000</v>
      </c>
      <c r="T72" s="262" t="n">
        <v>907719000</v>
      </c>
      <c r="U72" s="262" t="n">
        <v>889037000</v>
      </c>
      <c r="V72" s="262" t="n">
        <v>856711000</v>
      </c>
      <c r="W72" s="262" t="n">
        <v>933523000</v>
      </c>
      <c r="X72" s="262" t="n">
        <v>919273000</v>
      </c>
      <c r="Y72" s="262" t="n">
        <v>948216000</v>
      </c>
      <c r="Z72" s="262" t="n">
        <v>962715000</v>
      </c>
      <c r="AA72" s="262" t="n">
        <v>1022924000</v>
      </c>
      <c r="AB72" s="262" t="n">
        <v>1051833000</v>
      </c>
      <c r="AC72" s="262" t="n">
        <v>1127869000</v>
      </c>
      <c r="AD72" s="262" t="n">
        <v>1212120000</v>
      </c>
      <c r="AE72" s="262" t="n">
        <v>1259093000</v>
      </c>
      <c r="AF72" s="262" t="n">
        <v>1305253000</v>
      </c>
      <c r="AG72" s="262" t="n">
        <v>1368561000</v>
      </c>
      <c r="AH72" s="262" t="n">
        <v>1420810000</v>
      </c>
      <c r="AI72" s="262" t="n">
        <v>1508982000</v>
      </c>
      <c r="AJ72" s="262" t="n">
        <v>1510466000</v>
      </c>
    </row>
    <row r="73">
      <c r="A73" t="n">
        <v>52</v>
      </c>
      <c r="B73" t="n">
        <v>1</v>
      </c>
      <c r="G73" t="inlineStr">
        <is>
          <t>un</t>
        </is>
      </c>
      <c r="H73" t="inlineStr">
        <is>
          <t>Assinantes pagos Ásia-Pacífico (milhões, fim do trimestre)</t>
        </is>
      </c>
      <c r="J73" t="inlineStr">
        <is>
          <t>fonte</t>
        </is>
      </c>
      <c r="K73" s="263" t="n">
        <v>19.835</v>
      </c>
      <c r="L73" s="263" t="n">
        <v>22.492</v>
      </c>
      <c r="M73" s="263" t="n">
        <v>23.504</v>
      </c>
      <c r="N73" s="263" t="n">
        <v>25.492</v>
      </c>
      <c r="O73" s="263" t="n">
        <v>26.853</v>
      </c>
      <c r="P73" s="263" t="n">
        <v>27.875</v>
      </c>
      <c r="Q73" s="263" t="n">
        <v>30.051</v>
      </c>
      <c r="R73" s="263" t="n">
        <v>32.632</v>
      </c>
      <c r="S73" s="263" t="n">
        <v>33.719</v>
      </c>
      <c r="T73" s="263" t="n">
        <v>34.799</v>
      </c>
      <c r="U73" s="263" t="n">
        <v>36.228</v>
      </c>
      <c r="V73" s="263" t="n">
        <v>38.023</v>
      </c>
      <c r="W73" s="263" t="n">
        <v>39.478</v>
      </c>
      <c r="X73" s="263" t="n">
        <v>40.546</v>
      </c>
      <c r="Y73" s="263" t="n">
        <v>42.427</v>
      </c>
      <c r="Z73" s="263" t="n">
        <v>45.338</v>
      </c>
      <c r="AA73" s="263" t="n">
        <v>47.495</v>
      </c>
      <c r="AB73" s="263" t="n">
        <v>50.324</v>
      </c>
      <c r="AC73" s="263" t="n">
        <v>52.604</v>
      </c>
      <c r="AD73" s="263" t="n">
        <v>57.541</v>
      </c>
      <c r="AE73" s="263" t="n"/>
      <c r="AF73" s="263" t="n"/>
      <c r="AG73" s="263" t="n"/>
      <c r="AH73" s="263" t="n"/>
      <c r="AI73" s="263" t="n"/>
      <c r="AJ73" s="263" t="n"/>
    </row>
    <row r="74">
      <c r="A74" t="n">
        <v>53</v>
      </c>
      <c r="B74" t="n">
        <v>1</v>
      </c>
      <c r="G74" t="inlineStr">
        <is>
          <t>moeda</t>
        </is>
      </c>
      <c r="H74" t="inlineStr">
        <is>
          <t>Receita DVD (USD; até 3T23; 4T = receita total - regiões)</t>
        </is>
      </c>
      <c r="J74" t="inlineStr">
        <is>
          <t>fonte</t>
        </is>
      </c>
      <c r="K74" s="262" t="n">
        <v>64000000</v>
      </c>
      <c r="L74" s="262" t="n">
        <v>62000000</v>
      </c>
      <c r="M74" s="262" t="n">
        <v>59000000</v>
      </c>
      <c r="N74" s="262" t="n">
        <v>15000000</v>
      </c>
      <c r="O74" s="262" t="n">
        <v>50000000</v>
      </c>
      <c r="P74" s="262" t="n">
        <v>46000000</v>
      </c>
      <c r="Q74" s="262" t="n">
        <v>44000000</v>
      </c>
      <c r="R74" s="262" t="n">
        <v>60000000</v>
      </c>
      <c r="S74" s="262" t="n">
        <v>40000000</v>
      </c>
      <c r="T74" s="262" t="n">
        <v>37000000</v>
      </c>
      <c r="U74" s="262" t="n">
        <v>35000000</v>
      </c>
      <c r="V74" s="262" t="n">
        <v>-12000000</v>
      </c>
      <c r="W74" s="262" t="n">
        <v>32000000</v>
      </c>
      <c r="X74" s="262" t="n">
        <v>29000000</v>
      </c>
      <c r="Y74" s="262" t="n">
        <v>22000000</v>
      </c>
      <c r="Z74" s="262" t="n"/>
      <c r="AA74" s="262" t="n"/>
      <c r="AB74" s="262" t="n"/>
      <c r="AC74" s="262" t="n"/>
      <c r="AD74" s="262" t="n"/>
      <c r="AE74" s="262" t="n"/>
      <c r="AF74" s="262" t="n"/>
      <c r="AG74" s="262" t="n"/>
      <c r="AH74" s="262" t="n"/>
      <c r="AI74" s="262" t="n"/>
      <c r="AJ74" s="262" t="n"/>
    </row>
    <row r="75">
      <c r="H75" t="inlineStr">
        <is>
          <t>Notas: valores dimensionais das instâncias XBRL. Assinantes pagos = saldo no fim do trimestre (a Netflix parou de divulgar assinantes em 2025). ARM = receita do trimestre / média de assinantes do trimestre / 3 (USD por mês). DVD até 3T23.</t>
        </is>
      </c>
    </row>
    <row r="113">
      <c r="H113" s="254" t="inlineStr">
        <is>
          <t>CONVENCOES</t>
        </is>
      </c>
    </row>
    <row r="114">
      <c r="H114" t="inlineStr">
        <is>
          <t>Linhas de origem: 5 a 75. As formulas da Inputs (2) varrem as linhas 5 a 110; as linhas 76 a 110 estao livres para novas contas.</t>
        </is>
      </c>
    </row>
    <row r="115">
      <c r="H115" t="inlineStr">
        <is>
          <t>Periodos: colunas K a AJ = trimestres-calendário 1Q20 a 2Q26 (linha 2: trimestre fiscal correspondente).</t>
        </is>
      </c>
    </row>
    <row r="116">
      <c r="H116" t="inlineStr">
        <is>
          <t>Brutos em USD unidades: fator da célula B1 = 0,000001 converte para USD milhões nas linhas UNID = moeda.</t>
        </is>
      </c>
    </row>
    <row r="117">
      <c r="H117" t="inlineStr">
        <is>
          <t>ORIGEM: fonte = copiado da SEC; memoria = como divulgado, sem codigo; derivada = formula nesta aba ou desacumulado na extração.</t>
        </is>
      </c>
    </row>
    <row r="118">
      <c r="H118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t="inlineStr">
        <is>
          <t>Codigos 45 a 53: drivers de receita (memoria); alimentam o bloco logo abaixo da receita liquida no Model.</t>
        </is>
      </c>
    </row>
    <row r="133">
      <c r="H133" s="254" t="n"/>
    </row>
    <row r="134"/>
    <row r="135"/>
    <row r="136"/>
    <row r="137"/>
    <row r="138"/>
    <row r="139"/>
    <row r="140"/>
    <row r="141"/>
    <row r="142"/>
    <row r="143"/>
    <row r="14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1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53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7163.282</v>
      </c>
      <c r="E4" s="6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7341.777</v>
      </c>
      <c r="F4" s="6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7483.467</v>
      </c>
      <c r="G4" s="6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7709.318</v>
      </c>
      <c r="H4" s="3">
        <f>SUM(D4:G4)</f>
        <v>29697.844</v>
      </c>
      <c r="I4" s="6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7867.767</v>
      </c>
      <c r="J4" s="6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7970.141</v>
      </c>
      <c r="K4" s="6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7925.589</v>
      </c>
      <c r="L4" s="6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7852.053</v>
      </c>
      <c r="M4" s="3">
        <f>SUM(I4:L4)</f>
        <v>31615.55</v>
      </c>
      <c r="N4" s="6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8161.503</v>
      </c>
      <c r="O4" s="6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8187.301</v>
      </c>
      <c r="P4" s="6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8541.668</v>
      </c>
      <c r="Q4" s="6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8832.825</v>
      </c>
      <c r="R4" s="3">
        <f>SUM(N4:Q4)</f>
        <v>33723.297</v>
      </c>
      <c r="S4" s="6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9370.44</v>
      </c>
      <c r="T4" s="6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9559.31</v>
      </c>
      <c r="U4" s="6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9824.703</v>
      </c>
      <c r="V4" s="6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10246.513</v>
      </c>
      <c r="W4" s="3">
        <f>SUM(S4:V4)</f>
        <v>39000.966</v>
      </c>
      <c r="X4" s="6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10542.801</v>
      </c>
      <c r="Y4" s="6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11079.166</v>
      </c>
      <c r="Z4" s="6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11510.307</v>
      </c>
      <c r="AA4" s="6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12050.762</v>
      </c>
      <c r="AB4" s="3">
        <f>SUM(X4:AA4)</f>
        <v>45183.036</v>
      </c>
      <c r="AC4" s="6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12249.757</v>
      </c>
      <c r="AD4" s="6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12559.938</v>
      </c>
      <c r="AE4" s="6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6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3" t="e">
        <f>SUM(AC4:AF4)</f>
        <v>#N/A</v>
      </c>
      <c r="AH4" s="6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5767.691</v>
      </c>
      <c r="AI4" s="6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6148.286</v>
      </c>
      <c r="AJ4" s="6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6435.637</v>
      </c>
      <c r="AK4" s="6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6644.442</v>
      </c>
      <c r="AL4" s="3">
        <f>SUM(AH4:AK4)</f>
        <v>24996.056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-3868.511</v>
      </c>
      <c r="E5" s="6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-4018.008</v>
      </c>
      <c r="F5" s="6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-4206.589</v>
      </c>
      <c r="G5" s="6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-5239.575</v>
      </c>
      <c r="H5" s="3">
        <f>SUM(D5:G5)</f>
        <v>-17332.683</v>
      </c>
      <c r="I5" s="6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-4284.705</v>
      </c>
      <c r="J5" s="6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-4690.755</v>
      </c>
      <c r="K5" s="6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-4788.665</v>
      </c>
      <c r="L5" s="6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-5404.16</v>
      </c>
      <c r="M5" s="3">
        <f>SUM(I5:L5)</f>
        <v>-19168.285</v>
      </c>
      <c r="N5" s="6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-4803.625</v>
      </c>
      <c r="O5" s="6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-4673.47</v>
      </c>
      <c r="P5" s="6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-4930.788</v>
      </c>
      <c r="Q5" s="6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-5307.485</v>
      </c>
      <c r="R5" s="3">
        <f>SUM(N5:Q5)</f>
        <v>-19715.368</v>
      </c>
      <c r="S5" s="6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-4977.073</v>
      </c>
      <c r="T5" s="6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-5174.143</v>
      </c>
      <c r="U5" s="6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-5119.884</v>
      </c>
      <c r="V5" s="6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-5767.364</v>
      </c>
      <c r="W5" s="3">
        <f>SUM(S5:V5)</f>
        <v>-21038.464</v>
      </c>
      <c r="X5" s="6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-5263.147</v>
      </c>
      <c r="Y5" s="6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-5325.311</v>
      </c>
      <c r="Z5" s="6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-6164.25</v>
      </c>
      <c r="AA5" s="6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-6522.621</v>
      </c>
      <c r="AB5" s="3">
        <f>SUM(X5:AA5)</f>
        <v>-23275.329</v>
      </c>
      <c r="AC5" s="6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-5888.238</v>
      </c>
      <c r="AD5" s="6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-6036.965</v>
      </c>
      <c r="AE5" s="6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6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3" t="e">
        <f>SUM(AC5:AF5)</f>
        <v>#N/A</v>
      </c>
      <c r="AH5" s="6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-3599.701</v>
      </c>
      <c r="AI5" s="6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-3643.707</v>
      </c>
      <c r="AJ5" s="6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-3867.751</v>
      </c>
      <c r="AK5" s="6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-4165.16</v>
      </c>
      <c r="AL5" s="3">
        <f>SUM(AH5:AK5)</f>
        <v>-15276.319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-1299.174</v>
      </c>
      <c r="E6" s="6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-1437.705</v>
      </c>
      <c r="F6" s="6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-1451.372</v>
      </c>
      <c r="G6" s="6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-1773.989</v>
      </c>
      <c r="H6" s="3">
        <f>SUM(D6:G6)</f>
        <v>-5962.24</v>
      </c>
      <c r="I6" s="6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-1536.834</v>
      </c>
      <c r="J6" s="6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-1617.598</v>
      </c>
      <c r="K6" s="6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-1518.718</v>
      </c>
      <c r="L6" s="6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-1804.602</v>
      </c>
      <c r="M6" s="3">
        <f>SUM(I6:L6)</f>
        <v>-6477.752</v>
      </c>
      <c r="N6" s="6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-1553.226</v>
      </c>
      <c r="O6" s="6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-1597.263</v>
      </c>
      <c r="P6" s="6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-1603.826</v>
      </c>
      <c r="Q6" s="6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-1942.664</v>
      </c>
      <c r="R6" s="3">
        <f>SUM(N6:Q6)</f>
        <v>-6696.979</v>
      </c>
      <c r="S6" s="6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-1673.599</v>
      </c>
      <c r="T6" s="6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-1701.103</v>
      </c>
      <c r="U6" s="6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-1714.428</v>
      </c>
      <c r="V6" s="6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-2126.844</v>
      </c>
      <c r="W6" s="3">
        <f>SUM(S6:V6)</f>
        <v>-7215.974</v>
      </c>
      <c r="X6" s="6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-1852.588</v>
      </c>
      <c r="Y6" s="6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-1899.148</v>
      </c>
      <c r="Z6" s="6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-2010.484</v>
      </c>
      <c r="AA6" s="6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-2485.495</v>
      </c>
      <c r="AB6" s="3">
        <f>SUM(X6:AA6)</f>
        <v>-8247.715</v>
      </c>
      <c r="AC6" s="6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-2305.947</v>
      </c>
      <c r="AD6" s="6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-2229.833</v>
      </c>
      <c r="AE6" s="6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6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3" t="e">
        <f>SUM(AC6:AF6)</f>
        <v>#N/A</v>
      </c>
      <c r="AH6" s="6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-1181.217</v>
      </c>
      <c r="AI6" s="6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-1119.99</v>
      </c>
      <c r="AJ6" s="6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-1224.434</v>
      </c>
      <c r="AK6" s="6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-1493.097</v>
      </c>
      <c r="AL6" s="3">
        <f>SUM(AH6:AK6)</f>
        <v>-5018.738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-35.741</v>
      </c>
      <c r="E7" s="6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-38.434</v>
      </c>
      <c r="F7" s="6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-70.253</v>
      </c>
      <c r="G7" s="6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-63.984</v>
      </c>
      <c r="H7" s="3">
        <f>SUM(D7:G7)</f>
        <v>-208.412</v>
      </c>
      <c r="I7" s="6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-74.602</v>
      </c>
      <c r="J7" s="6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-83.505</v>
      </c>
      <c r="K7" s="6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-85.188</v>
      </c>
      <c r="L7" s="6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-93.387</v>
      </c>
      <c r="M7" s="3">
        <f>SUM(I7:L7)</f>
        <v>-336.682</v>
      </c>
      <c r="N7" s="6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-90.335</v>
      </c>
      <c r="O7" s="6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-89.385</v>
      </c>
      <c r="P7" s="6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-90.66</v>
      </c>
      <c r="Q7" s="6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-86.567</v>
      </c>
      <c r="R7" s="3">
        <f>SUM(N7:Q7)</f>
        <v>-356.947</v>
      </c>
      <c r="S7" s="6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-87.234</v>
      </c>
      <c r="T7" s="6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-81.227</v>
      </c>
      <c r="U7" s="6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-80.914</v>
      </c>
      <c r="V7" s="6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-79.539</v>
      </c>
      <c r="W7" s="3">
        <f>SUM(S7:V7)</f>
        <v>-328.914</v>
      </c>
      <c r="X7" s="6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-80.067</v>
      </c>
      <c r="Y7" s="6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-80.013</v>
      </c>
      <c r="Z7" s="6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-87.326</v>
      </c>
      <c r="AA7" s="6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-85.983</v>
      </c>
      <c r="AB7" s="3">
        <f>SUM(X7:AA7)</f>
        <v>-333.389</v>
      </c>
      <c r="AC7" s="6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-98.575</v>
      </c>
      <c r="AD7" s="6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-100.53</v>
      </c>
      <c r="AE7" s="6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6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3" t="e">
        <f>SUM(AC7:AF7)</f>
        <v>#N/A</v>
      </c>
      <c r="AH7" s="6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-28.517</v>
      </c>
      <c r="AI7" s="6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-26.661</v>
      </c>
      <c r="AJ7" s="6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-28.589</v>
      </c>
      <c r="AK7" s="6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-31.943</v>
      </c>
      <c r="AL7" s="3">
        <f>SUM(AH7:AK7)</f>
        <v>-115.71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-194.44</v>
      </c>
      <c r="E8" s="6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-191.322</v>
      </c>
      <c r="F8" s="6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-190.429</v>
      </c>
      <c r="G8" s="6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-189.429</v>
      </c>
      <c r="H8" s="3">
        <f>SUM(D8:G8)</f>
        <v>-765.62</v>
      </c>
      <c r="I8" s="6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-187.579</v>
      </c>
      <c r="J8" s="6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-175.455</v>
      </c>
      <c r="K8" s="6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-172.575</v>
      </c>
      <c r="L8" s="6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-170.603</v>
      </c>
      <c r="M8" s="3">
        <f>SUM(I8:L8)</f>
        <v>-706.212</v>
      </c>
      <c r="N8" s="6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-174.239</v>
      </c>
      <c r="O8" s="6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-174.812</v>
      </c>
      <c r="P8" s="6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-175.563</v>
      </c>
      <c r="Q8" s="6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-175.212</v>
      </c>
      <c r="R8" s="3">
        <f>SUM(N8:Q8)</f>
        <v>-699.826</v>
      </c>
      <c r="S8" s="6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-173.314</v>
      </c>
      <c r="T8" s="6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-167.986</v>
      </c>
      <c r="U8" s="6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-184.83</v>
      </c>
      <c r="V8" s="6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-192.603</v>
      </c>
      <c r="W8" s="3">
        <f>SUM(S8:V8)</f>
        <v>-718.733</v>
      </c>
      <c r="X8" s="6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-184.172</v>
      </c>
      <c r="Y8" s="6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-182.649</v>
      </c>
      <c r="Z8" s="6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-175.294</v>
      </c>
      <c r="AA8" s="6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-234.395</v>
      </c>
      <c r="AB8" s="3">
        <f>SUM(X8:AA8)</f>
        <v>-776.51</v>
      </c>
      <c r="AC8" s="6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-262.077</v>
      </c>
      <c r="AD8" s="6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-175.685</v>
      </c>
      <c r="AE8" s="6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6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3" t="e">
        <f>SUM(AC8:AF8)</f>
        <v>#N/A</v>
      </c>
      <c r="AH8" s="6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-184.083</v>
      </c>
      <c r="AI8" s="6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-189.151</v>
      </c>
      <c r="AJ8" s="6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-197.079</v>
      </c>
      <c r="AK8" s="6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-197.186</v>
      </c>
      <c r="AL8" s="3">
        <f>SUM(AH8:AK8)</f>
        <v>-767.499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269.086</v>
      </c>
      <c r="E9" s="6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-62.519</v>
      </c>
      <c r="F9" s="6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96.135</v>
      </c>
      <c r="G9" s="6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108.512</v>
      </c>
      <c r="H9" s="3">
        <f>SUM(D9:G9)</f>
        <v>411.214</v>
      </c>
      <c r="I9" s="6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195.645</v>
      </c>
      <c r="J9" s="6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220.226</v>
      </c>
      <c r="K9" s="6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261.404</v>
      </c>
      <c r="L9" s="6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-339.965</v>
      </c>
      <c r="M9" s="3">
        <f>SUM(I9:L9)</f>
        <v>337.31</v>
      </c>
      <c r="N9" s="6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-71.204</v>
      </c>
      <c r="O9" s="6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26.961</v>
      </c>
      <c r="P9" s="6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168.218</v>
      </c>
      <c r="Q9" s="6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-172.747</v>
      </c>
      <c r="R9" s="3">
        <f>SUM(N9:Q9)</f>
        <v>-48.772</v>
      </c>
      <c r="S9" s="6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155.359</v>
      </c>
      <c r="T9" s="6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79.005</v>
      </c>
      <c r="U9" s="6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-21.693</v>
      </c>
      <c r="V9" s="6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54.105</v>
      </c>
      <c r="W9" s="3">
        <f>SUM(S9:V9)</f>
        <v>266.776</v>
      </c>
      <c r="X9" s="6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50.899</v>
      </c>
      <c r="Y9" s="6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39.63</v>
      </c>
      <c r="Z9" s="6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36.457</v>
      </c>
      <c r="AA9" s="6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45.473</v>
      </c>
      <c r="AB9" s="3">
        <f>SUM(X9:AA9)</f>
        <v>172.459</v>
      </c>
      <c r="AC9" s="6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2852.166</v>
      </c>
      <c r="AD9" s="6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51.661</v>
      </c>
      <c r="AE9" s="6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6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3" t="e">
        <f>SUM(AC9:AF9)</f>
        <v>#N/A</v>
      </c>
      <c r="AH9" s="6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21.697</v>
      </c>
      <c r="AI9" s="6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-133.175</v>
      </c>
      <c r="AJ9" s="6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-256.324</v>
      </c>
      <c r="AK9" s="6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-250.639</v>
      </c>
      <c r="AL9" s="3">
        <f>SUM(AH9:AK9)</f>
        <v>-618.441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-327.787</v>
      </c>
      <c r="E10" s="6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-240.776</v>
      </c>
      <c r="F10" s="6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-211.888</v>
      </c>
      <c r="G10" s="6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56.576</v>
      </c>
      <c r="H10" s="3">
        <f>SUM(D10:G10)</f>
        <v>-723.875</v>
      </c>
      <c r="I10" s="6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-382.245</v>
      </c>
      <c r="J10" s="6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-182.103</v>
      </c>
      <c r="K10" s="6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-223.605</v>
      </c>
      <c r="L10" s="6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15.948</v>
      </c>
      <c r="M10" s="3">
        <f>SUM(I10:L10)</f>
        <v>-772.005</v>
      </c>
      <c r="N10" s="6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-163.754</v>
      </c>
      <c r="O10" s="6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-191.722</v>
      </c>
      <c r="P10" s="6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-231.627</v>
      </c>
      <c r="Q10" s="6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-210.312</v>
      </c>
      <c r="R10" s="3">
        <f>SUM(N10:Q10)</f>
        <v>-797.415</v>
      </c>
      <c r="S10" s="6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-282.37</v>
      </c>
      <c r="T10" s="6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-366.55</v>
      </c>
      <c r="U10" s="6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-339.445</v>
      </c>
      <c r="V10" s="6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-265.661</v>
      </c>
      <c r="W10" s="3">
        <f>SUM(S10:V10)</f>
        <v>-1254.026</v>
      </c>
      <c r="X10" s="6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-323.375</v>
      </c>
      <c r="Y10" s="6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-506.262</v>
      </c>
      <c r="Z10" s="6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-562.494</v>
      </c>
      <c r="AA10" s="6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-349.22</v>
      </c>
      <c r="AB10" s="3">
        <f>SUM(X10:AA10)</f>
        <v>-1741.351</v>
      </c>
      <c r="AC10" s="6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-1264.295</v>
      </c>
      <c r="AD10" s="6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-667.172</v>
      </c>
      <c r="AE10" s="6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6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-86.803</v>
      </c>
      <c r="AI10" s="6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-315.406</v>
      </c>
      <c r="AJ10" s="6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-71.484</v>
      </c>
      <c r="AK10" s="6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35.739</v>
      </c>
      <c r="AL10" s="3">
        <f>SUM(AH10:AK10)</f>
        <v>-437.954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0</v>
      </c>
      <c r="E11" s="6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6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0</v>
      </c>
      <c r="G11" s="6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0</v>
      </c>
      <c r="H11" s="3">
        <f>SUM(D11:G11)</f>
        <v>0</v>
      </c>
      <c r="I11" s="6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0</v>
      </c>
      <c r="J11" s="6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0</v>
      </c>
      <c r="K11" s="6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0</v>
      </c>
      <c r="L11" s="6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0</v>
      </c>
      <c r="M11" s="3">
        <f>SUM(I11:L11)</f>
        <v>0</v>
      </c>
      <c r="N11" s="6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0</v>
      </c>
      <c r="O11" s="6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0</v>
      </c>
      <c r="P11" s="6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0</v>
      </c>
      <c r="Q11" s="6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0</v>
      </c>
      <c r="R11" s="3">
        <f>SUM(N11:Q11)</f>
        <v>0</v>
      </c>
      <c r="S11" s="6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0</v>
      </c>
      <c r="T11" s="6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0</v>
      </c>
      <c r="U11" s="6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0</v>
      </c>
      <c r="V11" s="6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0</v>
      </c>
      <c r="W11" s="3">
        <f>SUM(S11:V11)</f>
        <v>0</v>
      </c>
      <c r="X11" s="6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0</v>
      </c>
      <c r="Y11" s="6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0</v>
      </c>
      <c r="Z11" s="6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0</v>
      </c>
      <c r="AA11" s="6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1" s="3">
        <f>SUM(X11:AA11)</f>
        <v>0</v>
      </c>
      <c r="AC11" s="6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1" s="6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1" s="6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6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1" s="6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1" s="6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1" s="6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1" s="3">
        <f>SUM(AH11:AK11)</f>
        <v>0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0</v>
      </c>
      <c r="E12" s="6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0</v>
      </c>
      <c r="F12" s="6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0</v>
      </c>
      <c r="G12" s="6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0</v>
      </c>
      <c r="H12" s="3">
        <f>SUM(D12:G12)</f>
        <v>0</v>
      </c>
      <c r="I12" s="6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0</v>
      </c>
      <c r="J12" s="6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0</v>
      </c>
      <c r="K12" s="6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0</v>
      </c>
      <c r="L12" s="6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0</v>
      </c>
      <c r="M12" s="3">
        <f>SUM(I12:L12)</f>
        <v>0</v>
      </c>
      <c r="N12" s="6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0</v>
      </c>
      <c r="O12" s="6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0</v>
      </c>
      <c r="P12" s="6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0</v>
      </c>
      <c r="Q12" s="6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0</v>
      </c>
      <c r="R12" s="3">
        <f>SUM(N12:Q12)</f>
        <v>0</v>
      </c>
      <c r="S12" s="6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0</v>
      </c>
      <c r="T12" s="6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0</v>
      </c>
      <c r="U12" s="6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0</v>
      </c>
      <c r="V12" s="6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0</v>
      </c>
      <c r="W12" s="3">
        <f>SUM(S12:V12)</f>
        <v>0</v>
      </c>
      <c r="X12" s="6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0</v>
      </c>
      <c r="Y12" s="6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0</v>
      </c>
      <c r="Z12" s="6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0</v>
      </c>
      <c r="AA12" s="6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2" s="3">
        <f>SUM(X12:AA12)</f>
        <v>0</v>
      </c>
      <c r="AC12" s="6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2" s="6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2" s="6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6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2" s="6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2" s="6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2" s="6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0</v>
      </c>
      <c r="E13" s="6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0</v>
      </c>
      <c r="F13" s="6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0</v>
      </c>
      <c r="G13" s="6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0</v>
      </c>
      <c r="H13" s="3">
        <f>SUM(D13:G13)</f>
        <v>0</v>
      </c>
      <c r="I13" s="6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0</v>
      </c>
      <c r="J13" s="6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0</v>
      </c>
      <c r="K13" s="6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0</v>
      </c>
      <c r="L13" s="6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0</v>
      </c>
      <c r="M13" s="3">
        <f>SUM(I13:L13)</f>
        <v>0</v>
      </c>
      <c r="N13" s="6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0</v>
      </c>
      <c r="O13" s="6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0</v>
      </c>
      <c r="P13" s="6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0</v>
      </c>
      <c r="Q13" s="6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0</v>
      </c>
      <c r="R13" s="3">
        <f>SUM(N13:Q13)</f>
        <v>0</v>
      </c>
      <c r="S13" s="6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0</v>
      </c>
      <c r="T13" s="6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0</v>
      </c>
      <c r="U13" s="6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0</v>
      </c>
      <c r="V13" s="6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0</v>
      </c>
      <c r="W13" s="3">
        <f>SUM(S13:V13)</f>
        <v>0</v>
      </c>
      <c r="X13" s="6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0</v>
      </c>
      <c r="Y13" s="6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0</v>
      </c>
      <c r="Z13" s="6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0</v>
      </c>
      <c r="AA13" s="6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3" s="3">
        <f>SUM(X13:AA13)</f>
        <v>0</v>
      </c>
      <c r="AC13" s="6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3" s="6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3" s="6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6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3" s="6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3" s="6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3" s="6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8403.705</v>
      </c>
      <c r="E15" s="6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7777.53</v>
      </c>
      <c r="F15" s="6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7526.681</v>
      </c>
      <c r="G15" s="6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6027.804</v>
      </c>
      <c r="H15" s="3">
        <f>G15</f>
        <v>6027.804</v>
      </c>
      <c r="I15" s="6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6008.946</v>
      </c>
      <c r="J15" s="6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5819.449</v>
      </c>
      <c r="K15" s="6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6113.733</v>
      </c>
      <c r="L15" s="6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6058.452</v>
      </c>
      <c r="M15" s="3">
        <f>L15</f>
        <v>6058.452</v>
      </c>
      <c r="N15" s="6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7827.504</v>
      </c>
      <c r="O15" s="6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8576.989</v>
      </c>
      <c r="P15" s="6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7867.446</v>
      </c>
      <c r="Q15" s="6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7137.886</v>
      </c>
      <c r="R15" s="3">
        <f>Q15</f>
        <v>7137.886</v>
      </c>
      <c r="S15" s="6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7045.739</v>
      </c>
      <c r="T15" s="6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6655.912</v>
      </c>
      <c r="U15" s="6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9223.927</v>
      </c>
      <c r="V15" s="6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9583.739</v>
      </c>
      <c r="W15" s="3">
        <f>V15</f>
        <v>9583.739</v>
      </c>
      <c r="X15" s="6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8370.99</v>
      </c>
      <c r="Y15" s="6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8390.52</v>
      </c>
      <c r="Z15" s="6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9324.392</v>
      </c>
      <c r="AA15" s="6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9062.359</v>
      </c>
      <c r="AB15" s="3">
        <f>AA15</f>
        <v>9062.359</v>
      </c>
      <c r="AC15" s="6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12288.45</v>
      </c>
      <c r="AD15" s="6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9127.91</v>
      </c>
      <c r="AE15" s="6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6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3" t="e">
        <f>AF15</f>
        <v>#N/A</v>
      </c>
      <c r="AH15" s="6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5151.884</v>
      </c>
      <c r="AI15" s="6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7153.248</v>
      </c>
      <c r="AJ15" s="6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8392.391</v>
      </c>
      <c r="AK15" s="6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8205.55</v>
      </c>
      <c r="AL15" s="3">
        <f>AK15</f>
        <v>8205.55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0</v>
      </c>
      <c r="E16" s="6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0</v>
      </c>
      <c r="F16" s="6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0</v>
      </c>
      <c r="G16" s="6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0</v>
      </c>
      <c r="H16" s="3">
        <f>G16</f>
        <v>0</v>
      </c>
      <c r="I16" s="6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0</v>
      </c>
      <c r="J16" s="6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0</v>
      </c>
      <c r="K16" s="6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0</v>
      </c>
      <c r="L16" s="6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0</v>
      </c>
      <c r="M16" s="3">
        <f>L16</f>
        <v>0</v>
      </c>
      <c r="N16" s="6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0</v>
      </c>
      <c r="O16" s="6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0</v>
      </c>
      <c r="P16" s="6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0</v>
      </c>
      <c r="Q16" s="6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0</v>
      </c>
      <c r="R16" s="3">
        <f>Q16</f>
        <v>0</v>
      </c>
      <c r="S16" s="6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0</v>
      </c>
      <c r="T16" s="6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0</v>
      </c>
      <c r="U16" s="6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0</v>
      </c>
      <c r="V16" s="6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0</v>
      </c>
      <c r="W16" s="3">
        <f>V16</f>
        <v>0</v>
      </c>
      <c r="X16" s="6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0</v>
      </c>
      <c r="Y16" s="6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0</v>
      </c>
      <c r="Z16" s="6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0</v>
      </c>
      <c r="AA16" s="6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6" s="3">
        <f>AA16</f>
        <v>0</v>
      </c>
      <c r="AC16" s="6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6" s="6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6" s="6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6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3" t="e">
        <f>AF16</f>
        <v>#N/A</v>
      </c>
      <c r="AH16" s="6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6" s="6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6" s="6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6" s="6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6" s="3">
        <f>AK16</f>
        <v>0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0</v>
      </c>
      <c r="E17" s="6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0</v>
      </c>
      <c r="F17" s="6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0</v>
      </c>
      <c r="G17" s="6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0</v>
      </c>
      <c r="H17" s="3">
        <f>G17</f>
        <v>0</v>
      </c>
      <c r="I17" s="6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0</v>
      </c>
      <c r="J17" s="6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0</v>
      </c>
      <c r="K17" s="6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0</v>
      </c>
      <c r="L17" s="6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0</v>
      </c>
      <c r="M17" s="3">
        <f>L17</f>
        <v>0</v>
      </c>
      <c r="N17" s="6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0</v>
      </c>
      <c r="O17" s="6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0</v>
      </c>
      <c r="P17" s="6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0</v>
      </c>
      <c r="Q17" s="6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0</v>
      </c>
      <c r="R17" s="3">
        <f>Q17</f>
        <v>0</v>
      </c>
      <c r="S17" s="6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0</v>
      </c>
      <c r="T17" s="6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0</v>
      </c>
      <c r="U17" s="6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0</v>
      </c>
      <c r="V17" s="6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0</v>
      </c>
      <c r="W17" s="3">
        <f>V17</f>
        <v>0</v>
      </c>
      <c r="X17" s="6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0</v>
      </c>
      <c r="Y17" s="6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0</v>
      </c>
      <c r="Z17" s="6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0</v>
      </c>
      <c r="AA17" s="6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7" s="3">
        <f>AA17</f>
        <v>0</v>
      </c>
      <c r="AC17" s="6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7" s="6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7" s="6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6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3" t="e">
        <f>AF17</f>
        <v>#N/A</v>
      </c>
      <c r="AH17" s="6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7" s="6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7" s="6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7" s="6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7" s="3">
        <f>AK17</f>
        <v>0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0</v>
      </c>
      <c r="E18" s="6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0</v>
      </c>
      <c r="F18" s="6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0</v>
      </c>
      <c r="G18" s="6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0</v>
      </c>
      <c r="H18" s="3">
        <f>G18</f>
        <v>0</v>
      </c>
      <c r="I18" s="6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0</v>
      </c>
      <c r="J18" s="6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0</v>
      </c>
      <c r="K18" s="6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0</v>
      </c>
      <c r="L18" s="6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0</v>
      </c>
      <c r="M18" s="3">
        <f>L18</f>
        <v>0</v>
      </c>
      <c r="N18" s="6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0</v>
      </c>
      <c r="O18" s="6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0</v>
      </c>
      <c r="P18" s="6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0</v>
      </c>
      <c r="Q18" s="6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0</v>
      </c>
      <c r="R18" s="3">
        <f>Q18</f>
        <v>0</v>
      </c>
      <c r="S18" s="6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0</v>
      </c>
      <c r="T18" s="6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0</v>
      </c>
      <c r="U18" s="6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0</v>
      </c>
      <c r="V18" s="6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0</v>
      </c>
      <c r="W18" s="3">
        <f>V18</f>
        <v>0</v>
      </c>
      <c r="X18" s="6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0</v>
      </c>
      <c r="Y18" s="6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0</v>
      </c>
      <c r="Z18" s="6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0</v>
      </c>
      <c r="AA18" s="6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8" s="3">
        <f>AA18</f>
        <v>0</v>
      </c>
      <c r="AC18" s="6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8" s="6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8" s="6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6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3" t="e">
        <f>AF18</f>
        <v>#N/A</v>
      </c>
      <c r="AH18" s="6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8" s="6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8" s="6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8" s="6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8" s="3">
        <f>AK18</f>
        <v>0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0</v>
      </c>
      <c r="E19" s="6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0</v>
      </c>
      <c r="F19" s="6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0</v>
      </c>
      <c r="G19" s="6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0</v>
      </c>
      <c r="H19" s="3">
        <f>G19</f>
        <v>0</v>
      </c>
      <c r="I19" s="6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0</v>
      </c>
      <c r="J19" s="6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0</v>
      </c>
      <c r="K19" s="6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0</v>
      </c>
      <c r="L19" s="6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0</v>
      </c>
      <c r="M19" s="3">
        <f>L19</f>
        <v>0</v>
      </c>
      <c r="N19" s="6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0</v>
      </c>
      <c r="O19" s="6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0</v>
      </c>
      <c r="P19" s="6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0</v>
      </c>
      <c r="Q19" s="6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0</v>
      </c>
      <c r="R19" s="3">
        <f>Q19</f>
        <v>0</v>
      </c>
      <c r="S19" s="6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0</v>
      </c>
      <c r="T19" s="6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0</v>
      </c>
      <c r="U19" s="6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0</v>
      </c>
      <c r="V19" s="6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0</v>
      </c>
      <c r="W19" s="3">
        <f>V19</f>
        <v>0</v>
      </c>
      <c r="X19" s="6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0</v>
      </c>
      <c r="Y19" s="6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0</v>
      </c>
      <c r="Z19" s="6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0</v>
      </c>
      <c r="AA19" s="6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9" s="3">
        <f>AA19</f>
        <v>0</v>
      </c>
      <c r="AC19" s="6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9" s="6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9" s="6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6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3" t="e">
        <f>AF19</f>
        <v>#N/A</v>
      </c>
      <c r="AH19" s="6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9" s="6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9" s="6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9" s="6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1703.803</v>
      </c>
      <c r="E20" s="6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1826.746</v>
      </c>
      <c r="F20" s="6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1889.106</v>
      </c>
      <c r="G20" s="6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2042.021</v>
      </c>
      <c r="H20" s="3">
        <f>G20</f>
        <v>2042.021</v>
      </c>
      <c r="I20" s="6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2089.069</v>
      </c>
      <c r="J20" s="6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2021.329</v>
      </c>
      <c r="K20" s="6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2703.17</v>
      </c>
      <c r="L20" s="6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3208.021</v>
      </c>
      <c r="M20" s="3">
        <f>L20</f>
        <v>3208.021</v>
      </c>
      <c r="N20" s="6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2655.119</v>
      </c>
      <c r="O20" s="6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2929.347</v>
      </c>
      <c r="P20" s="6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2912.028</v>
      </c>
      <c r="Q20" s="6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2780.247</v>
      </c>
      <c r="R20" s="3">
        <f>Q20</f>
        <v>2780.247</v>
      </c>
      <c r="S20" s="6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2875.574</v>
      </c>
      <c r="T20" s="6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2959.641</v>
      </c>
      <c r="U20" s="6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2905.172</v>
      </c>
      <c r="V20" s="6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3516.64</v>
      </c>
      <c r="W20" s="3">
        <f>V20</f>
        <v>3516.64</v>
      </c>
      <c r="X20" s="6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3326.642</v>
      </c>
      <c r="Y20" s="6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3602.586</v>
      </c>
      <c r="Z20" s="6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3638.543</v>
      </c>
      <c r="AA20" s="6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3957.832</v>
      </c>
      <c r="AB20" s="3">
        <f>AA20</f>
        <v>3957.832</v>
      </c>
      <c r="AC20" s="6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4782.532</v>
      </c>
      <c r="AD20" s="6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4725.393</v>
      </c>
      <c r="AE20" s="6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6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3" t="e">
        <f>AF20</f>
        <v>#N/A</v>
      </c>
      <c r="AH20" s="6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1295.897</v>
      </c>
      <c r="AI20" s="6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1410.891</v>
      </c>
      <c r="AJ20" s="6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1434.089</v>
      </c>
      <c r="AK20" s="6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1556.03</v>
      </c>
      <c r="AL20" s="3">
        <f>AK20</f>
        <v>1556.03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0</v>
      </c>
      <c r="E21" s="6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0</v>
      </c>
      <c r="F21" s="6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0</v>
      </c>
      <c r="G21" s="6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0</v>
      </c>
      <c r="H21" s="3">
        <f>G21</f>
        <v>0</v>
      </c>
      <c r="I21" s="6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0</v>
      </c>
      <c r="J21" s="6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0</v>
      </c>
      <c r="K21" s="6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0</v>
      </c>
      <c r="L21" s="6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0</v>
      </c>
      <c r="M21" s="3">
        <f>L21</f>
        <v>0</v>
      </c>
      <c r="N21" s="6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0</v>
      </c>
      <c r="O21" s="6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0</v>
      </c>
      <c r="P21" s="6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0</v>
      </c>
      <c r="Q21" s="6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0</v>
      </c>
      <c r="R21" s="3">
        <f>Q21</f>
        <v>0</v>
      </c>
      <c r="S21" s="6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0</v>
      </c>
      <c r="T21" s="6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0</v>
      </c>
      <c r="U21" s="6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0</v>
      </c>
      <c r="V21" s="6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0</v>
      </c>
      <c r="W21" s="3">
        <f>V21</f>
        <v>0</v>
      </c>
      <c r="X21" s="6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0</v>
      </c>
      <c r="Y21" s="6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0</v>
      </c>
      <c r="Z21" s="6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0</v>
      </c>
      <c r="AA21" s="6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1" s="3">
        <f>AA21</f>
        <v>0</v>
      </c>
      <c r="AC21" s="6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1" s="6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1" s="6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6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3" t="e">
        <f>AF21</f>
        <v>#N/A</v>
      </c>
      <c r="AH21" s="6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1" s="6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1" s="6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1" s="6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1015.419</v>
      </c>
      <c r="E22" s="6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1107.437</v>
      </c>
      <c r="F22" s="6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1220.114</v>
      </c>
      <c r="G22" s="6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1323.453</v>
      </c>
      <c r="H22" s="3">
        <f>G22</f>
        <v>1323.453</v>
      </c>
      <c r="I22" s="6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1383.763</v>
      </c>
      <c r="J22" s="6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1361.92</v>
      </c>
      <c r="K22" s="6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1372.754</v>
      </c>
      <c r="L22" s="6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1398.257</v>
      </c>
      <c r="M22" s="3">
        <f>L22</f>
        <v>1398.257</v>
      </c>
      <c r="N22" s="6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1413.094</v>
      </c>
      <c r="O22" s="6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1471.968</v>
      </c>
      <c r="P22" s="6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1498.391</v>
      </c>
      <c r="Q22" s="6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1491.444</v>
      </c>
      <c r="R22" s="3">
        <f>Q22</f>
        <v>1491.444</v>
      </c>
      <c r="S22" s="6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1501.168</v>
      </c>
      <c r="T22" s="6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1510.958</v>
      </c>
      <c r="U22" s="6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1568.212</v>
      </c>
      <c r="V22" s="6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1593.756</v>
      </c>
      <c r="W22" s="3">
        <f>V22</f>
        <v>1593.756</v>
      </c>
      <c r="X22" s="6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1644.346</v>
      </c>
      <c r="Y22" s="6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1743.566</v>
      </c>
      <c r="Z22" s="6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1837.889</v>
      </c>
      <c r="AA22" s="6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2004.35</v>
      </c>
      <c r="AB22" s="3">
        <f>AA22</f>
        <v>2004.35</v>
      </c>
      <c r="AC22" s="6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2147.829</v>
      </c>
      <c r="AD22" s="6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2398.848</v>
      </c>
      <c r="AE22" s="6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6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3" t="e">
        <f>AF22</f>
        <v>#N/A</v>
      </c>
      <c r="AH22" s="6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650.455</v>
      </c>
      <c r="AI22" s="6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751.941</v>
      </c>
      <c r="AJ22" s="6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828.118</v>
      </c>
      <c r="AK22" s="6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960.183</v>
      </c>
      <c r="AL22" s="3">
        <f>AK22</f>
        <v>960.183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0</v>
      </c>
      <c r="E23" s="6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0</v>
      </c>
      <c r="F23" s="6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0</v>
      </c>
      <c r="G23" s="6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0</v>
      </c>
      <c r="H23" s="3">
        <f>G23</f>
        <v>0</v>
      </c>
      <c r="I23" s="6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0</v>
      </c>
      <c r="J23" s="6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0</v>
      </c>
      <c r="K23" s="6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0</v>
      </c>
      <c r="L23" s="6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0</v>
      </c>
      <c r="M23" s="3">
        <f>L23</f>
        <v>0</v>
      </c>
      <c r="N23" s="6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0</v>
      </c>
      <c r="O23" s="6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0</v>
      </c>
      <c r="P23" s="6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0</v>
      </c>
      <c r="Q23" s="6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0</v>
      </c>
      <c r="R23" s="3">
        <f>Q23</f>
        <v>0</v>
      </c>
      <c r="S23" s="6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0</v>
      </c>
      <c r="T23" s="6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0</v>
      </c>
      <c r="U23" s="6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0</v>
      </c>
      <c r="V23" s="6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0</v>
      </c>
      <c r="W23" s="3">
        <f>V23</f>
        <v>0</v>
      </c>
      <c r="X23" s="6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0</v>
      </c>
      <c r="Y23" s="6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0</v>
      </c>
      <c r="Z23" s="6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0</v>
      </c>
      <c r="AA23" s="6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3" s="3">
        <f>AA23</f>
        <v>0</v>
      </c>
      <c r="AC23" s="6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3" s="6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3" s="6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6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3" t="e">
        <f>AF23</f>
        <v>#N/A</v>
      </c>
      <c r="AH23" s="6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3" s="6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3" s="6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3" s="6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3" s="3">
        <f>AK23</f>
        <v>0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0</v>
      </c>
      <c r="E24" s="6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0</v>
      </c>
      <c r="F24" s="6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0</v>
      </c>
      <c r="G24" s="6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0</v>
      </c>
      <c r="H24" s="3">
        <f>G24</f>
        <v>0</v>
      </c>
      <c r="I24" s="6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0</v>
      </c>
      <c r="J24" s="6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0</v>
      </c>
      <c r="K24" s="6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0</v>
      </c>
      <c r="L24" s="6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0</v>
      </c>
      <c r="M24" s="3">
        <f>L24</f>
        <v>0</v>
      </c>
      <c r="N24" s="6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0</v>
      </c>
      <c r="O24" s="6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0</v>
      </c>
      <c r="P24" s="6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0</v>
      </c>
      <c r="Q24" s="6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0</v>
      </c>
      <c r="R24" s="3">
        <f>Q24</f>
        <v>0</v>
      </c>
      <c r="S24" s="6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0</v>
      </c>
      <c r="T24" s="6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0</v>
      </c>
      <c r="U24" s="6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0</v>
      </c>
      <c r="V24" s="6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0</v>
      </c>
      <c r="W24" s="3">
        <f>V24</f>
        <v>0</v>
      </c>
      <c r="X24" s="6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0</v>
      </c>
      <c r="Y24" s="6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0</v>
      </c>
      <c r="Z24" s="6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0</v>
      </c>
      <c r="AA24" s="6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4" s="3">
        <f>AA24</f>
        <v>0</v>
      </c>
      <c r="AC24" s="6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4" s="6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4" s="6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6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3" t="e">
        <f>AF24</f>
        <v>#N/A</v>
      </c>
      <c r="AH24" s="6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4" s="6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4" s="6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4" s="6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4" s="3">
        <f>AK24</f>
        <v>0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0</v>
      </c>
      <c r="E25" s="6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0</v>
      </c>
      <c r="F25" s="6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0</v>
      </c>
      <c r="G25" s="6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0</v>
      </c>
      <c r="H25" s="3">
        <f>G25</f>
        <v>0</v>
      </c>
      <c r="I25" s="6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0</v>
      </c>
      <c r="J25" s="6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0</v>
      </c>
      <c r="K25" s="6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0</v>
      </c>
      <c r="L25" s="6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0</v>
      </c>
      <c r="M25" s="3">
        <f>L25</f>
        <v>0</v>
      </c>
      <c r="N25" s="6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0</v>
      </c>
      <c r="O25" s="6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0</v>
      </c>
      <c r="P25" s="6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0</v>
      </c>
      <c r="Q25" s="6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0</v>
      </c>
      <c r="R25" s="3">
        <f>Q25</f>
        <v>0</v>
      </c>
      <c r="S25" s="6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0</v>
      </c>
      <c r="T25" s="6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0</v>
      </c>
      <c r="U25" s="6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0</v>
      </c>
      <c r="V25" s="6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0</v>
      </c>
      <c r="W25" s="3">
        <f>V25</f>
        <v>0</v>
      </c>
      <c r="X25" s="6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0</v>
      </c>
      <c r="Y25" s="6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0</v>
      </c>
      <c r="Z25" s="6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0</v>
      </c>
      <c r="AA25" s="6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5" s="3">
        <f>AA25</f>
        <v>0</v>
      </c>
      <c r="AC25" s="6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5" s="6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5" s="6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6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3" t="e">
        <f>AF25</f>
        <v>#N/A</v>
      </c>
      <c r="AH25" s="6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5" s="6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5" s="6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5" s="6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5" s="3">
        <f>AK25</f>
        <v>0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29000.087</v>
      </c>
      <c r="E26" s="6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30259.256</v>
      </c>
      <c r="F26" s="6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32103.956</v>
      </c>
      <c r="G26" s="6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35191.385</v>
      </c>
      <c r="H26" s="3">
        <f>G26</f>
        <v>35191.385</v>
      </c>
      <c r="I26" s="6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35849.126</v>
      </c>
      <c r="J26" s="6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37148.237</v>
      </c>
      <c r="K26" s="6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37372.53</v>
      </c>
      <c r="L26" s="6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37930.038</v>
      </c>
      <c r="M26" s="3">
        <f>L26</f>
        <v>37930.038</v>
      </c>
      <c r="N26" s="6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37594.628</v>
      </c>
      <c r="O26" s="6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37839.169</v>
      </c>
      <c r="P26" s="6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37223.921</v>
      </c>
      <c r="Q26" s="6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37322.415</v>
      </c>
      <c r="R26" s="3">
        <f>Q26</f>
        <v>37322.415</v>
      </c>
      <c r="S26" s="6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37405.24</v>
      </c>
      <c r="T26" s="6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37972.384</v>
      </c>
      <c r="U26" s="6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38584.533</v>
      </c>
      <c r="V26" s="6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38936.239</v>
      </c>
      <c r="W26" s="3">
        <f>V26</f>
        <v>38936.239</v>
      </c>
      <c r="X26" s="6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38745.666</v>
      </c>
      <c r="Y26" s="6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39362.992</v>
      </c>
      <c r="Z26" s="6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40134.011</v>
      </c>
      <c r="AA26" s="6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40572.452</v>
      </c>
      <c r="AB26" s="3">
        <f>AA26</f>
        <v>40572.452</v>
      </c>
      <c r="AC26" s="6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41797.103</v>
      </c>
      <c r="AD26" s="6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42198.29</v>
      </c>
      <c r="AE26" s="6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6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3" t="e">
        <f>AF26</f>
        <v>#N/A</v>
      </c>
      <c r="AH26" s="6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27961.674</v>
      </c>
      <c r="AI26" s="6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27859.201</v>
      </c>
      <c r="AJ26" s="6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27967.945</v>
      </c>
      <c r="AK26" s="6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28558.596</v>
      </c>
      <c r="AL26" s="3">
        <f>AK26</f>
        <v>28558.596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532.942</v>
      </c>
      <c r="E28" s="6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622.931</v>
      </c>
      <c r="F28" s="6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643.059</v>
      </c>
      <c r="G28" s="6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837.483</v>
      </c>
      <c r="H28" s="3">
        <f>G28</f>
        <v>837.483</v>
      </c>
      <c r="I28" s="6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617.202</v>
      </c>
      <c r="J28" s="6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504.278</v>
      </c>
      <c r="K28" s="6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560.156</v>
      </c>
      <c r="L28" s="6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671.513</v>
      </c>
      <c r="M28" s="3">
        <f>L28</f>
        <v>671.513</v>
      </c>
      <c r="N28" s="6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591.987</v>
      </c>
      <c r="O28" s="6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615.374</v>
      </c>
      <c r="P28" s="6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534.429</v>
      </c>
      <c r="Q28" s="6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747.412</v>
      </c>
      <c r="R28" s="3">
        <f>Q28</f>
        <v>747.412</v>
      </c>
      <c r="S28" s="6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607.348</v>
      </c>
      <c r="T28" s="6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598.557</v>
      </c>
      <c r="U28" s="6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641.953</v>
      </c>
      <c r="V28" s="6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899.909</v>
      </c>
      <c r="W28" s="3">
        <f>V28</f>
        <v>899.909</v>
      </c>
      <c r="X28" s="6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614.489</v>
      </c>
      <c r="Y28" s="6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632.718</v>
      </c>
      <c r="Z28" s="6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793.233</v>
      </c>
      <c r="AA28" s="6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900.612</v>
      </c>
      <c r="AB28" s="3">
        <f>AA28</f>
        <v>900.612</v>
      </c>
      <c r="AC28" s="6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894.681</v>
      </c>
      <c r="AD28" s="6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814.551</v>
      </c>
      <c r="AE28" s="6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6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3" t="e">
        <f>AF28</f>
        <v>#N/A</v>
      </c>
      <c r="AH28" s="6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545.488</v>
      </c>
      <c r="AI28" s="6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446.668</v>
      </c>
      <c r="AJ28" s="6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541.298</v>
      </c>
      <c r="AK28" s="6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656.183</v>
      </c>
      <c r="AL28" s="3">
        <f>AK28</f>
        <v>656.183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1291.812</v>
      </c>
      <c r="E29" s="6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1125.591</v>
      </c>
      <c r="F29" s="6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1413.12</v>
      </c>
      <c r="G29" s="6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1449.351</v>
      </c>
      <c r="H29" s="3">
        <f>G29</f>
        <v>1449.351</v>
      </c>
      <c r="I29" s="6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1817.117</v>
      </c>
      <c r="J29" s="6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1596.035</v>
      </c>
      <c r="K29" s="6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1803.555</v>
      </c>
      <c r="L29" s="6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1514.65</v>
      </c>
      <c r="M29" s="3">
        <f>L29</f>
        <v>1514.65</v>
      </c>
      <c r="N29" s="6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1718.069</v>
      </c>
      <c r="O29" s="6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1908.714</v>
      </c>
      <c r="P29" s="6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1838.908</v>
      </c>
      <c r="Q29" s="6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1803.96</v>
      </c>
      <c r="R29" s="3">
        <f>Q29</f>
        <v>1803.96</v>
      </c>
      <c r="S29" s="6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1977.428</v>
      </c>
      <c r="T29" s="6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1876.244</v>
      </c>
      <c r="U29" s="6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2241.758</v>
      </c>
      <c r="V29" s="6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2156.544</v>
      </c>
      <c r="W29" s="3">
        <f>V29</f>
        <v>2156.544</v>
      </c>
      <c r="X29" s="6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2359.518</v>
      </c>
      <c r="Y29" s="6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2489.486</v>
      </c>
      <c r="Z29" s="6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3111.311</v>
      </c>
      <c r="AA29" s="6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3220.869</v>
      </c>
      <c r="AB29" s="3">
        <f>AA29</f>
        <v>3220.869</v>
      </c>
      <c r="AC29" s="6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4441.986</v>
      </c>
      <c r="AD29" s="6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3172.611</v>
      </c>
      <c r="AE29" s="6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6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3" t="e">
        <f>AF29</f>
        <v>#N/A</v>
      </c>
      <c r="AH29" s="6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1061.09</v>
      </c>
      <c r="AI29" s="6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986.595</v>
      </c>
      <c r="AJ29" s="6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1259.124</v>
      </c>
      <c r="AK29" s="6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1102.196</v>
      </c>
      <c r="AL29" s="3">
        <f>AK29</f>
        <v>1102.196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0</v>
      </c>
      <c r="E30" s="6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0</v>
      </c>
      <c r="F30" s="6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0</v>
      </c>
      <c r="G30" s="6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0</v>
      </c>
      <c r="H30" s="3">
        <f>G30</f>
        <v>0</v>
      </c>
      <c r="I30" s="6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0</v>
      </c>
      <c r="J30" s="6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0</v>
      </c>
      <c r="K30" s="6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0</v>
      </c>
      <c r="L30" s="6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0</v>
      </c>
      <c r="M30" s="3">
        <f>L30</f>
        <v>0</v>
      </c>
      <c r="N30" s="6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0</v>
      </c>
      <c r="O30" s="6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0</v>
      </c>
      <c r="P30" s="6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0</v>
      </c>
      <c r="Q30" s="6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0</v>
      </c>
      <c r="R30" s="3">
        <f>Q30</f>
        <v>0</v>
      </c>
      <c r="S30" s="6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0</v>
      </c>
      <c r="T30" s="6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0</v>
      </c>
      <c r="U30" s="6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0</v>
      </c>
      <c r="V30" s="6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0</v>
      </c>
      <c r="W30" s="3">
        <f>V30</f>
        <v>0</v>
      </c>
      <c r="X30" s="6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0</v>
      </c>
      <c r="Y30" s="6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0</v>
      </c>
      <c r="Z30" s="6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0</v>
      </c>
      <c r="AA30" s="6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0" s="3">
        <f>AA30</f>
        <v>0</v>
      </c>
      <c r="AC30" s="6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0" s="6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0" s="6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6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3" t="e">
        <f>AF30</f>
        <v>#N/A</v>
      </c>
      <c r="AH30" s="6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0" s="6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0" s="6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0" s="6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5438.228</v>
      </c>
      <c r="E31" s="6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5385.238</v>
      </c>
      <c r="F31" s="6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5293.594</v>
      </c>
      <c r="G31" s="6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5502.309</v>
      </c>
      <c r="H31" s="3">
        <f>G31</f>
        <v>5502.309</v>
      </c>
      <c r="I31" s="6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5305.337</v>
      </c>
      <c r="J31" s="6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5399.709</v>
      </c>
      <c r="K31" s="6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5402.213</v>
      </c>
      <c r="L31" s="6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5744.811</v>
      </c>
      <c r="M31" s="3">
        <f>L31</f>
        <v>5744.811</v>
      </c>
      <c r="N31" s="6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5606.851</v>
      </c>
      <c r="O31" s="6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5752.33</v>
      </c>
      <c r="P31" s="6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5565.767</v>
      </c>
      <c r="Q31" s="6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5909.439</v>
      </c>
      <c r="R31" s="3">
        <f>Q31</f>
        <v>5909.439</v>
      </c>
      <c r="S31" s="6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5905.505</v>
      </c>
      <c r="T31" s="6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5865.157</v>
      </c>
      <c r="U31" s="6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6003.019</v>
      </c>
      <c r="V31" s="6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5914.494</v>
      </c>
      <c r="W31" s="3">
        <f>V31</f>
        <v>5914.494</v>
      </c>
      <c r="X31" s="6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5738.631</v>
      </c>
      <c r="Y31" s="6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5820.131</v>
      </c>
      <c r="Z31" s="6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5827.315</v>
      </c>
      <c r="AA31" s="6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5860.584</v>
      </c>
      <c r="AB31" s="3">
        <f>AA31</f>
        <v>5860.584</v>
      </c>
      <c r="AC31" s="6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5795.726</v>
      </c>
      <c r="AD31" s="6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5663.978</v>
      </c>
      <c r="AE31" s="6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6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3" t="e">
        <f>AF31</f>
        <v>#N/A</v>
      </c>
      <c r="AH31" s="6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5748.338</v>
      </c>
      <c r="AI31" s="6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5693.994</v>
      </c>
      <c r="AJ31" s="6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5639.856</v>
      </c>
      <c r="AK31" s="6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5547.528</v>
      </c>
      <c r="AL31" s="3">
        <f>AK31</f>
        <v>5547.528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698.788</v>
      </c>
      <c r="E32" s="6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699.128</v>
      </c>
      <c r="F32" s="6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699.473</v>
      </c>
      <c r="G32" s="6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699.823</v>
      </c>
      <c r="H32" s="3">
        <f>G32</f>
        <v>699.823</v>
      </c>
      <c r="I32" s="6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0</v>
      </c>
      <c r="J32" s="6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0</v>
      </c>
      <c r="K32" s="6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0</v>
      </c>
      <c r="L32" s="6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0</v>
      </c>
      <c r="M32" s="3">
        <f>L32</f>
        <v>0</v>
      </c>
      <c r="N32" s="6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399.163</v>
      </c>
      <c r="O32" s="6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399.387</v>
      </c>
      <c r="P32" s="6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399.614</v>
      </c>
      <c r="Q32" s="6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399.844</v>
      </c>
      <c r="R32" s="3">
        <f>Q32</f>
        <v>399.844</v>
      </c>
      <c r="S32" s="6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798.936</v>
      </c>
      <c r="T32" s="6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1800.041</v>
      </c>
      <c r="U32" s="6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1820.396</v>
      </c>
      <c r="V32" s="6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1784.453</v>
      </c>
      <c r="W32" s="3">
        <f>V32</f>
        <v>1784.453</v>
      </c>
      <c r="X32" s="6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1005.881</v>
      </c>
      <c r="Y32" s="6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0</v>
      </c>
      <c r="Z32" s="6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0</v>
      </c>
      <c r="AA32" s="6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998.865</v>
      </c>
      <c r="AB32" s="3">
        <f>AA32</f>
        <v>998.865</v>
      </c>
      <c r="AC32" s="6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999.185</v>
      </c>
      <c r="AD32" s="6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2483.758</v>
      </c>
      <c r="AE32" s="6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6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3" t="e">
        <f>AF32</f>
        <v>#N/A</v>
      </c>
      <c r="AH32" s="6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498.809</v>
      </c>
      <c r="AI32" s="6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499.161</v>
      </c>
      <c r="AJ32" s="6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499.517</v>
      </c>
      <c r="AK32" s="6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499.878</v>
      </c>
      <c r="AL32" s="3">
        <f>AK32</f>
        <v>499.878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0</v>
      </c>
      <c r="E33" s="6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0</v>
      </c>
      <c r="F33" s="6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0</v>
      </c>
      <c r="G33" s="6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0</v>
      </c>
      <c r="H33" s="3">
        <f>G33</f>
        <v>0</v>
      </c>
      <c r="I33" s="6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0</v>
      </c>
      <c r="J33" s="6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0</v>
      </c>
      <c r="K33" s="6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0</v>
      </c>
      <c r="L33" s="6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0</v>
      </c>
      <c r="M33" s="3">
        <f>L33</f>
        <v>0</v>
      </c>
      <c r="N33" s="6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0</v>
      </c>
      <c r="O33" s="6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0</v>
      </c>
      <c r="P33" s="6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0</v>
      </c>
      <c r="Q33" s="6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0</v>
      </c>
      <c r="R33" s="3">
        <f>Q33</f>
        <v>0</v>
      </c>
      <c r="S33" s="6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0</v>
      </c>
      <c r="T33" s="6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0</v>
      </c>
      <c r="U33" s="6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0</v>
      </c>
      <c r="V33" s="6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0</v>
      </c>
      <c r="W33" s="3">
        <f>V33</f>
        <v>0</v>
      </c>
      <c r="X33" s="6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0</v>
      </c>
      <c r="Y33" s="6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0</v>
      </c>
      <c r="Z33" s="6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0</v>
      </c>
      <c r="AA33" s="6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3" s="3">
        <f>AA33</f>
        <v>0</v>
      </c>
      <c r="AC33" s="6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3" s="6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3" s="6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6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3" t="e">
        <f>AF33</f>
        <v>#N/A</v>
      </c>
      <c r="AH33" s="6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3" s="6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3" s="6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3" s="6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0</v>
      </c>
      <c r="E34" s="6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0</v>
      </c>
      <c r="F34" s="6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0</v>
      </c>
      <c r="G34" s="6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0</v>
      </c>
      <c r="H34" s="3">
        <f>G34</f>
        <v>0</v>
      </c>
      <c r="I34" s="6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0</v>
      </c>
      <c r="J34" s="6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0</v>
      </c>
      <c r="K34" s="6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0</v>
      </c>
      <c r="L34" s="6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0</v>
      </c>
      <c r="M34" s="3">
        <f>L34</f>
        <v>0</v>
      </c>
      <c r="N34" s="6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0</v>
      </c>
      <c r="O34" s="6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0</v>
      </c>
      <c r="P34" s="6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0</v>
      </c>
      <c r="Q34" s="6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0</v>
      </c>
      <c r="R34" s="3">
        <f>Q34</f>
        <v>0</v>
      </c>
      <c r="S34" s="6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0</v>
      </c>
      <c r="T34" s="6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0</v>
      </c>
      <c r="U34" s="6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0</v>
      </c>
      <c r="V34" s="6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0</v>
      </c>
      <c r="W34" s="3">
        <f>V34</f>
        <v>0</v>
      </c>
      <c r="X34" s="6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0</v>
      </c>
      <c r="Y34" s="6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0</v>
      </c>
      <c r="Z34" s="6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0</v>
      </c>
      <c r="AA34" s="6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4" s="3">
        <f>AA34</f>
        <v>0</v>
      </c>
      <c r="AC34" s="6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4" s="6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4" s="6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6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3" t="e">
        <f>AF34</f>
        <v>#N/A</v>
      </c>
      <c r="AH34" s="6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4" s="6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4" s="6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4" s="6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14860.552</v>
      </c>
      <c r="E35" s="6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14926.889</v>
      </c>
      <c r="F35" s="6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14793.691</v>
      </c>
      <c r="G35" s="6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14693.072</v>
      </c>
      <c r="H35" s="3">
        <f>G35</f>
        <v>14693.072</v>
      </c>
      <c r="I35" s="6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14534.561</v>
      </c>
      <c r="J35" s="6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14233.303</v>
      </c>
      <c r="K35" s="6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13888.117</v>
      </c>
      <c r="L35" s="6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14353.076</v>
      </c>
      <c r="M35" s="3">
        <f>L35</f>
        <v>14353.076</v>
      </c>
      <c r="N35" s="6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14037.965</v>
      </c>
      <c r="O35" s="6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14070.151</v>
      </c>
      <c r="P35" s="6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13900.754</v>
      </c>
      <c r="Q35" s="6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14143.417</v>
      </c>
      <c r="R35" s="3">
        <f>Q35</f>
        <v>14143.417</v>
      </c>
      <c r="S35" s="6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13217.038</v>
      </c>
      <c r="T35" s="6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12180.024</v>
      </c>
      <c r="U35" s="6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14160.932</v>
      </c>
      <c r="V35" s="6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13798.351</v>
      </c>
      <c r="W35" s="3">
        <f>V35</f>
        <v>13798.351</v>
      </c>
      <c r="X35" s="6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14011.037</v>
      </c>
      <c r="Y35" s="6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14453.206</v>
      </c>
      <c r="Z35" s="6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14463.02</v>
      </c>
      <c r="AA35" s="6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13463.971</v>
      </c>
      <c r="AB35" s="3">
        <f>AA35</f>
        <v>13463.971</v>
      </c>
      <c r="AC35" s="6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13361.331</v>
      </c>
      <c r="AD35" s="6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11825.548</v>
      </c>
      <c r="AE35" s="6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6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3" t="e">
        <f>AF35</f>
        <v>#N/A</v>
      </c>
      <c r="AH35" s="6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14170.692</v>
      </c>
      <c r="AI35" s="6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15294.998</v>
      </c>
      <c r="AJ35" s="6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15547.616</v>
      </c>
      <c r="AK35" s="6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15809.095</v>
      </c>
      <c r="AL35" s="3">
        <f>AK35</f>
        <v>15809.095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0</v>
      </c>
      <c r="E36" s="6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0</v>
      </c>
      <c r="F36" s="6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0</v>
      </c>
      <c r="G36" s="6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0</v>
      </c>
      <c r="H36" s="3">
        <f>G36</f>
        <v>0</v>
      </c>
      <c r="I36" s="6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0</v>
      </c>
      <c r="J36" s="6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0</v>
      </c>
      <c r="K36" s="6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0</v>
      </c>
      <c r="L36" s="6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0</v>
      </c>
      <c r="M36" s="3">
        <f>L36</f>
        <v>0</v>
      </c>
      <c r="N36" s="6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0</v>
      </c>
      <c r="O36" s="6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0</v>
      </c>
      <c r="P36" s="6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0</v>
      </c>
      <c r="Q36" s="6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0</v>
      </c>
      <c r="R36" s="3">
        <f>Q36</f>
        <v>0</v>
      </c>
      <c r="S36" s="6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0</v>
      </c>
      <c r="T36" s="6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0</v>
      </c>
      <c r="U36" s="6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0</v>
      </c>
      <c r="V36" s="6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0</v>
      </c>
      <c r="W36" s="3">
        <f>V36</f>
        <v>0</v>
      </c>
      <c r="X36" s="6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0</v>
      </c>
      <c r="Y36" s="6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0</v>
      </c>
      <c r="Z36" s="6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0</v>
      </c>
      <c r="AA36" s="6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6" s="3">
        <f>AA36</f>
        <v>0</v>
      </c>
      <c r="AC36" s="6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6" s="6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6" s="6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6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3" t="e">
        <f>AF36</f>
        <v>#N/A</v>
      </c>
      <c r="AH36" s="6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6" s="6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6" s="6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6" s="6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0</v>
      </c>
      <c r="E37" s="6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0</v>
      </c>
      <c r="F37" s="6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0</v>
      </c>
      <c r="G37" s="6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0</v>
      </c>
      <c r="H37" s="3">
        <f>G37</f>
        <v>0</v>
      </c>
      <c r="I37" s="6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0</v>
      </c>
      <c r="J37" s="6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0</v>
      </c>
      <c r="K37" s="6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0</v>
      </c>
      <c r="L37" s="6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0</v>
      </c>
      <c r="M37" s="3">
        <f>L37</f>
        <v>0</v>
      </c>
      <c r="N37" s="6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0</v>
      </c>
      <c r="O37" s="6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0</v>
      </c>
      <c r="P37" s="6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0</v>
      </c>
      <c r="Q37" s="6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0</v>
      </c>
      <c r="R37" s="3">
        <f>Q37</f>
        <v>0</v>
      </c>
      <c r="S37" s="6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0</v>
      </c>
      <c r="T37" s="6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0</v>
      </c>
      <c r="U37" s="6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0</v>
      </c>
      <c r="V37" s="6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0</v>
      </c>
      <c r="W37" s="3">
        <f>V37</f>
        <v>0</v>
      </c>
      <c r="X37" s="6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0</v>
      </c>
      <c r="Y37" s="6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0</v>
      </c>
      <c r="Z37" s="6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0</v>
      </c>
      <c r="AA37" s="6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7" s="3">
        <f>AA37</f>
        <v>0</v>
      </c>
      <c r="AC37" s="6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7" s="6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7" s="6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6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3" t="e">
        <f>AF37</f>
        <v>#N/A</v>
      </c>
      <c r="AH37" s="6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7" s="6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7" s="6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7" s="6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0</v>
      </c>
      <c r="E38" s="6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0</v>
      </c>
      <c r="F38" s="6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0</v>
      </c>
      <c r="G38" s="6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0</v>
      </c>
      <c r="H38" s="3">
        <f>G38</f>
        <v>0</v>
      </c>
      <c r="I38" s="6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0</v>
      </c>
      <c r="J38" s="6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0</v>
      </c>
      <c r="K38" s="6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0</v>
      </c>
      <c r="L38" s="6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0</v>
      </c>
      <c r="M38" s="3">
        <f>L38</f>
        <v>0</v>
      </c>
      <c r="N38" s="6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0</v>
      </c>
      <c r="O38" s="6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0</v>
      </c>
      <c r="P38" s="6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0</v>
      </c>
      <c r="Q38" s="6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0</v>
      </c>
      <c r="R38" s="3">
        <f>Q38</f>
        <v>0</v>
      </c>
      <c r="S38" s="6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0</v>
      </c>
      <c r="T38" s="6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0</v>
      </c>
      <c r="U38" s="6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0</v>
      </c>
      <c r="V38" s="6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0</v>
      </c>
      <c r="W38" s="3">
        <f>V38</f>
        <v>0</v>
      </c>
      <c r="X38" s="6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0</v>
      </c>
      <c r="Y38" s="6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0</v>
      </c>
      <c r="Z38" s="6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0</v>
      </c>
      <c r="AA38" s="6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8" s="3">
        <f>AA38</f>
        <v>0</v>
      </c>
      <c r="AC38" s="6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8" s="6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8" s="6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6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3" t="e">
        <f>AF38</f>
        <v>#N/A</v>
      </c>
      <c r="AH38" s="6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8" s="6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8" s="6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8" s="6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4416.612</v>
      </c>
      <c r="E39" s="6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4347.321</v>
      </c>
      <c r="F39" s="6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4582.303</v>
      </c>
      <c r="G39" s="6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5553.377</v>
      </c>
      <c r="H39" s="3">
        <f>G39</f>
        <v>5553.377</v>
      </c>
      <c r="I39" s="6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5512.648</v>
      </c>
      <c r="J39" s="6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5541.636</v>
      </c>
      <c r="K39" s="6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5380.005</v>
      </c>
      <c r="L39" s="6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5533.317</v>
      </c>
      <c r="M39" s="3">
        <f>L39</f>
        <v>5533.317</v>
      </c>
      <c r="N39" s="6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5308.114</v>
      </c>
      <c r="O39" s="6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5239.302</v>
      </c>
      <c r="P39" s="6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5154.687</v>
      </c>
      <c r="Q39" s="6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5139.607</v>
      </c>
      <c r="R39" s="3">
        <f>Q39</f>
        <v>5139.607</v>
      </c>
      <c r="S39" s="6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4956.056</v>
      </c>
      <c r="T39" s="6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4666.179</v>
      </c>
      <c r="U39" s="6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4693.05</v>
      </c>
      <c r="V39" s="6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4333.056</v>
      </c>
      <c r="W39" s="3">
        <f>V39</f>
        <v>4333.056</v>
      </c>
      <c r="X39" s="6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4330.015</v>
      </c>
      <c r="Y39" s="6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4752.224</v>
      </c>
      <c r="Z39" s="6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4785.921</v>
      </c>
      <c r="AA39" s="6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4536.604</v>
      </c>
      <c r="AB39" s="3">
        <f>AA39</f>
        <v>4536.604</v>
      </c>
      <c r="AC39" s="6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4396.606</v>
      </c>
      <c r="AD39" s="6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4337.943</v>
      </c>
      <c r="AE39" s="6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6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3" t="e">
        <f>AF39</f>
        <v>#N/A</v>
      </c>
      <c r="AH39" s="6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4626.199</v>
      </c>
      <c r="AI39" s="6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4919.112</v>
      </c>
      <c r="AJ39" s="6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4801.809</v>
      </c>
      <c r="AK39" s="6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4600.239</v>
      </c>
      <c r="AL39" s="3">
        <f>AK39</f>
        <v>4600.239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0</v>
      </c>
      <c r="E41" s="6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0</v>
      </c>
      <c r="F41" s="6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0</v>
      </c>
      <c r="G41" s="6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0</v>
      </c>
      <c r="H41" s="3">
        <f>G41</f>
        <v>0</v>
      </c>
      <c r="I41" s="6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0</v>
      </c>
      <c r="J41" s="6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0</v>
      </c>
      <c r="K41" s="6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0</v>
      </c>
      <c r="L41" s="6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0</v>
      </c>
      <c r="M41" s="3">
        <f>L41</f>
        <v>0</v>
      </c>
      <c r="N41" s="6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0</v>
      </c>
      <c r="O41" s="6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0</v>
      </c>
      <c r="P41" s="6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0</v>
      </c>
      <c r="Q41" s="6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0</v>
      </c>
      <c r="R41" s="3">
        <f>Q41</f>
        <v>0</v>
      </c>
      <c r="S41" s="6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0</v>
      </c>
      <c r="T41" s="6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0</v>
      </c>
      <c r="U41" s="6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0</v>
      </c>
      <c r="V41" s="6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0</v>
      </c>
      <c r="W41" s="3">
        <f>V41</f>
        <v>0</v>
      </c>
      <c r="X41" s="6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0</v>
      </c>
      <c r="Y41" s="6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0</v>
      </c>
      <c r="Z41" s="6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0</v>
      </c>
      <c r="AA41" s="6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1" s="3">
        <f>AA41</f>
        <v>0</v>
      </c>
      <c r="AC41" s="6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1" s="6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1" s="6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6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3" t="e">
        <f>AF41</f>
        <v>#N/A</v>
      </c>
      <c r="AH41" s="6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1" s="6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1" s="6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1" s="6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1" s="3">
        <f>AK41</f>
        <v>0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6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6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6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3" t="e">
        <f>G42</f>
        <v>#N/A</v>
      </c>
      <c r="I42" s="6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6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6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6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3" t="e">
        <f>L42</f>
        <v>#N/A</v>
      </c>
      <c r="N42" s="6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6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6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6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3" t="e">
        <f>Q42</f>
        <v>#N/A</v>
      </c>
      <c r="S42" s="6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6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6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6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3" t="e">
        <f>V42</f>
        <v>#N/A</v>
      </c>
      <c r="X42" s="6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6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6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6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3" t="e">
        <f>AA42</f>
        <v>#N/A</v>
      </c>
      <c r="AC42" s="6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6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6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6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3" t="e">
        <f>AF42</f>
        <v>#N/A</v>
      </c>
      <c r="AH42" s="6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6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6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6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3600.084</v>
      </c>
      <c r="E43" s="6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3721.246</v>
      </c>
      <c r="F43" s="6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3852.531</v>
      </c>
      <c r="G43" s="6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4024.561</v>
      </c>
      <c r="H43" s="3">
        <f>G43</f>
        <v>4024.561</v>
      </c>
      <c r="I43" s="6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4155.58</v>
      </c>
      <c r="J43" s="6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4316.87</v>
      </c>
      <c r="K43" s="6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4473.962</v>
      </c>
      <c r="L43" s="6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4637.601</v>
      </c>
      <c r="M43" s="3">
        <f>L43</f>
        <v>4637.601</v>
      </c>
      <c r="N43" s="6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4762.395</v>
      </c>
      <c r="O43" s="6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4874.208</v>
      </c>
      <c r="P43" s="6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5011.427</v>
      </c>
      <c r="Q43" s="6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5145.172</v>
      </c>
      <c r="R43" s="3">
        <f>Q43</f>
        <v>5145.172</v>
      </c>
      <c r="S43" s="6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5489.85</v>
      </c>
      <c r="T43" s="6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5680.061</v>
      </c>
      <c r="U43" s="6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5887.903</v>
      </c>
      <c r="V43" s="6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6252.126</v>
      </c>
      <c r="W43" s="3">
        <f>V43</f>
        <v>6252.126</v>
      </c>
      <c r="X43" s="6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6677.469</v>
      </c>
      <c r="Y43" s="6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6932.828</v>
      </c>
      <c r="Z43" s="6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7080.325</v>
      </c>
      <c r="AA43" s="6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7286.41</v>
      </c>
      <c r="AB43" s="3">
        <f>AA43</f>
        <v>7286.41</v>
      </c>
      <c r="AC43" s="6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7478.495</v>
      </c>
      <c r="AD43" s="6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7670.503</v>
      </c>
      <c r="AE43" s="6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6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3" t="e">
        <f>AF43</f>
        <v>#N/A</v>
      </c>
      <c r="AH43" s="6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2935.532</v>
      </c>
      <c r="AI43" s="6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3127.813</v>
      </c>
      <c r="AJ43" s="6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3303.482</v>
      </c>
      <c r="AK43" s="6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3447.698</v>
      </c>
      <c r="AL43" s="3">
        <f>AK43</f>
        <v>3447.698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0</v>
      </c>
      <c r="E44" s="6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-500.022</v>
      </c>
      <c r="F44" s="6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-600.022</v>
      </c>
      <c r="G44" s="6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-824.19</v>
      </c>
      <c r="H44" s="3">
        <f>G44</f>
        <v>-824.19</v>
      </c>
      <c r="I44" s="6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-824.19</v>
      </c>
      <c r="J44" s="6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-824.19</v>
      </c>
      <c r="K44" s="6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-824.19</v>
      </c>
      <c r="L44" s="6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-824.19</v>
      </c>
      <c r="M44" s="3">
        <f>L44</f>
        <v>-824.19</v>
      </c>
      <c r="N44" s="6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-1228.92</v>
      </c>
      <c r="O44" s="6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-1876.753</v>
      </c>
      <c r="P44" s="6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-4399.677</v>
      </c>
      <c r="Q44" s="6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-6922.2</v>
      </c>
      <c r="R44" s="3">
        <f>Q44</f>
        <v>-6922.2</v>
      </c>
      <c r="S44" s="6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-8934.056</v>
      </c>
      <c r="T44" s="6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-10547.055</v>
      </c>
      <c r="U44" s="6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-12254.855</v>
      </c>
      <c r="V44" s="6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-13171.638</v>
      </c>
      <c r="W44" s="3">
        <f>V44</f>
        <v>-13171.638</v>
      </c>
      <c r="X44" s="6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-16754.929</v>
      </c>
      <c r="Y44" s="6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-18392.942</v>
      </c>
      <c r="Z44" s="6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-20270.631</v>
      </c>
      <c r="AA44" s="6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-22372.658</v>
      </c>
      <c r="AB44" s="3">
        <f>AA44</f>
        <v>-22372.658</v>
      </c>
      <c r="AC44" s="6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-23681.974</v>
      </c>
      <c r="AD44" s="6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-28387.657</v>
      </c>
      <c r="AE44" s="6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6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3" t="e">
        <f>AF44</f>
        <v>#N/A</v>
      </c>
      <c r="AH44" s="6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4" s="6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4" s="6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4" s="6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4.137</v>
      </c>
      <c r="E45" s="6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9.775</v>
      </c>
      <c r="F45" s="6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-19.835</v>
      </c>
      <c r="G45" s="6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-40.495</v>
      </c>
      <c r="H45" s="3">
        <f>G45</f>
        <v>-40.495</v>
      </c>
      <c r="I45" s="6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-74.17</v>
      </c>
      <c r="J45" s="6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-144.476</v>
      </c>
      <c r="K45" s="6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-247.643</v>
      </c>
      <c r="L45" s="6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-217.306</v>
      </c>
      <c r="M45" s="3">
        <f>L45</f>
        <v>-217.306</v>
      </c>
      <c r="N45" s="6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-191.695</v>
      </c>
      <c r="O45" s="6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-139.266</v>
      </c>
      <c r="P45" s="6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-155.571</v>
      </c>
      <c r="Q45" s="6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-223.945</v>
      </c>
      <c r="R45" s="3">
        <f>Q45</f>
        <v>-223.945</v>
      </c>
      <c r="S45" s="6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-111.879</v>
      </c>
      <c r="T45" s="6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-89.114</v>
      </c>
      <c r="U45" s="6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-344.622</v>
      </c>
      <c r="V45" s="6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362.162</v>
      </c>
      <c r="W45" s="3">
        <f>V45</f>
        <v>362.162</v>
      </c>
      <c r="X45" s="6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-85.735</v>
      </c>
      <c r="Y45" s="6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-904.668</v>
      </c>
      <c r="Z45" s="6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-719.256</v>
      </c>
      <c r="AA45" s="6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-580.382</v>
      </c>
      <c r="AB45" s="3">
        <f>AA45</f>
        <v>-580.382</v>
      </c>
      <c r="AC45" s="6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-235.031</v>
      </c>
      <c r="AD45" s="6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-97.117</v>
      </c>
      <c r="AE45" s="6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6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3" t="e">
        <f>AF45</f>
        <v>#N/A</v>
      </c>
      <c r="AH45" s="6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-47.054</v>
      </c>
      <c r="AI45" s="6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-34.072</v>
      </c>
      <c r="AJ45" s="6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-1.147</v>
      </c>
      <c r="AK45" s="6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44.398</v>
      </c>
      <c r="AL45" s="3">
        <f>AK45</f>
        <v>44.398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0</v>
      </c>
      <c r="E46" s="6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0</v>
      </c>
      <c r="F46" s="6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0</v>
      </c>
      <c r="G46" s="6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0</v>
      </c>
      <c r="H46" s="3">
        <f>G46</f>
        <v>0</v>
      </c>
      <c r="I46" s="6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0</v>
      </c>
      <c r="J46" s="6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0</v>
      </c>
      <c r="K46" s="6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0</v>
      </c>
      <c r="L46" s="6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0</v>
      </c>
      <c r="M46" s="3">
        <f>L46</f>
        <v>0</v>
      </c>
      <c r="N46" s="6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0</v>
      </c>
      <c r="O46" s="6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0</v>
      </c>
      <c r="P46" s="6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0</v>
      </c>
      <c r="Q46" s="6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0</v>
      </c>
      <c r="R46" s="3">
        <f>Q46</f>
        <v>0</v>
      </c>
      <c r="S46" s="6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0</v>
      </c>
      <c r="T46" s="6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0</v>
      </c>
      <c r="U46" s="6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0</v>
      </c>
      <c r="V46" s="6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0</v>
      </c>
      <c r="W46" s="3">
        <f>V46</f>
        <v>0</v>
      </c>
      <c r="X46" s="6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0</v>
      </c>
      <c r="Y46" s="6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0</v>
      </c>
      <c r="Z46" s="6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</v>
      </c>
      <c r="AA46" s="6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3">
        <f>AA46</f>
        <v>0</v>
      </c>
      <c r="AC46" s="6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6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6" s="6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6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3" t="e">
        <f>AF46</f>
        <v>#N/A</v>
      </c>
      <c r="AH46" s="6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6" s="6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6" s="6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6" s="6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9279.859</v>
      </c>
      <c r="E47" s="6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10632.872</v>
      </c>
      <c r="F47" s="6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12081.943</v>
      </c>
      <c r="G47" s="6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12689.372</v>
      </c>
      <c r="H47" s="3">
        <f>G47</f>
        <v>12689.372</v>
      </c>
      <c r="I47" s="6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14286.819</v>
      </c>
      <c r="J47" s="6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15727.77</v>
      </c>
      <c r="K47" s="6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17126.012</v>
      </c>
      <c r="L47" s="6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17181.296</v>
      </c>
      <c r="M47" s="3">
        <f>L47</f>
        <v>17181.296</v>
      </c>
      <c r="N47" s="6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18486.416</v>
      </c>
      <c r="O47" s="6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19974.026</v>
      </c>
      <c r="P47" s="6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21651.448</v>
      </c>
      <c r="Q47" s="6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22589.286</v>
      </c>
      <c r="R47" s="3">
        <f>Q47</f>
        <v>22589.286</v>
      </c>
      <c r="S47" s="6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24921.495</v>
      </c>
      <c r="T47" s="6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27068.801</v>
      </c>
      <c r="U47" s="6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29432.31</v>
      </c>
      <c r="V47" s="6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31300.917</v>
      </c>
      <c r="W47" s="3">
        <f>V47</f>
        <v>31300.917</v>
      </c>
      <c r="X47" s="6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34191.268</v>
      </c>
      <c r="Y47" s="6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37316.681</v>
      </c>
      <c r="Z47" s="6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39863.597</v>
      </c>
      <c r="AA47" s="6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42282.118</v>
      </c>
      <c r="AB47" s="3">
        <f>AA47</f>
        <v>42282.118</v>
      </c>
      <c r="AC47" s="6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47564.909</v>
      </c>
      <c r="AD47" s="6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50966.323</v>
      </c>
      <c r="AE47" s="6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6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3" t="e">
        <f>AF47</f>
        <v>#N/A</v>
      </c>
      <c r="AH47" s="6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5520.816</v>
      </c>
      <c r="AI47" s="6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6241.012</v>
      </c>
      <c r="AJ47" s="6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7030.988</v>
      </c>
      <c r="AK47" s="6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7573.144</v>
      </c>
      <c r="AL47" s="3">
        <f>AK47</f>
        <v>7573.144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1706.715</v>
      </c>
      <c r="E50" s="6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1353.013</v>
      </c>
      <c r="F50" s="6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1449.071</v>
      </c>
      <c r="G50" s="6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607.429</v>
      </c>
      <c r="H50" s="3">
        <f>SUM(D50:G50)</f>
        <v>5116.228</v>
      </c>
      <c r="I50" s="6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1597.447</v>
      </c>
      <c r="J50" s="6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1440.951</v>
      </c>
      <c r="K50" s="6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1398.242</v>
      </c>
      <c r="L50" s="6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55.284</v>
      </c>
      <c r="M50" s="3">
        <f>SUM(I50:L50)</f>
        <v>4491.924</v>
      </c>
      <c r="N50" s="6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1305.12</v>
      </c>
      <c r="O50" s="6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1487.61</v>
      </c>
      <c r="P50" s="6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1677.422</v>
      </c>
      <c r="Q50" s="6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937.838</v>
      </c>
      <c r="R50" s="3">
        <f>SUM(N50:Q50)</f>
        <v>5407.99</v>
      </c>
      <c r="S50" s="6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2332.209</v>
      </c>
      <c r="T50" s="6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2147.306</v>
      </c>
      <c r="U50" s="6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2363.509</v>
      </c>
      <c r="V50" s="6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1868.607</v>
      </c>
      <c r="W50" s="3">
        <f>SUM(S50:V50)</f>
        <v>8711.631</v>
      </c>
      <c r="X50" s="6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2890.351</v>
      </c>
      <c r="Y50" s="6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3125.413</v>
      </c>
      <c r="Z50" s="6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2546.916</v>
      </c>
      <c r="AA50" s="6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2418.521</v>
      </c>
      <c r="AB50" s="3">
        <f>SUM(X50:AA50)</f>
        <v>10981.201</v>
      </c>
      <c r="AC50" s="6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5282.791</v>
      </c>
      <c r="AD50" s="6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3401.414</v>
      </c>
      <c r="AE50" s="6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6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3" t="e">
        <f>SUM(AC50:AF50)</f>
        <v>#N/A</v>
      </c>
      <c r="AH5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709.067</v>
      </c>
      <c r="AI5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720.196</v>
      </c>
      <c r="AJ5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789.976</v>
      </c>
      <c r="AK5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542.156</v>
      </c>
      <c r="AL50">
        <f>SUM(AH50:AK50)</f>
        <v>2761.395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streaming EUA e Canadá (USD)</t>
        </is>
      </c>
      <c r="D53" s="264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3170.972</v>
      </c>
      <c r="E53" s="264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3234.643</v>
      </c>
      <c r="F53" s="264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3257.697</v>
      </c>
      <c r="G53" s="264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3308.788</v>
      </c>
      <c r="H53" s="265">
        <f>SUM(D53:G53)</f>
        <v>12972.1</v>
      </c>
      <c r="I53" s="264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3350.424</v>
      </c>
      <c r="J53" s="264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3537.863</v>
      </c>
      <c r="K53" s="264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3601.565</v>
      </c>
      <c r="L53" s="264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3594.791</v>
      </c>
      <c r="M53" s="265">
        <f>SUM(I53:L53)</f>
        <v>14084.643</v>
      </c>
      <c r="N53" s="264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3608.645</v>
      </c>
      <c r="O53" s="264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3599.448</v>
      </c>
      <c r="P53" s="264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3735.133</v>
      </c>
      <c r="Q53" s="264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3930.557</v>
      </c>
      <c r="R53" s="265">
        <f>SUM(N53:Q53)</f>
        <v>14873.783</v>
      </c>
      <c r="S53" s="264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4224.315</v>
      </c>
      <c r="T53" s="264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4295.56</v>
      </c>
      <c r="U53" s="264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4322.476</v>
      </c>
      <c r="V53" s="264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4517.018</v>
      </c>
      <c r="W53" s="265">
        <f>SUM(S53:V53)</f>
        <v>17359.369</v>
      </c>
      <c r="X53" s="264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4617.098</v>
      </c>
      <c r="Y53" s="264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4929.003</v>
      </c>
      <c r="Z53" s="264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5071.781</v>
      </c>
      <c r="AA53" s="264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5339.27</v>
      </c>
      <c r="AB53" s="265">
        <f>SUM(X53:AA53)</f>
        <v>19957.152</v>
      </c>
      <c r="AC53" s="264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5245.298</v>
      </c>
      <c r="AD53" s="264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5431.667</v>
      </c>
      <c r="AE53" s="264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264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265" t="e">
        <f>SUM(AC53:AF53)</f>
        <v>#N/A</v>
      </c>
      <c r="AH53" s="264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2702.776</v>
      </c>
      <c r="AI53" s="264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2839.67</v>
      </c>
      <c r="AJ53" s="264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2933.445</v>
      </c>
      <c r="AK53" s="264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2979.505</v>
      </c>
      <c r="AL53" s="265">
        <f>SUM(AH53:AK53)</f>
        <v>11455.396</v>
      </c>
    </row>
    <row r="54">
      <c r="B54" s="46" t="n">
        <v>46</v>
      </c>
      <c r="C54" s="29" t="inlineStr">
        <is>
          <t>Assinantes pagos EUA e Canadá (milhões, fim do trimestre)</t>
        </is>
      </c>
      <c r="D54" s="264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74.384</v>
      </c>
      <c r="E54" s="264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73.951</v>
      </c>
      <c r="F54" s="264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74.024</v>
      </c>
      <c r="G54" s="264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75.215</v>
      </c>
      <c r="H54" s="265">
        <f>G54</f>
        <v>75.215</v>
      </c>
      <c r="I54" s="264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74.579</v>
      </c>
      <c r="J54" s="264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73.283</v>
      </c>
      <c r="K54" s="264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73.387</v>
      </c>
      <c r="L54" s="264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74.296</v>
      </c>
      <c r="M54" s="265">
        <f>L54</f>
        <v>74.296</v>
      </c>
      <c r="N54" s="264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74.398</v>
      </c>
      <c r="O54" s="264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75.571</v>
      </c>
      <c r="P54" s="264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77.321</v>
      </c>
      <c r="Q54" s="264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80.128</v>
      </c>
      <c r="R54" s="265">
        <f>Q54</f>
        <v>80.128</v>
      </c>
      <c r="S54" s="264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82.658</v>
      </c>
      <c r="T54" s="264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84.109</v>
      </c>
      <c r="U54" s="264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84.803</v>
      </c>
      <c r="V54" s="264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89.625</v>
      </c>
      <c r="W54" s="265">
        <f>V54</f>
        <v>89.625</v>
      </c>
      <c r="X54" s="264" t="e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54" s="264" t="e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54" s="264" t="e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54" s="264" t="e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4" s="265" t="e">
        <f>AA54</f>
        <v>#N/A</v>
      </c>
      <c r="AC54" s="264" t="e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54" s="264" t="e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54" s="264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264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265" t="e">
        <f>AF54</f>
        <v>#N/A</v>
      </c>
      <c r="AH54" s="264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69.969</v>
      </c>
      <c r="AI54" s="264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72.904</v>
      </c>
      <c r="AJ54" s="264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73.081</v>
      </c>
      <c r="AK54" s="264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73.936</v>
      </c>
      <c r="AL54" s="265">
        <f>AK54</f>
        <v>73.936</v>
      </c>
    </row>
    <row r="55">
      <c r="B55" s="46" t="n">
        <v>47</v>
      </c>
      <c r="C55" s="29" t="inlineStr">
        <is>
          <t>Receita streaming EMEA (USD)</t>
        </is>
      </c>
      <c r="D55" s="264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2343.674</v>
      </c>
      <c r="E55" s="264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2400.48</v>
      </c>
      <c r="F55" s="264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2432.239</v>
      </c>
      <c r="G55" s="264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2523.426</v>
      </c>
      <c r="H55" s="265">
        <f>SUM(D55:G55)</f>
        <v>9699.819</v>
      </c>
      <c r="I55" s="264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2561.831</v>
      </c>
      <c r="J55" s="264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2457.235</v>
      </c>
      <c r="K55" s="264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2375.814</v>
      </c>
      <c r="L55" s="264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2350.135</v>
      </c>
      <c r="M55" s="265">
        <f>SUM(I55:L55)</f>
        <v>9745.015</v>
      </c>
      <c r="N55" s="264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2517.641</v>
      </c>
      <c r="O55" s="264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2562.17</v>
      </c>
      <c r="P55" s="264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2693.146</v>
      </c>
      <c r="Q55" s="264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2783.53</v>
      </c>
      <c r="R55" s="265">
        <f>SUM(N55:Q55)</f>
        <v>10556.487</v>
      </c>
      <c r="S55" s="264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2958.193</v>
      </c>
      <c r="T55" s="264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3007.772</v>
      </c>
      <c r="U55" s="264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3133.466</v>
      </c>
      <c r="V55" s="264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3287.604</v>
      </c>
      <c r="W55" s="265">
        <f>SUM(S55:V55)</f>
        <v>12387.035</v>
      </c>
      <c r="X55" s="264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3404.676</v>
      </c>
      <c r="Y55" s="264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3538.175</v>
      </c>
      <c r="Z55" s="264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3699.052</v>
      </c>
      <c r="AA55" s="264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3872.743</v>
      </c>
      <c r="AB55" s="265">
        <f>SUM(X55:AA55)</f>
        <v>14514.646</v>
      </c>
      <c r="AC55" s="264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3998.419</v>
      </c>
      <c r="AD55" s="264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4033.515</v>
      </c>
      <c r="AE55" s="264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264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265" t="e">
        <f>SUM(AC55:AF55)</f>
        <v>#N/A</v>
      </c>
      <c r="AH55" s="264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1723.474</v>
      </c>
      <c r="AI55" s="264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1892.537</v>
      </c>
      <c r="AJ55" s="264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2019.083</v>
      </c>
      <c r="AK55" s="264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2137.158</v>
      </c>
      <c r="AL55" s="265">
        <f>SUM(AH55:AK55)</f>
        <v>7772.252</v>
      </c>
    </row>
    <row r="56">
      <c r="B56" s="46" t="n">
        <v>48</v>
      </c>
      <c r="C56" s="29" t="inlineStr">
        <is>
          <t>Assinantes pagos EMEA (milhões, fim do trimestre)</t>
        </is>
      </c>
      <c r="D56" s="264">
        <f>IF(ISNA(MATCH(D$2,Inputs!$K$4:$AJ$4,0)),NA(),IF(SUMPRODUCT((Inputs!$A$5:$A$110=$B56)*ISNUMBER(INDEX(Inputs!$K$5:$AJ$110,0,MATCH(D$2,Inputs!$K$4:$AJ$4,0))))+SUMPRODUCT((Inputs!$C$5:$C$110=$B56)*ISNUMBER(INDEX(Inputs!$K$5:$AJ$110,0,MATCH(D$2,Inputs!$K$4:$AJ$4,0))))+SUMPRODUCT((Inputs!$E$5:$E$110=$B56)*ISNUMBER(INDEX(Inputs!$K$5:$AJ$110,0,MATCH(D$2,Inputs!$K$4:$AJ$4,0))))=0,NA(),SUMPRODUCT((Inputs!$A$5:$A$110=$B56)*Inputs!$B$5:$B$110*(((Inputs!$G$5:$G$110="moeda")+(Inputs!$G$5:$G$110="acoes"))*Inputs!$B$1+((Inputs!$G$5:$G$110&lt;&gt;"moeda")*(Inputs!$G$5:$G$110&lt;&gt;"acoes")))*INDEX(Inputs!$K$5:$AJ$110,0,MATCH(D$2,Inputs!$K$4:$AJ$4,0)))+SUMPRODUCT((Inputs!$C$5:$C$110=$B56)*Inputs!$D$5:$D$110*(((Inputs!$G$5:$G$110="moeda")+(Inputs!$G$5:$G$110="acoes"))*Inputs!$B$1+((Inputs!$G$5:$G$110&lt;&gt;"moeda")*(Inputs!$G$5:$G$110&lt;&gt;"acoes")))*INDEX(Inputs!$K$5:$AJ$110,0,MATCH(D$2,Inputs!$K$4:$AJ$4,0)))+SUMPRODUCT((Inputs!$E$5:$E$110=$B56)*Inputs!$F$5:$F$110*(((Inputs!$G$5:$G$110="moeda")+(Inputs!$G$5:$G$110="acoes"))*Inputs!$B$1+((Inputs!$G$5:$G$110&lt;&gt;"moeda")*(Inputs!$G$5:$G$110&lt;&gt;"acoes")))*INDEX(Inputs!$K$5:$AJ$110,0,MATCH(D$2,Inputs!$K$4:$AJ$4,0)))))</f>
        <v>68.508</v>
      </c>
      <c r="E56" s="264">
        <f>IF(ISNA(MATCH(E$2,Inputs!$K$4:$AJ$4,0)),NA(),IF(SUMPRODUCT((Inputs!$A$5:$A$110=$B56)*ISNUMBER(INDEX(Inputs!$K$5:$AJ$110,0,MATCH(E$2,Inputs!$K$4:$AJ$4,0))))+SUMPRODUCT((Inputs!$C$5:$C$110=$B56)*ISNUMBER(INDEX(Inputs!$K$5:$AJ$110,0,MATCH(E$2,Inputs!$K$4:$AJ$4,0))))+SUMPRODUCT((Inputs!$E$5:$E$110=$B56)*ISNUMBER(INDEX(Inputs!$K$5:$AJ$110,0,MATCH(E$2,Inputs!$K$4:$AJ$4,0))))=0,NA(),SUMPRODUCT((Inputs!$A$5:$A$110=$B56)*Inputs!$B$5:$B$110*(((Inputs!$G$5:$G$110="moeda")+(Inputs!$G$5:$G$110="acoes"))*Inputs!$B$1+((Inputs!$G$5:$G$110&lt;&gt;"moeda")*(Inputs!$G$5:$G$110&lt;&gt;"acoes")))*INDEX(Inputs!$K$5:$AJ$110,0,MATCH(E$2,Inputs!$K$4:$AJ$4,0)))+SUMPRODUCT((Inputs!$C$5:$C$110=$B56)*Inputs!$D$5:$D$110*(((Inputs!$G$5:$G$110="moeda")+(Inputs!$G$5:$G$110="acoes"))*Inputs!$B$1+((Inputs!$G$5:$G$110&lt;&gt;"moeda")*(Inputs!$G$5:$G$110&lt;&gt;"acoes")))*INDEX(Inputs!$K$5:$AJ$110,0,MATCH(E$2,Inputs!$K$4:$AJ$4,0)))+SUMPRODUCT((Inputs!$E$5:$E$110=$B56)*Inputs!$F$5:$F$110*(((Inputs!$G$5:$G$110="moeda")+(Inputs!$G$5:$G$110="acoes"))*Inputs!$B$1+((Inputs!$G$5:$G$110&lt;&gt;"moeda")*(Inputs!$G$5:$G$110&lt;&gt;"acoes")))*INDEX(Inputs!$K$5:$AJ$110,0,MATCH(E$2,Inputs!$K$4:$AJ$4,0)))))</f>
        <v>68.696</v>
      </c>
      <c r="F56" s="264">
        <f>IF(ISNA(MATCH(F$2,Inputs!$K$4:$AJ$4,0)),NA(),IF(SUMPRODUCT((Inputs!$A$5:$A$110=$B56)*ISNUMBER(INDEX(Inputs!$K$5:$AJ$110,0,MATCH(F$2,Inputs!$K$4:$AJ$4,0))))+SUMPRODUCT((Inputs!$C$5:$C$110=$B56)*ISNUMBER(INDEX(Inputs!$K$5:$AJ$110,0,MATCH(F$2,Inputs!$K$4:$AJ$4,0))))+SUMPRODUCT((Inputs!$E$5:$E$110=$B56)*ISNUMBER(INDEX(Inputs!$K$5:$AJ$110,0,MATCH(F$2,Inputs!$K$4:$AJ$4,0))))=0,NA(),SUMPRODUCT((Inputs!$A$5:$A$110=$B56)*Inputs!$B$5:$B$110*(((Inputs!$G$5:$G$110="moeda")+(Inputs!$G$5:$G$110="acoes"))*Inputs!$B$1+((Inputs!$G$5:$G$110&lt;&gt;"moeda")*(Inputs!$G$5:$G$110&lt;&gt;"acoes")))*INDEX(Inputs!$K$5:$AJ$110,0,MATCH(F$2,Inputs!$K$4:$AJ$4,0)))+SUMPRODUCT((Inputs!$C$5:$C$110=$B56)*Inputs!$D$5:$D$110*(((Inputs!$G$5:$G$110="moeda")+(Inputs!$G$5:$G$110="acoes"))*Inputs!$B$1+((Inputs!$G$5:$G$110&lt;&gt;"moeda")*(Inputs!$G$5:$G$110&lt;&gt;"acoes")))*INDEX(Inputs!$K$5:$AJ$110,0,MATCH(F$2,Inputs!$K$4:$AJ$4,0)))+SUMPRODUCT((Inputs!$E$5:$E$110=$B56)*Inputs!$F$5:$F$110*(((Inputs!$G$5:$G$110="moeda")+(Inputs!$G$5:$G$110="acoes"))*Inputs!$B$1+((Inputs!$G$5:$G$110&lt;&gt;"moeda")*(Inputs!$G$5:$G$110&lt;&gt;"acoes")))*INDEX(Inputs!$K$5:$AJ$110,0,MATCH(F$2,Inputs!$K$4:$AJ$4,0)))))</f>
        <v>70.5</v>
      </c>
      <c r="G56" s="264">
        <f>IF(ISNA(MATCH(G$2,Inputs!$K$4:$AJ$4,0)),NA(),IF(SUMPRODUCT((Inputs!$A$5:$A$110=$B56)*ISNUMBER(INDEX(Inputs!$K$5:$AJ$110,0,MATCH(G$2,Inputs!$K$4:$AJ$4,0))))+SUMPRODUCT((Inputs!$C$5:$C$110=$B56)*ISNUMBER(INDEX(Inputs!$K$5:$AJ$110,0,MATCH(G$2,Inputs!$K$4:$AJ$4,0))))+SUMPRODUCT((Inputs!$E$5:$E$110=$B56)*ISNUMBER(INDEX(Inputs!$K$5:$AJ$110,0,MATCH(G$2,Inputs!$K$4:$AJ$4,0))))=0,NA(),SUMPRODUCT((Inputs!$A$5:$A$110=$B56)*Inputs!$B$5:$B$110*(((Inputs!$G$5:$G$110="moeda")+(Inputs!$G$5:$G$110="acoes"))*Inputs!$B$1+((Inputs!$G$5:$G$110&lt;&gt;"moeda")*(Inputs!$G$5:$G$110&lt;&gt;"acoes")))*INDEX(Inputs!$K$5:$AJ$110,0,MATCH(G$2,Inputs!$K$4:$AJ$4,0)))+SUMPRODUCT((Inputs!$C$5:$C$110=$B56)*Inputs!$D$5:$D$110*(((Inputs!$G$5:$G$110="moeda")+(Inputs!$G$5:$G$110="acoes"))*Inputs!$B$1+((Inputs!$G$5:$G$110&lt;&gt;"moeda")*(Inputs!$G$5:$G$110&lt;&gt;"acoes")))*INDEX(Inputs!$K$5:$AJ$110,0,MATCH(G$2,Inputs!$K$4:$AJ$4,0)))+SUMPRODUCT((Inputs!$E$5:$E$110=$B56)*Inputs!$F$5:$F$110*(((Inputs!$G$5:$G$110="moeda")+(Inputs!$G$5:$G$110="acoes"))*Inputs!$B$1+((Inputs!$G$5:$G$110&lt;&gt;"moeda")*(Inputs!$G$5:$G$110&lt;&gt;"acoes")))*INDEX(Inputs!$K$5:$AJ$110,0,MATCH(G$2,Inputs!$K$4:$AJ$4,0)))))</f>
        <v>74.036</v>
      </c>
      <c r="H56" s="265">
        <f>G56</f>
        <v>74.036</v>
      </c>
      <c r="I56" s="264">
        <f>IF(ISNA(MATCH(I$2,Inputs!$K$4:$AJ$4,0)),NA(),IF(SUMPRODUCT((Inputs!$A$5:$A$110=$B56)*ISNUMBER(INDEX(Inputs!$K$5:$AJ$110,0,MATCH(I$2,Inputs!$K$4:$AJ$4,0))))+SUMPRODUCT((Inputs!$C$5:$C$110=$B56)*ISNUMBER(INDEX(Inputs!$K$5:$AJ$110,0,MATCH(I$2,Inputs!$K$4:$AJ$4,0))))+SUMPRODUCT((Inputs!$E$5:$E$110=$B56)*ISNUMBER(INDEX(Inputs!$K$5:$AJ$110,0,MATCH(I$2,Inputs!$K$4:$AJ$4,0))))=0,NA(),SUMPRODUCT((Inputs!$A$5:$A$110=$B56)*Inputs!$B$5:$B$110*(((Inputs!$G$5:$G$110="moeda")+(Inputs!$G$5:$G$110="acoes"))*Inputs!$B$1+((Inputs!$G$5:$G$110&lt;&gt;"moeda")*(Inputs!$G$5:$G$110&lt;&gt;"acoes")))*INDEX(Inputs!$K$5:$AJ$110,0,MATCH(I$2,Inputs!$K$4:$AJ$4,0)))+SUMPRODUCT((Inputs!$C$5:$C$110=$B56)*Inputs!$D$5:$D$110*(((Inputs!$G$5:$G$110="moeda")+(Inputs!$G$5:$G$110="acoes"))*Inputs!$B$1+((Inputs!$G$5:$G$110&lt;&gt;"moeda")*(Inputs!$G$5:$G$110&lt;&gt;"acoes")))*INDEX(Inputs!$K$5:$AJ$110,0,MATCH(I$2,Inputs!$K$4:$AJ$4,0)))+SUMPRODUCT((Inputs!$E$5:$E$110=$B56)*Inputs!$F$5:$F$110*(((Inputs!$G$5:$G$110="moeda")+(Inputs!$G$5:$G$110="acoes"))*Inputs!$B$1+((Inputs!$G$5:$G$110&lt;&gt;"moeda")*(Inputs!$G$5:$G$110&lt;&gt;"acoes")))*INDEX(Inputs!$K$5:$AJ$110,0,MATCH(I$2,Inputs!$K$4:$AJ$4,0)))))</f>
        <v>73.733</v>
      </c>
      <c r="J56" s="264">
        <f>IF(ISNA(MATCH(J$2,Inputs!$K$4:$AJ$4,0)),NA(),IF(SUMPRODUCT((Inputs!$A$5:$A$110=$B56)*ISNUMBER(INDEX(Inputs!$K$5:$AJ$110,0,MATCH(J$2,Inputs!$K$4:$AJ$4,0))))+SUMPRODUCT((Inputs!$C$5:$C$110=$B56)*ISNUMBER(INDEX(Inputs!$K$5:$AJ$110,0,MATCH(J$2,Inputs!$K$4:$AJ$4,0))))+SUMPRODUCT((Inputs!$E$5:$E$110=$B56)*ISNUMBER(INDEX(Inputs!$K$5:$AJ$110,0,MATCH(J$2,Inputs!$K$4:$AJ$4,0))))=0,NA(),SUMPRODUCT((Inputs!$A$5:$A$110=$B56)*Inputs!$B$5:$B$110*(((Inputs!$G$5:$G$110="moeda")+(Inputs!$G$5:$G$110="acoes"))*Inputs!$B$1+((Inputs!$G$5:$G$110&lt;&gt;"moeda")*(Inputs!$G$5:$G$110&lt;&gt;"acoes")))*INDEX(Inputs!$K$5:$AJ$110,0,MATCH(J$2,Inputs!$K$4:$AJ$4,0)))+SUMPRODUCT((Inputs!$C$5:$C$110=$B56)*Inputs!$D$5:$D$110*(((Inputs!$G$5:$G$110="moeda")+(Inputs!$G$5:$G$110="acoes"))*Inputs!$B$1+((Inputs!$G$5:$G$110&lt;&gt;"moeda")*(Inputs!$G$5:$G$110&lt;&gt;"acoes")))*INDEX(Inputs!$K$5:$AJ$110,0,MATCH(J$2,Inputs!$K$4:$AJ$4,0)))+SUMPRODUCT((Inputs!$E$5:$E$110=$B56)*Inputs!$F$5:$F$110*(((Inputs!$G$5:$G$110="moeda")+(Inputs!$G$5:$G$110="acoes"))*Inputs!$B$1+((Inputs!$G$5:$G$110&lt;&gt;"moeda")*(Inputs!$G$5:$G$110&lt;&gt;"acoes")))*INDEX(Inputs!$K$5:$AJ$110,0,MATCH(J$2,Inputs!$K$4:$AJ$4,0)))))</f>
        <v>72.966</v>
      </c>
      <c r="K56" s="264">
        <f>IF(ISNA(MATCH(K$2,Inputs!$K$4:$AJ$4,0)),NA(),IF(SUMPRODUCT((Inputs!$A$5:$A$110=$B56)*ISNUMBER(INDEX(Inputs!$K$5:$AJ$110,0,MATCH(K$2,Inputs!$K$4:$AJ$4,0))))+SUMPRODUCT((Inputs!$C$5:$C$110=$B56)*ISNUMBER(INDEX(Inputs!$K$5:$AJ$110,0,MATCH(K$2,Inputs!$K$4:$AJ$4,0))))+SUMPRODUCT((Inputs!$E$5:$E$110=$B56)*ISNUMBER(INDEX(Inputs!$K$5:$AJ$110,0,MATCH(K$2,Inputs!$K$4:$AJ$4,0))))=0,NA(),SUMPRODUCT((Inputs!$A$5:$A$110=$B56)*Inputs!$B$5:$B$110*(((Inputs!$G$5:$G$110="moeda")+(Inputs!$G$5:$G$110="acoes"))*Inputs!$B$1+((Inputs!$G$5:$G$110&lt;&gt;"moeda")*(Inputs!$G$5:$G$110&lt;&gt;"acoes")))*INDEX(Inputs!$K$5:$AJ$110,0,MATCH(K$2,Inputs!$K$4:$AJ$4,0)))+SUMPRODUCT((Inputs!$C$5:$C$110=$B56)*Inputs!$D$5:$D$110*(((Inputs!$G$5:$G$110="moeda")+(Inputs!$G$5:$G$110="acoes"))*Inputs!$B$1+((Inputs!$G$5:$G$110&lt;&gt;"moeda")*(Inputs!$G$5:$G$110&lt;&gt;"acoes")))*INDEX(Inputs!$K$5:$AJ$110,0,MATCH(K$2,Inputs!$K$4:$AJ$4,0)))+SUMPRODUCT((Inputs!$E$5:$E$110=$B56)*Inputs!$F$5:$F$110*(((Inputs!$G$5:$G$110="moeda")+(Inputs!$G$5:$G$110="acoes"))*Inputs!$B$1+((Inputs!$G$5:$G$110&lt;&gt;"moeda")*(Inputs!$G$5:$G$110&lt;&gt;"acoes")))*INDEX(Inputs!$K$5:$AJ$110,0,MATCH(K$2,Inputs!$K$4:$AJ$4,0)))))</f>
        <v>73.534</v>
      </c>
      <c r="L56" s="264">
        <f>IF(ISNA(MATCH(L$2,Inputs!$K$4:$AJ$4,0)),NA(),IF(SUMPRODUCT((Inputs!$A$5:$A$110=$B56)*ISNUMBER(INDEX(Inputs!$K$5:$AJ$110,0,MATCH(L$2,Inputs!$K$4:$AJ$4,0))))+SUMPRODUCT((Inputs!$C$5:$C$110=$B56)*ISNUMBER(INDEX(Inputs!$K$5:$AJ$110,0,MATCH(L$2,Inputs!$K$4:$AJ$4,0))))+SUMPRODUCT((Inputs!$E$5:$E$110=$B56)*ISNUMBER(INDEX(Inputs!$K$5:$AJ$110,0,MATCH(L$2,Inputs!$K$4:$AJ$4,0))))=0,NA(),SUMPRODUCT((Inputs!$A$5:$A$110=$B56)*Inputs!$B$5:$B$110*(((Inputs!$G$5:$G$110="moeda")+(Inputs!$G$5:$G$110="acoes"))*Inputs!$B$1+((Inputs!$G$5:$G$110&lt;&gt;"moeda")*(Inputs!$G$5:$G$110&lt;&gt;"acoes")))*INDEX(Inputs!$K$5:$AJ$110,0,MATCH(L$2,Inputs!$K$4:$AJ$4,0)))+SUMPRODUCT((Inputs!$C$5:$C$110=$B56)*Inputs!$D$5:$D$110*(((Inputs!$G$5:$G$110="moeda")+(Inputs!$G$5:$G$110="acoes"))*Inputs!$B$1+((Inputs!$G$5:$G$110&lt;&gt;"moeda")*(Inputs!$G$5:$G$110&lt;&gt;"acoes")))*INDEX(Inputs!$K$5:$AJ$110,0,MATCH(L$2,Inputs!$K$4:$AJ$4,0)))+SUMPRODUCT((Inputs!$E$5:$E$110=$B56)*Inputs!$F$5:$F$110*(((Inputs!$G$5:$G$110="moeda")+(Inputs!$G$5:$G$110="acoes"))*Inputs!$B$1+((Inputs!$G$5:$G$110&lt;&gt;"moeda")*(Inputs!$G$5:$G$110&lt;&gt;"acoes")))*INDEX(Inputs!$K$5:$AJ$110,0,MATCH(L$2,Inputs!$K$4:$AJ$4,0)))))</f>
        <v>76.729</v>
      </c>
      <c r="M56" s="265">
        <f>L56</f>
        <v>76.729</v>
      </c>
      <c r="N56" s="264">
        <f>IF(ISNA(MATCH(N$2,Inputs!$K$4:$AJ$4,0)),NA(),IF(SUMPRODUCT((Inputs!$A$5:$A$110=$B56)*ISNUMBER(INDEX(Inputs!$K$5:$AJ$110,0,MATCH(N$2,Inputs!$K$4:$AJ$4,0))))+SUMPRODUCT((Inputs!$C$5:$C$110=$B56)*ISNUMBER(INDEX(Inputs!$K$5:$AJ$110,0,MATCH(N$2,Inputs!$K$4:$AJ$4,0))))+SUMPRODUCT((Inputs!$E$5:$E$110=$B56)*ISNUMBER(INDEX(Inputs!$K$5:$AJ$110,0,MATCH(N$2,Inputs!$K$4:$AJ$4,0))))=0,NA(),SUMPRODUCT((Inputs!$A$5:$A$110=$B56)*Inputs!$B$5:$B$110*(((Inputs!$G$5:$G$110="moeda")+(Inputs!$G$5:$G$110="acoes"))*Inputs!$B$1+((Inputs!$G$5:$G$110&lt;&gt;"moeda")*(Inputs!$G$5:$G$110&lt;&gt;"acoes")))*INDEX(Inputs!$K$5:$AJ$110,0,MATCH(N$2,Inputs!$K$4:$AJ$4,0)))+SUMPRODUCT((Inputs!$C$5:$C$110=$B56)*Inputs!$D$5:$D$110*(((Inputs!$G$5:$G$110="moeda")+(Inputs!$G$5:$G$110="acoes"))*Inputs!$B$1+((Inputs!$G$5:$G$110&lt;&gt;"moeda")*(Inputs!$G$5:$G$110&lt;&gt;"acoes")))*INDEX(Inputs!$K$5:$AJ$110,0,MATCH(N$2,Inputs!$K$4:$AJ$4,0)))+SUMPRODUCT((Inputs!$E$5:$E$110=$B56)*Inputs!$F$5:$F$110*(((Inputs!$G$5:$G$110="moeda")+(Inputs!$G$5:$G$110="acoes"))*Inputs!$B$1+((Inputs!$G$5:$G$110&lt;&gt;"moeda")*(Inputs!$G$5:$G$110&lt;&gt;"acoes")))*INDEX(Inputs!$K$5:$AJ$110,0,MATCH(N$2,Inputs!$K$4:$AJ$4,0)))))</f>
        <v>77.373</v>
      </c>
      <c r="O56" s="264">
        <f>IF(ISNA(MATCH(O$2,Inputs!$K$4:$AJ$4,0)),NA(),IF(SUMPRODUCT((Inputs!$A$5:$A$110=$B56)*ISNUMBER(INDEX(Inputs!$K$5:$AJ$110,0,MATCH(O$2,Inputs!$K$4:$AJ$4,0))))+SUMPRODUCT((Inputs!$C$5:$C$110=$B56)*ISNUMBER(INDEX(Inputs!$K$5:$AJ$110,0,MATCH(O$2,Inputs!$K$4:$AJ$4,0))))+SUMPRODUCT((Inputs!$E$5:$E$110=$B56)*ISNUMBER(INDEX(Inputs!$K$5:$AJ$110,0,MATCH(O$2,Inputs!$K$4:$AJ$4,0))))=0,NA(),SUMPRODUCT((Inputs!$A$5:$A$110=$B56)*Inputs!$B$5:$B$110*(((Inputs!$G$5:$G$110="moeda")+(Inputs!$G$5:$G$110="acoes"))*Inputs!$B$1+((Inputs!$G$5:$G$110&lt;&gt;"moeda")*(Inputs!$G$5:$G$110&lt;&gt;"acoes")))*INDEX(Inputs!$K$5:$AJ$110,0,MATCH(O$2,Inputs!$K$4:$AJ$4,0)))+SUMPRODUCT((Inputs!$C$5:$C$110=$B56)*Inputs!$D$5:$D$110*(((Inputs!$G$5:$G$110="moeda")+(Inputs!$G$5:$G$110="acoes"))*Inputs!$B$1+((Inputs!$G$5:$G$110&lt;&gt;"moeda")*(Inputs!$G$5:$G$110&lt;&gt;"acoes")))*INDEX(Inputs!$K$5:$AJ$110,0,MATCH(O$2,Inputs!$K$4:$AJ$4,0)))+SUMPRODUCT((Inputs!$E$5:$E$110=$B56)*Inputs!$F$5:$F$110*(((Inputs!$G$5:$G$110="moeda")+(Inputs!$G$5:$G$110="acoes"))*Inputs!$B$1+((Inputs!$G$5:$G$110&lt;&gt;"moeda")*(Inputs!$G$5:$G$110&lt;&gt;"acoes")))*INDEX(Inputs!$K$5:$AJ$110,0,MATCH(O$2,Inputs!$K$4:$AJ$4,0)))))</f>
        <v>79.807</v>
      </c>
      <c r="P56" s="264">
        <f>IF(ISNA(MATCH(P$2,Inputs!$K$4:$AJ$4,0)),NA(),IF(SUMPRODUCT((Inputs!$A$5:$A$110=$B56)*ISNUMBER(INDEX(Inputs!$K$5:$AJ$110,0,MATCH(P$2,Inputs!$K$4:$AJ$4,0))))+SUMPRODUCT((Inputs!$C$5:$C$110=$B56)*ISNUMBER(INDEX(Inputs!$K$5:$AJ$110,0,MATCH(P$2,Inputs!$K$4:$AJ$4,0))))+SUMPRODUCT((Inputs!$E$5:$E$110=$B56)*ISNUMBER(INDEX(Inputs!$K$5:$AJ$110,0,MATCH(P$2,Inputs!$K$4:$AJ$4,0))))=0,NA(),SUMPRODUCT((Inputs!$A$5:$A$110=$B56)*Inputs!$B$5:$B$110*(((Inputs!$G$5:$G$110="moeda")+(Inputs!$G$5:$G$110="acoes"))*Inputs!$B$1+((Inputs!$G$5:$G$110&lt;&gt;"moeda")*(Inputs!$G$5:$G$110&lt;&gt;"acoes")))*INDEX(Inputs!$K$5:$AJ$110,0,MATCH(P$2,Inputs!$K$4:$AJ$4,0)))+SUMPRODUCT((Inputs!$C$5:$C$110=$B56)*Inputs!$D$5:$D$110*(((Inputs!$G$5:$G$110="moeda")+(Inputs!$G$5:$G$110="acoes"))*Inputs!$B$1+((Inputs!$G$5:$G$110&lt;&gt;"moeda")*(Inputs!$G$5:$G$110&lt;&gt;"acoes")))*INDEX(Inputs!$K$5:$AJ$110,0,MATCH(P$2,Inputs!$K$4:$AJ$4,0)))+SUMPRODUCT((Inputs!$E$5:$E$110=$B56)*Inputs!$F$5:$F$110*(((Inputs!$G$5:$G$110="moeda")+(Inputs!$G$5:$G$110="acoes"))*Inputs!$B$1+((Inputs!$G$5:$G$110&lt;&gt;"moeda")*(Inputs!$G$5:$G$110&lt;&gt;"acoes")))*INDEX(Inputs!$K$5:$AJ$110,0,MATCH(P$2,Inputs!$K$4:$AJ$4,0)))))</f>
        <v>83.76</v>
      </c>
      <c r="Q56" s="264">
        <f>IF(ISNA(MATCH(Q$2,Inputs!$K$4:$AJ$4,0)),NA(),IF(SUMPRODUCT((Inputs!$A$5:$A$110=$B56)*ISNUMBER(INDEX(Inputs!$K$5:$AJ$110,0,MATCH(Q$2,Inputs!$K$4:$AJ$4,0))))+SUMPRODUCT((Inputs!$C$5:$C$110=$B56)*ISNUMBER(INDEX(Inputs!$K$5:$AJ$110,0,MATCH(Q$2,Inputs!$K$4:$AJ$4,0))))+SUMPRODUCT((Inputs!$E$5:$E$110=$B56)*ISNUMBER(INDEX(Inputs!$K$5:$AJ$110,0,MATCH(Q$2,Inputs!$K$4:$AJ$4,0))))=0,NA(),SUMPRODUCT((Inputs!$A$5:$A$110=$B56)*Inputs!$B$5:$B$110*(((Inputs!$G$5:$G$110="moeda")+(Inputs!$G$5:$G$110="acoes"))*Inputs!$B$1+((Inputs!$G$5:$G$110&lt;&gt;"moeda")*(Inputs!$G$5:$G$110&lt;&gt;"acoes")))*INDEX(Inputs!$K$5:$AJ$110,0,MATCH(Q$2,Inputs!$K$4:$AJ$4,0)))+SUMPRODUCT((Inputs!$C$5:$C$110=$B56)*Inputs!$D$5:$D$110*(((Inputs!$G$5:$G$110="moeda")+(Inputs!$G$5:$G$110="acoes"))*Inputs!$B$1+((Inputs!$G$5:$G$110&lt;&gt;"moeda")*(Inputs!$G$5:$G$110&lt;&gt;"acoes")))*INDEX(Inputs!$K$5:$AJ$110,0,MATCH(Q$2,Inputs!$K$4:$AJ$4,0)))+SUMPRODUCT((Inputs!$E$5:$E$110=$B56)*Inputs!$F$5:$F$110*(((Inputs!$G$5:$G$110="moeda")+(Inputs!$G$5:$G$110="acoes"))*Inputs!$B$1+((Inputs!$G$5:$G$110&lt;&gt;"moeda")*(Inputs!$G$5:$G$110&lt;&gt;"acoes")))*INDEX(Inputs!$K$5:$AJ$110,0,MATCH(Q$2,Inputs!$K$4:$AJ$4,0)))))</f>
        <v>88.813</v>
      </c>
      <c r="R56" s="265">
        <f>Q56</f>
        <v>88.813</v>
      </c>
      <c r="S56" s="264">
        <f>IF(ISNA(MATCH(S$2,Inputs!$K$4:$AJ$4,0)),NA(),IF(SUMPRODUCT((Inputs!$A$5:$A$110=$B56)*ISNUMBER(INDEX(Inputs!$K$5:$AJ$110,0,MATCH(S$2,Inputs!$K$4:$AJ$4,0))))+SUMPRODUCT((Inputs!$C$5:$C$110=$B56)*ISNUMBER(INDEX(Inputs!$K$5:$AJ$110,0,MATCH(S$2,Inputs!$K$4:$AJ$4,0))))+SUMPRODUCT((Inputs!$E$5:$E$110=$B56)*ISNUMBER(INDEX(Inputs!$K$5:$AJ$110,0,MATCH(S$2,Inputs!$K$4:$AJ$4,0))))=0,NA(),SUMPRODUCT((Inputs!$A$5:$A$110=$B56)*Inputs!$B$5:$B$110*(((Inputs!$G$5:$G$110="moeda")+(Inputs!$G$5:$G$110="acoes"))*Inputs!$B$1+((Inputs!$G$5:$G$110&lt;&gt;"moeda")*(Inputs!$G$5:$G$110&lt;&gt;"acoes")))*INDEX(Inputs!$K$5:$AJ$110,0,MATCH(S$2,Inputs!$K$4:$AJ$4,0)))+SUMPRODUCT((Inputs!$C$5:$C$110=$B56)*Inputs!$D$5:$D$110*(((Inputs!$G$5:$G$110="moeda")+(Inputs!$G$5:$G$110="acoes"))*Inputs!$B$1+((Inputs!$G$5:$G$110&lt;&gt;"moeda")*(Inputs!$G$5:$G$110&lt;&gt;"acoes")))*INDEX(Inputs!$K$5:$AJ$110,0,MATCH(S$2,Inputs!$K$4:$AJ$4,0)))+SUMPRODUCT((Inputs!$E$5:$E$110=$B56)*Inputs!$F$5:$F$110*(((Inputs!$G$5:$G$110="moeda")+(Inputs!$G$5:$G$110="acoes"))*Inputs!$B$1+((Inputs!$G$5:$G$110&lt;&gt;"moeda")*(Inputs!$G$5:$G$110&lt;&gt;"acoes")))*INDEX(Inputs!$K$5:$AJ$110,0,MATCH(S$2,Inputs!$K$4:$AJ$4,0)))))</f>
        <v>91.729</v>
      </c>
      <c r="T56" s="264">
        <f>IF(ISNA(MATCH(T$2,Inputs!$K$4:$AJ$4,0)),NA(),IF(SUMPRODUCT((Inputs!$A$5:$A$110=$B56)*ISNUMBER(INDEX(Inputs!$K$5:$AJ$110,0,MATCH(T$2,Inputs!$K$4:$AJ$4,0))))+SUMPRODUCT((Inputs!$C$5:$C$110=$B56)*ISNUMBER(INDEX(Inputs!$K$5:$AJ$110,0,MATCH(T$2,Inputs!$K$4:$AJ$4,0))))+SUMPRODUCT((Inputs!$E$5:$E$110=$B56)*ISNUMBER(INDEX(Inputs!$K$5:$AJ$110,0,MATCH(T$2,Inputs!$K$4:$AJ$4,0))))=0,NA(),SUMPRODUCT((Inputs!$A$5:$A$110=$B56)*Inputs!$B$5:$B$110*(((Inputs!$G$5:$G$110="moeda")+(Inputs!$G$5:$G$110="acoes"))*Inputs!$B$1+((Inputs!$G$5:$G$110&lt;&gt;"moeda")*(Inputs!$G$5:$G$110&lt;&gt;"acoes")))*INDEX(Inputs!$K$5:$AJ$110,0,MATCH(T$2,Inputs!$K$4:$AJ$4,0)))+SUMPRODUCT((Inputs!$C$5:$C$110=$B56)*Inputs!$D$5:$D$110*(((Inputs!$G$5:$G$110="moeda")+(Inputs!$G$5:$G$110="acoes"))*Inputs!$B$1+((Inputs!$G$5:$G$110&lt;&gt;"moeda")*(Inputs!$G$5:$G$110&lt;&gt;"acoes")))*INDEX(Inputs!$K$5:$AJ$110,0,MATCH(T$2,Inputs!$K$4:$AJ$4,0)))+SUMPRODUCT((Inputs!$E$5:$E$110=$B56)*Inputs!$F$5:$F$110*(((Inputs!$G$5:$G$110="moeda")+(Inputs!$G$5:$G$110="acoes"))*Inputs!$B$1+((Inputs!$G$5:$G$110&lt;&gt;"moeda")*(Inputs!$G$5:$G$110&lt;&gt;"acoes")))*INDEX(Inputs!$K$5:$AJ$110,0,MATCH(T$2,Inputs!$K$4:$AJ$4,0)))))</f>
        <v>93.964</v>
      </c>
      <c r="U56" s="264">
        <f>IF(ISNA(MATCH(U$2,Inputs!$K$4:$AJ$4,0)),NA(),IF(SUMPRODUCT((Inputs!$A$5:$A$110=$B56)*ISNUMBER(INDEX(Inputs!$K$5:$AJ$110,0,MATCH(U$2,Inputs!$K$4:$AJ$4,0))))+SUMPRODUCT((Inputs!$C$5:$C$110=$B56)*ISNUMBER(INDEX(Inputs!$K$5:$AJ$110,0,MATCH(U$2,Inputs!$K$4:$AJ$4,0))))+SUMPRODUCT((Inputs!$E$5:$E$110=$B56)*ISNUMBER(INDEX(Inputs!$K$5:$AJ$110,0,MATCH(U$2,Inputs!$K$4:$AJ$4,0))))=0,NA(),SUMPRODUCT((Inputs!$A$5:$A$110=$B56)*Inputs!$B$5:$B$110*(((Inputs!$G$5:$G$110="moeda")+(Inputs!$G$5:$G$110="acoes"))*Inputs!$B$1+((Inputs!$G$5:$G$110&lt;&gt;"moeda")*(Inputs!$G$5:$G$110&lt;&gt;"acoes")))*INDEX(Inputs!$K$5:$AJ$110,0,MATCH(U$2,Inputs!$K$4:$AJ$4,0)))+SUMPRODUCT((Inputs!$C$5:$C$110=$B56)*Inputs!$D$5:$D$110*(((Inputs!$G$5:$G$110="moeda")+(Inputs!$G$5:$G$110="acoes"))*Inputs!$B$1+((Inputs!$G$5:$G$110&lt;&gt;"moeda")*(Inputs!$G$5:$G$110&lt;&gt;"acoes")))*INDEX(Inputs!$K$5:$AJ$110,0,MATCH(U$2,Inputs!$K$4:$AJ$4,0)))+SUMPRODUCT((Inputs!$E$5:$E$110=$B56)*Inputs!$F$5:$F$110*(((Inputs!$G$5:$G$110="moeda")+(Inputs!$G$5:$G$110="acoes"))*Inputs!$B$1+((Inputs!$G$5:$G$110&lt;&gt;"moeda")*(Inputs!$G$5:$G$110&lt;&gt;"acoes")))*INDEX(Inputs!$K$5:$AJ$110,0,MATCH(U$2,Inputs!$K$4:$AJ$4,0)))))</f>
        <v>96.131</v>
      </c>
      <c r="V56" s="264">
        <f>IF(ISNA(MATCH(V$2,Inputs!$K$4:$AJ$4,0)),NA(),IF(SUMPRODUCT((Inputs!$A$5:$A$110=$B56)*ISNUMBER(INDEX(Inputs!$K$5:$AJ$110,0,MATCH(V$2,Inputs!$K$4:$AJ$4,0))))+SUMPRODUCT((Inputs!$C$5:$C$110=$B56)*ISNUMBER(INDEX(Inputs!$K$5:$AJ$110,0,MATCH(V$2,Inputs!$K$4:$AJ$4,0))))+SUMPRODUCT((Inputs!$E$5:$E$110=$B56)*ISNUMBER(INDEX(Inputs!$K$5:$AJ$110,0,MATCH(V$2,Inputs!$K$4:$AJ$4,0))))=0,NA(),SUMPRODUCT((Inputs!$A$5:$A$110=$B56)*Inputs!$B$5:$B$110*(((Inputs!$G$5:$G$110="moeda")+(Inputs!$G$5:$G$110="acoes"))*Inputs!$B$1+((Inputs!$G$5:$G$110&lt;&gt;"moeda")*(Inputs!$G$5:$G$110&lt;&gt;"acoes")))*INDEX(Inputs!$K$5:$AJ$110,0,MATCH(V$2,Inputs!$K$4:$AJ$4,0)))+SUMPRODUCT((Inputs!$C$5:$C$110=$B56)*Inputs!$D$5:$D$110*(((Inputs!$G$5:$G$110="moeda")+(Inputs!$G$5:$G$110="acoes"))*Inputs!$B$1+((Inputs!$G$5:$G$110&lt;&gt;"moeda")*(Inputs!$G$5:$G$110&lt;&gt;"acoes")))*INDEX(Inputs!$K$5:$AJ$110,0,MATCH(V$2,Inputs!$K$4:$AJ$4,0)))+SUMPRODUCT((Inputs!$E$5:$E$110=$B56)*Inputs!$F$5:$F$110*(((Inputs!$G$5:$G$110="moeda")+(Inputs!$G$5:$G$110="acoes"))*Inputs!$B$1+((Inputs!$G$5:$G$110&lt;&gt;"moeda")*(Inputs!$G$5:$G$110&lt;&gt;"acoes")))*INDEX(Inputs!$K$5:$AJ$110,0,MATCH(V$2,Inputs!$K$4:$AJ$4,0)))))</f>
        <v>101.133</v>
      </c>
      <c r="W56" s="265">
        <f>V56</f>
        <v>101.133</v>
      </c>
      <c r="X56" s="264" t="e">
        <f>IF(ISNA(MATCH(X$2,Inputs!$K$4:$AJ$4,0)),NA(),IF(SUMPRODUCT((Inputs!$A$5:$A$110=$B56)*ISNUMBER(INDEX(Inputs!$K$5:$AJ$110,0,MATCH(X$2,Inputs!$K$4:$AJ$4,0))))+SUMPRODUCT((Inputs!$C$5:$C$110=$B56)*ISNUMBER(INDEX(Inputs!$K$5:$AJ$110,0,MATCH(X$2,Inputs!$K$4:$AJ$4,0))))+SUMPRODUCT((Inputs!$E$5:$E$110=$B56)*ISNUMBER(INDEX(Inputs!$K$5:$AJ$110,0,MATCH(X$2,Inputs!$K$4:$AJ$4,0))))=0,NA(),SUMPRODUCT((Inputs!$A$5:$A$110=$B56)*Inputs!$B$5:$B$110*(((Inputs!$G$5:$G$110="moeda")+(Inputs!$G$5:$G$110="acoes"))*Inputs!$B$1+((Inputs!$G$5:$G$110&lt;&gt;"moeda")*(Inputs!$G$5:$G$110&lt;&gt;"acoes")))*INDEX(Inputs!$K$5:$AJ$110,0,MATCH(X$2,Inputs!$K$4:$AJ$4,0)))+SUMPRODUCT((Inputs!$C$5:$C$110=$B56)*Inputs!$D$5:$D$110*(((Inputs!$G$5:$G$110="moeda")+(Inputs!$G$5:$G$110="acoes"))*Inputs!$B$1+((Inputs!$G$5:$G$110&lt;&gt;"moeda")*(Inputs!$G$5:$G$110&lt;&gt;"acoes")))*INDEX(Inputs!$K$5:$AJ$110,0,MATCH(X$2,Inputs!$K$4:$AJ$4,0)))+SUMPRODUCT((Inputs!$E$5:$E$110=$B56)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56" s="264" t="e">
        <f>IF(ISNA(MATCH(Y$2,Inputs!$K$4:$AJ$4,0)),NA(),IF(SUMPRODUCT((Inputs!$A$5:$A$110=$B56)*ISNUMBER(INDEX(Inputs!$K$5:$AJ$110,0,MATCH(Y$2,Inputs!$K$4:$AJ$4,0))))+SUMPRODUCT((Inputs!$C$5:$C$110=$B56)*ISNUMBER(INDEX(Inputs!$K$5:$AJ$110,0,MATCH(Y$2,Inputs!$K$4:$AJ$4,0))))+SUMPRODUCT((Inputs!$E$5:$E$110=$B56)*ISNUMBER(INDEX(Inputs!$K$5:$AJ$110,0,MATCH(Y$2,Inputs!$K$4:$AJ$4,0))))=0,NA(),SUMPRODUCT((Inputs!$A$5:$A$110=$B56)*Inputs!$B$5:$B$110*(((Inputs!$G$5:$G$110="moeda")+(Inputs!$G$5:$G$110="acoes"))*Inputs!$B$1+((Inputs!$G$5:$G$110&lt;&gt;"moeda")*(Inputs!$G$5:$G$110&lt;&gt;"acoes")))*INDEX(Inputs!$K$5:$AJ$110,0,MATCH(Y$2,Inputs!$K$4:$AJ$4,0)))+SUMPRODUCT((Inputs!$C$5:$C$110=$B56)*Inputs!$D$5:$D$110*(((Inputs!$G$5:$G$110="moeda")+(Inputs!$G$5:$G$110="acoes"))*Inputs!$B$1+((Inputs!$G$5:$G$110&lt;&gt;"moeda")*(Inputs!$G$5:$G$110&lt;&gt;"acoes")))*INDEX(Inputs!$K$5:$AJ$110,0,MATCH(Y$2,Inputs!$K$4:$AJ$4,0)))+SUMPRODUCT((Inputs!$E$5:$E$110=$B56)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56" s="264" t="e">
        <f>IF(ISNA(MATCH(Z$2,Inputs!$K$4:$AJ$4,0)),NA(),IF(SUMPRODUCT((Inputs!$A$5:$A$110=$B56)*ISNUMBER(INDEX(Inputs!$K$5:$AJ$110,0,MATCH(Z$2,Inputs!$K$4:$AJ$4,0))))+SUMPRODUCT((Inputs!$C$5:$C$110=$B56)*ISNUMBER(INDEX(Inputs!$K$5:$AJ$110,0,MATCH(Z$2,Inputs!$K$4:$AJ$4,0))))+SUMPRODUCT((Inputs!$E$5:$E$110=$B56)*ISNUMBER(INDEX(Inputs!$K$5:$AJ$110,0,MATCH(Z$2,Inputs!$K$4:$AJ$4,0))))=0,NA(),SUMPRODUCT((Inputs!$A$5:$A$110=$B56)*Inputs!$B$5:$B$110*(((Inputs!$G$5:$G$110="moeda")+(Inputs!$G$5:$G$110="acoes"))*Inputs!$B$1+((Inputs!$G$5:$G$110&lt;&gt;"moeda")*(Inputs!$G$5:$G$110&lt;&gt;"acoes")))*INDEX(Inputs!$K$5:$AJ$110,0,MATCH(Z$2,Inputs!$K$4:$AJ$4,0)))+SUMPRODUCT((Inputs!$C$5:$C$110=$B56)*Inputs!$D$5:$D$110*(((Inputs!$G$5:$G$110="moeda")+(Inputs!$G$5:$G$110="acoes"))*Inputs!$B$1+((Inputs!$G$5:$G$110&lt;&gt;"moeda")*(Inputs!$G$5:$G$110&lt;&gt;"acoes")))*INDEX(Inputs!$K$5:$AJ$110,0,MATCH(Z$2,Inputs!$K$4:$AJ$4,0)))+SUMPRODUCT((Inputs!$E$5:$E$110=$B56)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56" s="264" t="e">
        <f>IF(ISNA(MATCH(AA$2,Inputs!$K$4:$AJ$4,0)),NA(),IF(SUMPRODUCT((Inputs!$A$5:$A$110=$B56)*ISNUMBER(INDEX(Inputs!$K$5:$AJ$110,0,MATCH(AA$2,Inputs!$K$4:$AJ$4,0))))+SUMPRODUCT((Inputs!$C$5:$C$110=$B56)*ISNUMBER(INDEX(Inputs!$K$5:$AJ$110,0,MATCH(AA$2,Inputs!$K$4:$AJ$4,0))))+SUMPRODUCT((Inputs!$E$5:$E$110=$B56)*ISNUMBER(INDEX(Inputs!$K$5:$AJ$110,0,MATCH(AA$2,Inputs!$K$4:$AJ$4,0))))=0,NA(),SUMPRODUCT((Inputs!$A$5:$A$110=$B56)*Inputs!$B$5:$B$110*(((Inputs!$G$5:$G$110="moeda")+(Inputs!$G$5:$G$110="acoes"))*Inputs!$B$1+((Inputs!$G$5:$G$110&lt;&gt;"moeda")*(Inputs!$G$5:$G$110&lt;&gt;"acoes")))*INDEX(Inputs!$K$5:$AJ$110,0,MATCH(AA$2,Inputs!$K$4:$AJ$4,0)))+SUMPRODUCT((Inputs!$C$5:$C$110=$B56)*Inputs!$D$5:$D$110*(((Inputs!$G$5:$G$110="moeda")+(Inputs!$G$5:$G$110="acoes"))*Inputs!$B$1+((Inputs!$G$5:$G$110&lt;&gt;"moeda")*(Inputs!$G$5:$G$110&lt;&gt;"acoes")))*INDEX(Inputs!$K$5:$AJ$110,0,MATCH(AA$2,Inputs!$K$4:$AJ$4,0)))+SUMPRODUCT((Inputs!$E$5:$E$110=$B56)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6" s="265" t="e">
        <f>AA56</f>
        <v>#N/A</v>
      </c>
      <c r="AC56" s="264" t="e">
        <f>IF(ISNA(MATCH(AC$2,Inputs!$K$4:$AJ$4,0)),NA(),IF(SUMPRODUCT((Inputs!$A$5:$A$110=$B56)*ISNUMBER(INDEX(Inputs!$K$5:$AJ$110,0,MATCH(AC$2,Inputs!$K$4:$AJ$4,0))))+SUMPRODUCT((Inputs!$C$5:$C$110=$B56)*ISNUMBER(INDEX(Inputs!$K$5:$AJ$110,0,MATCH(AC$2,Inputs!$K$4:$AJ$4,0))))+SUMPRODUCT((Inputs!$E$5:$E$110=$B56)*ISNUMBER(INDEX(Inputs!$K$5:$AJ$110,0,MATCH(AC$2,Inputs!$K$4:$AJ$4,0))))=0,NA(),SUMPRODUCT((Inputs!$A$5:$A$110=$B56)*Inputs!$B$5:$B$110*(((Inputs!$G$5:$G$110="moeda")+(Inputs!$G$5:$G$110="acoes"))*Inputs!$B$1+((Inputs!$G$5:$G$110&lt;&gt;"moeda")*(Inputs!$G$5:$G$110&lt;&gt;"acoes")))*INDEX(Inputs!$K$5:$AJ$110,0,MATCH(AC$2,Inputs!$K$4:$AJ$4,0)))+SUMPRODUCT((Inputs!$C$5:$C$110=$B56)*Inputs!$D$5:$D$110*(((Inputs!$G$5:$G$110="moeda")+(Inputs!$G$5:$G$110="acoes"))*Inputs!$B$1+((Inputs!$G$5:$G$110&lt;&gt;"moeda")*(Inputs!$G$5:$G$110&lt;&gt;"acoes")))*INDEX(Inputs!$K$5:$AJ$110,0,MATCH(AC$2,Inputs!$K$4:$AJ$4,0)))+SUMPRODUCT((Inputs!$E$5:$E$110=$B56)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56" s="264" t="e">
        <f>IF(ISNA(MATCH(AD$2,Inputs!$K$4:$AJ$4,0)),NA(),IF(SUMPRODUCT((Inputs!$A$5:$A$110=$B56)*ISNUMBER(INDEX(Inputs!$K$5:$AJ$110,0,MATCH(AD$2,Inputs!$K$4:$AJ$4,0))))+SUMPRODUCT((Inputs!$C$5:$C$110=$B56)*ISNUMBER(INDEX(Inputs!$K$5:$AJ$110,0,MATCH(AD$2,Inputs!$K$4:$AJ$4,0))))+SUMPRODUCT((Inputs!$E$5:$E$110=$B56)*ISNUMBER(INDEX(Inputs!$K$5:$AJ$110,0,MATCH(AD$2,Inputs!$K$4:$AJ$4,0))))=0,NA(),SUMPRODUCT((Inputs!$A$5:$A$110=$B56)*Inputs!$B$5:$B$110*(((Inputs!$G$5:$G$110="moeda")+(Inputs!$G$5:$G$110="acoes"))*Inputs!$B$1+((Inputs!$G$5:$G$110&lt;&gt;"moeda")*(Inputs!$G$5:$G$110&lt;&gt;"acoes")))*INDEX(Inputs!$K$5:$AJ$110,0,MATCH(AD$2,Inputs!$K$4:$AJ$4,0)))+SUMPRODUCT((Inputs!$C$5:$C$110=$B56)*Inputs!$D$5:$D$110*(((Inputs!$G$5:$G$110="moeda")+(Inputs!$G$5:$G$110="acoes"))*Inputs!$B$1+((Inputs!$G$5:$G$110&lt;&gt;"moeda")*(Inputs!$G$5:$G$110&lt;&gt;"acoes")))*INDEX(Inputs!$K$5:$AJ$110,0,MATCH(AD$2,Inputs!$K$4:$AJ$4,0)))+SUMPRODUCT((Inputs!$E$5:$E$110=$B56)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56" s="264" t="e">
        <f>IF(ISNA(MATCH(AE$2,Inputs!$K$4:$AJ$4,0)),NA(),IF(SUMPRODUCT((Inputs!$A$5:$A$110=$B56)*ISNUMBER(INDEX(Inputs!$K$5:$AJ$110,0,MATCH(AE$2,Inputs!$K$4:$AJ$4,0))))+SUMPRODUCT((Inputs!$C$5:$C$110=$B56)*ISNUMBER(INDEX(Inputs!$K$5:$AJ$110,0,MATCH(AE$2,Inputs!$K$4:$AJ$4,0))))+SUMPRODUCT((Inputs!$E$5:$E$110=$B56)*ISNUMBER(INDEX(Inputs!$K$5:$AJ$110,0,MATCH(AE$2,Inputs!$K$4:$AJ$4,0))))=0,NA(),SUMPRODUCT((Inputs!$A$5:$A$110=$B56)*Inputs!$B$5:$B$110*(((Inputs!$G$5:$G$110="moeda")+(Inputs!$G$5:$G$110="acoes"))*Inputs!$B$1+((Inputs!$G$5:$G$110&lt;&gt;"moeda")*(Inputs!$G$5:$G$110&lt;&gt;"acoes")))*INDEX(Inputs!$K$5:$AJ$110,0,MATCH(AE$2,Inputs!$K$4:$AJ$4,0)))+SUMPRODUCT((Inputs!$C$5:$C$110=$B56)*Inputs!$D$5:$D$110*(((Inputs!$G$5:$G$110="moeda")+(Inputs!$G$5:$G$110="acoes"))*Inputs!$B$1+((Inputs!$G$5:$G$110&lt;&gt;"moeda")*(Inputs!$G$5:$G$110&lt;&gt;"acoes")))*INDEX(Inputs!$K$5:$AJ$110,0,MATCH(AE$2,Inputs!$K$4:$AJ$4,0)))+SUMPRODUCT((Inputs!$E$5:$E$110=$B56)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6" s="264" t="e">
        <f>IF(ISNA(MATCH(AF$2,Inputs!$K$4:$AJ$4,0)),NA(),IF(SUMPRODUCT((Inputs!$A$5:$A$110=$B56)*ISNUMBER(INDEX(Inputs!$K$5:$AJ$110,0,MATCH(AF$2,Inputs!$K$4:$AJ$4,0))))+SUMPRODUCT((Inputs!$C$5:$C$110=$B56)*ISNUMBER(INDEX(Inputs!$K$5:$AJ$110,0,MATCH(AF$2,Inputs!$K$4:$AJ$4,0))))+SUMPRODUCT((Inputs!$E$5:$E$110=$B56)*ISNUMBER(INDEX(Inputs!$K$5:$AJ$110,0,MATCH(AF$2,Inputs!$K$4:$AJ$4,0))))=0,NA(),SUMPRODUCT((Inputs!$A$5:$A$110=$B56)*Inputs!$B$5:$B$110*(((Inputs!$G$5:$G$110="moeda")+(Inputs!$G$5:$G$110="acoes"))*Inputs!$B$1+((Inputs!$G$5:$G$110&lt;&gt;"moeda")*(Inputs!$G$5:$G$110&lt;&gt;"acoes")))*INDEX(Inputs!$K$5:$AJ$110,0,MATCH(AF$2,Inputs!$K$4:$AJ$4,0)))+SUMPRODUCT((Inputs!$C$5:$C$110=$B56)*Inputs!$D$5:$D$110*(((Inputs!$G$5:$G$110="moeda")+(Inputs!$G$5:$G$110="acoes"))*Inputs!$B$1+((Inputs!$G$5:$G$110&lt;&gt;"moeda")*(Inputs!$G$5:$G$110&lt;&gt;"acoes")))*INDEX(Inputs!$K$5:$AJ$110,0,MATCH(AF$2,Inputs!$K$4:$AJ$4,0)))+SUMPRODUCT((Inputs!$E$5:$E$110=$B56)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6" s="265" t="e">
        <f>AF56</f>
        <v>#N/A</v>
      </c>
      <c r="AH56" s="264">
        <f>IF(ISNA(MATCH(AH$2,Inputs!$K$4:$AJ$4,0)),NA(),IF(SUMPRODUCT((Inputs!$A$5:$A$110=$B56)*ISNUMBER(INDEX(Inputs!$K$5:$AJ$110,0,MATCH(AH$2,Inputs!$K$4:$AJ$4,0))))+SUMPRODUCT((Inputs!$C$5:$C$110=$B56)*ISNUMBER(INDEX(Inputs!$K$5:$AJ$110,0,MATCH(AH$2,Inputs!$K$4:$AJ$4,0))))+SUMPRODUCT((Inputs!$E$5:$E$110=$B56)*ISNUMBER(INDEX(Inputs!$K$5:$AJ$110,0,MATCH(AH$2,Inputs!$K$4:$AJ$4,0))))=0,NA(),SUMPRODUCT((Inputs!$A$5:$A$110=$B56)*Inputs!$B$5:$B$110*(((Inputs!$G$5:$G$110="moeda")+(Inputs!$G$5:$G$110="acoes"))*Inputs!$B$1+((Inputs!$G$5:$G$110&lt;&gt;"moeda")*(Inputs!$G$5:$G$110&lt;&gt;"acoes")))*INDEX(Inputs!$K$5:$AJ$110,0,MATCH(AH$2,Inputs!$K$4:$AJ$4,0)))+SUMPRODUCT((Inputs!$C$5:$C$110=$B56)*Inputs!$D$5:$D$110*(((Inputs!$G$5:$G$110="moeda")+(Inputs!$G$5:$G$110="acoes"))*Inputs!$B$1+((Inputs!$G$5:$G$110&lt;&gt;"moeda")*(Inputs!$G$5:$G$110&lt;&gt;"acoes")))*INDEX(Inputs!$K$5:$AJ$110,0,MATCH(AH$2,Inputs!$K$4:$AJ$4,0)))+SUMPRODUCT((Inputs!$E$5:$E$110=$B56)*Inputs!$F$5:$F$110*(((Inputs!$G$5:$G$110="moeda")+(Inputs!$G$5:$G$110="acoes"))*Inputs!$B$1+((Inputs!$G$5:$G$110&lt;&gt;"moeda")*(Inputs!$G$5:$G$110&lt;&gt;"acoes")))*INDEX(Inputs!$K$5:$AJ$110,0,MATCH(AH$2,Inputs!$K$4:$AJ$4,0)))))</f>
        <v>58.734</v>
      </c>
      <c r="AI56" s="264">
        <f>IF(ISNA(MATCH(AI$2,Inputs!$K$4:$AJ$4,0)),NA(),IF(SUMPRODUCT((Inputs!$A$5:$A$110=$B56)*ISNUMBER(INDEX(Inputs!$K$5:$AJ$110,0,MATCH(AI$2,Inputs!$K$4:$AJ$4,0))))+SUMPRODUCT((Inputs!$C$5:$C$110=$B56)*ISNUMBER(INDEX(Inputs!$K$5:$AJ$110,0,MATCH(AI$2,Inputs!$K$4:$AJ$4,0))))+SUMPRODUCT((Inputs!$E$5:$E$110=$B56)*ISNUMBER(INDEX(Inputs!$K$5:$AJ$110,0,MATCH(AI$2,Inputs!$K$4:$AJ$4,0))))=0,NA(),SUMPRODUCT((Inputs!$A$5:$A$110=$B56)*Inputs!$B$5:$B$110*(((Inputs!$G$5:$G$110="moeda")+(Inputs!$G$5:$G$110="acoes"))*Inputs!$B$1+((Inputs!$G$5:$G$110&lt;&gt;"moeda")*(Inputs!$G$5:$G$110&lt;&gt;"acoes")))*INDEX(Inputs!$K$5:$AJ$110,0,MATCH(AI$2,Inputs!$K$4:$AJ$4,0)))+SUMPRODUCT((Inputs!$C$5:$C$110=$B56)*Inputs!$D$5:$D$110*(((Inputs!$G$5:$G$110="moeda")+(Inputs!$G$5:$G$110="acoes"))*Inputs!$B$1+((Inputs!$G$5:$G$110&lt;&gt;"moeda")*(Inputs!$G$5:$G$110&lt;&gt;"acoes")))*INDEX(Inputs!$K$5:$AJ$110,0,MATCH(AI$2,Inputs!$K$4:$AJ$4,0)))+SUMPRODUCT((Inputs!$E$5:$E$110=$B56)*Inputs!$F$5:$F$110*(((Inputs!$G$5:$G$110="moeda")+(Inputs!$G$5:$G$110="acoes"))*Inputs!$B$1+((Inputs!$G$5:$G$110&lt;&gt;"moeda")*(Inputs!$G$5:$G$110&lt;&gt;"acoes")))*INDEX(Inputs!$K$5:$AJ$110,0,MATCH(AI$2,Inputs!$K$4:$AJ$4,0)))))</f>
        <v>61.483</v>
      </c>
      <c r="AJ56" s="264">
        <f>IF(ISNA(MATCH(AJ$2,Inputs!$K$4:$AJ$4,0)),NA(),IF(SUMPRODUCT((Inputs!$A$5:$A$110=$B56)*ISNUMBER(INDEX(Inputs!$K$5:$AJ$110,0,MATCH(AJ$2,Inputs!$K$4:$AJ$4,0))))+SUMPRODUCT((Inputs!$C$5:$C$110=$B56)*ISNUMBER(INDEX(Inputs!$K$5:$AJ$110,0,MATCH(AJ$2,Inputs!$K$4:$AJ$4,0))))+SUMPRODUCT((Inputs!$E$5:$E$110=$B56)*ISNUMBER(INDEX(Inputs!$K$5:$AJ$110,0,MATCH(AJ$2,Inputs!$K$4:$AJ$4,0))))=0,NA(),SUMPRODUCT((Inputs!$A$5:$A$110=$B56)*Inputs!$B$5:$B$110*(((Inputs!$G$5:$G$110="moeda")+(Inputs!$G$5:$G$110="acoes"))*Inputs!$B$1+((Inputs!$G$5:$G$110&lt;&gt;"moeda")*(Inputs!$G$5:$G$110&lt;&gt;"acoes")))*INDEX(Inputs!$K$5:$AJ$110,0,MATCH(AJ$2,Inputs!$K$4:$AJ$4,0)))+SUMPRODUCT((Inputs!$C$5:$C$110=$B56)*Inputs!$D$5:$D$110*(((Inputs!$G$5:$G$110="moeda")+(Inputs!$G$5:$G$110="acoes"))*Inputs!$B$1+((Inputs!$G$5:$G$110&lt;&gt;"moeda")*(Inputs!$G$5:$G$110&lt;&gt;"acoes")))*INDEX(Inputs!$K$5:$AJ$110,0,MATCH(AJ$2,Inputs!$K$4:$AJ$4,0)))+SUMPRODUCT((Inputs!$E$5:$E$110=$B56)*Inputs!$F$5:$F$110*(((Inputs!$G$5:$G$110="moeda")+(Inputs!$G$5:$G$110="acoes"))*Inputs!$B$1+((Inputs!$G$5:$G$110&lt;&gt;"moeda")*(Inputs!$G$5:$G$110&lt;&gt;"acoes")))*INDEX(Inputs!$K$5:$AJ$110,0,MATCH(AJ$2,Inputs!$K$4:$AJ$4,0)))))</f>
        <v>62.242</v>
      </c>
      <c r="AK56" s="264">
        <f>IF(ISNA(MATCH(AK$2,Inputs!$K$4:$AJ$4,0)),NA(),IF(SUMPRODUCT((Inputs!$A$5:$A$110=$B56)*ISNUMBER(INDEX(Inputs!$K$5:$AJ$110,0,MATCH(AK$2,Inputs!$K$4:$AJ$4,0))))+SUMPRODUCT((Inputs!$C$5:$C$110=$B56)*ISNUMBER(INDEX(Inputs!$K$5:$AJ$110,0,MATCH(AK$2,Inputs!$K$4:$AJ$4,0))))+SUMPRODUCT((Inputs!$E$5:$E$110=$B56)*ISNUMBER(INDEX(Inputs!$K$5:$AJ$110,0,MATCH(AK$2,Inputs!$K$4:$AJ$4,0))))=0,NA(),SUMPRODUCT((Inputs!$A$5:$A$110=$B56)*Inputs!$B$5:$B$110*(((Inputs!$G$5:$G$110="moeda")+(Inputs!$G$5:$G$110="acoes"))*Inputs!$B$1+((Inputs!$G$5:$G$110&lt;&gt;"moeda")*(Inputs!$G$5:$G$110&lt;&gt;"acoes")))*INDEX(Inputs!$K$5:$AJ$110,0,MATCH(AK$2,Inputs!$K$4:$AJ$4,0)))+SUMPRODUCT((Inputs!$C$5:$C$110=$B56)*Inputs!$D$5:$D$110*(((Inputs!$G$5:$G$110="moeda")+(Inputs!$G$5:$G$110="acoes"))*Inputs!$B$1+((Inputs!$G$5:$G$110&lt;&gt;"moeda")*(Inputs!$G$5:$G$110&lt;&gt;"acoes")))*INDEX(Inputs!$K$5:$AJ$110,0,MATCH(AK$2,Inputs!$K$4:$AJ$4,0)))+SUMPRODUCT((Inputs!$E$5:$E$110=$B56)*Inputs!$F$5:$F$110*(((Inputs!$G$5:$G$110="moeda")+(Inputs!$G$5:$G$110="acoes"))*Inputs!$B$1+((Inputs!$G$5:$G$110&lt;&gt;"moeda")*(Inputs!$G$5:$G$110&lt;&gt;"acoes")))*INDEX(Inputs!$K$5:$AJ$110,0,MATCH(AK$2,Inputs!$K$4:$AJ$4,0)))))</f>
        <v>66.698</v>
      </c>
      <c r="AL56" s="265">
        <f>AK56</f>
        <v>66.698</v>
      </c>
    </row>
    <row r="57">
      <c r="B57" s="46" t="n">
        <v>49</v>
      </c>
      <c r="C57" s="29" t="inlineStr">
        <is>
          <t>Receita streaming América Latina (USD)</t>
        </is>
      </c>
      <c r="D57" s="264">
        <f>IF(ISNA(MATCH(D$2,Inputs!$K$4:$AJ$4,0)),NA(),IF(SUMPRODUCT((Inputs!$A$5:$A$110=$B57)*ISNUMBER(INDEX(Inputs!$K$5:$AJ$110,0,MATCH(D$2,Inputs!$K$4:$AJ$4,0))))+SUMPRODUCT((Inputs!$C$5:$C$110=$B57)*ISNUMBER(INDEX(Inputs!$K$5:$AJ$110,0,MATCH(D$2,Inputs!$K$4:$AJ$4,0))))+SUMPRODUCT((Inputs!$E$5:$E$110=$B57)*ISNUMBER(INDEX(Inputs!$K$5:$AJ$110,0,MATCH(D$2,Inputs!$K$4:$AJ$4,0))))=0,NA(),SUMPRODUCT((Inputs!$A$5:$A$110=$B57)*Inputs!$B$5:$B$110*(((Inputs!$G$5:$G$110="moeda")+(Inputs!$G$5:$G$110="acoes"))*Inputs!$B$1+((Inputs!$G$5:$G$110&lt;&gt;"moeda")*(Inputs!$G$5:$G$110&lt;&gt;"acoes")))*INDEX(Inputs!$K$5:$AJ$110,0,MATCH(D$2,Inputs!$K$4:$AJ$4,0)))+SUMPRODUCT((Inputs!$C$5:$C$110=$B57)*Inputs!$D$5:$D$110*(((Inputs!$G$5:$G$110="moeda")+(Inputs!$G$5:$G$110="acoes"))*Inputs!$B$1+((Inputs!$G$5:$G$110&lt;&gt;"moeda")*(Inputs!$G$5:$G$110&lt;&gt;"acoes")))*INDEX(Inputs!$K$5:$AJ$110,0,MATCH(D$2,Inputs!$K$4:$AJ$4,0)))+SUMPRODUCT((Inputs!$E$5:$E$110=$B57)*Inputs!$F$5:$F$110*(((Inputs!$G$5:$G$110="moeda")+(Inputs!$G$5:$G$110="acoes"))*Inputs!$B$1+((Inputs!$G$5:$G$110&lt;&gt;"moeda")*(Inputs!$G$5:$G$110&lt;&gt;"acoes")))*INDEX(Inputs!$K$5:$AJ$110,0,MATCH(D$2,Inputs!$K$4:$AJ$4,0)))))</f>
        <v>836.647</v>
      </c>
      <c r="E57" s="264">
        <f>IF(ISNA(MATCH(E$2,Inputs!$K$4:$AJ$4,0)),NA(),IF(SUMPRODUCT((Inputs!$A$5:$A$110=$B57)*ISNUMBER(INDEX(Inputs!$K$5:$AJ$110,0,MATCH(E$2,Inputs!$K$4:$AJ$4,0))))+SUMPRODUCT((Inputs!$C$5:$C$110=$B57)*ISNUMBER(INDEX(Inputs!$K$5:$AJ$110,0,MATCH(E$2,Inputs!$K$4:$AJ$4,0))))+SUMPRODUCT((Inputs!$E$5:$E$110=$B57)*ISNUMBER(INDEX(Inputs!$K$5:$AJ$110,0,MATCH(E$2,Inputs!$K$4:$AJ$4,0))))=0,NA(),SUMPRODUCT((Inputs!$A$5:$A$110=$B57)*Inputs!$B$5:$B$110*(((Inputs!$G$5:$G$110="moeda")+(Inputs!$G$5:$G$110="acoes"))*Inputs!$B$1+((Inputs!$G$5:$G$110&lt;&gt;"moeda")*(Inputs!$G$5:$G$110&lt;&gt;"acoes")))*INDEX(Inputs!$K$5:$AJ$110,0,MATCH(E$2,Inputs!$K$4:$AJ$4,0)))+SUMPRODUCT((Inputs!$C$5:$C$110=$B57)*Inputs!$D$5:$D$110*(((Inputs!$G$5:$G$110="moeda")+(Inputs!$G$5:$G$110="acoes"))*Inputs!$B$1+((Inputs!$G$5:$G$110&lt;&gt;"moeda")*(Inputs!$G$5:$G$110&lt;&gt;"acoes")))*INDEX(Inputs!$K$5:$AJ$110,0,MATCH(E$2,Inputs!$K$4:$AJ$4,0)))+SUMPRODUCT((Inputs!$E$5:$E$110=$B57)*Inputs!$F$5:$F$110*(((Inputs!$G$5:$G$110="moeda")+(Inputs!$G$5:$G$110="acoes"))*Inputs!$B$1+((Inputs!$G$5:$G$110&lt;&gt;"moeda")*(Inputs!$G$5:$G$110&lt;&gt;"acoes")))*INDEX(Inputs!$K$5:$AJ$110,0,MATCH(E$2,Inputs!$K$4:$AJ$4,0)))))</f>
        <v>860.882</v>
      </c>
      <c r="F57" s="264">
        <f>IF(ISNA(MATCH(F$2,Inputs!$K$4:$AJ$4,0)),NA(),IF(SUMPRODUCT((Inputs!$A$5:$A$110=$B57)*ISNUMBER(INDEX(Inputs!$K$5:$AJ$110,0,MATCH(F$2,Inputs!$K$4:$AJ$4,0))))+SUMPRODUCT((Inputs!$C$5:$C$110=$B57)*ISNUMBER(INDEX(Inputs!$K$5:$AJ$110,0,MATCH(F$2,Inputs!$K$4:$AJ$4,0))))+SUMPRODUCT((Inputs!$E$5:$E$110=$B57)*ISNUMBER(INDEX(Inputs!$K$5:$AJ$110,0,MATCH(F$2,Inputs!$K$4:$AJ$4,0))))=0,NA(),SUMPRODUCT((Inputs!$A$5:$A$110=$B57)*Inputs!$B$5:$B$110*(((Inputs!$G$5:$G$110="moeda")+(Inputs!$G$5:$G$110="acoes"))*Inputs!$B$1+((Inputs!$G$5:$G$110&lt;&gt;"moeda")*(Inputs!$G$5:$G$110&lt;&gt;"acoes")))*INDEX(Inputs!$K$5:$AJ$110,0,MATCH(F$2,Inputs!$K$4:$AJ$4,0)))+SUMPRODUCT((Inputs!$C$5:$C$110=$B57)*Inputs!$D$5:$D$110*(((Inputs!$G$5:$G$110="moeda")+(Inputs!$G$5:$G$110="acoes"))*Inputs!$B$1+((Inputs!$G$5:$G$110&lt;&gt;"moeda")*(Inputs!$G$5:$G$110&lt;&gt;"acoes")))*INDEX(Inputs!$K$5:$AJ$110,0,MATCH(F$2,Inputs!$K$4:$AJ$4,0)))+SUMPRODUCT((Inputs!$E$5:$E$110=$B57)*Inputs!$F$5:$F$110*(((Inputs!$G$5:$G$110="moeda")+(Inputs!$G$5:$G$110="acoes"))*Inputs!$B$1+((Inputs!$G$5:$G$110&lt;&gt;"moeda")*(Inputs!$G$5:$G$110&lt;&gt;"acoes")))*INDEX(Inputs!$K$5:$AJ$110,0,MATCH(F$2,Inputs!$K$4:$AJ$4,0)))))</f>
        <v>915.297</v>
      </c>
      <c r="G57" s="264">
        <f>IF(ISNA(MATCH(G$2,Inputs!$K$4:$AJ$4,0)),NA(),IF(SUMPRODUCT((Inputs!$A$5:$A$110=$B57)*ISNUMBER(INDEX(Inputs!$K$5:$AJ$110,0,MATCH(G$2,Inputs!$K$4:$AJ$4,0))))+SUMPRODUCT((Inputs!$C$5:$C$110=$B57)*ISNUMBER(INDEX(Inputs!$K$5:$AJ$110,0,MATCH(G$2,Inputs!$K$4:$AJ$4,0))))+SUMPRODUCT((Inputs!$E$5:$E$110=$B57)*ISNUMBER(INDEX(Inputs!$K$5:$AJ$110,0,MATCH(G$2,Inputs!$K$4:$AJ$4,0))))=0,NA(),SUMPRODUCT((Inputs!$A$5:$A$110=$B57)*Inputs!$B$5:$B$110*(((Inputs!$G$5:$G$110="moeda")+(Inputs!$G$5:$G$110="acoes"))*Inputs!$B$1+((Inputs!$G$5:$G$110&lt;&gt;"moeda")*(Inputs!$G$5:$G$110&lt;&gt;"acoes")))*INDEX(Inputs!$K$5:$AJ$110,0,MATCH(G$2,Inputs!$K$4:$AJ$4,0)))+SUMPRODUCT((Inputs!$C$5:$C$110=$B57)*Inputs!$D$5:$D$110*(((Inputs!$G$5:$G$110="moeda")+(Inputs!$G$5:$G$110="acoes"))*Inputs!$B$1+((Inputs!$G$5:$G$110&lt;&gt;"moeda")*(Inputs!$G$5:$G$110&lt;&gt;"acoes")))*INDEX(Inputs!$K$5:$AJ$110,0,MATCH(G$2,Inputs!$K$4:$AJ$4,0)))+SUMPRODUCT((Inputs!$E$5:$E$110=$B57)*Inputs!$F$5:$F$110*(((Inputs!$G$5:$G$110="moeda")+(Inputs!$G$5:$G$110="acoes"))*Inputs!$B$1+((Inputs!$G$5:$G$110&lt;&gt;"moeda")*(Inputs!$G$5:$G$110&lt;&gt;"acoes")))*INDEX(Inputs!$K$5:$AJ$110,0,MATCH(G$2,Inputs!$K$4:$AJ$4,0)))))</f>
        <v>964.15</v>
      </c>
      <c r="H57" s="265">
        <f>SUM(D57:G57)</f>
        <v>3576.976</v>
      </c>
      <c r="I57" s="264">
        <f>IF(ISNA(MATCH(I$2,Inputs!$K$4:$AJ$4,0)),NA(),IF(SUMPRODUCT((Inputs!$A$5:$A$110=$B57)*ISNUMBER(INDEX(Inputs!$K$5:$AJ$110,0,MATCH(I$2,Inputs!$K$4:$AJ$4,0))))+SUMPRODUCT((Inputs!$C$5:$C$110=$B57)*ISNUMBER(INDEX(Inputs!$K$5:$AJ$110,0,MATCH(I$2,Inputs!$K$4:$AJ$4,0))))+SUMPRODUCT((Inputs!$E$5:$E$110=$B57)*ISNUMBER(INDEX(Inputs!$K$5:$AJ$110,0,MATCH(I$2,Inputs!$K$4:$AJ$4,0))))=0,NA(),SUMPRODUCT((Inputs!$A$5:$A$110=$B57)*Inputs!$B$5:$B$110*(((Inputs!$G$5:$G$110="moeda")+(Inputs!$G$5:$G$110="acoes"))*Inputs!$B$1+((Inputs!$G$5:$G$110&lt;&gt;"moeda")*(Inputs!$G$5:$G$110&lt;&gt;"acoes")))*INDEX(Inputs!$K$5:$AJ$110,0,MATCH(I$2,Inputs!$K$4:$AJ$4,0)))+SUMPRODUCT((Inputs!$C$5:$C$110=$B57)*Inputs!$D$5:$D$110*(((Inputs!$G$5:$G$110="moeda")+(Inputs!$G$5:$G$110="acoes"))*Inputs!$B$1+((Inputs!$G$5:$G$110&lt;&gt;"moeda")*(Inputs!$G$5:$G$110&lt;&gt;"acoes")))*INDEX(Inputs!$K$5:$AJ$110,0,MATCH(I$2,Inputs!$K$4:$AJ$4,0)))+SUMPRODUCT((Inputs!$E$5:$E$110=$B57)*Inputs!$F$5:$F$110*(((Inputs!$G$5:$G$110="moeda")+(Inputs!$G$5:$G$110="acoes"))*Inputs!$B$1+((Inputs!$G$5:$G$110&lt;&gt;"moeda")*(Inputs!$G$5:$G$110&lt;&gt;"acoes")))*INDEX(Inputs!$K$5:$AJ$110,0,MATCH(I$2,Inputs!$K$4:$AJ$4,0)))))</f>
        <v>998.948</v>
      </c>
      <c r="J57" s="264">
        <f>IF(ISNA(MATCH(J$2,Inputs!$K$4:$AJ$4,0)),NA(),IF(SUMPRODUCT((Inputs!$A$5:$A$110=$B57)*ISNUMBER(INDEX(Inputs!$K$5:$AJ$110,0,MATCH(J$2,Inputs!$K$4:$AJ$4,0))))+SUMPRODUCT((Inputs!$C$5:$C$110=$B57)*ISNUMBER(INDEX(Inputs!$K$5:$AJ$110,0,MATCH(J$2,Inputs!$K$4:$AJ$4,0))))+SUMPRODUCT((Inputs!$E$5:$E$110=$B57)*ISNUMBER(INDEX(Inputs!$K$5:$AJ$110,0,MATCH(J$2,Inputs!$K$4:$AJ$4,0))))=0,NA(),SUMPRODUCT((Inputs!$A$5:$A$110=$B57)*Inputs!$B$5:$B$110*(((Inputs!$G$5:$G$110="moeda")+(Inputs!$G$5:$G$110="acoes"))*Inputs!$B$1+((Inputs!$G$5:$G$110&lt;&gt;"moeda")*(Inputs!$G$5:$G$110&lt;&gt;"acoes")))*INDEX(Inputs!$K$5:$AJ$110,0,MATCH(J$2,Inputs!$K$4:$AJ$4,0)))+SUMPRODUCT((Inputs!$C$5:$C$110=$B57)*Inputs!$D$5:$D$110*(((Inputs!$G$5:$G$110="moeda")+(Inputs!$G$5:$G$110="acoes"))*Inputs!$B$1+((Inputs!$G$5:$G$110&lt;&gt;"moeda")*(Inputs!$G$5:$G$110&lt;&gt;"acoes")))*INDEX(Inputs!$K$5:$AJ$110,0,MATCH(J$2,Inputs!$K$4:$AJ$4,0)))+SUMPRODUCT((Inputs!$E$5:$E$110=$B57)*Inputs!$F$5:$F$110*(((Inputs!$G$5:$G$110="moeda")+(Inputs!$G$5:$G$110="acoes"))*Inputs!$B$1+((Inputs!$G$5:$G$110&lt;&gt;"moeda")*(Inputs!$G$5:$G$110&lt;&gt;"acoes")))*INDEX(Inputs!$K$5:$AJ$110,0,MATCH(J$2,Inputs!$K$4:$AJ$4,0)))))</f>
        <v>1030.234</v>
      </c>
      <c r="K57" s="264">
        <f>IF(ISNA(MATCH(K$2,Inputs!$K$4:$AJ$4,0)),NA(),IF(SUMPRODUCT((Inputs!$A$5:$A$110=$B57)*ISNUMBER(INDEX(Inputs!$K$5:$AJ$110,0,MATCH(K$2,Inputs!$K$4:$AJ$4,0))))+SUMPRODUCT((Inputs!$C$5:$C$110=$B57)*ISNUMBER(INDEX(Inputs!$K$5:$AJ$110,0,MATCH(K$2,Inputs!$K$4:$AJ$4,0))))+SUMPRODUCT((Inputs!$E$5:$E$110=$B57)*ISNUMBER(INDEX(Inputs!$K$5:$AJ$110,0,MATCH(K$2,Inputs!$K$4:$AJ$4,0))))=0,NA(),SUMPRODUCT((Inputs!$A$5:$A$110=$B57)*Inputs!$B$5:$B$110*(((Inputs!$G$5:$G$110="moeda")+(Inputs!$G$5:$G$110="acoes"))*Inputs!$B$1+((Inputs!$G$5:$G$110&lt;&gt;"moeda")*(Inputs!$G$5:$G$110&lt;&gt;"acoes")))*INDEX(Inputs!$K$5:$AJ$110,0,MATCH(K$2,Inputs!$K$4:$AJ$4,0)))+SUMPRODUCT((Inputs!$C$5:$C$110=$B57)*Inputs!$D$5:$D$110*(((Inputs!$G$5:$G$110="moeda")+(Inputs!$G$5:$G$110="acoes"))*Inputs!$B$1+((Inputs!$G$5:$G$110&lt;&gt;"moeda")*(Inputs!$G$5:$G$110&lt;&gt;"acoes")))*INDEX(Inputs!$K$5:$AJ$110,0,MATCH(K$2,Inputs!$K$4:$AJ$4,0)))+SUMPRODUCT((Inputs!$E$5:$E$110=$B57)*Inputs!$F$5:$F$110*(((Inputs!$G$5:$G$110="moeda")+(Inputs!$G$5:$G$110="acoes"))*Inputs!$B$1+((Inputs!$G$5:$G$110&lt;&gt;"moeda")*(Inputs!$G$5:$G$110&lt;&gt;"acoes")))*INDEX(Inputs!$K$5:$AJ$110,0,MATCH(K$2,Inputs!$K$4:$AJ$4,0)))))</f>
        <v>1023.945</v>
      </c>
      <c r="L57" s="264">
        <f>IF(ISNA(MATCH(L$2,Inputs!$K$4:$AJ$4,0)),NA(),IF(SUMPRODUCT((Inputs!$A$5:$A$110=$B57)*ISNUMBER(INDEX(Inputs!$K$5:$AJ$110,0,MATCH(L$2,Inputs!$K$4:$AJ$4,0))))+SUMPRODUCT((Inputs!$C$5:$C$110=$B57)*ISNUMBER(INDEX(Inputs!$K$5:$AJ$110,0,MATCH(L$2,Inputs!$K$4:$AJ$4,0))))+SUMPRODUCT((Inputs!$E$5:$E$110=$B57)*ISNUMBER(INDEX(Inputs!$K$5:$AJ$110,0,MATCH(L$2,Inputs!$K$4:$AJ$4,0))))=0,NA(),SUMPRODUCT((Inputs!$A$5:$A$110=$B57)*Inputs!$B$5:$B$110*(((Inputs!$G$5:$G$110="moeda")+(Inputs!$G$5:$G$110="acoes"))*Inputs!$B$1+((Inputs!$G$5:$G$110&lt;&gt;"moeda")*(Inputs!$G$5:$G$110&lt;&gt;"acoes")))*INDEX(Inputs!$K$5:$AJ$110,0,MATCH(L$2,Inputs!$K$4:$AJ$4,0)))+SUMPRODUCT((Inputs!$C$5:$C$110=$B57)*Inputs!$D$5:$D$110*(((Inputs!$G$5:$G$110="moeda")+(Inputs!$G$5:$G$110="acoes"))*Inputs!$B$1+((Inputs!$G$5:$G$110&lt;&gt;"moeda")*(Inputs!$G$5:$G$110&lt;&gt;"acoes")))*INDEX(Inputs!$K$5:$AJ$110,0,MATCH(L$2,Inputs!$K$4:$AJ$4,0)))+SUMPRODUCT((Inputs!$E$5:$E$110=$B57)*Inputs!$F$5:$F$110*(((Inputs!$G$5:$G$110="moeda")+(Inputs!$G$5:$G$110="acoes"))*Inputs!$B$1+((Inputs!$G$5:$G$110&lt;&gt;"moeda")*(Inputs!$G$5:$G$110&lt;&gt;"acoes")))*INDEX(Inputs!$K$5:$AJ$110,0,MATCH(L$2,Inputs!$K$4:$AJ$4,0)))))</f>
        <v>1016.846</v>
      </c>
      <c r="M57" s="265">
        <f>SUM(I57:L57)</f>
        <v>4069.973</v>
      </c>
      <c r="N57" s="264">
        <f>IF(ISNA(MATCH(N$2,Inputs!$K$4:$AJ$4,0)),NA(),IF(SUMPRODUCT((Inputs!$A$5:$A$110=$B57)*ISNUMBER(INDEX(Inputs!$K$5:$AJ$110,0,MATCH(N$2,Inputs!$K$4:$AJ$4,0))))+SUMPRODUCT((Inputs!$C$5:$C$110=$B57)*ISNUMBER(INDEX(Inputs!$K$5:$AJ$110,0,MATCH(N$2,Inputs!$K$4:$AJ$4,0))))+SUMPRODUCT((Inputs!$E$5:$E$110=$B57)*ISNUMBER(INDEX(Inputs!$K$5:$AJ$110,0,MATCH(N$2,Inputs!$K$4:$AJ$4,0))))=0,NA(),SUMPRODUCT((Inputs!$A$5:$A$110=$B57)*Inputs!$B$5:$B$110*(((Inputs!$G$5:$G$110="moeda")+(Inputs!$G$5:$G$110="acoes"))*Inputs!$B$1+((Inputs!$G$5:$G$110&lt;&gt;"moeda")*(Inputs!$G$5:$G$110&lt;&gt;"acoes")))*INDEX(Inputs!$K$5:$AJ$110,0,MATCH(N$2,Inputs!$K$4:$AJ$4,0)))+SUMPRODUCT((Inputs!$C$5:$C$110=$B57)*Inputs!$D$5:$D$110*(((Inputs!$G$5:$G$110="moeda")+(Inputs!$G$5:$G$110="acoes"))*Inputs!$B$1+((Inputs!$G$5:$G$110&lt;&gt;"moeda")*(Inputs!$G$5:$G$110&lt;&gt;"acoes")))*INDEX(Inputs!$K$5:$AJ$110,0,MATCH(N$2,Inputs!$K$4:$AJ$4,0)))+SUMPRODUCT((Inputs!$E$5:$E$110=$B57)*Inputs!$F$5:$F$110*(((Inputs!$G$5:$G$110="moeda")+(Inputs!$G$5:$G$110="acoes"))*Inputs!$B$1+((Inputs!$G$5:$G$110&lt;&gt;"moeda")*(Inputs!$G$5:$G$110&lt;&gt;"acoes")))*INDEX(Inputs!$K$5:$AJ$110,0,MATCH(N$2,Inputs!$K$4:$AJ$4,0)))))</f>
        <v>1070.192</v>
      </c>
      <c r="O57" s="264">
        <f>IF(ISNA(MATCH(O$2,Inputs!$K$4:$AJ$4,0)),NA(),IF(SUMPRODUCT((Inputs!$A$5:$A$110=$B57)*ISNUMBER(INDEX(Inputs!$K$5:$AJ$110,0,MATCH(O$2,Inputs!$K$4:$AJ$4,0))))+SUMPRODUCT((Inputs!$C$5:$C$110=$B57)*ISNUMBER(INDEX(Inputs!$K$5:$AJ$110,0,MATCH(O$2,Inputs!$K$4:$AJ$4,0))))+SUMPRODUCT((Inputs!$E$5:$E$110=$B57)*ISNUMBER(INDEX(Inputs!$K$5:$AJ$110,0,MATCH(O$2,Inputs!$K$4:$AJ$4,0))))=0,NA(),SUMPRODUCT((Inputs!$A$5:$A$110=$B57)*Inputs!$B$5:$B$110*(((Inputs!$G$5:$G$110="moeda")+(Inputs!$G$5:$G$110="acoes"))*Inputs!$B$1+((Inputs!$G$5:$G$110&lt;&gt;"moeda")*(Inputs!$G$5:$G$110&lt;&gt;"acoes")))*INDEX(Inputs!$K$5:$AJ$110,0,MATCH(O$2,Inputs!$K$4:$AJ$4,0)))+SUMPRODUCT((Inputs!$C$5:$C$110=$B57)*Inputs!$D$5:$D$110*(((Inputs!$G$5:$G$110="moeda")+(Inputs!$G$5:$G$110="acoes"))*Inputs!$B$1+((Inputs!$G$5:$G$110&lt;&gt;"moeda")*(Inputs!$G$5:$G$110&lt;&gt;"acoes")))*INDEX(Inputs!$K$5:$AJ$110,0,MATCH(O$2,Inputs!$K$4:$AJ$4,0)))+SUMPRODUCT((Inputs!$E$5:$E$110=$B57)*Inputs!$F$5:$F$110*(((Inputs!$G$5:$G$110="moeda")+(Inputs!$G$5:$G$110="acoes"))*Inputs!$B$1+((Inputs!$G$5:$G$110&lt;&gt;"moeda")*(Inputs!$G$5:$G$110&lt;&gt;"acoes")))*INDEX(Inputs!$K$5:$AJ$110,0,MATCH(O$2,Inputs!$K$4:$AJ$4,0)))))</f>
        <v>1077.435</v>
      </c>
      <c r="P57" s="264">
        <f>IF(ISNA(MATCH(P$2,Inputs!$K$4:$AJ$4,0)),NA(),IF(SUMPRODUCT((Inputs!$A$5:$A$110=$B57)*ISNUMBER(INDEX(Inputs!$K$5:$AJ$110,0,MATCH(P$2,Inputs!$K$4:$AJ$4,0))))+SUMPRODUCT((Inputs!$C$5:$C$110=$B57)*ISNUMBER(INDEX(Inputs!$K$5:$AJ$110,0,MATCH(P$2,Inputs!$K$4:$AJ$4,0))))+SUMPRODUCT((Inputs!$E$5:$E$110=$B57)*ISNUMBER(INDEX(Inputs!$K$5:$AJ$110,0,MATCH(P$2,Inputs!$K$4:$AJ$4,0))))=0,NA(),SUMPRODUCT((Inputs!$A$5:$A$110=$B57)*Inputs!$B$5:$B$110*(((Inputs!$G$5:$G$110="moeda")+(Inputs!$G$5:$G$110="acoes"))*Inputs!$B$1+((Inputs!$G$5:$G$110&lt;&gt;"moeda")*(Inputs!$G$5:$G$110&lt;&gt;"acoes")))*INDEX(Inputs!$K$5:$AJ$110,0,MATCH(P$2,Inputs!$K$4:$AJ$4,0)))+SUMPRODUCT((Inputs!$C$5:$C$110=$B57)*Inputs!$D$5:$D$110*(((Inputs!$G$5:$G$110="moeda")+(Inputs!$G$5:$G$110="acoes"))*Inputs!$B$1+((Inputs!$G$5:$G$110&lt;&gt;"moeda")*(Inputs!$G$5:$G$110&lt;&gt;"acoes")))*INDEX(Inputs!$K$5:$AJ$110,0,MATCH(P$2,Inputs!$K$4:$AJ$4,0)))+SUMPRODUCT((Inputs!$E$5:$E$110=$B57)*Inputs!$F$5:$F$110*(((Inputs!$G$5:$G$110="moeda")+(Inputs!$G$5:$G$110="acoes"))*Inputs!$B$1+((Inputs!$G$5:$G$110&lt;&gt;"moeda")*(Inputs!$G$5:$G$110&lt;&gt;"acoes")))*INDEX(Inputs!$K$5:$AJ$110,0,MATCH(P$2,Inputs!$K$4:$AJ$4,0)))))</f>
        <v>1142.811</v>
      </c>
      <c r="Q57" s="264">
        <f>IF(ISNA(MATCH(Q$2,Inputs!$K$4:$AJ$4,0)),NA(),IF(SUMPRODUCT((Inputs!$A$5:$A$110=$B57)*ISNUMBER(INDEX(Inputs!$K$5:$AJ$110,0,MATCH(Q$2,Inputs!$K$4:$AJ$4,0))))+SUMPRODUCT((Inputs!$C$5:$C$110=$B57)*ISNUMBER(INDEX(Inputs!$K$5:$AJ$110,0,MATCH(Q$2,Inputs!$K$4:$AJ$4,0))))+SUMPRODUCT((Inputs!$E$5:$E$110=$B57)*ISNUMBER(INDEX(Inputs!$K$5:$AJ$110,0,MATCH(Q$2,Inputs!$K$4:$AJ$4,0))))=0,NA(),SUMPRODUCT((Inputs!$A$5:$A$110=$B57)*Inputs!$B$5:$B$110*(((Inputs!$G$5:$G$110="moeda")+(Inputs!$G$5:$G$110="acoes"))*Inputs!$B$1+((Inputs!$G$5:$G$110&lt;&gt;"moeda")*(Inputs!$G$5:$G$110&lt;&gt;"acoes")))*INDEX(Inputs!$K$5:$AJ$110,0,MATCH(Q$2,Inputs!$K$4:$AJ$4,0)))+SUMPRODUCT((Inputs!$C$5:$C$110=$B57)*Inputs!$D$5:$D$110*(((Inputs!$G$5:$G$110="moeda")+(Inputs!$G$5:$G$110="acoes"))*Inputs!$B$1+((Inputs!$G$5:$G$110&lt;&gt;"moeda")*(Inputs!$G$5:$G$110&lt;&gt;"acoes")))*INDEX(Inputs!$K$5:$AJ$110,0,MATCH(Q$2,Inputs!$K$4:$AJ$4,0)))+SUMPRODUCT((Inputs!$E$5:$E$110=$B57)*Inputs!$F$5:$F$110*(((Inputs!$G$5:$G$110="moeda")+(Inputs!$G$5:$G$110="acoes"))*Inputs!$B$1+((Inputs!$G$5:$G$110&lt;&gt;"moeda")*(Inputs!$G$5:$G$110&lt;&gt;"acoes")))*INDEX(Inputs!$K$5:$AJ$110,0,MATCH(Q$2,Inputs!$K$4:$AJ$4,0)))))</f>
        <v>1156.023</v>
      </c>
      <c r="R57" s="265">
        <f>SUM(N57:Q57)</f>
        <v>4446.461</v>
      </c>
      <c r="S57" s="264">
        <f>IF(ISNA(MATCH(S$2,Inputs!$K$4:$AJ$4,0)),NA(),IF(SUMPRODUCT((Inputs!$A$5:$A$110=$B57)*ISNUMBER(INDEX(Inputs!$K$5:$AJ$110,0,MATCH(S$2,Inputs!$K$4:$AJ$4,0))))+SUMPRODUCT((Inputs!$C$5:$C$110=$B57)*ISNUMBER(INDEX(Inputs!$K$5:$AJ$110,0,MATCH(S$2,Inputs!$K$4:$AJ$4,0))))+SUMPRODUCT((Inputs!$E$5:$E$110=$B57)*ISNUMBER(INDEX(Inputs!$K$5:$AJ$110,0,MATCH(S$2,Inputs!$K$4:$AJ$4,0))))=0,NA(),SUMPRODUCT((Inputs!$A$5:$A$110=$B57)*Inputs!$B$5:$B$110*(((Inputs!$G$5:$G$110="moeda")+(Inputs!$G$5:$G$110="acoes"))*Inputs!$B$1+((Inputs!$G$5:$G$110&lt;&gt;"moeda")*(Inputs!$G$5:$G$110&lt;&gt;"acoes")))*INDEX(Inputs!$K$5:$AJ$110,0,MATCH(S$2,Inputs!$K$4:$AJ$4,0)))+SUMPRODUCT((Inputs!$C$5:$C$110=$B57)*Inputs!$D$5:$D$110*(((Inputs!$G$5:$G$110="moeda")+(Inputs!$G$5:$G$110="acoes"))*Inputs!$B$1+((Inputs!$G$5:$G$110&lt;&gt;"moeda")*(Inputs!$G$5:$G$110&lt;&gt;"acoes")))*INDEX(Inputs!$K$5:$AJ$110,0,MATCH(S$2,Inputs!$K$4:$AJ$4,0)))+SUMPRODUCT((Inputs!$E$5:$E$110=$B57)*Inputs!$F$5:$F$110*(((Inputs!$G$5:$G$110="moeda")+(Inputs!$G$5:$G$110="acoes"))*Inputs!$B$1+((Inputs!$G$5:$G$110&lt;&gt;"moeda")*(Inputs!$G$5:$G$110&lt;&gt;"acoes")))*INDEX(Inputs!$K$5:$AJ$110,0,MATCH(S$2,Inputs!$K$4:$AJ$4,0)))))</f>
        <v>1165.008</v>
      </c>
      <c r="T57" s="264">
        <f>IF(ISNA(MATCH(T$2,Inputs!$K$4:$AJ$4,0)),NA(),IF(SUMPRODUCT((Inputs!$A$5:$A$110=$B57)*ISNUMBER(INDEX(Inputs!$K$5:$AJ$110,0,MATCH(T$2,Inputs!$K$4:$AJ$4,0))))+SUMPRODUCT((Inputs!$C$5:$C$110=$B57)*ISNUMBER(INDEX(Inputs!$K$5:$AJ$110,0,MATCH(T$2,Inputs!$K$4:$AJ$4,0))))+SUMPRODUCT((Inputs!$E$5:$E$110=$B57)*ISNUMBER(INDEX(Inputs!$K$5:$AJ$110,0,MATCH(T$2,Inputs!$K$4:$AJ$4,0))))=0,NA(),SUMPRODUCT((Inputs!$A$5:$A$110=$B57)*Inputs!$B$5:$B$110*(((Inputs!$G$5:$G$110="moeda")+(Inputs!$G$5:$G$110="acoes"))*Inputs!$B$1+((Inputs!$G$5:$G$110&lt;&gt;"moeda")*(Inputs!$G$5:$G$110&lt;&gt;"acoes")))*INDEX(Inputs!$K$5:$AJ$110,0,MATCH(T$2,Inputs!$K$4:$AJ$4,0)))+SUMPRODUCT((Inputs!$C$5:$C$110=$B57)*Inputs!$D$5:$D$110*(((Inputs!$G$5:$G$110="moeda")+(Inputs!$G$5:$G$110="acoes"))*Inputs!$B$1+((Inputs!$G$5:$G$110&lt;&gt;"moeda")*(Inputs!$G$5:$G$110&lt;&gt;"acoes")))*INDEX(Inputs!$K$5:$AJ$110,0,MATCH(T$2,Inputs!$K$4:$AJ$4,0)))+SUMPRODUCT((Inputs!$E$5:$E$110=$B57)*Inputs!$F$5:$F$110*(((Inputs!$G$5:$G$110="moeda")+(Inputs!$G$5:$G$110="acoes"))*Inputs!$B$1+((Inputs!$G$5:$G$110&lt;&gt;"moeda")*(Inputs!$G$5:$G$110&lt;&gt;"acoes")))*INDEX(Inputs!$K$5:$AJ$110,0,MATCH(T$2,Inputs!$K$4:$AJ$4,0)))))</f>
        <v>1204.145</v>
      </c>
      <c r="U57" s="264">
        <f>IF(ISNA(MATCH(U$2,Inputs!$K$4:$AJ$4,0)),NA(),IF(SUMPRODUCT((Inputs!$A$5:$A$110=$B57)*ISNUMBER(INDEX(Inputs!$K$5:$AJ$110,0,MATCH(U$2,Inputs!$K$4:$AJ$4,0))))+SUMPRODUCT((Inputs!$C$5:$C$110=$B57)*ISNUMBER(INDEX(Inputs!$K$5:$AJ$110,0,MATCH(U$2,Inputs!$K$4:$AJ$4,0))))+SUMPRODUCT((Inputs!$E$5:$E$110=$B57)*ISNUMBER(INDEX(Inputs!$K$5:$AJ$110,0,MATCH(U$2,Inputs!$K$4:$AJ$4,0))))=0,NA(),SUMPRODUCT((Inputs!$A$5:$A$110=$B57)*Inputs!$B$5:$B$110*(((Inputs!$G$5:$G$110="moeda")+(Inputs!$G$5:$G$110="acoes"))*Inputs!$B$1+((Inputs!$G$5:$G$110&lt;&gt;"moeda")*(Inputs!$G$5:$G$110&lt;&gt;"acoes")))*INDEX(Inputs!$K$5:$AJ$110,0,MATCH(U$2,Inputs!$K$4:$AJ$4,0)))+SUMPRODUCT((Inputs!$C$5:$C$110=$B57)*Inputs!$D$5:$D$110*(((Inputs!$G$5:$G$110="moeda")+(Inputs!$G$5:$G$110="acoes"))*Inputs!$B$1+((Inputs!$G$5:$G$110&lt;&gt;"moeda")*(Inputs!$G$5:$G$110&lt;&gt;"acoes")))*INDEX(Inputs!$K$5:$AJ$110,0,MATCH(U$2,Inputs!$K$4:$AJ$4,0)))+SUMPRODUCT((Inputs!$E$5:$E$110=$B57)*Inputs!$F$5:$F$110*(((Inputs!$G$5:$G$110="moeda")+(Inputs!$G$5:$G$110="acoes"))*Inputs!$B$1+((Inputs!$G$5:$G$110&lt;&gt;"moeda")*(Inputs!$G$5:$G$110&lt;&gt;"acoes")))*INDEX(Inputs!$K$5:$AJ$110,0,MATCH(U$2,Inputs!$K$4:$AJ$4,0)))))</f>
        <v>1240.892</v>
      </c>
      <c r="V57" s="264">
        <f>IF(ISNA(MATCH(V$2,Inputs!$K$4:$AJ$4,0)),NA(),IF(SUMPRODUCT((Inputs!$A$5:$A$110=$B57)*ISNUMBER(INDEX(Inputs!$K$5:$AJ$110,0,MATCH(V$2,Inputs!$K$4:$AJ$4,0))))+SUMPRODUCT((Inputs!$C$5:$C$110=$B57)*ISNUMBER(INDEX(Inputs!$K$5:$AJ$110,0,MATCH(V$2,Inputs!$K$4:$AJ$4,0))))+SUMPRODUCT((Inputs!$E$5:$E$110=$B57)*ISNUMBER(INDEX(Inputs!$K$5:$AJ$110,0,MATCH(V$2,Inputs!$K$4:$AJ$4,0))))=0,NA(),SUMPRODUCT((Inputs!$A$5:$A$110=$B57)*Inputs!$B$5:$B$110*(((Inputs!$G$5:$G$110="moeda")+(Inputs!$G$5:$G$110="acoes"))*Inputs!$B$1+((Inputs!$G$5:$G$110&lt;&gt;"moeda")*(Inputs!$G$5:$G$110&lt;&gt;"acoes")))*INDEX(Inputs!$K$5:$AJ$110,0,MATCH(V$2,Inputs!$K$4:$AJ$4,0)))+SUMPRODUCT((Inputs!$C$5:$C$110=$B57)*Inputs!$D$5:$D$110*(((Inputs!$G$5:$G$110="moeda")+(Inputs!$G$5:$G$110="acoes"))*Inputs!$B$1+((Inputs!$G$5:$G$110&lt;&gt;"moeda")*(Inputs!$G$5:$G$110&lt;&gt;"acoes")))*INDEX(Inputs!$K$5:$AJ$110,0,MATCH(V$2,Inputs!$K$4:$AJ$4,0)))+SUMPRODUCT((Inputs!$E$5:$E$110=$B57)*Inputs!$F$5:$F$110*(((Inputs!$G$5:$G$110="moeda")+(Inputs!$G$5:$G$110="acoes"))*Inputs!$B$1+((Inputs!$G$5:$G$110&lt;&gt;"moeda")*(Inputs!$G$5:$G$110&lt;&gt;"acoes")))*INDEX(Inputs!$K$5:$AJ$110,0,MATCH(V$2,Inputs!$K$4:$AJ$4,0)))))</f>
        <v>1229.771</v>
      </c>
      <c r="W57" s="265">
        <f>SUM(S57:V57)</f>
        <v>4839.816</v>
      </c>
      <c r="X57" s="264">
        <f>IF(ISNA(MATCH(X$2,Inputs!$K$4:$AJ$4,0)),NA(),IF(SUMPRODUCT((Inputs!$A$5:$A$110=$B57)*ISNUMBER(INDEX(Inputs!$K$5:$AJ$110,0,MATCH(X$2,Inputs!$K$4:$AJ$4,0))))+SUMPRODUCT((Inputs!$C$5:$C$110=$B57)*ISNUMBER(INDEX(Inputs!$K$5:$AJ$110,0,MATCH(X$2,Inputs!$K$4:$AJ$4,0))))+SUMPRODUCT((Inputs!$E$5:$E$110=$B57)*ISNUMBER(INDEX(Inputs!$K$5:$AJ$110,0,MATCH(X$2,Inputs!$K$4:$AJ$4,0))))=0,NA(),SUMPRODUCT((Inputs!$A$5:$A$110=$B57)*Inputs!$B$5:$B$110*(((Inputs!$G$5:$G$110="moeda")+(Inputs!$G$5:$G$110="acoes"))*Inputs!$B$1+((Inputs!$G$5:$G$110&lt;&gt;"moeda")*(Inputs!$G$5:$G$110&lt;&gt;"acoes")))*INDEX(Inputs!$K$5:$AJ$110,0,MATCH(X$2,Inputs!$K$4:$AJ$4,0)))+SUMPRODUCT((Inputs!$C$5:$C$110=$B57)*Inputs!$D$5:$D$110*(((Inputs!$G$5:$G$110="moeda")+(Inputs!$G$5:$G$110="acoes"))*Inputs!$B$1+((Inputs!$G$5:$G$110&lt;&gt;"moeda")*(Inputs!$G$5:$G$110&lt;&gt;"acoes")))*INDEX(Inputs!$K$5:$AJ$110,0,MATCH(X$2,Inputs!$K$4:$AJ$4,0)))+SUMPRODUCT((Inputs!$E$5:$E$110=$B57)*Inputs!$F$5:$F$110*(((Inputs!$G$5:$G$110="moeda")+(Inputs!$G$5:$G$110="acoes"))*Inputs!$B$1+((Inputs!$G$5:$G$110&lt;&gt;"moeda")*(Inputs!$G$5:$G$110&lt;&gt;"acoes")))*INDEX(Inputs!$K$5:$AJ$110,0,MATCH(X$2,Inputs!$K$4:$AJ$4,0)))))</f>
        <v>1261.934</v>
      </c>
      <c r="Y57" s="264">
        <f>IF(ISNA(MATCH(Y$2,Inputs!$K$4:$AJ$4,0)),NA(),IF(SUMPRODUCT((Inputs!$A$5:$A$110=$B57)*ISNUMBER(INDEX(Inputs!$K$5:$AJ$110,0,MATCH(Y$2,Inputs!$K$4:$AJ$4,0))))+SUMPRODUCT((Inputs!$C$5:$C$110=$B57)*ISNUMBER(INDEX(Inputs!$K$5:$AJ$110,0,MATCH(Y$2,Inputs!$K$4:$AJ$4,0))))+SUMPRODUCT((Inputs!$E$5:$E$110=$B57)*ISNUMBER(INDEX(Inputs!$K$5:$AJ$110,0,MATCH(Y$2,Inputs!$K$4:$AJ$4,0))))=0,NA(),SUMPRODUCT((Inputs!$A$5:$A$110=$B57)*Inputs!$B$5:$B$110*(((Inputs!$G$5:$G$110="moeda")+(Inputs!$G$5:$G$110="acoes"))*Inputs!$B$1+((Inputs!$G$5:$G$110&lt;&gt;"moeda")*(Inputs!$G$5:$G$110&lt;&gt;"acoes")))*INDEX(Inputs!$K$5:$AJ$110,0,MATCH(Y$2,Inputs!$K$4:$AJ$4,0)))+SUMPRODUCT((Inputs!$C$5:$C$110=$B57)*Inputs!$D$5:$D$110*(((Inputs!$G$5:$G$110="moeda")+(Inputs!$G$5:$G$110="acoes"))*Inputs!$B$1+((Inputs!$G$5:$G$110&lt;&gt;"moeda")*(Inputs!$G$5:$G$110&lt;&gt;"acoes")))*INDEX(Inputs!$K$5:$AJ$110,0,MATCH(Y$2,Inputs!$K$4:$AJ$4,0)))+SUMPRODUCT((Inputs!$E$5:$E$110=$B57)*Inputs!$F$5:$F$110*(((Inputs!$G$5:$G$110="moeda")+(Inputs!$G$5:$G$110="acoes"))*Inputs!$B$1+((Inputs!$G$5:$G$110&lt;&gt;"moeda")*(Inputs!$G$5:$G$110&lt;&gt;"acoes")))*INDEX(Inputs!$K$5:$AJ$110,0,MATCH(Y$2,Inputs!$K$4:$AJ$4,0)))))</f>
        <v>1306.735</v>
      </c>
      <c r="Z57" s="264">
        <f>IF(ISNA(MATCH(Z$2,Inputs!$K$4:$AJ$4,0)),NA(),IF(SUMPRODUCT((Inputs!$A$5:$A$110=$B57)*ISNUMBER(INDEX(Inputs!$K$5:$AJ$110,0,MATCH(Z$2,Inputs!$K$4:$AJ$4,0))))+SUMPRODUCT((Inputs!$C$5:$C$110=$B57)*ISNUMBER(INDEX(Inputs!$K$5:$AJ$110,0,MATCH(Z$2,Inputs!$K$4:$AJ$4,0))))+SUMPRODUCT((Inputs!$E$5:$E$110=$B57)*ISNUMBER(INDEX(Inputs!$K$5:$AJ$110,0,MATCH(Z$2,Inputs!$K$4:$AJ$4,0))))=0,NA(),SUMPRODUCT((Inputs!$A$5:$A$110=$B57)*Inputs!$B$5:$B$110*(((Inputs!$G$5:$G$110="moeda")+(Inputs!$G$5:$G$110="acoes"))*Inputs!$B$1+((Inputs!$G$5:$G$110&lt;&gt;"moeda")*(Inputs!$G$5:$G$110&lt;&gt;"acoes")))*INDEX(Inputs!$K$5:$AJ$110,0,MATCH(Z$2,Inputs!$K$4:$AJ$4,0)))+SUMPRODUCT((Inputs!$C$5:$C$110=$B57)*Inputs!$D$5:$D$110*(((Inputs!$G$5:$G$110="moeda")+(Inputs!$G$5:$G$110="acoes"))*Inputs!$B$1+((Inputs!$G$5:$G$110&lt;&gt;"moeda")*(Inputs!$G$5:$G$110&lt;&gt;"acoes")))*INDEX(Inputs!$K$5:$AJ$110,0,MATCH(Z$2,Inputs!$K$4:$AJ$4,0)))+SUMPRODUCT((Inputs!$E$5:$E$110=$B57)*Inputs!$F$5:$F$110*(((Inputs!$G$5:$G$110="moeda")+(Inputs!$G$5:$G$110="acoes"))*Inputs!$B$1+((Inputs!$G$5:$G$110&lt;&gt;"moeda")*(Inputs!$G$5:$G$110&lt;&gt;"acoes")))*INDEX(Inputs!$K$5:$AJ$110,0,MATCH(Z$2,Inputs!$K$4:$AJ$4,0)))))</f>
        <v>1370.913</v>
      </c>
      <c r="AA57" s="264">
        <f>IF(ISNA(MATCH(AA$2,Inputs!$K$4:$AJ$4,0)),NA(),IF(SUMPRODUCT((Inputs!$A$5:$A$110=$B57)*ISNUMBER(INDEX(Inputs!$K$5:$AJ$110,0,MATCH(AA$2,Inputs!$K$4:$AJ$4,0))))+SUMPRODUCT((Inputs!$C$5:$C$110=$B57)*ISNUMBER(INDEX(Inputs!$K$5:$AJ$110,0,MATCH(AA$2,Inputs!$K$4:$AJ$4,0))))+SUMPRODUCT((Inputs!$E$5:$E$110=$B57)*ISNUMBER(INDEX(Inputs!$K$5:$AJ$110,0,MATCH(AA$2,Inputs!$K$4:$AJ$4,0))))=0,NA(),SUMPRODUCT((Inputs!$A$5:$A$110=$B57)*Inputs!$B$5:$B$110*(((Inputs!$G$5:$G$110="moeda")+(Inputs!$G$5:$G$110="acoes"))*Inputs!$B$1+((Inputs!$G$5:$G$110&lt;&gt;"moeda")*(Inputs!$G$5:$G$110&lt;&gt;"acoes")))*INDEX(Inputs!$K$5:$AJ$110,0,MATCH(AA$2,Inputs!$K$4:$AJ$4,0)))+SUMPRODUCT((Inputs!$C$5:$C$110=$B57)*Inputs!$D$5:$D$110*(((Inputs!$G$5:$G$110="moeda")+(Inputs!$G$5:$G$110="acoes"))*Inputs!$B$1+((Inputs!$G$5:$G$110&lt;&gt;"moeda")*(Inputs!$G$5:$G$110&lt;&gt;"acoes")))*INDEX(Inputs!$K$5:$AJ$110,0,MATCH(AA$2,Inputs!$K$4:$AJ$4,0)))+SUMPRODUCT((Inputs!$E$5:$E$110=$B57)*Inputs!$F$5:$F$110*(((Inputs!$G$5:$G$110="moeda")+(Inputs!$G$5:$G$110="acoes"))*Inputs!$B$1+((Inputs!$G$5:$G$110&lt;&gt;"moeda")*(Inputs!$G$5:$G$110&lt;&gt;"acoes")))*INDEX(Inputs!$K$5:$AJ$110,0,MATCH(AA$2,Inputs!$K$4:$AJ$4,0)))))</f>
        <v>1417.939</v>
      </c>
      <c r="AB57" s="265">
        <f>SUM(X57:AA57)</f>
        <v>5357.521</v>
      </c>
      <c r="AC57" s="264">
        <f>IF(ISNA(MATCH(AC$2,Inputs!$K$4:$AJ$4,0)),NA(),IF(SUMPRODUCT((Inputs!$A$5:$A$110=$B57)*ISNUMBER(INDEX(Inputs!$K$5:$AJ$110,0,MATCH(AC$2,Inputs!$K$4:$AJ$4,0))))+SUMPRODUCT((Inputs!$C$5:$C$110=$B57)*ISNUMBER(INDEX(Inputs!$K$5:$AJ$110,0,MATCH(AC$2,Inputs!$K$4:$AJ$4,0))))+SUMPRODUCT((Inputs!$E$5:$E$110=$B57)*ISNUMBER(INDEX(Inputs!$K$5:$AJ$110,0,MATCH(AC$2,Inputs!$K$4:$AJ$4,0))))=0,NA(),SUMPRODUCT((Inputs!$A$5:$A$110=$B57)*Inputs!$B$5:$B$110*(((Inputs!$G$5:$G$110="moeda")+(Inputs!$G$5:$G$110="acoes"))*Inputs!$B$1+((Inputs!$G$5:$G$110&lt;&gt;"moeda")*(Inputs!$G$5:$G$110&lt;&gt;"acoes")))*INDEX(Inputs!$K$5:$AJ$110,0,MATCH(AC$2,Inputs!$K$4:$AJ$4,0)))+SUMPRODUCT((Inputs!$C$5:$C$110=$B57)*Inputs!$D$5:$D$110*(((Inputs!$G$5:$G$110="moeda")+(Inputs!$G$5:$G$110="acoes"))*Inputs!$B$1+((Inputs!$G$5:$G$110&lt;&gt;"moeda")*(Inputs!$G$5:$G$110&lt;&gt;"acoes")))*INDEX(Inputs!$K$5:$AJ$110,0,MATCH(AC$2,Inputs!$K$4:$AJ$4,0)))+SUMPRODUCT((Inputs!$E$5:$E$110=$B57)*Inputs!$F$5:$F$110*(((Inputs!$G$5:$G$110="moeda")+(Inputs!$G$5:$G$110="acoes"))*Inputs!$B$1+((Inputs!$G$5:$G$110&lt;&gt;"moeda")*(Inputs!$G$5:$G$110&lt;&gt;"acoes")))*INDEX(Inputs!$K$5:$AJ$110,0,MATCH(AC$2,Inputs!$K$4:$AJ$4,0)))))</f>
        <v>1497.058</v>
      </c>
      <c r="AD57" s="264">
        <f>IF(ISNA(MATCH(AD$2,Inputs!$K$4:$AJ$4,0)),NA(),IF(SUMPRODUCT((Inputs!$A$5:$A$110=$B57)*ISNUMBER(INDEX(Inputs!$K$5:$AJ$110,0,MATCH(AD$2,Inputs!$K$4:$AJ$4,0))))+SUMPRODUCT((Inputs!$C$5:$C$110=$B57)*ISNUMBER(INDEX(Inputs!$K$5:$AJ$110,0,MATCH(AD$2,Inputs!$K$4:$AJ$4,0))))+SUMPRODUCT((Inputs!$E$5:$E$110=$B57)*ISNUMBER(INDEX(Inputs!$K$5:$AJ$110,0,MATCH(AD$2,Inputs!$K$4:$AJ$4,0))))=0,NA(),SUMPRODUCT((Inputs!$A$5:$A$110=$B57)*Inputs!$B$5:$B$110*(((Inputs!$G$5:$G$110="moeda")+(Inputs!$G$5:$G$110="acoes"))*Inputs!$B$1+((Inputs!$G$5:$G$110&lt;&gt;"moeda")*(Inputs!$G$5:$G$110&lt;&gt;"acoes")))*INDEX(Inputs!$K$5:$AJ$110,0,MATCH(AD$2,Inputs!$K$4:$AJ$4,0)))+SUMPRODUCT((Inputs!$C$5:$C$110=$B57)*Inputs!$D$5:$D$110*(((Inputs!$G$5:$G$110="moeda")+(Inputs!$G$5:$G$110="acoes"))*Inputs!$B$1+((Inputs!$G$5:$G$110&lt;&gt;"moeda")*(Inputs!$G$5:$G$110&lt;&gt;"acoes")))*INDEX(Inputs!$K$5:$AJ$110,0,MATCH(AD$2,Inputs!$K$4:$AJ$4,0)))+SUMPRODUCT((Inputs!$E$5:$E$110=$B57)*Inputs!$F$5:$F$110*(((Inputs!$G$5:$G$110="moeda")+(Inputs!$G$5:$G$110="acoes"))*Inputs!$B$1+((Inputs!$G$5:$G$110&lt;&gt;"moeda")*(Inputs!$G$5:$G$110&lt;&gt;"acoes")))*INDEX(Inputs!$K$5:$AJ$110,0,MATCH(AD$2,Inputs!$K$4:$AJ$4,0)))))</f>
        <v>1584.29</v>
      </c>
      <c r="AE57" s="264" t="e">
        <f>IF(ISNA(MATCH(AE$2,Inputs!$K$4:$AJ$4,0)),NA(),IF(SUMPRODUCT((Inputs!$A$5:$A$110=$B57)*ISNUMBER(INDEX(Inputs!$K$5:$AJ$110,0,MATCH(AE$2,Inputs!$K$4:$AJ$4,0))))+SUMPRODUCT((Inputs!$C$5:$C$110=$B57)*ISNUMBER(INDEX(Inputs!$K$5:$AJ$110,0,MATCH(AE$2,Inputs!$K$4:$AJ$4,0))))+SUMPRODUCT((Inputs!$E$5:$E$110=$B57)*ISNUMBER(INDEX(Inputs!$K$5:$AJ$110,0,MATCH(AE$2,Inputs!$K$4:$AJ$4,0))))=0,NA(),SUMPRODUCT((Inputs!$A$5:$A$110=$B57)*Inputs!$B$5:$B$110*(((Inputs!$G$5:$G$110="moeda")+(Inputs!$G$5:$G$110="acoes"))*Inputs!$B$1+((Inputs!$G$5:$G$110&lt;&gt;"moeda")*(Inputs!$G$5:$G$110&lt;&gt;"acoes")))*INDEX(Inputs!$K$5:$AJ$110,0,MATCH(AE$2,Inputs!$K$4:$AJ$4,0)))+SUMPRODUCT((Inputs!$C$5:$C$110=$B57)*Inputs!$D$5:$D$110*(((Inputs!$G$5:$G$110="moeda")+(Inputs!$G$5:$G$110="acoes"))*Inputs!$B$1+((Inputs!$G$5:$G$110&lt;&gt;"moeda")*(Inputs!$G$5:$G$110&lt;&gt;"acoes")))*INDEX(Inputs!$K$5:$AJ$110,0,MATCH(AE$2,Inputs!$K$4:$AJ$4,0)))+SUMPRODUCT((Inputs!$E$5:$E$110=$B57)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7" s="264" t="e">
        <f>IF(ISNA(MATCH(AF$2,Inputs!$K$4:$AJ$4,0)),NA(),IF(SUMPRODUCT((Inputs!$A$5:$A$110=$B57)*ISNUMBER(INDEX(Inputs!$K$5:$AJ$110,0,MATCH(AF$2,Inputs!$K$4:$AJ$4,0))))+SUMPRODUCT((Inputs!$C$5:$C$110=$B57)*ISNUMBER(INDEX(Inputs!$K$5:$AJ$110,0,MATCH(AF$2,Inputs!$K$4:$AJ$4,0))))+SUMPRODUCT((Inputs!$E$5:$E$110=$B57)*ISNUMBER(INDEX(Inputs!$K$5:$AJ$110,0,MATCH(AF$2,Inputs!$K$4:$AJ$4,0))))=0,NA(),SUMPRODUCT((Inputs!$A$5:$A$110=$B57)*Inputs!$B$5:$B$110*(((Inputs!$G$5:$G$110="moeda")+(Inputs!$G$5:$G$110="acoes"))*Inputs!$B$1+((Inputs!$G$5:$G$110&lt;&gt;"moeda")*(Inputs!$G$5:$G$110&lt;&gt;"acoes")))*INDEX(Inputs!$K$5:$AJ$110,0,MATCH(AF$2,Inputs!$K$4:$AJ$4,0)))+SUMPRODUCT((Inputs!$C$5:$C$110=$B57)*Inputs!$D$5:$D$110*(((Inputs!$G$5:$G$110="moeda")+(Inputs!$G$5:$G$110="acoes"))*Inputs!$B$1+((Inputs!$G$5:$G$110&lt;&gt;"moeda")*(Inputs!$G$5:$G$110&lt;&gt;"acoes")))*INDEX(Inputs!$K$5:$AJ$110,0,MATCH(AF$2,Inputs!$K$4:$AJ$4,0)))+SUMPRODUCT((Inputs!$E$5:$E$110=$B57)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7" s="265" t="e">
        <f>SUM(AC57:AF57)</f>
        <v>#N/A</v>
      </c>
      <c r="AH57" s="264">
        <f>IF(ISNA(MATCH(AH$2,Inputs!$K$4:$AJ$4,0)),NA(),IF(SUMPRODUCT((Inputs!$A$5:$A$110=$B57)*ISNUMBER(INDEX(Inputs!$K$5:$AJ$110,0,MATCH(AH$2,Inputs!$K$4:$AJ$4,0))))+SUMPRODUCT((Inputs!$C$5:$C$110=$B57)*ISNUMBER(INDEX(Inputs!$K$5:$AJ$110,0,MATCH(AH$2,Inputs!$K$4:$AJ$4,0))))+SUMPRODUCT((Inputs!$E$5:$E$110=$B57)*ISNUMBER(INDEX(Inputs!$K$5:$AJ$110,0,MATCH(AH$2,Inputs!$K$4:$AJ$4,0))))=0,NA(),SUMPRODUCT((Inputs!$A$5:$A$110=$B57)*Inputs!$B$5:$B$110*(((Inputs!$G$5:$G$110="moeda")+(Inputs!$G$5:$G$110="acoes"))*Inputs!$B$1+((Inputs!$G$5:$G$110&lt;&gt;"moeda")*(Inputs!$G$5:$G$110&lt;&gt;"acoes")))*INDEX(Inputs!$K$5:$AJ$110,0,MATCH(AH$2,Inputs!$K$4:$AJ$4,0)))+SUMPRODUCT((Inputs!$C$5:$C$110=$B57)*Inputs!$D$5:$D$110*(((Inputs!$G$5:$G$110="moeda")+(Inputs!$G$5:$G$110="acoes"))*Inputs!$B$1+((Inputs!$G$5:$G$110&lt;&gt;"moeda")*(Inputs!$G$5:$G$110&lt;&gt;"acoes")))*INDEX(Inputs!$K$5:$AJ$110,0,MATCH(AH$2,Inputs!$K$4:$AJ$4,0)))+SUMPRODUCT((Inputs!$E$5:$E$110=$B57)*Inputs!$F$5:$F$110*(((Inputs!$G$5:$G$110="moeda")+(Inputs!$G$5:$G$110="acoes"))*Inputs!$B$1+((Inputs!$G$5:$G$110&lt;&gt;"moeda")*(Inputs!$G$5:$G$110&lt;&gt;"acoes")))*INDEX(Inputs!$K$5:$AJ$110,0,MATCH(AH$2,Inputs!$K$4:$AJ$4,0)))))</f>
        <v>793.453</v>
      </c>
      <c r="AI57" s="264">
        <f>IF(ISNA(MATCH(AI$2,Inputs!$K$4:$AJ$4,0)),NA(),IF(SUMPRODUCT((Inputs!$A$5:$A$110=$B57)*ISNUMBER(INDEX(Inputs!$K$5:$AJ$110,0,MATCH(AI$2,Inputs!$K$4:$AJ$4,0))))+SUMPRODUCT((Inputs!$C$5:$C$110=$B57)*ISNUMBER(INDEX(Inputs!$K$5:$AJ$110,0,MATCH(AI$2,Inputs!$K$4:$AJ$4,0))))+SUMPRODUCT((Inputs!$E$5:$E$110=$B57)*ISNUMBER(INDEX(Inputs!$K$5:$AJ$110,0,MATCH(AI$2,Inputs!$K$4:$AJ$4,0))))=0,NA(),SUMPRODUCT((Inputs!$A$5:$A$110=$B57)*Inputs!$B$5:$B$110*(((Inputs!$G$5:$G$110="moeda")+(Inputs!$G$5:$G$110="acoes"))*Inputs!$B$1+((Inputs!$G$5:$G$110&lt;&gt;"moeda")*(Inputs!$G$5:$G$110&lt;&gt;"acoes")))*INDEX(Inputs!$K$5:$AJ$110,0,MATCH(AI$2,Inputs!$K$4:$AJ$4,0)))+SUMPRODUCT((Inputs!$C$5:$C$110=$B57)*Inputs!$D$5:$D$110*(((Inputs!$G$5:$G$110="moeda")+(Inputs!$G$5:$G$110="acoes"))*Inputs!$B$1+((Inputs!$G$5:$G$110&lt;&gt;"moeda")*(Inputs!$G$5:$G$110&lt;&gt;"acoes")))*INDEX(Inputs!$K$5:$AJ$110,0,MATCH(AI$2,Inputs!$K$4:$AJ$4,0)))+SUMPRODUCT((Inputs!$E$5:$E$110=$B57)*Inputs!$F$5:$F$110*(((Inputs!$G$5:$G$110="moeda")+(Inputs!$G$5:$G$110="acoes"))*Inputs!$B$1+((Inputs!$G$5:$G$110&lt;&gt;"moeda")*(Inputs!$G$5:$G$110&lt;&gt;"acoes")))*INDEX(Inputs!$K$5:$AJ$110,0,MATCH(AI$2,Inputs!$K$4:$AJ$4,0)))))</f>
        <v>785.368</v>
      </c>
      <c r="AJ57" s="264">
        <f>IF(ISNA(MATCH(AJ$2,Inputs!$K$4:$AJ$4,0)),NA(),IF(SUMPRODUCT((Inputs!$A$5:$A$110=$B57)*ISNUMBER(INDEX(Inputs!$K$5:$AJ$110,0,MATCH(AJ$2,Inputs!$K$4:$AJ$4,0))))+SUMPRODUCT((Inputs!$C$5:$C$110=$B57)*ISNUMBER(INDEX(Inputs!$K$5:$AJ$110,0,MATCH(AJ$2,Inputs!$K$4:$AJ$4,0))))+SUMPRODUCT((Inputs!$E$5:$E$110=$B57)*ISNUMBER(INDEX(Inputs!$K$5:$AJ$110,0,MATCH(AJ$2,Inputs!$K$4:$AJ$4,0))))=0,NA(),SUMPRODUCT((Inputs!$A$5:$A$110=$B57)*Inputs!$B$5:$B$110*(((Inputs!$G$5:$G$110="moeda")+(Inputs!$G$5:$G$110="acoes"))*Inputs!$B$1+((Inputs!$G$5:$G$110&lt;&gt;"moeda")*(Inputs!$G$5:$G$110&lt;&gt;"acoes")))*INDEX(Inputs!$K$5:$AJ$110,0,MATCH(AJ$2,Inputs!$K$4:$AJ$4,0)))+SUMPRODUCT((Inputs!$C$5:$C$110=$B57)*Inputs!$D$5:$D$110*(((Inputs!$G$5:$G$110="moeda")+(Inputs!$G$5:$G$110="acoes"))*Inputs!$B$1+((Inputs!$G$5:$G$110&lt;&gt;"moeda")*(Inputs!$G$5:$G$110&lt;&gt;"acoes")))*INDEX(Inputs!$K$5:$AJ$110,0,MATCH(AJ$2,Inputs!$K$4:$AJ$4,0)))+SUMPRODUCT((Inputs!$E$5:$E$110=$B57)*Inputs!$F$5:$F$110*(((Inputs!$G$5:$G$110="moeda")+(Inputs!$G$5:$G$110="acoes"))*Inputs!$B$1+((Inputs!$G$5:$G$110&lt;&gt;"moeda")*(Inputs!$G$5:$G$110&lt;&gt;"acoes")))*INDEX(Inputs!$K$5:$AJ$110,0,MATCH(AJ$2,Inputs!$K$4:$AJ$4,0)))))</f>
        <v>789.384</v>
      </c>
      <c r="AK57" s="264">
        <f>IF(ISNA(MATCH(AK$2,Inputs!$K$4:$AJ$4,0)),NA(),IF(SUMPRODUCT((Inputs!$A$5:$A$110=$B57)*ISNUMBER(INDEX(Inputs!$K$5:$AJ$110,0,MATCH(AK$2,Inputs!$K$4:$AJ$4,0))))+SUMPRODUCT((Inputs!$C$5:$C$110=$B57)*ISNUMBER(INDEX(Inputs!$K$5:$AJ$110,0,MATCH(AK$2,Inputs!$K$4:$AJ$4,0))))+SUMPRODUCT((Inputs!$E$5:$E$110=$B57)*ISNUMBER(INDEX(Inputs!$K$5:$AJ$110,0,MATCH(AK$2,Inputs!$K$4:$AJ$4,0))))=0,NA(),SUMPRODUCT((Inputs!$A$5:$A$110=$B57)*Inputs!$B$5:$B$110*(((Inputs!$G$5:$G$110="moeda")+(Inputs!$G$5:$G$110="acoes"))*Inputs!$B$1+((Inputs!$G$5:$G$110&lt;&gt;"moeda")*(Inputs!$G$5:$G$110&lt;&gt;"acoes")))*INDEX(Inputs!$K$5:$AJ$110,0,MATCH(AK$2,Inputs!$K$4:$AJ$4,0)))+SUMPRODUCT((Inputs!$C$5:$C$110=$B57)*Inputs!$D$5:$D$110*(((Inputs!$G$5:$G$110="moeda")+(Inputs!$G$5:$G$110="acoes"))*Inputs!$B$1+((Inputs!$G$5:$G$110&lt;&gt;"moeda")*(Inputs!$G$5:$G$110&lt;&gt;"acoes")))*INDEX(Inputs!$K$5:$AJ$110,0,MATCH(AK$2,Inputs!$K$4:$AJ$4,0)))+SUMPRODUCT((Inputs!$E$5:$E$110=$B57)*Inputs!$F$5:$F$110*(((Inputs!$G$5:$G$110="moeda")+(Inputs!$G$5:$G$110="acoes"))*Inputs!$B$1+((Inputs!$G$5:$G$110&lt;&gt;"moeda")*(Inputs!$G$5:$G$110&lt;&gt;"acoes")))*INDEX(Inputs!$K$5:$AJ$110,0,MATCH(AK$2,Inputs!$K$4:$AJ$4,0)))))</f>
        <v>788.522</v>
      </c>
      <c r="AL57" s="265">
        <f>SUM(AH57:AK57)</f>
        <v>3156.727</v>
      </c>
    </row>
    <row r="58">
      <c r="B58" s="46" t="n">
        <v>50</v>
      </c>
      <c r="C58" s="29" t="inlineStr">
        <is>
          <t>Assinantes pagos América Latina (milhões, fim do trimestre)</t>
        </is>
      </c>
      <c r="D58" s="264">
        <f>IF(ISNA(MATCH(D$2,Inputs!$K$4:$AJ$4,0)),NA(),IF(SUMPRODUCT((Inputs!$A$5:$A$110=$B58)*ISNUMBER(INDEX(Inputs!$K$5:$AJ$110,0,MATCH(D$2,Inputs!$K$4:$AJ$4,0))))+SUMPRODUCT((Inputs!$C$5:$C$110=$B58)*ISNUMBER(INDEX(Inputs!$K$5:$AJ$110,0,MATCH(D$2,Inputs!$K$4:$AJ$4,0))))+SUMPRODUCT((Inputs!$E$5:$E$110=$B58)*ISNUMBER(INDEX(Inputs!$K$5:$AJ$110,0,MATCH(D$2,Inputs!$K$4:$AJ$4,0))))=0,NA(),SUMPRODUCT((Inputs!$A$5:$A$110=$B58)*Inputs!$B$5:$B$110*(((Inputs!$G$5:$G$110="moeda")+(Inputs!$G$5:$G$110="acoes"))*Inputs!$B$1+((Inputs!$G$5:$G$110&lt;&gt;"moeda")*(Inputs!$G$5:$G$110&lt;&gt;"acoes")))*INDEX(Inputs!$K$5:$AJ$110,0,MATCH(D$2,Inputs!$K$4:$AJ$4,0)))+SUMPRODUCT((Inputs!$C$5:$C$110=$B58)*Inputs!$D$5:$D$110*(((Inputs!$G$5:$G$110="moeda")+(Inputs!$G$5:$G$110="acoes"))*Inputs!$B$1+((Inputs!$G$5:$G$110&lt;&gt;"moeda")*(Inputs!$G$5:$G$110&lt;&gt;"acoes")))*INDEX(Inputs!$K$5:$AJ$110,0,MATCH(D$2,Inputs!$K$4:$AJ$4,0)))+SUMPRODUCT((Inputs!$E$5:$E$110=$B58)*Inputs!$F$5:$F$110*(((Inputs!$G$5:$G$110="moeda")+(Inputs!$G$5:$G$110="acoes"))*Inputs!$B$1+((Inputs!$G$5:$G$110&lt;&gt;"moeda")*(Inputs!$G$5:$G$110&lt;&gt;"acoes")))*INDEX(Inputs!$K$5:$AJ$110,0,MATCH(D$2,Inputs!$K$4:$AJ$4,0)))))</f>
        <v>37.894</v>
      </c>
      <c r="E58" s="264">
        <f>IF(ISNA(MATCH(E$2,Inputs!$K$4:$AJ$4,0)),NA(),IF(SUMPRODUCT((Inputs!$A$5:$A$110=$B58)*ISNUMBER(INDEX(Inputs!$K$5:$AJ$110,0,MATCH(E$2,Inputs!$K$4:$AJ$4,0))))+SUMPRODUCT((Inputs!$C$5:$C$110=$B58)*ISNUMBER(INDEX(Inputs!$K$5:$AJ$110,0,MATCH(E$2,Inputs!$K$4:$AJ$4,0))))+SUMPRODUCT((Inputs!$E$5:$E$110=$B58)*ISNUMBER(INDEX(Inputs!$K$5:$AJ$110,0,MATCH(E$2,Inputs!$K$4:$AJ$4,0))))=0,NA(),SUMPRODUCT((Inputs!$A$5:$A$110=$B58)*Inputs!$B$5:$B$110*(((Inputs!$G$5:$G$110="moeda")+(Inputs!$G$5:$G$110="acoes"))*Inputs!$B$1+((Inputs!$G$5:$G$110&lt;&gt;"moeda")*(Inputs!$G$5:$G$110&lt;&gt;"acoes")))*INDEX(Inputs!$K$5:$AJ$110,0,MATCH(E$2,Inputs!$K$4:$AJ$4,0)))+SUMPRODUCT((Inputs!$C$5:$C$110=$B58)*Inputs!$D$5:$D$110*(((Inputs!$G$5:$G$110="moeda")+(Inputs!$G$5:$G$110="acoes"))*Inputs!$B$1+((Inputs!$G$5:$G$110&lt;&gt;"moeda")*(Inputs!$G$5:$G$110&lt;&gt;"acoes")))*INDEX(Inputs!$K$5:$AJ$110,0,MATCH(E$2,Inputs!$K$4:$AJ$4,0)))+SUMPRODUCT((Inputs!$E$5:$E$110=$B58)*Inputs!$F$5:$F$110*(((Inputs!$G$5:$G$110="moeda")+(Inputs!$G$5:$G$110="acoes"))*Inputs!$B$1+((Inputs!$G$5:$G$110&lt;&gt;"moeda")*(Inputs!$G$5:$G$110&lt;&gt;"acoes")))*INDEX(Inputs!$K$5:$AJ$110,0,MATCH(E$2,Inputs!$K$4:$AJ$4,0)))))</f>
        <v>38.658</v>
      </c>
      <c r="F58" s="264">
        <f>IF(ISNA(MATCH(F$2,Inputs!$K$4:$AJ$4,0)),NA(),IF(SUMPRODUCT((Inputs!$A$5:$A$110=$B58)*ISNUMBER(INDEX(Inputs!$K$5:$AJ$110,0,MATCH(F$2,Inputs!$K$4:$AJ$4,0))))+SUMPRODUCT((Inputs!$C$5:$C$110=$B58)*ISNUMBER(INDEX(Inputs!$K$5:$AJ$110,0,MATCH(F$2,Inputs!$K$4:$AJ$4,0))))+SUMPRODUCT((Inputs!$E$5:$E$110=$B58)*ISNUMBER(INDEX(Inputs!$K$5:$AJ$110,0,MATCH(F$2,Inputs!$K$4:$AJ$4,0))))=0,NA(),SUMPRODUCT((Inputs!$A$5:$A$110=$B58)*Inputs!$B$5:$B$110*(((Inputs!$G$5:$G$110="moeda")+(Inputs!$G$5:$G$110="acoes"))*Inputs!$B$1+((Inputs!$G$5:$G$110&lt;&gt;"moeda")*(Inputs!$G$5:$G$110&lt;&gt;"acoes")))*INDEX(Inputs!$K$5:$AJ$110,0,MATCH(F$2,Inputs!$K$4:$AJ$4,0)))+SUMPRODUCT((Inputs!$C$5:$C$110=$B58)*Inputs!$D$5:$D$110*(((Inputs!$G$5:$G$110="moeda")+(Inputs!$G$5:$G$110="acoes"))*Inputs!$B$1+((Inputs!$G$5:$G$110&lt;&gt;"moeda")*(Inputs!$G$5:$G$110&lt;&gt;"acoes")))*INDEX(Inputs!$K$5:$AJ$110,0,MATCH(F$2,Inputs!$K$4:$AJ$4,0)))+SUMPRODUCT((Inputs!$E$5:$E$110=$B58)*Inputs!$F$5:$F$110*(((Inputs!$G$5:$G$110="moeda")+(Inputs!$G$5:$G$110="acoes"))*Inputs!$B$1+((Inputs!$G$5:$G$110&lt;&gt;"moeda")*(Inputs!$G$5:$G$110&lt;&gt;"acoes")))*INDEX(Inputs!$K$5:$AJ$110,0,MATCH(F$2,Inputs!$K$4:$AJ$4,0)))))</f>
        <v>38.988</v>
      </c>
      <c r="G58" s="264">
        <f>IF(ISNA(MATCH(G$2,Inputs!$K$4:$AJ$4,0)),NA(),IF(SUMPRODUCT((Inputs!$A$5:$A$110=$B58)*ISNUMBER(INDEX(Inputs!$K$5:$AJ$110,0,MATCH(G$2,Inputs!$K$4:$AJ$4,0))))+SUMPRODUCT((Inputs!$C$5:$C$110=$B58)*ISNUMBER(INDEX(Inputs!$K$5:$AJ$110,0,MATCH(G$2,Inputs!$K$4:$AJ$4,0))))+SUMPRODUCT((Inputs!$E$5:$E$110=$B58)*ISNUMBER(INDEX(Inputs!$K$5:$AJ$110,0,MATCH(G$2,Inputs!$K$4:$AJ$4,0))))=0,NA(),SUMPRODUCT((Inputs!$A$5:$A$110=$B58)*Inputs!$B$5:$B$110*(((Inputs!$G$5:$G$110="moeda")+(Inputs!$G$5:$G$110="acoes"))*Inputs!$B$1+((Inputs!$G$5:$G$110&lt;&gt;"moeda")*(Inputs!$G$5:$G$110&lt;&gt;"acoes")))*INDEX(Inputs!$K$5:$AJ$110,0,MATCH(G$2,Inputs!$K$4:$AJ$4,0)))+SUMPRODUCT((Inputs!$C$5:$C$110=$B58)*Inputs!$D$5:$D$110*(((Inputs!$G$5:$G$110="moeda")+(Inputs!$G$5:$G$110="acoes"))*Inputs!$B$1+((Inputs!$G$5:$G$110&lt;&gt;"moeda")*(Inputs!$G$5:$G$110&lt;&gt;"acoes")))*INDEX(Inputs!$K$5:$AJ$110,0,MATCH(G$2,Inputs!$K$4:$AJ$4,0)))+SUMPRODUCT((Inputs!$E$5:$E$110=$B58)*Inputs!$F$5:$F$110*(((Inputs!$G$5:$G$110="moeda")+(Inputs!$G$5:$G$110="acoes"))*Inputs!$B$1+((Inputs!$G$5:$G$110&lt;&gt;"moeda")*(Inputs!$G$5:$G$110&lt;&gt;"acoes")))*INDEX(Inputs!$K$5:$AJ$110,0,MATCH(G$2,Inputs!$K$4:$AJ$4,0)))))</f>
        <v>39.961</v>
      </c>
      <c r="H58" s="265">
        <f>G58</f>
        <v>39.961</v>
      </c>
      <c r="I58" s="264">
        <f>IF(ISNA(MATCH(I$2,Inputs!$K$4:$AJ$4,0)),NA(),IF(SUMPRODUCT((Inputs!$A$5:$A$110=$B58)*ISNUMBER(INDEX(Inputs!$K$5:$AJ$110,0,MATCH(I$2,Inputs!$K$4:$AJ$4,0))))+SUMPRODUCT((Inputs!$C$5:$C$110=$B58)*ISNUMBER(INDEX(Inputs!$K$5:$AJ$110,0,MATCH(I$2,Inputs!$K$4:$AJ$4,0))))+SUMPRODUCT((Inputs!$E$5:$E$110=$B58)*ISNUMBER(INDEX(Inputs!$K$5:$AJ$110,0,MATCH(I$2,Inputs!$K$4:$AJ$4,0))))=0,NA(),SUMPRODUCT((Inputs!$A$5:$A$110=$B58)*Inputs!$B$5:$B$110*(((Inputs!$G$5:$G$110="moeda")+(Inputs!$G$5:$G$110="acoes"))*Inputs!$B$1+((Inputs!$G$5:$G$110&lt;&gt;"moeda")*(Inputs!$G$5:$G$110&lt;&gt;"acoes")))*INDEX(Inputs!$K$5:$AJ$110,0,MATCH(I$2,Inputs!$K$4:$AJ$4,0)))+SUMPRODUCT((Inputs!$C$5:$C$110=$B58)*Inputs!$D$5:$D$110*(((Inputs!$G$5:$G$110="moeda")+(Inputs!$G$5:$G$110="acoes"))*Inputs!$B$1+((Inputs!$G$5:$G$110&lt;&gt;"moeda")*(Inputs!$G$5:$G$110&lt;&gt;"acoes")))*INDEX(Inputs!$K$5:$AJ$110,0,MATCH(I$2,Inputs!$K$4:$AJ$4,0)))+SUMPRODUCT((Inputs!$E$5:$E$110=$B58)*Inputs!$F$5:$F$110*(((Inputs!$G$5:$G$110="moeda")+(Inputs!$G$5:$G$110="acoes"))*Inputs!$B$1+((Inputs!$G$5:$G$110&lt;&gt;"moeda")*(Inputs!$G$5:$G$110&lt;&gt;"acoes")))*INDEX(Inputs!$K$5:$AJ$110,0,MATCH(I$2,Inputs!$K$4:$AJ$4,0)))))</f>
        <v>39.61</v>
      </c>
      <c r="J58" s="264">
        <f>IF(ISNA(MATCH(J$2,Inputs!$K$4:$AJ$4,0)),NA(),IF(SUMPRODUCT((Inputs!$A$5:$A$110=$B58)*ISNUMBER(INDEX(Inputs!$K$5:$AJ$110,0,MATCH(J$2,Inputs!$K$4:$AJ$4,0))))+SUMPRODUCT((Inputs!$C$5:$C$110=$B58)*ISNUMBER(INDEX(Inputs!$K$5:$AJ$110,0,MATCH(J$2,Inputs!$K$4:$AJ$4,0))))+SUMPRODUCT((Inputs!$E$5:$E$110=$B58)*ISNUMBER(INDEX(Inputs!$K$5:$AJ$110,0,MATCH(J$2,Inputs!$K$4:$AJ$4,0))))=0,NA(),SUMPRODUCT((Inputs!$A$5:$A$110=$B58)*Inputs!$B$5:$B$110*(((Inputs!$G$5:$G$110="moeda")+(Inputs!$G$5:$G$110="acoes"))*Inputs!$B$1+((Inputs!$G$5:$G$110&lt;&gt;"moeda")*(Inputs!$G$5:$G$110&lt;&gt;"acoes")))*INDEX(Inputs!$K$5:$AJ$110,0,MATCH(J$2,Inputs!$K$4:$AJ$4,0)))+SUMPRODUCT((Inputs!$C$5:$C$110=$B58)*Inputs!$D$5:$D$110*(((Inputs!$G$5:$G$110="moeda")+(Inputs!$G$5:$G$110="acoes"))*Inputs!$B$1+((Inputs!$G$5:$G$110&lt;&gt;"moeda")*(Inputs!$G$5:$G$110&lt;&gt;"acoes")))*INDEX(Inputs!$K$5:$AJ$110,0,MATCH(J$2,Inputs!$K$4:$AJ$4,0)))+SUMPRODUCT((Inputs!$E$5:$E$110=$B58)*Inputs!$F$5:$F$110*(((Inputs!$G$5:$G$110="moeda")+(Inputs!$G$5:$G$110="acoes"))*Inputs!$B$1+((Inputs!$G$5:$G$110&lt;&gt;"moeda")*(Inputs!$G$5:$G$110&lt;&gt;"acoes")))*INDEX(Inputs!$K$5:$AJ$110,0,MATCH(J$2,Inputs!$K$4:$AJ$4,0)))))</f>
        <v>39.624</v>
      </c>
      <c r="K58" s="264">
        <f>IF(ISNA(MATCH(K$2,Inputs!$K$4:$AJ$4,0)),NA(),IF(SUMPRODUCT((Inputs!$A$5:$A$110=$B58)*ISNUMBER(INDEX(Inputs!$K$5:$AJ$110,0,MATCH(K$2,Inputs!$K$4:$AJ$4,0))))+SUMPRODUCT((Inputs!$C$5:$C$110=$B58)*ISNUMBER(INDEX(Inputs!$K$5:$AJ$110,0,MATCH(K$2,Inputs!$K$4:$AJ$4,0))))+SUMPRODUCT((Inputs!$E$5:$E$110=$B58)*ISNUMBER(INDEX(Inputs!$K$5:$AJ$110,0,MATCH(K$2,Inputs!$K$4:$AJ$4,0))))=0,NA(),SUMPRODUCT((Inputs!$A$5:$A$110=$B58)*Inputs!$B$5:$B$110*(((Inputs!$G$5:$G$110="moeda")+(Inputs!$G$5:$G$110="acoes"))*Inputs!$B$1+((Inputs!$G$5:$G$110&lt;&gt;"moeda")*(Inputs!$G$5:$G$110&lt;&gt;"acoes")))*INDEX(Inputs!$K$5:$AJ$110,0,MATCH(K$2,Inputs!$K$4:$AJ$4,0)))+SUMPRODUCT((Inputs!$C$5:$C$110=$B58)*Inputs!$D$5:$D$110*(((Inputs!$G$5:$G$110="moeda")+(Inputs!$G$5:$G$110="acoes"))*Inputs!$B$1+((Inputs!$G$5:$G$110&lt;&gt;"moeda")*(Inputs!$G$5:$G$110&lt;&gt;"acoes")))*INDEX(Inputs!$K$5:$AJ$110,0,MATCH(K$2,Inputs!$K$4:$AJ$4,0)))+SUMPRODUCT((Inputs!$E$5:$E$110=$B58)*Inputs!$F$5:$F$110*(((Inputs!$G$5:$G$110="moeda")+(Inputs!$G$5:$G$110="acoes"))*Inputs!$B$1+((Inputs!$G$5:$G$110&lt;&gt;"moeda")*(Inputs!$G$5:$G$110&lt;&gt;"acoes")))*INDEX(Inputs!$K$5:$AJ$110,0,MATCH(K$2,Inputs!$K$4:$AJ$4,0)))))</f>
        <v>39.936</v>
      </c>
      <c r="L58" s="264">
        <f>IF(ISNA(MATCH(L$2,Inputs!$K$4:$AJ$4,0)),NA(),IF(SUMPRODUCT((Inputs!$A$5:$A$110=$B58)*ISNUMBER(INDEX(Inputs!$K$5:$AJ$110,0,MATCH(L$2,Inputs!$K$4:$AJ$4,0))))+SUMPRODUCT((Inputs!$C$5:$C$110=$B58)*ISNUMBER(INDEX(Inputs!$K$5:$AJ$110,0,MATCH(L$2,Inputs!$K$4:$AJ$4,0))))+SUMPRODUCT((Inputs!$E$5:$E$110=$B58)*ISNUMBER(INDEX(Inputs!$K$5:$AJ$110,0,MATCH(L$2,Inputs!$K$4:$AJ$4,0))))=0,NA(),SUMPRODUCT((Inputs!$A$5:$A$110=$B58)*Inputs!$B$5:$B$110*(((Inputs!$G$5:$G$110="moeda")+(Inputs!$G$5:$G$110="acoes"))*Inputs!$B$1+((Inputs!$G$5:$G$110&lt;&gt;"moeda")*(Inputs!$G$5:$G$110&lt;&gt;"acoes")))*INDEX(Inputs!$K$5:$AJ$110,0,MATCH(L$2,Inputs!$K$4:$AJ$4,0)))+SUMPRODUCT((Inputs!$C$5:$C$110=$B58)*Inputs!$D$5:$D$110*(((Inputs!$G$5:$G$110="moeda")+(Inputs!$G$5:$G$110="acoes"))*Inputs!$B$1+((Inputs!$G$5:$G$110&lt;&gt;"moeda")*(Inputs!$G$5:$G$110&lt;&gt;"acoes")))*INDEX(Inputs!$K$5:$AJ$110,0,MATCH(L$2,Inputs!$K$4:$AJ$4,0)))+SUMPRODUCT((Inputs!$E$5:$E$110=$B58)*Inputs!$F$5:$F$110*(((Inputs!$G$5:$G$110="moeda")+(Inputs!$G$5:$G$110="acoes"))*Inputs!$B$1+((Inputs!$G$5:$G$110&lt;&gt;"moeda")*(Inputs!$G$5:$G$110&lt;&gt;"acoes")))*INDEX(Inputs!$K$5:$AJ$110,0,MATCH(L$2,Inputs!$K$4:$AJ$4,0)))))</f>
        <v>41.699</v>
      </c>
      <c r="M58" s="265">
        <f>L58</f>
        <v>41.699</v>
      </c>
      <c r="N58" s="264">
        <f>IF(ISNA(MATCH(N$2,Inputs!$K$4:$AJ$4,0)),NA(),IF(SUMPRODUCT((Inputs!$A$5:$A$110=$B58)*ISNUMBER(INDEX(Inputs!$K$5:$AJ$110,0,MATCH(N$2,Inputs!$K$4:$AJ$4,0))))+SUMPRODUCT((Inputs!$C$5:$C$110=$B58)*ISNUMBER(INDEX(Inputs!$K$5:$AJ$110,0,MATCH(N$2,Inputs!$K$4:$AJ$4,0))))+SUMPRODUCT((Inputs!$E$5:$E$110=$B58)*ISNUMBER(INDEX(Inputs!$K$5:$AJ$110,0,MATCH(N$2,Inputs!$K$4:$AJ$4,0))))=0,NA(),SUMPRODUCT((Inputs!$A$5:$A$110=$B58)*Inputs!$B$5:$B$110*(((Inputs!$G$5:$G$110="moeda")+(Inputs!$G$5:$G$110="acoes"))*Inputs!$B$1+((Inputs!$G$5:$G$110&lt;&gt;"moeda")*(Inputs!$G$5:$G$110&lt;&gt;"acoes")))*INDEX(Inputs!$K$5:$AJ$110,0,MATCH(N$2,Inputs!$K$4:$AJ$4,0)))+SUMPRODUCT((Inputs!$C$5:$C$110=$B58)*Inputs!$D$5:$D$110*(((Inputs!$G$5:$G$110="moeda")+(Inputs!$G$5:$G$110="acoes"))*Inputs!$B$1+((Inputs!$G$5:$G$110&lt;&gt;"moeda")*(Inputs!$G$5:$G$110&lt;&gt;"acoes")))*INDEX(Inputs!$K$5:$AJ$110,0,MATCH(N$2,Inputs!$K$4:$AJ$4,0)))+SUMPRODUCT((Inputs!$E$5:$E$110=$B58)*Inputs!$F$5:$F$110*(((Inputs!$G$5:$G$110="moeda")+(Inputs!$G$5:$G$110="acoes"))*Inputs!$B$1+((Inputs!$G$5:$G$110&lt;&gt;"moeda")*(Inputs!$G$5:$G$110&lt;&gt;"acoes")))*INDEX(Inputs!$K$5:$AJ$110,0,MATCH(N$2,Inputs!$K$4:$AJ$4,0)))))</f>
        <v>41.249</v>
      </c>
      <c r="O58" s="264">
        <f>IF(ISNA(MATCH(O$2,Inputs!$K$4:$AJ$4,0)),NA(),IF(SUMPRODUCT((Inputs!$A$5:$A$110=$B58)*ISNUMBER(INDEX(Inputs!$K$5:$AJ$110,0,MATCH(O$2,Inputs!$K$4:$AJ$4,0))))+SUMPRODUCT((Inputs!$C$5:$C$110=$B58)*ISNUMBER(INDEX(Inputs!$K$5:$AJ$110,0,MATCH(O$2,Inputs!$K$4:$AJ$4,0))))+SUMPRODUCT((Inputs!$E$5:$E$110=$B58)*ISNUMBER(INDEX(Inputs!$K$5:$AJ$110,0,MATCH(O$2,Inputs!$K$4:$AJ$4,0))))=0,NA(),SUMPRODUCT((Inputs!$A$5:$A$110=$B58)*Inputs!$B$5:$B$110*(((Inputs!$G$5:$G$110="moeda")+(Inputs!$G$5:$G$110="acoes"))*Inputs!$B$1+((Inputs!$G$5:$G$110&lt;&gt;"moeda")*(Inputs!$G$5:$G$110&lt;&gt;"acoes")))*INDEX(Inputs!$K$5:$AJ$110,0,MATCH(O$2,Inputs!$K$4:$AJ$4,0)))+SUMPRODUCT((Inputs!$C$5:$C$110=$B58)*Inputs!$D$5:$D$110*(((Inputs!$G$5:$G$110="moeda")+(Inputs!$G$5:$G$110="acoes"))*Inputs!$B$1+((Inputs!$G$5:$G$110&lt;&gt;"moeda")*(Inputs!$G$5:$G$110&lt;&gt;"acoes")))*INDEX(Inputs!$K$5:$AJ$110,0,MATCH(O$2,Inputs!$K$4:$AJ$4,0)))+SUMPRODUCT((Inputs!$E$5:$E$110=$B58)*Inputs!$F$5:$F$110*(((Inputs!$G$5:$G$110="moeda")+(Inputs!$G$5:$G$110="acoes"))*Inputs!$B$1+((Inputs!$G$5:$G$110&lt;&gt;"moeda")*(Inputs!$G$5:$G$110&lt;&gt;"acoes")))*INDEX(Inputs!$K$5:$AJ$110,0,MATCH(O$2,Inputs!$K$4:$AJ$4,0)))))</f>
        <v>42.466</v>
      </c>
      <c r="P58" s="264">
        <f>IF(ISNA(MATCH(P$2,Inputs!$K$4:$AJ$4,0)),NA(),IF(SUMPRODUCT((Inputs!$A$5:$A$110=$B58)*ISNUMBER(INDEX(Inputs!$K$5:$AJ$110,0,MATCH(P$2,Inputs!$K$4:$AJ$4,0))))+SUMPRODUCT((Inputs!$C$5:$C$110=$B58)*ISNUMBER(INDEX(Inputs!$K$5:$AJ$110,0,MATCH(P$2,Inputs!$K$4:$AJ$4,0))))+SUMPRODUCT((Inputs!$E$5:$E$110=$B58)*ISNUMBER(INDEX(Inputs!$K$5:$AJ$110,0,MATCH(P$2,Inputs!$K$4:$AJ$4,0))))=0,NA(),SUMPRODUCT((Inputs!$A$5:$A$110=$B58)*Inputs!$B$5:$B$110*(((Inputs!$G$5:$G$110="moeda")+(Inputs!$G$5:$G$110="acoes"))*Inputs!$B$1+((Inputs!$G$5:$G$110&lt;&gt;"moeda")*(Inputs!$G$5:$G$110&lt;&gt;"acoes")))*INDEX(Inputs!$K$5:$AJ$110,0,MATCH(P$2,Inputs!$K$4:$AJ$4,0)))+SUMPRODUCT((Inputs!$C$5:$C$110=$B58)*Inputs!$D$5:$D$110*(((Inputs!$G$5:$G$110="moeda")+(Inputs!$G$5:$G$110="acoes"))*Inputs!$B$1+((Inputs!$G$5:$G$110&lt;&gt;"moeda")*(Inputs!$G$5:$G$110&lt;&gt;"acoes")))*INDEX(Inputs!$K$5:$AJ$110,0,MATCH(P$2,Inputs!$K$4:$AJ$4,0)))+SUMPRODUCT((Inputs!$E$5:$E$110=$B58)*Inputs!$F$5:$F$110*(((Inputs!$G$5:$G$110="moeda")+(Inputs!$G$5:$G$110="acoes"))*Inputs!$B$1+((Inputs!$G$5:$G$110&lt;&gt;"moeda")*(Inputs!$G$5:$G$110&lt;&gt;"acoes")))*INDEX(Inputs!$K$5:$AJ$110,0,MATCH(P$2,Inputs!$K$4:$AJ$4,0)))))</f>
        <v>43.645</v>
      </c>
      <c r="Q58" s="264">
        <f>IF(ISNA(MATCH(Q$2,Inputs!$K$4:$AJ$4,0)),NA(),IF(SUMPRODUCT((Inputs!$A$5:$A$110=$B58)*ISNUMBER(INDEX(Inputs!$K$5:$AJ$110,0,MATCH(Q$2,Inputs!$K$4:$AJ$4,0))))+SUMPRODUCT((Inputs!$C$5:$C$110=$B58)*ISNUMBER(INDEX(Inputs!$K$5:$AJ$110,0,MATCH(Q$2,Inputs!$K$4:$AJ$4,0))))+SUMPRODUCT((Inputs!$E$5:$E$110=$B58)*ISNUMBER(INDEX(Inputs!$K$5:$AJ$110,0,MATCH(Q$2,Inputs!$K$4:$AJ$4,0))))=0,NA(),SUMPRODUCT((Inputs!$A$5:$A$110=$B58)*Inputs!$B$5:$B$110*(((Inputs!$G$5:$G$110="moeda")+(Inputs!$G$5:$G$110="acoes"))*Inputs!$B$1+((Inputs!$G$5:$G$110&lt;&gt;"moeda")*(Inputs!$G$5:$G$110&lt;&gt;"acoes")))*INDEX(Inputs!$K$5:$AJ$110,0,MATCH(Q$2,Inputs!$K$4:$AJ$4,0)))+SUMPRODUCT((Inputs!$C$5:$C$110=$B58)*Inputs!$D$5:$D$110*(((Inputs!$G$5:$G$110="moeda")+(Inputs!$G$5:$G$110="acoes"))*Inputs!$B$1+((Inputs!$G$5:$G$110&lt;&gt;"moeda")*(Inputs!$G$5:$G$110&lt;&gt;"acoes")))*INDEX(Inputs!$K$5:$AJ$110,0,MATCH(Q$2,Inputs!$K$4:$AJ$4,0)))+SUMPRODUCT((Inputs!$E$5:$E$110=$B58)*Inputs!$F$5:$F$110*(((Inputs!$G$5:$G$110="moeda")+(Inputs!$G$5:$G$110="acoes"))*Inputs!$B$1+((Inputs!$G$5:$G$110&lt;&gt;"moeda")*(Inputs!$G$5:$G$110&lt;&gt;"acoes")))*INDEX(Inputs!$K$5:$AJ$110,0,MATCH(Q$2,Inputs!$K$4:$AJ$4,0)))))</f>
        <v>45.997</v>
      </c>
      <c r="R58" s="265">
        <f>Q58</f>
        <v>45.997</v>
      </c>
      <c r="S58" s="264">
        <f>IF(ISNA(MATCH(S$2,Inputs!$K$4:$AJ$4,0)),NA(),IF(SUMPRODUCT((Inputs!$A$5:$A$110=$B58)*ISNUMBER(INDEX(Inputs!$K$5:$AJ$110,0,MATCH(S$2,Inputs!$K$4:$AJ$4,0))))+SUMPRODUCT((Inputs!$C$5:$C$110=$B58)*ISNUMBER(INDEX(Inputs!$K$5:$AJ$110,0,MATCH(S$2,Inputs!$K$4:$AJ$4,0))))+SUMPRODUCT((Inputs!$E$5:$E$110=$B58)*ISNUMBER(INDEX(Inputs!$K$5:$AJ$110,0,MATCH(S$2,Inputs!$K$4:$AJ$4,0))))=0,NA(),SUMPRODUCT((Inputs!$A$5:$A$110=$B58)*Inputs!$B$5:$B$110*(((Inputs!$G$5:$G$110="moeda")+(Inputs!$G$5:$G$110="acoes"))*Inputs!$B$1+((Inputs!$G$5:$G$110&lt;&gt;"moeda")*(Inputs!$G$5:$G$110&lt;&gt;"acoes")))*INDEX(Inputs!$K$5:$AJ$110,0,MATCH(S$2,Inputs!$K$4:$AJ$4,0)))+SUMPRODUCT((Inputs!$C$5:$C$110=$B58)*Inputs!$D$5:$D$110*(((Inputs!$G$5:$G$110="moeda")+(Inputs!$G$5:$G$110="acoes"))*Inputs!$B$1+((Inputs!$G$5:$G$110&lt;&gt;"moeda")*(Inputs!$G$5:$G$110&lt;&gt;"acoes")))*INDEX(Inputs!$K$5:$AJ$110,0,MATCH(S$2,Inputs!$K$4:$AJ$4,0)))+SUMPRODUCT((Inputs!$E$5:$E$110=$B58)*Inputs!$F$5:$F$110*(((Inputs!$G$5:$G$110="moeda")+(Inputs!$G$5:$G$110="acoes"))*Inputs!$B$1+((Inputs!$G$5:$G$110&lt;&gt;"moeda")*(Inputs!$G$5:$G$110&lt;&gt;"acoes")))*INDEX(Inputs!$K$5:$AJ$110,0,MATCH(S$2,Inputs!$K$4:$AJ$4,0)))))</f>
        <v>47.72</v>
      </c>
      <c r="T58" s="264">
        <f>IF(ISNA(MATCH(T$2,Inputs!$K$4:$AJ$4,0)),NA(),IF(SUMPRODUCT((Inputs!$A$5:$A$110=$B58)*ISNUMBER(INDEX(Inputs!$K$5:$AJ$110,0,MATCH(T$2,Inputs!$K$4:$AJ$4,0))))+SUMPRODUCT((Inputs!$C$5:$C$110=$B58)*ISNUMBER(INDEX(Inputs!$K$5:$AJ$110,0,MATCH(T$2,Inputs!$K$4:$AJ$4,0))))+SUMPRODUCT((Inputs!$E$5:$E$110=$B58)*ISNUMBER(INDEX(Inputs!$K$5:$AJ$110,0,MATCH(T$2,Inputs!$K$4:$AJ$4,0))))=0,NA(),SUMPRODUCT((Inputs!$A$5:$A$110=$B58)*Inputs!$B$5:$B$110*(((Inputs!$G$5:$G$110="moeda")+(Inputs!$G$5:$G$110="acoes"))*Inputs!$B$1+((Inputs!$G$5:$G$110&lt;&gt;"moeda")*(Inputs!$G$5:$G$110&lt;&gt;"acoes")))*INDEX(Inputs!$K$5:$AJ$110,0,MATCH(T$2,Inputs!$K$4:$AJ$4,0)))+SUMPRODUCT((Inputs!$C$5:$C$110=$B58)*Inputs!$D$5:$D$110*(((Inputs!$G$5:$G$110="moeda")+(Inputs!$G$5:$G$110="acoes"))*Inputs!$B$1+((Inputs!$G$5:$G$110&lt;&gt;"moeda")*(Inputs!$G$5:$G$110&lt;&gt;"acoes")))*INDEX(Inputs!$K$5:$AJ$110,0,MATCH(T$2,Inputs!$K$4:$AJ$4,0)))+SUMPRODUCT((Inputs!$E$5:$E$110=$B58)*Inputs!$F$5:$F$110*(((Inputs!$G$5:$G$110="moeda")+(Inputs!$G$5:$G$110="acoes"))*Inputs!$B$1+((Inputs!$G$5:$G$110&lt;&gt;"moeda")*(Inputs!$G$5:$G$110&lt;&gt;"acoes")))*INDEX(Inputs!$K$5:$AJ$110,0,MATCH(T$2,Inputs!$K$4:$AJ$4,0)))))</f>
        <v>49.25</v>
      </c>
      <c r="U58" s="264">
        <f>IF(ISNA(MATCH(U$2,Inputs!$K$4:$AJ$4,0)),NA(),IF(SUMPRODUCT((Inputs!$A$5:$A$110=$B58)*ISNUMBER(INDEX(Inputs!$K$5:$AJ$110,0,MATCH(U$2,Inputs!$K$4:$AJ$4,0))))+SUMPRODUCT((Inputs!$C$5:$C$110=$B58)*ISNUMBER(INDEX(Inputs!$K$5:$AJ$110,0,MATCH(U$2,Inputs!$K$4:$AJ$4,0))))+SUMPRODUCT((Inputs!$E$5:$E$110=$B58)*ISNUMBER(INDEX(Inputs!$K$5:$AJ$110,0,MATCH(U$2,Inputs!$K$4:$AJ$4,0))))=0,NA(),SUMPRODUCT((Inputs!$A$5:$A$110=$B58)*Inputs!$B$5:$B$110*(((Inputs!$G$5:$G$110="moeda")+(Inputs!$G$5:$G$110="acoes"))*Inputs!$B$1+((Inputs!$G$5:$G$110&lt;&gt;"moeda")*(Inputs!$G$5:$G$110&lt;&gt;"acoes")))*INDEX(Inputs!$K$5:$AJ$110,0,MATCH(U$2,Inputs!$K$4:$AJ$4,0)))+SUMPRODUCT((Inputs!$C$5:$C$110=$B58)*Inputs!$D$5:$D$110*(((Inputs!$G$5:$G$110="moeda")+(Inputs!$G$5:$G$110="acoes"))*Inputs!$B$1+((Inputs!$G$5:$G$110&lt;&gt;"moeda")*(Inputs!$G$5:$G$110&lt;&gt;"acoes")))*INDEX(Inputs!$K$5:$AJ$110,0,MATCH(U$2,Inputs!$K$4:$AJ$4,0)))+SUMPRODUCT((Inputs!$E$5:$E$110=$B58)*Inputs!$F$5:$F$110*(((Inputs!$G$5:$G$110="moeda")+(Inputs!$G$5:$G$110="acoes"))*Inputs!$B$1+((Inputs!$G$5:$G$110&lt;&gt;"moeda")*(Inputs!$G$5:$G$110&lt;&gt;"acoes")))*INDEX(Inputs!$K$5:$AJ$110,0,MATCH(U$2,Inputs!$K$4:$AJ$4,0)))))</f>
        <v>49.182</v>
      </c>
      <c r="V58" s="264">
        <f>IF(ISNA(MATCH(V$2,Inputs!$K$4:$AJ$4,0)),NA(),IF(SUMPRODUCT((Inputs!$A$5:$A$110=$B58)*ISNUMBER(INDEX(Inputs!$K$5:$AJ$110,0,MATCH(V$2,Inputs!$K$4:$AJ$4,0))))+SUMPRODUCT((Inputs!$C$5:$C$110=$B58)*ISNUMBER(INDEX(Inputs!$K$5:$AJ$110,0,MATCH(V$2,Inputs!$K$4:$AJ$4,0))))+SUMPRODUCT((Inputs!$E$5:$E$110=$B58)*ISNUMBER(INDEX(Inputs!$K$5:$AJ$110,0,MATCH(V$2,Inputs!$K$4:$AJ$4,0))))=0,NA(),SUMPRODUCT((Inputs!$A$5:$A$110=$B58)*Inputs!$B$5:$B$110*(((Inputs!$G$5:$G$110="moeda")+(Inputs!$G$5:$G$110="acoes"))*Inputs!$B$1+((Inputs!$G$5:$G$110&lt;&gt;"moeda")*(Inputs!$G$5:$G$110&lt;&gt;"acoes")))*INDEX(Inputs!$K$5:$AJ$110,0,MATCH(V$2,Inputs!$K$4:$AJ$4,0)))+SUMPRODUCT((Inputs!$C$5:$C$110=$B58)*Inputs!$D$5:$D$110*(((Inputs!$G$5:$G$110="moeda")+(Inputs!$G$5:$G$110="acoes"))*Inputs!$B$1+((Inputs!$G$5:$G$110&lt;&gt;"moeda")*(Inputs!$G$5:$G$110&lt;&gt;"acoes")))*INDEX(Inputs!$K$5:$AJ$110,0,MATCH(V$2,Inputs!$K$4:$AJ$4,0)))+SUMPRODUCT((Inputs!$E$5:$E$110=$B58)*Inputs!$F$5:$F$110*(((Inputs!$G$5:$G$110="moeda")+(Inputs!$G$5:$G$110="acoes"))*Inputs!$B$1+((Inputs!$G$5:$G$110&lt;&gt;"moeda")*(Inputs!$G$5:$G$110&lt;&gt;"acoes")))*INDEX(Inputs!$K$5:$AJ$110,0,MATCH(V$2,Inputs!$K$4:$AJ$4,0)))))</f>
        <v>53.327</v>
      </c>
      <c r="W58" s="265">
        <f>V58</f>
        <v>53.327</v>
      </c>
      <c r="X58" s="264" t="e">
        <f>IF(ISNA(MATCH(X$2,Inputs!$K$4:$AJ$4,0)),NA(),IF(SUMPRODUCT((Inputs!$A$5:$A$110=$B58)*ISNUMBER(INDEX(Inputs!$K$5:$AJ$110,0,MATCH(X$2,Inputs!$K$4:$AJ$4,0))))+SUMPRODUCT((Inputs!$C$5:$C$110=$B58)*ISNUMBER(INDEX(Inputs!$K$5:$AJ$110,0,MATCH(X$2,Inputs!$K$4:$AJ$4,0))))+SUMPRODUCT((Inputs!$E$5:$E$110=$B58)*ISNUMBER(INDEX(Inputs!$K$5:$AJ$110,0,MATCH(X$2,Inputs!$K$4:$AJ$4,0))))=0,NA(),SUMPRODUCT((Inputs!$A$5:$A$110=$B58)*Inputs!$B$5:$B$110*(((Inputs!$G$5:$G$110="moeda")+(Inputs!$G$5:$G$110="acoes"))*Inputs!$B$1+((Inputs!$G$5:$G$110&lt;&gt;"moeda")*(Inputs!$G$5:$G$110&lt;&gt;"acoes")))*INDEX(Inputs!$K$5:$AJ$110,0,MATCH(X$2,Inputs!$K$4:$AJ$4,0)))+SUMPRODUCT((Inputs!$C$5:$C$110=$B58)*Inputs!$D$5:$D$110*(((Inputs!$G$5:$G$110="moeda")+(Inputs!$G$5:$G$110="acoes"))*Inputs!$B$1+((Inputs!$G$5:$G$110&lt;&gt;"moeda")*(Inputs!$G$5:$G$110&lt;&gt;"acoes")))*INDEX(Inputs!$K$5:$AJ$110,0,MATCH(X$2,Inputs!$K$4:$AJ$4,0)))+SUMPRODUCT((Inputs!$E$5:$E$110=$B58)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58" s="264" t="e">
        <f>IF(ISNA(MATCH(Y$2,Inputs!$K$4:$AJ$4,0)),NA(),IF(SUMPRODUCT((Inputs!$A$5:$A$110=$B58)*ISNUMBER(INDEX(Inputs!$K$5:$AJ$110,0,MATCH(Y$2,Inputs!$K$4:$AJ$4,0))))+SUMPRODUCT((Inputs!$C$5:$C$110=$B58)*ISNUMBER(INDEX(Inputs!$K$5:$AJ$110,0,MATCH(Y$2,Inputs!$K$4:$AJ$4,0))))+SUMPRODUCT((Inputs!$E$5:$E$110=$B58)*ISNUMBER(INDEX(Inputs!$K$5:$AJ$110,0,MATCH(Y$2,Inputs!$K$4:$AJ$4,0))))=0,NA(),SUMPRODUCT((Inputs!$A$5:$A$110=$B58)*Inputs!$B$5:$B$110*(((Inputs!$G$5:$G$110="moeda")+(Inputs!$G$5:$G$110="acoes"))*Inputs!$B$1+((Inputs!$G$5:$G$110&lt;&gt;"moeda")*(Inputs!$G$5:$G$110&lt;&gt;"acoes")))*INDEX(Inputs!$K$5:$AJ$110,0,MATCH(Y$2,Inputs!$K$4:$AJ$4,0)))+SUMPRODUCT((Inputs!$C$5:$C$110=$B58)*Inputs!$D$5:$D$110*(((Inputs!$G$5:$G$110="moeda")+(Inputs!$G$5:$G$110="acoes"))*Inputs!$B$1+((Inputs!$G$5:$G$110&lt;&gt;"moeda")*(Inputs!$G$5:$G$110&lt;&gt;"acoes")))*INDEX(Inputs!$K$5:$AJ$110,0,MATCH(Y$2,Inputs!$K$4:$AJ$4,0)))+SUMPRODUCT((Inputs!$E$5:$E$110=$B58)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58" s="264" t="e">
        <f>IF(ISNA(MATCH(Z$2,Inputs!$K$4:$AJ$4,0)),NA(),IF(SUMPRODUCT((Inputs!$A$5:$A$110=$B58)*ISNUMBER(INDEX(Inputs!$K$5:$AJ$110,0,MATCH(Z$2,Inputs!$K$4:$AJ$4,0))))+SUMPRODUCT((Inputs!$C$5:$C$110=$B58)*ISNUMBER(INDEX(Inputs!$K$5:$AJ$110,0,MATCH(Z$2,Inputs!$K$4:$AJ$4,0))))+SUMPRODUCT((Inputs!$E$5:$E$110=$B58)*ISNUMBER(INDEX(Inputs!$K$5:$AJ$110,0,MATCH(Z$2,Inputs!$K$4:$AJ$4,0))))=0,NA(),SUMPRODUCT((Inputs!$A$5:$A$110=$B58)*Inputs!$B$5:$B$110*(((Inputs!$G$5:$G$110="moeda")+(Inputs!$G$5:$G$110="acoes"))*Inputs!$B$1+((Inputs!$G$5:$G$110&lt;&gt;"moeda")*(Inputs!$G$5:$G$110&lt;&gt;"acoes")))*INDEX(Inputs!$K$5:$AJ$110,0,MATCH(Z$2,Inputs!$K$4:$AJ$4,0)))+SUMPRODUCT((Inputs!$C$5:$C$110=$B58)*Inputs!$D$5:$D$110*(((Inputs!$G$5:$G$110="moeda")+(Inputs!$G$5:$G$110="acoes"))*Inputs!$B$1+((Inputs!$G$5:$G$110&lt;&gt;"moeda")*(Inputs!$G$5:$G$110&lt;&gt;"acoes")))*INDEX(Inputs!$K$5:$AJ$110,0,MATCH(Z$2,Inputs!$K$4:$AJ$4,0)))+SUMPRODUCT((Inputs!$E$5:$E$110=$B58)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58" s="264" t="e">
        <f>IF(ISNA(MATCH(AA$2,Inputs!$K$4:$AJ$4,0)),NA(),IF(SUMPRODUCT((Inputs!$A$5:$A$110=$B58)*ISNUMBER(INDEX(Inputs!$K$5:$AJ$110,0,MATCH(AA$2,Inputs!$K$4:$AJ$4,0))))+SUMPRODUCT((Inputs!$C$5:$C$110=$B58)*ISNUMBER(INDEX(Inputs!$K$5:$AJ$110,0,MATCH(AA$2,Inputs!$K$4:$AJ$4,0))))+SUMPRODUCT((Inputs!$E$5:$E$110=$B58)*ISNUMBER(INDEX(Inputs!$K$5:$AJ$110,0,MATCH(AA$2,Inputs!$K$4:$AJ$4,0))))=0,NA(),SUMPRODUCT((Inputs!$A$5:$A$110=$B58)*Inputs!$B$5:$B$110*(((Inputs!$G$5:$G$110="moeda")+(Inputs!$G$5:$G$110="acoes"))*Inputs!$B$1+((Inputs!$G$5:$G$110&lt;&gt;"moeda")*(Inputs!$G$5:$G$110&lt;&gt;"acoes")))*INDEX(Inputs!$K$5:$AJ$110,0,MATCH(AA$2,Inputs!$K$4:$AJ$4,0)))+SUMPRODUCT((Inputs!$C$5:$C$110=$B58)*Inputs!$D$5:$D$110*(((Inputs!$G$5:$G$110="moeda")+(Inputs!$G$5:$G$110="acoes"))*Inputs!$B$1+((Inputs!$G$5:$G$110&lt;&gt;"moeda")*(Inputs!$G$5:$G$110&lt;&gt;"acoes")))*INDEX(Inputs!$K$5:$AJ$110,0,MATCH(AA$2,Inputs!$K$4:$AJ$4,0)))+SUMPRODUCT((Inputs!$E$5:$E$110=$B58)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58" s="265" t="e">
        <f>AA58</f>
        <v>#N/A</v>
      </c>
      <c r="AC58" s="264" t="e">
        <f>IF(ISNA(MATCH(AC$2,Inputs!$K$4:$AJ$4,0)),NA(),IF(SUMPRODUCT((Inputs!$A$5:$A$110=$B58)*ISNUMBER(INDEX(Inputs!$K$5:$AJ$110,0,MATCH(AC$2,Inputs!$K$4:$AJ$4,0))))+SUMPRODUCT((Inputs!$C$5:$C$110=$B58)*ISNUMBER(INDEX(Inputs!$K$5:$AJ$110,0,MATCH(AC$2,Inputs!$K$4:$AJ$4,0))))+SUMPRODUCT((Inputs!$E$5:$E$110=$B58)*ISNUMBER(INDEX(Inputs!$K$5:$AJ$110,0,MATCH(AC$2,Inputs!$K$4:$AJ$4,0))))=0,NA(),SUMPRODUCT((Inputs!$A$5:$A$110=$B58)*Inputs!$B$5:$B$110*(((Inputs!$G$5:$G$110="moeda")+(Inputs!$G$5:$G$110="acoes"))*Inputs!$B$1+((Inputs!$G$5:$G$110&lt;&gt;"moeda")*(Inputs!$G$5:$G$110&lt;&gt;"acoes")))*INDEX(Inputs!$K$5:$AJ$110,0,MATCH(AC$2,Inputs!$K$4:$AJ$4,0)))+SUMPRODUCT((Inputs!$C$5:$C$110=$B58)*Inputs!$D$5:$D$110*(((Inputs!$G$5:$G$110="moeda")+(Inputs!$G$5:$G$110="acoes"))*Inputs!$B$1+((Inputs!$G$5:$G$110&lt;&gt;"moeda")*(Inputs!$G$5:$G$110&lt;&gt;"acoes")))*INDEX(Inputs!$K$5:$AJ$110,0,MATCH(AC$2,Inputs!$K$4:$AJ$4,0)))+SUMPRODUCT((Inputs!$E$5:$E$110=$B58)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58" s="264" t="e">
        <f>IF(ISNA(MATCH(AD$2,Inputs!$K$4:$AJ$4,0)),NA(),IF(SUMPRODUCT((Inputs!$A$5:$A$110=$B58)*ISNUMBER(INDEX(Inputs!$K$5:$AJ$110,0,MATCH(AD$2,Inputs!$K$4:$AJ$4,0))))+SUMPRODUCT((Inputs!$C$5:$C$110=$B58)*ISNUMBER(INDEX(Inputs!$K$5:$AJ$110,0,MATCH(AD$2,Inputs!$K$4:$AJ$4,0))))+SUMPRODUCT((Inputs!$E$5:$E$110=$B58)*ISNUMBER(INDEX(Inputs!$K$5:$AJ$110,0,MATCH(AD$2,Inputs!$K$4:$AJ$4,0))))=0,NA(),SUMPRODUCT((Inputs!$A$5:$A$110=$B58)*Inputs!$B$5:$B$110*(((Inputs!$G$5:$G$110="moeda")+(Inputs!$G$5:$G$110="acoes"))*Inputs!$B$1+((Inputs!$G$5:$G$110&lt;&gt;"moeda")*(Inputs!$G$5:$G$110&lt;&gt;"acoes")))*INDEX(Inputs!$K$5:$AJ$110,0,MATCH(AD$2,Inputs!$K$4:$AJ$4,0)))+SUMPRODUCT((Inputs!$C$5:$C$110=$B58)*Inputs!$D$5:$D$110*(((Inputs!$G$5:$G$110="moeda")+(Inputs!$G$5:$G$110="acoes"))*Inputs!$B$1+((Inputs!$G$5:$G$110&lt;&gt;"moeda")*(Inputs!$G$5:$G$110&lt;&gt;"acoes")))*INDEX(Inputs!$K$5:$AJ$110,0,MATCH(AD$2,Inputs!$K$4:$AJ$4,0)))+SUMPRODUCT((Inputs!$E$5:$E$110=$B58)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58" s="264" t="e">
        <f>IF(ISNA(MATCH(AE$2,Inputs!$K$4:$AJ$4,0)),NA(),IF(SUMPRODUCT((Inputs!$A$5:$A$110=$B58)*ISNUMBER(INDEX(Inputs!$K$5:$AJ$110,0,MATCH(AE$2,Inputs!$K$4:$AJ$4,0))))+SUMPRODUCT((Inputs!$C$5:$C$110=$B58)*ISNUMBER(INDEX(Inputs!$K$5:$AJ$110,0,MATCH(AE$2,Inputs!$K$4:$AJ$4,0))))+SUMPRODUCT((Inputs!$E$5:$E$110=$B58)*ISNUMBER(INDEX(Inputs!$K$5:$AJ$110,0,MATCH(AE$2,Inputs!$K$4:$AJ$4,0))))=0,NA(),SUMPRODUCT((Inputs!$A$5:$A$110=$B58)*Inputs!$B$5:$B$110*(((Inputs!$G$5:$G$110="moeda")+(Inputs!$G$5:$G$110="acoes"))*Inputs!$B$1+((Inputs!$G$5:$G$110&lt;&gt;"moeda")*(Inputs!$G$5:$G$110&lt;&gt;"acoes")))*INDEX(Inputs!$K$5:$AJ$110,0,MATCH(AE$2,Inputs!$K$4:$AJ$4,0)))+SUMPRODUCT((Inputs!$C$5:$C$110=$B58)*Inputs!$D$5:$D$110*(((Inputs!$G$5:$G$110="moeda")+(Inputs!$G$5:$G$110="acoes"))*Inputs!$B$1+((Inputs!$G$5:$G$110&lt;&gt;"moeda")*(Inputs!$G$5:$G$110&lt;&gt;"acoes")))*INDEX(Inputs!$K$5:$AJ$110,0,MATCH(AE$2,Inputs!$K$4:$AJ$4,0)))+SUMPRODUCT((Inputs!$E$5:$E$110=$B58)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8" s="264" t="e">
        <f>IF(ISNA(MATCH(AF$2,Inputs!$K$4:$AJ$4,0)),NA(),IF(SUMPRODUCT((Inputs!$A$5:$A$110=$B58)*ISNUMBER(INDEX(Inputs!$K$5:$AJ$110,0,MATCH(AF$2,Inputs!$K$4:$AJ$4,0))))+SUMPRODUCT((Inputs!$C$5:$C$110=$B58)*ISNUMBER(INDEX(Inputs!$K$5:$AJ$110,0,MATCH(AF$2,Inputs!$K$4:$AJ$4,0))))+SUMPRODUCT((Inputs!$E$5:$E$110=$B58)*ISNUMBER(INDEX(Inputs!$K$5:$AJ$110,0,MATCH(AF$2,Inputs!$K$4:$AJ$4,0))))=0,NA(),SUMPRODUCT((Inputs!$A$5:$A$110=$B58)*Inputs!$B$5:$B$110*(((Inputs!$G$5:$G$110="moeda")+(Inputs!$G$5:$G$110="acoes"))*Inputs!$B$1+((Inputs!$G$5:$G$110&lt;&gt;"moeda")*(Inputs!$G$5:$G$110&lt;&gt;"acoes")))*INDEX(Inputs!$K$5:$AJ$110,0,MATCH(AF$2,Inputs!$K$4:$AJ$4,0)))+SUMPRODUCT((Inputs!$C$5:$C$110=$B58)*Inputs!$D$5:$D$110*(((Inputs!$G$5:$G$110="moeda")+(Inputs!$G$5:$G$110="acoes"))*Inputs!$B$1+((Inputs!$G$5:$G$110&lt;&gt;"moeda")*(Inputs!$G$5:$G$110&lt;&gt;"acoes")))*INDEX(Inputs!$K$5:$AJ$110,0,MATCH(AF$2,Inputs!$K$4:$AJ$4,0)))+SUMPRODUCT((Inputs!$E$5:$E$110=$B58)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8" s="265" t="e">
        <f>AF58</f>
        <v>#N/A</v>
      </c>
      <c r="AH58" s="264">
        <f>IF(ISNA(MATCH(AH$2,Inputs!$K$4:$AJ$4,0)),NA(),IF(SUMPRODUCT((Inputs!$A$5:$A$110=$B58)*ISNUMBER(INDEX(Inputs!$K$5:$AJ$110,0,MATCH(AH$2,Inputs!$K$4:$AJ$4,0))))+SUMPRODUCT((Inputs!$C$5:$C$110=$B58)*ISNUMBER(INDEX(Inputs!$K$5:$AJ$110,0,MATCH(AH$2,Inputs!$K$4:$AJ$4,0))))+SUMPRODUCT((Inputs!$E$5:$E$110=$B58)*ISNUMBER(INDEX(Inputs!$K$5:$AJ$110,0,MATCH(AH$2,Inputs!$K$4:$AJ$4,0))))=0,NA(),SUMPRODUCT((Inputs!$A$5:$A$110=$B58)*Inputs!$B$5:$B$110*(((Inputs!$G$5:$G$110="moeda")+(Inputs!$G$5:$G$110="acoes"))*Inputs!$B$1+((Inputs!$G$5:$G$110&lt;&gt;"moeda")*(Inputs!$G$5:$G$110&lt;&gt;"acoes")))*INDEX(Inputs!$K$5:$AJ$110,0,MATCH(AH$2,Inputs!$K$4:$AJ$4,0)))+SUMPRODUCT((Inputs!$C$5:$C$110=$B58)*Inputs!$D$5:$D$110*(((Inputs!$G$5:$G$110="moeda")+(Inputs!$G$5:$G$110="acoes"))*Inputs!$B$1+((Inputs!$G$5:$G$110&lt;&gt;"moeda")*(Inputs!$G$5:$G$110&lt;&gt;"acoes")))*INDEX(Inputs!$K$5:$AJ$110,0,MATCH(AH$2,Inputs!$K$4:$AJ$4,0)))+SUMPRODUCT((Inputs!$E$5:$E$110=$B58)*Inputs!$F$5:$F$110*(((Inputs!$G$5:$G$110="moeda")+(Inputs!$G$5:$G$110="acoes"))*Inputs!$B$1+((Inputs!$G$5:$G$110&lt;&gt;"moeda")*(Inputs!$G$5:$G$110&lt;&gt;"acoes")))*INDEX(Inputs!$K$5:$AJ$110,0,MATCH(AH$2,Inputs!$K$4:$AJ$4,0)))))</f>
        <v>34.318</v>
      </c>
      <c r="AI58" s="264">
        <f>IF(ISNA(MATCH(AI$2,Inputs!$K$4:$AJ$4,0)),NA(),IF(SUMPRODUCT((Inputs!$A$5:$A$110=$B58)*ISNUMBER(INDEX(Inputs!$K$5:$AJ$110,0,MATCH(AI$2,Inputs!$K$4:$AJ$4,0))))+SUMPRODUCT((Inputs!$C$5:$C$110=$B58)*ISNUMBER(INDEX(Inputs!$K$5:$AJ$110,0,MATCH(AI$2,Inputs!$K$4:$AJ$4,0))))+SUMPRODUCT((Inputs!$E$5:$E$110=$B58)*ISNUMBER(INDEX(Inputs!$K$5:$AJ$110,0,MATCH(AI$2,Inputs!$K$4:$AJ$4,0))))=0,NA(),SUMPRODUCT((Inputs!$A$5:$A$110=$B58)*Inputs!$B$5:$B$110*(((Inputs!$G$5:$G$110="moeda")+(Inputs!$G$5:$G$110="acoes"))*Inputs!$B$1+((Inputs!$G$5:$G$110&lt;&gt;"moeda")*(Inputs!$G$5:$G$110&lt;&gt;"acoes")))*INDEX(Inputs!$K$5:$AJ$110,0,MATCH(AI$2,Inputs!$K$4:$AJ$4,0)))+SUMPRODUCT((Inputs!$C$5:$C$110=$B58)*Inputs!$D$5:$D$110*(((Inputs!$G$5:$G$110="moeda")+(Inputs!$G$5:$G$110="acoes"))*Inputs!$B$1+((Inputs!$G$5:$G$110&lt;&gt;"moeda")*(Inputs!$G$5:$G$110&lt;&gt;"acoes")))*INDEX(Inputs!$K$5:$AJ$110,0,MATCH(AI$2,Inputs!$K$4:$AJ$4,0)))+SUMPRODUCT((Inputs!$E$5:$E$110=$B58)*Inputs!$F$5:$F$110*(((Inputs!$G$5:$G$110="moeda")+(Inputs!$G$5:$G$110="acoes"))*Inputs!$B$1+((Inputs!$G$5:$G$110&lt;&gt;"moeda")*(Inputs!$G$5:$G$110&lt;&gt;"acoes")))*INDEX(Inputs!$K$5:$AJ$110,0,MATCH(AI$2,Inputs!$K$4:$AJ$4,0)))))</f>
        <v>36.068</v>
      </c>
      <c r="AJ58" s="264">
        <f>IF(ISNA(MATCH(AJ$2,Inputs!$K$4:$AJ$4,0)),NA(),IF(SUMPRODUCT((Inputs!$A$5:$A$110=$B58)*ISNUMBER(INDEX(Inputs!$K$5:$AJ$110,0,MATCH(AJ$2,Inputs!$K$4:$AJ$4,0))))+SUMPRODUCT((Inputs!$C$5:$C$110=$B58)*ISNUMBER(INDEX(Inputs!$K$5:$AJ$110,0,MATCH(AJ$2,Inputs!$K$4:$AJ$4,0))))+SUMPRODUCT((Inputs!$E$5:$E$110=$B58)*ISNUMBER(INDEX(Inputs!$K$5:$AJ$110,0,MATCH(AJ$2,Inputs!$K$4:$AJ$4,0))))=0,NA(),SUMPRODUCT((Inputs!$A$5:$A$110=$B58)*Inputs!$B$5:$B$110*(((Inputs!$G$5:$G$110="moeda")+(Inputs!$G$5:$G$110="acoes"))*Inputs!$B$1+((Inputs!$G$5:$G$110&lt;&gt;"moeda")*(Inputs!$G$5:$G$110&lt;&gt;"acoes")))*INDEX(Inputs!$K$5:$AJ$110,0,MATCH(AJ$2,Inputs!$K$4:$AJ$4,0)))+SUMPRODUCT((Inputs!$C$5:$C$110=$B58)*Inputs!$D$5:$D$110*(((Inputs!$G$5:$G$110="moeda")+(Inputs!$G$5:$G$110="acoes"))*Inputs!$B$1+((Inputs!$G$5:$G$110&lt;&gt;"moeda")*(Inputs!$G$5:$G$110&lt;&gt;"acoes")))*INDEX(Inputs!$K$5:$AJ$110,0,MATCH(AJ$2,Inputs!$K$4:$AJ$4,0)))+SUMPRODUCT((Inputs!$E$5:$E$110=$B58)*Inputs!$F$5:$F$110*(((Inputs!$G$5:$G$110="moeda")+(Inputs!$G$5:$G$110="acoes"))*Inputs!$B$1+((Inputs!$G$5:$G$110&lt;&gt;"moeda")*(Inputs!$G$5:$G$110&lt;&gt;"acoes")))*INDEX(Inputs!$K$5:$AJ$110,0,MATCH(AJ$2,Inputs!$K$4:$AJ$4,0)))))</f>
        <v>36.324</v>
      </c>
      <c r="AK58" s="264">
        <f>IF(ISNA(MATCH(AK$2,Inputs!$K$4:$AJ$4,0)),NA(),IF(SUMPRODUCT((Inputs!$A$5:$A$110=$B58)*ISNUMBER(INDEX(Inputs!$K$5:$AJ$110,0,MATCH(AK$2,Inputs!$K$4:$AJ$4,0))))+SUMPRODUCT((Inputs!$C$5:$C$110=$B58)*ISNUMBER(INDEX(Inputs!$K$5:$AJ$110,0,MATCH(AK$2,Inputs!$K$4:$AJ$4,0))))+SUMPRODUCT((Inputs!$E$5:$E$110=$B58)*ISNUMBER(INDEX(Inputs!$K$5:$AJ$110,0,MATCH(AK$2,Inputs!$K$4:$AJ$4,0))))=0,NA(),SUMPRODUCT((Inputs!$A$5:$A$110=$B58)*Inputs!$B$5:$B$110*(((Inputs!$G$5:$G$110="moeda")+(Inputs!$G$5:$G$110="acoes"))*Inputs!$B$1+((Inputs!$G$5:$G$110&lt;&gt;"moeda")*(Inputs!$G$5:$G$110&lt;&gt;"acoes")))*INDEX(Inputs!$K$5:$AJ$110,0,MATCH(AK$2,Inputs!$K$4:$AJ$4,0)))+SUMPRODUCT((Inputs!$C$5:$C$110=$B58)*Inputs!$D$5:$D$110*(((Inputs!$G$5:$G$110="moeda")+(Inputs!$G$5:$G$110="acoes"))*Inputs!$B$1+((Inputs!$G$5:$G$110&lt;&gt;"moeda")*(Inputs!$G$5:$G$110&lt;&gt;"acoes")))*INDEX(Inputs!$K$5:$AJ$110,0,MATCH(AK$2,Inputs!$K$4:$AJ$4,0)))+SUMPRODUCT((Inputs!$E$5:$E$110=$B58)*Inputs!$F$5:$F$110*(((Inputs!$G$5:$G$110="moeda")+(Inputs!$G$5:$G$110="acoes"))*Inputs!$B$1+((Inputs!$G$5:$G$110&lt;&gt;"moeda")*(Inputs!$G$5:$G$110&lt;&gt;"acoes")))*INDEX(Inputs!$K$5:$AJ$110,0,MATCH(AK$2,Inputs!$K$4:$AJ$4,0)))))</f>
        <v>37.537</v>
      </c>
      <c r="AL58" s="265">
        <f>AK58</f>
        <v>37.537</v>
      </c>
    </row>
    <row r="59">
      <c r="B59" s="46" t="n">
        <v>51</v>
      </c>
      <c r="C59" s="29" t="inlineStr">
        <is>
          <t>Receita streaming Ásia-Pacífico (USD)</t>
        </is>
      </c>
      <c r="D59" s="264">
        <f>IF(ISNA(MATCH(D$2,Inputs!$K$4:$AJ$4,0)),NA(),IF(SUMPRODUCT((Inputs!$A$5:$A$110=$B59)*ISNUMBER(INDEX(Inputs!$K$5:$AJ$110,0,MATCH(D$2,Inputs!$K$4:$AJ$4,0))))+SUMPRODUCT((Inputs!$C$5:$C$110=$B59)*ISNUMBER(INDEX(Inputs!$K$5:$AJ$110,0,MATCH(D$2,Inputs!$K$4:$AJ$4,0))))+SUMPRODUCT((Inputs!$E$5:$E$110=$B59)*ISNUMBER(INDEX(Inputs!$K$5:$AJ$110,0,MATCH(D$2,Inputs!$K$4:$AJ$4,0))))=0,NA(),SUMPRODUCT((Inputs!$A$5:$A$110=$B59)*Inputs!$B$5:$B$110*(((Inputs!$G$5:$G$110="moeda")+(Inputs!$G$5:$G$110="acoes"))*Inputs!$B$1+((Inputs!$G$5:$G$110&lt;&gt;"moeda")*(Inputs!$G$5:$G$110&lt;&gt;"acoes")))*INDEX(Inputs!$K$5:$AJ$110,0,MATCH(D$2,Inputs!$K$4:$AJ$4,0)))+SUMPRODUCT((Inputs!$C$5:$C$110=$B59)*Inputs!$D$5:$D$110*(((Inputs!$G$5:$G$110="moeda")+(Inputs!$G$5:$G$110="acoes"))*Inputs!$B$1+((Inputs!$G$5:$G$110&lt;&gt;"moeda")*(Inputs!$G$5:$G$110&lt;&gt;"acoes")))*INDEX(Inputs!$K$5:$AJ$110,0,MATCH(D$2,Inputs!$K$4:$AJ$4,0)))+SUMPRODUCT((Inputs!$E$5:$E$110=$B59)*Inputs!$F$5:$F$110*(((Inputs!$G$5:$G$110="moeda")+(Inputs!$G$5:$G$110="acoes"))*Inputs!$B$1+((Inputs!$G$5:$G$110&lt;&gt;"moeda")*(Inputs!$G$5:$G$110&lt;&gt;"acoes")))*INDEX(Inputs!$K$5:$AJ$110,0,MATCH(D$2,Inputs!$K$4:$AJ$4,0)))))</f>
        <v>762.414</v>
      </c>
      <c r="E59" s="264">
        <f>IF(ISNA(MATCH(E$2,Inputs!$K$4:$AJ$4,0)),NA(),IF(SUMPRODUCT((Inputs!$A$5:$A$110=$B59)*ISNUMBER(INDEX(Inputs!$K$5:$AJ$110,0,MATCH(E$2,Inputs!$K$4:$AJ$4,0))))+SUMPRODUCT((Inputs!$C$5:$C$110=$B59)*ISNUMBER(INDEX(Inputs!$K$5:$AJ$110,0,MATCH(E$2,Inputs!$K$4:$AJ$4,0))))+SUMPRODUCT((Inputs!$E$5:$E$110=$B59)*ISNUMBER(INDEX(Inputs!$K$5:$AJ$110,0,MATCH(E$2,Inputs!$K$4:$AJ$4,0))))=0,NA(),SUMPRODUCT((Inputs!$A$5:$A$110=$B59)*Inputs!$B$5:$B$110*(((Inputs!$G$5:$G$110="moeda")+(Inputs!$G$5:$G$110="acoes"))*Inputs!$B$1+((Inputs!$G$5:$G$110&lt;&gt;"moeda")*(Inputs!$G$5:$G$110&lt;&gt;"acoes")))*INDEX(Inputs!$K$5:$AJ$110,0,MATCH(E$2,Inputs!$K$4:$AJ$4,0)))+SUMPRODUCT((Inputs!$C$5:$C$110=$B59)*Inputs!$D$5:$D$110*(((Inputs!$G$5:$G$110="moeda")+(Inputs!$G$5:$G$110="acoes"))*Inputs!$B$1+((Inputs!$G$5:$G$110&lt;&gt;"moeda")*(Inputs!$G$5:$G$110&lt;&gt;"acoes")))*INDEX(Inputs!$K$5:$AJ$110,0,MATCH(E$2,Inputs!$K$4:$AJ$4,0)))+SUMPRODUCT((Inputs!$E$5:$E$110=$B59)*Inputs!$F$5:$F$110*(((Inputs!$G$5:$G$110="moeda")+(Inputs!$G$5:$G$110="acoes"))*Inputs!$B$1+((Inputs!$G$5:$G$110&lt;&gt;"moeda")*(Inputs!$G$5:$G$110&lt;&gt;"acoes")))*INDEX(Inputs!$K$5:$AJ$110,0,MATCH(E$2,Inputs!$K$4:$AJ$4,0)))))</f>
        <v>799.48</v>
      </c>
      <c r="F59" s="264">
        <f>IF(ISNA(MATCH(F$2,Inputs!$K$4:$AJ$4,0)),NA(),IF(SUMPRODUCT((Inputs!$A$5:$A$110=$B59)*ISNUMBER(INDEX(Inputs!$K$5:$AJ$110,0,MATCH(F$2,Inputs!$K$4:$AJ$4,0))))+SUMPRODUCT((Inputs!$C$5:$C$110=$B59)*ISNUMBER(INDEX(Inputs!$K$5:$AJ$110,0,MATCH(F$2,Inputs!$K$4:$AJ$4,0))))+SUMPRODUCT((Inputs!$E$5:$E$110=$B59)*ISNUMBER(INDEX(Inputs!$K$5:$AJ$110,0,MATCH(F$2,Inputs!$K$4:$AJ$4,0))))=0,NA(),SUMPRODUCT((Inputs!$A$5:$A$110=$B59)*Inputs!$B$5:$B$110*(((Inputs!$G$5:$G$110="moeda")+(Inputs!$G$5:$G$110="acoes"))*Inputs!$B$1+((Inputs!$G$5:$G$110&lt;&gt;"moeda")*(Inputs!$G$5:$G$110&lt;&gt;"acoes")))*INDEX(Inputs!$K$5:$AJ$110,0,MATCH(F$2,Inputs!$K$4:$AJ$4,0)))+SUMPRODUCT((Inputs!$C$5:$C$110=$B59)*Inputs!$D$5:$D$110*(((Inputs!$G$5:$G$110="moeda")+(Inputs!$G$5:$G$110="acoes"))*Inputs!$B$1+((Inputs!$G$5:$G$110&lt;&gt;"moeda")*(Inputs!$G$5:$G$110&lt;&gt;"acoes")))*INDEX(Inputs!$K$5:$AJ$110,0,MATCH(F$2,Inputs!$K$4:$AJ$4,0)))+SUMPRODUCT((Inputs!$E$5:$E$110=$B59)*Inputs!$F$5:$F$110*(((Inputs!$G$5:$G$110="moeda")+(Inputs!$G$5:$G$110="acoes"))*Inputs!$B$1+((Inputs!$G$5:$G$110&lt;&gt;"moeda")*(Inputs!$G$5:$G$110&lt;&gt;"acoes")))*INDEX(Inputs!$K$5:$AJ$110,0,MATCH(F$2,Inputs!$K$4:$AJ$4,0)))))</f>
        <v>834.002</v>
      </c>
      <c r="G59" s="264">
        <f>IF(ISNA(MATCH(G$2,Inputs!$K$4:$AJ$4,0)),NA(),IF(SUMPRODUCT((Inputs!$A$5:$A$110=$B59)*ISNUMBER(INDEX(Inputs!$K$5:$AJ$110,0,MATCH(G$2,Inputs!$K$4:$AJ$4,0))))+SUMPRODUCT((Inputs!$C$5:$C$110=$B59)*ISNUMBER(INDEX(Inputs!$K$5:$AJ$110,0,MATCH(G$2,Inputs!$K$4:$AJ$4,0))))+SUMPRODUCT((Inputs!$E$5:$E$110=$B59)*ISNUMBER(INDEX(Inputs!$K$5:$AJ$110,0,MATCH(G$2,Inputs!$K$4:$AJ$4,0))))=0,NA(),SUMPRODUCT((Inputs!$A$5:$A$110=$B59)*Inputs!$B$5:$B$110*(((Inputs!$G$5:$G$110="moeda")+(Inputs!$G$5:$G$110="acoes"))*Inputs!$B$1+((Inputs!$G$5:$G$110&lt;&gt;"moeda")*(Inputs!$G$5:$G$110&lt;&gt;"acoes")))*INDEX(Inputs!$K$5:$AJ$110,0,MATCH(G$2,Inputs!$K$4:$AJ$4,0)))+SUMPRODUCT((Inputs!$C$5:$C$110=$B59)*Inputs!$D$5:$D$110*(((Inputs!$G$5:$G$110="moeda")+(Inputs!$G$5:$G$110="acoes"))*Inputs!$B$1+((Inputs!$G$5:$G$110&lt;&gt;"moeda")*(Inputs!$G$5:$G$110&lt;&gt;"acoes")))*INDEX(Inputs!$K$5:$AJ$110,0,MATCH(G$2,Inputs!$K$4:$AJ$4,0)))+SUMPRODUCT((Inputs!$E$5:$E$110=$B59)*Inputs!$F$5:$F$110*(((Inputs!$G$5:$G$110="moeda")+(Inputs!$G$5:$G$110="acoes"))*Inputs!$B$1+((Inputs!$G$5:$G$110&lt;&gt;"moeda")*(Inputs!$G$5:$G$110&lt;&gt;"acoes")))*INDEX(Inputs!$K$5:$AJ$110,0,MATCH(G$2,Inputs!$K$4:$AJ$4,0)))))</f>
        <v>870.705</v>
      </c>
      <c r="H59" s="265">
        <f>SUM(D59:G59)</f>
        <v>3266.601</v>
      </c>
      <c r="I59" s="264">
        <f>IF(ISNA(MATCH(I$2,Inputs!$K$4:$AJ$4,0)),NA(),IF(SUMPRODUCT((Inputs!$A$5:$A$110=$B59)*ISNUMBER(INDEX(Inputs!$K$5:$AJ$110,0,MATCH(I$2,Inputs!$K$4:$AJ$4,0))))+SUMPRODUCT((Inputs!$C$5:$C$110=$B59)*ISNUMBER(INDEX(Inputs!$K$5:$AJ$110,0,MATCH(I$2,Inputs!$K$4:$AJ$4,0))))+SUMPRODUCT((Inputs!$E$5:$E$110=$B59)*ISNUMBER(INDEX(Inputs!$K$5:$AJ$110,0,MATCH(I$2,Inputs!$K$4:$AJ$4,0))))=0,NA(),SUMPRODUCT((Inputs!$A$5:$A$110=$B59)*Inputs!$B$5:$B$110*(((Inputs!$G$5:$G$110="moeda")+(Inputs!$G$5:$G$110="acoes"))*Inputs!$B$1+((Inputs!$G$5:$G$110&lt;&gt;"moeda")*(Inputs!$G$5:$G$110&lt;&gt;"acoes")))*INDEX(Inputs!$K$5:$AJ$110,0,MATCH(I$2,Inputs!$K$4:$AJ$4,0)))+SUMPRODUCT((Inputs!$C$5:$C$110=$B59)*Inputs!$D$5:$D$110*(((Inputs!$G$5:$G$110="moeda")+(Inputs!$G$5:$G$110="acoes"))*Inputs!$B$1+((Inputs!$G$5:$G$110&lt;&gt;"moeda")*(Inputs!$G$5:$G$110&lt;&gt;"acoes")))*INDEX(Inputs!$K$5:$AJ$110,0,MATCH(I$2,Inputs!$K$4:$AJ$4,0)))+SUMPRODUCT((Inputs!$E$5:$E$110=$B59)*Inputs!$F$5:$F$110*(((Inputs!$G$5:$G$110="moeda")+(Inputs!$G$5:$G$110="acoes"))*Inputs!$B$1+((Inputs!$G$5:$G$110&lt;&gt;"moeda")*(Inputs!$G$5:$G$110&lt;&gt;"acoes")))*INDEX(Inputs!$K$5:$AJ$110,0,MATCH(I$2,Inputs!$K$4:$AJ$4,0)))))</f>
        <v>916.754</v>
      </c>
      <c r="J59" s="264">
        <f>IF(ISNA(MATCH(J$2,Inputs!$K$4:$AJ$4,0)),NA(),IF(SUMPRODUCT((Inputs!$A$5:$A$110=$B59)*ISNUMBER(INDEX(Inputs!$K$5:$AJ$110,0,MATCH(J$2,Inputs!$K$4:$AJ$4,0))))+SUMPRODUCT((Inputs!$C$5:$C$110=$B59)*ISNUMBER(INDEX(Inputs!$K$5:$AJ$110,0,MATCH(J$2,Inputs!$K$4:$AJ$4,0))))+SUMPRODUCT((Inputs!$E$5:$E$110=$B59)*ISNUMBER(INDEX(Inputs!$K$5:$AJ$110,0,MATCH(J$2,Inputs!$K$4:$AJ$4,0))))=0,NA(),SUMPRODUCT((Inputs!$A$5:$A$110=$B59)*Inputs!$B$5:$B$110*(((Inputs!$G$5:$G$110="moeda")+(Inputs!$G$5:$G$110="acoes"))*Inputs!$B$1+((Inputs!$G$5:$G$110&lt;&gt;"moeda")*(Inputs!$G$5:$G$110&lt;&gt;"acoes")))*INDEX(Inputs!$K$5:$AJ$110,0,MATCH(J$2,Inputs!$K$4:$AJ$4,0)))+SUMPRODUCT((Inputs!$C$5:$C$110=$B59)*Inputs!$D$5:$D$110*(((Inputs!$G$5:$G$110="moeda")+(Inputs!$G$5:$G$110="acoes"))*Inputs!$B$1+((Inputs!$G$5:$G$110&lt;&gt;"moeda")*(Inputs!$G$5:$G$110&lt;&gt;"acoes")))*INDEX(Inputs!$K$5:$AJ$110,0,MATCH(J$2,Inputs!$K$4:$AJ$4,0)))+SUMPRODUCT((Inputs!$E$5:$E$110=$B59)*Inputs!$F$5:$F$110*(((Inputs!$G$5:$G$110="moeda")+(Inputs!$G$5:$G$110="acoes"))*Inputs!$B$1+((Inputs!$G$5:$G$110&lt;&gt;"moeda")*(Inputs!$G$5:$G$110&lt;&gt;"acoes")))*INDEX(Inputs!$K$5:$AJ$110,0,MATCH(J$2,Inputs!$K$4:$AJ$4,0)))))</f>
        <v>907.719</v>
      </c>
      <c r="K59" s="264">
        <f>IF(ISNA(MATCH(K$2,Inputs!$K$4:$AJ$4,0)),NA(),IF(SUMPRODUCT((Inputs!$A$5:$A$110=$B59)*ISNUMBER(INDEX(Inputs!$K$5:$AJ$110,0,MATCH(K$2,Inputs!$K$4:$AJ$4,0))))+SUMPRODUCT((Inputs!$C$5:$C$110=$B59)*ISNUMBER(INDEX(Inputs!$K$5:$AJ$110,0,MATCH(K$2,Inputs!$K$4:$AJ$4,0))))+SUMPRODUCT((Inputs!$E$5:$E$110=$B59)*ISNUMBER(INDEX(Inputs!$K$5:$AJ$110,0,MATCH(K$2,Inputs!$K$4:$AJ$4,0))))=0,NA(),SUMPRODUCT((Inputs!$A$5:$A$110=$B59)*Inputs!$B$5:$B$110*(((Inputs!$G$5:$G$110="moeda")+(Inputs!$G$5:$G$110="acoes"))*Inputs!$B$1+((Inputs!$G$5:$G$110&lt;&gt;"moeda")*(Inputs!$G$5:$G$110&lt;&gt;"acoes")))*INDEX(Inputs!$K$5:$AJ$110,0,MATCH(K$2,Inputs!$K$4:$AJ$4,0)))+SUMPRODUCT((Inputs!$C$5:$C$110=$B59)*Inputs!$D$5:$D$110*(((Inputs!$G$5:$G$110="moeda")+(Inputs!$G$5:$G$110="acoes"))*Inputs!$B$1+((Inputs!$G$5:$G$110&lt;&gt;"moeda")*(Inputs!$G$5:$G$110&lt;&gt;"acoes")))*INDEX(Inputs!$K$5:$AJ$110,0,MATCH(K$2,Inputs!$K$4:$AJ$4,0)))+SUMPRODUCT((Inputs!$E$5:$E$110=$B59)*Inputs!$F$5:$F$110*(((Inputs!$G$5:$G$110="moeda")+(Inputs!$G$5:$G$110="acoes"))*Inputs!$B$1+((Inputs!$G$5:$G$110&lt;&gt;"moeda")*(Inputs!$G$5:$G$110&lt;&gt;"acoes")))*INDEX(Inputs!$K$5:$AJ$110,0,MATCH(K$2,Inputs!$K$4:$AJ$4,0)))))</f>
        <v>889.037</v>
      </c>
      <c r="L59" s="264">
        <f>IF(ISNA(MATCH(L$2,Inputs!$K$4:$AJ$4,0)),NA(),IF(SUMPRODUCT((Inputs!$A$5:$A$110=$B59)*ISNUMBER(INDEX(Inputs!$K$5:$AJ$110,0,MATCH(L$2,Inputs!$K$4:$AJ$4,0))))+SUMPRODUCT((Inputs!$C$5:$C$110=$B59)*ISNUMBER(INDEX(Inputs!$K$5:$AJ$110,0,MATCH(L$2,Inputs!$K$4:$AJ$4,0))))+SUMPRODUCT((Inputs!$E$5:$E$110=$B59)*ISNUMBER(INDEX(Inputs!$K$5:$AJ$110,0,MATCH(L$2,Inputs!$K$4:$AJ$4,0))))=0,NA(),SUMPRODUCT((Inputs!$A$5:$A$110=$B59)*Inputs!$B$5:$B$110*(((Inputs!$G$5:$G$110="moeda")+(Inputs!$G$5:$G$110="acoes"))*Inputs!$B$1+((Inputs!$G$5:$G$110&lt;&gt;"moeda")*(Inputs!$G$5:$G$110&lt;&gt;"acoes")))*INDEX(Inputs!$K$5:$AJ$110,0,MATCH(L$2,Inputs!$K$4:$AJ$4,0)))+SUMPRODUCT((Inputs!$C$5:$C$110=$B59)*Inputs!$D$5:$D$110*(((Inputs!$G$5:$G$110="moeda")+(Inputs!$G$5:$G$110="acoes"))*Inputs!$B$1+((Inputs!$G$5:$G$110&lt;&gt;"moeda")*(Inputs!$G$5:$G$110&lt;&gt;"acoes")))*INDEX(Inputs!$K$5:$AJ$110,0,MATCH(L$2,Inputs!$K$4:$AJ$4,0)))+SUMPRODUCT((Inputs!$E$5:$E$110=$B59)*Inputs!$F$5:$F$110*(((Inputs!$G$5:$G$110="moeda")+(Inputs!$G$5:$G$110="acoes"))*Inputs!$B$1+((Inputs!$G$5:$G$110&lt;&gt;"moeda")*(Inputs!$G$5:$G$110&lt;&gt;"acoes")))*INDEX(Inputs!$K$5:$AJ$110,0,MATCH(L$2,Inputs!$K$4:$AJ$4,0)))))</f>
        <v>856.711</v>
      </c>
      <c r="M59" s="265">
        <f>SUM(I59:L59)</f>
        <v>3570.221</v>
      </c>
      <c r="N59" s="264">
        <f>IF(ISNA(MATCH(N$2,Inputs!$K$4:$AJ$4,0)),NA(),IF(SUMPRODUCT((Inputs!$A$5:$A$110=$B59)*ISNUMBER(INDEX(Inputs!$K$5:$AJ$110,0,MATCH(N$2,Inputs!$K$4:$AJ$4,0))))+SUMPRODUCT((Inputs!$C$5:$C$110=$B59)*ISNUMBER(INDEX(Inputs!$K$5:$AJ$110,0,MATCH(N$2,Inputs!$K$4:$AJ$4,0))))+SUMPRODUCT((Inputs!$E$5:$E$110=$B59)*ISNUMBER(INDEX(Inputs!$K$5:$AJ$110,0,MATCH(N$2,Inputs!$K$4:$AJ$4,0))))=0,NA(),SUMPRODUCT((Inputs!$A$5:$A$110=$B59)*Inputs!$B$5:$B$110*(((Inputs!$G$5:$G$110="moeda")+(Inputs!$G$5:$G$110="acoes"))*Inputs!$B$1+((Inputs!$G$5:$G$110&lt;&gt;"moeda")*(Inputs!$G$5:$G$110&lt;&gt;"acoes")))*INDEX(Inputs!$K$5:$AJ$110,0,MATCH(N$2,Inputs!$K$4:$AJ$4,0)))+SUMPRODUCT((Inputs!$C$5:$C$110=$B59)*Inputs!$D$5:$D$110*(((Inputs!$G$5:$G$110="moeda")+(Inputs!$G$5:$G$110="acoes"))*Inputs!$B$1+((Inputs!$G$5:$G$110&lt;&gt;"moeda")*(Inputs!$G$5:$G$110&lt;&gt;"acoes")))*INDEX(Inputs!$K$5:$AJ$110,0,MATCH(N$2,Inputs!$K$4:$AJ$4,0)))+SUMPRODUCT((Inputs!$E$5:$E$110=$B59)*Inputs!$F$5:$F$110*(((Inputs!$G$5:$G$110="moeda")+(Inputs!$G$5:$G$110="acoes"))*Inputs!$B$1+((Inputs!$G$5:$G$110&lt;&gt;"moeda")*(Inputs!$G$5:$G$110&lt;&gt;"acoes")))*INDEX(Inputs!$K$5:$AJ$110,0,MATCH(N$2,Inputs!$K$4:$AJ$4,0)))))</f>
        <v>933.523</v>
      </c>
      <c r="O59" s="264">
        <f>IF(ISNA(MATCH(O$2,Inputs!$K$4:$AJ$4,0)),NA(),IF(SUMPRODUCT((Inputs!$A$5:$A$110=$B59)*ISNUMBER(INDEX(Inputs!$K$5:$AJ$110,0,MATCH(O$2,Inputs!$K$4:$AJ$4,0))))+SUMPRODUCT((Inputs!$C$5:$C$110=$B59)*ISNUMBER(INDEX(Inputs!$K$5:$AJ$110,0,MATCH(O$2,Inputs!$K$4:$AJ$4,0))))+SUMPRODUCT((Inputs!$E$5:$E$110=$B59)*ISNUMBER(INDEX(Inputs!$K$5:$AJ$110,0,MATCH(O$2,Inputs!$K$4:$AJ$4,0))))=0,NA(),SUMPRODUCT((Inputs!$A$5:$A$110=$B59)*Inputs!$B$5:$B$110*(((Inputs!$G$5:$G$110="moeda")+(Inputs!$G$5:$G$110="acoes"))*Inputs!$B$1+((Inputs!$G$5:$G$110&lt;&gt;"moeda")*(Inputs!$G$5:$G$110&lt;&gt;"acoes")))*INDEX(Inputs!$K$5:$AJ$110,0,MATCH(O$2,Inputs!$K$4:$AJ$4,0)))+SUMPRODUCT((Inputs!$C$5:$C$110=$B59)*Inputs!$D$5:$D$110*(((Inputs!$G$5:$G$110="moeda")+(Inputs!$G$5:$G$110="acoes"))*Inputs!$B$1+((Inputs!$G$5:$G$110&lt;&gt;"moeda")*(Inputs!$G$5:$G$110&lt;&gt;"acoes")))*INDEX(Inputs!$K$5:$AJ$110,0,MATCH(O$2,Inputs!$K$4:$AJ$4,0)))+SUMPRODUCT((Inputs!$E$5:$E$110=$B59)*Inputs!$F$5:$F$110*(((Inputs!$G$5:$G$110="moeda")+(Inputs!$G$5:$G$110="acoes"))*Inputs!$B$1+((Inputs!$G$5:$G$110&lt;&gt;"moeda")*(Inputs!$G$5:$G$110&lt;&gt;"acoes")))*INDEX(Inputs!$K$5:$AJ$110,0,MATCH(O$2,Inputs!$K$4:$AJ$4,0)))))</f>
        <v>919.273</v>
      </c>
      <c r="P59" s="264">
        <f>IF(ISNA(MATCH(P$2,Inputs!$K$4:$AJ$4,0)),NA(),IF(SUMPRODUCT((Inputs!$A$5:$A$110=$B59)*ISNUMBER(INDEX(Inputs!$K$5:$AJ$110,0,MATCH(P$2,Inputs!$K$4:$AJ$4,0))))+SUMPRODUCT((Inputs!$C$5:$C$110=$B59)*ISNUMBER(INDEX(Inputs!$K$5:$AJ$110,0,MATCH(P$2,Inputs!$K$4:$AJ$4,0))))+SUMPRODUCT((Inputs!$E$5:$E$110=$B59)*ISNUMBER(INDEX(Inputs!$K$5:$AJ$110,0,MATCH(P$2,Inputs!$K$4:$AJ$4,0))))=0,NA(),SUMPRODUCT((Inputs!$A$5:$A$110=$B59)*Inputs!$B$5:$B$110*(((Inputs!$G$5:$G$110="moeda")+(Inputs!$G$5:$G$110="acoes"))*Inputs!$B$1+((Inputs!$G$5:$G$110&lt;&gt;"moeda")*(Inputs!$G$5:$G$110&lt;&gt;"acoes")))*INDEX(Inputs!$K$5:$AJ$110,0,MATCH(P$2,Inputs!$K$4:$AJ$4,0)))+SUMPRODUCT((Inputs!$C$5:$C$110=$B59)*Inputs!$D$5:$D$110*(((Inputs!$G$5:$G$110="moeda")+(Inputs!$G$5:$G$110="acoes"))*Inputs!$B$1+((Inputs!$G$5:$G$110&lt;&gt;"moeda")*(Inputs!$G$5:$G$110&lt;&gt;"acoes")))*INDEX(Inputs!$K$5:$AJ$110,0,MATCH(P$2,Inputs!$K$4:$AJ$4,0)))+SUMPRODUCT((Inputs!$E$5:$E$110=$B59)*Inputs!$F$5:$F$110*(((Inputs!$G$5:$G$110="moeda")+(Inputs!$G$5:$G$110="acoes"))*Inputs!$B$1+((Inputs!$G$5:$G$110&lt;&gt;"moeda")*(Inputs!$G$5:$G$110&lt;&gt;"acoes")))*INDEX(Inputs!$K$5:$AJ$110,0,MATCH(P$2,Inputs!$K$4:$AJ$4,0)))))</f>
        <v>948.216</v>
      </c>
      <c r="Q59" s="264">
        <f>IF(ISNA(MATCH(Q$2,Inputs!$K$4:$AJ$4,0)),NA(),IF(SUMPRODUCT((Inputs!$A$5:$A$110=$B59)*ISNUMBER(INDEX(Inputs!$K$5:$AJ$110,0,MATCH(Q$2,Inputs!$K$4:$AJ$4,0))))+SUMPRODUCT((Inputs!$C$5:$C$110=$B59)*ISNUMBER(INDEX(Inputs!$K$5:$AJ$110,0,MATCH(Q$2,Inputs!$K$4:$AJ$4,0))))+SUMPRODUCT((Inputs!$E$5:$E$110=$B59)*ISNUMBER(INDEX(Inputs!$K$5:$AJ$110,0,MATCH(Q$2,Inputs!$K$4:$AJ$4,0))))=0,NA(),SUMPRODUCT((Inputs!$A$5:$A$110=$B59)*Inputs!$B$5:$B$110*(((Inputs!$G$5:$G$110="moeda")+(Inputs!$G$5:$G$110="acoes"))*Inputs!$B$1+((Inputs!$G$5:$G$110&lt;&gt;"moeda")*(Inputs!$G$5:$G$110&lt;&gt;"acoes")))*INDEX(Inputs!$K$5:$AJ$110,0,MATCH(Q$2,Inputs!$K$4:$AJ$4,0)))+SUMPRODUCT((Inputs!$C$5:$C$110=$B59)*Inputs!$D$5:$D$110*(((Inputs!$G$5:$G$110="moeda")+(Inputs!$G$5:$G$110="acoes"))*Inputs!$B$1+((Inputs!$G$5:$G$110&lt;&gt;"moeda")*(Inputs!$G$5:$G$110&lt;&gt;"acoes")))*INDEX(Inputs!$K$5:$AJ$110,0,MATCH(Q$2,Inputs!$K$4:$AJ$4,0)))+SUMPRODUCT((Inputs!$E$5:$E$110=$B59)*Inputs!$F$5:$F$110*(((Inputs!$G$5:$G$110="moeda")+(Inputs!$G$5:$G$110="acoes"))*Inputs!$B$1+((Inputs!$G$5:$G$110&lt;&gt;"moeda")*(Inputs!$G$5:$G$110&lt;&gt;"acoes")))*INDEX(Inputs!$K$5:$AJ$110,0,MATCH(Q$2,Inputs!$K$4:$AJ$4,0)))))</f>
        <v>962.715</v>
      </c>
      <c r="R59" s="265">
        <f>SUM(N59:Q59)</f>
        <v>3763.727</v>
      </c>
      <c r="S59" s="264">
        <f>IF(ISNA(MATCH(S$2,Inputs!$K$4:$AJ$4,0)),NA(),IF(SUMPRODUCT((Inputs!$A$5:$A$110=$B59)*ISNUMBER(INDEX(Inputs!$K$5:$AJ$110,0,MATCH(S$2,Inputs!$K$4:$AJ$4,0))))+SUMPRODUCT((Inputs!$C$5:$C$110=$B59)*ISNUMBER(INDEX(Inputs!$K$5:$AJ$110,0,MATCH(S$2,Inputs!$K$4:$AJ$4,0))))+SUMPRODUCT((Inputs!$E$5:$E$110=$B59)*ISNUMBER(INDEX(Inputs!$K$5:$AJ$110,0,MATCH(S$2,Inputs!$K$4:$AJ$4,0))))=0,NA(),SUMPRODUCT((Inputs!$A$5:$A$110=$B59)*Inputs!$B$5:$B$110*(((Inputs!$G$5:$G$110="moeda")+(Inputs!$G$5:$G$110="acoes"))*Inputs!$B$1+((Inputs!$G$5:$G$110&lt;&gt;"moeda")*(Inputs!$G$5:$G$110&lt;&gt;"acoes")))*INDEX(Inputs!$K$5:$AJ$110,0,MATCH(S$2,Inputs!$K$4:$AJ$4,0)))+SUMPRODUCT((Inputs!$C$5:$C$110=$B59)*Inputs!$D$5:$D$110*(((Inputs!$G$5:$G$110="moeda")+(Inputs!$G$5:$G$110="acoes"))*Inputs!$B$1+((Inputs!$G$5:$G$110&lt;&gt;"moeda")*(Inputs!$G$5:$G$110&lt;&gt;"acoes")))*INDEX(Inputs!$K$5:$AJ$110,0,MATCH(S$2,Inputs!$K$4:$AJ$4,0)))+SUMPRODUCT((Inputs!$E$5:$E$110=$B59)*Inputs!$F$5:$F$110*(((Inputs!$G$5:$G$110="moeda")+(Inputs!$G$5:$G$110="acoes"))*Inputs!$B$1+((Inputs!$G$5:$G$110&lt;&gt;"moeda")*(Inputs!$G$5:$G$110&lt;&gt;"acoes")))*INDEX(Inputs!$K$5:$AJ$110,0,MATCH(S$2,Inputs!$K$4:$AJ$4,0)))))</f>
        <v>1022.924</v>
      </c>
      <c r="T59" s="264">
        <f>IF(ISNA(MATCH(T$2,Inputs!$K$4:$AJ$4,0)),NA(),IF(SUMPRODUCT((Inputs!$A$5:$A$110=$B59)*ISNUMBER(INDEX(Inputs!$K$5:$AJ$110,0,MATCH(T$2,Inputs!$K$4:$AJ$4,0))))+SUMPRODUCT((Inputs!$C$5:$C$110=$B59)*ISNUMBER(INDEX(Inputs!$K$5:$AJ$110,0,MATCH(T$2,Inputs!$K$4:$AJ$4,0))))+SUMPRODUCT((Inputs!$E$5:$E$110=$B59)*ISNUMBER(INDEX(Inputs!$K$5:$AJ$110,0,MATCH(T$2,Inputs!$K$4:$AJ$4,0))))=0,NA(),SUMPRODUCT((Inputs!$A$5:$A$110=$B59)*Inputs!$B$5:$B$110*(((Inputs!$G$5:$G$110="moeda")+(Inputs!$G$5:$G$110="acoes"))*Inputs!$B$1+((Inputs!$G$5:$G$110&lt;&gt;"moeda")*(Inputs!$G$5:$G$110&lt;&gt;"acoes")))*INDEX(Inputs!$K$5:$AJ$110,0,MATCH(T$2,Inputs!$K$4:$AJ$4,0)))+SUMPRODUCT((Inputs!$C$5:$C$110=$B59)*Inputs!$D$5:$D$110*(((Inputs!$G$5:$G$110="moeda")+(Inputs!$G$5:$G$110="acoes"))*Inputs!$B$1+((Inputs!$G$5:$G$110&lt;&gt;"moeda")*(Inputs!$G$5:$G$110&lt;&gt;"acoes")))*INDEX(Inputs!$K$5:$AJ$110,0,MATCH(T$2,Inputs!$K$4:$AJ$4,0)))+SUMPRODUCT((Inputs!$E$5:$E$110=$B59)*Inputs!$F$5:$F$110*(((Inputs!$G$5:$G$110="moeda")+(Inputs!$G$5:$G$110="acoes"))*Inputs!$B$1+((Inputs!$G$5:$G$110&lt;&gt;"moeda")*(Inputs!$G$5:$G$110&lt;&gt;"acoes")))*INDEX(Inputs!$K$5:$AJ$110,0,MATCH(T$2,Inputs!$K$4:$AJ$4,0)))))</f>
        <v>1051.833</v>
      </c>
      <c r="U59" s="264">
        <f>IF(ISNA(MATCH(U$2,Inputs!$K$4:$AJ$4,0)),NA(),IF(SUMPRODUCT((Inputs!$A$5:$A$110=$B59)*ISNUMBER(INDEX(Inputs!$K$5:$AJ$110,0,MATCH(U$2,Inputs!$K$4:$AJ$4,0))))+SUMPRODUCT((Inputs!$C$5:$C$110=$B59)*ISNUMBER(INDEX(Inputs!$K$5:$AJ$110,0,MATCH(U$2,Inputs!$K$4:$AJ$4,0))))+SUMPRODUCT((Inputs!$E$5:$E$110=$B59)*ISNUMBER(INDEX(Inputs!$K$5:$AJ$110,0,MATCH(U$2,Inputs!$K$4:$AJ$4,0))))=0,NA(),SUMPRODUCT((Inputs!$A$5:$A$110=$B59)*Inputs!$B$5:$B$110*(((Inputs!$G$5:$G$110="moeda")+(Inputs!$G$5:$G$110="acoes"))*Inputs!$B$1+((Inputs!$G$5:$G$110&lt;&gt;"moeda")*(Inputs!$G$5:$G$110&lt;&gt;"acoes")))*INDEX(Inputs!$K$5:$AJ$110,0,MATCH(U$2,Inputs!$K$4:$AJ$4,0)))+SUMPRODUCT((Inputs!$C$5:$C$110=$B59)*Inputs!$D$5:$D$110*(((Inputs!$G$5:$G$110="moeda")+(Inputs!$G$5:$G$110="acoes"))*Inputs!$B$1+((Inputs!$G$5:$G$110&lt;&gt;"moeda")*(Inputs!$G$5:$G$110&lt;&gt;"acoes")))*INDEX(Inputs!$K$5:$AJ$110,0,MATCH(U$2,Inputs!$K$4:$AJ$4,0)))+SUMPRODUCT((Inputs!$E$5:$E$110=$B59)*Inputs!$F$5:$F$110*(((Inputs!$G$5:$G$110="moeda")+(Inputs!$G$5:$G$110="acoes"))*Inputs!$B$1+((Inputs!$G$5:$G$110&lt;&gt;"moeda")*(Inputs!$G$5:$G$110&lt;&gt;"acoes")))*INDEX(Inputs!$K$5:$AJ$110,0,MATCH(U$2,Inputs!$K$4:$AJ$4,0)))))</f>
        <v>1127.869</v>
      </c>
      <c r="V59" s="264">
        <f>IF(ISNA(MATCH(V$2,Inputs!$K$4:$AJ$4,0)),NA(),IF(SUMPRODUCT((Inputs!$A$5:$A$110=$B59)*ISNUMBER(INDEX(Inputs!$K$5:$AJ$110,0,MATCH(V$2,Inputs!$K$4:$AJ$4,0))))+SUMPRODUCT((Inputs!$C$5:$C$110=$B59)*ISNUMBER(INDEX(Inputs!$K$5:$AJ$110,0,MATCH(V$2,Inputs!$K$4:$AJ$4,0))))+SUMPRODUCT((Inputs!$E$5:$E$110=$B59)*ISNUMBER(INDEX(Inputs!$K$5:$AJ$110,0,MATCH(V$2,Inputs!$K$4:$AJ$4,0))))=0,NA(),SUMPRODUCT((Inputs!$A$5:$A$110=$B59)*Inputs!$B$5:$B$110*(((Inputs!$G$5:$G$110="moeda")+(Inputs!$G$5:$G$110="acoes"))*Inputs!$B$1+((Inputs!$G$5:$G$110&lt;&gt;"moeda")*(Inputs!$G$5:$G$110&lt;&gt;"acoes")))*INDEX(Inputs!$K$5:$AJ$110,0,MATCH(V$2,Inputs!$K$4:$AJ$4,0)))+SUMPRODUCT((Inputs!$C$5:$C$110=$B59)*Inputs!$D$5:$D$110*(((Inputs!$G$5:$G$110="moeda")+(Inputs!$G$5:$G$110="acoes"))*Inputs!$B$1+((Inputs!$G$5:$G$110&lt;&gt;"moeda")*(Inputs!$G$5:$G$110&lt;&gt;"acoes")))*INDEX(Inputs!$K$5:$AJ$110,0,MATCH(V$2,Inputs!$K$4:$AJ$4,0)))+SUMPRODUCT((Inputs!$E$5:$E$110=$B59)*Inputs!$F$5:$F$110*(((Inputs!$G$5:$G$110="moeda")+(Inputs!$G$5:$G$110="acoes"))*Inputs!$B$1+((Inputs!$G$5:$G$110&lt;&gt;"moeda")*(Inputs!$G$5:$G$110&lt;&gt;"acoes")))*INDEX(Inputs!$K$5:$AJ$110,0,MATCH(V$2,Inputs!$K$4:$AJ$4,0)))))</f>
        <v>1212.12</v>
      </c>
      <c r="W59" s="265">
        <f>SUM(S59:V59)</f>
        <v>4414.746</v>
      </c>
      <c r="X59" s="264">
        <f>IF(ISNA(MATCH(X$2,Inputs!$K$4:$AJ$4,0)),NA(),IF(SUMPRODUCT((Inputs!$A$5:$A$110=$B59)*ISNUMBER(INDEX(Inputs!$K$5:$AJ$110,0,MATCH(X$2,Inputs!$K$4:$AJ$4,0))))+SUMPRODUCT((Inputs!$C$5:$C$110=$B59)*ISNUMBER(INDEX(Inputs!$K$5:$AJ$110,0,MATCH(X$2,Inputs!$K$4:$AJ$4,0))))+SUMPRODUCT((Inputs!$E$5:$E$110=$B59)*ISNUMBER(INDEX(Inputs!$K$5:$AJ$110,0,MATCH(X$2,Inputs!$K$4:$AJ$4,0))))=0,NA(),SUMPRODUCT((Inputs!$A$5:$A$110=$B59)*Inputs!$B$5:$B$110*(((Inputs!$G$5:$G$110="moeda")+(Inputs!$G$5:$G$110="acoes"))*Inputs!$B$1+((Inputs!$G$5:$G$110&lt;&gt;"moeda")*(Inputs!$G$5:$G$110&lt;&gt;"acoes")))*INDEX(Inputs!$K$5:$AJ$110,0,MATCH(X$2,Inputs!$K$4:$AJ$4,0)))+SUMPRODUCT((Inputs!$C$5:$C$110=$B59)*Inputs!$D$5:$D$110*(((Inputs!$G$5:$G$110="moeda")+(Inputs!$G$5:$G$110="acoes"))*Inputs!$B$1+((Inputs!$G$5:$G$110&lt;&gt;"moeda")*(Inputs!$G$5:$G$110&lt;&gt;"acoes")))*INDEX(Inputs!$K$5:$AJ$110,0,MATCH(X$2,Inputs!$K$4:$AJ$4,0)))+SUMPRODUCT((Inputs!$E$5:$E$110=$B59)*Inputs!$F$5:$F$110*(((Inputs!$G$5:$G$110="moeda")+(Inputs!$G$5:$G$110="acoes"))*Inputs!$B$1+((Inputs!$G$5:$G$110&lt;&gt;"moeda")*(Inputs!$G$5:$G$110&lt;&gt;"acoes")))*INDEX(Inputs!$K$5:$AJ$110,0,MATCH(X$2,Inputs!$K$4:$AJ$4,0)))))</f>
        <v>1259.093</v>
      </c>
      <c r="Y59" s="264">
        <f>IF(ISNA(MATCH(Y$2,Inputs!$K$4:$AJ$4,0)),NA(),IF(SUMPRODUCT((Inputs!$A$5:$A$110=$B59)*ISNUMBER(INDEX(Inputs!$K$5:$AJ$110,0,MATCH(Y$2,Inputs!$K$4:$AJ$4,0))))+SUMPRODUCT((Inputs!$C$5:$C$110=$B59)*ISNUMBER(INDEX(Inputs!$K$5:$AJ$110,0,MATCH(Y$2,Inputs!$K$4:$AJ$4,0))))+SUMPRODUCT((Inputs!$E$5:$E$110=$B59)*ISNUMBER(INDEX(Inputs!$K$5:$AJ$110,0,MATCH(Y$2,Inputs!$K$4:$AJ$4,0))))=0,NA(),SUMPRODUCT((Inputs!$A$5:$A$110=$B59)*Inputs!$B$5:$B$110*(((Inputs!$G$5:$G$110="moeda")+(Inputs!$G$5:$G$110="acoes"))*Inputs!$B$1+((Inputs!$G$5:$G$110&lt;&gt;"moeda")*(Inputs!$G$5:$G$110&lt;&gt;"acoes")))*INDEX(Inputs!$K$5:$AJ$110,0,MATCH(Y$2,Inputs!$K$4:$AJ$4,0)))+SUMPRODUCT((Inputs!$C$5:$C$110=$B59)*Inputs!$D$5:$D$110*(((Inputs!$G$5:$G$110="moeda")+(Inputs!$G$5:$G$110="acoes"))*Inputs!$B$1+((Inputs!$G$5:$G$110&lt;&gt;"moeda")*(Inputs!$G$5:$G$110&lt;&gt;"acoes")))*INDEX(Inputs!$K$5:$AJ$110,0,MATCH(Y$2,Inputs!$K$4:$AJ$4,0)))+SUMPRODUCT((Inputs!$E$5:$E$110=$B59)*Inputs!$F$5:$F$110*(((Inputs!$G$5:$G$110="moeda")+(Inputs!$G$5:$G$110="acoes"))*Inputs!$B$1+((Inputs!$G$5:$G$110&lt;&gt;"moeda")*(Inputs!$G$5:$G$110&lt;&gt;"acoes")))*INDEX(Inputs!$K$5:$AJ$110,0,MATCH(Y$2,Inputs!$K$4:$AJ$4,0)))))</f>
        <v>1305.253</v>
      </c>
      <c r="Z59" s="264">
        <f>IF(ISNA(MATCH(Z$2,Inputs!$K$4:$AJ$4,0)),NA(),IF(SUMPRODUCT((Inputs!$A$5:$A$110=$B59)*ISNUMBER(INDEX(Inputs!$K$5:$AJ$110,0,MATCH(Z$2,Inputs!$K$4:$AJ$4,0))))+SUMPRODUCT((Inputs!$C$5:$C$110=$B59)*ISNUMBER(INDEX(Inputs!$K$5:$AJ$110,0,MATCH(Z$2,Inputs!$K$4:$AJ$4,0))))+SUMPRODUCT((Inputs!$E$5:$E$110=$B59)*ISNUMBER(INDEX(Inputs!$K$5:$AJ$110,0,MATCH(Z$2,Inputs!$K$4:$AJ$4,0))))=0,NA(),SUMPRODUCT((Inputs!$A$5:$A$110=$B59)*Inputs!$B$5:$B$110*(((Inputs!$G$5:$G$110="moeda")+(Inputs!$G$5:$G$110="acoes"))*Inputs!$B$1+((Inputs!$G$5:$G$110&lt;&gt;"moeda")*(Inputs!$G$5:$G$110&lt;&gt;"acoes")))*INDEX(Inputs!$K$5:$AJ$110,0,MATCH(Z$2,Inputs!$K$4:$AJ$4,0)))+SUMPRODUCT((Inputs!$C$5:$C$110=$B59)*Inputs!$D$5:$D$110*(((Inputs!$G$5:$G$110="moeda")+(Inputs!$G$5:$G$110="acoes"))*Inputs!$B$1+((Inputs!$G$5:$G$110&lt;&gt;"moeda")*(Inputs!$G$5:$G$110&lt;&gt;"acoes")))*INDEX(Inputs!$K$5:$AJ$110,0,MATCH(Z$2,Inputs!$K$4:$AJ$4,0)))+SUMPRODUCT((Inputs!$E$5:$E$110=$B59)*Inputs!$F$5:$F$110*(((Inputs!$G$5:$G$110="moeda")+(Inputs!$G$5:$G$110="acoes"))*Inputs!$B$1+((Inputs!$G$5:$G$110&lt;&gt;"moeda")*(Inputs!$G$5:$G$110&lt;&gt;"acoes")))*INDEX(Inputs!$K$5:$AJ$110,0,MATCH(Z$2,Inputs!$K$4:$AJ$4,0)))))</f>
        <v>1368.561</v>
      </c>
      <c r="AA59" s="264">
        <f>IF(ISNA(MATCH(AA$2,Inputs!$K$4:$AJ$4,0)),NA(),IF(SUMPRODUCT((Inputs!$A$5:$A$110=$B59)*ISNUMBER(INDEX(Inputs!$K$5:$AJ$110,0,MATCH(AA$2,Inputs!$K$4:$AJ$4,0))))+SUMPRODUCT((Inputs!$C$5:$C$110=$B59)*ISNUMBER(INDEX(Inputs!$K$5:$AJ$110,0,MATCH(AA$2,Inputs!$K$4:$AJ$4,0))))+SUMPRODUCT((Inputs!$E$5:$E$110=$B59)*ISNUMBER(INDEX(Inputs!$K$5:$AJ$110,0,MATCH(AA$2,Inputs!$K$4:$AJ$4,0))))=0,NA(),SUMPRODUCT((Inputs!$A$5:$A$110=$B59)*Inputs!$B$5:$B$110*(((Inputs!$G$5:$G$110="moeda")+(Inputs!$G$5:$G$110="acoes"))*Inputs!$B$1+((Inputs!$G$5:$G$110&lt;&gt;"moeda")*(Inputs!$G$5:$G$110&lt;&gt;"acoes")))*INDEX(Inputs!$K$5:$AJ$110,0,MATCH(AA$2,Inputs!$K$4:$AJ$4,0)))+SUMPRODUCT((Inputs!$C$5:$C$110=$B59)*Inputs!$D$5:$D$110*(((Inputs!$G$5:$G$110="moeda")+(Inputs!$G$5:$G$110="acoes"))*Inputs!$B$1+((Inputs!$G$5:$G$110&lt;&gt;"moeda")*(Inputs!$G$5:$G$110&lt;&gt;"acoes")))*INDEX(Inputs!$K$5:$AJ$110,0,MATCH(AA$2,Inputs!$K$4:$AJ$4,0)))+SUMPRODUCT((Inputs!$E$5:$E$110=$B59)*Inputs!$F$5:$F$110*(((Inputs!$G$5:$G$110="moeda")+(Inputs!$G$5:$G$110="acoes"))*Inputs!$B$1+((Inputs!$G$5:$G$110&lt;&gt;"moeda")*(Inputs!$G$5:$G$110&lt;&gt;"acoes")))*INDEX(Inputs!$K$5:$AJ$110,0,MATCH(AA$2,Inputs!$K$4:$AJ$4,0)))))</f>
        <v>1420.81</v>
      </c>
      <c r="AB59" s="265">
        <f>SUM(X59:AA59)</f>
        <v>5353.717</v>
      </c>
      <c r="AC59" s="264">
        <f>IF(ISNA(MATCH(AC$2,Inputs!$K$4:$AJ$4,0)),NA(),IF(SUMPRODUCT((Inputs!$A$5:$A$110=$B59)*ISNUMBER(INDEX(Inputs!$K$5:$AJ$110,0,MATCH(AC$2,Inputs!$K$4:$AJ$4,0))))+SUMPRODUCT((Inputs!$C$5:$C$110=$B59)*ISNUMBER(INDEX(Inputs!$K$5:$AJ$110,0,MATCH(AC$2,Inputs!$K$4:$AJ$4,0))))+SUMPRODUCT((Inputs!$E$5:$E$110=$B59)*ISNUMBER(INDEX(Inputs!$K$5:$AJ$110,0,MATCH(AC$2,Inputs!$K$4:$AJ$4,0))))=0,NA(),SUMPRODUCT((Inputs!$A$5:$A$110=$B59)*Inputs!$B$5:$B$110*(((Inputs!$G$5:$G$110="moeda")+(Inputs!$G$5:$G$110="acoes"))*Inputs!$B$1+((Inputs!$G$5:$G$110&lt;&gt;"moeda")*(Inputs!$G$5:$G$110&lt;&gt;"acoes")))*INDEX(Inputs!$K$5:$AJ$110,0,MATCH(AC$2,Inputs!$K$4:$AJ$4,0)))+SUMPRODUCT((Inputs!$C$5:$C$110=$B59)*Inputs!$D$5:$D$110*(((Inputs!$G$5:$G$110="moeda")+(Inputs!$G$5:$G$110="acoes"))*Inputs!$B$1+((Inputs!$G$5:$G$110&lt;&gt;"moeda")*(Inputs!$G$5:$G$110&lt;&gt;"acoes")))*INDEX(Inputs!$K$5:$AJ$110,0,MATCH(AC$2,Inputs!$K$4:$AJ$4,0)))+SUMPRODUCT((Inputs!$E$5:$E$110=$B59)*Inputs!$F$5:$F$110*(((Inputs!$G$5:$G$110="moeda")+(Inputs!$G$5:$G$110="acoes"))*Inputs!$B$1+((Inputs!$G$5:$G$110&lt;&gt;"moeda")*(Inputs!$G$5:$G$110&lt;&gt;"acoes")))*INDEX(Inputs!$K$5:$AJ$110,0,MATCH(AC$2,Inputs!$K$4:$AJ$4,0)))))</f>
        <v>1508.982</v>
      </c>
      <c r="AD59" s="264">
        <f>IF(ISNA(MATCH(AD$2,Inputs!$K$4:$AJ$4,0)),NA(),IF(SUMPRODUCT((Inputs!$A$5:$A$110=$B59)*ISNUMBER(INDEX(Inputs!$K$5:$AJ$110,0,MATCH(AD$2,Inputs!$K$4:$AJ$4,0))))+SUMPRODUCT((Inputs!$C$5:$C$110=$B59)*ISNUMBER(INDEX(Inputs!$K$5:$AJ$110,0,MATCH(AD$2,Inputs!$K$4:$AJ$4,0))))+SUMPRODUCT((Inputs!$E$5:$E$110=$B59)*ISNUMBER(INDEX(Inputs!$K$5:$AJ$110,0,MATCH(AD$2,Inputs!$K$4:$AJ$4,0))))=0,NA(),SUMPRODUCT((Inputs!$A$5:$A$110=$B59)*Inputs!$B$5:$B$110*(((Inputs!$G$5:$G$110="moeda")+(Inputs!$G$5:$G$110="acoes"))*Inputs!$B$1+((Inputs!$G$5:$G$110&lt;&gt;"moeda")*(Inputs!$G$5:$G$110&lt;&gt;"acoes")))*INDEX(Inputs!$K$5:$AJ$110,0,MATCH(AD$2,Inputs!$K$4:$AJ$4,0)))+SUMPRODUCT((Inputs!$C$5:$C$110=$B59)*Inputs!$D$5:$D$110*(((Inputs!$G$5:$G$110="moeda")+(Inputs!$G$5:$G$110="acoes"))*Inputs!$B$1+((Inputs!$G$5:$G$110&lt;&gt;"moeda")*(Inputs!$G$5:$G$110&lt;&gt;"acoes")))*INDEX(Inputs!$K$5:$AJ$110,0,MATCH(AD$2,Inputs!$K$4:$AJ$4,0)))+SUMPRODUCT((Inputs!$E$5:$E$110=$B59)*Inputs!$F$5:$F$110*(((Inputs!$G$5:$G$110="moeda")+(Inputs!$G$5:$G$110="acoes"))*Inputs!$B$1+((Inputs!$G$5:$G$110&lt;&gt;"moeda")*(Inputs!$G$5:$G$110&lt;&gt;"acoes")))*INDEX(Inputs!$K$5:$AJ$110,0,MATCH(AD$2,Inputs!$K$4:$AJ$4,0)))))</f>
        <v>1510.466</v>
      </c>
      <c r="AE59" s="264" t="e">
        <f>IF(ISNA(MATCH(AE$2,Inputs!$K$4:$AJ$4,0)),NA(),IF(SUMPRODUCT((Inputs!$A$5:$A$110=$B59)*ISNUMBER(INDEX(Inputs!$K$5:$AJ$110,0,MATCH(AE$2,Inputs!$K$4:$AJ$4,0))))+SUMPRODUCT((Inputs!$C$5:$C$110=$B59)*ISNUMBER(INDEX(Inputs!$K$5:$AJ$110,0,MATCH(AE$2,Inputs!$K$4:$AJ$4,0))))+SUMPRODUCT((Inputs!$E$5:$E$110=$B59)*ISNUMBER(INDEX(Inputs!$K$5:$AJ$110,0,MATCH(AE$2,Inputs!$K$4:$AJ$4,0))))=0,NA(),SUMPRODUCT((Inputs!$A$5:$A$110=$B59)*Inputs!$B$5:$B$110*(((Inputs!$G$5:$G$110="moeda")+(Inputs!$G$5:$G$110="acoes"))*Inputs!$B$1+((Inputs!$G$5:$G$110&lt;&gt;"moeda")*(Inputs!$G$5:$G$110&lt;&gt;"acoes")))*INDEX(Inputs!$K$5:$AJ$110,0,MATCH(AE$2,Inputs!$K$4:$AJ$4,0)))+SUMPRODUCT((Inputs!$C$5:$C$110=$B59)*Inputs!$D$5:$D$110*(((Inputs!$G$5:$G$110="moeda")+(Inputs!$G$5:$G$110="acoes"))*Inputs!$B$1+((Inputs!$G$5:$G$110&lt;&gt;"moeda")*(Inputs!$G$5:$G$110&lt;&gt;"acoes")))*INDEX(Inputs!$K$5:$AJ$110,0,MATCH(AE$2,Inputs!$K$4:$AJ$4,0)))+SUMPRODUCT((Inputs!$E$5:$E$110=$B59)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9" s="264" t="e">
        <f>IF(ISNA(MATCH(AF$2,Inputs!$K$4:$AJ$4,0)),NA(),IF(SUMPRODUCT((Inputs!$A$5:$A$110=$B59)*ISNUMBER(INDEX(Inputs!$K$5:$AJ$110,0,MATCH(AF$2,Inputs!$K$4:$AJ$4,0))))+SUMPRODUCT((Inputs!$C$5:$C$110=$B59)*ISNUMBER(INDEX(Inputs!$K$5:$AJ$110,0,MATCH(AF$2,Inputs!$K$4:$AJ$4,0))))+SUMPRODUCT((Inputs!$E$5:$E$110=$B59)*ISNUMBER(INDEX(Inputs!$K$5:$AJ$110,0,MATCH(AF$2,Inputs!$K$4:$AJ$4,0))))=0,NA(),SUMPRODUCT((Inputs!$A$5:$A$110=$B59)*Inputs!$B$5:$B$110*(((Inputs!$G$5:$G$110="moeda")+(Inputs!$G$5:$G$110="acoes"))*Inputs!$B$1+((Inputs!$G$5:$G$110&lt;&gt;"moeda")*(Inputs!$G$5:$G$110&lt;&gt;"acoes")))*INDEX(Inputs!$K$5:$AJ$110,0,MATCH(AF$2,Inputs!$K$4:$AJ$4,0)))+SUMPRODUCT((Inputs!$C$5:$C$110=$B59)*Inputs!$D$5:$D$110*(((Inputs!$G$5:$G$110="moeda")+(Inputs!$G$5:$G$110="acoes"))*Inputs!$B$1+((Inputs!$G$5:$G$110&lt;&gt;"moeda")*(Inputs!$G$5:$G$110&lt;&gt;"acoes")))*INDEX(Inputs!$K$5:$AJ$110,0,MATCH(AF$2,Inputs!$K$4:$AJ$4,0)))+SUMPRODUCT((Inputs!$E$5:$E$110=$B59)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9" s="265" t="e">
        <f>SUM(AC59:AF59)</f>
        <v>#N/A</v>
      </c>
      <c r="AH59" s="264">
        <f>IF(ISNA(MATCH(AH$2,Inputs!$K$4:$AJ$4,0)),NA(),IF(SUMPRODUCT((Inputs!$A$5:$A$110=$B59)*ISNUMBER(INDEX(Inputs!$K$5:$AJ$110,0,MATCH(AH$2,Inputs!$K$4:$AJ$4,0))))+SUMPRODUCT((Inputs!$C$5:$C$110=$B59)*ISNUMBER(INDEX(Inputs!$K$5:$AJ$110,0,MATCH(AH$2,Inputs!$K$4:$AJ$4,0))))+SUMPRODUCT((Inputs!$E$5:$E$110=$B59)*ISNUMBER(INDEX(Inputs!$K$5:$AJ$110,0,MATCH(AH$2,Inputs!$K$4:$AJ$4,0))))=0,NA(),SUMPRODUCT((Inputs!$A$5:$A$110=$B59)*Inputs!$B$5:$B$110*(((Inputs!$G$5:$G$110="moeda")+(Inputs!$G$5:$G$110="acoes"))*Inputs!$B$1+((Inputs!$G$5:$G$110&lt;&gt;"moeda")*(Inputs!$G$5:$G$110&lt;&gt;"acoes")))*INDEX(Inputs!$K$5:$AJ$110,0,MATCH(AH$2,Inputs!$K$4:$AJ$4,0)))+SUMPRODUCT((Inputs!$C$5:$C$110=$B59)*Inputs!$D$5:$D$110*(((Inputs!$G$5:$G$110="moeda")+(Inputs!$G$5:$G$110="acoes"))*Inputs!$B$1+((Inputs!$G$5:$G$110&lt;&gt;"moeda")*(Inputs!$G$5:$G$110&lt;&gt;"acoes")))*INDEX(Inputs!$K$5:$AJ$110,0,MATCH(AH$2,Inputs!$K$4:$AJ$4,0)))+SUMPRODUCT((Inputs!$E$5:$E$110=$B59)*Inputs!$F$5:$F$110*(((Inputs!$G$5:$G$110="moeda")+(Inputs!$G$5:$G$110="acoes"))*Inputs!$B$1+((Inputs!$G$5:$G$110&lt;&gt;"moeda")*(Inputs!$G$5:$G$110&lt;&gt;"acoes")))*INDEX(Inputs!$K$5:$AJ$110,0,MATCH(AH$2,Inputs!$K$4:$AJ$4,0)))))</f>
        <v>483.66</v>
      </c>
      <c r="AI59" s="264">
        <f>IF(ISNA(MATCH(AI$2,Inputs!$K$4:$AJ$4,0)),NA(),IF(SUMPRODUCT((Inputs!$A$5:$A$110=$B59)*ISNUMBER(INDEX(Inputs!$K$5:$AJ$110,0,MATCH(AI$2,Inputs!$K$4:$AJ$4,0))))+SUMPRODUCT((Inputs!$C$5:$C$110=$B59)*ISNUMBER(INDEX(Inputs!$K$5:$AJ$110,0,MATCH(AI$2,Inputs!$K$4:$AJ$4,0))))+SUMPRODUCT((Inputs!$E$5:$E$110=$B59)*ISNUMBER(INDEX(Inputs!$K$5:$AJ$110,0,MATCH(AI$2,Inputs!$K$4:$AJ$4,0))))=0,NA(),SUMPRODUCT((Inputs!$A$5:$A$110=$B59)*Inputs!$B$5:$B$110*(((Inputs!$G$5:$G$110="moeda")+(Inputs!$G$5:$G$110="acoes"))*Inputs!$B$1+((Inputs!$G$5:$G$110&lt;&gt;"moeda")*(Inputs!$G$5:$G$110&lt;&gt;"acoes")))*INDEX(Inputs!$K$5:$AJ$110,0,MATCH(AI$2,Inputs!$K$4:$AJ$4,0)))+SUMPRODUCT((Inputs!$C$5:$C$110=$B59)*Inputs!$D$5:$D$110*(((Inputs!$G$5:$G$110="moeda")+(Inputs!$G$5:$G$110="acoes"))*Inputs!$B$1+((Inputs!$G$5:$G$110&lt;&gt;"moeda")*(Inputs!$G$5:$G$110&lt;&gt;"acoes")))*INDEX(Inputs!$K$5:$AJ$110,0,MATCH(AI$2,Inputs!$K$4:$AJ$4,0)))+SUMPRODUCT((Inputs!$E$5:$E$110=$B59)*Inputs!$F$5:$F$110*(((Inputs!$G$5:$G$110="moeda")+(Inputs!$G$5:$G$110="acoes"))*Inputs!$B$1+((Inputs!$G$5:$G$110&lt;&gt;"moeda")*(Inputs!$G$5:$G$110&lt;&gt;"acoes")))*INDEX(Inputs!$K$5:$AJ$110,0,MATCH(AI$2,Inputs!$K$4:$AJ$4,0)))))</f>
        <v>569.14</v>
      </c>
      <c r="AJ59" s="264">
        <f>IF(ISNA(MATCH(AJ$2,Inputs!$K$4:$AJ$4,0)),NA(),IF(SUMPRODUCT((Inputs!$A$5:$A$110=$B59)*ISNUMBER(INDEX(Inputs!$K$5:$AJ$110,0,MATCH(AJ$2,Inputs!$K$4:$AJ$4,0))))+SUMPRODUCT((Inputs!$C$5:$C$110=$B59)*ISNUMBER(INDEX(Inputs!$K$5:$AJ$110,0,MATCH(AJ$2,Inputs!$K$4:$AJ$4,0))))+SUMPRODUCT((Inputs!$E$5:$E$110=$B59)*ISNUMBER(INDEX(Inputs!$K$5:$AJ$110,0,MATCH(AJ$2,Inputs!$K$4:$AJ$4,0))))=0,NA(),SUMPRODUCT((Inputs!$A$5:$A$110=$B59)*Inputs!$B$5:$B$110*(((Inputs!$G$5:$G$110="moeda")+(Inputs!$G$5:$G$110="acoes"))*Inputs!$B$1+((Inputs!$G$5:$G$110&lt;&gt;"moeda")*(Inputs!$G$5:$G$110&lt;&gt;"acoes")))*INDEX(Inputs!$K$5:$AJ$110,0,MATCH(AJ$2,Inputs!$K$4:$AJ$4,0)))+SUMPRODUCT((Inputs!$C$5:$C$110=$B59)*Inputs!$D$5:$D$110*(((Inputs!$G$5:$G$110="moeda")+(Inputs!$G$5:$G$110="acoes"))*Inputs!$B$1+((Inputs!$G$5:$G$110&lt;&gt;"moeda")*(Inputs!$G$5:$G$110&lt;&gt;"acoes")))*INDEX(Inputs!$K$5:$AJ$110,0,MATCH(AJ$2,Inputs!$K$4:$AJ$4,0)))+SUMPRODUCT((Inputs!$E$5:$E$110=$B59)*Inputs!$F$5:$F$110*(((Inputs!$G$5:$G$110="moeda")+(Inputs!$G$5:$G$110="acoes"))*Inputs!$B$1+((Inputs!$G$5:$G$110&lt;&gt;"moeda")*(Inputs!$G$5:$G$110&lt;&gt;"acoes")))*INDEX(Inputs!$K$5:$AJ$110,0,MATCH(AJ$2,Inputs!$K$4:$AJ$4,0)))))</f>
        <v>634.891</v>
      </c>
      <c r="AK59" s="264">
        <f>IF(ISNA(MATCH(AK$2,Inputs!$K$4:$AJ$4,0)),NA(),IF(SUMPRODUCT((Inputs!$A$5:$A$110=$B59)*ISNUMBER(INDEX(Inputs!$K$5:$AJ$110,0,MATCH(AK$2,Inputs!$K$4:$AJ$4,0))))+SUMPRODUCT((Inputs!$C$5:$C$110=$B59)*ISNUMBER(INDEX(Inputs!$K$5:$AJ$110,0,MATCH(AK$2,Inputs!$K$4:$AJ$4,0))))+SUMPRODUCT((Inputs!$E$5:$E$110=$B59)*ISNUMBER(INDEX(Inputs!$K$5:$AJ$110,0,MATCH(AK$2,Inputs!$K$4:$AJ$4,0))))=0,NA(),SUMPRODUCT((Inputs!$A$5:$A$110=$B59)*Inputs!$B$5:$B$110*(((Inputs!$G$5:$G$110="moeda")+(Inputs!$G$5:$G$110="acoes"))*Inputs!$B$1+((Inputs!$G$5:$G$110&lt;&gt;"moeda")*(Inputs!$G$5:$G$110&lt;&gt;"acoes")))*INDEX(Inputs!$K$5:$AJ$110,0,MATCH(AK$2,Inputs!$K$4:$AJ$4,0)))+SUMPRODUCT((Inputs!$C$5:$C$110=$B59)*Inputs!$D$5:$D$110*(((Inputs!$G$5:$G$110="moeda")+(Inputs!$G$5:$G$110="acoes"))*Inputs!$B$1+((Inputs!$G$5:$G$110&lt;&gt;"moeda")*(Inputs!$G$5:$G$110&lt;&gt;"acoes")))*INDEX(Inputs!$K$5:$AJ$110,0,MATCH(AK$2,Inputs!$K$4:$AJ$4,0)))+SUMPRODUCT((Inputs!$E$5:$E$110=$B59)*Inputs!$F$5:$F$110*(((Inputs!$G$5:$G$110="moeda")+(Inputs!$G$5:$G$110="acoes"))*Inputs!$B$1+((Inputs!$G$5:$G$110&lt;&gt;"moeda")*(Inputs!$G$5:$G$110&lt;&gt;"acoes")))*INDEX(Inputs!$K$5:$AJ$110,0,MATCH(AK$2,Inputs!$K$4:$AJ$4,0)))))</f>
        <v>684.609</v>
      </c>
      <c r="AL59" s="265">
        <f>SUM(AH59:AK59)</f>
        <v>2372.3</v>
      </c>
    </row>
    <row r="60">
      <c r="B60" s="46" t="n">
        <v>52</v>
      </c>
      <c r="C60" s="29" t="inlineStr">
        <is>
          <t>Assinantes pagos Ásia-Pacífico (milhões, fim do trimestre)</t>
        </is>
      </c>
      <c r="D60" s="264">
        <f>IF(ISNA(MATCH(D$2,Inputs!$K$4:$AJ$4,0)),NA(),IF(SUMPRODUCT((Inputs!$A$5:$A$110=$B60)*ISNUMBER(INDEX(Inputs!$K$5:$AJ$110,0,MATCH(D$2,Inputs!$K$4:$AJ$4,0))))+SUMPRODUCT((Inputs!$C$5:$C$110=$B60)*ISNUMBER(INDEX(Inputs!$K$5:$AJ$110,0,MATCH(D$2,Inputs!$K$4:$AJ$4,0))))+SUMPRODUCT((Inputs!$E$5:$E$110=$B60)*ISNUMBER(INDEX(Inputs!$K$5:$AJ$110,0,MATCH(D$2,Inputs!$K$4:$AJ$4,0))))=0,NA(),SUMPRODUCT((Inputs!$A$5:$A$110=$B60)*Inputs!$B$5:$B$110*(((Inputs!$G$5:$G$110="moeda")+(Inputs!$G$5:$G$110="acoes"))*Inputs!$B$1+((Inputs!$G$5:$G$110&lt;&gt;"moeda")*(Inputs!$G$5:$G$110&lt;&gt;"acoes")))*INDEX(Inputs!$K$5:$AJ$110,0,MATCH(D$2,Inputs!$K$4:$AJ$4,0)))+SUMPRODUCT((Inputs!$C$5:$C$110=$B60)*Inputs!$D$5:$D$110*(((Inputs!$G$5:$G$110="moeda")+(Inputs!$G$5:$G$110="acoes"))*Inputs!$B$1+((Inputs!$G$5:$G$110&lt;&gt;"moeda")*(Inputs!$G$5:$G$110&lt;&gt;"acoes")))*INDEX(Inputs!$K$5:$AJ$110,0,MATCH(D$2,Inputs!$K$4:$AJ$4,0)))+SUMPRODUCT((Inputs!$E$5:$E$110=$B60)*Inputs!$F$5:$F$110*(((Inputs!$G$5:$G$110="moeda")+(Inputs!$G$5:$G$110="acoes"))*Inputs!$B$1+((Inputs!$G$5:$G$110&lt;&gt;"moeda")*(Inputs!$G$5:$G$110&lt;&gt;"acoes")))*INDEX(Inputs!$K$5:$AJ$110,0,MATCH(D$2,Inputs!$K$4:$AJ$4,0)))))</f>
        <v>26.853</v>
      </c>
      <c r="E60" s="264">
        <f>IF(ISNA(MATCH(E$2,Inputs!$K$4:$AJ$4,0)),NA(),IF(SUMPRODUCT((Inputs!$A$5:$A$110=$B60)*ISNUMBER(INDEX(Inputs!$K$5:$AJ$110,0,MATCH(E$2,Inputs!$K$4:$AJ$4,0))))+SUMPRODUCT((Inputs!$C$5:$C$110=$B60)*ISNUMBER(INDEX(Inputs!$K$5:$AJ$110,0,MATCH(E$2,Inputs!$K$4:$AJ$4,0))))+SUMPRODUCT((Inputs!$E$5:$E$110=$B60)*ISNUMBER(INDEX(Inputs!$K$5:$AJ$110,0,MATCH(E$2,Inputs!$K$4:$AJ$4,0))))=0,NA(),SUMPRODUCT((Inputs!$A$5:$A$110=$B60)*Inputs!$B$5:$B$110*(((Inputs!$G$5:$G$110="moeda")+(Inputs!$G$5:$G$110="acoes"))*Inputs!$B$1+((Inputs!$G$5:$G$110&lt;&gt;"moeda")*(Inputs!$G$5:$G$110&lt;&gt;"acoes")))*INDEX(Inputs!$K$5:$AJ$110,0,MATCH(E$2,Inputs!$K$4:$AJ$4,0)))+SUMPRODUCT((Inputs!$C$5:$C$110=$B60)*Inputs!$D$5:$D$110*(((Inputs!$G$5:$G$110="moeda")+(Inputs!$G$5:$G$110="acoes"))*Inputs!$B$1+((Inputs!$G$5:$G$110&lt;&gt;"moeda")*(Inputs!$G$5:$G$110&lt;&gt;"acoes")))*INDEX(Inputs!$K$5:$AJ$110,0,MATCH(E$2,Inputs!$K$4:$AJ$4,0)))+SUMPRODUCT((Inputs!$E$5:$E$110=$B60)*Inputs!$F$5:$F$110*(((Inputs!$G$5:$G$110="moeda")+(Inputs!$G$5:$G$110="acoes"))*Inputs!$B$1+((Inputs!$G$5:$G$110&lt;&gt;"moeda")*(Inputs!$G$5:$G$110&lt;&gt;"acoes")))*INDEX(Inputs!$K$5:$AJ$110,0,MATCH(E$2,Inputs!$K$4:$AJ$4,0)))))</f>
        <v>27.875</v>
      </c>
      <c r="F60" s="264">
        <f>IF(ISNA(MATCH(F$2,Inputs!$K$4:$AJ$4,0)),NA(),IF(SUMPRODUCT((Inputs!$A$5:$A$110=$B60)*ISNUMBER(INDEX(Inputs!$K$5:$AJ$110,0,MATCH(F$2,Inputs!$K$4:$AJ$4,0))))+SUMPRODUCT((Inputs!$C$5:$C$110=$B60)*ISNUMBER(INDEX(Inputs!$K$5:$AJ$110,0,MATCH(F$2,Inputs!$K$4:$AJ$4,0))))+SUMPRODUCT((Inputs!$E$5:$E$110=$B60)*ISNUMBER(INDEX(Inputs!$K$5:$AJ$110,0,MATCH(F$2,Inputs!$K$4:$AJ$4,0))))=0,NA(),SUMPRODUCT((Inputs!$A$5:$A$110=$B60)*Inputs!$B$5:$B$110*(((Inputs!$G$5:$G$110="moeda")+(Inputs!$G$5:$G$110="acoes"))*Inputs!$B$1+((Inputs!$G$5:$G$110&lt;&gt;"moeda")*(Inputs!$G$5:$G$110&lt;&gt;"acoes")))*INDEX(Inputs!$K$5:$AJ$110,0,MATCH(F$2,Inputs!$K$4:$AJ$4,0)))+SUMPRODUCT((Inputs!$C$5:$C$110=$B60)*Inputs!$D$5:$D$110*(((Inputs!$G$5:$G$110="moeda")+(Inputs!$G$5:$G$110="acoes"))*Inputs!$B$1+((Inputs!$G$5:$G$110&lt;&gt;"moeda")*(Inputs!$G$5:$G$110&lt;&gt;"acoes")))*INDEX(Inputs!$K$5:$AJ$110,0,MATCH(F$2,Inputs!$K$4:$AJ$4,0)))+SUMPRODUCT((Inputs!$E$5:$E$110=$B60)*Inputs!$F$5:$F$110*(((Inputs!$G$5:$G$110="moeda")+(Inputs!$G$5:$G$110="acoes"))*Inputs!$B$1+((Inputs!$G$5:$G$110&lt;&gt;"moeda")*(Inputs!$G$5:$G$110&lt;&gt;"acoes")))*INDEX(Inputs!$K$5:$AJ$110,0,MATCH(F$2,Inputs!$K$4:$AJ$4,0)))))</f>
        <v>30.051</v>
      </c>
      <c r="G60" s="264">
        <f>IF(ISNA(MATCH(G$2,Inputs!$K$4:$AJ$4,0)),NA(),IF(SUMPRODUCT((Inputs!$A$5:$A$110=$B60)*ISNUMBER(INDEX(Inputs!$K$5:$AJ$110,0,MATCH(G$2,Inputs!$K$4:$AJ$4,0))))+SUMPRODUCT((Inputs!$C$5:$C$110=$B60)*ISNUMBER(INDEX(Inputs!$K$5:$AJ$110,0,MATCH(G$2,Inputs!$K$4:$AJ$4,0))))+SUMPRODUCT((Inputs!$E$5:$E$110=$B60)*ISNUMBER(INDEX(Inputs!$K$5:$AJ$110,0,MATCH(G$2,Inputs!$K$4:$AJ$4,0))))=0,NA(),SUMPRODUCT((Inputs!$A$5:$A$110=$B60)*Inputs!$B$5:$B$110*(((Inputs!$G$5:$G$110="moeda")+(Inputs!$G$5:$G$110="acoes"))*Inputs!$B$1+((Inputs!$G$5:$G$110&lt;&gt;"moeda")*(Inputs!$G$5:$G$110&lt;&gt;"acoes")))*INDEX(Inputs!$K$5:$AJ$110,0,MATCH(G$2,Inputs!$K$4:$AJ$4,0)))+SUMPRODUCT((Inputs!$C$5:$C$110=$B60)*Inputs!$D$5:$D$110*(((Inputs!$G$5:$G$110="moeda")+(Inputs!$G$5:$G$110="acoes"))*Inputs!$B$1+((Inputs!$G$5:$G$110&lt;&gt;"moeda")*(Inputs!$G$5:$G$110&lt;&gt;"acoes")))*INDEX(Inputs!$K$5:$AJ$110,0,MATCH(G$2,Inputs!$K$4:$AJ$4,0)))+SUMPRODUCT((Inputs!$E$5:$E$110=$B60)*Inputs!$F$5:$F$110*(((Inputs!$G$5:$G$110="moeda")+(Inputs!$G$5:$G$110="acoes"))*Inputs!$B$1+((Inputs!$G$5:$G$110&lt;&gt;"moeda")*(Inputs!$G$5:$G$110&lt;&gt;"acoes")))*INDEX(Inputs!$K$5:$AJ$110,0,MATCH(G$2,Inputs!$K$4:$AJ$4,0)))))</f>
        <v>32.632</v>
      </c>
      <c r="H60" s="265">
        <f>G60</f>
        <v>32.632</v>
      </c>
      <c r="I60" s="264">
        <f>IF(ISNA(MATCH(I$2,Inputs!$K$4:$AJ$4,0)),NA(),IF(SUMPRODUCT((Inputs!$A$5:$A$110=$B60)*ISNUMBER(INDEX(Inputs!$K$5:$AJ$110,0,MATCH(I$2,Inputs!$K$4:$AJ$4,0))))+SUMPRODUCT((Inputs!$C$5:$C$110=$B60)*ISNUMBER(INDEX(Inputs!$K$5:$AJ$110,0,MATCH(I$2,Inputs!$K$4:$AJ$4,0))))+SUMPRODUCT((Inputs!$E$5:$E$110=$B60)*ISNUMBER(INDEX(Inputs!$K$5:$AJ$110,0,MATCH(I$2,Inputs!$K$4:$AJ$4,0))))=0,NA(),SUMPRODUCT((Inputs!$A$5:$A$110=$B60)*Inputs!$B$5:$B$110*(((Inputs!$G$5:$G$110="moeda")+(Inputs!$G$5:$G$110="acoes"))*Inputs!$B$1+((Inputs!$G$5:$G$110&lt;&gt;"moeda")*(Inputs!$G$5:$G$110&lt;&gt;"acoes")))*INDEX(Inputs!$K$5:$AJ$110,0,MATCH(I$2,Inputs!$K$4:$AJ$4,0)))+SUMPRODUCT((Inputs!$C$5:$C$110=$B60)*Inputs!$D$5:$D$110*(((Inputs!$G$5:$G$110="moeda")+(Inputs!$G$5:$G$110="acoes"))*Inputs!$B$1+((Inputs!$G$5:$G$110&lt;&gt;"moeda")*(Inputs!$G$5:$G$110&lt;&gt;"acoes")))*INDEX(Inputs!$K$5:$AJ$110,0,MATCH(I$2,Inputs!$K$4:$AJ$4,0)))+SUMPRODUCT((Inputs!$E$5:$E$110=$B60)*Inputs!$F$5:$F$110*(((Inputs!$G$5:$G$110="moeda")+(Inputs!$G$5:$G$110="acoes"))*Inputs!$B$1+((Inputs!$G$5:$G$110&lt;&gt;"moeda")*(Inputs!$G$5:$G$110&lt;&gt;"acoes")))*INDEX(Inputs!$K$5:$AJ$110,0,MATCH(I$2,Inputs!$K$4:$AJ$4,0)))))</f>
        <v>33.719</v>
      </c>
      <c r="J60" s="264">
        <f>IF(ISNA(MATCH(J$2,Inputs!$K$4:$AJ$4,0)),NA(),IF(SUMPRODUCT((Inputs!$A$5:$A$110=$B60)*ISNUMBER(INDEX(Inputs!$K$5:$AJ$110,0,MATCH(J$2,Inputs!$K$4:$AJ$4,0))))+SUMPRODUCT((Inputs!$C$5:$C$110=$B60)*ISNUMBER(INDEX(Inputs!$K$5:$AJ$110,0,MATCH(J$2,Inputs!$K$4:$AJ$4,0))))+SUMPRODUCT((Inputs!$E$5:$E$110=$B60)*ISNUMBER(INDEX(Inputs!$K$5:$AJ$110,0,MATCH(J$2,Inputs!$K$4:$AJ$4,0))))=0,NA(),SUMPRODUCT((Inputs!$A$5:$A$110=$B60)*Inputs!$B$5:$B$110*(((Inputs!$G$5:$G$110="moeda")+(Inputs!$G$5:$G$110="acoes"))*Inputs!$B$1+((Inputs!$G$5:$G$110&lt;&gt;"moeda")*(Inputs!$G$5:$G$110&lt;&gt;"acoes")))*INDEX(Inputs!$K$5:$AJ$110,0,MATCH(J$2,Inputs!$K$4:$AJ$4,0)))+SUMPRODUCT((Inputs!$C$5:$C$110=$B60)*Inputs!$D$5:$D$110*(((Inputs!$G$5:$G$110="moeda")+(Inputs!$G$5:$G$110="acoes"))*Inputs!$B$1+((Inputs!$G$5:$G$110&lt;&gt;"moeda")*(Inputs!$G$5:$G$110&lt;&gt;"acoes")))*INDEX(Inputs!$K$5:$AJ$110,0,MATCH(J$2,Inputs!$K$4:$AJ$4,0)))+SUMPRODUCT((Inputs!$E$5:$E$110=$B60)*Inputs!$F$5:$F$110*(((Inputs!$G$5:$G$110="moeda")+(Inputs!$G$5:$G$110="acoes"))*Inputs!$B$1+((Inputs!$G$5:$G$110&lt;&gt;"moeda")*(Inputs!$G$5:$G$110&lt;&gt;"acoes")))*INDEX(Inputs!$K$5:$AJ$110,0,MATCH(J$2,Inputs!$K$4:$AJ$4,0)))))</f>
        <v>34.799</v>
      </c>
      <c r="K60" s="264">
        <f>IF(ISNA(MATCH(K$2,Inputs!$K$4:$AJ$4,0)),NA(),IF(SUMPRODUCT((Inputs!$A$5:$A$110=$B60)*ISNUMBER(INDEX(Inputs!$K$5:$AJ$110,0,MATCH(K$2,Inputs!$K$4:$AJ$4,0))))+SUMPRODUCT((Inputs!$C$5:$C$110=$B60)*ISNUMBER(INDEX(Inputs!$K$5:$AJ$110,0,MATCH(K$2,Inputs!$K$4:$AJ$4,0))))+SUMPRODUCT((Inputs!$E$5:$E$110=$B60)*ISNUMBER(INDEX(Inputs!$K$5:$AJ$110,0,MATCH(K$2,Inputs!$K$4:$AJ$4,0))))=0,NA(),SUMPRODUCT((Inputs!$A$5:$A$110=$B60)*Inputs!$B$5:$B$110*(((Inputs!$G$5:$G$110="moeda")+(Inputs!$G$5:$G$110="acoes"))*Inputs!$B$1+((Inputs!$G$5:$G$110&lt;&gt;"moeda")*(Inputs!$G$5:$G$110&lt;&gt;"acoes")))*INDEX(Inputs!$K$5:$AJ$110,0,MATCH(K$2,Inputs!$K$4:$AJ$4,0)))+SUMPRODUCT((Inputs!$C$5:$C$110=$B60)*Inputs!$D$5:$D$110*(((Inputs!$G$5:$G$110="moeda")+(Inputs!$G$5:$G$110="acoes"))*Inputs!$B$1+((Inputs!$G$5:$G$110&lt;&gt;"moeda")*(Inputs!$G$5:$G$110&lt;&gt;"acoes")))*INDEX(Inputs!$K$5:$AJ$110,0,MATCH(K$2,Inputs!$K$4:$AJ$4,0)))+SUMPRODUCT((Inputs!$E$5:$E$110=$B60)*Inputs!$F$5:$F$110*(((Inputs!$G$5:$G$110="moeda")+(Inputs!$G$5:$G$110="acoes"))*Inputs!$B$1+((Inputs!$G$5:$G$110&lt;&gt;"moeda")*(Inputs!$G$5:$G$110&lt;&gt;"acoes")))*INDEX(Inputs!$K$5:$AJ$110,0,MATCH(K$2,Inputs!$K$4:$AJ$4,0)))))</f>
        <v>36.228</v>
      </c>
      <c r="L60" s="264">
        <f>IF(ISNA(MATCH(L$2,Inputs!$K$4:$AJ$4,0)),NA(),IF(SUMPRODUCT((Inputs!$A$5:$A$110=$B60)*ISNUMBER(INDEX(Inputs!$K$5:$AJ$110,0,MATCH(L$2,Inputs!$K$4:$AJ$4,0))))+SUMPRODUCT((Inputs!$C$5:$C$110=$B60)*ISNUMBER(INDEX(Inputs!$K$5:$AJ$110,0,MATCH(L$2,Inputs!$K$4:$AJ$4,0))))+SUMPRODUCT((Inputs!$E$5:$E$110=$B60)*ISNUMBER(INDEX(Inputs!$K$5:$AJ$110,0,MATCH(L$2,Inputs!$K$4:$AJ$4,0))))=0,NA(),SUMPRODUCT((Inputs!$A$5:$A$110=$B60)*Inputs!$B$5:$B$110*(((Inputs!$G$5:$G$110="moeda")+(Inputs!$G$5:$G$110="acoes"))*Inputs!$B$1+((Inputs!$G$5:$G$110&lt;&gt;"moeda")*(Inputs!$G$5:$G$110&lt;&gt;"acoes")))*INDEX(Inputs!$K$5:$AJ$110,0,MATCH(L$2,Inputs!$K$4:$AJ$4,0)))+SUMPRODUCT((Inputs!$C$5:$C$110=$B60)*Inputs!$D$5:$D$110*(((Inputs!$G$5:$G$110="moeda")+(Inputs!$G$5:$G$110="acoes"))*Inputs!$B$1+((Inputs!$G$5:$G$110&lt;&gt;"moeda")*(Inputs!$G$5:$G$110&lt;&gt;"acoes")))*INDEX(Inputs!$K$5:$AJ$110,0,MATCH(L$2,Inputs!$K$4:$AJ$4,0)))+SUMPRODUCT((Inputs!$E$5:$E$110=$B60)*Inputs!$F$5:$F$110*(((Inputs!$G$5:$G$110="moeda")+(Inputs!$G$5:$G$110="acoes"))*Inputs!$B$1+((Inputs!$G$5:$G$110&lt;&gt;"moeda")*(Inputs!$G$5:$G$110&lt;&gt;"acoes")))*INDEX(Inputs!$K$5:$AJ$110,0,MATCH(L$2,Inputs!$K$4:$AJ$4,0)))))</f>
        <v>38.023</v>
      </c>
      <c r="M60" s="265">
        <f>L60</f>
        <v>38.023</v>
      </c>
      <c r="N60" s="264">
        <f>IF(ISNA(MATCH(N$2,Inputs!$K$4:$AJ$4,0)),NA(),IF(SUMPRODUCT((Inputs!$A$5:$A$110=$B60)*ISNUMBER(INDEX(Inputs!$K$5:$AJ$110,0,MATCH(N$2,Inputs!$K$4:$AJ$4,0))))+SUMPRODUCT((Inputs!$C$5:$C$110=$B60)*ISNUMBER(INDEX(Inputs!$K$5:$AJ$110,0,MATCH(N$2,Inputs!$K$4:$AJ$4,0))))+SUMPRODUCT((Inputs!$E$5:$E$110=$B60)*ISNUMBER(INDEX(Inputs!$K$5:$AJ$110,0,MATCH(N$2,Inputs!$K$4:$AJ$4,0))))=0,NA(),SUMPRODUCT((Inputs!$A$5:$A$110=$B60)*Inputs!$B$5:$B$110*(((Inputs!$G$5:$G$110="moeda")+(Inputs!$G$5:$G$110="acoes"))*Inputs!$B$1+((Inputs!$G$5:$G$110&lt;&gt;"moeda")*(Inputs!$G$5:$G$110&lt;&gt;"acoes")))*INDEX(Inputs!$K$5:$AJ$110,0,MATCH(N$2,Inputs!$K$4:$AJ$4,0)))+SUMPRODUCT((Inputs!$C$5:$C$110=$B60)*Inputs!$D$5:$D$110*(((Inputs!$G$5:$G$110="moeda")+(Inputs!$G$5:$G$110="acoes"))*Inputs!$B$1+((Inputs!$G$5:$G$110&lt;&gt;"moeda")*(Inputs!$G$5:$G$110&lt;&gt;"acoes")))*INDEX(Inputs!$K$5:$AJ$110,0,MATCH(N$2,Inputs!$K$4:$AJ$4,0)))+SUMPRODUCT((Inputs!$E$5:$E$110=$B60)*Inputs!$F$5:$F$110*(((Inputs!$G$5:$G$110="moeda")+(Inputs!$G$5:$G$110="acoes"))*Inputs!$B$1+((Inputs!$G$5:$G$110&lt;&gt;"moeda")*(Inputs!$G$5:$G$110&lt;&gt;"acoes")))*INDEX(Inputs!$K$5:$AJ$110,0,MATCH(N$2,Inputs!$K$4:$AJ$4,0)))))</f>
        <v>39.478</v>
      </c>
      <c r="O60" s="264">
        <f>IF(ISNA(MATCH(O$2,Inputs!$K$4:$AJ$4,0)),NA(),IF(SUMPRODUCT((Inputs!$A$5:$A$110=$B60)*ISNUMBER(INDEX(Inputs!$K$5:$AJ$110,0,MATCH(O$2,Inputs!$K$4:$AJ$4,0))))+SUMPRODUCT((Inputs!$C$5:$C$110=$B60)*ISNUMBER(INDEX(Inputs!$K$5:$AJ$110,0,MATCH(O$2,Inputs!$K$4:$AJ$4,0))))+SUMPRODUCT((Inputs!$E$5:$E$110=$B60)*ISNUMBER(INDEX(Inputs!$K$5:$AJ$110,0,MATCH(O$2,Inputs!$K$4:$AJ$4,0))))=0,NA(),SUMPRODUCT((Inputs!$A$5:$A$110=$B60)*Inputs!$B$5:$B$110*(((Inputs!$G$5:$G$110="moeda")+(Inputs!$G$5:$G$110="acoes"))*Inputs!$B$1+((Inputs!$G$5:$G$110&lt;&gt;"moeda")*(Inputs!$G$5:$G$110&lt;&gt;"acoes")))*INDEX(Inputs!$K$5:$AJ$110,0,MATCH(O$2,Inputs!$K$4:$AJ$4,0)))+SUMPRODUCT((Inputs!$C$5:$C$110=$B60)*Inputs!$D$5:$D$110*(((Inputs!$G$5:$G$110="moeda")+(Inputs!$G$5:$G$110="acoes"))*Inputs!$B$1+((Inputs!$G$5:$G$110&lt;&gt;"moeda")*(Inputs!$G$5:$G$110&lt;&gt;"acoes")))*INDEX(Inputs!$K$5:$AJ$110,0,MATCH(O$2,Inputs!$K$4:$AJ$4,0)))+SUMPRODUCT((Inputs!$E$5:$E$110=$B60)*Inputs!$F$5:$F$110*(((Inputs!$G$5:$G$110="moeda")+(Inputs!$G$5:$G$110="acoes"))*Inputs!$B$1+((Inputs!$G$5:$G$110&lt;&gt;"moeda")*(Inputs!$G$5:$G$110&lt;&gt;"acoes")))*INDEX(Inputs!$K$5:$AJ$110,0,MATCH(O$2,Inputs!$K$4:$AJ$4,0)))))</f>
        <v>40.546</v>
      </c>
      <c r="P60" s="264">
        <f>IF(ISNA(MATCH(P$2,Inputs!$K$4:$AJ$4,0)),NA(),IF(SUMPRODUCT((Inputs!$A$5:$A$110=$B60)*ISNUMBER(INDEX(Inputs!$K$5:$AJ$110,0,MATCH(P$2,Inputs!$K$4:$AJ$4,0))))+SUMPRODUCT((Inputs!$C$5:$C$110=$B60)*ISNUMBER(INDEX(Inputs!$K$5:$AJ$110,0,MATCH(P$2,Inputs!$K$4:$AJ$4,0))))+SUMPRODUCT((Inputs!$E$5:$E$110=$B60)*ISNUMBER(INDEX(Inputs!$K$5:$AJ$110,0,MATCH(P$2,Inputs!$K$4:$AJ$4,0))))=0,NA(),SUMPRODUCT((Inputs!$A$5:$A$110=$B60)*Inputs!$B$5:$B$110*(((Inputs!$G$5:$G$110="moeda")+(Inputs!$G$5:$G$110="acoes"))*Inputs!$B$1+((Inputs!$G$5:$G$110&lt;&gt;"moeda")*(Inputs!$G$5:$G$110&lt;&gt;"acoes")))*INDEX(Inputs!$K$5:$AJ$110,0,MATCH(P$2,Inputs!$K$4:$AJ$4,0)))+SUMPRODUCT((Inputs!$C$5:$C$110=$B60)*Inputs!$D$5:$D$110*(((Inputs!$G$5:$G$110="moeda")+(Inputs!$G$5:$G$110="acoes"))*Inputs!$B$1+((Inputs!$G$5:$G$110&lt;&gt;"moeda")*(Inputs!$G$5:$G$110&lt;&gt;"acoes")))*INDEX(Inputs!$K$5:$AJ$110,0,MATCH(P$2,Inputs!$K$4:$AJ$4,0)))+SUMPRODUCT((Inputs!$E$5:$E$110=$B60)*Inputs!$F$5:$F$110*(((Inputs!$G$5:$G$110="moeda")+(Inputs!$G$5:$G$110="acoes"))*Inputs!$B$1+((Inputs!$G$5:$G$110&lt;&gt;"moeda")*(Inputs!$G$5:$G$110&lt;&gt;"acoes")))*INDEX(Inputs!$K$5:$AJ$110,0,MATCH(P$2,Inputs!$K$4:$AJ$4,0)))))</f>
        <v>42.427</v>
      </c>
      <c r="Q60" s="264">
        <f>IF(ISNA(MATCH(Q$2,Inputs!$K$4:$AJ$4,0)),NA(),IF(SUMPRODUCT((Inputs!$A$5:$A$110=$B60)*ISNUMBER(INDEX(Inputs!$K$5:$AJ$110,0,MATCH(Q$2,Inputs!$K$4:$AJ$4,0))))+SUMPRODUCT((Inputs!$C$5:$C$110=$B60)*ISNUMBER(INDEX(Inputs!$K$5:$AJ$110,0,MATCH(Q$2,Inputs!$K$4:$AJ$4,0))))+SUMPRODUCT((Inputs!$E$5:$E$110=$B60)*ISNUMBER(INDEX(Inputs!$K$5:$AJ$110,0,MATCH(Q$2,Inputs!$K$4:$AJ$4,0))))=0,NA(),SUMPRODUCT((Inputs!$A$5:$A$110=$B60)*Inputs!$B$5:$B$110*(((Inputs!$G$5:$G$110="moeda")+(Inputs!$G$5:$G$110="acoes"))*Inputs!$B$1+((Inputs!$G$5:$G$110&lt;&gt;"moeda")*(Inputs!$G$5:$G$110&lt;&gt;"acoes")))*INDEX(Inputs!$K$5:$AJ$110,0,MATCH(Q$2,Inputs!$K$4:$AJ$4,0)))+SUMPRODUCT((Inputs!$C$5:$C$110=$B60)*Inputs!$D$5:$D$110*(((Inputs!$G$5:$G$110="moeda")+(Inputs!$G$5:$G$110="acoes"))*Inputs!$B$1+((Inputs!$G$5:$G$110&lt;&gt;"moeda")*(Inputs!$G$5:$G$110&lt;&gt;"acoes")))*INDEX(Inputs!$K$5:$AJ$110,0,MATCH(Q$2,Inputs!$K$4:$AJ$4,0)))+SUMPRODUCT((Inputs!$E$5:$E$110=$B60)*Inputs!$F$5:$F$110*(((Inputs!$G$5:$G$110="moeda")+(Inputs!$G$5:$G$110="acoes"))*Inputs!$B$1+((Inputs!$G$5:$G$110&lt;&gt;"moeda")*(Inputs!$G$5:$G$110&lt;&gt;"acoes")))*INDEX(Inputs!$K$5:$AJ$110,0,MATCH(Q$2,Inputs!$K$4:$AJ$4,0)))))</f>
        <v>45.338</v>
      </c>
      <c r="R60" s="265">
        <f>Q60</f>
        <v>45.338</v>
      </c>
      <c r="S60" s="264">
        <f>IF(ISNA(MATCH(S$2,Inputs!$K$4:$AJ$4,0)),NA(),IF(SUMPRODUCT((Inputs!$A$5:$A$110=$B60)*ISNUMBER(INDEX(Inputs!$K$5:$AJ$110,0,MATCH(S$2,Inputs!$K$4:$AJ$4,0))))+SUMPRODUCT((Inputs!$C$5:$C$110=$B60)*ISNUMBER(INDEX(Inputs!$K$5:$AJ$110,0,MATCH(S$2,Inputs!$K$4:$AJ$4,0))))+SUMPRODUCT((Inputs!$E$5:$E$110=$B60)*ISNUMBER(INDEX(Inputs!$K$5:$AJ$110,0,MATCH(S$2,Inputs!$K$4:$AJ$4,0))))=0,NA(),SUMPRODUCT((Inputs!$A$5:$A$110=$B60)*Inputs!$B$5:$B$110*(((Inputs!$G$5:$G$110="moeda")+(Inputs!$G$5:$G$110="acoes"))*Inputs!$B$1+((Inputs!$G$5:$G$110&lt;&gt;"moeda")*(Inputs!$G$5:$G$110&lt;&gt;"acoes")))*INDEX(Inputs!$K$5:$AJ$110,0,MATCH(S$2,Inputs!$K$4:$AJ$4,0)))+SUMPRODUCT((Inputs!$C$5:$C$110=$B60)*Inputs!$D$5:$D$110*(((Inputs!$G$5:$G$110="moeda")+(Inputs!$G$5:$G$110="acoes"))*Inputs!$B$1+((Inputs!$G$5:$G$110&lt;&gt;"moeda")*(Inputs!$G$5:$G$110&lt;&gt;"acoes")))*INDEX(Inputs!$K$5:$AJ$110,0,MATCH(S$2,Inputs!$K$4:$AJ$4,0)))+SUMPRODUCT((Inputs!$E$5:$E$110=$B60)*Inputs!$F$5:$F$110*(((Inputs!$G$5:$G$110="moeda")+(Inputs!$G$5:$G$110="acoes"))*Inputs!$B$1+((Inputs!$G$5:$G$110&lt;&gt;"moeda")*(Inputs!$G$5:$G$110&lt;&gt;"acoes")))*INDEX(Inputs!$K$5:$AJ$110,0,MATCH(S$2,Inputs!$K$4:$AJ$4,0)))))</f>
        <v>47.495</v>
      </c>
      <c r="T60" s="264">
        <f>IF(ISNA(MATCH(T$2,Inputs!$K$4:$AJ$4,0)),NA(),IF(SUMPRODUCT((Inputs!$A$5:$A$110=$B60)*ISNUMBER(INDEX(Inputs!$K$5:$AJ$110,0,MATCH(T$2,Inputs!$K$4:$AJ$4,0))))+SUMPRODUCT((Inputs!$C$5:$C$110=$B60)*ISNUMBER(INDEX(Inputs!$K$5:$AJ$110,0,MATCH(T$2,Inputs!$K$4:$AJ$4,0))))+SUMPRODUCT((Inputs!$E$5:$E$110=$B60)*ISNUMBER(INDEX(Inputs!$K$5:$AJ$110,0,MATCH(T$2,Inputs!$K$4:$AJ$4,0))))=0,NA(),SUMPRODUCT((Inputs!$A$5:$A$110=$B60)*Inputs!$B$5:$B$110*(((Inputs!$G$5:$G$110="moeda")+(Inputs!$G$5:$G$110="acoes"))*Inputs!$B$1+((Inputs!$G$5:$G$110&lt;&gt;"moeda")*(Inputs!$G$5:$G$110&lt;&gt;"acoes")))*INDEX(Inputs!$K$5:$AJ$110,0,MATCH(T$2,Inputs!$K$4:$AJ$4,0)))+SUMPRODUCT((Inputs!$C$5:$C$110=$B60)*Inputs!$D$5:$D$110*(((Inputs!$G$5:$G$110="moeda")+(Inputs!$G$5:$G$110="acoes"))*Inputs!$B$1+((Inputs!$G$5:$G$110&lt;&gt;"moeda")*(Inputs!$G$5:$G$110&lt;&gt;"acoes")))*INDEX(Inputs!$K$5:$AJ$110,0,MATCH(T$2,Inputs!$K$4:$AJ$4,0)))+SUMPRODUCT((Inputs!$E$5:$E$110=$B60)*Inputs!$F$5:$F$110*(((Inputs!$G$5:$G$110="moeda")+(Inputs!$G$5:$G$110="acoes"))*Inputs!$B$1+((Inputs!$G$5:$G$110&lt;&gt;"moeda")*(Inputs!$G$5:$G$110&lt;&gt;"acoes")))*INDEX(Inputs!$K$5:$AJ$110,0,MATCH(T$2,Inputs!$K$4:$AJ$4,0)))))</f>
        <v>50.324</v>
      </c>
      <c r="U60" s="264">
        <f>IF(ISNA(MATCH(U$2,Inputs!$K$4:$AJ$4,0)),NA(),IF(SUMPRODUCT((Inputs!$A$5:$A$110=$B60)*ISNUMBER(INDEX(Inputs!$K$5:$AJ$110,0,MATCH(U$2,Inputs!$K$4:$AJ$4,0))))+SUMPRODUCT((Inputs!$C$5:$C$110=$B60)*ISNUMBER(INDEX(Inputs!$K$5:$AJ$110,0,MATCH(U$2,Inputs!$K$4:$AJ$4,0))))+SUMPRODUCT((Inputs!$E$5:$E$110=$B60)*ISNUMBER(INDEX(Inputs!$K$5:$AJ$110,0,MATCH(U$2,Inputs!$K$4:$AJ$4,0))))=0,NA(),SUMPRODUCT((Inputs!$A$5:$A$110=$B60)*Inputs!$B$5:$B$110*(((Inputs!$G$5:$G$110="moeda")+(Inputs!$G$5:$G$110="acoes"))*Inputs!$B$1+((Inputs!$G$5:$G$110&lt;&gt;"moeda")*(Inputs!$G$5:$G$110&lt;&gt;"acoes")))*INDEX(Inputs!$K$5:$AJ$110,0,MATCH(U$2,Inputs!$K$4:$AJ$4,0)))+SUMPRODUCT((Inputs!$C$5:$C$110=$B60)*Inputs!$D$5:$D$110*(((Inputs!$G$5:$G$110="moeda")+(Inputs!$G$5:$G$110="acoes"))*Inputs!$B$1+((Inputs!$G$5:$G$110&lt;&gt;"moeda")*(Inputs!$G$5:$G$110&lt;&gt;"acoes")))*INDEX(Inputs!$K$5:$AJ$110,0,MATCH(U$2,Inputs!$K$4:$AJ$4,0)))+SUMPRODUCT((Inputs!$E$5:$E$110=$B60)*Inputs!$F$5:$F$110*(((Inputs!$G$5:$G$110="moeda")+(Inputs!$G$5:$G$110="acoes"))*Inputs!$B$1+((Inputs!$G$5:$G$110&lt;&gt;"moeda")*(Inputs!$G$5:$G$110&lt;&gt;"acoes")))*INDEX(Inputs!$K$5:$AJ$110,0,MATCH(U$2,Inputs!$K$4:$AJ$4,0)))))</f>
        <v>52.604</v>
      </c>
      <c r="V60" s="264">
        <f>IF(ISNA(MATCH(V$2,Inputs!$K$4:$AJ$4,0)),NA(),IF(SUMPRODUCT((Inputs!$A$5:$A$110=$B60)*ISNUMBER(INDEX(Inputs!$K$5:$AJ$110,0,MATCH(V$2,Inputs!$K$4:$AJ$4,0))))+SUMPRODUCT((Inputs!$C$5:$C$110=$B60)*ISNUMBER(INDEX(Inputs!$K$5:$AJ$110,0,MATCH(V$2,Inputs!$K$4:$AJ$4,0))))+SUMPRODUCT((Inputs!$E$5:$E$110=$B60)*ISNUMBER(INDEX(Inputs!$K$5:$AJ$110,0,MATCH(V$2,Inputs!$K$4:$AJ$4,0))))=0,NA(),SUMPRODUCT((Inputs!$A$5:$A$110=$B60)*Inputs!$B$5:$B$110*(((Inputs!$G$5:$G$110="moeda")+(Inputs!$G$5:$G$110="acoes"))*Inputs!$B$1+((Inputs!$G$5:$G$110&lt;&gt;"moeda")*(Inputs!$G$5:$G$110&lt;&gt;"acoes")))*INDEX(Inputs!$K$5:$AJ$110,0,MATCH(V$2,Inputs!$K$4:$AJ$4,0)))+SUMPRODUCT((Inputs!$C$5:$C$110=$B60)*Inputs!$D$5:$D$110*(((Inputs!$G$5:$G$110="moeda")+(Inputs!$G$5:$G$110="acoes"))*Inputs!$B$1+((Inputs!$G$5:$G$110&lt;&gt;"moeda")*(Inputs!$G$5:$G$110&lt;&gt;"acoes")))*INDEX(Inputs!$K$5:$AJ$110,0,MATCH(V$2,Inputs!$K$4:$AJ$4,0)))+SUMPRODUCT((Inputs!$E$5:$E$110=$B60)*Inputs!$F$5:$F$110*(((Inputs!$G$5:$G$110="moeda")+(Inputs!$G$5:$G$110="acoes"))*Inputs!$B$1+((Inputs!$G$5:$G$110&lt;&gt;"moeda")*(Inputs!$G$5:$G$110&lt;&gt;"acoes")))*INDEX(Inputs!$K$5:$AJ$110,0,MATCH(V$2,Inputs!$K$4:$AJ$4,0)))))</f>
        <v>57.541</v>
      </c>
      <c r="W60" s="265">
        <f>V60</f>
        <v>57.541</v>
      </c>
      <c r="X60" s="264" t="e">
        <f>IF(ISNA(MATCH(X$2,Inputs!$K$4:$AJ$4,0)),NA(),IF(SUMPRODUCT((Inputs!$A$5:$A$110=$B60)*ISNUMBER(INDEX(Inputs!$K$5:$AJ$110,0,MATCH(X$2,Inputs!$K$4:$AJ$4,0))))+SUMPRODUCT((Inputs!$C$5:$C$110=$B60)*ISNUMBER(INDEX(Inputs!$K$5:$AJ$110,0,MATCH(X$2,Inputs!$K$4:$AJ$4,0))))+SUMPRODUCT((Inputs!$E$5:$E$110=$B60)*ISNUMBER(INDEX(Inputs!$K$5:$AJ$110,0,MATCH(X$2,Inputs!$K$4:$AJ$4,0))))=0,NA(),SUMPRODUCT((Inputs!$A$5:$A$110=$B60)*Inputs!$B$5:$B$110*(((Inputs!$G$5:$G$110="moeda")+(Inputs!$G$5:$G$110="acoes"))*Inputs!$B$1+((Inputs!$G$5:$G$110&lt;&gt;"moeda")*(Inputs!$G$5:$G$110&lt;&gt;"acoes")))*INDEX(Inputs!$K$5:$AJ$110,0,MATCH(X$2,Inputs!$K$4:$AJ$4,0)))+SUMPRODUCT((Inputs!$C$5:$C$110=$B60)*Inputs!$D$5:$D$110*(((Inputs!$G$5:$G$110="moeda")+(Inputs!$G$5:$G$110="acoes"))*Inputs!$B$1+((Inputs!$G$5:$G$110&lt;&gt;"moeda")*(Inputs!$G$5:$G$110&lt;&gt;"acoes")))*INDEX(Inputs!$K$5:$AJ$110,0,MATCH(X$2,Inputs!$K$4:$AJ$4,0)))+SUMPRODUCT((Inputs!$E$5:$E$110=$B60)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60" s="264" t="e">
        <f>IF(ISNA(MATCH(Y$2,Inputs!$K$4:$AJ$4,0)),NA(),IF(SUMPRODUCT((Inputs!$A$5:$A$110=$B60)*ISNUMBER(INDEX(Inputs!$K$5:$AJ$110,0,MATCH(Y$2,Inputs!$K$4:$AJ$4,0))))+SUMPRODUCT((Inputs!$C$5:$C$110=$B60)*ISNUMBER(INDEX(Inputs!$K$5:$AJ$110,0,MATCH(Y$2,Inputs!$K$4:$AJ$4,0))))+SUMPRODUCT((Inputs!$E$5:$E$110=$B60)*ISNUMBER(INDEX(Inputs!$K$5:$AJ$110,0,MATCH(Y$2,Inputs!$K$4:$AJ$4,0))))=0,NA(),SUMPRODUCT((Inputs!$A$5:$A$110=$B60)*Inputs!$B$5:$B$110*(((Inputs!$G$5:$G$110="moeda")+(Inputs!$G$5:$G$110="acoes"))*Inputs!$B$1+((Inputs!$G$5:$G$110&lt;&gt;"moeda")*(Inputs!$G$5:$G$110&lt;&gt;"acoes")))*INDEX(Inputs!$K$5:$AJ$110,0,MATCH(Y$2,Inputs!$K$4:$AJ$4,0)))+SUMPRODUCT((Inputs!$C$5:$C$110=$B60)*Inputs!$D$5:$D$110*(((Inputs!$G$5:$G$110="moeda")+(Inputs!$G$5:$G$110="acoes"))*Inputs!$B$1+((Inputs!$G$5:$G$110&lt;&gt;"moeda")*(Inputs!$G$5:$G$110&lt;&gt;"acoes")))*INDEX(Inputs!$K$5:$AJ$110,0,MATCH(Y$2,Inputs!$K$4:$AJ$4,0)))+SUMPRODUCT((Inputs!$E$5:$E$110=$B60)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60" s="264" t="e">
        <f>IF(ISNA(MATCH(Z$2,Inputs!$K$4:$AJ$4,0)),NA(),IF(SUMPRODUCT((Inputs!$A$5:$A$110=$B60)*ISNUMBER(INDEX(Inputs!$K$5:$AJ$110,0,MATCH(Z$2,Inputs!$K$4:$AJ$4,0))))+SUMPRODUCT((Inputs!$C$5:$C$110=$B60)*ISNUMBER(INDEX(Inputs!$K$5:$AJ$110,0,MATCH(Z$2,Inputs!$K$4:$AJ$4,0))))+SUMPRODUCT((Inputs!$E$5:$E$110=$B60)*ISNUMBER(INDEX(Inputs!$K$5:$AJ$110,0,MATCH(Z$2,Inputs!$K$4:$AJ$4,0))))=0,NA(),SUMPRODUCT((Inputs!$A$5:$A$110=$B60)*Inputs!$B$5:$B$110*(((Inputs!$G$5:$G$110="moeda")+(Inputs!$G$5:$G$110="acoes"))*Inputs!$B$1+((Inputs!$G$5:$G$110&lt;&gt;"moeda")*(Inputs!$G$5:$G$110&lt;&gt;"acoes")))*INDEX(Inputs!$K$5:$AJ$110,0,MATCH(Z$2,Inputs!$K$4:$AJ$4,0)))+SUMPRODUCT((Inputs!$C$5:$C$110=$B60)*Inputs!$D$5:$D$110*(((Inputs!$G$5:$G$110="moeda")+(Inputs!$G$5:$G$110="acoes"))*Inputs!$B$1+((Inputs!$G$5:$G$110&lt;&gt;"moeda")*(Inputs!$G$5:$G$110&lt;&gt;"acoes")))*INDEX(Inputs!$K$5:$AJ$110,0,MATCH(Z$2,Inputs!$K$4:$AJ$4,0)))+SUMPRODUCT((Inputs!$E$5:$E$110=$B60)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60" s="264" t="e">
        <f>IF(ISNA(MATCH(AA$2,Inputs!$K$4:$AJ$4,0)),NA(),IF(SUMPRODUCT((Inputs!$A$5:$A$110=$B60)*ISNUMBER(INDEX(Inputs!$K$5:$AJ$110,0,MATCH(AA$2,Inputs!$K$4:$AJ$4,0))))+SUMPRODUCT((Inputs!$C$5:$C$110=$B60)*ISNUMBER(INDEX(Inputs!$K$5:$AJ$110,0,MATCH(AA$2,Inputs!$K$4:$AJ$4,0))))+SUMPRODUCT((Inputs!$E$5:$E$110=$B60)*ISNUMBER(INDEX(Inputs!$K$5:$AJ$110,0,MATCH(AA$2,Inputs!$K$4:$AJ$4,0))))=0,NA(),SUMPRODUCT((Inputs!$A$5:$A$110=$B60)*Inputs!$B$5:$B$110*(((Inputs!$G$5:$G$110="moeda")+(Inputs!$G$5:$G$110="acoes"))*Inputs!$B$1+((Inputs!$G$5:$G$110&lt;&gt;"moeda")*(Inputs!$G$5:$G$110&lt;&gt;"acoes")))*INDEX(Inputs!$K$5:$AJ$110,0,MATCH(AA$2,Inputs!$K$4:$AJ$4,0)))+SUMPRODUCT((Inputs!$C$5:$C$110=$B60)*Inputs!$D$5:$D$110*(((Inputs!$G$5:$G$110="moeda")+(Inputs!$G$5:$G$110="acoes"))*Inputs!$B$1+((Inputs!$G$5:$G$110&lt;&gt;"moeda")*(Inputs!$G$5:$G$110&lt;&gt;"acoes")))*INDEX(Inputs!$K$5:$AJ$110,0,MATCH(AA$2,Inputs!$K$4:$AJ$4,0)))+SUMPRODUCT((Inputs!$E$5:$E$110=$B60)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60" s="265" t="e">
        <f>AA60</f>
        <v>#N/A</v>
      </c>
      <c r="AC60" s="264" t="e">
        <f>IF(ISNA(MATCH(AC$2,Inputs!$K$4:$AJ$4,0)),NA(),IF(SUMPRODUCT((Inputs!$A$5:$A$110=$B60)*ISNUMBER(INDEX(Inputs!$K$5:$AJ$110,0,MATCH(AC$2,Inputs!$K$4:$AJ$4,0))))+SUMPRODUCT((Inputs!$C$5:$C$110=$B60)*ISNUMBER(INDEX(Inputs!$K$5:$AJ$110,0,MATCH(AC$2,Inputs!$K$4:$AJ$4,0))))+SUMPRODUCT((Inputs!$E$5:$E$110=$B60)*ISNUMBER(INDEX(Inputs!$K$5:$AJ$110,0,MATCH(AC$2,Inputs!$K$4:$AJ$4,0))))=0,NA(),SUMPRODUCT((Inputs!$A$5:$A$110=$B60)*Inputs!$B$5:$B$110*(((Inputs!$G$5:$G$110="moeda")+(Inputs!$G$5:$G$110="acoes"))*Inputs!$B$1+((Inputs!$G$5:$G$110&lt;&gt;"moeda")*(Inputs!$G$5:$G$110&lt;&gt;"acoes")))*INDEX(Inputs!$K$5:$AJ$110,0,MATCH(AC$2,Inputs!$K$4:$AJ$4,0)))+SUMPRODUCT((Inputs!$C$5:$C$110=$B60)*Inputs!$D$5:$D$110*(((Inputs!$G$5:$G$110="moeda")+(Inputs!$G$5:$G$110="acoes"))*Inputs!$B$1+((Inputs!$G$5:$G$110&lt;&gt;"moeda")*(Inputs!$G$5:$G$110&lt;&gt;"acoes")))*INDEX(Inputs!$K$5:$AJ$110,0,MATCH(AC$2,Inputs!$K$4:$AJ$4,0)))+SUMPRODUCT((Inputs!$E$5:$E$110=$B60)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60" s="264" t="e">
        <f>IF(ISNA(MATCH(AD$2,Inputs!$K$4:$AJ$4,0)),NA(),IF(SUMPRODUCT((Inputs!$A$5:$A$110=$B60)*ISNUMBER(INDEX(Inputs!$K$5:$AJ$110,0,MATCH(AD$2,Inputs!$K$4:$AJ$4,0))))+SUMPRODUCT((Inputs!$C$5:$C$110=$B60)*ISNUMBER(INDEX(Inputs!$K$5:$AJ$110,0,MATCH(AD$2,Inputs!$K$4:$AJ$4,0))))+SUMPRODUCT((Inputs!$E$5:$E$110=$B60)*ISNUMBER(INDEX(Inputs!$K$5:$AJ$110,0,MATCH(AD$2,Inputs!$K$4:$AJ$4,0))))=0,NA(),SUMPRODUCT((Inputs!$A$5:$A$110=$B60)*Inputs!$B$5:$B$110*(((Inputs!$G$5:$G$110="moeda")+(Inputs!$G$5:$G$110="acoes"))*Inputs!$B$1+((Inputs!$G$5:$G$110&lt;&gt;"moeda")*(Inputs!$G$5:$G$110&lt;&gt;"acoes")))*INDEX(Inputs!$K$5:$AJ$110,0,MATCH(AD$2,Inputs!$K$4:$AJ$4,0)))+SUMPRODUCT((Inputs!$C$5:$C$110=$B60)*Inputs!$D$5:$D$110*(((Inputs!$G$5:$G$110="moeda")+(Inputs!$G$5:$G$110="acoes"))*Inputs!$B$1+((Inputs!$G$5:$G$110&lt;&gt;"moeda")*(Inputs!$G$5:$G$110&lt;&gt;"acoes")))*INDEX(Inputs!$K$5:$AJ$110,0,MATCH(AD$2,Inputs!$K$4:$AJ$4,0)))+SUMPRODUCT((Inputs!$E$5:$E$110=$B60)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60" s="264" t="e">
        <f>IF(ISNA(MATCH(AE$2,Inputs!$K$4:$AJ$4,0)),NA(),IF(SUMPRODUCT((Inputs!$A$5:$A$110=$B60)*ISNUMBER(INDEX(Inputs!$K$5:$AJ$110,0,MATCH(AE$2,Inputs!$K$4:$AJ$4,0))))+SUMPRODUCT((Inputs!$C$5:$C$110=$B60)*ISNUMBER(INDEX(Inputs!$K$5:$AJ$110,0,MATCH(AE$2,Inputs!$K$4:$AJ$4,0))))+SUMPRODUCT((Inputs!$E$5:$E$110=$B60)*ISNUMBER(INDEX(Inputs!$K$5:$AJ$110,0,MATCH(AE$2,Inputs!$K$4:$AJ$4,0))))=0,NA(),SUMPRODUCT((Inputs!$A$5:$A$110=$B60)*Inputs!$B$5:$B$110*(((Inputs!$G$5:$G$110="moeda")+(Inputs!$G$5:$G$110="acoes"))*Inputs!$B$1+((Inputs!$G$5:$G$110&lt;&gt;"moeda")*(Inputs!$G$5:$G$110&lt;&gt;"acoes")))*INDEX(Inputs!$K$5:$AJ$110,0,MATCH(AE$2,Inputs!$K$4:$AJ$4,0)))+SUMPRODUCT((Inputs!$C$5:$C$110=$B60)*Inputs!$D$5:$D$110*(((Inputs!$G$5:$G$110="moeda")+(Inputs!$G$5:$G$110="acoes"))*Inputs!$B$1+((Inputs!$G$5:$G$110&lt;&gt;"moeda")*(Inputs!$G$5:$G$110&lt;&gt;"acoes")))*INDEX(Inputs!$K$5:$AJ$110,0,MATCH(AE$2,Inputs!$K$4:$AJ$4,0)))+SUMPRODUCT((Inputs!$E$5:$E$110=$B60)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0" s="264" t="e">
        <f>IF(ISNA(MATCH(AF$2,Inputs!$K$4:$AJ$4,0)),NA(),IF(SUMPRODUCT((Inputs!$A$5:$A$110=$B60)*ISNUMBER(INDEX(Inputs!$K$5:$AJ$110,0,MATCH(AF$2,Inputs!$K$4:$AJ$4,0))))+SUMPRODUCT((Inputs!$C$5:$C$110=$B60)*ISNUMBER(INDEX(Inputs!$K$5:$AJ$110,0,MATCH(AF$2,Inputs!$K$4:$AJ$4,0))))+SUMPRODUCT((Inputs!$E$5:$E$110=$B60)*ISNUMBER(INDEX(Inputs!$K$5:$AJ$110,0,MATCH(AF$2,Inputs!$K$4:$AJ$4,0))))=0,NA(),SUMPRODUCT((Inputs!$A$5:$A$110=$B60)*Inputs!$B$5:$B$110*(((Inputs!$G$5:$G$110="moeda")+(Inputs!$G$5:$G$110="acoes"))*Inputs!$B$1+((Inputs!$G$5:$G$110&lt;&gt;"moeda")*(Inputs!$G$5:$G$110&lt;&gt;"acoes")))*INDEX(Inputs!$K$5:$AJ$110,0,MATCH(AF$2,Inputs!$K$4:$AJ$4,0)))+SUMPRODUCT((Inputs!$C$5:$C$110=$B60)*Inputs!$D$5:$D$110*(((Inputs!$G$5:$G$110="moeda")+(Inputs!$G$5:$G$110="acoes"))*Inputs!$B$1+((Inputs!$G$5:$G$110&lt;&gt;"moeda")*(Inputs!$G$5:$G$110&lt;&gt;"acoes")))*INDEX(Inputs!$K$5:$AJ$110,0,MATCH(AF$2,Inputs!$K$4:$AJ$4,0)))+SUMPRODUCT((Inputs!$E$5:$E$110=$B60)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0" s="265" t="e">
        <f>AF60</f>
        <v>#N/A</v>
      </c>
      <c r="AH60" s="264">
        <f>IF(ISNA(MATCH(AH$2,Inputs!$K$4:$AJ$4,0)),NA(),IF(SUMPRODUCT((Inputs!$A$5:$A$110=$B60)*ISNUMBER(INDEX(Inputs!$K$5:$AJ$110,0,MATCH(AH$2,Inputs!$K$4:$AJ$4,0))))+SUMPRODUCT((Inputs!$C$5:$C$110=$B60)*ISNUMBER(INDEX(Inputs!$K$5:$AJ$110,0,MATCH(AH$2,Inputs!$K$4:$AJ$4,0))))+SUMPRODUCT((Inputs!$E$5:$E$110=$B60)*ISNUMBER(INDEX(Inputs!$K$5:$AJ$110,0,MATCH(AH$2,Inputs!$K$4:$AJ$4,0))))=0,NA(),SUMPRODUCT((Inputs!$A$5:$A$110=$B60)*Inputs!$B$5:$B$110*(((Inputs!$G$5:$G$110="moeda")+(Inputs!$G$5:$G$110="acoes"))*Inputs!$B$1+((Inputs!$G$5:$G$110&lt;&gt;"moeda")*(Inputs!$G$5:$G$110&lt;&gt;"acoes")))*INDEX(Inputs!$K$5:$AJ$110,0,MATCH(AH$2,Inputs!$K$4:$AJ$4,0)))+SUMPRODUCT((Inputs!$C$5:$C$110=$B60)*Inputs!$D$5:$D$110*(((Inputs!$G$5:$G$110="moeda")+(Inputs!$G$5:$G$110="acoes"))*Inputs!$B$1+((Inputs!$G$5:$G$110&lt;&gt;"moeda")*(Inputs!$G$5:$G$110&lt;&gt;"acoes")))*INDEX(Inputs!$K$5:$AJ$110,0,MATCH(AH$2,Inputs!$K$4:$AJ$4,0)))+SUMPRODUCT((Inputs!$E$5:$E$110=$B60)*Inputs!$F$5:$F$110*(((Inputs!$G$5:$G$110="moeda")+(Inputs!$G$5:$G$110="acoes"))*Inputs!$B$1+((Inputs!$G$5:$G$110&lt;&gt;"moeda")*(Inputs!$G$5:$G$110&lt;&gt;"acoes")))*INDEX(Inputs!$K$5:$AJ$110,0,MATCH(AH$2,Inputs!$K$4:$AJ$4,0)))))</f>
        <v>19.835</v>
      </c>
      <c r="AI60" s="264">
        <f>IF(ISNA(MATCH(AI$2,Inputs!$K$4:$AJ$4,0)),NA(),IF(SUMPRODUCT((Inputs!$A$5:$A$110=$B60)*ISNUMBER(INDEX(Inputs!$K$5:$AJ$110,0,MATCH(AI$2,Inputs!$K$4:$AJ$4,0))))+SUMPRODUCT((Inputs!$C$5:$C$110=$B60)*ISNUMBER(INDEX(Inputs!$K$5:$AJ$110,0,MATCH(AI$2,Inputs!$K$4:$AJ$4,0))))+SUMPRODUCT((Inputs!$E$5:$E$110=$B60)*ISNUMBER(INDEX(Inputs!$K$5:$AJ$110,0,MATCH(AI$2,Inputs!$K$4:$AJ$4,0))))=0,NA(),SUMPRODUCT((Inputs!$A$5:$A$110=$B60)*Inputs!$B$5:$B$110*(((Inputs!$G$5:$G$110="moeda")+(Inputs!$G$5:$G$110="acoes"))*Inputs!$B$1+((Inputs!$G$5:$G$110&lt;&gt;"moeda")*(Inputs!$G$5:$G$110&lt;&gt;"acoes")))*INDEX(Inputs!$K$5:$AJ$110,0,MATCH(AI$2,Inputs!$K$4:$AJ$4,0)))+SUMPRODUCT((Inputs!$C$5:$C$110=$B60)*Inputs!$D$5:$D$110*(((Inputs!$G$5:$G$110="moeda")+(Inputs!$G$5:$G$110="acoes"))*Inputs!$B$1+((Inputs!$G$5:$G$110&lt;&gt;"moeda")*(Inputs!$G$5:$G$110&lt;&gt;"acoes")))*INDEX(Inputs!$K$5:$AJ$110,0,MATCH(AI$2,Inputs!$K$4:$AJ$4,0)))+SUMPRODUCT((Inputs!$E$5:$E$110=$B60)*Inputs!$F$5:$F$110*(((Inputs!$G$5:$G$110="moeda")+(Inputs!$G$5:$G$110="acoes"))*Inputs!$B$1+((Inputs!$G$5:$G$110&lt;&gt;"moeda")*(Inputs!$G$5:$G$110&lt;&gt;"acoes")))*INDEX(Inputs!$K$5:$AJ$110,0,MATCH(AI$2,Inputs!$K$4:$AJ$4,0)))))</f>
        <v>22.492</v>
      </c>
      <c r="AJ60" s="264">
        <f>IF(ISNA(MATCH(AJ$2,Inputs!$K$4:$AJ$4,0)),NA(),IF(SUMPRODUCT((Inputs!$A$5:$A$110=$B60)*ISNUMBER(INDEX(Inputs!$K$5:$AJ$110,0,MATCH(AJ$2,Inputs!$K$4:$AJ$4,0))))+SUMPRODUCT((Inputs!$C$5:$C$110=$B60)*ISNUMBER(INDEX(Inputs!$K$5:$AJ$110,0,MATCH(AJ$2,Inputs!$K$4:$AJ$4,0))))+SUMPRODUCT((Inputs!$E$5:$E$110=$B60)*ISNUMBER(INDEX(Inputs!$K$5:$AJ$110,0,MATCH(AJ$2,Inputs!$K$4:$AJ$4,0))))=0,NA(),SUMPRODUCT((Inputs!$A$5:$A$110=$B60)*Inputs!$B$5:$B$110*(((Inputs!$G$5:$G$110="moeda")+(Inputs!$G$5:$G$110="acoes"))*Inputs!$B$1+((Inputs!$G$5:$G$110&lt;&gt;"moeda")*(Inputs!$G$5:$G$110&lt;&gt;"acoes")))*INDEX(Inputs!$K$5:$AJ$110,0,MATCH(AJ$2,Inputs!$K$4:$AJ$4,0)))+SUMPRODUCT((Inputs!$C$5:$C$110=$B60)*Inputs!$D$5:$D$110*(((Inputs!$G$5:$G$110="moeda")+(Inputs!$G$5:$G$110="acoes"))*Inputs!$B$1+((Inputs!$G$5:$G$110&lt;&gt;"moeda")*(Inputs!$G$5:$G$110&lt;&gt;"acoes")))*INDEX(Inputs!$K$5:$AJ$110,0,MATCH(AJ$2,Inputs!$K$4:$AJ$4,0)))+SUMPRODUCT((Inputs!$E$5:$E$110=$B60)*Inputs!$F$5:$F$110*(((Inputs!$G$5:$G$110="moeda")+(Inputs!$G$5:$G$110="acoes"))*Inputs!$B$1+((Inputs!$G$5:$G$110&lt;&gt;"moeda")*(Inputs!$G$5:$G$110&lt;&gt;"acoes")))*INDEX(Inputs!$K$5:$AJ$110,0,MATCH(AJ$2,Inputs!$K$4:$AJ$4,0)))))</f>
        <v>23.504</v>
      </c>
      <c r="AK60" s="264">
        <f>IF(ISNA(MATCH(AK$2,Inputs!$K$4:$AJ$4,0)),NA(),IF(SUMPRODUCT((Inputs!$A$5:$A$110=$B60)*ISNUMBER(INDEX(Inputs!$K$5:$AJ$110,0,MATCH(AK$2,Inputs!$K$4:$AJ$4,0))))+SUMPRODUCT((Inputs!$C$5:$C$110=$B60)*ISNUMBER(INDEX(Inputs!$K$5:$AJ$110,0,MATCH(AK$2,Inputs!$K$4:$AJ$4,0))))+SUMPRODUCT((Inputs!$E$5:$E$110=$B60)*ISNUMBER(INDEX(Inputs!$K$5:$AJ$110,0,MATCH(AK$2,Inputs!$K$4:$AJ$4,0))))=0,NA(),SUMPRODUCT((Inputs!$A$5:$A$110=$B60)*Inputs!$B$5:$B$110*(((Inputs!$G$5:$G$110="moeda")+(Inputs!$G$5:$G$110="acoes"))*Inputs!$B$1+((Inputs!$G$5:$G$110&lt;&gt;"moeda")*(Inputs!$G$5:$G$110&lt;&gt;"acoes")))*INDEX(Inputs!$K$5:$AJ$110,0,MATCH(AK$2,Inputs!$K$4:$AJ$4,0)))+SUMPRODUCT((Inputs!$C$5:$C$110=$B60)*Inputs!$D$5:$D$110*(((Inputs!$G$5:$G$110="moeda")+(Inputs!$G$5:$G$110="acoes"))*Inputs!$B$1+((Inputs!$G$5:$G$110&lt;&gt;"moeda")*(Inputs!$G$5:$G$110&lt;&gt;"acoes")))*INDEX(Inputs!$K$5:$AJ$110,0,MATCH(AK$2,Inputs!$K$4:$AJ$4,0)))+SUMPRODUCT((Inputs!$E$5:$E$110=$B60)*Inputs!$F$5:$F$110*(((Inputs!$G$5:$G$110="moeda")+(Inputs!$G$5:$G$110="acoes"))*Inputs!$B$1+((Inputs!$G$5:$G$110&lt;&gt;"moeda")*(Inputs!$G$5:$G$110&lt;&gt;"acoes")))*INDEX(Inputs!$K$5:$AJ$110,0,MATCH(AK$2,Inputs!$K$4:$AJ$4,0)))))</f>
        <v>25.492</v>
      </c>
      <c r="AL60" s="265">
        <f>AK60</f>
        <v>25.492</v>
      </c>
    </row>
    <row r="61">
      <c r="B61" s="46" t="n">
        <v>53</v>
      </c>
      <c r="C61" s="29" t="inlineStr">
        <is>
          <t>Receita DVD (USD; até 3T23; 4T = receita total - regiões)</t>
        </is>
      </c>
      <c r="D61" s="264">
        <f>IF(ISNA(MATCH(D$2,Inputs!$K$4:$AJ$4,0)),NA(),IF(SUMPRODUCT((Inputs!$A$5:$A$110=$B61)*ISNUMBER(INDEX(Inputs!$K$5:$AJ$110,0,MATCH(D$2,Inputs!$K$4:$AJ$4,0))))+SUMPRODUCT((Inputs!$C$5:$C$110=$B61)*ISNUMBER(INDEX(Inputs!$K$5:$AJ$110,0,MATCH(D$2,Inputs!$K$4:$AJ$4,0))))+SUMPRODUCT((Inputs!$E$5:$E$110=$B61)*ISNUMBER(INDEX(Inputs!$K$5:$AJ$110,0,MATCH(D$2,Inputs!$K$4:$AJ$4,0))))=0,NA(),SUMPRODUCT((Inputs!$A$5:$A$110=$B61)*Inputs!$B$5:$B$110*(((Inputs!$G$5:$G$110="moeda")+(Inputs!$G$5:$G$110="acoes"))*Inputs!$B$1+((Inputs!$G$5:$G$110&lt;&gt;"moeda")*(Inputs!$G$5:$G$110&lt;&gt;"acoes")))*INDEX(Inputs!$K$5:$AJ$110,0,MATCH(D$2,Inputs!$K$4:$AJ$4,0)))+SUMPRODUCT((Inputs!$C$5:$C$110=$B61)*Inputs!$D$5:$D$110*(((Inputs!$G$5:$G$110="moeda")+(Inputs!$G$5:$G$110="acoes"))*Inputs!$B$1+((Inputs!$G$5:$G$110&lt;&gt;"moeda")*(Inputs!$G$5:$G$110&lt;&gt;"acoes")))*INDEX(Inputs!$K$5:$AJ$110,0,MATCH(D$2,Inputs!$K$4:$AJ$4,0)))+SUMPRODUCT((Inputs!$E$5:$E$110=$B61)*Inputs!$F$5:$F$110*(((Inputs!$G$5:$G$110="moeda")+(Inputs!$G$5:$G$110="acoes"))*Inputs!$B$1+((Inputs!$G$5:$G$110&lt;&gt;"moeda")*(Inputs!$G$5:$G$110&lt;&gt;"acoes")))*INDEX(Inputs!$K$5:$AJ$110,0,MATCH(D$2,Inputs!$K$4:$AJ$4,0)))))</f>
        <v>50</v>
      </c>
      <c r="E61" s="264">
        <f>IF(ISNA(MATCH(E$2,Inputs!$K$4:$AJ$4,0)),NA(),IF(SUMPRODUCT((Inputs!$A$5:$A$110=$B61)*ISNUMBER(INDEX(Inputs!$K$5:$AJ$110,0,MATCH(E$2,Inputs!$K$4:$AJ$4,0))))+SUMPRODUCT((Inputs!$C$5:$C$110=$B61)*ISNUMBER(INDEX(Inputs!$K$5:$AJ$110,0,MATCH(E$2,Inputs!$K$4:$AJ$4,0))))+SUMPRODUCT((Inputs!$E$5:$E$110=$B61)*ISNUMBER(INDEX(Inputs!$K$5:$AJ$110,0,MATCH(E$2,Inputs!$K$4:$AJ$4,0))))=0,NA(),SUMPRODUCT((Inputs!$A$5:$A$110=$B61)*Inputs!$B$5:$B$110*(((Inputs!$G$5:$G$110="moeda")+(Inputs!$G$5:$G$110="acoes"))*Inputs!$B$1+((Inputs!$G$5:$G$110&lt;&gt;"moeda")*(Inputs!$G$5:$G$110&lt;&gt;"acoes")))*INDEX(Inputs!$K$5:$AJ$110,0,MATCH(E$2,Inputs!$K$4:$AJ$4,0)))+SUMPRODUCT((Inputs!$C$5:$C$110=$B61)*Inputs!$D$5:$D$110*(((Inputs!$G$5:$G$110="moeda")+(Inputs!$G$5:$G$110="acoes"))*Inputs!$B$1+((Inputs!$G$5:$G$110&lt;&gt;"moeda")*(Inputs!$G$5:$G$110&lt;&gt;"acoes")))*INDEX(Inputs!$K$5:$AJ$110,0,MATCH(E$2,Inputs!$K$4:$AJ$4,0)))+SUMPRODUCT((Inputs!$E$5:$E$110=$B61)*Inputs!$F$5:$F$110*(((Inputs!$G$5:$G$110="moeda")+(Inputs!$G$5:$G$110="acoes"))*Inputs!$B$1+((Inputs!$G$5:$G$110&lt;&gt;"moeda")*(Inputs!$G$5:$G$110&lt;&gt;"acoes")))*INDEX(Inputs!$K$5:$AJ$110,0,MATCH(E$2,Inputs!$K$4:$AJ$4,0)))))</f>
        <v>46</v>
      </c>
      <c r="F61" s="264">
        <f>IF(ISNA(MATCH(F$2,Inputs!$K$4:$AJ$4,0)),NA(),IF(SUMPRODUCT((Inputs!$A$5:$A$110=$B61)*ISNUMBER(INDEX(Inputs!$K$5:$AJ$110,0,MATCH(F$2,Inputs!$K$4:$AJ$4,0))))+SUMPRODUCT((Inputs!$C$5:$C$110=$B61)*ISNUMBER(INDEX(Inputs!$K$5:$AJ$110,0,MATCH(F$2,Inputs!$K$4:$AJ$4,0))))+SUMPRODUCT((Inputs!$E$5:$E$110=$B61)*ISNUMBER(INDEX(Inputs!$K$5:$AJ$110,0,MATCH(F$2,Inputs!$K$4:$AJ$4,0))))=0,NA(),SUMPRODUCT((Inputs!$A$5:$A$110=$B61)*Inputs!$B$5:$B$110*(((Inputs!$G$5:$G$110="moeda")+(Inputs!$G$5:$G$110="acoes"))*Inputs!$B$1+((Inputs!$G$5:$G$110&lt;&gt;"moeda")*(Inputs!$G$5:$G$110&lt;&gt;"acoes")))*INDEX(Inputs!$K$5:$AJ$110,0,MATCH(F$2,Inputs!$K$4:$AJ$4,0)))+SUMPRODUCT((Inputs!$C$5:$C$110=$B61)*Inputs!$D$5:$D$110*(((Inputs!$G$5:$G$110="moeda")+(Inputs!$G$5:$G$110="acoes"))*Inputs!$B$1+((Inputs!$G$5:$G$110&lt;&gt;"moeda")*(Inputs!$G$5:$G$110&lt;&gt;"acoes")))*INDEX(Inputs!$K$5:$AJ$110,0,MATCH(F$2,Inputs!$K$4:$AJ$4,0)))+SUMPRODUCT((Inputs!$E$5:$E$110=$B61)*Inputs!$F$5:$F$110*(((Inputs!$G$5:$G$110="moeda")+(Inputs!$G$5:$G$110="acoes"))*Inputs!$B$1+((Inputs!$G$5:$G$110&lt;&gt;"moeda")*(Inputs!$G$5:$G$110&lt;&gt;"acoes")))*INDEX(Inputs!$K$5:$AJ$110,0,MATCH(F$2,Inputs!$K$4:$AJ$4,0)))))</f>
        <v>44</v>
      </c>
      <c r="G61" s="264">
        <f>IF(ISNA(MATCH(G$2,Inputs!$K$4:$AJ$4,0)),NA(),IF(SUMPRODUCT((Inputs!$A$5:$A$110=$B61)*ISNUMBER(INDEX(Inputs!$K$5:$AJ$110,0,MATCH(G$2,Inputs!$K$4:$AJ$4,0))))+SUMPRODUCT((Inputs!$C$5:$C$110=$B61)*ISNUMBER(INDEX(Inputs!$K$5:$AJ$110,0,MATCH(G$2,Inputs!$K$4:$AJ$4,0))))+SUMPRODUCT((Inputs!$E$5:$E$110=$B61)*ISNUMBER(INDEX(Inputs!$K$5:$AJ$110,0,MATCH(G$2,Inputs!$K$4:$AJ$4,0))))=0,NA(),SUMPRODUCT((Inputs!$A$5:$A$110=$B61)*Inputs!$B$5:$B$110*(((Inputs!$G$5:$G$110="moeda")+(Inputs!$G$5:$G$110="acoes"))*Inputs!$B$1+((Inputs!$G$5:$G$110&lt;&gt;"moeda")*(Inputs!$G$5:$G$110&lt;&gt;"acoes")))*INDEX(Inputs!$K$5:$AJ$110,0,MATCH(G$2,Inputs!$K$4:$AJ$4,0)))+SUMPRODUCT((Inputs!$C$5:$C$110=$B61)*Inputs!$D$5:$D$110*(((Inputs!$G$5:$G$110="moeda")+(Inputs!$G$5:$G$110="acoes"))*Inputs!$B$1+((Inputs!$G$5:$G$110&lt;&gt;"moeda")*(Inputs!$G$5:$G$110&lt;&gt;"acoes")))*INDEX(Inputs!$K$5:$AJ$110,0,MATCH(G$2,Inputs!$K$4:$AJ$4,0)))+SUMPRODUCT((Inputs!$E$5:$E$110=$B61)*Inputs!$F$5:$F$110*(((Inputs!$G$5:$G$110="moeda")+(Inputs!$G$5:$G$110="acoes"))*Inputs!$B$1+((Inputs!$G$5:$G$110&lt;&gt;"moeda")*(Inputs!$G$5:$G$110&lt;&gt;"acoes")))*INDEX(Inputs!$K$5:$AJ$110,0,MATCH(G$2,Inputs!$K$4:$AJ$4,0)))))</f>
        <v>60</v>
      </c>
      <c r="H61" s="265">
        <f>SUM(D61:G61)</f>
        <v>200</v>
      </c>
      <c r="I61" s="264">
        <f>IF(ISNA(MATCH(I$2,Inputs!$K$4:$AJ$4,0)),NA(),IF(SUMPRODUCT((Inputs!$A$5:$A$110=$B61)*ISNUMBER(INDEX(Inputs!$K$5:$AJ$110,0,MATCH(I$2,Inputs!$K$4:$AJ$4,0))))+SUMPRODUCT((Inputs!$C$5:$C$110=$B61)*ISNUMBER(INDEX(Inputs!$K$5:$AJ$110,0,MATCH(I$2,Inputs!$K$4:$AJ$4,0))))+SUMPRODUCT((Inputs!$E$5:$E$110=$B61)*ISNUMBER(INDEX(Inputs!$K$5:$AJ$110,0,MATCH(I$2,Inputs!$K$4:$AJ$4,0))))=0,NA(),SUMPRODUCT((Inputs!$A$5:$A$110=$B61)*Inputs!$B$5:$B$110*(((Inputs!$G$5:$G$110="moeda")+(Inputs!$G$5:$G$110="acoes"))*Inputs!$B$1+((Inputs!$G$5:$G$110&lt;&gt;"moeda")*(Inputs!$G$5:$G$110&lt;&gt;"acoes")))*INDEX(Inputs!$K$5:$AJ$110,0,MATCH(I$2,Inputs!$K$4:$AJ$4,0)))+SUMPRODUCT((Inputs!$C$5:$C$110=$B61)*Inputs!$D$5:$D$110*(((Inputs!$G$5:$G$110="moeda")+(Inputs!$G$5:$G$110="acoes"))*Inputs!$B$1+((Inputs!$G$5:$G$110&lt;&gt;"moeda")*(Inputs!$G$5:$G$110&lt;&gt;"acoes")))*INDEX(Inputs!$K$5:$AJ$110,0,MATCH(I$2,Inputs!$K$4:$AJ$4,0)))+SUMPRODUCT((Inputs!$E$5:$E$110=$B61)*Inputs!$F$5:$F$110*(((Inputs!$G$5:$G$110="moeda")+(Inputs!$G$5:$G$110="acoes"))*Inputs!$B$1+((Inputs!$G$5:$G$110&lt;&gt;"moeda")*(Inputs!$G$5:$G$110&lt;&gt;"acoes")))*INDEX(Inputs!$K$5:$AJ$110,0,MATCH(I$2,Inputs!$K$4:$AJ$4,0)))))</f>
        <v>40</v>
      </c>
      <c r="J61" s="264">
        <f>IF(ISNA(MATCH(J$2,Inputs!$K$4:$AJ$4,0)),NA(),IF(SUMPRODUCT((Inputs!$A$5:$A$110=$B61)*ISNUMBER(INDEX(Inputs!$K$5:$AJ$110,0,MATCH(J$2,Inputs!$K$4:$AJ$4,0))))+SUMPRODUCT((Inputs!$C$5:$C$110=$B61)*ISNUMBER(INDEX(Inputs!$K$5:$AJ$110,0,MATCH(J$2,Inputs!$K$4:$AJ$4,0))))+SUMPRODUCT((Inputs!$E$5:$E$110=$B61)*ISNUMBER(INDEX(Inputs!$K$5:$AJ$110,0,MATCH(J$2,Inputs!$K$4:$AJ$4,0))))=0,NA(),SUMPRODUCT((Inputs!$A$5:$A$110=$B61)*Inputs!$B$5:$B$110*(((Inputs!$G$5:$G$110="moeda")+(Inputs!$G$5:$G$110="acoes"))*Inputs!$B$1+((Inputs!$G$5:$G$110&lt;&gt;"moeda")*(Inputs!$G$5:$G$110&lt;&gt;"acoes")))*INDEX(Inputs!$K$5:$AJ$110,0,MATCH(J$2,Inputs!$K$4:$AJ$4,0)))+SUMPRODUCT((Inputs!$C$5:$C$110=$B61)*Inputs!$D$5:$D$110*(((Inputs!$G$5:$G$110="moeda")+(Inputs!$G$5:$G$110="acoes"))*Inputs!$B$1+((Inputs!$G$5:$G$110&lt;&gt;"moeda")*(Inputs!$G$5:$G$110&lt;&gt;"acoes")))*INDEX(Inputs!$K$5:$AJ$110,0,MATCH(J$2,Inputs!$K$4:$AJ$4,0)))+SUMPRODUCT((Inputs!$E$5:$E$110=$B61)*Inputs!$F$5:$F$110*(((Inputs!$G$5:$G$110="moeda")+(Inputs!$G$5:$G$110="acoes"))*Inputs!$B$1+((Inputs!$G$5:$G$110&lt;&gt;"moeda")*(Inputs!$G$5:$G$110&lt;&gt;"acoes")))*INDEX(Inputs!$K$5:$AJ$110,0,MATCH(J$2,Inputs!$K$4:$AJ$4,0)))))</f>
        <v>37</v>
      </c>
      <c r="K61" s="264">
        <f>IF(ISNA(MATCH(K$2,Inputs!$K$4:$AJ$4,0)),NA(),IF(SUMPRODUCT((Inputs!$A$5:$A$110=$B61)*ISNUMBER(INDEX(Inputs!$K$5:$AJ$110,0,MATCH(K$2,Inputs!$K$4:$AJ$4,0))))+SUMPRODUCT((Inputs!$C$5:$C$110=$B61)*ISNUMBER(INDEX(Inputs!$K$5:$AJ$110,0,MATCH(K$2,Inputs!$K$4:$AJ$4,0))))+SUMPRODUCT((Inputs!$E$5:$E$110=$B61)*ISNUMBER(INDEX(Inputs!$K$5:$AJ$110,0,MATCH(K$2,Inputs!$K$4:$AJ$4,0))))=0,NA(),SUMPRODUCT((Inputs!$A$5:$A$110=$B61)*Inputs!$B$5:$B$110*(((Inputs!$G$5:$G$110="moeda")+(Inputs!$G$5:$G$110="acoes"))*Inputs!$B$1+((Inputs!$G$5:$G$110&lt;&gt;"moeda")*(Inputs!$G$5:$G$110&lt;&gt;"acoes")))*INDEX(Inputs!$K$5:$AJ$110,0,MATCH(K$2,Inputs!$K$4:$AJ$4,0)))+SUMPRODUCT((Inputs!$C$5:$C$110=$B61)*Inputs!$D$5:$D$110*(((Inputs!$G$5:$G$110="moeda")+(Inputs!$G$5:$G$110="acoes"))*Inputs!$B$1+((Inputs!$G$5:$G$110&lt;&gt;"moeda")*(Inputs!$G$5:$G$110&lt;&gt;"acoes")))*INDEX(Inputs!$K$5:$AJ$110,0,MATCH(K$2,Inputs!$K$4:$AJ$4,0)))+SUMPRODUCT((Inputs!$E$5:$E$110=$B61)*Inputs!$F$5:$F$110*(((Inputs!$G$5:$G$110="moeda")+(Inputs!$G$5:$G$110="acoes"))*Inputs!$B$1+((Inputs!$G$5:$G$110&lt;&gt;"moeda")*(Inputs!$G$5:$G$110&lt;&gt;"acoes")))*INDEX(Inputs!$K$5:$AJ$110,0,MATCH(K$2,Inputs!$K$4:$AJ$4,0)))))</f>
        <v>35</v>
      </c>
      <c r="L61" s="264">
        <f>IF(ISNA(MATCH(L$2,Inputs!$K$4:$AJ$4,0)),NA(),IF(SUMPRODUCT((Inputs!$A$5:$A$110=$B61)*ISNUMBER(INDEX(Inputs!$K$5:$AJ$110,0,MATCH(L$2,Inputs!$K$4:$AJ$4,0))))+SUMPRODUCT((Inputs!$C$5:$C$110=$B61)*ISNUMBER(INDEX(Inputs!$K$5:$AJ$110,0,MATCH(L$2,Inputs!$K$4:$AJ$4,0))))+SUMPRODUCT((Inputs!$E$5:$E$110=$B61)*ISNUMBER(INDEX(Inputs!$K$5:$AJ$110,0,MATCH(L$2,Inputs!$K$4:$AJ$4,0))))=0,NA(),SUMPRODUCT((Inputs!$A$5:$A$110=$B61)*Inputs!$B$5:$B$110*(((Inputs!$G$5:$G$110="moeda")+(Inputs!$G$5:$G$110="acoes"))*Inputs!$B$1+((Inputs!$G$5:$G$110&lt;&gt;"moeda")*(Inputs!$G$5:$G$110&lt;&gt;"acoes")))*INDEX(Inputs!$K$5:$AJ$110,0,MATCH(L$2,Inputs!$K$4:$AJ$4,0)))+SUMPRODUCT((Inputs!$C$5:$C$110=$B61)*Inputs!$D$5:$D$110*(((Inputs!$G$5:$G$110="moeda")+(Inputs!$G$5:$G$110="acoes"))*Inputs!$B$1+((Inputs!$G$5:$G$110&lt;&gt;"moeda")*(Inputs!$G$5:$G$110&lt;&gt;"acoes")))*INDEX(Inputs!$K$5:$AJ$110,0,MATCH(L$2,Inputs!$K$4:$AJ$4,0)))+SUMPRODUCT((Inputs!$E$5:$E$110=$B61)*Inputs!$F$5:$F$110*(((Inputs!$G$5:$G$110="moeda")+(Inputs!$G$5:$G$110="acoes"))*Inputs!$B$1+((Inputs!$G$5:$G$110&lt;&gt;"moeda")*(Inputs!$G$5:$G$110&lt;&gt;"acoes")))*INDEX(Inputs!$K$5:$AJ$110,0,MATCH(L$2,Inputs!$K$4:$AJ$4,0)))))</f>
        <v>-12</v>
      </c>
      <c r="M61" s="265">
        <f>SUM(I61:L61)</f>
        <v>100</v>
      </c>
      <c r="N61" s="264">
        <f>IF(ISNA(MATCH(N$2,Inputs!$K$4:$AJ$4,0)),NA(),IF(SUMPRODUCT((Inputs!$A$5:$A$110=$B61)*ISNUMBER(INDEX(Inputs!$K$5:$AJ$110,0,MATCH(N$2,Inputs!$K$4:$AJ$4,0))))+SUMPRODUCT((Inputs!$C$5:$C$110=$B61)*ISNUMBER(INDEX(Inputs!$K$5:$AJ$110,0,MATCH(N$2,Inputs!$K$4:$AJ$4,0))))+SUMPRODUCT((Inputs!$E$5:$E$110=$B61)*ISNUMBER(INDEX(Inputs!$K$5:$AJ$110,0,MATCH(N$2,Inputs!$K$4:$AJ$4,0))))=0,NA(),SUMPRODUCT((Inputs!$A$5:$A$110=$B61)*Inputs!$B$5:$B$110*(((Inputs!$G$5:$G$110="moeda")+(Inputs!$G$5:$G$110="acoes"))*Inputs!$B$1+((Inputs!$G$5:$G$110&lt;&gt;"moeda")*(Inputs!$G$5:$G$110&lt;&gt;"acoes")))*INDEX(Inputs!$K$5:$AJ$110,0,MATCH(N$2,Inputs!$K$4:$AJ$4,0)))+SUMPRODUCT((Inputs!$C$5:$C$110=$B61)*Inputs!$D$5:$D$110*(((Inputs!$G$5:$G$110="moeda")+(Inputs!$G$5:$G$110="acoes"))*Inputs!$B$1+((Inputs!$G$5:$G$110&lt;&gt;"moeda")*(Inputs!$G$5:$G$110&lt;&gt;"acoes")))*INDEX(Inputs!$K$5:$AJ$110,0,MATCH(N$2,Inputs!$K$4:$AJ$4,0)))+SUMPRODUCT((Inputs!$E$5:$E$110=$B61)*Inputs!$F$5:$F$110*(((Inputs!$G$5:$G$110="moeda")+(Inputs!$G$5:$G$110="acoes"))*Inputs!$B$1+((Inputs!$G$5:$G$110&lt;&gt;"moeda")*(Inputs!$G$5:$G$110&lt;&gt;"acoes")))*INDEX(Inputs!$K$5:$AJ$110,0,MATCH(N$2,Inputs!$K$4:$AJ$4,0)))))</f>
        <v>32</v>
      </c>
      <c r="O61" s="264">
        <f>IF(ISNA(MATCH(O$2,Inputs!$K$4:$AJ$4,0)),NA(),IF(SUMPRODUCT((Inputs!$A$5:$A$110=$B61)*ISNUMBER(INDEX(Inputs!$K$5:$AJ$110,0,MATCH(O$2,Inputs!$K$4:$AJ$4,0))))+SUMPRODUCT((Inputs!$C$5:$C$110=$B61)*ISNUMBER(INDEX(Inputs!$K$5:$AJ$110,0,MATCH(O$2,Inputs!$K$4:$AJ$4,0))))+SUMPRODUCT((Inputs!$E$5:$E$110=$B61)*ISNUMBER(INDEX(Inputs!$K$5:$AJ$110,0,MATCH(O$2,Inputs!$K$4:$AJ$4,0))))=0,NA(),SUMPRODUCT((Inputs!$A$5:$A$110=$B61)*Inputs!$B$5:$B$110*(((Inputs!$G$5:$G$110="moeda")+(Inputs!$G$5:$G$110="acoes"))*Inputs!$B$1+((Inputs!$G$5:$G$110&lt;&gt;"moeda")*(Inputs!$G$5:$G$110&lt;&gt;"acoes")))*INDEX(Inputs!$K$5:$AJ$110,0,MATCH(O$2,Inputs!$K$4:$AJ$4,0)))+SUMPRODUCT((Inputs!$C$5:$C$110=$B61)*Inputs!$D$5:$D$110*(((Inputs!$G$5:$G$110="moeda")+(Inputs!$G$5:$G$110="acoes"))*Inputs!$B$1+((Inputs!$G$5:$G$110&lt;&gt;"moeda")*(Inputs!$G$5:$G$110&lt;&gt;"acoes")))*INDEX(Inputs!$K$5:$AJ$110,0,MATCH(O$2,Inputs!$K$4:$AJ$4,0)))+SUMPRODUCT((Inputs!$E$5:$E$110=$B61)*Inputs!$F$5:$F$110*(((Inputs!$G$5:$G$110="moeda")+(Inputs!$G$5:$G$110="acoes"))*Inputs!$B$1+((Inputs!$G$5:$G$110&lt;&gt;"moeda")*(Inputs!$G$5:$G$110&lt;&gt;"acoes")))*INDEX(Inputs!$K$5:$AJ$110,0,MATCH(O$2,Inputs!$K$4:$AJ$4,0)))))</f>
        <v>29</v>
      </c>
      <c r="P61" s="264">
        <f>IF(ISNA(MATCH(P$2,Inputs!$K$4:$AJ$4,0)),NA(),IF(SUMPRODUCT((Inputs!$A$5:$A$110=$B61)*ISNUMBER(INDEX(Inputs!$K$5:$AJ$110,0,MATCH(P$2,Inputs!$K$4:$AJ$4,0))))+SUMPRODUCT((Inputs!$C$5:$C$110=$B61)*ISNUMBER(INDEX(Inputs!$K$5:$AJ$110,0,MATCH(P$2,Inputs!$K$4:$AJ$4,0))))+SUMPRODUCT((Inputs!$E$5:$E$110=$B61)*ISNUMBER(INDEX(Inputs!$K$5:$AJ$110,0,MATCH(P$2,Inputs!$K$4:$AJ$4,0))))=0,NA(),SUMPRODUCT((Inputs!$A$5:$A$110=$B61)*Inputs!$B$5:$B$110*(((Inputs!$G$5:$G$110="moeda")+(Inputs!$G$5:$G$110="acoes"))*Inputs!$B$1+((Inputs!$G$5:$G$110&lt;&gt;"moeda")*(Inputs!$G$5:$G$110&lt;&gt;"acoes")))*INDEX(Inputs!$K$5:$AJ$110,0,MATCH(P$2,Inputs!$K$4:$AJ$4,0)))+SUMPRODUCT((Inputs!$C$5:$C$110=$B61)*Inputs!$D$5:$D$110*(((Inputs!$G$5:$G$110="moeda")+(Inputs!$G$5:$G$110="acoes"))*Inputs!$B$1+((Inputs!$G$5:$G$110&lt;&gt;"moeda")*(Inputs!$G$5:$G$110&lt;&gt;"acoes")))*INDEX(Inputs!$K$5:$AJ$110,0,MATCH(P$2,Inputs!$K$4:$AJ$4,0)))+SUMPRODUCT((Inputs!$E$5:$E$110=$B61)*Inputs!$F$5:$F$110*(((Inputs!$G$5:$G$110="moeda")+(Inputs!$G$5:$G$110="acoes"))*Inputs!$B$1+((Inputs!$G$5:$G$110&lt;&gt;"moeda")*(Inputs!$G$5:$G$110&lt;&gt;"acoes")))*INDEX(Inputs!$K$5:$AJ$110,0,MATCH(P$2,Inputs!$K$4:$AJ$4,0)))))</f>
        <v>22</v>
      </c>
      <c r="Q61" s="264" t="e">
        <f>IF(ISNA(MATCH(Q$2,Inputs!$K$4:$AJ$4,0)),NA(),IF(SUMPRODUCT((Inputs!$A$5:$A$110=$B61)*ISNUMBER(INDEX(Inputs!$K$5:$AJ$110,0,MATCH(Q$2,Inputs!$K$4:$AJ$4,0))))+SUMPRODUCT((Inputs!$C$5:$C$110=$B61)*ISNUMBER(INDEX(Inputs!$K$5:$AJ$110,0,MATCH(Q$2,Inputs!$K$4:$AJ$4,0))))+SUMPRODUCT((Inputs!$E$5:$E$110=$B61)*ISNUMBER(INDEX(Inputs!$K$5:$AJ$110,0,MATCH(Q$2,Inputs!$K$4:$AJ$4,0))))=0,NA(),SUMPRODUCT((Inputs!$A$5:$A$110=$B61)*Inputs!$B$5:$B$110*(((Inputs!$G$5:$G$110="moeda")+(Inputs!$G$5:$G$110="acoes"))*Inputs!$B$1+((Inputs!$G$5:$G$110&lt;&gt;"moeda")*(Inputs!$G$5:$G$110&lt;&gt;"acoes")))*INDEX(Inputs!$K$5:$AJ$110,0,MATCH(Q$2,Inputs!$K$4:$AJ$4,0)))+SUMPRODUCT((Inputs!$C$5:$C$110=$B61)*Inputs!$D$5:$D$110*(((Inputs!$G$5:$G$110="moeda")+(Inputs!$G$5:$G$110="acoes"))*Inputs!$B$1+((Inputs!$G$5:$G$110&lt;&gt;"moeda")*(Inputs!$G$5:$G$110&lt;&gt;"acoes")))*INDEX(Inputs!$K$5:$AJ$110,0,MATCH(Q$2,Inputs!$K$4:$AJ$4,0)))+SUMPRODUCT((Inputs!$E$5:$E$110=$B61)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61" s="265" t="e">
        <f>SUM(N61:Q61)</f>
        <v>#N/A</v>
      </c>
      <c r="S61" s="264" t="e">
        <f>IF(ISNA(MATCH(S$2,Inputs!$K$4:$AJ$4,0)),NA(),IF(SUMPRODUCT((Inputs!$A$5:$A$110=$B61)*ISNUMBER(INDEX(Inputs!$K$5:$AJ$110,0,MATCH(S$2,Inputs!$K$4:$AJ$4,0))))+SUMPRODUCT((Inputs!$C$5:$C$110=$B61)*ISNUMBER(INDEX(Inputs!$K$5:$AJ$110,0,MATCH(S$2,Inputs!$K$4:$AJ$4,0))))+SUMPRODUCT((Inputs!$E$5:$E$110=$B61)*ISNUMBER(INDEX(Inputs!$K$5:$AJ$110,0,MATCH(S$2,Inputs!$K$4:$AJ$4,0))))=0,NA(),SUMPRODUCT((Inputs!$A$5:$A$110=$B61)*Inputs!$B$5:$B$110*(((Inputs!$G$5:$G$110="moeda")+(Inputs!$G$5:$G$110="acoes"))*Inputs!$B$1+((Inputs!$G$5:$G$110&lt;&gt;"moeda")*(Inputs!$G$5:$G$110&lt;&gt;"acoes")))*INDEX(Inputs!$K$5:$AJ$110,0,MATCH(S$2,Inputs!$K$4:$AJ$4,0)))+SUMPRODUCT((Inputs!$C$5:$C$110=$B61)*Inputs!$D$5:$D$110*(((Inputs!$G$5:$G$110="moeda")+(Inputs!$G$5:$G$110="acoes"))*Inputs!$B$1+((Inputs!$G$5:$G$110&lt;&gt;"moeda")*(Inputs!$G$5:$G$110&lt;&gt;"acoes")))*INDEX(Inputs!$K$5:$AJ$110,0,MATCH(S$2,Inputs!$K$4:$AJ$4,0)))+SUMPRODUCT((Inputs!$E$5:$E$110=$B61)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61" s="264" t="e">
        <f>IF(ISNA(MATCH(T$2,Inputs!$K$4:$AJ$4,0)),NA(),IF(SUMPRODUCT((Inputs!$A$5:$A$110=$B61)*ISNUMBER(INDEX(Inputs!$K$5:$AJ$110,0,MATCH(T$2,Inputs!$K$4:$AJ$4,0))))+SUMPRODUCT((Inputs!$C$5:$C$110=$B61)*ISNUMBER(INDEX(Inputs!$K$5:$AJ$110,0,MATCH(T$2,Inputs!$K$4:$AJ$4,0))))+SUMPRODUCT((Inputs!$E$5:$E$110=$B61)*ISNUMBER(INDEX(Inputs!$K$5:$AJ$110,0,MATCH(T$2,Inputs!$K$4:$AJ$4,0))))=0,NA(),SUMPRODUCT((Inputs!$A$5:$A$110=$B61)*Inputs!$B$5:$B$110*(((Inputs!$G$5:$G$110="moeda")+(Inputs!$G$5:$G$110="acoes"))*Inputs!$B$1+((Inputs!$G$5:$G$110&lt;&gt;"moeda")*(Inputs!$G$5:$G$110&lt;&gt;"acoes")))*INDEX(Inputs!$K$5:$AJ$110,0,MATCH(T$2,Inputs!$K$4:$AJ$4,0)))+SUMPRODUCT((Inputs!$C$5:$C$110=$B61)*Inputs!$D$5:$D$110*(((Inputs!$G$5:$G$110="moeda")+(Inputs!$G$5:$G$110="acoes"))*Inputs!$B$1+((Inputs!$G$5:$G$110&lt;&gt;"moeda")*(Inputs!$G$5:$G$110&lt;&gt;"acoes")))*INDEX(Inputs!$K$5:$AJ$110,0,MATCH(T$2,Inputs!$K$4:$AJ$4,0)))+SUMPRODUCT((Inputs!$E$5:$E$110=$B61)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61" s="264" t="e">
        <f>IF(ISNA(MATCH(U$2,Inputs!$K$4:$AJ$4,0)),NA(),IF(SUMPRODUCT((Inputs!$A$5:$A$110=$B61)*ISNUMBER(INDEX(Inputs!$K$5:$AJ$110,0,MATCH(U$2,Inputs!$K$4:$AJ$4,0))))+SUMPRODUCT((Inputs!$C$5:$C$110=$B61)*ISNUMBER(INDEX(Inputs!$K$5:$AJ$110,0,MATCH(U$2,Inputs!$K$4:$AJ$4,0))))+SUMPRODUCT((Inputs!$E$5:$E$110=$B61)*ISNUMBER(INDEX(Inputs!$K$5:$AJ$110,0,MATCH(U$2,Inputs!$K$4:$AJ$4,0))))=0,NA(),SUMPRODUCT((Inputs!$A$5:$A$110=$B61)*Inputs!$B$5:$B$110*(((Inputs!$G$5:$G$110="moeda")+(Inputs!$G$5:$G$110="acoes"))*Inputs!$B$1+((Inputs!$G$5:$G$110&lt;&gt;"moeda")*(Inputs!$G$5:$G$110&lt;&gt;"acoes")))*INDEX(Inputs!$K$5:$AJ$110,0,MATCH(U$2,Inputs!$K$4:$AJ$4,0)))+SUMPRODUCT((Inputs!$C$5:$C$110=$B61)*Inputs!$D$5:$D$110*(((Inputs!$G$5:$G$110="moeda")+(Inputs!$G$5:$G$110="acoes"))*Inputs!$B$1+((Inputs!$G$5:$G$110&lt;&gt;"moeda")*(Inputs!$G$5:$G$110&lt;&gt;"acoes")))*INDEX(Inputs!$K$5:$AJ$110,0,MATCH(U$2,Inputs!$K$4:$AJ$4,0)))+SUMPRODUCT((Inputs!$E$5:$E$110=$B61)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61" s="264" t="e">
        <f>IF(ISNA(MATCH(V$2,Inputs!$K$4:$AJ$4,0)),NA(),IF(SUMPRODUCT((Inputs!$A$5:$A$110=$B61)*ISNUMBER(INDEX(Inputs!$K$5:$AJ$110,0,MATCH(V$2,Inputs!$K$4:$AJ$4,0))))+SUMPRODUCT((Inputs!$C$5:$C$110=$B61)*ISNUMBER(INDEX(Inputs!$K$5:$AJ$110,0,MATCH(V$2,Inputs!$K$4:$AJ$4,0))))+SUMPRODUCT((Inputs!$E$5:$E$110=$B61)*ISNUMBER(INDEX(Inputs!$K$5:$AJ$110,0,MATCH(V$2,Inputs!$K$4:$AJ$4,0))))=0,NA(),SUMPRODUCT((Inputs!$A$5:$A$110=$B61)*Inputs!$B$5:$B$110*(((Inputs!$G$5:$G$110="moeda")+(Inputs!$G$5:$G$110="acoes"))*Inputs!$B$1+((Inputs!$G$5:$G$110&lt;&gt;"moeda")*(Inputs!$G$5:$G$110&lt;&gt;"acoes")))*INDEX(Inputs!$K$5:$AJ$110,0,MATCH(V$2,Inputs!$K$4:$AJ$4,0)))+SUMPRODUCT((Inputs!$C$5:$C$110=$B61)*Inputs!$D$5:$D$110*(((Inputs!$G$5:$G$110="moeda")+(Inputs!$G$5:$G$110="acoes"))*Inputs!$B$1+((Inputs!$G$5:$G$110&lt;&gt;"moeda")*(Inputs!$G$5:$G$110&lt;&gt;"acoes")))*INDEX(Inputs!$K$5:$AJ$110,0,MATCH(V$2,Inputs!$K$4:$AJ$4,0)))+SUMPRODUCT((Inputs!$E$5:$E$110=$B61)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61" s="265" t="e">
        <f>SUM(S61:V61)</f>
        <v>#N/A</v>
      </c>
      <c r="X61" s="264" t="e">
        <f>IF(ISNA(MATCH(X$2,Inputs!$K$4:$AJ$4,0)),NA(),IF(SUMPRODUCT((Inputs!$A$5:$A$110=$B61)*ISNUMBER(INDEX(Inputs!$K$5:$AJ$110,0,MATCH(X$2,Inputs!$K$4:$AJ$4,0))))+SUMPRODUCT((Inputs!$C$5:$C$110=$B61)*ISNUMBER(INDEX(Inputs!$K$5:$AJ$110,0,MATCH(X$2,Inputs!$K$4:$AJ$4,0))))+SUMPRODUCT((Inputs!$E$5:$E$110=$B61)*ISNUMBER(INDEX(Inputs!$K$5:$AJ$110,0,MATCH(X$2,Inputs!$K$4:$AJ$4,0))))=0,NA(),SUMPRODUCT((Inputs!$A$5:$A$110=$B61)*Inputs!$B$5:$B$110*(((Inputs!$G$5:$G$110="moeda")+(Inputs!$G$5:$G$110="acoes"))*Inputs!$B$1+((Inputs!$G$5:$G$110&lt;&gt;"moeda")*(Inputs!$G$5:$G$110&lt;&gt;"acoes")))*INDEX(Inputs!$K$5:$AJ$110,0,MATCH(X$2,Inputs!$K$4:$AJ$4,0)))+SUMPRODUCT((Inputs!$C$5:$C$110=$B61)*Inputs!$D$5:$D$110*(((Inputs!$G$5:$G$110="moeda")+(Inputs!$G$5:$G$110="acoes"))*Inputs!$B$1+((Inputs!$G$5:$G$110&lt;&gt;"moeda")*(Inputs!$G$5:$G$110&lt;&gt;"acoes")))*INDEX(Inputs!$K$5:$AJ$110,0,MATCH(X$2,Inputs!$K$4:$AJ$4,0)))+SUMPRODUCT((Inputs!$E$5:$E$110=$B61)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61" s="264" t="e">
        <f>IF(ISNA(MATCH(Y$2,Inputs!$K$4:$AJ$4,0)),NA(),IF(SUMPRODUCT((Inputs!$A$5:$A$110=$B61)*ISNUMBER(INDEX(Inputs!$K$5:$AJ$110,0,MATCH(Y$2,Inputs!$K$4:$AJ$4,0))))+SUMPRODUCT((Inputs!$C$5:$C$110=$B61)*ISNUMBER(INDEX(Inputs!$K$5:$AJ$110,0,MATCH(Y$2,Inputs!$K$4:$AJ$4,0))))+SUMPRODUCT((Inputs!$E$5:$E$110=$B61)*ISNUMBER(INDEX(Inputs!$K$5:$AJ$110,0,MATCH(Y$2,Inputs!$K$4:$AJ$4,0))))=0,NA(),SUMPRODUCT((Inputs!$A$5:$A$110=$B61)*Inputs!$B$5:$B$110*(((Inputs!$G$5:$G$110="moeda")+(Inputs!$G$5:$G$110="acoes"))*Inputs!$B$1+((Inputs!$G$5:$G$110&lt;&gt;"moeda")*(Inputs!$G$5:$G$110&lt;&gt;"acoes")))*INDEX(Inputs!$K$5:$AJ$110,0,MATCH(Y$2,Inputs!$K$4:$AJ$4,0)))+SUMPRODUCT((Inputs!$C$5:$C$110=$B61)*Inputs!$D$5:$D$110*(((Inputs!$G$5:$G$110="moeda")+(Inputs!$G$5:$G$110="acoes"))*Inputs!$B$1+((Inputs!$G$5:$G$110&lt;&gt;"moeda")*(Inputs!$G$5:$G$110&lt;&gt;"acoes")))*INDEX(Inputs!$K$5:$AJ$110,0,MATCH(Y$2,Inputs!$K$4:$AJ$4,0)))+SUMPRODUCT((Inputs!$E$5:$E$110=$B61)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61" s="264" t="e">
        <f>IF(ISNA(MATCH(Z$2,Inputs!$K$4:$AJ$4,0)),NA(),IF(SUMPRODUCT((Inputs!$A$5:$A$110=$B61)*ISNUMBER(INDEX(Inputs!$K$5:$AJ$110,0,MATCH(Z$2,Inputs!$K$4:$AJ$4,0))))+SUMPRODUCT((Inputs!$C$5:$C$110=$B61)*ISNUMBER(INDEX(Inputs!$K$5:$AJ$110,0,MATCH(Z$2,Inputs!$K$4:$AJ$4,0))))+SUMPRODUCT((Inputs!$E$5:$E$110=$B61)*ISNUMBER(INDEX(Inputs!$K$5:$AJ$110,0,MATCH(Z$2,Inputs!$K$4:$AJ$4,0))))=0,NA(),SUMPRODUCT((Inputs!$A$5:$A$110=$B61)*Inputs!$B$5:$B$110*(((Inputs!$G$5:$G$110="moeda")+(Inputs!$G$5:$G$110="acoes"))*Inputs!$B$1+((Inputs!$G$5:$G$110&lt;&gt;"moeda")*(Inputs!$G$5:$G$110&lt;&gt;"acoes")))*INDEX(Inputs!$K$5:$AJ$110,0,MATCH(Z$2,Inputs!$K$4:$AJ$4,0)))+SUMPRODUCT((Inputs!$C$5:$C$110=$B61)*Inputs!$D$5:$D$110*(((Inputs!$G$5:$G$110="moeda")+(Inputs!$G$5:$G$110="acoes"))*Inputs!$B$1+((Inputs!$G$5:$G$110&lt;&gt;"moeda")*(Inputs!$G$5:$G$110&lt;&gt;"acoes")))*INDEX(Inputs!$K$5:$AJ$110,0,MATCH(Z$2,Inputs!$K$4:$AJ$4,0)))+SUMPRODUCT((Inputs!$E$5:$E$110=$B61)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61" s="264" t="e">
        <f>IF(ISNA(MATCH(AA$2,Inputs!$K$4:$AJ$4,0)),NA(),IF(SUMPRODUCT((Inputs!$A$5:$A$110=$B61)*ISNUMBER(INDEX(Inputs!$K$5:$AJ$110,0,MATCH(AA$2,Inputs!$K$4:$AJ$4,0))))+SUMPRODUCT((Inputs!$C$5:$C$110=$B61)*ISNUMBER(INDEX(Inputs!$K$5:$AJ$110,0,MATCH(AA$2,Inputs!$K$4:$AJ$4,0))))+SUMPRODUCT((Inputs!$E$5:$E$110=$B61)*ISNUMBER(INDEX(Inputs!$K$5:$AJ$110,0,MATCH(AA$2,Inputs!$K$4:$AJ$4,0))))=0,NA(),SUMPRODUCT((Inputs!$A$5:$A$110=$B61)*Inputs!$B$5:$B$110*(((Inputs!$G$5:$G$110="moeda")+(Inputs!$G$5:$G$110="acoes"))*Inputs!$B$1+((Inputs!$G$5:$G$110&lt;&gt;"moeda")*(Inputs!$G$5:$G$110&lt;&gt;"acoes")))*INDEX(Inputs!$K$5:$AJ$110,0,MATCH(AA$2,Inputs!$K$4:$AJ$4,0)))+SUMPRODUCT((Inputs!$C$5:$C$110=$B61)*Inputs!$D$5:$D$110*(((Inputs!$G$5:$G$110="moeda")+(Inputs!$G$5:$G$110="acoes"))*Inputs!$B$1+((Inputs!$G$5:$G$110&lt;&gt;"moeda")*(Inputs!$G$5:$G$110&lt;&gt;"acoes")))*INDEX(Inputs!$K$5:$AJ$110,0,MATCH(AA$2,Inputs!$K$4:$AJ$4,0)))+SUMPRODUCT((Inputs!$E$5:$E$110=$B61)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61" s="265" t="e">
        <f>SUM(X61:AA61)</f>
        <v>#N/A</v>
      </c>
      <c r="AC61" s="264" t="e">
        <f>IF(ISNA(MATCH(AC$2,Inputs!$K$4:$AJ$4,0)),NA(),IF(SUMPRODUCT((Inputs!$A$5:$A$110=$B61)*ISNUMBER(INDEX(Inputs!$K$5:$AJ$110,0,MATCH(AC$2,Inputs!$K$4:$AJ$4,0))))+SUMPRODUCT((Inputs!$C$5:$C$110=$B61)*ISNUMBER(INDEX(Inputs!$K$5:$AJ$110,0,MATCH(AC$2,Inputs!$K$4:$AJ$4,0))))+SUMPRODUCT((Inputs!$E$5:$E$110=$B61)*ISNUMBER(INDEX(Inputs!$K$5:$AJ$110,0,MATCH(AC$2,Inputs!$K$4:$AJ$4,0))))=0,NA(),SUMPRODUCT((Inputs!$A$5:$A$110=$B61)*Inputs!$B$5:$B$110*(((Inputs!$G$5:$G$110="moeda")+(Inputs!$G$5:$G$110="acoes"))*Inputs!$B$1+((Inputs!$G$5:$G$110&lt;&gt;"moeda")*(Inputs!$G$5:$G$110&lt;&gt;"acoes")))*INDEX(Inputs!$K$5:$AJ$110,0,MATCH(AC$2,Inputs!$K$4:$AJ$4,0)))+SUMPRODUCT((Inputs!$C$5:$C$110=$B61)*Inputs!$D$5:$D$110*(((Inputs!$G$5:$G$110="moeda")+(Inputs!$G$5:$G$110="acoes"))*Inputs!$B$1+((Inputs!$G$5:$G$110&lt;&gt;"moeda")*(Inputs!$G$5:$G$110&lt;&gt;"acoes")))*INDEX(Inputs!$K$5:$AJ$110,0,MATCH(AC$2,Inputs!$K$4:$AJ$4,0)))+SUMPRODUCT((Inputs!$E$5:$E$110=$B61)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61" s="264" t="e">
        <f>IF(ISNA(MATCH(AD$2,Inputs!$K$4:$AJ$4,0)),NA(),IF(SUMPRODUCT((Inputs!$A$5:$A$110=$B61)*ISNUMBER(INDEX(Inputs!$K$5:$AJ$110,0,MATCH(AD$2,Inputs!$K$4:$AJ$4,0))))+SUMPRODUCT((Inputs!$C$5:$C$110=$B61)*ISNUMBER(INDEX(Inputs!$K$5:$AJ$110,0,MATCH(AD$2,Inputs!$K$4:$AJ$4,0))))+SUMPRODUCT((Inputs!$E$5:$E$110=$B61)*ISNUMBER(INDEX(Inputs!$K$5:$AJ$110,0,MATCH(AD$2,Inputs!$K$4:$AJ$4,0))))=0,NA(),SUMPRODUCT((Inputs!$A$5:$A$110=$B61)*Inputs!$B$5:$B$110*(((Inputs!$G$5:$G$110="moeda")+(Inputs!$G$5:$G$110="acoes"))*Inputs!$B$1+((Inputs!$G$5:$G$110&lt;&gt;"moeda")*(Inputs!$G$5:$G$110&lt;&gt;"acoes")))*INDEX(Inputs!$K$5:$AJ$110,0,MATCH(AD$2,Inputs!$K$4:$AJ$4,0)))+SUMPRODUCT((Inputs!$C$5:$C$110=$B61)*Inputs!$D$5:$D$110*(((Inputs!$G$5:$G$110="moeda")+(Inputs!$G$5:$G$110="acoes"))*Inputs!$B$1+((Inputs!$G$5:$G$110&lt;&gt;"moeda")*(Inputs!$G$5:$G$110&lt;&gt;"acoes")))*INDEX(Inputs!$K$5:$AJ$110,0,MATCH(AD$2,Inputs!$K$4:$AJ$4,0)))+SUMPRODUCT((Inputs!$E$5:$E$110=$B61)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61" s="264" t="e">
        <f>IF(ISNA(MATCH(AE$2,Inputs!$K$4:$AJ$4,0)),NA(),IF(SUMPRODUCT((Inputs!$A$5:$A$110=$B61)*ISNUMBER(INDEX(Inputs!$K$5:$AJ$110,0,MATCH(AE$2,Inputs!$K$4:$AJ$4,0))))+SUMPRODUCT((Inputs!$C$5:$C$110=$B61)*ISNUMBER(INDEX(Inputs!$K$5:$AJ$110,0,MATCH(AE$2,Inputs!$K$4:$AJ$4,0))))+SUMPRODUCT((Inputs!$E$5:$E$110=$B61)*ISNUMBER(INDEX(Inputs!$K$5:$AJ$110,0,MATCH(AE$2,Inputs!$K$4:$AJ$4,0))))=0,NA(),SUMPRODUCT((Inputs!$A$5:$A$110=$B61)*Inputs!$B$5:$B$110*(((Inputs!$G$5:$G$110="moeda")+(Inputs!$G$5:$G$110="acoes"))*Inputs!$B$1+((Inputs!$G$5:$G$110&lt;&gt;"moeda")*(Inputs!$G$5:$G$110&lt;&gt;"acoes")))*INDEX(Inputs!$K$5:$AJ$110,0,MATCH(AE$2,Inputs!$K$4:$AJ$4,0)))+SUMPRODUCT((Inputs!$C$5:$C$110=$B61)*Inputs!$D$5:$D$110*(((Inputs!$G$5:$G$110="moeda")+(Inputs!$G$5:$G$110="acoes"))*Inputs!$B$1+((Inputs!$G$5:$G$110&lt;&gt;"moeda")*(Inputs!$G$5:$G$110&lt;&gt;"acoes")))*INDEX(Inputs!$K$5:$AJ$110,0,MATCH(AE$2,Inputs!$K$4:$AJ$4,0)))+SUMPRODUCT((Inputs!$E$5:$E$110=$B61)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1" s="264" t="e">
        <f>IF(ISNA(MATCH(AF$2,Inputs!$K$4:$AJ$4,0)),NA(),IF(SUMPRODUCT((Inputs!$A$5:$A$110=$B61)*ISNUMBER(INDEX(Inputs!$K$5:$AJ$110,0,MATCH(AF$2,Inputs!$K$4:$AJ$4,0))))+SUMPRODUCT((Inputs!$C$5:$C$110=$B61)*ISNUMBER(INDEX(Inputs!$K$5:$AJ$110,0,MATCH(AF$2,Inputs!$K$4:$AJ$4,0))))+SUMPRODUCT((Inputs!$E$5:$E$110=$B61)*ISNUMBER(INDEX(Inputs!$K$5:$AJ$110,0,MATCH(AF$2,Inputs!$K$4:$AJ$4,0))))=0,NA(),SUMPRODUCT((Inputs!$A$5:$A$110=$B61)*Inputs!$B$5:$B$110*(((Inputs!$G$5:$G$110="moeda")+(Inputs!$G$5:$G$110="acoes"))*Inputs!$B$1+((Inputs!$G$5:$G$110&lt;&gt;"moeda")*(Inputs!$G$5:$G$110&lt;&gt;"acoes")))*INDEX(Inputs!$K$5:$AJ$110,0,MATCH(AF$2,Inputs!$K$4:$AJ$4,0)))+SUMPRODUCT((Inputs!$C$5:$C$110=$B61)*Inputs!$D$5:$D$110*(((Inputs!$G$5:$G$110="moeda")+(Inputs!$G$5:$G$110="acoes"))*Inputs!$B$1+((Inputs!$G$5:$G$110&lt;&gt;"moeda")*(Inputs!$G$5:$G$110&lt;&gt;"acoes")))*INDEX(Inputs!$K$5:$AJ$110,0,MATCH(AF$2,Inputs!$K$4:$AJ$4,0)))+SUMPRODUCT((Inputs!$E$5:$E$110=$B61)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1" s="265" t="e">
        <f>SUM(AC61:AF61)</f>
        <v>#N/A</v>
      </c>
      <c r="AH61" s="264">
        <f>IF(ISNA(MATCH(AH$2,Inputs!$K$4:$AJ$4,0)),NA(),IF(SUMPRODUCT((Inputs!$A$5:$A$110=$B61)*ISNUMBER(INDEX(Inputs!$K$5:$AJ$110,0,MATCH(AH$2,Inputs!$K$4:$AJ$4,0))))+SUMPRODUCT((Inputs!$C$5:$C$110=$B61)*ISNUMBER(INDEX(Inputs!$K$5:$AJ$110,0,MATCH(AH$2,Inputs!$K$4:$AJ$4,0))))+SUMPRODUCT((Inputs!$E$5:$E$110=$B61)*ISNUMBER(INDEX(Inputs!$K$5:$AJ$110,0,MATCH(AH$2,Inputs!$K$4:$AJ$4,0))))=0,NA(),SUMPRODUCT((Inputs!$A$5:$A$110=$B61)*Inputs!$B$5:$B$110*(((Inputs!$G$5:$G$110="moeda")+(Inputs!$G$5:$G$110="acoes"))*Inputs!$B$1+((Inputs!$G$5:$G$110&lt;&gt;"moeda")*(Inputs!$G$5:$G$110&lt;&gt;"acoes")))*INDEX(Inputs!$K$5:$AJ$110,0,MATCH(AH$2,Inputs!$K$4:$AJ$4,0)))+SUMPRODUCT((Inputs!$C$5:$C$110=$B61)*Inputs!$D$5:$D$110*(((Inputs!$G$5:$G$110="moeda")+(Inputs!$G$5:$G$110="acoes"))*Inputs!$B$1+((Inputs!$G$5:$G$110&lt;&gt;"moeda")*(Inputs!$G$5:$G$110&lt;&gt;"acoes")))*INDEX(Inputs!$K$5:$AJ$110,0,MATCH(AH$2,Inputs!$K$4:$AJ$4,0)))+SUMPRODUCT((Inputs!$E$5:$E$110=$B61)*Inputs!$F$5:$F$110*(((Inputs!$G$5:$G$110="moeda")+(Inputs!$G$5:$G$110="acoes"))*Inputs!$B$1+((Inputs!$G$5:$G$110&lt;&gt;"moeda")*(Inputs!$G$5:$G$110&lt;&gt;"acoes")))*INDEX(Inputs!$K$5:$AJ$110,0,MATCH(AH$2,Inputs!$K$4:$AJ$4,0)))))</f>
        <v>64</v>
      </c>
      <c r="AI61" s="264">
        <f>IF(ISNA(MATCH(AI$2,Inputs!$K$4:$AJ$4,0)),NA(),IF(SUMPRODUCT((Inputs!$A$5:$A$110=$B61)*ISNUMBER(INDEX(Inputs!$K$5:$AJ$110,0,MATCH(AI$2,Inputs!$K$4:$AJ$4,0))))+SUMPRODUCT((Inputs!$C$5:$C$110=$B61)*ISNUMBER(INDEX(Inputs!$K$5:$AJ$110,0,MATCH(AI$2,Inputs!$K$4:$AJ$4,0))))+SUMPRODUCT((Inputs!$E$5:$E$110=$B61)*ISNUMBER(INDEX(Inputs!$K$5:$AJ$110,0,MATCH(AI$2,Inputs!$K$4:$AJ$4,0))))=0,NA(),SUMPRODUCT((Inputs!$A$5:$A$110=$B61)*Inputs!$B$5:$B$110*(((Inputs!$G$5:$G$110="moeda")+(Inputs!$G$5:$G$110="acoes"))*Inputs!$B$1+((Inputs!$G$5:$G$110&lt;&gt;"moeda")*(Inputs!$G$5:$G$110&lt;&gt;"acoes")))*INDEX(Inputs!$K$5:$AJ$110,0,MATCH(AI$2,Inputs!$K$4:$AJ$4,0)))+SUMPRODUCT((Inputs!$C$5:$C$110=$B61)*Inputs!$D$5:$D$110*(((Inputs!$G$5:$G$110="moeda")+(Inputs!$G$5:$G$110="acoes"))*Inputs!$B$1+((Inputs!$G$5:$G$110&lt;&gt;"moeda")*(Inputs!$G$5:$G$110&lt;&gt;"acoes")))*INDEX(Inputs!$K$5:$AJ$110,0,MATCH(AI$2,Inputs!$K$4:$AJ$4,0)))+SUMPRODUCT((Inputs!$E$5:$E$110=$B61)*Inputs!$F$5:$F$110*(((Inputs!$G$5:$G$110="moeda")+(Inputs!$G$5:$G$110="acoes"))*Inputs!$B$1+((Inputs!$G$5:$G$110&lt;&gt;"moeda")*(Inputs!$G$5:$G$110&lt;&gt;"acoes")))*INDEX(Inputs!$K$5:$AJ$110,0,MATCH(AI$2,Inputs!$K$4:$AJ$4,0)))))</f>
        <v>62</v>
      </c>
      <c r="AJ61" s="264">
        <f>IF(ISNA(MATCH(AJ$2,Inputs!$K$4:$AJ$4,0)),NA(),IF(SUMPRODUCT((Inputs!$A$5:$A$110=$B61)*ISNUMBER(INDEX(Inputs!$K$5:$AJ$110,0,MATCH(AJ$2,Inputs!$K$4:$AJ$4,0))))+SUMPRODUCT((Inputs!$C$5:$C$110=$B61)*ISNUMBER(INDEX(Inputs!$K$5:$AJ$110,0,MATCH(AJ$2,Inputs!$K$4:$AJ$4,0))))+SUMPRODUCT((Inputs!$E$5:$E$110=$B61)*ISNUMBER(INDEX(Inputs!$K$5:$AJ$110,0,MATCH(AJ$2,Inputs!$K$4:$AJ$4,0))))=0,NA(),SUMPRODUCT((Inputs!$A$5:$A$110=$B61)*Inputs!$B$5:$B$110*(((Inputs!$G$5:$G$110="moeda")+(Inputs!$G$5:$G$110="acoes"))*Inputs!$B$1+((Inputs!$G$5:$G$110&lt;&gt;"moeda")*(Inputs!$G$5:$G$110&lt;&gt;"acoes")))*INDEX(Inputs!$K$5:$AJ$110,0,MATCH(AJ$2,Inputs!$K$4:$AJ$4,0)))+SUMPRODUCT((Inputs!$C$5:$C$110=$B61)*Inputs!$D$5:$D$110*(((Inputs!$G$5:$G$110="moeda")+(Inputs!$G$5:$G$110="acoes"))*Inputs!$B$1+((Inputs!$G$5:$G$110&lt;&gt;"moeda")*(Inputs!$G$5:$G$110&lt;&gt;"acoes")))*INDEX(Inputs!$K$5:$AJ$110,0,MATCH(AJ$2,Inputs!$K$4:$AJ$4,0)))+SUMPRODUCT((Inputs!$E$5:$E$110=$B61)*Inputs!$F$5:$F$110*(((Inputs!$G$5:$G$110="moeda")+(Inputs!$G$5:$G$110="acoes"))*Inputs!$B$1+((Inputs!$G$5:$G$110&lt;&gt;"moeda")*(Inputs!$G$5:$G$110&lt;&gt;"acoes")))*INDEX(Inputs!$K$5:$AJ$110,0,MATCH(AJ$2,Inputs!$K$4:$AJ$4,0)))))</f>
        <v>59</v>
      </c>
      <c r="AK61" s="264">
        <f>IF(ISNA(MATCH(AK$2,Inputs!$K$4:$AJ$4,0)),NA(),IF(SUMPRODUCT((Inputs!$A$5:$A$110=$B61)*ISNUMBER(INDEX(Inputs!$K$5:$AJ$110,0,MATCH(AK$2,Inputs!$K$4:$AJ$4,0))))+SUMPRODUCT((Inputs!$C$5:$C$110=$B61)*ISNUMBER(INDEX(Inputs!$K$5:$AJ$110,0,MATCH(AK$2,Inputs!$K$4:$AJ$4,0))))+SUMPRODUCT((Inputs!$E$5:$E$110=$B61)*ISNUMBER(INDEX(Inputs!$K$5:$AJ$110,0,MATCH(AK$2,Inputs!$K$4:$AJ$4,0))))=0,NA(),SUMPRODUCT((Inputs!$A$5:$A$110=$B61)*Inputs!$B$5:$B$110*(((Inputs!$G$5:$G$110="moeda")+(Inputs!$G$5:$G$110="acoes"))*Inputs!$B$1+((Inputs!$G$5:$G$110&lt;&gt;"moeda")*(Inputs!$G$5:$G$110&lt;&gt;"acoes")))*INDEX(Inputs!$K$5:$AJ$110,0,MATCH(AK$2,Inputs!$K$4:$AJ$4,0)))+SUMPRODUCT((Inputs!$C$5:$C$110=$B61)*Inputs!$D$5:$D$110*(((Inputs!$G$5:$G$110="moeda")+(Inputs!$G$5:$G$110="acoes"))*Inputs!$B$1+((Inputs!$G$5:$G$110&lt;&gt;"moeda")*(Inputs!$G$5:$G$110&lt;&gt;"acoes")))*INDEX(Inputs!$K$5:$AJ$110,0,MATCH(AK$2,Inputs!$K$4:$AJ$4,0)))+SUMPRODUCT((Inputs!$E$5:$E$110=$B61)*Inputs!$F$5:$F$110*(((Inputs!$G$5:$G$110="moeda")+(Inputs!$G$5:$G$110="acoes"))*Inputs!$B$1+((Inputs!$G$5:$G$110&lt;&gt;"moeda")*(Inputs!$G$5:$G$110&lt;&gt;"acoes")))*INDEX(Inputs!$K$5:$AJ$110,0,MATCH(AK$2,Inputs!$K$4:$AJ$4,0)))))</f>
        <v>15</v>
      </c>
      <c r="AL61" s="265">
        <f>SUM(AH61:AK61)</f>
        <v>200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6"/>
  <sheetViews>
    <sheetView showGridLines="0" tabSelected="1" zoomScale="85" zoomScaleNormal="85" workbookViewId="0">
      <pane xSplit="3" ySplit="363" topLeftCell="D364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2.1316282072803e-13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ABS(D191-D267)</f>
        <v>0</v>
      </c>
      <c r="E2" s="3">
        <f>ABS(E191-E267)</f>
        <v>0</v>
      </c>
      <c r="F2" s="3">
        <f>ABS(F191-F267)</f>
        <v>0</v>
      </c>
      <c r="G2" s="3">
        <f>ABS(G191-G267)</f>
        <v>0</v>
      </c>
      <c r="H2" s="3">
        <f>ABS(H191-H267)</f>
        <v>0</v>
      </c>
      <c r="I2" s="3">
        <f>ABS(I191-I267)</f>
        <v>0</v>
      </c>
      <c r="J2" s="3">
        <f>ABS(J191-J267)</f>
        <v>0</v>
      </c>
      <c r="K2" s="3">
        <f>ABS(K191-K267)</f>
        <v>0</v>
      </c>
      <c r="L2" s="3">
        <f>ABS(L191-L267)</f>
        <v>0</v>
      </c>
      <c r="M2" s="3">
        <f>ABS(M191-M267)</f>
        <v>0</v>
      </c>
      <c r="N2" s="3">
        <f>ABS(N191-N267)</f>
        <v>0</v>
      </c>
      <c r="O2" s="3">
        <f>ABS(O191-O267)</f>
        <v>0</v>
      </c>
      <c r="P2" s="3">
        <f>ABS(P191-P267)</f>
        <v>0</v>
      </c>
      <c r="Q2" s="3">
        <f>ABS(Q191-Q267)</f>
        <v>0</v>
      </c>
      <c r="R2" s="3">
        <f>ABS(R191-R267)</f>
        <v>0</v>
      </c>
      <c r="S2" s="3">
        <f>ABS(S191-S267)</f>
        <v>0</v>
      </c>
      <c r="T2" s="3">
        <f>ABS(T191-T267)</f>
        <v>0</v>
      </c>
      <c r="U2" s="3">
        <f>ABS(U191-U267)</f>
        <v>0</v>
      </c>
      <c r="V2" s="3">
        <f>ABS(V191-V267)</f>
        <v>0</v>
      </c>
      <c r="W2" s="3">
        <f>ABS(W191-W267)</f>
        <v>0</v>
      </c>
      <c r="X2" s="3">
        <f>ABS(X191-X267)</f>
        <v>0</v>
      </c>
      <c r="Y2" s="3">
        <f>ABS(Y191-Y267)</f>
        <v>0</v>
      </c>
      <c r="Z2" s="3">
        <f>ABS(Z191-Z267)</f>
        <v>0</v>
      </c>
      <c r="AA2" s="3">
        <f>ABS(AA191-AA267)</f>
        <v>0</v>
      </c>
      <c r="AB2" s="3">
        <f>ABS(AB191-AB267)</f>
        <v>0</v>
      </c>
      <c r="AC2" s="3">
        <f>ABS(AC191-AC267)</f>
        <v>0</v>
      </c>
      <c r="AD2" s="3">
        <f>ABS(AD191-AD267)</f>
        <v>0</v>
      </c>
      <c r="AE2" s="3">
        <f>ABS(AE191-AE267)</f>
        <v>0</v>
      </c>
      <c r="AF2" s="3">
        <f>ABS(AF191-AF267)</f>
        <v>0</v>
      </c>
      <c r="AG2" s="3">
        <f>ABS(AG191-AG267)</f>
        <v>0</v>
      </c>
      <c r="AH2" s="3">
        <f>ABS(AH191-AH267)</f>
        <v>0</v>
      </c>
      <c r="AI2" s="3">
        <f>ABS(AI191-AI267)</f>
        <v>0</v>
      </c>
      <c r="AJ2" s="3">
        <f>ABS(AJ191-AJ267)</f>
        <v>0</v>
      </c>
      <c r="AK2" s="3">
        <f>ABS(AK191-AK267)</f>
        <v>0</v>
      </c>
      <c r="AL2" s="3">
        <f>ABS(AL191-AL267)</f>
        <v>0</v>
      </c>
      <c r="AM2" s="3" t="e">
        <f>ABS(AM191-AM267)</f>
        <v>#DIV/0!</v>
      </c>
      <c r="AN2" s="3" t="e">
        <f>ABS(AN191-AN267)</f>
        <v>#DIV/0!</v>
      </c>
      <c r="AO2" s="3" t="e">
        <f>ABS(AO191-AO267)</f>
        <v>#DIV/0!</v>
      </c>
      <c r="AP2" s="3" t="e">
        <f>ABS(AP191-AP267)</f>
        <v>#DIV/0!</v>
      </c>
      <c r="AQ2" s="3" t="e">
        <f>ABS(AQ191-AQ267)</f>
        <v>#DIV/0!</v>
      </c>
      <c r="AR2" s="3" t="e">
        <f>ABS(AR191-AR267)</f>
        <v>#DIV/0!</v>
      </c>
      <c r="AS2" s="3" t="e">
        <f>ABS(AS191-AS267)</f>
        <v>#DIV/0!</v>
      </c>
      <c r="AT2" s="3" t="e">
        <f>ABS(AT191-AT267)</f>
        <v>#DIV/0!</v>
      </c>
      <c r="AU2" s="3" t="e">
        <f>ABS(AU191-AU267)</f>
        <v>#DIV/0!</v>
      </c>
      <c r="AV2" s="3" t="e">
        <f>ABS(AV191-AV267)</f>
        <v>#DIV/0!</v>
      </c>
      <c r="AW2" s="3" t="e">
        <f>ABS(AW191-AW267)</f>
        <v>#DIV/0!</v>
      </c>
      <c r="AX2" s="3" t="e">
        <f>ABS(AX191-AX267)</f>
        <v>#DIV/0!</v>
      </c>
      <c r="AY2" s="3" t="e">
        <f>ABS(AY191-AY267)</f>
        <v>#DIV/0!</v>
      </c>
      <c r="AZ2" s="3" t="e">
        <f>ABS(AZ191-AZ267)</f>
        <v>#DIV/0!</v>
      </c>
      <c r="BA2" s="3" t="e">
        <f>ABS(BA191-BA267)</f>
        <v>#DIV/0!</v>
      </c>
      <c r="BB2" s="3" t="e">
        <f>ABS(BB191-BB267)</f>
        <v>#DIV/0!</v>
      </c>
      <c r="BC2" s="3" t="e">
        <f>ABS(BC191-BC267)</f>
        <v>#DIV/0!</v>
      </c>
      <c r="BD2" s="3" t="e">
        <f>ABS(BD191-BD267)</f>
        <v>#DIV/0!</v>
      </c>
      <c r="BE2" s="3" t="e">
        <f>ABS(BE191-BE267)</f>
        <v>#DIV/0!</v>
      </c>
      <c r="BF2" s="3" t="e">
        <f>ABS(BF191-BF267)</f>
        <v>#DIV/0!</v>
      </c>
      <c r="BG2" s="3" t="e">
        <f>ABS(BG191-BG267)</f>
        <v>#DIV/0!</v>
      </c>
      <c r="BH2" s="3" t="e">
        <f>ABS(BH191-BH267)</f>
        <v>#DIV/0!</v>
      </c>
      <c r="BI2" s="3" t="e">
        <f>ABS(BI191-BI267)</f>
        <v>#DIV/0!</v>
      </c>
      <c r="BJ2" s="3" t="e">
        <f>ABS(BJ191-BJ267)</f>
        <v>#DIV/0!</v>
      </c>
      <c r="BK2" s="3" t="e">
        <f>ABS(BK191-BK267)</f>
        <v>#DIV/0!</v>
      </c>
      <c r="BL2" s="3" t="e">
        <f>ABS(BL191-BL267)</f>
        <v>#DIV/0!</v>
      </c>
      <c r="BM2" s="3" t="e">
        <f>ABS(BM191-BM267)</f>
        <v>#DIV/0!</v>
      </c>
      <c r="BN2" s="3" t="e">
        <f>ABS(BN191-BN267)</f>
        <v>#DIV/0!</v>
      </c>
      <c r="BO2" s="3" t="e">
        <f>ABS(BO191-BO267)</f>
        <v>#DIV/0!</v>
      </c>
      <c r="BP2" s="3" t="e">
        <f>ABS(BP191-BP267)</f>
        <v>#DIV/0!</v>
      </c>
      <c r="BQ2" s="3" t="e">
        <f>ABS(BQ191-BQ267)</f>
        <v>#DIV/0!</v>
      </c>
      <c r="BR2" s="3" t="e">
        <f>ABS(BR191-BR267)</f>
        <v>#DIV/0!</v>
      </c>
      <c r="BS2" s="3" t="e">
        <f>ABS(BS191-BS267)</f>
        <v>#DIV/0!</v>
      </c>
      <c r="BT2" s="3" t="e">
        <f>ABS(BT191-BT267)</f>
        <v>#DIV/0!</v>
      </c>
      <c r="BU2" s="3" t="e">
        <f>ABS(BU191-BU267)</f>
        <v>#DIV/0!</v>
      </c>
      <c r="BV2" s="3" t="e">
        <f>ABS(BV191-BV267)</f>
        <v>#DIV/0!</v>
      </c>
      <c r="BW2" s="3" t="e">
        <f>ABS(BW191-BW267)</f>
        <v>#DIV/0!</v>
      </c>
      <c r="BX2" s="3" t="e">
        <f>ABS(BX191-BX267)</f>
        <v>#DIV/0!</v>
      </c>
      <c r="BY2" s="3" t="e">
        <f>ABS(BY191-BY267)</f>
        <v>#DIV/0!</v>
      </c>
      <c r="BZ2" s="3" t="e">
        <f>ABS(BZ191-BZ267)</f>
        <v>#DIV/0!</v>
      </c>
      <c r="CA2" s="3" t="e">
        <f>ABS(CA191-CA267)</f>
        <v>#DIV/0!</v>
      </c>
      <c r="CB2" s="3" t="e">
        <f>ABS(CB191-CB267)</f>
        <v>#DIV/0!</v>
      </c>
      <c r="CC2" s="3" t="e">
        <f>ABS(CC191-CC267)</f>
        <v>#DIV/0!</v>
      </c>
      <c r="CD2" s="3" t="e">
        <f>ABS(CD191-CD267)</f>
        <v>#DIV/0!</v>
      </c>
      <c r="CE2" s="3" t="e">
        <f>ABS(CE191-CE267)</f>
        <v>#DIV/0!</v>
      </c>
      <c r="CF2" s="3" t="e">
        <f>ABS(CF191-CF267)</f>
        <v>#DIV/0!</v>
      </c>
      <c r="CG2" s="3" t="e">
        <f>ABS(CG191-CG267)</f>
        <v>#DIV/0!</v>
      </c>
      <c r="CH2" s="3" t="e">
        <f>ABS(CH191-CH267)</f>
        <v>#DIV/0!</v>
      </c>
      <c r="CI2" s="3" t="e">
        <f>ABS(CI191-CI267)</f>
        <v>#DIV/0!</v>
      </c>
      <c r="CJ2" s="3" t="e">
        <f>ABS(CJ191-CJ267)</f>
        <v>#DIV/0!</v>
      </c>
      <c r="CK2" s="3" t="e">
        <f>ABS(CK191-CK267)</f>
        <v>#DIV/0!</v>
      </c>
      <c r="CL2" s="3" t="e">
        <f>ABS(CL191-CL267)</f>
        <v>#DIV/0!</v>
      </c>
      <c r="CM2" s="3" t="e">
        <f>ABS(CM191-CM267)</f>
        <v>#DIV/0!</v>
      </c>
      <c r="CN2" s="3" t="e">
        <f>ABS(CN191-CN267)</f>
        <v>#DIV/0!</v>
      </c>
      <c r="CO2" s="3" t="e">
        <f>ABS(CO191-CO267)</f>
        <v>#DIV/0!</v>
      </c>
      <c r="CP2" s="3" t="e">
        <f>ABS(CP191-CP267)</f>
        <v>#DIV/0!</v>
      </c>
      <c r="CQ2" s="3" t="e">
        <f>ABS(CQ191-CQ267)</f>
        <v>#DIV/0!</v>
      </c>
      <c r="CR2" s="3" t="e">
        <f>ABS(CR191-CR267)</f>
        <v>#DIV/0!</v>
      </c>
      <c r="CS2" s="3" t="e">
        <f>ABS(CS191-CS267)</f>
        <v>#DIV/0!</v>
      </c>
      <c r="CT2" s="3" t="e">
        <f>ABS(CT191-CT267)</f>
        <v>#DIV/0!</v>
      </c>
      <c r="CU2" s="3" t="e">
        <f>ABS(CU191-CU267)</f>
        <v>#DIV/0!</v>
      </c>
      <c r="CV2" s="3" t="e">
        <f>ABS(CV191-CV267)</f>
        <v>#DIV/0!</v>
      </c>
      <c r="CW2" s="3" t="e">
        <f>ABS(CW191-CW267)</f>
        <v>#DIV/0!</v>
      </c>
      <c r="CX2" s="3" t="e">
        <f>ABS(CX191-CX267)</f>
        <v>#DIV/0!</v>
      </c>
      <c r="CY2" s="3" t="e">
        <f>ABS(CY191-CY267)</f>
        <v>#DIV/0!</v>
      </c>
    </row>
    <row r="3" outlineLevel="1">
      <c r="C3" s="5" t="inlineStr">
        <is>
          <t>IS</t>
        </is>
      </c>
      <c r="D3" s="3">
        <f>IF(COUNT(D4)=0,"",ABS(D131-D4))</f>
        <v>0</v>
      </c>
      <c r="E3" s="3">
        <f>IF(COUNT(E4)=0,"",ABS(E131-E4))</f>
        <v>0</v>
      </c>
      <c r="F3" s="3">
        <f>IF(COUNT(F4)=0,"",ABS(F131-F4))</f>
        <v>0</v>
      </c>
      <c r="G3" s="3">
        <f>IF(COUNT(G4)=0,"",ABS(G131-G4))</f>
        <v>0</v>
      </c>
      <c r="H3" s="3">
        <f>IF(COUNT(H4)=0,"",ABS(H131-H4))</f>
        <v>0</v>
      </c>
      <c r="I3" s="3">
        <f>IF(COUNT(I4)=0,"",ABS(I131-I4))</f>
        <v>0</v>
      </c>
      <c r="J3" s="3">
        <f>IF(COUNT(J4)=0,"",ABS(J131-J4))</f>
        <v>0</v>
      </c>
      <c r="K3" s="3">
        <f>IF(COUNT(K4)=0,"",ABS(K131-K4))</f>
        <v>0</v>
      </c>
      <c r="L3" s="3">
        <f>IF(COUNT(L4)=0,"",ABS(L131-L4))</f>
        <v>0</v>
      </c>
      <c r="M3" s="3">
        <f>IF(COUNT(M4)=0,"",ABS(M131-M4))</f>
        <v>0</v>
      </c>
      <c r="N3" s="3">
        <f>IF(COUNT(N4)=0,"",ABS(N131-N4))</f>
        <v>0</v>
      </c>
      <c r="O3" s="3">
        <f>IF(COUNT(O4)=0,"",ABS(O131-O4))</f>
        <v>0</v>
      </c>
      <c r="P3" s="3">
        <f>IF(COUNT(P4)=0,"",ABS(P131-P4))</f>
        <v>0</v>
      </c>
      <c r="Q3" s="3">
        <f>IF(COUNT(Q4)=0,"",ABS(Q131-Q4))</f>
        <v>2.1316282072803e-13</v>
      </c>
      <c r="R3" s="3">
        <f>IF(COUNT(R4)=0,"",ABS(R131-R4))</f>
        <v>0</v>
      </c>
      <c r="S3" s="3">
        <f>IF(COUNT(S4)=0,"",ABS(S131-S4))</f>
        <v>0</v>
      </c>
      <c r="T3" s="3">
        <f>IF(COUNT(T4)=0,"",ABS(T131-T4))</f>
        <v>0</v>
      </c>
      <c r="U3" s="3">
        <f>IF(COUNT(U4)=0,"",ABS(U131-U4))</f>
        <v>0</v>
      </c>
      <c r="V3" s="3">
        <f>IF(COUNT(V4)=0,"",ABS(V131-V4))</f>
        <v>0</v>
      </c>
      <c r="W3" s="3">
        <f>IF(COUNT(W4)=0,"",ABS(W131-W4))</f>
        <v>0</v>
      </c>
      <c r="X3" s="3">
        <f>IF(COUNT(X4)=0,"",ABS(X131-X4))</f>
        <v>0</v>
      </c>
      <c r="Y3" s="3">
        <f>IF(COUNT(Y4)=0,"",ABS(Y131-Y4))</f>
        <v>0</v>
      </c>
      <c r="Z3" s="3">
        <f>IF(COUNT(Z4)=0,"",ABS(Z131-Z4))</f>
        <v>0</v>
      </c>
      <c r="AA3" s="3">
        <f>IF(COUNT(AA4)=0,"",ABS(AA131-AA4))</f>
        <v>0</v>
      </c>
      <c r="AB3" s="3">
        <f>IF(COUNT(AB4)=0,"",ABS(AB131-AB4))</f>
        <v>0</v>
      </c>
      <c r="AC3" s="3">
        <f>IF(COUNT(AC4)=0,"",ABS(AC131-AC4))</f>
        <v>0</v>
      </c>
      <c r="AD3" s="3">
        <f>IF(COUNT(AD4)=0,"",ABS(AD131-AD4))</f>
        <v>0</v>
      </c>
      <c r="AE3" s="3">
        <f>IF(COUNT(AE4)=0,"",ABS(AE131-AE4))</f>
        <v>0</v>
      </c>
      <c r="AF3" s="3">
        <f>IF(COUNT(AF4)=0,"",ABS(AF131-AF4))</f>
        <v>0</v>
      </c>
      <c r="AG3" s="3">
        <f>IF(COUNT(AG4)=0,"",ABS(AG131-AG4))</f>
        <v>0</v>
      </c>
      <c r="AH3" s="3">
        <f>IF(COUNT(AH4)=0,"",ABS(AH131-AH4))</f>
        <v>0</v>
      </c>
      <c r="AI3" s="3">
        <f>IF(COUNT(AI4)=0,"",ABS(AI131-AI4))</f>
        <v>0</v>
      </c>
      <c r="AJ3" s="3" t="str">
        <f>IF(COUNT(AJ4)=0,"",ABS(AJ131-AJ4))</f>
        <v/>
      </c>
      <c r="AK3" s="3" t="str">
        <f>IF(COUNT(AK4)=0,"",ABS(AK131-AK4))</f>
        <v/>
      </c>
      <c r="AL3" s="3" t="str">
        <f>IF(COUNT(AL4)=0,"",ABS(AL131-AL4))</f>
        <v/>
      </c>
      <c r="AM3" s="3" t="str">
        <f>IF(COUNT(AM4)=0,"",ABS(AM131-AM4))</f>
        <v/>
      </c>
      <c r="AN3" s="3" t="str">
        <f>IF(COUNT(AN4)=0,"",ABS(AN131-AN4))</f>
        <v/>
      </c>
      <c r="AO3" s="3" t="str">
        <f>IF(COUNT(AO4)=0,"",ABS(AO131-AO4))</f>
        <v/>
      </c>
      <c r="AP3" s="3" t="str">
        <f>IF(COUNT(AP4)=0,"",ABS(AP131-AP4))</f>
        <v/>
      </c>
      <c r="AQ3" s="3" t="str">
        <f>IF(COUNT(AQ4)=0,"",ABS(AQ131-AQ4))</f>
        <v/>
      </c>
      <c r="AR3" s="3" t="str">
        <f>IF(COUNT(AR4)=0,"",ABS(AR131-AR4))</f>
        <v/>
      </c>
      <c r="AS3" s="3" t="str">
        <f>IF(COUNT(AS4)=0,"",ABS(AS131-AS4))</f>
        <v/>
      </c>
      <c r="AT3" s="3" t="str">
        <f>IF(COUNT(AT4)=0,"",ABS(AT131-AT4))</f>
        <v/>
      </c>
      <c r="AU3" s="3" t="str">
        <f>IF(COUNT(AU4)=0,"",ABS(AU131-AU4))</f>
        <v/>
      </c>
      <c r="AV3" s="3" t="str">
        <f>IF(COUNT(AV4)=0,"",ABS(AV131-AV4))</f>
        <v/>
      </c>
      <c r="AW3" s="3" t="str">
        <f>IF(COUNT(AW4)=0,"",ABS(AW131-AW4))</f>
        <v/>
      </c>
      <c r="AX3" s="3" t="str">
        <f>IF(COUNT(AX4)=0,"",ABS(AX131-AX4))</f>
        <v/>
      </c>
      <c r="AY3" s="3" t="str">
        <f>IF(COUNT(AY4)=0,"",ABS(AY131-AY4))</f>
        <v/>
      </c>
      <c r="AZ3" s="3" t="str">
        <f>IF(COUNT(AZ4)=0,"",ABS(AZ131-AZ4))</f>
        <v/>
      </c>
      <c r="BA3" s="3" t="str">
        <f>IF(COUNT(BA4)=0,"",ABS(BA131-BA4))</f>
        <v/>
      </c>
      <c r="BB3" s="3" t="str">
        <f>IF(COUNT(BB4)=0,"",ABS(BB131-BB4))</f>
        <v/>
      </c>
      <c r="BC3" s="3" t="str">
        <f>IF(COUNT(BC4)=0,"",ABS(BC131-BC4))</f>
        <v/>
      </c>
      <c r="BD3" s="3" t="str">
        <f>IF(COUNT(BD4)=0,"",ABS(BD131-BD4))</f>
        <v/>
      </c>
      <c r="BE3" s="3" t="str">
        <f>IF(COUNT(BE4)=0,"",ABS(BE131-BE4))</f>
        <v/>
      </c>
      <c r="BF3" s="3" t="str">
        <f>IF(COUNT(BF4)=0,"",ABS(BF131-BF4))</f>
        <v/>
      </c>
      <c r="BG3" s="3" t="str">
        <f>IF(COUNT(BG4)=0,"",ABS(BG131-BG4))</f>
        <v/>
      </c>
      <c r="BH3" s="3" t="str">
        <f>IF(COUNT(BH4)=0,"",ABS(BH131-BH4))</f>
        <v/>
      </c>
      <c r="BI3" s="3" t="str">
        <f>IF(COUNT(BI4)=0,"",ABS(BI131-BI4))</f>
        <v/>
      </c>
      <c r="BJ3" s="3" t="str">
        <f>IF(COUNT(BJ4)=0,"",ABS(BJ131-BJ4))</f>
        <v/>
      </c>
      <c r="BK3" s="3" t="str">
        <f>IF(COUNT(BK4)=0,"",ABS(BK131-BK4))</f>
        <v/>
      </c>
      <c r="BL3" s="3" t="str">
        <f>IF(COUNT(BL4)=0,"",ABS(BL131-BL4))</f>
        <v/>
      </c>
      <c r="BM3" s="3" t="str">
        <f>IF(COUNT(BM4)=0,"",ABS(BM131-BM4))</f>
        <v/>
      </c>
      <c r="BN3" s="3" t="str">
        <f>IF(COUNT(BN4)=0,"",ABS(BN131-BN4))</f>
        <v/>
      </c>
      <c r="BO3" s="3" t="str">
        <f>IF(COUNT(BO4)=0,"",ABS(BO131-BO4))</f>
        <v/>
      </c>
      <c r="BP3" s="3" t="str">
        <f>IF(COUNT(BP4)=0,"",ABS(BP131-BP4))</f>
        <v/>
      </c>
      <c r="BQ3" s="3" t="str">
        <f>IF(COUNT(BQ4)=0,"",ABS(BQ131-BQ4))</f>
        <v/>
      </c>
      <c r="BR3" s="3" t="str">
        <f>IF(COUNT(BR4)=0,"",ABS(BR131-BR4))</f>
        <v/>
      </c>
      <c r="BS3" s="3" t="str">
        <f>IF(COUNT(BS4)=0,"",ABS(BS131-BS4))</f>
        <v/>
      </c>
      <c r="BT3" s="3" t="str">
        <f>IF(COUNT(BT4)=0,"",ABS(BT131-BT4))</f>
        <v/>
      </c>
      <c r="BU3" s="3" t="str">
        <f>IF(COUNT(BU4)=0,"",ABS(BU131-BU4))</f>
        <v/>
      </c>
      <c r="BV3" s="3" t="str">
        <f>IF(COUNT(BV4)=0,"",ABS(BV131-BV4))</f>
        <v/>
      </c>
      <c r="BW3" s="3" t="str">
        <f>IF(COUNT(BW4)=0,"",ABS(BW131-BW4))</f>
        <v/>
      </c>
      <c r="BX3" s="3" t="str">
        <f>IF(COUNT(BX4)=0,"",ABS(BX131-BX4))</f>
        <v/>
      </c>
      <c r="BY3" s="3" t="str">
        <f>IF(COUNT(BY4)=0,"",ABS(BY131-BY4))</f>
        <v/>
      </c>
      <c r="BZ3" s="3" t="str">
        <f>IF(COUNT(BZ4)=0,"",ABS(BZ131-BZ4))</f>
        <v/>
      </c>
      <c r="CA3" s="3" t="str">
        <f>IF(COUNT(CA4)=0,"",ABS(CA131-CA4))</f>
        <v/>
      </c>
      <c r="CB3" s="3" t="str">
        <f>IF(COUNT(CB4)=0,"",ABS(CB131-CB4))</f>
        <v/>
      </c>
      <c r="CC3" s="3" t="str">
        <f>IF(COUNT(CC4)=0,"",ABS(CC131-CC4))</f>
        <v/>
      </c>
      <c r="CD3" s="3" t="str">
        <f>IF(COUNT(CD4)=0,"",ABS(CD131-CD4))</f>
        <v/>
      </c>
      <c r="CE3" s="3" t="str">
        <f>IF(COUNT(CE4)=0,"",ABS(CE131-CE4))</f>
        <v/>
      </c>
      <c r="CF3" s="3" t="str">
        <f>IF(COUNT(CF4)=0,"",ABS(CF131-CF4))</f>
        <v/>
      </c>
      <c r="CG3" s="3" t="str">
        <f>IF(COUNT(CG4)=0,"",ABS(CG131-CG4))</f>
        <v/>
      </c>
      <c r="CH3" s="3" t="str">
        <f>IF(COUNT(CH4)=0,"",ABS(CH131-CH4))</f>
        <v/>
      </c>
      <c r="CI3" s="3" t="str">
        <f>IF(COUNT(CI4)=0,"",ABS(CI131-CI4))</f>
        <v/>
      </c>
      <c r="CJ3" s="3" t="str">
        <f>IF(COUNT(CJ4)=0,"",ABS(CJ131-CJ4))</f>
        <v/>
      </c>
      <c r="CK3" s="3" t="str">
        <f>IF(COUNT(CK4)=0,"",ABS(CK131-CK4))</f>
        <v/>
      </c>
      <c r="CL3" s="3" t="str">
        <f>IF(COUNT(CL4)=0,"",ABS(CL131-CL4))</f>
        <v/>
      </c>
      <c r="CM3" s="3" t="str">
        <f>IF(COUNT(CM4)=0,"",ABS(CM131-CM4))</f>
        <v/>
      </c>
      <c r="CN3" s="3" t="str">
        <f>IF(COUNT(CN4)=0,"",ABS(CN131-CN4))</f>
        <v/>
      </c>
      <c r="CO3" s="3" t="str">
        <f>IF(COUNT(CO4)=0,"",ABS(CO131-CO4))</f>
        <v/>
      </c>
      <c r="CP3" s="3" t="str">
        <f>IF(COUNT(CP4)=0,"",ABS(CP131-CP4))</f>
        <v/>
      </c>
      <c r="CQ3" s="3" t="str">
        <f>IF(COUNT(CQ4)=0,"",ABS(CQ131-CQ4))</f>
        <v/>
      </c>
      <c r="CR3" s="3" t="str">
        <f>IF(COUNT(CR4)=0,"",ABS(CR131-CR4))</f>
        <v/>
      </c>
      <c r="CS3" s="3" t="str">
        <f>IF(COUNT(CS4)=0,"",ABS(CS131-CS4))</f>
        <v/>
      </c>
      <c r="CT3" s="3" t="str">
        <f>IF(COUNT(CT4)=0,"",ABS(CT131-CT4))</f>
        <v/>
      </c>
      <c r="CU3" s="3" t="str">
        <f>IF(COUNT(CU4)=0,"",ABS(CU131-CU4))</f>
        <v/>
      </c>
      <c r="CV3" s="3" t="str">
        <f>IF(COUNT(CV4)=0,"",ABS(CV131-CV4))</f>
        <v/>
      </c>
      <c r="CW3" s="3" t="str">
        <f>IF(COUNT(CW4)=0,"",ABS(CW131-CW4))</f>
        <v/>
      </c>
      <c r="CX3" s="3" t="str">
        <f>IF(COUNT(CX4)=0,"",ABS(CX131-CX4))</f>
        <v/>
      </c>
      <c r="CY3" s="3" t="str">
        <f>IF(COUNT(CY4)=0,"",ABS(CY131-CY4))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709.067</v>
      </c>
      <c r="E4" s="16">
        <f>INDEX('Inputs (2)'!$D$50:$AL$50,MATCH(E$7,'Inputs (2)'!$D$2:$AL$2,0))</f>
        <v>720.196</v>
      </c>
      <c r="F4" s="16">
        <f>INDEX('Inputs (2)'!$D$50:$AL$50,MATCH(F$7,'Inputs (2)'!$D$2:$AL$2,0))</f>
        <v>789.976</v>
      </c>
      <c r="G4" s="16">
        <f>INDEX('Inputs (2)'!$D$50:$AL$50,MATCH(G$7,'Inputs (2)'!$D$2:$AL$2,0))</f>
        <v>542.156</v>
      </c>
      <c r="H4" s="16">
        <f>IF(COUNT(D4:G4)=4,SUM(D4:G4),"")</f>
        <v>2761.395</v>
      </c>
      <c r="I4" s="16">
        <f>INDEX('Inputs (2)'!$D$50:$AL$50,MATCH(I$7,'Inputs (2)'!$D$2:$AL$2,0))</f>
        <v>1706.715</v>
      </c>
      <c r="J4" s="16">
        <f>INDEX('Inputs (2)'!$D$50:$AL$50,MATCH(J$7,'Inputs (2)'!$D$2:$AL$2,0))</f>
        <v>1353.013</v>
      </c>
      <c r="K4" s="16">
        <f>INDEX('Inputs (2)'!$D$50:$AL$50,MATCH(K$7,'Inputs (2)'!$D$2:$AL$2,0))</f>
        <v>1449.071</v>
      </c>
      <c r="L4" s="16">
        <f>INDEX('Inputs (2)'!$D$50:$AL$50,MATCH(L$7,'Inputs (2)'!$D$2:$AL$2,0))</f>
        <v>607.429</v>
      </c>
      <c r="M4" s="16">
        <f>IF(COUNT(I4:L4)=4,SUM(I4:L4),"")</f>
        <v>5116.228</v>
      </c>
      <c r="N4" s="16">
        <f>INDEX('Inputs (2)'!$D$50:$AL$50,MATCH(N$7,'Inputs (2)'!$D$2:$AL$2,0))</f>
        <v>1597.447</v>
      </c>
      <c r="O4" s="16">
        <f>INDEX('Inputs (2)'!$D$50:$AL$50,MATCH(O$7,'Inputs (2)'!$D$2:$AL$2,0))</f>
        <v>1440.951</v>
      </c>
      <c r="P4" s="16">
        <f>INDEX('Inputs (2)'!$D$50:$AL$50,MATCH(P$7,'Inputs (2)'!$D$2:$AL$2,0))</f>
        <v>1398.242</v>
      </c>
      <c r="Q4" s="16">
        <f>INDEX('Inputs (2)'!$D$50:$AL$50,MATCH(Q$7,'Inputs (2)'!$D$2:$AL$2,0))</f>
        <v>55.284</v>
      </c>
      <c r="R4" s="16">
        <f>IF(COUNT(N4:Q4)=4,SUM(N4:Q4),"")</f>
        <v>4491.924</v>
      </c>
      <c r="S4" s="16">
        <f>INDEX('Inputs (2)'!$D$50:$AL$50,MATCH(S$7,'Inputs (2)'!$D$2:$AL$2,0))</f>
        <v>1305.12</v>
      </c>
      <c r="T4" s="16">
        <f>INDEX('Inputs (2)'!$D$50:$AL$50,MATCH(T$7,'Inputs (2)'!$D$2:$AL$2,0))</f>
        <v>1487.61</v>
      </c>
      <c r="U4" s="16">
        <f>INDEX('Inputs (2)'!$D$50:$AL$50,MATCH(U$7,'Inputs (2)'!$D$2:$AL$2,0))</f>
        <v>1677.422</v>
      </c>
      <c r="V4" s="16">
        <f>INDEX('Inputs (2)'!$D$50:$AL$50,MATCH(V$7,'Inputs (2)'!$D$2:$AL$2,0))</f>
        <v>937.838</v>
      </c>
      <c r="W4" s="16">
        <f>IF(COUNT(S4:V4)=4,SUM(S4:V4),"")</f>
        <v>5407.99</v>
      </c>
      <c r="X4" s="16">
        <f>INDEX('Inputs (2)'!$D$50:$AL$50,MATCH(X$7,'Inputs (2)'!$D$2:$AL$2,0))</f>
        <v>2332.209</v>
      </c>
      <c r="Y4" s="16">
        <f>INDEX('Inputs (2)'!$D$50:$AL$50,MATCH(Y$7,'Inputs (2)'!$D$2:$AL$2,0))</f>
        <v>2147.306</v>
      </c>
      <c r="Z4" s="16">
        <f>INDEX('Inputs (2)'!$D$50:$AL$50,MATCH(Z$7,'Inputs (2)'!$D$2:$AL$2,0))</f>
        <v>2363.509</v>
      </c>
      <c r="AA4" s="16">
        <f>INDEX('Inputs (2)'!$D$50:$AL$50,MATCH(AA$7,'Inputs (2)'!$D$2:$AL$2,0))</f>
        <v>1868.607</v>
      </c>
      <c r="AB4" s="16">
        <f>IF(COUNT(X4:AA4)=4,SUM(X4:AA4),"")</f>
        <v>8711.631</v>
      </c>
      <c r="AC4" s="16">
        <f>INDEX('Inputs (2)'!$D$50:$AL$50,MATCH(AC$7,'Inputs (2)'!$D$2:$AL$2,0))</f>
        <v>2890.351</v>
      </c>
      <c r="AD4" s="16">
        <f>INDEX('Inputs (2)'!$D$50:$AL$50,MATCH(AD$7,'Inputs (2)'!$D$2:$AL$2,0))</f>
        <v>3125.413</v>
      </c>
      <c r="AE4" s="16">
        <f>INDEX('Inputs (2)'!$D$50:$AL$50,MATCH(AE$7,'Inputs (2)'!$D$2:$AL$2,0))</f>
        <v>2546.916</v>
      </c>
      <c r="AF4" s="16">
        <f>INDEX('Inputs (2)'!$D$50:$AL$50,MATCH(AF$7,'Inputs (2)'!$D$2:$AL$2,0))</f>
        <v>2418.521</v>
      </c>
      <c r="AG4" s="16">
        <f>IF(COUNT(AC4:AF4)=4,SUM(AC4:AF4),"")</f>
        <v>10981.201</v>
      </c>
      <c r="AH4" s="6">
        <f>INDEX('Inputs (2)'!$D$50:$AL$50,MATCH(AH$7,'Inputs (2)'!$D$2:$AL$2,0))</f>
        <v>5282.791</v>
      </c>
      <c r="AI4" s="6">
        <f>INDEX('Inputs (2)'!$D$50:$AL$50,MATCH(AI$7,'Inputs (2)'!$D$2:$AL$2,0))</f>
        <v>3401.414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5767.691</v>
      </c>
      <c r="E15" s="15">
        <f>INDEX('Inputs (2)'!$D$4:$AL$4,MATCH(E$7,'Inputs (2)'!$D$2:$AL$2,0))</f>
        <v>6148.286</v>
      </c>
      <c r="F15" s="15">
        <f>INDEX('Inputs (2)'!$D$4:$AL$4,MATCH(F$7,'Inputs (2)'!$D$2:$AL$2,0))</f>
        <v>6435.637</v>
      </c>
      <c r="G15" s="15">
        <f>INDEX('Inputs (2)'!$D$4:$AL$4,MATCH(G$7,'Inputs (2)'!$D$2:$AL$2,0))</f>
        <v>6644.442</v>
      </c>
      <c r="H15" s="16">
        <f>SUM(D15:G15)</f>
        <v>24996.056</v>
      </c>
      <c r="I15" s="15">
        <f>INDEX('Inputs (2)'!$D$4:$AL$4,MATCH(I$7,'Inputs (2)'!$D$2:$AL$2,0))</f>
        <v>7163.282</v>
      </c>
      <c r="J15" s="15">
        <f>INDEX('Inputs (2)'!$D$4:$AL$4,MATCH(J$7,'Inputs (2)'!$D$2:$AL$2,0))</f>
        <v>7341.777</v>
      </c>
      <c r="K15" s="15">
        <f>INDEX('Inputs (2)'!$D$4:$AL$4,MATCH(K$7,'Inputs (2)'!$D$2:$AL$2,0))</f>
        <v>7483.467</v>
      </c>
      <c r="L15" s="15">
        <f>INDEX('Inputs (2)'!$D$4:$AL$4,MATCH(L$7,'Inputs (2)'!$D$2:$AL$2,0))</f>
        <v>7709.318</v>
      </c>
      <c r="M15" s="16">
        <f>SUM(I15:L15)</f>
        <v>29697.844</v>
      </c>
      <c r="N15" s="15">
        <f>INDEX('Inputs (2)'!$D$4:$AL$4,MATCH(N$7,'Inputs (2)'!$D$2:$AL$2,0))</f>
        <v>7867.767</v>
      </c>
      <c r="O15" s="15">
        <f>INDEX('Inputs (2)'!$D$4:$AL$4,MATCH(O$7,'Inputs (2)'!$D$2:$AL$2,0))</f>
        <v>7970.141</v>
      </c>
      <c r="P15" s="15">
        <f>INDEX('Inputs (2)'!$D$4:$AL$4,MATCH(P$7,'Inputs (2)'!$D$2:$AL$2,0))</f>
        <v>7925.589</v>
      </c>
      <c r="Q15" s="15">
        <f>INDEX('Inputs (2)'!$D$4:$AL$4,MATCH(Q$7,'Inputs (2)'!$D$2:$AL$2,0))</f>
        <v>7852.053</v>
      </c>
      <c r="R15" s="16">
        <f>SUM(N15:Q15)</f>
        <v>31615.55</v>
      </c>
      <c r="S15" s="15">
        <f>INDEX('Inputs (2)'!$D$4:$AL$4,MATCH(S$7,'Inputs (2)'!$D$2:$AL$2,0))</f>
        <v>8161.503</v>
      </c>
      <c r="T15" s="15">
        <f>INDEX('Inputs (2)'!$D$4:$AL$4,MATCH(T$7,'Inputs (2)'!$D$2:$AL$2,0))</f>
        <v>8187.301</v>
      </c>
      <c r="U15" s="15">
        <f>INDEX('Inputs (2)'!$D$4:$AL$4,MATCH(U$7,'Inputs (2)'!$D$2:$AL$2,0))</f>
        <v>8541.668</v>
      </c>
      <c r="V15" s="15">
        <f>INDEX('Inputs (2)'!$D$4:$AL$4,MATCH(V$7,'Inputs (2)'!$D$2:$AL$2,0))</f>
        <v>8832.825</v>
      </c>
      <c r="W15" s="16">
        <f>SUM(S15:V15)</f>
        <v>33723.297</v>
      </c>
      <c r="X15" s="15">
        <f>INDEX('Inputs (2)'!$D$4:$AL$4,MATCH(X$7,'Inputs (2)'!$D$2:$AL$2,0))</f>
        <v>9370.44</v>
      </c>
      <c r="Y15" s="15">
        <f>INDEX('Inputs (2)'!$D$4:$AL$4,MATCH(Y$7,'Inputs (2)'!$D$2:$AL$2,0))</f>
        <v>9559.31</v>
      </c>
      <c r="Z15" s="15">
        <f>INDEX('Inputs (2)'!$D$4:$AL$4,MATCH(Z$7,'Inputs (2)'!$D$2:$AL$2,0))</f>
        <v>9824.703</v>
      </c>
      <c r="AA15" s="15">
        <f>INDEX('Inputs (2)'!$D$4:$AL$4,MATCH(AA$7,'Inputs (2)'!$D$2:$AL$2,0))</f>
        <v>10246.513</v>
      </c>
      <c r="AB15" s="16">
        <f>SUM(X15:AA15)</f>
        <v>39000.966</v>
      </c>
      <c r="AC15" s="15">
        <f>INDEX('Inputs (2)'!$D$4:$AL$4,MATCH(AC$7,'Inputs (2)'!$D$2:$AL$2,0))</f>
        <v>10542.801</v>
      </c>
      <c r="AD15" s="15">
        <f>INDEX('Inputs (2)'!$D$4:$AL$4,MATCH(AD$7,'Inputs (2)'!$D$2:$AL$2,0))</f>
        <v>11079.166</v>
      </c>
      <c r="AE15" s="15">
        <f>INDEX('Inputs (2)'!$D$4:$AL$4,MATCH(AE$7,'Inputs (2)'!$D$2:$AL$2,0))</f>
        <v>11510.307</v>
      </c>
      <c r="AF15" s="15">
        <f>INDEX('Inputs (2)'!$D$4:$AL$4,MATCH(AF$7,'Inputs (2)'!$D$2:$AL$2,0))</f>
        <v>12050.762</v>
      </c>
      <c r="AG15" s="16">
        <f>SUM(AC15:AF15)</f>
        <v>45183.036</v>
      </c>
      <c r="AH15" s="16">
        <f>INDEX('Inputs (2)'!$D$4:$AL$4,MATCH(AH$7,'Inputs (2)'!$D$2:$AL$2,0))</f>
        <v>12249.757</v>
      </c>
      <c r="AI15" s="16">
        <f>INDEX('Inputs (2)'!$D$4:$AL$4,MATCH(AI$7,'Inputs (2)'!$D$2:$AL$2,0))</f>
        <v>12559.938</v>
      </c>
      <c r="AJ15" s="16">
        <f>AE15*(1+AJ16)</f>
        <v>11510.307</v>
      </c>
      <c r="AK15" s="16">
        <f>AF15*(1+AK16)</f>
        <v>12050.762</v>
      </c>
      <c r="AL15" s="16">
        <f>SUM(AH15:AK15)</f>
        <v>48370.764</v>
      </c>
      <c r="AM15" s="16">
        <f>AH15*(1+AM16)</f>
        <v>12249.757</v>
      </c>
      <c r="AN15" s="16">
        <f>AI15*(1+AN16)</f>
        <v>12559.938</v>
      </c>
      <c r="AO15" s="16">
        <f>AJ15*(1+AO16)</f>
        <v>11510.307</v>
      </c>
      <c r="AP15" s="16">
        <f>AK15*(1+AP16)</f>
        <v>12050.762</v>
      </c>
      <c r="AQ15" s="16">
        <f>SUM(AM15:AP15)</f>
        <v>48370.764</v>
      </c>
      <c r="AR15" s="16">
        <f>AM15*(1+AR16)</f>
        <v>12249.757</v>
      </c>
      <c r="AS15" s="16">
        <f>AN15*(1+AS16)</f>
        <v>12559.938</v>
      </c>
      <c r="AT15" s="16">
        <f>AO15*(1+AT16)</f>
        <v>11510.307</v>
      </c>
      <c r="AU15" s="16">
        <f>AP15*(1+AU16)</f>
        <v>12050.762</v>
      </c>
      <c r="AV15" s="16">
        <f>SUM(AR15:AU15)</f>
        <v>48370.764</v>
      </c>
      <c r="AW15" s="16">
        <f>AR15*(1+AW16)</f>
        <v>12249.757</v>
      </c>
      <c r="AX15" s="16">
        <f>AS15*(1+AX16)</f>
        <v>12559.938</v>
      </c>
      <c r="AY15" s="16">
        <f>AT15*(1+AY16)</f>
        <v>11510.307</v>
      </c>
      <c r="AZ15" s="16">
        <f>AU15*(1+AZ16)</f>
        <v>12050.762</v>
      </c>
      <c r="BA15" s="16">
        <f>SUM(AW15:AZ15)</f>
        <v>48370.764</v>
      </c>
      <c r="BB15" s="16">
        <f>AW15*(1+BB16)</f>
        <v>12249.757</v>
      </c>
      <c r="BC15" s="16">
        <f>AX15*(1+BC16)</f>
        <v>12559.938</v>
      </c>
      <c r="BD15" s="16">
        <f>AY15*(1+BD16)</f>
        <v>11510.307</v>
      </c>
      <c r="BE15" s="16">
        <f>AZ15*(1+BE16)</f>
        <v>12050.762</v>
      </c>
      <c r="BF15" s="16">
        <f>SUM(BB15:BE15)</f>
        <v>48370.764</v>
      </c>
      <c r="BG15" s="16">
        <f>BB15*(1+BG16)</f>
        <v>12249.757</v>
      </c>
      <c r="BH15" s="16">
        <f>BC15*(1+BH16)</f>
        <v>12559.938</v>
      </c>
      <c r="BI15" s="16">
        <f>BD15*(1+BI16)</f>
        <v>11510.307</v>
      </c>
      <c r="BJ15" s="16">
        <f>BE15*(1+BJ16)</f>
        <v>12050.762</v>
      </c>
      <c r="BK15" s="16">
        <f>SUM(BG15:BJ15)</f>
        <v>48370.764</v>
      </c>
      <c r="BL15" s="16">
        <f>BG15*(1+BL16)</f>
        <v>12249.757</v>
      </c>
      <c r="BM15" s="16">
        <f>BH15*(1+BM16)</f>
        <v>12559.938</v>
      </c>
      <c r="BN15" s="16">
        <f>BI15*(1+BN16)</f>
        <v>11510.307</v>
      </c>
      <c r="BO15" s="16">
        <f>BJ15*(1+BO16)</f>
        <v>12050.762</v>
      </c>
      <c r="BP15" s="16">
        <f>SUM(BL15:BO15)</f>
        <v>48370.764</v>
      </c>
      <c r="BQ15" s="16">
        <f>BL15*(1+BQ16)</f>
        <v>12249.757</v>
      </c>
      <c r="BR15" s="16">
        <f>BM15*(1+BR16)</f>
        <v>12559.938</v>
      </c>
      <c r="BS15" s="16">
        <f>BN15*(1+BS16)</f>
        <v>11510.307</v>
      </c>
      <c r="BT15" s="16">
        <f>BO15*(1+BT16)</f>
        <v>12050.762</v>
      </c>
      <c r="BU15" s="16">
        <f>SUM(BQ15:BT15)</f>
        <v>48370.764</v>
      </c>
      <c r="BV15" s="16">
        <f>BQ15*(1+BV16)</f>
        <v>12249.757</v>
      </c>
      <c r="BW15" s="16">
        <f>BR15*(1+BW16)</f>
        <v>12559.938</v>
      </c>
      <c r="BX15" s="16">
        <f>BS15*(1+BX16)</f>
        <v>11510.307</v>
      </c>
      <c r="BY15" s="16">
        <f>BT15*(1+BY16)</f>
        <v>12050.762</v>
      </c>
      <c r="BZ15" s="16">
        <f>SUM(BV15:BY15)</f>
        <v>48370.764</v>
      </c>
      <c r="CA15" s="16">
        <f>BV15*(1+CA16)</f>
        <v>12249.757</v>
      </c>
      <c r="CB15" s="16">
        <f>BW15*(1+CB16)</f>
        <v>12559.938</v>
      </c>
      <c r="CC15" s="16">
        <f>BX15*(1+CC16)</f>
        <v>11510.307</v>
      </c>
      <c r="CD15" s="16">
        <f>BY15*(1+CD16)</f>
        <v>12050.762</v>
      </c>
      <c r="CE15" s="16">
        <f>SUM(CA15:CD15)</f>
        <v>48370.764</v>
      </c>
      <c r="CF15" s="16">
        <f>CA15*(1+CF16)</f>
        <v>12249.757</v>
      </c>
      <c r="CG15" s="16">
        <f>CB15*(1+CG16)</f>
        <v>12559.938</v>
      </c>
      <c r="CH15" s="16">
        <f>CC15*(1+CH16)</f>
        <v>11510.307</v>
      </c>
      <c r="CI15" s="16">
        <f>CD15*(1+CI16)</f>
        <v>12050.762</v>
      </c>
      <c r="CJ15" s="16">
        <f>SUM(CF15:CI15)</f>
        <v>48370.764</v>
      </c>
      <c r="CK15" s="16">
        <f>CF15*(1+CK16)</f>
        <v>12249.757</v>
      </c>
      <c r="CL15" s="16">
        <f>CG15*(1+CL16)</f>
        <v>12559.938</v>
      </c>
      <c r="CM15" s="16">
        <f>CH15*(1+CM16)</f>
        <v>11510.307</v>
      </c>
      <c r="CN15" s="16">
        <f>CI15*(1+CN16)</f>
        <v>12050.762</v>
      </c>
      <c r="CO15" s="16">
        <f>SUM(CK15:CN15)</f>
        <v>48370.764</v>
      </c>
      <c r="CP15" s="16">
        <f>CK15*(1+CP16)</f>
        <v>12249.757</v>
      </c>
      <c r="CQ15" s="16">
        <f>CL15*(1+CQ16)</f>
        <v>12559.938</v>
      </c>
      <c r="CR15" s="16">
        <f>CM15*(1+CR16)</f>
        <v>11510.307</v>
      </c>
      <c r="CS15" s="16">
        <f>CN15*(1+CS16)</f>
        <v>12050.762</v>
      </c>
      <c r="CT15" s="16">
        <f>SUM(CP15:CS15)</f>
        <v>48370.764</v>
      </c>
      <c r="CU15" s="16">
        <f>CP15*(1+CU16)</f>
        <v>12249.757</v>
      </c>
      <c r="CV15" s="16">
        <f>CQ15*(1+CV16)</f>
        <v>12559.938</v>
      </c>
      <c r="CW15" s="16">
        <f>CR15*(1+CW16)</f>
        <v>11510.307</v>
      </c>
      <c r="CX15" s="16">
        <f>CS15*(1+CX16)</f>
        <v>12050.762</v>
      </c>
      <c r="CY15" s="16">
        <f>SUM(CU15:CX15)</f>
        <v>48370.764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0.0983466796365131</v>
      </c>
      <c r="O16" s="47">
        <f>O15/J15-1</f>
        <v>0.0855874538275951</v>
      </c>
      <c r="P16" s="47">
        <f>P15/K15-1</f>
        <v>0.0590798355895736</v>
      </c>
      <c r="Q16" s="47">
        <f>Q15/L15-1</f>
        <v>0.0185146079069511</v>
      </c>
      <c r="R16" s="47">
        <f>R15/M15-1</f>
        <v>0.0645739131769971</v>
      </c>
      <c r="S16" s="47">
        <f>S15/N15-1</f>
        <v>0.0373341000057577</v>
      </c>
      <c r="T16" s="47">
        <f>T15/O15-1</f>
        <v>0.0272466948828132</v>
      </c>
      <c r="U16" s="47">
        <f>U15/P15-1</f>
        <v>0.0777328978325775</v>
      </c>
      <c r="V16" s="47">
        <f>V15/Q15-1</f>
        <v>0.124906441665638</v>
      </c>
      <c r="W16" s="47">
        <f>W15/R15-1</f>
        <v>0.0666680478435453</v>
      </c>
      <c r="X16" s="47">
        <f>X15/S15-1</f>
        <v>0.148126760475368</v>
      </c>
      <c r="Y16" s="47">
        <f>Y15/T15-1</f>
        <v>0.167577691353964</v>
      </c>
      <c r="Z16" s="47">
        <f>Z15/U15-1</f>
        <v>0.150208952162505</v>
      </c>
      <c r="AA16" s="47">
        <f>AA15/V15-1</f>
        <v>0.160049361331171</v>
      </c>
      <c r="AB16" s="47">
        <f>AB15/W15-1</f>
        <v>0.156499199944774</v>
      </c>
      <c r="AC16" s="47">
        <f>AC15/X15-1</f>
        <v>0.125112694814758</v>
      </c>
      <c r="AD16" s="47">
        <f>AD15/Y15-1</f>
        <v>0.158992228518586</v>
      </c>
      <c r="AE16" s="47">
        <f>AE15/Z15-1</f>
        <v>0.171567934420002</v>
      </c>
      <c r="AF16" s="44">
        <f>AF15/AA15-1</f>
        <v>0.176084195667346</v>
      </c>
      <c r="AG16" s="47">
        <f>AG15/AB15-1</f>
        <v>0.158510689196775</v>
      </c>
      <c r="AH16" s="44">
        <f>AH15/AC15-1</f>
        <v>0.161907257853013</v>
      </c>
      <c r="AI16" s="44">
        <f>AI15/AD15-1</f>
        <v>0.133653742528995</v>
      </c>
      <c r="AJ16" s="44" t="n"/>
      <c r="AK16" s="44" t="n"/>
      <c r="AL16" s="22">
        <f>AL15/AG15-1</f>
        <v>0.0705514343923237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das regiões + DVD)</t>
        </is>
      </c>
      <c r="D17" s="15">
        <f>IF(COUNT(D25)=0,"",D25)</f>
        <v>0.3</v>
      </c>
      <c r="E17" s="15">
        <f>IF(COUNT(E25)=0,"",E25)</f>
        <v>-0.4</v>
      </c>
      <c r="F17" s="15">
        <f>IF(COUNT(F25)=0,"",F25)</f>
        <v>-0.2</v>
      </c>
      <c r="G17" s="15">
        <f>IF(COUNT(G25)=0,"",G25)</f>
        <v>39.6</v>
      </c>
      <c r="H17" s="16">
        <f>IF(COUNT(H25)=0,"",H25)</f>
        <v>39.4</v>
      </c>
      <c r="I17" s="15">
        <f>IF(COUNT(I25)=0,"",I25)</f>
        <v>-0.4</v>
      </c>
      <c r="J17" s="15">
        <f>IF(COUNT(J25)=0,"",J25)</f>
        <v>0.3</v>
      </c>
      <c r="K17" s="15">
        <f>IF(COUNT(K25)=0,"",K25)</f>
        <v>0.2</v>
      </c>
      <c r="L17" s="15">
        <f>IF(COUNT(L25)=0,"",L25)</f>
        <v>-17.8</v>
      </c>
      <c r="M17" s="16">
        <f>IF(COUNT(M25)=0,"",M25)</f>
        <v>-17.7</v>
      </c>
      <c r="N17" s="15">
        <f>IF(COUNT(N25)=0,"",N25)</f>
        <v>-0.2</v>
      </c>
      <c r="O17" s="15">
        <f>IF(COUNT(O25)=0,"",O25)</f>
        <v>0.1</v>
      </c>
      <c r="P17" s="15">
        <f>IF(COUNT(P25)=0,"",P25)</f>
        <v>0.2</v>
      </c>
      <c r="Q17" s="15">
        <f>IF(COUNT(Q25)=0,"",Q25)</f>
        <v>45.6</v>
      </c>
      <c r="R17" s="16">
        <f>IF(COUNT(R25)=0,"",R25)</f>
        <v>45.7</v>
      </c>
      <c r="S17" s="15">
        <f>IF(COUNT(S25)=0,"",S25)</f>
        <v>-0.5</v>
      </c>
      <c r="T17" s="15">
        <f>IF(COUNT(T25)=0,"",T25)</f>
        <v>0</v>
      </c>
      <c r="U17" s="15">
        <f>IF(COUNT(U25)=0,"",U25)</f>
        <v>0.4</v>
      </c>
      <c r="V17" s="15">
        <f>IF(COUNT(V25)=0,"",V25)</f>
        <v>0</v>
      </c>
      <c r="W17" s="16">
        <f>IF(COUNT(W25)=0,"",W25)</f>
        <v>82.8</v>
      </c>
      <c r="X17" s="15">
        <f>IF(COUNT(X25)=0,"",X25)</f>
        <v>0</v>
      </c>
      <c r="Y17" s="15">
        <f>IF(COUNT(Y25)=0,"",Y25)</f>
        <v>0</v>
      </c>
      <c r="Z17" s="15">
        <f>IF(COUNT(Z25)=0,"",Z25)</f>
        <v>0</v>
      </c>
      <c r="AA17" s="15">
        <f>IF(COUNT(AA25)=0,"",AA25)</f>
        <v>0</v>
      </c>
      <c r="AB17" s="16">
        <f>IF(COUNT(AB25)=0,"",AB25)</f>
        <v>0</v>
      </c>
      <c r="AC17" s="15">
        <f>IF(COUNT(AC25)=0,"",AC25)</f>
        <v>0</v>
      </c>
      <c r="AD17" s="15">
        <f>IF(COUNT(AD25)=0,"",AD25)</f>
        <v>0</v>
      </c>
      <c r="AE17" s="15">
        <f>IF(COUNT(AE25)=0,"",AE25)</f>
        <v>0</v>
      </c>
      <c r="AF17" s="15">
        <f>IF(COUNT(AF25)=0,"",AF25)</f>
        <v>0</v>
      </c>
      <c r="AG17" s="16">
        <f>IF(COUNT(AG25)=0,"",AG25)</f>
        <v>0</v>
      </c>
      <c r="AH17" s="16">
        <f>IF(COUNT(AH25)=0,"",AH25)</f>
        <v>0</v>
      </c>
      <c r="AI17" s="16">
        <f>IF(COUNT(AI25)=0,"",AI25)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por região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EUA e Canadá</t>
        </is>
      </c>
      <c r="D19" s="266">
        <f>IFERROR(INDEX('Inputs (2)'!$D$53:$AL$53,MATCH(D$7,'Inputs (2)'!$D$2:$AL$2,0)),"")</f>
        <v>2702.776</v>
      </c>
      <c r="E19" s="266">
        <f>IFERROR(INDEX('Inputs (2)'!$D$53:$AL$53,MATCH(E$7,'Inputs (2)'!$D$2:$AL$2,0)),"")</f>
        <v>2839.67</v>
      </c>
      <c r="F19" s="266">
        <f>IFERROR(INDEX('Inputs (2)'!$D$53:$AL$53,MATCH(F$7,'Inputs (2)'!$D$2:$AL$2,0)),"")</f>
        <v>2933.445</v>
      </c>
      <c r="G19" s="266">
        <f>IFERROR(INDEX('Inputs (2)'!$D$53:$AL$53,MATCH(G$7,'Inputs (2)'!$D$2:$AL$2,0)),"")</f>
        <v>2979.505</v>
      </c>
      <c r="H19" s="267">
        <f>IF(COUNT(D19:G19)=4,SUM(D19:G19),"")</f>
        <v>11455.396</v>
      </c>
      <c r="I19" s="266">
        <f>IFERROR(INDEX('Inputs (2)'!$D$53:$AL$53,MATCH(I$7,'Inputs (2)'!$D$2:$AL$2,0)),"")</f>
        <v>3170.972</v>
      </c>
      <c r="J19" s="266">
        <f>IFERROR(INDEX('Inputs (2)'!$D$53:$AL$53,MATCH(J$7,'Inputs (2)'!$D$2:$AL$2,0)),"")</f>
        <v>3234.643</v>
      </c>
      <c r="K19" s="266">
        <f>IFERROR(INDEX('Inputs (2)'!$D$53:$AL$53,MATCH(K$7,'Inputs (2)'!$D$2:$AL$2,0)),"")</f>
        <v>3257.697</v>
      </c>
      <c r="L19" s="266">
        <f>IFERROR(INDEX('Inputs (2)'!$D$53:$AL$53,MATCH(L$7,'Inputs (2)'!$D$2:$AL$2,0)),"")</f>
        <v>3308.788</v>
      </c>
      <c r="M19" s="267">
        <f>IF(COUNT(I19:L19)=4,SUM(I19:L19),"")</f>
        <v>12972.1</v>
      </c>
      <c r="N19" s="266">
        <f>IFERROR(INDEX('Inputs (2)'!$D$53:$AL$53,MATCH(N$7,'Inputs (2)'!$D$2:$AL$2,0)),"")</f>
        <v>3350.424</v>
      </c>
      <c r="O19" s="266">
        <f>IFERROR(INDEX('Inputs (2)'!$D$53:$AL$53,MATCH(O$7,'Inputs (2)'!$D$2:$AL$2,0)),"")</f>
        <v>3537.863</v>
      </c>
      <c r="P19" s="266">
        <f>IFERROR(INDEX('Inputs (2)'!$D$53:$AL$53,MATCH(P$7,'Inputs (2)'!$D$2:$AL$2,0)),"")</f>
        <v>3601.565</v>
      </c>
      <c r="Q19" s="266">
        <f>IFERROR(INDEX('Inputs (2)'!$D$53:$AL$53,MATCH(Q$7,'Inputs (2)'!$D$2:$AL$2,0)),"")</f>
        <v>3594.791</v>
      </c>
      <c r="R19" s="267">
        <f>IF(COUNT(N19:Q19)=4,SUM(N19:Q19),"")</f>
        <v>14084.643</v>
      </c>
      <c r="S19" s="266">
        <f>IFERROR(INDEX('Inputs (2)'!$D$53:$AL$53,MATCH(S$7,'Inputs (2)'!$D$2:$AL$2,0)),"")</f>
        <v>3608.645</v>
      </c>
      <c r="T19" s="266">
        <f>IFERROR(INDEX('Inputs (2)'!$D$53:$AL$53,MATCH(T$7,'Inputs (2)'!$D$2:$AL$2,0)),"")</f>
        <v>3599.448</v>
      </c>
      <c r="U19" s="266">
        <f>IFERROR(INDEX('Inputs (2)'!$D$53:$AL$53,MATCH(U$7,'Inputs (2)'!$D$2:$AL$2,0)),"")</f>
        <v>3735.133</v>
      </c>
      <c r="V19" s="266">
        <f>IFERROR(INDEX('Inputs (2)'!$D$53:$AL$53,MATCH(V$7,'Inputs (2)'!$D$2:$AL$2,0)),"")</f>
        <v>3930.557</v>
      </c>
      <c r="W19" s="267">
        <f>IF(COUNT(S19:V19)=4,SUM(S19:V19),"")</f>
        <v>14873.783</v>
      </c>
      <c r="X19" s="266">
        <f>IFERROR(INDEX('Inputs (2)'!$D$53:$AL$53,MATCH(X$7,'Inputs (2)'!$D$2:$AL$2,0)),"")</f>
        <v>4224.315</v>
      </c>
      <c r="Y19" s="266">
        <f>IFERROR(INDEX('Inputs (2)'!$D$53:$AL$53,MATCH(Y$7,'Inputs (2)'!$D$2:$AL$2,0)),"")</f>
        <v>4295.56</v>
      </c>
      <c r="Z19" s="266">
        <f>IFERROR(INDEX('Inputs (2)'!$D$53:$AL$53,MATCH(Z$7,'Inputs (2)'!$D$2:$AL$2,0)),"")</f>
        <v>4322.476</v>
      </c>
      <c r="AA19" s="266">
        <f>IFERROR(INDEX('Inputs (2)'!$D$53:$AL$53,MATCH(AA$7,'Inputs (2)'!$D$2:$AL$2,0)),"")</f>
        <v>4517.018</v>
      </c>
      <c r="AB19" s="267">
        <f>IF(COUNT(X19:AA19)=4,SUM(X19:AA19),"")</f>
        <v>17359.369</v>
      </c>
      <c r="AC19" s="266">
        <f>IFERROR(INDEX('Inputs (2)'!$D$53:$AL$53,MATCH(AC$7,'Inputs (2)'!$D$2:$AL$2,0)),"")</f>
        <v>4617.098</v>
      </c>
      <c r="AD19" s="266">
        <f>IFERROR(INDEX('Inputs (2)'!$D$53:$AL$53,MATCH(AD$7,'Inputs (2)'!$D$2:$AL$2,0)),"")</f>
        <v>4929.003</v>
      </c>
      <c r="AE19" s="266">
        <f>IFERROR(INDEX('Inputs (2)'!$D$53:$AL$53,MATCH(AE$7,'Inputs (2)'!$D$2:$AL$2,0)),"")</f>
        <v>5071.781</v>
      </c>
      <c r="AF19" s="266">
        <f>IFERROR(INDEX('Inputs (2)'!$D$53:$AL$53,MATCH(AF$7,'Inputs (2)'!$D$2:$AL$2,0)),"")</f>
        <v>5339.27</v>
      </c>
      <c r="AG19" s="267">
        <f>IF(COUNT(AC19:AF19)=4,SUM(AC19:AF19),"")</f>
        <v>19957.152</v>
      </c>
      <c r="AH19" s="267">
        <f>IFERROR(INDEX('Inputs (2)'!$D$53:$AL$53,MATCH(AH$7,'Inputs (2)'!$D$2:$AL$2,0)),"")</f>
        <v>5245.298</v>
      </c>
      <c r="AI19" s="267">
        <f>IFERROR(INDEX('Inputs (2)'!$D$53:$AL$53,MATCH(AI$7,'Inputs (2)'!$D$2:$AL$2,0)),"")</f>
        <v>5431.667</v>
      </c>
    </row>
    <row r="20">
      <c r="C20" s="14" t="inlineStr">
        <is>
          <t xml:space="preserve">   EMEA</t>
        </is>
      </c>
      <c r="D20" s="266">
        <f>IFERROR(INDEX('Inputs (2)'!$D$55:$AL$55,MATCH(D$7,'Inputs (2)'!$D$2:$AL$2,0)),"")</f>
        <v>1723.474</v>
      </c>
      <c r="E20" s="266">
        <f>IFERROR(INDEX('Inputs (2)'!$D$55:$AL$55,MATCH(E$7,'Inputs (2)'!$D$2:$AL$2,0)),"")</f>
        <v>1892.537</v>
      </c>
      <c r="F20" s="266">
        <f>IFERROR(INDEX('Inputs (2)'!$D$55:$AL$55,MATCH(F$7,'Inputs (2)'!$D$2:$AL$2,0)),"")</f>
        <v>2019.083</v>
      </c>
      <c r="G20" s="266">
        <f>IFERROR(INDEX('Inputs (2)'!$D$55:$AL$55,MATCH(G$7,'Inputs (2)'!$D$2:$AL$2,0)),"")</f>
        <v>2137.158</v>
      </c>
      <c r="H20" s="267">
        <f>IF(COUNT(D20:G20)=4,SUM(D20:G20),"")</f>
        <v>7772.252</v>
      </c>
      <c r="I20" s="266">
        <f>IFERROR(INDEX('Inputs (2)'!$D$55:$AL$55,MATCH(I$7,'Inputs (2)'!$D$2:$AL$2,0)),"")</f>
        <v>2343.674</v>
      </c>
      <c r="J20" s="266">
        <f>IFERROR(INDEX('Inputs (2)'!$D$55:$AL$55,MATCH(J$7,'Inputs (2)'!$D$2:$AL$2,0)),"")</f>
        <v>2400.48</v>
      </c>
      <c r="K20" s="266">
        <f>IFERROR(INDEX('Inputs (2)'!$D$55:$AL$55,MATCH(K$7,'Inputs (2)'!$D$2:$AL$2,0)),"")</f>
        <v>2432.239</v>
      </c>
      <c r="L20" s="266">
        <f>IFERROR(INDEX('Inputs (2)'!$D$55:$AL$55,MATCH(L$7,'Inputs (2)'!$D$2:$AL$2,0)),"")</f>
        <v>2523.426</v>
      </c>
      <c r="M20" s="267">
        <f>IF(COUNT(I20:L20)=4,SUM(I20:L20),"")</f>
        <v>9699.819</v>
      </c>
      <c r="N20" s="266">
        <f>IFERROR(INDEX('Inputs (2)'!$D$55:$AL$55,MATCH(N$7,'Inputs (2)'!$D$2:$AL$2,0)),"")</f>
        <v>2561.831</v>
      </c>
      <c r="O20" s="266">
        <f>IFERROR(INDEX('Inputs (2)'!$D$55:$AL$55,MATCH(O$7,'Inputs (2)'!$D$2:$AL$2,0)),"")</f>
        <v>2457.235</v>
      </c>
      <c r="P20" s="266">
        <f>IFERROR(INDEX('Inputs (2)'!$D$55:$AL$55,MATCH(P$7,'Inputs (2)'!$D$2:$AL$2,0)),"")</f>
        <v>2375.814</v>
      </c>
      <c r="Q20" s="266">
        <f>IFERROR(INDEX('Inputs (2)'!$D$55:$AL$55,MATCH(Q$7,'Inputs (2)'!$D$2:$AL$2,0)),"")</f>
        <v>2350.135</v>
      </c>
      <c r="R20" s="267">
        <f>IF(COUNT(N20:Q20)=4,SUM(N20:Q20),"")</f>
        <v>9745.015</v>
      </c>
      <c r="S20" s="266">
        <f>IFERROR(INDEX('Inputs (2)'!$D$55:$AL$55,MATCH(S$7,'Inputs (2)'!$D$2:$AL$2,0)),"")</f>
        <v>2517.641</v>
      </c>
      <c r="T20" s="266">
        <f>IFERROR(INDEX('Inputs (2)'!$D$55:$AL$55,MATCH(T$7,'Inputs (2)'!$D$2:$AL$2,0)),"")</f>
        <v>2562.17</v>
      </c>
      <c r="U20" s="266">
        <f>IFERROR(INDEX('Inputs (2)'!$D$55:$AL$55,MATCH(U$7,'Inputs (2)'!$D$2:$AL$2,0)),"")</f>
        <v>2693.146</v>
      </c>
      <c r="V20" s="266">
        <f>IFERROR(INDEX('Inputs (2)'!$D$55:$AL$55,MATCH(V$7,'Inputs (2)'!$D$2:$AL$2,0)),"")</f>
        <v>2783.53</v>
      </c>
      <c r="W20" s="267">
        <f>IF(COUNT(S20:V20)=4,SUM(S20:V20),"")</f>
        <v>10556.487</v>
      </c>
      <c r="X20" s="266">
        <f>IFERROR(INDEX('Inputs (2)'!$D$55:$AL$55,MATCH(X$7,'Inputs (2)'!$D$2:$AL$2,0)),"")</f>
        <v>2958.193</v>
      </c>
      <c r="Y20" s="266">
        <f>IFERROR(INDEX('Inputs (2)'!$D$55:$AL$55,MATCH(Y$7,'Inputs (2)'!$D$2:$AL$2,0)),"")</f>
        <v>3007.772</v>
      </c>
      <c r="Z20" s="266">
        <f>IFERROR(INDEX('Inputs (2)'!$D$55:$AL$55,MATCH(Z$7,'Inputs (2)'!$D$2:$AL$2,0)),"")</f>
        <v>3133.466</v>
      </c>
      <c r="AA20" s="266">
        <f>IFERROR(INDEX('Inputs (2)'!$D$55:$AL$55,MATCH(AA$7,'Inputs (2)'!$D$2:$AL$2,0)),"")</f>
        <v>3287.604</v>
      </c>
      <c r="AB20" s="267">
        <f>IF(COUNT(X20:AA20)=4,SUM(X20:AA20),"")</f>
        <v>12387.035</v>
      </c>
      <c r="AC20" s="266">
        <f>IFERROR(INDEX('Inputs (2)'!$D$55:$AL$55,MATCH(AC$7,'Inputs (2)'!$D$2:$AL$2,0)),"")</f>
        <v>3404.676</v>
      </c>
      <c r="AD20" s="266">
        <f>IFERROR(INDEX('Inputs (2)'!$D$55:$AL$55,MATCH(AD$7,'Inputs (2)'!$D$2:$AL$2,0)),"")</f>
        <v>3538.175</v>
      </c>
      <c r="AE20" s="266">
        <f>IFERROR(INDEX('Inputs (2)'!$D$55:$AL$55,MATCH(AE$7,'Inputs (2)'!$D$2:$AL$2,0)),"")</f>
        <v>3699.052</v>
      </c>
      <c r="AF20" s="266">
        <f>IFERROR(INDEX('Inputs (2)'!$D$55:$AL$55,MATCH(AF$7,'Inputs (2)'!$D$2:$AL$2,0)),"")</f>
        <v>3872.743</v>
      </c>
      <c r="AG20" s="267">
        <f>IF(COUNT(AC20:AF20)=4,SUM(AC20:AF20),"")</f>
        <v>14514.646</v>
      </c>
      <c r="AH20" s="267">
        <f>IFERROR(INDEX('Inputs (2)'!$D$55:$AL$55,MATCH(AH$7,'Inputs (2)'!$D$2:$AL$2,0)),"")</f>
        <v>3998.419</v>
      </c>
      <c r="AI20" s="267">
        <f>IFERROR(INDEX('Inputs (2)'!$D$55:$AL$55,MATCH(AI$7,'Inputs (2)'!$D$2:$AL$2,0)),"")</f>
        <v>4033.515</v>
      </c>
    </row>
    <row r="21">
      <c r="C21" s="14" t="inlineStr">
        <is>
          <t xml:space="preserve">   América Latina</t>
        </is>
      </c>
      <c r="D21" s="266">
        <f>IFERROR(INDEX('Inputs (2)'!$D$57:$AL$57,MATCH(D$7,'Inputs (2)'!$D$2:$AL$2,0)),"")</f>
        <v>793.453</v>
      </c>
      <c r="E21" s="266">
        <f>IFERROR(INDEX('Inputs (2)'!$D$57:$AL$57,MATCH(E$7,'Inputs (2)'!$D$2:$AL$2,0)),"")</f>
        <v>785.368</v>
      </c>
      <c r="F21" s="266">
        <f>IFERROR(INDEX('Inputs (2)'!$D$57:$AL$57,MATCH(F$7,'Inputs (2)'!$D$2:$AL$2,0)),"")</f>
        <v>789.384</v>
      </c>
      <c r="G21" s="266">
        <f>IFERROR(INDEX('Inputs (2)'!$D$57:$AL$57,MATCH(G$7,'Inputs (2)'!$D$2:$AL$2,0)),"")</f>
        <v>788.522</v>
      </c>
      <c r="H21" s="267">
        <f>IF(COUNT(D21:G21)=4,SUM(D21:G21),"")</f>
        <v>3156.727</v>
      </c>
      <c r="I21" s="266">
        <f>IFERROR(INDEX('Inputs (2)'!$D$57:$AL$57,MATCH(I$7,'Inputs (2)'!$D$2:$AL$2,0)),"")</f>
        <v>836.647</v>
      </c>
      <c r="J21" s="266">
        <f>IFERROR(INDEX('Inputs (2)'!$D$57:$AL$57,MATCH(J$7,'Inputs (2)'!$D$2:$AL$2,0)),"")</f>
        <v>860.882</v>
      </c>
      <c r="K21" s="266">
        <f>IFERROR(INDEX('Inputs (2)'!$D$57:$AL$57,MATCH(K$7,'Inputs (2)'!$D$2:$AL$2,0)),"")</f>
        <v>915.297</v>
      </c>
      <c r="L21" s="266">
        <f>IFERROR(INDEX('Inputs (2)'!$D$57:$AL$57,MATCH(L$7,'Inputs (2)'!$D$2:$AL$2,0)),"")</f>
        <v>964.15</v>
      </c>
      <c r="M21" s="267">
        <f>IF(COUNT(I21:L21)=4,SUM(I21:L21),"")</f>
        <v>3576.976</v>
      </c>
      <c r="N21" s="266">
        <f>IFERROR(INDEX('Inputs (2)'!$D$57:$AL$57,MATCH(N$7,'Inputs (2)'!$D$2:$AL$2,0)),"")</f>
        <v>998.948</v>
      </c>
      <c r="O21" s="266">
        <f>IFERROR(INDEX('Inputs (2)'!$D$57:$AL$57,MATCH(O$7,'Inputs (2)'!$D$2:$AL$2,0)),"")</f>
        <v>1030.234</v>
      </c>
      <c r="P21" s="266">
        <f>IFERROR(INDEX('Inputs (2)'!$D$57:$AL$57,MATCH(P$7,'Inputs (2)'!$D$2:$AL$2,0)),"")</f>
        <v>1023.945</v>
      </c>
      <c r="Q21" s="266">
        <f>IFERROR(INDEX('Inputs (2)'!$D$57:$AL$57,MATCH(Q$7,'Inputs (2)'!$D$2:$AL$2,0)),"")</f>
        <v>1016.846</v>
      </c>
      <c r="R21" s="267">
        <f>IF(COUNT(N21:Q21)=4,SUM(N21:Q21),"")</f>
        <v>4069.973</v>
      </c>
      <c r="S21" s="266">
        <f>IFERROR(INDEX('Inputs (2)'!$D$57:$AL$57,MATCH(S$7,'Inputs (2)'!$D$2:$AL$2,0)),"")</f>
        <v>1070.192</v>
      </c>
      <c r="T21" s="266">
        <f>IFERROR(INDEX('Inputs (2)'!$D$57:$AL$57,MATCH(T$7,'Inputs (2)'!$D$2:$AL$2,0)),"")</f>
        <v>1077.435</v>
      </c>
      <c r="U21" s="266">
        <f>IFERROR(INDEX('Inputs (2)'!$D$57:$AL$57,MATCH(U$7,'Inputs (2)'!$D$2:$AL$2,0)),"")</f>
        <v>1142.811</v>
      </c>
      <c r="V21" s="266">
        <f>IFERROR(INDEX('Inputs (2)'!$D$57:$AL$57,MATCH(V$7,'Inputs (2)'!$D$2:$AL$2,0)),"")</f>
        <v>1156.023</v>
      </c>
      <c r="W21" s="267">
        <f>IF(COUNT(S21:V21)=4,SUM(S21:V21),"")</f>
        <v>4446.461</v>
      </c>
      <c r="X21" s="266">
        <f>IFERROR(INDEX('Inputs (2)'!$D$57:$AL$57,MATCH(X$7,'Inputs (2)'!$D$2:$AL$2,0)),"")</f>
        <v>1165.008</v>
      </c>
      <c r="Y21" s="266">
        <f>IFERROR(INDEX('Inputs (2)'!$D$57:$AL$57,MATCH(Y$7,'Inputs (2)'!$D$2:$AL$2,0)),"")</f>
        <v>1204.145</v>
      </c>
      <c r="Z21" s="266">
        <f>IFERROR(INDEX('Inputs (2)'!$D$57:$AL$57,MATCH(Z$7,'Inputs (2)'!$D$2:$AL$2,0)),"")</f>
        <v>1240.892</v>
      </c>
      <c r="AA21" s="266">
        <f>IFERROR(INDEX('Inputs (2)'!$D$57:$AL$57,MATCH(AA$7,'Inputs (2)'!$D$2:$AL$2,0)),"")</f>
        <v>1229.771</v>
      </c>
      <c r="AB21" s="267">
        <f>IF(COUNT(X21:AA21)=4,SUM(X21:AA21),"")</f>
        <v>4839.816</v>
      </c>
      <c r="AC21" s="266">
        <f>IFERROR(INDEX('Inputs (2)'!$D$57:$AL$57,MATCH(AC$7,'Inputs (2)'!$D$2:$AL$2,0)),"")</f>
        <v>1261.934</v>
      </c>
      <c r="AD21" s="266">
        <f>IFERROR(INDEX('Inputs (2)'!$D$57:$AL$57,MATCH(AD$7,'Inputs (2)'!$D$2:$AL$2,0)),"")</f>
        <v>1306.735</v>
      </c>
      <c r="AE21" s="266">
        <f>IFERROR(INDEX('Inputs (2)'!$D$57:$AL$57,MATCH(AE$7,'Inputs (2)'!$D$2:$AL$2,0)),"")</f>
        <v>1370.913</v>
      </c>
      <c r="AF21" s="266">
        <f>IFERROR(INDEX('Inputs (2)'!$D$57:$AL$57,MATCH(AF$7,'Inputs (2)'!$D$2:$AL$2,0)),"")</f>
        <v>1417.939</v>
      </c>
      <c r="AG21" s="267">
        <f>IF(COUNT(AC21:AF21)=4,SUM(AC21:AF21),"")</f>
        <v>5357.521</v>
      </c>
      <c r="AH21" s="267">
        <f>IFERROR(INDEX('Inputs (2)'!$D$57:$AL$57,MATCH(AH$7,'Inputs (2)'!$D$2:$AL$2,0)),"")</f>
        <v>1497.058</v>
      </c>
      <c r="AI21" s="267">
        <f>IFERROR(INDEX('Inputs (2)'!$D$57:$AL$57,MATCH(AI$7,'Inputs (2)'!$D$2:$AL$2,0)),"")</f>
        <v>1584.29</v>
      </c>
    </row>
    <row r="22">
      <c r="C22" s="14" t="inlineStr">
        <is>
          <t xml:space="preserve">   Ásia-Pacífico</t>
        </is>
      </c>
      <c r="D22" s="266">
        <f>IFERROR(INDEX('Inputs (2)'!$D$59:$AL$59,MATCH(D$7,'Inputs (2)'!$D$2:$AL$2,0)),"")</f>
        <v>483.66</v>
      </c>
      <c r="E22" s="266">
        <f>IFERROR(INDEX('Inputs (2)'!$D$59:$AL$59,MATCH(E$7,'Inputs (2)'!$D$2:$AL$2,0)),"")</f>
        <v>569.14</v>
      </c>
      <c r="F22" s="266">
        <f>IFERROR(INDEX('Inputs (2)'!$D$59:$AL$59,MATCH(F$7,'Inputs (2)'!$D$2:$AL$2,0)),"")</f>
        <v>634.891</v>
      </c>
      <c r="G22" s="266">
        <f>IFERROR(INDEX('Inputs (2)'!$D$59:$AL$59,MATCH(G$7,'Inputs (2)'!$D$2:$AL$2,0)),"")</f>
        <v>684.609</v>
      </c>
      <c r="H22" s="267">
        <f>IF(COUNT(D22:G22)=4,SUM(D22:G22),"")</f>
        <v>2372.3</v>
      </c>
      <c r="I22" s="266">
        <f>IFERROR(INDEX('Inputs (2)'!$D$59:$AL$59,MATCH(I$7,'Inputs (2)'!$D$2:$AL$2,0)),"")</f>
        <v>762.414</v>
      </c>
      <c r="J22" s="266">
        <f>IFERROR(INDEX('Inputs (2)'!$D$59:$AL$59,MATCH(J$7,'Inputs (2)'!$D$2:$AL$2,0)),"")</f>
        <v>799.48</v>
      </c>
      <c r="K22" s="266">
        <f>IFERROR(INDEX('Inputs (2)'!$D$59:$AL$59,MATCH(K$7,'Inputs (2)'!$D$2:$AL$2,0)),"")</f>
        <v>834.002</v>
      </c>
      <c r="L22" s="266">
        <f>IFERROR(INDEX('Inputs (2)'!$D$59:$AL$59,MATCH(L$7,'Inputs (2)'!$D$2:$AL$2,0)),"")</f>
        <v>870.705</v>
      </c>
      <c r="M22" s="267">
        <f>IF(COUNT(I22:L22)=4,SUM(I22:L22),"")</f>
        <v>3266.601</v>
      </c>
      <c r="N22" s="266">
        <f>IFERROR(INDEX('Inputs (2)'!$D$59:$AL$59,MATCH(N$7,'Inputs (2)'!$D$2:$AL$2,0)),"")</f>
        <v>916.754</v>
      </c>
      <c r="O22" s="266">
        <f>IFERROR(INDEX('Inputs (2)'!$D$59:$AL$59,MATCH(O$7,'Inputs (2)'!$D$2:$AL$2,0)),"")</f>
        <v>907.719</v>
      </c>
      <c r="P22" s="266">
        <f>IFERROR(INDEX('Inputs (2)'!$D$59:$AL$59,MATCH(P$7,'Inputs (2)'!$D$2:$AL$2,0)),"")</f>
        <v>889.037</v>
      </c>
      <c r="Q22" s="266">
        <f>IFERROR(INDEX('Inputs (2)'!$D$59:$AL$59,MATCH(Q$7,'Inputs (2)'!$D$2:$AL$2,0)),"")</f>
        <v>856.711</v>
      </c>
      <c r="R22" s="267">
        <f>IF(COUNT(N22:Q22)=4,SUM(N22:Q22),"")</f>
        <v>3570.221</v>
      </c>
      <c r="S22" s="266">
        <f>IFERROR(INDEX('Inputs (2)'!$D$59:$AL$59,MATCH(S$7,'Inputs (2)'!$D$2:$AL$2,0)),"")</f>
        <v>933.523</v>
      </c>
      <c r="T22" s="266">
        <f>IFERROR(INDEX('Inputs (2)'!$D$59:$AL$59,MATCH(T$7,'Inputs (2)'!$D$2:$AL$2,0)),"")</f>
        <v>919.273</v>
      </c>
      <c r="U22" s="266">
        <f>IFERROR(INDEX('Inputs (2)'!$D$59:$AL$59,MATCH(U$7,'Inputs (2)'!$D$2:$AL$2,0)),"")</f>
        <v>948.216</v>
      </c>
      <c r="V22" s="266">
        <f>IFERROR(INDEX('Inputs (2)'!$D$59:$AL$59,MATCH(V$7,'Inputs (2)'!$D$2:$AL$2,0)),"")</f>
        <v>962.715</v>
      </c>
      <c r="W22" s="267">
        <f>IF(COUNT(S22:V22)=4,SUM(S22:V22),"")</f>
        <v>3763.727</v>
      </c>
      <c r="X22" s="266">
        <f>IFERROR(INDEX('Inputs (2)'!$D$59:$AL$59,MATCH(X$7,'Inputs (2)'!$D$2:$AL$2,0)),"")</f>
        <v>1022.924</v>
      </c>
      <c r="Y22" s="266">
        <f>IFERROR(INDEX('Inputs (2)'!$D$59:$AL$59,MATCH(Y$7,'Inputs (2)'!$D$2:$AL$2,0)),"")</f>
        <v>1051.833</v>
      </c>
      <c r="Z22" s="266">
        <f>IFERROR(INDEX('Inputs (2)'!$D$59:$AL$59,MATCH(Z$7,'Inputs (2)'!$D$2:$AL$2,0)),"")</f>
        <v>1127.869</v>
      </c>
      <c r="AA22" s="266">
        <f>IFERROR(INDEX('Inputs (2)'!$D$59:$AL$59,MATCH(AA$7,'Inputs (2)'!$D$2:$AL$2,0)),"")</f>
        <v>1212.12</v>
      </c>
      <c r="AB22" s="267">
        <f>IF(COUNT(X22:AA22)=4,SUM(X22:AA22),"")</f>
        <v>4414.746</v>
      </c>
      <c r="AC22" s="266">
        <f>IFERROR(INDEX('Inputs (2)'!$D$59:$AL$59,MATCH(AC$7,'Inputs (2)'!$D$2:$AL$2,0)),"")</f>
        <v>1259.093</v>
      </c>
      <c r="AD22" s="266">
        <f>IFERROR(INDEX('Inputs (2)'!$D$59:$AL$59,MATCH(AD$7,'Inputs (2)'!$D$2:$AL$2,0)),"")</f>
        <v>1305.253</v>
      </c>
      <c r="AE22" s="266">
        <f>IFERROR(INDEX('Inputs (2)'!$D$59:$AL$59,MATCH(AE$7,'Inputs (2)'!$D$2:$AL$2,0)),"")</f>
        <v>1368.561</v>
      </c>
      <c r="AF22" s="266">
        <f>IFERROR(INDEX('Inputs (2)'!$D$59:$AL$59,MATCH(AF$7,'Inputs (2)'!$D$2:$AL$2,0)),"")</f>
        <v>1420.81</v>
      </c>
      <c r="AG22" s="267">
        <f>IF(COUNT(AC22:AF22)=4,SUM(AC22:AF22),"")</f>
        <v>5353.717</v>
      </c>
      <c r="AH22" s="267">
        <f>IFERROR(INDEX('Inputs (2)'!$D$59:$AL$59,MATCH(AH$7,'Inputs (2)'!$D$2:$AL$2,0)),"")</f>
        <v>1508.982</v>
      </c>
      <c r="AI22" s="267">
        <f>IFERROR(INDEX('Inputs (2)'!$D$59:$AL$59,MATCH(AI$7,'Inputs (2)'!$D$2:$AL$2,0)),"")</f>
        <v>1510.466</v>
      </c>
    </row>
    <row r="23">
      <c r="C23" s="14" t="inlineStr">
        <is>
          <t xml:space="preserve">   DVD</t>
        </is>
      </c>
      <c r="D23" s="266">
        <f>IFERROR(INDEX('Inputs (2)'!$D$61:$AL$61,MATCH(D$7,'Inputs (2)'!$D$2:$AL$2,0)),"")</f>
        <v>64</v>
      </c>
      <c r="E23" s="266">
        <f>IFERROR(INDEX('Inputs (2)'!$D$61:$AL$61,MATCH(E$7,'Inputs (2)'!$D$2:$AL$2,0)),"")</f>
        <v>62</v>
      </c>
      <c r="F23" s="266">
        <f>IFERROR(INDEX('Inputs (2)'!$D$61:$AL$61,MATCH(F$7,'Inputs (2)'!$D$2:$AL$2,0)),"")</f>
        <v>59</v>
      </c>
      <c r="G23" s="266">
        <f>IFERROR(INDEX('Inputs (2)'!$D$61:$AL$61,MATCH(G$7,'Inputs (2)'!$D$2:$AL$2,0)),"")</f>
        <v>15</v>
      </c>
      <c r="H23" s="267">
        <f>IF(COUNT(D23:G23)=4,SUM(D23:G23),"")</f>
        <v>200</v>
      </c>
      <c r="I23" s="266">
        <f>IFERROR(INDEX('Inputs (2)'!$D$61:$AL$61,MATCH(I$7,'Inputs (2)'!$D$2:$AL$2,0)),"")</f>
        <v>50</v>
      </c>
      <c r="J23" s="266">
        <f>IFERROR(INDEX('Inputs (2)'!$D$61:$AL$61,MATCH(J$7,'Inputs (2)'!$D$2:$AL$2,0)),"")</f>
        <v>46</v>
      </c>
      <c r="K23" s="266">
        <f>IFERROR(INDEX('Inputs (2)'!$D$61:$AL$61,MATCH(K$7,'Inputs (2)'!$D$2:$AL$2,0)),"")</f>
        <v>44</v>
      </c>
      <c r="L23" s="266">
        <f>IFERROR(INDEX('Inputs (2)'!$D$61:$AL$61,MATCH(L$7,'Inputs (2)'!$D$2:$AL$2,0)),"")</f>
        <v>60</v>
      </c>
      <c r="M23" s="267">
        <f>IF(COUNT(I23:L23)=4,SUM(I23:L23),"")</f>
        <v>200</v>
      </c>
      <c r="N23" s="266">
        <f>IFERROR(INDEX('Inputs (2)'!$D$61:$AL$61,MATCH(N$7,'Inputs (2)'!$D$2:$AL$2,0)),"")</f>
        <v>40</v>
      </c>
      <c r="O23" s="266">
        <f>IFERROR(INDEX('Inputs (2)'!$D$61:$AL$61,MATCH(O$7,'Inputs (2)'!$D$2:$AL$2,0)),"")</f>
        <v>37</v>
      </c>
      <c r="P23" s="266">
        <f>IFERROR(INDEX('Inputs (2)'!$D$61:$AL$61,MATCH(P$7,'Inputs (2)'!$D$2:$AL$2,0)),"")</f>
        <v>35</v>
      </c>
      <c r="Q23" s="266">
        <f>IFERROR(INDEX('Inputs (2)'!$D$61:$AL$61,MATCH(Q$7,'Inputs (2)'!$D$2:$AL$2,0)),"")</f>
        <v>-12</v>
      </c>
      <c r="R23" s="267">
        <f>IF(COUNT(N23:Q23)=4,SUM(N23:Q23),"")</f>
        <v>100</v>
      </c>
      <c r="S23" s="266">
        <f>IFERROR(INDEX('Inputs (2)'!$D$61:$AL$61,MATCH(S$7,'Inputs (2)'!$D$2:$AL$2,0)),"")</f>
        <v>32</v>
      </c>
      <c r="T23" s="266">
        <f>IFERROR(INDEX('Inputs (2)'!$D$61:$AL$61,MATCH(T$7,'Inputs (2)'!$D$2:$AL$2,0)),"")</f>
        <v>29</v>
      </c>
      <c r="U23" s="266">
        <f>IFERROR(INDEX('Inputs (2)'!$D$61:$AL$61,MATCH(U$7,'Inputs (2)'!$D$2:$AL$2,0)),"")</f>
        <v>22</v>
      </c>
      <c r="V23" s="266" t="str">
        <f>IFERROR(INDEX('Inputs (2)'!$D$61:$AL$61,MATCH(V$7,'Inputs (2)'!$D$2:$AL$2,0)),"")</f>
        <v/>
      </c>
      <c r="W23" s="267" t="str">
        <f>IF(COUNT(S23:V23)=4,SUM(S23:V23),"")</f>
        <v/>
      </c>
      <c r="X23" s="266" t="str">
        <f>IFERROR(INDEX('Inputs (2)'!$D$61:$AL$61,MATCH(X$7,'Inputs (2)'!$D$2:$AL$2,0)),"")</f>
        <v/>
      </c>
      <c r="Y23" s="266" t="str">
        <f>IFERROR(INDEX('Inputs (2)'!$D$61:$AL$61,MATCH(Y$7,'Inputs (2)'!$D$2:$AL$2,0)),"")</f>
        <v/>
      </c>
      <c r="Z23" s="266" t="str">
        <f>IFERROR(INDEX('Inputs (2)'!$D$61:$AL$61,MATCH(Z$7,'Inputs (2)'!$D$2:$AL$2,0)),"")</f>
        <v/>
      </c>
      <c r="AA23" s="266" t="str">
        <f>IFERROR(INDEX('Inputs (2)'!$D$61:$AL$61,MATCH(AA$7,'Inputs (2)'!$D$2:$AL$2,0)),"")</f>
        <v/>
      </c>
      <c r="AB23" s="267" t="str">
        <f>IF(COUNT(X23:AA23)=4,SUM(X23:AA23),"")</f>
        <v/>
      </c>
      <c r="AC23" s="266" t="str">
        <f>IFERROR(INDEX('Inputs (2)'!$D$61:$AL$61,MATCH(AC$7,'Inputs (2)'!$D$2:$AL$2,0)),"")</f>
        <v/>
      </c>
      <c r="AD23" s="266" t="str">
        <f>IFERROR(INDEX('Inputs (2)'!$D$61:$AL$61,MATCH(AD$7,'Inputs (2)'!$D$2:$AL$2,0)),"")</f>
        <v/>
      </c>
      <c r="AE23" s="266" t="str">
        <f>IFERROR(INDEX('Inputs (2)'!$D$61:$AL$61,MATCH(AE$7,'Inputs (2)'!$D$2:$AL$2,0)),"")</f>
        <v/>
      </c>
      <c r="AF23" s="266" t="str">
        <f>IFERROR(INDEX('Inputs (2)'!$D$61:$AL$61,MATCH(AF$7,'Inputs (2)'!$D$2:$AL$2,0)),"")</f>
        <v/>
      </c>
      <c r="AG23" s="267" t="str">
        <f>IF(COUNT(AC23:AF23)=4,SUM(AC23:AF23),"")</f>
        <v/>
      </c>
      <c r="AH23" s="267" t="str">
        <f>IFERROR(INDEX('Inputs (2)'!$D$61:$AL$61,MATCH(AH$7,'Inputs (2)'!$D$2:$AL$2,0)),"")</f>
        <v/>
      </c>
      <c r="AI23" s="267" t="str">
        <f>IFERROR(INDEX('Inputs (2)'!$D$61:$AL$61,MATCH(AI$7,'Inputs (2)'!$D$2:$AL$2,0)),"")</f>
        <v/>
      </c>
    </row>
    <row r="24">
      <c r="C24" s="268" t="inlineStr">
        <is>
          <t>Receita (soma)</t>
        </is>
      </c>
      <c r="D24" s="266">
        <f>IF(COUNT(D19,D20,D21,D22,D23)=0,"",N(D19)+N(D20)+N(D21)+N(D22)+N(D23))</f>
        <v>5767.363</v>
      </c>
      <c r="E24" s="266">
        <f>IF(COUNT(E19,E20,E21,E22,E23)=0,"",N(E19)+N(E20)+N(E21)+N(E22)+N(E23))</f>
        <v>6148.715</v>
      </c>
      <c r="F24" s="266">
        <f>IF(COUNT(F19,F20,F21,F22,F23)=0,"",N(F19)+N(F20)+N(F21)+N(F22)+N(F23))</f>
        <v>6435.803</v>
      </c>
      <c r="G24" s="266">
        <f>IF(COUNT(G19,G20,G21,G22,G23)=0,"",N(G19)+N(G20)+N(G21)+N(G22)+N(G23))</f>
        <v>6604.794</v>
      </c>
      <c r="H24" s="267">
        <f>IF(COUNT(H19,H20,H21,H22,H23)=0,"",N(H19)+N(H20)+N(H21)+N(H22)+N(H23))</f>
        <v>24956.675</v>
      </c>
      <c r="I24" s="266">
        <f>IF(COUNT(I19,I20,I21,I22,I23)=0,"",N(I19)+N(I20)+N(I21)+N(I22)+N(I23))</f>
        <v>7163.707</v>
      </c>
      <c r="J24" s="266">
        <f>IF(COUNT(J19,J20,J21,J22,J23)=0,"",N(J19)+N(J20)+N(J21)+N(J22)+N(J23))</f>
        <v>7341.485</v>
      </c>
      <c r="K24" s="266">
        <f>IF(COUNT(K19,K20,K21,K22,K23)=0,"",N(K19)+N(K20)+N(K21)+N(K22)+N(K23))</f>
        <v>7483.235</v>
      </c>
      <c r="L24" s="266">
        <f>IF(COUNT(L19,L20,L21,L22,L23)=0,"",N(L19)+N(L20)+N(L21)+N(L22)+N(L23))</f>
        <v>7727.069</v>
      </c>
      <c r="M24" s="267">
        <f>IF(COUNT(M19,M20,M21,M22,M23)=0,"",N(M19)+N(M20)+N(M21)+N(M22)+N(M23))</f>
        <v>29715.496</v>
      </c>
      <c r="N24" s="266">
        <f>IF(COUNT(N19,N20,N21,N22,N23)=0,"",N(N19)+N(N20)+N(N21)+N(N22)+N(N23))</f>
        <v>7867.957</v>
      </c>
      <c r="O24" s="266">
        <f>IF(COUNT(O19,O20,O21,O22,O23)=0,"",N(O19)+N(O20)+N(O21)+N(O22)+N(O23))</f>
        <v>7970.051</v>
      </c>
      <c r="P24" s="266">
        <f>IF(COUNT(P19,P20,P21,P22,P23)=0,"",N(P19)+N(P20)+N(P21)+N(P22)+N(P23))</f>
        <v>7925.361</v>
      </c>
      <c r="Q24" s="266">
        <f>IF(COUNT(Q19,Q20,Q21,Q22,Q23)=0,"",N(Q19)+N(Q20)+N(Q21)+N(Q22)+N(Q23))</f>
        <v>7806.483</v>
      </c>
      <c r="R24" s="267">
        <f>IF(COUNT(R19,R20,R21,R22,R23)=0,"",N(R19)+N(R20)+N(R21)+N(R22)+N(R23))</f>
        <v>31569.852</v>
      </c>
      <c r="S24" s="266">
        <f>IF(COUNT(S19,S20,S21,S22,S23)=0,"",N(S19)+N(S20)+N(S21)+N(S22)+N(S23))</f>
        <v>8162.001</v>
      </c>
      <c r="T24" s="266">
        <f>IF(COUNT(T19,T20,T21,T22,T23)=0,"",N(T19)+N(T20)+N(T21)+N(T22)+N(T23))</f>
        <v>8187.326</v>
      </c>
      <c r="U24" s="266">
        <f>IF(COUNT(U19,U20,U21,U22,U23)=0,"",N(U19)+N(U20)+N(U21)+N(U22)+N(U23))</f>
        <v>8541.306</v>
      </c>
      <c r="V24" s="266">
        <f>IF(COUNT(V19,V20,V21,V22,V23)=0,"",N(V19)+N(V20)+N(V21)+N(V22)+N(V23))</f>
        <v>8832.825</v>
      </c>
      <c r="W24" s="267">
        <f>IF(COUNT(W19,W20,W21,W22,W23)=0,"",N(W19)+N(W20)+N(W21)+N(W22)+N(W23))</f>
        <v>33640.458</v>
      </c>
      <c r="X24" s="266">
        <f>IF(COUNT(X19,X20,X21,X22,X23)=0,"",N(X19)+N(X20)+N(X21)+N(X22)+N(X23))</f>
        <v>9370.44</v>
      </c>
      <c r="Y24" s="266">
        <f>IF(COUNT(Y19,Y20,Y21,Y22,Y23)=0,"",N(Y19)+N(Y20)+N(Y21)+N(Y22)+N(Y23))</f>
        <v>9559.31</v>
      </c>
      <c r="Z24" s="266">
        <f>IF(COUNT(Z19,Z20,Z21,Z22,Z23)=0,"",N(Z19)+N(Z20)+N(Z21)+N(Z22)+N(Z23))</f>
        <v>9824.703</v>
      </c>
      <c r="AA24" s="266">
        <f>IF(COUNT(AA19,AA20,AA21,AA22,AA23)=0,"",N(AA19)+N(AA20)+N(AA21)+N(AA22)+N(AA23))</f>
        <v>10246.513</v>
      </c>
      <c r="AB24" s="267">
        <f>IF(COUNT(AB19,AB20,AB21,AB22,AB23)=0,"",N(AB19)+N(AB20)+N(AB21)+N(AB22)+N(AB23))</f>
        <v>39000.966</v>
      </c>
      <c r="AC24" s="266">
        <f>IF(COUNT(AC19,AC20,AC21,AC22,AC23)=0,"",N(AC19)+N(AC20)+N(AC21)+N(AC22)+N(AC23))</f>
        <v>10542.801</v>
      </c>
      <c r="AD24" s="266">
        <f>IF(COUNT(AD19,AD20,AD21,AD22,AD23)=0,"",N(AD19)+N(AD20)+N(AD21)+N(AD22)+N(AD23))</f>
        <v>11079.166</v>
      </c>
      <c r="AE24" s="266">
        <f>IF(COUNT(AE19,AE20,AE21,AE22,AE23)=0,"",N(AE19)+N(AE20)+N(AE21)+N(AE22)+N(AE23))</f>
        <v>11510.307</v>
      </c>
      <c r="AF24" s="266">
        <f>IF(COUNT(AF19,AF20,AF21,AF22,AF23)=0,"",N(AF19)+N(AF20)+N(AF21)+N(AF22)+N(AF23))</f>
        <v>12050.762</v>
      </c>
      <c r="AG24" s="267">
        <f>IF(COUNT(AG19,AG20,AG21,AG22,AG23)=0,"",N(AG19)+N(AG20)+N(AG21)+N(AG22)+N(AG23))</f>
        <v>45183.036</v>
      </c>
      <c r="AH24" s="267">
        <f>IF(COUNT(AH19,AH20,AH21,AH22,AH23)=0,"",N(AH19)+N(AH20)+N(AH21)+N(AH22)+N(AH23))</f>
        <v>12249.757</v>
      </c>
      <c r="AI24" s="267">
        <f>IF(COUNT(AI19,AI20,AI21,AI22,AI23)=0,"",N(AI19)+N(AI20)+N(AI21)+N(AI22)+N(AI23))</f>
        <v>12559.938</v>
      </c>
    </row>
    <row r="25">
      <c r="C25" s="14" t="inlineStr">
        <is>
          <t>Check vs Net Revenues (linha 15)</t>
        </is>
      </c>
      <c r="D25" s="266">
        <f>IF(COUNT(D24)=0,"",ROUND(D15-D24,1))</f>
        <v>0.3</v>
      </c>
      <c r="E25" s="266">
        <f>IF(COUNT(E24)=0,"",ROUND(E15-E24,1))</f>
        <v>-0.4</v>
      </c>
      <c r="F25" s="266">
        <f>IF(COUNT(F24)=0,"",ROUND(F15-F24,1))</f>
        <v>-0.2</v>
      </c>
      <c r="G25" s="266">
        <f>IF(COUNT(G24)=0,"",ROUND(G15-G24,1))</f>
        <v>39.6</v>
      </c>
      <c r="H25" s="267">
        <f>IF(COUNT(H24)=0,"",ROUND(H15-H24,1))</f>
        <v>39.4</v>
      </c>
      <c r="I25" s="266">
        <f>IF(COUNT(I24)=0,"",ROUND(I15-I24,1))</f>
        <v>-0.4</v>
      </c>
      <c r="J25" s="266">
        <f>IF(COUNT(J24)=0,"",ROUND(J15-J24,1))</f>
        <v>0.3</v>
      </c>
      <c r="K25" s="266">
        <f>IF(COUNT(K24)=0,"",ROUND(K15-K24,1))</f>
        <v>0.2</v>
      </c>
      <c r="L25" s="266">
        <f>IF(COUNT(L24)=0,"",ROUND(L15-L24,1))</f>
        <v>-17.8</v>
      </c>
      <c r="M25" s="267">
        <f>IF(COUNT(M24)=0,"",ROUND(M15-M24,1))</f>
        <v>-17.7</v>
      </c>
      <c r="N25" s="266">
        <f>IF(COUNT(N24)=0,"",ROUND(N15-N24,1))</f>
        <v>-0.2</v>
      </c>
      <c r="O25" s="266">
        <f>IF(COUNT(O24)=0,"",ROUND(O15-O24,1))</f>
        <v>0.1</v>
      </c>
      <c r="P25" s="266">
        <f>IF(COUNT(P24)=0,"",ROUND(P15-P24,1))</f>
        <v>0.2</v>
      </c>
      <c r="Q25" s="266">
        <f>IF(COUNT(Q24)=0,"",ROUND(Q15-Q24,1))</f>
        <v>45.6</v>
      </c>
      <c r="R25" s="267">
        <f>IF(COUNT(R24)=0,"",ROUND(R15-R24,1))</f>
        <v>45.7</v>
      </c>
      <c r="S25" s="266">
        <f>IF(COUNT(S24)=0,"",ROUND(S15-S24,1))</f>
        <v>-0.5</v>
      </c>
      <c r="T25" s="266">
        <f>IF(COUNT(T24)=0,"",ROUND(T15-T24,1))</f>
        <v>0</v>
      </c>
      <c r="U25" s="266">
        <f>IF(COUNT(U24)=0,"",ROUND(U15-U24,1))</f>
        <v>0.4</v>
      </c>
      <c r="V25" s="266">
        <f>IF(COUNT(V24)=0,"",ROUND(V15-V24,1))</f>
        <v>0</v>
      </c>
      <c r="W25" s="267">
        <f>IF(COUNT(W24)=0,"",ROUND(W15-W24,1))</f>
        <v>82.8</v>
      </c>
      <c r="X25" s="266">
        <f>IF(COUNT(X24)=0,"",ROUND(X15-X24,1))</f>
        <v>0</v>
      </c>
      <c r="Y25" s="266">
        <f>IF(COUNT(Y24)=0,"",ROUND(Y15-Y24,1))</f>
        <v>0</v>
      </c>
      <c r="Z25" s="266">
        <f>IF(COUNT(Z24)=0,"",ROUND(Z15-Z24,1))</f>
        <v>0</v>
      </c>
      <c r="AA25" s="266">
        <f>IF(COUNT(AA24)=0,"",ROUND(AA15-AA24,1))</f>
        <v>0</v>
      </c>
      <c r="AB25" s="267">
        <f>IF(COUNT(AB24)=0,"",ROUND(AB15-AB24,1))</f>
        <v>0</v>
      </c>
      <c r="AC25" s="266">
        <f>IF(COUNT(AC24)=0,"",ROUND(AC15-AC24,1))</f>
        <v>0</v>
      </c>
      <c r="AD25" s="266">
        <f>IF(COUNT(AD24)=0,"",ROUND(AD15-AD24,1))</f>
        <v>0</v>
      </c>
      <c r="AE25" s="266">
        <f>IF(COUNT(AE24)=0,"",ROUND(AE15-AE24,1))</f>
        <v>0</v>
      </c>
      <c r="AF25" s="266">
        <f>IF(COUNT(AF24)=0,"",ROUND(AF15-AF24,1))</f>
        <v>0</v>
      </c>
      <c r="AG25" s="267">
        <f>IF(COUNT(AG24)=0,"",ROUND(AG15-AG24,1))</f>
        <v>0</v>
      </c>
      <c r="AH25" s="267">
        <f>IF(COUNT(AH24)=0,"",ROUND(AH15-AH24,1))</f>
        <v>0</v>
      </c>
      <c r="AI25" s="267">
        <f>IF(COUNT(AI24)=0,"",ROUND(AI15-AI24,1))</f>
        <v>0</v>
      </c>
    </row>
    <row r="26">
      <c r="C26" s="14" t="inlineStr">
        <is>
          <t xml:space="preserve">   % YoY receita</t>
        </is>
      </c>
      <c r="D26" s="269" t="str">
        <f>""</f>
        <v/>
      </c>
      <c r="E26" s="269" t="str">
        <f>""</f>
        <v/>
      </c>
      <c r="F26" s="269" t="str">
        <f>""</f>
        <v/>
      </c>
      <c r="G26" s="269" t="str">
        <f>""</f>
        <v/>
      </c>
      <c r="H26" s="270" t="str">
        <f>""</f>
        <v/>
      </c>
      <c r="I26" s="269">
        <f>IFERROR(I24/D24-1,"")</f>
        <v>0.242111342740174</v>
      </c>
      <c r="J26" s="269">
        <f>IFERROR(J24/E24-1,"")</f>
        <v>0.19398687368011</v>
      </c>
      <c r="K26" s="269">
        <f>IFERROR(K24/F24-1,"")</f>
        <v>0.162750786498592</v>
      </c>
      <c r="L26" s="269">
        <f>IFERROR(L24/G24-1,"")</f>
        <v>0.169918244232901</v>
      </c>
      <c r="M26" s="270">
        <f>IFERROR(M24/H24-1,"")</f>
        <v>0.19068329414876</v>
      </c>
      <c r="N26" s="269">
        <f>IFERROR(N24/I24-1,"")</f>
        <v>0.09830804079508</v>
      </c>
      <c r="O26" s="269">
        <f>IFERROR(O24/J24-1,"")</f>
        <v>0.0856183728496349</v>
      </c>
      <c r="P26" s="269">
        <f>IFERROR(P24/K24-1,"")</f>
        <v>0.0590822017483081</v>
      </c>
      <c r="Q26" s="269">
        <f>IFERROR(Q24/L24-1,"")</f>
        <v>0.0102773768423705</v>
      </c>
      <c r="R26" s="270">
        <f>IFERROR(R24/M24-1,"")</f>
        <v>0.062403669788988</v>
      </c>
      <c r="S26" s="269">
        <f>IFERROR(S24/N24-1,"")</f>
        <v>0.0373723445616188</v>
      </c>
      <c r="T26" s="269">
        <f>IFERROR(T24/O24-1,"")</f>
        <v>0.0272614315767865</v>
      </c>
      <c r="U26" s="269">
        <f>IFERROR(U24/P24-1,"")</f>
        <v>0.0777182263369454</v>
      </c>
      <c r="V26" s="269">
        <f>IFERROR(V24/Q24-1,"")</f>
        <v>0.131473033374953</v>
      </c>
      <c r="W26" s="270">
        <f>IFERROR(W24/R24-1,"")</f>
        <v>0.0655880806789975</v>
      </c>
      <c r="X26" s="269">
        <f>IFERROR(X24/S24-1,"")</f>
        <v>0.148056708152817</v>
      </c>
      <c r="Y26" s="269">
        <f>IFERROR(Y24/T24-1,"")</f>
        <v>0.167574126155475</v>
      </c>
      <c r="Z26" s="269">
        <f>IFERROR(Z24/U24-1,"")</f>
        <v>0.15025770063735</v>
      </c>
      <c r="AA26" s="269">
        <f>IFERROR(AA24/V24-1,"")</f>
        <v>0.160049361331171</v>
      </c>
      <c r="AB26" s="270">
        <f>IFERROR(AB24/W24-1,"")</f>
        <v>0.15934705764113</v>
      </c>
      <c r="AC26" s="269">
        <f>IFERROR(AC24/X24-1,"")</f>
        <v>0.125112694814758</v>
      </c>
      <c r="AD26" s="269">
        <f>IFERROR(AD24/Y24-1,"")</f>
        <v>0.158992228518586</v>
      </c>
      <c r="AE26" s="269">
        <f>IFERROR(AE24/Z24-1,"")</f>
        <v>0.171567934420002</v>
      </c>
      <c r="AF26" s="269">
        <f>IFERROR(AF24/AA24-1,"")</f>
        <v>0.176084195667346</v>
      </c>
      <c r="AG26" s="270">
        <f>IFERROR(AG24/AB24-1,"")</f>
        <v>0.158510689196775</v>
      </c>
      <c r="AH26" s="270">
        <f>IFERROR(AH24/AC24-1,"")</f>
        <v>0.161907257853013</v>
      </c>
      <c r="AI26" s="270">
        <f>IFERROR(AI24/AD24-1,"")</f>
        <v>0.133653742528995</v>
      </c>
    </row>
    <row r="27"/>
    <row r="28">
      <c r="C28" s="12" t="inlineStr">
        <is>
          <t>Assinantes pagos (milhões, fim do trimestre)</t>
        </is>
      </c>
      <c r="D28" s="12" t="str">
        <f>D7</f>
        <v>1Q20</v>
      </c>
      <c r="E28" s="12" t="str">
        <f>E7</f>
        <v>2Q20</v>
      </c>
      <c r="F28" s="12" t="str">
        <f>F7</f>
        <v>3Q20</v>
      </c>
      <c r="G28" s="12" t="str">
        <f>G7</f>
        <v>4Q20</v>
      </c>
      <c r="H28" s="12">
        <f>H7</f>
        <v>2020</v>
      </c>
      <c r="I28" s="12" t="str">
        <f>I7</f>
        <v>1Q21</v>
      </c>
      <c r="J28" s="12" t="str">
        <f>J7</f>
        <v>2Q21</v>
      </c>
      <c r="K28" s="12" t="str">
        <f>K7</f>
        <v>3Q21</v>
      </c>
      <c r="L28" s="12" t="str">
        <f>L7</f>
        <v>4Q21</v>
      </c>
      <c r="M28" s="12">
        <f>M7</f>
        <v>2021</v>
      </c>
      <c r="N28" s="12" t="str">
        <f>N7</f>
        <v>1Q22</v>
      </c>
      <c r="O28" s="12" t="str">
        <f>O7</f>
        <v>2Q22</v>
      </c>
      <c r="P28" s="12" t="str">
        <f>P7</f>
        <v>3Q22</v>
      </c>
      <c r="Q28" s="12" t="str">
        <f>Q7</f>
        <v>4Q22</v>
      </c>
      <c r="R28" s="12">
        <f>R7</f>
        <v>2022</v>
      </c>
      <c r="S28" s="12" t="str">
        <f>S7</f>
        <v>1Q23</v>
      </c>
      <c r="T28" s="12" t="str">
        <f>T7</f>
        <v>2Q23</v>
      </c>
      <c r="U28" s="12" t="str">
        <f>U7</f>
        <v>3Q23</v>
      </c>
      <c r="V28" s="12" t="str">
        <f>V7</f>
        <v>4Q23</v>
      </c>
      <c r="W28" s="12">
        <f>W7</f>
        <v>2023</v>
      </c>
      <c r="X28" s="12" t="str">
        <f>X7</f>
        <v>1Q24</v>
      </c>
      <c r="Y28" s="12" t="str">
        <f>Y7</f>
        <v>2Q24</v>
      </c>
      <c r="Z28" s="12" t="str">
        <f>Z7</f>
        <v>3Q24</v>
      </c>
      <c r="AA28" s="12" t="str">
        <f>AA7</f>
        <v>4Q24</v>
      </c>
      <c r="AB28" s="12">
        <f>AB7</f>
        <v>2024</v>
      </c>
      <c r="AC28" s="12" t="str">
        <f>AC7</f>
        <v>1Q25</v>
      </c>
      <c r="AD28" s="12" t="str">
        <f>AD7</f>
        <v>2Q25</v>
      </c>
      <c r="AE28" s="12" t="str">
        <f>AE7</f>
        <v>3Q25</v>
      </c>
      <c r="AF28" s="12" t="str">
        <f>AF7</f>
        <v>4Q25</v>
      </c>
      <c r="AG28" s="12">
        <f>AG7</f>
        <v>2025</v>
      </c>
      <c r="AH28" s="12" t="str">
        <f>AH7</f>
        <v>1Q26</v>
      </c>
      <c r="AI28" s="12" t="str">
        <f>AI7</f>
        <v>2Q26</v>
      </c>
    </row>
    <row r="29">
      <c r="C29" s="14" t="inlineStr">
        <is>
          <t xml:space="preserve">   EUA e Canadá</t>
        </is>
      </c>
      <c r="D29" s="271">
        <f>IFERROR(INDEX('Inputs (2)'!$D$54:$AL$54,MATCH(D$7,'Inputs (2)'!$D$2:$AL$2,0)),"")</f>
        <v>69.969</v>
      </c>
      <c r="E29" s="271">
        <f>IFERROR(INDEX('Inputs (2)'!$D$54:$AL$54,MATCH(E$7,'Inputs (2)'!$D$2:$AL$2,0)),"")</f>
        <v>72.904</v>
      </c>
      <c r="F29" s="271">
        <f>IFERROR(INDEX('Inputs (2)'!$D$54:$AL$54,MATCH(F$7,'Inputs (2)'!$D$2:$AL$2,0)),"")</f>
        <v>73.081</v>
      </c>
      <c r="G29" s="271">
        <f>IFERROR(INDEX('Inputs (2)'!$D$54:$AL$54,MATCH(G$7,'Inputs (2)'!$D$2:$AL$2,0)),"")</f>
        <v>73.936</v>
      </c>
      <c r="H29" s="272">
        <f>IF(COUNT(G29)=0,"",G29)</f>
        <v>73.936</v>
      </c>
      <c r="I29" s="271">
        <f>IFERROR(INDEX('Inputs (2)'!$D$54:$AL$54,MATCH(I$7,'Inputs (2)'!$D$2:$AL$2,0)),"")</f>
        <v>74.384</v>
      </c>
      <c r="J29" s="271">
        <f>IFERROR(INDEX('Inputs (2)'!$D$54:$AL$54,MATCH(J$7,'Inputs (2)'!$D$2:$AL$2,0)),"")</f>
        <v>73.951</v>
      </c>
      <c r="K29" s="271">
        <f>IFERROR(INDEX('Inputs (2)'!$D$54:$AL$54,MATCH(K$7,'Inputs (2)'!$D$2:$AL$2,0)),"")</f>
        <v>74.024</v>
      </c>
      <c r="L29" s="271">
        <f>IFERROR(INDEX('Inputs (2)'!$D$54:$AL$54,MATCH(L$7,'Inputs (2)'!$D$2:$AL$2,0)),"")</f>
        <v>75.215</v>
      </c>
      <c r="M29" s="272">
        <f>IF(COUNT(L29)=0,"",L29)</f>
        <v>75.215</v>
      </c>
      <c r="N29" s="271">
        <f>IFERROR(INDEX('Inputs (2)'!$D$54:$AL$54,MATCH(N$7,'Inputs (2)'!$D$2:$AL$2,0)),"")</f>
        <v>74.579</v>
      </c>
      <c r="O29" s="271">
        <f>IFERROR(INDEX('Inputs (2)'!$D$54:$AL$54,MATCH(O$7,'Inputs (2)'!$D$2:$AL$2,0)),"")</f>
        <v>73.283</v>
      </c>
      <c r="P29" s="271">
        <f>IFERROR(INDEX('Inputs (2)'!$D$54:$AL$54,MATCH(P$7,'Inputs (2)'!$D$2:$AL$2,0)),"")</f>
        <v>73.387</v>
      </c>
      <c r="Q29" s="271">
        <f>IFERROR(INDEX('Inputs (2)'!$D$54:$AL$54,MATCH(Q$7,'Inputs (2)'!$D$2:$AL$2,0)),"")</f>
        <v>74.296</v>
      </c>
      <c r="R29" s="272">
        <f>IF(COUNT(Q29)=0,"",Q29)</f>
        <v>74.296</v>
      </c>
      <c r="S29" s="271">
        <f>IFERROR(INDEX('Inputs (2)'!$D$54:$AL$54,MATCH(S$7,'Inputs (2)'!$D$2:$AL$2,0)),"")</f>
        <v>74.398</v>
      </c>
      <c r="T29" s="271">
        <f>IFERROR(INDEX('Inputs (2)'!$D$54:$AL$54,MATCH(T$7,'Inputs (2)'!$D$2:$AL$2,0)),"")</f>
        <v>75.571</v>
      </c>
      <c r="U29" s="271">
        <f>IFERROR(INDEX('Inputs (2)'!$D$54:$AL$54,MATCH(U$7,'Inputs (2)'!$D$2:$AL$2,0)),"")</f>
        <v>77.321</v>
      </c>
      <c r="V29" s="271">
        <f>IFERROR(INDEX('Inputs (2)'!$D$54:$AL$54,MATCH(V$7,'Inputs (2)'!$D$2:$AL$2,0)),"")</f>
        <v>80.128</v>
      </c>
      <c r="W29" s="272">
        <f>IF(COUNT(V29)=0,"",V29)</f>
        <v>80.128</v>
      </c>
      <c r="X29" s="271">
        <f>IFERROR(INDEX('Inputs (2)'!$D$54:$AL$54,MATCH(X$7,'Inputs (2)'!$D$2:$AL$2,0)),"")</f>
        <v>82.658</v>
      </c>
      <c r="Y29" s="271">
        <f>IFERROR(INDEX('Inputs (2)'!$D$54:$AL$54,MATCH(Y$7,'Inputs (2)'!$D$2:$AL$2,0)),"")</f>
        <v>84.109</v>
      </c>
      <c r="Z29" s="271">
        <f>IFERROR(INDEX('Inputs (2)'!$D$54:$AL$54,MATCH(Z$7,'Inputs (2)'!$D$2:$AL$2,0)),"")</f>
        <v>84.803</v>
      </c>
      <c r="AA29" s="271">
        <f>IFERROR(INDEX('Inputs (2)'!$D$54:$AL$54,MATCH(AA$7,'Inputs (2)'!$D$2:$AL$2,0)),"")</f>
        <v>89.625</v>
      </c>
      <c r="AB29" s="272">
        <f>IF(COUNT(AA29)=0,"",AA29)</f>
        <v>89.625</v>
      </c>
      <c r="AC29" s="271" t="str">
        <f>IFERROR(INDEX('Inputs (2)'!$D$54:$AL$54,MATCH(AC$7,'Inputs (2)'!$D$2:$AL$2,0)),"")</f>
        <v/>
      </c>
      <c r="AD29" s="271" t="str">
        <f>IFERROR(INDEX('Inputs (2)'!$D$54:$AL$54,MATCH(AD$7,'Inputs (2)'!$D$2:$AL$2,0)),"")</f>
        <v/>
      </c>
      <c r="AE29" s="271" t="str">
        <f>IFERROR(INDEX('Inputs (2)'!$D$54:$AL$54,MATCH(AE$7,'Inputs (2)'!$D$2:$AL$2,0)),"")</f>
        <v/>
      </c>
      <c r="AF29" s="271" t="str">
        <f>IFERROR(INDEX('Inputs (2)'!$D$54:$AL$54,MATCH(AF$7,'Inputs (2)'!$D$2:$AL$2,0)),"")</f>
        <v/>
      </c>
      <c r="AG29" s="272" t="str">
        <f>IF(COUNT(AF29)=0,"",AF29)</f>
        <v/>
      </c>
      <c r="AH29" s="272" t="str">
        <f>IFERROR(INDEX('Inputs (2)'!$D$54:$AL$54,MATCH(AH$7,'Inputs (2)'!$D$2:$AL$2,0)),"")</f>
        <v/>
      </c>
      <c r="AI29" s="272" t="str">
        <f>IFERROR(INDEX('Inputs (2)'!$D$54:$AL$54,MATCH(AI$7,'Inputs (2)'!$D$2:$AL$2,0)),"")</f>
        <v/>
      </c>
    </row>
    <row r="30">
      <c r="C30" s="14" t="inlineStr">
        <is>
          <t xml:space="preserve">   EMEA</t>
        </is>
      </c>
      <c r="D30" s="271">
        <f>IFERROR(INDEX('Inputs (2)'!$D$56:$AL$56,MATCH(D$7,'Inputs (2)'!$D$2:$AL$2,0)),"")</f>
        <v>58.734</v>
      </c>
      <c r="E30" s="271">
        <f>IFERROR(INDEX('Inputs (2)'!$D$56:$AL$56,MATCH(E$7,'Inputs (2)'!$D$2:$AL$2,0)),"")</f>
        <v>61.483</v>
      </c>
      <c r="F30" s="271">
        <f>IFERROR(INDEX('Inputs (2)'!$D$56:$AL$56,MATCH(F$7,'Inputs (2)'!$D$2:$AL$2,0)),"")</f>
        <v>62.242</v>
      </c>
      <c r="G30" s="271">
        <f>IFERROR(INDEX('Inputs (2)'!$D$56:$AL$56,MATCH(G$7,'Inputs (2)'!$D$2:$AL$2,0)),"")</f>
        <v>66.698</v>
      </c>
      <c r="H30" s="272">
        <f>IF(COUNT(G30)=0,"",G30)</f>
        <v>66.698</v>
      </c>
      <c r="I30" s="271">
        <f>IFERROR(INDEX('Inputs (2)'!$D$56:$AL$56,MATCH(I$7,'Inputs (2)'!$D$2:$AL$2,0)),"")</f>
        <v>68.508</v>
      </c>
      <c r="J30" s="271">
        <f>IFERROR(INDEX('Inputs (2)'!$D$56:$AL$56,MATCH(J$7,'Inputs (2)'!$D$2:$AL$2,0)),"")</f>
        <v>68.696</v>
      </c>
      <c r="K30" s="271">
        <f>IFERROR(INDEX('Inputs (2)'!$D$56:$AL$56,MATCH(K$7,'Inputs (2)'!$D$2:$AL$2,0)),"")</f>
        <v>70.5</v>
      </c>
      <c r="L30" s="271">
        <f>IFERROR(INDEX('Inputs (2)'!$D$56:$AL$56,MATCH(L$7,'Inputs (2)'!$D$2:$AL$2,0)),"")</f>
        <v>74.036</v>
      </c>
      <c r="M30" s="272">
        <f>IF(COUNT(L30)=0,"",L30)</f>
        <v>74.036</v>
      </c>
      <c r="N30" s="271">
        <f>IFERROR(INDEX('Inputs (2)'!$D$56:$AL$56,MATCH(N$7,'Inputs (2)'!$D$2:$AL$2,0)),"")</f>
        <v>73.733</v>
      </c>
      <c r="O30" s="271">
        <f>IFERROR(INDEX('Inputs (2)'!$D$56:$AL$56,MATCH(O$7,'Inputs (2)'!$D$2:$AL$2,0)),"")</f>
        <v>72.966</v>
      </c>
      <c r="P30" s="271">
        <f>IFERROR(INDEX('Inputs (2)'!$D$56:$AL$56,MATCH(P$7,'Inputs (2)'!$D$2:$AL$2,0)),"")</f>
        <v>73.534</v>
      </c>
      <c r="Q30" s="271">
        <f>IFERROR(INDEX('Inputs (2)'!$D$56:$AL$56,MATCH(Q$7,'Inputs (2)'!$D$2:$AL$2,0)),"")</f>
        <v>76.729</v>
      </c>
      <c r="R30" s="272">
        <f>IF(COUNT(Q30)=0,"",Q30)</f>
        <v>76.729</v>
      </c>
      <c r="S30" s="271">
        <f>IFERROR(INDEX('Inputs (2)'!$D$56:$AL$56,MATCH(S$7,'Inputs (2)'!$D$2:$AL$2,0)),"")</f>
        <v>77.373</v>
      </c>
      <c r="T30" s="271">
        <f>IFERROR(INDEX('Inputs (2)'!$D$56:$AL$56,MATCH(T$7,'Inputs (2)'!$D$2:$AL$2,0)),"")</f>
        <v>79.807</v>
      </c>
      <c r="U30" s="271">
        <f>IFERROR(INDEX('Inputs (2)'!$D$56:$AL$56,MATCH(U$7,'Inputs (2)'!$D$2:$AL$2,0)),"")</f>
        <v>83.76</v>
      </c>
      <c r="V30" s="271">
        <f>IFERROR(INDEX('Inputs (2)'!$D$56:$AL$56,MATCH(V$7,'Inputs (2)'!$D$2:$AL$2,0)),"")</f>
        <v>88.813</v>
      </c>
      <c r="W30" s="272">
        <f>IF(COUNT(V30)=0,"",V30)</f>
        <v>88.813</v>
      </c>
      <c r="X30" s="271">
        <f>IFERROR(INDEX('Inputs (2)'!$D$56:$AL$56,MATCH(X$7,'Inputs (2)'!$D$2:$AL$2,0)),"")</f>
        <v>91.729</v>
      </c>
      <c r="Y30" s="271">
        <f>IFERROR(INDEX('Inputs (2)'!$D$56:$AL$56,MATCH(Y$7,'Inputs (2)'!$D$2:$AL$2,0)),"")</f>
        <v>93.964</v>
      </c>
      <c r="Z30" s="271">
        <f>IFERROR(INDEX('Inputs (2)'!$D$56:$AL$56,MATCH(Z$7,'Inputs (2)'!$D$2:$AL$2,0)),"")</f>
        <v>96.131</v>
      </c>
      <c r="AA30" s="271">
        <f>IFERROR(INDEX('Inputs (2)'!$D$56:$AL$56,MATCH(AA$7,'Inputs (2)'!$D$2:$AL$2,0)),"")</f>
        <v>101.133</v>
      </c>
      <c r="AB30" s="272">
        <f>IF(COUNT(AA30)=0,"",AA30)</f>
        <v>101.133</v>
      </c>
      <c r="AC30" s="271" t="str">
        <f>IFERROR(INDEX('Inputs (2)'!$D$56:$AL$56,MATCH(AC$7,'Inputs (2)'!$D$2:$AL$2,0)),"")</f>
        <v/>
      </c>
      <c r="AD30" s="271" t="str">
        <f>IFERROR(INDEX('Inputs (2)'!$D$56:$AL$56,MATCH(AD$7,'Inputs (2)'!$D$2:$AL$2,0)),"")</f>
        <v/>
      </c>
      <c r="AE30" s="271" t="str">
        <f>IFERROR(INDEX('Inputs (2)'!$D$56:$AL$56,MATCH(AE$7,'Inputs (2)'!$D$2:$AL$2,0)),"")</f>
        <v/>
      </c>
      <c r="AF30" s="271" t="str">
        <f>IFERROR(INDEX('Inputs (2)'!$D$56:$AL$56,MATCH(AF$7,'Inputs (2)'!$D$2:$AL$2,0)),"")</f>
        <v/>
      </c>
      <c r="AG30" s="272" t="str">
        <f>IF(COUNT(AF30)=0,"",AF30)</f>
        <v/>
      </c>
      <c r="AH30" s="272" t="str">
        <f>IFERROR(INDEX('Inputs (2)'!$D$56:$AL$56,MATCH(AH$7,'Inputs (2)'!$D$2:$AL$2,0)),"")</f>
        <v/>
      </c>
      <c r="AI30" s="272" t="str">
        <f>IFERROR(INDEX('Inputs (2)'!$D$56:$AL$56,MATCH(AI$7,'Inputs (2)'!$D$2:$AL$2,0)),"")</f>
        <v/>
      </c>
    </row>
    <row r="31">
      <c r="C31" s="14" t="inlineStr">
        <is>
          <t xml:space="preserve">   América Latina</t>
        </is>
      </c>
      <c r="D31" s="271">
        <f>IFERROR(INDEX('Inputs (2)'!$D$58:$AL$58,MATCH(D$7,'Inputs (2)'!$D$2:$AL$2,0)),"")</f>
        <v>34.318</v>
      </c>
      <c r="E31" s="271">
        <f>IFERROR(INDEX('Inputs (2)'!$D$58:$AL$58,MATCH(E$7,'Inputs (2)'!$D$2:$AL$2,0)),"")</f>
        <v>36.068</v>
      </c>
      <c r="F31" s="271">
        <f>IFERROR(INDEX('Inputs (2)'!$D$58:$AL$58,MATCH(F$7,'Inputs (2)'!$D$2:$AL$2,0)),"")</f>
        <v>36.324</v>
      </c>
      <c r="G31" s="271">
        <f>IFERROR(INDEX('Inputs (2)'!$D$58:$AL$58,MATCH(G$7,'Inputs (2)'!$D$2:$AL$2,0)),"")</f>
        <v>37.537</v>
      </c>
      <c r="H31" s="272">
        <f>IF(COUNT(G31)=0,"",G31)</f>
        <v>37.537</v>
      </c>
      <c r="I31" s="271">
        <f>IFERROR(INDEX('Inputs (2)'!$D$58:$AL$58,MATCH(I$7,'Inputs (2)'!$D$2:$AL$2,0)),"")</f>
        <v>37.894</v>
      </c>
      <c r="J31" s="271">
        <f>IFERROR(INDEX('Inputs (2)'!$D$58:$AL$58,MATCH(J$7,'Inputs (2)'!$D$2:$AL$2,0)),"")</f>
        <v>38.658</v>
      </c>
      <c r="K31" s="271">
        <f>IFERROR(INDEX('Inputs (2)'!$D$58:$AL$58,MATCH(K$7,'Inputs (2)'!$D$2:$AL$2,0)),"")</f>
        <v>38.988</v>
      </c>
      <c r="L31" s="271">
        <f>IFERROR(INDEX('Inputs (2)'!$D$58:$AL$58,MATCH(L$7,'Inputs (2)'!$D$2:$AL$2,0)),"")</f>
        <v>39.961</v>
      </c>
      <c r="M31" s="272">
        <f>IF(COUNT(L31)=0,"",L31)</f>
        <v>39.961</v>
      </c>
      <c r="N31" s="271">
        <f>IFERROR(INDEX('Inputs (2)'!$D$58:$AL$58,MATCH(N$7,'Inputs (2)'!$D$2:$AL$2,0)),"")</f>
        <v>39.61</v>
      </c>
      <c r="O31" s="271">
        <f>IFERROR(INDEX('Inputs (2)'!$D$58:$AL$58,MATCH(O$7,'Inputs (2)'!$D$2:$AL$2,0)),"")</f>
        <v>39.624</v>
      </c>
      <c r="P31" s="271">
        <f>IFERROR(INDEX('Inputs (2)'!$D$58:$AL$58,MATCH(P$7,'Inputs (2)'!$D$2:$AL$2,0)),"")</f>
        <v>39.936</v>
      </c>
      <c r="Q31" s="271">
        <f>IFERROR(INDEX('Inputs (2)'!$D$58:$AL$58,MATCH(Q$7,'Inputs (2)'!$D$2:$AL$2,0)),"")</f>
        <v>41.699</v>
      </c>
      <c r="R31" s="272">
        <f>IF(COUNT(Q31)=0,"",Q31)</f>
        <v>41.699</v>
      </c>
      <c r="S31" s="271">
        <f>IFERROR(INDEX('Inputs (2)'!$D$58:$AL$58,MATCH(S$7,'Inputs (2)'!$D$2:$AL$2,0)),"")</f>
        <v>41.249</v>
      </c>
      <c r="T31" s="271">
        <f>IFERROR(INDEX('Inputs (2)'!$D$58:$AL$58,MATCH(T$7,'Inputs (2)'!$D$2:$AL$2,0)),"")</f>
        <v>42.466</v>
      </c>
      <c r="U31" s="271">
        <f>IFERROR(INDEX('Inputs (2)'!$D$58:$AL$58,MATCH(U$7,'Inputs (2)'!$D$2:$AL$2,0)),"")</f>
        <v>43.645</v>
      </c>
      <c r="V31" s="271">
        <f>IFERROR(INDEX('Inputs (2)'!$D$58:$AL$58,MATCH(V$7,'Inputs (2)'!$D$2:$AL$2,0)),"")</f>
        <v>45.997</v>
      </c>
      <c r="W31" s="272">
        <f>IF(COUNT(V31)=0,"",V31)</f>
        <v>45.997</v>
      </c>
      <c r="X31" s="271">
        <f>IFERROR(INDEX('Inputs (2)'!$D$58:$AL$58,MATCH(X$7,'Inputs (2)'!$D$2:$AL$2,0)),"")</f>
        <v>47.72</v>
      </c>
      <c r="Y31" s="271">
        <f>IFERROR(INDEX('Inputs (2)'!$D$58:$AL$58,MATCH(Y$7,'Inputs (2)'!$D$2:$AL$2,0)),"")</f>
        <v>49.25</v>
      </c>
      <c r="Z31" s="271">
        <f>IFERROR(INDEX('Inputs (2)'!$D$58:$AL$58,MATCH(Z$7,'Inputs (2)'!$D$2:$AL$2,0)),"")</f>
        <v>49.182</v>
      </c>
      <c r="AA31" s="271">
        <f>IFERROR(INDEX('Inputs (2)'!$D$58:$AL$58,MATCH(AA$7,'Inputs (2)'!$D$2:$AL$2,0)),"")</f>
        <v>53.327</v>
      </c>
      <c r="AB31" s="272">
        <f>IF(COUNT(AA31)=0,"",AA31)</f>
        <v>53.327</v>
      </c>
      <c r="AC31" s="271" t="str">
        <f>IFERROR(INDEX('Inputs (2)'!$D$58:$AL$58,MATCH(AC$7,'Inputs (2)'!$D$2:$AL$2,0)),"")</f>
        <v/>
      </c>
      <c r="AD31" s="271" t="str">
        <f>IFERROR(INDEX('Inputs (2)'!$D$58:$AL$58,MATCH(AD$7,'Inputs (2)'!$D$2:$AL$2,0)),"")</f>
        <v/>
      </c>
      <c r="AE31" s="271" t="str">
        <f>IFERROR(INDEX('Inputs (2)'!$D$58:$AL$58,MATCH(AE$7,'Inputs (2)'!$D$2:$AL$2,0)),"")</f>
        <v/>
      </c>
      <c r="AF31" s="271" t="str">
        <f>IFERROR(INDEX('Inputs (2)'!$D$58:$AL$58,MATCH(AF$7,'Inputs (2)'!$D$2:$AL$2,0)),"")</f>
        <v/>
      </c>
      <c r="AG31" s="272" t="str">
        <f>IF(COUNT(AF31)=0,"",AF31)</f>
        <v/>
      </c>
      <c r="AH31" s="272" t="str">
        <f>IFERROR(INDEX('Inputs (2)'!$D$58:$AL$58,MATCH(AH$7,'Inputs (2)'!$D$2:$AL$2,0)),"")</f>
        <v/>
      </c>
      <c r="AI31" s="272" t="str">
        <f>IFERROR(INDEX('Inputs (2)'!$D$58:$AL$58,MATCH(AI$7,'Inputs (2)'!$D$2:$AL$2,0)),"")</f>
        <v/>
      </c>
    </row>
    <row r="32">
      <c r="C32" s="14" t="inlineStr">
        <is>
          <t xml:space="preserve">   Ásia-Pacífico</t>
        </is>
      </c>
      <c r="D32" s="271">
        <f>IFERROR(INDEX('Inputs (2)'!$D$60:$AL$60,MATCH(D$7,'Inputs (2)'!$D$2:$AL$2,0)),"")</f>
        <v>19.835</v>
      </c>
      <c r="E32" s="271">
        <f>IFERROR(INDEX('Inputs (2)'!$D$60:$AL$60,MATCH(E$7,'Inputs (2)'!$D$2:$AL$2,0)),"")</f>
        <v>22.492</v>
      </c>
      <c r="F32" s="271">
        <f>IFERROR(INDEX('Inputs (2)'!$D$60:$AL$60,MATCH(F$7,'Inputs (2)'!$D$2:$AL$2,0)),"")</f>
        <v>23.504</v>
      </c>
      <c r="G32" s="271">
        <f>IFERROR(INDEX('Inputs (2)'!$D$60:$AL$60,MATCH(G$7,'Inputs (2)'!$D$2:$AL$2,0)),"")</f>
        <v>25.492</v>
      </c>
      <c r="H32" s="272">
        <f>IF(COUNT(G32)=0,"",G32)</f>
        <v>25.492</v>
      </c>
      <c r="I32" s="271">
        <f>IFERROR(INDEX('Inputs (2)'!$D$60:$AL$60,MATCH(I$7,'Inputs (2)'!$D$2:$AL$2,0)),"")</f>
        <v>26.853</v>
      </c>
      <c r="J32" s="271">
        <f>IFERROR(INDEX('Inputs (2)'!$D$60:$AL$60,MATCH(J$7,'Inputs (2)'!$D$2:$AL$2,0)),"")</f>
        <v>27.875</v>
      </c>
      <c r="K32" s="271">
        <f>IFERROR(INDEX('Inputs (2)'!$D$60:$AL$60,MATCH(K$7,'Inputs (2)'!$D$2:$AL$2,0)),"")</f>
        <v>30.051</v>
      </c>
      <c r="L32" s="271">
        <f>IFERROR(INDEX('Inputs (2)'!$D$60:$AL$60,MATCH(L$7,'Inputs (2)'!$D$2:$AL$2,0)),"")</f>
        <v>32.632</v>
      </c>
      <c r="M32" s="272">
        <f>IF(COUNT(L32)=0,"",L32)</f>
        <v>32.632</v>
      </c>
      <c r="N32" s="271">
        <f>IFERROR(INDEX('Inputs (2)'!$D$60:$AL$60,MATCH(N$7,'Inputs (2)'!$D$2:$AL$2,0)),"")</f>
        <v>33.719</v>
      </c>
      <c r="O32" s="271">
        <f>IFERROR(INDEX('Inputs (2)'!$D$60:$AL$60,MATCH(O$7,'Inputs (2)'!$D$2:$AL$2,0)),"")</f>
        <v>34.799</v>
      </c>
      <c r="P32" s="271">
        <f>IFERROR(INDEX('Inputs (2)'!$D$60:$AL$60,MATCH(P$7,'Inputs (2)'!$D$2:$AL$2,0)),"")</f>
        <v>36.228</v>
      </c>
      <c r="Q32" s="271">
        <f>IFERROR(INDEX('Inputs (2)'!$D$60:$AL$60,MATCH(Q$7,'Inputs (2)'!$D$2:$AL$2,0)),"")</f>
        <v>38.023</v>
      </c>
      <c r="R32" s="272">
        <f>IF(COUNT(Q32)=0,"",Q32)</f>
        <v>38.023</v>
      </c>
      <c r="S32" s="271">
        <f>IFERROR(INDEX('Inputs (2)'!$D$60:$AL$60,MATCH(S$7,'Inputs (2)'!$D$2:$AL$2,0)),"")</f>
        <v>39.478</v>
      </c>
      <c r="T32" s="271">
        <f>IFERROR(INDEX('Inputs (2)'!$D$60:$AL$60,MATCH(T$7,'Inputs (2)'!$D$2:$AL$2,0)),"")</f>
        <v>40.546</v>
      </c>
      <c r="U32" s="271">
        <f>IFERROR(INDEX('Inputs (2)'!$D$60:$AL$60,MATCH(U$7,'Inputs (2)'!$D$2:$AL$2,0)),"")</f>
        <v>42.427</v>
      </c>
      <c r="V32" s="271">
        <f>IFERROR(INDEX('Inputs (2)'!$D$60:$AL$60,MATCH(V$7,'Inputs (2)'!$D$2:$AL$2,0)),"")</f>
        <v>45.338</v>
      </c>
      <c r="W32" s="272">
        <f>IF(COUNT(V32)=0,"",V32)</f>
        <v>45.338</v>
      </c>
      <c r="X32" s="271">
        <f>IFERROR(INDEX('Inputs (2)'!$D$60:$AL$60,MATCH(X$7,'Inputs (2)'!$D$2:$AL$2,0)),"")</f>
        <v>47.495</v>
      </c>
      <c r="Y32" s="271">
        <f>IFERROR(INDEX('Inputs (2)'!$D$60:$AL$60,MATCH(Y$7,'Inputs (2)'!$D$2:$AL$2,0)),"")</f>
        <v>50.324</v>
      </c>
      <c r="Z32" s="271">
        <f>IFERROR(INDEX('Inputs (2)'!$D$60:$AL$60,MATCH(Z$7,'Inputs (2)'!$D$2:$AL$2,0)),"")</f>
        <v>52.604</v>
      </c>
      <c r="AA32" s="271">
        <f>IFERROR(INDEX('Inputs (2)'!$D$60:$AL$60,MATCH(AA$7,'Inputs (2)'!$D$2:$AL$2,0)),"")</f>
        <v>57.541</v>
      </c>
      <c r="AB32" s="272">
        <f>IF(COUNT(AA32)=0,"",AA32)</f>
        <v>57.541</v>
      </c>
      <c r="AC32" s="271" t="str">
        <f>IFERROR(INDEX('Inputs (2)'!$D$60:$AL$60,MATCH(AC$7,'Inputs (2)'!$D$2:$AL$2,0)),"")</f>
        <v/>
      </c>
      <c r="AD32" s="271" t="str">
        <f>IFERROR(INDEX('Inputs (2)'!$D$60:$AL$60,MATCH(AD$7,'Inputs (2)'!$D$2:$AL$2,0)),"")</f>
        <v/>
      </c>
      <c r="AE32" s="271" t="str">
        <f>IFERROR(INDEX('Inputs (2)'!$D$60:$AL$60,MATCH(AE$7,'Inputs (2)'!$D$2:$AL$2,0)),"")</f>
        <v/>
      </c>
      <c r="AF32" s="271" t="str">
        <f>IFERROR(INDEX('Inputs (2)'!$D$60:$AL$60,MATCH(AF$7,'Inputs (2)'!$D$2:$AL$2,0)),"")</f>
        <v/>
      </c>
      <c r="AG32" s="272" t="str">
        <f>IF(COUNT(AF32)=0,"",AF32)</f>
        <v/>
      </c>
      <c r="AH32" s="272" t="str">
        <f>IFERROR(INDEX('Inputs (2)'!$D$60:$AL$60,MATCH(AH$7,'Inputs (2)'!$D$2:$AL$2,0)),"")</f>
        <v/>
      </c>
      <c r="AI32" s="272" t="str">
        <f>IFERROR(INDEX('Inputs (2)'!$D$60:$AL$60,MATCH(AI$7,'Inputs (2)'!$D$2:$AL$2,0)),"")</f>
        <v/>
      </c>
    </row>
    <row r="33">
      <c r="C33" s="268" t="inlineStr">
        <is>
          <t>Total de assinantes pagos</t>
        </is>
      </c>
      <c r="D33" s="271">
        <f>IF(COUNT(D29,D30,D31,D32)=0,"",N(D29)+N(D30)+N(D31)+N(D32))</f>
        <v>182.856</v>
      </c>
      <c r="E33" s="271">
        <f>IF(COUNT(E29,E30,E31,E32)=0,"",N(E29)+N(E30)+N(E31)+N(E32))</f>
        <v>192.947</v>
      </c>
      <c r="F33" s="271">
        <f>IF(COUNT(F29,F30,F31,F32)=0,"",N(F29)+N(F30)+N(F31)+N(F32))</f>
        <v>195.151</v>
      </c>
      <c r="G33" s="271">
        <f>IF(COUNT(G29,G30,G31,G32)=0,"",N(G29)+N(G30)+N(G31)+N(G32))</f>
        <v>203.663</v>
      </c>
      <c r="H33" s="272">
        <f>IF(COUNT(H29,H30,H31,H32)=0,"",N(H29)+N(H30)+N(H31)+N(H32))</f>
        <v>203.663</v>
      </c>
      <c r="I33" s="271">
        <f>IF(COUNT(I29,I30,I31,I32)=0,"",N(I29)+N(I30)+N(I31)+N(I32))</f>
        <v>207.639</v>
      </c>
      <c r="J33" s="271">
        <f>IF(COUNT(J29,J30,J31,J32)=0,"",N(J29)+N(J30)+N(J31)+N(J32))</f>
        <v>209.18</v>
      </c>
      <c r="K33" s="271">
        <f>IF(COUNT(K29,K30,K31,K32)=0,"",N(K29)+N(K30)+N(K31)+N(K32))</f>
        <v>213.563</v>
      </c>
      <c r="L33" s="271">
        <f>IF(COUNT(L29,L30,L31,L32)=0,"",N(L29)+N(L30)+N(L31)+N(L32))</f>
        <v>221.844</v>
      </c>
      <c r="M33" s="272">
        <f>IF(COUNT(M29,M30,M31,M32)=0,"",N(M29)+N(M30)+N(M31)+N(M32))</f>
        <v>221.844</v>
      </c>
      <c r="N33" s="271">
        <f>IF(COUNT(N29,N30,N31,N32)=0,"",N(N29)+N(N30)+N(N31)+N(N32))</f>
        <v>221.641</v>
      </c>
      <c r="O33" s="271">
        <f>IF(COUNT(O29,O30,O31,O32)=0,"",N(O29)+N(O30)+N(O31)+N(O32))</f>
        <v>220.672</v>
      </c>
      <c r="P33" s="271">
        <f>IF(COUNT(P29,P30,P31,P32)=0,"",N(P29)+N(P30)+N(P31)+N(P32))</f>
        <v>223.085</v>
      </c>
      <c r="Q33" s="271">
        <f>IF(COUNT(Q29,Q30,Q31,Q32)=0,"",N(Q29)+N(Q30)+N(Q31)+N(Q32))</f>
        <v>230.747</v>
      </c>
      <c r="R33" s="272">
        <f>IF(COUNT(R29,R30,R31,R32)=0,"",N(R29)+N(R30)+N(R31)+N(R32))</f>
        <v>230.747</v>
      </c>
      <c r="S33" s="271">
        <f>IF(COUNT(S29,S30,S31,S32)=0,"",N(S29)+N(S30)+N(S31)+N(S32))</f>
        <v>232.498</v>
      </c>
      <c r="T33" s="271">
        <f>IF(COUNT(T29,T30,T31,T32)=0,"",N(T29)+N(T30)+N(T31)+N(T32))</f>
        <v>238.39</v>
      </c>
      <c r="U33" s="271">
        <f>IF(COUNT(U29,U30,U31,U32)=0,"",N(U29)+N(U30)+N(U31)+N(U32))</f>
        <v>247.153</v>
      </c>
      <c r="V33" s="271">
        <f>IF(COUNT(V29,V30,V31,V32)=0,"",N(V29)+N(V30)+N(V31)+N(V32))</f>
        <v>260.276</v>
      </c>
      <c r="W33" s="272">
        <f>IF(COUNT(W29,W30,W31,W32)=0,"",N(W29)+N(W30)+N(W31)+N(W32))</f>
        <v>260.276</v>
      </c>
      <c r="X33" s="271">
        <f>IF(COUNT(X29,X30,X31,X32)=0,"",N(X29)+N(X30)+N(X31)+N(X32))</f>
        <v>269.602</v>
      </c>
      <c r="Y33" s="271">
        <f>IF(COUNT(Y29,Y30,Y31,Y32)=0,"",N(Y29)+N(Y30)+N(Y31)+N(Y32))</f>
        <v>277.647</v>
      </c>
      <c r="Z33" s="271">
        <f>IF(COUNT(Z29,Z30,Z31,Z32)=0,"",N(Z29)+N(Z30)+N(Z31)+N(Z32))</f>
        <v>282.72</v>
      </c>
      <c r="AA33" s="271">
        <f>IF(COUNT(AA29,AA30,AA31,AA32)=0,"",N(AA29)+N(AA30)+N(AA31)+N(AA32))</f>
        <v>301.626</v>
      </c>
      <c r="AB33" s="272">
        <f>IF(COUNT(AB29,AB30,AB31,AB32)=0,"",N(AB29)+N(AB30)+N(AB31)+N(AB32))</f>
        <v>301.626</v>
      </c>
      <c r="AC33" s="271" t="str">
        <f>IF(COUNT(AC29,AC30,AC31,AC32)=0,"",N(AC29)+N(AC30)+N(AC31)+N(AC32))</f>
        <v/>
      </c>
      <c r="AD33" s="271" t="str">
        <f>IF(COUNT(AD29,AD30,AD31,AD32)=0,"",N(AD29)+N(AD30)+N(AD31)+N(AD32))</f>
        <v/>
      </c>
      <c r="AE33" s="271" t="str">
        <f>IF(COUNT(AE29,AE30,AE31,AE32)=0,"",N(AE29)+N(AE30)+N(AE31)+N(AE32))</f>
        <v/>
      </c>
      <c r="AF33" s="271" t="str">
        <f>IF(COUNT(AF29,AF30,AF31,AF32)=0,"",N(AF29)+N(AF30)+N(AF31)+N(AF32))</f>
        <v/>
      </c>
      <c r="AG33" s="272" t="str">
        <f>IF(COUNT(AG29,AG30,AG31,AG32)=0,"",N(AG29)+N(AG30)+N(AG31)+N(AG32))</f>
        <v/>
      </c>
      <c r="AH33" s="272" t="str">
        <f>IF(COUNT(AH29,AH30,AH31,AH32)=0,"",N(AH29)+N(AH30)+N(AH31)+N(AH32))</f>
        <v/>
      </c>
      <c r="AI33" s="272" t="str">
        <f>IF(COUNT(AI29,AI30,AI31,AI32)=0,"",N(AI29)+N(AI30)+N(AI31)+N(AI32))</f>
        <v/>
      </c>
    </row>
    <row r="34"/>
    <row r="35">
      <c r="C35" s="12" t="inlineStr">
        <is>
          <t>Receita média por assinante - ARM (USD por mês)</t>
        </is>
      </c>
      <c r="D35" s="12" t="str">
        <f>D7</f>
        <v>1Q20</v>
      </c>
      <c r="E35" s="12" t="str">
        <f>E7</f>
        <v>2Q20</v>
      </c>
      <c r="F35" s="12" t="str">
        <f>F7</f>
        <v>3Q20</v>
      </c>
      <c r="G35" s="12" t="str">
        <f>G7</f>
        <v>4Q20</v>
      </c>
      <c r="H35" s="12">
        <f>H7</f>
        <v>2020</v>
      </c>
      <c r="I35" s="12" t="str">
        <f>I7</f>
        <v>1Q21</v>
      </c>
      <c r="J35" s="12" t="str">
        <f>J7</f>
        <v>2Q21</v>
      </c>
      <c r="K35" s="12" t="str">
        <f>K7</f>
        <v>3Q21</v>
      </c>
      <c r="L35" s="12" t="str">
        <f>L7</f>
        <v>4Q21</v>
      </c>
      <c r="M35" s="12">
        <f>M7</f>
        <v>2021</v>
      </c>
      <c r="N35" s="12" t="str">
        <f>N7</f>
        <v>1Q22</v>
      </c>
      <c r="O35" s="12" t="str">
        <f>O7</f>
        <v>2Q22</v>
      </c>
      <c r="P35" s="12" t="str">
        <f>P7</f>
        <v>3Q22</v>
      </c>
      <c r="Q35" s="12" t="str">
        <f>Q7</f>
        <v>4Q22</v>
      </c>
      <c r="R35" s="12">
        <f>R7</f>
        <v>2022</v>
      </c>
      <c r="S35" s="12" t="str">
        <f>S7</f>
        <v>1Q23</v>
      </c>
      <c r="T35" s="12" t="str">
        <f>T7</f>
        <v>2Q23</v>
      </c>
      <c r="U35" s="12" t="str">
        <f>U7</f>
        <v>3Q23</v>
      </c>
      <c r="V35" s="12" t="str">
        <f>V7</f>
        <v>4Q23</v>
      </c>
      <c r="W35" s="12">
        <f>W7</f>
        <v>2023</v>
      </c>
      <c r="X35" s="12" t="str">
        <f>X7</f>
        <v>1Q24</v>
      </c>
      <c r="Y35" s="12" t="str">
        <f>Y7</f>
        <v>2Q24</v>
      </c>
      <c r="Z35" s="12" t="str">
        <f>Z7</f>
        <v>3Q24</v>
      </c>
      <c r="AA35" s="12" t="str">
        <f>AA7</f>
        <v>4Q24</v>
      </c>
      <c r="AB35" s="12">
        <f>AB7</f>
        <v>2024</v>
      </c>
      <c r="AC35" s="12" t="str">
        <f>AC7</f>
        <v>1Q25</v>
      </c>
      <c r="AD35" s="12" t="str">
        <f>AD7</f>
        <v>2Q25</v>
      </c>
      <c r="AE35" s="12" t="str">
        <f>AE7</f>
        <v>3Q25</v>
      </c>
      <c r="AF35" s="12" t="str">
        <f>AF7</f>
        <v>4Q25</v>
      </c>
      <c r="AG35" s="12">
        <f>AG7</f>
        <v>2025</v>
      </c>
      <c r="AH35" s="12" t="str">
        <f>AH7</f>
        <v>1Q26</v>
      </c>
      <c r="AI35" s="12" t="str">
        <f>AI7</f>
        <v>2Q26</v>
      </c>
    </row>
    <row r="36">
      <c r="C36" s="14" t="inlineStr">
        <is>
          <t xml:space="preserve">   EUA e Canadá</t>
        </is>
      </c>
      <c r="D36" s="273" t="str">
        <f>""</f>
        <v/>
      </c>
      <c r="E36" s="273">
        <f>IF(COUNT(E29,D29)&lt;2,"",IFERROR(E19/AVERAGE(E29,D29)/3,""))</f>
        <v>13.2503225475306</v>
      </c>
      <c r="F36" s="273">
        <f>IF(COUNT(F29,E29)&lt;2,"",IFERROR(F19/AVERAGE(F29,E29)/3,""))</f>
        <v>13.3961023392814</v>
      </c>
      <c r="G36" s="273">
        <f>IF(COUNT(G29,F29)&lt;2,"",IFERROR(G19/AVERAGE(G29,F29)/3,""))</f>
        <v>13.5109318423493</v>
      </c>
      <c r="H36" s="274" t="n"/>
      <c r="I36" s="273">
        <f>IF(COUNT(I29,G29)&lt;2,"",IFERROR(I19/AVERAGE(I29,G29)/3,""))</f>
        <v>14.2528407047825</v>
      </c>
      <c r="J36" s="273">
        <f>IF(COUNT(J29,I29)&lt;2,"",IFERROR(J19/AVERAGE(J29,I29)/3,""))</f>
        <v>14.5375580049662</v>
      </c>
      <c r="K36" s="273">
        <f>IF(COUNT(K29,J29)&lt;2,"",IFERROR(K19/AVERAGE(K29,J29)/3,""))</f>
        <v>14.6767899983105</v>
      </c>
      <c r="L36" s="273">
        <f>IF(COUNT(L29,K29)&lt;2,"",IFERROR(L19/AVERAGE(L29,K29)/3,""))</f>
        <v>14.7807119229335</v>
      </c>
      <c r="M36" s="274" t="n"/>
      <c r="N36" s="273">
        <f>IF(COUNT(N29,L29)&lt;2,"",IFERROR(N19/AVERAGE(N29,L29)/3,""))</f>
        <v>14.9112514519941</v>
      </c>
      <c r="O36" s="273">
        <f>IF(COUNT(O29,N29)&lt;2,"",IFERROR(O19/AVERAGE(O29,N29)/3,""))</f>
        <v>15.9511932297232</v>
      </c>
      <c r="P36" s="273">
        <f>IF(COUNT(P29,O29)&lt;2,"",IFERROR(P19/AVERAGE(P29,O29)/3,""))</f>
        <v>16.3703779459558</v>
      </c>
      <c r="Q36" s="273">
        <f>IF(COUNT(Q29,P29)&lt;2,"",IFERROR(Q19/AVERAGE(Q29,P29)/3,""))</f>
        <v>16.2275098239698</v>
      </c>
      <c r="R36" s="274" t="n"/>
      <c r="S36" s="273">
        <f>IF(COUNT(S29,Q29)&lt;2,"",IFERROR(S19/AVERAGE(S29,Q29)/3,""))</f>
        <v>16.1792899063401</v>
      </c>
      <c r="T36" s="273">
        <f>IF(COUNT(T29,S29)&lt;2,"",IFERROR(T19/AVERAGE(T29,S29)/3,""))</f>
        <v>16.0008535097253</v>
      </c>
      <c r="U36" s="273">
        <f>IF(COUNT(U29,T29)&lt;2,"",IFERROR(U19/AVERAGE(U29,T29)/3,""))</f>
        <v>16.2865857380809</v>
      </c>
      <c r="V36" s="273">
        <f>IF(COUNT(V29,U29)&lt;2,"",IFERROR(V19/AVERAGE(V29,U29)/3,""))</f>
        <v>16.6426673610714</v>
      </c>
      <c r="W36" s="274" t="n"/>
      <c r="X36" s="273">
        <f>IF(COUNT(X29,V29)&lt;2,"",IFERROR(X19/AVERAGE(X29,V29)/3,""))</f>
        <v>17.3000749450198</v>
      </c>
      <c r="Y36" s="273">
        <f>IF(COUNT(Y29,X29)&lt;2,"",IFERROR(Y19/AVERAGE(Y29,X29)/3,""))</f>
        <v>17.1719025146862</v>
      </c>
      <c r="Z36" s="273">
        <f>IF(COUNT(Z29,Y29)&lt;2,"",IFERROR(Z19/AVERAGE(Z29,Y29)/3,""))</f>
        <v>17.0600707271637</v>
      </c>
      <c r="AA36" s="273">
        <f>IF(COUNT(AA29,Z29)&lt;2,"",IFERROR(AA19/AVERAGE(AA29,Z29)/3,""))</f>
        <v>17.2641166173627</v>
      </c>
      <c r="AB36" s="274" t="n"/>
      <c r="AC36" s="273" t="str">
        <f>IF(COUNT(AC29,AA29)&lt;2,"",IFERROR(AC19/AVERAGE(AC29,AA29)/3,""))</f>
        <v/>
      </c>
      <c r="AD36" s="273" t="str">
        <f>IF(COUNT(AD29,AC29)&lt;2,"",IFERROR(AD19/AVERAGE(AD29,AC29)/3,""))</f>
        <v/>
      </c>
      <c r="AE36" s="273" t="str">
        <f>IF(COUNT(AE29,AD29)&lt;2,"",IFERROR(AE19/AVERAGE(AE29,AD29)/3,""))</f>
        <v/>
      </c>
      <c r="AF36" s="273" t="str">
        <f>IF(COUNT(AF29,AE29)&lt;2,"",IFERROR(AF19/AVERAGE(AF29,AE29)/3,""))</f>
        <v/>
      </c>
      <c r="AG36" s="274" t="n"/>
      <c r="AH36" s="274" t="str">
        <f>IF(COUNT(AH29,AF29)&lt;2,"",IFERROR(AH19/AVERAGE(AH29,AF29)/3,""))</f>
        <v/>
      </c>
      <c r="AI36" s="274" t="str">
        <f>IF(COUNT(AI29,AH29)&lt;2,"",IFERROR(AI19/AVERAGE(AI29,AH29)/3,""))</f>
        <v/>
      </c>
    </row>
    <row r="37">
      <c r="C37" s="14" t="inlineStr">
        <is>
          <t xml:space="preserve">   EMEA</t>
        </is>
      </c>
      <c r="D37" s="273" t="str">
        <f>""</f>
        <v/>
      </c>
      <c r="E37" s="273">
        <f>IF(COUNT(E30,D30)&lt;2,"",IFERROR(E20/AVERAGE(E30,D30)/3,""))</f>
        <v>10.4951157767482</v>
      </c>
      <c r="F37" s="273">
        <f>IF(COUNT(F30,E30)&lt;2,"",IFERROR(F20/AVERAGE(F30,E30)/3,""))</f>
        <v>10.8794126759615</v>
      </c>
      <c r="G37" s="273">
        <f>IF(COUNT(G30,F30)&lt;2,"",IFERROR(G20/AVERAGE(G30,F30)/3,""))</f>
        <v>11.0498836668218</v>
      </c>
      <c r="H37" s="274" t="n"/>
      <c r="I37" s="273">
        <f>IF(COUNT(I30,G30)&lt;2,"",IFERROR(I20/AVERAGE(I30,G30)/3,""))</f>
        <v>11.556065066146</v>
      </c>
      <c r="J37" s="273">
        <f>IF(COUNT(J30,I30)&lt;2,"",IFERROR(J20/AVERAGE(J30,I30)/3,""))</f>
        <v>11.6637998892161</v>
      </c>
      <c r="K37" s="273">
        <f>IF(COUNT(K30,J30)&lt;2,"",IFERROR(K20/AVERAGE(K30,J30)/3,""))</f>
        <v>11.6489889556213</v>
      </c>
      <c r="L37" s="273">
        <f>IF(COUNT(L30,K30)&lt;2,"",IFERROR(L20/AVERAGE(L30,K30)/3,""))</f>
        <v>11.6392040737256</v>
      </c>
      <c r="M37" s="274" t="n"/>
      <c r="N37" s="273">
        <f>IF(COUNT(N30,L30)&lt;2,"",IFERROR(N20/AVERAGE(N30,L30)/3,""))</f>
        <v>11.5578188478865</v>
      </c>
      <c r="O37" s="273">
        <f>IF(COUNT(O30,N30)&lt;2,"",IFERROR(O20/AVERAGE(O30,N30)/3,""))</f>
        <v>11.1667882307764</v>
      </c>
      <c r="P37" s="273">
        <f>IF(COUNT(P30,O30)&lt;2,"",IFERROR(P20/AVERAGE(P30,O30)/3,""))</f>
        <v>10.8114402730375</v>
      </c>
      <c r="Q37" s="273">
        <f>IF(COUNT(Q30,P30)&lt;2,"",IFERROR(Q20/AVERAGE(Q30,P30)/3,""))</f>
        <v>10.4267628535745</v>
      </c>
      <c r="R37" s="274" t="n"/>
      <c r="S37" s="273">
        <f>IF(COUNT(S30,Q30)&lt;2,"",IFERROR(S20/AVERAGE(S30,Q30)/3,""))</f>
        <v>10.8916648280576</v>
      </c>
      <c r="T37" s="273">
        <f>IF(COUNT(T30,S30)&lt;2,"",IFERROR(T20/AVERAGE(T30,S30)/3,""))</f>
        <v>10.8672435000212</v>
      </c>
      <c r="U37" s="273">
        <f>IF(COUNT(U30,T30)&lt;2,"",IFERROR(U20/AVERAGE(U30,T30)/3,""))</f>
        <v>10.9767292098447</v>
      </c>
      <c r="V37" s="273">
        <f>IF(COUNT(V30,U30)&lt;2,"",IFERROR(V20/AVERAGE(V30,U30)/3,""))</f>
        <v>10.753053297252</v>
      </c>
      <c r="W37" s="274" t="n"/>
      <c r="X37" s="273">
        <f>IF(COUNT(X30,V30)&lt;2,"",IFERROR(X20/AVERAGE(X30,V30)/3,""))</f>
        <v>10.9233788629054</v>
      </c>
      <c r="Y37" s="273">
        <f>IF(COUNT(Y30,X30)&lt;2,"",IFERROR(Y20/AVERAGE(Y30,X30)/3,""))</f>
        <v>10.7983679155021</v>
      </c>
      <c r="Z37" s="273">
        <f>IF(COUNT(Z30,Y30)&lt;2,"",IFERROR(Z20/AVERAGE(Z30,Y30)/3,""))</f>
        <v>10.9891229823685</v>
      </c>
      <c r="AA37" s="273">
        <f>IF(COUNT(AA30,Z30)&lt;2,"",IFERROR(AA20/AVERAGE(AA30,Z30)/3,""))</f>
        <v>11.1106740206018</v>
      </c>
      <c r="AB37" s="274" t="n"/>
      <c r="AC37" s="273" t="str">
        <f>IF(COUNT(AC30,AA30)&lt;2,"",IFERROR(AC20/AVERAGE(AC30,AA30)/3,""))</f>
        <v/>
      </c>
      <c r="AD37" s="273" t="str">
        <f>IF(COUNT(AD30,AC30)&lt;2,"",IFERROR(AD20/AVERAGE(AD30,AC30)/3,""))</f>
        <v/>
      </c>
      <c r="AE37" s="273" t="str">
        <f>IF(COUNT(AE30,AD30)&lt;2,"",IFERROR(AE20/AVERAGE(AE30,AD30)/3,""))</f>
        <v/>
      </c>
      <c r="AF37" s="273" t="str">
        <f>IF(COUNT(AF30,AE30)&lt;2,"",IFERROR(AF20/AVERAGE(AF30,AE30)/3,""))</f>
        <v/>
      </c>
      <c r="AG37" s="274" t="n"/>
      <c r="AH37" s="274" t="str">
        <f>IF(COUNT(AH30,AF30)&lt;2,"",IFERROR(AH20/AVERAGE(AH30,AF30)/3,""))</f>
        <v/>
      </c>
      <c r="AI37" s="274" t="str">
        <f>IF(COUNT(AI30,AH30)&lt;2,"",IFERROR(AI20/AVERAGE(AI30,AH30)/3,""))</f>
        <v/>
      </c>
    </row>
    <row r="38">
      <c r="C38" s="14" t="inlineStr">
        <is>
          <t xml:space="preserve">   América Latina</t>
        </is>
      </c>
      <c r="D38" s="273" t="str">
        <f>""</f>
        <v/>
      </c>
      <c r="E38" s="273">
        <f>IF(COUNT(E31,D31)&lt;2,"",IFERROR(E21/AVERAGE(E31,D31)/3,""))</f>
        <v>7.43867625190616</v>
      </c>
      <c r="F38" s="273">
        <f>IF(COUNT(F31,E31)&lt;2,"",IFERROR(F21/AVERAGE(F31,E31)/3,""))</f>
        <v>7.2695325450326</v>
      </c>
      <c r="G38" s="273">
        <f>IF(COUNT(G31,F31)&lt;2,"",IFERROR(G21/AVERAGE(G31,F31)/3,""))</f>
        <v>7.11717054106136</v>
      </c>
      <c r="H38" s="274" t="n"/>
      <c r="I38" s="273">
        <f>IF(COUNT(I31,G31)&lt;2,"",IFERROR(I21/AVERAGE(I31,G31)/3,""))</f>
        <v>7.39436924694975</v>
      </c>
      <c r="J38" s="273">
        <f>IF(COUNT(J31,I31)&lt;2,"",IFERROR(J21/AVERAGE(J31,I31)/3,""))</f>
        <v>7.49714355383704</v>
      </c>
      <c r="K38" s="273">
        <f>IF(COUNT(K31,J31)&lt;2,"",IFERROR(K21/AVERAGE(K31,J31)/3,""))</f>
        <v>7.85871777039384</v>
      </c>
      <c r="L38" s="273">
        <f>IF(COUNT(L31,K31)&lt;2,"",IFERROR(L21/AVERAGE(L31,K31)/3,""))</f>
        <v>8.14154285255883</v>
      </c>
      <c r="M38" s="274" t="n"/>
      <c r="N38" s="273">
        <f>IF(COUNT(N31,L31)&lt;2,"",IFERROR(N21/AVERAGE(N31,L31)/3,""))</f>
        <v>8.36944783065857</v>
      </c>
      <c r="O38" s="273">
        <f>IF(COUNT(O31,N31)&lt;2,"",IFERROR(O21/AVERAGE(O31,N31)/3,""))</f>
        <v>8.66828213477379</v>
      </c>
      <c r="P38" s="273">
        <f>IF(COUNT(P31,O31)&lt;2,"",IFERROR(P21/AVERAGE(P31,O31)/3,""))</f>
        <v>8.58006535947712</v>
      </c>
      <c r="Q38" s="273">
        <f>IF(COUNT(Q31,P31)&lt;2,"",IFERROR(Q21/AVERAGE(Q31,P31)/3,""))</f>
        <v>8.30400359323003</v>
      </c>
      <c r="R38" s="274" t="n"/>
      <c r="S38" s="273">
        <f>IF(COUNT(S31,Q31)&lt;2,"",IFERROR(S21/AVERAGE(S31,Q31)/3,""))</f>
        <v>8.60130845027407</v>
      </c>
      <c r="T38" s="273">
        <f>IF(COUNT(T31,S31)&lt;2,"",IFERROR(T21/AVERAGE(T31,S31)/3,""))</f>
        <v>8.58018276294571</v>
      </c>
      <c r="U38" s="273">
        <f>IF(COUNT(U31,T31)&lt;2,"",IFERROR(U21/AVERAGE(U31,T31)/3,""))</f>
        <v>8.8475804484909</v>
      </c>
      <c r="V38" s="273">
        <f>IF(COUNT(V31,U31)&lt;2,"",IFERROR(V21/AVERAGE(V31,U31)/3,""))</f>
        <v>8.59733160795163</v>
      </c>
      <c r="W38" s="274" t="n"/>
      <c r="X38" s="273">
        <f>IF(COUNT(X31,V31)&lt;2,"",IFERROR(X21/AVERAGE(X31,V31)/3,""))</f>
        <v>8.28741850464697</v>
      </c>
      <c r="Y38" s="273">
        <f>IF(COUNT(Y31,X31)&lt;2,"",IFERROR(Y21/AVERAGE(Y31,X31)/3,""))</f>
        <v>8.27847100477811</v>
      </c>
      <c r="Z38" s="273">
        <f>IF(COUNT(Z31,Y31)&lt;2,"",IFERROR(Z21/AVERAGE(Z31,Y31)/3,""))</f>
        <v>8.40439423493715</v>
      </c>
      <c r="AA38" s="273">
        <f>IF(COUNT(AA31,Z31)&lt;2,"",IFERROR(AA21/AVERAGE(AA31,Z31)/3,""))</f>
        <v>7.99780832252127</v>
      </c>
      <c r="AB38" s="274" t="n"/>
      <c r="AC38" s="273" t="str">
        <f>IF(COUNT(AC31,AA31)&lt;2,"",IFERROR(AC21/AVERAGE(AC31,AA31)/3,""))</f>
        <v/>
      </c>
      <c r="AD38" s="273" t="str">
        <f>IF(COUNT(AD31,AC31)&lt;2,"",IFERROR(AD21/AVERAGE(AD31,AC31)/3,""))</f>
        <v/>
      </c>
      <c r="AE38" s="273" t="str">
        <f>IF(COUNT(AE31,AD31)&lt;2,"",IFERROR(AE21/AVERAGE(AE31,AD31)/3,""))</f>
        <v/>
      </c>
      <c r="AF38" s="273" t="str">
        <f>IF(COUNT(AF31,AE31)&lt;2,"",IFERROR(AF21/AVERAGE(AF31,AE31)/3,""))</f>
        <v/>
      </c>
      <c r="AG38" s="274" t="n"/>
      <c r="AH38" s="274" t="str">
        <f>IF(COUNT(AH31,AF31)&lt;2,"",IFERROR(AH21/AVERAGE(AH31,AF31)/3,""))</f>
        <v/>
      </c>
      <c r="AI38" s="274" t="str">
        <f>IF(COUNT(AI31,AH31)&lt;2,"",IFERROR(AI21/AVERAGE(AI31,AH31)/3,""))</f>
        <v/>
      </c>
    </row>
    <row r="39">
      <c r="C39" s="14" t="inlineStr">
        <is>
          <t xml:space="preserve">   Ásia-Pacífico</t>
        </is>
      </c>
      <c r="D39" s="273" t="str">
        <f>""</f>
        <v/>
      </c>
      <c r="E39" s="273">
        <f>IF(COUNT(E32,D32)&lt;2,"",IFERROR(E22/AVERAGE(E32,D32)/3,""))</f>
        <v>8.96417574282767</v>
      </c>
      <c r="F39" s="273">
        <f>IF(COUNT(F32,E32)&lt;2,"",IFERROR(F22/AVERAGE(F32,E32)/3,""))</f>
        <v>9.20211902484274</v>
      </c>
      <c r="G39" s="273">
        <f>IF(COUNT(G32,F32)&lt;2,"",IFERROR(G22/AVERAGE(G32,F32)/3,""))</f>
        <v>9.31516858519063</v>
      </c>
      <c r="H39" s="274" t="n"/>
      <c r="I39" s="273">
        <f>IF(COUNT(I32,G32)&lt;2,"",IFERROR(I22/AVERAGE(I32,G32)/3,""))</f>
        <v>9.71011557932945</v>
      </c>
      <c r="J39" s="273">
        <f>IF(COUNT(J32,I32)&lt;2,"",IFERROR(J22/AVERAGE(J32,I32)/3,""))</f>
        <v>9.73882960580812</v>
      </c>
      <c r="K39" s="273">
        <f>IF(COUNT(K32,J32)&lt;2,"",IFERROR(K22/AVERAGE(K32,J32)/3,""))</f>
        <v>9.59847621678233</v>
      </c>
      <c r="L39" s="273">
        <f>IF(COUNT(L32,K32)&lt;2,"",IFERROR(L22/AVERAGE(L32,K32)/3,""))</f>
        <v>9.26040553260055</v>
      </c>
      <c r="M39" s="274" t="n"/>
      <c r="N39" s="273">
        <f>IF(COUNT(N32,L32)&lt;2,"",IFERROR(N22/AVERAGE(N32,L32)/3,""))</f>
        <v>9.21115481806353</v>
      </c>
      <c r="O39" s="273">
        <f>IF(COUNT(O32,N32)&lt;2,"",IFERROR(O22/AVERAGE(O32,N32)/3,""))</f>
        <v>8.83192737674772</v>
      </c>
      <c r="P39" s="273">
        <f>IF(COUNT(P32,O32)&lt;2,"",IFERROR(P22/AVERAGE(P32,O32)/3,""))</f>
        <v>8.34459196268086</v>
      </c>
      <c r="Q39" s="273">
        <f>IF(COUNT(Q32,P32)&lt;2,"",IFERROR(Q22/AVERAGE(Q32,P32)/3,""))</f>
        <v>7.69202659447909</v>
      </c>
      <c r="R39" s="274" t="n"/>
      <c r="S39" s="273">
        <f>IF(COUNT(S32,Q32)&lt;2,"",IFERROR(S22/AVERAGE(S32,Q32)/3,""))</f>
        <v>8.03020176083749</v>
      </c>
      <c r="T39" s="273">
        <f>IF(COUNT(T32,S32)&lt;2,"",IFERROR(T22/AVERAGE(T32,S32)/3,""))</f>
        <v>7.65831084008131</v>
      </c>
      <c r="U39" s="273">
        <f>IF(COUNT(U32,T32)&lt;2,"",IFERROR(U22/AVERAGE(U32,T32)/3,""))</f>
        <v>7.61867113398334</v>
      </c>
      <c r="V39" s="273">
        <f>IF(COUNT(V32,U32)&lt;2,"",IFERROR(V22/AVERAGE(V32,U32)/3,""))</f>
        <v>7.31282401868626</v>
      </c>
      <c r="W39" s="274" t="n"/>
      <c r="X39" s="273">
        <f>IF(COUNT(X32,V32)&lt;2,"",IFERROR(X22/AVERAGE(X32,V32)/3,""))</f>
        <v>7.34597969831131</v>
      </c>
      <c r="Y39" s="273">
        <f>IF(COUNT(Y32,X32)&lt;2,"",IFERROR(Y22/AVERAGE(Y32,X32)/3,""))</f>
        <v>7.16856643392388</v>
      </c>
      <c r="Z39" s="273">
        <f>IF(COUNT(Z32,Y32)&lt;2,"",IFERROR(Z22/AVERAGE(Z32,Y32)/3,""))</f>
        <v>7.30522954557231</v>
      </c>
      <c r="AA39" s="273">
        <f>IF(COUNT(AA32,Z32)&lt;2,"",IFERROR(AA22/AVERAGE(AA32,Z32)/3,""))</f>
        <v>7.33651096282174</v>
      </c>
      <c r="AB39" s="274" t="n"/>
      <c r="AC39" s="273" t="str">
        <f>IF(COUNT(AC32,AA32)&lt;2,"",IFERROR(AC22/AVERAGE(AC32,AA32)/3,""))</f>
        <v/>
      </c>
      <c r="AD39" s="273" t="str">
        <f>IF(COUNT(AD32,AC32)&lt;2,"",IFERROR(AD22/AVERAGE(AD32,AC32)/3,""))</f>
        <v/>
      </c>
      <c r="AE39" s="273" t="str">
        <f>IF(COUNT(AE32,AD32)&lt;2,"",IFERROR(AE22/AVERAGE(AE32,AD32)/3,""))</f>
        <v/>
      </c>
      <c r="AF39" s="273" t="str">
        <f>IF(COUNT(AF32,AE32)&lt;2,"",IFERROR(AF22/AVERAGE(AF32,AE32)/3,""))</f>
        <v/>
      </c>
      <c r="AG39" s="274" t="n"/>
      <c r="AH39" s="274" t="str">
        <f>IF(COUNT(AH32,AF32)&lt;2,"",IFERROR(AH22/AVERAGE(AH32,AF32)/3,""))</f>
        <v/>
      </c>
      <c r="AI39" s="274" t="str">
        <f>IF(COUNT(AI32,AH32)&lt;2,"",IFERROR(AI22/AVERAGE(AI32,AH32)/3,""))</f>
        <v/>
      </c>
    </row>
    <row r="40"/>
    <row r="41"/>
    <row r="42"/>
    <row r="43"/>
    <row r="44"/>
    <row r="45"/>
    <row r="46" hidden="1" outlineLevel="1" customFormat="1" s="23">
      <c r="A46" s="18" t="n"/>
      <c r="B46" s="19" t="n"/>
      <c r="C46" s="20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</row>
    <row r="47" hidden="1" outlineLevel="1" customFormat="1" s="23">
      <c r="A47" s="18" t="n"/>
      <c r="B47" s="19" t="n"/>
      <c r="C47" s="20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</row>
    <row r="48" collapsed="1">
      <c r="C48" s="24" t="inlineStr">
        <is>
          <t>COGS (cash)</t>
        </is>
      </c>
      <c r="D48" s="25">
        <f>INDEX('Inputs (2)'!$D$5:$AL$5,MATCH(D$7,'Inputs (2)'!$D$2:$AL$2,0))</f>
        <v>-3599.701</v>
      </c>
      <c r="E48" s="25">
        <f>INDEX('Inputs (2)'!$D$5:$AL$5,MATCH(E$7,'Inputs (2)'!$D$2:$AL$2,0))</f>
        <v>-3643.707</v>
      </c>
      <c r="F48" s="25">
        <f>INDEX('Inputs (2)'!$D$5:$AL$5,MATCH(F$7,'Inputs (2)'!$D$2:$AL$2,0))</f>
        <v>-3867.751</v>
      </c>
      <c r="G48" s="25">
        <f>INDEX('Inputs (2)'!$D$5:$AL$5,MATCH(G$7,'Inputs (2)'!$D$2:$AL$2,0))</f>
        <v>-4165.16</v>
      </c>
      <c r="H48" s="3">
        <f>SUM(D48:G48)</f>
        <v>-15276.319</v>
      </c>
      <c r="I48" s="25">
        <f>INDEX('Inputs (2)'!$D$5:$AL$5,MATCH(I$7,'Inputs (2)'!$D$2:$AL$2,0))</f>
        <v>-3868.511</v>
      </c>
      <c r="J48" s="25">
        <f>INDEX('Inputs (2)'!$D$5:$AL$5,MATCH(J$7,'Inputs (2)'!$D$2:$AL$2,0))</f>
        <v>-4018.008</v>
      </c>
      <c r="K48" s="25">
        <f>INDEX('Inputs (2)'!$D$5:$AL$5,MATCH(K$7,'Inputs (2)'!$D$2:$AL$2,0))</f>
        <v>-4206.589</v>
      </c>
      <c r="L48" s="25">
        <f>INDEX('Inputs (2)'!$D$5:$AL$5,MATCH(L$7,'Inputs (2)'!$D$2:$AL$2,0))</f>
        <v>-5239.575</v>
      </c>
      <c r="M48" s="3">
        <f>SUM(I48:L48)</f>
        <v>-17332.683</v>
      </c>
      <c r="N48" s="25">
        <f>INDEX('Inputs (2)'!$D$5:$AL$5,MATCH(N$7,'Inputs (2)'!$D$2:$AL$2,0))</f>
        <v>-4284.705</v>
      </c>
      <c r="O48" s="25">
        <f>INDEX('Inputs (2)'!$D$5:$AL$5,MATCH(O$7,'Inputs (2)'!$D$2:$AL$2,0))</f>
        <v>-4690.755</v>
      </c>
      <c r="P48" s="25">
        <f>INDEX('Inputs (2)'!$D$5:$AL$5,MATCH(P$7,'Inputs (2)'!$D$2:$AL$2,0))</f>
        <v>-4788.665</v>
      </c>
      <c r="Q48" s="25">
        <f>INDEX('Inputs (2)'!$D$5:$AL$5,MATCH(Q$7,'Inputs (2)'!$D$2:$AL$2,0))</f>
        <v>-5404.16</v>
      </c>
      <c r="R48" s="3">
        <f>SUM(N48:Q48)</f>
        <v>-19168.285</v>
      </c>
      <c r="S48" s="25">
        <f>INDEX('Inputs (2)'!$D$5:$AL$5,MATCH(S$7,'Inputs (2)'!$D$2:$AL$2,0))</f>
        <v>-4803.625</v>
      </c>
      <c r="T48" s="25">
        <f>INDEX('Inputs (2)'!$D$5:$AL$5,MATCH(T$7,'Inputs (2)'!$D$2:$AL$2,0))</f>
        <v>-4673.47</v>
      </c>
      <c r="U48" s="25">
        <f>INDEX('Inputs (2)'!$D$5:$AL$5,MATCH(U$7,'Inputs (2)'!$D$2:$AL$2,0))</f>
        <v>-4930.788</v>
      </c>
      <c r="V48" s="25">
        <f>INDEX('Inputs (2)'!$D$5:$AL$5,MATCH(V$7,'Inputs (2)'!$D$2:$AL$2,0))</f>
        <v>-5307.485</v>
      </c>
      <c r="W48" s="3">
        <f>SUM(S48:V48)</f>
        <v>-19715.368</v>
      </c>
      <c r="X48" s="25">
        <f>INDEX('Inputs (2)'!$D$5:$AL$5,MATCH(X$7,'Inputs (2)'!$D$2:$AL$2,0))</f>
        <v>-4977.073</v>
      </c>
      <c r="Y48" s="25">
        <f>INDEX('Inputs (2)'!$D$5:$AL$5,MATCH(Y$7,'Inputs (2)'!$D$2:$AL$2,0))</f>
        <v>-5174.143</v>
      </c>
      <c r="Z48" s="25">
        <f>INDEX('Inputs (2)'!$D$5:$AL$5,MATCH(Z$7,'Inputs (2)'!$D$2:$AL$2,0))</f>
        <v>-5119.884</v>
      </c>
      <c r="AA48" s="25">
        <f>INDEX('Inputs (2)'!$D$5:$AL$5,MATCH(AA$7,'Inputs (2)'!$D$2:$AL$2,0))</f>
        <v>-5767.364</v>
      </c>
      <c r="AB48" s="3">
        <f>SUM(X48:AA48)</f>
        <v>-21038.464</v>
      </c>
      <c r="AC48" s="25">
        <f>INDEX('Inputs (2)'!$D$5:$AL$5,MATCH(AC$7,'Inputs (2)'!$D$2:$AL$2,0))</f>
        <v>-5263.147</v>
      </c>
      <c r="AD48" s="25">
        <f>INDEX('Inputs (2)'!$D$5:$AL$5,MATCH(AD$7,'Inputs (2)'!$D$2:$AL$2,0))</f>
        <v>-5325.311</v>
      </c>
      <c r="AE48" s="25">
        <f>INDEX('Inputs (2)'!$D$5:$AL$5,MATCH(AE$7,'Inputs (2)'!$D$2:$AL$2,0))</f>
        <v>-6164.25</v>
      </c>
      <c r="AF48" s="25">
        <f>INDEX('Inputs (2)'!$D$5:$AL$5,MATCH(AF$7,'Inputs (2)'!$D$2:$AL$2,0))</f>
        <v>-6522.621</v>
      </c>
      <c r="AG48" s="3">
        <f>SUM(AC48:AF48)</f>
        <v>-23275.329</v>
      </c>
      <c r="AH48" s="3">
        <f>INDEX('Inputs (2)'!$D$5:$AL$5,MATCH(AH$7,'Inputs (2)'!$D$2:$AL$2,0))</f>
        <v>-5888.238</v>
      </c>
      <c r="AI48" s="3">
        <f>INDEX('Inputs (2)'!$D$5:$AL$5,MATCH(AI$7,'Inputs (2)'!$D$2:$AL$2,0))</f>
        <v>-6036.965</v>
      </c>
      <c r="AJ48" s="3">
        <f>(100%-AJ49)*-AJ15</f>
        <v>-11510.307</v>
      </c>
      <c r="AK48" s="3">
        <f>(100%-AK49)*-AK15</f>
        <v>-12050.762</v>
      </c>
      <c r="AL48" s="3">
        <f>SUM(AH48:AK48)</f>
        <v>-35486.272</v>
      </c>
      <c r="AM48" s="3">
        <f>(100%-AM49)*-AM15</f>
        <v>-12249.757</v>
      </c>
      <c r="AN48" s="3">
        <f>(100%-AN49)*-AN15</f>
        <v>-12559.938</v>
      </c>
      <c r="AO48" s="3">
        <f>(100%-AO49)*-AO15</f>
        <v>-11510.307</v>
      </c>
      <c r="AP48" s="3">
        <f>(100%-AP49)*-AP15</f>
        <v>-12050.762</v>
      </c>
      <c r="AQ48" s="3">
        <f>SUM(AM48:AP48)</f>
        <v>-48370.764</v>
      </c>
      <c r="AR48" s="3">
        <f>(100%-AR49)*-AR15</f>
        <v>-12249.757</v>
      </c>
      <c r="AS48" s="3">
        <f>(100%-AS49)*-AS15</f>
        <v>-12559.938</v>
      </c>
      <c r="AT48" s="3">
        <f>(100%-AT49)*-AT15</f>
        <v>-11510.307</v>
      </c>
      <c r="AU48" s="3">
        <f>(100%-AU49)*-AU15</f>
        <v>-12050.762</v>
      </c>
      <c r="AV48" s="3">
        <f>SUM(AR48:AU48)</f>
        <v>-48370.764</v>
      </c>
      <c r="AW48" s="3">
        <f>(100%-AW49)*-AW15</f>
        <v>-12249.757</v>
      </c>
      <c r="AX48" s="3">
        <f>(100%-AX49)*-AX15</f>
        <v>-12559.938</v>
      </c>
      <c r="AY48" s="3">
        <f>(100%-AY49)*-AY15</f>
        <v>-11510.307</v>
      </c>
      <c r="AZ48" s="3">
        <f>(100%-AZ49)*-AZ15</f>
        <v>-12050.762</v>
      </c>
      <c r="BA48" s="3">
        <f>SUM(AW48:AZ48)</f>
        <v>-48370.764</v>
      </c>
      <c r="BB48" s="3">
        <f>(100%-BB49)*-BB15</f>
        <v>-12249.757</v>
      </c>
      <c r="BC48" s="3">
        <f>(100%-BC49)*-BC15</f>
        <v>-12559.938</v>
      </c>
      <c r="BD48" s="3">
        <f>(100%-BD49)*-BD15</f>
        <v>-11510.307</v>
      </c>
      <c r="BE48" s="3">
        <f>(100%-BE49)*-BE15</f>
        <v>-12050.762</v>
      </c>
      <c r="BF48" s="3">
        <f>SUM(BB48:BE48)</f>
        <v>-48370.764</v>
      </c>
      <c r="BG48" s="3">
        <f>(100%-BG49)*-BG15</f>
        <v>-12249.757</v>
      </c>
      <c r="BH48" s="3">
        <f>(100%-BH49)*-BH15</f>
        <v>-12559.938</v>
      </c>
      <c r="BI48" s="3">
        <f>(100%-BI49)*-BI15</f>
        <v>-11510.307</v>
      </c>
      <c r="BJ48" s="3">
        <f>(100%-BJ49)*-BJ15</f>
        <v>-12050.762</v>
      </c>
      <c r="BK48" s="3">
        <f>SUM(BG48:BJ48)</f>
        <v>-48370.764</v>
      </c>
      <c r="BL48" s="3">
        <f>(100%-BL49)*-BL15</f>
        <v>-12249.757</v>
      </c>
      <c r="BM48" s="3">
        <f>(100%-BM49)*-BM15</f>
        <v>-12559.938</v>
      </c>
      <c r="BN48" s="3">
        <f>(100%-BN49)*-BN15</f>
        <v>-11510.307</v>
      </c>
      <c r="BO48" s="3">
        <f>(100%-BO49)*-BO15</f>
        <v>-12050.762</v>
      </c>
      <c r="BP48" s="3">
        <f>SUM(BL48:BO48)</f>
        <v>-48370.764</v>
      </c>
      <c r="BQ48" s="3">
        <f>(100%-BQ49)*-BQ15</f>
        <v>-12249.757</v>
      </c>
      <c r="BR48" s="3">
        <f>(100%-BR49)*-BR15</f>
        <v>-12559.938</v>
      </c>
      <c r="BS48" s="3">
        <f>(100%-BS49)*-BS15</f>
        <v>-11510.307</v>
      </c>
      <c r="BT48" s="3">
        <f>(100%-BT49)*-BT15</f>
        <v>-12050.762</v>
      </c>
      <c r="BU48" s="3">
        <f>SUM(BQ48:BT48)</f>
        <v>-48370.764</v>
      </c>
      <c r="BV48" s="3">
        <f>(100%-BV49)*-BV15</f>
        <v>-12249.757</v>
      </c>
      <c r="BW48" s="3">
        <f>(100%-BW49)*-BW15</f>
        <v>-12559.938</v>
      </c>
      <c r="BX48" s="3">
        <f>(100%-BX49)*-BX15</f>
        <v>-11510.307</v>
      </c>
      <c r="BY48" s="3">
        <f>(100%-BY49)*-BY15</f>
        <v>-12050.762</v>
      </c>
      <c r="BZ48" s="3">
        <f>SUM(BV48:BY48)</f>
        <v>-48370.764</v>
      </c>
      <c r="CA48" s="3">
        <f>(100%-CA49)*-CA15</f>
        <v>-12249.757</v>
      </c>
      <c r="CB48" s="3">
        <f>(100%-CB49)*-CB15</f>
        <v>-12559.938</v>
      </c>
      <c r="CC48" s="3">
        <f>(100%-CC49)*-CC15</f>
        <v>-11510.307</v>
      </c>
      <c r="CD48" s="3">
        <f>(100%-CD49)*-CD15</f>
        <v>-12050.762</v>
      </c>
      <c r="CE48" s="3">
        <f>SUM(CA48:CD48)</f>
        <v>-48370.764</v>
      </c>
      <c r="CF48" s="3">
        <f>(100%-CF49)*-CF15</f>
        <v>-12249.757</v>
      </c>
      <c r="CG48" s="3">
        <f>(100%-CG49)*-CG15</f>
        <v>-12559.938</v>
      </c>
      <c r="CH48" s="3">
        <f>(100%-CH49)*-CH15</f>
        <v>-11510.307</v>
      </c>
      <c r="CI48" s="3">
        <f>(100%-CI49)*-CI15</f>
        <v>-12050.762</v>
      </c>
      <c r="CJ48" s="3">
        <f>SUM(CF48:CI48)</f>
        <v>-48370.764</v>
      </c>
      <c r="CK48" s="3">
        <f>(100%-CK49)*-CK15</f>
        <v>-12249.757</v>
      </c>
      <c r="CL48" s="3">
        <f>(100%-CL49)*-CL15</f>
        <v>-12559.938</v>
      </c>
      <c r="CM48" s="3">
        <f>(100%-CM49)*-CM15</f>
        <v>-11510.307</v>
      </c>
      <c r="CN48" s="3">
        <f>(100%-CN49)*-CN15</f>
        <v>-12050.762</v>
      </c>
      <c r="CO48" s="3">
        <f>SUM(CK48:CN48)</f>
        <v>-48370.764</v>
      </c>
      <c r="CP48" s="3">
        <f>(100%-CP49)*-CP15</f>
        <v>-12249.757</v>
      </c>
      <c r="CQ48" s="3">
        <f>(100%-CQ49)*-CQ15</f>
        <v>-12559.938</v>
      </c>
      <c r="CR48" s="3">
        <f>(100%-CR49)*-CR15</f>
        <v>-11510.307</v>
      </c>
      <c r="CS48" s="3">
        <f>(100%-CS49)*-CS15</f>
        <v>-12050.762</v>
      </c>
      <c r="CT48" s="3">
        <f>SUM(CP48:CS48)</f>
        <v>-48370.764</v>
      </c>
      <c r="CU48" s="3">
        <f>(100%-CU49)*-CU15</f>
        <v>-12249.757</v>
      </c>
      <c r="CV48" s="3">
        <f>(100%-CV49)*-CV15</f>
        <v>-12559.938</v>
      </c>
      <c r="CW48" s="3">
        <f>(100%-CW49)*-CW15</f>
        <v>-11510.307</v>
      </c>
      <c r="CX48" s="3">
        <f>(100%-CX49)*-CX15</f>
        <v>-12050.762</v>
      </c>
      <c r="CY48" s="3">
        <f>SUM(CU48:CX48)</f>
        <v>-48370.764</v>
      </c>
    </row>
    <row r="49" hidden="1" outlineLevel="1" customFormat="1" s="1">
      <c r="C49" s="57" t="inlineStr">
        <is>
          <t>% Gross Margin</t>
        </is>
      </c>
      <c r="D49" s="54">
        <f>(D15+D48)/D$15</f>
        <v>0.375885254601885</v>
      </c>
      <c r="E49" s="54">
        <f>(E15+E48)/E$15</f>
        <v>0.407362149386024</v>
      </c>
      <c r="F49" s="54">
        <f>(F15+F48)/F$15</f>
        <v>0.399010385452132</v>
      </c>
      <c r="G49" s="54">
        <f>(G15+G48)/G$15</f>
        <v>0.373136224230718</v>
      </c>
      <c r="H49" s="54">
        <f>(H15+H48)/H$15</f>
        <v>0.388850825106169</v>
      </c>
      <c r="I49" s="54">
        <f>(I15+I48)/I$15</f>
        <v>0.459952714412193</v>
      </c>
      <c r="J49" s="54">
        <f>(J15+J48)/J$15</f>
        <v>0.452719961393543</v>
      </c>
      <c r="K49" s="54">
        <f>(K15+K48)/K$15</f>
        <v>0.437882334484805</v>
      </c>
      <c r="L49" s="54">
        <f>(L15+L48)/L$15</f>
        <v>0.320358169166196</v>
      </c>
      <c r="M49" s="54">
        <f>(M15+M48)/M$15</f>
        <v>0.416365612264648</v>
      </c>
      <c r="N49" s="54">
        <f>(N15+N48)/N$15</f>
        <v>0.455410283502295</v>
      </c>
      <c r="O49" s="54">
        <f>(O15+O48)/O$15</f>
        <v>0.411458969170056</v>
      </c>
      <c r="P49" s="54">
        <f>(P15+P48)/P$15</f>
        <v>0.395796955910785</v>
      </c>
      <c r="Q49" s="54">
        <f>(Q15+Q48)/Q$15</f>
        <v>0.311751971108702</v>
      </c>
      <c r="R49" s="54">
        <f>(R15+R48)/R$15</f>
        <v>0.393707052384033</v>
      </c>
      <c r="S49" s="54">
        <f>(S15+S48)/S$15</f>
        <v>0.411428875294171</v>
      </c>
      <c r="T49" s="54">
        <f>(T15+T48)/T$15</f>
        <v>0.42918062985592</v>
      </c>
      <c r="U49" s="54">
        <f>(U15+U48)/U$15</f>
        <v>0.422737104743476</v>
      </c>
      <c r="V49" s="54">
        <f>(V15+V48)/V$15</f>
        <v>0.399118062454537</v>
      </c>
      <c r="W49" s="54">
        <f>(W15+W48)/W$15</f>
        <v>0.415378395534695</v>
      </c>
      <c r="X49" s="54">
        <f>(X15+X48)/X$15</f>
        <v>0.468853863852711</v>
      </c>
      <c r="Y49" s="54">
        <f>(Y15+Y48)/Y$15</f>
        <v>0.458732586347759</v>
      </c>
      <c r="Z49" s="54">
        <f>(Z15+Z48)/Z$15</f>
        <v>0.47887646069301</v>
      </c>
      <c r="AA49" s="54">
        <f>(AA15+AA48)/AA$15</f>
        <v>0.437138858848859</v>
      </c>
      <c r="AB49" s="54">
        <f>(AB15+AB48)/AB$15</f>
        <v>0.460565566504173</v>
      </c>
      <c r="AC49" s="54">
        <f>(AC15+AC48)/AC$15</f>
        <v>0.500782856472393</v>
      </c>
      <c r="AD49" s="54">
        <f>(AD15+AD48)/AD$15</f>
        <v>0.519340083901622</v>
      </c>
      <c r="AE49" s="54">
        <f>(AE15+AE48)/AE$15</f>
        <v>0.464458245987705</v>
      </c>
      <c r="AF49" s="44">
        <f>(AF15+AF48)/AF$15</f>
        <v>0.458737878982259</v>
      </c>
      <c r="AG49" s="54">
        <f>(AG15+AG48)/AG$15</f>
        <v>0.48486575802476</v>
      </c>
      <c r="AH49" s="55">
        <f>(AH15+AH48)/AH$15</f>
        <v>0.519317975042281</v>
      </c>
      <c r="AI49" s="55">
        <f>(AI15+AI48)/AI$15</f>
        <v>0.51934754773471</v>
      </c>
      <c r="AJ49" s="55" t="n"/>
      <c r="AK49" s="55" t="n"/>
      <c r="AL49" s="54">
        <f>(AL15+AL48)/AL$15</f>
        <v>0.266369412730384</v>
      </c>
      <c r="AM49" s="55" t="n"/>
      <c r="AN49" s="55" t="n"/>
      <c r="AO49" s="55" t="n"/>
      <c r="AP49" s="55" t="n"/>
      <c r="AQ49" s="54">
        <f>(AQ15+AQ48)/AQ$15</f>
        <v>0</v>
      </c>
      <c r="AR49" s="55" t="n"/>
      <c r="AS49" s="55" t="n"/>
      <c r="AT49" s="55" t="n"/>
      <c r="AU49" s="55" t="n"/>
      <c r="AV49" s="54">
        <f>(AV15+AV48)/AV$15</f>
        <v>0</v>
      </c>
      <c r="AW49" s="55" t="n"/>
      <c r="AX49" s="55" t="n"/>
      <c r="AY49" s="55" t="n"/>
      <c r="AZ49" s="55" t="n"/>
      <c r="BA49" s="54">
        <f>(BA15+BA48)/BA$15</f>
        <v>0</v>
      </c>
      <c r="BB49" s="55" t="n"/>
      <c r="BC49" s="55" t="n"/>
      <c r="BD49" s="55" t="n"/>
      <c r="BE49" s="55" t="n"/>
      <c r="BF49" s="54">
        <f>(BF15+BF48)/BF$15</f>
        <v>0</v>
      </c>
      <c r="BG49" s="55" t="n"/>
      <c r="BH49" s="55" t="n"/>
      <c r="BI49" s="55" t="n"/>
      <c r="BJ49" s="55" t="n"/>
      <c r="BK49" s="54">
        <f>(BK15+BK48)/BK$15</f>
        <v>0</v>
      </c>
      <c r="BL49" s="55" t="n"/>
      <c r="BM49" s="55" t="n"/>
      <c r="BN49" s="55" t="n"/>
      <c r="BO49" s="55" t="n"/>
      <c r="BP49" s="54">
        <f>(BP15+BP48)/BP$15</f>
        <v>0</v>
      </c>
      <c r="BQ49" s="55" t="n"/>
      <c r="BR49" s="55" t="n"/>
      <c r="BS49" s="55" t="n"/>
      <c r="BT49" s="55" t="n"/>
      <c r="BU49" s="54">
        <f>(BU15+BU48)/BU$15</f>
        <v>0</v>
      </c>
      <c r="BV49" s="55" t="n"/>
      <c r="BW49" s="55" t="n"/>
      <c r="BX49" s="55" t="n"/>
      <c r="BY49" s="55" t="n"/>
      <c r="BZ49" s="54">
        <f>(BZ15+BZ48)/BZ$15</f>
        <v>0</v>
      </c>
      <c r="CA49" s="55" t="n"/>
      <c r="CB49" s="55" t="n"/>
      <c r="CC49" s="55" t="n"/>
      <c r="CD49" s="55" t="n"/>
      <c r="CE49" s="54">
        <f>(CE15+CE48)/CE$15</f>
        <v>0</v>
      </c>
      <c r="CF49" s="55" t="n"/>
      <c r="CG49" s="55" t="n"/>
      <c r="CH49" s="55" t="n"/>
      <c r="CI49" s="55" t="n"/>
      <c r="CJ49" s="54">
        <f>(CJ15+CJ48)/CJ$15</f>
        <v>0</v>
      </c>
      <c r="CK49" s="55" t="n"/>
      <c r="CL49" s="55" t="n"/>
      <c r="CM49" s="55" t="n"/>
      <c r="CN49" s="55" t="n"/>
      <c r="CO49" s="54">
        <f>(CO15+CO48)/CO$15</f>
        <v>0</v>
      </c>
      <c r="CP49" s="55" t="n"/>
      <c r="CQ49" s="55" t="n"/>
      <c r="CR49" s="55" t="n"/>
      <c r="CS49" s="55" t="n"/>
      <c r="CT49" s="54">
        <f>(CT15+CT48)/CT$15</f>
        <v>0</v>
      </c>
      <c r="CU49" s="55" t="n"/>
      <c r="CV49" s="55" t="n"/>
      <c r="CW49" s="55" t="n"/>
      <c r="CX49" s="55" t="n"/>
      <c r="CY49" s="54">
        <f>(CY15+CY48)/CY$15</f>
        <v>0</v>
      </c>
    </row>
    <row r="50" hidden="1" outlineLevel="1"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  <c r="CO50" s="32" t="n"/>
      <c r="CP50" s="32" t="n"/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collapsed="1">
      <c r="C52" s="24" t="inlineStr">
        <is>
          <t>SG&amp;A and Other (cash)</t>
        </is>
      </c>
      <c r="D52" s="25">
        <f>INDEX('Inputs (2)'!$D$6:$AL$6,MATCH(D$7,'Inputs (2)'!$D$2:$AL$2,0))</f>
        <v>-1181.217</v>
      </c>
      <c r="E52" s="25">
        <f>INDEX('Inputs (2)'!$D$6:$AL$6,MATCH(E$7,'Inputs (2)'!$D$2:$AL$2,0))</f>
        <v>-1119.99</v>
      </c>
      <c r="F52" s="25">
        <f>INDEX('Inputs (2)'!$D$6:$AL$6,MATCH(F$7,'Inputs (2)'!$D$2:$AL$2,0))</f>
        <v>-1224.434</v>
      </c>
      <c r="G52" s="25">
        <f>INDEX('Inputs (2)'!$D$6:$AL$6,MATCH(G$7,'Inputs (2)'!$D$2:$AL$2,0))</f>
        <v>-1493.097</v>
      </c>
      <c r="H52" s="3">
        <f>SUM(D52:G52)</f>
        <v>-5018.738</v>
      </c>
      <c r="I52" s="25">
        <f>INDEX('Inputs (2)'!$D$6:$AL$6,MATCH(I$7,'Inputs (2)'!$D$2:$AL$2,0))</f>
        <v>-1299.174</v>
      </c>
      <c r="J52" s="25">
        <f>INDEX('Inputs (2)'!$D$6:$AL$6,MATCH(J$7,'Inputs (2)'!$D$2:$AL$2,0))</f>
        <v>-1437.705</v>
      </c>
      <c r="K52" s="25">
        <f>INDEX('Inputs (2)'!$D$6:$AL$6,MATCH(K$7,'Inputs (2)'!$D$2:$AL$2,0))</f>
        <v>-1451.372</v>
      </c>
      <c r="L52" s="25">
        <f>INDEX('Inputs (2)'!$D$6:$AL$6,MATCH(L$7,'Inputs (2)'!$D$2:$AL$2,0))</f>
        <v>-1773.989</v>
      </c>
      <c r="M52" s="3">
        <f>SUM(I52:L52)</f>
        <v>-5962.24</v>
      </c>
      <c r="N52" s="25">
        <f>INDEX('Inputs (2)'!$D$6:$AL$6,MATCH(N$7,'Inputs (2)'!$D$2:$AL$2,0))</f>
        <v>-1536.834</v>
      </c>
      <c r="O52" s="25">
        <f>INDEX('Inputs (2)'!$D$6:$AL$6,MATCH(O$7,'Inputs (2)'!$D$2:$AL$2,0))</f>
        <v>-1617.598</v>
      </c>
      <c r="P52" s="25">
        <f>INDEX('Inputs (2)'!$D$6:$AL$6,MATCH(P$7,'Inputs (2)'!$D$2:$AL$2,0))</f>
        <v>-1518.718</v>
      </c>
      <c r="Q52" s="25">
        <f>INDEX('Inputs (2)'!$D$6:$AL$6,MATCH(Q$7,'Inputs (2)'!$D$2:$AL$2,0))</f>
        <v>-1804.602</v>
      </c>
      <c r="R52" s="3">
        <f>SUM(N52:Q52)</f>
        <v>-6477.752</v>
      </c>
      <c r="S52" s="25">
        <f>INDEX('Inputs (2)'!$D$6:$AL$6,MATCH(S$7,'Inputs (2)'!$D$2:$AL$2,0))</f>
        <v>-1553.226</v>
      </c>
      <c r="T52" s="25">
        <f>INDEX('Inputs (2)'!$D$6:$AL$6,MATCH(T$7,'Inputs (2)'!$D$2:$AL$2,0))</f>
        <v>-1597.263</v>
      </c>
      <c r="U52" s="25">
        <f>INDEX('Inputs (2)'!$D$6:$AL$6,MATCH(U$7,'Inputs (2)'!$D$2:$AL$2,0))</f>
        <v>-1603.826</v>
      </c>
      <c r="V52" s="25">
        <f>INDEX('Inputs (2)'!$D$6:$AL$6,MATCH(V$7,'Inputs (2)'!$D$2:$AL$2,0))</f>
        <v>-1942.664</v>
      </c>
      <c r="W52" s="3">
        <f>SUM(S52:V52)</f>
        <v>-6696.979</v>
      </c>
      <c r="X52" s="25">
        <f>INDEX('Inputs (2)'!$D$6:$AL$6,MATCH(X$7,'Inputs (2)'!$D$2:$AL$2,0))</f>
        <v>-1673.599</v>
      </c>
      <c r="Y52" s="25">
        <f>INDEX('Inputs (2)'!$D$6:$AL$6,MATCH(Y$7,'Inputs (2)'!$D$2:$AL$2,0))</f>
        <v>-1701.103</v>
      </c>
      <c r="Z52" s="25">
        <f>INDEX('Inputs (2)'!$D$6:$AL$6,MATCH(Z$7,'Inputs (2)'!$D$2:$AL$2,0))</f>
        <v>-1714.428</v>
      </c>
      <c r="AA52" s="25">
        <f>INDEX('Inputs (2)'!$D$6:$AL$6,MATCH(AA$7,'Inputs (2)'!$D$2:$AL$2,0))</f>
        <v>-2126.844</v>
      </c>
      <c r="AB52" s="3">
        <f>SUM(X52:AA52)</f>
        <v>-7215.974</v>
      </c>
      <c r="AC52" s="25">
        <f>INDEX('Inputs (2)'!$D$6:$AL$6,MATCH(AC$7,'Inputs (2)'!$D$2:$AL$2,0))</f>
        <v>-1852.588</v>
      </c>
      <c r="AD52" s="25">
        <f>INDEX('Inputs (2)'!$D$6:$AL$6,MATCH(AD$7,'Inputs (2)'!$D$2:$AL$2,0))</f>
        <v>-1899.148</v>
      </c>
      <c r="AE52" s="25">
        <f>INDEX('Inputs (2)'!$D$6:$AL$6,MATCH(AE$7,'Inputs (2)'!$D$2:$AL$2,0))</f>
        <v>-2010.484</v>
      </c>
      <c r="AF52" s="25">
        <f>INDEX('Inputs (2)'!$D$6:$AL$6,MATCH(AF$7,'Inputs (2)'!$D$2:$AL$2,0))</f>
        <v>-2485.495</v>
      </c>
      <c r="AG52" s="3">
        <f>SUM(AC52:AF52)</f>
        <v>-8247.715</v>
      </c>
      <c r="AH52" s="3">
        <f>INDEX('Inputs (2)'!$D$6:$AL$6,MATCH(AH$7,'Inputs (2)'!$D$2:$AL$2,0))</f>
        <v>-2305.947</v>
      </c>
      <c r="AI52" s="3">
        <f>INDEX('Inputs (2)'!$D$6:$AL$6,MATCH(AI$7,'Inputs (2)'!$D$2:$AL$2,0))</f>
        <v>-2229.833</v>
      </c>
      <c r="AJ52" s="3">
        <f>-AJ15*AJ53</f>
        <v>0</v>
      </c>
      <c r="AK52" s="3">
        <f>-AK15*AK53</f>
        <v>0</v>
      </c>
      <c r="AL52" s="3">
        <f>SUM(AH52:AK52)</f>
        <v>-4535.78</v>
      </c>
      <c r="AM52" s="3">
        <f>-AM15*AM53</f>
        <v>0</v>
      </c>
      <c r="AN52" s="3">
        <f>-AN15*AN53</f>
        <v>0</v>
      </c>
      <c r="AO52" s="3">
        <f>-AO15*AO53</f>
        <v>0</v>
      </c>
      <c r="AP52" s="3">
        <f>-AP15*AP53</f>
        <v>0</v>
      </c>
      <c r="AQ52" s="3">
        <f>SUM(AM52:AP52)</f>
        <v>0</v>
      </c>
      <c r="AR52" s="3">
        <f>-AR15*AR53</f>
        <v>0</v>
      </c>
      <c r="AS52" s="3">
        <f>-AS15*AS53</f>
        <v>0</v>
      </c>
      <c r="AT52" s="3">
        <f>-AT15*AT53</f>
        <v>0</v>
      </c>
      <c r="AU52" s="3">
        <f>-AU15*AU53</f>
        <v>0</v>
      </c>
      <c r="AV52" s="3">
        <f>SUM(AR52:AU52)</f>
        <v>0</v>
      </c>
      <c r="AW52" s="3">
        <f>-AW15*AW53</f>
        <v>0</v>
      </c>
      <c r="AX52" s="3">
        <f>-AX15*AX53</f>
        <v>0</v>
      </c>
      <c r="AY52" s="3">
        <f>-AY15*AY53</f>
        <v>0</v>
      </c>
      <c r="AZ52" s="3">
        <f>-AZ15*AZ53</f>
        <v>0</v>
      </c>
      <c r="BA52" s="3">
        <f>SUM(AW52:AZ52)</f>
        <v>0</v>
      </c>
      <c r="BB52" s="3">
        <f>-BB15*BB53</f>
        <v>0</v>
      </c>
      <c r="BC52" s="3">
        <f>-BC15*BC53</f>
        <v>0</v>
      </c>
      <c r="BD52" s="3">
        <f>-BD15*BD53</f>
        <v>0</v>
      </c>
      <c r="BE52" s="3">
        <f>-BE15*BE53</f>
        <v>0</v>
      </c>
      <c r="BF52" s="3">
        <f>SUM(BB52:BE52)</f>
        <v>0</v>
      </c>
      <c r="BG52" s="3">
        <f>-BG15*BG53</f>
        <v>0</v>
      </c>
      <c r="BH52" s="3">
        <f>-BH15*BH53</f>
        <v>0</v>
      </c>
      <c r="BI52" s="3">
        <f>-BI15*BI53</f>
        <v>0</v>
      </c>
      <c r="BJ52" s="3">
        <f>-BJ15*BJ53</f>
        <v>0</v>
      </c>
      <c r="BK52" s="3">
        <f>SUM(BG52:BJ52)</f>
        <v>0</v>
      </c>
      <c r="BL52" s="3">
        <f>-BL15*BL53</f>
        <v>0</v>
      </c>
      <c r="BM52" s="3">
        <f>-BM15*BM53</f>
        <v>0</v>
      </c>
      <c r="BN52" s="3">
        <f>-BN15*BN53</f>
        <v>0</v>
      </c>
      <c r="BO52" s="3">
        <f>-BO15*BO53</f>
        <v>0</v>
      </c>
      <c r="BP52" s="3">
        <f>SUM(BL52:BO52)</f>
        <v>0</v>
      </c>
      <c r="BQ52" s="3">
        <f>-BQ15*BQ53</f>
        <v>0</v>
      </c>
      <c r="BR52" s="3">
        <f>-BR15*BR53</f>
        <v>0</v>
      </c>
      <c r="BS52" s="3">
        <f>-BS15*BS53</f>
        <v>0</v>
      </c>
      <c r="BT52" s="3">
        <f>-BT15*BT53</f>
        <v>0</v>
      </c>
      <c r="BU52" s="3">
        <f>SUM(BQ52:BT52)</f>
        <v>0</v>
      </c>
      <c r="BV52" s="3">
        <f>-BV15*BV53</f>
        <v>0</v>
      </c>
      <c r="BW52" s="3">
        <f>-BW15*BW53</f>
        <v>0</v>
      </c>
      <c r="BX52" s="3">
        <f>-BX15*BX53</f>
        <v>0</v>
      </c>
      <c r="BY52" s="3">
        <f>-BY15*BY53</f>
        <v>0</v>
      </c>
      <c r="BZ52" s="3">
        <f>SUM(BV52:BY52)</f>
        <v>0</v>
      </c>
      <c r="CA52" s="3">
        <f>-CA15*CA53</f>
        <v>0</v>
      </c>
      <c r="CB52" s="3">
        <f>-CB15*CB53</f>
        <v>0</v>
      </c>
      <c r="CC52" s="3">
        <f>-CC15*CC53</f>
        <v>0</v>
      </c>
      <c r="CD52" s="3">
        <f>-CD15*CD53</f>
        <v>0</v>
      </c>
      <c r="CE52" s="3">
        <f>SUM(CA52:CD52)</f>
        <v>0</v>
      </c>
      <c r="CF52" s="3">
        <f>-CF15*CF53</f>
        <v>0</v>
      </c>
      <c r="CG52" s="3">
        <f>-CG15*CG53</f>
        <v>0</v>
      </c>
      <c r="CH52" s="3">
        <f>-CH15*CH53</f>
        <v>0</v>
      </c>
      <c r="CI52" s="3">
        <f>-CI15*CI53</f>
        <v>0</v>
      </c>
      <c r="CJ52" s="3">
        <f>SUM(CF52:CI52)</f>
        <v>0</v>
      </c>
      <c r="CK52" s="3">
        <f>-CK15*CK53</f>
        <v>0</v>
      </c>
      <c r="CL52" s="3">
        <f>-CL15*CL53</f>
        <v>0</v>
      </c>
      <c r="CM52" s="3">
        <f>-CM15*CM53</f>
        <v>0</v>
      </c>
      <c r="CN52" s="3">
        <f>-CN15*CN53</f>
        <v>0</v>
      </c>
      <c r="CO52" s="3">
        <f>SUM(CK52:CN52)</f>
        <v>0</v>
      </c>
      <c r="CP52" s="3">
        <f>-CP15*CP53</f>
        <v>0</v>
      </c>
      <c r="CQ52" s="3">
        <f>-CQ15*CQ53</f>
        <v>0</v>
      </c>
      <c r="CR52" s="3">
        <f>-CR15*CR53</f>
        <v>0</v>
      </c>
      <c r="CS52" s="3">
        <f>-CS15*CS53</f>
        <v>0</v>
      </c>
      <c r="CT52" s="3">
        <f>SUM(CP52:CS52)</f>
        <v>0</v>
      </c>
      <c r="CU52" s="3">
        <f>-CU15*CU53</f>
        <v>0</v>
      </c>
      <c r="CV52" s="3">
        <f>-CV15*CV53</f>
        <v>0</v>
      </c>
      <c r="CW52" s="3">
        <f>-CW15*CW53</f>
        <v>0</v>
      </c>
      <c r="CX52" s="3">
        <f>-CX15*CX53</f>
        <v>0</v>
      </c>
      <c r="CY52" s="3">
        <f>SUM(CU52:CX52)</f>
        <v>0</v>
      </c>
    </row>
    <row r="53" hidden="1" outlineLevel="1">
      <c r="C53" s="33" t="inlineStr">
        <is>
          <t>% SG&amp;A and Other Margin</t>
        </is>
      </c>
      <c r="D53" s="56">
        <f>-(D52/D$15)</f>
        <v>0.204798939471619</v>
      </c>
      <c r="E53" s="56">
        <f>-(E52/E$15)</f>
        <v>0.18216296379186</v>
      </c>
      <c r="F53" s="56">
        <f>-(F52/F$15)</f>
        <v>0.190258400217414</v>
      </c>
      <c r="G53" s="56">
        <f>-(G52/G$15)</f>
        <v>0.22471367798831</v>
      </c>
      <c r="H53" s="56">
        <f>-(H52/H$15)</f>
        <v>0.200781195241361</v>
      </c>
      <c r="I53" s="56">
        <f>-(I52/I$15)</f>
        <v>0.181365748270137</v>
      </c>
      <c r="J53" s="56">
        <f>-(J52/J$15)</f>
        <v>0.195825206894734</v>
      </c>
      <c r="K53" s="56">
        <f>-(K52/K$15)</f>
        <v>0.193943796371388</v>
      </c>
      <c r="L53" s="56">
        <f>-(L52/L$15)</f>
        <v>0.230109719173603</v>
      </c>
      <c r="M53" s="56">
        <f>-(M52/M$15)</f>
        <v>0.200763395484197</v>
      </c>
      <c r="N53" s="56">
        <f>-(N52/N$15)</f>
        <v>0.195332932457202</v>
      </c>
      <c r="O53" s="56">
        <f>-(O52/O$15)</f>
        <v>0.202957262613045</v>
      </c>
      <c r="P53" s="56">
        <f>-(P52/P$15)</f>
        <v>0.191622099001096</v>
      </c>
      <c r="Q53" s="56">
        <f>-(Q52/Q$15)</f>
        <v>0.229825499140161</v>
      </c>
      <c r="R53" s="56">
        <f>-(R52/R$15)</f>
        <v>0.204891327210819</v>
      </c>
      <c r="S53" s="56">
        <f>-(S52/S$15)</f>
        <v>0.190311269872718</v>
      </c>
      <c r="T53" s="56">
        <f>-(T52/T$15)</f>
        <v>0.195090298988641</v>
      </c>
      <c r="U53" s="56">
        <f>-(U52/U$15)</f>
        <v>0.187764965812298</v>
      </c>
      <c r="V53" s="56">
        <f>-(V52/V$15)</f>
        <v>0.219936883160257</v>
      </c>
      <c r="W53" s="56">
        <f>-(W52/W$15)</f>
        <v>0.198586128752476</v>
      </c>
      <c r="X53" s="56">
        <f>-(X52/X$15)</f>
        <v>0.178604099700761</v>
      </c>
      <c r="Y53" s="56">
        <f>-(Y52/Y$15)</f>
        <v>0.1779524882026</v>
      </c>
      <c r="Z53" s="56">
        <f>-(Z52/Z$15)</f>
        <v>0.174501763564761</v>
      </c>
      <c r="AA53" s="56">
        <f>-(AA52/AA$15)</f>
        <v>0.20756758909104</v>
      </c>
      <c r="AB53" s="56">
        <f>-(AB52/AB$15)</f>
        <v>0.185020391546199</v>
      </c>
      <c r="AC53" s="56">
        <f>-(AC52/AC$15)</f>
        <v>0.175720664745545</v>
      </c>
      <c r="AD53" s="56">
        <f>-(AD52/AD$15)</f>
        <v>0.171416151721167</v>
      </c>
      <c r="AE53" s="56">
        <f>-(AE52/AE$15)</f>
        <v>0.174668147426476</v>
      </c>
      <c r="AF53" s="44">
        <f>-(AF52/AF$15)</f>
        <v>0.206252102564137</v>
      </c>
      <c r="AG53" s="56">
        <f>-(AG52/AG$15)</f>
        <v>0.182540079865373</v>
      </c>
      <c r="AH53" s="45">
        <f>-(AH52/AH$15)</f>
        <v>0.188244305580919</v>
      </c>
      <c r="AI53" s="45">
        <f>-(AI52/AI$15)</f>
        <v>0.177535350891063</v>
      </c>
      <c r="AJ53" s="45" t="n"/>
      <c r="AK53" s="45" t="n"/>
      <c r="AL53" s="56">
        <f>-(AL52/AL$15)</f>
        <v>0.0937711052072694</v>
      </c>
      <c r="AM53" s="45" t="n"/>
      <c r="AN53" s="45" t="n"/>
      <c r="AO53" s="45" t="n"/>
      <c r="AP53" s="45" t="n"/>
      <c r="AQ53" s="56">
        <f>-(AQ52/AQ$15)</f>
        <v>0</v>
      </c>
      <c r="AR53" s="45" t="n"/>
      <c r="AS53" s="45" t="n"/>
      <c r="AT53" s="45" t="n"/>
      <c r="AU53" s="45" t="n"/>
      <c r="AV53" s="56">
        <f>-(AV52/AV$15)</f>
        <v>0</v>
      </c>
      <c r="AW53" s="45" t="n"/>
      <c r="AX53" s="45" t="n"/>
      <c r="AY53" s="45" t="n"/>
      <c r="AZ53" s="45" t="n"/>
      <c r="BA53" s="56">
        <f>-(BA52/BA$15)</f>
        <v>0</v>
      </c>
      <c r="BB53" s="45" t="n"/>
      <c r="BC53" s="45" t="n"/>
      <c r="BD53" s="45" t="n"/>
      <c r="BE53" s="45" t="n"/>
      <c r="BF53" s="56">
        <f>-(BF52/BF$15)</f>
        <v>0</v>
      </c>
      <c r="BG53" s="45" t="n"/>
      <c r="BH53" s="45" t="n"/>
      <c r="BI53" s="45" t="n"/>
      <c r="BJ53" s="45" t="n"/>
      <c r="BK53" s="56">
        <f>-(BK52/BK$15)</f>
        <v>0</v>
      </c>
      <c r="BL53" s="45" t="n"/>
      <c r="BM53" s="45" t="n"/>
      <c r="BN53" s="45" t="n"/>
      <c r="BO53" s="45" t="n"/>
      <c r="BP53" s="56">
        <f>-(BP52/BP$15)</f>
        <v>0</v>
      </c>
      <c r="BQ53" s="45" t="n"/>
      <c r="BR53" s="45" t="n"/>
      <c r="BS53" s="45" t="n"/>
      <c r="BT53" s="45" t="n"/>
      <c r="BU53" s="56">
        <f>-(BU52/BU$15)</f>
        <v>0</v>
      </c>
      <c r="BV53" s="45" t="n"/>
      <c r="BW53" s="45" t="n"/>
      <c r="BX53" s="45" t="n"/>
      <c r="BY53" s="45" t="n"/>
      <c r="BZ53" s="56">
        <f>-(BZ52/BZ$15)</f>
        <v>0</v>
      </c>
      <c r="CA53" s="45" t="n"/>
      <c r="CB53" s="45" t="n"/>
      <c r="CC53" s="45" t="n"/>
      <c r="CD53" s="45" t="n"/>
      <c r="CE53" s="56">
        <f>-(CE52/CE$15)</f>
        <v>0</v>
      </c>
      <c r="CF53" s="45" t="n"/>
      <c r="CG53" s="45" t="n"/>
      <c r="CH53" s="45" t="n"/>
      <c r="CI53" s="45" t="n"/>
      <c r="CJ53" s="56">
        <f>-(CJ52/CJ$15)</f>
        <v>0</v>
      </c>
      <c r="CK53" s="45" t="n"/>
      <c r="CL53" s="45" t="n"/>
      <c r="CM53" s="45" t="n"/>
      <c r="CN53" s="45" t="n"/>
      <c r="CO53" s="56">
        <f>-(CO52/CO$15)</f>
        <v>0</v>
      </c>
      <c r="CP53" s="45" t="n"/>
      <c r="CQ53" s="45" t="n"/>
      <c r="CR53" s="45" t="n"/>
      <c r="CS53" s="45" t="n"/>
      <c r="CT53" s="56">
        <f>-(CT52/CT$15)</f>
        <v>0</v>
      </c>
      <c r="CU53" s="45" t="n"/>
      <c r="CV53" s="45" t="n"/>
      <c r="CW53" s="45" t="n"/>
      <c r="CX53" s="45" t="n"/>
      <c r="CY53" s="56">
        <f>-(CY52/CY$15)</f>
        <v>0</v>
      </c>
    </row>
    <row r="54" hidden="1" outlineLevel="1"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</row>
    <row r="55" hidden="1" outlineLevel="1">
      <c r="C55" s="32" t="inlineStr">
        <is>
          <t>Com Vendas</t>
        </is>
      </c>
      <c r="D55" s="6" t="n"/>
      <c r="E55" s="6" t="n"/>
      <c r="F55" s="6" t="n"/>
      <c r="G55" s="6" t="n"/>
      <c r="H55" s="32" t="n"/>
      <c r="I55" s="6" t="n"/>
      <c r="J55" s="6" t="n"/>
      <c r="K55" s="6" t="n"/>
      <c r="L55" s="6" t="n"/>
      <c r="M55" s="32" t="n"/>
      <c r="N55" s="6" t="n"/>
      <c r="O55" s="6" t="n"/>
      <c r="P55" s="6" t="n"/>
      <c r="Q55" s="6" t="n"/>
      <c r="R55" s="32" t="n"/>
      <c r="S55" s="6" t="n"/>
      <c r="T55" s="6" t="n"/>
      <c r="U55" s="6" t="n"/>
      <c r="V55" s="6" t="n"/>
      <c r="W55" s="32" t="n"/>
      <c r="X55" s="6" t="n"/>
      <c r="Y55" s="6" t="n"/>
      <c r="Z55" s="6" t="n"/>
      <c r="AA55" s="6" t="n"/>
      <c r="AB55" s="32" t="n"/>
      <c r="AC55" s="6" t="n"/>
      <c r="AD55" s="6" t="n"/>
      <c r="AE55" s="6" t="n"/>
      <c r="AF55" s="6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hidden="1" outlineLevel="1">
      <c r="C56" s="32" t="inlineStr">
        <is>
          <t>Gerais &amp; Administrativas</t>
        </is>
      </c>
      <c r="D56" s="6" t="n"/>
      <c r="E56" s="6" t="n"/>
      <c r="F56" s="6" t="n"/>
      <c r="G56" s="6" t="n"/>
      <c r="H56" s="32" t="n"/>
      <c r="I56" s="6" t="n"/>
      <c r="J56" s="6" t="n"/>
      <c r="K56" s="6" t="n"/>
      <c r="L56" s="6" t="n"/>
      <c r="M56" s="32" t="n"/>
      <c r="N56" s="6" t="n"/>
      <c r="O56" s="6" t="n"/>
      <c r="P56" s="6" t="n"/>
      <c r="Q56" s="6" t="n"/>
      <c r="R56" s="32" t="n"/>
      <c r="S56" s="6" t="n"/>
      <c r="T56" s="6" t="n"/>
      <c r="U56" s="6" t="n"/>
      <c r="V56" s="6" t="n"/>
      <c r="W56" s="32" t="n"/>
      <c r="X56" s="6" t="n"/>
      <c r="Y56" s="6" t="n"/>
      <c r="Z56" s="6" t="n"/>
      <c r="AA56" s="6" t="n"/>
      <c r="AB56" s="32" t="n"/>
      <c r="AC56" s="6" t="n"/>
      <c r="AD56" s="6" t="n"/>
      <c r="AE56" s="6" t="n"/>
      <c r="AF56" s="6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Outras Receitas (Despesas) Operacionais, Líquidas</t>
        </is>
      </c>
      <c r="D57" s="6" t="n"/>
      <c r="E57" s="6" t="n"/>
      <c r="F57" s="6" t="n"/>
      <c r="G57" s="6" t="n"/>
      <c r="H57" s="32" t="n"/>
      <c r="I57" s="6" t="n"/>
      <c r="J57" s="6" t="n"/>
      <c r="K57" s="6" t="n"/>
      <c r="L57" s="6" t="n"/>
      <c r="M57" s="32" t="n"/>
      <c r="N57" s="6" t="n"/>
      <c r="O57" s="6" t="n"/>
      <c r="P57" s="6" t="n"/>
      <c r="Q57" s="6" t="n"/>
      <c r="R57" s="32" t="n"/>
      <c r="S57" s="6" t="n"/>
      <c r="T57" s="6" t="n"/>
      <c r="U57" s="6" t="n"/>
      <c r="V57" s="6" t="n"/>
      <c r="W57" s="32" t="n"/>
      <c r="X57" s="6" t="n"/>
      <c r="Y57" s="6" t="n"/>
      <c r="Z57" s="6" t="n"/>
      <c r="AA57" s="6" t="n"/>
      <c r="AB57" s="32" t="n"/>
      <c r="AC57" s="6" t="n"/>
      <c r="AD57" s="6" t="n"/>
      <c r="AE57" s="6" t="n"/>
      <c r="AF57" s="6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inlineStr">
        <is>
          <t>Com Vendas (%)</t>
        </is>
      </c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hidden="1" outlineLevel="1">
      <c r="C60" s="32" t="inlineStr">
        <is>
          <t>Gerais &amp; Administrativas (%)</t>
        </is>
      </c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Outras Receitas (Despesas) Operacionais, Líquidas (%)</t>
        </is>
      </c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collapsed="1" customFormat="1" s="17">
      <c r="A63" s="13" t="n"/>
      <c r="B63" s="1" t="n"/>
      <c r="C63" s="14" t="inlineStr">
        <is>
          <t>EBITDA</t>
        </is>
      </c>
      <c r="D63" s="16">
        <f>SUM(D15,D48,D52)</f>
        <v>986.773</v>
      </c>
      <c r="E63" s="16">
        <f>SUM(E15,E48,E52)</f>
        <v>1384.589</v>
      </c>
      <c r="F63" s="16">
        <f>SUM(F15,F48,F52)</f>
        <v>1343.452</v>
      </c>
      <c r="G63" s="16">
        <f>SUM(G15,G48,G52)</f>
        <v>986.185</v>
      </c>
      <c r="H63" s="16">
        <f>SUM(D63:G63)</f>
        <v>4700.999</v>
      </c>
      <c r="I63" s="16">
        <f>SUM(I15,I48,I52)</f>
        <v>1995.597</v>
      </c>
      <c r="J63" s="16">
        <f>SUM(J15,J48,J52)</f>
        <v>1886.064</v>
      </c>
      <c r="K63" s="16">
        <f>SUM(K15,K48,K52)</f>
        <v>1825.506</v>
      </c>
      <c r="L63" s="16">
        <f>SUM(L15,L48,L52)</f>
        <v>695.754</v>
      </c>
      <c r="M63" s="16">
        <f>SUM(I63:L63)</f>
        <v>6402.921</v>
      </c>
      <c r="N63" s="16">
        <f>SUM(N15,N48,N52)</f>
        <v>2046.228</v>
      </c>
      <c r="O63" s="16">
        <f>SUM(O15,O48,O52)</f>
        <v>1661.788</v>
      </c>
      <c r="P63" s="16">
        <f>SUM(P15,P48,P52)</f>
        <v>1618.206</v>
      </c>
      <c r="Q63" s="16">
        <f>SUM(Q15,Q48,Q52)</f>
        <v>643.291</v>
      </c>
      <c r="R63" s="16">
        <f>SUM(N63:Q63)</f>
        <v>5969.513</v>
      </c>
      <c r="S63" s="16">
        <f>SUM(S15,S48,S52)</f>
        <v>1804.652</v>
      </c>
      <c r="T63" s="16">
        <f>SUM(T15,T48,T52)</f>
        <v>1916.568</v>
      </c>
      <c r="U63" s="16">
        <f>SUM(U15,U48,U52)</f>
        <v>2007.054</v>
      </c>
      <c r="V63" s="16">
        <f>SUM(V15,V48,V52)</f>
        <v>1582.676</v>
      </c>
      <c r="W63" s="16">
        <f>SUM(S63:V63)</f>
        <v>7310.95</v>
      </c>
      <c r="X63" s="16">
        <f>SUM(X15,X48,X52)</f>
        <v>2719.768</v>
      </c>
      <c r="Y63" s="16">
        <f>SUM(Y15,Y48,Y52)</f>
        <v>2684.064</v>
      </c>
      <c r="Z63" s="16">
        <f>SUM(Z15,Z48,Z52)</f>
        <v>2990.391</v>
      </c>
      <c r="AA63" s="16">
        <f>SUM(AA15,AA48,AA52)</f>
        <v>2352.305</v>
      </c>
      <c r="AB63" s="16">
        <f>SUM(X63:AA63)</f>
        <v>10746.528</v>
      </c>
      <c r="AC63" s="16">
        <f>SUM(AC15,AC48,AC52)</f>
        <v>3427.066</v>
      </c>
      <c r="AD63" s="16">
        <f>SUM(AD15,AD48,AD52)</f>
        <v>3854.707</v>
      </c>
      <c r="AE63" s="16">
        <f>SUM(AE15,AE48,AE52)</f>
        <v>3335.573</v>
      </c>
      <c r="AF63" s="16">
        <f>SUM(AF15,AF48,AF52)</f>
        <v>3042.646</v>
      </c>
      <c r="AG63" s="16">
        <f>SUM(AC63:AF63)</f>
        <v>13659.992</v>
      </c>
      <c r="AH63" s="16">
        <f>SUM(AH15,AH48,AH52)</f>
        <v>4055.572</v>
      </c>
      <c r="AI63" s="16">
        <f>SUM(AI15,AI48,AI52)</f>
        <v>4293.14</v>
      </c>
      <c r="AJ63" s="16">
        <f>SUM(AJ15,AJ48,AJ52)</f>
        <v>0</v>
      </c>
      <c r="AK63" s="16">
        <f>SUM(AK15,AK48,AK52)</f>
        <v>0</v>
      </c>
      <c r="AL63" s="16">
        <f>SUM(AH63:AK63)</f>
        <v>8348.712</v>
      </c>
      <c r="AM63" s="16">
        <f>SUM(AM15,AM48,AM52)</f>
        <v>0</v>
      </c>
      <c r="AN63" s="16">
        <f>SUM(AN15,AN48,AN52)</f>
        <v>0</v>
      </c>
      <c r="AO63" s="16">
        <f>SUM(AO15,AO48,AO52)</f>
        <v>0</v>
      </c>
      <c r="AP63" s="16">
        <f>SUM(AP15,AP48,AP52)</f>
        <v>0</v>
      </c>
      <c r="AQ63" s="16">
        <f>SUM(AM63:AP63)</f>
        <v>0</v>
      </c>
      <c r="AR63" s="16">
        <f>SUM(AR15,AR48,AR52)</f>
        <v>0</v>
      </c>
      <c r="AS63" s="16">
        <f>SUM(AS15,AS48,AS52)</f>
        <v>0</v>
      </c>
      <c r="AT63" s="16">
        <f>SUM(AT15,AT48,AT52)</f>
        <v>0</v>
      </c>
      <c r="AU63" s="16">
        <f>SUM(AU15,AU48,AU52)</f>
        <v>0</v>
      </c>
      <c r="AV63" s="16">
        <f>SUM(AR63:AU63)</f>
        <v>0</v>
      </c>
      <c r="AW63" s="16">
        <f>SUM(AW15,AW48,AW52)</f>
        <v>0</v>
      </c>
      <c r="AX63" s="16">
        <f>SUM(AX15,AX48,AX52)</f>
        <v>0</v>
      </c>
      <c r="AY63" s="16">
        <f>SUM(AY15,AY48,AY52)</f>
        <v>0</v>
      </c>
      <c r="AZ63" s="16">
        <f>SUM(AZ15,AZ48,AZ52)</f>
        <v>0</v>
      </c>
      <c r="BA63" s="16">
        <f>SUM(AW63:AZ63)</f>
        <v>0</v>
      </c>
      <c r="BB63" s="16">
        <f>SUM(BB15,BB48,BB52)</f>
        <v>0</v>
      </c>
      <c r="BC63" s="16">
        <f>SUM(BC15,BC48,BC52)</f>
        <v>0</v>
      </c>
      <c r="BD63" s="16">
        <f>SUM(BD15,BD48,BD52)</f>
        <v>0</v>
      </c>
      <c r="BE63" s="16">
        <f>SUM(BE15,BE48,BE52)</f>
        <v>0</v>
      </c>
      <c r="BF63" s="16">
        <f>SUM(BB63:BE63)</f>
        <v>0</v>
      </c>
      <c r="BG63" s="16">
        <f>SUM(BG15,BG48,BG52)</f>
        <v>0</v>
      </c>
      <c r="BH63" s="16">
        <f>SUM(BH15,BH48,BH52)</f>
        <v>0</v>
      </c>
      <c r="BI63" s="16">
        <f>SUM(BI15,BI48,BI52)</f>
        <v>0</v>
      </c>
      <c r="BJ63" s="16">
        <f>SUM(BJ15,BJ48,BJ52)</f>
        <v>0</v>
      </c>
      <c r="BK63" s="16">
        <f>SUM(BG63:BJ63)</f>
        <v>0</v>
      </c>
      <c r="BL63" s="16">
        <f>SUM(BL15,BL48,BL52)</f>
        <v>0</v>
      </c>
      <c r="BM63" s="16">
        <f>SUM(BM15,BM48,BM52)</f>
        <v>0</v>
      </c>
      <c r="BN63" s="16">
        <f>SUM(BN15,BN48,BN52)</f>
        <v>0</v>
      </c>
      <c r="BO63" s="16">
        <f>SUM(BO15,BO48,BO52)</f>
        <v>0</v>
      </c>
      <c r="BP63" s="16">
        <f>SUM(BL63:BO63)</f>
        <v>0</v>
      </c>
      <c r="BQ63" s="16">
        <f>SUM(BQ15,BQ48,BQ52)</f>
        <v>0</v>
      </c>
      <c r="BR63" s="16">
        <f>SUM(BR15,BR48,BR52)</f>
        <v>0</v>
      </c>
      <c r="BS63" s="16">
        <f>SUM(BS15,BS48,BS52)</f>
        <v>0</v>
      </c>
      <c r="BT63" s="16">
        <f>SUM(BT15,BT48,BT52)</f>
        <v>0</v>
      </c>
      <c r="BU63" s="16">
        <f>SUM(BQ63:BT63)</f>
        <v>0</v>
      </c>
      <c r="BV63" s="16">
        <f>SUM(BV15,BV48,BV52)</f>
        <v>0</v>
      </c>
      <c r="BW63" s="16">
        <f>SUM(BW15,BW48,BW52)</f>
        <v>0</v>
      </c>
      <c r="BX63" s="16">
        <f>SUM(BX15,BX48,BX52)</f>
        <v>0</v>
      </c>
      <c r="BY63" s="16">
        <f>SUM(BY15,BY48,BY52)</f>
        <v>0</v>
      </c>
      <c r="BZ63" s="16">
        <f>SUM(BV63:BY63)</f>
        <v>0</v>
      </c>
      <c r="CA63" s="16">
        <f>SUM(CA15,CA48,CA52)</f>
        <v>0</v>
      </c>
      <c r="CB63" s="16">
        <f>SUM(CB15,CB48,CB52)</f>
        <v>0</v>
      </c>
      <c r="CC63" s="16">
        <f>SUM(CC15,CC48,CC52)</f>
        <v>0</v>
      </c>
      <c r="CD63" s="16">
        <f>SUM(CD15,CD48,CD52)</f>
        <v>0</v>
      </c>
      <c r="CE63" s="16">
        <f>SUM(CA63:CD63)</f>
        <v>0</v>
      </c>
      <c r="CF63" s="16">
        <f>SUM(CF15,CF48,CF52)</f>
        <v>0</v>
      </c>
      <c r="CG63" s="16">
        <f>SUM(CG15,CG48,CG52)</f>
        <v>0</v>
      </c>
      <c r="CH63" s="16">
        <f>SUM(CH15,CH48,CH52)</f>
        <v>0</v>
      </c>
      <c r="CI63" s="16">
        <f>SUM(CI15,CI48,CI52)</f>
        <v>0</v>
      </c>
      <c r="CJ63" s="16">
        <f>SUM(CF63:CI63)</f>
        <v>0</v>
      </c>
      <c r="CK63" s="16">
        <f>SUM(CK15,CK48,CK52)</f>
        <v>0</v>
      </c>
      <c r="CL63" s="16">
        <f>SUM(CL15,CL48,CL52)</f>
        <v>0</v>
      </c>
      <c r="CM63" s="16">
        <f>SUM(CM15,CM48,CM52)</f>
        <v>0</v>
      </c>
      <c r="CN63" s="16">
        <f>SUM(CN15,CN48,CN52)</f>
        <v>0</v>
      </c>
      <c r="CO63" s="16">
        <f>SUM(CK63:CN63)</f>
        <v>0</v>
      </c>
      <c r="CP63" s="16">
        <f>SUM(CP15,CP48,CP52)</f>
        <v>0</v>
      </c>
      <c r="CQ63" s="16">
        <f>SUM(CQ15,CQ48,CQ52)</f>
        <v>0</v>
      </c>
      <c r="CR63" s="16">
        <f>SUM(CR15,CR48,CR52)</f>
        <v>0</v>
      </c>
      <c r="CS63" s="16">
        <f>SUM(CS15,CS48,CS52)</f>
        <v>0</v>
      </c>
      <c r="CT63" s="16">
        <f>SUM(CP63:CS63)</f>
        <v>0</v>
      </c>
      <c r="CU63" s="16">
        <f>SUM(CU15,CU48,CU52)</f>
        <v>0</v>
      </c>
      <c r="CV63" s="16">
        <f>SUM(CV15,CV48,CV52)</f>
        <v>0</v>
      </c>
      <c r="CW63" s="16">
        <f>SUM(CW15,CW48,CW52)</f>
        <v>0</v>
      </c>
      <c r="CX63" s="16">
        <f>SUM(CX15,CX48,CX52)</f>
        <v>0</v>
      </c>
      <c r="CY63" s="16">
        <f>SUM(CU63:CX63)</f>
        <v>0</v>
      </c>
    </row>
    <row r="64" ht="13.5" customHeight="1">
      <c r="C64" s="24" t="inlineStr">
        <is>
          <t>D&amp;A</t>
        </is>
      </c>
      <c r="D64" s="25">
        <f>INDEX('Inputs (2)'!$D$7:$AL$7,MATCH(D$7,'Inputs (2)'!$D$2:$AL$2,0))</f>
        <v>-28.517</v>
      </c>
      <c r="E64" s="25">
        <f>INDEX('Inputs (2)'!$D$7:$AL$7,MATCH(E$7,'Inputs (2)'!$D$2:$AL$2,0))</f>
        <v>-26.661</v>
      </c>
      <c r="F64" s="25">
        <f>INDEX('Inputs (2)'!$D$7:$AL$7,MATCH(F$7,'Inputs (2)'!$D$2:$AL$2,0))</f>
        <v>-28.589</v>
      </c>
      <c r="G64" s="25">
        <f>INDEX('Inputs (2)'!$D$7:$AL$7,MATCH(G$7,'Inputs (2)'!$D$2:$AL$2,0))</f>
        <v>-31.943</v>
      </c>
      <c r="H64" s="3">
        <f>SUM(D64:G64)</f>
        <v>-115.71</v>
      </c>
      <c r="I64" s="25">
        <f>INDEX('Inputs (2)'!$D$7:$AL$7,MATCH(I$7,'Inputs (2)'!$D$2:$AL$2,0))</f>
        <v>-35.741</v>
      </c>
      <c r="J64" s="25">
        <f>INDEX('Inputs (2)'!$D$7:$AL$7,MATCH(J$7,'Inputs (2)'!$D$2:$AL$2,0))</f>
        <v>-38.434</v>
      </c>
      <c r="K64" s="25">
        <f>INDEX('Inputs (2)'!$D$7:$AL$7,MATCH(K$7,'Inputs (2)'!$D$2:$AL$2,0))</f>
        <v>-70.253</v>
      </c>
      <c r="L64" s="25">
        <f>INDEX('Inputs (2)'!$D$7:$AL$7,MATCH(L$7,'Inputs (2)'!$D$2:$AL$2,0))</f>
        <v>-63.984</v>
      </c>
      <c r="M64" s="3">
        <f>SUM(I64:L64)</f>
        <v>-208.412</v>
      </c>
      <c r="N64" s="25">
        <f>INDEX('Inputs (2)'!$D$7:$AL$7,MATCH(N$7,'Inputs (2)'!$D$2:$AL$2,0))</f>
        <v>-74.602</v>
      </c>
      <c r="O64" s="25">
        <f>INDEX('Inputs (2)'!$D$7:$AL$7,MATCH(O$7,'Inputs (2)'!$D$2:$AL$2,0))</f>
        <v>-83.505</v>
      </c>
      <c r="P64" s="25">
        <f>INDEX('Inputs (2)'!$D$7:$AL$7,MATCH(P$7,'Inputs (2)'!$D$2:$AL$2,0))</f>
        <v>-85.188</v>
      </c>
      <c r="Q64" s="25">
        <f>INDEX('Inputs (2)'!$D$7:$AL$7,MATCH(Q$7,'Inputs (2)'!$D$2:$AL$2,0))</f>
        <v>-93.387</v>
      </c>
      <c r="R64" s="3">
        <f>SUM(N64:Q64)</f>
        <v>-336.682</v>
      </c>
      <c r="S64" s="25">
        <f>INDEX('Inputs (2)'!$D$7:$AL$7,MATCH(S$7,'Inputs (2)'!$D$2:$AL$2,0))</f>
        <v>-90.335</v>
      </c>
      <c r="T64" s="25">
        <f>INDEX('Inputs (2)'!$D$7:$AL$7,MATCH(T$7,'Inputs (2)'!$D$2:$AL$2,0))</f>
        <v>-89.385</v>
      </c>
      <c r="U64" s="25">
        <f>INDEX('Inputs (2)'!$D$7:$AL$7,MATCH(U$7,'Inputs (2)'!$D$2:$AL$2,0))</f>
        <v>-90.66</v>
      </c>
      <c r="V64" s="25">
        <f>INDEX('Inputs (2)'!$D$7:$AL$7,MATCH(V$7,'Inputs (2)'!$D$2:$AL$2,0))</f>
        <v>-86.567</v>
      </c>
      <c r="W64" s="3">
        <f>SUM(S64:V64)</f>
        <v>-356.947</v>
      </c>
      <c r="X64" s="25">
        <f>INDEX('Inputs (2)'!$D$7:$AL$7,MATCH(X$7,'Inputs (2)'!$D$2:$AL$2,0))</f>
        <v>-87.234</v>
      </c>
      <c r="Y64" s="25">
        <f>INDEX('Inputs (2)'!$D$7:$AL$7,MATCH(Y$7,'Inputs (2)'!$D$2:$AL$2,0))</f>
        <v>-81.227</v>
      </c>
      <c r="Z64" s="25">
        <f>INDEX('Inputs (2)'!$D$7:$AL$7,MATCH(Z$7,'Inputs (2)'!$D$2:$AL$2,0))</f>
        <v>-80.914</v>
      </c>
      <c r="AA64" s="25">
        <f>INDEX('Inputs (2)'!$D$7:$AL$7,MATCH(AA$7,'Inputs (2)'!$D$2:$AL$2,0))</f>
        <v>-79.539</v>
      </c>
      <c r="AB64" s="3">
        <f>SUM(X64:AA64)</f>
        <v>-328.914</v>
      </c>
      <c r="AC64" s="25">
        <f>INDEX('Inputs (2)'!$D$7:$AL$7,MATCH(AC$7,'Inputs (2)'!$D$2:$AL$2,0))</f>
        <v>-80.067</v>
      </c>
      <c r="AD64" s="25">
        <f>INDEX('Inputs (2)'!$D$7:$AL$7,MATCH(AD$7,'Inputs (2)'!$D$2:$AL$2,0))</f>
        <v>-80.013</v>
      </c>
      <c r="AE64" s="25">
        <f>INDEX('Inputs (2)'!$D$7:$AL$7,MATCH(AE$7,'Inputs (2)'!$D$2:$AL$2,0))</f>
        <v>-87.326</v>
      </c>
      <c r="AF64" s="25">
        <f>INDEX('Inputs (2)'!$D$7:$AL$7,MATCH(AF$7,'Inputs (2)'!$D$2:$AL$2,0))</f>
        <v>-85.983</v>
      </c>
      <c r="AG64" s="3">
        <f>SUM(AC64:AF64)</f>
        <v>-333.389</v>
      </c>
      <c r="AH64" s="3">
        <f>INDEX('Inputs (2)'!$D$7:$AL$7,MATCH(AH$7,'Inputs (2)'!$D$2:$AL$2,0))</f>
        <v>-98.575</v>
      </c>
      <c r="AI64" s="3">
        <f>INDEX('Inputs (2)'!$D$7:$AL$7,MATCH(AI$7,'Inputs (2)'!$D$2:$AL$2,0))</f>
        <v>-100.53</v>
      </c>
      <c r="AJ64" s="3">
        <f>-AJ65*AJ15</f>
        <v>0</v>
      </c>
      <c r="AK64" s="3">
        <f>-AK65*AK15</f>
        <v>0</v>
      </c>
      <c r="AL64" s="3">
        <f>SUM(AH64:AK64)</f>
        <v>-199.105</v>
      </c>
      <c r="AM64" s="3">
        <f>-AM65*AM15</f>
        <v>0</v>
      </c>
      <c r="AN64" s="3">
        <f>-AN65*AN15</f>
        <v>0</v>
      </c>
      <c r="AO64" s="3">
        <f>-AO65*AO15</f>
        <v>0</v>
      </c>
      <c r="AP64" s="3">
        <f>-AP65*AP15</f>
        <v>0</v>
      </c>
      <c r="AQ64" s="3">
        <f>SUM(AM64:AP64)</f>
        <v>0</v>
      </c>
      <c r="AR64" s="3">
        <f>-AR65*AR15</f>
        <v>0</v>
      </c>
      <c r="AS64" s="3">
        <f>-AS65*AS15</f>
        <v>0</v>
      </c>
      <c r="AT64" s="3">
        <f>-AT65*AT15</f>
        <v>0</v>
      </c>
      <c r="AU64" s="3">
        <f>-AU65*AU15</f>
        <v>0</v>
      </c>
      <c r="AV64" s="3">
        <f>SUM(AR64:AU64)</f>
        <v>0</v>
      </c>
      <c r="AW64" s="3">
        <f>-AW65*AW15</f>
        <v>0</v>
      </c>
      <c r="AX64" s="3">
        <f>-AX65*AX15</f>
        <v>0</v>
      </c>
      <c r="AY64" s="3">
        <f>-AY65*AY15</f>
        <v>0</v>
      </c>
      <c r="AZ64" s="3">
        <f>-AZ65*AZ15</f>
        <v>0</v>
      </c>
      <c r="BA64" s="3">
        <f>SUM(AW64:AZ64)</f>
        <v>0</v>
      </c>
      <c r="BB64" s="3">
        <f>-BB65*BB15</f>
        <v>0</v>
      </c>
      <c r="BC64" s="3">
        <f>-BC65*BC15</f>
        <v>0</v>
      </c>
      <c r="BD64" s="3">
        <f>-BD65*BD15</f>
        <v>0</v>
      </c>
      <c r="BE64" s="3">
        <f>-BE65*BE15</f>
        <v>0</v>
      </c>
      <c r="BF64" s="3">
        <f>SUM(BB64:BE64)</f>
        <v>0</v>
      </c>
      <c r="BG64" s="3">
        <f>-BG65*BG15</f>
        <v>0</v>
      </c>
      <c r="BH64" s="3">
        <f>-BH65*BH15</f>
        <v>0</v>
      </c>
      <c r="BI64" s="3">
        <f>-BI65*BI15</f>
        <v>0</v>
      </c>
      <c r="BJ64" s="3">
        <f>-BJ65*BJ15</f>
        <v>0</v>
      </c>
      <c r="BK64" s="3">
        <f>SUM(BG64:BJ64)</f>
        <v>0</v>
      </c>
      <c r="BL64" s="3">
        <f>-BL65*BL15</f>
        <v>0</v>
      </c>
      <c r="BM64" s="3">
        <f>-BM65*BM15</f>
        <v>0</v>
      </c>
      <c r="BN64" s="3">
        <f>-BN65*BN15</f>
        <v>0</v>
      </c>
      <c r="BO64" s="3">
        <f>-BO65*BO15</f>
        <v>0</v>
      </c>
      <c r="BP64" s="3">
        <f>SUM(BL64:BO64)</f>
        <v>0</v>
      </c>
      <c r="BQ64" s="3">
        <f>-BQ65*BQ15</f>
        <v>0</v>
      </c>
      <c r="BR64" s="3">
        <f>-BR65*BR15</f>
        <v>0</v>
      </c>
      <c r="BS64" s="3">
        <f>-BS65*BS15</f>
        <v>0</v>
      </c>
      <c r="BT64" s="3">
        <f>-BT65*BT15</f>
        <v>0</v>
      </c>
      <c r="BU64" s="3">
        <f>SUM(BQ64:BT64)</f>
        <v>0</v>
      </c>
      <c r="BV64" s="3">
        <f>-BV65*BV15</f>
        <v>0</v>
      </c>
      <c r="BW64" s="3">
        <f>-BW65*BW15</f>
        <v>0</v>
      </c>
      <c r="BX64" s="3">
        <f>-BX65*BX15</f>
        <v>0</v>
      </c>
      <c r="BY64" s="3">
        <f>-BY65*BY15</f>
        <v>0</v>
      </c>
      <c r="BZ64" s="3">
        <f>SUM(BV64:BY64)</f>
        <v>0</v>
      </c>
      <c r="CA64" s="3">
        <f>-CA65*CA15</f>
        <v>0</v>
      </c>
      <c r="CB64" s="3">
        <f>-CB65*CB15</f>
        <v>0</v>
      </c>
      <c r="CC64" s="3">
        <f>-CC65*CC15</f>
        <v>0</v>
      </c>
      <c r="CD64" s="3">
        <f>-CD65*CD15</f>
        <v>0</v>
      </c>
      <c r="CE64" s="3">
        <f>SUM(CA64:CD64)</f>
        <v>0</v>
      </c>
      <c r="CF64" s="3">
        <f>-CF65*CF15</f>
        <v>0</v>
      </c>
      <c r="CG64" s="3">
        <f>-CG65*CG15</f>
        <v>0</v>
      </c>
      <c r="CH64" s="3">
        <f>-CH65*CH15</f>
        <v>0</v>
      </c>
      <c r="CI64" s="3">
        <f>-CI65*CI15</f>
        <v>0</v>
      </c>
      <c r="CJ64" s="3">
        <f>SUM(CF64:CI64)</f>
        <v>0</v>
      </c>
      <c r="CK64" s="3">
        <f>-CK65*CK15</f>
        <v>0</v>
      </c>
      <c r="CL64" s="3">
        <f>-CL65*CL15</f>
        <v>0</v>
      </c>
      <c r="CM64" s="3">
        <f>-CM65*CM15</f>
        <v>0</v>
      </c>
      <c r="CN64" s="3">
        <f>-CN65*CN15</f>
        <v>0</v>
      </c>
      <c r="CO64" s="3">
        <f>SUM(CK64:CN64)</f>
        <v>0</v>
      </c>
      <c r="CP64" s="3">
        <f>-CP65*CP15</f>
        <v>0</v>
      </c>
      <c r="CQ64" s="3">
        <f>-CQ65*CQ15</f>
        <v>0</v>
      </c>
      <c r="CR64" s="3">
        <f>-CR65*CR15</f>
        <v>0</v>
      </c>
      <c r="CS64" s="3">
        <f>-CS65*CS15</f>
        <v>0</v>
      </c>
      <c r="CT64" s="3">
        <f>SUM(CP64:CS64)</f>
        <v>0</v>
      </c>
      <c r="CU64" s="3">
        <f>-CU65*CU15</f>
        <v>0</v>
      </c>
      <c r="CV64" s="3">
        <f>-CV65*CV15</f>
        <v>0</v>
      </c>
      <c r="CW64" s="3">
        <f>-CW65*CW15</f>
        <v>0</v>
      </c>
      <c r="CX64" s="3">
        <f>-CX65*CX15</f>
        <v>0</v>
      </c>
      <c r="CY64" s="3">
        <f>SUM(CU64:CX64)</f>
        <v>0</v>
      </c>
    </row>
    <row r="65" hidden="1" outlineLevel="1" customFormat="1" s="247">
      <c r="A65" s="48" t="n"/>
      <c r="B65" s="48" t="n"/>
      <c r="C65" s="246" t="inlineStr">
        <is>
          <t>% of Revenue</t>
        </is>
      </c>
      <c r="D65" s="48">
        <f>-D64/D15</f>
        <v>0.00494426625836925</v>
      </c>
      <c r="E65" s="48">
        <f>-E64/E15</f>
        <v>0.00433633048299965</v>
      </c>
      <c r="F65" s="48">
        <f>-F64/F15</f>
        <v>0.00444229530037198</v>
      </c>
      <c r="G65" s="48">
        <f>-G64/G15</f>
        <v>0.00480747668502487</v>
      </c>
      <c r="H65" s="48" t="n"/>
      <c r="I65" s="48">
        <f>-I64/I15</f>
        <v>0.00498947270259638</v>
      </c>
      <c r="J65" s="48">
        <f>-J64/J15</f>
        <v>0.00523497240518202</v>
      </c>
      <c r="K65" s="48">
        <f>-K64/K15</f>
        <v>0.00938776104711894</v>
      </c>
      <c r="L65" s="48">
        <f>-L64/L15</f>
        <v>0.00829956683587316</v>
      </c>
      <c r="M65" s="48" t="n"/>
      <c r="N65" s="48">
        <f>-N64/N15</f>
        <v>0.00948197881304823</v>
      </c>
      <c r="O65" s="48">
        <f>-O64/O15</f>
        <v>0.0104772299511389</v>
      </c>
      <c r="P65" s="48">
        <f>-P64/P15</f>
        <v>0.0107484756022549</v>
      </c>
      <c r="Q65" s="48">
        <f>-Q64/Q15</f>
        <v>0.0118933226762479</v>
      </c>
      <c r="R65" s="48" t="n"/>
      <c r="S65" s="48">
        <f>-S64/S15</f>
        <v>0.0110684269796874</v>
      </c>
      <c r="T65" s="48">
        <f>-T64/T15</f>
        <v>0.0109175172624043</v>
      </c>
      <c r="U65" s="48">
        <f>-U64/U15</f>
        <v>0.0106138520017402</v>
      </c>
      <c r="V65" s="48">
        <f>-V64/V15</f>
        <v>0.00980060173274122</v>
      </c>
      <c r="W65" s="48" t="n"/>
      <c r="X65" s="48">
        <f>-X64/X15</f>
        <v>0.00930948813502888</v>
      </c>
      <c r="Y65" s="48">
        <f>-Y64/Y15</f>
        <v>0.00849716140600106</v>
      </c>
      <c r="Z65" s="48">
        <f>-Z64/Z15</f>
        <v>0.00823577058767069</v>
      </c>
      <c r="AA65" s="48">
        <f>-AA64/AA15</f>
        <v>0.00776254321836121</v>
      </c>
      <c r="AB65" s="48" t="n"/>
      <c r="AC65" s="48">
        <f>-AC64/AC15</f>
        <v>0.0075944713364124</v>
      </c>
      <c r="AD65" s="48">
        <f>-AD64/AD15</f>
        <v>0.00722193349210581</v>
      </c>
      <c r="AE65" s="48">
        <f>-AE64/AE15</f>
        <v>0.00758676549635036</v>
      </c>
      <c r="AF65" s="218">
        <f>-AF64/AF15</f>
        <v>0.00713506747540114</v>
      </c>
      <c r="AG65" s="48" t="n"/>
      <c r="AH65" s="218">
        <f>-AH64/AH15</f>
        <v>0.00804709840366629</v>
      </c>
      <c r="AI65" s="218">
        <f>-AI64/AI15</f>
        <v>0.00800402040201154</v>
      </c>
      <c r="AJ65" s="218" t="n"/>
      <c r="AK65" s="218" t="n"/>
      <c r="AL65" s="48" t="n"/>
      <c r="AM65" s="218" t="n"/>
      <c r="AN65" s="218" t="n"/>
      <c r="AO65" s="218" t="n"/>
      <c r="AP65" s="218" t="n"/>
      <c r="AQ65" s="48" t="n"/>
      <c r="AR65" s="218" t="n"/>
      <c r="AS65" s="218" t="n"/>
      <c r="AT65" s="218" t="n"/>
      <c r="AU65" s="218" t="n"/>
      <c r="AV65" s="48" t="n"/>
      <c r="AW65" s="218" t="n"/>
      <c r="AX65" s="218" t="n"/>
      <c r="AY65" s="218" t="n"/>
      <c r="AZ65" s="218" t="n"/>
      <c r="BA65" s="48" t="n"/>
      <c r="BB65" s="218" t="n"/>
      <c r="BC65" s="218" t="n"/>
      <c r="BD65" s="218" t="n"/>
      <c r="BE65" s="218" t="n"/>
      <c r="BF65" s="48" t="n"/>
      <c r="BG65" s="218" t="n"/>
      <c r="BH65" s="218" t="n"/>
      <c r="BI65" s="218" t="n"/>
      <c r="BJ65" s="218" t="n"/>
      <c r="BK65" s="48" t="n"/>
      <c r="BL65" s="218" t="n"/>
      <c r="BM65" s="218" t="n"/>
      <c r="BN65" s="218" t="n"/>
      <c r="BO65" s="218" t="n"/>
      <c r="BP65" s="48" t="n"/>
      <c r="BQ65" s="218" t="n"/>
      <c r="BR65" s="218" t="n"/>
      <c r="BS65" s="218" t="n"/>
      <c r="BT65" s="218" t="n"/>
      <c r="BU65" s="48" t="n"/>
      <c r="BV65" s="218" t="n"/>
      <c r="BW65" s="218" t="n"/>
      <c r="BX65" s="218" t="n"/>
      <c r="BY65" s="218" t="n"/>
      <c r="BZ65" s="48" t="n"/>
      <c r="CA65" s="218" t="n"/>
      <c r="CB65" s="218" t="n"/>
      <c r="CC65" s="218" t="n"/>
      <c r="CD65" s="218" t="n"/>
      <c r="CE65" s="48" t="n"/>
      <c r="CF65" s="218" t="n"/>
      <c r="CG65" s="218" t="n"/>
      <c r="CH65" s="218" t="n"/>
      <c r="CI65" s="218" t="n"/>
      <c r="CJ65" s="48" t="n"/>
      <c r="CK65" s="218" t="n"/>
      <c r="CL65" s="218" t="n"/>
      <c r="CM65" s="218" t="n"/>
      <c r="CN65" s="218" t="n"/>
      <c r="CO65" s="48" t="n"/>
      <c r="CP65" s="218" t="n"/>
      <c r="CQ65" s="218" t="n"/>
      <c r="CR65" s="218" t="n"/>
      <c r="CS65" s="218" t="n"/>
      <c r="CT65" s="48" t="n"/>
      <c r="CU65" s="218" t="n"/>
      <c r="CV65" s="218" t="n"/>
      <c r="CW65" s="218" t="n"/>
      <c r="CX65" s="218" t="n"/>
      <c r="CY65" s="48" t="n"/>
    </row>
    <row r="66" hidden="1" outlineLevel="1">
      <c r="C66" s="32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collapsed="1" customFormat="1" s="17">
      <c r="A67" s="13" t="n"/>
      <c r="B67" s="1" t="n"/>
      <c r="C67" s="14" t="inlineStr">
        <is>
          <t>Operating Profit - EBIT</t>
        </is>
      </c>
      <c r="D67" s="16">
        <f>SUM(D63,D64)</f>
        <v>958.256</v>
      </c>
      <c r="E67" s="16">
        <f>SUM(E63,E64)</f>
        <v>1357.928</v>
      </c>
      <c r="F67" s="16">
        <f>SUM(F63,F64)</f>
        <v>1314.863</v>
      </c>
      <c r="G67" s="16">
        <f>SUM(G63,G64)</f>
        <v>954.242</v>
      </c>
      <c r="H67" s="16">
        <f>SUM(D67:G67)</f>
        <v>4585.289</v>
      </c>
      <c r="I67" s="16">
        <f>SUM(I63,I64)</f>
        <v>1959.856</v>
      </c>
      <c r="J67" s="16">
        <f>SUM(J63,J64)</f>
        <v>1847.63</v>
      </c>
      <c r="K67" s="16">
        <f>SUM(K63,K64)</f>
        <v>1755.253</v>
      </c>
      <c r="L67" s="16">
        <f>SUM(L63,L64)</f>
        <v>631.769999999999</v>
      </c>
      <c r="M67" s="16">
        <f>SUM(I67:L67)</f>
        <v>6194.509</v>
      </c>
      <c r="N67" s="16">
        <f>SUM(N63,N64)</f>
        <v>1971.626</v>
      </c>
      <c r="O67" s="16">
        <f>SUM(O63,O64)</f>
        <v>1578.283</v>
      </c>
      <c r="P67" s="16">
        <f>SUM(P63,P64)</f>
        <v>1533.018</v>
      </c>
      <c r="Q67" s="16">
        <f>SUM(Q63,Q64)</f>
        <v>549.904</v>
      </c>
      <c r="R67" s="16">
        <f>SUM(N67:Q67)</f>
        <v>5632.831</v>
      </c>
      <c r="S67" s="16">
        <f>SUM(S63,S64)</f>
        <v>1714.317</v>
      </c>
      <c r="T67" s="16">
        <f>SUM(T63,T64)</f>
        <v>1827.183</v>
      </c>
      <c r="U67" s="16">
        <f>SUM(U63,U64)</f>
        <v>1916.394</v>
      </c>
      <c r="V67" s="16">
        <f>SUM(V63,V64)</f>
        <v>1496.109</v>
      </c>
      <c r="W67" s="16">
        <f>SUM(S67:V67)</f>
        <v>6954.003</v>
      </c>
      <c r="X67" s="16">
        <f>SUM(X63,X64)</f>
        <v>2632.534</v>
      </c>
      <c r="Y67" s="16">
        <f>SUM(Y63,Y64)</f>
        <v>2602.837</v>
      </c>
      <c r="Z67" s="16">
        <f>SUM(Z63,Z64)</f>
        <v>2909.477</v>
      </c>
      <c r="AA67" s="16">
        <f>SUM(AA63,AA64)</f>
        <v>2272.766</v>
      </c>
      <c r="AB67" s="16">
        <f>SUM(X67:AA67)</f>
        <v>10417.614</v>
      </c>
      <c r="AC67" s="16">
        <f>SUM(AC63,AC64)</f>
        <v>3346.999</v>
      </c>
      <c r="AD67" s="16">
        <f>SUM(AD63,AD64)</f>
        <v>3774.694</v>
      </c>
      <c r="AE67" s="16">
        <f>SUM(AE63,AE64)</f>
        <v>3248.247</v>
      </c>
      <c r="AF67" s="16">
        <f>SUM(AF63,AF64)</f>
        <v>2956.663</v>
      </c>
      <c r="AG67" s="16">
        <f>SUM(AC67:AF67)</f>
        <v>13326.603</v>
      </c>
      <c r="AH67" s="16">
        <f>SUM(AH63,AH64)</f>
        <v>3956.997</v>
      </c>
      <c r="AI67" s="16">
        <f>SUM(AI63,AI64)</f>
        <v>4192.61</v>
      </c>
      <c r="AJ67" s="16">
        <f>SUM(AJ63,AJ64)</f>
        <v>0</v>
      </c>
      <c r="AK67" s="16">
        <f>SUM(AK63,AK64)</f>
        <v>0</v>
      </c>
      <c r="AL67" s="16">
        <f>SUM(AL63,AL64)</f>
        <v>8149.607</v>
      </c>
      <c r="AM67" s="16">
        <f>SUM(AM63,AM64)</f>
        <v>0</v>
      </c>
      <c r="AN67" s="16">
        <f>SUM(AN63,AN64)</f>
        <v>0</v>
      </c>
      <c r="AO67" s="16">
        <f>SUM(AO63,AO64)</f>
        <v>0</v>
      </c>
      <c r="AP67" s="16">
        <f>SUM(AP63,AP64)</f>
        <v>0</v>
      </c>
      <c r="AQ67" s="16">
        <f>SUM(AQ63,AQ64)</f>
        <v>0</v>
      </c>
      <c r="AR67" s="16">
        <f>SUM(AR63,AR64)</f>
        <v>0</v>
      </c>
      <c r="AS67" s="16">
        <f>SUM(AS63,AS64)</f>
        <v>0</v>
      </c>
      <c r="AT67" s="16">
        <f>SUM(AT63,AT64)</f>
        <v>0</v>
      </c>
      <c r="AU67" s="16">
        <f>SUM(AU63,AU64)</f>
        <v>0</v>
      </c>
      <c r="AV67" s="16">
        <f>SUM(AV63,AV64)</f>
        <v>0</v>
      </c>
      <c r="AW67" s="16">
        <f>SUM(AW63,AW64)</f>
        <v>0</v>
      </c>
      <c r="AX67" s="16">
        <f>SUM(AX63,AX64)</f>
        <v>0</v>
      </c>
      <c r="AY67" s="16">
        <f>SUM(AY63,AY64)</f>
        <v>0</v>
      </c>
      <c r="AZ67" s="16">
        <f>SUM(AZ63,AZ64)</f>
        <v>0</v>
      </c>
      <c r="BA67" s="16">
        <f>SUM(BA63,BA64)</f>
        <v>0</v>
      </c>
      <c r="BB67" s="16">
        <f>SUM(BB63,BB64)</f>
        <v>0</v>
      </c>
      <c r="BC67" s="16">
        <f>SUM(BC63,BC64)</f>
        <v>0</v>
      </c>
      <c r="BD67" s="16">
        <f>SUM(BD63,BD64)</f>
        <v>0</v>
      </c>
      <c r="BE67" s="16">
        <f>SUM(BE63,BE64)</f>
        <v>0</v>
      </c>
      <c r="BF67" s="16">
        <f>SUM(BF63,BF64)</f>
        <v>0</v>
      </c>
      <c r="BG67" s="16">
        <f>SUM(BG63,BG64)</f>
        <v>0</v>
      </c>
      <c r="BH67" s="16">
        <f>SUM(BH63,BH64)</f>
        <v>0</v>
      </c>
      <c r="BI67" s="16">
        <f>SUM(BI63,BI64)</f>
        <v>0</v>
      </c>
      <c r="BJ67" s="16">
        <f>SUM(BJ63,BJ64)</f>
        <v>0</v>
      </c>
      <c r="BK67" s="16">
        <f>SUM(BK63,BK64)</f>
        <v>0</v>
      </c>
      <c r="BL67" s="16">
        <f>SUM(BL63,BL64)</f>
        <v>0</v>
      </c>
      <c r="BM67" s="16">
        <f>SUM(BM63,BM64)</f>
        <v>0</v>
      </c>
      <c r="BN67" s="16">
        <f>SUM(BN63,BN64)</f>
        <v>0</v>
      </c>
      <c r="BO67" s="16">
        <f>SUM(BO63,BO64)</f>
        <v>0</v>
      </c>
      <c r="BP67" s="16">
        <f>SUM(BP63,BP64)</f>
        <v>0</v>
      </c>
      <c r="BQ67" s="16">
        <f>SUM(BQ63,BQ64)</f>
        <v>0</v>
      </c>
      <c r="BR67" s="16">
        <f>SUM(BR63,BR64)</f>
        <v>0</v>
      </c>
      <c r="BS67" s="16">
        <f>SUM(BS63,BS64)</f>
        <v>0</v>
      </c>
      <c r="BT67" s="16">
        <f>SUM(BT63,BT64)</f>
        <v>0</v>
      </c>
      <c r="BU67" s="16">
        <f>SUM(BU63,BU64)</f>
        <v>0</v>
      </c>
      <c r="BV67" s="16">
        <f>SUM(BV63,BV64)</f>
        <v>0</v>
      </c>
      <c r="BW67" s="16">
        <f>SUM(BW63,BW64)</f>
        <v>0</v>
      </c>
      <c r="BX67" s="16">
        <f>SUM(BX63,BX64)</f>
        <v>0</v>
      </c>
      <c r="BY67" s="16">
        <f>SUM(BY63,BY64)</f>
        <v>0</v>
      </c>
      <c r="BZ67" s="16">
        <f>SUM(BZ63,BZ64)</f>
        <v>0</v>
      </c>
      <c r="CA67" s="16">
        <f>SUM(CA63,CA64)</f>
        <v>0</v>
      </c>
      <c r="CB67" s="16">
        <f>SUM(CB63,CB64)</f>
        <v>0</v>
      </c>
      <c r="CC67" s="16">
        <f>SUM(CC63,CC64)</f>
        <v>0</v>
      </c>
      <c r="CD67" s="16">
        <f>SUM(CD63,CD64)</f>
        <v>0</v>
      </c>
      <c r="CE67" s="16">
        <f>SUM(CE63,CE64)</f>
        <v>0</v>
      </c>
      <c r="CF67" s="16">
        <f>SUM(CF63,CF64)</f>
        <v>0</v>
      </c>
      <c r="CG67" s="16">
        <f>SUM(CG63,CG64)</f>
        <v>0</v>
      </c>
      <c r="CH67" s="16">
        <f>SUM(CH63,CH64)</f>
        <v>0</v>
      </c>
      <c r="CI67" s="16">
        <f>SUM(CI63,CI64)</f>
        <v>0</v>
      </c>
      <c r="CJ67" s="16">
        <f>SUM(CJ63,CJ64)</f>
        <v>0</v>
      </c>
      <c r="CK67" s="16">
        <f>SUM(CK63,CK64)</f>
        <v>0</v>
      </c>
      <c r="CL67" s="16">
        <f>SUM(CL63,CL64)</f>
        <v>0</v>
      </c>
      <c r="CM67" s="16">
        <f>SUM(CM63,CM64)</f>
        <v>0</v>
      </c>
      <c r="CN67" s="16">
        <f>SUM(CN63,CN64)</f>
        <v>0</v>
      </c>
      <c r="CO67" s="16">
        <f>SUM(CO63,CO64)</f>
        <v>0</v>
      </c>
      <c r="CP67" s="16">
        <f>SUM(CP63,CP64)</f>
        <v>0</v>
      </c>
      <c r="CQ67" s="16">
        <f>SUM(CQ63,CQ64)</f>
        <v>0</v>
      </c>
      <c r="CR67" s="16">
        <f>SUM(CR63,CR64)</f>
        <v>0</v>
      </c>
      <c r="CS67" s="16">
        <f>SUM(CS63,CS64)</f>
        <v>0</v>
      </c>
      <c r="CT67" s="16">
        <f>SUM(CT63,CT64)</f>
        <v>0</v>
      </c>
      <c r="CU67" s="16">
        <f>SUM(CU63,CU64)</f>
        <v>0</v>
      </c>
      <c r="CV67" s="16">
        <f>SUM(CV63,CV64)</f>
        <v>0</v>
      </c>
      <c r="CW67" s="16">
        <f>SUM(CW63,CW64)</f>
        <v>0</v>
      </c>
      <c r="CX67" s="16">
        <f>SUM(CX63,CX64)</f>
        <v>0</v>
      </c>
      <c r="CY67" s="16">
        <f>SUM(CY63,CY64)</f>
        <v>0</v>
      </c>
    </row>
    <row r="68">
      <c r="C68" s="26" t="inlineStr">
        <is>
          <t>Interest Expense</t>
        </is>
      </c>
      <c r="D68" s="25">
        <f>INDEX('Inputs (2)'!$D$8:$AL$8,MATCH(D$7,'Inputs (2)'!$D$2:$AL$2,0))</f>
        <v>-184.083</v>
      </c>
      <c r="E68" s="25">
        <f>INDEX('Inputs (2)'!$D$8:$AL$8,MATCH(E$7,'Inputs (2)'!$D$2:$AL$2,0))</f>
        <v>-189.151</v>
      </c>
      <c r="F68" s="25">
        <f>INDEX('Inputs (2)'!$D$8:$AL$8,MATCH(F$7,'Inputs (2)'!$D$2:$AL$2,0))</f>
        <v>-197.079</v>
      </c>
      <c r="G68" s="25">
        <f>INDEX('Inputs (2)'!$D$8:$AL$8,MATCH(G$7,'Inputs (2)'!$D$2:$AL$2,0))</f>
        <v>-197.186</v>
      </c>
      <c r="H68" s="3">
        <f>SUM(D68:G68)</f>
        <v>-767.499</v>
      </c>
      <c r="I68" s="25">
        <f>INDEX('Inputs (2)'!$D$8:$AL$8,MATCH(I$7,'Inputs (2)'!$D$2:$AL$2,0))</f>
        <v>-194.44</v>
      </c>
      <c r="J68" s="25">
        <f>INDEX('Inputs (2)'!$D$8:$AL$8,MATCH(J$7,'Inputs (2)'!$D$2:$AL$2,0))</f>
        <v>-191.322</v>
      </c>
      <c r="K68" s="25">
        <f>INDEX('Inputs (2)'!$D$8:$AL$8,MATCH(K$7,'Inputs (2)'!$D$2:$AL$2,0))</f>
        <v>-190.429</v>
      </c>
      <c r="L68" s="25">
        <f>INDEX('Inputs (2)'!$D$8:$AL$8,MATCH(L$7,'Inputs (2)'!$D$2:$AL$2,0))</f>
        <v>-189.429</v>
      </c>
      <c r="M68" s="3">
        <f>SUM(I68:L68)</f>
        <v>-765.62</v>
      </c>
      <c r="N68" s="25">
        <f>INDEX('Inputs (2)'!$D$8:$AL$8,MATCH(N$7,'Inputs (2)'!$D$2:$AL$2,0))</f>
        <v>-187.579</v>
      </c>
      <c r="O68" s="25">
        <f>INDEX('Inputs (2)'!$D$8:$AL$8,MATCH(O$7,'Inputs (2)'!$D$2:$AL$2,0))</f>
        <v>-175.455</v>
      </c>
      <c r="P68" s="25">
        <f>INDEX('Inputs (2)'!$D$8:$AL$8,MATCH(P$7,'Inputs (2)'!$D$2:$AL$2,0))</f>
        <v>-172.575</v>
      </c>
      <c r="Q68" s="25">
        <f>INDEX('Inputs (2)'!$D$8:$AL$8,MATCH(Q$7,'Inputs (2)'!$D$2:$AL$2,0))</f>
        <v>-170.603</v>
      </c>
      <c r="R68" s="3">
        <f>SUM(N68:Q68)</f>
        <v>-706.212</v>
      </c>
      <c r="S68" s="25">
        <f>INDEX('Inputs (2)'!$D$8:$AL$8,MATCH(S$7,'Inputs (2)'!$D$2:$AL$2,0))</f>
        <v>-174.239</v>
      </c>
      <c r="T68" s="25">
        <f>INDEX('Inputs (2)'!$D$8:$AL$8,MATCH(T$7,'Inputs (2)'!$D$2:$AL$2,0))</f>
        <v>-174.812</v>
      </c>
      <c r="U68" s="25">
        <f>INDEX('Inputs (2)'!$D$8:$AL$8,MATCH(U$7,'Inputs (2)'!$D$2:$AL$2,0))</f>
        <v>-175.563</v>
      </c>
      <c r="V68" s="25">
        <f>INDEX('Inputs (2)'!$D$8:$AL$8,MATCH(V$7,'Inputs (2)'!$D$2:$AL$2,0))</f>
        <v>-175.212</v>
      </c>
      <c r="W68" s="3">
        <f>SUM(S68:V68)</f>
        <v>-699.826</v>
      </c>
      <c r="X68" s="25">
        <f>INDEX('Inputs (2)'!$D$8:$AL$8,MATCH(X$7,'Inputs (2)'!$D$2:$AL$2,0))</f>
        <v>-173.314</v>
      </c>
      <c r="Y68" s="25">
        <f>INDEX('Inputs (2)'!$D$8:$AL$8,MATCH(Y$7,'Inputs (2)'!$D$2:$AL$2,0))</f>
        <v>-167.986</v>
      </c>
      <c r="Z68" s="25">
        <f>INDEX('Inputs (2)'!$D$8:$AL$8,MATCH(Z$7,'Inputs (2)'!$D$2:$AL$2,0))</f>
        <v>-184.83</v>
      </c>
      <c r="AA68" s="25">
        <f>INDEX('Inputs (2)'!$D$8:$AL$8,MATCH(AA$7,'Inputs (2)'!$D$2:$AL$2,0))</f>
        <v>-192.603</v>
      </c>
      <c r="AB68" s="3">
        <f>SUM(X68:AA68)</f>
        <v>-718.733</v>
      </c>
      <c r="AC68" s="25">
        <f>INDEX('Inputs (2)'!$D$8:$AL$8,MATCH(AC$7,'Inputs (2)'!$D$2:$AL$2,0))</f>
        <v>-184.172</v>
      </c>
      <c r="AD68" s="25">
        <f>INDEX('Inputs (2)'!$D$8:$AL$8,MATCH(AD$7,'Inputs (2)'!$D$2:$AL$2,0))</f>
        <v>-182.649</v>
      </c>
      <c r="AE68" s="25">
        <f>INDEX('Inputs (2)'!$D$8:$AL$8,MATCH(AE$7,'Inputs (2)'!$D$2:$AL$2,0))</f>
        <v>-175.294</v>
      </c>
      <c r="AF68" s="25">
        <f>INDEX('Inputs (2)'!$D$8:$AL$8,MATCH(AF$7,'Inputs (2)'!$D$2:$AL$2,0))</f>
        <v>-234.395</v>
      </c>
      <c r="AG68" s="3">
        <f>SUM(AC68:AF68)</f>
        <v>-776.51</v>
      </c>
      <c r="AH68" s="3">
        <f>INDEX('Inputs (2)'!$D$8:$AL$8,MATCH(AH$7,'Inputs (2)'!$D$2:$AL$2,0))</f>
        <v>-262.077</v>
      </c>
      <c r="AI68" s="3">
        <f>INDEX('Inputs (2)'!$D$8:$AL$8,MATCH(AI$7,'Inputs (2)'!$D$2:$AL$2,0))</f>
        <v>-175.685</v>
      </c>
      <c r="AJ68" s="3" t="n"/>
      <c r="AK68" s="3" t="n"/>
      <c r="AL68" s="3">
        <f>SUM(AH68:AK68)</f>
        <v>-437.762</v>
      </c>
      <c r="AM68" s="3" t="n"/>
      <c r="AN68" s="3" t="n"/>
      <c r="AO68" s="3" t="n"/>
      <c r="AP68" s="3" t="n"/>
      <c r="AQ68" s="3">
        <f>SUM(AM68:AP68)</f>
        <v>0</v>
      </c>
      <c r="AR68" s="3" t="n"/>
      <c r="AS68" s="3" t="n"/>
      <c r="AT68" s="3" t="n"/>
      <c r="AU68" s="3" t="n"/>
      <c r="AV68" s="3">
        <f>SUM(AR68:AU68)</f>
        <v>0</v>
      </c>
      <c r="AW68" s="3" t="n"/>
      <c r="AX68" s="3" t="n"/>
      <c r="AY68" s="3" t="n"/>
      <c r="AZ68" s="3" t="n"/>
      <c r="BA68" s="3">
        <f>SUM(AW68:AZ68)</f>
        <v>0</v>
      </c>
      <c r="BB68" s="3" t="n"/>
      <c r="BC68" s="3" t="n"/>
      <c r="BD68" s="3" t="n"/>
      <c r="BE68" s="3" t="n"/>
      <c r="BF68" s="3">
        <f>SUM(BB68:BE68)</f>
        <v>0</v>
      </c>
      <c r="BG68" s="3" t="n"/>
      <c r="BH68" s="3" t="n"/>
      <c r="BI68" s="3" t="n"/>
      <c r="BJ68" s="3" t="n"/>
      <c r="BK68" s="3">
        <f>SUM(BG68:BJ68)</f>
        <v>0</v>
      </c>
      <c r="BL68" s="3" t="n"/>
      <c r="BM68" s="3" t="n"/>
      <c r="BN68" s="3" t="n"/>
      <c r="BO68" s="3" t="n"/>
      <c r="BP68" s="3">
        <f>SUM(BL68:BO68)</f>
        <v>0</v>
      </c>
      <c r="BQ68" s="3" t="n"/>
      <c r="BR68" s="3" t="n"/>
      <c r="BS68" s="3" t="n"/>
      <c r="BT68" s="3" t="n"/>
      <c r="BU68" s="3">
        <f>SUM(BQ68:BT68)</f>
        <v>0</v>
      </c>
      <c r="BV68" s="3" t="n"/>
      <c r="BW68" s="3" t="n"/>
      <c r="BX68" s="3" t="n"/>
      <c r="BY68" s="3" t="n"/>
      <c r="BZ68" s="3">
        <f>SUM(BV68:BY68)</f>
        <v>0</v>
      </c>
      <c r="CA68" s="3" t="n"/>
      <c r="CB68" s="3" t="n"/>
      <c r="CC68" s="3" t="n"/>
      <c r="CD68" s="3" t="n"/>
      <c r="CE68" s="3">
        <f>SUM(CA68:CD68)</f>
        <v>0</v>
      </c>
      <c r="CF68" s="3" t="n"/>
      <c r="CG68" s="3" t="n"/>
      <c r="CH68" s="3" t="n"/>
      <c r="CI68" s="3" t="n"/>
      <c r="CJ68" s="3">
        <f>SUM(CF68:CI68)</f>
        <v>0</v>
      </c>
      <c r="CK68" s="3" t="n"/>
      <c r="CL68" s="3" t="n"/>
      <c r="CM68" s="3" t="n"/>
      <c r="CN68" s="3" t="n"/>
      <c r="CO68" s="3">
        <f>SUM(CK68:CN68)</f>
        <v>0</v>
      </c>
      <c r="CP68" s="3" t="n"/>
      <c r="CQ68" s="3" t="n"/>
      <c r="CR68" s="3" t="n"/>
      <c r="CS68" s="3" t="n"/>
      <c r="CT68" s="3">
        <f>SUM(CP68:CS68)</f>
        <v>0</v>
      </c>
      <c r="CU68" s="3" t="n"/>
      <c r="CV68" s="3" t="n"/>
      <c r="CW68" s="3" t="n"/>
      <c r="CX68" s="3" t="n"/>
      <c r="CY68" s="3">
        <f>SUM(CU68:CX68)</f>
        <v>0</v>
      </c>
    </row>
    <row r="69" hidden="1" outlineLevel="1">
      <c r="C69" s="32" t="inlineStr">
        <is>
          <t>% of Debt</t>
        </is>
      </c>
      <c r="D69" s="48">
        <f>IFERROR(-D68/SUM(D206+D211),0)</f>
        <v>0.0125486886022912</v>
      </c>
      <c r="E69" s="48">
        <f>IFERROR(-E68/SUM(E206+E211),0)</f>
        <v>0.0119760096121611</v>
      </c>
      <c r="F69" s="48">
        <f>IFERROR(-F68/SUM(F206+F211),0)</f>
        <v>0.0122812592130943</v>
      </c>
      <c r="G69" s="48">
        <f>IFERROR(-G68/SUM(G206+G211),0)</f>
        <v>0.0120906448247845</v>
      </c>
      <c r="H69" s="3" t="n"/>
      <c r="I69" s="48">
        <f>IFERROR(-I68/SUM(I206+I211),0)</f>
        <v>0.0124966740234483</v>
      </c>
      <c r="J69" s="48">
        <f>IFERROR(-J68/SUM(J206+J211),0)</f>
        <v>0.0122438110748248</v>
      </c>
      <c r="K69" s="48">
        <f>IFERROR(-K68/SUM(K206+K211),0)</f>
        <v>0.012291162734739</v>
      </c>
      <c r="L69" s="48">
        <f>IFERROR(-L68/SUM(L206+L211),0)</f>
        <v>0.0123062620774065</v>
      </c>
      <c r="M69" s="3" t="n"/>
      <c r="N69" s="48">
        <f>IFERROR(-N68/SUM(N206+N211),0)</f>
        <v>0.0129057217483211</v>
      </c>
      <c r="O69" s="48">
        <f>IFERROR(-O68/SUM(O206+O211),0)</f>
        <v>0.0123270754511444</v>
      </c>
      <c r="P69" s="48">
        <f>IFERROR(-P68/SUM(P206+P211),0)</f>
        <v>0.0124260905924108</v>
      </c>
      <c r="Q69" s="48">
        <f>IFERROR(-Q68/SUM(Q206+Q211),0)</f>
        <v>0.0118861629381744</v>
      </c>
      <c r="R69" s="3" t="n"/>
      <c r="S69" s="48">
        <f>IFERROR(-S68/SUM(S206+S211),0)</f>
        <v>0.0120688131323626</v>
      </c>
      <c r="T69" s="48">
        <f>IFERROR(-T68/SUM(T206+T211),0)</f>
        <v>0.0120813808982706</v>
      </c>
      <c r="U69" s="48">
        <f>IFERROR(-U68/SUM(U206+U211),0)</f>
        <v>0.0122768169322636</v>
      </c>
      <c r="V69" s="48">
        <f>IFERROR(-V68/SUM(V206+V211),0)</f>
        <v>0.0120476418596902</v>
      </c>
      <c r="W69" s="3" t="n"/>
      <c r="X69" s="48">
        <f>IFERROR(-X68/SUM(X206+X211),0)</f>
        <v>0.012365462435932</v>
      </c>
      <c r="Y69" s="48">
        <f>IFERROR(-Y68/SUM(Y206+Y211),0)</f>
        <v>0.0120161100824639</v>
      </c>
      <c r="Z69" s="48">
        <f>IFERROR(-Z68/SUM(Z206+Z211),0)</f>
        <v>0.0115653717888776</v>
      </c>
      <c r="AA69" s="48">
        <f>IFERROR(-AA68/SUM(AA206+AA211),0)</f>
        <v>0.0123599706445644</v>
      </c>
      <c r="AB69" s="3" t="n"/>
      <c r="AC69" s="48">
        <f>IFERROR(-AC68/SUM(AC206+AC211),0)</f>
        <v>0.0122643008372291</v>
      </c>
      <c r="AD69" s="48">
        <f>IFERROR(-AD68/SUM(AD206+AD211),0)</f>
        <v>0.0126372653928824</v>
      </c>
      <c r="AE69" s="48">
        <f>IFERROR(-AE68/SUM(AE206+AE211),0)</f>
        <v>0.0121201519461357</v>
      </c>
      <c r="AF69" s="231">
        <f>IFERROR(-AF68/SUM(AF206+AF211),0)</f>
        <v>0.0162067107723547</v>
      </c>
      <c r="AG69" s="3" t="n"/>
      <c r="AH69" s="6">
        <f>IFERROR(-AH68/SUM(AH206+AH211),0)</f>
        <v>0.0182498316912846</v>
      </c>
      <c r="AI69" s="6">
        <f>IFERROR(-AI68/SUM(AI206+AI211),0)</f>
        <v>0.0122776744029375</v>
      </c>
      <c r="AJ69" s="6" t="n"/>
      <c r="AK69" s="6" t="n"/>
      <c r="AL69" s="3" t="n"/>
      <c r="AM69" s="6" t="n"/>
      <c r="AN69" s="6" t="n"/>
      <c r="AO69" s="6" t="n"/>
      <c r="AP69" s="6" t="n"/>
      <c r="AQ69" s="3" t="n"/>
      <c r="AR69" s="6" t="n"/>
      <c r="AS69" s="6" t="n"/>
      <c r="AT69" s="6" t="n"/>
      <c r="AU69" s="6" t="n"/>
      <c r="AV69" s="3" t="n"/>
      <c r="AW69" s="6" t="n"/>
      <c r="AX69" s="6" t="n"/>
      <c r="AY69" s="6" t="n"/>
      <c r="AZ69" s="6" t="n"/>
      <c r="BA69" s="3" t="n"/>
      <c r="BB69" s="6" t="n"/>
      <c r="BC69" s="6" t="n"/>
      <c r="BD69" s="6" t="n"/>
      <c r="BE69" s="6" t="n"/>
      <c r="BF69" s="3" t="n"/>
      <c r="BG69" s="6" t="n"/>
      <c r="BH69" s="6" t="n"/>
      <c r="BI69" s="6" t="n"/>
      <c r="BJ69" s="6" t="n"/>
      <c r="BK69" s="3" t="n"/>
      <c r="BL69" s="6" t="n"/>
      <c r="BM69" s="6" t="n"/>
      <c r="BN69" s="6" t="n"/>
      <c r="BO69" s="6" t="n"/>
      <c r="BP69" s="3" t="n"/>
      <c r="BQ69" s="6" t="n"/>
      <c r="BR69" s="6" t="n"/>
      <c r="BS69" s="6" t="n"/>
      <c r="BT69" s="6" t="n"/>
      <c r="BU69" s="3" t="n"/>
      <c r="BV69" s="6" t="n"/>
      <c r="BW69" s="6" t="n"/>
      <c r="BX69" s="6" t="n"/>
      <c r="BY69" s="6" t="n"/>
      <c r="BZ69" s="3" t="n"/>
      <c r="CA69" s="6" t="n"/>
      <c r="CB69" s="6" t="n"/>
      <c r="CC69" s="6" t="n"/>
      <c r="CD69" s="6" t="n"/>
      <c r="CE69" s="3" t="n"/>
      <c r="CF69" s="6" t="n"/>
      <c r="CG69" s="6" t="n"/>
      <c r="CH69" s="6" t="n"/>
      <c r="CI69" s="6" t="n"/>
      <c r="CJ69" s="3" t="n"/>
      <c r="CK69" s="6" t="n"/>
      <c r="CL69" s="6" t="n"/>
      <c r="CM69" s="6" t="n"/>
      <c r="CN69" s="6" t="n"/>
      <c r="CO69" s="3" t="n"/>
      <c r="CP69" s="6" t="n"/>
      <c r="CQ69" s="6" t="n"/>
      <c r="CR69" s="6" t="n"/>
      <c r="CS69" s="6" t="n"/>
      <c r="CT69" s="3" t="n"/>
      <c r="CU69" s="6" t="n"/>
      <c r="CV69" s="6" t="n"/>
      <c r="CW69" s="6" t="n"/>
      <c r="CX69" s="6" t="n"/>
      <c r="CY69" s="3" t="n"/>
    </row>
    <row r="70" hidden="1" outlineLevel="1">
      <c r="C70" s="32" t="inlineStr">
        <is>
          <t>%CDI</t>
        </is>
      </c>
      <c r="D70" s="6" t="n"/>
      <c r="E70" s="6" t="n"/>
      <c r="F70" s="6" t="n"/>
      <c r="G70" s="6" t="n"/>
      <c r="H70" s="3" t="n"/>
      <c r="I70" s="6" t="n"/>
      <c r="J70" s="6" t="n"/>
      <c r="K70" s="6" t="n"/>
      <c r="L70" s="6" t="n"/>
      <c r="M70" s="3" t="n"/>
      <c r="N70" s="6" t="n"/>
      <c r="O70" s="6" t="n"/>
      <c r="P70" s="6" t="n"/>
      <c r="Q70" s="6" t="n"/>
      <c r="R70" s="3" t="n"/>
      <c r="S70" s="6" t="n"/>
      <c r="T70" s="6" t="n"/>
      <c r="U70" s="6" t="n"/>
      <c r="V70" s="6" t="n"/>
      <c r="W70" s="3" t="n"/>
      <c r="X70" s="6" t="n"/>
      <c r="Y70" s="6" t="n"/>
      <c r="Z70" s="6" t="n"/>
      <c r="AA70" s="6" t="n"/>
      <c r="AB70" s="3" t="n"/>
      <c r="AC70" s="6" t="n"/>
      <c r="AD70" s="6" t="n"/>
      <c r="AE70" s="6" t="n"/>
      <c r="AF70" s="6" t="n"/>
      <c r="AG70" s="3" t="n"/>
      <c r="AH70" s="6" t="n"/>
      <c r="AI70" s="6" t="n"/>
      <c r="AJ70" s="6" t="n"/>
      <c r="AK70" s="6" t="n"/>
      <c r="AL70" s="3" t="n"/>
      <c r="AM70" s="6" t="n"/>
      <c r="AN70" s="6" t="n"/>
      <c r="AO70" s="6" t="n"/>
      <c r="AP70" s="6" t="n"/>
      <c r="AQ70" s="3" t="n"/>
      <c r="AR70" s="6" t="n"/>
      <c r="AS70" s="6" t="n"/>
      <c r="AT70" s="6" t="n"/>
      <c r="AU70" s="6" t="n"/>
      <c r="AV70" s="3" t="n"/>
      <c r="AW70" s="6" t="n"/>
      <c r="AX70" s="6" t="n"/>
      <c r="AY70" s="6" t="n"/>
      <c r="AZ70" s="6" t="n"/>
      <c r="BA70" s="3" t="n"/>
      <c r="BB70" s="6" t="n"/>
      <c r="BC70" s="6" t="n"/>
      <c r="BD70" s="6" t="n"/>
      <c r="BE70" s="6" t="n"/>
      <c r="BF70" s="3" t="n"/>
      <c r="BG70" s="6" t="n"/>
      <c r="BH70" s="6" t="n"/>
      <c r="BI70" s="6" t="n"/>
      <c r="BJ70" s="6" t="n"/>
      <c r="BK70" s="3" t="n"/>
      <c r="BL70" s="6" t="n"/>
      <c r="BM70" s="6" t="n"/>
      <c r="BN70" s="6" t="n"/>
      <c r="BO70" s="6" t="n"/>
      <c r="BP70" s="3" t="n"/>
      <c r="BQ70" s="6" t="n"/>
      <c r="BR70" s="6" t="n"/>
      <c r="BS70" s="6" t="n"/>
      <c r="BT70" s="6" t="n"/>
      <c r="BU70" s="3" t="n"/>
      <c r="BV70" s="6" t="n"/>
      <c r="BW70" s="6" t="n"/>
      <c r="BX70" s="6" t="n"/>
      <c r="BY70" s="6" t="n"/>
      <c r="BZ70" s="3" t="n"/>
      <c r="CA70" s="6" t="n"/>
      <c r="CB70" s="6" t="n"/>
      <c r="CC70" s="6" t="n"/>
      <c r="CD70" s="6" t="n"/>
      <c r="CE70" s="3" t="n"/>
      <c r="CF70" s="6" t="n"/>
      <c r="CG70" s="6" t="n"/>
      <c r="CH70" s="6" t="n"/>
      <c r="CI70" s="6" t="n"/>
      <c r="CJ70" s="3" t="n"/>
      <c r="CK70" s="6" t="n"/>
      <c r="CL70" s="6" t="n"/>
      <c r="CM70" s="6" t="n"/>
      <c r="CN70" s="6" t="n"/>
      <c r="CO70" s="3" t="n"/>
      <c r="CP70" s="6" t="n"/>
      <c r="CQ70" s="6" t="n"/>
      <c r="CR70" s="6" t="n"/>
      <c r="CS70" s="6" t="n"/>
      <c r="CT70" s="3" t="n"/>
      <c r="CU70" s="6" t="n"/>
      <c r="CV70" s="6" t="n"/>
      <c r="CW70" s="6" t="n"/>
      <c r="CX70" s="6" t="n"/>
      <c r="CY70" s="3" t="n"/>
    </row>
    <row r="71" hidden="1" outlineLevel="1">
      <c r="C71" s="34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RECEITA FINANCEIRA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DESPESA FINANCEIRA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OUTROS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Cash and equivalents (inc. investment securities)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Interest on cash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Average interest rate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% CDI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Current portion of long-term debt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Short term debt (Revolving credit facility)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Long term debt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Convertible debt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Total debt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Interest expense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Average interest rate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Stake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PRE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CDI+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Spread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PRE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CDI+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RECEITAS FINANCEIRAS - Rendimentos de aplicações financeiras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RECEITAS FINANCEIRAS - Variação cambial ativa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Atualização de contas a pagar por aquisição de empresas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Resultado positivo com instrumentos derivativos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RECEITAS FINANCEIRAS - Descontos obtidos de fornecedores por antecipação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RECEITAS FINANCEIRAS - Atualização monetária sobre Exclusão ICMS da base de PIS/COFINS (nota explicativa nº 7)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Outras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DESPESAS FINANCEIRAS - Encargos sobre empréstimos, financiamentos e debêntures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DESPESAS FINANCEIRAS - Variação cambial passiva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Resultado negativo com instrumentos derivativos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Juros sobre arrendamento - IFRS16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Despesas bancárias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DESPESAS FINANCEIRAS - Despesas com obtenção de empréstimos e financiamentos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Atualização de contas a pagar por aquisição de empresas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Outras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CHECK [EX IFRS-16]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collapsed="1">
      <c r="C117" s="26" t="inlineStr">
        <is>
          <t>Nonoperating Income / (Loss)</t>
        </is>
      </c>
      <c r="D117" s="25">
        <f>INDEX('Inputs (2)'!$D$9:$AL$9,MATCH(D$7,'Inputs (2)'!$D$2:$AL$2,0))</f>
        <v>21.697</v>
      </c>
      <c r="E117" s="25">
        <f>INDEX('Inputs (2)'!$D$9:$AL$9,MATCH(E$7,'Inputs (2)'!$D$2:$AL$2,0))</f>
        <v>-133.175</v>
      </c>
      <c r="F117" s="25">
        <f>INDEX('Inputs (2)'!$D$9:$AL$9,MATCH(F$7,'Inputs (2)'!$D$2:$AL$2,0))</f>
        <v>-256.324</v>
      </c>
      <c r="G117" s="25">
        <f>INDEX('Inputs (2)'!$D$9:$AL$9,MATCH(G$7,'Inputs (2)'!$D$2:$AL$2,0))</f>
        <v>-250.639</v>
      </c>
      <c r="H117" s="3">
        <f>SUM(D117:G117)</f>
        <v>-618.441</v>
      </c>
      <c r="I117" s="25">
        <f>INDEX('Inputs (2)'!$D$9:$AL$9,MATCH(I$7,'Inputs (2)'!$D$2:$AL$2,0))</f>
        <v>269.086</v>
      </c>
      <c r="J117" s="25">
        <f>INDEX('Inputs (2)'!$D$9:$AL$9,MATCH(J$7,'Inputs (2)'!$D$2:$AL$2,0))</f>
        <v>-62.519</v>
      </c>
      <c r="K117" s="25">
        <f>INDEX('Inputs (2)'!$D$9:$AL$9,MATCH(K$7,'Inputs (2)'!$D$2:$AL$2,0))</f>
        <v>96.135</v>
      </c>
      <c r="L117" s="25">
        <f>INDEX('Inputs (2)'!$D$9:$AL$9,MATCH(L$7,'Inputs (2)'!$D$2:$AL$2,0))</f>
        <v>108.512</v>
      </c>
      <c r="M117" s="3">
        <f>SUM(I117:L117)</f>
        <v>411.214</v>
      </c>
      <c r="N117" s="25">
        <f>INDEX('Inputs (2)'!$D$9:$AL$9,MATCH(N$7,'Inputs (2)'!$D$2:$AL$2,0))</f>
        <v>195.645</v>
      </c>
      <c r="O117" s="25">
        <f>INDEX('Inputs (2)'!$D$9:$AL$9,MATCH(O$7,'Inputs (2)'!$D$2:$AL$2,0))</f>
        <v>220.226</v>
      </c>
      <c r="P117" s="25">
        <f>INDEX('Inputs (2)'!$D$9:$AL$9,MATCH(P$7,'Inputs (2)'!$D$2:$AL$2,0))</f>
        <v>261.404</v>
      </c>
      <c r="Q117" s="25">
        <f>INDEX('Inputs (2)'!$D$9:$AL$9,MATCH(Q$7,'Inputs (2)'!$D$2:$AL$2,0))</f>
        <v>-339.965</v>
      </c>
      <c r="R117" s="3">
        <f>SUM(N117:Q117)</f>
        <v>337.31</v>
      </c>
      <c r="S117" s="25">
        <f>INDEX('Inputs (2)'!$D$9:$AL$9,MATCH(S$7,'Inputs (2)'!$D$2:$AL$2,0))</f>
        <v>-71.204</v>
      </c>
      <c r="T117" s="25">
        <f>INDEX('Inputs (2)'!$D$9:$AL$9,MATCH(T$7,'Inputs (2)'!$D$2:$AL$2,0))</f>
        <v>26.961</v>
      </c>
      <c r="U117" s="25">
        <f>INDEX('Inputs (2)'!$D$9:$AL$9,MATCH(U$7,'Inputs (2)'!$D$2:$AL$2,0))</f>
        <v>168.218</v>
      </c>
      <c r="V117" s="25">
        <f>INDEX('Inputs (2)'!$D$9:$AL$9,MATCH(V$7,'Inputs (2)'!$D$2:$AL$2,0))</f>
        <v>-172.747</v>
      </c>
      <c r="W117" s="3">
        <f>SUM(S117:V117)</f>
        <v>-48.772</v>
      </c>
      <c r="X117" s="25">
        <f>INDEX('Inputs (2)'!$D$9:$AL$9,MATCH(X$7,'Inputs (2)'!$D$2:$AL$2,0))</f>
        <v>155.359</v>
      </c>
      <c r="Y117" s="25">
        <f>INDEX('Inputs (2)'!$D$9:$AL$9,MATCH(Y$7,'Inputs (2)'!$D$2:$AL$2,0))</f>
        <v>79.005</v>
      </c>
      <c r="Z117" s="25">
        <f>INDEX('Inputs (2)'!$D$9:$AL$9,MATCH(Z$7,'Inputs (2)'!$D$2:$AL$2,0))</f>
        <v>-21.693</v>
      </c>
      <c r="AA117" s="25">
        <f>INDEX('Inputs (2)'!$D$9:$AL$9,MATCH(AA$7,'Inputs (2)'!$D$2:$AL$2,0))</f>
        <v>54.105</v>
      </c>
      <c r="AB117" s="3">
        <f>SUM(X117:AA117)</f>
        <v>266.776</v>
      </c>
      <c r="AC117" s="25">
        <f>INDEX('Inputs (2)'!$D$9:$AL$9,MATCH(AC$7,'Inputs (2)'!$D$2:$AL$2,0))</f>
        <v>50.899</v>
      </c>
      <c r="AD117" s="25">
        <f>INDEX('Inputs (2)'!$D$9:$AL$9,MATCH(AD$7,'Inputs (2)'!$D$2:$AL$2,0))</f>
        <v>39.63</v>
      </c>
      <c r="AE117" s="25">
        <f>INDEX('Inputs (2)'!$D$9:$AL$9,MATCH(AE$7,'Inputs (2)'!$D$2:$AL$2,0))</f>
        <v>36.457</v>
      </c>
      <c r="AF117" s="25">
        <f>INDEX('Inputs (2)'!$D$9:$AL$9,MATCH(AF$7,'Inputs (2)'!$D$2:$AL$2,0))</f>
        <v>45.473</v>
      </c>
      <c r="AG117" s="3">
        <f>SUM(AC117:AF117)</f>
        <v>172.459</v>
      </c>
      <c r="AH117" s="3">
        <f>INDEX('Inputs (2)'!$D$9:$AL$9,MATCH(AH$7,'Inputs (2)'!$D$2:$AL$2,0))</f>
        <v>2852.166</v>
      </c>
      <c r="AI117" s="3">
        <f>INDEX('Inputs (2)'!$D$9:$AL$9,MATCH(AI$7,'Inputs (2)'!$D$2:$AL$2,0))</f>
        <v>51.661</v>
      </c>
      <c r="AJ117" s="3">
        <f>AH117</f>
        <v>2852.166</v>
      </c>
      <c r="AK117" s="3">
        <f>AI117</f>
        <v>51.661</v>
      </c>
      <c r="AL117" s="3">
        <f>SUM(AH117:AK117)</f>
        <v>5807.654</v>
      </c>
      <c r="AM117" s="3">
        <f>AK117</f>
        <v>51.661</v>
      </c>
      <c r="AN117" s="3">
        <f>AL117</f>
        <v>5807.654</v>
      </c>
      <c r="AO117" s="3">
        <f>AM117</f>
        <v>51.661</v>
      </c>
      <c r="AP117" s="3">
        <f>AN117</f>
        <v>5807.654</v>
      </c>
      <c r="AQ117" s="3">
        <f>SUM(AM117:AP117)</f>
        <v>11718.63</v>
      </c>
      <c r="AR117" s="3">
        <f>AP117</f>
        <v>5807.654</v>
      </c>
      <c r="AS117" s="3">
        <f>AQ117</f>
        <v>11718.63</v>
      </c>
      <c r="AT117" s="3">
        <f>AR117</f>
        <v>5807.654</v>
      </c>
      <c r="AU117" s="3">
        <f>AS117</f>
        <v>11718.63</v>
      </c>
      <c r="AV117" s="3">
        <f>SUM(AR117:AU117)</f>
        <v>35052.568</v>
      </c>
      <c r="AW117" s="3">
        <f>AU117</f>
        <v>11718.63</v>
      </c>
      <c r="AX117" s="3">
        <f>AV117</f>
        <v>35052.568</v>
      </c>
      <c r="AY117" s="3">
        <f>AW117</f>
        <v>11718.63</v>
      </c>
      <c r="AZ117" s="3">
        <f>AX117</f>
        <v>35052.568</v>
      </c>
      <c r="BA117" s="3">
        <f>SUM(AW117:AZ117)</f>
        <v>93542.396</v>
      </c>
      <c r="BB117" s="3">
        <f>AZ117</f>
        <v>35052.568</v>
      </c>
      <c r="BC117" s="3">
        <f>BA117</f>
        <v>93542.396</v>
      </c>
      <c r="BD117" s="3">
        <f>BB117</f>
        <v>35052.568</v>
      </c>
      <c r="BE117" s="3">
        <f>BC117</f>
        <v>93542.396</v>
      </c>
      <c r="BF117" s="3">
        <f>SUM(BB117:BE117)</f>
        <v>257189.928</v>
      </c>
      <c r="BG117" s="3">
        <f>BE117</f>
        <v>93542.396</v>
      </c>
      <c r="BH117" s="3">
        <f>BF117</f>
        <v>257189.928</v>
      </c>
      <c r="BI117" s="3">
        <f>BG117</f>
        <v>93542.396</v>
      </c>
      <c r="BJ117" s="3">
        <f>BH117</f>
        <v>257189.928</v>
      </c>
      <c r="BK117" s="3">
        <f>SUM(BG117:BJ117)</f>
        <v>701464.648</v>
      </c>
      <c r="BL117" s="3">
        <f>BJ117</f>
        <v>257189.928</v>
      </c>
      <c r="BM117" s="3">
        <f>BK117</f>
        <v>701464.648</v>
      </c>
      <c r="BN117" s="3">
        <f>BL117</f>
        <v>257189.928</v>
      </c>
      <c r="BO117" s="3">
        <f>BM117</f>
        <v>701464.648</v>
      </c>
      <c r="BP117" s="3">
        <f>SUM(BL117:BO117)</f>
        <v>1917309.152</v>
      </c>
      <c r="BQ117" s="3">
        <f>BO117</f>
        <v>701464.648</v>
      </c>
      <c r="BR117" s="3">
        <f>BP117</f>
        <v>1917309.152</v>
      </c>
      <c r="BS117" s="3">
        <f>BQ117</f>
        <v>701464.648</v>
      </c>
      <c r="BT117" s="3">
        <f>BR117</f>
        <v>1917309.152</v>
      </c>
      <c r="BU117" s="3">
        <f>SUM(BQ117:BT117)</f>
        <v>5237547.6</v>
      </c>
      <c r="BV117" s="3">
        <f>BT117</f>
        <v>1917309.152</v>
      </c>
      <c r="BW117" s="3">
        <f>BU117</f>
        <v>5237547.6</v>
      </c>
      <c r="BX117" s="3">
        <f>BV117</f>
        <v>1917309.152</v>
      </c>
      <c r="BY117" s="3">
        <f>BW117</f>
        <v>5237547.6</v>
      </c>
      <c r="BZ117" s="3">
        <f>SUM(BV117:BY117)</f>
        <v>14309713.504</v>
      </c>
      <c r="CA117" s="3">
        <f>BY117</f>
        <v>5237547.6</v>
      </c>
      <c r="CB117" s="3">
        <f>BZ117</f>
        <v>14309713.504</v>
      </c>
      <c r="CC117" s="3">
        <f>CA117</f>
        <v>5237547.6</v>
      </c>
      <c r="CD117" s="3">
        <f>CB117</f>
        <v>14309713.504</v>
      </c>
      <c r="CE117" s="3">
        <f>SUM(CA117:CD117)</f>
        <v>39094522.208</v>
      </c>
      <c r="CF117" s="3">
        <f>CD117</f>
        <v>14309713.504</v>
      </c>
      <c r="CG117" s="3">
        <f>CE117</f>
        <v>39094522.208</v>
      </c>
      <c r="CH117" s="3">
        <f>CF117</f>
        <v>14309713.504</v>
      </c>
      <c r="CI117" s="3">
        <f>CG117</f>
        <v>39094522.208</v>
      </c>
      <c r="CJ117" s="3">
        <f>SUM(CF117:CI117)</f>
        <v>106808471.424</v>
      </c>
      <c r="CK117" s="3">
        <f>CI117</f>
        <v>39094522.208</v>
      </c>
      <c r="CL117" s="3">
        <f>CJ117</f>
        <v>106808471.424</v>
      </c>
      <c r="CM117" s="3">
        <f>CK117</f>
        <v>39094522.208</v>
      </c>
      <c r="CN117" s="3">
        <f>CL117</f>
        <v>106808471.424</v>
      </c>
      <c r="CO117" s="3">
        <f>SUM(CK117:CN117)</f>
        <v>291805987.264</v>
      </c>
      <c r="CP117" s="3">
        <f>CN117</f>
        <v>106808471.424</v>
      </c>
      <c r="CQ117" s="3">
        <f>CO117</f>
        <v>291805987.264</v>
      </c>
      <c r="CR117" s="3">
        <f>CP117</f>
        <v>106808471.424</v>
      </c>
      <c r="CS117" s="3">
        <f>CQ117</f>
        <v>291805987.264</v>
      </c>
      <c r="CT117" s="3">
        <f>SUM(CP117:CS117)</f>
        <v>797228917.376</v>
      </c>
      <c r="CU117" s="3">
        <f>CS117</f>
        <v>291805987.264</v>
      </c>
      <c r="CV117" s="3">
        <f>CT117</f>
        <v>797228917.376</v>
      </c>
      <c r="CW117" s="3">
        <f>CU117</f>
        <v>291805987.264</v>
      </c>
      <c r="CX117" s="3">
        <f>CV117</f>
        <v>797228917.376</v>
      </c>
      <c r="CY117" s="3">
        <f>SUM(CU117:CX117)</f>
        <v>2178069809.28</v>
      </c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2" t="inlineStr">
        <is>
          <t>Resultado Não Recorrente</t>
        </is>
      </c>
      <c r="D119" s="6" t="n"/>
      <c r="E119" s="6" t="n"/>
      <c r="F119" s="6" t="n"/>
      <c r="G119" s="6" t="n"/>
      <c r="H119" s="3" t="n"/>
      <c r="I119" s="6" t="n"/>
      <c r="J119" s="6" t="n"/>
      <c r="K119" s="6" t="n"/>
      <c r="L119" s="6" t="n"/>
      <c r="M119" s="3" t="n"/>
      <c r="N119" s="6" t="n"/>
      <c r="O119" s="6" t="n"/>
      <c r="P119" s="6" t="n"/>
      <c r="Q119" s="6" t="n"/>
      <c r="R119" s="3" t="n"/>
      <c r="S119" s="6" t="n"/>
      <c r="T119" s="6" t="n"/>
      <c r="U119" s="6" t="n"/>
      <c r="V119" s="6" t="n"/>
      <c r="W119" s="3" t="n"/>
      <c r="X119" s="6" t="n"/>
      <c r="Y119" s="6" t="n"/>
      <c r="Z119" s="6" t="n"/>
      <c r="AA119" s="6" t="n"/>
      <c r="AB119" s="3" t="n"/>
      <c r="AC119" s="6" t="n"/>
      <c r="AD119" s="6" t="n"/>
      <c r="AE119" s="6" t="n"/>
      <c r="AF119" s="6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2" t="inlineStr">
        <is>
          <t>Plano de Opção de Compra de Ações</t>
        </is>
      </c>
      <c r="D120" s="6" t="n"/>
      <c r="E120" s="6" t="n"/>
      <c r="F120" s="6" t="n"/>
      <c r="G120" s="6" t="n"/>
      <c r="H120" s="3" t="n"/>
      <c r="I120" s="6" t="n"/>
      <c r="J120" s="6" t="n"/>
      <c r="K120" s="6" t="n"/>
      <c r="L120" s="6" t="n"/>
      <c r="M120" s="3" t="n"/>
      <c r="N120" s="6" t="n"/>
      <c r="O120" s="6" t="n"/>
      <c r="P120" s="6" t="n"/>
      <c r="Q120" s="6" t="n"/>
      <c r="R120" s="3" t="n"/>
      <c r="S120" s="6" t="n"/>
      <c r="T120" s="6" t="n"/>
      <c r="U120" s="6" t="n"/>
      <c r="V120" s="6" t="n"/>
      <c r="W120" s="3" t="n"/>
      <c r="X120" s="6" t="n"/>
      <c r="Y120" s="6" t="n"/>
      <c r="Z120" s="6" t="n"/>
      <c r="AA120" s="6" t="n"/>
      <c r="AB120" s="3" t="n"/>
      <c r="AC120" s="6" t="n"/>
      <c r="AD120" s="6" t="n"/>
      <c r="AE120" s="6" t="n"/>
      <c r="AF120" s="6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2" t="inlineStr">
        <is>
          <t>Baixa Imobilizado</t>
        </is>
      </c>
      <c r="D121" s="6" t="n"/>
      <c r="E121" s="6" t="n"/>
      <c r="F121" s="6" t="n"/>
      <c r="G121" s="6" t="n"/>
      <c r="H121" s="3" t="n"/>
      <c r="I121" s="6" t="n"/>
      <c r="J121" s="6" t="n"/>
      <c r="K121" s="6" t="n"/>
      <c r="L121" s="6" t="n"/>
      <c r="M121" s="3" t="n"/>
      <c r="N121" s="6" t="n"/>
      <c r="O121" s="6" t="n"/>
      <c r="P121" s="6" t="n"/>
      <c r="Q121" s="6" t="n"/>
      <c r="R121" s="3" t="n"/>
      <c r="S121" s="6" t="n"/>
      <c r="T121" s="6" t="n"/>
      <c r="U121" s="6" t="n"/>
      <c r="V121" s="6" t="n"/>
      <c r="W121" s="3" t="n"/>
      <c r="X121" s="6" t="n"/>
      <c r="Y121" s="6" t="n"/>
      <c r="Z121" s="6" t="n"/>
      <c r="AA121" s="6" t="n"/>
      <c r="AB121" s="3" t="n"/>
      <c r="AC121" s="6" t="n"/>
      <c r="AD121" s="6" t="n"/>
      <c r="AE121" s="6" t="n"/>
      <c r="AF121" s="6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collapsed="1" customFormat="1" s="17">
      <c r="A124" s="13" t="n"/>
      <c r="B124" s="1" t="n"/>
      <c r="C124" s="14" t="inlineStr">
        <is>
          <t>Pretax Income - EBT</t>
        </is>
      </c>
      <c r="D124" s="16">
        <f>SUM(D67,D68,D117)</f>
        <v>795.87</v>
      </c>
      <c r="E124" s="16">
        <f>SUM(E67,E68,E117)</f>
        <v>1035.602</v>
      </c>
      <c r="F124" s="16">
        <f>SUM(F67,F68,F117)</f>
        <v>861.46</v>
      </c>
      <c r="G124" s="16">
        <f>SUM(G67,G68,G117)</f>
        <v>506.417</v>
      </c>
      <c r="H124" s="16">
        <f>SUM(D124:G124)</f>
        <v>3199.349</v>
      </c>
      <c r="I124" s="16">
        <f>SUM(I67,I68,I117)</f>
        <v>2034.502</v>
      </c>
      <c r="J124" s="16">
        <f>SUM(J67,J68,J117)</f>
        <v>1593.789</v>
      </c>
      <c r="K124" s="16">
        <f>SUM(K67,K68,K117)</f>
        <v>1660.959</v>
      </c>
      <c r="L124" s="16">
        <f>SUM(L67,L68,L117)</f>
        <v>550.852999999999</v>
      </c>
      <c r="M124" s="16">
        <f>SUM(I124:L124)</f>
        <v>5840.103</v>
      </c>
      <c r="N124" s="16">
        <f>SUM(N67,N68,N117)</f>
        <v>1979.692</v>
      </c>
      <c r="O124" s="16">
        <f>SUM(O67,O68,O117)</f>
        <v>1623.054</v>
      </c>
      <c r="P124" s="16">
        <f>SUM(P67,P68,P117)</f>
        <v>1621.847</v>
      </c>
      <c r="Q124" s="16">
        <f>SUM(Q67,Q68,Q117)</f>
        <v>39.3360000000002</v>
      </c>
      <c r="R124" s="16">
        <f>SUM(N124:Q124)</f>
        <v>5263.929</v>
      </c>
      <c r="S124" s="16">
        <f>SUM(S67,S68,S117)</f>
        <v>1468.874</v>
      </c>
      <c r="T124" s="16">
        <f>SUM(T67,T68,T117)</f>
        <v>1679.332</v>
      </c>
      <c r="U124" s="16">
        <f>SUM(U67,U68,U117)</f>
        <v>1909.049</v>
      </c>
      <c r="V124" s="16">
        <f>SUM(V67,V68,V117)</f>
        <v>1148.15</v>
      </c>
      <c r="W124" s="16">
        <f>SUM(S124:V124)</f>
        <v>6205.405</v>
      </c>
      <c r="X124" s="16">
        <f>SUM(X67,X68,X117)</f>
        <v>2614.579</v>
      </c>
      <c r="Y124" s="16">
        <f>SUM(Y67,Y68,Y117)</f>
        <v>2513.856</v>
      </c>
      <c r="Z124" s="16">
        <f>SUM(Z67,Z68,Z117)</f>
        <v>2702.954</v>
      </c>
      <c r="AA124" s="16">
        <f>SUM(AA67,AA68,AA117)</f>
        <v>2134.268</v>
      </c>
      <c r="AB124" s="16">
        <f>SUM(X124:AA124)</f>
        <v>9965.657</v>
      </c>
      <c r="AC124" s="16">
        <f>SUM(AC67,AC68,AC117)</f>
        <v>3213.726</v>
      </c>
      <c r="AD124" s="16">
        <f>SUM(AD67,AD68,AD117)</f>
        <v>3631.675</v>
      </c>
      <c r="AE124" s="16">
        <f>SUM(AE67,AE68,AE117)</f>
        <v>3109.41</v>
      </c>
      <c r="AF124" s="16">
        <f>SUM(AF67,AF68,AF117)</f>
        <v>2767.741</v>
      </c>
      <c r="AG124" s="16">
        <f>SUM(AC124:AF124)</f>
        <v>12722.552</v>
      </c>
      <c r="AH124" s="16">
        <f>SUM(AH67,AH68,AH117)</f>
        <v>6547.086</v>
      </c>
      <c r="AI124" s="16">
        <f>SUM(AI67,AI68,AI117)</f>
        <v>4068.586</v>
      </c>
      <c r="AJ124" s="16">
        <f>SUM(AJ67,AJ68,AJ117)</f>
        <v>2852.166</v>
      </c>
      <c r="AK124" s="16">
        <f>SUM(AK67,AK68,AK117)</f>
        <v>51.661</v>
      </c>
      <c r="AL124" s="16">
        <f>SUM(AH124:AK124)</f>
        <v>13519.499</v>
      </c>
      <c r="AM124" s="16">
        <f>SUM(AM67,AM68,AM117)</f>
        <v>51.661</v>
      </c>
      <c r="AN124" s="16">
        <f>SUM(AN67,AN68,AN117)</f>
        <v>5807.654</v>
      </c>
      <c r="AO124" s="16">
        <f>SUM(AO67,AO68,AO117)</f>
        <v>51.661</v>
      </c>
      <c r="AP124" s="16">
        <f>SUM(AP67,AP68,AP117)</f>
        <v>5807.654</v>
      </c>
      <c r="AQ124" s="16">
        <f>SUM(AM124:AP124)</f>
        <v>11718.63</v>
      </c>
      <c r="AR124" s="16">
        <f>SUM(AR67,AR68,AR117)</f>
        <v>5807.654</v>
      </c>
      <c r="AS124" s="16">
        <f>SUM(AS67,AS68,AS117)</f>
        <v>11718.63</v>
      </c>
      <c r="AT124" s="16">
        <f>SUM(AT67,AT68,AT117)</f>
        <v>5807.654</v>
      </c>
      <c r="AU124" s="16">
        <f>SUM(AU67,AU68,AU117)</f>
        <v>11718.63</v>
      </c>
      <c r="AV124" s="16">
        <f>SUM(AR124:AU124)</f>
        <v>35052.568</v>
      </c>
      <c r="AW124" s="16">
        <f>SUM(AW67,AW68,AW117)</f>
        <v>11718.63</v>
      </c>
      <c r="AX124" s="16">
        <f>SUM(AX67,AX68,AX117)</f>
        <v>35052.568</v>
      </c>
      <c r="AY124" s="16">
        <f>SUM(AY67,AY68,AY117)</f>
        <v>11718.63</v>
      </c>
      <c r="AZ124" s="16">
        <f>SUM(AZ67,AZ68,AZ117)</f>
        <v>35052.568</v>
      </c>
      <c r="BA124" s="16">
        <f>SUM(AW124:AZ124)</f>
        <v>93542.396</v>
      </c>
      <c r="BB124" s="16">
        <f>SUM(BB67,BB68,BB117)</f>
        <v>35052.568</v>
      </c>
      <c r="BC124" s="16">
        <f>SUM(BC67,BC68,BC117)</f>
        <v>93542.396</v>
      </c>
      <c r="BD124" s="16">
        <f>SUM(BD67,BD68,BD117)</f>
        <v>35052.568</v>
      </c>
      <c r="BE124" s="16">
        <f>SUM(BE67,BE68,BE117)</f>
        <v>93542.396</v>
      </c>
      <c r="BF124" s="16">
        <f>SUM(BB124:BE124)</f>
        <v>257189.928</v>
      </c>
      <c r="BG124" s="16">
        <f>SUM(BG67,BG68,BG117)</f>
        <v>93542.396</v>
      </c>
      <c r="BH124" s="16">
        <f>SUM(BH67,BH68,BH117)</f>
        <v>257189.928</v>
      </c>
      <c r="BI124" s="16">
        <f>SUM(BI67,BI68,BI117)</f>
        <v>93542.396</v>
      </c>
      <c r="BJ124" s="16">
        <f>SUM(BJ67,BJ68,BJ117)</f>
        <v>257189.928</v>
      </c>
      <c r="BK124" s="16">
        <f>SUM(BG124:BJ124)</f>
        <v>701464.648</v>
      </c>
      <c r="BL124" s="16">
        <f>SUM(BL67,BL68,BL117)</f>
        <v>257189.928</v>
      </c>
      <c r="BM124" s="16">
        <f>SUM(BM67,BM68,BM117)</f>
        <v>701464.648</v>
      </c>
      <c r="BN124" s="16">
        <f>SUM(BN67,BN68,BN117)</f>
        <v>257189.928</v>
      </c>
      <c r="BO124" s="16">
        <f>SUM(BO67,BO68,BO117)</f>
        <v>701464.648</v>
      </c>
      <c r="BP124" s="16">
        <f>SUM(BL124:BO124)</f>
        <v>1917309.152</v>
      </c>
      <c r="BQ124" s="16">
        <f>SUM(BQ67,BQ68,BQ117)</f>
        <v>701464.648</v>
      </c>
      <c r="BR124" s="16">
        <f>SUM(BR67,BR68,BR117)</f>
        <v>1917309.152</v>
      </c>
      <c r="BS124" s="16">
        <f>SUM(BS67,BS68,BS117)</f>
        <v>701464.648</v>
      </c>
      <c r="BT124" s="16">
        <f>SUM(BT67,BT68,BT117)</f>
        <v>1917309.152</v>
      </c>
      <c r="BU124" s="16">
        <f>SUM(BQ124:BT124)</f>
        <v>5237547.6</v>
      </c>
      <c r="BV124" s="16">
        <f>SUM(BV67,BV68,BV117)</f>
        <v>1917309.152</v>
      </c>
      <c r="BW124" s="16">
        <f>SUM(BW67,BW68,BW117)</f>
        <v>5237547.6</v>
      </c>
      <c r="BX124" s="16">
        <f>SUM(BX67,BX68,BX117)</f>
        <v>1917309.152</v>
      </c>
      <c r="BY124" s="16">
        <f>SUM(BY67,BY68,BY117)</f>
        <v>5237547.6</v>
      </c>
      <c r="BZ124" s="16">
        <f>SUM(BV124:BY124)</f>
        <v>14309713.504</v>
      </c>
      <c r="CA124" s="16">
        <f>SUM(CA67,CA68,CA117)</f>
        <v>5237547.6</v>
      </c>
      <c r="CB124" s="16">
        <f>SUM(CB67,CB68,CB117)</f>
        <v>14309713.504</v>
      </c>
      <c r="CC124" s="16">
        <f>SUM(CC67,CC68,CC117)</f>
        <v>5237547.6</v>
      </c>
      <c r="CD124" s="16">
        <f>SUM(CD67,CD68,CD117)</f>
        <v>14309713.504</v>
      </c>
      <c r="CE124" s="16">
        <f>SUM(CA124:CD124)</f>
        <v>39094522.208</v>
      </c>
      <c r="CF124" s="16">
        <f>SUM(CF67,CF68,CF117)</f>
        <v>14309713.504</v>
      </c>
      <c r="CG124" s="16">
        <f>SUM(CG67,CG68,CG117)</f>
        <v>39094522.208</v>
      </c>
      <c r="CH124" s="16">
        <f>SUM(CH67,CH68,CH117)</f>
        <v>14309713.504</v>
      </c>
      <c r="CI124" s="16">
        <f>SUM(CI67,CI68,CI117)</f>
        <v>39094522.208</v>
      </c>
      <c r="CJ124" s="16">
        <f>SUM(CF124:CI124)</f>
        <v>106808471.424</v>
      </c>
      <c r="CK124" s="16">
        <f>SUM(CK67,CK68,CK117)</f>
        <v>39094522.208</v>
      </c>
      <c r="CL124" s="16">
        <f>SUM(CL67,CL68,CL117)</f>
        <v>106808471.424</v>
      </c>
      <c r="CM124" s="16">
        <f>SUM(CM67,CM68,CM117)</f>
        <v>39094522.208</v>
      </c>
      <c r="CN124" s="16">
        <f>SUM(CN67,CN68,CN117)</f>
        <v>106808471.424</v>
      </c>
      <c r="CO124" s="16">
        <f>SUM(CK124:CN124)</f>
        <v>291805987.264</v>
      </c>
      <c r="CP124" s="16">
        <f>SUM(CP67,CP68,CP117)</f>
        <v>106808471.424</v>
      </c>
      <c r="CQ124" s="16">
        <f>SUM(CQ67,CQ68,CQ117)</f>
        <v>291805987.264</v>
      </c>
      <c r="CR124" s="16">
        <f>SUM(CR67,CR68,CR117)</f>
        <v>106808471.424</v>
      </c>
      <c r="CS124" s="16">
        <f>SUM(CS67,CS68,CS117)</f>
        <v>291805987.264</v>
      </c>
      <c r="CT124" s="16">
        <f>SUM(CP124:CS124)</f>
        <v>797228917.376</v>
      </c>
      <c r="CU124" s="16">
        <f>SUM(CU67,CU68,CU117)</f>
        <v>291805987.264</v>
      </c>
      <c r="CV124" s="16">
        <f>SUM(CV67,CV68,CV117)</f>
        <v>797228917.376</v>
      </c>
      <c r="CW124" s="16">
        <f>SUM(CW67,CW68,CW117)</f>
        <v>291805987.264</v>
      </c>
      <c r="CX124" s="16">
        <f>SUM(CX67,CX68,CX117)</f>
        <v>797228917.376</v>
      </c>
      <c r="CY124" s="16">
        <f>SUM(CU124:CX124)</f>
        <v>2178069809.28</v>
      </c>
    </row>
    <row r="125">
      <c r="C125" s="26" t="inlineStr">
        <is>
          <t>Taxes</t>
        </is>
      </c>
      <c r="D125" s="25">
        <f>INDEX('Inputs (2)'!$D$10:$AL$10,MATCH(D$7,'Inputs (2)'!$D$2:$AL$2,0))</f>
        <v>-86.803</v>
      </c>
      <c r="E125" s="25">
        <f>INDEX('Inputs (2)'!$D$10:$AL$10,MATCH(E$7,'Inputs (2)'!$D$2:$AL$2,0))</f>
        <v>-315.406</v>
      </c>
      <c r="F125" s="25">
        <f>INDEX('Inputs (2)'!$D$10:$AL$10,MATCH(F$7,'Inputs (2)'!$D$2:$AL$2,0))</f>
        <v>-71.484</v>
      </c>
      <c r="G125" s="25">
        <f>INDEX('Inputs (2)'!$D$10:$AL$10,MATCH(G$7,'Inputs (2)'!$D$2:$AL$2,0))</f>
        <v>35.739</v>
      </c>
      <c r="H125" s="3">
        <f>SUM(D125:G125)</f>
        <v>-437.954</v>
      </c>
      <c r="I125" s="25">
        <f>INDEX('Inputs (2)'!$D$10:$AL$10,MATCH(I$7,'Inputs (2)'!$D$2:$AL$2,0))</f>
        <v>-327.787</v>
      </c>
      <c r="J125" s="25">
        <f>INDEX('Inputs (2)'!$D$10:$AL$10,MATCH(J$7,'Inputs (2)'!$D$2:$AL$2,0))</f>
        <v>-240.776</v>
      </c>
      <c r="K125" s="25">
        <f>INDEX('Inputs (2)'!$D$10:$AL$10,MATCH(K$7,'Inputs (2)'!$D$2:$AL$2,0))</f>
        <v>-211.888</v>
      </c>
      <c r="L125" s="25">
        <f>INDEX('Inputs (2)'!$D$10:$AL$10,MATCH(L$7,'Inputs (2)'!$D$2:$AL$2,0))</f>
        <v>56.576</v>
      </c>
      <c r="M125" s="3">
        <f>SUM(I125:L125)</f>
        <v>-723.875</v>
      </c>
      <c r="N125" s="25">
        <f>INDEX('Inputs (2)'!$D$10:$AL$10,MATCH(N$7,'Inputs (2)'!$D$2:$AL$2,0))</f>
        <v>-382.245</v>
      </c>
      <c r="O125" s="25">
        <f>INDEX('Inputs (2)'!$D$10:$AL$10,MATCH(O$7,'Inputs (2)'!$D$2:$AL$2,0))</f>
        <v>-182.103</v>
      </c>
      <c r="P125" s="25">
        <f>INDEX('Inputs (2)'!$D$10:$AL$10,MATCH(P$7,'Inputs (2)'!$D$2:$AL$2,0))</f>
        <v>-223.605</v>
      </c>
      <c r="Q125" s="25">
        <f>INDEX('Inputs (2)'!$D$10:$AL$10,MATCH(Q$7,'Inputs (2)'!$D$2:$AL$2,0))</f>
        <v>15.948</v>
      </c>
      <c r="R125" s="3">
        <f>SUM(N125:Q125)</f>
        <v>-772.005</v>
      </c>
      <c r="S125" s="25">
        <f>INDEX('Inputs (2)'!$D$10:$AL$10,MATCH(S$7,'Inputs (2)'!$D$2:$AL$2,0))</f>
        <v>-163.754</v>
      </c>
      <c r="T125" s="25">
        <f>INDEX('Inputs (2)'!$D$10:$AL$10,MATCH(T$7,'Inputs (2)'!$D$2:$AL$2,0))</f>
        <v>-191.722</v>
      </c>
      <c r="U125" s="25">
        <f>INDEX('Inputs (2)'!$D$10:$AL$10,MATCH(U$7,'Inputs (2)'!$D$2:$AL$2,0))</f>
        <v>-231.627</v>
      </c>
      <c r="V125" s="25">
        <f>INDEX('Inputs (2)'!$D$10:$AL$10,MATCH(V$7,'Inputs (2)'!$D$2:$AL$2,0))</f>
        <v>-210.312</v>
      </c>
      <c r="W125" s="3">
        <f>SUM(S125:V125)</f>
        <v>-797.415</v>
      </c>
      <c r="X125" s="25">
        <f>INDEX('Inputs (2)'!$D$10:$AL$10,MATCH(X$7,'Inputs (2)'!$D$2:$AL$2,0))</f>
        <v>-282.37</v>
      </c>
      <c r="Y125" s="25">
        <f>INDEX('Inputs (2)'!$D$10:$AL$10,MATCH(Y$7,'Inputs (2)'!$D$2:$AL$2,0))</f>
        <v>-366.55</v>
      </c>
      <c r="Z125" s="25">
        <f>INDEX('Inputs (2)'!$D$10:$AL$10,MATCH(Z$7,'Inputs (2)'!$D$2:$AL$2,0))</f>
        <v>-339.445</v>
      </c>
      <c r="AA125" s="25">
        <f>INDEX('Inputs (2)'!$D$10:$AL$10,MATCH(AA$7,'Inputs (2)'!$D$2:$AL$2,0))</f>
        <v>-265.661</v>
      </c>
      <c r="AB125" s="3">
        <f>SUM(X125:AA125)</f>
        <v>-1254.026</v>
      </c>
      <c r="AC125" s="25">
        <f>INDEX('Inputs (2)'!$D$10:$AL$10,MATCH(AC$7,'Inputs (2)'!$D$2:$AL$2,0))</f>
        <v>-323.375</v>
      </c>
      <c r="AD125" s="25">
        <f>INDEX('Inputs (2)'!$D$10:$AL$10,MATCH(AD$7,'Inputs (2)'!$D$2:$AL$2,0))</f>
        <v>-506.262</v>
      </c>
      <c r="AE125" s="25">
        <f>INDEX('Inputs (2)'!$D$10:$AL$10,MATCH(AE$7,'Inputs (2)'!$D$2:$AL$2,0))</f>
        <v>-562.494</v>
      </c>
      <c r="AF125" s="25">
        <f>INDEX('Inputs (2)'!$D$10:$AL$10,MATCH(AF$7,'Inputs (2)'!$D$2:$AL$2,0))</f>
        <v>-349.22</v>
      </c>
      <c r="AG125" s="3">
        <f>SUM(AC125:AF125)</f>
        <v>-1741.351</v>
      </c>
      <c r="AH125" s="3">
        <f>INDEX('Inputs (2)'!$D$10:$AL$10,MATCH(AH$7,'Inputs (2)'!$D$2:$AL$2,0))</f>
        <v>-1264.295</v>
      </c>
      <c r="AI125" s="3">
        <f>INDEX('Inputs (2)'!$D$10:$AL$10,MATCH(AI$7,'Inputs (2)'!$D$2:$AL$2,0))</f>
        <v>-667.172</v>
      </c>
      <c r="AJ125" s="3">
        <f>AJ126*-AJ124</f>
        <v>0</v>
      </c>
      <c r="AK125" s="3">
        <f>AK126*-AK124</f>
        <v>0</v>
      </c>
      <c r="AL125" s="3">
        <f>SUM(AH125:AK125)</f>
        <v>-1931.467</v>
      </c>
      <c r="AM125" s="3">
        <f>AM126*-AM124</f>
        <v>0</v>
      </c>
      <c r="AN125" s="3">
        <f>AN126*-AN124</f>
        <v>0</v>
      </c>
      <c r="AO125" s="3">
        <f>AO126*-AO124</f>
        <v>0</v>
      </c>
      <c r="AP125" s="3">
        <f>AP126*-AP124</f>
        <v>0</v>
      </c>
      <c r="AQ125" s="3">
        <f>SUM(AM125:AP125)</f>
        <v>0</v>
      </c>
      <c r="AR125" s="3">
        <f>AR126*-AR124</f>
        <v>0</v>
      </c>
      <c r="AS125" s="3">
        <f>AS126*-AS124</f>
        <v>0</v>
      </c>
      <c r="AT125" s="3">
        <f>AT126*-AT124</f>
        <v>0</v>
      </c>
      <c r="AU125" s="3">
        <f>AU126*-AU124</f>
        <v>0</v>
      </c>
      <c r="AV125" s="3">
        <f>SUM(AR125:AU125)</f>
        <v>0</v>
      </c>
      <c r="AW125" s="3">
        <f>AW126*-AW124</f>
        <v>0</v>
      </c>
      <c r="AX125" s="3">
        <f>AX126*-AX124</f>
        <v>0</v>
      </c>
      <c r="AY125" s="3">
        <f>AY126*-AY124</f>
        <v>0</v>
      </c>
      <c r="AZ125" s="3">
        <f>AZ126*-AZ124</f>
        <v>0</v>
      </c>
      <c r="BA125" s="3">
        <f>SUM(AW125:AZ125)</f>
        <v>0</v>
      </c>
      <c r="BB125" s="3">
        <f>BB126*-BB124</f>
        <v>0</v>
      </c>
      <c r="BC125" s="3">
        <f>BC126*-BC124</f>
        <v>0</v>
      </c>
      <c r="BD125" s="3">
        <f>BD126*-BD124</f>
        <v>0</v>
      </c>
      <c r="BE125" s="3">
        <f>BE126*-BE124</f>
        <v>0</v>
      </c>
      <c r="BF125" s="3">
        <f>SUM(BB125:BE125)</f>
        <v>0</v>
      </c>
      <c r="BG125" s="3">
        <f>BG126*-BG124</f>
        <v>0</v>
      </c>
      <c r="BH125" s="3">
        <f>BH126*-BH124</f>
        <v>0</v>
      </c>
      <c r="BI125" s="3">
        <f>BI126*-BI124</f>
        <v>0</v>
      </c>
      <c r="BJ125" s="3">
        <f>BJ126*-BJ124</f>
        <v>0</v>
      </c>
      <c r="BK125" s="3">
        <f>SUM(BG125:BJ125)</f>
        <v>0</v>
      </c>
      <c r="BL125" s="3">
        <f>BL126*-BL124</f>
        <v>0</v>
      </c>
      <c r="BM125" s="3">
        <f>BM126*-BM124</f>
        <v>0</v>
      </c>
      <c r="BN125" s="3">
        <f>BN126*-BN124</f>
        <v>0</v>
      </c>
      <c r="BO125" s="3">
        <f>BO126*-BO124</f>
        <v>0</v>
      </c>
      <c r="BP125" s="3">
        <f>SUM(BL125:BO125)</f>
        <v>0</v>
      </c>
      <c r="BQ125" s="3">
        <f>BQ126*-BQ124</f>
        <v>0</v>
      </c>
      <c r="BR125" s="3">
        <f>BR126*-BR124</f>
        <v>0</v>
      </c>
      <c r="BS125" s="3">
        <f>BS126*-BS124</f>
        <v>0</v>
      </c>
      <c r="BT125" s="3">
        <f>BT126*-BT124</f>
        <v>0</v>
      </c>
      <c r="BU125" s="3">
        <f>SUM(BQ125:BT125)</f>
        <v>0</v>
      </c>
      <c r="BV125" s="3">
        <f>BV126*-BV124</f>
        <v>0</v>
      </c>
      <c r="BW125" s="3">
        <f>BW126*-BW124</f>
        <v>0</v>
      </c>
      <c r="BX125" s="3">
        <f>BX126*-BX124</f>
        <v>0</v>
      </c>
      <c r="BY125" s="3">
        <f>BY126*-BY124</f>
        <v>0</v>
      </c>
      <c r="BZ125" s="3">
        <f>SUM(BV125:BY125)</f>
        <v>0</v>
      </c>
      <c r="CA125" s="3">
        <f>CA126*-CA124</f>
        <v>0</v>
      </c>
      <c r="CB125" s="3">
        <f>CB126*-CB124</f>
        <v>0</v>
      </c>
      <c r="CC125" s="3">
        <f>CC126*-CC124</f>
        <v>0</v>
      </c>
      <c r="CD125" s="3">
        <f>CD126*-CD124</f>
        <v>0</v>
      </c>
      <c r="CE125" s="3">
        <f>SUM(CA125:CD125)</f>
        <v>0</v>
      </c>
      <c r="CF125" s="3">
        <f>CF126*-CF124</f>
        <v>0</v>
      </c>
      <c r="CG125" s="3">
        <f>CG126*-CG124</f>
        <v>0</v>
      </c>
      <c r="CH125" s="3">
        <f>CH126*-CH124</f>
        <v>0</v>
      </c>
      <c r="CI125" s="3">
        <f>CI126*-CI124</f>
        <v>0</v>
      </c>
      <c r="CJ125" s="3">
        <f>SUM(CF125:CI125)</f>
        <v>0</v>
      </c>
      <c r="CK125" s="3">
        <f>CK126*-CK124</f>
        <v>0</v>
      </c>
      <c r="CL125" s="3">
        <f>CL126*-CL124</f>
        <v>0</v>
      </c>
      <c r="CM125" s="3">
        <f>CM126*-CM124</f>
        <v>0</v>
      </c>
      <c r="CN125" s="3">
        <f>CN126*-CN124</f>
        <v>0</v>
      </c>
      <c r="CO125" s="3">
        <f>SUM(CK125:CN125)</f>
        <v>0</v>
      </c>
      <c r="CP125" s="3">
        <f>CP126*-CP124</f>
        <v>0</v>
      </c>
      <c r="CQ125" s="3">
        <f>CQ126*-CQ124</f>
        <v>0</v>
      </c>
      <c r="CR125" s="3">
        <f>CR126*-CR124</f>
        <v>0</v>
      </c>
      <c r="CS125" s="3">
        <f>CS126*-CS124</f>
        <v>0</v>
      </c>
      <c r="CT125" s="3">
        <f>SUM(CP125:CS125)</f>
        <v>0</v>
      </c>
      <c r="CU125" s="3">
        <f>CU126*-CU124</f>
        <v>0</v>
      </c>
      <c r="CV125" s="3">
        <f>CV126*-CV124</f>
        <v>0</v>
      </c>
      <c r="CW125" s="3">
        <f>CW126*-CW124</f>
        <v>0</v>
      </c>
      <c r="CX125" s="3">
        <f>CX126*-CX124</f>
        <v>0</v>
      </c>
      <c r="CY125" s="3">
        <f>SUM(CU125:CX125)</f>
        <v>0</v>
      </c>
    </row>
    <row r="126" hidden="1" outlineLevel="1">
      <c r="C126" s="34" t="inlineStr">
        <is>
          <t>% ETR</t>
        </is>
      </c>
      <c r="D126" s="48">
        <f>-D125/D124</f>
        <v>0.109066807393167</v>
      </c>
      <c r="E126" s="48">
        <f>-E125/E124</f>
        <v>0.304562949859116</v>
      </c>
      <c r="F126" s="48">
        <f>-F125/F124</f>
        <v>0.0829800571123441</v>
      </c>
      <c r="G126" s="48">
        <f>-G125/G124</f>
        <v>-0.0705722754172944</v>
      </c>
      <c r="H126" s="48">
        <f>-H125/H124</f>
        <v>0.136888473248777</v>
      </c>
      <c r="I126" s="48">
        <f>-I125/I124</f>
        <v>0.161114120310523</v>
      </c>
      <c r="J126" s="48">
        <f>-J125/J124</f>
        <v>0.151071440447889</v>
      </c>
      <c r="K126" s="48">
        <f>-K125/K124</f>
        <v>0.12756967510938</v>
      </c>
      <c r="L126" s="48">
        <f>-L125/L124</f>
        <v>-0.102706166617954</v>
      </c>
      <c r="M126" s="48">
        <f>-M125/M124</f>
        <v>0.123949012543101</v>
      </c>
      <c r="N126" s="48">
        <f>-N125/N124</f>
        <v>0.193083065446544</v>
      </c>
      <c r="O126" s="48">
        <f>-O125/O124</f>
        <v>0.112197745731196</v>
      </c>
      <c r="P126" s="48">
        <f>-P125/P124</f>
        <v>0.137870588286071</v>
      </c>
      <c r="Q126" s="48">
        <f>-Q125/Q124</f>
        <v>-0.405430140329467</v>
      </c>
      <c r="R126" s="48">
        <f>-R125/R124</f>
        <v>0.146659462922087</v>
      </c>
      <c r="S126" s="48">
        <f>-S125/S124</f>
        <v>0.111482673122405</v>
      </c>
      <c r="T126" s="48">
        <f>-T125/T124</f>
        <v>0.114165632525314</v>
      </c>
      <c r="U126" s="48">
        <f>-U125/U124</f>
        <v>0.121331092077783</v>
      </c>
      <c r="V126" s="48">
        <f>-V125/V124</f>
        <v>0.183174672298916</v>
      </c>
      <c r="W126" s="48">
        <f>-W125/W124</f>
        <v>0.128503296722776</v>
      </c>
      <c r="X126" s="48">
        <f>-X125/X124</f>
        <v>0.107998266642546</v>
      </c>
      <c r="Y126" s="48">
        <f>-Y125/Y124</f>
        <v>0.145811852389317</v>
      </c>
      <c r="Z126" s="48">
        <f>-Z125/Z124</f>
        <v>0.125582973295143</v>
      </c>
      <c r="AA126" s="48">
        <f>-AA125/AA124</f>
        <v>0.124474058553096</v>
      </c>
      <c r="AB126" s="48">
        <f>-AB125/AB124</f>
        <v>0.125834754296681</v>
      </c>
      <c r="AC126" s="48">
        <f>-AC125/AC124</f>
        <v>0.100623077387431</v>
      </c>
      <c r="AD126" s="48">
        <f>-AD125/AD124</f>
        <v>0.139401791184509</v>
      </c>
      <c r="AE126" s="48">
        <f>-AE125/AE124</f>
        <v>0.180900556697251</v>
      </c>
      <c r="AF126" s="44">
        <f>-AF125/AF124</f>
        <v>0.126175100921654</v>
      </c>
      <c r="AG126" s="48">
        <f>-AG125/AG124</f>
        <v>0.136871203198855</v>
      </c>
      <c r="AH126" s="44">
        <f>-AH125/AH124</f>
        <v>0.193108048374498</v>
      </c>
      <c r="AI126" s="44">
        <f>-AI125/AI124</f>
        <v>0.163981294729914</v>
      </c>
      <c r="AJ126" s="44" t="n"/>
      <c r="AK126" s="44" t="n"/>
      <c r="AL126" s="48">
        <f>-AL125/AL124</f>
        <v>0.142865279253321</v>
      </c>
      <c r="AM126" s="44" t="n"/>
      <c r="AN126" s="44" t="n"/>
      <c r="AO126" s="44" t="n"/>
      <c r="AP126" s="44" t="n"/>
      <c r="AQ126" s="48">
        <f>-AQ125/AQ124</f>
        <v>0</v>
      </c>
      <c r="AR126" s="44" t="n"/>
      <c r="AS126" s="44" t="n"/>
      <c r="AT126" s="44" t="n"/>
      <c r="AU126" s="44" t="n"/>
      <c r="AV126" s="48">
        <f>-AV125/AV124</f>
        <v>0</v>
      </c>
      <c r="AW126" s="44" t="n"/>
      <c r="AX126" s="44" t="n"/>
      <c r="AY126" s="44" t="n"/>
      <c r="AZ126" s="44" t="n"/>
      <c r="BA126" s="48">
        <f>-BA125/BA124</f>
        <v>0</v>
      </c>
      <c r="BB126" s="44" t="n"/>
      <c r="BC126" s="44" t="n"/>
      <c r="BD126" s="44" t="n"/>
      <c r="BE126" s="44" t="n"/>
      <c r="BF126" s="48">
        <f>-BF125/BF124</f>
        <v>0</v>
      </c>
      <c r="BG126" s="44" t="n"/>
      <c r="BH126" s="44" t="n"/>
      <c r="BI126" s="44" t="n"/>
      <c r="BJ126" s="44" t="n"/>
      <c r="BK126" s="48">
        <f>-BK125/BK124</f>
        <v>0</v>
      </c>
      <c r="BL126" s="44" t="n"/>
      <c r="BM126" s="44" t="n"/>
      <c r="BN126" s="44" t="n"/>
      <c r="BO126" s="44" t="n"/>
      <c r="BP126" s="48">
        <f>-BP125/BP124</f>
        <v>0</v>
      </c>
      <c r="BQ126" s="44" t="n"/>
      <c r="BR126" s="44" t="n"/>
      <c r="BS126" s="44" t="n"/>
      <c r="BT126" s="44" t="n"/>
      <c r="BU126" s="48">
        <f>-BU125/BU124</f>
        <v>0</v>
      </c>
      <c r="BV126" s="44" t="n"/>
      <c r="BW126" s="44" t="n"/>
      <c r="BX126" s="44" t="n"/>
      <c r="BY126" s="44" t="n"/>
      <c r="BZ126" s="48">
        <f>-BZ125/BZ124</f>
        <v>0</v>
      </c>
      <c r="CA126" s="44" t="n"/>
      <c r="CB126" s="44" t="n"/>
      <c r="CC126" s="44" t="n"/>
      <c r="CD126" s="44" t="n"/>
      <c r="CE126" s="48">
        <f>-CE125/CE124</f>
        <v>0</v>
      </c>
      <c r="CF126" s="44" t="n"/>
      <c r="CG126" s="44" t="n"/>
      <c r="CH126" s="44" t="n"/>
      <c r="CI126" s="44" t="n"/>
      <c r="CJ126" s="48">
        <f>-CJ125/CJ124</f>
        <v>0</v>
      </c>
      <c r="CK126" s="44" t="n"/>
      <c r="CL126" s="44" t="n"/>
      <c r="CM126" s="44" t="n"/>
      <c r="CN126" s="44" t="n"/>
      <c r="CO126" s="48">
        <f>-CO125/CO124</f>
        <v>0</v>
      </c>
      <c r="CP126" s="44" t="n"/>
      <c r="CQ126" s="44" t="n"/>
      <c r="CR126" s="44" t="n"/>
      <c r="CS126" s="44" t="n"/>
      <c r="CT126" s="48">
        <f>-CT125/CT124</f>
        <v>0</v>
      </c>
      <c r="CU126" s="44" t="n"/>
      <c r="CV126" s="44" t="n"/>
      <c r="CW126" s="44" t="n"/>
      <c r="CX126" s="44" t="n"/>
      <c r="CY126" s="48">
        <f>-CY125/CY124</f>
        <v>0</v>
      </c>
    </row>
    <row r="127" hidden="1" outlineLevel="1">
      <c r="C127" s="34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collapsed="1">
      <c r="C129" s="26" t="inlineStr">
        <is>
          <t>Equity in Income of Affiliates, after tax (enter as +)</t>
        </is>
      </c>
      <c r="D129" s="25">
        <f>INDEX('Inputs (2)'!$D$11:$AL$11,MATCH(D$7,'Inputs (2)'!$D$2:$AL$2,0))</f>
        <v>0</v>
      </c>
      <c r="E129" s="25">
        <f>INDEX('Inputs (2)'!$D$11:$AL$11,MATCH(E$7,'Inputs (2)'!$D$2:$AL$2,0))</f>
        <v>0</v>
      </c>
      <c r="F129" s="25">
        <f>INDEX('Inputs (2)'!$D$11:$AL$11,MATCH(F$7,'Inputs (2)'!$D$2:$AL$2,0))</f>
        <v>0</v>
      </c>
      <c r="G129" s="25">
        <f>INDEX('Inputs (2)'!$D$11:$AL$11,MATCH(G$7,'Inputs (2)'!$D$2:$AL$2,0))</f>
        <v>0</v>
      </c>
      <c r="H129" s="3">
        <f>SUM(D129:G129)</f>
        <v>0</v>
      </c>
      <c r="I129" s="25">
        <f>INDEX('Inputs (2)'!$D$11:$AL$11,MATCH(I$7,'Inputs (2)'!$D$2:$AL$2,0))</f>
        <v>0</v>
      </c>
      <c r="J129" s="25">
        <f>INDEX('Inputs (2)'!$D$11:$AL$11,MATCH(J$7,'Inputs (2)'!$D$2:$AL$2,0))</f>
        <v>0</v>
      </c>
      <c r="K129" s="25">
        <f>INDEX('Inputs (2)'!$D$11:$AL$11,MATCH(K$7,'Inputs (2)'!$D$2:$AL$2,0))</f>
        <v>0</v>
      </c>
      <c r="L129" s="25">
        <f>INDEX('Inputs (2)'!$D$11:$AL$11,MATCH(L$7,'Inputs (2)'!$D$2:$AL$2,0))</f>
        <v>0</v>
      </c>
      <c r="M129" s="3">
        <f>SUM(I129:L129)</f>
        <v>0</v>
      </c>
      <c r="N129" s="25">
        <f>INDEX('Inputs (2)'!$D$11:$AL$11,MATCH(N$7,'Inputs (2)'!$D$2:$AL$2,0))</f>
        <v>0</v>
      </c>
      <c r="O129" s="25">
        <f>INDEX('Inputs (2)'!$D$11:$AL$11,MATCH(O$7,'Inputs (2)'!$D$2:$AL$2,0))</f>
        <v>0</v>
      </c>
      <c r="P129" s="25">
        <f>INDEX('Inputs (2)'!$D$11:$AL$11,MATCH(P$7,'Inputs (2)'!$D$2:$AL$2,0))</f>
        <v>0</v>
      </c>
      <c r="Q129" s="25">
        <f>INDEX('Inputs (2)'!$D$11:$AL$11,MATCH(Q$7,'Inputs (2)'!$D$2:$AL$2,0))</f>
        <v>0</v>
      </c>
      <c r="R129" s="3">
        <f>SUM(N129:Q129)</f>
        <v>0</v>
      </c>
      <c r="S129" s="25">
        <f>INDEX('Inputs (2)'!$D$11:$AL$11,MATCH(S$7,'Inputs (2)'!$D$2:$AL$2,0))</f>
        <v>0</v>
      </c>
      <c r="T129" s="25">
        <f>INDEX('Inputs (2)'!$D$11:$AL$11,MATCH(T$7,'Inputs (2)'!$D$2:$AL$2,0))</f>
        <v>0</v>
      </c>
      <c r="U129" s="25">
        <f>INDEX('Inputs (2)'!$D$11:$AL$11,MATCH(U$7,'Inputs (2)'!$D$2:$AL$2,0))</f>
        <v>0</v>
      </c>
      <c r="V129" s="25">
        <f>INDEX('Inputs (2)'!$D$11:$AL$11,MATCH(V$7,'Inputs (2)'!$D$2:$AL$2,0))</f>
        <v>0</v>
      </c>
      <c r="W129" s="3">
        <f>SUM(S129:V129)</f>
        <v>0</v>
      </c>
      <c r="X129" s="25">
        <f>INDEX('Inputs (2)'!$D$11:$AL$11,MATCH(X$7,'Inputs (2)'!$D$2:$AL$2,0))</f>
        <v>0</v>
      </c>
      <c r="Y129" s="25">
        <f>INDEX('Inputs (2)'!$D$11:$AL$11,MATCH(Y$7,'Inputs (2)'!$D$2:$AL$2,0))</f>
        <v>0</v>
      </c>
      <c r="Z129" s="25">
        <f>INDEX('Inputs (2)'!$D$11:$AL$11,MATCH(Z$7,'Inputs (2)'!$D$2:$AL$2,0))</f>
        <v>0</v>
      </c>
      <c r="AA129" s="25">
        <f>INDEX('Inputs (2)'!$D$11:$AL$11,MATCH(AA$7,'Inputs (2)'!$D$2:$AL$2,0))</f>
        <v>0</v>
      </c>
      <c r="AB129" s="3">
        <f>SUM(X129:AA129)</f>
        <v>0</v>
      </c>
      <c r="AC129" s="25">
        <f>INDEX('Inputs (2)'!$D$11:$AL$11,MATCH(AC$7,'Inputs (2)'!$D$2:$AL$2,0))</f>
        <v>0</v>
      </c>
      <c r="AD129" s="25">
        <f>INDEX('Inputs (2)'!$D$11:$AL$11,MATCH(AD$7,'Inputs (2)'!$D$2:$AL$2,0))</f>
        <v>0</v>
      </c>
      <c r="AE129" s="25">
        <f>INDEX('Inputs (2)'!$D$11:$AL$11,MATCH(AE$7,'Inputs (2)'!$D$2:$AL$2,0))</f>
        <v>0</v>
      </c>
      <c r="AF129" s="25">
        <f>INDEX('Inputs (2)'!$D$11:$AL$11,MATCH(AF$7,'Inputs (2)'!$D$2:$AL$2,0))</f>
        <v>0</v>
      </c>
      <c r="AG129" s="3">
        <f>SUM(AC129:AF129)</f>
        <v>0</v>
      </c>
      <c r="AH129" s="3">
        <f>INDEX('Inputs (2)'!$D$11:$AL$11,MATCH(AH$7,'Inputs (2)'!$D$2:$AL$2,0))</f>
        <v>0</v>
      </c>
      <c r="AI129" s="3">
        <f>INDEX('Inputs (2)'!$D$11:$AL$11,MATCH(AI$7,'Inputs (2)'!$D$2:$AL$2,0))</f>
        <v>0</v>
      </c>
      <c r="AJ129" s="3">
        <f>AE129*(1+AJ157)</f>
        <v>0</v>
      </c>
      <c r="AK129" s="3">
        <f>AF129*(1+AK157)</f>
        <v>0</v>
      </c>
      <c r="AL129" s="3">
        <f>SUM(AH129:AK129)</f>
        <v>0</v>
      </c>
      <c r="AM129" s="3">
        <f>AH129*(1+AM157)</f>
        <v>0</v>
      </c>
      <c r="AN129" s="3">
        <f>AI129*(1+AN157)</f>
        <v>0</v>
      </c>
      <c r="AO129" s="3">
        <f>AJ129*(1+AO157)</f>
        <v>0</v>
      </c>
      <c r="AP129" s="3">
        <f>AK129*(1+AP157)</f>
        <v>0</v>
      </c>
      <c r="AQ129" s="3">
        <f>SUM(AM129:AP129)</f>
        <v>0</v>
      </c>
      <c r="AR129" s="3">
        <f>AM129*(1+AR157)</f>
        <v>0</v>
      </c>
      <c r="AS129" s="3">
        <f>AN129*(1+AS157)</f>
        <v>0</v>
      </c>
      <c r="AT129" s="3">
        <f>AO129*(1+AT157)</f>
        <v>0</v>
      </c>
      <c r="AU129" s="3">
        <f>AP129*(1+AU157)</f>
        <v>0</v>
      </c>
      <c r="AV129" s="3">
        <f>SUM(AR129:AU129)</f>
        <v>0</v>
      </c>
      <c r="AW129" s="3">
        <f>AR129*(1+AW157)</f>
        <v>0</v>
      </c>
      <c r="AX129" s="3">
        <f>AS129*(1+AX157)</f>
        <v>0</v>
      </c>
      <c r="AY129" s="3">
        <f>AT129*(1+AY157)</f>
        <v>0</v>
      </c>
      <c r="AZ129" s="3">
        <f>AU129*(1+AZ157)</f>
        <v>0</v>
      </c>
      <c r="BA129" s="3">
        <f>SUM(AW129:AZ129)</f>
        <v>0</v>
      </c>
      <c r="BB129" s="3">
        <f>AW129*(1+BB157)</f>
        <v>0</v>
      </c>
      <c r="BC129" s="3">
        <f>AX129*(1+BC157)</f>
        <v>0</v>
      </c>
      <c r="BD129" s="3">
        <f>AY129*(1+BD157)</f>
        <v>0</v>
      </c>
      <c r="BE129" s="3">
        <f>AZ129*(1+BE157)</f>
        <v>0</v>
      </c>
      <c r="BF129" s="3">
        <f>SUM(BB129:BE129)</f>
        <v>0</v>
      </c>
      <c r="BG129" s="3">
        <f>BB129*(1+BG157)</f>
        <v>0</v>
      </c>
      <c r="BH129" s="3">
        <f>BC129*(1+BH157)</f>
        <v>0</v>
      </c>
      <c r="BI129" s="3">
        <f>BD129*(1+BI157)</f>
        <v>0</v>
      </c>
      <c r="BJ129" s="3">
        <f>BE129*(1+BJ157)</f>
        <v>0</v>
      </c>
      <c r="BK129" s="3">
        <f>SUM(BG129:BJ129)</f>
        <v>0</v>
      </c>
      <c r="BL129" s="3">
        <f>BG129*(1+BL157)</f>
        <v>0</v>
      </c>
      <c r="BM129" s="3">
        <f>BH129*(1+BM157)</f>
        <v>0</v>
      </c>
      <c r="BN129" s="3">
        <f>BI129*(1+BN157)</f>
        <v>0</v>
      </c>
      <c r="BO129" s="3">
        <f>BJ129*(1+BO157)</f>
        <v>0</v>
      </c>
      <c r="BP129" s="3">
        <f>SUM(BL129:BO129)</f>
        <v>0</v>
      </c>
      <c r="BQ129" s="3">
        <f>BL129*(1+BQ157)</f>
        <v>0</v>
      </c>
      <c r="BR129" s="3">
        <f>BM129*(1+BR157)</f>
        <v>0</v>
      </c>
      <c r="BS129" s="3">
        <f>BN129*(1+BS157)</f>
        <v>0</v>
      </c>
      <c r="BT129" s="3">
        <f>BO129*(1+BT157)</f>
        <v>0</v>
      </c>
      <c r="BU129" s="3">
        <f>SUM(BQ129:BT129)</f>
        <v>0</v>
      </c>
      <c r="BV129" s="3">
        <f>BQ129*(1+BV157)</f>
        <v>0</v>
      </c>
      <c r="BW129" s="3">
        <f>BR129*(1+BW157)</f>
        <v>0</v>
      </c>
      <c r="BX129" s="3">
        <f>BS129*(1+BX157)</f>
        <v>0</v>
      </c>
      <c r="BY129" s="3">
        <f>BT129*(1+BY157)</f>
        <v>0</v>
      </c>
      <c r="BZ129" s="3">
        <f>SUM(BV129:BY129)</f>
        <v>0</v>
      </c>
      <c r="CA129" s="3">
        <f>BV129*(1+CA157)</f>
        <v>0</v>
      </c>
      <c r="CB129" s="3">
        <f>BW129*(1+CB157)</f>
        <v>0</v>
      </c>
      <c r="CC129" s="3">
        <f>BX129*(1+CC157)</f>
        <v>0</v>
      </c>
      <c r="CD129" s="3">
        <f>BY129*(1+CD157)</f>
        <v>0</v>
      </c>
      <c r="CE129" s="3">
        <f>SUM(CA129:CD129)</f>
        <v>0</v>
      </c>
      <c r="CF129" s="3">
        <f>CA129*(1+CF157)</f>
        <v>0</v>
      </c>
      <c r="CG129" s="3">
        <f>CB129*(1+CG157)</f>
        <v>0</v>
      </c>
      <c r="CH129" s="3">
        <f>CC129*(1+CH157)</f>
        <v>0</v>
      </c>
      <c r="CI129" s="3">
        <f>CD129*(1+CI157)</f>
        <v>0</v>
      </c>
      <c r="CJ129" s="3">
        <f>SUM(CF129:CI129)</f>
        <v>0</v>
      </c>
      <c r="CK129" s="3">
        <f>CF129*(1+CK157)</f>
        <v>0</v>
      </c>
      <c r="CL129" s="3">
        <f>CG129*(1+CL157)</f>
        <v>0</v>
      </c>
      <c r="CM129" s="3">
        <f>CH129*(1+CM157)</f>
        <v>0</v>
      </c>
      <c r="CN129" s="3">
        <f>CI129*(1+CN157)</f>
        <v>0</v>
      </c>
      <c r="CO129" s="3">
        <f>SUM(CK129:CN129)</f>
        <v>0</v>
      </c>
      <c r="CP129" s="3">
        <f>CK129*(1+CP157)</f>
        <v>0</v>
      </c>
      <c r="CQ129" s="3">
        <f>CL129*(1+CQ157)</f>
        <v>0</v>
      </c>
      <c r="CR129" s="3">
        <f>CM129*(1+CR157)</f>
        <v>0</v>
      </c>
      <c r="CS129" s="3">
        <f>CN129*(1+CS157)</f>
        <v>0</v>
      </c>
      <c r="CT129" s="3">
        <f>SUM(CP129:CS129)</f>
        <v>0</v>
      </c>
      <c r="CU129" s="3">
        <f>CP129*(1+CU157)</f>
        <v>0</v>
      </c>
      <c r="CV129" s="3">
        <f>CQ129*(1+CV157)</f>
        <v>0</v>
      </c>
      <c r="CW129" s="3">
        <f>CR129*(1+CW157)</f>
        <v>0</v>
      </c>
      <c r="CX129" s="3">
        <f>CS129*(1+CX157)</f>
        <v>0</v>
      </c>
      <c r="CY129" s="3">
        <f>SUM(CU129:CX129)</f>
        <v>0</v>
      </c>
    </row>
    <row r="130">
      <c r="C130" s="26" t="inlineStr">
        <is>
          <t>Minority Interest Expense, after tax (enter as - )</t>
        </is>
      </c>
      <c r="D130" s="25">
        <f>INDEX('Inputs (2)'!$D$12:$AL$12,MATCH(D$7,'Inputs (2)'!$D$2:$AL$2,0))</f>
        <v>0</v>
      </c>
      <c r="E130" s="25">
        <f>INDEX('Inputs (2)'!$D$12:$AL$12,MATCH(E$7,'Inputs (2)'!$D$2:$AL$2,0))</f>
        <v>0</v>
      </c>
      <c r="F130" s="25">
        <f>INDEX('Inputs (2)'!$D$12:$AL$12,MATCH(F$7,'Inputs (2)'!$D$2:$AL$2,0))</f>
        <v>0</v>
      </c>
      <c r="G130" s="25">
        <f>INDEX('Inputs (2)'!$D$12:$AL$12,MATCH(G$7,'Inputs (2)'!$D$2:$AL$2,0))</f>
        <v>0</v>
      </c>
      <c r="H130" s="3">
        <f>SUM(D130:G130)</f>
        <v>0</v>
      </c>
      <c r="I130" s="25">
        <f>INDEX('Inputs (2)'!$D$12:$AL$12,MATCH(I$7,'Inputs (2)'!$D$2:$AL$2,0))</f>
        <v>0</v>
      </c>
      <c r="J130" s="25">
        <f>INDEX('Inputs (2)'!$D$12:$AL$12,MATCH(J$7,'Inputs (2)'!$D$2:$AL$2,0))</f>
        <v>0</v>
      </c>
      <c r="K130" s="25">
        <f>INDEX('Inputs (2)'!$D$12:$AL$12,MATCH(K$7,'Inputs (2)'!$D$2:$AL$2,0))</f>
        <v>0</v>
      </c>
      <c r="L130" s="25">
        <f>INDEX('Inputs (2)'!$D$12:$AL$12,MATCH(L$7,'Inputs (2)'!$D$2:$AL$2,0))</f>
        <v>0</v>
      </c>
      <c r="M130" s="3">
        <f>SUM(I130:L130)</f>
        <v>0</v>
      </c>
      <c r="N130" s="25">
        <f>INDEX('Inputs (2)'!$D$12:$AL$12,MATCH(N$7,'Inputs (2)'!$D$2:$AL$2,0))</f>
        <v>0</v>
      </c>
      <c r="O130" s="25">
        <f>INDEX('Inputs (2)'!$D$12:$AL$12,MATCH(O$7,'Inputs (2)'!$D$2:$AL$2,0))</f>
        <v>0</v>
      </c>
      <c r="P130" s="25">
        <f>INDEX('Inputs (2)'!$D$12:$AL$12,MATCH(P$7,'Inputs (2)'!$D$2:$AL$2,0))</f>
        <v>0</v>
      </c>
      <c r="Q130" s="25">
        <f>INDEX('Inputs (2)'!$D$12:$AL$12,MATCH(Q$7,'Inputs (2)'!$D$2:$AL$2,0))</f>
        <v>0</v>
      </c>
      <c r="R130" s="3">
        <f>SUM(N130:Q130)</f>
        <v>0</v>
      </c>
      <c r="S130" s="25">
        <f>INDEX('Inputs (2)'!$D$12:$AL$12,MATCH(S$7,'Inputs (2)'!$D$2:$AL$2,0))</f>
        <v>0</v>
      </c>
      <c r="T130" s="25">
        <f>INDEX('Inputs (2)'!$D$12:$AL$12,MATCH(T$7,'Inputs (2)'!$D$2:$AL$2,0))</f>
        <v>0</v>
      </c>
      <c r="U130" s="25">
        <f>INDEX('Inputs (2)'!$D$12:$AL$12,MATCH(U$7,'Inputs (2)'!$D$2:$AL$2,0))</f>
        <v>0</v>
      </c>
      <c r="V130" s="25">
        <f>INDEX('Inputs (2)'!$D$12:$AL$12,MATCH(V$7,'Inputs (2)'!$D$2:$AL$2,0))</f>
        <v>0</v>
      </c>
      <c r="W130" s="3">
        <f>SUM(S130:V130)</f>
        <v>0</v>
      </c>
      <c r="X130" s="25">
        <f>INDEX('Inputs (2)'!$D$12:$AL$12,MATCH(X$7,'Inputs (2)'!$D$2:$AL$2,0))</f>
        <v>0</v>
      </c>
      <c r="Y130" s="25">
        <f>INDEX('Inputs (2)'!$D$12:$AL$12,MATCH(Y$7,'Inputs (2)'!$D$2:$AL$2,0))</f>
        <v>0</v>
      </c>
      <c r="Z130" s="25">
        <f>INDEX('Inputs (2)'!$D$12:$AL$12,MATCH(Z$7,'Inputs (2)'!$D$2:$AL$2,0))</f>
        <v>0</v>
      </c>
      <c r="AA130" s="25">
        <f>INDEX('Inputs (2)'!$D$12:$AL$12,MATCH(AA$7,'Inputs (2)'!$D$2:$AL$2,0))</f>
        <v>0</v>
      </c>
      <c r="AB130" s="3">
        <f>SUM(X130:AA130)</f>
        <v>0</v>
      </c>
      <c r="AC130" s="25">
        <f>INDEX('Inputs (2)'!$D$12:$AL$12,MATCH(AC$7,'Inputs (2)'!$D$2:$AL$2,0))</f>
        <v>0</v>
      </c>
      <c r="AD130" s="25">
        <f>INDEX('Inputs (2)'!$D$12:$AL$12,MATCH(AD$7,'Inputs (2)'!$D$2:$AL$2,0))</f>
        <v>0</v>
      </c>
      <c r="AE130" s="25">
        <f>INDEX('Inputs (2)'!$D$12:$AL$12,MATCH(AE$7,'Inputs (2)'!$D$2:$AL$2,0))</f>
        <v>0</v>
      </c>
      <c r="AF130" s="25">
        <f>INDEX('Inputs (2)'!$D$12:$AL$12,MATCH(AF$7,'Inputs (2)'!$D$2:$AL$2,0))</f>
        <v>0</v>
      </c>
      <c r="AG130" s="3">
        <f>SUM(AC130:AF130)</f>
        <v>0</v>
      </c>
      <c r="AH130" s="3">
        <f>INDEX('Inputs (2)'!$D$12:$AL$12,MATCH(AH$7,'Inputs (2)'!$D$2:$AL$2,0))</f>
        <v>0</v>
      </c>
      <c r="AI130" s="3">
        <f>INDEX('Inputs (2)'!$D$12:$AL$12,MATCH(AI$7,'Inputs (2)'!$D$2:$AL$2,0))</f>
        <v>0</v>
      </c>
      <c r="AJ130" s="3">
        <f>AE130*(1+AJ244)</f>
        <v>0</v>
      </c>
      <c r="AK130" s="3">
        <f>AF130*(1+AK244)</f>
        <v>0</v>
      </c>
      <c r="AL130" s="3">
        <f>SUM(AH130:AK130)</f>
        <v>0</v>
      </c>
      <c r="AM130" s="3">
        <f>AH130*(1+AM244)</f>
        <v>0</v>
      </c>
      <c r="AN130" s="3">
        <f>AI130*(1+AN244)</f>
        <v>0</v>
      </c>
      <c r="AO130" s="3">
        <f>AJ130*(1+AO244)</f>
        <v>0</v>
      </c>
      <c r="AP130" s="3">
        <f>AK130*(1+AP244)</f>
        <v>0</v>
      </c>
      <c r="AQ130" s="3">
        <f>SUM(AM130:AP130)</f>
        <v>0</v>
      </c>
      <c r="AR130" s="3">
        <f>AM130*(1+AR244)</f>
        <v>0</v>
      </c>
      <c r="AS130" s="3">
        <f>AN130*(1+AS244)</f>
        <v>0</v>
      </c>
      <c r="AT130" s="3">
        <f>AO130*(1+AT244)</f>
        <v>0</v>
      </c>
      <c r="AU130" s="3">
        <f>AP130*(1+AU244)</f>
        <v>0</v>
      </c>
      <c r="AV130" s="3">
        <f>SUM(AR130:AU130)</f>
        <v>0</v>
      </c>
      <c r="AW130" s="3">
        <f>AR130*(1+AW244)</f>
        <v>0</v>
      </c>
      <c r="AX130" s="3">
        <f>AS130*(1+AX244)</f>
        <v>0</v>
      </c>
      <c r="AY130" s="3">
        <f>AT130*(1+AY244)</f>
        <v>0</v>
      </c>
      <c r="AZ130" s="3">
        <f>AU130*(1+AZ244)</f>
        <v>0</v>
      </c>
      <c r="BA130" s="3">
        <f>SUM(AW130:AZ130)</f>
        <v>0</v>
      </c>
      <c r="BB130" s="3">
        <f>AW130*(1+BB244)</f>
        <v>0</v>
      </c>
      <c r="BC130" s="3">
        <f>AX130*(1+BC244)</f>
        <v>0</v>
      </c>
      <c r="BD130" s="3">
        <f>AY130*(1+BD244)</f>
        <v>0</v>
      </c>
      <c r="BE130" s="3">
        <f>AZ130*(1+BE244)</f>
        <v>0</v>
      </c>
      <c r="BF130" s="3">
        <f>SUM(BB130:BE130)</f>
        <v>0</v>
      </c>
      <c r="BG130" s="3">
        <f>BB130*(1+BG244)</f>
        <v>0</v>
      </c>
      <c r="BH130" s="3">
        <f>BC130*(1+BH244)</f>
        <v>0</v>
      </c>
      <c r="BI130" s="3">
        <f>BD130*(1+BI244)</f>
        <v>0</v>
      </c>
      <c r="BJ130" s="3">
        <f>BE130*(1+BJ244)</f>
        <v>0</v>
      </c>
      <c r="BK130" s="3">
        <f>SUM(BG130:BJ130)</f>
        <v>0</v>
      </c>
      <c r="BL130" s="3">
        <f>BG130*(1+BL244)</f>
        <v>0</v>
      </c>
      <c r="BM130" s="3">
        <f>BH130*(1+BM244)</f>
        <v>0</v>
      </c>
      <c r="BN130" s="3">
        <f>BI130*(1+BN244)</f>
        <v>0</v>
      </c>
      <c r="BO130" s="3">
        <f>BJ130*(1+BO244)</f>
        <v>0</v>
      </c>
      <c r="BP130" s="3">
        <f>SUM(BL130:BO130)</f>
        <v>0</v>
      </c>
      <c r="BQ130" s="3">
        <f>BL130*(1+BQ244)</f>
        <v>0</v>
      </c>
      <c r="BR130" s="3">
        <f>BM130*(1+BR244)</f>
        <v>0</v>
      </c>
      <c r="BS130" s="3">
        <f>BN130*(1+BS244)</f>
        <v>0</v>
      </c>
      <c r="BT130" s="3">
        <f>BO130*(1+BT244)</f>
        <v>0</v>
      </c>
      <c r="BU130" s="3">
        <f>SUM(BQ130:BT130)</f>
        <v>0</v>
      </c>
      <c r="BV130" s="3">
        <f>BQ130*(1+BV244)</f>
        <v>0</v>
      </c>
      <c r="BW130" s="3">
        <f>BR130*(1+BW244)</f>
        <v>0</v>
      </c>
      <c r="BX130" s="3">
        <f>BS130*(1+BX244)</f>
        <v>0</v>
      </c>
      <c r="BY130" s="3">
        <f>BT130*(1+BY244)</f>
        <v>0</v>
      </c>
      <c r="BZ130" s="3">
        <f>SUM(BV130:BY130)</f>
        <v>0</v>
      </c>
      <c r="CA130" s="3">
        <f>BV130*(1+CA244)</f>
        <v>0</v>
      </c>
      <c r="CB130" s="3">
        <f>BW130*(1+CB244)</f>
        <v>0</v>
      </c>
      <c r="CC130" s="3">
        <f>BX130*(1+CC244)</f>
        <v>0</v>
      </c>
      <c r="CD130" s="3">
        <f>BY130*(1+CD244)</f>
        <v>0</v>
      </c>
      <c r="CE130" s="3">
        <f>SUM(CA130:CD130)</f>
        <v>0</v>
      </c>
      <c r="CF130" s="3">
        <f>CA130*(1+CF244)</f>
        <v>0</v>
      </c>
      <c r="CG130" s="3">
        <f>CB130*(1+CG244)</f>
        <v>0</v>
      </c>
      <c r="CH130" s="3">
        <f>CC130*(1+CH244)</f>
        <v>0</v>
      </c>
      <c r="CI130" s="3">
        <f>CD130*(1+CI244)</f>
        <v>0</v>
      </c>
      <c r="CJ130" s="3">
        <f>SUM(CF130:CI130)</f>
        <v>0</v>
      </c>
      <c r="CK130" s="3">
        <f>CF130*(1+CK244)</f>
        <v>0</v>
      </c>
      <c r="CL130" s="3">
        <f>CG130*(1+CL244)</f>
        <v>0</v>
      </c>
      <c r="CM130" s="3">
        <f>CH130*(1+CM244)</f>
        <v>0</v>
      </c>
      <c r="CN130" s="3">
        <f>CI130*(1+CN244)</f>
        <v>0</v>
      </c>
      <c r="CO130" s="3">
        <f>SUM(CK130:CN130)</f>
        <v>0</v>
      </c>
      <c r="CP130" s="3">
        <f>CK130*(1+CP244)</f>
        <v>0</v>
      </c>
      <c r="CQ130" s="3">
        <f>CL130*(1+CQ244)</f>
        <v>0</v>
      </c>
      <c r="CR130" s="3">
        <f>CM130*(1+CR244)</f>
        <v>0</v>
      </c>
      <c r="CS130" s="3">
        <f>CN130*(1+CS244)</f>
        <v>0</v>
      </c>
      <c r="CT130" s="3">
        <f>SUM(CP130:CS130)</f>
        <v>0</v>
      </c>
      <c r="CU130" s="3">
        <f>CP130*(1+CU244)</f>
        <v>0</v>
      </c>
      <c r="CV130" s="3">
        <f>CQ130*(1+CV244)</f>
        <v>0</v>
      </c>
      <c r="CW130" s="3">
        <f>CR130*(1+CW244)</f>
        <v>0</v>
      </c>
      <c r="CX130" s="3">
        <f>CS130*(1+CX244)</f>
        <v>0</v>
      </c>
      <c r="CY130" s="3">
        <f>SUM(CU130:CX130)</f>
        <v>0</v>
      </c>
    </row>
    <row r="131" customFormat="1" s="17">
      <c r="A131" s="13" t="n"/>
      <c r="B131" s="1" t="n"/>
      <c r="C131" s="14" t="inlineStr">
        <is>
          <t>Net Income</t>
        </is>
      </c>
      <c r="D131" s="16">
        <f>SUM(D124,D125,D129,D130)</f>
        <v>709.067</v>
      </c>
      <c r="E131" s="16">
        <f>SUM(E124,E125,E129,E130)</f>
        <v>720.196</v>
      </c>
      <c r="F131" s="16">
        <f>SUM(F124,F125,F129,F130)</f>
        <v>789.976</v>
      </c>
      <c r="G131" s="16">
        <f>SUM(G124,G125,G129,G130)</f>
        <v>542.156</v>
      </c>
      <c r="H131" s="16">
        <f>SUM(D131:G131)</f>
        <v>2761.395</v>
      </c>
      <c r="I131" s="16">
        <f>SUM(I124,I125,I129,I130)</f>
        <v>1706.715</v>
      </c>
      <c r="J131" s="16">
        <f>SUM(J124,J125,J129,J130)</f>
        <v>1353.013</v>
      </c>
      <c r="K131" s="16">
        <f>SUM(K124,K125,K129,K130)</f>
        <v>1449.071</v>
      </c>
      <c r="L131" s="16">
        <f>SUM(L124,L125,L129,L130)</f>
        <v>607.428999999999</v>
      </c>
      <c r="M131" s="16">
        <f>SUM(I131:L131)</f>
        <v>5116.228</v>
      </c>
      <c r="N131" s="16">
        <f>SUM(N124,N125,N129,N130)</f>
        <v>1597.447</v>
      </c>
      <c r="O131" s="16">
        <f>SUM(O124,O125,O129,O130)</f>
        <v>1440.951</v>
      </c>
      <c r="P131" s="16">
        <f>SUM(P124,P125,P129,P130)</f>
        <v>1398.242</v>
      </c>
      <c r="Q131" s="16">
        <f>SUM(Q124,Q125,Q129,Q130)</f>
        <v>55.2840000000002</v>
      </c>
      <c r="R131" s="16">
        <f>SUM(N131:Q131)</f>
        <v>4491.924</v>
      </c>
      <c r="S131" s="16">
        <f>SUM(S124,S125,S129,S130)</f>
        <v>1305.12</v>
      </c>
      <c r="T131" s="16">
        <f>SUM(T124,T125,T129,T130)</f>
        <v>1487.61</v>
      </c>
      <c r="U131" s="16">
        <f>SUM(U124,U125,U129,U130)</f>
        <v>1677.422</v>
      </c>
      <c r="V131" s="16">
        <f>SUM(V124,V125,V129,V130)</f>
        <v>937.837999999999</v>
      </c>
      <c r="W131" s="16">
        <f>SUM(S131:V131)</f>
        <v>5407.99</v>
      </c>
      <c r="X131" s="16">
        <f>SUM(X124,X125,X129,X130)</f>
        <v>2332.209</v>
      </c>
      <c r="Y131" s="16">
        <f>SUM(Y124,Y125,Y129,Y130)</f>
        <v>2147.306</v>
      </c>
      <c r="Z131" s="16">
        <f>SUM(Z124,Z125,Z129,Z130)</f>
        <v>2363.509</v>
      </c>
      <c r="AA131" s="16">
        <f>SUM(AA124,AA125,AA129,AA130)</f>
        <v>1868.607</v>
      </c>
      <c r="AB131" s="16">
        <f>SUM(X131:AA131)</f>
        <v>8711.631</v>
      </c>
      <c r="AC131" s="16">
        <f>SUM(AC124,AC125,AC129,AC130)</f>
        <v>2890.351</v>
      </c>
      <c r="AD131" s="16">
        <f>SUM(AD124,AD125,AD129,AD130)</f>
        <v>3125.413</v>
      </c>
      <c r="AE131" s="16">
        <f>SUM(AE124,AE125,AE129,AE130)</f>
        <v>2546.916</v>
      </c>
      <c r="AF131" s="16">
        <f>SUM(AF124,AF125,AF129,AF130)</f>
        <v>2418.521</v>
      </c>
      <c r="AG131" s="16">
        <f>SUM(AC131:AF131)</f>
        <v>10981.201</v>
      </c>
      <c r="AH131" s="16">
        <f>SUM(AH124,AH125,AH129,AH130)</f>
        <v>5282.791</v>
      </c>
      <c r="AI131" s="16">
        <f>SUM(AI124,AI125,AI129,AI130)</f>
        <v>3401.414</v>
      </c>
      <c r="AJ131" s="16">
        <f>SUM(AJ124,AJ125,AJ129,AJ130)</f>
        <v>2852.166</v>
      </c>
      <c r="AK131" s="16">
        <f>SUM(AK124,AK125,AK129,AK130)</f>
        <v>51.661</v>
      </c>
      <c r="AL131" s="16">
        <f>SUM(AH131:AK131)</f>
        <v>11588.032</v>
      </c>
      <c r="AM131" s="16">
        <f>SUM(AM124,AM125,AM129,AM130)</f>
        <v>51.661</v>
      </c>
      <c r="AN131" s="16">
        <f>SUM(AN124,AN125,AN129,AN130)</f>
        <v>5807.654</v>
      </c>
      <c r="AO131" s="16">
        <f>SUM(AO124,AO125,AO129,AO130)</f>
        <v>51.661</v>
      </c>
      <c r="AP131" s="16">
        <f>SUM(AP124,AP125,AP129,AP130)</f>
        <v>5807.654</v>
      </c>
      <c r="AQ131" s="16">
        <f>SUM(AM131:AP131)</f>
        <v>11718.63</v>
      </c>
      <c r="AR131" s="16">
        <f>SUM(AR124,AR125,AR129,AR130)</f>
        <v>5807.654</v>
      </c>
      <c r="AS131" s="16">
        <f>SUM(AS124,AS125,AS129,AS130)</f>
        <v>11718.63</v>
      </c>
      <c r="AT131" s="16">
        <f>SUM(AT124,AT125,AT129,AT130)</f>
        <v>5807.654</v>
      </c>
      <c r="AU131" s="16">
        <f>SUM(AU124,AU125,AU129,AU130)</f>
        <v>11718.63</v>
      </c>
      <c r="AV131" s="16">
        <f>SUM(AR131:AU131)</f>
        <v>35052.568</v>
      </c>
      <c r="AW131" s="16">
        <f>SUM(AW124,AW125,AW129,AW130)</f>
        <v>11718.63</v>
      </c>
      <c r="AX131" s="16">
        <f>SUM(AX124,AX125,AX129,AX130)</f>
        <v>35052.568</v>
      </c>
      <c r="AY131" s="16">
        <f>SUM(AY124,AY125,AY129,AY130)</f>
        <v>11718.63</v>
      </c>
      <c r="AZ131" s="16">
        <f>SUM(AZ124,AZ125,AZ129,AZ130)</f>
        <v>35052.568</v>
      </c>
      <c r="BA131" s="16">
        <f>SUM(AW131:AZ131)</f>
        <v>93542.396</v>
      </c>
      <c r="BB131" s="16">
        <f>SUM(BB124,BB125,BB129,BB130)</f>
        <v>35052.568</v>
      </c>
      <c r="BC131" s="16">
        <f>SUM(BC124,BC125,BC129,BC130)</f>
        <v>93542.396</v>
      </c>
      <c r="BD131" s="16">
        <f>SUM(BD124,BD125,BD129,BD130)</f>
        <v>35052.568</v>
      </c>
      <c r="BE131" s="16">
        <f>SUM(BE124,BE125,BE129,BE130)</f>
        <v>93542.396</v>
      </c>
      <c r="BF131" s="16">
        <f>SUM(BB131:BE131)</f>
        <v>257189.928</v>
      </c>
      <c r="BG131" s="16">
        <f>SUM(BG124,BG125,BG129,BG130)</f>
        <v>93542.396</v>
      </c>
      <c r="BH131" s="16">
        <f>SUM(BH124,BH125,BH129,BH130)</f>
        <v>257189.928</v>
      </c>
      <c r="BI131" s="16">
        <f>SUM(BI124,BI125,BI129,BI130)</f>
        <v>93542.396</v>
      </c>
      <c r="BJ131" s="16">
        <f>SUM(BJ124,BJ125,BJ129,BJ130)</f>
        <v>257189.928</v>
      </c>
      <c r="BK131" s="16">
        <f>SUM(BG131:BJ131)</f>
        <v>701464.648</v>
      </c>
      <c r="BL131" s="16">
        <f>SUM(BL124,BL125,BL129,BL130)</f>
        <v>257189.928</v>
      </c>
      <c r="BM131" s="16">
        <f>SUM(BM124,BM125,BM129,BM130)</f>
        <v>701464.648</v>
      </c>
      <c r="BN131" s="16">
        <f>SUM(BN124,BN125,BN129,BN130)</f>
        <v>257189.928</v>
      </c>
      <c r="BO131" s="16">
        <f>SUM(BO124,BO125,BO129,BO130)</f>
        <v>701464.648</v>
      </c>
      <c r="BP131" s="16">
        <f>SUM(BL131:BO131)</f>
        <v>1917309.152</v>
      </c>
      <c r="BQ131" s="16">
        <f>SUM(BQ124,BQ125,BQ129,BQ130)</f>
        <v>701464.648</v>
      </c>
      <c r="BR131" s="16">
        <f>SUM(BR124,BR125,BR129,BR130)</f>
        <v>1917309.152</v>
      </c>
      <c r="BS131" s="16">
        <f>SUM(BS124,BS125,BS129,BS130)</f>
        <v>701464.648</v>
      </c>
      <c r="BT131" s="16">
        <f>SUM(BT124,BT125,BT129,BT130)</f>
        <v>1917309.152</v>
      </c>
      <c r="BU131" s="16">
        <f>SUM(BQ131:BT131)</f>
        <v>5237547.6</v>
      </c>
      <c r="BV131" s="16">
        <f>SUM(BV124,BV125,BV129,BV130)</f>
        <v>1917309.152</v>
      </c>
      <c r="BW131" s="16">
        <f>SUM(BW124,BW125,BW129,BW130)</f>
        <v>5237547.6</v>
      </c>
      <c r="BX131" s="16">
        <f>SUM(BX124,BX125,BX129,BX130)</f>
        <v>1917309.152</v>
      </c>
      <c r="BY131" s="16">
        <f>SUM(BY124,BY125,BY129,BY130)</f>
        <v>5237547.6</v>
      </c>
      <c r="BZ131" s="16">
        <f>SUM(BV131:BY131)</f>
        <v>14309713.504</v>
      </c>
      <c r="CA131" s="16">
        <f>SUM(CA124,CA125,CA129,CA130)</f>
        <v>5237547.6</v>
      </c>
      <c r="CB131" s="16">
        <f>SUM(CB124,CB125,CB129,CB130)</f>
        <v>14309713.504</v>
      </c>
      <c r="CC131" s="16">
        <f>SUM(CC124,CC125,CC129,CC130)</f>
        <v>5237547.6</v>
      </c>
      <c r="CD131" s="16">
        <f>SUM(CD124,CD125,CD129,CD130)</f>
        <v>14309713.504</v>
      </c>
      <c r="CE131" s="16">
        <f>SUM(CA131:CD131)</f>
        <v>39094522.208</v>
      </c>
      <c r="CF131" s="16">
        <f>SUM(CF124,CF125,CF129,CF130)</f>
        <v>14309713.504</v>
      </c>
      <c r="CG131" s="16">
        <f>SUM(CG124,CG125,CG129,CG130)</f>
        <v>39094522.208</v>
      </c>
      <c r="CH131" s="16">
        <f>SUM(CH124,CH125,CH129,CH130)</f>
        <v>14309713.504</v>
      </c>
      <c r="CI131" s="16">
        <f>SUM(CI124,CI125,CI129,CI130)</f>
        <v>39094522.208</v>
      </c>
      <c r="CJ131" s="16">
        <f>SUM(CF131:CI131)</f>
        <v>106808471.424</v>
      </c>
      <c r="CK131" s="16">
        <f>SUM(CK124,CK125,CK129,CK130)</f>
        <v>39094522.208</v>
      </c>
      <c r="CL131" s="16">
        <f>SUM(CL124,CL125,CL129,CL130)</f>
        <v>106808471.424</v>
      </c>
      <c r="CM131" s="16">
        <f>SUM(CM124,CM125,CM129,CM130)</f>
        <v>39094522.208</v>
      </c>
      <c r="CN131" s="16">
        <f>SUM(CN124,CN125,CN129,CN130)</f>
        <v>106808471.424</v>
      </c>
      <c r="CO131" s="16">
        <f>SUM(CK131:CN131)</f>
        <v>291805987.264</v>
      </c>
      <c r="CP131" s="16">
        <f>SUM(CP124,CP125,CP129,CP130)</f>
        <v>106808471.424</v>
      </c>
      <c r="CQ131" s="16">
        <f>SUM(CQ124,CQ125,CQ129,CQ130)</f>
        <v>291805987.264</v>
      </c>
      <c r="CR131" s="16">
        <f>SUM(CR124,CR125,CR129,CR130)</f>
        <v>106808471.424</v>
      </c>
      <c r="CS131" s="16">
        <f>SUM(CS124,CS125,CS129,CS130)</f>
        <v>291805987.264</v>
      </c>
      <c r="CT131" s="16">
        <f>SUM(CP131:CS131)</f>
        <v>797228917.376</v>
      </c>
      <c r="CU131" s="16">
        <f>SUM(CU124,CU125,CU129,CU130)</f>
        <v>291805987.264</v>
      </c>
      <c r="CV131" s="16">
        <f>SUM(CV124,CV125,CV129,CV130)</f>
        <v>797228917.376</v>
      </c>
      <c r="CW131" s="16">
        <f>SUM(CW124,CW125,CW129,CW130)</f>
        <v>291805987.264</v>
      </c>
      <c r="CX131" s="16">
        <f>SUM(CX124,CX125,CX129,CX130)</f>
        <v>797228917.376</v>
      </c>
      <c r="CY131" s="16">
        <f>SUM(CU131:CX131)</f>
        <v>2178069809.28</v>
      </c>
    </row>
    <row r="132">
      <c r="C132" s="24" t="inlineStr">
        <is>
          <t>Common Dividends</t>
        </is>
      </c>
      <c r="D132" s="25">
        <f>INDEX('Inputs (2)'!$D$13:$AL$13,MATCH(D$7,'Inputs (2)'!$D$2:$AL$2,0))</f>
        <v>0</v>
      </c>
      <c r="E132" s="25">
        <f>INDEX('Inputs (2)'!$D$13:$AL$13,MATCH(E$7,'Inputs (2)'!$D$2:$AL$2,0))</f>
        <v>0</v>
      </c>
      <c r="F132" s="25">
        <f>INDEX('Inputs (2)'!$D$13:$AL$13,MATCH(F$7,'Inputs (2)'!$D$2:$AL$2,0))</f>
        <v>0</v>
      </c>
      <c r="G132" s="25">
        <f>INDEX('Inputs (2)'!$D$13:$AL$13,MATCH(G$7,'Inputs (2)'!$D$2:$AL$2,0))</f>
        <v>0</v>
      </c>
      <c r="H132" s="3">
        <f>SUM(D132:G132)</f>
        <v>0</v>
      </c>
      <c r="I132" s="25">
        <f>INDEX('Inputs (2)'!$D$13:$AL$13,MATCH(I$7,'Inputs (2)'!$D$2:$AL$2,0))</f>
        <v>0</v>
      </c>
      <c r="J132" s="25">
        <f>INDEX('Inputs (2)'!$D$13:$AL$13,MATCH(J$7,'Inputs (2)'!$D$2:$AL$2,0))</f>
        <v>0</v>
      </c>
      <c r="K132" s="25">
        <f>INDEX('Inputs (2)'!$D$13:$AL$13,MATCH(K$7,'Inputs (2)'!$D$2:$AL$2,0))</f>
        <v>0</v>
      </c>
      <c r="L132" s="25">
        <f>INDEX('Inputs (2)'!$D$13:$AL$13,MATCH(L$7,'Inputs (2)'!$D$2:$AL$2,0))</f>
        <v>0</v>
      </c>
      <c r="M132" s="3">
        <f>SUM(I132:L132)</f>
        <v>0</v>
      </c>
      <c r="N132" s="25">
        <f>INDEX('Inputs (2)'!$D$13:$AL$13,MATCH(N$7,'Inputs (2)'!$D$2:$AL$2,0))</f>
        <v>0</v>
      </c>
      <c r="O132" s="25">
        <f>INDEX('Inputs (2)'!$D$13:$AL$13,MATCH(O$7,'Inputs (2)'!$D$2:$AL$2,0))</f>
        <v>0</v>
      </c>
      <c r="P132" s="25">
        <f>INDEX('Inputs (2)'!$D$13:$AL$13,MATCH(P$7,'Inputs (2)'!$D$2:$AL$2,0))</f>
        <v>0</v>
      </c>
      <c r="Q132" s="25">
        <f>INDEX('Inputs (2)'!$D$13:$AL$13,MATCH(Q$7,'Inputs (2)'!$D$2:$AL$2,0))</f>
        <v>0</v>
      </c>
      <c r="R132" s="3">
        <f>SUM(N132:Q132)</f>
        <v>0</v>
      </c>
      <c r="S132" s="25">
        <f>INDEX('Inputs (2)'!$D$13:$AL$13,MATCH(S$7,'Inputs (2)'!$D$2:$AL$2,0))</f>
        <v>0</v>
      </c>
      <c r="T132" s="25">
        <f>INDEX('Inputs (2)'!$D$13:$AL$13,MATCH(T$7,'Inputs (2)'!$D$2:$AL$2,0))</f>
        <v>0</v>
      </c>
      <c r="U132" s="25">
        <f>INDEX('Inputs (2)'!$D$13:$AL$13,MATCH(U$7,'Inputs (2)'!$D$2:$AL$2,0))</f>
        <v>0</v>
      </c>
      <c r="V132" s="25">
        <f>INDEX('Inputs (2)'!$D$13:$AL$13,MATCH(V$7,'Inputs (2)'!$D$2:$AL$2,0))</f>
        <v>0</v>
      </c>
      <c r="W132" s="3">
        <f>SUM(S132:V132)</f>
        <v>0</v>
      </c>
      <c r="X132" s="25">
        <f>INDEX('Inputs (2)'!$D$13:$AL$13,MATCH(X$7,'Inputs (2)'!$D$2:$AL$2,0))</f>
        <v>0</v>
      </c>
      <c r="Y132" s="25">
        <f>INDEX('Inputs (2)'!$D$13:$AL$13,MATCH(Y$7,'Inputs (2)'!$D$2:$AL$2,0))</f>
        <v>0</v>
      </c>
      <c r="Z132" s="25">
        <f>INDEX('Inputs (2)'!$D$13:$AL$13,MATCH(Z$7,'Inputs (2)'!$D$2:$AL$2,0))</f>
        <v>0</v>
      </c>
      <c r="AA132" s="25">
        <f>INDEX('Inputs (2)'!$D$13:$AL$13,MATCH(AA$7,'Inputs (2)'!$D$2:$AL$2,0))</f>
        <v>0</v>
      </c>
      <c r="AB132" s="3">
        <f>SUM(X132:AA132)</f>
        <v>0</v>
      </c>
      <c r="AC132" s="25">
        <f>INDEX('Inputs (2)'!$D$13:$AL$13,MATCH(AC$7,'Inputs (2)'!$D$2:$AL$2,0))</f>
        <v>0</v>
      </c>
      <c r="AD132" s="25">
        <f>INDEX('Inputs (2)'!$D$13:$AL$13,MATCH(AD$7,'Inputs (2)'!$D$2:$AL$2,0))</f>
        <v>0</v>
      </c>
      <c r="AE132" s="25">
        <f>INDEX('Inputs (2)'!$D$13:$AL$13,MATCH(AE$7,'Inputs (2)'!$D$2:$AL$2,0))</f>
        <v>0</v>
      </c>
      <c r="AF132" s="25">
        <f>INDEX('Inputs (2)'!$D$13:$AL$13,MATCH(AF$7,'Inputs (2)'!$D$2:$AL$2,0))</f>
        <v>0</v>
      </c>
      <c r="AG132" s="3">
        <f>SUM(AC132:AF132)</f>
        <v>0</v>
      </c>
      <c r="AH132" s="3">
        <f>INDEX('Inputs (2)'!$D$13:$AL$13,MATCH(AH$7,'Inputs (2)'!$D$2:$AL$2,0))</f>
        <v>0</v>
      </c>
      <c r="AI132" s="3">
        <f>INDEX('Inputs (2)'!$D$13:$AL$13,MATCH(AI$7,'Inputs (2)'!$D$2:$AL$2,0))</f>
        <v>0</v>
      </c>
      <c r="AJ132" s="3" t="n"/>
      <c r="AK132" s="3" t="n"/>
      <c r="AL132" s="3">
        <f>SUM(AH132:AK132)</f>
        <v>0</v>
      </c>
      <c r="AM132" s="3" t="n"/>
      <c r="AN132" s="3" t="n"/>
      <c r="AO132" s="3" t="n"/>
      <c r="AP132" s="3" t="n"/>
      <c r="AQ132" s="3">
        <f>SUM(AM132:AP132)</f>
        <v>0</v>
      </c>
      <c r="AR132" s="3" t="n"/>
      <c r="AS132" s="3" t="n"/>
      <c r="AT132" s="3" t="n"/>
      <c r="AU132" s="3" t="n"/>
      <c r="AV132" s="3">
        <f>SUM(AR132:AU132)</f>
        <v>0</v>
      </c>
      <c r="AW132" s="3" t="n"/>
      <c r="AX132" s="3" t="n"/>
      <c r="AY132" s="3" t="n"/>
      <c r="AZ132" s="3" t="n"/>
      <c r="BA132" s="3">
        <f>SUM(AW132:AZ132)</f>
        <v>0</v>
      </c>
      <c r="BB132" s="3" t="n"/>
      <c r="BC132" s="3" t="n"/>
      <c r="BD132" s="3" t="n"/>
      <c r="BE132" s="3" t="n"/>
      <c r="BF132" s="3">
        <f>SUM(BB132:BE132)</f>
        <v>0</v>
      </c>
      <c r="BG132" s="3" t="n"/>
      <c r="BH132" s="3" t="n"/>
      <c r="BI132" s="3" t="n"/>
      <c r="BJ132" s="3" t="n"/>
      <c r="BK132" s="3">
        <f>SUM(BG132:BJ132)</f>
        <v>0</v>
      </c>
      <c r="BL132" s="3" t="n"/>
      <c r="BM132" s="3" t="n"/>
      <c r="BN132" s="3" t="n"/>
      <c r="BO132" s="3" t="n"/>
      <c r="BP132" s="3">
        <f>SUM(BL132:BO132)</f>
        <v>0</v>
      </c>
      <c r="BQ132" s="3" t="n"/>
      <c r="BR132" s="3" t="n"/>
      <c r="BS132" s="3" t="n"/>
      <c r="BT132" s="3" t="n"/>
      <c r="BU132" s="3">
        <f>SUM(BQ132:BT132)</f>
        <v>0</v>
      </c>
      <c r="BV132" s="3" t="n"/>
      <c r="BW132" s="3" t="n"/>
      <c r="BX132" s="3" t="n"/>
      <c r="BY132" s="3" t="n"/>
      <c r="BZ132" s="3">
        <f>SUM(BV132:BY132)</f>
        <v>0</v>
      </c>
      <c r="CA132" s="3" t="n"/>
      <c r="CB132" s="3" t="n"/>
      <c r="CC132" s="3" t="n"/>
      <c r="CD132" s="3" t="n"/>
      <c r="CE132" s="3">
        <f>SUM(CA132:CD132)</f>
        <v>0</v>
      </c>
      <c r="CF132" s="3" t="n"/>
      <c r="CG132" s="3" t="n"/>
      <c r="CH132" s="3" t="n"/>
      <c r="CI132" s="3" t="n"/>
      <c r="CJ132" s="3">
        <f>SUM(CF132:CI132)</f>
        <v>0</v>
      </c>
      <c r="CK132" s="3" t="n"/>
      <c r="CL132" s="3" t="n"/>
      <c r="CM132" s="3" t="n"/>
      <c r="CN132" s="3" t="n"/>
      <c r="CO132" s="3">
        <f>SUM(CK132:CN132)</f>
        <v>0</v>
      </c>
      <c r="CP132" s="3" t="n"/>
      <c r="CQ132" s="3" t="n"/>
      <c r="CR132" s="3" t="n"/>
      <c r="CS132" s="3" t="n"/>
      <c r="CT132" s="3">
        <f>SUM(CP132:CS132)</f>
        <v>0</v>
      </c>
      <c r="CU132" s="3" t="n"/>
      <c r="CV132" s="3" t="n"/>
      <c r="CW132" s="3" t="n"/>
      <c r="CX132" s="3" t="n"/>
      <c r="CY132" s="3">
        <f>SUM(CU132:CX132)</f>
        <v>0</v>
      </c>
    </row>
    <row r="133" hidden="1" outlineLevel="1">
      <c r="C133" s="32" t="inlineStr">
        <is>
          <t>% DVD Payout</t>
        </is>
      </c>
      <c r="D133" s="40">
        <f>-D132/D131</f>
        <v>0</v>
      </c>
      <c r="E133" s="40">
        <f>-E132/E131</f>
        <v>0</v>
      </c>
      <c r="F133" s="40">
        <f>-F132/F131</f>
        <v>0</v>
      </c>
      <c r="G133" s="40">
        <f>-G132/G131</f>
        <v>0</v>
      </c>
      <c r="H133" s="40">
        <f>-H132/H131</f>
        <v>0</v>
      </c>
      <c r="I133" s="40">
        <f>-I132/I131</f>
        <v>0</v>
      </c>
      <c r="J133" s="40">
        <f>-J132/J131</f>
        <v>0</v>
      </c>
      <c r="K133" s="40">
        <f>-K132/K131</f>
        <v>0</v>
      </c>
      <c r="L133" s="40">
        <f>-L132/L131</f>
        <v>0</v>
      </c>
      <c r="M133" s="40">
        <f>-M132/M131</f>
        <v>0</v>
      </c>
      <c r="N133" s="40">
        <f>-N132/N131</f>
        <v>0</v>
      </c>
      <c r="O133" s="40">
        <f>-O132/O131</f>
        <v>0</v>
      </c>
      <c r="P133" s="40">
        <f>-P132/P131</f>
        <v>0</v>
      </c>
      <c r="Q133" s="40">
        <f>-Q132/Q131</f>
        <v>0</v>
      </c>
      <c r="R133" s="40">
        <f>-R132/R131</f>
        <v>0</v>
      </c>
      <c r="S133" s="40">
        <f>-S132/S131</f>
        <v>0</v>
      </c>
      <c r="T133" s="40">
        <f>-T132/T131</f>
        <v>0</v>
      </c>
      <c r="U133" s="40">
        <f>-U132/U131</f>
        <v>0</v>
      </c>
      <c r="V133" s="40">
        <f>-V132/V131</f>
        <v>0</v>
      </c>
      <c r="W133" s="40">
        <f>-W132/W131</f>
        <v>0</v>
      </c>
      <c r="X133" s="40">
        <f>-X132/X131</f>
        <v>0</v>
      </c>
      <c r="Y133" s="40">
        <f>-Y132/Y131</f>
        <v>0</v>
      </c>
      <c r="Z133" s="40">
        <f>-Z132/Z131</f>
        <v>0</v>
      </c>
      <c r="AA133" s="40">
        <f>-AA132/AA131</f>
        <v>0</v>
      </c>
      <c r="AB133" s="40">
        <f>-AB132/AB131</f>
        <v>0</v>
      </c>
      <c r="AC133" s="40">
        <f>-AC132/AC131</f>
        <v>0</v>
      </c>
      <c r="AD133" s="40">
        <f>-AD132/AD131</f>
        <v>0</v>
      </c>
      <c r="AE133" s="40">
        <f>-AE132/AE131</f>
        <v>0</v>
      </c>
      <c r="AF133" s="44">
        <f>-AF132/AF131</f>
        <v>0</v>
      </c>
      <c r="AG133" s="3" t="n"/>
      <c r="AH133" s="44">
        <f>-AH132/AH131</f>
        <v>0</v>
      </c>
      <c r="AI133" s="44">
        <f>-AI132/AI131</f>
        <v>0</v>
      </c>
      <c r="AJ133" s="44" t="n"/>
      <c r="AK133" s="44" t="n"/>
      <c r="AL133" s="3">
        <f>-AL132/AL131</f>
        <v>0</v>
      </c>
      <c r="AM133" s="44" t="n"/>
      <c r="AN133" s="44" t="n"/>
      <c r="AO133" s="44" t="n"/>
      <c r="AP133" s="44" t="n"/>
      <c r="AQ133" s="3">
        <f>-AQ132/AQ131</f>
        <v>0</v>
      </c>
      <c r="AR133" s="44" t="n"/>
      <c r="AS133" s="44" t="n"/>
      <c r="AT133" s="44" t="n"/>
      <c r="AU133" s="44" t="n"/>
      <c r="AV133" s="3">
        <f>-AV132/AV131</f>
        <v>0</v>
      </c>
      <c r="AW133" s="44" t="n"/>
      <c r="AX133" s="44" t="n"/>
      <c r="AY133" s="44" t="n"/>
      <c r="AZ133" s="44" t="n"/>
      <c r="BA133" s="3">
        <f>-BA132/BA131</f>
        <v>0</v>
      </c>
      <c r="BB133" s="44" t="n"/>
      <c r="BC133" s="44" t="n"/>
      <c r="BD133" s="44" t="n"/>
      <c r="BE133" s="44" t="n"/>
      <c r="BF133" s="3">
        <f>-BF132/BF131</f>
        <v>0</v>
      </c>
      <c r="BG133" s="44" t="n"/>
      <c r="BH133" s="44" t="n"/>
      <c r="BI133" s="44" t="n"/>
      <c r="BJ133" s="44" t="n"/>
      <c r="BK133" s="3">
        <f>-BK132/BK131</f>
        <v>0</v>
      </c>
      <c r="BL133" s="44" t="n"/>
      <c r="BM133" s="44" t="n"/>
      <c r="BN133" s="44" t="n"/>
      <c r="BO133" s="44" t="n"/>
      <c r="BP133" s="3">
        <f>-BP132/BP131</f>
        <v>0</v>
      </c>
      <c r="BQ133" s="44" t="n"/>
      <c r="BR133" s="44" t="n"/>
      <c r="BS133" s="44" t="n"/>
      <c r="BT133" s="44" t="n"/>
      <c r="BU133" s="3">
        <f>-BU132/BU131</f>
        <v>0</v>
      </c>
      <c r="BV133" s="44" t="n"/>
      <c r="BW133" s="44" t="n"/>
      <c r="BX133" s="44" t="n"/>
      <c r="BY133" s="44" t="n"/>
      <c r="BZ133" s="3">
        <f>-BZ132/BZ131</f>
        <v>0</v>
      </c>
      <c r="CA133" s="44" t="n"/>
      <c r="CB133" s="44" t="n"/>
      <c r="CC133" s="44" t="n"/>
      <c r="CD133" s="44" t="n"/>
      <c r="CE133" s="3">
        <f>-CE132/CE131</f>
        <v>0</v>
      </c>
      <c r="CF133" s="44" t="n"/>
      <c r="CG133" s="44" t="n"/>
      <c r="CH133" s="44" t="n"/>
      <c r="CI133" s="44" t="n"/>
      <c r="CJ133" s="3">
        <f>-CJ132/CJ131</f>
        <v>0</v>
      </c>
      <c r="CK133" s="44" t="n"/>
      <c r="CL133" s="44" t="n"/>
      <c r="CM133" s="44" t="n"/>
      <c r="CN133" s="44" t="n"/>
      <c r="CO133" s="3">
        <f>-CO132/CO131</f>
        <v>0</v>
      </c>
      <c r="CP133" s="44" t="n"/>
      <c r="CQ133" s="44" t="n"/>
      <c r="CR133" s="44" t="n"/>
      <c r="CS133" s="44" t="n"/>
      <c r="CT133" s="3">
        <f>-CT132/CT131</f>
        <v>0</v>
      </c>
      <c r="CU133" s="44" t="n"/>
      <c r="CV133" s="44" t="n"/>
      <c r="CW133" s="44" t="n"/>
      <c r="CX133" s="44" t="n"/>
      <c r="CY133" s="3">
        <f>-CY132/CY131</f>
        <v>0</v>
      </c>
    </row>
    <row r="134" hidden="1" outlineLevel="1">
      <c r="C134" s="5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</row>
    <row r="135" hidden="1" outlineLevel="1">
      <c r="C135" s="5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</row>
    <row r="136" collapsed="1" ht="11.25" customHeight="1">
      <c r="C136" s="12" t="inlineStr">
        <is>
          <t>Balance Sheet</t>
        </is>
      </c>
      <c r="D136" s="12" t="str">
        <f>D13</f>
        <v>1Q20</v>
      </c>
      <c r="E136" s="12" t="str">
        <f>E13</f>
        <v>2Q20</v>
      </c>
      <c r="F136" s="12" t="str">
        <f>F13</f>
        <v>3Q20</v>
      </c>
      <c r="G136" s="12" t="str">
        <f>G13</f>
        <v>4Q20</v>
      </c>
      <c r="H136" s="12">
        <f>H13</f>
        <v>2020</v>
      </c>
      <c r="I136" s="12" t="str">
        <f>I13</f>
        <v>1Q21</v>
      </c>
      <c r="J136" s="12" t="str">
        <f>J13</f>
        <v>2Q21</v>
      </c>
      <c r="K136" s="12" t="str">
        <f>K13</f>
        <v>3Q21</v>
      </c>
      <c r="L136" s="12" t="str">
        <f>L13</f>
        <v>4Q21</v>
      </c>
      <c r="M136" s="12">
        <f>M13</f>
        <v>2021</v>
      </c>
      <c r="N136" s="12" t="str">
        <f>N13</f>
        <v>1Q22</v>
      </c>
      <c r="O136" s="12" t="str">
        <f>O13</f>
        <v>2Q22</v>
      </c>
      <c r="P136" s="12" t="str">
        <f>P13</f>
        <v>3Q22</v>
      </c>
      <c r="Q136" s="12" t="str">
        <f>Q13</f>
        <v>4Q22</v>
      </c>
      <c r="R136" s="12">
        <f>R13</f>
        <v>2022</v>
      </c>
      <c r="S136" s="12" t="str">
        <f>S13</f>
        <v>1Q23</v>
      </c>
      <c r="T136" s="12" t="str">
        <f>T13</f>
        <v>2Q23</v>
      </c>
      <c r="U136" s="12" t="str">
        <f>U13</f>
        <v>3Q23</v>
      </c>
      <c r="V136" s="12" t="str">
        <f>V13</f>
        <v>4Q23</v>
      </c>
      <c r="W136" s="12">
        <f>W13</f>
        <v>2023</v>
      </c>
      <c r="X136" s="12" t="str">
        <f>X13</f>
        <v>1Q24</v>
      </c>
      <c r="Y136" s="12" t="str">
        <f>Y13</f>
        <v>2Q24</v>
      </c>
      <c r="Z136" s="12" t="str">
        <f>Z13</f>
        <v>3Q24</v>
      </c>
      <c r="AA136" s="12" t="str">
        <f>AA13</f>
        <v>4Q24</v>
      </c>
      <c r="AB136" s="12">
        <f>AB13</f>
        <v>2024</v>
      </c>
      <c r="AC136" s="12" t="str">
        <f>AC13</f>
        <v>1Q25</v>
      </c>
      <c r="AD136" s="12" t="str">
        <f>AD13</f>
        <v>2Q25</v>
      </c>
      <c r="AE136" s="12" t="str">
        <f>AE13</f>
        <v>3Q25</v>
      </c>
      <c r="AF136" s="12" t="str">
        <f>AF13</f>
        <v>4Q25</v>
      </c>
      <c r="AG136" s="12">
        <f>AG13</f>
        <v>2025</v>
      </c>
      <c r="AH136" s="12" t="str">
        <f>AH13</f>
        <v>1Q26</v>
      </c>
      <c r="AI136" s="12" t="str">
        <f>AI13</f>
        <v>2Q26</v>
      </c>
      <c r="AJ136" s="12" t="str">
        <f>AJ13</f>
        <v>3Q26</v>
      </c>
      <c r="AK136" s="12" t="str">
        <f>AK13</f>
        <v>4Q26</v>
      </c>
      <c r="AL136" s="12">
        <f>AL13</f>
        <v>2026</v>
      </c>
      <c r="AM136" s="12" t="str">
        <f>AM13</f>
        <v>1Q27</v>
      </c>
      <c r="AN136" s="12" t="str">
        <f>AN13</f>
        <v>2Q27</v>
      </c>
      <c r="AO136" s="12" t="str">
        <f>AO13</f>
        <v>3Q27</v>
      </c>
      <c r="AP136" s="12" t="str">
        <f>AP13</f>
        <v>4Q27</v>
      </c>
      <c r="AQ136" s="12">
        <f>AQ13</f>
        <v>2027</v>
      </c>
      <c r="AR136" s="12" t="str">
        <f>AR13</f>
        <v>1Q28</v>
      </c>
      <c r="AS136" s="12" t="str">
        <f>AS13</f>
        <v>2Q28</v>
      </c>
      <c r="AT136" s="12" t="str">
        <f>AT13</f>
        <v>3Q28</v>
      </c>
      <c r="AU136" s="12" t="str">
        <f>AU13</f>
        <v>4Q28</v>
      </c>
      <c r="AV136" s="12">
        <f>AV13</f>
        <v>2028</v>
      </c>
      <c r="AW136" s="12" t="str">
        <f>AW13</f>
        <v>1Q29</v>
      </c>
      <c r="AX136" s="12" t="str">
        <f>AX13</f>
        <v>2Q29</v>
      </c>
      <c r="AY136" s="12" t="str">
        <f>AY13</f>
        <v>3Q29</v>
      </c>
      <c r="AZ136" s="12" t="str">
        <f>AZ13</f>
        <v>4Q29</v>
      </c>
      <c r="BA136" s="12">
        <f>BA13</f>
        <v>2029</v>
      </c>
      <c r="BB136" s="12" t="str">
        <f>BB13</f>
        <v>1Q30</v>
      </c>
      <c r="BC136" s="12" t="str">
        <f>BC13</f>
        <v>2Q30</v>
      </c>
      <c r="BD136" s="12" t="str">
        <f>BD13</f>
        <v>3Q30</v>
      </c>
      <c r="BE136" s="12" t="str">
        <f>BE13</f>
        <v>4Q30</v>
      </c>
      <c r="BF136" s="12">
        <f>BF13</f>
        <v>2030</v>
      </c>
      <c r="BG136" s="12" t="str">
        <f>BG13</f>
        <v>1Q31</v>
      </c>
      <c r="BH136" s="12" t="str">
        <f>BH13</f>
        <v>2Q31</v>
      </c>
      <c r="BI136" s="12" t="str">
        <f>BI13</f>
        <v>3Q31</v>
      </c>
      <c r="BJ136" s="12" t="str">
        <f>BJ13</f>
        <v>4Q31</v>
      </c>
      <c r="BK136" s="12">
        <f>BK13</f>
        <v>2031</v>
      </c>
      <c r="BL136" s="12" t="str">
        <f>BL13</f>
        <v>1Q32</v>
      </c>
      <c r="BM136" s="12" t="str">
        <f>BM13</f>
        <v>2Q32</v>
      </c>
      <c r="BN136" s="12" t="str">
        <f>BN13</f>
        <v>3Q32</v>
      </c>
      <c r="BO136" s="12" t="str">
        <f>BO13</f>
        <v>4Q32</v>
      </c>
      <c r="BP136" s="12">
        <f>BP13</f>
        <v>2032</v>
      </c>
      <c r="BQ136" s="12" t="str">
        <f>BQ13</f>
        <v>1Q33</v>
      </c>
      <c r="BR136" s="12" t="str">
        <f>BR13</f>
        <v>2Q33</v>
      </c>
      <c r="BS136" s="12" t="str">
        <f>BS13</f>
        <v>3Q33</v>
      </c>
      <c r="BT136" s="12" t="str">
        <f>BT13</f>
        <v>4Q33</v>
      </c>
      <c r="BU136" s="12">
        <f>BU13</f>
        <v>2033</v>
      </c>
      <c r="BV136" s="12" t="str">
        <f>BV13</f>
        <v>1Q34</v>
      </c>
      <c r="BW136" s="12" t="str">
        <f>BW13</f>
        <v>2Q34</v>
      </c>
      <c r="BX136" s="12" t="str">
        <f>BX13</f>
        <v>3Q34</v>
      </c>
      <c r="BY136" s="12" t="str">
        <f>BY13</f>
        <v>4Q34</v>
      </c>
      <c r="BZ136" s="12">
        <f>BZ13</f>
        <v>2034</v>
      </c>
      <c r="CA136" s="12" t="str">
        <f>CA13</f>
        <v>1Q35</v>
      </c>
      <c r="CB136" s="12" t="str">
        <f>CB13</f>
        <v>2Q35</v>
      </c>
      <c r="CC136" s="12" t="str">
        <f>CC13</f>
        <v>3Q35</v>
      </c>
      <c r="CD136" s="12" t="str">
        <f>CD13</f>
        <v>4Q35</v>
      </c>
      <c r="CE136" s="12">
        <f>CE13</f>
        <v>2035</v>
      </c>
      <c r="CF136" s="12" t="str">
        <f>CF13</f>
        <v>1Q36</v>
      </c>
      <c r="CG136" s="12" t="str">
        <f>CG13</f>
        <v>2Q36</v>
      </c>
      <c r="CH136" s="12" t="str">
        <f>CH13</f>
        <v>3Q36</v>
      </c>
      <c r="CI136" s="12" t="str">
        <f>CI13</f>
        <v>4Q36</v>
      </c>
      <c r="CJ136" s="12">
        <f>CJ13</f>
        <v>2036</v>
      </c>
      <c r="CK136" s="12" t="str">
        <f>CK13</f>
        <v>1Q37</v>
      </c>
      <c r="CL136" s="12" t="str">
        <f>CL13</f>
        <v>2Q37</v>
      </c>
      <c r="CM136" s="12" t="str">
        <f>CM13</f>
        <v>3Q37</v>
      </c>
      <c r="CN136" s="12" t="str">
        <f>CN13</f>
        <v>4Q37</v>
      </c>
      <c r="CO136" s="12">
        <f>CO13</f>
        <v>2037</v>
      </c>
      <c r="CP136" s="12" t="str">
        <f>CP13</f>
        <v>1Q38</v>
      </c>
      <c r="CQ136" s="12" t="str">
        <f>CQ13</f>
        <v>2Q38</v>
      </c>
      <c r="CR136" s="12" t="str">
        <f>CR13</f>
        <v>3Q38</v>
      </c>
      <c r="CS136" s="12" t="str">
        <f>CS13</f>
        <v>4Q38</v>
      </c>
      <c r="CT136" s="12">
        <f>CT13</f>
        <v>2038</v>
      </c>
      <c r="CU136" s="12" t="str">
        <f>CU13</f>
        <v>1Q39</v>
      </c>
      <c r="CV136" s="12" t="str">
        <f>CV13</f>
        <v>2Q39</v>
      </c>
      <c r="CW136" s="12" t="str">
        <f>CW13</f>
        <v>3Q39</v>
      </c>
      <c r="CX136" s="12" t="str">
        <f>CX13</f>
        <v>4Q39</v>
      </c>
      <c r="CY136" s="12">
        <f>CY13</f>
        <v>2039</v>
      </c>
    </row>
    <row r="137">
      <c r="C137" s="5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</row>
    <row r="138">
      <c r="C138" s="24" t="inlineStr">
        <is>
          <t>Cash and equivalents (inc. investment securities)</t>
        </is>
      </c>
      <c r="D138" s="25">
        <f>INDEX('Inputs (2)'!$D$15:$AL$15,MATCH(D$7,'Inputs (2)'!$D$2:$AL$2,0))</f>
        <v>5151.884</v>
      </c>
      <c r="E138" s="25">
        <f>INDEX('Inputs (2)'!$D$15:$AL$15,MATCH(E$7,'Inputs (2)'!$D$2:$AL$2,0))</f>
        <v>7153.248</v>
      </c>
      <c r="F138" s="25">
        <f>INDEX('Inputs (2)'!$D$15:$AL$15,MATCH(F$7,'Inputs (2)'!$D$2:$AL$2,0))</f>
        <v>8392.391</v>
      </c>
      <c r="G138" s="25">
        <f>INDEX('Inputs (2)'!$D$15:$AL$15,MATCH(G$7,'Inputs (2)'!$D$2:$AL$2,0))</f>
        <v>8205.55</v>
      </c>
      <c r="H138" s="3">
        <f>G138</f>
        <v>8205.55</v>
      </c>
      <c r="I138" s="25">
        <f>INDEX('Inputs (2)'!$D$15:$AL$15,MATCH(I$7,'Inputs (2)'!$D$2:$AL$2,0))</f>
        <v>8403.705</v>
      </c>
      <c r="J138" s="25">
        <f>INDEX('Inputs (2)'!$D$15:$AL$15,MATCH(J$7,'Inputs (2)'!$D$2:$AL$2,0))</f>
        <v>7777.53</v>
      </c>
      <c r="K138" s="25">
        <f>INDEX('Inputs (2)'!$D$15:$AL$15,MATCH(K$7,'Inputs (2)'!$D$2:$AL$2,0))</f>
        <v>7526.681</v>
      </c>
      <c r="L138" s="25">
        <f>INDEX('Inputs (2)'!$D$15:$AL$15,MATCH(L$7,'Inputs (2)'!$D$2:$AL$2,0))</f>
        <v>6027.804</v>
      </c>
      <c r="M138" s="3">
        <f>L138</f>
        <v>6027.804</v>
      </c>
      <c r="N138" s="25">
        <f>INDEX('Inputs (2)'!$D$15:$AL$15,MATCH(N$7,'Inputs (2)'!$D$2:$AL$2,0))</f>
        <v>6008.946</v>
      </c>
      <c r="O138" s="25">
        <f>INDEX('Inputs (2)'!$D$15:$AL$15,MATCH(O$7,'Inputs (2)'!$D$2:$AL$2,0))</f>
        <v>5819.449</v>
      </c>
      <c r="P138" s="25">
        <f>INDEX('Inputs (2)'!$D$15:$AL$15,MATCH(P$7,'Inputs (2)'!$D$2:$AL$2,0))</f>
        <v>6113.733</v>
      </c>
      <c r="Q138" s="25">
        <f>INDEX('Inputs (2)'!$D$15:$AL$15,MATCH(Q$7,'Inputs (2)'!$D$2:$AL$2,0))</f>
        <v>6058.452</v>
      </c>
      <c r="R138" s="3">
        <f>Q138</f>
        <v>6058.452</v>
      </c>
      <c r="S138" s="25">
        <f>INDEX('Inputs (2)'!$D$15:$AL$15,MATCH(S$7,'Inputs (2)'!$D$2:$AL$2,0))</f>
        <v>7827.504</v>
      </c>
      <c r="T138" s="25">
        <f>INDEX('Inputs (2)'!$D$15:$AL$15,MATCH(T$7,'Inputs (2)'!$D$2:$AL$2,0))</f>
        <v>8576.989</v>
      </c>
      <c r="U138" s="25">
        <f>INDEX('Inputs (2)'!$D$15:$AL$15,MATCH(U$7,'Inputs (2)'!$D$2:$AL$2,0))</f>
        <v>7867.446</v>
      </c>
      <c r="V138" s="25">
        <f>INDEX('Inputs (2)'!$D$15:$AL$15,MATCH(V$7,'Inputs (2)'!$D$2:$AL$2,0))</f>
        <v>7137.886</v>
      </c>
      <c r="W138" s="3">
        <f>V138</f>
        <v>7137.886</v>
      </c>
      <c r="X138" s="25">
        <f>INDEX('Inputs (2)'!$D$15:$AL$15,MATCH(X$7,'Inputs (2)'!$D$2:$AL$2,0))</f>
        <v>7045.739</v>
      </c>
      <c r="Y138" s="25">
        <f>INDEX('Inputs (2)'!$D$15:$AL$15,MATCH(Y$7,'Inputs (2)'!$D$2:$AL$2,0))</f>
        <v>6655.912</v>
      </c>
      <c r="Z138" s="25">
        <f>INDEX('Inputs (2)'!$D$15:$AL$15,MATCH(Z$7,'Inputs (2)'!$D$2:$AL$2,0))</f>
        <v>9223.927</v>
      </c>
      <c r="AA138" s="25">
        <f>INDEX('Inputs (2)'!$D$15:$AL$15,MATCH(AA$7,'Inputs (2)'!$D$2:$AL$2,0))</f>
        <v>9583.739</v>
      </c>
      <c r="AB138" s="3">
        <f>AA138</f>
        <v>9583.739</v>
      </c>
      <c r="AC138" s="25">
        <f>INDEX('Inputs (2)'!$D$15:$AL$15,MATCH(AC$7,'Inputs (2)'!$D$2:$AL$2,0))</f>
        <v>8370.99</v>
      </c>
      <c r="AD138" s="25">
        <f>INDEX('Inputs (2)'!$D$15:$AL$15,MATCH(AD$7,'Inputs (2)'!$D$2:$AL$2,0))</f>
        <v>8390.52</v>
      </c>
      <c r="AE138" s="25">
        <f>INDEX('Inputs (2)'!$D$15:$AL$15,MATCH(AE$7,'Inputs (2)'!$D$2:$AL$2,0))</f>
        <v>9324.392</v>
      </c>
      <c r="AF138" s="25">
        <f>INDEX('Inputs (2)'!$D$15:$AL$15,MATCH(AF$7,'Inputs (2)'!$D$2:$AL$2,0))</f>
        <v>9062.359</v>
      </c>
      <c r="AG138" s="3">
        <f>AF138</f>
        <v>9062.359</v>
      </c>
      <c r="AH138" s="3">
        <f>INDEX('Inputs (2)'!$D$15:$AL$15,MATCH(AH$7,'Inputs (2)'!$D$2:$AL$2,0))</f>
        <v>12288.45</v>
      </c>
      <c r="AI138" s="3">
        <f>INDEX('Inputs (2)'!$D$15:$AL$15,MATCH(AI$7,'Inputs (2)'!$D$2:$AL$2,0))</f>
        <v>9127.91</v>
      </c>
      <c r="AJ138" s="3">
        <f>AI138+AJ308</f>
        <v>7992.914</v>
      </c>
      <c r="AK138" s="3">
        <f>AJ138+AK308</f>
        <v>8044.575</v>
      </c>
      <c r="AL138" s="3">
        <f>AK138</f>
        <v>8044.575</v>
      </c>
      <c r="AM138" s="3" t="e">
        <f>AL138+AM308</f>
        <v>#DIV/0!</v>
      </c>
      <c r="AN138" s="3" t="e">
        <f>AM138+AN308</f>
        <v>#DIV/0!</v>
      </c>
      <c r="AO138" s="3" t="e">
        <f>AN138+AO308</f>
        <v>#DIV/0!</v>
      </c>
      <c r="AP138" s="3" t="e">
        <f>AO138+AP308</f>
        <v>#DIV/0!</v>
      </c>
      <c r="AQ138" s="3" t="e">
        <f>AP138</f>
        <v>#DIV/0!</v>
      </c>
      <c r="AR138" s="3" t="e">
        <f>AQ138+AR308</f>
        <v>#DIV/0!</v>
      </c>
      <c r="AS138" s="3" t="e">
        <f>AR138+AS308</f>
        <v>#DIV/0!</v>
      </c>
      <c r="AT138" s="3" t="e">
        <f>AS138+AT308</f>
        <v>#DIV/0!</v>
      </c>
      <c r="AU138" s="3" t="e">
        <f>AT138+AU308</f>
        <v>#DIV/0!</v>
      </c>
      <c r="AV138" s="3" t="e">
        <f>AU138</f>
        <v>#DIV/0!</v>
      </c>
      <c r="AW138" s="3" t="e">
        <f>AV138+AW308</f>
        <v>#DIV/0!</v>
      </c>
      <c r="AX138" s="3" t="e">
        <f>AW138+AX308</f>
        <v>#DIV/0!</v>
      </c>
      <c r="AY138" s="3" t="e">
        <f>AX138+AY308</f>
        <v>#DIV/0!</v>
      </c>
      <c r="AZ138" s="3" t="e">
        <f>AY138+AZ308</f>
        <v>#DIV/0!</v>
      </c>
      <c r="BA138" s="3" t="e">
        <f>AZ138</f>
        <v>#DIV/0!</v>
      </c>
      <c r="BB138" s="3" t="e">
        <f>BA138+BB308</f>
        <v>#DIV/0!</v>
      </c>
      <c r="BC138" s="3" t="e">
        <f>BB138+BC308</f>
        <v>#DIV/0!</v>
      </c>
      <c r="BD138" s="3" t="e">
        <f>BC138+BD308</f>
        <v>#DIV/0!</v>
      </c>
      <c r="BE138" s="3" t="e">
        <f>BD138+BE308</f>
        <v>#DIV/0!</v>
      </c>
      <c r="BF138" s="3" t="e">
        <f>BE138</f>
        <v>#DIV/0!</v>
      </c>
      <c r="BG138" s="3" t="e">
        <f>BF138+BG308</f>
        <v>#DIV/0!</v>
      </c>
      <c r="BH138" s="3" t="e">
        <f>BG138+BH308</f>
        <v>#DIV/0!</v>
      </c>
      <c r="BI138" s="3" t="e">
        <f>BH138+BI308</f>
        <v>#DIV/0!</v>
      </c>
      <c r="BJ138" s="3" t="e">
        <f>BI138+BJ308</f>
        <v>#DIV/0!</v>
      </c>
      <c r="BK138" s="3" t="e">
        <f>BJ138</f>
        <v>#DIV/0!</v>
      </c>
      <c r="BL138" s="3" t="e">
        <f>BK138+BL308</f>
        <v>#DIV/0!</v>
      </c>
      <c r="BM138" s="3" t="e">
        <f>BL138+BM308</f>
        <v>#DIV/0!</v>
      </c>
      <c r="BN138" s="3" t="e">
        <f>BM138+BN308</f>
        <v>#DIV/0!</v>
      </c>
      <c r="BO138" s="3" t="e">
        <f>BN138+BO308</f>
        <v>#DIV/0!</v>
      </c>
      <c r="BP138" s="3" t="e">
        <f>BO138</f>
        <v>#DIV/0!</v>
      </c>
      <c r="BQ138" s="3" t="e">
        <f>BP138+BQ308</f>
        <v>#DIV/0!</v>
      </c>
      <c r="BR138" s="3" t="e">
        <f>BQ138+BR308</f>
        <v>#DIV/0!</v>
      </c>
      <c r="BS138" s="3" t="e">
        <f>BR138+BS308</f>
        <v>#DIV/0!</v>
      </c>
      <c r="BT138" s="3" t="e">
        <f>BS138+BT308</f>
        <v>#DIV/0!</v>
      </c>
      <c r="BU138" s="3" t="e">
        <f>BT138</f>
        <v>#DIV/0!</v>
      </c>
      <c r="BV138" s="3" t="e">
        <f>BU138+BV308</f>
        <v>#DIV/0!</v>
      </c>
      <c r="BW138" s="3" t="e">
        <f>BV138+BW308</f>
        <v>#DIV/0!</v>
      </c>
      <c r="BX138" s="3" t="e">
        <f>BW138+BX308</f>
        <v>#DIV/0!</v>
      </c>
      <c r="BY138" s="3" t="e">
        <f>BX138+BY308</f>
        <v>#DIV/0!</v>
      </c>
      <c r="BZ138" s="3" t="e">
        <f>BY138</f>
        <v>#DIV/0!</v>
      </c>
      <c r="CA138" s="3" t="e">
        <f>BZ138+CA308</f>
        <v>#DIV/0!</v>
      </c>
      <c r="CB138" s="3" t="e">
        <f>CA138+CB308</f>
        <v>#DIV/0!</v>
      </c>
      <c r="CC138" s="3" t="e">
        <f>CB138+CC308</f>
        <v>#DIV/0!</v>
      </c>
      <c r="CD138" s="3" t="e">
        <f>CC138+CD308</f>
        <v>#DIV/0!</v>
      </c>
      <c r="CE138" s="3" t="e">
        <f>CD138</f>
        <v>#DIV/0!</v>
      </c>
      <c r="CF138" s="3" t="e">
        <f>CE138+CF308</f>
        <v>#DIV/0!</v>
      </c>
      <c r="CG138" s="3" t="e">
        <f>CF138+CG308</f>
        <v>#DIV/0!</v>
      </c>
      <c r="CH138" s="3" t="e">
        <f>CG138+CH308</f>
        <v>#DIV/0!</v>
      </c>
      <c r="CI138" s="3" t="e">
        <f>CH138+CI308</f>
        <v>#DIV/0!</v>
      </c>
      <c r="CJ138" s="3" t="e">
        <f>CI138</f>
        <v>#DIV/0!</v>
      </c>
      <c r="CK138" s="3" t="e">
        <f>CJ138+CK308</f>
        <v>#DIV/0!</v>
      </c>
      <c r="CL138" s="3" t="e">
        <f>CK138+CL308</f>
        <v>#DIV/0!</v>
      </c>
      <c r="CM138" s="3" t="e">
        <f>CL138+CM308</f>
        <v>#DIV/0!</v>
      </c>
      <c r="CN138" s="3" t="e">
        <f>CM138+CN308</f>
        <v>#DIV/0!</v>
      </c>
      <c r="CO138" s="3" t="e">
        <f>CN138</f>
        <v>#DIV/0!</v>
      </c>
      <c r="CP138" s="3" t="e">
        <f>CO138+CP308</f>
        <v>#DIV/0!</v>
      </c>
      <c r="CQ138" s="3" t="e">
        <f>CP138+CQ308</f>
        <v>#DIV/0!</v>
      </c>
      <c r="CR138" s="3" t="e">
        <f>CQ138+CR308</f>
        <v>#DIV/0!</v>
      </c>
      <c r="CS138" s="3" t="e">
        <f>CR138+CS308</f>
        <v>#DIV/0!</v>
      </c>
      <c r="CT138" s="3" t="e">
        <f>CS138</f>
        <v>#DIV/0!</v>
      </c>
      <c r="CU138" s="3" t="e">
        <f>CT138+CU308</f>
        <v>#DIV/0!</v>
      </c>
      <c r="CV138" s="3" t="e">
        <f>CU138+CV308</f>
        <v>#DIV/0!</v>
      </c>
      <c r="CW138" s="3" t="e">
        <f>CV138+CW308</f>
        <v>#DIV/0!</v>
      </c>
      <c r="CX138" s="3" t="e">
        <f>CW138+CX308</f>
        <v>#DIV/0!</v>
      </c>
      <c r="CY138" s="3" t="e">
        <f>CX138</f>
        <v>#DIV/0!</v>
      </c>
    </row>
    <row r="139">
      <c r="C139" s="26" t="inlineStr">
        <is>
          <t>Accounts receivable</t>
        </is>
      </c>
      <c r="D139" s="25">
        <f>INDEX('Inputs (2)'!$D$16:$AL$16,MATCH(D$7,'Inputs (2)'!$D$2:$AL$2,0))</f>
        <v>0</v>
      </c>
      <c r="E139" s="25">
        <f>INDEX('Inputs (2)'!$D$16:$AL$16,MATCH(E$7,'Inputs (2)'!$D$2:$AL$2,0))</f>
        <v>0</v>
      </c>
      <c r="F139" s="25">
        <f>INDEX('Inputs (2)'!$D$16:$AL$16,MATCH(F$7,'Inputs (2)'!$D$2:$AL$2,0))</f>
        <v>0</v>
      </c>
      <c r="G139" s="25">
        <f>INDEX('Inputs (2)'!$D$16:$AL$16,MATCH(G$7,'Inputs (2)'!$D$2:$AL$2,0))</f>
        <v>0</v>
      </c>
      <c r="H139" s="3">
        <f>G139</f>
        <v>0</v>
      </c>
      <c r="I139" s="25">
        <f>INDEX('Inputs (2)'!$D$16:$AL$16,MATCH(I$7,'Inputs (2)'!$D$2:$AL$2,0))</f>
        <v>0</v>
      </c>
      <c r="J139" s="25">
        <f>INDEX('Inputs (2)'!$D$16:$AL$16,MATCH(J$7,'Inputs (2)'!$D$2:$AL$2,0))</f>
        <v>0</v>
      </c>
      <c r="K139" s="25">
        <f>INDEX('Inputs (2)'!$D$16:$AL$16,MATCH(K$7,'Inputs (2)'!$D$2:$AL$2,0))</f>
        <v>0</v>
      </c>
      <c r="L139" s="25">
        <f>INDEX('Inputs (2)'!$D$16:$AL$16,MATCH(L$7,'Inputs (2)'!$D$2:$AL$2,0))</f>
        <v>0</v>
      </c>
      <c r="M139" s="3">
        <f>L139</f>
        <v>0</v>
      </c>
      <c r="N139" s="25">
        <f>INDEX('Inputs (2)'!$D$16:$AL$16,MATCH(N$7,'Inputs (2)'!$D$2:$AL$2,0))</f>
        <v>0</v>
      </c>
      <c r="O139" s="25">
        <f>INDEX('Inputs (2)'!$D$16:$AL$16,MATCH(O$7,'Inputs (2)'!$D$2:$AL$2,0))</f>
        <v>0</v>
      </c>
      <c r="P139" s="25">
        <f>INDEX('Inputs (2)'!$D$16:$AL$16,MATCH(P$7,'Inputs (2)'!$D$2:$AL$2,0))</f>
        <v>0</v>
      </c>
      <c r="Q139" s="25">
        <f>INDEX('Inputs (2)'!$D$16:$AL$16,MATCH(Q$7,'Inputs (2)'!$D$2:$AL$2,0))</f>
        <v>0</v>
      </c>
      <c r="R139" s="3">
        <f>Q139</f>
        <v>0</v>
      </c>
      <c r="S139" s="25">
        <f>INDEX('Inputs (2)'!$D$16:$AL$16,MATCH(S$7,'Inputs (2)'!$D$2:$AL$2,0))</f>
        <v>0</v>
      </c>
      <c r="T139" s="25">
        <f>INDEX('Inputs (2)'!$D$16:$AL$16,MATCH(T$7,'Inputs (2)'!$D$2:$AL$2,0))</f>
        <v>0</v>
      </c>
      <c r="U139" s="25">
        <f>INDEX('Inputs (2)'!$D$16:$AL$16,MATCH(U$7,'Inputs (2)'!$D$2:$AL$2,0))</f>
        <v>0</v>
      </c>
      <c r="V139" s="25">
        <f>INDEX('Inputs (2)'!$D$16:$AL$16,MATCH(V$7,'Inputs (2)'!$D$2:$AL$2,0))</f>
        <v>0</v>
      </c>
      <c r="W139" s="3">
        <f>V139</f>
        <v>0</v>
      </c>
      <c r="X139" s="25">
        <f>INDEX('Inputs (2)'!$D$16:$AL$16,MATCH(X$7,'Inputs (2)'!$D$2:$AL$2,0))</f>
        <v>0</v>
      </c>
      <c r="Y139" s="25">
        <f>INDEX('Inputs (2)'!$D$16:$AL$16,MATCH(Y$7,'Inputs (2)'!$D$2:$AL$2,0))</f>
        <v>0</v>
      </c>
      <c r="Z139" s="25">
        <f>INDEX('Inputs (2)'!$D$16:$AL$16,MATCH(Z$7,'Inputs (2)'!$D$2:$AL$2,0))</f>
        <v>0</v>
      </c>
      <c r="AA139" s="25">
        <f>INDEX('Inputs (2)'!$D$16:$AL$16,MATCH(AA$7,'Inputs (2)'!$D$2:$AL$2,0))</f>
        <v>0</v>
      </c>
      <c r="AB139" s="3">
        <f>AA139</f>
        <v>0</v>
      </c>
      <c r="AC139" s="25">
        <f>INDEX('Inputs (2)'!$D$16:$AL$16,MATCH(AC$7,'Inputs (2)'!$D$2:$AL$2,0))</f>
        <v>0</v>
      </c>
      <c r="AD139" s="25">
        <f>INDEX('Inputs (2)'!$D$16:$AL$16,MATCH(AD$7,'Inputs (2)'!$D$2:$AL$2,0))</f>
        <v>0</v>
      </c>
      <c r="AE139" s="25">
        <f>INDEX('Inputs (2)'!$D$16:$AL$16,MATCH(AE$7,'Inputs (2)'!$D$2:$AL$2,0))</f>
        <v>0</v>
      </c>
      <c r="AF139" s="25">
        <f>INDEX('Inputs (2)'!$D$16:$AL$16,MATCH(AF$7,'Inputs (2)'!$D$2:$AL$2,0))</f>
        <v>0</v>
      </c>
      <c r="AG139" s="3">
        <f>AF139</f>
        <v>0</v>
      </c>
      <c r="AH139" s="3">
        <f>INDEX('Inputs (2)'!$D$16:$AL$16,MATCH(AH$7,'Inputs (2)'!$D$2:$AL$2,0))</f>
        <v>0</v>
      </c>
      <c r="AI139" s="3">
        <f>INDEX('Inputs (2)'!$D$16:$AL$16,MATCH(AI$7,'Inputs (2)'!$D$2:$AL$2,0))</f>
        <v>0</v>
      </c>
      <c r="AJ139" s="3">
        <f>(AJ140/(AJ$5-AI$5))*AJ$15</f>
        <v>0</v>
      </c>
      <c r="AK139" s="3">
        <f>(AK140/(AK$5-AJ$5))*AK$15</f>
        <v>0</v>
      </c>
      <c r="AL139" s="3">
        <f>AK139</f>
        <v>0</v>
      </c>
      <c r="AM139" s="3">
        <f>(AM140/(AM$5-AL$5))*AM$15</f>
        <v>0</v>
      </c>
      <c r="AN139" s="3">
        <f>(AN140/(AN$5-AM$5))*AN$15</f>
        <v>0</v>
      </c>
      <c r="AO139" s="3">
        <f>(AO140/(AO$5-AN$5))*AO$15</f>
        <v>0</v>
      </c>
      <c r="AP139" s="3">
        <f>(AP140/(AP$5-AO$5))*AP$15</f>
        <v>0</v>
      </c>
      <c r="AQ139" s="3">
        <f>AP139</f>
        <v>0</v>
      </c>
      <c r="AR139" s="3">
        <f>(AR140/(AR$5-AQ$5))*AR$15</f>
        <v>0</v>
      </c>
      <c r="AS139" s="3">
        <f>(AS140/(AS$5-AR$5))*AS$15</f>
        <v>0</v>
      </c>
      <c r="AT139" s="3">
        <f>(AT140/(AT$5-AS$5))*AT$15</f>
        <v>0</v>
      </c>
      <c r="AU139" s="3">
        <f>(AU140/(AU$5-AT$5))*AU$15</f>
        <v>0</v>
      </c>
      <c r="AV139" s="3">
        <f>AU139</f>
        <v>0</v>
      </c>
      <c r="AW139" s="3">
        <f>(AW140/(AW$5-AV$5))*AW$15</f>
        <v>0</v>
      </c>
      <c r="AX139" s="3">
        <f>(AX140/(AX$5-AW$5))*AX$15</f>
        <v>0</v>
      </c>
      <c r="AY139" s="3">
        <f>(AY140/(AY$5-AX$5))*AY$15</f>
        <v>0</v>
      </c>
      <c r="AZ139" s="3">
        <f>(AZ140/(AZ$5-AY$5))*AZ$15</f>
        <v>0</v>
      </c>
      <c r="BA139" s="3">
        <f>AZ139</f>
        <v>0</v>
      </c>
      <c r="BB139" s="3">
        <f>(BB140/(BB$5-BA$5))*BB$15</f>
        <v>0</v>
      </c>
      <c r="BC139" s="3">
        <f>(BC140/(BC$5-BB$5))*BC$15</f>
        <v>0</v>
      </c>
      <c r="BD139" s="3">
        <f>(BD140/(BD$5-BC$5))*BD$15</f>
        <v>0</v>
      </c>
      <c r="BE139" s="3">
        <f>(BE140/(BE$5-BD$5))*BE$15</f>
        <v>0</v>
      </c>
      <c r="BF139" s="3">
        <f>BE139</f>
        <v>0</v>
      </c>
      <c r="BG139" s="3">
        <f>(BG140/(BG$5-BF$5))*BG$15</f>
        <v>0</v>
      </c>
      <c r="BH139" s="3">
        <f>(BH140/(BH$5-BG$5))*BH$15</f>
        <v>0</v>
      </c>
      <c r="BI139" s="3">
        <f>(BI140/(BI$5-BH$5))*BI$15</f>
        <v>0</v>
      </c>
      <c r="BJ139" s="3">
        <f>(BJ140/(BJ$5-BI$5))*BJ$15</f>
        <v>0</v>
      </c>
      <c r="BK139" s="3">
        <f>BJ139</f>
        <v>0</v>
      </c>
      <c r="BL139" s="3">
        <f>(BL140/(BL$5-BK$5))*BL$15</f>
        <v>0</v>
      </c>
      <c r="BM139" s="3">
        <f>(BM140/(BM$5-BL$5))*BM$15</f>
        <v>0</v>
      </c>
      <c r="BN139" s="3">
        <f>(BN140/(BN$5-BM$5))*BN$15</f>
        <v>0</v>
      </c>
      <c r="BO139" s="3">
        <f>(BO140/(BO$5-BN$5))*BO$15</f>
        <v>0</v>
      </c>
      <c r="BP139" s="3">
        <f>BO139</f>
        <v>0</v>
      </c>
      <c r="BQ139" s="3">
        <f>(BQ140/(BQ$5-BP$5))*BQ$15</f>
        <v>0</v>
      </c>
      <c r="BR139" s="3">
        <f>(BR140/(BR$5-BQ$5))*BR$15</f>
        <v>0</v>
      </c>
      <c r="BS139" s="3">
        <f>(BS140/(BS$5-BR$5))*BS$15</f>
        <v>0</v>
      </c>
      <c r="BT139" s="3">
        <f>(BT140/(BT$5-BS$5))*BT$15</f>
        <v>0</v>
      </c>
      <c r="BU139" s="3">
        <f>BT139</f>
        <v>0</v>
      </c>
      <c r="BV139" s="3">
        <f>(BV140/(BV$5-BU$5))*BV$15</f>
        <v>0</v>
      </c>
      <c r="BW139" s="3">
        <f>(BW140/(BW$5-BV$5))*BW$15</f>
        <v>0</v>
      </c>
      <c r="BX139" s="3">
        <f>(BX140/(BX$5-BW$5))*BX$15</f>
        <v>0</v>
      </c>
      <c r="BY139" s="3">
        <f>(BY140/(BY$5-BX$5))*BY$15</f>
        <v>0</v>
      </c>
      <c r="BZ139" s="3">
        <f>BY139</f>
        <v>0</v>
      </c>
      <c r="CA139" s="3">
        <f>(CA140/(CA$5-BZ$5))*CA$15</f>
        <v>0</v>
      </c>
      <c r="CB139" s="3">
        <f>(CB140/(CB$5-CA$5))*CB$15</f>
        <v>0</v>
      </c>
      <c r="CC139" s="3">
        <f>(CC140/(CC$5-CB$5))*CC$15</f>
        <v>0</v>
      </c>
      <c r="CD139" s="3">
        <f>(CD140/(CD$5-CC$5))*CD$15</f>
        <v>0</v>
      </c>
      <c r="CE139" s="3">
        <f>CD139</f>
        <v>0</v>
      </c>
      <c r="CF139" s="3">
        <f>(CF140/(CF$5-CE$5))*CF$15</f>
        <v>0</v>
      </c>
      <c r="CG139" s="3">
        <f>(CG140/(CG$5-CF$5))*CG$15</f>
        <v>0</v>
      </c>
      <c r="CH139" s="3">
        <f>(CH140/(CH$5-CG$5))*CH$15</f>
        <v>0</v>
      </c>
      <c r="CI139" s="3">
        <f>(CI140/(CI$5-CH$5))*CI$15</f>
        <v>0</v>
      </c>
      <c r="CJ139" s="3">
        <f>CI139</f>
        <v>0</v>
      </c>
      <c r="CK139" s="3">
        <f>(CK140/(CK$5-CJ$5))*CK$15</f>
        <v>0</v>
      </c>
      <c r="CL139" s="3">
        <f>(CL140/(CL$5-CK$5))*CL$15</f>
        <v>0</v>
      </c>
      <c r="CM139" s="3">
        <f>(CM140/(CM$5-CL$5))*CM$15</f>
        <v>0</v>
      </c>
      <c r="CN139" s="3">
        <f>(CN140/(CN$5-CM$5))*CN$15</f>
        <v>0</v>
      </c>
      <c r="CO139" s="3">
        <f>CN139</f>
        <v>0</v>
      </c>
      <c r="CP139" s="3">
        <f>(CP140/(CP$5-CO$5))*CP$15</f>
        <v>0</v>
      </c>
      <c r="CQ139" s="3">
        <f>(CQ140/(CQ$5-CP$5))*CQ$15</f>
        <v>0</v>
      </c>
      <c r="CR139" s="3">
        <f>(CR140/(CR$5-CQ$5))*CR$15</f>
        <v>0</v>
      </c>
      <c r="CS139" s="3">
        <f>(CS140/(CS$5-CR$5))*CS$15</f>
        <v>0</v>
      </c>
      <c r="CT139" s="3">
        <f>CS139</f>
        <v>0</v>
      </c>
      <c r="CU139" s="3">
        <f>(CU140/(CU$5-CT$5))*CU$15</f>
        <v>0</v>
      </c>
      <c r="CV139" s="3">
        <f>(CV140/(CV$5-CU$5))*CV$15</f>
        <v>0</v>
      </c>
      <c r="CW139" s="3">
        <f>(CW140/(CW$5-CV$5))*CW$15</f>
        <v>0</v>
      </c>
      <c r="CX139" s="3">
        <f>(CX140/(CX$5-CW$5))*CX$15</f>
        <v>0</v>
      </c>
      <c r="CY139" s="3">
        <f>CX139</f>
        <v>0</v>
      </c>
    </row>
    <row r="140" hidden="1" outlineLevel="1">
      <c r="C140" s="34" t="inlineStr">
        <is>
          <t>DSO</t>
        </is>
      </c>
      <c r="D140" s="3" t="n"/>
      <c r="E140" s="3">
        <f>(E139/E$15)*(E$5-D$5)</f>
        <v>0</v>
      </c>
      <c r="F140" s="3">
        <f>(F139/F$15)*(F$5-E$5)</f>
        <v>0</v>
      </c>
      <c r="G140" s="3">
        <f>(G139/G$15)*(G$5-F$5)</f>
        <v>0</v>
      </c>
      <c r="H140" s="3" t="n"/>
      <c r="I140" s="3">
        <f>(I139/I$15)*(I$5-H$5)</f>
        <v>0</v>
      </c>
      <c r="J140" s="3">
        <f>(J139/J$15)*(J$5-I$5)</f>
        <v>0</v>
      </c>
      <c r="K140" s="3">
        <f>(K139/K$15)*(K$5-J$5)</f>
        <v>0</v>
      </c>
      <c r="L140" s="3">
        <f>(L139/L$15)*(L$5-K$5)</f>
        <v>0</v>
      </c>
      <c r="M140" s="3" t="n"/>
      <c r="N140" s="3">
        <f>(N139/N$15)*(N$5-M$5)</f>
        <v>0</v>
      </c>
      <c r="O140" s="3">
        <f>(O139/O$15)*(O$5-N$5)</f>
        <v>0</v>
      </c>
      <c r="P140" s="3">
        <f>(P139/P$15)*(P$5-O$5)</f>
        <v>0</v>
      </c>
      <c r="Q140" s="3">
        <f>(Q139/Q$15)*(Q$5-P$5)</f>
        <v>0</v>
      </c>
      <c r="R140" s="3" t="n"/>
      <c r="S140" s="3">
        <f>(S139/S$15)*(S$5-R$5)</f>
        <v>0</v>
      </c>
      <c r="T140" s="3">
        <f>(T139/T$15)*(T$5-S$5)</f>
        <v>0</v>
      </c>
      <c r="U140" s="3">
        <f>(U139/U$15)*(U$5-T$5)</f>
        <v>0</v>
      </c>
      <c r="V140" s="3">
        <f>(V139/V$15)*(V$5-U$5)</f>
        <v>0</v>
      </c>
      <c r="W140" s="3" t="n"/>
      <c r="X140" s="3">
        <f>(X139/X$15)*(X$5-W$5)</f>
        <v>0</v>
      </c>
      <c r="Y140" s="3">
        <f>(Y139/Y$15)*(Y$5-X$5)</f>
        <v>0</v>
      </c>
      <c r="Z140" s="3">
        <f>(Z139/Z$15)*(Z$5-Y$5)</f>
        <v>0</v>
      </c>
      <c r="AA140" s="3">
        <f>(AA139/AA$15)*(AA$5-Z$5)</f>
        <v>0</v>
      </c>
      <c r="AB140" s="3" t="n"/>
      <c r="AC140" s="3">
        <f>(AC139/AC$15)*(AC$5-AB$5)</f>
        <v>0</v>
      </c>
      <c r="AD140" s="3">
        <f>(AD139/AD$15)*(AD$5-AC$5)</f>
        <v>0</v>
      </c>
      <c r="AE140" s="3">
        <f>(AE139/AE$15)*(AE$5-AD$5)</f>
        <v>0</v>
      </c>
      <c r="AF140" s="6">
        <f>(AF139/AF$15)*(AF$5-AE$5)</f>
        <v>0</v>
      </c>
      <c r="AG140" s="3" t="n"/>
      <c r="AH140" s="6">
        <f>(AH139/AH$15)*(AH$5-AG$5)</f>
        <v>0</v>
      </c>
      <c r="AI140" s="6">
        <f>(AI139/AI$15)*(AI$5-AH$5)</f>
        <v>0</v>
      </c>
      <c r="AJ140" s="6" t="n"/>
      <c r="AK140" s="6" t="n"/>
      <c r="AL140" s="3" t="n"/>
      <c r="AM140" s="6" t="n"/>
      <c r="AN140" s="6" t="n"/>
      <c r="AO140" s="6" t="n"/>
      <c r="AP140" s="6" t="n"/>
      <c r="AQ140" s="3" t="n"/>
      <c r="AR140" s="6" t="n"/>
      <c r="AS140" s="6" t="n"/>
      <c r="AT140" s="6" t="n"/>
      <c r="AU140" s="6" t="n"/>
      <c r="AV140" s="3" t="n"/>
      <c r="AW140" s="6" t="n"/>
      <c r="AX140" s="6" t="n"/>
      <c r="AY140" s="6" t="n"/>
      <c r="AZ140" s="6" t="n"/>
      <c r="BA140" s="3" t="n"/>
      <c r="BB140" s="6" t="n"/>
      <c r="BC140" s="6" t="n"/>
      <c r="BD140" s="6" t="n"/>
      <c r="BE140" s="6" t="n"/>
      <c r="BF140" s="3" t="n"/>
      <c r="BG140" s="6" t="n"/>
      <c r="BH140" s="6" t="n"/>
      <c r="BI140" s="6" t="n"/>
      <c r="BJ140" s="6" t="n"/>
      <c r="BK140" s="3" t="n"/>
      <c r="BL140" s="6" t="n"/>
      <c r="BM140" s="6" t="n"/>
      <c r="BN140" s="6" t="n"/>
      <c r="BO140" s="6" t="n"/>
      <c r="BP140" s="3" t="n"/>
      <c r="BQ140" s="6" t="n"/>
      <c r="BR140" s="6" t="n"/>
      <c r="BS140" s="6" t="n"/>
      <c r="BT140" s="6" t="n"/>
      <c r="BU140" s="3" t="n"/>
      <c r="BV140" s="6" t="n"/>
      <c r="BW140" s="6" t="n"/>
      <c r="BX140" s="6" t="n"/>
      <c r="BY140" s="6" t="n"/>
      <c r="BZ140" s="3" t="n"/>
      <c r="CA140" s="6" t="n"/>
      <c r="CB140" s="6" t="n"/>
      <c r="CC140" s="6" t="n"/>
      <c r="CD140" s="6" t="n"/>
      <c r="CE140" s="3" t="n"/>
      <c r="CF140" s="6" t="n"/>
      <c r="CG140" s="6" t="n"/>
      <c r="CH140" s="6" t="n"/>
      <c r="CI140" s="6" t="n"/>
      <c r="CJ140" s="3" t="n"/>
      <c r="CK140" s="6" t="n"/>
      <c r="CL140" s="6" t="n"/>
      <c r="CM140" s="6" t="n"/>
      <c r="CN140" s="6" t="n"/>
      <c r="CO140" s="3" t="n"/>
      <c r="CP140" s="6" t="n"/>
      <c r="CQ140" s="6" t="n"/>
      <c r="CR140" s="6" t="n"/>
      <c r="CS140" s="6" t="n"/>
      <c r="CT140" s="3" t="n"/>
      <c r="CU140" s="6" t="n"/>
      <c r="CV140" s="6" t="n"/>
      <c r="CW140" s="6" t="n"/>
      <c r="CX140" s="6" t="n"/>
      <c r="CY140" s="3" t="n"/>
    </row>
    <row r="141" hidden="1" outlineLevel="1">
      <c r="C141" s="3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hidden="1" outlineLevel="1">
      <c r="C142" s="3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collapsed="1">
      <c r="C143" s="26" t="inlineStr">
        <is>
          <t>Inventories</t>
        </is>
      </c>
      <c r="D143" s="25">
        <f>INDEX('Inputs (2)'!$D$17:$AL$17,MATCH(D$7,'Inputs (2)'!$D$2:$AL$2,0))</f>
        <v>0</v>
      </c>
      <c r="E143" s="25">
        <f>INDEX('Inputs (2)'!$D$17:$AL$17,MATCH(E$7,'Inputs (2)'!$D$2:$AL$2,0))</f>
        <v>0</v>
      </c>
      <c r="F143" s="25">
        <f>INDEX('Inputs (2)'!$D$17:$AL$17,MATCH(F$7,'Inputs (2)'!$D$2:$AL$2,0))</f>
        <v>0</v>
      </c>
      <c r="G143" s="25">
        <f>INDEX('Inputs (2)'!$D$17:$AL$17,MATCH(G$7,'Inputs (2)'!$D$2:$AL$2,0))</f>
        <v>0</v>
      </c>
      <c r="H143" s="3">
        <f>G143</f>
        <v>0</v>
      </c>
      <c r="I143" s="25">
        <f>INDEX('Inputs (2)'!$D$17:$AL$17,MATCH(I$7,'Inputs (2)'!$D$2:$AL$2,0))</f>
        <v>0</v>
      </c>
      <c r="J143" s="25">
        <f>INDEX('Inputs (2)'!$D$17:$AL$17,MATCH(J$7,'Inputs (2)'!$D$2:$AL$2,0))</f>
        <v>0</v>
      </c>
      <c r="K143" s="25">
        <f>INDEX('Inputs (2)'!$D$17:$AL$17,MATCH(K$7,'Inputs (2)'!$D$2:$AL$2,0))</f>
        <v>0</v>
      </c>
      <c r="L143" s="25">
        <f>INDEX('Inputs (2)'!$D$17:$AL$17,MATCH(L$7,'Inputs (2)'!$D$2:$AL$2,0))</f>
        <v>0</v>
      </c>
      <c r="M143" s="3">
        <f>L143</f>
        <v>0</v>
      </c>
      <c r="N143" s="25">
        <f>INDEX('Inputs (2)'!$D$17:$AL$17,MATCH(N$7,'Inputs (2)'!$D$2:$AL$2,0))</f>
        <v>0</v>
      </c>
      <c r="O143" s="25">
        <f>INDEX('Inputs (2)'!$D$17:$AL$17,MATCH(O$7,'Inputs (2)'!$D$2:$AL$2,0))</f>
        <v>0</v>
      </c>
      <c r="P143" s="25">
        <f>INDEX('Inputs (2)'!$D$17:$AL$17,MATCH(P$7,'Inputs (2)'!$D$2:$AL$2,0))</f>
        <v>0</v>
      </c>
      <c r="Q143" s="25">
        <f>INDEX('Inputs (2)'!$D$17:$AL$17,MATCH(Q$7,'Inputs (2)'!$D$2:$AL$2,0))</f>
        <v>0</v>
      </c>
      <c r="R143" s="3">
        <f>Q143</f>
        <v>0</v>
      </c>
      <c r="S143" s="25">
        <f>INDEX('Inputs (2)'!$D$17:$AL$17,MATCH(S$7,'Inputs (2)'!$D$2:$AL$2,0))</f>
        <v>0</v>
      </c>
      <c r="T143" s="25">
        <f>INDEX('Inputs (2)'!$D$17:$AL$17,MATCH(T$7,'Inputs (2)'!$D$2:$AL$2,0))</f>
        <v>0</v>
      </c>
      <c r="U143" s="25">
        <f>INDEX('Inputs (2)'!$D$17:$AL$17,MATCH(U$7,'Inputs (2)'!$D$2:$AL$2,0))</f>
        <v>0</v>
      </c>
      <c r="V143" s="25">
        <f>INDEX('Inputs (2)'!$D$17:$AL$17,MATCH(V$7,'Inputs (2)'!$D$2:$AL$2,0))</f>
        <v>0</v>
      </c>
      <c r="W143" s="3">
        <f>V143</f>
        <v>0</v>
      </c>
      <c r="X143" s="25">
        <f>INDEX('Inputs (2)'!$D$17:$AL$17,MATCH(X$7,'Inputs (2)'!$D$2:$AL$2,0))</f>
        <v>0</v>
      </c>
      <c r="Y143" s="25">
        <f>INDEX('Inputs (2)'!$D$17:$AL$17,MATCH(Y$7,'Inputs (2)'!$D$2:$AL$2,0))</f>
        <v>0</v>
      </c>
      <c r="Z143" s="25">
        <f>INDEX('Inputs (2)'!$D$17:$AL$17,MATCH(Z$7,'Inputs (2)'!$D$2:$AL$2,0))</f>
        <v>0</v>
      </c>
      <c r="AA143" s="25">
        <f>INDEX('Inputs (2)'!$D$17:$AL$17,MATCH(AA$7,'Inputs (2)'!$D$2:$AL$2,0))</f>
        <v>0</v>
      </c>
      <c r="AB143" s="3">
        <f>AA143</f>
        <v>0</v>
      </c>
      <c r="AC143" s="25">
        <f>INDEX('Inputs (2)'!$D$17:$AL$17,MATCH(AC$7,'Inputs (2)'!$D$2:$AL$2,0))</f>
        <v>0</v>
      </c>
      <c r="AD143" s="25">
        <f>INDEX('Inputs (2)'!$D$17:$AL$17,MATCH(AD$7,'Inputs (2)'!$D$2:$AL$2,0))</f>
        <v>0</v>
      </c>
      <c r="AE143" s="25">
        <f>INDEX('Inputs (2)'!$D$17:$AL$17,MATCH(AE$7,'Inputs (2)'!$D$2:$AL$2,0))</f>
        <v>0</v>
      </c>
      <c r="AF143" s="25">
        <f>INDEX('Inputs (2)'!$D$17:$AL$17,MATCH(AF$7,'Inputs (2)'!$D$2:$AL$2,0))</f>
        <v>0</v>
      </c>
      <c r="AG143" s="3">
        <f>AF143</f>
        <v>0</v>
      </c>
      <c r="AH143" s="3">
        <f>INDEX('Inputs (2)'!$D$17:$AL$17,MATCH(AH$7,'Inputs (2)'!$D$2:$AL$2,0))</f>
        <v>0</v>
      </c>
      <c r="AI143" s="3">
        <f>INDEX('Inputs (2)'!$D$17:$AL$17,MATCH(AI$7,'Inputs (2)'!$D$2:$AL$2,0))</f>
        <v>0</v>
      </c>
      <c r="AJ143" s="3">
        <f>(AJ144/(AJ$5-AI$5))*-AJ$48</f>
        <v>0</v>
      </c>
      <c r="AK143" s="3">
        <f>(AK144/(AK$5-AJ$5))*-AK$48</f>
        <v>0</v>
      </c>
      <c r="AL143" s="3">
        <f>AK143</f>
        <v>0</v>
      </c>
      <c r="AM143" s="3">
        <f>(AM144/(AM$5-AL$5))*-AM$48</f>
        <v>0</v>
      </c>
      <c r="AN143" s="3">
        <f>(AN144/(AN$5-AM$5))*-AN$48</f>
        <v>0</v>
      </c>
      <c r="AO143" s="3">
        <f>(AO144/(AO$5-AN$5))*-AO$48</f>
        <v>0</v>
      </c>
      <c r="AP143" s="3">
        <f>(AP144/(AP$5-AO$5))*-AP$48</f>
        <v>0</v>
      </c>
      <c r="AQ143" s="3">
        <f>AP143</f>
        <v>0</v>
      </c>
      <c r="AR143" s="3">
        <f>(AR144/(AR$5-AQ$5))*-AR$48</f>
        <v>0</v>
      </c>
      <c r="AS143" s="3">
        <f>(AS144/(AS$5-AR$5))*-AS$48</f>
        <v>0</v>
      </c>
      <c r="AT143" s="3">
        <f>(AT144/(AT$5-AS$5))*-AT$48</f>
        <v>0</v>
      </c>
      <c r="AU143" s="3">
        <f>(AU144/(AU$5-AT$5))*-AU$48</f>
        <v>0</v>
      </c>
      <c r="AV143" s="3">
        <f>AU143</f>
        <v>0</v>
      </c>
      <c r="AW143" s="3">
        <f>(AW144/(AW$5-AV$5))*-AW$48</f>
        <v>0</v>
      </c>
      <c r="AX143" s="3">
        <f>(AX144/(AX$5-AW$5))*-AX$48</f>
        <v>0</v>
      </c>
      <c r="AY143" s="3">
        <f>(AY144/(AY$5-AX$5))*-AY$48</f>
        <v>0</v>
      </c>
      <c r="AZ143" s="3">
        <f>(AZ144/(AZ$5-AY$5))*-AZ$48</f>
        <v>0</v>
      </c>
      <c r="BA143" s="3">
        <f>AZ143</f>
        <v>0</v>
      </c>
      <c r="BB143" s="3">
        <f>(BB144/(BB$5-BA$5))*-BB$48</f>
        <v>0</v>
      </c>
      <c r="BC143" s="3">
        <f>(BC144/(BC$5-BB$5))*-BC$48</f>
        <v>0</v>
      </c>
      <c r="BD143" s="3">
        <f>(BD144/(BD$5-BC$5))*-BD$48</f>
        <v>0</v>
      </c>
      <c r="BE143" s="3">
        <f>(BE144/(BE$5-BD$5))*-BE$48</f>
        <v>0</v>
      </c>
      <c r="BF143" s="3">
        <f>BE143</f>
        <v>0</v>
      </c>
      <c r="BG143" s="3">
        <f>(BG144/(BG$5-BF$5))*-BG$48</f>
        <v>0</v>
      </c>
      <c r="BH143" s="3">
        <f>(BH144/(BH$5-BG$5))*-BH$48</f>
        <v>0</v>
      </c>
      <c r="BI143" s="3">
        <f>(BI144/(BI$5-BH$5))*-BI$48</f>
        <v>0</v>
      </c>
      <c r="BJ143" s="3">
        <f>(BJ144/(BJ$5-BI$5))*-BJ$48</f>
        <v>0</v>
      </c>
      <c r="BK143" s="3">
        <f>BJ143</f>
        <v>0</v>
      </c>
      <c r="BL143" s="3">
        <f>(BL144/(BL$5-BK$5))*-BL$48</f>
        <v>0</v>
      </c>
      <c r="BM143" s="3">
        <f>(BM144/(BM$5-BL$5))*-BM$48</f>
        <v>0</v>
      </c>
      <c r="BN143" s="3">
        <f>(BN144/(BN$5-BM$5))*-BN$48</f>
        <v>0</v>
      </c>
      <c r="BO143" s="3">
        <f>(BO144/(BO$5-BN$5))*-BO$48</f>
        <v>0</v>
      </c>
      <c r="BP143" s="3">
        <f>BO143</f>
        <v>0</v>
      </c>
      <c r="BQ143" s="3">
        <f>(BQ144/(BQ$5-BP$5))*-BQ$48</f>
        <v>0</v>
      </c>
      <c r="BR143" s="3">
        <f>(BR144/(BR$5-BQ$5))*-BR$48</f>
        <v>0</v>
      </c>
      <c r="BS143" s="3">
        <f>(BS144/(BS$5-BR$5))*-BS$48</f>
        <v>0</v>
      </c>
      <c r="BT143" s="3">
        <f>(BT144/(BT$5-BS$5))*-BT$48</f>
        <v>0</v>
      </c>
      <c r="BU143" s="3">
        <f>BT143</f>
        <v>0</v>
      </c>
      <c r="BV143" s="3">
        <f>(BV144/(BV$5-BU$5))*-BV$48</f>
        <v>0</v>
      </c>
      <c r="BW143" s="3">
        <f>(BW144/(BW$5-BV$5))*-BW$48</f>
        <v>0</v>
      </c>
      <c r="BX143" s="3">
        <f>(BX144/(BX$5-BW$5))*-BX$48</f>
        <v>0</v>
      </c>
      <c r="BY143" s="3">
        <f>(BY144/(BY$5-BX$5))*-BY$48</f>
        <v>0</v>
      </c>
      <c r="BZ143" s="3">
        <f>BY143</f>
        <v>0</v>
      </c>
      <c r="CA143" s="3">
        <f>(CA144/(CA$5-BZ$5))*-CA$48</f>
        <v>0</v>
      </c>
      <c r="CB143" s="3">
        <f>(CB144/(CB$5-CA$5))*-CB$48</f>
        <v>0</v>
      </c>
      <c r="CC143" s="3">
        <f>(CC144/(CC$5-CB$5))*-CC$48</f>
        <v>0</v>
      </c>
      <c r="CD143" s="3">
        <f>(CD144/(CD$5-CC$5))*-CD$48</f>
        <v>0</v>
      </c>
      <c r="CE143" s="3">
        <f>CD143</f>
        <v>0</v>
      </c>
      <c r="CF143" s="3">
        <f>(CF144/(CF$5-CE$5))*-CF$48</f>
        <v>0</v>
      </c>
      <c r="CG143" s="3">
        <f>(CG144/(CG$5-CF$5))*-CG$48</f>
        <v>0</v>
      </c>
      <c r="CH143" s="3">
        <f>(CH144/(CH$5-CG$5))*-CH$48</f>
        <v>0</v>
      </c>
      <c r="CI143" s="3">
        <f>(CI144/(CI$5-CH$5))*-CI$48</f>
        <v>0</v>
      </c>
      <c r="CJ143" s="3">
        <f>CI143</f>
        <v>0</v>
      </c>
      <c r="CK143" s="3">
        <f>(CK144/(CK$5-CJ$5))*-CK$48</f>
        <v>0</v>
      </c>
      <c r="CL143" s="3">
        <f>(CL144/(CL$5-CK$5))*-CL$48</f>
        <v>0</v>
      </c>
      <c r="CM143" s="3">
        <f>(CM144/(CM$5-CL$5))*-CM$48</f>
        <v>0</v>
      </c>
      <c r="CN143" s="3">
        <f>(CN144/(CN$5-CM$5))*-CN$48</f>
        <v>0</v>
      </c>
      <c r="CO143" s="3">
        <f>CN143</f>
        <v>0</v>
      </c>
      <c r="CP143" s="3">
        <f>(CP144/(CP$5-CO$5))*-CP$48</f>
        <v>0</v>
      </c>
      <c r="CQ143" s="3">
        <f>(CQ144/(CQ$5-CP$5))*-CQ$48</f>
        <v>0</v>
      </c>
      <c r="CR143" s="3">
        <f>(CR144/(CR$5-CQ$5))*-CR$48</f>
        <v>0</v>
      </c>
      <c r="CS143" s="3">
        <f>(CS144/(CS$5-CR$5))*-CS$48</f>
        <v>0</v>
      </c>
      <c r="CT143" s="3">
        <f>CS143</f>
        <v>0</v>
      </c>
      <c r="CU143" s="3">
        <f>(CU144/(CU$5-CT$5))*-CU$48</f>
        <v>0</v>
      </c>
      <c r="CV143" s="3">
        <f>(CV144/(CV$5-CU$5))*-CV$48</f>
        <v>0</v>
      </c>
      <c r="CW143" s="3">
        <f>(CW144/(CW$5-CV$5))*-CW$48</f>
        <v>0</v>
      </c>
      <c r="CX143" s="3">
        <f>(CX144/(CX$5-CW$5))*-CX$48</f>
        <v>0</v>
      </c>
      <c r="CY143" s="3">
        <f>CX143</f>
        <v>0</v>
      </c>
    </row>
    <row r="144" hidden="1" outlineLevel="1">
      <c r="C144" s="34" t="inlineStr">
        <is>
          <t>DIO</t>
        </is>
      </c>
      <c r="D144" s="3" t="n"/>
      <c r="E144" s="3">
        <f>((E143/E$48)*(E$5-D$5))*-1</f>
        <v>0</v>
      </c>
      <c r="F144" s="3">
        <f>((F143/F$48)*(F$5-E$5))*-1</f>
        <v>0</v>
      </c>
      <c r="G144" s="3">
        <f>((G143/G$48)*(G$5-F$5))*-1</f>
        <v>0</v>
      </c>
      <c r="H144" s="3" t="n"/>
      <c r="I144" s="3">
        <f>((I143/I$48)*(I$5-H$5))*-1</f>
        <v>0</v>
      </c>
      <c r="J144" s="3">
        <f>((J143/J$48)*(J$5-I$5))*-1</f>
        <v>0</v>
      </c>
      <c r="K144" s="3">
        <f>((K143/K$48)*(K$5-J$5))*-1</f>
        <v>0</v>
      </c>
      <c r="L144" s="3">
        <f>((L143/L$48)*(L$5-K$5))*-1</f>
        <v>0</v>
      </c>
      <c r="M144" s="3" t="n"/>
      <c r="N144" s="3">
        <f>((N143/N$48)*(N$5-M$5))*-1</f>
        <v>0</v>
      </c>
      <c r="O144" s="3">
        <f>((O143/O$48)*(O$5-N$5))*-1</f>
        <v>0</v>
      </c>
      <c r="P144" s="3">
        <f>((P143/P$48)*(P$5-O$5))*-1</f>
        <v>0</v>
      </c>
      <c r="Q144" s="3">
        <f>((Q143/Q$48)*(Q$5-P$5))*-1</f>
        <v>0</v>
      </c>
      <c r="R144" s="3" t="n"/>
      <c r="S144" s="3">
        <f>((S143/S$48)*(S$5-R$5))*-1</f>
        <v>0</v>
      </c>
      <c r="T144" s="3">
        <f>((T143/T$48)*(T$5-S$5))*-1</f>
        <v>0</v>
      </c>
      <c r="U144" s="3">
        <f>((U143/U$48)*(U$5-T$5))*-1</f>
        <v>0</v>
      </c>
      <c r="V144" s="3">
        <f>((V143/V$48)*(V$5-U$5))*-1</f>
        <v>0</v>
      </c>
      <c r="W144" s="3" t="n"/>
      <c r="X144" s="3">
        <f>((X143/X$48)*(X$5-W$5))*-1</f>
        <v>0</v>
      </c>
      <c r="Y144" s="3">
        <f>((Y143/Y$48)*(Y$5-X$5))*-1</f>
        <v>0</v>
      </c>
      <c r="Z144" s="3">
        <f>((Z143/Z$48)*(Z$5-Y$5))*-1</f>
        <v>0</v>
      </c>
      <c r="AA144" s="3">
        <f>((AA143/AA$48)*(AA$5-Z$5))*-1</f>
        <v>0</v>
      </c>
      <c r="AB144" s="3" t="n"/>
      <c r="AC144" s="3">
        <f>((AC143/AC$48)*(AC$5-AB$5))*-1</f>
        <v>0</v>
      </c>
      <c r="AD144" s="3">
        <f>((AD143/AD$48)*(AD$5-AC$5))*-1</f>
        <v>0</v>
      </c>
      <c r="AE144" s="3">
        <f>((AE143/AE$48)*(AE$5-AD$5))*-1</f>
        <v>0</v>
      </c>
      <c r="AF144" s="6">
        <f>((AF143/AF$48)*(AF$5-AE$5))*-1</f>
        <v>0</v>
      </c>
      <c r="AG144" s="3" t="n"/>
      <c r="AH144" s="6">
        <f>((AH143/AH$48)*(AH$5-AG$5))*-1</f>
        <v>0</v>
      </c>
      <c r="AI144" s="6">
        <f>((AI143/AI$48)*(AI$5-AH$5))*-1</f>
        <v>0</v>
      </c>
      <c r="AJ144" s="6" t="n"/>
      <c r="AK144" s="6" t="n"/>
      <c r="AL144" s="3" t="n"/>
      <c r="AM144" s="6" t="n"/>
      <c r="AN144" s="6" t="n"/>
      <c r="AO144" s="6" t="n"/>
      <c r="AP144" s="6" t="n"/>
      <c r="AQ144" s="3" t="n"/>
      <c r="AR144" s="6" t="n"/>
      <c r="AS144" s="6" t="n"/>
      <c r="AT144" s="6" t="n"/>
      <c r="AU144" s="6" t="n"/>
      <c r="AV144" s="3" t="n"/>
      <c r="AW144" s="6" t="n"/>
      <c r="AX144" s="6" t="n"/>
      <c r="AY144" s="6" t="n"/>
      <c r="AZ144" s="6" t="n"/>
      <c r="BA144" s="3" t="n"/>
      <c r="BB144" s="6" t="n"/>
      <c r="BC144" s="6" t="n"/>
      <c r="BD144" s="6" t="n"/>
      <c r="BE144" s="6" t="n"/>
      <c r="BF144" s="3" t="n"/>
      <c r="BG144" s="6" t="n"/>
      <c r="BH144" s="6" t="n"/>
      <c r="BI144" s="6" t="n"/>
      <c r="BJ144" s="6" t="n"/>
      <c r="BK144" s="3" t="n"/>
      <c r="BL144" s="6" t="n"/>
      <c r="BM144" s="6" t="n"/>
      <c r="BN144" s="6" t="n"/>
      <c r="BO144" s="6" t="n"/>
      <c r="BP144" s="3" t="n"/>
      <c r="BQ144" s="6" t="n"/>
      <c r="BR144" s="6" t="n"/>
      <c r="BS144" s="6" t="n"/>
      <c r="BT144" s="6" t="n"/>
      <c r="BU144" s="3" t="n"/>
      <c r="BV144" s="6" t="n"/>
      <c r="BW144" s="6" t="n"/>
      <c r="BX144" s="6" t="n"/>
      <c r="BY144" s="6" t="n"/>
      <c r="BZ144" s="3" t="n"/>
      <c r="CA144" s="6" t="n"/>
      <c r="CB144" s="6" t="n"/>
      <c r="CC144" s="6" t="n"/>
      <c r="CD144" s="6" t="n"/>
      <c r="CE144" s="3" t="n"/>
      <c r="CF144" s="6" t="n"/>
      <c r="CG144" s="6" t="n"/>
      <c r="CH144" s="6" t="n"/>
      <c r="CI144" s="6" t="n"/>
      <c r="CJ144" s="3" t="n"/>
      <c r="CK144" s="6" t="n"/>
      <c r="CL144" s="6" t="n"/>
      <c r="CM144" s="6" t="n"/>
      <c r="CN144" s="6" t="n"/>
      <c r="CO144" s="3" t="n"/>
      <c r="CP144" s="6" t="n"/>
      <c r="CQ144" s="6" t="n"/>
      <c r="CR144" s="6" t="n"/>
      <c r="CS144" s="6" t="n"/>
      <c r="CT144" s="3" t="n"/>
      <c r="CU144" s="6" t="n"/>
      <c r="CV144" s="6" t="n"/>
      <c r="CW144" s="6" t="n"/>
      <c r="CX144" s="6" t="n"/>
      <c r="CY144" s="3" t="n"/>
    </row>
    <row r="145" hidden="1" outlineLevel="1">
      <c r="C145" s="3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  <c r="CU145" s="3" t="n"/>
      <c r="CV145" s="3" t="n"/>
      <c r="CW145" s="3" t="n"/>
      <c r="CX145" s="3" t="n"/>
      <c r="CY145" s="3" t="n"/>
    </row>
    <row r="146" hidden="1" outlineLevel="1">
      <c r="C146" s="34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collapsed="1">
      <c r="C147" s="26" t="inlineStr">
        <is>
          <t>Deferred income taxes</t>
        </is>
      </c>
      <c r="D147" s="25">
        <f>INDEX('Inputs (2)'!$D$18:$AL$18,MATCH(D$7,'Inputs (2)'!$D$2:$AL$2,0))</f>
        <v>0</v>
      </c>
      <c r="E147" s="25">
        <f>INDEX('Inputs (2)'!$D$18:$AL$18,MATCH(E$7,'Inputs (2)'!$D$2:$AL$2,0))</f>
        <v>0</v>
      </c>
      <c r="F147" s="25">
        <f>INDEX('Inputs (2)'!$D$18:$AL$18,MATCH(F$7,'Inputs (2)'!$D$2:$AL$2,0))</f>
        <v>0</v>
      </c>
      <c r="G147" s="25">
        <f>INDEX('Inputs (2)'!$D$18:$AL$18,MATCH(G$7,'Inputs (2)'!$D$2:$AL$2,0))</f>
        <v>0</v>
      </c>
      <c r="H147" s="3">
        <f>G147</f>
        <v>0</v>
      </c>
      <c r="I147" s="25">
        <f>INDEX('Inputs (2)'!$D$18:$AL$18,MATCH(I$7,'Inputs (2)'!$D$2:$AL$2,0))</f>
        <v>0</v>
      </c>
      <c r="J147" s="25">
        <f>INDEX('Inputs (2)'!$D$18:$AL$18,MATCH(J$7,'Inputs (2)'!$D$2:$AL$2,0))</f>
        <v>0</v>
      </c>
      <c r="K147" s="25">
        <f>INDEX('Inputs (2)'!$D$18:$AL$18,MATCH(K$7,'Inputs (2)'!$D$2:$AL$2,0))</f>
        <v>0</v>
      </c>
      <c r="L147" s="25">
        <f>INDEX('Inputs (2)'!$D$18:$AL$18,MATCH(L$7,'Inputs (2)'!$D$2:$AL$2,0))</f>
        <v>0</v>
      </c>
      <c r="M147" s="3">
        <f>L147</f>
        <v>0</v>
      </c>
      <c r="N147" s="25">
        <f>INDEX('Inputs (2)'!$D$18:$AL$18,MATCH(N$7,'Inputs (2)'!$D$2:$AL$2,0))</f>
        <v>0</v>
      </c>
      <c r="O147" s="25">
        <f>INDEX('Inputs (2)'!$D$18:$AL$18,MATCH(O$7,'Inputs (2)'!$D$2:$AL$2,0))</f>
        <v>0</v>
      </c>
      <c r="P147" s="25">
        <f>INDEX('Inputs (2)'!$D$18:$AL$18,MATCH(P$7,'Inputs (2)'!$D$2:$AL$2,0))</f>
        <v>0</v>
      </c>
      <c r="Q147" s="25">
        <f>INDEX('Inputs (2)'!$D$18:$AL$18,MATCH(Q$7,'Inputs (2)'!$D$2:$AL$2,0))</f>
        <v>0</v>
      </c>
      <c r="R147" s="3">
        <f>Q147</f>
        <v>0</v>
      </c>
      <c r="S147" s="25">
        <f>INDEX('Inputs (2)'!$D$18:$AL$18,MATCH(S$7,'Inputs (2)'!$D$2:$AL$2,0))</f>
        <v>0</v>
      </c>
      <c r="T147" s="25">
        <f>INDEX('Inputs (2)'!$D$18:$AL$18,MATCH(T$7,'Inputs (2)'!$D$2:$AL$2,0))</f>
        <v>0</v>
      </c>
      <c r="U147" s="25">
        <f>INDEX('Inputs (2)'!$D$18:$AL$18,MATCH(U$7,'Inputs (2)'!$D$2:$AL$2,0))</f>
        <v>0</v>
      </c>
      <c r="V147" s="25">
        <f>INDEX('Inputs (2)'!$D$18:$AL$18,MATCH(V$7,'Inputs (2)'!$D$2:$AL$2,0))</f>
        <v>0</v>
      </c>
      <c r="W147" s="3">
        <f>V147</f>
        <v>0</v>
      </c>
      <c r="X147" s="25">
        <f>INDEX('Inputs (2)'!$D$18:$AL$18,MATCH(X$7,'Inputs (2)'!$D$2:$AL$2,0))</f>
        <v>0</v>
      </c>
      <c r="Y147" s="25">
        <f>INDEX('Inputs (2)'!$D$18:$AL$18,MATCH(Y$7,'Inputs (2)'!$D$2:$AL$2,0))</f>
        <v>0</v>
      </c>
      <c r="Z147" s="25">
        <f>INDEX('Inputs (2)'!$D$18:$AL$18,MATCH(Z$7,'Inputs (2)'!$D$2:$AL$2,0))</f>
        <v>0</v>
      </c>
      <c r="AA147" s="25">
        <f>INDEX('Inputs (2)'!$D$18:$AL$18,MATCH(AA$7,'Inputs (2)'!$D$2:$AL$2,0))</f>
        <v>0</v>
      </c>
      <c r="AB147" s="3">
        <f>AA147</f>
        <v>0</v>
      </c>
      <c r="AC147" s="25">
        <f>INDEX('Inputs (2)'!$D$18:$AL$18,MATCH(AC$7,'Inputs (2)'!$D$2:$AL$2,0))</f>
        <v>0</v>
      </c>
      <c r="AD147" s="25">
        <f>INDEX('Inputs (2)'!$D$18:$AL$18,MATCH(AD$7,'Inputs (2)'!$D$2:$AL$2,0))</f>
        <v>0</v>
      </c>
      <c r="AE147" s="25">
        <f>INDEX('Inputs (2)'!$D$18:$AL$18,MATCH(AE$7,'Inputs (2)'!$D$2:$AL$2,0))</f>
        <v>0</v>
      </c>
      <c r="AF147" s="25">
        <f>INDEX('Inputs (2)'!$D$18:$AL$18,MATCH(AF$7,'Inputs (2)'!$D$2:$AL$2,0))</f>
        <v>0</v>
      </c>
      <c r="AG147" s="3">
        <f>AF147</f>
        <v>0</v>
      </c>
      <c r="AH147" s="3">
        <f>INDEX('Inputs (2)'!$D$18:$AL$18,MATCH(AH$7,'Inputs (2)'!$D$2:$AL$2,0))</f>
        <v>0</v>
      </c>
      <c r="AI147" s="3">
        <f>INDEX('Inputs (2)'!$D$18:$AL$18,MATCH(AI$7,'Inputs (2)'!$D$2:$AL$2,0))</f>
        <v>0</v>
      </c>
      <c r="AJ147" s="3">
        <f>AI147</f>
        <v>0</v>
      </c>
      <c r="AK147" s="3">
        <f>AJ147</f>
        <v>0</v>
      </c>
      <c r="AL147" s="3">
        <f>AK147</f>
        <v>0</v>
      </c>
      <c r="AM147" s="3">
        <f>AL147</f>
        <v>0</v>
      </c>
      <c r="AN147" s="3">
        <f>AM147</f>
        <v>0</v>
      </c>
      <c r="AO147" s="3">
        <f>AN147</f>
        <v>0</v>
      </c>
      <c r="AP147" s="3">
        <f>AO147</f>
        <v>0</v>
      </c>
      <c r="AQ147" s="3">
        <f>AP147</f>
        <v>0</v>
      </c>
      <c r="AR147" s="3">
        <f>AQ147</f>
        <v>0</v>
      </c>
      <c r="AS147" s="3">
        <f>AR147</f>
        <v>0</v>
      </c>
      <c r="AT147" s="3">
        <f>AS147</f>
        <v>0</v>
      </c>
      <c r="AU147" s="3">
        <f>AT147</f>
        <v>0</v>
      </c>
      <c r="AV147" s="3">
        <f>AU147</f>
        <v>0</v>
      </c>
      <c r="AW147" s="3">
        <f>AV147</f>
        <v>0</v>
      </c>
      <c r="AX147" s="3">
        <f>AW147</f>
        <v>0</v>
      </c>
      <c r="AY147" s="3">
        <f>AX147</f>
        <v>0</v>
      </c>
      <c r="AZ147" s="3">
        <f>AY147</f>
        <v>0</v>
      </c>
      <c r="BA147" s="3">
        <f>AZ147</f>
        <v>0</v>
      </c>
      <c r="BB147" s="3">
        <f>BA147</f>
        <v>0</v>
      </c>
      <c r="BC147" s="3">
        <f>BB147</f>
        <v>0</v>
      </c>
      <c r="BD147" s="3">
        <f>BC147</f>
        <v>0</v>
      </c>
      <c r="BE147" s="3">
        <f>BD147</f>
        <v>0</v>
      </c>
      <c r="BF147" s="3">
        <f>BE147</f>
        <v>0</v>
      </c>
      <c r="BG147" s="3">
        <f>BF147</f>
        <v>0</v>
      </c>
      <c r="BH147" s="3">
        <f>BG147</f>
        <v>0</v>
      </c>
      <c r="BI147" s="3">
        <f>BH147</f>
        <v>0</v>
      </c>
      <c r="BJ147" s="3">
        <f>BI147</f>
        <v>0</v>
      </c>
      <c r="BK147" s="3">
        <f>BJ147</f>
        <v>0</v>
      </c>
      <c r="BL147" s="3">
        <f>BK147</f>
        <v>0</v>
      </c>
      <c r="BM147" s="3">
        <f>BL147</f>
        <v>0</v>
      </c>
      <c r="BN147" s="3">
        <f>BM147</f>
        <v>0</v>
      </c>
      <c r="BO147" s="3">
        <f>BN147</f>
        <v>0</v>
      </c>
      <c r="BP147" s="3">
        <f>BO147</f>
        <v>0</v>
      </c>
      <c r="BQ147" s="3">
        <f>BP147</f>
        <v>0</v>
      </c>
      <c r="BR147" s="3">
        <f>BQ147</f>
        <v>0</v>
      </c>
      <c r="BS147" s="3">
        <f>BR147</f>
        <v>0</v>
      </c>
      <c r="BT147" s="3">
        <f>BS147</f>
        <v>0</v>
      </c>
      <c r="BU147" s="3">
        <f>BT147</f>
        <v>0</v>
      </c>
      <c r="BV147" s="3">
        <f>BU147</f>
        <v>0</v>
      </c>
      <c r="BW147" s="3">
        <f>BV147</f>
        <v>0</v>
      </c>
      <c r="BX147" s="3">
        <f>BW147</f>
        <v>0</v>
      </c>
      <c r="BY147" s="3">
        <f>BX147</f>
        <v>0</v>
      </c>
      <c r="BZ147" s="3">
        <f>BY147</f>
        <v>0</v>
      </c>
      <c r="CA147" s="3">
        <f>BZ147</f>
        <v>0</v>
      </c>
      <c r="CB147" s="3">
        <f>CA147</f>
        <v>0</v>
      </c>
      <c r="CC147" s="3">
        <f>CB147</f>
        <v>0</v>
      </c>
      <c r="CD147" s="3">
        <f>CC147</f>
        <v>0</v>
      </c>
      <c r="CE147" s="3">
        <f>CD147</f>
        <v>0</v>
      </c>
      <c r="CF147" s="3">
        <f>CE147</f>
        <v>0</v>
      </c>
      <c r="CG147" s="3">
        <f>CF147</f>
        <v>0</v>
      </c>
      <c r="CH147" s="3">
        <f>CG147</f>
        <v>0</v>
      </c>
      <c r="CI147" s="3">
        <f>CH147</f>
        <v>0</v>
      </c>
      <c r="CJ147" s="3">
        <f>CI147</f>
        <v>0</v>
      </c>
      <c r="CK147" s="3">
        <f>CJ147</f>
        <v>0</v>
      </c>
      <c r="CL147" s="3">
        <f>CK147</f>
        <v>0</v>
      </c>
      <c r="CM147" s="3">
        <f>CL147</f>
        <v>0</v>
      </c>
      <c r="CN147" s="3">
        <f>CM147</f>
        <v>0</v>
      </c>
      <c r="CO147" s="3">
        <f>CN147</f>
        <v>0</v>
      </c>
      <c r="CP147" s="3">
        <f>CO147</f>
        <v>0</v>
      </c>
      <c r="CQ147" s="3">
        <f>CP147</f>
        <v>0</v>
      </c>
      <c r="CR147" s="3">
        <f>CQ147</f>
        <v>0</v>
      </c>
      <c r="CS147" s="3">
        <f>CR147</f>
        <v>0</v>
      </c>
      <c r="CT147" s="3">
        <f>CS147</f>
        <v>0</v>
      </c>
      <c r="CU147" s="3">
        <f>CT147</f>
        <v>0</v>
      </c>
      <c r="CV147" s="3">
        <f>CU147</f>
        <v>0</v>
      </c>
      <c r="CW147" s="3">
        <f>CV147</f>
        <v>0</v>
      </c>
      <c r="CX147" s="3">
        <f>CW147</f>
        <v>0</v>
      </c>
      <c r="CY147" s="3">
        <f>CX147</f>
        <v>0</v>
      </c>
    </row>
    <row r="148">
      <c r="C148" s="26" t="inlineStr">
        <is>
          <t>Prepaid expenses</t>
        </is>
      </c>
      <c r="D148" s="25">
        <f>INDEX('Inputs (2)'!$D$19:$AL$19,MATCH(D$7,'Inputs (2)'!$D$2:$AL$2,0))</f>
        <v>0</v>
      </c>
      <c r="E148" s="25">
        <f>INDEX('Inputs (2)'!$D$19:$AL$19,MATCH(E$7,'Inputs (2)'!$D$2:$AL$2,0))</f>
        <v>0</v>
      </c>
      <c r="F148" s="25">
        <f>INDEX('Inputs (2)'!$D$19:$AL$19,MATCH(F$7,'Inputs (2)'!$D$2:$AL$2,0))</f>
        <v>0</v>
      </c>
      <c r="G148" s="25">
        <f>INDEX('Inputs (2)'!$D$19:$AL$19,MATCH(G$7,'Inputs (2)'!$D$2:$AL$2,0))</f>
        <v>0</v>
      </c>
      <c r="H148" s="3">
        <f>G148</f>
        <v>0</v>
      </c>
      <c r="I148" s="25">
        <f>INDEX('Inputs (2)'!$D$19:$AL$19,MATCH(I$7,'Inputs (2)'!$D$2:$AL$2,0))</f>
        <v>0</v>
      </c>
      <c r="J148" s="25">
        <f>INDEX('Inputs (2)'!$D$19:$AL$19,MATCH(J$7,'Inputs (2)'!$D$2:$AL$2,0))</f>
        <v>0</v>
      </c>
      <c r="K148" s="25">
        <f>INDEX('Inputs (2)'!$D$19:$AL$19,MATCH(K$7,'Inputs (2)'!$D$2:$AL$2,0))</f>
        <v>0</v>
      </c>
      <c r="L148" s="25">
        <f>INDEX('Inputs (2)'!$D$19:$AL$19,MATCH(L$7,'Inputs (2)'!$D$2:$AL$2,0))</f>
        <v>0</v>
      </c>
      <c r="M148" s="3">
        <f>L148</f>
        <v>0</v>
      </c>
      <c r="N148" s="25">
        <f>INDEX('Inputs (2)'!$D$19:$AL$19,MATCH(N$7,'Inputs (2)'!$D$2:$AL$2,0))</f>
        <v>0</v>
      </c>
      <c r="O148" s="25">
        <f>INDEX('Inputs (2)'!$D$19:$AL$19,MATCH(O$7,'Inputs (2)'!$D$2:$AL$2,0))</f>
        <v>0</v>
      </c>
      <c r="P148" s="25">
        <f>INDEX('Inputs (2)'!$D$19:$AL$19,MATCH(P$7,'Inputs (2)'!$D$2:$AL$2,0))</f>
        <v>0</v>
      </c>
      <c r="Q148" s="25">
        <f>INDEX('Inputs (2)'!$D$19:$AL$19,MATCH(Q$7,'Inputs (2)'!$D$2:$AL$2,0))</f>
        <v>0</v>
      </c>
      <c r="R148" s="3">
        <f>Q148</f>
        <v>0</v>
      </c>
      <c r="S148" s="25">
        <f>INDEX('Inputs (2)'!$D$19:$AL$19,MATCH(S$7,'Inputs (2)'!$D$2:$AL$2,0))</f>
        <v>0</v>
      </c>
      <c r="T148" s="25">
        <f>INDEX('Inputs (2)'!$D$19:$AL$19,MATCH(T$7,'Inputs (2)'!$D$2:$AL$2,0))</f>
        <v>0</v>
      </c>
      <c r="U148" s="25">
        <f>INDEX('Inputs (2)'!$D$19:$AL$19,MATCH(U$7,'Inputs (2)'!$D$2:$AL$2,0))</f>
        <v>0</v>
      </c>
      <c r="V148" s="25">
        <f>INDEX('Inputs (2)'!$D$19:$AL$19,MATCH(V$7,'Inputs (2)'!$D$2:$AL$2,0))</f>
        <v>0</v>
      </c>
      <c r="W148" s="3">
        <f>V148</f>
        <v>0</v>
      </c>
      <c r="X148" s="25">
        <f>INDEX('Inputs (2)'!$D$19:$AL$19,MATCH(X$7,'Inputs (2)'!$D$2:$AL$2,0))</f>
        <v>0</v>
      </c>
      <c r="Y148" s="25">
        <f>INDEX('Inputs (2)'!$D$19:$AL$19,MATCH(Y$7,'Inputs (2)'!$D$2:$AL$2,0))</f>
        <v>0</v>
      </c>
      <c r="Z148" s="25">
        <f>INDEX('Inputs (2)'!$D$19:$AL$19,MATCH(Z$7,'Inputs (2)'!$D$2:$AL$2,0))</f>
        <v>0</v>
      </c>
      <c r="AA148" s="25">
        <f>INDEX('Inputs (2)'!$D$19:$AL$19,MATCH(AA$7,'Inputs (2)'!$D$2:$AL$2,0))</f>
        <v>0</v>
      </c>
      <c r="AB148" s="3">
        <f>AA148</f>
        <v>0</v>
      </c>
      <c r="AC148" s="25">
        <f>INDEX('Inputs (2)'!$D$19:$AL$19,MATCH(AC$7,'Inputs (2)'!$D$2:$AL$2,0))</f>
        <v>0</v>
      </c>
      <c r="AD148" s="25">
        <f>INDEX('Inputs (2)'!$D$19:$AL$19,MATCH(AD$7,'Inputs (2)'!$D$2:$AL$2,0))</f>
        <v>0</v>
      </c>
      <c r="AE148" s="25">
        <f>INDEX('Inputs (2)'!$D$19:$AL$19,MATCH(AE$7,'Inputs (2)'!$D$2:$AL$2,0))</f>
        <v>0</v>
      </c>
      <c r="AF148" s="25">
        <f>INDEX('Inputs (2)'!$D$19:$AL$19,MATCH(AF$7,'Inputs (2)'!$D$2:$AL$2,0))</f>
        <v>0</v>
      </c>
      <c r="AG148" s="3">
        <f>AF148</f>
        <v>0</v>
      </c>
      <c r="AH148" s="3">
        <f>INDEX('Inputs (2)'!$D$19:$AL$19,MATCH(AH$7,'Inputs (2)'!$D$2:$AL$2,0))</f>
        <v>0</v>
      </c>
      <c r="AI148" s="3">
        <f>INDEX('Inputs (2)'!$D$19:$AL$19,MATCH(AI$7,'Inputs (2)'!$D$2:$AL$2,0))</f>
        <v>0</v>
      </c>
      <c r="AJ148" s="3">
        <f>AI148</f>
        <v>0</v>
      </c>
      <c r="AK148" s="3">
        <f>AJ148</f>
        <v>0</v>
      </c>
      <c r="AL148" s="3">
        <f>AK148</f>
        <v>0</v>
      </c>
      <c r="AM148" s="3">
        <f>AL148</f>
        <v>0</v>
      </c>
      <c r="AN148" s="3">
        <f>AM148</f>
        <v>0</v>
      </c>
      <c r="AO148" s="3">
        <f>AN148</f>
        <v>0</v>
      </c>
      <c r="AP148" s="3">
        <f>AO148</f>
        <v>0</v>
      </c>
      <c r="AQ148" s="3">
        <f>AP148</f>
        <v>0</v>
      </c>
      <c r="AR148" s="3">
        <f>AQ148</f>
        <v>0</v>
      </c>
      <c r="AS148" s="3">
        <f>AR148</f>
        <v>0</v>
      </c>
      <c r="AT148" s="3">
        <f>AS148</f>
        <v>0</v>
      </c>
      <c r="AU148" s="3">
        <f>AT148</f>
        <v>0</v>
      </c>
      <c r="AV148" s="3">
        <f>AU148</f>
        <v>0</v>
      </c>
      <c r="AW148" s="3">
        <f>AV148</f>
        <v>0</v>
      </c>
      <c r="AX148" s="3">
        <f>AW148</f>
        <v>0</v>
      </c>
      <c r="AY148" s="3">
        <f>AX148</f>
        <v>0</v>
      </c>
      <c r="AZ148" s="3">
        <f>AY148</f>
        <v>0</v>
      </c>
      <c r="BA148" s="3">
        <f>AZ148</f>
        <v>0</v>
      </c>
      <c r="BB148" s="3">
        <f>BA148</f>
        <v>0</v>
      </c>
      <c r="BC148" s="3">
        <f>BB148</f>
        <v>0</v>
      </c>
      <c r="BD148" s="3">
        <f>BC148</f>
        <v>0</v>
      </c>
      <c r="BE148" s="3">
        <f>BD148</f>
        <v>0</v>
      </c>
      <c r="BF148" s="3">
        <f>BE148</f>
        <v>0</v>
      </c>
      <c r="BG148" s="3">
        <f>BF148</f>
        <v>0</v>
      </c>
      <c r="BH148" s="3">
        <f>BG148</f>
        <v>0</v>
      </c>
      <c r="BI148" s="3">
        <f>BH148</f>
        <v>0</v>
      </c>
      <c r="BJ148" s="3">
        <f>BI148</f>
        <v>0</v>
      </c>
      <c r="BK148" s="3">
        <f>BJ148</f>
        <v>0</v>
      </c>
      <c r="BL148" s="3">
        <f>BK148</f>
        <v>0</v>
      </c>
      <c r="BM148" s="3">
        <f>BL148</f>
        <v>0</v>
      </c>
      <c r="BN148" s="3">
        <f>BM148</f>
        <v>0</v>
      </c>
      <c r="BO148" s="3">
        <f>BN148</f>
        <v>0</v>
      </c>
      <c r="BP148" s="3">
        <f>BO148</f>
        <v>0</v>
      </c>
      <c r="BQ148" s="3">
        <f>BP148</f>
        <v>0</v>
      </c>
      <c r="BR148" s="3">
        <f>BQ148</f>
        <v>0</v>
      </c>
      <c r="BS148" s="3">
        <f>BR148</f>
        <v>0</v>
      </c>
      <c r="BT148" s="3">
        <f>BS148</f>
        <v>0</v>
      </c>
      <c r="BU148" s="3">
        <f>BT148</f>
        <v>0</v>
      </c>
      <c r="BV148" s="3">
        <f>BU148</f>
        <v>0</v>
      </c>
      <c r="BW148" s="3">
        <f>BV148</f>
        <v>0</v>
      </c>
      <c r="BX148" s="3">
        <f>BW148</f>
        <v>0</v>
      </c>
      <c r="BY148" s="3">
        <f>BX148</f>
        <v>0</v>
      </c>
      <c r="BZ148" s="3">
        <f>BY148</f>
        <v>0</v>
      </c>
      <c r="CA148" s="3">
        <f>BZ148</f>
        <v>0</v>
      </c>
      <c r="CB148" s="3">
        <f>CA148</f>
        <v>0</v>
      </c>
      <c r="CC148" s="3">
        <f>CB148</f>
        <v>0</v>
      </c>
      <c r="CD148" s="3">
        <f>CC148</f>
        <v>0</v>
      </c>
      <c r="CE148" s="3">
        <f>CD148</f>
        <v>0</v>
      </c>
      <c r="CF148" s="3">
        <f>CE148</f>
        <v>0</v>
      </c>
      <c r="CG148" s="3">
        <f>CF148</f>
        <v>0</v>
      </c>
      <c r="CH148" s="3">
        <f>CG148</f>
        <v>0</v>
      </c>
      <c r="CI148" s="3">
        <f>CH148</f>
        <v>0</v>
      </c>
      <c r="CJ148" s="3">
        <f>CI148</f>
        <v>0</v>
      </c>
      <c r="CK148" s="3">
        <f>CJ148</f>
        <v>0</v>
      </c>
      <c r="CL148" s="3">
        <f>CK148</f>
        <v>0</v>
      </c>
      <c r="CM148" s="3">
        <f>CL148</f>
        <v>0</v>
      </c>
      <c r="CN148" s="3">
        <f>CM148</f>
        <v>0</v>
      </c>
      <c r="CO148" s="3">
        <f>CN148</f>
        <v>0</v>
      </c>
      <c r="CP148" s="3">
        <f>CO148</f>
        <v>0</v>
      </c>
      <c r="CQ148" s="3">
        <f>CP148</f>
        <v>0</v>
      </c>
      <c r="CR148" s="3">
        <f>CQ148</f>
        <v>0</v>
      </c>
      <c r="CS148" s="3">
        <f>CR148</f>
        <v>0</v>
      </c>
      <c r="CT148" s="3">
        <f>CS148</f>
        <v>0</v>
      </c>
      <c r="CU148" s="3">
        <f>CT148</f>
        <v>0</v>
      </c>
      <c r="CV148" s="3">
        <f>CU148</f>
        <v>0</v>
      </c>
      <c r="CW148" s="3">
        <f>CV148</f>
        <v>0</v>
      </c>
      <c r="CX148" s="3">
        <f>CW148</f>
        <v>0</v>
      </c>
      <c r="CY148" s="3">
        <f>CX148</f>
        <v>0</v>
      </c>
    </row>
    <row r="149">
      <c r="C149" s="26" t="inlineStr">
        <is>
          <t>Other current assets</t>
        </is>
      </c>
      <c r="D149" s="25">
        <f>INDEX('Inputs (2)'!$D$20:$AL$20,MATCH(D$7,'Inputs (2)'!$D$2:$AL$2,0))</f>
        <v>1295.897</v>
      </c>
      <c r="E149" s="25">
        <f>INDEX('Inputs (2)'!$D$20:$AL$20,MATCH(E$7,'Inputs (2)'!$D$2:$AL$2,0))</f>
        <v>1410.891</v>
      </c>
      <c r="F149" s="25">
        <f>INDEX('Inputs (2)'!$D$20:$AL$20,MATCH(F$7,'Inputs (2)'!$D$2:$AL$2,0))</f>
        <v>1434.089</v>
      </c>
      <c r="G149" s="25">
        <f>INDEX('Inputs (2)'!$D$20:$AL$20,MATCH(G$7,'Inputs (2)'!$D$2:$AL$2,0))</f>
        <v>1556.03</v>
      </c>
      <c r="H149" s="3">
        <f>G149</f>
        <v>1556.03</v>
      </c>
      <c r="I149" s="25">
        <f>INDEX('Inputs (2)'!$D$20:$AL$20,MATCH(I$7,'Inputs (2)'!$D$2:$AL$2,0))</f>
        <v>1703.803</v>
      </c>
      <c r="J149" s="25">
        <f>INDEX('Inputs (2)'!$D$20:$AL$20,MATCH(J$7,'Inputs (2)'!$D$2:$AL$2,0))</f>
        <v>1826.746</v>
      </c>
      <c r="K149" s="25">
        <f>INDEX('Inputs (2)'!$D$20:$AL$20,MATCH(K$7,'Inputs (2)'!$D$2:$AL$2,0))</f>
        <v>1889.106</v>
      </c>
      <c r="L149" s="25">
        <f>INDEX('Inputs (2)'!$D$20:$AL$20,MATCH(L$7,'Inputs (2)'!$D$2:$AL$2,0))</f>
        <v>2042.021</v>
      </c>
      <c r="M149" s="3">
        <f>L149</f>
        <v>2042.021</v>
      </c>
      <c r="N149" s="25">
        <f>INDEX('Inputs (2)'!$D$20:$AL$20,MATCH(N$7,'Inputs (2)'!$D$2:$AL$2,0))</f>
        <v>2089.069</v>
      </c>
      <c r="O149" s="25">
        <f>INDEX('Inputs (2)'!$D$20:$AL$20,MATCH(O$7,'Inputs (2)'!$D$2:$AL$2,0))</f>
        <v>2021.329</v>
      </c>
      <c r="P149" s="25">
        <f>INDEX('Inputs (2)'!$D$20:$AL$20,MATCH(P$7,'Inputs (2)'!$D$2:$AL$2,0))</f>
        <v>2703.17</v>
      </c>
      <c r="Q149" s="25">
        <f>INDEX('Inputs (2)'!$D$20:$AL$20,MATCH(Q$7,'Inputs (2)'!$D$2:$AL$2,0))</f>
        <v>3208.021</v>
      </c>
      <c r="R149" s="3">
        <f>Q149</f>
        <v>3208.021</v>
      </c>
      <c r="S149" s="25">
        <f>INDEX('Inputs (2)'!$D$20:$AL$20,MATCH(S$7,'Inputs (2)'!$D$2:$AL$2,0))</f>
        <v>2655.119</v>
      </c>
      <c r="T149" s="25">
        <f>INDEX('Inputs (2)'!$D$20:$AL$20,MATCH(T$7,'Inputs (2)'!$D$2:$AL$2,0))</f>
        <v>2929.347</v>
      </c>
      <c r="U149" s="25">
        <f>INDEX('Inputs (2)'!$D$20:$AL$20,MATCH(U$7,'Inputs (2)'!$D$2:$AL$2,0))</f>
        <v>2912.028</v>
      </c>
      <c r="V149" s="25">
        <f>INDEX('Inputs (2)'!$D$20:$AL$20,MATCH(V$7,'Inputs (2)'!$D$2:$AL$2,0))</f>
        <v>2780.247</v>
      </c>
      <c r="W149" s="3">
        <f>V149</f>
        <v>2780.247</v>
      </c>
      <c r="X149" s="25">
        <f>INDEX('Inputs (2)'!$D$20:$AL$20,MATCH(X$7,'Inputs (2)'!$D$2:$AL$2,0))</f>
        <v>2875.574</v>
      </c>
      <c r="Y149" s="25">
        <f>INDEX('Inputs (2)'!$D$20:$AL$20,MATCH(Y$7,'Inputs (2)'!$D$2:$AL$2,0))</f>
        <v>2959.641</v>
      </c>
      <c r="Z149" s="25">
        <f>INDEX('Inputs (2)'!$D$20:$AL$20,MATCH(Z$7,'Inputs (2)'!$D$2:$AL$2,0))</f>
        <v>2905.172</v>
      </c>
      <c r="AA149" s="25">
        <f>INDEX('Inputs (2)'!$D$20:$AL$20,MATCH(AA$7,'Inputs (2)'!$D$2:$AL$2,0))</f>
        <v>3516.64</v>
      </c>
      <c r="AB149" s="3">
        <f>AA149</f>
        <v>3516.64</v>
      </c>
      <c r="AC149" s="25">
        <f>INDEX('Inputs (2)'!$D$20:$AL$20,MATCH(AC$7,'Inputs (2)'!$D$2:$AL$2,0))</f>
        <v>3326.642</v>
      </c>
      <c r="AD149" s="25">
        <f>INDEX('Inputs (2)'!$D$20:$AL$20,MATCH(AD$7,'Inputs (2)'!$D$2:$AL$2,0))</f>
        <v>3602.586</v>
      </c>
      <c r="AE149" s="25">
        <f>INDEX('Inputs (2)'!$D$20:$AL$20,MATCH(AE$7,'Inputs (2)'!$D$2:$AL$2,0))</f>
        <v>3638.543</v>
      </c>
      <c r="AF149" s="25">
        <f>INDEX('Inputs (2)'!$D$20:$AL$20,MATCH(AF$7,'Inputs (2)'!$D$2:$AL$2,0))</f>
        <v>3957.832</v>
      </c>
      <c r="AG149" s="3">
        <f>AF149</f>
        <v>3957.832</v>
      </c>
      <c r="AH149" s="3">
        <f>INDEX('Inputs (2)'!$D$20:$AL$20,MATCH(AH$7,'Inputs (2)'!$D$2:$AL$2,0))</f>
        <v>4782.532</v>
      </c>
      <c r="AI149" s="3">
        <f>INDEX('Inputs (2)'!$D$20:$AL$20,MATCH(AI$7,'Inputs (2)'!$D$2:$AL$2,0))</f>
        <v>4725.393</v>
      </c>
      <c r="AJ149" s="3">
        <f>AI149</f>
        <v>4725.393</v>
      </c>
      <c r="AK149" s="3">
        <f>AJ149</f>
        <v>4725.393</v>
      </c>
      <c r="AL149" s="3">
        <f>AK149</f>
        <v>4725.393</v>
      </c>
      <c r="AM149" s="3">
        <f>AL149</f>
        <v>4725.393</v>
      </c>
      <c r="AN149" s="3">
        <f>AM149</f>
        <v>4725.393</v>
      </c>
      <c r="AO149" s="3">
        <f>AN149</f>
        <v>4725.393</v>
      </c>
      <c r="AP149" s="3">
        <f>AO149</f>
        <v>4725.393</v>
      </c>
      <c r="AQ149" s="3">
        <f>AP149</f>
        <v>4725.393</v>
      </c>
      <c r="AR149" s="3">
        <f>AQ149</f>
        <v>4725.393</v>
      </c>
      <c r="AS149" s="3">
        <f>AR149</f>
        <v>4725.393</v>
      </c>
      <c r="AT149" s="3">
        <f>AS149</f>
        <v>4725.393</v>
      </c>
      <c r="AU149" s="3">
        <f>AT149</f>
        <v>4725.393</v>
      </c>
      <c r="AV149" s="3">
        <f>AU149</f>
        <v>4725.393</v>
      </c>
      <c r="AW149" s="3">
        <f>AV149</f>
        <v>4725.393</v>
      </c>
      <c r="AX149" s="3">
        <f>AW149</f>
        <v>4725.393</v>
      </c>
      <c r="AY149" s="3">
        <f>AX149</f>
        <v>4725.393</v>
      </c>
      <c r="AZ149" s="3">
        <f>AY149</f>
        <v>4725.393</v>
      </c>
      <c r="BA149" s="3">
        <f>AZ149</f>
        <v>4725.393</v>
      </c>
      <c r="BB149" s="3">
        <f>BA149</f>
        <v>4725.393</v>
      </c>
      <c r="BC149" s="3">
        <f>BB149</f>
        <v>4725.393</v>
      </c>
      <c r="BD149" s="3">
        <f>BC149</f>
        <v>4725.393</v>
      </c>
      <c r="BE149" s="3">
        <f>BD149</f>
        <v>4725.393</v>
      </c>
      <c r="BF149" s="3">
        <f>BE149</f>
        <v>4725.393</v>
      </c>
      <c r="BG149" s="3">
        <f>BF149</f>
        <v>4725.393</v>
      </c>
      <c r="BH149" s="3">
        <f>BG149</f>
        <v>4725.393</v>
      </c>
      <c r="BI149" s="3">
        <f>BH149</f>
        <v>4725.393</v>
      </c>
      <c r="BJ149" s="3">
        <f>BI149</f>
        <v>4725.393</v>
      </c>
      <c r="BK149" s="3">
        <f>BJ149</f>
        <v>4725.393</v>
      </c>
      <c r="BL149" s="3">
        <f>BK149</f>
        <v>4725.393</v>
      </c>
      <c r="BM149" s="3">
        <f>BL149</f>
        <v>4725.393</v>
      </c>
      <c r="BN149" s="3">
        <f>BM149</f>
        <v>4725.393</v>
      </c>
      <c r="BO149" s="3">
        <f>BN149</f>
        <v>4725.393</v>
      </c>
      <c r="BP149" s="3">
        <f>BO149</f>
        <v>4725.393</v>
      </c>
      <c r="BQ149" s="3">
        <f>BP149</f>
        <v>4725.393</v>
      </c>
      <c r="BR149" s="3">
        <f>BQ149</f>
        <v>4725.393</v>
      </c>
      <c r="BS149" s="3">
        <f>BR149</f>
        <v>4725.393</v>
      </c>
      <c r="BT149" s="3">
        <f>BS149</f>
        <v>4725.393</v>
      </c>
      <c r="BU149" s="3">
        <f>BT149</f>
        <v>4725.393</v>
      </c>
      <c r="BV149" s="3">
        <f>BU149</f>
        <v>4725.393</v>
      </c>
      <c r="BW149" s="3">
        <f>BV149</f>
        <v>4725.393</v>
      </c>
      <c r="BX149" s="3">
        <f>BW149</f>
        <v>4725.393</v>
      </c>
      <c r="BY149" s="3">
        <f>BX149</f>
        <v>4725.393</v>
      </c>
      <c r="BZ149" s="3">
        <f>BY149</f>
        <v>4725.393</v>
      </c>
      <c r="CA149" s="3">
        <f>BZ149</f>
        <v>4725.393</v>
      </c>
      <c r="CB149" s="3">
        <f>CA149</f>
        <v>4725.393</v>
      </c>
      <c r="CC149" s="3">
        <f>CB149</f>
        <v>4725.393</v>
      </c>
      <c r="CD149" s="3">
        <f>CC149</f>
        <v>4725.393</v>
      </c>
      <c r="CE149" s="3">
        <f>CD149</f>
        <v>4725.393</v>
      </c>
      <c r="CF149" s="3">
        <f>CE149</f>
        <v>4725.393</v>
      </c>
      <c r="CG149" s="3">
        <f>CF149</f>
        <v>4725.393</v>
      </c>
      <c r="CH149" s="3">
        <f>CG149</f>
        <v>4725.393</v>
      </c>
      <c r="CI149" s="3">
        <f>CH149</f>
        <v>4725.393</v>
      </c>
      <c r="CJ149" s="3">
        <f>CI149</f>
        <v>4725.393</v>
      </c>
      <c r="CK149" s="3">
        <f>CJ149</f>
        <v>4725.393</v>
      </c>
      <c r="CL149" s="3">
        <f>CK149</f>
        <v>4725.393</v>
      </c>
      <c r="CM149" s="3">
        <f>CL149</f>
        <v>4725.393</v>
      </c>
      <c r="CN149" s="3">
        <f>CM149</f>
        <v>4725.393</v>
      </c>
      <c r="CO149" s="3">
        <f>CN149</f>
        <v>4725.393</v>
      </c>
      <c r="CP149" s="3">
        <f>CO149</f>
        <v>4725.393</v>
      </c>
      <c r="CQ149" s="3">
        <f>CP149</f>
        <v>4725.393</v>
      </c>
      <c r="CR149" s="3">
        <f>CQ149</f>
        <v>4725.393</v>
      </c>
      <c r="CS149" s="3">
        <f>CR149</f>
        <v>4725.393</v>
      </c>
      <c r="CT149" s="3">
        <f>CS149</f>
        <v>4725.393</v>
      </c>
      <c r="CU149" s="3">
        <f>CT149</f>
        <v>4725.393</v>
      </c>
      <c r="CV149" s="3">
        <f>CU149</f>
        <v>4725.393</v>
      </c>
      <c r="CW149" s="3">
        <f>CV149</f>
        <v>4725.393</v>
      </c>
      <c r="CX149" s="3">
        <f>CW149</f>
        <v>4725.393</v>
      </c>
      <c r="CY149" s="3">
        <f>CX149</f>
        <v>4725.393</v>
      </c>
    </row>
    <row r="150" hidden="1" outlineLevel="1">
      <c r="C150" s="38" t="inlineStr">
        <is>
          <t>%(Var.)</t>
        </is>
      </c>
      <c r="D150" s="3" t="n"/>
      <c r="E150" s="47">
        <f>(E149-D149)/D149</f>
        <v>0.0887369906713264</v>
      </c>
      <c r="F150" s="47">
        <f>(F149-E149)/E149</f>
        <v>0.0164420922665182</v>
      </c>
      <c r="G150" s="47">
        <f>(G149-F149)/F149</f>
        <v>0.0850302875205096</v>
      </c>
      <c r="H150" s="3" t="n"/>
      <c r="I150" s="47">
        <f>(I149-H149)/H149</f>
        <v>0.094967963342609</v>
      </c>
      <c r="J150" s="47">
        <f>(J149-I149)/I149</f>
        <v>0.0721579900962729</v>
      </c>
      <c r="K150" s="47">
        <f>(K149-J149)/J149</f>
        <v>0.0341372035302117</v>
      </c>
      <c r="L150" s="47">
        <f>(L149-K149)/K149</f>
        <v>0.0809456960064708</v>
      </c>
      <c r="M150" s="3" t="n"/>
      <c r="N150" s="47">
        <f>(N149-M149)/M149</f>
        <v>0.0230399197657615</v>
      </c>
      <c r="O150" s="47">
        <f>(O149-N149)/N149</f>
        <v>-0.0324259275303975</v>
      </c>
      <c r="P150" s="47">
        <f>(P149-O149)/O149</f>
        <v>0.337323117612225</v>
      </c>
      <c r="Q150" s="47">
        <f>(Q149-P149)/P149</f>
        <v>0.186762578750134</v>
      </c>
      <c r="R150" s="3" t="n"/>
      <c r="S150" s="47">
        <f>(S149-R149)/R149</f>
        <v>-0.172349869280781</v>
      </c>
      <c r="T150" s="47">
        <f>(T149-S149)/S149</f>
        <v>0.103282753051746</v>
      </c>
      <c r="U150" s="47">
        <f>(U149-T149)/T149</f>
        <v>-0.00591223914408227</v>
      </c>
      <c r="V150" s="47">
        <f>(V149-U149)/U149</f>
        <v>-0.0452540291508186</v>
      </c>
      <c r="W150" s="3" t="n"/>
      <c r="X150" s="47">
        <f>(X149-W149)/W149</f>
        <v>0.0342872413853878</v>
      </c>
      <c r="Y150" s="47">
        <f>(Y149-X149)/X149</f>
        <v>0.0292348588490507</v>
      </c>
      <c r="Z150" s="47">
        <f>(Z149-Y149)/Y149</f>
        <v>-0.0184039212863993</v>
      </c>
      <c r="AA150" s="47">
        <f>(AA149-Z149)/Z149</f>
        <v>0.210475662026207</v>
      </c>
      <c r="AB150" s="3" t="n"/>
      <c r="AC150" s="47">
        <f>(AC149-AB149)/AB149</f>
        <v>-0.0540282769916739</v>
      </c>
      <c r="AD150" s="47">
        <f>(AD149-AC149)/AC149</f>
        <v>0.0829497132543869</v>
      </c>
      <c r="AE150" s="47">
        <f>(AE149-AD149)/AD149</f>
        <v>0.00998088595247966</v>
      </c>
      <c r="AF150" s="218">
        <f>(AF149-AE149)/AE149</f>
        <v>0.0877518831026596</v>
      </c>
      <c r="AG150" s="3" t="n"/>
      <c r="AH150" s="3">
        <f>(AH149-AG149)/AG149</f>
        <v>0.208371653976217</v>
      </c>
      <c r="AI150" s="3">
        <f>(AI149-AH149)/AH149</f>
        <v>-0.0119474370479905</v>
      </c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n"/>
      <c r="D151" s="3" t="n"/>
      <c r="E151" s="47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52" t="inlineStr">
        <is>
          <t xml:space="preserve">Impostos e Contribuições a Recuperar </t>
        </is>
      </c>
      <c r="D152" s="6" t="n"/>
      <c r="E152" s="6" t="n"/>
      <c r="F152" s="6" t="n"/>
      <c r="G152" s="6" t="n"/>
      <c r="H152" s="3" t="n"/>
      <c r="I152" s="6" t="n"/>
      <c r="J152" s="6" t="n"/>
      <c r="K152" s="6" t="n"/>
      <c r="L152" s="6" t="n"/>
      <c r="M152" s="3" t="n"/>
      <c r="N152" s="6" t="n"/>
      <c r="O152" s="6" t="n"/>
      <c r="P152" s="6" t="n"/>
      <c r="Q152" s="6" t="n"/>
      <c r="R152" s="3" t="n"/>
      <c r="S152" s="6" t="n"/>
      <c r="T152" s="6" t="n"/>
      <c r="U152" s="6" t="n"/>
      <c r="V152" s="6" t="n"/>
      <c r="W152" s="3" t="n"/>
      <c r="X152" s="6" t="n"/>
      <c r="Y152" s="6" t="n"/>
      <c r="Z152" s="6" t="n"/>
      <c r="AA152" s="6" t="n"/>
      <c r="AB152" s="3" t="n"/>
      <c r="AC152" s="6" t="n"/>
      <c r="AD152" s="6" t="n"/>
      <c r="AE152" s="6" t="n"/>
      <c r="AF152" s="6" t="n"/>
      <c r="AG152" s="3">
        <f>AF152</f>
        <v>0</v>
      </c>
      <c r="AH152" s="216">
        <f>AG152*AH15/AG15</f>
        <v>0</v>
      </c>
      <c r="AI152" s="216">
        <f>AH152*AI15/AH15</f>
        <v>0</v>
      </c>
      <c r="AJ152" s="216">
        <f>AI152*AJ15/AI15</f>
        <v>0</v>
      </c>
      <c r="AK152" s="216">
        <f>AJ152*AK15/AJ15</f>
        <v>0</v>
      </c>
      <c r="AL152" s="3">
        <f>AK152</f>
        <v>0</v>
      </c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52" t="inlineStr">
        <is>
          <t>Outros Créditos</t>
        </is>
      </c>
      <c r="D153" s="6" t="n"/>
      <c r="E153" s="6" t="n"/>
      <c r="F153" s="6" t="n"/>
      <c r="G153" s="6" t="n"/>
      <c r="H153" s="3" t="n"/>
      <c r="I153" s="6" t="n"/>
      <c r="J153" s="6" t="n"/>
      <c r="K153" s="6" t="n"/>
      <c r="L153" s="6" t="n"/>
      <c r="M153" s="3" t="n"/>
      <c r="N153" s="6" t="n"/>
      <c r="O153" s="6" t="n"/>
      <c r="P153" s="6" t="n"/>
      <c r="Q153" s="6" t="n"/>
      <c r="R153" s="3" t="n"/>
      <c r="S153" s="6" t="n"/>
      <c r="T153" s="6" t="n"/>
      <c r="U153" s="6" t="n"/>
      <c r="V153" s="6" t="n"/>
      <c r="W153" s="3" t="n"/>
      <c r="X153" s="6" t="n"/>
      <c r="Y153" s="6" t="n"/>
      <c r="Z153" s="6" t="n"/>
      <c r="AA153" s="6" t="n"/>
      <c r="AB153" s="3" t="n"/>
      <c r="AC153" s="6" t="n"/>
      <c r="AD153" s="6" t="n"/>
      <c r="AE153" s="6" t="n"/>
      <c r="AF153" s="6" t="n"/>
      <c r="AG153" s="3">
        <f>AF153</f>
        <v>0</v>
      </c>
      <c r="AH153" s="3">
        <f>AG153</f>
        <v>0</v>
      </c>
      <c r="AI153" s="3">
        <f>AH153</f>
        <v>0</v>
      </c>
      <c r="AJ153" s="3">
        <f>AI153</f>
        <v>0</v>
      </c>
      <c r="AK153" s="3">
        <f>AJ153</f>
        <v>0</v>
      </c>
      <c r="AL153" s="3">
        <f>AK153</f>
        <v>0</v>
      </c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Equity in affiliates</t>
        </is>
      </c>
      <c r="D155" s="25">
        <f>INDEX('Inputs (2)'!$D$21:$AL$21,MATCH(D$7,'Inputs (2)'!$D$2:$AL$2,0))</f>
        <v>0</v>
      </c>
      <c r="E155" s="25">
        <f>INDEX('Inputs (2)'!$D$21:$AL$21,MATCH(E$7,'Inputs (2)'!$D$2:$AL$2,0))</f>
        <v>0</v>
      </c>
      <c r="F155" s="25">
        <f>INDEX('Inputs (2)'!$D$21:$AL$21,MATCH(F$7,'Inputs (2)'!$D$2:$AL$2,0))</f>
        <v>0</v>
      </c>
      <c r="G155" s="25">
        <f>INDEX('Inputs (2)'!$D$21:$AL$21,MATCH(G$7,'Inputs (2)'!$D$2:$AL$2,0))</f>
        <v>0</v>
      </c>
      <c r="H155" s="3">
        <f>G155</f>
        <v>0</v>
      </c>
      <c r="I155" s="25">
        <f>INDEX('Inputs (2)'!$D$21:$AL$21,MATCH(I$7,'Inputs (2)'!$D$2:$AL$2,0))</f>
        <v>0</v>
      </c>
      <c r="J155" s="25">
        <f>INDEX('Inputs (2)'!$D$21:$AL$21,MATCH(J$7,'Inputs (2)'!$D$2:$AL$2,0))</f>
        <v>0</v>
      </c>
      <c r="K155" s="25">
        <f>INDEX('Inputs (2)'!$D$21:$AL$21,MATCH(K$7,'Inputs (2)'!$D$2:$AL$2,0))</f>
        <v>0</v>
      </c>
      <c r="L155" s="25">
        <f>INDEX('Inputs (2)'!$D$21:$AL$21,MATCH(L$7,'Inputs (2)'!$D$2:$AL$2,0))</f>
        <v>0</v>
      </c>
      <c r="M155" s="3">
        <f>L155</f>
        <v>0</v>
      </c>
      <c r="N155" s="25">
        <f>INDEX('Inputs (2)'!$D$21:$AL$21,MATCH(N$7,'Inputs (2)'!$D$2:$AL$2,0))</f>
        <v>0</v>
      </c>
      <c r="O155" s="25">
        <f>INDEX('Inputs (2)'!$D$21:$AL$21,MATCH(O$7,'Inputs (2)'!$D$2:$AL$2,0))</f>
        <v>0</v>
      </c>
      <c r="P155" s="25">
        <f>INDEX('Inputs (2)'!$D$21:$AL$21,MATCH(P$7,'Inputs (2)'!$D$2:$AL$2,0))</f>
        <v>0</v>
      </c>
      <c r="Q155" s="25">
        <f>INDEX('Inputs (2)'!$D$21:$AL$21,MATCH(Q$7,'Inputs (2)'!$D$2:$AL$2,0))</f>
        <v>0</v>
      </c>
      <c r="R155" s="3">
        <f>Q155</f>
        <v>0</v>
      </c>
      <c r="S155" s="25">
        <f>INDEX('Inputs (2)'!$D$21:$AL$21,MATCH(S$7,'Inputs (2)'!$D$2:$AL$2,0))</f>
        <v>0</v>
      </c>
      <c r="T155" s="25">
        <f>INDEX('Inputs (2)'!$D$21:$AL$21,MATCH(T$7,'Inputs (2)'!$D$2:$AL$2,0))</f>
        <v>0</v>
      </c>
      <c r="U155" s="25">
        <f>INDEX('Inputs (2)'!$D$21:$AL$21,MATCH(U$7,'Inputs (2)'!$D$2:$AL$2,0))</f>
        <v>0</v>
      </c>
      <c r="V155" s="25">
        <f>INDEX('Inputs (2)'!$D$21:$AL$21,MATCH(V$7,'Inputs (2)'!$D$2:$AL$2,0))</f>
        <v>0</v>
      </c>
      <c r="W155" s="3">
        <f>V155</f>
        <v>0</v>
      </c>
      <c r="X155" s="25">
        <f>INDEX('Inputs (2)'!$D$21:$AL$21,MATCH(X$7,'Inputs (2)'!$D$2:$AL$2,0))</f>
        <v>0</v>
      </c>
      <c r="Y155" s="25">
        <f>INDEX('Inputs (2)'!$D$21:$AL$21,MATCH(Y$7,'Inputs (2)'!$D$2:$AL$2,0))</f>
        <v>0</v>
      </c>
      <c r="Z155" s="25">
        <f>INDEX('Inputs (2)'!$D$21:$AL$21,MATCH(Z$7,'Inputs (2)'!$D$2:$AL$2,0))</f>
        <v>0</v>
      </c>
      <c r="AA155" s="25">
        <f>INDEX('Inputs (2)'!$D$21:$AL$21,MATCH(AA$7,'Inputs (2)'!$D$2:$AL$2,0))</f>
        <v>0</v>
      </c>
      <c r="AB155" s="3">
        <f>AA155</f>
        <v>0</v>
      </c>
      <c r="AC155" s="25">
        <f>INDEX('Inputs (2)'!$D$21:$AL$21,MATCH(AC$7,'Inputs (2)'!$D$2:$AL$2,0))</f>
        <v>0</v>
      </c>
      <c r="AD155" s="25">
        <f>INDEX('Inputs (2)'!$D$21:$AL$21,MATCH(AD$7,'Inputs (2)'!$D$2:$AL$2,0))</f>
        <v>0</v>
      </c>
      <c r="AE155" s="25">
        <f>INDEX('Inputs (2)'!$D$21:$AL$21,MATCH(AE$7,'Inputs (2)'!$D$2:$AL$2,0))</f>
        <v>0</v>
      </c>
      <c r="AF155" s="25">
        <f>INDEX('Inputs (2)'!$D$21:$AL$21,MATCH(AF$7,'Inputs (2)'!$D$2:$AL$2,0))</f>
        <v>0</v>
      </c>
      <c r="AG155" s="3">
        <f>AF155</f>
        <v>0</v>
      </c>
      <c r="AH155" s="3">
        <f>INDEX('Inputs (2)'!$D$21:$AL$21,MATCH(AH$7,'Inputs (2)'!$D$2:$AL$2,0))</f>
        <v>0</v>
      </c>
      <c r="AI155" s="3">
        <f>INDEX('Inputs (2)'!$D$21:$AL$21,MATCH(AI$7,'Inputs (2)'!$D$2:$AL$2,0))</f>
        <v>0</v>
      </c>
      <c r="AJ155" s="3">
        <f>AI155+AJ129+AJ158</f>
        <v>0</v>
      </c>
      <c r="AK155" s="3">
        <f>AJ155+AK129+AK158</f>
        <v>0</v>
      </c>
      <c r="AL155" s="3">
        <f>AK155</f>
        <v>0</v>
      </c>
      <c r="AM155" s="3">
        <f>AL155+AM129+AM158</f>
        <v>0</v>
      </c>
      <c r="AN155" s="3">
        <f>AM155+AN129+AN158</f>
        <v>0</v>
      </c>
      <c r="AO155" s="3">
        <f>AN155+AO129+AO158</f>
        <v>0</v>
      </c>
      <c r="AP155" s="3">
        <f>AO155+AP129+AP158</f>
        <v>0</v>
      </c>
      <c r="AQ155" s="3">
        <f>AP155</f>
        <v>0</v>
      </c>
      <c r="AR155" s="3">
        <f>AQ155+AR129+AR158</f>
        <v>0</v>
      </c>
      <c r="AS155" s="3">
        <f>AR155+AS129+AS158</f>
        <v>0</v>
      </c>
      <c r="AT155" s="3">
        <f>AS155+AT129+AT158</f>
        <v>0</v>
      </c>
      <c r="AU155" s="3">
        <f>AT155+AU129+AU158</f>
        <v>0</v>
      </c>
      <c r="AV155" s="3">
        <f>AU155</f>
        <v>0</v>
      </c>
      <c r="AW155" s="3">
        <f>AV155+AW129+AW158</f>
        <v>0</v>
      </c>
      <c r="AX155" s="3">
        <f>AW155+AX129+AX158</f>
        <v>0</v>
      </c>
      <c r="AY155" s="3">
        <f>AX155+AY129+AY158</f>
        <v>0</v>
      </c>
      <c r="AZ155" s="3">
        <f>AY155+AZ129+AZ158</f>
        <v>0</v>
      </c>
      <c r="BA155" s="3">
        <f>AZ155</f>
        <v>0</v>
      </c>
      <c r="BB155" s="3">
        <f>BA155+BB129+BB158</f>
        <v>0</v>
      </c>
      <c r="BC155" s="3">
        <f>BB155+BC129+BC158</f>
        <v>0</v>
      </c>
      <c r="BD155" s="3">
        <f>BC155+BD129+BD158</f>
        <v>0</v>
      </c>
      <c r="BE155" s="3">
        <f>BD155+BE129+BE158</f>
        <v>0</v>
      </c>
      <c r="BF155" s="3">
        <f>BE155</f>
        <v>0</v>
      </c>
      <c r="BG155" s="3">
        <f>BF155+BG129+BG158</f>
        <v>0</v>
      </c>
      <c r="BH155" s="3">
        <f>BG155+BH129+BH158</f>
        <v>0</v>
      </c>
      <c r="BI155" s="3">
        <f>BH155+BI129+BI158</f>
        <v>0</v>
      </c>
      <c r="BJ155" s="3">
        <f>BI155+BJ129+BJ158</f>
        <v>0</v>
      </c>
      <c r="BK155" s="3">
        <f>BJ155</f>
        <v>0</v>
      </c>
      <c r="BL155" s="3">
        <f>BK155+BL129+BL158</f>
        <v>0</v>
      </c>
      <c r="BM155" s="3">
        <f>BL155+BM129+BM158</f>
        <v>0</v>
      </c>
      <c r="BN155" s="3">
        <f>BM155+BN129+BN158</f>
        <v>0</v>
      </c>
      <c r="BO155" s="3">
        <f>BN155+BO129+BO158</f>
        <v>0</v>
      </c>
      <c r="BP155" s="3">
        <f>BO155</f>
        <v>0</v>
      </c>
      <c r="BQ155" s="3">
        <f>BP155+BQ129+BQ158</f>
        <v>0</v>
      </c>
      <c r="BR155" s="3">
        <f>BQ155+BR129+BR158</f>
        <v>0</v>
      </c>
      <c r="BS155" s="3">
        <f>BR155+BS129+BS158</f>
        <v>0</v>
      </c>
      <c r="BT155" s="3">
        <f>BS155+BT129+BT158</f>
        <v>0</v>
      </c>
      <c r="BU155" s="3">
        <f>BT155</f>
        <v>0</v>
      </c>
      <c r="BV155" s="3">
        <f>BU155+BV129+BV158</f>
        <v>0</v>
      </c>
      <c r="BW155" s="3">
        <f>BV155+BW129+BW158</f>
        <v>0</v>
      </c>
      <c r="BX155" s="3">
        <f>BW155+BX129+BX158</f>
        <v>0</v>
      </c>
      <c r="BY155" s="3">
        <f>BX155+BY129+BY158</f>
        <v>0</v>
      </c>
      <c r="BZ155" s="3">
        <f>BY155</f>
        <v>0</v>
      </c>
      <c r="CA155" s="3">
        <f>BZ155+CA129+CA158</f>
        <v>0</v>
      </c>
      <c r="CB155" s="3">
        <f>CA155+CB129+CB158</f>
        <v>0</v>
      </c>
      <c r="CC155" s="3">
        <f>CB155+CC129+CC158</f>
        <v>0</v>
      </c>
      <c r="CD155" s="3">
        <f>CC155+CD129+CD158</f>
        <v>0</v>
      </c>
      <c r="CE155" s="3">
        <f>CD155</f>
        <v>0</v>
      </c>
      <c r="CF155" s="3">
        <f>CE155+CF129+CF158</f>
        <v>0</v>
      </c>
      <c r="CG155" s="3">
        <f>CF155+CG129+CG158</f>
        <v>0</v>
      </c>
      <c r="CH155" s="3">
        <f>CG155+CH129+CH158</f>
        <v>0</v>
      </c>
      <c r="CI155" s="3">
        <f>CH155+CI129+CI158</f>
        <v>0</v>
      </c>
      <c r="CJ155" s="3">
        <f>CI155</f>
        <v>0</v>
      </c>
      <c r="CK155" s="3">
        <f>CJ155+CK129+CK158</f>
        <v>0</v>
      </c>
      <c r="CL155" s="3">
        <f>CK155+CL129+CL158</f>
        <v>0</v>
      </c>
      <c r="CM155" s="3">
        <f>CL155+CM129+CM158</f>
        <v>0</v>
      </c>
      <c r="CN155" s="3">
        <f>CM155+CN129+CN158</f>
        <v>0</v>
      </c>
      <c r="CO155" s="3">
        <f>CN155</f>
        <v>0</v>
      </c>
      <c r="CP155" s="3">
        <f>CO155+CP129+CP158</f>
        <v>0</v>
      </c>
      <c r="CQ155" s="3">
        <f>CP155+CQ129+CQ158</f>
        <v>0</v>
      </c>
      <c r="CR155" s="3">
        <f>CQ155+CR129+CR158</f>
        <v>0</v>
      </c>
      <c r="CS155" s="3">
        <f>CR155+CS129+CS158</f>
        <v>0</v>
      </c>
      <c r="CT155" s="3">
        <f>CS155</f>
        <v>0</v>
      </c>
      <c r="CU155" s="3">
        <f>CT155+CU129+CU158</f>
        <v>0</v>
      </c>
      <c r="CV155" s="3">
        <f>CU155+CV129+CV158</f>
        <v>0</v>
      </c>
      <c r="CW155" s="3">
        <f>CV155+CW129+CW158</f>
        <v>0</v>
      </c>
      <c r="CX155" s="3">
        <f>CW155+CX129+CX158</f>
        <v>0</v>
      </c>
      <c r="CY155" s="3">
        <f>CX155</f>
        <v>0</v>
      </c>
    </row>
    <row r="156" hidden="1" outlineLevel="1">
      <c r="C156" s="3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hidden="1" outlineLevel="1">
      <c r="C157" s="34" t="inlineStr">
        <is>
          <t>Equity in Income - % YoY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>
        <f>IF(I129=0,0,N129/I129-1)</f>
        <v>0</v>
      </c>
      <c r="O157" s="3">
        <f>IF(J129=0,0,O129/J129-1)</f>
        <v>0</v>
      </c>
      <c r="P157" s="3">
        <f>IF(K129=0,0,P129/K129-1)</f>
        <v>0</v>
      </c>
      <c r="Q157" s="3">
        <f>IF(L129=0,0,Q129/L129-1)</f>
        <v>0</v>
      </c>
      <c r="R157" s="3" t="n"/>
      <c r="S157" s="3">
        <f>IF(N129=0,0,S129/N129-1)</f>
        <v>0</v>
      </c>
      <c r="T157" s="3">
        <f>IF(O129=0,0,T129/O129-1)</f>
        <v>0</v>
      </c>
      <c r="U157" s="3">
        <f>IF(P129=0,0,U129/P129-1)</f>
        <v>0</v>
      </c>
      <c r="V157" s="3">
        <f>IF(Q129=0,0,V129/Q129-1)</f>
        <v>0</v>
      </c>
      <c r="W157" s="3" t="n"/>
      <c r="X157" s="3">
        <f>IF(S129=0,0,X129/S129-1)</f>
        <v>0</v>
      </c>
      <c r="Y157" s="3">
        <f>IF(T129=0,0,Y129/T129-1)</f>
        <v>0</v>
      </c>
      <c r="Z157" s="3">
        <f>IF(U129=0,0,Z129/U129-1)</f>
        <v>0</v>
      </c>
      <c r="AA157" s="3">
        <f>IF(V129=0,0,AA129/V129-1)</f>
        <v>0</v>
      </c>
      <c r="AB157" s="3" t="n"/>
      <c r="AC157" s="3">
        <f>IF(X129=0,0,AC129/X129-1)</f>
        <v>0</v>
      </c>
      <c r="AD157" s="3">
        <f>IF(Y129=0,0,AD129/Y129-1)</f>
        <v>0</v>
      </c>
      <c r="AE157" s="3">
        <f>IF(Z129=0,0,AE129/Z129-1)</f>
        <v>0</v>
      </c>
      <c r="AF157" s="3">
        <f>IF(AA129=0,0,AF129/AA129-1)</f>
        <v>0</v>
      </c>
      <c r="AG157" s="3" t="n"/>
      <c r="AH157" s="6">
        <f>IF(AC129=0,0,AH129/AC129-1)</f>
        <v>0</v>
      </c>
      <c r="AI157" s="6">
        <f>IF(AD129=0,0,AI129/AD129-1)</f>
        <v>0</v>
      </c>
      <c r="AJ157" s="6" t="n"/>
      <c r="AK157" s="6" t="n"/>
      <c r="AL157" s="3" t="n"/>
      <c r="AM157" s="6" t="n"/>
      <c r="AN157" s="6" t="n"/>
      <c r="AO157" s="6" t="n"/>
      <c r="AP157" s="6" t="n"/>
      <c r="AQ157" s="3" t="n"/>
      <c r="AR157" s="6" t="n"/>
      <c r="AS157" s="6" t="n"/>
      <c r="AT157" s="6" t="n"/>
      <c r="AU157" s="6" t="n"/>
      <c r="AV157" s="3" t="n"/>
      <c r="AW157" s="6" t="n"/>
      <c r="AX157" s="6" t="n"/>
      <c r="AY157" s="6" t="n"/>
      <c r="AZ157" s="6" t="n"/>
      <c r="BA157" s="3" t="n"/>
      <c r="BB157" s="6" t="n"/>
      <c r="BC157" s="6" t="n"/>
      <c r="BD157" s="6" t="n"/>
      <c r="BE157" s="6" t="n"/>
      <c r="BF157" s="3" t="n"/>
      <c r="BG157" s="6" t="n"/>
      <c r="BH157" s="6" t="n"/>
      <c r="BI157" s="6" t="n"/>
      <c r="BJ157" s="6" t="n"/>
      <c r="BK157" s="3" t="n"/>
      <c r="BL157" s="6" t="n"/>
      <c r="BM157" s="6" t="n"/>
      <c r="BN157" s="6" t="n"/>
      <c r="BO157" s="6" t="n"/>
      <c r="BP157" s="3" t="n"/>
      <c r="BQ157" s="6" t="n"/>
      <c r="BR157" s="6" t="n"/>
      <c r="BS157" s="6" t="n"/>
      <c r="BT157" s="6" t="n"/>
      <c r="BU157" s="3" t="n"/>
      <c r="BV157" s="6" t="n"/>
      <c r="BW157" s="6" t="n"/>
      <c r="BX157" s="6" t="n"/>
      <c r="BY157" s="6" t="n"/>
      <c r="BZ157" s="3" t="n"/>
      <c r="CA157" s="6" t="n"/>
      <c r="CB157" s="6" t="n"/>
      <c r="CC157" s="6" t="n"/>
      <c r="CD157" s="6" t="n"/>
      <c r="CE157" s="3" t="n"/>
      <c r="CF157" s="6" t="n"/>
      <c r="CG157" s="6" t="n"/>
      <c r="CH157" s="6" t="n"/>
      <c r="CI157" s="6" t="n"/>
      <c r="CJ157" s="3" t="n"/>
      <c r="CK157" s="6" t="n"/>
      <c r="CL157" s="6" t="n"/>
      <c r="CM157" s="6" t="n"/>
      <c r="CN157" s="6" t="n"/>
      <c r="CO157" s="3" t="n"/>
      <c r="CP157" s="6" t="n"/>
      <c r="CQ157" s="6" t="n"/>
      <c r="CR157" s="6" t="n"/>
      <c r="CS157" s="6" t="n"/>
      <c r="CT157" s="3" t="n"/>
      <c r="CU157" s="6" t="n"/>
      <c r="CV157" s="6" t="n"/>
      <c r="CW157" s="6" t="n"/>
      <c r="CX157" s="6" t="n"/>
      <c r="CY157" s="3" t="n"/>
    </row>
    <row r="158" hidden="1" outlineLevel="1">
      <c r="C158" s="34" t="inlineStr">
        <is>
          <t>Dividends (enter as -)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6" t="n"/>
      <c r="AI158" s="6" t="n"/>
      <c r="AJ158" s="6" t="n"/>
      <c r="AK158" s="6" t="n"/>
      <c r="AL158" s="3" t="n"/>
      <c r="AM158" s="6" t="n"/>
      <c r="AN158" s="6" t="n"/>
      <c r="AO158" s="6" t="n"/>
      <c r="AP158" s="6" t="n"/>
      <c r="AQ158" s="3" t="n"/>
      <c r="AR158" s="6" t="n"/>
      <c r="AS158" s="6" t="n"/>
      <c r="AT158" s="6" t="n"/>
      <c r="AU158" s="6" t="n"/>
      <c r="AV158" s="3" t="n"/>
      <c r="AW158" s="6" t="n"/>
      <c r="AX158" s="6" t="n"/>
      <c r="AY158" s="6" t="n"/>
      <c r="AZ158" s="6" t="n"/>
      <c r="BA158" s="3" t="n"/>
      <c r="BB158" s="6" t="n"/>
      <c r="BC158" s="6" t="n"/>
      <c r="BD158" s="6" t="n"/>
      <c r="BE158" s="6" t="n"/>
      <c r="BF158" s="3" t="n"/>
      <c r="BG158" s="6" t="n"/>
      <c r="BH158" s="6" t="n"/>
      <c r="BI158" s="6" t="n"/>
      <c r="BJ158" s="6" t="n"/>
      <c r="BK158" s="3" t="n"/>
      <c r="BL158" s="6" t="n"/>
      <c r="BM158" s="6" t="n"/>
      <c r="BN158" s="6" t="n"/>
      <c r="BO158" s="6" t="n"/>
      <c r="BP158" s="3" t="n"/>
      <c r="BQ158" s="6" t="n"/>
      <c r="BR158" s="6" t="n"/>
      <c r="BS158" s="6" t="n"/>
      <c r="BT158" s="6" t="n"/>
      <c r="BU158" s="3" t="n"/>
      <c r="BV158" s="6" t="n"/>
      <c r="BW158" s="6" t="n"/>
      <c r="BX158" s="6" t="n"/>
      <c r="BY158" s="6" t="n"/>
      <c r="BZ158" s="3" t="n"/>
      <c r="CA158" s="6" t="n"/>
      <c r="CB158" s="6" t="n"/>
      <c r="CC158" s="6" t="n"/>
      <c r="CD158" s="6" t="n"/>
      <c r="CE158" s="3" t="n"/>
      <c r="CF158" s="6" t="n"/>
      <c r="CG158" s="6" t="n"/>
      <c r="CH158" s="6" t="n"/>
      <c r="CI158" s="6" t="n"/>
      <c r="CJ158" s="3" t="n"/>
      <c r="CK158" s="6" t="n"/>
      <c r="CL158" s="6" t="n"/>
      <c r="CM158" s="6" t="n"/>
      <c r="CN158" s="6" t="n"/>
      <c r="CO158" s="3" t="n"/>
      <c r="CP158" s="6" t="n"/>
      <c r="CQ158" s="6" t="n"/>
      <c r="CR158" s="6" t="n"/>
      <c r="CS158" s="6" t="n"/>
      <c r="CT158" s="3" t="n"/>
      <c r="CU158" s="6" t="n"/>
      <c r="CV158" s="6" t="n"/>
      <c r="CW158" s="6" t="n"/>
      <c r="CX158" s="6" t="n"/>
      <c r="CY158" s="3" t="n"/>
    </row>
    <row r="159" hidden="1" outlineLevel="1">
      <c r="C159" s="34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collapsed="1">
      <c r="C160" s="26" t="inlineStr">
        <is>
          <t>PP&amp;E</t>
        </is>
      </c>
      <c r="D160" s="25">
        <f>INDEX('Inputs (2)'!$D$22:$AL$22,MATCH(D$7,'Inputs (2)'!$D$2:$AL$2,0))</f>
        <v>650.455</v>
      </c>
      <c r="E160" s="25">
        <f>INDEX('Inputs (2)'!$D$22:$AL$22,MATCH(E$7,'Inputs (2)'!$D$2:$AL$2,0))</f>
        <v>751.941</v>
      </c>
      <c r="F160" s="25">
        <f>INDEX('Inputs (2)'!$D$22:$AL$22,MATCH(F$7,'Inputs (2)'!$D$2:$AL$2,0))</f>
        <v>828.118</v>
      </c>
      <c r="G160" s="25">
        <f>INDEX('Inputs (2)'!$D$22:$AL$22,MATCH(G$7,'Inputs (2)'!$D$2:$AL$2,0))</f>
        <v>960.183</v>
      </c>
      <c r="H160" s="3">
        <f>G160</f>
        <v>960.183</v>
      </c>
      <c r="I160" s="25">
        <f>INDEX('Inputs (2)'!$D$22:$AL$22,MATCH(I$7,'Inputs (2)'!$D$2:$AL$2,0))</f>
        <v>1015.419</v>
      </c>
      <c r="J160" s="25">
        <f>INDEX('Inputs (2)'!$D$22:$AL$22,MATCH(J$7,'Inputs (2)'!$D$2:$AL$2,0))</f>
        <v>1107.437</v>
      </c>
      <c r="K160" s="25">
        <f>INDEX('Inputs (2)'!$D$22:$AL$22,MATCH(K$7,'Inputs (2)'!$D$2:$AL$2,0))</f>
        <v>1220.114</v>
      </c>
      <c r="L160" s="25">
        <f>INDEX('Inputs (2)'!$D$22:$AL$22,MATCH(L$7,'Inputs (2)'!$D$2:$AL$2,0))</f>
        <v>1323.453</v>
      </c>
      <c r="M160" s="3">
        <f>L160</f>
        <v>1323.453</v>
      </c>
      <c r="N160" s="25">
        <f>INDEX('Inputs (2)'!$D$22:$AL$22,MATCH(N$7,'Inputs (2)'!$D$2:$AL$2,0))</f>
        <v>1383.763</v>
      </c>
      <c r="O160" s="25">
        <f>INDEX('Inputs (2)'!$D$22:$AL$22,MATCH(O$7,'Inputs (2)'!$D$2:$AL$2,0))</f>
        <v>1361.92</v>
      </c>
      <c r="P160" s="25">
        <f>INDEX('Inputs (2)'!$D$22:$AL$22,MATCH(P$7,'Inputs (2)'!$D$2:$AL$2,0))</f>
        <v>1372.754</v>
      </c>
      <c r="Q160" s="25">
        <f>INDEX('Inputs (2)'!$D$22:$AL$22,MATCH(Q$7,'Inputs (2)'!$D$2:$AL$2,0))</f>
        <v>1398.257</v>
      </c>
      <c r="R160" s="3">
        <f>Q160</f>
        <v>1398.257</v>
      </c>
      <c r="S160" s="25">
        <f>INDEX('Inputs (2)'!$D$22:$AL$22,MATCH(S$7,'Inputs (2)'!$D$2:$AL$2,0))</f>
        <v>1413.094</v>
      </c>
      <c r="T160" s="25">
        <f>INDEX('Inputs (2)'!$D$22:$AL$22,MATCH(T$7,'Inputs (2)'!$D$2:$AL$2,0))</f>
        <v>1471.968</v>
      </c>
      <c r="U160" s="25">
        <f>INDEX('Inputs (2)'!$D$22:$AL$22,MATCH(U$7,'Inputs (2)'!$D$2:$AL$2,0))</f>
        <v>1498.391</v>
      </c>
      <c r="V160" s="25">
        <f>INDEX('Inputs (2)'!$D$22:$AL$22,MATCH(V$7,'Inputs (2)'!$D$2:$AL$2,0))</f>
        <v>1491.444</v>
      </c>
      <c r="W160" s="3">
        <f>V160</f>
        <v>1491.444</v>
      </c>
      <c r="X160" s="25">
        <f>INDEX('Inputs (2)'!$D$22:$AL$22,MATCH(X$7,'Inputs (2)'!$D$2:$AL$2,0))</f>
        <v>1501.168</v>
      </c>
      <c r="Y160" s="25">
        <f>INDEX('Inputs (2)'!$D$22:$AL$22,MATCH(Y$7,'Inputs (2)'!$D$2:$AL$2,0))</f>
        <v>1510.958</v>
      </c>
      <c r="Z160" s="25">
        <f>INDEX('Inputs (2)'!$D$22:$AL$22,MATCH(Z$7,'Inputs (2)'!$D$2:$AL$2,0))</f>
        <v>1568.212</v>
      </c>
      <c r="AA160" s="25">
        <f>INDEX('Inputs (2)'!$D$22:$AL$22,MATCH(AA$7,'Inputs (2)'!$D$2:$AL$2,0))</f>
        <v>1593.756</v>
      </c>
      <c r="AB160" s="3">
        <f>AA160</f>
        <v>1593.756</v>
      </c>
      <c r="AC160" s="25">
        <f>INDEX('Inputs (2)'!$D$22:$AL$22,MATCH(AC$7,'Inputs (2)'!$D$2:$AL$2,0))</f>
        <v>1644.346</v>
      </c>
      <c r="AD160" s="25">
        <f>INDEX('Inputs (2)'!$D$22:$AL$22,MATCH(AD$7,'Inputs (2)'!$D$2:$AL$2,0))</f>
        <v>1743.566</v>
      </c>
      <c r="AE160" s="25">
        <f>INDEX('Inputs (2)'!$D$22:$AL$22,MATCH(AE$7,'Inputs (2)'!$D$2:$AL$2,0))</f>
        <v>1837.889</v>
      </c>
      <c r="AF160" s="25">
        <f>INDEX('Inputs (2)'!$D$22:$AL$22,MATCH(AF$7,'Inputs (2)'!$D$2:$AL$2,0))</f>
        <v>2004.35</v>
      </c>
      <c r="AG160" s="3">
        <f>AF160</f>
        <v>2004.35</v>
      </c>
      <c r="AH160" s="3">
        <f>INDEX('Inputs (2)'!$D$22:$AL$22,MATCH(AH$7,'Inputs (2)'!$D$2:$AL$2,0))</f>
        <v>2147.829</v>
      </c>
      <c r="AI160" s="3">
        <f>INDEX('Inputs (2)'!$D$22:$AL$22,MATCH(AI$7,'Inputs (2)'!$D$2:$AL$2,0))</f>
        <v>2398.848</v>
      </c>
      <c r="AJ160" s="3">
        <f>AJ165</f>
        <v>2398.848</v>
      </c>
      <c r="AK160" s="3">
        <f>AK165</f>
        <v>2398.848</v>
      </c>
      <c r="AL160" s="3">
        <f>AK160</f>
        <v>2398.848</v>
      </c>
      <c r="AM160" s="3">
        <f>AM165</f>
        <v>2398.848</v>
      </c>
      <c r="AN160" s="3">
        <f>AN165</f>
        <v>2398.848</v>
      </c>
      <c r="AO160" s="3">
        <f>AO165</f>
        <v>2398.848</v>
      </c>
      <c r="AP160" s="3">
        <f>AP165</f>
        <v>2398.848</v>
      </c>
      <c r="AQ160" s="3">
        <f>AP160</f>
        <v>2398.848</v>
      </c>
      <c r="AR160" s="3">
        <f>AR165</f>
        <v>2398.848</v>
      </c>
      <c r="AS160" s="3">
        <f>AS165</f>
        <v>2398.848</v>
      </c>
      <c r="AT160" s="3">
        <f>AT165</f>
        <v>2398.848</v>
      </c>
      <c r="AU160" s="3">
        <f>AU165</f>
        <v>2398.848</v>
      </c>
      <c r="AV160" s="3">
        <f>AU160</f>
        <v>2398.848</v>
      </c>
      <c r="AW160" s="3">
        <f>AW165</f>
        <v>2398.848</v>
      </c>
      <c r="AX160" s="3">
        <f>AX165</f>
        <v>2398.848</v>
      </c>
      <c r="AY160" s="3">
        <f>AY165</f>
        <v>2398.848</v>
      </c>
      <c r="AZ160" s="3">
        <f>AZ165</f>
        <v>2398.848</v>
      </c>
      <c r="BA160" s="3">
        <f>AZ160</f>
        <v>2398.848</v>
      </c>
      <c r="BB160" s="3">
        <f>BB165</f>
        <v>2398.848</v>
      </c>
      <c r="BC160" s="3">
        <f>BC165</f>
        <v>2398.848</v>
      </c>
      <c r="BD160" s="3">
        <f>BD165</f>
        <v>2398.848</v>
      </c>
      <c r="BE160" s="3">
        <f>BE165</f>
        <v>2398.848</v>
      </c>
      <c r="BF160" s="3">
        <f>BE160</f>
        <v>2398.848</v>
      </c>
      <c r="BG160" s="3">
        <f>BG165</f>
        <v>2398.848</v>
      </c>
      <c r="BH160" s="3">
        <f>BH165</f>
        <v>2398.848</v>
      </c>
      <c r="BI160" s="3">
        <f>BI165</f>
        <v>2398.848</v>
      </c>
      <c r="BJ160" s="3">
        <f>BJ165</f>
        <v>2398.848</v>
      </c>
      <c r="BK160" s="3">
        <f>BJ160</f>
        <v>2398.848</v>
      </c>
      <c r="BL160" s="3">
        <f>BL165</f>
        <v>2398.848</v>
      </c>
      <c r="BM160" s="3">
        <f>BM165</f>
        <v>2398.848</v>
      </c>
      <c r="BN160" s="3">
        <f>BN165</f>
        <v>2398.848</v>
      </c>
      <c r="BO160" s="3">
        <f>BO165</f>
        <v>2398.848</v>
      </c>
      <c r="BP160" s="3">
        <f>BO160</f>
        <v>2398.848</v>
      </c>
      <c r="BQ160" s="3">
        <f>BQ165</f>
        <v>2398.848</v>
      </c>
      <c r="BR160" s="3">
        <f>BR165</f>
        <v>2398.848</v>
      </c>
      <c r="BS160" s="3">
        <f>BS165</f>
        <v>2398.848</v>
      </c>
      <c r="BT160" s="3">
        <f>BT165</f>
        <v>2398.848</v>
      </c>
      <c r="BU160" s="3">
        <f>BT160</f>
        <v>2398.848</v>
      </c>
      <c r="BV160" s="3">
        <f>BV165</f>
        <v>2398.848</v>
      </c>
      <c r="BW160" s="3">
        <f>BW165</f>
        <v>2398.848</v>
      </c>
      <c r="BX160" s="3">
        <f>BX165</f>
        <v>2398.848</v>
      </c>
      <c r="BY160" s="3">
        <f>BY165</f>
        <v>2398.848</v>
      </c>
      <c r="BZ160" s="3">
        <f>BY160</f>
        <v>2398.848</v>
      </c>
      <c r="CA160" s="3">
        <f>CA165</f>
        <v>2398.848</v>
      </c>
      <c r="CB160" s="3">
        <f>CB165</f>
        <v>2398.848</v>
      </c>
      <c r="CC160" s="3">
        <f>CC165</f>
        <v>2398.848</v>
      </c>
      <c r="CD160" s="3">
        <f>CD165</f>
        <v>2398.848</v>
      </c>
      <c r="CE160" s="3">
        <f>CD160</f>
        <v>2398.848</v>
      </c>
      <c r="CF160" s="3">
        <f>CF165</f>
        <v>2398.848</v>
      </c>
      <c r="CG160" s="3">
        <f>CG165</f>
        <v>2398.848</v>
      </c>
      <c r="CH160" s="3">
        <f>CH165</f>
        <v>2398.848</v>
      </c>
      <c r="CI160" s="3">
        <f>CI165</f>
        <v>2398.848</v>
      </c>
      <c r="CJ160" s="3">
        <f>CI160</f>
        <v>2398.848</v>
      </c>
      <c r="CK160" s="3">
        <f>CK165</f>
        <v>2398.848</v>
      </c>
      <c r="CL160" s="3">
        <f>CL165</f>
        <v>2398.848</v>
      </c>
      <c r="CM160" s="3">
        <f>CM165</f>
        <v>2398.848</v>
      </c>
      <c r="CN160" s="3">
        <f>CN165</f>
        <v>2398.848</v>
      </c>
      <c r="CO160" s="3">
        <f>CN160</f>
        <v>2398.848</v>
      </c>
      <c r="CP160" s="3">
        <f>CP165</f>
        <v>2398.848</v>
      </c>
      <c r="CQ160" s="3">
        <f>CQ165</f>
        <v>2398.848</v>
      </c>
      <c r="CR160" s="3">
        <f>CR165</f>
        <v>2398.848</v>
      </c>
      <c r="CS160" s="3">
        <f>CS165</f>
        <v>2398.848</v>
      </c>
      <c r="CT160" s="3">
        <f>CS160</f>
        <v>2398.848</v>
      </c>
      <c r="CU160" s="3">
        <f>CU165</f>
        <v>2398.848</v>
      </c>
      <c r="CV160" s="3">
        <f>CV165</f>
        <v>2398.848</v>
      </c>
      <c r="CW160" s="3">
        <f>CW165</f>
        <v>2398.848</v>
      </c>
      <c r="CX160" s="3">
        <f>CX165</f>
        <v>2398.848</v>
      </c>
      <c r="CY160" s="3">
        <f>CX160</f>
        <v>2398.848</v>
      </c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inlineStr">
        <is>
          <t>Capital expenditures</t>
        </is>
      </c>
      <c r="D162" s="3" t="n"/>
      <c r="E162" s="3">
        <f>E160-D160-E64</f>
        <v>128.147</v>
      </c>
      <c r="F162" s="3">
        <f>F160-E160-F64</f>
        <v>104.766</v>
      </c>
      <c r="G162" s="3">
        <f>G160-F160-G64</f>
        <v>164.008</v>
      </c>
      <c r="H162" s="3" t="n"/>
      <c r="I162" s="3">
        <f>I160-H160-I64</f>
        <v>90.977</v>
      </c>
      <c r="J162" s="3">
        <f>J160-I160-J64</f>
        <v>130.452</v>
      </c>
      <c r="K162" s="3">
        <f>K160-J160-K64</f>
        <v>182.93</v>
      </c>
      <c r="L162" s="3">
        <f>L160-K160-L64</f>
        <v>167.323</v>
      </c>
      <c r="M162" s="3" t="n"/>
      <c r="N162" s="3">
        <f>N160-M160-N64</f>
        <v>134.912</v>
      </c>
      <c r="O162" s="3">
        <f>O160-N160-O64</f>
        <v>61.6619999999999</v>
      </c>
      <c r="P162" s="3">
        <f>P160-O160-P64</f>
        <v>96.0220000000001</v>
      </c>
      <c r="Q162" s="3">
        <f>Q160-P160-Q64</f>
        <v>118.89</v>
      </c>
      <c r="R162" s="3" t="n"/>
      <c r="S162" s="3">
        <f>S160-R160-S64</f>
        <v>105.172</v>
      </c>
      <c r="T162" s="3">
        <f>T160-S160-T64</f>
        <v>148.259</v>
      </c>
      <c r="U162" s="3">
        <f>U160-T160-U64</f>
        <v>117.083</v>
      </c>
      <c r="V162" s="3">
        <f>V160-U160-V64</f>
        <v>79.6200000000001</v>
      </c>
      <c r="W162" s="3" t="n"/>
      <c r="X162" s="3">
        <f>X160-W160-X64</f>
        <v>96.9579999999999</v>
      </c>
      <c r="Y162" s="3">
        <f>Y160-X160-Y64</f>
        <v>91.017</v>
      </c>
      <c r="Z162" s="3">
        <f>Z160-Y160-Z64</f>
        <v>138.168</v>
      </c>
      <c r="AA162" s="3">
        <f>AA160-Z160-AA64</f>
        <v>105.083</v>
      </c>
      <c r="AB162" s="3" t="n"/>
      <c r="AC162" s="3">
        <f>AC160-AB160-AC64</f>
        <v>130.657</v>
      </c>
      <c r="AD162" s="3">
        <f>AD160-AC160-AD64</f>
        <v>179.233</v>
      </c>
      <c r="AE162" s="3">
        <f>AE160-AD160-AE64</f>
        <v>181.649</v>
      </c>
      <c r="AF162" s="6">
        <f>AF160-AE160-AF64</f>
        <v>252.444</v>
      </c>
      <c r="AG162" s="3">
        <f>SUM(AC162:AF162)</f>
        <v>743.983</v>
      </c>
      <c r="AH162" s="6">
        <f>AH160-AG160-AH64</f>
        <v>242.054</v>
      </c>
      <c r="AI162" s="6">
        <f>AI160-AH160-AI64</f>
        <v>351.549</v>
      </c>
      <c r="AJ162" s="6" t="n"/>
      <c r="AK162" s="6" t="n"/>
      <c r="AL162" s="3" t="n"/>
      <c r="AM162" s="6" t="n"/>
      <c r="AN162" s="6" t="n"/>
      <c r="AO162" s="6" t="n"/>
      <c r="AP162" s="6" t="n"/>
      <c r="AQ162" s="3" t="n"/>
      <c r="AR162" s="6" t="n"/>
      <c r="AS162" s="6" t="n"/>
      <c r="AT162" s="6" t="n"/>
      <c r="AU162" s="6" t="n"/>
      <c r="AV162" s="3" t="n"/>
      <c r="AW162" s="6" t="n"/>
      <c r="AX162" s="6" t="n"/>
      <c r="AY162" s="6" t="n"/>
      <c r="AZ162" s="6" t="n"/>
      <c r="BA162" s="3" t="n"/>
      <c r="BB162" s="6" t="n"/>
      <c r="BC162" s="6" t="n"/>
      <c r="BD162" s="6" t="n"/>
      <c r="BE162" s="6" t="n"/>
      <c r="BF162" s="3" t="n"/>
      <c r="BG162" s="6" t="n"/>
      <c r="BH162" s="6" t="n"/>
      <c r="BI162" s="6" t="n"/>
      <c r="BJ162" s="6" t="n"/>
      <c r="BK162" s="3" t="n"/>
      <c r="BL162" s="6" t="n"/>
      <c r="BM162" s="6" t="n"/>
      <c r="BN162" s="6" t="n"/>
      <c r="BO162" s="6" t="n"/>
      <c r="BP162" s="3" t="n"/>
      <c r="BQ162" s="6" t="n"/>
      <c r="BR162" s="6" t="n"/>
      <c r="BS162" s="6" t="n"/>
      <c r="BT162" s="6" t="n"/>
      <c r="BU162" s="3" t="n"/>
      <c r="BV162" s="6" t="n"/>
      <c r="BW162" s="6" t="n"/>
      <c r="BX162" s="6" t="n"/>
      <c r="BY162" s="6" t="n"/>
      <c r="BZ162" s="3" t="n"/>
      <c r="CA162" s="6" t="n"/>
      <c r="CB162" s="6" t="n"/>
      <c r="CC162" s="6" t="n"/>
      <c r="CD162" s="6" t="n"/>
      <c r="CE162" s="3" t="n"/>
      <c r="CF162" s="6" t="n"/>
      <c r="CG162" s="6" t="n"/>
      <c r="CH162" s="6" t="n"/>
      <c r="CI162" s="6" t="n"/>
      <c r="CJ162" s="3" t="n"/>
      <c r="CK162" s="6" t="n"/>
      <c r="CL162" s="6" t="n"/>
      <c r="CM162" s="6" t="n"/>
      <c r="CN162" s="6" t="n"/>
      <c r="CO162" s="3" t="n"/>
      <c r="CP162" s="6" t="n"/>
      <c r="CQ162" s="6" t="n"/>
      <c r="CR162" s="6" t="n"/>
      <c r="CS162" s="6" t="n"/>
      <c r="CT162" s="3" t="n"/>
      <c r="CU162" s="6" t="n"/>
      <c r="CV162" s="6" t="n"/>
      <c r="CW162" s="6" t="n"/>
      <c r="CX162" s="6" t="n"/>
      <c r="CY162" s="3" t="n"/>
    </row>
    <row r="163" hidden="1" outlineLevel="1">
      <c r="C163" s="34" t="inlineStr">
        <is>
          <t>Recurring asset sales (enter as -)</t>
        </is>
      </c>
      <c r="D163" s="3" t="n"/>
      <c r="E163" s="3" t="n"/>
      <c r="F163" s="3" t="n"/>
      <c r="G163" s="3" t="n"/>
      <c r="H163" s="3">
        <f>SUM(D163:G163)</f>
        <v>0</v>
      </c>
      <c r="I163" s="3" t="n"/>
      <c r="J163" s="3" t="n"/>
      <c r="K163" s="3" t="n"/>
      <c r="L163" s="3" t="n"/>
      <c r="M163" s="3">
        <f>SUM(I163:L163)</f>
        <v>0</v>
      </c>
      <c r="N163" s="3" t="n"/>
      <c r="O163" s="3" t="n"/>
      <c r="P163" s="3" t="n"/>
      <c r="Q163" s="3" t="n"/>
      <c r="R163" s="3">
        <f>SUM(N163:Q163)</f>
        <v>0</v>
      </c>
      <c r="S163" s="3" t="n"/>
      <c r="T163" s="3" t="n"/>
      <c r="U163" s="3" t="n"/>
      <c r="V163" s="3" t="n"/>
      <c r="W163" s="3">
        <f>SUM(S163:V163)</f>
        <v>0</v>
      </c>
      <c r="X163" s="3" t="n"/>
      <c r="Y163" s="3" t="n"/>
      <c r="Z163" s="3" t="n"/>
      <c r="AA163" s="3" t="n"/>
      <c r="AB163" s="3">
        <f>SUM(X163:AA163)</f>
        <v>0</v>
      </c>
      <c r="AC163" s="3" t="n"/>
      <c r="AD163" s="3" t="n"/>
      <c r="AE163" s="3" t="n"/>
      <c r="AF163" s="6" t="n"/>
      <c r="AG163" s="3" t="n"/>
      <c r="AH163" s="6" t="n"/>
      <c r="AI163" s="6" t="n"/>
      <c r="AJ163" s="6" t="n"/>
      <c r="AK163" s="6" t="n"/>
      <c r="AL163" s="3" t="n"/>
      <c r="AM163" s="6" t="n"/>
      <c r="AN163" s="6" t="n"/>
      <c r="AO163" s="6" t="n"/>
      <c r="AP163" s="6" t="n"/>
      <c r="AQ163" s="3" t="n"/>
      <c r="AR163" s="6" t="n"/>
      <c r="AS163" s="6" t="n"/>
      <c r="AT163" s="6" t="n"/>
      <c r="AU163" s="6" t="n"/>
      <c r="AV163" s="3" t="n"/>
      <c r="AW163" s="6" t="n"/>
      <c r="AX163" s="6" t="n"/>
      <c r="AY163" s="6" t="n"/>
      <c r="AZ163" s="6" t="n"/>
      <c r="BA163" s="3" t="n"/>
      <c r="BB163" s="6" t="n"/>
      <c r="BC163" s="6" t="n"/>
      <c r="BD163" s="6" t="n"/>
      <c r="BE163" s="6" t="n"/>
      <c r="BF163" s="3" t="n"/>
      <c r="BG163" s="6" t="n"/>
      <c r="BH163" s="6" t="n"/>
      <c r="BI163" s="6" t="n"/>
      <c r="BJ163" s="6" t="n"/>
      <c r="BK163" s="3" t="n"/>
      <c r="BL163" s="6" t="n"/>
      <c r="BM163" s="6" t="n"/>
      <c r="BN163" s="6" t="n"/>
      <c r="BO163" s="6" t="n"/>
      <c r="BP163" s="3" t="n"/>
      <c r="BQ163" s="6" t="n"/>
      <c r="BR163" s="6" t="n"/>
      <c r="BS163" s="6" t="n"/>
      <c r="BT163" s="6" t="n"/>
      <c r="BU163" s="3" t="n"/>
      <c r="BV163" s="6" t="n"/>
      <c r="BW163" s="6" t="n"/>
      <c r="BX163" s="6" t="n"/>
      <c r="BY163" s="6" t="n"/>
      <c r="BZ163" s="3" t="n"/>
      <c r="CA163" s="6" t="n"/>
      <c r="CB163" s="6" t="n"/>
      <c r="CC163" s="6" t="n"/>
      <c r="CD163" s="6" t="n"/>
      <c r="CE163" s="3" t="n"/>
      <c r="CF163" s="6" t="n"/>
      <c r="CG163" s="6" t="n"/>
      <c r="CH163" s="6" t="n"/>
      <c r="CI163" s="6" t="n"/>
      <c r="CJ163" s="3" t="n"/>
      <c r="CK163" s="6" t="n"/>
      <c r="CL163" s="6" t="n"/>
      <c r="CM163" s="6" t="n"/>
      <c r="CN163" s="6" t="n"/>
      <c r="CO163" s="3" t="n"/>
      <c r="CP163" s="6" t="n"/>
      <c r="CQ163" s="6" t="n"/>
      <c r="CR163" s="6" t="n"/>
      <c r="CS163" s="6" t="n"/>
      <c r="CT163" s="3" t="n"/>
      <c r="CU163" s="6" t="n"/>
      <c r="CV163" s="6" t="n"/>
      <c r="CW163" s="6" t="n"/>
      <c r="CX163" s="6" t="n"/>
      <c r="CY163" s="3" t="n"/>
    </row>
    <row r="164" hidden="1" outlineLevel="1">
      <c r="C164" s="34" t="inlineStr">
        <is>
          <t>Depreciation</t>
        </is>
      </c>
      <c r="D164" s="3">
        <f>D64</f>
        <v>-28.517</v>
      </c>
      <c r="E164" s="3">
        <f>E64</f>
        <v>-26.661</v>
      </c>
      <c r="F164" s="3">
        <f>F64</f>
        <v>-28.589</v>
      </c>
      <c r="G164" s="3">
        <f>G64</f>
        <v>-31.943</v>
      </c>
      <c r="H164" s="3" t="n"/>
      <c r="I164" s="3">
        <f>I64</f>
        <v>-35.741</v>
      </c>
      <c r="J164" s="3">
        <f>J64</f>
        <v>-38.434</v>
      </c>
      <c r="K164" s="3">
        <f>K64</f>
        <v>-70.253</v>
      </c>
      <c r="L164" s="3">
        <f>L64</f>
        <v>-63.984</v>
      </c>
      <c r="M164" s="3" t="n"/>
      <c r="N164" s="3">
        <f>N64</f>
        <v>-74.602</v>
      </c>
      <c r="O164" s="3">
        <f>O64</f>
        <v>-83.505</v>
      </c>
      <c r="P164" s="3">
        <f>P64</f>
        <v>-85.188</v>
      </c>
      <c r="Q164" s="3">
        <f>Q64</f>
        <v>-93.387</v>
      </c>
      <c r="R164" s="3" t="n"/>
      <c r="S164" s="3">
        <f>S64</f>
        <v>-90.335</v>
      </c>
      <c r="T164" s="3">
        <f>T64</f>
        <v>-89.385</v>
      </c>
      <c r="U164" s="3">
        <f>U64</f>
        <v>-90.66</v>
      </c>
      <c r="V164" s="3">
        <f>V64</f>
        <v>-86.567</v>
      </c>
      <c r="W164" s="3" t="n"/>
      <c r="X164" s="3">
        <f>X64</f>
        <v>-87.234</v>
      </c>
      <c r="Y164" s="3">
        <f>Y64</f>
        <v>-81.227</v>
      </c>
      <c r="Z164" s="3">
        <f>Z64</f>
        <v>-80.914</v>
      </c>
      <c r="AA164" s="3">
        <f>AA64</f>
        <v>-79.539</v>
      </c>
      <c r="AB164" s="3" t="n"/>
      <c r="AC164" s="3">
        <f>AC64</f>
        <v>-80.067</v>
      </c>
      <c r="AD164" s="3">
        <f>AD64</f>
        <v>-80.013</v>
      </c>
      <c r="AE164" s="3">
        <f>AE64</f>
        <v>-87.326</v>
      </c>
      <c r="AF164" s="3">
        <f>AF64</f>
        <v>-85.983</v>
      </c>
      <c r="AG164" s="3" t="n"/>
      <c r="AH164" s="3">
        <f>AH64</f>
        <v>-98.575</v>
      </c>
      <c r="AI164" s="3">
        <f>AI64</f>
        <v>-100.53</v>
      </c>
      <c r="AJ164" s="3">
        <f>AJ64</f>
        <v>0</v>
      </c>
      <c r="AK164" s="3">
        <f>AK64</f>
        <v>0</v>
      </c>
      <c r="AL164" s="3" t="n"/>
      <c r="AM164" s="3">
        <f>AM64</f>
        <v>0</v>
      </c>
      <c r="AN164" s="3">
        <f>AN64</f>
        <v>0</v>
      </c>
      <c r="AO164" s="3">
        <f>AO64</f>
        <v>0</v>
      </c>
      <c r="AP164" s="3">
        <f>AP64</f>
        <v>0</v>
      </c>
      <c r="AQ164" s="3" t="n"/>
      <c r="AR164" s="3">
        <f>AR64</f>
        <v>0</v>
      </c>
      <c r="AS164" s="3">
        <f>AS64</f>
        <v>0</v>
      </c>
      <c r="AT164" s="3">
        <f>AT64</f>
        <v>0</v>
      </c>
      <c r="AU164" s="3">
        <f>AU64</f>
        <v>0</v>
      </c>
      <c r="AV164" s="3" t="n"/>
      <c r="AW164" s="3">
        <f>AW64</f>
        <v>0</v>
      </c>
      <c r="AX164" s="3">
        <f>AX64</f>
        <v>0</v>
      </c>
      <c r="AY164" s="3">
        <f>AY64</f>
        <v>0</v>
      </c>
      <c r="AZ164" s="3">
        <f>AZ64</f>
        <v>0</v>
      </c>
      <c r="BA164" s="3" t="n"/>
      <c r="BB164" s="3">
        <f>BB64</f>
        <v>0</v>
      </c>
      <c r="BC164" s="3">
        <f>BC64</f>
        <v>0</v>
      </c>
      <c r="BD164" s="3">
        <f>BD64</f>
        <v>0</v>
      </c>
      <c r="BE164" s="3">
        <f>BE64</f>
        <v>0</v>
      </c>
      <c r="BF164" s="3" t="n"/>
      <c r="BG164" s="3">
        <f>BG64</f>
        <v>0</v>
      </c>
      <c r="BH164" s="3">
        <f>BH64</f>
        <v>0</v>
      </c>
      <c r="BI164" s="3">
        <f>BI64</f>
        <v>0</v>
      </c>
      <c r="BJ164" s="3">
        <f>BJ64</f>
        <v>0</v>
      </c>
      <c r="BK164" s="3" t="n"/>
      <c r="BL164" s="3">
        <f>BL64</f>
        <v>0</v>
      </c>
      <c r="BM164" s="3">
        <f>BM64</f>
        <v>0</v>
      </c>
      <c r="BN164" s="3">
        <f>BN64</f>
        <v>0</v>
      </c>
      <c r="BO164" s="3">
        <f>BO64</f>
        <v>0</v>
      </c>
      <c r="BP164" s="3" t="n"/>
      <c r="BQ164" s="3">
        <f>BQ64</f>
        <v>0</v>
      </c>
      <c r="BR164" s="3">
        <f>BR64</f>
        <v>0</v>
      </c>
      <c r="BS164" s="3">
        <f>BS64</f>
        <v>0</v>
      </c>
      <c r="BT164" s="3">
        <f>BT64</f>
        <v>0</v>
      </c>
      <c r="BU164" s="3" t="n"/>
      <c r="BV164" s="3">
        <f>BV64</f>
        <v>0</v>
      </c>
      <c r="BW164" s="3">
        <f>BW64</f>
        <v>0</v>
      </c>
      <c r="BX164" s="3">
        <f>BX64</f>
        <v>0</v>
      </c>
      <c r="BY164" s="3">
        <f>BY64</f>
        <v>0</v>
      </c>
      <c r="BZ164" s="3" t="n"/>
      <c r="CA164" s="3">
        <f>CA64</f>
        <v>0</v>
      </c>
      <c r="CB164" s="3">
        <f>CB64</f>
        <v>0</v>
      </c>
      <c r="CC164" s="3">
        <f>CC64</f>
        <v>0</v>
      </c>
      <c r="CD164" s="3">
        <f>CD64</f>
        <v>0</v>
      </c>
      <c r="CE164" s="3" t="n"/>
      <c r="CF164" s="3">
        <f>CF64</f>
        <v>0</v>
      </c>
      <c r="CG164" s="3">
        <f>CG64</f>
        <v>0</v>
      </c>
      <c r="CH164" s="3">
        <f>CH64</f>
        <v>0</v>
      </c>
      <c r="CI164" s="3">
        <f>CI64</f>
        <v>0</v>
      </c>
      <c r="CJ164" s="3" t="n"/>
      <c r="CK164" s="3">
        <f>CK64</f>
        <v>0</v>
      </c>
      <c r="CL164" s="3">
        <f>CL64</f>
        <v>0</v>
      </c>
      <c r="CM164" s="3">
        <f>CM64</f>
        <v>0</v>
      </c>
      <c r="CN164" s="3">
        <f>CN64</f>
        <v>0</v>
      </c>
      <c r="CO164" s="3" t="n"/>
      <c r="CP164" s="3">
        <f>CP64</f>
        <v>0</v>
      </c>
      <c r="CQ164" s="3">
        <f>CQ64</f>
        <v>0</v>
      </c>
      <c r="CR164" s="3">
        <f>CR64</f>
        <v>0</v>
      </c>
      <c r="CS164" s="3">
        <f>CS64</f>
        <v>0</v>
      </c>
      <c r="CT164" s="3" t="n"/>
      <c r="CU164" s="3">
        <f>CU64</f>
        <v>0</v>
      </c>
      <c r="CV164" s="3">
        <f>CV64</f>
        <v>0</v>
      </c>
      <c r="CW164" s="3">
        <f>CW64</f>
        <v>0</v>
      </c>
      <c r="CX164" s="3">
        <f>CX64</f>
        <v>0</v>
      </c>
      <c r="CY164" s="3" t="n"/>
    </row>
    <row r="165" hidden="1" outlineLevel="1">
      <c r="C165" s="34" t="inlineStr">
        <is>
          <t>PP&amp;E</t>
        </is>
      </c>
      <c r="D165" s="3">
        <f>D160</f>
        <v>650.455</v>
      </c>
      <c r="E165" s="3">
        <f>E160</f>
        <v>751.941</v>
      </c>
      <c r="F165" s="3">
        <f>F160</f>
        <v>828.118</v>
      </c>
      <c r="G165" s="3">
        <f>G160</f>
        <v>960.183</v>
      </c>
      <c r="H165" s="3" t="n"/>
      <c r="I165" s="3">
        <f>I160</f>
        <v>1015.419</v>
      </c>
      <c r="J165" s="3">
        <f>J160</f>
        <v>1107.437</v>
      </c>
      <c r="K165" s="3">
        <f>K160</f>
        <v>1220.114</v>
      </c>
      <c r="L165" s="3">
        <f>L160</f>
        <v>1323.453</v>
      </c>
      <c r="M165" s="3" t="n"/>
      <c r="N165" s="3">
        <f>N160</f>
        <v>1383.763</v>
      </c>
      <c r="O165" s="3">
        <f>O160</f>
        <v>1361.92</v>
      </c>
      <c r="P165" s="3">
        <f>P160</f>
        <v>1372.754</v>
      </c>
      <c r="Q165" s="3">
        <f>Q160</f>
        <v>1398.257</v>
      </c>
      <c r="R165" s="3" t="n"/>
      <c r="S165" s="3">
        <f>S160</f>
        <v>1413.094</v>
      </c>
      <c r="T165" s="3">
        <f>T160</f>
        <v>1471.968</v>
      </c>
      <c r="U165" s="3">
        <f>U160</f>
        <v>1498.391</v>
      </c>
      <c r="V165" s="3">
        <f>V160</f>
        <v>1491.444</v>
      </c>
      <c r="W165" s="3" t="n"/>
      <c r="X165" s="3">
        <f>X160</f>
        <v>1501.168</v>
      </c>
      <c r="Y165" s="3">
        <f>Y160</f>
        <v>1510.958</v>
      </c>
      <c r="Z165" s="3">
        <f>Z160</f>
        <v>1568.212</v>
      </c>
      <c r="AA165" s="3">
        <f>Y165+SUM(AA162:AA164)</f>
        <v>1536.502</v>
      </c>
      <c r="AB165" s="3" t="n"/>
      <c r="AC165" s="3">
        <f>AC160</f>
        <v>1644.346</v>
      </c>
      <c r="AD165" s="3">
        <f>AD160</f>
        <v>1743.566</v>
      </c>
      <c r="AE165" s="3">
        <f>AE160</f>
        <v>1837.889</v>
      </c>
      <c r="AF165" s="3">
        <f>AE165+SUM(AF162:AF164)</f>
        <v>2004.35</v>
      </c>
      <c r="AG165" s="3" t="n"/>
      <c r="AH165" s="3">
        <f>AH160</f>
        <v>2147.829</v>
      </c>
      <c r="AI165" s="3">
        <f>AI160</f>
        <v>2398.848</v>
      </c>
      <c r="AJ165" s="3">
        <f>AI165+SUM(AJ162:AJ164)</f>
        <v>2398.848</v>
      </c>
      <c r="AK165" s="3">
        <f>AJ165+SUM(AK162:AK164)</f>
        <v>2398.848</v>
      </c>
      <c r="AL165" s="3" t="n"/>
      <c r="AM165" s="3">
        <f>AK165+SUM(AM162:AM164)</f>
        <v>2398.848</v>
      </c>
      <c r="AN165" s="3">
        <f>AM165+SUM(AN162:AN164)</f>
        <v>2398.848</v>
      </c>
      <c r="AO165" s="3">
        <f>AN165+SUM(AO162:AO164)</f>
        <v>2398.848</v>
      </c>
      <c r="AP165" s="3">
        <f>AO165+SUM(AP162:AP164)</f>
        <v>2398.848</v>
      </c>
      <c r="AQ165" s="3" t="n"/>
      <c r="AR165" s="3">
        <f>AP165+SUM(AR162:AR164)</f>
        <v>2398.848</v>
      </c>
      <c r="AS165" s="3">
        <f>AR165+SUM(AS162:AS164)</f>
        <v>2398.848</v>
      </c>
      <c r="AT165" s="3">
        <f>AS165+SUM(AT162:AT164)</f>
        <v>2398.848</v>
      </c>
      <c r="AU165" s="3">
        <f>AT165+SUM(AU162:AU164)</f>
        <v>2398.848</v>
      </c>
      <c r="AV165" s="3" t="n"/>
      <c r="AW165" s="3">
        <f>AU165+SUM(AW162:AW164)</f>
        <v>2398.848</v>
      </c>
      <c r="AX165" s="3">
        <f>AW165+SUM(AX162:AX164)</f>
        <v>2398.848</v>
      </c>
      <c r="AY165" s="3">
        <f>AX165+SUM(AY162:AY164)</f>
        <v>2398.848</v>
      </c>
      <c r="AZ165" s="3">
        <f>AY165+SUM(AZ162:AZ164)</f>
        <v>2398.848</v>
      </c>
      <c r="BA165" s="3" t="n"/>
      <c r="BB165" s="3">
        <f>AZ165+SUM(BB162:BB164)</f>
        <v>2398.848</v>
      </c>
      <c r="BC165" s="3">
        <f>BB165+SUM(BC162:BC164)</f>
        <v>2398.848</v>
      </c>
      <c r="BD165" s="3">
        <f>BC165+SUM(BD162:BD164)</f>
        <v>2398.848</v>
      </c>
      <c r="BE165" s="3">
        <f>BD165+SUM(BE162:BE164)</f>
        <v>2398.848</v>
      </c>
      <c r="BF165" s="3" t="n"/>
      <c r="BG165" s="3">
        <f>BE165+SUM(BG162:BG164)</f>
        <v>2398.848</v>
      </c>
      <c r="BH165" s="3">
        <f>BG165+SUM(BH162:BH164)</f>
        <v>2398.848</v>
      </c>
      <c r="BI165" s="3">
        <f>BH165+SUM(BI162:BI164)</f>
        <v>2398.848</v>
      </c>
      <c r="BJ165" s="3">
        <f>BI165+SUM(BJ162:BJ164)</f>
        <v>2398.848</v>
      </c>
      <c r="BK165" s="3" t="n"/>
      <c r="BL165" s="3">
        <f>BJ165+SUM(BL162:BL164)</f>
        <v>2398.848</v>
      </c>
      <c r="BM165" s="3">
        <f>BL165+SUM(BM162:BM164)</f>
        <v>2398.848</v>
      </c>
      <c r="BN165" s="3">
        <f>BM165+SUM(BN162:BN164)</f>
        <v>2398.848</v>
      </c>
      <c r="BO165" s="3">
        <f>BN165+SUM(BO162:BO164)</f>
        <v>2398.848</v>
      </c>
      <c r="BP165" s="3" t="n"/>
      <c r="BQ165" s="3">
        <f>BO165+SUM(BQ162:BQ164)</f>
        <v>2398.848</v>
      </c>
      <c r="BR165" s="3">
        <f>BQ165+SUM(BR162:BR164)</f>
        <v>2398.848</v>
      </c>
      <c r="BS165" s="3">
        <f>BR165+SUM(BS162:BS164)</f>
        <v>2398.848</v>
      </c>
      <c r="BT165" s="3">
        <f>BS165+SUM(BT162:BT164)</f>
        <v>2398.848</v>
      </c>
      <c r="BU165" s="3" t="n"/>
      <c r="BV165" s="3">
        <f>BT165+SUM(BV162:BV164)</f>
        <v>2398.848</v>
      </c>
      <c r="BW165" s="3">
        <f>BV165+SUM(BW162:BW164)</f>
        <v>2398.848</v>
      </c>
      <c r="BX165" s="3">
        <f>BW165+SUM(BX162:BX164)</f>
        <v>2398.848</v>
      </c>
      <c r="BY165" s="3">
        <f>BX165+SUM(BY162:BY164)</f>
        <v>2398.848</v>
      </c>
      <c r="BZ165" s="3" t="n"/>
      <c r="CA165" s="3">
        <f>BY165+SUM(CA162:CA164)</f>
        <v>2398.848</v>
      </c>
      <c r="CB165" s="3">
        <f>CA165+SUM(CB162:CB164)</f>
        <v>2398.848</v>
      </c>
      <c r="CC165" s="3">
        <f>CB165+SUM(CC162:CC164)</f>
        <v>2398.848</v>
      </c>
      <c r="CD165" s="3">
        <f>CC165+SUM(CD162:CD164)</f>
        <v>2398.848</v>
      </c>
      <c r="CE165" s="3" t="n"/>
      <c r="CF165" s="3">
        <f>CD165+SUM(CF162:CF164)</f>
        <v>2398.848</v>
      </c>
      <c r="CG165" s="3">
        <f>CF165+SUM(CG162:CG164)</f>
        <v>2398.848</v>
      </c>
      <c r="CH165" s="3">
        <f>CG165+SUM(CH162:CH164)</f>
        <v>2398.848</v>
      </c>
      <c r="CI165" s="3">
        <f>CH165+SUM(CI162:CI164)</f>
        <v>2398.848</v>
      </c>
      <c r="CJ165" s="3" t="n"/>
      <c r="CK165" s="3">
        <f>CI165+SUM(CK162:CK164)</f>
        <v>2398.848</v>
      </c>
      <c r="CL165" s="3">
        <f>CK165+SUM(CL162:CL164)</f>
        <v>2398.848</v>
      </c>
      <c r="CM165" s="3">
        <f>CL165+SUM(CM162:CM164)</f>
        <v>2398.848</v>
      </c>
      <c r="CN165" s="3">
        <f>CM165+SUM(CN162:CN164)</f>
        <v>2398.848</v>
      </c>
      <c r="CO165" s="3" t="n"/>
      <c r="CP165" s="3">
        <f>CN165+SUM(CP162:CP164)</f>
        <v>2398.848</v>
      </c>
      <c r="CQ165" s="3">
        <f>CP165+SUM(CQ162:CQ164)</f>
        <v>2398.848</v>
      </c>
      <c r="CR165" s="3">
        <f>CQ165+SUM(CR162:CR164)</f>
        <v>2398.848</v>
      </c>
      <c r="CS165" s="3">
        <f>CR165+SUM(CS162:CS164)</f>
        <v>2398.848</v>
      </c>
      <c r="CT165" s="3" t="n"/>
      <c r="CU165" s="3">
        <f>CS165+SUM(CU162:CU164)</f>
        <v>2398.848</v>
      </c>
      <c r="CV165" s="3">
        <f>CU165+SUM(CV162:CV164)</f>
        <v>2398.848</v>
      </c>
      <c r="CW165" s="3">
        <f>CV165+SUM(CW162:CW164)</f>
        <v>2398.848</v>
      </c>
      <c r="CX165" s="3">
        <f>CW165+SUM(CX162:CX164)</f>
        <v>2398.848</v>
      </c>
      <c r="CY165" s="3" t="n"/>
      <c r="CZ165">
        <f>CX165+SUM(CZ162:CZ164)</f>
        <v>2398.848</v>
      </c>
      <c r="DA165">
        <f>CZ165+SUM(DA162:DA164)</f>
        <v>2398.848</v>
      </c>
      <c r="DB165">
        <f>DA165+SUM(DB162:DB164)</f>
        <v>2398.848</v>
      </c>
      <c r="DC165">
        <f>DB165+SUM(DC162:DC164)</f>
        <v>2398.848</v>
      </c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inlineStr">
        <is>
          <t>Capital expenditures (% Net Revenues)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40">
        <f>AF162/AF15</f>
        <v>0.0209483848407263</v>
      </c>
      <c r="AG167" s="40">
        <f>AG162/AG15</f>
        <v>0.0164659807278112</v>
      </c>
      <c r="AH167" s="40">
        <f>AH162/AH15</f>
        <v>0.0197599021760187</v>
      </c>
      <c r="AI167" s="40">
        <f>AI162/AI15</f>
        <v>0.0279897082294515</v>
      </c>
      <c r="AJ167" s="40">
        <f>AJ162/AJ15</f>
        <v>0</v>
      </c>
      <c r="AK167" s="40">
        <f>AK162/AK15</f>
        <v>0</v>
      </c>
      <c r="AL167" s="40">
        <f>AL162/AL15</f>
        <v>0</v>
      </c>
      <c r="AM167" s="40">
        <f>AM162/AM15</f>
        <v>0</v>
      </c>
      <c r="AN167" s="40">
        <f>AN162/AN15</f>
        <v>0</v>
      </c>
      <c r="AO167" s="40">
        <f>AO162/AO15</f>
        <v>0</v>
      </c>
      <c r="AP167" s="40">
        <f>AP162/AP15</f>
        <v>0</v>
      </c>
      <c r="AQ167" s="40">
        <f>AQ162/AQ15</f>
        <v>0</v>
      </c>
      <c r="AR167" s="40">
        <f>AR162/AR15</f>
        <v>0</v>
      </c>
      <c r="AS167" s="40">
        <f>AS162/AS15</f>
        <v>0</v>
      </c>
      <c r="AT167" s="40">
        <f>AT162/AT15</f>
        <v>0</v>
      </c>
      <c r="AU167" s="40">
        <f>AU162/AU15</f>
        <v>0</v>
      </c>
      <c r="AV167" s="40">
        <f>AV162/AV15</f>
        <v>0</v>
      </c>
      <c r="AW167" s="40">
        <f>AW162/AW15</f>
        <v>0</v>
      </c>
      <c r="AX167" s="40">
        <f>AX162/AX15</f>
        <v>0</v>
      </c>
      <c r="AY167" s="40">
        <f>AY162/AY15</f>
        <v>0</v>
      </c>
      <c r="AZ167" s="40">
        <f>AZ162/AZ15</f>
        <v>0</v>
      </c>
      <c r="BA167" s="40">
        <f>BA162/BA15</f>
        <v>0</v>
      </c>
      <c r="BB167" s="40">
        <f>BB162/BB15</f>
        <v>0</v>
      </c>
      <c r="BC167" s="40">
        <f>BC162/BC15</f>
        <v>0</v>
      </c>
      <c r="BD167" s="40">
        <f>BD162/BD15</f>
        <v>0</v>
      </c>
      <c r="BE167" s="40">
        <f>BE162/BE15</f>
        <v>0</v>
      </c>
      <c r="BF167" s="40">
        <f>BF162/BF15</f>
        <v>0</v>
      </c>
      <c r="BG167" s="40">
        <f>BG162/BG15</f>
        <v>0</v>
      </c>
      <c r="BH167" s="40">
        <f>BH162/BH15</f>
        <v>0</v>
      </c>
      <c r="BI167" s="40">
        <f>BI162/BI15</f>
        <v>0</v>
      </c>
      <c r="BJ167" s="40">
        <f>BJ162/BJ15</f>
        <v>0</v>
      </c>
      <c r="BK167" s="40">
        <f>BK162/BK15</f>
        <v>0</v>
      </c>
      <c r="BL167" s="40">
        <f>BL162/BL15</f>
        <v>0</v>
      </c>
      <c r="BM167" s="40">
        <f>BM162/BM15</f>
        <v>0</v>
      </c>
      <c r="BN167" s="40">
        <f>BN162/BN15</f>
        <v>0</v>
      </c>
      <c r="BO167" s="40">
        <f>BO162/BO15</f>
        <v>0</v>
      </c>
      <c r="BP167" s="40">
        <f>BP162/BP15</f>
        <v>0</v>
      </c>
      <c r="BQ167" s="40">
        <f>BQ162/BQ15</f>
        <v>0</v>
      </c>
      <c r="BR167" s="40">
        <f>BR162/BR15</f>
        <v>0</v>
      </c>
      <c r="BS167" s="40">
        <f>BS162/BS15</f>
        <v>0</v>
      </c>
      <c r="BT167" s="40">
        <f>BT162/BT15</f>
        <v>0</v>
      </c>
      <c r="BU167" s="40">
        <f>BU162/BU15</f>
        <v>0</v>
      </c>
      <c r="BV167" s="40">
        <f>BV162/BV15</f>
        <v>0</v>
      </c>
      <c r="BW167" s="40">
        <f>BW162/BW15</f>
        <v>0</v>
      </c>
      <c r="BX167" s="40">
        <f>BX162/BX15</f>
        <v>0</v>
      </c>
      <c r="BY167" s="40">
        <f>BY162/BY15</f>
        <v>0</v>
      </c>
      <c r="BZ167" s="40">
        <f>BZ162/BZ15</f>
        <v>0</v>
      </c>
      <c r="CA167" s="40">
        <f>CA162/CA15</f>
        <v>0</v>
      </c>
      <c r="CB167" s="40">
        <f>CB162/CB15</f>
        <v>0</v>
      </c>
      <c r="CC167" s="40">
        <f>CC162/CC15</f>
        <v>0</v>
      </c>
      <c r="CD167" s="40">
        <f>CD162/CD15</f>
        <v>0</v>
      </c>
      <c r="CE167" s="40">
        <f>CE162/CE15</f>
        <v>0</v>
      </c>
      <c r="CF167" s="40">
        <f>CF162/CF15</f>
        <v>0</v>
      </c>
      <c r="CG167" s="40">
        <f>CG162/CG15</f>
        <v>0</v>
      </c>
      <c r="CH167" s="40">
        <f>CH162/CH15</f>
        <v>0</v>
      </c>
      <c r="CI167" s="40">
        <f>CI162/CI15</f>
        <v>0</v>
      </c>
      <c r="CJ167" s="40">
        <f>CJ162/CJ15</f>
        <v>0</v>
      </c>
      <c r="CK167" s="40">
        <f>CK162/CK15</f>
        <v>0</v>
      </c>
      <c r="CL167" s="40">
        <f>CL162/CL15</f>
        <v>0</v>
      </c>
      <c r="CM167" s="40">
        <f>CM162/CM15</f>
        <v>0</v>
      </c>
      <c r="CN167" s="40">
        <f>CN162/CN15</f>
        <v>0</v>
      </c>
      <c r="CO167" s="40">
        <f>CO162/CO15</f>
        <v>0</v>
      </c>
      <c r="CP167" s="40">
        <f>CP162/CP15</f>
        <v>0</v>
      </c>
      <c r="CQ167" s="40">
        <f>CQ162/CQ15</f>
        <v>0</v>
      </c>
      <c r="CR167" s="40">
        <f>CR162/CR15</f>
        <v>0</v>
      </c>
      <c r="CS167" s="40">
        <f>CS162/CS15</f>
        <v>0</v>
      </c>
      <c r="CT167" s="40">
        <f>CT162/CT15</f>
        <v>0</v>
      </c>
      <c r="CU167" s="40">
        <f>CU162/CU15</f>
        <v>0</v>
      </c>
      <c r="CV167" s="40">
        <f>CV162/CV15</f>
        <v>0</v>
      </c>
      <c r="CW167" s="40">
        <f>CW162/CW15</f>
        <v>0</v>
      </c>
      <c r="CX167" s="40">
        <f>CX162/CX15</f>
        <v>0</v>
      </c>
      <c r="CY167" s="40">
        <f>CY162/CY15</f>
        <v>0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collapsed="1">
      <c r="C170" s="26" t="inlineStr">
        <is>
          <t>Right-of-use-assets</t>
        </is>
      </c>
      <c r="D170" s="25">
        <f>INDEX('Inputs (2)'!$D$23:$AL$23,MATCH(D$7,'Inputs (2)'!$D$2:$AL$2,0))</f>
        <v>0</v>
      </c>
      <c r="E170" s="25">
        <f>INDEX('Inputs (2)'!$D$23:$AL$23,MATCH(E$7,'Inputs (2)'!$D$2:$AL$2,0))</f>
        <v>0</v>
      </c>
      <c r="F170" s="25">
        <f>INDEX('Inputs (2)'!$D$23:$AL$23,MATCH(F$7,'Inputs (2)'!$D$2:$AL$2,0))</f>
        <v>0</v>
      </c>
      <c r="G170" s="25">
        <f>INDEX('Inputs (2)'!$D$23:$AL$23,MATCH(G$7,'Inputs (2)'!$D$2:$AL$2,0))</f>
        <v>0</v>
      </c>
      <c r="H170" s="3">
        <f>G170</f>
        <v>0</v>
      </c>
      <c r="I170" s="25">
        <f>INDEX('Inputs (2)'!$D$23:$AL$23,MATCH(I$7,'Inputs (2)'!$D$2:$AL$2,0))</f>
        <v>0</v>
      </c>
      <c r="J170" s="25">
        <f>INDEX('Inputs (2)'!$D$23:$AL$23,MATCH(J$7,'Inputs (2)'!$D$2:$AL$2,0))</f>
        <v>0</v>
      </c>
      <c r="K170" s="25">
        <f>INDEX('Inputs (2)'!$D$23:$AL$23,MATCH(K$7,'Inputs (2)'!$D$2:$AL$2,0))</f>
        <v>0</v>
      </c>
      <c r="L170" s="25">
        <f>INDEX('Inputs (2)'!$D$23:$AL$23,MATCH(L$7,'Inputs (2)'!$D$2:$AL$2,0))</f>
        <v>0</v>
      </c>
      <c r="M170" s="3">
        <f>L170</f>
        <v>0</v>
      </c>
      <c r="N170" s="25">
        <f>INDEX('Inputs (2)'!$D$23:$AL$23,MATCH(N$7,'Inputs (2)'!$D$2:$AL$2,0))</f>
        <v>0</v>
      </c>
      <c r="O170" s="25">
        <f>INDEX('Inputs (2)'!$D$23:$AL$23,MATCH(O$7,'Inputs (2)'!$D$2:$AL$2,0))</f>
        <v>0</v>
      </c>
      <c r="P170" s="25">
        <f>INDEX('Inputs (2)'!$D$23:$AL$23,MATCH(P$7,'Inputs (2)'!$D$2:$AL$2,0))</f>
        <v>0</v>
      </c>
      <c r="Q170" s="25">
        <f>INDEX('Inputs (2)'!$D$23:$AL$23,MATCH(Q$7,'Inputs (2)'!$D$2:$AL$2,0))</f>
        <v>0</v>
      </c>
      <c r="R170" s="3">
        <f>Q170</f>
        <v>0</v>
      </c>
      <c r="S170" s="25">
        <f>INDEX('Inputs (2)'!$D$23:$AL$23,MATCH(S$7,'Inputs (2)'!$D$2:$AL$2,0))</f>
        <v>0</v>
      </c>
      <c r="T170" s="25">
        <f>INDEX('Inputs (2)'!$D$23:$AL$23,MATCH(T$7,'Inputs (2)'!$D$2:$AL$2,0))</f>
        <v>0</v>
      </c>
      <c r="U170" s="25">
        <f>INDEX('Inputs (2)'!$D$23:$AL$23,MATCH(U$7,'Inputs (2)'!$D$2:$AL$2,0))</f>
        <v>0</v>
      </c>
      <c r="V170" s="25">
        <f>INDEX('Inputs (2)'!$D$23:$AL$23,MATCH(V$7,'Inputs (2)'!$D$2:$AL$2,0))</f>
        <v>0</v>
      </c>
      <c r="W170" s="3">
        <f>V170</f>
        <v>0</v>
      </c>
      <c r="X170" s="25">
        <f>INDEX('Inputs (2)'!$D$23:$AL$23,MATCH(X$7,'Inputs (2)'!$D$2:$AL$2,0))</f>
        <v>0</v>
      </c>
      <c r="Y170" s="25">
        <f>INDEX('Inputs (2)'!$D$23:$AL$23,MATCH(Y$7,'Inputs (2)'!$D$2:$AL$2,0))</f>
        <v>0</v>
      </c>
      <c r="Z170" s="25">
        <f>INDEX('Inputs (2)'!$D$23:$AL$23,MATCH(Z$7,'Inputs (2)'!$D$2:$AL$2,0))</f>
        <v>0</v>
      </c>
      <c r="AA170" s="25">
        <f>INDEX('Inputs (2)'!$D$23:$AL$23,MATCH(AA$7,'Inputs (2)'!$D$2:$AL$2,0))</f>
        <v>0</v>
      </c>
      <c r="AB170" s="3">
        <f>AA170</f>
        <v>0</v>
      </c>
      <c r="AC170" s="25">
        <f>INDEX('Inputs (2)'!$D$23:$AL$23,MATCH(AC$7,'Inputs (2)'!$D$2:$AL$2,0))</f>
        <v>0</v>
      </c>
      <c r="AD170" s="25">
        <f>INDEX('Inputs (2)'!$D$23:$AL$23,MATCH(AD$7,'Inputs (2)'!$D$2:$AL$2,0))</f>
        <v>0</v>
      </c>
      <c r="AE170" s="25">
        <f>INDEX('Inputs (2)'!$D$23:$AL$23,MATCH(AE$7,'Inputs (2)'!$D$2:$AL$2,0))</f>
        <v>0</v>
      </c>
      <c r="AF170" s="25">
        <f>INDEX('Inputs (2)'!$D$23:$AL$23,MATCH(AF$7,'Inputs (2)'!$D$2:$AL$2,0))</f>
        <v>0</v>
      </c>
      <c r="AG170" s="3">
        <f>AF170</f>
        <v>0</v>
      </c>
      <c r="AH170" s="3">
        <f>INDEX('Inputs (2)'!$D$23:$AL$23,MATCH(AH$7,'Inputs (2)'!$D$2:$AL$2,0))</f>
        <v>0</v>
      </c>
      <c r="AI170" s="3">
        <f>INDEX('Inputs (2)'!$D$23:$AL$23,MATCH(AI$7,'Inputs (2)'!$D$2:$AL$2,0))</f>
        <v>0</v>
      </c>
      <c r="AJ170" s="3">
        <f>AI170</f>
        <v>0</v>
      </c>
      <c r="AK170" s="3">
        <f>AJ170</f>
        <v>0</v>
      </c>
      <c r="AL170" s="3">
        <f>AK170</f>
        <v>0</v>
      </c>
      <c r="AM170" s="3">
        <f>AL170</f>
        <v>0</v>
      </c>
      <c r="AN170" s="3">
        <f>AM170</f>
        <v>0</v>
      </c>
      <c r="AO170" s="3">
        <f>AN170</f>
        <v>0</v>
      </c>
      <c r="AP170" s="3">
        <f>AO170</f>
        <v>0</v>
      </c>
      <c r="AQ170" s="3">
        <f>AP170</f>
        <v>0</v>
      </c>
      <c r="AR170" s="3">
        <f>AQ170</f>
        <v>0</v>
      </c>
      <c r="AS170" s="3">
        <f>AR170</f>
        <v>0</v>
      </c>
      <c r="AT170" s="3">
        <f>AS170</f>
        <v>0</v>
      </c>
      <c r="AU170" s="3">
        <f>AT170</f>
        <v>0</v>
      </c>
      <c r="AV170" s="3">
        <f>AU170</f>
        <v>0</v>
      </c>
      <c r="AW170" s="3">
        <f>AV170</f>
        <v>0</v>
      </c>
      <c r="AX170" s="3">
        <f>AW170</f>
        <v>0</v>
      </c>
      <c r="AY170" s="3">
        <f>AX170</f>
        <v>0</v>
      </c>
      <c r="AZ170" s="3">
        <f>AY170</f>
        <v>0</v>
      </c>
      <c r="BA170" s="3">
        <f>AZ170</f>
        <v>0</v>
      </c>
      <c r="BB170" s="3">
        <f>BA170</f>
        <v>0</v>
      </c>
      <c r="BC170" s="3">
        <f>BB170</f>
        <v>0</v>
      </c>
      <c r="BD170" s="3">
        <f>BC170</f>
        <v>0</v>
      </c>
      <c r="BE170" s="3">
        <f>BD170</f>
        <v>0</v>
      </c>
      <c r="BF170" s="3">
        <f>BE170</f>
        <v>0</v>
      </c>
      <c r="BG170" s="3">
        <f>BF170</f>
        <v>0</v>
      </c>
      <c r="BH170" s="3">
        <f>BG170</f>
        <v>0</v>
      </c>
      <c r="BI170" s="3">
        <f>BH170</f>
        <v>0</v>
      </c>
      <c r="BJ170" s="3">
        <f>BI170</f>
        <v>0</v>
      </c>
      <c r="BK170" s="3">
        <f>BJ170</f>
        <v>0</v>
      </c>
      <c r="BL170" s="3">
        <f>BK170</f>
        <v>0</v>
      </c>
      <c r="BM170" s="3">
        <f>BL170</f>
        <v>0</v>
      </c>
      <c r="BN170" s="3">
        <f>BM170</f>
        <v>0</v>
      </c>
      <c r="BO170" s="3">
        <f>BN170</f>
        <v>0</v>
      </c>
      <c r="BP170" s="3">
        <f>BO170</f>
        <v>0</v>
      </c>
      <c r="BQ170" s="3">
        <f>BP170</f>
        <v>0</v>
      </c>
      <c r="BR170" s="3">
        <f>BQ170</f>
        <v>0</v>
      </c>
      <c r="BS170" s="3">
        <f>BR170</f>
        <v>0</v>
      </c>
      <c r="BT170" s="3">
        <f>BS170</f>
        <v>0</v>
      </c>
      <c r="BU170" s="3">
        <f>BT170</f>
        <v>0</v>
      </c>
      <c r="BV170" s="3">
        <f>BU170</f>
        <v>0</v>
      </c>
      <c r="BW170" s="3">
        <f>BV170</f>
        <v>0</v>
      </c>
      <c r="BX170" s="3">
        <f>BW170</f>
        <v>0</v>
      </c>
      <c r="BY170" s="3">
        <f>BX170</f>
        <v>0</v>
      </c>
      <c r="BZ170" s="3">
        <f>BY170</f>
        <v>0</v>
      </c>
      <c r="CA170" s="3">
        <f>BZ170</f>
        <v>0</v>
      </c>
      <c r="CB170" s="3">
        <f>CA170</f>
        <v>0</v>
      </c>
      <c r="CC170" s="3">
        <f>CB170</f>
        <v>0</v>
      </c>
      <c r="CD170" s="3">
        <f>CC170</f>
        <v>0</v>
      </c>
      <c r="CE170" s="3">
        <f>CD170</f>
        <v>0</v>
      </c>
      <c r="CF170" s="3">
        <f>CE170</f>
        <v>0</v>
      </c>
      <c r="CG170" s="3">
        <f>CF170</f>
        <v>0</v>
      </c>
      <c r="CH170" s="3">
        <f>CG170</f>
        <v>0</v>
      </c>
      <c r="CI170" s="3">
        <f>CH170</f>
        <v>0</v>
      </c>
      <c r="CJ170" s="3">
        <f>CI170</f>
        <v>0</v>
      </c>
      <c r="CK170" s="3">
        <f>CJ170</f>
        <v>0</v>
      </c>
      <c r="CL170" s="3">
        <f>CK170</f>
        <v>0</v>
      </c>
      <c r="CM170" s="3">
        <f>CL170</f>
        <v>0</v>
      </c>
      <c r="CN170" s="3">
        <f>CM170</f>
        <v>0</v>
      </c>
      <c r="CO170" s="3">
        <f>CN170</f>
        <v>0</v>
      </c>
      <c r="CP170" s="3">
        <f>CO170</f>
        <v>0</v>
      </c>
      <c r="CQ170" s="3">
        <f>CP170</f>
        <v>0</v>
      </c>
      <c r="CR170" s="3">
        <f>CQ170</f>
        <v>0</v>
      </c>
      <c r="CS170" s="3">
        <f>CR170</f>
        <v>0</v>
      </c>
      <c r="CT170" s="3">
        <f>CS170</f>
        <v>0</v>
      </c>
      <c r="CU170" s="3">
        <f>CT170</f>
        <v>0</v>
      </c>
      <c r="CV170" s="3">
        <f>CU170</f>
        <v>0</v>
      </c>
      <c r="CW170" s="3">
        <f>CV170</f>
        <v>0</v>
      </c>
      <c r="CX170" s="3">
        <f>CW170</f>
        <v>0</v>
      </c>
      <c r="CY170" s="3">
        <f>CX170</f>
        <v>0</v>
      </c>
    </row>
    <row r="171" hidden="1" outlineLevel="1">
      <c r="C171" s="38" t="inlineStr">
        <is>
          <t>%(Var.)</t>
        </is>
      </c>
      <c r="D171" s="3" t="n"/>
      <c r="E171" s="47">
        <f>IFERROR((E170-D170)/D170,0)</f>
        <v>0</v>
      </c>
      <c r="F171" s="47">
        <f>IFERROR((F170-E170)/E170,0)</f>
        <v>0</v>
      </c>
      <c r="G171" s="47">
        <f>IFERROR((G170-F170)/F170,0)</f>
        <v>0</v>
      </c>
      <c r="H171" s="3" t="n"/>
      <c r="I171" s="47">
        <f>IFERROR((I170-H170)/H170,0)</f>
        <v>0</v>
      </c>
      <c r="J171" s="47">
        <f>IFERROR((J170-I170)/I170,0)</f>
        <v>0</v>
      </c>
      <c r="K171" s="47">
        <f>IFERROR((K170-J170)/J170,0)</f>
        <v>0</v>
      </c>
      <c r="L171" s="47">
        <f>IFERROR((L170-K170)/K170,0)</f>
        <v>0</v>
      </c>
      <c r="M171" s="3" t="n"/>
      <c r="N171" s="47">
        <f>IFERROR((N170-M170)/M170,0)</f>
        <v>0</v>
      </c>
      <c r="O171" s="47">
        <f>IFERROR((O170-N170)/N170,0)</f>
        <v>0</v>
      </c>
      <c r="P171" s="47">
        <f>IFERROR((P170-O170)/O170,0)</f>
        <v>0</v>
      </c>
      <c r="Q171" s="47">
        <f>IFERROR((Q170-P170)/P170,0)</f>
        <v>0</v>
      </c>
      <c r="R171" s="3" t="n"/>
      <c r="S171" s="47">
        <f>IFERROR((S170-R170)/R170,0)</f>
        <v>0</v>
      </c>
      <c r="T171" s="47">
        <f>IFERROR((T170-S170)/S170,0)</f>
        <v>0</v>
      </c>
      <c r="U171" s="47">
        <f>IFERROR((U170-T170)/T170,0)</f>
        <v>0</v>
      </c>
      <c r="V171" s="47">
        <f>IFERROR((V170-U170)/U170,0)</f>
        <v>0</v>
      </c>
      <c r="W171" s="3" t="n"/>
      <c r="X171" s="47">
        <f>IFERROR((X170-W170)/W170,0)</f>
        <v>0</v>
      </c>
      <c r="Y171" s="47">
        <f>IFERROR((Y170-X170)/X170,0)</f>
        <v>0</v>
      </c>
      <c r="Z171" s="47">
        <f>IFERROR((Z170-Y170)/Y170,0)</f>
        <v>0</v>
      </c>
      <c r="AA171" s="47">
        <f>IFERROR((AA170-Z170)/Z170,0)</f>
        <v>0</v>
      </c>
      <c r="AB171" s="3" t="n"/>
      <c r="AC171" s="47">
        <f>IFERROR((AC170-AB170)/AB170,0)</f>
        <v>0</v>
      </c>
      <c r="AD171" s="47">
        <f>IFERROR((AD170-AC170)/AC170,0)</f>
        <v>0</v>
      </c>
      <c r="AE171" s="47">
        <f>IFERROR((AE170-AD170)/AD170,0)</f>
        <v>0</v>
      </c>
      <c r="AF171" s="218">
        <f>IFERROR((AF170-AE170)/AE170,0)</f>
        <v>0</v>
      </c>
      <c r="AG171" s="3" t="n"/>
      <c r="AH171" s="218">
        <f>IFERROR((AH170-AG170)/AG170,0)</f>
        <v>0</v>
      </c>
      <c r="AI171" s="218">
        <f>IFERROR((AI170-AH170)/AH170,0)</f>
        <v>0</v>
      </c>
      <c r="AJ171" s="218" t="n"/>
      <c r="AK171" s="218" t="n"/>
      <c r="AL171" s="3" t="n"/>
      <c r="AM171" s="218" t="n"/>
      <c r="AN171" s="218" t="n"/>
      <c r="AO171" s="218" t="n"/>
      <c r="AP171" s="218" t="n"/>
      <c r="AQ171" s="3" t="n"/>
      <c r="AR171" s="218" t="n"/>
      <c r="AS171" s="218" t="n"/>
      <c r="AT171" s="218" t="n"/>
      <c r="AU171" s="218" t="n"/>
      <c r="AV171" s="3" t="n"/>
      <c r="AW171" s="218" t="n"/>
      <c r="AX171" s="218" t="n"/>
      <c r="AY171" s="218" t="n"/>
      <c r="AZ171" s="218" t="n"/>
      <c r="BA171" s="3" t="n"/>
      <c r="BB171" s="218" t="n"/>
      <c r="BC171" s="218" t="n"/>
      <c r="BD171" s="218" t="n"/>
      <c r="BE171" s="218" t="n"/>
      <c r="BF171" s="3" t="n"/>
      <c r="BG171" s="218" t="n"/>
      <c r="BH171" s="218" t="n"/>
      <c r="BI171" s="218" t="n"/>
      <c r="BJ171" s="218" t="n"/>
      <c r="BK171" s="3" t="n"/>
      <c r="BL171" s="218" t="n"/>
      <c r="BM171" s="218" t="n"/>
      <c r="BN171" s="218" t="n"/>
      <c r="BO171" s="218" t="n"/>
      <c r="BP171" s="3" t="n"/>
      <c r="BQ171" s="218" t="n"/>
      <c r="BR171" s="218" t="n"/>
      <c r="BS171" s="218" t="n"/>
      <c r="BT171" s="218" t="n"/>
      <c r="BU171" s="3" t="n"/>
      <c r="BV171" s="218" t="n"/>
      <c r="BW171" s="218" t="n"/>
      <c r="BX171" s="218" t="n"/>
      <c r="BY171" s="218" t="n"/>
      <c r="BZ171" s="3" t="n"/>
      <c r="CA171" s="218" t="n"/>
      <c r="CB171" s="218" t="n"/>
      <c r="CC171" s="218" t="n"/>
      <c r="CD171" s="218" t="n"/>
      <c r="CE171" s="3" t="n"/>
      <c r="CF171" s="218" t="n"/>
      <c r="CG171" s="218" t="n"/>
      <c r="CH171" s="218" t="n"/>
      <c r="CI171" s="218" t="n"/>
      <c r="CJ171" s="3" t="n"/>
      <c r="CK171" s="218" t="n"/>
      <c r="CL171" s="218" t="n"/>
      <c r="CM171" s="218" t="n"/>
      <c r="CN171" s="218" t="n"/>
      <c r="CO171" s="3" t="n"/>
      <c r="CP171" s="218" t="n"/>
      <c r="CQ171" s="218" t="n"/>
      <c r="CR171" s="218" t="n"/>
      <c r="CS171" s="218" t="n"/>
      <c r="CT171" s="3" t="n"/>
      <c r="CU171" s="218" t="n"/>
      <c r="CV171" s="218" t="n"/>
      <c r="CW171" s="218" t="n"/>
      <c r="CX171" s="218" t="n"/>
      <c r="CY171" s="3" t="n"/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collapsed="1">
      <c r="C173" s="26" t="inlineStr">
        <is>
          <t>Goodwill</t>
        </is>
      </c>
      <c r="D173" s="25">
        <f>INDEX('Inputs (2)'!$D$24:$AL$24,MATCH(D$7,'Inputs (2)'!$D$2:$AL$2,0))</f>
        <v>0</v>
      </c>
      <c r="E173" s="25">
        <f>INDEX('Inputs (2)'!$D$24:$AL$24,MATCH(E$7,'Inputs (2)'!$D$2:$AL$2,0))</f>
        <v>0</v>
      </c>
      <c r="F173" s="25">
        <f>INDEX('Inputs (2)'!$D$24:$AL$24,MATCH(F$7,'Inputs (2)'!$D$2:$AL$2,0))</f>
        <v>0</v>
      </c>
      <c r="G173" s="25">
        <f>INDEX('Inputs (2)'!$D$24:$AL$24,MATCH(G$7,'Inputs (2)'!$D$2:$AL$2,0))</f>
        <v>0</v>
      </c>
      <c r="H173" s="3">
        <f>G173</f>
        <v>0</v>
      </c>
      <c r="I173" s="25">
        <f>INDEX('Inputs (2)'!$D$24:$AL$24,MATCH(I$7,'Inputs (2)'!$D$2:$AL$2,0))</f>
        <v>0</v>
      </c>
      <c r="J173" s="25">
        <f>INDEX('Inputs (2)'!$D$24:$AL$24,MATCH(J$7,'Inputs (2)'!$D$2:$AL$2,0))</f>
        <v>0</v>
      </c>
      <c r="K173" s="25">
        <f>INDEX('Inputs (2)'!$D$24:$AL$24,MATCH(K$7,'Inputs (2)'!$D$2:$AL$2,0))</f>
        <v>0</v>
      </c>
      <c r="L173" s="25">
        <f>INDEX('Inputs (2)'!$D$24:$AL$24,MATCH(L$7,'Inputs (2)'!$D$2:$AL$2,0))</f>
        <v>0</v>
      </c>
      <c r="M173" s="3">
        <f>L173</f>
        <v>0</v>
      </c>
      <c r="N173" s="25">
        <f>INDEX('Inputs (2)'!$D$24:$AL$24,MATCH(N$7,'Inputs (2)'!$D$2:$AL$2,0))</f>
        <v>0</v>
      </c>
      <c r="O173" s="25">
        <f>INDEX('Inputs (2)'!$D$24:$AL$24,MATCH(O$7,'Inputs (2)'!$D$2:$AL$2,0))</f>
        <v>0</v>
      </c>
      <c r="P173" s="25">
        <f>INDEX('Inputs (2)'!$D$24:$AL$24,MATCH(P$7,'Inputs (2)'!$D$2:$AL$2,0))</f>
        <v>0</v>
      </c>
      <c r="Q173" s="25">
        <f>INDEX('Inputs (2)'!$D$24:$AL$24,MATCH(Q$7,'Inputs (2)'!$D$2:$AL$2,0))</f>
        <v>0</v>
      </c>
      <c r="R173" s="3">
        <f>Q173</f>
        <v>0</v>
      </c>
      <c r="S173" s="25">
        <f>INDEX('Inputs (2)'!$D$24:$AL$24,MATCH(S$7,'Inputs (2)'!$D$2:$AL$2,0))</f>
        <v>0</v>
      </c>
      <c r="T173" s="25">
        <f>INDEX('Inputs (2)'!$D$24:$AL$24,MATCH(T$7,'Inputs (2)'!$D$2:$AL$2,0))</f>
        <v>0</v>
      </c>
      <c r="U173" s="25">
        <f>INDEX('Inputs (2)'!$D$24:$AL$24,MATCH(U$7,'Inputs (2)'!$D$2:$AL$2,0))</f>
        <v>0</v>
      </c>
      <c r="V173" s="25">
        <f>INDEX('Inputs (2)'!$D$24:$AL$24,MATCH(V$7,'Inputs (2)'!$D$2:$AL$2,0))</f>
        <v>0</v>
      </c>
      <c r="W173" s="3">
        <f>V173</f>
        <v>0</v>
      </c>
      <c r="X173" s="25">
        <f>INDEX('Inputs (2)'!$D$24:$AL$24,MATCH(X$7,'Inputs (2)'!$D$2:$AL$2,0))</f>
        <v>0</v>
      </c>
      <c r="Y173" s="25">
        <f>INDEX('Inputs (2)'!$D$24:$AL$24,MATCH(Y$7,'Inputs (2)'!$D$2:$AL$2,0))</f>
        <v>0</v>
      </c>
      <c r="Z173" s="25">
        <f>INDEX('Inputs (2)'!$D$24:$AL$24,MATCH(Z$7,'Inputs (2)'!$D$2:$AL$2,0))</f>
        <v>0</v>
      </c>
      <c r="AA173" s="25">
        <f>INDEX('Inputs (2)'!$D$24:$AL$24,MATCH(AA$7,'Inputs (2)'!$D$2:$AL$2,0))</f>
        <v>0</v>
      </c>
      <c r="AB173" s="3">
        <f>AA173</f>
        <v>0</v>
      </c>
      <c r="AC173" s="25">
        <f>INDEX('Inputs (2)'!$D$24:$AL$24,MATCH(AC$7,'Inputs (2)'!$D$2:$AL$2,0))</f>
        <v>0</v>
      </c>
      <c r="AD173" s="25">
        <f>INDEX('Inputs (2)'!$D$24:$AL$24,MATCH(AD$7,'Inputs (2)'!$D$2:$AL$2,0))</f>
        <v>0</v>
      </c>
      <c r="AE173" s="25">
        <f>INDEX('Inputs (2)'!$D$24:$AL$24,MATCH(AE$7,'Inputs (2)'!$D$2:$AL$2,0))</f>
        <v>0</v>
      </c>
      <c r="AF173" s="25">
        <f>INDEX('Inputs (2)'!$D$24:$AL$24,MATCH(AF$7,'Inputs (2)'!$D$2:$AL$2,0))</f>
        <v>0</v>
      </c>
      <c r="AG173" s="3">
        <f>AF173</f>
        <v>0</v>
      </c>
      <c r="AH173" s="3">
        <f>INDEX('Inputs (2)'!$D$24:$AL$24,MATCH(AH$7,'Inputs (2)'!$D$2:$AL$2,0))</f>
        <v>0</v>
      </c>
      <c r="AI173" s="3">
        <f>INDEX('Inputs (2)'!$D$24:$AL$24,MATCH(AI$7,'Inputs (2)'!$D$2:$AL$2,0))</f>
        <v>0</v>
      </c>
      <c r="AJ173" s="3">
        <f>AI173</f>
        <v>0</v>
      </c>
      <c r="AK173" s="3">
        <f>AJ173</f>
        <v>0</v>
      </c>
      <c r="AL173" s="3">
        <f>AK173</f>
        <v>0</v>
      </c>
      <c r="AM173" s="3">
        <f>AL173</f>
        <v>0</v>
      </c>
      <c r="AN173" s="3">
        <f>AM173</f>
        <v>0</v>
      </c>
      <c r="AO173" s="3">
        <f>AN173</f>
        <v>0</v>
      </c>
      <c r="AP173" s="3">
        <f>AO173</f>
        <v>0</v>
      </c>
      <c r="AQ173" s="3">
        <f>AP173</f>
        <v>0</v>
      </c>
      <c r="AR173" s="3">
        <f>AQ173</f>
        <v>0</v>
      </c>
      <c r="AS173" s="3">
        <f>AR173</f>
        <v>0</v>
      </c>
      <c r="AT173" s="3">
        <f>AS173</f>
        <v>0</v>
      </c>
      <c r="AU173" s="3">
        <f>AT173</f>
        <v>0</v>
      </c>
      <c r="AV173" s="3">
        <f>AU173</f>
        <v>0</v>
      </c>
      <c r="AW173" s="3">
        <f>AV173</f>
        <v>0</v>
      </c>
      <c r="AX173" s="3">
        <f>AW173</f>
        <v>0</v>
      </c>
      <c r="AY173" s="3">
        <f>AX173</f>
        <v>0</v>
      </c>
      <c r="AZ173" s="3">
        <f>AY173</f>
        <v>0</v>
      </c>
      <c r="BA173" s="3">
        <f>AZ173</f>
        <v>0</v>
      </c>
      <c r="BB173" s="3">
        <f>BA173</f>
        <v>0</v>
      </c>
      <c r="BC173" s="3">
        <f>BB173</f>
        <v>0</v>
      </c>
      <c r="BD173" s="3">
        <f>BC173</f>
        <v>0</v>
      </c>
      <c r="BE173" s="3">
        <f>BD173</f>
        <v>0</v>
      </c>
      <c r="BF173" s="3">
        <f>BE173</f>
        <v>0</v>
      </c>
      <c r="BG173" s="3">
        <f>BF173</f>
        <v>0</v>
      </c>
      <c r="BH173" s="3">
        <f>BG173</f>
        <v>0</v>
      </c>
      <c r="BI173" s="3">
        <f>BH173</f>
        <v>0</v>
      </c>
      <c r="BJ173" s="3">
        <f>BI173</f>
        <v>0</v>
      </c>
      <c r="BK173" s="3">
        <f>BJ173</f>
        <v>0</v>
      </c>
      <c r="BL173" s="3">
        <f>BK173</f>
        <v>0</v>
      </c>
      <c r="BM173" s="3">
        <f>BL173</f>
        <v>0</v>
      </c>
      <c r="BN173" s="3">
        <f>BM173</f>
        <v>0</v>
      </c>
      <c r="BO173" s="3">
        <f>BN173</f>
        <v>0</v>
      </c>
      <c r="BP173" s="3">
        <f>BO173</f>
        <v>0</v>
      </c>
      <c r="BQ173" s="3">
        <f>BP173</f>
        <v>0</v>
      </c>
      <c r="BR173" s="3">
        <f>BQ173</f>
        <v>0</v>
      </c>
      <c r="BS173" s="3">
        <f>BR173</f>
        <v>0</v>
      </c>
      <c r="BT173" s="3">
        <f>BS173</f>
        <v>0</v>
      </c>
      <c r="BU173" s="3">
        <f>BT173</f>
        <v>0</v>
      </c>
      <c r="BV173" s="3">
        <f>BU173</f>
        <v>0</v>
      </c>
      <c r="BW173" s="3">
        <f>BV173</f>
        <v>0</v>
      </c>
      <c r="BX173" s="3">
        <f>BW173</f>
        <v>0</v>
      </c>
      <c r="BY173" s="3">
        <f>BX173</f>
        <v>0</v>
      </c>
      <c r="BZ173" s="3">
        <f>BY173</f>
        <v>0</v>
      </c>
      <c r="CA173" s="3">
        <f>BZ173</f>
        <v>0</v>
      </c>
      <c r="CB173" s="3">
        <f>CA173</f>
        <v>0</v>
      </c>
      <c r="CC173" s="3">
        <f>CB173</f>
        <v>0</v>
      </c>
      <c r="CD173" s="3">
        <f>CC173</f>
        <v>0</v>
      </c>
      <c r="CE173" s="3">
        <f>CD173</f>
        <v>0</v>
      </c>
      <c r="CF173" s="3">
        <f>CE173</f>
        <v>0</v>
      </c>
      <c r="CG173" s="3">
        <f>CF173</f>
        <v>0</v>
      </c>
      <c r="CH173" s="3">
        <f>CG173</f>
        <v>0</v>
      </c>
      <c r="CI173" s="3">
        <f>CH173</f>
        <v>0</v>
      </c>
      <c r="CJ173" s="3">
        <f>CI173</f>
        <v>0</v>
      </c>
      <c r="CK173" s="3">
        <f>CJ173</f>
        <v>0</v>
      </c>
      <c r="CL173" s="3">
        <f>CK173</f>
        <v>0</v>
      </c>
      <c r="CM173" s="3">
        <f>CL173</f>
        <v>0</v>
      </c>
      <c r="CN173" s="3">
        <f>CM173</f>
        <v>0</v>
      </c>
      <c r="CO173" s="3">
        <f>CN173</f>
        <v>0</v>
      </c>
      <c r="CP173" s="3">
        <f>CO173</f>
        <v>0</v>
      </c>
      <c r="CQ173" s="3">
        <f>CP173</f>
        <v>0</v>
      </c>
      <c r="CR173" s="3">
        <f>CQ173</f>
        <v>0</v>
      </c>
      <c r="CS173" s="3">
        <f>CR173</f>
        <v>0</v>
      </c>
      <c r="CT173" s="3">
        <f>CS173</f>
        <v>0</v>
      </c>
      <c r="CU173" s="3">
        <f>CT173</f>
        <v>0</v>
      </c>
      <c r="CV173" s="3">
        <f>CU173</f>
        <v>0</v>
      </c>
      <c r="CW173" s="3">
        <f>CV173</f>
        <v>0</v>
      </c>
      <c r="CX173" s="3">
        <f>CW173</f>
        <v>0</v>
      </c>
      <c r="CY173" s="3">
        <f>CX173</f>
        <v>0</v>
      </c>
    </row>
    <row r="174">
      <c r="C174" s="26" t="inlineStr">
        <is>
          <t>Intangibles</t>
        </is>
      </c>
      <c r="D174" s="25">
        <f>INDEX('Inputs (2)'!$D$25:$AL$25,MATCH(D$7,'Inputs (2)'!$D$2:$AL$2,0))</f>
        <v>0</v>
      </c>
      <c r="E174" s="25">
        <f>INDEX('Inputs (2)'!$D$25:$AL$25,MATCH(E$7,'Inputs (2)'!$D$2:$AL$2,0))</f>
        <v>0</v>
      </c>
      <c r="F174" s="25">
        <f>INDEX('Inputs (2)'!$D$25:$AL$25,MATCH(F$7,'Inputs (2)'!$D$2:$AL$2,0))</f>
        <v>0</v>
      </c>
      <c r="G174" s="25">
        <f>INDEX('Inputs (2)'!$D$25:$AL$25,MATCH(G$7,'Inputs (2)'!$D$2:$AL$2,0))</f>
        <v>0</v>
      </c>
      <c r="H174" s="3">
        <f>G174</f>
        <v>0</v>
      </c>
      <c r="I174" s="25">
        <f>INDEX('Inputs (2)'!$D$25:$AL$25,MATCH(I$7,'Inputs (2)'!$D$2:$AL$2,0))</f>
        <v>0</v>
      </c>
      <c r="J174" s="25">
        <f>INDEX('Inputs (2)'!$D$25:$AL$25,MATCH(J$7,'Inputs (2)'!$D$2:$AL$2,0))</f>
        <v>0</v>
      </c>
      <c r="K174" s="25">
        <f>INDEX('Inputs (2)'!$D$25:$AL$25,MATCH(K$7,'Inputs (2)'!$D$2:$AL$2,0))</f>
        <v>0</v>
      </c>
      <c r="L174" s="25">
        <f>INDEX('Inputs (2)'!$D$25:$AL$25,MATCH(L$7,'Inputs (2)'!$D$2:$AL$2,0))</f>
        <v>0</v>
      </c>
      <c r="M174" s="3">
        <f>L174</f>
        <v>0</v>
      </c>
      <c r="N174" s="25">
        <f>INDEX('Inputs (2)'!$D$25:$AL$25,MATCH(N$7,'Inputs (2)'!$D$2:$AL$2,0))</f>
        <v>0</v>
      </c>
      <c r="O174" s="25">
        <f>INDEX('Inputs (2)'!$D$25:$AL$25,MATCH(O$7,'Inputs (2)'!$D$2:$AL$2,0))</f>
        <v>0</v>
      </c>
      <c r="P174" s="25">
        <f>INDEX('Inputs (2)'!$D$25:$AL$25,MATCH(P$7,'Inputs (2)'!$D$2:$AL$2,0))</f>
        <v>0</v>
      </c>
      <c r="Q174" s="25">
        <f>INDEX('Inputs (2)'!$D$25:$AL$25,MATCH(Q$7,'Inputs (2)'!$D$2:$AL$2,0))</f>
        <v>0</v>
      </c>
      <c r="R174" s="3">
        <f>Q174</f>
        <v>0</v>
      </c>
      <c r="S174" s="25">
        <f>INDEX('Inputs (2)'!$D$25:$AL$25,MATCH(S$7,'Inputs (2)'!$D$2:$AL$2,0))</f>
        <v>0</v>
      </c>
      <c r="T174" s="25">
        <f>INDEX('Inputs (2)'!$D$25:$AL$25,MATCH(T$7,'Inputs (2)'!$D$2:$AL$2,0))</f>
        <v>0</v>
      </c>
      <c r="U174" s="25">
        <f>INDEX('Inputs (2)'!$D$25:$AL$25,MATCH(U$7,'Inputs (2)'!$D$2:$AL$2,0))</f>
        <v>0</v>
      </c>
      <c r="V174" s="25">
        <f>INDEX('Inputs (2)'!$D$25:$AL$25,MATCH(V$7,'Inputs (2)'!$D$2:$AL$2,0))</f>
        <v>0</v>
      </c>
      <c r="W174" s="3">
        <f>V174</f>
        <v>0</v>
      </c>
      <c r="X174" s="25">
        <f>INDEX('Inputs (2)'!$D$25:$AL$25,MATCH(X$7,'Inputs (2)'!$D$2:$AL$2,0))</f>
        <v>0</v>
      </c>
      <c r="Y174" s="25">
        <f>INDEX('Inputs (2)'!$D$25:$AL$25,MATCH(Y$7,'Inputs (2)'!$D$2:$AL$2,0))</f>
        <v>0</v>
      </c>
      <c r="Z174" s="25">
        <f>INDEX('Inputs (2)'!$D$25:$AL$25,MATCH(Z$7,'Inputs (2)'!$D$2:$AL$2,0))</f>
        <v>0</v>
      </c>
      <c r="AA174" s="25">
        <f>INDEX('Inputs (2)'!$D$25:$AL$25,MATCH(AA$7,'Inputs (2)'!$D$2:$AL$2,0))</f>
        <v>0</v>
      </c>
      <c r="AB174" s="3">
        <f>AA174</f>
        <v>0</v>
      </c>
      <c r="AC174" s="25">
        <f>INDEX('Inputs (2)'!$D$25:$AL$25,MATCH(AC$7,'Inputs (2)'!$D$2:$AL$2,0))</f>
        <v>0</v>
      </c>
      <c r="AD174" s="25">
        <f>INDEX('Inputs (2)'!$D$25:$AL$25,MATCH(AD$7,'Inputs (2)'!$D$2:$AL$2,0))</f>
        <v>0</v>
      </c>
      <c r="AE174" s="25">
        <f>INDEX('Inputs (2)'!$D$25:$AL$25,MATCH(AE$7,'Inputs (2)'!$D$2:$AL$2,0))</f>
        <v>0</v>
      </c>
      <c r="AF174" s="25">
        <f>INDEX('Inputs (2)'!$D$25:$AL$25,MATCH(AF$7,'Inputs (2)'!$D$2:$AL$2,0))</f>
        <v>0</v>
      </c>
      <c r="AG174" s="3">
        <f>AF174</f>
        <v>0</v>
      </c>
      <c r="AH174" s="3">
        <f>INDEX('Inputs (2)'!$D$25:$AL$25,MATCH(AH$7,'Inputs (2)'!$D$2:$AL$2,0))</f>
        <v>0</v>
      </c>
      <c r="AI174" s="3">
        <f>INDEX('Inputs (2)'!$D$25:$AL$25,MATCH(AI$7,'Inputs (2)'!$D$2:$AL$2,0))</f>
        <v>0</v>
      </c>
      <c r="AJ174" s="3" t="n"/>
      <c r="AK174" s="3" t="n"/>
      <c r="AL174" s="3">
        <f>AK174</f>
        <v>0</v>
      </c>
      <c r="AN174" s="3" t="n"/>
      <c r="AO174" s="3" t="n"/>
      <c r="AP174" s="3" t="n"/>
      <c r="AQ174" s="3">
        <f>AP174</f>
        <v>0</v>
      </c>
      <c r="AS174" s="3" t="n"/>
      <c r="AT174" s="3" t="n"/>
      <c r="AU174" s="3" t="n"/>
      <c r="AV174" s="3">
        <f>AU174</f>
        <v>0</v>
      </c>
      <c r="AX174" s="3" t="n"/>
      <c r="AY174" s="3" t="n"/>
      <c r="AZ174" s="3" t="n"/>
      <c r="BA174" s="3">
        <f>AZ174</f>
        <v>0</v>
      </c>
      <c r="BC174" s="3" t="n"/>
      <c r="BD174" s="3" t="n"/>
      <c r="BE174" s="3" t="n"/>
      <c r="BF174" s="3">
        <f>BE174</f>
        <v>0</v>
      </c>
      <c r="BH174" s="3" t="n"/>
      <c r="BI174" s="3" t="n"/>
      <c r="BJ174" s="3" t="n"/>
      <c r="BK174" s="3">
        <f>BJ174</f>
        <v>0</v>
      </c>
      <c r="BM174" s="3" t="n"/>
      <c r="BN174" s="3" t="n"/>
      <c r="BO174" s="3" t="n"/>
      <c r="BP174" s="3">
        <f>BO174</f>
        <v>0</v>
      </c>
      <c r="BR174" s="3" t="n"/>
      <c r="BS174" s="3" t="n"/>
      <c r="BT174" s="3" t="n"/>
      <c r="BU174" s="3">
        <f>BT174</f>
        <v>0</v>
      </c>
      <c r="BW174" s="3" t="n"/>
      <c r="BX174" s="3" t="n"/>
      <c r="BY174" s="3" t="n"/>
      <c r="BZ174" s="3">
        <f>BY174</f>
        <v>0</v>
      </c>
      <c r="CB174" s="3" t="n"/>
      <c r="CC174" s="3" t="n"/>
      <c r="CD174" s="3" t="n"/>
      <c r="CE174" s="3">
        <f>CD174</f>
        <v>0</v>
      </c>
      <c r="CG174" s="3" t="n"/>
      <c r="CH174" s="3" t="n"/>
      <c r="CI174" s="3" t="n"/>
      <c r="CJ174" s="3">
        <f>CI174</f>
        <v>0</v>
      </c>
      <c r="CL174" s="3" t="n"/>
      <c r="CM174" s="3" t="n"/>
      <c r="CN174" s="3" t="n"/>
      <c r="CO174" s="3">
        <f>CN174</f>
        <v>0</v>
      </c>
      <c r="CQ174" s="3" t="n"/>
      <c r="CR174" s="3" t="n"/>
      <c r="CS174" s="3" t="n"/>
      <c r="CT174" s="3">
        <f>CS174</f>
        <v>0</v>
      </c>
      <c r="CV174" s="3" t="n"/>
      <c r="CW174" s="3" t="n"/>
      <c r="CX174" s="3" t="n"/>
      <c r="CY174" s="3">
        <f>CX174</f>
        <v>0</v>
      </c>
    </row>
    <row r="175" hidden="1" outlineLevel="1">
      <c r="C175" s="3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hidden="1" outlineLevel="1">
      <c r="C176" s="34" t="inlineStr">
        <is>
          <t>Purchase of intangible assets</t>
        </is>
      </c>
      <c r="D176" s="3" t="n"/>
      <c r="E176" s="3">
        <f>E174-D174-E78</f>
        <v>0</v>
      </c>
      <c r="F176" s="3">
        <f>F174-E174-F78</f>
        <v>0</v>
      </c>
      <c r="G176" s="3">
        <f>G174-F174-G78</f>
        <v>0</v>
      </c>
      <c r="H176" s="3" t="n"/>
      <c r="I176" s="3">
        <f>I174-H174-I78</f>
        <v>0</v>
      </c>
      <c r="J176" s="3">
        <f>J174-I174-J78</f>
        <v>0</v>
      </c>
      <c r="K176" s="3">
        <f>K174-J174-K78</f>
        <v>0</v>
      </c>
      <c r="L176" s="3">
        <f>L174-K174-L78</f>
        <v>0</v>
      </c>
      <c r="M176" s="3" t="n"/>
      <c r="N176" s="3">
        <f>N174-M174-N78</f>
        <v>0</v>
      </c>
      <c r="O176" s="3">
        <f>O174-N174-O78</f>
        <v>0</v>
      </c>
      <c r="P176" s="3">
        <f>P174-O174-P78</f>
        <v>0</v>
      </c>
      <c r="Q176" s="3">
        <f>Q174-P174-Q78</f>
        <v>0</v>
      </c>
      <c r="R176" s="3" t="n"/>
      <c r="S176" s="3">
        <f>S174-R174-S78</f>
        <v>0</v>
      </c>
      <c r="T176" s="3">
        <f>T174-S174-T78</f>
        <v>0</v>
      </c>
      <c r="U176" s="3">
        <f>U174-T174-U78</f>
        <v>0</v>
      </c>
      <c r="V176" s="3">
        <f>V174-U174-V78</f>
        <v>0</v>
      </c>
      <c r="W176" s="3" t="n"/>
      <c r="X176" s="3">
        <f>X174-W174-X78</f>
        <v>0</v>
      </c>
      <c r="Y176" s="3">
        <f>Y174-X174-Y78</f>
        <v>0</v>
      </c>
      <c r="Z176" s="3">
        <f>Z174-Y174-Z78</f>
        <v>0</v>
      </c>
      <c r="AA176" s="3">
        <f>AA174-Z174-AA78</f>
        <v>0</v>
      </c>
      <c r="AB176" s="3" t="n"/>
      <c r="AC176" s="3">
        <f>AC174-AB174-AC78</f>
        <v>0</v>
      </c>
      <c r="AD176" s="3">
        <f>AD174-AC174-AD78</f>
        <v>0</v>
      </c>
      <c r="AE176" s="3">
        <f>AE174-AD174-AE78</f>
        <v>0</v>
      </c>
      <c r="AF176" s="3" t="n"/>
      <c r="AG176" s="3" t="n"/>
      <c r="AH176" s="6">
        <f>AH174-AG174-AH78</f>
        <v>0</v>
      </c>
      <c r="AI176" s="6">
        <f>AI174-AH174-AI78</f>
        <v>0</v>
      </c>
      <c r="AJ176" s="6" t="n"/>
      <c r="AK176" s="6" t="n"/>
      <c r="AL176" s="3" t="n"/>
      <c r="AM176" s="6" t="n"/>
      <c r="AN176" s="6" t="n"/>
      <c r="AO176" s="6" t="n"/>
      <c r="AP176" s="6" t="n"/>
      <c r="AQ176" s="3" t="n"/>
      <c r="AR176" s="6" t="n"/>
      <c r="AS176" s="6" t="n"/>
      <c r="AT176" s="6" t="n"/>
      <c r="AU176" s="6" t="n"/>
      <c r="AV176" s="3" t="n"/>
      <c r="AW176" s="6" t="n"/>
      <c r="AX176" s="6" t="n"/>
      <c r="AY176" s="6" t="n"/>
      <c r="AZ176" s="6" t="n"/>
      <c r="BA176" s="3" t="n"/>
      <c r="BB176" s="6" t="n"/>
      <c r="BC176" s="6" t="n"/>
      <c r="BD176" s="6" t="n"/>
      <c r="BE176" s="6" t="n"/>
      <c r="BF176" s="3" t="n"/>
      <c r="BG176" s="6" t="n"/>
      <c r="BH176" s="6" t="n"/>
      <c r="BI176" s="6" t="n"/>
      <c r="BJ176" s="6" t="n"/>
      <c r="BK176" s="3" t="n"/>
      <c r="BL176" s="6" t="n"/>
      <c r="BM176" s="6" t="n"/>
      <c r="BN176" s="6" t="n"/>
      <c r="BO176" s="6" t="n"/>
      <c r="BP176" s="3" t="n"/>
      <c r="BQ176" s="6" t="n"/>
      <c r="BR176" s="6" t="n"/>
      <c r="BS176" s="6" t="n"/>
      <c r="BT176" s="6" t="n"/>
      <c r="BU176" s="3" t="n"/>
      <c r="BV176" s="6" t="n"/>
      <c r="BW176" s="6" t="n"/>
      <c r="BX176" s="6" t="n"/>
      <c r="BY176" s="6" t="n"/>
      <c r="BZ176" s="3" t="n"/>
      <c r="CA176" s="6" t="n"/>
      <c r="CB176" s="6" t="n"/>
      <c r="CC176" s="6" t="n"/>
      <c r="CD176" s="6" t="n"/>
      <c r="CE176" s="3" t="n"/>
      <c r="CF176" s="6" t="n"/>
      <c r="CG176" s="6" t="n"/>
      <c r="CH176" s="6" t="n"/>
      <c r="CI176" s="6" t="n"/>
      <c r="CJ176" s="3" t="n"/>
      <c r="CK176" s="6" t="n"/>
      <c r="CL176" s="6" t="n"/>
      <c r="CM176" s="6" t="n"/>
      <c r="CN176" s="6" t="n"/>
      <c r="CO176" s="3" t="n"/>
      <c r="CP176" s="6" t="n"/>
      <c r="CQ176" s="6" t="n"/>
      <c r="CR176" s="6" t="n"/>
      <c r="CS176" s="6" t="n"/>
      <c r="CT176" s="3" t="n"/>
      <c r="CU176" s="6" t="n"/>
      <c r="CV176" s="6" t="n"/>
      <c r="CW176" s="6" t="n"/>
      <c r="CX176" s="6" t="n"/>
      <c r="CY176" s="3" t="n"/>
    </row>
    <row r="177" hidden="1" outlineLevel="1">
      <c r="C177" s="34" t="inlineStr">
        <is>
          <t>Amortization (enter as -)</t>
        </is>
      </c>
      <c r="D177" s="3" t="n"/>
      <c r="E177" s="3">
        <f>E77</f>
        <v>0</v>
      </c>
      <c r="F177" s="3">
        <f>F77</f>
        <v>0</v>
      </c>
      <c r="G177" s="3">
        <f>G77</f>
        <v>0</v>
      </c>
      <c r="H177" s="3" t="n"/>
      <c r="I177" s="3">
        <f>I77</f>
        <v>0</v>
      </c>
      <c r="J177" s="3">
        <f>J77</f>
        <v>0</v>
      </c>
      <c r="K177" s="3">
        <f>K77</f>
        <v>0</v>
      </c>
      <c r="L177" s="3">
        <f>L77</f>
        <v>0</v>
      </c>
      <c r="M177" s="3" t="n"/>
      <c r="N177" s="3">
        <f>N77</f>
        <v>0</v>
      </c>
      <c r="O177" s="3">
        <f>O77</f>
        <v>0</v>
      </c>
      <c r="P177" s="3">
        <f>P77</f>
        <v>0</v>
      </c>
      <c r="Q177" s="3">
        <f>Q77</f>
        <v>0</v>
      </c>
      <c r="R177" s="3" t="n"/>
      <c r="S177" s="3">
        <f>S77</f>
        <v>0</v>
      </c>
      <c r="T177" s="3">
        <f>T77</f>
        <v>0</v>
      </c>
      <c r="U177" s="3">
        <f>U77</f>
        <v>0</v>
      </c>
      <c r="V177" s="3">
        <f>V77</f>
        <v>0</v>
      </c>
      <c r="W177" s="3" t="n"/>
      <c r="X177" s="3">
        <f>X77</f>
        <v>0</v>
      </c>
      <c r="Y177" s="3">
        <f>Y77</f>
        <v>0</v>
      </c>
      <c r="Z177" s="3">
        <f>Z77</f>
        <v>0</v>
      </c>
      <c r="AA177" s="3">
        <f>AA77</f>
        <v>0</v>
      </c>
      <c r="AB177" s="3" t="n"/>
      <c r="AC177" s="3">
        <f>AC77</f>
        <v>0</v>
      </c>
      <c r="AD177" s="3">
        <f>AD77</f>
        <v>0</v>
      </c>
      <c r="AE177" s="3">
        <f>AE77</f>
        <v>0</v>
      </c>
      <c r="AF177" s="3" t="n"/>
      <c r="AG177" s="3" t="n"/>
      <c r="AH177" s="3">
        <f>AH77</f>
        <v>0</v>
      </c>
      <c r="AI177" s="6">
        <f>AI77</f>
        <v>0</v>
      </c>
      <c r="AJ177" s="6" t="n"/>
      <c r="AK177" s="6" t="n"/>
      <c r="AL177" s="3" t="n"/>
      <c r="AM177" s="6" t="n"/>
      <c r="AN177" s="6" t="n"/>
      <c r="AO177" s="6" t="n"/>
      <c r="AP177" s="6" t="n"/>
      <c r="AQ177" s="3" t="n"/>
      <c r="AR177" s="6" t="n"/>
      <c r="AS177" s="6" t="n"/>
      <c r="AT177" s="6" t="n"/>
      <c r="AU177" s="6" t="n"/>
      <c r="AV177" s="3" t="n"/>
      <c r="AW177" s="6" t="n"/>
      <c r="AX177" s="6" t="n"/>
      <c r="AY177" s="6" t="n"/>
      <c r="AZ177" s="6" t="n"/>
      <c r="BA177" s="3" t="n"/>
      <c r="BB177" s="6" t="n"/>
      <c r="BC177" s="6" t="n"/>
      <c r="BD177" s="6" t="n"/>
      <c r="BE177" s="6" t="n"/>
      <c r="BF177" s="3" t="n"/>
      <c r="BG177" s="6" t="n"/>
      <c r="BH177" s="6" t="n"/>
      <c r="BI177" s="6" t="n"/>
      <c r="BJ177" s="6" t="n"/>
      <c r="BK177" s="3" t="n"/>
      <c r="BL177" s="6" t="n"/>
      <c r="BM177" s="6" t="n"/>
      <c r="BN177" s="6" t="n"/>
      <c r="BO177" s="6" t="n"/>
      <c r="BP177" s="3" t="n"/>
      <c r="BQ177" s="6" t="n"/>
      <c r="BR177" s="6" t="n"/>
      <c r="BS177" s="6" t="n"/>
      <c r="BT177" s="6" t="n"/>
      <c r="BU177" s="3" t="n"/>
      <c r="BV177" s="6" t="n"/>
      <c r="BW177" s="6" t="n"/>
      <c r="BX177" s="6" t="n"/>
      <c r="BY177" s="6" t="n"/>
      <c r="BZ177" s="3" t="n"/>
      <c r="CA177" s="6" t="n"/>
      <c r="CB177" s="6" t="n"/>
      <c r="CC177" s="6" t="n"/>
      <c r="CD177" s="6" t="n"/>
      <c r="CE177" s="3" t="n"/>
      <c r="CF177" s="6" t="n"/>
      <c r="CG177" s="6" t="n"/>
      <c r="CH177" s="6" t="n"/>
      <c r="CI177" s="6" t="n"/>
      <c r="CJ177" s="3" t="n"/>
      <c r="CK177" s="6" t="n"/>
      <c r="CL177" s="6" t="n"/>
      <c r="CM177" s="6" t="n"/>
      <c r="CN177" s="6" t="n"/>
      <c r="CO177" s="3" t="n"/>
      <c r="CP177" s="6" t="n"/>
      <c r="CQ177" s="6" t="n"/>
      <c r="CR177" s="6" t="n"/>
      <c r="CS177" s="6" t="n"/>
      <c r="CT177" s="3" t="n"/>
      <c r="CU177" s="6" t="n"/>
      <c r="CV177" s="6" t="n"/>
      <c r="CW177" s="6" t="n"/>
      <c r="CX177" s="6" t="n"/>
      <c r="CY177" s="3" t="n"/>
    </row>
    <row r="178" hidden="1" outlineLevel="1">
      <c r="C178" s="34" t="inlineStr">
        <is>
          <t>Intangibles</t>
        </is>
      </c>
      <c r="D178" s="3" t="n"/>
      <c r="E178" s="3">
        <f>E174</f>
        <v>0</v>
      </c>
      <c r="F178" s="3">
        <f>F174</f>
        <v>0</v>
      </c>
      <c r="G178" s="3">
        <f>G174</f>
        <v>0</v>
      </c>
      <c r="H178" s="3" t="n"/>
      <c r="I178" s="3">
        <f>I174</f>
        <v>0</v>
      </c>
      <c r="J178" s="3">
        <f>J174</f>
        <v>0</v>
      </c>
      <c r="K178" s="3">
        <f>K174</f>
        <v>0</v>
      </c>
      <c r="L178" s="3">
        <f>L174</f>
        <v>0</v>
      </c>
      <c r="M178" s="3" t="n"/>
      <c r="N178" s="3">
        <f>N174</f>
        <v>0</v>
      </c>
      <c r="O178" s="3">
        <f>O174</f>
        <v>0</v>
      </c>
      <c r="P178" s="3">
        <f>P174</f>
        <v>0</v>
      </c>
      <c r="Q178" s="3">
        <f>Q174</f>
        <v>0</v>
      </c>
      <c r="R178" s="3" t="n"/>
      <c r="S178" s="3">
        <f>S174</f>
        <v>0</v>
      </c>
      <c r="T178" s="3">
        <f>T174</f>
        <v>0</v>
      </c>
      <c r="U178" s="3">
        <f>U174</f>
        <v>0</v>
      </c>
      <c r="V178" s="3">
        <f>V174</f>
        <v>0</v>
      </c>
      <c r="W178" s="3" t="n"/>
      <c r="X178" s="3">
        <f>X174</f>
        <v>0</v>
      </c>
      <c r="Y178" s="3">
        <f>Y174</f>
        <v>0</v>
      </c>
      <c r="Z178" s="3">
        <f>Z174</f>
        <v>0</v>
      </c>
      <c r="AA178" s="3">
        <f>AA174</f>
        <v>0</v>
      </c>
      <c r="AB178" s="3" t="n"/>
      <c r="AC178" s="3">
        <f>AC174</f>
        <v>0</v>
      </c>
      <c r="AD178" s="3">
        <f>AD174</f>
        <v>0</v>
      </c>
      <c r="AE178" s="3">
        <f>AE174</f>
        <v>0</v>
      </c>
      <c r="AF178" s="3">
        <f>AF174</f>
        <v>0</v>
      </c>
      <c r="AG178" s="3" t="n"/>
      <c r="AH178" s="3">
        <f>AH174</f>
        <v>0</v>
      </c>
      <c r="AI178" s="3">
        <f>AI174</f>
        <v>0</v>
      </c>
      <c r="AJ178" s="3">
        <f>AI178+SUM(AJ176:AJ177)</f>
        <v>0</v>
      </c>
      <c r="AK178" s="3">
        <f>AJ178+SUM(AK176:AK177)</f>
        <v>0</v>
      </c>
      <c r="AL178" s="3" t="n"/>
      <c r="AM178" s="3">
        <f>AK178+SUM(AM176:AM177)</f>
        <v>0</v>
      </c>
      <c r="AN178" s="3">
        <f>AM178+SUM(AN176:AN177)</f>
        <v>0</v>
      </c>
      <c r="AO178" s="3">
        <f>AN178+SUM(AO176:AO177)</f>
        <v>0</v>
      </c>
      <c r="AP178" s="3">
        <f>AO178+SUM(AP176:AP177)</f>
        <v>0</v>
      </c>
      <c r="AQ178" s="3" t="n"/>
      <c r="AR178" s="3">
        <f>AP178+SUM(AR176:AR177)</f>
        <v>0</v>
      </c>
      <c r="AS178" s="3">
        <f>AR178+SUM(AS176:AS177)</f>
        <v>0</v>
      </c>
      <c r="AT178" s="3">
        <f>AS178+SUM(AT176:AT177)</f>
        <v>0</v>
      </c>
      <c r="AU178" s="3">
        <f>AT178+SUM(AU176:AU177)</f>
        <v>0</v>
      </c>
      <c r="AV178" s="3" t="n"/>
      <c r="AW178" s="3">
        <f>AU178+SUM(AW176:AW177)</f>
        <v>0</v>
      </c>
      <c r="AX178" s="3">
        <f>AW178+SUM(AX176:AX177)</f>
        <v>0</v>
      </c>
      <c r="AY178" s="3">
        <f>AX178+SUM(AY176:AY177)</f>
        <v>0</v>
      </c>
      <c r="AZ178" s="3">
        <f>AY178+SUM(AZ176:AZ177)</f>
        <v>0</v>
      </c>
      <c r="BA178" s="3" t="n"/>
      <c r="BB178" s="3">
        <f>AZ178+SUM(BB176:BB177)</f>
        <v>0</v>
      </c>
      <c r="BC178" s="3">
        <f>BB178+SUM(BC176:BC177)</f>
        <v>0</v>
      </c>
      <c r="BD178" s="3">
        <f>BC178+SUM(BD176:BD177)</f>
        <v>0</v>
      </c>
      <c r="BE178" s="3">
        <f>BD178+SUM(BE176:BE177)</f>
        <v>0</v>
      </c>
      <c r="BF178" s="3" t="n"/>
      <c r="BG178" s="3">
        <f>BE178+SUM(BG176:BG177)</f>
        <v>0</v>
      </c>
      <c r="BH178" s="3">
        <f>BG178+SUM(BH176:BH177)</f>
        <v>0</v>
      </c>
      <c r="BI178" s="3">
        <f>BH178+SUM(BI176:BI177)</f>
        <v>0</v>
      </c>
      <c r="BJ178" s="3">
        <f>BI178+SUM(BJ176:BJ177)</f>
        <v>0</v>
      </c>
      <c r="BK178" s="3" t="n"/>
      <c r="BL178" s="3">
        <f>BJ178+SUM(BL176:BL177)</f>
        <v>0</v>
      </c>
      <c r="BM178" s="3">
        <f>BL178+SUM(BM176:BM177)</f>
        <v>0</v>
      </c>
      <c r="BN178" s="3">
        <f>BM178+SUM(BN176:BN177)</f>
        <v>0</v>
      </c>
      <c r="BO178" s="3">
        <f>BN178+SUM(BO176:BO177)</f>
        <v>0</v>
      </c>
      <c r="BP178" s="3" t="n"/>
      <c r="BQ178" s="3">
        <f>BO178+SUM(BQ176:BQ177)</f>
        <v>0</v>
      </c>
      <c r="BR178" s="3">
        <f>BQ178+SUM(BR176:BR177)</f>
        <v>0</v>
      </c>
      <c r="BS178" s="3">
        <f>BR178+SUM(BS176:BS177)</f>
        <v>0</v>
      </c>
      <c r="BT178" s="3">
        <f>BS178+SUM(BT176:BT177)</f>
        <v>0</v>
      </c>
      <c r="BU178" s="3" t="n"/>
      <c r="BV178" s="3">
        <f>BT178+SUM(BV176:BV177)</f>
        <v>0</v>
      </c>
      <c r="BW178" s="3">
        <f>BV178+SUM(BW176:BW177)</f>
        <v>0</v>
      </c>
      <c r="BX178" s="3">
        <f>BW178+SUM(BX176:BX177)</f>
        <v>0</v>
      </c>
      <c r="BY178" s="3">
        <f>BX178+SUM(BY176:BY177)</f>
        <v>0</v>
      </c>
      <c r="BZ178" s="3" t="n"/>
      <c r="CA178" s="3">
        <f>BY178+SUM(CA176:CA177)</f>
        <v>0</v>
      </c>
      <c r="CB178" s="3">
        <f>CA178+SUM(CB176:CB177)</f>
        <v>0</v>
      </c>
      <c r="CC178" s="3">
        <f>CB178+SUM(CC176:CC177)</f>
        <v>0</v>
      </c>
      <c r="CD178" s="3">
        <f>CC178+SUM(CD176:CD177)</f>
        <v>0</v>
      </c>
      <c r="CE178" s="3" t="n"/>
      <c r="CF178" s="3">
        <f>CD178+SUM(CF176:CF177)</f>
        <v>0</v>
      </c>
      <c r="CG178" s="3">
        <f>CF178+SUM(CG176:CG177)</f>
        <v>0</v>
      </c>
      <c r="CH178" s="3">
        <f>CG178+SUM(CH176:CH177)</f>
        <v>0</v>
      </c>
      <c r="CI178" s="3">
        <f>CH178+SUM(CI176:CI177)</f>
        <v>0</v>
      </c>
      <c r="CJ178" s="3" t="n"/>
      <c r="CK178" s="3">
        <f>CI178+SUM(CK176:CK177)</f>
        <v>0</v>
      </c>
      <c r="CL178" s="3">
        <f>CK178+SUM(CL176:CL177)</f>
        <v>0</v>
      </c>
      <c r="CM178" s="3">
        <f>CL178+SUM(CM176:CM177)</f>
        <v>0</v>
      </c>
      <c r="CN178" s="3">
        <f>CM178+SUM(CN176:CN177)</f>
        <v>0</v>
      </c>
      <c r="CO178" s="3" t="n"/>
      <c r="CP178" s="3">
        <f>CN178+SUM(CP176:CP177)</f>
        <v>0</v>
      </c>
      <c r="CQ178" s="3">
        <f>CP178+SUM(CQ176:CQ177)</f>
        <v>0</v>
      </c>
      <c r="CR178" s="3">
        <f>CQ178+SUM(CR176:CR177)</f>
        <v>0</v>
      </c>
      <c r="CS178" s="3">
        <f>CR178+SUM(CS176:CS177)</f>
        <v>0</v>
      </c>
      <c r="CT178" s="3" t="n"/>
      <c r="CU178" s="3">
        <f>CS178+SUM(CU176:CU177)</f>
        <v>0</v>
      </c>
      <c r="CV178" s="3">
        <f>CU178+SUM(CV176:CV177)</f>
        <v>0</v>
      </c>
      <c r="CW178" s="3">
        <f>CV178+SUM(CW176:CW177)</f>
        <v>0</v>
      </c>
      <c r="CX178" s="3">
        <f>CW178+SUM(CX176:CX177)</f>
        <v>0</v>
      </c>
      <c r="CY178" s="3" t="n"/>
      <c r="CZ178">
        <f>CX178+SUM(CZ176:CZ177)</f>
        <v>0</v>
      </c>
      <c r="DA178">
        <f>CZ178+SUM(DA176:DA177)</f>
        <v>0</v>
      </c>
      <c r="DB178">
        <f>DA178+SUM(DB176:DB177)</f>
        <v>0</v>
      </c>
      <c r="DC178">
        <f>DB178+SUM(DC176:DC177)</f>
        <v>0</v>
      </c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hidden="1" outlineLevel="1">
      <c r="C180" s="34" t="inlineStr">
        <is>
          <t>Definir % do D&amp;A No PPE and Intagibles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collapsed="1">
      <c r="C183" s="26" t="inlineStr">
        <is>
          <t>Other non-current assets</t>
        </is>
      </c>
      <c r="D183" s="25">
        <f>INDEX('Inputs (2)'!$D$26:$AL$26,MATCH(D$7,'Inputs (2)'!$D$2:$AL$2,0))</f>
        <v>27961.674</v>
      </c>
      <c r="E183" s="25">
        <f>INDEX('Inputs (2)'!$D$26:$AL$26,MATCH(E$7,'Inputs (2)'!$D$2:$AL$2,0))</f>
        <v>27859.201</v>
      </c>
      <c r="F183" s="25">
        <f>INDEX('Inputs (2)'!$D$26:$AL$26,MATCH(F$7,'Inputs (2)'!$D$2:$AL$2,0))</f>
        <v>27967.945</v>
      </c>
      <c r="G183" s="25">
        <f>INDEX('Inputs (2)'!$D$26:$AL$26,MATCH(G$7,'Inputs (2)'!$D$2:$AL$2,0))</f>
        <v>28558.596</v>
      </c>
      <c r="H183" s="3">
        <f>G183</f>
        <v>28558.596</v>
      </c>
      <c r="I183" s="25">
        <f>INDEX('Inputs (2)'!$D$26:$AL$26,MATCH(I$7,'Inputs (2)'!$D$2:$AL$2,0))</f>
        <v>29000.087</v>
      </c>
      <c r="J183" s="25">
        <f>INDEX('Inputs (2)'!$D$26:$AL$26,MATCH(J$7,'Inputs (2)'!$D$2:$AL$2,0))</f>
        <v>30259.256</v>
      </c>
      <c r="K183" s="25">
        <f>INDEX('Inputs (2)'!$D$26:$AL$26,MATCH(K$7,'Inputs (2)'!$D$2:$AL$2,0))</f>
        <v>32103.956</v>
      </c>
      <c r="L183" s="25">
        <f>INDEX('Inputs (2)'!$D$26:$AL$26,MATCH(L$7,'Inputs (2)'!$D$2:$AL$2,0))</f>
        <v>35191.385</v>
      </c>
      <c r="M183" s="3">
        <f>L183</f>
        <v>35191.385</v>
      </c>
      <c r="N183" s="25">
        <f>INDEX('Inputs (2)'!$D$26:$AL$26,MATCH(N$7,'Inputs (2)'!$D$2:$AL$2,0))</f>
        <v>35849.126</v>
      </c>
      <c r="O183" s="25">
        <f>INDEX('Inputs (2)'!$D$26:$AL$26,MATCH(O$7,'Inputs (2)'!$D$2:$AL$2,0))</f>
        <v>37148.237</v>
      </c>
      <c r="P183" s="25">
        <f>INDEX('Inputs (2)'!$D$26:$AL$26,MATCH(P$7,'Inputs (2)'!$D$2:$AL$2,0))</f>
        <v>37372.53</v>
      </c>
      <c r="Q183" s="25">
        <f>INDEX('Inputs (2)'!$D$26:$AL$26,MATCH(Q$7,'Inputs (2)'!$D$2:$AL$2,0))</f>
        <v>37930.038</v>
      </c>
      <c r="R183" s="3">
        <f>Q183</f>
        <v>37930.038</v>
      </c>
      <c r="S183" s="25">
        <f>INDEX('Inputs (2)'!$D$26:$AL$26,MATCH(S$7,'Inputs (2)'!$D$2:$AL$2,0))</f>
        <v>37594.628</v>
      </c>
      <c r="T183" s="25">
        <f>INDEX('Inputs (2)'!$D$26:$AL$26,MATCH(T$7,'Inputs (2)'!$D$2:$AL$2,0))</f>
        <v>37839.169</v>
      </c>
      <c r="U183" s="25">
        <f>INDEX('Inputs (2)'!$D$26:$AL$26,MATCH(U$7,'Inputs (2)'!$D$2:$AL$2,0))</f>
        <v>37223.921</v>
      </c>
      <c r="V183" s="25">
        <f>INDEX('Inputs (2)'!$D$26:$AL$26,MATCH(V$7,'Inputs (2)'!$D$2:$AL$2,0))</f>
        <v>37322.415</v>
      </c>
      <c r="W183" s="3">
        <f>V183</f>
        <v>37322.415</v>
      </c>
      <c r="X183" s="25">
        <f>INDEX('Inputs (2)'!$D$26:$AL$26,MATCH(X$7,'Inputs (2)'!$D$2:$AL$2,0))</f>
        <v>37405.24</v>
      </c>
      <c r="Y183" s="25">
        <f>INDEX('Inputs (2)'!$D$26:$AL$26,MATCH(Y$7,'Inputs (2)'!$D$2:$AL$2,0))</f>
        <v>37972.384</v>
      </c>
      <c r="Z183" s="25">
        <f>INDEX('Inputs (2)'!$D$26:$AL$26,MATCH(Z$7,'Inputs (2)'!$D$2:$AL$2,0))</f>
        <v>38584.533</v>
      </c>
      <c r="AA183" s="25">
        <f>INDEX('Inputs (2)'!$D$26:$AL$26,MATCH(AA$7,'Inputs (2)'!$D$2:$AL$2,0))</f>
        <v>38936.239</v>
      </c>
      <c r="AB183" s="3">
        <f>AA183</f>
        <v>38936.239</v>
      </c>
      <c r="AC183" s="25">
        <f>INDEX('Inputs (2)'!$D$26:$AL$26,MATCH(AC$7,'Inputs (2)'!$D$2:$AL$2,0))</f>
        <v>38745.666</v>
      </c>
      <c r="AD183" s="25">
        <f>INDEX('Inputs (2)'!$D$26:$AL$26,MATCH(AD$7,'Inputs (2)'!$D$2:$AL$2,0))</f>
        <v>39362.992</v>
      </c>
      <c r="AE183" s="25">
        <f>INDEX('Inputs (2)'!$D$26:$AL$26,MATCH(AE$7,'Inputs (2)'!$D$2:$AL$2,0))</f>
        <v>40134.011</v>
      </c>
      <c r="AF183" s="25">
        <f>INDEX('Inputs (2)'!$D$26:$AL$26,MATCH(AF$7,'Inputs (2)'!$D$2:$AL$2,0))</f>
        <v>40572.452</v>
      </c>
      <c r="AG183" s="3">
        <f>AF183</f>
        <v>40572.452</v>
      </c>
      <c r="AH183" s="3">
        <f>INDEX('Inputs (2)'!$D$26:$AL$26,MATCH(AH$7,'Inputs (2)'!$D$2:$AL$2,0))</f>
        <v>41797.103</v>
      </c>
      <c r="AI183" s="3">
        <f>INDEX('Inputs (2)'!$D$26:$AL$26,MATCH(AI$7,'Inputs (2)'!$D$2:$AL$2,0))</f>
        <v>42198.29</v>
      </c>
      <c r="AJ183" s="3">
        <f>AI183</f>
        <v>42198.29</v>
      </c>
      <c r="AK183" s="3">
        <f>AJ183</f>
        <v>42198.29</v>
      </c>
      <c r="AL183" s="3">
        <f>AK183</f>
        <v>42198.29</v>
      </c>
      <c r="AM183" s="3">
        <f>AL183</f>
        <v>42198.29</v>
      </c>
      <c r="AN183" s="3">
        <f>AM183</f>
        <v>42198.29</v>
      </c>
      <c r="AO183" s="3">
        <f>AN183</f>
        <v>42198.29</v>
      </c>
      <c r="AP183" s="3">
        <f>AO183</f>
        <v>42198.29</v>
      </c>
      <c r="AQ183" s="3">
        <f>AP183</f>
        <v>42198.29</v>
      </c>
      <c r="AR183" s="3">
        <f>AQ183</f>
        <v>42198.29</v>
      </c>
      <c r="AS183" s="3">
        <f>AR183</f>
        <v>42198.29</v>
      </c>
      <c r="AT183" s="3">
        <f>AS183</f>
        <v>42198.29</v>
      </c>
      <c r="AU183" s="3">
        <f>AT183</f>
        <v>42198.29</v>
      </c>
      <c r="AV183" s="3">
        <f>AU183</f>
        <v>42198.29</v>
      </c>
      <c r="AW183" s="3">
        <f>AV183</f>
        <v>42198.29</v>
      </c>
      <c r="AX183" s="3">
        <f>AW183</f>
        <v>42198.29</v>
      </c>
      <c r="AY183" s="3">
        <f>AX183</f>
        <v>42198.29</v>
      </c>
      <c r="AZ183" s="3">
        <f>AY183</f>
        <v>42198.29</v>
      </c>
      <c r="BA183" s="3">
        <f>AZ183</f>
        <v>42198.29</v>
      </c>
      <c r="BB183" s="3">
        <f>BA183</f>
        <v>42198.29</v>
      </c>
      <c r="BC183" s="3">
        <f>BB183</f>
        <v>42198.29</v>
      </c>
      <c r="BD183" s="3">
        <f>BC183</f>
        <v>42198.29</v>
      </c>
      <c r="BE183" s="3">
        <f>BD183</f>
        <v>42198.29</v>
      </c>
      <c r="BF183" s="3">
        <f>BE183</f>
        <v>42198.29</v>
      </c>
      <c r="BG183" s="3">
        <f>BF183</f>
        <v>42198.29</v>
      </c>
      <c r="BH183" s="3">
        <f>BG183</f>
        <v>42198.29</v>
      </c>
      <c r="BI183" s="3">
        <f>BH183</f>
        <v>42198.29</v>
      </c>
      <c r="BJ183" s="3">
        <f>BI183</f>
        <v>42198.29</v>
      </c>
      <c r="BK183" s="3">
        <f>BJ183</f>
        <v>42198.29</v>
      </c>
      <c r="BL183" s="3">
        <f>BK183</f>
        <v>42198.29</v>
      </c>
      <c r="BM183" s="3">
        <f>BL183</f>
        <v>42198.29</v>
      </c>
      <c r="BN183" s="3">
        <f>BM183</f>
        <v>42198.29</v>
      </c>
      <c r="BO183" s="3">
        <f>BN183</f>
        <v>42198.29</v>
      </c>
      <c r="BP183" s="3">
        <f>BO183</f>
        <v>42198.29</v>
      </c>
      <c r="BQ183" s="3">
        <f>BP183</f>
        <v>42198.29</v>
      </c>
      <c r="BR183" s="3">
        <f>BQ183</f>
        <v>42198.29</v>
      </c>
      <c r="BS183" s="3">
        <f>BR183</f>
        <v>42198.29</v>
      </c>
      <c r="BT183" s="3">
        <f>BS183</f>
        <v>42198.29</v>
      </c>
      <c r="BU183" s="3">
        <f>BT183</f>
        <v>42198.29</v>
      </c>
      <c r="BV183" s="3">
        <f>BU183</f>
        <v>42198.29</v>
      </c>
      <c r="BW183" s="3">
        <f>BV183</f>
        <v>42198.29</v>
      </c>
      <c r="BX183" s="3">
        <f>BW183</f>
        <v>42198.29</v>
      </c>
      <c r="BY183" s="3">
        <f>BX183</f>
        <v>42198.29</v>
      </c>
      <c r="BZ183" s="3">
        <f>BY183</f>
        <v>42198.29</v>
      </c>
      <c r="CA183" s="3">
        <f>BZ183</f>
        <v>42198.29</v>
      </c>
      <c r="CB183" s="3">
        <f>CA183</f>
        <v>42198.29</v>
      </c>
      <c r="CC183" s="3">
        <f>CB183</f>
        <v>42198.29</v>
      </c>
      <c r="CD183" s="3">
        <f>CC183</f>
        <v>42198.29</v>
      </c>
      <c r="CE183" s="3">
        <f>CD183</f>
        <v>42198.29</v>
      </c>
      <c r="CF183" s="3">
        <f>CE183</f>
        <v>42198.29</v>
      </c>
      <c r="CG183" s="3">
        <f>CF183</f>
        <v>42198.29</v>
      </c>
      <c r="CH183" s="3">
        <f>CG183</f>
        <v>42198.29</v>
      </c>
      <c r="CI183" s="3">
        <f>CH183</f>
        <v>42198.29</v>
      </c>
      <c r="CJ183" s="3">
        <f>CI183</f>
        <v>42198.29</v>
      </c>
      <c r="CK183" s="3">
        <f>CJ183</f>
        <v>42198.29</v>
      </c>
      <c r="CL183" s="3">
        <f>CK183</f>
        <v>42198.29</v>
      </c>
      <c r="CM183" s="3">
        <f>CL183</f>
        <v>42198.29</v>
      </c>
      <c r="CN183" s="3">
        <f>CM183</f>
        <v>42198.29</v>
      </c>
      <c r="CO183" s="3">
        <f>CN183</f>
        <v>42198.29</v>
      </c>
      <c r="CP183" s="3">
        <f>CO183</f>
        <v>42198.29</v>
      </c>
      <c r="CQ183" s="3">
        <f>CP183</f>
        <v>42198.29</v>
      </c>
      <c r="CR183" s="3">
        <f>CQ183</f>
        <v>42198.29</v>
      </c>
      <c r="CS183" s="3">
        <f>CR183</f>
        <v>42198.29</v>
      </c>
      <c r="CT183" s="3">
        <f>CS183</f>
        <v>42198.29</v>
      </c>
      <c r="CU183" s="3">
        <f>CT183</f>
        <v>42198.29</v>
      </c>
      <c r="CV183" s="3">
        <f>CU183</f>
        <v>42198.29</v>
      </c>
      <c r="CW183" s="3">
        <f>CV183</f>
        <v>42198.29</v>
      </c>
      <c r="CX183" s="3">
        <f>CW183</f>
        <v>42198.29</v>
      </c>
      <c r="CY183" s="3">
        <f>CX183</f>
        <v>42198.29</v>
      </c>
    </row>
    <row r="184" hidden="1" outlineLevel="1">
      <c r="C184" s="38" t="inlineStr">
        <is>
          <t>%(Var.)</t>
        </is>
      </c>
      <c r="D184" s="3" t="n"/>
      <c r="E184" s="47">
        <f>(E183-D183)/D183</f>
        <v>-0.00366476627972995</v>
      </c>
      <c r="F184" s="47">
        <f>(F183-E183)/E183</f>
        <v>0.0039033423822888</v>
      </c>
      <c r="G184" s="47">
        <f>(G183-F183)/F183</f>
        <v>0.0211188558901985</v>
      </c>
      <c r="H184" s="3" t="n"/>
      <c r="I184" s="47">
        <f>(I183-H183)/H183</f>
        <v>0.0154591283128905</v>
      </c>
      <c r="J184" s="47">
        <f>(J183-I183)/I183</f>
        <v>0.0434194904311839</v>
      </c>
      <c r="K184" s="47">
        <f>(K183-J183)/J183</f>
        <v>0.0609631644611486</v>
      </c>
      <c r="L184" s="47">
        <f>(L183-K183)/K183</f>
        <v>0.0961697368386624</v>
      </c>
      <c r="M184" s="3" t="n"/>
      <c r="N184" s="47">
        <f>(N183-M183)/M183</f>
        <v>0.0186903982324084</v>
      </c>
      <c r="O184" s="47">
        <f>(O183-N183)/N183</f>
        <v>0.0362382893239851</v>
      </c>
      <c r="P184" s="47">
        <f>(P183-O183)/O183</f>
        <v>0.00603778316586074</v>
      </c>
      <c r="Q184" s="47">
        <f>(Q183-P183)/P183</f>
        <v>0.0149175878646696</v>
      </c>
      <c r="R184" s="3" t="n"/>
      <c r="S184" s="47">
        <f>(S183-R183)/R183</f>
        <v>-0.00884285958268757</v>
      </c>
      <c r="T184" s="47">
        <f>(T183-S183)/S183</f>
        <v>0.00650467933876078</v>
      </c>
      <c r="U184" s="47">
        <f>(U183-T183)/T183</f>
        <v>-0.0162595536915729</v>
      </c>
      <c r="V184" s="47">
        <f>(V183-U183)/U183</f>
        <v>0.0026459867030128</v>
      </c>
      <c r="W184" s="3" t="n"/>
      <c r="X184" s="47">
        <f>(X183-W183)/W183</f>
        <v>0.00221917579556426</v>
      </c>
      <c r="Y184" s="47">
        <f>(Y183-X183)/X183</f>
        <v>0.0151621537517204</v>
      </c>
      <c r="Z184" s="47">
        <f>(Z183-Y183)/Y183</f>
        <v>0.0161208998623841</v>
      </c>
      <c r="AA184" s="47">
        <f>(AA183-Z183)/Z183</f>
        <v>0.00911520686281225</v>
      </c>
      <c r="AB184" s="3" t="n"/>
      <c r="AC184" s="47">
        <f>(AC183-AB183)/AB183</f>
        <v>-0.00489448916727689</v>
      </c>
      <c r="AD184" s="47">
        <f>(AD183-AC183)/AC183</f>
        <v>0.0159327755522386</v>
      </c>
      <c r="AE184" s="47">
        <f>(AE183-AD183)/AD183</f>
        <v>0.019587408396191</v>
      </c>
      <c r="AF184" s="218">
        <f>(AF183-AE183)/AE183</f>
        <v>0.0109244251714587</v>
      </c>
      <c r="AG184" s="3" t="n"/>
      <c r="AH184" s="218">
        <f>(AH183-AG183)/AG183</f>
        <v>0.0301842984495982</v>
      </c>
      <c r="AI184" s="218">
        <f>(AI183-AH183)/AH183</f>
        <v>0.00959844035123674</v>
      </c>
      <c r="AJ184" s="218" t="n"/>
      <c r="AK184" s="218" t="n"/>
      <c r="AL184" s="3" t="n"/>
      <c r="AM184" s="218" t="n"/>
      <c r="AN184" s="218" t="n"/>
      <c r="AO184" s="218" t="n"/>
      <c r="AP184" s="218" t="n"/>
      <c r="AQ184" s="3" t="n"/>
      <c r="AR184" s="218" t="n"/>
      <c r="AS184" s="218" t="n"/>
      <c r="AT184" s="218" t="n"/>
      <c r="AU184" s="218" t="n"/>
      <c r="AV184" s="3" t="n"/>
      <c r="AW184" s="218" t="n"/>
      <c r="AX184" s="218" t="n"/>
      <c r="AY184" s="218" t="n"/>
      <c r="AZ184" s="218" t="n"/>
      <c r="BA184" s="3" t="n"/>
      <c r="BB184" s="218" t="n"/>
      <c r="BC184" s="218" t="n"/>
      <c r="BD184" s="218" t="n"/>
      <c r="BE184" s="218" t="n"/>
      <c r="BF184" s="3" t="n"/>
      <c r="BG184" s="218" t="n"/>
      <c r="BH184" s="218" t="n"/>
      <c r="BI184" s="218" t="n"/>
      <c r="BJ184" s="218" t="n"/>
      <c r="BK184" s="3" t="n"/>
      <c r="BL184" s="218" t="n"/>
      <c r="BM184" s="218" t="n"/>
      <c r="BN184" s="218" t="n"/>
      <c r="BO184" s="218" t="n"/>
      <c r="BP184" s="3" t="n"/>
      <c r="BQ184" s="218" t="n"/>
      <c r="BR184" s="218" t="n"/>
      <c r="BS184" s="218" t="n"/>
      <c r="BT184" s="218" t="n"/>
      <c r="BU184" s="3" t="n"/>
      <c r="BV184" s="218" t="n"/>
      <c r="BW184" s="218" t="n"/>
      <c r="BX184" s="218" t="n"/>
      <c r="BY184" s="218" t="n"/>
      <c r="BZ184" s="3" t="n"/>
      <c r="CA184" s="218" t="n"/>
      <c r="CB184" s="218" t="n"/>
      <c r="CC184" s="218" t="n"/>
      <c r="CD184" s="218" t="n"/>
      <c r="CE184" s="3" t="n"/>
      <c r="CF184" s="218" t="n"/>
      <c r="CG184" s="218" t="n"/>
      <c r="CH184" s="218" t="n"/>
      <c r="CI184" s="218" t="n"/>
      <c r="CJ184" s="3" t="n"/>
      <c r="CK184" s="218" t="n"/>
      <c r="CL184" s="218" t="n"/>
      <c r="CM184" s="218" t="n"/>
      <c r="CN184" s="218" t="n"/>
      <c r="CO184" s="3" t="n"/>
      <c r="CP184" s="218" t="n"/>
      <c r="CQ184" s="218" t="n"/>
      <c r="CR184" s="218" t="n"/>
      <c r="CS184" s="218" t="n"/>
      <c r="CT184" s="3" t="n"/>
      <c r="CU184" s="218" t="n"/>
      <c r="CV184" s="218" t="n"/>
      <c r="CW184" s="218" t="n"/>
      <c r="CX184" s="218" t="n"/>
      <c r="CY184" s="3" t="n"/>
    </row>
    <row r="185" hidden="1" outlineLevel="1">
      <c r="C185" s="34" t="n"/>
      <c r="D185" s="3" t="n"/>
      <c r="E185" s="47" t="n"/>
      <c r="F185" s="47" t="n"/>
      <c r="G185" s="47" t="n"/>
      <c r="H185" s="3" t="n"/>
      <c r="I185" s="47" t="n"/>
      <c r="J185" s="47" t="n"/>
      <c r="K185" s="47" t="n"/>
      <c r="L185" s="47" t="n"/>
      <c r="M185" s="3" t="n"/>
      <c r="N185" s="47" t="n"/>
      <c r="O185" s="47" t="n"/>
      <c r="P185" s="47" t="n"/>
      <c r="Q185" s="47" t="n"/>
      <c r="R185" s="3" t="n"/>
      <c r="S185" s="47" t="n"/>
      <c r="T185" s="47" t="n"/>
      <c r="U185" s="47" t="n"/>
      <c r="V185" s="47" t="n"/>
      <c r="W185" s="3" t="n"/>
      <c r="X185" s="47" t="n"/>
      <c r="Y185" s="47" t="n"/>
      <c r="Z185" s="47" t="n"/>
      <c r="AA185" s="47" t="n"/>
      <c r="AB185" s="3" t="n"/>
      <c r="AC185" s="47" t="n"/>
      <c r="AD185" s="47" t="n"/>
      <c r="AE185" s="47" t="n"/>
      <c r="AF185" s="218" t="n"/>
      <c r="AG185" s="3" t="n"/>
      <c r="AH185" s="218" t="n"/>
      <c r="AI185" s="218" t="n"/>
      <c r="AJ185" s="218" t="n"/>
      <c r="AK185" s="218" t="n"/>
      <c r="AL185" s="3" t="n"/>
      <c r="AM185" s="218" t="n"/>
      <c r="AN185" s="218" t="n"/>
      <c r="AO185" s="218" t="n"/>
      <c r="AP185" s="218" t="n"/>
      <c r="AQ185" s="3" t="n"/>
      <c r="AR185" s="218" t="n"/>
      <c r="AS185" s="218" t="n"/>
      <c r="AT185" s="218" t="n"/>
      <c r="AU185" s="218" t="n"/>
      <c r="AV185" s="3" t="n"/>
      <c r="AW185" s="218" t="n"/>
      <c r="AX185" s="218" t="n"/>
      <c r="AY185" s="218" t="n"/>
      <c r="AZ185" s="218" t="n"/>
      <c r="BA185" s="3" t="n"/>
      <c r="BB185" s="218" t="n"/>
      <c r="BC185" s="218" t="n"/>
      <c r="BD185" s="218" t="n"/>
      <c r="BE185" s="218" t="n"/>
      <c r="BF185" s="3" t="n"/>
      <c r="BG185" s="218" t="n"/>
      <c r="BH185" s="218" t="n"/>
      <c r="BI185" s="218" t="n"/>
      <c r="BJ185" s="218" t="n"/>
      <c r="BK185" s="3" t="n"/>
      <c r="BL185" s="218" t="n"/>
      <c r="BM185" s="218" t="n"/>
      <c r="BN185" s="218" t="n"/>
      <c r="BO185" s="218" t="n"/>
      <c r="BP185" s="3" t="n"/>
      <c r="BQ185" s="218" t="n"/>
      <c r="BR185" s="218" t="n"/>
      <c r="BS185" s="218" t="n"/>
      <c r="BT185" s="218" t="n"/>
      <c r="BU185" s="3" t="n"/>
      <c r="BV185" s="218" t="n"/>
      <c r="BW185" s="218" t="n"/>
      <c r="BX185" s="218" t="n"/>
      <c r="BY185" s="218" t="n"/>
      <c r="BZ185" s="3" t="n"/>
      <c r="CA185" s="218" t="n"/>
      <c r="CB185" s="218" t="n"/>
      <c r="CC185" s="218" t="n"/>
      <c r="CD185" s="218" t="n"/>
      <c r="CE185" s="3" t="n"/>
      <c r="CF185" s="218" t="n"/>
      <c r="CG185" s="218" t="n"/>
      <c r="CH185" s="218" t="n"/>
      <c r="CI185" s="218" t="n"/>
      <c r="CJ185" s="3" t="n"/>
      <c r="CK185" s="218" t="n"/>
      <c r="CL185" s="218" t="n"/>
      <c r="CM185" s="218" t="n"/>
      <c r="CN185" s="218" t="n"/>
      <c r="CO185" s="3" t="n"/>
      <c r="CP185" s="218" t="n"/>
      <c r="CQ185" s="218" t="n"/>
      <c r="CR185" s="218" t="n"/>
      <c r="CS185" s="218" t="n"/>
      <c r="CT185" s="3" t="n"/>
      <c r="CU185" s="218" t="n"/>
      <c r="CV185" s="218" t="n"/>
      <c r="CW185" s="218" t="n"/>
      <c r="CX185" s="218" t="n"/>
      <c r="CY185" s="3" t="n"/>
    </row>
    <row r="186" hidden="1" outlineLevel="1">
      <c r="C186" s="52" t="inlineStr">
        <is>
          <t>Outros Créditos - LP</t>
        </is>
      </c>
      <c r="D186" s="6" t="n"/>
      <c r="E186" s="6" t="n"/>
      <c r="F186" s="6" t="n"/>
      <c r="G186" s="6" t="n"/>
      <c r="H186" s="3" t="n"/>
      <c r="I186" s="6" t="n"/>
      <c r="J186" s="6" t="n"/>
      <c r="K186" s="6" t="n"/>
      <c r="L186" s="6" t="n"/>
      <c r="M186" s="3" t="n"/>
      <c r="N186" s="6" t="n"/>
      <c r="O186" s="6" t="n"/>
      <c r="P186" s="6" t="n"/>
      <c r="Q186" s="6" t="n"/>
      <c r="R186" s="3" t="n"/>
      <c r="S186" s="6" t="n"/>
      <c r="T186" s="6" t="n"/>
      <c r="U186" s="6" t="n"/>
      <c r="V186" s="6" t="n"/>
      <c r="W186" s="3" t="n"/>
      <c r="X186" s="6" t="n"/>
      <c r="Y186" s="6" t="n"/>
      <c r="Z186" s="6" t="n"/>
      <c r="AA186" s="6" t="n"/>
      <c r="AB186" s="3" t="n"/>
      <c r="AC186" s="6" t="n"/>
      <c r="AD186" s="6" t="n"/>
      <c r="AE186" s="6" t="n"/>
      <c r="AF186" s="6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52" t="inlineStr">
        <is>
          <t xml:space="preserve">Impostos e Contribuições a Recuperar </t>
        </is>
      </c>
      <c r="D187" s="6" t="n"/>
      <c r="E187" s="6" t="n"/>
      <c r="F187" s="6" t="n"/>
      <c r="G187" s="6" t="n"/>
      <c r="H187" s="3" t="n"/>
      <c r="I187" s="6" t="n"/>
      <c r="J187" s="6" t="n"/>
      <c r="K187" s="6" t="n"/>
      <c r="L187" s="6" t="n"/>
      <c r="M187" s="3" t="n"/>
      <c r="N187" s="6" t="n"/>
      <c r="O187" s="6" t="n"/>
      <c r="P187" s="6" t="n"/>
      <c r="Q187" s="6" t="n"/>
      <c r="R187" s="3" t="n"/>
      <c r="S187" s="6" t="n"/>
      <c r="T187" s="6" t="n"/>
      <c r="U187" s="6" t="n"/>
      <c r="V187" s="6" t="n"/>
      <c r="W187" s="3" t="n"/>
      <c r="X187" s="6" t="n"/>
      <c r="Y187" s="6" t="n"/>
      <c r="Z187" s="6" t="n"/>
      <c r="AA187" s="6" t="n"/>
      <c r="AB187" s="3" t="n"/>
      <c r="AC187" s="6" t="n"/>
      <c r="AD187" s="6" t="n"/>
      <c r="AE187" s="6" t="n"/>
      <c r="AF187" s="6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52" t="inlineStr">
        <is>
          <t xml:space="preserve">Imposto de Renda e Contribuição Social Diferidos </t>
        </is>
      </c>
      <c r="D188" s="6" t="n"/>
      <c r="E188" s="6" t="n"/>
      <c r="F188" s="6" t="n"/>
      <c r="G188" s="6" t="n"/>
      <c r="H188" s="3" t="n"/>
      <c r="I188" s="6" t="n"/>
      <c r="J188" s="6" t="n"/>
      <c r="K188" s="6" t="n"/>
      <c r="L188" s="6" t="n"/>
      <c r="M188" s="3" t="n"/>
      <c r="N188" s="6" t="n"/>
      <c r="O188" s="6" t="n"/>
      <c r="P188" s="6" t="n"/>
      <c r="Q188" s="6" t="n"/>
      <c r="R188" s="3" t="n"/>
      <c r="S188" s="6" t="n"/>
      <c r="T188" s="6" t="n"/>
      <c r="U188" s="6" t="n"/>
      <c r="V188" s="6" t="n"/>
      <c r="W188" s="3" t="n"/>
      <c r="X188" s="6" t="n"/>
      <c r="Y188" s="6" t="n"/>
      <c r="Z188" s="6" t="n"/>
      <c r="AA188" s="6" t="n"/>
      <c r="AB188" s="3" t="n"/>
      <c r="AC188" s="6" t="n"/>
      <c r="AD188" s="6" t="n"/>
      <c r="AE188" s="6" t="n"/>
      <c r="AF188" s="6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52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collapsed="1" customFormat="1" s="17">
      <c r="A191" s="13" t="n"/>
      <c r="B191" s="1" t="n"/>
      <c r="C191" s="14" t="inlineStr">
        <is>
          <t>Total Assets</t>
        </is>
      </c>
      <c r="D191" s="16">
        <f>(D138+D139+D143+D147+D148+D149+D155+D160+D170+D173+D174+D183)</f>
        <v>35059.91</v>
      </c>
      <c r="E191" s="16">
        <f>(E138+E139+E143+E147+E148+E149+E155+E160+E170+E173+E174+E183)</f>
        <v>37175.281</v>
      </c>
      <c r="F191" s="16">
        <f>(F138+F139+F143+F147+F148+F149+F155+F160+F170+F173+F174+F183)</f>
        <v>38622.543</v>
      </c>
      <c r="G191" s="16">
        <f>(G138+G139+G143+G147+G148+G149+G155+G160+G170+G173+G174+G183)</f>
        <v>39280.359</v>
      </c>
      <c r="H191" s="16">
        <f>SUM(H138,H139,H143,H147,H148,H149,H155,H170,H173,H174,H183,H160)</f>
        <v>39280.359</v>
      </c>
      <c r="I191" s="16">
        <f>(I138+I139+I143+I147+I148+I149+I155+I160+I170+I173+I174+I183)</f>
        <v>40123.014</v>
      </c>
      <c r="J191" s="16">
        <f>(J138+J139+J143+J147+J148+J149+J155+J160+J170+J173+J174+J183)</f>
        <v>40970.969</v>
      </c>
      <c r="K191" s="16">
        <f>(K138+K139+K143+K147+K148+K149+K155+K160+K170+K173+K174+K183)</f>
        <v>42739.857</v>
      </c>
      <c r="L191" s="16">
        <f>(L138+L139+L143+L147+L148+L149+L155+L160+L170+L173+L174+L183)</f>
        <v>44584.663</v>
      </c>
      <c r="M191" s="16">
        <f>SUM(M138,M139,M143,M147,M148,M149,M155,M170,M173,M174,M183,M160)</f>
        <v>44584.663</v>
      </c>
      <c r="N191" s="16">
        <f>(N138+N139+N143+N147+N148+N149+N155+N160+N170+N173+N174+N183)</f>
        <v>45330.904</v>
      </c>
      <c r="O191" s="16">
        <f>(O138+O139+O143+O147+O148+O149+O155+O160+O170+O173+O174+O183)</f>
        <v>46350.935</v>
      </c>
      <c r="P191" s="16">
        <f>(P138+P139+P143+P147+P148+P149+P155+P160+P170+P173+P174+P183)</f>
        <v>47562.187</v>
      </c>
      <c r="Q191" s="16">
        <f>(Q138+Q139+Q143+Q147+Q148+Q149+Q155+Q160+Q170+Q173+Q174+Q183)</f>
        <v>48594.768</v>
      </c>
      <c r="R191" s="16">
        <f>SUM(R138,R139,R143,R147,R148,R149,R155,R170,R173,R174,R183,R160)</f>
        <v>48594.768</v>
      </c>
      <c r="S191" s="16">
        <f>(S138+S139+S143+S147+S148+S149+S155+S160+S170+S173+S174+S183)</f>
        <v>49490.345</v>
      </c>
      <c r="T191" s="16">
        <f>(T138+T139+T143+T147+T148+T149+T155+T160+T170+T173+T174+T183)</f>
        <v>50817.473</v>
      </c>
      <c r="U191" s="16">
        <f>(U138+U139+U143+U147+U148+U149+U155+U160+U170+U173+U174+U183)</f>
        <v>49501.786</v>
      </c>
      <c r="V191" s="16">
        <f>(V138+V139+V143+V147+V148+V149+V155+V160+V170+V173+V174+V183)</f>
        <v>48731.992</v>
      </c>
      <c r="W191" s="16">
        <f>SUM(W138,W139,W143,W147,W148,W149,W155,W170,W173,W174,W183,W160)</f>
        <v>48731.992</v>
      </c>
      <c r="X191" s="16">
        <f>(X138+X139+X143+X147+X148+X149+X155+X160+X170+X173+X174+X183)</f>
        <v>48827.721</v>
      </c>
      <c r="Y191" s="16">
        <f>(Y138+Y139+Y143+Y147+Y148+Y149+Y155+Y160+Y170+Y173+Y174+Y183)</f>
        <v>49098.895</v>
      </c>
      <c r="Z191" s="16">
        <f>(Z138+Z139+Z143+Z147+Z148+Z149+Z155+Z160+Z170+Z173+Z174+Z183)</f>
        <v>52281.844</v>
      </c>
      <c r="AA191" s="16">
        <f>(AA138+AA139+AA143+AA147+AA148+AA149+AA155+AA160+AA170+AA173+AA174+AA183)</f>
        <v>53630.374</v>
      </c>
      <c r="AB191" s="16">
        <f>SUM(AB138,AB139,AB143,AB147,AB148,AB149,AB155,AB170,AB173,AB174,AB183,AB160)</f>
        <v>53630.374</v>
      </c>
      <c r="AC191" s="16">
        <f>(AC138+AC139+AC143+AC147+AC148+AC149+AC155+AC160+AC170+AC173+AC174+AC183)</f>
        <v>52087.644</v>
      </c>
      <c r="AD191" s="16">
        <f>(AD138+AD139+AD143+AD147+AD148+AD149+AD155+AD160+AD170+AD173+AD174+AD183)</f>
        <v>53099.664</v>
      </c>
      <c r="AE191" s="16">
        <f>(AE138+AE139+AE143+AE147+AE148+AE149+AE155+AE160+AE170+AE173+AE174+AE183)</f>
        <v>54934.835</v>
      </c>
      <c r="AF191" s="16">
        <f>(AF138+AF139+AF143+AF147+AF148+AF149+AF155+AF160+AF170+AF173+AF174+AF183)</f>
        <v>55596.993</v>
      </c>
      <c r="AG191" s="16">
        <f>SUM(AG138,AG139,AG143,AG147,AG148,AG149,AG155,AG170,AG173,AG174,AG183,AG160)</f>
        <v>55596.993</v>
      </c>
      <c r="AH191" s="16">
        <f>(AH138+AH139+AH143+AH147+AH148+AH149+AH155+AH160+AH170+AH173+AH174+AH183)</f>
        <v>61015.914</v>
      </c>
      <c r="AI191" s="16">
        <f>(AI138+AI139+AI143+AI147+AI148+AI149+AI155+AI160+AI170+AI173+AI174+AI183)</f>
        <v>58450.441</v>
      </c>
      <c r="AJ191" s="16">
        <f>(AJ138+AJ139+AJ143+AJ147+AJ148+AJ149+AJ155+AJ160+AJ170+AJ173+AJ174+AJ183)</f>
        <v>57315.445</v>
      </c>
      <c r="AK191" s="16">
        <f>(AK138+AK139+AK143+AK147+AK148+AK149+AK155+AK160+AK170+AK173+AK174+AK183)</f>
        <v>57367.106</v>
      </c>
      <c r="AL191" s="16">
        <f>SUM(AL138,AL139,AL143,AL147,AL148,AL149,AL155,AL170,AL173,AL174,AL183,AL160)</f>
        <v>57367.106</v>
      </c>
      <c r="AM191" s="16" t="e">
        <f>(AM138+AM139+AM143+AM147+AM148+AM149+AM155+AM160+AM170+AM173+AM174+AM183)</f>
        <v>#DIV/0!</v>
      </c>
      <c r="AN191" s="16" t="e">
        <f>(AN138+AN139+AN143+AN147+AN148+AN149+AN155+AN160+AN170+AN173+AN174+AN183)</f>
        <v>#DIV/0!</v>
      </c>
      <c r="AO191" s="16" t="e">
        <f>(AO138+AO139+AO143+AO147+AO148+AO149+AO155+AO160+AO170+AO173+AO174+AO183)</f>
        <v>#DIV/0!</v>
      </c>
      <c r="AP191" s="16" t="e">
        <f>(AP138+AP139+AP143+AP147+AP148+AP149+AP155+AP160+AP170+AP173+AP174+AP183)</f>
        <v>#DIV/0!</v>
      </c>
      <c r="AQ191" s="16" t="e">
        <f>SUM(AQ138,AQ139,AQ143,AQ147,AQ148,AQ149,AQ155,AQ170,AQ173,AQ174,AQ183,AQ160)</f>
        <v>#DIV/0!</v>
      </c>
      <c r="AR191" s="16" t="e">
        <f>(AR138+AR139+AR143+AR147+AR148+AR149+AR155+AR160+AR170+AR173+AR174+AR183)</f>
        <v>#DIV/0!</v>
      </c>
      <c r="AS191" s="16" t="e">
        <f>(AS138+AS139+AS143+AS147+AS148+AS149+AS155+AS160+AS170+AS173+AS174+AS183)</f>
        <v>#DIV/0!</v>
      </c>
      <c r="AT191" s="16" t="e">
        <f>(AT138+AT139+AT143+AT147+AT148+AT149+AT155+AT160+AT170+AT173+AT174+AT183)</f>
        <v>#DIV/0!</v>
      </c>
      <c r="AU191" s="16" t="e">
        <f>(AU138+AU139+AU143+AU147+AU148+AU149+AU155+AU160+AU170+AU173+AU174+AU183)</f>
        <v>#DIV/0!</v>
      </c>
      <c r="AV191" s="16" t="e">
        <f>SUM(AV138,AV139,AV143,AV147,AV148,AV149,AV155,AV170,AV173,AV174,AV183,AV160)</f>
        <v>#DIV/0!</v>
      </c>
      <c r="AW191" s="16" t="e">
        <f>(AW138+AW139+AW143+AW147+AW148+AW149+AW155+AW160+AW170+AW173+AW174+AW183)</f>
        <v>#DIV/0!</v>
      </c>
      <c r="AX191" s="16" t="e">
        <f>(AX138+AX139+AX143+AX147+AX148+AX149+AX155+AX160+AX170+AX173+AX174+AX183)</f>
        <v>#DIV/0!</v>
      </c>
      <c r="AY191" s="16" t="e">
        <f>(AY138+AY139+AY143+AY147+AY148+AY149+AY155+AY160+AY170+AY173+AY174+AY183)</f>
        <v>#DIV/0!</v>
      </c>
      <c r="AZ191" s="16" t="e">
        <f>(AZ138+AZ139+AZ143+AZ147+AZ148+AZ149+AZ155+AZ160+AZ170+AZ173+AZ174+AZ183)</f>
        <v>#DIV/0!</v>
      </c>
      <c r="BA191" s="16" t="e">
        <f>SUM(BA138,BA139,BA143,BA147,BA148,BA149,BA155,BA170,BA173,BA174,BA183,BA160)</f>
        <v>#DIV/0!</v>
      </c>
      <c r="BB191" s="16" t="e">
        <f>(BB138+BB139+BB143+BB147+BB148+BB149+BB155+BB160+BB170+BB173+BB174+BB183)</f>
        <v>#DIV/0!</v>
      </c>
      <c r="BC191" s="16" t="e">
        <f>(BC138+BC139+BC143+BC147+BC148+BC149+BC155+BC160+BC170+BC173+BC174+BC183)</f>
        <v>#DIV/0!</v>
      </c>
      <c r="BD191" s="16" t="e">
        <f>(BD138+BD139+BD143+BD147+BD148+BD149+BD155+BD160+BD170+BD173+BD174+BD183)</f>
        <v>#DIV/0!</v>
      </c>
      <c r="BE191" s="16" t="e">
        <f>(BE138+BE139+BE143+BE147+BE148+BE149+BE155+BE160+BE170+BE173+BE174+BE183)</f>
        <v>#DIV/0!</v>
      </c>
      <c r="BF191" s="16" t="e">
        <f>SUM(BF138,BF139,BF143,BF147,BF148,BF149,BF155,BF170,BF173,BF174,BF183,BF160)</f>
        <v>#DIV/0!</v>
      </c>
      <c r="BG191" s="16" t="e">
        <f>(BG138+BG139+BG143+BG147+BG148+BG149+BG155+BG160+BG170+BG173+BG174+BG183)</f>
        <v>#DIV/0!</v>
      </c>
      <c r="BH191" s="16" t="e">
        <f>(BH138+BH139+BH143+BH147+BH148+BH149+BH155+BH160+BH170+BH173+BH174+BH183)</f>
        <v>#DIV/0!</v>
      </c>
      <c r="BI191" s="16" t="e">
        <f>(BI138+BI139+BI143+BI147+BI148+BI149+BI155+BI160+BI170+BI173+BI174+BI183)</f>
        <v>#DIV/0!</v>
      </c>
      <c r="BJ191" s="16" t="e">
        <f>(BJ138+BJ139+BJ143+BJ147+BJ148+BJ149+BJ155+BJ160+BJ170+BJ173+BJ174+BJ183)</f>
        <v>#DIV/0!</v>
      </c>
      <c r="BK191" s="16" t="e">
        <f>SUM(BK138,BK139,BK143,BK147,BK148,BK149,BK155,BK170,BK173,BK174,BK183,BK160)</f>
        <v>#DIV/0!</v>
      </c>
      <c r="BL191" s="16" t="e">
        <f>(BL138+BL139+BL143+BL147+BL148+BL149+BL155+BL160+BL170+BL173+BL174+BL183)</f>
        <v>#DIV/0!</v>
      </c>
      <c r="BM191" s="16" t="e">
        <f>(BM138+BM139+BM143+BM147+BM148+BM149+BM155+BM160+BM170+BM173+BM174+BM183)</f>
        <v>#DIV/0!</v>
      </c>
      <c r="BN191" s="16" t="e">
        <f>(BN138+BN139+BN143+BN147+BN148+BN149+BN155+BN160+BN170+BN173+BN174+BN183)</f>
        <v>#DIV/0!</v>
      </c>
      <c r="BO191" s="16" t="e">
        <f>(BO138+BO139+BO143+BO147+BO148+BO149+BO155+BO160+BO170+BO173+BO174+BO183)</f>
        <v>#DIV/0!</v>
      </c>
      <c r="BP191" s="16" t="e">
        <f>SUM(BP138,BP139,BP143,BP147,BP148,BP149,BP155,BP170,BP173,BP174,BP183,BP160)</f>
        <v>#DIV/0!</v>
      </c>
      <c r="BQ191" s="16" t="e">
        <f>(BQ138+BQ139+BQ143+BQ147+BQ148+BQ149+BQ155+BQ160+BQ170+BQ173+BQ174+BQ183)</f>
        <v>#DIV/0!</v>
      </c>
      <c r="BR191" s="16" t="e">
        <f>(BR138+BR139+BR143+BR147+BR148+BR149+BR155+BR160+BR170+BR173+BR174+BR183)</f>
        <v>#DIV/0!</v>
      </c>
      <c r="BS191" s="16" t="e">
        <f>(BS138+BS139+BS143+BS147+BS148+BS149+BS155+BS160+BS170+BS173+BS174+BS183)</f>
        <v>#DIV/0!</v>
      </c>
      <c r="BT191" s="16" t="e">
        <f>(BT138+BT139+BT143+BT147+BT148+BT149+BT155+BT160+BT170+BT173+BT174+BT183)</f>
        <v>#DIV/0!</v>
      </c>
      <c r="BU191" s="16" t="e">
        <f>SUM(BU138,BU139,BU143,BU147,BU148,BU149,BU155,BU170,BU173,BU174,BU183,BU160)</f>
        <v>#DIV/0!</v>
      </c>
      <c r="BV191" s="16" t="e">
        <f>(BV138+BV139+BV143+BV147+BV148+BV149+BV155+BV160+BV170+BV173+BV174+BV183)</f>
        <v>#DIV/0!</v>
      </c>
      <c r="BW191" s="16" t="e">
        <f>(BW138+BW139+BW143+BW147+BW148+BW149+BW155+BW160+BW170+BW173+BW174+BW183)</f>
        <v>#DIV/0!</v>
      </c>
      <c r="BX191" s="16" t="e">
        <f>(BX138+BX139+BX143+BX147+BX148+BX149+BX155+BX160+BX170+BX173+BX174+BX183)</f>
        <v>#DIV/0!</v>
      </c>
      <c r="BY191" s="16" t="e">
        <f>(BY138+BY139+BY143+BY147+BY148+BY149+BY155+BY160+BY170+BY173+BY174+BY183)</f>
        <v>#DIV/0!</v>
      </c>
      <c r="BZ191" s="16" t="e">
        <f>SUM(BZ138,BZ139,BZ143,BZ147,BZ148,BZ149,BZ155,BZ170,BZ173,BZ174,BZ183,BZ160)</f>
        <v>#DIV/0!</v>
      </c>
      <c r="CA191" s="16" t="e">
        <f>(CA138+CA139+CA143+CA147+CA148+CA149+CA155+CA160+CA170+CA173+CA174+CA183)</f>
        <v>#DIV/0!</v>
      </c>
      <c r="CB191" s="16" t="e">
        <f>(CB138+CB139+CB143+CB147+CB148+CB149+CB155+CB160+CB170+CB173+CB174+CB183)</f>
        <v>#DIV/0!</v>
      </c>
      <c r="CC191" s="16" t="e">
        <f>(CC138+CC139+CC143+CC147+CC148+CC149+CC155+CC160+CC170+CC173+CC174+CC183)</f>
        <v>#DIV/0!</v>
      </c>
      <c r="CD191" s="16" t="e">
        <f>(CD138+CD139+CD143+CD147+CD148+CD149+CD155+CD160+CD170+CD173+CD174+CD183)</f>
        <v>#DIV/0!</v>
      </c>
      <c r="CE191" s="16" t="e">
        <f>SUM(CE138,CE139,CE143,CE147,CE148,CE149,CE155,CE170,CE173,CE174,CE183,CE160)</f>
        <v>#DIV/0!</v>
      </c>
      <c r="CF191" s="16" t="e">
        <f>(CF138+CF139+CF143+CF147+CF148+CF149+CF155+CF160+CF170+CF173+CF174+CF183)</f>
        <v>#DIV/0!</v>
      </c>
      <c r="CG191" s="16" t="e">
        <f>(CG138+CG139+CG143+CG147+CG148+CG149+CG155+CG160+CG170+CG173+CG174+CG183)</f>
        <v>#DIV/0!</v>
      </c>
      <c r="CH191" s="16" t="e">
        <f>(CH138+CH139+CH143+CH147+CH148+CH149+CH155+CH160+CH170+CH173+CH174+CH183)</f>
        <v>#DIV/0!</v>
      </c>
      <c r="CI191" s="16" t="e">
        <f>(CI138+CI139+CI143+CI147+CI148+CI149+CI155+CI160+CI170+CI173+CI174+CI183)</f>
        <v>#DIV/0!</v>
      </c>
      <c r="CJ191" s="16" t="e">
        <f>SUM(CJ138,CJ139,CJ143,CJ147,CJ148,CJ149,CJ155,CJ170,CJ173,CJ174,CJ183,CJ160)</f>
        <v>#DIV/0!</v>
      </c>
      <c r="CK191" s="16" t="e">
        <f>(CK138+CK139+CK143+CK147+CK148+CK149+CK155+CK160+CK170+CK173+CK174+CK183)</f>
        <v>#DIV/0!</v>
      </c>
      <c r="CL191" s="16" t="e">
        <f>(CL138+CL139+CL143+CL147+CL148+CL149+CL155+CL160+CL170+CL173+CL174+CL183)</f>
        <v>#DIV/0!</v>
      </c>
      <c r="CM191" s="16" t="e">
        <f>(CM138+CM139+CM143+CM147+CM148+CM149+CM155+CM160+CM170+CM173+CM174+CM183)</f>
        <v>#DIV/0!</v>
      </c>
      <c r="CN191" s="16" t="e">
        <f>(CN138+CN139+CN143+CN147+CN148+CN149+CN155+CN160+CN170+CN173+CN174+CN183)</f>
        <v>#DIV/0!</v>
      </c>
      <c r="CO191" s="16" t="e">
        <f>SUM(CO138,CO139,CO143,CO147,CO148,CO149,CO155,CO170,CO173,CO174,CO183,CO160)</f>
        <v>#DIV/0!</v>
      </c>
      <c r="CP191" s="16" t="e">
        <f>(CP138+CP139+CP143+CP147+CP148+CP149+CP155+CP160+CP170+CP173+CP174+CP183)</f>
        <v>#DIV/0!</v>
      </c>
      <c r="CQ191" s="16" t="e">
        <f>(CQ138+CQ139+CQ143+CQ147+CQ148+CQ149+CQ155+CQ160+CQ170+CQ173+CQ174+CQ183)</f>
        <v>#DIV/0!</v>
      </c>
      <c r="CR191" s="16" t="e">
        <f>(CR138+CR139+CR143+CR147+CR148+CR149+CR155+CR160+CR170+CR173+CR174+CR183)</f>
        <v>#DIV/0!</v>
      </c>
      <c r="CS191" s="16" t="e">
        <f>(CS138+CS139+CS143+CS147+CS148+CS149+CS155+CS160+CS170+CS173+CS174+CS183)</f>
        <v>#DIV/0!</v>
      </c>
      <c r="CT191" s="16" t="e">
        <f>SUM(CT138,CT139,CT143,CT147,CT148,CT149,CT155,CT170,CT173,CT174,CT183,CT160)</f>
        <v>#DIV/0!</v>
      </c>
      <c r="CU191" s="16" t="e">
        <f>(CU138+CU139+CU143+CU147+CU148+CU149+CU155+CU160+CU170+CU173+CU174+CU183)</f>
        <v>#DIV/0!</v>
      </c>
      <c r="CV191" s="16" t="e">
        <f>(CV138+CV139+CV143+CV147+CV148+CV149+CV155+CV160+CV170+CV173+CV174+CV183)</f>
        <v>#DIV/0!</v>
      </c>
      <c r="CW191" s="16" t="e">
        <f>(CW138+CW139+CW143+CW147+CW148+CW149+CW155+CW160+CW170+CW173+CW174+CW183)</f>
        <v>#DIV/0!</v>
      </c>
      <c r="CX191" s="16" t="e">
        <f>(CX138+CX139+CX143+CX147+CX148+CX149+CX155+CX160+CX170+CX173+CX174+CX183)</f>
        <v>#DIV/0!</v>
      </c>
      <c r="CY191" s="16" t="e">
        <f>SUM(CY138,CY139,CY143,CY147,CY148,CY149,CY155,CY170,CY173,CY174,CY183,CY160)</f>
        <v>#DIV/0!</v>
      </c>
    </row>
    <row r="192">
      <c r="C192" s="26" t="inlineStr">
        <is>
          <t>Accounts payable</t>
        </is>
      </c>
      <c r="D192" s="25">
        <f>INDEX('Inputs (2)'!$D$28:$AL$28,MATCH(D$7,'Inputs (2)'!$D$2:$AL$2,0))</f>
        <v>545.488</v>
      </c>
      <c r="E192" s="25">
        <f>INDEX('Inputs (2)'!$D$28:$AL$28,MATCH(E$7,'Inputs (2)'!$D$2:$AL$2,0))</f>
        <v>446.668</v>
      </c>
      <c r="F192" s="25">
        <f>INDEX('Inputs (2)'!$D$28:$AL$28,MATCH(F$7,'Inputs (2)'!$D$2:$AL$2,0))</f>
        <v>541.298</v>
      </c>
      <c r="G192" s="25">
        <f>INDEX('Inputs (2)'!$D$28:$AL$28,MATCH(G$7,'Inputs (2)'!$D$2:$AL$2,0))</f>
        <v>656.183</v>
      </c>
      <c r="H192" s="3">
        <f>G192</f>
        <v>656.183</v>
      </c>
      <c r="I192" s="25">
        <f>INDEX('Inputs (2)'!$D$28:$AL$28,MATCH(I$7,'Inputs (2)'!$D$2:$AL$2,0))</f>
        <v>532.942</v>
      </c>
      <c r="J192" s="25">
        <f>INDEX('Inputs (2)'!$D$28:$AL$28,MATCH(J$7,'Inputs (2)'!$D$2:$AL$2,0))</f>
        <v>622.931</v>
      </c>
      <c r="K192" s="25">
        <f>INDEX('Inputs (2)'!$D$28:$AL$28,MATCH(K$7,'Inputs (2)'!$D$2:$AL$2,0))</f>
        <v>643.059</v>
      </c>
      <c r="L192" s="25">
        <f>INDEX('Inputs (2)'!$D$28:$AL$28,MATCH(L$7,'Inputs (2)'!$D$2:$AL$2,0))</f>
        <v>837.483</v>
      </c>
      <c r="M192" s="3">
        <f>L192</f>
        <v>837.483</v>
      </c>
      <c r="N192" s="25">
        <f>INDEX('Inputs (2)'!$D$28:$AL$28,MATCH(N$7,'Inputs (2)'!$D$2:$AL$2,0))</f>
        <v>617.202</v>
      </c>
      <c r="O192" s="25">
        <f>INDEX('Inputs (2)'!$D$28:$AL$28,MATCH(O$7,'Inputs (2)'!$D$2:$AL$2,0))</f>
        <v>504.278</v>
      </c>
      <c r="P192" s="25">
        <f>INDEX('Inputs (2)'!$D$28:$AL$28,MATCH(P$7,'Inputs (2)'!$D$2:$AL$2,0))</f>
        <v>560.156</v>
      </c>
      <c r="Q192" s="25">
        <f>INDEX('Inputs (2)'!$D$28:$AL$28,MATCH(Q$7,'Inputs (2)'!$D$2:$AL$2,0))</f>
        <v>671.513</v>
      </c>
      <c r="R192" s="3">
        <f>Q192</f>
        <v>671.513</v>
      </c>
      <c r="S192" s="25">
        <f>INDEX('Inputs (2)'!$D$28:$AL$28,MATCH(S$7,'Inputs (2)'!$D$2:$AL$2,0))</f>
        <v>591.987</v>
      </c>
      <c r="T192" s="25">
        <f>INDEX('Inputs (2)'!$D$28:$AL$28,MATCH(T$7,'Inputs (2)'!$D$2:$AL$2,0))</f>
        <v>615.374</v>
      </c>
      <c r="U192" s="25">
        <f>INDEX('Inputs (2)'!$D$28:$AL$28,MATCH(U$7,'Inputs (2)'!$D$2:$AL$2,0))</f>
        <v>534.429</v>
      </c>
      <c r="V192" s="25">
        <f>INDEX('Inputs (2)'!$D$28:$AL$28,MATCH(V$7,'Inputs (2)'!$D$2:$AL$2,0))</f>
        <v>747.412</v>
      </c>
      <c r="W192" s="3">
        <f>V192</f>
        <v>747.412</v>
      </c>
      <c r="X192" s="25">
        <f>INDEX('Inputs (2)'!$D$28:$AL$28,MATCH(X$7,'Inputs (2)'!$D$2:$AL$2,0))</f>
        <v>607.348</v>
      </c>
      <c r="Y192" s="25">
        <f>INDEX('Inputs (2)'!$D$28:$AL$28,MATCH(Y$7,'Inputs (2)'!$D$2:$AL$2,0))</f>
        <v>598.557</v>
      </c>
      <c r="Z192" s="25">
        <f>INDEX('Inputs (2)'!$D$28:$AL$28,MATCH(Z$7,'Inputs (2)'!$D$2:$AL$2,0))</f>
        <v>641.953</v>
      </c>
      <c r="AA192" s="25">
        <f>INDEX('Inputs (2)'!$D$28:$AL$28,MATCH(AA$7,'Inputs (2)'!$D$2:$AL$2,0))</f>
        <v>899.909</v>
      </c>
      <c r="AB192" s="3">
        <f>AA192</f>
        <v>899.909</v>
      </c>
      <c r="AC192" s="25">
        <f>INDEX('Inputs (2)'!$D$28:$AL$28,MATCH(AC$7,'Inputs (2)'!$D$2:$AL$2,0))</f>
        <v>614.489</v>
      </c>
      <c r="AD192" s="25">
        <f>INDEX('Inputs (2)'!$D$28:$AL$28,MATCH(AD$7,'Inputs (2)'!$D$2:$AL$2,0))</f>
        <v>632.718</v>
      </c>
      <c r="AE192" s="25">
        <f>INDEX('Inputs (2)'!$D$28:$AL$28,MATCH(AE$7,'Inputs (2)'!$D$2:$AL$2,0))</f>
        <v>793.233</v>
      </c>
      <c r="AF192" s="25">
        <f>INDEX('Inputs (2)'!$D$28:$AL$28,MATCH(AF$7,'Inputs (2)'!$D$2:$AL$2,0))</f>
        <v>900.612</v>
      </c>
      <c r="AG192" s="3">
        <f>AF192</f>
        <v>900.612</v>
      </c>
      <c r="AH192" s="3">
        <f>INDEX('Inputs (2)'!$D$28:$AL$28,MATCH(AH$7,'Inputs (2)'!$D$2:$AL$2,0))</f>
        <v>894.681</v>
      </c>
      <c r="AI192" s="3">
        <f>INDEX('Inputs (2)'!$D$28:$AL$28,MATCH(AI$7,'Inputs (2)'!$D$2:$AL$2,0))</f>
        <v>814.551</v>
      </c>
      <c r="AJ192" s="3">
        <f>(AJ193/(AJ$5-AI$5))*-AJ48</f>
        <v>0</v>
      </c>
      <c r="AK192" s="3">
        <f>(AK193/(AK$5-AJ$5))*-AK48</f>
        <v>0</v>
      </c>
      <c r="AL192" s="3">
        <f>AK192</f>
        <v>0</v>
      </c>
      <c r="AM192" s="3">
        <f>(AM193/(AM$5-AL$5))*-AM48</f>
        <v>0</v>
      </c>
      <c r="AN192" s="3">
        <f>(AN193/(AN$5-AM$5))*-AN48</f>
        <v>0</v>
      </c>
      <c r="AO192" s="3">
        <f>(AO193/(AO$5-AN$5))*-AO48</f>
        <v>0</v>
      </c>
      <c r="AP192" s="3">
        <f>(AP193/(AP$5-AO$5))*-AP48</f>
        <v>0</v>
      </c>
      <c r="AQ192" s="3">
        <f>AP192</f>
        <v>0</v>
      </c>
      <c r="AR192" s="3">
        <f>(AR193/(AR$5-AQ$5))*-AR48</f>
        <v>0</v>
      </c>
      <c r="AS192" s="3">
        <f>(AS193/(AS$5-AR$5))*-AS48</f>
        <v>0</v>
      </c>
      <c r="AT192" s="3">
        <f>(AT193/(AT$5-AS$5))*-AT48</f>
        <v>0</v>
      </c>
      <c r="AU192" s="3">
        <f>(AU193/(AU$5-AT$5))*-AU48</f>
        <v>0</v>
      </c>
      <c r="AV192" s="3">
        <f>AU192</f>
        <v>0</v>
      </c>
      <c r="AW192" s="3">
        <f>(AW193/(AW$5-AV$5))*-AW48</f>
        <v>0</v>
      </c>
      <c r="AX192" s="3">
        <f>(AX193/(AX$5-AW$5))*-AX48</f>
        <v>0</v>
      </c>
      <c r="AY192" s="3">
        <f>(AY193/(AY$5-AX$5))*-AY48</f>
        <v>0</v>
      </c>
      <c r="AZ192" s="3">
        <f>(AZ193/(AZ$5-AY$5))*-AZ48</f>
        <v>0</v>
      </c>
      <c r="BA192" s="3">
        <f>AZ192</f>
        <v>0</v>
      </c>
      <c r="BB192" s="3">
        <f>(BB193/(BB$5-BA$5))*-BB48</f>
        <v>0</v>
      </c>
      <c r="BC192" s="3">
        <f>(BC193/(BC$5-BB$5))*-BC48</f>
        <v>0</v>
      </c>
      <c r="BD192" s="3">
        <f>(BD193/(BD$5-BC$5))*-BD48</f>
        <v>0</v>
      </c>
      <c r="BE192" s="3">
        <f>(BE193/(BE$5-BD$5))*-BE48</f>
        <v>0</v>
      </c>
      <c r="BF192" s="3">
        <f>BE192</f>
        <v>0</v>
      </c>
      <c r="BG192" s="3">
        <f>(BG193/(BG$5-BF$5))*-BG48</f>
        <v>0</v>
      </c>
      <c r="BH192" s="3">
        <f>(BH193/(BH$5-BG$5))*-BH48</f>
        <v>0</v>
      </c>
      <c r="BI192" s="3">
        <f>(BI193/(BI$5-BH$5))*-BI48</f>
        <v>0</v>
      </c>
      <c r="BJ192" s="3">
        <f>(BJ193/(BJ$5-BI$5))*-BJ48</f>
        <v>0</v>
      </c>
      <c r="BK192" s="3">
        <f>BJ192</f>
        <v>0</v>
      </c>
      <c r="BL192" s="3">
        <f>(BL193/(BL$5-BK$5))*-BL48</f>
        <v>0</v>
      </c>
      <c r="BM192" s="3">
        <f>(BM193/(BM$5-BL$5))*-BM48</f>
        <v>0</v>
      </c>
      <c r="BN192" s="3">
        <f>(BN193/(BN$5-BM$5))*-BN48</f>
        <v>0</v>
      </c>
      <c r="BO192" s="3">
        <f>(BO193/(BO$5-BN$5))*-BO48</f>
        <v>0</v>
      </c>
      <c r="BP192" s="3">
        <f>BO192</f>
        <v>0</v>
      </c>
      <c r="BQ192" s="3">
        <f>(BQ193/(BQ$5-BP$5))*-BQ48</f>
        <v>0</v>
      </c>
      <c r="BR192" s="3">
        <f>(BR193/(BR$5-BQ$5))*-BR48</f>
        <v>0</v>
      </c>
      <c r="BS192" s="3">
        <f>(BS193/(BS$5-BR$5))*-BS48</f>
        <v>0</v>
      </c>
      <c r="BT192" s="3">
        <f>(BT193/(BT$5-BS$5))*-BT48</f>
        <v>0</v>
      </c>
      <c r="BU192" s="3">
        <f>BT192</f>
        <v>0</v>
      </c>
      <c r="BV192" s="3">
        <f>(BV193/(BV$5-BU$5))*-BV48</f>
        <v>0</v>
      </c>
      <c r="BW192" s="3">
        <f>(BW193/(BW$5-BV$5))*-BW48</f>
        <v>0</v>
      </c>
      <c r="BX192" s="3">
        <f>(BX193/(BX$5-BW$5))*-BX48</f>
        <v>0</v>
      </c>
      <c r="BY192" s="3">
        <f>(BY193/(BY$5-BX$5))*-BY48</f>
        <v>0</v>
      </c>
      <c r="BZ192" s="3">
        <f>BY192</f>
        <v>0</v>
      </c>
      <c r="CA192" s="3">
        <f>(CA193/(CA$5-BZ$5))*-CA48</f>
        <v>0</v>
      </c>
      <c r="CB192" s="3">
        <f>(CB193/(CB$5-CA$5))*-CB48</f>
        <v>0</v>
      </c>
      <c r="CC192" s="3">
        <f>(CC193/(CC$5-CB$5))*-CC48</f>
        <v>0</v>
      </c>
      <c r="CD192" s="3">
        <f>(CD193/(CD$5-CC$5))*-CD48</f>
        <v>0</v>
      </c>
      <c r="CE192" s="3">
        <f>CD192</f>
        <v>0</v>
      </c>
      <c r="CF192" s="3">
        <f>(CF193/(CF$5-CE$5))*-CF48</f>
        <v>0</v>
      </c>
      <c r="CG192" s="3">
        <f>(CG193/(CG$5-CF$5))*-CG48</f>
        <v>0</v>
      </c>
      <c r="CH192" s="3">
        <f>(CH193/(CH$5-CG$5))*-CH48</f>
        <v>0</v>
      </c>
      <c r="CI192" s="3">
        <f>(CI193/(CI$5-CH$5))*-CI48</f>
        <v>0</v>
      </c>
      <c r="CJ192" s="3">
        <f>CI192</f>
        <v>0</v>
      </c>
      <c r="CK192" s="3">
        <f>(CK193/(CK$5-CJ$5))*-CK48</f>
        <v>0</v>
      </c>
      <c r="CL192" s="3">
        <f>(CL193/(CL$5-CK$5))*-CL48</f>
        <v>0</v>
      </c>
      <c r="CM192" s="3">
        <f>(CM193/(CM$5-CL$5))*-CM48</f>
        <v>0</v>
      </c>
      <c r="CN192" s="3">
        <f>(CN193/(CN$5-CM$5))*-CN48</f>
        <v>0</v>
      </c>
      <c r="CO192" s="3">
        <f>CN192</f>
        <v>0</v>
      </c>
      <c r="CP192" s="3">
        <f>(CP193/(CP$5-CO$5))*-CP48</f>
        <v>0</v>
      </c>
      <c r="CQ192" s="3">
        <f>(CQ193/(CQ$5-CP$5))*-CQ48</f>
        <v>0</v>
      </c>
      <c r="CR192" s="3">
        <f>(CR193/(CR$5-CQ$5))*-CR48</f>
        <v>0</v>
      </c>
      <c r="CS192" s="3">
        <f>(CS193/(CS$5-CR$5))*-CS48</f>
        <v>0</v>
      </c>
      <c r="CT192" s="3">
        <f>CS192</f>
        <v>0</v>
      </c>
      <c r="CU192" s="3">
        <f>(CU193/(CU$5-CT$5))*-CU48</f>
        <v>0</v>
      </c>
      <c r="CV192" s="3">
        <f>(CV193/(CV$5-CU$5))*-CV48</f>
        <v>0</v>
      </c>
      <c r="CW192" s="3">
        <f>(CW193/(CW$5-CV$5))*-CW48</f>
        <v>0</v>
      </c>
      <c r="CX192" s="3">
        <f>(CX193/(CX$5-CW$5))*-CX48</f>
        <v>0</v>
      </c>
      <c r="CY192" s="3">
        <f>CX192</f>
        <v>0</v>
      </c>
    </row>
    <row r="193" hidden="1" outlineLevel="1">
      <c r="C193" s="34" t="inlineStr">
        <is>
          <t>DPO</t>
        </is>
      </c>
      <c r="D193" s="3" t="n"/>
      <c r="E193" s="3">
        <f>-(E192/E$48)*(E$5-D$5)</f>
        <v>11.1553393288758</v>
      </c>
      <c r="F193" s="3">
        <f>-(F192/F$48)*(F$5-E$5)</f>
        <v>12.8755486069295</v>
      </c>
      <c r="G193" s="3">
        <f>-(G192/G$48)*(G$5-F$5)</f>
        <v>14.4937615841888</v>
      </c>
      <c r="H193" s="3" t="n"/>
      <c r="I193" s="3">
        <f>-(I192/I$48)*(I$5-H$5)</f>
        <v>12.3987704830101</v>
      </c>
      <c r="J193" s="3">
        <f>-(J192/J$48)*(J$5-I$5)</f>
        <v>14.108165289865</v>
      </c>
      <c r="K193" s="3">
        <f>-(K192/K$48)*(K$5-J$5)</f>
        <v>14.0639905633757</v>
      </c>
      <c r="L193" s="3">
        <f>-(L192/L$48)*(L$5-K$5)</f>
        <v>14.705092684044</v>
      </c>
      <c r="M193" s="3" t="n"/>
      <c r="N193" s="3">
        <f>-(N192/N$48)*(N$5-M$5)</f>
        <v>12.964295091494</v>
      </c>
      <c r="O193" s="3">
        <f>-(O192/O$48)*(O$5-N$5)</f>
        <v>9.78292364448793</v>
      </c>
      <c r="P193" s="3">
        <f>-(P192/P$48)*(P$5-O$5)</f>
        <v>10.7617367262066</v>
      </c>
      <c r="Q193" s="3">
        <f>-(Q192/Q$48)*(Q$5-P$5)</f>
        <v>11.431785143297</v>
      </c>
      <c r="R193" s="3" t="n"/>
      <c r="S193" s="3">
        <f>-(S192/S$48)*(S$5-R$5)</f>
        <v>11.0913799474355</v>
      </c>
      <c r="T193" s="3">
        <f>-(T192/T$48)*(T$5-S$5)</f>
        <v>11.9823244826649</v>
      </c>
      <c r="U193" s="3">
        <f>-(U192/U$48)*(U$5-T$5)</f>
        <v>9.9715234157299</v>
      </c>
      <c r="V193" s="3">
        <f>-(V192/V$48)*(V$5-U$5)</f>
        <v>12.9556473546322</v>
      </c>
      <c r="W193" s="3" t="n"/>
      <c r="X193" s="3">
        <f>-(X192/X$48)*(X$5-W$5)</f>
        <v>11.1046528752944</v>
      </c>
      <c r="Y193" s="3">
        <f>-(Y192/Y$48)*(Y$5-X$5)</f>
        <v>10.527093472291</v>
      </c>
      <c r="Z193" s="3">
        <f>-(Z192/Z$48)*(Z$5-Y$5)</f>
        <v>11.5353543166212</v>
      </c>
      <c r="AA193" s="3">
        <f>-(AA192/AA$48)*(AA$5-Z$5)</f>
        <v>14.3551938112455</v>
      </c>
      <c r="AB193" s="3" t="n"/>
      <c r="AC193" s="3">
        <f>-(AC192/AC$48)*(AC$5-AB$5)</f>
        <v>10.5077836511122</v>
      </c>
      <c r="AD193" s="3">
        <f>-(AD192/AD$48)*(AD$5-AC$5)</f>
        <v>10.8120141715667</v>
      </c>
      <c r="AE193" s="3">
        <f>-(AE192/AE$48)*(AE$5-AD$5)</f>
        <v>11.8388183477309</v>
      </c>
      <c r="AF193" s="6">
        <f>-(AF192/AF$48)*(AF$5-AE$5)</f>
        <v>12.7029155917537</v>
      </c>
      <c r="AG193" s="3" t="n"/>
      <c r="AH193" s="6">
        <f>-(AH192/AH$48)*(AH$5-AG$5)</f>
        <v>13.674938071457</v>
      </c>
      <c r="AI193" s="6">
        <f>-(AI192/AI$48)*(AI$5-AH$5)</f>
        <v>12.2783784567245</v>
      </c>
      <c r="AJ193" s="6" t="n"/>
      <c r="AK193" s="6" t="n"/>
      <c r="AL193" s="3" t="n"/>
      <c r="AM193" s="6" t="n"/>
      <c r="AN193" s="6" t="n"/>
      <c r="AO193" s="6" t="n"/>
      <c r="AP193" s="6" t="n"/>
      <c r="AQ193" s="3" t="n"/>
      <c r="AR193" s="6" t="n"/>
      <c r="AS193" s="6" t="n"/>
      <c r="AT193" s="6" t="n"/>
      <c r="AU193" s="6" t="n"/>
      <c r="AV193" s="3" t="n"/>
      <c r="AW193" s="6" t="n"/>
      <c r="AX193" s="6" t="n"/>
      <c r="AY193" s="6" t="n"/>
      <c r="AZ193" s="6" t="n"/>
      <c r="BA193" s="3" t="n"/>
      <c r="BB193" s="6" t="n"/>
      <c r="BC193" s="6" t="n"/>
      <c r="BD193" s="6" t="n"/>
      <c r="BE193" s="6" t="n"/>
      <c r="BF193" s="3" t="n"/>
      <c r="BG193" s="6" t="n"/>
      <c r="BH193" s="6" t="n"/>
      <c r="BI193" s="6" t="n"/>
      <c r="BJ193" s="6" t="n"/>
      <c r="BK193" s="3" t="n"/>
      <c r="BL193" s="6" t="n"/>
      <c r="BM193" s="6" t="n"/>
      <c r="BN193" s="6" t="n"/>
      <c r="BO193" s="6" t="n"/>
      <c r="BP193" s="3" t="n"/>
      <c r="BQ193" s="6" t="n"/>
      <c r="BR193" s="6" t="n"/>
      <c r="BS193" s="6" t="n"/>
      <c r="BT193" s="6" t="n"/>
      <c r="BU193" s="3" t="n"/>
      <c r="BV193" s="6" t="n"/>
      <c r="BW193" s="6" t="n"/>
      <c r="BX193" s="6" t="n"/>
      <c r="BY193" s="6" t="n"/>
      <c r="BZ193" s="3" t="n"/>
      <c r="CA193" s="6" t="n"/>
      <c r="CB193" s="6" t="n"/>
      <c r="CC193" s="6" t="n"/>
      <c r="CD193" s="6" t="n"/>
      <c r="CE193" s="3" t="n"/>
      <c r="CF193" s="6" t="n"/>
      <c r="CG193" s="6" t="n"/>
      <c r="CH193" s="6" t="n"/>
      <c r="CI193" s="6" t="n"/>
      <c r="CJ193" s="3" t="n"/>
      <c r="CK193" s="6" t="n"/>
      <c r="CL193" s="6" t="n"/>
      <c r="CM193" s="6" t="n"/>
      <c r="CN193" s="6" t="n"/>
      <c r="CO193" s="3" t="n"/>
      <c r="CP193" s="6" t="n"/>
      <c r="CQ193" s="6" t="n"/>
      <c r="CR193" s="6" t="n"/>
      <c r="CS193" s="6" t="n"/>
      <c r="CT193" s="3" t="n"/>
      <c r="CU193" s="6" t="n"/>
      <c r="CV193" s="6" t="n"/>
      <c r="CW193" s="6" t="n"/>
      <c r="CX193" s="6" t="n"/>
      <c r="CY193" s="3" t="n"/>
    </row>
    <row r="194" hidden="1" outlineLevel="1">
      <c r="C194" s="3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collapsed="1">
      <c r="C196" s="26" t="inlineStr">
        <is>
          <t>Accrued expenses</t>
        </is>
      </c>
      <c r="D196" s="25">
        <f>INDEX('Inputs (2)'!$D$29:$AL$29,MATCH(D$7,'Inputs (2)'!$D$2:$AL$2,0))</f>
        <v>1061.09</v>
      </c>
      <c r="E196" s="25">
        <f>INDEX('Inputs (2)'!$D$29:$AL$29,MATCH(E$7,'Inputs (2)'!$D$2:$AL$2,0))</f>
        <v>986.595</v>
      </c>
      <c r="F196" s="25">
        <f>INDEX('Inputs (2)'!$D$29:$AL$29,MATCH(F$7,'Inputs (2)'!$D$2:$AL$2,0))</f>
        <v>1259.124</v>
      </c>
      <c r="G196" s="25">
        <f>INDEX('Inputs (2)'!$D$29:$AL$29,MATCH(G$7,'Inputs (2)'!$D$2:$AL$2,0))</f>
        <v>1102.196</v>
      </c>
      <c r="H196" s="3">
        <f>G196</f>
        <v>1102.196</v>
      </c>
      <c r="I196" s="25">
        <f>INDEX('Inputs (2)'!$D$29:$AL$29,MATCH(I$7,'Inputs (2)'!$D$2:$AL$2,0))</f>
        <v>1291.812</v>
      </c>
      <c r="J196" s="25">
        <f>INDEX('Inputs (2)'!$D$29:$AL$29,MATCH(J$7,'Inputs (2)'!$D$2:$AL$2,0))</f>
        <v>1125.591</v>
      </c>
      <c r="K196" s="25">
        <f>INDEX('Inputs (2)'!$D$29:$AL$29,MATCH(K$7,'Inputs (2)'!$D$2:$AL$2,0))</f>
        <v>1413.12</v>
      </c>
      <c r="L196" s="25">
        <f>INDEX('Inputs (2)'!$D$29:$AL$29,MATCH(L$7,'Inputs (2)'!$D$2:$AL$2,0))</f>
        <v>1449.351</v>
      </c>
      <c r="M196" s="3">
        <f>L196</f>
        <v>1449.351</v>
      </c>
      <c r="N196" s="25">
        <f>INDEX('Inputs (2)'!$D$29:$AL$29,MATCH(N$7,'Inputs (2)'!$D$2:$AL$2,0))</f>
        <v>1817.117</v>
      </c>
      <c r="O196" s="25">
        <f>INDEX('Inputs (2)'!$D$29:$AL$29,MATCH(O$7,'Inputs (2)'!$D$2:$AL$2,0))</f>
        <v>1596.035</v>
      </c>
      <c r="P196" s="25">
        <f>INDEX('Inputs (2)'!$D$29:$AL$29,MATCH(P$7,'Inputs (2)'!$D$2:$AL$2,0))</f>
        <v>1803.555</v>
      </c>
      <c r="Q196" s="25">
        <f>INDEX('Inputs (2)'!$D$29:$AL$29,MATCH(Q$7,'Inputs (2)'!$D$2:$AL$2,0))</f>
        <v>1514.65</v>
      </c>
      <c r="R196" s="3">
        <f>Q196</f>
        <v>1514.65</v>
      </c>
      <c r="S196" s="25">
        <f>INDEX('Inputs (2)'!$D$29:$AL$29,MATCH(S$7,'Inputs (2)'!$D$2:$AL$2,0))</f>
        <v>1718.069</v>
      </c>
      <c r="T196" s="25">
        <f>INDEX('Inputs (2)'!$D$29:$AL$29,MATCH(T$7,'Inputs (2)'!$D$2:$AL$2,0))</f>
        <v>1908.714</v>
      </c>
      <c r="U196" s="25">
        <f>INDEX('Inputs (2)'!$D$29:$AL$29,MATCH(U$7,'Inputs (2)'!$D$2:$AL$2,0))</f>
        <v>1838.908</v>
      </c>
      <c r="V196" s="25">
        <f>INDEX('Inputs (2)'!$D$29:$AL$29,MATCH(V$7,'Inputs (2)'!$D$2:$AL$2,0))</f>
        <v>1803.96</v>
      </c>
      <c r="W196" s="3">
        <f>V196</f>
        <v>1803.96</v>
      </c>
      <c r="X196" s="25">
        <f>INDEX('Inputs (2)'!$D$29:$AL$29,MATCH(X$7,'Inputs (2)'!$D$2:$AL$2,0))</f>
        <v>1977.428</v>
      </c>
      <c r="Y196" s="25">
        <f>INDEX('Inputs (2)'!$D$29:$AL$29,MATCH(Y$7,'Inputs (2)'!$D$2:$AL$2,0))</f>
        <v>1876.244</v>
      </c>
      <c r="Z196" s="25">
        <f>INDEX('Inputs (2)'!$D$29:$AL$29,MATCH(Z$7,'Inputs (2)'!$D$2:$AL$2,0))</f>
        <v>2241.758</v>
      </c>
      <c r="AA196" s="25">
        <f>INDEX('Inputs (2)'!$D$29:$AL$29,MATCH(AA$7,'Inputs (2)'!$D$2:$AL$2,0))</f>
        <v>2156.544</v>
      </c>
      <c r="AB196" s="3">
        <f>AA196</f>
        <v>2156.544</v>
      </c>
      <c r="AC196" s="25">
        <f>INDEX('Inputs (2)'!$D$29:$AL$29,MATCH(AC$7,'Inputs (2)'!$D$2:$AL$2,0))</f>
        <v>2359.518</v>
      </c>
      <c r="AD196" s="25">
        <f>INDEX('Inputs (2)'!$D$29:$AL$29,MATCH(AD$7,'Inputs (2)'!$D$2:$AL$2,0))</f>
        <v>2489.486</v>
      </c>
      <c r="AE196" s="25">
        <f>INDEX('Inputs (2)'!$D$29:$AL$29,MATCH(AE$7,'Inputs (2)'!$D$2:$AL$2,0))</f>
        <v>3111.311</v>
      </c>
      <c r="AF196" s="25">
        <f>INDEX('Inputs (2)'!$D$29:$AL$29,MATCH(AF$7,'Inputs (2)'!$D$2:$AL$2,0))</f>
        <v>3220.869</v>
      </c>
      <c r="AG196" s="3">
        <f>AF196</f>
        <v>3220.869</v>
      </c>
      <c r="AH196" s="3">
        <f>INDEX('Inputs (2)'!$D$29:$AL$29,MATCH(AH$7,'Inputs (2)'!$D$2:$AL$2,0))</f>
        <v>4441.986</v>
      </c>
      <c r="AI196" s="3">
        <f>INDEX('Inputs (2)'!$D$29:$AL$29,MATCH(AI$7,'Inputs (2)'!$D$2:$AL$2,0))</f>
        <v>3172.611</v>
      </c>
      <c r="AJ196" s="3">
        <f>AH196*AJ52/AH52</f>
        <v>0</v>
      </c>
      <c r="AK196" s="3">
        <f>AI196*AK52/AI52</f>
        <v>0</v>
      </c>
      <c r="AL196" s="3">
        <f>AK196</f>
        <v>0</v>
      </c>
      <c r="AM196" s="3" t="e">
        <f>AK196*AM52/AK52</f>
        <v>#DIV/0!</v>
      </c>
      <c r="AN196" s="3">
        <f>AL196*AN52/AL52</f>
        <v>0</v>
      </c>
      <c r="AO196" s="3" t="e">
        <f>AM196*AO52/AM52</f>
        <v>#DIV/0!</v>
      </c>
      <c r="AP196" s="3" t="e">
        <f>AN196*AP52/AN52</f>
        <v>#DIV/0!</v>
      </c>
      <c r="AQ196" s="3" t="e">
        <f>AP196</f>
        <v>#DIV/0!</v>
      </c>
      <c r="AR196" s="3" t="e">
        <f>AP196*AR52/AP52</f>
        <v>#DIV/0!</v>
      </c>
      <c r="AS196" s="3" t="e">
        <f>AQ196*AS52/AQ52</f>
        <v>#DIV/0!</v>
      </c>
      <c r="AT196" s="3" t="e">
        <f>AR196*AT52/AR52</f>
        <v>#DIV/0!</v>
      </c>
      <c r="AU196" s="3" t="e">
        <f>AS196*AU52/AS52</f>
        <v>#DIV/0!</v>
      </c>
      <c r="AV196" s="3" t="e">
        <f>AU196</f>
        <v>#DIV/0!</v>
      </c>
      <c r="AW196" s="3" t="e">
        <f>AU196*AW52/AU52</f>
        <v>#DIV/0!</v>
      </c>
      <c r="AX196" s="3" t="e">
        <f>AV196*AX52/AV52</f>
        <v>#DIV/0!</v>
      </c>
      <c r="AY196" s="3" t="e">
        <f>AW196*AY52/AW52</f>
        <v>#DIV/0!</v>
      </c>
      <c r="AZ196" s="3" t="e">
        <f>AX196*AZ52/AX52</f>
        <v>#DIV/0!</v>
      </c>
      <c r="BA196" s="3" t="e">
        <f>AZ196</f>
        <v>#DIV/0!</v>
      </c>
      <c r="BB196" s="3" t="e">
        <f>AZ196*BB52/AZ52</f>
        <v>#DIV/0!</v>
      </c>
      <c r="BC196" s="3" t="e">
        <f>BA196*BC52/BA52</f>
        <v>#DIV/0!</v>
      </c>
      <c r="BD196" s="3" t="e">
        <f>BB196*BD52/BB52</f>
        <v>#DIV/0!</v>
      </c>
      <c r="BE196" s="3" t="e">
        <f>BC196*BE52/BC52</f>
        <v>#DIV/0!</v>
      </c>
      <c r="BF196" s="3" t="e">
        <f>BE196</f>
        <v>#DIV/0!</v>
      </c>
      <c r="BG196" s="3" t="e">
        <f>BE196*BG52/BE52</f>
        <v>#DIV/0!</v>
      </c>
      <c r="BH196" s="3" t="e">
        <f>BF196*BH52/BF52</f>
        <v>#DIV/0!</v>
      </c>
      <c r="BI196" s="3" t="e">
        <f>BG196*BI52/BG52</f>
        <v>#DIV/0!</v>
      </c>
      <c r="BJ196" s="3" t="e">
        <f>BH196*BJ52/BH52</f>
        <v>#DIV/0!</v>
      </c>
      <c r="BK196" s="3" t="e">
        <f>BJ196</f>
        <v>#DIV/0!</v>
      </c>
      <c r="BL196" s="3" t="e">
        <f>BJ196*BL52/BJ52</f>
        <v>#DIV/0!</v>
      </c>
      <c r="BM196" s="3" t="e">
        <f>BK196*BM52/BK52</f>
        <v>#DIV/0!</v>
      </c>
      <c r="BN196" s="3" t="e">
        <f>BL196*BN52/BL52</f>
        <v>#DIV/0!</v>
      </c>
      <c r="BO196" s="3" t="e">
        <f>BM196*BO52/BM52</f>
        <v>#DIV/0!</v>
      </c>
      <c r="BP196" s="3" t="e">
        <f>BO196</f>
        <v>#DIV/0!</v>
      </c>
      <c r="BQ196" s="3" t="e">
        <f>BO196*BQ52/BO52</f>
        <v>#DIV/0!</v>
      </c>
      <c r="BR196" s="3" t="e">
        <f>BP196*BR52/BP52</f>
        <v>#DIV/0!</v>
      </c>
      <c r="BS196" s="3" t="e">
        <f>BQ196*BS52/BQ52</f>
        <v>#DIV/0!</v>
      </c>
      <c r="BT196" s="3" t="e">
        <f>BR196*BT52/BR52</f>
        <v>#DIV/0!</v>
      </c>
      <c r="BU196" s="3" t="e">
        <f>BT196</f>
        <v>#DIV/0!</v>
      </c>
      <c r="BV196" s="3" t="e">
        <f>BT196*BV52/BT52</f>
        <v>#DIV/0!</v>
      </c>
      <c r="BW196" s="3" t="e">
        <f>BU196*BW52/BU52</f>
        <v>#DIV/0!</v>
      </c>
      <c r="BX196" s="3" t="e">
        <f>BV196*BX52/BV52</f>
        <v>#DIV/0!</v>
      </c>
      <c r="BY196" s="3" t="e">
        <f>BW196*BY52/BW52</f>
        <v>#DIV/0!</v>
      </c>
      <c r="BZ196" s="3" t="e">
        <f>BY196</f>
        <v>#DIV/0!</v>
      </c>
      <c r="CA196" s="3" t="e">
        <f>BY196*CA52/BY52</f>
        <v>#DIV/0!</v>
      </c>
      <c r="CB196" s="3" t="e">
        <f>BZ196*CB52/BZ52</f>
        <v>#DIV/0!</v>
      </c>
      <c r="CC196" s="3" t="e">
        <f>CA196*CC52/CA52</f>
        <v>#DIV/0!</v>
      </c>
      <c r="CD196" s="3" t="e">
        <f>CB196*CD52/CB52</f>
        <v>#DIV/0!</v>
      </c>
      <c r="CE196" s="3" t="e">
        <f>CD196</f>
        <v>#DIV/0!</v>
      </c>
      <c r="CF196" s="3" t="e">
        <f>CD196*CF52/CD52</f>
        <v>#DIV/0!</v>
      </c>
      <c r="CG196" s="3" t="e">
        <f>CE196*CG52/CE52</f>
        <v>#DIV/0!</v>
      </c>
      <c r="CH196" s="3" t="e">
        <f>CF196*CH52/CF52</f>
        <v>#DIV/0!</v>
      </c>
      <c r="CI196" s="3" t="e">
        <f>CG196*CI52/CG52</f>
        <v>#DIV/0!</v>
      </c>
      <c r="CJ196" s="3" t="e">
        <f>CI196</f>
        <v>#DIV/0!</v>
      </c>
      <c r="CK196" s="3" t="e">
        <f>CI196*CK52/CI52</f>
        <v>#DIV/0!</v>
      </c>
      <c r="CL196" s="3" t="e">
        <f>CJ196*CL52/CJ52</f>
        <v>#DIV/0!</v>
      </c>
      <c r="CM196" s="3" t="e">
        <f>CK196*CM52/CK52</f>
        <v>#DIV/0!</v>
      </c>
      <c r="CN196" s="3" t="e">
        <f>CL196*CN52/CL52</f>
        <v>#DIV/0!</v>
      </c>
      <c r="CO196" s="3" t="e">
        <f>CN196</f>
        <v>#DIV/0!</v>
      </c>
      <c r="CP196" s="3" t="e">
        <f>CN196*CP52/CN52</f>
        <v>#DIV/0!</v>
      </c>
      <c r="CQ196" s="3" t="e">
        <f>CO196*CQ52/CO52</f>
        <v>#DIV/0!</v>
      </c>
      <c r="CR196" s="3" t="e">
        <f>CP196*CR52/CP52</f>
        <v>#DIV/0!</v>
      </c>
      <c r="CS196" s="3" t="e">
        <f>CQ196*CS52/CQ52</f>
        <v>#DIV/0!</v>
      </c>
      <c r="CT196" s="3" t="e">
        <f>CS196</f>
        <v>#DIV/0!</v>
      </c>
      <c r="CU196" s="3" t="e">
        <f>CS196*CU52/CS52</f>
        <v>#DIV/0!</v>
      </c>
      <c r="CV196" s="3" t="e">
        <f>CT196*CV52/CT52</f>
        <v>#DIV/0!</v>
      </c>
      <c r="CW196" s="3" t="e">
        <f>CU196*CW52/CU52</f>
        <v>#DIV/0!</v>
      </c>
      <c r="CX196" s="3" t="e">
        <f>CV196*CX52/CV52</f>
        <v>#DIV/0!</v>
      </c>
      <c r="CY196" s="3" t="e">
        <f>CX196</f>
        <v>#DIV/0!</v>
      </c>
    </row>
    <row r="197" hidden="1" outlineLevel="1">
      <c r="C197" s="38" t="inlineStr">
        <is>
          <t>%(Var.)</t>
        </is>
      </c>
      <c r="D197" s="3" t="n"/>
      <c r="E197" s="47">
        <f>(E196-D196)/D196</f>
        <v>-0.0702061088126361</v>
      </c>
      <c r="F197" s="47">
        <f>(F196-E196)/E196</f>
        <v>0.276231888464872</v>
      </c>
      <c r="G197" s="47">
        <f>(G196-F196)/F196</f>
        <v>-0.124632681133868</v>
      </c>
      <c r="H197" s="3" t="n"/>
      <c r="I197" s="47">
        <f>(I196-H196)/H196</f>
        <v>0.172034737923201</v>
      </c>
      <c r="J197" s="47">
        <f>(J196-I196)/I196</f>
        <v>-0.128672748046929</v>
      </c>
      <c r="K197" s="47">
        <f>(K196-J196)/J196</f>
        <v>0.255447138436608</v>
      </c>
      <c r="L197" s="47">
        <f>(L196-K196)/K196</f>
        <v>0.025639011548913</v>
      </c>
      <c r="M197" s="3" t="n"/>
      <c r="N197" s="47">
        <f>(N196-M196)/M196</f>
        <v>0.253745297032948</v>
      </c>
      <c r="O197" s="47">
        <f>(O196-N196)/N196</f>
        <v>-0.121666353900162</v>
      </c>
      <c r="P197" s="47">
        <f>(P196-O196)/O196</f>
        <v>0.130022211292359</v>
      </c>
      <c r="Q197" s="47">
        <f>(Q196-P196)/P196</f>
        <v>-0.160186409618781</v>
      </c>
      <c r="R197" s="3" t="n"/>
      <c r="S197" s="47">
        <f>(S196-R196)/R196</f>
        <v>0.134300993628891</v>
      </c>
      <c r="T197" s="47">
        <f>(T196-S196)/S196</f>
        <v>0.110964693501833</v>
      </c>
      <c r="U197" s="47">
        <f>(U196-T196)/T196</f>
        <v>-0.0365722680296786</v>
      </c>
      <c r="V197" s="47">
        <f>(V196-U196)/U196</f>
        <v>-0.0190047571711038</v>
      </c>
      <c r="W197" s="3" t="n"/>
      <c r="X197" s="47">
        <f>(X196-W196)/W196</f>
        <v>0.0961595600789375</v>
      </c>
      <c r="Y197" s="47">
        <f>(Y196-X196)/X196</f>
        <v>-0.0511694989653226</v>
      </c>
      <c r="Z197" s="47">
        <f>(Z196-Y196)/Y196</f>
        <v>0.194811549030936</v>
      </c>
      <c r="AA197" s="47">
        <f>(AA196-Z196)/Z196</f>
        <v>-0.0380121315503279</v>
      </c>
      <c r="AB197" s="3" t="n"/>
      <c r="AC197" s="47">
        <f>(AC196-AB196)/AB196</f>
        <v>0.0941200365028491</v>
      </c>
      <c r="AD197" s="47">
        <f>(AD196-AC196)/AC196</f>
        <v>0.0550824363280975</v>
      </c>
      <c r="AE197" s="47">
        <f>(AE196-AD196)/AD196</f>
        <v>0.249780476773117</v>
      </c>
      <c r="AF197" s="218">
        <f>(AF196-AE196)/AE196</f>
        <v>0.0352128090055928</v>
      </c>
      <c r="AG197" s="3" t="n"/>
      <c r="AH197" s="218">
        <f>(AH196-AG196)/AG196</f>
        <v>0.379126564911519</v>
      </c>
      <c r="AI197" s="218">
        <f>(AI196-AH196)/AH196</f>
        <v>-0.285767447263454</v>
      </c>
      <c r="AJ197" s="218" t="n"/>
      <c r="AK197" s="218" t="n"/>
      <c r="AL197" s="3" t="n"/>
      <c r="AM197" s="218" t="n"/>
      <c r="AN197" s="218" t="n"/>
      <c r="AO197" s="218" t="n"/>
      <c r="AP197" s="218" t="n"/>
      <c r="AQ197" s="3" t="n"/>
      <c r="AR197" s="218" t="n"/>
      <c r="AS197" s="218" t="n"/>
      <c r="AT197" s="218" t="n"/>
      <c r="AU197" s="218" t="n"/>
      <c r="AV197" s="3" t="n"/>
      <c r="AW197" s="218" t="n"/>
      <c r="AX197" s="218" t="n"/>
      <c r="AY197" s="218" t="n"/>
      <c r="AZ197" s="218" t="n"/>
      <c r="BA197" s="3" t="n"/>
      <c r="BB197" s="218" t="n"/>
      <c r="BC197" s="218" t="n"/>
      <c r="BD197" s="218" t="n"/>
      <c r="BE197" s="218" t="n"/>
      <c r="BF197" s="3" t="n"/>
      <c r="BG197" s="218" t="n"/>
      <c r="BH197" s="218" t="n"/>
      <c r="BI197" s="218" t="n"/>
      <c r="BJ197" s="218" t="n"/>
      <c r="BK197" s="3" t="n"/>
      <c r="BL197" s="218" t="n"/>
      <c r="BM197" s="218" t="n"/>
      <c r="BN197" s="218" t="n"/>
      <c r="BO197" s="218" t="n"/>
      <c r="BP197" s="3" t="n"/>
      <c r="BQ197" s="218" t="n"/>
      <c r="BR197" s="218" t="n"/>
      <c r="BS197" s="218" t="n"/>
      <c r="BT197" s="218" t="n"/>
      <c r="BU197" s="3" t="n"/>
      <c r="BV197" s="218" t="n"/>
      <c r="BW197" s="218" t="n"/>
      <c r="BX197" s="218" t="n"/>
      <c r="BY197" s="218" t="n"/>
      <c r="BZ197" s="3" t="n"/>
      <c r="CA197" s="218" t="n"/>
      <c r="CB197" s="218" t="n"/>
      <c r="CC197" s="218" t="n"/>
      <c r="CD197" s="218" t="n"/>
      <c r="CE197" s="3" t="n"/>
      <c r="CF197" s="218" t="n"/>
      <c r="CG197" s="218" t="n"/>
      <c r="CH197" s="218" t="n"/>
      <c r="CI197" s="218" t="n"/>
      <c r="CJ197" s="3" t="n"/>
      <c r="CK197" s="218" t="n"/>
      <c r="CL197" s="218" t="n"/>
      <c r="CM197" s="218" t="n"/>
      <c r="CN197" s="218" t="n"/>
      <c r="CO197" s="3" t="n"/>
      <c r="CP197" s="218" t="n"/>
      <c r="CQ197" s="218" t="n"/>
      <c r="CR197" s="218" t="n"/>
      <c r="CS197" s="218" t="n"/>
      <c r="CT197" s="3" t="n"/>
      <c r="CU197" s="218" t="n"/>
      <c r="CV197" s="218" t="n"/>
      <c r="CW197" s="218" t="n"/>
      <c r="CX197" s="218" t="n"/>
      <c r="CY197" s="3" t="n"/>
    </row>
    <row r="198" collapsed="1">
      <c r="C198" s="26" t="inlineStr">
        <is>
          <t>Taxes payable</t>
        </is>
      </c>
      <c r="D198" s="25">
        <f>INDEX('Inputs (2)'!$D$30:$AL$30,MATCH(D$7,'Inputs (2)'!$D$2:$AL$2,0))</f>
        <v>0</v>
      </c>
      <c r="E198" s="25">
        <f>INDEX('Inputs (2)'!$D$30:$AL$30,MATCH(E$7,'Inputs (2)'!$D$2:$AL$2,0))</f>
        <v>0</v>
      </c>
      <c r="F198" s="25">
        <f>INDEX('Inputs (2)'!$D$30:$AL$30,MATCH(F$7,'Inputs (2)'!$D$2:$AL$2,0))</f>
        <v>0</v>
      </c>
      <c r="G198" s="25">
        <f>INDEX('Inputs (2)'!$D$30:$AL$30,MATCH(G$7,'Inputs (2)'!$D$2:$AL$2,0))</f>
        <v>0</v>
      </c>
      <c r="H198" s="3">
        <f>G198</f>
        <v>0</v>
      </c>
      <c r="I198" s="25">
        <f>INDEX('Inputs (2)'!$D$30:$AL$30,MATCH(I$7,'Inputs (2)'!$D$2:$AL$2,0))</f>
        <v>0</v>
      </c>
      <c r="J198" s="25">
        <f>INDEX('Inputs (2)'!$D$30:$AL$30,MATCH(J$7,'Inputs (2)'!$D$2:$AL$2,0))</f>
        <v>0</v>
      </c>
      <c r="K198" s="25">
        <f>INDEX('Inputs (2)'!$D$30:$AL$30,MATCH(K$7,'Inputs (2)'!$D$2:$AL$2,0))</f>
        <v>0</v>
      </c>
      <c r="L198" s="25">
        <f>INDEX('Inputs (2)'!$D$30:$AL$30,MATCH(L$7,'Inputs (2)'!$D$2:$AL$2,0))</f>
        <v>0</v>
      </c>
      <c r="M198" s="3">
        <f>L198</f>
        <v>0</v>
      </c>
      <c r="N198" s="25">
        <f>INDEX('Inputs (2)'!$D$30:$AL$30,MATCH(N$7,'Inputs (2)'!$D$2:$AL$2,0))</f>
        <v>0</v>
      </c>
      <c r="O198" s="25">
        <f>INDEX('Inputs (2)'!$D$30:$AL$30,MATCH(O$7,'Inputs (2)'!$D$2:$AL$2,0))</f>
        <v>0</v>
      </c>
      <c r="P198" s="25">
        <f>INDEX('Inputs (2)'!$D$30:$AL$30,MATCH(P$7,'Inputs (2)'!$D$2:$AL$2,0))</f>
        <v>0</v>
      </c>
      <c r="Q198" s="25">
        <f>INDEX('Inputs (2)'!$D$30:$AL$30,MATCH(Q$7,'Inputs (2)'!$D$2:$AL$2,0))</f>
        <v>0</v>
      </c>
      <c r="R198" s="3">
        <f>Q198</f>
        <v>0</v>
      </c>
      <c r="S198" s="25">
        <f>INDEX('Inputs (2)'!$D$30:$AL$30,MATCH(S$7,'Inputs (2)'!$D$2:$AL$2,0))</f>
        <v>0</v>
      </c>
      <c r="T198" s="25">
        <f>INDEX('Inputs (2)'!$D$30:$AL$30,MATCH(T$7,'Inputs (2)'!$D$2:$AL$2,0))</f>
        <v>0</v>
      </c>
      <c r="U198" s="25">
        <f>INDEX('Inputs (2)'!$D$30:$AL$30,MATCH(U$7,'Inputs (2)'!$D$2:$AL$2,0))</f>
        <v>0</v>
      </c>
      <c r="V198" s="25">
        <f>INDEX('Inputs (2)'!$D$30:$AL$30,MATCH(V$7,'Inputs (2)'!$D$2:$AL$2,0))</f>
        <v>0</v>
      </c>
      <c r="W198" s="3">
        <f>V198</f>
        <v>0</v>
      </c>
      <c r="X198" s="25">
        <f>INDEX('Inputs (2)'!$D$30:$AL$30,MATCH(X$7,'Inputs (2)'!$D$2:$AL$2,0))</f>
        <v>0</v>
      </c>
      <c r="Y198" s="25">
        <f>INDEX('Inputs (2)'!$D$30:$AL$30,MATCH(Y$7,'Inputs (2)'!$D$2:$AL$2,0))</f>
        <v>0</v>
      </c>
      <c r="Z198" s="25">
        <f>INDEX('Inputs (2)'!$D$30:$AL$30,MATCH(Z$7,'Inputs (2)'!$D$2:$AL$2,0))</f>
        <v>0</v>
      </c>
      <c r="AA198" s="25">
        <f>INDEX('Inputs (2)'!$D$30:$AL$30,MATCH(AA$7,'Inputs (2)'!$D$2:$AL$2,0))</f>
        <v>0</v>
      </c>
      <c r="AB198" s="3">
        <f>AA198</f>
        <v>0</v>
      </c>
      <c r="AC198" s="25">
        <f>INDEX('Inputs (2)'!$D$30:$AL$30,MATCH(AC$7,'Inputs (2)'!$D$2:$AL$2,0))</f>
        <v>0</v>
      </c>
      <c r="AD198" s="25">
        <f>INDEX('Inputs (2)'!$D$30:$AL$30,MATCH(AD$7,'Inputs (2)'!$D$2:$AL$2,0))</f>
        <v>0</v>
      </c>
      <c r="AE198" s="25">
        <f>INDEX('Inputs (2)'!$D$30:$AL$30,MATCH(AE$7,'Inputs (2)'!$D$2:$AL$2,0))</f>
        <v>0</v>
      </c>
      <c r="AF198" s="25">
        <f>INDEX('Inputs (2)'!$D$30:$AL$30,MATCH(AF$7,'Inputs (2)'!$D$2:$AL$2,0))</f>
        <v>0</v>
      </c>
      <c r="AG198" s="3">
        <f>AF198</f>
        <v>0</v>
      </c>
      <c r="AH198" s="3">
        <f>INDEX('Inputs (2)'!$D$30:$AL$30,MATCH(AH$7,'Inputs (2)'!$D$2:$AL$2,0))</f>
        <v>0</v>
      </c>
      <c r="AI198" s="3">
        <f>INDEX('Inputs (2)'!$D$30:$AL$30,MATCH(AI$7,'Inputs (2)'!$D$2:$AL$2,0))</f>
        <v>0</v>
      </c>
      <c r="AJ198" s="3">
        <f>AH198*AJ125/AH125</f>
        <v>0</v>
      </c>
      <c r="AK198" s="3">
        <f>AI198*AK125/AI125</f>
        <v>0</v>
      </c>
      <c r="AL198" s="3">
        <f>AK198</f>
        <v>0</v>
      </c>
      <c r="AM198" s="3" t="e">
        <f>AK198*AM125/AK125</f>
        <v>#DIV/0!</v>
      </c>
      <c r="AN198" s="3">
        <f>AL198*AN125/AL125</f>
        <v>0</v>
      </c>
      <c r="AO198" s="3" t="e">
        <f>AM198*AO125/AM125</f>
        <v>#DIV/0!</v>
      </c>
      <c r="AP198" s="3" t="e">
        <f>AN198*AP125/AN125</f>
        <v>#DIV/0!</v>
      </c>
      <c r="AQ198" s="3" t="e">
        <f>AP198</f>
        <v>#DIV/0!</v>
      </c>
      <c r="AR198" s="3" t="e">
        <f>AP198*AR125/AP125</f>
        <v>#DIV/0!</v>
      </c>
      <c r="AS198" s="3" t="e">
        <f>AQ198*AS125/AQ125</f>
        <v>#DIV/0!</v>
      </c>
      <c r="AT198" s="3" t="e">
        <f>AR198*AT125/AR125</f>
        <v>#DIV/0!</v>
      </c>
      <c r="AU198" s="3" t="e">
        <f>AS198*AU125/AS125</f>
        <v>#DIV/0!</v>
      </c>
      <c r="AV198" s="3" t="e">
        <f>AU198</f>
        <v>#DIV/0!</v>
      </c>
      <c r="AW198" s="3" t="e">
        <f>AU198*AW125/AU125</f>
        <v>#DIV/0!</v>
      </c>
      <c r="AX198" s="3" t="e">
        <f>AV198*AX125/AV125</f>
        <v>#DIV/0!</v>
      </c>
      <c r="AY198" s="3" t="e">
        <f>AW198*AY125/AW125</f>
        <v>#DIV/0!</v>
      </c>
      <c r="AZ198" s="3" t="e">
        <f>AX198*AZ125/AX125</f>
        <v>#DIV/0!</v>
      </c>
      <c r="BA198" s="3" t="e">
        <f>AZ198</f>
        <v>#DIV/0!</v>
      </c>
      <c r="BB198" s="3" t="e">
        <f>AZ198*BB125/AZ125</f>
        <v>#DIV/0!</v>
      </c>
      <c r="BC198" s="3" t="e">
        <f>BA198*BC125/BA125</f>
        <v>#DIV/0!</v>
      </c>
      <c r="BD198" s="3" t="e">
        <f>BB198*BD125/BB125</f>
        <v>#DIV/0!</v>
      </c>
      <c r="BE198" s="3" t="e">
        <f>BC198*BE125/BC125</f>
        <v>#DIV/0!</v>
      </c>
      <c r="BF198" s="3" t="e">
        <f>BE198</f>
        <v>#DIV/0!</v>
      </c>
      <c r="BG198" s="3" t="e">
        <f>BE198*BG125/BE125</f>
        <v>#DIV/0!</v>
      </c>
      <c r="BH198" s="3" t="e">
        <f>BF198*BH125/BF125</f>
        <v>#DIV/0!</v>
      </c>
      <c r="BI198" s="3" t="e">
        <f>BG198*BI125/BG125</f>
        <v>#DIV/0!</v>
      </c>
      <c r="BJ198" s="3" t="e">
        <f>BH198*BJ125/BH125</f>
        <v>#DIV/0!</v>
      </c>
      <c r="BK198" s="3" t="e">
        <f>BJ198</f>
        <v>#DIV/0!</v>
      </c>
      <c r="BL198" s="3" t="e">
        <f>BJ198*BL125/BJ125</f>
        <v>#DIV/0!</v>
      </c>
      <c r="BM198" s="3" t="e">
        <f>BK198*BM125/BK125</f>
        <v>#DIV/0!</v>
      </c>
      <c r="BN198" s="3" t="e">
        <f>BL198*BN125/BL125</f>
        <v>#DIV/0!</v>
      </c>
      <c r="BO198" s="3" t="e">
        <f>BM198*BO125/BM125</f>
        <v>#DIV/0!</v>
      </c>
      <c r="BP198" s="3" t="e">
        <f>BO198</f>
        <v>#DIV/0!</v>
      </c>
      <c r="BQ198" s="3" t="e">
        <f>BO198*BQ125/BO125</f>
        <v>#DIV/0!</v>
      </c>
      <c r="BR198" s="3" t="e">
        <f>BP198*BR125/BP125</f>
        <v>#DIV/0!</v>
      </c>
      <c r="BS198" s="3" t="e">
        <f>BQ198*BS125/BQ125</f>
        <v>#DIV/0!</v>
      </c>
      <c r="BT198" s="3" t="e">
        <f>BR198*BT125/BR125</f>
        <v>#DIV/0!</v>
      </c>
      <c r="BU198" s="3" t="e">
        <f>BT198</f>
        <v>#DIV/0!</v>
      </c>
      <c r="BV198" s="3" t="e">
        <f>BT198*BV125/BT125</f>
        <v>#DIV/0!</v>
      </c>
      <c r="BW198" s="3" t="e">
        <f>BU198*BW125/BU125</f>
        <v>#DIV/0!</v>
      </c>
      <c r="BX198" s="3" t="e">
        <f>BV198*BX125/BV125</f>
        <v>#DIV/0!</v>
      </c>
      <c r="BY198" s="3" t="e">
        <f>BW198*BY125/BW125</f>
        <v>#DIV/0!</v>
      </c>
      <c r="BZ198" s="3" t="e">
        <f>BY198</f>
        <v>#DIV/0!</v>
      </c>
      <c r="CA198" s="3" t="e">
        <f>BY198*CA125/BY125</f>
        <v>#DIV/0!</v>
      </c>
      <c r="CB198" s="3" t="e">
        <f>BZ198*CB125/BZ125</f>
        <v>#DIV/0!</v>
      </c>
      <c r="CC198" s="3" t="e">
        <f>CA198*CC125/CA125</f>
        <v>#DIV/0!</v>
      </c>
      <c r="CD198" s="3" t="e">
        <f>CB198*CD125/CB125</f>
        <v>#DIV/0!</v>
      </c>
      <c r="CE198" s="3" t="e">
        <f>CD198</f>
        <v>#DIV/0!</v>
      </c>
      <c r="CF198" s="3" t="e">
        <f>CD198*CF125/CD125</f>
        <v>#DIV/0!</v>
      </c>
      <c r="CG198" s="3" t="e">
        <f>CE198*CG125/CE125</f>
        <v>#DIV/0!</v>
      </c>
      <c r="CH198" s="3" t="e">
        <f>CF198*CH125/CF125</f>
        <v>#DIV/0!</v>
      </c>
      <c r="CI198" s="3" t="e">
        <f>CG198*CI125/CG125</f>
        <v>#DIV/0!</v>
      </c>
      <c r="CJ198" s="3" t="e">
        <f>CI198</f>
        <v>#DIV/0!</v>
      </c>
      <c r="CK198" s="3" t="e">
        <f>CI198*CK125/CI125</f>
        <v>#DIV/0!</v>
      </c>
      <c r="CL198" s="3" t="e">
        <f>CJ198*CL125/CJ125</f>
        <v>#DIV/0!</v>
      </c>
      <c r="CM198" s="3" t="e">
        <f>CK198*CM125/CK125</f>
        <v>#DIV/0!</v>
      </c>
      <c r="CN198" s="3" t="e">
        <f>CL198*CN125/CL125</f>
        <v>#DIV/0!</v>
      </c>
      <c r="CO198" s="3" t="e">
        <f>CN198</f>
        <v>#DIV/0!</v>
      </c>
      <c r="CP198" s="3" t="e">
        <f>CN198*CP125/CN125</f>
        <v>#DIV/0!</v>
      </c>
      <c r="CQ198" s="3" t="e">
        <f>CO198*CQ125/CO125</f>
        <v>#DIV/0!</v>
      </c>
      <c r="CR198" s="3" t="e">
        <f>CP198*CR125/CP125</f>
        <v>#DIV/0!</v>
      </c>
      <c r="CS198" s="3" t="e">
        <f>CQ198*CS125/CQ125</f>
        <v>#DIV/0!</v>
      </c>
      <c r="CT198" s="3" t="e">
        <f>CS198</f>
        <v>#DIV/0!</v>
      </c>
      <c r="CU198" s="3" t="e">
        <f>CS198*CU125/CS125</f>
        <v>#DIV/0!</v>
      </c>
      <c r="CV198" s="3" t="e">
        <f>CT198*CV125/CT125</f>
        <v>#DIV/0!</v>
      </c>
      <c r="CW198" s="3" t="e">
        <f>CU198*CW125/CU125</f>
        <v>#DIV/0!</v>
      </c>
      <c r="CX198" s="3" t="e">
        <f>CV198*CX125/CV125</f>
        <v>#DIV/0!</v>
      </c>
      <c r="CY198" s="3" t="e">
        <f>CX198</f>
        <v>#DIV/0!</v>
      </c>
    </row>
    <row r="199">
      <c r="C199" s="26" t="inlineStr">
        <is>
          <t>Other current liabilities (non-debt)</t>
        </is>
      </c>
      <c r="D199" s="25">
        <f>INDEX('Inputs (2)'!$D$31:$AL$31,MATCH(D$7,'Inputs (2)'!$D$2:$AL$2,0))</f>
        <v>5748.338</v>
      </c>
      <c r="E199" s="25">
        <f>INDEX('Inputs (2)'!$D$31:$AL$31,MATCH(E$7,'Inputs (2)'!$D$2:$AL$2,0))</f>
        <v>5693.994</v>
      </c>
      <c r="F199" s="25">
        <f>INDEX('Inputs (2)'!$D$31:$AL$31,MATCH(F$7,'Inputs (2)'!$D$2:$AL$2,0))</f>
        <v>5639.856</v>
      </c>
      <c r="G199" s="25">
        <f>INDEX('Inputs (2)'!$D$31:$AL$31,MATCH(G$7,'Inputs (2)'!$D$2:$AL$2,0))</f>
        <v>5547.528</v>
      </c>
      <c r="H199" s="3">
        <f>G199</f>
        <v>5547.528</v>
      </c>
      <c r="I199" s="25">
        <f>INDEX('Inputs (2)'!$D$31:$AL$31,MATCH(I$7,'Inputs (2)'!$D$2:$AL$2,0))</f>
        <v>5438.228</v>
      </c>
      <c r="J199" s="25">
        <f>INDEX('Inputs (2)'!$D$31:$AL$31,MATCH(J$7,'Inputs (2)'!$D$2:$AL$2,0))</f>
        <v>5385.238</v>
      </c>
      <c r="K199" s="25">
        <f>INDEX('Inputs (2)'!$D$31:$AL$31,MATCH(K$7,'Inputs (2)'!$D$2:$AL$2,0))</f>
        <v>5293.594</v>
      </c>
      <c r="L199" s="25">
        <f>INDEX('Inputs (2)'!$D$31:$AL$31,MATCH(L$7,'Inputs (2)'!$D$2:$AL$2,0))</f>
        <v>5502.309</v>
      </c>
      <c r="M199" s="3">
        <f>L199</f>
        <v>5502.309</v>
      </c>
      <c r="N199" s="25">
        <f>INDEX('Inputs (2)'!$D$31:$AL$31,MATCH(N$7,'Inputs (2)'!$D$2:$AL$2,0))</f>
        <v>5305.337</v>
      </c>
      <c r="O199" s="25">
        <f>INDEX('Inputs (2)'!$D$31:$AL$31,MATCH(O$7,'Inputs (2)'!$D$2:$AL$2,0))</f>
        <v>5399.709</v>
      </c>
      <c r="P199" s="25">
        <f>INDEX('Inputs (2)'!$D$31:$AL$31,MATCH(P$7,'Inputs (2)'!$D$2:$AL$2,0))</f>
        <v>5402.213</v>
      </c>
      <c r="Q199" s="25">
        <f>INDEX('Inputs (2)'!$D$31:$AL$31,MATCH(Q$7,'Inputs (2)'!$D$2:$AL$2,0))</f>
        <v>5744.811</v>
      </c>
      <c r="R199" s="3">
        <f>Q199</f>
        <v>5744.811</v>
      </c>
      <c r="S199" s="25">
        <f>INDEX('Inputs (2)'!$D$31:$AL$31,MATCH(S$7,'Inputs (2)'!$D$2:$AL$2,0))</f>
        <v>5606.851</v>
      </c>
      <c r="T199" s="25">
        <f>INDEX('Inputs (2)'!$D$31:$AL$31,MATCH(T$7,'Inputs (2)'!$D$2:$AL$2,0))</f>
        <v>5752.33</v>
      </c>
      <c r="U199" s="25">
        <f>INDEX('Inputs (2)'!$D$31:$AL$31,MATCH(U$7,'Inputs (2)'!$D$2:$AL$2,0))</f>
        <v>5565.767</v>
      </c>
      <c r="V199" s="25">
        <f>INDEX('Inputs (2)'!$D$31:$AL$31,MATCH(V$7,'Inputs (2)'!$D$2:$AL$2,0))</f>
        <v>5909.439</v>
      </c>
      <c r="W199" s="3">
        <f>V199</f>
        <v>5909.439</v>
      </c>
      <c r="X199" s="25">
        <f>INDEX('Inputs (2)'!$D$31:$AL$31,MATCH(X$7,'Inputs (2)'!$D$2:$AL$2,0))</f>
        <v>5905.505</v>
      </c>
      <c r="Y199" s="25">
        <f>INDEX('Inputs (2)'!$D$31:$AL$31,MATCH(Y$7,'Inputs (2)'!$D$2:$AL$2,0))</f>
        <v>5865.157</v>
      </c>
      <c r="Z199" s="25">
        <f>INDEX('Inputs (2)'!$D$31:$AL$31,MATCH(Z$7,'Inputs (2)'!$D$2:$AL$2,0))</f>
        <v>6003.019</v>
      </c>
      <c r="AA199" s="25">
        <f>INDEX('Inputs (2)'!$D$31:$AL$31,MATCH(AA$7,'Inputs (2)'!$D$2:$AL$2,0))</f>
        <v>5914.494</v>
      </c>
      <c r="AB199" s="3">
        <f>AA199</f>
        <v>5914.494</v>
      </c>
      <c r="AC199" s="25">
        <f>INDEX('Inputs (2)'!$D$31:$AL$31,MATCH(AC$7,'Inputs (2)'!$D$2:$AL$2,0))</f>
        <v>5738.631</v>
      </c>
      <c r="AD199" s="25">
        <f>INDEX('Inputs (2)'!$D$31:$AL$31,MATCH(AD$7,'Inputs (2)'!$D$2:$AL$2,0))</f>
        <v>5820.131</v>
      </c>
      <c r="AE199" s="25">
        <f>INDEX('Inputs (2)'!$D$31:$AL$31,MATCH(AE$7,'Inputs (2)'!$D$2:$AL$2,0))</f>
        <v>5827.315</v>
      </c>
      <c r="AF199" s="25">
        <f>INDEX('Inputs (2)'!$D$31:$AL$31,MATCH(AF$7,'Inputs (2)'!$D$2:$AL$2,0))</f>
        <v>5860.584</v>
      </c>
      <c r="AG199" s="3">
        <f>AF199</f>
        <v>5860.584</v>
      </c>
      <c r="AH199" s="3">
        <f>INDEX('Inputs (2)'!$D$31:$AL$31,MATCH(AH$7,'Inputs (2)'!$D$2:$AL$2,0))</f>
        <v>5795.726</v>
      </c>
      <c r="AI199" s="3">
        <f>INDEX('Inputs (2)'!$D$31:$AL$31,MATCH(AI$7,'Inputs (2)'!$D$2:$AL$2,0))</f>
        <v>5663.978</v>
      </c>
      <c r="AJ199" s="3">
        <f>AI199</f>
        <v>5663.978</v>
      </c>
      <c r="AK199" s="3">
        <f>AJ199</f>
        <v>5663.978</v>
      </c>
      <c r="AL199" s="3">
        <f>AK199</f>
        <v>5663.978</v>
      </c>
      <c r="AM199" s="3">
        <f>AL199</f>
        <v>5663.978</v>
      </c>
      <c r="AN199" s="3">
        <f>AM199</f>
        <v>5663.978</v>
      </c>
      <c r="AO199" s="3">
        <f>AN199</f>
        <v>5663.978</v>
      </c>
      <c r="AP199" s="3">
        <f>AO199</f>
        <v>5663.978</v>
      </c>
      <c r="AQ199" s="3">
        <f>AP199</f>
        <v>5663.978</v>
      </c>
      <c r="AR199" s="3">
        <f>AQ199</f>
        <v>5663.978</v>
      </c>
      <c r="AS199" s="3">
        <f>AR199</f>
        <v>5663.978</v>
      </c>
      <c r="AT199" s="3">
        <f>AS199</f>
        <v>5663.978</v>
      </c>
      <c r="AU199" s="3">
        <f>AT199</f>
        <v>5663.978</v>
      </c>
      <c r="AV199" s="3">
        <f>AU199</f>
        <v>5663.978</v>
      </c>
      <c r="AW199" s="3">
        <f>AV199</f>
        <v>5663.978</v>
      </c>
      <c r="AX199" s="3">
        <f>AW199</f>
        <v>5663.978</v>
      </c>
      <c r="AY199" s="3">
        <f>AX199</f>
        <v>5663.978</v>
      </c>
      <c r="AZ199" s="3">
        <f>AY199</f>
        <v>5663.978</v>
      </c>
      <c r="BA199" s="3">
        <f>AZ199</f>
        <v>5663.978</v>
      </c>
      <c r="BB199" s="3">
        <f>BA199</f>
        <v>5663.978</v>
      </c>
      <c r="BC199" s="3">
        <f>BB199</f>
        <v>5663.978</v>
      </c>
      <c r="BD199" s="3">
        <f>BC199</f>
        <v>5663.978</v>
      </c>
      <c r="BE199" s="3">
        <f>BD199</f>
        <v>5663.978</v>
      </c>
      <c r="BF199" s="3">
        <f>BE199</f>
        <v>5663.978</v>
      </c>
      <c r="BG199" s="3">
        <f>BF199</f>
        <v>5663.978</v>
      </c>
      <c r="BH199" s="3">
        <f>BG199</f>
        <v>5663.978</v>
      </c>
      <c r="BI199" s="3">
        <f>BH199</f>
        <v>5663.978</v>
      </c>
      <c r="BJ199" s="3">
        <f>BI199</f>
        <v>5663.978</v>
      </c>
      <c r="BK199" s="3">
        <f>BJ199</f>
        <v>5663.978</v>
      </c>
      <c r="BL199" s="3">
        <f>BK199</f>
        <v>5663.978</v>
      </c>
      <c r="BM199" s="3">
        <f>BL199</f>
        <v>5663.978</v>
      </c>
      <c r="BN199" s="3">
        <f>BM199</f>
        <v>5663.978</v>
      </c>
      <c r="BO199" s="3">
        <f>BN199</f>
        <v>5663.978</v>
      </c>
      <c r="BP199" s="3">
        <f>BO199</f>
        <v>5663.978</v>
      </c>
      <c r="BQ199" s="3">
        <f>BP199</f>
        <v>5663.978</v>
      </c>
      <c r="BR199" s="3">
        <f>BQ199</f>
        <v>5663.978</v>
      </c>
      <c r="BS199" s="3">
        <f>BR199</f>
        <v>5663.978</v>
      </c>
      <c r="BT199" s="3">
        <f>BS199</f>
        <v>5663.978</v>
      </c>
      <c r="BU199" s="3">
        <f>BT199</f>
        <v>5663.978</v>
      </c>
      <c r="BV199" s="3">
        <f>BU199</f>
        <v>5663.978</v>
      </c>
      <c r="BW199" s="3">
        <f>BV199</f>
        <v>5663.978</v>
      </c>
      <c r="BX199" s="3">
        <f>BW199</f>
        <v>5663.978</v>
      </c>
      <c r="BY199" s="3">
        <f>BX199</f>
        <v>5663.978</v>
      </c>
      <c r="BZ199" s="3">
        <f>BY199</f>
        <v>5663.978</v>
      </c>
      <c r="CA199" s="3">
        <f>BZ199</f>
        <v>5663.978</v>
      </c>
      <c r="CB199" s="3">
        <f>CA199</f>
        <v>5663.978</v>
      </c>
      <c r="CC199" s="3">
        <f>CB199</f>
        <v>5663.978</v>
      </c>
      <c r="CD199" s="3">
        <f>CC199</f>
        <v>5663.978</v>
      </c>
      <c r="CE199" s="3">
        <f>CD199</f>
        <v>5663.978</v>
      </c>
      <c r="CF199" s="3">
        <f>CE199</f>
        <v>5663.978</v>
      </c>
      <c r="CG199" s="3">
        <f>CF199</f>
        <v>5663.978</v>
      </c>
      <c r="CH199" s="3">
        <f>CG199</f>
        <v>5663.978</v>
      </c>
      <c r="CI199" s="3">
        <f>CH199</f>
        <v>5663.978</v>
      </c>
      <c r="CJ199" s="3">
        <f>CI199</f>
        <v>5663.978</v>
      </c>
      <c r="CK199" s="3">
        <f>CJ199</f>
        <v>5663.978</v>
      </c>
      <c r="CL199" s="3">
        <f>CK199</f>
        <v>5663.978</v>
      </c>
      <c r="CM199" s="3">
        <f>CL199</f>
        <v>5663.978</v>
      </c>
      <c r="CN199" s="3">
        <f>CM199</f>
        <v>5663.978</v>
      </c>
      <c r="CO199" s="3">
        <f>CN199</f>
        <v>5663.978</v>
      </c>
      <c r="CP199" s="3">
        <f>CO199</f>
        <v>5663.978</v>
      </c>
      <c r="CQ199" s="3">
        <f>CP199</f>
        <v>5663.978</v>
      </c>
      <c r="CR199" s="3">
        <f>CQ199</f>
        <v>5663.978</v>
      </c>
      <c r="CS199" s="3">
        <f>CR199</f>
        <v>5663.978</v>
      </c>
      <c r="CT199" s="3">
        <f>CS199</f>
        <v>5663.978</v>
      </c>
      <c r="CU199" s="3">
        <f>CT199</f>
        <v>5663.978</v>
      </c>
      <c r="CV199" s="3">
        <f>CU199</f>
        <v>5663.978</v>
      </c>
      <c r="CW199" s="3">
        <f>CV199</f>
        <v>5663.978</v>
      </c>
      <c r="CX199" s="3">
        <f>CW199</f>
        <v>5663.978</v>
      </c>
      <c r="CY199" s="3">
        <f>CX199</f>
        <v>5663.978</v>
      </c>
    </row>
    <row r="200" hidden="1" outlineLevel="1">
      <c r="C200" s="38" t="inlineStr">
        <is>
          <t>%(Var.)</t>
        </is>
      </c>
      <c r="D200" s="3" t="n"/>
      <c r="E200" s="47">
        <f>(E199-D199)/D199</f>
        <v>-0.00945386301223052</v>
      </c>
      <c r="F200" s="47">
        <f>(F199-E199)/E199</f>
        <v>-0.00950791307472414</v>
      </c>
      <c r="G200" s="47">
        <f>(G199-F199)/F199</f>
        <v>-0.0163706307395082</v>
      </c>
      <c r="H200" s="3" t="n"/>
      <c r="I200" s="47">
        <f>(I199-H199)/H199</f>
        <v>-0.019702469280011</v>
      </c>
      <c r="J200" s="47">
        <f>(J199-I199)/I199</f>
        <v>-0.00974398278262695</v>
      </c>
      <c r="K200" s="47">
        <f>(K199-J199)/J199</f>
        <v>-0.0170176322754909</v>
      </c>
      <c r="L200" s="47">
        <f>(L199-K199)/K199</f>
        <v>0.0394278442963325</v>
      </c>
      <c r="M200" s="3" t="n"/>
      <c r="N200" s="47">
        <f>(N199-M199)/M199</f>
        <v>-0.0357980622316921</v>
      </c>
      <c r="O200" s="47">
        <f>(O199-N199)/N199</f>
        <v>0.0177881254291668</v>
      </c>
      <c r="P200" s="47">
        <f>(P199-O199)/O199</f>
        <v>0.000463728693527895</v>
      </c>
      <c r="Q200" s="47">
        <f>(Q199-P199)/P199</f>
        <v>0.0634180844035583</v>
      </c>
      <c r="R200" s="3" t="n"/>
      <c r="S200" s="47">
        <f>(S199-R199)/R199</f>
        <v>-0.0240147151925451</v>
      </c>
      <c r="T200" s="47">
        <f>(T199-S199)/S199</f>
        <v>0.0259466499109749</v>
      </c>
      <c r="U200" s="47">
        <f>(U199-T199)/T199</f>
        <v>-0.0324325968781345</v>
      </c>
      <c r="V200" s="47">
        <f>(V199-U199)/U199</f>
        <v>0.0617474644554829</v>
      </c>
      <c r="W200" s="3" t="n"/>
      <c r="X200" s="47">
        <f>(X199-W199)/W199</f>
        <v>-0.000665714630441265</v>
      </c>
      <c r="Y200" s="47">
        <f>(Y199-X199)/X199</f>
        <v>-0.006832269213217</v>
      </c>
      <c r="Z200" s="47">
        <f>(Z199-Y199)/Y199</f>
        <v>0.0235052531415611</v>
      </c>
      <c r="AA200" s="47">
        <f>(AA199-Z199)/Z199</f>
        <v>-0.0147467465953381</v>
      </c>
      <c r="AB200" s="3" t="n"/>
      <c r="AC200" s="47">
        <f>(AC199-AB199)/AB199</f>
        <v>-0.0297342426926125</v>
      </c>
      <c r="AD200" s="47">
        <f>(AD199-AC199)/AC199</f>
        <v>0.0142019934719622</v>
      </c>
      <c r="AE200" s="47">
        <f>(AE199-AD199)/AD199</f>
        <v>0.0012343364779934</v>
      </c>
      <c r="AF200" s="218">
        <f>(AF199-AE199)/AE199</f>
        <v>0.00570914735173922</v>
      </c>
      <c r="AG200" s="3" t="n"/>
      <c r="AH200" s="218">
        <f>(AH199-AG199)/AG199</f>
        <v>-0.0110668151842888</v>
      </c>
      <c r="AI200" s="218">
        <f>(AI199-AH199)/AH199</f>
        <v>-0.0227319234898267</v>
      </c>
      <c r="AJ200" s="218" t="n"/>
      <c r="AK200" s="218" t="n"/>
      <c r="AL200" s="3" t="n"/>
      <c r="AM200" s="218" t="n"/>
      <c r="AN200" s="218" t="n"/>
      <c r="AO200" s="218" t="n"/>
      <c r="AP200" s="218" t="n"/>
      <c r="AQ200" s="3" t="n"/>
      <c r="AR200" s="218" t="n"/>
      <c r="AS200" s="218" t="n"/>
      <c r="AT200" s="218" t="n"/>
      <c r="AU200" s="218" t="n"/>
      <c r="AV200" s="3" t="n"/>
      <c r="AW200" s="218" t="n"/>
      <c r="AX200" s="218" t="n"/>
      <c r="AY200" s="218" t="n"/>
      <c r="AZ200" s="218" t="n"/>
      <c r="BA200" s="3" t="n"/>
      <c r="BB200" s="218" t="n"/>
      <c r="BC200" s="218" t="n"/>
      <c r="BD200" s="218" t="n"/>
      <c r="BE200" s="218" t="n"/>
      <c r="BF200" s="3" t="n"/>
      <c r="BG200" s="218" t="n"/>
      <c r="BH200" s="218" t="n"/>
      <c r="BI200" s="218" t="n"/>
      <c r="BJ200" s="218" t="n"/>
      <c r="BK200" s="3" t="n"/>
      <c r="BL200" s="218" t="n"/>
      <c r="BM200" s="218" t="n"/>
      <c r="BN200" s="218" t="n"/>
      <c r="BO200" s="218" t="n"/>
      <c r="BP200" s="3" t="n"/>
      <c r="BQ200" s="218" t="n"/>
      <c r="BR200" s="218" t="n"/>
      <c r="BS200" s="218" t="n"/>
      <c r="BT200" s="218" t="n"/>
      <c r="BU200" s="3" t="n"/>
      <c r="BV200" s="218" t="n"/>
      <c r="BW200" s="218" t="n"/>
      <c r="BX200" s="218" t="n"/>
      <c r="BY200" s="218" t="n"/>
      <c r="BZ200" s="3" t="n"/>
      <c r="CA200" s="218" t="n"/>
      <c r="CB200" s="218" t="n"/>
      <c r="CC200" s="218" t="n"/>
      <c r="CD200" s="218" t="n"/>
      <c r="CE200" s="3" t="n"/>
      <c r="CF200" s="218" t="n"/>
      <c r="CG200" s="218" t="n"/>
      <c r="CH200" s="218" t="n"/>
      <c r="CI200" s="218" t="n"/>
      <c r="CJ200" s="3" t="n"/>
      <c r="CK200" s="218" t="n"/>
      <c r="CL200" s="218" t="n"/>
      <c r="CM200" s="218" t="n"/>
      <c r="CN200" s="218" t="n"/>
      <c r="CO200" s="3" t="n"/>
      <c r="CP200" s="218" t="n"/>
      <c r="CQ200" s="218" t="n"/>
      <c r="CR200" s="218" t="n"/>
      <c r="CS200" s="218" t="n"/>
      <c r="CT200" s="3" t="n"/>
      <c r="CU200" s="218" t="n"/>
      <c r="CV200" s="218" t="n"/>
      <c r="CW200" s="218" t="n"/>
      <c r="CX200" s="218" t="n"/>
      <c r="CY200" s="3" t="n"/>
    </row>
    <row r="201" hidden="1" outlineLevel="1">
      <c r="C201" s="3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inlineStr">
        <is>
          <t xml:space="preserve">Dividendos a Pagar </t>
        </is>
      </c>
      <c r="D202" s="6" t="n"/>
      <c r="E202" s="6" t="n"/>
      <c r="F202" s="6" t="n"/>
      <c r="G202" s="6" t="n"/>
      <c r="H202" s="3" t="n"/>
      <c r="I202" s="6" t="n"/>
      <c r="J202" s="6" t="n"/>
      <c r="K202" s="6" t="n"/>
      <c r="L202" s="6" t="n"/>
      <c r="M202" s="3" t="n"/>
      <c r="N202" s="6" t="n"/>
      <c r="O202" s="6" t="n"/>
      <c r="P202" s="6" t="n"/>
      <c r="Q202" s="6" t="n"/>
      <c r="R202" s="3" t="n"/>
      <c r="S202" s="6" t="n"/>
      <c r="T202" s="6" t="n"/>
      <c r="U202" s="6" t="n"/>
      <c r="V202" s="6" t="n"/>
      <c r="W202" s="3" t="n"/>
      <c r="X202" s="6" t="n"/>
      <c r="Y202" s="6" t="n"/>
      <c r="Z202" s="6" t="n"/>
      <c r="AA202" s="6" t="n"/>
      <c r="AB202" s="3" t="n"/>
      <c r="AC202" s="6" t="n"/>
      <c r="AD202" s="6" t="n"/>
      <c r="AE202" s="6" t="n"/>
      <c r="AF202" s="6" t="n"/>
      <c r="AG202" s="3" t="n"/>
      <c r="AH202" s="6" t="n"/>
      <c r="AI202" s="6" t="n"/>
      <c r="AJ202" s="6" t="n"/>
      <c r="AK202" s="6" t="n"/>
      <c r="AL202" s="3" t="n"/>
      <c r="AM202" s="6" t="n"/>
      <c r="AN202" s="6" t="n"/>
      <c r="AO202" s="6" t="n"/>
      <c r="AP202" s="6" t="n"/>
      <c r="AQ202" s="3" t="n"/>
      <c r="AR202" s="6" t="n"/>
      <c r="AS202" s="6" t="n"/>
      <c r="AT202" s="6" t="n"/>
      <c r="AU202" s="6" t="n"/>
      <c r="AV202" s="3" t="n"/>
      <c r="AW202" s="6" t="n"/>
      <c r="AX202" s="6" t="n"/>
      <c r="AY202" s="6" t="n"/>
      <c r="AZ202" s="6" t="n"/>
      <c r="BA202" s="3" t="n"/>
      <c r="BB202" s="6" t="n"/>
      <c r="BC202" s="6" t="n"/>
      <c r="BD202" s="6" t="n"/>
      <c r="BE202" s="6" t="n"/>
      <c r="BF202" s="3" t="n"/>
      <c r="BG202" s="6" t="n"/>
      <c r="BH202" s="6" t="n"/>
      <c r="BI202" s="6" t="n"/>
      <c r="BJ202" s="6" t="n"/>
      <c r="BK202" s="3" t="n"/>
      <c r="BL202" s="6" t="n"/>
      <c r="BM202" s="6" t="n"/>
      <c r="BN202" s="6" t="n"/>
      <c r="BO202" s="6" t="n"/>
      <c r="BP202" s="3" t="n"/>
      <c r="BQ202" s="6" t="n"/>
      <c r="BR202" s="6" t="n"/>
      <c r="BS202" s="6" t="n"/>
      <c r="BT202" s="6" t="n"/>
      <c r="BU202" s="3" t="n"/>
      <c r="BV202" s="6" t="n"/>
      <c r="BW202" s="6" t="n"/>
      <c r="BX202" s="6" t="n"/>
      <c r="BY202" s="6" t="n"/>
      <c r="BZ202" s="3" t="n"/>
      <c r="CA202" s="6" t="n"/>
      <c r="CB202" s="6" t="n"/>
      <c r="CC202" s="6" t="n"/>
      <c r="CD202" s="6" t="n"/>
      <c r="CE202" s="3" t="n"/>
      <c r="CF202" s="6" t="n"/>
      <c r="CG202" s="6" t="n"/>
      <c r="CH202" s="6" t="n"/>
      <c r="CI202" s="6" t="n"/>
      <c r="CJ202" s="3" t="n"/>
      <c r="CK202" s="6" t="n"/>
      <c r="CL202" s="6" t="n"/>
      <c r="CM202" s="6" t="n"/>
      <c r="CN202" s="6" t="n"/>
      <c r="CO202" s="3" t="n"/>
      <c r="CP202" s="6" t="n"/>
      <c r="CQ202" s="6" t="n"/>
      <c r="CR202" s="6" t="n"/>
      <c r="CS202" s="6" t="n"/>
      <c r="CT202" s="3" t="n"/>
      <c r="CU202" s="6" t="n"/>
      <c r="CV202" s="6" t="n"/>
      <c r="CW202" s="6" t="n"/>
      <c r="CX202" s="6" t="n"/>
      <c r="CY202" s="3" t="n"/>
    </row>
    <row r="203" hidden="1" outlineLevel="1">
      <c r="C203" s="34" t="inlineStr">
        <is>
          <t>Contas a pagar pela aquisição de controladas</t>
        </is>
      </c>
      <c r="D203" s="6" t="n"/>
      <c r="E203" s="6" t="n"/>
      <c r="F203" s="6" t="n"/>
      <c r="G203" s="6" t="n"/>
      <c r="H203" s="3" t="n"/>
      <c r="I203" s="6" t="n"/>
      <c r="J203" s="6" t="n"/>
      <c r="K203" s="6" t="n"/>
      <c r="L203" s="6" t="n"/>
      <c r="M203" s="3" t="n"/>
      <c r="N203" s="6" t="n"/>
      <c r="O203" s="6" t="n"/>
      <c r="P203" s="6" t="n"/>
      <c r="Q203" s="6" t="n"/>
      <c r="R203" s="3" t="n"/>
      <c r="S203" s="6" t="n"/>
      <c r="T203" s="6" t="n"/>
      <c r="U203" s="6" t="n"/>
      <c r="V203" s="6" t="n"/>
      <c r="W203" s="3" t="n"/>
      <c r="X203" s="6" t="n"/>
      <c r="Y203" s="6" t="n"/>
      <c r="Z203" s="6" t="n"/>
      <c r="AA203" s="6" t="n"/>
      <c r="AB203" s="3" t="n"/>
      <c r="AC203" s="6" t="n"/>
      <c r="AD203" s="6" t="n"/>
      <c r="AE203" s="6" t="n"/>
      <c r="AF203" s="6" t="n"/>
      <c r="AG203" s="3" t="n"/>
      <c r="AH203" s="6" t="n"/>
      <c r="AI203" s="6" t="n"/>
      <c r="AJ203" s="6" t="n"/>
      <c r="AK203" s="6" t="n"/>
      <c r="AL203" s="3" t="n"/>
      <c r="AM203" s="6" t="n"/>
      <c r="AN203" s="6" t="n"/>
      <c r="AO203" s="6" t="n"/>
      <c r="AP203" s="6" t="n"/>
      <c r="AQ203" s="3" t="n"/>
      <c r="AR203" s="6" t="n"/>
      <c r="AS203" s="6" t="n"/>
      <c r="AT203" s="6" t="n"/>
      <c r="AU203" s="6" t="n"/>
      <c r="AV203" s="3" t="n"/>
      <c r="AW203" s="6" t="n"/>
      <c r="AX203" s="6" t="n"/>
      <c r="AY203" s="6" t="n"/>
      <c r="AZ203" s="6" t="n"/>
      <c r="BA203" s="3" t="n"/>
      <c r="BB203" s="6" t="n"/>
      <c r="BC203" s="6" t="n"/>
      <c r="BD203" s="6" t="n"/>
      <c r="BE203" s="6" t="n"/>
      <c r="BF203" s="3" t="n"/>
      <c r="BG203" s="6" t="n"/>
      <c r="BH203" s="6" t="n"/>
      <c r="BI203" s="6" t="n"/>
      <c r="BJ203" s="6" t="n"/>
      <c r="BK203" s="3" t="n"/>
      <c r="BL203" s="6" t="n"/>
      <c r="BM203" s="6" t="n"/>
      <c r="BN203" s="6" t="n"/>
      <c r="BO203" s="6" t="n"/>
      <c r="BP203" s="3" t="n"/>
      <c r="BQ203" s="6" t="n"/>
      <c r="BR203" s="6" t="n"/>
      <c r="BS203" s="6" t="n"/>
      <c r="BT203" s="6" t="n"/>
      <c r="BU203" s="3" t="n"/>
      <c r="BV203" s="6" t="n"/>
      <c r="BW203" s="6" t="n"/>
      <c r="BX203" s="6" t="n"/>
      <c r="BY203" s="6" t="n"/>
      <c r="BZ203" s="3" t="n"/>
      <c r="CA203" s="6" t="n"/>
      <c r="CB203" s="6" t="n"/>
      <c r="CC203" s="6" t="n"/>
      <c r="CD203" s="6" t="n"/>
      <c r="CE203" s="3" t="n"/>
      <c r="CF203" s="6" t="n"/>
      <c r="CG203" s="6" t="n"/>
      <c r="CH203" s="6" t="n"/>
      <c r="CI203" s="6" t="n"/>
      <c r="CJ203" s="3" t="n"/>
      <c r="CK203" s="6" t="n"/>
      <c r="CL203" s="6" t="n"/>
      <c r="CM203" s="6" t="n"/>
      <c r="CN203" s="6" t="n"/>
      <c r="CO203" s="3" t="n"/>
      <c r="CP203" s="6" t="n"/>
      <c r="CQ203" s="6" t="n"/>
      <c r="CR203" s="6" t="n"/>
      <c r="CS203" s="6" t="n"/>
      <c r="CT203" s="3" t="n"/>
      <c r="CU203" s="6" t="n"/>
      <c r="CV203" s="6" t="n"/>
      <c r="CW203" s="6" t="n"/>
      <c r="CX203" s="6" t="n"/>
      <c r="CY203" s="3" t="n"/>
    </row>
    <row r="204" hidden="1" outlineLevel="1">
      <c r="C204" s="34" t="inlineStr">
        <is>
          <t>Outros</t>
        </is>
      </c>
      <c r="D204" s="6" t="n"/>
      <c r="E204" s="6" t="n"/>
      <c r="F204" s="6" t="n"/>
      <c r="G204" s="6" t="n"/>
      <c r="H204" s="3" t="n"/>
      <c r="I204" s="6" t="n"/>
      <c r="J204" s="6" t="n"/>
      <c r="K204" s="6" t="n"/>
      <c r="L204" s="6" t="n"/>
      <c r="M204" s="3" t="n"/>
      <c r="N204" s="6" t="n"/>
      <c r="O204" s="6" t="n"/>
      <c r="P204" s="6" t="n"/>
      <c r="Q204" s="6" t="n"/>
      <c r="R204" s="3" t="n"/>
      <c r="S204" s="6" t="n"/>
      <c r="T204" s="6" t="n"/>
      <c r="U204" s="6" t="n"/>
      <c r="V204" s="6" t="n"/>
      <c r="W204" s="3" t="n"/>
      <c r="X204" s="6" t="n"/>
      <c r="Y204" s="6" t="n"/>
      <c r="Z204" s="6" t="n"/>
      <c r="AA204" s="6" t="n"/>
      <c r="AB204" s="3" t="n"/>
      <c r="AC204" s="6" t="n"/>
      <c r="AD204" s="6" t="n"/>
      <c r="AE204" s="6" t="n"/>
      <c r="AF204" s="6" t="n"/>
      <c r="AG204" s="3" t="n"/>
      <c r="AH204" s="6" t="n"/>
      <c r="AI204" s="6" t="n"/>
      <c r="AJ204" s="6" t="n"/>
      <c r="AK204" s="6" t="n"/>
      <c r="AL204" s="3" t="n"/>
      <c r="AM204" s="6" t="n"/>
      <c r="AN204" s="6" t="n"/>
      <c r="AO204" s="6" t="n"/>
      <c r="AP204" s="6" t="n"/>
      <c r="AQ204" s="3" t="n"/>
      <c r="AR204" s="6" t="n"/>
      <c r="AS204" s="6" t="n"/>
      <c r="AT204" s="6" t="n"/>
      <c r="AU204" s="6" t="n"/>
      <c r="AV204" s="3" t="n"/>
      <c r="AW204" s="6" t="n"/>
      <c r="AX204" s="6" t="n"/>
      <c r="AY204" s="6" t="n"/>
      <c r="AZ204" s="6" t="n"/>
      <c r="BA204" s="3" t="n"/>
      <c r="BB204" s="6" t="n"/>
      <c r="BC204" s="6" t="n"/>
      <c r="BD204" s="6" t="n"/>
      <c r="BE204" s="6" t="n"/>
      <c r="BF204" s="3" t="n"/>
      <c r="BG204" s="6" t="n"/>
      <c r="BH204" s="6" t="n"/>
      <c r="BI204" s="6" t="n"/>
      <c r="BJ204" s="6" t="n"/>
      <c r="BK204" s="3" t="n"/>
      <c r="BL204" s="6" t="n"/>
      <c r="BM204" s="6" t="n"/>
      <c r="BN204" s="6" t="n"/>
      <c r="BO204" s="6" t="n"/>
      <c r="BP204" s="3" t="n"/>
      <c r="BQ204" s="6" t="n"/>
      <c r="BR204" s="6" t="n"/>
      <c r="BS204" s="6" t="n"/>
      <c r="BT204" s="6" t="n"/>
      <c r="BU204" s="3" t="n"/>
      <c r="BV204" s="6" t="n"/>
      <c r="BW204" s="6" t="n"/>
      <c r="BX204" s="6" t="n"/>
      <c r="BY204" s="6" t="n"/>
      <c r="BZ204" s="3" t="n"/>
      <c r="CA204" s="6" t="n"/>
      <c r="CB204" s="6" t="n"/>
      <c r="CC204" s="6" t="n"/>
      <c r="CD204" s="6" t="n"/>
      <c r="CE204" s="3" t="n"/>
      <c r="CF204" s="6" t="n"/>
      <c r="CG204" s="6" t="n"/>
      <c r="CH204" s="6" t="n"/>
      <c r="CI204" s="6" t="n"/>
      <c r="CJ204" s="3" t="n"/>
      <c r="CK204" s="6" t="n"/>
      <c r="CL204" s="6" t="n"/>
      <c r="CM204" s="6" t="n"/>
      <c r="CN204" s="6" t="n"/>
      <c r="CO204" s="3" t="n"/>
      <c r="CP204" s="6" t="n"/>
      <c r="CQ204" s="6" t="n"/>
      <c r="CR204" s="6" t="n"/>
      <c r="CS204" s="6" t="n"/>
      <c r="CT204" s="3" t="n"/>
      <c r="CU204" s="6" t="n"/>
      <c r="CV204" s="6" t="n"/>
      <c r="CW204" s="6" t="n"/>
      <c r="CX204" s="6" t="n"/>
      <c r="CY204" s="3" t="n"/>
    </row>
    <row r="205" hidden="1" outlineLevel="1">
      <c r="C205" s="34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  <c r="CU205" s="3" t="n"/>
      <c r="CV205" s="3" t="n"/>
      <c r="CW205" s="3" t="n"/>
      <c r="CX205" s="3" t="n"/>
      <c r="CY205" s="3" t="n"/>
    </row>
    <row r="206" collapsed="1">
      <c r="C206" s="26" t="inlineStr">
        <is>
          <t>Current portion of long-term debt</t>
        </is>
      </c>
      <c r="D206" s="25">
        <f>INDEX('Inputs (2)'!$D$32:$AL$32,MATCH(D$7,'Inputs (2)'!$D$2:$AL$2,0))</f>
        <v>498.809</v>
      </c>
      <c r="E206" s="25">
        <f>INDEX('Inputs (2)'!$D$32:$AL$32,MATCH(E$7,'Inputs (2)'!$D$2:$AL$2,0))</f>
        <v>499.161</v>
      </c>
      <c r="F206" s="25">
        <f>INDEX('Inputs (2)'!$D$32:$AL$32,MATCH(F$7,'Inputs (2)'!$D$2:$AL$2,0))</f>
        <v>499.517</v>
      </c>
      <c r="G206" s="25">
        <f>INDEX('Inputs (2)'!$D$32:$AL$32,MATCH(G$7,'Inputs (2)'!$D$2:$AL$2,0))</f>
        <v>499.878</v>
      </c>
      <c r="H206" s="3">
        <f>G206</f>
        <v>499.878</v>
      </c>
      <c r="I206" s="25">
        <f>INDEX('Inputs (2)'!$D$32:$AL$32,MATCH(I$7,'Inputs (2)'!$D$2:$AL$2,0))</f>
        <v>698.788</v>
      </c>
      <c r="J206" s="25">
        <f>INDEX('Inputs (2)'!$D$32:$AL$32,MATCH(J$7,'Inputs (2)'!$D$2:$AL$2,0))</f>
        <v>699.128</v>
      </c>
      <c r="K206" s="25">
        <f>INDEX('Inputs (2)'!$D$32:$AL$32,MATCH(K$7,'Inputs (2)'!$D$2:$AL$2,0))</f>
        <v>699.473</v>
      </c>
      <c r="L206" s="25">
        <f>INDEX('Inputs (2)'!$D$32:$AL$32,MATCH(L$7,'Inputs (2)'!$D$2:$AL$2,0))</f>
        <v>699.823</v>
      </c>
      <c r="M206" s="3">
        <f>L206</f>
        <v>699.823</v>
      </c>
      <c r="N206" s="25">
        <f>INDEX('Inputs (2)'!$D$32:$AL$32,MATCH(N$7,'Inputs (2)'!$D$2:$AL$2,0))</f>
        <v>0</v>
      </c>
      <c r="O206" s="25">
        <f>INDEX('Inputs (2)'!$D$32:$AL$32,MATCH(O$7,'Inputs (2)'!$D$2:$AL$2,0))</f>
        <v>0</v>
      </c>
      <c r="P206" s="25">
        <f>INDEX('Inputs (2)'!$D$32:$AL$32,MATCH(P$7,'Inputs (2)'!$D$2:$AL$2,0))</f>
        <v>0</v>
      </c>
      <c r="Q206" s="25">
        <f>INDEX('Inputs (2)'!$D$32:$AL$32,MATCH(Q$7,'Inputs (2)'!$D$2:$AL$2,0))</f>
        <v>0</v>
      </c>
      <c r="R206" s="3">
        <f>Q206</f>
        <v>0</v>
      </c>
      <c r="S206" s="25">
        <f>INDEX('Inputs (2)'!$D$32:$AL$32,MATCH(S$7,'Inputs (2)'!$D$2:$AL$2,0))</f>
        <v>399.163</v>
      </c>
      <c r="T206" s="25">
        <f>INDEX('Inputs (2)'!$D$32:$AL$32,MATCH(T$7,'Inputs (2)'!$D$2:$AL$2,0))</f>
        <v>399.387</v>
      </c>
      <c r="U206" s="25">
        <f>INDEX('Inputs (2)'!$D$32:$AL$32,MATCH(U$7,'Inputs (2)'!$D$2:$AL$2,0))</f>
        <v>399.614</v>
      </c>
      <c r="V206" s="25">
        <f>INDEX('Inputs (2)'!$D$32:$AL$32,MATCH(V$7,'Inputs (2)'!$D$2:$AL$2,0))</f>
        <v>399.844</v>
      </c>
      <c r="W206" s="3">
        <f>V206</f>
        <v>399.844</v>
      </c>
      <c r="X206" s="25">
        <f>INDEX('Inputs (2)'!$D$32:$AL$32,MATCH(X$7,'Inputs (2)'!$D$2:$AL$2,0))</f>
        <v>798.936</v>
      </c>
      <c r="Y206" s="25">
        <f>INDEX('Inputs (2)'!$D$32:$AL$32,MATCH(Y$7,'Inputs (2)'!$D$2:$AL$2,0))</f>
        <v>1800.041</v>
      </c>
      <c r="Z206" s="25">
        <f>INDEX('Inputs (2)'!$D$32:$AL$32,MATCH(Z$7,'Inputs (2)'!$D$2:$AL$2,0))</f>
        <v>1820.396</v>
      </c>
      <c r="AA206" s="25">
        <f>INDEX('Inputs (2)'!$D$32:$AL$32,MATCH(AA$7,'Inputs (2)'!$D$2:$AL$2,0))</f>
        <v>1784.453</v>
      </c>
      <c r="AB206" s="3">
        <f>AA206</f>
        <v>1784.453</v>
      </c>
      <c r="AC206" s="25">
        <f>INDEX('Inputs (2)'!$D$32:$AL$32,MATCH(AC$7,'Inputs (2)'!$D$2:$AL$2,0))</f>
        <v>1005.881</v>
      </c>
      <c r="AD206" s="25">
        <f>INDEX('Inputs (2)'!$D$32:$AL$32,MATCH(AD$7,'Inputs (2)'!$D$2:$AL$2,0))</f>
        <v>0</v>
      </c>
      <c r="AE206" s="25">
        <f>INDEX('Inputs (2)'!$D$32:$AL$32,MATCH(AE$7,'Inputs (2)'!$D$2:$AL$2,0))</f>
        <v>0</v>
      </c>
      <c r="AF206" s="25">
        <f>INDEX('Inputs (2)'!$D$32:$AL$32,MATCH(AF$7,'Inputs (2)'!$D$2:$AL$2,0))</f>
        <v>998.865</v>
      </c>
      <c r="AG206" s="3">
        <f>AF206</f>
        <v>998.865</v>
      </c>
      <c r="AH206" s="3">
        <f>INDEX('Inputs (2)'!$D$32:$AL$32,MATCH(AH$7,'Inputs (2)'!$D$2:$AL$2,0))</f>
        <v>999.185</v>
      </c>
      <c r="AI206" s="3">
        <f>INDEX('Inputs (2)'!$D$32:$AL$32,MATCH(AI$7,'Inputs (2)'!$D$2:$AL$2,0))</f>
        <v>2483.758</v>
      </c>
      <c r="AJ206" s="3">
        <f>AI206</f>
        <v>2483.758</v>
      </c>
      <c r="AK206" s="3">
        <f>AJ206</f>
        <v>2483.758</v>
      </c>
      <c r="AL206" s="3">
        <f>AK206</f>
        <v>2483.758</v>
      </c>
      <c r="AM206" s="3">
        <f>AL206</f>
        <v>2483.758</v>
      </c>
      <c r="AN206" s="3">
        <f>AM206</f>
        <v>2483.758</v>
      </c>
      <c r="AO206" s="3">
        <f>AN206</f>
        <v>2483.758</v>
      </c>
      <c r="AP206" s="3">
        <f>AO206</f>
        <v>2483.758</v>
      </c>
      <c r="AQ206" s="3">
        <f>AP206</f>
        <v>2483.758</v>
      </c>
      <c r="AR206" s="3">
        <f>AQ206</f>
        <v>2483.758</v>
      </c>
      <c r="AS206" s="3">
        <f>AR206</f>
        <v>2483.758</v>
      </c>
      <c r="AT206" s="3">
        <f>AS206</f>
        <v>2483.758</v>
      </c>
      <c r="AU206" s="3">
        <f>AT206</f>
        <v>2483.758</v>
      </c>
      <c r="AV206" s="3">
        <f>AU206</f>
        <v>2483.758</v>
      </c>
      <c r="AW206" s="3">
        <f>AV206</f>
        <v>2483.758</v>
      </c>
      <c r="AX206" s="3">
        <f>AW206</f>
        <v>2483.758</v>
      </c>
      <c r="AY206" s="3">
        <f>AX206</f>
        <v>2483.758</v>
      </c>
      <c r="AZ206" s="3">
        <f>AY206</f>
        <v>2483.758</v>
      </c>
      <c r="BA206" s="3">
        <f>AZ206</f>
        <v>2483.758</v>
      </c>
      <c r="BB206" s="3">
        <f>BA206</f>
        <v>2483.758</v>
      </c>
      <c r="BC206" s="3">
        <f>BB206</f>
        <v>2483.758</v>
      </c>
      <c r="BD206" s="3">
        <f>BC206</f>
        <v>2483.758</v>
      </c>
      <c r="BE206" s="3">
        <f>BD206</f>
        <v>2483.758</v>
      </c>
      <c r="BF206" s="3">
        <f>BE206</f>
        <v>2483.758</v>
      </c>
      <c r="BG206" s="3">
        <f>BF206</f>
        <v>2483.758</v>
      </c>
      <c r="BH206" s="3">
        <f>BG206</f>
        <v>2483.758</v>
      </c>
      <c r="BI206" s="3">
        <f>BH206</f>
        <v>2483.758</v>
      </c>
      <c r="BJ206" s="3">
        <f>BI206</f>
        <v>2483.758</v>
      </c>
      <c r="BK206" s="3">
        <f>BJ206</f>
        <v>2483.758</v>
      </c>
      <c r="BL206" s="3">
        <f>BK206</f>
        <v>2483.758</v>
      </c>
      <c r="BM206" s="3">
        <f>BL206</f>
        <v>2483.758</v>
      </c>
      <c r="BN206" s="3">
        <f>BM206</f>
        <v>2483.758</v>
      </c>
      <c r="BO206" s="3">
        <f>BN206</f>
        <v>2483.758</v>
      </c>
      <c r="BP206" s="3">
        <f>BO206</f>
        <v>2483.758</v>
      </c>
      <c r="BQ206" s="3">
        <f>BP206</f>
        <v>2483.758</v>
      </c>
      <c r="BR206" s="3">
        <f>BQ206</f>
        <v>2483.758</v>
      </c>
      <c r="BS206" s="3">
        <f>BR206</f>
        <v>2483.758</v>
      </c>
      <c r="BT206" s="3">
        <f>BS206</f>
        <v>2483.758</v>
      </c>
      <c r="BU206" s="3">
        <f>BT206</f>
        <v>2483.758</v>
      </c>
      <c r="BV206" s="3">
        <f>BU206</f>
        <v>2483.758</v>
      </c>
      <c r="BW206" s="3">
        <f>BV206</f>
        <v>2483.758</v>
      </c>
      <c r="BX206" s="3">
        <f>BW206</f>
        <v>2483.758</v>
      </c>
      <c r="BY206" s="3">
        <f>BX206</f>
        <v>2483.758</v>
      </c>
      <c r="BZ206" s="3">
        <f>BY206</f>
        <v>2483.758</v>
      </c>
      <c r="CA206" s="3">
        <f>BZ206</f>
        <v>2483.758</v>
      </c>
      <c r="CB206" s="3">
        <f>CA206</f>
        <v>2483.758</v>
      </c>
      <c r="CC206" s="3">
        <f>CB206</f>
        <v>2483.758</v>
      </c>
      <c r="CD206" s="3">
        <f>CC206</f>
        <v>2483.758</v>
      </c>
      <c r="CE206" s="3">
        <f>CD206</f>
        <v>2483.758</v>
      </c>
      <c r="CF206" s="3">
        <f>CE206</f>
        <v>2483.758</v>
      </c>
      <c r="CG206" s="3">
        <f>CF206</f>
        <v>2483.758</v>
      </c>
      <c r="CH206" s="3">
        <f>CG206</f>
        <v>2483.758</v>
      </c>
      <c r="CI206" s="3">
        <f>CH206</f>
        <v>2483.758</v>
      </c>
      <c r="CJ206" s="3">
        <f>CI206</f>
        <v>2483.758</v>
      </c>
      <c r="CK206" s="3">
        <f>CJ206</f>
        <v>2483.758</v>
      </c>
      <c r="CL206" s="3">
        <f>CK206</f>
        <v>2483.758</v>
      </c>
      <c r="CM206" s="3">
        <f>CL206</f>
        <v>2483.758</v>
      </c>
      <c r="CN206" s="3">
        <f>CM206</f>
        <v>2483.758</v>
      </c>
      <c r="CO206" s="3">
        <f>CN206</f>
        <v>2483.758</v>
      </c>
      <c r="CP206" s="3">
        <f>CO206</f>
        <v>2483.758</v>
      </c>
      <c r="CQ206" s="3">
        <f>CP206</f>
        <v>2483.758</v>
      </c>
      <c r="CR206" s="3">
        <f>CQ206</f>
        <v>2483.758</v>
      </c>
      <c r="CS206" s="3">
        <f>CR206</f>
        <v>2483.758</v>
      </c>
      <c r="CT206" s="3">
        <f>CS206</f>
        <v>2483.758</v>
      </c>
      <c r="CU206" s="3">
        <f>CT206</f>
        <v>2483.758</v>
      </c>
      <c r="CV206" s="3">
        <f>CU206</f>
        <v>2483.758</v>
      </c>
      <c r="CW206" s="3">
        <f>CV206</f>
        <v>2483.758</v>
      </c>
      <c r="CX206" s="3">
        <f>CW206</f>
        <v>2483.758</v>
      </c>
      <c r="CY206" s="3">
        <f>CX206</f>
        <v>2483.758</v>
      </c>
    </row>
    <row r="207">
      <c r="C207" s="26" t="inlineStr">
        <is>
          <t>Short term debt (Revolving credit facility)</t>
        </is>
      </c>
      <c r="D207" s="25">
        <f>INDEX('Inputs (2)'!$D$33:$AL$33,MATCH(D$7,'Inputs (2)'!$D$2:$AL$2,0))</f>
        <v>0</v>
      </c>
      <c r="E207" s="25">
        <f>INDEX('Inputs (2)'!$D$33:$AL$33,MATCH(E$7,'Inputs (2)'!$D$2:$AL$2,0))</f>
        <v>0</v>
      </c>
      <c r="F207" s="25">
        <f>INDEX('Inputs (2)'!$D$33:$AL$33,MATCH(F$7,'Inputs (2)'!$D$2:$AL$2,0))</f>
        <v>0</v>
      </c>
      <c r="G207" s="25">
        <f>INDEX('Inputs (2)'!$D$33:$AL$33,MATCH(G$7,'Inputs (2)'!$D$2:$AL$2,0))</f>
        <v>0</v>
      </c>
      <c r="H207" s="3">
        <f>G207</f>
        <v>0</v>
      </c>
      <c r="I207" s="25">
        <f>INDEX('Inputs (2)'!$D$33:$AL$33,MATCH(I$7,'Inputs (2)'!$D$2:$AL$2,0))</f>
        <v>0</v>
      </c>
      <c r="J207" s="25">
        <f>INDEX('Inputs (2)'!$D$33:$AL$33,MATCH(J$7,'Inputs (2)'!$D$2:$AL$2,0))</f>
        <v>0</v>
      </c>
      <c r="K207" s="25">
        <f>INDEX('Inputs (2)'!$D$33:$AL$33,MATCH(K$7,'Inputs (2)'!$D$2:$AL$2,0))</f>
        <v>0</v>
      </c>
      <c r="L207" s="25">
        <f>INDEX('Inputs (2)'!$D$33:$AL$33,MATCH(L$7,'Inputs (2)'!$D$2:$AL$2,0))</f>
        <v>0</v>
      </c>
      <c r="M207" s="3">
        <f>L207</f>
        <v>0</v>
      </c>
      <c r="N207" s="25">
        <f>INDEX('Inputs (2)'!$D$33:$AL$33,MATCH(N$7,'Inputs (2)'!$D$2:$AL$2,0))</f>
        <v>0</v>
      </c>
      <c r="O207" s="25">
        <f>INDEX('Inputs (2)'!$D$33:$AL$33,MATCH(O$7,'Inputs (2)'!$D$2:$AL$2,0))</f>
        <v>0</v>
      </c>
      <c r="P207" s="25">
        <f>INDEX('Inputs (2)'!$D$33:$AL$33,MATCH(P$7,'Inputs (2)'!$D$2:$AL$2,0))</f>
        <v>0</v>
      </c>
      <c r="Q207" s="25">
        <f>INDEX('Inputs (2)'!$D$33:$AL$33,MATCH(Q$7,'Inputs (2)'!$D$2:$AL$2,0))</f>
        <v>0</v>
      </c>
      <c r="R207" s="3">
        <f>Q207</f>
        <v>0</v>
      </c>
      <c r="S207" s="25">
        <f>INDEX('Inputs (2)'!$D$33:$AL$33,MATCH(S$7,'Inputs (2)'!$D$2:$AL$2,0))</f>
        <v>0</v>
      </c>
      <c r="T207" s="25">
        <f>INDEX('Inputs (2)'!$D$33:$AL$33,MATCH(T$7,'Inputs (2)'!$D$2:$AL$2,0))</f>
        <v>0</v>
      </c>
      <c r="U207" s="25">
        <f>INDEX('Inputs (2)'!$D$33:$AL$33,MATCH(U$7,'Inputs (2)'!$D$2:$AL$2,0))</f>
        <v>0</v>
      </c>
      <c r="V207" s="25">
        <f>INDEX('Inputs (2)'!$D$33:$AL$33,MATCH(V$7,'Inputs (2)'!$D$2:$AL$2,0))</f>
        <v>0</v>
      </c>
      <c r="W207" s="3">
        <f>V207</f>
        <v>0</v>
      </c>
      <c r="X207" s="25">
        <f>INDEX('Inputs (2)'!$D$33:$AL$33,MATCH(X$7,'Inputs (2)'!$D$2:$AL$2,0))</f>
        <v>0</v>
      </c>
      <c r="Y207" s="25">
        <f>INDEX('Inputs (2)'!$D$33:$AL$33,MATCH(Y$7,'Inputs (2)'!$D$2:$AL$2,0))</f>
        <v>0</v>
      </c>
      <c r="Z207" s="25">
        <f>INDEX('Inputs (2)'!$D$33:$AL$33,MATCH(Z$7,'Inputs (2)'!$D$2:$AL$2,0))</f>
        <v>0</v>
      </c>
      <c r="AA207" s="25">
        <f>INDEX('Inputs (2)'!$D$33:$AL$33,MATCH(AA$7,'Inputs (2)'!$D$2:$AL$2,0))</f>
        <v>0</v>
      </c>
      <c r="AB207" s="3">
        <f>AA207</f>
        <v>0</v>
      </c>
      <c r="AC207" s="25">
        <f>INDEX('Inputs (2)'!$D$33:$AL$33,MATCH(AC$7,'Inputs (2)'!$D$2:$AL$2,0))</f>
        <v>0</v>
      </c>
      <c r="AD207" s="25">
        <f>INDEX('Inputs (2)'!$D$33:$AL$33,MATCH(AD$7,'Inputs (2)'!$D$2:$AL$2,0))</f>
        <v>0</v>
      </c>
      <c r="AE207" s="25">
        <f>INDEX('Inputs (2)'!$D$33:$AL$33,MATCH(AE$7,'Inputs (2)'!$D$2:$AL$2,0))</f>
        <v>0</v>
      </c>
      <c r="AF207" s="25">
        <f>INDEX('Inputs (2)'!$D$33:$AL$33,MATCH(AF$7,'Inputs (2)'!$D$2:$AL$2,0))</f>
        <v>0</v>
      </c>
      <c r="AG207" s="3">
        <f>AF207</f>
        <v>0</v>
      </c>
      <c r="AH207" s="3">
        <f>INDEX('Inputs (2)'!$D$33:$AL$33,MATCH(AH$7,'Inputs (2)'!$D$2:$AL$2,0))</f>
        <v>0</v>
      </c>
      <c r="AI207" s="3">
        <f>INDEX('Inputs (2)'!$D$33:$AL$33,MATCH(AI$7,'Inputs (2)'!$D$2:$AL$2,0))</f>
        <v>0</v>
      </c>
      <c r="AJ207" s="3">
        <f>AI207</f>
        <v>0</v>
      </c>
      <c r="AK207" s="3">
        <f>AJ207</f>
        <v>0</v>
      </c>
      <c r="AL207" s="3">
        <f>AK207</f>
        <v>0</v>
      </c>
      <c r="AM207" s="3">
        <f>AL207</f>
        <v>0</v>
      </c>
      <c r="AN207" s="3">
        <f>AM207</f>
        <v>0</v>
      </c>
      <c r="AO207" s="3">
        <f>AN207</f>
        <v>0</v>
      </c>
      <c r="AP207" s="3">
        <f>AO207</f>
        <v>0</v>
      </c>
      <c r="AQ207" s="3">
        <f>AP207</f>
        <v>0</v>
      </c>
      <c r="AR207" s="3">
        <f>AQ207</f>
        <v>0</v>
      </c>
      <c r="AS207" s="3">
        <f>AR207</f>
        <v>0</v>
      </c>
      <c r="AT207" s="3">
        <f>AS207</f>
        <v>0</v>
      </c>
      <c r="AU207" s="3">
        <f>AT207</f>
        <v>0</v>
      </c>
      <c r="AV207" s="3">
        <f>AU207</f>
        <v>0</v>
      </c>
      <c r="AW207" s="3">
        <f>AV207</f>
        <v>0</v>
      </c>
      <c r="AX207" s="3">
        <f>AW207</f>
        <v>0</v>
      </c>
      <c r="AY207" s="3">
        <f>AX207</f>
        <v>0</v>
      </c>
      <c r="AZ207" s="3">
        <f>AY207</f>
        <v>0</v>
      </c>
      <c r="BA207" s="3">
        <f>AZ207</f>
        <v>0</v>
      </c>
      <c r="BB207" s="3">
        <f>BA207</f>
        <v>0</v>
      </c>
      <c r="BC207" s="3">
        <f>BB207</f>
        <v>0</v>
      </c>
      <c r="BD207" s="3">
        <f>BC207</f>
        <v>0</v>
      </c>
      <c r="BE207" s="3">
        <f>BD207</f>
        <v>0</v>
      </c>
      <c r="BF207" s="3">
        <f>BE207</f>
        <v>0</v>
      </c>
      <c r="BG207" s="3">
        <f>BF207</f>
        <v>0</v>
      </c>
      <c r="BH207" s="3">
        <f>BG207</f>
        <v>0</v>
      </c>
      <c r="BI207" s="3">
        <f>BH207</f>
        <v>0</v>
      </c>
      <c r="BJ207" s="3">
        <f>BI207</f>
        <v>0</v>
      </c>
      <c r="BK207" s="3">
        <f>BJ207</f>
        <v>0</v>
      </c>
      <c r="BL207" s="3">
        <f>BK207</f>
        <v>0</v>
      </c>
      <c r="BM207" s="3">
        <f>BL207</f>
        <v>0</v>
      </c>
      <c r="BN207" s="3">
        <f>BM207</f>
        <v>0</v>
      </c>
      <c r="BO207" s="3">
        <f>BN207</f>
        <v>0</v>
      </c>
      <c r="BP207" s="3">
        <f>BO207</f>
        <v>0</v>
      </c>
      <c r="BQ207" s="3">
        <f>BP207</f>
        <v>0</v>
      </c>
      <c r="BR207" s="3">
        <f>BQ207</f>
        <v>0</v>
      </c>
      <c r="BS207" s="3">
        <f>BR207</f>
        <v>0</v>
      </c>
      <c r="BT207" s="3">
        <f>BS207</f>
        <v>0</v>
      </c>
      <c r="BU207" s="3">
        <f>BT207</f>
        <v>0</v>
      </c>
      <c r="BV207" s="3">
        <f>BU207</f>
        <v>0</v>
      </c>
      <c r="BW207" s="3">
        <f>BV207</f>
        <v>0</v>
      </c>
      <c r="BX207" s="3">
        <f>BW207</f>
        <v>0</v>
      </c>
      <c r="BY207" s="3">
        <f>BX207</f>
        <v>0</v>
      </c>
      <c r="BZ207" s="3">
        <f>BY207</f>
        <v>0</v>
      </c>
      <c r="CA207" s="3">
        <f>BZ207</f>
        <v>0</v>
      </c>
      <c r="CB207" s="3">
        <f>CA207</f>
        <v>0</v>
      </c>
      <c r="CC207" s="3">
        <f>CB207</f>
        <v>0</v>
      </c>
      <c r="CD207" s="3">
        <f>CC207</f>
        <v>0</v>
      </c>
      <c r="CE207" s="3">
        <f>CD207</f>
        <v>0</v>
      </c>
      <c r="CF207" s="3">
        <f>CE207</f>
        <v>0</v>
      </c>
      <c r="CG207" s="3">
        <f>CF207</f>
        <v>0</v>
      </c>
      <c r="CH207" s="3">
        <f>CG207</f>
        <v>0</v>
      </c>
      <c r="CI207" s="3">
        <f>CH207</f>
        <v>0</v>
      </c>
      <c r="CJ207" s="3">
        <f>CI207</f>
        <v>0</v>
      </c>
      <c r="CK207" s="3">
        <f>CJ207</f>
        <v>0</v>
      </c>
      <c r="CL207" s="3">
        <f>CK207</f>
        <v>0</v>
      </c>
      <c r="CM207" s="3">
        <f>CL207</f>
        <v>0</v>
      </c>
      <c r="CN207" s="3">
        <f>CM207</f>
        <v>0</v>
      </c>
      <c r="CO207" s="3">
        <f>CN207</f>
        <v>0</v>
      </c>
      <c r="CP207" s="3">
        <f>CO207</f>
        <v>0</v>
      </c>
      <c r="CQ207" s="3">
        <f>CP207</f>
        <v>0</v>
      </c>
      <c r="CR207" s="3">
        <f>CQ207</f>
        <v>0</v>
      </c>
      <c r="CS207" s="3">
        <f>CR207</f>
        <v>0</v>
      </c>
      <c r="CT207" s="3">
        <f>CS207</f>
        <v>0</v>
      </c>
      <c r="CU207" s="3">
        <f>CT207</f>
        <v>0</v>
      </c>
      <c r="CV207" s="3">
        <f>CU207</f>
        <v>0</v>
      </c>
      <c r="CW207" s="3">
        <f>CV207</f>
        <v>0</v>
      </c>
      <c r="CX207" s="3">
        <f>CW207</f>
        <v>0</v>
      </c>
      <c r="CY207" s="3">
        <f>CX207</f>
        <v>0</v>
      </c>
    </row>
    <row r="208">
      <c r="C208" s="26" t="inlineStr">
        <is>
          <t>Short term operating leases</t>
        </is>
      </c>
      <c r="D208" s="25">
        <f>INDEX('Inputs (2)'!$D$34:$AL$34,MATCH(D$7,'Inputs (2)'!$D$2:$AL$2,0))</f>
        <v>0</v>
      </c>
      <c r="E208" s="25">
        <f>INDEX('Inputs (2)'!$D$34:$AL$34,MATCH(E$7,'Inputs (2)'!$D$2:$AL$2,0))</f>
        <v>0</v>
      </c>
      <c r="F208" s="25">
        <f>INDEX('Inputs (2)'!$D$34:$AL$34,MATCH(F$7,'Inputs (2)'!$D$2:$AL$2,0))</f>
        <v>0</v>
      </c>
      <c r="G208" s="25">
        <f>INDEX('Inputs (2)'!$D$34:$AL$34,MATCH(G$7,'Inputs (2)'!$D$2:$AL$2,0))</f>
        <v>0</v>
      </c>
      <c r="H208" s="3">
        <f>G208</f>
        <v>0</v>
      </c>
      <c r="I208" s="25">
        <f>INDEX('Inputs (2)'!$D$34:$AL$34,MATCH(I$7,'Inputs (2)'!$D$2:$AL$2,0))</f>
        <v>0</v>
      </c>
      <c r="J208" s="25">
        <f>INDEX('Inputs (2)'!$D$34:$AL$34,MATCH(J$7,'Inputs (2)'!$D$2:$AL$2,0))</f>
        <v>0</v>
      </c>
      <c r="K208" s="25">
        <f>INDEX('Inputs (2)'!$D$34:$AL$34,MATCH(K$7,'Inputs (2)'!$D$2:$AL$2,0))</f>
        <v>0</v>
      </c>
      <c r="L208" s="25">
        <f>INDEX('Inputs (2)'!$D$34:$AL$34,MATCH(L$7,'Inputs (2)'!$D$2:$AL$2,0))</f>
        <v>0</v>
      </c>
      <c r="M208" s="3">
        <f>L208</f>
        <v>0</v>
      </c>
      <c r="N208" s="25">
        <f>INDEX('Inputs (2)'!$D$34:$AL$34,MATCH(N$7,'Inputs (2)'!$D$2:$AL$2,0))</f>
        <v>0</v>
      </c>
      <c r="O208" s="25">
        <f>INDEX('Inputs (2)'!$D$34:$AL$34,MATCH(O$7,'Inputs (2)'!$D$2:$AL$2,0))</f>
        <v>0</v>
      </c>
      <c r="P208" s="25">
        <f>INDEX('Inputs (2)'!$D$34:$AL$34,MATCH(P$7,'Inputs (2)'!$D$2:$AL$2,0))</f>
        <v>0</v>
      </c>
      <c r="Q208" s="25">
        <f>INDEX('Inputs (2)'!$D$34:$AL$34,MATCH(Q$7,'Inputs (2)'!$D$2:$AL$2,0))</f>
        <v>0</v>
      </c>
      <c r="R208" s="3">
        <f>Q208</f>
        <v>0</v>
      </c>
      <c r="S208" s="25">
        <f>INDEX('Inputs (2)'!$D$34:$AL$34,MATCH(S$7,'Inputs (2)'!$D$2:$AL$2,0))</f>
        <v>0</v>
      </c>
      <c r="T208" s="25">
        <f>INDEX('Inputs (2)'!$D$34:$AL$34,MATCH(T$7,'Inputs (2)'!$D$2:$AL$2,0))</f>
        <v>0</v>
      </c>
      <c r="U208" s="25">
        <f>INDEX('Inputs (2)'!$D$34:$AL$34,MATCH(U$7,'Inputs (2)'!$D$2:$AL$2,0))</f>
        <v>0</v>
      </c>
      <c r="V208" s="25">
        <f>INDEX('Inputs (2)'!$D$34:$AL$34,MATCH(V$7,'Inputs (2)'!$D$2:$AL$2,0))</f>
        <v>0</v>
      </c>
      <c r="W208" s="3">
        <f>V208</f>
        <v>0</v>
      </c>
      <c r="X208" s="25">
        <f>INDEX('Inputs (2)'!$D$34:$AL$34,MATCH(X$7,'Inputs (2)'!$D$2:$AL$2,0))</f>
        <v>0</v>
      </c>
      <c r="Y208" s="25">
        <f>INDEX('Inputs (2)'!$D$34:$AL$34,MATCH(Y$7,'Inputs (2)'!$D$2:$AL$2,0))</f>
        <v>0</v>
      </c>
      <c r="Z208" s="25">
        <f>INDEX('Inputs (2)'!$D$34:$AL$34,MATCH(Z$7,'Inputs (2)'!$D$2:$AL$2,0))</f>
        <v>0</v>
      </c>
      <c r="AA208" s="25">
        <f>INDEX('Inputs (2)'!$D$34:$AL$34,MATCH(AA$7,'Inputs (2)'!$D$2:$AL$2,0))</f>
        <v>0</v>
      </c>
      <c r="AB208" s="3">
        <f>AA208</f>
        <v>0</v>
      </c>
      <c r="AC208" s="25">
        <f>INDEX('Inputs (2)'!$D$34:$AL$34,MATCH(AC$7,'Inputs (2)'!$D$2:$AL$2,0))</f>
        <v>0</v>
      </c>
      <c r="AD208" s="25">
        <f>INDEX('Inputs (2)'!$D$34:$AL$34,MATCH(AD$7,'Inputs (2)'!$D$2:$AL$2,0))</f>
        <v>0</v>
      </c>
      <c r="AE208" s="25">
        <f>INDEX('Inputs (2)'!$D$34:$AL$34,MATCH(AE$7,'Inputs (2)'!$D$2:$AL$2,0))</f>
        <v>0</v>
      </c>
      <c r="AF208" s="25">
        <f>INDEX('Inputs (2)'!$D$34:$AL$34,MATCH(AF$7,'Inputs (2)'!$D$2:$AL$2,0))</f>
        <v>0</v>
      </c>
      <c r="AG208" s="3">
        <f>AF208</f>
        <v>0</v>
      </c>
      <c r="AH208" s="3">
        <f>INDEX('Inputs (2)'!$D$34:$AL$34,MATCH(AH$7,'Inputs (2)'!$D$2:$AL$2,0))</f>
        <v>0</v>
      </c>
      <c r="AI208" s="3">
        <f>INDEX('Inputs (2)'!$D$34:$AL$34,MATCH(AI$7,'Inputs (2)'!$D$2:$AL$2,0))</f>
        <v>0</v>
      </c>
      <c r="AJ208" s="3">
        <f>AI208</f>
        <v>0</v>
      </c>
      <c r="AK208" s="3">
        <f>AJ208</f>
        <v>0</v>
      </c>
      <c r="AL208" s="3">
        <f>AK208</f>
        <v>0</v>
      </c>
      <c r="AM208" s="3">
        <f>AL208</f>
        <v>0</v>
      </c>
      <c r="AN208" s="3">
        <f>AM208</f>
        <v>0</v>
      </c>
      <c r="AO208" s="3">
        <f>AN208</f>
        <v>0</v>
      </c>
      <c r="AP208" s="3">
        <f>AO208</f>
        <v>0</v>
      </c>
      <c r="AQ208" s="3">
        <f>AP208</f>
        <v>0</v>
      </c>
      <c r="AR208" s="3">
        <f>AQ208</f>
        <v>0</v>
      </c>
      <c r="AS208" s="3">
        <f>AR208</f>
        <v>0</v>
      </c>
      <c r="AT208" s="3">
        <f>AS208</f>
        <v>0</v>
      </c>
      <c r="AU208" s="3">
        <f>AT208</f>
        <v>0</v>
      </c>
      <c r="AV208" s="3">
        <f>AU208</f>
        <v>0</v>
      </c>
      <c r="AW208" s="3">
        <f>AV208</f>
        <v>0</v>
      </c>
      <c r="AX208" s="3">
        <f>AW208</f>
        <v>0</v>
      </c>
      <c r="AY208" s="3">
        <f>AX208</f>
        <v>0</v>
      </c>
      <c r="AZ208" s="3">
        <f>AY208</f>
        <v>0</v>
      </c>
      <c r="BA208" s="3">
        <f>AZ208</f>
        <v>0</v>
      </c>
      <c r="BB208" s="3">
        <f>BA208</f>
        <v>0</v>
      </c>
      <c r="BC208" s="3">
        <f>BB208</f>
        <v>0</v>
      </c>
      <c r="BD208" s="3">
        <f>BC208</f>
        <v>0</v>
      </c>
      <c r="BE208" s="3">
        <f>BD208</f>
        <v>0</v>
      </c>
      <c r="BF208" s="3">
        <f>BE208</f>
        <v>0</v>
      </c>
      <c r="BG208" s="3">
        <f>BF208</f>
        <v>0</v>
      </c>
      <c r="BH208" s="3">
        <f>BG208</f>
        <v>0</v>
      </c>
      <c r="BI208" s="3">
        <f>BH208</f>
        <v>0</v>
      </c>
      <c r="BJ208" s="3">
        <f>BI208</f>
        <v>0</v>
      </c>
      <c r="BK208" s="3">
        <f>BJ208</f>
        <v>0</v>
      </c>
      <c r="BL208" s="3">
        <f>BK208</f>
        <v>0</v>
      </c>
      <c r="BM208" s="3">
        <f>BL208</f>
        <v>0</v>
      </c>
      <c r="BN208" s="3">
        <f>BM208</f>
        <v>0</v>
      </c>
      <c r="BO208" s="3">
        <f>BN208</f>
        <v>0</v>
      </c>
      <c r="BP208" s="3">
        <f>BO208</f>
        <v>0</v>
      </c>
      <c r="BQ208" s="3">
        <f>BP208</f>
        <v>0</v>
      </c>
      <c r="BR208" s="3">
        <f>BQ208</f>
        <v>0</v>
      </c>
      <c r="BS208" s="3">
        <f>BR208</f>
        <v>0</v>
      </c>
      <c r="BT208" s="3">
        <f>BS208</f>
        <v>0</v>
      </c>
      <c r="BU208" s="3">
        <f>BT208</f>
        <v>0</v>
      </c>
      <c r="BV208" s="3">
        <f>BU208</f>
        <v>0</v>
      </c>
      <c r="BW208" s="3">
        <f>BV208</f>
        <v>0</v>
      </c>
      <c r="BX208" s="3">
        <f>BW208</f>
        <v>0</v>
      </c>
      <c r="BY208" s="3">
        <f>BX208</f>
        <v>0</v>
      </c>
      <c r="BZ208" s="3">
        <f>BY208</f>
        <v>0</v>
      </c>
      <c r="CA208" s="3">
        <f>BZ208</f>
        <v>0</v>
      </c>
      <c r="CB208" s="3">
        <f>CA208</f>
        <v>0</v>
      </c>
      <c r="CC208" s="3">
        <f>CB208</f>
        <v>0</v>
      </c>
      <c r="CD208" s="3">
        <f>CC208</f>
        <v>0</v>
      </c>
      <c r="CE208" s="3">
        <f>CD208</f>
        <v>0</v>
      </c>
      <c r="CF208" s="3">
        <f>CE208</f>
        <v>0</v>
      </c>
      <c r="CG208" s="3">
        <f>CF208</f>
        <v>0</v>
      </c>
      <c r="CH208" s="3">
        <f>CG208</f>
        <v>0</v>
      </c>
      <c r="CI208" s="3">
        <f>CH208</f>
        <v>0</v>
      </c>
      <c r="CJ208" s="3">
        <f>CI208</f>
        <v>0</v>
      </c>
      <c r="CK208" s="3">
        <f>CJ208</f>
        <v>0</v>
      </c>
      <c r="CL208" s="3">
        <f>CK208</f>
        <v>0</v>
      </c>
      <c r="CM208" s="3">
        <f>CL208</f>
        <v>0</v>
      </c>
      <c r="CN208" s="3">
        <f>CM208</f>
        <v>0</v>
      </c>
      <c r="CO208" s="3">
        <f>CN208</f>
        <v>0</v>
      </c>
      <c r="CP208" s="3">
        <f>CO208</f>
        <v>0</v>
      </c>
      <c r="CQ208" s="3">
        <f>CP208</f>
        <v>0</v>
      </c>
      <c r="CR208" s="3">
        <f>CQ208</f>
        <v>0</v>
      </c>
      <c r="CS208" s="3">
        <f>CR208</f>
        <v>0</v>
      </c>
      <c r="CT208" s="3">
        <f>CS208</f>
        <v>0</v>
      </c>
      <c r="CU208" s="3">
        <f>CT208</f>
        <v>0</v>
      </c>
      <c r="CV208" s="3">
        <f>CU208</f>
        <v>0</v>
      </c>
      <c r="CW208" s="3">
        <f>CV208</f>
        <v>0</v>
      </c>
      <c r="CX208" s="3">
        <f>CW208</f>
        <v>0</v>
      </c>
      <c r="CY208" s="3">
        <f>CX208</f>
        <v>0</v>
      </c>
    </row>
    <row r="209" hidden="1" outlineLevel="1">
      <c r="C209" s="38" t="inlineStr">
        <is>
          <t>%(Var.)</t>
        </is>
      </c>
      <c r="D209" s="3" t="n"/>
      <c r="E209" s="47">
        <f>IFERROR((E208-D208)/D208,0)</f>
        <v>0</v>
      </c>
      <c r="F209" s="47">
        <f>IFERROR((F208-E208)/E208,0)</f>
        <v>0</v>
      </c>
      <c r="G209" s="47">
        <f>IFERROR((G208-F208)/F208,0)</f>
        <v>0</v>
      </c>
      <c r="H209" s="3" t="n"/>
      <c r="I209" s="47">
        <f>IFERROR((I208-H208)/H208,0)</f>
        <v>0</v>
      </c>
      <c r="J209" s="47">
        <f>IFERROR((J208-I208)/I208,0)</f>
        <v>0</v>
      </c>
      <c r="K209" s="47">
        <f>IFERROR((K208-J208)/J208,0)</f>
        <v>0</v>
      </c>
      <c r="L209" s="47">
        <f>IFERROR((L208-K208)/K208,0)</f>
        <v>0</v>
      </c>
      <c r="M209" s="3" t="n"/>
      <c r="N209" s="47">
        <f>IFERROR((N208-M208)/M208,0)</f>
        <v>0</v>
      </c>
      <c r="O209" s="47">
        <f>IFERROR((O208-N208)/N208,0)</f>
        <v>0</v>
      </c>
      <c r="P209" s="47">
        <f>IFERROR((P208-O208)/O208,0)</f>
        <v>0</v>
      </c>
      <c r="Q209" s="47">
        <f>IFERROR((Q208-P208)/P208,0)</f>
        <v>0</v>
      </c>
      <c r="R209" s="3" t="n"/>
      <c r="S209" s="47">
        <f>IFERROR((S208-R208)/R208,0)</f>
        <v>0</v>
      </c>
      <c r="T209" s="47">
        <f>IFERROR((T208-S208)/S208,0)</f>
        <v>0</v>
      </c>
      <c r="U209" s="47">
        <f>IFERROR((U208-T208)/T208,0)</f>
        <v>0</v>
      </c>
      <c r="V209" s="47">
        <f>IFERROR((V208-U208)/U208,0)</f>
        <v>0</v>
      </c>
      <c r="W209" s="3" t="n"/>
      <c r="X209" s="47">
        <f>IFERROR((X208-W208)/W208,0)</f>
        <v>0</v>
      </c>
      <c r="Y209" s="47">
        <f>IFERROR((Y208-X208)/X208,0)</f>
        <v>0</v>
      </c>
      <c r="Z209" s="47">
        <f>IFERROR((Z208-Y208)/Y208,0)</f>
        <v>0</v>
      </c>
      <c r="AA209" s="47">
        <f>IFERROR((AA208-Z208)/Z208,0)</f>
        <v>0</v>
      </c>
      <c r="AB209" s="3" t="n"/>
      <c r="AC209" s="47">
        <f>IFERROR((AC208-AB208)/AB208,0)</f>
        <v>0</v>
      </c>
      <c r="AD209" s="47">
        <f>IFERROR((AD208-AC208)/AC208,0)</f>
        <v>0</v>
      </c>
      <c r="AE209" s="47">
        <f>IFERROR((AE208-AD208)/AD208,0)</f>
        <v>0</v>
      </c>
      <c r="AF209" s="6">
        <f>IFERROR((AF208-AE208)/AE208,0)</f>
        <v>0</v>
      </c>
      <c r="AG209" s="3" t="n"/>
      <c r="AH209" s="6">
        <f>IFERROR((AH208-AG208)/AG208,0)</f>
        <v>0</v>
      </c>
      <c r="AI209" s="6">
        <f>IFERROR((AI208-AH208)/AH208,0)</f>
        <v>0</v>
      </c>
      <c r="AJ209" s="6" t="n"/>
      <c r="AK209" s="6" t="n"/>
      <c r="AL209" s="3" t="n"/>
      <c r="AM209" s="6" t="n"/>
      <c r="AN209" s="6" t="n"/>
      <c r="AO209" s="6" t="n"/>
      <c r="AP209" s="6" t="n"/>
      <c r="AQ209" s="3" t="n"/>
      <c r="AR209" s="6" t="n"/>
      <c r="AS209" s="6" t="n"/>
      <c r="AT209" s="6" t="n"/>
      <c r="AU209" s="6" t="n"/>
      <c r="AV209" s="3" t="n"/>
      <c r="AW209" s="6" t="n"/>
      <c r="AX209" s="6" t="n"/>
      <c r="AY209" s="6" t="n"/>
      <c r="AZ209" s="6" t="n"/>
      <c r="BA209" s="3" t="n"/>
      <c r="BB209" s="6" t="n"/>
      <c r="BC209" s="6" t="n"/>
      <c r="BD209" s="6" t="n"/>
      <c r="BE209" s="6" t="n"/>
      <c r="BF209" s="3" t="n"/>
      <c r="BG209" s="6" t="n"/>
      <c r="BH209" s="6" t="n"/>
      <c r="BI209" s="6" t="n"/>
      <c r="BJ209" s="6" t="n"/>
      <c r="BK209" s="3" t="n"/>
      <c r="BL209" s="6" t="n"/>
      <c r="BM209" s="6" t="n"/>
      <c r="BN209" s="6" t="n"/>
      <c r="BO209" s="6" t="n"/>
      <c r="BP209" s="3" t="n"/>
      <c r="BQ209" s="6" t="n"/>
      <c r="BR209" s="6" t="n"/>
      <c r="BS209" s="6" t="n"/>
      <c r="BT209" s="6" t="n"/>
      <c r="BU209" s="3" t="n"/>
      <c r="BV209" s="6" t="n"/>
      <c r="BW209" s="6" t="n"/>
      <c r="BX209" s="6" t="n"/>
      <c r="BY209" s="6" t="n"/>
      <c r="BZ209" s="3" t="n"/>
      <c r="CA209" s="6" t="n"/>
      <c r="CB209" s="6" t="n"/>
      <c r="CC209" s="6" t="n"/>
      <c r="CD209" s="6" t="n"/>
      <c r="CE209" s="3" t="n"/>
      <c r="CF209" s="6" t="n"/>
      <c r="CG209" s="6" t="n"/>
      <c r="CH209" s="6" t="n"/>
      <c r="CI209" s="6" t="n"/>
      <c r="CJ209" s="3" t="n"/>
      <c r="CK209" s="6" t="n"/>
      <c r="CL209" s="6" t="n"/>
      <c r="CM209" s="6" t="n"/>
      <c r="CN209" s="6" t="n"/>
      <c r="CO209" s="3" t="n"/>
      <c r="CP209" s="6" t="n"/>
      <c r="CQ209" s="6" t="n"/>
      <c r="CR209" s="6" t="n"/>
      <c r="CS209" s="6" t="n"/>
      <c r="CT209" s="3" t="n"/>
      <c r="CU209" s="6" t="n"/>
      <c r="CV209" s="6" t="n"/>
      <c r="CW209" s="6" t="n"/>
      <c r="CX209" s="6" t="n"/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collapsed="1">
      <c r="C211" s="26" t="inlineStr">
        <is>
          <t>Long term debt</t>
        </is>
      </c>
      <c r="D211" s="25">
        <f>INDEX('Inputs (2)'!$D$35:$AL$35,MATCH(D$7,'Inputs (2)'!$D$2:$AL$2,0))</f>
        <v>14170.692</v>
      </c>
      <c r="E211" s="25">
        <f>INDEX('Inputs (2)'!$D$35:$AL$35,MATCH(E$7,'Inputs (2)'!$D$2:$AL$2,0))</f>
        <v>15294.998</v>
      </c>
      <c r="F211" s="25">
        <f>INDEX('Inputs (2)'!$D$35:$AL$35,MATCH(F$7,'Inputs (2)'!$D$2:$AL$2,0))</f>
        <v>15547.616</v>
      </c>
      <c r="G211" s="25">
        <f>INDEX('Inputs (2)'!$D$35:$AL$35,MATCH(G$7,'Inputs (2)'!$D$2:$AL$2,0))</f>
        <v>15809.095</v>
      </c>
      <c r="H211" s="3">
        <f>G211</f>
        <v>15809.095</v>
      </c>
      <c r="I211" s="25">
        <f>INDEX('Inputs (2)'!$D$35:$AL$35,MATCH(I$7,'Inputs (2)'!$D$2:$AL$2,0))</f>
        <v>14860.552</v>
      </c>
      <c r="J211" s="25">
        <f>INDEX('Inputs (2)'!$D$35:$AL$35,MATCH(J$7,'Inputs (2)'!$D$2:$AL$2,0))</f>
        <v>14926.889</v>
      </c>
      <c r="K211" s="25">
        <f>INDEX('Inputs (2)'!$D$35:$AL$35,MATCH(K$7,'Inputs (2)'!$D$2:$AL$2,0))</f>
        <v>14793.691</v>
      </c>
      <c r="L211" s="25">
        <f>INDEX('Inputs (2)'!$D$35:$AL$35,MATCH(L$7,'Inputs (2)'!$D$2:$AL$2,0))</f>
        <v>14693.072</v>
      </c>
      <c r="M211" s="3">
        <f>L211</f>
        <v>14693.072</v>
      </c>
      <c r="N211" s="25">
        <f>INDEX('Inputs (2)'!$D$35:$AL$35,MATCH(N$7,'Inputs (2)'!$D$2:$AL$2,0))</f>
        <v>14534.561</v>
      </c>
      <c r="O211" s="25">
        <f>INDEX('Inputs (2)'!$D$35:$AL$35,MATCH(O$7,'Inputs (2)'!$D$2:$AL$2,0))</f>
        <v>14233.303</v>
      </c>
      <c r="P211" s="25">
        <f>INDEX('Inputs (2)'!$D$35:$AL$35,MATCH(P$7,'Inputs (2)'!$D$2:$AL$2,0))</f>
        <v>13888.117</v>
      </c>
      <c r="Q211" s="25">
        <f>INDEX('Inputs (2)'!$D$35:$AL$35,MATCH(Q$7,'Inputs (2)'!$D$2:$AL$2,0))</f>
        <v>14353.076</v>
      </c>
      <c r="R211" s="3">
        <f>Q211</f>
        <v>14353.076</v>
      </c>
      <c r="S211" s="25">
        <f>INDEX('Inputs (2)'!$D$35:$AL$35,MATCH(S$7,'Inputs (2)'!$D$2:$AL$2,0))</f>
        <v>14037.965</v>
      </c>
      <c r="T211" s="25">
        <f>INDEX('Inputs (2)'!$D$35:$AL$35,MATCH(T$7,'Inputs (2)'!$D$2:$AL$2,0))</f>
        <v>14070.151</v>
      </c>
      <c r="U211" s="25">
        <f>INDEX('Inputs (2)'!$D$35:$AL$35,MATCH(U$7,'Inputs (2)'!$D$2:$AL$2,0))</f>
        <v>13900.754</v>
      </c>
      <c r="V211" s="25">
        <f>INDEX('Inputs (2)'!$D$35:$AL$35,MATCH(V$7,'Inputs (2)'!$D$2:$AL$2,0))</f>
        <v>14143.417</v>
      </c>
      <c r="W211" s="3">
        <f>V211</f>
        <v>14143.417</v>
      </c>
      <c r="X211" s="25">
        <f>INDEX('Inputs (2)'!$D$35:$AL$35,MATCH(X$7,'Inputs (2)'!$D$2:$AL$2,0))</f>
        <v>13217.038</v>
      </c>
      <c r="Y211" s="25">
        <f>INDEX('Inputs (2)'!$D$35:$AL$35,MATCH(Y$7,'Inputs (2)'!$D$2:$AL$2,0))</f>
        <v>12180.024</v>
      </c>
      <c r="Z211" s="25">
        <f>INDEX('Inputs (2)'!$D$35:$AL$35,MATCH(Z$7,'Inputs (2)'!$D$2:$AL$2,0))</f>
        <v>14160.932</v>
      </c>
      <c r="AA211" s="25">
        <f>INDEX('Inputs (2)'!$D$35:$AL$35,MATCH(AA$7,'Inputs (2)'!$D$2:$AL$2,0))</f>
        <v>13798.351</v>
      </c>
      <c r="AB211" s="3">
        <f>AA211</f>
        <v>13798.351</v>
      </c>
      <c r="AC211" s="25">
        <f>INDEX('Inputs (2)'!$D$35:$AL$35,MATCH(AC$7,'Inputs (2)'!$D$2:$AL$2,0))</f>
        <v>14011.037</v>
      </c>
      <c r="AD211" s="25">
        <f>INDEX('Inputs (2)'!$D$35:$AL$35,MATCH(AD$7,'Inputs (2)'!$D$2:$AL$2,0))</f>
        <v>14453.206</v>
      </c>
      <c r="AE211" s="25">
        <f>INDEX('Inputs (2)'!$D$35:$AL$35,MATCH(AE$7,'Inputs (2)'!$D$2:$AL$2,0))</f>
        <v>14463.02</v>
      </c>
      <c r="AF211" s="25">
        <f>INDEX('Inputs (2)'!$D$35:$AL$35,MATCH(AF$7,'Inputs (2)'!$D$2:$AL$2,0))</f>
        <v>13463.971</v>
      </c>
      <c r="AG211" s="3">
        <f>AF211</f>
        <v>13463.971</v>
      </c>
      <c r="AH211" s="3">
        <f>INDEX('Inputs (2)'!$D$35:$AL$35,MATCH(AH$7,'Inputs (2)'!$D$2:$AL$2,0))</f>
        <v>13361.331</v>
      </c>
      <c r="AI211" s="3">
        <f>INDEX('Inputs (2)'!$D$35:$AL$35,MATCH(AI$7,'Inputs (2)'!$D$2:$AL$2,0))</f>
        <v>11825.548</v>
      </c>
      <c r="AJ211" s="3">
        <f>AJ217</f>
        <v>11825.548</v>
      </c>
      <c r="AK211" s="3">
        <f>AK217</f>
        <v>11825.548</v>
      </c>
      <c r="AL211" s="3">
        <f>AK211</f>
        <v>11825.548</v>
      </c>
      <c r="AM211" s="3">
        <f>AM217</f>
        <v>11825.548</v>
      </c>
      <c r="AN211" s="3">
        <f>AN217</f>
        <v>11825.548</v>
      </c>
      <c r="AO211" s="3">
        <f>AO217</f>
        <v>11825.548</v>
      </c>
      <c r="AP211" s="3">
        <f>AP217</f>
        <v>11825.548</v>
      </c>
      <c r="AQ211" s="3">
        <f>AP211</f>
        <v>11825.548</v>
      </c>
      <c r="AR211" s="3">
        <f>AR217</f>
        <v>11825.548</v>
      </c>
      <c r="AS211" s="3">
        <f>AS217</f>
        <v>11825.548</v>
      </c>
      <c r="AT211" s="3">
        <f>AT217</f>
        <v>11825.548</v>
      </c>
      <c r="AU211" s="3">
        <f>AU217</f>
        <v>11825.548</v>
      </c>
      <c r="AV211" s="3">
        <f>AU211</f>
        <v>11825.548</v>
      </c>
      <c r="AW211" s="3">
        <f>AW217</f>
        <v>11825.548</v>
      </c>
      <c r="AX211" s="3">
        <f>AX217</f>
        <v>11825.548</v>
      </c>
      <c r="AY211" s="3">
        <f>AY217</f>
        <v>11825.548</v>
      </c>
      <c r="AZ211" s="3">
        <f>AZ217</f>
        <v>11825.548</v>
      </c>
      <c r="BA211" s="3">
        <f>AZ211</f>
        <v>11825.548</v>
      </c>
      <c r="BB211" s="3">
        <f>BB217</f>
        <v>11825.548</v>
      </c>
      <c r="BC211" s="3">
        <f>BC217</f>
        <v>11825.548</v>
      </c>
      <c r="BD211" s="3">
        <f>BD217</f>
        <v>11825.548</v>
      </c>
      <c r="BE211" s="3">
        <f>BE217</f>
        <v>11825.548</v>
      </c>
      <c r="BF211" s="3">
        <f>BE211</f>
        <v>11825.548</v>
      </c>
      <c r="BG211" s="3">
        <f>BG217</f>
        <v>11825.548</v>
      </c>
      <c r="BH211" s="3">
        <f>BH217</f>
        <v>11825.548</v>
      </c>
      <c r="BI211" s="3">
        <f>BI217</f>
        <v>11825.548</v>
      </c>
      <c r="BJ211" s="3">
        <f>BJ217</f>
        <v>11825.548</v>
      </c>
      <c r="BK211" s="3">
        <f>BJ211</f>
        <v>11825.548</v>
      </c>
      <c r="BL211" s="3">
        <f>BL217</f>
        <v>11825.548</v>
      </c>
      <c r="BM211" s="3">
        <f>BM217</f>
        <v>11825.548</v>
      </c>
      <c r="BN211" s="3">
        <f>BN217</f>
        <v>11825.548</v>
      </c>
      <c r="BO211" s="3">
        <f>BO217</f>
        <v>11825.548</v>
      </c>
      <c r="BP211" s="3">
        <f>BO211</f>
        <v>11825.548</v>
      </c>
      <c r="BQ211" s="3">
        <f>BQ217</f>
        <v>11825.548</v>
      </c>
      <c r="BR211" s="3">
        <f>BR217</f>
        <v>11825.548</v>
      </c>
      <c r="BS211" s="3">
        <f>BS217</f>
        <v>11825.548</v>
      </c>
      <c r="BT211" s="3">
        <f>BT217</f>
        <v>11825.548</v>
      </c>
      <c r="BU211" s="3">
        <f>BT211</f>
        <v>11825.548</v>
      </c>
      <c r="BV211" s="3">
        <f>BV217</f>
        <v>11825.548</v>
      </c>
      <c r="BW211" s="3">
        <f>BW217</f>
        <v>11825.548</v>
      </c>
      <c r="BX211" s="3">
        <f>BX217</f>
        <v>11825.548</v>
      </c>
      <c r="BY211" s="3">
        <f>BY217</f>
        <v>11825.548</v>
      </c>
      <c r="BZ211" s="3">
        <f>BY211</f>
        <v>11825.548</v>
      </c>
      <c r="CA211" s="3">
        <f>CA217</f>
        <v>11825.548</v>
      </c>
      <c r="CB211" s="3">
        <f>CB217</f>
        <v>11825.548</v>
      </c>
      <c r="CC211" s="3">
        <f>CC217</f>
        <v>11825.548</v>
      </c>
      <c r="CD211" s="3">
        <f>CD217</f>
        <v>11825.548</v>
      </c>
      <c r="CE211" s="3">
        <f>CD211</f>
        <v>11825.548</v>
      </c>
      <c r="CF211" s="3">
        <f>CF217</f>
        <v>11825.548</v>
      </c>
      <c r="CG211" s="3">
        <f>CG217</f>
        <v>11825.548</v>
      </c>
      <c r="CH211" s="3">
        <f>CH217</f>
        <v>11825.548</v>
      </c>
      <c r="CI211" s="3">
        <f>CI217</f>
        <v>11825.548</v>
      </c>
      <c r="CJ211" s="3">
        <f>CI211</f>
        <v>11825.548</v>
      </c>
      <c r="CK211" s="3">
        <f>CK217</f>
        <v>11825.548</v>
      </c>
      <c r="CL211" s="3">
        <f>CL217</f>
        <v>11825.548</v>
      </c>
      <c r="CM211" s="3">
        <f>CM217</f>
        <v>11825.548</v>
      </c>
      <c r="CN211" s="3">
        <f>CN217</f>
        <v>11825.548</v>
      </c>
      <c r="CO211" s="3">
        <f>CN211</f>
        <v>11825.548</v>
      </c>
      <c r="CP211" s="3">
        <f>CP217</f>
        <v>11825.548</v>
      </c>
      <c r="CQ211" s="3">
        <f>CQ217</f>
        <v>11825.548</v>
      </c>
      <c r="CR211" s="3">
        <f>CR217</f>
        <v>11825.548</v>
      </c>
      <c r="CS211" s="3">
        <f>CS217</f>
        <v>11825.548</v>
      </c>
      <c r="CT211" s="3">
        <f>CS211</f>
        <v>11825.548</v>
      </c>
      <c r="CU211" s="3">
        <f>CU217</f>
        <v>11825.548</v>
      </c>
      <c r="CV211" s="3">
        <f>CV217</f>
        <v>11825.548</v>
      </c>
      <c r="CW211" s="3">
        <f>CW217</f>
        <v>11825.548</v>
      </c>
      <c r="CX211" s="3">
        <f>CX217</f>
        <v>11825.548</v>
      </c>
      <c r="CY211" s="3">
        <f>CX211</f>
        <v>11825.548</v>
      </c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hidden="1" outlineLevel="1">
      <c r="C213" s="34" t="inlineStr">
        <is>
          <t>Current portion of LTD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>
        <f>AF206</f>
        <v>998.865</v>
      </c>
      <c r="AI213" s="35" t="n"/>
      <c r="AJ213" s="35" t="n"/>
      <c r="AK213" s="35" t="n"/>
      <c r="AL213" s="3" t="n"/>
      <c r="AM213" s="3">
        <f>AK206</f>
        <v>2483.758</v>
      </c>
      <c r="AN213" s="35" t="n"/>
      <c r="AO213" s="35" t="n"/>
      <c r="AP213" s="35" t="n"/>
      <c r="AQ213" s="3" t="n"/>
      <c r="AR213" s="3">
        <f>AP206</f>
        <v>2483.758</v>
      </c>
      <c r="AS213" s="35" t="n"/>
      <c r="AT213" s="35" t="n"/>
      <c r="AU213" s="35" t="n"/>
      <c r="AV213" s="3" t="n"/>
      <c r="AW213" s="3">
        <f>AU206</f>
        <v>2483.758</v>
      </c>
      <c r="AX213" s="35" t="n"/>
      <c r="AY213" s="35" t="n"/>
      <c r="AZ213" s="35" t="n"/>
      <c r="BA213" s="3" t="n"/>
      <c r="BB213" s="3">
        <f>AZ206</f>
        <v>2483.758</v>
      </c>
      <c r="BC213" s="35" t="n"/>
      <c r="BD213" s="35" t="n"/>
      <c r="BE213" s="35" t="n"/>
      <c r="BF213" s="3" t="n"/>
      <c r="BG213" s="3">
        <f>BE206</f>
        <v>2483.758</v>
      </c>
      <c r="BH213" s="35" t="n"/>
      <c r="BI213" s="35" t="n"/>
      <c r="BJ213" s="35" t="n"/>
      <c r="BK213" s="3" t="n"/>
      <c r="BL213" s="3">
        <f>BJ206</f>
        <v>2483.758</v>
      </c>
      <c r="BM213" s="35" t="n"/>
      <c r="BN213" s="35" t="n"/>
      <c r="BO213" s="35" t="n"/>
      <c r="BP213" s="3" t="n"/>
      <c r="BQ213" s="3">
        <f>BO206</f>
        <v>2483.758</v>
      </c>
      <c r="BR213" s="35" t="n"/>
      <c r="BS213" s="35" t="n"/>
      <c r="BT213" s="35" t="n"/>
      <c r="BU213" s="3" t="n"/>
      <c r="BV213" s="3">
        <f>BT206</f>
        <v>2483.758</v>
      </c>
      <c r="BW213" s="35" t="n"/>
      <c r="BX213" s="35" t="n"/>
      <c r="BY213" s="35" t="n"/>
      <c r="BZ213" s="3" t="n"/>
      <c r="CA213" s="3">
        <f>BY206</f>
        <v>2483.758</v>
      </c>
      <c r="CB213" s="35" t="n"/>
      <c r="CC213" s="35" t="n"/>
      <c r="CD213" s="35" t="n"/>
      <c r="CE213" s="3" t="n"/>
      <c r="CF213" s="3">
        <f>CD206</f>
        <v>2483.758</v>
      </c>
      <c r="CG213" s="35" t="n"/>
      <c r="CH213" s="35" t="n"/>
      <c r="CI213" s="35" t="n"/>
      <c r="CJ213" s="3" t="n"/>
      <c r="CK213" s="3">
        <f>CI206</f>
        <v>2483.758</v>
      </c>
      <c r="CL213" s="35" t="n"/>
      <c r="CM213" s="35" t="n"/>
      <c r="CN213" s="35" t="n"/>
      <c r="CO213" s="3" t="n"/>
      <c r="CP213" s="3">
        <f>CN206</f>
        <v>2483.758</v>
      </c>
      <c r="CQ213" s="35" t="n"/>
      <c r="CR213" s="35" t="n"/>
      <c r="CS213" s="35" t="n"/>
      <c r="CT213" s="3" t="n"/>
      <c r="CU213" s="3">
        <f>CS206</f>
        <v>2483.758</v>
      </c>
      <c r="CV213" s="35" t="n"/>
      <c r="CW213" s="35" t="n"/>
      <c r="CX213" s="35" t="n"/>
      <c r="CY213" s="3" t="n"/>
    </row>
    <row r="214" hidden="1" outlineLevel="1">
      <c r="C214" s="3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</row>
    <row r="215" hidden="1" outlineLevel="1">
      <c r="C215" s="34" t="inlineStr">
        <is>
          <t>Reclassification of LTD to CP of LTD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>
        <f>-AI213</f>
        <v>0</v>
      </c>
      <c r="AJ215" s="3">
        <f>-AJ213</f>
        <v>0</v>
      </c>
      <c r="AK215" s="3">
        <f>-AK213</f>
        <v>0</v>
      </c>
      <c r="AL215" s="3" t="n"/>
      <c r="AM215" s="3" t="n"/>
      <c r="AN215" s="3">
        <f>-AN213</f>
        <v>0</v>
      </c>
      <c r="AO215" s="3">
        <f>-AO213</f>
        <v>0</v>
      </c>
      <c r="AP215" s="3">
        <f>-AP213</f>
        <v>0</v>
      </c>
      <c r="AQ215" s="3" t="n"/>
      <c r="AR215" s="3" t="n"/>
      <c r="AS215" s="3">
        <f>-AS213</f>
        <v>0</v>
      </c>
      <c r="AT215" s="3">
        <f>-AT213</f>
        <v>0</v>
      </c>
      <c r="AU215" s="3">
        <f>-AU213</f>
        <v>0</v>
      </c>
      <c r="AV215" s="3" t="n"/>
      <c r="AW215" s="3" t="n"/>
      <c r="AX215" s="3">
        <f>-AX213</f>
        <v>0</v>
      </c>
      <c r="AY215" s="3">
        <f>-AY213</f>
        <v>0</v>
      </c>
      <c r="AZ215" s="3">
        <f>-AZ213</f>
        <v>0</v>
      </c>
      <c r="BA215" s="3" t="n"/>
      <c r="BB215" s="3" t="n"/>
      <c r="BC215" s="3">
        <f>-BC213</f>
        <v>0</v>
      </c>
      <c r="BD215" s="3">
        <f>-BD213</f>
        <v>0</v>
      </c>
      <c r="BE215" s="3">
        <f>-BE213</f>
        <v>0</v>
      </c>
      <c r="BF215" s="3" t="n"/>
      <c r="BG215" s="3" t="n"/>
      <c r="BH215" s="3">
        <f>-BH213</f>
        <v>0</v>
      </c>
      <c r="BI215" s="3">
        <f>-BI213</f>
        <v>0</v>
      </c>
      <c r="BJ215" s="3">
        <f>-BJ213</f>
        <v>0</v>
      </c>
      <c r="BK215" s="3" t="n"/>
      <c r="BL215" s="3" t="n"/>
      <c r="BM215" s="3">
        <f>-BM213</f>
        <v>0</v>
      </c>
      <c r="BN215" s="3">
        <f>-BN213</f>
        <v>0</v>
      </c>
      <c r="BO215" s="3">
        <f>-BO213</f>
        <v>0</v>
      </c>
      <c r="BP215" s="3" t="n"/>
      <c r="BQ215" s="3" t="n"/>
      <c r="BR215" s="3">
        <f>-BR213</f>
        <v>0</v>
      </c>
      <c r="BS215" s="3">
        <f>-BS213</f>
        <v>0</v>
      </c>
      <c r="BT215" s="3">
        <f>-BT213</f>
        <v>0</v>
      </c>
      <c r="BU215" s="3" t="n"/>
      <c r="BV215" s="3" t="n"/>
      <c r="BW215" s="3">
        <f>-BW213</f>
        <v>0</v>
      </c>
      <c r="BX215" s="3">
        <f>-BX213</f>
        <v>0</v>
      </c>
      <c r="BY215" s="3">
        <f>-BY213</f>
        <v>0</v>
      </c>
      <c r="BZ215" s="3" t="n"/>
      <c r="CA215" s="3" t="n"/>
      <c r="CB215" s="3">
        <f>-CB213</f>
        <v>0</v>
      </c>
      <c r="CC215" s="3">
        <f>-CC213</f>
        <v>0</v>
      </c>
      <c r="CD215" s="3">
        <f>-CD213</f>
        <v>0</v>
      </c>
      <c r="CE215" s="3" t="n"/>
      <c r="CF215" s="3" t="n"/>
      <c r="CG215" s="3">
        <f>-CG213</f>
        <v>0</v>
      </c>
      <c r="CH215" s="3">
        <f>-CH213</f>
        <v>0</v>
      </c>
      <c r="CI215" s="3">
        <f>-CI213</f>
        <v>0</v>
      </c>
      <c r="CJ215" s="3" t="n"/>
      <c r="CK215" s="3" t="n"/>
      <c r="CL215" s="3">
        <f>-CL213</f>
        <v>0</v>
      </c>
      <c r="CM215" s="3">
        <f>-CM213</f>
        <v>0</v>
      </c>
      <c r="CN215" s="3">
        <f>-CN213</f>
        <v>0</v>
      </c>
      <c r="CO215" s="3" t="n"/>
      <c r="CP215" s="3" t="n"/>
      <c r="CQ215" s="3">
        <f>-CQ213</f>
        <v>0</v>
      </c>
      <c r="CR215" s="3">
        <f>-CR213</f>
        <v>0</v>
      </c>
      <c r="CS215" s="3">
        <f>-CS213</f>
        <v>0</v>
      </c>
      <c r="CT215" s="3" t="n"/>
      <c r="CU215" s="3" t="n"/>
      <c r="CV215" s="3">
        <f>-CV213</f>
        <v>0</v>
      </c>
      <c r="CW215" s="3">
        <f>-CW213</f>
        <v>0</v>
      </c>
      <c r="CX215" s="3">
        <f>-CX213</f>
        <v>0</v>
      </c>
      <c r="CY215" s="3" t="n"/>
    </row>
    <row r="216" hidden="1" outlineLevel="1">
      <c r="C216" s="34" t="inlineStr">
        <is>
          <t>Discretionary (paydown)/borrowing of long term debt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5" t="n"/>
      <c r="AI216" s="35" t="n"/>
      <c r="AJ216" s="35" t="n"/>
      <c r="AK216" s="35" t="n"/>
      <c r="AL216" s="3" t="n"/>
      <c r="AM216" s="35" t="n"/>
      <c r="AN216" s="35" t="n"/>
      <c r="AO216" s="35" t="n"/>
      <c r="AP216" s="35" t="n"/>
      <c r="AQ216" s="3" t="n"/>
      <c r="AR216" s="35" t="n"/>
      <c r="AS216" s="35" t="n"/>
      <c r="AT216" s="35" t="n"/>
      <c r="AU216" s="35" t="n"/>
      <c r="AV216" s="3" t="n"/>
      <c r="AW216" s="35" t="n"/>
      <c r="AX216" s="35" t="n"/>
      <c r="AY216" s="35" t="n"/>
      <c r="AZ216" s="35" t="n"/>
      <c r="BA216" s="3" t="n"/>
      <c r="BB216" s="35" t="n"/>
      <c r="BC216" s="35" t="n"/>
      <c r="BD216" s="35" t="n"/>
      <c r="BE216" s="35" t="n"/>
      <c r="BF216" s="3" t="n"/>
      <c r="BG216" s="35" t="n"/>
      <c r="BH216" s="35" t="n"/>
      <c r="BI216" s="35" t="n"/>
      <c r="BJ216" s="35" t="n"/>
      <c r="BK216" s="3" t="n"/>
      <c r="BL216" s="35" t="n"/>
      <c r="BM216" s="35" t="n"/>
      <c r="BN216" s="35" t="n"/>
      <c r="BO216" s="35" t="n"/>
      <c r="BP216" s="3" t="n"/>
      <c r="BQ216" s="35" t="n"/>
      <c r="BR216" s="35" t="n"/>
      <c r="BS216" s="35" t="n"/>
      <c r="BT216" s="35" t="n"/>
      <c r="BU216" s="3" t="n"/>
      <c r="BV216" s="35" t="n"/>
      <c r="BW216" s="35" t="n"/>
      <c r="BX216" s="35" t="n"/>
      <c r="BY216" s="35" t="n"/>
      <c r="BZ216" s="3" t="n"/>
      <c r="CA216" s="35" t="n"/>
      <c r="CB216" s="35" t="n"/>
      <c r="CC216" s="35" t="n"/>
      <c r="CD216" s="35" t="n"/>
      <c r="CE216" s="3" t="n"/>
      <c r="CF216" s="35" t="n"/>
      <c r="CG216" s="35" t="n"/>
      <c r="CH216" s="35" t="n"/>
      <c r="CI216" s="35" t="n"/>
      <c r="CJ216" s="3" t="n"/>
      <c r="CK216" s="35" t="n"/>
      <c r="CL216" s="35" t="n"/>
      <c r="CM216" s="35" t="n"/>
      <c r="CN216" s="35" t="n"/>
      <c r="CO216" s="3" t="n"/>
      <c r="CP216" s="35" t="n"/>
      <c r="CQ216" s="35" t="n"/>
      <c r="CR216" s="35" t="n"/>
      <c r="CS216" s="35" t="n"/>
      <c r="CT216" s="3" t="n"/>
      <c r="CU216" s="35" t="n"/>
      <c r="CV216" s="35" t="n"/>
      <c r="CW216" s="35" t="n"/>
      <c r="CX216" s="35" t="n"/>
      <c r="CY216" s="3" t="n"/>
    </row>
    <row r="217" hidden="1" outlineLevel="1">
      <c r="C217" s="34" t="inlineStr">
        <is>
          <t>Long term debt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>
        <f>AF211+SUM(AH215:AH216)</f>
        <v>13463.971</v>
      </c>
      <c r="AI217" s="3">
        <f>AH217+SUM(AI215:AI216)</f>
        <v>13463.971</v>
      </c>
      <c r="AJ217" s="3">
        <f>AI211+SUM(AJ215:AJ216)</f>
        <v>11825.548</v>
      </c>
      <c r="AK217" s="3">
        <f>AJ217+SUM(AK215:AK216)</f>
        <v>11825.548</v>
      </c>
      <c r="AL217" s="3" t="n"/>
      <c r="AM217" s="3">
        <f>AK217+SUM(AM215:AM216)</f>
        <v>11825.548</v>
      </c>
      <c r="AN217" s="3">
        <f>AM217+SUM(AN215:AN216)</f>
        <v>11825.548</v>
      </c>
      <c r="AO217" s="3">
        <f>AN217+SUM(AO215:AO216)</f>
        <v>11825.548</v>
      </c>
      <c r="AP217" s="3">
        <f>AO217+SUM(AP215:AP216)</f>
        <v>11825.548</v>
      </c>
      <c r="AQ217" s="3" t="n"/>
      <c r="AR217" s="3">
        <f>AP217+SUM(AR215:AR216)</f>
        <v>11825.548</v>
      </c>
      <c r="AS217" s="3">
        <f>AR217+SUM(AS215:AS216)</f>
        <v>11825.548</v>
      </c>
      <c r="AT217" s="3">
        <f>AS217+SUM(AT215:AT216)</f>
        <v>11825.548</v>
      </c>
      <c r="AU217" s="3">
        <f>AT217+SUM(AU215:AU216)</f>
        <v>11825.548</v>
      </c>
      <c r="AV217" s="3" t="n"/>
      <c r="AW217" s="3">
        <f>AU217+SUM(AW215:AW216)</f>
        <v>11825.548</v>
      </c>
      <c r="AX217" s="3">
        <f>AW217+SUM(AX215:AX216)</f>
        <v>11825.548</v>
      </c>
      <c r="AY217" s="3">
        <f>AX217+SUM(AY215:AY216)</f>
        <v>11825.548</v>
      </c>
      <c r="AZ217" s="3">
        <f>AY217+SUM(AZ215:AZ216)</f>
        <v>11825.548</v>
      </c>
      <c r="BA217" s="3" t="n"/>
      <c r="BB217" s="3">
        <f>AZ217+SUM(BB215:BB216)</f>
        <v>11825.548</v>
      </c>
      <c r="BC217" s="3">
        <f>BB217+SUM(BC215:BC216)</f>
        <v>11825.548</v>
      </c>
      <c r="BD217" s="3">
        <f>BC217+SUM(BD215:BD216)</f>
        <v>11825.548</v>
      </c>
      <c r="BE217" s="3">
        <f>BD217+SUM(BE215:BE216)</f>
        <v>11825.548</v>
      </c>
      <c r="BF217" s="3" t="n"/>
      <c r="BG217" s="3">
        <f>BE217+SUM(BG215:BG216)</f>
        <v>11825.548</v>
      </c>
      <c r="BH217" s="3">
        <f>BG217+SUM(BH215:BH216)</f>
        <v>11825.548</v>
      </c>
      <c r="BI217" s="3">
        <f>BH217+SUM(BI215:BI216)</f>
        <v>11825.548</v>
      </c>
      <c r="BJ217" s="3">
        <f>BI217+SUM(BJ215:BJ216)</f>
        <v>11825.548</v>
      </c>
      <c r="BK217" s="3" t="n"/>
      <c r="BL217" s="3">
        <f>BJ217+SUM(BL215:BL216)</f>
        <v>11825.548</v>
      </c>
      <c r="BM217" s="3">
        <f>BL217+SUM(BM215:BM216)</f>
        <v>11825.548</v>
      </c>
      <c r="BN217" s="3">
        <f>BM217+SUM(BN215:BN216)</f>
        <v>11825.548</v>
      </c>
      <c r="BO217" s="3">
        <f>BN217+SUM(BO215:BO216)</f>
        <v>11825.548</v>
      </c>
      <c r="BP217" s="3" t="n"/>
      <c r="BQ217" s="3">
        <f>BO217+SUM(BQ215:BQ216)</f>
        <v>11825.548</v>
      </c>
      <c r="BR217" s="3">
        <f>BQ217+SUM(BR215:BR216)</f>
        <v>11825.548</v>
      </c>
      <c r="BS217" s="3">
        <f>BR217+SUM(BS215:BS216)</f>
        <v>11825.548</v>
      </c>
      <c r="BT217" s="3">
        <f>BS217+SUM(BT215:BT216)</f>
        <v>11825.548</v>
      </c>
      <c r="BU217" s="3" t="n"/>
      <c r="BV217" s="3">
        <f>BT217+SUM(BV215:BV216)</f>
        <v>11825.548</v>
      </c>
      <c r="BW217" s="3">
        <f>BV217+SUM(BW215:BW216)</f>
        <v>11825.548</v>
      </c>
      <c r="BX217" s="3">
        <f>BW217+SUM(BX215:BX216)</f>
        <v>11825.548</v>
      </c>
      <c r="BY217" s="3">
        <f>BX217+SUM(BY215:BY216)</f>
        <v>11825.548</v>
      </c>
      <c r="BZ217" s="3" t="n"/>
      <c r="CA217" s="3">
        <f>BY217+SUM(CA215:CA216)</f>
        <v>11825.548</v>
      </c>
      <c r="CB217" s="3">
        <f>CA217+SUM(CB215:CB216)</f>
        <v>11825.548</v>
      </c>
      <c r="CC217" s="3">
        <f>CB217+SUM(CC215:CC216)</f>
        <v>11825.548</v>
      </c>
      <c r="CD217" s="3">
        <f>CC217+SUM(CD215:CD216)</f>
        <v>11825.548</v>
      </c>
      <c r="CE217" s="3" t="n"/>
      <c r="CF217" s="3">
        <f>CD217+SUM(CF215:CF216)</f>
        <v>11825.548</v>
      </c>
      <c r="CG217" s="3">
        <f>CF217+SUM(CG215:CG216)</f>
        <v>11825.548</v>
      </c>
      <c r="CH217" s="3">
        <f>CG217+SUM(CH215:CH216)</f>
        <v>11825.548</v>
      </c>
      <c r="CI217" s="3">
        <f>CH217+SUM(CI215:CI216)</f>
        <v>11825.548</v>
      </c>
      <c r="CJ217" s="3" t="n"/>
      <c r="CK217" s="3">
        <f>CI217+SUM(CK215:CK216)</f>
        <v>11825.548</v>
      </c>
      <c r="CL217" s="3">
        <f>CK217+SUM(CL215:CL216)</f>
        <v>11825.548</v>
      </c>
      <c r="CM217" s="3">
        <f>CL217+SUM(CM215:CM216)</f>
        <v>11825.548</v>
      </c>
      <c r="CN217" s="3">
        <f>CM217+SUM(CN215:CN216)</f>
        <v>11825.548</v>
      </c>
      <c r="CO217" s="3" t="n"/>
      <c r="CP217" s="3">
        <f>CN217+SUM(CP215:CP216)</f>
        <v>11825.548</v>
      </c>
      <c r="CQ217" s="3">
        <f>CP217+SUM(CQ215:CQ216)</f>
        <v>11825.548</v>
      </c>
      <c r="CR217" s="3">
        <f>CQ217+SUM(CR215:CR216)</f>
        <v>11825.548</v>
      </c>
      <c r="CS217" s="3">
        <f>CR217+SUM(CS215:CS216)</f>
        <v>11825.548</v>
      </c>
      <c r="CT217" s="3" t="n"/>
      <c r="CU217" s="3">
        <f>CS217+SUM(CU215:CU216)</f>
        <v>11825.548</v>
      </c>
      <c r="CV217" s="3">
        <f>CU217+SUM(CV215:CV216)</f>
        <v>11825.548</v>
      </c>
      <c r="CW217" s="3">
        <f>CV217+SUM(CW215:CW216)</f>
        <v>11825.548</v>
      </c>
      <c r="CX217" s="3">
        <f>CW217+SUM(CX215:CX216)</f>
        <v>11825.548</v>
      </c>
      <c r="CY217" s="3" t="n"/>
      <c r="CZ217">
        <f>CX217+SUM(CZ215:CZ216)</f>
        <v>11825.548</v>
      </c>
      <c r="DA217">
        <f>CZ217+SUM(DA215:DA216)</f>
        <v>11825.548</v>
      </c>
      <c r="DB217">
        <f>DA217+SUM(DB215:DB216)</f>
        <v>11825.548</v>
      </c>
      <c r="DC217">
        <f>DB217+SUM(DC215:DC216)</f>
        <v>11825.548</v>
      </c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hidden="1" outlineLevel="1">
      <c r="C219" s="34" t="inlineStr">
        <is>
          <t>Discretionary (paydown)/borrowing of convertible debt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5" t="n"/>
      <c r="AI219" s="35" t="n"/>
      <c r="AJ219" s="35" t="n"/>
      <c r="AK219" s="35" t="n"/>
      <c r="AL219" s="3" t="n"/>
      <c r="AM219" s="35" t="n"/>
      <c r="AN219" s="35" t="n"/>
      <c r="AO219" s="35" t="n"/>
      <c r="AP219" s="35" t="n"/>
      <c r="AQ219" s="3" t="n"/>
      <c r="AR219" s="35" t="n"/>
      <c r="AS219" s="35" t="n"/>
      <c r="AT219" s="35" t="n"/>
      <c r="AU219" s="35" t="n"/>
      <c r="AV219" s="3" t="n"/>
      <c r="AW219" s="35" t="n"/>
      <c r="AX219" s="35" t="n"/>
      <c r="AY219" s="35" t="n"/>
      <c r="AZ219" s="35" t="n"/>
      <c r="BA219" s="3" t="n"/>
      <c r="BB219" s="35" t="n"/>
      <c r="BC219" s="35" t="n"/>
      <c r="BD219" s="35" t="n"/>
      <c r="BE219" s="35" t="n"/>
      <c r="BF219" s="3" t="n"/>
      <c r="BG219" s="35" t="n"/>
      <c r="BH219" s="35" t="n"/>
      <c r="BI219" s="35" t="n"/>
      <c r="BJ219" s="35" t="n"/>
      <c r="BK219" s="3" t="n"/>
      <c r="BL219" s="35" t="n"/>
      <c r="BM219" s="35" t="n"/>
      <c r="BN219" s="35" t="n"/>
      <c r="BO219" s="35" t="n"/>
      <c r="BP219" s="3" t="n"/>
      <c r="BQ219" s="35" t="n"/>
      <c r="BR219" s="35" t="n"/>
      <c r="BS219" s="35" t="n"/>
      <c r="BT219" s="35" t="n"/>
      <c r="BU219" s="3" t="n"/>
      <c r="BV219" s="35" t="n"/>
      <c r="BW219" s="35" t="n"/>
      <c r="BX219" s="35" t="n"/>
      <c r="BY219" s="35" t="n"/>
      <c r="BZ219" s="3" t="n"/>
      <c r="CA219" s="35" t="n"/>
      <c r="CB219" s="35" t="n"/>
      <c r="CC219" s="35" t="n"/>
      <c r="CD219" s="35" t="n"/>
      <c r="CE219" s="3" t="n"/>
      <c r="CF219" s="35" t="n"/>
      <c r="CG219" s="35" t="n"/>
      <c r="CH219" s="35" t="n"/>
      <c r="CI219" s="35" t="n"/>
      <c r="CJ219" s="3" t="n"/>
      <c r="CK219" s="35" t="n"/>
      <c r="CL219" s="35" t="n"/>
      <c r="CM219" s="35" t="n"/>
      <c r="CN219" s="35" t="n"/>
      <c r="CO219" s="3" t="n"/>
      <c r="CP219" s="35" t="n"/>
      <c r="CQ219" s="35" t="n"/>
      <c r="CR219" s="35" t="n"/>
      <c r="CS219" s="35" t="n"/>
      <c r="CT219" s="3" t="n"/>
      <c r="CU219" s="35" t="n"/>
      <c r="CV219" s="35" t="n"/>
      <c r="CW219" s="35" t="n"/>
      <c r="CX219" s="35" t="n"/>
      <c r="CY219" s="3" t="n"/>
    </row>
    <row r="220" hidden="1" outlineLevel="1">
      <c r="C220" s="34" t="inlineStr">
        <is>
          <t>Convertible debt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>
        <f>AH232</f>
        <v>0</v>
      </c>
      <c r="AI220" s="3">
        <f>AH220+SUM(AI219)</f>
        <v>0</v>
      </c>
      <c r="AJ220" s="3">
        <f>AI220+SUM(AJ219)</f>
        <v>0</v>
      </c>
      <c r="AK220" s="3">
        <f>AJ220+SUM(AK219)</f>
        <v>0</v>
      </c>
      <c r="AL220" s="3" t="n"/>
      <c r="AM220" s="3">
        <f>AM232</f>
        <v>0</v>
      </c>
      <c r="AN220" s="3">
        <f>AM220+SUM(AN219)</f>
        <v>0</v>
      </c>
      <c r="AO220" s="3">
        <f>AN220+SUM(AO219)</f>
        <v>0</v>
      </c>
      <c r="AP220" s="3">
        <f>AO220+SUM(AP219)</f>
        <v>0</v>
      </c>
      <c r="AQ220" s="3" t="n"/>
      <c r="AR220" s="3">
        <f>AR232</f>
        <v>0</v>
      </c>
      <c r="AS220" s="3">
        <f>AR220+SUM(AS219)</f>
        <v>0</v>
      </c>
      <c r="AT220" s="3">
        <f>AS220+SUM(AT219)</f>
        <v>0</v>
      </c>
      <c r="AU220" s="3">
        <f>AT220+SUM(AU219)</f>
        <v>0</v>
      </c>
      <c r="AV220" s="3" t="n"/>
      <c r="AW220" s="3">
        <f>AW232</f>
        <v>0</v>
      </c>
      <c r="AX220" s="3">
        <f>AW220+SUM(AX219)</f>
        <v>0</v>
      </c>
      <c r="AY220" s="3">
        <f>AX220+SUM(AY219)</f>
        <v>0</v>
      </c>
      <c r="AZ220" s="3">
        <f>AY220+SUM(AZ219)</f>
        <v>0</v>
      </c>
      <c r="BA220" s="3" t="n"/>
      <c r="BB220" s="3">
        <f>BB232</f>
        <v>0</v>
      </c>
      <c r="BC220" s="3">
        <f>BB220+SUM(BC219)</f>
        <v>0</v>
      </c>
      <c r="BD220" s="3">
        <f>BC220+SUM(BD219)</f>
        <v>0</v>
      </c>
      <c r="BE220" s="3">
        <f>BD220+SUM(BE219)</f>
        <v>0</v>
      </c>
      <c r="BF220" s="3" t="n"/>
      <c r="BG220" s="3">
        <f>BG232</f>
        <v>0</v>
      </c>
      <c r="BH220" s="3">
        <f>BG220+SUM(BH219)</f>
        <v>0</v>
      </c>
      <c r="BI220" s="3">
        <f>BH220+SUM(BI219)</f>
        <v>0</v>
      </c>
      <c r="BJ220" s="3">
        <f>BI220+SUM(BJ219)</f>
        <v>0</v>
      </c>
      <c r="BK220" s="3" t="n"/>
      <c r="BL220" s="3">
        <f>BL232</f>
        <v>0</v>
      </c>
      <c r="BM220" s="3">
        <f>BL220+SUM(BM219)</f>
        <v>0</v>
      </c>
      <c r="BN220" s="3">
        <f>BM220+SUM(BN219)</f>
        <v>0</v>
      </c>
      <c r="BO220" s="3">
        <f>BN220+SUM(BO219)</f>
        <v>0</v>
      </c>
      <c r="BP220" s="3" t="n"/>
      <c r="BQ220" s="3">
        <f>BQ232</f>
        <v>0</v>
      </c>
      <c r="BR220" s="3">
        <f>BQ220+SUM(BR219)</f>
        <v>0</v>
      </c>
      <c r="BS220" s="3">
        <f>BR220+SUM(BS219)</f>
        <v>0</v>
      </c>
      <c r="BT220" s="3">
        <f>BS220+SUM(BT219)</f>
        <v>0</v>
      </c>
      <c r="BU220" s="3" t="n"/>
      <c r="BV220" s="3">
        <f>BV232</f>
        <v>0</v>
      </c>
      <c r="BW220" s="3">
        <f>BV220+SUM(BW219)</f>
        <v>0</v>
      </c>
      <c r="BX220" s="3">
        <f>BW220+SUM(BX219)</f>
        <v>0</v>
      </c>
      <c r="BY220" s="3">
        <f>BX220+SUM(BY219)</f>
        <v>0</v>
      </c>
      <c r="BZ220" s="3" t="n"/>
      <c r="CA220" s="3">
        <f>CA232</f>
        <v>0</v>
      </c>
      <c r="CB220" s="3">
        <f>CA220+SUM(CB219)</f>
        <v>0</v>
      </c>
      <c r="CC220" s="3">
        <f>CB220+SUM(CC219)</f>
        <v>0</v>
      </c>
      <c r="CD220" s="3">
        <f>CC220+SUM(CD219)</f>
        <v>0</v>
      </c>
      <c r="CE220" s="3" t="n"/>
      <c r="CF220" s="3">
        <f>CF232</f>
        <v>0</v>
      </c>
      <c r="CG220" s="3">
        <f>CF220+SUM(CG219)</f>
        <v>0</v>
      </c>
      <c r="CH220" s="3">
        <f>CG220+SUM(CH219)</f>
        <v>0</v>
      </c>
      <c r="CI220" s="3">
        <f>CH220+SUM(CI219)</f>
        <v>0</v>
      </c>
      <c r="CJ220" s="3" t="n"/>
      <c r="CK220" s="3">
        <f>CK232</f>
        <v>0</v>
      </c>
      <c r="CL220" s="3">
        <f>CK220+SUM(CL219)</f>
        <v>0</v>
      </c>
      <c r="CM220" s="3">
        <f>CL220+SUM(CM219)</f>
        <v>0</v>
      </c>
      <c r="CN220" s="3">
        <f>CM220+SUM(CN219)</f>
        <v>0</v>
      </c>
      <c r="CO220" s="3" t="n"/>
      <c r="CP220" s="3">
        <f>CP232</f>
        <v>0</v>
      </c>
      <c r="CQ220" s="3">
        <f>CP220+SUM(CQ219)</f>
        <v>0</v>
      </c>
      <c r="CR220" s="3">
        <f>CQ220+SUM(CR219)</f>
        <v>0</v>
      </c>
      <c r="CS220" s="3">
        <f>CR220+SUM(CS219)</f>
        <v>0</v>
      </c>
      <c r="CT220" s="3" t="n"/>
      <c r="CU220" s="3">
        <f>CU232</f>
        <v>0</v>
      </c>
      <c r="CV220" s="3">
        <f>CU220+SUM(CV219)</f>
        <v>0</v>
      </c>
      <c r="CW220" s="3">
        <f>CV220+SUM(CW219)</f>
        <v>0</v>
      </c>
      <c r="CX220" s="3">
        <f>CW220+SUM(CX219)</f>
        <v>0</v>
      </c>
      <c r="CY220" s="3" t="n"/>
    </row>
    <row r="221" hidden="1" outlineLevel="1">
      <c r="C221" s="3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I221" s="3" t="n"/>
      <c r="AJ221" s="3" t="n"/>
      <c r="AK221" s="3" t="n"/>
      <c r="AL221" s="3" t="n"/>
      <c r="AN221" s="3" t="n"/>
      <c r="AO221" s="3" t="n"/>
      <c r="AP221" s="3" t="n"/>
      <c r="AQ221" s="3" t="n"/>
      <c r="AS221" s="3" t="n"/>
      <c r="AT221" s="3" t="n"/>
      <c r="AU221" s="3" t="n"/>
      <c r="AV221" s="3" t="n"/>
      <c r="AX221" s="3" t="n"/>
      <c r="AY221" s="3" t="n"/>
      <c r="AZ221" s="3" t="n"/>
      <c r="BA221" s="3" t="n"/>
      <c r="BC221" s="3" t="n"/>
      <c r="BD221" s="3" t="n"/>
      <c r="BE221" s="3" t="n"/>
      <c r="BF221" s="3" t="n"/>
      <c r="BH221" s="3" t="n"/>
      <c r="BI221" s="3" t="n"/>
      <c r="BJ221" s="3" t="n"/>
      <c r="BK221" s="3" t="n"/>
      <c r="BM221" s="3" t="n"/>
      <c r="BN221" s="3" t="n"/>
      <c r="BO221" s="3" t="n"/>
      <c r="BP221" s="3" t="n"/>
      <c r="BR221" s="3" t="n"/>
      <c r="BS221" s="3" t="n"/>
      <c r="BT221" s="3" t="n"/>
      <c r="BU221" s="3" t="n"/>
      <c r="BW221" s="3" t="n"/>
      <c r="BX221" s="3" t="n"/>
      <c r="BY221" s="3" t="n"/>
      <c r="BZ221" s="3" t="n"/>
      <c r="CB221" s="3" t="n"/>
      <c r="CC221" s="3" t="n"/>
      <c r="CD221" s="3" t="n"/>
      <c r="CE221" s="3" t="n"/>
      <c r="CG221" s="3" t="n"/>
      <c r="CH221" s="3" t="n"/>
      <c r="CI221" s="3" t="n"/>
      <c r="CJ221" s="3" t="n"/>
      <c r="CL221" s="3" t="n"/>
      <c r="CM221" s="3" t="n"/>
      <c r="CN221" s="3" t="n"/>
      <c r="CO221" s="3" t="n"/>
      <c r="CQ221" s="3" t="n"/>
      <c r="CR221" s="3" t="n"/>
      <c r="CS221" s="3" t="n"/>
      <c r="CT221" s="3" t="n"/>
      <c r="CV221" s="3" t="n"/>
      <c r="CW221" s="3" t="n"/>
      <c r="CX221" s="3" t="n"/>
      <c r="CY221" s="3" t="n"/>
    </row>
    <row r="222" hidden="1" outlineLevel="1">
      <c r="C222" s="34" t="inlineStr">
        <is>
          <t>Calculation of short term debt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hidden="1" outlineLevel="1">
      <c r="C223" s="34" t="inlineStr">
        <is>
          <t>Cash @ beginning of the period (end of last period)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6">
        <f>AG138</f>
        <v>9062.359</v>
      </c>
      <c r="AI223" s="3" t="n"/>
      <c r="AJ223" s="3" t="n"/>
      <c r="AK223" s="3" t="n"/>
      <c r="AL223" s="3" t="n"/>
      <c r="AM223" s="36">
        <f>AL138</f>
        <v>8044.575</v>
      </c>
      <c r="AN223" s="3" t="n"/>
      <c r="AO223" s="3" t="n"/>
      <c r="AP223" s="3" t="n"/>
      <c r="AQ223" s="3" t="n"/>
      <c r="AR223" s="36" t="e">
        <f>AQ138</f>
        <v>#DIV/0!</v>
      </c>
      <c r="AS223" s="3" t="n"/>
      <c r="AT223" s="3" t="n"/>
      <c r="AU223" s="3" t="n"/>
      <c r="AV223" s="3" t="n"/>
      <c r="AW223" s="36" t="e">
        <f>AV138</f>
        <v>#DIV/0!</v>
      </c>
      <c r="AX223" s="3" t="n"/>
      <c r="AY223" s="3" t="n"/>
      <c r="AZ223" s="3" t="n"/>
      <c r="BA223" s="3" t="n"/>
      <c r="BB223" s="36" t="e">
        <f>BA138</f>
        <v>#DIV/0!</v>
      </c>
      <c r="BC223" s="3" t="n"/>
      <c r="BD223" s="3" t="n"/>
      <c r="BE223" s="3" t="n"/>
      <c r="BF223" s="3" t="n"/>
      <c r="BG223" s="36" t="e">
        <f>BF138</f>
        <v>#DIV/0!</v>
      </c>
      <c r="BH223" s="3" t="n"/>
      <c r="BI223" s="3" t="n"/>
      <c r="BJ223" s="3" t="n"/>
      <c r="BK223" s="3" t="n"/>
      <c r="BL223" s="36" t="e">
        <f>BK138</f>
        <v>#DIV/0!</v>
      </c>
      <c r="BM223" s="3" t="n"/>
      <c r="BN223" s="3" t="n"/>
      <c r="BO223" s="3" t="n"/>
      <c r="BP223" s="3" t="n"/>
      <c r="BQ223" s="36" t="e">
        <f>BP138</f>
        <v>#DIV/0!</v>
      </c>
      <c r="BR223" s="3" t="n"/>
      <c r="BS223" s="3" t="n"/>
      <c r="BT223" s="3" t="n"/>
      <c r="BU223" s="3" t="n"/>
      <c r="BV223" s="36" t="e">
        <f>BU138</f>
        <v>#DIV/0!</v>
      </c>
      <c r="BW223" s="3" t="n"/>
      <c r="BX223" s="3" t="n"/>
      <c r="BY223" s="3" t="n"/>
      <c r="BZ223" s="3" t="n"/>
      <c r="CA223" s="36" t="e">
        <f>BZ138</f>
        <v>#DIV/0!</v>
      </c>
      <c r="CB223" s="3" t="n"/>
      <c r="CC223" s="3" t="n"/>
      <c r="CD223" s="3" t="n"/>
      <c r="CE223" s="3" t="n"/>
      <c r="CF223" s="36" t="e">
        <f>CE138</f>
        <v>#DIV/0!</v>
      </c>
      <c r="CG223" s="3" t="n"/>
      <c r="CH223" s="3" t="n"/>
      <c r="CI223" s="3" t="n"/>
      <c r="CJ223" s="3" t="n"/>
      <c r="CK223" s="36" t="e">
        <f>CJ138</f>
        <v>#DIV/0!</v>
      </c>
      <c r="CL223" s="3" t="n"/>
      <c r="CM223" s="3" t="n"/>
      <c r="CN223" s="3" t="n"/>
      <c r="CO223" s="3" t="n"/>
      <c r="CP223" s="36" t="e">
        <f>CO138</f>
        <v>#DIV/0!</v>
      </c>
      <c r="CQ223" s="3" t="n"/>
      <c r="CR223" s="3" t="n"/>
      <c r="CS223" s="3" t="n"/>
      <c r="CT223" s="3" t="n"/>
      <c r="CU223" s="36" t="e">
        <f>CT138</f>
        <v>#DIV/0!</v>
      </c>
      <c r="CV223" s="3" t="n"/>
      <c r="CW223" s="3" t="n"/>
      <c r="CX223" s="3" t="n"/>
      <c r="CY223" s="3" t="n"/>
    </row>
    <row r="224" hidden="1" outlineLevel="1">
      <c r="C224" s="34" t="inlineStr">
        <is>
          <t>Plus: Free cash flows prior to debt during period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inlineStr">
        <is>
          <t>% of sales</t>
        </is>
      </c>
      <c r="AH224" s="37">
        <f>SUM(AH287,AH294)+SUM(AH296:AH302)</f>
        <v>3328.411</v>
      </c>
      <c r="AI224" s="37">
        <f>SUM(AI287,AI294)+SUM(AI296:AI302)</f>
        <v>-3109.33</v>
      </c>
      <c r="AJ224" s="37">
        <f>SUM(AJ287,AJ294)+SUM(AJ296:AJ302)</f>
        <v>-1134.996</v>
      </c>
      <c r="AK224" s="37">
        <f>SUM(AK287,AK294)+SUM(AK296:AK302)</f>
        <v>51.661</v>
      </c>
      <c r="AL224" s="3" t="n"/>
      <c r="AM224" s="37" t="e">
        <f>SUM(AM287,AM294)+SUM(AM296:AM302)</f>
        <v>#DIV/0!</v>
      </c>
      <c r="AN224" s="37" t="e">
        <f>SUM(AN287,AN294)+SUM(AN296:AN302)</f>
        <v>#DIV/0!</v>
      </c>
      <c r="AO224" s="37" t="e">
        <f>SUM(AO287,AO294)+SUM(AO296:AO302)</f>
        <v>#DIV/0!</v>
      </c>
      <c r="AP224" s="37" t="e">
        <f>SUM(AP287,AP294)+SUM(AP296:AP302)</f>
        <v>#DIV/0!</v>
      </c>
      <c r="AQ224" s="3" t="n"/>
      <c r="AR224" s="37" t="e">
        <f>SUM(AR287,AR294)+SUM(AR296:AR302)</f>
        <v>#DIV/0!</v>
      </c>
      <c r="AS224" s="37" t="e">
        <f>SUM(AS287,AS294)+SUM(AS296:AS302)</f>
        <v>#DIV/0!</v>
      </c>
      <c r="AT224" s="37" t="e">
        <f>SUM(AT287,AT294)+SUM(AT296:AT302)</f>
        <v>#DIV/0!</v>
      </c>
      <c r="AU224" s="37" t="e">
        <f>SUM(AU287,AU294)+SUM(AU296:AU302)</f>
        <v>#DIV/0!</v>
      </c>
      <c r="AV224" s="3" t="n"/>
      <c r="AW224" s="37" t="e">
        <f>SUM(AW287,AW294)+SUM(AW296:AW302)</f>
        <v>#DIV/0!</v>
      </c>
      <c r="AX224" s="37" t="e">
        <f>SUM(AX287,AX294)+SUM(AX296:AX302)</f>
        <v>#DIV/0!</v>
      </c>
      <c r="AY224" s="37" t="e">
        <f>SUM(AY287,AY294)+SUM(AY296:AY302)</f>
        <v>#DIV/0!</v>
      </c>
      <c r="AZ224" s="37" t="e">
        <f>SUM(AZ287,AZ294)+SUM(AZ296:AZ302)</f>
        <v>#DIV/0!</v>
      </c>
      <c r="BA224" s="3" t="n"/>
      <c r="BB224" s="37" t="e">
        <f>SUM(BB287,BB294)+SUM(BB296:BB302)</f>
        <v>#DIV/0!</v>
      </c>
      <c r="BC224" s="37" t="e">
        <f>SUM(BC287,BC294)+SUM(BC296:BC302)</f>
        <v>#DIV/0!</v>
      </c>
      <c r="BD224" s="37" t="e">
        <f>SUM(BD287,BD294)+SUM(BD296:BD302)</f>
        <v>#DIV/0!</v>
      </c>
      <c r="BE224" s="37" t="e">
        <f>SUM(BE287,BE294)+SUM(BE296:BE302)</f>
        <v>#DIV/0!</v>
      </c>
      <c r="BF224" s="3" t="n"/>
      <c r="BG224" s="37" t="e">
        <f>SUM(BG287,BG294)+SUM(BG296:BG302)</f>
        <v>#DIV/0!</v>
      </c>
      <c r="BH224" s="37" t="e">
        <f>SUM(BH287,BH294)+SUM(BH296:BH302)</f>
        <v>#DIV/0!</v>
      </c>
      <c r="BI224" s="37" t="e">
        <f>SUM(BI287,BI294)+SUM(BI296:BI302)</f>
        <v>#DIV/0!</v>
      </c>
      <c r="BJ224" s="37" t="e">
        <f>SUM(BJ287,BJ294)+SUM(BJ296:BJ302)</f>
        <v>#DIV/0!</v>
      </c>
      <c r="BK224" s="3" t="n"/>
      <c r="BL224" s="37" t="e">
        <f>SUM(BL287,BL294)+SUM(BL296:BL302)</f>
        <v>#DIV/0!</v>
      </c>
      <c r="BM224" s="37" t="e">
        <f>SUM(BM287,BM294)+SUM(BM296:BM302)</f>
        <v>#DIV/0!</v>
      </c>
      <c r="BN224" s="37" t="e">
        <f>SUM(BN287,BN294)+SUM(BN296:BN302)</f>
        <v>#DIV/0!</v>
      </c>
      <c r="BO224" s="37" t="e">
        <f>SUM(BO287,BO294)+SUM(BO296:BO302)</f>
        <v>#DIV/0!</v>
      </c>
      <c r="BP224" s="3" t="n"/>
      <c r="BQ224" s="37" t="e">
        <f>SUM(BQ287,BQ294)+SUM(BQ296:BQ302)</f>
        <v>#DIV/0!</v>
      </c>
      <c r="BR224" s="37" t="e">
        <f>SUM(BR287,BR294)+SUM(BR296:BR302)</f>
        <v>#DIV/0!</v>
      </c>
      <c r="BS224" s="37" t="e">
        <f>SUM(BS287,BS294)+SUM(BS296:BS302)</f>
        <v>#DIV/0!</v>
      </c>
      <c r="BT224" s="37" t="e">
        <f>SUM(BT287,BT294)+SUM(BT296:BT302)</f>
        <v>#DIV/0!</v>
      </c>
      <c r="BU224" s="3" t="n"/>
      <c r="BV224" s="37" t="e">
        <f>SUM(BV287,BV294)+SUM(BV296:BV302)</f>
        <v>#DIV/0!</v>
      </c>
      <c r="BW224" s="37" t="e">
        <f>SUM(BW287,BW294)+SUM(BW296:BW302)</f>
        <v>#DIV/0!</v>
      </c>
      <c r="BX224" s="37" t="e">
        <f>SUM(BX287,BX294)+SUM(BX296:BX302)</f>
        <v>#DIV/0!</v>
      </c>
      <c r="BY224" s="37" t="e">
        <f>SUM(BY287,BY294)+SUM(BY296:BY302)</f>
        <v>#DIV/0!</v>
      </c>
      <c r="BZ224" s="3" t="n"/>
      <c r="CA224" s="37" t="e">
        <f>SUM(CA287,CA294)+SUM(CA296:CA302)</f>
        <v>#DIV/0!</v>
      </c>
      <c r="CB224" s="37" t="e">
        <f>SUM(CB287,CB294)+SUM(CB296:CB302)</f>
        <v>#DIV/0!</v>
      </c>
      <c r="CC224" s="37" t="e">
        <f>SUM(CC287,CC294)+SUM(CC296:CC302)</f>
        <v>#DIV/0!</v>
      </c>
      <c r="CD224" s="37" t="e">
        <f>SUM(CD287,CD294)+SUM(CD296:CD302)</f>
        <v>#DIV/0!</v>
      </c>
      <c r="CE224" s="3" t="n"/>
      <c r="CF224" s="37" t="e">
        <f>SUM(CF287,CF294)+SUM(CF296:CF302)</f>
        <v>#DIV/0!</v>
      </c>
      <c r="CG224" s="37" t="e">
        <f>SUM(CG287,CG294)+SUM(CG296:CG302)</f>
        <v>#DIV/0!</v>
      </c>
      <c r="CH224" s="37" t="e">
        <f>SUM(CH287,CH294)+SUM(CH296:CH302)</f>
        <v>#DIV/0!</v>
      </c>
      <c r="CI224" s="37" t="e">
        <f>SUM(CI287,CI294)+SUM(CI296:CI302)</f>
        <v>#DIV/0!</v>
      </c>
      <c r="CJ224" s="3" t="n"/>
      <c r="CK224" s="37" t="e">
        <f>SUM(CK287,CK294)+SUM(CK296:CK302)</f>
        <v>#DIV/0!</v>
      </c>
      <c r="CL224" s="37" t="e">
        <f>SUM(CL287,CL294)+SUM(CL296:CL302)</f>
        <v>#DIV/0!</v>
      </c>
      <c r="CM224" s="37" t="e">
        <f>SUM(CM287,CM294)+SUM(CM296:CM302)</f>
        <v>#DIV/0!</v>
      </c>
      <c r="CN224" s="37" t="e">
        <f>SUM(CN287,CN294)+SUM(CN296:CN302)</f>
        <v>#DIV/0!</v>
      </c>
      <c r="CO224" s="3" t="n"/>
      <c r="CP224" s="37" t="e">
        <f>SUM(CP287,CP294)+SUM(CP296:CP302)</f>
        <v>#DIV/0!</v>
      </c>
      <c r="CQ224" s="37" t="e">
        <f>SUM(CQ287,CQ294)+SUM(CQ296:CQ302)</f>
        <v>#DIV/0!</v>
      </c>
      <c r="CR224" s="37" t="e">
        <f>SUM(CR287,CR294)+SUM(CR296:CR302)</f>
        <v>#DIV/0!</v>
      </c>
      <c r="CS224" s="37" t="e">
        <f>SUM(CS287,CS294)+SUM(CS296:CS302)</f>
        <v>#DIV/0!</v>
      </c>
      <c r="CT224" s="3" t="n"/>
      <c r="CU224" s="37" t="e">
        <f>SUM(CU287,CU294)+SUM(CU296:CU302)</f>
        <v>#DIV/0!</v>
      </c>
      <c r="CV224" s="37" t="e">
        <f>SUM(CV287,CV294)+SUM(CV296:CV302)</f>
        <v>#DIV/0!</v>
      </c>
      <c r="CW224" s="37" t="e">
        <f>SUM(CW287,CW294)+SUM(CW296:CW302)</f>
        <v>#DIV/0!</v>
      </c>
      <c r="CX224" s="37" t="e">
        <f>SUM(CX287,CX294)+SUM(CX296:CX302)</f>
        <v>#DIV/0!</v>
      </c>
      <c r="CY224" s="3" t="n"/>
    </row>
    <row r="225" hidden="1" outlineLevel="1">
      <c r="C225" s="34" t="inlineStr">
        <is>
          <t>Less: Minimum cash balance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250" t="n"/>
      <c r="AH225" s="3">
        <f>($AG$225*AH15)</f>
        <v>0</v>
      </c>
      <c r="AI225" s="3">
        <f>($AG$225*AI15)</f>
        <v>0</v>
      </c>
      <c r="AJ225" s="3">
        <f>($AG$225*AJ15)</f>
        <v>0</v>
      </c>
      <c r="AK225" s="3">
        <f>($AG$225*AK15)</f>
        <v>0</v>
      </c>
      <c r="AL225" s="3" t="n"/>
      <c r="AM225" s="3">
        <f>($AG$225*AM15)</f>
        <v>0</v>
      </c>
      <c r="AN225" s="3">
        <f>($AG$225*AN15)</f>
        <v>0</v>
      </c>
      <c r="AO225" s="3">
        <f>($AG$225*AO15)</f>
        <v>0</v>
      </c>
      <c r="AP225" s="3">
        <f>($AG$225*AP15)</f>
        <v>0</v>
      </c>
      <c r="AQ225" s="3" t="n"/>
      <c r="AR225" s="3">
        <f>($AG$225*AR15)</f>
        <v>0</v>
      </c>
      <c r="AS225" s="3">
        <f>($AG$225*AS15)</f>
        <v>0</v>
      </c>
      <c r="AT225" s="3">
        <f>($AG$225*AT15)</f>
        <v>0</v>
      </c>
      <c r="AU225" s="3">
        <f>($AG$225*AU15)</f>
        <v>0</v>
      </c>
      <c r="AV225" s="3" t="n"/>
      <c r="AW225" s="3">
        <f>($AG$225*AW15)</f>
        <v>0</v>
      </c>
      <c r="AX225" s="3">
        <f>($AG$225*AX15)</f>
        <v>0</v>
      </c>
      <c r="AY225" s="3">
        <f>($AG$225*AY15)</f>
        <v>0</v>
      </c>
      <c r="AZ225" s="3">
        <f>($AG$225*AZ15)</f>
        <v>0</v>
      </c>
      <c r="BA225" s="3" t="n"/>
      <c r="BB225" s="3">
        <f>($AG$225*BB15)</f>
        <v>0</v>
      </c>
      <c r="BC225" s="3">
        <f>($AG$225*BC15)</f>
        <v>0</v>
      </c>
      <c r="BD225" s="3">
        <f>($AG$225*BD15)</f>
        <v>0</v>
      </c>
      <c r="BE225" s="3">
        <f>($AG$225*BE15)</f>
        <v>0</v>
      </c>
      <c r="BF225" s="3" t="n"/>
      <c r="BG225" s="3">
        <f>($AG$225*BG15)</f>
        <v>0</v>
      </c>
      <c r="BH225" s="3">
        <f>($AG$225*BH15)</f>
        <v>0</v>
      </c>
      <c r="BI225" s="3">
        <f>($AG$225*BI15)</f>
        <v>0</v>
      </c>
      <c r="BJ225" s="3">
        <f>($AG$225*BJ15)</f>
        <v>0</v>
      </c>
      <c r="BK225" s="3" t="n"/>
      <c r="BL225" s="3">
        <f>($AG$225*BL15)</f>
        <v>0</v>
      </c>
      <c r="BM225" s="3">
        <f>($AG$225*BM15)</f>
        <v>0</v>
      </c>
      <c r="BN225" s="3">
        <f>($AG$225*BN15)</f>
        <v>0</v>
      </c>
      <c r="BO225" s="3">
        <f>($AG$225*BO15)</f>
        <v>0</v>
      </c>
      <c r="BP225" s="3" t="n"/>
      <c r="BQ225" s="3">
        <f>($AG$225*BQ15)</f>
        <v>0</v>
      </c>
      <c r="BR225" s="3">
        <f>($AG$225*BR15)</f>
        <v>0</v>
      </c>
      <c r="BS225" s="3">
        <f>($AG$225*BS15)</f>
        <v>0</v>
      </c>
      <c r="BT225" s="3">
        <f>($AG$225*BT15)</f>
        <v>0</v>
      </c>
      <c r="BU225" s="3" t="n"/>
      <c r="BV225" s="3">
        <f>($AG$225*BV15)</f>
        <v>0</v>
      </c>
      <c r="BW225" s="3">
        <f>($AG$225*BW15)</f>
        <v>0</v>
      </c>
      <c r="BX225" s="3">
        <f>($AG$225*BX15)</f>
        <v>0</v>
      </c>
      <c r="BY225" s="3">
        <f>($AG$225*BY15)</f>
        <v>0</v>
      </c>
      <c r="BZ225" s="3" t="n"/>
      <c r="CA225" s="3">
        <f>($AG$225*CA15)</f>
        <v>0</v>
      </c>
      <c r="CB225" s="3">
        <f>($AG$225*CB15)</f>
        <v>0</v>
      </c>
      <c r="CC225" s="3">
        <f>($AG$225*CC15)</f>
        <v>0</v>
      </c>
      <c r="CD225" s="3">
        <f>($AG$225*CD15)</f>
        <v>0</v>
      </c>
      <c r="CE225" s="3" t="n"/>
      <c r="CF225" s="3">
        <f>($AG$225*CF15)</f>
        <v>0</v>
      </c>
      <c r="CG225" s="3">
        <f>($AG$225*CG15)</f>
        <v>0</v>
      </c>
      <c r="CH225" s="3">
        <f>($AG$225*CH15)</f>
        <v>0</v>
      </c>
      <c r="CI225" s="3">
        <f>($AG$225*CI15)</f>
        <v>0</v>
      </c>
      <c r="CJ225" s="3" t="n"/>
      <c r="CK225" s="3">
        <f>($AG$225*CK15)</f>
        <v>0</v>
      </c>
      <c r="CL225" s="3">
        <f>($AG$225*CL15)</f>
        <v>0</v>
      </c>
      <c r="CM225" s="3">
        <f>($AG$225*CM15)</f>
        <v>0</v>
      </c>
      <c r="CN225" s="3">
        <f>($AG$225*CN15)</f>
        <v>0</v>
      </c>
      <c r="CO225" s="3" t="n"/>
      <c r="CP225" s="3">
        <f>($AG$225*CP15)</f>
        <v>0</v>
      </c>
      <c r="CQ225" s="3">
        <f>($AG$225*CQ15)</f>
        <v>0</v>
      </c>
      <c r="CR225" s="3">
        <f>($AG$225*CR15)</f>
        <v>0</v>
      </c>
      <c r="CS225" s="3">
        <f>($AG$225*CS15)</f>
        <v>0</v>
      </c>
      <c r="CT225" s="3" t="n"/>
      <c r="CU225" s="3">
        <f>($AG$225*CU15)</f>
        <v>0</v>
      </c>
      <c r="CV225" s="3">
        <f>($AG$225*CV15)</f>
        <v>0</v>
      </c>
      <c r="CW225" s="3">
        <f>($AG$225*CW15)</f>
        <v>0</v>
      </c>
      <c r="CX225" s="3">
        <f>($AG$225*CX15)</f>
        <v>0</v>
      </c>
      <c r="CY225" s="3" t="n"/>
    </row>
    <row r="226" hidden="1" outlineLevel="1">
      <c r="C226" s="34" t="inlineStr">
        <is>
          <t>Total cash available / (debt required) for short term debt paydown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1">
        <f>AH223+AH224-AH225-AF213+AH215+AH219</f>
        <v>12390.77</v>
      </c>
      <c r="AI226" s="1">
        <f>AI223+AI224-AI225-AG213+AI215+AI219</f>
        <v>-3109.33</v>
      </c>
      <c r="AJ226" s="1">
        <f>AJ223+AJ224-AJ225-AH213+AJ215+AJ219</f>
        <v>-2133.861</v>
      </c>
      <c r="AK226" s="1">
        <f>AK223+AK224-AK225-AI213+AK215+AK219</f>
        <v>51.661</v>
      </c>
      <c r="AL226" s="3" t="n"/>
      <c r="AM226" s="1" t="e">
        <f>AM223+AM224-AM225-AK213+AM215+AM219</f>
        <v>#DIV/0!</v>
      </c>
      <c r="AN226" s="1" t="e">
        <f>AN223+AN224-AN225-AL213+AN215+AN219</f>
        <v>#DIV/0!</v>
      </c>
      <c r="AO226" s="1" t="e">
        <f>AO223+AO224-AO225-AM213+AO215+AO219</f>
        <v>#DIV/0!</v>
      </c>
      <c r="AP226" s="1" t="e">
        <f>AP223+AP224-AP225-AN213+AP215+AP219</f>
        <v>#DIV/0!</v>
      </c>
      <c r="AQ226" s="3" t="n"/>
      <c r="AR226" s="1" t="e">
        <f>AR223+AR224-AR225-AP213+AR215+AR219</f>
        <v>#DIV/0!</v>
      </c>
      <c r="AS226" s="1" t="e">
        <f>AS223+AS224-AS225-AQ213+AS215+AS219</f>
        <v>#DIV/0!</v>
      </c>
      <c r="AT226" s="1" t="e">
        <f>AT223+AT224-AT225-AR213+AT215+AT219</f>
        <v>#DIV/0!</v>
      </c>
      <c r="AU226" s="1" t="e">
        <f>AU223+AU224-AU225-AS213+AU215+AU219</f>
        <v>#DIV/0!</v>
      </c>
      <c r="AV226" s="3" t="n"/>
      <c r="AW226" s="1" t="e">
        <f>AW223+AW224-AW225-AU213+AW215+AW219</f>
        <v>#DIV/0!</v>
      </c>
      <c r="AX226" s="1" t="e">
        <f>AX223+AX224-AX225-AV213+AX215+AX219</f>
        <v>#DIV/0!</v>
      </c>
      <c r="AY226" s="1" t="e">
        <f>AY223+AY224-AY225-AW213+AY215+AY219</f>
        <v>#DIV/0!</v>
      </c>
      <c r="AZ226" s="1" t="e">
        <f>AZ223+AZ224-AZ225-AX213+AZ215+AZ219</f>
        <v>#DIV/0!</v>
      </c>
      <c r="BA226" s="3" t="n"/>
      <c r="BB226" s="1" t="e">
        <f>BB223+BB224-BB225-AZ213+BB215+BB219</f>
        <v>#DIV/0!</v>
      </c>
      <c r="BC226" s="1" t="e">
        <f>BC223+BC224-BC225-BA213+BC215+BC219</f>
        <v>#DIV/0!</v>
      </c>
      <c r="BD226" s="1" t="e">
        <f>BD223+BD224-BD225-BB213+BD215+BD219</f>
        <v>#DIV/0!</v>
      </c>
      <c r="BE226" s="1" t="e">
        <f>BE223+BE224-BE225-BC213+BE215+BE219</f>
        <v>#DIV/0!</v>
      </c>
      <c r="BF226" s="3" t="n"/>
      <c r="BG226" s="1" t="e">
        <f>BG223+BG224-BG225-BE213+BG215+BG219</f>
        <v>#DIV/0!</v>
      </c>
      <c r="BH226" s="1" t="e">
        <f>BH223+BH224-BH225-BF213+BH215+BH219</f>
        <v>#DIV/0!</v>
      </c>
      <c r="BI226" s="1" t="e">
        <f>BI223+BI224-BI225-BG213+BI215+BI219</f>
        <v>#DIV/0!</v>
      </c>
      <c r="BJ226" s="1" t="e">
        <f>BJ223+BJ224-BJ225-BH213+BJ215+BJ219</f>
        <v>#DIV/0!</v>
      </c>
      <c r="BK226" s="3" t="n"/>
      <c r="BL226" s="1" t="e">
        <f>BL223+BL224-BL225-BJ213+BL215+BL219</f>
        <v>#DIV/0!</v>
      </c>
      <c r="BM226" s="1" t="e">
        <f>BM223+BM224-BM225-BK213+BM215+BM219</f>
        <v>#DIV/0!</v>
      </c>
      <c r="BN226" s="1" t="e">
        <f>BN223+BN224-BN225-BL213+BN215+BN219</f>
        <v>#DIV/0!</v>
      </c>
      <c r="BO226" s="1" t="e">
        <f>BO223+BO224-BO225-BM213+BO215+BO219</f>
        <v>#DIV/0!</v>
      </c>
      <c r="BP226" s="3" t="n"/>
      <c r="BQ226" s="1" t="e">
        <f>BQ223+BQ224-BQ225-BO213+BQ215+BQ219</f>
        <v>#DIV/0!</v>
      </c>
      <c r="BR226" s="1" t="e">
        <f>BR223+BR224-BR225-BP213+BR215+BR219</f>
        <v>#DIV/0!</v>
      </c>
      <c r="BS226" s="1" t="e">
        <f>BS223+BS224-BS225-BQ213+BS215+BS219</f>
        <v>#DIV/0!</v>
      </c>
      <c r="BT226" s="1" t="e">
        <f>BT223+BT224-BT225-BR213+BT215+BT219</f>
        <v>#DIV/0!</v>
      </c>
      <c r="BU226" s="3" t="n"/>
      <c r="BV226" s="1" t="e">
        <f>BV223+BV224-BV225-BT213+BV215+BV219</f>
        <v>#DIV/0!</v>
      </c>
      <c r="BW226" s="1" t="e">
        <f>BW223+BW224-BW225-BU213+BW215+BW219</f>
        <v>#DIV/0!</v>
      </c>
      <c r="BX226" s="1" t="e">
        <f>BX223+BX224-BX225-BV213+BX215+BX219</f>
        <v>#DIV/0!</v>
      </c>
      <c r="BY226" s="1" t="e">
        <f>BY223+BY224-BY225-BW213+BY215+BY219</f>
        <v>#DIV/0!</v>
      </c>
      <c r="BZ226" s="3" t="n"/>
      <c r="CA226" s="1" t="e">
        <f>CA223+CA224-CA225-BY213+CA215+CA219</f>
        <v>#DIV/0!</v>
      </c>
      <c r="CB226" s="1" t="e">
        <f>CB223+CB224-CB225-BZ213+CB215+CB219</f>
        <v>#DIV/0!</v>
      </c>
      <c r="CC226" s="1" t="e">
        <f>CC223+CC224-CC225-CA213+CC215+CC219</f>
        <v>#DIV/0!</v>
      </c>
      <c r="CD226" s="1" t="e">
        <f>CD223+CD224-CD225-CB213+CD215+CD219</f>
        <v>#DIV/0!</v>
      </c>
      <c r="CE226" s="3" t="n"/>
      <c r="CF226" s="1" t="e">
        <f>CF223+CF224-CF225-CD213+CF215+CF219</f>
        <v>#DIV/0!</v>
      </c>
      <c r="CG226" s="1" t="e">
        <f>CG223+CG224-CG225-CE213+CG215+CG219</f>
        <v>#DIV/0!</v>
      </c>
      <c r="CH226" s="1" t="e">
        <f>CH223+CH224-CH225-CF213+CH215+CH219</f>
        <v>#DIV/0!</v>
      </c>
      <c r="CI226" s="1" t="e">
        <f>CI223+CI224-CI225-CG213+CI215+CI219</f>
        <v>#DIV/0!</v>
      </c>
      <c r="CJ226" s="3" t="n"/>
      <c r="CK226" s="1" t="e">
        <f>CK223+CK224-CK225-CI213+CK215+CK219</f>
        <v>#DIV/0!</v>
      </c>
      <c r="CL226" s="1" t="e">
        <f>CL223+CL224-CL225-CJ213+CL215+CL219</f>
        <v>#DIV/0!</v>
      </c>
      <c r="CM226" s="1" t="e">
        <f>CM223+CM224-CM225-CK213+CM215+CM219</f>
        <v>#DIV/0!</v>
      </c>
      <c r="CN226" s="1" t="e">
        <f>CN223+CN224-CN225-CL213+CN215+CN219</f>
        <v>#DIV/0!</v>
      </c>
      <c r="CO226" s="3" t="n"/>
      <c r="CP226" s="1" t="e">
        <f>CP223+CP224-CP225-CN213+CP215+CP219</f>
        <v>#DIV/0!</v>
      </c>
      <c r="CQ226" s="1" t="e">
        <f>CQ223+CQ224-CQ225-CO213+CQ215+CQ219</f>
        <v>#DIV/0!</v>
      </c>
      <c r="CR226" s="1" t="e">
        <f>CR223+CR224-CR225-CP213+CR215+CR219</f>
        <v>#DIV/0!</v>
      </c>
      <c r="CS226" s="1" t="e">
        <f>CS223+CS224-CS225-CQ213+CS215+CS219</f>
        <v>#DIV/0!</v>
      </c>
      <c r="CT226" s="3" t="n"/>
      <c r="CU226" s="1" t="e">
        <f>CU223+CU224-CU225-CS213+CU215+CU219</f>
        <v>#DIV/0!</v>
      </c>
      <c r="CV226" s="1" t="e">
        <f>CV223+CV224-CV225-CT213+CV215+CV219</f>
        <v>#DIV/0!</v>
      </c>
      <c r="CW226" s="1" t="e">
        <f>CW223+CW224-CW225-CU213+CW215+CW219</f>
        <v>#DIV/0!</v>
      </c>
      <c r="CX226" s="1" t="e">
        <f>CX223+CX224-CX225-CV213+CX215+CX219</f>
        <v>#DIV/0!</v>
      </c>
      <c r="CY226" s="3" t="n"/>
    </row>
    <row r="227" hidden="1" outlineLevel="1">
      <c r="C227" s="34" t="inlineStr">
        <is>
          <t>Short term debt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>
        <f>AH207</f>
        <v>0</v>
      </c>
      <c r="AI227" s="3">
        <f>MAX(0,AH227-AI226)</f>
        <v>3109.33</v>
      </c>
      <c r="AJ227" s="3">
        <f>MAX(0,AI227-AJ226)</f>
        <v>5243.191</v>
      </c>
      <c r="AK227" s="3">
        <f>MAX(0,AJ227-AK226)</f>
        <v>5191.53</v>
      </c>
      <c r="AL227" s="3" t="n"/>
      <c r="AM227" s="3">
        <f>AM207</f>
        <v>0</v>
      </c>
      <c r="AN227" s="3" t="e">
        <f>MAX(0,AM227-AN226)</f>
        <v>#DIV/0!</v>
      </c>
      <c r="AO227" s="3" t="e">
        <f>MAX(0,AN227-AO226)</f>
        <v>#DIV/0!</v>
      </c>
      <c r="AP227" s="3" t="e">
        <f>MAX(0,AO227-AP226)</f>
        <v>#DIV/0!</v>
      </c>
      <c r="AQ227" s="3" t="n"/>
      <c r="AR227" s="3">
        <f>AR207</f>
        <v>0</v>
      </c>
      <c r="AS227" s="3" t="e">
        <f>MAX(0,AR227-AS226)</f>
        <v>#DIV/0!</v>
      </c>
      <c r="AT227" s="3" t="e">
        <f>MAX(0,AS227-AT226)</f>
        <v>#DIV/0!</v>
      </c>
      <c r="AU227" s="3" t="e">
        <f>MAX(0,AT227-AU226)</f>
        <v>#DIV/0!</v>
      </c>
      <c r="AV227" s="3" t="n"/>
      <c r="AW227" s="3">
        <f>AW207</f>
        <v>0</v>
      </c>
      <c r="AX227" s="3" t="e">
        <f>MAX(0,AW227-AX226)</f>
        <v>#DIV/0!</v>
      </c>
      <c r="AY227" s="3" t="e">
        <f>MAX(0,AX227-AY226)</f>
        <v>#DIV/0!</v>
      </c>
      <c r="AZ227" s="3" t="e">
        <f>MAX(0,AY227-AZ226)</f>
        <v>#DIV/0!</v>
      </c>
      <c r="BA227" s="3" t="n"/>
      <c r="BB227" s="3">
        <f>BB207</f>
        <v>0</v>
      </c>
      <c r="BC227" s="3" t="e">
        <f>MAX(0,BB227-BC226)</f>
        <v>#DIV/0!</v>
      </c>
      <c r="BD227" s="3" t="e">
        <f>MAX(0,BC227-BD226)</f>
        <v>#DIV/0!</v>
      </c>
      <c r="BE227" s="3" t="e">
        <f>MAX(0,BD227-BE226)</f>
        <v>#DIV/0!</v>
      </c>
      <c r="BF227" s="3" t="n"/>
      <c r="BG227" s="3">
        <f>BG207</f>
        <v>0</v>
      </c>
      <c r="BH227" s="3" t="e">
        <f>MAX(0,BG227-BH226)</f>
        <v>#DIV/0!</v>
      </c>
      <c r="BI227" s="3" t="e">
        <f>MAX(0,BH227-BI226)</f>
        <v>#DIV/0!</v>
      </c>
      <c r="BJ227" s="3" t="e">
        <f>MAX(0,BI227-BJ226)</f>
        <v>#DIV/0!</v>
      </c>
      <c r="BK227" s="3" t="n"/>
      <c r="BL227" s="3">
        <f>BL207</f>
        <v>0</v>
      </c>
      <c r="BM227" s="3" t="e">
        <f>MAX(0,BL227-BM226)</f>
        <v>#DIV/0!</v>
      </c>
      <c r="BN227" s="3" t="e">
        <f>MAX(0,BM227-BN226)</f>
        <v>#DIV/0!</v>
      </c>
      <c r="BO227" s="3" t="e">
        <f>MAX(0,BN227-BO226)</f>
        <v>#DIV/0!</v>
      </c>
      <c r="BP227" s="3" t="n"/>
      <c r="BQ227" s="3">
        <f>BQ207</f>
        <v>0</v>
      </c>
      <c r="BR227" s="3" t="e">
        <f>MAX(0,BQ227-BR226)</f>
        <v>#DIV/0!</v>
      </c>
      <c r="BS227" s="3" t="e">
        <f>MAX(0,BR227-BS226)</f>
        <v>#DIV/0!</v>
      </c>
      <c r="BT227" s="3" t="e">
        <f>MAX(0,BS227-BT226)</f>
        <v>#DIV/0!</v>
      </c>
      <c r="BU227" s="3" t="n"/>
      <c r="BV227" s="3">
        <f>BV207</f>
        <v>0</v>
      </c>
      <c r="BW227" s="3" t="e">
        <f>MAX(0,BV227-BW226)</f>
        <v>#DIV/0!</v>
      </c>
      <c r="BX227" s="3" t="e">
        <f>MAX(0,BW227-BX226)</f>
        <v>#DIV/0!</v>
      </c>
      <c r="BY227" s="3" t="e">
        <f>MAX(0,BX227-BY226)</f>
        <v>#DIV/0!</v>
      </c>
      <c r="BZ227" s="3" t="n"/>
      <c r="CA227" s="3">
        <f>CA207</f>
        <v>0</v>
      </c>
      <c r="CB227" s="3" t="e">
        <f>MAX(0,CA227-CB226)</f>
        <v>#DIV/0!</v>
      </c>
      <c r="CC227" s="3" t="e">
        <f>MAX(0,CB227-CC226)</f>
        <v>#DIV/0!</v>
      </c>
      <c r="CD227" s="3" t="e">
        <f>MAX(0,CC227-CD226)</f>
        <v>#DIV/0!</v>
      </c>
      <c r="CE227" s="3" t="n"/>
      <c r="CF227" s="3">
        <f>CF207</f>
        <v>0</v>
      </c>
      <c r="CG227" s="3" t="e">
        <f>MAX(0,CF227-CG226)</f>
        <v>#DIV/0!</v>
      </c>
      <c r="CH227" s="3" t="e">
        <f>MAX(0,CG227-CH226)</f>
        <v>#DIV/0!</v>
      </c>
      <c r="CI227" s="3" t="e">
        <f>MAX(0,CH227-CI226)</f>
        <v>#DIV/0!</v>
      </c>
      <c r="CJ227" s="3" t="n"/>
      <c r="CK227" s="3">
        <f>CK207</f>
        <v>0</v>
      </c>
      <c r="CL227" s="3" t="e">
        <f>MAX(0,CK227-CL226)</f>
        <v>#DIV/0!</v>
      </c>
      <c r="CM227" s="3" t="e">
        <f>MAX(0,CL227-CM226)</f>
        <v>#DIV/0!</v>
      </c>
      <c r="CN227" s="3" t="e">
        <f>MAX(0,CM227-CN226)</f>
        <v>#DIV/0!</v>
      </c>
      <c r="CO227" s="3" t="n"/>
      <c r="CP227" s="3">
        <f>CP207</f>
        <v>0</v>
      </c>
      <c r="CQ227" s="3" t="e">
        <f>MAX(0,CP227-CQ226)</f>
        <v>#DIV/0!</v>
      </c>
      <c r="CR227" s="3" t="e">
        <f>MAX(0,CQ227-CR226)</f>
        <v>#DIV/0!</v>
      </c>
      <c r="CS227" s="3" t="e">
        <f>MAX(0,CR227-CS226)</f>
        <v>#DIV/0!</v>
      </c>
      <c r="CT227" s="3" t="n"/>
      <c r="CU227" s="3">
        <f>CU207</f>
        <v>0</v>
      </c>
      <c r="CV227" s="3" t="e">
        <f>MAX(0,CU227-CV226)</f>
        <v>#DIV/0!</v>
      </c>
      <c r="CW227" s="3" t="e">
        <f>MAX(0,CV227-CW226)</f>
        <v>#DIV/0!</v>
      </c>
      <c r="CX227" s="3" t="e">
        <f>MAX(0,CW227-CX226)</f>
        <v>#DIV/0!</v>
      </c>
      <c r="CY227" s="3" t="n"/>
    </row>
    <row r="228" hidden="1" outlineLevel="1">
      <c r="C228" s="3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collapsed="1">
      <c r="C229" s="26" t="inlineStr">
        <is>
          <t>Long term operating leases</t>
        </is>
      </c>
      <c r="D229" s="25">
        <f>INDEX('Inputs (2)'!$D$36:$AL$36,MATCH(D$7,'Inputs (2)'!$D$2:$AL$2,0))</f>
        <v>0</v>
      </c>
      <c r="E229" s="25">
        <f>INDEX('Inputs (2)'!$D$36:$AL$36,MATCH(E$7,'Inputs (2)'!$D$2:$AL$2,0))</f>
        <v>0</v>
      </c>
      <c r="F229" s="25">
        <f>INDEX('Inputs (2)'!$D$36:$AL$36,MATCH(F$7,'Inputs (2)'!$D$2:$AL$2,0))</f>
        <v>0</v>
      </c>
      <c r="G229" s="25">
        <f>INDEX('Inputs (2)'!$D$36:$AL$36,MATCH(G$7,'Inputs (2)'!$D$2:$AL$2,0))</f>
        <v>0</v>
      </c>
      <c r="H229" s="3">
        <f>G229</f>
        <v>0</v>
      </c>
      <c r="I229" s="25">
        <f>INDEX('Inputs (2)'!$D$36:$AL$36,MATCH(I$7,'Inputs (2)'!$D$2:$AL$2,0))</f>
        <v>0</v>
      </c>
      <c r="J229" s="25">
        <f>INDEX('Inputs (2)'!$D$36:$AL$36,MATCH(J$7,'Inputs (2)'!$D$2:$AL$2,0))</f>
        <v>0</v>
      </c>
      <c r="K229" s="25">
        <f>INDEX('Inputs (2)'!$D$36:$AL$36,MATCH(K$7,'Inputs (2)'!$D$2:$AL$2,0))</f>
        <v>0</v>
      </c>
      <c r="L229" s="25">
        <f>INDEX('Inputs (2)'!$D$36:$AL$36,MATCH(L$7,'Inputs (2)'!$D$2:$AL$2,0))</f>
        <v>0</v>
      </c>
      <c r="M229" s="3">
        <f>L229</f>
        <v>0</v>
      </c>
      <c r="N229" s="25">
        <f>INDEX('Inputs (2)'!$D$36:$AL$36,MATCH(N$7,'Inputs (2)'!$D$2:$AL$2,0))</f>
        <v>0</v>
      </c>
      <c r="O229" s="25">
        <f>INDEX('Inputs (2)'!$D$36:$AL$36,MATCH(O$7,'Inputs (2)'!$D$2:$AL$2,0))</f>
        <v>0</v>
      </c>
      <c r="P229" s="25">
        <f>INDEX('Inputs (2)'!$D$36:$AL$36,MATCH(P$7,'Inputs (2)'!$D$2:$AL$2,0))</f>
        <v>0</v>
      </c>
      <c r="Q229" s="25">
        <f>INDEX('Inputs (2)'!$D$36:$AL$36,MATCH(Q$7,'Inputs (2)'!$D$2:$AL$2,0))</f>
        <v>0</v>
      </c>
      <c r="R229" s="3">
        <f>Q229</f>
        <v>0</v>
      </c>
      <c r="S229" s="25">
        <f>INDEX('Inputs (2)'!$D$36:$AL$36,MATCH(S$7,'Inputs (2)'!$D$2:$AL$2,0))</f>
        <v>0</v>
      </c>
      <c r="T229" s="25">
        <f>INDEX('Inputs (2)'!$D$36:$AL$36,MATCH(T$7,'Inputs (2)'!$D$2:$AL$2,0))</f>
        <v>0</v>
      </c>
      <c r="U229" s="25">
        <f>INDEX('Inputs (2)'!$D$36:$AL$36,MATCH(U$7,'Inputs (2)'!$D$2:$AL$2,0))</f>
        <v>0</v>
      </c>
      <c r="V229" s="25">
        <f>INDEX('Inputs (2)'!$D$36:$AL$36,MATCH(V$7,'Inputs (2)'!$D$2:$AL$2,0))</f>
        <v>0</v>
      </c>
      <c r="W229" s="3">
        <f>V229</f>
        <v>0</v>
      </c>
      <c r="X229" s="25">
        <f>INDEX('Inputs (2)'!$D$36:$AL$36,MATCH(X$7,'Inputs (2)'!$D$2:$AL$2,0))</f>
        <v>0</v>
      </c>
      <c r="Y229" s="25">
        <f>INDEX('Inputs (2)'!$D$36:$AL$36,MATCH(Y$7,'Inputs (2)'!$D$2:$AL$2,0))</f>
        <v>0</v>
      </c>
      <c r="Z229" s="25">
        <f>INDEX('Inputs (2)'!$D$36:$AL$36,MATCH(Z$7,'Inputs (2)'!$D$2:$AL$2,0))</f>
        <v>0</v>
      </c>
      <c r="AA229" s="25">
        <f>INDEX('Inputs (2)'!$D$36:$AL$36,MATCH(AA$7,'Inputs (2)'!$D$2:$AL$2,0))</f>
        <v>0</v>
      </c>
      <c r="AB229" s="3">
        <f>AA229</f>
        <v>0</v>
      </c>
      <c r="AC229" s="25">
        <f>INDEX('Inputs (2)'!$D$36:$AL$36,MATCH(AC$7,'Inputs (2)'!$D$2:$AL$2,0))</f>
        <v>0</v>
      </c>
      <c r="AD229" s="25">
        <f>INDEX('Inputs (2)'!$D$36:$AL$36,MATCH(AD$7,'Inputs (2)'!$D$2:$AL$2,0))</f>
        <v>0</v>
      </c>
      <c r="AE229" s="25">
        <f>INDEX('Inputs (2)'!$D$36:$AL$36,MATCH(AE$7,'Inputs (2)'!$D$2:$AL$2,0))</f>
        <v>0</v>
      </c>
      <c r="AF229" s="25">
        <f>INDEX('Inputs (2)'!$D$36:$AL$36,MATCH(AF$7,'Inputs (2)'!$D$2:$AL$2,0))</f>
        <v>0</v>
      </c>
      <c r="AG229" s="3">
        <f>AF229</f>
        <v>0</v>
      </c>
      <c r="AH229" s="3">
        <f>INDEX('Inputs (2)'!$D$36:$AL$36,MATCH(AH$7,'Inputs (2)'!$D$2:$AL$2,0))</f>
        <v>0</v>
      </c>
      <c r="AI229" s="3">
        <f>INDEX('Inputs (2)'!$D$36:$AL$36,MATCH(AI$7,'Inputs (2)'!$D$2:$AL$2,0))</f>
        <v>0</v>
      </c>
      <c r="AJ229" s="3">
        <f>AI229</f>
        <v>0</v>
      </c>
      <c r="AK229" s="3">
        <f>AJ229</f>
        <v>0</v>
      </c>
      <c r="AL229" s="3">
        <f>AK229</f>
        <v>0</v>
      </c>
      <c r="AM229" s="3">
        <f>AL229</f>
        <v>0</v>
      </c>
      <c r="AN229" s="3">
        <f>AM229</f>
        <v>0</v>
      </c>
      <c r="AO229" s="3">
        <f>AN229</f>
        <v>0</v>
      </c>
      <c r="AP229" s="3">
        <f>AO229</f>
        <v>0</v>
      </c>
      <c r="AQ229" s="3">
        <f>AP229</f>
        <v>0</v>
      </c>
      <c r="AR229" s="3">
        <f>AQ229</f>
        <v>0</v>
      </c>
      <c r="AS229" s="3">
        <f>AR229</f>
        <v>0</v>
      </c>
      <c r="AT229" s="3">
        <f>AS229</f>
        <v>0</v>
      </c>
      <c r="AU229" s="3">
        <f>AT229</f>
        <v>0</v>
      </c>
      <c r="AV229" s="3">
        <f>AU229</f>
        <v>0</v>
      </c>
      <c r="AW229" s="3">
        <f>AV229</f>
        <v>0</v>
      </c>
      <c r="AX229" s="3">
        <f>AW229</f>
        <v>0</v>
      </c>
      <c r="AY229" s="3">
        <f>AX229</f>
        <v>0</v>
      </c>
      <c r="AZ229" s="3">
        <f>AY229</f>
        <v>0</v>
      </c>
      <c r="BA229" s="3">
        <f>AZ229</f>
        <v>0</v>
      </c>
      <c r="BB229" s="3">
        <f>BA229</f>
        <v>0</v>
      </c>
      <c r="BC229" s="3">
        <f>BB229</f>
        <v>0</v>
      </c>
      <c r="BD229" s="3">
        <f>BC229</f>
        <v>0</v>
      </c>
      <c r="BE229" s="3">
        <f>BD229</f>
        <v>0</v>
      </c>
      <c r="BF229" s="3">
        <f>BE229</f>
        <v>0</v>
      </c>
      <c r="BG229" s="3">
        <f>BF229</f>
        <v>0</v>
      </c>
      <c r="BH229" s="3">
        <f>BG229</f>
        <v>0</v>
      </c>
      <c r="BI229" s="3">
        <f>BH229</f>
        <v>0</v>
      </c>
      <c r="BJ229" s="3">
        <f>BI229</f>
        <v>0</v>
      </c>
      <c r="BK229" s="3">
        <f>BJ229</f>
        <v>0</v>
      </c>
      <c r="BL229" s="3">
        <f>BK229</f>
        <v>0</v>
      </c>
      <c r="BM229" s="3">
        <f>BL229</f>
        <v>0</v>
      </c>
      <c r="BN229" s="3">
        <f>BM229</f>
        <v>0</v>
      </c>
      <c r="BO229" s="3">
        <f>BN229</f>
        <v>0</v>
      </c>
      <c r="BP229" s="3">
        <f>BO229</f>
        <v>0</v>
      </c>
      <c r="BQ229" s="3">
        <f>BP229</f>
        <v>0</v>
      </c>
      <c r="BR229" s="3">
        <f>BQ229</f>
        <v>0</v>
      </c>
      <c r="BS229" s="3">
        <f>BR229</f>
        <v>0</v>
      </c>
      <c r="BT229" s="3">
        <f>BS229</f>
        <v>0</v>
      </c>
      <c r="BU229" s="3">
        <f>BT229</f>
        <v>0</v>
      </c>
      <c r="BV229" s="3">
        <f>BU229</f>
        <v>0</v>
      </c>
      <c r="BW229" s="3">
        <f>BV229</f>
        <v>0</v>
      </c>
      <c r="BX229" s="3">
        <f>BW229</f>
        <v>0</v>
      </c>
      <c r="BY229" s="3">
        <f>BX229</f>
        <v>0</v>
      </c>
      <c r="BZ229" s="3">
        <f>BY229</f>
        <v>0</v>
      </c>
      <c r="CA229" s="3">
        <f>BZ229</f>
        <v>0</v>
      </c>
      <c r="CB229" s="3">
        <f>CA229</f>
        <v>0</v>
      </c>
      <c r="CC229" s="3">
        <f>CB229</f>
        <v>0</v>
      </c>
      <c r="CD229" s="3">
        <f>CC229</f>
        <v>0</v>
      </c>
      <c r="CE229" s="3">
        <f>CD229</f>
        <v>0</v>
      </c>
      <c r="CF229" s="3">
        <f>CE229</f>
        <v>0</v>
      </c>
      <c r="CG229" s="3">
        <f>CF229</f>
        <v>0</v>
      </c>
      <c r="CH229" s="3">
        <f>CG229</f>
        <v>0</v>
      </c>
      <c r="CI229" s="3">
        <f>CH229</f>
        <v>0</v>
      </c>
      <c r="CJ229" s="3">
        <f>CI229</f>
        <v>0</v>
      </c>
      <c r="CK229" s="3">
        <f>CJ229</f>
        <v>0</v>
      </c>
      <c r="CL229" s="3">
        <f>CK229</f>
        <v>0</v>
      </c>
      <c r="CM229" s="3">
        <f>CL229</f>
        <v>0</v>
      </c>
      <c r="CN229" s="3">
        <f>CM229</f>
        <v>0</v>
      </c>
      <c r="CO229" s="3">
        <f>CN229</f>
        <v>0</v>
      </c>
      <c r="CP229" s="3">
        <f>CO229</f>
        <v>0</v>
      </c>
      <c r="CQ229" s="3">
        <f>CP229</f>
        <v>0</v>
      </c>
      <c r="CR229" s="3">
        <f>CQ229</f>
        <v>0</v>
      </c>
      <c r="CS229" s="3">
        <f>CR229</f>
        <v>0</v>
      </c>
      <c r="CT229" s="3">
        <f>CS229</f>
        <v>0</v>
      </c>
      <c r="CU229" s="3">
        <f>CT229</f>
        <v>0</v>
      </c>
      <c r="CV229" s="3">
        <f>CU229</f>
        <v>0</v>
      </c>
      <c r="CW229" s="3">
        <f>CV229</f>
        <v>0</v>
      </c>
      <c r="CX229" s="3">
        <f>CW229</f>
        <v>0</v>
      </c>
      <c r="CY229" s="3">
        <f>CX229</f>
        <v>0</v>
      </c>
    </row>
    <row r="230" hidden="1" outlineLevel="1">
      <c r="C230" s="38" t="inlineStr">
        <is>
          <t>%(Var.)</t>
        </is>
      </c>
      <c r="D230" s="3" t="n"/>
      <c r="E230" s="47">
        <f>IFERROR((E229-D229)/D229,0)</f>
        <v>0</v>
      </c>
      <c r="F230" s="47">
        <f>IFERROR((F229-E229)/E229,0)</f>
        <v>0</v>
      </c>
      <c r="G230" s="47">
        <f>IFERROR((G229-F229)/F229,0)</f>
        <v>0</v>
      </c>
      <c r="H230" s="3" t="n"/>
      <c r="I230" s="47">
        <f>IFERROR((I229-H229)/H229,0)</f>
        <v>0</v>
      </c>
      <c r="J230" s="47">
        <f>IFERROR((J229-I229)/I229,0)</f>
        <v>0</v>
      </c>
      <c r="K230" s="47">
        <f>IFERROR((K229-J229)/J229,0)</f>
        <v>0</v>
      </c>
      <c r="L230" s="47">
        <f>IFERROR((L229-K229)/K229,0)</f>
        <v>0</v>
      </c>
      <c r="M230" s="3" t="n"/>
      <c r="N230" s="47">
        <f>IFERROR((N229-M229)/M229,0)</f>
        <v>0</v>
      </c>
      <c r="O230" s="47">
        <f>IFERROR((O229-N229)/N229,0)</f>
        <v>0</v>
      </c>
      <c r="P230" s="47">
        <f>IFERROR((P229-O229)/O229,0)</f>
        <v>0</v>
      </c>
      <c r="Q230" s="47">
        <f>IFERROR((Q229-P229)/P229,0)</f>
        <v>0</v>
      </c>
      <c r="R230" s="3" t="n"/>
      <c r="S230" s="47">
        <f>IFERROR((S229-R229)/R229,0)</f>
        <v>0</v>
      </c>
      <c r="T230" s="47">
        <f>IFERROR((T229-S229)/S229,0)</f>
        <v>0</v>
      </c>
      <c r="U230" s="47">
        <f>IFERROR((U229-T229)/T229,0)</f>
        <v>0</v>
      </c>
      <c r="V230" s="47">
        <f>IFERROR((V229-U229)/U229,0)</f>
        <v>0</v>
      </c>
      <c r="W230" s="3" t="n"/>
      <c r="X230" s="47">
        <f>IFERROR((X229-W229)/W229,0)</f>
        <v>0</v>
      </c>
      <c r="Y230" s="47">
        <f>IFERROR((Y229-X229)/X229,0)</f>
        <v>0</v>
      </c>
      <c r="Z230" s="47">
        <f>IFERROR((Z229-Y229)/Y229,0)</f>
        <v>0</v>
      </c>
      <c r="AA230" s="47">
        <f>IFERROR((AA229-Z229)/Z229,0)</f>
        <v>0</v>
      </c>
      <c r="AB230" s="3" t="n"/>
      <c r="AC230" s="47">
        <f>IFERROR((AC229-AB229)/AB229,0)</f>
        <v>0</v>
      </c>
      <c r="AD230" s="47">
        <f>IFERROR((AD229-AC229)/AC229,0)</f>
        <v>0</v>
      </c>
      <c r="AE230" s="47">
        <f>IFERROR((AE229-AD229)/AD229,0)</f>
        <v>0</v>
      </c>
      <c r="AF230" s="230">
        <f>IFERROR((AF229-AE229)/AE229,0)</f>
        <v>0</v>
      </c>
      <c r="AG230" s="3" t="n"/>
      <c r="AH230" s="6">
        <f>IFERROR((AH229-AG229)/AG229,0)</f>
        <v>0</v>
      </c>
      <c r="AI230" s="6">
        <f>IFERROR((AI229-AH229)/AH229,0)</f>
        <v>0</v>
      </c>
      <c r="AJ230" s="6" t="n"/>
      <c r="AK230" s="6" t="n"/>
      <c r="AL230" s="3" t="n"/>
      <c r="AM230" s="6" t="n"/>
      <c r="AN230" s="6" t="n"/>
      <c r="AO230" s="6" t="n"/>
      <c r="AP230" s="6" t="n"/>
      <c r="AQ230" s="3" t="n"/>
      <c r="AR230" s="6" t="n"/>
      <c r="AS230" s="6" t="n"/>
      <c r="AT230" s="6" t="n"/>
      <c r="AU230" s="6" t="n"/>
      <c r="AV230" s="3" t="n"/>
      <c r="AW230" s="6" t="n"/>
      <c r="AX230" s="6" t="n"/>
      <c r="AY230" s="6" t="n"/>
      <c r="AZ230" s="6" t="n"/>
      <c r="BA230" s="3" t="n"/>
      <c r="BB230" s="6" t="n"/>
      <c r="BC230" s="6" t="n"/>
      <c r="BD230" s="6" t="n"/>
      <c r="BE230" s="6" t="n"/>
      <c r="BF230" s="3" t="n"/>
      <c r="BG230" s="6" t="n"/>
      <c r="BH230" s="6" t="n"/>
      <c r="BI230" s="6" t="n"/>
      <c r="BJ230" s="6" t="n"/>
      <c r="BK230" s="3" t="n"/>
      <c r="BL230" s="6" t="n"/>
      <c r="BM230" s="6" t="n"/>
      <c r="BN230" s="6" t="n"/>
      <c r="BO230" s="6" t="n"/>
      <c r="BP230" s="3" t="n"/>
      <c r="BQ230" s="6" t="n"/>
      <c r="BR230" s="6" t="n"/>
      <c r="BS230" s="6" t="n"/>
      <c r="BT230" s="6" t="n"/>
      <c r="BU230" s="3" t="n"/>
      <c r="BV230" s="6" t="n"/>
      <c r="BW230" s="6" t="n"/>
      <c r="BX230" s="6" t="n"/>
      <c r="BY230" s="6" t="n"/>
      <c r="BZ230" s="3" t="n"/>
      <c r="CA230" s="6" t="n"/>
      <c r="CB230" s="6" t="n"/>
      <c r="CC230" s="6" t="n"/>
      <c r="CD230" s="6" t="n"/>
      <c r="CE230" s="3" t="n"/>
      <c r="CF230" s="6" t="n"/>
      <c r="CG230" s="6" t="n"/>
      <c r="CH230" s="6" t="n"/>
      <c r="CI230" s="6" t="n"/>
      <c r="CJ230" s="3" t="n"/>
      <c r="CK230" s="6" t="n"/>
      <c r="CL230" s="6" t="n"/>
      <c r="CM230" s="6" t="n"/>
      <c r="CN230" s="6" t="n"/>
      <c r="CO230" s="3" t="n"/>
      <c r="CP230" s="6" t="n"/>
      <c r="CQ230" s="6" t="n"/>
      <c r="CR230" s="6" t="n"/>
      <c r="CS230" s="6" t="n"/>
      <c r="CT230" s="3" t="n"/>
      <c r="CU230" s="6" t="n"/>
      <c r="CV230" s="6" t="n"/>
      <c r="CW230" s="6" t="n"/>
      <c r="CX230" s="6" t="n"/>
      <c r="CY230" s="3" t="n"/>
    </row>
    <row r="231" hidden="1" outlineLevel="1">
      <c r="C231" s="34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  <c r="CU231" s="3" t="n"/>
      <c r="CV231" s="3" t="n"/>
      <c r="CW231" s="3" t="n"/>
      <c r="CX231" s="3" t="n"/>
      <c r="CY231" s="3" t="n"/>
    </row>
    <row r="232" collapsed="1">
      <c r="C232" s="26" t="inlineStr">
        <is>
          <t>Convertible debt</t>
        </is>
      </c>
      <c r="D232" s="25">
        <f>INDEX('Inputs (2)'!$D$37:$AL$37,MATCH(D$7,'Inputs (2)'!$D$2:$AL$2,0))</f>
        <v>0</v>
      </c>
      <c r="E232" s="25">
        <f>INDEX('Inputs (2)'!$D$37:$AL$37,MATCH(E$7,'Inputs (2)'!$D$2:$AL$2,0))</f>
        <v>0</v>
      </c>
      <c r="F232" s="25">
        <f>INDEX('Inputs (2)'!$D$37:$AL$37,MATCH(F$7,'Inputs (2)'!$D$2:$AL$2,0))</f>
        <v>0</v>
      </c>
      <c r="G232" s="25">
        <f>INDEX('Inputs (2)'!$D$37:$AL$37,MATCH(G$7,'Inputs (2)'!$D$2:$AL$2,0))</f>
        <v>0</v>
      </c>
      <c r="H232" s="3">
        <f>G232</f>
        <v>0</v>
      </c>
      <c r="I232" s="25">
        <f>INDEX('Inputs (2)'!$D$37:$AL$37,MATCH(I$7,'Inputs (2)'!$D$2:$AL$2,0))</f>
        <v>0</v>
      </c>
      <c r="J232" s="25">
        <f>INDEX('Inputs (2)'!$D$37:$AL$37,MATCH(J$7,'Inputs (2)'!$D$2:$AL$2,0))</f>
        <v>0</v>
      </c>
      <c r="K232" s="25">
        <f>INDEX('Inputs (2)'!$D$37:$AL$37,MATCH(K$7,'Inputs (2)'!$D$2:$AL$2,0))</f>
        <v>0</v>
      </c>
      <c r="L232" s="25">
        <f>INDEX('Inputs (2)'!$D$37:$AL$37,MATCH(L$7,'Inputs (2)'!$D$2:$AL$2,0))</f>
        <v>0</v>
      </c>
      <c r="M232" s="3">
        <f>L232</f>
        <v>0</v>
      </c>
      <c r="N232" s="25">
        <f>INDEX('Inputs (2)'!$D$37:$AL$37,MATCH(N$7,'Inputs (2)'!$D$2:$AL$2,0))</f>
        <v>0</v>
      </c>
      <c r="O232" s="25">
        <f>INDEX('Inputs (2)'!$D$37:$AL$37,MATCH(O$7,'Inputs (2)'!$D$2:$AL$2,0))</f>
        <v>0</v>
      </c>
      <c r="P232" s="25">
        <f>INDEX('Inputs (2)'!$D$37:$AL$37,MATCH(P$7,'Inputs (2)'!$D$2:$AL$2,0))</f>
        <v>0</v>
      </c>
      <c r="Q232" s="25">
        <f>INDEX('Inputs (2)'!$D$37:$AL$37,MATCH(Q$7,'Inputs (2)'!$D$2:$AL$2,0))</f>
        <v>0</v>
      </c>
      <c r="R232" s="3">
        <f>Q232</f>
        <v>0</v>
      </c>
      <c r="S232" s="25">
        <f>INDEX('Inputs (2)'!$D$37:$AL$37,MATCH(S$7,'Inputs (2)'!$D$2:$AL$2,0))</f>
        <v>0</v>
      </c>
      <c r="T232" s="25">
        <f>INDEX('Inputs (2)'!$D$37:$AL$37,MATCH(T$7,'Inputs (2)'!$D$2:$AL$2,0))</f>
        <v>0</v>
      </c>
      <c r="U232" s="25">
        <f>INDEX('Inputs (2)'!$D$37:$AL$37,MATCH(U$7,'Inputs (2)'!$D$2:$AL$2,0))</f>
        <v>0</v>
      </c>
      <c r="V232" s="25">
        <f>INDEX('Inputs (2)'!$D$37:$AL$37,MATCH(V$7,'Inputs (2)'!$D$2:$AL$2,0))</f>
        <v>0</v>
      </c>
      <c r="W232" s="3">
        <f>V232</f>
        <v>0</v>
      </c>
      <c r="X232" s="25">
        <f>INDEX('Inputs (2)'!$D$37:$AL$37,MATCH(X$7,'Inputs (2)'!$D$2:$AL$2,0))</f>
        <v>0</v>
      </c>
      <c r="Y232" s="25">
        <f>INDEX('Inputs (2)'!$D$37:$AL$37,MATCH(Y$7,'Inputs (2)'!$D$2:$AL$2,0))</f>
        <v>0</v>
      </c>
      <c r="Z232" s="25">
        <f>INDEX('Inputs (2)'!$D$37:$AL$37,MATCH(Z$7,'Inputs (2)'!$D$2:$AL$2,0))</f>
        <v>0</v>
      </c>
      <c r="AA232" s="25">
        <f>INDEX('Inputs (2)'!$D$37:$AL$37,MATCH(AA$7,'Inputs (2)'!$D$2:$AL$2,0))</f>
        <v>0</v>
      </c>
      <c r="AB232" s="3">
        <f>AA232</f>
        <v>0</v>
      </c>
      <c r="AC232" s="25">
        <f>INDEX('Inputs (2)'!$D$37:$AL$37,MATCH(AC$7,'Inputs (2)'!$D$2:$AL$2,0))</f>
        <v>0</v>
      </c>
      <c r="AD232" s="25">
        <f>INDEX('Inputs (2)'!$D$37:$AL$37,MATCH(AD$7,'Inputs (2)'!$D$2:$AL$2,0))</f>
        <v>0</v>
      </c>
      <c r="AE232" s="25">
        <f>INDEX('Inputs (2)'!$D$37:$AL$37,MATCH(AE$7,'Inputs (2)'!$D$2:$AL$2,0))</f>
        <v>0</v>
      </c>
      <c r="AF232" s="25">
        <f>INDEX('Inputs (2)'!$D$37:$AL$37,MATCH(AF$7,'Inputs (2)'!$D$2:$AL$2,0))</f>
        <v>0</v>
      </c>
      <c r="AG232" s="3">
        <f>AF232</f>
        <v>0</v>
      </c>
      <c r="AH232" s="3">
        <f>INDEX('Inputs (2)'!$D$37:$AL$37,MATCH(AH$7,'Inputs (2)'!$D$2:$AL$2,0))</f>
        <v>0</v>
      </c>
      <c r="AI232" s="3">
        <f>INDEX('Inputs (2)'!$D$37:$AL$37,MATCH(AI$7,'Inputs (2)'!$D$2:$AL$2,0))</f>
        <v>0</v>
      </c>
      <c r="AJ232" s="3">
        <f>AI232</f>
        <v>0</v>
      </c>
      <c r="AK232" s="3">
        <f>AJ232</f>
        <v>0</v>
      </c>
      <c r="AL232" s="3">
        <f>AK232</f>
        <v>0</v>
      </c>
      <c r="AM232" s="3">
        <f>AL232</f>
        <v>0</v>
      </c>
      <c r="AN232" s="3">
        <f>AM232</f>
        <v>0</v>
      </c>
      <c r="AO232" s="3">
        <f>AN232</f>
        <v>0</v>
      </c>
      <c r="AP232" s="3">
        <f>AO232</f>
        <v>0</v>
      </c>
      <c r="AQ232" s="3">
        <f>AP232</f>
        <v>0</v>
      </c>
      <c r="AR232" s="3">
        <f>AQ232</f>
        <v>0</v>
      </c>
      <c r="AS232" s="3">
        <f>AR232</f>
        <v>0</v>
      </c>
      <c r="AT232" s="3">
        <f>AS232</f>
        <v>0</v>
      </c>
      <c r="AU232" s="3">
        <f>AT232</f>
        <v>0</v>
      </c>
      <c r="AV232" s="3">
        <f>AU232</f>
        <v>0</v>
      </c>
      <c r="AW232" s="3">
        <f>AV232</f>
        <v>0</v>
      </c>
      <c r="AX232" s="3">
        <f>AW232</f>
        <v>0</v>
      </c>
      <c r="AY232" s="3">
        <f>AX232</f>
        <v>0</v>
      </c>
      <c r="AZ232" s="3">
        <f>AY232</f>
        <v>0</v>
      </c>
      <c r="BA232" s="3">
        <f>AZ232</f>
        <v>0</v>
      </c>
      <c r="BB232" s="3">
        <f>BA232</f>
        <v>0</v>
      </c>
      <c r="BC232" s="3">
        <f>BB232</f>
        <v>0</v>
      </c>
      <c r="BD232" s="3">
        <f>BC232</f>
        <v>0</v>
      </c>
      <c r="BE232" s="3">
        <f>BD232</f>
        <v>0</v>
      </c>
      <c r="BF232" s="3">
        <f>BE232</f>
        <v>0</v>
      </c>
      <c r="BG232" s="3">
        <f>BF232</f>
        <v>0</v>
      </c>
      <c r="BH232" s="3">
        <f>BG232</f>
        <v>0</v>
      </c>
      <c r="BI232" s="3">
        <f>BH232</f>
        <v>0</v>
      </c>
      <c r="BJ232" s="3">
        <f>BI232</f>
        <v>0</v>
      </c>
      <c r="BK232" s="3">
        <f>BJ232</f>
        <v>0</v>
      </c>
      <c r="BL232" s="3">
        <f>BK232</f>
        <v>0</v>
      </c>
      <c r="BM232" s="3">
        <f>BL232</f>
        <v>0</v>
      </c>
      <c r="BN232" s="3">
        <f>BM232</f>
        <v>0</v>
      </c>
      <c r="BO232" s="3">
        <f>BN232</f>
        <v>0</v>
      </c>
      <c r="BP232" s="3">
        <f>BO232</f>
        <v>0</v>
      </c>
      <c r="BQ232" s="3">
        <f>BP232</f>
        <v>0</v>
      </c>
      <c r="BR232" s="3">
        <f>BQ232</f>
        <v>0</v>
      </c>
      <c r="BS232" s="3">
        <f>BR232</f>
        <v>0</v>
      </c>
      <c r="BT232" s="3">
        <f>BS232</f>
        <v>0</v>
      </c>
      <c r="BU232" s="3">
        <f>BT232</f>
        <v>0</v>
      </c>
      <c r="BV232" s="3">
        <f>BU232</f>
        <v>0</v>
      </c>
      <c r="BW232" s="3">
        <f>BV232</f>
        <v>0</v>
      </c>
      <c r="BX232" s="3">
        <f>BW232</f>
        <v>0</v>
      </c>
      <c r="BY232" s="3">
        <f>BX232</f>
        <v>0</v>
      </c>
      <c r="BZ232" s="3">
        <f>BY232</f>
        <v>0</v>
      </c>
      <c r="CA232" s="3">
        <f>BZ232</f>
        <v>0</v>
      </c>
      <c r="CB232" s="3">
        <f>CA232</f>
        <v>0</v>
      </c>
      <c r="CC232" s="3">
        <f>CB232</f>
        <v>0</v>
      </c>
      <c r="CD232" s="3">
        <f>CC232</f>
        <v>0</v>
      </c>
      <c r="CE232" s="3">
        <f>CD232</f>
        <v>0</v>
      </c>
      <c r="CF232" s="3">
        <f>CE232</f>
        <v>0</v>
      </c>
      <c r="CG232" s="3">
        <f>CF232</f>
        <v>0</v>
      </c>
      <c r="CH232" s="3">
        <f>CG232</f>
        <v>0</v>
      </c>
      <c r="CI232" s="3">
        <f>CH232</f>
        <v>0</v>
      </c>
      <c r="CJ232" s="3">
        <f>CI232</f>
        <v>0</v>
      </c>
      <c r="CK232" s="3">
        <f>CJ232</f>
        <v>0</v>
      </c>
      <c r="CL232" s="3">
        <f>CK232</f>
        <v>0</v>
      </c>
      <c r="CM232" s="3">
        <f>CL232</f>
        <v>0</v>
      </c>
      <c r="CN232" s="3">
        <f>CM232</f>
        <v>0</v>
      </c>
      <c r="CO232" s="3">
        <f>CN232</f>
        <v>0</v>
      </c>
      <c r="CP232" s="3">
        <f>CO232</f>
        <v>0</v>
      </c>
      <c r="CQ232" s="3">
        <f>CP232</f>
        <v>0</v>
      </c>
      <c r="CR232" s="3">
        <f>CQ232</f>
        <v>0</v>
      </c>
      <c r="CS232" s="3">
        <f>CR232</f>
        <v>0</v>
      </c>
      <c r="CT232" s="3">
        <f>CS232</f>
        <v>0</v>
      </c>
      <c r="CU232" s="3">
        <f>CT232</f>
        <v>0</v>
      </c>
      <c r="CV232" s="3">
        <f>CU232</f>
        <v>0</v>
      </c>
      <c r="CW232" s="3">
        <f>CV232</f>
        <v>0</v>
      </c>
      <c r="CX232" s="3">
        <f>CW232</f>
        <v>0</v>
      </c>
      <c r="CY232" s="3">
        <f>CX232</f>
        <v>0</v>
      </c>
    </row>
    <row r="233">
      <c r="C233" s="26" t="inlineStr">
        <is>
          <t>Deferred income taxes</t>
        </is>
      </c>
      <c r="D233" s="25">
        <f>INDEX('Inputs (2)'!$D$38:$AL$38,MATCH(D$7,'Inputs (2)'!$D$2:$AL$2,0))</f>
        <v>0</v>
      </c>
      <c r="E233" s="25">
        <f>INDEX('Inputs (2)'!$D$38:$AL$38,MATCH(E$7,'Inputs (2)'!$D$2:$AL$2,0))</f>
        <v>0</v>
      </c>
      <c r="F233" s="25">
        <f>INDEX('Inputs (2)'!$D$38:$AL$38,MATCH(F$7,'Inputs (2)'!$D$2:$AL$2,0))</f>
        <v>0</v>
      </c>
      <c r="G233" s="25">
        <f>INDEX('Inputs (2)'!$D$38:$AL$38,MATCH(G$7,'Inputs (2)'!$D$2:$AL$2,0))</f>
        <v>0</v>
      </c>
      <c r="H233" s="3">
        <f>G233</f>
        <v>0</v>
      </c>
      <c r="I233" s="25">
        <f>INDEX('Inputs (2)'!$D$38:$AL$38,MATCH(I$7,'Inputs (2)'!$D$2:$AL$2,0))</f>
        <v>0</v>
      </c>
      <c r="J233" s="25">
        <f>INDEX('Inputs (2)'!$D$38:$AL$38,MATCH(J$7,'Inputs (2)'!$D$2:$AL$2,0))</f>
        <v>0</v>
      </c>
      <c r="K233" s="25">
        <f>INDEX('Inputs (2)'!$D$38:$AL$38,MATCH(K$7,'Inputs (2)'!$D$2:$AL$2,0))</f>
        <v>0</v>
      </c>
      <c r="L233" s="25">
        <f>INDEX('Inputs (2)'!$D$38:$AL$38,MATCH(L$7,'Inputs (2)'!$D$2:$AL$2,0))</f>
        <v>0</v>
      </c>
      <c r="M233" s="3">
        <f>L233</f>
        <v>0</v>
      </c>
      <c r="N233" s="25">
        <f>INDEX('Inputs (2)'!$D$38:$AL$38,MATCH(N$7,'Inputs (2)'!$D$2:$AL$2,0))</f>
        <v>0</v>
      </c>
      <c r="O233" s="25">
        <f>INDEX('Inputs (2)'!$D$38:$AL$38,MATCH(O$7,'Inputs (2)'!$D$2:$AL$2,0))</f>
        <v>0</v>
      </c>
      <c r="P233" s="25">
        <f>INDEX('Inputs (2)'!$D$38:$AL$38,MATCH(P$7,'Inputs (2)'!$D$2:$AL$2,0))</f>
        <v>0</v>
      </c>
      <c r="Q233" s="25">
        <f>INDEX('Inputs (2)'!$D$38:$AL$38,MATCH(Q$7,'Inputs (2)'!$D$2:$AL$2,0))</f>
        <v>0</v>
      </c>
      <c r="R233" s="3">
        <f>Q233</f>
        <v>0</v>
      </c>
      <c r="S233" s="25">
        <f>INDEX('Inputs (2)'!$D$38:$AL$38,MATCH(S$7,'Inputs (2)'!$D$2:$AL$2,0))</f>
        <v>0</v>
      </c>
      <c r="T233" s="25">
        <f>INDEX('Inputs (2)'!$D$38:$AL$38,MATCH(T$7,'Inputs (2)'!$D$2:$AL$2,0))</f>
        <v>0</v>
      </c>
      <c r="U233" s="25">
        <f>INDEX('Inputs (2)'!$D$38:$AL$38,MATCH(U$7,'Inputs (2)'!$D$2:$AL$2,0))</f>
        <v>0</v>
      </c>
      <c r="V233" s="25">
        <f>INDEX('Inputs (2)'!$D$38:$AL$38,MATCH(V$7,'Inputs (2)'!$D$2:$AL$2,0))</f>
        <v>0</v>
      </c>
      <c r="W233" s="3">
        <f>V233</f>
        <v>0</v>
      </c>
      <c r="X233" s="25">
        <f>INDEX('Inputs (2)'!$D$38:$AL$38,MATCH(X$7,'Inputs (2)'!$D$2:$AL$2,0))</f>
        <v>0</v>
      </c>
      <c r="Y233" s="25">
        <f>INDEX('Inputs (2)'!$D$38:$AL$38,MATCH(Y$7,'Inputs (2)'!$D$2:$AL$2,0))</f>
        <v>0</v>
      </c>
      <c r="Z233" s="25">
        <f>INDEX('Inputs (2)'!$D$38:$AL$38,MATCH(Z$7,'Inputs (2)'!$D$2:$AL$2,0))</f>
        <v>0</v>
      </c>
      <c r="AA233" s="25">
        <f>INDEX('Inputs (2)'!$D$38:$AL$38,MATCH(AA$7,'Inputs (2)'!$D$2:$AL$2,0))</f>
        <v>0</v>
      </c>
      <c r="AB233" s="3">
        <f>AA233</f>
        <v>0</v>
      </c>
      <c r="AC233" s="25">
        <f>INDEX('Inputs (2)'!$D$38:$AL$38,MATCH(AC$7,'Inputs (2)'!$D$2:$AL$2,0))</f>
        <v>0</v>
      </c>
      <c r="AD233" s="25">
        <f>INDEX('Inputs (2)'!$D$38:$AL$38,MATCH(AD$7,'Inputs (2)'!$D$2:$AL$2,0))</f>
        <v>0</v>
      </c>
      <c r="AE233" s="25">
        <f>INDEX('Inputs (2)'!$D$38:$AL$38,MATCH(AE$7,'Inputs (2)'!$D$2:$AL$2,0))</f>
        <v>0</v>
      </c>
      <c r="AF233" s="25">
        <f>INDEX('Inputs (2)'!$D$38:$AL$38,MATCH(AF$7,'Inputs (2)'!$D$2:$AL$2,0))</f>
        <v>0</v>
      </c>
      <c r="AG233" s="3">
        <f>AF233</f>
        <v>0</v>
      </c>
      <c r="AH233" s="3">
        <f>INDEX('Inputs (2)'!$D$38:$AL$38,MATCH(AH$7,'Inputs (2)'!$D$2:$AL$2,0))</f>
        <v>0</v>
      </c>
      <c r="AI233" s="3">
        <f>INDEX('Inputs (2)'!$D$38:$AL$38,MATCH(AI$7,'Inputs (2)'!$D$2:$AL$2,0))</f>
        <v>0</v>
      </c>
      <c r="AJ233" s="3">
        <f>AI233</f>
        <v>0</v>
      </c>
      <c r="AK233" s="3">
        <f>AJ233</f>
        <v>0</v>
      </c>
      <c r="AL233" s="3">
        <f>AK233</f>
        <v>0</v>
      </c>
      <c r="AM233" s="3">
        <f>AL233</f>
        <v>0</v>
      </c>
      <c r="AN233" s="3">
        <f>AM233</f>
        <v>0</v>
      </c>
      <c r="AO233" s="3">
        <f>AN233</f>
        <v>0</v>
      </c>
      <c r="AP233" s="3">
        <f>AO233</f>
        <v>0</v>
      </c>
      <c r="AQ233" s="3">
        <f>AP233</f>
        <v>0</v>
      </c>
      <c r="AR233" s="3">
        <f>AQ233</f>
        <v>0</v>
      </c>
      <c r="AS233" s="3">
        <f>AR233</f>
        <v>0</v>
      </c>
      <c r="AT233" s="3">
        <f>AS233</f>
        <v>0</v>
      </c>
      <c r="AU233" s="3">
        <f>AT233</f>
        <v>0</v>
      </c>
      <c r="AV233" s="3">
        <f>AU233</f>
        <v>0</v>
      </c>
      <c r="AW233" s="3">
        <f>AV233</f>
        <v>0</v>
      </c>
      <c r="AX233" s="3">
        <f>AW233</f>
        <v>0</v>
      </c>
      <c r="AY233" s="3">
        <f>AX233</f>
        <v>0</v>
      </c>
      <c r="AZ233" s="3">
        <f>AY233</f>
        <v>0</v>
      </c>
      <c r="BA233" s="3">
        <f>AZ233</f>
        <v>0</v>
      </c>
      <c r="BB233" s="3">
        <f>BA233</f>
        <v>0</v>
      </c>
      <c r="BC233" s="3">
        <f>BB233</f>
        <v>0</v>
      </c>
      <c r="BD233" s="3">
        <f>BC233</f>
        <v>0</v>
      </c>
      <c r="BE233" s="3">
        <f>BD233</f>
        <v>0</v>
      </c>
      <c r="BF233" s="3">
        <f>BE233</f>
        <v>0</v>
      </c>
      <c r="BG233" s="3">
        <f>BF233</f>
        <v>0</v>
      </c>
      <c r="BH233" s="3">
        <f>BG233</f>
        <v>0</v>
      </c>
      <c r="BI233" s="3">
        <f>BH233</f>
        <v>0</v>
      </c>
      <c r="BJ233" s="3">
        <f>BI233</f>
        <v>0</v>
      </c>
      <c r="BK233" s="3">
        <f>BJ233</f>
        <v>0</v>
      </c>
      <c r="BL233" s="3">
        <f>BK233</f>
        <v>0</v>
      </c>
      <c r="BM233" s="3">
        <f>BL233</f>
        <v>0</v>
      </c>
      <c r="BN233" s="3">
        <f>BM233</f>
        <v>0</v>
      </c>
      <c r="BO233" s="3">
        <f>BN233</f>
        <v>0</v>
      </c>
      <c r="BP233" s="3">
        <f>BO233</f>
        <v>0</v>
      </c>
      <c r="BQ233" s="3">
        <f>BP233</f>
        <v>0</v>
      </c>
      <c r="BR233" s="3">
        <f>BQ233</f>
        <v>0</v>
      </c>
      <c r="BS233" s="3">
        <f>BR233</f>
        <v>0</v>
      </c>
      <c r="BT233" s="3">
        <f>BS233</f>
        <v>0</v>
      </c>
      <c r="BU233" s="3">
        <f>BT233</f>
        <v>0</v>
      </c>
      <c r="BV233" s="3">
        <f>BU233</f>
        <v>0</v>
      </c>
      <c r="BW233" s="3">
        <f>BV233</f>
        <v>0</v>
      </c>
      <c r="BX233" s="3">
        <f>BW233</f>
        <v>0</v>
      </c>
      <c r="BY233" s="3">
        <f>BX233</f>
        <v>0</v>
      </c>
      <c r="BZ233" s="3">
        <f>BY233</f>
        <v>0</v>
      </c>
      <c r="CA233" s="3">
        <f>BZ233</f>
        <v>0</v>
      </c>
      <c r="CB233" s="3">
        <f>CA233</f>
        <v>0</v>
      </c>
      <c r="CC233" s="3">
        <f>CB233</f>
        <v>0</v>
      </c>
      <c r="CD233" s="3">
        <f>CC233</f>
        <v>0</v>
      </c>
      <c r="CE233" s="3">
        <f>CD233</f>
        <v>0</v>
      </c>
      <c r="CF233" s="3">
        <f>CE233</f>
        <v>0</v>
      </c>
      <c r="CG233" s="3">
        <f>CF233</f>
        <v>0</v>
      </c>
      <c r="CH233" s="3">
        <f>CG233</f>
        <v>0</v>
      </c>
      <c r="CI233" s="3">
        <f>CH233</f>
        <v>0</v>
      </c>
      <c r="CJ233" s="3">
        <f>CI233</f>
        <v>0</v>
      </c>
      <c r="CK233" s="3">
        <f>CJ233</f>
        <v>0</v>
      </c>
      <c r="CL233" s="3">
        <f>CK233</f>
        <v>0</v>
      </c>
      <c r="CM233" s="3">
        <f>CL233</f>
        <v>0</v>
      </c>
      <c r="CN233" s="3">
        <f>CM233</f>
        <v>0</v>
      </c>
      <c r="CO233" s="3">
        <f>CN233</f>
        <v>0</v>
      </c>
      <c r="CP233" s="3">
        <f>CO233</f>
        <v>0</v>
      </c>
      <c r="CQ233" s="3">
        <f>CP233</f>
        <v>0</v>
      </c>
      <c r="CR233" s="3">
        <f>CQ233</f>
        <v>0</v>
      </c>
      <c r="CS233" s="3">
        <f>CR233</f>
        <v>0</v>
      </c>
      <c r="CT233" s="3">
        <f>CS233</f>
        <v>0</v>
      </c>
      <c r="CU233" s="3">
        <f>CT233</f>
        <v>0</v>
      </c>
      <c r="CV233" s="3">
        <f>CU233</f>
        <v>0</v>
      </c>
      <c r="CW233" s="3">
        <f>CV233</f>
        <v>0</v>
      </c>
      <c r="CX233" s="3">
        <f>CW233</f>
        <v>0</v>
      </c>
      <c r="CY233" s="3">
        <f>CX233</f>
        <v>0</v>
      </c>
    </row>
    <row r="234">
      <c r="C234" s="26" t="inlineStr">
        <is>
          <t>Other non-current liabilities</t>
        </is>
      </c>
      <c r="D234" s="25">
        <f>INDEX('Inputs (2)'!$D$39:$AL$39,MATCH(D$7,'Inputs (2)'!$D$2:$AL$2,0))</f>
        <v>4626.199</v>
      </c>
      <c r="E234" s="25">
        <f>INDEX('Inputs (2)'!$D$39:$AL$39,MATCH(E$7,'Inputs (2)'!$D$2:$AL$2,0))</f>
        <v>4919.112</v>
      </c>
      <c r="F234" s="25">
        <f>INDEX('Inputs (2)'!$D$39:$AL$39,MATCH(F$7,'Inputs (2)'!$D$2:$AL$2,0))</f>
        <v>4801.809</v>
      </c>
      <c r="G234" s="25">
        <f>INDEX('Inputs (2)'!$D$39:$AL$39,MATCH(G$7,'Inputs (2)'!$D$2:$AL$2,0))</f>
        <v>4600.239</v>
      </c>
      <c r="H234" s="3">
        <f>G234</f>
        <v>4600.239</v>
      </c>
      <c r="I234" s="25">
        <f>INDEX('Inputs (2)'!$D$39:$AL$39,MATCH(I$7,'Inputs (2)'!$D$2:$AL$2,0))</f>
        <v>4416.612</v>
      </c>
      <c r="J234" s="25">
        <f>INDEX('Inputs (2)'!$D$39:$AL$39,MATCH(J$7,'Inputs (2)'!$D$2:$AL$2,0))</f>
        <v>4347.321</v>
      </c>
      <c r="K234" s="25">
        <f>INDEX('Inputs (2)'!$D$39:$AL$39,MATCH(K$7,'Inputs (2)'!$D$2:$AL$2,0))</f>
        <v>4582.303</v>
      </c>
      <c r="L234" s="25">
        <f>INDEX('Inputs (2)'!$D$39:$AL$39,MATCH(L$7,'Inputs (2)'!$D$2:$AL$2,0))</f>
        <v>5553.377</v>
      </c>
      <c r="M234" s="3">
        <f>L234</f>
        <v>5553.377</v>
      </c>
      <c r="N234" s="25">
        <f>INDEX('Inputs (2)'!$D$39:$AL$39,MATCH(N$7,'Inputs (2)'!$D$2:$AL$2,0))</f>
        <v>5512.648</v>
      </c>
      <c r="O234" s="25">
        <f>INDEX('Inputs (2)'!$D$39:$AL$39,MATCH(O$7,'Inputs (2)'!$D$2:$AL$2,0))</f>
        <v>5541.636</v>
      </c>
      <c r="P234" s="25">
        <f>INDEX('Inputs (2)'!$D$39:$AL$39,MATCH(P$7,'Inputs (2)'!$D$2:$AL$2,0))</f>
        <v>5380.005</v>
      </c>
      <c r="Q234" s="25">
        <f>INDEX('Inputs (2)'!$D$39:$AL$39,MATCH(Q$7,'Inputs (2)'!$D$2:$AL$2,0))</f>
        <v>5533.317</v>
      </c>
      <c r="R234" s="3">
        <f>Q234</f>
        <v>5533.317</v>
      </c>
      <c r="S234" s="25">
        <f>INDEX('Inputs (2)'!$D$39:$AL$39,MATCH(S$7,'Inputs (2)'!$D$2:$AL$2,0))</f>
        <v>5308.114</v>
      </c>
      <c r="T234" s="25">
        <f>INDEX('Inputs (2)'!$D$39:$AL$39,MATCH(T$7,'Inputs (2)'!$D$2:$AL$2,0))</f>
        <v>5239.302</v>
      </c>
      <c r="U234" s="25">
        <f>INDEX('Inputs (2)'!$D$39:$AL$39,MATCH(U$7,'Inputs (2)'!$D$2:$AL$2,0))</f>
        <v>5154.687</v>
      </c>
      <c r="V234" s="25">
        <f>INDEX('Inputs (2)'!$D$39:$AL$39,MATCH(V$7,'Inputs (2)'!$D$2:$AL$2,0))</f>
        <v>5139.607</v>
      </c>
      <c r="W234" s="3">
        <f>V234</f>
        <v>5139.607</v>
      </c>
      <c r="X234" s="25">
        <f>INDEX('Inputs (2)'!$D$39:$AL$39,MATCH(X$7,'Inputs (2)'!$D$2:$AL$2,0))</f>
        <v>4956.056</v>
      </c>
      <c r="Y234" s="25">
        <f>INDEX('Inputs (2)'!$D$39:$AL$39,MATCH(Y$7,'Inputs (2)'!$D$2:$AL$2,0))</f>
        <v>4666.179</v>
      </c>
      <c r="Z234" s="25">
        <f>INDEX('Inputs (2)'!$D$39:$AL$39,MATCH(Z$7,'Inputs (2)'!$D$2:$AL$2,0))</f>
        <v>4693.05</v>
      </c>
      <c r="AA234" s="25">
        <f>INDEX('Inputs (2)'!$D$39:$AL$39,MATCH(AA$7,'Inputs (2)'!$D$2:$AL$2,0))</f>
        <v>4333.056</v>
      </c>
      <c r="AB234" s="3">
        <f>AA234</f>
        <v>4333.056</v>
      </c>
      <c r="AC234" s="25">
        <f>INDEX('Inputs (2)'!$D$39:$AL$39,MATCH(AC$7,'Inputs (2)'!$D$2:$AL$2,0))</f>
        <v>4330.015</v>
      </c>
      <c r="AD234" s="25">
        <f>INDEX('Inputs (2)'!$D$39:$AL$39,MATCH(AD$7,'Inputs (2)'!$D$2:$AL$2,0))</f>
        <v>4752.224</v>
      </c>
      <c r="AE234" s="25">
        <f>INDEX('Inputs (2)'!$D$39:$AL$39,MATCH(AE$7,'Inputs (2)'!$D$2:$AL$2,0))</f>
        <v>4785.921</v>
      </c>
      <c r="AF234" s="25">
        <f>INDEX('Inputs (2)'!$D$39:$AL$39,MATCH(AF$7,'Inputs (2)'!$D$2:$AL$2,0))</f>
        <v>4536.604</v>
      </c>
      <c r="AG234" s="3">
        <f>AF234</f>
        <v>4536.604</v>
      </c>
      <c r="AH234" s="3">
        <f>INDEX('Inputs (2)'!$D$39:$AL$39,MATCH(AH$7,'Inputs (2)'!$D$2:$AL$2,0))</f>
        <v>4396.606</v>
      </c>
      <c r="AI234" s="3">
        <f>INDEX('Inputs (2)'!$D$39:$AL$39,MATCH(AI$7,'Inputs (2)'!$D$2:$AL$2,0))</f>
        <v>4337.943</v>
      </c>
      <c r="AJ234" s="3">
        <f>AI234</f>
        <v>4337.943</v>
      </c>
      <c r="AK234" s="3">
        <f>AJ234</f>
        <v>4337.943</v>
      </c>
      <c r="AL234" s="3">
        <f>AK234</f>
        <v>4337.943</v>
      </c>
      <c r="AM234" s="3">
        <f>AL234</f>
        <v>4337.943</v>
      </c>
      <c r="AN234" s="3">
        <f>AM234</f>
        <v>4337.943</v>
      </c>
      <c r="AO234" s="3">
        <f>AN234</f>
        <v>4337.943</v>
      </c>
      <c r="AP234" s="3">
        <f>AO234</f>
        <v>4337.943</v>
      </c>
      <c r="AQ234" s="3">
        <f>AP234</f>
        <v>4337.943</v>
      </c>
      <c r="AR234" s="3">
        <f>AQ234</f>
        <v>4337.943</v>
      </c>
      <c r="AS234" s="3">
        <f>AR234</f>
        <v>4337.943</v>
      </c>
      <c r="AT234" s="3">
        <f>AS234</f>
        <v>4337.943</v>
      </c>
      <c r="AU234" s="3">
        <f>AT234</f>
        <v>4337.943</v>
      </c>
      <c r="AV234" s="3">
        <f>AU234</f>
        <v>4337.943</v>
      </c>
      <c r="AW234" s="3">
        <f>AV234</f>
        <v>4337.943</v>
      </c>
      <c r="AX234" s="3">
        <f>AW234</f>
        <v>4337.943</v>
      </c>
      <c r="AY234" s="3">
        <f>AX234</f>
        <v>4337.943</v>
      </c>
      <c r="AZ234" s="3">
        <f>AY234</f>
        <v>4337.943</v>
      </c>
      <c r="BA234" s="3">
        <f>AZ234</f>
        <v>4337.943</v>
      </c>
      <c r="BB234" s="3">
        <f>BA234</f>
        <v>4337.943</v>
      </c>
      <c r="BC234" s="3">
        <f>BB234</f>
        <v>4337.943</v>
      </c>
      <c r="BD234" s="3">
        <f>BC234</f>
        <v>4337.943</v>
      </c>
      <c r="BE234" s="3">
        <f>BD234</f>
        <v>4337.943</v>
      </c>
      <c r="BF234" s="3">
        <f>BE234</f>
        <v>4337.943</v>
      </c>
      <c r="BG234" s="3">
        <f>BF234</f>
        <v>4337.943</v>
      </c>
      <c r="BH234" s="3">
        <f>BG234</f>
        <v>4337.943</v>
      </c>
      <c r="BI234" s="3">
        <f>BH234</f>
        <v>4337.943</v>
      </c>
      <c r="BJ234" s="3">
        <f>BI234</f>
        <v>4337.943</v>
      </c>
      <c r="BK234" s="3">
        <f>BJ234</f>
        <v>4337.943</v>
      </c>
      <c r="BL234" s="3">
        <f>BK234</f>
        <v>4337.943</v>
      </c>
      <c r="BM234" s="3">
        <f>BL234</f>
        <v>4337.943</v>
      </c>
      <c r="BN234" s="3">
        <f>BM234</f>
        <v>4337.943</v>
      </c>
      <c r="BO234" s="3">
        <f>BN234</f>
        <v>4337.943</v>
      </c>
      <c r="BP234" s="3">
        <f>BO234</f>
        <v>4337.943</v>
      </c>
      <c r="BQ234" s="3">
        <f>BP234</f>
        <v>4337.943</v>
      </c>
      <c r="BR234" s="3">
        <f>BQ234</f>
        <v>4337.943</v>
      </c>
      <c r="BS234" s="3">
        <f>BR234</f>
        <v>4337.943</v>
      </c>
      <c r="BT234" s="3">
        <f>BS234</f>
        <v>4337.943</v>
      </c>
      <c r="BU234" s="3">
        <f>BT234</f>
        <v>4337.943</v>
      </c>
      <c r="BV234" s="3">
        <f>BU234</f>
        <v>4337.943</v>
      </c>
      <c r="BW234" s="3">
        <f>BV234</f>
        <v>4337.943</v>
      </c>
      <c r="BX234" s="3">
        <f>BW234</f>
        <v>4337.943</v>
      </c>
      <c r="BY234" s="3">
        <f>BX234</f>
        <v>4337.943</v>
      </c>
      <c r="BZ234" s="3">
        <f>BY234</f>
        <v>4337.943</v>
      </c>
      <c r="CA234" s="3">
        <f>BZ234</f>
        <v>4337.943</v>
      </c>
      <c r="CB234" s="3">
        <f>CA234</f>
        <v>4337.943</v>
      </c>
      <c r="CC234" s="3">
        <f>CB234</f>
        <v>4337.943</v>
      </c>
      <c r="CD234" s="3">
        <f>CC234</f>
        <v>4337.943</v>
      </c>
      <c r="CE234" s="3">
        <f>CD234</f>
        <v>4337.943</v>
      </c>
      <c r="CF234" s="3">
        <f>CE234</f>
        <v>4337.943</v>
      </c>
      <c r="CG234" s="3">
        <f>CF234</f>
        <v>4337.943</v>
      </c>
      <c r="CH234" s="3">
        <f>CG234</f>
        <v>4337.943</v>
      </c>
      <c r="CI234" s="3">
        <f>CH234</f>
        <v>4337.943</v>
      </c>
      <c r="CJ234" s="3">
        <f>CI234</f>
        <v>4337.943</v>
      </c>
      <c r="CK234" s="3">
        <f>CJ234</f>
        <v>4337.943</v>
      </c>
      <c r="CL234" s="3">
        <f>CK234</f>
        <v>4337.943</v>
      </c>
      <c r="CM234" s="3">
        <f>CL234</f>
        <v>4337.943</v>
      </c>
      <c r="CN234" s="3">
        <f>CM234</f>
        <v>4337.943</v>
      </c>
      <c r="CO234" s="3">
        <f>CN234</f>
        <v>4337.943</v>
      </c>
      <c r="CP234" s="3">
        <f>CO234</f>
        <v>4337.943</v>
      </c>
      <c r="CQ234" s="3">
        <f>CP234</f>
        <v>4337.943</v>
      </c>
      <c r="CR234" s="3">
        <f>CQ234</f>
        <v>4337.943</v>
      </c>
      <c r="CS234" s="3">
        <f>CR234</f>
        <v>4337.943</v>
      </c>
      <c r="CT234" s="3">
        <f>CS234</f>
        <v>4337.943</v>
      </c>
      <c r="CU234" s="3">
        <f>CT234</f>
        <v>4337.943</v>
      </c>
      <c r="CV234" s="3">
        <f>CU234</f>
        <v>4337.943</v>
      </c>
      <c r="CW234" s="3">
        <f>CV234</f>
        <v>4337.943</v>
      </c>
      <c r="CX234" s="3">
        <f>CW234</f>
        <v>4337.943</v>
      </c>
      <c r="CY234" s="3">
        <f>CX234</f>
        <v>4337.943</v>
      </c>
    </row>
    <row r="235" hidden="1" outlineLevel="1" ht="12" customHeight="1">
      <c r="C235" s="38" t="inlineStr">
        <is>
          <t>%(Var.)</t>
        </is>
      </c>
      <c r="D235" s="3" t="n"/>
      <c r="E235" s="47">
        <f>(E234-D234)/D234</f>
        <v>0.0633161262626185</v>
      </c>
      <c r="F235" s="47">
        <f>(F234-E234)/E234</f>
        <v>-0.0238463771509978</v>
      </c>
      <c r="G235" s="47">
        <f>(G234-F234)/F234</f>
        <v>-0.0419779295677943</v>
      </c>
      <c r="H235" s="3" t="n"/>
      <c r="I235" s="47">
        <f>(I234-H234)/H234</f>
        <v>-0.0399168391033597</v>
      </c>
      <c r="J235" s="47">
        <f>(J234-I234)/I234</f>
        <v>-0.0156887224868291</v>
      </c>
      <c r="K235" s="47">
        <f>(K234-J234)/J234</f>
        <v>0.0540521392370152</v>
      </c>
      <c r="L235" s="47">
        <f>(L234-K234)/K234</f>
        <v>0.211918330149708</v>
      </c>
      <c r="M235" s="3" t="n"/>
      <c r="N235" s="47">
        <f>(N234-M234)/M234</f>
        <v>-0.00733409599240251</v>
      </c>
      <c r="O235" s="47">
        <f>(O234-N234)/N234</f>
        <v>0.00525845292498275</v>
      </c>
      <c r="P235" s="47">
        <f>(P234-O234)/O234</f>
        <v>-0.0291666576440604</v>
      </c>
      <c r="Q235" s="47">
        <f>(Q234-P234)/P234</f>
        <v>0.0284966277912383</v>
      </c>
      <c r="R235" s="3" t="n"/>
      <c r="S235" s="47">
        <f>(S234-R234)/R234</f>
        <v>-0.0406994574863505</v>
      </c>
      <c r="T235" s="47">
        <f>(T234-S234)/S234</f>
        <v>-0.0129635497655099</v>
      </c>
      <c r="U235" s="47">
        <f>(U234-T234)/T234</f>
        <v>-0.0161500520489179</v>
      </c>
      <c r="V235" s="47">
        <f>(V234-U234)/U234</f>
        <v>-0.00292549285727726</v>
      </c>
      <c r="W235" s="3" t="n"/>
      <c r="X235" s="47">
        <f>(X234-W234)/W234</f>
        <v>-0.0357130418726567</v>
      </c>
      <c r="Y235" s="47">
        <f>(Y234-X234)/X234</f>
        <v>-0.0584894520965866</v>
      </c>
      <c r="Z235" s="47">
        <f>(Z234-Y234)/Y234</f>
        <v>0.00575867320992169</v>
      </c>
      <c r="AA235" s="47">
        <f>(AA234-Z234)/Z234</f>
        <v>-0.0767078978489468</v>
      </c>
      <c r="AB235" s="3" t="n"/>
      <c r="AC235" s="47">
        <f>(AC234-AB234)/AB234</f>
        <v>-0.00070181414687446</v>
      </c>
      <c r="AD235" s="47">
        <f>(AD234-AC234)/AC234</f>
        <v>0.0975075144081487</v>
      </c>
      <c r="AE235" s="47">
        <f>(AE234-AD234)/AD234</f>
        <v>0.00709078528284864</v>
      </c>
      <c r="AF235" s="230">
        <f>(AF234-AE234)/AE234</f>
        <v>-0.0520938394093845</v>
      </c>
      <c r="AG235" s="3" t="n"/>
      <c r="AH235" s="230">
        <f>(AH234-AG234)/AG234</f>
        <v>-0.0308596474367169</v>
      </c>
      <c r="AI235" s="230">
        <f>(AI234-AH234)/AH234</f>
        <v>-0.0133427921446681</v>
      </c>
      <c r="AJ235" s="230" t="n"/>
      <c r="AK235" s="230" t="n"/>
      <c r="AL235" s="3" t="n"/>
      <c r="AM235" s="230" t="n"/>
      <c r="AN235" s="230" t="n"/>
      <c r="AO235" s="230" t="n"/>
      <c r="AP235" s="230" t="n"/>
      <c r="AQ235" s="3" t="n"/>
      <c r="AR235" s="230" t="n"/>
      <c r="AS235" s="230" t="n"/>
      <c r="AT235" s="230" t="n"/>
      <c r="AU235" s="230" t="n"/>
      <c r="AV235" s="3" t="n"/>
      <c r="AW235" s="230" t="n"/>
      <c r="AX235" s="230" t="n"/>
      <c r="AY235" s="230" t="n"/>
      <c r="AZ235" s="230" t="n"/>
      <c r="BA235" s="3" t="n"/>
      <c r="BB235" s="230" t="n"/>
      <c r="BC235" s="230" t="n"/>
      <c r="BD235" s="230" t="n"/>
      <c r="BE235" s="230" t="n"/>
      <c r="BF235" s="3" t="n"/>
      <c r="BG235" s="230" t="n"/>
      <c r="BH235" s="230" t="n"/>
      <c r="BI235" s="230" t="n"/>
      <c r="BJ235" s="230" t="n"/>
      <c r="BK235" s="3" t="n"/>
      <c r="BL235" s="230" t="n"/>
      <c r="BM235" s="230" t="n"/>
      <c r="BN235" s="230" t="n"/>
      <c r="BO235" s="230" t="n"/>
      <c r="BP235" s="3" t="n"/>
      <c r="BQ235" s="230" t="n"/>
      <c r="BR235" s="230" t="n"/>
      <c r="BS235" s="230" t="n"/>
      <c r="BT235" s="230" t="n"/>
      <c r="BU235" s="3" t="n"/>
      <c r="BV235" s="230" t="n"/>
      <c r="BW235" s="230" t="n"/>
      <c r="BX235" s="230" t="n"/>
      <c r="BY235" s="230" t="n"/>
      <c r="BZ235" s="3" t="n"/>
      <c r="CA235" s="230" t="n"/>
      <c r="CB235" s="230" t="n"/>
      <c r="CC235" s="230" t="n"/>
      <c r="CD235" s="230" t="n"/>
      <c r="CE235" s="3" t="n"/>
      <c r="CF235" s="230" t="n"/>
      <c r="CG235" s="230" t="n"/>
      <c r="CH235" s="230" t="n"/>
      <c r="CI235" s="230" t="n"/>
      <c r="CJ235" s="3" t="n"/>
      <c r="CK235" s="230" t="n"/>
      <c r="CL235" s="230" t="n"/>
      <c r="CM235" s="230" t="n"/>
      <c r="CN235" s="230" t="n"/>
      <c r="CO235" s="3" t="n"/>
      <c r="CP235" s="230" t="n"/>
      <c r="CQ235" s="230" t="n"/>
      <c r="CR235" s="230" t="n"/>
      <c r="CS235" s="230" t="n"/>
      <c r="CT235" s="3" t="n"/>
      <c r="CU235" s="230" t="n"/>
      <c r="CV235" s="230" t="n"/>
      <c r="CW235" s="230" t="n"/>
      <c r="CX235" s="230" t="n"/>
      <c r="CY235" s="3" t="n"/>
    </row>
    <row r="236" hidden="1" outlineLevel="1" ht="12" customHeight="1">
      <c r="C236" s="38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hidden="1" outlineLevel="1">
      <c r="C237" s="34" t="inlineStr">
        <is>
          <t>Contas a pagar pela aquisição de controladas</t>
        </is>
      </c>
      <c r="D237" s="6" t="n"/>
      <c r="E237" s="6" t="n"/>
      <c r="F237" s="6" t="n"/>
      <c r="G237" s="6" t="n"/>
      <c r="H237" s="3" t="n"/>
      <c r="I237" s="6" t="n"/>
      <c r="J237" s="6" t="n"/>
      <c r="K237" s="6" t="n"/>
      <c r="L237" s="6" t="n"/>
      <c r="M237" s="3" t="n"/>
      <c r="N237" s="6" t="n"/>
      <c r="O237" s="6" t="n"/>
      <c r="P237" s="6" t="n"/>
      <c r="Q237" s="6" t="n"/>
      <c r="R237" s="3" t="n"/>
      <c r="S237" s="6" t="n"/>
      <c r="T237" s="6" t="n"/>
      <c r="U237" s="6" t="n"/>
      <c r="V237" s="6" t="n"/>
      <c r="W237" s="3" t="n"/>
      <c r="X237" s="6" t="n"/>
      <c r="Y237" s="6" t="n"/>
      <c r="Z237" s="6" t="n"/>
      <c r="AA237" s="6" t="n"/>
      <c r="AB237" s="3" t="n"/>
      <c r="AC237" s="6" t="n"/>
      <c r="AD237" s="6" t="n"/>
      <c r="AE237" s="6" t="n"/>
      <c r="AF237" s="6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  <c r="CU237" s="3" t="n"/>
      <c r="CV237" s="3" t="n"/>
      <c r="CW237" s="3" t="n"/>
      <c r="CX237" s="3" t="n"/>
      <c r="CY237" s="3" t="n"/>
    </row>
    <row r="238" hidden="1" outlineLevel="1">
      <c r="C238" s="34" t="inlineStr">
        <is>
          <t xml:space="preserve">Outras Obrigações </t>
        </is>
      </c>
      <c r="D238" s="6" t="n"/>
      <c r="E238" s="6" t="n"/>
      <c r="F238" s="6" t="n"/>
      <c r="G238" s="6" t="n"/>
      <c r="H238" s="3" t="n"/>
      <c r="I238" s="6" t="n"/>
      <c r="J238" s="6" t="n"/>
      <c r="K238" s="6" t="n"/>
      <c r="L238" s="6" t="n"/>
      <c r="M238" s="3" t="n"/>
      <c r="N238" s="6" t="n"/>
      <c r="O238" s="6" t="n"/>
      <c r="P238" s="6" t="n"/>
      <c r="Q238" s="6" t="n"/>
      <c r="R238" s="3" t="n"/>
      <c r="S238" s="6" t="n"/>
      <c r="T238" s="6" t="n"/>
      <c r="U238" s="6" t="n"/>
      <c r="V238" s="6" t="n"/>
      <c r="W238" s="3" t="n"/>
      <c r="X238" s="6" t="n"/>
      <c r="Y238" s="6" t="n"/>
      <c r="Z238" s="6" t="n"/>
      <c r="AA238" s="6" t="n"/>
      <c r="AB238" s="3" t="n"/>
      <c r="AC238" s="6" t="n"/>
      <c r="AD238" s="6" t="n"/>
      <c r="AE238" s="6" t="n"/>
      <c r="AF238" s="6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 xml:space="preserve">Provisão de Risco Cíveis, Trabalhistas e Tributários </t>
        </is>
      </c>
      <c r="D239" s="6" t="n"/>
      <c r="E239" s="6" t="n"/>
      <c r="F239" s="6" t="n"/>
      <c r="G239" s="6" t="n"/>
      <c r="H239" s="3" t="n"/>
      <c r="I239" s="6" t="n"/>
      <c r="J239" s="6" t="n"/>
      <c r="K239" s="6" t="n"/>
      <c r="L239" s="6" t="n"/>
      <c r="M239" s="3" t="n"/>
      <c r="N239" s="6" t="n"/>
      <c r="O239" s="6" t="n"/>
      <c r="P239" s="6" t="n"/>
      <c r="Q239" s="6" t="n"/>
      <c r="R239" s="3" t="n"/>
      <c r="S239" s="6" t="n"/>
      <c r="T239" s="6" t="n"/>
      <c r="U239" s="6" t="n"/>
      <c r="V239" s="6" t="n"/>
      <c r="W239" s="3" t="n"/>
      <c r="X239" s="6" t="n"/>
      <c r="Y239" s="6" t="n"/>
      <c r="Z239" s="6" t="n"/>
      <c r="AA239" s="6" t="n"/>
      <c r="AB239" s="3" t="n"/>
      <c r="AC239" s="6" t="n"/>
      <c r="AD239" s="6" t="n"/>
      <c r="AE239" s="6" t="n"/>
      <c r="AF239" s="6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hidden="1" outlineLevel="1">
      <c r="C240" s="34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</row>
    <row r="241" collapsed="1" customFormat="1" s="17">
      <c r="A241" s="13" t="n"/>
      <c r="B241" s="13" t="n"/>
      <c r="C241" s="27" t="inlineStr">
        <is>
          <t>Total Liabilities</t>
        </is>
      </c>
      <c r="D241" s="16">
        <f>SUM(D192+D196+D198+D199+D206+D207+D208+D211+D229+D232+D233+D234)</f>
        <v>26650.616</v>
      </c>
      <c r="E241" s="16">
        <f>SUM(E192+E196+E198+E199+E206+E207+E208+E211+E229+E232+E233+E234)</f>
        <v>27840.528</v>
      </c>
      <c r="F241" s="16">
        <f>SUM(F192+F196+F198+F199+F206+F207+F208+F211+F229+F232+F233+F234)</f>
        <v>28289.22</v>
      </c>
      <c r="G241" s="16">
        <f>SUM(G192+G196+G198+G199+G206+G207+G208+G211+G229+G232+G233+G234)</f>
        <v>28215.119</v>
      </c>
      <c r="H241" s="16">
        <f>SUM(H192,H196,H198,H199,H206,H207,H211,H208,H229,H232,H233,H234)</f>
        <v>28215.119</v>
      </c>
      <c r="I241" s="16">
        <f>SUM(I192+I196+I198+I199+I206+I207+I208+I211+I229+I232+I233+I234)</f>
        <v>27238.934</v>
      </c>
      <c r="J241" s="16">
        <f>SUM(J192+J196+J198+J199+J206+J207+J208+J211+J229+J232+J233+J234)</f>
        <v>27107.098</v>
      </c>
      <c r="K241" s="16">
        <f>SUM(K192+K196+K198+K199+K206+K207+K208+K211+K229+K232+K233+K234)</f>
        <v>27425.24</v>
      </c>
      <c r="L241" s="16">
        <f>SUM(L192+L196+L198+L199+L206+L207+L208+L211+L229+L232+L233+L234)</f>
        <v>28735.415</v>
      </c>
      <c r="M241" s="16">
        <f>SUM(M192,M196,M198,M199,M206,M207,M211,M208,M229,M232,M233,M234)</f>
        <v>28735.415</v>
      </c>
      <c r="N241" s="16">
        <f>SUM(N192+N196+N198+N199+N206+N207+N208+N211+N229+N232+N233+N234)</f>
        <v>27786.865</v>
      </c>
      <c r="O241" s="16">
        <f>SUM(O192+O196+O198+O199+O206+O207+O208+O211+O229+O232+O233+O234)</f>
        <v>27274.961</v>
      </c>
      <c r="P241" s="16">
        <f>SUM(P192+P196+P198+P199+P206+P207+P208+P211+P229+P232+P233+P234)</f>
        <v>27034.046</v>
      </c>
      <c r="Q241" s="16">
        <f>SUM(Q192+Q196+Q198+Q199+Q206+Q207+Q208+Q211+Q229+Q232+Q233+Q234)</f>
        <v>27817.367</v>
      </c>
      <c r="R241" s="16">
        <f>SUM(R192,R196,R198,R199,R206,R207,R211,R208,R229,R232,R233,R234)</f>
        <v>27817.367</v>
      </c>
      <c r="S241" s="16">
        <f>SUM(S192+S196+S198+S199+S206+S207+S208+S211+S229+S232+S233+S234)</f>
        <v>27662.149</v>
      </c>
      <c r="T241" s="16">
        <f>SUM(T192+T196+T198+T199+T206+T207+T208+T211+T229+T232+T233+T234)</f>
        <v>27985.258</v>
      </c>
      <c r="U241" s="16">
        <f>SUM(U192+U196+U198+U199+U206+U207+U208+U211+U229+U232+U233+U234)</f>
        <v>27394.159</v>
      </c>
      <c r="V241" s="16">
        <f>SUM(V192+V196+V198+V199+V206+V207+V208+V211+V229+V232+V233+V234)</f>
        <v>28143.679</v>
      </c>
      <c r="W241" s="16">
        <f>SUM(W192,W196,W198,W199,W206,W207,W211,W208,W229,W232,W233,W234)</f>
        <v>28143.679</v>
      </c>
      <c r="X241" s="16">
        <f>SUM(X192+X196+X198+X199+X206+X207+X208+X211+X229+X232+X233+X234)</f>
        <v>27462.311</v>
      </c>
      <c r="Y241" s="16">
        <f>SUM(Y192+Y196+Y198+Y199+Y206+Y207+Y208+Y211+Y229+Y232+Y233+Y234)</f>
        <v>26986.202</v>
      </c>
      <c r="Z241" s="16">
        <f>SUM(Z192+Z196+Z198+Z199+Z206+Z207+Z208+Z211+Z229+Z232+Z233+Z234)</f>
        <v>29561.108</v>
      </c>
      <c r="AA241" s="16">
        <f>SUM(AA192+AA196+AA198+AA199+AA206+AA207+AA208+AA211+AA229+AA232+AA233+AA234)</f>
        <v>28886.807</v>
      </c>
      <c r="AB241" s="16">
        <f>SUM(AB192,AB196,AB198,AB199,AB206,AB207,AB211,AB208,AB229,AB232,AB233,AB234)</f>
        <v>28886.807</v>
      </c>
      <c r="AC241" s="16">
        <f>SUM(AC192+AC196+AC198+AC199+AC206+AC207+AC208+AC211+AC229+AC232+AC233+AC234)</f>
        <v>28059.571</v>
      </c>
      <c r="AD241" s="16">
        <f>SUM(AD192+AD196+AD198+AD199+AD206+AD207+AD208+AD211+AD229+AD232+AD233+AD234)</f>
        <v>28147.765</v>
      </c>
      <c r="AE241" s="16">
        <f>SUM(AE192+AE196+AE198+AE199+AE206+AE207+AE208+AE211+AE229+AE232+AE233+AE234)</f>
        <v>28980.8</v>
      </c>
      <c r="AF241" s="16">
        <f>SUM(AF192+AF196+AF198+AF199+AF206+AF207+AF208+AF211+AF229+AF232+AF233+AF234)</f>
        <v>28981.505</v>
      </c>
      <c r="AG241" s="16">
        <f>SUM(AG192,AG196,AG198,AG199,AG206,AG207,AG211,AG208,AG229,AG232,AG233,AG234)</f>
        <v>28981.505</v>
      </c>
      <c r="AH241" s="16">
        <f>SUM(AH192+AH196+AH198+AH199+AH206+AH207+AH208+AH211+AH229+AH232+AH233+AH234)</f>
        <v>29889.515</v>
      </c>
      <c r="AI241" s="16">
        <f>SUM(AI192+AI196+AI198+AI199+AI206+AI207+AI208+AI211+AI229+AI232+AI233+AI234)</f>
        <v>28298.389</v>
      </c>
      <c r="AJ241" s="16">
        <f>SUM(AJ192+AJ196+AJ198+AJ199+AJ206+AJ207+AJ208+AJ211+AJ229+AJ232+AJ233+AJ234)</f>
        <v>24311.227</v>
      </c>
      <c r="AK241" s="16">
        <f>SUM(AK192+AK196+AK198+AK199+AK206+AK207+AK208+AK211+AK229+AK232+AK233+AK234)</f>
        <v>24311.227</v>
      </c>
      <c r="AL241" s="16">
        <f>SUM(AL192,AL196,AL198,AL199,AL206,AL207,AL211,AL208,AL229,AL232,AL233,AL234)</f>
        <v>24311.227</v>
      </c>
      <c r="AM241" s="16" t="e">
        <f>SUM(AM192+AM196+AM198+AM199+AM206+AM207+AM208+AM211+AM229+AM232+AM233+AM234)</f>
        <v>#DIV/0!</v>
      </c>
      <c r="AN241" s="16">
        <f>SUM(AN192+AN196+AN198+AN199+AN206+AN207+AN208+AN211+AN229+AN232+AN233+AN234)</f>
        <v>24311.227</v>
      </c>
      <c r="AO241" s="16" t="e">
        <f>SUM(AO192+AO196+AO198+AO199+AO206+AO207+AO208+AO211+AO229+AO232+AO233+AO234)</f>
        <v>#DIV/0!</v>
      </c>
      <c r="AP241" s="16" t="e">
        <f>SUM(AP192+AP196+AP198+AP199+AP206+AP207+AP208+AP211+AP229+AP232+AP233+AP234)</f>
        <v>#DIV/0!</v>
      </c>
      <c r="AQ241" s="16" t="e">
        <f>SUM(AQ192,AQ196,AQ198,AQ199,AQ206,AQ207,AQ211,AQ208,AQ229,AQ232,AQ233,AQ234)</f>
        <v>#DIV/0!</v>
      </c>
      <c r="AR241" s="16" t="e">
        <f>SUM(AR192+AR196+AR198+AR199+AR206+AR207+AR208+AR211+AR229+AR232+AR233+AR234)</f>
        <v>#DIV/0!</v>
      </c>
      <c r="AS241" s="16" t="e">
        <f>SUM(AS192+AS196+AS198+AS199+AS206+AS207+AS208+AS211+AS229+AS232+AS233+AS234)</f>
        <v>#DIV/0!</v>
      </c>
      <c r="AT241" s="16" t="e">
        <f>SUM(AT192+AT196+AT198+AT199+AT206+AT207+AT208+AT211+AT229+AT232+AT233+AT234)</f>
        <v>#DIV/0!</v>
      </c>
      <c r="AU241" s="16" t="e">
        <f>SUM(AU192+AU196+AU198+AU199+AU206+AU207+AU208+AU211+AU229+AU232+AU233+AU234)</f>
        <v>#DIV/0!</v>
      </c>
      <c r="AV241" s="16" t="e">
        <f>SUM(AV192,AV196,AV198,AV199,AV206,AV207,AV211,AV208,AV229,AV232,AV233,AV234)</f>
        <v>#DIV/0!</v>
      </c>
      <c r="AW241" s="16" t="e">
        <f>SUM(AW192+AW196+AW198+AW199+AW206+AW207+AW208+AW211+AW229+AW232+AW233+AW234)</f>
        <v>#DIV/0!</v>
      </c>
      <c r="AX241" s="16" t="e">
        <f>SUM(AX192+AX196+AX198+AX199+AX206+AX207+AX208+AX211+AX229+AX232+AX233+AX234)</f>
        <v>#DIV/0!</v>
      </c>
      <c r="AY241" s="16" t="e">
        <f>SUM(AY192+AY196+AY198+AY199+AY206+AY207+AY208+AY211+AY229+AY232+AY233+AY234)</f>
        <v>#DIV/0!</v>
      </c>
      <c r="AZ241" s="16" t="e">
        <f>SUM(AZ192+AZ196+AZ198+AZ199+AZ206+AZ207+AZ208+AZ211+AZ229+AZ232+AZ233+AZ234)</f>
        <v>#DIV/0!</v>
      </c>
      <c r="BA241" s="16" t="e">
        <f>SUM(BA192,BA196,BA198,BA199,BA206,BA207,BA211,BA208,BA229,BA232,BA233,BA234)</f>
        <v>#DIV/0!</v>
      </c>
      <c r="BB241" s="16" t="e">
        <f>SUM(BB192+BB196+BB198+BB199+BB206+BB207+BB208+BB211+BB229+BB232+BB233+BB234)</f>
        <v>#DIV/0!</v>
      </c>
      <c r="BC241" s="16" t="e">
        <f>SUM(BC192+BC196+BC198+BC199+BC206+BC207+BC208+BC211+BC229+BC232+BC233+BC234)</f>
        <v>#DIV/0!</v>
      </c>
      <c r="BD241" s="16" t="e">
        <f>SUM(BD192+BD196+BD198+BD199+BD206+BD207+BD208+BD211+BD229+BD232+BD233+BD234)</f>
        <v>#DIV/0!</v>
      </c>
      <c r="BE241" s="16" t="e">
        <f>SUM(BE192+BE196+BE198+BE199+BE206+BE207+BE208+BE211+BE229+BE232+BE233+BE234)</f>
        <v>#DIV/0!</v>
      </c>
      <c r="BF241" s="16" t="e">
        <f>SUM(BF192,BF196,BF198,BF199,BF206,BF207,BF211,BF208,BF229,BF232,BF233,BF234)</f>
        <v>#DIV/0!</v>
      </c>
      <c r="BG241" s="16" t="e">
        <f>SUM(BG192+BG196+BG198+BG199+BG206+BG207+BG208+BG211+BG229+BG232+BG233+BG234)</f>
        <v>#DIV/0!</v>
      </c>
      <c r="BH241" s="16" t="e">
        <f>SUM(BH192+BH196+BH198+BH199+BH206+BH207+BH208+BH211+BH229+BH232+BH233+BH234)</f>
        <v>#DIV/0!</v>
      </c>
      <c r="BI241" s="16" t="e">
        <f>SUM(BI192+BI196+BI198+BI199+BI206+BI207+BI208+BI211+BI229+BI232+BI233+BI234)</f>
        <v>#DIV/0!</v>
      </c>
      <c r="BJ241" s="16" t="e">
        <f>SUM(BJ192+BJ196+BJ198+BJ199+BJ206+BJ207+BJ208+BJ211+BJ229+BJ232+BJ233+BJ234)</f>
        <v>#DIV/0!</v>
      </c>
      <c r="BK241" s="16" t="e">
        <f>SUM(BK192,BK196,BK198,BK199,BK206,BK207,BK211,BK208,BK229,BK232,BK233,BK234)</f>
        <v>#DIV/0!</v>
      </c>
      <c r="BL241" s="16" t="e">
        <f>SUM(BL192+BL196+BL198+BL199+BL206+BL207+BL208+BL211+BL229+BL232+BL233+BL234)</f>
        <v>#DIV/0!</v>
      </c>
      <c r="BM241" s="16" t="e">
        <f>SUM(BM192+BM196+BM198+BM199+BM206+BM207+BM208+BM211+BM229+BM232+BM233+BM234)</f>
        <v>#DIV/0!</v>
      </c>
      <c r="BN241" s="16" t="e">
        <f>SUM(BN192+BN196+BN198+BN199+BN206+BN207+BN208+BN211+BN229+BN232+BN233+BN234)</f>
        <v>#DIV/0!</v>
      </c>
      <c r="BO241" s="16" t="e">
        <f>SUM(BO192+BO196+BO198+BO199+BO206+BO207+BO208+BO211+BO229+BO232+BO233+BO234)</f>
        <v>#DIV/0!</v>
      </c>
      <c r="BP241" s="16" t="e">
        <f>SUM(BP192,BP196,BP198,BP199,BP206,BP207,BP211,BP208,BP229,BP232,BP233,BP234)</f>
        <v>#DIV/0!</v>
      </c>
      <c r="BQ241" s="16" t="e">
        <f>SUM(BQ192+BQ196+BQ198+BQ199+BQ206+BQ207+BQ208+BQ211+BQ229+BQ232+BQ233+BQ234)</f>
        <v>#DIV/0!</v>
      </c>
      <c r="BR241" s="16" t="e">
        <f>SUM(BR192+BR196+BR198+BR199+BR206+BR207+BR208+BR211+BR229+BR232+BR233+BR234)</f>
        <v>#DIV/0!</v>
      </c>
      <c r="BS241" s="16" t="e">
        <f>SUM(BS192+BS196+BS198+BS199+BS206+BS207+BS208+BS211+BS229+BS232+BS233+BS234)</f>
        <v>#DIV/0!</v>
      </c>
      <c r="BT241" s="16" t="e">
        <f>SUM(BT192+BT196+BT198+BT199+BT206+BT207+BT208+BT211+BT229+BT232+BT233+BT234)</f>
        <v>#DIV/0!</v>
      </c>
      <c r="BU241" s="16" t="e">
        <f>SUM(BU192,BU196,BU198,BU199,BU206,BU207,BU211,BU208,BU229,BU232,BU233,BU234)</f>
        <v>#DIV/0!</v>
      </c>
      <c r="BV241" s="16" t="e">
        <f>SUM(BV192+BV196+BV198+BV199+BV206+BV207+BV208+BV211+BV229+BV232+BV233+BV234)</f>
        <v>#DIV/0!</v>
      </c>
      <c r="BW241" s="16" t="e">
        <f>SUM(BW192+BW196+BW198+BW199+BW206+BW207+BW208+BW211+BW229+BW232+BW233+BW234)</f>
        <v>#DIV/0!</v>
      </c>
      <c r="BX241" s="16" t="e">
        <f>SUM(BX192+BX196+BX198+BX199+BX206+BX207+BX208+BX211+BX229+BX232+BX233+BX234)</f>
        <v>#DIV/0!</v>
      </c>
      <c r="BY241" s="16" t="e">
        <f>SUM(BY192+BY196+BY198+BY199+BY206+BY207+BY208+BY211+BY229+BY232+BY233+BY234)</f>
        <v>#DIV/0!</v>
      </c>
      <c r="BZ241" s="16" t="e">
        <f>SUM(BZ192,BZ196,BZ198,BZ199,BZ206,BZ207,BZ211,BZ208,BZ229,BZ232,BZ233,BZ234)</f>
        <v>#DIV/0!</v>
      </c>
      <c r="CA241" s="16" t="e">
        <f>SUM(CA192+CA196+CA198+CA199+CA206+CA207+CA208+CA211+CA229+CA232+CA233+CA234)</f>
        <v>#DIV/0!</v>
      </c>
      <c r="CB241" s="16" t="e">
        <f>SUM(CB192+CB196+CB198+CB199+CB206+CB207+CB208+CB211+CB229+CB232+CB233+CB234)</f>
        <v>#DIV/0!</v>
      </c>
      <c r="CC241" s="16" t="e">
        <f>SUM(CC192+CC196+CC198+CC199+CC206+CC207+CC208+CC211+CC229+CC232+CC233+CC234)</f>
        <v>#DIV/0!</v>
      </c>
      <c r="CD241" s="16" t="e">
        <f>SUM(CD192+CD196+CD198+CD199+CD206+CD207+CD208+CD211+CD229+CD232+CD233+CD234)</f>
        <v>#DIV/0!</v>
      </c>
      <c r="CE241" s="16" t="e">
        <f>SUM(CE192,CE196,CE198,CE199,CE206,CE207,CE211,CE208,CE229,CE232,CE233,CE234)</f>
        <v>#DIV/0!</v>
      </c>
      <c r="CF241" s="16" t="e">
        <f>SUM(CF192+CF196+CF198+CF199+CF206+CF207+CF208+CF211+CF229+CF232+CF233+CF234)</f>
        <v>#DIV/0!</v>
      </c>
      <c r="CG241" s="16" t="e">
        <f>SUM(CG192+CG196+CG198+CG199+CG206+CG207+CG208+CG211+CG229+CG232+CG233+CG234)</f>
        <v>#DIV/0!</v>
      </c>
      <c r="CH241" s="16" t="e">
        <f>SUM(CH192+CH196+CH198+CH199+CH206+CH207+CH208+CH211+CH229+CH232+CH233+CH234)</f>
        <v>#DIV/0!</v>
      </c>
      <c r="CI241" s="16" t="e">
        <f>SUM(CI192+CI196+CI198+CI199+CI206+CI207+CI208+CI211+CI229+CI232+CI233+CI234)</f>
        <v>#DIV/0!</v>
      </c>
      <c r="CJ241" s="16" t="e">
        <f>SUM(CJ192,CJ196,CJ198,CJ199,CJ206,CJ207,CJ211,CJ208,CJ229,CJ232,CJ233,CJ234)</f>
        <v>#DIV/0!</v>
      </c>
      <c r="CK241" s="16" t="e">
        <f>SUM(CK192+CK196+CK198+CK199+CK206+CK207+CK208+CK211+CK229+CK232+CK233+CK234)</f>
        <v>#DIV/0!</v>
      </c>
      <c r="CL241" s="16" t="e">
        <f>SUM(CL192+CL196+CL198+CL199+CL206+CL207+CL208+CL211+CL229+CL232+CL233+CL234)</f>
        <v>#DIV/0!</v>
      </c>
      <c r="CM241" s="16" t="e">
        <f>SUM(CM192+CM196+CM198+CM199+CM206+CM207+CM208+CM211+CM229+CM232+CM233+CM234)</f>
        <v>#DIV/0!</v>
      </c>
      <c r="CN241" s="16" t="e">
        <f>SUM(CN192+CN196+CN198+CN199+CN206+CN207+CN208+CN211+CN229+CN232+CN233+CN234)</f>
        <v>#DIV/0!</v>
      </c>
      <c r="CO241" s="16" t="e">
        <f>SUM(CO192,CO196,CO198,CO199,CO206,CO207,CO211,CO208,CO229,CO232,CO233,CO234)</f>
        <v>#DIV/0!</v>
      </c>
      <c r="CP241" s="16" t="e">
        <f>SUM(CP192+CP196+CP198+CP199+CP206+CP207+CP208+CP211+CP229+CP232+CP233+CP234)</f>
        <v>#DIV/0!</v>
      </c>
      <c r="CQ241" s="16" t="e">
        <f>SUM(CQ192+CQ196+CQ198+CQ199+CQ206+CQ207+CQ208+CQ211+CQ229+CQ232+CQ233+CQ234)</f>
        <v>#DIV/0!</v>
      </c>
      <c r="CR241" s="16" t="e">
        <f>SUM(CR192+CR196+CR198+CR199+CR206+CR207+CR208+CR211+CR229+CR232+CR233+CR234)</f>
        <v>#DIV/0!</v>
      </c>
      <c r="CS241" s="16" t="e">
        <f>SUM(CS192+CS196+CS198+CS199+CS206+CS207+CS208+CS211+CS229+CS232+CS233+CS234)</f>
        <v>#DIV/0!</v>
      </c>
      <c r="CT241" s="16" t="e">
        <f>SUM(CT192,CT196,CT198,CT199,CT206,CT207,CT211,CT208,CT229,CT232,CT233,CT234)</f>
        <v>#DIV/0!</v>
      </c>
      <c r="CU241" s="16" t="e">
        <f>SUM(CU192+CU196+CU198+CU199+CU206+CU207+CU208+CU211+CU229+CU232+CU233+CU234)</f>
        <v>#DIV/0!</v>
      </c>
      <c r="CV241" s="16" t="e">
        <f>SUM(CV192+CV196+CV198+CV199+CV206+CV207+CV208+CV211+CV229+CV232+CV233+CV234)</f>
        <v>#DIV/0!</v>
      </c>
      <c r="CW241" s="16" t="e">
        <f>SUM(CW192+CW196+CW198+CW199+CW206+CW207+CW208+CW211+CW229+CW232+CW233+CW234)</f>
        <v>#DIV/0!</v>
      </c>
      <c r="CX241" s="16" t="e">
        <f>SUM(CX192+CX196+CX198+CX199+CX206+CX207+CX208+CX211+CX229+CX232+CX233+CX234)</f>
        <v>#DIV/0!</v>
      </c>
      <c r="CY241" s="16" t="e">
        <f>SUM(CY192,CY196,CY198,CY199,CY206,CY207,CY211,CY208,CY229,CY232,CY233,CY234)</f>
        <v>#DIV/0!</v>
      </c>
    </row>
    <row r="242">
      <c r="C242" s="26" t="inlineStr">
        <is>
          <t>Minority interest</t>
        </is>
      </c>
      <c r="D242" s="25">
        <f>INDEX('Inputs (2)'!$D$41:$AL$41,MATCH(D$7,'Inputs (2)'!$D$2:$AL$2,0))</f>
        <v>0</v>
      </c>
      <c r="E242" s="25">
        <f>INDEX('Inputs (2)'!$D$41:$AL$41,MATCH(E$7,'Inputs (2)'!$D$2:$AL$2,0))</f>
        <v>0</v>
      </c>
      <c r="F242" s="25">
        <f>INDEX('Inputs (2)'!$D$41:$AL$41,MATCH(F$7,'Inputs (2)'!$D$2:$AL$2,0))</f>
        <v>0</v>
      </c>
      <c r="G242" s="25">
        <f>INDEX('Inputs (2)'!$D$41:$AL$41,MATCH(G$7,'Inputs (2)'!$D$2:$AL$2,0))</f>
        <v>0</v>
      </c>
      <c r="H242" s="3">
        <f>G242</f>
        <v>0</v>
      </c>
      <c r="I242" s="25">
        <f>INDEX('Inputs (2)'!$D$41:$AL$41,MATCH(I$7,'Inputs (2)'!$D$2:$AL$2,0))</f>
        <v>0</v>
      </c>
      <c r="J242" s="25">
        <f>INDEX('Inputs (2)'!$D$41:$AL$41,MATCH(J$7,'Inputs (2)'!$D$2:$AL$2,0))</f>
        <v>0</v>
      </c>
      <c r="K242" s="25">
        <f>INDEX('Inputs (2)'!$D$41:$AL$41,MATCH(K$7,'Inputs (2)'!$D$2:$AL$2,0))</f>
        <v>0</v>
      </c>
      <c r="L242" s="25">
        <f>INDEX('Inputs (2)'!$D$41:$AL$41,MATCH(L$7,'Inputs (2)'!$D$2:$AL$2,0))</f>
        <v>0</v>
      </c>
      <c r="M242" s="3">
        <f>L242</f>
        <v>0</v>
      </c>
      <c r="N242" s="25">
        <f>INDEX('Inputs (2)'!$D$41:$AL$41,MATCH(N$7,'Inputs (2)'!$D$2:$AL$2,0))</f>
        <v>0</v>
      </c>
      <c r="O242" s="25">
        <f>INDEX('Inputs (2)'!$D$41:$AL$41,MATCH(O$7,'Inputs (2)'!$D$2:$AL$2,0))</f>
        <v>0</v>
      </c>
      <c r="P242" s="25">
        <f>INDEX('Inputs (2)'!$D$41:$AL$41,MATCH(P$7,'Inputs (2)'!$D$2:$AL$2,0))</f>
        <v>0</v>
      </c>
      <c r="Q242" s="25">
        <f>INDEX('Inputs (2)'!$D$41:$AL$41,MATCH(Q$7,'Inputs (2)'!$D$2:$AL$2,0))</f>
        <v>0</v>
      </c>
      <c r="R242" s="3">
        <f>Q242</f>
        <v>0</v>
      </c>
      <c r="S242" s="25">
        <f>INDEX('Inputs (2)'!$D$41:$AL$41,MATCH(S$7,'Inputs (2)'!$D$2:$AL$2,0))</f>
        <v>0</v>
      </c>
      <c r="T242" s="25">
        <f>INDEX('Inputs (2)'!$D$41:$AL$41,MATCH(T$7,'Inputs (2)'!$D$2:$AL$2,0))</f>
        <v>0</v>
      </c>
      <c r="U242" s="25">
        <f>INDEX('Inputs (2)'!$D$41:$AL$41,MATCH(U$7,'Inputs (2)'!$D$2:$AL$2,0))</f>
        <v>0</v>
      </c>
      <c r="V242" s="25">
        <f>INDEX('Inputs (2)'!$D$41:$AL$41,MATCH(V$7,'Inputs (2)'!$D$2:$AL$2,0))</f>
        <v>0</v>
      </c>
      <c r="W242" s="3">
        <f>V242</f>
        <v>0</v>
      </c>
      <c r="X242" s="25">
        <f>INDEX('Inputs (2)'!$D$41:$AL$41,MATCH(X$7,'Inputs (2)'!$D$2:$AL$2,0))</f>
        <v>0</v>
      </c>
      <c r="Y242" s="25">
        <f>INDEX('Inputs (2)'!$D$41:$AL$41,MATCH(Y$7,'Inputs (2)'!$D$2:$AL$2,0))</f>
        <v>0</v>
      </c>
      <c r="Z242" s="25">
        <f>INDEX('Inputs (2)'!$D$41:$AL$41,MATCH(Z$7,'Inputs (2)'!$D$2:$AL$2,0))</f>
        <v>0</v>
      </c>
      <c r="AA242" s="25">
        <f>INDEX('Inputs (2)'!$D$41:$AL$41,MATCH(AA$7,'Inputs (2)'!$D$2:$AL$2,0))</f>
        <v>0</v>
      </c>
      <c r="AB242" s="3">
        <f>AA242</f>
        <v>0</v>
      </c>
      <c r="AC242" s="25">
        <f>INDEX('Inputs (2)'!$D$41:$AL$41,MATCH(AC$7,'Inputs (2)'!$D$2:$AL$2,0))</f>
        <v>0</v>
      </c>
      <c r="AD242" s="25">
        <f>INDEX('Inputs (2)'!$D$41:$AL$41,MATCH(AD$7,'Inputs (2)'!$D$2:$AL$2,0))</f>
        <v>0</v>
      </c>
      <c r="AE242" s="25">
        <f>INDEX('Inputs (2)'!$D$41:$AL$41,MATCH(AE$7,'Inputs (2)'!$D$2:$AL$2,0))</f>
        <v>0</v>
      </c>
      <c r="AF242" s="25">
        <f>INDEX('Inputs (2)'!$D$41:$AL$41,MATCH(AF$7,'Inputs (2)'!$D$2:$AL$2,0))</f>
        <v>0</v>
      </c>
      <c r="AG242" s="3">
        <f>AF242</f>
        <v>0</v>
      </c>
      <c r="AH242" s="3">
        <f>INDEX('Inputs (2)'!$D$41:$AL$41,MATCH(AH$7,'Inputs (2)'!$D$2:$AL$2,0))</f>
        <v>0</v>
      </c>
      <c r="AI242" s="3">
        <f>INDEX('Inputs (2)'!$D$41:$AL$41,MATCH(AI$7,'Inputs (2)'!$D$2:$AL$2,0))</f>
        <v>0</v>
      </c>
      <c r="AJ242" s="3">
        <f>AI242-AJ130+AJ245</f>
        <v>0</v>
      </c>
      <c r="AK242" s="3">
        <f>AJ242-AK130+AK245</f>
        <v>0</v>
      </c>
      <c r="AL242" s="3">
        <f>AK242</f>
        <v>0</v>
      </c>
      <c r="AM242" s="3">
        <f>AL242-AM130+AM245</f>
        <v>0</v>
      </c>
      <c r="AN242" s="3">
        <f>AM242-AN130+AN245</f>
        <v>0</v>
      </c>
      <c r="AO242" s="3">
        <f>AN242-AO130+AO245</f>
        <v>0</v>
      </c>
      <c r="AP242" s="3">
        <f>AO242-AP130+AP245</f>
        <v>0</v>
      </c>
      <c r="AQ242" s="3">
        <f>AP242</f>
        <v>0</v>
      </c>
      <c r="AR242" s="3">
        <f>AQ242-AR130+AR245</f>
        <v>0</v>
      </c>
      <c r="AS242" s="3">
        <f>AR242-AS130+AS245</f>
        <v>0</v>
      </c>
      <c r="AT242" s="3">
        <f>AS242-AT130+AT245</f>
        <v>0</v>
      </c>
      <c r="AU242" s="3">
        <f>AT242-AU130+AU245</f>
        <v>0</v>
      </c>
      <c r="AV242" s="3">
        <f>AU242</f>
        <v>0</v>
      </c>
      <c r="AW242" s="3">
        <f>AV242-AW130+AW245</f>
        <v>0</v>
      </c>
      <c r="AX242" s="3">
        <f>AW242-AX130+AX245</f>
        <v>0</v>
      </c>
      <c r="AY242" s="3">
        <f>AX242-AY130+AY245</f>
        <v>0</v>
      </c>
      <c r="AZ242" s="3">
        <f>AY242-AZ130+AZ245</f>
        <v>0</v>
      </c>
      <c r="BA242" s="3">
        <f>AZ242</f>
        <v>0</v>
      </c>
      <c r="BB242" s="3">
        <f>BA242-BB130+BB245</f>
        <v>0</v>
      </c>
      <c r="BC242" s="3">
        <f>BB242-BC130+BC245</f>
        <v>0</v>
      </c>
      <c r="BD242" s="3">
        <f>BC242-BD130+BD245</f>
        <v>0</v>
      </c>
      <c r="BE242" s="3">
        <f>BD242-BE130+BE245</f>
        <v>0</v>
      </c>
      <c r="BF242" s="3">
        <f>BE242</f>
        <v>0</v>
      </c>
      <c r="BG242" s="3">
        <f>BF242-BG130+BG245</f>
        <v>0</v>
      </c>
      <c r="BH242" s="3">
        <f>BG242-BH130+BH245</f>
        <v>0</v>
      </c>
      <c r="BI242" s="3">
        <f>BH242-BI130+BI245</f>
        <v>0</v>
      </c>
      <c r="BJ242" s="3">
        <f>BI242-BJ130+BJ245</f>
        <v>0</v>
      </c>
      <c r="BK242" s="3">
        <f>BJ242</f>
        <v>0</v>
      </c>
      <c r="BL242" s="3">
        <f>BK242-BL130+BL245</f>
        <v>0</v>
      </c>
      <c r="BM242" s="3">
        <f>BL242-BM130+BM245</f>
        <v>0</v>
      </c>
      <c r="BN242" s="3">
        <f>BM242-BN130+BN245</f>
        <v>0</v>
      </c>
      <c r="BO242" s="3">
        <f>BN242-BO130+BO245</f>
        <v>0</v>
      </c>
      <c r="BP242" s="3">
        <f>BO242</f>
        <v>0</v>
      </c>
      <c r="BQ242" s="3">
        <f>BP242-BQ130+BQ245</f>
        <v>0</v>
      </c>
      <c r="BR242" s="3">
        <f>BQ242-BR130+BR245</f>
        <v>0</v>
      </c>
      <c r="BS242" s="3">
        <f>BR242-BS130+BS245</f>
        <v>0</v>
      </c>
      <c r="BT242" s="3">
        <f>BS242-BT130+BT245</f>
        <v>0</v>
      </c>
      <c r="BU242" s="3">
        <f>BT242</f>
        <v>0</v>
      </c>
      <c r="BV242" s="3">
        <f>BU242-BV130+BV245</f>
        <v>0</v>
      </c>
      <c r="BW242" s="3">
        <f>BV242-BW130+BW245</f>
        <v>0</v>
      </c>
      <c r="BX242" s="3">
        <f>BW242-BX130+BX245</f>
        <v>0</v>
      </c>
      <c r="BY242" s="3">
        <f>BX242-BY130+BY245</f>
        <v>0</v>
      </c>
      <c r="BZ242" s="3">
        <f>BY242</f>
        <v>0</v>
      </c>
      <c r="CA242" s="3">
        <f>BZ242-CA130+CA245</f>
        <v>0</v>
      </c>
      <c r="CB242" s="3">
        <f>CA242-CB130+CB245</f>
        <v>0</v>
      </c>
      <c r="CC242" s="3">
        <f>CB242-CC130+CC245</f>
        <v>0</v>
      </c>
      <c r="CD242" s="3">
        <f>CC242-CD130+CD245</f>
        <v>0</v>
      </c>
      <c r="CE242" s="3">
        <f>CD242</f>
        <v>0</v>
      </c>
      <c r="CF242" s="3">
        <f>CE242-CF130+CF245</f>
        <v>0</v>
      </c>
      <c r="CG242" s="3">
        <f>CF242-CG130+CG245</f>
        <v>0</v>
      </c>
      <c r="CH242" s="3">
        <f>CG242-CH130+CH245</f>
        <v>0</v>
      </c>
      <c r="CI242" s="3">
        <f>CH242-CI130+CI245</f>
        <v>0</v>
      </c>
      <c r="CJ242" s="3">
        <f>CI242</f>
        <v>0</v>
      </c>
      <c r="CK242" s="3">
        <f>CJ242-CK130+CK245</f>
        <v>0</v>
      </c>
      <c r="CL242" s="3">
        <f>CK242-CL130+CL245</f>
        <v>0</v>
      </c>
      <c r="CM242" s="3">
        <f>CL242-CM130+CM245</f>
        <v>0</v>
      </c>
      <c r="CN242" s="3">
        <f>CM242-CN130+CN245</f>
        <v>0</v>
      </c>
      <c r="CO242" s="3">
        <f>CN242</f>
        <v>0</v>
      </c>
      <c r="CP242" s="3">
        <f>CO242-CP130+CP245</f>
        <v>0</v>
      </c>
      <c r="CQ242" s="3">
        <f>CP242-CQ130+CQ245</f>
        <v>0</v>
      </c>
      <c r="CR242" s="3">
        <f>CQ242-CR130+CR245</f>
        <v>0</v>
      </c>
      <c r="CS242" s="3">
        <f>CR242-CS130+CS245</f>
        <v>0</v>
      </c>
      <c r="CT242" s="3">
        <f>CS242</f>
        <v>0</v>
      </c>
      <c r="CU242" s="3">
        <f>CT242-CU130+CU245</f>
        <v>0</v>
      </c>
      <c r="CV242" s="3">
        <f>CU242-CV130+CV245</f>
        <v>0</v>
      </c>
      <c r="CW242" s="3">
        <f>CV242-CW130+CW245</f>
        <v>0</v>
      </c>
      <c r="CX242" s="3">
        <f>CW242-CX130+CX245</f>
        <v>0</v>
      </c>
      <c r="CY242" s="3">
        <f>CX242</f>
        <v>0</v>
      </c>
    </row>
    <row r="243" hidden="1" outlineLevel="1" customFormat="1" s="39">
      <c r="A243" s="19" t="n"/>
      <c r="B243" s="19" t="n"/>
      <c r="C243" s="38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</row>
    <row r="244" hidden="1" outlineLevel="1" customFormat="1" s="39">
      <c r="A244" s="19" t="n"/>
      <c r="B244" s="19" t="n"/>
      <c r="C244" s="34" t="inlineStr">
        <is>
          <t>Minority Interest Expense - % YoY</t>
        </is>
      </c>
      <c r="D244" s="22" t="n"/>
      <c r="E244" s="40">
        <f>IF(D129=0,0,E129/D129-1)</f>
        <v>0</v>
      </c>
      <c r="F244" s="22" t="n"/>
      <c r="G244" s="22" t="n"/>
      <c r="H244" s="40" t="n"/>
      <c r="I244" s="22" t="n"/>
      <c r="J244" s="40">
        <f>IF(I129=0,0,J129/I129-1)</f>
        <v>0</v>
      </c>
      <c r="K244" s="22" t="n"/>
      <c r="L244" s="22" t="n"/>
      <c r="M244" s="40" t="n"/>
      <c r="N244" s="40">
        <f>IF(I129=0,0,N129/I129-1)</f>
        <v>0</v>
      </c>
      <c r="O244" s="40">
        <f>IF(J129=0,0,O129/J129-1)</f>
        <v>0</v>
      </c>
      <c r="P244" s="40">
        <f>IF(K129=0,0,P129/K129-1)</f>
        <v>0</v>
      </c>
      <c r="Q244" s="40">
        <f>IF(L129=0,0,Q129/L129-1)</f>
        <v>0</v>
      </c>
      <c r="R244" s="40" t="n"/>
      <c r="S244" s="40">
        <f>IF(N129=0,0,S129/N129-1)</f>
        <v>0</v>
      </c>
      <c r="T244" s="40">
        <f>IF(O129=0,0,T129/O129-1)</f>
        <v>0</v>
      </c>
      <c r="U244" s="40">
        <f>IF(P129=0,0,U129/P129-1)</f>
        <v>0</v>
      </c>
      <c r="V244" s="40">
        <f>IF(Q129=0,0,V129/Q129-1)</f>
        <v>0</v>
      </c>
      <c r="W244" s="40">
        <f>IF(R130=0,0,W130/R130-1)</f>
        <v>0</v>
      </c>
      <c r="X244" s="40">
        <f>IF(S129=0,0,X129/S129-1)</f>
        <v>0</v>
      </c>
      <c r="Y244" s="40">
        <f>IF(T129=0,0,Y129/T129-1)</f>
        <v>0</v>
      </c>
      <c r="Z244" s="40">
        <f>IF(U129=0,0,Z129/U129-1)</f>
        <v>0</v>
      </c>
      <c r="AA244" s="40">
        <f>IF(V129=0,0,AA129/V129-1)</f>
        <v>0</v>
      </c>
      <c r="AB244" s="40">
        <f>IF(W130=0,0,AB130/W130-1)</f>
        <v>0</v>
      </c>
      <c r="AC244" s="40">
        <f>IF(X129=0,0,AC129/X129-1)</f>
        <v>0</v>
      </c>
      <c r="AD244" s="40">
        <f>IF(Y129=0,0,AD129/Y129-1)</f>
        <v>0</v>
      </c>
      <c r="AE244" s="40">
        <f>IF(Z129=0,0,AE129/Z129-1)</f>
        <v>0</v>
      </c>
      <c r="AF244" s="40">
        <f>IF(AA129=0,0,AF129/AA129-1)</f>
        <v>0</v>
      </c>
      <c r="AG244" s="40">
        <f>IF(AB130=0,0,AG130/AB130-1)</f>
        <v>0</v>
      </c>
      <c r="AH244" s="35">
        <f>IF(AC129=0,0,AH129/AC129-1)</f>
        <v>0</v>
      </c>
      <c r="AI244" s="35">
        <f>IF(AD129=0,0,AI129/AD129-1)</f>
        <v>0</v>
      </c>
      <c r="AJ244" s="35" t="n"/>
      <c r="AK244" s="35" t="n"/>
      <c r="AL244" s="40">
        <f>IF(AG130=0,0,AL130/AG130-1)</f>
        <v>0</v>
      </c>
      <c r="AM244" s="35" t="n"/>
      <c r="AN244" s="35" t="n"/>
      <c r="AO244" s="35" t="n"/>
      <c r="AP244" s="35" t="n"/>
      <c r="AQ244" s="40">
        <f>IF(AL130=0,0,AQ130/AL130-1)</f>
        <v>0</v>
      </c>
      <c r="AR244" s="35" t="n"/>
      <c r="AS244" s="35" t="n"/>
      <c r="AT244" s="35" t="n"/>
      <c r="AU244" s="35" t="n"/>
      <c r="AV244" s="40">
        <f>IF(AQ130=0,0,AV130/AQ130-1)</f>
        <v>0</v>
      </c>
      <c r="AW244" s="35" t="n"/>
      <c r="AX244" s="35" t="n"/>
      <c r="AY244" s="35" t="n"/>
      <c r="AZ244" s="35" t="n"/>
      <c r="BA244" s="40">
        <f>IF(AV130=0,0,BA130/AV130-1)</f>
        <v>0</v>
      </c>
      <c r="BB244" s="35" t="n"/>
      <c r="BC244" s="35" t="n"/>
      <c r="BD244" s="35" t="n"/>
      <c r="BE244" s="35" t="n"/>
      <c r="BF244" s="40">
        <f>IF(BA130=0,0,BF130/BA130-1)</f>
        <v>0</v>
      </c>
      <c r="BG244" s="35" t="n"/>
      <c r="BH244" s="35" t="n"/>
      <c r="BI244" s="35" t="n"/>
      <c r="BJ244" s="35" t="n"/>
      <c r="BK244" s="40">
        <f>IF(BF130=0,0,BK130/BF130-1)</f>
        <v>0</v>
      </c>
      <c r="BL244" s="35" t="n"/>
      <c r="BM244" s="35" t="n"/>
      <c r="BN244" s="35" t="n"/>
      <c r="BO244" s="35" t="n"/>
      <c r="BP244" s="40">
        <f>IF(BK130=0,0,BP130/BK130-1)</f>
        <v>0</v>
      </c>
      <c r="BQ244" s="35" t="n"/>
      <c r="BR244" s="35" t="n"/>
      <c r="BS244" s="35" t="n"/>
      <c r="BT244" s="35" t="n"/>
      <c r="BU244" s="40">
        <f>IF(BP130=0,0,BU130/BP130-1)</f>
        <v>0</v>
      </c>
      <c r="BV244" s="35" t="n"/>
      <c r="BW244" s="35" t="n"/>
      <c r="BX244" s="35" t="n"/>
      <c r="BY244" s="35" t="n"/>
      <c r="BZ244" s="40">
        <f>IF(BU130=0,0,BZ130/BU130-1)</f>
        <v>0</v>
      </c>
      <c r="CA244" s="35" t="n"/>
      <c r="CB244" s="35" t="n"/>
      <c r="CC244" s="35" t="n"/>
      <c r="CD244" s="35" t="n"/>
      <c r="CE244" s="40">
        <f>IF(BZ130=0,0,CE130/BZ130-1)</f>
        <v>0</v>
      </c>
      <c r="CF244" s="35" t="n"/>
      <c r="CG244" s="35" t="n"/>
      <c r="CH244" s="35" t="n"/>
      <c r="CI244" s="35" t="n"/>
      <c r="CJ244" s="40">
        <f>IF(CE130=0,0,CJ130/CE130-1)</f>
        <v>0</v>
      </c>
      <c r="CK244" s="35" t="n"/>
      <c r="CL244" s="35" t="n"/>
      <c r="CM244" s="35" t="n"/>
      <c r="CN244" s="35" t="n"/>
      <c r="CO244" s="40">
        <f>IF(CJ130=0,0,CO130/CJ130-1)</f>
        <v>0</v>
      </c>
      <c r="CP244" s="35" t="n"/>
      <c r="CQ244" s="35" t="n"/>
      <c r="CR244" s="35" t="n"/>
      <c r="CS244" s="35" t="n"/>
      <c r="CT244" s="40">
        <f>IF(CO130=0,0,CT130/CO130-1)</f>
        <v>0</v>
      </c>
      <c r="CU244" s="35" t="n"/>
      <c r="CV244" s="35" t="n"/>
      <c r="CW244" s="35" t="n"/>
      <c r="CX244" s="35" t="n"/>
      <c r="CY244" s="40">
        <f>IF(CT130=0,0,CY130/CT130-1)</f>
        <v>0</v>
      </c>
    </row>
    <row r="245" hidden="1" outlineLevel="1" customFormat="1" s="39">
      <c r="A245" s="19" t="n"/>
      <c r="B245" s="19" t="n"/>
      <c r="C245" s="34" t="inlineStr">
        <is>
          <t>Dividends (enter as -)</t>
        </is>
      </c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35" t="n"/>
      <c r="AI245" s="35" t="n"/>
      <c r="AJ245" s="35" t="n"/>
      <c r="AK245" s="35" t="n"/>
      <c r="AL245" s="22" t="n"/>
      <c r="AM245" s="35" t="n"/>
      <c r="AN245" s="35" t="n"/>
      <c r="AO245" s="35" t="n"/>
      <c r="AP245" s="35" t="n"/>
      <c r="AQ245" s="22" t="n"/>
      <c r="AR245" s="35" t="n"/>
      <c r="AS245" s="35" t="n"/>
      <c r="AT245" s="35" t="n"/>
      <c r="AU245" s="35" t="n"/>
      <c r="AV245" s="22" t="n"/>
      <c r="AW245" s="35" t="n"/>
      <c r="AX245" s="35" t="n"/>
      <c r="AY245" s="35" t="n"/>
      <c r="AZ245" s="35" t="n"/>
      <c r="BA245" s="22" t="n"/>
      <c r="BB245" s="35" t="n"/>
      <c r="BC245" s="35" t="n"/>
      <c r="BD245" s="35" t="n"/>
      <c r="BE245" s="35" t="n"/>
      <c r="BF245" s="22" t="n"/>
      <c r="BG245" s="35" t="n"/>
      <c r="BH245" s="35" t="n"/>
      <c r="BI245" s="35" t="n"/>
      <c r="BJ245" s="35" t="n"/>
      <c r="BK245" s="22" t="n"/>
      <c r="BL245" s="35" t="n"/>
      <c r="BM245" s="35" t="n"/>
      <c r="BN245" s="35" t="n"/>
      <c r="BO245" s="35" t="n"/>
      <c r="BP245" s="22" t="n"/>
      <c r="BQ245" s="35" t="n"/>
      <c r="BR245" s="35" t="n"/>
      <c r="BS245" s="35" t="n"/>
      <c r="BT245" s="35" t="n"/>
      <c r="BU245" s="22" t="n"/>
      <c r="BV245" s="35" t="n"/>
      <c r="BW245" s="35" t="n"/>
      <c r="BX245" s="35" t="n"/>
      <c r="BY245" s="35" t="n"/>
      <c r="BZ245" s="22" t="n"/>
      <c r="CA245" s="35" t="n"/>
      <c r="CB245" s="35" t="n"/>
      <c r="CC245" s="35" t="n"/>
      <c r="CD245" s="35" t="n"/>
      <c r="CE245" s="22" t="n"/>
      <c r="CF245" s="35" t="n"/>
      <c r="CG245" s="35" t="n"/>
      <c r="CH245" s="35" t="n"/>
      <c r="CI245" s="35" t="n"/>
      <c r="CJ245" s="22" t="n"/>
      <c r="CK245" s="35" t="n"/>
      <c r="CL245" s="35" t="n"/>
      <c r="CM245" s="35" t="n"/>
      <c r="CN245" s="35" t="n"/>
      <c r="CO245" s="22" t="n"/>
      <c r="CP245" s="35" t="n"/>
      <c r="CQ245" s="35" t="n"/>
      <c r="CR245" s="35" t="n"/>
      <c r="CS245" s="35" t="n"/>
      <c r="CT245" s="22" t="n"/>
      <c r="CU245" s="35" t="n"/>
      <c r="CV245" s="35" t="n"/>
      <c r="CW245" s="35" t="n"/>
      <c r="CX245" s="35" t="n"/>
      <c r="CY245" s="22" t="n"/>
    </row>
    <row r="246" hidden="1" outlineLevel="1" customFormat="1" s="39">
      <c r="A246" s="19" t="n"/>
      <c r="B246" s="19" t="n"/>
      <c r="C246" s="38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</row>
    <row r="247" collapsed="1">
      <c r="C247" s="26" t="inlineStr">
        <is>
          <t>Convertible Preferred Stock</t>
        </is>
      </c>
      <c r="D247" s="25" t="n"/>
      <c r="E247" s="25" t="n"/>
      <c r="F247" s="25" t="n"/>
      <c r="G247" s="25" t="n"/>
      <c r="H247" s="3">
        <f>G247</f>
        <v>0</v>
      </c>
      <c r="I247" s="25" t="n"/>
      <c r="J247" s="25" t="n"/>
      <c r="K247" s="25" t="n"/>
      <c r="L247" s="25" t="n"/>
      <c r="M247" s="3">
        <f>L247</f>
        <v>0</v>
      </c>
      <c r="N247" s="25" t="n"/>
      <c r="O247" s="25" t="n"/>
      <c r="P247" s="25" t="n"/>
      <c r="Q247" s="25" t="n"/>
      <c r="R247" s="3">
        <f>Q247</f>
        <v>0</v>
      </c>
      <c r="S247" s="25" t="n"/>
      <c r="T247" s="25" t="n"/>
      <c r="U247" s="25" t="n"/>
      <c r="V247" s="25" t="n"/>
      <c r="W247" s="3">
        <f>V247</f>
        <v>0</v>
      </c>
      <c r="X247" s="25" t="n"/>
      <c r="Y247" s="25" t="n"/>
      <c r="Z247" s="25" t="n"/>
      <c r="AA247" s="25" t="n"/>
      <c r="AB247" s="3">
        <f>AA247</f>
        <v>0</v>
      </c>
      <c r="AC247" s="25" t="n"/>
      <c r="AD247" s="25" t="n"/>
      <c r="AE247" s="25" t="n"/>
      <c r="AF247" s="25" t="n"/>
      <c r="AG247" s="3">
        <f>AF247</f>
        <v>0</v>
      </c>
      <c r="AH247" s="3">
        <f>AG247</f>
        <v>0</v>
      </c>
      <c r="AI247" s="3">
        <f>AH247</f>
        <v>0</v>
      </c>
      <c r="AJ247" s="3">
        <f>AI247</f>
        <v>0</v>
      </c>
      <c r="AK247" s="3">
        <f>AJ247</f>
        <v>0</v>
      </c>
      <c r="AL247" s="3">
        <f>AK247</f>
        <v>0</v>
      </c>
      <c r="AM247" s="3">
        <f>AL247</f>
        <v>0</v>
      </c>
      <c r="AN247" s="3">
        <f>AM247</f>
        <v>0</v>
      </c>
      <c r="AO247" s="3">
        <f>AN247</f>
        <v>0</v>
      </c>
      <c r="AP247" s="3">
        <f>AO247</f>
        <v>0</v>
      </c>
      <c r="AQ247" s="3">
        <f>AP247</f>
        <v>0</v>
      </c>
      <c r="AR247" s="3">
        <f>AQ247</f>
        <v>0</v>
      </c>
      <c r="AS247" s="3">
        <f>AR247</f>
        <v>0</v>
      </c>
      <c r="AT247" s="3">
        <f>AS247</f>
        <v>0</v>
      </c>
      <c r="AU247" s="3">
        <f>AT247</f>
        <v>0</v>
      </c>
      <c r="AV247" s="3">
        <f>AU247</f>
        <v>0</v>
      </c>
      <c r="AW247" s="3">
        <f>AV247</f>
        <v>0</v>
      </c>
      <c r="AX247" s="3">
        <f>AW247</f>
        <v>0</v>
      </c>
      <c r="AY247" s="3">
        <f>AX247</f>
        <v>0</v>
      </c>
      <c r="AZ247" s="3">
        <f>AY247</f>
        <v>0</v>
      </c>
      <c r="BA247" s="3">
        <f>AZ247</f>
        <v>0</v>
      </c>
      <c r="BB247" s="3">
        <f>BA247</f>
        <v>0</v>
      </c>
      <c r="BC247" s="3">
        <f>BB247</f>
        <v>0</v>
      </c>
      <c r="BD247" s="3">
        <f>BC247</f>
        <v>0</v>
      </c>
      <c r="BE247" s="3">
        <f>BD247</f>
        <v>0</v>
      </c>
      <c r="BF247" s="3">
        <f>BE247</f>
        <v>0</v>
      </c>
      <c r="BG247" s="3">
        <f>BF247</f>
        <v>0</v>
      </c>
      <c r="BH247" s="3">
        <f>BG247</f>
        <v>0</v>
      </c>
      <c r="BI247" s="3">
        <f>BH247</f>
        <v>0</v>
      </c>
      <c r="BJ247" s="3">
        <f>BI247</f>
        <v>0</v>
      </c>
      <c r="BK247" s="3">
        <f>BJ247</f>
        <v>0</v>
      </c>
      <c r="BL247" s="3">
        <f>BK247</f>
        <v>0</v>
      </c>
      <c r="BM247" s="3">
        <f>BL247</f>
        <v>0</v>
      </c>
      <c r="BN247" s="3">
        <f>BM247</f>
        <v>0</v>
      </c>
      <c r="BO247" s="3">
        <f>BN247</f>
        <v>0</v>
      </c>
      <c r="BP247" s="3">
        <f>BO247</f>
        <v>0</v>
      </c>
      <c r="BQ247" s="3">
        <f>BP247</f>
        <v>0</v>
      </c>
      <c r="BR247" s="3">
        <f>BQ247</f>
        <v>0</v>
      </c>
      <c r="BS247" s="3">
        <f>BR247</f>
        <v>0</v>
      </c>
      <c r="BT247" s="3">
        <f>BS247</f>
        <v>0</v>
      </c>
      <c r="BU247" s="3">
        <f>BT247</f>
        <v>0</v>
      </c>
      <c r="BV247" s="3">
        <f>BU247</f>
        <v>0</v>
      </c>
      <c r="BW247" s="3">
        <f>BV247</f>
        <v>0</v>
      </c>
      <c r="BX247" s="3">
        <f>BW247</f>
        <v>0</v>
      </c>
      <c r="BY247" s="3">
        <f>BX247</f>
        <v>0</v>
      </c>
      <c r="BZ247" s="3">
        <f>BY247</f>
        <v>0</v>
      </c>
      <c r="CA247" s="3">
        <f>BZ247</f>
        <v>0</v>
      </c>
      <c r="CB247" s="3">
        <f>CA247</f>
        <v>0</v>
      </c>
      <c r="CC247" s="3">
        <f>CB247</f>
        <v>0</v>
      </c>
      <c r="CD247" s="3">
        <f>CC247</f>
        <v>0</v>
      </c>
      <c r="CE247" s="3">
        <f>CD247</f>
        <v>0</v>
      </c>
      <c r="CF247" s="3">
        <f>CE247</f>
        <v>0</v>
      </c>
      <c r="CG247" s="3">
        <f>CF247</f>
        <v>0</v>
      </c>
      <c r="CH247" s="3">
        <f>CG247</f>
        <v>0</v>
      </c>
      <c r="CI247" s="3">
        <f>CH247</f>
        <v>0</v>
      </c>
      <c r="CJ247" s="3">
        <f>CI247</f>
        <v>0</v>
      </c>
      <c r="CK247" s="3">
        <f>CJ247</f>
        <v>0</v>
      </c>
      <c r="CL247" s="3">
        <f>CK247</f>
        <v>0</v>
      </c>
      <c r="CM247" s="3">
        <f>CL247</f>
        <v>0</v>
      </c>
      <c r="CN247" s="3">
        <f>CM247</f>
        <v>0</v>
      </c>
      <c r="CO247" s="3">
        <f>CN247</f>
        <v>0</v>
      </c>
      <c r="CP247" s="3">
        <f>CO247</f>
        <v>0</v>
      </c>
      <c r="CQ247" s="3">
        <f>CP247</f>
        <v>0</v>
      </c>
      <c r="CR247" s="3">
        <f>CQ247</f>
        <v>0</v>
      </c>
      <c r="CS247" s="3">
        <f>CR247</f>
        <v>0</v>
      </c>
      <c r="CT247" s="3">
        <f>CS247</f>
        <v>0</v>
      </c>
      <c r="CU247" s="3">
        <f>CT247</f>
        <v>0</v>
      </c>
      <c r="CV247" s="3">
        <f>CU247</f>
        <v>0</v>
      </c>
      <c r="CW247" s="3">
        <f>CV247</f>
        <v>0</v>
      </c>
      <c r="CX247" s="3">
        <f>CW247</f>
        <v>0</v>
      </c>
      <c r="CY247" s="3">
        <f>CX247</f>
        <v>0</v>
      </c>
    </row>
    <row r="248">
      <c r="C248" s="24" t="inlineStr">
        <is>
          <t>Common Stock and APIC</t>
        </is>
      </c>
      <c r="D248" s="25">
        <f>INDEX('Inputs (2)'!$D$43:$AL$43,MATCH(D$7,'Inputs (2)'!$D$2:$AL$2,0))</f>
        <v>2935.532</v>
      </c>
      <c r="E248" s="25">
        <f>INDEX('Inputs (2)'!$D$43:$AL$43,MATCH(E$7,'Inputs (2)'!$D$2:$AL$2,0))</f>
        <v>3127.813</v>
      </c>
      <c r="F248" s="25">
        <f>INDEX('Inputs (2)'!$D$43:$AL$43,MATCH(F$7,'Inputs (2)'!$D$2:$AL$2,0))</f>
        <v>3303.482</v>
      </c>
      <c r="G248" s="25">
        <f>INDEX('Inputs (2)'!$D$43:$AL$43,MATCH(G$7,'Inputs (2)'!$D$2:$AL$2,0))</f>
        <v>3447.698</v>
      </c>
      <c r="H248" s="3">
        <f>G248</f>
        <v>3447.698</v>
      </c>
      <c r="I248" s="25">
        <f>INDEX('Inputs (2)'!$D$43:$AL$43,MATCH(I$7,'Inputs (2)'!$D$2:$AL$2,0))</f>
        <v>3600.084</v>
      </c>
      <c r="J248" s="25">
        <f>INDEX('Inputs (2)'!$D$43:$AL$43,MATCH(J$7,'Inputs (2)'!$D$2:$AL$2,0))</f>
        <v>3721.246</v>
      </c>
      <c r="K248" s="25">
        <f>INDEX('Inputs (2)'!$D$43:$AL$43,MATCH(K$7,'Inputs (2)'!$D$2:$AL$2,0))</f>
        <v>3852.531</v>
      </c>
      <c r="L248" s="25">
        <f>INDEX('Inputs (2)'!$D$43:$AL$43,MATCH(L$7,'Inputs (2)'!$D$2:$AL$2,0))</f>
        <v>4024.561</v>
      </c>
      <c r="M248" s="3">
        <f>L248</f>
        <v>4024.561</v>
      </c>
      <c r="N248" s="25">
        <f>INDEX('Inputs (2)'!$D$43:$AL$43,MATCH(N$7,'Inputs (2)'!$D$2:$AL$2,0))</f>
        <v>4155.58</v>
      </c>
      <c r="O248" s="25">
        <f>INDEX('Inputs (2)'!$D$43:$AL$43,MATCH(O$7,'Inputs (2)'!$D$2:$AL$2,0))</f>
        <v>4316.87</v>
      </c>
      <c r="P248" s="25">
        <f>INDEX('Inputs (2)'!$D$43:$AL$43,MATCH(P$7,'Inputs (2)'!$D$2:$AL$2,0))</f>
        <v>4473.962</v>
      </c>
      <c r="Q248" s="25">
        <f>INDEX('Inputs (2)'!$D$43:$AL$43,MATCH(Q$7,'Inputs (2)'!$D$2:$AL$2,0))</f>
        <v>4637.601</v>
      </c>
      <c r="R248" s="3">
        <f>Q248</f>
        <v>4637.601</v>
      </c>
      <c r="S248" s="25">
        <f>INDEX('Inputs (2)'!$D$43:$AL$43,MATCH(S$7,'Inputs (2)'!$D$2:$AL$2,0))</f>
        <v>4762.395</v>
      </c>
      <c r="T248" s="25">
        <f>INDEX('Inputs (2)'!$D$43:$AL$43,MATCH(T$7,'Inputs (2)'!$D$2:$AL$2,0))</f>
        <v>4874.208</v>
      </c>
      <c r="U248" s="25">
        <f>INDEX('Inputs (2)'!$D$43:$AL$43,MATCH(U$7,'Inputs (2)'!$D$2:$AL$2,0))</f>
        <v>5011.427</v>
      </c>
      <c r="V248" s="25">
        <f>INDEX('Inputs (2)'!$D$43:$AL$43,MATCH(V$7,'Inputs (2)'!$D$2:$AL$2,0))</f>
        <v>5145.172</v>
      </c>
      <c r="W248" s="3">
        <f>V248</f>
        <v>5145.172</v>
      </c>
      <c r="X248" s="25">
        <f>INDEX('Inputs (2)'!$D$43:$AL$43,MATCH(X$7,'Inputs (2)'!$D$2:$AL$2,0))</f>
        <v>5489.85</v>
      </c>
      <c r="Y248" s="25">
        <f>INDEX('Inputs (2)'!$D$43:$AL$43,MATCH(Y$7,'Inputs (2)'!$D$2:$AL$2,0))</f>
        <v>5680.061</v>
      </c>
      <c r="Z248" s="25">
        <f>INDEX('Inputs (2)'!$D$43:$AL$43,MATCH(Z$7,'Inputs (2)'!$D$2:$AL$2,0))</f>
        <v>5887.903</v>
      </c>
      <c r="AA248" s="25">
        <f>INDEX('Inputs (2)'!$D$43:$AL$43,MATCH(AA$7,'Inputs (2)'!$D$2:$AL$2,0))</f>
        <v>6252.126</v>
      </c>
      <c r="AB248" s="3">
        <f>AA248</f>
        <v>6252.126</v>
      </c>
      <c r="AC248" s="25">
        <f>INDEX('Inputs (2)'!$D$43:$AL$43,MATCH(AC$7,'Inputs (2)'!$D$2:$AL$2,0))</f>
        <v>6677.469</v>
      </c>
      <c r="AD248" s="25">
        <f>INDEX('Inputs (2)'!$D$43:$AL$43,MATCH(AD$7,'Inputs (2)'!$D$2:$AL$2,0))</f>
        <v>6932.828</v>
      </c>
      <c r="AE248" s="25">
        <f>INDEX('Inputs (2)'!$D$43:$AL$43,MATCH(AE$7,'Inputs (2)'!$D$2:$AL$2,0))</f>
        <v>7080.325</v>
      </c>
      <c r="AF248" s="25">
        <f>INDEX('Inputs (2)'!$D$43:$AL$43,MATCH(AF$7,'Inputs (2)'!$D$2:$AL$2,0))</f>
        <v>7286.41</v>
      </c>
      <c r="AG248" s="3">
        <f>AF248</f>
        <v>7286.41</v>
      </c>
      <c r="AH248" s="3">
        <f>INDEX('Inputs (2)'!$D$43:$AL$43,MATCH(AH$7,'Inputs (2)'!$D$2:$AL$2,0))</f>
        <v>7478.495</v>
      </c>
      <c r="AI248" s="3">
        <f>INDEX('Inputs (2)'!$D$43:$AL$43,MATCH(AI$7,'Inputs (2)'!$D$2:$AL$2,0))</f>
        <v>7670.503</v>
      </c>
      <c r="AJ248" s="3">
        <f>AI248+AJ252</f>
        <v>7670.503</v>
      </c>
      <c r="AK248" s="3">
        <f>AJ248+AK252</f>
        <v>7670.503</v>
      </c>
      <c r="AL248" s="3">
        <f>AK248</f>
        <v>7670.503</v>
      </c>
      <c r="AM248" s="3">
        <f>AL248+AM252</f>
        <v>7670.503</v>
      </c>
      <c r="AN248" s="3">
        <f>AM248+AN252</f>
        <v>7670.503</v>
      </c>
      <c r="AO248" s="3">
        <f>AN248+AO252</f>
        <v>7670.503</v>
      </c>
      <c r="AP248" s="3">
        <f>AO248+AP252</f>
        <v>7670.503</v>
      </c>
      <c r="AQ248" s="3">
        <f>AP248</f>
        <v>7670.503</v>
      </c>
      <c r="AR248" s="3">
        <f>AQ248+AR252</f>
        <v>7670.503</v>
      </c>
      <c r="AS248" s="3">
        <f>AR248+AS252</f>
        <v>7670.503</v>
      </c>
      <c r="AT248" s="3">
        <f>AS248+AT252</f>
        <v>7670.503</v>
      </c>
      <c r="AU248" s="3">
        <f>AT248+AU252</f>
        <v>7670.503</v>
      </c>
      <c r="AV248" s="3">
        <f>AU248</f>
        <v>7670.503</v>
      </c>
      <c r="AW248" s="3">
        <f>AV248+AW252</f>
        <v>7670.503</v>
      </c>
      <c r="AX248" s="3">
        <f>AW248+AX252</f>
        <v>7670.503</v>
      </c>
      <c r="AY248" s="3">
        <f>AX248+AY252</f>
        <v>7670.503</v>
      </c>
      <c r="AZ248" s="3">
        <f>AY248+AZ252</f>
        <v>7670.503</v>
      </c>
      <c r="BA248" s="3">
        <f>AZ248</f>
        <v>7670.503</v>
      </c>
      <c r="BB248" s="3">
        <f>BA248+BB252</f>
        <v>7670.503</v>
      </c>
      <c r="BC248" s="3">
        <f>BB248+BC252</f>
        <v>7670.503</v>
      </c>
      <c r="BD248" s="3">
        <f>BC248+BD252</f>
        <v>7670.503</v>
      </c>
      <c r="BE248" s="3">
        <f>BD248+BE252</f>
        <v>7670.503</v>
      </c>
      <c r="BF248" s="3">
        <f>BE248</f>
        <v>7670.503</v>
      </c>
      <c r="BG248" s="3">
        <f>BF248+BG252</f>
        <v>7670.503</v>
      </c>
      <c r="BH248" s="3">
        <f>BG248+BH252</f>
        <v>7670.503</v>
      </c>
      <c r="BI248" s="3">
        <f>BH248+BI252</f>
        <v>7670.503</v>
      </c>
      <c r="BJ248" s="3">
        <f>BI248+BJ252</f>
        <v>7670.503</v>
      </c>
      <c r="BK248" s="3">
        <f>BJ248</f>
        <v>7670.503</v>
      </c>
      <c r="BL248" s="3">
        <f>BK248+BL252</f>
        <v>7670.503</v>
      </c>
      <c r="BM248" s="3">
        <f>BL248+BM252</f>
        <v>7670.503</v>
      </c>
      <c r="BN248" s="3">
        <f>BM248+BN252</f>
        <v>7670.503</v>
      </c>
      <c r="BO248" s="3">
        <f>BN248+BO252</f>
        <v>7670.503</v>
      </c>
      <c r="BP248" s="3">
        <f>BO248</f>
        <v>7670.503</v>
      </c>
      <c r="BQ248" s="3">
        <f>BP248+BQ252</f>
        <v>7670.503</v>
      </c>
      <c r="BR248" s="3">
        <f>BQ248+BR252</f>
        <v>7670.503</v>
      </c>
      <c r="BS248" s="3">
        <f>BR248+BS252</f>
        <v>7670.503</v>
      </c>
      <c r="BT248" s="3">
        <f>BS248+BT252</f>
        <v>7670.503</v>
      </c>
      <c r="BU248" s="3">
        <f>BT248</f>
        <v>7670.503</v>
      </c>
      <c r="BV248" s="3">
        <f>BU248+BV252</f>
        <v>7670.503</v>
      </c>
      <c r="BW248" s="3">
        <f>BV248+BW252</f>
        <v>7670.503</v>
      </c>
      <c r="BX248" s="3">
        <f>BW248+BX252</f>
        <v>7670.503</v>
      </c>
      <c r="BY248" s="3">
        <f>BX248+BY252</f>
        <v>7670.503</v>
      </c>
      <c r="BZ248" s="3">
        <f>BY248</f>
        <v>7670.503</v>
      </c>
      <c r="CA248" s="3">
        <f>BZ248+CA252</f>
        <v>7670.503</v>
      </c>
      <c r="CB248" s="3">
        <f>CA248+CB252</f>
        <v>7670.503</v>
      </c>
      <c r="CC248" s="3">
        <f>CB248+CC252</f>
        <v>7670.503</v>
      </c>
      <c r="CD248" s="3">
        <f>CC248+CD252</f>
        <v>7670.503</v>
      </c>
      <c r="CE248" s="3">
        <f>CD248</f>
        <v>7670.503</v>
      </c>
      <c r="CF248" s="3">
        <f>CE248+CF252</f>
        <v>7670.503</v>
      </c>
      <c r="CG248" s="3">
        <f>CF248+CG252</f>
        <v>7670.503</v>
      </c>
      <c r="CH248" s="3">
        <f>CG248+CH252</f>
        <v>7670.503</v>
      </c>
      <c r="CI248" s="3">
        <f>CH248+CI252</f>
        <v>7670.503</v>
      </c>
      <c r="CJ248" s="3">
        <f>CI248</f>
        <v>7670.503</v>
      </c>
      <c r="CK248" s="3">
        <f>CJ248+CK252</f>
        <v>7670.503</v>
      </c>
      <c r="CL248" s="3">
        <f>CK248+CL252</f>
        <v>7670.503</v>
      </c>
      <c r="CM248" s="3">
        <f>CL248+CM252</f>
        <v>7670.503</v>
      </c>
      <c r="CN248" s="3">
        <f>CM248+CN252</f>
        <v>7670.503</v>
      </c>
      <c r="CO248" s="3">
        <f>CN248</f>
        <v>7670.503</v>
      </c>
      <c r="CP248" s="3">
        <f>CO248+CP252</f>
        <v>7670.503</v>
      </c>
      <c r="CQ248" s="3">
        <f>CP248+CQ252</f>
        <v>7670.503</v>
      </c>
      <c r="CR248" s="3">
        <f>CQ248+CR252</f>
        <v>7670.503</v>
      </c>
      <c r="CS248" s="3">
        <f>CR248+CS252</f>
        <v>7670.503</v>
      </c>
      <c r="CT248" s="3">
        <f>CS248</f>
        <v>7670.503</v>
      </c>
      <c r="CU248" s="3">
        <f>CT248+CU252</f>
        <v>7670.503</v>
      </c>
      <c r="CV248" s="3">
        <f>CU248+CV252</f>
        <v>7670.503</v>
      </c>
      <c r="CW248" s="3">
        <f>CV248+CW252</f>
        <v>7670.503</v>
      </c>
      <c r="CX248" s="3">
        <f>CW248+CX252</f>
        <v>7670.503</v>
      </c>
      <c r="CY248" s="3">
        <f>CX248</f>
        <v>7670.503</v>
      </c>
    </row>
    <row r="249" hidden="1" outlineLevel="1" customFormat="1" s="39">
      <c r="A249" s="19" t="n"/>
      <c r="B249" s="19" t="n"/>
      <c r="C249" s="41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</row>
    <row r="250" hidden="1" outlineLevel="1" customFormat="1" s="39">
      <c r="A250" s="19" t="n"/>
      <c r="B250" s="19" t="n"/>
      <c r="C250" s="41" t="inlineStr">
        <is>
          <t>Diluted Shares outstanding</t>
        </is>
      </c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</row>
    <row r="251" hidden="1" outlineLevel="1" customFormat="1" s="39">
      <c r="A251" s="19" t="n"/>
      <c r="B251" s="19" t="n"/>
      <c r="C251" s="41" t="inlineStr">
        <is>
          <t>Treasury share $ repurchases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6" t="n"/>
      <c r="AI251" s="6" t="n"/>
      <c r="AJ251" s="6" t="n"/>
      <c r="AK251" s="6" t="n"/>
      <c r="AL251" s="22" t="n"/>
      <c r="AM251" s="6" t="n"/>
      <c r="AN251" s="6" t="n"/>
      <c r="AO251" s="6" t="n"/>
      <c r="AP251" s="6" t="n"/>
      <c r="AQ251" s="22" t="n"/>
      <c r="AR251" s="6" t="n"/>
      <c r="AS251" s="6" t="n"/>
      <c r="AT251" s="6" t="n"/>
      <c r="AU251" s="6" t="n"/>
      <c r="AV251" s="22" t="n"/>
      <c r="AW251" s="6" t="n"/>
      <c r="AX251" s="6" t="n"/>
      <c r="AY251" s="6" t="n"/>
      <c r="AZ251" s="6" t="n"/>
      <c r="BA251" s="22" t="n"/>
      <c r="BB251" s="6" t="n"/>
      <c r="BC251" s="6" t="n"/>
      <c r="BD251" s="6" t="n"/>
      <c r="BE251" s="6" t="n"/>
      <c r="BF251" s="22" t="n"/>
      <c r="BG251" s="6" t="n"/>
      <c r="BH251" s="6" t="n"/>
      <c r="BI251" s="6" t="n"/>
      <c r="BJ251" s="6" t="n"/>
      <c r="BK251" s="22" t="n"/>
      <c r="BL251" s="6" t="n"/>
      <c r="BM251" s="6" t="n"/>
      <c r="BN251" s="6" t="n"/>
      <c r="BO251" s="6" t="n"/>
      <c r="BP251" s="22" t="n"/>
      <c r="BQ251" s="6" t="n"/>
      <c r="BR251" s="6" t="n"/>
      <c r="BS251" s="6" t="n"/>
      <c r="BT251" s="6" t="n"/>
      <c r="BU251" s="22" t="n"/>
      <c r="BV251" s="6" t="n"/>
      <c r="BW251" s="6" t="n"/>
      <c r="BX251" s="6" t="n"/>
      <c r="BY251" s="6" t="n"/>
      <c r="BZ251" s="22" t="n"/>
      <c r="CA251" s="6" t="n"/>
      <c r="CB251" s="6" t="n"/>
      <c r="CC251" s="6" t="n"/>
      <c r="CD251" s="6" t="n"/>
      <c r="CE251" s="22" t="n"/>
      <c r="CF251" s="6" t="n"/>
      <c r="CG251" s="6" t="n"/>
      <c r="CH251" s="6" t="n"/>
      <c r="CI251" s="6" t="n"/>
      <c r="CJ251" s="22" t="n"/>
      <c r="CK251" s="6" t="n"/>
      <c r="CL251" s="6" t="n"/>
      <c r="CM251" s="6" t="n"/>
      <c r="CN251" s="6" t="n"/>
      <c r="CO251" s="22" t="n"/>
      <c r="CP251" s="6" t="n"/>
      <c r="CQ251" s="6" t="n"/>
      <c r="CR251" s="6" t="n"/>
      <c r="CS251" s="6" t="n"/>
      <c r="CT251" s="22" t="n"/>
      <c r="CU251" s="6" t="n"/>
      <c r="CV251" s="6" t="n"/>
      <c r="CW251" s="6" t="n"/>
      <c r="CX251" s="6" t="n"/>
      <c r="CY251" s="22" t="n"/>
    </row>
    <row r="252" hidden="1" outlineLevel="1" customFormat="1" s="39">
      <c r="A252" s="19" t="n"/>
      <c r="B252" s="19" t="n"/>
      <c r="C252" s="41" t="inlineStr">
        <is>
          <t>Value of shares issued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6" t="n"/>
      <c r="AI252" s="6" t="n"/>
      <c r="AJ252" s="6" t="n"/>
      <c r="AK252" s="6" t="n"/>
      <c r="AL252" s="22" t="n"/>
      <c r="AM252" s="6" t="n"/>
      <c r="AN252" s="6" t="n"/>
      <c r="AO252" s="6" t="n"/>
      <c r="AP252" s="6" t="n"/>
      <c r="AQ252" s="22" t="n"/>
      <c r="AR252" s="6" t="n"/>
      <c r="AS252" s="6" t="n"/>
      <c r="AT252" s="6" t="n"/>
      <c r="AU252" s="6" t="n"/>
      <c r="AV252" s="22" t="n"/>
      <c r="AW252" s="6" t="n"/>
      <c r="AX252" s="6" t="n"/>
      <c r="AY252" s="6" t="n"/>
      <c r="AZ252" s="6" t="n"/>
      <c r="BA252" s="22" t="n"/>
      <c r="BB252" s="6" t="n"/>
      <c r="BC252" s="6" t="n"/>
      <c r="BD252" s="6" t="n"/>
      <c r="BE252" s="6" t="n"/>
      <c r="BF252" s="22" t="n"/>
      <c r="BG252" s="6" t="n"/>
      <c r="BH252" s="6" t="n"/>
      <c r="BI252" s="6" t="n"/>
      <c r="BJ252" s="6" t="n"/>
      <c r="BK252" s="22" t="n"/>
      <c r="BL252" s="6" t="n"/>
      <c r="BM252" s="6" t="n"/>
      <c r="BN252" s="6" t="n"/>
      <c r="BO252" s="6" t="n"/>
      <c r="BP252" s="22" t="n"/>
      <c r="BQ252" s="6" t="n"/>
      <c r="BR252" s="6" t="n"/>
      <c r="BS252" s="6" t="n"/>
      <c r="BT252" s="6" t="n"/>
      <c r="BU252" s="22" t="n"/>
      <c r="BV252" s="6" t="n"/>
      <c r="BW252" s="6" t="n"/>
      <c r="BX252" s="6" t="n"/>
      <c r="BY252" s="6" t="n"/>
      <c r="BZ252" s="22" t="n"/>
      <c r="CA252" s="6" t="n"/>
      <c r="CB252" s="6" t="n"/>
      <c r="CC252" s="6" t="n"/>
      <c r="CD252" s="6" t="n"/>
      <c r="CE252" s="22" t="n"/>
      <c r="CF252" s="6" t="n"/>
      <c r="CG252" s="6" t="n"/>
      <c r="CH252" s="6" t="n"/>
      <c r="CI252" s="6" t="n"/>
      <c r="CJ252" s="22" t="n"/>
      <c r="CK252" s="6" t="n"/>
      <c r="CL252" s="6" t="n"/>
      <c r="CM252" s="6" t="n"/>
      <c r="CN252" s="6" t="n"/>
      <c r="CO252" s="22" t="n"/>
      <c r="CP252" s="6" t="n"/>
      <c r="CQ252" s="6" t="n"/>
      <c r="CR252" s="6" t="n"/>
      <c r="CS252" s="6" t="n"/>
      <c r="CT252" s="22" t="n"/>
      <c r="CU252" s="6" t="n"/>
      <c r="CV252" s="6" t="n"/>
      <c r="CW252" s="6" t="n"/>
      <c r="CX252" s="6" t="n"/>
      <c r="CY252" s="22" t="n"/>
    </row>
    <row r="253" hidden="1" outlineLevel="1" customFormat="1" s="39">
      <c r="A253" s="19" t="n"/>
      <c r="B253" s="19" t="n"/>
      <c r="C253" s="41" t="inlineStr">
        <is>
          <t>Expected average share price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51" t="n"/>
      <c r="AH253" s="42">
        <f>AG253*(1+AH254)</f>
        <v>0</v>
      </c>
      <c r="AI253" s="42">
        <f>AH253*(1+AI254)</f>
        <v>0</v>
      </c>
      <c r="AJ253" s="42">
        <f>AI253*(1+AJ254)</f>
        <v>0</v>
      </c>
      <c r="AK253" s="42">
        <f>AJ253*(1+AK254)</f>
        <v>0</v>
      </c>
      <c r="AL253" s="22" t="n"/>
      <c r="AM253" s="42">
        <f>AK253*(1+AM254)</f>
        <v>0</v>
      </c>
      <c r="AN253" s="42">
        <f>AM253*(1+AN254)</f>
        <v>0</v>
      </c>
      <c r="AO253" s="42">
        <f>AN253*(1+AO254)</f>
        <v>0</v>
      </c>
      <c r="AP253" s="42">
        <f>AO253*(1+AP254)</f>
        <v>0</v>
      </c>
      <c r="AQ253" s="22" t="n"/>
      <c r="AR253" s="42">
        <f>AP253*(1+AR254)</f>
        <v>0</v>
      </c>
      <c r="AS253" s="42">
        <f>AR253*(1+AS254)</f>
        <v>0</v>
      </c>
      <c r="AT253" s="42">
        <f>AS253*(1+AT254)</f>
        <v>0</v>
      </c>
      <c r="AU253" s="42">
        <f>AT253*(1+AU254)</f>
        <v>0</v>
      </c>
      <c r="AV253" s="22" t="n"/>
      <c r="AW253" s="42">
        <f>AU253*(1+AW254)</f>
        <v>0</v>
      </c>
      <c r="AX253" s="42">
        <f>AW253*(1+AX254)</f>
        <v>0</v>
      </c>
      <c r="AY253" s="42">
        <f>AX253*(1+AY254)</f>
        <v>0</v>
      </c>
      <c r="AZ253" s="42">
        <f>AY253*(1+AZ254)</f>
        <v>0</v>
      </c>
      <c r="BA253" s="22" t="n"/>
      <c r="BB253" s="42">
        <f>AZ253*(1+BB254)</f>
        <v>0</v>
      </c>
      <c r="BC253" s="42">
        <f>BB253*(1+BC254)</f>
        <v>0</v>
      </c>
      <c r="BD253" s="42">
        <f>BC253*(1+BD254)</f>
        <v>0</v>
      </c>
      <c r="BE253" s="42">
        <f>BD253*(1+BE254)</f>
        <v>0</v>
      </c>
      <c r="BF253" s="22" t="n"/>
      <c r="BG253" s="42">
        <f>BE253*(1+BG254)</f>
        <v>0</v>
      </c>
      <c r="BH253" s="42">
        <f>BG253*(1+BH254)</f>
        <v>0</v>
      </c>
      <c r="BI253" s="42">
        <f>BH253*(1+BI254)</f>
        <v>0</v>
      </c>
      <c r="BJ253" s="42">
        <f>BI253*(1+BJ254)</f>
        <v>0</v>
      </c>
      <c r="BK253" s="22" t="n"/>
      <c r="BL253" s="42">
        <f>BJ253*(1+BL254)</f>
        <v>0</v>
      </c>
      <c r="BM253" s="42">
        <f>BL253*(1+BM254)</f>
        <v>0</v>
      </c>
      <c r="BN253" s="42">
        <f>BM253*(1+BN254)</f>
        <v>0</v>
      </c>
      <c r="BO253" s="42">
        <f>BN253*(1+BO254)</f>
        <v>0</v>
      </c>
      <c r="BP253" s="22" t="n"/>
      <c r="BQ253" s="42">
        <f>BO253*(1+BQ254)</f>
        <v>0</v>
      </c>
      <c r="BR253" s="42">
        <f>BQ253*(1+BR254)</f>
        <v>0</v>
      </c>
      <c r="BS253" s="42">
        <f>BR253*(1+BS254)</f>
        <v>0</v>
      </c>
      <c r="BT253" s="42">
        <f>BS253*(1+BT254)</f>
        <v>0</v>
      </c>
      <c r="BU253" s="22" t="n"/>
      <c r="BV253" s="42">
        <f>BT253*(1+BV254)</f>
        <v>0</v>
      </c>
      <c r="BW253" s="42">
        <f>BV253*(1+BW254)</f>
        <v>0</v>
      </c>
      <c r="BX253" s="42">
        <f>BW253*(1+BX254)</f>
        <v>0</v>
      </c>
      <c r="BY253" s="42">
        <f>BX253*(1+BY254)</f>
        <v>0</v>
      </c>
      <c r="BZ253" s="22" t="n"/>
      <c r="CA253" s="42">
        <f>BY253*(1+CA254)</f>
        <v>0</v>
      </c>
      <c r="CB253" s="42">
        <f>CA253*(1+CB254)</f>
        <v>0</v>
      </c>
      <c r="CC253" s="42">
        <f>CB253*(1+CC254)</f>
        <v>0</v>
      </c>
      <c r="CD253" s="42">
        <f>CC253*(1+CD254)</f>
        <v>0</v>
      </c>
      <c r="CE253" s="22" t="n"/>
      <c r="CF253" s="42">
        <f>CD253*(1+CF254)</f>
        <v>0</v>
      </c>
      <c r="CG253" s="42">
        <f>CF253*(1+CG254)</f>
        <v>0</v>
      </c>
      <c r="CH253" s="42">
        <f>CG253*(1+CH254)</f>
        <v>0</v>
      </c>
      <c r="CI253" s="42">
        <f>CH253*(1+CI254)</f>
        <v>0</v>
      </c>
      <c r="CJ253" s="22" t="n"/>
      <c r="CK253" s="42">
        <f>CI253*(1+CK254)</f>
        <v>0</v>
      </c>
      <c r="CL253" s="42">
        <f>CK253*(1+CL254)</f>
        <v>0</v>
      </c>
      <c r="CM253" s="42">
        <f>CL253*(1+CM254)</f>
        <v>0</v>
      </c>
      <c r="CN253" s="42">
        <f>CM253*(1+CN254)</f>
        <v>0</v>
      </c>
      <c r="CO253" s="22" t="n"/>
      <c r="CP253" s="42">
        <f>CN253*(1+CP254)</f>
        <v>0</v>
      </c>
      <c r="CQ253" s="42">
        <f>CP253*(1+CQ254)</f>
        <v>0</v>
      </c>
      <c r="CR253" s="42">
        <f>CQ253*(1+CR254)</f>
        <v>0</v>
      </c>
      <c r="CS253" s="42">
        <f>CR253*(1+CS254)</f>
        <v>0</v>
      </c>
      <c r="CT253" s="22" t="n"/>
      <c r="CU253" s="42">
        <f>CS253*(1+CU254)</f>
        <v>0</v>
      </c>
      <c r="CV253" s="42">
        <f>CU253*(1+CV254)</f>
        <v>0</v>
      </c>
      <c r="CW253" s="42">
        <f>CV253*(1+CW254)</f>
        <v>0</v>
      </c>
      <c r="CX253" s="42">
        <f>CW253*(1+CX254)</f>
        <v>0</v>
      </c>
      <c r="CY253" s="22" t="n"/>
      <c r="CZ253">
        <f>CX253*(1+CZ254)</f>
        <v>0</v>
      </c>
      <c r="DA253">
        <f>CZ253*(1+DA254)</f>
        <v>0</v>
      </c>
      <c r="DB253">
        <f>DA253*(1+DB254)</f>
        <v>0</v>
      </c>
      <c r="DC253">
        <f>DB253*(1+DC254)</f>
        <v>0</v>
      </c>
    </row>
    <row r="254" hidden="1" outlineLevel="1" customFormat="1" s="39">
      <c r="A254" s="19" t="n"/>
      <c r="B254" s="19" t="n"/>
      <c r="C254" s="41" t="inlineStr">
        <is>
          <t>Consensus EPS growth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40">
        <f>$AL$259</f>
        <v>0</v>
      </c>
      <c r="AI254" s="40">
        <f>$AL$259</f>
        <v>0</v>
      </c>
      <c r="AJ254" s="40">
        <f>$AL$259</f>
        <v>0</v>
      </c>
      <c r="AK254" s="40">
        <f>$AL$259</f>
        <v>0</v>
      </c>
      <c r="AL254" s="22" t="n"/>
      <c r="AM254" s="40">
        <f>$AL$259</f>
        <v>0</v>
      </c>
      <c r="AN254" s="40">
        <f>$AL$259</f>
        <v>0</v>
      </c>
      <c r="AO254" s="40">
        <f>$AL$259</f>
        <v>0</v>
      </c>
      <c r="AP254" s="40">
        <f>$AL$259</f>
        <v>0</v>
      </c>
      <c r="AQ254" s="22" t="n"/>
      <c r="AR254" s="40">
        <f>$AL$259</f>
        <v>0</v>
      </c>
      <c r="AS254" s="40">
        <f>$AL$259</f>
        <v>0</v>
      </c>
      <c r="AT254" s="40">
        <f>$AL$259</f>
        <v>0</v>
      </c>
      <c r="AU254" s="40">
        <f>$AL$259</f>
        <v>0</v>
      </c>
      <c r="AV254" s="22" t="n"/>
      <c r="AW254" s="40">
        <f>$AL$259</f>
        <v>0</v>
      </c>
      <c r="AX254" s="40">
        <f>$AL$259</f>
        <v>0</v>
      </c>
      <c r="AY254" s="40">
        <f>$AL$259</f>
        <v>0</v>
      </c>
      <c r="AZ254" s="40">
        <f>$AL$259</f>
        <v>0</v>
      </c>
      <c r="BA254" s="22" t="n"/>
      <c r="BB254" s="40">
        <f>$AL$259</f>
        <v>0</v>
      </c>
      <c r="BC254" s="40">
        <f>$AL$259</f>
        <v>0</v>
      </c>
      <c r="BD254" s="40">
        <f>$AL$259</f>
        <v>0</v>
      </c>
      <c r="BE254" s="40">
        <f>$AL$259</f>
        <v>0</v>
      </c>
      <c r="BF254" s="22" t="n"/>
      <c r="BG254" s="40">
        <f>$AL$259</f>
        <v>0</v>
      </c>
      <c r="BH254" s="40">
        <f>$AL$259</f>
        <v>0</v>
      </c>
      <c r="BI254" s="40">
        <f>$AL$259</f>
        <v>0</v>
      </c>
      <c r="BJ254" s="40">
        <f>$AL$259</f>
        <v>0</v>
      </c>
      <c r="BK254" s="22" t="n"/>
      <c r="BL254" s="40">
        <f>$AL$259</f>
        <v>0</v>
      </c>
      <c r="BM254" s="40">
        <f>$AL$259</f>
        <v>0</v>
      </c>
      <c r="BN254" s="40">
        <f>$AL$259</f>
        <v>0</v>
      </c>
      <c r="BO254" s="40">
        <f>$AL$259</f>
        <v>0</v>
      </c>
      <c r="BP254" s="22" t="n"/>
      <c r="BQ254" s="40">
        <f>$AL$259</f>
        <v>0</v>
      </c>
      <c r="BR254" s="40">
        <f>$AL$259</f>
        <v>0</v>
      </c>
      <c r="BS254" s="40">
        <f>$AL$259</f>
        <v>0</v>
      </c>
      <c r="BT254" s="40">
        <f>$AL$259</f>
        <v>0</v>
      </c>
      <c r="BU254" s="22" t="n"/>
      <c r="BV254" s="40">
        <f>$AL$259</f>
        <v>0</v>
      </c>
      <c r="BW254" s="40">
        <f>$AL$259</f>
        <v>0</v>
      </c>
      <c r="BX254" s="40">
        <f>$AL$259</f>
        <v>0</v>
      </c>
      <c r="BY254" s="40">
        <f>$AL$259</f>
        <v>0</v>
      </c>
      <c r="BZ254" s="22" t="n"/>
      <c r="CA254" s="40">
        <f>$AL$259</f>
        <v>0</v>
      </c>
      <c r="CB254" s="40">
        <f>$AL$259</f>
        <v>0</v>
      </c>
      <c r="CC254" s="40">
        <f>$AL$259</f>
        <v>0</v>
      </c>
      <c r="CD254" s="40">
        <f>$AL$259</f>
        <v>0</v>
      </c>
      <c r="CE254" s="22" t="n"/>
      <c r="CF254" s="40">
        <f>$AL$259</f>
        <v>0</v>
      </c>
      <c r="CG254" s="40">
        <f>$AL$259</f>
        <v>0</v>
      </c>
      <c r="CH254" s="40">
        <f>$AL$259</f>
        <v>0</v>
      </c>
      <c r="CI254" s="40">
        <f>$AL$259</f>
        <v>0</v>
      </c>
      <c r="CJ254" s="22" t="n"/>
      <c r="CK254" s="40">
        <f>$AL$259</f>
        <v>0</v>
      </c>
      <c r="CL254" s="40">
        <f>$AL$259</f>
        <v>0</v>
      </c>
      <c r="CM254" s="40">
        <f>$AL$259</f>
        <v>0</v>
      </c>
      <c r="CN254" s="40">
        <f>$AL$259</f>
        <v>0</v>
      </c>
      <c r="CO254" s="22" t="n"/>
      <c r="CP254" s="40">
        <f>$AL$259</f>
        <v>0</v>
      </c>
      <c r="CQ254" s="40">
        <f>$AL$259</f>
        <v>0</v>
      </c>
      <c r="CR254" s="40">
        <f>$AL$259</f>
        <v>0</v>
      </c>
      <c r="CS254" s="40">
        <f>$AL$259</f>
        <v>0</v>
      </c>
      <c r="CT254" s="22" t="n"/>
      <c r="CU254" s="40">
        <f>$AL$259</f>
        <v>0</v>
      </c>
      <c r="CV254" s="40">
        <f>$AL$259</f>
        <v>0</v>
      </c>
      <c r="CW254" s="40">
        <f>$AL$259</f>
        <v>0</v>
      </c>
      <c r="CX254" s="40">
        <f>$AL$259</f>
        <v>0</v>
      </c>
      <c r="CY254" s="22" t="n"/>
    </row>
    <row r="255" hidden="1" outlineLevel="1" customFormat="1" s="39">
      <c r="A255" s="19" t="n"/>
      <c r="B255" s="19" t="n"/>
      <c r="C255" s="41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3" t="n"/>
      <c r="AI255" s="3" t="n"/>
      <c r="AJ255" s="3" t="n"/>
      <c r="AK255" s="3" t="n"/>
      <c r="AL255" s="22" t="n"/>
      <c r="AM255" s="3" t="n"/>
      <c r="AN255" s="3" t="n"/>
      <c r="AO255" s="3" t="n"/>
      <c r="AP255" s="3" t="n"/>
      <c r="AQ255" s="22" t="n"/>
      <c r="AR255" s="3" t="n"/>
      <c r="AS255" s="3" t="n"/>
      <c r="AT255" s="3" t="n"/>
      <c r="AU255" s="3" t="n"/>
      <c r="AV255" s="22" t="n"/>
      <c r="AW255" s="3" t="n"/>
      <c r="AX255" s="3" t="n"/>
      <c r="AY255" s="3" t="n"/>
      <c r="AZ255" s="3" t="n"/>
      <c r="BA255" s="22" t="n"/>
      <c r="BB255" s="3" t="n"/>
      <c r="BC255" s="3" t="n"/>
      <c r="BD255" s="3" t="n"/>
      <c r="BE255" s="3" t="n"/>
      <c r="BF255" s="22" t="n"/>
      <c r="BG255" s="3" t="n"/>
      <c r="BH255" s="3" t="n"/>
      <c r="BI255" s="3" t="n"/>
      <c r="BJ255" s="3" t="n"/>
      <c r="BK255" s="22" t="n"/>
      <c r="BL255" s="3" t="n"/>
      <c r="BM255" s="3" t="n"/>
      <c r="BN255" s="3" t="n"/>
      <c r="BO255" s="3" t="n"/>
      <c r="BP255" s="22" t="n"/>
      <c r="BQ255" s="3" t="n"/>
      <c r="BR255" s="3" t="n"/>
      <c r="BS255" s="3" t="n"/>
      <c r="BT255" s="3" t="n"/>
      <c r="BU255" s="22" t="n"/>
      <c r="BV255" s="3" t="n"/>
      <c r="BW255" s="3" t="n"/>
      <c r="BX255" s="3" t="n"/>
      <c r="BY255" s="3" t="n"/>
      <c r="BZ255" s="22" t="n"/>
      <c r="CA255" s="3" t="n"/>
      <c r="CB255" s="3" t="n"/>
      <c r="CC255" s="3" t="n"/>
      <c r="CD255" s="3" t="n"/>
      <c r="CE255" s="22" t="n"/>
      <c r="CF255" s="3" t="n"/>
      <c r="CG255" s="3" t="n"/>
      <c r="CH255" s="3" t="n"/>
      <c r="CI255" s="3" t="n"/>
      <c r="CJ255" s="22" t="n"/>
      <c r="CK255" s="3" t="n"/>
      <c r="CL255" s="3" t="n"/>
      <c r="CM255" s="3" t="n"/>
      <c r="CN255" s="3" t="n"/>
      <c r="CO255" s="22" t="n"/>
      <c r="CP255" s="3" t="n"/>
      <c r="CQ255" s="3" t="n"/>
      <c r="CR255" s="3" t="n"/>
      <c r="CS255" s="3" t="n"/>
      <c r="CT255" s="22" t="n"/>
      <c r="CU255" s="3" t="n"/>
      <c r="CV255" s="3" t="n"/>
      <c r="CW255" s="3" t="n"/>
      <c r="CX255" s="3" t="n"/>
      <c r="CY255" s="22" t="n"/>
    </row>
    <row r="256" hidden="1" outlineLevel="1" customFormat="1" s="39">
      <c r="A256" s="19" t="n"/>
      <c r="B256" s="19" t="n"/>
      <c r="C256" s="41" t="inlineStr">
        <is>
          <t>Shares repurchased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43" t="n"/>
      <c r="AI256" s="43" t="n"/>
      <c r="AJ256" s="43" t="e">
        <f>-AJ251/AJ253</f>
        <v>#DIV/0!</v>
      </c>
      <c r="AK256" s="43" t="e">
        <f>-AK251/AK253</f>
        <v>#DIV/0!</v>
      </c>
      <c r="AL256" s="22" t="n"/>
      <c r="AM256" s="43" t="e">
        <f>-AM251/AM253</f>
        <v>#DIV/0!</v>
      </c>
      <c r="AN256" s="43" t="e">
        <f>-AN251/AN253</f>
        <v>#DIV/0!</v>
      </c>
      <c r="AO256" s="43" t="e">
        <f>-AO251/AO253</f>
        <v>#DIV/0!</v>
      </c>
      <c r="AP256" s="43" t="e">
        <f>-AP251/AP253</f>
        <v>#DIV/0!</v>
      </c>
      <c r="AQ256" s="22" t="n"/>
      <c r="AR256" s="43" t="e">
        <f>-AR251/AR253</f>
        <v>#DIV/0!</v>
      </c>
      <c r="AS256" s="43" t="e">
        <f>-AS251/AS253</f>
        <v>#DIV/0!</v>
      </c>
      <c r="AT256" s="43" t="e">
        <f>-AT251/AT253</f>
        <v>#DIV/0!</v>
      </c>
      <c r="AU256" s="43" t="e">
        <f>-AU251/AU253</f>
        <v>#DIV/0!</v>
      </c>
      <c r="AV256" s="22" t="n"/>
      <c r="AW256" s="43" t="e">
        <f>-AW251/AW253</f>
        <v>#DIV/0!</v>
      </c>
      <c r="AX256" s="43" t="e">
        <f>-AX251/AX253</f>
        <v>#DIV/0!</v>
      </c>
      <c r="AY256" s="43" t="e">
        <f>-AY251/AY253</f>
        <v>#DIV/0!</v>
      </c>
      <c r="AZ256" s="43" t="e">
        <f>-AZ251/AZ253</f>
        <v>#DIV/0!</v>
      </c>
      <c r="BA256" s="22" t="n"/>
      <c r="BB256" s="43" t="e">
        <f>-BB251/BB253</f>
        <v>#DIV/0!</v>
      </c>
      <c r="BC256" s="43" t="e">
        <f>-BC251/BC253</f>
        <v>#DIV/0!</v>
      </c>
      <c r="BD256" s="43" t="e">
        <f>-BD251/BD253</f>
        <v>#DIV/0!</v>
      </c>
      <c r="BE256" s="43" t="e">
        <f>-BE251/BE253</f>
        <v>#DIV/0!</v>
      </c>
      <c r="BF256" s="22" t="n"/>
      <c r="BG256" s="43" t="e">
        <f>-BG251/BG253</f>
        <v>#DIV/0!</v>
      </c>
      <c r="BH256" s="43" t="e">
        <f>-BH251/BH253</f>
        <v>#DIV/0!</v>
      </c>
      <c r="BI256" s="43" t="e">
        <f>-BI251/BI253</f>
        <v>#DIV/0!</v>
      </c>
      <c r="BJ256" s="43" t="e">
        <f>-BJ251/BJ253</f>
        <v>#DIV/0!</v>
      </c>
      <c r="BK256" s="22" t="n"/>
      <c r="BL256" s="43" t="e">
        <f>-BL251/BL253</f>
        <v>#DIV/0!</v>
      </c>
      <c r="BM256" s="43" t="e">
        <f>-BM251/BM253</f>
        <v>#DIV/0!</v>
      </c>
      <c r="BN256" s="43" t="e">
        <f>-BN251/BN253</f>
        <v>#DIV/0!</v>
      </c>
      <c r="BO256" s="43" t="e">
        <f>-BO251/BO253</f>
        <v>#DIV/0!</v>
      </c>
      <c r="BP256" s="22" t="n"/>
      <c r="BQ256" s="43" t="e">
        <f>-BQ251/BQ253</f>
        <v>#DIV/0!</v>
      </c>
      <c r="BR256" s="43" t="e">
        <f>-BR251/BR253</f>
        <v>#DIV/0!</v>
      </c>
      <c r="BS256" s="43" t="e">
        <f>-BS251/BS253</f>
        <v>#DIV/0!</v>
      </c>
      <c r="BT256" s="43" t="e">
        <f>-BT251/BT253</f>
        <v>#DIV/0!</v>
      </c>
      <c r="BU256" s="22" t="n"/>
      <c r="BV256" s="43" t="e">
        <f>-BV251/BV253</f>
        <v>#DIV/0!</v>
      </c>
      <c r="BW256" s="43" t="e">
        <f>-BW251/BW253</f>
        <v>#DIV/0!</v>
      </c>
      <c r="BX256" s="43" t="e">
        <f>-BX251/BX253</f>
        <v>#DIV/0!</v>
      </c>
      <c r="BY256" s="43" t="e">
        <f>-BY251/BY253</f>
        <v>#DIV/0!</v>
      </c>
      <c r="BZ256" s="22" t="n"/>
      <c r="CA256" s="43" t="e">
        <f>-CA251/CA253</f>
        <v>#DIV/0!</v>
      </c>
      <c r="CB256" s="43" t="e">
        <f>-CB251/CB253</f>
        <v>#DIV/0!</v>
      </c>
      <c r="CC256" s="43" t="e">
        <f>-CC251/CC253</f>
        <v>#DIV/0!</v>
      </c>
      <c r="CD256" s="43" t="e">
        <f>-CD251/CD253</f>
        <v>#DIV/0!</v>
      </c>
      <c r="CE256" s="22" t="n"/>
      <c r="CF256" s="43" t="e">
        <f>-CF251/CF253</f>
        <v>#DIV/0!</v>
      </c>
      <c r="CG256" s="43" t="e">
        <f>-CG251/CG253</f>
        <v>#DIV/0!</v>
      </c>
      <c r="CH256" s="43" t="e">
        <f>-CH251/CH253</f>
        <v>#DIV/0!</v>
      </c>
      <c r="CI256" s="43" t="e">
        <f>-CI251/CI253</f>
        <v>#DIV/0!</v>
      </c>
      <c r="CJ256" s="22" t="n"/>
      <c r="CK256" s="43" t="e">
        <f>-CK251/CK253</f>
        <v>#DIV/0!</v>
      </c>
      <c r="CL256" s="43" t="e">
        <f>-CL251/CL253</f>
        <v>#DIV/0!</v>
      </c>
      <c r="CM256" s="43" t="e">
        <f>-CM251/CM253</f>
        <v>#DIV/0!</v>
      </c>
      <c r="CN256" s="43" t="e">
        <f>-CN251/CN253</f>
        <v>#DIV/0!</v>
      </c>
      <c r="CO256" s="22" t="n"/>
      <c r="CP256" s="43" t="e">
        <f>-CP251/CP253</f>
        <v>#DIV/0!</v>
      </c>
      <c r="CQ256" s="43" t="e">
        <f>-CQ251/CQ253</f>
        <v>#DIV/0!</v>
      </c>
      <c r="CR256" s="43" t="e">
        <f>-CR251/CR253</f>
        <v>#DIV/0!</v>
      </c>
      <c r="CS256" s="43" t="e">
        <f>-CS251/CS253</f>
        <v>#DIV/0!</v>
      </c>
      <c r="CT256" s="22" t="n"/>
      <c r="CU256" s="43" t="e">
        <f>-CU251/CU253</f>
        <v>#DIV/0!</v>
      </c>
      <c r="CV256" s="43" t="e">
        <f>-CV251/CV253</f>
        <v>#DIV/0!</v>
      </c>
      <c r="CW256" s="43" t="e">
        <f>-CW251/CW253</f>
        <v>#DIV/0!</v>
      </c>
      <c r="CX256" s="43" t="e">
        <f>-CX251/CX253</f>
        <v>#DIV/0!</v>
      </c>
      <c r="CY256" s="22" t="n"/>
    </row>
    <row r="257" hidden="1" outlineLevel="1" customFormat="1" s="39">
      <c r="A257" s="19" t="n"/>
      <c r="B257" s="19" t="n"/>
      <c r="C257" s="41" t="inlineStr">
        <is>
          <t>Shares issued</t>
        </is>
      </c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46" t="n"/>
      <c r="AG257" s="22" t="n"/>
      <c r="AH257" s="43" t="n"/>
      <c r="AI257" s="43" t="n"/>
      <c r="AJ257" s="43" t="e">
        <f>AJ252/AJ253</f>
        <v>#DIV/0!</v>
      </c>
      <c r="AK257" s="43" t="e">
        <f>AK252/AK253</f>
        <v>#DIV/0!</v>
      </c>
      <c r="AL257" s="22" t="n"/>
      <c r="AM257" s="43" t="e">
        <f>AM252/AM253</f>
        <v>#DIV/0!</v>
      </c>
      <c r="AN257" s="43" t="e">
        <f>AN252/AN253</f>
        <v>#DIV/0!</v>
      </c>
      <c r="AO257" s="43" t="e">
        <f>AO252/AO253</f>
        <v>#DIV/0!</v>
      </c>
      <c r="AP257" s="43" t="e">
        <f>AP252/AP253</f>
        <v>#DIV/0!</v>
      </c>
      <c r="AQ257" s="22" t="n"/>
      <c r="AR257" s="43" t="e">
        <f>AR252/AR253</f>
        <v>#DIV/0!</v>
      </c>
      <c r="AS257" s="43" t="e">
        <f>AS252/AS253</f>
        <v>#DIV/0!</v>
      </c>
      <c r="AT257" s="43" t="e">
        <f>AT252/AT253</f>
        <v>#DIV/0!</v>
      </c>
      <c r="AU257" s="43" t="e">
        <f>AU252/AU253</f>
        <v>#DIV/0!</v>
      </c>
      <c r="AV257" s="22" t="n"/>
      <c r="AW257" s="43" t="e">
        <f>AW252/AW253</f>
        <v>#DIV/0!</v>
      </c>
      <c r="AX257" s="43" t="e">
        <f>AX252/AX253</f>
        <v>#DIV/0!</v>
      </c>
      <c r="AY257" s="43" t="e">
        <f>AY252/AY253</f>
        <v>#DIV/0!</v>
      </c>
      <c r="AZ257" s="43" t="e">
        <f>AZ252/AZ253</f>
        <v>#DIV/0!</v>
      </c>
      <c r="BA257" s="22" t="n"/>
      <c r="BB257" s="43" t="e">
        <f>BB252/BB253</f>
        <v>#DIV/0!</v>
      </c>
      <c r="BC257" s="43" t="e">
        <f>BC252/BC253</f>
        <v>#DIV/0!</v>
      </c>
      <c r="BD257" s="43" t="e">
        <f>BD252/BD253</f>
        <v>#DIV/0!</v>
      </c>
      <c r="BE257" s="43" t="e">
        <f>BE252/BE253</f>
        <v>#DIV/0!</v>
      </c>
      <c r="BF257" s="22" t="n"/>
      <c r="BG257" s="43" t="e">
        <f>BG252/BG253</f>
        <v>#DIV/0!</v>
      </c>
      <c r="BH257" s="43" t="e">
        <f>BH252/BH253</f>
        <v>#DIV/0!</v>
      </c>
      <c r="BI257" s="43" t="e">
        <f>BI252/BI253</f>
        <v>#DIV/0!</v>
      </c>
      <c r="BJ257" s="43" t="e">
        <f>BJ252/BJ253</f>
        <v>#DIV/0!</v>
      </c>
      <c r="BK257" s="22" t="n"/>
      <c r="BL257" s="43" t="e">
        <f>BL252/BL253</f>
        <v>#DIV/0!</v>
      </c>
      <c r="BM257" s="43" t="e">
        <f>BM252/BM253</f>
        <v>#DIV/0!</v>
      </c>
      <c r="BN257" s="43" t="e">
        <f>BN252/BN253</f>
        <v>#DIV/0!</v>
      </c>
      <c r="BO257" s="43" t="e">
        <f>BO252/BO253</f>
        <v>#DIV/0!</v>
      </c>
      <c r="BP257" s="22" t="n"/>
      <c r="BQ257" s="43" t="e">
        <f>BQ252/BQ253</f>
        <v>#DIV/0!</v>
      </c>
      <c r="BR257" s="43" t="e">
        <f>BR252/BR253</f>
        <v>#DIV/0!</v>
      </c>
      <c r="BS257" s="43" t="e">
        <f>BS252/BS253</f>
        <v>#DIV/0!</v>
      </c>
      <c r="BT257" s="43" t="e">
        <f>BT252/BT253</f>
        <v>#DIV/0!</v>
      </c>
      <c r="BU257" s="22" t="n"/>
      <c r="BV257" s="43" t="e">
        <f>BV252/BV253</f>
        <v>#DIV/0!</v>
      </c>
      <c r="BW257" s="43" t="e">
        <f>BW252/BW253</f>
        <v>#DIV/0!</v>
      </c>
      <c r="BX257" s="43" t="e">
        <f>BX252/BX253</f>
        <v>#DIV/0!</v>
      </c>
      <c r="BY257" s="43" t="e">
        <f>BY252/BY253</f>
        <v>#DIV/0!</v>
      </c>
      <c r="BZ257" s="22" t="n"/>
      <c r="CA257" s="43" t="e">
        <f>CA252/CA253</f>
        <v>#DIV/0!</v>
      </c>
      <c r="CB257" s="43" t="e">
        <f>CB252/CB253</f>
        <v>#DIV/0!</v>
      </c>
      <c r="CC257" s="43" t="e">
        <f>CC252/CC253</f>
        <v>#DIV/0!</v>
      </c>
      <c r="CD257" s="43" t="e">
        <f>CD252/CD253</f>
        <v>#DIV/0!</v>
      </c>
      <c r="CE257" s="22" t="n"/>
      <c r="CF257" s="43" t="e">
        <f>CF252/CF253</f>
        <v>#DIV/0!</v>
      </c>
      <c r="CG257" s="43" t="e">
        <f>CG252/CG253</f>
        <v>#DIV/0!</v>
      </c>
      <c r="CH257" s="43" t="e">
        <f>CH252/CH253</f>
        <v>#DIV/0!</v>
      </c>
      <c r="CI257" s="43" t="e">
        <f>CI252/CI253</f>
        <v>#DIV/0!</v>
      </c>
      <c r="CJ257" s="22" t="n"/>
      <c r="CK257" s="43" t="e">
        <f>CK252/CK253</f>
        <v>#DIV/0!</v>
      </c>
      <c r="CL257" s="43" t="e">
        <f>CL252/CL253</f>
        <v>#DIV/0!</v>
      </c>
      <c r="CM257" s="43" t="e">
        <f>CM252/CM253</f>
        <v>#DIV/0!</v>
      </c>
      <c r="CN257" s="43" t="e">
        <f>CN252/CN253</f>
        <v>#DIV/0!</v>
      </c>
      <c r="CO257" s="22" t="n"/>
      <c r="CP257" s="43" t="e">
        <f>CP252/CP253</f>
        <v>#DIV/0!</v>
      </c>
      <c r="CQ257" s="43" t="e">
        <f>CQ252/CQ253</f>
        <v>#DIV/0!</v>
      </c>
      <c r="CR257" s="43" t="e">
        <f>CR252/CR253</f>
        <v>#DIV/0!</v>
      </c>
      <c r="CS257" s="43" t="e">
        <f>CS252/CS253</f>
        <v>#DIV/0!</v>
      </c>
      <c r="CT257" s="22" t="n"/>
      <c r="CU257" s="43" t="e">
        <f>CU252/CU253</f>
        <v>#DIV/0!</v>
      </c>
      <c r="CV257" s="43" t="e">
        <f>CV252/CV253</f>
        <v>#DIV/0!</v>
      </c>
      <c r="CW257" s="43" t="e">
        <f>CW252/CW253</f>
        <v>#DIV/0!</v>
      </c>
      <c r="CX257" s="43" t="e">
        <f>CX252/CX253</f>
        <v>#DIV/0!</v>
      </c>
      <c r="CY257" s="22" t="n"/>
    </row>
    <row r="258" hidden="1" outlineLevel="1" customFormat="1" s="39">
      <c r="A258" s="19" t="n"/>
      <c r="B258" s="19" t="n"/>
      <c r="C258" s="41" t="inlineStr">
        <is>
          <t>End of period basic shares outstanding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51" t="n"/>
      <c r="AH258" s="1">
        <f>AG258+AH257-AH256</f>
        <v>0</v>
      </c>
      <c r="AI258" s="1">
        <f>AH258+AI257-AI256</f>
        <v>0</v>
      </c>
      <c r="AJ258" s="43" t="e">
        <f>AI258+AJ257-AJ256</f>
        <v>#DIV/0!</v>
      </c>
      <c r="AK258" s="43" t="e">
        <f>AJ258+AK257-AK256</f>
        <v>#DIV/0!</v>
      </c>
      <c r="AL258" s="22" t="n"/>
      <c r="AM258" s="1" t="e">
        <f>AK258+AM257-AM256</f>
        <v>#DIV/0!</v>
      </c>
      <c r="AN258" s="1" t="e">
        <f>AM258+AN257-AN256</f>
        <v>#DIV/0!</v>
      </c>
      <c r="AO258" s="43" t="e">
        <f>AN258+AO257-AO256</f>
        <v>#DIV/0!</v>
      </c>
      <c r="AP258" s="43" t="e">
        <f>AO258+AP257-AP256</f>
        <v>#DIV/0!</v>
      </c>
      <c r="AQ258" s="22" t="n"/>
      <c r="AR258" s="1" t="e">
        <f>AP258+AR257-AR256</f>
        <v>#DIV/0!</v>
      </c>
      <c r="AS258" s="1" t="e">
        <f>AR258+AS257-AS256</f>
        <v>#DIV/0!</v>
      </c>
      <c r="AT258" s="43" t="e">
        <f>AS258+AT257-AT256</f>
        <v>#DIV/0!</v>
      </c>
      <c r="AU258" s="43" t="e">
        <f>AT258+AU257-AU256</f>
        <v>#DIV/0!</v>
      </c>
      <c r="AV258" s="22" t="n"/>
      <c r="AW258" s="1" t="e">
        <f>AU258+AW257-AW256</f>
        <v>#DIV/0!</v>
      </c>
      <c r="AX258" s="1" t="e">
        <f>AW258+AX257-AX256</f>
        <v>#DIV/0!</v>
      </c>
      <c r="AY258" s="43" t="e">
        <f>AX258+AY257-AY256</f>
        <v>#DIV/0!</v>
      </c>
      <c r="AZ258" s="43" t="e">
        <f>AY258+AZ257-AZ256</f>
        <v>#DIV/0!</v>
      </c>
      <c r="BA258" s="22" t="n"/>
      <c r="BB258" s="1" t="e">
        <f>AZ258+BB257-BB256</f>
        <v>#DIV/0!</v>
      </c>
      <c r="BC258" s="1" t="e">
        <f>BB258+BC257-BC256</f>
        <v>#DIV/0!</v>
      </c>
      <c r="BD258" s="43" t="e">
        <f>BC258+BD257-BD256</f>
        <v>#DIV/0!</v>
      </c>
      <c r="BE258" s="43" t="e">
        <f>BD258+BE257-BE256</f>
        <v>#DIV/0!</v>
      </c>
      <c r="BF258" s="22" t="n"/>
      <c r="BG258" s="1" t="e">
        <f>BE258+BG257-BG256</f>
        <v>#DIV/0!</v>
      </c>
      <c r="BH258" s="1" t="e">
        <f>BG258+BH257-BH256</f>
        <v>#DIV/0!</v>
      </c>
      <c r="BI258" s="43" t="e">
        <f>BH258+BI257-BI256</f>
        <v>#DIV/0!</v>
      </c>
      <c r="BJ258" s="43" t="e">
        <f>BI258+BJ257-BJ256</f>
        <v>#DIV/0!</v>
      </c>
      <c r="BK258" s="22" t="n"/>
      <c r="BL258" s="1" t="e">
        <f>BJ258+BL257-BL256</f>
        <v>#DIV/0!</v>
      </c>
      <c r="BM258" s="1" t="e">
        <f>BL258+BM257-BM256</f>
        <v>#DIV/0!</v>
      </c>
      <c r="BN258" s="43" t="e">
        <f>BM258+BN257-BN256</f>
        <v>#DIV/0!</v>
      </c>
      <c r="BO258" s="43" t="e">
        <f>BN258+BO257-BO256</f>
        <v>#DIV/0!</v>
      </c>
      <c r="BP258" s="22" t="n"/>
      <c r="BQ258" s="1" t="e">
        <f>BO258+BQ257-BQ256</f>
        <v>#DIV/0!</v>
      </c>
      <c r="BR258" s="1" t="e">
        <f>BQ258+BR257-BR256</f>
        <v>#DIV/0!</v>
      </c>
      <c r="BS258" s="43" t="e">
        <f>BR258+BS257-BS256</f>
        <v>#DIV/0!</v>
      </c>
      <c r="BT258" s="43" t="e">
        <f>BS258+BT257-BT256</f>
        <v>#DIV/0!</v>
      </c>
      <c r="BU258" s="22" t="n"/>
      <c r="BV258" s="1" t="e">
        <f>BT258+BV257-BV256</f>
        <v>#DIV/0!</v>
      </c>
      <c r="BW258" s="1" t="e">
        <f>BV258+BW257-BW256</f>
        <v>#DIV/0!</v>
      </c>
      <c r="BX258" s="43" t="e">
        <f>BW258+BX257-BX256</f>
        <v>#DIV/0!</v>
      </c>
      <c r="BY258" s="43" t="e">
        <f>BX258+BY257-BY256</f>
        <v>#DIV/0!</v>
      </c>
      <c r="BZ258" s="22" t="n"/>
      <c r="CA258" s="1" t="e">
        <f>BY258+CA257-CA256</f>
        <v>#DIV/0!</v>
      </c>
      <c r="CB258" s="1" t="e">
        <f>CA258+CB257-CB256</f>
        <v>#DIV/0!</v>
      </c>
      <c r="CC258" s="43" t="e">
        <f>CB258+CC257-CC256</f>
        <v>#DIV/0!</v>
      </c>
      <c r="CD258" s="43" t="e">
        <f>CC258+CD257-CD256</f>
        <v>#DIV/0!</v>
      </c>
      <c r="CE258" s="22" t="n"/>
      <c r="CF258" s="1" t="e">
        <f>CD258+CF257-CF256</f>
        <v>#DIV/0!</v>
      </c>
      <c r="CG258" s="1" t="e">
        <f>CF258+CG257-CG256</f>
        <v>#DIV/0!</v>
      </c>
      <c r="CH258" s="43" t="e">
        <f>CG258+CH257-CH256</f>
        <v>#DIV/0!</v>
      </c>
      <c r="CI258" s="43" t="e">
        <f>CH258+CI257-CI256</f>
        <v>#DIV/0!</v>
      </c>
      <c r="CJ258" s="22" t="n"/>
      <c r="CK258" s="1" t="e">
        <f>CI258+CK257-CK256</f>
        <v>#DIV/0!</v>
      </c>
      <c r="CL258" s="1" t="e">
        <f>CK258+CL257-CL256</f>
        <v>#DIV/0!</v>
      </c>
      <c r="CM258" s="43" t="e">
        <f>CL258+CM257-CM256</f>
        <v>#DIV/0!</v>
      </c>
      <c r="CN258" s="43" t="e">
        <f>CM258+CN257-CN256</f>
        <v>#DIV/0!</v>
      </c>
      <c r="CO258" s="22" t="n"/>
      <c r="CP258" s="1" t="e">
        <f>CN258+CP257-CP256</f>
        <v>#DIV/0!</v>
      </c>
      <c r="CQ258" s="1" t="e">
        <f>CP258+CQ257-CQ256</f>
        <v>#DIV/0!</v>
      </c>
      <c r="CR258" s="43" t="e">
        <f>CQ258+CR257-CR256</f>
        <v>#DIV/0!</v>
      </c>
      <c r="CS258" s="43" t="e">
        <f>CR258+CS257-CS256</f>
        <v>#DIV/0!</v>
      </c>
      <c r="CT258" s="22" t="n"/>
      <c r="CU258" s="1" t="e">
        <f>CS258+CU257-CU256</f>
        <v>#DIV/0!</v>
      </c>
      <c r="CV258" s="1" t="e">
        <f>CU258+CV257-CV256</f>
        <v>#DIV/0!</v>
      </c>
      <c r="CW258" s="43" t="e">
        <f>CV258+CW257-CW256</f>
        <v>#DIV/0!</v>
      </c>
      <c r="CX258" s="43" t="e">
        <f>CW258+CX257-CX256</f>
        <v>#DIV/0!</v>
      </c>
      <c r="CY258" s="22" t="n"/>
      <c r="CZ258" t="e">
        <f>CX258+CZ257-CZ256</f>
        <v>#DIV/0!</v>
      </c>
      <c r="DA258" t="e">
        <f>CZ258+DA257-DA256</f>
        <v>#DIV/0!</v>
      </c>
      <c r="DB258" t="e">
        <f>DA258+DB257-DB256</f>
        <v>#DIV/0!</v>
      </c>
      <c r="DC258" t="e">
        <f>DB258+DC257-DC256</f>
        <v>#DIV/0!</v>
      </c>
    </row>
    <row r="259" hidden="1" outlineLevel="1" customFormat="1" s="39">
      <c r="A259" s="19" t="n"/>
      <c r="B259" s="19" t="n"/>
      <c r="C259" s="41" t="inlineStr">
        <is>
          <t>Weighted average basic shares outstanding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43">
        <f>AVERAGE(AG258,AH258)</f>
        <v>0</v>
      </c>
      <c r="AI259" s="43">
        <f>AVERAGE(AH258,AI258)</f>
        <v>0</v>
      </c>
      <c r="AJ259" s="43" t="e">
        <f>AVERAGE(AI258,AJ258)</f>
        <v>#DIV/0!</v>
      </c>
      <c r="AK259" s="43" t="e">
        <f>AVERAGE(AJ258,AK258)</f>
        <v>#DIV/0!</v>
      </c>
      <c r="AL259" s="22" t="n"/>
      <c r="AM259" s="43" t="e">
        <f>AVERAGE(AK258,AM258)</f>
        <v>#DIV/0!</v>
      </c>
      <c r="AN259" s="43" t="e">
        <f>AVERAGE(AM258,AN258)</f>
        <v>#DIV/0!</v>
      </c>
      <c r="AO259" s="43" t="e">
        <f>AVERAGE(AN258,AO258)</f>
        <v>#DIV/0!</v>
      </c>
      <c r="AP259" s="43" t="e">
        <f>AVERAGE(AO258,AP258)</f>
        <v>#DIV/0!</v>
      </c>
      <c r="AQ259" s="22" t="n"/>
      <c r="AR259" s="43" t="e">
        <f>AVERAGE(AP258,AR258)</f>
        <v>#DIV/0!</v>
      </c>
      <c r="AS259" s="43" t="e">
        <f>AVERAGE(AR258,AS258)</f>
        <v>#DIV/0!</v>
      </c>
      <c r="AT259" s="43" t="e">
        <f>AVERAGE(AS258,AT258)</f>
        <v>#DIV/0!</v>
      </c>
      <c r="AU259" s="43" t="e">
        <f>AVERAGE(AT258,AU258)</f>
        <v>#DIV/0!</v>
      </c>
      <c r="AV259" s="22" t="n"/>
      <c r="AW259" s="43" t="e">
        <f>AVERAGE(AU258,AW258)</f>
        <v>#DIV/0!</v>
      </c>
      <c r="AX259" s="43" t="e">
        <f>AVERAGE(AW258,AX258)</f>
        <v>#DIV/0!</v>
      </c>
      <c r="AY259" s="43" t="e">
        <f>AVERAGE(AX258,AY258)</f>
        <v>#DIV/0!</v>
      </c>
      <c r="AZ259" s="43" t="e">
        <f>AVERAGE(AY258,AZ258)</f>
        <v>#DIV/0!</v>
      </c>
      <c r="BA259" s="22" t="n"/>
      <c r="BB259" s="43" t="e">
        <f>AVERAGE(AZ258,BB258)</f>
        <v>#DIV/0!</v>
      </c>
      <c r="BC259" s="43" t="e">
        <f>AVERAGE(BB258,BC258)</f>
        <v>#DIV/0!</v>
      </c>
      <c r="BD259" s="43" t="e">
        <f>AVERAGE(BC258,BD258)</f>
        <v>#DIV/0!</v>
      </c>
      <c r="BE259" s="43" t="e">
        <f>AVERAGE(BD258,BE258)</f>
        <v>#DIV/0!</v>
      </c>
      <c r="BF259" s="22" t="n"/>
      <c r="BG259" s="43" t="e">
        <f>AVERAGE(BE258,BG258)</f>
        <v>#DIV/0!</v>
      </c>
      <c r="BH259" s="43" t="e">
        <f>AVERAGE(BG258,BH258)</f>
        <v>#DIV/0!</v>
      </c>
      <c r="BI259" s="43" t="e">
        <f>AVERAGE(BH258,BI258)</f>
        <v>#DIV/0!</v>
      </c>
      <c r="BJ259" s="43" t="e">
        <f>AVERAGE(BI258,BJ258)</f>
        <v>#DIV/0!</v>
      </c>
      <c r="BK259" s="22" t="n"/>
      <c r="BL259" s="43" t="e">
        <f>AVERAGE(BJ258,BL258)</f>
        <v>#DIV/0!</v>
      </c>
      <c r="BM259" s="43" t="e">
        <f>AVERAGE(BL258,BM258)</f>
        <v>#DIV/0!</v>
      </c>
      <c r="BN259" s="43" t="e">
        <f>AVERAGE(BM258,BN258)</f>
        <v>#DIV/0!</v>
      </c>
      <c r="BO259" s="43" t="e">
        <f>AVERAGE(BN258,BO258)</f>
        <v>#DIV/0!</v>
      </c>
      <c r="BP259" s="22" t="n"/>
      <c r="BQ259" s="43" t="e">
        <f>AVERAGE(BO258,BQ258)</f>
        <v>#DIV/0!</v>
      </c>
      <c r="BR259" s="43" t="e">
        <f>AVERAGE(BQ258,BR258)</f>
        <v>#DIV/0!</v>
      </c>
      <c r="BS259" s="43" t="e">
        <f>AVERAGE(BR258,BS258)</f>
        <v>#DIV/0!</v>
      </c>
      <c r="BT259" s="43" t="e">
        <f>AVERAGE(BS258,BT258)</f>
        <v>#DIV/0!</v>
      </c>
      <c r="BU259" s="22" t="n"/>
      <c r="BV259" s="43" t="e">
        <f>AVERAGE(BT258,BV258)</f>
        <v>#DIV/0!</v>
      </c>
      <c r="BW259" s="43" t="e">
        <f>AVERAGE(BV258,BW258)</f>
        <v>#DIV/0!</v>
      </c>
      <c r="BX259" s="43" t="e">
        <f>AVERAGE(BW258,BX258)</f>
        <v>#DIV/0!</v>
      </c>
      <c r="BY259" s="43" t="e">
        <f>AVERAGE(BX258,BY258)</f>
        <v>#DIV/0!</v>
      </c>
      <c r="BZ259" s="22" t="n"/>
      <c r="CA259" s="43" t="e">
        <f>AVERAGE(BY258,CA258)</f>
        <v>#DIV/0!</v>
      </c>
      <c r="CB259" s="43" t="e">
        <f>AVERAGE(CA258,CB258)</f>
        <v>#DIV/0!</v>
      </c>
      <c r="CC259" s="43" t="e">
        <f>AVERAGE(CB258,CC258)</f>
        <v>#DIV/0!</v>
      </c>
      <c r="CD259" s="43" t="e">
        <f>AVERAGE(CC258,CD258)</f>
        <v>#DIV/0!</v>
      </c>
      <c r="CE259" s="22" t="n"/>
      <c r="CF259" s="43" t="e">
        <f>AVERAGE(CD258,CF258)</f>
        <v>#DIV/0!</v>
      </c>
      <c r="CG259" s="43" t="e">
        <f>AVERAGE(CF258,CG258)</f>
        <v>#DIV/0!</v>
      </c>
      <c r="CH259" s="43" t="e">
        <f>AVERAGE(CG258,CH258)</f>
        <v>#DIV/0!</v>
      </c>
      <c r="CI259" s="43" t="e">
        <f>AVERAGE(CH258,CI258)</f>
        <v>#DIV/0!</v>
      </c>
      <c r="CJ259" s="22" t="n"/>
      <c r="CK259" s="43" t="e">
        <f>AVERAGE(CI258,CK258)</f>
        <v>#DIV/0!</v>
      </c>
      <c r="CL259" s="43" t="e">
        <f>AVERAGE(CK258,CL258)</f>
        <v>#DIV/0!</v>
      </c>
      <c r="CM259" s="43" t="e">
        <f>AVERAGE(CL258,CM258)</f>
        <v>#DIV/0!</v>
      </c>
      <c r="CN259" s="43" t="e">
        <f>AVERAGE(CM258,CN258)</f>
        <v>#DIV/0!</v>
      </c>
      <c r="CO259" s="22" t="n"/>
      <c r="CP259" s="43" t="e">
        <f>AVERAGE(CN258,CP258)</f>
        <v>#DIV/0!</v>
      </c>
      <c r="CQ259" s="43" t="e">
        <f>AVERAGE(CP258,CQ258)</f>
        <v>#DIV/0!</v>
      </c>
      <c r="CR259" s="43" t="e">
        <f>AVERAGE(CQ258,CR258)</f>
        <v>#DIV/0!</v>
      </c>
      <c r="CS259" s="43" t="e">
        <f>AVERAGE(CR258,CS258)</f>
        <v>#DIV/0!</v>
      </c>
      <c r="CT259" s="22" t="n"/>
      <c r="CU259" s="43" t="e">
        <f>AVERAGE(CS258,CU258)</f>
        <v>#DIV/0!</v>
      </c>
      <c r="CV259" s="43" t="e">
        <f>AVERAGE(CU258,CV258)</f>
        <v>#DIV/0!</v>
      </c>
      <c r="CW259" s="43" t="e">
        <f>AVERAGE(CV258,CW258)</f>
        <v>#DIV/0!</v>
      </c>
      <c r="CX259" s="43" t="e">
        <f>AVERAGE(CW258,CX258)</f>
        <v>#DIV/0!</v>
      </c>
      <c r="CY259" s="22" t="n"/>
      <c r="CZ259" t="e">
        <f>AVERAGE(CX258,CZ258)</f>
        <v>#DIV/0!</v>
      </c>
      <c r="DA259" t="e">
        <f>AVERAGE(CZ258,DA258)</f>
        <v>#DIV/0!</v>
      </c>
      <c r="DB259" t="e">
        <f>AVERAGE(DA258,DB258)</f>
        <v>#DIV/0!</v>
      </c>
      <c r="DC259" t="e">
        <f>AVERAGE(DB258,DC258)</f>
        <v>#DIV/0!</v>
      </c>
    </row>
    <row r="260" hidden="1" outlineLevel="1" customFormat="1" s="39">
      <c r="A260" s="19" t="n"/>
      <c r="B260" s="19" t="n"/>
      <c r="C260" s="41" t="n"/>
      <c r="D260" s="22" t="n"/>
      <c r="E260" s="22" t="n"/>
      <c r="F260" s="22" t="n"/>
      <c r="G260" s="22" t="n"/>
      <c r="H260" s="3" t="n"/>
      <c r="I260" s="22" t="n"/>
      <c r="J260" s="22" t="n"/>
      <c r="K260" s="22" t="n"/>
      <c r="L260" s="22" t="n"/>
      <c r="M260" s="3" t="n"/>
      <c r="N260" s="22" t="n"/>
      <c r="O260" s="22" t="n"/>
      <c r="P260" s="22" t="n"/>
      <c r="Q260" s="22" t="n"/>
      <c r="R260" s="3" t="n"/>
      <c r="S260" s="22" t="n"/>
      <c r="T260" s="22" t="n"/>
      <c r="U260" s="22" t="n"/>
      <c r="V260" s="22" t="n"/>
      <c r="W260" s="3" t="n"/>
      <c r="X260" s="22" t="n"/>
      <c r="Y260" s="22" t="n"/>
      <c r="Z260" s="22" t="n"/>
      <c r="AA260" s="22" t="n"/>
      <c r="AB260" s="3" t="n"/>
      <c r="AC260" s="22" t="n"/>
      <c r="AD260" s="22" t="n"/>
      <c r="AE260" s="22" t="n"/>
      <c r="AF260" s="22" t="n"/>
      <c r="AG260" s="3" t="n"/>
      <c r="AH260" s="22" t="n"/>
      <c r="AI260" s="22" t="n"/>
      <c r="AJ260" s="22" t="n"/>
      <c r="AK260" s="22" t="n"/>
      <c r="AL260" s="3" t="n"/>
      <c r="AM260" s="22" t="n"/>
      <c r="AN260" s="22" t="n"/>
      <c r="AO260" s="22" t="n"/>
      <c r="AP260" s="22" t="n"/>
      <c r="AQ260" s="3" t="n"/>
      <c r="AR260" s="22" t="n"/>
      <c r="AS260" s="22" t="n"/>
      <c r="AT260" s="22" t="n"/>
      <c r="AU260" s="22" t="n"/>
      <c r="AV260" s="3" t="n"/>
      <c r="AW260" s="22" t="n"/>
      <c r="AX260" s="22" t="n"/>
      <c r="AY260" s="22" t="n"/>
      <c r="AZ260" s="22" t="n"/>
      <c r="BA260" s="3" t="n"/>
      <c r="BB260" s="22" t="n"/>
      <c r="BC260" s="22" t="n"/>
      <c r="BD260" s="22" t="n"/>
      <c r="BE260" s="22" t="n"/>
      <c r="BF260" s="3" t="n"/>
      <c r="BG260" s="22" t="n"/>
      <c r="BH260" s="22" t="n"/>
      <c r="BI260" s="22" t="n"/>
      <c r="BJ260" s="22" t="n"/>
      <c r="BK260" s="3" t="n"/>
      <c r="BL260" s="22" t="n"/>
      <c r="BM260" s="22" t="n"/>
      <c r="BN260" s="22" t="n"/>
      <c r="BO260" s="22" t="n"/>
      <c r="BP260" s="3" t="n"/>
      <c r="BQ260" s="22" t="n"/>
      <c r="BR260" s="22" t="n"/>
      <c r="BS260" s="22" t="n"/>
      <c r="BT260" s="22" t="n"/>
      <c r="BU260" s="3" t="n"/>
      <c r="BV260" s="22" t="n"/>
      <c r="BW260" s="22" t="n"/>
      <c r="BX260" s="22" t="n"/>
      <c r="BY260" s="22" t="n"/>
      <c r="BZ260" s="3" t="n"/>
      <c r="CA260" s="22" t="n"/>
      <c r="CB260" s="22" t="n"/>
      <c r="CC260" s="22" t="n"/>
      <c r="CD260" s="22" t="n"/>
      <c r="CE260" s="3" t="n"/>
      <c r="CF260" s="22" t="n"/>
      <c r="CG260" s="22" t="n"/>
      <c r="CH260" s="22" t="n"/>
      <c r="CI260" s="22" t="n"/>
      <c r="CJ260" s="3" t="n"/>
      <c r="CK260" s="22" t="n"/>
      <c r="CL260" s="22" t="n"/>
      <c r="CM260" s="22" t="n"/>
      <c r="CN260" s="22" t="n"/>
      <c r="CO260" s="3" t="n"/>
      <c r="CP260" s="22" t="n"/>
      <c r="CQ260" s="22" t="n"/>
      <c r="CR260" s="22" t="n"/>
      <c r="CS260" s="22" t="n"/>
      <c r="CT260" s="3" t="n"/>
      <c r="CU260" s="22" t="n"/>
      <c r="CV260" s="22" t="n"/>
      <c r="CW260" s="22" t="n"/>
      <c r="CX260" s="22" t="n"/>
      <c r="CY260" s="3" t="n"/>
    </row>
    <row r="261" collapsed="1">
      <c r="C261" s="26" t="inlineStr">
        <is>
          <t>Treasury stock (contra account)</t>
        </is>
      </c>
      <c r="D261" s="25">
        <f>INDEX('Inputs (2)'!$D$44:$AL$44,MATCH(D$7,'Inputs (2)'!$D$2:$AL$2,0))</f>
        <v>0</v>
      </c>
      <c r="E261" s="25">
        <f>INDEX('Inputs (2)'!$D$44:$AL$44,MATCH(E$7,'Inputs (2)'!$D$2:$AL$2,0))</f>
        <v>0</v>
      </c>
      <c r="F261" s="25">
        <f>INDEX('Inputs (2)'!$D$44:$AL$44,MATCH(F$7,'Inputs (2)'!$D$2:$AL$2,0))</f>
        <v>0</v>
      </c>
      <c r="G261" s="25">
        <f>INDEX('Inputs (2)'!$D$44:$AL$44,MATCH(G$7,'Inputs (2)'!$D$2:$AL$2,0))</f>
        <v>0</v>
      </c>
      <c r="H261" s="3">
        <f>G261</f>
        <v>0</v>
      </c>
      <c r="I261" s="25">
        <f>INDEX('Inputs (2)'!$D$44:$AL$44,MATCH(I$7,'Inputs (2)'!$D$2:$AL$2,0))</f>
        <v>0</v>
      </c>
      <c r="J261" s="25">
        <f>INDEX('Inputs (2)'!$D$44:$AL$44,MATCH(J$7,'Inputs (2)'!$D$2:$AL$2,0))</f>
        <v>-500.022</v>
      </c>
      <c r="K261" s="25">
        <f>INDEX('Inputs (2)'!$D$44:$AL$44,MATCH(K$7,'Inputs (2)'!$D$2:$AL$2,0))</f>
        <v>-600.022</v>
      </c>
      <c r="L261" s="25">
        <f>INDEX('Inputs (2)'!$D$44:$AL$44,MATCH(L$7,'Inputs (2)'!$D$2:$AL$2,0))</f>
        <v>-824.19</v>
      </c>
      <c r="M261" s="3">
        <f>L261</f>
        <v>-824.19</v>
      </c>
      <c r="N261" s="25">
        <f>INDEX('Inputs (2)'!$D$44:$AL$44,MATCH(N$7,'Inputs (2)'!$D$2:$AL$2,0))</f>
        <v>-824.19</v>
      </c>
      <c r="O261" s="25">
        <f>INDEX('Inputs (2)'!$D$44:$AL$44,MATCH(O$7,'Inputs (2)'!$D$2:$AL$2,0))</f>
        <v>-824.19</v>
      </c>
      <c r="P261" s="25">
        <f>INDEX('Inputs (2)'!$D$44:$AL$44,MATCH(P$7,'Inputs (2)'!$D$2:$AL$2,0))</f>
        <v>-824.19</v>
      </c>
      <c r="Q261" s="25">
        <f>INDEX('Inputs (2)'!$D$44:$AL$44,MATCH(Q$7,'Inputs (2)'!$D$2:$AL$2,0))</f>
        <v>-824.19</v>
      </c>
      <c r="R261" s="3">
        <f>Q261</f>
        <v>-824.19</v>
      </c>
      <c r="S261" s="25">
        <f>INDEX('Inputs (2)'!$D$44:$AL$44,MATCH(S$7,'Inputs (2)'!$D$2:$AL$2,0))</f>
        <v>-1228.92</v>
      </c>
      <c r="T261" s="25">
        <f>INDEX('Inputs (2)'!$D$44:$AL$44,MATCH(T$7,'Inputs (2)'!$D$2:$AL$2,0))</f>
        <v>-1876.753</v>
      </c>
      <c r="U261" s="25">
        <f>INDEX('Inputs (2)'!$D$44:$AL$44,MATCH(U$7,'Inputs (2)'!$D$2:$AL$2,0))</f>
        <v>-4399.677</v>
      </c>
      <c r="V261" s="25">
        <f>INDEX('Inputs (2)'!$D$44:$AL$44,MATCH(V$7,'Inputs (2)'!$D$2:$AL$2,0))</f>
        <v>-6922.2</v>
      </c>
      <c r="W261" s="3">
        <f>V261</f>
        <v>-6922.2</v>
      </c>
      <c r="X261" s="25">
        <f>INDEX('Inputs (2)'!$D$44:$AL$44,MATCH(X$7,'Inputs (2)'!$D$2:$AL$2,0))</f>
        <v>-8934.056</v>
      </c>
      <c r="Y261" s="25">
        <f>INDEX('Inputs (2)'!$D$44:$AL$44,MATCH(Y$7,'Inputs (2)'!$D$2:$AL$2,0))</f>
        <v>-10547.055</v>
      </c>
      <c r="Z261" s="25">
        <f>INDEX('Inputs (2)'!$D$44:$AL$44,MATCH(Z$7,'Inputs (2)'!$D$2:$AL$2,0))</f>
        <v>-12254.855</v>
      </c>
      <c r="AA261" s="25">
        <f>INDEX('Inputs (2)'!$D$44:$AL$44,MATCH(AA$7,'Inputs (2)'!$D$2:$AL$2,0))</f>
        <v>-13171.638</v>
      </c>
      <c r="AB261" s="3">
        <f>AA261</f>
        <v>-13171.638</v>
      </c>
      <c r="AC261" s="25">
        <f>INDEX('Inputs (2)'!$D$44:$AL$44,MATCH(AC$7,'Inputs (2)'!$D$2:$AL$2,0))</f>
        <v>-16754.929</v>
      </c>
      <c r="AD261" s="25">
        <f>INDEX('Inputs (2)'!$D$44:$AL$44,MATCH(AD$7,'Inputs (2)'!$D$2:$AL$2,0))</f>
        <v>-18392.942</v>
      </c>
      <c r="AE261" s="25">
        <f>INDEX('Inputs (2)'!$D$44:$AL$44,MATCH(AE$7,'Inputs (2)'!$D$2:$AL$2,0))</f>
        <v>-20270.631</v>
      </c>
      <c r="AF261" s="25">
        <f>INDEX('Inputs (2)'!$D$44:$AL$44,MATCH(AF$7,'Inputs (2)'!$D$2:$AL$2,0))</f>
        <v>-22372.658</v>
      </c>
      <c r="AG261" s="3">
        <f>AF261</f>
        <v>-22372.658</v>
      </c>
      <c r="AH261" s="3">
        <f>INDEX('Inputs (2)'!$D$44:$AL$44,MATCH(AH$7,'Inputs (2)'!$D$2:$AL$2,0))</f>
        <v>-23681.974</v>
      </c>
      <c r="AI261" s="3">
        <f>INDEX('Inputs (2)'!$D$44:$AL$44,MATCH(AI$7,'Inputs (2)'!$D$2:$AL$2,0))</f>
        <v>-28387.657</v>
      </c>
      <c r="AJ261" s="3">
        <f>AI261+AJ251</f>
        <v>-28387.657</v>
      </c>
      <c r="AK261" s="3">
        <f>AJ261+AK251</f>
        <v>-28387.657</v>
      </c>
      <c r="AL261" s="3">
        <f>AK261</f>
        <v>-28387.657</v>
      </c>
      <c r="AM261" s="3">
        <f>AL261+AM251</f>
        <v>-28387.657</v>
      </c>
      <c r="AN261" s="3">
        <f>AM261+AN251</f>
        <v>-28387.657</v>
      </c>
      <c r="AO261" s="3">
        <f>AN261+AO251</f>
        <v>-28387.657</v>
      </c>
      <c r="AP261" s="3">
        <f>AO261+AP251</f>
        <v>-28387.657</v>
      </c>
      <c r="AQ261" s="3">
        <f>AP261</f>
        <v>-28387.657</v>
      </c>
      <c r="AR261" s="3">
        <f>AQ261+AR251</f>
        <v>-28387.657</v>
      </c>
      <c r="AS261" s="3">
        <f>AR261+AS251</f>
        <v>-28387.657</v>
      </c>
      <c r="AT261" s="3">
        <f>AS261+AT251</f>
        <v>-28387.657</v>
      </c>
      <c r="AU261" s="3">
        <f>AT261+AU251</f>
        <v>-28387.657</v>
      </c>
      <c r="AV261" s="3">
        <f>AU261</f>
        <v>-28387.657</v>
      </c>
      <c r="AW261" s="3">
        <f>AV261+AW251</f>
        <v>-28387.657</v>
      </c>
      <c r="AX261" s="3">
        <f>AW261+AX251</f>
        <v>-28387.657</v>
      </c>
      <c r="AY261" s="3">
        <f>AX261+AY251</f>
        <v>-28387.657</v>
      </c>
      <c r="AZ261" s="3">
        <f>AY261+AZ251</f>
        <v>-28387.657</v>
      </c>
      <c r="BA261" s="3">
        <f>AZ261</f>
        <v>-28387.657</v>
      </c>
      <c r="BB261" s="3">
        <f>BA261+BB251</f>
        <v>-28387.657</v>
      </c>
      <c r="BC261" s="3">
        <f>BB261+BC251</f>
        <v>-28387.657</v>
      </c>
      <c r="BD261" s="3">
        <f>BC261+BD251</f>
        <v>-28387.657</v>
      </c>
      <c r="BE261" s="3">
        <f>BD261+BE251</f>
        <v>-28387.657</v>
      </c>
      <c r="BF261" s="3">
        <f>BE261</f>
        <v>-28387.657</v>
      </c>
      <c r="BG261" s="3">
        <f>BF261+BG251</f>
        <v>-28387.657</v>
      </c>
      <c r="BH261" s="3">
        <f>BG261+BH251</f>
        <v>-28387.657</v>
      </c>
      <c r="BI261" s="3">
        <f>BH261+BI251</f>
        <v>-28387.657</v>
      </c>
      <c r="BJ261" s="3">
        <f>BI261+BJ251</f>
        <v>-28387.657</v>
      </c>
      <c r="BK261" s="3">
        <f>BJ261</f>
        <v>-28387.657</v>
      </c>
      <c r="BL261" s="3">
        <f>BK261+BL251</f>
        <v>-28387.657</v>
      </c>
      <c r="BM261" s="3">
        <f>BL261+BM251</f>
        <v>-28387.657</v>
      </c>
      <c r="BN261" s="3">
        <f>BM261+BN251</f>
        <v>-28387.657</v>
      </c>
      <c r="BO261" s="3">
        <f>BN261+BO251</f>
        <v>-28387.657</v>
      </c>
      <c r="BP261" s="3">
        <f>BO261</f>
        <v>-28387.657</v>
      </c>
      <c r="BQ261" s="3">
        <f>BP261+BQ251</f>
        <v>-28387.657</v>
      </c>
      <c r="BR261" s="3">
        <f>BQ261+BR251</f>
        <v>-28387.657</v>
      </c>
      <c r="BS261" s="3">
        <f>BR261+BS251</f>
        <v>-28387.657</v>
      </c>
      <c r="BT261" s="3">
        <f>BS261+BT251</f>
        <v>-28387.657</v>
      </c>
      <c r="BU261" s="3">
        <f>BT261</f>
        <v>-28387.657</v>
      </c>
      <c r="BV261" s="3">
        <f>BU261+BV251</f>
        <v>-28387.657</v>
      </c>
      <c r="BW261" s="3">
        <f>BV261+BW251</f>
        <v>-28387.657</v>
      </c>
      <c r="BX261" s="3">
        <f>BW261+BX251</f>
        <v>-28387.657</v>
      </c>
      <c r="BY261" s="3">
        <f>BX261+BY251</f>
        <v>-28387.657</v>
      </c>
      <c r="BZ261" s="3">
        <f>BY261</f>
        <v>-28387.657</v>
      </c>
      <c r="CA261" s="3">
        <f>BZ261+CA251</f>
        <v>-28387.657</v>
      </c>
      <c r="CB261" s="3">
        <f>CA261+CB251</f>
        <v>-28387.657</v>
      </c>
      <c r="CC261" s="3">
        <f>CB261+CC251</f>
        <v>-28387.657</v>
      </c>
      <c r="CD261" s="3">
        <f>CC261+CD251</f>
        <v>-28387.657</v>
      </c>
      <c r="CE261" s="3">
        <f>CD261</f>
        <v>-28387.657</v>
      </c>
      <c r="CF261" s="3">
        <f>CE261+CF251</f>
        <v>-28387.657</v>
      </c>
      <c r="CG261" s="3">
        <f>CF261+CG251</f>
        <v>-28387.657</v>
      </c>
      <c r="CH261" s="3">
        <f>CG261+CH251</f>
        <v>-28387.657</v>
      </c>
      <c r="CI261" s="3">
        <f>CH261+CI251</f>
        <v>-28387.657</v>
      </c>
      <c r="CJ261" s="3">
        <f>CI261</f>
        <v>-28387.657</v>
      </c>
      <c r="CK261" s="3">
        <f>CJ261+CK251</f>
        <v>-28387.657</v>
      </c>
      <c r="CL261" s="3">
        <f>CK261+CL251</f>
        <v>-28387.657</v>
      </c>
      <c r="CM261" s="3">
        <f>CL261+CM251</f>
        <v>-28387.657</v>
      </c>
      <c r="CN261" s="3">
        <f>CM261+CN251</f>
        <v>-28387.657</v>
      </c>
      <c r="CO261" s="3">
        <f>CN261</f>
        <v>-28387.657</v>
      </c>
      <c r="CP261" s="3">
        <f>CO261+CP251</f>
        <v>-28387.657</v>
      </c>
      <c r="CQ261" s="3">
        <f>CP261+CQ251</f>
        <v>-28387.657</v>
      </c>
      <c r="CR261" s="3">
        <f>CQ261+CR251</f>
        <v>-28387.657</v>
      </c>
      <c r="CS261" s="3">
        <f>CR261+CS251</f>
        <v>-28387.657</v>
      </c>
      <c r="CT261" s="3">
        <f>CS261</f>
        <v>-28387.657</v>
      </c>
      <c r="CU261" s="3">
        <f>CT261+CU251</f>
        <v>-28387.657</v>
      </c>
      <c r="CV261" s="3">
        <f>CU261+CV251</f>
        <v>-28387.657</v>
      </c>
      <c r="CW261" s="3">
        <f>CV261+CW251</f>
        <v>-28387.657</v>
      </c>
      <c r="CX261" s="3">
        <f>CW261+CX251</f>
        <v>-28387.657</v>
      </c>
      <c r="CY261" s="3">
        <f>CX261</f>
        <v>-28387.657</v>
      </c>
    </row>
    <row r="262">
      <c r="C262" s="26" t="inlineStr">
        <is>
          <t>Comprehensive (accumulated) loss</t>
        </is>
      </c>
      <c r="D262" s="25">
        <f>INDEX('Inputs (2)'!$D$45:$AL$45,MATCH(D$7,'Inputs (2)'!$D$2:$AL$2,0))</f>
        <v>-47.054</v>
      </c>
      <c r="E262" s="25">
        <f>INDEX('Inputs (2)'!$D$45:$AL$45,MATCH(E$7,'Inputs (2)'!$D$2:$AL$2,0))</f>
        <v>-34.072</v>
      </c>
      <c r="F262" s="25">
        <f>INDEX('Inputs (2)'!$D$45:$AL$45,MATCH(F$7,'Inputs (2)'!$D$2:$AL$2,0))</f>
        <v>-1.147</v>
      </c>
      <c r="G262" s="25">
        <f>INDEX('Inputs (2)'!$D$45:$AL$45,MATCH(G$7,'Inputs (2)'!$D$2:$AL$2,0))</f>
        <v>44.398</v>
      </c>
      <c r="H262" s="3">
        <f>G262</f>
        <v>44.398</v>
      </c>
      <c r="I262" s="25">
        <f>INDEX('Inputs (2)'!$D$45:$AL$45,MATCH(I$7,'Inputs (2)'!$D$2:$AL$2,0))</f>
        <v>4.137</v>
      </c>
      <c r="J262" s="25">
        <f>INDEX('Inputs (2)'!$D$45:$AL$45,MATCH(J$7,'Inputs (2)'!$D$2:$AL$2,0))</f>
        <v>9.775</v>
      </c>
      <c r="K262" s="25">
        <f>INDEX('Inputs (2)'!$D$45:$AL$45,MATCH(K$7,'Inputs (2)'!$D$2:$AL$2,0))</f>
        <v>-19.835</v>
      </c>
      <c r="L262" s="25">
        <f>INDEX('Inputs (2)'!$D$45:$AL$45,MATCH(L$7,'Inputs (2)'!$D$2:$AL$2,0))</f>
        <v>-40.495</v>
      </c>
      <c r="M262" s="3">
        <f>L262</f>
        <v>-40.495</v>
      </c>
      <c r="N262" s="25">
        <f>INDEX('Inputs (2)'!$D$45:$AL$45,MATCH(N$7,'Inputs (2)'!$D$2:$AL$2,0))</f>
        <v>-74.17</v>
      </c>
      <c r="O262" s="25">
        <f>INDEX('Inputs (2)'!$D$45:$AL$45,MATCH(O$7,'Inputs (2)'!$D$2:$AL$2,0))</f>
        <v>-144.476</v>
      </c>
      <c r="P262" s="25">
        <f>INDEX('Inputs (2)'!$D$45:$AL$45,MATCH(P$7,'Inputs (2)'!$D$2:$AL$2,0))</f>
        <v>-247.643</v>
      </c>
      <c r="Q262" s="25">
        <f>INDEX('Inputs (2)'!$D$45:$AL$45,MATCH(Q$7,'Inputs (2)'!$D$2:$AL$2,0))</f>
        <v>-217.306</v>
      </c>
      <c r="R262" s="3">
        <f>Q262</f>
        <v>-217.306</v>
      </c>
      <c r="S262" s="25">
        <f>INDEX('Inputs (2)'!$D$45:$AL$45,MATCH(S$7,'Inputs (2)'!$D$2:$AL$2,0))</f>
        <v>-191.695</v>
      </c>
      <c r="T262" s="25">
        <f>INDEX('Inputs (2)'!$D$45:$AL$45,MATCH(T$7,'Inputs (2)'!$D$2:$AL$2,0))</f>
        <v>-139.266</v>
      </c>
      <c r="U262" s="25">
        <f>INDEX('Inputs (2)'!$D$45:$AL$45,MATCH(U$7,'Inputs (2)'!$D$2:$AL$2,0))</f>
        <v>-155.571</v>
      </c>
      <c r="V262" s="25">
        <f>INDEX('Inputs (2)'!$D$45:$AL$45,MATCH(V$7,'Inputs (2)'!$D$2:$AL$2,0))</f>
        <v>-223.945</v>
      </c>
      <c r="W262" s="3">
        <f>V262</f>
        <v>-223.945</v>
      </c>
      <c r="X262" s="25">
        <f>INDEX('Inputs (2)'!$D$45:$AL$45,MATCH(X$7,'Inputs (2)'!$D$2:$AL$2,0))</f>
        <v>-111.879</v>
      </c>
      <c r="Y262" s="25">
        <f>INDEX('Inputs (2)'!$D$45:$AL$45,MATCH(Y$7,'Inputs (2)'!$D$2:$AL$2,0))</f>
        <v>-89.114</v>
      </c>
      <c r="Z262" s="25">
        <f>INDEX('Inputs (2)'!$D$45:$AL$45,MATCH(Z$7,'Inputs (2)'!$D$2:$AL$2,0))</f>
        <v>-344.622</v>
      </c>
      <c r="AA262" s="25">
        <f>INDEX('Inputs (2)'!$D$45:$AL$45,MATCH(AA$7,'Inputs (2)'!$D$2:$AL$2,0))</f>
        <v>362.162</v>
      </c>
      <c r="AB262" s="3">
        <f>AA262</f>
        <v>362.162</v>
      </c>
      <c r="AC262" s="25">
        <f>INDEX('Inputs (2)'!$D$45:$AL$45,MATCH(AC$7,'Inputs (2)'!$D$2:$AL$2,0))</f>
        <v>-85.735</v>
      </c>
      <c r="AD262" s="25">
        <f>INDEX('Inputs (2)'!$D$45:$AL$45,MATCH(AD$7,'Inputs (2)'!$D$2:$AL$2,0))</f>
        <v>-904.668</v>
      </c>
      <c r="AE262" s="25">
        <f>INDEX('Inputs (2)'!$D$45:$AL$45,MATCH(AE$7,'Inputs (2)'!$D$2:$AL$2,0))</f>
        <v>-719.256</v>
      </c>
      <c r="AF262" s="25">
        <f>INDEX('Inputs (2)'!$D$45:$AL$45,MATCH(AF$7,'Inputs (2)'!$D$2:$AL$2,0))</f>
        <v>-580.382</v>
      </c>
      <c r="AG262" s="3">
        <f>AF262</f>
        <v>-580.382</v>
      </c>
      <c r="AH262" s="3">
        <f>INDEX('Inputs (2)'!$D$45:$AL$45,MATCH(AH$7,'Inputs (2)'!$D$2:$AL$2,0))</f>
        <v>-235.031</v>
      </c>
      <c r="AI262" s="3">
        <f>INDEX('Inputs (2)'!$D$45:$AL$45,MATCH(AI$7,'Inputs (2)'!$D$2:$AL$2,0))</f>
        <v>-97.117</v>
      </c>
      <c r="AJ262" s="3">
        <f>AI262</f>
        <v>-97.117</v>
      </c>
      <c r="AK262" s="3">
        <f>AJ262</f>
        <v>-97.117</v>
      </c>
      <c r="AL262" s="3">
        <f>AK262</f>
        <v>-97.117</v>
      </c>
      <c r="AM262" s="3">
        <f>AL262</f>
        <v>-97.117</v>
      </c>
      <c r="AN262" s="3">
        <f>AM262</f>
        <v>-97.117</v>
      </c>
      <c r="AO262" s="3">
        <f>AN262</f>
        <v>-97.117</v>
      </c>
      <c r="AP262" s="3">
        <f>AO262</f>
        <v>-97.117</v>
      </c>
      <c r="AQ262" s="3">
        <f>AP262</f>
        <v>-97.117</v>
      </c>
      <c r="AR262" s="3">
        <f>AQ262</f>
        <v>-97.117</v>
      </c>
      <c r="AS262" s="3">
        <f>AR262</f>
        <v>-97.117</v>
      </c>
      <c r="AT262" s="3">
        <f>AS262</f>
        <v>-97.117</v>
      </c>
      <c r="AU262" s="3">
        <f>AT262</f>
        <v>-97.117</v>
      </c>
      <c r="AV262" s="3">
        <f>AU262</f>
        <v>-97.117</v>
      </c>
      <c r="AW262" s="3">
        <f>AV262</f>
        <v>-97.117</v>
      </c>
      <c r="AX262" s="3">
        <f>AW262</f>
        <v>-97.117</v>
      </c>
      <c r="AY262" s="3">
        <f>AX262</f>
        <v>-97.117</v>
      </c>
      <c r="AZ262" s="3">
        <f>AY262</f>
        <v>-97.117</v>
      </c>
      <c r="BA262" s="3">
        <f>AZ262</f>
        <v>-97.117</v>
      </c>
      <c r="BB262" s="3">
        <f>BA262</f>
        <v>-97.117</v>
      </c>
      <c r="BC262" s="3">
        <f>BB262</f>
        <v>-97.117</v>
      </c>
      <c r="BD262" s="3">
        <f>BC262</f>
        <v>-97.117</v>
      </c>
      <c r="BE262" s="3">
        <f>BD262</f>
        <v>-97.117</v>
      </c>
      <c r="BF262" s="3">
        <f>BE262</f>
        <v>-97.117</v>
      </c>
      <c r="BG262" s="3">
        <f>BF262</f>
        <v>-97.117</v>
      </c>
      <c r="BH262" s="3">
        <f>BG262</f>
        <v>-97.117</v>
      </c>
      <c r="BI262" s="3">
        <f>BH262</f>
        <v>-97.117</v>
      </c>
      <c r="BJ262" s="3">
        <f>BI262</f>
        <v>-97.117</v>
      </c>
      <c r="BK262" s="3">
        <f>BJ262</f>
        <v>-97.117</v>
      </c>
      <c r="BL262" s="3">
        <f>BK262</f>
        <v>-97.117</v>
      </c>
      <c r="BM262" s="3">
        <f>BL262</f>
        <v>-97.117</v>
      </c>
      <c r="BN262" s="3">
        <f>BM262</f>
        <v>-97.117</v>
      </c>
      <c r="BO262" s="3">
        <f>BN262</f>
        <v>-97.117</v>
      </c>
      <c r="BP262" s="3">
        <f>BO262</f>
        <v>-97.117</v>
      </c>
      <c r="BQ262" s="3">
        <f>BP262</f>
        <v>-97.117</v>
      </c>
      <c r="BR262" s="3">
        <f>BQ262</f>
        <v>-97.117</v>
      </c>
      <c r="BS262" s="3">
        <f>BR262</f>
        <v>-97.117</v>
      </c>
      <c r="BT262" s="3">
        <f>BS262</f>
        <v>-97.117</v>
      </c>
      <c r="BU262" s="3">
        <f>BT262</f>
        <v>-97.117</v>
      </c>
      <c r="BV262" s="3">
        <f>BU262</f>
        <v>-97.117</v>
      </c>
      <c r="BW262" s="3">
        <f>BV262</f>
        <v>-97.117</v>
      </c>
      <c r="BX262" s="3">
        <f>BW262</f>
        <v>-97.117</v>
      </c>
      <c r="BY262" s="3">
        <f>BX262</f>
        <v>-97.117</v>
      </c>
      <c r="BZ262" s="3">
        <f>BY262</f>
        <v>-97.117</v>
      </c>
      <c r="CA262" s="3">
        <f>BZ262</f>
        <v>-97.117</v>
      </c>
      <c r="CB262" s="3">
        <f>CA262</f>
        <v>-97.117</v>
      </c>
      <c r="CC262" s="3">
        <f>CB262</f>
        <v>-97.117</v>
      </c>
      <c r="CD262" s="3">
        <f>CC262</f>
        <v>-97.117</v>
      </c>
      <c r="CE262" s="3">
        <f>CD262</f>
        <v>-97.117</v>
      </c>
      <c r="CF262" s="3">
        <f>CE262</f>
        <v>-97.117</v>
      </c>
      <c r="CG262" s="3">
        <f>CF262</f>
        <v>-97.117</v>
      </c>
      <c r="CH262" s="3">
        <f>CG262</f>
        <v>-97.117</v>
      </c>
      <c r="CI262" s="3">
        <f>CH262</f>
        <v>-97.117</v>
      </c>
      <c r="CJ262" s="3">
        <f>CI262</f>
        <v>-97.117</v>
      </c>
      <c r="CK262" s="3">
        <f>CJ262</f>
        <v>-97.117</v>
      </c>
      <c r="CL262" s="3">
        <f>CK262</f>
        <v>-97.117</v>
      </c>
      <c r="CM262" s="3">
        <f>CL262</f>
        <v>-97.117</v>
      </c>
      <c r="CN262" s="3">
        <f>CM262</f>
        <v>-97.117</v>
      </c>
      <c r="CO262" s="3">
        <f>CN262</f>
        <v>-97.117</v>
      </c>
      <c r="CP262" s="3">
        <f>CO262</f>
        <v>-97.117</v>
      </c>
      <c r="CQ262" s="3">
        <f>CP262</f>
        <v>-97.117</v>
      </c>
      <c r="CR262" s="3">
        <f>CQ262</f>
        <v>-97.117</v>
      </c>
      <c r="CS262" s="3">
        <f>CR262</f>
        <v>-97.117</v>
      </c>
      <c r="CT262" s="3">
        <f>CS262</f>
        <v>-97.117</v>
      </c>
      <c r="CU262" s="3">
        <f>CT262</f>
        <v>-97.117</v>
      </c>
      <c r="CV262" s="3">
        <f>CU262</f>
        <v>-97.117</v>
      </c>
      <c r="CW262" s="3">
        <f>CV262</f>
        <v>-97.117</v>
      </c>
      <c r="CX262" s="3">
        <f>CW262</f>
        <v>-97.117</v>
      </c>
      <c r="CY262" s="3">
        <f>CX262</f>
        <v>-97.117</v>
      </c>
    </row>
    <row r="263">
      <c r="C263" s="26" t="inlineStr">
        <is>
          <t>Other equity account</t>
        </is>
      </c>
      <c r="D263" s="25">
        <f>INDEX('Inputs (2)'!$D$46:$AL$46,MATCH(D$7,'Inputs (2)'!$D$2:$AL$2,0))</f>
        <v>0</v>
      </c>
      <c r="E263" s="25">
        <f>INDEX('Inputs (2)'!$D$46:$AL$46,MATCH(E$7,'Inputs (2)'!$D$2:$AL$2,0))</f>
        <v>0</v>
      </c>
      <c r="F263" s="25">
        <f>INDEX('Inputs (2)'!$D$46:$AL$46,MATCH(F$7,'Inputs (2)'!$D$2:$AL$2,0))</f>
        <v>0</v>
      </c>
      <c r="G263" s="25">
        <f>INDEX('Inputs (2)'!$D$46:$AL$46,MATCH(G$7,'Inputs (2)'!$D$2:$AL$2,0))</f>
        <v>0</v>
      </c>
      <c r="H263" s="3">
        <f>G263</f>
        <v>0</v>
      </c>
      <c r="I263" s="25">
        <f>INDEX('Inputs (2)'!$D$46:$AL$46,MATCH(I$7,'Inputs (2)'!$D$2:$AL$2,0))</f>
        <v>0</v>
      </c>
      <c r="J263" s="25">
        <f>INDEX('Inputs (2)'!$D$46:$AL$46,MATCH(J$7,'Inputs (2)'!$D$2:$AL$2,0))</f>
        <v>0</v>
      </c>
      <c r="K263" s="25">
        <f>INDEX('Inputs (2)'!$D$46:$AL$46,MATCH(K$7,'Inputs (2)'!$D$2:$AL$2,0))</f>
        <v>0</v>
      </c>
      <c r="L263" s="25">
        <f>INDEX('Inputs (2)'!$D$46:$AL$46,MATCH(L$7,'Inputs (2)'!$D$2:$AL$2,0))</f>
        <v>0</v>
      </c>
      <c r="M263" s="3">
        <f>L263</f>
        <v>0</v>
      </c>
      <c r="N263" s="25">
        <f>INDEX('Inputs (2)'!$D$46:$AL$46,MATCH(N$7,'Inputs (2)'!$D$2:$AL$2,0))</f>
        <v>0</v>
      </c>
      <c r="O263" s="25">
        <f>INDEX('Inputs (2)'!$D$46:$AL$46,MATCH(O$7,'Inputs (2)'!$D$2:$AL$2,0))</f>
        <v>0</v>
      </c>
      <c r="P263" s="25">
        <f>INDEX('Inputs (2)'!$D$46:$AL$46,MATCH(P$7,'Inputs (2)'!$D$2:$AL$2,0))</f>
        <v>0</v>
      </c>
      <c r="Q263" s="25">
        <f>INDEX('Inputs (2)'!$D$46:$AL$46,MATCH(Q$7,'Inputs (2)'!$D$2:$AL$2,0))</f>
        <v>0</v>
      </c>
      <c r="R263" s="3">
        <f>Q263</f>
        <v>0</v>
      </c>
      <c r="S263" s="25">
        <f>INDEX('Inputs (2)'!$D$46:$AL$46,MATCH(S$7,'Inputs (2)'!$D$2:$AL$2,0))</f>
        <v>0</v>
      </c>
      <c r="T263" s="25">
        <f>INDEX('Inputs (2)'!$D$46:$AL$46,MATCH(T$7,'Inputs (2)'!$D$2:$AL$2,0))</f>
        <v>0</v>
      </c>
      <c r="U263" s="25">
        <f>INDEX('Inputs (2)'!$D$46:$AL$46,MATCH(U$7,'Inputs (2)'!$D$2:$AL$2,0))</f>
        <v>0</v>
      </c>
      <c r="V263" s="25">
        <f>INDEX('Inputs (2)'!$D$46:$AL$46,MATCH(V$7,'Inputs (2)'!$D$2:$AL$2,0))</f>
        <v>0</v>
      </c>
      <c r="W263" s="3">
        <f>V263</f>
        <v>0</v>
      </c>
      <c r="X263" s="25">
        <f>INDEX('Inputs (2)'!$D$46:$AL$46,MATCH(X$7,'Inputs (2)'!$D$2:$AL$2,0))</f>
        <v>0</v>
      </c>
      <c r="Y263" s="25">
        <f>INDEX('Inputs (2)'!$D$46:$AL$46,MATCH(Y$7,'Inputs (2)'!$D$2:$AL$2,0))</f>
        <v>0</v>
      </c>
      <c r="Z263" s="25">
        <f>INDEX('Inputs (2)'!$D$46:$AL$46,MATCH(Z$7,'Inputs (2)'!$D$2:$AL$2,0))</f>
        <v>0</v>
      </c>
      <c r="AA263" s="25">
        <f>INDEX('Inputs (2)'!$D$46:$AL$46,MATCH(AA$7,'Inputs (2)'!$D$2:$AL$2,0))</f>
        <v>0</v>
      </c>
      <c r="AB263" s="3">
        <f>AA263</f>
        <v>0</v>
      </c>
      <c r="AC263" s="25">
        <f>INDEX('Inputs (2)'!$D$46:$AL$46,MATCH(AC$7,'Inputs (2)'!$D$2:$AL$2,0))</f>
        <v>0</v>
      </c>
      <c r="AD263" s="25">
        <f>INDEX('Inputs (2)'!$D$46:$AL$46,MATCH(AD$7,'Inputs (2)'!$D$2:$AL$2,0))</f>
        <v>0</v>
      </c>
      <c r="AE263" s="25">
        <f>INDEX('Inputs (2)'!$D$46:$AL$46,MATCH(AE$7,'Inputs (2)'!$D$2:$AL$2,0))</f>
        <v>0</v>
      </c>
      <c r="AF263" s="25">
        <f>INDEX('Inputs (2)'!$D$46:$AL$46,MATCH(AF$7,'Inputs (2)'!$D$2:$AL$2,0))</f>
        <v>0</v>
      </c>
      <c r="AG263" s="3">
        <f>AF263</f>
        <v>0</v>
      </c>
      <c r="AH263" s="3">
        <f>INDEX('Inputs (2)'!$D$46:$AL$46,MATCH(AH$7,'Inputs (2)'!$D$2:$AL$2,0))</f>
        <v>0</v>
      </c>
      <c r="AI263" s="3">
        <f>INDEX('Inputs (2)'!$D$46:$AL$46,MATCH(AI$7,'Inputs (2)'!$D$2:$AL$2,0))</f>
        <v>0</v>
      </c>
      <c r="AJ263" s="3">
        <f>AI263</f>
        <v>0</v>
      </c>
      <c r="AK263" s="3">
        <f>AJ263</f>
        <v>0</v>
      </c>
      <c r="AL263" s="3">
        <f>AK263</f>
        <v>0</v>
      </c>
      <c r="AM263" s="3">
        <f>AL263</f>
        <v>0</v>
      </c>
      <c r="AN263" s="3">
        <f>AM263</f>
        <v>0</v>
      </c>
      <c r="AO263" s="3">
        <f>AN263</f>
        <v>0</v>
      </c>
      <c r="AP263" s="3">
        <f>AO263</f>
        <v>0</v>
      </c>
      <c r="AQ263" s="3">
        <f>AP263</f>
        <v>0</v>
      </c>
      <c r="AR263" s="3">
        <f>AQ263</f>
        <v>0</v>
      </c>
      <c r="AS263" s="3">
        <f>AR263</f>
        <v>0</v>
      </c>
      <c r="AT263" s="3">
        <f>AS263</f>
        <v>0</v>
      </c>
      <c r="AU263" s="3">
        <f>AT263</f>
        <v>0</v>
      </c>
      <c r="AV263" s="3">
        <f>AU263</f>
        <v>0</v>
      </c>
      <c r="AW263" s="3">
        <f>AV263</f>
        <v>0</v>
      </c>
      <c r="AX263" s="3">
        <f>AW263</f>
        <v>0</v>
      </c>
      <c r="AY263" s="3">
        <f>AX263</f>
        <v>0</v>
      </c>
      <c r="AZ263" s="3">
        <f>AY263</f>
        <v>0</v>
      </c>
      <c r="BA263" s="3">
        <f>AZ263</f>
        <v>0</v>
      </c>
      <c r="BB263" s="3">
        <f>BA263</f>
        <v>0</v>
      </c>
      <c r="BC263" s="3">
        <f>BB263</f>
        <v>0</v>
      </c>
      <c r="BD263" s="3">
        <f>BC263</f>
        <v>0</v>
      </c>
      <c r="BE263" s="3">
        <f>BD263</f>
        <v>0</v>
      </c>
      <c r="BF263" s="3">
        <f>BE263</f>
        <v>0</v>
      </c>
      <c r="BG263" s="3">
        <f>BF263</f>
        <v>0</v>
      </c>
      <c r="BH263" s="3">
        <f>BG263</f>
        <v>0</v>
      </c>
      <c r="BI263" s="3">
        <f>BH263</f>
        <v>0</v>
      </c>
      <c r="BJ263" s="3">
        <f>BI263</f>
        <v>0</v>
      </c>
      <c r="BK263" s="3">
        <f>BJ263</f>
        <v>0</v>
      </c>
      <c r="BL263" s="3">
        <f>BK263</f>
        <v>0</v>
      </c>
      <c r="BM263" s="3">
        <f>BL263</f>
        <v>0</v>
      </c>
      <c r="BN263" s="3">
        <f>BM263</f>
        <v>0</v>
      </c>
      <c r="BO263" s="3">
        <f>BN263</f>
        <v>0</v>
      </c>
      <c r="BP263" s="3">
        <f>BO263</f>
        <v>0</v>
      </c>
      <c r="BQ263" s="3">
        <f>BP263</f>
        <v>0</v>
      </c>
      <c r="BR263" s="3">
        <f>BQ263</f>
        <v>0</v>
      </c>
      <c r="BS263" s="3">
        <f>BR263</f>
        <v>0</v>
      </c>
      <c r="BT263" s="3">
        <f>BS263</f>
        <v>0</v>
      </c>
      <c r="BU263" s="3">
        <f>BT263</f>
        <v>0</v>
      </c>
      <c r="BV263" s="3">
        <f>BU263</f>
        <v>0</v>
      </c>
      <c r="BW263" s="3">
        <f>BV263</f>
        <v>0</v>
      </c>
      <c r="BX263" s="3">
        <f>BW263</f>
        <v>0</v>
      </c>
      <c r="BY263" s="3">
        <f>BX263</f>
        <v>0</v>
      </c>
      <c r="BZ263" s="3">
        <f>BY263</f>
        <v>0</v>
      </c>
      <c r="CA263" s="3">
        <f>BZ263</f>
        <v>0</v>
      </c>
      <c r="CB263" s="3">
        <f>CA263</f>
        <v>0</v>
      </c>
      <c r="CC263" s="3">
        <f>CB263</f>
        <v>0</v>
      </c>
      <c r="CD263" s="3">
        <f>CC263</f>
        <v>0</v>
      </c>
      <c r="CE263" s="3">
        <f>CD263</f>
        <v>0</v>
      </c>
      <c r="CF263" s="3">
        <f>CE263</f>
        <v>0</v>
      </c>
      <c r="CG263" s="3">
        <f>CF263</f>
        <v>0</v>
      </c>
      <c r="CH263" s="3">
        <f>CG263</f>
        <v>0</v>
      </c>
      <c r="CI263" s="3">
        <f>CH263</f>
        <v>0</v>
      </c>
      <c r="CJ263" s="3">
        <f>CI263</f>
        <v>0</v>
      </c>
      <c r="CK263" s="3">
        <f>CJ263</f>
        <v>0</v>
      </c>
      <c r="CL263" s="3">
        <f>CK263</f>
        <v>0</v>
      </c>
      <c r="CM263" s="3">
        <f>CL263</f>
        <v>0</v>
      </c>
      <c r="CN263" s="3">
        <f>CM263</f>
        <v>0</v>
      </c>
      <c r="CO263" s="3">
        <f>CN263</f>
        <v>0</v>
      </c>
      <c r="CP263" s="3">
        <f>CO263</f>
        <v>0</v>
      </c>
      <c r="CQ263" s="3">
        <f>CP263</f>
        <v>0</v>
      </c>
      <c r="CR263" s="3">
        <f>CQ263</f>
        <v>0</v>
      </c>
      <c r="CS263" s="3">
        <f>CR263</f>
        <v>0</v>
      </c>
      <c r="CT263" s="3">
        <f>CS263</f>
        <v>0</v>
      </c>
      <c r="CU263" s="3">
        <f>CT263</f>
        <v>0</v>
      </c>
      <c r="CV263" s="3">
        <f>CU263</f>
        <v>0</v>
      </c>
      <c r="CW263" s="3">
        <f>CV263</f>
        <v>0</v>
      </c>
      <c r="CX263" s="3">
        <f>CW263</f>
        <v>0</v>
      </c>
      <c r="CY263" s="3">
        <f>CX263</f>
        <v>0</v>
      </c>
    </row>
    <row r="264">
      <c r="C264" s="28" t="inlineStr">
        <is>
          <t>Retained earnings</t>
        </is>
      </c>
      <c r="D264" s="25">
        <f>INDEX('Inputs (2)'!$D$47:$AL$47,MATCH(D$7,'Inputs (2)'!$D$2:$AL$2,0))</f>
        <v>5520.816</v>
      </c>
      <c r="E264" s="25">
        <f>INDEX('Inputs (2)'!$D$47:$AL$47,MATCH(E$7,'Inputs (2)'!$D$2:$AL$2,0))</f>
        <v>6241.012</v>
      </c>
      <c r="F264" s="25">
        <f>INDEX('Inputs (2)'!$D$47:$AL$47,MATCH(F$7,'Inputs (2)'!$D$2:$AL$2,0))</f>
        <v>7030.988</v>
      </c>
      <c r="G264" s="25">
        <f>INDEX('Inputs (2)'!$D$47:$AL$47,MATCH(G$7,'Inputs (2)'!$D$2:$AL$2,0))</f>
        <v>7573.144</v>
      </c>
      <c r="H264" s="3">
        <f>G264</f>
        <v>7573.144</v>
      </c>
      <c r="I264" s="25">
        <f>INDEX('Inputs (2)'!$D$47:$AL$47,MATCH(I$7,'Inputs (2)'!$D$2:$AL$2,0))</f>
        <v>9279.859</v>
      </c>
      <c r="J264" s="25">
        <f>INDEX('Inputs (2)'!$D$47:$AL$47,MATCH(J$7,'Inputs (2)'!$D$2:$AL$2,0))</f>
        <v>10632.872</v>
      </c>
      <c r="K264" s="25">
        <f>INDEX('Inputs (2)'!$D$47:$AL$47,MATCH(K$7,'Inputs (2)'!$D$2:$AL$2,0))</f>
        <v>12081.943</v>
      </c>
      <c r="L264" s="25">
        <f>INDEX('Inputs (2)'!$D$47:$AL$47,MATCH(L$7,'Inputs (2)'!$D$2:$AL$2,0))</f>
        <v>12689.372</v>
      </c>
      <c r="M264" s="3">
        <f>L264</f>
        <v>12689.372</v>
      </c>
      <c r="N264" s="25">
        <f>INDEX('Inputs (2)'!$D$47:$AL$47,MATCH(N$7,'Inputs (2)'!$D$2:$AL$2,0))</f>
        <v>14286.819</v>
      </c>
      <c r="O264" s="25">
        <f>INDEX('Inputs (2)'!$D$47:$AL$47,MATCH(O$7,'Inputs (2)'!$D$2:$AL$2,0))</f>
        <v>15727.77</v>
      </c>
      <c r="P264" s="25">
        <f>INDEX('Inputs (2)'!$D$47:$AL$47,MATCH(P$7,'Inputs (2)'!$D$2:$AL$2,0))</f>
        <v>17126.012</v>
      </c>
      <c r="Q264" s="25">
        <f>INDEX('Inputs (2)'!$D$47:$AL$47,MATCH(Q$7,'Inputs (2)'!$D$2:$AL$2,0))</f>
        <v>17181.296</v>
      </c>
      <c r="R264" s="3">
        <f>Q264</f>
        <v>17181.296</v>
      </c>
      <c r="S264" s="25">
        <f>INDEX('Inputs (2)'!$D$47:$AL$47,MATCH(S$7,'Inputs (2)'!$D$2:$AL$2,0))</f>
        <v>18486.416</v>
      </c>
      <c r="T264" s="25">
        <f>INDEX('Inputs (2)'!$D$47:$AL$47,MATCH(T$7,'Inputs (2)'!$D$2:$AL$2,0))</f>
        <v>19974.026</v>
      </c>
      <c r="U264" s="25">
        <f>INDEX('Inputs (2)'!$D$47:$AL$47,MATCH(U$7,'Inputs (2)'!$D$2:$AL$2,0))</f>
        <v>21651.448</v>
      </c>
      <c r="V264" s="25">
        <f>INDEX('Inputs (2)'!$D$47:$AL$47,MATCH(V$7,'Inputs (2)'!$D$2:$AL$2,0))</f>
        <v>22589.286</v>
      </c>
      <c r="W264" s="3">
        <f>V264</f>
        <v>22589.286</v>
      </c>
      <c r="X264" s="25">
        <f>INDEX('Inputs (2)'!$D$47:$AL$47,MATCH(X$7,'Inputs (2)'!$D$2:$AL$2,0))</f>
        <v>24921.495</v>
      </c>
      <c r="Y264" s="25">
        <f>INDEX('Inputs (2)'!$D$47:$AL$47,MATCH(Y$7,'Inputs (2)'!$D$2:$AL$2,0))</f>
        <v>27068.801</v>
      </c>
      <c r="Z264" s="25">
        <f>INDEX('Inputs (2)'!$D$47:$AL$47,MATCH(Z$7,'Inputs (2)'!$D$2:$AL$2,0))</f>
        <v>29432.31</v>
      </c>
      <c r="AA264" s="25">
        <f>INDEX('Inputs (2)'!$D$47:$AL$47,MATCH(AA$7,'Inputs (2)'!$D$2:$AL$2,0))</f>
        <v>31300.917</v>
      </c>
      <c r="AB264" s="3">
        <f>AA264</f>
        <v>31300.917</v>
      </c>
      <c r="AC264" s="25">
        <f>INDEX('Inputs (2)'!$D$47:$AL$47,MATCH(AC$7,'Inputs (2)'!$D$2:$AL$2,0))</f>
        <v>34191.268</v>
      </c>
      <c r="AD264" s="25">
        <f>INDEX('Inputs (2)'!$D$47:$AL$47,MATCH(AD$7,'Inputs (2)'!$D$2:$AL$2,0))</f>
        <v>37316.681</v>
      </c>
      <c r="AE264" s="25">
        <f>INDEX('Inputs (2)'!$D$47:$AL$47,MATCH(AE$7,'Inputs (2)'!$D$2:$AL$2,0))</f>
        <v>39863.597</v>
      </c>
      <c r="AF264" s="25">
        <f>INDEX('Inputs (2)'!$D$47:$AL$47,MATCH(AF$7,'Inputs (2)'!$D$2:$AL$2,0))</f>
        <v>42282.118</v>
      </c>
      <c r="AG264" s="3">
        <f>AF264</f>
        <v>42282.118</v>
      </c>
      <c r="AH264" s="3">
        <f>INDEX('Inputs (2)'!$D$47:$AL$47,MATCH(AH$7,'Inputs (2)'!$D$2:$AL$2,0))</f>
        <v>47564.909</v>
      </c>
      <c r="AI264" s="3">
        <f>INDEX('Inputs (2)'!$D$47:$AL$47,MATCH(AI$7,'Inputs (2)'!$D$2:$AL$2,0))</f>
        <v>50966.323</v>
      </c>
      <c r="AJ264" s="3">
        <f>AI264+AJ131+AJ132</f>
        <v>53818.489</v>
      </c>
      <c r="AK264" s="3">
        <f>AJ264+AK131+AK132</f>
        <v>53870.15</v>
      </c>
      <c r="AL264" s="3">
        <f>AK264</f>
        <v>53870.15</v>
      </c>
      <c r="AM264" s="3">
        <f>AL264+AM131+AM132</f>
        <v>53921.811</v>
      </c>
      <c r="AN264" s="3">
        <f>AM264+AN131+AN132</f>
        <v>59729.465</v>
      </c>
      <c r="AO264" s="3">
        <f>AN264+AO131+AO132</f>
        <v>59781.126</v>
      </c>
      <c r="AP264" s="3">
        <f>AO264+AP131+AP132</f>
        <v>65588.78</v>
      </c>
      <c r="AQ264" s="3">
        <f>AP264</f>
        <v>65588.78</v>
      </c>
      <c r="AR264" s="3">
        <f>AQ264+AR131+AR132</f>
        <v>71396.434</v>
      </c>
      <c r="AS264" s="3">
        <f>AR264+AS131+AS132</f>
        <v>83115.064</v>
      </c>
      <c r="AT264" s="3">
        <f>AS264+AT131+AT132</f>
        <v>88922.718</v>
      </c>
      <c r="AU264" s="3">
        <f>AT264+AU131+AU132</f>
        <v>100641.348</v>
      </c>
      <c r="AV264" s="3">
        <f>AU264</f>
        <v>100641.348</v>
      </c>
      <c r="AW264" s="3">
        <f>AV264+AW131+AW132</f>
        <v>112359.978</v>
      </c>
      <c r="AX264" s="3">
        <f>AW264+AX131+AX132</f>
        <v>147412.546</v>
      </c>
      <c r="AY264" s="3">
        <f>AX264+AY131+AY132</f>
        <v>159131.176</v>
      </c>
      <c r="AZ264" s="3">
        <f>AY264+AZ131+AZ132</f>
        <v>194183.744</v>
      </c>
      <c r="BA264" s="3">
        <f>AZ264</f>
        <v>194183.744</v>
      </c>
      <c r="BB264" s="3">
        <f>BA264+BB131+BB132</f>
        <v>229236.312</v>
      </c>
      <c r="BC264" s="3">
        <f>BB264+BC131+BC132</f>
        <v>322778.708</v>
      </c>
      <c r="BD264" s="3">
        <f>BC264+BD131+BD132</f>
        <v>357831.276</v>
      </c>
      <c r="BE264" s="3">
        <f>BD264+BE131+BE132</f>
        <v>451373.672</v>
      </c>
      <c r="BF264" s="3">
        <f>BE264</f>
        <v>451373.672</v>
      </c>
      <c r="BG264" s="3">
        <f>BF264+BG131+BG132</f>
        <v>544916.068</v>
      </c>
      <c r="BH264" s="3">
        <f>BG264+BH131+BH132</f>
        <v>802105.996</v>
      </c>
      <c r="BI264" s="3">
        <f>BH264+BI131+BI132</f>
        <v>895648.392</v>
      </c>
      <c r="BJ264" s="3">
        <f>BI264+BJ131+BJ132</f>
        <v>1152838.32</v>
      </c>
      <c r="BK264" s="3">
        <f>BJ264</f>
        <v>1152838.32</v>
      </c>
      <c r="BL264" s="3">
        <f>BK264+BL131+BL132</f>
        <v>1410028.248</v>
      </c>
      <c r="BM264" s="3">
        <f>BL264+BM131+BM132</f>
        <v>2111492.896</v>
      </c>
      <c r="BN264" s="3">
        <f>BM264+BN131+BN132</f>
        <v>2368682.824</v>
      </c>
      <c r="BO264" s="3">
        <f>BN264+BO131+BO132</f>
        <v>3070147.472</v>
      </c>
      <c r="BP264" s="3">
        <f>BO264</f>
        <v>3070147.472</v>
      </c>
      <c r="BQ264" s="3">
        <f>BP264+BQ131+BQ132</f>
        <v>3771612.12</v>
      </c>
      <c r="BR264" s="3">
        <f>BQ264+BR131+BR132</f>
        <v>5688921.272</v>
      </c>
      <c r="BS264" s="3">
        <f>BR264+BS131+BS132</f>
        <v>6390385.92</v>
      </c>
      <c r="BT264" s="3">
        <f>BS264+BT131+BT132</f>
        <v>8307695.072</v>
      </c>
      <c r="BU264" s="3">
        <f>BT264</f>
        <v>8307695.072</v>
      </c>
      <c r="BV264" s="3">
        <f>BU264+BV131+BV132</f>
        <v>10225004.224</v>
      </c>
      <c r="BW264" s="3">
        <f>BV264+BW131+BW132</f>
        <v>15462551.824</v>
      </c>
      <c r="BX264" s="3">
        <f>BW264+BX131+BX132</f>
        <v>17379860.976</v>
      </c>
      <c r="BY264" s="3">
        <f>BX264+BY131+BY132</f>
        <v>22617408.576</v>
      </c>
      <c r="BZ264" s="3">
        <f>BY264</f>
        <v>22617408.576</v>
      </c>
      <c r="CA264" s="3">
        <f>BZ264+CA131+CA132</f>
        <v>27854956.176</v>
      </c>
      <c r="CB264" s="3">
        <f>CA264+CB131+CB132</f>
        <v>42164669.68</v>
      </c>
      <c r="CC264" s="3">
        <f>CB264+CC131+CC132</f>
        <v>47402217.28</v>
      </c>
      <c r="CD264" s="3">
        <f>CC264+CD131+CD132</f>
        <v>61711930.784</v>
      </c>
      <c r="CE264" s="3">
        <f>CD264</f>
        <v>61711930.784</v>
      </c>
      <c r="CF264" s="3">
        <f>CE264+CF131+CF132</f>
        <v>76021644.288</v>
      </c>
      <c r="CG264" s="3">
        <f>CF264+CG131+CG132</f>
        <v>115116166.496</v>
      </c>
      <c r="CH264" s="3">
        <f>CG264+CH131+CH132</f>
        <v>129425880</v>
      </c>
      <c r="CI264" s="3">
        <f>CH264+CI131+CI132</f>
        <v>168520402.208</v>
      </c>
      <c r="CJ264" s="3">
        <f>CI264</f>
        <v>168520402.208</v>
      </c>
      <c r="CK264" s="3">
        <f>CJ264+CK131+CK132</f>
        <v>207614924.416</v>
      </c>
      <c r="CL264" s="3">
        <f>CK264+CL131+CL132</f>
        <v>314423395.84</v>
      </c>
      <c r="CM264" s="3">
        <f>CL264+CM131+CM132</f>
        <v>353517918.048</v>
      </c>
      <c r="CN264" s="3">
        <f>CM264+CN131+CN132</f>
        <v>460326389.472</v>
      </c>
      <c r="CO264" s="3">
        <f>CN264</f>
        <v>460326389.472</v>
      </c>
      <c r="CP264" s="3">
        <f>CO264+CP131+CP132</f>
        <v>567134860.896</v>
      </c>
      <c r="CQ264" s="3">
        <f>CP264+CQ131+CQ132</f>
        <v>858940848.16</v>
      </c>
      <c r="CR264" s="3">
        <f>CQ264+CR131+CR132</f>
        <v>965749319.584</v>
      </c>
      <c r="CS264" s="3">
        <f>CR264+CS131+CS132</f>
        <v>1257555306.848</v>
      </c>
      <c r="CT264" s="3">
        <f>CS264</f>
        <v>1257555306.848</v>
      </c>
      <c r="CU264" s="3">
        <f>CT264+CU131+CU132</f>
        <v>1549361294.112</v>
      </c>
      <c r="CV264" s="3">
        <f>CU264+CV131+CV132</f>
        <v>2346590211.488</v>
      </c>
      <c r="CW264" s="3">
        <f>CV264+CW131+CW132</f>
        <v>2638396198.752</v>
      </c>
      <c r="CX264" s="3">
        <f>CW264+CX131+CX132</f>
        <v>3435625116.128</v>
      </c>
      <c r="CY264" s="3">
        <f>CX264</f>
        <v>3435625116.128</v>
      </c>
    </row>
    <row r="265" customFormat="1" s="17">
      <c r="A265" s="13" t="inlineStr">
        <is>
          <t xml:space="preserve"> </t>
        </is>
      </c>
      <c r="B265" s="13" t="n"/>
      <c r="C265" s="27" t="inlineStr">
        <is>
          <t>Total Shareholders' Equity</t>
        </is>
      </c>
      <c r="D265" s="16">
        <f>SUM(D242+D247+D248+D261+D262+D263+D264)</f>
        <v>8409.294</v>
      </c>
      <c r="E265" s="16">
        <f>SUM(E242+E247+E248+E261+E262+E263+E264)</f>
        <v>9334.753</v>
      </c>
      <c r="F265" s="16">
        <f>SUM(F242+F247+F248+F261+F262+F263+F264)</f>
        <v>10333.323</v>
      </c>
      <c r="G265" s="16">
        <f>SUM(G242+G247+G248+G261+G262+G263+G264)</f>
        <v>11065.24</v>
      </c>
      <c r="H265" s="16">
        <f>SUM(H242,H247,H248,H261,H262,H263,H264)</f>
        <v>11065.24</v>
      </c>
      <c r="I265" s="16">
        <f>SUM(I242+I247+I248+I261+I262+I263+I264)</f>
        <v>12884.08</v>
      </c>
      <c r="J265" s="16">
        <f>SUM(J242+J247+J248+J261+J262+J263+J264)</f>
        <v>13863.871</v>
      </c>
      <c r="K265" s="16">
        <f>SUM(K242+K247+K248+K261+K262+K263+K264)</f>
        <v>15314.617</v>
      </c>
      <c r="L265" s="16">
        <f>SUM(L242+L247+L248+L261+L262+L263+L264)</f>
        <v>15849.248</v>
      </c>
      <c r="M265" s="16">
        <f>SUM(M242,M247,M248,M261,M262,M263,M264)</f>
        <v>15849.248</v>
      </c>
      <c r="N265" s="16">
        <f>SUM(N242+N247+N248+N261+N262+N263+N264)</f>
        <v>17544.039</v>
      </c>
      <c r="O265" s="16">
        <f>SUM(O242+O247+O248+O261+O262+O263+O264)</f>
        <v>19075.974</v>
      </c>
      <c r="P265" s="16">
        <f>SUM(P242+P247+P248+P261+P262+P263+P264)</f>
        <v>20528.141</v>
      </c>
      <c r="Q265" s="16">
        <f>SUM(Q242+Q247+Q248+Q261+Q262+Q263+Q264)</f>
        <v>20777.401</v>
      </c>
      <c r="R265" s="16">
        <f>SUM(R242,R247,R248,R261,R262,R263,R264)</f>
        <v>20777.401</v>
      </c>
      <c r="S265" s="16">
        <f>SUM(S242+S247+S248+S261+S262+S263+S264)</f>
        <v>21828.196</v>
      </c>
      <c r="T265" s="16">
        <f>SUM(T242+T247+T248+T261+T262+T263+T264)</f>
        <v>22832.215</v>
      </c>
      <c r="U265" s="16">
        <f>SUM(U242+U247+U248+U261+U262+U263+U264)</f>
        <v>22107.627</v>
      </c>
      <c r="V265" s="16">
        <f>SUM(V242+V247+V248+V261+V262+V263+V264)</f>
        <v>20588.313</v>
      </c>
      <c r="W265" s="16">
        <f>SUM(W242,W247,W248,W261,W262,W263,W264)</f>
        <v>20588.313</v>
      </c>
      <c r="X265" s="16">
        <f>SUM(X242+X247+X248+X261+X262+X263+X264)</f>
        <v>21365.41</v>
      </c>
      <c r="Y265" s="16">
        <f>SUM(Y242+Y247+Y248+Y261+Y262+Y263+Y264)</f>
        <v>22112.693</v>
      </c>
      <c r="Z265" s="16">
        <f>SUM(Z242+Z247+Z248+Z261+Z262+Z263+Z264)</f>
        <v>22720.736</v>
      </c>
      <c r="AA265" s="16">
        <f>SUM(AA242+AA247+AA248+AA261+AA262+AA263+AA264)</f>
        <v>24743.567</v>
      </c>
      <c r="AB265" s="16">
        <f>SUM(AB242,AB247,AB248,AB261,AB262,AB263,AB264)</f>
        <v>24743.567</v>
      </c>
      <c r="AC265" s="16">
        <f>SUM(AC242+AC247+AC248+AC261+AC262+AC263+AC264)</f>
        <v>24028.073</v>
      </c>
      <c r="AD265" s="16">
        <f>SUM(AD242+AD247+AD248+AD261+AD262+AD263+AD264)</f>
        <v>24951.899</v>
      </c>
      <c r="AE265" s="16">
        <f>SUM(AE242+AE247+AE248+AE261+AE262+AE263+AE264)</f>
        <v>25954.035</v>
      </c>
      <c r="AF265" s="16">
        <f>SUM(AF242+AF247+AF248+AF261+AF262+AF263+AF264)</f>
        <v>26615.488</v>
      </c>
      <c r="AG265" s="16">
        <f>SUM(AG242,AG247,AG248,AG261,AG262,AG263,AG264)</f>
        <v>26615.488</v>
      </c>
      <c r="AH265" s="16">
        <f>SUM(AH242+AH247+AH248+AH261+AH262+AH263+AH264)</f>
        <v>31126.399</v>
      </c>
      <c r="AI265" s="16">
        <f>SUM(AI242+AI247+AI248+AI261+AI262+AI263+AI264)</f>
        <v>30152.052</v>
      </c>
      <c r="AJ265" s="16">
        <f>SUM(AJ242+AJ247+AJ248+AJ261+AJ262+AJ263+AJ264)</f>
        <v>33004.218</v>
      </c>
      <c r="AK265" s="16">
        <f>SUM(AK242+AK247+AK248+AK261+AK262+AK263+AK264)</f>
        <v>33055.879</v>
      </c>
      <c r="AL265" s="16">
        <f>SUM(AL242,AL247,AL248,AL261,AL262,AL263,AL264)</f>
        <v>33055.879</v>
      </c>
      <c r="AM265" s="16">
        <f>SUM(AM242+AM247+AM248+AM261+AM262+AM263+AM264)</f>
        <v>33107.54</v>
      </c>
      <c r="AN265" s="16">
        <f>SUM(AN242+AN247+AN248+AN261+AN262+AN263+AN264)</f>
        <v>38915.194</v>
      </c>
      <c r="AO265" s="16">
        <f>SUM(AO242+AO247+AO248+AO261+AO262+AO263+AO264)</f>
        <v>38966.855</v>
      </c>
      <c r="AP265" s="16">
        <f>SUM(AP242+AP247+AP248+AP261+AP262+AP263+AP264)</f>
        <v>44774.509</v>
      </c>
      <c r="AQ265" s="16">
        <f>SUM(AQ242,AQ247,AQ248,AQ261,AQ262,AQ263,AQ264)</f>
        <v>44774.509</v>
      </c>
      <c r="AR265" s="16">
        <f>SUM(AR242+AR247+AR248+AR261+AR262+AR263+AR264)</f>
        <v>50582.163</v>
      </c>
      <c r="AS265" s="16">
        <f>SUM(AS242+AS247+AS248+AS261+AS262+AS263+AS264)</f>
        <v>62300.793</v>
      </c>
      <c r="AT265" s="16">
        <f>SUM(AT242+AT247+AT248+AT261+AT262+AT263+AT264)</f>
        <v>68108.447</v>
      </c>
      <c r="AU265" s="16">
        <f>SUM(AU242+AU247+AU248+AU261+AU262+AU263+AU264)</f>
        <v>79827.077</v>
      </c>
      <c r="AV265" s="16">
        <f>SUM(AV242,AV247,AV248,AV261,AV262,AV263,AV264)</f>
        <v>79827.077</v>
      </c>
      <c r="AW265" s="16">
        <f>SUM(AW242+AW247+AW248+AW261+AW262+AW263+AW264)</f>
        <v>91545.707</v>
      </c>
      <c r="AX265" s="16">
        <f>SUM(AX242+AX247+AX248+AX261+AX262+AX263+AX264)</f>
        <v>126598.275</v>
      </c>
      <c r="AY265" s="16">
        <f>SUM(AY242+AY247+AY248+AY261+AY262+AY263+AY264)</f>
        <v>138316.905</v>
      </c>
      <c r="AZ265" s="16">
        <f>SUM(AZ242+AZ247+AZ248+AZ261+AZ262+AZ263+AZ264)</f>
        <v>173369.473</v>
      </c>
      <c r="BA265" s="16">
        <f>SUM(BA242,BA247,BA248,BA261,BA262,BA263,BA264)</f>
        <v>173369.473</v>
      </c>
      <c r="BB265" s="16">
        <f>SUM(BB242+BB247+BB248+BB261+BB262+BB263+BB264)</f>
        <v>208422.041</v>
      </c>
      <c r="BC265" s="16">
        <f>SUM(BC242+BC247+BC248+BC261+BC262+BC263+BC264)</f>
        <v>301964.437</v>
      </c>
      <c r="BD265" s="16">
        <f>SUM(BD242+BD247+BD248+BD261+BD262+BD263+BD264)</f>
        <v>337017.005</v>
      </c>
      <c r="BE265" s="16">
        <f>SUM(BE242+BE247+BE248+BE261+BE262+BE263+BE264)</f>
        <v>430559.401</v>
      </c>
      <c r="BF265" s="16">
        <f>SUM(BF242,BF247,BF248,BF261,BF262,BF263,BF264)</f>
        <v>430559.401</v>
      </c>
      <c r="BG265" s="16">
        <f>SUM(BG242+BG247+BG248+BG261+BG262+BG263+BG264)</f>
        <v>524101.797</v>
      </c>
      <c r="BH265" s="16">
        <f>SUM(BH242+BH247+BH248+BH261+BH262+BH263+BH264)</f>
        <v>781291.725</v>
      </c>
      <c r="BI265" s="16">
        <f>SUM(BI242+BI247+BI248+BI261+BI262+BI263+BI264)</f>
        <v>874834.121</v>
      </c>
      <c r="BJ265" s="16">
        <f>SUM(BJ242+BJ247+BJ248+BJ261+BJ262+BJ263+BJ264)</f>
        <v>1132024.049</v>
      </c>
      <c r="BK265" s="16">
        <f>SUM(BK242,BK247,BK248,BK261,BK262,BK263,BK264)</f>
        <v>1132024.049</v>
      </c>
      <c r="BL265" s="16">
        <f>SUM(BL242+BL247+BL248+BL261+BL262+BL263+BL264)</f>
        <v>1389213.977</v>
      </c>
      <c r="BM265" s="16">
        <f>SUM(BM242+BM247+BM248+BM261+BM262+BM263+BM264)</f>
        <v>2090678.625</v>
      </c>
      <c r="BN265" s="16">
        <f>SUM(BN242+BN247+BN248+BN261+BN262+BN263+BN264)</f>
        <v>2347868.553</v>
      </c>
      <c r="BO265" s="16">
        <f>SUM(BO242+BO247+BO248+BO261+BO262+BO263+BO264)</f>
        <v>3049333.201</v>
      </c>
      <c r="BP265" s="16">
        <f>SUM(BP242,BP247,BP248,BP261,BP262,BP263,BP264)</f>
        <v>3049333.201</v>
      </c>
      <c r="BQ265" s="16">
        <f>SUM(BQ242+BQ247+BQ248+BQ261+BQ262+BQ263+BQ264)</f>
        <v>3750797.849</v>
      </c>
      <c r="BR265" s="16">
        <f>SUM(BR242+BR247+BR248+BR261+BR262+BR263+BR264)</f>
        <v>5668107.001</v>
      </c>
      <c r="BS265" s="16">
        <f>SUM(BS242+BS247+BS248+BS261+BS262+BS263+BS264)</f>
        <v>6369571.649</v>
      </c>
      <c r="BT265" s="16">
        <f>SUM(BT242+BT247+BT248+BT261+BT262+BT263+BT264)</f>
        <v>8286880.801</v>
      </c>
      <c r="BU265" s="16">
        <f>SUM(BU242,BU247,BU248,BU261,BU262,BU263,BU264)</f>
        <v>8286880.801</v>
      </c>
      <c r="BV265" s="16">
        <f>SUM(BV242+BV247+BV248+BV261+BV262+BV263+BV264)</f>
        <v>10204189.953</v>
      </c>
      <c r="BW265" s="16">
        <f>SUM(BW242+BW247+BW248+BW261+BW262+BW263+BW264)</f>
        <v>15441737.553</v>
      </c>
      <c r="BX265" s="16">
        <f>SUM(BX242+BX247+BX248+BX261+BX262+BX263+BX264)</f>
        <v>17359046.705</v>
      </c>
      <c r="BY265" s="16">
        <f>SUM(BY242+BY247+BY248+BY261+BY262+BY263+BY264)</f>
        <v>22596594.305</v>
      </c>
      <c r="BZ265" s="16">
        <f>SUM(BZ242,BZ247,BZ248,BZ261,BZ262,BZ263,BZ264)</f>
        <v>22596594.305</v>
      </c>
      <c r="CA265" s="16">
        <f>SUM(CA242+CA247+CA248+CA261+CA262+CA263+CA264)</f>
        <v>27834141.905</v>
      </c>
      <c r="CB265" s="16">
        <f>SUM(CB242+CB247+CB248+CB261+CB262+CB263+CB264)</f>
        <v>42143855.409</v>
      </c>
      <c r="CC265" s="16">
        <f>SUM(CC242+CC247+CC248+CC261+CC262+CC263+CC264)</f>
        <v>47381403.009</v>
      </c>
      <c r="CD265" s="16">
        <f>SUM(CD242+CD247+CD248+CD261+CD262+CD263+CD264)</f>
        <v>61691116.513</v>
      </c>
      <c r="CE265" s="16">
        <f>SUM(CE242,CE247,CE248,CE261,CE262,CE263,CE264)</f>
        <v>61691116.513</v>
      </c>
      <c r="CF265" s="16">
        <f>SUM(CF242+CF247+CF248+CF261+CF262+CF263+CF264)</f>
        <v>76000830.017</v>
      </c>
      <c r="CG265" s="16">
        <f>SUM(CG242+CG247+CG248+CG261+CG262+CG263+CG264)</f>
        <v>115095352.225</v>
      </c>
      <c r="CH265" s="16">
        <f>SUM(CH242+CH247+CH248+CH261+CH262+CH263+CH264)</f>
        <v>129405065.729</v>
      </c>
      <c r="CI265" s="16">
        <f>SUM(CI242+CI247+CI248+CI261+CI262+CI263+CI264)</f>
        <v>168499587.937</v>
      </c>
      <c r="CJ265" s="16">
        <f>SUM(CJ242,CJ247,CJ248,CJ261,CJ262,CJ263,CJ264)</f>
        <v>168499587.937</v>
      </c>
      <c r="CK265" s="16">
        <f>SUM(CK242+CK247+CK248+CK261+CK262+CK263+CK264)</f>
        <v>207594110.145</v>
      </c>
      <c r="CL265" s="16">
        <f>SUM(CL242+CL247+CL248+CL261+CL262+CL263+CL264)</f>
        <v>314402581.569</v>
      </c>
      <c r="CM265" s="16">
        <f>SUM(CM242+CM247+CM248+CM261+CM262+CM263+CM264)</f>
        <v>353497103.777</v>
      </c>
      <c r="CN265" s="16">
        <f>SUM(CN242+CN247+CN248+CN261+CN262+CN263+CN264)</f>
        <v>460305575.201</v>
      </c>
      <c r="CO265" s="16">
        <f>SUM(CO242,CO247,CO248,CO261,CO262,CO263,CO264)</f>
        <v>460305575.201</v>
      </c>
      <c r="CP265" s="16">
        <f>SUM(CP242+CP247+CP248+CP261+CP262+CP263+CP264)</f>
        <v>567114046.625</v>
      </c>
      <c r="CQ265" s="16">
        <f>SUM(CQ242+CQ247+CQ248+CQ261+CQ262+CQ263+CQ264)</f>
        <v>858920033.889</v>
      </c>
      <c r="CR265" s="16">
        <f>SUM(CR242+CR247+CR248+CR261+CR262+CR263+CR264)</f>
        <v>965728505.313</v>
      </c>
      <c r="CS265" s="16">
        <f>SUM(CS242+CS247+CS248+CS261+CS262+CS263+CS264)</f>
        <v>1257534492.577</v>
      </c>
      <c r="CT265" s="16">
        <f>SUM(CT242,CT247,CT248,CT261,CT262,CT263,CT264)</f>
        <v>1257534492.577</v>
      </c>
      <c r="CU265" s="16">
        <f>SUM(CU242+CU247+CU248+CU261+CU262+CU263+CU264)</f>
        <v>1549340479.841</v>
      </c>
      <c r="CV265" s="16">
        <f>SUM(CV242+CV247+CV248+CV261+CV262+CV263+CV264)</f>
        <v>2346569397.217</v>
      </c>
      <c r="CW265" s="16">
        <f>SUM(CW242+CW247+CW248+CW261+CW262+CW263+CW264)</f>
        <v>2638375384.481</v>
      </c>
      <c r="CX265" s="16">
        <f>SUM(CX242+CX247+CX248+CX261+CX262+CX263+CX264)</f>
        <v>3435604301.857</v>
      </c>
      <c r="CY265" s="16">
        <f>SUM(CY242,CY247,CY248,CY261,CY262,CY263,CY264)</f>
        <v>3435604301.857</v>
      </c>
    </row>
    <row r="266">
      <c r="C266" s="29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  <c r="CU266" s="3" t="n"/>
      <c r="CV266" s="3" t="n"/>
      <c r="CW266" s="3" t="n"/>
      <c r="CX266" s="3" t="n"/>
      <c r="CY266" s="3" t="n"/>
    </row>
    <row r="267" customFormat="1" s="17">
      <c r="A267" s="13" t="n"/>
      <c r="B267" s="1" t="n"/>
      <c r="C267" s="14" t="inlineStr">
        <is>
          <t>Total Liabilities + Shareholders' Equity</t>
        </is>
      </c>
      <c r="D267" s="16">
        <f>D265+D241</f>
        <v>35059.91</v>
      </c>
      <c r="E267" s="16">
        <f>E265+E241</f>
        <v>37175.281</v>
      </c>
      <c r="F267" s="16">
        <f>F265+F241</f>
        <v>38622.543</v>
      </c>
      <c r="G267" s="16">
        <f>G265+G241</f>
        <v>39280.359</v>
      </c>
      <c r="H267" s="16">
        <f>H265+H241</f>
        <v>39280.359</v>
      </c>
      <c r="I267" s="16">
        <f>I265+I241</f>
        <v>40123.014</v>
      </c>
      <c r="J267" s="16">
        <f>J265+J241</f>
        <v>40970.969</v>
      </c>
      <c r="K267" s="16">
        <f>K265+K241</f>
        <v>42739.857</v>
      </c>
      <c r="L267" s="16">
        <f>L265+L241</f>
        <v>44584.663</v>
      </c>
      <c r="M267" s="16">
        <f>M265+M241</f>
        <v>44584.663</v>
      </c>
      <c r="N267" s="16">
        <f>N265+N241</f>
        <v>45330.904</v>
      </c>
      <c r="O267" s="16">
        <f>O265+O241</f>
        <v>46350.935</v>
      </c>
      <c r="P267" s="16">
        <f>P265+P241</f>
        <v>47562.187</v>
      </c>
      <c r="Q267" s="16">
        <f>Q265+Q241</f>
        <v>48594.768</v>
      </c>
      <c r="R267" s="16">
        <f>R265+R241</f>
        <v>48594.768</v>
      </c>
      <c r="S267" s="16">
        <f>S265+S241</f>
        <v>49490.345</v>
      </c>
      <c r="T267" s="16">
        <f>T265+T241</f>
        <v>50817.473</v>
      </c>
      <c r="U267" s="16">
        <f>U265+U241</f>
        <v>49501.786</v>
      </c>
      <c r="V267" s="16">
        <f>V265+V241</f>
        <v>48731.992</v>
      </c>
      <c r="W267" s="16">
        <f>W265+W241</f>
        <v>48731.992</v>
      </c>
      <c r="X267" s="16">
        <f>X265+X241</f>
        <v>48827.721</v>
      </c>
      <c r="Y267" s="16">
        <f>Y265+Y241</f>
        <v>49098.895</v>
      </c>
      <c r="Z267" s="16">
        <f>Z265+Z241</f>
        <v>52281.844</v>
      </c>
      <c r="AA267" s="16">
        <f>AA265+AA241</f>
        <v>53630.374</v>
      </c>
      <c r="AB267" s="16">
        <f>AB265+AB241</f>
        <v>53630.374</v>
      </c>
      <c r="AC267" s="16">
        <f>AC265+AC241</f>
        <v>52087.644</v>
      </c>
      <c r="AD267" s="16">
        <f>AD265+AD241</f>
        <v>53099.664</v>
      </c>
      <c r="AE267" s="16">
        <f>AE265+AE241</f>
        <v>54934.835</v>
      </c>
      <c r="AF267" s="16">
        <f>AF265+AF241</f>
        <v>55596.993</v>
      </c>
      <c r="AG267" s="16">
        <f>AG265+AG241</f>
        <v>55596.993</v>
      </c>
      <c r="AH267" s="16">
        <f>AH265+AH241</f>
        <v>61015.914</v>
      </c>
      <c r="AI267" s="16">
        <f>AI265+AI241</f>
        <v>58450.441</v>
      </c>
      <c r="AJ267" s="16">
        <f>AJ265+AJ241</f>
        <v>57315.445</v>
      </c>
      <c r="AK267" s="16">
        <f>AK265+AK241</f>
        <v>57367.106</v>
      </c>
      <c r="AL267" s="16">
        <f>AL265+AL241</f>
        <v>57367.106</v>
      </c>
      <c r="AM267" s="16" t="e">
        <f>AM265+AM241</f>
        <v>#DIV/0!</v>
      </c>
      <c r="AN267" s="16">
        <f>AN265+AN241</f>
        <v>63226.421</v>
      </c>
      <c r="AO267" s="16" t="e">
        <f>AO265+AO241</f>
        <v>#DIV/0!</v>
      </c>
      <c r="AP267" s="16" t="e">
        <f>AP265+AP241</f>
        <v>#DIV/0!</v>
      </c>
      <c r="AQ267" s="16" t="e">
        <f>AQ265+AQ241</f>
        <v>#DIV/0!</v>
      </c>
      <c r="AR267" s="16" t="e">
        <f>AR265+AR241</f>
        <v>#DIV/0!</v>
      </c>
      <c r="AS267" s="16" t="e">
        <f>AS265+AS241</f>
        <v>#DIV/0!</v>
      </c>
      <c r="AT267" s="16" t="e">
        <f>AT265+AT241</f>
        <v>#DIV/0!</v>
      </c>
      <c r="AU267" s="16" t="e">
        <f>AU265+AU241</f>
        <v>#DIV/0!</v>
      </c>
      <c r="AV267" s="16" t="e">
        <f>AV265+AV241</f>
        <v>#DIV/0!</v>
      </c>
      <c r="AW267" s="16" t="e">
        <f>AW265+AW241</f>
        <v>#DIV/0!</v>
      </c>
      <c r="AX267" s="16" t="e">
        <f>AX265+AX241</f>
        <v>#DIV/0!</v>
      </c>
      <c r="AY267" s="16" t="e">
        <f>AY265+AY241</f>
        <v>#DIV/0!</v>
      </c>
      <c r="AZ267" s="16" t="e">
        <f>AZ265+AZ241</f>
        <v>#DIV/0!</v>
      </c>
      <c r="BA267" s="16" t="e">
        <f>BA265+BA241</f>
        <v>#DIV/0!</v>
      </c>
      <c r="BB267" s="16" t="e">
        <f>BB265+BB241</f>
        <v>#DIV/0!</v>
      </c>
      <c r="BC267" s="16" t="e">
        <f>BC265+BC241</f>
        <v>#DIV/0!</v>
      </c>
      <c r="BD267" s="16" t="e">
        <f>BD265+BD241</f>
        <v>#DIV/0!</v>
      </c>
      <c r="BE267" s="16" t="e">
        <f>BE265+BE241</f>
        <v>#DIV/0!</v>
      </c>
      <c r="BF267" s="16" t="e">
        <f>BF265+BF241</f>
        <v>#DIV/0!</v>
      </c>
      <c r="BG267" s="16" t="e">
        <f>BG265+BG241</f>
        <v>#DIV/0!</v>
      </c>
      <c r="BH267" s="16" t="e">
        <f>BH265+BH241</f>
        <v>#DIV/0!</v>
      </c>
      <c r="BI267" s="16" t="e">
        <f>BI265+BI241</f>
        <v>#DIV/0!</v>
      </c>
      <c r="BJ267" s="16" t="e">
        <f>BJ265+BJ241</f>
        <v>#DIV/0!</v>
      </c>
      <c r="BK267" s="16" t="e">
        <f>BK265+BK241</f>
        <v>#DIV/0!</v>
      </c>
      <c r="BL267" s="16" t="e">
        <f>BL265+BL241</f>
        <v>#DIV/0!</v>
      </c>
      <c r="BM267" s="16" t="e">
        <f>BM265+BM241</f>
        <v>#DIV/0!</v>
      </c>
      <c r="BN267" s="16" t="e">
        <f>BN265+BN241</f>
        <v>#DIV/0!</v>
      </c>
      <c r="BO267" s="16" t="e">
        <f>BO265+BO241</f>
        <v>#DIV/0!</v>
      </c>
      <c r="BP267" s="16" t="e">
        <f>BP265+BP241</f>
        <v>#DIV/0!</v>
      </c>
      <c r="BQ267" s="16" t="e">
        <f>BQ265+BQ241</f>
        <v>#DIV/0!</v>
      </c>
      <c r="BR267" s="16" t="e">
        <f>BR265+BR241</f>
        <v>#DIV/0!</v>
      </c>
      <c r="BS267" s="16" t="e">
        <f>BS265+BS241</f>
        <v>#DIV/0!</v>
      </c>
      <c r="BT267" s="16" t="e">
        <f>BT265+BT241</f>
        <v>#DIV/0!</v>
      </c>
      <c r="BU267" s="16" t="e">
        <f>BU265+BU241</f>
        <v>#DIV/0!</v>
      </c>
      <c r="BV267" s="16" t="e">
        <f>BV265+BV241</f>
        <v>#DIV/0!</v>
      </c>
      <c r="BW267" s="16" t="e">
        <f>BW265+BW241</f>
        <v>#DIV/0!</v>
      </c>
      <c r="BX267" s="16" t="e">
        <f>BX265+BX241</f>
        <v>#DIV/0!</v>
      </c>
      <c r="BY267" s="16" t="e">
        <f>BY265+BY241</f>
        <v>#DIV/0!</v>
      </c>
      <c r="BZ267" s="16" t="e">
        <f>BZ265+BZ241</f>
        <v>#DIV/0!</v>
      </c>
      <c r="CA267" s="16" t="e">
        <f>CA265+CA241</f>
        <v>#DIV/0!</v>
      </c>
      <c r="CB267" s="16" t="e">
        <f>CB265+CB241</f>
        <v>#DIV/0!</v>
      </c>
      <c r="CC267" s="16" t="e">
        <f>CC265+CC241</f>
        <v>#DIV/0!</v>
      </c>
      <c r="CD267" s="16" t="e">
        <f>CD265+CD241</f>
        <v>#DIV/0!</v>
      </c>
      <c r="CE267" s="16" t="e">
        <f>CE265+CE241</f>
        <v>#DIV/0!</v>
      </c>
      <c r="CF267" s="16" t="e">
        <f>CF265+CF241</f>
        <v>#DIV/0!</v>
      </c>
      <c r="CG267" s="16" t="e">
        <f>CG265+CG241</f>
        <v>#DIV/0!</v>
      </c>
      <c r="CH267" s="16" t="e">
        <f>CH265+CH241</f>
        <v>#DIV/0!</v>
      </c>
      <c r="CI267" s="16" t="e">
        <f>CI265+CI241</f>
        <v>#DIV/0!</v>
      </c>
      <c r="CJ267" s="16" t="e">
        <f>CJ265+CJ241</f>
        <v>#DIV/0!</v>
      </c>
      <c r="CK267" s="16" t="e">
        <f>CK265+CK241</f>
        <v>#DIV/0!</v>
      </c>
      <c r="CL267" s="16" t="e">
        <f>CL265+CL241</f>
        <v>#DIV/0!</v>
      </c>
      <c r="CM267" s="16" t="e">
        <f>CM265+CM241</f>
        <v>#DIV/0!</v>
      </c>
      <c r="CN267" s="16" t="e">
        <f>CN265+CN241</f>
        <v>#DIV/0!</v>
      </c>
      <c r="CO267" s="16" t="e">
        <f>CO265+CO241</f>
        <v>#DIV/0!</v>
      </c>
      <c r="CP267" s="16" t="e">
        <f>CP265+CP241</f>
        <v>#DIV/0!</v>
      </c>
      <c r="CQ267" s="16" t="e">
        <f>CQ265+CQ241</f>
        <v>#DIV/0!</v>
      </c>
      <c r="CR267" s="16" t="e">
        <f>CR265+CR241</f>
        <v>#DIV/0!</v>
      </c>
      <c r="CS267" s="16" t="e">
        <f>CS265+CS241</f>
        <v>#DIV/0!</v>
      </c>
      <c r="CT267" s="16" t="e">
        <f>CT265+CT241</f>
        <v>#DIV/0!</v>
      </c>
      <c r="CU267" s="16" t="e">
        <f>CU265+CU241</f>
        <v>#DIV/0!</v>
      </c>
      <c r="CV267" s="16" t="e">
        <f>CV265+CV241</f>
        <v>#DIV/0!</v>
      </c>
      <c r="CW267" s="16" t="e">
        <f>CW265+CW241</f>
        <v>#DIV/0!</v>
      </c>
      <c r="CX267" s="16" t="e">
        <f>CX265+CX241</f>
        <v>#DIV/0!</v>
      </c>
      <c r="CY267" s="16" t="e">
        <f>CY265+CY241</f>
        <v>#DIV/0!</v>
      </c>
    </row>
    <row r="268">
      <c r="C268" s="5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1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</row>
    <row r="269" customFormat="1" s="17">
      <c r="A269" s="13" t="n"/>
      <c r="B269" s="13" t="n"/>
      <c r="C269" s="12" t="inlineStr">
        <is>
          <t>Cash Flow Statement</t>
        </is>
      </c>
      <c r="D269" s="232" t="str">
        <f>D136</f>
        <v>1Q20</v>
      </c>
      <c r="E269" s="232" t="str">
        <f>E136</f>
        <v>2Q20</v>
      </c>
      <c r="F269" s="232" t="str">
        <f>F136</f>
        <v>3Q20</v>
      </c>
      <c r="G269" s="232" t="str">
        <f>G136</f>
        <v>4Q20</v>
      </c>
      <c r="H269" s="232">
        <f>H136</f>
        <v>2020</v>
      </c>
      <c r="I269" s="232" t="str">
        <f>I136</f>
        <v>1Q21</v>
      </c>
      <c r="J269" s="232" t="str">
        <f>J136</f>
        <v>2Q21</v>
      </c>
      <c r="K269" s="232" t="str">
        <f>K136</f>
        <v>3Q21</v>
      </c>
      <c r="L269" s="232" t="str">
        <f>L136</f>
        <v>4Q21</v>
      </c>
      <c r="M269" s="232">
        <f>M136</f>
        <v>2021</v>
      </c>
      <c r="N269" s="232" t="str">
        <f>N136</f>
        <v>1Q22</v>
      </c>
      <c r="O269" s="232" t="str">
        <f>O136</f>
        <v>2Q22</v>
      </c>
      <c r="P269" s="232" t="str">
        <f>P136</f>
        <v>3Q22</v>
      </c>
      <c r="Q269" s="232" t="str">
        <f>Q136</f>
        <v>4Q22</v>
      </c>
      <c r="R269" s="232">
        <f>R136</f>
        <v>2022</v>
      </c>
      <c r="S269" s="232" t="str">
        <f>S136</f>
        <v>1Q23</v>
      </c>
      <c r="T269" s="232" t="str">
        <f>T136</f>
        <v>2Q23</v>
      </c>
      <c r="U269" s="232" t="str">
        <f>U136</f>
        <v>3Q23</v>
      </c>
      <c r="V269" s="232" t="str">
        <f>V136</f>
        <v>4Q23</v>
      </c>
      <c r="W269" s="232">
        <f>W136</f>
        <v>2023</v>
      </c>
      <c r="X269" s="232" t="str">
        <f>X136</f>
        <v>1Q24</v>
      </c>
      <c r="Y269" s="232" t="str">
        <f>Y136</f>
        <v>2Q24</v>
      </c>
      <c r="Z269" s="232" t="str">
        <f>Z136</f>
        <v>3Q24</v>
      </c>
      <c r="AA269" s="232" t="str">
        <f>AA136</f>
        <v>4Q24</v>
      </c>
      <c r="AB269" s="232">
        <f>AB136</f>
        <v>2024</v>
      </c>
      <c r="AC269" s="232" t="str">
        <f>AC136</f>
        <v>1Q25</v>
      </c>
      <c r="AD269" s="232" t="str">
        <f>AD136</f>
        <v>2Q25</v>
      </c>
      <c r="AE269" s="232" t="str">
        <f>AE136</f>
        <v>3Q25</v>
      </c>
      <c r="AF269" s="232" t="str">
        <f>AF136</f>
        <v>4Q25</v>
      </c>
      <c r="AG269" s="232">
        <f>AG136</f>
        <v>2025</v>
      </c>
      <c r="AH269" s="232" t="str">
        <f>AH136</f>
        <v>1Q26</v>
      </c>
      <c r="AI269" s="232" t="str">
        <f>AI136</f>
        <v>2Q26</v>
      </c>
      <c r="AJ269" s="232" t="str">
        <f>AJ136</f>
        <v>3Q26</v>
      </c>
      <c r="AK269" s="232" t="str">
        <f>AK136</f>
        <v>4Q26</v>
      </c>
      <c r="AL269" s="232">
        <f>AL136</f>
        <v>2026</v>
      </c>
      <c r="AM269" s="232" t="str">
        <f>AM136</f>
        <v>1Q27</v>
      </c>
      <c r="AN269" s="232" t="str">
        <f>AN136</f>
        <v>2Q27</v>
      </c>
      <c r="AO269" s="232" t="str">
        <f>AO136</f>
        <v>3Q27</v>
      </c>
      <c r="AP269" s="232" t="str">
        <f>AP136</f>
        <v>4Q27</v>
      </c>
      <c r="AQ269" s="232">
        <f>AQ136</f>
        <v>2027</v>
      </c>
      <c r="AR269" s="232" t="str">
        <f>AR136</f>
        <v>1Q28</v>
      </c>
      <c r="AS269" s="232" t="str">
        <f>AS136</f>
        <v>2Q28</v>
      </c>
      <c r="AT269" s="232" t="str">
        <f>AT136</f>
        <v>3Q28</v>
      </c>
      <c r="AU269" s="232" t="str">
        <f>AU136</f>
        <v>4Q28</v>
      </c>
      <c r="AV269" s="232">
        <f>AV136</f>
        <v>2028</v>
      </c>
      <c r="AW269" s="232" t="str">
        <f>AW136</f>
        <v>1Q29</v>
      </c>
      <c r="AX269" s="232" t="str">
        <f>AX136</f>
        <v>2Q29</v>
      </c>
      <c r="AY269" s="232" t="str">
        <f>AY136</f>
        <v>3Q29</v>
      </c>
      <c r="AZ269" s="232" t="str">
        <f>AZ136</f>
        <v>4Q29</v>
      </c>
      <c r="BA269" s="232">
        <f>BA136</f>
        <v>2029</v>
      </c>
      <c r="BB269" s="232" t="str">
        <f>BB136</f>
        <v>1Q30</v>
      </c>
      <c r="BC269" s="232" t="str">
        <f>BC136</f>
        <v>2Q30</v>
      </c>
      <c r="BD269" s="232" t="str">
        <f>BD136</f>
        <v>3Q30</v>
      </c>
      <c r="BE269" s="232" t="str">
        <f>BE136</f>
        <v>4Q30</v>
      </c>
      <c r="BF269" s="232">
        <f>BF136</f>
        <v>2030</v>
      </c>
      <c r="BG269" s="232" t="str">
        <f>BG136</f>
        <v>1Q31</v>
      </c>
      <c r="BH269" s="232" t="str">
        <f>BH136</f>
        <v>2Q31</v>
      </c>
      <c r="BI269" s="232" t="str">
        <f>BI136</f>
        <v>3Q31</v>
      </c>
      <c r="BJ269" s="232" t="str">
        <f>BJ136</f>
        <v>4Q31</v>
      </c>
      <c r="BK269" s="232">
        <f>BK136</f>
        <v>2031</v>
      </c>
      <c r="BL269" s="232" t="str">
        <f>BL136</f>
        <v>1Q32</v>
      </c>
      <c r="BM269" s="232" t="str">
        <f>BM136</f>
        <v>2Q32</v>
      </c>
      <c r="BN269" s="232" t="str">
        <f>BN136</f>
        <v>3Q32</v>
      </c>
      <c r="BO269" s="232" t="str">
        <f>BO136</f>
        <v>4Q32</v>
      </c>
      <c r="BP269" s="232">
        <f>BP136</f>
        <v>2032</v>
      </c>
      <c r="BQ269" s="232" t="str">
        <f>BQ136</f>
        <v>1Q33</v>
      </c>
      <c r="BR269" s="232" t="str">
        <f>BR136</f>
        <v>2Q33</v>
      </c>
      <c r="BS269" s="232" t="str">
        <f>BS136</f>
        <v>3Q33</v>
      </c>
      <c r="BT269" s="232" t="str">
        <f>BT136</f>
        <v>4Q33</v>
      </c>
      <c r="BU269" s="232">
        <f>BU136</f>
        <v>2033</v>
      </c>
      <c r="BV269" s="232" t="str">
        <f>BV136</f>
        <v>1Q34</v>
      </c>
      <c r="BW269" s="232" t="str">
        <f>BW136</f>
        <v>2Q34</v>
      </c>
      <c r="BX269" s="232" t="str">
        <f>BX136</f>
        <v>3Q34</v>
      </c>
      <c r="BY269" s="232" t="str">
        <f>BY136</f>
        <v>4Q34</v>
      </c>
      <c r="BZ269" s="232">
        <f>BZ136</f>
        <v>2034</v>
      </c>
      <c r="CA269" s="232" t="str">
        <f>CA136</f>
        <v>1Q35</v>
      </c>
      <c r="CB269" s="232" t="str">
        <f>CB136</f>
        <v>2Q35</v>
      </c>
      <c r="CC269" s="232" t="str">
        <f>CC136</f>
        <v>3Q35</v>
      </c>
      <c r="CD269" s="232" t="str">
        <f>CD136</f>
        <v>4Q35</v>
      </c>
      <c r="CE269" s="232">
        <f>CE136</f>
        <v>2035</v>
      </c>
      <c r="CF269" s="232" t="str">
        <f>CF136</f>
        <v>1Q36</v>
      </c>
      <c r="CG269" s="232" t="str">
        <f>CG136</f>
        <v>2Q36</v>
      </c>
      <c r="CH269" s="232" t="str">
        <f>CH136</f>
        <v>3Q36</v>
      </c>
      <c r="CI269" s="232" t="str">
        <f>CI136</f>
        <v>4Q36</v>
      </c>
      <c r="CJ269" s="232">
        <f>CJ136</f>
        <v>2036</v>
      </c>
      <c r="CK269" s="232" t="str">
        <f>CK136</f>
        <v>1Q37</v>
      </c>
      <c r="CL269" s="232" t="str">
        <f>CL136</f>
        <v>2Q37</v>
      </c>
      <c r="CM269" s="232" t="str">
        <f>CM136</f>
        <v>3Q37</v>
      </c>
      <c r="CN269" s="232" t="str">
        <f>CN136</f>
        <v>4Q37</v>
      </c>
      <c r="CO269" s="232">
        <f>CO136</f>
        <v>2037</v>
      </c>
      <c r="CP269" s="232" t="str">
        <f>CP136</f>
        <v>1Q38</v>
      </c>
      <c r="CQ269" s="232" t="str">
        <f>CQ136</f>
        <v>2Q38</v>
      </c>
      <c r="CR269" s="232" t="str">
        <f>CR136</f>
        <v>3Q38</v>
      </c>
      <c r="CS269" s="232" t="str">
        <f>CS136</f>
        <v>4Q38</v>
      </c>
      <c r="CT269" s="232">
        <f>CT136</f>
        <v>2038</v>
      </c>
      <c r="CU269" s="232" t="str">
        <f>CU136</f>
        <v>1Q39</v>
      </c>
      <c r="CV269" s="232" t="str">
        <f>CV136</f>
        <v>2Q39</v>
      </c>
      <c r="CW269" s="232" t="str">
        <f>CW136</f>
        <v>3Q39</v>
      </c>
      <c r="CX269" s="232" t="str">
        <f>CX136</f>
        <v>4Q39</v>
      </c>
      <c r="CY269" s="232">
        <f>CY136</f>
        <v>2039</v>
      </c>
    </row>
    <row r="270">
      <c r="C270" s="5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</row>
    <row r="271">
      <c r="C271" s="29" t="inlineStr">
        <is>
          <t>Net Income</t>
        </is>
      </c>
      <c r="D271" s="3" t="n"/>
      <c r="E271" s="3">
        <f>E131</f>
        <v>720.196</v>
      </c>
      <c r="F271" s="3">
        <f>F131</f>
        <v>789.976</v>
      </c>
      <c r="G271" s="3">
        <f>G131</f>
        <v>542.156</v>
      </c>
      <c r="H271" s="3">
        <f>SUM(D271:G271)</f>
        <v>2052.328</v>
      </c>
      <c r="I271" s="3">
        <f>I131</f>
        <v>1706.715</v>
      </c>
      <c r="J271" s="3">
        <f>J131</f>
        <v>1353.013</v>
      </c>
      <c r="K271" s="3">
        <f>K131</f>
        <v>1449.071</v>
      </c>
      <c r="L271" s="3">
        <f>L131</f>
        <v>607.428999999999</v>
      </c>
      <c r="M271" s="3">
        <f>SUM(I271:L271)</f>
        <v>5116.228</v>
      </c>
      <c r="N271" s="3">
        <f>N131</f>
        <v>1597.447</v>
      </c>
      <c r="O271" s="3">
        <f>O131</f>
        <v>1440.951</v>
      </c>
      <c r="P271" s="3">
        <f>P131</f>
        <v>1398.242</v>
      </c>
      <c r="Q271" s="3">
        <f>Q131</f>
        <v>55.2840000000002</v>
      </c>
      <c r="R271" s="3">
        <f>SUM(N271:Q271)</f>
        <v>4491.924</v>
      </c>
      <c r="S271" s="3">
        <f>S131</f>
        <v>1305.12</v>
      </c>
      <c r="T271" s="3">
        <f>T131</f>
        <v>1487.61</v>
      </c>
      <c r="U271" s="3">
        <f>U131</f>
        <v>1677.422</v>
      </c>
      <c r="V271" s="3">
        <f>V131</f>
        <v>937.837999999999</v>
      </c>
      <c r="W271" s="3">
        <f>SUM(S271:V271)</f>
        <v>5407.99</v>
      </c>
      <c r="X271" s="3">
        <f>X131</f>
        <v>2332.209</v>
      </c>
      <c r="Y271" s="3">
        <f>Y131</f>
        <v>2147.306</v>
      </c>
      <c r="Z271" s="3">
        <f>Z131</f>
        <v>2363.509</v>
      </c>
      <c r="AA271" s="3">
        <f>AA131</f>
        <v>1868.607</v>
      </c>
      <c r="AB271" s="3">
        <f>SUM(X271:AA271)</f>
        <v>8711.631</v>
      </c>
      <c r="AC271" s="3">
        <f>AC131</f>
        <v>2890.351</v>
      </c>
      <c r="AD271" s="3">
        <f>AD131</f>
        <v>3125.413</v>
      </c>
      <c r="AE271" s="3">
        <f>AE131</f>
        <v>2546.916</v>
      </c>
      <c r="AF271" s="3">
        <f>AF131</f>
        <v>2418.521</v>
      </c>
      <c r="AG271" s="3">
        <f>SUM(AC271:AF271)</f>
        <v>10981.201</v>
      </c>
      <c r="AH271" s="3">
        <f>AH131</f>
        <v>5282.791</v>
      </c>
      <c r="AI271" s="3">
        <f>AI131</f>
        <v>3401.414</v>
      </c>
      <c r="AJ271" s="3">
        <f>AJ131</f>
        <v>2852.166</v>
      </c>
      <c r="AK271" s="3">
        <f>AK131</f>
        <v>51.661</v>
      </c>
      <c r="AL271" s="3">
        <f>SUM(AH271:AK271)</f>
        <v>11588.032</v>
      </c>
      <c r="AM271" s="3">
        <f>AM131</f>
        <v>51.661</v>
      </c>
      <c r="AN271" s="3">
        <f>AN131</f>
        <v>5807.654</v>
      </c>
      <c r="AO271" s="3">
        <f>AO131</f>
        <v>51.661</v>
      </c>
      <c r="AP271" s="3">
        <f>AP131</f>
        <v>5807.654</v>
      </c>
      <c r="AQ271" s="3">
        <f>SUM(AM271:AP271)</f>
        <v>11718.63</v>
      </c>
      <c r="AR271" s="3">
        <f>AR131</f>
        <v>5807.654</v>
      </c>
      <c r="AS271" s="3">
        <f>AS131</f>
        <v>11718.63</v>
      </c>
      <c r="AT271" s="3">
        <f>AT131</f>
        <v>5807.654</v>
      </c>
      <c r="AU271" s="3">
        <f>AU131</f>
        <v>11718.63</v>
      </c>
      <c r="AV271" s="3">
        <f>SUM(AR271:AU271)</f>
        <v>35052.568</v>
      </c>
      <c r="AW271" s="3">
        <f>AW131</f>
        <v>11718.63</v>
      </c>
      <c r="AX271" s="3">
        <f>AX131</f>
        <v>35052.568</v>
      </c>
      <c r="AY271" s="3">
        <f>AY131</f>
        <v>11718.63</v>
      </c>
      <c r="AZ271" s="3">
        <f>AZ131</f>
        <v>35052.568</v>
      </c>
      <c r="BA271" s="3">
        <f>SUM(AW271:AZ271)</f>
        <v>93542.396</v>
      </c>
      <c r="BB271" s="3">
        <f>BB131</f>
        <v>35052.568</v>
      </c>
      <c r="BC271" s="3">
        <f>BC131</f>
        <v>93542.396</v>
      </c>
      <c r="BD271" s="3">
        <f>BD131</f>
        <v>35052.568</v>
      </c>
      <c r="BE271" s="3">
        <f>BE131</f>
        <v>93542.396</v>
      </c>
      <c r="BF271" s="3">
        <f>SUM(BB271:BE271)</f>
        <v>257189.928</v>
      </c>
      <c r="BG271" s="3">
        <f>BG131</f>
        <v>93542.396</v>
      </c>
      <c r="BH271" s="3">
        <f>BH131</f>
        <v>257189.928</v>
      </c>
      <c r="BI271" s="3">
        <f>BI131</f>
        <v>93542.396</v>
      </c>
      <c r="BJ271" s="3">
        <f>BJ131</f>
        <v>257189.928</v>
      </c>
      <c r="BK271" s="3">
        <f>SUM(BG271:BJ271)</f>
        <v>701464.648</v>
      </c>
      <c r="BL271" s="3">
        <f>BL131</f>
        <v>257189.928</v>
      </c>
      <c r="BM271" s="3">
        <f>BM131</f>
        <v>701464.648</v>
      </c>
      <c r="BN271" s="3">
        <f>BN131</f>
        <v>257189.928</v>
      </c>
      <c r="BO271" s="3">
        <f>BO131</f>
        <v>701464.648</v>
      </c>
      <c r="BP271" s="3">
        <f>SUM(BL271:BO271)</f>
        <v>1917309.152</v>
      </c>
      <c r="BQ271" s="3">
        <f>BQ131</f>
        <v>701464.648</v>
      </c>
      <c r="BR271" s="3">
        <f>BR131</f>
        <v>1917309.152</v>
      </c>
      <c r="BS271" s="3">
        <f>BS131</f>
        <v>701464.648</v>
      </c>
      <c r="BT271" s="3">
        <f>BT131</f>
        <v>1917309.152</v>
      </c>
      <c r="BU271" s="3">
        <f>SUM(BQ271:BT271)</f>
        <v>5237547.6</v>
      </c>
      <c r="BV271" s="3">
        <f>BV131</f>
        <v>1917309.152</v>
      </c>
      <c r="BW271" s="3">
        <f>BW131</f>
        <v>5237547.6</v>
      </c>
      <c r="BX271" s="3">
        <f>BX131</f>
        <v>1917309.152</v>
      </c>
      <c r="BY271" s="3">
        <f>BY131</f>
        <v>5237547.6</v>
      </c>
      <c r="BZ271" s="3">
        <f>SUM(BV271:BY271)</f>
        <v>14309713.504</v>
      </c>
      <c r="CA271" s="3">
        <f>CA131</f>
        <v>5237547.6</v>
      </c>
      <c r="CB271" s="3">
        <f>CB131</f>
        <v>14309713.504</v>
      </c>
      <c r="CC271" s="3">
        <f>CC131</f>
        <v>5237547.6</v>
      </c>
      <c r="CD271" s="3">
        <f>CD131</f>
        <v>14309713.504</v>
      </c>
      <c r="CE271" s="3">
        <f>SUM(CA271:CD271)</f>
        <v>39094522.208</v>
      </c>
      <c r="CF271" s="3">
        <f>CF131</f>
        <v>14309713.504</v>
      </c>
      <c r="CG271" s="3">
        <f>CG131</f>
        <v>39094522.208</v>
      </c>
      <c r="CH271" s="3">
        <f>CH131</f>
        <v>14309713.504</v>
      </c>
      <c r="CI271" s="3">
        <f>CI131</f>
        <v>39094522.208</v>
      </c>
      <c r="CJ271" s="3">
        <f>SUM(CF271:CI271)</f>
        <v>106808471.424</v>
      </c>
      <c r="CK271" s="3">
        <f>CK131</f>
        <v>39094522.208</v>
      </c>
      <c r="CL271" s="3">
        <f>CL131</f>
        <v>106808471.424</v>
      </c>
      <c r="CM271" s="3">
        <f>CM131</f>
        <v>39094522.208</v>
      </c>
      <c r="CN271" s="3">
        <f>CN131</f>
        <v>106808471.424</v>
      </c>
      <c r="CO271" s="3">
        <f>SUM(CK271:CN271)</f>
        <v>291805987.264</v>
      </c>
      <c r="CP271" s="3">
        <f>CP131</f>
        <v>106808471.424</v>
      </c>
      <c r="CQ271" s="3">
        <f>CQ131</f>
        <v>291805987.264</v>
      </c>
      <c r="CR271" s="3">
        <f>CR131</f>
        <v>106808471.424</v>
      </c>
      <c r="CS271" s="3">
        <f>CS131</f>
        <v>291805987.264</v>
      </c>
      <c r="CT271" s="3">
        <f>SUM(CP271:CS271)</f>
        <v>797228917.376</v>
      </c>
      <c r="CU271" s="3">
        <f>CU131</f>
        <v>291805987.264</v>
      </c>
      <c r="CV271" s="3">
        <f>CV131</f>
        <v>797228917.376</v>
      </c>
      <c r="CW271" s="3">
        <f>CW131</f>
        <v>291805987.264</v>
      </c>
      <c r="CX271" s="3">
        <f>CX131</f>
        <v>797228917.376</v>
      </c>
      <c r="CY271" s="3">
        <f>SUM(CU271:CX271)</f>
        <v>2178069809.28</v>
      </c>
    </row>
    <row r="272">
      <c r="C272" s="29" t="inlineStr">
        <is>
          <t>Depreciation &amp; amortization</t>
        </is>
      </c>
      <c r="D272" s="3" t="n"/>
      <c r="E272" s="3">
        <f>-E64</f>
        <v>26.661</v>
      </c>
      <c r="F272" s="3">
        <f>-F64</f>
        <v>28.589</v>
      </c>
      <c r="G272" s="3">
        <f>-G64</f>
        <v>31.943</v>
      </c>
      <c r="H272" s="3">
        <f>SUM(D272:G272)</f>
        <v>87.193</v>
      </c>
      <c r="I272" s="3">
        <f>-I64</f>
        <v>35.741</v>
      </c>
      <c r="J272" s="3">
        <f>-J64</f>
        <v>38.434</v>
      </c>
      <c r="K272" s="3">
        <f>-K64</f>
        <v>70.253</v>
      </c>
      <c r="L272" s="3">
        <f>-L64</f>
        <v>63.984</v>
      </c>
      <c r="M272" s="3">
        <f>SUM(I272:L272)</f>
        <v>208.412</v>
      </c>
      <c r="N272" s="3">
        <f>-N64</f>
        <v>74.602</v>
      </c>
      <c r="O272" s="3">
        <f>-O64</f>
        <v>83.505</v>
      </c>
      <c r="P272" s="3">
        <f>-P64</f>
        <v>85.188</v>
      </c>
      <c r="Q272" s="3">
        <f>-Q64</f>
        <v>93.387</v>
      </c>
      <c r="R272" s="3">
        <f>SUM(N272:Q272)</f>
        <v>336.682</v>
      </c>
      <c r="S272" s="3">
        <f>-S64</f>
        <v>90.335</v>
      </c>
      <c r="T272" s="3">
        <f>-T64</f>
        <v>89.385</v>
      </c>
      <c r="U272" s="3">
        <f>-U64</f>
        <v>90.66</v>
      </c>
      <c r="V272" s="3">
        <f>-V64</f>
        <v>86.567</v>
      </c>
      <c r="W272" s="3">
        <f>SUM(S272:V272)</f>
        <v>356.947</v>
      </c>
      <c r="X272" s="3">
        <f>-X64</f>
        <v>87.234</v>
      </c>
      <c r="Y272" s="3">
        <f>-Y64</f>
        <v>81.227</v>
      </c>
      <c r="Z272" s="3">
        <f>-Z64</f>
        <v>80.914</v>
      </c>
      <c r="AA272" s="3">
        <f>-AA64</f>
        <v>79.539</v>
      </c>
      <c r="AB272" s="3">
        <f>SUM(X272:AA272)</f>
        <v>328.914</v>
      </c>
      <c r="AC272" s="3">
        <f>-AC64</f>
        <v>80.067</v>
      </c>
      <c r="AD272" s="3">
        <f>-AD64</f>
        <v>80.013</v>
      </c>
      <c r="AE272" s="3">
        <f>-AE64</f>
        <v>87.326</v>
      </c>
      <c r="AF272" s="3">
        <f>-AF64</f>
        <v>85.983</v>
      </c>
      <c r="AG272" s="3">
        <f>SUM(AC272:AF272)</f>
        <v>333.389</v>
      </c>
      <c r="AH272" s="3">
        <f>-AH64</f>
        <v>98.575</v>
      </c>
      <c r="AI272" s="3">
        <f>-AI64</f>
        <v>100.53</v>
      </c>
      <c r="AJ272" s="3">
        <f>-AJ64</f>
        <v>0</v>
      </c>
      <c r="AK272" s="3">
        <f>-AK64</f>
        <v>0</v>
      </c>
      <c r="AL272" s="3">
        <f>SUM(AH272:AK272)</f>
        <v>199.105</v>
      </c>
      <c r="AM272" s="3">
        <f>-AM64</f>
        <v>0</v>
      </c>
      <c r="AN272" s="3">
        <f>-AN64</f>
        <v>0</v>
      </c>
      <c r="AO272" s="3">
        <f>-AO64</f>
        <v>0</v>
      </c>
      <c r="AP272" s="3">
        <f>-AP64</f>
        <v>0</v>
      </c>
      <c r="AQ272" s="3">
        <f>SUM(AM272:AP272)</f>
        <v>0</v>
      </c>
      <c r="AR272" s="3">
        <f>-AR64</f>
        <v>0</v>
      </c>
      <c r="AS272" s="3">
        <f>-AS64</f>
        <v>0</v>
      </c>
      <c r="AT272" s="3">
        <f>-AT64</f>
        <v>0</v>
      </c>
      <c r="AU272" s="3">
        <f>-AU64</f>
        <v>0</v>
      </c>
      <c r="AV272" s="3">
        <f>SUM(AR272:AU272)</f>
        <v>0</v>
      </c>
      <c r="AW272" s="3">
        <f>-AW64</f>
        <v>0</v>
      </c>
      <c r="AX272" s="3">
        <f>-AX64</f>
        <v>0</v>
      </c>
      <c r="AY272" s="3">
        <f>-AY64</f>
        <v>0</v>
      </c>
      <c r="AZ272" s="3">
        <f>-AZ64</f>
        <v>0</v>
      </c>
      <c r="BA272" s="3">
        <f>SUM(AW272:AZ272)</f>
        <v>0</v>
      </c>
      <c r="BB272" s="3">
        <f>-BB64</f>
        <v>0</v>
      </c>
      <c r="BC272" s="3">
        <f>-BC64</f>
        <v>0</v>
      </c>
      <c r="BD272" s="3">
        <f>-BD64</f>
        <v>0</v>
      </c>
      <c r="BE272" s="3">
        <f>-BE64</f>
        <v>0</v>
      </c>
      <c r="BF272" s="3">
        <f>SUM(BB272:BE272)</f>
        <v>0</v>
      </c>
      <c r="BG272" s="3">
        <f>-BG64</f>
        <v>0</v>
      </c>
      <c r="BH272" s="3">
        <f>-BH64</f>
        <v>0</v>
      </c>
      <c r="BI272" s="3">
        <f>-BI64</f>
        <v>0</v>
      </c>
      <c r="BJ272" s="3">
        <f>-BJ64</f>
        <v>0</v>
      </c>
      <c r="BK272" s="3">
        <f>SUM(BG272:BJ272)</f>
        <v>0</v>
      </c>
      <c r="BL272" s="3">
        <f>-BL64</f>
        <v>0</v>
      </c>
      <c r="BM272" s="3">
        <f>-BM64</f>
        <v>0</v>
      </c>
      <c r="BN272" s="3">
        <f>-BN64</f>
        <v>0</v>
      </c>
      <c r="BO272" s="3">
        <f>-BO64</f>
        <v>0</v>
      </c>
      <c r="BP272" s="3">
        <f>SUM(BL272:BO272)</f>
        <v>0</v>
      </c>
      <c r="BQ272" s="3">
        <f>-BQ64</f>
        <v>0</v>
      </c>
      <c r="BR272" s="3">
        <f>-BR64</f>
        <v>0</v>
      </c>
      <c r="BS272" s="3">
        <f>-BS64</f>
        <v>0</v>
      </c>
      <c r="BT272" s="3">
        <f>-BT64</f>
        <v>0</v>
      </c>
      <c r="BU272" s="3">
        <f>SUM(BQ272:BT272)</f>
        <v>0</v>
      </c>
      <c r="BV272" s="3">
        <f>-BV64</f>
        <v>0</v>
      </c>
      <c r="BW272" s="3">
        <f>-BW64</f>
        <v>0</v>
      </c>
      <c r="BX272" s="3">
        <f>-BX64</f>
        <v>0</v>
      </c>
      <c r="BY272" s="3">
        <f>-BY64</f>
        <v>0</v>
      </c>
      <c r="BZ272" s="3">
        <f>SUM(BV272:BY272)</f>
        <v>0</v>
      </c>
      <c r="CA272" s="3">
        <f>-CA64</f>
        <v>0</v>
      </c>
      <c r="CB272" s="3">
        <f>-CB64</f>
        <v>0</v>
      </c>
      <c r="CC272" s="3">
        <f>-CC64</f>
        <v>0</v>
      </c>
      <c r="CD272" s="3">
        <f>-CD64</f>
        <v>0</v>
      </c>
      <c r="CE272" s="3">
        <f>SUM(CA272:CD272)</f>
        <v>0</v>
      </c>
      <c r="CF272" s="3">
        <f>-CF64</f>
        <v>0</v>
      </c>
      <c r="CG272" s="3">
        <f>-CG64</f>
        <v>0</v>
      </c>
      <c r="CH272" s="3">
        <f>-CH64</f>
        <v>0</v>
      </c>
      <c r="CI272" s="3">
        <f>-CI64</f>
        <v>0</v>
      </c>
      <c r="CJ272" s="3">
        <f>SUM(CF272:CI272)</f>
        <v>0</v>
      </c>
      <c r="CK272" s="3">
        <f>-CK64</f>
        <v>0</v>
      </c>
      <c r="CL272" s="3">
        <f>-CL64</f>
        <v>0</v>
      </c>
      <c r="CM272" s="3">
        <f>-CM64</f>
        <v>0</v>
      </c>
      <c r="CN272" s="3">
        <f>-CN64</f>
        <v>0</v>
      </c>
      <c r="CO272" s="3">
        <f>SUM(CK272:CN272)</f>
        <v>0</v>
      </c>
      <c r="CP272" s="3">
        <f>-CP64</f>
        <v>0</v>
      </c>
      <c r="CQ272" s="3">
        <f>-CQ64</f>
        <v>0</v>
      </c>
      <c r="CR272" s="3">
        <f>-CR64</f>
        <v>0</v>
      </c>
      <c r="CS272" s="3">
        <f>-CS64</f>
        <v>0</v>
      </c>
      <c r="CT272" s="3">
        <f>SUM(CP272:CS272)</f>
        <v>0</v>
      </c>
      <c r="CU272" s="3">
        <f>-CU64</f>
        <v>0</v>
      </c>
      <c r="CV272" s="3">
        <f>-CV64</f>
        <v>0</v>
      </c>
      <c r="CW272" s="3">
        <f>-CW64</f>
        <v>0</v>
      </c>
      <c r="CX272" s="3">
        <f>-CX64</f>
        <v>0</v>
      </c>
      <c r="CY272" s="3">
        <f>SUM(CU272:CX272)</f>
        <v>0</v>
      </c>
    </row>
    <row r="273">
      <c r="C273" s="29" t="inlineStr">
        <is>
          <t xml:space="preserve">Changes in working capital </t>
        </is>
      </c>
      <c r="D273" s="3" t="n"/>
      <c r="E273" s="3">
        <f>SUM(E274:E283)</f>
        <v>-342.652999999999</v>
      </c>
      <c r="F273" s="3">
        <f>SUM(F274:F283)</f>
        <v>289.822999999999</v>
      </c>
      <c r="G273" s="3">
        <f>SUM(G274:G283)</f>
        <v>-256.312</v>
      </c>
      <c r="H273" s="3">
        <f>SUM(D273:G273)</f>
        <v>-309.142</v>
      </c>
      <c r="I273" s="3">
        <f>SUM(I274:I283)</f>
        <v>-190.698000000001</v>
      </c>
      <c r="J273" s="3">
        <f>SUM(J274:J283)</f>
        <v>-252.165</v>
      </c>
      <c r="K273" s="3">
        <f>SUM(K274:K283)</f>
        <v>153.653</v>
      </c>
      <c r="L273" s="3">
        <f>SUM(L274:L283)</f>
        <v>286.455</v>
      </c>
      <c r="M273" s="3">
        <f>SUM(I273:L273)</f>
        <v>-2.75500000000102</v>
      </c>
      <c r="N273" s="3">
        <f>SUM(N274:N283)</f>
        <v>-96.5349999999996</v>
      </c>
      <c r="O273" s="3">
        <f>SUM(O274:O283)</f>
        <v>-171.894000000001</v>
      </c>
      <c r="P273" s="3">
        <f>SUM(P274:P283)</f>
        <v>-415.938999999999</v>
      </c>
      <c r="Q273" s="3">
        <f>SUM(Q274:Q283)</f>
        <v>-339.801</v>
      </c>
      <c r="R273" s="3">
        <f>SUM(N273:Q273)</f>
        <v>-1024.169</v>
      </c>
      <c r="S273" s="3">
        <f>SUM(S274:S283)</f>
        <v>538.835</v>
      </c>
      <c r="T273" s="3">
        <f>SUM(T274:T283)</f>
        <v>85.2829999999993</v>
      </c>
      <c r="U273" s="3">
        <f>SUM(U274:U283)</f>
        <v>-319.994999999999</v>
      </c>
      <c r="V273" s="3">
        <f>SUM(V274:V283)</f>
        <v>653.487999999999</v>
      </c>
      <c r="W273" s="3">
        <f>SUM(S273:V273)</f>
        <v>957.611</v>
      </c>
      <c r="X273" s="3">
        <f>SUM(X274:X283)</f>
        <v>-65.8570000000003</v>
      </c>
      <c r="Y273" s="3">
        <f>SUM(Y274:Y283)</f>
        <v>-234.389999999999</v>
      </c>
      <c r="Z273" s="3">
        <f>SUM(Z274:Z283)</f>
        <v>601.240999999999</v>
      </c>
      <c r="AA273" s="3">
        <f>SUM(AA274:AA283)</f>
        <v>-527.250999999999</v>
      </c>
      <c r="AB273" s="3">
        <f>SUM(X273:AA273)</f>
        <v>-226.257</v>
      </c>
      <c r="AC273" s="3">
        <f>SUM(AC274:AC283)</f>
        <v>-68.3110000000002</v>
      </c>
      <c r="AD273" s="3">
        <f>SUM(AD274:AD283)</f>
        <v>-46.2470000000001</v>
      </c>
      <c r="AE273" s="3">
        <f>SUM(AE274:AE283)</f>
        <v>753.567</v>
      </c>
      <c r="AF273" s="3">
        <f>SUM(AF274:AF283)</f>
        <v>-69.083</v>
      </c>
      <c r="AG273" s="3">
        <f>SUM(AC273:AF273)</f>
        <v>569.926</v>
      </c>
      <c r="AH273" s="3">
        <f>SUM(AH274:AH283)</f>
        <v>325.628</v>
      </c>
      <c r="AI273" s="3">
        <f>SUM(AI274:AI283)</f>
        <v>-1424.114</v>
      </c>
      <c r="AJ273" s="3">
        <f>SUM(AJ274:AJ283)</f>
        <v>-3987.162</v>
      </c>
      <c r="AK273" s="3">
        <f>SUM(AK274:AK283)</f>
        <v>0</v>
      </c>
      <c r="AL273" s="3">
        <f>SUM(AH273:AK273)</f>
        <v>-5085.648</v>
      </c>
      <c r="AM273" s="3" t="e">
        <f>SUM(AM274:AM283)</f>
        <v>#DIV/0!</v>
      </c>
      <c r="AN273" s="3" t="e">
        <f>SUM(AN274:AN283)</f>
        <v>#DIV/0!</v>
      </c>
      <c r="AO273" s="3" t="e">
        <f>SUM(AO274:AO283)</f>
        <v>#DIV/0!</v>
      </c>
      <c r="AP273" s="3" t="e">
        <f>SUM(AP274:AP283)</f>
        <v>#DIV/0!</v>
      </c>
      <c r="AQ273" s="3" t="e">
        <f>SUM(AM273:AP273)</f>
        <v>#DIV/0!</v>
      </c>
      <c r="AR273" s="3" t="e">
        <f>SUM(AR274:AR283)</f>
        <v>#DIV/0!</v>
      </c>
      <c r="AS273" s="3" t="e">
        <f>SUM(AS274:AS283)</f>
        <v>#DIV/0!</v>
      </c>
      <c r="AT273" s="3" t="e">
        <f>SUM(AT274:AT283)</f>
        <v>#DIV/0!</v>
      </c>
      <c r="AU273" s="3" t="e">
        <f>SUM(AU274:AU283)</f>
        <v>#DIV/0!</v>
      </c>
      <c r="AV273" s="3" t="e">
        <f>SUM(AR273:AU273)</f>
        <v>#DIV/0!</v>
      </c>
      <c r="AW273" s="3" t="e">
        <f>SUM(AW274:AW283)</f>
        <v>#DIV/0!</v>
      </c>
      <c r="AX273" s="3" t="e">
        <f>SUM(AX274:AX283)</f>
        <v>#DIV/0!</v>
      </c>
      <c r="AY273" s="3" t="e">
        <f>SUM(AY274:AY283)</f>
        <v>#DIV/0!</v>
      </c>
      <c r="AZ273" s="3" t="e">
        <f>SUM(AZ274:AZ283)</f>
        <v>#DIV/0!</v>
      </c>
      <c r="BA273" s="3" t="e">
        <f>SUM(AW273:AZ273)</f>
        <v>#DIV/0!</v>
      </c>
      <c r="BB273" s="3" t="e">
        <f>SUM(BB274:BB283)</f>
        <v>#DIV/0!</v>
      </c>
      <c r="BC273" s="3" t="e">
        <f>SUM(BC274:BC283)</f>
        <v>#DIV/0!</v>
      </c>
      <c r="BD273" s="3" t="e">
        <f>SUM(BD274:BD283)</f>
        <v>#DIV/0!</v>
      </c>
      <c r="BE273" s="3" t="e">
        <f>SUM(BE274:BE283)</f>
        <v>#DIV/0!</v>
      </c>
      <c r="BF273" s="3" t="e">
        <f>SUM(BB273:BE273)</f>
        <v>#DIV/0!</v>
      </c>
      <c r="BG273" s="3" t="e">
        <f>SUM(BG274:BG283)</f>
        <v>#DIV/0!</v>
      </c>
      <c r="BH273" s="3" t="e">
        <f>SUM(BH274:BH283)</f>
        <v>#DIV/0!</v>
      </c>
      <c r="BI273" s="3" t="e">
        <f>SUM(BI274:BI283)</f>
        <v>#DIV/0!</v>
      </c>
      <c r="BJ273" s="3" t="e">
        <f>SUM(BJ274:BJ283)</f>
        <v>#DIV/0!</v>
      </c>
      <c r="BK273" s="3" t="e">
        <f>SUM(BG273:BJ273)</f>
        <v>#DIV/0!</v>
      </c>
      <c r="BL273" s="3" t="e">
        <f>SUM(BL274:BL283)</f>
        <v>#DIV/0!</v>
      </c>
      <c r="BM273" s="3" t="e">
        <f>SUM(BM274:BM283)</f>
        <v>#DIV/0!</v>
      </c>
      <c r="BN273" s="3" t="e">
        <f>SUM(BN274:BN283)</f>
        <v>#DIV/0!</v>
      </c>
      <c r="BO273" s="3" t="e">
        <f>SUM(BO274:BO283)</f>
        <v>#DIV/0!</v>
      </c>
      <c r="BP273" s="3" t="e">
        <f>SUM(BL273:BO273)</f>
        <v>#DIV/0!</v>
      </c>
      <c r="BQ273" s="3" t="e">
        <f>SUM(BQ274:BQ283)</f>
        <v>#DIV/0!</v>
      </c>
      <c r="BR273" s="3" t="e">
        <f>SUM(BR274:BR283)</f>
        <v>#DIV/0!</v>
      </c>
      <c r="BS273" s="3" t="e">
        <f>SUM(BS274:BS283)</f>
        <v>#DIV/0!</v>
      </c>
      <c r="BT273" s="3" t="e">
        <f>SUM(BT274:BT283)</f>
        <v>#DIV/0!</v>
      </c>
      <c r="BU273" s="3" t="e">
        <f>SUM(BQ273:BT273)</f>
        <v>#DIV/0!</v>
      </c>
      <c r="BV273" s="3" t="e">
        <f>SUM(BV274:BV283)</f>
        <v>#DIV/0!</v>
      </c>
      <c r="BW273" s="3" t="e">
        <f>SUM(BW274:BW283)</f>
        <v>#DIV/0!</v>
      </c>
      <c r="BX273" s="3" t="e">
        <f>SUM(BX274:BX283)</f>
        <v>#DIV/0!</v>
      </c>
      <c r="BY273" s="3" t="e">
        <f>SUM(BY274:BY283)</f>
        <v>#DIV/0!</v>
      </c>
      <c r="BZ273" s="3" t="e">
        <f>SUM(BV273:BY273)</f>
        <v>#DIV/0!</v>
      </c>
      <c r="CA273" s="3" t="e">
        <f>SUM(CA274:CA283)</f>
        <v>#DIV/0!</v>
      </c>
      <c r="CB273" s="3" t="e">
        <f>SUM(CB274:CB283)</f>
        <v>#DIV/0!</v>
      </c>
      <c r="CC273" s="3" t="e">
        <f>SUM(CC274:CC283)</f>
        <v>#DIV/0!</v>
      </c>
      <c r="CD273" s="3" t="e">
        <f>SUM(CD274:CD283)</f>
        <v>#DIV/0!</v>
      </c>
      <c r="CE273" s="3" t="e">
        <f>SUM(CA273:CD273)</f>
        <v>#DIV/0!</v>
      </c>
      <c r="CF273" s="3" t="e">
        <f>SUM(CF274:CF283)</f>
        <v>#DIV/0!</v>
      </c>
      <c r="CG273" s="3" t="e">
        <f>SUM(CG274:CG283)</f>
        <v>#DIV/0!</v>
      </c>
      <c r="CH273" s="3" t="e">
        <f>SUM(CH274:CH283)</f>
        <v>#DIV/0!</v>
      </c>
      <c r="CI273" s="3" t="e">
        <f>SUM(CI274:CI283)</f>
        <v>#DIV/0!</v>
      </c>
      <c r="CJ273" s="3" t="e">
        <f>SUM(CF273:CI273)</f>
        <v>#DIV/0!</v>
      </c>
      <c r="CK273" s="3" t="e">
        <f>SUM(CK274:CK283)</f>
        <v>#DIV/0!</v>
      </c>
      <c r="CL273" s="3" t="e">
        <f>SUM(CL274:CL283)</f>
        <v>#DIV/0!</v>
      </c>
      <c r="CM273" s="3" t="e">
        <f>SUM(CM274:CM283)</f>
        <v>#DIV/0!</v>
      </c>
      <c r="CN273" s="3" t="e">
        <f>SUM(CN274:CN283)</f>
        <v>#DIV/0!</v>
      </c>
      <c r="CO273" s="3" t="e">
        <f>SUM(CK273:CN273)</f>
        <v>#DIV/0!</v>
      </c>
      <c r="CP273" s="3" t="e">
        <f>SUM(CP274:CP283)</f>
        <v>#DIV/0!</v>
      </c>
      <c r="CQ273" s="3" t="e">
        <f>SUM(CQ274:CQ283)</f>
        <v>#DIV/0!</v>
      </c>
      <c r="CR273" s="3" t="e">
        <f>SUM(CR274:CR283)</f>
        <v>#DIV/0!</v>
      </c>
      <c r="CS273" s="3" t="e">
        <f>SUM(CS274:CS283)</f>
        <v>#DIV/0!</v>
      </c>
      <c r="CT273" s="3" t="e">
        <f>SUM(CP273:CS273)</f>
        <v>#DIV/0!</v>
      </c>
      <c r="CU273" s="3" t="e">
        <f>SUM(CU274:CU283)</f>
        <v>#DIV/0!</v>
      </c>
      <c r="CV273" s="3" t="e">
        <f>SUM(CV274:CV283)</f>
        <v>#DIV/0!</v>
      </c>
      <c r="CW273" s="3" t="e">
        <f>SUM(CW274:CW283)</f>
        <v>#DIV/0!</v>
      </c>
      <c r="CX273" s="3" t="e">
        <f>SUM(CX274:CX283)</f>
        <v>#DIV/0!</v>
      </c>
      <c r="CY273" s="3" t="e">
        <f>SUM(CU273:CX273)</f>
        <v>#DIV/0!</v>
      </c>
    </row>
    <row r="274" hidden="1" outlineLevel="1">
      <c r="C274" s="29" t="inlineStr">
        <is>
          <t>Accounts receivable</t>
        </is>
      </c>
      <c r="D274" s="3" t="n"/>
      <c r="E274" s="3">
        <f>(E139-D139)*-1</f>
        <v>0</v>
      </c>
      <c r="F274" s="3">
        <f>(F139-E139)*-1</f>
        <v>0</v>
      </c>
      <c r="G274" s="3">
        <f>(G139-F139)*-1</f>
        <v>0</v>
      </c>
      <c r="H274" s="3">
        <f>SUM(D274:G274)</f>
        <v>0</v>
      </c>
      <c r="I274" s="3">
        <f>(I139-H139)*-1</f>
        <v>0</v>
      </c>
      <c r="J274" s="3">
        <f>(J139-I139)*-1</f>
        <v>0</v>
      </c>
      <c r="K274" s="3">
        <f>(K139-J139)*-1</f>
        <v>0</v>
      </c>
      <c r="L274" s="3">
        <f>(L139-K139)*-1</f>
        <v>0</v>
      </c>
      <c r="M274" s="3">
        <f>SUM(I274:L274)</f>
        <v>0</v>
      </c>
      <c r="N274" s="3">
        <f>(N139-M139)*-1</f>
        <v>0</v>
      </c>
      <c r="O274" s="3">
        <f>(O139-N139)*-1</f>
        <v>0</v>
      </c>
      <c r="P274" s="3">
        <f>(P139-O139)*-1</f>
        <v>0</v>
      </c>
      <c r="Q274" s="3">
        <f>(Q139-P139)*-1</f>
        <v>0</v>
      </c>
      <c r="R274" s="3">
        <f>SUM(N274:Q274)</f>
        <v>0</v>
      </c>
      <c r="S274" s="3">
        <f>(S139-R139)*-1</f>
        <v>0</v>
      </c>
      <c r="T274" s="3">
        <f>(T139-S139)*-1</f>
        <v>0</v>
      </c>
      <c r="U274" s="3">
        <f>(U139-T139)*-1</f>
        <v>0</v>
      </c>
      <c r="V274" s="3">
        <f>(V139-U139)*-1</f>
        <v>0</v>
      </c>
      <c r="W274" s="3">
        <f>SUM(S274:V274)</f>
        <v>0</v>
      </c>
      <c r="X274" s="3">
        <f>(X139-W139)*-1</f>
        <v>0</v>
      </c>
      <c r="Y274" s="3">
        <f>(Y139-X139)*-1</f>
        <v>0</v>
      </c>
      <c r="Z274" s="3">
        <f>(Z139-Y139)*-1</f>
        <v>0</v>
      </c>
      <c r="AA274" s="3">
        <f>(AA139-Z139)*-1</f>
        <v>0</v>
      </c>
      <c r="AB274" s="3">
        <f>SUM(X274:AA274)</f>
        <v>0</v>
      </c>
      <c r="AC274" s="3">
        <f>(AC139-AB139)*-1</f>
        <v>0</v>
      </c>
      <c r="AD274" s="3">
        <f>(AD139-AC139)*-1</f>
        <v>0</v>
      </c>
      <c r="AE274" s="3">
        <f>(AE139-AD139)*-1</f>
        <v>0</v>
      </c>
      <c r="AF274" s="3">
        <f>(AF139-AE139)*-1</f>
        <v>0</v>
      </c>
      <c r="AG274" s="3">
        <f>SUM(AC274:AF274)</f>
        <v>0</v>
      </c>
      <c r="AH274" s="3">
        <f>(AH139-AG139)*-1</f>
        <v>0</v>
      </c>
      <c r="AI274" s="3">
        <f>(AI139-AH139)*-1</f>
        <v>0</v>
      </c>
      <c r="AJ274" s="3">
        <f>(AJ139-AI139)*-1</f>
        <v>0</v>
      </c>
      <c r="AK274" s="3">
        <f>(AK139-AJ139)*-1</f>
        <v>0</v>
      </c>
      <c r="AL274" s="3">
        <f>SUM(AH274:AK274)</f>
        <v>0</v>
      </c>
      <c r="AM274" s="3">
        <f>(AM139-AL139)*-1</f>
        <v>0</v>
      </c>
      <c r="AN274" s="3">
        <f>(AN139-AM139)*-1</f>
        <v>0</v>
      </c>
      <c r="AO274" s="3">
        <f>(AO139-AN139)*-1</f>
        <v>0</v>
      </c>
      <c r="AP274" s="3">
        <f>(AP139-AO139)*-1</f>
        <v>0</v>
      </c>
      <c r="AQ274" s="3">
        <f>SUM(AM274:AP274)</f>
        <v>0</v>
      </c>
      <c r="AR274" s="3">
        <f>(AR139-AQ139)*-1</f>
        <v>0</v>
      </c>
      <c r="AS274" s="3">
        <f>(AS139-AR139)*-1</f>
        <v>0</v>
      </c>
      <c r="AT274" s="3">
        <f>(AT139-AS139)*-1</f>
        <v>0</v>
      </c>
      <c r="AU274" s="3">
        <f>(AU139-AT139)*-1</f>
        <v>0</v>
      </c>
      <c r="AV274" s="3">
        <f>SUM(AR274:AU274)</f>
        <v>0</v>
      </c>
      <c r="AW274" s="3">
        <f>(AW139-AV139)*-1</f>
        <v>0</v>
      </c>
      <c r="AX274" s="3">
        <f>(AX139-AW139)*-1</f>
        <v>0</v>
      </c>
      <c r="AY274" s="3">
        <f>(AY139-AX139)*-1</f>
        <v>0</v>
      </c>
      <c r="AZ274" s="3">
        <f>(AZ139-AY139)*-1</f>
        <v>0</v>
      </c>
      <c r="BA274" s="3">
        <f>SUM(AW274:AZ274)</f>
        <v>0</v>
      </c>
      <c r="BB274" s="3">
        <f>(BB139-BA139)*-1</f>
        <v>0</v>
      </c>
      <c r="BC274" s="3">
        <f>(BC139-BB139)*-1</f>
        <v>0</v>
      </c>
      <c r="BD274" s="3">
        <f>(BD139-BC139)*-1</f>
        <v>0</v>
      </c>
      <c r="BE274" s="3">
        <f>(BE139-BD139)*-1</f>
        <v>0</v>
      </c>
      <c r="BF274" s="3">
        <f>SUM(BB274:BE274)</f>
        <v>0</v>
      </c>
      <c r="BG274" s="3">
        <f>(BG139-BF139)*-1</f>
        <v>0</v>
      </c>
      <c r="BH274" s="3">
        <f>(BH139-BG139)*-1</f>
        <v>0</v>
      </c>
      <c r="BI274" s="3">
        <f>(BI139-BH139)*-1</f>
        <v>0</v>
      </c>
      <c r="BJ274" s="3">
        <f>(BJ139-BI139)*-1</f>
        <v>0</v>
      </c>
      <c r="BK274" s="3">
        <f>SUM(BG274:BJ274)</f>
        <v>0</v>
      </c>
      <c r="BL274" s="3">
        <f>(BL139-BK139)*-1</f>
        <v>0</v>
      </c>
      <c r="BM274" s="3">
        <f>(BM139-BL139)*-1</f>
        <v>0</v>
      </c>
      <c r="BN274" s="3">
        <f>(BN139-BM139)*-1</f>
        <v>0</v>
      </c>
      <c r="BO274" s="3">
        <f>(BO139-BN139)*-1</f>
        <v>0</v>
      </c>
      <c r="BP274" s="3">
        <f>SUM(BL274:BO274)</f>
        <v>0</v>
      </c>
      <c r="BQ274" s="3">
        <f>(BQ139-BP139)*-1</f>
        <v>0</v>
      </c>
      <c r="BR274" s="3">
        <f>(BR139-BQ139)*-1</f>
        <v>0</v>
      </c>
      <c r="BS274" s="3">
        <f>(BS139-BR139)*-1</f>
        <v>0</v>
      </c>
      <c r="BT274" s="3">
        <f>(BT139-BS139)*-1</f>
        <v>0</v>
      </c>
      <c r="BU274" s="3">
        <f>SUM(BQ274:BT274)</f>
        <v>0</v>
      </c>
      <c r="BV274" s="3">
        <f>(BV139-BU139)*-1</f>
        <v>0</v>
      </c>
      <c r="BW274" s="3">
        <f>(BW139-BV139)*-1</f>
        <v>0</v>
      </c>
      <c r="BX274" s="3">
        <f>(BX139-BW139)*-1</f>
        <v>0</v>
      </c>
      <c r="BY274" s="3">
        <f>(BY139-BX139)*-1</f>
        <v>0</v>
      </c>
      <c r="BZ274" s="3">
        <f>SUM(BV274:BY274)</f>
        <v>0</v>
      </c>
      <c r="CA274" s="3">
        <f>(CA139-BZ139)*-1</f>
        <v>0</v>
      </c>
      <c r="CB274" s="3">
        <f>(CB139-CA139)*-1</f>
        <v>0</v>
      </c>
      <c r="CC274" s="3">
        <f>(CC139-CB139)*-1</f>
        <v>0</v>
      </c>
      <c r="CD274" s="3">
        <f>(CD139-CC139)*-1</f>
        <v>0</v>
      </c>
      <c r="CE274" s="3">
        <f>SUM(CA274:CD274)</f>
        <v>0</v>
      </c>
      <c r="CF274" s="3">
        <f>(CF139-CE139)*-1</f>
        <v>0</v>
      </c>
      <c r="CG274" s="3">
        <f>(CG139-CF139)*-1</f>
        <v>0</v>
      </c>
      <c r="CH274" s="3">
        <f>(CH139-CG139)*-1</f>
        <v>0</v>
      </c>
      <c r="CI274" s="3">
        <f>(CI139-CH139)*-1</f>
        <v>0</v>
      </c>
      <c r="CJ274" s="3">
        <f>SUM(CF274:CI274)</f>
        <v>0</v>
      </c>
      <c r="CK274" s="3">
        <f>(CK139-CJ139)*-1</f>
        <v>0</v>
      </c>
      <c r="CL274" s="3">
        <f>(CL139-CK139)*-1</f>
        <v>0</v>
      </c>
      <c r="CM274" s="3">
        <f>(CM139-CL139)*-1</f>
        <v>0</v>
      </c>
      <c r="CN274" s="3">
        <f>(CN139-CM139)*-1</f>
        <v>0</v>
      </c>
      <c r="CO274" s="3">
        <f>SUM(CK274:CN274)</f>
        <v>0</v>
      </c>
      <c r="CP274" s="3">
        <f>(CP139-CO139)*-1</f>
        <v>0</v>
      </c>
      <c r="CQ274" s="3">
        <f>(CQ139-CP139)*-1</f>
        <v>0</v>
      </c>
      <c r="CR274" s="3">
        <f>(CR139-CQ139)*-1</f>
        <v>0</v>
      </c>
      <c r="CS274" s="3">
        <f>(CS139-CR139)*-1</f>
        <v>0</v>
      </c>
      <c r="CT274" s="3">
        <f>SUM(CP274:CS274)</f>
        <v>0</v>
      </c>
      <c r="CU274" s="3">
        <f>(CU139-CT139)*-1</f>
        <v>0</v>
      </c>
      <c r="CV274" s="3">
        <f>(CV139-CU139)*-1</f>
        <v>0</v>
      </c>
      <c r="CW274" s="3">
        <f>(CW139-CV139)*-1</f>
        <v>0</v>
      </c>
      <c r="CX274" s="3">
        <f>(CX139-CW139)*-1</f>
        <v>0</v>
      </c>
      <c r="CY274" s="3">
        <f>SUM(CU274:CX274)</f>
        <v>0</v>
      </c>
    </row>
    <row r="275" hidden="1" outlineLevel="1">
      <c r="C275" s="29" t="inlineStr">
        <is>
          <t>Inventories</t>
        </is>
      </c>
      <c r="D275" s="3" t="n"/>
      <c r="E275" s="3">
        <f>(E143-D143)*-1</f>
        <v>0</v>
      </c>
      <c r="F275" s="3">
        <f>(F143-E143)*-1</f>
        <v>0</v>
      </c>
      <c r="G275" s="3">
        <f>(G143-F143)*-1</f>
        <v>0</v>
      </c>
      <c r="H275" s="3">
        <f>SUM(D275:G275)</f>
        <v>0</v>
      </c>
      <c r="I275" s="3">
        <f>(I143-H143)*-1</f>
        <v>0</v>
      </c>
      <c r="J275" s="3">
        <f>(J143-I143)*-1</f>
        <v>0</v>
      </c>
      <c r="K275" s="3">
        <f>(K143-J143)*-1</f>
        <v>0</v>
      </c>
      <c r="L275" s="3">
        <f>(L143-K143)*-1</f>
        <v>0</v>
      </c>
      <c r="M275" s="3">
        <f>SUM(I275:L275)</f>
        <v>0</v>
      </c>
      <c r="N275" s="3">
        <f>(N143-M143)*-1</f>
        <v>0</v>
      </c>
      <c r="O275" s="3">
        <f>(O143-N143)*-1</f>
        <v>0</v>
      </c>
      <c r="P275" s="3">
        <f>(P143-O143)*-1</f>
        <v>0</v>
      </c>
      <c r="Q275" s="3">
        <f>(Q143-P143)*-1</f>
        <v>0</v>
      </c>
      <c r="R275" s="3">
        <f>SUM(N275:Q275)</f>
        <v>0</v>
      </c>
      <c r="S275" s="3">
        <f>(S143-R143)*-1</f>
        <v>0</v>
      </c>
      <c r="T275" s="3">
        <f>(T143-S143)*-1</f>
        <v>0</v>
      </c>
      <c r="U275" s="3">
        <f>(U143-T143)*-1</f>
        <v>0</v>
      </c>
      <c r="V275" s="3">
        <f>(V143-U143)*-1</f>
        <v>0</v>
      </c>
      <c r="W275" s="3">
        <f>SUM(S275:V275)</f>
        <v>0</v>
      </c>
      <c r="X275" s="3">
        <f>(X143-W143)*-1</f>
        <v>0</v>
      </c>
      <c r="Y275" s="3">
        <f>(Y143-X143)*-1</f>
        <v>0</v>
      </c>
      <c r="Z275" s="3">
        <f>(Z143-Y143)*-1</f>
        <v>0</v>
      </c>
      <c r="AA275" s="3">
        <f>(AA143-Z143)*-1</f>
        <v>0</v>
      </c>
      <c r="AB275" s="3">
        <f>SUM(X275:AA275)</f>
        <v>0</v>
      </c>
      <c r="AC275" s="3">
        <f>(AC143-AB143)*-1</f>
        <v>0</v>
      </c>
      <c r="AD275" s="3">
        <f>(AD143-AC143)*-1</f>
        <v>0</v>
      </c>
      <c r="AE275" s="3">
        <f>(AE143-AD143)*-1</f>
        <v>0</v>
      </c>
      <c r="AF275" s="3">
        <f>(AF143-AE143)*-1</f>
        <v>0</v>
      </c>
      <c r="AG275" s="3">
        <f>SUM(AC275:AF275)</f>
        <v>0</v>
      </c>
      <c r="AH275" s="3">
        <f>(AH143-AG143)*-1</f>
        <v>0</v>
      </c>
      <c r="AI275" s="3">
        <f>(AI143-AH143)*-1</f>
        <v>0</v>
      </c>
      <c r="AJ275" s="3">
        <f>(AJ143-AI143)*-1</f>
        <v>0</v>
      </c>
      <c r="AK275" s="3">
        <f>(AK143-AJ143)*-1</f>
        <v>0</v>
      </c>
      <c r="AL275" s="3">
        <f>SUM(AH275:AK275)</f>
        <v>0</v>
      </c>
      <c r="AM275" s="3">
        <f>(AM143-AL143)*-1</f>
        <v>0</v>
      </c>
      <c r="AN275" s="3">
        <f>(AN143-AM143)*-1</f>
        <v>0</v>
      </c>
      <c r="AO275" s="3">
        <f>(AO143-AN143)*-1</f>
        <v>0</v>
      </c>
      <c r="AP275" s="3">
        <f>(AP143-AO143)*-1</f>
        <v>0</v>
      </c>
      <c r="AQ275" s="3">
        <f>SUM(AM275:AP275)</f>
        <v>0</v>
      </c>
      <c r="AR275" s="3">
        <f>(AR143-AQ143)*-1</f>
        <v>0</v>
      </c>
      <c r="AS275" s="3">
        <f>(AS143-AR143)*-1</f>
        <v>0</v>
      </c>
      <c r="AT275" s="3">
        <f>(AT143-AS143)*-1</f>
        <v>0</v>
      </c>
      <c r="AU275" s="3">
        <f>(AU143-AT143)*-1</f>
        <v>0</v>
      </c>
      <c r="AV275" s="3">
        <f>SUM(AR275:AU275)</f>
        <v>0</v>
      </c>
      <c r="AW275" s="3">
        <f>(AW143-AV143)*-1</f>
        <v>0</v>
      </c>
      <c r="AX275" s="3">
        <f>(AX143-AW143)*-1</f>
        <v>0</v>
      </c>
      <c r="AY275" s="3">
        <f>(AY143-AX143)*-1</f>
        <v>0</v>
      </c>
      <c r="AZ275" s="3">
        <f>(AZ143-AY143)*-1</f>
        <v>0</v>
      </c>
      <c r="BA275" s="3">
        <f>SUM(AW275:AZ275)</f>
        <v>0</v>
      </c>
      <c r="BB275" s="3">
        <f>(BB143-BA143)*-1</f>
        <v>0</v>
      </c>
      <c r="BC275" s="3">
        <f>(BC143-BB143)*-1</f>
        <v>0</v>
      </c>
      <c r="BD275" s="3">
        <f>(BD143-BC143)*-1</f>
        <v>0</v>
      </c>
      <c r="BE275" s="3">
        <f>(BE143-BD143)*-1</f>
        <v>0</v>
      </c>
      <c r="BF275" s="3">
        <f>SUM(BB275:BE275)</f>
        <v>0</v>
      </c>
      <c r="BG275" s="3">
        <f>(BG143-BF143)*-1</f>
        <v>0</v>
      </c>
      <c r="BH275" s="3">
        <f>(BH143-BG143)*-1</f>
        <v>0</v>
      </c>
      <c r="BI275" s="3">
        <f>(BI143-BH143)*-1</f>
        <v>0</v>
      </c>
      <c r="BJ275" s="3">
        <f>(BJ143-BI143)*-1</f>
        <v>0</v>
      </c>
      <c r="BK275" s="3">
        <f>SUM(BG275:BJ275)</f>
        <v>0</v>
      </c>
      <c r="BL275" s="3">
        <f>(BL143-BK143)*-1</f>
        <v>0</v>
      </c>
      <c r="BM275" s="3">
        <f>(BM143-BL143)*-1</f>
        <v>0</v>
      </c>
      <c r="BN275" s="3">
        <f>(BN143-BM143)*-1</f>
        <v>0</v>
      </c>
      <c r="BO275" s="3">
        <f>(BO143-BN143)*-1</f>
        <v>0</v>
      </c>
      <c r="BP275" s="3">
        <f>SUM(BL275:BO275)</f>
        <v>0</v>
      </c>
      <c r="BQ275" s="3">
        <f>(BQ143-BP143)*-1</f>
        <v>0</v>
      </c>
      <c r="BR275" s="3">
        <f>(BR143-BQ143)*-1</f>
        <v>0</v>
      </c>
      <c r="BS275" s="3">
        <f>(BS143-BR143)*-1</f>
        <v>0</v>
      </c>
      <c r="BT275" s="3">
        <f>(BT143-BS143)*-1</f>
        <v>0</v>
      </c>
      <c r="BU275" s="3">
        <f>SUM(BQ275:BT275)</f>
        <v>0</v>
      </c>
      <c r="BV275" s="3">
        <f>(BV143-BU143)*-1</f>
        <v>0</v>
      </c>
      <c r="BW275" s="3">
        <f>(BW143-BV143)*-1</f>
        <v>0</v>
      </c>
      <c r="BX275" s="3">
        <f>(BX143-BW143)*-1</f>
        <v>0</v>
      </c>
      <c r="BY275" s="3">
        <f>(BY143-BX143)*-1</f>
        <v>0</v>
      </c>
      <c r="BZ275" s="3">
        <f>SUM(BV275:BY275)</f>
        <v>0</v>
      </c>
      <c r="CA275" s="3">
        <f>(CA143-BZ143)*-1</f>
        <v>0</v>
      </c>
      <c r="CB275" s="3">
        <f>(CB143-CA143)*-1</f>
        <v>0</v>
      </c>
      <c r="CC275" s="3">
        <f>(CC143-CB143)*-1</f>
        <v>0</v>
      </c>
      <c r="CD275" s="3">
        <f>(CD143-CC143)*-1</f>
        <v>0</v>
      </c>
      <c r="CE275" s="3">
        <f>SUM(CA275:CD275)</f>
        <v>0</v>
      </c>
      <c r="CF275" s="3">
        <f>(CF143-CE143)*-1</f>
        <v>0</v>
      </c>
      <c r="CG275" s="3">
        <f>(CG143-CF143)*-1</f>
        <v>0</v>
      </c>
      <c r="CH275" s="3">
        <f>(CH143-CG143)*-1</f>
        <v>0</v>
      </c>
      <c r="CI275" s="3">
        <f>(CI143-CH143)*-1</f>
        <v>0</v>
      </c>
      <c r="CJ275" s="3">
        <f>SUM(CF275:CI275)</f>
        <v>0</v>
      </c>
      <c r="CK275" s="3">
        <f>(CK143-CJ143)*-1</f>
        <v>0</v>
      </c>
      <c r="CL275" s="3">
        <f>(CL143-CK143)*-1</f>
        <v>0</v>
      </c>
      <c r="CM275" s="3">
        <f>(CM143-CL143)*-1</f>
        <v>0</v>
      </c>
      <c r="CN275" s="3">
        <f>(CN143-CM143)*-1</f>
        <v>0</v>
      </c>
      <c r="CO275" s="3">
        <f>SUM(CK275:CN275)</f>
        <v>0</v>
      </c>
      <c r="CP275" s="3">
        <f>(CP143-CO143)*-1</f>
        <v>0</v>
      </c>
      <c r="CQ275" s="3">
        <f>(CQ143-CP143)*-1</f>
        <v>0</v>
      </c>
      <c r="CR275" s="3">
        <f>(CR143-CQ143)*-1</f>
        <v>0</v>
      </c>
      <c r="CS275" s="3">
        <f>(CS143-CR143)*-1</f>
        <v>0</v>
      </c>
      <c r="CT275" s="3">
        <f>SUM(CP275:CS275)</f>
        <v>0</v>
      </c>
      <c r="CU275" s="3">
        <f>(CU143-CT143)*-1</f>
        <v>0</v>
      </c>
      <c r="CV275" s="3">
        <f>(CV143-CU143)*-1</f>
        <v>0</v>
      </c>
      <c r="CW275" s="3">
        <f>(CW143-CV143)*-1</f>
        <v>0</v>
      </c>
      <c r="CX275" s="3">
        <f>(CX143-CW143)*-1</f>
        <v>0</v>
      </c>
      <c r="CY275" s="3">
        <f>SUM(CU275:CX275)</f>
        <v>0</v>
      </c>
    </row>
    <row r="276" hidden="1" outlineLevel="1">
      <c r="C276" s="29" t="inlineStr">
        <is>
          <t>Deferred income taxes</t>
        </is>
      </c>
      <c r="D276" s="3" t="n"/>
      <c r="E276" s="3">
        <f>(E147-D147)*-1</f>
        <v>0</v>
      </c>
      <c r="F276" s="3">
        <f>(F147-E147)*-1</f>
        <v>0</v>
      </c>
      <c r="G276" s="3">
        <f>(G147-F147)*-1</f>
        <v>0</v>
      </c>
      <c r="H276" s="3">
        <f>SUM(D276:G276)</f>
        <v>0</v>
      </c>
      <c r="I276" s="3">
        <f>(I147-H147)*-1</f>
        <v>0</v>
      </c>
      <c r="J276" s="3">
        <f>(J147-I147)*-1</f>
        <v>0</v>
      </c>
      <c r="K276" s="3">
        <f>(K147-J147)*-1</f>
        <v>0</v>
      </c>
      <c r="L276" s="3">
        <f>(L147-K147)*-1</f>
        <v>0</v>
      </c>
      <c r="M276" s="3">
        <f>SUM(I276:L276)</f>
        <v>0</v>
      </c>
      <c r="N276" s="3">
        <f>(N147-M147)*-1</f>
        <v>0</v>
      </c>
      <c r="O276" s="3">
        <f>(O147-N147)*-1</f>
        <v>0</v>
      </c>
      <c r="P276" s="3">
        <f>(P147-O147)*-1</f>
        <v>0</v>
      </c>
      <c r="Q276" s="3">
        <f>(Q147-P147)*-1</f>
        <v>0</v>
      </c>
      <c r="R276" s="3">
        <f>SUM(N276:Q276)</f>
        <v>0</v>
      </c>
      <c r="S276" s="3">
        <f>(S147-R147)*-1</f>
        <v>0</v>
      </c>
      <c r="T276" s="3">
        <f>(T147-S147)*-1</f>
        <v>0</v>
      </c>
      <c r="U276" s="3">
        <f>(U147-T147)*-1</f>
        <v>0</v>
      </c>
      <c r="V276" s="3">
        <f>(V147-U147)*-1</f>
        <v>0</v>
      </c>
      <c r="W276" s="3">
        <f>SUM(S276:V276)</f>
        <v>0</v>
      </c>
      <c r="X276" s="3">
        <f>(X147-W147)*-1</f>
        <v>0</v>
      </c>
      <c r="Y276" s="3">
        <f>(Y147-X147)*-1</f>
        <v>0</v>
      </c>
      <c r="Z276" s="3">
        <f>(Z147-Y147)*-1</f>
        <v>0</v>
      </c>
      <c r="AA276" s="3">
        <f>(AA147-Z147)*-1</f>
        <v>0</v>
      </c>
      <c r="AB276" s="3">
        <f>SUM(X276:AA276)</f>
        <v>0</v>
      </c>
      <c r="AC276" s="3">
        <f>(AC147-AB147)*-1</f>
        <v>0</v>
      </c>
      <c r="AD276" s="3">
        <f>(AD147-AC147)*-1</f>
        <v>0</v>
      </c>
      <c r="AE276" s="3">
        <f>(AE147-AD147)*-1</f>
        <v>0</v>
      </c>
      <c r="AF276" s="3">
        <f>(AF147-AE147)*-1</f>
        <v>0</v>
      </c>
      <c r="AG276" s="3">
        <f>SUM(AC276:AF276)</f>
        <v>0</v>
      </c>
      <c r="AH276" s="3">
        <f>(AH147-AG147)*-1</f>
        <v>0</v>
      </c>
      <c r="AI276" s="3">
        <f>(AI147-AH147)*-1</f>
        <v>0</v>
      </c>
      <c r="AJ276" s="3">
        <f>(AJ147-AI147)*-1</f>
        <v>0</v>
      </c>
      <c r="AK276" s="3">
        <f>(AK147-AJ147)*-1</f>
        <v>0</v>
      </c>
      <c r="AL276" s="3">
        <f>SUM(AH276:AK276)</f>
        <v>0</v>
      </c>
      <c r="AM276" s="3">
        <f>(AM147-AL147)*-1</f>
        <v>0</v>
      </c>
      <c r="AN276" s="3">
        <f>(AN147-AM147)*-1</f>
        <v>0</v>
      </c>
      <c r="AO276" s="3">
        <f>(AO147-AN147)*-1</f>
        <v>0</v>
      </c>
      <c r="AP276" s="3">
        <f>(AP147-AO147)*-1</f>
        <v>0</v>
      </c>
      <c r="AQ276" s="3">
        <f>SUM(AM276:AP276)</f>
        <v>0</v>
      </c>
      <c r="AR276" s="3">
        <f>(AR147-AQ147)*-1</f>
        <v>0</v>
      </c>
      <c r="AS276" s="3">
        <f>(AS147-AR147)*-1</f>
        <v>0</v>
      </c>
      <c r="AT276" s="3">
        <f>(AT147-AS147)*-1</f>
        <v>0</v>
      </c>
      <c r="AU276" s="3">
        <f>(AU147-AT147)*-1</f>
        <v>0</v>
      </c>
      <c r="AV276" s="3">
        <f>SUM(AR276:AU276)</f>
        <v>0</v>
      </c>
      <c r="AW276" s="3">
        <f>(AW147-AV147)*-1</f>
        <v>0</v>
      </c>
      <c r="AX276" s="3">
        <f>(AX147-AW147)*-1</f>
        <v>0</v>
      </c>
      <c r="AY276" s="3">
        <f>(AY147-AX147)*-1</f>
        <v>0</v>
      </c>
      <c r="AZ276" s="3">
        <f>(AZ147-AY147)*-1</f>
        <v>0</v>
      </c>
      <c r="BA276" s="3">
        <f>SUM(AW276:AZ276)</f>
        <v>0</v>
      </c>
      <c r="BB276" s="3">
        <f>(BB147-BA147)*-1</f>
        <v>0</v>
      </c>
      <c r="BC276" s="3">
        <f>(BC147-BB147)*-1</f>
        <v>0</v>
      </c>
      <c r="BD276" s="3">
        <f>(BD147-BC147)*-1</f>
        <v>0</v>
      </c>
      <c r="BE276" s="3">
        <f>(BE147-BD147)*-1</f>
        <v>0</v>
      </c>
      <c r="BF276" s="3">
        <f>SUM(BB276:BE276)</f>
        <v>0</v>
      </c>
      <c r="BG276" s="3">
        <f>(BG147-BF147)*-1</f>
        <v>0</v>
      </c>
      <c r="BH276" s="3">
        <f>(BH147-BG147)*-1</f>
        <v>0</v>
      </c>
      <c r="BI276" s="3">
        <f>(BI147-BH147)*-1</f>
        <v>0</v>
      </c>
      <c r="BJ276" s="3">
        <f>(BJ147-BI147)*-1</f>
        <v>0</v>
      </c>
      <c r="BK276" s="3">
        <f>SUM(BG276:BJ276)</f>
        <v>0</v>
      </c>
      <c r="BL276" s="3">
        <f>(BL147-BK147)*-1</f>
        <v>0</v>
      </c>
      <c r="BM276" s="3">
        <f>(BM147-BL147)*-1</f>
        <v>0</v>
      </c>
      <c r="BN276" s="3">
        <f>(BN147-BM147)*-1</f>
        <v>0</v>
      </c>
      <c r="BO276" s="3">
        <f>(BO147-BN147)*-1</f>
        <v>0</v>
      </c>
      <c r="BP276" s="3">
        <f>SUM(BL276:BO276)</f>
        <v>0</v>
      </c>
      <c r="BQ276" s="3">
        <f>(BQ147-BP147)*-1</f>
        <v>0</v>
      </c>
      <c r="BR276" s="3">
        <f>(BR147-BQ147)*-1</f>
        <v>0</v>
      </c>
      <c r="BS276" s="3">
        <f>(BS147-BR147)*-1</f>
        <v>0</v>
      </c>
      <c r="BT276" s="3">
        <f>(BT147-BS147)*-1</f>
        <v>0</v>
      </c>
      <c r="BU276" s="3">
        <f>SUM(BQ276:BT276)</f>
        <v>0</v>
      </c>
      <c r="BV276" s="3">
        <f>(BV147-BU147)*-1</f>
        <v>0</v>
      </c>
      <c r="BW276" s="3">
        <f>(BW147-BV147)*-1</f>
        <v>0</v>
      </c>
      <c r="BX276" s="3">
        <f>(BX147-BW147)*-1</f>
        <v>0</v>
      </c>
      <c r="BY276" s="3">
        <f>(BY147-BX147)*-1</f>
        <v>0</v>
      </c>
      <c r="BZ276" s="3">
        <f>SUM(BV276:BY276)</f>
        <v>0</v>
      </c>
      <c r="CA276" s="3">
        <f>(CA147-BZ147)*-1</f>
        <v>0</v>
      </c>
      <c r="CB276" s="3">
        <f>(CB147-CA147)*-1</f>
        <v>0</v>
      </c>
      <c r="CC276" s="3">
        <f>(CC147-CB147)*-1</f>
        <v>0</v>
      </c>
      <c r="CD276" s="3">
        <f>(CD147-CC147)*-1</f>
        <v>0</v>
      </c>
      <c r="CE276" s="3">
        <f>SUM(CA276:CD276)</f>
        <v>0</v>
      </c>
      <c r="CF276" s="3">
        <f>(CF147-CE147)*-1</f>
        <v>0</v>
      </c>
      <c r="CG276" s="3">
        <f>(CG147-CF147)*-1</f>
        <v>0</v>
      </c>
      <c r="CH276" s="3">
        <f>(CH147-CG147)*-1</f>
        <v>0</v>
      </c>
      <c r="CI276" s="3">
        <f>(CI147-CH147)*-1</f>
        <v>0</v>
      </c>
      <c r="CJ276" s="3">
        <f>SUM(CF276:CI276)</f>
        <v>0</v>
      </c>
      <c r="CK276" s="3">
        <f>(CK147-CJ147)*-1</f>
        <v>0</v>
      </c>
      <c r="CL276" s="3">
        <f>(CL147-CK147)*-1</f>
        <v>0</v>
      </c>
      <c r="CM276" s="3">
        <f>(CM147-CL147)*-1</f>
        <v>0</v>
      </c>
      <c r="CN276" s="3">
        <f>(CN147-CM147)*-1</f>
        <v>0</v>
      </c>
      <c r="CO276" s="3">
        <f>SUM(CK276:CN276)</f>
        <v>0</v>
      </c>
      <c r="CP276" s="3">
        <f>(CP147-CO147)*-1</f>
        <v>0</v>
      </c>
      <c r="CQ276" s="3">
        <f>(CQ147-CP147)*-1</f>
        <v>0</v>
      </c>
      <c r="CR276" s="3">
        <f>(CR147-CQ147)*-1</f>
        <v>0</v>
      </c>
      <c r="CS276" s="3">
        <f>(CS147-CR147)*-1</f>
        <v>0</v>
      </c>
      <c r="CT276" s="3">
        <f>SUM(CP276:CS276)</f>
        <v>0</v>
      </c>
      <c r="CU276" s="3">
        <f>(CU147-CT147)*-1</f>
        <v>0</v>
      </c>
      <c r="CV276" s="3">
        <f>(CV147-CU147)*-1</f>
        <v>0</v>
      </c>
      <c r="CW276" s="3">
        <f>(CW147-CV147)*-1</f>
        <v>0</v>
      </c>
      <c r="CX276" s="3">
        <f>(CX147-CW147)*-1</f>
        <v>0</v>
      </c>
      <c r="CY276" s="3">
        <f>SUM(CU276:CX276)</f>
        <v>0</v>
      </c>
    </row>
    <row r="277" hidden="1" outlineLevel="1">
      <c r="C277" s="29" t="inlineStr">
        <is>
          <t>Prepaid expenses</t>
        </is>
      </c>
      <c r="D277" s="3" t="n"/>
      <c r="E277" s="3">
        <f>(E148-D148)*-1</f>
        <v>0</v>
      </c>
      <c r="F277" s="3">
        <f>(F148-E148)*-1</f>
        <v>0</v>
      </c>
      <c r="G277" s="3">
        <f>(G148-F148)*-1</f>
        <v>0</v>
      </c>
      <c r="H277" s="3">
        <f>SUM(D277:G277)</f>
        <v>0</v>
      </c>
      <c r="I277" s="3">
        <f>(I148-H148)*-1</f>
        <v>0</v>
      </c>
      <c r="J277" s="3">
        <f>(J148-I148)*-1</f>
        <v>0</v>
      </c>
      <c r="K277" s="3">
        <f>(K148-J148)*-1</f>
        <v>0</v>
      </c>
      <c r="L277" s="3">
        <f>(L148-K148)*-1</f>
        <v>0</v>
      </c>
      <c r="M277" s="3">
        <f>SUM(I277:L277)</f>
        <v>0</v>
      </c>
      <c r="N277" s="3">
        <f>(N148-M148)*-1</f>
        <v>0</v>
      </c>
      <c r="O277" s="3">
        <f>(O148-N148)*-1</f>
        <v>0</v>
      </c>
      <c r="P277" s="3">
        <f>(P148-O148)*-1</f>
        <v>0</v>
      </c>
      <c r="Q277" s="3">
        <f>(Q148-P148)*-1</f>
        <v>0</v>
      </c>
      <c r="R277" s="3">
        <f>SUM(N277:Q277)</f>
        <v>0</v>
      </c>
      <c r="S277" s="3">
        <f>(S148-R148)*-1</f>
        <v>0</v>
      </c>
      <c r="T277" s="3">
        <f>(T148-S148)*-1</f>
        <v>0</v>
      </c>
      <c r="U277" s="3">
        <f>(U148-T148)*-1</f>
        <v>0</v>
      </c>
      <c r="V277" s="3">
        <f>(V148-U148)*-1</f>
        <v>0</v>
      </c>
      <c r="W277" s="3">
        <f>SUM(S277:V277)</f>
        <v>0</v>
      </c>
      <c r="X277" s="3">
        <f>(X148-W148)*-1</f>
        <v>0</v>
      </c>
      <c r="Y277" s="3">
        <f>(Y148-X148)*-1</f>
        <v>0</v>
      </c>
      <c r="Z277" s="3">
        <f>(Z148-Y148)*-1</f>
        <v>0</v>
      </c>
      <c r="AA277" s="3">
        <f>(AA148-Z148)*-1</f>
        <v>0</v>
      </c>
      <c r="AB277" s="3">
        <f>SUM(X277:AA277)</f>
        <v>0</v>
      </c>
      <c r="AC277" s="3">
        <f>(AC148-AB148)*-1</f>
        <v>0</v>
      </c>
      <c r="AD277" s="3">
        <f>(AD148-AC148)*-1</f>
        <v>0</v>
      </c>
      <c r="AE277" s="3">
        <f>(AE148-AD148)*-1</f>
        <v>0</v>
      </c>
      <c r="AF277" s="3">
        <f>(AF148-AE148)*-1</f>
        <v>0</v>
      </c>
      <c r="AG277" s="3">
        <f>SUM(AC277:AF277)</f>
        <v>0</v>
      </c>
      <c r="AH277" s="3">
        <f>(AH148-AG148)*-1</f>
        <v>0</v>
      </c>
      <c r="AI277" s="3">
        <f>(AI148-AH148)*-1</f>
        <v>0</v>
      </c>
      <c r="AJ277" s="3">
        <f>(AJ148-AI148)*-1</f>
        <v>0</v>
      </c>
      <c r="AK277" s="3">
        <f>(AK148-AJ148)*-1</f>
        <v>0</v>
      </c>
      <c r="AL277" s="3">
        <f>SUM(AH277:AK277)</f>
        <v>0</v>
      </c>
      <c r="AM277" s="3">
        <f>(AM148-AL148)*-1</f>
        <v>0</v>
      </c>
      <c r="AN277" s="3">
        <f>(AN148-AM148)*-1</f>
        <v>0</v>
      </c>
      <c r="AO277" s="3">
        <f>(AO148-AN148)*-1</f>
        <v>0</v>
      </c>
      <c r="AP277" s="3">
        <f>(AP148-AO148)*-1</f>
        <v>0</v>
      </c>
      <c r="AQ277" s="3">
        <f>SUM(AM277:AP277)</f>
        <v>0</v>
      </c>
      <c r="AR277" s="3">
        <f>(AR148-AQ148)*-1</f>
        <v>0</v>
      </c>
      <c r="AS277" s="3">
        <f>(AS148-AR148)*-1</f>
        <v>0</v>
      </c>
      <c r="AT277" s="3">
        <f>(AT148-AS148)*-1</f>
        <v>0</v>
      </c>
      <c r="AU277" s="3">
        <f>(AU148-AT148)*-1</f>
        <v>0</v>
      </c>
      <c r="AV277" s="3">
        <f>SUM(AR277:AU277)</f>
        <v>0</v>
      </c>
      <c r="AW277" s="3">
        <f>(AW148-AV148)*-1</f>
        <v>0</v>
      </c>
      <c r="AX277" s="3">
        <f>(AX148-AW148)*-1</f>
        <v>0</v>
      </c>
      <c r="AY277" s="3">
        <f>(AY148-AX148)*-1</f>
        <v>0</v>
      </c>
      <c r="AZ277" s="3">
        <f>(AZ148-AY148)*-1</f>
        <v>0</v>
      </c>
      <c r="BA277" s="3">
        <f>SUM(AW277:AZ277)</f>
        <v>0</v>
      </c>
      <c r="BB277" s="3">
        <f>(BB148-BA148)*-1</f>
        <v>0</v>
      </c>
      <c r="BC277" s="3">
        <f>(BC148-BB148)*-1</f>
        <v>0</v>
      </c>
      <c r="BD277" s="3">
        <f>(BD148-BC148)*-1</f>
        <v>0</v>
      </c>
      <c r="BE277" s="3">
        <f>(BE148-BD148)*-1</f>
        <v>0</v>
      </c>
      <c r="BF277" s="3">
        <f>SUM(BB277:BE277)</f>
        <v>0</v>
      </c>
      <c r="BG277" s="3">
        <f>(BG148-BF148)*-1</f>
        <v>0</v>
      </c>
      <c r="BH277" s="3">
        <f>(BH148-BG148)*-1</f>
        <v>0</v>
      </c>
      <c r="BI277" s="3">
        <f>(BI148-BH148)*-1</f>
        <v>0</v>
      </c>
      <c r="BJ277" s="3">
        <f>(BJ148-BI148)*-1</f>
        <v>0</v>
      </c>
      <c r="BK277" s="3">
        <f>SUM(BG277:BJ277)</f>
        <v>0</v>
      </c>
      <c r="BL277" s="3">
        <f>(BL148-BK148)*-1</f>
        <v>0</v>
      </c>
      <c r="BM277" s="3">
        <f>(BM148-BL148)*-1</f>
        <v>0</v>
      </c>
      <c r="BN277" s="3">
        <f>(BN148-BM148)*-1</f>
        <v>0</v>
      </c>
      <c r="BO277" s="3">
        <f>(BO148-BN148)*-1</f>
        <v>0</v>
      </c>
      <c r="BP277" s="3">
        <f>SUM(BL277:BO277)</f>
        <v>0</v>
      </c>
      <c r="BQ277" s="3">
        <f>(BQ148-BP148)*-1</f>
        <v>0</v>
      </c>
      <c r="BR277" s="3">
        <f>(BR148-BQ148)*-1</f>
        <v>0</v>
      </c>
      <c r="BS277" s="3">
        <f>(BS148-BR148)*-1</f>
        <v>0</v>
      </c>
      <c r="BT277" s="3">
        <f>(BT148-BS148)*-1</f>
        <v>0</v>
      </c>
      <c r="BU277" s="3">
        <f>SUM(BQ277:BT277)</f>
        <v>0</v>
      </c>
      <c r="BV277" s="3">
        <f>(BV148-BU148)*-1</f>
        <v>0</v>
      </c>
      <c r="BW277" s="3">
        <f>(BW148-BV148)*-1</f>
        <v>0</v>
      </c>
      <c r="BX277" s="3">
        <f>(BX148-BW148)*-1</f>
        <v>0</v>
      </c>
      <c r="BY277" s="3">
        <f>(BY148-BX148)*-1</f>
        <v>0</v>
      </c>
      <c r="BZ277" s="3">
        <f>SUM(BV277:BY277)</f>
        <v>0</v>
      </c>
      <c r="CA277" s="3">
        <f>(CA148-BZ148)*-1</f>
        <v>0</v>
      </c>
      <c r="CB277" s="3">
        <f>(CB148-CA148)*-1</f>
        <v>0</v>
      </c>
      <c r="CC277" s="3">
        <f>(CC148-CB148)*-1</f>
        <v>0</v>
      </c>
      <c r="CD277" s="3">
        <f>(CD148-CC148)*-1</f>
        <v>0</v>
      </c>
      <c r="CE277" s="3">
        <f>SUM(CA277:CD277)</f>
        <v>0</v>
      </c>
      <c r="CF277" s="3">
        <f>(CF148-CE148)*-1</f>
        <v>0</v>
      </c>
      <c r="CG277" s="3">
        <f>(CG148-CF148)*-1</f>
        <v>0</v>
      </c>
      <c r="CH277" s="3">
        <f>(CH148-CG148)*-1</f>
        <v>0</v>
      </c>
      <c r="CI277" s="3">
        <f>(CI148-CH148)*-1</f>
        <v>0</v>
      </c>
      <c r="CJ277" s="3">
        <f>SUM(CF277:CI277)</f>
        <v>0</v>
      </c>
      <c r="CK277" s="3">
        <f>(CK148-CJ148)*-1</f>
        <v>0</v>
      </c>
      <c r="CL277" s="3">
        <f>(CL148-CK148)*-1</f>
        <v>0</v>
      </c>
      <c r="CM277" s="3">
        <f>(CM148-CL148)*-1</f>
        <v>0</v>
      </c>
      <c r="CN277" s="3">
        <f>(CN148-CM148)*-1</f>
        <v>0</v>
      </c>
      <c r="CO277" s="3">
        <f>SUM(CK277:CN277)</f>
        <v>0</v>
      </c>
      <c r="CP277" s="3">
        <f>(CP148-CO148)*-1</f>
        <v>0</v>
      </c>
      <c r="CQ277" s="3">
        <f>(CQ148-CP148)*-1</f>
        <v>0</v>
      </c>
      <c r="CR277" s="3">
        <f>(CR148-CQ148)*-1</f>
        <v>0</v>
      </c>
      <c r="CS277" s="3">
        <f>(CS148-CR148)*-1</f>
        <v>0</v>
      </c>
      <c r="CT277" s="3">
        <f>SUM(CP277:CS277)</f>
        <v>0</v>
      </c>
      <c r="CU277" s="3">
        <f>(CU148-CT148)*-1</f>
        <v>0</v>
      </c>
      <c r="CV277" s="3">
        <f>(CV148-CU148)*-1</f>
        <v>0</v>
      </c>
      <c r="CW277" s="3">
        <f>(CW148-CV148)*-1</f>
        <v>0</v>
      </c>
      <c r="CX277" s="3">
        <f>(CX148-CW148)*-1</f>
        <v>0</v>
      </c>
      <c r="CY277" s="3">
        <f>SUM(CU277:CX277)</f>
        <v>0</v>
      </c>
    </row>
    <row r="278" hidden="1" outlineLevel="1">
      <c r="C278" s="29" t="inlineStr">
        <is>
          <t>Other current assets</t>
        </is>
      </c>
      <c r="D278" s="3" t="n"/>
      <c r="E278" s="3">
        <f>(E149-D149)*-1</f>
        <v>-114.994</v>
      </c>
      <c r="F278" s="3">
        <f>(F149-E149)*-1</f>
        <v>-23.1980000000001</v>
      </c>
      <c r="G278" s="3">
        <f>(G149-F149)*-1</f>
        <v>-121.941</v>
      </c>
      <c r="H278" s="3">
        <f>SUM(D278:G278)</f>
        <v>-260.133</v>
      </c>
      <c r="I278" s="3">
        <f>(I149-H149)*-1</f>
        <v>-147.773</v>
      </c>
      <c r="J278" s="3">
        <f>(J149-I149)*-1</f>
        <v>-122.943</v>
      </c>
      <c r="K278" s="3">
        <f>(K149-J149)*-1</f>
        <v>-62.3600000000001</v>
      </c>
      <c r="L278" s="3">
        <f>(L149-K149)*-1</f>
        <v>-152.915</v>
      </c>
      <c r="M278" s="3">
        <f>SUM(I278:L278)</f>
        <v>-485.991</v>
      </c>
      <c r="N278" s="3">
        <f>(N149-M149)*-1</f>
        <v>-47.048</v>
      </c>
      <c r="O278" s="3">
        <f>(O149-N149)*-1</f>
        <v>67.74</v>
      </c>
      <c r="P278" s="3">
        <f>(P149-O149)*-1</f>
        <v>-681.841</v>
      </c>
      <c r="Q278" s="3">
        <f>(Q149-P149)*-1</f>
        <v>-504.851</v>
      </c>
      <c r="R278" s="3">
        <f>SUM(N278:Q278)</f>
        <v>-1166</v>
      </c>
      <c r="S278" s="3">
        <f>(S149-R149)*-1</f>
        <v>552.902</v>
      </c>
      <c r="T278" s="3">
        <f>(T149-S149)*-1</f>
        <v>-274.228</v>
      </c>
      <c r="U278" s="3">
        <f>(U149-T149)*-1</f>
        <v>17.319</v>
      </c>
      <c r="V278" s="3">
        <f>(V149-U149)*-1</f>
        <v>131.781</v>
      </c>
      <c r="W278" s="3">
        <f>SUM(S278:V278)</f>
        <v>427.774</v>
      </c>
      <c r="X278" s="3">
        <f>(X149-W149)*-1</f>
        <v>-95.3270000000002</v>
      </c>
      <c r="Y278" s="3">
        <f>(Y149-X149)*-1</f>
        <v>-84.067</v>
      </c>
      <c r="Z278" s="3">
        <f>(Z149-Y149)*-1</f>
        <v>54.4690000000001</v>
      </c>
      <c r="AA278" s="3">
        <f>(AA149-Z149)*-1</f>
        <v>-611.468</v>
      </c>
      <c r="AB278" s="3">
        <f>SUM(X278:AA278)</f>
        <v>-736.393</v>
      </c>
      <c r="AC278" s="3">
        <f>(AC149-AB149)*-1</f>
        <v>189.998</v>
      </c>
      <c r="AD278" s="3">
        <f>(AD149-AC149)*-1</f>
        <v>-275.944</v>
      </c>
      <c r="AE278" s="3">
        <f>(AE149-AD149)*-1</f>
        <v>-35.9569999999999</v>
      </c>
      <c r="AF278" s="3">
        <f>(AF149-AE149)*-1</f>
        <v>-319.289</v>
      </c>
      <c r="AG278" s="3">
        <f>SUM(AC278:AF278)</f>
        <v>-441.192</v>
      </c>
      <c r="AH278" s="3">
        <f>(AH149-AG149)*-1</f>
        <v>-824.7</v>
      </c>
      <c r="AI278" s="3">
        <f>(AI149-AH149)*-1</f>
        <v>57.1390000000001</v>
      </c>
      <c r="AJ278" s="3">
        <f>(AJ149-AI149)*-1</f>
        <v>0</v>
      </c>
      <c r="AK278" s="3">
        <f>(AK149-AJ149)*-1</f>
        <v>0</v>
      </c>
      <c r="AL278" s="3">
        <f>SUM(AH278:AK278)</f>
        <v>-767.561</v>
      </c>
      <c r="AM278" s="3">
        <f>(AM149-AL149)*-1</f>
        <v>0</v>
      </c>
      <c r="AN278" s="3">
        <f>(AN149-AM149)*-1</f>
        <v>0</v>
      </c>
      <c r="AO278" s="3">
        <f>(AO149-AN149)*-1</f>
        <v>0</v>
      </c>
      <c r="AP278" s="3">
        <f>(AP149-AO149)*-1</f>
        <v>0</v>
      </c>
      <c r="AQ278" s="3">
        <f>SUM(AM278:AP278)</f>
        <v>0</v>
      </c>
      <c r="AR278" s="3">
        <f>(AR149-AQ149)*-1</f>
        <v>0</v>
      </c>
      <c r="AS278" s="3">
        <f>(AS149-AR149)*-1</f>
        <v>0</v>
      </c>
      <c r="AT278" s="3">
        <f>(AT149-AS149)*-1</f>
        <v>0</v>
      </c>
      <c r="AU278" s="3">
        <f>(AU149-AT149)*-1</f>
        <v>0</v>
      </c>
      <c r="AV278" s="3">
        <f>SUM(AR278:AU278)</f>
        <v>0</v>
      </c>
      <c r="AW278" s="3">
        <f>(AW149-AV149)*-1</f>
        <v>0</v>
      </c>
      <c r="AX278" s="3">
        <f>(AX149-AW149)*-1</f>
        <v>0</v>
      </c>
      <c r="AY278" s="3">
        <f>(AY149-AX149)*-1</f>
        <v>0</v>
      </c>
      <c r="AZ278" s="3">
        <f>(AZ149-AY149)*-1</f>
        <v>0</v>
      </c>
      <c r="BA278" s="3">
        <f>SUM(AW278:AZ278)</f>
        <v>0</v>
      </c>
      <c r="BB278" s="3">
        <f>(BB149-BA149)*-1</f>
        <v>0</v>
      </c>
      <c r="BC278" s="3">
        <f>(BC149-BB149)*-1</f>
        <v>0</v>
      </c>
      <c r="BD278" s="3">
        <f>(BD149-BC149)*-1</f>
        <v>0</v>
      </c>
      <c r="BE278" s="3">
        <f>(BE149-BD149)*-1</f>
        <v>0</v>
      </c>
      <c r="BF278" s="3">
        <f>SUM(BB278:BE278)</f>
        <v>0</v>
      </c>
      <c r="BG278" s="3">
        <f>(BG149-BF149)*-1</f>
        <v>0</v>
      </c>
      <c r="BH278" s="3">
        <f>(BH149-BG149)*-1</f>
        <v>0</v>
      </c>
      <c r="BI278" s="3">
        <f>(BI149-BH149)*-1</f>
        <v>0</v>
      </c>
      <c r="BJ278" s="3">
        <f>(BJ149-BI149)*-1</f>
        <v>0</v>
      </c>
      <c r="BK278" s="3">
        <f>SUM(BG278:BJ278)</f>
        <v>0</v>
      </c>
      <c r="BL278" s="3">
        <f>(BL149-BK149)*-1</f>
        <v>0</v>
      </c>
      <c r="BM278" s="3">
        <f>(BM149-BL149)*-1</f>
        <v>0</v>
      </c>
      <c r="BN278" s="3">
        <f>(BN149-BM149)*-1</f>
        <v>0</v>
      </c>
      <c r="BO278" s="3">
        <f>(BO149-BN149)*-1</f>
        <v>0</v>
      </c>
      <c r="BP278" s="3">
        <f>SUM(BL278:BO278)</f>
        <v>0</v>
      </c>
      <c r="BQ278" s="3">
        <f>(BQ149-BP149)*-1</f>
        <v>0</v>
      </c>
      <c r="BR278" s="3">
        <f>(BR149-BQ149)*-1</f>
        <v>0</v>
      </c>
      <c r="BS278" s="3">
        <f>(BS149-BR149)*-1</f>
        <v>0</v>
      </c>
      <c r="BT278" s="3">
        <f>(BT149-BS149)*-1</f>
        <v>0</v>
      </c>
      <c r="BU278" s="3">
        <f>SUM(BQ278:BT278)</f>
        <v>0</v>
      </c>
      <c r="BV278" s="3">
        <f>(BV149-BU149)*-1</f>
        <v>0</v>
      </c>
      <c r="BW278" s="3">
        <f>(BW149-BV149)*-1</f>
        <v>0</v>
      </c>
      <c r="BX278" s="3">
        <f>(BX149-BW149)*-1</f>
        <v>0</v>
      </c>
      <c r="BY278" s="3">
        <f>(BY149-BX149)*-1</f>
        <v>0</v>
      </c>
      <c r="BZ278" s="3">
        <f>SUM(BV278:BY278)</f>
        <v>0</v>
      </c>
      <c r="CA278" s="3">
        <f>(CA149-BZ149)*-1</f>
        <v>0</v>
      </c>
      <c r="CB278" s="3">
        <f>(CB149-CA149)*-1</f>
        <v>0</v>
      </c>
      <c r="CC278" s="3">
        <f>(CC149-CB149)*-1</f>
        <v>0</v>
      </c>
      <c r="CD278" s="3">
        <f>(CD149-CC149)*-1</f>
        <v>0</v>
      </c>
      <c r="CE278" s="3">
        <f>SUM(CA278:CD278)</f>
        <v>0</v>
      </c>
      <c r="CF278" s="3">
        <f>(CF149-CE149)*-1</f>
        <v>0</v>
      </c>
      <c r="CG278" s="3">
        <f>(CG149-CF149)*-1</f>
        <v>0</v>
      </c>
      <c r="CH278" s="3">
        <f>(CH149-CG149)*-1</f>
        <v>0</v>
      </c>
      <c r="CI278" s="3">
        <f>(CI149-CH149)*-1</f>
        <v>0</v>
      </c>
      <c r="CJ278" s="3">
        <f>SUM(CF278:CI278)</f>
        <v>0</v>
      </c>
      <c r="CK278" s="3">
        <f>(CK149-CJ149)*-1</f>
        <v>0</v>
      </c>
      <c r="CL278" s="3">
        <f>(CL149-CK149)*-1</f>
        <v>0</v>
      </c>
      <c r="CM278" s="3">
        <f>(CM149-CL149)*-1</f>
        <v>0</v>
      </c>
      <c r="CN278" s="3">
        <f>(CN149-CM149)*-1</f>
        <v>0</v>
      </c>
      <c r="CO278" s="3">
        <f>SUM(CK278:CN278)</f>
        <v>0</v>
      </c>
      <c r="CP278" s="3">
        <f>(CP149-CO149)*-1</f>
        <v>0</v>
      </c>
      <c r="CQ278" s="3">
        <f>(CQ149-CP149)*-1</f>
        <v>0</v>
      </c>
      <c r="CR278" s="3">
        <f>(CR149-CQ149)*-1</f>
        <v>0</v>
      </c>
      <c r="CS278" s="3">
        <f>(CS149-CR149)*-1</f>
        <v>0</v>
      </c>
      <c r="CT278" s="3">
        <f>SUM(CP278:CS278)</f>
        <v>0</v>
      </c>
      <c r="CU278" s="3">
        <f>(CU149-CT149)*-1</f>
        <v>0</v>
      </c>
      <c r="CV278" s="3">
        <f>(CV149-CU149)*-1</f>
        <v>0</v>
      </c>
      <c r="CW278" s="3">
        <f>(CW149-CV149)*-1</f>
        <v>0</v>
      </c>
      <c r="CX278" s="3">
        <f>(CX149-CW149)*-1</f>
        <v>0</v>
      </c>
      <c r="CY278" s="3">
        <f>SUM(CU278:CX278)</f>
        <v>0</v>
      </c>
    </row>
    <row r="279" hidden="1" outlineLevel="1">
      <c r="C279" s="29" t="inlineStr">
        <is>
          <t>Accounts payable</t>
        </is>
      </c>
      <c r="D279" s="3" t="n"/>
      <c r="E279" s="3">
        <f>E192-D192</f>
        <v>-98.8199999999999</v>
      </c>
      <c r="F279" s="3">
        <f>F192-E192</f>
        <v>94.63</v>
      </c>
      <c r="G279" s="3">
        <f>G192-F192</f>
        <v>114.885</v>
      </c>
      <c r="H279" s="3">
        <f>SUM(D279:G279)</f>
        <v>110.695</v>
      </c>
      <c r="I279" s="3">
        <f>I192-H192</f>
        <v>-123.241</v>
      </c>
      <c r="J279" s="3">
        <f>J192-I192</f>
        <v>89.9889999999999</v>
      </c>
      <c r="K279" s="3">
        <f>K192-J192</f>
        <v>20.128</v>
      </c>
      <c r="L279" s="3">
        <f>L192-K192</f>
        <v>194.424</v>
      </c>
      <c r="M279" s="3">
        <f>SUM(I279:L279)</f>
        <v>181.3</v>
      </c>
      <c r="N279" s="3">
        <f>N192-M192</f>
        <v>-220.281</v>
      </c>
      <c r="O279" s="3">
        <f>O192-N192</f>
        <v>-112.924</v>
      </c>
      <c r="P279" s="3">
        <f>P192-O192</f>
        <v>55.878</v>
      </c>
      <c r="Q279" s="3">
        <f>Q192-P192</f>
        <v>111.357</v>
      </c>
      <c r="R279" s="3">
        <f>SUM(N279:Q279)</f>
        <v>-165.97</v>
      </c>
      <c r="S279" s="3">
        <f>S192-R192</f>
        <v>-79.526</v>
      </c>
      <c r="T279" s="3">
        <f>T192-S192</f>
        <v>23.3870000000001</v>
      </c>
      <c r="U279" s="3">
        <f>U192-T192</f>
        <v>-80.9450000000001</v>
      </c>
      <c r="V279" s="3">
        <f>V192-U192</f>
        <v>212.983</v>
      </c>
      <c r="W279" s="3">
        <f>SUM(S279:V279)</f>
        <v>75.899</v>
      </c>
      <c r="X279" s="3">
        <f>X192-W192</f>
        <v>-140.064</v>
      </c>
      <c r="Y279" s="3">
        <f>Y192-X192</f>
        <v>-8.79099999999994</v>
      </c>
      <c r="Z279" s="3">
        <f>Z192-Y192</f>
        <v>43.396</v>
      </c>
      <c r="AA279" s="3">
        <f>AA192-Z192</f>
        <v>257.956</v>
      </c>
      <c r="AB279" s="3">
        <f>SUM(X279:AA279)</f>
        <v>152.497</v>
      </c>
      <c r="AC279" s="3">
        <f>AC192-AB192</f>
        <v>-285.42</v>
      </c>
      <c r="AD279" s="3">
        <f>AD192-AC192</f>
        <v>18.229</v>
      </c>
      <c r="AE279" s="3">
        <f>AE192-AD192</f>
        <v>160.515</v>
      </c>
      <c r="AF279" s="3">
        <f>AF192-AE192</f>
        <v>107.379</v>
      </c>
      <c r="AG279" s="3">
        <f>SUM(AC279:AF279)</f>
        <v>0.702999999999975</v>
      </c>
      <c r="AH279" s="3">
        <f>AH192-AG192</f>
        <v>-5.93100000000004</v>
      </c>
      <c r="AI279" s="3">
        <f>AI192-AH192</f>
        <v>-80.13</v>
      </c>
      <c r="AJ279" s="3">
        <f>AJ192-AI192</f>
        <v>-814.551</v>
      </c>
      <c r="AK279" s="3">
        <f>AK192-AJ192</f>
        <v>0</v>
      </c>
      <c r="AL279" s="3">
        <f>SUM(AH279:AK279)</f>
        <v>-900.612</v>
      </c>
      <c r="AM279" s="3">
        <f>AM192-AL192</f>
        <v>0</v>
      </c>
      <c r="AN279" s="3">
        <f>AN192-AM192</f>
        <v>0</v>
      </c>
      <c r="AO279" s="3">
        <f>AO192-AN192</f>
        <v>0</v>
      </c>
      <c r="AP279" s="3">
        <f>AP192-AO192</f>
        <v>0</v>
      </c>
      <c r="AQ279" s="3">
        <f>SUM(AM279:AP279)</f>
        <v>0</v>
      </c>
      <c r="AR279" s="3">
        <f>AR192-AQ192</f>
        <v>0</v>
      </c>
      <c r="AS279" s="3">
        <f>AS192-AR192</f>
        <v>0</v>
      </c>
      <c r="AT279" s="3">
        <f>AT192-AS192</f>
        <v>0</v>
      </c>
      <c r="AU279" s="3">
        <f>AU192-AT192</f>
        <v>0</v>
      </c>
      <c r="AV279" s="3">
        <f>SUM(AR279:AU279)</f>
        <v>0</v>
      </c>
      <c r="AW279" s="3">
        <f>AW192-AV192</f>
        <v>0</v>
      </c>
      <c r="AX279" s="3">
        <f>AX192-AW192</f>
        <v>0</v>
      </c>
      <c r="AY279" s="3">
        <f>AY192-AX192</f>
        <v>0</v>
      </c>
      <c r="AZ279" s="3">
        <f>AZ192-AY192</f>
        <v>0</v>
      </c>
      <c r="BA279" s="3">
        <f>SUM(AW279:AZ279)</f>
        <v>0</v>
      </c>
      <c r="BB279" s="3">
        <f>BB192-BA192</f>
        <v>0</v>
      </c>
      <c r="BC279" s="3">
        <f>BC192-BB192</f>
        <v>0</v>
      </c>
      <c r="BD279" s="3">
        <f>BD192-BC192</f>
        <v>0</v>
      </c>
      <c r="BE279" s="3">
        <f>BE192-BD192</f>
        <v>0</v>
      </c>
      <c r="BF279" s="3">
        <f>SUM(BB279:BE279)</f>
        <v>0</v>
      </c>
      <c r="BG279" s="3">
        <f>BG192-BF192</f>
        <v>0</v>
      </c>
      <c r="BH279" s="3">
        <f>BH192-BG192</f>
        <v>0</v>
      </c>
      <c r="BI279" s="3">
        <f>BI192-BH192</f>
        <v>0</v>
      </c>
      <c r="BJ279" s="3">
        <f>BJ192-BI192</f>
        <v>0</v>
      </c>
      <c r="BK279" s="3">
        <f>SUM(BG279:BJ279)</f>
        <v>0</v>
      </c>
      <c r="BL279" s="3">
        <f>BL192-BK192</f>
        <v>0</v>
      </c>
      <c r="BM279" s="3">
        <f>BM192-BL192</f>
        <v>0</v>
      </c>
      <c r="BN279" s="3">
        <f>BN192-BM192</f>
        <v>0</v>
      </c>
      <c r="BO279" s="3">
        <f>BO192-BN192</f>
        <v>0</v>
      </c>
      <c r="BP279" s="3">
        <f>SUM(BL279:BO279)</f>
        <v>0</v>
      </c>
      <c r="BQ279" s="3">
        <f>BQ192-BP192</f>
        <v>0</v>
      </c>
      <c r="BR279" s="3">
        <f>BR192-BQ192</f>
        <v>0</v>
      </c>
      <c r="BS279" s="3">
        <f>BS192-BR192</f>
        <v>0</v>
      </c>
      <c r="BT279" s="3">
        <f>BT192-BS192</f>
        <v>0</v>
      </c>
      <c r="BU279" s="3">
        <f>SUM(BQ279:BT279)</f>
        <v>0</v>
      </c>
      <c r="BV279" s="3">
        <f>BV192-BU192</f>
        <v>0</v>
      </c>
      <c r="BW279" s="3">
        <f>BW192-BV192</f>
        <v>0</v>
      </c>
      <c r="BX279" s="3">
        <f>BX192-BW192</f>
        <v>0</v>
      </c>
      <c r="BY279" s="3">
        <f>BY192-BX192</f>
        <v>0</v>
      </c>
      <c r="BZ279" s="3">
        <f>SUM(BV279:BY279)</f>
        <v>0</v>
      </c>
      <c r="CA279" s="3">
        <f>CA192-BZ192</f>
        <v>0</v>
      </c>
      <c r="CB279" s="3">
        <f>CB192-CA192</f>
        <v>0</v>
      </c>
      <c r="CC279" s="3">
        <f>CC192-CB192</f>
        <v>0</v>
      </c>
      <c r="CD279" s="3">
        <f>CD192-CC192</f>
        <v>0</v>
      </c>
      <c r="CE279" s="3">
        <f>SUM(CA279:CD279)</f>
        <v>0</v>
      </c>
      <c r="CF279" s="3">
        <f>CF192-CE192</f>
        <v>0</v>
      </c>
      <c r="CG279" s="3">
        <f>CG192-CF192</f>
        <v>0</v>
      </c>
      <c r="CH279" s="3">
        <f>CH192-CG192</f>
        <v>0</v>
      </c>
      <c r="CI279" s="3">
        <f>CI192-CH192</f>
        <v>0</v>
      </c>
      <c r="CJ279" s="3">
        <f>SUM(CF279:CI279)</f>
        <v>0</v>
      </c>
      <c r="CK279" s="3">
        <f>CK192-CJ192</f>
        <v>0</v>
      </c>
      <c r="CL279" s="3">
        <f>CL192-CK192</f>
        <v>0</v>
      </c>
      <c r="CM279" s="3">
        <f>CM192-CL192</f>
        <v>0</v>
      </c>
      <c r="CN279" s="3">
        <f>CN192-CM192</f>
        <v>0</v>
      </c>
      <c r="CO279" s="3">
        <f>SUM(CK279:CN279)</f>
        <v>0</v>
      </c>
      <c r="CP279" s="3">
        <f>CP192-CO192</f>
        <v>0</v>
      </c>
      <c r="CQ279" s="3">
        <f>CQ192-CP192</f>
        <v>0</v>
      </c>
      <c r="CR279" s="3">
        <f>CR192-CQ192</f>
        <v>0</v>
      </c>
      <c r="CS279" s="3">
        <f>CS192-CR192</f>
        <v>0</v>
      </c>
      <c r="CT279" s="3">
        <f>SUM(CP279:CS279)</f>
        <v>0</v>
      </c>
      <c r="CU279" s="3">
        <f>CU192-CT192</f>
        <v>0</v>
      </c>
      <c r="CV279" s="3">
        <f>CV192-CU192</f>
        <v>0</v>
      </c>
      <c r="CW279" s="3">
        <f>CW192-CV192</f>
        <v>0</v>
      </c>
      <c r="CX279" s="3">
        <f>CX192-CW192</f>
        <v>0</v>
      </c>
      <c r="CY279" s="3">
        <f>SUM(CU279:CX279)</f>
        <v>0</v>
      </c>
    </row>
    <row r="280" hidden="1" outlineLevel="1">
      <c r="C280" s="29" t="inlineStr">
        <is>
          <t>Accrued expenses</t>
        </is>
      </c>
      <c r="D280" s="3" t="n"/>
      <c r="E280" s="3">
        <f>E196-D196</f>
        <v>-74.495</v>
      </c>
      <c r="F280" s="3">
        <f>F196-E196</f>
        <v>272.529</v>
      </c>
      <c r="G280" s="3">
        <f>G196-F196</f>
        <v>-156.928</v>
      </c>
      <c r="H280" s="3">
        <f>SUM(D280:G280)</f>
        <v>41.106</v>
      </c>
      <c r="I280" s="3">
        <f>I196-H196</f>
        <v>189.616</v>
      </c>
      <c r="J280" s="3">
        <f>J196-I196</f>
        <v>-166.221</v>
      </c>
      <c r="K280" s="3">
        <f>K196-J196</f>
        <v>287.529</v>
      </c>
      <c r="L280" s="3">
        <f>L196-K196</f>
        <v>36.231</v>
      </c>
      <c r="M280" s="3">
        <f>SUM(I280:L280)</f>
        <v>347.155</v>
      </c>
      <c r="N280" s="3">
        <f>N196-M196</f>
        <v>367.766</v>
      </c>
      <c r="O280" s="3">
        <f>O196-N196</f>
        <v>-221.082</v>
      </c>
      <c r="P280" s="3">
        <f>P196-O196</f>
        <v>207.52</v>
      </c>
      <c r="Q280" s="3">
        <f>Q196-P196</f>
        <v>-288.905</v>
      </c>
      <c r="R280" s="3">
        <f>SUM(N280:Q280)</f>
        <v>65.299</v>
      </c>
      <c r="S280" s="3">
        <f>S196-R196</f>
        <v>203.419</v>
      </c>
      <c r="T280" s="3">
        <f>T196-S196</f>
        <v>190.645</v>
      </c>
      <c r="U280" s="3">
        <f>U196-T196</f>
        <v>-69.806</v>
      </c>
      <c r="V280" s="3">
        <f>V196-U196</f>
        <v>-34.9480000000001</v>
      </c>
      <c r="W280" s="3">
        <f>SUM(S280:V280)</f>
        <v>289.31</v>
      </c>
      <c r="X280" s="3">
        <f>X196-W196</f>
        <v>173.468</v>
      </c>
      <c r="Y280" s="3">
        <f>Y196-X196</f>
        <v>-101.184</v>
      </c>
      <c r="Z280" s="3">
        <f>Z196-Y196</f>
        <v>365.514</v>
      </c>
      <c r="AA280" s="3">
        <f>AA196-Z196</f>
        <v>-85.2139999999999</v>
      </c>
      <c r="AB280" s="3">
        <f>SUM(X280:AA280)</f>
        <v>352.584</v>
      </c>
      <c r="AC280" s="3">
        <f>AC196-AB196</f>
        <v>202.974</v>
      </c>
      <c r="AD280" s="3">
        <f>AD196-AC196</f>
        <v>129.968</v>
      </c>
      <c r="AE280" s="3">
        <f>AE196-AD196</f>
        <v>621.825</v>
      </c>
      <c r="AF280" s="3">
        <f>AF196-AE196</f>
        <v>109.558</v>
      </c>
      <c r="AG280" s="3">
        <f>SUM(AC280:AF280)</f>
        <v>1064.325</v>
      </c>
      <c r="AH280" s="3">
        <f>AH196-AG196</f>
        <v>1221.117</v>
      </c>
      <c r="AI280" s="3">
        <f>AI196-AH196</f>
        <v>-1269.375</v>
      </c>
      <c r="AJ280" s="3">
        <f>AJ196-AI196</f>
        <v>-3172.611</v>
      </c>
      <c r="AK280" s="3">
        <f>AK196-AJ196</f>
        <v>0</v>
      </c>
      <c r="AL280" s="3">
        <f>SUM(AH280:AK280)</f>
        <v>-3220.869</v>
      </c>
      <c r="AM280" s="3" t="e">
        <f>AM196-AL196</f>
        <v>#DIV/0!</v>
      </c>
      <c r="AN280" s="3" t="e">
        <f>AN196-AM196</f>
        <v>#DIV/0!</v>
      </c>
      <c r="AO280" s="3" t="e">
        <f>AO196-AN196</f>
        <v>#DIV/0!</v>
      </c>
      <c r="AP280" s="3" t="e">
        <f>AP196-AO196</f>
        <v>#DIV/0!</v>
      </c>
      <c r="AQ280" s="3" t="e">
        <f>SUM(AM280:AP280)</f>
        <v>#DIV/0!</v>
      </c>
      <c r="AR280" s="3" t="e">
        <f>AR196-AQ196</f>
        <v>#DIV/0!</v>
      </c>
      <c r="AS280" s="3" t="e">
        <f>AS196-AR196</f>
        <v>#DIV/0!</v>
      </c>
      <c r="AT280" s="3" t="e">
        <f>AT196-AS196</f>
        <v>#DIV/0!</v>
      </c>
      <c r="AU280" s="3" t="e">
        <f>AU196-AT196</f>
        <v>#DIV/0!</v>
      </c>
      <c r="AV280" s="3" t="e">
        <f>SUM(AR280:AU280)</f>
        <v>#DIV/0!</v>
      </c>
      <c r="AW280" s="3" t="e">
        <f>AW196-AV196</f>
        <v>#DIV/0!</v>
      </c>
      <c r="AX280" s="3" t="e">
        <f>AX196-AW196</f>
        <v>#DIV/0!</v>
      </c>
      <c r="AY280" s="3" t="e">
        <f>AY196-AX196</f>
        <v>#DIV/0!</v>
      </c>
      <c r="AZ280" s="3" t="e">
        <f>AZ196-AY196</f>
        <v>#DIV/0!</v>
      </c>
      <c r="BA280" s="3" t="e">
        <f>SUM(AW280:AZ280)</f>
        <v>#DIV/0!</v>
      </c>
      <c r="BB280" s="3" t="e">
        <f>BB196-BA196</f>
        <v>#DIV/0!</v>
      </c>
      <c r="BC280" s="3" t="e">
        <f>BC196-BB196</f>
        <v>#DIV/0!</v>
      </c>
      <c r="BD280" s="3" t="e">
        <f>BD196-BC196</f>
        <v>#DIV/0!</v>
      </c>
      <c r="BE280" s="3" t="e">
        <f>BE196-BD196</f>
        <v>#DIV/0!</v>
      </c>
      <c r="BF280" s="3" t="e">
        <f>SUM(BB280:BE280)</f>
        <v>#DIV/0!</v>
      </c>
      <c r="BG280" s="3" t="e">
        <f>BG196-BF196</f>
        <v>#DIV/0!</v>
      </c>
      <c r="BH280" s="3" t="e">
        <f>BH196-BG196</f>
        <v>#DIV/0!</v>
      </c>
      <c r="BI280" s="3" t="e">
        <f>BI196-BH196</f>
        <v>#DIV/0!</v>
      </c>
      <c r="BJ280" s="3" t="e">
        <f>BJ196-BI196</f>
        <v>#DIV/0!</v>
      </c>
      <c r="BK280" s="3" t="e">
        <f>SUM(BG280:BJ280)</f>
        <v>#DIV/0!</v>
      </c>
      <c r="BL280" s="3" t="e">
        <f>BL196-BK196</f>
        <v>#DIV/0!</v>
      </c>
      <c r="BM280" s="3" t="e">
        <f>BM196-BL196</f>
        <v>#DIV/0!</v>
      </c>
      <c r="BN280" s="3" t="e">
        <f>BN196-BM196</f>
        <v>#DIV/0!</v>
      </c>
      <c r="BO280" s="3" t="e">
        <f>BO196-BN196</f>
        <v>#DIV/0!</v>
      </c>
      <c r="BP280" s="3" t="e">
        <f>SUM(BL280:BO280)</f>
        <v>#DIV/0!</v>
      </c>
      <c r="BQ280" s="3" t="e">
        <f>BQ196-BP196</f>
        <v>#DIV/0!</v>
      </c>
      <c r="BR280" s="3" t="e">
        <f>BR196-BQ196</f>
        <v>#DIV/0!</v>
      </c>
      <c r="BS280" s="3" t="e">
        <f>BS196-BR196</f>
        <v>#DIV/0!</v>
      </c>
      <c r="BT280" s="3" t="e">
        <f>BT196-BS196</f>
        <v>#DIV/0!</v>
      </c>
      <c r="BU280" s="3" t="e">
        <f>SUM(BQ280:BT280)</f>
        <v>#DIV/0!</v>
      </c>
      <c r="BV280" s="3" t="e">
        <f>BV196-BU196</f>
        <v>#DIV/0!</v>
      </c>
      <c r="BW280" s="3" t="e">
        <f>BW196-BV196</f>
        <v>#DIV/0!</v>
      </c>
      <c r="BX280" s="3" t="e">
        <f>BX196-BW196</f>
        <v>#DIV/0!</v>
      </c>
      <c r="BY280" s="3" t="e">
        <f>BY196-BX196</f>
        <v>#DIV/0!</v>
      </c>
      <c r="BZ280" s="3" t="e">
        <f>SUM(BV280:BY280)</f>
        <v>#DIV/0!</v>
      </c>
      <c r="CA280" s="3" t="e">
        <f>CA196-BZ196</f>
        <v>#DIV/0!</v>
      </c>
      <c r="CB280" s="3" t="e">
        <f>CB196-CA196</f>
        <v>#DIV/0!</v>
      </c>
      <c r="CC280" s="3" t="e">
        <f>CC196-CB196</f>
        <v>#DIV/0!</v>
      </c>
      <c r="CD280" s="3" t="e">
        <f>CD196-CC196</f>
        <v>#DIV/0!</v>
      </c>
      <c r="CE280" s="3" t="e">
        <f>SUM(CA280:CD280)</f>
        <v>#DIV/0!</v>
      </c>
      <c r="CF280" s="3" t="e">
        <f>CF196-CE196</f>
        <v>#DIV/0!</v>
      </c>
      <c r="CG280" s="3" t="e">
        <f>CG196-CF196</f>
        <v>#DIV/0!</v>
      </c>
      <c r="CH280" s="3" t="e">
        <f>CH196-CG196</f>
        <v>#DIV/0!</v>
      </c>
      <c r="CI280" s="3" t="e">
        <f>CI196-CH196</f>
        <v>#DIV/0!</v>
      </c>
      <c r="CJ280" s="3" t="e">
        <f>SUM(CF280:CI280)</f>
        <v>#DIV/0!</v>
      </c>
      <c r="CK280" s="3" t="e">
        <f>CK196-CJ196</f>
        <v>#DIV/0!</v>
      </c>
      <c r="CL280" s="3" t="e">
        <f>CL196-CK196</f>
        <v>#DIV/0!</v>
      </c>
      <c r="CM280" s="3" t="e">
        <f>CM196-CL196</f>
        <v>#DIV/0!</v>
      </c>
      <c r="CN280" s="3" t="e">
        <f>CN196-CM196</f>
        <v>#DIV/0!</v>
      </c>
      <c r="CO280" s="3" t="e">
        <f>SUM(CK280:CN280)</f>
        <v>#DIV/0!</v>
      </c>
      <c r="CP280" s="3" t="e">
        <f>CP196-CO196</f>
        <v>#DIV/0!</v>
      </c>
      <c r="CQ280" s="3" t="e">
        <f>CQ196-CP196</f>
        <v>#DIV/0!</v>
      </c>
      <c r="CR280" s="3" t="e">
        <f>CR196-CQ196</f>
        <v>#DIV/0!</v>
      </c>
      <c r="CS280" s="3" t="e">
        <f>CS196-CR196</f>
        <v>#DIV/0!</v>
      </c>
      <c r="CT280" s="3" t="e">
        <f>SUM(CP280:CS280)</f>
        <v>#DIV/0!</v>
      </c>
      <c r="CU280" s="3" t="e">
        <f>CU196-CT196</f>
        <v>#DIV/0!</v>
      </c>
      <c r="CV280" s="3" t="e">
        <f>CV196-CU196</f>
        <v>#DIV/0!</v>
      </c>
      <c r="CW280" s="3" t="e">
        <f>CW196-CV196</f>
        <v>#DIV/0!</v>
      </c>
      <c r="CX280" s="3" t="e">
        <f>CX196-CW196</f>
        <v>#DIV/0!</v>
      </c>
      <c r="CY280" s="3" t="e">
        <f>SUM(CU280:CX280)</f>
        <v>#DIV/0!</v>
      </c>
    </row>
    <row r="281" hidden="1" outlineLevel="1">
      <c r="C281" s="29" t="inlineStr">
        <is>
          <t>Taxes payable</t>
        </is>
      </c>
      <c r="D281" s="3" t="n"/>
      <c r="E281" s="3">
        <f>E198-D198</f>
        <v>0</v>
      </c>
      <c r="F281" s="3">
        <f>F198-E198</f>
        <v>0</v>
      </c>
      <c r="G281" s="3">
        <f>G198-F198</f>
        <v>0</v>
      </c>
      <c r="H281" s="3">
        <f>SUM(D281:G281)</f>
        <v>0</v>
      </c>
      <c r="I281" s="3">
        <f>I198-H198</f>
        <v>0</v>
      </c>
      <c r="J281" s="3">
        <f>J198-I198</f>
        <v>0</v>
      </c>
      <c r="K281" s="3">
        <f>K198-J198</f>
        <v>0</v>
      </c>
      <c r="L281" s="3">
        <f>L198-K198</f>
        <v>0</v>
      </c>
      <c r="M281" s="3">
        <f>SUM(I281:L281)</f>
        <v>0</v>
      </c>
      <c r="N281" s="3">
        <f>N198-M198</f>
        <v>0</v>
      </c>
      <c r="O281" s="3">
        <f>O198-N198</f>
        <v>0</v>
      </c>
      <c r="P281" s="3">
        <f>P198-O198</f>
        <v>0</v>
      </c>
      <c r="Q281" s="3">
        <f>Q198-P198</f>
        <v>0</v>
      </c>
      <c r="R281" s="3">
        <f>SUM(N281:Q281)</f>
        <v>0</v>
      </c>
      <c r="S281" s="3">
        <f>S198-R198</f>
        <v>0</v>
      </c>
      <c r="T281" s="3">
        <f>T198-S198</f>
        <v>0</v>
      </c>
      <c r="U281" s="3">
        <f>U198-T198</f>
        <v>0</v>
      </c>
      <c r="V281" s="3">
        <f>V198-U198</f>
        <v>0</v>
      </c>
      <c r="W281" s="3">
        <f>SUM(S281:V281)</f>
        <v>0</v>
      </c>
      <c r="X281" s="3">
        <f>X198-W198</f>
        <v>0</v>
      </c>
      <c r="Y281" s="3">
        <f>Y198-X198</f>
        <v>0</v>
      </c>
      <c r="Z281" s="3">
        <f>Z198-Y198</f>
        <v>0</v>
      </c>
      <c r="AA281" s="3">
        <f>AA198-Z198</f>
        <v>0</v>
      </c>
      <c r="AB281" s="3">
        <f>SUM(X281:AA281)</f>
        <v>0</v>
      </c>
      <c r="AC281" s="3">
        <f>AC198-AB198</f>
        <v>0</v>
      </c>
      <c r="AD281" s="3">
        <f>AD198-AC198</f>
        <v>0</v>
      </c>
      <c r="AE281" s="3">
        <f>AE198-AD198</f>
        <v>0</v>
      </c>
      <c r="AF281" s="3">
        <f>AF198-AE198</f>
        <v>0</v>
      </c>
      <c r="AG281" s="3">
        <f>SUM(AC281:AF281)</f>
        <v>0</v>
      </c>
      <c r="AH281" s="3">
        <f>AH198-AG198</f>
        <v>0</v>
      </c>
      <c r="AI281" s="3">
        <f>AI198-AH198</f>
        <v>0</v>
      </c>
      <c r="AJ281" s="3">
        <f>AJ198-AI198</f>
        <v>0</v>
      </c>
      <c r="AK281" s="3">
        <f>AK198-AJ198</f>
        <v>0</v>
      </c>
      <c r="AL281" s="3">
        <f>SUM(AH281:AK281)</f>
        <v>0</v>
      </c>
      <c r="AM281" s="3" t="e">
        <f>AM198-AL198</f>
        <v>#DIV/0!</v>
      </c>
      <c r="AN281" s="3" t="e">
        <f>AN198-AM198</f>
        <v>#DIV/0!</v>
      </c>
      <c r="AO281" s="3" t="e">
        <f>AO198-AN198</f>
        <v>#DIV/0!</v>
      </c>
      <c r="AP281" s="3" t="e">
        <f>AP198-AO198</f>
        <v>#DIV/0!</v>
      </c>
      <c r="AQ281" s="3" t="e">
        <f>SUM(AM281:AP281)</f>
        <v>#DIV/0!</v>
      </c>
      <c r="AR281" s="3" t="e">
        <f>AR198-AQ198</f>
        <v>#DIV/0!</v>
      </c>
      <c r="AS281" s="3" t="e">
        <f>AS198-AR198</f>
        <v>#DIV/0!</v>
      </c>
      <c r="AT281" s="3" t="e">
        <f>AT198-AS198</f>
        <v>#DIV/0!</v>
      </c>
      <c r="AU281" s="3" t="e">
        <f>AU198-AT198</f>
        <v>#DIV/0!</v>
      </c>
      <c r="AV281" s="3" t="e">
        <f>SUM(AR281:AU281)</f>
        <v>#DIV/0!</v>
      </c>
      <c r="AW281" s="3" t="e">
        <f>AW198-AV198</f>
        <v>#DIV/0!</v>
      </c>
      <c r="AX281" s="3" t="e">
        <f>AX198-AW198</f>
        <v>#DIV/0!</v>
      </c>
      <c r="AY281" s="3" t="e">
        <f>AY198-AX198</f>
        <v>#DIV/0!</v>
      </c>
      <c r="AZ281" s="3" t="e">
        <f>AZ198-AY198</f>
        <v>#DIV/0!</v>
      </c>
      <c r="BA281" s="3" t="e">
        <f>SUM(AW281:AZ281)</f>
        <v>#DIV/0!</v>
      </c>
      <c r="BB281" s="3" t="e">
        <f>BB198-BA198</f>
        <v>#DIV/0!</v>
      </c>
      <c r="BC281" s="3" t="e">
        <f>BC198-BB198</f>
        <v>#DIV/0!</v>
      </c>
      <c r="BD281" s="3" t="e">
        <f>BD198-BC198</f>
        <v>#DIV/0!</v>
      </c>
      <c r="BE281" s="3" t="e">
        <f>BE198-BD198</f>
        <v>#DIV/0!</v>
      </c>
      <c r="BF281" s="3" t="e">
        <f>SUM(BB281:BE281)</f>
        <v>#DIV/0!</v>
      </c>
      <c r="BG281" s="3" t="e">
        <f>BG198-BF198</f>
        <v>#DIV/0!</v>
      </c>
      <c r="BH281" s="3" t="e">
        <f>BH198-BG198</f>
        <v>#DIV/0!</v>
      </c>
      <c r="BI281" s="3" t="e">
        <f>BI198-BH198</f>
        <v>#DIV/0!</v>
      </c>
      <c r="BJ281" s="3" t="e">
        <f>BJ198-BI198</f>
        <v>#DIV/0!</v>
      </c>
      <c r="BK281" s="3" t="e">
        <f>SUM(BG281:BJ281)</f>
        <v>#DIV/0!</v>
      </c>
      <c r="BL281" s="3" t="e">
        <f>BL198-BK198</f>
        <v>#DIV/0!</v>
      </c>
      <c r="BM281" s="3" t="e">
        <f>BM198-BL198</f>
        <v>#DIV/0!</v>
      </c>
      <c r="BN281" s="3" t="e">
        <f>BN198-BM198</f>
        <v>#DIV/0!</v>
      </c>
      <c r="BO281" s="3" t="e">
        <f>BO198-BN198</f>
        <v>#DIV/0!</v>
      </c>
      <c r="BP281" s="3" t="e">
        <f>SUM(BL281:BO281)</f>
        <v>#DIV/0!</v>
      </c>
      <c r="BQ281" s="3" t="e">
        <f>BQ198-BP198</f>
        <v>#DIV/0!</v>
      </c>
      <c r="BR281" s="3" t="e">
        <f>BR198-BQ198</f>
        <v>#DIV/0!</v>
      </c>
      <c r="BS281" s="3" t="e">
        <f>BS198-BR198</f>
        <v>#DIV/0!</v>
      </c>
      <c r="BT281" s="3" t="e">
        <f>BT198-BS198</f>
        <v>#DIV/0!</v>
      </c>
      <c r="BU281" s="3" t="e">
        <f>SUM(BQ281:BT281)</f>
        <v>#DIV/0!</v>
      </c>
      <c r="BV281" s="3" t="e">
        <f>BV198-BU198</f>
        <v>#DIV/0!</v>
      </c>
      <c r="BW281" s="3" t="e">
        <f>BW198-BV198</f>
        <v>#DIV/0!</v>
      </c>
      <c r="BX281" s="3" t="e">
        <f>BX198-BW198</f>
        <v>#DIV/0!</v>
      </c>
      <c r="BY281" s="3" t="e">
        <f>BY198-BX198</f>
        <v>#DIV/0!</v>
      </c>
      <c r="BZ281" s="3" t="e">
        <f>SUM(BV281:BY281)</f>
        <v>#DIV/0!</v>
      </c>
      <c r="CA281" s="3" t="e">
        <f>CA198-BZ198</f>
        <v>#DIV/0!</v>
      </c>
      <c r="CB281" s="3" t="e">
        <f>CB198-CA198</f>
        <v>#DIV/0!</v>
      </c>
      <c r="CC281" s="3" t="e">
        <f>CC198-CB198</f>
        <v>#DIV/0!</v>
      </c>
      <c r="CD281" s="3" t="e">
        <f>CD198-CC198</f>
        <v>#DIV/0!</v>
      </c>
      <c r="CE281" s="3" t="e">
        <f>SUM(CA281:CD281)</f>
        <v>#DIV/0!</v>
      </c>
      <c r="CF281" s="3" t="e">
        <f>CF198-CE198</f>
        <v>#DIV/0!</v>
      </c>
      <c r="CG281" s="3" t="e">
        <f>CG198-CF198</f>
        <v>#DIV/0!</v>
      </c>
      <c r="CH281" s="3" t="e">
        <f>CH198-CG198</f>
        <v>#DIV/0!</v>
      </c>
      <c r="CI281" s="3" t="e">
        <f>CI198-CH198</f>
        <v>#DIV/0!</v>
      </c>
      <c r="CJ281" s="3" t="e">
        <f>SUM(CF281:CI281)</f>
        <v>#DIV/0!</v>
      </c>
      <c r="CK281" s="3" t="e">
        <f>CK198-CJ198</f>
        <v>#DIV/0!</v>
      </c>
      <c r="CL281" s="3" t="e">
        <f>CL198-CK198</f>
        <v>#DIV/0!</v>
      </c>
      <c r="CM281" s="3" t="e">
        <f>CM198-CL198</f>
        <v>#DIV/0!</v>
      </c>
      <c r="CN281" s="3" t="e">
        <f>CN198-CM198</f>
        <v>#DIV/0!</v>
      </c>
      <c r="CO281" s="3" t="e">
        <f>SUM(CK281:CN281)</f>
        <v>#DIV/0!</v>
      </c>
      <c r="CP281" s="3" t="e">
        <f>CP198-CO198</f>
        <v>#DIV/0!</v>
      </c>
      <c r="CQ281" s="3" t="e">
        <f>CQ198-CP198</f>
        <v>#DIV/0!</v>
      </c>
      <c r="CR281" s="3" t="e">
        <f>CR198-CQ198</f>
        <v>#DIV/0!</v>
      </c>
      <c r="CS281" s="3" t="e">
        <f>CS198-CR198</f>
        <v>#DIV/0!</v>
      </c>
      <c r="CT281" s="3" t="e">
        <f>SUM(CP281:CS281)</f>
        <v>#DIV/0!</v>
      </c>
      <c r="CU281" s="3" t="e">
        <f>CU198-CT198</f>
        <v>#DIV/0!</v>
      </c>
      <c r="CV281" s="3" t="e">
        <f>CV198-CU198</f>
        <v>#DIV/0!</v>
      </c>
      <c r="CW281" s="3" t="e">
        <f>CW198-CV198</f>
        <v>#DIV/0!</v>
      </c>
      <c r="CX281" s="3" t="e">
        <f>CX198-CW198</f>
        <v>#DIV/0!</v>
      </c>
      <c r="CY281" s="3" t="e">
        <f>SUM(CU281:CX281)</f>
        <v>#DIV/0!</v>
      </c>
    </row>
    <row r="282" hidden="1" outlineLevel="1">
      <c r="C282" s="29" t="inlineStr">
        <is>
          <t>Other current liabilities (non-debt)</t>
        </is>
      </c>
      <c r="D282" s="3" t="n"/>
      <c r="E282" s="3">
        <f>E199-D199</f>
        <v>-54.3439999999991</v>
      </c>
      <c r="F282" s="3">
        <f>F199-E199</f>
        <v>-54.1380000000008</v>
      </c>
      <c r="G282" s="3">
        <f>G199-F199</f>
        <v>-92.3279999999995</v>
      </c>
      <c r="H282" s="3">
        <f>SUM(D282:G282)</f>
        <v>-200.81</v>
      </c>
      <c r="I282" s="3">
        <f>I199-H199</f>
        <v>-109.300000000001</v>
      </c>
      <c r="J282" s="3">
        <f>J199-I199</f>
        <v>-52.9899999999998</v>
      </c>
      <c r="K282" s="3">
        <f>K199-J199</f>
        <v>-91.6440000000002</v>
      </c>
      <c r="L282" s="3">
        <f>L199-K199</f>
        <v>208.715</v>
      </c>
      <c r="M282" s="3">
        <f>SUM(I282:L282)</f>
        <v>-45.219000000001</v>
      </c>
      <c r="N282" s="3">
        <f>N199-M199</f>
        <v>-196.972</v>
      </c>
      <c r="O282" s="3">
        <f>O199-N199</f>
        <v>94.3719999999994</v>
      </c>
      <c r="P282" s="3">
        <f>P199-O199</f>
        <v>2.50400000000082</v>
      </c>
      <c r="Q282" s="3">
        <f>Q199-P199</f>
        <v>342.598</v>
      </c>
      <c r="R282" s="3">
        <f>SUM(N282:Q282)</f>
        <v>242.502</v>
      </c>
      <c r="S282" s="3">
        <f>S199-R199</f>
        <v>-137.96</v>
      </c>
      <c r="T282" s="3">
        <f>T199-S199</f>
        <v>145.478999999999</v>
      </c>
      <c r="U282" s="3">
        <f>U199-T199</f>
        <v>-186.562999999999</v>
      </c>
      <c r="V282" s="3">
        <f>V199-U199</f>
        <v>343.672</v>
      </c>
      <c r="W282" s="3">
        <f>SUM(S282:V282)</f>
        <v>164.628</v>
      </c>
      <c r="X282" s="3">
        <f>X199-W199</f>
        <v>-3.9340000000002</v>
      </c>
      <c r="Y282" s="3">
        <f>Y199-X199</f>
        <v>-40.3479999999991</v>
      </c>
      <c r="Z282" s="3">
        <f>Z199-Y199</f>
        <v>137.861999999999</v>
      </c>
      <c r="AA282" s="3">
        <f>AA199-Z199</f>
        <v>-88.5249999999996</v>
      </c>
      <c r="AB282" s="3">
        <f>SUM(X282:AA282)</f>
        <v>5.05500000000029</v>
      </c>
      <c r="AC282" s="3">
        <f>AC199-AB199</f>
        <v>-175.863</v>
      </c>
      <c r="AD282" s="3">
        <f>AD199-AC199</f>
        <v>81.5</v>
      </c>
      <c r="AE282" s="3">
        <f>AE199-AD199</f>
        <v>7.1840000000002</v>
      </c>
      <c r="AF282" s="3">
        <f>AF199-AE199</f>
        <v>33.2690000000002</v>
      </c>
      <c r="AG282" s="3">
        <f>SUM(AC282:AF282)</f>
        <v>-53.9099999999999</v>
      </c>
      <c r="AH282" s="3">
        <f>AH199-AG199</f>
        <v>-64.8580000000002</v>
      </c>
      <c r="AI282" s="3">
        <f>AI199-AH199</f>
        <v>-131.748</v>
      </c>
      <c r="AJ282" s="3">
        <f>AJ199-AI199</f>
        <v>0</v>
      </c>
      <c r="AK282" s="3">
        <f>AK199-AJ199</f>
        <v>0</v>
      </c>
      <c r="AL282" s="3">
        <f>SUM(AH282:AK282)</f>
        <v>-196.606</v>
      </c>
      <c r="AM282" s="3">
        <f>AM199-AL199</f>
        <v>0</v>
      </c>
      <c r="AN282" s="3">
        <f>AN199-AM199</f>
        <v>0</v>
      </c>
      <c r="AO282" s="3">
        <f>AO199-AN199</f>
        <v>0</v>
      </c>
      <c r="AP282" s="3">
        <f>AP199-AO199</f>
        <v>0</v>
      </c>
      <c r="AQ282" s="3">
        <f>SUM(AM282:AP282)</f>
        <v>0</v>
      </c>
      <c r="AR282" s="3">
        <f>AR199-AQ199</f>
        <v>0</v>
      </c>
      <c r="AS282" s="3">
        <f>AS199-AR199</f>
        <v>0</v>
      </c>
      <c r="AT282" s="3">
        <f>AT199-AS199</f>
        <v>0</v>
      </c>
      <c r="AU282" s="3">
        <f>AU199-AT199</f>
        <v>0</v>
      </c>
      <c r="AV282" s="3">
        <f>SUM(AR282:AU282)</f>
        <v>0</v>
      </c>
      <c r="AW282" s="3">
        <f>AW199-AV199</f>
        <v>0</v>
      </c>
      <c r="AX282" s="3">
        <f>AX199-AW199</f>
        <v>0</v>
      </c>
      <c r="AY282" s="3">
        <f>AY199-AX199</f>
        <v>0</v>
      </c>
      <c r="AZ282" s="3">
        <f>AZ199-AY199</f>
        <v>0</v>
      </c>
      <c r="BA282" s="3">
        <f>SUM(AW282:AZ282)</f>
        <v>0</v>
      </c>
      <c r="BB282" s="3">
        <f>BB199-BA199</f>
        <v>0</v>
      </c>
      <c r="BC282" s="3">
        <f>BC199-BB199</f>
        <v>0</v>
      </c>
      <c r="BD282" s="3">
        <f>BD199-BC199</f>
        <v>0</v>
      </c>
      <c r="BE282" s="3">
        <f>BE199-BD199</f>
        <v>0</v>
      </c>
      <c r="BF282" s="3">
        <f>SUM(BB282:BE282)</f>
        <v>0</v>
      </c>
      <c r="BG282" s="3">
        <f>BG199-BF199</f>
        <v>0</v>
      </c>
      <c r="BH282" s="3">
        <f>BH199-BG199</f>
        <v>0</v>
      </c>
      <c r="BI282" s="3">
        <f>BI199-BH199</f>
        <v>0</v>
      </c>
      <c r="BJ282" s="3">
        <f>BJ199-BI199</f>
        <v>0</v>
      </c>
      <c r="BK282" s="3">
        <f>SUM(BG282:BJ282)</f>
        <v>0</v>
      </c>
      <c r="BL282" s="3">
        <f>BL199-BK199</f>
        <v>0</v>
      </c>
      <c r="BM282" s="3">
        <f>BM199-BL199</f>
        <v>0</v>
      </c>
      <c r="BN282" s="3">
        <f>BN199-BM199</f>
        <v>0</v>
      </c>
      <c r="BO282" s="3">
        <f>BO199-BN199</f>
        <v>0</v>
      </c>
      <c r="BP282" s="3">
        <f>SUM(BL282:BO282)</f>
        <v>0</v>
      </c>
      <c r="BQ282" s="3">
        <f>BQ199-BP199</f>
        <v>0</v>
      </c>
      <c r="BR282" s="3">
        <f>BR199-BQ199</f>
        <v>0</v>
      </c>
      <c r="BS282" s="3">
        <f>BS199-BR199</f>
        <v>0</v>
      </c>
      <c r="BT282" s="3">
        <f>BT199-BS199</f>
        <v>0</v>
      </c>
      <c r="BU282" s="3">
        <f>SUM(BQ282:BT282)</f>
        <v>0</v>
      </c>
      <c r="BV282" s="3">
        <f>BV199-BU199</f>
        <v>0</v>
      </c>
      <c r="BW282" s="3">
        <f>BW199-BV199</f>
        <v>0</v>
      </c>
      <c r="BX282" s="3">
        <f>BX199-BW199</f>
        <v>0</v>
      </c>
      <c r="BY282" s="3">
        <f>BY199-BX199</f>
        <v>0</v>
      </c>
      <c r="BZ282" s="3">
        <f>SUM(BV282:BY282)</f>
        <v>0</v>
      </c>
      <c r="CA282" s="3">
        <f>CA199-BZ199</f>
        <v>0</v>
      </c>
      <c r="CB282" s="3">
        <f>CB199-CA199</f>
        <v>0</v>
      </c>
      <c r="CC282" s="3">
        <f>CC199-CB199</f>
        <v>0</v>
      </c>
      <c r="CD282" s="3">
        <f>CD199-CC199</f>
        <v>0</v>
      </c>
      <c r="CE282" s="3">
        <f>SUM(CA282:CD282)</f>
        <v>0</v>
      </c>
      <c r="CF282" s="3">
        <f>CF199-CE199</f>
        <v>0</v>
      </c>
      <c r="CG282" s="3">
        <f>CG199-CF199</f>
        <v>0</v>
      </c>
      <c r="CH282" s="3">
        <f>CH199-CG199</f>
        <v>0</v>
      </c>
      <c r="CI282" s="3">
        <f>CI199-CH199</f>
        <v>0</v>
      </c>
      <c r="CJ282" s="3">
        <f>SUM(CF282:CI282)</f>
        <v>0</v>
      </c>
      <c r="CK282" s="3">
        <f>CK199-CJ199</f>
        <v>0</v>
      </c>
      <c r="CL282" s="3">
        <f>CL199-CK199</f>
        <v>0</v>
      </c>
      <c r="CM282" s="3">
        <f>CM199-CL199</f>
        <v>0</v>
      </c>
      <c r="CN282" s="3">
        <f>CN199-CM199</f>
        <v>0</v>
      </c>
      <c r="CO282" s="3">
        <f>SUM(CK282:CN282)</f>
        <v>0</v>
      </c>
      <c r="CP282" s="3">
        <f>CP199-CO199</f>
        <v>0</v>
      </c>
      <c r="CQ282" s="3">
        <f>CQ199-CP199</f>
        <v>0</v>
      </c>
      <c r="CR282" s="3">
        <f>CR199-CQ199</f>
        <v>0</v>
      </c>
      <c r="CS282" s="3">
        <f>CS199-CR199</f>
        <v>0</v>
      </c>
      <c r="CT282" s="3">
        <f>SUM(CP282:CS282)</f>
        <v>0</v>
      </c>
      <c r="CU282" s="3">
        <f>CU199-CT199</f>
        <v>0</v>
      </c>
      <c r="CV282" s="3">
        <f>CV199-CU199</f>
        <v>0</v>
      </c>
      <c r="CW282" s="3">
        <f>CW199-CV199</f>
        <v>0</v>
      </c>
      <c r="CX282" s="3">
        <f>CX199-CW199</f>
        <v>0</v>
      </c>
      <c r="CY282" s="3">
        <f>SUM(CU282:CX282)</f>
        <v>0</v>
      </c>
    </row>
    <row r="283" hidden="1" outlineLevel="1">
      <c r="C283" s="29" t="inlineStr">
        <is>
          <t>Deferred income taxes</t>
        </is>
      </c>
      <c r="D283" s="3" t="n"/>
      <c r="E283" s="3">
        <f>E233-D233</f>
        <v>0</v>
      </c>
      <c r="F283" s="3">
        <f>F233-E233</f>
        <v>0</v>
      </c>
      <c r="G283" s="3">
        <f>G233-F233</f>
        <v>0</v>
      </c>
      <c r="H283" s="3">
        <f>SUM(D283:G283)</f>
        <v>0</v>
      </c>
      <c r="I283" s="3">
        <f>I233-H233</f>
        <v>0</v>
      </c>
      <c r="J283" s="3">
        <f>J233-I233</f>
        <v>0</v>
      </c>
      <c r="K283" s="3">
        <f>K233-J233</f>
        <v>0</v>
      </c>
      <c r="L283" s="3">
        <f>L233-K233</f>
        <v>0</v>
      </c>
      <c r="M283" s="3">
        <f>SUM(I283:L283)</f>
        <v>0</v>
      </c>
      <c r="N283" s="3">
        <f>N233-M233</f>
        <v>0</v>
      </c>
      <c r="O283" s="3">
        <f>O233-N233</f>
        <v>0</v>
      </c>
      <c r="P283" s="3">
        <f>P233-O233</f>
        <v>0</v>
      </c>
      <c r="Q283" s="3">
        <f>Q233-P233</f>
        <v>0</v>
      </c>
      <c r="R283" s="3">
        <f>SUM(N283:Q283)</f>
        <v>0</v>
      </c>
      <c r="S283" s="3">
        <f>S233-R233</f>
        <v>0</v>
      </c>
      <c r="T283" s="3">
        <f>T233-S233</f>
        <v>0</v>
      </c>
      <c r="U283" s="3">
        <f>U233-T233</f>
        <v>0</v>
      </c>
      <c r="V283" s="3">
        <f>V233-U233</f>
        <v>0</v>
      </c>
      <c r="W283" s="3">
        <f>SUM(S283:V283)</f>
        <v>0</v>
      </c>
      <c r="X283" s="3">
        <f>X233-W233</f>
        <v>0</v>
      </c>
      <c r="Y283" s="3">
        <f>Y233-X233</f>
        <v>0</v>
      </c>
      <c r="Z283" s="3">
        <f>Z233-Y233</f>
        <v>0</v>
      </c>
      <c r="AA283" s="3">
        <f>AA233-Z233</f>
        <v>0</v>
      </c>
      <c r="AB283" s="3">
        <f>SUM(X283:AA283)</f>
        <v>0</v>
      </c>
      <c r="AC283" s="3">
        <f>AC233-AB233</f>
        <v>0</v>
      </c>
      <c r="AD283" s="3">
        <f>AD233-AC233</f>
        <v>0</v>
      </c>
      <c r="AE283" s="3">
        <f>AE233-AD233</f>
        <v>0</v>
      </c>
      <c r="AF283" s="3">
        <f>AF233-AE233</f>
        <v>0</v>
      </c>
      <c r="AG283" s="3">
        <f>SUM(AC283:AF283)</f>
        <v>0</v>
      </c>
      <c r="AH283" s="3">
        <f>AH233-AG233</f>
        <v>0</v>
      </c>
      <c r="AI283" s="3">
        <f>AI233-AH233</f>
        <v>0</v>
      </c>
      <c r="AJ283" s="3">
        <f>AJ233-AI233</f>
        <v>0</v>
      </c>
      <c r="AK283" s="3">
        <f>AK233-AJ233</f>
        <v>0</v>
      </c>
      <c r="AL283" s="3">
        <f>SUM(AH283:AK283)</f>
        <v>0</v>
      </c>
      <c r="AM283" s="3">
        <f>AM233-AL233</f>
        <v>0</v>
      </c>
      <c r="AN283" s="3">
        <f>AN233-AM233</f>
        <v>0</v>
      </c>
      <c r="AO283" s="3">
        <f>AO233-AN233</f>
        <v>0</v>
      </c>
      <c r="AP283" s="3">
        <f>AP233-AO233</f>
        <v>0</v>
      </c>
      <c r="AQ283" s="3">
        <f>SUM(AM283:AP283)</f>
        <v>0</v>
      </c>
      <c r="AR283" s="3">
        <f>AR233-AQ233</f>
        <v>0</v>
      </c>
      <c r="AS283" s="3">
        <f>AS233-AR233</f>
        <v>0</v>
      </c>
      <c r="AT283" s="3">
        <f>AT233-AS233</f>
        <v>0</v>
      </c>
      <c r="AU283" s="3">
        <f>AU233-AT233</f>
        <v>0</v>
      </c>
      <c r="AV283" s="3">
        <f>SUM(AR283:AU283)</f>
        <v>0</v>
      </c>
      <c r="AW283" s="3">
        <f>AW233-AV233</f>
        <v>0</v>
      </c>
      <c r="AX283" s="3">
        <f>AX233-AW233</f>
        <v>0</v>
      </c>
      <c r="AY283" s="3">
        <f>AY233-AX233</f>
        <v>0</v>
      </c>
      <c r="AZ283" s="3">
        <f>AZ233-AY233</f>
        <v>0</v>
      </c>
      <c r="BA283" s="3">
        <f>SUM(AW283:AZ283)</f>
        <v>0</v>
      </c>
      <c r="BB283" s="3">
        <f>BB233-BA233</f>
        <v>0</v>
      </c>
      <c r="BC283" s="3">
        <f>BC233-BB233</f>
        <v>0</v>
      </c>
      <c r="BD283" s="3">
        <f>BD233-BC233</f>
        <v>0</v>
      </c>
      <c r="BE283" s="3">
        <f>BE233-BD233</f>
        <v>0</v>
      </c>
      <c r="BF283" s="3">
        <f>SUM(BB283:BE283)</f>
        <v>0</v>
      </c>
      <c r="BG283" s="3">
        <f>BG233-BF233</f>
        <v>0</v>
      </c>
      <c r="BH283" s="3">
        <f>BH233-BG233</f>
        <v>0</v>
      </c>
      <c r="BI283" s="3">
        <f>BI233-BH233</f>
        <v>0</v>
      </c>
      <c r="BJ283" s="3">
        <f>BJ233-BI233</f>
        <v>0</v>
      </c>
      <c r="BK283" s="3">
        <f>SUM(BG283:BJ283)</f>
        <v>0</v>
      </c>
      <c r="BL283" s="3">
        <f>BL233-BK233</f>
        <v>0</v>
      </c>
      <c r="BM283" s="3">
        <f>BM233-BL233</f>
        <v>0</v>
      </c>
      <c r="BN283" s="3">
        <f>BN233-BM233</f>
        <v>0</v>
      </c>
      <c r="BO283" s="3">
        <f>BO233-BN233</f>
        <v>0</v>
      </c>
      <c r="BP283" s="3">
        <f>SUM(BL283:BO283)</f>
        <v>0</v>
      </c>
      <c r="BQ283" s="3">
        <f>BQ233-BP233</f>
        <v>0</v>
      </c>
      <c r="BR283" s="3">
        <f>BR233-BQ233</f>
        <v>0</v>
      </c>
      <c r="BS283" s="3">
        <f>BS233-BR233</f>
        <v>0</v>
      </c>
      <c r="BT283" s="3">
        <f>BT233-BS233</f>
        <v>0</v>
      </c>
      <c r="BU283" s="3">
        <f>SUM(BQ283:BT283)</f>
        <v>0</v>
      </c>
      <c r="BV283" s="3">
        <f>BV233-BU233</f>
        <v>0</v>
      </c>
      <c r="BW283" s="3">
        <f>BW233-BV233</f>
        <v>0</v>
      </c>
      <c r="BX283" s="3">
        <f>BX233-BW233</f>
        <v>0</v>
      </c>
      <c r="BY283" s="3">
        <f>BY233-BX233</f>
        <v>0</v>
      </c>
      <c r="BZ283" s="3">
        <f>SUM(BV283:BY283)</f>
        <v>0</v>
      </c>
      <c r="CA283" s="3">
        <f>CA233-BZ233</f>
        <v>0</v>
      </c>
      <c r="CB283" s="3">
        <f>CB233-CA233</f>
        <v>0</v>
      </c>
      <c r="CC283" s="3">
        <f>CC233-CB233</f>
        <v>0</v>
      </c>
      <c r="CD283" s="3">
        <f>CD233-CC233</f>
        <v>0</v>
      </c>
      <c r="CE283" s="3">
        <f>SUM(CA283:CD283)</f>
        <v>0</v>
      </c>
      <c r="CF283" s="3">
        <f>CF233-CE233</f>
        <v>0</v>
      </c>
      <c r="CG283" s="3">
        <f>CG233-CF233</f>
        <v>0</v>
      </c>
      <c r="CH283" s="3">
        <f>CH233-CG233</f>
        <v>0</v>
      </c>
      <c r="CI283" s="3">
        <f>CI233-CH233</f>
        <v>0</v>
      </c>
      <c r="CJ283" s="3">
        <f>SUM(CF283:CI283)</f>
        <v>0</v>
      </c>
      <c r="CK283" s="3">
        <f>CK233-CJ233</f>
        <v>0</v>
      </c>
      <c r="CL283" s="3">
        <f>CL233-CK233</f>
        <v>0</v>
      </c>
      <c r="CM283" s="3">
        <f>CM233-CL233</f>
        <v>0</v>
      </c>
      <c r="CN283" s="3">
        <f>CN233-CM233</f>
        <v>0</v>
      </c>
      <c r="CO283" s="3">
        <f>SUM(CK283:CN283)</f>
        <v>0</v>
      </c>
      <c r="CP283" s="3">
        <f>CP233-CO233</f>
        <v>0</v>
      </c>
      <c r="CQ283" s="3">
        <f>CQ233-CP233</f>
        <v>0</v>
      </c>
      <c r="CR283" s="3">
        <f>CR233-CQ233</f>
        <v>0</v>
      </c>
      <c r="CS283" s="3">
        <f>CS233-CR233</f>
        <v>0</v>
      </c>
      <c r="CT283" s="3">
        <f>SUM(CP283:CS283)</f>
        <v>0</v>
      </c>
      <c r="CU283" s="3">
        <f>CU233-CT233</f>
        <v>0</v>
      </c>
      <c r="CV283" s="3">
        <f>CV233-CU233</f>
        <v>0</v>
      </c>
      <c r="CW283" s="3">
        <f>CW233-CV233</f>
        <v>0</v>
      </c>
      <c r="CX283" s="3">
        <f>CX233-CW233</f>
        <v>0</v>
      </c>
      <c r="CY283" s="3">
        <f>SUM(CU283:CX283)</f>
        <v>0</v>
      </c>
    </row>
    <row r="284" collapsed="1">
      <c r="C284" s="29" t="inlineStr">
        <is>
          <t>Equity income in affiliates</t>
        </is>
      </c>
      <c r="D284" s="3" t="n"/>
      <c r="E284" s="3">
        <f>(E155-D155)*-1</f>
        <v>0</v>
      </c>
      <c r="F284" s="3">
        <f>(F155-E155)*-1</f>
        <v>0</v>
      </c>
      <c r="G284" s="3">
        <f>(G155-F155)*-1</f>
        <v>0</v>
      </c>
      <c r="H284" s="3">
        <f>SUM(D284:G284)</f>
        <v>0</v>
      </c>
      <c r="I284" s="3">
        <f>(I155-H155)*-1</f>
        <v>0</v>
      </c>
      <c r="J284" s="3">
        <f>(J155-I155)*-1</f>
        <v>0</v>
      </c>
      <c r="K284" s="3">
        <f>(K155-J155)*-1</f>
        <v>0</v>
      </c>
      <c r="L284" s="3">
        <f>(L155-K155)*-1</f>
        <v>0</v>
      </c>
      <c r="M284" s="3">
        <f>SUM(I284:L284)</f>
        <v>0</v>
      </c>
      <c r="N284" s="3">
        <f>(N155-M155)*-1</f>
        <v>0</v>
      </c>
      <c r="O284" s="3">
        <f>(O155-N155)*-1</f>
        <v>0</v>
      </c>
      <c r="P284" s="3">
        <f>(P155-O155)*-1</f>
        <v>0</v>
      </c>
      <c r="Q284" s="3">
        <f>(Q155-P155)*-1</f>
        <v>0</v>
      </c>
      <c r="R284" s="3">
        <f>SUM(N284:Q284)</f>
        <v>0</v>
      </c>
      <c r="S284" s="3">
        <f>(S155-R155)*-1</f>
        <v>0</v>
      </c>
      <c r="T284" s="3">
        <f>(T155-S155)*-1</f>
        <v>0</v>
      </c>
      <c r="U284" s="3">
        <f>(U155-T155)*-1</f>
        <v>0</v>
      </c>
      <c r="V284" s="3">
        <f>(V155-U155)*-1</f>
        <v>0</v>
      </c>
      <c r="W284" s="3">
        <f>SUM(S284:V284)</f>
        <v>0</v>
      </c>
      <c r="X284" s="3">
        <f>(X155-W155)*-1</f>
        <v>0</v>
      </c>
      <c r="Y284" s="3">
        <f>(Y155-X155)*-1</f>
        <v>0</v>
      </c>
      <c r="Z284" s="3">
        <f>(Z155-Y155)*-1</f>
        <v>0</v>
      </c>
      <c r="AA284" s="3">
        <f>(AA155-Z155)*-1</f>
        <v>0</v>
      </c>
      <c r="AB284" s="3">
        <f>SUM(X284:AA284)</f>
        <v>0</v>
      </c>
      <c r="AC284" s="3">
        <f>(AC155-AB155)*-1</f>
        <v>0</v>
      </c>
      <c r="AD284" s="3">
        <f>(AD155-AC155)*-1</f>
        <v>0</v>
      </c>
      <c r="AE284" s="3">
        <f>(AE155-AD155)*-1</f>
        <v>0</v>
      </c>
      <c r="AF284" s="3">
        <f>(AF155-AE155)*-1</f>
        <v>0</v>
      </c>
      <c r="AG284" s="3">
        <f>SUM(AC284:AF284)</f>
        <v>0</v>
      </c>
      <c r="AH284" s="3">
        <f>(AH155-AG155)*-1</f>
        <v>0</v>
      </c>
      <c r="AI284" s="3">
        <f>(AI155-AH155)*-1</f>
        <v>0</v>
      </c>
      <c r="AJ284" s="3">
        <f>(AJ155-AI155)*-1</f>
        <v>0</v>
      </c>
      <c r="AK284" s="3">
        <f>(AK155-AJ155)*-1</f>
        <v>0</v>
      </c>
      <c r="AL284" s="3">
        <f>SUM(AH284:AK284)</f>
        <v>0</v>
      </c>
      <c r="AM284" s="3">
        <f>(AM155-AL155)*-1</f>
        <v>0</v>
      </c>
      <c r="AN284" s="3">
        <f>(AN155-AM155)*-1</f>
        <v>0</v>
      </c>
      <c r="AO284" s="3">
        <f>(AO155-AN155)*-1</f>
        <v>0</v>
      </c>
      <c r="AP284" s="3">
        <f>(AP155-AO155)*-1</f>
        <v>0</v>
      </c>
      <c r="AQ284" s="3">
        <f>SUM(AM284:AP284)</f>
        <v>0</v>
      </c>
      <c r="AR284" s="3">
        <f>(AR155-AQ155)*-1</f>
        <v>0</v>
      </c>
      <c r="AS284" s="3">
        <f>(AS155-AR155)*-1</f>
        <v>0</v>
      </c>
      <c r="AT284" s="3">
        <f>(AT155-AS155)*-1</f>
        <v>0</v>
      </c>
      <c r="AU284" s="3">
        <f>(AU155-AT155)*-1</f>
        <v>0</v>
      </c>
      <c r="AV284" s="3">
        <f>SUM(AR284:AU284)</f>
        <v>0</v>
      </c>
      <c r="AW284" s="3">
        <f>(AW155-AV155)*-1</f>
        <v>0</v>
      </c>
      <c r="AX284" s="3">
        <f>(AX155-AW155)*-1</f>
        <v>0</v>
      </c>
      <c r="AY284" s="3">
        <f>(AY155-AX155)*-1</f>
        <v>0</v>
      </c>
      <c r="AZ284" s="3">
        <f>(AZ155-AY155)*-1</f>
        <v>0</v>
      </c>
      <c r="BA284" s="3">
        <f>SUM(AW284:AZ284)</f>
        <v>0</v>
      </c>
      <c r="BB284" s="3">
        <f>(BB155-BA155)*-1</f>
        <v>0</v>
      </c>
      <c r="BC284" s="3">
        <f>(BC155-BB155)*-1</f>
        <v>0</v>
      </c>
      <c r="BD284" s="3">
        <f>(BD155-BC155)*-1</f>
        <v>0</v>
      </c>
      <c r="BE284" s="3">
        <f>(BE155-BD155)*-1</f>
        <v>0</v>
      </c>
      <c r="BF284" s="3">
        <f>SUM(BB284:BE284)</f>
        <v>0</v>
      </c>
      <c r="BG284" s="3">
        <f>(BG155-BF155)*-1</f>
        <v>0</v>
      </c>
      <c r="BH284" s="3">
        <f>(BH155-BG155)*-1</f>
        <v>0</v>
      </c>
      <c r="BI284" s="3">
        <f>(BI155-BH155)*-1</f>
        <v>0</v>
      </c>
      <c r="BJ284" s="3">
        <f>(BJ155-BI155)*-1</f>
        <v>0</v>
      </c>
      <c r="BK284" s="3">
        <f>SUM(BG284:BJ284)</f>
        <v>0</v>
      </c>
      <c r="BL284" s="3">
        <f>(BL155-BK155)*-1</f>
        <v>0</v>
      </c>
      <c r="BM284" s="3">
        <f>(BM155-BL155)*-1</f>
        <v>0</v>
      </c>
      <c r="BN284" s="3">
        <f>(BN155-BM155)*-1</f>
        <v>0</v>
      </c>
      <c r="BO284" s="3">
        <f>(BO155-BN155)*-1</f>
        <v>0</v>
      </c>
      <c r="BP284" s="3">
        <f>SUM(BL284:BO284)</f>
        <v>0</v>
      </c>
      <c r="BQ284" s="3">
        <f>(BQ155-BP155)*-1</f>
        <v>0</v>
      </c>
      <c r="BR284" s="3">
        <f>(BR155-BQ155)*-1</f>
        <v>0</v>
      </c>
      <c r="BS284" s="3">
        <f>(BS155-BR155)*-1</f>
        <v>0</v>
      </c>
      <c r="BT284" s="3">
        <f>(BT155-BS155)*-1</f>
        <v>0</v>
      </c>
      <c r="BU284" s="3">
        <f>SUM(BQ284:BT284)</f>
        <v>0</v>
      </c>
      <c r="BV284" s="3">
        <f>(BV155-BU155)*-1</f>
        <v>0</v>
      </c>
      <c r="BW284" s="3">
        <f>(BW155-BV155)*-1</f>
        <v>0</v>
      </c>
      <c r="BX284" s="3">
        <f>(BX155-BW155)*-1</f>
        <v>0</v>
      </c>
      <c r="BY284" s="3">
        <f>(BY155-BX155)*-1</f>
        <v>0</v>
      </c>
      <c r="BZ284" s="3">
        <f>SUM(BV284:BY284)</f>
        <v>0</v>
      </c>
      <c r="CA284" s="3">
        <f>(CA155-BZ155)*-1</f>
        <v>0</v>
      </c>
      <c r="CB284" s="3">
        <f>(CB155-CA155)*-1</f>
        <v>0</v>
      </c>
      <c r="CC284" s="3">
        <f>(CC155-CB155)*-1</f>
        <v>0</v>
      </c>
      <c r="CD284" s="3">
        <f>(CD155-CC155)*-1</f>
        <v>0</v>
      </c>
      <c r="CE284" s="3">
        <f>SUM(CA284:CD284)</f>
        <v>0</v>
      </c>
      <c r="CF284" s="3">
        <f>(CF155-CE155)*-1</f>
        <v>0</v>
      </c>
      <c r="CG284" s="3">
        <f>(CG155-CF155)*-1</f>
        <v>0</v>
      </c>
      <c r="CH284" s="3">
        <f>(CH155-CG155)*-1</f>
        <v>0</v>
      </c>
      <c r="CI284" s="3">
        <f>(CI155-CH155)*-1</f>
        <v>0</v>
      </c>
      <c r="CJ284" s="3">
        <f>SUM(CF284:CI284)</f>
        <v>0</v>
      </c>
      <c r="CK284" s="3">
        <f>(CK155-CJ155)*-1</f>
        <v>0</v>
      </c>
      <c r="CL284" s="3">
        <f>(CL155-CK155)*-1</f>
        <v>0</v>
      </c>
      <c r="CM284" s="3">
        <f>(CM155-CL155)*-1</f>
        <v>0</v>
      </c>
      <c r="CN284" s="3">
        <f>(CN155-CM155)*-1</f>
        <v>0</v>
      </c>
      <c r="CO284" s="3">
        <f>SUM(CK284:CN284)</f>
        <v>0</v>
      </c>
      <c r="CP284" s="3">
        <f>(CP155-CO155)*-1</f>
        <v>0</v>
      </c>
      <c r="CQ284" s="3">
        <f>(CQ155-CP155)*-1</f>
        <v>0</v>
      </c>
      <c r="CR284" s="3">
        <f>(CR155-CQ155)*-1</f>
        <v>0</v>
      </c>
      <c r="CS284" s="3">
        <f>(CS155-CR155)*-1</f>
        <v>0</v>
      </c>
      <c r="CT284" s="3">
        <f>SUM(CP284:CS284)</f>
        <v>0</v>
      </c>
      <c r="CU284" s="3">
        <f>(CU155-CT155)*-1</f>
        <v>0</v>
      </c>
      <c r="CV284" s="3">
        <f>(CV155-CU155)*-1</f>
        <v>0</v>
      </c>
      <c r="CW284" s="3">
        <f>(CW155-CV155)*-1</f>
        <v>0</v>
      </c>
      <c r="CX284" s="3">
        <f>(CX155-CW155)*-1</f>
        <v>0</v>
      </c>
      <c r="CY284" s="3">
        <f>SUM(CU284:CX284)</f>
        <v>0</v>
      </c>
    </row>
    <row r="285">
      <c r="C285" s="29" t="inlineStr">
        <is>
          <t>Dividends received from affiliates</t>
        </is>
      </c>
      <c r="D285" s="3" t="n"/>
      <c r="E285" s="3">
        <f>-E158</f>
        <v>0</v>
      </c>
      <c r="F285" s="3">
        <f>-F158</f>
        <v>0</v>
      </c>
      <c r="G285" s="3">
        <f>-G158</f>
        <v>0</v>
      </c>
      <c r="H285" s="3">
        <f>SUM(D285:G285)</f>
        <v>0</v>
      </c>
      <c r="I285" s="3">
        <f>-I158</f>
        <v>0</v>
      </c>
      <c r="J285" s="3">
        <f>-J158</f>
        <v>0</v>
      </c>
      <c r="K285" s="3">
        <f>-K158</f>
        <v>0</v>
      </c>
      <c r="L285" s="3">
        <f>-L158</f>
        <v>0</v>
      </c>
      <c r="M285" s="3">
        <f>SUM(I285:L285)</f>
        <v>0</v>
      </c>
      <c r="N285" s="3">
        <f>-N158</f>
        <v>0</v>
      </c>
      <c r="O285" s="3">
        <f>-O158</f>
        <v>0</v>
      </c>
      <c r="P285" s="3">
        <f>-P158</f>
        <v>0</v>
      </c>
      <c r="Q285" s="3">
        <f>-Q158</f>
        <v>0</v>
      </c>
      <c r="R285" s="3">
        <f>SUM(N285:Q285)</f>
        <v>0</v>
      </c>
      <c r="S285" s="3">
        <f>-S158</f>
        <v>0</v>
      </c>
      <c r="T285" s="3">
        <f>-T158</f>
        <v>0</v>
      </c>
      <c r="U285" s="3">
        <f>-U158</f>
        <v>0</v>
      </c>
      <c r="V285" s="3">
        <f>-V158</f>
        <v>0</v>
      </c>
      <c r="W285" s="3">
        <f>SUM(S285:V285)</f>
        <v>0</v>
      </c>
      <c r="X285" s="3">
        <f>-X158</f>
        <v>0</v>
      </c>
      <c r="Y285" s="3">
        <f>-Y158</f>
        <v>0</v>
      </c>
      <c r="Z285" s="3">
        <f>-Z158</f>
        <v>0</v>
      </c>
      <c r="AA285" s="3">
        <f>-AA158</f>
        <v>0</v>
      </c>
      <c r="AB285" s="3">
        <f>SUM(X285:AA285)</f>
        <v>0</v>
      </c>
      <c r="AC285" s="3">
        <f>-AC158</f>
        <v>0</v>
      </c>
      <c r="AD285" s="3">
        <f>-AD158</f>
        <v>0</v>
      </c>
      <c r="AE285" s="3">
        <f>-AE158</f>
        <v>0</v>
      </c>
      <c r="AF285" s="3">
        <f>-AF158</f>
        <v>0</v>
      </c>
      <c r="AG285" s="3">
        <f>SUM(AC285:AF285)</f>
        <v>0</v>
      </c>
      <c r="AH285" s="3">
        <f>-AH158</f>
        <v>0</v>
      </c>
      <c r="AI285" s="3">
        <f>-AI158</f>
        <v>0</v>
      </c>
      <c r="AJ285" s="3">
        <f>-AJ158</f>
        <v>0</v>
      </c>
      <c r="AK285" s="3">
        <f>-AK158</f>
        <v>0</v>
      </c>
      <c r="AL285" s="3">
        <f>SUM(AH285:AK285)</f>
        <v>0</v>
      </c>
      <c r="AM285" s="3">
        <f>-AM158</f>
        <v>0</v>
      </c>
      <c r="AN285" s="3">
        <f>-AN158</f>
        <v>0</v>
      </c>
      <c r="AO285" s="3">
        <f>-AO158</f>
        <v>0</v>
      </c>
      <c r="AP285" s="3">
        <f>-AP158</f>
        <v>0</v>
      </c>
      <c r="AQ285" s="3">
        <f>SUM(AM285:AP285)</f>
        <v>0</v>
      </c>
      <c r="AR285" s="3">
        <f>-AR158</f>
        <v>0</v>
      </c>
      <c r="AS285" s="3">
        <f>-AS158</f>
        <v>0</v>
      </c>
      <c r="AT285" s="3">
        <f>-AT158</f>
        <v>0</v>
      </c>
      <c r="AU285" s="3">
        <f>-AU158</f>
        <v>0</v>
      </c>
      <c r="AV285" s="3">
        <f>SUM(AR285:AU285)</f>
        <v>0</v>
      </c>
      <c r="AW285" s="3">
        <f>-AW158</f>
        <v>0</v>
      </c>
      <c r="AX285" s="3">
        <f>-AX158</f>
        <v>0</v>
      </c>
      <c r="AY285" s="3">
        <f>-AY158</f>
        <v>0</v>
      </c>
      <c r="AZ285" s="3">
        <f>-AZ158</f>
        <v>0</v>
      </c>
      <c r="BA285" s="3">
        <f>SUM(AW285:AZ285)</f>
        <v>0</v>
      </c>
      <c r="BB285" s="3">
        <f>-BB158</f>
        <v>0</v>
      </c>
      <c r="BC285" s="3">
        <f>-BC158</f>
        <v>0</v>
      </c>
      <c r="BD285" s="3">
        <f>-BD158</f>
        <v>0</v>
      </c>
      <c r="BE285" s="3">
        <f>-BE158</f>
        <v>0</v>
      </c>
      <c r="BF285" s="3">
        <f>SUM(BB285:BE285)</f>
        <v>0</v>
      </c>
      <c r="BG285" s="3">
        <f>-BG158</f>
        <v>0</v>
      </c>
      <c r="BH285" s="3">
        <f>-BH158</f>
        <v>0</v>
      </c>
      <c r="BI285" s="3">
        <f>-BI158</f>
        <v>0</v>
      </c>
      <c r="BJ285" s="3">
        <f>-BJ158</f>
        <v>0</v>
      </c>
      <c r="BK285" s="3">
        <f>SUM(BG285:BJ285)</f>
        <v>0</v>
      </c>
      <c r="BL285" s="3">
        <f>-BL158</f>
        <v>0</v>
      </c>
      <c r="BM285" s="3">
        <f>-BM158</f>
        <v>0</v>
      </c>
      <c r="BN285" s="3">
        <f>-BN158</f>
        <v>0</v>
      </c>
      <c r="BO285" s="3">
        <f>-BO158</f>
        <v>0</v>
      </c>
      <c r="BP285" s="3">
        <f>SUM(BL285:BO285)</f>
        <v>0</v>
      </c>
      <c r="BQ285" s="3">
        <f>-BQ158</f>
        <v>0</v>
      </c>
      <c r="BR285" s="3">
        <f>-BR158</f>
        <v>0</v>
      </c>
      <c r="BS285" s="3">
        <f>-BS158</f>
        <v>0</v>
      </c>
      <c r="BT285" s="3">
        <f>-BT158</f>
        <v>0</v>
      </c>
      <c r="BU285" s="3">
        <f>SUM(BQ285:BT285)</f>
        <v>0</v>
      </c>
      <c r="BV285" s="3">
        <f>-BV158</f>
        <v>0</v>
      </c>
      <c r="BW285" s="3">
        <f>-BW158</f>
        <v>0</v>
      </c>
      <c r="BX285" s="3">
        <f>-BX158</f>
        <v>0</v>
      </c>
      <c r="BY285" s="3">
        <f>-BY158</f>
        <v>0</v>
      </c>
      <c r="BZ285" s="3">
        <f>SUM(BV285:BY285)</f>
        <v>0</v>
      </c>
      <c r="CA285" s="3">
        <f>-CA158</f>
        <v>0</v>
      </c>
      <c r="CB285" s="3">
        <f>-CB158</f>
        <v>0</v>
      </c>
      <c r="CC285" s="3">
        <f>-CC158</f>
        <v>0</v>
      </c>
      <c r="CD285" s="3">
        <f>-CD158</f>
        <v>0</v>
      </c>
      <c r="CE285" s="3">
        <f>SUM(CA285:CD285)</f>
        <v>0</v>
      </c>
      <c r="CF285" s="3">
        <f>-CF158</f>
        <v>0</v>
      </c>
      <c r="CG285" s="3">
        <f>-CG158</f>
        <v>0</v>
      </c>
      <c r="CH285" s="3">
        <f>-CH158</f>
        <v>0</v>
      </c>
      <c r="CI285" s="3">
        <f>-CI158</f>
        <v>0</v>
      </c>
      <c r="CJ285" s="3">
        <f>SUM(CF285:CI285)</f>
        <v>0</v>
      </c>
      <c r="CK285" s="3">
        <f>-CK158</f>
        <v>0</v>
      </c>
      <c r="CL285" s="3">
        <f>-CL158</f>
        <v>0</v>
      </c>
      <c r="CM285" s="3">
        <f>-CM158</f>
        <v>0</v>
      </c>
      <c r="CN285" s="3">
        <f>-CN158</f>
        <v>0</v>
      </c>
      <c r="CO285" s="3">
        <f>SUM(CK285:CN285)</f>
        <v>0</v>
      </c>
      <c r="CP285" s="3">
        <f>-CP158</f>
        <v>0</v>
      </c>
      <c r="CQ285" s="3">
        <f>-CQ158</f>
        <v>0</v>
      </c>
      <c r="CR285" s="3">
        <f>-CR158</f>
        <v>0</v>
      </c>
      <c r="CS285" s="3">
        <f>-CS158</f>
        <v>0</v>
      </c>
      <c r="CT285" s="3">
        <f>SUM(CP285:CS285)</f>
        <v>0</v>
      </c>
      <c r="CU285" s="3">
        <f>-CU158</f>
        <v>0</v>
      </c>
      <c r="CV285" s="3">
        <f>-CV158</f>
        <v>0</v>
      </c>
      <c r="CW285" s="3">
        <f>-CW158</f>
        <v>0</v>
      </c>
      <c r="CX285" s="3">
        <f>-CX158</f>
        <v>0</v>
      </c>
      <c r="CY285" s="3">
        <f>SUM(CU285:CX285)</f>
        <v>0</v>
      </c>
    </row>
    <row r="286">
      <c r="C286" s="30" t="inlineStr">
        <is>
          <t>Minority interest expense</t>
        </is>
      </c>
      <c r="D286" s="3" t="n"/>
      <c r="E286" s="3">
        <f>-E130</f>
        <v>0</v>
      </c>
      <c r="F286" s="3">
        <f>-F130</f>
        <v>0</v>
      </c>
      <c r="G286" s="3">
        <f>-G130</f>
        <v>0</v>
      </c>
      <c r="H286" s="3">
        <f>SUM(D286:G286)</f>
        <v>0</v>
      </c>
      <c r="I286" s="3">
        <f>-I130</f>
        <v>0</v>
      </c>
      <c r="J286" s="3">
        <f>-J130</f>
        <v>0</v>
      </c>
      <c r="K286" s="3">
        <f>-K130</f>
        <v>0</v>
      </c>
      <c r="L286" s="3">
        <f>-L130</f>
        <v>0</v>
      </c>
      <c r="M286" s="3">
        <f>SUM(I286:L286)</f>
        <v>0</v>
      </c>
      <c r="N286" s="3">
        <f>-N130</f>
        <v>0</v>
      </c>
      <c r="O286" s="3">
        <f>-O130</f>
        <v>0</v>
      </c>
      <c r="P286" s="3">
        <f>-P130</f>
        <v>0</v>
      </c>
      <c r="Q286" s="3">
        <f>-Q130</f>
        <v>0</v>
      </c>
      <c r="R286" s="3">
        <f>SUM(N286:Q286)</f>
        <v>0</v>
      </c>
      <c r="S286" s="3">
        <f>-S130</f>
        <v>0</v>
      </c>
      <c r="T286" s="3">
        <f>-T130</f>
        <v>0</v>
      </c>
      <c r="U286" s="3">
        <f>-U130</f>
        <v>0</v>
      </c>
      <c r="V286" s="3">
        <f>-V130</f>
        <v>0</v>
      </c>
      <c r="W286" s="3">
        <f>SUM(S286:V286)</f>
        <v>0</v>
      </c>
      <c r="X286" s="3">
        <f>-X130</f>
        <v>0</v>
      </c>
      <c r="Y286" s="3">
        <f>-Y130</f>
        <v>0</v>
      </c>
      <c r="Z286" s="3">
        <f>-Z130</f>
        <v>0</v>
      </c>
      <c r="AA286" s="3">
        <f>-AA130</f>
        <v>0</v>
      </c>
      <c r="AB286" s="3">
        <f>SUM(X286:AA286)</f>
        <v>0</v>
      </c>
      <c r="AC286" s="3">
        <f>-AC130</f>
        <v>0</v>
      </c>
      <c r="AD286" s="3">
        <f>-AD130</f>
        <v>0</v>
      </c>
      <c r="AE286" s="3">
        <f>-AE130</f>
        <v>0</v>
      </c>
      <c r="AF286" s="3">
        <f>-AF130</f>
        <v>0</v>
      </c>
      <c r="AG286" s="3">
        <f>SUM(AC286:AF286)</f>
        <v>0</v>
      </c>
      <c r="AH286" s="3">
        <f>-AH130</f>
        <v>0</v>
      </c>
      <c r="AI286" s="3">
        <f>-AI130</f>
        <v>0</v>
      </c>
      <c r="AJ286" s="3">
        <f>-AJ130</f>
        <v>0</v>
      </c>
      <c r="AK286" s="3">
        <f>-AK130</f>
        <v>0</v>
      </c>
      <c r="AL286" s="3">
        <f>SUM(AH286:AK286)</f>
        <v>0</v>
      </c>
      <c r="AM286" s="3">
        <f>-AM130</f>
        <v>0</v>
      </c>
      <c r="AN286" s="3">
        <f>-AN130</f>
        <v>0</v>
      </c>
      <c r="AO286" s="3">
        <f>-AO130</f>
        <v>0</v>
      </c>
      <c r="AP286" s="3">
        <f>-AP130</f>
        <v>0</v>
      </c>
      <c r="AQ286" s="3">
        <f>SUM(AM286:AP286)</f>
        <v>0</v>
      </c>
      <c r="AR286" s="3">
        <f>-AR130</f>
        <v>0</v>
      </c>
      <c r="AS286" s="3">
        <f>-AS130</f>
        <v>0</v>
      </c>
      <c r="AT286" s="3">
        <f>-AT130</f>
        <v>0</v>
      </c>
      <c r="AU286" s="3">
        <f>-AU130</f>
        <v>0</v>
      </c>
      <c r="AV286" s="3">
        <f>SUM(AR286:AU286)</f>
        <v>0</v>
      </c>
      <c r="AW286" s="3">
        <f>-AW130</f>
        <v>0</v>
      </c>
      <c r="AX286" s="3">
        <f>-AX130</f>
        <v>0</v>
      </c>
      <c r="AY286" s="3">
        <f>-AY130</f>
        <v>0</v>
      </c>
      <c r="AZ286" s="3">
        <f>-AZ130</f>
        <v>0</v>
      </c>
      <c r="BA286" s="3">
        <f>SUM(AW286:AZ286)</f>
        <v>0</v>
      </c>
      <c r="BB286" s="3">
        <f>-BB130</f>
        <v>0</v>
      </c>
      <c r="BC286" s="3">
        <f>-BC130</f>
        <v>0</v>
      </c>
      <c r="BD286" s="3">
        <f>-BD130</f>
        <v>0</v>
      </c>
      <c r="BE286" s="3">
        <f>-BE130</f>
        <v>0</v>
      </c>
      <c r="BF286" s="3">
        <f>SUM(BB286:BE286)</f>
        <v>0</v>
      </c>
      <c r="BG286" s="3">
        <f>-BG130</f>
        <v>0</v>
      </c>
      <c r="BH286" s="3">
        <f>-BH130</f>
        <v>0</v>
      </c>
      <c r="BI286" s="3">
        <f>-BI130</f>
        <v>0</v>
      </c>
      <c r="BJ286" s="3">
        <f>-BJ130</f>
        <v>0</v>
      </c>
      <c r="BK286" s="3">
        <f>SUM(BG286:BJ286)</f>
        <v>0</v>
      </c>
      <c r="BL286" s="3">
        <f>-BL130</f>
        <v>0</v>
      </c>
      <c r="BM286" s="3">
        <f>-BM130</f>
        <v>0</v>
      </c>
      <c r="BN286" s="3">
        <f>-BN130</f>
        <v>0</v>
      </c>
      <c r="BO286" s="3">
        <f>-BO130</f>
        <v>0</v>
      </c>
      <c r="BP286" s="3">
        <f>SUM(BL286:BO286)</f>
        <v>0</v>
      </c>
      <c r="BQ286" s="3">
        <f>-BQ130</f>
        <v>0</v>
      </c>
      <c r="BR286" s="3">
        <f>-BR130</f>
        <v>0</v>
      </c>
      <c r="BS286" s="3">
        <f>-BS130</f>
        <v>0</v>
      </c>
      <c r="BT286" s="3">
        <f>-BT130</f>
        <v>0</v>
      </c>
      <c r="BU286" s="3">
        <f>SUM(BQ286:BT286)</f>
        <v>0</v>
      </c>
      <c r="BV286" s="3">
        <f>-BV130</f>
        <v>0</v>
      </c>
      <c r="BW286" s="3">
        <f>-BW130</f>
        <v>0</v>
      </c>
      <c r="BX286" s="3">
        <f>-BX130</f>
        <v>0</v>
      </c>
      <c r="BY286" s="3">
        <f>-BY130</f>
        <v>0</v>
      </c>
      <c r="BZ286" s="3">
        <f>SUM(BV286:BY286)</f>
        <v>0</v>
      </c>
      <c r="CA286" s="3">
        <f>-CA130</f>
        <v>0</v>
      </c>
      <c r="CB286" s="3">
        <f>-CB130</f>
        <v>0</v>
      </c>
      <c r="CC286" s="3">
        <f>-CC130</f>
        <v>0</v>
      </c>
      <c r="CD286" s="3">
        <f>-CD130</f>
        <v>0</v>
      </c>
      <c r="CE286" s="3">
        <f>SUM(CA286:CD286)</f>
        <v>0</v>
      </c>
      <c r="CF286" s="3">
        <f>-CF130</f>
        <v>0</v>
      </c>
      <c r="CG286" s="3">
        <f>-CG130</f>
        <v>0</v>
      </c>
      <c r="CH286" s="3">
        <f>-CH130</f>
        <v>0</v>
      </c>
      <c r="CI286" s="3">
        <f>-CI130</f>
        <v>0</v>
      </c>
      <c r="CJ286" s="3">
        <f>SUM(CF286:CI286)</f>
        <v>0</v>
      </c>
      <c r="CK286" s="3">
        <f>-CK130</f>
        <v>0</v>
      </c>
      <c r="CL286" s="3">
        <f>-CL130</f>
        <v>0</v>
      </c>
      <c r="CM286" s="3">
        <f>-CM130</f>
        <v>0</v>
      </c>
      <c r="CN286" s="3">
        <f>-CN130</f>
        <v>0</v>
      </c>
      <c r="CO286" s="3">
        <f>SUM(CK286:CN286)</f>
        <v>0</v>
      </c>
      <c r="CP286" s="3">
        <f>-CP130</f>
        <v>0</v>
      </c>
      <c r="CQ286" s="3">
        <f>-CQ130</f>
        <v>0</v>
      </c>
      <c r="CR286" s="3">
        <f>-CR130</f>
        <v>0</v>
      </c>
      <c r="CS286" s="3">
        <f>-CS130</f>
        <v>0</v>
      </c>
      <c r="CT286" s="3">
        <f>SUM(CP286:CS286)</f>
        <v>0</v>
      </c>
      <c r="CU286" s="3">
        <f>-CU130</f>
        <v>0</v>
      </c>
      <c r="CV286" s="3">
        <f>-CV130</f>
        <v>0</v>
      </c>
      <c r="CW286" s="3">
        <f>-CW130</f>
        <v>0</v>
      </c>
      <c r="CX286" s="3">
        <f>-CX130</f>
        <v>0</v>
      </c>
      <c r="CY286" s="3">
        <f>SUM(CU286:CX286)</f>
        <v>0</v>
      </c>
    </row>
    <row r="287">
      <c r="C287" s="26" t="inlineStr">
        <is>
          <t>Cash from operations</t>
        </is>
      </c>
      <c r="D287" s="3" t="n"/>
      <c r="E287" s="3">
        <f>SUM(E271,E272,E273,E284,E285,E286)</f>
        <v>404.204000000001</v>
      </c>
      <c r="F287" s="3">
        <f>SUM(F271,F272,F273,F284,F285,F286)</f>
        <v>1108.388</v>
      </c>
      <c r="G287" s="3">
        <f>SUM(G271,G272,G273,G284,G285,G286)</f>
        <v>317.787000000001</v>
      </c>
      <c r="H287" s="3">
        <f>SUM(H271,H272,H273,H284,H285,H286)</f>
        <v>1830.379</v>
      </c>
      <c r="I287" s="3">
        <f>SUM(I271,I272,I273,I284,I285,I286)</f>
        <v>1551.758</v>
      </c>
      <c r="J287" s="3">
        <f>SUM(J271,J272,J273,J284,J285,J286)</f>
        <v>1139.282</v>
      </c>
      <c r="K287" s="3">
        <f>SUM(K271,K272,K273,K284,K285,K286)</f>
        <v>1672.977</v>
      </c>
      <c r="L287" s="3">
        <f>SUM(L271,L272,L273,L284,L285,L286)</f>
        <v>957.868</v>
      </c>
      <c r="M287" s="3">
        <f>SUM(M271,M272,M273,M284,M285,M286)</f>
        <v>5321.885</v>
      </c>
      <c r="N287" s="3">
        <f>SUM(N271,N272,N273,N284,N285,N286)</f>
        <v>1575.514</v>
      </c>
      <c r="O287" s="3">
        <f>SUM(O271,O272,O273,O284,O285,O286)</f>
        <v>1352.562</v>
      </c>
      <c r="P287" s="3">
        <f>SUM(P271,P272,P273,P284,P285,P286)</f>
        <v>1067.491</v>
      </c>
      <c r="Q287" s="3">
        <f>SUM(Q271,Q272,Q273,Q284,Q285,Q286)</f>
        <v>-191.129999999999</v>
      </c>
      <c r="R287" s="3">
        <f>SUM(R271,R272,R273,R284,R285,R286)</f>
        <v>3804.437</v>
      </c>
      <c r="S287" s="3">
        <f>SUM(S271,S272,S273,S284,S285,S286)</f>
        <v>1934.29</v>
      </c>
      <c r="T287" s="3">
        <f>SUM(T271,T272,T273,T284,T285,T286)</f>
        <v>1662.278</v>
      </c>
      <c r="U287" s="3">
        <f>SUM(U271,U272,U273,U284,U285,U286)</f>
        <v>1448.087</v>
      </c>
      <c r="V287" s="3">
        <f>SUM(V271,V272,V273,V284,V285,V286)</f>
        <v>1677.893</v>
      </c>
      <c r="W287" s="3">
        <f>SUM(W271,W272,W273,W284,W285,W286)</f>
        <v>6722.548</v>
      </c>
      <c r="X287" s="3">
        <f>SUM(X271,X272,X273,X284,X285,X286)</f>
        <v>2353.586</v>
      </c>
      <c r="Y287" s="3">
        <f>SUM(Y271,Y272,Y273,Y284,Y285,Y286)</f>
        <v>1994.143</v>
      </c>
      <c r="Z287" s="3">
        <f>SUM(Z271,Z272,Z273,Z284,Z285,Z286)</f>
        <v>3045.664</v>
      </c>
      <c r="AA287" s="3">
        <f>SUM(AA271,AA272,AA273,AA284,AA285,AA286)</f>
        <v>1420.895</v>
      </c>
      <c r="AB287" s="3">
        <f>SUM(AB271,AB272,AB273,AB284,AB285,AB286)</f>
        <v>8814.288</v>
      </c>
      <c r="AC287" s="3">
        <f>SUM(AC271,AC272,AC273,AC284,AC285,AC286)</f>
        <v>2902.107</v>
      </c>
      <c r="AD287" s="3">
        <f>SUM(AD271,AD272,AD273,AD284,AD285,AD286)</f>
        <v>3159.179</v>
      </c>
      <c r="AE287" s="3">
        <f>SUM(AE271,AE272,AE273,AE284,AE285,AE286)</f>
        <v>3387.809</v>
      </c>
      <c r="AF287" s="3">
        <f>SUM(AF271,AF272,AF273,AF284,AF285,AF286)</f>
        <v>2435.421</v>
      </c>
      <c r="AG287" s="3">
        <f>SUM(AG271,AG272,AG273,AG284,AG285,AG286)</f>
        <v>11884.516</v>
      </c>
      <c r="AH287" s="3">
        <f>SUM(AH271,AH272,AH273,AH284,AH285,AH286)</f>
        <v>5706.994</v>
      </c>
      <c r="AI287" s="3">
        <f>SUM(AI271,AI272,AI273,AI284,AI285,AI286)</f>
        <v>2077.83</v>
      </c>
      <c r="AJ287" s="3">
        <f>SUM(AJ271,AJ272,AJ273,AJ284,AJ285,AJ286)</f>
        <v>-1134.996</v>
      </c>
      <c r="AK287" s="3">
        <f>SUM(AK271,AK272,AK273,AK284,AK285,AK286)</f>
        <v>51.661</v>
      </c>
      <c r="AL287" s="3">
        <f>SUM(AL271,AL272,AL273,AL284,AL285,AL286)</f>
        <v>6701.489</v>
      </c>
      <c r="AM287" s="3" t="e">
        <f>SUM(AM271,AM272,AM273,AM284,AM285,AM286)</f>
        <v>#DIV/0!</v>
      </c>
      <c r="AN287" s="3" t="e">
        <f>SUM(AN271,AN272,AN273,AN284,AN285,AN286)</f>
        <v>#DIV/0!</v>
      </c>
      <c r="AO287" s="3" t="e">
        <f>SUM(AO271,AO272,AO273,AO284,AO285,AO286)</f>
        <v>#DIV/0!</v>
      </c>
      <c r="AP287" s="3" t="e">
        <f>SUM(AP271,AP272,AP273,AP284,AP285,AP286)</f>
        <v>#DIV/0!</v>
      </c>
      <c r="AQ287" s="3" t="e">
        <f>SUM(AQ271,AQ272,AQ273,AQ284,AQ285,AQ286)</f>
        <v>#DIV/0!</v>
      </c>
      <c r="AR287" s="3" t="e">
        <f>SUM(AR271,AR272,AR273,AR284,AR285,AR286)</f>
        <v>#DIV/0!</v>
      </c>
      <c r="AS287" s="3" t="e">
        <f>SUM(AS271,AS272,AS273,AS284,AS285,AS286)</f>
        <v>#DIV/0!</v>
      </c>
      <c r="AT287" s="3" t="e">
        <f>SUM(AT271,AT272,AT273,AT284,AT285,AT286)</f>
        <v>#DIV/0!</v>
      </c>
      <c r="AU287" s="3" t="e">
        <f>SUM(AU271,AU272,AU273,AU284,AU285,AU286)</f>
        <v>#DIV/0!</v>
      </c>
      <c r="AV287" s="3" t="e">
        <f>SUM(AV271,AV272,AV273,AV284,AV285,AV286)</f>
        <v>#DIV/0!</v>
      </c>
      <c r="AW287" s="3" t="e">
        <f>SUM(AW271,AW272,AW273,AW284,AW285,AW286)</f>
        <v>#DIV/0!</v>
      </c>
      <c r="AX287" s="3" t="e">
        <f>SUM(AX271,AX272,AX273,AX284,AX285,AX286)</f>
        <v>#DIV/0!</v>
      </c>
      <c r="AY287" s="3" t="e">
        <f>SUM(AY271,AY272,AY273,AY284,AY285,AY286)</f>
        <v>#DIV/0!</v>
      </c>
      <c r="AZ287" s="3" t="e">
        <f>SUM(AZ271,AZ272,AZ273,AZ284,AZ285,AZ286)</f>
        <v>#DIV/0!</v>
      </c>
      <c r="BA287" s="3" t="e">
        <f>SUM(BA271,BA272,BA273,BA284,BA285,BA286)</f>
        <v>#DIV/0!</v>
      </c>
      <c r="BB287" s="3" t="e">
        <f>SUM(BB271,BB272,BB273,BB284,BB285,BB286)</f>
        <v>#DIV/0!</v>
      </c>
      <c r="BC287" s="3" t="e">
        <f>SUM(BC271,BC272,BC273,BC284,BC285,BC286)</f>
        <v>#DIV/0!</v>
      </c>
      <c r="BD287" s="3" t="e">
        <f>SUM(BD271,BD272,BD273,BD284,BD285,BD286)</f>
        <v>#DIV/0!</v>
      </c>
      <c r="BE287" s="3" t="e">
        <f>SUM(BE271,BE272,BE273,BE284,BE285,BE286)</f>
        <v>#DIV/0!</v>
      </c>
      <c r="BF287" s="3" t="e">
        <f>SUM(BF271,BF272,BF273,BF284,BF285,BF286)</f>
        <v>#DIV/0!</v>
      </c>
      <c r="BG287" s="3" t="e">
        <f>SUM(BG271,BG272,BG273,BG284,BG285,BG286)</f>
        <v>#DIV/0!</v>
      </c>
      <c r="BH287" s="3" t="e">
        <f>SUM(BH271,BH272,BH273,BH284,BH285,BH286)</f>
        <v>#DIV/0!</v>
      </c>
      <c r="BI287" s="3" t="e">
        <f>SUM(BI271,BI272,BI273,BI284,BI285,BI286)</f>
        <v>#DIV/0!</v>
      </c>
      <c r="BJ287" s="3" t="e">
        <f>SUM(BJ271,BJ272,BJ273,BJ284,BJ285,BJ286)</f>
        <v>#DIV/0!</v>
      </c>
      <c r="BK287" s="3" t="e">
        <f>SUM(BK271,BK272,BK273,BK284,BK285,BK286)</f>
        <v>#DIV/0!</v>
      </c>
      <c r="BL287" s="3" t="e">
        <f>SUM(BL271,BL272,BL273,BL284,BL285,BL286)</f>
        <v>#DIV/0!</v>
      </c>
      <c r="BM287" s="3" t="e">
        <f>SUM(BM271,BM272,BM273,BM284,BM285,BM286)</f>
        <v>#DIV/0!</v>
      </c>
      <c r="BN287" s="3" t="e">
        <f>SUM(BN271,BN272,BN273,BN284,BN285,BN286)</f>
        <v>#DIV/0!</v>
      </c>
      <c r="BO287" s="3" t="e">
        <f>SUM(BO271,BO272,BO273,BO284,BO285,BO286)</f>
        <v>#DIV/0!</v>
      </c>
      <c r="BP287" s="3" t="e">
        <f>SUM(BP271,BP272,BP273,BP284,BP285,BP286)</f>
        <v>#DIV/0!</v>
      </c>
      <c r="BQ287" s="3" t="e">
        <f>SUM(BQ271,BQ272,BQ273,BQ284,BQ285,BQ286)</f>
        <v>#DIV/0!</v>
      </c>
      <c r="BR287" s="3" t="e">
        <f>SUM(BR271,BR272,BR273,BR284,BR285,BR286)</f>
        <v>#DIV/0!</v>
      </c>
      <c r="BS287" s="3" t="e">
        <f>SUM(BS271,BS272,BS273,BS284,BS285,BS286)</f>
        <v>#DIV/0!</v>
      </c>
      <c r="BT287" s="3" t="e">
        <f>SUM(BT271,BT272,BT273,BT284,BT285,BT286)</f>
        <v>#DIV/0!</v>
      </c>
      <c r="BU287" s="3" t="e">
        <f>SUM(BU271,BU272,BU273,BU284,BU285,BU286)</f>
        <v>#DIV/0!</v>
      </c>
      <c r="BV287" s="3" t="e">
        <f>SUM(BV271,BV272,BV273,BV284,BV285,BV286)</f>
        <v>#DIV/0!</v>
      </c>
      <c r="BW287" s="3" t="e">
        <f>SUM(BW271,BW272,BW273,BW284,BW285,BW286)</f>
        <v>#DIV/0!</v>
      </c>
      <c r="BX287" s="3" t="e">
        <f>SUM(BX271,BX272,BX273,BX284,BX285,BX286)</f>
        <v>#DIV/0!</v>
      </c>
      <c r="BY287" s="3" t="e">
        <f>SUM(BY271,BY272,BY273,BY284,BY285,BY286)</f>
        <v>#DIV/0!</v>
      </c>
      <c r="BZ287" s="3" t="e">
        <f>SUM(BZ271,BZ272,BZ273,BZ284,BZ285,BZ286)</f>
        <v>#DIV/0!</v>
      </c>
      <c r="CA287" s="3" t="e">
        <f>SUM(CA271,CA272,CA273,CA284,CA285,CA286)</f>
        <v>#DIV/0!</v>
      </c>
      <c r="CB287" s="3" t="e">
        <f>SUM(CB271,CB272,CB273,CB284,CB285,CB286)</f>
        <v>#DIV/0!</v>
      </c>
      <c r="CC287" s="3" t="e">
        <f>SUM(CC271,CC272,CC273,CC284,CC285,CC286)</f>
        <v>#DIV/0!</v>
      </c>
      <c r="CD287" s="3" t="e">
        <f>SUM(CD271,CD272,CD273,CD284,CD285,CD286)</f>
        <v>#DIV/0!</v>
      </c>
      <c r="CE287" s="3" t="e">
        <f>SUM(CE271,CE272,CE273,CE284,CE285,CE286)</f>
        <v>#DIV/0!</v>
      </c>
      <c r="CF287" s="3" t="e">
        <f>SUM(CF271,CF272,CF273,CF284,CF285,CF286)</f>
        <v>#DIV/0!</v>
      </c>
      <c r="CG287" s="3" t="e">
        <f>SUM(CG271,CG272,CG273,CG284,CG285,CG286)</f>
        <v>#DIV/0!</v>
      </c>
      <c r="CH287" s="3" t="e">
        <f>SUM(CH271,CH272,CH273,CH284,CH285,CH286)</f>
        <v>#DIV/0!</v>
      </c>
      <c r="CI287" s="3" t="e">
        <f>SUM(CI271,CI272,CI273,CI284,CI285,CI286)</f>
        <v>#DIV/0!</v>
      </c>
      <c r="CJ287" s="3" t="e">
        <f>SUM(CJ271,CJ272,CJ273,CJ284,CJ285,CJ286)</f>
        <v>#DIV/0!</v>
      </c>
      <c r="CK287" s="3" t="e">
        <f>SUM(CK271,CK272,CK273,CK284,CK285,CK286)</f>
        <v>#DIV/0!</v>
      </c>
      <c r="CL287" s="3" t="e">
        <f>SUM(CL271,CL272,CL273,CL284,CL285,CL286)</f>
        <v>#DIV/0!</v>
      </c>
      <c r="CM287" s="3" t="e">
        <f>SUM(CM271,CM272,CM273,CM284,CM285,CM286)</f>
        <v>#DIV/0!</v>
      </c>
      <c r="CN287" s="3" t="e">
        <f>SUM(CN271,CN272,CN273,CN284,CN285,CN286)</f>
        <v>#DIV/0!</v>
      </c>
      <c r="CO287" s="3" t="e">
        <f>SUM(CO271,CO272,CO273,CO284,CO285,CO286)</f>
        <v>#DIV/0!</v>
      </c>
      <c r="CP287" s="3" t="e">
        <f>SUM(CP271,CP272,CP273,CP284,CP285,CP286)</f>
        <v>#DIV/0!</v>
      </c>
      <c r="CQ287" s="3" t="e">
        <f>SUM(CQ271,CQ272,CQ273,CQ284,CQ285,CQ286)</f>
        <v>#DIV/0!</v>
      </c>
      <c r="CR287" s="3" t="e">
        <f>SUM(CR271,CR272,CR273,CR284,CR285,CR286)</f>
        <v>#DIV/0!</v>
      </c>
      <c r="CS287" s="3" t="e">
        <f>SUM(CS271,CS272,CS273,CS284,CS285,CS286)</f>
        <v>#DIV/0!</v>
      </c>
      <c r="CT287" s="3" t="e">
        <f>SUM(CT271,CT272,CT273,CT284,CT285,CT286)</f>
        <v>#DIV/0!</v>
      </c>
      <c r="CU287" s="3" t="e">
        <f>SUM(CU271,CU272,CU273,CU284,CU285,CU286)</f>
        <v>#DIV/0!</v>
      </c>
      <c r="CV287" s="3" t="e">
        <f>SUM(CV271,CV272,CV273,CV284,CV285,CV286)</f>
        <v>#DIV/0!</v>
      </c>
      <c r="CW287" s="3" t="e">
        <f>SUM(CW271,CW272,CW273,CW284,CW285,CW286)</f>
        <v>#DIV/0!</v>
      </c>
      <c r="CX287" s="3" t="e">
        <f>SUM(CX271,CX272,CX273,CX284,CX285,CX286)</f>
        <v>#DIV/0!</v>
      </c>
      <c r="CY287" s="3" t="e">
        <f>SUM(CY271,CY272,CY273,CY284,CY285,CY286)</f>
        <v>#DIV/0!</v>
      </c>
    </row>
    <row r="288">
      <c r="C288" s="26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  <c r="CU288" s="3" t="n"/>
      <c r="CV288" s="3" t="n"/>
      <c r="CW288" s="3" t="n"/>
      <c r="CX288" s="3" t="n"/>
      <c r="CY288" s="3" t="n"/>
    </row>
    <row r="289">
      <c r="C289" s="29" t="inlineStr">
        <is>
          <t>Purchase of fixed assets (capital expenditures)</t>
        </is>
      </c>
      <c r="D289" s="3" t="n"/>
      <c r="E289" s="3">
        <f>-E162</f>
        <v>-128.147</v>
      </c>
      <c r="F289" s="3">
        <f>-F162</f>
        <v>-104.766</v>
      </c>
      <c r="G289" s="3">
        <f>-G162</f>
        <v>-164.008</v>
      </c>
      <c r="H289" s="3">
        <f>SUM(D289:G289)</f>
        <v>-396.921</v>
      </c>
      <c r="I289" s="3">
        <f>-I162</f>
        <v>-90.977</v>
      </c>
      <c r="J289" s="3">
        <f>-J162</f>
        <v>-130.452</v>
      </c>
      <c r="K289" s="3">
        <f>-K162</f>
        <v>-182.93</v>
      </c>
      <c r="L289" s="3">
        <f>-L162</f>
        <v>-167.323</v>
      </c>
      <c r="M289" s="3">
        <f>SUM(I289:L289)</f>
        <v>-571.682</v>
      </c>
      <c r="N289" s="3">
        <f>-N162</f>
        <v>-134.912</v>
      </c>
      <c r="O289" s="3">
        <f>-O162</f>
        <v>-61.6619999999999</v>
      </c>
      <c r="P289" s="3">
        <f>-P162</f>
        <v>-96.0220000000001</v>
      </c>
      <c r="Q289" s="3">
        <f>-Q162</f>
        <v>-118.89</v>
      </c>
      <c r="R289" s="3">
        <f>SUM(N289:Q289)</f>
        <v>-411.486</v>
      </c>
      <c r="S289" s="3">
        <f>-S162</f>
        <v>-105.172</v>
      </c>
      <c r="T289" s="3">
        <f>-T162</f>
        <v>-148.259</v>
      </c>
      <c r="U289" s="3">
        <f>-U162</f>
        <v>-117.083</v>
      </c>
      <c r="V289" s="3">
        <f>-V162</f>
        <v>-79.6200000000001</v>
      </c>
      <c r="W289" s="3">
        <f>SUM(S289:V289)</f>
        <v>-450.134</v>
      </c>
      <c r="X289" s="3">
        <f>-X162</f>
        <v>-96.9579999999999</v>
      </c>
      <c r="Y289" s="3">
        <f>-Y162</f>
        <v>-91.017</v>
      </c>
      <c r="Z289" s="3">
        <f>-Z162</f>
        <v>-138.168</v>
      </c>
      <c r="AA289" s="3">
        <f>-AA162</f>
        <v>-105.083</v>
      </c>
      <c r="AB289" s="3">
        <f>SUM(X289:AA289)</f>
        <v>-431.226</v>
      </c>
      <c r="AC289" s="3">
        <f>-AC162</f>
        <v>-130.657</v>
      </c>
      <c r="AD289" s="3">
        <f>-AD162</f>
        <v>-179.233</v>
      </c>
      <c r="AE289" s="3">
        <f>-AE162</f>
        <v>-181.649</v>
      </c>
      <c r="AF289" s="3">
        <f>-AF162</f>
        <v>-252.444</v>
      </c>
      <c r="AG289" s="3">
        <f>SUM(AC289:AF289)</f>
        <v>-743.983</v>
      </c>
      <c r="AH289" s="3">
        <f>-AH162</f>
        <v>-242.054</v>
      </c>
      <c r="AI289" s="3">
        <f>-AI162</f>
        <v>-351.549</v>
      </c>
      <c r="AJ289" s="3">
        <f>-AJ162</f>
        <v>0</v>
      </c>
      <c r="AK289" s="3">
        <f>-AK162</f>
        <v>0</v>
      </c>
      <c r="AL289" s="3">
        <f>SUM(AH289:AK289)</f>
        <v>-593.603</v>
      </c>
      <c r="AM289" s="3">
        <f>-AM162</f>
        <v>0</v>
      </c>
      <c r="AN289" s="3">
        <f>-AN162</f>
        <v>0</v>
      </c>
      <c r="AO289" s="3">
        <f>-AO162</f>
        <v>0</v>
      </c>
      <c r="AP289" s="3">
        <f>-AP162</f>
        <v>0</v>
      </c>
      <c r="AQ289" s="3">
        <f>SUM(AM289:AP289)</f>
        <v>0</v>
      </c>
      <c r="AR289" s="3">
        <f>-AR162</f>
        <v>0</v>
      </c>
      <c r="AS289" s="3">
        <f>-AS162</f>
        <v>0</v>
      </c>
      <c r="AT289" s="3">
        <f>-AT162</f>
        <v>0</v>
      </c>
      <c r="AU289" s="3">
        <f>-AU162</f>
        <v>0</v>
      </c>
      <c r="AV289" s="3">
        <f>SUM(AR289:AU289)</f>
        <v>0</v>
      </c>
      <c r="AW289" s="3">
        <f>-AW162</f>
        <v>0</v>
      </c>
      <c r="AX289" s="3">
        <f>-AX162</f>
        <v>0</v>
      </c>
      <c r="AY289" s="3">
        <f>-AY162</f>
        <v>0</v>
      </c>
      <c r="AZ289" s="3">
        <f>-AZ162</f>
        <v>0</v>
      </c>
      <c r="BA289" s="3">
        <f>SUM(AW289:AZ289)</f>
        <v>0</v>
      </c>
      <c r="BB289" s="3">
        <f>-BB162</f>
        <v>0</v>
      </c>
      <c r="BC289" s="3">
        <f>-BC162</f>
        <v>0</v>
      </c>
      <c r="BD289" s="3">
        <f>-BD162</f>
        <v>0</v>
      </c>
      <c r="BE289" s="3">
        <f>-BE162</f>
        <v>0</v>
      </c>
      <c r="BF289" s="3">
        <f>SUM(BB289:BE289)</f>
        <v>0</v>
      </c>
      <c r="BG289" s="3">
        <f>-BG162</f>
        <v>0</v>
      </c>
      <c r="BH289" s="3">
        <f>-BH162</f>
        <v>0</v>
      </c>
      <c r="BI289" s="3">
        <f>-BI162</f>
        <v>0</v>
      </c>
      <c r="BJ289" s="3">
        <f>-BJ162</f>
        <v>0</v>
      </c>
      <c r="BK289" s="3">
        <f>SUM(BG289:BJ289)</f>
        <v>0</v>
      </c>
      <c r="BL289" s="3">
        <f>-BL162</f>
        <v>0</v>
      </c>
      <c r="BM289" s="3">
        <f>-BM162</f>
        <v>0</v>
      </c>
      <c r="BN289" s="3">
        <f>-BN162</f>
        <v>0</v>
      </c>
      <c r="BO289" s="3">
        <f>-BO162</f>
        <v>0</v>
      </c>
      <c r="BP289" s="3">
        <f>SUM(BL289:BO289)</f>
        <v>0</v>
      </c>
      <c r="BQ289" s="3">
        <f>-BQ162</f>
        <v>0</v>
      </c>
      <c r="BR289" s="3">
        <f>-BR162</f>
        <v>0</v>
      </c>
      <c r="BS289" s="3">
        <f>-BS162</f>
        <v>0</v>
      </c>
      <c r="BT289" s="3">
        <f>-BT162</f>
        <v>0</v>
      </c>
      <c r="BU289" s="3">
        <f>SUM(BQ289:BT289)</f>
        <v>0</v>
      </c>
      <c r="BV289" s="3">
        <f>-BV162</f>
        <v>0</v>
      </c>
      <c r="BW289" s="3">
        <f>-BW162</f>
        <v>0</v>
      </c>
      <c r="BX289" s="3">
        <f>-BX162</f>
        <v>0</v>
      </c>
      <c r="BY289" s="3">
        <f>-BY162</f>
        <v>0</v>
      </c>
      <c r="BZ289" s="3">
        <f>SUM(BV289:BY289)</f>
        <v>0</v>
      </c>
      <c r="CA289" s="3">
        <f>-CA162</f>
        <v>0</v>
      </c>
      <c r="CB289" s="3">
        <f>-CB162</f>
        <v>0</v>
      </c>
      <c r="CC289" s="3">
        <f>-CC162</f>
        <v>0</v>
      </c>
      <c r="CD289" s="3">
        <f>-CD162</f>
        <v>0</v>
      </c>
      <c r="CE289" s="3">
        <f>SUM(CA289:CD289)</f>
        <v>0</v>
      </c>
      <c r="CF289" s="3">
        <f>-CF162</f>
        <v>0</v>
      </c>
      <c r="CG289" s="3">
        <f>-CG162</f>
        <v>0</v>
      </c>
      <c r="CH289" s="3">
        <f>-CH162</f>
        <v>0</v>
      </c>
      <c r="CI289" s="3">
        <f>-CI162</f>
        <v>0</v>
      </c>
      <c r="CJ289" s="3">
        <f>SUM(CF289:CI289)</f>
        <v>0</v>
      </c>
      <c r="CK289" s="3">
        <f>-CK162</f>
        <v>0</v>
      </c>
      <c r="CL289" s="3">
        <f>-CL162</f>
        <v>0</v>
      </c>
      <c r="CM289" s="3">
        <f>-CM162</f>
        <v>0</v>
      </c>
      <c r="CN289" s="3">
        <f>-CN162</f>
        <v>0</v>
      </c>
      <c r="CO289" s="3">
        <f>SUM(CK289:CN289)</f>
        <v>0</v>
      </c>
      <c r="CP289" s="3">
        <f>-CP162</f>
        <v>0</v>
      </c>
      <c r="CQ289" s="3">
        <f>-CQ162</f>
        <v>0</v>
      </c>
      <c r="CR289" s="3">
        <f>-CR162</f>
        <v>0</v>
      </c>
      <c r="CS289" s="3">
        <f>-CS162</f>
        <v>0</v>
      </c>
      <c r="CT289" s="3">
        <f>SUM(CP289:CS289)</f>
        <v>0</v>
      </c>
      <c r="CU289" s="3">
        <f>-CU162</f>
        <v>0</v>
      </c>
      <c r="CV289" s="3">
        <f>-CV162</f>
        <v>0</v>
      </c>
      <c r="CW289" s="3">
        <f>-CW162</f>
        <v>0</v>
      </c>
      <c r="CX289" s="3">
        <f>-CX162</f>
        <v>0</v>
      </c>
      <c r="CY289" s="3">
        <f>SUM(CU289:CX289)</f>
        <v>0</v>
      </c>
    </row>
    <row r="290">
      <c r="C290" s="29" t="inlineStr">
        <is>
          <t>Proceeds from sale of fixed assets</t>
        </is>
      </c>
      <c r="D290" s="3" t="n"/>
      <c r="E290" s="3">
        <f>-E163</f>
        <v>0</v>
      </c>
      <c r="F290" s="3">
        <f>-F163</f>
        <v>0</v>
      </c>
      <c r="G290" s="3">
        <f>-G163</f>
        <v>0</v>
      </c>
      <c r="H290" s="3">
        <f>SUM(D290:G290)</f>
        <v>0</v>
      </c>
      <c r="I290" s="3">
        <f>-I163</f>
        <v>0</v>
      </c>
      <c r="J290" s="3">
        <f>-J163</f>
        <v>0</v>
      </c>
      <c r="K290" s="3">
        <f>-K163</f>
        <v>0</v>
      </c>
      <c r="L290" s="3">
        <f>-L163</f>
        <v>0</v>
      </c>
      <c r="M290" s="3">
        <f>SUM(I290:L290)</f>
        <v>0</v>
      </c>
      <c r="N290" s="3">
        <f>-N163</f>
        <v>0</v>
      </c>
      <c r="O290" s="3">
        <f>-O163</f>
        <v>0</v>
      </c>
      <c r="P290" s="3">
        <f>-P163</f>
        <v>0</v>
      </c>
      <c r="Q290" s="3">
        <f>-Q163</f>
        <v>0</v>
      </c>
      <c r="R290" s="3">
        <f>SUM(N290:Q290)</f>
        <v>0</v>
      </c>
      <c r="S290" s="3">
        <f>-S163</f>
        <v>0</v>
      </c>
      <c r="T290" s="3">
        <f>-T163</f>
        <v>0</v>
      </c>
      <c r="U290" s="3">
        <f>-U163</f>
        <v>0</v>
      </c>
      <c r="V290" s="3">
        <f>-V163</f>
        <v>0</v>
      </c>
      <c r="W290" s="3">
        <f>SUM(S290:V290)</f>
        <v>0</v>
      </c>
      <c r="X290" s="3">
        <f>-X163</f>
        <v>0</v>
      </c>
      <c r="Y290" s="3">
        <f>-Y163</f>
        <v>0</v>
      </c>
      <c r="Z290" s="3">
        <f>-Z163</f>
        <v>0</v>
      </c>
      <c r="AA290" s="3">
        <f>-AA163</f>
        <v>0</v>
      </c>
      <c r="AB290" s="3">
        <f>SUM(X290:AA290)</f>
        <v>0</v>
      </c>
      <c r="AC290" s="3">
        <f>-AC163</f>
        <v>0</v>
      </c>
      <c r="AD290" s="3">
        <f>-AD163</f>
        <v>0</v>
      </c>
      <c r="AE290" s="3">
        <f>-AE163</f>
        <v>0</v>
      </c>
      <c r="AF290" s="3">
        <f>-AF163</f>
        <v>0</v>
      </c>
      <c r="AG290" s="3">
        <f>SUM(AC290:AF290)</f>
        <v>0</v>
      </c>
      <c r="AH290" s="3">
        <f>-AH163</f>
        <v>0</v>
      </c>
      <c r="AI290" s="3">
        <f>-AI163</f>
        <v>0</v>
      </c>
      <c r="AJ290" s="3">
        <f>-AJ163</f>
        <v>0</v>
      </c>
      <c r="AK290" s="3">
        <f>-AK163</f>
        <v>0</v>
      </c>
      <c r="AL290" s="3">
        <f>SUM(AH290:AK290)</f>
        <v>0</v>
      </c>
      <c r="AM290" s="3">
        <f>-AM163</f>
        <v>0</v>
      </c>
      <c r="AN290" s="3">
        <f>-AN163</f>
        <v>0</v>
      </c>
      <c r="AO290" s="3">
        <f>-AO163</f>
        <v>0</v>
      </c>
      <c r="AP290" s="3">
        <f>-AP163</f>
        <v>0</v>
      </c>
      <c r="AQ290" s="3">
        <f>SUM(AM290:AP290)</f>
        <v>0</v>
      </c>
      <c r="AR290" s="3">
        <f>-AR163</f>
        <v>0</v>
      </c>
      <c r="AS290" s="3">
        <f>-AS163</f>
        <v>0</v>
      </c>
      <c r="AT290" s="3">
        <f>-AT163</f>
        <v>0</v>
      </c>
      <c r="AU290" s="3">
        <f>-AU163</f>
        <v>0</v>
      </c>
      <c r="AV290" s="3">
        <f>SUM(AR290:AU290)</f>
        <v>0</v>
      </c>
      <c r="AW290" s="3">
        <f>-AW163</f>
        <v>0</v>
      </c>
      <c r="AX290" s="3">
        <f>-AX163</f>
        <v>0</v>
      </c>
      <c r="AY290" s="3">
        <f>-AY163</f>
        <v>0</v>
      </c>
      <c r="AZ290" s="3">
        <f>-AZ163</f>
        <v>0</v>
      </c>
      <c r="BA290" s="3">
        <f>SUM(AW290:AZ290)</f>
        <v>0</v>
      </c>
      <c r="BB290" s="3">
        <f>-BB163</f>
        <v>0</v>
      </c>
      <c r="BC290" s="3">
        <f>-BC163</f>
        <v>0</v>
      </c>
      <c r="BD290" s="3">
        <f>-BD163</f>
        <v>0</v>
      </c>
      <c r="BE290" s="3">
        <f>-BE163</f>
        <v>0</v>
      </c>
      <c r="BF290" s="3">
        <f>SUM(BB290:BE290)</f>
        <v>0</v>
      </c>
      <c r="BG290" s="3">
        <f>-BG163</f>
        <v>0</v>
      </c>
      <c r="BH290" s="3">
        <f>-BH163</f>
        <v>0</v>
      </c>
      <c r="BI290" s="3">
        <f>-BI163</f>
        <v>0</v>
      </c>
      <c r="BJ290" s="3">
        <f>-BJ163</f>
        <v>0</v>
      </c>
      <c r="BK290" s="3">
        <f>SUM(BG290:BJ290)</f>
        <v>0</v>
      </c>
      <c r="BL290" s="3">
        <f>-BL163</f>
        <v>0</v>
      </c>
      <c r="BM290" s="3">
        <f>-BM163</f>
        <v>0</v>
      </c>
      <c r="BN290" s="3">
        <f>-BN163</f>
        <v>0</v>
      </c>
      <c r="BO290" s="3">
        <f>-BO163</f>
        <v>0</v>
      </c>
      <c r="BP290" s="3">
        <f>SUM(BL290:BO290)</f>
        <v>0</v>
      </c>
      <c r="BQ290" s="3">
        <f>-BQ163</f>
        <v>0</v>
      </c>
      <c r="BR290" s="3">
        <f>-BR163</f>
        <v>0</v>
      </c>
      <c r="BS290" s="3">
        <f>-BS163</f>
        <v>0</v>
      </c>
      <c r="BT290" s="3">
        <f>-BT163</f>
        <v>0</v>
      </c>
      <c r="BU290" s="3">
        <f>SUM(BQ290:BT290)</f>
        <v>0</v>
      </c>
      <c r="BV290" s="3">
        <f>-BV163</f>
        <v>0</v>
      </c>
      <c r="BW290" s="3">
        <f>-BW163</f>
        <v>0</v>
      </c>
      <c r="BX290" s="3">
        <f>-BX163</f>
        <v>0</v>
      </c>
      <c r="BY290" s="3">
        <f>-BY163</f>
        <v>0</v>
      </c>
      <c r="BZ290" s="3">
        <f>SUM(BV290:BY290)</f>
        <v>0</v>
      </c>
      <c r="CA290" s="3">
        <f>-CA163</f>
        <v>0</v>
      </c>
      <c r="CB290" s="3">
        <f>-CB163</f>
        <v>0</v>
      </c>
      <c r="CC290" s="3">
        <f>-CC163</f>
        <v>0</v>
      </c>
      <c r="CD290" s="3">
        <f>-CD163</f>
        <v>0</v>
      </c>
      <c r="CE290" s="3">
        <f>SUM(CA290:CD290)</f>
        <v>0</v>
      </c>
      <c r="CF290" s="3">
        <f>-CF163</f>
        <v>0</v>
      </c>
      <c r="CG290" s="3">
        <f>-CG163</f>
        <v>0</v>
      </c>
      <c r="CH290" s="3">
        <f>-CH163</f>
        <v>0</v>
      </c>
      <c r="CI290" s="3">
        <f>-CI163</f>
        <v>0</v>
      </c>
      <c r="CJ290" s="3">
        <f>SUM(CF290:CI290)</f>
        <v>0</v>
      </c>
      <c r="CK290" s="3">
        <f>-CK163</f>
        <v>0</v>
      </c>
      <c r="CL290" s="3">
        <f>-CL163</f>
        <v>0</v>
      </c>
      <c r="CM290" s="3">
        <f>-CM163</f>
        <v>0</v>
      </c>
      <c r="CN290" s="3">
        <f>-CN163</f>
        <v>0</v>
      </c>
      <c r="CO290" s="3">
        <f>SUM(CK290:CN290)</f>
        <v>0</v>
      </c>
      <c r="CP290" s="3">
        <f>-CP163</f>
        <v>0</v>
      </c>
      <c r="CQ290" s="3">
        <f>-CQ163</f>
        <v>0</v>
      </c>
      <c r="CR290" s="3">
        <f>-CR163</f>
        <v>0</v>
      </c>
      <c r="CS290" s="3">
        <f>-CS163</f>
        <v>0</v>
      </c>
      <c r="CT290" s="3">
        <f>SUM(CP290:CS290)</f>
        <v>0</v>
      </c>
      <c r="CU290" s="3">
        <f>-CU163</f>
        <v>0</v>
      </c>
      <c r="CV290" s="3">
        <f>-CV163</f>
        <v>0</v>
      </c>
      <c r="CW290" s="3">
        <f>-CW163</f>
        <v>0</v>
      </c>
      <c r="CX290" s="3">
        <f>-CX163</f>
        <v>0</v>
      </c>
      <c r="CY290" s="3">
        <f>SUM(CU290:CX290)</f>
        <v>0</v>
      </c>
    </row>
    <row r="291">
      <c r="C291" s="29" t="inlineStr">
        <is>
          <t>Var.Right-of-use-assets</t>
        </is>
      </c>
      <c r="D291" s="3" t="n"/>
      <c r="E291" s="3">
        <f>(E170-D170)*-1</f>
        <v>0</v>
      </c>
      <c r="F291" s="3">
        <f>(F170-E170)*-1</f>
        <v>0</v>
      </c>
      <c r="G291" s="3">
        <f>(G170-F170)*-1</f>
        <v>0</v>
      </c>
      <c r="H291" s="3">
        <f>SUM(D291:G291)</f>
        <v>0</v>
      </c>
      <c r="I291" s="3">
        <f>(I170-H170)*-1</f>
        <v>0</v>
      </c>
      <c r="J291" s="3">
        <f>(J170-I170)*-1</f>
        <v>0</v>
      </c>
      <c r="K291" s="3">
        <f>(K170-J170)*-1</f>
        <v>0</v>
      </c>
      <c r="L291" s="3">
        <f>(L170-K170)*-1</f>
        <v>0</v>
      </c>
      <c r="M291" s="3">
        <f>SUM(I291:L291)</f>
        <v>0</v>
      </c>
      <c r="N291" s="3">
        <f>(N170-M170)*-1</f>
        <v>0</v>
      </c>
      <c r="O291" s="3">
        <f>(O170-N170)*-1</f>
        <v>0</v>
      </c>
      <c r="P291" s="3">
        <f>(P170-O170)*-1</f>
        <v>0</v>
      </c>
      <c r="Q291" s="3">
        <f>(Q170-P170)*-1</f>
        <v>0</v>
      </c>
      <c r="R291" s="3">
        <f>SUM(N291:Q291)</f>
        <v>0</v>
      </c>
      <c r="S291" s="3">
        <f>(S170-R170)*-1</f>
        <v>0</v>
      </c>
      <c r="T291" s="3">
        <f>(T170-S170)*-1</f>
        <v>0</v>
      </c>
      <c r="U291" s="3">
        <f>(U170-T170)*-1</f>
        <v>0</v>
      </c>
      <c r="V291" s="3">
        <f>(V170-U170)*-1</f>
        <v>0</v>
      </c>
      <c r="W291" s="3">
        <f>SUM(S291:V291)</f>
        <v>0</v>
      </c>
      <c r="X291" s="3">
        <f>(X170-W170)*-1</f>
        <v>0</v>
      </c>
      <c r="Y291" s="3">
        <f>(Y170-X170)*-1</f>
        <v>0</v>
      </c>
      <c r="Z291" s="3">
        <f>(Z170-Y170)*-1</f>
        <v>0</v>
      </c>
      <c r="AA291" s="3">
        <f>(AA170-Z170)*-1</f>
        <v>0</v>
      </c>
      <c r="AB291" s="3">
        <f>SUM(X291:AA291)</f>
        <v>0</v>
      </c>
      <c r="AC291" s="3">
        <f>(AC170-AB170)*-1</f>
        <v>0</v>
      </c>
      <c r="AD291" s="3">
        <f>(AD170-AC170)*-1</f>
        <v>0</v>
      </c>
      <c r="AE291" s="3">
        <f>(AE170-AD170)*-1</f>
        <v>0</v>
      </c>
      <c r="AF291" s="3">
        <f>(AF170-AE170)*-1</f>
        <v>0</v>
      </c>
      <c r="AG291" s="3">
        <f>SUM(AC291:AF291)</f>
        <v>0</v>
      </c>
      <c r="AH291" s="3">
        <f>(AH170-AG170)*-1</f>
        <v>0</v>
      </c>
      <c r="AI291" s="3">
        <f>(AI170-AH170)*-1</f>
        <v>0</v>
      </c>
      <c r="AJ291" s="3">
        <f>(AJ170-AI170)*-1</f>
        <v>0</v>
      </c>
      <c r="AK291" s="3">
        <f>(AK170-AJ170)*-1</f>
        <v>0</v>
      </c>
      <c r="AL291" s="3">
        <f>SUM(AH291:AK291)</f>
        <v>0</v>
      </c>
      <c r="AM291" s="3">
        <f>(AM170-AL170)*-1</f>
        <v>0</v>
      </c>
      <c r="AN291" s="3">
        <f>(AN170-AM170)*-1</f>
        <v>0</v>
      </c>
      <c r="AO291" s="3">
        <f>(AO170-AN170)*-1</f>
        <v>0</v>
      </c>
      <c r="AP291" s="3">
        <f>(AP170-AO170)*-1</f>
        <v>0</v>
      </c>
      <c r="AQ291" s="3">
        <f>SUM(AM291:AP291)</f>
        <v>0</v>
      </c>
      <c r="AR291" s="3">
        <f>(AR170-AQ170)*-1</f>
        <v>0</v>
      </c>
      <c r="AS291" s="3">
        <f>(AS170-AR170)*-1</f>
        <v>0</v>
      </c>
      <c r="AT291" s="3">
        <f>(AT170-AS170)*-1</f>
        <v>0</v>
      </c>
      <c r="AU291" s="3">
        <f>(AU170-AT170)*-1</f>
        <v>0</v>
      </c>
      <c r="AV291" s="3">
        <f>SUM(AR291:AU291)</f>
        <v>0</v>
      </c>
      <c r="AW291" s="3">
        <f>(AW170-AV170)*-1</f>
        <v>0</v>
      </c>
      <c r="AX291" s="3">
        <f>(AX170-AW170)*-1</f>
        <v>0</v>
      </c>
      <c r="AY291" s="3">
        <f>(AY170-AX170)*-1</f>
        <v>0</v>
      </c>
      <c r="AZ291" s="3">
        <f>(AZ170-AY170)*-1</f>
        <v>0</v>
      </c>
      <c r="BA291" s="3">
        <f>SUM(AW291:AZ291)</f>
        <v>0</v>
      </c>
      <c r="BB291" s="3">
        <f>(BB170-BA170)*-1</f>
        <v>0</v>
      </c>
      <c r="BC291" s="3">
        <f>(BC170-BB170)*-1</f>
        <v>0</v>
      </c>
      <c r="BD291" s="3">
        <f>(BD170-BC170)*-1</f>
        <v>0</v>
      </c>
      <c r="BE291" s="3">
        <f>(BE170-BD170)*-1</f>
        <v>0</v>
      </c>
      <c r="BF291" s="3">
        <f>SUM(BB291:BE291)</f>
        <v>0</v>
      </c>
      <c r="BG291" s="3">
        <f>(BG170-BF170)*-1</f>
        <v>0</v>
      </c>
      <c r="BH291" s="3">
        <f>(BH170-BG170)*-1</f>
        <v>0</v>
      </c>
      <c r="BI291" s="3">
        <f>(BI170-BH170)*-1</f>
        <v>0</v>
      </c>
      <c r="BJ291" s="3">
        <f>(BJ170-BI170)*-1</f>
        <v>0</v>
      </c>
      <c r="BK291" s="3">
        <f>SUM(BG291:BJ291)</f>
        <v>0</v>
      </c>
      <c r="BL291" s="3">
        <f>(BL170-BK170)*-1</f>
        <v>0</v>
      </c>
      <c r="BM291" s="3">
        <f>(BM170-BL170)*-1</f>
        <v>0</v>
      </c>
      <c r="BN291" s="3">
        <f>(BN170-BM170)*-1</f>
        <v>0</v>
      </c>
      <c r="BO291" s="3">
        <f>(BO170-BN170)*-1</f>
        <v>0</v>
      </c>
      <c r="BP291" s="3">
        <f>SUM(BL291:BO291)</f>
        <v>0</v>
      </c>
      <c r="BQ291" s="3">
        <f>(BQ170-BP170)*-1</f>
        <v>0</v>
      </c>
      <c r="BR291" s="3">
        <f>(BR170-BQ170)*-1</f>
        <v>0</v>
      </c>
      <c r="BS291" s="3">
        <f>(BS170-BR170)*-1</f>
        <v>0</v>
      </c>
      <c r="BT291" s="3">
        <f>(BT170-BS170)*-1</f>
        <v>0</v>
      </c>
      <c r="BU291" s="3">
        <f>SUM(BQ291:BT291)</f>
        <v>0</v>
      </c>
      <c r="BV291" s="3">
        <f>(BV170-BU170)*-1</f>
        <v>0</v>
      </c>
      <c r="BW291" s="3">
        <f>(BW170-BV170)*-1</f>
        <v>0</v>
      </c>
      <c r="BX291" s="3">
        <f>(BX170-BW170)*-1</f>
        <v>0</v>
      </c>
      <c r="BY291" s="3">
        <f>(BY170-BX170)*-1</f>
        <v>0</v>
      </c>
      <c r="BZ291" s="3">
        <f>SUM(BV291:BY291)</f>
        <v>0</v>
      </c>
      <c r="CA291" s="3">
        <f>(CA170-BZ170)*-1</f>
        <v>0</v>
      </c>
      <c r="CB291" s="3">
        <f>(CB170-CA170)*-1</f>
        <v>0</v>
      </c>
      <c r="CC291" s="3">
        <f>(CC170-CB170)*-1</f>
        <v>0</v>
      </c>
      <c r="CD291" s="3">
        <f>(CD170-CC170)*-1</f>
        <v>0</v>
      </c>
      <c r="CE291" s="3">
        <f>SUM(CA291:CD291)</f>
        <v>0</v>
      </c>
      <c r="CF291" s="3">
        <f>(CF170-CE170)*-1</f>
        <v>0</v>
      </c>
      <c r="CG291" s="3">
        <f>(CG170-CF170)*-1</f>
        <v>0</v>
      </c>
      <c r="CH291" s="3">
        <f>(CH170-CG170)*-1</f>
        <v>0</v>
      </c>
      <c r="CI291" s="3">
        <f>(CI170-CH170)*-1</f>
        <v>0</v>
      </c>
      <c r="CJ291" s="3">
        <f>SUM(CF291:CI291)</f>
        <v>0</v>
      </c>
      <c r="CK291" s="3">
        <f>(CK170-CJ170)*-1</f>
        <v>0</v>
      </c>
      <c r="CL291" s="3">
        <f>(CL170-CK170)*-1</f>
        <v>0</v>
      </c>
      <c r="CM291" s="3">
        <f>(CM170-CL170)*-1</f>
        <v>0</v>
      </c>
      <c r="CN291" s="3">
        <f>(CN170-CM170)*-1</f>
        <v>0</v>
      </c>
      <c r="CO291" s="3">
        <f>SUM(CK291:CN291)</f>
        <v>0</v>
      </c>
      <c r="CP291" s="3">
        <f>(CP170-CO170)*-1</f>
        <v>0</v>
      </c>
      <c r="CQ291" s="3">
        <f>(CQ170-CP170)*-1</f>
        <v>0</v>
      </c>
      <c r="CR291" s="3">
        <f>(CR170-CQ170)*-1</f>
        <v>0</v>
      </c>
      <c r="CS291" s="3">
        <f>(CS170-CR170)*-1</f>
        <v>0</v>
      </c>
      <c r="CT291" s="3">
        <f>SUM(CP291:CS291)</f>
        <v>0</v>
      </c>
      <c r="CU291" s="3">
        <f>(CU170-CT170)*-1</f>
        <v>0</v>
      </c>
      <c r="CV291" s="3">
        <f>(CV170-CU170)*-1</f>
        <v>0</v>
      </c>
      <c r="CW291" s="3">
        <f>(CW170-CV170)*-1</f>
        <v>0</v>
      </c>
      <c r="CX291" s="3">
        <f>(CX170-CW170)*-1</f>
        <v>0</v>
      </c>
      <c r="CY291" s="3">
        <f>SUM(CU291:CX291)</f>
        <v>0</v>
      </c>
      <c r="CZ291" s="3" t="n"/>
      <c r="DA291" s="3" t="n"/>
      <c r="DB291" s="3" t="n"/>
      <c r="DC291" s="3" t="n"/>
    </row>
    <row r="292">
      <c r="C292" s="29" t="inlineStr">
        <is>
          <t>Purchases of intangible assets</t>
        </is>
      </c>
      <c r="D292" s="3" t="n"/>
      <c r="E292" s="3">
        <f>((E174-D174)*-1)+((E173-D173)*-1)</f>
        <v>0</v>
      </c>
      <c r="F292" s="3">
        <f>((F174-E174)*-1)+((F173-E173)*-1)</f>
        <v>0</v>
      </c>
      <c r="G292" s="3">
        <f>((G174-F174)*-1)+((G173-F173)*-1)</f>
        <v>0</v>
      </c>
      <c r="H292" s="3">
        <f>SUM(D292:G292)</f>
        <v>0</v>
      </c>
      <c r="I292" s="3">
        <f>((I174-H174)*-1)+((I173-H173)*-1)</f>
        <v>0</v>
      </c>
      <c r="J292" s="3">
        <f>((J174-I174)*-1)+((J173-I173)*-1)</f>
        <v>0</v>
      </c>
      <c r="K292" s="3">
        <f>((K174-J174)*-1)+((K173-J173)*-1)</f>
        <v>0</v>
      </c>
      <c r="L292" s="3">
        <f>((L174-K174)*-1)+((L173-K173)*-1)</f>
        <v>0</v>
      </c>
      <c r="M292" s="3">
        <f>SUM(I292:L292)</f>
        <v>0</v>
      </c>
      <c r="N292" s="3">
        <f>((N174-M174)*-1)+((N173-M173)*-1)</f>
        <v>0</v>
      </c>
      <c r="O292" s="3">
        <f>((O174-N174)*-1)+((O173-N173)*-1)</f>
        <v>0</v>
      </c>
      <c r="P292" s="3">
        <f>((P174-O174)*-1)+((P173-O173)*-1)</f>
        <v>0</v>
      </c>
      <c r="Q292" s="3">
        <f>((Q174-P174)*-1)+((Q173-P173)*-1)</f>
        <v>0</v>
      </c>
      <c r="R292" s="3">
        <f>SUM(N292:Q292)</f>
        <v>0</v>
      </c>
      <c r="S292" s="3">
        <f>((S174-R174)*-1)+((S173-R173)*-1)</f>
        <v>0</v>
      </c>
      <c r="T292" s="3">
        <f>((T174-S174)*-1)+((T173-S173)*-1)</f>
        <v>0</v>
      </c>
      <c r="U292" s="3">
        <f>((U174-T174)*-1)+((U173-T173)*-1)</f>
        <v>0</v>
      </c>
      <c r="V292" s="3">
        <f>((V174-U174)*-1)+((V173-U173)*-1)</f>
        <v>0</v>
      </c>
      <c r="W292" s="3">
        <f>SUM(S292:V292)</f>
        <v>0</v>
      </c>
      <c r="X292" s="3">
        <f>((X174-W174)*-1)+((X173-W173)*-1)</f>
        <v>0</v>
      </c>
      <c r="Y292" s="3">
        <f>((Y174-X174)*-1)+((Y173-X173)*-1)</f>
        <v>0</v>
      </c>
      <c r="Z292" s="3">
        <f>((Z174-Y174)*-1)+((Z173-Y173)*-1)</f>
        <v>0</v>
      </c>
      <c r="AA292" s="3">
        <f>((AA174-Z174)*-1)+((AA173-Z173)*-1)</f>
        <v>0</v>
      </c>
      <c r="AB292" s="3">
        <f>SUM(X292:AA292)</f>
        <v>0</v>
      </c>
      <c r="AC292" s="3">
        <f>((AC174-AB174)*-1)+((AC173-AB173)*-1)</f>
        <v>0</v>
      </c>
      <c r="AD292" s="3">
        <f>((AD174-AC174)*-1)+((AD173-AC173)*-1)</f>
        <v>0</v>
      </c>
      <c r="AE292" s="3">
        <f>((AE174-AD174)*-1)+((AE173-AD173)*-1)</f>
        <v>0</v>
      </c>
      <c r="AF292" s="3">
        <f>((AF174-AE174)*-1)+((AF173-AE173)*-1)</f>
        <v>0</v>
      </c>
      <c r="AG292" s="3">
        <f>SUM(AC292:AF292)</f>
        <v>0</v>
      </c>
      <c r="AH292" s="3">
        <f>((AH174-AG174)*-1)+((AH173-AG173)*-1)</f>
        <v>0</v>
      </c>
      <c r="AI292" s="3">
        <f>((AI174-AH174)*-1)+((AI173-AH173)*-1)</f>
        <v>0</v>
      </c>
      <c r="AJ292" s="3">
        <f>((AJ174-AI174)*-1)+((AJ173-AI173)*-1)</f>
        <v>0</v>
      </c>
      <c r="AK292" s="3">
        <f>((AK174-AJ174)*-1)+((AK173-AJ173)*-1)</f>
        <v>0</v>
      </c>
      <c r="AL292" s="3">
        <f>SUM(AH292:AK292)</f>
        <v>0</v>
      </c>
      <c r="AM292" s="3">
        <f>((AM174-AL174)*-1)+((AM173-AL173)*-1)</f>
        <v>0</v>
      </c>
      <c r="AN292" s="3">
        <f>((AN174-AM174)*-1)+((AN173-AM173)*-1)</f>
        <v>0</v>
      </c>
      <c r="AO292" s="3">
        <f>((AO174-AN174)*-1)+((AO173-AN173)*-1)</f>
        <v>0</v>
      </c>
      <c r="AP292" s="3">
        <f>((AP174-AO174)*-1)+((AP173-AO173)*-1)</f>
        <v>0</v>
      </c>
      <c r="AQ292" s="3">
        <f>SUM(AM292:AP292)</f>
        <v>0</v>
      </c>
      <c r="AR292" s="3">
        <f>((AR174-AQ174)*-1)+((AR173-AQ173)*-1)</f>
        <v>0</v>
      </c>
      <c r="AS292" s="3">
        <f>((AS174-AR174)*-1)+((AS173-AR173)*-1)</f>
        <v>0</v>
      </c>
      <c r="AT292" s="3">
        <f>((AT174-AS174)*-1)+((AT173-AS173)*-1)</f>
        <v>0</v>
      </c>
      <c r="AU292" s="3">
        <f>((AU174-AT174)*-1)+((AU173-AT173)*-1)</f>
        <v>0</v>
      </c>
      <c r="AV292" s="3">
        <f>SUM(AR292:AU292)</f>
        <v>0</v>
      </c>
      <c r="AW292" s="3">
        <f>((AW174-AV174)*-1)+((AW173-AV173)*-1)</f>
        <v>0</v>
      </c>
      <c r="AX292" s="3">
        <f>((AX174-AW174)*-1)+((AX173-AW173)*-1)</f>
        <v>0</v>
      </c>
      <c r="AY292" s="3">
        <f>((AY174-AX174)*-1)+((AY173-AX173)*-1)</f>
        <v>0</v>
      </c>
      <c r="AZ292" s="3">
        <f>((AZ174-AY174)*-1)+((AZ173-AY173)*-1)</f>
        <v>0</v>
      </c>
      <c r="BA292" s="3">
        <f>SUM(AW292:AZ292)</f>
        <v>0</v>
      </c>
      <c r="BB292" s="3">
        <f>((BB174-BA174)*-1)+((BB173-BA173)*-1)</f>
        <v>0</v>
      </c>
      <c r="BC292" s="3">
        <f>((BC174-BB174)*-1)+((BC173-BB173)*-1)</f>
        <v>0</v>
      </c>
      <c r="BD292" s="3">
        <f>((BD174-BC174)*-1)+((BD173-BC173)*-1)</f>
        <v>0</v>
      </c>
      <c r="BE292" s="3">
        <f>((BE174-BD174)*-1)+((BE173-BD173)*-1)</f>
        <v>0</v>
      </c>
      <c r="BF292" s="3">
        <f>SUM(BB292:BE292)</f>
        <v>0</v>
      </c>
      <c r="BG292" s="3">
        <f>((BG174-BF174)*-1)+((BG173-BF173)*-1)</f>
        <v>0</v>
      </c>
      <c r="BH292" s="3">
        <f>((BH174-BG174)*-1)+((BH173-BG173)*-1)</f>
        <v>0</v>
      </c>
      <c r="BI292" s="3">
        <f>((BI174-BH174)*-1)+((BI173-BH173)*-1)</f>
        <v>0</v>
      </c>
      <c r="BJ292" s="3">
        <f>((BJ174-BI174)*-1)+((BJ173-BI173)*-1)</f>
        <v>0</v>
      </c>
      <c r="BK292" s="3">
        <f>SUM(BG292:BJ292)</f>
        <v>0</v>
      </c>
      <c r="BL292" s="3">
        <f>((BL174-BK174)*-1)+((BL173-BK173)*-1)</f>
        <v>0</v>
      </c>
      <c r="BM292" s="3">
        <f>((BM174-BL174)*-1)+((BM173-BL173)*-1)</f>
        <v>0</v>
      </c>
      <c r="BN292" s="3">
        <f>((BN174-BM174)*-1)+((BN173-BM173)*-1)</f>
        <v>0</v>
      </c>
      <c r="BO292" s="3">
        <f>((BO174-BN174)*-1)+((BO173-BN173)*-1)</f>
        <v>0</v>
      </c>
      <c r="BP292" s="3">
        <f>SUM(BL292:BO292)</f>
        <v>0</v>
      </c>
      <c r="BQ292" s="3">
        <f>((BQ174-BP174)*-1)+((BQ173-BP173)*-1)</f>
        <v>0</v>
      </c>
      <c r="BR292" s="3">
        <f>((BR174-BQ174)*-1)+((BR173-BQ173)*-1)</f>
        <v>0</v>
      </c>
      <c r="BS292" s="3">
        <f>((BS174-BR174)*-1)+((BS173-BR173)*-1)</f>
        <v>0</v>
      </c>
      <c r="BT292" s="3">
        <f>((BT174-BS174)*-1)+((BT173-BS173)*-1)</f>
        <v>0</v>
      </c>
      <c r="BU292" s="3">
        <f>SUM(BQ292:BT292)</f>
        <v>0</v>
      </c>
      <c r="BV292" s="3">
        <f>((BV174-BU174)*-1)+((BV173-BU173)*-1)</f>
        <v>0</v>
      </c>
      <c r="BW292" s="3">
        <f>((BW174-BV174)*-1)+((BW173-BV173)*-1)</f>
        <v>0</v>
      </c>
      <c r="BX292" s="3">
        <f>((BX174-BW174)*-1)+((BX173-BW173)*-1)</f>
        <v>0</v>
      </c>
      <c r="BY292" s="3">
        <f>((BY174-BX174)*-1)+((BY173-BX173)*-1)</f>
        <v>0</v>
      </c>
      <c r="BZ292" s="3">
        <f>SUM(BV292:BY292)</f>
        <v>0</v>
      </c>
      <c r="CA292" s="3">
        <f>((CA174-BZ174)*-1)+((CA173-BZ173)*-1)</f>
        <v>0</v>
      </c>
      <c r="CB292" s="3">
        <f>((CB174-CA174)*-1)+((CB173-CA173)*-1)</f>
        <v>0</v>
      </c>
      <c r="CC292" s="3">
        <f>((CC174-CB174)*-1)+((CC173-CB173)*-1)</f>
        <v>0</v>
      </c>
      <c r="CD292" s="3">
        <f>((CD174-CC174)*-1)+((CD173-CC173)*-1)</f>
        <v>0</v>
      </c>
      <c r="CE292" s="3">
        <f>SUM(CA292:CD292)</f>
        <v>0</v>
      </c>
      <c r="CF292" s="3">
        <f>((CF174-CE174)*-1)+((CF173-CE173)*-1)</f>
        <v>0</v>
      </c>
      <c r="CG292" s="3">
        <f>((CG174-CF174)*-1)+((CG173-CF173)*-1)</f>
        <v>0</v>
      </c>
      <c r="CH292" s="3">
        <f>((CH174-CG174)*-1)+((CH173-CG173)*-1)</f>
        <v>0</v>
      </c>
      <c r="CI292" s="3">
        <f>((CI174-CH174)*-1)+((CI173-CH173)*-1)</f>
        <v>0</v>
      </c>
      <c r="CJ292" s="3">
        <f>SUM(CF292:CI292)</f>
        <v>0</v>
      </c>
      <c r="CK292" s="3">
        <f>((CK174-CJ174)*-1)+((CK173-CJ173)*-1)</f>
        <v>0</v>
      </c>
      <c r="CL292" s="3">
        <f>((CL174-CK174)*-1)+((CL173-CK173)*-1)</f>
        <v>0</v>
      </c>
      <c r="CM292" s="3">
        <f>((CM174-CL174)*-1)+((CM173-CL173)*-1)</f>
        <v>0</v>
      </c>
      <c r="CN292" s="3">
        <f>((CN174-CM174)*-1)+((CN173-CM173)*-1)</f>
        <v>0</v>
      </c>
      <c r="CO292" s="3">
        <f>SUM(CK292:CN292)</f>
        <v>0</v>
      </c>
      <c r="CP292" s="3">
        <f>((CP174-CO174)*-1)+((CP173-CO173)*-1)</f>
        <v>0</v>
      </c>
      <c r="CQ292" s="3">
        <f>((CQ174-CP174)*-1)+((CQ173-CP173)*-1)</f>
        <v>0</v>
      </c>
      <c r="CR292" s="3">
        <f>((CR174-CQ174)*-1)+((CR173-CQ173)*-1)</f>
        <v>0</v>
      </c>
      <c r="CS292" s="3">
        <f>((CS174-CR174)*-1)+((CS173-CR173)*-1)</f>
        <v>0</v>
      </c>
      <c r="CT292" s="3">
        <f>SUM(CP292:CS292)</f>
        <v>0</v>
      </c>
      <c r="CU292" s="3">
        <f>((CU174-CT174)*-1)+((CU173-CT173)*-1)</f>
        <v>0</v>
      </c>
      <c r="CV292" s="3">
        <f>((CV174-CU174)*-1)+((CV173-CU173)*-1)</f>
        <v>0</v>
      </c>
      <c r="CW292" s="3">
        <f>((CW174-CV174)*-1)+((CW173-CV173)*-1)</f>
        <v>0</v>
      </c>
      <c r="CX292" s="3">
        <f>((CX174-CW174)*-1)+((CX173-CW173)*-1)</f>
        <v>0</v>
      </c>
      <c r="CY292" s="3">
        <f>SUM(CU292:CX292)</f>
        <v>0</v>
      </c>
      <c r="CZ292" s="3" t="n"/>
      <c r="DA292" s="3" t="n"/>
      <c r="DB292" s="3" t="n"/>
      <c r="DC292" s="3" t="n"/>
    </row>
    <row r="293">
      <c r="C293" s="30" t="inlineStr">
        <is>
          <t>Purchases/Proceeds from other long-term assets</t>
        </is>
      </c>
      <c r="D293" s="3" t="n"/>
      <c r="E293" s="3">
        <f>((E183-D183)*-1)+(E234-D234)</f>
        <v>395.386000000001</v>
      </c>
      <c r="F293" s="3">
        <f>((F183-E183)*-1)+(F234-E234)</f>
        <v>-226.047000000001</v>
      </c>
      <c r="G293" s="3">
        <f>((G183-F183)*-1)+(G234-F234)</f>
        <v>-792.220999999999</v>
      </c>
      <c r="H293" s="3">
        <f>SUM(D293:G293)</f>
        <v>-622.881999999999</v>
      </c>
      <c r="I293" s="3">
        <f>((I183-H183)*-1)+(I234-H234)</f>
        <v>-625.118000000002</v>
      </c>
      <c r="J293" s="3">
        <f>((J183-I183)*-1)+(J234-I234)</f>
        <v>-1328.46</v>
      </c>
      <c r="K293" s="3">
        <f>((K183-J183)*-1)+(K234-J234)</f>
        <v>-1609.718</v>
      </c>
      <c r="L293" s="3">
        <f>((L183-K183)*-1)+(L234-K234)</f>
        <v>-2116.355</v>
      </c>
      <c r="M293" s="3">
        <f>SUM(I293:L293)</f>
        <v>-5679.651</v>
      </c>
      <c r="N293" s="3">
        <f>((N183-M183)*-1)+(N234-M234)</f>
        <v>-698.470000000002</v>
      </c>
      <c r="O293" s="3">
        <f>((O183-N183)*-1)+(O234-N234)</f>
        <v>-1270.123</v>
      </c>
      <c r="P293" s="3">
        <f>((P183-O183)*-1)+(P234-O234)</f>
        <v>-385.924000000005</v>
      </c>
      <c r="Q293" s="3">
        <f>((Q183-P183)*-1)+(Q234-P234)</f>
        <v>-404.196000000001</v>
      </c>
      <c r="R293" s="3">
        <f>SUM(N293:Q293)</f>
        <v>-2758.71300000001</v>
      </c>
      <c r="S293" s="3">
        <f>((S183-R183)*-1)+(S234-R234)</f>
        <v>110.207000000003</v>
      </c>
      <c r="T293" s="3">
        <f>((T183-S183)*-1)+(T234-S234)</f>
        <v>-313.352999999997</v>
      </c>
      <c r="U293" s="3">
        <f>((U183-T183)*-1)+(U234-T234)</f>
        <v>530.633</v>
      </c>
      <c r="V293" s="3">
        <f>((V183-U183)*-1)+(V234-U234)</f>
        <v>-113.573999999999</v>
      </c>
      <c r="W293" s="3">
        <f>SUM(S293:V293)</f>
        <v>213.913000000007</v>
      </c>
      <c r="X293" s="3">
        <f>((X183-W183)*-1)+(X234-W234)</f>
        <v>-266.376000000004</v>
      </c>
      <c r="Y293" s="3">
        <f>((Y183-X183)*-1)+(Y234-X234)</f>
        <v>-857.021000000001</v>
      </c>
      <c r="Z293" s="3">
        <f>((Z183-Y183)*-1)+(Z234-Y234)</f>
        <v>-585.277999999998</v>
      </c>
      <c r="AA293" s="3">
        <f>((AA183-Z183)*-1)+(AA234-Z234)</f>
        <v>-711.700000000005</v>
      </c>
      <c r="AB293" s="3">
        <f>SUM(X293:AA293)</f>
        <v>-2420.37500000001</v>
      </c>
      <c r="AC293" s="3">
        <f>((AC183-AB183)*-1)+(AC234-AB234)</f>
        <v>187.532000000005</v>
      </c>
      <c r="AD293" s="3">
        <f>((AD183-AC183)*-1)+(AD234-AC234)</f>
        <v>-195.117000000001</v>
      </c>
      <c r="AE293" s="3">
        <f>((AE183-AD183)*-1)+(AE234-AD234)</f>
        <v>-737.322</v>
      </c>
      <c r="AF293" s="3">
        <f>((AF183-AE183)*-1)+(AF234-AE234)</f>
        <v>-687.758</v>
      </c>
      <c r="AG293" s="3">
        <f>SUM(AC293:AF293)</f>
        <v>-1432.665</v>
      </c>
      <c r="AH293" s="3">
        <f>((AH183-AG183)*-1)+(AH234-AG234)</f>
        <v>-1364.649</v>
      </c>
      <c r="AI293" s="3">
        <f>((AI183-AH183)*-1)+(AI234-AH234)</f>
        <v>-459.849999999999</v>
      </c>
      <c r="AJ293" s="3">
        <f>((AJ183-AI183)*-1)+(AJ234-AI234)</f>
        <v>0</v>
      </c>
      <c r="AK293" s="3">
        <f>((AK183-AJ183)*-1)+(AK234-AJ234)</f>
        <v>0</v>
      </c>
      <c r="AL293" s="3">
        <f>SUM(AH293:AK293)</f>
        <v>-1824.499</v>
      </c>
      <c r="AM293" s="3">
        <f>((AM183-AL183)*-1)+(AM234-AL234)</f>
        <v>0</v>
      </c>
      <c r="AN293" s="3">
        <f>((AN183-AM183)*-1)+(AN234-AM234)</f>
        <v>0</v>
      </c>
      <c r="AO293" s="3">
        <f>((AO183-AN183)*-1)+(AO234-AN234)</f>
        <v>0</v>
      </c>
      <c r="AP293" s="3">
        <f>((AP183-AO183)*-1)+(AP234-AO234)</f>
        <v>0</v>
      </c>
      <c r="AQ293" s="3">
        <f>SUM(AM293:AP293)</f>
        <v>0</v>
      </c>
      <c r="AR293" s="3">
        <f>((AR183-AQ183)*-1)+(AR234-AQ234)</f>
        <v>0</v>
      </c>
      <c r="AS293" s="3">
        <f>((AS183-AR183)*-1)+(AS234-AR234)</f>
        <v>0</v>
      </c>
      <c r="AT293" s="3">
        <f>((AT183-AS183)*-1)+(AT234-AS234)</f>
        <v>0</v>
      </c>
      <c r="AU293" s="3">
        <f>((AU183-AT183)*-1)+(AU234-AT234)</f>
        <v>0</v>
      </c>
      <c r="AV293" s="3">
        <f>SUM(AR293:AU293)</f>
        <v>0</v>
      </c>
      <c r="AW293" s="3">
        <f>((AW183-AV183)*-1)+(AW234-AV234)</f>
        <v>0</v>
      </c>
      <c r="AX293" s="3">
        <f>((AX183-AW183)*-1)+(AX234-AW234)</f>
        <v>0</v>
      </c>
      <c r="AY293" s="3">
        <f>((AY183-AX183)*-1)+(AY234-AX234)</f>
        <v>0</v>
      </c>
      <c r="AZ293" s="3">
        <f>((AZ183-AY183)*-1)+(AZ234-AY234)</f>
        <v>0</v>
      </c>
      <c r="BA293" s="3">
        <f>SUM(AW293:AZ293)</f>
        <v>0</v>
      </c>
      <c r="BB293" s="3">
        <f>((BB183-BA183)*-1)+(BB234-BA234)</f>
        <v>0</v>
      </c>
      <c r="BC293" s="3">
        <f>((BC183-BB183)*-1)+(BC234-BB234)</f>
        <v>0</v>
      </c>
      <c r="BD293" s="3">
        <f>((BD183-BC183)*-1)+(BD234-BC234)</f>
        <v>0</v>
      </c>
      <c r="BE293" s="3">
        <f>((BE183-BD183)*-1)+(BE234-BD234)</f>
        <v>0</v>
      </c>
      <c r="BF293" s="3">
        <f>SUM(BB293:BE293)</f>
        <v>0</v>
      </c>
      <c r="BG293" s="3">
        <f>((BG183-BF183)*-1)+(BG234-BF234)</f>
        <v>0</v>
      </c>
      <c r="BH293" s="3">
        <f>((BH183-BG183)*-1)+(BH234-BG234)</f>
        <v>0</v>
      </c>
      <c r="BI293" s="3">
        <f>((BI183-BH183)*-1)+(BI234-BH234)</f>
        <v>0</v>
      </c>
      <c r="BJ293" s="3">
        <f>((BJ183-BI183)*-1)+(BJ234-BI234)</f>
        <v>0</v>
      </c>
      <c r="BK293" s="3">
        <f>SUM(BG293:BJ293)</f>
        <v>0</v>
      </c>
      <c r="BL293" s="3">
        <f>((BL183-BK183)*-1)+(BL234-BK234)</f>
        <v>0</v>
      </c>
      <c r="BM293" s="3">
        <f>((BM183-BL183)*-1)+(BM234-BL234)</f>
        <v>0</v>
      </c>
      <c r="BN293" s="3">
        <f>((BN183-BM183)*-1)+(BN234-BM234)</f>
        <v>0</v>
      </c>
      <c r="BO293" s="3">
        <f>((BO183-BN183)*-1)+(BO234-BN234)</f>
        <v>0</v>
      </c>
      <c r="BP293" s="3">
        <f>SUM(BL293:BO293)</f>
        <v>0</v>
      </c>
      <c r="BQ293" s="3">
        <f>((BQ183-BP183)*-1)+(BQ234-BP234)</f>
        <v>0</v>
      </c>
      <c r="BR293" s="3">
        <f>((BR183-BQ183)*-1)+(BR234-BQ234)</f>
        <v>0</v>
      </c>
      <c r="BS293" s="3">
        <f>((BS183-BR183)*-1)+(BS234-BR234)</f>
        <v>0</v>
      </c>
      <c r="BT293" s="3">
        <f>((BT183-BS183)*-1)+(BT234-BS234)</f>
        <v>0</v>
      </c>
      <c r="BU293" s="3">
        <f>SUM(BQ293:BT293)</f>
        <v>0</v>
      </c>
      <c r="BV293" s="3">
        <f>((BV183-BU183)*-1)+(BV234-BU234)</f>
        <v>0</v>
      </c>
      <c r="BW293" s="3">
        <f>((BW183-BV183)*-1)+(BW234-BV234)</f>
        <v>0</v>
      </c>
      <c r="BX293" s="3">
        <f>((BX183-BW183)*-1)+(BX234-BW234)</f>
        <v>0</v>
      </c>
      <c r="BY293" s="3">
        <f>((BY183-BX183)*-1)+(BY234-BX234)</f>
        <v>0</v>
      </c>
      <c r="BZ293" s="3">
        <f>SUM(BV293:BY293)</f>
        <v>0</v>
      </c>
      <c r="CA293" s="3">
        <f>((CA183-BZ183)*-1)+(CA234-BZ234)</f>
        <v>0</v>
      </c>
      <c r="CB293" s="3">
        <f>((CB183-CA183)*-1)+(CB234-CA234)</f>
        <v>0</v>
      </c>
      <c r="CC293" s="3">
        <f>((CC183-CB183)*-1)+(CC234-CB234)</f>
        <v>0</v>
      </c>
      <c r="CD293" s="3">
        <f>((CD183-CC183)*-1)+(CD234-CC234)</f>
        <v>0</v>
      </c>
      <c r="CE293" s="3">
        <f>SUM(CA293:CD293)</f>
        <v>0</v>
      </c>
      <c r="CF293" s="3">
        <f>((CF183-CE183)*-1)+(CF234-CE234)</f>
        <v>0</v>
      </c>
      <c r="CG293" s="3">
        <f>((CG183-CF183)*-1)+(CG234-CF234)</f>
        <v>0</v>
      </c>
      <c r="CH293" s="3">
        <f>((CH183-CG183)*-1)+(CH234-CG234)</f>
        <v>0</v>
      </c>
      <c r="CI293" s="3">
        <f>((CI183-CH183)*-1)+(CI234-CH234)</f>
        <v>0</v>
      </c>
      <c r="CJ293" s="3">
        <f>SUM(CF293:CI293)</f>
        <v>0</v>
      </c>
      <c r="CK293" s="3">
        <f>((CK183-CJ183)*-1)+(CK234-CJ234)</f>
        <v>0</v>
      </c>
      <c r="CL293" s="3">
        <f>((CL183-CK183)*-1)+(CL234-CK234)</f>
        <v>0</v>
      </c>
      <c r="CM293" s="3">
        <f>((CM183-CL183)*-1)+(CM234-CL234)</f>
        <v>0</v>
      </c>
      <c r="CN293" s="3">
        <f>((CN183-CM183)*-1)+(CN234-CM234)</f>
        <v>0</v>
      </c>
      <c r="CO293" s="3">
        <f>SUM(CK293:CN293)</f>
        <v>0</v>
      </c>
      <c r="CP293" s="3">
        <f>((CP183-CO183)*-1)+(CP234-CO234)</f>
        <v>0</v>
      </c>
      <c r="CQ293" s="3">
        <f>((CQ183-CP183)*-1)+(CQ234-CP234)</f>
        <v>0</v>
      </c>
      <c r="CR293" s="3">
        <f>((CR183-CQ183)*-1)+(CR234-CQ234)</f>
        <v>0</v>
      </c>
      <c r="CS293" s="3">
        <f>((CS183-CR183)*-1)+(CS234-CR234)</f>
        <v>0</v>
      </c>
      <c r="CT293" s="3">
        <f>SUM(CP293:CS293)</f>
        <v>0</v>
      </c>
      <c r="CU293" s="3">
        <f>((CU183-CT183)*-1)+(CU234-CT234)</f>
        <v>0</v>
      </c>
      <c r="CV293" s="3">
        <f>((CV183-CU183)*-1)+(CV234-CU234)</f>
        <v>0</v>
      </c>
      <c r="CW293" s="3">
        <f>((CW183-CV183)*-1)+(CW234-CV234)</f>
        <v>0</v>
      </c>
      <c r="CX293" s="3">
        <f>((CX183-CW183)*-1)+(CX234-CW234)</f>
        <v>0</v>
      </c>
      <c r="CY293" s="3">
        <f>SUM(CU293:CX293)</f>
        <v>0</v>
      </c>
    </row>
    <row r="294">
      <c r="C294" s="26" t="inlineStr">
        <is>
          <t>Cash from investing</t>
        </is>
      </c>
      <c r="D294" s="3" t="n"/>
      <c r="E294" s="3">
        <f>SUM(E289,E290,E292,E293,E291)</f>
        <v>267.239000000001</v>
      </c>
      <c r="F294" s="3">
        <f>SUM(F289,F290,F292,F293,F291)</f>
        <v>-330.813000000001</v>
      </c>
      <c r="G294" s="3">
        <f>SUM(G289,G290,G292,G293,G291)</f>
        <v>-956.228999999999</v>
      </c>
      <c r="H294" s="3">
        <f>SUM(H289,H290,H292,H293)</f>
        <v>-1019.803</v>
      </c>
      <c r="I294" s="3">
        <f>SUM(I289,I290,I292,I293,I291)</f>
        <v>-716.095000000002</v>
      </c>
      <c r="J294" s="3">
        <f>SUM(J289,J290,J292,J293,J291)</f>
        <v>-1458.912</v>
      </c>
      <c r="K294" s="3">
        <f>SUM(K289,K290,K292,K293,K291)</f>
        <v>-1792.648</v>
      </c>
      <c r="L294" s="3">
        <f>SUM(L289,L290,L292,L293,L291)</f>
        <v>-2283.678</v>
      </c>
      <c r="M294" s="3">
        <f>SUM(M289,M290,M292,M293)</f>
        <v>-6251.333</v>
      </c>
      <c r="N294" s="3">
        <f>SUM(N289,N290,N292,N293,N291)</f>
        <v>-833.382000000002</v>
      </c>
      <c r="O294" s="3">
        <f>SUM(O289,O290,O292,O293,O291)</f>
        <v>-1331.785</v>
      </c>
      <c r="P294" s="3">
        <f>SUM(P289,P290,P292,P293,P291)</f>
        <v>-481.946000000006</v>
      </c>
      <c r="Q294" s="3">
        <f>SUM(Q289,Q290,Q292,Q293,Q291)</f>
        <v>-523.086000000001</v>
      </c>
      <c r="R294" s="3">
        <f>SUM(R289,R290,R292,R293)</f>
        <v>-3170.19900000001</v>
      </c>
      <c r="S294" s="3">
        <f>SUM(S289,S290,S292,S293,S291)</f>
        <v>5.03500000000308</v>
      </c>
      <c r="T294" s="3">
        <f>SUM(T289,T290,T292,T293,T291)</f>
        <v>-461.611999999997</v>
      </c>
      <c r="U294" s="3">
        <f>SUM(U289,U290,U292,U293,U291)</f>
        <v>413.55</v>
      </c>
      <c r="V294" s="3">
        <f>SUM(V289,V290,V292,V293,V291)</f>
        <v>-193.193999999999</v>
      </c>
      <c r="W294" s="3">
        <f>SUM(W289,W290,W292,W293)</f>
        <v>-236.220999999993</v>
      </c>
      <c r="X294" s="3">
        <f>SUM(X289,X290,X292,X293,X291)</f>
        <v>-363.334000000004</v>
      </c>
      <c r="Y294" s="3">
        <f>SUM(Y289,Y290,Y292,Y293,Y291)</f>
        <v>-948.038000000001</v>
      </c>
      <c r="Z294" s="3">
        <f>SUM(Z289,Z290,Z292,Z293,Z291)</f>
        <v>-723.445999999999</v>
      </c>
      <c r="AA294" s="3">
        <f>SUM(AA289,AA290,AA292,AA293,AA291)</f>
        <v>-816.783000000005</v>
      </c>
      <c r="AB294" s="3">
        <f>SUM(AB289,AB290,AB292,AB293)</f>
        <v>-2851.60100000001</v>
      </c>
      <c r="AC294" s="3">
        <f>SUM(AC289,AC290,AC292,AC293,AC291)</f>
        <v>56.8750000000046</v>
      </c>
      <c r="AD294" s="3">
        <f>SUM(AD289,AD290,AD292,AD293,AD291)</f>
        <v>-374.350000000001</v>
      </c>
      <c r="AE294" s="3">
        <f>SUM(AE289,AE290,AE292,AE293,AE291)</f>
        <v>-918.971</v>
      </c>
      <c r="AF294" s="3">
        <f>SUM(AF289,AF290,AF292,AF293,AF291)</f>
        <v>-940.202</v>
      </c>
      <c r="AG294" s="3">
        <f>SUM(AG289,AG290,AG292,AG293)</f>
        <v>-2176.648</v>
      </c>
      <c r="AH294" s="3">
        <f>SUM(AH289,AH290,AH292,AH293,AH291)</f>
        <v>-1606.703</v>
      </c>
      <c r="AI294" s="3">
        <f>SUM(AI289,AI290,AI292,AI293,AI291)</f>
        <v>-811.398999999999</v>
      </c>
      <c r="AJ294" s="3">
        <f>SUM(AJ289,AJ290,AJ292,AJ293,AJ291)</f>
        <v>0</v>
      </c>
      <c r="AK294" s="3">
        <f>SUM(AK289,AK290,AK292,AK293,AK291)</f>
        <v>0</v>
      </c>
      <c r="AL294" s="3">
        <f>SUM(AL289,AL290,AL292,AL293)</f>
        <v>-2418.102</v>
      </c>
      <c r="AM294" s="3">
        <f>SUM(AM289,AM290,AM292,AM293,AM291)</f>
        <v>0</v>
      </c>
      <c r="AN294" s="3">
        <f>SUM(AN289,AN290,AN292,AN293,AN291)</f>
        <v>0</v>
      </c>
      <c r="AO294" s="3">
        <f>SUM(AO289,AO290,AO292,AO293,AO291)</f>
        <v>0</v>
      </c>
      <c r="AP294" s="3">
        <f>SUM(AP289,AP290,AP292,AP293,AP291)</f>
        <v>0</v>
      </c>
      <c r="AQ294" s="3">
        <f>SUM(AQ289,AQ290,AQ292,AQ293)</f>
        <v>0</v>
      </c>
      <c r="AR294" s="3">
        <f>SUM(AR289,AR290,AR292,AR293,AR291)</f>
        <v>0</v>
      </c>
      <c r="AS294" s="3">
        <f>SUM(AS289,AS290,AS292,AS293,AS291)</f>
        <v>0</v>
      </c>
      <c r="AT294" s="3">
        <f>SUM(AT289,AT290,AT292,AT293,AT291)</f>
        <v>0</v>
      </c>
      <c r="AU294" s="3">
        <f>SUM(AU289,AU290,AU292,AU293,AU291)</f>
        <v>0</v>
      </c>
      <c r="AV294" s="3">
        <f>SUM(AV289,AV290,AV292,AV293)</f>
        <v>0</v>
      </c>
      <c r="AW294" s="3">
        <f>SUM(AW289,AW290,AW292,AW293,AW291)</f>
        <v>0</v>
      </c>
      <c r="AX294" s="3">
        <f>SUM(AX289,AX290,AX292,AX293,AX291)</f>
        <v>0</v>
      </c>
      <c r="AY294" s="3">
        <f>SUM(AY289,AY290,AY292,AY293,AY291)</f>
        <v>0</v>
      </c>
      <c r="AZ294" s="3">
        <f>SUM(AZ289,AZ290,AZ292,AZ293,AZ291)</f>
        <v>0</v>
      </c>
      <c r="BA294" s="3">
        <f>SUM(BA289,BA290,BA292,BA293)</f>
        <v>0</v>
      </c>
      <c r="BB294" s="3">
        <f>SUM(BB289,BB290,BB292,BB293,BB291)</f>
        <v>0</v>
      </c>
      <c r="BC294" s="3">
        <f>SUM(BC289,BC290,BC292,BC293,BC291)</f>
        <v>0</v>
      </c>
      <c r="BD294" s="3">
        <f>SUM(BD289,BD290,BD292,BD293,BD291)</f>
        <v>0</v>
      </c>
      <c r="BE294" s="3">
        <f>SUM(BE289,BE290,BE292,BE293,BE291)</f>
        <v>0</v>
      </c>
      <c r="BF294" s="3">
        <f>SUM(BF289,BF290,BF292,BF293)</f>
        <v>0</v>
      </c>
      <c r="BG294" s="3">
        <f>SUM(BG289,BG290,BG292,BG293,BG291)</f>
        <v>0</v>
      </c>
      <c r="BH294" s="3">
        <f>SUM(BH289,BH290,BH292,BH293,BH291)</f>
        <v>0</v>
      </c>
      <c r="BI294" s="3">
        <f>SUM(BI289,BI290,BI292,BI293,BI291)</f>
        <v>0</v>
      </c>
      <c r="BJ294" s="3">
        <f>SUM(BJ289,BJ290,BJ292,BJ293,BJ291)</f>
        <v>0</v>
      </c>
      <c r="BK294" s="3">
        <f>SUM(BK289,BK290,BK292,BK293)</f>
        <v>0</v>
      </c>
      <c r="BL294" s="3">
        <f>SUM(BL289,BL290,BL292,BL293,BL291)</f>
        <v>0</v>
      </c>
      <c r="BM294" s="3">
        <f>SUM(BM289,BM290,BM292,BM293,BM291)</f>
        <v>0</v>
      </c>
      <c r="BN294" s="3">
        <f>SUM(BN289,BN290,BN292,BN293,BN291)</f>
        <v>0</v>
      </c>
      <c r="BO294" s="3">
        <f>SUM(BO289,BO290,BO292,BO293,BO291)</f>
        <v>0</v>
      </c>
      <c r="BP294" s="3">
        <f>SUM(BP289,BP290,BP292,BP293)</f>
        <v>0</v>
      </c>
      <c r="BQ294" s="3">
        <f>SUM(BQ289,BQ290,BQ292,BQ293,BQ291)</f>
        <v>0</v>
      </c>
      <c r="BR294" s="3">
        <f>SUM(BR289,BR290,BR292,BR293,BR291)</f>
        <v>0</v>
      </c>
      <c r="BS294" s="3">
        <f>SUM(BS289,BS290,BS292,BS293,BS291)</f>
        <v>0</v>
      </c>
      <c r="BT294" s="3">
        <f>SUM(BT289,BT290,BT292,BT293,BT291)</f>
        <v>0</v>
      </c>
      <c r="BU294" s="3">
        <f>SUM(BU289,BU290,BU292,BU293)</f>
        <v>0</v>
      </c>
      <c r="BV294" s="3">
        <f>SUM(BV289,BV290,BV292,BV293,BV291)</f>
        <v>0</v>
      </c>
      <c r="BW294" s="3">
        <f>SUM(BW289,BW290,BW292,BW293,BW291)</f>
        <v>0</v>
      </c>
      <c r="BX294" s="3">
        <f>SUM(BX289,BX290,BX292,BX293,BX291)</f>
        <v>0</v>
      </c>
      <c r="BY294" s="3">
        <f>SUM(BY289,BY290,BY292,BY293,BY291)</f>
        <v>0</v>
      </c>
      <c r="BZ294" s="3">
        <f>SUM(BZ289,BZ290,BZ292,BZ293)</f>
        <v>0</v>
      </c>
      <c r="CA294" s="3">
        <f>SUM(CA289,CA290,CA292,CA293,CA291)</f>
        <v>0</v>
      </c>
      <c r="CB294" s="3">
        <f>SUM(CB289,CB290,CB292,CB293,CB291)</f>
        <v>0</v>
      </c>
      <c r="CC294" s="3">
        <f>SUM(CC289,CC290,CC292,CC293,CC291)</f>
        <v>0</v>
      </c>
      <c r="CD294" s="3">
        <f>SUM(CD289,CD290,CD292,CD293,CD291)</f>
        <v>0</v>
      </c>
      <c r="CE294" s="3">
        <f>SUM(CE289,CE290,CE292,CE293)</f>
        <v>0</v>
      </c>
      <c r="CF294" s="3">
        <f>SUM(CF289,CF290,CF292,CF293,CF291)</f>
        <v>0</v>
      </c>
      <c r="CG294" s="3">
        <f>SUM(CG289,CG290,CG292,CG293,CG291)</f>
        <v>0</v>
      </c>
      <c r="CH294" s="3">
        <f>SUM(CH289,CH290,CH292,CH293,CH291)</f>
        <v>0</v>
      </c>
      <c r="CI294" s="3">
        <f>SUM(CI289,CI290,CI292,CI293,CI291)</f>
        <v>0</v>
      </c>
      <c r="CJ294" s="3">
        <f>SUM(CJ289,CJ290,CJ292,CJ293)</f>
        <v>0</v>
      </c>
      <c r="CK294" s="3">
        <f>SUM(CK289,CK290,CK292,CK293,CK291)</f>
        <v>0</v>
      </c>
      <c r="CL294" s="3">
        <f>SUM(CL289,CL290,CL292,CL293,CL291)</f>
        <v>0</v>
      </c>
      <c r="CM294" s="3">
        <f>SUM(CM289,CM290,CM292,CM293,CM291)</f>
        <v>0</v>
      </c>
      <c r="CN294" s="3">
        <f>SUM(CN289,CN290,CN292,CN293,CN291)</f>
        <v>0</v>
      </c>
      <c r="CO294" s="3">
        <f>SUM(CO289,CO290,CO292,CO293)</f>
        <v>0</v>
      </c>
      <c r="CP294" s="3">
        <f>SUM(CP289,CP290,CP292,CP293,CP291)</f>
        <v>0</v>
      </c>
      <c r="CQ294" s="3">
        <f>SUM(CQ289,CQ290,CQ292,CQ293,CQ291)</f>
        <v>0</v>
      </c>
      <c r="CR294" s="3">
        <f>SUM(CR289,CR290,CR292,CR293,CR291)</f>
        <v>0</v>
      </c>
      <c r="CS294" s="3">
        <f>SUM(CS289,CS290,CS292,CS293,CS291)</f>
        <v>0</v>
      </c>
      <c r="CT294" s="3">
        <f>SUM(CT289,CT290,CT292,CT293)</f>
        <v>0</v>
      </c>
      <c r="CU294" s="3">
        <f>SUM(CU289,CU290,CU292,CU293,CU291)</f>
        <v>0</v>
      </c>
      <c r="CV294" s="3">
        <f>SUM(CV289,CV290,CV292,CV293,CV291)</f>
        <v>0</v>
      </c>
      <c r="CW294" s="3">
        <f>SUM(CW289,CW290,CW292,CW293,CW291)</f>
        <v>0</v>
      </c>
      <c r="CX294" s="3">
        <f>SUM(CX289,CX290,CX292,CX293,CX291)</f>
        <v>0</v>
      </c>
      <c r="CY294" s="3">
        <f>SUM(CY289,CY290,CY292,CY293)</f>
        <v>0</v>
      </c>
    </row>
    <row r="295">
      <c r="C295" s="26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  <c r="CU295" s="3" t="n"/>
      <c r="CV295" s="3" t="n"/>
      <c r="CW295" s="3" t="n"/>
      <c r="CX295" s="3" t="n"/>
      <c r="CY295" s="3" t="n"/>
    </row>
    <row r="296">
      <c r="C296" s="26" t="inlineStr">
        <is>
          <t>Convertible preferred stock</t>
        </is>
      </c>
      <c r="D296" s="3" t="n"/>
      <c r="E296" s="3">
        <f>E247-D247</f>
        <v>0</v>
      </c>
      <c r="F296" s="3">
        <f>F247-E247</f>
        <v>0</v>
      </c>
      <c r="G296" s="3">
        <f>G247-F247</f>
        <v>0</v>
      </c>
      <c r="H296" s="3">
        <f>SUM(D296:G296)</f>
        <v>0</v>
      </c>
      <c r="I296" s="3">
        <f>I247-H247</f>
        <v>0</v>
      </c>
      <c r="J296" s="3">
        <f>J247-I247</f>
        <v>0</v>
      </c>
      <c r="K296" s="3">
        <f>K247-J247</f>
        <v>0</v>
      </c>
      <c r="L296" s="3">
        <f>L247-K247</f>
        <v>0</v>
      </c>
      <c r="M296" s="3">
        <f>SUM(I296:L296)</f>
        <v>0</v>
      </c>
      <c r="N296" s="3">
        <f>N247-M247</f>
        <v>0</v>
      </c>
      <c r="O296" s="3">
        <f>O247-N247</f>
        <v>0</v>
      </c>
      <c r="P296" s="3">
        <f>P247-O247</f>
        <v>0</v>
      </c>
      <c r="Q296" s="3">
        <f>Q247-P247</f>
        <v>0</v>
      </c>
      <c r="R296" s="3">
        <f>SUM(N296:Q296)</f>
        <v>0</v>
      </c>
      <c r="S296" s="3">
        <f>S247-R247</f>
        <v>0</v>
      </c>
      <c r="T296" s="3">
        <f>T247-S247</f>
        <v>0</v>
      </c>
      <c r="U296" s="3">
        <f>U247-T247</f>
        <v>0</v>
      </c>
      <c r="V296" s="3">
        <f>V247-U247</f>
        <v>0</v>
      </c>
      <c r="W296" s="3">
        <f>SUM(S296:V296)</f>
        <v>0</v>
      </c>
      <c r="X296" s="3">
        <f>X247-W247</f>
        <v>0</v>
      </c>
      <c r="Y296" s="3">
        <f>Y247-X247</f>
        <v>0</v>
      </c>
      <c r="Z296" s="3">
        <f>Z247-Y247</f>
        <v>0</v>
      </c>
      <c r="AA296" s="3">
        <f>AA247-Z247</f>
        <v>0</v>
      </c>
      <c r="AB296" s="3">
        <f>SUM(X296:AA296)</f>
        <v>0</v>
      </c>
      <c r="AC296" s="3">
        <f>AC247-AB247</f>
        <v>0</v>
      </c>
      <c r="AD296" s="3">
        <f>AD247-AC247</f>
        <v>0</v>
      </c>
      <c r="AE296" s="3">
        <f>AE247-AD247</f>
        <v>0</v>
      </c>
      <c r="AF296" s="3">
        <f>AF247-AE247</f>
        <v>0</v>
      </c>
      <c r="AG296" s="3">
        <f>SUM(AC296:AF296)</f>
        <v>0</v>
      </c>
      <c r="AH296" s="3">
        <f>AH247-AG247</f>
        <v>0</v>
      </c>
      <c r="AI296" s="3">
        <f>AI247-AH247</f>
        <v>0</v>
      </c>
      <c r="AJ296" s="3">
        <f>AJ247-AI247</f>
        <v>0</v>
      </c>
      <c r="AK296" s="3">
        <f>AK247-AJ247</f>
        <v>0</v>
      </c>
      <c r="AL296" s="3">
        <f>SUM(AH296:AK296)</f>
        <v>0</v>
      </c>
      <c r="AM296" s="3">
        <f>AM247-AL247</f>
        <v>0</v>
      </c>
      <c r="AN296" s="3">
        <f>AN247-AM247</f>
        <v>0</v>
      </c>
      <c r="AO296" s="3">
        <f>AO247-AN247</f>
        <v>0</v>
      </c>
      <c r="AP296" s="3">
        <f>AP247-AO247</f>
        <v>0</v>
      </c>
      <c r="AQ296" s="3">
        <f>SUM(AM296:AP296)</f>
        <v>0</v>
      </c>
      <c r="AR296" s="3">
        <f>AR247-AQ247</f>
        <v>0</v>
      </c>
      <c r="AS296" s="3">
        <f>AS247-AR247</f>
        <v>0</v>
      </c>
      <c r="AT296" s="3">
        <f>AT247-AS247</f>
        <v>0</v>
      </c>
      <c r="AU296" s="3">
        <f>AU247-AT247</f>
        <v>0</v>
      </c>
      <c r="AV296" s="3">
        <f>SUM(AR296:AU296)</f>
        <v>0</v>
      </c>
      <c r="AW296" s="3">
        <f>AW247-AV247</f>
        <v>0</v>
      </c>
      <c r="AX296" s="3">
        <f>AX247-AW247</f>
        <v>0</v>
      </c>
      <c r="AY296" s="3">
        <f>AY247-AX247</f>
        <v>0</v>
      </c>
      <c r="AZ296" s="3">
        <f>AZ247-AY247</f>
        <v>0</v>
      </c>
      <c r="BA296" s="3">
        <f>SUM(AW296:AZ296)</f>
        <v>0</v>
      </c>
      <c r="BB296" s="3">
        <f>BB247-BA247</f>
        <v>0</v>
      </c>
      <c r="BC296" s="3">
        <f>BC247-BB247</f>
        <v>0</v>
      </c>
      <c r="BD296" s="3">
        <f>BD247-BC247</f>
        <v>0</v>
      </c>
      <c r="BE296" s="3">
        <f>BE247-BD247</f>
        <v>0</v>
      </c>
      <c r="BF296" s="3">
        <f>SUM(BB296:BE296)</f>
        <v>0</v>
      </c>
      <c r="BG296" s="3">
        <f>BG247-BF247</f>
        <v>0</v>
      </c>
      <c r="BH296" s="3">
        <f>BH247-BG247</f>
        <v>0</v>
      </c>
      <c r="BI296" s="3">
        <f>BI247-BH247</f>
        <v>0</v>
      </c>
      <c r="BJ296" s="3">
        <f>BJ247-BI247</f>
        <v>0</v>
      </c>
      <c r="BK296" s="3">
        <f>SUM(BG296:BJ296)</f>
        <v>0</v>
      </c>
      <c r="BL296" s="3">
        <f>BL247-BK247</f>
        <v>0</v>
      </c>
      <c r="BM296" s="3">
        <f>BM247-BL247</f>
        <v>0</v>
      </c>
      <c r="BN296" s="3">
        <f>BN247-BM247</f>
        <v>0</v>
      </c>
      <c r="BO296" s="3">
        <f>BO247-BN247</f>
        <v>0</v>
      </c>
      <c r="BP296" s="3">
        <f>SUM(BL296:BO296)</f>
        <v>0</v>
      </c>
      <c r="BQ296" s="3">
        <f>BQ247-BP247</f>
        <v>0</v>
      </c>
      <c r="BR296" s="3">
        <f>BR247-BQ247</f>
        <v>0</v>
      </c>
      <c r="BS296" s="3">
        <f>BS247-BR247</f>
        <v>0</v>
      </c>
      <c r="BT296" s="3">
        <f>BT247-BS247</f>
        <v>0</v>
      </c>
      <c r="BU296" s="3">
        <f>SUM(BQ296:BT296)</f>
        <v>0</v>
      </c>
      <c r="BV296" s="3">
        <f>BV247-BU247</f>
        <v>0</v>
      </c>
      <c r="BW296" s="3">
        <f>BW247-BV247</f>
        <v>0</v>
      </c>
      <c r="BX296" s="3">
        <f>BX247-BW247</f>
        <v>0</v>
      </c>
      <c r="BY296" s="3">
        <f>BY247-BX247</f>
        <v>0</v>
      </c>
      <c r="BZ296" s="3">
        <f>SUM(BV296:BY296)</f>
        <v>0</v>
      </c>
      <c r="CA296" s="3">
        <f>CA247-BZ247</f>
        <v>0</v>
      </c>
      <c r="CB296" s="3">
        <f>CB247-CA247</f>
        <v>0</v>
      </c>
      <c r="CC296" s="3">
        <f>CC247-CB247</f>
        <v>0</v>
      </c>
      <c r="CD296" s="3">
        <f>CD247-CC247</f>
        <v>0</v>
      </c>
      <c r="CE296" s="3">
        <f>SUM(CA296:CD296)</f>
        <v>0</v>
      </c>
      <c r="CF296" s="3">
        <f>CF247-CE247</f>
        <v>0</v>
      </c>
      <c r="CG296" s="3">
        <f>CG247-CF247</f>
        <v>0</v>
      </c>
      <c r="CH296" s="3">
        <f>CH247-CG247</f>
        <v>0</v>
      </c>
      <c r="CI296" s="3">
        <f>CI247-CH247</f>
        <v>0</v>
      </c>
      <c r="CJ296" s="3">
        <f>SUM(CF296:CI296)</f>
        <v>0</v>
      </c>
      <c r="CK296" s="3">
        <f>CK247-CJ247</f>
        <v>0</v>
      </c>
      <c r="CL296" s="3">
        <f>CL247-CK247</f>
        <v>0</v>
      </c>
      <c r="CM296" s="3">
        <f>CM247-CL247</f>
        <v>0</v>
      </c>
      <c r="CN296" s="3">
        <f>CN247-CM247</f>
        <v>0</v>
      </c>
      <c r="CO296" s="3">
        <f>SUM(CK296:CN296)</f>
        <v>0</v>
      </c>
      <c r="CP296" s="3">
        <f>CP247-CO247</f>
        <v>0</v>
      </c>
      <c r="CQ296" s="3">
        <f>CQ247-CP247</f>
        <v>0</v>
      </c>
      <c r="CR296" s="3">
        <f>CR247-CQ247</f>
        <v>0</v>
      </c>
      <c r="CS296" s="3">
        <f>CS247-CR247</f>
        <v>0</v>
      </c>
      <c r="CT296" s="3">
        <f>SUM(CP296:CS296)</f>
        <v>0</v>
      </c>
      <c r="CU296" s="3">
        <f>CU247-CT247</f>
        <v>0</v>
      </c>
      <c r="CV296" s="3">
        <f>CV247-CU247</f>
        <v>0</v>
      </c>
      <c r="CW296" s="3">
        <f>CW247-CV247</f>
        <v>0</v>
      </c>
      <c r="CX296" s="3">
        <f>CX247-CW247</f>
        <v>0</v>
      </c>
      <c r="CY296" s="3">
        <f>SUM(CU296:CX296)</f>
        <v>0</v>
      </c>
    </row>
    <row r="297">
      <c r="C297" s="26" t="inlineStr">
        <is>
          <t>Common stock and APIC</t>
        </is>
      </c>
      <c r="D297" s="3" t="n"/>
      <c r="E297" s="3">
        <f>E248-D248</f>
        <v>192.281</v>
      </c>
      <c r="F297" s="3">
        <f>F248-E248</f>
        <v>175.669</v>
      </c>
      <c r="G297" s="3">
        <f>G248-F248</f>
        <v>144.216</v>
      </c>
      <c r="H297" s="3">
        <f>SUM(D297:G297)</f>
        <v>512.166</v>
      </c>
      <c r="I297" s="3">
        <f>I248-H248</f>
        <v>152.386</v>
      </c>
      <c r="J297" s="3">
        <f>J248-I248</f>
        <v>121.162</v>
      </c>
      <c r="K297" s="3">
        <f>K248-J248</f>
        <v>131.285</v>
      </c>
      <c r="L297" s="3">
        <f>L248-K248</f>
        <v>172.03</v>
      </c>
      <c r="M297" s="3">
        <f>SUM(I297:L297)</f>
        <v>576.863</v>
      </c>
      <c r="N297" s="3">
        <f>N248-M248</f>
        <v>131.019</v>
      </c>
      <c r="O297" s="3">
        <f>O248-N248</f>
        <v>161.29</v>
      </c>
      <c r="P297" s="3">
        <f>P248-O248</f>
        <v>157.092</v>
      </c>
      <c r="Q297" s="3">
        <f>Q248-P248</f>
        <v>163.639</v>
      </c>
      <c r="R297" s="3">
        <f>SUM(N297:Q297)</f>
        <v>613.04</v>
      </c>
      <c r="S297" s="3">
        <f>S248-R248</f>
        <v>124.794</v>
      </c>
      <c r="T297" s="3">
        <f>T248-S248</f>
        <v>111.813</v>
      </c>
      <c r="U297" s="3">
        <f>U248-T248</f>
        <v>137.219</v>
      </c>
      <c r="V297" s="3">
        <f>V248-U248</f>
        <v>133.745</v>
      </c>
      <c r="W297" s="3">
        <f>SUM(S297:V297)</f>
        <v>507.571</v>
      </c>
      <c r="X297" s="3">
        <f>X248-W248</f>
        <v>344.678</v>
      </c>
      <c r="Y297" s="3">
        <f>Y248-X248</f>
        <v>190.211</v>
      </c>
      <c r="Z297" s="3">
        <f>Z248-Y248</f>
        <v>207.842</v>
      </c>
      <c r="AA297" s="3">
        <f>AA248-Z248</f>
        <v>364.223</v>
      </c>
      <c r="AB297" s="3">
        <f>SUM(X297:AA297)</f>
        <v>1106.954</v>
      </c>
      <c r="AC297" s="3">
        <f>AC248-AB248</f>
        <v>425.343000000001</v>
      </c>
      <c r="AD297" s="3">
        <f>AD248-AC248</f>
        <v>255.358999999999</v>
      </c>
      <c r="AE297" s="3">
        <f>AE248-AD248</f>
        <v>147.497</v>
      </c>
      <c r="AF297" s="3">
        <f>AF248-AE248</f>
        <v>206.085</v>
      </c>
      <c r="AG297" s="3">
        <f>SUM(AC297:AF297)</f>
        <v>1034.284</v>
      </c>
      <c r="AH297" s="3">
        <f>AH248-AG248</f>
        <v>192.085</v>
      </c>
      <c r="AI297" s="3">
        <f>AI248-AH248</f>
        <v>192.008</v>
      </c>
      <c r="AJ297" s="3">
        <f>AJ248-AI248</f>
        <v>0</v>
      </c>
      <c r="AK297" s="3">
        <f>AK248-AJ248</f>
        <v>0</v>
      </c>
      <c r="AL297" s="3">
        <f>SUM(AH297:AK297)</f>
        <v>384.093</v>
      </c>
      <c r="AM297" s="3">
        <f>AM248-AL248</f>
        <v>0</v>
      </c>
      <c r="AN297" s="3">
        <f>AN248-AM248</f>
        <v>0</v>
      </c>
      <c r="AO297" s="3">
        <f>AO248-AN248</f>
        <v>0</v>
      </c>
      <c r="AP297" s="3">
        <f>AP248-AO248</f>
        <v>0</v>
      </c>
      <c r="AQ297" s="3">
        <f>SUM(AM297:AP297)</f>
        <v>0</v>
      </c>
      <c r="AR297" s="3">
        <f>AR248-AQ248</f>
        <v>0</v>
      </c>
      <c r="AS297" s="3">
        <f>AS248-AR248</f>
        <v>0</v>
      </c>
      <c r="AT297" s="3">
        <f>AT248-AS248</f>
        <v>0</v>
      </c>
      <c r="AU297" s="3">
        <f>AU248-AT248</f>
        <v>0</v>
      </c>
      <c r="AV297" s="3">
        <f>SUM(AR297:AU297)</f>
        <v>0</v>
      </c>
      <c r="AW297" s="3">
        <f>AW248-AV248</f>
        <v>0</v>
      </c>
      <c r="AX297" s="3">
        <f>AX248-AW248</f>
        <v>0</v>
      </c>
      <c r="AY297" s="3">
        <f>AY248-AX248</f>
        <v>0</v>
      </c>
      <c r="AZ297" s="3">
        <f>AZ248-AY248</f>
        <v>0</v>
      </c>
      <c r="BA297" s="3">
        <f>SUM(AW297:AZ297)</f>
        <v>0</v>
      </c>
      <c r="BB297" s="3">
        <f>BB248-BA248</f>
        <v>0</v>
      </c>
      <c r="BC297" s="3">
        <f>BC248-BB248</f>
        <v>0</v>
      </c>
      <c r="BD297" s="3">
        <f>BD248-BC248</f>
        <v>0</v>
      </c>
      <c r="BE297" s="3">
        <f>BE248-BD248</f>
        <v>0</v>
      </c>
      <c r="BF297" s="3">
        <f>SUM(BB297:BE297)</f>
        <v>0</v>
      </c>
      <c r="BG297" s="3">
        <f>BG248-BF248</f>
        <v>0</v>
      </c>
      <c r="BH297" s="3">
        <f>BH248-BG248</f>
        <v>0</v>
      </c>
      <c r="BI297" s="3">
        <f>BI248-BH248</f>
        <v>0</v>
      </c>
      <c r="BJ297" s="3">
        <f>BJ248-BI248</f>
        <v>0</v>
      </c>
      <c r="BK297" s="3">
        <f>SUM(BG297:BJ297)</f>
        <v>0</v>
      </c>
      <c r="BL297" s="3">
        <f>BL248-BK248</f>
        <v>0</v>
      </c>
      <c r="BM297" s="3">
        <f>BM248-BL248</f>
        <v>0</v>
      </c>
      <c r="BN297" s="3">
        <f>BN248-BM248</f>
        <v>0</v>
      </c>
      <c r="BO297" s="3">
        <f>BO248-BN248</f>
        <v>0</v>
      </c>
      <c r="BP297" s="3">
        <f>SUM(BL297:BO297)</f>
        <v>0</v>
      </c>
      <c r="BQ297" s="3">
        <f>BQ248-BP248</f>
        <v>0</v>
      </c>
      <c r="BR297" s="3">
        <f>BR248-BQ248</f>
        <v>0</v>
      </c>
      <c r="BS297" s="3">
        <f>BS248-BR248</f>
        <v>0</v>
      </c>
      <c r="BT297" s="3">
        <f>BT248-BS248</f>
        <v>0</v>
      </c>
      <c r="BU297" s="3">
        <f>SUM(BQ297:BT297)</f>
        <v>0</v>
      </c>
      <c r="BV297" s="3">
        <f>BV248-BU248</f>
        <v>0</v>
      </c>
      <c r="BW297" s="3">
        <f>BW248-BV248</f>
        <v>0</v>
      </c>
      <c r="BX297" s="3">
        <f>BX248-BW248</f>
        <v>0</v>
      </c>
      <c r="BY297" s="3">
        <f>BY248-BX248</f>
        <v>0</v>
      </c>
      <c r="BZ297" s="3">
        <f>SUM(BV297:BY297)</f>
        <v>0</v>
      </c>
      <c r="CA297" s="3">
        <f>CA248-BZ248</f>
        <v>0</v>
      </c>
      <c r="CB297" s="3">
        <f>CB248-CA248</f>
        <v>0</v>
      </c>
      <c r="CC297" s="3">
        <f>CC248-CB248</f>
        <v>0</v>
      </c>
      <c r="CD297" s="3">
        <f>CD248-CC248</f>
        <v>0</v>
      </c>
      <c r="CE297" s="3">
        <f>SUM(CA297:CD297)</f>
        <v>0</v>
      </c>
      <c r="CF297" s="3">
        <f>CF248-CE248</f>
        <v>0</v>
      </c>
      <c r="CG297" s="3">
        <f>CG248-CF248</f>
        <v>0</v>
      </c>
      <c r="CH297" s="3">
        <f>CH248-CG248</f>
        <v>0</v>
      </c>
      <c r="CI297" s="3">
        <f>CI248-CH248</f>
        <v>0</v>
      </c>
      <c r="CJ297" s="3">
        <f>SUM(CF297:CI297)</f>
        <v>0</v>
      </c>
      <c r="CK297" s="3">
        <f>CK248-CJ248</f>
        <v>0</v>
      </c>
      <c r="CL297" s="3">
        <f>CL248-CK248</f>
        <v>0</v>
      </c>
      <c r="CM297" s="3">
        <f>CM248-CL248</f>
        <v>0</v>
      </c>
      <c r="CN297" s="3">
        <f>CN248-CM248</f>
        <v>0</v>
      </c>
      <c r="CO297" s="3">
        <f>SUM(CK297:CN297)</f>
        <v>0</v>
      </c>
      <c r="CP297" s="3">
        <f>CP248-CO248</f>
        <v>0</v>
      </c>
      <c r="CQ297" s="3">
        <f>CQ248-CP248</f>
        <v>0</v>
      </c>
      <c r="CR297" s="3">
        <f>CR248-CQ248</f>
        <v>0</v>
      </c>
      <c r="CS297" s="3">
        <f>CS248-CR248</f>
        <v>0</v>
      </c>
      <c r="CT297" s="3">
        <f>SUM(CP297:CS297)</f>
        <v>0</v>
      </c>
      <c r="CU297" s="3">
        <f>CU248-CT248</f>
        <v>0</v>
      </c>
      <c r="CV297" s="3">
        <f>CV248-CU248</f>
        <v>0</v>
      </c>
      <c r="CW297" s="3">
        <f>CW248-CV248</f>
        <v>0</v>
      </c>
      <c r="CX297" s="3">
        <f>CX248-CW248</f>
        <v>0</v>
      </c>
      <c r="CY297" s="3">
        <f>SUM(CU297:CX297)</f>
        <v>0</v>
      </c>
    </row>
    <row r="298">
      <c r="C298" s="26" t="inlineStr">
        <is>
          <t>Treasury stock repurchases</t>
        </is>
      </c>
      <c r="D298" s="3" t="n"/>
      <c r="E298" s="3">
        <f>E261-D261</f>
        <v>0</v>
      </c>
      <c r="F298" s="3">
        <f>F261-E261</f>
        <v>0</v>
      </c>
      <c r="G298" s="3">
        <f>G261-F261</f>
        <v>0</v>
      </c>
      <c r="H298" s="3">
        <f>SUM(D298:G298)</f>
        <v>0</v>
      </c>
      <c r="I298" s="3">
        <f>I261-H261</f>
        <v>0</v>
      </c>
      <c r="J298" s="3">
        <f>J261-I261</f>
        <v>-500.022</v>
      </c>
      <c r="K298" s="3">
        <f>K261-J261</f>
        <v>-99.9999999999999</v>
      </c>
      <c r="L298" s="3">
        <f>L261-K261</f>
        <v>-224.168</v>
      </c>
      <c r="M298" s="3">
        <f>SUM(I298:L298)</f>
        <v>-824.19</v>
      </c>
      <c r="N298" s="3">
        <f>N261-M261</f>
        <v>0</v>
      </c>
      <c r="O298" s="3">
        <f>O261-N261</f>
        <v>0</v>
      </c>
      <c r="P298" s="3">
        <f>P261-O261</f>
        <v>0</v>
      </c>
      <c r="Q298" s="3">
        <f>Q261-P261</f>
        <v>0</v>
      </c>
      <c r="R298" s="3">
        <f>SUM(N298:Q298)</f>
        <v>0</v>
      </c>
      <c r="S298" s="3">
        <f>S261-R261</f>
        <v>-404.73</v>
      </c>
      <c r="T298" s="3">
        <f>T261-S261</f>
        <v>-647.833</v>
      </c>
      <c r="U298" s="3">
        <f>U261-T261</f>
        <v>-2522.924</v>
      </c>
      <c r="V298" s="3">
        <f>V261-U261</f>
        <v>-2522.523</v>
      </c>
      <c r="W298" s="3">
        <f>SUM(S298:V298)</f>
        <v>-6098.01</v>
      </c>
      <c r="X298" s="3">
        <f>X261-W261</f>
        <v>-2011.856</v>
      </c>
      <c r="Y298" s="3">
        <f>Y261-X261</f>
        <v>-1612.999</v>
      </c>
      <c r="Z298" s="3">
        <f>Z261-Y261</f>
        <v>-1707.8</v>
      </c>
      <c r="AA298" s="3">
        <f>AA261-Z261</f>
        <v>-916.782999999999</v>
      </c>
      <c r="AB298" s="3">
        <f>SUM(X298:AA298)</f>
        <v>-6249.438</v>
      </c>
      <c r="AC298" s="3">
        <f>AC261-AB261</f>
        <v>-3583.291</v>
      </c>
      <c r="AD298" s="3">
        <f>AD261-AC261</f>
        <v>-1638.013</v>
      </c>
      <c r="AE298" s="3">
        <f>AE261-AD261</f>
        <v>-1877.689</v>
      </c>
      <c r="AF298" s="3">
        <f>AF261-AE261</f>
        <v>-2102.027</v>
      </c>
      <c r="AG298" s="3">
        <f>SUM(AC298:AF298)</f>
        <v>-9201.02</v>
      </c>
      <c r="AH298" s="3">
        <f>AH261-AG261</f>
        <v>-1309.316</v>
      </c>
      <c r="AI298" s="3">
        <f>AI261-AH261</f>
        <v>-4705.683</v>
      </c>
      <c r="AJ298" s="3">
        <f>AJ261-AI261</f>
        <v>0</v>
      </c>
      <c r="AK298" s="3">
        <f>AK261-AJ261</f>
        <v>0</v>
      </c>
      <c r="AL298" s="3">
        <f>SUM(AH298:AK298)</f>
        <v>-6014.999</v>
      </c>
      <c r="AM298" s="3">
        <f>AM261-AL261</f>
        <v>0</v>
      </c>
      <c r="AN298" s="3">
        <f>AN261-AM261</f>
        <v>0</v>
      </c>
      <c r="AO298" s="3">
        <f>AO261-AN261</f>
        <v>0</v>
      </c>
      <c r="AP298" s="3">
        <f>AP261-AO261</f>
        <v>0</v>
      </c>
      <c r="AQ298" s="3">
        <f>SUM(AM298:AP298)</f>
        <v>0</v>
      </c>
      <c r="AR298" s="3">
        <f>AR261-AQ261</f>
        <v>0</v>
      </c>
      <c r="AS298" s="3">
        <f>AS261-AR261</f>
        <v>0</v>
      </c>
      <c r="AT298" s="3">
        <f>AT261-AS261</f>
        <v>0</v>
      </c>
      <c r="AU298" s="3">
        <f>AU261-AT261</f>
        <v>0</v>
      </c>
      <c r="AV298" s="3">
        <f>SUM(AR298:AU298)</f>
        <v>0</v>
      </c>
      <c r="AW298" s="3">
        <f>AW261-AV261</f>
        <v>0</v>
      </c>
      <c r="AX298" s="3">
        <f>AX261-AW261</f>
        <v>0</v>
      </c>
      <c r="AY298" s="3">
        <f>AY261-AX261</f>
        <v>0</v>
      </c>
      <c r="AZ298" s="3">
        <f>AZ261-AY261</f>
        <v>0</v>
      </c>
      <c r="BA298" s="3">
        <f>SUM(AW298:AZ298)</f>
        <v>0</v>
      </c>
      <c r="BB298" s="3">
        <f>BB261-BA261</f>
        <v>0</v>
      </c>
      <c r="BC298" s="3">
        <f>BC261-BB261</f>
        <v>0</v>
      </c>
      <c r="BD298" s="3">
        <f>BD261-BC261</f>
        <v>0</v>
      </c>
      <c r="BE298" s="3">
        <f>BE261-BD261</f>
        <v>0</v>
      </c>
      <c r="BF298" s="3">
        <f>SUM(BB298:BE298)</f>
        <v>0</v>
      </c>
      <c r="BG298" s="3">
        <f>BG261-BF261</f>
        <v>0</v>
      </c>
      <c r="BH298" s="3">
        <f>BH261-BG261</f>
        <v>0</v>
      </c>
      <c r="BI298" s="3">
        <f>BI261-BH261</f>
        <v>0</v>
      </c>
      <c r="BJ298" s="3">
        <f>BJ261-BI261</f>
        <v>0</v>
      </c>
      <c r="BK298" s="3">
        <f>SUM(BG298:BJ298)</f>
        <v>0</v>
      </c>
      <c r="BL298" s="3">
        <f>BL261-BK261</f>
        <v>0</v>
      </c>
      <c r="BM298" s="3">
        <f>BM261-BL261</f>
        <v>0</v>
      </c>
      <c r="BN298" s="3">
        <f>BN261-BM261</f>
        <v>0</v>
      </c>
      <c r="BO298" s="3">
        <f>BO261-BN261</f>
        <v>0</v>
      </c>
      <c r="BP298" s="3">
        <f>SUM(BL298:BO298)</f>
        <v>0</v>
      </c>
      <c r="BQ298" s="3">
        <f>BQ261-BP261</f>
        <v>0</v>
      </c>
      <c r="BR298" s="3">
        <f>BR261-BQ261</f>
        <v>0</v>
      </c>
      <c r="BS298" s="3">
        <f>BS261-BR261</f>
        <v>0</v>
      </c>
      <c r="BT298" s="3">
        <f>BT261-BS261</f>
        <v>0</v>
      </c>
      <c r="BU298" s="3">
        <f>SUM(BQ298:BT298)</f>
        <v>0</v>
      </c>
      <c r="BV298" s="3">
        <f>BV261-BU261</f>
        <v>0</v>
      </c>
      <c r="BW298" s="3">
        <f>BW261-BV261</f>
        <v>0</v>
      </c>
      <c r="BX298" s="3">
        <f>BX261-BW261</f>
        <v>0</v>
      </c>
      <c r="BY298" s="3">
        <f>BY261-BX261</f>
        <v>0</v>
      </c>
      <c r="BZ298" s="3">
        <f>SUM(BV298:BY298)</f>
        <v>0</v>
      </c>
      <c r="CA298" s="3">
        <f>CA261-BZ261</f>
        <v>0</v>
      </c>
      <c r="CB298" s="3">
        <f>CB261-CA261</f>
        <v>0</v>
      </c>
      <c r="CC298" s="3">
        <f>CC261-CB261</f>
        <v>0</v>
      </c>
      <c r="CD298" s="3">
        <f>CD261-CC261</f>
        <v>0</v>
      </c>
      <c r="CE298" s="3">
        <f>SUM(CA298:CD298)</f>
        <v>0</v>
      </c>
      <c r="CF298" s="3">
        <f>CF261-CE261</f>
        <v>0</v>
      </c>
      <c r="CG298" s="3">
        <f>CG261-CF261</f>
        <v>0</v>
      </c>
      <c r="CH298" s="3">
        <f>CH261-CG261</f>
        <v>0</v>
      </c>
      <c r="CI298" s="3">
        <f>CI261-CH261</f>
        <v>0</v>
      </c>
      <c r="CJ298" s="3">
        <f>SUM(CF298:CI298)</f>
        <v>0</v>
      </c>
      <c r="CK298" s="3">
        <f>CK261-CJ261</f>
        <v>0</v>
      </c>
      <c r="CL298" s="3">
        <f>CL261-CK261</f>
        <v>0</v>
      </c>
      <c r="CM298" s="3">
        <f>CM261-CL261</f>
        <v>0</v>
      </c>
      <c r="CN298" s="3">
        <f>CN261-CM261</f>
        <v>0</v>
      </c>
      <c r="CO298" s="3">
        <f>SUM(CK298:CN298)</f>
        <v>0</v>
      </c>
      <c r="CP298" s="3">
        <f>CP261-CO261</f>
        <v>0</v>
      </c>
      <c r="CQ298" s="3">
        <f>CQ261-CP261</f>
        <v>0</v>
      </c>
      <c r="CR298" s="3">
        <f>CR261-CQ261</f>
        <v>0</v>
      </c>
      <c r="CS298" s="3">
        <f>CS261-CR261</f>
        <v>0</v>
      </c>
      <c r="CT298" s="3">
        <f>SUM(CP298:CS298)</f>
        <v>0</v>
      </c>
      <c r="CU298" s="3">
        <f>CU261-CT261</f>
        <v>0</v>
      </c>
      <c r="CV298" s="3">
        <f>CV261-CU261</f>
        <v>0</v>
      </c>
      <c r="CW298" s="3">
        <f>CW261-CV261</f>
        <v>0</v>
      </c>
      <c r="CX298" s="3">
        <f>CX261-CW261</f>
        <v>0</v>
      </c>
      <c r="CY298" s="3">
        <f>SUM(CU298:CX298)</f>
        <v>0</v>
      </c>
    </row>
    <row r="299">
      <c r="C299" s="26" t="inlineStr">
        <is>
          <t>Comprehensive accumulated loss</t>
        </is>
      </c>
      <c r="D299" s="3" t="n"/>
      <c r="E299" s="3">
        <f>E262-D262</f>
        <v>12.982</v>
      </c>
      <c r="F299" s="3">
        <f>F262-E262</f>
        <v>32.925</v>
      </c>
      <c r="G299" s="3">
        <f>G262-F262</f>
        <v>45.545</v>
      </c>
      <c r="H299" s="3">
        <f>SUM(D299:G299)</f>
        <v>91.452</v>
      </c>
      <c r="I299" s="3">
        <f>I262-H262</f>
        <v>-40.261</v>
      </c>
      <c r="J299" s="3">
        <f>J262-I262</f>
        <v>5.638</v>
      </c>
      <c r="K299" s="3">
        <f>K262-J262</f>
        <v>-29.61</v>
      </c>
      <c r="L299" s="3">
        <f>L262-K262</f>
        <v>-20.66</v>
      </c>
      <c r="M299" s="3">
        <f>SUM(I299:L299)</f>
        <v>-84.893</v>
      </c>
      <c r="N299" s="3">
        <f>N262-M262</f>
        <v>-33.675</v>
      </c>
      <c r="O299" s="3">
        <f>O262-N262</f>
        <v>-70.306</v>
      </c>
      <c r="P299" s="3">
        <f>P262-O262</f>
        <v>-103.167</v>
      </c>
      <c r="Q299" s="3">
        <f>Q262-P262</f>
        <v>30.337</v>
      </c>
      <c r="R299" s="3">
        <f>SUM(N299:Q299)</f>
        <v>-176.811</v>
      </c>
      <c r="S299" s="3">
        <f>S262-R262</f>
        <v>25.611</v>
      </c>
      <c r="T299" s="3">
        <f>T262-S262</f>
        <v>52.429</v>
      </c>
      <c r="U299" s="3">
        <f>U262-T262</f>
        <v>-16.305</v>
      </c>
      <c r="V299" s="3">
        <f>V262-U262</f>
        <v>-68.374</v>
      </c>
      <c r="W299" s="3">
        <f>SUM(S299:V299)</f>
        <v>-6.63900000000001</v>
      </c>
      <c r="X299" s="3">
        <f>X262-W262</f>
        <v>112.066</v>
      </c>
      <c r="Y299" s="3">
        <f>Y262-X262</f>
        <v>22.765</v>
      </c>
      <c r="Z299" s="3">
        <f>Z262-Y262</f>
        <v>-255.508</v>
      </c>
      <c r="AA299" s="3">
        <f>AA262-Z262</f>
        <v>706.784</v>
      </c>
      <c r="AB299" s="3">
        <f>SUM(X299:AA299)</f>
        <v>586.107</v>
      </c>
      <c r="AC299" s="3">
        <f>AC262-AB262</f>
        <v>-447.897</v>
      </c>
      <c r="AD299" s="3">
        <f>AD262-AC262</f>
        <v>-818.933</v>
      </c>
      <c r="AE299" s="3">
        <f>AE262-AD262</f>
        <v>185.412</v>
      </c>
      <c r="AF299" s="3">
        <f>AF262-AE262</f>
        <v>138.874</v>
      </c>
      <c r="AG299" s="3">
        <f>SUM(AC299:AF299)</f>
        <v>-942.544</v>
      </c>
      <c r="AH299" s="3">
        <f>AH262-AG262</f>
        <v>345.351</v>
      </c>
      <c r="AI299" s="3">
        <f>AI262-AH262</f>
        <v>137.914</v>
      </c>
      <c r="AJ299" s="3">
        <f>AJ262-AI262</f>
        <v>0</v>
      </c>
      <c r="AK299" s="3">
        <f>AK262-AJ262</f>
        <v>0</v>
      </c>
      <c r="AL299" s="3">
        <f>SUM(AH299:AK299)</f>
        <v>483.265</v>
      </c>
      <c r="AM299" s="3">
        <f>AM262-AL262</f>
        <v>0</v>
      </c>
      <c r="AN299" s="3">
        <f>AN262-AM262</f>
        <v>0</v>
      </c>
      <c r="AO299" s="3">
        <f>AO262-AN262</f>
        <v>0</v>
      </c>
      <c r="AP299" s="3">
        <f>AP262-AO262</f>
        <v>0</v>
      </c>
      <c r="AQ299" s="3">
        <f>SUM(AM299:AP299)</f>
        <v>0</v>
      </c>
      <c r="AR299" s="3">
        <f>AR262-AQ262</f>
        <v>0</v>
      </c>
      <c r="AS299" s="3">
        <f>AS262-AR262</f>
        <v>0</v>
      </c>
      <c r="AT299" s="3">
        <f>AT262-AS262</f>
        <v>0</v>
      </c>
      <c r="AU299" s="3">
        <f>AU262-AT262</f>
        <v>0</v>
      </c>
      <c r="AV299" s="3">
        <f>SUM(AR299:AU299)</f>
        <v>0</v>
      </c>
      <c r="AW299" s="3">
        <f>AW262-AV262</f>
        <v>0</v>
      </c>
      <c r="AX299" s="3">
        <f>AX262-AW262</f>
        <v>0</v>
      </c>
      <c r="AY299" s="3">
        <f>AY262-AX262</f>
        <v>0</v>
      </c>
      <c r="AZ299" s="3">
        <f>AZ262-AY262</f>
        <v>0</v>
      </c>
      <c r="BA299" s="3">
        <f>SUM(AW299:AZ299)</f>
        <v>0</v>
      </c>
      <c r="BB299" s="3">
        <f>BB262-BA262</f>
        <v>0</v>
      </c>
      <c r="BC299" s="3">
        <f>BC262-BB262</f>
        <v>0</v>
      </c>
      <c r="BD299" s="3">
        <f>BD262-BC262</f>
        <v>0</v>
      </c>
      <c r="BE299" s="3">
        <f>BE262-BD262</f>
        <v>0</v>
      </c>
      <c r="BF299" s="3">
        <f>SUM(BB299:BE299)</f>
        <v>0</v>
      </c>
      <c r="BG299" s="3">
        <f>BG262-BF262</f>
        <v>0</v>
      </c>
      <c r="BH299" s="3">
        <f>BH262-BG262</f>
        <v>0</v>
      </c>
      <c r="BI299" s="3">
        <f>BI262-BH262</f>
        <v>0</v>
      </c>
      <c r="BJ299" s="3">
        <f>BJ262-BI262</f>
        <v>0</v>
      </c>
      <c r="BK299" s="3">
        <f>SUM(BG299:BJ299)</f>
        <v>0</v>
      </c>
      <c r="BL299" s="3">
        <f>BL262-BK262</f>
        <v>0</v>
      </c>
      <c r="BM299" s="3">
        <f>BM262-BL262</f>
        <v>0</v>
      </c>
      <c r="BN299" s="3">
        <f>BN262-BM262</f>
        <v>0</v>
      </c>
      <c r="BO299" s="3">
        <f>BO262-BN262</f>
        <v>0</v>
      </c>
      <c r="BP299" s="3">
        <f>SUM(BL299:BO299)</f>
        <v>0</v>
      </c>
      <c r="BQ299" s="3">
        <f>BQ262-BP262</f>
        <v>0</v>
      </c>
      <c r="BR299" s="3">
        <f>BR262-BQ262</f>
        <v>0</v>
      </c>
      <c r="BS299" s="3">
        <f>BS262-BR262</f>
        <v>0</v>
      </c>
      <c r="BT299" s="3">
        <f>BT262-BS262</f>
        <v>0</v>
      </c>
      <c r="BU299" s="3">
        <f>SUM(BQ299:BT299)</f>
        <v>0</v>
      </c>
      <c r="BV299" s="3">
        <f>BV262-BU262</f>
        <v>0</v>
      </c>
      <c r="BW299" s="3">
        <f>BW262-BV262</f>
        <v>0</v>
      </c>
      <c r="BX299" s="3">
        <f>BX262-BW262</f>
        <v>0</v>
      </c>
      <c r="BY299" s="3">
        <f>BY262-BX262</f>
        <v>0</v>
      </c>
      <c r="BZ299" s="3">
        <f>SUM(BV299:BY299)</f>
        <v>0</v>
      </c>
      <c r="CA299" s="3">
        <f>CA262-BZ262</f>
        <v>0</v>
      </c>
      <c r="CB299" s="3">
        <f>CB262-CA262</f>
        <v>0</v>
      </c>
      <c r="CC299" s="3">
        <f>CC262-CB262</f>
        <v>0</v>
      </c>
      <c r="CD299" s="3">
        <f>CD262-CC262</f>
        <v>0</v>
      </c>
      <c r="CE299" s="3">
        <f>SUM(CA299:CD299)</f>
        <v>0</v>
      </c>
      <c r="CF299" s="3">
        <f>CF262-CE262</f>
        <v>0</v>
      </c>
      <c r="CG299" s="3">
        <f>CG262-CF262</f>
        <v>0</v>
      </c>
      <c r="CH299" s="3">
        <f>CH262-CG262</f>
        <v>0</v>
      </c>
      <c r="CI299" s="3">
        <f>CI262-CH262</f>
        <v>0</v>
      </c>
      <c r="CJ299" s="3">
        <f>SUM(CF299:CI299)</f>
        <v>0</v>
      </c>
      <c r="CK299" s="3">
        <f>CK262-CJ262</f>
        <v>0</v>
      </c>
      <c r="CL299" s="3">
        <f>CL262-CK262</f>
        <v>0</v>
      </c>
      <c r="CM299" s="3">
        <f>CM262-CL262</f>
        <v>0</v>
      </c>
      <c r="CN299" s="3">
        <f>CN262-CM262</f>
        <v>0</v>
      </c>
      <c r="CO299" s="3">
        <f>SUM(CK299:CN299)</f>
        <v>0</v>
      </c>
      <c r="CP299" s="3">
        <f>CP262-CO262</f>
        <v>0</v>
      </c>
      <c r="CQ299" s="3">
        <f>CQ262-CP262</f>
        <v>0</v>
      </c>
      <c r="CR299" s="3">
        <f>CR262-CQ262</f>
        <v>0</v>
      </c>
      <c r="CS299" s="3">
        <f>CS262-CR262</f>
        <v>0</v>
      </c>
      <c r="CT299" s="3">
        <f>SUM(CP299:CS299)</f>
        <v>0</v>
      </c>
      <c r="CU299" s="3">
        <f>CU262-CT262</f>
        <v>0</v>
      </c>
      <c r="CV299" s="3">
        <f>CV262-CU262</f>
        <v>0</v>
      </c>
      <c r="CW299" s="3">
        <f>CW262-CV262</f>
        <v>0</v>
      </c>
      <c r="CX299" s="3">
        <f>CX262-CW262</f>
        <v>0</v>
      </c>
      <c r="CY299" s="3">
        <f>SUM(CU299:CX299)</f>
        <v>0</v>
      </c>
    </row>
    <row r="300">
      <c r="C300" s="26" t="inlineStr">
        <is>
          <t>Other equity account</t>
        </is>
      </c>
      <c r="D300" s="3" t="n"/>
      <c r="E300" s="3">
        <f>E263-D263</f>
        <v>0</v>
      </c>
      <c r="F300" s="3">
        <f>F263-E263</f>
        <v>0</v>
      </c>
      <c r="G300" s="3">
        <f>G263-F263</f>
        <v>0</v>
      </c>
      <c r="H300" s="3">
        <f>SUM(D300:G300)</f>
        <v>0</v>
      </c>
      <c r="I300" s="3">
        <f>I263-H263</f>
        <v>0</v>
      </c>
      <c r="J300" s="3">
        <f>J263-I263</f>
        <v>0</v>
      </c>
      <c r="K300" s="3">
        <f>K263-J263</f>
        <v>0</v>
      </c>
      <c r="L300" s="3">
        <f>L263-K263</f>
        <v>0</v>
      </c>
      <c r="M300" s="3">
        <f>SUM(I300:L300)</f>
        <v>0</v>
      </c>
      <c r="N300" s="3">
        <f>N263-M263</f>
        <v>0</v>
      </c>
      <c r="O300" s="3">
        <f>O263-N263</f>
        <v>0</v>
      </c>
      <c r="P300" s="3">
        <f>P263-O263</f>
        <v>0</v>
      </c>
      <c r="Q300" s="3">
        <f>Q263-P263</f>
        <v>0</v>
      </c>
      <c r="R300" s="3">
        <f>SUM(N300:Q300)</f>
        <v>0</v>
      </c>
      <c r="S300" s="3">
        <f>S263-R263</f>
        <v>0</v>
      </c>
      <c r="T300" s="3">
        <f>T263-S263</f>
        <v>0</v>
      </c>
      <c r="U300" s="3">
        <f>U263-T263</f>
        <v>0</v>
      </c>
      <c r="V300" s="3">
        <f>V263-U263</f>
        <v>0</v>
      </c>
      <c r="W300" s="3">
        <f>SUM(S300:V300)</f>
        <v>0</v>
      </c>
      <c r="X300" s="3">
        <f>X263-W263</f>
        <v>0</v>
      </c>
      <c r="Y300" s="3">
        <f>Y263-X263</f>
        <v>0</v>
      </c>
      <c r="Z300" s="3">
        <f>Z263-Y263</f>
        <v>0</v>
      </c>
      <c r="AA300" s="3">
        <f>AA263-Z263</f>
        <v>0</v>
      </c>
      <c r="AB300" s="3">
        <f>SUM(X300:AA300)</f>
        <v>0</v>
      </c>
      <c r="AC300" s="3">
        <f>AC263-AB263</f>
        <v>0</v>
      </c>
      <c r="AD300" s="3">
        <f>AD263-AC263</f>
        <v>0</v>
      </c>
      <c r="AE300" s="3">
        <f>AE263-AD263</f>
        <v>0</v>
      </c>
      <c r="AF300" s="3">
        <f>AF263-AE263</f>
        <v>0</v>
      </c>
      <c r="AG300" s="3">
        <f>SUM(AC300:AF300)</f>
        <v>0</v>
      </c>
      <c r="AH300" s="3">
        <f>AH263-AG263</f>
        <v>0</v>
      </c>
      <c r="AI300" s="3">
        <f>AI263-AH263</f>
        <v>0</v>
      </c>
      <c r="AJ300" s="3">
        <f>AJ263-AI263</f>
        <v>0</v>
      </c>
      <c r="AK300" s="3">
        <f>AK263-AJ263</f>
        <v>0</v>
      </c>
      <c r="AL300" s="3">
        <f>SUM(AH300:AK300)</f>
        <v>0</v>
      </c>
      <c r="AM300" s="3">
        <f>AM263-AL263</f>
        <v>0</v>
      </c>
      <c r="AN300" s="3">
        <f>AN263-AM263</f>
        <v>0</v>
      </c>
      <c r="AO300" s="3">
        <f>AO263-AN263</f>
        <v>0</v>
      </c>
      <c r="AP300" s="3">
        <f>AP263-AO263</f>
        <v>0</v>
      </c>
      <c r="AQ300" s="3">
        <f>SUM(AM300:AP300)</f>
        <v>0</v>
      </c>
      <c r="AR300" s="3">
        <f>AR263-AQ263</f>
        <v>0</v>
      </c>
      <c r="AS300" s="3">
        <f>AS263-AR263</f>
        <v>0</v>
      </c>
      <c r="AT300" s="3">
        <f>AT263-AS263</f>
        <v>0</v>
      </c>
      <c r="AU300" s="3">
        <f>AU263-AT263</f>
        <v>0</v>
      </c>
      <c r="AV300" s="3">
        <f>SUM(AR300:AU300)</f>
        <v>0</v>
      </c>
      <c r="AW300" s="3">
        <f>AW263-AV263</f>
        <v>0</v>
      </c>
      <c r="AX300" s="3">
        <f>AX263-AW263</f>
        <v>0</v>
      </c>
      <c r="AY300" s="3">
        <f>AY263-AX263</f>
        <v>0</v>
      </c>
      <c r="AZ300" s="3">
        <f>AZ263-AY263</f>
        <v>0</v>
      </c>
      <c r="BA300" s="3">
        <f>SUM(AW300:AZ300)</f>
        <v>0</v>
      </c>
      <c r="BB300" s="3">
        <f>BB263-BA263</f>
        <v>0</v>
      </c>
      <c r="BC300" s="3">
        <f>BC263-BB263</f>
        <v>0</v>
      </c>
      <c r="BD300" s="3">
        <f>BD263-BC263</f>
        <v>0</v>
      </c>
      <c r="BE300" s="3">
        <f>BE263-BD263</f>
        <v>0</v>
      </c>
      <c r="BF300" s="3">
        <f>SUM(BB300:BE300)</f>
        <v>0</v>
      </c>
      <c r="BG300" s="3">
        <f>BG263-BF263</f>
        <v>0</v>
      </c>
      <c r="BH300" s="3">
        <f>BH263-BG263</f>
        <v>0</v>
      </c>
      <c r="BI300" s="3">
        <f>BI263-BH263</f>
        <v>0</v>
      </c>
      <c r="BJ300" s="3">
        <f>BJ263-BI263</f>
        <v>0</v>
      </c>
      <c r="BK300" s="3">
        <f>SUM(BG300:BJ300)</f>
        <v>0</v>
      </c>
      <c r="BL300" s="3">
        <f>BL263-BK263</f>
        <v>0</v>
      </c>
      <c r="BM300" s="3">
        <f>BM263-BL263</f>
        <v>0</v>
      </c>
      <c r="BN300" s="3">
        <f>BN263-BM263</f>
        <v>0</v>
      </c>
      <c r="BO300" s="3">
        <f>BO263-BN263</f>
        <v>0</v>
      </c>
      <c r="BP300" s="3">
        <f>SUM(BL300:BO300)</f>
        <v>0</v>
      </c>
      <c r="BQ300" s="3">
        <f>BQ263-BP263</f>
        <v>0</v>
      </c>
      <c r="BR300" s="3">
        <f>BR263-BQ263</f>
        <v>0</v>
      </c>
      <c r="BS300" s="3">
        <f>BS263-BR263</f>
        <v>0</v>
      </c>
      <c r="BT300" s="3">
        <f>BT263-BS263</f>
        <v>0</v>
      </c>
      <c r="BU300" s="3">
        <f>SUM(BQ300:BT300)</f>
        <v>0</v>
      </c>
      <c r="BV300" s="3">
        <f>BV263-BU263</f>
        <v>0</v>
      </c>
      <c r="BW300" s="3">
        <f>BW263-BV263</f>
        <v>0</v>
      </c>
      <c r="BX300" s="3">
        <f>BX263-BW263</f>
        <v>0</v>
      </c>
      <c r="BY300" s="3">
        <f>BY263-BX263</f>
        <v>0</v>
      </c>
      <c r="BZ300" s="3">
        <f>SUM(BV300:BY300)</f>
        <v>0</v>
      </c>
      <c r="CA300" s="3">
        <f>CA263-BZ263</f>
        <v>0</v>
      </c>
      <c r="CB300" s="3">
        <f>CB263-CA263</f>
        <v>0</v>
      </c>
      <c r="CC300" s="3">
        <f>CC263-CB263</f>
        <v>0</v>
      </c>
      <c r="CD300" s="3">
        <f>CD263-CC263</f>
        <v>0</v>
      </c>
      <c r="CE300" s="3">
        <f>SUM(CA300:CD300)</f>
        <v>0</v>
      </c>
      <c r="CF300" s="3">
        <f>CF263-CE263</f>
        <v>0</v>
      </c>
      <c r="CG300" s="3">
        <f>CG263-CF263</f>
        <v>0</v>
      </c>
      <c r="CH300" s="3">
        <f>CH263-CG263</f>
        <v>0</v>
      </c>
      <c r="CI300" s="3">
        <f>CI263-CH263</f>
        <v>0</v>
      </c>
      <c r="CJ300" s="3">
        <f>SUM(CF300:CI300)</f>
        <v>0</v>
      </c>
      <c r="CK300" s="3">
        <f>CK263-CJ263</f>
        <v>0</v>
      </c>
      <c r="CL300" s="3">
        <f>CL263-CK263</f>
        <v>0</v>
      </c>
      <c r="CM300" s="3">
        <f>CM263-CL263</f>
        <v>0</v>
      </c>
      <c r="CN300" s="3">
        <f>CN263-CM263</f>
        <v>0</v>
      </c>
      <c r="CO300" s="3">
        <f>SUM(CK300:CN300)</f>
        <v>0</v>
      </c>
      <c r="CP300" s="3">
        <f>CP263-CO263</f>
        <v>0</v>
      </c>
      <c r="CQ300" s="3">
        <f>CQ263-CP263</f>
        <v>0</v>
      </c>
      <c r="CR300" s="3">
        <f>CR263-CQ263</f>
        <v>0</v>
      </c>
      <c r="CS300" s="3">
        <f>CS263-CR263</f>
        <v>0</v>
      </c>
      <c r="CT300" s="3">
        <f>SUM(CP300:CS300)</f>
        <v>0</v>
      </c>
      <c r="CU300" s="3">
        <f>CU263-CT263</f>
        <v>0</v>
      </c>
      <c r="CV300" s="3">
        <f>CV263-CU263</f>
        <v>0</v>
      </c>
      <c r="CW300" s="3">
        <f>CW263-CV263</f>
        <v>0</v>
      </c>
      <c r="CX300" s="3">
        <f>CX263-CW263</f>
        <v>0</v>
      </c>
      <c r="CY300" s="3">
        <f>SUM(CU300:CX300)</f>
        <v>0</v>
      </c>
    </row>
    <row r="301">
      <c r="C301" s="29" t="inlineStr">
        <is>
          <t>Common and preferred dividends</t>
        </is>
      </c>
      <c r="D301" s="3" t="n"/>
      <c r="E301" s="3">
        <f>(E264-D264)-E271</f>
        <v>0</v>
      </c>
      <c r="F301" s="3">
        <f>(F264-E264)-F271</f>
        <v>0</v>
      </c>
      <c r="G301" s="3">
        <f>(G264-F264)-G271</f>
        <v>0</v>
      </c>
      <c r="H301" s="3">
        <f>SUM(D301:G301)</f>
        <v>0</v>
      </c>
      <c r="I301" s="3">
        <f>(I264-H264)-I271</f>
        <v>0</v>
      </c>
      <c r="J301" s="3">
        <f>(J264-I264)-J271</f>
        <v>0</v>
      </c>
      <c r="K301" s="3">
        <f>(K264-J264)-K271</f>
        <v>0</v>
      </c>
      <c r="L301" s="3">
        <f>(L264-K264)-L271</f>
        <v>0</v>
      </c>
      <c r="M301" s="3">
        <f>SUM(I301:L301)</f>
        <v>0</v>
      </c>
      <c r="N301" s="3">
        <f>(N264-M264)-N271</f>
        <v>0</v>
      </c>
      <c r="O301" s="3">
        <f>(O264-N264)-O271</f>
        <v>0</v>
      </c>
      <c r="P301" s="3">
        <f>(P264-O264)-P271</f>
        <v>0</v>
      </c>
      <c r="Q301" s="3">
        <f>(Q264-P264)-Q271</f>
        <v>-5.61328761250479e-13</v>
      </c>
      <c r="R301" s="3">
        <f>SUM(N301:Q301)</f>
        <v>-5.61328761250479e-13</v>
      </c>
      <c r="S301" s="3">
        <f>(S264-R264)-S271</f>
        <v>0</v>
      </c>
      <c r="T301" s="3">
        <f>(T264-S264)-T271</f>
        <v>0</v>
      </c>
      <c r="U301" s="3">
        <f>(U264-T264)-U271</f>
        <v>0</v>
      </c>
      <c r="V301" s="3">
        <f>(V264-U264)-V271</f>
        <v>0</v>
      </c>
      <c r="W301" s="3">
        <f>SUM(S301:V301)</f>
        <v>0</v>
      </c>
      <c r="X301" s="3">
        <f>(X264-W264)-X271</f>
        <v>0</v>
      </c>
      <c r="Y301" s="3">
        <f>(Y264-X264)-Y271</f>
        <v>0</v>
      </c>
      <c r="Z301" s="3">
        <f>(Z264-Y264)-Z271</f>
        <v>0</v>
      </c>
      <c r="AA301" s="3">
        <f>(AA264-Z264)-AA271</f>
        <v>0</v>
      </c>
      <c r="AB301" s="3">
        <f>SUM(X301:AA301)</f>
        <v>0</v>
      </c>
      <c r="AC301" s="3">
        <f>(AC264-AB264)-AC271</f>
        <v>0</v>
      </c>
      <c r="AD301" s="3">
        <f>(AD264-AC264)-AD271</f>
        <v>0</v>
      </c>
      <c r="AE301" s="3">
        <f>(AE264-AD264)-AE271</f>
        <v>0</v>
      </c>
      <c r="AF301" s="3">
        <f>(AF264-AE264)-AF271</f>
        <v>0</v>
      </c>
      <c r="AG301" s="3">
        <f>SUM(AC301:AF301)</f>
        <v>0</v>
      </c>
      <c r="AH301" s="3">
        <f>(AH264-AG264)-AH271</f>
        <v>0</v>
      </c>
      <c r="AI301" s="3">
        <f>(AI264-AH264)-AI271</f>
        <v>0</v>
      </c>
      <c r="AJ301" s="3">
        <f>(AJ264-AI264)-AJ271</f>
        <v>0</v>
      </c>
      <c r="AK301" s="3">
        <f>(AK264-AJ264)-AK271</f>
        <v>0</v>
      </c>
      <c r="AL301" s="3">
        <f>SUM(AH301:AK301)</f>
        <v>0</v>
      </c>
      <c r="AM301" s="3">
        <f>(AM264-AL264)-AM271</f>
        <v>0</v>
      </c>
      <c r="AN301" s="3">
        <f>(AN264-AM264)-AN271</f>
        <v>0</v>
      </c>
      <c r="AO301" s="3">
        <f>(AO264-AN264)-AO271</f>
        <v>0</v>
      </c>
      <c r="AP301" s="3">
        <f>(AP264-AO264)-AP271</f>
        <v>0</v>
      </c>
      <c r="AQ301" s="3">
        <f>SUM(AM301:AP301)</f>
        <v>0</v>
      </c>
      <c r="AR301" s="3">
        <f>(AR264-AQ264)-AR271</f>
        <v>0</v>
      </c>
      <c r="AS301" s="3">
        <f>(AS264-AR264)-AS271</f>
        <v>0</v>
      </c>
      <c r="AT301" s="3">
        <f>(AT264-AS264)-AT271</f>
        <v>0</v>
      </c>
      <c r="AU301" s="3">
        <f>(AU264-AT264)-AU271</f>
        <v>0</v>
      </c>
      <c r="AV301" s="3">
        <f>SUM(AR301:AU301)</f>
        <v>0</v>
      </c>
      <c r="AW301" s="3">
        <f>(AW264-AV264)-AW271</f>
        <v>0</v>
      </c>
      <c r="AX301" s="3">
        <f>(AX264-AW264)-AX271</f>
        <v>0</v>
      </c>
      <c r="AY301" s="3">
        <f>(AY264-AX264)-AY271</f>
        <v>0</v>
      </c>
      <c r="AZ301" s="3">
        <f>(AZ264-AY264)-AZ271</f>
        <v>0</v>
      </c>
      <c r="BA301" s="3">
        <f>SUM(AW301:AZ301)</f>
        <v>0</v>
      </c>
      <c r="BB301" s="3">
        <f>(BB264-BA264)-BB271</f>
        <v>0</v>
      </c>
      <c r="BC301" s="3">
        <f>(BC264-BB264)-BC271</f>
        <v>0</v>
      </c>
      <c r="BD301" s="3">
        <f>(BD264-BC264)-BD271</f>
        <v>0</v>
      </c>
      <c r="BE301" s="3">
        <f>(BE264-BD264)-BE271</f>
        <v>0</v>
      </c>
      <c r="BF301" s="3">
        <f>SUM(BB301:BE301)</f>
        <v>0</v>
      </c>
      <c r="BG301" s="3">
        <f>(BG264-BF264)-BG271</f>
        <v>0</v>
      </c>
      <c r="BH301" s="3">
        <f>(BH264-BG264)-BH271</f>
        <v>0</v>
      </c>
      <c r="BI301" s="3">
        <f>(BI264-BH264)-BI271</f>
        <v>0</v>
      </c>
      <c r="BJ301" s="3">
        <f>(BJ264-BI264)-BJ271</f>
        <v>0</v>
      </c>
      <c r="BK301" s="3">
        <f>SUM(BG301:BJ301)</f>
        <v>0</v>
      </c>
      <c r="BL301" s="3">
        <f>(BL264-BK264)-BL271</f>
        <v>0</v>
      </c>
      <c r="BM301" s="3">
        <f>(BM264-BL264)-BM271</f>
        <v>0</v>
      </c>
      <c r="BN301" s="3">
        <f>(BN264-BM264)-BN271</f>
        <v>0</v>
      </c>
      <c r="BO301" s="3">
        <f>(BO264-BN264)-BO271</f>
        <v>0</v>
      </c>
      <c r="BP301" s="3">
        <f>SUM(BL301:BO301)</f>
        <v>0</v>
      </c>
      <c r="BQ301" s="3">
        <f>(BQ264-BP264)-BQ271</f>
        <v>0</v>
      </c>
      <c r="BR301" s="3">
        <f>(BR264-BQ264)-BR271</f>
        <v>0</v>
      </c>
      <c r="BS301" s="3">
        <f>(BS264-BR264)-BS271</f>
        <v>0</v>
      </c>
      <c r="BT301" s="3">
        <f>(BT264-BS264)-BT271</f>
        <v>0</v>
      </c>
      <c r="BU301" s="3">
        <f>SUM(BQ301:BT301)</f>
        <v>0</v>
      </c>
      <c r="BV301" s="3">
        <f>(BV264-BU264)-BV271</f>
        <v>0</v>
      </c>
      <c r="BW301" s="3">
        <f>(BW264-BV264)-BW271</f>
        <v>0</v>
      </c>
      <c r="BX301" s="3">
        <f>(BX264-BW264)-BX271</f>
        <v>0</v>
      </c>
      <c r="BY301" s="3">
        <f>(BY264-BX264)-BY271</f>
        <v>0</v>
      </c>
      <c r="BZ301" s="3">
        <f>SUM(BV301:BY301)</f>
        <v>0</v>
      </c>
      <c r="CA301" s="3">
        <f>(CA264-BZ264)-CA271</f>
        <v>0</v>
      </c>
      <c r="CB301" s="3">
        <f>(CB264-CA264)-CB271</f>
        <v>0</v>
      </c>
      <c r="CC301" s="3">
        <f>(CC264-CB264)-CC271</f>
        <v>0</v>
      </c>
      <c r="CD301" s="3">
        <f>(CD264-CC264)-CD271</f>
        <v>0</v>
      </c>
      <c r="CE301" s="3">
        <f>SUM(CA301:CD301)</f>
        <v>0</v>
      </c>
      <c r="CF301" s="3">
        <f>(CF264-CE264)-CF271</f>
        <v>0</v>
      </c>
      <c r="CG301" s="3">
        <f>(CG264-CF264)-CG271</f>
        <v>0</v>
      </c>
      <c r="CH301" s="3">
        <f>(CH264-CG264)-CH271</f>
        <v>0</v>
      </c>
      <c r="CI301" s="3">
        <f>(CI264-CH264)-CI271</f>
        <v>0</v>
      </c>
      <c r="CJ301" s="3">
        <f>SUM(CF301:CI301)</f>
        <v>0</v>
      </c>
      <c r="CK301" s="3">
        <f>(CK264-CJ264)-CK271</f>
        <v>0</v>
      </c>
      <c r="CL301" s="3">
        <f>(CL264-CK264)-CL271</f>
        <v>0</v>
      </c>
      <c r="CM301" s="3">
        <f>(CM264-CL264)-CM271</f>
        <v>0</v>
      </c>
      <c r="CN301" s="3">
        <f>(CN264-CM264)-CN271</f>
        <v>0</v>
      </c>
      <c r="CO301" s="3">
        <f>SUM(CK301:CN301)</f>
        <v>0</v>
      </c>
      <c r="CP301" s="3">
        <f>(CP264-CO264)-CP271</f>
        <v>0</v>
      </c>
      <c r="CQ301" s="3">
        <f>(CQ264-CP264)-CQ271</f>
        <v>0</v>
      </c>
      <c r="CR301" s="3">
        <f>(CR264-CQ264)-CR271</f>
        <v>0</v>
      </c>
      <c r="CS301" s="3">
        <f>(CS264-CR264)-CS271</f>
        <v>0</v>
      </c>
      <c r="CT301" s="3">
        <f>SUM(CP301:CS301)</f>
        <v>0</v>
      </c>
      <c r="CU301" s="3">
        <f>(CU264-CT264)-CU271</f>
        <v>0</v>
      </c>
      <c r="CV301" s="3">
        <f>(CV264-CU264)-CV271</f>
        <v>0</v>
      </c>
      <c r="CW301" s="3">
        <f>(CW264-CV264)-CW271</f>
        <v>0</v>
      </c>
      <c r="CX301" s="3">
        <f>(CX264-CW264)-CX271</f>
        <v>0</v>
      </c>
      <c r="CY301" s="3">
        <f>SUM(CU301:CX301)</f>
        <v>0</v>
      </c>
    </row>
    <row r="302">
      <c r="C302" s="26" t="inlineStr">
        <is>
          <t>Dividends to minority interests</t>
        </is>
      </c>
      <c r="D302" s="3" t="n"/>
      <c r="E302" s="3">
        <f>(E242-D242)+E130</f>
        <v>0</v>
      </c>
      <c r="F302" s="3">
        <f>(F242-E242)+F130</f>
        <v>0</v>
      </c>
      <c r="G302" s="3">
        <f>(G242-F242)+G130</f>
        <v>0</v>
      </c>
      <c r="H302" s="3">
        <f>SUM(D302:G302)</f>
        <v>0</v>
      </c>
      <c r="I302" s="3">
        <f>(I242-H242)+I130</f>
        <v>0</v>
      </c>
      <c r="J302" s="3">
        <f>(J242-I242)+J130</f>
        <v>0</v>
      </c>
      <c r="K302" s="3">
        <f>(K242-J242)+K130</f>
        <v>0</v>
      </c>
      <c r="L302" s="3">
        <f>(L242-K242)+L130</f>
        <v>0</v>
      </c>
      <c r="M302" s="3">
        <f>SUM(I302:L302)</f>
        <v>0</v>
      </c>
      <c r="N302" s="3">
        <f>(N242-M242)+N130</f>
        <v>0</v>
      </c>
      <c r="O302" s="3">
        <f>(O242-N242)+O130</f>
        <v>0</v>
      </c>
      <c r="P302" s="3">
        <f>(P242-O242)+P130</f>
        <v>0</v>
      </c>
      <c r="Q302" s="3">
        <f>(Q242-P242)+Q130</f>
        <v>0</v>
      </c>
      <c r="R302" s="3">
        <f>SUM(N302:Q302)</f>
        <v>0</v>
      </c>
      <c r="S302" s="3">
        <f>(S242-R242)+S130</f>
        <v>0</v>
      </c>
      <c r="T302" s="3">
        <f>(T242-S242)+T130</f>
        <v>0</v>
      </c>
      <c r="U302" s="3">
        <f>(U242-T242)+U130</f>
        <v>0</v>
      </c>
      <c r="V302" s="3">
        <f>(V242-U242)+V130</f>
        <v>0</v>
      </c>
      <c r="W302" s="3">
        <f>SUM(S302:V302)</f>
        <v>0</v>
      </c>
      <c r="X302" s="3">
        <f>(X242-W242)+X130</f>
        <v>0</v>
      </c>
      <c r="Y302" s="3">
        <f>(Y242-X242)+Y130</f>
        <v>0</v>
      </c>
      <c r="Z302" s="3">
        <f>(Z242-Y242)+Z130</f>
        <v>0</v>
      </c>
      <c r="AA302" s="3">
        <f>(AA242-Z242)+AA130</f>
        <v>0</v>
      </c>
      <c r="AB302" s="3">
        <f>SUM(X302:AA302)</f>
        <v>0</v>
      </c>
      <c r="AC302" s="3">
        <f>(AC242-AB242)+AC130</f>
        <v>0</v>
      </c>
      <c r="AD302" s="3">
        <f>(AD242-AC242)+AD130</f>
        <v>0</v>
      </c>
      <c r="AE302" s="3">
        <f>(AE242-AD242)+AE130</f>
        <v>0</v>
      </c>
      <c r="AF302" s="3">
        <f>(AF242-AE242)+AF130</f>
        <v>0</v>
      </c>
      <c r="AG302" s="3">
        <f>SUM(AC302:AF302)</f>
        <v>0</v>
      </c>
      <c r="AH302" s="3">
        <f>(AH242-AG242)+AH130</f>
        <v>0</v>
      </c>
      <c r="AI302" s="3">
        <f>(AI242-AH242)+AI130</f>
        <v>0</v>
      </c>
      <c r="AJ302" s="3">
        <f>(AJ242-AI242)+AJ130</f>
        <v>0</v>
      </c>
      <c r="AK302" s="3">
        <f>(AK242-AJ242)+AK130</f>
        <v>0</v>
      </c>
      <c r="AL302" s="3">
        <f>SUM(AH302:AK302)</f>
        <v>0</v>
      </c>
      <c r="AM302" s="3">
        <f>(AM242-AL242)+AM130</f>
        <v>0</v>
      </c>
      <c r="AN302" s="3">
        <f>(AN242-AM242)+AN130</f>
        <v>0</v>
      </c>
      <c r="AO302" s="3">
        <f>(AO242-AN242)+AO130</f>
        <v>0</v>
      </c>
      <c r="AP302" s="3">
        <f>(AP242-AO242)+AP130</f>
        <v>0</v>
      </c>
      <c r="AQ302" s="3">
        <f>SUM(AM302:AP302)</f>
        <v>0</v>
      </c>
      <c r="AR302" s="3">
        <f>(AR242-AQ242)+AR130</f>
        <v>0</v>
      </c>
      <c r="AS302" s="3">
        <f>(AS242-AR242)+AS130</f>
        <v>0</v>
      </c>
      <c r="AT302" s="3">
        <f>(AT242-AS242)+AT130</f>
        <v>0</v>
      </c>
      <c r="AU302" s="3">
        <f>(AU242-AT242)+AU130</f>
        <v>0</v>
      </c>
      <c r="AV302" s="3">
        <f>SUM(AR302:AU302)</f>
        <v>0</v>
      </c>
      <c r="AW302" s="3">
        <f>(AW242-AV242)+AW130</f>
        <v>0</v>
      </c>
      <c r="AX302" s="3">
        <f>(AX242-AW242)+AX130</f>
        <v>0</v>
      </c>
      <c r="AY302" s="3">
        <f>(AY242-AX242)+AY130</f>
        <v>0</v>
      </c>
      <c r="AZ302" s="3">
        <f>(AZ242-AY242)+AZ130</f>
        <v>0</v>
      </c>
      <c r="BA302" s="3">
        <f>SUM(AW302:AZ302)</f>
        <v>0</v>
      </c>
      <c r="BB302" s="3">
        <f>(BB242-BA242)+BB130</f>
        <v>0</v>
      </c>
      <c r="BC302" s="3">
        <f>(BC242-BB242)+BC130</f>
        <v>0</v>
      </c>
      <c r="BD302" s="3">
        <f>(BD242-BC242)+BD130</f>
        <v>0</v>
      </c>
      <c r="BE302" s="3">
        <f>(BE242-BD242)+BE130</f>
        <v>0</v>
      </c>
      <c r="BF302" s="3">
        <f>SUM(BB302:BE302)</f>
        <v>0</v>
      </c>
      <c r="BG302" s="3">
        <f>(BG242-BF242)+BG130</f>
        <v>0</v>
      </c>
      <c r="BH302" s="3">
        <f>(BH242-BG242)+BH130</f>
        <v>0</v>
      </c>
      <c r="BI302" s="3">
        <f>(BI242-BH242)+BI130</f>
        <v>0</v>
      </c>
      <c r="BJ302" s="3">
        <f>(BJ242-BI242)+BJ130</f>
        <v>0</v>
      </c>
      <c r="BK302" s="3">
        <f>SUM(BG302:BJ302)</f>
        <v>0</v>
      </c>
      <c r="BL302" s="3">
        <f>(BL242-BK242)+BL130</f>
        <v>0</v>
      </c>
      <c r="BM302" s="3">
        <f>(BM242-BL242)+BM130</f>
        <v>0</v>
      </c>
      <c r="BN302" s="3">
        <f>(BN242-BM242)+BN130</f>
        <v>0</v>
      </c>
      <c r="BO302" s="3">
        <f>(BO242-BN242)+BO130</f>
        <v>0</v>
      </c>
      <c r="BP302" s="3">
        <f>SUM(BL302:BO302)</f>
        <v>0</v>
      </c>
      <c r="BQ302" s="3">
        <f>(BQ242-BP242)+BQ130</f>
        <v>0</v>
      </c>
      <c r="BR302" s="3">
        <f>(BR242-BQ242)+BR130</f>
        <v>0</v>
      </c>
      <c r="BS302" s="3">
        <f>(BS242-BR242)+BS130</f>
        <v>0</v>
      </c>
      <c r="BT302" s="3">
        <f>(BT242-BS242)+BT130</f>
        <v>0</v>
      </c>
      <c r="BU302" s="3">
        <f>SUM(BQ302:BT302)</f>
        <v>0</v>
      </c>
      <c r="BV302" s="3">
        <f>(BV242-BU242)+BV130</f>
        <v>0</v>
      </c>
      <c r="BW302" s="3">
        <f>(BW242-BV242)+BW130</f>
        <v>0</v>
      </c>
      <c r="BX302" s="3">
        <f>(BX242-BW242)+BX130</f>
        <v>0</v>
      </c>
      <c r="BY302" s="3">
        <f>(BY242-BX242)+BY130</f>
        <v>0</v>
      </c>
      <c r="BZ302" s="3">
        <f>SUM(BV302:BY302)</f>
        <v>0</v>
      </c>
      <c r="CA302" s="3">
        <f>(CA242-BZ242)+CA130</f>
        <v>0</v>
      </c>
      <c r="CB302" s="3">
        <f>(CB242-CA242)+CB130</f>
        <v>0</v>
      </c>
      <c r="CC302" s="3">
        <f>(CC242-CB242)+CC130</f>
        <v>0</v>
      </c>
      <c r="CD302" s="3">
        <f>(CD242-CC242)+CD130</f>
        <v>0</v>
      </c>
      <c r="CE302" s="3">
        <f>SUM(CA302:CD302)</f>
        <v>0</v>
      </c>
      <c r="CF302" s="3">
        <f>(CF242-CE242)+CF130</f>
        <v>0</v>
      </c>
      <c r="CG302" s="3">
        <f>(CG242-CF242)+CG130</f>
        <v>0</v>
      </c>
      <c r="CH302" s="3">
        <f>(CH242-CG242)+CH130</f>
        <v>0</v>
      </c>
      <c r="CI302" s="3">
        <f>(CI242-CH242)+CI130</f>
        <v>0</v>
      </c>
      <c r="CJ302" s="3">
        <f>SUM(CF302:CI302)</f>
        <v>0</v>
      </c>
      <c r="CK302" s="3">
        <f>(CK242-CJ242)+CK130</f>
        <v>0</v>
      </c>
      <c r="CL302" s="3">
        <f>(CL242-CK242)+CL130</f>
        <v>0</v>
      </c>
      <c r="CM302" s="3">
        <f>(CM242-CL242)+CM130</f>
        <v>0</v>
      </c>
      <c r="CN302" s="3">
        <f>(CN242-CM242)+CN130</f>
        <v>0</v>
      </c>
      <c r="CO302" s="3">
        <f>SUM(CK302:CN302)</f>
        <v>0</v>
      </c>
      <c r="CP302" s="3">
        <f>(CP242-CO242)+CP130</f>
        <v>0</v>
      </c>
      <c r="CQ302" s="3">
        <f>(CQ242-CP242)+CQ130</f>
        <v>0</v>
      </c>
      <c r="CR302" s="3">
        <f>(CR242-CQ242)+CR130</f>
        <v>0</v>
      </c>
      <c r="CS302" s="3">
        <f>(CS242-CR242)+CS130</f>
        <v>0</v>
      </c>
      <c r="CT302" s="3">
        <f>SUM(CP302:CS302)</f>
        <v>0</v>
      </c>
      <c r="CU302" s="3">
        <f>(CU242-CT242)+CU130</f>
        <v>0</v>
      </c>
      <c r="CV302" s="3">
        <f>(CV242-CU242)+CV130</f>
        <v>0</v>
      </c>
      <c r="CW302" s="3">
        <f>(CW242-CV242)+CW130</f>
        <v>0</v>
      </c>
      <c r="CX302" s="3">
        <f>(CX242-CW242)+CX130</f>
        <v>0</v>
      </c>
      <c r="CY302" s="3">
        <f>SUM(CU302:CX302)</f>
        <v>0</v>
      </c>
    </row>
    <row r="303">
      <c r="C303" s="28" t="inlineStr">
        <is>
          <t>Increases / (decreases) in debt</t>
        </is>
      </c>
      <c r="D303" s="3" t="n"/>
      <c r="E303" s="3">
        <f>SUM(E206:E208,E211,E232,E229)-SUM(D206:D208,D211,D232,D229)</f>
        <v>1124.658</v>
      </c>
      <c r="F303" s="3">
        <f>SUM(F206:F208,F211,F232,F229)-SUM(E206:E208,E211,E232,E229)</f>
        <v>252.974</v>
      </c>
      <c r="G303" s="3">
        <f>SUM(G206:G208,G211,G232,G229)-SUM(F206:F208,F211,F232,F229)</f>
        <v>261.84</v>
      </c>
      <c r="H303" s="3">
        <f>SUM(D303:G303)</f>
        <v>1639.472</v>
      </c>
      <c r="I303" s="3">
        <f>SUM(I206:I208,I211,I232,I229)-SUM(H206:H208,H211,H232,H229)</f>
        <v>-749.633</v>
      </c>
      <c r="J303" s="3">
        <f>SUM(J206:J208,J211,J232,J229)-SUM(I206:I208,I211,I232,I229)</f>
        <v>66.6769999999997</v>
      </c>
      <c r="K303" s="3">
        <f>SUM(K206:K208,K211,K232,K229)-SUM(J206:J208,J211,J232,J229)</f>
        <v>-132.853000000001</v>
      </c>
      <c r="L303" s="3">
        <f>SUM(L206:L208,L211,L232,L229)-SUM(K206:K208,K211,K232,K229)</f>
        <v>-100.268999999998</v>
      </c>
      <c r="M303" s="3">
        <f>SUM(I303:L303)</f>
        <v>-916.078</v>
      </c>
      <c r="N303" s="3">
        <f>SUM(N206:N208,N211,N232,N229)-SUM(M206:M208,M211,M232,M229)</f>
        <v>-858.334000000001</v>
      </c>
      <c r="O303" s="3">
        <f>SUM(O206:O208,O211,O232,O229)-SUM(N206:N208,N211,N232,N229)</f>
        <v>-301.258</v>
      </c>
      <c r="P303" s="3">
        <f>SUM(P206:P208,P211,P232,P229)-SUM(O206:O208,O211,O232,O229)</f>
        <v>-345.186</v>
      </c>
      <c r="Q303" s="3">
        <f>SUM(Q206:Q208,Q211,Q232,Q229)-SUM(P206:P208,P211,P232,P229)</f>
        <v>464.958999999999</v>
      </c>
      <c r="R303" s="3">
        <f>SUM(N303:Q303)</f>
        <v>-1039.819</v>
      </c>
      <c r="S303" s="3">
        <f>SUM(S206:S208,S211,S232,S229)-SUM(R206:R208,R211,R232,R229)</f>
        <v>84.0520000000015</v>
      </c>
      <c r="T303" s="3">
        <f>SUM(T206:T208,T211,T232,T229)-SUM(S206:S208,S211,S232,S229)</f>
        <v>32.4099999999999</v>
      </c>
      <c r="U303" s="3">
        <f>SUM(U206:U208,U211,U232,U229)-SUM(T206:T208,T211,T232,T229)</f>
        <v>-169.170000000002</v>
      </c>
      <c r="V303" s="3">
        <f>SUM(V206:V208,V211,V232,V229)-SUM(U206:U208,U211,U232,U229)</f>
        <v>242.893</v>
      </c>
      <c r="W303" s="3">
        <f>SUM(S303:V303)</f>
        <v>190.185</v>
      </c>
      <c r="X303" s="3">
        <f>SUM(X206:X208,X211,X232,X229)-SUM(W206:W208,W211,W232,W229)</f>
        <v>-527.287</v>
      </c>
      <c r="Y303" s="3">
        <f>SUM(Y206:Y208,Y211,Y232,Y229)-SUM(X206:X208,X211,X232,X229)</f>
        <v>-35.9089999999997</v>
      </c>
      <c r="Z303" s="3">
        <f>SUM(Z206:Z208,Z211,Z232,Z229)-SUM(Y206:Y208,Y211,Y232,Y229)</f>
        <v>2001.263</v>
      </c>
      <c r="AA303" s="3">
        <f>SUM(AA206:AA208,AA211,AA232,AA229)-SUM(Z206:Z208,Z211,Z232,Z229)</f>
        <v>-398.524000000001</v>
      </c>
      <c r="AB303" s="3">
        <f>SUM(X303:AA303)</f>
        <v>1039.543</v>
      </c>
      <c r="AC303" s="3">
        <f>SUM(AC206:AC208,AC211,AC232,AC229)-SUM(AB206:AB208,AB211,AB232,AB229)</f>
        <v>-565.885999999999</v>
      </c>
      <c r="AD303" s="3">
        <f>SUM(AD206:AD208,AD211,AD232,AD229)-SUM(AC206:AC208,AC211,AC232,AC229)</f>
        <v>-563.712</v>
      </c>
      <c r="AE303" s="3">
        <f>SUM(AE206:AE208,AE211,AE232,AE229)-SUM(AD206:AD208,AD211,AD232,AD229)</f>
        <v>9.81399999999849</v>
      </c>
      <c r="AF303" s="3">
        <f>SUM(AF206:AF208,AF211,AF232,AF229)-SUM(AE206:AE208,AE211,AE232,AE229)</f>
        <v>-0.183999999999287</v>
      </c>
      <c r="AG303" s="3">
        <f>SUM(AC303:AF303)</f>
        <v>-1119.968</v>
      </c>
      <c r="AH303" s="3">
        <f>SUM(AH206:AH208,AH211,AH232,AH229)-SUM(AG206:AG208,AG211,AG232,AG229)</f>
        <v>-102.32</v>
      </c>
      <c r="AI303" s="3">
        <f>SUM(AI206:AI208,AI211,AI232,AI229)-SUM(AH206:AH208,AH211,AH232,AH229)</f>
        <v>-51.2100000000009</v>
      </c>
      <c r="AJ303" s="3">
        <f>SUM(AJ206:AJ208,AJ211,AJ232,AJ229)-SUM(AI206:AI208,AI211,AI232,AI229)</f>
        <v>0</v>
      </c>
      <c r="AK303" s="3">
        <f>SUM(AK206:AK208,AK211,AK232,AK229)-SUM(AJ206:AJ208,AJ211,AJ232,AJ229)</f>
        <v>0</v>
      </c>
      <c r="AL303" s="3">
        <f>SUM(AH303:AK303)</f>
        <v>-153.530000000001</v>
      </c>
      <c r="AM303" s="3">
        <f>SUM(AM206:AM208,AM211,AM232,AM229)-SUM(AL206:AL208,AL211,AL232,AL229)</f>
        <v>0</v>
      </c>
      <c r="AN303" s="3">
        <f>SUM(AN206:AN208,AN211,AN232,AN229)-SUM(AM206:AM208,AM211,AM232,AM229)</f>
        <v>0</v>
      </c>
      <c r="AO303" s="3">
        <f>SUM(AO206:AO208,AO211,AO232,AO229)-SUM(AN206:AN208,AN211,AN232,AN229)</f>
        <v>0</v>
      </c>
      <c r="AP303" s="3">
        <f>SUM(AP206:AP208,AP211,AP232,AP229)-SUM(AO206:AO208,AO211,AO232,AO229)</f>
        <v>0</v>
      </c>
      <c r="AQ303" s="3">
        <f>SUM(AM303:AP303)</f>
        <v>0</v>
      </c>
      <c r="AR303" s="3">
        <f>SUM(AR206:AR208,AR211,AR232,AR229)-SUM(AQ206:AQ208,AQ211,AQ232,AQ229)</f>
        <v>0</v>
      </c>
      <c r="AS303" s="3">
        <f>SUM(AS206:AS208,AS211,AS232,AS229)-SUM(AR206:AR208,AR211,AR232,AR229)</f>
        <v>0</v>
      </c>
      <c r="AT303" s="3">
        <f>SUM(AT206:AT208,AT211,AT232,AT229)-SUM(AS206:AS208,AS211,AS232,AS229)</f>
        <v>0</v>
      </c>
      <c r="AU303" s="3">
        <f>SUM(AU206:AU208,AU211,AU232,AU229)-SUM(AT206:AT208,AT211,AT232,AT229)</f>
        <v>0</v>
      </c>
      <c r="AV303" s="3">
        <f>SUM(AR303:AU303)</f>
        <v>0</v>
      </c>
      <c r="AW303" s="3">
        <f>SUM(AW206:AW208,AW211,AW232,AW229)-SUM(AV206:AV208,AV211,AV232,AV229)</f>
        <v>0</v>
      </c>
      <c r="AX303" s="3">
        <f>SUM(AX206:AX208,AX211,AX232,AX229)-SUM(AW206:AW208,AW211,AW232,AW229)</f>
        <v>0</v>
      </c>
      <c r="AY303" s="3">
        <f>SUM(AY206:AY208,AY211,AY232,AY229)-SUM(AX206:AX208,AX211,AX232,AX229)</f>
        <v>0</v>
      </c>
      <c r="AZ303" s="3">
        <f>SUM(AZ206:AZ208,AZ211,AZ232,AZ229)-SUM(AY206:AY208,AY211,AY232,AY229)</f>
        <v>0</v>
      </c>
      <c r="BA303" s="3">
        <f>SUM(AW303:AZ303)</f>
        <v>0</v>
      </c>
      <c r="BB303" s="3">
        <f>SUM(BB206:BB208,BB211,BB232,BB229)-SUM(BA206:BA208,BA211,BA232,BA229)</f>
        <v>0</v>
      </c>
      <c r="BC303" s="3">
        <f>SUM(BC206:BC208,BC211,BC232,BC229)-SUM(BB206:BB208,BB211,BB232,BB229)</f>
        <v>0</v>
      </c>
      <c r="BD303" s="3">
        <f>SUM(BD206:BD208,BD211,BD232,BD229)-SUM(BC206:BC208,BC211,BC232,BC229)</f>
        <v>0</v>
      </c>
      <c r="BE303" s="3">
        <f>SUM(BE206:BE208,BE211,BE232,BE229)-SUM(BD206:BD208,BD211,BD232,BD229)</f>
        <v>0</v>
      </c>
      <c r="BF303" s="3">
        <f>SUM(BB303:BE303)</f>
        <v>0</v>
      </c>
      <c r="BG303" s="3">
        <f>SUM(BG206:BG208,BG211,BG232,BG229)-SUM(BF206:BF208,BF211,BF232,BF229)</f>
        <v>0</v>
      </c>
      <c r="BH303" s="3">
        <f>SUM(BH206:BH208,BH211,BH232,BH229)-SUM(BG206:BG208,BG211,BG232,BG229)</f>
        <v>0</v>
      </c>
      <c r="BI303" s="3">
        <f>SUM(BI206:BI208,BI211,BI232,BI229)-SUM(BH206:BH208,BH211,BH232,BH229)</f>
        <v>0</v>
      </c>
      <c r="BJ303" s="3">
        <f>SUM(BJ206:BJ208,BJ211,BJ232,BJ229)-SUM(BI206:BI208,BI211,BI232,BI229)</f>
        <v>0</v>
      </c>
      <c r="BK303" s="3">
        <f>SUM(BG303:BJ303)</f>
        <v>0</v>
      </c>
      <c r="BL303" s="3">
        <f>SUM(BL206:BL208,BL211,BL232,BL229)-SUM(BK206:BK208,BK211,BK232,BK229)</f>
        <v>0</v>
      </c>
      <c r="BM303" s="3">
        <f>SUM(BM206:BM208,BM211,BM232,BM229)-SUM(BL206:BL208,BL211,BL232,BL229)</f>
        <v>0</v>
      </c>
      <c r="BN303" s="3">
        <f>SUM(BN206:BN208,BN211,BN232,BN229)-SUM(BM206:BM208,BM211,BM232,BM229)</f>
        <v>0</v>
      </c>
      <c r="BO303" s="3">
        <f>SUM(BO206:BO208,BO211,BO232,BO229)-SUM(BN206:BN208,BN211,BN232,BN229)</f>
        <v>0</v>
      </c>
      <c r="BP303" s="3">
        <f>SUM(BL303:BO303)</f>
        <v>0</v>
      </c>
      <c r="BQ303" s="3">
        <f>SUM(BQ206:BQ208,BQ211,BQ232,BQ229)-SUM(BP206:BP208,BP211,BP232,BP229)</f>
        <v>0</v>
      </c>
      <c r="BR303" s="3">
        <f>SUM(BR206:BR208,BR211,BR232,BR229)-SUM(BQ206:BQ208,BQ211,BQ232,BQ229)</f>
        <v>0</v>
      </c>
      <c r="BS303" s="3">
        <f>SUM(BS206:BS208,BS211,BS232,BS229)-SUM(BR206:BR208,BR211,BR232,BR229)</f>
        <v>0</v>
      </c>
      <c r="BT303" s="3">
        <f>SUM(BT206:BT208,BT211,BT232,BT229)-SUM(BS206:BS208,BS211,BS232,BS229)</f>
        <v>0</v>
      </c>
      <c r="BU303" s="3">
        <f>SUM(BQ303:BT303)</f>
        <v>0</v>
      </c>
      <c r="BV303" s="3">
        <f>SUM(BV206:BV208,BV211,BV232,BV229)-SUM(BU206:BU208,BU211,BU232,BU229)</f>
        <v>0</v>
      </c>
      <c r="BW303" s="3">
        <f>SUM(BW206:BW208,BW211,BW232,BW229)-SUM(BV206:BV208,BV211,BV232,BV229)</f>
        <v>0</v>
      </c>
      <c r="BX303" s="3">
        <f>SUM(BX206:BX208,BX211,BX232,BX229)-SUM(BW206:BW208,BW211,BW232,BW229)</f>
        <v>0</v>
      </c>
      <c r="BY303" s="3">
        <f>SUM(BY206:BY208,BY211,BY232,BY229)-SUM(BX206:BX208,BX211,BX232,BX229)</f>
        <v>0</v>
      </c>
      <c r="BZ303" s="3">
        <f>SUM(BV303:BY303)</f>
        <v>0</v>
      </c>
      <c r="CA303" s="3">
        <f>SUM(CA206:CA208,CA211,CA232,CA229)-SUM(BZ206:BZ208,BZ211,BZ232,BZ229)</f>
        <v>0</v>
      </c>
      <c r="CB303" s="3">
        <f>SUM(CB206:CB208,CB211,CB232,CB229)-SUM(CA206:CA208,CA211,CA232,CA229)</f>
        <v>0</v>
      </c>
      <c r="CC303" s="3">
        <f>SUM(CC206:CC208,CC211,CC232,CC229)-SUM(CB206:CB208,CB211,CB232,CB229)</f>
        <v>0</v>
      </c>
      <c r="CD303" s="3">
        <f>SUM(CD206:CD208,CD211,CD232,CD229)-SUM(CC206:CC208,CC211,CC232,CC229)</f>
        <v>0</v>
      </c>
      <c r="CE303" s="3">
        <f>SUM(CA303:CD303)</f>
        <v>0</v>
      </c>
      <c r="CF303" s="3">
        <f>SUM(CF206:CF208,CF211,CF232,CF229)-SUM(CE206:CE208,CE211,CE232,CE229)</f>
        <v>0</v>
      </c>
      <c r="CG303" s="3">
        <f>SUM(CG206:CG208,CG211,CG232,CG229)-SUM(CF206:CF208,CF211,CF232,CF229)</f>
        <v>0</v>
      </c>
      <c r="CH303" s="3">
        <f>SUM(CH206:CH208,CH211,CH232,CH229)-SUM(CG206:CG208,CG211,CG232,CG229)</f>
        <v>0</v>
      </c>
      <c r="CI303" s="3">
        <f>SUM(CI206:CI208,CI211,CI232,CI229)-SUM(CH206:CH208,CH211,CH232,CH229)</f>
        <v>0</v>
      </c>
      <c r="CJ303" s="3">
        <f>SUM(CF303:CI303)</f>
        <v>0</v>
      </c>
      <c r="CK303" s="3">
        <f>SUM(CK206:CK208,CK211,CK232,CK229)-SUM(CJ206:CJ208,CJ211,CJ232,CJ229)</f>
        <v>0</v>
      </c>
      <c r="CL303" s="3">
        <f>SUM(CL206:CL208,CL211,CL232,CL229)-SUM(CK206:CK208,CK211,CK232,CK229)</f>
        <v>0</v>
      </c>
      <c r="CM303" s="3">
        <f>SUM(CM206:CM208,CM211,CM232,CM229)-SUM(CL206:CL208,CL211,CL232,CL229)</f>
        <v>0</v>
      </c>
      <c r="CN303" s="3">
        <f>SUM(CN206:CN208,CN211,CN232,CN229)-SUM(CM206:CM208,CM211,CM232,CM229)</f>
        <v>0</v>
      </c>
      <c r="CO303" s="3">
        <f>SUM(CK303:CN303)</f>
        <v>0</v>
      </c>
      <c r="CP303" s="3">
        <f>SUM(CP206:CP208,CP211,CP232,CP229)-SUM(CO206:CO208,CO211,CO232,CO229)</f>
        <v>0</v>
      </c>
      <c r="CQ303" s="3">
        <f>SUM(CQ206:CQ208,CQ211,CQ232,CQ229)-SUM(CP206:CP208,CP211,CP232,CP229)</f>
        <v>0</v>
      </c>
      <c r="CR303" s="3">
        <f>SUM(CR206:CR208,CR211,CR232,CR229)-SUM(CQ206:CQ208,CQ211,CQ232,CQ229)</f>
        <v>0</v>
      </c>
      <c r="CS303" s="3">
        <f>SUM(CS206:CS208,CS211,CS232,CS229)-SUM(CR206:CR208,CR211,CR232,CR229)</f>
        <v>0</v>
      </c>
      <c r="CT303" s="3">
        <f>SUM(CP303:CS303)</f>
        <v>0</v>
      </c>
      <c r="CU303" s="3">
        <f>SUM(CU206:CU208,CU211,CU232,CU229)-SUM(CT206:CT208,CT211,CT232,CT229)</f>
        <v>0</v>
      </c>
      <c r="CV303" s="3">
        <f>SUM(CV206:CV208,CV211,CV232,CV229)-SUM(CU206:CU208,CU211,CU232,CU229)</f>
        <v>0</v>
      </c>
      <c r="CW303" s="3">
        <f>SUM(CW206:CW208,CW211,CW232,CW229)-SUM(CV206:CV208,CV211,CV232,CV229)</f>
        <v>0</v>
      </c>
      <c r="CX303" s="3">
        <f>SUM(CX206:CX208,CX211,CX232,CX229)-SUM(CW206:CW208,CW211,CW232,CW229)</f>
        <v>0</v>
      </c>
      <c r="CY303" s="3">
        <f>SUM(CU303:CX303)</f>
        <v>0</v>
      </c>
      <c r="CZ303" s="3" t="n"/>
      <c r="DA303" s="3" t="n"/>
      <c r="DB303" s="3" t="n"/>
      <c r="DC303" s="3" t="n"/>
    </row>
    <row r="304">
      <c r="C304" s="26" t="inlineStr">
        <is>
          <t>Cash from financing</t>
        </is>
      </c>
      <c r="D304" s="3" t="n"/>
      <c r="E304" s="3">
        <f>SUM(E296,E297,E298,E299,E300,E301,E302,E303)</f>
        <v>1329.921</v>
      </c>
      <c r="F304" s="3">
        <f>SUM(F296,F297,F298,F299,F300,F301,F302,F303)</f>
        <v>461.568000000001</v>
      </c>
      <c r="G304" s="3">
        <f>SUM(G296,G297,G298,G299,G300,G301,G302,G303)</f>
        <v>451.601</v>
      </c>
      <c r="H304" s="3">
        <f>SUM(H296,H297,H298,H299,H300,H301,H302,H303)</f>
        <v>2243.09</v>
      </c>
      <c r="I304" s="3">
        <f>SUM(I296,I297,I298,I299,I300,I301,I302,I303)</f>
        <v>-637.508</v>
      </c>
      <c r="J304" s="3">
        <f>SUM(J296,J297,J298,J299,J300,J301,J302,J303)</f>
        <v>-306.545000000001</v>
      </c>
      <c r="K304" s="3">
        <f>SUM(K296,K297,K298,K299,K300,K301,K302,K303)</f>
        <v>-131.178000000001</v>
      </c>
      <c r="L304" s="3">
        <f>SUM(L296,L297,L298,L299,L300,L301,L302,L303)</f>
        <v>-173.066999999999</v>
      </c>
      <c r="M304" s="3">
        <f>SUM(M296,M297,M298,M299,M300,M301,M302,M303)</f>
        <v>-1248.298</v>
      </c>
      <c r="N304" s="3">
        <f>SUM(N296,N297,N298,N299,N300,N301,N302,N303)</f>
        <v>-760.990000000001</v>
      </c>
      <c r="O304" s="3">
        <f>SUM(O296,O297,O298,O299,O300,O301,O302,O303)</f>
        <v>-210.274</v>
      </c>
      <c r="P304" s="3">
        <f>SUM(P296,P297,P298,P299,P300,P301,P302,P303)</f>
        <v>-291.261</v>
      </c>
      <c r="Q304" s="3">
        <f>SUM(Q296,Q297,Q298,Q299,Q300,Q301,Q302,Q303)</f>
        <v>658.934999999999</v>
      </c>
      <c r="R304" s="3">
        <f>SUM(R296,R297,R298,R299,R300,R301,R302,R303)</f>
        <v>-603.590000000002</v>
      </c>
      <c r="S304" s="3">
        <f>SUM(S296,S297,S298,S299,S300,S301,S302,S303)</f>
        <v>-170.272999999999</v>
      </c>
      <c r="T304" s="3">
        <f>SUM(T296,T297,T298,T299,T300,T301,T302,T303)</f>
        <v>-451.181</v>
      </c>
      <c r="U304" s="3">
        <f>SUM(U296,U297,U298,U299,U300,U301,U302,U303)</f>
        <v>-2571.18</v>
      </c>
      <c r="V304" s="3">
        <f>SUM(V296,V297,V298,V299,V300,V301,V302,V303)</f>
        <v>-2214.259</v>
      </c>
      <c r="W304" s="3">
        <f>SUM(W296,W297,W298,W299,W300,W301,W302,W303)</f>
        <v>-5406.893</v>
      </c>
      <c r="X304" s="3">
        <f>SUM(X296,X297,X298,X299,X300,X301,X302,X303)</f>
        <v>-2082.399</v>
      </c>
      <c r="Y304" s="3">
        <f>SUM(Y296,Y297,Y298,Y299,Y300,Y301,Y302,Y303)</f>
        <v>-1435.932</v>
      </c>
      <c r="Z304" s="3">
        <f>SUM(Z296,Z297,Z298,Z299,Z300,Z301,Z302,Z303)</f>
        <v>245.797000000001</v>
      </c>
      <c r="AA304" s="3">
        <f>SUM(AA296,AA297,AA298,AA299,AA300,AA301,AA302,AA303)</f>
        <v>-244.300000000001</v>
      </c>
      <c r="AB304" s="3">
        <f>SUM(AB296,AB297,AB298,AB299,AB300,AB301,AB302,AB303)</f>
        <v>-3516.834</v>
      </c>
      <c r="AC304" s="3">
        <f>SUM(AC296,AC297,AC298,AC299,AC300,AC301,AC302,AC303)</f>
        <v>-4171.731</v>
      </c>
      <c r="AD304" s="3">
        <f>SUM(AD296,AD297,AD298,AD299,AD300,AD301,AD302,AD303)</f>
        <v>-2765.299</v>
      </c>
      <c r="AE304" s="3">
        <f>SUM(AE296,AE297,AE298,AE299,AE300,AE301,AE302,AE303)</f>
        <v>-1534.966</v>
      </c>
      <c r="AF304" s="3">
        <f>SUM(AF296,AF297,AF298,AF299,AF300,AF301,AF302,AF303)</f>
        <v>-1757.252</v>
      </c>
      <c r="AG304" s="3">
        <f>SUM(AG296,AG297,AG298,AG299,AG300,AG301,AG302,AG303)</f>
        <v>-10229.248</v>
      </c>
      <c r="AH304" s="3">
        <f>SUM(AH296,AH297,AH298,AH299,AH300,AH301,AH302,AH303)</f>
        <v>-874.199999999999</v>
      </c>
      <c r="AI304" s="3">
        <f>SUM(AI296,AI297,AI298,AI299,AI300,AI301,AI302,AI303)</f>
        <v>-4426.971</v>
      </c>
      <c r="AJ304" s="3">
        <f>SUM(AJ296,AJ297,AJ298,AJ299,AJ300,AJ301,AJ302,AJ303)</f>
        <v>0</v>
      </c>
      <c r="AK304" s="3">
        <f>SUM(AK296,AK297,AK298,AK299,AK300,AK301,AK302,AK303)</f>
        <v>0</v>
      </c>
      <c r="AL304" s="3">
        <f>SUM(AL296,AL297,AL298,AL299,AL300,AL301,AL302,AL303)</f>
        <v>-5301.171</v>
      </c>
      <c r="AM304" s="3">
        <f>SUM(AM296,AM297,AM298,AM299,AM300,AM301,AM302,AM303)</f>
        <v>0</v>
      </c>
      <c r="AN304" s="3">
        <f>SUM(AN296,AN297,AN298,AN299,AN300,AN301,AN302,AN303)</f>
        <v>0</v>
      </c>
      <c r="AO304" s="3">
        <f>SUM(AO296,AO297,AO298,AO299,AO300,AO301,AO302,AO303)</f>
        <v>0</v>
      </c>
      <c r="AP304" s="3">
        <f>SUM(AP296,AP297,AP298,AP299,AP300,AP301,AP302,AP303)</f>
        <v>0</v>
      </c>
      <c r="AQ304" s="3">
        <f>SUM(AQ296,AQ297,AQ298,AQ299,AQ300,AQ301,AQ302,AQ303)</f>
        <v>0</v>
      </c>
      <c r="AR304" s="3">
        <f>SUM(AR296,AR297,AR298,AR299,AR300,AR301,AR302,AR303)</f>
        <v>0</v>
      </c>
      <c r="AS304" s="3">
        <f>SUM(AS296,AS297,AS298,AS299,AS300,AS301,AS302,AS303)</f>
        <v>0</v>
      </c>
      <c r="AT304" s="3">
        <f>SUM(AT296,AT297,AT298,AT299,AT300,AT301,AT302,AT303)</f>
        <v>0</v>
      </c>
      <c r="AU304" s="3">
        <f>SUM(AU296,AU297,AU298,AU299,AU300,AU301,AU302,AU303)</f>
        <v>0</v>
      </c>
      <c r="AV304" s="3">
        <f>SUM(AV296,AV297,AV298,AV299,AV300,AV301,AV302,AV303)</f>
        <v>0</v>
      </c>
      <c r="AW304" s="3">
        <f>SUM(AW296,AW297,AW298,AW299,AW300,AW301,AW302,AW303)</f>
        <v>0</v>
      </c>
      <c r="AX304" s="3">
        <f>SUM(AX296,AX297,AX298,AX299,AX300,AX301,AX302,AX303)</f>
        <v>0</v>
      </c>
      <c r="AY304" s="3">
        <f>SUM(AY296,AY297,AY298,AY299,AY300,AY301,AY302,AY303)</f>
        <v>0</v>
      </c>
      <c r="AZ304" s="3">
        <f>SUM(AZ296,AZ297,AZ298,AZ299,AZ300,AZ301,AZ302,AZ303)</f>
        <v>0</v>
      </c>
      <c r="BA304" s="3">
        <f>SUM(BA296,BA297,BA298,BA299,BA300,BA301,BA302,BA303)</f>
        <v>0</v>
      </c>
      <c r="BB304" s="3">
        <f>SUM(BB296,BB297,BB298,BB299,BB300,BB301,BB302,BB303)</f>
        <v>0</v>
      </c>
      <c r="BC304" s="3">
        <f>SUM(BC296,BC297,BC298,BC299,BC300,BC301,BC302,BC303)</f>
        <v>0</v>
      </c>
      <c r="BD304" s="3">
        <f>SUM(BD296,BD297,BD298,BD299,BD300,BD301,BD302,BD303)</f>
        <v>0</v>
      </c>
      <c r="BE304" s="3">
        <f>SUM(BE296,BE297,BE298,BE299,BE300,BE301,BE302,BE303)</f>
        <v>0</v>
      </c>
      <c r="BF304" s="3">
        <f>SUM(BF296,BF297,BF298,BF299,BF300,BF301,BF302,BF303)</f>
        <v>0</v>
      </c>
      <c r="BG304" s="3">
        <f>SUM(BG296,BG297,BG298,BG299,BG300,BG301,BG302,BG303)</f>
        <v>0</v>
      </c>
      <c r="BH304" s="3">
        <f>SUM(BH296,BH297,BH298,BH299,BH300,BH301,BH302,BH303)</f>
        <v>0</v>
      </c>
      <c r="BI304" s="3">
        <f>SUM(BI296,BI297,BI298,BI299,BI300,BI301,BI302,BI303)</f>
        <v>0</v>
      </c>
      <c r="BJ304" s="3">
        <f>SUM(BJ296,BJ297,BJ298,BJ299,BJ300,BJ301,BJ302,BJ303)</f>
        <v>0</v>
      </c>
      <c r="BK304" s="3">
        <f>SUM(BK296,BK297,BK298,BK299,BK300,BK301,BK302,BK303)</f>
        <v>0</v>
      </c>
      <c r="BL304" s="3">
        <f>SUM(BL296,BL297,BL298,BL299,BL300,BL301,BL302,BL303)</f>
        <v>0</v>
      </c>
      <c r="BM304" s="3">
        <f>SUM(BM296,BM297,BM298,BM299,BM300,BM301,BM302,BM303)</f>
        <v>0</v>
      </c>
      <c r="BN304" s="3">
        <f>SUM(BN296,BN297,BN298,BN299,BN300,BN301,BN302,BN303)</f>
        <v>0</v>
      </c>
      <c r="BO304" s="3">
        <f>SUM(BO296,BO297,BO298,BO299,BO300,BO301,BO302,BO303)</f>
        <v>0</v>
      </c>
      <c r="BP304" s="3">
        <f>SUM(BP296,BP297,BP298,BP299,BP300,BP301,BP302,BP303)</f>
        <v>0</v>
      </c>
      <c r="BQ304" s="3">
        <f>SUM(BQ296,BQ297,BQ298,BQ299,BQ300,BQ301,BQ302,BQ303)</f>
        <v>0</v>
      </c>
      <c r="BR304" s="3">
        <f>SUM(BR296,BR297,BR298,BR299,BR300,BR301,BR302,BR303)</f>
        <v>0</v>
      </c>
      <c r="BS304" s="3">
        <f>SUM(BS296,BS297,BS298,BS299,BS300,BS301,BS302,BS303)</f>
        <v>0</v>
      </c>
      <c r="BT304" s="3">
        <f>SUM(BT296,BT297,BT298,BT299,BT300,BT301,BT302,BT303)</f>
        <v>0</v>
      </c>
      <c r="BU304" s="3">
        <f>SUM(BU296,BU297,BU298,BU299,BU300,BU301,BU302,BU303)</f>
        <v>0</v>
      </c>
      <c r="BV304" s="3">
        <f>SUM(BV296,BV297,BV298,BV299,BV300,BV301,BV302,BV303)</f>
        <v>0</v>
      </c>
      <c r="BW304" s="3">
        <f>SUM(BW296,BW297,BW298,BW299,BW300,BW301,BW302,BW303)</f>
        <v>0</v>
      </c>
      <c r="BX304" s="3">
        <f>SUM(BX296,BX297,BX298,BX299,BX300,BX301,BX302,BX303)</f>
        <v>0</v>
      </c>
      <c r="BY304" s="3">
        <f>SUM(BY296,BY297,BY298,BY299,BY300,BY301,BY302,BY303)</f>
        <v>0</v>
      </c>
      <c r="BZ304" s="3">
        <f>SUM(BZ296,BZ297,BZ298,BZ299,BZ300,BZ301,BZ302,BZ303)</f>
        <v>0</v>
      </c>
      <c r="CA304" s="3">
        <f>SUM(CA296,CA297,CA298,CA299,CA300,CA301,CA302,CA303)</f>
        <v>0</v>
      </c>
      <c r="CB304" s="3">
        <f>SUM(CB296,CB297,CB298,CB299,CB300,CB301,CB302,CB303)</f>
        <v>0</v>
      </c>
      <c r="CC304" s="3">
        <f>SUM(CC296,CC297,CC298,CC299,CC300,CC301,CC302,CC303)</f>
        <v>0</v>
      </c>
      <c r="CD304" s="3">
        <f>SUM(CD296,CD297,CD298,CD299,CD300,CD301,CD302,CD303)</f>
        <v>0</v>
      </c>
      <c r="CE304" s="3">
        <f>SUM(CE296,CE297,CE298,CE299,CE300,CE301,CE302,CE303)</f>
        <v>0</v>
      </c>
      <c r="CF304" s="3">
        <f>SUM(CF296,CF297,CF298,CF299,CF300,CF301,CF302,CF303)</f>
        <v>0</v>
      </c>
      <c r="CG304" s="3">
        <f>SUM(CG296,CG297,CG298,CG299,CG300,CG301,CG302,CG303)</f>
        <v>0</v>
      </c>
      <c r="CH304" s="3">
        <f>SUM(CH296,CH297,CH298,CH299,CH300,CH301,CH302,CH303)</f>
        <v>0</v>
      </c>
      <c r="CI304" s="3">
        <f>SUM(CI296,CI297,CI298,CI299,CI300,CI301,CI302,CI303)</f>
        <v>0</v>
      </c>
      <c r="CJ304" s="3">
        <f>SUM(CJ296,CJ297,CJ298,CJ299,CJ300,CJ301,CJ302,CJ303)</f>
        <v>0</v>
      </c>
      <c r="CK304" s="3">
        <f>SUM(CK296,CK297,CK298,CK299,CK300,CK301,CK302,CK303)</f>
        <v>0</v>
      </c>
      <c r="CL304" s="3">
        <f>SUM(CL296,CL297,CL298,CL299,CL300,CL301,CL302,CL303)</f>
        <v>0</v>
      </c>
      <c r="CM304" s="3">
        <f>SUM(CM296,CM297,CM298,CM299,CM300,CM301,CM302,CM303)</f>
        <v>0</v>
      </c>
      <c r="CN304" s="3">
        <f>SUM(CN296,CN297,CN298,CN299,CN300,CN301,CN302,CN303)</f>
        <v>0</v>
      </c>
      <c r="CO304" s="3">
        <f>SUM(CO296,CO297,CO298,CO299,CO300,CO301,CO302,CO303)</f>
        <v>0</v>
      </c>
      <c r="CP304" s="3">
        <f>SUM(CP296,CP297,CP298,CP299,CP300,CP301,CP302,CP303)</f>
        <v>0</v>
      </c>
      <c r="CQ304" s="3">
        <f>SUM(CQ296,CQ297,CQ298,CQ299,CQ300,CQ301,CQ302,CQ303)</f>
        <v>0</v>
      </c>
      <c r="CR304" s="3">
        <f>SUM(CR296,CR297,CR298,CR299,CR300,CR301,CR302,CR303)</f>
        <v>0</v>
      </c>
      <c r="CS304" s="3">
        <f>SUM(CS296,CS297,CS298,CS299,CS300,CS301,CS302,CS303)</f>
        <v>0</v>
      </c>
      <c r="CT304" s="3">
        <f>SUM(CT296,CT297,CT298,CT299,CT300,CT301,CT302,CT303)</f>
        <v>0</v>
      </c>
      <c r="CU304" s="3">
        <f>SUM(CU296,CU297,CU298,CU299,CU300,CU301,CU302,CU303)</f>
        <v>0</v>
      </c>
      <c r="CV304" s="3">
        <f>SUM(CV296,CV297,CV298,CV299,CV300,CV301,CV302,CV303)</f>
        <v>0</v>
      </c>
      <c r="CW304" s="3">
        <f>SUM(CW296,CW297,CW298,CW299,CW300,CW301,CW302,CW303)</f>
        <v>0</v>
      </c>
      <c r="CX304" s="3">
        <f>SUM(CX296,CX297,CX298,CX299,CX300,CX301,CX302,CX303)</f>
        <v>0</v>
      </c>
      <c r="CY304" s="3">
        <f>SUM(CY296,CY297,CY298,CY299,CY300,CY301,CY302,CY303)</f>
        <v>0</v>
      </c>
    </row>
    <row r="305">
      <c r="C305" s="26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  <c r="CU305" s="3" t="n"/>
      <c r="CV305" s="3" t="n"/>
      <c r="CW305" s="3" t="n"/>
      <c r="CX305" s="3" t="n"/>
      <c r="CY305" s="3" t="n"/>
    </row>
    <row r="306">
      <c r="C306" s="26" t="inlineStr">
        <is>
          <t>Others</t>
        </is>
      </c>
      <c r="D306" s="3" t="n"/>
      <c r="E306" s="3" t="n"/>
      <c r="F306" s="3" t="n"/>
      <c r="G306" s="3" t="n"/>
      <c r="H306" s="3">
        <f>SUM(D306:G306)</f>
        <v>0</v>
      </c>
      <c r="I306" s="3" t="n"/>
      <c r="J306" s="3" t="n"/>
      <c r="K306" s="3" t="n"/>
      <c r="L306" s="3" t="n"/>
      <c r="M306" s="3">
        <f>SUM(I306:L306)</f>
        <v>0</v>
      </c>
      <c r="N306" s="3" t="n"/>
      <c r="O306" s="3" t="n"/>
      <c r="P306" s="3" t="n"/>
      <c r="Q306" s="3" t="n"/>
      <c r="R306" s="3">
        <f>SUM(N306:Q306)</f>
        <v>0</v>
      </c>
      <c r="S306" s="3" t="n"/>
      <c r="T306" s="3" t="n"/>
      <c r="U306" s="3" t="n"/>
      <c r="V306" s="3" t="n"/>
      <c r="W306" s="3">
        <f>SUM(S306:V306)</f>
        <v>0</v>
      </c>
      <c r="X306" s="3" t="n"/>
      <c r="Y306" s="3" t="n"/>
      <c r="Z306" s="3" t="n"/>
      <c r="AA306" s="3" t="n"/>
      <c r="AB306" s="3">
        <f>SUM(X306:AA306)</f>
        <v>0</v>
      </c>
      <c r="AC306" s="3" t="n"/>
      <c r="AD306" s="3" t="n"/>
      <c r="AE306" s="3" t="n"/>
      <c r="AF306" s="3" t="n"/>
      <c r="AG306" s="3">
        <f>SUM(AC306:AF306)</f>
        <v>0</v>
      </c>
      <c r="AH306" s="3" t="n"/>
      <c r="AI306" s="3" t="n"/>
      <c r="AJ306" s="3" t="n"/>
      <c r="AK306" s="3" t="n"/>
      <c r="AL306" s="3">
        <f>SUM(AH306:AK306)</f>
        <v>0</v>
      </c>
      <c r="AM306" s="3" t="n"/>
      <c r="AN306" s="3" t="n"/>
      <c r="AO306" s="3" t="n"/>
      <c r="AP306" s="3" t="n"/>
      <c r="AQ306" s="3">
        <f>SUM(AM306:AP306)</f>
        <v>0</v>
      </c>
      <c r="AR306" s="3" t="n"/>
      <c r="AS306" s="3" t="n"/>
      <c r="AT306" s="3" t="n"/>
      <c r="AU306" s="3" t="n"/>
      <c r="AV306" s="3">
        <f>SUM(AR306:AU306)</f>
        <v>0</v>
      </c>
      <c r="AW306" s="3" t="n"/>
      <c r="AX306" s="3" t="n"/>
      <c r="AY306" s="3" t="n"/>
      <c r="AZ306" s="3" t="n"/>
      <c r="BA306" s="3">
        <f>SUM(AW306:AZ306)</f>
        <v>0</v>
      </c>
      <c r="BB306" s="3" t="n"/>
      <c r="BC306" s="3" t="n"/>
      <c r="BD306" s="3" t="n"/>
      <c r="BE306" s="3" t="n"/>
      <c r="BF306" s="3">
        <f>SUM(BB306:BE306)</f>
        <v>0</v>
      </c>
      <c r="BG306" s="3" t="n"/>
      <c r="BH306" s="3" t="n"/>
      <c r="BI306" s="3" t="n"/>
      <c r="BJ306" s="3" t="n"/>
      <c r="BK306" s="3">
        <f>SUM(BG306:BJ306)</f>
        <v>0</v>
      </c>
      <c r="BL306" s="3" t="n"/>
      <c r="BM306" s="3" t="n"/>
      <c r="BN306" s="3" t="n"/>
      <c r="BO306" s="3" t="n"/>
      <c r="BP306" s="3">
        <f>SUM(BL306:BO306)</f>
        <v>0</v>
      </c>
      <c r="BQ306" s="3" t="n"/>
      <c r="BR306" s="3" t="n"/>
      <c r="BS306" s="3" t="n"/>
      <c r="BT306" s="3" t="n"/>
      <c r="BU306" s="3">
        <f>SUM(BQ306:BT306)</f>
        <v>0</v>
      </c>
      <c r="BV306" s="3" t="n"/>
      <c r="BW306" s="3" t="n"/>
      <c r="BX306" s="3" t="n"/>
      <c r="BY306" s="3" t="n"/>
      <c r="BZ306" s="3">
        <f>SUM(BV306:BY306)</f>
        <v>0</v>
      </c>
      <c r="CA306" s="3" t="n"/>
      <c r="CB306" s="3" t="n"/>
      <c r="CC306" s="3" t="n"/>
      <c r="CD306" s="3" t="n"/>
      <c r="CE306" s="3">
        <f>SUM(CA306:CD306)</f>
        <v>0</v>
      </c>
      <c r="CF306" s="3" t="n"/>
      <c r="CG306" s="3" t="n"/>
      <c r="CH306" s="3" t="n"/>
      <c r="CI306" s="3" t="n"/>
      <c r="CJ306" s="3">
        <f>SUM(CF306:CI306)</f>
        <v>0</v>
      </c>
      <c r="CK306" s="3" t="n"/>
      <c r="CL306" s="3" t="n"/>
      <c r="CM306" s="3" t="n"/>
      <c r="CN306" s="3" t="n"/>
      <c r="CO306" s="3">
        <f>SUM(CK306:CN306)</f>
        <v>0</v>
      </c>
      <c r="CP306" s="3" t="n"/>
      <c r="CQ306" s="3" t="n"/>
      <c r="CR306" s="3" t="n"/>
      <c r="CS306" s="3" t="n"/>
      <c r="CT306" s="3">
        <f>SUM(CP306:CS306)</f>
        <v>0</v>
      </c>
      <c r="CU306" s="3" t="n"/>
      <c r="CV306" s="3" t="n"/>
      <c r="CW306" s="3" t="n"/>
      <c r="CX306" s="3" t="n"/>
      <c r="CY306" s="3">
        <f>SUM(CU306:CX306)</f>
        <v>0</v>
      </c>
    </row>
    <row r="307">
      <c r="C307" s="26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  <c r="CU307" s="3" t="n"/>
      <c r="CV307" s="3" t="n"/>
      <c r="CW307" s="3" t="n"/>
      <c r="CX307" s="3" t="n"/>
      <c r="CY307" s="3" t="n"/>
    </row>
    <row r="308">
      <c r="C308" s="26" t="inlineStr">
        <is>
          <t>Total increase/decrease of cash</t>
        </is>
      </c>
      <c r="D308" s="3" t="n"/>
      <c r="E308" s="3">
        <f>SUM(E287,E294,E304,E306)</f>
        <v>2001.364</v>
      </c>
      <c r="F308" s="3">
        <f>SUM(F287,F294,F304,F306)</f>
        <v>1239.143</v>
      </c>
      <c r="G308" s="3">
        <f>SUM(G287,G294,G304,G306)</f>
        <v>-186.840999999998</v>
      </c>
      <c r="H308" s="3">
        <f>SUM(D308:G308)</f>
        <v>3053.666</v>
      </c>
      <c r="I308" s="3">
        <f>SUM(I287,I294,I304,I306)</f>
        <v>198.154999999996</v>
      </c>
      <c r="J308" s="3">
        <f>SUM(J287,J294,J304,J306)</f>
        <v>-626.175000000001</v>
      </c>
      <c r="K308" s="3">
        <f>SUM(K287,K294,K304,K306)</f>
        <v>-250.848999999998</v>
      </c>
      <c r="L308" s="3">
        <f>SUM(L287,L294,L304,L306)</f>
        <v>-1498.877</v>
      </c>
      <c r="M308" s="3">
        <f>SUM(I308:L308)</f>
        <v>-2177.746</v>
      </c>
      <c r="N308" s="3">
        <f>SUM(N287,N294,N304,N306)</f>
        <v>-18.8580000000019</v>
      </c>
      <c r="O308" s="3">
        <f>SUM(O287,O294,O304,O306)</f>
        <v>-189.496999999998</v>
      </c>
      <c r="P308" s="3">
        <f>SUM(P287,P294,P304,P306)</f>
        <v>294.283999999995</v>
      </c>
      <c r="Q308" s="3">
        <f>SUM(Q287,Q294,Q304,Q306)</f>
        <v>-55.2810000000017</v>
      </c>
      <c r="R308" s="3">
        <f>SUM(N308:Q308)</f>
        <v>30.6479999999935</v>
      </c>
      <c r="S308" s="3">
        <f>SUM(S287,S294,S304,S306)</f>
        <v>1769.052</v>
      </c>
      <c r="T308" s="3">
        <f>SUM(T287,T294,T304,T306)</f>
        <v>749.485000000002</v>
      </c>
      <c r="U308" s="3">
        <f>SUM(U287,U294,U304,U306)</f>
        <v>-709.543000000001</v>
      </c>
      <c r="V308" s="3">
        <f>SUM(V287,V294,V304,V306)</f>
        <v>-729.56</v>
      </c>
      <c r="W308" s="3">
        <f>SUM(S308:V308)</f>
        <v>1079.43400000001</v>
      </c>
      <c r="X308" s="3">
        <f>SUM(X287,X294,X304,X306)</f>
        <v>-92.1470000000061</v>
      </c>
      <c r="Y308" s="3">
        <f>SUM(Y287,Y294,Y304,Y306)</f>
        <v>-389.826999999999</v>
      </c>
      <c r="Z308" s="3">
        <f>SUM(Z287,Z294,Z304,Z306)</f>
        <v>2568.015</v>
      </c>
      <c r="AA308" s="3">
        <f>SUM(AA287,AA294,AA304,AA306)</f>
        <v>359.811999999994</v>
      </c>
      <c r="AB308" s="3">
        <f>SUM(X308:AA308)</f>
        <v>2445.85299999999</v>
      </c>
      <c r="AC308" s="3">
        <f>SUM(AC287,AC294,AC304,AC306)</f>
        <v>-1212.74899999999</v>
      </c>
      <c r="AD308" s="3">
        <f>SUM(AD287,AD294,AD304,AD306)</f>
        <v>19.529999999999</v>
      </c>
      <c r="AE308" s="3">
        <f>SUM(AE287,AE294,AE304,AE306)</f>
        <v>933.871999999999</v>
      </c>
      <c r="AF308" s="3">
        <f>SUM(AF287,AF294,AF304,AF306)</f>
        <v>-262.033000000002</v>
      </c>
      <c r="AG308" s="3">
        <f>SUM(AC308:AF308)</f>
        <v>-521.379999999999</v>
      </c>
      <c r="AH308" s="3">
        <f>SUM(AH287,AH294,AH304,AH306)</f>
        <v>3226.091</v>
      </c>
      <c r="AI308" s="3">
        <f>SUM(AI287,AI294,AI304,AI306)</f>
        <v>-3160.54</v>
      </c>
      <c r="AJ308" s="3">
        <f>SUM(AJ287,AJ294,AJ304,AJ306)</f>
        <v>-1134.996</v>
      </c>
      <c r="AK308" s="3">
        <f>SUM(AK287,AK294,AK304,AK306)</f>
        <v>51.661</v>
      </c>
      <c r="AL308" s="3">
        <f>SUM(AH308:AK308)</f>
        <v>-1017.784</v>
      </c>
      <c r="AM308" s="3" t="e">
        <f>SUM(AM287,AM294,AM304,AM306)</f>
        <v>#DIV/0!</v>
      </c>
      <c r="AN308" s="3" t="e">
        <f>SUM(AN287,AN294,AN304,AN306)</f>
        <v>#DIV/0!</v>
      </c>
      <c r="AO308" s="3" t="e">
        <f>SUM(AO287,AO294,AO304,AO306)</f>
        <v>#DIV/0!</v>
      </c>
      <c r="AP308" s="3" t="e">
        <f>SUM(AP287,AP294,AP304,AP306)</f>
        <v>#DIV/0!</v>
      </c>
      <c r="AQ308" s="3" t="e">
        <f>SUM(AM308:AP308)</f>
        <v>#DIV/0!</v>
      </c>
      <c r="AR308" s="3" t="e">
        <f>SUM(AR287,AR294,AR304,AR306)</f>
        <v>#DIV/0!</v>
      </c>
      <c r="AS308" s="3" t="e">
        <f>SUM(AS287,AS294,AS304,AS306)</f>
        <v>#DIV/0!</v>
      </c>
      <c r="AT308" s="3" t="e">
        <f>SUM(AT287,AT294,AT304,AT306)</f>
        <v>#DIV/0!</v>
      </c>
      <c r="AU308" s="3" t="e">
        <f>SUM(AU287,AU294,AU304,AU306)</f>
        <v>#DIV/0!</v>
      </c>
      <c r="AV308" s="3" t="e">
        <f>SUM(AR308:AU308)</f>
        <v>#DIV/0!</v>
      </c>
      <c r="AW308" s="3" t="e">
        <f>SUM(AW287,AW294,AW304,AW306)</f>
        <v>#DIV/0!</v>
      </c>
      <c r="AX308" s="3" t="e">
        <f>SUM(AX287,AX294,AX304,AX306)</f>
        <v>#DIV/0!</v>
      </c>
      <c r="AY308" s="3" t="e">
        <f>SUM(AY287,AY294,AY304,AY306)</f>
        <v>#DIV/0!</v>
      </c>
      <c r="AZ308" s="3" t="e">
        <f>SUM(AZ287,AZ294,AZ304,AZ306)</f>
        <v>#DIV/0!</v>
      </c>
      <c r="BA308" s="3" t="e">
        <f>SUM(AW308:AZ308)</f>
        <v>#DIV/0!</v>
      </c>
      <c r="BB308" s="3" t="e">
        <f>SUM(BB287,BB294,BB304,BB306)</f>
        <v>#DIV/0!</v>
      </c>
      <c r="BC308" s="3" t="e">
        <f>SUM(BC287,BC294,BC304,BC306)</f>
        <v>#DIV/0!</v>
      </c>
      <c r="BD308" s="3" t="e">
        <f>SUM(BD287,BD294,BD304,BD306)</f>
        <v>#DIV/0!</v>
      </c>
      <c r="BE308" s="3" t="e">
        <f>SUM(BE287,BE294,BE304,BE306)</f>
        <v>#DIV/0!</v>
      </c>
      <c r="BF308" s="3" t="e">
        <f>SUM(BB308:BE308)</f>
        <v>#DIV/0!</v>
      </c>
      <c r="BG308" s="3" t="e">
        <f>SUM(BG287,BG294,BG304,BG306)</f>
        <v>#DIV/0!</v>
      </c>
      <c r="BH308" s="3" t="e">
        <f>SUM(BH287,BH294,BH304,BH306)</f>
        <v>#DIV/0!</v>
      </c>
      <c r="BI308" s="3" t="e">
        <f>SUM(BI287,BI294,BI304,BI306)</f>
        <v>#DIV/0!</v>
      </c>
      <c r="BJ308" s="3" t="e">
        <f>SUM(BJ287,BJ294,BJ304,BJ306)</f>
        <v>#DIV/0!</v>
      </c>
      <c r="BK308" s="3" t="e">
        <f>SUM(BG308:BJ308)</f>
        <v>#DIV/0!</v>
      </c>
      <c r="BL308" s="3" t="e">
        <f>SUM(BL287,BL294,BL304,BL306)</f>
        <v>#DIV/0!</v>
      </c>
      <c r="BM308" s="3" t="e">
        <f>SUM(BM287,BM294,BM304,BM306)</f>
        <v>#DIV/0!</v>
      </c>
      <c r="BN308" s="3" t="e">
        <f>SUM(BN287,BN294,BN304,BN306)</f>
        <v>#DIV/0!</v>
      </c>
      <c r="BO308" s="3" t="e">
        <f>SUM(BO287,BO294,BO304,BO306)</f>
        <v>#DIV/0!</v>
      </c>
      <c r="BP308" s="3" t="e">
        <f>SUM(BL308:BO308)</f>
        <v>#DIV/0!</v>
      </c>
      <c r="BQ308" s="3" t="e">
        <f>SUM(BQ287,BQ294,BQ304,BQ306)</f>
        <v>#DIV/0!</v>
      </c>
      <c r="BR308" s="3" t="e">
        <f>SUM(BR287,BR294,BR304,BR306)</f>
        <v>#DIV/0!</v>
      </c>
      <c r="BS308" s="3" t="e">
        <f>SUM(BS287,BS294,BS304,BS306)</f>
        <v>#DIV/0!</v>
      </c>
      <c r="BT308" s="3" t="e">
        <f>SUM(BT287,BT294,BT304,BT306)</f>
        <v>#DIV/0!</v>
      </c>
      <c r="BU308" s="3" t="e">
        <f>SUM(BQ308:BT308)</f>
        <v>#DIV/0!</v>
      </c>
      <c r="BV308" s="3" t="e">
        <f>SUM(BV287,BV294,BV304,BV306)</f>
        <v>#DIV/0!</v>
      </c>
      <c r="BW308" s="3" t="e">
        <f>SUM(BW287,BW294,BW304,BW306)</f>
        <v>#DIV/0!</v>
      </c>
      <c r="BX308" s="3" t="e">
        <f>SUM(BX287,BX294,BX304,BX306)</f>
        <v>#DIV/0!</v>
      </c>
      <c r="BY308" s="3" t="e">
        <f>SUM(BY287,BY294,BY304,BY306)</f>
        <v>#DIV/0!</v>
      </c>
      <c r="BZ308" s="3" t="e">
        <f>SUM(BV308:BY308)</f>
        <v>#DIV/0!</v>
      </c>
      <c r="CA308" s="3" t="e">
        <f>SUM(CA287,CA294,CA304,CA306)</f>
        <v>#DIV/0!</v>
      </c>
      <c r="CB308" s="3" t="e">
        <f>SUM(CB287,CB294,CB304,CB306)</f>
        <v>#DIV/0!</v>
      </c>
      <c r="CC308" s="3" t="e">
        <f>SUM(CC287,CC294,CC304,CC306)</f>
        <v>#DIV/0!</v>
      </c>
      <c r="CD308" s="3" t="e">
        <f>SUM(CD287,CD294,CD304,CD306)</f>
        <v>#DIV/0!</v>
      </c>
      <c r="CE308" s="3" t="e">
        <f>SUM(CA308:CD308)</f>
        <v>#DIV/0!</v>
      </c>
      <c r="CF308" s="3" t="e">
        <f>SUM(CF287,CF294,CF304,CF306)</f>
        <v>#DIV/0!</v>
      </c>
      <c r="CG308" s="3" t="e">
        <f>SUM(CG287,CG294,CG304,CG306)</f>
        <v>#DIV/0!</v>
      </c>
      <c r="CH308" s="3" t="e">
        <f>SUM(CH287,CH294,CH304,CH306)</f>
        <v>#DIV/0!</v>
      </c>
      <c r="CI308" s="3" t="e">
        <f>SUM(CI287,CI294,CI304,CI306)</f>
        <v>#DIV/0!</v>
      </c>
      <c r="CJ308" s="3" t="e">
        <f>SUM(CF308:CI308)</f>
        <v>#DIV/0!</v>
      </c>
      <c r="CK308" s="3" t="e">
        <f>SUM(CK287,CK294,CK304,CK306)</f>
        <v>#DIV/0!</v>
      </c>
      <c r="CL308" s="3" t="e">
        <f>SUM(CL287,CL294,CL304,CL306)</f>
        <v>#DIV/0!</v>
      </c>
      <c r="CM308" s="3" t="e">
        <f>SUM(CM287,CM294,CM304,CM306)</f>
        <v>#DIV/0!</v>
      </c>
      <c r="CN308" s="3" t="e">
        <f>SUM(CN287,CN294,CN304,CN306)</f>
        <v>#DIV/0!</v>
      </c>
      <c r="CO308" s="3" t="e">
        <f>SUM(CK308:CN308)</f>
        <v>#DIV/0!</v>
      </c>
      <c r="CP308" s="3" t="e">
        <f>SUM(CP287,CP294,CP304,CP306)</f>
        <v>#DIV/0!</v>
      </c>
      <c r="CQ308" s="3" t="e">
        <f>SUM(CQ287,CQ294,CQ304,CQ306)</f>
        <v>#DIV/0!</v>
      </c>
      <c r="CR308" s="3" t="e">
        <f>SUM(CR287,CR294,CR304,CR306)</f>
        <v>#DIV/0!</v>
      </c>
      <c r="CS308" s="3" t="e">
        <f>SUM(CS287,CS294,CS304,CS306)</f>
        <v>#DIV/0!</v>
      </c>
      <c r="CT308" s="3" t="e">
        <f>SUM(CP308:CS308)</f>
        <v>#DIV/0!</v>
      </c>
      <c r="CU308" s="3" t="e">
        <f>SUM(CU287,CU294,CU304,CU306)</f>
        <v>#DIV/0!</v>
      </c>
      <c r="CV308" s="3" t="e">
        <f>SUM(CV287,CV294,CV304,CV306)</f>
        <v>#DIV/0!</v>
      </c>
      <c r="CW308" s="3" t="e">
        <f>SUM(CW287,CW294,CW304,CW306)</f>
        <v>#DIV/0!</v>
      </c>
      <c r="CX308" s="3" t="e">
        <f>SUM(CX287,CX294,CX304,CX306)</f>
        <v>#DIV/0!</v>
      </c>
      <c r="CY308" s="3" t="e">
        <f>SUM(CU308:CX308)</f>
        <v>#DIV/0!</v>
      </c>
    </row>
    <row r="309">
      <c r="C309" s="4" t="inlineStr">
        <is>
          <t>Check</t>
        </is>
      </c>
      <c r="E309" s="51">
        <f>(E308)-(E138-D138)</f>
        <v>0</v>
      </c>
      <c r="F309" s="51">
        <f>(F308)-(F138-E138)</f>
        <v>0</v>
      </c>
      <c r="G309" s="51">
        <f>(G308)-(G138-F138)</f>
        <v>2.21689333557151e-12</v>
      </c>
      <c r="I309" s="51">
        <f>(I308)-(I138-H138)</f>
        <v>-4.43378667114303e-12</v>
      </c>
      <c r="J309" s="51">
        <f>(J308)-(J138-I138)</f>
        <v>0</v>
      </c>
      <c r="K309" s="51">
        <f>(K308)-(K138-J138)</f>
        <v>1.76214598468505e-12</v>
      </c>
      <c r="L309" s="51">
        <f>(L308)-(L138-K138)</f>
        <v>0</v>
      </c>
      <c r="N309" s="51">
        <f>(N308)-(N138-M138)</f>
        <v>-1.70530256582424e-12</v>
      </c>
      <c r="O309" s="51">
        <f>(O308)-(O138-N138)</f>
        <v>2.33058017329313e-12</v>
      </c>
      <c r="P309" s="51">
        <f>(P308)-(P138-O138)</f>
        <v>-5.45696821063757e-12</v>
      </c>
      <c r="Q309" s="51">
        <f>(Q308)-(Q138-P138)</f>
        <v>-8.5265128291212e-13</v>
      </c>
      <c r="S309" s="51">
        <f>(S308)-(S138-R138)</f>
        <v>0</v>
      </c>
      <c r="T309" s="51">
        <f>(T308)-(T138-S138)</f>
        <v>0</v>
      </c>
      <c r="U309" s="51">
        <f>(U308)-(U138-T138)</f>
        <v>0</v>
      </c>
      <c r="V309" s="51">
        <f>(V308)-(V138-U138)</f>
        <v>0</v>
      </c>
      <c r="X309" s="51">
        <f>(X308)-(X138-W138)</f>
        <v>-6.19593265582807e-12</v>
      </c>
      <c r="Y309" s="51">
        <f>(Y308)-(Y138-X138)</f>
        <v>0</v>
      </c>
      <c r="Z309" s="51">
        <f>(Z308)-(Z138-Y138)</f>
        <v>0</v>
      </c>
      <c r="AA309" s="51">
        <f>(AA308)-(AA138-Z138)</f>
        <v>-5.6843418860808e-12</v>
      </c>
      <c r="AC309" s="51">
        <f>(AC308)-(AC138-AB138)</f>
        <v>5.00222085975111e-12</v>
      </c>
      <c r="AD309" s="51">
        <f>(AD308)-(AD138-AC138)</f>
        <v>-1.64845914696343e-12</v>
      </c>
      <c r="AE309" s="51">
        <f>(AE308)-(AE138-AD138)</f>
        <v>0</v>
      </c>
      <c r="AF309" s="51">
        <f>(AF308)-(AF138-AE138)</f>
        <v>-2.50111042987555e-12</v>
      </c>
      <c r="AH309" s="51">
        <f>(AH308)-(AH138-AG138)</f>
        <v>0</v>
      </c>
      <c r="AI309" s="51">
        <f>(AI308)-(AI138-AH138)</f>
        <v>0</v>
      </c>
      <c r="AJ309" s="51">
        <f>(AJ308)-(AJ138-AI138)</f>
        <v>0</v>
      </c>
      <c r="AK309" s="51">
        <f>(AK308)-(AK138-AJ138)</f>
        <v>0</v>
      </c>
      <c r="AM309" s="51" t="e">
        <f>(AM308)-(AM138-AL138)</f>
        <v>#DIV/0!</v>
      </c>
      <c r="AN309" s="51" t="e">
        <f>(AN308)-(AN138-AM138)</f>
        <v>#DIV/0!</v>
      </c>
      <c r="AO309" s="51" t="e">
        <f>(AO308)-(AO138-AN138)</f>
        <v>#DIV/0!</v>
      </c>
      <c r="AP309" s="51" t="e">
        <f>(AP308)-(AP138-AO138)</f>
        <v>#DIV/0!</v>
      </c>
      <c r="AR309" s="51" t="e">
        <f>(AR308)-(AR138-AQ138)</f>
        <v>#DIV/0!</v>
      </c>
      <c r="AS309" s="51" t="e">
        <f>(AS308)-(AS138-AR138)</f>
        <v>#DIV/0!</v>
      </c>
      <c r="AT309" s="51" t="e">
        <f>(AT308)-(AT138-AS138)</f>
        <v>#DIV/0!</v>
      </c>
      <c r="AU309" s="51" t="e">
        <f>(AU308)-(AU138-AT138)</f>
        <v>#DIV/0!</v>
      </c>
      <c r="AW309" s="51" t="e">
        <f>(AW308)-(AW138-AV138)</f>
        <v>#DIV/0!</v>
      </c>
      <c r="AX309" s="51" t="e">
        <f>(AX308)-(AX138-AW138)</f>
        <v>#DIV/0!</v>
      </c>
      <c r="AY309" s="51" t="e">
        <f>(AY308)-(AY138-AX138)</f>
        <v>#DIV/0!</v>
      </c>
      <c r="AZ309" s="51" t="e">
        <f>(AZ308)-(AZ138-AY138)</f>
        <v>#DIV/0!</v>
      </c>
      <c r="BB309" s="51" t="e">
        <f>(BB308)-(BB138-BA138)</f>
        <v>#DIV/0!</v>
      </c>
      <c r="BC309" s="51" t="e">
        <f>(BC308)-(BC138-BB138)</f>
        <v>#DIV/0!</v>
      </c>
      <c r="BD309" s="51" t="e">
        <f>(BD308)-(BD138-BC138)</f>
        <v>#DIV/0!</v>
      </c>
      <c r="BE309" s="51" t="e">
        <f>(BE308)-(BE138-BD138)</f>
        <v>#DIV/0!</v>
      </c>
      <c r="BG309" s="51" t="e">
        <f>(BG308)-(BG138-BF138)</f>
        <v>#DIV/0!</v>
      </c>
      <c r="BH309" s="51" t="e">
        <f>(BH308)-(BH138-BG138)</f>
        <v>#DIV/0!</v>
      </c>
      <c r="BI309" s="51" t="e">
        <f>(BI308)-(BI138-BH138)</f>
        <v>#DIV/0!</v>
      </c>
      <c r="BJ309" s="51" t="e">
        <f>(BJ308)-(BJ138-BI138)</f>
        <v>#DIV/0!</v>
      </c>
      <c r="BL309" s="51" t="e">
        <f>(BL308)-(BL138-BK138)</f>
        <v>#DIV/0!</v>
      </c>
      <c r="BM309" s="51" t="e">
        <f>(BM308)-(BM138-BL138)</f>
        <v>#DIV/0!</v>
      </c>
      <c r="BN309" s="51" t="e">
        <f>(BN308)-(BN138-BM138)</f>
        <v>#DIV/0!</v>
      </c>
      <c r="BO309" s="51" t="e">
        <f>(BO308)-(BO138-BN138)</f>
        <v>#DIV/0!</v>
      </c>
      <c r="BQ309" s="51" t="e">
        <f>(BQ308)-(BQ138-BP138)</f>
        <v>#DIV/0!</v>
      </c>
      <c r="BR309" s="51" t="e">
        <f>(BR308)-(BR138-BQ138)</f>
        <v>#DIV/0!</v>
      </c>
      <c r="BS309" s="51" t="e">
        <f>(BS308)-(BS138-BR138)</f>
        <v>#DIV/0!</v>
      </c>
      <c r="BT309" s="51" t="e">
        <f>(BT308)-(BT138-BS138)</f>
        <v>#DIV/0!</v>
      </c>
      <c r="BV309" s="51" t="e">
        <f>(BV308)-(BV138-BU138)</f>
        <v>#DIV/0!</v>
      </c>
      <c r="BW309" s="51" t="e">
        <f>(BW308)-(BW138-BV138)</f>
        <v>#DIV/0!</v>
      </c>
      <c r="BX309" s="51" t="e">
        <f>(BX308)-(BX138-BW138)</f>
        <v>#DIV/0!</v>
      </c>
      <c r="BY309" s="51" t="e">
        <f>(BY308)-(BY138-BX138)</f>
        <v>#DIV/0!</v>
      </c>
      <c r="CA309" s="51" t="e">
        <f>(CA308)-(CA138-BZ138)</f>
        <v>#DIV/0!</v>
      </c>
      <c r="CB309" s="51" t="e">
        <f>(CB308)-(CB138-CA138)</f>
        <v>#DIV/0!</v>
      </c>
      <c r="CC309" s="51" t="e">
        <f>(CC308)-(CC138-CB138)</f>
        <v>#DIV/0!</v>
      </c>
      <c r="CD309" s="51" t="e">
        <f>(CD308)-(CD138-CC138)</f>
        <v>#DIV/0!</v>
      </c>
      <c r="CF309" s="51" t="e">
        <f>(CF308)-(CF138-CE138)</f>
        <v>#DIV/0!</v>
      </c>
      <c r="CG309" s="51" t="e">
        <f>(CG308)-(CG138-CF138)</f>
        <v>#DIV/0!</v>
      </c>
      <c r="CH309" s="51" t="e">
        <f>(CH308)-(CH138-CG138)</f>
        <v>#DIV/0!</v>
      </c>
      <c r="CI309" s="51" t="e">
        <f>(CI308)-(CI138-CH138)</f>
        <v>#DIV/0!</v>
      </c>
      <c r="CK309" s="51" t="e">
        <f>(CK308)-(CK138-CJ138)</f>
        <v>#DIV/0!</v>
      </c>
      <c r="CL309" s="51" t="e">
        <f>(CL308)-(CL138-CK138)</f>
        <v>#DIV/0!</v>
      </c>
      <c r="CM309" s="51" t="e">
        <f>(CM308)-(CM138-CL138)</f>
        <v>#DIV/0!</v>
      </c>
      <c r="CN309" s="51" t="e">
        <f>(CN308)-(CN138-CM138)</f>
        <v>#DIV/0!</v>
      </c>
      <c r="CP309" s="51" t="e">
        <f>(CP308)-(CP138-CO138)</f>
        <v>#DIV/0!</v>
      </c>
      <c r="CQ309" s="51" t="e">
        <f>(CQ308)-(CQ138-CP138)</f>
        <v>#DIV/0!</v>
      </c>
      <c r="CR309" s="51" t="e">
        <f>(CR308)-(CR138-CQ138)</f>
        <v>#DIV/0!</v>
      </c>
      <c r="CS309" s="51" t="e">
        <f>(CS308)-(CS138-CR138)</f>
        <v>#DIV/0!</v>
      </c>
      <c r="CU309" s="51" t="e">
        <f>(CU308)-(CU138-CT138)</f>
        <v>#DIV/0!</v>
      </c>
      <c r="CV309" s="51" t="e">
        <f>(CV308)-(CV138-CU138)</f>
        <v>#DIV/0!</v>
      </c>
      <c r="CW309" s="51" t="e">
        <f>(CW308)-(CW138-CV138)</f>
        <v>#DIV/0!</v>
      </c>
      <c r="CX309" s="51" t="e">
        <f>(CX308)-(CX138-CW138)</f>
        <v>#DIV/0!</v>
      </c>
    </row>
    <row r="311">
      <c r="C311" s="53" t="inlineStr">
        <is>
          <t>Ratio Analysis</t>
        </is>
      </c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  <c r="CO311" s="53" t="n"/>
      <c r="CP311" s="53" t="n"/>
      <c r="CQ311" s="53" t="n"/>
      <c r="CR311" s="53" t="n"/>
      <c r="CS311" s="53" t="n"/>
      <c r="CT311" s="53" t="n"/>
      <c r="CU311" s="53" t="n"/>
      <c r="CV311" s="53" t="n"/>
      <c r="CW311" s="53" t="n"/>
      <c r="CX311" s="53" t="n"/>
      <c r="CY311" s="53" t="n"/>
    </row>
    <row r="313" customFormat="1" s="234">
      <c r="C313" s="234" t="inlineStr">
        <is>
          <t>YEAR</t>
        </is>
      </c>
      <c r="D313" s="234" t="str">
        <f>D269</f>
        <v>1Q20</v>
      </c>
      <c r="E313" s="235" t="str">
        <f>E269</f>
        <v>2Q20</v>
      </c>
      <c r="F313" s="235" t="str">
        <f>F269</f>
        <v>3Q20</v>
      </c>
      <c r="G313" s="235" t="str">
        <f>G269</f>
        <v>4Q20</v>
      </c>
      <c r="H313" s="235">
        <f>H269</f>
        <v>2020</v>
      </c>
      <c r="I313" s="235" t="str">
        <f>I269</f>
        <v>1Q21</v>
      </c>
      <c r="J313" s="235" t="str">
        <f>J269</f>
        <v>2Q21</v>
      </c>
      <c r="K313" s="235" t="str">
        <f>K269</f>
        <v>3Q21</v>
      </c>
      <c r="L313" s="235" t="str">
        <f>L269</f>
        <v>4Q21</v>
      </c>
      <c r="M313" s="235">
        <f>M269</f>
        <v>2021</v>
      </c>
      <c r="N313" s="235" t="str">
        <f>N269</f>
        <v>1Q22</v>
      </c>
      <c r="O313" s="235" t="str">
        <f>O269</f>
        <v>2Q22</v>
      </c>
      <c r="P313" s="235" t="str">
        <f>P269</f>
        <v>3Q22</v>
      </c>
      <c r="Q313" s="235" t="str">
        <f>Q269</f>
        <v>4Q22</v>
      </c>
      <c r="R313" s="235">
        <f>R269</f>
        <v>2022</v>
      </c>
      <c r="S313" s="235" t="str">
        <f>S269</f>
        <v>1Q23</v>
      </c>
      <c r="T313" s="235" t="str">
        <f>T269</f>
        <v>2Q23</v>
      </c>
      <c r="U313" s="235" t="str">
        <f>U269</f>
        <v>3Q23</v>
      </c>
      <c r="V313" s="235" t="str">
        <f>V269</f>
        <v>4Q23</v>
      </c>
      <c r="W313" s="235">
        <f>W269</f>
        <v>2023</v>
      </c>
      <c r="X313" s="235" t="str">
        <f>X269</f>
        <v>1Q24</v>
      </c>
      <c r="Y313" s="235" t="str">
        <f>Y269</f>
        <v>2Q24</v>
      </c>
      <c r="Z313" s="235" t="str">
        <f>Z269</f>
        <v>3Q24</v>
      </c>
      <c r="AA313" s="235" t="str">
        <f>AA269</f>
        <v>4Q24</v>
      </c>
      <c r="AB313" s="235">
        <f>AB269</f>
        <v>2024</v>
      </c>
      <c r="AC313" s="235" t="str">
        <f>AC269</f>
        <v>1Q25</v>
      </c>
      <c r="AD313" s="235" t="str">
        <f>AD269</f>
        <v>2Q25</v>
      </c>
      <c r="AE313" s="235" t="str">
        <f>AE269</f>
        <v>3Q25</v>
      </c>
      <c r="AF313" s="235" t="str">
        <f>AF269</f>
        <v>4Q25</v>
      </c>
      <c r="AG313" s="235">
        <f>AG269</f>
        <v>2025</v>
      </c>
      <c r="AH313" s="235" t="str">
        <f>AH269</f>
        <v>1Q26</v>
      </c>
      <c r="AI313" s="235" t="str">
        <f>AI269</f>
        <v>2Q26</v>
      </c>
      <c r="AJ313" s="235" t="str">
        <f>AJ269</f>
        <v>3Q26</v>
      </c>
      <c r="AK313" s="235" t="str">
        <f>AK269</f>
        <v>4Q26</v>
      </c>
      <c r="AL313" s="235">
        <f>AL269</f>
        <v>2026</v>
      </c>
      <c r="AM313" s="235" t="str">
        <f>AM269</f>
        <v>1Q27</v>
      </c>
      <c r="AN313" s="235" t="str">
        <f>AN269</f>
        <v>2Q27</v>
      </c>
      <c r="AO313" s="235" t="str">
        <f>AO269</f>
        <v>3Q27</v>
      </c>
      <c r="AP313" s="235" t="str">
        <f>AP269</f>
        <v>4Q27</v>
      </c>
      <c r="AQ313" s="235">
        <f>AQ269</f>
        <v>2027</v>
      </c>
      <c r="AR313" s="235" t="str">
        <f>AR269</f>
        <v>1Q28</v>
      </c>
      <c r="AS313" s="235" t="str">
        <f>AS269</f>
        <v>2Q28</v>
      </c>
      <c r="AT313" s="235" t="str">
        <f>AT269</f>
        <v>3Q28</v>
      </c>
      <c r="AU313" s="235" t="str">
        <f>AU269</f>
        <v>4Q28</v>
      </c>
      <c r="AV313" s="235">
        <f>AV269</f>
        <v>2028</v>
      </c>
      <c r="AW313" s="235" t="str">
        <f>AW269</f>
        <v>1Q29</v>
      </c>
      <c r="AX313" s="235" t="str">
        <f>AX269</f>
        <v>2Q29</v>
      </c>
      <c r="AY313" s="235" t="str">
        <f>AY269</f>
        <v>3Q29</v>
      </c>
      <c r="AZ313" s="235" t="str">
        <f>AZ269</f>
        <v>4Q29</v>
      </c>
      <c r="BA313" s="235">
        <f>BA269</f>
        <v>2029</v>
      </c>
      <c r="BB313" s="235" t="str">
        <f>BB269</f>
        <v>1Q30</v>
      </c>
      <c r="BC313" s="235" t="str">
        <f>BC269</f>
        <v>2Q30</v>
      </c>
      <c r="BD313" s="235" t="str">
        <f>BD269</f>
        <v>3Q30</v>
      </c>
      <c r="BE313" s="235" t="str">
        <f>BE269</f>
        <v>4Q30</v>
      </c>
      <c r="BF313" s="235">
        <f>BF269</f>
        <v>2030</v>
      </c>
      <c r="BG313" s="235" t="str">
        <f>BG269</f>
        <v>1Q31</v>
      </c>
      <c r="BH313" s="235" t="str">
        <f>BH269</f>
        <v>2Q31</v>
      </c>
      <c r="BI313" s="235" t="str">
        <f>BI269</f>
        <v>3Q31</v>
      </c>
      <c r="BJ313" s="235" t="str">
        <f>BJ269</f>
        <v>4Q31</v>
      </c>
      <c r="BK313" s="235">
        <f>BK269</f>
        <v>2031</v>
      </c>
      <c r="BL313" s="235" t="str">
        <f>BL269</f>
        <v>1Q32</v>
      </c>
      <c r="BM313" s="235" t="str">
        <f>BM269</f>
        <v>2Q32</v>
      </c>
      <c r="BN313" s="235" t="str">
        <f>BN269</f>
        <v>3Q32</v>
      </c>
      <c r="BO313" s="235" t="str">
        <f>BO269</f>
        <v>4Q32</v>
      </c>
      <c r="BP313" s="235">
        <f>BP269</f>
        <v>2032</v>
      </c>
      <c r="BQ313" s="235" t="str">
        <f>BQ269</f>
        <v>1Q33</v>
      </c>
      <c r="BR313" s="235" t="str">
        <f>BR269</f>
        <v>2Q33</v>
      </c>
      <c r="BS313" s="235" t="str">
        <f>BS269</f>
        <v>3Q33</v>
      </c>
      <c r="BT313" s="235" t="str">
        <f>BT269</f>
        <v>4Q33</v>
      </c>
      <c r="BU313" s="235">
        <f>BU269</f>
        <v>2033</v>
      </c>
      <c r="BV313" s="235" t="str">
        <f>BV269</f>
        <v>1Q34</v>
      </c>
      <c r="BW313" s="235" t="str">
        <f>BW269</f>
        <v>2Q34</v>
      </c>
      <c r="BX313" s="235" t="str">
        <f>BX269</f>
        <v>3Q34</v>
      </c>
      <c r="BY313" s="235" t="str">
        <f>BY269</f>
        <v>4Q34</v>
      </c>
      <c r="BZ313" s="235">
        <f>BZ269</f>
        <v>2034</v>
      </c>
      <c r="CA313" s="235" t="str">
        <f>CA269</f>
        <v>1Q35</v>
      </c>
      <c r="CB313" s="235" t="str">
        <f>CB269</f>
        <v>2Q35</v>
      </c>
      <c r="CC313" s="235" t="str">
        <f>CC269</f>
        <v>3Q35</v>
      </c>
      <c r="CD313" s="235" t="str">
        <f>CD269</f>
        <v>4Q35</v>
      </c>
      <c r="CE313" s="235">
        <f>CE269</f>
        <v>2035</v>
      </c>
      <c r="CF313" s="235" t="str">
        <f>CF269</f>
        <v>1Q36</v>
      </c>
      <c r="CG313" s="235" t="str">
        <f>CG269</f>
        <v>2Q36</v>
      </c>
      <c r="CH313" s="235" t="str">
        <f>CH269</f>
        <v>3Q36</v>
      </c>
      <c r="CI313" s="235" t="str">
        <f>CI269</f>
        <v>4Q36</v>
      </c>
      <c r="CJ313" s="235">
        <f>CJ269</f>
        <v>2036</v>
      </c>
      <c r="CK313" s="235" t="str">
        <f>CK269</f>
        <v>1Q37</v>
      </c>
      <c r="CL313" s="235" t="str">
        <f>CL269</f>
        <v>2Q37</v>
      </c>
      <c r="CM313" s="235" t="str">
        <f>CM269</f>
        <v>3Q37</v>
      </c>
      <c r="CN313" s="235" t="str">
        <f>CN269</f>
        <v>4Q37</v>
      </c>
      <c r="CO313" s="235">
        <f>CO269</f>
        <v>2037</v>
      </c>
      <c r="CP313" s="235" t="str">
        <f>CP269</f>
        <v>1Q38</v>
      </c>
      <c r="CQ313" s="235" t="str">
        <f>CQ269</f>
        <v>2Q38</v>
      </c>
      <c r="CR313" s="235" t="str">
        <f>CR269</f>
        <v>3Q38</v>
      </c>
      <c r="CS313" s="235" t="str">
        <f>CS269</f>
        <v>4Q38</v>
      </c>
      <c r="CT313" s="235">
        <f>CT269</f>
        <v>2038</v>
      </c>
      <c r="CU313" s="235" t="str">
        <f>CU269</f>
        <v>1Q39</v>
      </c>
      <c r="CV313" s="235" t="str">
        <f>CV269</f>
        <v>2Q39</v>
      </c>
      <c r="CW313" s="235" t="str">
        <f>CW269</f>
        <v>3Q39</v>
      </c>
      <c r="CX313" s="235" t="str">
        <f>CX269</f>
        <v>4Q39</v>
      </c>
      <c r="CY313" s="235">
        <f>CY269</f>
        <v>2039</v>
      </c>
    </row>
    <row r="314" customFormat="1" s="233">
      <c r="A314" s="224" t="n"/>
      <c r="B314" s="224" t="n"/>
      <c r="C314" s="234" t="inlineStr">
        <is>
          <t>GROWTH &amp; MARGINS</t>
        </is>
      </c>
    </row>
    <row r="315" customFormat="1" s="233">
      <c r="A315" s="224" t="n"/>
      <c r="B315" s="224" t="n"/>
      <c r="C315" s="233" t="inlineStr">
        <is>
          <t>NET REVENUE GROWTH</t>
        </is>
      </c>
      <c r="E315" s="236">
        <f>E15/D15-1</f>
        <v>0.0659874116002401</v>
      </c>
      <c r="F315" s="236">
        <f>F15/E15-1</f>
        <v>0.0467367653359001</v>
      </c>
      <c r="G315" s="236">
        <f>G15/F15-1</f>
        <v>0.0324451177094047</v>
      </c>
      <c r="H315" s="236" t="n"/>
      <c r="I315" s="220">
        <f>I15/H15-1</f>
        <v>-0.713423509692889</v>
      </c>
      <c r="J315" s="220">
        <f>J15/I15-1</f>
        <v>0.0249180473419866</v>
      </c>
      <c r="K315" s="220">
        <f>K15/J15-1</f>
        <v>0.0192991424283249</v>
      </c>
      <c r="L315" s="220">
        <f>L15/K15-1</f>
        <v>0.0301799954486337</v>
      </c>
      <c r="M315" s="236" t="n"/>
      <c r="N315" s="220">
        <f>N15/M15-1</f>
        <v>-0.735072788448885</v>
      </c>
      <c r="O315" s="220">
        <f>O15/N15-1</f>
        <v>0.0130118240664727</v>
      </c>
      <c r="P315" s="220">
        <f>P15/O15-1</f>
        <v>-0.00558986346665635</v>
      </c>
      <c r="Q315" s="220">
        <f>Q15/P15-1</f>
        <v>-0.00927830095655979</v>
      </c>
      <c r="R315" s="236" t="n"/>
      <c r="S315" s="220">
        <f>S15/R15-1</f>
        <v>-0.741851620484224</v>
      </c>
      <c r="T315" s="220">
        <f>T15/S15-1</f>
        <v>0.00316093739106638</v>
      </c>
      <c r="U315" s="220">
        <f>U15/T15-1</f>
        <v>0.0432825176453144</v>
      </c>
      <c r="V315" s="220">
        <f>V15/U15-1</f>
        <v>0.0340866678498859</v>
      </c>
      <c r="W315" s="236" t="n"/>
      <c r="X315" s="220">
        <f>X15/W15-1</f>
        <v>-0.722137488514246</v>
      </c>
      <c r="Y315" s="220">
        <f>Y15/X15-1</f>
        <v>0.0201559371811784</v>
      </c>
      <c r="Z315" s="220">
        <f>Z15/Y15-1</f>
        <v>0.0277627778573977</v>
      </c>
      <c r="AA315" s="220">
        <f>AA15/Z15-1</f>
        <v>0.0429336133621545</v>
      </c>
      <c r="AB315" s="236" t="n"/>
      <c r="AC315" s="220">
        <f>AC15/AB15-1</f>
        <v>-0.729678464887254</v>
      </c>
      <c r="AD315" s="220">
        <f>AD15/AC15-1</f>
        <v>0.0508749999170051</v>
      </c>
      <c r="AE315" s="220">
        <f>AE15/AD15-1</f>
        <v>0.0389145717285939</v>
      </c>
      <c r="AF315" s="220">
        <f>AF15/AE15-1</f>
        <v>0.0469540039201386</v>
      </c>
      <c r="AG315" s="236" t="n"/>
      <c r="AH315" s="220">
        <f>AH15/AG15-1</f>
        <v>-0.728885925239729</v>
      </c>
      <c r="AI315" s="220">
        <f>AI15/AH15-1</f>
        <v>0.0253214002530826</v>
      </c>
      <c r="AJ315" s="220">
        <f>AJ15/AI15-1</f>
        <v>-0.0835697596596418</v>
      </c>
      <c r="AK315" s="220">
        <f>AK15/AJ15-1</f>
        <v>0.0469540039201386</v>
      </c>
      <c r="AL315" s="236" t="n"/>
      <c r="AM315" s="220">
        <f>AM15/AL15-1</f>
        <v>-0.746752873285194</v>
      </c>
      <c r="AN315" s="220">
        <f>AN15/AM15-1</f>
        <v>0.0253214002530826</v>
      </c>
      <c r="AO315" s="220">
        <f>AO15/AN15-1</f>
        <v>-0.0835697596596418</v>
      </c>
      <c r="AP315" s="220">
        <f>AP15/AO15-1</f>
        <v>0.0469540039201386</v>
      </c>
      <c r="AQ315" s="236" t="n"/>
      <c r="AR315" s="220">
        <f>AR15/AQ15-1</f>
        <v>-0.746752873285194</v>
      </c>
      <c r="AS315" s="220">
        <f>AS15/AR15-1</f>
        <v>0.0253214002530826</v>
      </c>
      <c r="AT315" s="220">
        <f>AT15/AS15-1</f>
        <v>-0.0835697596596418</v>
      </c>
      <c r="AU315" s="220">
        <f>AU15/AT15-1</f>
        <v>0.0469540039201386</v>
      </c>
      <c r="AV315" s="236" t="n"/>
      <c r="AW315" s="220">
        <f>AW15/AV15-1</f>
        <v>-0.746752873285194</v>
      </c>
      <c r="AX315" s="220">
        <f>AX15/AW15-1</f>
        <v>0.0253214002530826</v>
      </c>
      <c r="AY315" s="220">
        <f>AY15/AX15-1</f>
        <v>-0.0835697596596418</v>
      </c>
      <c r="AZ315" s="220">
        <f>AZ15/AY15-1</f>
        <v>0.0469540039201386</v>
      </c>
      <c r="BA315" s="236" t="n"/>
      <c r="BB315" s="220">
        <f>BB15/BA15-1</f>
        <v>-0.746752873285194</v>
      </c>
      <c r="BC315" s="220">
        <f>BC15/BB15-1</f>
        <v>0.0253214002530826</v>
      </c>
      <c r="BD315" s="220">
        <f>BD15/BC15-1</f>
        <v>-0.0835697596596418</v>
      </c>
      <c r="BE315" s="220">
        <f>BE15/BD15-1</f>
        <v>0.0469540039201386</v>
      </c>
      <c r="BF315" s="236" t="n"/>
      <c r="BG315" s="220">
        <f>BG15/BF15-1</f>
        <v>-0.746752873285194</v>
      </c>
      <c r="BH315" s="220">
        <f>BH15/BG15-1</f>
        <v>0.0253214002530826</v>
      </c>
      <c r="BI315" s="220">
        <f>BI15/BH15-1</f>
        <v>-0.0835697596596418</v>
      </c>
      <c r="BJ315" s="220">
        <f>BJ15/BI15-1</f>
        <v>0.0469540039201386</v>
      </c>
      <c r="BK315" s="236" t="n"/>
      <c r="BL315" s="220">
        <f>BL15/BK15-1</f>
        <v>-0.746752873285194</v>
      </c>
      <c r="BM315" s="220">
        <f>BM15/BL15-1</f>
        <v>0.0253214002530826</v>
      </c>
      <c r="BN315" s="220">
        <f>BN15/BM15-1</f>
        <v>-0.0835697596596418</v>
      </c>
      <c r="BO315" s="220">
        <f>BO15/BN15-1</f>
        <v>0.0469540039201386</v>
      </c>
      <c r="BP315" s="236" t="n"/>
      <c r="BQ315" s="220">
        <f>BQ15/BP15-1</f>
        <v>-0.746752873285194</v>
      </c>
      <c r="BR315" s="220">
        <f>BR15/BQ15-1</f>
        <v>0.0253214002530826</v>
      </c>
      <c r="BS315" s="220">
        <f>BS15/BR15-1</f>
        <v>-0.0835697596596418</v>
      </c>
      <c r="BT315" s="220">
        <f>BT15/BS15-1</f>
        <v>0.0469540039201386</v>
      </c>
      <c r="BU315" s="236" t="n"/>
      <c r="BV315" s="220">
        <f>BV15/BU15-1</f>
        <v>-0.746752873285194</v>
      </c>
      <c r="BW315" s="220">
        <f>BW15/BV15-1</f>
        <v>0.0253214002530826</v>
      </c>
      <c r="BX315" s="220">
        <f>BX15/BW15-1</f>
        <v>-0.0835697596596418</v>
      </c>
      <c r="BY315" s="220">
        <f>BY15/BX15-1</f>
        <v>0.0469540039201386</v>
      </c>
      <c r="BZ315" s="236" t="n"/>
      <c r="CA315" s="220">
        <f>CA15/BZ15-1</f>
        <v>-0.746752873285194</v>
      </c>
      <c r="CB315" s="220">
        <f>CB15/CA15-1</f>
        <v>0.0253214002530826</v>
      </c>
      <c r="CC315" s="220">
        <f>CC15/CB15-1</f>
        <v>-0.0835697596596418</v>
      </c>
      <c r="CD315" s="220">
        <f>CD15/CC15-1</f>
        <v>0.0469540039201386</v>
      </c>
      <c r="CE315" s="236" t="n"/>
      <c r="CF315" s="220">
        <f>CF15/CE15-1</f>
        <v>-0.746752873285194</v>
      </c>
      <c r="CG315" s="220">
        <f>CG15/CF15-1</f>
        <v>0.0253214002530826</v>
      </c>
      <c r="CH315" s="220">
        <f>CH15/CG15-1</f>
        <v>-0.0835697596596418</v>
      </c>
      <c r="CI315" s="220">
        <f>CI15/CH15-1</f>
        <v>0.0469540039201386</v>
      </c>
      <c r="CJ315" s="236" t="n"/>
      <c r="CK315" s="220">
        <f>CK15/CJ15-1</f>
        <v>-0.746752873285194</v>
      </c>
      <c r="CL315" s="220">
        <f>CL15/CK15-1</f>
        <v>0.0253214002530826</v>
      </c>
      <c r="CM315" s="220">
        <f>CM15/CL15-1</f>
        <v>-0.0835697596596418</v>
      </c>
      <c r="CN315" s="220">
        <f>CN15/CM15-1</f>
        <v>0.0469540039201386</v>
      </c>
      <c r="CO315" s="236" t="n"/>
      <c r="CP315" s="220">
        <f>CP15/CO15-1</f>
        <v>-0.746752873285194</v>
      </c>
      <c r="CQ315" s="220">
        <f>CQ15/CP15-1</f>
        <v>0.0253214002530826</v>
      </c>
      <c r="CR315" s="220">
        <f>CR15/CQ15-1</f>
        <v>-0.0835697596596418</v>
      </c>
      <c r="CS315" s="220">
        <f>CS15/CR15-1</f>
        <v>0.0469540039201386</v>
      </c>
      <c r="CT315" s="236" t="n"/>
      <c r="CU315" s="220">
        <f>CU15/CT15-1</f>
        <v>-0.746752873285194</v>
      </c>
      <c r="CV315" s="220">
        <f>CV15/CU15-1</f>
        <v>0.0253214002530826</v>
      </c>
      <c r="CW315" s="220">
        <f>CW15/CV15-1</f>
        <v>-0.0835697596596418</v>
      </c>
      <c r="CX315" s="220">
        <f>CX15/CW15-1</f>
        <v>0.0469540039201386</v>
      </c>
      <c r="CY315" s="236" t="n"/>
    </row>
    <row r="316" customFormat="1" s="233">
      <c r="A316" s="224" t="n"/>
      <c r="B316" s="224" t="n"/>
      <c r="C316" s="233" t="inlineStr">
        <is>
          <t>GROSS MARGIN</t>
        </is>
      </c>
      <c r="D316" s="220">
        <f>SUM(D15,D48)/D15</f>
        <v>0.375885254601885</v>
      </c>
      <c r="E316" s="220">
        <f>SUM(E15,E48)/E15</f>
        <v>0.407362149386024</v>
      </c>
      <c r="F316" s="220">
        <f>SUM(F15,F48)/F15</f>
        <v>0.399010385452132</v>
      </c>
      <c r="G316" s="220">
        <f>SUM(G15,G48)/G15</f>
        <v>0.373136224230718</v>
      </c>
      <c r="I316" s="221">
        <f>SUM(I15,I48)/I15</f>
        <v>0.459952714412193</v>
      </c>
      <c r="J316" s="221">
        <f>SUM(J15,J48)/J15</f>
        <v>0.452719961393543</v>
      </c>
      <c r="K316" s="221">
        <f>SUM(K15,K48)/K15</f>
        <v>0.437882334484805</v>
      </c>
      <c r="L316" s="221">
        <f>SUM(L15,L48)/L15</f>
        <v>0.320358169166196</v>
      </c>
      <c r="N316" s="221">
        <f>SUM(N15,N48)/N15</f>
        <v>0.455410283502295</v>
      </c>
      <c r="O316" s="221">
        <f>SUM(O15,O48)/O15</f>
        <v>0.411458969170056</v>
      </c>
      <c r="P316" s="221">
        <f>SUM(P15,P48)/P15</f>
        <v>0.395796955910785</v>
      </c>
      <c r="Q316" s="221">
        <f>SUM(Q15,Q48)/Q15</f>
        <v>0.311751971108702</v>
      </c>
      <c r="S316" s="221">
        <f>SUM(S15,S48)/S15</f>
        <v>0.411428875294171</v>
      </c>
      <c r="T316" s="221">
        <f>SUM(T15,T48)/T15</f>
        <v>0.42918062985592</v>
      </c>
      <c r="U316" s="221">
        <f>SUM(U15,U48)/U15</f>
        <v>0.422737104743476</v>
      </c>
      <c r="V316" s="221">
        <f>SUM(V15,V48)/V15</f>
        <v>0.399118062454537</v>
      </c>
      <c r="X316" s="221">
        <f>SUM(X15,X48)/X15</f>
        <v>0.468853863852711</v>
      </c>
      <c r="Y316" s="221">
        <f>SUM(Y15,Y48)/Y15</f>
        <v>0.458732586347759</v>
      </c>
      <c r="Z316" s="221">
        <f>SUM(Z15,Z48)/Z15</f>
        <v>0.47887646069301</v>
      </c>
      <c r="AA316" s="221">
        <f>SUM(AA15,AA48)/AA15</f>
        <v>0.437138858848859</v>
      </c>
      <c r="AC316" s="221">
        <f>SUM(AC15,AC48)/AC15</f>
        <v>0.500782856472393</v>
      </c>
      <c r="AD316" s="221">
        <f>SUM(AD15,AD48)/AD15</f>
        <v>0.519340083901622</v>
      </c>
      <c r="AE316" s="221">
        <f>SUM(AE15,AE48)/AE15</f>
        <v>0.464458245987705</v>
      </c>
      <c r="AF316" s="221">
        <f>SUM(AF15,AF48)/AF15</f>
        <v>0.458737878982259</v>
      </c>
      <c r="AH316" s="221">
        <f>SUM(AH15,AH48)/AH15</f>
        <v>0.519317975042281</v>
      </c>
      <c r="AI316" s="221">
        <f>SUM(AI15,AI48)/AI15</f>
        <v>0.51934754773471</v>
      </c>
      <c r="AJ316" s="221">
        <f>SUM(AJ15,AJ48)/AJ15</f>
        <v>0</v>
      </c>
      <c r="AK316" s="221">
        <f>SUM(AK15,AK48)/AK15</f>
        <v>0</v>
      </c>
      <c r="AM316" s="221">
        <f>SUM(AM15,AM48)/AM15</f>
        <v>0</v>
      </c>
      <c r="AN316" s="221">
        <f>SUM(AN15,AN48)/AN15</f>
        <v>0</v>
      </c>
      <c r="AO316" s="221">
        <f>SUM(AO15,AO48)/AO15</f>
        <v>0</v>
      </c>
      <c r="AP316" s="221">
        <f>SUM(AP15,AP48)/AP15</f>
        <v>0</v>
      </c>
      <c r="AR316" s="221">
        <f>SUM(AR15,AR48)/AR15</f>
        <v>0</v>
      </c>
      <c r="AS316" s="221">
        <f>SUM(AS15,AS48)/AS15</f>
        <v>0</v>
      </c>
      <c r="AT316" s="221">
        <f>SUM(AT15,AT48)/AT15</f>
        <v>0</v>
      </c>
      <c r="AU316" s="221">
        <f>SUM(AU15,AU48)/AU15</f>
        <v>0</v>
      </c>
      <c r="AW316" s="221">
        <f>SUM(AW15,AW48)/AW15</f>
        <v>0</v>
      </c>
      <c r="AX316" s="221">
        <f>SUM(AX15,AX48)/AX15</f>
        <v>0</v>
      </c>
      <c r="AY316" s="221">
        <f>SUM(AY15,AY48)/AY15</f>
        <v>0</v>
      </c>
      <c r="AZ316" s="221">
        <f>SUM(AZ15,AZ48)/AZ15</f>
        <v>0</v>
      </c>
      <c r="BB316" s="221">
        <f>SUM(BB15,BB48)/BB15</f>
        <v>0</v>
      </c>
      <c r="BC316" s="221">
        <f>SUM(BC15,BC48)/BC15</f>
        <v>0</v>
      </c>
      <c r="BD316" s="221">
        <f>SUM(BD15,BD48)/BD15</f>
        <v>0</v>
      </c>
      <c r="BE316" s="221">
        <f>SUM(BE15,BE48)/BE15</f>
        <v>0</v>
      </c>
      <c r="BG316" s="221">
        <f>SUM(BG15,BG48)/BG15</f>
        <v>0</v>
      </c>
      <c r="BH316" s="221">
        <f>SUM(BH15,BH48)/BH15</f>
        <v>0</v>
      </c>
      <c r="BI316" s="221">
        <f>SUM(BI15,BI48)/BI15</f>
        <v>0</v>
      </c>
      <c r="BJ316" s="221">
        <f>SUM(BJ15,BJ48)/BJ15</f>
        <v>0</v>
      </c>
      <c r="BL316" s="221">
        <f>SUM(BL15,BL48)/BL15</f>
        <v>0</v>
      </c>
      <c r="BM316" s="221">
        <f>SUM(BM15,BM48)/BM15</f>
        <v>0</v>
      </c>
      <c r="BN316" s="221">
        <f>SUM(BN15,BN48)/BN15</f>
        <v>0</v>
      </c>
      <c r="BO316" s="221">
        <f>SUM(BO15,BO48)/BO15</f>
        <v>0</v>
      </c>
      <c r="BQ316" s="221">
        <f>SUM(BQ15,BQ48)/BQ15</f>
        <v>0</v>
      </c>
      <c r="BR316" s="221">
        <f>SUM(BR15,BR48)/BR15</f>
        <v>0</v>
      </c>
      <c r="BS316" s="221">
        <f>SUM(BS15,BS48)/BS15</f>
        <v>0</v>
      </c>
      <c r="BT316" s="221">
        <f>SUM(BT15,BT48)/BT15</f>
        <v>0</v>
      </c>
      <c r="BV316" s="221">
        <f>SUM(BV15,BV48)/BV15</f>
        <v>0</v>
      </c>
      <c r="BW316" s="221">
        <f>SUM(BW15,BW48)/BW15</f>
        <v>0</v>
      </c>
      <c r="BX316" s="221">
        <f>SUM(BX15,BX48)/BX15</f>
        <v>0</v>
      </c>
      <c r="BY316" s="221">
        <f>SUM(BY15,BY48)/BY15</f>
        <v>0</v>
      </c>
      <c r="CA316" s="221">
        <f>SUM(CA15,CA48)/CA15</f>
        <v>0</v>
      </c>
      <c r="CB316" s="221">
        <f>SUM(CB15,CB48)/CB15</f>
        <v>0</v>
      </c>
      <c r="CC316" s="221">
        <f>SUM(CC15,CC48)/CC15</f>
        <v>0</v>
      </c>
      <c r="CD316" s="221">
        <f>SUM(CD15,CD48)/CD15</f>
        <v>0</v>
      </c>
      <c r="CF316" s="221">
        <f>SUM(CF15,CF48)/CF15</f>
        <v>0</v>
      </c>
      <c r="CG316" s="221">
        <f>SUM(CG15,CG48)/CG15</f>
        <v>0</v>
      </c>
      <c r="CH316" s="221">
        <f>SUM(CH15,CH48)/CH15</f>
        <v>0</v>
      </c>
      <c r="CI316" s="221">
        <f>SUM(CI15,CI48)/CI15</f>
        <v>0</v>
      </c>
      <c r="CK316" s="221">
        <f>SUM(CK15,CK48)/CK15</f>
        <v>0</v>
      </c>
      <c r="CL316" s="221">
        <f>SUM(CL15,CL48)/CL15</f>
        <v>0</v>
      </c>
      <c r="CM316" s="221">
        <f>SUM(CM15,CM48)/CM15</f>
        <v>0</v>
      </c>
      <c r="CN316" s="221">
        <f>SUM(CN15,CN48)/CN15</f>
        <v>0</v>
      </c>
      <c r="CP316" s="221">
        <f>SUM(CP15,CP48)/CP15</f>
        <v>0</v>
      </c>
      <c r="CQ316" s="221">
        <f>SUM(CQ15,CQ48)/CQ15</f>
        <v>0</v>
      </c>
      <c r="CR316" s="221">
        <f>SUM(CR15,CR48)/CR15</f>
        <v>0</v>
      </c>
      <c r="CS316" s="221">
        <f>SUM(CS15,CS48)/CS15</f>
        <v>0</v>
      </c>
      <c r="CU316" s="221">
        <f>SUM(CU15,CU48)/CU15</f>
        <v>0</v>
      </c>
      <c r="CV316" s="221">
        <f>SUM(CV15,CV48)/CV15</f>
        <v>0</v>
      </c>
      <c r="CW316" s="221">
        <f>SUM(CW15,CW48)/CW15</f>
        <v>0</v>
      </c>
      <c r="CX316" s="221">
        <f>SUM(CX15,CX48)/CX15</f>
        <v>0</v>
      </c>
    </row>
    <row r="317" customFormat="1" s="233">
      <c r="A317" s="224" t="n"/>
      <c r="B317" s="224" t="n"/>
      <c r="C317" s="233" t="inlineStr">
        <is>
          <t>EBIT MARGIN</t>
        </is>
      </c>
      <c r="D317" s="236">
        <f>(D67/D15)</f>
        <v>0.166142048871897</v>
      </c>
      <c r="E317" s="236">
        <f>(E67/E15)</f>
        <v>0.220862855111164</v>
      </c>
      <c r="F317" s="236">
        <f>(F67/F15)</f>
        <v>0.204309689934345</v>
      </c>
      <c r="G317" s="236">
        <f>(G67/G15)</f>
        <v>0.143615069557383</v>
      </c>
      <c r="I317" s="222">
        <f>(I67/I15)</f>
        <v>0.27359749343946</v>
      </c>
      <c r="J317" s="222">
        <f>(J67/J15)</f>
        <v>0.251659782093627</v>
      </c>
      <c r="K317" s="222">
        <f>(K67/K15)</f>
        <v>0.234550777066298</v>
      </c>
      <c r="L317" s="222">
        <f>(L67/L15)</f>
        <v>0.0819488831567202</v>
      </c>
      <c r="N317" s="222">
        <f>(N67/N15)</f>
        <v>0.250595372232045</v>
      </c>
      <c r="O317" s="222">
        <f>(O67/O15)</f>
        <v>0.198024476605872</v>
      </c>
      <c r="P317" s="222">
        <f>(P67/P15)</f>
        <v>0.193426381307433</v>
      </c>
      <c r="Q317" s="222">
        <f>(Q67/Q15)</f>
        <v>0.0700331492922934</v>
      </c>
      <c r="S317" s="222">
        <f>(S67/S15)</f>
        <v>0.210049178441765</v>
      </c>
      <c r="T317" s="222">
        <f>(T67/T15)</f>
        <v>0.223172813604874</v>
      </c>
      <c r="U317" s="222">
        <f>(U67/U15)</f>
        <v>0.224358286929438</v>
      </c>
      <c r="V317" s="222">
        <f>(V67/V15)</f>
        <v>0.169380577561539</v>
      </c>
      <c r="X317" s="222">
        <f>(X67/X15)</f>
        <v>0.280940276016921</v>
      </c>
      <c r="Y317" s="222">
        <f>(Y67/Y15)</f>
        <v>0.272282936739158</v>
      </c>
      <c r="Z317" s="222">
        <f>(Z67/Z15)</f>
        <v>0.296138926540578</v>
      </c>
      <c r="AA317" s="222">
        <f>(AA67/AA15)</f>
        <v>0.221808726539458</v>
      </c>
      <c r="AC317" s="222">
        <f>(AC67/AC15)</f>
        <v>0.317467720390435</v>
      </c>
      <c r="AD317" s="222">
        <f>(AD67/AD15)</f>
        <v>0.340701998688349</v>
      </c>
      <c r="AE317" s="222">
        <f>(AE67/AE15)</f>
        <v>0.282203333064878</v>
      </c>
      <c r="AF317" s="222">
        <f>(AF67/AF15)</f>
        <v>0.245350708942721</v>
      </c>
      <c r="AH317" s="222">
        <f>(AH67/AH15)</f>
        <v>0.323026571057695</v>
      </c>
      <c r="AI317" s="222">
        <f>(AI67/AI15)</f>
        <v>0.333808176441635</v>
      </c>
      <c r="AJ317" s="222">
        <f>(AJ67/AJ15)</f>
        <v>0</v>
      </c>
      <c r="AK317" s="222">
        <f>(AK67/AK15)</f>
        <v>0</v>
      </c>
      <c r="AM317" s="222">
        <f>(AM67/AM15)</f>
        <v>0</v>
      </c>
      <c r="AN317" s="222">
        <f>(AN67/AN15)</f>
        <v>0</v>
      </c>
      <c r="AO317" s="222">
        <f>(AO67/AO15)</f>
        <v>0</v>
      </c>
      <c r="AP317" s="222">
        <f>(AP67/AP15)</f>
        <v>0</v>
      </c>
      <c r="AR317" s="222">
        <f>(AR67/AR15)</f>
        <v>0</v>
      </c>
      <c r="AS317" s="222">
        <f>(AS67/AS15)</f>
        <v>0</v>
      </c>
      <c r="AT317" s="222">
        <f>(AT67/AT15)</f>
        <v>0</v>
      </c>
      <c r="AU317" s="222">
        <f>(AU67/AU15)</f>
        <v>0</v>
      </c>
      <c r="AW317" s="222">
        <f>(AW67/AW15)</f>
        <v>0</v>
      </c>
      <c r="AX317" s="222">
        <f>(AX67/AX15)</f>
        <v>0</v>
      </c>
      <c r="AY317" s="222">
        <f>(AY67/AY15)</f>
        <v>0</v>
      </c>
      <c r="AZ317" s="222">
        <f>(AZ67/AZ15)</f>
        <v>0</v>
      </c>
      <c r="BB317" s="222">
        <f>(BB67/BB15)</f>
        <v>0</v>
      </c>
      <c r="BC317" s="222">
        <f>(BC67/BC15)</f>
        <v>0</v>
      </c>
      <c r="BD317" s="222">
        <f>(BD67/BD15)</f>
        <v>0</v>
      </c>
      <c r="BE317" s="222">
        <f>(BE67/BE15)</f>
        <v>0</v>
      </c>
      <c r="BG317" s="222">
        <f>(BG67/BG15)</f>
        <v>0</v>
      </c>
      <c r="BH317" s="222">
        <f>(BH67/BH15)</f>
        <v>0</v>
      </c>
      <c r="BI317" s="222">
        <f>(BI67/BI15)</f>
        <v>0</v>
      </c>
      <c r="BJ317" s="222">
        <f>(BJ67/BJ15)</f>
        <v>0</v>
      </c>
      <c r="BL317" s="222">
        <f>(BL67/BL15)</f>
        <v>0</v>
      </c>
      <c r="BM317" s="222">
        <f>(BM67/BM15)</f>
        <v>0</v>
      </c>
      <c r="BN317" s="222">
        <f>(BN67/BN15)</f>
        <v>0</v>
      </c>
      <c r="BO317" s="222">
        <f>(BO67/BO15)</f>
        <v>0</v>
      </c>
      <c r="BQ317" s="222">
        <f>(BQ67/BQ15)</f>
        <v>0</v>
      </c>
      <c r="BR317" s="222">
        <f>(BR67/BR15)</f>
        <v>0</v>
      </c>
      <c r="BS317" s="222">
        <f>(BS67/BS15)</f>
        <v>0</v>
      </c>
      <c r="BT317" s="222">
        <f>(BT67/BT15)</f>
        <v>0</v>
      </c>
      <c r="BV317" s="222">
        <f>(BV67/BV15)</f>
        <v>0</v>
      </c>
      <c r="BW317" s="222">
        <f>(BW67/BW15)</f>
        <v>0</v>
      </c>
      <c r="BX317" s="222">
        <f>(BX67/BX15)</f>
        <v>0</v>
      </c>
      <c r="BY317" s="222">
        <f>(BY67/BY15)</f>
        <v>0</v>
      </c>
      <c r="CA317" s="222">
        <f>(CA67/CA15)</f>
        <v>0</v>
      </c>
      <c r="CB317" s="222">
        <f>(CB67/CB15)</f>
        <v>0</v>
      </c>
      <c r="CC317" s="222">
        <f>(CC67/CC15)</f>
        <v>0</v>
      </c>
      <c r="CD317" s="222">
        <f>(CD67/CD15)</f>
        <v>0</v>
      </c>
      <c r="CF317" s="222">
        <f>(CF67/CF15)</f>
        <v>0</v>
      </c>
      <c r="CG317" s="222">
        <f>(CG67/CG15)</f>
        <v>0</v>
      </c>
      <c r="CH317" s="222">
        <f>(CH67/CH15)</f>
        <v>0</v>
      </c>
      <c r="CI317" s="222">
        <f>(CI67/CI15)</f>
        <v>0</v>
      </c>
      <c r="CK317" s="222">
        <f>(CK67/CK15)</f>
        <v>0</v>
      </c>
      <c r="CL317" s="222">
        <f>(CL67/CL15)</f>
        <v>0</v>
      </c>
      <c r="CM317" s="222">
        <f>(CM67/CM15)</f>
        <v>0</v>
      </c>
      <c r="CN317" s="222">
        <f>(CN67/CN15)</f>
        <v>0</v>
      </c>
      <c r="CP317" s="222">
        <f>(CP67/CP15)</f>
        <v>0</v>
      </c>
      <c r="CQ317" s="222">
        <f>(CQ67/CQ15)</f>
        <v>0</v>
      </c>
      <c r="CR317" s="222">
        <f>(CR67/CR15)</f>
        <v>0</v>
      </c>
      <c r="CS317" s="222">
        <f>(CS67/CS15)</f>
        <v>0</v>
      </c>
      <c r="CU317" s="222">
        <f>(CU67/CU15)</f>
        <v>0</v>
      </c>
      <c r="CV317" s="222">
        <f>(CV67/CV15)</f>
        <v>0</v>
      </c>
      <c r="CW317" s="222">
        <f>(CW67/CW15)</f>
        <v>0</v>
      </c>
      <c r="CX317" s="222">
        <f>(CX67/CX15)</f>
        <v>0</v>
      </c>
    </row>
    <row r="318" customFormat="1" s="233">
      <c r="A318" s="224" t="n"/>
      <c r="B318" s="224" t="n"/>
      <c r="C318" s="233" t="inlineStr">
        <is>
          <t>EBITDA MARTGIN</t>
        </is>
      </c>
      <c r="D318" s="236">
        <f>D63/D15</f>
        <v>0.171086315130266</v>
      </c>
      <c r="E318" s="236">
        <f>E63/E15</f>
        <v>0.225199185594164</v>
      </c>
      <c r="F318" s="236">
        <f>F63/F15</f>
        <v>0.208751985234717</v>
      </c>
      <c r="G318" s="236">
        <f>G63/G15</f>
        <v>0.148422546242408</v>
      </c>
      <c r="I318" s="222">
        <f>I63/I15</f>
        <v>0.278586966142056</v>
      </c>
      <c r="J318" s="222">
        <f>J63/J15</f>
        <v>0.256894754498809</v>
      </c>
      <c r="K318" s="222">
        <f>K63/K15</f>
        <v>0.243938538113417</v>
      </c>
      <c r="L318" s="222">
        <f>L63/L15</f>
        <v>0.0902484499925933</v>
      </c>
      <c r="N318" s="222">
        <f>N63/N15</f>
        <v>0.260077351045093</v>
      </c>
      <c r="O318" s="222">
        <f>O63/O15</f>
        <v>0.208501706557011</v>
      </c>
      <c r="P318" s="222">
        <f>P63/P15</f>
        <v>0.204174856909688</v>
      </c>
      <c r="Q318" s="222">
        <f>Q63/Q15</f>
        <v>0.0819264719685413</v>
      </c>
      <c r="S318" s="222">
        <f>S63/S15</f>
        <v>0.221117605421452</v>
      </c>
      <c r="T318" s="222">
        <f>T63/T15</f>
        <v>0.234090330867279</v>
      </c>
      <c r="U318" s="222">
        <f>U63/U15</f>
        <v>0.234972138931178</v>
      </c>
      <c r="V318" s="222">
        <f>V63/V15</f>
        <v>0.17918117929428</v>
      </c>
      <c r="X318" s="222">
        <f>X63/X15</f>
        <v>0.29024976415195</v>
      </c>
      <c r="Y318" s="222">
        <f>Y63/Y15</f>
        <v>0.280780098145159</v>
      </c>
      <c r="Z318" s="222">
        <f>Z63/Z15</f>
        <v>0.304374697128249</v>
      </c>
      <c r="AA318" s="222">
        <f>AA63/AA15</f>
        <v>0.229571269757819</v>
      </c>
      <c r="AC318" s="222">
        <f>AC63/AC15</f>
        <v>0.325062191726848</v>
      </c>
      <c r="AD318" s="222">
        <f>AD63/AD15</f>
        <v>0.347923932180455</v>
      </c>
      <c r="AE318" s="222">
        <f>AE63/AE15</f>
        <v>0.289790098561229</v>
      </c>
      <c r="AF318" s="222">
        <f>AF63/AF15</f>
        <v>0.252485776418122</v>
      </c>
      <c r="AH318" s="222">
        <f>AH63/AH15</f>
        <v>0.331073669461362</v>
      </c>
      <c r="AI318" s="222">
        <f>AI63/AI15</f>
        <v>0.341812196843647</v>
      </c>
      <c r="AJ318" s="222">
        <f>AJ63/AJ15</f>
        <v>0</v>
      </c>
      <c r="AK318" s="222">
        <f>AK63/AK15</f>
        <v>0</v>
      </c>
      <c r="AM318" s="222">
        <f>AM63/AM15</f>
        <v>0</v>
      </c>
      <c r="AN318" s="222">
        <f>AN63/AN15</f>
        <v>0</v>
      </c>
      <c r="AO318" s="222">
        <f>AO63/AO15</f>
        <v>0</v>
      </c>
      <c r="AP318" s="222">
        <f>AP63/AP15</f>
        <v>0</v>
      </c>
      <c r="AR318" s="222">
        <f>AR63/AR15</f>
        <v>0</v>
      </c>
      <c r="AS318" s="222">
        <f>AS63/AS15</f>
        <v>0</v>
      </c>
      <c r="AT318" s="222">
        <f>AT63/AT15</f>
        <v>0</v>
      </c>
      <c r="AU318" s="222">
        <f>AU63/AU15</f>
        <v>0</v>
      </c>
      <c r="AW318" s="222">
        <f>AW63/AW15</f>
        <v>0</v>
      </c>
      <c r="AX318" s="222">
        <f>AX63/AX15</f>
        <v>0</v>
      </c>
      <c r="AY318" s="222">
        <f>AY63/AY15</f>
        <v>0</v>
      </c>
      <c r="AZ318" s="222">
        <f>AZ63/AZ15</f>
        <v>0</v>
      </c>
      <c r="BB318" s="222">
        <f>BB63/BB15</f>
        <v>0</v>
      </c>
      <c r="BC318" s="222">
        <f>BC63/BC15</f>
        <v>0</v>
      </c>
      <c r="BD318" s="222">
        <f>BD63/BD15</f>
        <v>0</v>
      </c>
      <c r="BE318" s="222">
        <f>BE63/BE15</f>
        <v>0</v>
      </c>
      <c r="BG318" s="222">
        <f>BG63/BG15</f>
        <v>0</v>
      </c>
      <c r="BH318" s="222">
        <f>BH63/BH15</f>
        <v>0</v>
      </c>
      <c r="BI318" s="222">
        <f>BI63/BI15</f>
        <v>0</v>
      </c>
      <c r="BJ318" s="222">
        <f>BJ63/BJ15</f>
        <v>0</v>
      </c>
      <c r="BL318" s="222">
        <f>BL63/BL15</f>
        <v>0</v>
      </c>
      <c r="BM318" s="222">
        <f>BM63/BM15</f>
        <v>0</v>
      </c>
      <c r="BN318" s="222">
        <f>BN63/BN15</f>
        <v>0</v>
      </c>
      <c r="BO318" s="222">
        <f>BO63/BO15</f>
        <v>0</v>
      </c>
      <c r="BQ318" s="222">
        <f>BQ63/BQ15</f>
        <v>0</v>
      </c>
      <c r="BR318" s="222">
        <f>BR63/BR15</f>
        <v>0</v>
      </c>
      <c r="BS318" s="222">
        <f>BS63/BS15</f>
        <v>0</v>
      </c>
      <c r="BT318" s="222">
        <f>BT63/BT15</f>
        <v>0</v>
      </c>
      <c r="BV318" s="222">
        <f>BV63/BV15</f>
        <v>0</v>
      </c>
      <c r="BW318" s="222">
        <f>BW63/BW15</f>
        <v>0</v>
      </c>
      <c r="BX318" s="222">
        <f>BX63/BX15</f>
        <v>0</v>
      </c>
      <c r="BY318" s="222">
        <f>BY63/BY15</f>
        <v>0</v>
      </c>
      <c r="CA318" s="222">
        <f>CA63/CA15</f>
        <v>0</v>
      </c>
      <c r="CB318" s="222">
        <f>CB63/CB15</f>
        <v>0</v>
      </c>
      <c r="CC318" s="222">
        <f>CC63/CC15</f>
        <v>0</v>
      </c>
      <c r="CD318" s="222">
        <f>CD63/CD15</f>
        <v>0</v>
      </c>
      <c r="CF318" s="222">
        <f>CF63/CF15</f>
        <v>0</v>
      </c>
      <c r="CG318" s="222">
        <f>CG63/CG15</f>
        <v>0</v>
      </c>
      <c r="CH318" s="222">
        <f>CH63/CH15</f>
        <v>0</v>
      </c>
      <c r="CI318" s="222">
        <f>CI63/CI15</f>
        <v>0</v>
      </c>
      <c r="CK318" s="222">
        <f>CK63/CK15</f>
        <v>0</v>
      </c>
      <c r="CL318" s="222">
        <f>CL63/CL15</f>
        <v>0</v>
      </c>
      <c r="CM318" s="222">
        <f>CM63/CM15</f>
        <v>0</v>
      </c>
      <c r="CN318" s="222">
        <f>CN63/CN15</f>
        <v>0</v>
      </c>
      <c r="CP318" s="222">
        <f>CP63/CP15</f>
        <v>0</v>
      </c>
      <c r="CQ318" s="222">
        <f>CQ63/CQ15</f>
        <v>0</v>
      </c>
      <c r="CR318" s="222">
        <f>CR63/CR15</f>
        <v>0</v>
      </c>
      <c r="CS318" s="222">
        <f>CS63/CS15</f>
        <v>0</v>
      </c>
      <c r="CU318" s="222">
        <f>CU63/CU15</f>
        <v>0</v>
      </c>
      <c r="CV318" s="222">
        <f>CV63/CV15</f>
        <v>0</v>
      </c>
      <c r="CW318" s="222">
        <f>CW63/CW15</f>
        <v>0</v>
      </c>
      <c r="CX318" s="222">
        <f>CX63/CX15</f>
        <v>0</v>
      </c>
    </row>
    <row r="319" customFormat="1" s="233">
      <c r="A319" s="224" t="n"/>
      <c r="B319" s="224" t="n"/>
      <c r="C319" s="233" t="inlineStr">
        <is>
          <t>ETR</t>
        </is>
      </c>
      <c r="D319" s="236">
        <f>-D125/D124</f>
        <v>0.109066807393167</v>
      </c>
      <c r="E319" s="236">
        <f>-E125/E124</f>
        <v>0.304562949859116</v>
      </c>
      <c r="F319" s="236">
        <f>-F125/F124</f>
        <v>0.0829800571123441</v>
      </c>
      <c r="G319" s="236">
        <f>-G125/G124</f>
        <v>-0.0705722754172944</v>
      </c>
      <c r="I319" s="222">
        <f>-I125/I124</f>
        <v>0.161114120310523</v>
      </c>
      <c r="J319" s="222">
        <f>-J125/J124</f>
        <v>0.151071440447889</v>
      </c>
      <c r="K319" s="222">
        <f>-K125/K124</f>
        <v>0.12756967510938</v>
      </c>
      <c r="L319" s="222">
        <f>-L125/L124</f>
        <v>-0.102706166617954</v>
      </c>
      <c r="N319" s="222">
        <f>-N125/N124</f>
        <v>0.193083065446544</v>
      </c>
      <c r="O319" s="222">
        <f>-O125/O124</f>
        <v>0.112197745731196</v>
      </c>
      <c r="P319" s="222">
        <f>-P125/P124</f>
        <v>0.137870588286071</v>
      </c>
      <c r="Q319" s="222">
        <f>-Q125/Q124</f>
        <v>-0.405430140329467</v>
      </c>
      <c r="S319" s="222">
        <f>-S125/S124</f>
        <v>0.111482673122405</v>
      </c>
      <c r="T319" s="222">
        <f>-T125/T124</f>
        <v>0.114165632525314</v>
      </c>
      <c r="U319" s="222">
        <f>-U125/U124</f>
        <v>0.121331092077783</v>
      </c>
      <c r="V319" s="222">
        <f>-V125/V124</f>
        <v>0.183174672298916</v>
      </c>
      <c r="X319" s="222">
        <f>-X125/X124</f>
        <v>0.107998266642546</v>
      </c>
      <c r="Y319" s="222">
        <f>-Y125/Y124</f>
        <v>0.145811852389317</v>
      </c>
      <c r="Z319" s="222">
        <f>-Z125/Z124</f>
        <v>0.125582973295143</v>
      </c>
      <c r="AA319" s="222">
        <f>-AA125/AA124</f>
        <v>0.124474058553096</v>
      </c>
      <c r="AC319" s="222">
        <f>-AC125/AC124</f>
        <v>0.100623077387431</v>
      </c>
      <c r="AD319" s="222">
        <f>-AD125/AD124</f>
        <v>0.139401791184509</v>
      </c>
      <c r="AE319" s="222">
        <f>-AE125/AE124</f>
        <v>0.180900556697251</v>
      </c>
      <c r="AF319" s="222">
        <f>-AF125/AF124</f>
        <v>0.126175100921654</v>
      </c>
      <c r="AH319" s="222">
        <f>-AH125/AH124</f>
        <v>0.193108048374498</v>
      </c>
      <c r="AI319" s="222">
        <f>-AI125/AI124</f>
        <v>0.163981294729914</v>
      </c>
      <c r="AJ319" s="222">
        <f>-AJ125/AJ124</f>
        <v>0</v>
      </c>
      <c r="AK319" s="222">
        <f>-AK125/AK124</f>
        <v>0</v>
      </c>
      <c r="AM319" s="222">
        <f>-AM125/AM124</f>
        <v>0</v>
      </c>
      <c r="AN319" s="222">
        <f>-AN125/AN124</f>
        <v>0</v>
      </c>
      <c r="AO319" s="222">
        <f>-AO125/AO124</f>
        <v>0</v>
      </c>
      <c r="AP319" s="222">
        <f>-AP125/AP124</f>
        <v>0</v>
      </c>
      <c r="AR319" s="222">
        <f>-AR125/AR124</f>
        <v>0</v>
      </c>
      <c r="AS319" s="222">
        <f>-AS125/AS124</f>
        <v>0</v>
      </c>
      <c r="AT319" s="222">
        <f>-AT125/AT124</f>
        <v>0</v>
      </c>
      <c r="AU319" s="222">
        <f>-AU125/AU124</f>
        <v>0</v>
      </c>
      <c r="AW319" s="222">
        <f>-AW125/AW124</f>
        <v>0</v>
      </c>
      <c r="AX319" s="222">
        <f>-AX125/AX124</f>
        <v>0</v>
      </c>
      <c r="AY319" s="222">
        <f>-AY125/AY124</f>
        <v>0</v>
      </c>
      <c r="AZ319" s="222">
        <f>-AZ125/AZ124</f>
        <v>0</v>
      </c>
      <c r="BB319" s="222">
        <f>-BB125/BB124</f>
        <v>0</v>
      </c>
      <c r="BC319" s="222">
        <f>-BC125/BC124</f>
        <v>0</v>
      </c>
      <c r="BD319" s="222">
        <f>-BD125/BD124</f>
        <v>0</v>
      </c>
      <c r="BE319" s="222">
        <f>-BE125/BE124</f>
        <v>0</v>
      </c>
      <c r="BG319" s="222">
        <f>-BG125/BG124</f>
        <v>0</v>
      </c>
      <c r="BH319" s="222">
        <f>-BH125/BH124</f>
        <v>0</v>
      </c>
      <c r="BI319" s="222">
        <f>-BI125/BI124</f>
        <v>0</v>
      </c>
      <c r="BJ319" s="222">
        <f>-BJ125/BJ124</f>
        <v>0</v>
      </c>
      <c r="BL319" s="222">
        <f>-BL125/BL124</f>
        <v>0</v>
      </c>
      <c r="BM319" s="222">
        <f>-BM125/BM124</f>
        <v>0</v>
      </c>
      <c r="BN319" s="222">
        <f>-BN125/BN124</f>
        <v>0</v>
      </c>
      <c r="BO319" s="222">
        <f>-BO125/BO124</f>
        <v>0</v>
      </c>
      <c r="BQ319" s="222">
        <f>-BQ125/BQ124</f>
        <v>0</v>
      </c>
      <c r="BR319" s="222">
        <f>-BR125/BR124</f>
        <v>0</v>
      </c>
      <c r="BS319" s="222">
        <f>-BS125/BS124</f>
        <v>0</v>
      </c>
      <c r="BT319" s="222">
        <f>-BT125/BT124</f>
        <v>0</v>
      </c>
      <c r="BV319" s="222">
        <f>-BV125/BV124</f>
        <v>0</v>
      </c>
      <c r="BW319" s="222">
        <f>-BW125/BW124</f>
        <v>0</v>
      </c>
      <c r="BX319" s="222">
        <f>-BX125/BX124</f>
        <v>0</v>
      </c>
      <c r="BY319" s="222">
        <f>-BY125/BY124</f>
        <v>0</v>
      </c>
      <c r="CA319" s="222">
        <f>-CA125/CA124</f>
        <v>0</v>
      </c>
      <c r="CB319" s="222">
        <f>-CB125/CB124</f>
        <v>0</v>
      </c>
      <c r="CC319" s="222">
        <f>-CC125/CC124</f>
        <v>0</v>
      </c>
      <c r="CD319" s="222">
        <f>-CD125/CD124</f>
        <v>0</v>
      </c>
      <c r="CF319" s="222">
        <f>-CF125/CF124</f>
        <v>0</v>
      </c>
      <c r="CG319" s="222">
        <f>-CG125/CG124</f>
        <v>0</v>
      </c>
      <c r="CH319" s="222">
        <f>-CH125/CH124</f>
        <v>0</v>
      </c>
      <c r="CI319" s="222">
        <f>-CI125/CI124</f>
        <v>0</v>
      </c>
      <c r="CK319" s="222">
        <f>-CK125/CK124</f>
        <v>0</v>
      </c>
      <c r="CL319" s="222">
        <f>-CL125/CL124</f>
        <v>0</v>
      </c>
      <c r="CM319" s="222">
        <f>-CM125/CM124</f>
        <v>0</v>
      </c>
      <c r="CN319" s="222">
        <f>-CN125/CN124</f>
        <v>0</v>
      </c>
      <c r="CP319" s="222">
        <f>-CP125/CP124</f>
        <v>0</v>
      </c>
      <c r="CQ319" s="222">
        <f>-CQ125/CQ124</f>
        <v>0</v>
      </c>
      <c r="CR319" s="222">
        <f>-CR125/CR124</f>
        <v>0</v>
      </c>
      <c r="CS319" s="222">
        <f>-CS125/CS124</f>
        <v>0</v>
      </c>
      <c r="CU319" s="222">
        <f>-CU125/CU124</f>
        <v>0</v>
      </c>
      <c r="CV319" s="222">
        <f>-CV125/CV124</f>
        <v>0</v>
      </c>
      <c r="CW319" s="222">
        <f>-CW125/CW124</f>
        <v>0</v>
      </c>
      <c r="CX319" s="222">
        <f>-CX125/CX124</f>
        <v>0</v>
      </c>
    </row>
    <row r="320" customFormat="1" s="233">
      <c r="A320" s="224" t="n"/>
      <c r="B320" s="224" t="n"/>
    </row>
    <row r="321" customFormat="1" s="233">
      <c r="A321" s="224" t="n"/>
      <c r="B321" s="224" t="n"/>
      <c r="C321" s="234" t="inlineStr">
        <is>
          <t>CAPITAL STRUCTURE</t>
        </is>
      </c>
    </row>
    <row r="322" customFormat="1" s="233">
      <c r="A322" s="224" t="n"/>
      <c r="B322" s="224" t="n"/>
      <c r="C322" s="233" t="inlineStr">
        <is>
          <t>MARKET DEBT / EQUITY</t>
        </is>
      </c>
    </row>
    <row r="323" customFormat="1" s="233">
      <c r="A323" s="224" t="n"/>
      <c r="B323" s="224" t="n"/>
      <c r="C323" s="233" t="inlineStr">
        <is>
          <t>NET DEBT / (NET DEBT + MARKET CAP)</t>
        </is>
      </c>
    </row>
    <row r="324" customFormat="1" s="233">
      <c r="A324" s="224" t="n"/>
      <c r="B324" s="224" t="n"/>
    </row>
    <row r="325" customFormat="1" s="233">
      <c r="A325" s="224" t="n"/>
      <c r="B325" s="224" t="n"/>
      <c r="C325" s="234" t="inlineStr">
        <is>
          <t>FINANCIAL RISK RATIOS</t>
        </is>
      </c>
    </row>
    <row r="326" customFormat="1" s="233">
      <c r="A326" s="224" t="n"/>
      <c r="B326" s="224" t="n"/>
      <c r="C326" s="233" t="inlineStr">
        <is>
          <t>EBITDA / TOTAL INTEREST</t>
        </is>
      </c>
      <c r="D326" s="219">
        <f>D63/-D68</f>
        <v>5.36047869710946</v>
      </c>
      <c r="E326" s="219">
        <f>E63/-E68</f>
        <v>7.32001945535578</v>
      </c>
      <c r="F326" s="219">
        <f>F63/-F68</f>
        <v>6.8168196510029</v>
      </c>
      <c r="G326" s="219">
        <f>G63/-G68</f>
        <v>5.00129319525727</v>
      </c>
      <c r="I326" s="219">
        <f>I63/-I68</f>
        <v>10.26330487554</v>
      </c>
      <c r="J326" s="219">
        <f>J63/-J68</f>
        <v>9.85806127889109</v>
      </c>
      <c r="K326" s="219">
        <f>K63/-K68</f>
        <v>9.58628150124193</v>
      </c>
      <c r="L326" s="219">
        <f>L63/-L68</f>
        <v>3.67290119253124</v>
      </c>
      <c r="N326" s="219">
        <f>N63/-N68</f>
        <v>10.9086198348429</v>
      </c>
      <c r="O326" s="219">
        <f>O63/-O68</f>
        <v>9.47130603288592</v>
      </c>
      <c r="P326" s="219">
        <f>P63/-P68</f>
        <v>9.37682746631899</v>
      </c>
      <c r="Q326" s="219">
        <f>Q63/-Q68</f>
        <v>3.77068984718909</v>
      </c>
      <c r="S326" s="219">
        <f>S63/-S68</f>
        <v>10.3573367615746</v>
      </c>
      <c r="T326" s="219">
        <f>T63/-T68</f>
        <v>10.9635951765325</v>
      </c>
      <c r="U326" s="219">
        <f>U63/-U68</f>
        <v>11.4321012969703</v>
      </c>
      <c r="V326" s="219">
        <f>V63/-V68</f>
        <v>9.03292011962651</v>
      </c>
      <c r="X326" s="219">
        <f>X63/-X68</f>
        <v>15.6927195725677</v>
      </c>
      <c r="Y326" s="219">
        <f>Y63/-Y68</f>
        <v>15.9779029204815</v>
      </c>
      <c r="Z326" s="219">
        <f>Z63/-Z68</f>
        <v>16.1791429962668</v>
      </c>
      <c r="AA326" s="219">
        <f>AA63/-AA68</f>
        <v>12.2132313619206</v>
      </c>
      <c r="AC326" s="219">
        <f>AC63/-AC68</f>
        <v>18.6079642942467</v>
      </c>
      <c r="AD326" s="219">
        <f>AD63/-AD68</f>
        <v>21.1044517079207</v>
      </c>
      <c r="AE326" s="219">
        <f>AE63/-AE68</f>
        <v>19.0284493479526</v>
      </c>
      <c r="AF326" s="219">
        <f>AF63/-AF68</f>
        <v>12.9808485675889</v>
      </c>
      <c r="AH326" s="219">
        <f>AH63/-AH68</f>
        <v>15.4747345245863</v>
      </c>
      <c r="AI326" s="219">
        <f>AI63/-AI68</f>
        <v>24.4365768278453</v>
      </c>
      <c r="AJ326" s="219" t="e">
        <f>AJ63/-AJ68</f>
        <v>#DIV/0!</v>
      </c>
      <c r="AK326" s="219" t="e">
        <f>AK63/-AK68</f>
        <v>#DIV/0!</v>
      </c>
      <c r="AM326" s="219" t="e">
        <f>AM63/-AM68</f>
        <v>#DIV/0!</v>
      </c>
      <c r="AN326" s="219" t="e">
        <f>AN63/-AN68</f>
        <v>#DIV/0!</v>
      </c>
      <c r="AO326" s="219" t="e">
        <f>AO63/-AO68</f>
        <v>#DIV/0!</v>
      </c>
      <c r="AP326" s="219" t="e">
        <f>AP63/-AP68</f>
        <v>#DIV/0!</v>
      </c>
      <c r="AR326" s="219" t="e">
        <f>AR63/-AR68</f>
        <v>#DIV/0!</v>
      </c>
      <c r="AS326" s="219" t="e">
        <f>AS63/-AS68</f>
        <v>#DIV/0!</v>
      </c>
      <c r="AT326" s="219" t="e">
        <f>AT63/-AT68</f>
        <v>#DIV/0!</v>
      </c>
      <c r="AU326" s="219" t="e">
        <f>AU63/-AU68</f>
        <v>#DIV/0!</v>
      </c>
      <c r="AW326" s="219" t="e">
        <f>AW63/-AW68</f>
        <v>#DIV/0!</v>
      </c>
      <c r="AX326" s="219" t="e">
        <f>AX63/-AX68</f>
        <v>#DIV/0!</v>
      </c>
      <c r="AY326" s="219" t="e">
        <f>AY63/-AY68</f>
        <v>#DIV/0!</v>
      </c>
      <c r="AZ326" s="219" t="e">
        <f>AZ63/-AZ68</f>
        <v>#DIV/0!</v>
      </c>
      <c r="BB326" s="219" t="e">
        <f>BB63/-BB68</f>
        <v>#DIV/0!</v>
      </c>
      <c r="BC326" s="219" t="e">
        <f>BC63/-BC68</f>
        <v>#DIV/0!</v>
      </c>
      <c r="BD326" s="219" t="e">
        <f>BD63/-BD68</f>
        <v>#DIV/0!</v>
      </c>
      <c r="BE326" s="219" t="e">
        <f>BE63/-BE68</f>
        <v>#DIV/0!</v>
      </c>
      <c r="BG326" s="219" t="e">
        <f>BG63/-BG68</f>
        <v>#DIV/0!</v>
      </c>
      <c r="BH326" s="219" t="e">
        <f>BH63/-BH68</f>
        <v>#DIV/0!</v>
      </c>
      <c r="BI326" s="219" t="e">
        <f>BI63/-BI68</f>
        <v>#DIV/0!</v>
      </c>
      <c r="BJ326" s="219" t="e">
        <f>BJ63/-BJ68</f>
        <v>#DIV/0!</v>
      </c>
      <c r="BL326" s="219" t="e">
        <f>BL63/-BL68</f>
        <v>#DIV/0!</v>
      </c>
      <c r="BM326" s="219" t="e">
        <f>BM63/-BM68</f>
        <v>#DIV/0!</v>
      </c>
      <c r="BN326" s="219" t="e">
        <f>BN63/-BN68</f>
        <v>#DIV/0!</v>
      </c>
      <c r="BO326" s="219" t="e">
        <f>BO63/-BO68</f>
        <v>#DIV/0!</v>
      </c>
      <c r="BQ326" s="219" t="e">
        <f>BQ63/-BQ68</f>
        <v>#DIV/0!</v>
      </c>
      <c r="BR326" s="219" t="e">
        <f>BR63/-BR68</f>
        <v>#DIV/0!</v>
      </c>
      <c r="BS326" s="219" t="e">
        <f>BS63/-BS68</f>
        <v>#DIV/0!</v>
      </c>
      <c r="BT326" s="219" t="e">
        <f>BT63/-BT68</f>
        <v>#DIV/0!</v>
      </c>
      <c r="BV326" s="219" t="e">
        <f>BV63/-BV68</f>
        <v>#DIV/0!</v>
      </c>
      <c r="BW326" s="219" t="e">
        <f>BW63/-BW68</f>
        <v>#DIV/0!</v>
      </c>
      <c r="BX326" s="219" t="e">
        <f>BX63/-BX68</f>
        <v>#DIV/0!</v>
      </c>
      <c r="BY326" s="219" t="e">
        <f>BY63/-BY68</f>
        <v>#DIV/0!</v>
      </c>
      <c r="CA326" s="219" t="e">
        <f>CA63/-CA68</f>
        <v>#DIV/0!</v>
      </c>
      <c r="CB326" s="219" t="e">
        <f>CB63/-CB68</f>
        <v>#DIV/0!</v>
      </c>
      <c r="CC326" s="219" t="e">
        <f>CC63/-CC68</f>
        <v>#DIV/0!</v>
      </c>
      <c r="CD326" s="219" t="e">
        <f>CD63/-CD68</f>
        <v>#DIV/0!</v>
      </c>
      <c r="CF326" s="219" t="e">
        <f>CF63/-CF68</f>
        <v>#DIV/0!</v>
      </c>
      <c r="CG326" s="219" t="e">
        <f>CG63/-CG68</f>
        <v>#DIV/0!</v>
      </c>
      <c r="CH326" s="219" t="e">
        <f>CH63/-CH68</f>
        <v>#DIV/0!</v>
      </c>
      <c r="CI326" s="219" t="e">
        <f>CI63/-CI68</f>
        <v>#DIV/0!</v>
      </c>
      <c r="CK326" s="219" t="e">
        <f>CK63/-CK68</f>
        <v>#DIV/0!</v>
      </c>
      <c r="CL326" s="219" t="e">
        <f>CL63/-CL68</f>
        <v>#DIV/0!</v>
      </c>
      <c r="CM326" s="219" t="e">
        <f>CM63/-CM68</f>
        <v>#DIV/0!</v>
      </c>
      <c r="CN326" s="219" t="e">
        <f>CN63/-CN68</f>
        <v>#DIV/0!</v>
      </c>
      <c r="CP326" s="219" t="e">
        <f>CP63/-CP68</f>
        <v>#DIV/0!</v>
      </c>
      <c r="CQ326" s="219" t="e">
        <f>CQ63/-CQ68</f>
        <v>#DIV/0!</v>
      </c>
      <c r="CR326" s="219" t="e">
        <f>CR63/-CR68</f>
        <v>#DIV/0!</v>
      </c>
      <c r="CS326" s="219" t="e">
        <f>CS63/-CS68</f>
        <v>#DIV/0!</v>
      </c>
      <c r="CU326" s="219" t="e">
        <f>CU63/-CU68</f>
        <v>#DIV/0!</v>
      </c>
      <c r="CV326" s="219" t="e">
        <f>CV63/-CV68</f>
        <v>#DIV/0!</v>
      </c>
      <c r="CW326" s="219" t="e">
        <f>CW63/-CW68</f>
        <v>#DIV/0!</v>
      </c>
      <c r="CX326" s="219" t="e">
        <f>CX63/-CX68</f>
        <v>#DIV/0!</v>
      </c>
    </row>
    <row r="327" customFormat="1" s="233">
      <c r="A327" s="224" t="n"/>
      <c r="B327" s="224" t="n"/>
      <c r="C327" s="233" t="inlineStr">
        <is>
          <t>(EBITDA - CAPEX) / TOTAL INTEREST</t>
        </is>
      </c>
      <c r="D327" s="219">
        <f>(D63-D162)/-D68</f>
        <v>5.36047869710946</v>
      </c>
      <c r="E327" s="219">
        <f>(E63-E162)/-E68</f>
        <v>6.64253427156082</v>
      </c>
      <c r="F327" s="219">
        <f>(F63-F162)/-F68</f>
        <v>6.28522572166492</v>
      </c>
      <c r="G327" s="219">
        <f>(G63-G162)/-G68</f>
        <v>4.16955057661295</v>
      </c>
      <c r="I327" s="219">
        <f>(I63-I162)/-I68</f>
        <v>9.79541246657066</v>
      </c>
      <c r="J327" s="219">
        <f>(J63-J162)/-J68</f>
        <v>9.17621601279518</v>
      </c>
      <c r="K327" s="219">
        <f>(K63-K162)/-K68</f>
        <v>8.62566100751461</v>
      </c>
      <c r="L327" s="219">
        <f>(L63-L162)/-L68</f>
        <v>2.78959926938325</v>
      </c>
      <c r="N327" s="219">
        <f>(N63-N162)/-N68</f>
        <v>10.1893922027519</v>
      </c>
      <c r="O327" s="219">
        <f>(O63-O162)/-O68</f>
        <v>9.11986549257644</v>
      </c>
      <c r="P327" s="219">
        <f>(P63-P162)/-P68</f>
        <v>8.82042010719977</v>
      </c>
      <c r="Q327" s="219">
        <f>(Q63-Q162)/-Q68</f>
        <v>3.07380878413627</v>
      </c>
      <c r="S327" s="219">
        <f>(S63-S162)/-S68</f>
        <v>9.7537290732844</v>
      </c>
      <c r="T327" s="219">
        <f>(T63-T162)/-T68</f>
        <v>10.1154897833101</v>
      </c>
      <c r="U327" s="219">
        <f>(U63-U162)/-U68</f>
        <v>10.7652010959029</v>
      </c>
      <c r="V327" s="219">
        <f>(V63-V162)/-V68</f>
        <v>8.57849918955322</v>
      </c>
      <c r="X327" s="219">
        <f>(X63-X162)/-X68</f>
        <v>15.1332840970724</v>
      </c>
      <c r="Y327" s="219">
        <f>(Y63-Y162)/-Y68</f>
        <v>15.4360899122546</v>
      </c>
      <c r="Z327" s="219">
        <f>(Z63-Z162)/-Z68</f>
        <v>15.4316020126603</v>
      </c>
      <c r="AA327" s="219">
        <f>(AA63-AA162)/-AA68</f>
        <v>11.6676375757387</v>
      </c>
      <c r="AC327" s="219">
        <f>(AC63-AC162)/-AC68</f>
        <v>17.8985350650479</v>
      </c>
      <c r="AD327" s="219">
        <f>(AD63-AD162)/-AD68</f>
        <v>20.1231542466698</v>
      </c>
      <c r="AE327" s="219">
        <f>(AE63-AE162)/-AE68</f>
        <v>17.9921959679168</v>
      </c>
      <c r="AF327" s="219">
        <f>(AF63-AF162)/-AF68</f>
        <v>11.9038460718019</v>
      </c>
      <c r="AH327" s="219">
        <f>(AH63-AH162)/-AH68</f>
        <v>14.5511357349176</v>
      </c>
      <c r="AI327" s="219">
        <f>(AI63-AI162)/-AI68</f>
        <v>22.4355579588468</v>
      </c>
      <c r="AJ327" s="219" t="e">
        <f>(AJ63-AJ162)/-AJ68</f>
        <v>#DIV/0!</v>
      </c>
      <c r="AK327" s="219" t="e">
        <f>(AK63-AK162)/-AK68</f>
        <v>#DIV/0!</v>
      </c>
      <c r="AM327" s="219" t="e">
        <f>(AM63-AM162)/-AM68</f>
        <v>#DIV/0!</v>
      </c>
      <c r="AN327" s="219" t="e">
        <f>(AN63-AN162)/-AN68</f>
        <v>#DIV/0!</v>
      </c>
      <c r="AO327" s="219" t="e">
        <f>(AO63-AO162)/-AO68</f>
        <v>#DIV/0!</v>
      </c>
      <c r="AP327" s="219" t="e">
        <f>(AP63-AP162)/-AP68</f>
        <v>#DIV/0!</v>
      </c>
      <c r="AR327" s="219" t="e">
        <f>(AR63-AR162)/-AR68</f>
        <v>#DIV/0!</v>
      </c>
      <c r="AS327" s="219" t="e">
        <f>(AS63-AS162)/-AS68</f>
        <v>#DIV/0!</v>
      </c>
      <c r="AT327" s="219" t="e">
        <f>(AT63-AT162)/-AT68</f>
        <v>#DIV/0!</v>
      </c>
      <c r="AU327" s="219" t="e">
        <f>(AU63-AU162)/-AU68</f>
        <v>#DIV/0!</v>
      </c>
      <c r="AW327" s="219" t="e">
        <f>(AW63-AW162)/-AW68</f>
        <v>#DIV/0!</v>
      </c>
      <c r="AX327" s="219" t="e">
        <f>(AX63-AX162)/-AX68</f>
        <v>#DIV/0!</v>
      </c>
      <c r="AY327" s="219" t="e">
        <f>(AY63-AY162)/-AY68</f>
        <v>#DIV/0!</v>
      </c>
      <c r="AZ327" s="219" t="e">
        <f>(AZ63-AZ162)/-AZ68</f>
        <v>#DIV/0!</v>
      </c>
      <c r="BB327" s="219" t="e">
        <f>(BB63-BB162)/-BB68</f>
        <v>#DIV/0!</v>
      </c>
      <c r="BC327" s="219" t="e">
        <f>(BC63-BC162)/-BC68</f>
        <v>#DIV/0!</v>
      </c>
      <c r="BD327" s="219" t="e">
        <f>(BD63-BD162)/-BD68</f>
        <v>#DIV/0!</v>
      </c>
      <c r="BE327" s="219" t="e">
        <f>(BE63-BE162)/-BE68</f>
        <v>#DIV/0!</v>
      </c>
      <c r="BG327" s="219" t="e">
        <f>(BG63-BG162)/-BG68</f>
        <v>#DIV/0!</v>
      </c>
      <c r="BH327" s="219" t="e">
        <f>(BH63-BH162)/-BH68</f>
        <v>#DIV/0!</v>
      </c>
      <c r="BI327" s="219" t="e">
        <f>(BI63-BI162)/-BI68</f>
        <v>#DIV/0!</v>
      </c>
      <c r="BJ327" s="219" t="e">
        <f>(BJ63-BJ162)/-BJ68</f>
        <v>#DIV/0!</v>
      </c>
      <c r="BL327" s="219" t="e">
        <f>(BL63-BL162)/-BL68</f>
        <v>#DIV/0!</v>
      </c>
      <c r="BM327" s="219" t="e">
        <f>(BM63-BM162)/-BM68</f>
        <v>#DIV/0!</v>
      </c>
      <c r="BN327" s="219" t="e">
        <f>(BN63-BN162)/-BN68</f>
        <v>#DIV/0!</v>
      </c>
      <c r="BO327" s="219" t="e">
        <f>(BO63-BO162)/-BO68</f>
        <v>#DIV/0!</v>
      </c>
      <c r="BQ327" s="219" t="e">
        <f>(BQ63-BQ162)/-BQ68</f>
        <v>#DIV/0!</v>
      </c>
      <c r="BR327" s="219" t="e">
        <f>(BR63-BR162)/-BR68</f>
        <v>#DIV/0!</v>
      </c>
      <c r="BS327" s="219" t="e">
        <f>(BS63-BS162)/-BS68</f>
        <v>#DIV/0!</v>
      </c>
      <c r="BT327" s="219" t="e">
        <f>(BT63-BT162)/-BT68</f>
        <v>#DIV/0!</v>
      </c>
      <c r="BV327" s="219" t="e">
        <f>(BV63-BV162)/-BV68</f>
        <v>#DIV/0!</v>
      </c>
      <c r="BW327" s="219" t="e">
        <f>(BW63-BW162)/-BW68</f>
        <v>#DIV/0!</v>
      </c>
      <c r="BX327" s="219" t="e">
        <f>(BX63-BX162)/-BX68</f>
        <v>#DIV/0!</v>
      </c>
      <c r="BY327" s="219" t="e">
        <f>(BY63-BY162)/-BY68</f>
        <v>#DIV/0!</v>
      </c>
      <c r="CA327" s="219" t="e">
        <f>(CA63-CA162)/-CA68</f>
        <v>#DIV/0!</v>
      </c>
      <c r="CB327" s="219" t="e">
        <f>(CB63-CB162)/-CB68</f>
        <v>#DIV/0!</v>
      </c>
      <c r="CC327" s="219" t="e">
        <f>(CC63-CC162)/-CC68</f>
        <v>#DIV/0!</v>
      </c>
      <c r="CD327" s="219" t="e">
        <f>(CD63-CD162)/-CD68</f>
        <v>#DIV/0!</v>
      </c>
      <c r="CF327" s="219" t="e">
        <f>(CF63-CF162)/-CF68</f>
        <v>#DIV/0!</v>
      </c>
      <c r="CG327" s="219" t="e">
        <f>(CG63-CG162)/-CG68</f>
        <v>#DIV/0!</v>
      </c>
      <c r="CH327" s="219" t="e">
        <f>(CH63-CH162)/-CH68</f>
        <v>#DIV/0!</v>
      </c>
      <c r="CI327" s="219" t="e">
        <f>(CI63-CI162)/-CI68</f>
        <v>#DIV/0!</v>
      </c>
      <c r="CK327" s="219" t="e">
        <f>(CK63-CK162)/-CK68</f>
        <v>#DIV/0!</v>
      </c>
      <c r="CL327" s="219" t="e">
        <f>(CL63-CL162)/-CL68</f>
        <v>#DIV/0!</v>
      </c>
      <c r="CM327" s="219" t="e">
        <f>(CM63-CM162)/-CM68</f>
        <v>#DIV/0!</v>
      </c>
      <c r="CN327" s="219" t="e">
        <f>(CN63-CN162)/-CN68</f>
        <v>#DIV/0!</v>
      </c>
      <c r="CP327" s="219" t="e">
        <f>(CP63-CP162)/-CP68</f>
        <v>#DIV/0!</v>
      </c>
      <c r="CQ327" s="219" t="e">
        <f>(CQ63-CQ162)/-CQ68</f>
        <v>#DIV/0!</v>
      </c>
      <c r="CR327" s="219" t="e">
        <f>(CR63-CR162)/-CR68</f>
        <v>#DIV/0!</v>
      </c>
      <c r="CS327" s="219" t="e">
        <f>(CS63-CS162)/-CS68</f>
        <v>#DIV/0!</v>
      </c>
      <c r="CU327" s="219" t="e">
        <f>(CU63-CU162)/-CU68</f>
        <v>#DIV/0!</v>
      </c>
      <c r="CV327" s="219" t="e">
        <f>(CV63-CV162)/-CV68</f>
        <v>#DIV/0!</v>
      </c>
      <c r="CW327" s="219" t="e">
        <f>(CW63-CW162)/-CW68</f>
        <v>#DIV/0!</v>
      </c>
      <c r="CX327" s="219" t="e">
        <f>(CX63-CX162)/-CX68</f>
        <v>#DIV/0!</v>
      </c>
    </row>
    <row r="328" customFormat="1" s="233">
      <c r="A328" s="224" t="n"/>
      <c r="B328" s="224" t="n"/>
      <c r="C328" s="233" t="inlineStr">
        <is>
          <t>TOTAL DEBT / EBITDA LTM</t>
        </is>
      </c>
      <c r="D328" s="219" t="str">
        <f>""</f>
        <v/>
      </c>
      <c r="E328" s="219" t="str">
        <f>""</f>
        <v/>
      </c>
      <c r="F328" s="219" t="str">
        <f>""</f>
        <v/>
      </c>
      <c r="G328" s="219">
        <f>IFERROR(SUM(G206,G207,G208,G211,G229,G232)/(G63+F63+E63+D63),"")</f>
        <v>3.4692568537028</v>
      </c>
      <c r="I328" s="219">
        <f>IFERROR(SUM(I206,I207,I208,I211,I229,I232)/(I63+G63+F63+E63),"")</f>
        <v>2.72501266676743</v>
      </c>
      <c r="J328" s="219">
        <f>IFERROR(SUM(J206,J207,J208,J211,J229,J232)/(J63+I63+G63+F63),"")</f>
        <v>2.51574099326743</v>
      </c>
      <c r="K328" s="219">
        <f>IFERROR(SUM(K206,K207,K208,K211,K229,K232)/(K63+J63+I63+G63),"")</f>
        <v>2.31470928168726</v>
      </c>
      <c r="L328" s="219">
        <f>IFERROR(SUM(L206,L207,L208,L211,L229,L232)/(L63+K63+J63+I63),"")</f>
        <v>2.40404262367129</v>
      </c>
      <c r="N328" s="219">
        <f>IFERROR(SUM(N206,N207,N208,N211,N229,N232)/(N63+L63+K63+J63),"")</f>
        <v>2.25218003976725</v>
      </c>
      <c r="O328" s="219">
        <f>IFERROR(SUM(O206,O207,O208,O211,O229,O232)/(O63+N63+L63+K63),"")</f>
        <v>2.28490485892743</v>
      </c>
      <c r="P328" s="219">
        <f>IFERROR(SUM(P206,P207,P208,P211,P229,P232)/(P63+O63+N63+L63),"")</f>
        <v>2.30623918129199</v>
      </c>
      <c r="Q328" s="219">
        <f>IFERROR(SUM(Q206,Q207,Q208,Q211,Q229,Q232)/(Q63+P63+O63+N63),"")</f>
        <v>2.40439647254307</v>
      </c>
      <c r="S328" s="219">
        <f>IFERROR(SUM(S206,S207,S208,S211,S229,S232)/(S63+Q63+P63+O63),"")</f>
        <v>2.52047604573863</v>
      </c>
      <c r="T328" s="219">
        <f>IFERROR(SUM(T206,T207,T208,T211,T229,T232)/(T63+S63+Q63+P63),"")</f>
        <v>2.41855631814107</v>
      </c>
      <c r="U328" s="219">
        <f>IFERROR(SUM(U206,U207,U208,U211,U229,U232)/(U63+T63+S63+Q63),"")</f>
        <v>2.24440431824834</v>
      </c>
      <c r="V328" s="219">
        <f>IFERROR(SUM(V206,V207,V208,V211,V229,V232)/(V63+U63+T63+S63),"")</f>
        <v>1.98924366874346</v>
      </c>
      <c r="X328" s="219">
        <f>IFERROR(SUM(X206,X207,X208,X211,X229,X232)/(X63+V63+U63+T63),"")</f>
        <v>1.70384896012262</v>
      </c>
      <c r="Y328" s="219">
        <f>IFERROR(SUM(Y206,Y207,Y208,Y211,Y229,Y232)/(Y63+X63+V63+U63),"")</f>
        <v>1.55445250724907</v>
      </c>
      <c r="Z328" s="219">
        <f>IFERROR(SUM(Z206,Z207,Z208,Z211,Z229,Z232)/(Z63+Y63+X63+V63),"")</f>
        <v>1.60183319486345</v>
      </c>
      <c r="AA328" s="219">
        <f>IFERROR(SUM(AA206,AA207,AA208,AA211,AA229,AA232)/(AA63+Z63+Y63+X63),"")</f>
        <v>1.45003148924006</v>
      </c>
      <c r="AC328" s="219">
        <f>IFERROR(SUM(AC206,AC207,AC208,AC211,AC229,AC232)/(AC63+AA63+Z63+Y63),"")</f>
        <v>1.31108312628461</v>
      </c>
      <c r="AD328" s="219">
        <f>IFERROR(SUM(AD206,AD207,AD208,AD211,AD229,AD232)/(AD63+AC63+AA63+Z63),"")</f>
        <v>1.1448565480259</v>
      </c>
      <c r="AE328" s="219">
        <f>IFERROR(SUM(AE206,AE207,AE208,AE211,AE229,AE232)/(AE63+AD63+AC63+AA63),"")</f>
        <v>1.1151433450291</v>
      </c>
      <c r="AF328" s="219">
        <f>IFERROR(SUM(AF206,AF207,AF208,AF211,AF229,AF232)/(AF63+AE63+AD63+AC63),"")</f>
        <v>1.05877338727578</v>
      </c>
      <c r="AH328" s="219">
        <f>IFERROR(SUM(AH206,AH207,AH208,AH211,AH229,AH232)/(AH63+AF63+AE63+AD63),"")</f>
        <v>1.00504027785146</v>
      </c>
      <c r="AI328" s="219">
        <f>IFERROR(SUM(AI206,AI207,AI208,AI211,AI229,AI232)/(AI63+AH63+AF63+AE63),"")</f>
        <v>0.971642088905014</v>
      </c>
      <c r="AJ328" s="219">
        <f>IFERROR(SUM(AJ206,AJ207,AJ208,AJ211,AJ229,AJ232)/(AJ63+AI63+AH63+AF63),"")</f>
        <v>1.25615453398971</v>
      </c>
      <c r="AK328" s="219">
        <f>IFERROR(SUM(AK206,AK207,AK208,AK211,AK229,AK232)/(AK63+AJ63+AI63+AH63),"")</f>
        <v>1.71395372124467</v>
      </c>
      <c r="AM328" s="219">
        <f>IFERROR(SUM(AM206,AM207,AM208,AM211,AM229,AM232)/(AM63+AK63+AJ63+AI63),"")</f>
        <v>3.33306297954411</v>
      </c>
      <c r="AN328" s="219" t="str">
        <f>IFERROR(SUM(AN206,AN207,AN208,AN211,AN229,AN232)/(AN63+AM63+AK63+AJ63),"")</f>
        <v/>
      </c>
      <c r="AO328" s="219" t="str">
        <f>IFERROR(SUM(AO206,AO207,AO208,AO211,AO229,AO232)/(AO63+AN63+AM63+AK63),"")</f>
        <v/>
      </c>
      <c r="AP328" s="219" t="str">
        <f>IFERROR(SUM(AP206,AP207,AP208,AP211,AP229,AP232)/(AP63+AO63+AN63+AM63),"")</f>
        <v/>
      </c>
      <c r="AR328" s="219" t="str">
        <f>IFERROR(SUM(AR206,AR207,AR208,AR211,AR229,AR232)/(AR63+AP63+AO63+AN63),"")</f>
        <v/>
      </c>
      <c r="AS328" s="219" t="str">
        <f>IFERROR(SUM(AS206,AS207,AS208,AS211,AS229,AS232)/(AS63+AR63+AP63+AO63),"")</f>
        <v/>
      </c>
      <c r="AT328" s="219" t="str">
        <f>IFERROR(SUM(AT206,AT207,AT208,AT211,AT229,AT232)/(AT63+AS63+AR63+AP63),"")</f>
        <v/>
      </c>
      <c r="AU328" s="219" t="str">
        <f>IFERROR(SUM(AU206,AU207,AU208,AU211,AU229,AU232)/(AU63+AT63+AS63+AR63),"")</f>
        <v/>
      </c>
      <c r="AW328" s="219" t="str">
        <f>IFERROR(SUM(AW206,AW207,AW208,AW211,AW229,AW232)/(AW63+AU63+AT63+AS63),"")</f>
        <v/>
      </c>
      <c r="AX328" s="219" t="str">
        <f>IFERROR(SUM(AX206,AX207,AX208,AX211,AX229,AX232)/(AX63+AW63+AU63+AT63),"")</f>
        <v/>
      </c>
      <c r="AY328" s="219" t="str">
        <f>IFERROR(SUM(AY206,AY207,AY208,AY211,AY229,AY232)/(AY63+AX63+AW63+AU63),"")</f>
        <v/>
      </c>
      <c r="AZ328" s="219" t="str">
        <f>IFERROR(SUM(AZ206,AZ207,AZ208,AZ211,AZ229,AZ232)/(AZ63+AY63+AX63+AW63),"")</f>
        <v/>
      </c>
      <c r="BB328" s="219" t="str">
        <f>IFERROR(SUM(BB206,BB207,BB208,BB211,BB229,BB232)/(BB63+AZ63+AY63+AX63),"")</f>
        <v/>
      </c>
      <c r="BC328" s="219" t="str">
        <f>IFERROR(SUM(BC206,BC207,BC208,BC211,BC229,BC232)/(BC63+BB63+AZ63+AY63),"")</f>
        <v/>
      </c>
      <c r="BD328" s="219" t="str">
        <f>IFERROR(SUM(BD206,BD207,BD208,BD211,BD229,BD232)/(BD63+BC63+BB63+AZ63),"")</f>
        <v/>
      </c>
      <c r="BE328" s="219" t="str">
        <f>IFERROR(SUM(BE206,BE207,BE208,BE211,BE229,BE232)/(BE63+BD63+BC63+BB63),"")</f>
        <v/>
      </c>
      <c r="BG328" s="219" t="str">
        <f>IFERROR(SUM(BG206,BG207,BG208,BG211,BG229,BG232)/(BG63+BE63+BD63+BC63),"")</f>
        <v/>
      </c>
      <c r="BH328" s="219" t="str">
        <f>IFERROR(SUM(BH206,BH207,BH208,BH211,BH229,BH232)/(BH63+BG63+BE63+BD63),"")</f>
        <v/>
      </c>
      <c r="BI328" s="219" t="str">
        <f>IFERROR(SUM(BI206,BI207,BI208,BI211,BI229,BI232)/(BI63+BH63+BG63+BE63),"")</f>
        <v/>
      </c>
      <c r="BJ328" s="219" t="str">
        <f>IFERROR(SUM(BJ206,BJ207,BJ208,BJ211,BJ229,BJ232)/(BJ63+BI63+BH63+BG63),"")</f>
        <v/>
      </c>
      <c r="BL328" s="219" t="str">
        <f>IFERROR(SUM(BL206,BL207,BL208,BL211,BL229,BL232)/(BL63+BJ63+BI63+BH63),"")</f>
        <v/>
      </c>
      <c r="BM328" s="219" t="str">
        <f>IFERROR(SUM(BM206,BM207,BM208,BM211,BM229,BM232)/(BM63+BL63+BJ63+BI63),"")</f>
        <v/>
      </c>
      <c r="BN328" s="219" t="str">
        <f>IFERROR(SUM(BN206,BN207,BN208,BN211,BN229,BN232)/(BN63+BM63+BL63+BJ63),"")</f>
        <v/>
      </c>
      <c r="BO328" s="219" t="str">
        <f>IFERROR(SUM(BO206,BO207,BO208,BO211,BO229,BO232)/(BO63+BN63+BM63+BL63),"")</f>
        <v/>
      </c>
      <c r="BQ328" s="219" t="str">
        <f>IFERROR(SUM(BQ206,BQ207,BQ208,BQ211,BQ229,BQ232)/(BQ63+BO63+BN63+BM63),"")</f>
        <v/>
      </c>
      <c r="BR328" s="219" t="str">
        <f>IFERROR(SUM(BR206,BR207,BR208,BR211,BR229,BR232)/(BR63+BQ63+BO63+BN63),"")</f>
        <v/>
      </c>
      <c r="BS328" s="219" t="str">
        <f>IFERROR(SUM(BS206,BS207,BS208,BS211,BS229,BS232)/(BS63+BR63+BQ63+BO63),"")</f>
        <v/>
      </c>
      <c r="BT328" s="219" t="str">
        <f>IFERROR(SUM(BT206,BT207,BT208,BT211,BT229,BT232)/(BT63+BS63+BR63+BQ63),"")</f>
        <v/>
      </c>
      <c r="BV328" s="219" t="str">
        <f>IFERROR(SUM(BV206,BV207,BV208,BV211,BV229,BV232)/(BV63+BT63+BS63+BR63),"")</f>
        <v/>
      </c>
      <c r="BW328" s="219" t="str">
        <f>IFERROR(SUM(BW206,BW207,BW208,BW211,BW229,BW232)/(BW63+BV63+BT63+BS63),"")</f>
        <v/>
      </c>
      <c r="BX328" s="219" t="str">
        <f>IFERROR(SUM(BX206,BX207,BX208,BX211,BX229,BX232)/(BX63+BW63+BV63+BT63),"")</f>
        <v/>
      </c>
      <c r="BY328" s="219" t="str">
        <f>IFERROR(SUM(BY206,BY207,BY208,BY211,BY229,BY232)/(BY63+BX63+BW63+BV63),"")</f>
        <v/>
      </c>
      <c r="CA328" s="219" t="str">
        <f>IFERROR(SUM(CA206,CA207,CA208,CA211,CA229,CA232)/(CA63+BY63+BX63+BW63),"")</f>
        <v/>
      </c>
      <c r="CB328" s="219" t="str">
        <f>IFERROR(SUM(CB206,CB207,CB208,CB211,CB229,CB232)/(CB63+CA63+BY63+BX63),"")</f>
        <v/>
      </c>
      <c r="CC328" s="219" t="str">
        <f>IFERROR(SUM(CC206,CC207,CC208,CC211,CC229,CC232)/(CC63+CB63+CA63+BY63),"")</f>
        <v/>
      </c>
      <c r="CD328" s="219" t="str">
        <f>IFERROR(SUM(CD206,CD207,CD208,CD211,CD229,CD232)/(CD63+CC63+CB63+CA63),"")</f>
        <v/>
      </c>
      <c r="CF328" s="219" t="str">
        <f>IFERROR(SUM(CF206,CF207,CF208,CF211,CF229,CF232)/(CF63+CD63+CC63+CB63),"")</f>
        <v/>
      </c>
      <c r="CG328" s="219" t="str">
        <f>IFERROR(SUM(CG206,CG207,CG208,CG211,CG229,CG232)/(CG63+CF63+CD63+CC63),"")</f>
        <v/>
      </c>
      <c r="CH328" s="219" t="str">
        <f>IFERROR(SUM(CH206,CH207,CH208,CH211,CH229,CH232)/(CH63+CG63+CF63+CD63),"")</f>
        <v/>
      </c>
      <c r="CI328" s="219" t="str">
        <f>IFERROR(SUM(CI206,CI207,CI208,CI211,CI229,CI232)/(CI63+CH63+CG63+CF63),"")</f>
        <v/>
      </c>
      <c r="CK328" s="219" t="str">
        <f>IFERROR(SUM(CK206,CK207,CK208,CK211,CK229,CK232)/(CK63+CI63+CH63+CG63),"")</f>
        <v/>
      </c>
      <c r="CL328" s="219" t="str">
        <f>IFERROR(SUM(CL206,CL207,CL208,CL211,CL229,CL232)/(CL63+CK63+CI63+CH63),"")</f>
        <v/>
      </c>
      <c r="CM328" s="219" t="str">
        <f>IFERROR(SUM(CM206,CM207,CM208,CM211,CM229,CM232)/(CM63+CL63+CK63+CI63),"")</f>
        <v/>
      </c>
      <c r="CN328" s="219" t="str">
        <f>IFERROR(SUM(CN206,CN207,CN208,CN211,CN229,CN232)/(CN63+CM63+CL63+CK63),"")</f>
        <v/>
      </c>
      <c r="CP328" s="219" t="str">
        <f>IFERROR(SUM(CP206,CP207,CP208,CP211,CP229,CP232)/(CP63+CN63+CM63+CL63),"")</f>
        <v/>
      </c>
      <c r="CQ328" s="219" t="str">
        <f>IFERROR(SUM(CQ206,CQ207,CQ208,CQ211,CQ229,CQ232)/(CQ63+CP63+CN63+CM63),"")</f>
        <v/>
      </c>
      <c r="CR328" s="219" t="str">
        <f>IFERROR(SUM(CR206,CR207,CR208,CR211,CR229,CR232)/(CR63+CQ63+CP63+CN63),"")</f>
        <v/>
      </c>
      <c r="CS328" s="219" t="str">
        <f>IFERROR(SUM(CS206,CS207,CS208,CS211,CS229,CS232)/(CS63+CR63+CQ63+CP63),"")</f>
        <v/>
      </c>
      <c r="CU328" s="219" t="str">
        <f>IFERROR(SUM(CU206,CU207,CU208,CU211,CU229,CU232)/(CU63+CS63+CR63+CQ63),"")</f>
        <v/>
      </c>
      <c r="CV328" s="219" t="str">
        <f>IFERROR(SUM(CV206,CV207,CV208,CV211,CV229,CV232)/(CV63+CU63+CS63+CR63),"")</f>
        <v/>
      </c>
      <c r="CW328" s="219" t="str">
        <f>IFERROR(SUM(CW206,CW207,CW208,CW211,CW229,CW232)/(CW63+CV63+CU63+CS63),"")</f>
        <v/>
      </c>
      <c r="CX328" s="219" t="str">
        <f>IFERROR(SUM(CX206,CX207,CX208,CX211,CX229,CX232)/(CX63+CW63+CV63+CU63),"")</f>
        <v/>
      </c>
    </row>
    <row r="329" customFormat="1" s="233">
      <c r="A329" s="224" t="n"/>
      <c r="B329" s="224" t="n"/>
      <c r="C329" s="233" t="inlineStr">
        <is>
          <t>TOTAL DEBT / TOTAL CAPITALIZATION</t>
        </is>
      </c>
      <c r="D329" s="221">
        <f>SUM(D206+D207+D208+D211+D229+D232)/(SUM(D206+D207+D208+D211+D229+D232)+D265)</f>
        <v>0.635626816738049</v>
      </c>
      <c r="E329" s="221">
        <f>SUM(E206+E207+E208+E211+E229+E232)/(SUM(E206+E207+E208+E211+E229+E232)+E265)</f>
        <v>0.628525381441107</v>
      </c>
      <c r="F329" s="221">
        <f>SUM(F206+F207+F208+F211+F229+F232)/(SUM(F206+F207+F208+F211+F229+F232)+F265)</f>
        <v>0.608296270542101</v>
      </c>
      <c r="G329" s="221">
        <f>SUM(G206+G207+G208+G211+G229+G232)/(SUM(G206+G207+G208+G211+G229+G232)+G265)</f>
        <v>0.595778698733732</v>
      </c>
      <c r="I329" s="221">
        <f>SUM(I206+I207+I208+I211+I229+I232)/(SUM(I206+I207+I208+I211+I229+I232)+I265)</f>
        <v>0.547027748421252</v>
      </c>
      <c r="J329" s="221">
        <f>SUM(J206+J207+J208+J211+J229+J232)/(SUM(J206+J207+J208+J211+J229+J232)+J265)</f>
        <v>0.529877122625898</v>
      </c>
      <c r="K329" s="221">
        <f>SUM(K206+K207+K208+K211+K229+K232)/(SUM(K206+K207+K208+K211+K229+K232)+K265)</f>
        <v>0.502897758199463</v>
      </c>
      <c r="L329" s="221">
        <f>SUM(L206+L207+L208+L211+L229+L232)/(SUM(L206+L207+L208+L211+L229+L232)+L265)</f>
        <v>0.492696515728771</v>
      </c>
      <c r="N329" s="221">
        <f>SUM(N206+N207+N208+N211+N229+N232)/(SUM(N206+N207+N208+N211+N229+N232)+N265)</f>
        <v>0.45309212372111</v>
      </c>
      <c r="O329" s="221">
        <f>SUM(O206+O207+O208+O211+O229+O232)/(SUM(O206+O207+O208+O211+O229+O232)+O265)</f>
        <v>0.427307473530572</v>
      </c>
      <c r="P329" s="221">
        <f>SUM(P206+P207+P208+P211+P229+P232)/(SUM(P206+P207+P208+P211+P229+P232)+P265)</f>
        <v>0.403533614839824</v>
      </c>
      <c r="Q329" s="221">
        <f>SUM(Q206+Q207+Q208+Q211+Q229+Q232)/(SUM(Q206+Q207+Q208+Q211+Q229+Q232)+Q265)</f>
        <v>0.408564791192559</v>
      </c>
      <c r="S329" s="221">
        <f>SUM(S206+S207+S208+S211+S229+S232)/(SUM(S206+S207+S208+S211+S229+S232)+S265)</f>
        <v>0.398097311911511</v>
      </c>
      <c r="T329" s="221">
        <f>SUM(T206+T207+T208+T211+T229+T232)/(SUM(T206+T207+T208+T211+T229+T232)+T265)</f>
        <v>0.387905040280547</v>
      </c>
      <c r="U329" s="221">
        <f>SUM(U206+U207+U208+U211+U229+U232)/(SUM(U206+U207+U208+U211+U229+U232)+U265)</f>
        <v>0.392780981210308</v>
      </c>
      <c r="V329" s="221">
        <f>SUM(V206+V207+V208+V211+V229+V232)/(SUM(V206+V207+V208+V211+V229+V232)+V265)</f>
        <v>0.413965539944211</v>
      </c>
      <c r="X329" s="221">
        <f>SUM(X206+X207+X208+X211+X229+X232)/(SUM(X206+X207+X208+X211+X229+X232)+X265)</f>
        <v>0.396139789217968</v>
      </c>
      <c r="Y329" s="221">
        <f>SUM(Y206+Y207+Y208+Y211+Y229+Y232)/(SUM(Y206+Y207+Y208+Y211+Y229+Y232)+Y265)</f>
        <v>0.387337121757223</v>
      </c>
      <c r="Z329" s="221">
        <f>SUM(Z206+Z207+Z208+Z211+Z229+Z232)/(SUM(Z206+Z207+Z208+Z211+Z229+Z232)+Z265)</f>
        <v>0.412932188836234</v>
      </c>
      <c r="AA329" s="221">
        <f>SUM(AA206+AA207+AA208+AA211+AA229+AA232)/(SUM(AA206+AA207+AA208+AA211+AA229+AA232)+AA265)</f>
        <v>0.386417215672593</v>
      </c>
      <c r="AC329" s="221">
        <f>SUM(AC206+AC207+AC208+AC211+AC229+AC232)/(SUM(AC206+AC207+AC208+AC211+AC229+AC232)+AC265)</f>
        <v>0.384605492673823</v>
      </c>
      <c r="AD329" s="221">
        <f>SUM(AD206+AD207+AD208+AD211+AD229+AD232)/(SUM(AD206+AD207+AD208+AD211+AD229+AD232)+AD265)</f>
        <v>0.366785115786394</v>
      </c>
      <c r="AE329" s="221">
        <f>SUM(AE206+AE207+AE208+AE211+AE229+AE232)/(SUM(AE206+AE207+AE208+AE211+AE229+AE232)+AE265)</f>
        <v>0.357844479267478</v>
      </c>
      <c r="AF329" s="221">
        <f>SUM(AF206+AF207+AF208+AF211+AF229+AF232)/(SUM(AF206+AF207+AF208+AF211+AF229+AF232)+AF265)</f>
        <v>0.352079505483233</v>
      </c>
      <c r="AH329" s="221">
        <f>SUM(AH206+AH207+AH208+AH211+AH229+AH232)/(SUM(AH206+AH207+AH208+AH211+AH229+AH232)+AH265)</f>
        <v>0.315706527910279</v>
      </c>
      <c r="AI329" s="221">
        <f>SUM(AI206+AI207+AI208+AI211+AI229+AI232)/(SUM(AI206+AI207+AI208+AI211+AI229+AI232)+AI265)</f>
        <v>0.321836908355341</v>
      </c>
      <c r="AJ329" s="221">
        <f>SUM(AJ206+AJ207+AJ208+AJ211+AJ229+AJ232)/(SUM(AJ206+AJ207+AJ208+AJ211+AJ229+AJ232)+AJ265)</f>
        <v>0.302435853224545</v>
      </c>
      <c r="AK329" s="221">
        <f>SUM(AK206+AK207+AK208+AK211+AK229+AK232)/(SUM(AK206+AK207+AK208+AK211+AK229+AK232)+AK265)</f>
        <v>0.302105987762953</v>
      </c>
      <c r="AM329" s="221">
        <f>SUM(AM206+AM207+AM208+AM211+AM229+AM232)/(SUM(AM206+AM207+AM208+AM211+AM229+AM232)+AM265)</f>
        <v>0.301776841083019</v>
      </c>
      <c r="AN329" s="221">
        <f>SUM(AN206+AN207+AN208+AN211+AN229+AN232)/(SUM(AN206+AN207+AN208+AN211+AN229+AN232)+AN265)</f>
        <v>0.268848105665624</v>
      </c>
      <c r="AO329" s="221">
        <f>SUM(AO206+AO207+AO208+AO211+AO229+AO232)/(SUM(AO206+AO207+AO208+AO211+AO229+AO232)+AO265)</f>
        <v>0.26858740816554</v>
      </c>
      <c r="AP329" s="221">
        <f>SUM(AP206+AP207+AP208+AP211+AP229+AP232)/(SUM(AP206+AP207+AP208+AP211+AP229+AP232)+AP265)</f>
        <v>0.242186561582051</v>
      </c>
      <c r="AR329" s="221">
        <f>SUM(AR206+AR207+AR208+AR211+AR229+AR232)/(SUM(AR206+AR207+AR208+AR211+AR229+AR232)+AR265)</f>
        <v>0.220511358742703</v>
      </c>
      <c r="AS329" s="221">
        <f>SUM(AS206+AS207+AS208+AS211+AS229+AS232)/(SUM(AS206+AS207+AS208+AS211+AS229+AS232)+AS265)</f>
        <v>0.186780936022547</v>
      </c>
      <c r="AT329" s="221">
        <f>SUM(AT206+AT207+AT208+AT211+AT229+AT232)/(SUM(AT206+AT207+AT208+AT211+AT229+AT232)+AT265)</f>
        <v>0.173619220121179</v>
      </c>
      <c r="AU329" s="221">
        <f>SUM(AU206+AU207+AU208+AU211+AU229+AU232)/(SUM(AU206+AU207+AU208+AU211+AU229+AU232)+AU265)</f>
        <v>0.152006116487395</v>
      </c>
      <c r="AW329" s="221">
        <f>SUM(AW206+AW207+AW208+AW211+AW229+AW232)/(SUM(AW206+AW207+AW208+AW211+AW229+AW232)+AW265)</f>
        <v>0.135178350032417</v>
      </c>
      <c r="AX329" s="221">
        <f>SUM(AX206+AX207+AX208+AX211+AX229+AX232)/(SUM(AX206+AX207+AX208+AX211+AX229+AX232)+AX265)</f>
        <v>0.101551001716508</v>
      </c>
      <c r="AY329" s="221">
        <f>SUM(AY206+AY207+AY208+AY211+AY229+AY232)/(SUM(AY206+AY207+AY208+AY211+AY229+AY232)+AY265)</f>
        <v>0.0937539227780476</v>
      </c>
      <c r="AZ329" s="221">
        <f>SUM(AZ206+AZ207+AZ208+AZ211+AZ229+AZ232)/(SUM(AZ206+AZ207+AZ208+AZ211+AZ229+AZ232)+AZ265)</f>
        <v>0.0762436013077429</v>
      </c>
      <c r="BB329" s="221">
        <f>SUM(BB206+BB207+BB208+BB211+BB229+BB232)/(SUM(BB206+BB207+BB208+BB211+BB229+BB232)+BB265)</f>
        <v>0.0642446884676722</v>
      </c>
      <c r="BC329" s="221">
        <f>SUM(BC206+BC207+BC208+BC211+BC229+BC232)/(SUM(BC206+BC207+BC208+BC211+BC229+BC232)+BC265)</f>
        <v>0.0452434206654961</v>
      </c>
      <c r="BD329" s="221">
        <f>SUM(BD206+BD207+BD208+BD211+BD229+BD232)/(SUM(BD206+BD207+BD208+BD211+BD229+BD232)+BD265)</f>
        <v>0.0407293890379875</v>
      </c>
      <c r="BE329" s="221">
        <f>SUM(BE206+BE207+BE208+BE211+BE229+BE232)/(SUM(BE206+BE207+BE208+BE211+BE229+BE232)+BE265)</f>
        <v>0.0321652338652806</v>
      </c>
      <c r="BG329" s="221">
        <f>SUM(BG206+BG207+BG208+BG211+BG229+BG232)/(SUM(BG206+BG207+BG208+BG211+BG229+BG232)+BG265)</f>
        <v>0.0265769147780743</v>
      </c>
      <c r="BH329" s="221">
        <f>SUM(BH206+BH207+BH208+BH211+BH229+BH232)/(SUM(BH206+BH207+BH208+BH211+BH229+BH232)+BH265)</f>
        <v>0.0179855297346893</v>
      </c>
      <c r="BI329" s="221">
        <f>SUM(BI206+BI207+BI208+BI211+BI229+BI232)/(SUM(BI206+BI207+BI208+BI211+BI229+BI232)+BI265)</f>
        <v>0.0160933608296246</v>
      </c>
      <c r="BJ329" s="221">
        <f>SUM(BJ206+BJ207+BJ208+BJ211+BJ229+BJ232)/(SUM(BJ206+BJ207+BJ208+BJ211+BJ229+BJ232)+BJ265)</f>
        <v>0.0124826743787805</v>
      </c>
      <c r="BL329" s="221">
        <f>SUM(BL206+BL207+BL208+BL211+BL229+BL232)/(SUM(BL206+BL207+BL208+BL211+BL229+BL232)+BL265)</f>
        <v>0.0101952751146487</v>
      </c>
      <c r="BM329" s="221">
        <f>SUM(BM206+BM207+BM208+BM211+BM229+BM232)/(SUM(BM206+BM207+BM208+BM211+BM229+BM232)+BM265)</f>
        <v>0.00679780904644056</v>
      </c>
      <c r="BN329" s="221">
        <f>SUM(BN206+BN207+BN208+BN211+BN229+BN232)/(SUM(BN206+BN207+BN208+BN211+BN229+BN232)+BN265)</f>
        <v>0.00605767510074693</v>
      </c>
      <c r="BO329" s="221">
        <f>SUM(BO206+BO207+BO208+BO211+BO229+BO232)/(SUM(BO206+BO207+BO208+BO211+BO229+BO232)+BO265)</f>
        <v>0.00467068398721627</v>
      </c>
      <c r="BQ329" s="221">
        <f>SUM(BQ206+BQ207+BQ208+BQ211+BQ229+BQ232)/(SUM(BQ206+BQ207+BQ208+BQ211+BQ229+BQ232)+BQ265)</f>
        <v>0.00380050431791761</v>
      </c>
      <c r="BR329" s="221">
        <f>SUM(BR206+BR207+BR208+BR211+BR229+BR232)/(SUM(BR206+BR207+BR208+BR211+BR229+BR232)+BR265)</f>
        <v>0.00251817276787214</v>
      </c>
      <c r="BS329" s="221">
        <f>SUM(BS206+BS207+BS208+BS211+BS229+BS232)/(SUM(BS206+BS207+BS208+BS211+BS229+BS232)+BS265)</f>
        <v>0.00224147444178022</v>
      </c>
      <c r="BT329" s="221">
        <f>SUM(BT206+BT207+BT208+BT211+BT229+BT232)/(SUM(BT206+BT207+BT208+BT211+BT229+BT232)+BT265)</f>
        <v>0.00172376560656449</v>
      </c>
      <c r="BV329" s="221">
        <f>SUM(BV206+BV207+BV208+BV211+BV229+BV232)/(SUM(BV206+BV207+BV208+BV211+BV229+BV232)+BV265)</f>
        <v>0.00140033341856897</v>
      </c>
      <c r="BW329" s="221">
        <f>SUM(BW206+BW207+BW208+BW211+BW229+BW232)/(SUM(BW206+BW207+BW208+BW211+BW229+BW232)+BW265)</f>
        <v>0.000925806328781136</v>
      </c>
      <c r="BX329" s="221">
        <f>SUM(BX206+BX207+BX208+BX211+BX229+BX232)/(SUM(BX206+BX207+BX208+BX211+BX229+BX232)+BX265)</f>
        <v>0.000823635110622266</v>
      </c>
      <c r="BY329" s="221">
        <f>SUM(BY206+BY207+BY208+BY211+BY229+BY232)/(SUM(BY206+BY207+BY208+BY211+BY229+BY232)+BY265)</f>
        <v>0.000632849807605153</v>
      </c>
      <c r="CA329" s="221">
        <f>SUM(CA206+CA207+CA208+CA211+CA229+CA232)/(SUM(CA206+CA207+CA208+CA211+CA229+CA232)+CA265)</f>
        <v>0.000513827713131418</v>
      </c>
      <c r="CB329" s="221">
        <f>SUM(CB206+CB207+CB208+CB211+CB229+CB232)/(SUM(CB206+CB207+CB208+CB211+CB229+CB232)+CB265)</f>
        <v>0.00033941956668974</v>
      </c>
      <c r="CC329" s="221">
        <f>SUM(CC206+CC207+CC208+CC211+CC229+CC232)/(SUM(CC206+CC207+CC208+CC211+CC229+CC232)+CC265)</f>
        <v>0.000301911402974554</v>
      </c>
      <c r="CD329" s="221">
        <f>SUM(CD206+CD207+CD208+CD211+CD229+CD232)/(SUM(CD206+CD207+CD208+CD211+CD229+CD232)+CD265)</f>
        <v>0.000231897046492692</v>
      </c>
      <c r="CF329" s="221">
        <f>SUM(CF206+CF207+CF208+CF211+CF229+CF232)/(SUM(CF206+CF207+CF208+CF211+CF229+CF232)+CF265)</f>
        <v>0.000188242843826117</v>
      </c>
      <c r="CG329" s="221">
        <f>SUM(CG206+CG207+CG208+CG211+CG229+CG232)/(SUM(CG206+CG207+CG208+CG211+CG229+CG232)+CG265)</f>
        <v>0.000124310208280357</v>
      </c>
      <c r="CH329" s="221">
        <f>SUM(CH206+CH207+CH208+CH211+CH229+CH232)/(SUM(CH206+CH207+CH208+CH211+CH229+CH232)+CH265)</f>
        <v>0.000110565407970253</v>
      </c>
      <c r="CI329" s="221">
        <f>SUM(CI206+CI207+CI208+CI211+CI229+CI232)/(SUM(CI206+CI207+CI208+CI211+CI229+CI232)+CI265)</f>
        <v>8.49146938864379e-05</v>
      </c>
      <c r="CK329" s="221">
        <f>SUM(CK206+CK207+CK208+CK211+CK229+CK232)/(SUM(CK206+CK207+CK208+CK211+CK229+CK232)+CK265)</f>
        <v>6.89244975605495e-05</v>
      </c>
      <c r="CL329" s="221">
        <f>SUM(CL206+CL207+CL208+CL211+CL229+CL232)/(SUM(CL206+CL207+CL208+CL211+CL229+CL232)+CL265)</f>
        <v>4.55106147770185e-05</v>
      </c>
      <c r="CM329" s="221">
        <f>SUM(CM206+CM207+CM208+CM211+CM229+CM232)/(SUM(CM206+CM207+CM208+CM211+CM229+CM232)+CM265)</f>
        <v>4.04776351496192e-05</v>
      </c>
      <c r="CN329" s="221">
        <f>SUM(CN206+CN207+CN208+CN211+CN229+CN232)/(SUM(CN206+CN207+CN208+CN211+CN229+CN232)+CN265)</f>
        <v>3.10855700168703e-05</v>
      </c>
      <c r="CP329" s="221">
        <f>SUM(CP206+CP207+CP208+CP211+CP229+CP232)/(SUM(CP206+CP207+CP208+CP211+CP229+CP232)+CP265)</f>
        <v>2.52311594903587e-05</v>
      </c>
      <c r="CQ329" s="221">
        <f>SUM(CQ206+CQ207+CQ208+CQ211+CQ229+CQ232)/(SUM(CQ206+CQ207+CQ208+CQ211+CQ229+CQ232)+CQ265)</f>
        <v>1.66593711304793e-05</v>
      </c>
      <c r="CR329" s="221">
        <f>SUM(CR206+CR207+CR208+CR211+CR229+CR232)/(SUM(CR206+CR207+CR208+CR211+CR229+CR232)+CR265)</f>
        <v>1.48168909811099e-05</v>
      </c>
      <c r="CS329" s="221">
        <f>SUM(CS206+CS207+CS208+CS211+CS229+CS232)/(SUM(CS206+CS207+CS208+CS211+CS229+CS232)+CS265)</f>
        <v>1.13787281881815e-05</v>
      </c>
      <c r="CU329" s="221">
        <f>SUM(CU206+CU207+CU208+CU211+CU229+CU232)/(SUM(CU206+CU207+CU208+CU211+CU229+CU232)+CU265)</f>
        <v>9.23565480304096e-06</v>
      </c>
      <c r="CV329" s="221">
        <f>SUM(CV206+CV207+CV208+CV211+CV229+CV232)/(SUM(CV206+CV207+CV208+CV211+CV229+CV232)+CV265)</f>
        <v>6.09793120110022e-06</v>
      </c>
      <c r="CW329" s="221">
        <f>SUM(CW206+CW207+CW208+CW211+CW229+CW232)/(SUM(CW206+CW207+CW208+CW211+CW229+CW232)+CW265)</f>
        <v>5.4234998088782e-06</v>
      </c>
      <c r="CX329" s="221">
        <f>SUM(CX206+CX207+CX208+CX211+CX229+CX232)/(SUM(CX206+CX207+CX208+CX211+CX229+CX232)+CX265)</f>
        <v>4.16498675187818e-06</v>
      </c>
    </row>
    <row r="330" customFormat="1" s="233">
      <c r="A330" s="224" t="n"/>
      <c r="B330" s="224" t="n"/>
      <c r="C330" s="233" t="inlineStr">
        <is>
          <t>NET DEBT / EBITDA LTM (com arrendamentos)</t>
        </is>
      </c>
      <c r="D330" s="219" t="str">
        <f>""</f>
        <v/>
      </c>
      <c r="E330" s="219" t="str">
        <f>""</f>
        <v/>
      </c>
      <c r="F330" s="219" t="str">
        <f>""</f>
        <v/>
      </c>
      <c r="G330" s="219">
        <f>IFERROR((SUM(G206,G207,G208,G211,G229,G232)-G138)/(G63+F63+E63+D63),"")</f>
        <v>1.72376616119255</v>
      </c>
      <c r="I330" s="219">
        <f>IFERROR((SUM(I206,I207,I208,I211,I229,I232)-I138)/(I63+G63+F63+E63),"")</f>
        <v>1.25321485447097</v>
      </c>
      <c r="J330" s="219">
        <f>IFERROR((SUM(J206,J207,J208,J211,J229,J232)-J138)/(J63+I63+G63+F63),"")</f>
        <v>1.26358242673271</v>
      </c>
      <c r="K330" s="219">
        <f>IFERROR((SUM(K206,K207,K208,K211,K229,K232)-K138)/(K63+J63+I63+G63),"")</f>
        <v>1.19020828427969</v>
      </c>
      <c r="L330" s="219">
        <f>IFERROR((SUM(L206,L207,L208,L211,L229,L232)-L138)/(L63+K63+J63+I63),"")</f>
        <v>1.46262791622761</v>
      </c>
      <c r="N330" s="219">
        <f>IFERROR((SUM(N206,N207,N208,N211,N229,N232)-N138)/(N63+L63+K63+J63),"")</f>
        <v>1.32107326322001</v>
      </c>
      <c r="O330" s="219">
        <f>IFERROR((SUM(O206,O207,O208,O211,O229,O232)-O138)/(O63+N63+L63+K63),"")</f>
        <v>1.35069532960171</v>
      </c>
      <c r="P330" s="219">
        <f>IFERROR((SUM(P206,P207,P208,P211,P229,P232)-P138)/(P63+O63+N63+L63),"")</f>
        <v>1.29100215610291</v>
      </c>
      <c r="Q330" s="219">
        <f>IFERROR((SUM(Q206,Q207,Q208,Q211,Q229,Q232)-Q138)/(Q63+P63+O63+N63),"")</f>
        <v>1.38949760223321</v>
      </c>
      <c r="S330" s="219">
        <f>IFERROR((SUM(S206,S207,S208,S211,S229,S232)-S138)/(S63+Q63+P63+O63),"")</f>
        <v>1.1539274960601</v>
      </c>
      <c r="T330" s="219">
        <f>IFERROR((SUM(T206,T207,T208,T211,T229,T232)-T138)/(T63+S63+Q63+P63),"")</f>
        <v>0.984928586794261</v>
      </c>
      <c r="U330" s="219">
        <f>IFERROR((SUM(U206,U207,U208,U211,U229,U232)-U138)/(U63+T63+S63+Q63),"")</f>
        <v>1.00962981622254</v>
      </c>
      <c r="V330" s="219">
        <f>IFERROR((SUM(V206,V207,V208,V211,V229,V232)-V138)/(V63+U63+T63+S63),"")</f>
        <v>1.01291555816959</v>
      </c>
      <c r="X330" s="219">
        <f>IFERROR((SUM(X206,X207,X208,X211,X229,X232)-X138)/(X63+V63+U63+T63),"")</f>
        <v>0.847335166044133</v>
      </c>
      <c r="Y330" s="219">
        <f>IFERROR((SUM(Y206,Y207,Y208,Y211,Y229,Y232)-Y138)/(Y63+X63+V63+U63),"")</f>
        <v>0.814377329027142</v>
      </c>
      <c r="Z330" s="219">
        <f>IFERROR((SUM(Z206,Z207,Z208,Z211,Z229,Z232)-Z138)/(Z63+Y63+X63+V63),"")</f>
        <v>0.677304741683764</v>
      </c>
      <c r="AA330" s="219">
        <f>IFERROR((SUM(AA206,AA207,AA208,AA211,AA229,AA232)-AA138)/(AA63+Z63+Y63+X63),"")</f>
        <v>0.558232854369337</v>
      </c>
      <c r="AC330" s="219">
        <f>IFERROR((SUM(AC206,AC207,AC208,AC211,AC229,AC232)-AC138)/(AC63+AA63+Z63+Y63),"")</f>
        <v>0.58023650787082</v>
      </c>
      <c r="AD330" s="219">
        <f>IFERROR((SUM(AD206,AD207,AD208,AD211,AD229,AD232)-AD138)/(AD63+AC63+AA63+Z63),"")</f>
        <v>0.480232950787871</v>
      </c>
      <c r="AE330" s="219">
        <f>IFERROR((SUM(AE206,AE207,AE208,AE211,AE229,AE232)-AE138)/(AE63+AD63+AC63+AA63),"")</f>
        <v>0.396204030470828</v>
      </c>
      <c r="AF330" s="219">
        <f>IFERROR((SUM(AF206,AF207,AF208,AF211,AF229,AF232)-AF138)/(AF63+AE63+AD63+AC63),"")</f>
        <v>0.395349938711531</v>
      </c>
      <c r="AH330" s="219">
        <f>IFERROR((SUM(AH206,AH207,AH208,AH211,AH229,AH232)-AH138)/(AH63+AF63+AE63+AD63),"")</f>
        <v>0.145016362111679</v>
      </c>
      <c r="AI330" s="219">
        <f>IFERROR((SUM(AI206,AI207,AI208,AI211,AI229,AI232)-AI138)/(AI63+AH63+AF63+AE63),"")</f>
        <v>0.351831348975561</v>
      </c>
      <c r="AJ330" s="219">
        <f>IFERROR((SUM(AJ206,AJ207,AJ208,AJ211,AJ229,AJ232)-AJ138)/(AJ63+AI63+AH63+AF63),"")</f>
        <v>0.554489815876211</v>
      </c>
      <c r="AK330" s="219">
        <f>IFERROR((SUM(AK206,AK207,AK208,AK211,AK229,AK232)-AK138)/(AK63+AJ63+AI63+AH63),"")</f>
        <v>0.750382933319535</v>
      </c>
      <c r="AM330" s="219" t="str">
        <f>IFERROR((SUM(AM206,AM207,AM208,AM211,AM229,AM232)-AM138)/(AM63+AK63+AJ63+AI63),"")</f>
        <v/>
      </c>
      <c r="AN330" s="219" t="str">
        <f>IFERROR((SUM(AN206,AN207,AN208,AN211,AN229,AN232)-AN138)/(AN63+AM63+AK63+AJ63),"")</f>
        <v/>
      </c>
      <c r="AO330" s="219" t="str">
        <f>IFERROR((SUM(AO206,AO207,AO208,AO211,AO229,AO232)-AO138)/(AO63+AN63+AM63+AK63),"")</f>
        <v/>
      </c>
      <c r="AP330" s="219" t="str">
        <f>IFERROR((SUM(AP206,AP207,AP208,AP211,AP229,AP232)-AP138)/(AP63+AO63+AN63+AM63),"")</f>
        <v/>
      </c>
      <c r="AR330" s="219" t="str">
        <f>IFERROR((SUM(AR206,AR207,AR208,AR211,AR229,AR232)-AR138)/(AR63+AP63+AO63+AN63),"")</f>
        <v/>
      </c>
      <c r="AS330" s="219" t="str">
        <f>IFERROR((SUM(AS206,AS207,AS208,AS211,AS229,AS232)-AS138)/(AS63+AR63+AP63+AO63),"")</f>
        <v/>
      </c>
      <c r="AT330" s="219" t="str">
        <f>IFERROR((SUM(AT206,AT207,AT208,AT211,AT229,AT232)-AT138)/(AT63+AS63+AR63+AP63),"")</f>
        <v/>
      </c>
      <c r="AU330" s="219" t="str">
        <f>IFERROR((SUM(AU206,AU207,AU208,AU211,AU229,AU232)-AU138)/(AU63+AT63+AS63+AR63),"")</f>
        <v/>
      </c>
      <c r="AW330" s="219" t="str">
        <f>IFERROR((SUM(AW206,AW207,AW208,AW211,AW229,AW232)-AW138)/(AW63+AU63+AT63+AS63),"")</f>
        <v/>
      </c>
      <c r="AX330" s="219" t="str">
        <f>IFERROR((SUM(AX206,AX207,AX208,AX211,AX229,AX232)-AX138)/(AX63+AW63+AU63+AT63),"")</f>
        <v/>
      </c>
      <c r="AY330" s="219" t="str">
        <f>IFERROR((SUM(AY206,AY207,AY208,AY211,AY229,AY232)-AY138)/(AY63+AX63+AW63+AU63),"")</f>
        <v/>
      </c>
      <c r="AZ330" s="219" t="str">
        <f>IFERROR((SUM(AZ206,AZ207,AZ208,AZ211,AZ229,AZ232)-AZ138)/(AZ63+AY63+AX63+AW63),"")</f>
        <v/>
      </c>
      <c r="BB330" s="219" t="str">
        <f>IFERROR((SUM(BB206,BB207,BB208,BB211,BB229,BB232)-BB138)/(BB63+AZ63+AY63+AX63),"")</f>
        <v/>
      </c>
      <c r="BC330" s="219" t="str">
        <f>IFERROR((SUM(BC206,BC207,BC208,BC211,BC229,BC232)-BC138)/(BC63+BB63+AZ63+AY63),"")</f>
        <v/>
      </c>
      <c r="BD330" s="219" t="str">
        <f>IFERROR((SUM(BD206,BD207,BD208,BD211,BD229,BD232)-BD138)/(BD63+BC63+BB63+AZ63),"")</f>
        <v/>
      </c>
      <c r="BE330" s="219" t="str">
        <f>IFERROR((SUM(BE206,BE207,BE208,BE211,BE229,BE232)-BE138)/(BE63+BD63+BC63+BB63),"")</f>
        <v/>
      </c>
      <c r="BG330" s="219" t="str">
        <f>IFERROR((SUM(BG206,BG207,BG208,BG211,BG229,BG232)-BG138)/(BG63+BE63+BD63+BC63),"")</f>
        <v/>
      </c>
      <c r="BH330" s="219" t="str">
        <f>IFERROR((SUM(BH206,BH207,BH208,BH211,BH229,BH232)-BH138)/(BH63+BG63+BE63+BD63),"")</f>
        <v/>
      </c>
      <c r="BI330" s="219" t="str">
        <f>IFERROR((SUM(BI206,BI207,BI208,BI211,BI229,BI232)-BI138)/(BI63+BH63+BG63+BE63),"")</f>
        <v/>
      </c>
      <c r="BJ330" s="219" t="str">
        <f>IFERROR((SUM(BJ206,BJ207,BJ208,BJ211,BJ229,BJ232)-BJ138)/(BJ63+BI63+BH63+BG63),"")</f>
        <v/>
      </c>
      <c r="BL330" s="219" t="str">
        <f>IFERROR((SUM(BL206,BL207,BL208,BL211,BL229,BL232)-BL138)/(BL63+BJ63+BI63+BH63),"")</f>
        <v/>
      </c>
      <c r="BM330" s="219" t="str">
        <f>IFERROR((SUM(BM206,BM207,BM208,BM211,BM229,BM232)-BM138)/(BM63+BL63+BJ63+BI63),"")</f>
        <v/>
      </c>
      <c r="BN330" s="219" t="str">
        <f>IFERROR((SUM(BN206,BN207,BN208,BN211,BN229,BN232)-BN138)/(BN63+BM63+BL63+BJ63),"")</f>
        <v/>
      </c>
      <c r="BO330" s="219" t="str">
        <f>IFERROR((SUM(BO206,BO207,BO208,BO211,BO229,BO232)-BO138)/(BO63+BN63+BM63+BL63),"")</f>
        <v/>
      </c>
      <c r="BQ330" s="219" t="str">
        <f>IFERROR((SUM(BQ206,BQ207,BQ208,BQ211,BQ229,BQ232)-BQ138)/(BQ63+BO63+BN63+BM63),"")</f>
        <v/>
      </c>
      <c r="BR330" s="219" t="str">
        <f>IFERROR((SUM(BR206,BR207,BR208,BR211,BR229,BR232)-BR138)/(BR63+BQ63+BO63+BN63),"")</f>
        <v/>
      </c>
      <c r="BS330" s="219" t="str">
        <f>IFERROR((SUM(BS206,BS207,BS208,BS211,BS229,BS232)-BS138)/(BS63+BR63+BQ63+BO63),"")</f>
        <v/>
      </c>
      <c r="BT330" s="219" t="str">
        <f>IFERROR((SUM(BT206,BT207,BT208,BT211,BT229,BT232)-BT138)/(BT63+BS63+BR63+BQ63),"")</f>
        <v/>
      </c>
      <c r="BV330" s="219" t="str">
        <f>IFERROR((SUM(BV206,BV207,BV208,BV211,BV229,BV232)-BV138)/(BV63+BT63+BS63+BR63),"")</f>
        <v/>
      </c>
      <c r="BW330" s="219" t="str">
        <f>IFERROR((SUM(BW206,BW207,BW208,BW211,BW229,BW232)-BW138)/(BW63+BV63+BT63+BS63),"")</f>
        <v/>
      </c>
      <c r="BX330" s="219" t="str">
        <f>IFERROR((SUM(BX206,BX207,BX208,BX211,BX229,BX232)-BX138)/(BX63+BW63+BV63+BT63),"")</f>
        <v/>
      </c>
      <c r="BY330" s="219" t="str">
        <f>IFERROR((SUM(BY206,BY207,BY208,BY211,BY229,BY232)-BY138)/(BY63+BX63+BW63+BV63),"")</f>
        <v/>
      </c>
      <c r="CA330" s="219" t="str">
        <f>IFERROR((SUM(CA206,CA207,CA208,CA211,CA229,CA232)-CA138)/(CA63+BY63+BX63+BW63),"")</f>
        <v/>
      </c>
      <c r="CB330" s="219" t="str">
        <f>IFERROR((SUM(CB206,CB207,CB208,CB211,CB229,CB232)-CB138)/(CB63+CA63+BY63+BX63),"")</f>
        <v/>
      </c>
      <c r="CC330" s="219" t="str">
        <f>IFERROR((SUM(CC206,CC207,CC208,CC211,CC229,CC232)-CC138)/(CC63+CB63+CA63+BY63),"")</f>
        <v/>
      </c>
      <c r="CD330" s="219" t="str">
        <f>IFERROR((SUM(CD206,CD207,CD208,CD211,CD229,CD232)-CD138)/(CD63+CC63+CB63+CA63),"")</f>
        <v/>
      </c>
      <c r="CF330" s="219" t="str">
        <f>IFERROR((SUM(CF206,CF207,CF208,CF211,CF229,CF232)-CF138)/(CF63+CD63+CC63+CB63),"")</f>
        <v/>
      </c>
      <c r="CG330" s="219" t="str">
        <f>IFERROR((SUM(CG206,CG207,CG208,CG211,CG229,CG232)-CG138)/(CG63+CF63+CD63+CC63),"")</f>
        <v/>
      </c>
      <c r="CH330" s="219" t="str">
        <f>IFERROR((SUM(CH206,CH207,CH208,CH211,CH229,CH232)-CH138)/(CH63+CG63+CF63+CD63),"")</f>
        <v/>
      </c>
      <c r="CI330" s="219" t="str">
        <f>IFERROR((SUM(CI206,CI207,CI208,CI211,CI229,CI232)-CI138)/(CI63+CH63+CG63+CF63),"")</f>
        <v/>
      </c>
      <c r="CK330" s="219" t="str">
        <f>IFERROR((SUM(CK206,CK207,CK208,CK211,CK229,CK232)-CK138)/(CK63+CI63+CH63+CG63),"")</f>
        <v/>
      </c>
      <c r="CL330" s="219" t="str">
        <f>IFERROR((SUM(CL206,CL207,CL208,CL211,CL229,CL232)-CL138)/(CL63+CK63+CI63+CH63),"")</f>
        <v/>
      </c>
      <c r="CM330" s="219" t="str">
        <f>IFERROR((SUM(CM206,CM207,CM208,CM211,CM229,CM232)-CM138)/(CM63+CL63+CK63+CI63),"")</f>
        <v/>
      </c>
      <c r="CN330" s="219" t="str">
        <f>IFERROR((SUM(CN206,CN207,CN208,CN211,CN229,CN232)-CN138)/(CN63+CM63+CL63+CK63),"")</f>
        <v/>
      </c>
      <c r="CP330" s="219" t="str">
        <f>IFERROR((SUM(CP206,CP207,CP208,CP211,CP229,CP232)-CP138)/(CP63+CN63+CM63+CL63),"")</f>
        <v/>
      </c>
      <c r="CQ330" s="219" t="str">
        <f>IFERROR((SUM(CQ206,CQ207,CQ208,CQ211,CQ229,CQ232)-CQ138)/(CQ63+CP63+CN63+CM63),"")</f>
        <v/>
      </c>
      <c r="CR330" s="219" t="str">
        <f>IFERROR((SUM(CR206,CR207,CR208,CR211,CR229,CR232)-CR138)/(CR63+CQ63+CP63+CN63),"")</f>
        <v/>
      </c>
      <c r="CS330" s="219" t="str">
        <f>IFERROR((SUM(CS206,CS207,CS208,CS211,CS229,CS232)-CS138)/(CS63+CR63+CQ63+CP63),"")</f>
        <v/>
      </c>
      <c r="CU330" s="219" t="str">
        <f>IFERROR((SUM(CU206,CU207,CU208,CU211,CU229,CU232)-CU138)/(CU63+CS63+CR63+CQ63),"")</f>
        <v/>
      </c>
      <c r="CV330" s="219" t="str">
        <f>IFERROR((SUM(CV206,CV207,CV208,CV211,CV229,CV232)-CV138)/(CV63+CU63+CS63+CR63),"")</f>
        <v/>
      </c>
      <c r="CW330" s="219" t="str">
        <f>IFERROR((SUM(CW206,CW207,CW208,CW211,CW229,CW232)-CW138)/(CW63+CV63+CU63+CS63),"")</f>
        <v/>
      </c>
      <c r="CX330" s="219" t="str">
        <f>IFERROR((SUM(CX206,CX207,CX208,CX211,CX229,CX232)-CX138)/(CX63+CW63+CV63+CU63),"")</f>
        <v/>
      </c>
    </row>
    <row r="331" customFormat="1" s="233">
      <c r="A331" s="224" t="n"/>
      <c r="B331" s="224" t="n"/>
      <c r="C331" s="237" t="inlineStr">
        <is>
          <t>NET DEBT (EX IFRS 16) / EBITDA LTM</t>
        </is>
      </c>
      <c r="D331" s="219" t="str">
        <f>""</f>
        <v/>
      </c>
      <c r="E331" s="219" t="str">
        <f>""</f>
        <v/>
      </c>
      <c r="F331" s="219" t="str">
        <f>""</f>
        <v/>
      </c>
      <c r="G331" s="219">
        <f>IFERROR((SUM(G206,G207,G211,G232)-G138)/(G63+F63+E63+D63),"")</f>
        <v>1.72376616119255</v>
      </c>
      <c r="I331" s="219">
        <f>IFERROR((SUM(I206,I207,I211,I232)-I138)/(I63+G63+F63+E63),"")</f>
        <v>1.25321485447097</v>
      </c>
      <c r="J331" s="219">
        <f>IFERROR((SUM(J206,J207,J211,J232)-J138)/(J63+I63+G63+F63),"")</f>
        <v>1.26358242673271</v>
      </c>
      <c r="K331" s="219">
        <f>IFERROR((SUM(K206,K207,K211,K232)-K138)/(K63+J63+I63+G63),"")</f>
        <v>1.19020828427969</v>
      </c>
      <c r="L331" s="219">
        <f>IFERROR((SUM(L206,L207,L211,L232)-L138)/(L63+K63+J63+I63),"")</f>
        <v>1.46262791622761</v>
      </c>
      <c r="N331" s="219">
        <f>IFERROR((SUM(N206,N207,N211,N232)-N138)/(N63+L63+K63+J63),"")</f>
        <v>1.32107326322001</v>
      </c>
      <c r="O331" s="219">
        <f>IFERROR((SUM(O206,O207,O211,O232)-O138)/(O63+N63+L63+K63),"")</f>
        <v>1.35069532960171</v>
      </c>
      <c r="P331" s="219">
        <f>IFERROR((SUM(P206,P207,P211,P232)-P138)/(P63+O63+N63+L63),"")</f>
        <v>1.29100215610291</v>
      </c>
      <c r="Q331" s="219">
        <f>IFERROR((SUM(Q206,Q207,Q211,Q232)-Q138)/(Q63+P63+O63+N63),"")</f>
        <v>1.38949760223321</v>
      </c>
      <c r="S331" s="219">
        <f>IFERROR((SUM(S206,S207,S211,S232)-S138)/(S63+Q63+P63+O63),"")</f>
        <v>1.1539274960601</v>
      </c>
      <c r="T331" s="219">
        <f>IFERROR((SUM(T206,T207,T211,T232)-T138)/(T63+S63+Q63+P63),"")</f>
        <v>0.984928586794261</v>
      </c>
      <c r="U331" s="219">
        <f>IFERROR((SUM(U206,U207,U211,U232)-U138)/(U63+T63+S63+Q63),"")</f>
        <v>1.00962981622254</v>
      </c>
      <c r="V331" s="219">
        <f>IFERROR((SUM(V206,V207,V211,V232)-V138)/(V63+U63+T63+S63),"")</f>
        <v>1.01291555816959</v>
      </c>
      <c r="X331" s="219">
        <f>IFERROR((SUM(X206,X207,X211,X232)-X138)/(X63+V63+U63+T63),"")</f>
        <v>0.847335166044133</v>
      </c>
      <c r="Y331" s="219">
        <f>IFERROR((SUM(Y206,Y207,Y211,Y232)-Y138)/(Y63+X63+V63+U63),"")</f>
        <v>0.814377329027142</v>
      </c>
      <c r="Z331" s="219">
        <f>IFERROR((SUM(Z206,Z207,Z211,Z232)-Z138)/(Z63+Y63+X63+V63),"")</f>
        <v>0.677304741683764</v>
      </c>
      <c r="AA331" s="219">
        <f>IFERROR((SUM(AA206,AA207,AA211,AA232)-AA138)/(AA63+Z63+Y63+X63),"")</f>
        <v>0.558232854369337</v>
      </c>
      <c r="AC331" s="219">
        <f>IFERROR((SUM(AC206,AC207,AC211,AC232)-AC138)/(AC63+AA63+Z63+Y63),"")</f>
        <v>0.58023650787082</v>
      </c>
      <c r="AD331" s="219">
        <f>IFERROR((SUM(AD206,AD207,AD211,AD232)-AD138)/(AD63+AC63+AA63+Z63),"")</f>
        <v>0.480232950787871</v>
      </c>
      <c r="AE331" s="219">
        <f>IFERROR((SUM(AE206,AE207,AE211,AE232)-AE138)/(AE63+AD63+AC63+AA63),"")</f>
        <v>0.396204030470828</v>
      </c>
      <c r="AF331" s="219">
        <f>IFERROR((SUM(AF206,AF207,AF211,AF232)-AF138)/(AF63+AE63+AD63+AC63),"")</f>
        <v>0.395349938711531</v>
      </c>
      <c r="AH331" s="219">
        <f>IFERROR((SUM(AH206,AH207,AH211,AH232)-AH138)/(AH63+AF63+AE63+AD63),"")</f>
        <v>0.145016362111679</v>
      </c>
      <c r="AI331" s="219">
        <f>IFERROR((SUM(AI206,AI207,AI211,AI232)-AI138)/(AI63+AH63+AF63+AE63),"")</f>
        <v>0.351831348975561</v>
      </c>
      <c r="AJ331" s="219">
        <f>IFERROR((SUM(AJ206,AJ207,AJ211,AJ232)-AJ138)/(AJ63+AI63+AH63+AF63),"")</f>
        <v>0.554489815876211</v>
      </c>
      <c r="AK331" s="219">
        <f>IFERROR((SUM(AK206,AK207,AK211,AK232)-AK138)/(AK63+AJ63+AI63+AH63),"")</f>
        <v>0.750382933319535</v>
      </c>
      <c r="AM331" s="219" t="str">
        <f>IFERROR((SUM(AM206,AM207,AM211,AM232)-AM138)/(AM63+AK63+AJ63+AI63),"")</f>
        <v/>
      </c>
      <c r="AN331" s="219" t="str">
        <f>IFERROR((SUM(AN206,AN207,AN211,AN232)-AN138)/(AN63+AM63+AK63+AJ63),"")</f>
        <v/>
      </c>
      <c r="AO331" s="219" t="str">
        <f>IFERROR((SUM(AO206,AO207,AO211,AO232)-AO138)/(AO63+AN63+AM63+AK63),"")</f>
        <v/>
      </c>
      <c r="AP331" s="219" t="str">
        <f>IFERROR((SUM(AP206,AP207,AP211,AP232)-AP138)/(AP63+AO63+AN63+AM63),"")</f>
        <v/>
      </c>
      <c r="AR331" s="219" t="str">
        <f>IFERROR((SUM(AR206,AR207,AR211,AR232)-AR138)/(AR63+AP63+AO63+AN63),"")</f>
        <v/>
      </c>
      <c r="AS331" s="219" t="str">
        <f>IFERROR((SUM(AS206,AS207,AS211,AS232)-AS138)/(AS63+AR63+AP63+AO63),"")</f>
        <v/>
      </c>
      <c r="AT331" s="219" t="str">
        <f>IFERROR((SUM(AT206,AT207,AT211,AT232)-AT138)/(AT63+AS63+AR63+AP63),"")</f>
        <v/>
      </c>
      <c r="AU331" s="219" t="str">
        <f>IFERROR((SUM(AU206,AU207,AU211,AU232)-AU138)/(AU63+AT63+AS63+AR63),"")</f>
        <v/>
      </c>
      <c r="AW331" s="219" t="str">
        <f>IFERROR((SUM(AW206,AW207,AW211,AW232)-AW138)/(AW63+AU63+AT63+AS63),"")</f>
        <v/>
      </c>
      <c r="AX331" s="219" t="str">
        <f>IFERROR((SUM(AX206,AX207,AX211,AX232)-AX138)/(AX63+AW63+AU63+AT63),"")</f>
        <v/>
      </c>
      <c r="AY331" s="219" t="str">
        <f>IFERROR((SUM(AY206,AY207,AY211,AY232)-AY138)/(AY63+AX63+AW63+AU63),"")</f>
        <v/>
      </c>
      <c r="AZ331" s="219" t="str">
        <f>IFERROR((SUM(AZ206,AZ207,AZ211,AZ232)-AZ138)/(AZ63+AY63+AX63+AW63),"")</f>
        <v/>
      </c>
      <c r="BB331" s="219" t="str">
        <f>IFERROR((SUM(BB206,BB207,BB211,BB232)-BB138)/(BB63+AZ63+AY63+AX63),"")</f>
        <v/>
      </c>
      <c r="BC331" s="219" t="str">
        <f>IFERROR((SUM(BC206,BC207,BC211,BC232)-BC138)/(BC63+BB63+AZ63+AY63),"")</f>
        <v/>
      </c>
      <c r="BD331" s="219" t="str">
        <f>IFERROR((SUM(BD206,BD207,BD211,BD232)-BD138)/(BD63+BC63+BB63+AZ63),"")</f>
        <v/>
      </c>
      <c r="BE331" s="219" t="str">
        <f>IFERROR((SUM(BE206,BE207,BE211,BE232)-BE138)/(BE63+BD63+BC63+BB63),"")</f>
        <v/>
      </c>
      <c r="BG331" s="219" t="str">
        <f>IFERROR((SUM(BG206,BG207,BG211,BG232)-BG138)/(BG63+BE63+BD63+BC63),"")</f>
        <v/>
      </c>
      <c r="BH331" s="219" t="str">
        <f>IFERROR((SUM(BH206,BH207,BH211,BH232)-BH138)/(BH63+BG63+BE63+BD63),"")</f>
        <v/>
      </c>
      <c r="BI331" s="219" t="str">
        <f>IFERROR((SUM(BI206,BI207,BI211,BI232)-BI138)/(BI63+BH63+BG63+BE63),"")</f>
        <v/>
      </c>
      <c r="BJ331" s="219" t="str">
        <f>IFERROR((SUM(BJ206,BJ207,BJ211,BJ232)-BJ138)/(BJ63+BI63+BH63+BG63),"")</f>
        <v/>
      </c>
      <c r="BL331" s="219" t="str">
        <f>IFERROR((SUM(BL206,BL207,BL211,BL232)-BL138)/(BL63+BJ63+BI63+BH63),"")</f>
        <v/>
      </c>
      <c r="BM331" s="219" t="str">
        <f>IFERROR((SUM(BM206,BM207,BM211,BM232)-BM138)/(BM63+BL63+BJ63+BI63),"")</f>
        <v/>
      </c>
      <c r="BN331" s="219" t="str">
        <f>IFERROR((SUM(BN206,BN207,BN211,BN232)-BN138)/(BN63+BM63+BL63+BJ63),"")</f>
        <v/>
      </c>
      <c r="BO331" s="219" t="str">
        <f>IFERROR((SUM(BO206,BO207,BO211,BO232)-BO138)/(BO63+BN63+BM63+BL63),"")</f>
        <v/>
      </c>
      <c r="BQ331" s="219" t="str">
        <f>IFERROR((SUM(BQ206,BQ207,BQ211,BQ232)-BQ138)/(BQ63+BO63+BN63+BM63),"")</f>
        <v/>
      </c>
      <c r="BR331" s="219" t="str">
        <f>IFERROR((SUM(BR206,BR207,BR211,BR232)-BR138)/(BR63+BQ63+BO63+BN63),"")</f>
        <v/>
      </c>
      <c r="BS331" s="219" t="str">
        <f>IFERROR((SUM(BS206,BS207,BS211,BS232)-BS138)/(BS63+BR63+BQ63+BO63),"")</f>
        <v/>
      </c>
      <c r="BT331" s="219" t="str">
        <f>IFERROR((SUM(BT206,BT207,BT211,BT232)-BT138)/(BT63+BS63+BR63+BQ63),"")</f>
        <v/>
      </c>
      <c r="BV331" s="219" t="str">
        <f>IFERROR((SUM(BV206,BV207,BV211,BV232)-BV138)/(BV63+BT63+BS63+BR63),"")</f>
        <v/>
      </c>
      <c r="BW331" s="219" t="str">
        <f>IFERROR((SUM(BW206,BW207,BW211,BW232)-BW138)/(BW63+BV63+BT63+BS63),"")</f>
        <v/>
      </c>
      <c r="BX331" s="219" t="str">
        <f>IFERROR((SUM(BX206,BX207,BX211,BX232)-BX138)/(BX63+BW63+BV63+BT63),"")</f>
        <v/>
      </c>
      <c r="BY331" s="219" t="str">
        <f>IFERROR((SUM(BY206,BY207,BY211,BY232)-BY138)/(BY63+BX63+BW63+BV63),"")</f>
        <v/>
      </c>
      <c r="CA331" s="219" t="str">
        <f>IFERROR((SUM(CA206,CA207,CA211,CA232)-CA138)/(CA63+BY63+BX63+BW63),"")</f>
        <v/>
      </c>
      <c r="CB331" s="219" t="str">
        <f>IFERROR((SUM(CB206,CB207,CB211,CB232)-CB138)/(CB63+CA63+BY63+BX63),"")</f>
        <v/>
      </c>
      <c r="CC331" s="219" t="str">
        <f>IFERROR((SUM(CC206,CC207,CC211,CC232)-CC138)/(CC63+CB63+CA63+BY63),"")</f>
        <v/>
      </c>
      <c r="CD331" s="219" t="str">
        <f>IFERROR((SUM(CD206,CD207,CD211,CD232)-CD138)/(CD63+CC63+CB63+CA63),"")</f>
        <v/>
      </c>
      <c r="CF331" s="219" t="str">
        <f>IFERROR((SUM(CF206,CF207,CF211,CF232)-CF138)/(CF63+CD63+CC63+CB63),"")</f>
        <v/>
      </c>
      <c r="CG331" s="219" t="str">
        <f>IFERROR((SUM(CG206,CG207,CG211,CG232)-CG138)/(CG63+CF63+CD63+CC63),"")</f>
        <v/>
      </c>
      <c r="CH331" s="219" t="str">
        <f>IFERROR((SUM(CH206,CH207,CH211,CH232)-CH138)/(CH63+CG63+CF63+CD63),"")</f>
        <v/>
      </c>
      <c r="CI331" s="219" t="str">
        <f>IFERROR((SUM(CI206,CI207,CI211,CI232)-CI138)/(CI63+CH63+CG63+CF63),"")</f>
        <v/>
      </c>
      <c r="CK331" s="219" t="str">
        <f>IFERROR((SUM(CK206,CK207,CK211,CK232)-CK138)/(CK63+CI63+CH63+CG63),"")</f>
        <v/>
      </c>
      <c r="CL331" s="219" t="str">
        <f>IFERROR((SUM(CL206,CL207,CL211,CL232)-CL138)/(CL63+CK63+CI63+CH63),"")</f>
        <v/>
      </c>
      <c r="CM331" s="219" t="str">
        <f>IFERROR((SUM(CM206,CM207,CM211,CM232)-CM138)/(CM63+CL63+CK63+CI63),"")</f>
        <v/>
      </c>
      <c r="CN331" s="219" t="str">
        <f>IFERROR((SUM(CN206,CN207,CN211,CN232)-CN138)/(CN63+CM63+CL63+CK63),"")</f>
        <v/>
      </c>
      <c r="CP331" s="219" t="str">
        <f>IFERROR((SUM(CP206,CP207,CP211,CP232)-CP138)/(CP63+CN63+CM63+CL63),"")</f>
        <v/>
      </c>
      <c r="CQ331" s="219" t="str">
        <f>IFERROR((SUM(CQ206,CQ207,CQ211,CQ232)-CQ138)/(CQ63+CP63+CN63+CM63),"")</f>
        <v/>
      </c>
      <c r="CR331" s="219" t="str">
        <f>IFERROR((SUM(CR206,CR207,CR211,CR232)-CR138)/(CR63+CQ63+CP63+CN63),"")</f>
        <v/>
      </c>
      <c r="CS331" s="219" t="str">
        <f>IFERROR((SUM(CS206,CS207,CS211,CS232)-CS138)/(CS63+CR63+CQ63+CP63),"")</f>
        <v/>
      </c>
      <c r="CU331" s="219" t="str">
        <f>IFERROR((SUM(CU206,CU207,CU211,CU232)-CU138)/(CU63+CS63+CR63+CQ63),"")</f>
        <v/>
      </c>
      <c r="CV331" s="219" t="str">
        <f>IFERROR((SUM(CV206,CV207,CV211,CV232)-CV138)/(CV63+CU63+CS63+CR63),"")</f>
        <v/>
      </c>
      <c r="CW331" s="219" t="str">
        <f>IFERROR((SUM(CW206,CW207,CW211,CW232)-CW138)/(CW63+CV63+CU63+CS63),"")</f>
        <v/>
      </c>
      <c r="CX331" s="219" t="str">
        <f>IFERROR((SUM(CX206,CX207,CX211,CX232)-CX138)/(CX63+CW63+CV63+CU63),"")</f>
        <v/>
      </c>
    </row>
    <row r="332" customFormat="1" s="233">
      <c r="A332" s="224" t="n"/>
      <c r="B332" s="224" t="n"/>
      <c r="C332" s="233" t="inlineStr">
        <is>
          <t>INTEREST COVERAGE</t>
        </is>
      </c>
      <c r="D332" s="219">
        <f>D67/-D68</f>
        <v>5.20556488105909</v>
      </c>
      <c r="E332" s="219">
        <f>E67/-E68</f>
        <v>7.17906857484232</v>
      </c>
      <c r="F332" s="219">
        <f>F67/-F68</f>
        <v>6.67175599632635</v>
      </c>
      <c r="G332" s="219">
        <f>G67/-G68</f>
        <v>4.83929893602994</v>
      </c>
      <c r="I332" s="219">
        <f>I67/-I68</f>
        <v>10.0794898169101</v>
      </c>
      <c r="J332" s="219">
        <f>J67/-J68</f>
        <v>9.65717481523296</v>
      </c>
      <c r="K332" s="219">
        <f>K67/-K68</f>
        <v>9.21736185139868</v>
      </c>
      <c r="L332" s="219">
        <f>L67/-L68</f>
        <v>3.33512820106742</v>
      </c>
      <c r="N332" s="219">
        <f>N67/-N68</f>
        <v>10.5109100698906</v>
      </c>
      <c r="O332" s="219">
        <f>O67/-O68</f>
        <v>8.99537203271494</v>
      </c>
      <c r="P332" s="219">
        <f>P67/-P68</f>
        <v>8.88319860930031</v>
      </c>
      <c r="Q332" s="219">
        <f>Q67/-Q68</f>
        <v>3.22329619057109</v>
      </c>
      <c r="S332" s="219">
        <f>S67/-S68</f>
        <v>9.83888222498981</v>
      </c>
      <c r="T332" s="219">
        <f>T67/-T68</f>
        <v>10.4522744434021</v>
      </c>
      <c r="U332" s="219">
        <f>U67/-U68</f>
        <v>10.9157054732489</v>
      </c>
      <c r="V332" s="219">
        <f>V67/-V68</f>
        <v>8.53885007876172</v>
      </c>
      <c r="X332" s="219">
        <f>X67/-X68</f>
        <v>15.1893903550781</v>
      </c>
      <c r="Y332" s="219">
        <f>Y67/-Y68</f>
        <v>15.4943685783339</v>
      </c>
      <c r="Z332" s="219">
        <f>Z67/-Z68</f>
        <v>15.7413677433317</v>
      </c>
      <c r="AA332" s="219">
        <f>AA67/-AA68</f>
        <v>11.8002627165724</v>
      </c>
      <c r="AC332" s="219">
        <f>AC67/-AC68</f>
        <v>18.173223942836</v>
      </c>
      <c r="AD332" s="219">
        <f>AD67/-AD68</f>
        <v>20.6663819675991</v>
      </c>
      <c r="AE332" s="219">
        <f>AE67/-AE68</f>
        <v>18.5302805572353</v>
      </c>
      <c r="AF332" s="219">
        <f>AF67/-AF68</f>
        <v>12.6140190703727</v>
      </c>
      <c r="AH332" s="219">
        <f>AH67/-AH68</f>
        <v>15.0986046085692</v>
      </c>
      <c r="AI332" s="219">
        <f>AI67/-AI68</f>
        <v>23.8643595070723</v>
      </c>
      <c r="AJ332" s="219" t="e">
        <f>AJ67/-AJ68</f>
        <v>#DIV/0!</v>
      </c>
      <c r="AK332" s="219" t="e">
        <f>AK67/-AK68</f>
        <v>#DIV/0!</v>
      </c>
      <c r="AM332" s="219" t="e">
        <f>AM67/-AM68</f>
        <v>#DIV/0!</v>
      </c>
      <c r="AN332" s="219" t="e">
        <f>AN67/-AN68</f>
        <v>#DIV/0!</v>
      </c>
      <c r="AO332" s="219" t="e">
        <f>AO67/-AO68</f>
        <v>#DIV/0!</v>
      </c>
      <c r="AP332" s="219" t="e">
        <f>AP67/-AP68</f>
        <v>#DIV/0!</v>
      </c>
      <c r="AR332" s="219" t="e">
        <f>AR67/-AR68</f>
        <v>#DIV/0!</v>
      </c>
      <c r="AS332" s="219" t="e">
        <f>AS67/-AS68</f>
        <v>#DIV/0!</v>
      </c>
      <c r="AT332" s="219" t="e">
        <f>AT67/-AT68</f>
        <v>#DIV/0!</v>
      </c>
      <c r="AU332" s="219" t="e">
        <f>AU67/-AU68</f>
        <v>#DIV/0!</v>
      </c>
      <c r="AW332" s="219" t="e">
        <f>AW67/-AW68</f>
        <v>#DIV/0!</v>
      </c>
      <c r="AX332" s="219" t="e">
        <f>AX67/-AX68</f>
        <v>#DIV/0!</v>
      </c>
      <c r="AY332" s="219" t="e">
        <f>AY67/-AY68</f>
        <v>#DIV/0!</v>
      </c>
      <c r="AZ332" s="219" t="e">
        <f>AZ67/-AZ68</f>
        <v>#DIV/0!</v>
      </c>
      <c r="BB332" s="219" t="e">
        <f>BB67/-BB68</f>
        <v>#DIV/0!</v>
      </c>
      <c r="BC332" s="219" t="e">
        <f>BC67/-BC68</f>
        <v>#DIV/0!</v>
      </c>
      <c r="BD332" s="219" t="e">
        <f>BD67/-BD68</f>
        <v>#DIV/0!</v>
      </c>
      <c r="BE332" s="219" t="e">
        <f>BE67/-BE68</f>
        <v>#DIV/0!</v>
      </c>
      <c r="BG332" s="219" t="e">
        <f>BG67/-BG68</f>
        <v>#DIV/0!</v>
      </c>
      <c r="BH332" s="219" t="e">
        <f>BH67/-BH68</f>
        <v>#DIV/0!</v>
      </c>
      <c r="BI332" s="219" t="e">
        <f>BI67/-BI68</f>
        <v>#DIV/0!</v>
      </c>
      <c r="BJ332" s="219" t="e">
        <f>BJ67/-BJ68</f>
        <v>#DIV/0!</v>
      </c>
      <c r="BL332" s="219" t="e">
        <f>BL67/-BL68</f>
        <v>#DIV/0!</v>
      </c>
      <c r="BM332" s="219" t="e">
        <f>BM67/-BM68</f>
        <v>#DIV/0!</v>
      </c>
      <c r="BN332" s="219" t="e">
        <f>BN67/-BN68</f>
        <v>#DIV/0!</v>
      </c>
      <c r="BO332" s="219" t="e">
        <f>BO67/-BO68</f>
        <v>#DIV/0!</v>
      </c>
      <c r="BQ332" s="219" t="e">
        <f>BQ67/-BQ68</f>
        <v>#DIV/0!</v>
      </c>
      <c r="BR332" s="219" t="e">
        <f>BR67/-BR68</f>
        <v>#DIV/0!</v>
      </c>
      <c r="BS332" s="219" t="e">
        <f>BS67/-BS68</f>
        <v>#DIV/0!</v>
      </c>
      <c r="BT332" s="219" t="e">
        <f>BT67/-BT68</f>
        <v>#DIV/0!</v>
      </c>
      <c r="BV332" s="219" t="e">
        <f>BV67/-BV68</f>
        <v>#DIV/0!</v>
      </c>
      <c r="BW332" s="219" t="e">
        <f>BW67/-BW68</f>
        <v>#DIV/0!</v>
      </c>
      <c r="BX332" s="219" t="e">
        <f>BX67/-BX68</f>
        <v>#DIV/0!</v>
      </c>
      <c r="BY332" s="219" t="e">
        <f>BY67/-BY68</f>
        <v>#DIV/0!</v>
      </c>
      <c r="CA332" s="219" t="e">
        <f>CA67/-CA68</f>
        <v>#DIV/0!</v>
      </c>
      <c r="CB332" s="219" t="e">
        <f>CB67/-CB68</f>
        <v>#DIV/0!</v>
      </c>
      <c r="CC332" s="219" t="e">
        <f>CC67/-CC68</f>
        <v>#DIV/0!</v>
      </c>
      <c r="CD332" s="219" t="e">
        <f>CD67/-CD68</f>
        <v>#DIV/0!</v>
      </c>
      <c r="CF332" s="219" t="e">
        <f>CF67/-CF68</f>
        <v>#DIV/0!</v>
      </c>
      <c r="CG332" s="219" t="e">
        <f>CG67/-CG68</f>
        <v>#DIV/0!</v>
      </c>
      <c r="CH332" s="219" t="e">
        <f>CH67/-CH68</f>
        <v>#DIV/0!</v>
      </c>
      <c r="CI332" s="219" t="e">
        <f>CI67/-CI68</f>
        <v>#DIV/0!</v>
      </c>
      <c r="CK332" s="219" t="e">
        <f>CK67/-CK68</f>
        <v>#DIV/0!</v>
      </c>
      <c r="CL332" s="219" t="e">
        <f>CL67/-CL68</f>
        <v>#DIV/0!</v>
      </c>
      <c r="CM332" s="219" t="e">
        <f>CM67/-CM68</f>
        <v>#DIV/0!</v>
      </c>
      <c r="CN332" s="219" t="e">
        <f>CN67/-CN68</f>
        <v>#DIV/0!</v>
      </c>
      <c r="CP332" s="219" t="e">
        <f>CP67/-CP68</f>
        <v>#DIV/0!</v>
      </c>
      <c r="CQ332" s="219" t="e">
        <f>CQ67/-CQ68</f>
        <v>#DIV/0!</v>
      </c>
      <c r="CR332" s="219" t="e">
        <f>CR67/-CR68</f>
        <v>#DIV/0!</v>
      </c>
      <c r="CS332" s="219" t="e">
        <f>CS67/-CS68</f>
        <v>#DIV/0!</v>
      </c>
      <c r="CU332" s="219" t="e">
        <f>CU67/-CU68</f>
        <v>#DIV/0!</v>
      </c>
      <c r="CV332" s="219" t="e">
        <f>CV67/-CV68</f>
        <v>#DIV/0!</v>
      </c>
      <c r="CW332" s="219" t="e">
        <f>CW67/-CW68</f>
        <v>#DIV/0!</v>
      </c>
      <c r="CX332" s="219" t="e">
        <f>CX67/-CX68</f>
        <v>#DIV/0!</v>
      </c>
    </row>
    <row r="333" customFormat="1" s="233">
      <c r="A333" s="224" t="n"/>
      <c r="B333" s="224" t="n"/>
    </row>
    <row r="334" customFormat="1" s="233">
      <c r="A334" s="224" t="n"/>
      <c r="B334" s="224" t="n"/>
      <c r="C334" s="234" t="inlineStr">
        <is>
          <t>INTERNAL LIQUIDITY</t>
        </is>
      </c>
    </row>
    <row r="335" customFormat="1" s="233">
      <c r="A335" s="224" t="n"/>
      <c r="B335" s="224" t="n"/>
      <c r="C335" s="233" t="inlineStr">
        <is>
          <t>CURRENT RATIO</t>
        </is>
      </c>
      <c r="D335" s="219">
        <f>SUM(D138,D139,D143,D147,D148,D149)/SUM(D192,D196,D198,D199)</f>
        <v>0.876662765421114</v>
      </c>
      <c r="E335" s="219">
        <f>SUM(E138,E139,E143,E147,E148,E149)/SUM(E192,E196,E198,E199)</f>
        <v>1.20160378670223</v>
      </c>
      <c r="F335" s="219">
        <f>SUM(F138,F139,F143,F147,F148,F149)/SUM(F192,F196,F198,F199)</f>
        <v>1.32071409159712</v>
      </c>
      <c r="G335" s="219">
        <f>SUM(G138,G139,G143,G147,G148,G149)/SUM(G192,G196,G198,G199)</f>
        <v>1.33612157942881</v>
      </c>
      <c r="I335" s="219">
        <f>SUM(I138,I139,I143,I147,I148,I149)/SUM(I192,I196,I198,I199)</f>
        <v>1.39164712235277</v>
      </c>
      <c r="J335" s="219">
        <f>SUM(J138,J139,J143,J147,J148,J149)/SUM(J192,J196,J198,J199)</f>
        <v>1.34631330462477</v>
      </c>
      <c r="K335" s="219">
        <f>SUM(K138,K139,K143,K147,K148,K149)/SUM(K192,K196,K198,K199)</f>
        <v>1.28109902169768</v>
      </c>
      <c r="L335" s="219">
        <f>SUM(L138,L139,L143,L147,L148,L149)/SUM(L192,L196,L198,L199)</f>
        <v>1.03603502978441</v>
      </c>
      <c r="N335" s="219">
        <f>SUM(N138,N139,N143,N147,N148,N149)/SUM(N192,N196,N198,N199)</f>
        <v>1.04630167025511</v>
      </c>
      <c r="O335" s="219">
        <f>SUM(O138,O139,O143,O147,O148,O149)/SUM(O192,O196,O198,O199)</f>
        <v>1.04543400006027</v>
      </c>
      <c r="P335" s="219">
        <f>SUM(P138,P139,P143,P147,P148,P149)/SUM(P192,P196,P198,P199)</f>
        <v>1.13533212532082</v>
      </c>
      <c r="Q335" s="219">
        <f>SUM(Q138,Q139,Q143,Q147,Q148,Q149)/SUM(Q192,Q196,Q198,Q199)</f>
        <v>1.16839028850681</v>
      </c>
      <c r="S335" s="219">
        <f>SUM(S138,S139,S143,S147,S148,S149)/SUM(S192,S196,S198,S199)</f>
        <v>1.32408060370041</v>
      </c>
      <c r="T335" s="219">
        <f>SUM(T138,T139,T143,T147,T148,T149)/SUM(T192,T196,T198,T199)</f>
        <v>1.39025554291724</v>
      </c>
      <c r="U335" s="219">
        <f>SUM(U138,U139,U143,U147,U148,U149)/SUM(U192,U196,U198,U199)</f>
        <v>1.35776959213533</v>
      </c>
      <c r="V335" s="219">
        <f>SUM(V138,V139,V143,V147,V148,V149)/SUM(V192,V196,V198,V199)</f>
        <v>1.17224377190319</v>
      </c>
      <c r="X335" s="219">
        <f>SUM(X138,X139,X143,X147,X148,X149)/SUM(X192,X196,X198,X199)</f>
        <v>1.16854942728044</v>
      </c>
      <c r="Y335" s="219">
        <f>SUM(Y138,Y139,Y143,Y147,Y148,Y149)/SUM(Y192,Y196,Y198,Y199)</f>
        <v>1.15294981101823</v>
      </c>
      <c r="Z335" s="219">
        <f>SUM(Z138,Z139,Z143,Z147,Z148,Z149)/SUM(Z192,Z196,Z198,Z199)</f>
        <v>1.36485512668889</v>
      </c>
      <c r="AA335" s="219">
        <f>SUM(AA138,AA139,AA143,AA147,AA148,AA149)/SUM(AA192,AA196,AA198,AA199)</f>
        <v>1.46031171514</v>
      </c>
      <c r="AC335" s="219">
        <f>SUM(AC138,AC139,AC143,AC147,AC148,AC149)/SUM(AC192,AC196,AC198,AC199)</f>
        <v>1.34260507552362</v>
      </c>
      <c r="AD335" s="219">
        <f>SUM(AD138,AD139,AD143,AD147,AD148,AD149)/SUM(AD192,AD196,AD198,AD199)</f>
        <v>1.34116044634874</v>
      </c>
      <c r="AE335" s="219">
        <f>SUM(AE138,AE139,AE143,AE147,AE148,AE149)/SUM(AE192,AE196,AE198,AE199)</f>
        <v>1.33201015345578</v>
      </c>
      <c r="AF335" s="219">
        <f>SUM(AF138,AF139,AF143,AF147,AF148,AF149)/SUM(AF192,AF196,AF198,AF199)</f>
        <v>1.3043584669104</v>
      </c>
      <c r="AH335" s="219">
        <f>SUM(AH138,AH139,AH143,AH147,AH148,AH149)/SUM(AH192,AH196,AH198,AH199)</f>
        <v>1.53345125347264</v>
      </c>
      <c r="AI335" s="219">
        <f>SUM(AI138,AI139,AI143,AI147,AI148,AI149)/SUM(AI192,AI196,AI198,AI199)</f>
        <v>1.43540586915121</v>
      </c>
      <c r="AJ335" s="219">
        <f>SUM(AJ138,AJ139,AJ143,AJ147,AJ148,AJ149)/SUM(AJ192,AJ196,AJ198,AJ199)</f>
        <v>2.24547252831844</v>
      </c>
      <c r="AK335" s="219">
        <f>SUM(AK138,AK139,AK143,AK147,AK148,AK149)/SUM(AK192,AK196,AK198,AK199)</f>
        <v>2.25459350301149</v>
      </c>
      <c r="AM335" s="219" t="e">
        <f>SUM(AM138,AM139,AM143,AM147,AM148,AM149)/SUM(AM192,AM196,AM198,AM199)</f>
        <v>#DIV/0!</v>
      </c>
      <c r="AN335" s="219" t="e">
        <f>SUM(AN138,AN139,AN143,AN147,AN148,AN149)/SUM(AN192,AN196,AN198,AN199)</f>
        <v>#DIV/0!</v>
      </c>
      <c r="AO335" s="219" t="e">
        <f>SUM(AO138,AO139,AO143,AO147,AO148,AO149)/SUM(AO192,AO196,AO198,AO199)</f>
        <v>#DIV/0!</v>
      </c>
      <c r="AP335" s="219" t="e">
        <f>SUM(AP138,AP139,AP143,AP147,AP148,AP149)/SUM(AP192,AP196,AP198,AP199)</f>
        <v>#DIV/0!</v>
      </c>
      <c r="AR335" s="219" t="e">
        <f>SUM(AR138,AR139,AR143,AR147,AR148,AR149)/SUM(AR192,AR196,AR198,AR199)</f>
        <v>#DIV/0!</v>
      </c>
      <c r="AS335" s="219" t="e">
        <f>SUM(AS138,AS139,AS143,AS147,AS148,AS149)/SUM(AS192,AS196,AS198,AS199)</f>
        <v>#DIV/0!</v>
      </c>
      <c r="AT335" s="219" t="e">
        <f>SUM(AT138,AT139,AT143,AT147,AT148,AT149)/SUM(AT192,AT196,AT198,AT199)</f>
        <v>#DIV/0!</v>
      </c>
      <c r="AU335" s="219" t="e">
        <f>SUM(AU138,AU139,AU143,AU147,AU148,AU149)/SUM(AU192,AU196,AU198,AU199)</f>
        <v>#DIV/0!</v>
      </c>
      <c r="AW335" s="219" t="e">
        <f>SUM(AW138,AW139,AW143,AW147,AW148,AW149)/SUM(AW192,AW196,AW198,AW199)</f>
        <v>#DIV/0!</v>
      </c>
      <c r="AX335" s="219" t="e">
        <f>SUM(AX138,AX139,AX143,AX147,AX148,AX149)/SUM(AX192,AX196,AX198,AX199)</f>
        <v>#DIV/0!</v>
      </c>
      <c r="AY335" s="219" t="e">
        <f>SUM(AY138,AY139,AY143,AY147,AY148,AY149)/SUM(AY192,AY196,AY198,AY199)</f>
        <v>#DIV/0!</v>
      </c>
      <c r="AZ335" s="219" t="e">
        <f>SUM(AZ138,AZ139,AZ143,AZ147,AZ148,AZ149)/SUM(AZ192,AZ196,AZ198,AZ199)</f>
        <v>#DIV/0!</v>
      </c>
      <c r="BB335" s="219" t="e">
        <f>SUM(BB138,BB139,BB143,BB147,BB148,BB149)/SUM(BB192,BB196,BB198,BB199)</f>
        <v>#DIV/0!</v>
      </c>
      <c r="BC335" s="219" t="e">
        <f>SUM(BC138,BC139,BC143,BC147,BC148,BC149)/SUM(BC192,BC196,BC198,BC199)</f>
        <v>#DIV/0!</v>
      </c>
      <c r="BD335" s="219" t="e">
        <f>SUM(BD138,BD139,BD143,BD147,BD148,BD149)/SUM(BD192,BD196,BD198,BD199)</f>
        <v>#DIV/0!</v>
      </c>
      <c r="BE335" s="219" t="e">
        <f>SUM(BE138,BE139,BE143,BE147,BE148,BE149)/SUM(BE192,BE196,BE198,BE199)</f>
        <v>#DIV/0!</v>
      </c>
      <c r="BG335" s="219" t="e">
        <f>SUM(BG138,BG139,BG143,BG147,BG148,BG149)/SUM(BG192,BG196,BG198,BG199)</f>
        <v>#DIV/0!</v>
      </c>
      <c r="BH335" s="219" t="e">
        <f>SUM(BH138,BH139,BH143,BH147,BH148,BH149)/SUM(BH192,BH196,BH198,BH199)</f>
        <v>#DIV/0!</v>
      </c>
      <c r="BI335" s="219" t="e">
        <f>SUM(BI138,BI139,BI143,BI147,BI148,BI149)/SUM(BI192,BI196,BI198,BI199)</f>
        <v>#DIV/0!</v>
      </c>
      <c r="BJ335" s="219" t="e">
        <f>SUM(BJ138,BJ139,BJ143,BJ147,BJ148,BJ149)/SUM(BJ192,BJ196,BJ198,BJ199)</f>
        <v>#DIV/0!</v>
      </c>
      <c r="BL335" s="219" t="e">
        <f>SUM(BL138,BL139,BL143,BL147,BL148,BL149)/SUM(BL192,BL196,BL198,BL199)</f>
        <v>#DIV/0!</v>
      </c>
      <c r="BM335" s="219" t="e">
        <f>SUM(BM138,BM139,BM143,BM147,BM148,BM149)/SUM(BM192,BM196,BM198,BM199)</f>
        <v>#DIV/0!</v>
      </c>
      <c r="BN335" s="219" t="e">
        <f>SUM(BN138,BN139,BN143,BN147,BN148,BN149)/SUM(BN192,BN196,BN198,BN199)</f>
        <v>#DIV/0!</v>
      </c>
      <c r="BO335" s="219" t="e">
        <f>SUM(BO138,BO139,BO143,BO147,BO148,BO149)/SUM(BO192,BO196,BO198,BO199)</f>
        <v>#DIV/0!</v>
      </c>
      <c r="BQ335" s="219" t="e">
        <f>SUM(BQ138,BQ139,BQ143,BQ147,BQ148,BQ149)/SUM(BQ192,BQ196,BQ198,BQ199)</f>
        <v>#DIV/0!</v>
      </c>
      <c r="BR335" s="219" t="e">
        <f>SUM(BR138,BR139,BR143,BR147,BR148,BR149)/SUM(BR192,BR196,BR198,BR199)</f>
        <v>#DIV/0!</v>
      </c>
      <c r="BS335" s="219" t="e">
        <f>SUM(BS138,BS139,BS143,BS147,BS148,BS149)/SUM(BS192,BS196,BS198,BS199)</f>
        <v>#DIV/0!</v>
      </c>
      <c r="BT335" s="219" t="e">
        <f>SUM(BT138,BT139,BT143,BT147,BT148,BT149)/SUM(BT192,BT196,BT198,BT199)</f>
        <v>#DIV/0!</v>
      </c>
      <c r="BV335" s="219" t="e">
        <f>SUM(BV138,BV139,BV143,BV147,BV148,BV149)/SUM(BV192,BV196,BV198,BV199)</f>
        <v>#DIV/0!</v>
      </c>
      <c r="BW335" s="219" t="e">
        <f>SUM(BW138,BW139,BW143,BW147,BW148,BW149)/SUM(BW192,BW196,BW198,BW199)</f>
        <v>#DIV/0!</v>
      </c>
      <c r="BX335" s="219" t="e">
        <f>SUM(BX138,BX139,BX143,BX147,BX148,BX149)/SUM(BX192,BX196,BX198,BX199)</f>
        <v>#DIV/0!</v>
      </c>
      <c r="BY335" s="219" t="e">
        <f>SUM(BY138,BY139,BY143,BY147,BY148,BY149)/SUM(BY192,BY196,BY198,BY199)</f>
        <v>#DIV/0!</v>
      </c>
      <c r="CA335" s="219" t="e">
        <f>SUM(CA138,CA139,CA143,CA147,CA148,CA149)/SUM(CA192,CA196,CA198,CA199)</f>
        <v>#DIV/0!</v>
      </c>
      <c r="CB335" s="219" t="e">
        <f>SUM(CB138,CB139,CB143,CB147,CB148,CB149)/SUM(CB192,CB196,CB198,CB199)</f>
        <v>#DIV/0!</v>
      </c>
      <c r="CC335" s="219" t="e">
        <f>SUM(CC138,CC139,CC143,CC147,CC148,CC149)/SUM(CC192,CC196,CC198,CC199)</f>
        <v>#DIV/0!</v>
      </c>
      <c r="CD335" s="219" t="e">
        <f>SUM(CD138,CD139,CD143,CD147,CD148,CD149)/SUM(CD192,CD196,CD198,CD199)</f>
        <v>#DIV/0!</v>
      </c>
      <c r="CF335" s="219" t="e">
        <f>SUM(CF138,CF139,CF143,CF147,CF148,CF149)/SUM(CF192,CF196,CF198,CF199)</f>
        <v>#DIV/0!</v>
      </c>
      <c r="CG335" s="219" t="e">
        <f>SUM(CG138,CG139,CG143,CG147,CG148,CG149)/SUM(CG192,CG196,CG198,CG199)</f>
        <v>#DIV/0!</v>
      </c>
      <c r="CH335" s="219" t="e">
        <f>SUM(CH138,CH139,CH143,CH147,CH148,CH149)/SUM(CH192,CH196,CH198,CH199)</f>
        <v>#DIV/0!</v>
      </c>
      <c r="CI335" s="219" t="e">
        <f>SUM(CI138,CI139,CI143,CI147,CI148,CI149)/SUM(CI192,CI196,CI198,CI199)</f>
        <v>#DIV/0!</v>
      </c>
      <c r="CK335" s="219" t="e">
        <f>SUM(CK138,CK139,CK143,CK147,CK148,CK149)/SUM(CK192,CK196,CK198,CK199)</f>
        <v>#DIV/0!</v>
      </c>
      <c r="CL335" s="219" t="e">
        <f>SUM(CL138,CL139,CL143,CL147,CL148,CL149)/SUM(CL192,CL196,CL198,CL199)</f>
        <v>#DIV/0!</v>
      </c>
      <c r="CM335" s="219" t="e">
        <f>SUM(CM138,CM139,CM143,CM147,CM148,CM149)/SUM(CM192,CM196,CM198,CM199)</f>
        <v>#DIV/0!</v>
      </c>
      <c r="CN335" s="219" t="e">
        <f>SUM(CN138,CN139,CN143,CN147,CN148,CN149)/SUM(CN192,CN196,CN198,CN199)</f>
        <v>#DIV/0!</v>
      </c>
      <c r="CP335" s="219" t="e">
        <f>SUM(CP138,CP139,CP143,CP147,CP148,CP149)/SUM(CP192,CP196,CP198,CP199)</f>
        <v>#DIV/0!</v>
      </c>
      <c r="CQ335" s="219" t="e">
        <f>SUM(CQ138,CQ139,CQ143,CQ147,CQ148,CQ149)/SUM(CQ192,CQ196,CQ198,CQ199)</f>
        <v>#DIV/0!</v>
      </c>
      <c r="CR335" s="219" t="e">
        <f>SUM(CR138,CR139,CR143,CR147,CR148,CR149)/SUM(CR192,CR196,CR198,CR199)</f>
        <v>#DIV/0!</v>
      </c>
      <c r="CS335" s="219" t="e">
        <f>SUM(CS138,CS139,CS143,CS147,CS148,CS149)/SUM(CS192,CS196,CS198,CS199)</f>
        <v>#DIV/0!</v>
      </c>
      <c r="CU335" s="219" t="e">
        <f>SUM(CU138,CU139,CU143,CU147,CU148,CU149)/SUM(CU192,CU196,CU198,CU199)</f>
        <v>#DIV/0!</v>
      </c>
      <c r="CV335" s="219" t="e">
        <f>SUM(CV138,CV139,CV143,CV147,CV148,CV149)/SUM(CV192,CV196,CV198,CV199)</f>
        <v>#DIV/0!</v>
      </c>
      <c r="CW335" s="219" t="e">
        <f>SUM(CW138,CW139,CW143,CW147,CW148,CW149)/SUM(CW192,CW196,CW198,CW199)</f>
        <v>#DIV/0!</v>
      </c>
      <c r="CX335" s="219" t="e">
        <f>SUM(CX138,CX139,CX143,CX147,CX148,CX149)/SUM(CX192,CX196,CX198,CX199)</f>
        <v>#DIV/0!</v>
      </c>
    </row>
    <row r="336" customFormat="1" s="233">
      <c r="A336" s="224" t="n"/>
      <c r="B336" s="224" t="n"/>
      <c r="C336" s="233" t="inlineStr">
        <is>
          <t>CASH RATIO</t>
        </is>
      </c>
      <c r="D336" s="219">
        <f>SUM(D138)/SUM(D192,D196,D198,D199)</f>
        <v>0.700468095080896</v>
      </c>
      <c r="E336" s="219">
        <f>SUM(E138)/SUM(E192,E196,E198,E199)</f>
        <v>1.00364670447551</v>
      </c>
      <c r="F336" s="219">
        <f>SUM(F138)/SUM(F192,F196,F198,F199)</f>
        <v>1.12796739584193</v>
      </c>
      <c r="G336" s="219">
        <f>SUM(G138)/SUM(G192,G196,G198,G199)</f>
        <v>1.12313912564176</v>
      </c>
      <c r="I336" s="219">
        <f>SUM(I138)/SUM(I192,I196,I198,I199)</f>
        <v>1.15705986879769</v>
      </c>
      <c r="J336" s="219">
        <f>SUM(J138)/SUM(J192,J196,J198,J199)</f>
        <v>1.09024273314493</v>
      </c>
      <c r="K336" s="219">
        <f>SUM(K138)/SUM(K192,K196,K198,K199)</f>
        <v>1.0240698590283</v>
      </c>
      <c r="L336" s="219">
        <f>SUM(L138)/SUM(L192,L196,L198,L199)</f>
        <v>0.773872555684239</v>
      </c>
      <c r="N336" s="219">
        <f>SUM(N138)/SUM(N192,N196,N198,N199)</f>
        <v>0.776384118363917</v>
      </c>
      <c r="O336" s="219">
        <f>SUM(O138)/SUM(O192,O196,O198,O199)</f>
        <v>0.775924257288845</v>
      </c>
      <c r="P336" s="219">
        <f>SUM(P138)/SUM(P192,P196,P198,P199)</f>
        <v>0.787251201531202</v>
      </c>
      <c r="Q336" s="219">
        <f>SUM(Q138)/SUM(Q192,Q196,Q198,Q199)</f>
        <v>0.763897599462563</v>
      </c>
      <c r="S336" s="219">
        <f>SUM(S138)/SUM(S192,S196,S198,S199)</f>
        <v>0.988707332295302</v>
      </c>
      <c r="T336" s="219">
        <f>SUM(T138)/SUM(T192,T196,T198,T199)</f>
        <v>1.03631655626867</v>
      </c>
      <c r="U336" s="219">
        <f>SUM(U138)/SUM(U192,U196,U198,U199)</f>
        <v>0.990974044426172</v>
      </c>
      <c r="V336" s="219">
        <f>SUM(V138)/SUM(V192,V196,V198,V199)</f>
        <v>0.843640875561456</v>
      </c>
      <c r="X336" s="219">
        <f>SUM(X138)/SUM(X192,X196,X198,X199)</f>
        <v>0.829859341522383</v>
      </c>
      <c r="Y336" s="219">
        <f>SUM(Y138)/SUM(Y192,Y196,Y198,Y199)</f>
        <v>0.798075002296175</v>
      </c>
      <c r="Z336" s="219">
        <f>SUM(Z138)/SUM(Z192,Z196,Z198,Z199)</f>
        <v>1.0379438781194</v>
      </c>
      <c r="AA336" s="219">
        <f>SUM(AA138)/SUM(AA192,AA196,AA198,AA199)</f>
        <v>1.06830850745189</v>
      </c>
      <c r="AC336" s="219">
        <f>SUM(AC138)/SUM(AC192,AC196,AC198,AC199)</f>
        <v>0.960787077346723</v>
      </c>
      <c r="AD336" s="219">
        <f>SUM(AD138)/SUM(AD192,AD196,AD198,AD199)</f>
        <v>0.938291844356088</v>
      </c>
      <c r="AE336" s="219">
        <f>SUM(AE138)/SUM(AE192,AE196,AE198,AE199)</f>
        <v>0.958130609989315</v>
      </c>
      <c r="AF336" s="219">
        <f>SUM(AF138)/SUM(AF192,AF196,AF198,AF199)</f>
        <v>0.907864154360846</v>
      </c>
      <c r="AH336" s="219">
        <f>SUM(AH138)/SUM(AH192,AH196,AH198,AH199)</f>
        <v>1.103846226054</v>
      </c>
      <c r="AI336" s="219">
        <f>SUM(AI138)/SUM(AI192,AI196,AI198,AI199)</f>
        <v>0.945785679204736</v>
      </c>
      <c r="AJ336" s="219">
        <f>SUM(AJ138)/SUM(AJ192,AJ196,AJ198,AJ199)</f>
        <v>1.41118380050205</v>
      </c>
      <c r="AK336" s="219">
        <f>SUM(AK138)/SUM(AK192,AK196,AK198,AK199)</f>
        <v>1.4203047751951</v>
      </c>
      <c r="AM336" s="219" t="e">
        <f>SUM(AM138)/SUM(AM192,AM196,AM198,AM199)</f>
        <v>#DIV/0!</v>
      </c>
      <c r="AN336" s="219" t="e">
        <f>SUM(AN138)/SUM(AN192,AN196,AN198,AN199)</f>
        <v>#DIV/0!</v>
      </c>
      <c r="AO336" s="219" t="e">
        <f>SUM(AO138)/SUM(AO192,AO196,AO198,AO199)</f>
        <v>#DIV/0!</v>
      </c>
      <c r="AP336" s="219" t="e">
        <f>SUM(AP138)/SUM(AP192,AP196,AP198,AP199)</f>
        <v>#DIV/0!</v>
      </c>
      <c r="AR336" s="219" t="e">
        <f>SUM(AR138)/SUM(AR192,AR196,AR198,AR199)</f>
        <v>#DIV/0!</v>
      </c>
      <c r="AS336" s="219" t="e">
        <f>SUM(AS138)/SUM(AS192,AS196,AS198,AS199)</f>
        <v>#DIV/0!</v>
      </c>
      <c r="AT336" s="219" t="e">
        <f>SUM(AT138)/SUM(AT192,AT196,AT198,AT199)</f>
        <v>#DIV/0!</v>
      </c>
      <c r="AU336" s="219" t="e">
        <f>SUM(AU138)/SUM(AU192,AU196,AU198,AU199)</f>
        <v>#DIV/0!</v>
      </c>
      <c r="AW336" s="219" t="e">
        <f>SUM(AW138)/SUM(AW192,AW196,AW198,AW199)</f>
        <v>#DIV/0!</v>
      </c>
      <c r="AX336" s="219" t="e">
        <f>SUM(AX138)/SUM(AX192,AX196,AX198,AX199)</f>
        <v>#DIV/0!</v>
      </c>
      <c r="AY336" s="219" t="e">
        <f>SUM(AY138)/SUM(AY192,AY196,AY198,AY199)</f>
        <v>#DIV/0!</v>
      </c>
      <c r="AZ336" s="219" t="e">
        <f>SUM(AZ138)/SUM(AZ192,AZ196,AZ198,AZ199)</f>
        <v>#DIV/0!</v>
      </c>
      <c r="BB336" s="219" t="e">
        <f>SUM(BB138)/SUM(BB192,BB196,BB198,BB199)</f>
        <v>#DIV/0!</v>
      </c>
      <c r="BC336" s="219" t="e">
        <f>SUM(BC138)/SUM(BC192,BC196,BC198,BC199)</f>
        <v>#DIV/0!</v>
      </c>
      <c r="BD336" s="219" t="e">
        <f>SUM(BD138)/SUM(BD192,BD196,BD198,BD199)</f>
        <v>#DIV/0!</v>
      </c>
      <c r="BE336" s="219" t="e">
        <f>SUM(BE138)/SUM(BE192,BE196,BE198,BE199)</f>
        <v>#DIV/0!</v>
      </c>
      <c r="BG336" s="219" t="e">
        <f>SUM(BG138)/SUM(BG192,BG196,BG198,BG199)</f>
        <v>#DIV/0!</v>
      </c>
      <c r="BH336" s="219" t="e">
        <f>SUM(BH138)/SUM(BH192,BH196,BH198,BH199)</f>
        <v>#DIV/0!</v>
      </c>
      <c r="BI336" s="219" t="e">
        <f>SUM(BI138)/SUM(BI192,BI196,BI198,BI199)</f>
        <v>#DIV/0!</v>
      </c>
      <c r="BJ336" s="219" t="e">
        <f>SUM(BJ138)/SUM(BJ192,BJ196,BJ198,BJ199)</f>
        <v>#DIV/0!</v>
      </c>
      <c r="BL336" s="219" t="e">
        <f>SUM(BL138)/SUM(BL192,BL196,BL198,BL199)</f>
        <v>#DIV/0!</v>
      </c>
      <c r="BM336" s="219" t="e">
        <f>SUM(BM138)/SUM(BM192,BM196,BM198,BM199)</f>
        <v>#DIV/0!</v>
      </c>
      <c r="BN336" s="219" t="e">
        <f>SUM(BN138)/SUM(BN192,BN196,BN198,BN199)</f>
        <v>#DIV/0!</v>
      </c>
      <c r="BO336" s="219" t="e">
        <f>SUM(BO138)/SUM(BO192,BO196,BO198,BO199)</f>
        <v>#DIV/0!</v>
      </c>
      <c r="BQ336" s="219" t="e">
        <f>SUM(BQ138)/SUM(BQ192,BQ196,BQ198,BQ199)</f>
        <v>#DIV/0!</v>
      </c>
      <c r="BR336" s="219" t="e">
        <f>SUM(BR138)/SUM(BR192,BR196,BR198,BR199)</f>
        <v>#DIV/0!</v>
      </c>
      <c r="BS336" s="219" t="e">
        <f>SUM(BS138)/SUM(BS192,BS196,BS198,BS199)</f>
        <v>#DIV/0!</v>
      </c>
      <c r="BT336" s="219" t="e">
        <f>SUM(BT138)/SUM(BT192,BT196,BT198,BT199)</f>
        <v>#DIV/0!</v>
      </c>
      <c r="BV336" s="219" t="e">
        <f>SUM(BV138)/SUM(BV192,BV196,BV198,BV199)</f>
        <v>#DIV/0!</v>
      </c>
      <c r="BW336" s="219" t="e">
        <f>SUM(BW138)/SUM(BW192,BW196,BW198,BW199)</f>
        <v>#DIV/0!</v>
      </c>
      <c r="BX336" s="219" t="e">
        <f>SUM(BX138)/SUM(BX192,BX196,BX198,BX199)</f>
        <v>#DIV/0!</v>
      </c>
      <c r="BY336" s="219" t="e">
        <f>SUM(BY138)/SUM(BY192,BY196,BY198,BY199)</f>
        <v>#DIV/0!</v>
      </c>
      <c r="CA336" s="219" t="e">
        <f>SUM(CA138)/SUM(CA192,CA196,CA198,CA199)</f>
        <v>#DIV/0!</v>
      </c>
      <c r="CB336" s="219" t="e">
        <f>SUM(CB138)/SUM(CB192,CB196,CB198,CB199)</f>
        <v>#DIV/0!</v>
      </c>
      <c r="CC336" s="219" t="e">
        <f>SUM(CC138)/SUM(CC192,CC196,CC198,CC199)</f>
        <v>#DIV/0!</v>
      </c>
      <c r="CD336" s="219" t="e">
        <f>SUM(CD138)/SUM(CD192,CD196,CD198,CD199)</f>
        <v>#DIV/0!</v>
      </c>
      <c r="CF336" s="219" t="e">
        <f>SUM(CF138)/SUM(CF192,CF196,CF198,CF199)</f>
        <v>#DIV/0!</v>
      </c>
      <c r="CG336" s="219" t="e">
        <f>SUM(CG138)/SUM(CG192,CG196,CG198,CG199)</f>
        <v>#DIV/0!</v>
      </c>
      <c r="CH336" s="219" t="e">
        <f>SUM(CH138)/SUM(CH192,CH196,CH198,CH199)</f>
        <v>#DIV/0!</v>
      </c>
      <c r="CI336" s="219" t="e">
        <f>SUM(CI138)/SUM(CI192,CI196,CI198,CI199)</f>
        <v>#DIV/0!</v>
      </c>
      <c r="CK336" s="219" t="e">
        <f>SUM(CK138)/SUM(CK192,CK196,CK198,CK199)</f>
        <v>#DIV/0!</v>
      </c>
      <c r="CL336" s="219" t="e">
        <f>SUM(CL138)/SUM(CL192,CL196,CL198,CL199)</f>
        <v>#DIV/0!</v>
      </c>
      <c r="CM336" s="219" t="e">
        <f>SUM(CM138)/SUM(CM192,CM196,CM198,CM199)</f>
        <v>#DIV/0!</v>
      </c>
      <c r="CN336" s="219" t="e">
        <f>SUM(CN138)/SUM(CN192,CN196,CN198,CN199)</f>
        <v>#DIV/0!</v>
      </c>
      <c r="CP336" s="219" t="e">
        <f>SUM(CP138)/SUM(CP192,CP196,CP198,CP199)</f>
        <v>#DIV/0!</v>
      </c>
      <c r="CQ336" s="219" t="e">
        <f>SUM(CQ138)/SUM(CQ192,CQ196,CQ198,CQ199)</f>
        <v>#DIV/0!</v>
      </c>
      <c r="CR336" s="219" t="e">
        <f>SUM(CR138)/SUM(CR192,CR196,CR198,CR199)</f>
        <v>#DIV/0!</v>
      </c>
      <c r="CS336" s="219" t="e">
        <f>SUM(CS138)/SUM(CS192,CS196,CS198,CS199)</f>
        <v>#DIV/0!</v>
      </c>
      <c r="CU336" s="219" t="e">
        <f>SUM(CU138)/SUM(CU192,CU196,CU198,CU199)</f>
        <v>#DIV/0!</v>
      </c>
      <c r="CV336" s="219" t="e">
        <f>SUM(CV138)/SUM(CV192,CV196,CV198,CV199)</f>
        <v>#DIV/0!</v>
      </c>
      <c r="CW336" s="219" t="e">
        <f>SUM(CW138)/SUM(CW192,CW196,CW198,CW199)</f>
        <v>#DIV/0!</v>
      </c>
      <c r="CX336" s="219" t="e">
        <f>SUM(CX138)/SUM(CX192,CX196,CX198,CX199)</f>
        <v>#DIV/0!</v>
      </c>
    </row>
    <row r="337" customFormat="1" s="233">
      <c r="A337" s="224" t="n"/>
      <c r="B337" s="224" t="n"/>
    </row>
    <row r="338" customFormat="1" s="233">
      <c r="A338" s="224" t="n"/>
      <c r="B338" s="224" t="n"/>
      <c r="C338" s="234" t="inlineStr">
        <is>
          <t>OPERATING EFFICIENCY</t>
        </is>
      </c>
    </row>
    <row r="339" customFormat="1" s="238">
      <c r="A339" s="222" t="n"/>
      <c r="B339" s="222" t="n"/>
      <c r="C339" s="238" t="inlineStr">
        <is>
          <t>RETURN ON CAPITAL (ROIC)</t>
        </is>
      </c>
      <c r="D339" s="238">
        <f>D341/D344</f>
        <v>0.0476234905954882</v>
      </c>
      <c r="E339" s="238">
        <f>E341/E344</f>
        <v>0.0525351076112521</v>
      </c>
      <c r="F339" s="238">
        <f>F341/F344</f>
        <v>0.0670308670312839</v>
      </c>
      <c r="G339" s="238">
        <f>G341/G344</f>
        <v>0.0532945375083672</v>
      </c>
      <c r="H339" s="238">
        <f>H341/H344</f>
        <v>0.206462797608033</v>
      </c>
      <c r="I339" s="222">
        <f>I341/I344</f>
        <v>0.0820418616045537</v>
      </c>
      <c r="J339" s="222">
        <f>J341/J344</f>
        <v>0.0722402363891231</v>
      </c>
      <c r="K339" s="222">
        <f>K341/K344</f>
        <v>0.0657759274714355</v>
      </c>
      <c r="L339" s="222">
        <f>L341/L344</f>
        <v>0.0276293848069634</v>
      </c>
      <c r="M339" s="222">
        <f>M341/M344</f>
        <v>0.215223001731699</v>
      </c>
      <c r="N339" s="222">
        <f>N341/N344</f>
        <v>0.06102644891282</v>
      </c>
      <c r="O339" s="222">
        <f>O341/O344</f>
        <v>0.0509716977957858</v>
      </c>
      <c r="P339" s="222">
        <f>P341/P344</f>
        <v>0.0466975969983902</v>
      </c>
      <c r="Q339" s="222">
        <f>Q341/Q344</f>
        <v>0.0265840324465783</v>
      </c>
      <c r="R339" s="222">
        <f>R341/R344</f>
        <v>0.165338432077199</v>
      </c>
      <c r="S339" s="222">
        <f>S341/S344</f>
        <v>0.0535624867961334</v>
      </c>
      <c r="T339" s="222">
        <f>T341/T344</f>
        <v>0.0563479476129204</v>
      </c>
      <c r="U339" s="222">
        <f>U341/U344</f>
        <v>0.0589994194971053</v>
      </c>
      <c r="V339" s="222">
        <f>V341/V344</f>
        <v>0.0436548311962876</v>
      </c>
      <c r="W339" s="222">
        <f>W341/W344</f>
        <v>0.216491327940782</v>
      </c>
      <c r="X339" s="222">
        <f>X341/X344</f>
        <v>0.0828717642080296</v>
      </c>
      <c r="Y339" s="222">
        <f>Y341/Y344</f>
        <v>0.0755282177840162</v>
      </c>
      <c r="Z339" s="222">
        <f>Z341/Z344</f>
        <v>0.0863045119712337</v>
      </c>
      <c r="AA339" s="222">
        <f>AA341/AA344</f>
        <v>0.0647265852786617</v>
      </c>
      <c r="AB339" s="222">
        <f>AB341/AB344</f>
        <v>0.296224347412815</v>
      </c>
      <c r="AC339" s="222">
        <f>AC341/AC344</f>
        <v>0.0981356706810874</v>
      </c>
      <c r="AD339" s="222">
        <f>AD341/AD344</f>
        <v>0.104740879016327</v>
      </c>
      <c r="AE339" s="222">
        <f>AE341/AE344</f>
        <v>0.0855712265433753</v>
      </c>
      <c r="AF339" s="222">
        <f>AF341/AF344</f>
        <v>0.0806974191652096</v>
      </c>
      <c r="AG339" s="222">
        <f>AG341/AG344</f>
        <v>0.359276217750629</v>
      </c>
      <c r="AH339" s="222">
        <f>AH341/AH344</f>
        <v>0.0961752006276873</v>
      </c>
      <c r="AI339" s="222">
        <f>AI341/AI344</f>
        <v>0.0992006323272617</v>
      </c>
      <c r="AJ339" s="222">
        <f>AJ341/AJ344</f>
        <v>0</v>
      </c>
      <c r="AK339" s="222">
        <f>AK341/AK344</f>
        <v>0</v>
      </c>
      <c r="AL339" s="222">
        <f>AL341/AL344</f>
        <v>0.177650120894365</v>
      </c>
      <c r="AM339" s="222" t="e">
        <f>AM341/AM344</f>
        <v>#DIV/0!</v>
      </c>
      <c r="AN339" s="222">
        <f>AN341/AN344</f>
        <v>0</v>
      </c>
      <c r="AO339" s="222" t="e">
        <f>AO341/AO344</f>
        <v>#DIV/0!</v>
      </c>
      <c r="AP339" s="222" t="e">
        <f>AP341/AP344</f>
        <v>#DIV/0!</v>
      </c>
      <c r="AQ339" s="222" t="e">
        <f>AQ341/AQ344</f>
        <v>#DIV/0!</v>
      </c>
      <c r="AR339" s="222" t="e">
        <f>AR341/AR344</f>
        <v>#DIV/0!</v>
      </c>
      <c r="AS339" s="222" t="e">
        <f>AS341/AS344</f>
        <v>#DIV/0!</v>
      </c>
      <c r="AT339" s="222" t="e">
        <f>AT341/AT344</f>
        <v>#DIV/0!</v>
      </c>
      <c r="AU339" s="222" t="e">
        <f>AU341/AU344</f>
        <v>#DIV/0!</v>
      </c>
      <c r="AV339" s="222" t="e">
        <f>AV341/AV344</f>
        <v>#DIV/0!</v>
      </c>
      <c r="AW339" s="222" t="e">
        <f>AW341/AW344</f>
        <v>#DIV/0!</v>
      </c>
      <c r="AX339" s="222" t="e">
        <f>AX341/AX344</f>
        <v>#DIV/0!</v>
      </c>
      <c r="AY339" s="222" t="e">
        <f>AY341/AY344</f>
        <v>#DIV/0!</v>
      </c>
      <c r="AZ339" s="222" t="e">
        <f>AZ341/AZ344</f>
        <v>#DIV/0!</v>
      </c>
      <c r="BA339" s="222" t="e">
        <f>BA341/BA344</f>
        <v>#DIV/0!</v>
      </c>
      <c r="BB339" s="222" t="e">
        <f>BB341/BB344</f>
        <v>#DIV/0!</v>
      </c>
      <c r="BC339" s="222" t="e">
        <f>BC341/BC344</f>
        <v>#DIV/0!</v>
      </c>
      <c r="BD339" s="222" t="e">
        <f>BD341/BD344</f>
        <v>#DIV/0!</v>
      </c>
      <c r="BE339" s="222" t="e">
        <f>BE341/BE344</f>
        <v>#DIV/0!</v>
      </c>
      <c r="BF339" s="222" t="e">
        <f>BF341/BF344</f>
        <v>#DIV/0!</v>
      </c>
      <c r="BG339" s="222" t="e">
        <f>BG341/BG344</f>
        <v>#DIV/0!</v>
      </c>
      <c r="BH339" s="222" t="e">
        <f>BH341/BH344</f>
        <v>#DIV/0!</v>
      </c>
      <c r="BI339" s="222" t="e">
        <f>BI341/BI344</f>
        <v>#DIV/0!</v>
      </c>
      <c r="BJ339" s="222" t="e">
        <f>BJ341/BJ344</f>
        <v>#DIV/0!</v>
      </c>
      <c r="BK339" s="222" t="e">
        <f>BK341/BK344</f>
        <v>#DIV/0!</v>
      </c>
      <c r="BL339" s="222" t="e">
        <f>BL341/BL344</f>
        <v>#DIV/0!</v>
      </c>
      <c r="BM339" s="222" t="e">
        <f>BM341/BM344</f>
        <v>#DIV/0!</v>
      </c>
      <c r="BN339" s="222" t="e">
        <f>BN341/BN344</f>
        <v>#DIV/0!</v>
      </c>
      <c r="BO339" s="222" t="e">
        <f>BO341/BO344</f>
        <v>#DIV/0!</v>
      </c>
      <c r="BP339" s="222" t="e">
        <f>BP341/BP344</f>
        <v>#DIV/0!</v>
      </c>
      <c r="BQ339" s="222" t="e">
        <f>BQ341/BQ344</f>
        <v>#DIV/0!</v>
      </c>
      <c r="BR339" s="222" t="e">
        <f>BR341/BR344</f>
        <v>#DIV/0!</v>
      </c>
      <c r="BS339" s="222" t="e">
        <f>BS341/BS344</f>
        <v>#DIV/0!</v>
      </c>
      <c r="BT339" s="222" t="e">
        <f>BT341/BT344</f>
        <v>#DIV/0!</v>
      </c>
      <c r="BU339" s="222" t="e">
        <f>BU341/BU344</f>
        <v>#DIV/0!</v>
      </c>
      <c r="BV339" s="222" t="e">
        <f>BV341/BV344</f>
        <v>#DIV/0!</v>
      </c>
      <c r="BW339" s="222" t="e">
        <f>BW341/BW344</f>
        <v>#DIV/0!</v>
      </c>
      <c r="BX339" s="222" t="e">
        <f>BX341/BX344</f>
        <v>#DIV/0!</v>
      </c>
      <c r="BY339" s="222" t="e">
        <f>BY341/BY344</f>
        <v>#DIV/0!</v>
      </c>
      <c r="BZ339" s="222" t="e">
        <f>BZ341/BZ344</f>
        <v>#DIV/0!</v>
      </c>
      <c r="CA339" s="222" t="e">
        <f>CA341/CA344</f>
        <v>#DIV/0!</v>
      </c>
      <c r="CB339" s="222" t="e">
        <f>CB341/CB344</f>
        <v>#DIV/0!</v>
      </c>
      <c r="CC339" s="222" t="e">
        <f>CC341/CC344</f>
        <v>#DIV/0!</v>
      </c>
      <c r="CD339" s="222" t="e">
        <f>CD341/CD344</f>
        <v>#DIV/0!</v>
      </c>
      <c r="CE339" s="222" t="e">
        <f>CE341/CE344</f>
        <v>#DIV/0!</v>
      </c>
      <c r="CF339" s="222" t="e">
        <f>CF341/CF344</f>
        <v>#DIV/0!</v>
      </c>
      <c r="CG339" s="222" t="e">
        <f>CG341/CG344</f>
        <v>#DIV/0!</v>
      </c>
      <c r="CH339" s="222" t="e">
        <f>CH341/CH344</f>
        <v>#DIV/0!</v>
      </c>
      <c r="CI339" s="222" t="e">
        <f>CI341/CI344</f>
        <v>#DIV/0!</v>
      </c>
      <c r="CJ339" s="222" t="e">
        <f>CJ341/CJ344</f>
        <v>#DIV/0!</v>
      </c>
      <c r="CK339" s="222" t="e">
        <f>CK341/CK344</f>
        <v>#DIV/0!</v>
      </c>
      <c r="CL339" s="222" t="e">
        <f>CL341/CL344</f>
        <v>#DIV/0!</v>
      </c>
      <c r="CM339" s="222" t="e">
        <f>CM341/CM344</f>
        <v>#DIV/0!</v>
      </c>
      <c r="CN339" s="222" t="e">
        <f>CN341/CN344</f>
        <v>#DIV/0!</v>
      </c>
      <c r="CO339" s="222" t="e">
        <f>CO341/CO344</f>
        <v>#DIV/0!</v>
      </c>
      <c r="CP339" s="222" t="e">
        <f>CP341/CP344</f>
        <v>#DIV/0!</v>
      </c>
      <c r="CQ339" s="222" t="e">
        <f>CQ341/CQ344</f>
        <v>#DIV/0!</v>
      </c>
      <c r="CR339" s="222" t="e">
        <f>CR341/CR344</f>
        <v>#DIV/0!</v>
      </c>
      <c r="CS339" s="222" t="e">
        <f>CS341/CS344</f>
        <v>#DIV/0!</v>
      </c>
      <c r="CT339" s="222" t="e">
        <f>CT341/CT344</f>
        <v>#DIV/0!</v>
      </c>
      <c r="CU339" s="222" t="e">
        <f>CU341/CU344</f>
        <v>#DIV/0!</v>
      </c>
      <c r="CV339" s="222" t="e">
        <f>CV341/CV344</f>
        <v>#DIV/0!</v>
      </c>
      <c r="CW339" s="222" t="e">
        <f>CW341/CW344</f>
        <v>#DIV/0!</v>
      </c>
      <c r="CX339" s="222" t="e">
        <f>CX341/CX344</f>
        <v>#DIV/0!</v>
      </c>
      <c r="CY339" s="222" t="e">
        <f>CY341/CY344</f>
        <v>#DIV/0!</v>
      </c>
    </row>
    <row r="340" customFormat="1" s="238">
      <c r="A340" s="222" t="n"/>
      <c r="B340" s="222" t="n"/>
      <c r="C340" s="238" t="inlineStr">
        <is>
          <t>RETURN ON CAPITAL (ROIC) - EX GOODWILL</t>
        </is>
      </c>
      <c r="D340" s="238">
        <f>D341/D345</f>
        <v>0.0476234905954882</v>
      </c>
      <c r="E340" s="238">
        <f>E341/E345</f>
        <v>0.0525351076112521</v>
      </c>
      <c r="F340" s="238">
        <f>F341/F345</f>
        <v>0.0670308670312839</v>
      </c>
      <c r="G340" s="238">
        <f>G341/G345</f>
        <v>0.0532945375083672</v>
      </c>
      <c r="H340" s="238">
        <f>H341/H345</f>
        <v>0.206462797608033</v>
      </c>
      <c r="I340" s="222">
        <f>I341/I345</f>
        <v>0.0820418616045537</v>
      </c>
      <c r="J340" s="222">
        <f>J341/J345</f>
        <v>0.0722402363891231</v>
      </c>
      <c r="K340" s="222">
        <f>K341/K345</f>
        <v>0.0657759274714355</v>
      </c>
      <c r="L340" s="222">
        <f>L341/L345</f>
        <v>0.0276293848069634</v>
      </c>
      <c r="M340" s="222">
        <f>M341/M345</f>
        <v>0.215223001731699</v>
      </c>
      <c r="N340" s="222">
        <f>N341/N345</f>
        <v>0.06102644891282</v>
      </c>
      <c r="O340" s="222">
        <f>O341/O345</f>
        <v>0.0509716977957858</v>
      </c>
      <c r="P340" s="222">
        <f>P341/P345</f>
        <v>0.0466975969983902</v>
      </c>
      <c r="Q340" s="222">
        <f>Q341/Q345</f>
        <v>0.0265840324465783</v>
      </c>
      <c r="R340" s="222">
        <f>R341/R345</f>
        <v>0.165338432077199</v>
      </c>
      <c r="S340" s="222">
        <f>S341/S345</f>
        <v>0.0535624867961334</v>
      </c>
      <c r="T340" s="222">
        <f>T341/T345</f>
        <v>0.0563479476129204</v>
      </c>
      <c r="U340" s="222">
        <f>U341/U345</f>
        <v>0.0589994194971053</v>
      </c>
      <c r="V340" s="222">
        <f>V341/V345</f>
        <v>0.0436548311962876</v>
      </c>
      <c r="W340" s="222">
        <f>W341/W345</f>
        <v>0.216491327940782</v>
      </c>
      <c r="X340" s="222">
        <f>X341/X345</f>
        <v>0.0828717642080296</v>
      </c>
      <c r="Y340" s="222">
        <f>Y341/Y345</f>
        <v>0.0755282177840162</v>
      </c>
      <c r="Z340" s="222">
        <f>Z341/Z345</f>
        <v>0.0863045119712337</v>
      </c>
      <c r="AA340" s="222">
        <f>AA341/AA345</f>
        <v>0.0647265852786617</v>
      </c>
      <c r="AB340" s="222">
        <f>AB341/AB345</f>
        <v>0.296224347412815</v>
      </c>
      <c r="AC340" s="222">
        <f>AC341/AC345</f>
        <v>0.0981356706810874</v>
      </c>
      <c r="AD340" s="222">
        <f>AD341/AD345</f>
        <v>0.104740879016327</v>
      </c>
      <c r="AE340" s="222">
        <f>AE341/AE345</f>
        <v>0.0855712265433753</v>
      </c>
      <c r="AF340" s="222">
        <f>AF341/AF345</f>
        <v>0.0806974191652096</v>
      </c>
      <c r="AG340" s="222">
        <f>AG341/AG345</f>
        <v>0.359276217750629</v>
      </c>
      <c r="AH340" s="222">
        <f>AH341/AH345</f>
        <v>0.0961752006276873</v>
      </c>
      <c r="AI340" s="222">
        <f>AI341/AI345</f>
        <v>0.0992006323272617</v>
      </c>
      <c r="AJ340" s="222">
        <f>AJ341/AJ345</f>
        <v>0</v>
      </c>
      <c r="AK340" s="222">
        <f>AK341/AK345</f>
        <v>0</v>
      </c>
      <c r="AL340" s="222">
        <f>AL341/AL345</f>
        <v>0.177650120894365</v>
      </c>
      <c r="AM340" s="222" t="e">
        <f>AM341/AM345</f>
        <v>#DIV/0!</v>
      </c>
      <c r="AN340" s="222">
        <f>AN341/AN345</f>
        <v>0</v>
      </c>
      <c r="AO340" s="222" t="e">
        <f>AO341/AO345</f>
        <v>#DIV/0!</v>
      </c>
      <c r="AP340" s="222" t="e">
        <f>AP341/AP345</f>
        <v>#DIV/0!</v>
      </c>
      <c r="AQ340" s="222" t="e">
        <f>AQ341/AQ345</f>
        <v>#DIV/0!</v>
      </c>
      <c r="AR340" s="222" t="e">
        <f>AR341/AR345</f>
        <v>#DIV/0!</v>
      </c>
      <c r="AS340" s="222" t="e">
        <f>AS341/AS345</f>
        <v>#DIV/0!</v>
      </c>
      <c r="AT340" s="222" t="e">
        <f>AT341/AT345</f>
        <v>#DIV/0!</v>
      </c>
      <c r="AU340" s="222" t="e">
        <f>AU341/AU345</f>
        <v>#DIV/0!</v>
      </c>
      <c r="AV340" s="222" t="e">
        <f>AV341/AV345</f>
        <v>#DIV/0!</v>
      </c>
      <c r="AW340" s="222" t="e">
        <f>AW341/AW345</f>
        <v>#DIV/0!</v>
      </c>
      <c r="AX340" s="222" t="e">
        <f>AX341/AX345</f>
        <v>#DIV/0!</v>
      </c>
      <c r="AY340" s="222" t="e">
        <f>AY341/AY345</f>
        <v>#DIV/0!</v>
      </c>
      <c r="AZ340" s="222" t="e">
        <f>AZ341/AZ345</f>
        <v>#DIV/0!</v>
      </c>
      <c r="BA340" s="222" t="e">
        <f>BA341/BA345</f>
        <v>#DIV/0!</v>
      </c>
      <c r="BB340" s="222" t="e">
        <f>BB341/BB345</f>
        <v>#DIV/0!</v>
      </c>
      <c r="BC340" s="222" t="e">
        <f>BC341/BC345</f>
        <v>#DIV/0!</v>
      </c>
      <c r="BD340" s="222" t="e">
        <f>BD341/BD345</f>
        <v>#DIV/0!</v>
      </c>
      <c r="BE340" s="222" t="e">
        <f>BE341/BE345</f>
        <v>#DIV/0!</v>
      </c>
      <c r="BF340" s="222" t="e">
        <f>BF341/BF345</f>
        <v>#DIV/0!</v>
      </c>
      <c r="BG340" s="222" t="e">
        <f>BG341/BG345</f>
        <v>#DIV/0!</v>
      </c>
      <c r="BH340" s="222" t="e">
        <f>BH341/BH345</f>
        <v>#DIV/0!</v>
      </c>
      <c r="BI340" s="222" t="e">
        <f>BI341/BI345</f>
        <v>#DIV/0!</v>
      </c>
      <c r="BJ340" s="222" t="e">
        <f>BJ341/BJ345</f>
        <v>#DIV/0!</v>
      </c>
      <c r="BK340" s="222" t="e">
        <f>BK341/BK345</f>
        <v>#DIV/0!</v>
      </c>
      <c r="BL340" s="222" t="e">
        <f>BL341/BL345</f>
        <v>#DIV/0!</v>
      </c>
      <c r="BM340" s="222" t="e">
        <f>BM341/BM345</f>
        <v>#DIV/0!</v>
      </c>
      <c r="BN340" s="222" t="e">
        <f>BN341/BN345</f>
        <v>#DIV/0!</v>
      </c>
      <c r="BO340" s="222" t="e">
        <f>BO341/BO345</f>
        <v>#DIV/0!</v>
      </c>
      <c r="BP340" s="222" t="e">
        <f>BP341/BP345</f>
        <v>#DIV/0!</v>
      </c>
      <c r="BQ340" s="222" t="e">
        <f>BQ341/BQ345</f>
        <v>#DIV/0!</v>
      </c>
      <c r="BR340" s="222" t="e">
        <f>BR341/BR345</f>
        <v>#DIV/0!</v>
      </c>
      <c r="BS340" s="222" t="e">
        <f>BS341/BS345</f>
        <v>#DIV/0!</v>
      </c>
      <c r="BT340" s="222" t="e">
        <f>BT341/BT345</f>
        <v>#DIV/0!</v>
      </c>
      <c r="BU340" s="222" t="e">
        <f>BU341/BU345</f>
        <v>#DIV/0!</v>
      </c>
      <c r="BV340" s="222" t="e">
        <f>BV341/BV345</f>
        <v>#DIV/0!</v>
      </c>
      <c r="BW340" s="222" t="e">
        <f>BW341/BW345</f>
        <v>#DIV/0!</v>
      </c>
      <c r="BX340" s="222" t="e">
        <f>BX341/BX345</f>
        <v>#DIV/0!</v>
      </c>
      <c r="BY340" s="222" t="e">
        <f>BY341/BY345</f>
        <v>#DIV/0!</v>
      </c>
      <c r="BZ340" s="222" t="e">
        <f>BZ341/BZ345</f>
        <v>#DIV/0!</v>
      </c>
      <c r="CA340" s="222" t="e">
        <f>CA341/CA345</f>
        <v>#DIV/0!</v>
      </c>
      <c r="CB340" s="222" t="e">
        <f>CB341/CB345</f>
        <v>#DIV/0!</v>
      </c>
      <c r="CC340" s="222" t="e">
        <f>CC341/CC345</f>
        <v>#DIV/0!</v>
      </c>
      <c r="CD340" s="222" t="e">
        <f>CD341/CD345</f>
        <v>#DIV/0!</v>
      </c>
      <c r="CE340" s="222" t="e">
        <f>CE341/CE345</f>
        <v>#DIV/0!</v>
      </c>
      <c r="CF340" s="222" t="e">
        <f>CF341/CF345</f>
        <v>#DIV/0!</v>
      </c>
      <c r="CG340" s="222" t="e">
        <f>CG341/CG345</f>
        <v>#DIV/0!</v>
      </c>
      <c r="CH340" s="222" t="e">
        <f>CH341/CH345</f>
        <v>#DIV/0!</v>
      </c>
      <c r="CI340" s="222" t="e">
        <f>CI341/CI345</f>
        <v>#DIV/0!</v>
      </c>
      <c r="CJ340" s="222" t="e">
        <f>CJ341/CJ345</f>
        <v>#DIV/0!</v>
      </c>
      <c r="CK340" s="222" t="e">
        <f>CK341/CK345</f>
        <v>#DIV/0!</v>
      </c>
      <c r="CL340" s="222" t="e">
        <f>CL341/CL345</f>
        <v>#DIV/0!</v>
      </c>
      <c r="CM340" s="222" t="e">
        <f>CM341/CM345</f>
        <v>#DIV/0!</v>
      </c>
      <c r="CN340" s="222" t="e">
        <f>CN341/CN345</f>
        <v>#DIV/0!</v>
      </c>
      <c r="CO340" s="222" t="e">
        <f>CO341/CO345</f>
        <v>#DIV/0!</v>
      </c>
      <c r="CP340" s="222" t="e">
        <f>CP341/CP345</f>
        <v>#DIV/0!</v>
      </c>
      <c r="CQ340" s="222" t="e">
        <f>CQ341/CQ345</f>
        <v>#DIV/0!</v>
      </c>
      <c r="CR340" s="222" t="e">
        <f>CR341/CR345</f>
        <v>#DIV/0!</v>
      </c>
      <c r="CS340" s="222" t="e">
        <f>CS341/CS345</f>
        <v>#DIV/0!</v>
      </c>
      <c r="CT340" s="222" t="e">
        <f>CT341/CT345</f>
        <v>#DIV/0!</v>
      </c>
      <c r="CU340" s="222" t="e">
        <f>CU341/CU345</f>
        <v>#DIV/0!</v>
      </c>
      <c r="CV340" s="222" t="e">
        <f>CV341/CV345</f>
        <v>#DIV/0!</v>
      </c>
      <c r="CW340" s="222" t="e">
        <f>CW341/CW345</f>
        <v>#DIV/0!</v>
      </c>
      <c r="CX340" s="222" t="e">
        <f>CX341/CX345</f>
        <v>#DIV/0!</v>
      </c>
      <c r="CY340" s="222" t="e">
        <f>CY341/CY345</f>
        <v>#DIV/0!</v>
      </c>
    </row>
    <row r="341" customFormat="1" s="233">
      <c r="A341" s="224" t="n"/>
      <c r="B341" s="224" t="n"/>
      <c r="C341" s="233" t="inlineStr">
        <is>
          <t>NOPLAT</t>
        </is>
      </c>
      <c r="D341" s="233">
        <f>D342*(1-D343)</f>
        <v>853.742077414653</v>
      </c>
      <c r="E341" s="233">
        <f>E342*(1-E343)</f>
        <v>944.353442623711</v>
      </c>
      <c r="F341" s="233">
        <f>F342*(1-F343)</f>
        <v>1205.75559316509</v>
      </c>
      <c r="G341" s="233">
        <f>G342*(1-G343)</f>
        <v>1021.58502923875</v>
      </c>
      <c r="H341" s="233">
        <f>H342*(1-H343)</f>
        <v>3957.61578938559</v>
      </c>
      <c r="I341" s="223">
        <f>I342*(1-I343)</f>
        <v>1644.0955246247</v>
      </c>
      <c r="J341" s="224">
        <f>J342*(1-J343)</f>
        <v>1568.50587448527</v>
      </c>
      <c r="K341" s="224">
        <f>K342*(1-K343)</f>
        <v>1531.33594505524</v>
      </c>
      <c r="L341" s="224">
        <f>L342*(1-L343)</f>
        <v>696.656674884225</v>
      </c>
      <c r="M341" s="224">
        <f>M342*(1-M343)</f>
        <v>5426.70572626065</v>
      </c>
      <c r="N341" s="223">
        <f>N342*(1-N343)</f>
        <v>1590.93840800589</v>
      </c>
      <c r="O341" s="224">
        <f>O342*(1-O343)</f>
        <v>1401.20320527413</v>
      </c>
      <c r="P341" s="224">
        <f>P342*(1-P343)</f>
        <v>1321.65990648686</v>
      </c>
      <c r="Q341" s="224">
        <f>Q342*(1-Q343)</f>
        <v>772.851655887735</v>
      </c>
      <c r="R341" s="224">
        <f>R342*(1-R343)</f>
        <v>4806.72303080912</v>
      </c>
      <c r="S341" s="223">
        <f>S342*(1-S343)</f>
        <v>1523.20035826082</v>
      </c>
      <c r="T341" s="224">
        <f>T342*(1-T343)</f>
        <v>1618.5814970655</v>
      </c>
      <c r="U341" s="224">
        <f>U342*(1-U343)</f>
        <v>1683.87582312869</v>
      </c>
      <c r="V341" s="224">
        <f>V342*(1-V343)</f>
        <v>1222.05972420154</v>
      </c>
      <c r="W341" s="224">
        <f>W342*(1-W343)</f>
        <v>6060.39068907992</v>
      </c>
      <c r="X341" s="223">
        <f>X342*(1-X343)</f>
        <v>2348.22489112243</v>
      </c>
      <c r="Y341" s="224">
        <f>Y342*(1-Y343)</f>
        <v>2223.31251556255</v>
      </c>
      <c r="Z341" s="224">
        <f>Z342*(1-Z343)</f>
        <v>2544.09622760617</v>
      </c>
      <c r="AA341" s="224">
        <f>AA342*(1-AA343)</f>
        <v>1989.86559183851</v>
      </c>
      <c r="AB341" s="224">
        <f>AB342*(1-AB343)</f>
        <v>9106.71610195233</v>
      </c>
      <c r="AC341" s="223">
        <f>AC342*(1-AC343)</f>
        <v>3010.21366060735</v>
      </c>
      <c r="AD341" s="224">
        <f>AD342*(1-AD343)</f>
        <v>3248.49489522658</v>
      </c>
      <c r="AE341" s="224">
        <f>AE342*(1-AE343)</f>
        <v>2660.63730940982</v>
      </c>
      <c r="AF341" s="224">
        <f>AF342*(1-AF343)</f>
        <v>2583.60574758368</v>
      </c>
      <c r="AG341" s="224">
        <f>AG342*(1-AG343)</f>
        <v>11502.5748128365</v>
      </c>
      <c r="AH341" s="223">
        <f>AH342*(1-AH343)</f>
        <v>3192.86903190626</v>
      </c>
      <c r="AI341" s="224">
        <f>AI342*(1-AI343)</f>
        <v>3505.10038390242</v>
      </c>
      <c r="AJ341" s="224">
        <f>AJ342*(1-AJ343)</f>
        <v>0</v>
      </c>
      <c r="AK341" s="224">
        <f>AK342*(1-AK343)</f>
        <v>0</v>
      </c>
      <c r="AL341" s="224">
        <f>AL342*(1-AL343)</f>
        <v>6985.31112014018</v>
      </c>
      <c r="AM341" s="223">
        <f>AM342*(1-AM343)</f>
        <v>0</v>
      </c>
      <c r="AN341" s="224">
        <f>AN342*(1-AN343)</f>
        <v>0</v>
      </c>
      <c r="AO341" s="224">
        <f>AO342*(1-AO343)</f>
        <v>0</v>
      </c>
      <c r="AP341" s="224">
        <f>AP342*(1-AP343)</f>
        <v>0</v>
      </c>
      <c r="AQ341" s="224">
        <f>AQ342*(1-AQ343)</f>
        <v>0</v>
      </c>
      <c r="AR341" s="223">
        <f>AR342*(1-AR343)</f>
        <v>0</v>
      </c>
      <c r="AS341" s="224">
        <f>AS342*(1-AS343)</f>
        <v>0</v>
      </c>
      <c r="AT341" s="224">
        <f>AT342*(1-AT343)</f>
        <v>0</v>
      </c>
      <c r="AU341" s="224">
        <f>AU342*(1-AU343)</f>
        <v>0</v>
      </c>
      <c r="AV341" s="224">
        <f>AV342*(1-AV343)</f>
        <v>0</v>
      </c>
      <c r="AW341" s="223">
        <f>AW342*(1-AW343)</f>
        <v>0</v>
      </c>
      <c r="AX341" s="224">
        <f>AX342*(1-AX343)</f>
        <v>0</v>
      </c>
      <c r="AY341" s="224">
        <f>AY342*(1-AY343)</f>
        <v>0</v>
      </c>
      <c r="AZ341" s="224">
        <f>AZ342*(1-AZ343)</f>
        <v>0</v>
      </c>
      <c r="BA341" s="224">
        <f>BA342*(1-BA343)</f>
        <v>0</v>
      </c>
      <c r="BB341" s="223">
        <f>BB342*(1-BB343)</f>
        <v>0</v>
      </c>
      <c r="BC341" s="224">
        <f>BC342*(1-BC343)</f>
        <v>0</v>
      </c>
      <c r="BD341" s="224">
        <f>BD342*(1-BD343)</f>
        <v>0</v>
      </c>
      <c r="BE341" s="224">
        <f>BE342*(1-BE343)</f>
        <v>0</v>
      </c>
      <c r="BF341" s="224">
        <f>BF342*(1-BF343)</f>
        <v>0</v>
      </c>
      <c r="BG341" s="223">
        <f>BG342*(1-BG343)</f>
        <v>0</v>
      </c>
      <c r="BH341" s="224">
        <f>BH342*(1-BH343)</f>
        <v>0</v>
      </c>
      <c r="BI341" s="224">
        <f>BI342*(1-BI343)</f>
        <v>0</v>
      </c>
      <c r="BJ341" s="224">
        <f>BJ342*(1-BJ343)</f>
        <v>0</v>
      </c>
      <c r="BK341" s="224">
        <f>BK342*(1-BK343)</f>
        <v>0</v>
      </c>
      <c r="BL341" s="223">
        <f>BL342*(1-BL343)</f>
        <v>0</v>
      </c>
      <c r="BM341" s="224">
        <f>BM342*(1-BM343)</f>
        <v>0</v>
      </c>
      <c r="BN341" s="224">
        <f>BN342*(1-BN343)</f>
        <v>0</v>
      </c>
      <c r="BO341" s="224">
        <f>BO342*(1-BO343)</f>
        <v>0</v>
      </c>
      <c r="BP341" s="224">
        <f>BP342*(1-BP343)</f>
        <v>0</v>
      </c>
      <c r="BQ341" s="223">
        <f>BQ342*(1-BQ343)</f>
        <v>0</v>
      </c>
      <c r="BR341" s="224">
        <f>BR342*(1-BR343)</f>
        <v>0</v>
      </c>
      <c r="BS341" s="224">
        <f>BS342*(1-BS343)</f>
        <v>0</v>
      </c>
      <c r="BT341" s="224">
        <f>BT342*(1-BT343)</f>
        <v>0</v>
      </c>
      <c r="BU341" s="224">
        <f>BU342*(1-BU343)</f>
        <v>0</v>
      </c>
      <c r="BV341" s="223">
        <f>BV342*(1-BV343)</f>
        <v>0</v>
      </c>
      <c r="BW341" s="224">
        <f>BW342*(1-BW343)</f>
        <v>0</v>
      </c>
      <c r="BX341" s="224">
        <f>BX342*(1-BX343)</f>
        <v>0</v>
      </c>
      <c r="BY341" s="224">
        <f>BY342*(1-BY343)</f>
        <v>0</v>
      </c>
      <c r="BZ341" s="224">
        <f>BZ342*(1-BZ343)</f>
        <v>0</v>
      </c>
      <c r="CA341" s="223">
        <f>CA342*(1-CA343)</f>
        <v>0</v>
      </c>
      <c r="CB341" s="224">
        <f>CB342*(1-CB343)</f>
        <v>0</v>
      </c>
      <c r="CC341" s="224">
        <f>CC342*(1-CC343)</f>
        <v>0</v>
      </c>
      <c r="CD341" s="224">
        <f>CD342*(1-CD343)</f>
        <v>0</v>
      </c>
      <c r="CE341" s="224">
        <f>CE342*(1-CE343)</f>
        <v>0</v>
      </c>
      <c r="CF341" s="223">
        <f>CF342*(1-CF343)</f>
        <v>0</v>
      </c>
      <c r="CG341" s="224">
        <f>CG342*(1-CG343)</f>
        <v>0</v>
      </c>
      <c r="CH341" s="224">
        <f>CH342*(1-CH343)</f>
        <v>0</v>
      </c>
      <c r="CI341" s="224">
        <f>CI342*(1-CI343)</f>
        <v>0</v>
      </c>
      <c r="CJ341" s="224">
        <f>CJ342*(1-CJ343)</f>
        <v>0</v>
      </c>
      <c r="CK341" s="223">
        <f>CK342*(1-CK343)</f>
        <v>0</v>
      </c>
      <c r="CL341" s="224">
        <f>CL342*(1-CL343)</f>
        <v>0</v>
      </c>
      <c r="CM341" s="224">
        <f>CM342*(1-CM343)</f>
        <v>0</v>
      </c>
      <c r="CN341" s="224">
        <f>CN342*(1-CN343)</f>
        <v>0</v>
      </c>
      <c r="CO341" s="224">
        <f>CO342*(1-CO343)</f>
        <v>0</v>
      </c>
      <c r="CP341" s="223">
        <f>CP342*(1-CP343)</f>
        <v>0</v>
      </c>
      <c r="CQ341" s="224">
        <f>CQ342*(1-CQ343)</f>
        <v>0</v>
      </c>
      <c r="CR341" s="224">
        <f>CR342*(1-CR343)</f>
        <v>0</v>
      </c>
      <c r="CS341" s="224">
        <f>CS342*(1-CS343)</f>
        <v>0</v>
      </c>
      <c r="CT341" s="224">
        <f>CT342*(1-CT343)</f>
        <v>0</v>
      </c>
      <c r="CU341" s="223">
        <f>CU342*(1-CU343)</f>
        <v>0</v>
      </c>
      <c r="CV341" s="224">
        <f>CV342*(1-CV343)</f>
        <v>0</v>
      </c>
      <c r="CW341" s="224">
        <f>CW342*(1-CW343)</f>
        <v>0</v>
      </c>
      <c r="CX341" s="224">
        <f>CX342*(1-CX343)</f>
        <v>0</v>
      </c>
      <c r="CY341" s="224">
        <f>CY342*(1-CY343)</f>
        <v>0</v>
      </c>
    </row>
    <row r="342" customFormat="1" s="233">
      <c r="A342" s="224" t="n"/>
      <c r="B342" s="224" t="n"/>
      <c r="C342" s="233" t="inlineStr">
        <is>
          <t>EBIT</t>
        </is>
      </c>
      <c r="D342" s="239">
        <f>D67</f>
        <v>958.256</v>
      </c>
      <c r="E342" s="239">
        <f>E67</f>
        <v>1357.928</v>
      </c>
      <c r="F342" s="239">
        <f>F67</f>
        <v>1314.863</v>
      </c>
      <c r="G342" s="239">
        <f>G67</f>
        <v>954.242</v>
      </c>
      <c r="H342" s="239">
        <f>H67</f>
        <v>4585.289</v>
      </c>
      <c r="I342" s="36">
        <f>I67</f>
        <v>1959.856</v>
      </c>
      <c r="J342" s="36">
        <f>J67</f>
        <v>1847.63</v>
      </c>
      <c r="K342" s="36">
        <f>K67</f>
        <v>1755.253</v>
      </c>
      <c r="L342" s="36">
        <f>L67</f>
        <v>631.769999999999</v>
      </c>
      <c r="M342" s="36">
        <f>M67</f>
        <v>6194.509</v>
      </c>
      <c r="N342" s="36">
        <f>N67</f>
        <v>1971.626</v>
      </c>
      <c r="O342" s="36">
        <f>O67</f>
        <v>1578.283</v>
      </c>
      <c r="P342" s="36">
        <f>P67</f>
        <v>1533.018</v>
      </c>
      <c r="Q342" s="36">
        <f>Q67</f>
        <v>549.904</v>
      </c>
      <c r="R342" s="36">
        <f>R67</f>
        <v>5632.831</v>
      </c>
      <c r="S342" s="36">
        <f>S67</f>
        <v>1714.317</v>
      </c>
      <c r="T342" s="36">
        <f>T67</f>
        <v>1827.183</v>
      </c>
      <c r="U342" s="36">
        <f>U67</f>
        <v>1916.394</v>
      </c>
      <c r="V342" s="36">
        <f>V67</f>
        <v>1496.109</v>
      </c>
      <c r="W342" s="36">
        <f>W67</f>
        <v>6954.003</v>
      </c>
      <c r="X342" s="36">
        <f>X67</f>
        <v>2632.534</v>
      </c>
      <c r="Y342" s="36">
        <f>Y67</f>
        <v>2602.837</v>
      </c>
      <c r="Z342" s="36">
        <f>Z67</f>
        <v>2909.477</v>
      </c>
      <c r="AA342" s="36">
        <f>AA67</f>
        <v>2272.766</v>
      </c>
      <c r="AB342" s="36">
        <f>AB67</f>
        <v>10417.614</v>
      </c>
      <c r="AC342" s="36">
        <f>AC67</f>
        <v>3346.999</v>
      </c>
      <c r="AD342" s="36">
        <f>AD67</f>
        <v>3774.694</v>
      </c>
      <c r="AE342" s="36">
        <f>AE67</f>
        <v>3248.247</v>
      </c>
      <c r="AF342" s="36">
        <f>AF67</f>
        <v>2956.663</v>
      </c>
      <c r="AG342" s="36">
        <f>AG67</f>
        <v>13326.603</v>
      </c>
      <c r="AH342" s="36">
        <f>AH67</f>
        <v>3956.997</v>
      </c>
      <c r="AI342" s="36">
        <f>AI67</f>
        <v>4192.61</v>
      </c>
      <c r="AJ342" s="36">
        <f>AJ67</f>
        <v>0</v>
      </c>
      <c r="AK342" s="36">
        <f>AK67</f>
        <v>0</v>
      </c>
      <c r="AL342" s="36">
        <f>AL67</f>
        <v>8149.607</v>
      </c>
      <c r="AM342" s="36">
        <f>AM67</f>
        <v>0</v>
      </c>
      <c r="AN342" s="36">
        <f>AN67</f>
        <v>0</v>
      </c>
      <c r="AO342" s="36">
        <f>AO67</f>
        <v>0</v>
      </c>
      <c r="AP342" s="36">
        <f>AP67</f>
        <v>0</v>
      </c>
      <c r="AQ342" s="36">
        <f>AQ67</f>
        <v>0</v>
      </c>
      <c r="AR342" s="36">
        <f>AR67</f>
        <v>0</v>
      </c>
      <c r="AS342" s="36">
        <f>AS67</f>
        <v>0</v>
      </c>
      <c r="AT342" s="36">
        <f>AT67</f>
        <v>0</v>
      </c>
      <c r="AU342" s="36">
        <f>AU67</f>
        <v>0</v>
      </c>
      <c r="AV342" s="36">
        <f>AV67</f>
        <v>0</v>
      </c>
      <c r="AW342" s="36">
        <f>AW67</f>
        <v>0</v>
      </c>
      <c r="AX342" s="36">
        <f>AX67</f>
        <v>0</v>
      </c>
      <c r="AY342" s="36">
        <f>AY67</f>
        <v>0</v>
      </c>
      <c r="AZ342" s="36">
        <f>AZ67</f>
        <v>0</v>
      </c>
      <c r="BA342" s="36">
        <f>BA67</f>
        <v>0</v>
      </c>
      <c r="BB342" s="36">
        <f>BB67</f>
        <v>0</v>
      </c>
      <c r="BC342" s="36">
        <f>BC67</f>
        <v>0</v>
      </c>
      <c r="BD342" s="36">
        <f>BD67</f>
        <v>0</v>
      </c>
      <c r="BE342" s="36">
        <f>BE67</f>
        <v>0</v>
      </c>
      <c r="BF342" s="36">
        <f>BF67</f>
        <v>0</v>
      </c>
      <c r="BG342" s="36">
        <f>BG67</f>
        <v>0</v>
      </c>
      <c r="BH342" s="36">
        <f>BH67</f>
        <v>0</v>
      </c>
      <c r="BI342" s="36">
        <f>BI67</f>
        <v>0</v>
      </c>
      <c r="BJ342" s="36">
        <f>BJ67</f>
        <v>0</v>
      </c>
      <c r="BK342" s="36">
        <f>BK67</f>
        <v>0</v>
      </c>
      <c r="BL342" s="36">
        <f>BL67</f>
        <v>0</v>
      </c>
      <c r="BM342" s="36">
        <f>BM67</f>
        <v>0</v>
      </c>
      <c r="BN342" s="36">
        <f>BN67</f>
        <v>0</v>
      </c>
      <c r="BO342" s="36">
        <f>BO67</f>
        <v>0</v>
      </c>
      <c r="BP342" s="36">
        <f>BP67</f>
        <v>0</v>
      </c>
      <c r="BQ342" s="36">
        <f>BQ67</f>
        <v>0</v>
      </c>
      <c r="BR342" s="36">
        <f>BR67</f>
        <v>0</v>
      </c>
      <c r="BS342" s="36">
        <f>BS67</f>
        <v>0</v>
      </c>
      <c r="BT342" s="36">
        <f>BT67</f>
        <v>0</v>
      </c>
      <c r="BU342" s="36">
        <f>BU67</f>
        <v>0</v>
      </c>
      <c r="BV342" s="36">
        <f>BV67</f>
        <v>0</v>
      </c>
      <c r="BW342" s="36">
        <f>BW67</f>
        <v>0</v>
      </c>
      <c r="BX342" s="36">
        <f>BX67</f>
        <v>0</v>
      </c>
      <c r="BY342" s="36">
        <f>BY67</f>
        <v>0</v>
      </c>
      <c r="BZ342" s="36">
        <f>BZ67</f>
        <v>0</v>
      </c>
      <c r="CA342" s="36">
        <f>CA67</f>
        <v>0</v>
      </c>
      <c r="CB342" s="36">
        <f>CB67</f>
        <v>0</v>
      </c>
      <c r="CC342" s="36">
        <f>CC67</f>
        <v>0</v>
      </c>
      <c r="CD342" s="36">
        <f>CD67</f>
        <v>0</v>
      </c>
      <c r="CE342" s="36">
        <f>CE67</f>
        <v>0</v>
      </c>
      <c r="CF342" s="36">
        <f>CF67</f>
        <v>0</v>
      </c>
      <c r="CG342" s="36">
        <f>CG67</f>
        <v>0</v>
      </c>
      <c r="CH342" s="36">
        <f>CH67</f>
        <v>0</v>
      </c>
      <c r="CI342" s="36">
        <f>CI67</f>
        <v>0</v>
      </c>
      <c r="CJ342" s="36">
        <f>CJ67</f>
        <v>0</v>
      </c>
      <c r="CK342" s="36">
        <f>CK67</f>
        <v>0</v>
      </c>
      <c r="CL342" s="36">
        <f>CL67</f>
        <v>0</v>
      </c>
      <c r="CM342" s="36">
        <f>CM67</f>
        <v>0</v>
      </c>
      <c r="CN342" s="36">
        <f>CN67</f>
        <v>0</v>
      </c>
      <c r="CO342" s="36">
        <f>CO67</f>
        <v>0</v>
      </c>
      <c r="CP342" s="36">
        <f>CP67</f>
        <v>0</v>
      </c>
      <c r="CQ342" s="36">
        <f>CQ67</f>
        <v>0</v>
      </c>
      <c r="CR342" s="36">
        <f>CR67</f>
        <v>0</v>
      </c>
      <c r="CS342" s="36">
        <f>CS67</f>
        <v>0</v>
      </c>
      <c r="CT342" s="36">
        <f>CT67</f>
        <v>0</v>
      </c>
      <c r="CU342" s="36">
        <f>CU67</f>
        <v>0</v>
      </c>
      <c r="CV342" s="36">
        <f>CV67</f>
        <v>0</v>
      </c>
      <c r="CW342" s="36">
        <f>CW67</f>
        <v>0</v>
      </c>
      <c r="CX342" s="36">
        <f>CX67</f>
        <v>0</v>
      </c>
      <c r="CY342" s="36">
        <f>CY67</f>
        <v>0</v>
      </c>
    </row>
    <row r="343" customFormat="1" s="233">
      <c r="A343" s="224" t="n"/>
      <c r="B343" s="224" t="n"/>
      <c r="C343" s="233" t="inlineStr">
        <is>
          <t>ETR</t>
        </is>
      </c>
      <c r="D343" s="240">
        <f>D126</f>
        <v>0.109066807393167</v>
      </c>
      <c r="E343" s="240">
        <f>E126</f>
        <v>0.304562949859116</v>
      </c>
      <c r="F343" s="240">
        <f>F126</f>
        <v>0.0829800571123441</v>
      </c>
      <c r="G343" s="240">
        <f>G126</f>
        <v>-0.0705722754172944</v>
      </c>
      <c r="H343" s="240">
        <f>H126</f>
        <v>0.136888473248777</v>
      </c>
      <c r="I343" s="225">
        <f>I126</f>
        <v>0.161114120310523</v>
      </c>
      <c r="J343" s="225">
        <f>J126</f>
        <v>0.151071440447889</v>
      </c>
      <c r="K343" s="225">
        <f>K126</f>
        <v>0.12756967510938</v>
      </c>
      <c r="L343" s="225">
        <f>L126</f>
        <v>-0.102706166617954</v>
      </c>
      <c r="M343" s="225">
        <f>M126</f>
        <v>0.123949012543101</v>
      </c>
      <c r="N343" s="225">
        <f>N126</f>
        <v>0.193083065446544</v>
      </c>
      <c r="O343" s="225">
        <f>O126</f>
        <v>0.112197745731196</v>
      </c>
      <c r="P343" s="225">
        <f>P126</f>
        <v>0.137870588286071</v>
      </c>
      <c r="Q343" s="225">
        <f>Q126</f>
        <v>-0.405430140329467</v>
      </c>
      <c r="R343" s="225">
        <f>R126</f>
        <v>0.146659462922087</v>
      </c>
      <c r="S343" s="225">
        <f>S126</f>
        <v>0.111482673122405</v>
      </c>
      <c r="T343" s="225">
        <f>T126</f>
        <v>0.114165632525314</v>
      </c>
      <c r="U343" s="225">
        <f>U126</f>
        <v>0.121331092077783</v>
      </c>
      <c r="V343" s="225">
        <f>V126</f>
        <v>0.183174672298916</v>
      </c>
      <c r="W343" s="225">
        <f>W126</f>
        <v>0.128503296722776</v>
      </c>
      <c r="X343" s="225">
        <f>X126</f>
        <v>0.107998266642546</v>
      </c>
      <c r="Y343" s="225">
        <f>Y126</f>
        <v>0.145811852389317</v>
      </c>
      <c r="Z343" s="225">
        <f>Z126</f>
        <v>0.125582973295143</v>
      </c>
      <c r="AA343" s="225">
        <f>AA126</f>
        <v>0.124474058553096</v>
      </c>
      <c r="AB343" s="225">
        <f>AB126</f>
        <v>0.125834754296681</v>
      </c>
      <c r="AC343" s="225">
        <f>AC126</f>
        <v>0.100623077387431</v>
      </c>
      <c r="AD343" s="225">
        <f>AD126</f>
        <v>0.139401791184509</v>
      </c>
      <c r="AE343" s="225">
        <f>AE126</f>
        <v>0.180900556697251</v>
      </c>
      <c r="AF343" s="225">
        <f>AF126</f>
        <v>0.126175100921654</v>
      </c>
      <c r="AG343" s="225">
        <f>AG126</f>
        <v>0.136871203198855</v>
      </c>
      <c r="AH343" s="225">
        <f>AH126</f>
        <v>0.193108048374498</v>
      </c>
      <c r="AI343" s="225">
        <f>AI126</f>
        <v>0.163981294729914</v>
      </c>
      <c r="AJ343" s="225">
        <f>AJ126</f>
        <v>0</v>
      </c>
      <c r="AK343" s="225">
        <f>AK126</f>
        <v>0</v>
      </c>
      <c r="AL343" s="225">
        <f>AL126</f>
        <v>0.142865279253321</v>
      </c>
      <c r="AM343" s="225">
        <f>AM126</f>
        <v>0</v>
      </c>
      <c r="AN343" s="225">
        <f>AN126</f>
        <v>0</v>
      </c>
      <c r="AO343" s="225">
        <f>AO126</f>
        <v>0</v>
      </c>
      <c r="AP343" s="225">
        <f>AP126</f>
        <v>0</v>
      </c>
      <c r="AQ343" s="225">
        <f>AQ126</f>
        <v>0</v>
      </c>
      <c r="AR343" s="225">
        <f>AR126</f>
        <v>0</v>
      </c>
      <c r="AS343" s="225">
        <f>AS126</f>
        <v>0</v>
      </c>
      <c r="AT343" s="225">
        <f>AT126</f>
        <v>0</v>
      </c>
      <c r="AU343" s="225">
        <f>AU126</f>
        <v>0</v>
      </c>
      <c r="AV343" s="225">
        <f>AV126</f>
        <v>0</v>
      </c>
      <c r="AW343" s="225">
        <f>AW126</f>
        <v>0</v>
      </c>
      <c r="AX343" s="225">
        <f>AX126</f>
        <v>0</v>
      </c>
      <c r="AY343" s="225">
        <f>AY126</f>
        <v>0</v>
      </c>
      <c r="AZ343" s="225">
        <f>AZ126</f>
        <v>0</v>
      </c>
      <c r="BA343" s="225">
        <f>BA126</f>
        <v>0</v>
      </c>
      <c r="BB343" s="225">
        <f>BB126</f>
        <v>0</v>
      </c>
      <c r="BC343" s="225">
        <f>BC126</f>
        <v>0</v>
      </c>
      <c r="BD343" s="225">
        <f>BD126</f>
        <v>0</v>
      </c>
      <c r="BE343" s="225">
        <f>BE126</f>
        <v>0</v>
      </c>
      <c r="BF343" s="225">
        <f>BF126</f>
        <v>0</v>
      </c>
      <c r="BG343" s="225">
        <f>BG126</f>
        <v>0</v>
      </c>
      <c r="BH343" s="225">
        <f>BH126</f>
        <v>0</v>
      </c>
      <c r="BI343" s="225">
        <f>BI126</f>
        <v>0</v>
      </c>
      <c r="BJ343" s="225">
        <f>BJ126</f>
        <v>0</v>
      </c>
      <c r="BK343" s="225">
        <f>BK126</f>
        <v>0</v>
      </c>
      <c r="BL343" s="225">
        <f>BL126</f>
        <v>0</v>
      </c>
      <c r="BM343" s="225">
        <f>BM126</f>
        <v>0</v>
      </c>
      <c r="BN343" s="225">
        <f>BN126</f>
        <v>0</v>
      </c>
      <c r="BO343" s="225">
        <f>BO126</f>
        <v>0</v>
      </c>
      <c r="BP343" s="225">
        <f>BP126</f>
        <v>0</v>
      </c>
      <c r="BQ343" s="225">
        <f>BQ126</f>
        <v>0</v>
      </c>
      <c r="BR343" s="225">
        <f>BR126</f>
        <v>0</v>
      </c>
      <c r="BS343" s="225">
        <f>BS126</f>
        <v>0</v>
      </c>
      <c r="BT343" s="225">
        <f>BT126</f>
        <v>0</v>
      </c>
      <c r="BU343" s="225">
        <f>BU126</f>
        <v>0</v>
      </c>
      <c r="BV343" s="225">
        <f>BV126</f>
        <v>0</v>
      </c>
      <c r="BW343" s="225">
        <f>BW126</f>
        <v>0</v>
      </c>
      <c r="BX343" s="225">
        <f>BX126</f>
        <v>0</v>
      </c>
      <c r="BY343" s="225">
        <f>BY126</f>
        <v>0</v>
      </c>
      <c r="BZ343" s="225">
        <f>BZ126</f>
        <v>0</v>
      </c>
      <c r="CA343" s="225">
        <f>CA126</f>
        <v>0</v>
      </c>
      <c r="CB343" s="225">
        <f>CB126</f>
        <v>0</v>
      </c>
      <c r="CC343" s="225">
        <f>CC126</f>
        <v>0</v>
      </c>
      <c r="CD343" s="225">
        <f>CD126</f>
        <v>0</v>
      </c>
      <c r="CE343" s="225">
        <f>CE126</f>
        <v>0</v>
      </c>
      <c r="CF343" s="225">
        <f>CF126</f>
        <v>0</v>
      </c>
      <c r="CG343" s="225">
        <f>CG126</f>
        <v>0</v>
      </c>
      <c r="CH343" s="225">
        <f>CH126</f>
        <v>0</v>
      </c>
      <c r="CI343" s="225">
        <f>CI126</f>
        <v>0</v>
      </c>
      <c r="CJ343" s="225">
        <f>CJ126</f>
        <v>0</v>
      </c>
      <c r="CK343" s="225">
        <f>CK126</f>
        <v>0</v>
      </c>
      <c r="CL343" s="225">
        <f>CL126</f>
        <v>0</v>
      </c>
      <c r="CM343" s="225">
        <f>CM126</f>
        <v>0</v>
      </c>
      <c r="CN343" s="225">
        <f>CN126</f>
        <v>0</v>
      </c>
      <c r="CO343" s="225">
        <f>CO126</f>
        <v>0</v>
      </c>
      <c r="CP343" s="225">
        <f>CP126</f>
        <v>0</v>
      </c>
      <c r="CQ343" s="225">
        <f>CQ126</f>
        <v>0</v>
      </c>
      <c r="CR343" s="225">
        <f>CR126</f>
        <v>0</v>
      </c>
      <c r="CS343" s="225">
        <f>CS126</f>
        <v>0</v>
      </c>
      <c r="CT343" s="225">
        <f>CT126</f>
        <v>0</v>
      </c>
      <c r="CU343" s="225">
        <f>CU126</f>
        <v>0</v>
      </c>
      <c r="CV343" s="225">
        <f>CV126</f>
        <v>0</v>
      </c>
      <c r="CW343" s="225">
        <f>CW126</f>
        <v>0</v>
      </c>
      <c r="CX343" s="225">
        <f>CX126</f>
        <v>0</v>
      </c>
      <c r="CY343" s="225">
        <f>CY126</f>
        <v>0</v>
      </c>
    </row>
    <row r="344" customFormat="1" s="233">
      <c r="A344" s="224" t="n"/>
      <c r="B344" s="224" t="n"/>
      <c r="C344" s="233" t="inlineStr">
        <is>
          <t>INVESTED CAPITAL</t>
        </is>
      </c>
      <c r="D344" s="239">
        <f>D347-D348+D349</f>
        <v>17926.911</v>
      </c>
      <c r="E344" s="239">
        <f>E347-E348+E349</f>
        <v>17975.664</v>
      </c>
      <c r="F344" s="239">
        <f>F347-F348+F349</f>
        <v>17988.065</v>
      </c>
      <c r="G344" s="239">
        <f>G347-G348+G349</f>
        <v>19168.663</v>
      </c>
      <c r="H344" s="239">
        <f>H347-H348+H349</f>
        <v>19168.663</v>
      </c>
      <c r="I344" s="36">
        <f>I347-I348+I349</f>
        <v>20039.715</v>
      </c>
      <c r="J344" s="36">
        <f>J347-J348+J349</f>
        <v>21712.358</v>
      </c>
      <c r="K344" s="36">
        <f>K347-K348+K349</f>
        <v>23281.1</v>
      </c>
      <c r="L344" s="36">
        <f>L347-L348+L349</f>
        <v>25214.339</v>
      </c>
      <c r="M344" s="36">
        <f>M347-M348+M349</f>
        <v>25214.339</v>
      </c>
      <c r="N344" s="36">
        <f>N347-N348+N349</f>
        <v>26069.654</v>
      </c>
      <c r="O344" s="36">
        <f>O347-O348+O349</f>
        <v>27489.828</v>
      </c>
      <c r="P344" s="36">
        <f>P347-P348+P349</f>
        <v>28302.525</v>
      </c>
      <c r="Q344" s="36">
        <f>Q347-Q348+Q349</f>
        <v>29072.025</v>
      </c>
      <c r="R344" s="36">
        <f>R347-R348+R349</f>
        <v>29072.025</v>
      </c>
      <c r="S344" s="36">
        <f>S347-S348+S349</f>
        <v>28437.82</v>
      </c>
      <c r="T344" s="36">
        <f>T347-T348+T349</f>
        <v>28724.764</v>
      </c>
      <c r="U344" s="36">
        <f>U347-U348+U349</f>
        <v>28540.549</v>
      </c>
      <c r="V344" s="36">
        <f>V347-V348+V349</f>
        <v>27993.688</v>
      </c>
      <c r="W344" s="36">
        <f>W347-W348+W349</f>
        <v>27993.688</v>
      </c>
      <c r="X344" s="36">
        <f>X347-X348+X349</f>
        <v>28335.645</v>
      </c>
      <c r="Y344" s="36">
        <f>Y347-Y348+Y349</f>
        <v>29436.846</v>
      </c>
      <c r="Z344" s="36">
        <f>Z347-Z348+Z349</f>
        <v>29478.137</v>
      </c>
      <c r="AA344" s="36">
        <f>AA347-AA348+AA349</f>
        <v>30742.632</v>
      </c>
      <c r="AB344" s="36">
        <f>AB347-AB348+AB349</f>
        <v>30742.632</v>
      </c>
      <c r="AC344" s="36">
        <f>AC347-AC348+AC349</f>
        <v>30674.001</v>
      </c>
      <c r="AD344" s="36">
        <f>AD347-AD348+AD349</f>
        <v>31014.585</v>
      </c>
      <c r="AE344" s="36">
        <f>AE347-AE348+AE349</f>
        <v>31092.663</v>
      </c>
      <c r="AF344" s="36">
        <f>AF347-AF348+AF349</f>
        <v>32015.965</v>
      </c>
      <c r="AG344" s="36">
        <f>AG347-AG348+AG349</f>
        <v>32015.965</v>
      </c>
      <c r="AH344" s="36">
        <f>AH347-AH348+AH349</f>
        <v>33198.465</v>
      </c>
      <c r="AI344" s="36">
        <f>AI347-AI348+AI349</f>
        <v>35333.448</v>
      </c>
      <c r="AJ344" s="36">
        <f>AJ347-AJ348+AJ349</f>
        <v>39320.61</v>
      </c>
      <c r="AK344" s="36">
        <f>AK347-AK348+AK349</f>
        <v>39320.61</v>
      </c>
      <c r="AL344" s="36">
        <f>AL347-AL348+AL349</f>
        <v>39320.61</v>
      </c>
      <c r="AM344" s="36" t="e">
        <f>AM347-AM348+AM349</f>
        <v>#DIV/0!</v>
      </c>
      <c r="AN344" s="36">
        <f>AN347-AN348+AN349</f>
        <v>39320.61</v>
      </c>
      <c r="AO344" s="36" t="e">
        <f>AO347-AO348+AO349</f>
        <v>#DIV/0!</v>
      </c>
      <c r="AP344" s="36" t="e">
        <f>AP347-AP348+AP349</f>
        <v>#DIV/0!</v>
      </c>
      <c r="AQ344" s="36" t="e">
        <f>AQ347-AQ348+AQ349</f>
        <v>#DIV/0!</v>
      </c>
      <c r="AR344" s="36" t="e">
        <f>AR347-AR348+AR349</f>
        <v>#DIV/0!</v>
      </c>
      <c r="AS344" s="36" t="e">
        <f>AS347-AS348+AS349</f>
        <v>#DIV/0!</v>
      </c>
      <c r="AT344" s="36" t="e">
        <f>AT347-AT348+AT349</f>
        <v>#DIV/0!</v>
      </c>
      <c r="AU344" s="36" t="e">
        <f>AU347-AU348+AU349</f>
        <v>#DIV/0!</v>
      </c>
      <c r="AV344" s="36" t="e">
        <f>AV347-AV348+AV349</f>
        <v>#DIV/0!</v>
      </c>
      <c r="AW344" s="36" t="e">
        <f>AW347-AW348+AW349</f>
        <v>#DIV/0!</v>
      </c>
      <c r="AX344" s="36" t="e">
        <f>AX347-AX348+AX349</f>
        <v>#DIV/0!</v>
      </c>
      <c r="AY344" s="36" t="e">
        <f>AY347-AY348+AY349</f>
        <v>#DIV/0!</v>
      </c>
      <c r="AZ344" s="36" t="e">
        <f>AZ347-AZ348+AZ349</f>
        <v>#DIV/0!</v>
      </c>
      <c r="BA344" s="36" t="e">
        <f>BA347-BA348+BA349</f>
        <v>#DIV/0!</v>
      </c>
      <c r="BB344" s="36" t="e">
        <f>BB347-BB348+BB349</f>
        <v>#DIV/0!</v>
      </c>
      <c r="BC344" s="36" t="e">
        <f>BC347-BC348+BC349</f>
        <v>#DIV/0!</v>
      </c>
      <c r="BD344" s="36" t="e">
        <f>BD347-BD348+BD349</f>
        <v>#DIV/0!</v>
      </c>
      <c r="BE344" s="36" t="e">
        <f>BE347-BE348+BE349</f>
        <v>#DIV/0!</v>
      </c>
      <c r="BF344" s="36" t="e">
        <f>BF347-BF348+BF349</f>
        <v>#DIV/0!</v>
      </c>
      <c r="BG344" s="36" t="e">
        <f>BG347-BG348+BG349</f>
        <v>#DIV/0!</v>
      </c>
      <c r="BH344" s="36" t="e">
        <f>BH347-BH348+BH349</f>
        <v>#DIV/0!</v>
      </c>
      <c r="BI344" s="36" t="e">
        <f>BI347-BI348+BI349</f>
        <v>#DIV/0!</v>
      </c>
      <c r="BJ344" s="36" t="e">
        <f>BJ347-BJ348+BJ349</f>
        <v>#DIV/0!</v>
      </c>
      <c r="BK344" s="36" t="e">
        <f>BK347-BK348+BK349</f>
        <v>#DIV/0!</v>
      </c>
      <c r="BL344" s="36" t="e">
        <f>BL347-BL348+BL349</f>
        <v>#DIV/0!</v>
      </c>
      <c r="BM344" s="36" t="e">
        <f>BM347-BM348+BM349</f>
        <v>#DIV/0!</v>
      </c>
      <c r="BN344" s="36" t="e">
        <f>BN347-BN348+BN349</f>
        <v>#DIV/0!</v>
      </c>
      <c r="BO344" s="36" t="e">
        <f>BO347-BO348+BO349</f>
        <v>#DIV/0!</v>
      </c>
      <c r="BP344" s="36" t="e">
        <f>BP347-BP348+BP349</f>
        <v>#DIV/0!</v>
      </c>
      <c r="BQ344" s="36" t="e">
        <f>BQ347-BQ348+BQ349</f>
        <v>#DIV/0!</v>
      </c>
      <c r="BR344" s="36" t="e">
        <f>BR347-BR348+BR349</f>
        <v>#DIV/0!</v>
      </c>
      <c r="BS344" s="36" t="e">
        <f>BS347-BS348+BS349</f>
        <v>#DIV/0!</v>
      </c>
      <c r="BT344" s="36" t="e">
        <f>BT347-BT348+BT349</f>
        <v>#DIV/0!</v>
      </c>
      <c r="BU344" s="36" t="e">
        <f>BU347-BU348+BU349</f>
        <v>#DIV/0!</v>
      </c>
      <c r="BV344" s="36" t="e">
        <f>BV347-BV348+BV349</f>
        <v>#DIV/0!</v>
      </c>
      <c r="BW344" s="36" t="e">
        <f>BW347-BW348+BW349</f>
        <v>#DIV/0!</v>
      </c>
      <c r="BX344" s="36" t="e">
        <f>BX347-BX348+BX349</f>
        <v>#DIV/0!</v>
      </c>
      <c r="BY344" s="36" t="e">
        <f>BY347-BY348+BY349</f>
        <v>#DIV/0!</v>
      </c>
      <c r="BZ344" s="36" t="e">
        <f>BZ347-BZ348+BZ349</f>
        <v>#DIV/0!</v>
      </c>
      <c r="CA344" s="36" t="e">
        <f>CA347-CA348+CA349</f>
        <v>#DIV/0!</v>
      </c>
      <c r="CB344" s="36" t="e">
        <f>CB347-CB348+CB349</f>
        <v>#DIV/0!</v>
      </c>
      <c r="CC344" s="36" t="e">
        <f>CC347-CC348+CC349</f>
        <v>#DIV/0!</v>
      </c>
      <c r="CD344" s="36" t="e">
        <f>CD347-CD348+CD349</f>
        <v>#DIV/0!</v>
      </c>
      <c r="CE344" s="36" t="e">
        <f>CE347-CE348+CE349</f>
        <v>#DIV/0!</v>
      </c>
      <c r="CF344" s="36" t="e">
        <f>CF347-CF348+CF349</f>
        <v>#DIV/0!</v>
      </c>
      <c r="CG344" s="36" t="e">
        <f>CG347-CG348+CG349</f>
        <v>#DIV/0!</v>
      </c>
      <c r="CH344" s="36" t="e">
        <f>CH347-CH348+CH349</f>
        <v>#DIV/0!</v>
      </c>
      <c r="CI344" s="36" t="e">
        <f>CI347-CI348+CI349</f>
        <v>#DIV/0!</v>
      </c>
      <c r="CJ344" s="36" t="e">
        <f>CJ347-CJ348+CJ349</f>
        <v>#DIV/0!</v>
      </c>
      <c r="CK344" s="36" t="e">
        <f>CK347-CK348+CK349</f>
        <v>#DIV/0!</v>
      </c>
      <c r="CL344" s="36" t="e">
        <f>CL347-CL348+CL349</f>
        <v>#DIV/0!</v>
      </c>
      <c r="CM344" s="36" t="e">
        <f>CM347-CM348+CM349</f>
        <v>#DIV/0!</v>
      </c>
      <c r="CN344" s="36" t="e">
        <f>CN347-CN348+CN349</f>
        <v>#DIV/0!</v>
      </c>
      <c r="CO344" s="36" t="e">
        <f>CO347-CO348+CO349</f>
        <v>#DIV/0!</v>
      </c>
      <c r="CP344" s="36" t="e">
        <f>CP347-CP348+CP349</f>
        <v>#DIV/0!</v>
      </c>
      <c r="CQ344" s="36" t="e">
        <f>CQ347-CQ348+CQ349</f>
        <v>#DIV/0!</v>
      </c>
      <c r="CR344" s="36" t="e">
        <f>CR347-CR348+CR349</f>
        <v>#DIV/0!</v>
      </c>
      <c r="CS344" s="36" t="e">
        <f>CS347-CS348+CS349</f>
        <v>#DIV/0!</v>
      </c>
      <c r="CT344" s="36" t="e">
        <f>CT347-CT348+CT349</f>
        <v>#DIV/0!</v>
      </c>
      <c r="CU344" s="36" t="e">
        <f>CU347-CU348+CU349</f>
        <v>#DIV/0!</v>
      </c>
      <c r="CV344" s="36" t="e">
        <f>CV347-CV348+CV349</f>
        <v>#DIV/0!</v>
      </c>
      <c r="CW344" s="36" t="e">
        <f>CW347-CW348+CW349</f>
        <v>#DIV/0!</v>
      </c>
      <c r="CX344" s="36" t="e">
        <f>CX347-CX348+CX349</f>
        <v>#DIV/0!</v>
      </c>
      <c r="CY344" s="36" t="e">
        <f>CY347-CY348+CY349</f>
        <v>#DIV/0!</v>
      </c>
    </row>
    <row r="345" customFormat="1" s="233">
      <c r="A345" s="224" t="n"/>
      <c r="B345" s="224" t="n"/>
      <c r="C345" s="233" t="inlineStr">
        <is>
          <t>INVESTED CAPITAL - EX GOODWILL</t>
        </is>
      </c>
      <c r="D345" s="241">
        <f>D344-D173</f>
        <v>17926.911</v>
      </c>
      <c r="E345" s="241">
        <f>E344-E173</f>
        <v>17975.664</v>
      </c>
      <c r="F345" s="241">
        <f>F344-F173</f>
        <v>17988.065</v>
      </c>
      <c r="G345" s="241">
        <f>G344-G173</f>
        <v>19168.663</v>
      </c>
      <c r="H345" s="241">
        <f>H344-H173</f>
        <v>19168.663</v>
      </c>
      <c r="I345" s="226">
        <f>I344-I173</f>
        <v>20039.715</v>
      </c>
      <c r="J345" s="226">
        <f>J344-J173</f>
        <v>21712.358</v>
      </c>
      <c r="K345" s="226">
        <f>K344-K173</f>
        <v>23281.1</v>
      </c>
      <c r="L345" s="226">
        <f>L344-L173</f>
        <v>25214.339</v>
      </c>
      <c r="M345" s="226">
        <f>M344-M173</f>
        <v>25214.339</v>
      </c>
      <c r="N345" s="226">
        <f>N344-N173</f>
        <v>26069.654</v>
      </c>
      <c r="O345" s="226">
        <f>O344-O173</f>
        <v>27489.828</v>
      </c>
      <c r="P345" s="226">
        <f>P344-P173</f>
        <v>28302.525</v>
      </c>
      <c r="Q345" s="226">
        <f>Q344-Q173</f>
        <v>29072.025</v>
      </c>
      <c r="R345" s="226">
        <f>R344-R173</f>
        <v>29072.025</v>
      </c>
      <c r="S345" s="226">
        <f>S344-S173</f>
        <v>28437.82</v>
      </c>
      <c r="T345" s="226">
        <f>T344-T173</f>
        <v>28724.764</v>
      </c>
      <c r="U345" s="226">
        <f>U344-U173</f>
        <v>28540.549</v>
      </c>
      <c r="V345" s="226">
        <f>V344-V173</f>
        <v>27993.688</v>
      </c>
      <c r="W345" s="226">
        <f>W344-W173</f>
        <v>27993.688</v>
      </c>
      <c r="X345" s="226">
        <f>X344-X173</f>
        <v>28335.645</v>
      </c>
      <c r="Y345" s="226">
        <f>Y344-Y173</f>
        <v>29436.846</v>
      </c>
      <c r="Z345" s="226">
        <f>Z344-Z173</f>
        <v>29478.137</v>
      </c>
      <c r="AA345" s="226">
        <f>AA344-AA173</f>
        <v>30742.632</v>
      </c>
      <c r="AB345" s="226">
        <f>AB344-AB173</f>
        <v>30742.632</v>
      </c>
      <c r="AC345" s="226">
        <f>AC344-AC173</f>
        <v>30674.001</v>
      </c>
      <c r="AD345" s="226">
        <f>AD344-AD173</f>
        <v>31014.585</v>
      </c>
      <c r="AE345" s="226">
        <f>AE344-AE173</f>
        <v>31092.663</v>
      </c>
      <c r="AF345" s="226">
        <f>AF344-AF173</f>
        <v>32015.965</v>
      </c>
      <c r="AG345" s="226">
        <f>AG344-AG173</f>
        <v>32015.965</v>
      </c>
      <c r="AH345" s="226">
        <f>AH344-AH173</f>
        <v>33198.465</v>
      </c>
      <c r="AI345" s="226">
        <f>AI344-AI173</f>
        <v>35333.448</v>
      </c>
      <c r="AJ345" s="226">
        <f>AJ344-AJ173</f>
        <v>39320.61</v>
      </c>
      <c r="AK345" s="226">
        <f>AK344-AK173</f>
        <v>39320.61</v>
      </c>
      <c r="AL345" s="226">
        <f>AL344-AL173</f>
        <v>39320.61</v>
      </c>
      <c r="AM345" s="226" t="e">
        <f>AM344-AM173</f>
        <v>#DIV/0!</v>
      </c>
      <c r="AN345" s="226">
        <f>AN344-AN173</f>
        <v>39320.61</v>
      </c>
      <c r="AO345" s="226" t="e">
        <f>AO344-AO173</f>
        <v>#DIV/0!</v>
      </c>
      <c r="AP345" s="226" t="e">
        <f>AP344-AP173</f>
        <v>#DIV/0!</v>
      </c>
      <c r="AQ345" s="226" t="e">
        <f>AQ344-AQ173</f>
        <v>#DIV/0!</v>
      </c>
      <c r="AR345" s="226" t="e">
        <f>AR344-AR173</f>
        <v>#DIV/0!</v>
      </c>
      <c r="AS345" s="226" t="e">
        <f>AS344-AS173</f>
        <v>#DIV/0!</v>
      </c>
      <c r="AT345" s="226" t="e">
        <f>AT344-AT173</f>
        <v>#DIV/0!</v>
      </c>
      <c r="AU345" s="226" t="e">
        <f>AU344-AU173</f>
        <v>#DIV/0!</v>
      </c>
      <c r="AV345" s="226" t="e">
        <f>AV344-AV173</f>
        <v>#DIV/0!</v>
      </c>
      <c r="AW345" s="226" t="e">
        <f>AW344-AW173</f>
        <v>#DIV/0!</v>
      </c>
      <c r="AX345" s="226" t="e">
        <f>AX344-AX173</f>
        <v>#DIV/0!</v>
      </c>
      <c r="AY345" s="226" t="e">
        <f>AY344-AY173</f>
        <v>#DIV/0!</v>
      </c>
      <c r="AZ345" s="226" t="e">
        <f>AZ344-AZ173</f>
        <v>#DIV/0!</v>
      </c>
      <c r="BA345" s="226" t="e">
        <f>BA344-BA173</f>
        <v>#DIV/0!</v>
      </c>
      <c r="BB345" s="226" t="e">
        <f>BB344-BB173</f>
        <v>#DIV/0!</v>
      </c>
      <c r="BC345" s="226" t="e">
        <f>BC344-BC173</f>
        <v>#DIV/0!</v>
      </c>
      <c r="BD345" s="226" t="e">
        <f>BD344-BD173</f>
        <v>#DIV/0!</v>
      </c>
      <c r="BE345" s="226" t="e">
        <f>BE344-BE173</f>
        <v>#DIV/0!</v>
      </c>
      <c r="BF345" s="226" t="e">
        <f>BF344-BF173</f>
        <v>#DIV/0!</v>
      </c>
      <c r="BG345" s="226" t="e">
        <f>BG344-BG173</f>
        <v>#DIV/0!</v>
      </c>
      <c r="BH345" s="226" t="e">
        <f>BH344-BH173</f>
        <v>#DIV/0!</v>
      </c>
      <c r="BI345" s="226" t="e">
        <f>BI344-BI173</f>
        <v>#DIV/0!</v>
      </c>
      <c r="BJ345" s="226" t="e">
        <f>BJ344-BJ173</f>
        <v>#DIV/0!</v>
      </c>
      <c r="BK345" s="226" t="e">
        <f>BK344-BK173</f>
        <v>#DIV/0!</v>
      </c>
      <c r="BL345" s="226" t="e">
        <f>BL344-BL173</f>
        <v>#DIV/0!</v>
      </c>
      <c r="BM345" s="226" t="e">
        <f>BM344-BM173</f>
        <v>#DIV/0!</v>
      </c>
      <c r="BN345" s="226" t="e">
        <f>BN344-BN173</f>
        <v>#DIV/0!</v>
      </c>
      <c r="BO345" s="226" t="e">
        <f>BO344-BO173</f>
        <v>#DIV/0!</v>
      </c>
      <c r="BP345" s="226" t="e">
        <f>BP344-BP173</f>
        <v>#DIV/0!</v>
      </c>
      <c r="BQ345" s="226" t="e">
        <f>BQ344-BQ173</f>
        <v>#DIV/0!</v>
      </c>
      <c r="BR345" s="226" t="e">
        <f>BR344-BR173</f>
        <v>#DIV/0!</v>
      </c>
      <c r="BS345" s="226" t="e">
        <f>BS344-BS173</f>
        <v>#DIV/0!</v>
      </c>
      <c r="BT345" s="226" t="e">
        <f>BT344-BT173</f>
        <v>#DIV/0!</v>
      </c>
      <c r="BU345" s="226" t="e">
        <f>BU344-BU173</f>
        <v>#DIV/0!</v>
      </c>
      <c r="BV345" s="226" t="e">
        <f>BV344-BV173</f>
        <v>#DIV/0!</v>
      </c>
      <c r="BW345" s="226" t="e">
        <f>BW344-BW173</f>
        <v>#DIV/0!</v>
      </c>
      <c r="BX345" s="226" t="e">
        <f>BX344-BX173</f>
        <v>#DIV/0!</v>
      </c>
      <c r="BY345" s="226" t="e">
        <f>BY344-BY173</f>
        <v>#DIV/0!</v>
      </c>
      <c r="BZ345" s="226" t="e">
        <f>BZ344-BZ173</f>
        <v>#DIV/0!</v>
      </c>
      <c r="CA345" s="226" t="e">
        <f>CA344-CA173</f>
        <v>#DIV/0!</v>
      </c>
      <c r="CB345" s="226" t="e">
        <f>CB344-CB173</f>
        <v>#DIV/0!</v>
      </c>
      <c r="CC345" s="226" t="e">
        <f>CC344-CC173</f>
        <v>#DIV/0!</v>
      </c>
      <c r="CD345" s="226" t="e">
        <f>CD344-CD173</f>
        <v>#DIV/0!</v>
      </c>
      <c r="CE345" s="226" t="e">
        <f>CE344-CE173</f>
        <v>#DIV/0!</v>
      </c>
      <c r="CF345" s="226" t="e">
        <f>CF344-CF173</f>
        <v>#DIV/0!</v>
      </c>
      <c r="CG345" s="226" t="e">
        <f>CG344-CG173</f>
        <v>#DIV/0!</v>
      </c>
      <c r="CH345" s="226" t="e">
        <f>CH344-CH173</f>
        <v>#DIV/0!</v>
      </c>
      <c r="CI345" s="226" t="e">
        <f>CI344-CI173</f>
        <v>#DIV/0!</v>
      </c>
      <c r="CJ345" s="226" t="e">
        <f>CJ344-CJ173</f>
        <v>#DIV/0!</v>
      </c>
      <c r="CK345" s="226" t="e">
        <f>CK344-CK173</f>
        <v>#DIV/0!</v>
      </c>
      <c r="CL345" s="226" t="e">
        <f>CL344-CL173</f>
        <v>#DIV/0!</v>
      </c>
      <c r="CM345" s="226" t="e">
        <f>CM344-CM173</f>
        <v>#DIV/0!</v>
      </c>
      <c r="CN345" s="226" t="e">
        <f>CN344-CN173</f>
        <v>#DIV/0!</v>
      </c>
      <c r="CO345" s="226" t="e">
        <f>CO344-CO173</f>
        <v>#DIV/0!</v>
      </c>
      <c r="CP345" s="226" t="e">
        <f>CP344-CP173</f>
        <v>#DIV/0!</v>
      </c>
      <c r="CQ345" s="226" t="e">
        <f>CQ344-CQ173</f>
        <v>#DIV/0!</v>
      </c>
      <c r="CR345" s="226" t="e">
        <f>CR344-CR173</f>
        <v>#DIV/0!</v>
      </c>
      <c r="CS345" s="226" t="e">
        <f>CS344-CS173</f>
        <v>#DIV/0!</v>
      </c>
      <c r="CT345" s="226" t="e">
        <f>CT344-CT173</f>
        <v>#DIV/0!</v>
      </c>
      <c r="CU345" s="226" t="e">
        <f>CU344-CU173</f>
        <v>#DIV/0!</v>
      </c>
      <c r="CV345" s="226" t="e">
        <f>CV344-CV173</f>
        <v>#DIV/0!</v>
      </c>
      <c r="CW345" s="226" t="e">
        <f>CW344-CW173</f>
        <v>#DIV/0!</v>
      </c>
      <c r="CX345" s="226" t="e">
        <f>CX344-CX173</f>
        <v>#DIV/0!</v>
      </c>
      <c r="CY345" s="226" t="e">
        <f>CY344-CY173</f>
        <v>#DIV/0!</v>
      </c>
    </row>
    <row r="346" customFormat="1" s="233">
      <c r="A346" s="224" t="n"/>
      <c r="B346" s="224" t="n"/>
      <c r="C346" s="233" t="inlineStr">
        <is>
          <t>OPERATING WORKING CAPITAL</t>
        </is>
      </c>
      <c r="D346" s="242">
        <f>D347-D348</f>
        <v>-6059.019</v>
      </c>
      <c r="E346" s="242">
        <f>E347-E348</f>
        <v>-5716.366</v>
      </c>
      <c r="F346" s="242">
        <f>F347-F348</f>
        <v>-6006.189</v>
      </c>
      <c r="G346" s="242">
        <f>G347-G348</f>
        <v>-5749.877</v>
      </c>
      <c r="H346" s="242">
        <f>H347-H348</f>
        <v>-5749.877</v>
      </c>
      <c r="I346" s="36">
        <f>I347-I348</f>
        <v>-5559.179</v>
      </c>
      <c r="J346" s="36">
        <f>J347-J348</f>
        <v>-5307.014</v>
      </c>
      <c r="K346" s="36">
        <f>K347-K348</f>
        <v>-5460.667</v>
      </c>
      <c r="L346" s="36">
        <f>L347-L348</f>
        <v>-5747.122</v>
      </c>
      <c r="M346" s="36">
        <f>M347-M348</f>
        <v>-5747.122</v>
      </c>
      <c r="N346" s="36">
        <f>N347-N348</f>
        <v>-5650.587</v>
      </c>
      <c r="O346" s="36">
        <f>O347-O348</f>
        <v>-5478.693</v>
      </c>
      <c r="P346" s="36">
        <f>P347-P348</f>
        <v>-5062.754</v>
      </c>
      <c r="Q346" s="36">
        <f>Q347-Q348</f>
        <v>-4722.953</v>
      </c>
      <c r="R346" s="36">
        <f>R347-R348</f>
        <v>-4722.953</v>
      </c>
      <c r="S346" s="36">
        <f>S347-S348</f>
        <v>-5261.788</v>
      </c>
      <c r="T346" s="36">
        <f>T347-T348</f>
        <v>-5347.071</v>
      </c>
      <c r="U346" s="36">
        <f>U347-U348</f>
        <v>-5027.076</v>
      </c>
      <c r="V346" s="36">
        <f>V347-V348</f>
        <v>-5680.564</v>
      </c>
      <c r="W346" s="36">
        <f>W347-W348</f>
        <v>-5680.564</v>
      </c>
      <c r="X346" s="36">
        <f>X347-X348</f>
        <v>-5614.707</v>
      </c>
      <c r="Y346" s="36">
        <f>Y347-Y348</f>
        <v>-5380.317</v>
      </c>
      <c r="Z346" s="36">
        <f>Z347-Z348</f>
        <v>-5981.558</v>
      </c>
      <c r="AA346" s="36">
        <f>AA347-AA348</f>
        <v>-5454.307</v>
      </c>
      <c r="AB346" s="36">
        <f>AB347-AB348</f>
        <v>-5454.307</v>
      </c>
      <c r="AC346" s="36">
        <f>AC347-AC348</f>
        <v>-5385.996</v>
      </c>
      <c r="AD346" s="36">
        <f>AD347-AD348</f>
        <v>-5339.749</v>
      </c>
      <c r="AE346" s="36">
        <f>AE347-AE348</f>
        <v>-6093.316</v>
      </c>
      <c r="AF346" s="36">
        <f>AF347-AF348</f>
        <v>-6024.233</v>
      </c>
      <c r="AG346" s="36">
        <f>AG347-AG348</f>
        <v>-6024.233</v>
      </c>
      <c r="AH346" s="36">
        <f>AH347-AH348</f>
        <v>-6349.861</v>
      </c>
      <c r="AI346" s="36">
        <f>AI347-AI348</f>
        <v>-4925.747</v>
      </c>
      <c r="AJ346" s="36">
        <f>AJ347-AJ348</f>
        <v>-938.585</v>
      </c>
      <c r="AK346" s="36">
        <f>AK347-AK348</f>
        <v>-938.585</v>
      </c>
      <c r="AL346" s="36">
        <f>AL347-AL348</f>
        <v>-938.585</v>
      </c>
      <c r="AM346" s="36" t="e">
        <f>AM347-AM348</f>
        <v>#DIV/0!</v>
      </c>
      <c r="AN346" s="36">
        <f>AN347-AN348</f>
        <v>-938.585</v>
      </c>
      <c r="AO346" s="36" t="e">
        <f>AO347-AO348</f>
        <v>#DIV/0!</v>
      </c>
      <c r="AP346" s="36" t="e">
        <f>AP347-AP348</f>
        <v>#DIV/0!</v>
      </c>
      <c r="AQ346" s="36" t="e">
        <f>AQ347-AQ348</f>
        <v>#DIV/0!</v>
      </c>
      <c r="AR346" s="36" t="e">
        <f>AR347-AR348</f>
        <v>#DIV/0!</v>
      </c>
      <c r="AS346" s="36" t="e">
        <f>AS347-AS348</f>
        <v>#DIV/0!</v>
      </c>
      <c r="AT346" s="36" t="e">
        <f>AT347-AT348</f>
        <v>#DIV/0!</v>
      </c>
      <c r="AU346" s="36" t="e">
        <f>AU347-AU348</f>
        <v>#DIV/0!</v>
      </c>
      <c r="AV346" s="36" t="e">
        <f>AV347-AV348</f>
        <v>#DIV/0!</v>
      </c>
      <c r="AW346" s="36" t="e">
        <f>AW347-AW348</f>
        <v>#DIV/0!</v>
      </c>
      <c r="AX346" s="36" t="e">
        <f>AX347-AX348</f>
        <v>#DIV/0!</v>
      </c>
      <c r="AY346" s="36" t="e">
        <f>AY347-AY348</f>
        <v>#DIV/0!</v>
      </c>
      <c r="AZ346" s="36" t="e">
        <f>AZ347-AZ348</f>
        <v>#DIV/0!</v>
      </c>
      <c r="BA346" s="36" t="e">
        <f>BA347-BA348</f>
        <v>#DIV/0!</v>
      </c>
      <c r="BB346" s="36" t="e">
        <f>BB347-BB348</f>
        <v>#DIV/0!</v>
      </c>
      <c r="BC346" s="36" t="e">
        <f>BC347-BC348</f>
        <v>#DIV/0!</v>
      </c>
      <c r="BD346" s="36" t="e">
        <f>BD347-BD348</f>
        <v>#DIV/0!</v>
      </c>
      <c r="BE346" s="36" t="e">
        <f>BE347-BE348</f>
        <v>#DIV/0!</v>
      </c>
      <c r="BF346" s="36" t="e">
        <f>BF347-BF348</f>
        <v>#DIV/0!</v>
      </c>
      <c r="BG346" s="36" t="e">
        <f>BG347-BG348</f>
        <v>#DIV/0!</v>
      </c>
      <c r="BH346" s="36" t="e">
        <f>BH347-BH348</f>
        <v>#DIV/0!</v>
      </c>
      <c r="BI346" s="36" t="e">
        <f>BI347-BI348</f>
        <v>#DIV/0!</v>
      </c>
      <c r="BJ346" s="36" t="e">
        <f>BJ347-BJ348</f>
        <v>#DIV/0!</v>
      </c>
      <c r="BK346" s="36" t="e">
        <f>BK347-BK348</f>
        <v>#DIV/0!</v>
      </c>
      <c r="BL346" s="36" t="e">
        <f>BL347-BL348</f>
        <v>#DIV/0!</v>
      </c>
      <c r="BM346" s="36" t="e">
        <f>BM347-BM348</f>
        <v>#DIV/0!</v>
      </c>
      <c r="BN346" s="36" t="e">
        <f>BN347-BN348</f>
        <v>#DIV/0!</v>
      </c>
      <c r="BO346" s="36" t="e">
        <f>BO347-BO348</f>
        <v>#DIV/0!</v>
      </c>
      <c r="BP346" s="36" t="e">
        <f>BP347-BP348</f>
        <v>#DIV/0!</v>
      </c>
      <c r="BQ346" s="36" t="e">
        <f>BQ347-BQ348</f>
        <v>#DIV/0!</v>
      </c>
      <c r="BR346" s="36" t="e">
        <f>BR347-BR348</f>
        <v>#DIV/0!</v>
      </c>
      <c r="BS346" s="36" t="e">
        <f>BS347-BS348</f>
        <v>#DIV/0!</v>
      </c>
      <c r="BT346" s="36" t="e">
        <f>BT347-BT348</f>
        <v>#DIV/0!</v>
      </c>
      <c r="BU346" s="36" t="e">
        <f>BU347-BU348</f>
        <v>#DIV/0!</v>
      </c>
      <c r="BV346" s="36" t="e">
        <f>BV347-BV348</f>
        <v>#DIV/0!</v>
      </c>
      <c r="BW346" s="36" t="e">
        <f>BW347-BW348</f>
        <v>#DIV/0!</v>
      </c>
      <c r="BX346" s="36" t="e">
        <f>BX347-BX348</f>
        <v>#DIV/0!</v>
      </c>
      <c r="BY346" s="36" t="e">
        <f>BY347-BY348</f>
        <v>#DIV/0!</v>
      </c>
      <c r="BZ346" s="36" t="e">
        <f>BZ347-BZ348</f>
        <v>#DIV/0!</v>
      </c>
      <c r="CA346" s="36" t="e">
        <f>CA347-CA348</f>
        <v>#DIV/0!</v>
      </c>
      <c r="CB346" s="36" t="e">
        <f>CB347-CB348</f>
        <v>#DIV/0!</v>
      </c>
      <c r="CC346" s="36" t="e">
        <f>CC347-CC348</f>
        <v>#DIV/0!</v>
      </c>
      <c r="CD346" s="36" t="e">
        <f>CD347-CD348</f>
        <v>#DIV/0!</v>
      </c>
      <c r="CE346" s="36" t="e">
        <f>CE347-CE348</f>
        <v>#DIV/0!</v>
      </c>
      <c r="CF346" s="36" t="e">
        <f>CF347-CF348</f>
        <v>#DIV/0!</v>
      </c>
      <c r="CG346" s="36" t="e">
        <f>CG347-CG348</f>
        <v>#DIV/0!</v>
      </c>
      <c r="CH346" s="36" t="e">
        <f>CH347-CH348</f>
        <v>#DIV/0!</v>
      </c>
      <c r="CI346" s="36" t="e">
        <f>CI347-CI348</f>
        <v>#DIV/0!</v>
      </c>
      <c r="CJ346" s="36" t="e">
        <f>CJ347-CJ348</f>
        <v>#DIV/0!</v>
      </c>
      <c r="CK346" s="36" t="e">
        <f>CK347-CK348</f>
        <v>#DIV/0!</v>
      </c>
      <c r="CL346" s="36" t="e">
        <f>CL347-CL348</f>
        <v>#DIV/0!</v>
      </c>
      <c r="CM346" s="36" t="e">
        <f>CM347-CM348</f>
        <v>#DIV/0!</v>
      </c>
      <c r="CN346" s="36" t="e">
        <f>CN347-CN348</f>
        <v>#DIV/0!</v>
      </c>
      <c r="CO346" s="36" t="e">
        <f>CO347-CO348</f>
        <v>#DIV/0!</v>
      </c>
      <c r="CP346" s="36" t="e">
        <f>CP347-CP348</f>
        <v>#DIV/0!</v>
      </c>
      <c r="CQ346" s="36" t="e">
        <f>CQ347-CQ348</f>
        <v>#DIV/0!</v>
      </c>
      <c r="CR346" s="36" t="e">
        <f>CR347-CR348</f>
        <v>#DIV/0!</v>
      </c>
      <c r="CS346" s="36" t="e">
        <f>CS347-CS348</f>
        <v>#DIV/0!</v>
      </c>
      <c r="CT346" s="36" t="e">
        <f>CT347-CT348</f>
        <v>#DIV/0!</v>
      </c>
      <c r="CU346" s="36" t="e">
        <f>CU347-CU348</f>
        <v>#DIV/0!</v>
      </c>
      <c r="CV346" s="36" t="e">
        <f>CV347-CV348</f>
        <v>#DIV/0!</v>
      </c>
      <c r="CW346" s="36" t="e">
        <f>CW347-CW348</f>
        <v>#DIV/0!</v>
      </c>
      <c r="CX346" s="36" t="e">
        <f>CX347-CX348</f>
        <v>#DIV/0!</v>
      </c>
      <c r="CY346" s="36" t="e">
        <f>CY347-CY348</f>
        <v>#DIV/0!</v>
      </c>
    </row>
    <row r="347" customFormat="1" s="233">
      <c r="A347" s="224" t="n"/>
      <c r="B347" s="224" t="n"/>
      <c r="C347" s="233" t="inlineStr">
        <is>
          <t>CURRENT ASSETS</t>
        </is>
      </c>
      <c r="D347" s="241">
        <f>D139+D143+D147+D148+D149</f>
        <v>1295.897</v>
      </c>
      <c r="E347" s="241">
        <f>E139+E143+E147+E148+E149</f>
        <v>1410.891</v>
      </c>
      <c r="F347" s="241">
        <f>F139+F143+F147+F148+F149</f>
        <v>1434.089</v>
      </c>
      <c r="G347" s="241">
        <f>G139+G143+G147+G148+G149</f>
        <v>1556.03</v>
      </c>
      <c r="H347" s="241">
        <f>H139+H143+H147+H148+H149</f>
        <v>1556.03</v>
      </c>
      <c r="I347" s="226">
        <f>I139+I143+I147+I148+I149</f>
        <v>1703.803</v>
      </c>
      <c r="J347" s="226">
        <f>J139+J143+J147+J148+J149</f>
        <v>1826.746</v>
      </c>
      <c r="K347" s="226">
        <f>K139+K143+K147+K148+K149</f>
        <v>1889.106</v>
      </c>
      <c r="L347" s="226">
        <f>L139+L143+L147+L148+L149</f>
        <v>2042.021</v>
      </c>
      <c r="M347" s="226">
        <f>M139+M143+M147+M148+M149</f>
        <v>2042.021</v>
      </c>
      <c r="N347" s="226">
        <f>N139+N143+N147+N148+N149</f>
        <v>2089.069</v>
      </c>
      <c r="O347" s="226">
        <f>O139+O143+O147+O148+O149</f>
        <v>2021.329</v>
      </c>
      <c r="P347" s="226">
        <f>P139+P143+P147+P148+P149</f>
        <v>2703.17</v>
      </c>
      <c r="Q347" s="226">
        <f>Q139+Q143+Q147+Q148+Q149</f>
        <v>3208.021</v>
      </c>
      <c r="R347" s="226">
        <f>R139+R143+R147+R148+R149</f>
        <v>3208.021</v>
      </c>
      <c r="S347" s="226">
        <f>S139+S143+S147+S148+S149</f>
        <v>2655.119</v>
      </c>
      <c r="T347" s="226">
        <f>T139+T143+T147+T148+T149</f>
        <v>2929.347</v>
      </c>
      <c r="U347" s="226">
        <f>U139+U143+U147+U148+U149</f>
        <v>2912.028</v>
      </c>
      <c r="V347" s="226">
        <f>V139+V143+V147+V148+V149</f>
        <v>2780.247</v>
      </c>
      <c r="W347" s="226">
        <f>W139+W143+W147+W148+W149</f>
        <v>2780.247</v>
      </c>
      <c r="X347" s="226">
        <f>X139+X143+X147+X148+X149</f>
        <v>2875.574</v>
      </c>
      <c r="Y347" s="226">
        <f>Y139+Y143+Y147+Y148+Y149</f>
        <v>2959.641</v>
      </c>
      <c r="Z347" s="226">
        <f>Z139+Z143+Z147+Z148+Z149</f>
        <v>2905.172</v>
      </c>
      <c r="AA347" s="226">
        <f>AA139+AA143+AA147+AA148+AA149</f>
        <v>3516.64</v>
      </c>
      <c r="AB347" s="226">
        <f>AB139+AB143+AB147+AB148+AB149</f>
        <v>3516.64</v>
      </c>
      <c r="AC347" s="226">
        <f>AC139+AC143+AC147+AC148+AC149</f>
        <v>3326.642</v>
      </c>
      <c r="AD347" s="226">
        <f>AD139+AD143+AD147+AD148+AD149</f>
        <v>3602.586</v>
      </c>
      <c r="AE347" s="226">
        <f>AE139+AE143+AE147+AE148+AE149</f>
        <v>3638.543</v>
      </c>
      <c r="AF347" s="226">
        <f>AF139+AF143+AF147+AF148+AF149</f>
        <v>3957.832</v>
      </c>
      <c r="AG347" s="226">
        <f>AG139+AG143+AG147+AG148+AG149</f>
        <v>3957.832</v>
      </c>
      <c r="AH347" s="226">
        <f>AH139+AH143+AH147+AH148+AH149</f>
        <v>4782.532</v>
      </c>
      <c r="AI347" s="226">
        <f>AI139+AI143+AI147+AI148+AI149</f>
        <v>4725.393</v>
      </c>
      <c r="AJ347" s="226">
        <f>AJ139+AJ143+AJ147+AJ148+AJ149</f>
        <v>4725.393</v>
      </c>
      <c r="AK347" s="226">
        <f>AK139+AK143+AK147+AK148+AK149</f>
        <v>4725.393</v>
      </c>
      <c r="AL347" s="226">
        <f>AL139+AL143+AL147+AL148+AL149</f>
        <v>4725.393</v>
      </c>
      <c r="AM347" s="226">
        <f>AM139+AM143+AM147+AM148+AM149</f>
        <v>4725.393</v>
      </c>
      <c r="AN347" s="226">
        <f>AN139+AN143+AN147+AN148+AN149</f>
        <v>4725.393</v>
      </c>
      <c r="AO347" s="226">
        <f>AO139+AO143+AO147+AO148+AO149</f>
        <v>4725.393</v>
      </c>
      <c r="AP347" s="226">
        <f>AP139+AP143+AP147+AP148+AP149</f>
        <v>4725.393</v>
      </c>
      <c r="AQ347" s="226">
        <f>AQ139+AQ143+AQ147+AQ148+AQ149</f>
        <v>4725.393</v>
      </c>
      <c r="AR347" s="226">
        <f>AR139+AR143+AR147+AR148+AR149</f>
        <v>4725.393</v>
      </c>
      <c r="AS347" s="226">
        <f>AS139+AS143+AS147+AS148+AS149</f>
        <v>4725.393</v>
      </c>
      <c r="AT347" s="226">
        <f>AT139+AT143+AT147+AT148+AT149</f>
        <v>4725.393</v>
      </c>
      <c r="AU347" s="226">
        <f>AU139+AU143+AU147+AU148+AU149</f>
        <v>4725.393</v>
      </c>
      <c r="AV347" s="226">
        <f>AV139+AV143+AV147+AV148+AV149</f>
        <v>4725.393</v>
      </c>
      <c r="AW347" s="226">
        <f>AW139+AW143+AW147+AW148+AW149</f>
        <v>4725.393</v>
      </c>
      <c r="AX347" s="226">
        <f>AX139+AX143+AX147+AX148+AX149</f>
        <v>4725.393</v>
      </c>
      <c r="AY347" s="226">
        <f>AY139+AY143+AY147+AY148+AY149</f>
        <v>4725.393</v>
      </c>
      <c r="AZ347" s="226">
        <f>AZ139+AZ143+AZ147+AZ148+AZ149</f>
        <v>4725.393</v>
      </c>
      <c r="BA347" s="226">
        <f>BA139+BA143+BA147+BA148+BA149</f>
        <v>4725.393</v>
      </c>
      <c r="BB347" s="226">
        <f>BB139+BB143+BB147+BB148+BB149</f>
        <v>4725.393</v>
      </c>
      <c r="BC347" s="226">
        <f>BC139+BC143+BC147+BC148+BC149</f>
        <v>4725.393</v>
      </c>
      <c r="BD347" s="226">
        <f>BD139+BD143+BD147+BD148+BD149</f>
        <v>4725.393</v>
      </c>
      <c r="BE347" s="226">
        <f>BE139+BE143+BE147+BE148+BE149</f>
        <v>4725.393</v>
      </c>
      <c r="BF347" s="226">
        <f>BF139+BF143+BF147+BF148+BF149</f>
        <v>4725.393</v>
      </c>
      <c r="BG347" s="226">
        <f>BG139+BG143+BG147+BG148+BG149</f>
        <v>4725.393</v>
      </c>
      <c r="BH347" s="226">
        <f>BH139+BH143+BH147+BH148+BH149</f>
        <v>4725.393</v>
      </c>
      <c r="BI347" s="226">
        <f>BI139+BI143+BI147+BI148+BI149</f>
        <v>4725.393</v>
      </c>
      <c r="BJ347" s="226">
        <f>BJ139+BJ143+BJ147+BJ148+BJ149</f>
        <v>4725.393</v>
      </c>
      <c r="BK347" s="226">
        <f>BK139+BK143+BK147+BK148+BK149</f>
        <v>4725.393</v>
      </c>
      <c r="BL347" s="226">
        <f>BL139+BL143+BL147+BL148+BL149</f>
        <v>4725.393</v>
      </c>
      <c r="BM347" s="226">
        <f>BM139+BM143+BM147+BM148+BM149</f>
        <v>4725.393</v>
      </c>
      <c r="BN347" s="226">
        <f>BN139+BN143+BN147+BN148+BN149</f>
        <v>4725.393</v>
      </c>
      <c r="BO347" s="226">
        <f>BO139+BO143+BO147+BO148+BO149</f>
        <v>4725.393</v>
      </c>
      <c r="BP347" s="226">
        <f>BP139+BP143+BP147+BP148+BP149</f>
        <v>4725.393</v>
      </c>
      <c r="BQ347" s="226">
        <f>BQ139+BQ143+BQ147+BQ148+BQ149</f>
        <v>4725.393</v>
      </c>
      <c r="BR347" s="226">
        <f>BR139+BR143+BR147+BR148+BR149</f>
        <v>4725.393</v>
      </c>
      <c r="BS347" s="226">
        <f>BS139+BS143+BS147+BS148+BS149</f>
        <v>4725.393</v>
      </c>
      <c r="BT347" s="226">
        <f>BT139+BT143+BT147+BT148+BT149</f>
        <v>4725.393</v>
      </c>
      <c r="BU347" s="226">
        <f>BU139+BU143+BU147+BU148+BU149</f>
        <v>4725.393</v>
      </c>
      <c r="BV347" s="226">
        <f>BV139+BV143+BV147+BV148+BV149</f>
        <v>4725.393</v>
      </c>
      <c r="BW347" s="226">
        <f>BW139+BW143+BW147+BW148+BW149</f>
        <v>4725.393</v>
      </c>
      <c r="BX347" s="226">
        <f>BX139+BX143+BX147+BX148+BX149</f>
        <v>4725.393</v>
      </c>
      <c r="BY347" s="226">
        <f>BY139+BY143+BY147+BY148+BY149</f>
        <v>4725.393</v>
      </c>
      <c r="BZ347" s="226">
        <f>BZ139+BZ143+BZ147+BZ148+BZ149</f>
        <v>4725.393</v>
      </c>
      <c r="CA347" s="226">
        <f>CA139+CA143+CA147+CA148+CA149</f>
        <v>4725.393</v>
      </c>
      <c r="CB347" s="226">
        <f>CB139+CB143+CB147+CB148+CB149</f>
        <v>4725.393</v>
      </c>
      <c r="CC347" s="226">
        <f>CC139+CC143+CC147+CC148+CC149</f>
        <v>4725.393</v>
      </c>
      <c r="CD347" s="226">
        <f>CD139+CD143+CD147+CD148+CD149</f>
        <v>4725.393</v>
      </c>
      <c r="CE347" s="226">
        <f>CE139+CE143+CE147+CE148+CE149</f>
        <v>4725.393</v>
      </c>
      <c r="CF347" s="226">
        <f>CF139+CF143+CF147+CF148+CF149</f>
        <v>4725.393</v>
      </c>
      <c r="CG347" s="226">
        <f>CG139+CG143+CG147+CG148+CG149</f>
        <v>4725.393</v>
      </c>
      <c r="CH347" s="226">
        <f>CH139+CH143+CH147+CH148+CH149</f>
        <v>4725.393</v>
      </c>
      <c r="CI347" s="226">
        <f>CI139+CI143+CI147+CI148+CI149</f>
        <v>4725.393</v>
      </c>
      <c r="CJ347" s="226">
        <f>CJ139+CJ143+CJ147+CJ148+CJ149</f>
        <v>4725.393</v>
      </c>
      <c r="CK347" s="226">
        <f>CK139+CK143+CK147+CK148+CK149</f>
        <v>4725.393</v>
      </c>
      <c r="CL347" s="226">
        <f>CL139+CL143+CL147+CL148+CL149</f>
        <v>4725.393</v>
      </c>
      <c r="CM347" s="226">
        <f>CM139+CM143+CM147+CM148+CM149</f>
        <v>4725.393</v>
      </c>
      <c r="CN347" s="226">
        <f>CN139+CN143+CN147+CN148+CN149</f>
        <v>4725.393</v>
      </c>
      <c r="CO347" s="226">
        <f>CO139+CO143+CO147+CO148+CO149</f>
        <v>4725.393</v>
      </c>
      <c r="CP347" s="226">
        <f>CP139+CP143+CP147+CP148+CP149</f>
        <v>4725.393</v>
      </c>
      <c r="CQ347" s="226">
        <f>CQ139+CQ143+CQ147+CQ148+CQ149</f>
        <v>4725.393</v>
      </c>
      <c r="CR347" s="226">
        <f>CR139+CR143+CR147+CR148+CR149</f>
        <v>4725.393</v>
      </c>
      <c r="CS347" s="226">
        <f>CS139+CS143+CS147+CS148+CS149</f>
        <v>4725.393</v>
      </c>
      <c r="CT347" s="226">
        <f>CT139+CT143+CT147+CT148+CT149</f>
        <v>4725.393</v>
      </c>
      <c r="CU347" s="226">
        <f>CU139+CU143+CU147+CU148+CU149</f>
        <v>4725.393</v>
      </c>
      <c r="CV347" s="226">
        <f>CV139+CV143+CV147+CV148+CV149</f>
        <v>4725.393</v>
      </c>
      <c r="CW347" s="226">
        <f>CW139+CW143+CW147+CW148+CW149</f>
        <v>4725.393</v>
      </c>
      <c r="CX347" s="226">
        <f>CX139+CX143+CX147+CX148+CX149</f>
        <v>4725.393</v>
      </c>
      <c r="CY347" s="226">
        <f>CY139+CY143+CY147+CY148+CY149</f>
        <v>4725.393</v>
      </c>
    </row>
    <row r="348" customFormat="1" s="233">
      <c r="A348" s="224" t="n"/>
      <c r="B348" s="224" t="n"/>
      <c r="C348" s="233" t="inlineStr">
        <is>
          <t>CURRENT LIABILITIES</t>
        </is>
      </c>
      <c r="D348" s="241">
        <f>D192+D196+D198+D199</f>
        <v>7354.916</v>
      </c>
      <c r="E348" s="241">
        <f>E192+E196+E198+E199</f>
        <v>7127.257</v>
      </c>
      <c r="F348" s="241">
        <f>F192+F196+F198+F199</f>
        <v>7440.278</v>
      </c>
      <c r="G348" s="241">
        <f>G192+G196+G198+G199</f>
        <v>7305.907</v>
      </c>
      <c r="H348" s="241">
        <f>H192+H196+H198+H199</f>
        <v>7305.907</v>
      </c>
      <c r="I348" s="226">
        <f>I192+I196+I198+I199</f>
        <v>7262.982</v>
      </c>
      <c r="J348" s="226">
        <f>J192+J196+J198+J199</f>
        <v>7133.76</v>
      </c>
      <c r="K348" s="226">
        <f>K192+K196+K198+K199</f>
        <v>7349.773</v>
      </c>
      <c r="L348" s="226">
        <f>L192+L196+L198+L199</f>
        <v>7789.143</v>
      </c>
      <c r="M348" s="226">
        <f>M192+M196+M198+M199</f>
        <v>7789.143</v>
      </c>
      <c r="N348" s="226">
        <f>N192+N196+N198+N199</f>
        <v>7739.656</v>
      </c>
      <c r="O348" s="226">
        <f>O192+O196+O198+O199</f>
        <v>7500.022</v>
      </c>
      <c r="P348" s="226">
        <f>P192+P196+P198+P199</f>
        <v>7765.924</v>
      </c>
      <c r="Q348" s="226">
        <f>Q192+Q196+Q198+Q199</f>
        <v>7930.974</v>
      </c>
      <c r="R348" s="226">
        <f>R192+R196+R198+R199</f>
        <v>7930.974</v>
      </c>
      <c r="S348" s="226">
        <f>S192+S196+S198+S199</f>
        <v>7916.907</v>
      </c>
      <c r="T348" s="226">
        <f>T192+T196+T198+T199</f>
        <v>8276.418</v>
      </c>
      <c r="U348" s="226">
        <f>U192+U196+U198+U199</f>
        <v>7939.104</v>
      </c>
      <c r="V348" s="226">
        <f>V192+V196+V198+V199</f>
        <v>8460.811</v>
      </c>
      <c r="W348" s="226">
        <f>W192+W196+W198+W199</f>
        <v>8460.811</v>
      </c>
      <c r="X348" s="226">
        <f>X192+X196+X198+X199</f>
        <v>8490.281</v>
      </c>
      <c r="Y348" s="226">
        <f>Y192+Y196+Y198+Y199</f>
        <v>8339.958</v>
      </c>
      <c r="Z348" s="226">
        <f>Z192+Z196+Z198+Z199</f>
        <v>8886.73</v>
      </c>
      <c r="AA348" s="226">
        <f>AA192+AA196+AA198+AA199</f>
        <v>8970.947</v>
      </c>
      <c r="AB348" s="226">
        <f>AB192+AB196+AB198+AB199</f>
        <v>8970.947</v>
      </c>
      <c r="AC348" s="226">
        <f>AC192+AC196+AC198+AC199</f>
        <v>8712.638</v>
      </c>
      <c r="AD348" s="226">
        <f>AD192+AD196+AD198+AD199</f>
        <v>8942.335</v>
      </c>
      <c r="AE348" s="226">
        <f>AE192+AE196+AE198+AE199</f>
        <v>9731.859</v>
      </c>
      <c r="AF348" s="226">
        <f>AF192+AF196+AF198+AF199</f>
        <v>9982.065</v>
      </c>
      <c r="AG348" s="226">
        <f>AG192+AG196+AG198+AG199</f>
        <v>9982.065</v>
      </c>
      <c r="AH348" s="226">
        <f>AH192+AH196+AH198+AH199</f>
        <v>11132.393</v>
      </c>
      <c r="AI348" s="226">
        <f>AI192+AI196+AI198+AI199</f>
        <v>9651.14</v>
      </c>
      <c r="AJ348" s="226">
        <f>AJ192+AJ196+AJ198+AJ199</f>
        <v>5663.978</v>
      </c>
      <c r="AK348" s="226">
        <f>AK192+AK196+AK198+AK199</f>
        <v>5663.978</v>
      </c>
      <c r="AL348" s="226">
        <f>AL192+AL196+AL198+AL199</f>
        <v>5663.978</v>
      </c>
      <c r="AM348" s="226" t="e">
        <f>AM192+AM196+AM198+AM199</f>
        <v>#DIV/0!</v>
      </c>
      <c r="AN348" s="226">
        <f>AN192+AN196+AN198+AN199</f>
        <v>5663.978</v>
      </c>
      <c r="AO348" s="226" t="e">
        <f>AO192+AO196+AO198+AO199</f>
        <v>#DIV/0!</v>
      </c>
      <c r="AP348" s="226" t="e">
        <f>AP192+AP196+AP198+AP199</f>
        <v>#DIV/0!</v>
      </c>
      <c r="AQ348" s="226" t="e">
        <f>AQ192+AQ196+AQ198+AQ199</f>
        <v>#DIV/0!</v>
      </c>
      <c r="AR348" s="226" t="e">
        <f>AR192+AR196+AR198+AR199</f>
        <v>#DIV/0!</v>
      </c>
      <c r="AS348" s="226" t="e">
        <f>AS192+AS196+AS198+AS199</f>
        <v>#DIV/0!</v>
      </c>
      <c r="AT348" s="226" t="e">
        <f>AT192+AT196+AT198+AT199</f>
        <v>#DIV/0!</v>
      </c>
      <c r="AU348" s="226" t="e">
        <f>AU192+AU196+AU198+AU199</f>
        <v>#DIV/0!</v>
      </c>
      <c r="AV348" s="226" t="e">
        <f>AV192+AV196+AV198+AV199</f>
        <v>#DIV/0!</v>
      </c>
      <c r="AW348" s="226" t="e">
        <f>AW192+AW196+AW198+AW199</f>
        <v>#DIV/0!</v>
      </c>
      <c r="AX348" s="226" t="e">
        <f>AX192+AX196+AX198+AX199</f>
        <v>#DIV/0!</v>
      </c>
      <c r="AY348" s="226" t="e">
        <f>AY192+AY196+AY198+AY199</f>
        <v>#DIV/0!</v>
      </c>
      <c r="AZ348" s="226" t="e">
        <f>AZ192+AZ196+AZ198+AZ199</f>
        <v>#DIV/0!</v>
      </c>
      <c r="BA348" s="226" t="e">
        <f>BA192+BA196+BA198+BA199</f>
        <v>#DIV/0!</v>
      </c>
      <c r="BB348" s="226" t="e">
        <f>BB192+BB196+BB198+BB199</f>
        <v>#DIV/0!</v>
      </c>
      <c r="BC348" s="226" t="e">
        <f>BC192+BC196+BC198+BC199</f>
        <v>#DIV/0!</v>
      </c>
      <c r="BD348" s="226" t="e">
        <f>BD192+BD196+BD198+BD199</f>
        <v>#DIV/0!</v>
      </c>
      <c r="BE348" s="226" t="e">
        <f>BE192+BE196+BE198+BE199</f>
        <v>#DIV/0!</v>
      </c>
      <c r="BF348" s="226" t="e">
        <f>BF192+BF196+BF198+BF199</f>
        <v>#DIV/0!</v>
      </c>
      <c r="BG348" s="226" t="e">
        <f>BG192+BG196+BG198+BG199</f>
        <v>#DIV/0!</v>
      </c>
      <c r="BH348" s="226" t="e">
        <f>BH192+BH196+BH198+BH199</f>
        <v>#DIV/0!</v>
      </c>
      <c r="BI348" s="226" t="e">
        <f>BI192+BI196+BI198+BI199</f>
        <v>#DIV/0!</v>
      </c>
      <c r="BJ348" s="226" t="e">
        <f>BJ192+BJ196+BJ198+BJ199</f>
        <v>#DIV/0!</v>
      </c>
      <c r="BK348" s="226" t="e">
        <f>BK192+BK196+BK198+BK199</f>
        <v>#DIV/0!</v>
      </c>
      <c r="BL348" s="226" t="e">
        <f>BL192+BL196+BL198+BL199</f>
        <v>#DIV/0!</v>
      </c>
      <c r="BM348" s="226" t="e">
        <f>BM192+BM196+BM198+BM199</f>
        <v>#DIV/0!</v>
      </c>
      <c r="BN348" s="226" t="e">
        <f>BN192+BN196+BN198+BN199</f>
        <v>#DIV/0!</v>
      </c>
      <c r="BO348" s="226" t="e">
        <f>BO192+BO196+BO198+BO199</f>
        <v>#DIV/0!</v>
      </c>
      <c r="BP348" s="226" t="e">
        <f>BP192+BP196+BP198+BP199</f>
        <v>#DIV/0!</v>
      </c>
      <c r="BQ348" s="226" t="e">
        <f>BQ192+BQ196+BQ198+BQ199</f>
        <v>#DIV/0!</v>
      </c>
      <c r="BR348" s="226" t="e">
        <f>BR192+BR196+BR198+BR199</f>
        <v>#DIV/0!</v>
      </c>
      <c r="BS348" s="226" t="e">
        <f>BS192+BS196+BS198+BS199</f>
        <v>#DIV/0!</v>
      </c>
      <c r="BT348" s="226" t="e">
        <f>BT192+BT196+BT198+BT199</f>
        <v>#DIV/0!</v>
      </c>
      <c r="BU348" s="226" t="e">
        <f>BU192+BU196+BU198+BU199</f>
        <v>#DIV/0!</v>
      </c>
      <c r="BV348" s="226" t="e">
        <f>BV192+BV196+BV198+BV199</f>
        <v>#DIV/0!</v>
      </c>
      <c r="BW348" s="226" t="e">
        <f>BW192+BW196+BW198+BW199</f>
        <v>#DIV/0!</v>
      </c>
      <c r="BX348" s="226" t="e">
        <f>BX192+BX196+BX198+BX199</f>
        <v>#DIV/0!</v>
      </c>
      <c r="BY348" s="226" t="e">
        <f>BY192+BY196+BY198+BY199</f>
        <v>#DIV/0!</v>
      </c>
      <c r="BZ348" s="226" t="e">
        <f>BZ192+BZ196+BZ198+BZ199</f>
        <v>#DIV/0!</v>
      </c>
      <c r="CA348" s="226" t="e">
        <f>CA192+CA196+CA198+CA199</f>
        <v>#DIV/0!</v>
      </c>
      <c r="CB348" s="226" t="e">
        <f>CB192+CB196+CB198+CB199</f>
        <v>#DIV/0!</v>
      </c>
      <c r="CC348" s="226" t="e">
        <f>CC192+CC196+CC198+CC199</f>
        <v>#DIV/0!</v>
      </c>
      <c r="CD348" s="226" t="e">
        <f>CD192+CD196+CD198+CD199</f>
        <v>#DIV/0!</v>
      </c>
      <c r="CE348" s="226" t="e">
        <f>CE192+CE196+CE198+CE199</f>
        <v>#DIV/0!</v>
      </c>
      <c r="CF348" s="226" t="e">
        <f>CF192+CF196+CF198+CF199</f>
        <v>#DIV/0!</v>
      </c>
      <c r="CG348" s="226" t="e">
        <f>CG192+CG196+CG198+CG199</f>
        <v>#DIV/0!</v>
      </c>
      <c r="CH348" s="226" t="e">
        <f>CH192+CH196+CH198+CH199</f>
        <v>#DIV/0!</v>
      </c>
      <c r="CI348" s="226" t="e">
        <f>CI192+CI196+CI198+CI199</f>
        <v>#DIV/0!</v>
      </c>
      <c r="CJ348" s="226" t="e">
        <f>CJ192+CJ196+CJ198+CJ199</f>
        <v>#DIV/0!</v>
      </c>
      <c r="CK348" s="226" t="e">
        <f>CK192+CK196+CK198+CK199</f>
        <v>#DIV/0!</v>
      </c>
      <c r="CL348" s="226" t="e">
        <f>CL192+CL196+CL198+CL199</f>
        <v>#DIV/0!</v>
      </c>
      <c r="CM348" s="226" t="e">
        <f>CM192+CM196+CM198+CM199</f>
        <v>#DIV/0!</v>
      </c>
      <c r="CN348" s="226" t="e">
        <f>CN192+CN196+CN198+CN199</f>
        <v>#DIV/0!</v>
      </c>
      <c r="CO348" s="226" t="e">
        <f>CO192+CO196+CO198+CO199</f>
        <v>#DIV/0!</v>
      </c>
      <c r="CP348" s="226" t="e">
        <f>CP192+CP196+CP198+CP199</f>
        <v>#DIV/0!</v>
      </c>
      <c r="CQ348" s="226" t="e">
        <f>CQ192+CQ196+CQ198+CQ199</f>
        <v>#DIV/0!</v>
      </c>
      <c r="CR348" s="226" t="e">
        <f>CR192+CR196+CR198+CR199</f>
        <v>#DIV/0!</v>
      </c>
      <c r="CS348" s="226" t="e">
        <f>CS192+CS196+CS198+CS199</f>
        <v>#DIV/0!</v>
      </c>
      <c r="CT348" s="226" t="e">
        <f>CT192+CT196+CT198+CT199</f>
        <v>#DIV/0!</v>
      </c>
      <c r="CU348" s="226" t="e">
        <f>CU192+CU196+CU198+CU199</f>
        <v>#DIV/0!</v>
      </c>
      <c r="CV348" s="226" t="e">
        <f>CV192+CV196+CV198+CV199</f>
        <v>#DIV/0!</v>
      </c>
      <c r="CW348" s="226" t="e">
        <f>CW192+CW196+CW198+CW199</f>
        <v>#DIV/0!</v>
      </c>
      <c r="CX348" s="226" t="e">
        <f>CX192+CX196+CX198+CX199</f>
        <v>#DIV/0!</v>
      </c>
      <c r="CY348" s="226" t="e">
        <f>CY192+CY196+CY198+CY199</f>
        <v>#DIV/0!</v>
      </c>
    </row>
    <row r="349" customFormat="1" s="233">
      <c r="A349" s="224" t="n"/>
      <c r="B349" s="224" t="n"/>
      <c r="C349" s="233" t="inlineStr">
        <is>
          <t>FIXED ASSETS</t>
        </is>
      </c>
      <c r="D349" s="241">
        <f>D160+D170+D173+D174+D183-D234</f>
        <v>23985.93</v>
      </c>
      <c r="E349" s="241">
        <f>E160+E170+E173+E174+E183-E234</f>
        <v>23692.03</v>
      </c>
      <c r="F349" s="241">
        <f>F160+F170+F173+F174+F183-F234</f>
        <v>23994.254</v>
      </c>
      <c r="G349" s="241">
        <f>G160+G170+G173+G174+G183-G234</f>
        <v>24918.54</v>
      </c>
      <c r="H349" s="241">
        <f>H160+H170+H173+H174+H183-H234</f>
        <v>24918.54</v>
      </c>
      <c r="I349" s="226">
        <f>I160+I170+I173+I174+I183-I234</f>
        <v>25598.894</v>
      </c>
      <c r="J349" s="226">
        <f>J160+J170+J173+J174+J183-J234</f>
        <v>27019.372</v>
      </c>
      <c r="K349" s="226">
        <f>K160+K170+K173+K174+K183-K234</f>
        <v>28741.767</v>
      </c>
      <c r="L349" s="226">
        <f>L160+L170+L173+L174+L183-L234</f>
        <v>30961.461</v>
      </c>
      <c r="M349" s="226">
        <f>M160+M170+M173+M174+M183-M234</f>
        <v>30961.461</v>
      </c>
      <c r="N349" s="226">
        <f>N160+N170+N173+N174+N183-N234</f>
        <v>31720.241</v>
      </c>
      <c r="O349" s="226">
        <f>O160+O170+O173+O174+O183-O234</f>
        <v>32968.521</v>
      </c>
      <c r="P349" s="226">
        <f>P160+P170+P173+P174+P183-P234</f>
        <v>33365.279</v>
      </c>
      <c r="Q349" s="226">
        <f>Q160+Q170+Q173+Q174+Q183-Q234</f>
        <v>33794.978</v>
      </c>
      <c r="R349" s="226">
        <f>R160+R170+R173+R174+R183-R234</f>
        <v>33794.978</v>
      </c>
      <c r="S349" s="226">
        <f>S160+S170+S173+S174+S183-S234</f>
        <v>33699.608</v>
      </c>
      <c r="T349" s="226">
        <f>T160+T170+T173+T174+T183-T234</f>
        <v>34071.835</v>
      </c>
      <c r="U349" s="226">
        <f>U160+U170+U173+U174+U183-U234</f>
        <v>33567.625</v>
      </c>
      <c r="V349" s="226">
        <f>V160+V170+V173+V174+V183-V234</f>
        <v>33674.252</v>
      </c>
      <c r="W349" s="226">
        <f>W160+W170+W173+W174+W183-W234</f>
        <v>33674.252</v>
      </c>
      <c r="X349" s="226">
        <f>X160+X170+X173+X174+X183-X234</f>
        <v>33950.352</v>
      </c>
      <c r="Y349" s="226">
        <f>Y160+Y170+Y173+Y174+Y183-Y234</f>
        <v>34817.163</v>
      </c>
      <c r="Z349" s="226">
        <f>Z160+Z170+Z173+Z174+Z183-Z234</f>
        <v>35459.695</v>
      </c>
      <c r="AA349" s="226">
        <f>AA160+AA170+AA173+AA174+AA183-AA234</f>
        <v>36196.939</v>
      </c>
      <c r="AB349" s="226">
        <f>AB160+AB170+AB173+AB174+AB183-AB234</f>
        <v>36196.939</v>
      </c>
      <c r="AC349" s="226">
        <f>AC160+AC170+AC173+AC174+AC183-AC234</f>
        <v>36059.997</v>
      </c>
      <c r="AD349" s="226">
        <f>AD160+AD170+AD173+AD174+AD183-AD234</f>
        <v>36354.334</v>
      </c>
      <c r="AE349" s="226">
        <f>AE160+AE170+AE173+AE174+AE183-AE234</f>
        <v>37185.979</v>
      </c>
      <c r="AF349" s="226">
        <f>AF160+AF170+AF173+AF174+AF183-AF234</f>
        <v>38040.198</v>
      </c>
      <c r="AG349" s="226">
        <f>AG160+AG170+AG173+AG174+AG183-AG234</f>
        <v>38040.198</v>
      </c>
      <c r="AH349" s="226">
        <f>AH160+AH170+AH173+AH174+AH183-AH234</f>
        <v>39548.326</v>
      </c>
      <c r="AI349" s="226">
        <f>AI160+AI170+AI173+AI174+AI183-AI234</f>
        <v>40259.195</v>
      </c>
      <c r="AJ349" s="226">
        <f>AJ160+AJ170+AJ173+AJ174+AJ183-AJ234</f>
        <v>40259.195</v>
      </c>
      <c r="AK349" s="226">
        <f>AK160+AK170+AK173+AK174+AK183-AK234</f>
        <v>40259.195</v>
      </c>
      <c r="AL349" s="226">
        <f>AL160+AL170+AL173+AL174+AL183-AL234</f>
        <v>40259.195</v>
      </c>
      <c r="AM349" s="226">
        <f>AM160+AM170+AM173+AM174+AM183-AM234</f>
        <v>40259.195</v>
      </c>
      <c r="AN349" s="226">
        <f>AN160+AN170+AN173+AN174+AN183-AN234</f>
        <v>40259.195</v>
      </c>
      <c r="AO349" s="226">
        <f>AO160+AO170+AO173+AO174+AO183-AO234</f>
        <v>40259.195</v>
      </c>
      <c r="AP349" s="226">
        <f>AP160+AP170+AP173+AP174+AP183-AP234</f>
        <v>40259.195</v>
      </c>
      <c r="AQ349" s="226">
        <f>AQ160+AQ170+AQ173+AQ174+AQ183-AQ234</f>
        <v>40259.195</v>
      </c>
      <c r="AR349" s="226">
        <f>AR160+AR170+AR173+AR174+AR183-AR234</f>
        <v>40259.195</v>
      </c>
      <c r="AS349" s="226">
        <f>AS160+AS170+AS173+AS174+AS183-AS234</f>
        <v>40259.195</v>
      </c>
      <c r="AT349" s="226">
        <f>AT160+AT170+AT173+AT174+AT183-AT234</f>
        <v>40259.195</v>
      </c>
      <c r="AU349" s="226">
        <f>AU160+AU170+AU173+AU174+AU183-AU234</f>
        <v>40259.195</v>
      </c>
      <c r="AV349" s="226">
        <f>AV160+AV170+AV173+AV174+AV183-AV234</f>
        <v>40259.195</v>
      </c>
      <c r="AW349" s="226">
        <f>AW160+AW170+AW173+AW174+AW183-AW234</f>
        <v>40259.195</v>
      </c>
      <c r="AX349" s="226">
        <f>AX160+AX170+AX173+AX174+AX183-AX234</f>
        <v>40259.195</v>
      </c>
      <c r="AY349" s="226">
        <f>AY160+AY170+AY173+AY174+AY183-AY234</f>
        <v>40259.195</v>
      </c>
      <c r="AZ349" s="226">
        <f>AZ160+AZ170+AZ173+AZ174+AZ183-AZ234</f>
        <v>40259.195</v>
      </c>
      <c r="BA349" s="226">
        <f>BA160+BA170+BA173+BA174+BA183-BA234</f>
        <v>40259.195</v>
      </c>
      <c r="BB349" s="226">
        <f>BB160+BB170+BB173+BB174+BB183-BB234</f>
        <v>40259.195</v>
      </c>
      <c r="BC349" s="226">
        <f>BC160+BC170+BC173+BC174+BC183-BC234</f>
        <v>40259.195</v>
      </c>
      <c r="BD349" s="226">
        <f>BD160+BD170+BD173+BD174+BD183-BD234</f>
        <v>40259.195</v>
      </c>
      <c r="BE349" s="226">
        <f>BE160+BE170+BE173+BE174+BE183-BE234</f>
        <v>40259.195</v>
      </c>
      <c r="BF349" s="226">
        <f>BF160+BF170+BF173+BF174+BF183-BF234</f>
        <v>40259.195</v>
      </c>
      <c r="BG349" s="226">
        <f>BG160+BG170+BG173+BG174+BG183-BG234</f>
        <v>40259.195</v>
      </c>
      <c r="BH349" s="226">
        <f>BH160+BH170+BH173+BH174+BH183-BH234</f>
        <v>40259.195</v>
      </c>
      <c r="BI349" s="226">
        <f>BI160+BI170+BI173+BI174+BI183-BI234</f>
        <v>40259.195</v>
      </c>
      <c r="BJ349" s="226">
        <f>BJ160+BJ170+BJ173+BJ174+BJ183-BJ234</f>
        <v>40259.195</v>
      </c>
      <c r="BK349" s="226">
        <f>BK160+BK170+BK173+BK174+BK183-BK234</f>
        <v>40259.195</v>
      </c>
      <c r="BL349" s="226">
        <f>BL160+BL170+BL173+BL174+BL183-BL234</f>
        <v>40259.195</v>
      </c>
      <c r="BM349" s="226">
        <f>BM160+BM170+BM173+BM174+BM183-BM234</f>
        <v>40259.195</v>
      </c>
      <c r="BN349" s="226">
        <f>BN160+BN170+BN173+BN174+BN183-BN234</f>
        <v>40259.195</v>
      </c>
      <c r="BO349" s="226">
        <f>BO160+BO170+BO173+BO174+BO183-BO234</f>
        <v>40259.195</v>
      </c>
      <c r="BP349" s="226">
        <f>BP160+BP170+BP173+BP174+BP183-BP234</f>
        <v>40259.195</v>
      </c>
      <c r="BQ349" s="226">
        <f>BQ160+BQ170+BQ173+BQ174+BQ183-BQ234</f>
        <v>40259.195</v>
      </c>
      <c r="BR349" s="226">
        <f>BR160+BR170+BR173+BR174+BR183-BR234</f>
        <v>40259.195</v>
      </c>
      <c r="BS349" s="226">
        <f>BS160+BS170+BS173+BS174+BS183-BS234</f>
        <v>40259.195</v>
      </c>
      <c r="BT349" s="226">
        <f>BT160+BT170+BT173+BT174+BT183-BT234</f>
        <v>40259.195</v>
      </c>
      <c r="BU349" s="226">
        <f>BU160+BU170+BU173+BU174+BU183-BU234</f>
        <v>40259.195</v>
      </c>
      <c r="BV349" s="226">
        <f>BV160+BV170+BV173+BV174+BV183-BV234</f>
        <v>40259.195</v>
      </c>
      <c r="BW349" s="226">
        <f>BW160+BW170+BW173+BW174+BW183-BW234</f>
        <v>40259.195</v>
      </c>
      <c r="BX349" s="226">
        <f>BX160+BX170+BX173+BX174+BX183-BX234</f>
        <v>40259.195</v>
      </c>
      <c r="BY349" s="226">
        <f>BY160+BY170+BY173+BY174+BY183-BY234</f>
        <v>40259.195</v>
      </c>
      <c r="BZ349" s="226">
        <f>BZ160+BZ170+BZ173+BZ174+BZ183-BZ234</f>
        <v>40259.195</v>
      </c>
      <c r="CA349" s="226">
        <f>CA160+CA170+CA173+CA174+CA183-CA234</f>
        <v>40259.195</v>
      </c>
      <c r="CB349" s="226">
        <f>CB160+CB170+CB173+CB174+CB183-CB234</f>
        <v>40259.195</v>
      </c>
      <c r="CC349" s="226">
        <f>CC160+CC170+CC173+CC174+CC183-CC234</f>
        <v>40259.195</v>
      </c>
      <c r="CD349" s="226">
        <f>CD160+CD170+CD173+CD174+CD183-CD234</f>
        <v>40259.195</v>
      </c>
      <c r="CE349" s="226">
        <f>CE160+CE170+CE173+CE174+CE183-CE234</f>
        <v>40259.195</v>
      </c>
      <c r="CF349" s="226">
        <f>CF160+CF170+CF173+CF174+CF183-CF234</f>
        <v>40259.195</v>
      </c>
      <c r="CG349" s="226">
        <f>CG160+CG170+CG173+CG174+CG183-CG234</f>
        <v>40259.195</v>
      </c>
      <c r="CH349" s="226">
        <f>CH160+CH170+CH173+CH174+CH183-CH234</f>
        <v>40259.195</v>
      </c>
      <c r="CI349" s="226">
        <f>CI160+CI170+CI173+CI174+CI183-CI234</f>
        <v>40259.195</v>
      </c>
      <c r="CJ349" s="226">
        <f>CJ160+CJ170+CJ173+CJ174+CJ183-CJ234</f>
        <v>40259.195</v>
      </c>
      <c r="CK349" s="226">
        <f>CK160+CK170+CK173+CK174+CK183-CK234</f>
        <v>40259.195</v>
      </c>
      <c r="CL349" s="226">
        <f>CL160+CL170+CL173+CL174+CL183-CL234</f>
        <v>40259.195</v>
      </c>
      <c r="CM349" s="226">
        <f>CM160+CM170+CM173+CM174+CM183-CM234</f>
        <v>40259.195</v>
      </c>
      <c r="CN349" s="226">
        <f>CN160+CN170+CN173+CN174+CN183-CN234</f>
        <v>40259.195</v>
      </c>
      <c r="CO349" s="226">
        <f>CO160+CO170+CO173+CO174+CO183-CO234</f>
        <v>40259.195</v>
      </c>
      <c r="CP349" s="226">
        <f>CP160+CP170+CP173+CP174+CP183-CP234</f>
        <v>40259.195</v>
      </c>
      <c r="CQ349" s="226">
        <f>CQ160+CQ170+CQ173+CQ174+CQ183-CQ234</f>
        <v>40259.195</v>
      </c>
      <c r="CR349" s="226">
        <f>CR160+CR170+CR173+CR174+CR183-CR234</f>
        <v>40259.195</v>
      </c>
      <c r="CS349" s="226">
        <f>CS160+CS170+CS173+CS174+CS183-CS234</f>
        <v>40259.195</v>
      </c>
      <c r="CT349" s="226">
        <f>CT160+CT170+CT173+CT174+CT183-CT234</f>
        <v>40259.195</v>
      </c>
      <c r="CU349" s="226">
        <f>CU160+CU170+CU173+CU174+CU183-CU234</f>
        <v>40259.195</v>
      </c>
      <c r="CV349" s="226">
        <f>CV160+CV170+CV173+CV174+CV183-CV234</f>
        <v>40259.195</v>
      </c>
      <c r="CW349" s="226">
        <f>CW160+CW170+CW173+CW174+CW183-CW234</f>
        <v>40259.195</v>
      </c>
      <c r="CX349" s="226">
        <f>CX160+CX170+CX173+CX174+CX183-CX234</f>
        <v>40259.195</v>
      </c>
      <c r="CY349" s="226">
        <f>CY160+CY170+CY173+CY174+CY183-CY234</f>
        <v>40259.195</v>
      </c>
    </row>
    <row r="350" customFormat="1" s="233">
      <c r="A350" s="224" t="n"/>
      <c r="B350" s="224" t="n"/>
    </row>
    <row r="351" customFormat="1" s="233">
      <c r="A351" s="224" t="n"/>
      <c r="B351" s="224" t="n"/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</row>
    <row r="355" customFormat="1" s="233">
      <c r="A355" s="224" t="n"/>
      <c r="B355" s="224" t="n"/>
    </row>
    <row r="356" customFormat="1" s="233">
      <c r="A356" s="224" t="n"/>
      <c r="B356" s="224" t="n"/>
    </row>
    <row r="357" customFormat="1" s="233">
      <c r="A357" s="224" t="n"/>
      <c r="B357" s="224" t="n"/>
      <c r="C357" s="234" t="inlineStr">
        <is>
          <t>DUPONT ANALYSIS</t>
        </is>
      </c>
    </row>
    <row r="358" customFormat="1" s="233">
      <c r="A358" s="224" t="n"/>
      <c r="B358" s="224" t="n"/>
      <c r="C358" s="233" t="inlineStr">
        <is>
          <t>NET PROFIT MARGIN</t>
        </is>
      </c>
      <c r="D358" s="238">
        <f>D131/D15</f>
        <v>0.122937757934674</v>
      </c>
      <c r="E358" s="238">
        <f>E131/E15</f>
        <v>0.117137686828492</v>
      </c>
      <c r="F358" s="238">
        <f>F131/F15</f>
        <v>0.122750242128324</v>
      </c>
      <c r="G358" s="238">
        <f>G131/G15</f>
        <v>0.0815954146337646</v>
      </c>
      <c r="I358" s="222">
        <f>I131/I15</f>
        <v>0.23825880371595</v>
      </c>
      <c r="J358" s="222">
        <f>J131/J15</f>
        <v>0.184289580029467</v>
      </c>
      <c r="K358" s="222">
        <f>K131/K15</f>
        <v>0.193636318567316</v>
      </c>
      <c r="L358" s="222">
        <f>L131/L15</f>
        <v>0.0787915351267128</v>
      </c>
      <c r="N358" s="222">
        <f>N131/N15</f>
        <v>0.203036897254329</v>
      </c>
      <c r="O358" s="222">
        <f>O131/O15</f>
        <v>0.180793664754488</v>
      </c>
      <c r="P358" s="222">
        <f>P131/P15</f>
        <v>0.176421209830588</v>
      </c>
      <c r="Q358" s="222">
        <f>Q131/Q15</f>
        <v>0.00704070642416706</v>
      </c>
      <c r="S358" s="222">
        <f>S131/S15</f>
        <v>0.159911722142355</v>
      </c>
      <c r="T358" s="222">
        <f>T131/T15</f>
        <v>0.18169724064133</v>
      </c>
      <c r="U358" s="222">
        <f>U131/U15</f>
        <v>0.196381081540514</v>
      </c>
      <c r="V358" s="222">
        <f>V131/V15</f>
        <v>0.106176449776827</v>
      </c>
      <c r="X358" s="222">
        <f>X131/X15</f>
        <v>0.248890020105779</v>
      </c>
      <c r="Y358" s="222">
        <f>Y131/Y15</f>
        <v>0.224629811147457</v>
      </c>
      <c r="Z358" s="222">
        <f>Z131/Z15</f>
        <v>0.240567984599636</v>
      </c>
      <c r="AA358" s="222">
        <f>AA131/AA15</f>
        <v>0.18236516168964</v>
      </c>
      <c r="AC358" s="222">
        <f>AC131/AC15</f>
        <v>0.274153993801078</v>
      </c>
      <c r="AD358" s="222">
        <f>AD131/AD15</f>
        <v>0.282098219306399</v>
      </c>
      <c r="AE358" s="222">
        <f>AE131/AE15</f>
        <v>0.221272638514333</v>
      </c>
      <c r="AF358" s="222">
        <f>AF131/AF15</f>
        <v>0.20069444571223</v>
      </c>
      <c r="AH358" s="222">
        <f>AH131/AH15</f>
        <v>0.431256799624678</v>
      </c>
      <c r="AI358" s="222">
        <f>AI131/AI15</f>
        <v>0.270814553383942</v>
      </c>
      <c r="AJ358" s="222">
        <f>AJ131/AJ15</f>
        <v>0.247792348197142</v>
      </c>
      <c r="AK358" s="222">
        <f>AK131/AK15</f>
        <v>0.0042869488253108</v>
      </c>
      <c r="AM358" s="222">
        <f>AM131/AM15</f>
        <v>0.00421730814741876</v>
      </c>
      <c r="AN358" s="222">
        <f>AN131/AN15</f>
        <v>0.462395116918571</v>
      </c>
      <c r="AO358" s="222">
        <f>AO131/AO15</f>
        <v>0.00448823823725988</v>
      </c>
      <c r="AP358" s="222">
        <f>AP131/AP15</f>
        <v>0.481932511819585</v>
      </c>
      <c r="AR358" s="222">
        <f>AR131/AR15</f>
        <v>0.474103608749137</v>
      </c>
      <c r="AS358" s="222">
        <f>AS131/AS15</f>
        <v>0.933016548330095</v>
      </c>
      <c r="AT358" s="222">
        <f>AT131/AT15</f>
        <v>0.504561172868804</v>
      </c>
      <c r="AU358" s="222">
        <f>AU131/AU15</f>
        <v>0.972438921289791</v>
      </c>
      <c r="AW358" s="222">
        <f>AW131/AW15</f>
        <v>0.956641833793111</v>
      </c>
      <c r="AX358" s="222">
        <f>AX131/AX15</f>
        <v>2.79082333049733</v>
      </c>
      <c r="AY358" s="222">
        <f>AY131/AY15</f>
        <v>1.01809882221213</v>
      </c>
      <c r="AZ358" s="222">
        <f>AZ131/AZ15</f>
        <v>2.90874286621875</v>
      </c>
      <c r="BB358" s="222">
        <f>BB131/BB15</f>
        <v>2.8614908850845</v>
      </c>
      <c r="BC358" s="222">
        <f>BC131/BC15</f>
        <v>7.44767975765486</v>
      </c>
      <c r="BD358" s="222">
        <f>BD131/BD15</f>
        <v>3.04531999016186</v>
      </c>
      <c r="BE358" s="222">
        <f>BE131/BE15</f>
        <v>7.76236357501708</v>
      </c>
      <c r="BG358" s="222">
        <f>BG131/BG15</f>
        <v>7.63626543775522</v>
      </c>
      <c r="BH358" s="222">
        <f>BH131/BH15</f>
        <v>20.4770061763044</v>
      </c>
      <c r="BI358" s="222">
        <f>BI131/BI15</f>
        <v>8.12683762474798</v>
      </c>
      <c r="BJ358" s="222">
        <f>BJ131/BJ15</f>
        <v>21.3422128824717</v>
      </c>
      <c r="BL358" s="222">
        <f>BL131/BL15</f>
        <v>20.9955126456794</v>
      </c>
      <c r="BM358" s="222">
        <f>BM131/BM15</f>
        <v>55.8493718679185</v>
      </c>
      <c r="BN358" s="222">
        <f>BN131/BN15</f>
        <v>22.3443152298197</v>
      </c>
      <c r="BO358" s="222">
        <f>BO131/BO15</f>
        <v>58.2091529149775</v>
      </c>
      <c r="BQ358" s="222">
        <f>BQ131/BQ15</f>
        <v>57.2635561668693</v>
      </c>
      <c r="BR358" s="222">
        <f>BR131/BR15</f>
        <v>152.652756088446</v>
      </c>
      <c r="BS358" s="222">
        <f>BS131/BS15</f>
        <v>60.9423057091353</v>
      </c>
      <c r="BT358" s="222">
        <f>BT131/BT15</f>
        <v>159.102731594898</v>
      </c>
      <c r="BV358" s="222">
        <f>BV131/BV15</f>
        <v>156.518137625097</v>
      </c>
      <c r="BW358" s="222">
        <f>BW131/BW15</f>
        <v>417.004255912728</v>
      </c>
      <c r="BX358" s="222">
        <f>BX131/BX15</f>
        <v>166.57324187791</v>
      </c>
      <c r="BY358" s="222">
        <f>BY131/BY15</f>
        <v>434.623769019752</v>
      </c>
      <c r="CA358" s="222">
        <f>CA131/CA15</f>
        <v>427.563387583933</v>
      </c>
      <c r="CB358" s="222">
        <f>CB131/CB15</f>
        <v>1139.31402400235</v>
      </c>
      <c r="CC358" s="222">
        <f>CC131/CC15</f>
        <v>455.031095174091</v>
      </c>
      <c r="CD358" s="222">
        <f>CD131/CD15</f>
        <v>1187.4530012293</v>
      </c>
      <c r="CF358" s="222">
        <f>CF131/CF15</f>
        <v>1168.16305041806</v>
      </c>
      <c r="CG358" s="222">
        <f>CG131/CG15</f>
        <v>3112.63655983015</v>
      </c>
      <c r="CH358" s="222">
        <f>CH131/CH15</f>
        <v>1243.208674104</v>
      </c>
      <c r="CI358" s="222">
        <f>CI131/CI15</f>
        <v>3244.1535404981</v>
      </c>
      <c r="CK358" s="222">
        <f>CK131/CK15</f>
        <v>3191.45287600399</v>
      </c>
      <c r="CL358" s="222">
        <f>CL131/CL15</f>
        <v>8503.901167665</v>
      </c>
      <c r="CM358" s="222">
        <f>CM131/CM15</f>
        <v>3396.47953855618</v>
      </c>
      <c r="CN358" s="222">
        <f>CN131/CN15</f>
        <v>8863.21308345481</v>
      </c>
      <c r="CP358" s="222">
        <f>CP131/CP15</f>
        <v>8719.2318528441</v>
      </c>
      <c r="CQ358" s="222">
        <f>CQ131/CQ15</f>
        <v>23233.0754549903</v>
      </c>
      <c r="CR358" s="222">
        <f>CR131/CR15</f>
        <v>9279.37642532037</v>
      </c>
      <c r="CS358" s="222">
        <f>CS131/CS15</f>
        <v>24214.7332479058</v>
      </c>
      <c r="CU358" s="222">
        <f>CU131/CU15</f>
        <v>23821.3694576962</v>
      </c>
      <c r="CV358" s="222">
        <f>CV131/CV15</f>
        <v>63473.9532453106</v>
      </c>
      <c r="CW358" s="222">
        <f>CW131/CW15</f>
        <v>25351.7119277531</v>
      </c>
      <c r="CX358" s="222">
        <f>CX131/CX15</f>
        <v>66155.8926627213</v>
      </c>
    </row>
    <row r="359" customFormat="1" s="233">
      <c r="A359" s="224" t="n"/>
      <c r="B359" s="224" t="n"/>
      <c r="C359" s="233" t="inlineStr">
        <is>
          <t>ASSET TURNOVER</t>
        </is>
      </c>
      <c r="D359" s="238">
        <f>D131/D191</f>
        <v>0.0202244386822442</v>
      </c>
      <c r="E359" s="238">
        <f>E131/E191</f>
        <v>0.0193729806642215</v>
      </c>
      <c r="F359" s="238">
        <f>F131/F191</f>
        <v>0.0204537541714951</v>
      </c>
      <c r="G359" s="238">
        <f>G131/G191</f>
        <v>0.0138022160133516</v>
      </c>
      <c r="I359" s="222">
        <f>I131/I191</f>
        <v>0.0425370586566602</v>
      </c>
      <c r="J359" s="222">
        <f>J131/J191</f>
        <v>0.0330237002693297</v>
      </c>
      <c r="K359" s="222">
        <f>K131/K191</f>
        <v>0.0339044419357791</v>
      </c>
      <c r="L359" s="222">
        <f>L131/L191</f>
        <v>0.0136241693696328</v>
      </c>
      <c r="N359" s="222">
        <f>N131/N191</f>
        <v>0.0352396899033825</v>
      </c>
      <c r="O359" s="222">
        <f>O131/O191</f>
        <v>0.0310878518416079</v>
      </c>
      <c r="P359" s="222">
        <f>P131/P191</f>
        <v>0.0293981855796496</v>
      </c>
      <c r="Q359" s="222">
        <f>Q131/Q191</f>
        <v>0.0011376533374951</v>
      </c>
      <c r="S359" s="222">
        <f>S131/S191</f>
        <v>0.0263712043227826</v>
      </c>
      <c r="T359" s="222">
        <f>T131/T191</f>
        <v>0.029273592569233</v>
      </c>
      <c r="U359" s="222">
        <f>U131/U191</f>
        <v>0.0338860904937854</v>
      </c>
      <c r="V359" s="222">
        <f>V131/V191</f>
        <v>0.0192448114987789</v>
      </c>
      <c r="X359" s="222">
        <f>X131/X191</f>
        <v>0.0477640355158087</v>
      </c>
      <c r="Y359" s="222">
        <f>Y131/Y191</f>
        <v>0.0437343040001206</v>
      </c>
      <c r="Z359" s="222">
        <f>Z131/Z191</f>
        <v>0.0452070703550548</v>
      </c>
      <c r="AA359" s="222">
        <f>AA131/AA191</f>
        <v>0.0348423264771564</v>
      </c>
      <c r="AC359" s="222">
        <f>AC131/AC191</f>
        <v>0.0554901465691172</v>
      </c>
      <c r="AD359" s="222">
        <f>AD131/AD191</f>
        <v>0.0588593743267377</v>
      </c>
      <c r="AE359" s="222">
        <f>AE131/AE191</f>
        <v>0.0463624947631134</v>
      </c>
      <c r="AF359" s="222">
        <f>AF131/AF191</f>
        <v>0.043500931786005</v>
      </c>
      <c r="AH359" s="222">
        <f>AH131/AH191</f>
        <v>0.0865805435611437</v>
      </c>
      <c r="AI359" s="222">
        <f>AI131/AI191</f>
        <v>0.058193128089487</v>
      </c>
      <c r="AJ359" s="222">
        <f>AJ131/AJ191</f>
        <v>0.0497626076182432</v>
      </c>
      <c r="AK359" s="222">
        <f>AK131/AK191</f>
        <v>0.000900533486907985</v>
      </c>
      <c r="AM359" s="222" t="e">
        <f>AM131/AM191</f>
        <v>#DIV/0!</v>
      </c>
      <c r="AN359" s="222" t="e">
        <f>AN131/AN191</f>
        <v>#DIV/0!</v>
      </c>
      <c r="AO359" s="222" t="e">
        <f>AO131/AO191</f>
        <v>#DIV/0!</v>
      </c>
      <c r="AP359" s="222" t="e">
        <f>AP131/AP191</f>
        <v>#DIV/0!</v>
      </c>
      <c r="AR359" s="222" t="e">
        <f>AR131/AR191</f>
        <v>#DIV/0!</v>
      </c>
      <c r="AS359" s="222" t="e">
        <f>AS131/AS191</f>
        <v>#DIV/0!</v>
      </c>
      <c r="AT359" s="222" t="e">
        <f>AT131/AT191</f>
        <v>#DIV/0!</v>
      </c>
      <c r="AU359" s="222" t="e">
        <f>AU131/AU191</f>
        <v>#DIV/0!</v>
      </c>
      <c r="AW359" s="222" t="e">
        <f>AW131/AW191</f>
        <v>#DIV/0!</v>
      </c>
      <c r="AX359" s="222" t="e">
        <f>AX131/AX191</f>
        <v>#DIV/0!</v>
      </c>
      <c r="AY359" s="222" t="e">
        <f>AY131/AY191</f>
        <v>#DIV/0!</v>
      </c>
      <c r="AZ359" s="222" t="e">
        <f>AZ131/AZ191</f>
        <v>#DIV/0!</v>
      </c>
      <c r="BB359" s="222" t="e">
        <f>BB131/BB191</f>
        <v>#DIV/0!</v>
      </c>
      <c r="BC359" s="222" t="e">
        <f>BC131/BC191</f>
        <v>#DIV/0!</v>
      </c>
      <c r="BD359" s="222" t="e">
        <f>BD131/BD191</f>
        <v>#DIV/0!</v>
      </c>
      <c r="BE359" s="222" t="e">
        <f>BE131/BE191</f>
        <v>#DIV/0!</v>
      </c>
      <c r="BG359" s="222" t="e">
        <f>BG131/BG191</f>
        <v>#DIV/0!</v>
      </c>
      <c r="BH359" s="222" t="e">
        <f>BH131/BH191</f>
        <v>#DIV/0!</v>
      </c>
      <c r="BI359" s="222" t="e">
        <f>BI131/BI191</f>
        <v>#DIV/0!</v>
      </c>
      <c r="BJ359" s="222" t="e">
        <f>BJ131/BJ191</f>
        <v>#DIV/0!</v>
      </c>
      <c r="BL359" s="222" t="e">
        <f>BL131/BL191</f>
        <v>#DIV/0!</v>
      </c>
      <c r="BM359" s="222" t="e">
        <f>BM131/BM191</f>
        <v>#DIV/0!</v>
      </c>
      <c r="BN359" s="222" t="e">
        <f>BN131/BN191</f>
        <v>#DIV/0!</v>
      </c>
      <c r="BO359" s="222" t="e">
        <f>BO131/BO191</f>
        <v>#DIV/0!</v>
      </c>
      <c r="BQ359" s="222" t="e">
        <f>BQ131/BQ191</f>
        <v>#DIV/0!</v>
      </c>
      <c r="BR359" s="222" t="e">
        <f>BR131/BR191</f>
        <v>#DIV/0!</v>
      </c>
      <c r="BS359" s="222" t="e">
        <f>BS131/BS191</f>
        <v>#DIV/0!</v>
      </c>
      <c r="BT359" s="222" t="e">
        <f>BT131/BT191</f>
        <v>#DIV/0!</v>
      </c>
      <c r="BV359" s="222" t="e">
        <f>BV131/BV191</f>
        <v>#DIV/0!</v>
      </c>
      <c r="BW359" s="222" t="e">
        <f>BW131/BW191</f>
        <v>#DIV/0!</v>
      </c>
      <c r="BX359" s="222" t="e">
        <f>BX131/BX191</f>
        <v>#DIV/0!</v>
      </c>
      <c r="BY359" s="222" t="e">
        <f>BY131/BY191</f>
        <v>#DIV/0!</v>
      </c>
      <c r="CA359" s="222" t="e">
        <f>CA131/CA191</f>
        <v>#DIV/0!</v>
      </c>
      <c r="CB359" s="222" t="e">
        <f>CB131/CB191</f>
        <v>#DIV/0!</v>
      </c>
      <c r="CC359" s="222" t="e">
        <f>CC131/CC191</f>
        <v>#DIV/0!</v>
      </c>
      <c r="CD359" s="222" t="e">
        <f>CD131/CD191</f>
        <v>#DIV/0!</v>
      </c>
      <c r="CF359" s="222" t="e">
        <f>CF131/CF191</f>
        <v>#DIV/0!</v>
      </c>
      <c r="CG359" s="222" t="e">
        <f>CG131/CG191</f>
        <v>#DIV/0!</v>
      </c>
      <c r="CH359" s="222" t="e">
        <f>CH131/CH191</f>
        <v>#DIV/0!</v>
      </c>
      <c r="CI359" s="222" t="e">
        <f>CI131/CI191</f>
        <v>#DIV/0!</v>
      </c>
      <c r="CK359" s="222" t="e">
        <f>CK131/CK191</f>
        <v>#DIV/0!</v>
      </c>
      <c r="CL359" s="222" t="e">
        <f>CL131/CL191</f>
        <v>#DIV/0!</v>
      </c>
      <c r="CM359" s="222" t="e">
        <f>CM131/CM191</f>
        <v>#DIV/0!</v>
      </c>
      <c r="CN359" s="222" t="e">
        <f>CN131/CN191</f>
        <v>#DIV/0!</v>
      </c>
      <c r="CP359" s="222" t="e">
        <f>CP131/CP191</f>
        <v>#DIV/0!</v>
      </c>
      <c r="CQ359" s="222" t="e">
        <f>CQ131/CQ191</f>
        <v>#DIV/0!</v>
      </c>
      <c r="CR359" s="222" t="e">
        <f>CR131/CR191</f>
        <v>#DIV/0!</v>
      </c>
      <c r="CS359" s="222" t="e">
        <f>CS131/CS191</f>
        <v>#DIV/0!</v>
      </c>
      <c r="CU359" s="222" t="e">
        <f>CU131/CU191</f>
        <v>#DIV/0!</v>
      </c>
      <c r="CV359" s="222" t="e">
        <f>CV131/CV191</f>
        <v>#DIV/0!</v>
      </c>
      <c r="CW359" s="222" t="e">
        <f>CW131/CW191</f>
        <v>#DIV/0!</v>
      </c>
      <c r="CX359" s="222" t="e">
        <f>CX131/CX191</f>
        <v>#DIV/0!</v>
      </c>
    </row>
    <row r="360" customFormat="1" s="233">
      <c r="A360" s="224" t="n"/>
      <c r="B360" s="224" t="n"/>
      <c r="C360" s="233" t="inlineStr">
        <is>
          <t>EQUITY MULTIPLIER</t>
        </is>
      </c>
      <c r="D360" s="238">
        <f>D191/D265</f>
        <v>4.169185903121</v>
      </c>
      <c r="E360" s="238">
        <f>E191/E265</f>
        <v>3.98246006080718</v>
      </c>
      <c r="F360" s="238">
        <f>F191/F265</f>
        <v>3.73766918928209</v>
      </c>
      <c r="G360" s="238">
        <f>G191/G265</f>
        <v>3.54988766624131</v>
      </c>
      <c r="I360" s="222">
        <f>I191/I265</f>
        <v>3.11415436725013</v>
      </c>
      <c r="J360" s="222">
        <f>J191/J265</f>
        <v>2.95523299372881</v>
      </c>
      <c r="K360" s="222">
        <f>K191/K265</f>
        <v>2.79078849964057</v>
      </c>
      <c r="L360" s="222">
        <f>L191/L265</f>
        <v>2.81304595650216</v>
      </c>
      <c r="N360" s="222">
        <f>N191/N265</f>
        <v>2.58383511345363</v>
      </c>
      <c r="O360" s="222">
        <f>O191/O265</f>
        <v>2.42980699176881</v>
      </c>
      <c r="P360" s="222">
        <f>P191/P265</f>
        <v>2.31692616491674</v>
      </c>
      <c r="Q360" s="222">
        <f>Q191/Q265</f>
        <v>2.33882803725066</v>
      </c>
      <c r="S360" s="222">
        <f>S191/S265</f>
        <v>2.26726684147421</v>
      </c>
      <c r="T360" s="222">
        <f>T191/T265</f>
        <v>2.22569176928301</v>
      </c>
      <c r="U360" s="222">
        <f>U191/U265</f>
        <v>2.23912706687154</v>
      </c>
      <c r="V360" s="222">
        <f>V191/V265</f>
        <v>2.36697353493703</v>
      </c>
      <c r="X360" s="222">
        <f>X191/X265</f>
        <v>2.28536316410497</v>
      </c>
      <c r="Y360" s="222">
        <f>Y191/Y265</f>
        <v>2.22039418717566</v>
      </c>
      <c r="Z360" s="222">
        <f>Z191/Z265</f>
        <v>2.30106295852388</v>
      </c>
      <c r="AA360" s="222">
        <f>AA191/AA265</f>
        <v>2.16744715909392</v>
      </c>
      <c r="AC360" s="222">
        <f>AC191/AC265</f>
        <v>2.16778282636315</v>
      </c>
      <c r="AD360" s="222">
        <f>AD191/AD265</f>
        <v>2.1280810731079</v>
      </c>
      <c r="AE360" s="222">
        <f>AE191/AE265</f>
        <v>2.11662020953582</v>
      </c>
      <c r="AF360" s="222">
        <f>AF191/AF265</f>
        <v>2.08889624717758</v>
      </c>
      <c r="AH360" s="222">
        <f>AH191/AH265</f>
        <v>1.96026254113108</v>
      </c>
      <c r="AI360" s="222">
        <f>AI191/AI265</f>
        <v>1.9385228242509</v>
      </c>
      <c r="AJ360" s="222">
        <f>AJ191/AJ265</f>
        <v>1.73660969637275</v>
      </c>
      <c r="AK360" s="222">
        <f>AK191/AK265</f>
        <v>1.73545849438764</v>
      </c>
      <c r="AM360" s="222" t="e">
        <f>AM191/AM265</f>
        <v>#DIV/0!</v>
      </c>
      <c r="AN360" s="222" t="e">
        <f>AN191/AN265</f>
        <v>#DIV/0!</v>
      </c>
      <c r="AO360" s="222" t="e">
        <f>AO191/AO265</f>
        <v>#DIV/0!</v>
      </c>
      <c r="AP360" s="222" t="e">
        <f>AP191/AP265</f>
        <v>#DIV/0!</v>
      </c>
      <c r="AR360" s="222" t="e">
        <f>AR191/AR265</f>
        <v>#DIV/0!</v>
      </c>
      <c r="AS360" s="222" t="e">
        <f>AS191/AS265</f>
        <v>#DIV/0!</v>
      </c>
      <c r="AT360" s="222" t="e">
        <f>AT191/AT265</f>
        <v>#DIV/0!</v>
      </c>
      <c r="AU360" s="222" t="e">
        <f>AU191/AU265</f>
        <v>#DIV/0!</v>
      </c>
      <c r="AW360" s="222" t="e">
        <f>AW191/AW265</f>
        <v>#DIV/0!</v>
      </c>
      <c r="AX360" s="222" t="e">
        <f>AX191/AX265</f>
        <v>#DIV/0!</v>
      </c>
      <c r="AY360" s="222" t="e">
        <f>AY191/AY265</f>
        <v>#DIV/0!</v>
      </c>
      <c r="AZ360" s="222" t="e">
        <f>AZ191/AZ265</f>
        <v>#DIV/0!</v>
      </c>
      <c r="BB360" s="222" t="e">
        <f>BB191/BB265</f>
        <v>#DIV/0!</v>
      </c>
      <c r="BC360" s="222" t="e">
        <f>BC191/BC265</f>
        <v>#DIV/0!</v>
      </c>
      <c r="BD360" s="222" t="e">
        <f>BD191/BD265</f>
        <v>#DIV/0!</v>
      </c>
      <c r="BE360" s="222" t="e">
        <f>BE191/BE265</f>
        <v>#DIV/0!</v>
      </c>
      <c r="BG360" s="222" t="e">
        <f>BG191/BG265</f>
        <v>#DIV/0!</v>
      </c>
      <c r="BH360" s="222" t="e">
        <f>BH191/BH265</f>
        <v>#DIV/0!</v>
      </c>
      <c r="BI360" s="222" t="e">
        <f>BI191/BI265</f>
        <v>#DIV/0!</v>
      </c>
      <c r="BJ360" s="222" t="e">
        <f>BJ191/BJ265</f>
        <v>#DIV/0!</v>
      </c>
      <c r="BL360" s="222" t="e">
        <f>BL191/BL265</f>
        <v>#DIV/0!</v>
      </c>
      <c r="BM360" s="222" t="e">
        <f>BM191/BM265</f>
        <v>#DIV/0!</v>
      </c>
      <c r="BN360" s="222" t="e">
        <f>BN191/BN265</f>
        <v>#DIV/0!</v>
      </c>
      <c r="BO360" s="222" t="e">
        <f>BO191/BO265</f>
        <v>#DIV/0!</v>
      </c>
      <c r="BQ360" s="222" t="e">
        <f>BQ191/BQ265</f>
        <v>#DIV/0!</v>
      </c>
      <c r="BR360" s="222" t="e">
        <f>BR191/BR265</f>
        <v>#DIV/0!</v>
      </c>
      <c r="BS360" s="222" t="e">
        <f>BS191/BS265</f>
        <v>#DIV/0!</v>
      </c>
      <c r="BT360" s="222" t="e">
        <f>BT191/BT265</f>
        <v>#DIV/0!</v>
      </c>
      <c r="BV360" s="222" t="e">
        <f>BV191/BV265</f>
        <v>#DIV/0!</v>
      </c>
      <c r="BW360" s="222" t="e">
        <f>BW191/BW265</f>
        <v>#DIV/0!</v>
      </c>
      <c r="BX360" s="222" t="e">
        <f>BX191/BX265</f>
        <v>#DIV/0!</v>
      </c>
      <c r="BY360" s="222" t="e">
        <f>BY191/BY265</f>
        <v>#DIV/0!</v>
      </c>
      <c r="CA360" s="222" t="e">
        <f>CA191/CA265</f>
        <v>#DIV/0!</v>
      </c>
      <c r="CB360" s="222" t="e">
        <f>CB191/CB265</f>
        <v>#DIV/0!</v>
      </c>
      <c r="CC360" s="222" t="e">
        <f>CC191/CC265</f>
        <v>#DIV/0!</v>
      </c>
      <c r="CD360" s="222" t="e">
        <f>CD191/CD265</f>
        <v>#DIV/0!</v>
      </c>
      <c r="CF360" s="222" t="e">
        <f>CF191/CF265</f>
        <v>#DIV/0!</v>
      </c>
      <c r="CG360" s="222" t="e">
        <f>CG191/CG265</f>
        <v>#DIV/0!</v>
      </c>
      <c r="CH360" s="222" t="e">
        <f>CH191/CH265</f>
        <v>#DIV/0!</v>
      </c>
      <c r="CI360" s="222" t="e">
        <f>CI191/CI265</f>
        <v>#DIV/0!</v>
      </c>
      <c r="CK360" s="222" t="e">
        <f>CK191/CK265</f>
        <v>#DIV/0!</v>
      </c>
      <c r="CL360" s="222" t="e">
        <f>CL191/CL265</f>
        <v>#DIV/0!</v>
      </c>
      <c r="CM360" s="222" t="e">
        <f>CM191/CM265</f>
        <v>#DIV/0!</v>
      </c>
      <c r="CN360" s="222" t="e">
        <f>CN191/CN265</f>
        <v>#DIV/0!</v>
      </c>
      <c r="CP360" s="222" t="e">
        <f>CP191/CP265</f>
        <v>#DIV/0!</v>
      </c>
      <c r="CQ360" s="222" t="e">
        <f>CQ191/CQ265</f>
        <v>#DIV/0!</v>
      </c>
      <c r="CR360" s="222" t="e">
        <f>CR191/CR265</f>
        <v>#DIV/0!</v>
      </c>
      <c r="CS360" s="222" t="e">
        <f>CS191/CS265</f>
        <v>#DIV/0!</v>
      </c>
      <c r="CU360" s="222" t="e">
        <f>CU191/CU265</f>
        <v>#DIV/0!</v>
      </c>
      <c r="CV360" s="222" t="e">
        <f>CV191/CV265</f>
        <v>#DIV/0!</v>
      </c>
      <c r="CW360" s="222" t="e">
        <f>CW191/CW265</f>
        <v>#DIV/0!</v>
      </c>
      <c r="CX360" s="222" t="e">
        <f>CX191/CX265</f>
        <v>#DIV/0!</v>
      </c>
    </row>
    <row r="361" customFormat="1" s="233">
      <c r="A361" s="224" t="n"/>
      <c r="B361" s="224" t="n"/>
      <c r="C361" s="233" t="inlineStr">
        <is>
          <t>ROE - DUPONT</t>
        </is>
      </c>
      <c r="D361" s="238">
        <f>PRODUCT(D358:D360)</f>
        <v>0.0103660434758811</v>
      </c>
      <c r="E361" s="238">
        <f>PRODUCT(E358:E360)</f>
        <v>0.00903742107617979</v>
      </c>
      <c r="F361" s="238">
        <f>PRODUCT(F358:F360)</f>
        <v>0.00938417828181359</v>
      </c>
      <c r="G361" s="238">
        <f>PRODUCT(G358:G360)</f>
        <v>0.00399787475158092</v>
      </c>
      <c r="I361" s="222">
        <f>PRODUCT(I358:I360)</f>
        <v>0.0315614210858725</v>
      </c>
      <c r="J361" s="222">
        <f>PRODUCT(J358:J360)</f>
        <v>0.0179853229696388</v>
      </c>
      <c r="K361" s="222">
        <f>PRODUCT(K358:K360)</f>
        <v>0.0183218929851566</v>
      </c>
      <c r="L361" s="222">
        <f>PRODUCT(L358:L360)</f>
        <v>0.00301971824723066</v>
      </c>
      <c r="N361" s="222">
        <f>PRODUCT(N358:N360)</f>
        <v>0.0184872299023182</v>
      </c>
      <c r="O361" s="222">
        <f>PRODUCT(O358:O360)</f>
        <v>0.0136566977928175</v>
      </c>
      <c r="P361" s="222">
        <f>PRODUCT(P358:P360)</f>
        <v>0.0120166529095811</v>
      </c>
      <c r="Q361" s="222">
        <f>PRODUCT(Q358:Q360)</f>
        <v>1.87337393138657e-05</v>
      </c>
      <c r="S361" s="222">
        <f>PRODUCT(S358:S360)</f>
        <v>0.00956121095863492</v>
      </c>
      <c r="T361" s="222">
        <f>PRODUCT(T358:T360)</f>
        <v>0.0118383009335909</v>
      </c>
      <c r="U361" s="222">
        <f>PRODUCT(U358:U360)</f>
        <v>0.0149004660952463</v>
      </c>
      <c r="V361" s="222">
        <f>PRODUCT(V358:V360)</f>
        <v>0.00483654534034913</v>
      </c>
      <c r="X361" s="222">
        <f>PRODUCT(X358:X360)</f>
        <v>0.0271683784631739</v>
      </c>
      <c r="Y361" s="222">
        <f>PRODUCT(Y358:Y360)</f>
        <v>0.0218132156610595</v>
      </c>
      <c r="Z361" s="222">
        <f>PRODUCT(Z358:Z360)</f>
        <v>0.0250249198227162</v>
      </c>
      <c r="AA361" s="222">
        <f>PRODUCT(AA358:AA360)</f>
        <v>0.0137720166898084</v>
      </c>
      <c r="AC361" s="222">
        <f>PRODUCT(AC358:AC360)</f>
        <v>0.0329781447782741</v>
      </c>
      <c r="AD361" s="222">
        <f>PRODUCT(AD358:AD360)</f>
        <v>0.0353349234820592</v>
      </c>
      <c r="AE361" s="222">
        <f>PRODUCT(AE358:AE360)</f>
        <v>0.0217138808433591</v>
      </c>
      <c r="AF361" s="222">
        <f>PRODUCT(AF358:AF360)</f>
        <v>0.0182368901723082</v>
      </c>
      <c r="AH361" s="222">
        <f>PRODUCT(AH358:AH360)</f>
        <v>0.0731931612052539</v>
      </c>
      <c r="AI361" s="222">
        <f>PRODUCT(AI358:AI360)</f>
        <v>0.0305502396083652</v>
      </c>
      <c r="AJ361" s="222">
        <f>PRODUCT(AJ358:AJ360)</f>
        <v>0.0214137753722282</v>
      </c>
      <c r="AK361" s="222">
        <f>PRODUCT(AK358:AK360)</f>
        <v>6.69980862600511e-06</v>
      </c>
      <c r="AM361" s="222" t="e">
        <f>PRODUCT(AM358:AM360)</f>
        <v>#DIV/0!</v>
      </c>
      <c r="AN361" s="222" t="e">
        <f>PRODUCT(AN358:AN360)</f>
        <v>#DIV/0!</v>
      </c>
      <c r="AO361" s="222" t="e">
        <f>PRODUCT(AO358:AO360)</f>
        <v>#DIV/0!</v>
      </c>
      <c r="AP361" s="222" t="e">
        <f>PRODUCT(AP358:AP360)</f>
        <v>#DIV/0!</v>
      </c>
      <c r="AR361" s="222" t="e">
        <f>PRODUCT(AR358:AR360)</f>
        <v>#DIV/0!</v>
      </c>
      <c r="AS361" s="222" t="e">
        <f>PRODUCT(AS358:AS360)</f>
        <v>#DIV/0!</v>
      </c>
      <c r="AT361" s="222" t="e">
        <f>PRODUCT(AT358:AT360)</f>
        <v>#DIV/0!</v>
      </c>
      <c r="AU361" s="222" t="e">
        <f>PRODUCT(AU358:AU360)</f>
        <v>#DIV/0!</v>
      </c>
      <c r="AW361" s="222" t="e">
        <f>PRODUCT(AW358:AW360)</f>
        <v>#DIV/0!</v>
      </c>
      <c r="AX361" s="222" t="e">
        <f>PRODUCT(AX358:AX360)</f>
        <v>#DIV/0!</v>
      </c>
      <c r="AY361" s="222" t="e">
        <f>PRODUCT(AY358:AY360)</f>
        <v>#DIV/0!</v>
      </c>
      <c r="AZ361" s="222" t="e">
        <f>PRODUCT(AZ358:AZ360)</f>
        <v>#DIV/0!</v>
      </c>
      <c r="BB361" s="222" t="e">
        <f>PRODUCT(BB358:BB360)</f>
        <v>#DIV/0!</v>
      </c>
      <c r="BC361" s="222" t="e">
        <f>PRODUCT(BC358:BC360)</f>
        <v>#DIV/0!</v>
      </c>
      <c r="BD361" s="222" t="e">
        <f>PRODUCT(BD358:BD360)</f>
        <v>#DIV/0!</v>
      </c>
      <c r="BE361" s="222" t="e">
        <f>PRODUCT(BE358:BE360)</f>
        <v>#DIV/0!</v>
      </c>
      <c r="BG361" s="222" t="e">
        <f>PRODUCT(BG358:BG360)</f>
        <v>#DIV/0!</v>
      </c>
      <c r="BH361" s="222" t="e">
        <f>PRODUCT(BH358:BH360)</f>
        <v>#DIV/0!</v>
      </c>
      <c r="BI361" s="222" t="e">
        <f>PRODUCT(BI358:BI360)</f>
        <v>#DIV/0!</v>
      </c>
      <c r="BJ361" s="222" t="e">
        <f>PRODUCT(BJ358:BJ360)</f>
        <v>#DIV/0!</v>
      </c>
      <c r="BL361" s="222" t="e">
        <f>PRODUCT(BL358:BL360)</f>
        <v>#DIV/0!</v>
      </c>
      <c r="BM361" s="222" t="e">
        <f>PRODUCT(BM358:BM360)</f>
        <v>#DIV/0!</v>
      </c>
      <c r="BN361" s="222" t="e">
        <f>PRODUCT(BN358:BN360)</f>
        <v>#DIV/0!</v>
      </c>
      <c r="BO361" s="222" t="e">
        <f>PRODUCT(BO358:BO360)</f>
        <v>#DIV/0!</v>
      </c>
      <c r="BQ361" s="222" t="e">
        <f>PRODUCT(BQ358:BQ360)</f>
        <v>#DIV/0!</v>
      </c>
      <c r="BR361" s="222" t="e">
        <f>PRODUCT(BR358:BR360)</f>
        <v>#DIV/0!</v>
      </c>
      <c r="BS361" s="222" t="e">
        <f>PRODUCT(BS358:BS360)</f>
        <v>#DIV/0!</v>
      </c>
      <c r="BT361" s="222" t="e">
        <f>PRODUCT(BT358:BT360)</f>
        <v>#DIV/0!</v>
      </c>
      <c r="BV361" s="222" t="e">
        <f>PRODUCT(BV358:BV360)</f>
        <v>#DIV/0!</v>
      </c>
      <c r="BW361" s="222" t="e">
        <f>PRODUCT(BW358:BW360)</f>
        <v>#DIV/0!</v>
      </c>
      <c r="BX361" s="222" t="e">
        <f>PRODUCT(BX358:BX360)</f>
        <v>#DIV/0!</v>
      </c>
      <c r="BY361" s="222" t="e">
        <f>PRODUCT(BY358:BY360)</f>
        <v>#DIV/0!</v>
      </c>
      <c r="CA361" s="222" t="e">
        <f>PRODUCT(CA358:CA360)</f>
        <v>#DIV/0!</v>
      </c>
      <c r="CB361" s="222" t="e">
        <f>PRODUCT(CB358:CB360)</f>
        <v>#DIV/0!</v>
      </c>
      <c r="CC361" s="222" t="e">
        <f>PRODUCT(CC358:CC360)</f>
        <v>#DIV/0!</v>
      </c>
      <c r="CD361" s="222" t="e">
        <f>PRODUCT(CD358:CD360)</f>
        <v>#DIV/0!</v>
      </c>
      <c r="CF361" s="222" t="e">
        <f>PRODUCT(CF358:CF360)</f>
        <v>#DIV/0!</v>
      </c>
      <c r="CG361" s="222" t="e">
        <f>PRODUCT(CG358:CG360)</f>
        <v>#DIV/0!</v>
      </c>
      <c r="CH361" s="222" t="e">
        <f>PRODUCT(CH358:CH360)</f>
        <v>#DIV/0!</v>
      </c>
      <c r="CI361" s="222" t="e">
        <f>PRODUCT(CI358:CI360)</f>
        <v>#DIV/0!</v>
      </c>
      <c r="CK361" s="222" t="e">
        <f>PRODUCT(CK358:CK360)</f>
        <v>#DIV/0!</v>
      </c>
      <c r="CL361" s="222" t="e">
        <f>PRODUCT(CL358:CL360)</f>
        <v>#DIV/0!</v>
      </c>
      <c r="CM361" s="222" t="e">
        <f>PRODUCT(CM358:CM360)</f>
        <v>#DIV/0!</v>
      </c>
      <c r="CN361" s="222" t="e">
        <f>PRODUCT(CN358:CN360)</f>
        <v>#DIV/0!</v>
      </c>
      <c r="CP361" s="222" t="e">
        <f>PRODUCT(CP358:CP360)</f>
        <v>#DIV/0!</v>
      </c>
      <c r="CQ361" s="222" t="e">
        <f>PRODUCT(CQ358:CQ360)</f>
        <v>#DIV/0!</v>
      </c>
      <c r="CR361" s="222" t="e">
        <f>PRODUCT(CR358:CR360)</f>
        <v>#DIV/0!</v>
      </c>
      <c r="CS361" s="222" t="e">
        <f>PRODUCT(CS358:CS360)</f>
        <v>#DIV/0!</v>
      </c>
      <c r="CU361" s="222" t="e">
        <f>PRODUCT(CU358:CU360)</f>
        <v>#DIV/0!</v>
      </c>
      <c r="CV361" s="222" t="e">
        <f>PRODUCT(CV358:CV360)</f>
        <v>#DIV/0!</v>
      </c>
      <c r="CW361" s="222" t="e">
        <f>PRODUCT(CW358:CW360)</f>
        <v>#DIV/0!</v>
      </c>
      <c r="CX361" s="222" t="e">
        <f>PRODUCT(CX358:CX360)</f>
        <v>#DIV/0!</v>
      </c>
    </row>
    <row r="362" customFormat="1" s="233">
      <c r="A362" s="224" t="n"/>
      <c r="B362" s="224" t="n"/>
      <c r="C362" s="233" t="inlineStr">
        <is>
          <t>ROE</t>
        </is>
      </c>
      <c r="D362" s="238">
        <f>D131/D265</f>
        <v>0.0843194446525475</v>
      </c>
      <c r="E362" s="238">
        <f>E131/E265</f>
        <v>0.0771521217540518</v>
      </c>
      <c r="F362" s="238">
        <f>F131/F265</f>
        <v>0.0764493667719474</v>
      </c>
      <c r="G362" s="238">
        <f>G131/G265</f>
        <v>0.0489963163925952</v>
      </c>
      <c r="I362" s="222">
        <f>I131/I265</f>
        <v>0.132466966985613</v>
      </c>
      <c r="J362" s="222">
        <f>J131/J265</f>
        <v>0.0975927286109342</v>
      </c>
      <c r="K362" s="222">
        <f>K131/K265</f>
        <v>0.0946201266411037</v>
      </c>
      <c r="L362" s="222">
        <f>L131/L265</f>
        <v>0.0383254145559461</v>
      </c>
      <c r="N362" s="222">
        <f>N131/N265</f>
        <v>0.0910535481595772</v>
      </c>
      <c r="O362" s="222">
        <f>O131/O265</f>
        <v>0.0755374797638118</v>
      </c>
      <c r="P362" s="222">
        <f>P131/P265</f>
        <v>0.0681134253705681</v>
      </c>
      <c r="Q362" s="222">
        <f>Q131/Q265</f>
        <v>0.00266077552240534</v>
      </c>
      <c r="S362" s="222">
        <f>S131/S265</f>
        <v>0.0597905571307863</v>
      </c>
      <c r="T362" s="222">
        <f>T131/T265</f>
        <v>0.0651539940386862</v>
      </c>
      <c r="U362" s="222">
        <f>U131/U265</f>
        <v>0.0758752624150932</v>
      </c>
      <c r="V362" s="222">
        <f>V131/V265</f>
        <v>0.0455519595024614</v>
      </c>
      <c r="X362" s="222">
        <f>X131/X265</f>
        <v>0.109158167336831</v>
      </c>
      <c r="Y362" s="222">
        <f>Y131/Y265</f>
        <v>0.0971073943820411</v>
      </c>
      <c r="Z362" s="222">
        <f>Z131/Z265</f>
        <v>0.1040243150574</v>
      </c>
      <c r="AA362" s="222">
        <f>AA131/AA265</f>
        <v>0.0755189015391354</v>
      </c>
      <c r="AC362" s="222">
        <f>AC131/AC265</f>
        <v>0.120290586764906</v>
      </c>
      <c r="AD362" s="222">
        <f>AD131/AD265</f>
        <v>0.125257520479704</v>
      </c>
      <c r="AE362" s="222">
        <f>AE131/AE265</f>
        <v>0.0981317933801044</v>
      </c>
      <c r="AF362" s="222">
        <f>AF131/AF265</f>
        <v>0.0908689331565139</v>
      </c>
      <c r="AH362" s="222">
        <f>AH131/AH265</f>
        <v>0.169720596333678</v>
      </c>
      <c r="AI362" s="222">
        <f>AI131/AI265</f>
        <v>0.112808707016027</v>
      </c>
      <c r="AJ362" s="222">
        <f>AJ131/AJ265</f>
        <v>0.0864182269066336</v>
      </c>
      <c r="AK362" s="222">
        <f>AK131/AK265</f>
        <v>0.00156283848933498</v>
      </c>
      <c r="AM362" s="222">
        <f>AM131/AM265</f>
        <v>0.00156039983641189</v>
      </c>
      <c r="AN362" s="222">
        <f>AN131/AN265</f>
        <v>0.149238726652628</v>
      </c>
      <c r="AO362" s="222">
        <f>AO131/AO265</f>
        <v>0.00132576775826533</v>
      </c>
      <c r="AP362" s="222">
        <f>AP131/AP265</f>
        <v>0.129708937735085</v>
      </c>
      <c r="AR362" s="222">
        <f>AR131/AR265</f>
        <v>0.114816244611762</v>
      </c>
      <c r="AS362" s="222">
        <f>AS131/AS265</f>
        <v>0.188097605755997</v>
      </c>
      <c r="AT362" s="222">
        <f>AT131/AT265</f>
        <v>0.0852706860281222</v>
      </c>
      <c r="AU362" s="222">
        <f>AU131/AU265</f>
        <v>0.146800189113777</v>
      </c>
      <c r="AW362" s="222">
        <f>AW131/AW265</f>
        <v>0.128008514915942</v>
      </c>
      <c r="AX362" s="222">
        <f>AX131/AX265</f>
        <v>0.276880297144649</v>
      </c>
      <c r="AY362" s="222">
        <f>AY131/AY265</f>
        <v>0.0847230495795145</v>
      </c>
      <c r="AZ362" s="222">
        <f>AZ131/AZ265</f>
        <v>0.202184198829514</v>
      </c>
      <c r="BB362" s="222">
        <f>BB131/BB265</f>
        <v>0.16818071558948</v>
      </c>
      <c r="BC362" s="222">
        <f>BC131/BC265</f>
        <v>0.309779512214546</v>
      </c>
      <c r="BD362" s="222">
        <f>BD131/BD265</f>
        <v>0.104008306643162</v>
      </c>
      <c r="BE362" s="222">
        <f>BE131/BE265</f>
        <v>0.217257818044949</v>
      </c>
      <c r="BG362" s="222">
        <f>BG131/BG265</f>
        <v>0.178481349492492</v>
      </c>
      <c r="BH362" s="222">
        <f>BH131/BH265</f>
        <v>0.32918552669939</v>
      </c>
      <c r="BI362" s="222">
        <f>BI131/BI265</f>
        <v>0.106925866006546</v>
      </c>
      <c r="BJ362" s="222">
        <f>BJ131/BJ265</f>
        <v>0.227194756354509</v>
      </c>
      <c r="BL362" s="222">
        <f>BL131/BL265</f>
        <v>0.18513341519598</v>
      </c>
      <c r="BM362" s="222">
        <f>BM131/BM265</f>
        <v>0.335520074492559</v>
      </c>
      <c r="BN362" s="222">
        <f>BN131/BN265</f>
        <v>0.109541876895695</v>
      </c>
      <c r="BO362" s="222">
        <f>BO131/BO265</f>
        <v>0.230038700844487</v>
      </c>
      <c r="BQ362" s="222">
        <f>BQ131/BQ265</f>
        <v>0.187017449683943</v>
      </c>
      <c r="BR362" s="222">
        <f>BR131/BR265</f>
        <v>0.33826269540461</v>
      </c>
      <c r="BS362" s="222">
        <f>BS131/BS265</f>
        <v>0.11012744445855</v>
      </c>
      <c r="BT362" s="222">
        <f>BT131/BT265</f>
        <v>0.231366807130692</v>
      </c>
      <c r="BV362" s="222">
        <f>BV131/BV265</f>
        <v>0.18789430232395</v>
      </c>
      <c r="BW362" s="222">
        <f>BW131/BW265</f>
        <v>0.339181234108104</v>
      </c>
      <c r="BX362" s="222">
        <f>BX131/BX265</f>
        <v>0.110450140758464</v>
      </c>
      <c r="BY362" s="222">
        <f>BY131/BY265</f>
        <v>0.231784822496064</v>
      </c>
      <c r="CA362" s="222">
        <f>CA131/CA265</f>
        <v>0.188169896448618</v>
      </c>
      <c r="CB362" s="222">
        <f>CB131/CB265</f>
        <v>0.339544480805714</v>
      </c>
      <c r="CC362" s="222">
        <f>CC131/CC265</f>
        <v>0.110540154309174</v>
      </c>
      <c r="CD362" s="222">
        <f>CD131/CD265</f>
        <v>0.231957440760284</v>
      </c>
      <c r="CF362" s="222">
        <f>CF131/CF265</f>
        <v>0.188283647702258</v>
      </c>
      <c r="CG362" s="222">
        <f>CG131/CG265</f>
        <v>0.339670729114883</v>
      </c>
      <c r="CH362" s="222">
        <f>CH131/CH265</f>
        <v>0.110580783089028</v>
      </c>
      <c r="CI362" s="222">
        <f>CI131/CI265</f>
        <v>0.232015535982301</v>
      </c>
      <c r="CK362" s="222">
        <f>CK131/CK265</f>
        <v>0.188321923876806</v>
      </c>
      <c r="CL362" s="222">
        <f>CL131/CL265</f>
        <v>0.339718811757147</v>
      </c>
      <c r="CM362" s="222">
        <f>CM131/CM265</f>
        <v>0.110593613894677</v>
      </c>
      <c r="CN362" s="222">
        <f>CN131/CN265</f>
        <v>0.23203818762647</v>
      </c>
      <c r="CP362" s="222">
        <f>CP131/CP265</f>
        <v>0.188336846988074</v>
      </c>
      <c r="CQ362" s="222">
        <f>CQ131/CQ265</f>
        <v>0.339735919236587</v>
      </c>
      <c r="CR362" s="222">
        <f>CR131/CR265</f>
        <v>0.110598859655057</v>
      </c>
      <c r="CS362" s="222">
        <f>CS131/CS265</f>
        <v>0.232046110056208</v>
      </c>
      <c r="CU362" s="222">
        <f>CU131/CU265</f>
        <v>0.188342066228042</v>
      </c>
      <c r="CV362" s="222">
        <f>CV131/CV265</f>
        <v>0.339742314172128</v>
      </c>
      <c r="CW362" s="222">
        <f>CW131/CW265</f>
        <v>0.110600632866881</v>
      </c>
      <c r="CX362" s="222">
        <f>CX131/CX265</f>
        <v>0.232049109073791</v>
      </c>
    </row>
    <row r="364">
      <c r="C364" s="53" t="inlineStr">
        <is>
          <t>Scenario Analysis</t>
        </is>
      </c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  <c r="CO364" s="53" t="n"/>
      <c r="CP364" s="53" t="n"/>
      <c r="CQ364" s="53" t="n"/>
      <c r="CR364" s="53" t="n"/>
      <c r="CS364" s="53" t="n"/>
      <c r="CT364" s="53" t="n"/>
      <c r="CU364" s="53" t="n"/>
      <c r="CV364" s="53" t="n"/>
      <c r="CW364" s="53" t="n"/>
      <c r="CX364" s="53" t="n"/>
      <c r="CY364" s="53" t="n"/>
    </row>
    <row r="367">
      <c r="C367" s="4" t="inlineStr">
        <is>
          <t>Bull case</t>
        </is>
      </c>
    </row>
    <row r="368">
      <c r="C368" s="4" t="inlineStr">
        <is>
          <t>Base case</t>
        </is>
      </c>
    </row>
    <row r="369">
      <c r="C369" s="4" t="inlineStr">
        <is>
          <t>Bear case</t>
        </is>
      </c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7">
      <c r="C377" s="4" t="inlineStr">
        <is>
          <t>% Gross Margin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3">
      <c r="C383" s="4" t="inlineStr">
        <is>
          <t>Capital expenditures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09:G309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09:L309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09:Q309">
    <cfRule type="cellIs" priority="44" operator="notEqual" dxfId="0">
      <formula>0</formula>
    </cfRule>
  </conditionalFormatting>
  <conditionalFormatting sqref="S309:V309">
    <cfRule type="cellIs" priority="43" operator="notEqual" dxfId="0">
      <formula>0</formula>
    </cfRule>
  </conditionalFormatting>
  <conditionalFormatting sqref="X309:AA309">
    <cfRule type="cellIs" priority="42" operator="notEqual" dxfId="0">
      <formula>0</formula>
    </cfRule>
  </conditionalFormatting>
  <conditionalFormatting sqref="AC309:AF309">
    <cfRule type="cellIs" priority="41" operator="notEqual" dxfId="0">
      <formula>0</formula>
    </cfRule>
  </conditionalFormatting>
  <conditionalFormatting sqref="AH309:AK309">
    <cfRule type="cellIs" priority="14" operator="notEqual" dxfId="0">
      <formula>0</formula>
    </cfRule>
  </conditionalFormatting>
  <conditionalFormatting sqref="AM309:AP309">
    <cfRule type="cellIs" priority="13" operator="notEqual" dxfId="0">
      <formula>0</formula>
    </cfRule>
  </conditionalFormatting>
  <conditionalFormatting sqref="AR309:AU309">
    <cfRule type="cellIs" priority="12" operator="notEqual" dxfId="0">
      <formula>0</formula>
    </cfRule>
  </conditionalFormatting>
  <conditionalFormatting sqref="AW309:AZ309">
    <cfRule type="cellIs" priority="11" operator="notEqual" dxfId="0">
      <formula>0</formula>
    </cfRule>
  </conditionalFormatting>
  <conditionalFormatting sqref="BB309:BE309">
    <cfRule type="cellIs" priority="10" operator="notEqual" dxfId="0">
      <formula>0</formula>
    </cfRule>
  </conditionalFormatting>
  <conditionalFormatting sqref="BG309:BJ309">
    <cfRule type="cellIs" priority="9" operator="notEqual" dxfId="0">
      <formula>0</formula>
    </cfRule>
  </conditionalFormatting>
  <conditionalFormatting sqref="BL309:BO309">
    <cfRule type="cellIs" priority="8" operator="notEqual" dxfId="0">
      <formula>0</formula>
    </cfRule>
  </conditionalFormatting>
  <conditionalFormatting sqref="BQ309:BT309">
    <cfRule type="cellIs" priority="7" operator="notEqual" dxfId="0">
      <formula>0</formula>
    </cfRule>
  </conditionalFormatting>
  <conditionalFormatting sqref="BV309:BY309">
    <cfRule type="cellIs" priority="6" operator="notEqual" dxfId="0">
      <formula>0</formula>
    </cfRule>
  </conditionalFormatting>
  <conditionalFormatting sqref="CA309:CD309">
    <cfRule type="cellIs" priority="5" operator="notEqual" dxfId="0">
      <formula>0</formula>
    </cfRule>
  </conditionalFormatting>
  <conditionalFormatting sqref="CF309:CI309">
    <cfRule type="cellIs" priority="4" operator="notEqual" dxfId="0">
      <formula>0</formula>
    </cfRule>
  </conditionalFormatting>
  <conditionalFormatting sqref="CK309:CN309">
    <cfRule type="cellIs" priority="3" operator="notEqual" dxfId="0">
      <formula>0</formula>
    </cfRule>
  </conditionalFormatting>
  <conditionalFormatting sqref="CP309:CS309">
    <cfRule type="cellIs" priority="2" operator="notEqual" dxfId="0">
      <formula>0</formula>
    </cfRule>
  </conditionalFormatting>
  <conditionalFormatting sqref="CU309:CX309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33723.297</v>
      </c>
      <c r="E18" s="83">
        <f>Model!AB15</f>
        <v>39000.966</v>
      </c>
      <c r="F18" s="83">
        <f>Model!AG15</f>
        <v>45183.036</v>
      </c>
      <c r="G18" s="83">
        <f>Model!AL15</f>
        <v>48370.764</v>
      </c>
      <c r="H18" s="83">
        <f>Model!AQ15</f>
        <v>48370.764</v>
      </c>
      <c r="I18" s="83">
        <f>Model!AV15</f>
        <v>48370.764</v>
      </c>
      <c r="J18" s="83">
        <f>Model!BA15</f>
        <v>48370.764</v>
      </c>
      <c r="K18" s="83">
        <f>Model!BF15</f>
        <v>48370.764</v>
      </c>
      <c r="L18" s="83">
        <f>Model!BK15</f>
        <v>48370.764</v>
      </c>
      <c r="M18" s="83">
        <f>Model!BP15</f>
        <v>48370.764</v>
      </c>
      <c r="N18" s="83">
        <f>Model!BU15</f>
        <v>48370.764</v>
      </c>
      <c r="O18" s="83">
        <f>Model!BZ15</f>
        <v>48370.764</v>
      </c>
      <c r="P18" s="83">
        <f>Model!CE15</f>
        <v>48370.764</v>
      </c>
      <c r="Q18" s="83">
        <f>Model!CJ15</f>
        <v>48370.764</v>
      </c>
      <c r="R18" s="83">
        <f>Model!CO15</f>
        <v>48370.764</v>
      </c>
      <c r="S18" s="83" t="n"/>
      <c r="T18" s="83" t="n"/>
      <c r="U18" s="83" t="n"/>
      <c r="V18" s="84" t="n"/>
      <c r="X18" s="85">
        <f>((L18/F18)^(1/6))-1</f>
        <v>0.0114271087463205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0.156499199944774</v>
      </c>
      <c r="F19" s="87">
        <f>F18/E18-1</f>
        <v>0.158510689196775</v>
      </c>
      <c r="G19" s="87">
        <f>G18/F18-1</f>
        <v>0.0705514343923237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Model!W63</f>
        <v>7310.95</v>
      </c>
      <c r="E20" s="83">
        <f>Model!AB63</f>
        <v>10746.528</v>
      </c>
      <c r="F20" s="83">
        <f>Model!AG63</f>
        <v>13659.992</v>
      </c>
      <c r="G20" s="83">
        <f>Model!AL63</f>
        <v>8348.712</v>
      </c>
      <c r="H20" s="83">
        <f>Model!AQ63</f>
        <v>0</v>
      </c>
      <c r="I20" s="83">
        <f>Model!BA63</f>
        <v>0</v>
      </c>
      <c r="J20" s="83">
        <f>Model!BA63</f>
        <v>0</v>
      </c>
      <c r="K20" s="83">
        <f>Model!BF63</f>
        <v>0</v>
      </c>
      <c r="L20" s="83">
        <f>Model!BK63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0.216792266782219</v>
      </c>
      <c r="E21" s="92">
        <f>E20/E18</f>
        <v>0.275545174957974</v>
      </c>
      <c r="F21" s="92">
        <f>F20/F18</f>
        <v>0.302325678159387</v>
      </c>
      <c r="G21" s="92">
        <f>G20/G18</f>
        <v>0.172598307523115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Model!W67</f>
        <v>6954.003</v>
      </c>
      <c r="E22" s="83">
        <f>Model!AB67</f>
        <v>10417.614</v>
      </c>
      <c r="F22" s="83">
        <f>Model!AG67</f>
        <v>13326.603</v>
      </c>
      <c r="G22" s="83">
        <f>Model!AL67</f>
        <v>8149.607</v>
      </c>
      <c r="H22" s="83">
        <f>Model!AQ67</f>
        <v>0</v>
      </c>
      <c r="I22" s="83">
        <f>Model!AV67</f>
        <v>0</v>
      </c>
      <c r="J22" s="83">
        <f>Model!BA67</f>
        <v>0</v>
      </c>
      <c r="K22" s="83">
        <f>Model!BF67</f>
        <v>0</v>
      </c>
      <c r="L22" s="83">
        <f>Model!BK67</f>
        <v>0</v>
      </c>
      <c r="M22" s="83">
        <f>Model!BP67</f>
        <v>0</v>
      </c>
      <c r="N22" s="83">
        <f>Model!BU67</f>
        <v>0</v>
      </c>
      <c r="O22" s="83">
        <f>Model!BZ67</f>
        <v>0</v>
      </c>
      <c r="P22" s="83">
        <f>Model!CE67</f>
        <v>0</v>
      </c>
      <c r="Q22" s="83">
        <f>Model!CJ67</f>
        <v>0</v>
      </c>
      <c r="R22" s="83">
        <f>Model!CO67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0.206207684853589</v>
      </c>
      <c r="E23" s="92">
        <f>E22/E18</f>
        <v>0.267111691541179</v>
      </c>
      <c r="F23" s="92">
        <f>F22/F18</f>
        <v>0.294947046055073</v>
      </c>
      <c r="G23" s="92">
        <f>G22/G18</f>
        <v>0.168482081449034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Model!W126</f>
        <v>0.128503296722776</v>
      </c>
      <c r="E24" s="95">
        <f>Model!AB126</f>
        <v>0.125834754296681</v>
      </c>
      <c r="F24" s="95">
        <f>Model!AG126</f>
        <v>0.136871203198855</v>
      </c>
      <c r="G24" s="95">
        <f>Model!AL126</f>
        <v>0.142865279253321</v>
      </c>
      <c r="H24" s="95">
        <f>Model!AQ126</f>
        <v>0</v>
      </c>
      <c r="I24" s="95">
        <f>Model!AV126</f>
        <v>0</v>
      </c>
      <c r="J24" s="95">
        <f>Model!BA126</f>
        <v>0</v>
      </c>
      <c r="K24" s="95">
        <f>Model!BF126</f>
        <v>0</v>
      </c>
      <c r="L24" s="95">
        <f>Model!BK126</f>
        <v>0</v>
      </c>
      <c r="M24" s="95">
        <f>Model!BP126</f>
        <v>0</v>
      </c>
      <c r="N24" s="95">
        <f>Model!BU126</f>
        <v>0</v>
      </c>
      <c r="O24" s="95">
        <f>Model!BZ126</f>
        <v>0</v>
      </c>
      <c r="P24" s="95">
        <f>Model!CE126</f>
        <v>0</v>
      </c>
      <c r="Q24" s="95">
        <f>Model!CJ126</f>
        <v>0</v>
      </c>
      <c r="R24" s="95">
        <f>Model!CO126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6060.39068907992</v>
      </c>
      <c r="E25" s="97">
        <f>E22*(1-E24)</f>
        <v>9106.71610195233</v>
      </c>
      <c r="F25" s="97">
        <f>F22*(1-F24)</f>
        <v>11502.5748128365</v>
      </c>
      <c r="G25" s="97">
        <f>G22*(1-G24)</f>
        <v>6985.31112014018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Model!W64</f>
        <v>-356.947</v>
      </c>
      <c r="E26" s="100">
        <f>Model!AB64</f>
        <v>-328.914</v>
      </c>
      <c r="F26" s="100">
        <f>Model!AG64</f>
        <v>-333.389</v>
      </c>
      <c r="G26" s="100">
        <f>Model!AL64</f>
        <v>-199.105</v>
      </c>
      <c r="H26" s="100">
        <f>Model!AQ64</f>
        <v>0</v>
      </c>
      <c r="I26" s="100">
        <f>Model!AV64</f>
        <v>0</v>
      </c>
      <c r="J26" s="100">
        <f>Model!BA64</f>
        <v>0</v>
      </c>
      <c r="K26" s="100">
        <f>Model!BF64</f>
        <v>0</v>
      </c>
      <c r="L26" s="101">
        <f>Model!BK64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1171.52400000001</v>
      </c>
      <c r="E27" s="103">
        <f>SUM(E28:E39)</f>
        <v>-2646.63200000001</v>
      </c>
      <c r="F27" s="103">
        <f>SUM(F28:F39)</f>
        <v>-862.738999999996</v>
      </c>
      <c r="G27" s="103">
        <f>SUM(G28:G39)</f>
        <v>-6910.147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Model!W274</f>
        <v>0</v>
      </c>
      <c r="E28" s="106">
        <f>Model!AB274</f>
        <v>0</v>
      </c>
      <c r="F28" s="106">
        <f>Model!AG274</f>
        <v>0</v>
      </c>
      <c r="G28" s="106">
        <f>Model!AL274</f>
        <v>0</v>
      </c>
      <c r="H28" s="106">
        <f>Model!AQ274</f>
        <v>0</v>
      </c>
      <c r="I28" s="106">
        <f>Model!AV274</f>
        <v>0</v>
      </c>
      <c r="J28" s="106">
        <f>Model!BA274</f>
        <v>0</v>
      </c>
      <c r="K28" s="106">
        <f>Model!BF274</f>
        <v>0</v>
      </c>
      <c r="L28" s="107">
        <f>Model!BK274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Model!W275</f>
        <v>0</v>
      </c>
      <c r="E29" s="106">
        <f>Model!AB275</f>
        <v>0</v>
      </c>
      <c r="F29" s="106">
        <f>Model!AG275</f>
        <v>0</v>
      </c>
      <c r="G29" s="106">
        <f>Model!AL275</f>
        <v>0</v>
      </c>
      <c r="H29" s="106">
        <f>Model!AQ275</f>
        <v>0</v>
      </c>
      <c r="I29" s="106">
        <f>Model!AV275</f>
        <v>0</v>
      </c>
      <c r="J29" s="106">
        <f>Model!BA275</f>
        <v>0</v>
      </c>
      <c r="K29" s="106">
        <f>Model!BF275</f>
        <v>0</v>
      </c>
      <c r="L29" s="107">
        <f>Model!BK275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Model!W276</f>
        <v>0</v>
      </c>
      <c r="E30" s="106">
        <f>Model!AB276</f>
        <v>0</v>
      </c>
      <c r="F30" s="106">
        <f>Model!AG276</f>
        <v>0</v>
      </c>
      <c r="G30" s="106">
        <f>Model!AL276</f>
        <v>0</v>
      </c>
      <c r="H30" s="106">
        <f>Model!AQ276</f>
        <v>0</v>
      </c>
      <c r="I30" s="106">
        <f>Model!AV276</f>
        <v>0</v>
      </c>
      <c r="J30" s="106">
        <f>Model!BA276</f>
        <v>0</v>
      </c>
      <c r="K30" s="106">
        <f>Model!BF276</f>
        <v>0</v>
      </c>
      <c r="L30" s="107">
        <f>Model!BK276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Model!W277</f>
        <v>0</v>
      </c>
      <c r="E31" s="106">
        <f>Model!AB277</f>
        <v>0</v>
      </c>
      <c r="F31" s="106">
        <f>Model!AG277</f>
        <v>0</v>
      </c>
      <c r="G31" s="106">
        <f>Model!AL277</f>
        <v>0</v>
      </c>
      <c r="H31" s="106">
        <f>Model!AQ277</f>
        <v>0</v>
      </c>
      <c r="I31" s="106">
        <f>Model!AV277</f>
        <v>0</v>
      </c>
      <c r="J31" s="106">
        <f>Model!BA277</f>
        <v>0</v>
      </c>
      <c r="K31" s="106">
        <f>Model!BF277</f>
        <v>0</v>
      </c>
      <c r="L31" s="107">
        <f>Model!BK277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Model!W278</f>
        <v>427.774</v>
      </c>
      <c r="E32" s="106">
        <f>Model!AB278</f>
        <v>-736.393</v>
      </c>
      <c r="F32" s="106">
        <f>Model!AG278</f>
        <v>-441.192</v>
      </c>
      <c r="G32" s="106">
        <f>Model!AL278</f>
        <v>-767.561</v>
      </c>
      <c r="H32" s="106">
        <f>Model!AQ278</f>
        <v>0</v>
      </c>
      <c r="I32" s="106">
        <f>Model!AV278</f>
        <v>0</v>
      </c>
      <c r="J32" s="106">
        <f>Model!BA278</f>
        <v>0</v>
      </c>
      <c r="K32" s="106">
        <f>Model!BF278</f>
        <v>0</v>
      </c>
      <c r="L32" s="107">
        <f>Model!BK278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Model!W279</f>
        <v>75.899</v>
      </c>
      <c r="E33" s="106">
        <f>Model!AB279</f>
        <v>152.497</v>
      </c>
      <c r="F33" s="106">
        <f>Model!AG279</f>
        <v>0.702999999999975</v>
      </c>
      <c r="G33" s="106">
        <f>Model!AL279</f>
        <v>-900.612</v>
      </c>
      <c r="H33" s="106">
        <f>Model!AQ279</f>
        <v>0</v>
      </c>
      <c r="I33" s="106">
        <f>Model!AV279</f>
        <v>0</v>
      </c>
      <c r="J33" s="106">
        <f>Model!BA279</f>
        <v>0</v>
      </c>
      <c r="K33" s="106">
        <f>Model!BF279</f>
        <v>0</v>
      </c>
      <c r="L33" s="107">
        <f>Model!BK279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Model!W280</f>
        <v>289.31</v>
      </c>
      <c r="E34" s="106">
        <f>Model!AB280</f>
        <v>352.584</v>
      </c>
      <c r="F34" s="106">
        <f>Model!AG280</f>
        <v>1064.325</v>
      </c>
      <c r="G34" s="106">
        <f>Model!AL280</f>
        <v>-3220.869</v>
      </c>
      <c r="H34" s="106" t="e">
        <f>Model!AQ280</f>
        <v>#DIV/0!</v>
      </c>
      <c r="I34" s="106" t="e">
        <f>Model!AV280</f>
        <v>#DIV/0!</v>
      </c>
      <c r="J34" s="106" t="e">
        <f>Model!BA280</f>
        <v>#DIV/0!</v>
      </c>
      <c r="K34" s="106" t="e">
        <f>Model!BF280</f>
        <v>#DIV/0!</v>
      </c>
      <c r="L34" s="107" t="e">
        <f>Model!BK280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Model!W281</f>
        <v>0</v>
      </c>
      <c r="E35" s="106">
        <f>Model!AB281</f>
        <v>0</v>
      </c>
      <c r="F35" s="106">
        <f>Model!AG281</f>
        <v>0</v>
      </c>
      <c r="G35" s="106">
        <f>Model!AL281</f>
        <v>0</v>
      </c>
      <c r="H35" s="106" t="e">
        <f>Model!AQ281</f>
        <v>#DIV/0!</v>
      </c>
      <c r="I35" s="106" t="e">
        <f>Model!AV281</f>
        <v>#DIV/0!</v>
      </c>
      <c r="J35" s="106" t="e">
        <f>Model!BA281</f>
        <v>#DIV/0!</v>
      </c>
      <c r="K35" s="106" t="e">
        <f>Model!BF281</f>
        <v>#DIV/0!</v>
      </c>
      <c r="L35" s="107" t="e">
        <f>Model!BK281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Model!W282</f>
        <v>164.628</v>
      </c>
      <c r="E36" s="106">
        <f>Model!AB282</f>
        <v>5.05500000000029</v>
      </c>
      <c r="F36" s="106">
        <f>Model!AG282</f>
        <v>-53.9099999999999</v>
      </c>
      <c r="G36" s="106">
        <f>Model!AL282</f>
        <v>-196.606</v>
      </c>
      <c r="H36" s="106">
        <f>Model!AQ282</f>
        <v>0</v>
      </c>
      <c r="I36" s="106">
        <f>Model!AV282</f>
        <v>0</v>
      </c>
      <c r="J36" s="106">
        <f>Model!BA282</f>
        <v>0</v>
      </c>
      <c r="K36" s="106">
        <f>Model!BF282</f>
        <v>0</v>
      </c>
      <c r="L36" s="107">
        <f>Model!BK282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Model!W283</f>
        <v>0</v>
      </c>
      <c r="E37" s="106">
        <f>Model!AB283</f>
        <v>0</v>
      </c>
      <c r="F37" s="106">
        <f>Model!AG283</f>
        <v>0</v>
      </c>
      <c r="G37" s="106">
        <f>Model!AL283</f>
        <v>0</v>
      </c>
      <c r="H37" s="106">
        <f>Model!AQ283</f>
        <v>0</v>
      </c>
      <c r="I37" s="106">
        <f>Model!AV283</f>
        <v>0</v>
      </c>
      <c r="J37" s="106">
        <f>Model!BA283</f>
        <v>0</v>
      </c>
      <c r="K37" s="106">
        <f>Model!BF283</f>
        <v>0</v>
      </c>
      <c r="L37" s="107">
        <f>Model!BK283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(Model!W183-Model!R183)*-1</f>
        <v>607.623000000007</v>
      </c>
      <c r="E38" s="106">
        <f>(Model!AB183-Model!W183)*-1</f>
        <v>-1613.82400000001</v>
      </c>
      <c r="F38" s="106">
        <f>(Model!AG183-Model!AB183)*-1</f>
        <v>-1636.213</v>
      </c>
      <c r="G38" s="106">
        <f>(Model!AL183-Model!AG183)*-1</f>
        <v>-1625.838</v>
      </c>
      <c r="H38" s="106">
        <f>(Model!AQ183-Model!AL183)*-1</f>
        <v>0</v>
      </c>
      <c r="I38" s="106">
        <f>(Model!AV183-Model!AQ183)*-1</f>
        <v>0</v>
      </c>
      <c r="J38" s="106">
        <f>(Model!BA183-Model!AV183)*-1</f>
        <v>0</v>
      </c>
      <c r="K38" s="106">
        <f>(Model!BF183-Model!BA183)*-1</f>
        <v>0</v>
      </c>
      <c r="L38" s="107">
        <f>(Model!BK183-Model!BF183)*-1</f>
        <v>0</v>
      </c>
      <c r="M38">
        <f>(Model!BP183-Model!BK183)*-1</f>
        <v>0</v>
      </c>
      <c r="N38">
        <f>(Model!BU183-Model!BP183)*-1</f>
        <v>0</v>
      </c>
      <c r="O38">
        <f>(Model!BZ183-Model!BU183)*-1</f>
        <v>0</v>
      </c>
      <c r="P38">
        <f>(Model!CE183-Model!BZ183)*-1</f>
        <v>0</v>
      </c>
      <c r="Q38">
        <f>(Model!CJ183-Model!CE183)*-1</f>
        <v>0</v>
      </c>
      <c r="R38">
        <f>(Model!CO183-Model!CJ183)*-1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Model!W234-Model!R234</f>
        <v>-393.71</v>
      </c>
      <c r="E39" s="106">
        <f>Model!AB234-Model!W234</f>
        <v>-806.551</v>
      </c>
      <c r="F39" s="106">
        <f>Model!AG234-Model!AB234</f>
        <v>203.548</v>
      </c>
      <c r="G39" s="106">
        <f>Model!AL234-Model!AG234</f>
        <v>-198.661</v>
      </c>
      <c r="H39" s="106">
        <f>Model!AQ234-Model!AL234</f>
        <v>0</v>
      </c>
      <c r="I39" s="106">
        <f>Model!AV234-Model!AQ234</f>
        <v>0</v>
      </c>
      <c r="J39" s="106">
        <f>Model!BA234-Model!AV234</f>
        <v>0</v>
      </c>
      <c r="K39" s="106">
        <f>Model!BF234-Model!BA234</f>
        <v>0</v>
      </c>
      <c r="L39" s="107">
        <f>Model!BK234-Model!BF234</f>
        <v>0</v>
      </c>
      <c r="M39">
        <f>Model!BP234-Model!BK234</f>
        <v>0</v>
      </c>
      <c r="N39">
        <f>Model!BU234-Model!BP234</f>
        <v>0</v>
      </c>
      <c r="O39">
        <f>Model!BZ234-Model!BU234</f>
        <v>0</v>
      </c>
      <c r="P39">
        <f>Model!CE234-Model!BZ234</f>
        <v>0</v>
      </c>
      <c r="Q39">
        <f>Model!CJ234-Model!CE234</f>
        <v>0</v>
      </c>
      <c r="R39">
        <f>Model!CO234-Model!CJ234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814.577000000006</v>
      </c>
      <c r="E44" s="103">
        <f>SUM(E27+E40+E41+E42+E26)</f>
        <v>-2975.54600000001</v>
      </c>
      <c r="F44" s="103">
        <f>SUM(F27+F40+F41+F42+F26)</f>
        <v>-1196.128</v>
      </c>
      <c r="G44" s="103">
        <f>SUM(G27+G40+G41+G42+G26)</f>
        <v>-7109.252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Model!W344</f>
        <v>27993.688</v>
      </c>
      <c r="E46" s="106">
        <f>Model!AB344</f>
        <v>30742.632</v>
      </c>
      <c r="F46" s="106">
        <f>Model!AG344</f>
        <v>32015.965</v>
      </c>
      <c r="G46" s="106">
        <f>Model!AL344</f>
        <v>39320.61</v>
      </c>
      <c r="H46" s="106" t="e">
        <f>Model!AQ344</f>
        <v>#DIV/0!</v>
      </c>
      <c r="I46" s="106" t="e">
        <f>Model!AV344</f>
        <v>#DIV/0!</v>
      </c>
      <c r="J46" s="106" t="e">
        <f>Model!BA344</f>
        <v>#DIV/0!</v>
      </c>
      <c r="K46" s="106" t="e">
        <f>Model!BF344</f>
        <v>#DIV/0!</v>
      </c>
      <c r="L46" s="106" t="e">
        <f>Model!BK344</f>
        <v>#DIV/0!</v>
      </c>
      <c r="M46" s="115" t="e">
        <f>Model!BP344</f>
        <v>#DIV/0!</v>
      </c>
      <c r="N46" s="115" t="e">
        <f>Model!BU344</f>
        <v>#DIV/0!</v>
      </c>
      <c r="O46" s="115" t="e">
        <f>Model!BZ344</f>
        <v>#DIV/0!</v>
      </c>
      <c r="P46" s="115" t="e">
        <f>Model!CE344</f>
        <v>#DIV/0!</v>
      </c>
      <c r="Q46" s="115" t="e">
        <f>Model!CJ344</f>
        <v>#DIV/0!</v>
      </c>
      <c r="R46" s="115" t="e">
        <f>Model!CO344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Model!W345</f>
        <v>27993.688</v>
      </c>
      <c r="E47" s="106">
        <f>Model!AB345</f>
        <v>30742.632</v>
      </c>
      <c r="F47" s="106">
        <f>Model!AG345</f>
        <v>32015.965</v>
      </c>
      <c r="G47" s="106">
        <f>Model!AL345</f>
        <v>39320.61</v>
      </c>
      <c r="H47" s="106" t="e">
        <f>Model!AQ345</f>
        <v>#DIV/0!</v>
      </c>
      <c r="I47" s="106" t="e">
        <f>Model!AV345</f>
        <v>#DIV/0!</v>
      </c>
      <c r="J47" s="106" t="e">
        <f>Model!BA345</f>
        <v>#DIV/0!</v>
      </c>
      <c r="K47" s="106" t="e">
        <f>Model!BF345</f>
        <v>#DIV/0!</v>
      </c>
      <c r="L47" s="106" t="e">
        <f>Model!BK345</f>
        <v>#DIV/0!</v>
      </c>
      <c r="M47" t="e">
        <f>Model!BP345</f>
        <v>#DIV/0!</v>
      </c>
      <c r="N47" t="e">
        <f>Model!BU345</f>
        <v>#DIV/0!</v>
      </c>
      <c r="O47" t="e">
        <f>Model!BZ345</f>
        <v>#DIV/0!</v>
      </c>
      <c r="P47" t="e">
        <f>Model!CE345</f>
        <v>#DIV/0!</v>
      </c>
      <c r="Q47" t="e">
        <f>Model!CJ345</f>
        <v>#DIV/0!</v>
      </c>
      <c r="R47" t="e">
        <f>Model!CO345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0.830099382038476</v>
      </c>
      <c r="E48" s="92">
        <f>E46/E18</f>
        <v>0.788253090961901</v>
      </c>
      <c r="F48" s="92">
        <f>F46/F18</f>
        <v>0.708583748112898</v>
      </c>
      <c r="G48" s="92">
        <f>G46/G18</f>
        <v>0.812900329628864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0.195840944708663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1.20467503245732</v>
      </c>
      <c r="E51" s="124">
        <f>E18/E46</f>
        <v>1.26862807322418</v>
      </c>
      <c r="F51" s="124">
        <f>F18/F46</f>
        <v>1.41126578567911</v>
      </c>
      <c r="G51" s="124">
        <f>G18/G46</f>
        <v>1.23016311293238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6874.96768907993</v>
      </c>
      <c r="E53" s="125">
        <f>E25+E44</f>
        <v>6131.17010195232</v>
      </c>
      <c r="F53" s="125">
        <f>F25+F44</f>
        <v>10306.4468128365</v>
      </c>
      <c r="G53" s="126">
        <f>(G25+G44)*stub_year_fraction</f>
        <v>-32.2585851689937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0.136871203198855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2026-10-14T11:35:42Z</dcterms:modified>
  <cp:lastModifiedBy>Lucas Nascimento</cp:lastModifiedBy>
</cp:coreProperties>
</file>