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9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190" fontId="24" fillId="17" borderId="0" applyAlignment="1" pivotButton="0" quotePrefix="0" xfId="0">
      <alignment horizontal="center"/>
    </xf>
    <xf numFmtId="190" fontId="24" fillId="0" borderId="0" applyAlignment="1" pivotButton="0" quotePrefix="0" xfId="0">
      <alignment horizontal="center"/>
    </xf>
    <xf numFmtId="4" fontId="24" fillId="17" borderId="0" applyAlignment="1" pivotButton="0" quotePrefix="0" xfId="0">
      <alignment horizontal="center"/>
    </xf>
    <xf numFmtId="4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4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7163282</v>
      </c>
      <c r="E5" s="265" t="n">
        <v>7341777</v>
      </c>
      <c r="F5" s="265" t="n">
        <v>7483467</v>
      </c>
      <c r="G5" s="265" t="n">
        <v>7709318</v>
      </c>
      <c r="I5" s="265" t="n">
        <v>7867767</v>
      </c>
      <c r="J5" s="265" t="n">
        <v>7970141</v>
      </c>
      <c r="K5" s="265" t="n">
        <v>7925589</v>
      </c>
      <c r="L5" s="265" t="n">
        <v>7852053</v>
      </c>
      <c r="N5" s="265" t="n">
        <v>8161503</v>
      </c>
      <c r="O5" s="265" t="n">
        <v>8187301</v>
      </c>
      <c r="P5" s="265" t="n">
        <v>8541668</v>
      </c>
      <c r="Q5" s="265" t="n">
        <v>8832825</v>
      </c>
      <c r="S5" s="265" t="n">
        <v>9370440</v>
      </c>
      <c r="T5" s="265" t="n">
        <v>9559310</v>
      </c>
      <c r="U5" s="265" t="n">
        <v>9824703</v>
      </c>
      <c r="V5" s="265" t="n">
        <v>10246513</v>
      </c>
      <c r="X5" s="265" t="n">
        <v>10542801</v>
      </c>
      <c r="Y5" s="265" t="n">
        <v>11079166</v>
      </c>
      <c r="Z5" s="265" t="n">
        <v>11510307</v>
      </c>
      <c r="AA5" s="265" t="n">
        <v>12050762</v>
      </c>
      <c r="AC5" s="265" t="n">
        <v>12249757</v>
      </c>
      <c r="AD5" s="265" t="n">
        <v>12559938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3868511</v>
      </c>
      <c r="E6" s="265" t="n">
        <v>4018008</v>
      </c>
      <c r="F6" s="265" t="n">
        <v>4206589</v>
      </c>
      <c r="G6" s="265" t="n">
        <v>5239575</v>
      </c>
      <c r="I6" s="265" t="n">
        <v>4284705</v>
      </c>
      <c r="J6" s="265" t="n">
        <v>4690755</v>
      </c>
      <c r="K6" s="265" t="n">
        <v>4788665</v>
      </c>
      <c r="L6" s="265" t="n">
        <v>5404160</v>
      </c>
      <c r="N6" s="265" t="n">
        <v>4803625</v>
      </c>
      <c r="O6" s="265" t="n">
        <v>4673470</v>
      </c>
      <c r="P6" s="265" t="n">
        <v>4930788</v>
      </c>
      <c r="Q6" s="265" t="n">
        <v>5307485</v>
      </c>
      <c r="S6" s="265" t="n">
        <v>4977073</v>
      </c>
      <c r="T6" s="265" t="n">
        <v>5174143</v>
      </c>
      <c r="U6" s="265" t="n">
        <v>5119884</v>
      </c>
      <c r="V6" s="265" t="n">
        <v>5767364</v>
      </c>
      <c r="X6" s="265" t="n">
        <v>5263147</v>
      </c>
      <c r="Y6" s="265" t="n">
        <v>5325311</v>
      </c>
      <c r="Z6" s="265" t="n">
        <v>6164250</v>
      </c>
      <c r="AA6" s="265" t="n">
        <v>6522621</v>
      </c>
      <c r="AC6" s="265" t="n">
        <v>5888238</v>
      </c>
      <c r="AD6" s="265" t="n">
        <v>6036965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-3868511</v>
      </c>
      <c r="E7" s="265">
        <f>IF(E6="","",-1*E6)</f>
        <v>-4018008</v>
      </c>
      <c r="F7" s="265">
        <f>IF(F6="","",-1*F6)</f>
        <v>-4206589</v>
      </c>
      <c r="G7" s="265">
        <f>IF(G6="","",-1*G6)</f>
        <v>-5239575</v>
      </c>
      <c r="I7" s="265">
        <f>IF(I6="","",-1*I6)</f>
        <v>-4284705</v>
      </c>
      <c r="J7" s="265">
        <f>IF(J6="","",-1*J6)</f>
        <v>-4690755</v>
      </c>
      <c r="K7" s="265">
        <f>IF(K6="","",-1*K6)</f>
        <v>-4788665</v>
      </c>
      <c r="L7" s="265">
        <f>IF(L6="","",-1*L6)</f>
        <v>-5404160</v>
      </c>
      <c r="N7" s="265">
        <f>IF(N6="","",-1*N6)</f>
        <v>-4803625</v>
      </c>
      <c r="O7" s="265">
        <f>IF(O6="","",-1*O6)</f>
        <v>-4673470</v>
      </c>
      <c r="P7" s="265">
        <f>IF(P6="","",-1*P6)</f>
        <v>-4930788</v>
      </c>
      <c r="Q7" s="265">
        <f>IF(Q6="","",-1*Q6)</f>
        <v>-5307485</v>
      </c>
      <c r="S7" s="265">
        <f>IF(S6="","",-1*S6)</f>
        <v>-4977073</v>
      </c>
      <c r="T7" s="265">
        <f>IF(T6="","",-1*T6)</f>
        <v>-5174143</v>
      </c>
      <c r="U7" s="265">
        <f>IF(U6="","",-1*U6)</f>
        <v>-5119884</v>
      </c>
      <c r="V7" s="265">
        <f>IF(V6="","",-1*V6)</f>
        <v>-5767364</v>
      </c>
      <c r="X7" s="265">
        <f>IF(X6="","",-1*X6)</f>
        <v>-5263147</v>
      </c>
      <c r="Y7" s="265">
        <f>IF(Y6="","",-1*Y6)</f>
        <v>-5325311</v>
      </c>
      <c r="Z7" s="265">
        <f>IF(Z6="","",-1*Z6)</f>
        <v>-6164250</v>
      </c>
      <c r="AA7" s="265">
        <f>IF(AA6="","",-1*AA6)</f>
        <v>-6522621</v>
      </c>
      <c r="AC7" s="265">
        <f>IF(AC6="","",-1*AC6)</f>
        <v>-5888238</v>
      </c>
      <c r="AD7" s="265">
        <f>IF(AD6="","",-1*AD6)</f>
        <v>-6036965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1959856</v>
      </c>
      <c r="E8" s="265" t="n">
        <v>1847630</v>
      </c>
      <c r="F8" s="265" t="n">
        <v>1755253</v>
      </c>
      <c r="G8" s="265" t="n">
        <v>631770</v>
      </c>
      <c r="I8" s="265" t="n">
        <v>1971626</v>
      </c>
      <c r="J8" s="265" t="n">
        <v>1578283</v>
      </c>
      <c r="K8" s="265" t="n">
        <v>1533018</v>
      </c>
      <c r="L8" s="265" t="n">
        <v>549904</v>
      </c>
      <c r="N8" s="265" t="n">
        <v>1714317</v>
      </c>
      <c r="O8" s="265" t="n">
        <v>1827183</v>
      </c>
      <c r="P8" s="265" t="n">
        <v>1916394</v>
      </c>
      <c r="Q8" s="265" t="n">
        <v>1496109</v>
      </c>
      <c r="S8" s="265" t="n">
        <v>2632534</v>
      </c>
      <c r="T8" s="265" t="n">
        <v>2602837</v>
      </c>
      <c r="U8" s="265" t="n">
        <v>2909477</v>
      </c>
      <c r="V8" s="265" t="n">
        <v>2272766</v>
      </c>
      <c r="X8" s="265" t="n">
        <v>3346999</v>
      </c>
      <c r="Y8" s="265" t="n">
        <v>3774694</v>
      </c>
      <c r="Z8" s="265" t="n">
        <v>3248247</v>
      </c>
      <c r="AA8" s="265" t="n">
        <v>2956663</v>
      </c>
      <c r="AC8" s="265" t="n">
        <v>3956997</v>
      </c>
      <c r="AD8" s="265" t="n">
        <v>4192610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1334915</v>
      </c>
      <c r="E9" s="265">
        <f>N(E5)-N(E6)-N(E8)</f>
        <v>1476139</v>
      </c>
      <c r="F9" s="265">
        <f>N(F5)-N(F6)-N(F8)</f>
        <v>1521625</v>
      </c>
      <c r="G9" s="265">
        <f>N(G5)-N(G6)-N(G8)</f>
        <v>1837973</v>
      </c>
      <c r="I9" s="265">
        <f>N(I5)-N(I6)-N(I8)</f>
        <v>1611436</v>
      </c>
      <c r="J9" s="265">
        <f>N(J5)-N(J6)-N(J8)</f>
        <v>1701103</v>
      </c>
      <c r="K9" s="265">
        <f>N(K5)-N(K6)-N(K8)</f>
        <v>1603906</v>
      </c>
      <c r="L9" s="265">
        <f>N(L5)-N(L6)-N(L8)</f>
        <v>1897989</v>
      </c>
      <c r="N9" s="265">
        <f>N(N5)-N(N6)-N(N8)</f>
        <v>1643561</v>
      </c>
      <c r="O9" s="265">
        <f>N(O5)-N(O6)-N(O8)</f>
        <v>1686648</v>
      </c>
      <c r="P9" s="265">
        <f>N(P5)-N(P6)-N(P8)</f>
        <v>1694486</v>
      </c>
      <c r="Q9" s="265">
        <f>N(Q5)-N(Q6)-N(Q8)</f>
        <v>2029231</v>
      </c>
      <c r="S9" s="265">
        <f>N(S5)-N(S6)-N(S8)</f>
        <v>1760833</v>
      </c>
      <c r="T9" s="265">
        <f>N(T5)-N(T6)-N(T8)</f>
        <v>1782330</v>
      </c>
      <c r="U9" s="265">
        <f>N(U5)-N(U6)-N(U8)</f>
        <v>1795342</v>
      </c>
      <c r="V9" s="265">
        <f>N(V5)-N(V6)-N(V8)</f>
        <v>2206383</v>
      </c>
      <c r="X9" s="265">
        <f>N(X5)-N(X6)-N(X8)</f>
        <v>1932655</v>
      </c>
      <c r="Y9" s="265">
        <f>N(Y5)-N(Y6)-N(Y8)</f>
        <v>1979161</v>
      </c>
      <c r="Z9" s="265">
        <f>N(Z5)-N(Z6)-N(Z8)</f>
        <v>2097810</v>
      </c>
      <c r="AA9" s="265">
        <f>N(AA5)-N(AA6)-N(AA8)</f>
        <v>2571478</v>
      </c>
      <c r="AC9" s="265">
        <f>N(AC5)-N(AC6)-N(AC8)</f>
        <v>2404522</v>
      </c>
      <c r="AD9" s="265">
        <f>N(AD5)-N(AD6)-N(AD8)</f>
        <v>2330363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-1334915</v>
      </c>
      <c r="E10" s="265">
        <f>IF(E9="","",-1*E9)</f>
        <v>-1476139</v>
      </c>
      <c r="F10" s="265">
        <f>IF(F9="","",-1*F9)</f>
        <v>-1521625</v>
      </c>
      <c r="G10" s="265">
        <f>IF(G9="","",-1*G9)</f>
        <v>-1837973</v>
      </c>
      <c r="I10" s="265">
        <f>IF(I9="","",-1*I9)</f>
        <v>-1611436</v>
      </c>
      <c r="J10" s="265">
        <f>IF(J9="","",-1*J9)</f>
        <v>-1701103</v>
      </c>
      <c r="K10" s="265">
        <f>IF(K9="","",-1*K9)</f>
        <v>-1603906</v>
      </c>
      <c r="L10" s="265">
        <f>IF(L9="","",-1*L9)</f>
        <v>-1897989</v>
      </c>
      <c r="N10" s="265">
        <f>IF(N9="","",-1*N9)</f>
        <v>-1643561</v>
      </c>
      <c r="O10" s="265">
        <f>IF(O9="","",-1*O9)</f>
        <v>-1686648</v>
      </c>
      <c r="P10" s="265">
        <f>IF(P9="","",-1*P9)</f>
        <v>-1694486</v>
      </c>
      <c r="Q10" s="265">
        <f>IF(Q9="","",-1*Q9)</f>
        <v>-2029231</v>
      </c>
      <c r="S10" s="265">
        <f>IF(S9="","",-1*S9)</f>
        <v>-1760833</v>
      </c>
      <c r="T10" s="265">
        <f>IF(T9="","",-1*T9)</f>
        <v>-1782330</v>
      </c>
      <c r="U10" s="265">
        <f>IF(U9="","",-1*U9)</f>
        <v>-1795342</v>
      </c>
      <c r="V10" s="265">
        <f>IF(V9="","",-1*V9)</f>
        <v>-2206383</v>
      </c>
      <c r="X10" s="265">
        <f>IF(X9="","",-1*X9)</f>
        <v>-1932655</v>
      </c>
      <c r="Y10" s="265">
        <f>IF(Y9="","",-1*Y9)</f>
        <v>-1979161</v>
      </c>
      <c r="Z10" s="265">
        <f>IF(Z9="","",-1*Z9)</f>
        <v>-2097810</v>
      </c>
      <c r="AA10" s="265">
        <f>IF(AA9="","",-1*AA9)</f>
        <v>-2571478</v>
      </c>
      <c r="AC10" s="265">
        <f>IF(AC9="","",-1*AC9)</f>
        <v>-2404522</v>
      </c>
      <c r="AD10" s="265">
        <f>IF(AD9="","",-1*AD9)</f>
        <v>-2330363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2034502</v>
      </c>
      <c r="E11" s="265" t="n">
        <v>1593789</v>
      </c>
      <c r="F11" s="265" t="n">
        <v>1660959</v>
      </c>
      <c r="G11" s="265" t="n">
        <v>550853</v>
      </c>
      <c r="I11" s="265" t="n">
        <v>1979692</v>
      </c>
      <c r="J11" s="265" t="n">
        <v>1623054</v>
      </c>
      <c r="K11" s="265" t="n">
        <v>1621847</v>
      </c>
      <c r="L11" s="265" t="n">
        <v>39336</v>
      </c>
      <c r="N11" s="265" t="n">
        <v>1468874</v>
      </c>
      <c r="O11" s="265" t="n">
        <v>1679332</v>
      </c>
      <c r="P11" s="265" t="n">
        <v>1909049</v>
      </c>
      <c r="Q11" s="265" t="n">
        <v>1148150</v>
      </c>
      <c r="S11" s="265" t="n">
        <v>2614579</v>
      </c>
      <c r="T11" s="265" t="n">
        <v>2513856</v>
      </c>
      <c r="U11" s="265" t="n">
        <v>2702954</v>
      </c>
      <c r="V11" s="265" t="n">
        <v>2134268</v>
      </c>
      <c r="X11" s="265" t="n">
        <v>3213726</v>
      </c>
      <c r="Y11" s="265" t="n">
        <v>3631675</v>
      </c>
      <c r="Z11" s="265" t="n">
        <v>3109410</v>
      </c>
      <c r="AA11" s="265" t="n">
        <v>2767741</v>
      </c>
      <c r="AC11" s="265" t="n">
        <v>6547086</v>
      </c>
      <c r="AD11" s="265" t="n">
        <v>4068586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74646</v>
      </c>
      <c r="E12" s="265">
        <f>N(E11)-N(E8)</f>
        <v>-253841</v>
      </c>
      <c r="F12" s="265">
        <f>N(F11)-N(F8)</f>
        <v>-94294</v>
      </c>
      <c r="G12" s="265">
        <f>N(G11)-N(G8)</f>
        <v>-80917</v>
      </c>
      <c r="I12" s="265">
        <f>N(I11)-N(I8)</f>
        <v>8066</v>
      </c>
      <c r="J12" s="265">
        <f>N(J11)-N(J8)</f>
        <v>44771</v>
      </c>
      <c r="K12" s="265">
        <f>N(K11)-N(K8)</f>
        <v>88829</v>
      </c>
      <c r="L12" s="265">
        <f>N(L11)-N(L8)</f>
        <v>-510568</v>
      </c>
      <c r="N12" s="265">
        <f>N(N11)-N(N8)</f>
        <v>-245443</v>
      </c>
      <c r="O12" s="265">
        <f>N(O11)-N(O8)</f>
        <v>-147851</v>
      </c>
      <c r="P12" s="265">
        <f>N(P11)-N(P8)</f>
        <v>-7345</v>
      </c>
      <c r="Q12" s="265">
        <f>N(Q11)-N(Q8)</f>
        <v>-347959</v>
      </c>
      <c r="S12" s="265">
        <f>N(S11)-N(S8)</f>
        <v>-17955</v>
      </c>
      <c r="T12" s="265">
        <f>N(T11)-N(T8)</f>
        <v>-88981</v>
      </c>
      <c r="U12" s="265">
        <f>N(U11)-N(U8)</f>
        <v>-206523</v>
      </c>
      <c r="V12" s="265">
        <f>N(V11)-N(V8)</f>
        <v>-138498</v>
      </c>
      <c r="X12" s="265">
        <f>N(X11)-N(X8)</f>
        <v>-133273</v>
      </c>
      <c r="Y12" s="265">
        <f>N(Y11)-N(Y8)</f>
        <v>-143019</v>
      </c>
      <c r="Z12" s="265">
        <f>N(Z11)-N(Z8)</f>
        <v>-138837</v>
      </c>
      <c r="AA12" s="265">
        <f>N(AA11)-N(AA8)</f>
        <v>-188922</v>
      </c>
      <c r="AC12" s="265">
        <f>N(AC11)-N(AC8)</f>
        <v>2590089</v>
      </c>
      <c r="AD12" s="265">
        <f>N(AD11)-N(AD8)</f>
        <v>-124024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194440</v>
      </c>
      <c r="E13" s="265" t="n">
        <v>191322</v>
      </c>
      <c r="F13" s="265" t="n">
        <v>190429</v>
      </c>
      <c r="G13" s="265" t="n">
        <v>189429</v>
      </c>
      <c r="I13" s="265" t="n">
        <v>187579</v>
      </c>
      <c r="J13" s="265" t="n">
        <v>175455</v>
      </c>
      <c r="K13" s="265" t="n">
        <v>172575</v>
      </c>
      <c r="L13" s="265" t="n">
        <v>170603</v>
      </c>
      <c r="N13" s="265" t="n">
        <v>174239</v>
      </c>
      <c r="O13" s="265" t="n">
        <v>174812</v>
      </c>
      <c r="P13" s="265" t="n">
        <v>175563</v>
      </c>
      <c r="Q13" s="265" t="n">
        <v>175212</v>
      </c>
      <c r="S13" s="265" t="n">
        <v>173314</v>
      </c>
      <c r="T13" s="265" t="n">
        <v>167986</v>
      </c>
      <c r="U13" s="265" t="n">
        <v>184830</v>
      </c>
      <c r="V13" s="265" t="n">
        <v>192603</v>
      </c>
      <c r="X13" s="265" t="n">
        <v>184172</v>
      </c>
      <c r="Y13" s="265" t="n">
        <v>182649</v>
      </c>
      <c r="Z13" s="265" t="n">
        <v>175294</v>
      </c>
      <c r="AA13" s="265" t="n">
        <v>234395</v>
      </c>
      <c r="AC13" s="265" t="n">
        <v>262077</v>
      </c>
      <c r="AD13" s="265" t="n">
        <v>175685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-194440</v>
      </c>
      <c r="E14" s="265">
        <f>IF(E13="","",-1*E13)</f>
        <v>-191322</v>
      </c>
      <c r="F14" s="265">
        <f>IF(F13="","",-1*F13)</f>
        <v>-190429</v>
      </c>
      <c r="G14" s="265">
        <f>IF(G13="","",-1*G13)</f>
        <v>-189429</v>
      </c>
      <c r="I14" s="265">
        <f>IF(I13="","",-1*I13)</f>
        <v>-187579</v>
      </c>
      <c r="J14" s="265">
        <f>IF(J13="","",-1*J13)</f>
        <v>-175455</v>
      </c>
      <c r="K14" s="265">
        <f>IF(K13="","",-1*K13)</f>
        <v>-172575</v>
      </c>
      <c r="L14" s="265">
        <f>IF(L13="","",-1*L13)</f>
        <v>-170603</v>
      </c>
      <c r="N14" s="265">
        <f>IF(N13="","",-1*N13)</f>
        <v>-174239</v>
      </c>
      <c r="O14" s="265">
        <f>IF(O13="","",-1*O13)</f>
        <v>-174812</v>
      </c>
      <c r="P14" s="265">
        <f>IF(P13="","",-1*P13)</f>
        <v>-175563</v>
      </c>
      <c r="Q14" s="265">
        <f>IF(Q13="","",-1*Q13)</f>
        <v>-175212</v>
      </c>
      <c r="S14" s="265">
        <f>IF(S13="","",-1*S13)</f>
        <v>-173314</v>
      </c>
      <c r="T14" s="265">
        <f>IF(T13="","",-1*T13)</f>
        <v>-167986</v>
      </c>
      <c r="U14" s="265">
        <f>IF(U13="","",-1*U13)</f>
        <v>-184830</v>
      </c>
      <c r="V14" s="265">
        <f>IF(V13="","",-1*V13)</f>
        <v>-192603</v>
      </c>
      <c r="X14" s="265">
        <f>IF(X13="","",-1*X13)</f>
        <v>-184172</v>
      </c>
      <c r="Y14" s="265">
        <f>IF(Y13="","",-1*Y13)</f>
        <v>-182649</v>
      </c>
      <c r="Z14" s="265">
        <f>IF(Z13="","",-1*Z13)</f>
        <v>-175294</v>
      </c>
      <c r="AA14" s="265">
        <f>IF(AA13="","",-1*AA13)</f>
        <v>-234395</v>
      </c>
      <c r="AC14" s="265">
        <f>IF(AC13="","",-1*AC13)</f>
        <v>-262077</v>
      </c>
      <c r="AD14" s="265">
        <f>IF(AD13="","",-1*AD13)</f>
        <v>-175685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194440</v>
      </c>
      <c r="E15" s="265">
        <f>IF(E13="","",E13)</f>
        <v>191322</v>
      </c>
      <c r="F15" s="265">
        <f>IF(F13="","",F13)</f>
        <v>190429</v>
      </c>
      <c r="G15" s="265">
        <f>IF(G13="","",G13)</f>
        <v>189429</v>
      </c>
      <c r="I15" s="265">
        <f>IF(I13="","",I13)</f>
        <v>187579</v>
      </c>
      <c r="J15" s="265">
        <f>IF(J13="","",J13)</f>
        <v>175455</v>
      </c>
      <c r="K15" s="265">
        <f>IF(K13="","",K13)</f>
        <v>172575</v>
      </c>
      <c r="L15" s="265">
        <f>IF(L13="","",L13)</f>
        <v>170603</v>
      </c>
      <c r="N15" s="265">
        <f>IF(N13="","",N13)</f>
        <v>174239</v>
      </c>
      <c r="O15" s="265">
        <f>IF(O13="","",O13)</f>
        <v>174812</v>
      </c>
      <c r="P15" s="265">
        <f>IF(P13="","",P13)</f>
        <v>175563</v>
      </c>
      <c r="Q15" s="265">
        <f>IF(Q13="","",Q13)</f>
        <v>175212</v>
      </c>
      <c r="S15" s="265">
        <f>IF(S13="","",S13)</f>
        <v>173314</v>
      </c>
      <c r="T15" s="265">
        <f>IF(T13="","",T13)</f>
        <v>167986</v>
      </c>
      <c r="U15" s="265">
        <f>IF(U13="","",U13)</f>
        <v>184830</v>
      </c>
      <c r="V15" s="265">
        <f>IF(V13="","",V13)</f>
        <v>192603</v>
      </c>
      <c r="X15" s="265">
        <f>IF(X13="","",X13)</f>
        <v>184172</v>
      </c>
      <c r="Y15" s="265">
        <f>IF(Y13="","",Y13)</f>
        <v>182649</v>
      </c>
      <c r="Z15" s="265">
        <f>IF(Z13="","",Z13)</f>
        <v>175294</v>
      </c>
      <c r="AA15" s="265">
        <f>IF(AA13="","",AA13)</f>
        <v>234395</v>
      </c>
      <c r="AC15" s="265">
        <f>IF(AC13="","",AC13)</f>
        <v>262077</v>
      </c>
      <c r="AD15" s="265">
        <f>IF(AD13="","",AD13)</f>
        <v>175685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327787</v>
      </c>
      <c r="E16" s="265" t="n">
        <v>240776</v>
      </c>
      <c r="F16" s="265" t="n">
        <v>211888</v>
      </c>
      <c r="G16" s="265" t="n">
        <v>-56576</v>
      </c>
      <c r="I16" s="265" t="n">
        <v>382245</v>
      </c>
      <c r="J16" s="265" t="n">
        <v>182103</v>
      </c>
      <c r="K16" s="265" t="n">
        <v>223605</v>
      </c>
      <c r="L16" s="265" t="n">
        <v>-15948</v>
      </c>
      <c r="N16" s="265" t="n">
        <v>163754</v>
      </c>
      <c r="O16" s="265" t="n">
        <v>191722</v>
      </c>
      <c r="P16" s="265" t="n">
        <v>231627</v>
      </c>
      <c r="Q16" s="265" t="n">
        <v>210312</v>
      </c>
      <c r="S16" s="265" t="n">
        <v>282370</v>
      </c>
      <c r="T16" s="265" t="n">
        <v>366550</v>
      </c>
      <c r="U16" s="265" t="n">
        <v>339445</v>
      </c>
      <c r="V16" s="265" t="n">
        <v>265661</v>
      </c>
      <c r="X16" s="265" t="n">
        <v>323375</v>
      </c>
      <c r="Y16" s="265" t="n">
        <v>506262</v>
      </c>
      <c r="Z16" s="265" t="n">
        <v>562494</v>
      </c>
      <c r="AA16" s="265" t="n">
        <v>349220</v>
      </c>
      <c r="AC16" s="265" t="n">
        <v>1264295</v>
      </c>
      <c r="AD16" s="265" t="n">
        <v>667172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-327787</v>
      </c>
      <c r="E17" s="265">
        <f>IF(E16="","",-1*E16)</f>
        <v>-240776</v>
      </c>
      <c r="F17" s="265">
        <f>IF(F16="","",-1*F16)</f>
        <v>-211888</v>
      </c>
      <c r="G17" s="265">
        <f>IF(G16="","",-1*G16)</f>
        <v>56576</v>
      </c>
      <c r="I17" s="265">
        <f>IF(I16="","",-1*I16)</f>
        <v>-382245</v>
      </c>
      <c r="J17" s="265">
        <f>IF(J16="","",-1*J16)</f>
        <v>-182103</v>
      </c>
      <c r="K17" s="265">
        <f>IF(K16="","",-1*K16)</f>
        <v>-223605</v>
      </c>
      <c r="L17" s="265">
        <f>IF(L16="","",-1*L16)</f>
        <v>15948</v>
      </c>
      <c r="N17" s="265">
        <f>IF(N16="","",-1*N16)</f>
        <v>-163754</v>
      </c>
      <c r="O17" s="265">
        <f>IF(O16="","",-1*O16)</f>
        <v>-191722</v>
      </c>
      <c r="P17" s="265">
        <f>IF(P16="","",-1*P16)</f>
        <v>-231627</v>
      </c>
      <c r="Q17" s="265">
        <f>IF(Q16="","",-1*Q16)</f>
        <v>-210312</v>
      </c>
      <c r="S17" s="265">
        <f>IF(S16="","",-1*S16)</f>
        <v>-282370</v>
      </c>
      <c r="T17" s="265">
        <f>IF(T16="","",-1*T16)</f>
        <v>-366550</v>
      </c>
      <c r="U17" s="265">
        <f>IF(U16="","",-1*U16)</f>
        <v>-339445</v>
      </c>
      <c r="V17" s="265">
        <f>IF(V16="","",-1*V16)</f>
        <v>-265661</v>
      </c>
      <c r="X17" s="265">
        <f>IF(X16="","",-1*X16)</f>
        <v>-323375</v>
      </c>
      <c r="Y17" s="265">
        <f>IF(Y16="","",-1*Y16)</f>
        <v>-506262</v>
      </c>
      <c r="Z17" s="265">
        <f>IF(Z16="","",-1*Z16)</f>
        <v>-562494</v>
      </c>
      <c r="AA17" s="265">
        <f>IF(AA16="","",-1*AA16)</f>
        <v>-349220</v>
      </c>
      <c r="AC17" s="265">
        <f>IF(AC16="","",-1*AC16)</f>
        <v>-1264295</v>
      </c>
      <c r="AD17" s="265">
        <f>IF(AD16="","",-1*AD16)</f>
        <v>-667172</v>
      </c>
    </row>
    <row r="18">
      <c r="A18" t="inlineStr">
        <is>
          <t>Lucro líquido atribuído à companhia [us-gaap:NetIncomeLoss] · memoria · unid. moeda</t>
        </is>
      </c>
      <c r="C18" t="inlineStr">
        <is>
          <t>[linha bruta, sem código; lançada nas linhas abaixo]</t>
        </is>
      </c>
      <c r="D18" s="265" t="n">
        <v>1706715</v>
      </c>
      <c r="E18" s="265" t="n">
        <v>1353013</v>
      </c>
      <c r="F18" s="265" t="n">
        <v>1449071</v>
      </c>
      <c r="G18" s="265" t="n">
        <v>607429</v>
      </c>
      <c r="I18" s="265" t="n">
        <v>1597447</v>
      </c>
      <c r="J18" s="265" t="n">
        <v>1440951</v>
      </c>
      <c r="K18" s="265" t="n">
        <v>1398242</v>
      </c>
      <c r="L18" s="265" t="n">
        <v>55284</v>
      </c>
      <c r="N18" s="265" t="n">
        <v>1305120</v>
      </c>
      <c r="O18" s="265" t="n">
        <v>1487610</v>
      </c>
      <c r="P18" s="265" t="n">
        <v>1677422</v>
      </c>
      <c r="Q18" s="265" t="n">
        <v>937838</v>
      </c>
      <c r="S18" s="265" t="n">
        <v>2332209</v>
      </c>
      <c r="T18" s="265" t="n">
        <v>2147306</v>
      </c>
      <c r="U18" s="265" t="n">
        <v>2363509</v>
      </c>
      <c r="V18" s="265" t="n">
        <v>1868607</v>
      </c>
      <c r="X18" s="265" t="n">
        <v>2890351</v>
      </c>
      <c r="Y18" s="265" t="n">
        <v>3125413</v>
      </c>
      <c r="Z18" s="265" t="n">
        <v>2546916</v>
      </c>
      <c r="AA18" s="265" t="n">
        <v>2418521</v>
      </c>
      <c r="AC18" s="265" t="n">
        <v>5282791</v>
      </c>
      <c r="AD18" s="265" t="n">
        <v>3401414</v>
      </c>
    </row>
    <row r="19">
      <c r="A19" t="inlineStr">
        <is>
          <t>Resultado após IR não classificado acima (equivalência patrimonial, operações descontinuadas): lucro - (LAIR - IR - minoritários); zero quando não há · derivada · unid. moeda</t>
        </is>
      </c>
      <c r="B19" t="n">
        <v>8</v>
      </c>
      <c r="C19" t="inlineStr">
        <is>
          <t>Equity in Income of Affiliates, after tax (enter as +)</t>
        </is>
      </c>
      <c r="D19" s="265">
        <f>N(D18)-(N(D11)-N(D16)-0)</f>
        <v>0</v>
      </c>
      <c r="E19" s="265">
        <f>N(E18)-(N(E11)-N(E16)-0)</f>
        <v>0</v>
      </c>
      <c r="F19" s="265">
        <f>N(F18)-(N(F11)-N(F16)-0)</f>
        <v>0</v>
      </c>
      <c r="G19" s="265">
        <f>N(G18)-(N(G11)-N(G16)-0)</f>
        <v>0</v>
      </c>
      <c r="I19" s="265">
        <f>N(I18)-(N(I11)-N(I16)-0)</f>
        <v>0</v>
      </c>
      <c r="J19" s="265">
        <f>N(J18)-(N(J11)-N(J16)-0)</f>
        <v>0</v>
      </c>
      <c r="K19" s="265">
        <f>N(K18)-(N(K11)-N(K16)-0)</f>
        <v>0</v>
      </c>
      <c r="L19" s="265">
        <f>N(L18)-(N(L11)-N(L16)-0)</f>
        <v>0</v>
      </c>
      <c r="N19" s="265">
        <f>N(N18)-(N(N11)-N(N16)-0)</f>
        <v>0</v>
      </c>
      <c r="O19" s="265">
        <f>N(O18)-(N(O11)-N(O16)-0)</f>
        <v>0</v>
      </c>
      <c r="P19" s="265">
        <f>N(P18)-(N(P11)-N(P16)-0)</f>
        <v>0</v>
      </c>
      <c r="Q19" s="265">
        <f>N(Q18)-(N(Q11)-N(Q16)-0)</f>
        <v>0</v>
      </c>
      <c r="S19" s="265">
        <f>N(S18)-(N(S11)-N(S16)-0)</f>
        <v>0</v>
      </c>
      <c r="T19" s="265">
        <f>N(T18)-(N(T11)-N(T16)-0)</f>
        <v>0</v>
      </c>
      <c r="U19" s="265">
        <f>N(U18)-(N(U11)-N(U16)-0)</f>
        <v>0</v>
      </c>
      <c r="V19" s="265">
        <f>N(V18)-(N(V11)-N(V16)-0)</f>
        <v>0</v>
      </c>
      <c r="X19" s="265">
        <f>N(X18)-(N(X11)-N(X16)-0)</f>
        <v>0</v>
      </c>
      <c r="Y19" s="265">
        <f>N(Y18)-(N(Y11)-N(Y16)-0)</f>
        <v>0</v>
      </c>
      <c r="Z19" s="265">
        <f>N(Z18)-(N(Z11)-N(Z16)-0)</f>
        <v>0</v>
      </c>
      <c r="AA19" s="265">
        <f>N(AA18)-(N(AA11)-N(AA16)-0)</f>
        <v>0</v>
      </c>
      <c r="AC19" s="265">
        <f>N(AC18)-(N(AC11)-N(AC16)-0)</f>
        <v>0</v>
      </c>
      <c r="AD19" s="265">
        <f>N(AD18)-(N(AD11)-N(AD16)-0)</f>
        <v>0</v>
      </c>
    </row>
    <row r="20">
      <c r="A20" t="inlineStr">
        <is>
          <t>Lucro líquido (check IS, código 44) · derivada · unid. moeda</t>
        </is>
      </c>
      <c r="B20" t="n">
        <v>44</v>
      </c>
      <c r="C20" t="inlineStr">
        <is>
          <t>Lucro líquido (check IS, código 44)</t>
        </is>
      </c>
      <c r="D20" s="265">
        <f>N(D18)</f>
        <v>1706715</v>
      </c>
      <c r="E20" s="265">
        <f>N(E18)</f>
        <v>1353013</v>
      </c>
      <c r="F20" s="265">
        <f>N(F18)</f>
        <v>1449071</v>
      </c>
      <c r="G20" s="265">
        <f>N(G18)</f>
        <v>607429</v>
      </c>
      <c r="I20" s="265">
        <f>N(I18)</f>
        <v>1597447</v>
      </c>
      <c r="J20" s="265">
        <f>N(J18)</f>
        <v>1440951</v>
      </c>
      <c r="K20" s="265">
        <f>N(K18)</f>
        <v>1398242</v>
      </c>
      <c r="L20" s="265">
        <f>N(L18)</f>
        <v>55284</v>
      </c>
      <c r="N20" s="265">
        <f>N(N18)</f>
        <v>1305120</v>
      </c>
      <c r="O20" s="265">
        <f>N(O18)</f>
        <v>1487610</v>
      </c>
      <c r="P20" s="265">
        <f>N(P18)</f>
        <v>1677422</v>
      </c>
      <c r="Q20" s="265">
        <f>N(Q18)</f>
        <v>937838</v>
      </c>
      <c r="S20" s="265">
        <f>N(S18)</f>
        <v>2332209</v>
      </c>
      <c r="T20" s="265">
        <f>N(T18)</f>
        <v>2147306</v>
      </c>
      <c r="U20" s="265">
        <f>N(U18)</f>
        <v>2363509</v>
      </c>
      <c r="V20" s="265">
        <f>N(V18)</f>
        <v>1868607</v>
      </c>
      <c r="X20" s="265">
        <f>N(X18)</f>
        <v>2890351</v>
      </c>
      <c r="Y20" s="265">
        <f>N(Y18)</f>
        <v>3125413</v>
      </c>
      <c r="Z20" s="265">
        <f>N(Z18)</f>
        <v>2546916</v>
      </c>
      <c r="AA20" s="265">
        <f>N(AA18)</f>
        <v>2418521</v>
      </c>
      <c r="AC20" s="265">
        <f>N(AC18)</f>
        <v>5282791</v>
      </c>
      <c r="AD20" s="265">
        <f>N(AD18)</f>
        <v>3401414</v>
      </c>
    </row>
    <row r="21">
      <c r="A21" t="inlineStr">
        <is>
          <t>DFC - trimestre isolado (desacumulado na extração)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/>
      <c r="O21" s="265" t="n"/>
      <c r="P21" s="265" t="n"/>
      <c r="Q21" s="265" t="n"/>
      <c r="S21" s="265" t="n"/>
      <c r="T21" s="265" t="n"/>
      <c r="U21" s="265" t="n"/>
      <c r="V21" s="265" t="n"/>
      <c r="X21" s="265" t="n"/>
      <c r="Y21" s="265" t="n"/>
      <c r="Z21" s="265" t="n"/>
      <c r="AA21" s="265" t="n"/>
      <c r="AC21" s="265" t="n"/>
      <c r="AD21" s="265" t="n"/>
    </row>
    <row r="22">
      <c r="A22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2" t="inlineStr">
        <is>
          <t>[linha bruta, sem código; lançada nas linhas abaixo]</t>
        </is>
      </c>
      <c r="D22" s="265" t="n">
        <v>35741</v>
      </c>
      <c r="E22" s="265" t="n">
        <v>38434</v>
      </c>
      <c r="F22" s="265" t="n">
        <v>70253</v>
      </c>
      <c r="G22" s="265" t="n">
        <v>63984</v>
      </c>
      <c r="I22" s="265" t="n">
        <v>74602</v>
      </c>
      <c r="J22" s="265" t="n">
        <v>83505</v>
      </c>
      <c r="K22" s="265" t="n">
        <v>85188</v>
      </c>
      <c r="L22" s="265" t="n">
        <v>93387</v>
      </c>
      <c r="N22" s="265" t="n">
        <v>90335</v>
      </c>
      <c r="O22" s="265" t="n">
        <v>89385</v>
      </c>
      <c r="P22" s="265" t="n">
        <v>90660</v>
      </c>
      <c r="Q22" s="265" t="n">
        <v>86567</v>
      </c>
      <c r="S22" s="265" t="n">
        <v>87234</v>
      </c>
      <c r="T22" s="265" t="n">
        <v>81227</v>
      </c>
      <c r="U22" s="265" t="n">
        <v>80914</v>
      </c>
      <c r="V22" s="265" t="n">
        <v>79539</v>
      </c>
      <c r="X22" s="265" t="n">
        <v>80067</v>
      </c>
      <c r="Y22" s="265" t="n">
        <v>80013</v>
      </c>
      <c r="Z22" s="265" t="n">
        <v>87326</v>
      </c>
      <c r="AA22" s="265" t="n">
        <v>85983</v>
      </c>
      <c r="AC22" s="265" t="n">
        <v>98575</v>
      </c>
      <c r="AD22" s="265" t="n">
        <v>100530</v>
      </c>
    </row>
    <row r="23">
      <c r="A23" t="inlineStr">
        <is>
          <t>(lançamento) código 4, sinal -1 sobre a linha bruta 22: D&amp;A (fluxo de caixa). COD1=4 lança (positivo -&gt; -1); COD2=3 devolve às despesas operaciona</t>
        </is>
      </c>
      <c r="B23" t="n">
        <v>4</v>
      </c>
      <c r="C23" t="inlineStr">
        <is>
          <t>D&amp;A</t>
        </is>
      </c>
      <c r="D23" s="265">
        <f>IF(D22="","",-1*D22)</f>
        <v>-35741</v>
      </c>
      <c r="E23" s="265">
        <f>IF(E22="","",-1*E22)</f>
        <v>-38434</v>
      </c>
      <c r="F23" s="265">
        <f>IF(F22="","",-1*F22)</f>
        <v>-70253</v>
      </c>
      <c r="G23" s="265">
        <f>IF(G22="","",-1*G22)</f>
        <v>-63984</v>
      </c>
      <c r="I23" s="265">
        <f>IF(I22="","",-1*I22)</f>
        <v>-74602</v>
      </c>
      <c r="J23" s="265">
        <f>IF(J22="","",-1*J22)</f>
        <v>-83505</v>
      </c>
      <c r="K23" s="265">
        <f>IF(K22="","",-1*K22)</f>
        <v>-85188</v>
      </c>
      <c r="L23" s="265">
        <f>IF(L22="","",-1*L22)</f>
        <v>-93387</v>
      </c>
      <c r="N23" s="265">
        <f>IF(N22="","",-1*N22)</f>
        <v>-90335</v>
      </c>
      <c r="O23" s="265">
        <f>IF(O22="","",-1*O22)</f>
        <v>-89385</v>
      </c>
      <c r="P23" s="265">
        <f>IF(P22="","",-1*P22)</f>
        <v>-90660</v>
      </c>
      <c r="Q23" s="265">
        <f>IF(Q22="","",-1*Q22)</f>
        <v>-86567</v>
      </c>
      <c r="S23" s="265">
        <f>IF(S22="","",-1*S22)</f>
        <v>-87234</v>
      </c>
      <c r="T23" s="265">
        <f>IF(T22="","",-1*T22)</f>
        <v>-81227</v>
      </c>
      <c r="U23" s="265">
        <f>IF(U22="","",-1*U22)</f>
        <v>-80914</v>
      </c>
      <c r="V23" s="265">
        <f>IF(V22="","",-1*V22)</f>
        <v>-79539</v>
      </c>
      <c r="X23" s="265">
        <f>IF(X22="","",-1*X22)</f>
        <v>-80067</v>
      </c>
      <c r="Y23" s="265">
        <f>IF(Y22="","",-1*Y22)</f>
        <v>-80013</v>
      </c>
      <c r="Z23" s="265">
        <f>IF(Z22="","",-1*Z22)</f>
        <v>-87326</v>
      </c>
      <c r="AA23" s="265">
        <f>IF(AA22="","",-1*AA22)</f>
        <v>-85983</v>
      </c>
      <c r="AC23" s="265">
        <f>IF(AC22="","",-1*AC22)</f>
        <v>-98575</v>
      </c>
      <c r="AD23" s="265">
        <f>IF(AD22="","",-1*AD22)</f>
        <v>-100530</v>
      </c>
    </row>
    <row r="24">
      <c r="A24" t="inlineStr">
        <is>
          <t>(lançamento) código 3, sinal +1 sobre a linha bruta 22: D&amp;A (fluxo de caixa). COD1=4 lança (positivo -&gt; -1); COD2=3 devolve às despesas operaciona</t>
        </is>
      </c>
      <c r="B24" t="n">
        <v>3</v>
      </c>
      <c r="C24" t="inlineStr">
        <is>
          <t>SG&amp;A and Other (cash)</t>
        </is>
      </c>
      <c r="D24" s="265">
        <f>IF(D22="","",D22)</f>
        <v>35741</v>
      </c>
      <c r="E24" s="265">
        <f>IF(E22="","",E22)</f>
        <v>38434</v>
      </c>
      <c r="F24" s="265">
        <f>IF(F22="","",F22)</f>
        <v>70253</v>
      </c>
      <c r="G24" s="265">
        <f>IF(G22="","",G22)</f>
        <v>63984</v>
      </c>
      <c r="I24" s="265">
        <f>IF(I22="","",I22)</f>
        <v>74602</v>
      </c>
      <c r="J24" s="265">
        <f>IF(J22="","",J22)</f>
        <v>83505</v>
      </c>
      <c r="K24" s="265">
        <f>IF(K22="","",K22)</f>
        <v>85188</v>
      </c>
      <c r="L24" s="265">
        <f>IF(L22="","",L22)</f>
        <v>93387</v>
      </c>
      <c r="N24" s="265">
        <f>IF(N22="","",N22)</f>
        <v>90335</v>
      </c>
      <c r="O24" s="265">
        <f>IF(O22="","",O22)</f>
        <v>89385</v>
      </c>
      <c r="P24" s="265">
        <f>IF(P22="","",P22)</f>
        <v>90660</v>
      </c>
      <c r="Q24" s="265">
        <f>IF(Q22="","",Q22)</f>
        <v>86567</v>
      </c>
      <c r="S24" s="265">
        <f>IF(S22="","",S22)</f>
        <v>87234</v>
      </c>
      <c r="T24" s="265">
        <f>IF(T22="","",T22)</f>
        <v>81227</v>
      </c>
      <c r="U24" s="265">
        <f>IF(U22="","",U22)</f>
        <v>80914</v>
      </c>
      <c r="V24" s="265">
        <f>IF(V22="","",V22)</f>
        <v>79539</v>
      </c>
      <c r="X24" s="265">
        <f>IF(X22="","",X22)</f>
        <v>80067</v>
      </c>
      <c r="Y24" s="265">
        <f>IF(Y22="","",Y22)</f>
        <v>80013</v>
      </c>
      <c r="Z24" s="265">
        <f>IF(Z22="","",Z22)</f>
        <v>87326</v>
      </c>
      <c r="AA24" s="265">
        <f>IF(AA22="","",AA22)</f>
        <v>85983</v>
      </c>
      <c r="AC24" s="265">
        <f>IF(AC22="","",AC22)</f>
        <v>98575</v>
      </c>
      <c r="AD24" s="265">
        <f>IF(AD22="","",AD22)</f>
        <v>100530</v>
      </c>
    </row>
    <row r="25">
      <c r="A25" t="inlineStr">
        <is>
          <t>Dividendos pagos [us-gaap:PaymentsOfDividends] · fonte · unid. moeda</t>
        </is>
      </c>
      <c r="C25" t="inlineStr">
        <is>
          <t>[linha bruta, sem código; lançada nas linhas abaixo]</t>
        </is>
      </c>
      <c r="D25" s="265" t="n">
        <v>0</v>
      </c>
      <c r="E25" s="265" t="n">
        <v>0</v>
      </c>
      <c r="F25" s="265" t="n">
        <v>0</v>
      </c>
      <c r="G25" s="265" t="n">
        <v>0</v>
      </c>
      <c r="I25" s="265" t="n">
        <v>0</v>
      </c>
      <c r="J25" s="265" t="n">
        <v>0</v>
      </c>
      <c r="K25" s="265" t="n">
        <v>0</v>
      </c>
      <c r="L25" s="265" t="n">
        <v>0</v>
      </c>
      <c r="N25" s="265" t="n">
        <v>0</v>
      </c>
      <c r="O25" s="265" t="n">
        <v>0</v>
      </c>
      <c r="P25" s="265" t="n">
        <v>0</v>
      </c>
      <c r="Q25" s="265" t="n">
        <v>0</v>
      </c>
      <c r="S25" s="265" t="n">
        <v>0</v>
      </c>
      <c r="T25" s="265" t="n">
        <v>0</v>
      </c>
      <c r="U25" s="265" t="n">
        <v>0</v>
      </c>
      <c r="V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C25" s="265" t="n">
        <v>0</v>
      </c>
      <c r="AD25" s="265" t="n">
        <v>0</v>
      </c>
    </row>
    <row r="26">
      <c r="A26" t="inlineStr">
        <is>
          <t>(lançamento) código 10, sinal -1 sobre a linha bruta 25: Dividendos pagos [us-gaap:PaymentsOfDividends]</t>
        </is>
      </c>
      <c r="B26" t="n">
        <v>10</v>
      </c>
      <c r="C26" t="inlineStr">
        <is>
          <t>Common Dividends</t>
        </is>
      </c>
      <c r="D26" s="265">
        <f>IF(D25="","",-1*D25)</f>
        <v>0</v>
      </c>
      <c r="E26" s="265">
        <f>IF(E25="","",-1*E25)</f>
        <v>0</v>
      </c>
      <c r="F26" s="265">
        <f>IF(F25="","",-1*F25)</f>
        <v>0</v>
      </c>
      <c r="G26" s="265">
        <f>IF(G25="","",-1*G25)</f>
        <v>0</v>
      </c>
      <c r="I26" s="265">
        <f>IF(I25="","",-1*I25)</f>
        <v>0</v>
      </c>
      <c r="J26" s="265">
        <f>IF(J25="","",-1*J25)</f>
        <v>0</v>
      </c>
      <c r="K26" s="265">
        <f>IF(K25="","",-1*K25)</f>
        <v>0</v>
      </c>
      <c r="L26" s="265">
        <f>IF(L25="","",-1*L25)</f>
        <v>0</v>
      </c>
      <c r="N26" s="265">
        <f>IF(N25="","",-1*N25)</f>
        <v>0</v>
      </c>
      <c r="O26" s="265">
        <f>IF(O25="","",-1*O25)</f>
        <v>0</v>
      </c>
      <c r="P26" s="265">
        <f>IF(P25="","",-1*P25)</f>
        <v>0</v>
      </c>
      <c r="Q26" s="265">
        <f>IF(Q25="","",-1*Q25)</f>
        <v>0</v>
      </c>
      <c r="S26" s="265">
        <f>IF(S25="","",-1*S25)</f>
        <v>0</v>
      </c>
      <c r="T26" s="265">
        <f>IF(T25="","",-1*T25)</f>
        <v>0</v>
      </c>
      <c r="U26" s="265">
        <f>IF(U25="","",-1*U25)</f>
        <v>0</v>
      </c>
      <c r="V26" s="265">
        <f>IF(V25="","",-1*V25)</f>
        <v>0</v>
      </c>
      <c r="X26" s="265">
        <f>IF(X25="","",-1*X25)</f>
        <v>0</v>
      </c>
      <c r="Y26" s="265">
        <f>IF(Y25="","",-1*Y25)</f>
        <v>0</v>
      </c>
      <c r="Z26" s="265">
        <f>IF(Z25="","",-1*Z25)</f>
        <v>0</v>
      </c>
      <c r="AA26" s="265">
        <f>IF(AA25="","",-1*AA25)</f>
        <v>0</v>
      </c>
      <c r="AC26" s="265">
        <f>IF(AC25="","",-1*AC25)</f>
        <v>0</v>
      </c>
      <c r="AD26" s="265">
        <f>IF(AD25="","",-1*AD25)</f>
        <v>0</v>
      </c>
    </row>
    <row r="27">
      <c r="A27" t="inlineStr">
        <is>
          <t>BALANÇO DE FACE (USD, saldo no fim do trimestre; cada trimestre lido da instância do próprio 10-Q/10-K)</t>
        </is>
      </c>
      <c r="C27" t="inlineStr">
        <is>
          <t>[linha bruta, sem código; lançada nas linhas abaixo]</t>
        </is>
      </c>
      <c r="D27" s="265" t="n"/>
      <c r="E27" s="265" t="n"/>
      <c r="F27" s="265" t="n"/>
      <c r="G27" s="265" t="n"/>
      <c r="I27" s="265" t="n"/>
      <c r="J27" s="265" t="n"/>
      <c r="K27" s="265" t="n"/>
      <c r="L27" s="265" t="n"/>
      <c r="N27" s="265" t="n"/>
      <c r="O27" s="265" t="n"/>
      <c r="P27" s="265" t="n"/>
      <c r="Q27" s="265" t="n"/>
      <c r="S27" s="265" t="n"/>
      <c r="T27" s="265" t="n"/>
      <c r="U27" s="265" t="n"/>
      <c r="V27" s="265" t="n"/>
      <c r="X27" s="265" t="n"/>
      <c r="Y27" s="265" t="n"/>
      <c r="Z27" s="265" t="n"/>
      <c r="AA27" s="265" t="n"/>
      <c r="AC27" s="265" t="n"/>
      <c r="AD27" s="265" t="n"/>
    </row>
    <row r="28">
      <c r="A28" t="inlineStr">
        <is>
          <t>CashAndCashEquivalentsAtCarryingValue · fonte · unid. moeda</t>
        </is>
      </c>
      <c r="B28" t="n">
        <v>11</v>
      </c>
      <c r="C28" t="inlineStr">
        <is>
          <t>Cash and equivalents (inc. investment securities)</t>
        </is>
      </c>
      <c r="D28" s="265" t="n">
        <v>8403705</v>
      </c>
      <c r="E28" s="265" t="n">
        <v>7777530</v>
      </c>
      <c r="F28" s="265" t="n">
        <v>7526681</v>
      </c>
      <c r="G28" s="265" t="n">
        <v>6027804</v>
      </c>
      <c r="I28" s="265" t="n">
        <v>6008946</v>
      </c>
      <c r="J28" s="265" t="n">
        <v>5819449</v>
      </c>
      <c r="K28" s="265" t="n">
        <v>6113733</v>
      </c>
      <c r="L28" s="265" t="n">
        <v>5147176</v>
      </c>
      <c r="N28" s="265" t="n">
        <v>6714594</v>
      </c>
      <c r="O28" s="265" t="n">
        <v>7662788</v>
      </c>
      <c r="P28" s="265" t="n">
        <v>7353245</v>
      </c>
      <c r="Q28" s="265" t="n">
        <v>7116913</v>
      </c>
      <c r="S28" s="265" t="n">
        <v>7024766</v>
      </c>
      <c r="T28" s="265" t="n">
        <v>6624939</v>
      </c>
      <c r="U28" s="265" t="n">
        <v>7457025</v>
      </c>
      <c r="V28" s="265" t="n">
        <v>7804733</v>
      </c>
      <c r="X28" s="265" t="n">
        <v>7199848</v>
      </c>
      <c r="Y28" s="265" t="n">
        <v>8177405</v>
      </c>
      <c r="Z28" s="265" t="n">
        <v>9287287</v>
      </c>
      <c r="AA28" s="265" t="n">
        <v>9033681</v>
      </c>
      <c r="AC28" s="265" t="n">
        <v>12259772</v>
      </c>
      <c r="AD28" s="265" t="n">
        <v>9099232</v>
      </c>
    </row>
    <row r="29">
      <c r="A29" t="inlineStr">
        <is>
          <t>ShortTermInvestments · fonte · unid. moeda</t>
        </is>
      </c>
      <c r="B29" t="n">
        <v>11</v>
      </c>
      <c r="C29" t="inlineStr">
        <is>
          <t>Cash and equivalents (inc. investment securities)</t>
        </is>
      </c>
      <c r="D29" s="265" t="n">
        <v>0</v>
      </c>
      <c r="E29" s="265" t="n">
        <v>0</v>
      </c>
      <c r="F29" s="265" t="n">
        <v>0</v>
      </c>
      <c r="G29" s="265" t="n">
        <v>0</v>
      </c>
      <c r="I29" s="265" t="n">
        <v>0</v>
      </c>
      <c r="J29" s="265" t="n">
        <v>0</v>
      </c>
      <c r="K29" s="265" t="n">
        <v>0</v>
      </c>
      <c r="L29" s="265" t="n">
        <v>911276</v>
      </c>
      <c r="N29" s="265" t="n">
        <v>1112910</v>
      </c>
      <c r="O29" s="265" t="n">
        <v>914201</v>
      </c>
      <c r="P29" s="265" t="n">
        <v>514201</v>
      </c>
      <c r="Q29" s="265" t="n">
        <v>20973</v>
      </c>
      <c r="S29" s="265" t="n">
        <v>20973</v>
      </c>
      <c r="T29" s="265" t="n">
        <v>30973</v>
      </c>
      <c r="U29" s="265" t="n">
        <v>1766902</v>
      </c>
      <c r="V29" s="265" t="n">
        <v>1779006</v>
      </c>
      <c r="X29" s="265" t="n">
        <v>1171142</v>
      </c>
      <c r="Y29" s="265" t="n">
        <v>213115</v>
      </c>
      <c r="Z29" s="265" t="n">
        <v>37105</v>
      </c>
      <c r="AA29" s="265" t="n">
        <v>28678</v>
      </c>
      <c r="AC29" s="265" t="n">
        <v>28678</v>
      </c>
      <c r="AD29" s="265" t="n">
        <v>28678</v>
      </c>
    </row>
    <row r="30">
      <c r="A30" t="inlineStr">
        <is>
          <t>OtherAssetsCurrent · fonte · unid. moeda</t>
        </is>
      </c>
      <c r="B30" t="n">
        <v>16</v>
      </c>
      <c r="C30" t="inlineStr">
        <is>
          <t>Other current assets</t>
        </is>
      </c>
      <c r="D30" s="265" t="n">
        <v>1703803</v>
      </c>
      <c r="E30" s="265" t="n">
        <v>1826746</v>
      </c>
      <c r="F30" s="265" t="n">
        <v>1889106</v>
      </c>
      <c r="G30" s="265" t="n">
        <v>2042021</v>
      </c>
      <c r="I30" s="265" t="n">
        <v>2089069</v>
      </c>
      <c r="J30" s="265" t="n">
        <v>2021329</v>
      </c>
      <c r="K30" s="265" t="n">
        <v>2703170</v>
      </c>
      <c r="L30" s="265" t="n">
        <v>3208021</v>
      </c>
      <c r="N30" s="265" t="n">
        <v>2655119</v>
      </c>
      <c r="O30" s="265" t="n">
        <v>2929347</v>
      </c>
      <c r="P30" s="265" t="n">
        <v>2912028</v>
      </c>
      <c r="Q30" s="265" t="n">
        <v>2780247</v>
      </c>
      <c r="S30" s="265" t="n">
        <v>2875574</v>
      </c>
      <c r="T30" s="265" t="n">
        <v>2959641</v>
      </c>
      <c r="U30" s="265" t="n">
        <v>2905172</v>
      </c>
      <c r="V30" s="265" t="n">
        <v>3516640</v>
      </c>
      <c r="X30" s="265" t="n">
        <v>3326642</v>
      </c>
      <c r="Y30" s="265" t="n">
        <v>3602586</v>
      </c>
      <c r="Z30" s="265" t="n">
        <v>3638543</v>
      </c>
      <c r="AA30" s="265" t="n">
        <v>3957832</v>
      </c>
      <c r="AC30" s="265" t="n">
        <v>4782532</v>
      </c>
      <c r="AD30" s="265" t="n">
        <v>4725393</v>
      </c>
    </row>
    <row r="31">
      <c r="A31" t="inlineStr">
        <is>
          <t>PropertyPlantAndEquipmentNet · fonte · unid. moeda</t>
        </is>
      </c>
      <c r="B31" t="n">
        <v>18</v>
      </c>
      <c r="C31" t="inlineStr">
        <is>
          <t>PP&amp;E</t>
        </is>
      </c>
      <c r="D31" s="265" t="n">
        <v>1015419</v>
      </c>
      <c r="E31" s="265" t="n">
        <v>1107437</v>
      </c>
      <c r="F31" s="265" t="n">
        <v>1220114</v>
      </c>
      <c r="G31" s="265" t="n">
        <v>1323453</v>
      </c>
      <c r="I31" s="265" t="n">
        <v>1383763</v>
      </c>
      <c r="J31" s="265" t="n">
        <v>1361920</v>
      </c>
      <c r="K31" s="265" t="n">
        <v>1372754</v>
      </c>
      <c r="L31" s="265" t="n">
        <v>1398257</v>
      </c>
      <c r="N31" s="265" t="n">
        <v>1413094</v>
      </c>
      <c r="O31" s="265" t="n">
        <v>1471968</v>
      </c>
      <c r="P31" s="265" t="n">
        <v>1498391</v>
      </c>
      <c r="Q31" s="265" t="n">
        <v>1491444</v>
      </c>
      <c r="S31" s="265" t="n">
        <v>1501168</v>
      </c>
      <c r="T31" s="265" t="n">
        <v>1510958</v>
      </c>
      <c r="U31" s="265" t="n">
        <v>1568212</v>
      </c>
      <c r="V31" s="265" t="n">
        <v>1593756</v>
      </c>
      <c r="X31" s="265" t="n">
        <v>1644346</v>
      </c>
      <c r="Y31" s="265" t="n">
        <v>1743566</v>
      </c>
      <c r="Z31" s="265" t="n">
        <v>1837889</v>
      </c>
      <c r="AA31" s="265" t="n">
        <v>2004350</v>
      </c>
      <c r="AC31" s="265" t="n">
        <v>2147829</v>
      </c>
      <c r="AD31" s="265" t="n">
        <v>2398848</v>
      </c>
    </row>
    <row r="32">
      <c r="A32" t="inlineStr">
        <is>
          <t>ContentAssetsNetNoncurrent · fonte · unid. moeda</t>
        </is>
      </c>
      <c r="B32" t="n">
        <v>22</v>
      </c>
      <c r="C32" t="inlineStr">
        <is>
          <t>Other non-current assets</t>
        </is>
      </c>
      <c r="D32" s="265" t="n">
        <v>26043991</v>
      </c>
      <c r="E32" s="265" t="n">
        <v>27291640</v>
      </c>
      <c r="F32" s="265" t="n">
        <v>28974045</v>
      </c>
      <c r="G32" s="265" t="n">
        <v>30919539</v>
      </c>
      <c r="I32" s="265" t="n">
        <v>31191920</v>
      </c>
      <c r="J32" s="265" t="n">
        <v>32533199</v>
      </c>
      <c r="K32" s="265" t="n">
        <v>32777340</v>
      </c>
      <c r="L32" s="265" t="n">
        <v>32736713</v>
      </c>
      <c r="N32" s="265" t="n">
        <v>32349184</v>
      </c>
      <c r="O32" s="265" t="n">
        <v>32520774</v>
      </c>
      <c r="P32" s="265" t="n">
        <v>31749861</v>
      </c>
      <c r="Q32" s="265" t="n">
        <v>31658056</v>
      </c>
      <c r="S32" s="265" t="n">
        <v>31662100</v>
      </c>
      <c r="T32" s="265" t="n">
        <v>31927355</v>
      </c>
      <c r="U32" s="265" t="n">
        <v>32175382</v>
      </c>
      <c r="V32" s="265" t="n">
        <v>32452462</v>
      </c>
      <c r="X32" s="265" t="n">
        <v>32040839</v>
      </c>
      <c r="Y32" s="265" t="n">
        <v>32089394</v>
      </c>
      <c r="Z32" s="265" t="n">
        <v>32639879</v>
      </c>
      <c r="AA32" s="265" t="n">
        <v>32778392</v>
      </c>
      <c r="AC32" s="265" t="n">
        <v>33376295</v>
      </c>
      <c r="AD32" s="265" t="n">
        <v>33837573</v>
      </c>
    </row>
    <row r="33">
      <c r="A33" t="inlineStr">
        <is>
          <t>OtherAssetsNoncurrent · fonte · unid. moeda</t>
        </is>
      </c>
      <c r="B33" t="n">
        <v>22</v>
      </c>
      <c r="C33" t="inlineStr">
        <is>
          <t>Other non-current assets</t>
        </is>
      </c>
      <c r="D33" s="265" t="n">
        <v>2956096</v>
      </c>
      <c r="E33" s="265" t="n">
        <v>2967616</v>
      </c>
      <c r="F33" s="265" t="n">
        <v>3129911</v>
      </c>
      <c r="G33" s="265" t="n">
        <v>4271846</v>
      </c>
      <c r="I33" s="265" t="n">
        <v>4657206</v>
      </c>
      <c r="J33" s="265" t="n">
        <v>4615038</v>
      </c>
      <c r="K33" s="265" t="n">
        <v>4595190</v>
      </c>
      <c r="L33" s="265" t="n">
        <v>5193325</v>
      </c>
      <c r="N33" s="265" t="n">
        <v>5245444</v>
      </c>
      <c r="O33" s="265" t="n">
        <v>5318395</v>
      </c>
      <c r="P33" s="265" t="n">
        <v>5474060</v>
      </c>
      <c r="Q33" s="265" t="n">
        <v>5664359</v>
      </c>
      <c r="S33" s="265" t="n">
        <v>5743140</v>
      </c>
      <c r="T33" s="265" t="n">
        <v>6045029</v>
      </c>
      <c r="U33" s="265" t="n">
        <v>6409151</v>
      </c>
      <c r="V33" s="265" t="n">
        <v>6483777</v>
      </c>
      <c r="X33" s="265" t="n">
        <v>6704827</v>
      </c>
      <c r="Y33" s="265" t="n">
        <v>7273598</v>
      </c>
      <c r="Z33" s="265" t="n">
        <v>7494132</v>
      </c>
      <c r="AA33" s="265" t="n">
        <v>7794060</v>
      </c>
      <c r="AC33" s="265" t="n">
        <v>8420808</v>
      </c>
      <c r="AD33" s="265" t="n">
        <v>8360717</v>
      </c>
    </row>
    <row r="34">
      <c r="A34" t="inlineStr">
        <is>
          <t>AccountsPayableCurrent · fonte · unid. moeda</t>
        </is>
      </c>
      <c r="B34" t="n">
        <v>23</v>
      </c>
      <c r="C34" t="inlineStr">
        <is>
          <t>Accounts payable</t>
        </is>
      </c>
      <c r="D34" s="265" t="n">
        <v>532942</v>
      </c>
      <c r="E34" s="265" t="n">
        <v>622931</v>
      </c>
      <c r="F34" s="265" t="n">
        <v>643059</v>
      </c>
      <c r="G34" s="265" t="n">
        <v>837483</v>
      </c>
      <c r="I34" s="265" t="n">
        <v>617202</v>
      </c>
      <c r="J34" s="265" t="n">
        <v>504278</v>
      </c>
      <c r="K34" s="265" t="n">
        <v>560156</v>
      </c>
      <c r="L34" s="265" t="n">
        <v>671513</v>
      </c>
      <c r="N34" s="265" t="n">
        <v>591987</v>
      </c>
      <c r="O34" s="265" t="n">
        <v>615374</v>
      </c>
      <c r="P34" s="265" t="n">
        <v>534429</v>
      </c>
      <c r="Q34" s="265" t="n">
        <v>747412</v>
      </c>
      <c r="S34" s="265" t="n">
        <v>607348</v>
      </c>
      <c r="T34" s="265" t="n">
        <v>598557</v>
      </c>
      <c r="U34" s="265" t="n">
        <v>641953</v>
      </c>
      <c r="V34" s="265" t="n">
        <v>899909</v>
      </c>
      <c r="X34" s="265" t="n">
        <v>614489</v>
      </c>
      <c r="Y34" s="265" t="n">
        <v>632718</v>
      </c>
      <c r="Z34" s="265" t="n">
        <v>793233</v>
      </c>
      <c r="AA34" s="265" t="n">
        <v>900612</v>
      </c>
      <c r="AC34" s="265" t="n">
        <v>894681</v>
      </c>
      <c r="AD34" s="265" t="n">
        <v>814551</v>
      </c>
    </row>
    <row r="35">
      <c r="A35" t="inlineStr">
        <is>
          <t>AccruedLiabilitiesCurrent · fonte · unid. moeda</t>
        </is>
      </c>
      <c r="B35" t="n">
        <v>24</v>
      </c>
      <c r="C35" t="inlineStr">
        <is>
          <t>Accrued expenses</t>
        </is>
      </c>
      <c r="D35" s="265" t="n">
        <v>1291812</v>
      </c>
      <c r="E35" s="265" t="n">
        <v>1125591</v>
      </c>
      <c r="F35" s="265" t="n">
        <v>1413120</v>
      </c>
      <c r="G35" s="265" t="n">
        <v>1449351</v>
      </c>
      <c r="I35" s="265" t="n">
        <v>1817117</v>
      </c>
      <c r="J35" s="265" t="n">
        <v>1596035</v>
      </c>
      <c r="K35" s="265" t="n">
        <v>1803555</v>
      </c>
      <c r="L35" s="265" t="n">
        <v>1514650</v>
      </c>
      <c r="N35" s="265" t="n">
        <v>1718069</v>
      </c>
      <c r="O35" s="265" t="n">
        <v>1908714</v>
      </c>
      <c r="P35" s="265" t="n">
        <v>1838908</v>
      </c>
      <c r="Q35" s="265" t="n">
        <v>1803960</v>
      </c>
      <c r="S35" s="265" t="n">
        <v>1977428</v>
      </c>
      <c r="T35" s="265" t="n">
        <v>1876244</v>
      </c>
      <c r="U35" s="265" t="n">
        <v>2241758</v>
      </c>
      <c r="V35" s="265" t="n">
        <v>2156544</v>
      </c>
      <c r="X35" s="265" t="n">
        <v>2359518</v>
      </c>
      <c r="Y35" s="265" t="n">
        <v>2489486</v>
      </c>
      <c r="Z35" s="265" t="n">
        <v>3111311</v>
      </c>
      <c r="AA35" s="265" t="n">
        <v>3220869</v>
      </c>
      <c r="AC35" s="265" t="n">
        <v>4441986</v>
      </c>
      <c r="AD35" s="265" t="n">
        <v>3172611</v>
      </c>
    </row>
    <row r="36">
      <c r="A36" t="inlineStr">
        <is>
          <t>ContentLiabilitiesCurrent · fonte · unid. moeda</t>
        </is>
      </c>
      <c r="B36" t="n">
        <v>26</v>
      </c>
      <c r="C36" t="inlineStr">
        <is>
          <t>Other current liabilities (non-debt)</t>
        </is>
      </c>
      <c r="D36" s="265" t="n">
        <v>4297957</v>
      </c>
      <c r="E36" s="265" t="n">
        <v>4197874</v>
      </c>
      <c r="F36" s="265" t="n">
        <v>4110962</v>
      </c>
      <c r="G36" s="265" t="n">
        <v>4292967</v>
      </c>
      <c r="I36" s="265" t="n">
        <v>4066289</v>
      </c>
      <c r="J36" s="265" t="n">
        <v>4174966</v>
      </c>
      <c r="K36" s="265" t="n">
        <v>4225890</v>
      </c>
      <c r="L36" s="265" t="n">
        <v>4480150</v>
      </c>
      <c r="N36" s="265" t="n">
        <v>4344580</v>
      </c>
      <c r="O36" s="265" t="n">
        <v>4440412</v>
      </c>
      <c r="P36" s="265" t="n">
        <v>4259582</v>
      </c>
      <c r="Q36" s="265" t="n">
        <v>4466470</v>
      </c>
      <c r="S36" s="265" t="n">
        <v>4436021</v>
      </c>
      <c r="T36" s="265" t="n">
        <v>4391437</v>
      </c>
      <c r="U36" s="265" t="n">
        <v>4489971</v>
      </c>
      <c r="V36" s="265" t="n">
        <v>4393681</v>
      </c>
      <c r="X36" s="265" t="n">
        <v>4128905</v>
      </c>
      <c r="Y36" s="265" t="n">
        <v>4091770</v>
      </c>
      <c r="Z36" s="265" t="n">
        <v>4102640</v>
      </c>
      <c r="AA36" s="265" t="n">
        <v>4084854</v>
      </c>
      <c r="AC36" s="265" t="n">
        <v>4052278</v>
      </c>
      <c r="AD36" s="265" t="n">
        <v>3866522</v>
      </c>
    </row>
    <row r="37">
      <c r="A37" t="inlineStr">
        <is>
          <t>ContractWithCustomerLiabilityCurrent · fonte · unid. moeda</t>
        </is>
      </c>
      <c r="B37" t="n">
        <v>26</v>
      </c>
      <c r="C37" t="inlineStr">
        <is>
          <t>Other current liabilities (non-debt)</t>
        </is>
      </c>
      <c r="D37" s="265" t="n">
        <v>1140271</v>
      </c>
      <c r="E37" s="265" t="n">
        <v>1187364</v>
      </c>
      <c r="F37" s="265" t="n">
        <v>1182632</v>
      </c>
      <c r="G37" s="265" t="n">
        <v>1209342</v>
      </c>
      <c r="I37" s="265" t="n">
        <v>1239048</v>
      </c>
      <c r="J37" s="265" t="n">
        <v>1224743</v>
      </c>
      <c r="K37" s="265" t="n">
        <v>1176323</v>
      </c>
      <c r="L37" s="265" t="n">
        <v>1264661</v>
      </c>
      <c r="N37" s="265" t="n">
        <v>1262271</v>
      </c>
      <c r="O37" s="265" t="n">
        <v>1311918</v>
      </c>
      <c r="P37" s="265" t="n">
        <v>1306185</v>
      </c>
      <c r="Q37" s="265" t="n">
        <v>1442969</v>
      </c>
      <c r="S37" s="265" t="n">
        <v>1469484</v>
      </c>
      <c r="T37" s="265" t="n">
        <v>1473720</v>
      </c>
      <c r="U37" s="265" t="n">
        <v>1513048</v>
      </c>
      <c r="V37" s="265" t="n">
        <v>1520813</v>
      </c>
      <c r="X37" s="265" t="n">
        <v>1609726</v>
      </c>
      <c r="Y37" s="265" t="n">
        <v>1728361</v>
      </c>
      <c r="Z37" s="265" t="n">
        <v>1724675</v>
      </c>
      <c r="AA37" s="265" t="n">
        <v>1775730</v>
      </c>
      <c r="AC37" s="265" t="n">
        <v>1743448</v>
      </c>
      <c r="AD37" s="265" t="n">
        <v>1797456</v>
      </c>
    </row>
    <row r="38">
      <c r="A38" t="inlineStr">
        <is>
          <t>ShortTermBorrowings · fonte · unid. moeda</t>
        </is>
      </c>
      <c r="B38" t="n">
        <v>27</v>
      </c>
      <c r="C38" t="inlineStr">
        <is>
          <t>Current portion of long-term debt</t>
        </is>
      </c>
      <c r="D38" s="265" t="n">
        <v>698788</v>
      </c>
      <c r="E38" s="265" t="n">
        <v>699128</v>
      </c>
      <c r="F38" s="265" t="n">
        <v>699473</v>
      </c>
      <c r="G38" s="265" t="n">
        <v>699823</v>
      </c>
      <c r="I38" s="265" t="n">
        <v>0</v>
      </c>
      <c r="J38" s="265" t="n">
        <v>0</v>
      </c>
      <c r="K38" s="265" t="n">
        <v>0</v>
      </c>
      <c r="L38" s="265" t="n">
        <v>0</v>
      </c>
      <c r="N38" s="265" t="n">
        <v>399163</v>
      </c>
      <c r="O38" s="265" t="n">
        <v>399387</v>
      </c>
      <c r="P38" s="265" t="n">
        <v>399614</v>
      </c>
      <c r="Q38" s="265" t="n">
        <v>399844</v>
      </c>
      <c r="S38" s="265" t="n">
        <v>798936</v>
      </c>
      <c r="T38" s="265" t="n">
        <v>1800041</v>
      </c>
      <c r="U38" s="265" t="n">
        <v>1820396</v>
      </c>
      <c r="V38" s="265" t="n">
        <v>1784453</v>
      </c>
      <c r="X38" s="265" t="n">
        <v>1005881</v>
      </c>
      <c r="Y38" s="265" t="n">
        <v>0</v>
      </c>
      <c r="Z38" s="265" t="n">
        <v>0</v>
      </c>
      <c r="AA38" s="265" t="n">
        <v>998865</v>
      </c>
      <c r="AC38" s="265" t="n">
        <v>999185</v>
      </c>
      <c r="AD38" s="265" t="n">
        <v>2483758</v>
      </c>
    </row>
    <row r="39">
      <c r="A39" t="inlineStr">
        <is>
          <t>LongTermDebtNoncurrent · fonte · unid. moeda</t>
        </is>
      </c>
      <c r="B39" t="n">
        <v>30</v>
      </c>
      <c r="C39" t="inlineStr">
        <is>
          <t>Long term debt</t>
        </is>
      </c>
      <c r="D39" s="265" t="n">
        <v>14860552</v>
      </c>
      <c r="E39" s="265" t="n">
        <v>14926889</v>
      </c>
      <c r="F39" s="265" t="n">
        <v>14793691</v>
      </c>
      <c r="G39" s="265" t="n">
        <v>14693072</v>
      </c>
      <c r="I39" s="265" t="n">
        <v>14534561</v>
      </c>
      <c r="J39" s="265" t="n">
        <v>14233303</v>
      </c>
      <c r="K39" s="265" t="n">
        <v>13888117</v>
      </c>
      <c r="L39" s="265" t="n">
        <v>14353076</v>
      </c>
      <c r="N39" s="265" t="n">
        <v>14037965</v>
      </c>
      <c r="O39" s="265" t="n">
        <v>14070151</v>
      </c>
      <c r="P39" s="265" t="n">
        <v>13900754</v>
      </c>
      <c r="Q39" s="265" t="n">
        <v>14143417</v>
      </c>
      <c r="S39" s="265" t="n">
        <v>13217038</v>
      </c>
      <c r="T39" s="265" t="n">
        <v>12180024</v>
      </c>
      <c r="U39" s="265" t="n">
        <v>14160932</v>
      </c>
      <c r="V39" s="265" t="n">
        <v>13798351</v>
      </c>
      <c r="X39" s="265" t="n">
        <v>14011037</v>
      </c>
      <c r="Y39" s="265" t="n">
        <v>14453206</v>
      </c>
      <c r="Z39" s="265" t="n">
        <v>14463020</v>
      </c>
      <c r="AA39" s="265" t="n">
        <v>13463971</v>
      </c>
      <c r="AC39" s="265" t="n">
        <v>13361331</v>
      </c>
      <c r="AD39" s="265" t="n">
        <v>11825548</v>
      </c>
    </row>
    <row r="40">
      <c r="A40" t="inlineStr">
        <is>
          <t>ContentLiabilitiesNoncurrent · fonte · unid. moeda</t>
        </is>
      </c>
      <c r="B40" t="n">
        <v>34</v>
      </c>
      <c r="C40" t="inlineStr">
        <is>
          <t>Other non-current liabilities</t>
        </is>
      </c>
      <c r="D40" s="265" t="n">
        <v>2465626</v>
      </c>
      <c r="E40" s="265" t="n">
        <v>2265286</v>
      </c>
      <c r="F40" s="265" t="n">
        <v>2301026</v>
      </c>
      <c r="G40" s="265" t="n">
        <v>3094213</v>
      </c>
      <c r="I40" s="265" t="n">
        <v>2945221</v>
      </c>
      <c r="J40" s="265" t="n">
        <v>2989961</v>
      </c>
      <c r="K40" s="265" t="n">
        <v>2955368</v>
      </c>
      <c r="L40" s="265" t="n">
        <v>3081277</v>
      </c>
      <c r="N40" s="265" t="n">
        <v>2908029</v>
      </c>
      <c r="O40" s="265" t="n">
        <v>2849387</v>
      </c>
      <c r="P40" s="265" t="n">
        <v>2668472</v>
      </c>
      <c r="Q40" s="265" t="n">
        <v>2578173</v>
      </c>
      <c r="S40" s="265" t="n">
        <v>2370692</v>
      </c>
      <c r="T40" s="265" t="n">
        <v>2028782</v>
      </c>
      <c r="U40" s="265" t="n">
        <v>1918089</v>
      </c>
      <c r="V40" s="265" t="n">
        <v>1780806</v>
      </c>
      <c r="X40" s="265" t="n">
        <v>1696662</v>
      </c>
      <c r="Y40" s="265" t="n">
        <v>1606404</v>
      </c>
      <c r="Z40" s="265" t="n">
        <v>1591973</v>
      </c>
      <c r="AA40" s="265" t="n">
        <v>1579476</v>
      </c>
      <c r="AC40" s="265" t="n">
        <v>1626498</v>
      </c>
      <c r="AD40" s="265" t="n">
        <v>1625600</v>
      </c>
    </row>
    <row r="41">
      <c r="A41" t="inlineStr">
        <is>
          <t>OtherLiabilitiesNoncurrent · fonte · unid. moeda</t>
        </is>
      </c>
      <c r="B41" t="n">
        <v>34</v>
      </c>
      <c r="C41" t="inlineStr">
        <is>
          <t>Other non-current liabilities</t>
        </is>
      </c>
      <c r="D41" s="265" t="n">
        <v>1950986</v>
      </c>
      <c r="E41" s="265" t="n">
        <v>2082035</v>
      </c>
      <c r="F41" s="265" t="n">
        <v>2281277</v>
      </c>
      <c r="G41" s="265" t="n">
        <v>2459164</v>
      </c>
      <c r="I41" s="265" t="n">
        <v>2567427</v>
      </c>
      <c r="J41" s="265" t="n">
        <v>2551675</v>
      </c>
      <c r="K41" s="265" t="n">
        <v>2424637</v>
      </c>
      <c r="L41" s="265" t="n">
        <v>2452040</v>
      </c>
      <c r="N41" s="265" t="n">
        <v>2400085</v>
      </c>
      <c r="O41" s="265" t="n">
        <v>2389915</v>
      </c>
      <c r="P41" s="265" t="n">
        <v>2486215</v>
      </c>
      <c r="Q41" s="265" t="n">
        <v>2561434</v>
      </c>
      <c r="S41" s="265" t="n">
        <v>2585364</v>
      </c>
      <c r="T41" s="265" t="n">
        <v>2637397</v>
      </c>
      <c r="U41" s="265" t="n">
        <v>2774961</v>
      </c>
      <c r="V41" s="265" t="n">
        <v>2552250</v>
      </c>
      <c r="X41" s="265" t="n">
        <v>2633353</v>
      </c>
      <c r="Y41" s="265" t="n">
        <v>3145820</v>
      </c>
      <c r="Z41" s="265" t="n">
        <v>3193948</v>
      </c>
      <c r="AA41" s="265" t="n">
        <v>2957128</v>
      </c>
      <c r="AC41" s="265" t="n">
        <v>2770108</v>
      </c>
      <c r="AD41" s="265" t="n">
        <v>2712343</v>
      </c>
    </row>
    <row r="42">
      <c r="A42" t="inlineStr">
        <is>
          <t>CommonStockValue · fonte · unid. moeda</t>
        </is>
      </c>
      <c r="B42" t="n">
        <v>37</v>
      </c>
      <c r="C42" t="inlineStr">
        <is>
          <t>Common Stock and APIC</t>
        </is>
      </c>
      <c r="D42" s="265" t="n">
        <v>3600084</v>
      </c>
      <c r="E42" s="265" t="n">
        <v>3721246</v>
      </c>
      <c r="F42" s="265" t="n">
        <v>3852531</v>
      </c>
      <c r="G42" s="265" t="n">
        <v>4024561</v>
      </c>
      <c r="I42" s="265" t="n">
        <v>4155580</v>
      </c>
      <c r="J42" s="265" t="n">
        <v>4316870</v>
      </c>
      <c r="K42" s="265" t="n">
        <v>4473962</v>
      </c>
      <c r="L42" s="265" t="n">
        <v>4637601</v>
      </c>
      <c r="N42" s="265" t="n">
        <v>4762395</v>
      </c>
      <c r="O42" s="265" t="n">
        <v>4874208</v>
      </c>
      <c r="P42" s="265" t="n">
        <v>5011427</v>
      </c>
      <c r="Q42" s="265" t="n">
        <v>5145172</v>
      </c>
      <c r="S42" s="265" t="n">
        <v>5489850</v>
      </c>
      <c r="T42" s="265" t="n">
        <v>5680061</v>
      </c>
      <c r="U42" s="265" t="n">
        <v>5887903</v>
      </c>
      <c r="V42" s="265" t="n">
        <v>6252126</v>
      </c>
      <c r="X42" s="265" t="n">
        <v>6677469</v>
      </c>
      <c r="Y42" s="265" t="n">
        <v>6932828</v>
      </c>
      <c r="Z42" s="265" t="n">
        <v>7080325</v>
      </c>
      <c r="AA42" s="265" t="n">
        <v>7286410</v>
      </c>
      <c r="AC42" s="265" t="n">
        <v>7478495</v>
      </c>
      <c r="AD42" s="265" t="n">
        <v>7670503</v>
      </c>
    </row>
    <row r="43">
      <c r="A43" t="inlineStr">
        <is>
          <t>TreasuryStockValue (divulgado positivo, lançado negativo) · fonte · unid. moeda</t>
        </is>
      </c>
      <c r="B43" t="n">
        <v>38</v>
      </c>
      <c r="C43" t="inlineStr">
        <is>
          <t>Treasury stock (contra account)</t>
        </is>
      </c>
      <c r="D43" s="265" t="n">
        <v>0</v>
      </c>
      <c r="E43" s="265" t="n">
        <v>-500022</v>
      </c>
      <c r="F43" s="265" t="n">
        <v>-600022</v>
      </c>
      <c r="G43" s="265" t="n">
        <v>-824190</v>
      </c>
      <c r="I43" s="265" t="n">
        <v>-824190</v>
      </c>
      <c r="J43" s="265" t="n">
        <v>0</v>
      </c>
      <c r="K43" s="265" t="n">
        <v>0</v>
      </c>
      <c r="L43" s="265" t="n">
        <v>0</v>
      </c>
      <c r="N43" s="265" t="n">
        <v>0</v>
      </c>
      <c r="O43" s="265" t="n">
        <v>0</v>
      </c>
      <c r="P43" s="265" t="n">
        <v>0</v>
      </c>
      <c r="Q43" s="265" t="n">
        <v>0</v>
      </c>
      <c r="S43" s="265" t="n">
        <v>0</v>
      </c>
      <c r="T43" s="265" t="n">
        <v>0</v>
      </c>
      <c r="U43" s="265" t="n">
        <v>0</v>
      </c>
      <c r="V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C43" s="265" t="n">
        <v>0</v>
      </c>
      <c r="AD43" s="265" t="n">
        <v>0</v>
      </c>
    </row>
    <row r="44">
      <c r="A44" t="inlineStr">
        <is>
          <t>TreasuryStockCommonValue (divulgado positivo, lançado negativo) · fonte · unid. moeda</t>
        </is>
      </c>
      <c r="B44" t="n">
        <v>38</v>
      </c>
      <c r="C44" t="inlineStr">
        <is>
          <t>Treasury stock (contra account)</t>
        </is>
      </c>
      <c r="D44" s="265" t="n">
        <v>0</v>
      </c>
      <c r="E44" s="265" t="n">
        <v>0</v>
      </c>
      <c r="F44" s="265" t="n">
        <v>0</v>
      </c>
      <c r="G44" s="265" t="n">
        <v>0</v>
      </c>
      <c r="I44" s="265" t="n">
        <v>0</v>
      </c>
      <c r="J44" s="265" t="n">
        <v>-824190</v>
      </c>
      <c r="K44" s="265" t="n">
        <v>-824190</v>
      </c>
      <c r="L44" s="265" t="n">
        <v>-824190</v>
      </c>
      <c r="N44" s="265" t="n">
        <v>-1228920</v>
      </c>
      <c r="O44" s="265" t="n">
        <v>-1876753</v>
      </c>
      <c r="P44" s="265" t="n">
        <v>-4399677</v>
      </c>
      <c r="Q44" s="265" t="n">
        <v>-6922200</v>
      </c>
      <c r="S44" s="265" t="n">
        <v>-8934056</v>
      </c>
      <c r="T44" s="265" t="n">
        <v>-10547055</v>
      </c>
      <c r="U44" s="265" t="n">
        <v>-12254855</v>
      </c>
      <c r="V44" s="265" t="n">
        <v>-13171638</v>
      </c>
      <c r="X44" s="265" t="n">
        <v>-16754929</v>
      </c>
      <c r="Y44" s="265" t="n">
        <v>-18392942</v>
      </c>
      <c r="Z44" s="265" t="n">
        <v>-20270631</v>
      </c>
      <c r="AA44" s="265" t="n">
        <v>-22372658</v>
      </c>
      <c r="AC44" s="265" t="n">
        <v>-23681974</v>
      </c>
      <c r="AD44" s="265" t="n">
        <v>-28387657</v>
      </c>
    </row>
    <row r="45">
      <c r="A45" t="inlineStr">
        <is>
          <t>AccumulatedOtherComprehensiveIncomeLossNetOfTax · fonte · unid. moeda</t>
        </is>
      </c>
      <c r="B45" t="n">
        <v>39</v>
      </c>
      <c r="C45" t="inlineStr">
        <is>
          <t>Comprehensive (accumulated) loss</t>
        </is>
      </c>
      <c r="D45" s="265" t="n">
        <v>4137</v>
      </c>
      <c r="E45" s="265" t="n">
        <v>9775</v>
      </c>
      <c r="F45" s="265" t="n">
        <v>-19835</v>
      </c>
      <c r="G45" s="265" t="n">
        <v>-40495</v>
      </c>
      <c r="I45" s="265" t="n">
        <v>-74170</v>
      </c>
      <c r="J45" s="265" t="n">
        <v>-144476</v>
      </c>
      <c r="K45" s="265" t="n">
        <v>-247643</v>
      </c>
      <c r="L45" s="265" t="n">
        <v>-217306</v>
      </c>
      <c r="N45" s="265" t="n">
        <v>-191695</v>
      </c>
      <c r="O45" s="265" t="n">
        <v>-139266</v>
      </c>
      <c r="P45" s="265" t="n">
        <v>-155571</v>
      </c>
      <c r="Q45" s="265" t="n">
        <v>-223945</v>
      </c>
      <c r="S45" s="265" t="n">
        <v>-111879</v>
      </c>
      <c r="T45" s="265" t="n">
        <v>-89114</v>
      </c>
      <c r="U45" s="265" t="n">
        <v>-344622</v>
      </c>
      <c r="V45" s="265" t="n">
        <v>362162</v>
      </c>
      <c r="X45" s="265" t="n">
        <v>-85735</v>
      </c>
      <c r="Y45" s="265" t="n">
        <v>-904668</v>
      </c>
      <c r="Z45" s="265" t="n">
        <v>-719256</v>
      </c>
      <c r="AA45" s="265" t="n">
        <v>-580382</v>
      </c>
      <c r="AC45" s="265" t="n">
        <v>-235031</v>
      </c>
      <c r="AD45" s="265" t="n">
        <v>-97117</v>
      </c>
    </row>
    <row r="46">
      <c r="A46" t="inlineStr">
        <is>
          <t>RetainedEarningsAccumulatedDeficit · fonte · unid. moeda</t>
        </is>
      </c>
      <c r="B46" t="n">
        <v>41</v>
      </c>
      <c r="C46" t="inlineStr">
        <is>
          <t>Retained earnings</t>
        </is>
      </c>
      <c r="D46" s="265" t="n">
        <v>9279859</v>
      </c>
      <c r="E46" s="265" t="n">
        <v>10632872</v>
      </c>
      <c r="F46" s="265" t="n">
        <v>12081943</v>
      </c>
      <c r="G46" s="265" t="n">
        <v>12689372</v>
      </c>
      <c r="I46" s="265" t="n">
        <v>14286819</v>
      </c>
      <c r="J46" s="265" t="n">
        <v>15727770</v>
      </c>
      <c r="K46" s="265" t="n">
        <v>17126012</v>
      </c>
      <c r="L46" s="265" t="n">
        <v>17181296</v>
      </c>
      <c r="N46" s="265" t="n">
        <v>18486416</v>
      </c>
      <c r="O46" s="265" t="n">
        <v>19974026</v>
      </c>
      <c r="P46" s="265" t="n">
        <v>21651448</v>
      </c>
      <c r="Q46" s="265" t="n">
        <v>22589286</v>
      </c>
      <c r="S46" s="265" t="n">
        <v>24921495</v>
      </c>
      <c r="T46" s="265" t="n">
        <v>27068801</v>
      </c>
      <c r="U46" s="265" t="n">
        <v>29432310</v>
      </c>
      <c r="V46" s="265" t="n">
        <v>31300917</v>
      </c>
      <c r="X46" s="265" t="n">
        <v>34191268</v>
      </c>
      <c r="Y46" s="265" t="n">
        <v>37316681</v>
      </c>
      <c r="Z46" s="265" t="n">
        <v>39863597</v>
      </c>
      <c r="AA46" s="265" t="n">
        <v>42282118</v>
      </c>
      <c r="AC46" s="265" t="n">
        <v>47564909</v>
      </c>
      <c r="AD46" s="265" t="n">
        <v>50966323</v>
      </c>
    </row>
    <row r="47">
      <c r="A47" t="inlineStr">
        <is>
          <t>[vazio] Minoritários (DRE): não aparece como linha própria nas demonstrações (zero) · derivada · unid. moeda</t>
        </is>
      </c>
      <c r="B47" t="n">
        <v>9</v>
      </c>
      <c r="C47" t="inlineStr">
        <is>
          <t>Minority Interest Expense, after tax (enter as - )</t>
        </is>
      </c>
      <c r="D47" s="265" t="n">
        <v>0</v>
      </c>
      <c r="E47" s="265" t="n">
        <v>0</v>
      </c>
      <c r="F47" s="265" t="n">
        <v>0</v>
      </c>
      <c r="G47" s="265" t="n">
        <v>0</v>
      </c>
      <c r="I47" s="265" t="n">
        <v>0</v>
      </c>
      <c r="J47" s="265" t="n">
        <v>0</v>
      </c>
      <c r="K47" s="265" t="n">
        <v>0</v>
      </c>
      <c r="L47" s="265" t="n">
        <v>0</v>
      </c>
      <c r="N47" s="265" t="n">
        <v>0</v>
      </c>
      <c r="O47" s="265" t="n">
        <v>0</v>
      </c>
      <c r="P47" s="265" t="n">
        <v>0</v>
      </c>
      <c r="Q47" s="265" t="n">
        <v>0</v>
      </c>
      <c r="S47" s="265" t="n">
        <v>0</v>
      </c>
      <c r="T47" s="265" t="n">
        <v>0</v>
      </c>
      <c r="U47" s="265" t="n">
        <v>0</v>
      </c>
      <c r="V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C47" s="265" t="n">
        <v>0</v>
      </c>
      <c r="AD47" s="265" t="n">
        <v>0</v>
      </c>
    </row>
    <row r="48">
      <c r="A48" t="inlineStr">
        <is>
          <t>[vazio] Contas a receber: não aparece como linha própria nas demonstrações (zero) · derivada · unid. moeda</t>
        </is>
      </c>
      <c r="B48" t="n">
        <v>12</v>
      </c>
      <c r="C48" t="inlineStr">
        <is>
          <t>Accounts receivable</t>
        </is>
      </c>
      <c r="D48" s="265" t="n">
        <v>0</v>
      </c>
      <c r="E48" s="265" t="n">
        <v>0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C48" s="265" t="n">
        <v>0</v>
      </c>
      <c r="AD48" s="265" t="n">
        <v>0</v>
      </c>
    </row>
    <row r="49">
      <c r="A49" t="inlineStr">
        <is>
          <t>[vazio] Estoques: não aparece como linha própria nas demonstrações (zero) · derivada · unid. moeda</t>
        </is>
      </c>
      <c r="B49" t="n">
        <v>13</v>
      </c>
      <c r="C49" t="inlineStr">
        <is>
          <t>Inventories</t>
        </is>
      </c>
      <c r="D49" s="265" t="n">
        <v>0</v>
      </c>
      <c r="E49" s="265" t="n">
        <v>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0</v>
      </c>
      <c r="L49" s="265" t="n">
        <v>0</v>
      </c>
      <c r="N49" s="265" t="n">
        <v>0</v>
      </c>
      <c r="O49" s="265" t="n">
        <v>0</v>
      </c>
      <c r="P49" s="265" t="n">
        <v>0</v>
      </c>
      <c r="Q49" s="265" t="n">
        <v>0</v>
      </c>
      <c r="S49" s="265" t="n">
        <v>0</v>
      </c>
      <c r="T49" s="265" t="n">
        <v>0</v>
      </c>
      <c r="U49" s="265" t="n">
        <v>0</v>
      </c>
      <c r="V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C49" s="265" t="n">
        <v>0</v>
      </c>
      <c r="AD49" s="265" t="n">
        <v>0</v>
      </c>
    </row>
    <row r="50">
      <c r="A50" t="inlineStr">
        <is>
          <t>[vazio] IR diferido ativo: não aparece como linha própria nas demonstrações (zero) · derivada · unid. moeda</t>
        </is>
      </c>
      <c r="B50" t="n">
        <v>14</v>
      </c>
      <c r="C50" t="inlineStr">
        <is>
          <t>Deferred income taxes</t>
        </is>
      </c>
      <c r="D50" s="265" t="n">
        <v>0</v>
      </c>
      <c r="E50" s="265" t="n">
        <v>0</v>
      </c>
      <c r="F50" s="265" t="n">
        <v>0</v>
      </c>
      <c r="G50" s="265" t="n">
        <v>0</v>
      </c>
      <c r="I50" s="265" t="n">
        <v>0</v>
      </c>
      <c r="J50" s="265" t="n">
        <v>0</v>
      </c>
      <c r="K50" s="265" t="n">
        <v>0</v>
      </c>
      <c r="L50" s="265" t="n">
        <v>0</v>
      </c>
      <c r="N50" s="265" t="n">
        <v>0</v>
      </c>
      <c r="O50" s="265" t="n">
        <v>0</v>
      </c>
      <c r="P50" s="265" t="n">
        <v>0</v>
      </c>
      <c r="Q50" s="265" t="n">
        <v>0</v>
      </c>
      <c r="S50" s="265" t="n">
        <v>0</v>
      </c>
      <c r="T50" s="265" t="n">
        <v>0</v>
      </c>
      <c r="U50" s="265" t="n">
        <v>0</v>
      </c>
      <c r="V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C50" s="265" t="n">
        <v>0</v>
      </c>
      <c r="AD50" s="265" t="n">
        <v>0</v>
      </c>
    </row>
    <row r="51">
      <c r="A51" t="inlineStr">
        <is>
          <t>[vazio] Despesas antecipadas: não aparece como linha própria nas demonstrações (zero) · derivada · unid. moeda</t>
        </is>
      </c>
      <c r="B51" t="n">
        <v>15</v>
      </c>
      <c r="C51" t="inlineStr">
        <is>
          <t>Prepaid expenses</t>
        </is>
      </c>
      <c r="D51" s="265" t="n">
        <v>0</v>
      </c>
      <c r="E51" s="265" t="n">
        <v>0</v>
      </c>
      <c r="F51" s="265" t="n">
        <v>0</v>
      </c>
      <c r="G51" s="265" t="n">
        <v>0</v>
      </c>
      <c r="I51" s="265" t="n">
        <v>0</v>
      </c>
      <c r="J51" s="265" t="n">
        <v>0</v>
      </c>
      <c r="K51" s="265" t="n">
        <v>0</v>
      </c>
      <c r="L51" s="265" t="n">
        <v>0</v>
      </c>
      <c r="N51" s="265" t="n">
        <v>0</v>
      </c>
      <c r="O51" s="265" t="n">
        <v>0</v>
      </c>
      <c r="P51" s="265" t="n">
        <v>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0</v>
      </c>
    </row>
    <row r="52">
      <c r="A52" t="inlineStr">
        <is>
          <t>[vazio] Investimentos em coligadas: não aparece como linha própria nas demonstrações (zero) · derivada · unid. moeda</t>
        </is>
      </c>
      <c r="B52" t="n">
        <v>17</v>
      </c>
      <c r="C52" t="inlineStr">
        <is>
          <t>Equity in affiliates</t>
        </is>
      </c>
      <c r="D52" s="265" t="n">
        <v>0</v>
      </c>
      <c r="E52" s="265" t="n">
        <v>0</v>
      </c>
      <c r="F52" s="265" t="n">
        <v>0</v>
      </c>
      <c r="G52" s="265" t="n">
        <v>0</v>
      </c>
      <c r="I52" s="265" t="n">
        <v>0</v>
      </c>
      <c r="J52" s="265" t="n">
        <v>0</v>
      </c>
      <c r="K52" s="265" t="n">
        <v>0</v>
      </c>
      <c r="L52" s="265" t="n">
        <v>0</v>
      </c>
      <c r="N52" s="265" t="n">
        <v>0</v>
      </c>
      <c r="O52" s="265" t="n">
        <v>0</v>
      </c>
      <c r="P52" s="265" t="n">
        <v>0</v>
      </c>
      <c r="Q52" s="265" t="n">
        <v>0</v>
      </c>
      <c r="S52" s="265" t="n">
        <v>0</v>
      </c>
      <c r="T52" s="265" t="n">
        <v>0</v>
      </c>
      <c r="U52" s="265" t="n">
        <v>0</v>
      </c>
      <c r="V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C52" s="265" t="n">
        <v>0</v>
      </c>
      <c r="AD52" s="265" t="n">
        <v>0</v>
      </c>
    </row>
    <row r="53">
      <c r="A53" t="inlineStr">
        <is>
          <t>[vazio] Direito de uso: não aparece como linha própria nas demonstrações (zero) · derivada · unid. moeda</t>
        </is>
      </c>
      <c r="B53" t="n">
        <v>19</v>
      </c>
      <c r="C53" t="inlineStr">
        <is>
          <t>Right-of-use-assets</t>
        </is>
      </c>
      <c r="D53" s="265" t="n">
        <v>0</v>
      </c>
      <c r="E53" s="265" t="n">
        <v>0</v>
      </c>
      <c r="F53" s="265" t="n">
        <v>0</v>
      </c>
      <c r="G53" s="265" t="n">
        <v>0</v>
      </c>
      <c r="I53" s="265" t="n">
        <v>0</v>
      </c>
      <c r="J53" s="265" t="n">
        <v>0</v>
      </c>
      <c r="K53" s="265" t="n">
        <v>0</v>
      </c>
      <c r="L53" s="265" t="n">
        <v>0</v>
      </c>
      <c r="N53" s="265" t="n">
        <v>0</v>
      </c>
      <c r="O53" s="265" t="n">
        <v>0</v>
      </c>
      <c r="P53" s="265" t="n">
        <v>0</v>
      </c>
      <c r="Q53" s="265" t="n">
        <v>0</v>
      </c>
      <c r="S53" s="265" t="n">
        <v>0</v>
      </c>
      <c r="T53" s="265" t="n">
        <v>0</v>
      </c>
      <c r="U53" s="265" t="n">
        <v>0</v>
      </c>
      <c r="V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[vazio] Goodwill: não aparece como linha própria nas demonstrações (zero) · derivada · unid. moeda</t>
        </is>
      </c>
      <c r="B54" t="n">
        <v>20</v>
      </c>
      <c r="C54" t="inlineStr">
        <is>
          <t>Goodwill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0</v>
      </c>
      <c r="V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C54" s="265" t="n">
        <v>0</v>
      </c>
      <c r="AD54" s="265" t="n">
        <v>0</v>
      </c>
    </row>
    <row r="55">
      <c r="A55" t="inlineStr">
        <is>
          <t>[vazio] Intangíveis: não aparece como linha própria nas demonstrações (zero) · derivada · unid. moeda</t>
        </is>
      </c>
      <c r="B55" t="n">
        <v>21</v>
      </c>
      <c r="C55" t="inlineStr">
        <is>
          <t>Intangibles</t>
        </is>
      </c>
      <c r="D55" s="265" t="n">
        <v>0</v>
      </c>
      <c r="E55" s="265" t="n">
        <v>0</v>
      </c>
      <c r="F55" s="265" t="n">
        <v>0</v>
      </c>
      <c r="G55" s="265" t="n">
        <v>0</v>
      </c>
      <c r="I55" s="265" t="n">
        <v>0</v>
      </c>
      <c r="J55" s="265" t="n">
        <v>0</v>
      </c>
      <c r="K55" s="265" t="n">
        <v>0</v>
      </c>
      <c r="L55" s="265" t="n">
        <v>0</v>
      </c>
      <c r="N55" s="265" t="n">
        <v>0</v>
      </c>
      <c r="O55" s="265" t="n">
        <v>0</v>
      </c>
      <c r="P55" s="265" t="n">
        <v>0</v>
      </c>
      <c r="Q55" s="265" t="n">
        <v>0</v>
      </c>
      <c r="S55" s="265" t="n">
        <v>0</v>
      </c>
      <c r="T55" s="265" t="n">
        <v>0</v>
      </c>
      <c r="U55" s="265" t="n">
        <v>0</v>
      </c>
      <c r="V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C55" s="265" t="n">
        <v>0</v>
      </c>
      <c r="AD55" s="265" t="n">
        <v>0</v>
      </c>
    </row>
    <row r="56">
      <c r="A56" t="inlineStr">
        <is>
          <t>[vazio] Impostos a pagar: não aparece como linha própria nas demonstrações (zero) · derivada · unid. moeda</t>
        </is>
      </c>
      <c r="B56" t="n">
        <v>25</v>
      </c>
      <c r="C56" t="inlineStr">
        <is>
          <t>Taxes payable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0</v>
      </c>
      <c r="K56" s="265" t="n">
        <v>0</v>
      </c>
      <c r="L56" s="265" t="n">
        <v>0</v>
      </c>
      <c r="N56" s="265" t="n">
        <v>0</v>
      </c>
      <c r="O56" s="265" t="n">
        <v>0</v>
      </c>
      <c r="P56" s="265" t="n">
        <v>0</v>
      </c>
      <c r="Q56" s="265" t="n">
        <v>0</v>
      </c>
      <c r="S56" s="265" t="n">
        <v>0</v>
      </c>
      <c r="T56" s="265" t="n">
        <v>0</v>
      </c>
      <c r="U56" s="265" t="n">
        <v>0</v>
      </c>
      <c r="V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C56" s="265" t="n">
        <v>0</v>
      </c>
      <c r="AD56" s="265" t="n">
        <v>0</v>
      </c>
    </row>
    <row r="57">
      <c r="A57" t="inlineStr">
        <is>
          <t>[vazio] Revolving: não aparece como linha própria nas demonstrações (zero) · derivada · unid. moeda</t>
        </is>
      </c>
      <c r="B57" t="n">
        <v>28</v>
      </c>
      <c r="C57" t="inlineStr">
        <is>
          <t>Short term debt (Revolving credit facility)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[vazio] Arrendamento CP: não aparece como linha própria nas demonstrações (zero) · derivada · unid. moeda</t>
        </is>
      </c>
      <c r="B58" t="n">
        <v>29</v>
      </c>
      <c r="C58" t="inlineStr">
        <is>
          <t>Short term operating leases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[vazio] Arrendamento LP: não aparece como linha própria nas demonstrações (zero) · derivada · unid. moeda</t>
        </is>
      </c>
      <c r="B59" t="n">
        <v>31</v>
      </c>
      <c r="C59" t="inlineStr">
        <is>
          <t>Long term operating leases</t>
        </is>
      </c>
      <c r="D59" s="265" t="n">
        <v>0</v>
      </c>
      <c r="E59" s="265" t="n">
        <v>0</v>
      </c>
      <c r="F59" s="265" t="n">
        <v>0</v>
      </c>
      <c r="G59" s="265" t="n">
        <v>0</v>
      </c>
      <c r="I59" s="265" t="n">
        <v>0</v>
      </c>
      <c r="J59" s="265" t="n">
        <v>0</v>
      </c>
      <c r="K59" s="265" t="n">
        <v>0</v>
      </c>
      <c r="L59" s="265" t="n">
        <v>0</v>
      </c>
      <c r="N59" s="265" t="n">
        <v>0</v>
      </c>
      <c r="O59" s="265" t="n">
        <v>0</v>
      </c>
      <c r="P59" s="265" t="n">
        <v>0</v>
      </c>
      <c r="Q59" s="265" t="n">
        <v>0</v>
      </c>
      <c r="S59" s="265" t="n">
        <v>0</v>
      </c>
      <c r="T59" s="265" t="n">
        <v>0</v>
      </c>
      <c r="U59" s="265" t="n">
        <v>0</v>
      </c>
      <c r="V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C59" s="265" t="n">
        <v>0</v>
      </c>
      <c r="AD59" s="265" t="n">
        <v>0</v>
      </c>
    </row>
    <row r="60">
      <c r="A60" t="inlineStr">
        <is>
          <t>[vazio] Dívida conversível: não aparece como linha própria nas demonstrações (zero) · derivada · unid. moeda</t>
        </is>
      </c>
      <c r="B60" t="n">
        <v>32</v>
      </c>
      <c r="C60" t="inlineStr">
        <is>
          <t>Convertible debt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0</v>
      </c>
      <c r="O60" s="265" t="n">
        <v>0</v>
      </c>
      <c r="P60" s="265" t="n">
        <v>0</v>
      </c>
      <c r="Q60" s="265" t="n">
        <v>0</v>
      </c>
      <c r="S60" s="265" t="n">
        <v>0</v>
      </c>
      <c r="T60" s="265" t="n">
        <v>0</v>
      </c>
      <c r="U60" s="265" t="n">
        <v>0</v>
      </c>
      <c r="V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C60" s="265" t="n">
        <v>0</v>
      </c>
      <c r="AD60" s="265" t="n">
        <v>0</v>
      </c>
    </row>
    <row r="61">
      <c r="A61" t="inlineStr">
        <is>
          <t>[vazio] IR diferido passivo: não aparece como linha própria nas demonstrações (zero) · derivada · unid. moeda</t>
        </is>
      </c>
      <c r="B61" t="n">
        <v>33</v>
      </c>
      <c r="C61" t="inlineStr">
        <is>
          <t>Deferred income taxes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[vazio] Participação de minoritários (balanço): não aparece como linha própria nas demonstrações (zero) · derivada · unid. moeda</t>
        </is>
      </c>
      <c r="B62" t="n">
        <v>35</v>
      </c>
      <c r="C62" t="inlineStr">
        <is>
          <t>Minority interest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[vazio] Outras contas do PL: não aparece como linha própria nas demonstrações (zero) · derivada · unid. moeda</t>
        </is>
      </c>
      <c r="B63" t="n">
        <v>40</v>
      </c>
      <c r="C63" t="inlineStr">
        <is>
          <t>Other equity account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BALANÇO - totais divulgados (memória)</t>
        </is>
      </c>
      <c r="C64" t="inlineStr">
        <is>
          <t>[linha bruta, sem código; lançada nas linhas abaixo]</t>
        </is>
      </c>
      <c r="D64" s="265" t="n"/>
      <c r="E64" s="265" t="n"/>
      <c r="F64" s="265" t="n"/>
      <c r="G64" s="265" t="n"/>
      <c r="I64" s="265" t="n"/>
      <c r="J64" s="265" t="n"/>
      <c r="K64" s="265" t="n"/>
      <c r="L64" s="265" t="n"/>
      <c r="N64" s="265" t="n"/>
      <c r="O64" s="265" t="n"/>
      <c r="P64" s="265" t="n"/>
      <c r="Q64" s="265" t="n"/>
      <c r="S64" s="265" t="n"/>
      <c r="T64" s="265" t="n"/>
      <c r="U64" s="265" t="n"/>
      <c r="V64" s="265" t="n"/>
      <c r="X64" s="265" t="n"/>
      <c r="Y64" s="265" t="n"/>
      <c r="Z64" s="265" t="n"/>
      <c r="AA64" s="265" t="n"/>
      <c r="AC64" s="265" t="n"/>
      <c r="AD64" s="265" t="n"/>
    </row>
    <row r="65">
      <c r="A65" t="inlineStr">
        <is>
          <t>Total do ativo [us-gaap:Assets] · memoria · unid. moeda</t>
        </is>
      </c>
      <c r="C65" t="inlineStr">
        <is>
          <t>[linha bruta, sem código; lançada nas linhas abaixo]</t>
        </is>
      </c>
      <c r="D65" s="265" t="n">
        <v>40123014</v>
      </c>
      <c r="E65" s="265" t="n">
        <v>40970969</v>
      </c>
      <c r="F65" s="265" t="n">
        <v>42739857</v>
      </c>
      <c r="G65" s="265" t="n">
        <v>44584663</v>
      </c>
      <c r="I65" s="265" t="n">
        <v>45330904</v>
      </c>
      <c r="J65" s="265" t="n">
        <v>46350935</v>
      </c>
      <c r="K65" s="265" t="n">
        <v>47562187</v>
      </c>
      <c r="L65" s="265" t="n">
        <v>48594768</v>
      </c>
      <c r="N65" s="265" t="n">
        <v>49490345</v>
      </c>
      <c r="O65" s="265" t="n">
        <v>50817473</v>
      </c>
      <c r="P65" s="265" t="n">
        <v>49501786</v>
      </c>
      <c r="Q65" s="265" t="n">
        <v>48731992</v>
      </c>
      <c r="S65" s="265" t="n">
        <v>48827721</v>
      </c>
      <c r="T65" s="265" t="n">
        <v>49098895</v>
      </c>
      <c r="U65" s="265" t="n">
        <v>52281844</v>
      </c>
      <c r="V65" s="265" t="n">
        <v>53630374</v>
      </c>
      <c r="X65" s="265" t="n">
        <v>52087644</v>
      </c>
      <c r="Y65" s="265" t="n">
        <v>53099664</v>
      </c>
      <c r="Z65" s="265" t="n">
        <v>54934835</v>
      </c>
      <c r="AA65" s="265" t="n">
        <v>55596993</v>
      </c>
      <c r="AC65" s="265" t="n">
        <v>61015914</v>
      </c>
      <c r="AD65" s="265" t="n">
        <v>58450441</v>
      </c>
    </row>
    <row r="66">
      <c r="A66" t="inlineStr">
        <is>
          <t>Total do passivo + PL [us-gaap:LiabilitiesAndStockholdersEquity] · memoria · unid. moeda</t>
        </is>
      </c>
      <c r="C66" t="inlineStr">
        <is>
          <t>[linha bruta, sem código; lançada nas linhas abaixo]</t>
        </is>
      </c>
      <c r="D66" s="265" t="n">
        <v>40123014</v>
      </c>
      <c r="E66" s="265" t="n">
        <v>40970969</v>
      </c>
      <c r="F66" s="265" t="n">
        <v>42739857</v>
      </c>
      <c r="G66" s="265" t="n">
        <v>44584663</v>
      </c>
      <c r="I66" s="265" t="n">
        <v>45330904</v>
      </c>
      <c r="J66" s="265" t="n">
        <v>46350935</v>
      </c>
      <c r="K66" s="265" t="n">
        <v>47562187</v>
      </c>
      <c r="L66" s="265" t="n">
        <v>48594768</v>
      </c>
      <c r="N66" s="265" t="n">
        <v>49490345</v>
      </c>
      <c r="O66" s="265" t="n">
        <v>50817473</v>
      </c>
      <c r="P66" s="265" t="n">
        <v>49501786</v>
      </c>
      <c r="Q66" s="265" t="n">
        <v>48731992</v>
      </c>
      <c r="S66" s="265" t="n">
        <v>48827721</v>
      </c>
      <c r="T66" s="265" t="n">
        <v>49098895</v>
      </c>
      <c r="U66" s="265" t="n">
        <v>52281844</v>
      </c>
      <c r="V66" s="265" t="n">
        <v>53630374</v>
      </c>
      <c r="X66" s="265" t="n">
        <v>52087644</v>
      </c>
      <c r="Y66" s="265" t="n">
        <v>53099664</v>
      </c>
      <c r="Z66" s="265" t="n">
        <v>54934835</v>
      </c>
      <c r="AA66" s="265" t="n">
        <v>55596993</v>
      </c>
      <c r="AC66" s="265" t="n">
        <v>61015914</v>
      </c>
      <c r="AD66" s="265" t="n">
        <v>58450441</v>
      </c>
    </row>
    <row r="67">
      <c r="A67" t="inlineStr">
        <is>
          <t>CHECKS (devem ser 0)</t>
        </is>
      </c>
      <c r="C67" t="inlineStr">
        <is>
          <t>[linha bruta, sem código; lançada nas linhas abaixo]</t>
        </is>
      </c>
      <c r="D67" s="265" t="n"/>
      <c r="E67" s="265" t="n"/>
      <c r="F67" s="265" t="n"/>
      <c r="G67" s="265" t="n"/>
      <c r="I67" s="265" t="n"/>
      <c r="J67" s="265" t="n"/>
      <c r="K67" s="265" t="n"/>
      <c r="L67" s="265" t="n"/>
      <c r="N67" s="265" t="n"/>
      <c r="O67" s="265" t="n"/>
      <c r="P67" s="265" t="n"/>
      <c r="Q67" s="265" t="n"/>
      <c r="S67" s="265" t="n"/>
      <c r="T67" s="265" t="n"/>
      <c r="U67" s="265" t="n"/>
      <c r="V67" s="265" t="n"/>
      <c r="X67" s="265" t="n"/>
      <c r="Y67" s="265" t="n"/>
      <c r="Z67" s="265" t="n"/>
      <c r="AA67" s="265" t="n"/>
      <c r="AC67" s="265" t="n"/>
      <c r="AD67" s="265" t="n"/>
    </row>
    <row r="68">
      <c r="A68" t="inlineStr">
        <is>
          <t>CHECK: contas de ativo - ativo total (USD, arredondado a 100 mil) · derivada · unid. moeda</t>
        </is>
      </c>
      <c r="C68" t="inlineStr">
        <is>
          <t>[linha bruta, sem código; lançada nas linhas abaixo]</t>
        </is>
      </c>
      <c r="D68" s="265">
        <f>ROUND(N(D28)+N(D29)+N(D30)+N(D31)+N(D32)+N(D33)-N(D65),-2)</f>
        <v>0</v>
      </c>
      <c r="E68" s="265">
        <f>ROUND(N(E28)+N(E29)+N(E30)+N(E31)+N(E32)+N(E33)-N(E65),-2)</f>
        <v>0</v>
      </c>
      <c r="F68" s="265">
        <f>ROUND(N(F28)+N(F29)+N(F30)+N(F31)+N(F32)+N(F33)-N(F65),-2)</f>
        <v>0</v>
      </c>
      <c r="G68" s="265">
        <f>ROUND(N(G28)+N(G29)+N(G30)+N(G31)+N(G32)+N(G33)-N(G65),-2)</f>
        <v>0</v>
      </c>
      <c r="I68" s="265">
        <f>ROUND(N(I28)+N(I29)+N(I30)+N(I31)+N(I32)+N(I33)-N(I65),-2)</f>
        <v>0</v>
      </c>
      <c r="J68" s="265">
        <f>ROUND(N(J28)+N(J29)+N(J30)+N(J31)+N(J32)+N(J33)-N(J65),-2)</f>
        <v>0</v>
      </c>
      <c r="K68" s="265">
        <f>ROUND(N(K28)+N(K29)+N(K30)+N(K31)+N(K32)+N(K33)-N(K65),-2)</f>
        <v>0</v>
      </c>
      <c r="L68" s="265">
        <f>ROUND(N(L28)+N(L29)+N(L30)+N(L31)+N(L32)+N(L33)-N(L65),-2)</f>
        <v>0</v>
      </c>
      <c r="N68" s="265">
        <f>ROUND(N(N28)+N(N29)+N(N30)+N(N31)+N(N32)+N(N33)-N(N65),-2)</f>
        <v>0</v>
      </c>
      <c r="O68" s="265">
        <f>ROUND(N(O28)+N(O29)+N(O30)+N(O31)+N(O32)+N(O33)-N(O65),-2)</f>
        <v>0</v>
      </c>
      <c r="P68" s="265">
        <f>ROUND(N(P28)+N(P29)+N(P30)+N(P31)+N(P32)+N(P33)-N(P65),-2)</f>
        <v>0</v>
      </c>
      <c r="Q68" s="265">
        <f>ROUND(N(Q28)+N(Q29)+N(Q30)+N(Q31)+N(Q32)+N(Q33)-N(Q65),-2)</f>
        <v>0</v>
      </c>
      <c r="S68" s="265">
        <f>ROUND(N(S28)+N(S29)+N(S30)+N(S31)+N(S32)+N(S33)-N(S65),-2)</f>
        <v>0</v>
      </c>
      <c r="T68" s="265">
        <f>ROUND(N(T28)+N(T29)+N(T30)+N(T31)+N(T32)+N(T33)-N(T65),-2)</f>
        <v>0</v>
      </c>
      <c r="U68" s="265">
        <f>ROUND(N(U28)+N(U29)+N(U30)+N(U31)+N(U32)+N(U33)-N(U65),-2)</f>
        <v>0</v>
      </c>
      <c r="V68" s="265">
        <f>ROUND(N(V28)+N(V29)+N(V30)+N(V31)+N(V32)+N(V33)-N(V65),-2)</f>
        <v>0</v>
      </c>
      <c r="X68" s="265">
        <f>ROUND(N(X28)+N(X29)+N(X30)+N(X31)+N(X32)+N(X33)-N(X65),-2)</f>
        <v>0</v>
      </c>
      <c r="Y68" s="265">
        <f>ROUND(N(Y28)+N(Y29)+N(Y30)+N(Y31)+N(Y32)+N(Y33)-N(Y65),-2)</f>
        <v>0</v>
      </c>
      <c r="Z68" s="265">
        <f>ROUND(N(Z28)+N(Z29)+N(Z30)+N(Z31)+N(Z32)+N(Z33)-N(Z65),-2)</f>
        <v>0</v>
      </c>
      <c r="AA68" s="265">
        <f>ROUND(N(AA28)+N(AA29)+N(AA30)+N(AA31)+N(AA32)+N(AA33)-N(AA65),-2)</f>
        <v>0</v>
      </c>
      <c r="AC68" s="265">
        <f>ROUND(N(AC28)+N(AC29)+N(AC30)+N(AC31)+N(AC32)+N(AC33)-N(AC65),-2)</f>
        <v>0</v>
      </c>
      <c r="AD68" s="265">
        <f>ROUND(N(AD28)+N(AD29)+N(AD30)+N(AD31)+N(AD32)+N(AD33)-N(AD65),-2)</f>
        <v>0</v>
      </c>
    </row>
    <row r="69">
      <c r="A69" t="inlineStr">
        <is>
          <t>CHECK: passivo + PL (contas) - passivo + PL total · derivada · unid. moeda</t>
        </is>
      </c>
      <c r="C69" t="inlineStr">
        <is>
          <t>[linha bruta, sem código; lançada nas linhas abaixo]</t>
        </is>
      </c>
      <c r="D69" s="265">
        <f>ROUND(N(D34)+N(D35)+N(D36)+N(D37)+N(D38)+N(D39)+N(D40)+N(D41)+N(D42)+N(D43)+N(D44)+N(D45)+N(D46)-N(D66),-2)</f>
        <v>0</v>
      </c>
      <c r="E69" s="265">
        <f>ROUND(N(E34)+N(E35)+N(E36)+N(E37)+N(E38)+N(E39)+N(E40)+N(E41)+N(E42)+N(E43)+N(E44)+N(E45)+N(E46)-N(E66),-2)</f>
        <v>0</v>
      </c>
      <c r="F69" s="265">
        <f>ROUND(N(F34)+N(F35)+N(F36)+N(F37)+N(F38)+N(F39)+N(F40)+N(F41)+N(F42)+N(F43)+N(F44)+N(F45)+N(F46)-N(F66),-2)</f>
        <v>0</v>
      </c>
      <c r="G69" s="265">
        <f>ROUND(N(G34)+N(G35)+N(G36)+N(G37)+N(G38)+N(G39)+N(G40)+N(G41)+N(G42)+N(G43)+N(G44)+N(G45)+N(G46)-N(G66),-2)</f>
        <v>0</v>
      </c>
      <c r="I69" s="265">
        <f>ROUND(N(I34)+N(I35)+N(I36)+N(I37)+N(I38)+N(I39)+N(I40)+N(I41)+N(I42)+N(I43)+N(I44)+N(I45)+N(I46)-N(I66),-2)</f>
        <v>0</v>
      </c>
      <c r="J69" s="265">
        <f>ROUND(N(J34)+N(J35)+N(J36)+N(J37)+N(J38)+N(J39)+N(J40)+N(J41)+N(J42)+N(J43)+N(J44)+N(J45)+N(J46)-N(J66),-2)</f>
        <v>0</v>
      </c>
      <c r="K69" s="265">
        <f>ROUND(N(K34)+N(K35)+N(K36)+N(K37)+N(K38)+N(K39)+N(K40)+N(K41)+N(K42)+N(K43)+N(K44)+N(K45)+N(K46)-N(K66),-2)</f>
        <v>0</v>
      </c>
      <c r="L69" s="265">
        <f>ROUND(N(L34)+N(L35)+N(L36)+N(L37)+N(L38)+N(L39)+N(L40)+N(L41)+N(L42)+N(L43)+N(L44)+N(L45)+N(L46)-N(L66),-2)</f>
        <v>0</v>
      </c>
      <c r="N69" s="265">
        <f>ROUND(N(N34)+N(N35)+N(N36)+N(N37)+N(N38)+N(N39)+N(N40)+N(N41)+N(N42)+N(N43)+N(N44)+N(N45)+N(N46)-N(N66),-2)</f>
        <v>0</v>
      </c>
      <c r="O69" s="265">
        <f>ROUND(N(O34)+N(O35)+N(O36)+N(O37)+N(O38)+N(O39)+N(O40)+N(O41)+N(O42)+N(O43)+N(O44)+N(O45)+N(O46)-N(O66),-2)</f>
        <v>0</v>
      </c>
      <c r="P69" s="265">
        <f>ROUND(N(P34)+N(P35)+N(P36)+N(P37)+N(P38)+N(P39)+N(P40)+N(P41)+N(P42)+N(P43)+N(P44)+N(P45)+N(P46)-N(P66),-2)</f>
        <v>0</v>
      </c>
      <c r="Q69" s="265">
        <f>ROUND(N(Q34)+N(Q35)+N(Q36)+N(Q37)+N(Q38)+N(Q39)+N(Q40)+N(Q41)+N(Q42)+N(Q43)+N(Q44)+N(Q45)+N(Q46)-N(Q66),-2)</f>
        <v>0</v>
      </c>
      <c r="S69" s="265">
        <f>ROUND(N(S34)+N(S35)+N(S36)+N(S37)+N(S38)+N(S39)+N(S40)+N(S41)+N(S42)+N(S43)+N(S44)+N(S45)+N(S46)-N(S66),-2)</f>
        <v>0</v>
      </c>
      <c r="T69" s="265">
        <f>ROUND(N(T34)+N(T35)+N(T36)+N(T37)+N(T38)+N(T39)+N(T40)+N(T41)+N(T42)+N(T43)+N(T44)+N(T45)+N(T46)-N(T66),-2)</f>
        <v>0</v>
      </c>
      <c r="U69" s="265">
        <f>ROUND(N(U34)+N(U35)+N(U36)+N(U37)+N(U38)+N(U39)+N(U40)+N(U41)+N(U42)+N(U43)+N(U44)+N(U45)+N(U46)-N(U66),-2)</f>
        <v>0</v>
      </c>
      <c r="V69" s="265">
        <f>ROUND(N(V34)+N(V35)+N(V36)+N(V37)+N(V38)+N(V39)+N(V40)+N(V41)+N(V42)+N(V43)+N(V44)+N(V45)+N(V46)-N(V66),-2)</f>
        <v>0</v>
      </c>
      <c r="X69" s="265">
        <f>ROUND(N(X34)+N(X35)+N(X36)+N(X37)+N(X38)+N(X39)+N(X40)+N(X41)+N(X42)+N(X43)+N(X44)+N(X45)+N(X46)-N(X66),-2)</f>
        <v>0</v>
      </c>
      <c r="Y69" s="265">
        <f>ROUND(N(Y34)+N(Y35)+N(Y36)+N(Y37)+N(Y38)+N(Y39)+N(Y40)+N(Y41)+N(Y42)+N(Y43)+N(Y44)+N(Y45)+N(Y46)-N(Y66),-2)</f>
        <v>0</v>
      </c>
      <c r="Z69" s="265">
        <f>ROUND(N(Z34)+N(Z35)+N(Z36)+N(Z37)+N(Z38)+N(Z39)+N(Z40)+N(Z41)+N(Z42)+N(Z43)+N(Z44)+N(Z45)+N(Z46)-N(Z66),-2)</f>
        <v>0</v>
      </c>
      <c r="AA69" s="265">
        <f>ROUND(N(AA34)+N(AA35)+N(AA36)+N(AA37)+N(AA38)+N(AA39)+N(AA40)+N(AA41)+N(AA42)+N(AA43)+N(AA44)+N(AA45)+N(AA46)-N(AA66),-2)</f>
        <v>0</v>
      </c>
      <c r="AC69" s="265">
        <f>ROUND(N(AC34)+N(AC35)+N(AC36)+N(AC37)+N(AC38)+N(AC39)+N(AC40)+N(AC41)+N(AC42)+N(AC43)+N(AC44)+N(AC45)+N(AC46)-N(AC66),-2)</f>
        <v>0</v>
      </c>
      <c r="AD69" s="265">
        <f>ROUND(N(AD34)+N(AD35)+N(AD36)+N(AD37)+N(AD38)+N(AD39)+N(AD40)+N(AD41)+N(AD42)+N(AD43)+N(AD44)+N(AD45)+N(AD46)-N(AD66),-2)</f>
        <v>0</v>
      </c>
    </row>
    <row r="70">
      <c r="A70" t="inlineStr">
        <is>
          <t>CHECK: receita - custo - despesas + não operacional - IR - minoritários + outros após IR - lucro (deve ser 0) · derivada</t>
        </is>
      </c>
      <c r="C70" t="inlineStr">
        <is>
          <t>[linha bruta, sem código; lançada nas linhas abaixo]</t>
        </is>
      </c>
      <c r="D70" s="265">
        <f>ROUND(N(D5)-N(D6)-N(D9)+N(D12)-N(D16)+N(D19)-N(D20),-2)</f>
        <v>0</v>
      </c>
      <c r="E70" s="265">
        <f>ROUND(N(E5)-N(E6)-N(E9)+N(E12)-N(E16)+N(E19)-N(E20),-2)</f>
        <v>0</v>
      </c>
      <c r="F70" s="265">
        <f>ROUND(N(F5)-N(F6)-N(F9)+N(F12)-N(F16)+N(F19)-N(F20),-2)</f>
        <v>0</v>
      </c>
      <c r="G70" s="265">
        <f>ROUND(N(G5)-N(G6)-N(G9)+N(G12)-N(G16)+N(G19)-N(G20),-2)</f>
        <v>0</v>
      </c>
      <c r="I70" s="265">
        <f>ROUND(N(I5)-N(I6)-N(I9)+N(I12)-N(I16)+N(I19)-N(I20),-2)</f>
        <v>0</v>
      </c>
      <c r="J70" s="265">
        <f>ROUND(N(J5)-N(J6)-N(J9)+N(J12)-N(J16)+N(J19)-N(J20),-2)</f>
        <v>0</v>
      </c>
      <c r="K70" s="265">
        <f>ROUND(N(K5)-N(K6)-N(K9)+N(K12)-N(K16)+N(K19)-N(K20),-2)</f>
        <v>0</v>
      </c>
      <c r="L70" s="265">
        <f>ROUND(N(L5)-N(L6)-N(L9)+N(L12)-N(L16)+N(L19)-N(L20),-2)</f>
        <v>0</v>
      </c>
      <c r="N70" s="265">
        <f>ROUND(N(N5)-N(N6)-N(N9)+N(N12)-N(N16)+N(N19)-N(N20),-2)</f>
        <v>0</v>
      </c>
      <c r="O70" s="265">
        <f>ROUND(N(O5)-N(O6)-N(O9)+N(O12)-N(O16)+N(O19)-N(O20),-2)</f>
        <v>0</v>
      </c>
      <c r="P70" s="265">
        <f>ROUND(N(P5)-N(P6)-N(P9)+N(P12)-N(P16)+N(P19)-N(P20),-2)</f>
        <v>0</v>
      </c>
      <c r="Q70" s="265">
        <f>ROUND(N(Q5)-N(Q6)-N(Q9)+N(Q12)-N(Q16)+N(Q19)-N(Q20),-2)</f>
        <v>0</v>
      </c>
      <c r="S70" s="265">
        <f>ROUND(N(S5)-N(S6)-N(S9)+N(S12)-N(S16)+N(S19)-N(S20),-2)</f>
        <v>0</v>
      </c>
      <c r="T70" s="265">
        <f>ROUND(N(T5)-N(T6)-N(T9)+N(T12)-N(T16)+N(T19)-N(T20),-2)</f>
        <v>0</v>
      </c>
      <c r="U70" s="265">
        <f>ROUND(N(U5)-N(U6)-N(U9)+N(U12)-N(U16)+N(U19)-N(U20),-2)</f>
        <v>0</v>
      </c>
      <c r="V70" s="265">
        <f>ROUND(N(V5)-N(V6)-N(V9)+N(V12)-N(V16)+N(V19)-N(V20),-2)</f>
        <v>0</v>
      </c>
      <c r="X70" s="265">
        <f>ROUND(N(X5)-N(X6)-N(X9)+N(X12)-N(X16)+N(X19)-N(X20),-2)</f>
        <v>0</v>
      </c>
      <c r="Y70" s="265">
        <f>ROUND(N(Y5)-N(Y6)-N(Y9)+N(Y12)-N(Y16)+N(Y19)-N(Y20),-2)</f>
        <v>0</v>
      </c>
      <c r="Z70" s="265">
        <f>ROUND(N(Z5)-N(Z6)-N(Z9)+N(Z12)-N(Z16)+N(Z19)-N(Z20),-2)</f>
        <v>0</v>
      </c>
      <c r="AA70" s="265">
        <f>ROUND(N(AA5)-N(AA6)-N(AA9)+N(AA12)-N(AA16)+N(AA19)-N(AA20),-2)</f>
        <v>0</v>
      </c>
      <c r="AC70" s="265">
        <f>ROUND(N(AC5)-N(AC6)-N(AC9)+N(AC12)-N(AC16)+N(AC19)-N(AC20),-2)</f>
        <v>0</v>
      </c>
      <c r="AD70" s="265">
        <f>ROUND(N(AD5)-N(AD6)-N(AD9)+N(AD12)-N(AD16)+N(AD19)-N(AD20),-2)</f>
        <v>0</v>
      </c>
    </row>
    <row r="71">
      <c r="D71" s="265" t="n"/>
      <c r="E71" s="265" t="n"/>
      <c r="F71" s="265" t="n"/>
      <c r="G71" s="265" t="n"/>
      <c r="I71" s="265" t="n"/>
      <c r="J71" s="265" t="n"/>
      <c r="K71" s="265" t="n"/>
      <c r="L71" s="265" t="n"/>
      <c r="N71" s="265" t="n"/>
      <c r="O71" s="265" t="n"/>
      <c r="P71" s="265" t="n"/>
      <c r="Q71" s="265" t="n"/>
      <c r="S71" s="265" t="n"/>
      <c r="T71" s="265" t="n"/>
      <c r="U71" s="265" t="n"/>
      <c r="V71" s="265" t="n"/>
      <c r="X71" s="265" t="n"/>
      <c r="Y71" s="265" t="n"/>
      <c r="Z71" s="265" t="n"/>
      <c r="AA71" s="265" t="n"/>
      <c r="AC71" s="265" t="n"/>
      <c r="AD71" s="265" t="n"/>
    </row>
    <row r="72">
      <c r="A72" t="inlineStr">
        <is>
          <t>DRIVERS DE RECEITA (codigos 45+): receita, assinantes pagos e receita média por assinante por região (UCAN, EMEA, LATAM, APAC) - SEC XBRL (receita em USD com fator 0,000001; assinantes em milhões).</t>
        </is>
      </c>
      <c r="C72" t="inlineStr">
        <is>
          <t>[linha bruta, sem código; lançada nas linhas abaixo]</t>
        </is>
      </c>
      <c r="D72" s="265" t="n"/>
      <c r="E72" s="265" t="n"/>
      <c r="F72" s="265" t="n"/>
      <c r="G72" s="265" t="n"/>
      <c r="I72" s="265" t="n"/>
      <c r="J72" s="265" t="n"/>
      <c r="K72" s="265" t="n"/>
      <c r="L72" s="265" t="n"/>
      <c r="N72" s="265" t="n"/>
      <c r="O72" s="265" t="n"/>
      <c r="P72" s="265" t="n"/>
      <c r="Q72" s="265" t="n"/>
      <c r="S72" s="265" t="n"/>
      <c r="T72" s="265" t="n"/>
      <c r="U72" s="265" t="n"/>
      <c r="V72" s="265" t="n"/>
      <c r="X72" s="265" t="n"/>
      <c r="Y72" s="265" t="n"/>
      <c r="Z72" s="265" t="n"/>
      <c r="AA72" s="265" t="n"/>
      <c r="AC72" s="265" t="n"/>
      <c r="AD72" s="265" t="n"/>
    </row>
    <row r="73">
      <c r="A73" t="inlineStr">
        <is>
          <t>Receita streaming EUA e Canadá (USD) · fonte · unid. moeda</t>
        </is>
      </c>
      <c r="B73" t="n">
        <v>45</v>
      </c>
      <c r="C73" t="inlineStr">
        <is>
          <t>Receita streaming EUA e Canadá (USD)</t>
        </is>
      </c>
      <c r="D73" s="265" t="n">
        <v>3170972</v>
      </c>
      <c r="E73" s="265" t="n">
        <v>3234643</v>
      </c>
      <c r="F73" s="265" t="n">
        <v>3257697</v>
      </c>
      <c r="G73" s="265" t="n">
        <v>3308788</v>
      </c>
      <c r="I73" s="265" t="n">
        <v>3350424</v>
      </c>
      <c r="J73" s="265" t="n">
        <v>3537863</v>
      </c>
      <c r="K73" s="265" t="n">
        <v>3601565</v>
      </c>
      <c r="L73" s="265" t="n">
        <v>3594791</v>
      </c>
      <c r="N73" s="265" t="n">
        <v>3608645</v>
      </c>
      <c r="O73" s="265" t="n">
        <v>3599448</v>
      </c>
      <c r="P73" s="265" t="n">
        <v>3735133</v>
      </c>
      <c r="Q73" s="265" t="n">
        <v>3930557</v>
      </c>
      <c r="S73" s="265" t="n">
        <v>4224315</v>
      </c>
      <c r="T73" s="265" t="n">
        <v>4295560</v>
      </c>
      <c r="U73" s="265" t="n">
        <v>4322476</v>
      </c>
      <c r="V73" s="265" t="n">
        <v>4517018</v>
      </c>
      <c r="X73" s="265" t="n">
        <v>4617098</v>
      </c>
      <c r="Y73" s="265" t="n">
        <v>4929003</v>
      </c>
      <c r="Z73" s="265" t="n">
        <v>5071781</v>
      </c>
      <c r="AA73" s="265" t="n">
        <v>5339270</v>
      </c>
      <c r="AC73" s="265" t="n">
        <v>5245298</v>
      </c>
      <c r="AD73" s="265" t="n">
        <v>5431667</v>
      </c>
    </row>
    <row r="74">
      <c r="A74" t="inlineStr">
        <is>
          <t>Assinantes pagos EUA e Canadá (milhões, fim do trimestre) · fonte · unid. un</t>
        </is>
      </c>
      <c r="B74" t="n">
        <v>46</v>
      </c>
      <c r="C74" t="inlineStr">
        <is>
          <t>Assinantes pagos EUA e Canadá (milhões, fim do trimestre)</t>
        </is>
      </c>
      <c r="D74" s="265" t="n">
        <v>74384</v>
      </c>
      <c r="E74" s="265" t="n">
        <v>73951</v>
      </c>
      <c r="F74" s="265" t="n">
        <v>74024</v>
      </c>
      <c r="G74" s="265" t="n">
        <v>75215</v>
      </c>
      <c r="I74" s="265" t="n">
        <v>74579</v>
      </c>
      <c r="J74" s="265" t="n">
        <v>73283</v>
      </c>
      <c r="K74" s="265" t="n">
        <v>73387</v>
      </c>
      <c r="L74" s="265" t="n">
        <v>74296</v>
      </c>
      <c r="N74" s="265" t="n">
        <v>74398</v>
      </c>
      <c r="O74" s="265" t="n">
        <v>75571</v>
      </c>
      <c r="P74" s="265" t="n">
        <v>77321</v>
      </c>
      <c r="Q74" s="265" t="n">
        <v>80128</v>
      </c>
      <c r="S74" s="265" t="n">
        <v>82658</v>
      </c>
      <c r="T74" s="265" t="n">
        <v>84109</v>
      </c>
      <c r="U74" s="265" t="n">
        <v>84803</v>
      </c>
      <c r="V74" s="265" t="n">
        <v>89625</v>
      </c>
      <c r="X74" s="265" t="n"/>
      <c r="Y74" s="265" t="n"/>
      <c r="Z74" s="265" t="n"/>
      <c r="AA74" s="265" t="n"/>
      <c r="AC74" s="265" t="n"/>
      <c r="AD74" s="265" t="n"/>
    </row>
    <row r="75">
      <c r="A75" t="inlineStr">
        <is>
          <t>Receita streaming EMEA (USD) · fonte · unid. moeda</t>
        </is>
      </c>
      <c r="B75" t="n">
        <v>47</v>
      </c>
      <c r="C75" t="inlineStr">
        <is>
          <t>Receita streaming EMEA (USD)</t>
        </is>
      </c>
      <c r="D75" s="265" t="n">
        <v>2343674</v>
      </c>
      <c r="E75" s="265" t="n">
        <v>2400480</v>
      </c>
      <c r="F75" s="265" t="n">
        <v>2432239</v>
      </c>
      <c r="G75" s="265" t="n">
        <v>2523426</v>
      </c>
      <c r="I75" s="265" t="n">
        <v>2561831</v>
      </c>
      <c r="J75" s="265" t="n">
        <v>2457235</v>
      </c>
      <c r="K75" s="265" t="n">
        <v>2375814</v>
      </c>
      <c r="L75" s="265" t="n">
        <v>2350135</v>
      </c>
      <c r="N75" s="265" t="n">
        <v>2517641</v>
      </c>
      <c r="O75" s="265" t="n">
        <v>2562170</v>
      </c>
      <c r="P75" s="265" t="n">
        <v>2693146</v>
      </c>
      <c r="Q75" s="265" t="n">
        <v>2783530</v>
      </c>
      <c r="S75" s="265" t="n">
        <v>2958193</v>
      </c>
      <c r="T75" s="265" t="n">
        <v>3007772</v>
      </c>
      <c r="U75" s="265" t="n">
        <v>3133466</v>
      </c>
      <c r="V75" s="265" t="n">
        <v>3287604</v>
      </c>
      <c r="X75" s="265" t="n">
        <v>3404676</v>
      </c>
      <c r="Y75" s="265" t="n">
        <v>3538175</v>
      </c>
      <c r="Z75" s="265" t="n">
        <v>3699052</v>
      </c>
      <c r="AA75" s="265" t="n">
        <v>3872743</v>
      </c>
      <c r="AC75" s="265" t="n">
        <v>3998419</v>
      </c>
      <c r="AD75" s="265" t="n">
        <v>4033515</v>
      </c>
    </row>
    <row r="76">
      <c r="A76" t="inlineStr">
        <is>
          <t>Assinantes pagos EMEA (milhões, fim do trimestre) · fonte · unid. un</t>
        </is>
      </c>
      <c r="B76" t="n">
        <v>48</v>
      </c>
      <c r="C76" t="inlineStr">
        <is>
          <t>Assinantes pagos EMEA (milhões, fim do trimestre)</t>
        </is>
      </c>
      <c r="D76" s="265" t="n">
        <v>68508</v>
      </c>
      <c r="E76" s="265" t="n">
        <v>68696</v>
      </c>
      <c r="F76" s="265" t="n">
        <v>70500</v>
      </c>
      <c r="G76" s="265" t="n">
        <v>74036</v>
      </c>
      <c r="I76" s="265" t="n">
        <v>73733</v>
      </c>
      <c r="J76" s="265" t="n">
        <v>72966</v>
      </c>
      <c r="K76" s="265" t="n">
        <v>73534</v>
      </c>
      <c r="L76" s="265" t="n">
        <v>76729</v>
      </c>
      <c r="N76" s="265" t="n">
        <v>77373</v>
      </c>
      <c r="O76" s="265" t="n">
        <v>79807</v>
      </c>
      <c r="P76" s="265" t="n">
        <v>83760</v>
      </c>
      <c r="Q76" s="265" t="n">
        <v>88813</v>
      </c>
      <c r="S76" s="265" t="n">
        <v>91729</v>
      </c>
      <c r="T76" s="265" t="n">
        <v>93964</v>
      </c>
      <c r="U76" s="265" t="n">
        <v>96131</v>
      </c>
      <c r="V76" s="265" t="n">
        <v>101133</v>
      </c>
      <c r="X76" s="265" t="n"/>
      <c r="Y76" s="265" t="n"/>
      <c r="Z76" s="265" t="n"/>
      <c r="AA76" s="265" t="n"/>
      <c r="AC76" s="265" t="n"/>
      <c r="AD76" s="265" t="n"/>
    </row>
    <row r="77">
      <c r="A77" t="inlineStr">
        <is>
          <t>Receita streaming América Latina (USD) · fonte · unid. moeda</t>
        </is>
      </c>
      <c r="B77" t="n">
        <v>49</v>
      </c>
      <c r="C77" t="inlineStr">
        <is>
          <t>Receita streaming América Latina (USD)</t>
        </is>
      </c>
      <c r="D77" s="265" t="n">
        <v>836647</v>
      </c>
      <c r="E77" s="265" t="n">
        <v>860882</v>
      </c>
      <c r="F77" s="265" t="n">
        <v>915297</v>
      </c>
      <c r="G77" s="265" t="n">
        <v>964150</v>
      </c>
      <c r="I77" s="265" t="n">
        <v>998948</v>
      </c>
      <c r="J77" s="265" t="n">
        <v>1030234</v>
      </c>
      <c r="K77" s="265" t="n">
        <v>1023945</v>
      </c>
      <c r="L77" s="265" t="n">
        <v>1016846</v>
      </c>
      <c r="N77" s="265" t="n">
        <v>1070192</v>
      </c>
      <c r="O77" s="265" t="n">
        <v>1077435</v>
      </c>
      <c r="P77" s="265" t="n">
        <v>1142811</v>
      </c>
      <c r="Q77" s="265" t="n">
        <v>1156023</v>
      </c>
      <c r="S77" s="265" t="n">
        <v>1165008</v>
      </c>
      <c r="T77" s="265" t="n">
        <v>1204145</v>
      </c>
      <c r="U77" s="265" t="n">
        <v>1240892</v>
      </c>
      <c r="V77" s="265" t="n">
        <v>1229771</v>
      </c>
      <c r="X77" s="265" t="n">
        <v>1261934</v>
      </c>
      <c r="Y77" s="265" t="n">
        <v>1306735</v>
      </c>
      <c r="Z77" s="265" t="n">
        <v>1370913</v>
      </c>
      <c r="AA77" s="265" t="n">
        <v>1417939</v>
      </c>
      <c r="AC77" s="265" t="n">
        <v>1497058</v>
      </c>
      <c r="AD77" s="265" t="n">
        <v>1584290</v>
      </c>
    </row>
    <row r="78">
      <c r="A78" t="inlineStr">
        <is>
          <t>Assinantes pagos América Latina (milhões, fim do trimestre) · fonte · unid. un</t>
        </is>
      </c>
      <c r="B78" t="n">
        <v>50</v>
      </c>
      <c r="C78" t="inlineStr">
        <is>
          <t>Assinantes pagos América Latina (milhões, fim do trimestre)</t>
        </is>
      </c>
      <c r="D78" s="265" t="n">
        <v>37894</v>
      </c>
      <c r="E78" s="265" t="n">
        <v>38658</v>
      </c>
      <c r="F78" s="265" t="n">
        <v>38988</v>
      </c>
      <c r="G78" s="265" t="n">
        <v>39961</v>
      </c>
      <c r="I78" s="265" t="n">
        <v>39610</v>
      </c>
      <c r="J78" s="265" t="n">
        <v>39624</v>
      </c>
      <c r="K78" s="265" t="n">
        <v>39936</v>
      </c>
      <c r="L78" s="265" t="n">
        <v>41699</v>
      </c>
      <c r="N78" s="265" t="n">
        <v>41249</v>
      </c>
      <c r="O78" s="265" t="n">
        <v>42466</v>
      </c>
      <c r="P78" s="265" t="n">
        <v>43645</v>
      </c>
      <c r="Q78" s="265" t="n">
        <v>45997</v>
      </c>
      <c r="S78" s="265" t="n">
        <v>47720</v>
      </c>
      <c r="T78" s="265" t="n">
        <v>49250</v>
      </c>
      <c r="U78" s="265" t="n">
        <v>49182</v>
      </c>
      <c r="V78" s="265" t="n">
        <v>53327</v>
      </c>
      <c r="X78" s="265" t="n"/>
      <c r="Y78" s="265" t="n"/>
      <c r="Z78" s="265" t="n"/>
      <c r="AA78" s="265" t="n"/>
      <c r="AC78" s="265" t="n"/>
      <c r="AD78" s="265" t="n"/>
    </row>
    <row r="79">
      <c r="A79" t="inlineStr">
        <is>
          <t>Receita streaming Ásia-Pacífico (USD) · fonte · unid. moeda</t>
        </is>
      </c>
      <c r="B79" t="n">
        <v>51</v>
      </c>
      <c r="C79" t="inlineStr">
        <is>
          <t>Receita streaming Ásia-Pacífico (USD)</t>
        </is>
      </c>
      <c r="D79" s="265" t="n">
        <v>762414</v>
      </c>
      <c r="E79" s="265" t="n">
        <v>799480</v>
      </c>
      <c r="F79" s="265" t="n">
        <v>834002</v>
      </c>
      <c r="G79" s="265" t="n">
        <v>870705</v>
      </c>
      <c r="I79" s="265" t="n">
        <v>916754</v>
      </c>
      <c r="J79" s="265" t="n">
        <v>907719</v>
      </c>
      <c r="K79" s="265" t="n">
        <v>889037</v>
      </c>
      <c r="L79" s="265" t="n">
        <v>856711</v>
      </c>
      <c r="N79" s="265" t="n">
        <v>933523</v>
      </c>
      <c r="O79" s="265" t="n">
        <v>919273</v>
      </c>
      <c r="P79" s="265" t="n">
        <v>948216</v>
      </c>
      <c r="Q79" s="265" t="n">
        <v>962715</v>
      </c>
      <c r="S79" s="265" t="n">
        <v>1022924</v>
      </c>
      <c r="T79" s="265" t="n">
        <v>1051833</v>
      </c>
      <c r="U79" s="265" t="n">
        <v>1127869</v>
      </c>
      <c r="V79" s="265" t="n">
        <v>1212120</v>
      </c>
      <c r="X79" s="265" t="n">
        <v>1259093</v>
      </c>
      <c r="Y79" s="265" t="n">
        <v>1305253</v>
      </c>
      <c r="Z79" s="265" t="n">
        <v>1368561</v>
      </c>
      <c r="AA79" s="265" t="n">
        <v>1420810</v>
      </c>
      <c r="AC79" s="265" t="n">
        <v>1508982</v>
      </c>
      <c r="AD79" s="265" t="n">
        <v>1510466</v>
      </c>
    </row>
    <row r="80">
      <c r="A80" t="inlineStr">
        <is>
          <t>Assinantes pagos Ásia-Pacífico (milhões, fim do trimestre) · fonte · unid. un</t>
        </is>
      </c>
      <c r="B80" t="n">
        <v>52</v>
      </c>
      <c r="C80" t="inlineStr">
        <is>
          <t>Assinantes pagos Ásia-Pacífico (milhões, fim do trimestre)</t>
        </is>
      </c>
      <c r="D80" s="265" t="n">
        <v>26853</v>
      </c>
      <c r="E80" s="265" t="n">
        <v>27875</v>
      </c>
      <c r="F80" s="265" t="n">
        <v>30051</v>
      </c>
      <c r="G80" s="265" t="n">
        <v>32632</v>
      </c>
      <c r="I80" s="265" t="n">
        <v>33719</v>
      </c>
      <c r="J80" s="265" t="n">
        <v>34799</v>
      </c>
      <c r="K80" s="265" t="n">
        <v>36228</v>
      </c>
      <c r="L80" s="265" t="n">
        <v>38023</v>
      </c>
      <c r="N80" s="265" t="n">
        <v>39478</v>
      </c>
      <c r="O80" s="265" t="n">
        <v>40546</v>
      </c>
      <c r="P80" s="265" t="n">
        <v>42427</v>
      </c>
      <c r="Q80" s="265" t="n">
        <v>45338</v>
      </c>
      <c r="S80" s="265" t="n">
        <v>47495</v>
      </c>
      <c r="T80" s="265" t="n">
        <v>50324</v>
      </c>
      <c r="U80" s="265" t="n">
        <v>52604</v>
      </c>
      <c r="V80" s="265" t="n">
        <v>57541</v>
      </c>
      <c r="X80" s="265" t="n"/>
      <c r="Y80" s="265" t="n"/>
      <c r="Z80" s="265" t="n"/>
      <c r="AA80" s="265" t="n"/>
      <c r="AC80" s="265" t="n"/>
      <c r="AD80" s="265" t="n"/>
    </row>
    <row r="81">
      <c r="A81" t="inlineStr">
        <is>
          <t>Receita DVD (USD; até 3T23; 4T = receita total - regiões) · fonte · unid. moeda</t>
        </is>
      </c>
      <c r="B81" t="n">
        <v>53</v>
      </c>
      <c r="C81" t="inlineStr">
        <is>
          <t>Receita DVD (USD; até 3T23; 4T = receita total - regiões)</t>
        </is>
      </c>
      <c r="D81" s="265" t="n">
        <v>50000</v>
      </c>
      <c r="E81" s="265" t="n">
        <v>46000</v>
      </c>
      <c r="F81" s="265" t="n">
        <v>44000</v>
      </c>
      <c r="G81" s="265" t="n">
        <v>60000</v>
      </c>
      <c r="I81" s="265" t="n">
        <v>40000</v>
      </c>
      <c r="J81" s="265" t="n">
        <v>37000</v>
      </c>
      <c r="K81" s="265" t="n">
        <v>35000</v>
      </c>
      <c r="L81" s="265" t="n">
        <v>-12000</v>
      </c>
      <c r="N81" s="265" t="n">
        <v>32000</v>
      </c>
      <c r="O81" s="265" t="n">
        <v>29000</v>
      </c>
      <c r="P81" s="265" t="n">
        <v>22000</v>
      </c>
      <c r="Q81" s="265" t="n"/>
      <c r="S81" s="265" t="n"/>
      <c r="T81" s="265" t="n"/>
      <c r="U81" s="265" t="n"/>
      <c r="V81" s="265" t="n"/>
      <c r="X81" s="265" t="n"/>
      <c r="Y81" s="265" t="n"/>
      <c r="Z81" s="265" t="n"/>
      <c r="AA81" s="265" t="n"/>
      <c r="AC81" s="265" t="n"/>
      <c r="AD81" s="265" t="n"/>
    </row>
    <row r="82">
      <c r="A82" t="inlineStr">
        <is>
          <t>Notas: valores dimensionais das instâncias XBRL. Assinantes pagos = saldo no fim do trimestre (a Netflix parou de divulgar assinantes em 2025). ARM = receita do trimestre / média de assinantes do trimestre / 3 (USD por mês). DVD até 3T23.</t>
        </is>
      </c>
      <c r="C82" t="inlineStr">
        <is>
          <t>[linha bruta, sem código; lançada nas linhas abaixo]</t>
        </is>
      </c>
      <c r="D82" s="265" t="n"/>
      <c r="E82" s="265" t="n"/>
      <c r="F82" s="265" t="n"/>
      <c r="G82" s="265" t="n"/>
      <c r="I82" s="265" t="n"/>
      <c r="J82" s="265" t="n"/>
      <c r="K82" s="265" t="n"/>
      <c r="L82" s="265" t="n"/>
      <c r="N82" s="265" t="n"/>
      <c r="O82" s="265" t="n"/>
      <c r="P82" s="265" t="n"/>
      <c r="Q82" s="265" t="n"/>
      <c r="S82" s="265" t="n"/>
      <c r="T82" s="265" t="n"/>
      <c r="U82" s="265" t="n"/>
      <c r="V82" s="265" t="n"/>
      <c r="X82" s="265" t="n"/>
      <c r="Y82" s="265" t="n"/>
      <c r="Z82" s="265" t="n"/>
      <c r="AA82" s="265" t="n"/>
      <c r="AC82" s="265" t="n"/>
      <c r="AD82" s="265" t="n"/>
    </row>
    <row r="84">
      <c r="A84" t="inlineStr">
        <is>
          <t>Linhas de origem: 4 a 82. A Inputs (2) varre as linhas 4 a 150; as linhas 83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1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Netflix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7163.282</v>
      </c>
      <c r="E4" s="11">
        <f>IF(E$3=0,"",SUMIFS(INDEX(Inputs!$D$4:$AG$150,0,MATCH(E$2,Inputs!$D$2:$AG$2,0)),Inputs!$B$4:$B$150,$B4)/1000)</f>
        <v>7341.777</v>
      </c>
      <c r="F4" s="11">
        <f>IF(F$3=0,"",SUMIFS(INDEX(Inputs!$D$4:$AG$150,0,MATCH(F$2,Inputs!$D$2:$AG$2,0)),Inputs!$B$4:$B$150,$B4)/1000)</f>
        <v>7483.467</v>
      </c>
      <c r="G4" s="11">
        <f>IF(G$3=0,"",SUMIFS(INDEX(Inputs!$D$4:$AG$150,0,MATCH(G$2,Inputs!$D$2:$AG$2,0)),Inputs!$B$4:$B$150,$B4)/1000)</f>
        <v>7709.318</v>
      </c>
      <c r="H4" s="12">
        <f>IF(COUNT(D4:G4)=4,SUM(D4:G4),"")</f>
        <v>29697.844</v>
      </c>
      <c r="I4" s="11">
        <f>IF(I$3=0,"",SUMIFS(INDEX(Inputs!$D$4:$AG$150,0,MATCH(I$2,Inputs!$D$2:$AG$2,0)),Inputs!$B$4:$B$150,$B4)/1000)</f>
        <v>7867.767</v>
      </c>
      <c r="J4" s="11">
        <f>IF(J$3=0,"",SUMIFS(INDEX(Inputs!$D$4:$AG$150,0,MATCH(J$2,Inputs!$D$2:$AG$2,0)),Inputs!$B$4:$B$150,$B4)/1000)</f>
        <v>7970.141</v>
      </c>
      <c r="K4" s="11">
        <f>IF(K$3=0,"",SUMIFS(INDEX(Inputs!$D$4:$AG$150,0,MATCH(K$2,Inputs!$D$2:$AG$2,0)),Inputs!$B$4:$B$150,$B4)/1000)</f>
        <v>7925.589</v>
      </c>
      <c r="L4" s="11">
        <f>IF(L$3=0,"",SUMIFS(INDEX(Inputs!$D$4:$AG$150,0,MATCH(L$2,Inputs!$D$2:$AG$2,0)),Inputs!$B$4:$B$150,$B4)/1000)</f>
        <v>7852.053</v>
      </c>
      <c r="M4" s="12">
        <f>IF(COUNT(I4:L4)=4,SUM(I4:L4),"")</f>
        <v>31615.55</v>
      </c>
      <c r="N4" s="11">
        <f>IF(N$3=0,"",SUMIFS(INDEX(Inputs!$D$4:$AG$150,0,MATCH(N$2,Inputs!$D$2:$AG$2,0)),Inputs!$B$4:$B$150,$B4)/1000)</f>
        <v>8161.503</v>
      </c>
      <c r="O4" s="11">
        <f>IF(O$3=0,"",SUMIFS(INDEX(Inputs!$D$4:$AG$150,0,MATCH(O$2,Inputs!$D$2:$AG$2,0)),Inputs!$B$4:$B$150,$B4)/1000)</f>
        <v>8187.301</v>
      </c>
      <c r="P4" s="11">
        <f>IF(P$3=0,"",SUMIFS(INDEX(Inputs!$D$4:$AG$150,0,MATCH(P$2,Inputs!$D$2:$AG$2,0)),Inputs!$B$4:$B$150,$B4)/1000)</f>
        <v>8541.668</v>
      </c>
      <c r="Q4" s="11">
        <f>IF(Q$3=0,"",SUMIFS(INDEX(Inputs!$D$4:$AG$150,0,MATCH(Q$2,Inputs!$D$2:$AG$2,0)),Inputs!$B$4:$B$150,$B4)/1000)</f>
        <v>8832.825</v>
      </c>
      <c r="R4" s="12">
        <f>IF(COUNT(N4:Q4)=4,SUM(N4:Q4),"")</f>
        <v>33723.297</v>
      </c>
      <c r="S4" s="11">
        <f>IF(S$3=0,"",SUMIFS(INDEX(Inputs!$D$4:$AG$150,0,MATCH(S$2,Inputs!$D$2:$AG$2,0)),Inputs!$B$4:$B$150,$B4)/1000)</f>
        <v>9370.44</v>
      </c>
      <c r="T4" s="11">
        <f>IF(T$3=0,"",SUMIFS(INDEX(Inputs!$D$4:$AG$150,0,MATCH(T$2,Inputs!$D$2:$AG$2,0)),Inputs!$B$4:$B$150,$B4)/1000)</f>
        <v>9559.31</v>
      </c>
      <c r="U4" s="11">
        <f>IF(U$3=0,"",SUMIFS(INDEX(Inputs!$D$4:$AG$150,0,MATCH(U$2,Inputs!$D$2:$AG$2,0)),Inputs!$B$4:$B$150,$B4)/1000)</f>
        <v>9824.703</v>
      </c>
      <c r="V4" s="11">
        <f>IF(V$3=0,"",SUMIFS(INDEX(Inputs!$D$4:$AG$150,0,MATCH(V$2,Inputs!$D$2:$AG$2,0)),Inputs!$B$4:$B$150,$B4)/1000)</f>
        <v>10246.513</v>
      </c>
      <c r="W4" s="12">
        <f>IF(COUNT(S4:V4)=4,SUM(S4:V4),"")</f>
        <v>39000.966</v>
      </c>
      <c r="X4" s="11">
        <f>IF(X$3=0,"",SUMIFS(INDEX(Inputs!$D$4:$AG$150,0,MATCH(X$2,Inputs!$D$2:$AG$2,0)),Inputs!$B$4:$B$150,$B4)/1000)</f>
        <v>10542.801</v>
      </c>
      <c r="Y4" s="11">
        <f>IF(Y$3=0,"",SUMIFS(INDEX(Inputs!$D$4:$AG$150,0,MATCH(Y$2,Inputs!$D$2:$AG$2,0)),Inputs!$B$4:$B$150,$B4)/1000)</f>
        <v>11079.166</v>
      </c>
      <c r="Z4" s="11">
        <f>IF(Z$3=0,"",SUMIFS(INDEX(Inputs!$D$4:$AG$150,0,MATCH(Z$2,Inputs!$D$2:$AG$2,0)),Inputs!$B$4:$B$150,$B4)/1000)</f>
        <v>11510.307</v>
      </c>
      <c r="AA4" s="11">
        <f>IF(AA$3=0,"",SUMIFS(INDEX(Inputs!$D$4:$AG$150,0,MATCH(AA$2,Inputs!$D$2:$AG$2,0)),Inputs!$B$4:$B$150,$B4)/1000)</f>
        <v>12050.762</v>
      </c>
      <c r="AB4" s="12">
        <f>IF(COUNT(X4:AA4)=4,SUM(X4:AA4),"")</f>
        <v>45183.036</v>
      </c>
      <c r="AC4" s="11">
        <f>IF(AC$3=0,"",SUMIFS(INDEX(Inputs!$D$4:$AG$150,0,MATCH(AC$2,Inputs!$D$2:$AG$2,0)),Inputs!$B$4:$B$150,$B4)/1000)</f>
        <v>12249.757</v>
      </c>
      <c r="AD4" s="11">
        <f>IF(AD$3=0,"",SUMIFS(INDEX(Inputs!$D$4:$AG$150,0,MATCH(AD$2,Inputs!$D$2:$AG$2,0)),Inputs!$B$4:$B$150,$B4)/1000)</f>
        <v>12559.938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-3868.511</v>
      </c>
      <c r="E5" s="11">
        <f>IF(E$3=0,"",SUMIFS(INDEX(Inputs!$D$4:$AG$150,0,MATCH(E$2,Inputs!$D$2:$AG$2,0)),Inputs!$B$4:$B$150,$B5)/1000)</f>
        <v>-4018.008</v>
      </c>
      <c r="F5" s="11">
        <f>IF(F$3=0,"",SUMIFS(INDEX(Inputs!$D$4:$AG$150,0,MATCH(F$2,Inputs!$D$2:$AG$2,0)),Inputs!$B$4:$B$150,$B5)/1000)</f>
        <v>-4206.589</v>
      </c>
      <c r="G5" s="11">
        <f>IF(G$3=0,"",SUMIFS(INDEX(Inputs!$D$4:$AG$150,0,MATCH(G$2,Inputs!$D$2:$AG$2,0)),Inputs!$B$4:$B$150,$B5)/1000)</f>
        <v>-5239.575</v>
      </c>
      <c r="H5" s="12">
        <f>IF(COUNT(D5:G5)=4,SUM(D5:G5),"")</f>
        <v>-17332.683</v>
      </c>
      <c r="I5" s="11">
        <f>IF(I$3=0,"",SUMIFS(INDEX(Inputs!$D$4:$AG$150,0,MATCH(I$2,Inputs!$D$2:$AG$2,0)),Inputs!$B$4:$B$150,$B5)/1000)</f>
        <v>-4284.705</v>
      </c>
      <c r="J5" s="11">
        <f>IF(J$3=0,"",SUMIFS(INDEX(Inputs!$D$4:$AG$150,0,MATCH(J$2,Inputs!$D$2:$AG$2,0)),Inputs!$B$4:$B$150,$B5)/1000)</f>
        <v>-4690.755</v>
      </c>
      <c r="K5" s="11">
        <f>IF(K$3=0,"",SUMIFS(INDEX(Inputs!$D$4:$AG$150,0,MATCH(K$2,Inputs!$D$2:$AG$2,0)),Inputs!$B$4:$B$150,$B5)/1000)</f>
        <v>-4788.665</v>
      </c>
      <c r="L5" s="11">
        <f>IF(L$3=0,"",SUMIFS(INDEX(Inputs!$D$4:$AG$150,0,MATCH(L$2,Inputs!$D$2:$AG$2,0)),Inputs!$B$4:$B$150,$B5)/1000)</f>
        <v>-5404.16</v>
      </c>
      <c r="M5" s="12">
        <f>IF(COUNT(I5:L5)=4,SUM(I5:L5),"")</f>
        <v>-19168.285</v>
      </c>
      <c r="N5" s="11">
        <f>IF(N$3=0,"",SUMIFS(INDEX(Inputs!$D$4:$AG$150,0,MATCH(N$2,Inputs!$D$2:$AG$2,0)),Inputs!$B$4:$B$150,$B5)/1000)</f>
        <v>-4803.625</v>
      </c>
      <c r="O5" s="11">
        <f>IF(O$3=0,"",SUMIFS(INDEX(Inputs!$D$4:$AG$150,0,MATCH(O$2,Inputs!$D$2:$AG$2,0)),Inputs!$B$4:$B$150,$B5)/1000)</f>
        <v>-4673.47</v>
      </c>
      <c r="P5" s="11">
        <f>IF(P$3=0,"",SUMIFS(INDEX(Inputs!$D$4:$AG$150,0,MATCH(P$2,Inputs!$D$2:$AG$2,0)),Inputs!$B$4:$B$150,$B5)/1000)</f>
        <v>-4930.788</v>
      </c>
      <c r="Q5" s="11">
        <f>IF(Q$3=0,"",SUMIFS(INDEX(Inputs!$D$4:$AG$150,0,MATCH(Q$2,Inputs!$D$2:$AG$2,0)),Inputs!$B$4:$B$150,$B5)/1000)</f>
        <v>-5307.485</v>
      </c>
      <c r="R5" s="12">
        <f>IF(COUNT(N5:Q5)=4,SUM(N5:Q5),"")</f>
        <v>-19715.368</v>
      </c>
      <c r="S5" s="11">
        <f>IF(S$3=0,"",SUMIFS(INDEX(Inputs!$D$4:$AG$150,0,MATCH(S$2,Inputs!$D$2:$AG$2,0)),Inputs!$B$4:$B$150,$B5)/1000)</f>
        <v>-4977.073</v>
      </c>
      <c r="T5" s="11">
        <f>IF(T$3=0,"",SUMIFS(INDEX(Inputs!$D$4:$AG$150,0,MATCH(T$2,Inputs!$D$2:$AG$2,0)),Inputs!$B$4:$B$150,$B5)/1000)</f>
        <v>-5174.143</v>
      </c>
      <c r="U5" s="11">
        <f>IF(U$3=0,"",SUMIFS(INDEX(Inputs!$D$4:$AG$150,0,MATCH(U$2,Inputs!$D$2:$AG$2,0)),Inputs!$B$4:$B$150,$B5)/1000)</f>
        <v>-5119.884</v>
      </c>
      <c r="V5" s="11">
        <f>IF(V$3=0,"",SUMIFS(INDEX(Inputs!$D$4:$AG$150,0,MATCH(V$2,Inputs!$D$2:$AG$2,0)),Inputs!$B$4:$B$150,$B5)/1000)</f>
        <v>-5767.364</v>
      </c>
      <c r="W5" s="12">
        <f>IF(COUNT(S5:V5)=4,SUM(S5:V5),"")</f>
        <v>-21038.464</v>
      </c>
      <c r="X5" s="11">
        <f>IF(X$3=0,"",SUMIFS(INDEX(Inputs!$D$4:$AG$150,0,MATCH(X$2,Inputs!$D$2:$AG$2,0)),Inputs!$B$4:$B$150,$B5)/1000)</f>
        <v>-5263.147</v>
      </c>
      <c r="Y5" s="11">
        <f>IF(Y$3=0,"",SUMIFS(INDEX(Inputs!$D$4:$AG$150,0,MATCH(Y$2,Inputs!$D$2:$AG$2,0)),Inputs!$B$4:$B$150,$B5)/1000)</f>
        <v>-5325.311</v>
      </c>
      <c r="Z5" s="11">
        <f>IF(Z$3=0,"",SUMIFS(INDEX(Inputs!$D$4:$AG$150,0,MATCH(Z$2,Inputs!$D$2:$AG$2,0)),Inputs!$B$4:$B$150,$B5)/1000)</f>
        <v>-6164.25</v>
      </c>
      <c r="AA5" s="11">
        <f>IF(AA$3=0,"",SUMIFS(INDEX(Inputs!$D$4:$AG$150,0,MATCH(AA$2,Inputs!$D$2:$AG$2,0)),Inputs!$B$4:$B$150,$B5)/1000)</f>
        <v>-6522.621</v>
      </c>
      <c r="AB5" s="12">
        <f>IF(COUNT(X5:AA5)=4,SUM(X5:AA5),"")</f>
        <v>-23275.329</v>
      </c>
      <c r="AC5" s="11">
        <f>IF(AC$3=0,"",SUMIFS(INDEX(Inputs!$D$4:$AG$150,0,MATCH(AC$2,Inputs!$D$2:$AG$2,0)),Inputs!$B$4:$B$150,$B5)/1000)</f>
        <v>-5888.238</v>
      </c>
      <c r="AD5" s="11">
        <f>IF(AD$3=0,"",SUMIFS(INDEX(Inputs!$D$4:$AG$150,0,MATCH(AD$2,Inputs!$D$2:$AG$2,0)),Inputs!$B$4:$B$150,$B5)/1000)</f>
        <v>-6036.965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-1299.174</v>
      </c>
      <c r="E6" s="11">
        <f>IF(E$3=0,"",SUMIFS(INDEX(Inputs!$D$4:$AG$150,0,MATCH(E$2,Inputs!$D$2:$AG$2,0)),Inputs!$B$4:$B$150,$B6)/1000)</f>
        <v>-1437.705</v>
      </c>
      <c r="F6" s="11">
        <f>IF(F$3=0,"",SUMIFS(INDEX(Inputs!$D$4:$AG$150,0,MATCH(F$2,Inputs!$D$2:$AG$2,0)),Inputs!$B$4:$B$150,$B6)/1000)</f>
        <v>-1451.372</v>
      </c>
      <c r="G6" s="11">
        <f>IF(G$3=0,"",SUMIFS(INDEX(Inputs!$D$4:$AG$150,0,MATCH(G$2,Inputs!$D$2:$AG$2,0)),Inputs!$B$4:$B$150,$B6)/1000)</f>
        <v>-1773.989</v>
      </c>
      <c r="H6" s="12">
        <f>IF(COUNT(D6:G6)=4,SUM(D6:G6),"")</f>
        <v>-5962.24</v>
      </c>
      <c r="I6" s="11">
        <f>IF(I$3=0,"",SUMIFS(INDEX(Inputs!$D$4:$AG$150,0,MATCH(I$2,Inputs!$D$2:$AG$2,0)),Inputs!$B$4:$B$150,$B6)/1000)</f>
        <v>-1536.834</v>
      </c>
      <c r="J6" s="11">
        <f>IF(J$3=0,"",SUMIFS(INDEX(Inputs!$D$4:$AG$150,0,MATCH(J$2,Inputs!$D$2:$AG$2,0)),Inputs!$B$4:$B$150,$B6)/1000)</f>
        <v>-1617.598</v>
      </c>
      <c r="K6" s="11">
        <f>IF(K$3=0,"",SUMIFS(INDEX(Inputs!$D$4:$AG$150,0,MATCH(K$2,Inputs!$D$2:$AG$2,0)),Inputs!$B$4:$B$150,$B6)/1000)</f>
        <v>-1518.718</v>
      </c>
      <c r="L6" s="11">
        <f>IF(L$3=0,"",SUMIFS(INDEX(Inputs!$D$4:$AG$150,0,MATCH(L$2,Inputs!$D$2:$AG$2,0)),Inputs!$B$4:$B$150,$B6)/1000)</f>
        <v>-1804.602</v>
      </c>
      <c r="M6" s="12">
        <f>IF(COUNT(I6:L6)=4,SUM(I6:L6),"")</f>
        <v>-6477.752</v>
      </c>
      <c r="N6" s="11">
        <f>IF(N$3=0,"",SUMIFS(INDEX(Inputs!$D$4:$AG$150,0,MATCH(N$2,Inputs!$D$2:$AG$2,0)),Inputs!$B$4:$B$150,$B6)/1000)</f>
        <v>-1553.226</v>
      </c>
      <c r="O6" s="11">
        <f>IF(O$3=0,"",SUMIFS(INDEX(Inputs!$D$4:$AG$150,0,MATCH(O$2,Inputs!$D$2:$AG$2,0)),Inputs!$B$4:$B$150,$B6)/1000)</f>
        <v>-1597.263</v>
      </c>
      <c r="P6" s="11">
        <f>IF(P$3=0,"",SUMIFS(INDEX(Inputs!$D$4:$AG$150,0,MATCH(P$2,Inputs!$D$2:$AG$2,0)),Inputs!$B$4:$B$150,$B6)/1000)</f>
        <v>-1603.826</v>
      </c>
      <c r="Q6" s="11">
        <f>IF(Q$3=0,"",SUMIFS(INDEX(Inputs!$D$4:$AG$150,0,MATCH(Q$2,Inputs!$D$2:$AG$2,0)),Inputs!$B$4:$B$150,$B6)/1000)</f>
        <v>-1942.664</v>
      </c>
      <c r="R6" s="12">
        <f>IF(COUNT(N6:Q6)=4,SUM(N6:Q6),"")</f>
        <v>-6696.979</v>
      </c>
      <c r="S6" s="11">
        <f>IF(S$3=0,"",SUMIFS(INDEX(Inputs!$D$4:$AG$150,0,MATCH(S$2,Inputs!$D$2:$AG$2,0)),Inputs!$B$4:$B$150,$B6)/1000)</f>
        <v>-1673.599</v>
      </c>
      <c r="T6" s="11">
        <f>IF(T$3=0,"",SUMIFS(INDEX(Inputs!$D$4:$AG$150,0,MATCH(T$2,Inputs!$D$2:$AG$2,0)),Inputs!$B$4:$B$150,$B6)/1000)</f>
        <v>-1701.103</v>
      </c>
      <c r="U6" s="11">
        <f>IF(U$3=0,"",SUMIFS(INDEX(Inputs!$D$4:$AG$150,0,MATCH(U$2,Inputs!$D$2:$AG$2,0)),Inputs!$B$4:$B$150,$B6)/1000)</f>
        <v>-1714.428</v>
      </c>
      <c r="V6" s="11">
        <f>IF(V$3=0,"",SUMIFS(INDEX(Inputs!$D$4:$AG$150,0,MATCH(V$2,Inputs!$D$2:$AG$2,0)),Inputs!$B$4:$B$150,$B6)/1000)</f>
        <v>-2126.844</v>
      </c>
      <c r="W6" s="12">
        <f>IF(COUNT(S6:V6)=4,SUM(S6:V6),"")</f>
        <v>-7215.974</v>
      </c>
      <c r="X6" s="11">
        <f>IF(X$3=0,"",SUMIFS(INDEX(Inputs!$D$4:$AG$150,0,MATCH(X$2,Inputs!$D$2:$AG$2,0)),Inputs!$B$4:$B$150,$B6)/1000)</f>
        <v>-1852.588</v>
      </c>
      <c r="Y6" s="11">
        <f>IF(Y$3=0,"",SUMIFS(INDEX(Inputs!$D$4:$AG$150,0,MATCH(Y$2,Inputs!$D$2:$AG$2,0)),Inputs!$B$4:$B$150,$B6)/1000)</f>
        <v>-1899.148</v>
      </c>
      <c r="Z6" s="11">
        <f>IF(Z$3=0,"",SUMIFS(INDEX(Inputs!$D$4:$AG$150,0,MATCH(Z$2,Inputs!$D$2:$AG$2,0)),Inputs!$B$4:$B$150,$B6)/1000)</f>
        <v>-2010.484</v>
      </c>
      <c r="AA6" s="11">
        <f>IF(AA$3=0,"",SUMIFS(INDEX(Inputs!$D$4:$AG$150,0,MATCH(AA$2,Inputs!$D$2:$AG$2,0)),Inputs!$B$4:$B$150,$B6)/1000)</f>
        <v>-2485.495</v>
      </c>
      <c r="AB6" s="12">
        <f>IF(COUNT(X6:AA6)=4,SUM(X6:AA6),"")</f>
        <v>-8247.715</v>
      </c>
      <c r="AC6" s="11">
        <f>IF(AC$3=0,"",SUMIFS(INDEX(Inputs!$D$4:$AG$150,0,MATCH(AC$2,Inputs!$D$2:$AG$2,0)),Inputs!$B$4:$B$150,$B6)/1000)</f>
        <v>-2305.947</v>
      </c>
      <c r="AD6" s="11">
        <f>IF(AD$3=0,"",SUMIFS(INDEX(Inputs!$D$4:$AG$150,0,MATCH(AD$2,Inputs!$D$2:$AG$2,0)),Inputs!$B$4:$B$150,$B6)/1000)</f>
        <v>-2229.833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-35.741</v>
      </c>
      <c r="E7" s="11">
        <f>IF(E$3=0,"",SUMIFS(INDEX(Inputs!$D$4:$AG$150,0,MATCH(E$2,Inputs!$D$2:$AG$2,0)),Inputs!$B$4:$B$150,$B7)/1000)</f>
        <v>-38.434</v>
      </c>
      <c r="F7" s="11">
        <f>IF(F$3=0,"",SUMIFS(INDEX(Inputs!$D$4:$AG$150,0,MATCH(F$2,Inputs!$D$2:$AG$2,0)),Inputs!$B$4:$B$150,$B7)/1000)</f>
        <v>-70.253</v>
      </c>
      <c r="G7" s="11">
        <f>IF(G$3=0,"",SUMIFS(INDEX(Inputs!$D$4:$AG$150,0,MATCH(G$2,Inputs!$D$2:$AG$2,0)),Inputs!$B$4:$B$150,$B7)/1000)</f>
        <v>-63.984</v>
      </c>
      <c r="H7" s="12">
        <f>IF(COUNT(D7:G7)=4,SUM(D7:G7),"")</f>
        <v>-208.412</v>
      </c>
      <c r="I7" s="11">
        <f>IF(I$3=0,"",SUMIFS(INDEX(Inputs!$D$4:$AG$150,0,MATCH(I$2,Inputs!$D$2:$AG$2,0)),Inputs!$B$4:$B$150,$B7)/1000)</f>
        <v>-74.602</v>
      </c>
      <c r="J7" s="11">
        <f>IF(J$3=0,"",SUMIFS(INDEX(Inputs!$D$4:$AG$150,0,MATCH(J$2,Inputs!$D$2:$AG$2,0)),Inputs!$B$4:$B$150,$B7)/1000)</f>
        <v>-83.505</v>
      </c>
      <c r="K7" s="11">
        <f>IF(K$3=0,"",SUMIFS(INDEX(Inputs!$D$4:$AG$150,0,MATCH(K$2,Inputs!$D$2:$AG$2,0)),Inputs!$B$4:$B$150,$B7)/1000)</f>
        <v>-85.188</v>
      </c>
      <c r="L7" s="11">
        <f>IF(L$3=0,"",SUMIFS(INDEX(Inputs!$D$4:$AG$150,0,MATCH(L$2,Inputs!$D$2:$AG$2,0)),Inputs!$B$4:$B$150,$B7)/1000)</f>
        <v>-93.387</v>
      </c>
      <c r="M7" s="12">
        <f>IF(COUNT(I7:L7)=4,SUM(I7:L7),"")</f>
        <v>-336.682</v>
      </c>
      <c r="N7" s="11">
        <f>IF(N$3=0,"",SUMIFS(INDEX(Inputs!$D$4:$AG$150,0,MATCH(N$2,Inputs!$D$2:$AG$2,0)),Inputs!$B$4:$B$150,$B7)/1000)</f>
        <v>-90.335</v>
      </c>
      <c r="O7" s="11">
        <f>IF(O$3=0,"",SUMIFS(INDEX(Inputs!$D$4:$AG$150,0,MATCH(O$2,Inputs!$D$2:$AG$2,0)),Inputs!$B$4:$B$150,$B7)/1000)</f>
        <v>-89.385</v>
      </c>
      <c r="P7" s="11">
        <f>IF(P$3=0,"",SUMIFS(INDEX(Inputs!$D$4:$AG$150,0,MATCH(P$2,Inputs!$D$2:$AG$2,0)),Inputs!$B$4:$B$150,$B7)/1000)</f>
        <v>-90.66</v>
      </c>
      <c r="Q7" s="11">
        <f>IF(Q$3=0,"",SUMIFS(INDEX(Inputs!$D$4:$AG$150,0,MATCH(Q$2,Inputs!$D$2:$AG$2,0)),Inputs!$B$4:$B$150,$B7)/1000)</f>
        <v>-86.567</v>
      </c>
      <c r="R7" s="12">
        <f>IF(COUNT(N7:Q7)=4,SUM(N7:Q7),"")</f>
        <v>-356.947</v>
      </c>
      <c r="S7" s="11">
        <f>IF(S$3=0,"",SUMIFS(INDEX(Inputs!$D$4:$AG$150,0,MATCH(S$2,Inputs!$D$2:$AG$2,0)),Inputs!$B$4:$B$150,$B7)/1000)</f>
        <v>-87.234</v>
      </c>
      <c r="T7" s="11">
        <f>IF(T$3=0,"",SUMIFS(INDEX(Inputs!$D$4:$AG$150,0,MATCH(T$2,Inputs!$D$2:$AG$2,0)),Inputs!$B$4:$B$150,$B7)/1000)</f>
        <v>-81.227</v>
      </c>
      <c r="U7" s="11">
        <f>IF(U$3=0,"",SUMIFS(INDEX(Inputs!$D$4:$AG$150,0,MATCH(U$2,Inputs!$D$2:$AG$2,0)),Inputs!$B$4:$B$150,$B7)/1000)</f>
        <v>-80.914</v>
      </c>
      <c r="V7" s="11">
        <f>IF(V$3=0,"",SUMIFS(INDEX(Inputs!$D$4:$AG$150,0,MATCH(V$2,Inputs!$D$2:$AG$2,0)),Inputs!$B$4:$B$150,$B7)/1000)</f>
        <v>-79.539</v>
      </c>
      <c r="W7" s="12">
        <f>IF(COUNT(S7:V7)=4,SUM(S7:V7),"")</f>
        <v>-328.914</v>
      </c>
      <c r="X7" s="11">
        <f>IF(X$3=0,"",SUMIFS(INDEX(Inputs!$D$4:$AG$150,0,MATCH(X$2,Inputs!$D$2:$AG$2,0)),Inputs!$B$4:$B$150,$B7)/1000)</f>
        <v>-80.067</v>
      </c>
      <c r="Y7" s="11">
        <f>IF(Y$3=0,"",SUMIFS(INDEX(Inputs!$D$4:$AG$150,0,MATCH(Y$2,Inputs!$D$2:$AG$2,0)),Inputs!$B$4:$B$150,$B7)/1000)</f>
        <v>-80.013</v>
      </c>
      <c r="Z7" s="11">
        <f>IF(Z$3=0,"",SUMIFS(INDEX(Inputs!$D$4:$AG$150,0,MATCH(Z$2,Inputs!$D$2:$AG$2,0)),Inputs!$B$4:$B$150,$B7)/1000)</f>
        <v>-87.326</v>
      </c>
      <c r="AA7" s="11">
        <f>IF(AA$3=0,"",SUMIFS(INDEX(Inputs!$D$4:$AG$150,0,MATCH(AA$2,Inputs!$D$2:$AG$2,0)),Inputs!$B$4:$B$150,$B7)/1000)</f>
        <v>-85.983</v>
      </c>
      <c r="AB7" s="12">
        <f>IF(COUNT(X7:AA7)=4,SUM(X7:AA7),"")</f>
        <v>-333.389</v>
      </c>
      <c r="AC7" s="11">
        <f>IF(AC$3=0,"",SUMIFS(INDEX(Inputs!$D$4:$AG$150,0,MATCH(AC$2,Inputs!$D$2:$AG$2,0)),Inputs!$B$4:$B$150,$B7)/1000)</f>
        <v>-98.575</v>
      </c>
      <c r="AD7" s="11">
        <f>IF(AD$3=0,"",SUMIFS(INDEX(Inputs!$D$4:$AG$150,0,MATCH(AD$2,Inputs!$D$2:$AG$2,0)),Inputs!$B$4:$B$150,$B7)/1000)</f>
        <v>-100.53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-194.44</v>
      </c>
      <c r="E8" s="11">
        <f>IF(E$3=0,"",SUMIFS(INDEX(Inputs!$D$4:$AG$150,0,MATCH(E$2,Inputs!$D$2:$AG$2,0)),Inputs!$B$4:$B$150,$B8)/1000)</f>
        <v>-191.322</v>
      </c>
      <c r="F8" s="11">
        <f>IF(F$3=0,"",SUMIFS(INDEX(Inputs!$D$4:$AG$150,0,MATCH(F$2,Inputs!$D$2:$AG$2,0)),Inputs!$B$4:$B$150,$B8)/1000)</f>
        <v>-190.429</v>
      </c>
      <c r="G8" s="11">
        <f>IF(G$3=0,"",SUMIFS(INDEX(Inputs!$D$4:$AG$150,0,MATCH(G$2,Inputs!$D$2:$AG$2,0)),Inputs!$B$4:$B$150,$B8)/1000)</f>
        <v>-189.429</v>
      </c>
      <c r="H8" s="12">
        <f>IF(COUNT(D8:G8)=4,SUM(D8:G8),"")</f>
        <v>-765.62</v>
      </c>
      <c r="I8" s="11">
        <f>IF(I$3=0,"",SUMIFS(INDEX(Inputs!$D$4:$AG$150,0,MATCH(I$2,Inputs!$D$2:$AG$2,0)),Inputs!$B$4:$B$150,$B8)/1000)</f>
        <v>-187.579</v>
      </c>
      <c r="J8" s="11">
        <f>IF(J$3=0,"",SUMIFS(INDEX(Inputs!$D$4:$AG$150,0,MATCH(J$2,Inputs!$D$2:$AG$2,0)),Inputs!$B$4:$B$150,$B8)/1000)</f>
        <v>-175.455</v>
      </c>
      <c r="K8" s="11">
        <f>IF(K$3=0,"",SUMIFS(INDEX(Inputs!$D$4:$AG$150,0,MATCH(K$2,Inputs!$D$2:$AG$2,0)),Inputs!$B$4:$B$150,$B8)/1000)</f>
        <v>-172.575</v>
      </c>
      <c r="L8" s="11">
        <f>IF(L$3=0,"",SUMIFS(INDEX(Inputs!$D$4:$AG$150,0,MATCH(L$2,Inputs!$D$2:$AG$2,0)),Inputs!$B$4:$B$150,$B8)/1000)</f>
        <v>-170.603</v>
      </c>
      <c r="M8" s="12">
        <f>IF(COUNT(I8:L8)=4,SUM(I8:L8),"")</f>
        <v>-706.212</v>
      </c>
      <c r="N8" s="11">
        <f>IF(N$3=0,"",SUMIFS(INDEX(Inputs!$D$4:$AG$150,0,MATCH(N$2,Inputs!$D$2:$AG$2,0)),Inputs!$B$4:$B$150,$B8)/1000)</f>
        <v>-174.239</v>
      </c>
      <c r="O8" s="11">
        <f>IF(O$3=0,"",SUMIFS(INDEX(Inputs!$D$4:$AG$150,0,MATCH(O$2,Inputs!$D$2:$AG$2,0)),Inputs!$B$4:$B$150,$B8)/1000)</f>
        <v>-174.812</v>
      </c>
      <c r="P8" s="11">
        <f>IF(P$3=0,"",SUMIFS(INDEX(Inputs!$D$4:$AG$150,0,MATCH(P$2,Inputs!$D$2:$AG$2,0)),Inputs!$B$4:$B$150,$B8)/1000)</f>
        <v>-175.563</v>
      </c>
      <c r="Q8" s="11">
        <f>IF(Q$3=0,"",SUMIFS(INDEX(Inputs!$D$4:$AG$150,0,MATCH(Q$2,Inputs!$D$2:$AG$2,0)),Inputs!$B$4:$B$150,$B8)/1000)</f>
        <v>-175.212</v>
      </c>
      <c r="R8" s="12">
        <f>IF(COUNT(N8:Q8)=4,SUM(N8:Q8),"")</f>
        <v>-699.826</v>
      </c>
      <c r="S8" s="11">
        <f>IF(S$3=0,"",SUMIFS(INDEX(Inputs!$D$4:$AG$150,0,MATCH(S$2,Inputs!$D$2:$AG$2,0)),Inputs!$B$4:$B$150,$B8)/1000)</f>
        <v>-173.314</v>
      </c>
      <c r="T8" s="11">
        <f>IF(T$3=0,"",SUMIFS(INDEX(Inputs!$D$4:$AG$150,0,MATCH(T$2,Inputs!$D$2:$AG$2,0)),Inputs!$B$4:$B$150,$B8)/1000)</f>
        <v>-167.986</v>
      </c>
      <c r="U8" s="11">
        <f>IF(U$3=0,"",SUMIFS(INDEX(Inputs!$D$4:$AG$150,0,MATCH(U$2,Inputs!$D$2:$AG$2,0)),Inputs!$B$4:$B$150,$B8)/1000)</f>
        <v>-184.83</v>
      </c>
      <c r="V8" s="11">
        <f>IF(V$3=0,"",SUMIFS(INDEX(Inputs!$D$4:$AG$150,0,MATCH(V$2,Inputs!$D$2:$AG$2,0)),Inputs!$B$4:$B$150,$B8)/1000)</f>
        <v>-192.603</v>
      </c>
      <c r="W8" s="12">
        <f>IF(COUNT(S8:V8)=4,SUM(S8:V8),"")</f>
        <v>-718.733</v>
      </c>
      <c r="X8" s="11">
        <f>IF(X$3=0,"",SUMIFS(INDEX(Inputs!$D$4:$AG$150,0,MATCH(X$2,Inputs!$D$2:$AG$2,0)),Inputs!$B$4:$B$150,$B8)/1000)</f>
        <v>-184.172</v>
      </c>
      <c r="Y8" s="11">
        <f>IF(Y$3=0,"",SUMIFS(INDEX(Inputs!$D$4:$AG$150,0,MATCH(Y$2,Inputs!$D$2:$AG$2,0)),Inputs!$B$4:$B$150,$B8)/1000)</f>
        <v>-182.649</v>
      </c>
      <c r="Z8" s="11">
        <f>IF(Z$3=0,"",SUMIFS(INDEX(Inputs!$D$4:$AG$150,0,MATCH(Z$2,Inputs!$D$2:$AG$2,0)),Inputs!$B$4:$B$150,$B8)/1000)</f>
        <v>-175.294</v>
      </c>
      <c r="AA8" s="11">
        <f>IF(AA$3=0,"",SUMIFS(INDEX(Inputs!$D$4:$AG$150,0,MATCH(AA$2,Inputs!$D$2:$AG$2,0)),Inputs!$B$4:$B$150,$B8)/1000)</f>
        <v>-234.395</v>
      </c>
      <c r="AB8" s="12">
        <f>IF(COUNT(X8:AA8)=4,SUM(X8:AA8),"")</f>
        <v>-776.51</v>
      </c>
      <c r="AC8" s="11">
        <f>IF(AC$3=0,"",SUMIFS(INDEX(Inputs!$D$4:$AG$150,0,MATCH(AC$2,Inputs!$D$2:$AG$2,0)),Inputs!$B$4:$B$150,$B8)/1000)</f>
        <v>-262.077</v>
      </c>
      <c r="AD8" s="11">
        <f>IF(AD$3=0,"",SUMIFS(INDEX(Inputs!$D$4:$AG$150,0,MATCH(AD$2,Inputs!$D$2:$AG$2,0)),Inputs!$B$4:$B$150,$B8)/1000)</f>
        <v>-175.685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269.086</v>
      </c>
      <c r="E9" s="11">
        <f>IF(E$3=0,"",SUMIFS(INDEX(Inputs!$D$4:$AG$150,0,MATCH(E$2,Inputs!$D$2:$AG$2,0)),Inputs!$B$4:$B$150,$B9)/1000)</f>
        <v>-62.519</v>
      </c>
      <c r="F9" s="11">
        <f>IF(F$3=0,"",SUMIFS(INDEX(Inputs!$D$4:$AG$150,0,MATCH(F$2,Inputs!$D$2:$AG$2,0)),Inputs!$B$4:$B$150,$B9)/1000)</f>
        <v>96.135</v>
      </c>
      <c r="G9" s="11">
        <f>IF(G$3=0,"",SUMIFS(INDEX(Inputs!$D$4:$AG$150,0,MATCH(G$2,Inputs!$D$2:$AG$2,0)),Inputs!$B$4:$B$150,$B9)/1000)</f>
        <v>108.512</v>
      </c>
      <c r="H9" s="12">
        <f>IF(COUNT(D9:G9)=4,SUM(D9:G9),"")</f>
        <v>411.214</v>
      </c>
      <c r="I9" s="11">
        <f>IF(I$3=0,"",SUMIFS(INDEX(Inputs!$D$4:$AG$150,0,MATCH(I$2,Inputs!$D$2:$AG$2,0)),Inputs!$B$4:$B$150,$B9)/1000)</f>
        <v>195.645</v>
      </c>
      <c r="J9" s="11">
        <f>IF(J$3=0,"",SUMIFS(INDEX(Inputs!$D$4:$AG$150,0,MATCH(J$2,Inputs!$D$2:$AG$2,0)),Inputs!$B$4:$B$150,$B9)/1000)</f>
        <v>220.226</v>
      </c>
      <c r="K9" s="11">
        <f>IF(K$3=0,"",SUMIFS(INDEX(Inputs!$D$4:$AG$150,0,MATCH(K$2,Inputs!$D$2:$AG$2,0)),Inputs!$B$4:$B$150,$B9)/1000)</f>
        <v>261.404</v>
      </c>
      <c r="L9" s="11">
        <f>IF(L$3=0,"",SUMIFS(INDEX(Inputs!$D$4:$AG$150,0,MATCH(L$2,Inputs!$D$2:$AG$2,0)),Inputs!$B$4:$B$150,$B9)/1000)</f>
        <v>-339.965</v>
      </c>
      <c r="M9" s="12">
        <f>IF(COUNT(I9:L9)=4,SUM(I9:L9),"")</f>
        <v>337.31</v>
      </c>
      <c r="N9" s="11">
        <f>IF(N$3=0,"",SUMIFS(INDEX(Inputs!$D$4:$AG$150,0,MATCH(N$2,Inputs!$D$2:$AG$2,0)),Inputs!$B$4:$B$150,$B9)/1000)</f>
        <v>-71.204</v>
      </c>
      <c r="O9" s="11">
        <f>IF(O$3=0,"",SUMIFS(INDEX(Inputs!$D$4:$AG$150,0,MATCH(O$2,Inputs!$D$2:$AG$2,0)),Inputs!$B$4:$B$150,$B9)/1000)</f>
        <v>26.961</v>
      </c>
      <c r="P9" s="11">
        <f>IF(P$3=0,"",SUMIFS(INDEX(Inputs!$D$4:$AG$150,0,MATCH(P$2,Inputs!$D$2:$AG$2,0)),Inputs!$B$4:$B$150,$B9)/1000)</f>
        <v>168.218</v>
      </c>
      <c r="Q9" s="11">
        <f>IF(Q$3=0,"",SUMIFS(INDEX(Inputs!$D$4:$AG$150,0,MATCH(Q$2,Inputs!$D$2:$AG$2,0)),Inputs!$B$4:$B$150,$B9)/1000)</f>
        <v>-172.747</v>
      </c>
      <c r="R9" s="12">
        <f>IF(COUNT(N9:Q9)=4,SUM(N9:Q9),"")</f>
        <v>-48.772</v>
      </c>
      <c r="S9" s="11">
        <f>IF(S$3=0,"",SUMIFS(INDEX(Inputs!$D$4:$AG$150,0,MATCH(S$2,Inputs!$D$2:$AG$2,0)),Inputs!$B$4:$B$150,$B9)/1000)</f>
        <v>155.359</v>
      </c>
      <c r="T9" s="11">
        <f>IF(T$3=0,"",SUMIFS(INDEX(Inputs!$D$4:$AG$150,0,MATCH(T$2,Inputs!$D$2:$AG$2,0)),Inputs!$B$4:$B$150,$B9)/1000)</f>
        <v>79.005</v>
      </c>
      <c r="U9" s="11">
        <f>IF(U$3=0,"",SUMIFS(INDEX(Inputs!$D$4:$AG$150,0,MATCH(U$2,Inputs!$D$2:$AG$2,0)),Inputs!$B$4:$B$150,$B9)/1000)</f>
        <v>-21.693</v>
      </c>
      <c r="V9" s="11">
        <f>IF(V$3=0,"",SUMIFS(INDEX(Inputs!$D$4:$AG$150,0,MATCH(V$2,Inputs!$D$2:$AG$2,0)),Inputs!$B$4:$B$150,$B9)/1000)</f>
        <v>54.105</v>
      </c>
      <c r="W9" s="12">
        <f>IF(COUNT(S9:V9)=4,SUM(S9:V9),"")</f>
        <v>266.776</v>
      </c>
      <c r="X9" s="11">
        <f>IF(X$3=0,"",SUMIFS(INDEX(Inputs!$D$4:$AG$150,0,MATCH(X$2,Inputs!$D$2:$AG$2,0)),Inputs!$B$4:$B$150,$B9)/1000)</f>
        <v>50.899</v>
      </c>
      <c r="Y9" s="11">
        <f>IF(Y$3=0,"",SUMIFS(INDEX(Inputs!$D$4:$AG$150,0,MATCH(Y$2,Inputs!$D$2:$AG$2,0)),Inputs!$B$4:$B$150,$B9)/1000)</f>
        <v>39.63</v>
      </c>
      <c r="Z9" s="11">
        <f>IF(Z$3=0,"",SUMIFS(INDEX(Inputs!$D$4:$AG$150,0,MATCH(Z$2,Inputs!$D$2:$AG$2,0)),Inputs!$B$4:$B$150,$B9)/1000)</f>
        <v>36.457</v>
      </c>
      <c r="AA9" s="11">
        <f>IF(AA$3=0,"",SUMIFS(INDEX(Inputs!$D$4:$AG$150,0,MATCH(AA$2,Inputs!$D$2:$AG$2,0)),Inputs!$B$4:$B$150,$B9)/1000)</f>
        <v>45.473</v>
      </c>
      <c r="AB9" s="12">
        <f>IF(COUNT(X9:AA9)=4,SUM(X9:AA9),"")</f>
        <v>172.459</v>
      </c>
      <c r="AC9" s="11">
        <f>IF(AC$3=0,"",SUMIFS(INDEX(Inputs!$D$4:$AG$150,0,MATCH(AC$2,Inputs!$D$2:$AG$2,0)),Inputs!$B$4:$B$150,$B9)/1000)</f>
        <v>2852.166</v>
      </c>
      <c r="AD9" s="11">
        <f>IF(AD$3=0,"",SUMIFS(INDEX(Inputs!$D$4:$AG$150,0,MATCH(AD$2,Inputs!$D$2:$AG$2,0)),Inputs!$B$4:$B$150,$B9)/1000)</f>
        <v>51.661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-327.787</v>
      </c>
      <c r="E10" s="11">
        <f>IF(E$3=0,"",SUMIFS(INDEX(Inputs!$D$4:$AG$150,0,MATCH(E$2,Inputs!$D$2:$AG$2,0)),Inputs!$B$4:$B$150,$B10)/1000)</f>
        <v>-240.776</v>
      </c>
      <c r="F10" s="11">
        <f>IF(F$3=0,"",SUMIFS(INDEX(Inputs!$D$4:$AG$150,0,MATCH(F$2,Inputs!$D$2:$AG$2,0)),Inputs!$B$4:$B$150,$B10)/1000)</f>
        <v>-211.888</v>
      </c>
      <c r="G10" s="11">
        <f>IF(G$3=0,"",SUMIFS(INDEX(Inputs!$D$4:$AG$150,0,MATCH(G$2,Inputs!$D$2:$AG$2,0)),Inputs!$B$4:$B$150,$B10)/1000)</f>
        <v>56.576</v>
      </c>
      <c r="H10" s="12">
        <f>IF(COUNT(D10:G10)=4,SUM(D10:G10),"")</f>
        <v>-723.875</v>
      </c>
      <c r="I10" s="11">
        <f>IF(I$3=0,"",SUMIFS(INDEX(Inputs!$D$4:$AG$150,0,MATCH(I$2,Inputs!$D$2:$AG$2,0)),Inputs!$B$4:$B$150,$B10)/1000)</f>
        <v>-382.245</v>
      </c>
      <c r="J10" s="11">
        <f>IF(J$3=0,"",SUMIFS(INDEX(Inputs!$D$4:$AG$150,0,MATCH(J$2,Inputs!$D$2:$AG$2,0)),Inputs!$B$4:$B$150,$B10)/1000)</f>
        <v>-182.103</v>
      </c>
      <c r="K10" s="11">
        <f>IF(K$3=0,"",SUMIFS(INDEX(Inputs!$D$4:$AG$150,0,MATCH(K$2,Inputs!$D$2:$AG$2,0)),Inputs!$B$4:$B$150,$B10)/1000)</f>
        <v>-223.605</v>
      </c>
      <c r="L10" s="11">
        <f>IF(L$3=0,"",SUMIFS(INDEX(Inputs!$D$4:$AG$150,0,MATCH(L$2,Inputs!$D$2:$AG$2,0)),Inputs!$B$4:$B$150,$B10)/1000)</f>
        <v>15.948</v>
      </c>
      <c r="M10" s="12">
        <f>IF(COUNT(I10:L10)=4,SUM(I10:L10),"")</f>
        <v>-772.005</v>
      </c>
      <c r="N10" s="11">
        <f>IF(N$3=0,"",SUMIFS(INDEX(Inputs!$D$4:$AG$150,0,MATCH(N$2,Inputs!$D$2:$AG$2,0)),Inputs!$B$4:$B$150,$B10)/1000)</f>
        <v>-163.754</v>
      </c>
      <c r="O10" s="11">
        <f>IF(O$3=0,"",SUMIFS(INDEX(Inputs!$D$4:$AG$150,0,MATCH(O$2,Inputs!$D$2:$AG$2,0)),Inputs!$B$4:$B$150,$B10)/1000)</f>
        <v>-191.722</v>
      </c>
      <c r="P10" s="11">
        <f>IF(P$3=0,"",SUMIFS(INDEX(Inputs!$D$4:$AG$150,0,MATCH(P$2,Inputs!$D$2:$AG$2,0)),Inputs!$B$4:$B$150,$B10)/1000)</f>
        <v>-231.627</v>
      </c>
      <c r="Q10" s="11">
        <f>IF(Q$3=0,"",SUMIFS(INDEX(Inputs!$D$4:$AG$150,0,MATCH(Q$2,Inputs!$D$2:$AG$2,0)),Inputs!$B$4:$B$150,$B10)/1000)</f>
        <v>-210.312</v>
      </c>
      <c r="R10" s="12">
        <f>IF(COUNT(N10:Q10)=4,SUM(N10:Q10),"")</f>
        <v>-797.415</v>
      </c>
      <c r="S10" s="11">
        <f>IF(S$3=0,"",SUMIFS(INDEX(Inputs!$D$4:$AG$150,0,MATCH(S$2,Inputs!$D$2:$AG$2,0)),Inputs!$B$4:$B$150,$B10)/1000)</f>
        <v>-282.37</v>
      </c>
      <c r="T10" s="11">
        <f>IF(T$3=0,"",SUMIFS(INDEX(Inputs!$D$4:$AG$150,0,MATCH(T$2,Inputs!$D$2:$AG$2,0)),Inputs!$B$4:$B$150,$B10)/1000)</f>
        <v>-366.55</v>
      </c>
      <c r="U10" s="11">
        <f>IF(U$3=0,"",SUMIFS(INDEX(Inputs!$D$4:$AG$150,0,MATCH(U$2,Inputs!$D$2:$AG$2,0)),Inputs!$B$4:$B$150,$B10)/1000)</f>
        <v>-339.445</v>
      </c>
      <c r="V10" s="11">
        <f>IF(V$3=0,"",SUMIFS(INDEX(Inputs!$D$4:$AG$150,0,MATCH(V$2,Inputs!$D$2:$AG$2,0)),Inputs!$B$4:$B$150,$B10)/1000)</f>
        <v>-265.661</v>
      </c>
      <c r="W10" s="12">
        <f>IF(COUNT(S10:V10)=4,SUM(S10:V10),"")</f>
        <v>-1254.026</v>
      </c>
      <c r="X10" s="11">
        <f>IF(X$3=0,"",SUMIFS(INDEX(Inputs!$D$4:$AG$150,0,MATCH(X$2,Inputs!$D$2:$AG$2,0)),Inputs!$B$4:$B$150,$B10)/1000)</f>
        <v>-323.375</v>
      </c>
      <c r="Y10" s="11">
        <f>IF(Y$3=0,"",SUMIFS(INDEX(Inputs!$D$4:$AG$150,0,MATCH(Y$2,Inputs!$D$2:$AG$2,0)),Inputs!$B$4:$B$150,$B10)/1000)</f>
        <v>-506.262</v>
      </c>
      <c r="Z10" s="11">
        <f>IF(Z$3=0,"",SUMIFS(INDEX(Inputs!$D$4:$AG$150,0,MATCH(Z$2,Inputs!$D$2:$AG$2,0)),Inputs!$B$4:$B$150,$B10)/1000)</f>
        <v>-562.494</v>
      </c>
      <c r="AA10" s="11">
        <f>IF(AA$3=0,"",SUMIFS(INDEX(Inputs!$D$4:$AG$150,0,MATCH(AA$2,Inputs!$D$2:$AG$2,0)),Inputs!$B$4:$B$150,$B10)/1000)</f>
        <v>-349.22</v>
      </c>
      <c r="AB10" s="12">
        <f>IF(COUNT(X10:AA10)=4,SUM(X10:AA10),"")</f>
        <v>-1741.351</v>
      </c>
      <c r="AC10" s="11">
        <f>IF(AC$3=0,"",SUMIFS(INDEX(Inputs!$D$4:$AG$150,0,MATCH(AC$2,Inputs!$D$2:$AG$2,0)),Inputs!$B$4:$B$150,$B10)/1000)</f>
        <v>-1264.295</v>
      </c>
      <c r="AD10" s="11">
        <f>IF(AD$3=0,"",SUMIFS(INDEX(Inputs!$D$4:$AG$150,0,MATCH(AD$2,Inputs!$D$2:$AG$2,0)),Inputs!$B$4:$B$150,$B10)/1000)</f>
        <v>-667.172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0</v>
      </c>
      <c r="H13" s="12">
        <f>IF(COUNT(D13:G13)=4,SUM(D13:G13),"")</f>
        <v>0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0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0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0</v>
      </c>
      <c r="P13" s="11">
        <f>IF(P$3=0,"",SUMIFS(INDEX(Inputs!$D$4:$AG$150,0,MATCH(P$2,Inputs!$D$2:$AG$2,0)),Inputs!$B$4:$B$150,$B13)/1000)</f>
        <v>0</v>
      </c>
      <c r="Q13" s="11">
        <f>IF(Q$3=0,"",SUMIFS(INDEX(Inputs!$D$4:$AG$150,0,MATCH(Q$2,Inputs!$D$2:$AG$2,0)),Inputs!$B$4:$B$150,$B13)/1000)</f>
        <v>0</v>
      </c>
      <c r="R13" s="12">
        <f>IF(COUNT(N13:Q13)=4,SUM(N13:Q13),"")</f>
        <v>0</v>
      </c>
      <c r="S13" s="11">
        <f>IF(S$3=0,"",SUMIFS(INDEX(Inputs!$D$4:$AG$150,0,MATCH(S$2,Inputs!$D$2:$AG$2,0)),Inputs!$B$4:$B$150,$B13)/1000)</f>
        <v>0</v>
      </c>
      <c r="T13" s="11">
        <f>IF(T$3=0,"",SUMIFS(INDEX(Inputs!$D$4:$AG$150,0,MATCH(T$2,Inputs!$D$2:$AG$2,0)),Inputs!$B$4:$B$150,$B13)/1000)</f>
        <v>0</v>
      </c>
      <c r="U13" s="11">
        <f>IF(U$3=0,"",SUMIFS(INDEX(Inputs!$D$4:$AG$150,0,MATCH(U$2,Inputs!$D$2:$AG$2,0)),Inputs!$B$4:$B$150,$B13)/1000)</f>
        <v>0</v>
      </c>
      <c r="V13" s="11">
        <f>IF(V$3=0,"",SUMIFS(INDEX(Inputs!$D$4:$AG$150,0,MATCH(V$2,Inputs!$D$2:$AG$2,0)),Inputs!$B$4:$B$150,$B13)/1000)</f>
        <v>0</v>
      </c>
      <c r="W13" s="12">
        <f>IF(COUNT(S13:V13)=4,SUM(S13:V13),"")</f>
        <v>0</v>
      </c>
      <c r="X13" s="11">
        <f>IF(X$3=0,"",SUMIFS(INDEX(Inputs!$D$4:$AG$150,0,MATCH(X$2,Inputs!$D$2:$AG$2,0)),Inputs!$B$4:$B$150,$B13)/1000)</f>
        <v>0</v>
      </c>
      <c r="Y13" s="11">
        <f>IF(Y$3=0,"",SUMIFS(INDEX(Inputs!$D$4:$AG$150,0,MATCH(Y$2,Inputs!$D$2:$AG$2,0)),Inputs!$B$4:$B$150,$B13)/1000)</f>
        <v>0</v>
      </c>
      <c r="Z13" s="11">
        <f>IF(Z$3=0,"",SUMIFS(INDEX(Inputs!$D$4:$AG$150,0,MATCH(Z$2,Inputs!$D$2:$AG$2,0)),Inputs!$B$4:$B$150,$B13)/1000)</f>
        <v>0</v>
      </c>
      <c r="AA13" s="11">
        <f>IF(AA$3=0,"",SUMIFS(INDEX(Inputs!$D$4:$AG$150,0,MATCH(AA$2,Inputs!$D$2:$AG$2,0)),Inputs!$B$4:$B$150,$B13)/1000)</f>
        <v>0</v>
      </c>
      <c r="AB13" s="12">
        <f>IF(COUNT(X13:AA13)=4,SUM(X13:AA13),"")</f>
        <v>0</v>
      </c>
      <c r="AC13" s="11">
        <f>IF(AC$3=0,"",SUMIFS(INDEX(Inputs!$D$4:$AG$150,0,MATCH(AC$2,Inputs!$D$2:$AG$2,0)),Inputs!$B$4:$B$150,$B13)/1000)</f>
        <v>0</v>
      </c>
      <c r="AD13" s="11">
        <f>IF(AD$3=0,"",SUMIFS(INDEX(Inputs!$D$4:$AG$150,0,MATCH(AD$2,Inputs!$D$2:$AG$2,0)),Inputs!$B$4:$B$150,$B13)/1000)</f>
        <v>0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8403.705</v>
      </c>
      <c r="E15" s="11">
        <f>IF(E$3=0,"",SUMIFS(INDEX(Inputs!$D$4:$AG$150,0,MATCH(E$2,Inputs!$D$2:$AG$2,0)),Inputs!$B$4:$B$150,$B15)/1000)</f>
        <v>7777.53</v>
      </c>
      <c r="F15" s="11">
        <f>IF(F$3=0,"",SUMIFS(INDEX(Inputs!$D$4:$AG$150,0,MATCH(F$2,Inputs!$D$2:$AG$2,0)),Inputs!$B$4:$B$150,$B15)/1000)</f>
        <v>7526.681</v>
      </c>
      <c r="G15" s="11">
        <f>IF(G$3=0,"",SUMIFS(INDEX(Inputs!$D$4:$AG$150,0,MATCH(G$2,Inputs!$D$2:$AG$2,0)),Inputs!$B$4:$B$150,$B15)/1000)</f>
        <v>6027.804</v>
      </c>
      <c r="H15" s="12">
        <f>IF(G15="","",G15)</f>
        <v>6027.804</v>
      </c>
      <c r="I15" s="11">
        <f>IF(I$3=0,"",SUMIFS(INDEX(Inputs!$D$4:$AG$150,0,MATCH(I$2,Inputs!$D$2:$AG$2,0)),Inputs!$B$4:$B$150,$B15)/1000)</f>
        <v>6008.946</v>
      </c>
      <c r="J15" s="11">
        <f>IF(J$3=0,"",SUMIFS(INDEX(Inputs!$D$4:$AG$150,0,MATCH(J$2,Inputs!$D$2:$AG$2,0)),Inputs!$B$4:$B$150,$B15)/1000)</f>
        <v>5819.449</v>
      </c>
      <c r="K15" s="11">
        <f>IF(K$3=0,"",SUMIFS(INDEX(Inputs!$D$4:$AG$150,0,MATCH(K$2,Inputs!$D$2:$AG$2,0)),Inputs!$B$4:$B$150,$B15)/1000)</f>
        <v>6113.733</v>
      </c>
      <c r="L15" s="11">
        <f>IF(L$3=0,"",SUMIFS(INDEX(Inputs!$D$4:$AG$150,0,MATCH(L$2,Inputs!$D$2:$AG$2,0)),Inputs!$B$4:$B$150,$B15)/1000)</f>
        <v>6058.452</v>
      </c>
      <c r="M15" s="12">
        <f>IF(L15="","",L15)</f>
        <v>6058.452</v>
      </c>
      <c r="N15" s="11">
        <f>IF(N$3=0,"",SUMIFS(INDEX(Inputs!$D$4:$AG$150,0,MATCH(N$2,Inputs!$D$2:$AG$2,0)),Inputs!$B$4:$B$150,$B15)/1000)</f>
        <v>7827.504</v>
      </c>
      <c r="O15" s="11">
        <f>IF(O$3=0,"",SUMIFS(INDEX(Inputs!$D$4:$AG$150,0,MATCH(O$2,Inputs!$D$2:$AG$2,0)),Inputs!$B$4:$B$150,$B15)/1000)</f>
        <v>8576.989</v>
      </c>
      <c r="P15" s="11">
        <f>IF(P$3=0,"",SUMIFS(INDEX(Inputs!$D$4:$AG$150,0,MATCH(P$2,Inputs!$D$2:$AG$2,0)),Inputs!$B$4:$B$150,$B15)/1000)</f>
        <v>7867.446</v>
      </c>
      <c r="Q15" s="11">
        <f>IF(Q$3=0,"",SUMIFS(INDEX(Inputs!$D$4:$AG$150,0,MATCH(Q$2,Inputs!$D$2:$AG$2,0)),Inputs!$B$4:$B$150,$B15)/1000)</f>
        <v>7137.886</v>
      </c>
      <c r="R15" s="12">
        <f>IF(Q15="","",Q15)</f>
        <v>7137.886</v>
      </c>
      <c r="S15" s="11">
        <f>IF(S$3=0,"",SUMIFS(INDEX(Inputs!$D$4:$AG$150,0,MATCH(S$2,Inputs!$D$2:$AG$2,0)),Inputs!$B$4:$B$150,$B15)/1000)</f>
        <v>7045.739</v>
      </c>
      <c r="T15" s="11">
        <f>IF(T$3=0,"",SUMIFS(INDEX(Inputs!$D$4:$AG$150,0,MATCH(T$2,Inputs!$D$2:$AG$2,0)),Inputs!$B$4:$B$150,$B15)/1000)</f>
        <v>6655.912</v>
      </c>
      <c r="U15" s="11">
        <f>IF(U$3=0,"",SUMIFS(INDEX(Inputs!$D$4:$AG$150,0,MATCH(U$2,Inputs!$D$2:$AG$2,0)),Inputs!$B$4:$B$150,$B15)/1000)</f>
        <v>9223.927</v>
      </c>
      <c r="V15" s="11">
        <f>IF(V$3=0,"",SUMIFS(INDEX(Inputs!$D$4:$AG$150,0,MATCH(V$2,Inputs!$D$2:$AG$2,0)),Inputs!$B$4:$B$150,$B15)/1000)</f>
        <v>9583.739</v>
      </c>
      <c r="W15" s="12">
        <f>IF(V15="","",V15)</f>
        <v>9583.739</v>
      </c>
      <c r="X15" s="11">
        <f>IF(X$3=0,"",SUMIFS(INDEX(Inputs!$D$4:$AG$150,0,MATCH(X$2,Inputs!$D$2:$AG$2,0)),Inputs!$B$4:$B$150,$B15)/1000)</f>
        <v>8370.99</v>
      </c>
      <c r="Y15" s="11">
        <f>IF(Y$3=0,"",SUMIFS(INDEX(Inputs!$D$4:$AG$150,0,MATCH(Y$2,Inputs!$D$2:$AG$2,0)),Inputs!$B$4:$B$150,$B15)/1000)</f>
        <v>8390.52</v>
      </c>
      <c r="Z15" s="11">
        <f>IF(Z$3=0,"",SUMIFS(INDEX(Inputs!$D$4:$AG$150,0,MATCH(Z$2,Inputs!$D$2:$AG$2,0)),Inputs!$B$4:$B$150,$B15)/1000)</f>
        <v>9324.392</v>
      </c>
      <c r="AA15" s="11">
        <f>IF(AA$3=0,"",SUMIFS(INDEX(Inputs!$D$4:$AG$150,0,MATCH(AA$2,Inputs!$D$2:$AG$2,0)),Inputs!$B$4:$B$150,$B15)/1000)</f>
        <v>9062.359</v>
      </c>
      <c r="AB15" s="12">
        <f>IF(AA15="","",AA15)</f>
        <v>9062.359</v>
      </c>
      <c r="AC15" s="11">
        <f>IF(AC$3=0,"",SUMIFS(INDEX(Inputs!$D$4:$AG$150,0,MATCH(AC$2,Inputs!$D$2:$AG$2,0)),Inputs!$B$4:$B$150,$B15)/1000)</f>
        <v>12288.45</v>
      </c>
      <c r="AD15" s="11">
        <f>IF(AD$3=0,"",SUMIFS(INDEX(Inputs!$D$4:$AG$150,0,MATCH(AD$2,Inputs!$D$2:$AG$2,0)),Inputs!$B$4:$B$150,$B15)/1000)</f>
        <v>9127.91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0</v>
      </c>
      <c r="E16" s="11">
        <f>IF(E$3=0,"",SUMIFS(INDEX(Inputs!$D$4:$AG$150,0,MATCH(E$2,Inputs!$D$2:$AG$2,0)),Inputs!$B$4:$B$150,$B16)/1000)</f>
        <v>0</v>
      </c>
      <c r="F16" s="11">
        <f>IF(F$3=0,"",SUMIFS(INDEX(Inputs!$D$4:$AG$150,0,MATCH(F$2,Inputs!$D$2:$AG$2,0)),Inputs!$B$4:$B$150,$B16)/1000)</f>
        <v>0</v>
      </c>
      <c r="G16" s="11">
        <f>IF(G$3=0,"",SUMIFS(INDEX(Inputs!$D$4:$AG$150,0,MATCH(G$2,Inputs!$D$2:$AG$2,0)),Inputs!$B$4:$B$150,$B16)/1000)</f>
        <v>0</v>
      </c>
      <c r="H16" s="12">
        <f>IF(G16="","",G16)</f>
        <v>0</v>
      </c>
      <c r="I16" s="11">
        <f>IF(I$3=0,"",SUMIFS(INDEX(Inputs!$D$4:$AG$150,0,MATCH(I$2,Inputs!$D$2:$AG$2,0)),Inputs!$B$4:$B$150,$B16)/1000)</f>
        <v>0</v>
      </c>
      <c r="J16" s="11">
        <f>IF(J$3=0,"",SUMIFS(INDEX(Inputs!$D$4:$AG$150,0,MATCH(J$2,Inputs!$D$2:$AG$2,0)),Inputs!$B$4:$B$150,$B16)/1000)</f>
        <v>0</v>
      </c>
      <c r="K16" s="11">
        <f>IF(K$3=0,"",SUMIFS(INDEX(Inputs!$D$4:$AG$150,0,MATCH(K$2,Inputs!$D$2:$AG$2,0)),Inputs!$B$4:$B$150,$B16)/1000)</f>
        <v>0</v>
      </c>
      <c r="L16" s="11">
        <f>IF(L$3=0,"",SUMIFS(INDEX(Inputs!$D$4:$AG$150,0,MATCH(L$2,Inputs!$D$2:$AG$2,0)),Inputs!$B$4:$B$150,$B16)/1000)</f>
        <v>0</v>
      </c>
      <c r="M16" s="12">
        <f>IF(L16="","",L16)</f>
        <v>0</v>
      </c>
      <c r="N16" s="11">
        <f>IF(N$3=0,"",SUMIFS(INDEX(Inputs!$D$4:$AG$150,0,MATCH(N$2,Inputs!$D$2:$AG$2,0)),Inputs!$B$4:$B$150,$B16)/1000)</f>
        <v>0</v>
      </c>
      <c r="O16" s="11">
        <f>IF(O$3=0,"",SUMIFS(INDEX(Inputs!$D$4:$AG$150,0,MATCH(O$2,Inputs!$D$2:$AG$2,0)),Inputs!$B$4:$B$150,$B16)/1000)</f>
        <v>0</v>
      </c>
      <c r="P16" s="11">
        <f>IF(P$3=0,"",SUMIFS(INDEX(Inputs!$D$4:$AG$150,0,MATCH(P$2,Inputs!$D$2:$AG$2,0)),Inputs!$B$4:$B$150,$B16)/1000)</f>
        <v>0</v>
      </c>
      <c r="Q16" s="11">
        <f>IF(Q$3=0,"",SUMIFS(INDEX(Inputs!$D$4:$AG$150,0,MATCH(Q$2,Inputs!$D$2:$AG$2,0)),Inputs!$B$4:$B$150,$B16)/1000)</f>
        <v>0</v>
      </c>
      <c r="R16" s="12">
        <f>IF(Q16="","",Q16)</f>
        <v>0</v>
      </c>
      <c r="S16" s="11">
        <f>IF(S$3=0,"",SUMIFS(INDEX(Inputs!$D$4:$AG$150,0,MATCH(S$2,Inputs!$D$2:$AG$2,0)),Inputs!$B$4:$B$150,$B16)/1000)</f>
        <v>0</v>
      </c>
      <c r="T16" s="11">
        <f>IF(T$3=0,"",SUMIFS(INDEX(Inputs!$D$4:$AG$150,0,MATCH(T$2,Inputs!$D$2:$AG$2,0)),Inputs!$B$4:$B$150,$B16)/1000)</f>
        <v>0</v>
      </c>
      <c r="U16" s="11">
        <f>IF(U$3=0,"",SUMIFS(INDEX(Inputs!$D$4:$AG$150,0,MATCH(U$2,Inputs!$D$2:$AG$2,0)),Inputs!$B$4:$B$150,$B16)/1000)</f>
        <v>0</v>
      </c>
      <c r="V16" s="11">
        <f>IF(V$3=0,"",SUMIFS(INDEX(Inputs!$D$4:$AG$150,0,MATCH(V$2,Inputs!$D$2:$AG$2,0)),Inputs!$B$4:$B$150,$B16)/1000)</f>
        <v>0</v>
      </c>
      <c r="W16" s="12">
        <f>IF(V16="","",V16)</f>
        <v>0</v>
      </c>
      <c r="X16" s="11">
        <f>IF(X$3=0,"",SUMIFS(INDEX(Inputs!$D$4:$AG$150,0,MATCH(X$2,Inputs!$D$2:$AG$2,0)),Inputs!$B$4:$B$150,$B16)/1000)</f>
        <v>0</v>
      </c>
      <c r="Y16" s="11">
        <f>IF(Y$3=0,"",SUMIFS(INDEX(Inputs!$D$4:$AG$150,0,MATCH(Y$2,Inputs!$D$2:$AG$2,0)),Inputs!$B$4:$B$150,$B16)/1000)</f>
        <v>0</v>
      </c>
      <c r="Z16" s="11">
        <f>IF(Z$3=0,"",SUMIFS(INDEX(Inputs!$D$4:$AG$150,0,MATCH(Z$2,Inputs!$D$2:$AG$2,0)),Inputs!$B$4:$B$150,$B16)/1000)</f>
        <v>0</v>
      </c>
      <c r="AA16" s="11">
        <f>IF(AA$3=0,"",SUMIFS(INDEX(Inputs!$D$4:$AG$150,0,MATCH(AA$2,Inputs!$D$2:$AG$2,0)),Inputs!$B$4:$B$150,$B16)/1000)</f>
        <v>0</v>
      </c>
      <c r="AB16" s="12">
        <f>IF(AA16="","",AA16)</f>
        <v>0</v>
      </c>
      <c r="AC16" s="11">
        <f>IF(AC$3=0,"",SUMIFS(INDEX(Inputs!$D$4:$AG$150,0,MATCH(AC$2,Inputs!$D$2:$AG$2,0)),Inputs!$B$4:$B$150,$B16)/1000)</f>
        <v>0</v>
      </c>
      <c r="AD16" s="11">
        <f>IF(AD$3=0,"",SUMIFS(INDEX(Inputs!$D$4:$AG$150,0,MATCH(AD$2,Inputs!$D$2:$AG$2,0)),Inputs!$B$4:$B$150,$B16)/1000)</f>
        <v>0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0</v>
      </c>
      <c r="E17" s="11">
        <f>IF(E$3=0,"",SUMIFS(INDEX(Inputs!$D$4:$AG$150,0,MATCH(E$2,Inputs!$D$2:$AG$2,0)),Inputs!$B$4:$B$150,$B17)/1000)</f>
        <v>0</v>
      </c>
      <c r="F17" s="11">
        <f>IF(F$3=0,"",SUMIFS(INDEX(Inputs!$D$4:$AG$150,0,MATCH(F$2,Inputs!$D$2:$AG$2,0)),Inputs!$B$4:$B$150,$B17)/1000)</f>
        <v>0</v>
      </c>
      <c r="G17" s="11">
        <f>IF(G$3=0,"",SUMIFS(INDEX(Inputs!$D$4:$AG$150,0,MATCH(G$2,Inputs!$D$2:$AG$2,0)),Inputs!$B$4:$B$150,$B17)/1000)</f>
        <v>0</v>
      </c>
      <c r="H17" s="12">
        <f>IF(G17="","",G17)</f>
        <v>0</v>
      </c>
      <c r="I17" s="11">
        <f>IF(I$3=0,"",SUMIFS(INDEX(Inputs!$D$4:$AG$150,0,MATCH(I$2,Inputs!$D$2:$AG$2,0)),Inputs!$B$4:$B$150,$B17)/1000)</f>
        <v>0</v>
      </c>
      <c r="J17" s="11">
        <f>IF(J$3=0,"",SUMIFS(INDEX(Inputs!$D$4:$AG$150,0,MATCH(J$2,Inputs!$D$2:$AG$2,0)),Inputs!$B$4:$B$150,$B17)/1000)</f>
        <v>0</v>
      </c>
      <c r="K17" s="11">
        <f>IF(K$3=0,"",SUMIFS(INDEX(Inputs!$D$4:$AG$150,0,MATCH(K$2,Inputs!$D$2:$AG$2,0)),Inputs!$B$4:$B$150,$B17)/1000)</f>
        <v>0</v>
      </c>
      <c r="L17" s="11">
        <f>IF(L$3=0,"",SUMIFS(INDEX(Inputs!$D$4:$AG$150,0,MATCH(L$2,Inputs!$D$2:$AG$2,0)),Inputs!$B$4:$B$150,$B17)/1000)</f>
        <v>0</v>
      </c>
      <c r="M17" s="12">
        <f>IF(L17="","",L17)</f>
        <v>0</v>
      </c>
      <c r="N17" s="11">
        <f>IF(N$3=0,"",SUMIFS(INDEX(Inputs!$D$4:$AG$150,0,MATCH(N$2,Inputs!$D$2:$AG$2,0)),Inputs!$B$4:$B$150,$B17)/1000)</f>
        <v>0</v>
      </c>
      <c r="O17" s="11">
        <f>IF(O$3=0,"",SUMIFS(INDEX(Inputs!$D$4:$AG$150,0,MATCH(O$2,Inputs!$D$2:$AG$2,0)),Inputs!$B$4:$B$150,$B17)/1000)</f>
        <v>0</v>
      </c>
      <c r="P17" s="11">
        <f>IF(P$3=0,"",SUMIFS(INDEX(Inputs!$D$4:$AG$150,0,MATCH(P$2,Inputs!$D$2:$AG$2,0)),Inputs!$B$4:$B$150,$B17)/1000)</f>
        <v>0</v>
      </c>
      <c r="Q17" s="11">
        <f>IF(Q$3=0,"",SUMIFS(INDEX(Inputs!$D$4:$AG$150,0,MATCH(Q$2,Inputs!$D$2:$AG$2,0)),Inputs!$B$4:$B$150,$B17)/1000)</f>
        <v>0</v>
      </c>
      <c r="R17" s="12">
        <f>IF(Q17="","",Q17)</f>
        <v>0</v>
      </c>
      <c r="S17" s="11">
        <f>IF(S$3=0,"",SUMIFS(INDEX(Inputs!$D$4:$AG$150,0,MATCH(S$2,Inputs!$D$2:$AG$2,0)),Inputs!$B$4:$B$150,$B17)/1000)</f>
        <v>0</v>
      </c>
      <c r="T17" s="11">
        <f>IF(T$3=0,"",SUMIFS(INDEX(Inputs!$D$4:$AG$150,0,MATCH(T$2,Inputs!$D$2:$AG$2,0)),Inputs!$B$4:$B$150,$B17)/1000)</f>
        <v>0</v>
      </c>
      <c r="U17" s="11">
        <f>IF(U$3=0,"",SUMIFS(INDEX(Inputs!$D$4:$AG$150,0,MATCH(U$2,Inputs!$D$2:$AG$2,0)),Inputs!$B$4:$B$150,$B17)/1000)</f>
        <v>0</v>
      </c>
      <c r="V17" s="11">
        <f>IF(V$3=0,"",SUMIFS(INDEX(Inputs!$D$4:$AG$150,0,MATCH(V$2,Inputs!$D$2:$AG$2,0)),Inputs!$B$4:$B$150,$B17)/1000)</f>
        <v>0</v>
      </c>
      <c r="W17" s="12">
        <f>IF(V17="","",V17)</f>
        <v>0</v>
      </c>
      <c r="X17" s="11">
        <f>IF(X$3=0,"",SUMIFS(INDEX(Inputs!$D$4:$AG$150,0,MATCH(X$2,Inputs!$D$2:$AG$2,0)),Inputs!$B$4:$B$150,$B17)/1000)</f>
        <v>0</v>
      </c>
      <c r="Y17" s="11">
        <f>IF(Y$3=0,"",SUMIFS(INDEX(Inputs!$D$4:$AG$150,0,MATCH(Y$2,Inputs!$D$2:$AG$2,0)),Inputs!$B$4:$B$150,$B17)/1000)</f>
        <v>0</v>
      </c>
      <c r="Z17" s="11">
        <f>IF(Z$3=0,"",SUMIFS(INDEX(Inputs!$D$4:$AG$150,0,MATCH(Z$2,Inputs!$D$2:$AG$2,0)),Inputs!$B$4:$B$150,$B17)/1000)</f>
        <v>0</v>
      </c>
      <c r="AA17" s="11">
        <f>IF(AA$3=0,"",SUMIFS(INDEX(Inputs!$D$4:$AG$150,0,MATCH(AA$2,Inputs!$D$2:$AG$2,0)),Inputs!$B$4:$B$150,$B17)/1000)</f>
        <v>0</v>
      </c>
      <c r="AB17" s="12">
        <f>IF(AA17="","",AA17)</f>
        <v>0</v>
      </c>
      <c r="AC17" s="11">
        <f>IF(AC$3=0,"",SUMIFS(INDEX(Inputs!$D$4:$AG$150,0,MATCH(AC$2,Inputs!$D$2:$AG$2,0)),Inputs!$B$4:$B$150,$B17)/1000)</f>
        <v>0</v>
      </c>
      <c r="AD17" s="11">
        <f>IF(AD$3=0,"",SUMIFS(INDEX(Inputs!$D$4:$AG$150,0,MATCH(AD$2,Inputs!$D$2:$AG$2,0)),Inputs!$B$4:$B$150,$B17)/1000)</f>
        <v>0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0</v>
      </c>
      <c r="R18" s="12">
        <f>IF(Q18="","",Q18)</f>
        <v>0</v>
      </c>
      <c r="S18" s="11">
        <f>IF(S$3=0,"",SUMIFS(INDEX(Inputs!$D$4:$AG$150,0,MATCH(S$2,Inputs!$D$2:$AG$2,0)),Inputs!$B$4:$B$150,$B18)/1000)</f>
        <v>0</v>
      </c>
      <c r="T18" s="11">
        <f>IF(T$3=0,"",SUMIFS(INDEX(Inputs!$D$4:$AG$150,0,MATCH(T$2,Inputs!$D$2:$AG$2,0)),Inputs!$B$4:$B$150,$B18)/1000)</f>
        <v>0</v>
      </c>
      <c r="U18" s="11">
        <f>IF(U$3=0,"",SUMIFS(INDEX(Inputs!$D$4:$AG$150,0,MATCH(U$2,Inputs!$D$2:$AG$2,0)),Inputs!$B$4:$B$150,$B18)/1000)</f>
        <v>0</v>
      </c>
      <c r="V18" s="11">
        <f>IF(V$3=0,"",SUMIFS(INDEX(Inputs!$D$4:$AG$150,0,MATCH(V$2,Inputs!$D$2:$AG$2,0)),Inputs!$B$4:$B$150,$B18)/1000)</f>
        <v>0</v>
      </c>
      <c r="W18" s="12">
        <f>IF(V18="","",V18)</f>
        <v>0</v>
      </c>
      <c r="X18" s="11">
        <f>IF(X$3=0,"",SUMIFS(INDEX(Inputs!$D$4:$AG$150,0,MATCH(X$2,Inputs!$D$2:$AG$2,0)),Inputs!$B$4:$B$150,$B18)/1000)</f>
        <v>0</v>
      </c>
      <c r="Y18" s="11">
        <f>IF(Y$3=0,"",SUMIFS(INDEX(Inputs!$D$4:$AG$150,0,MATCH(Y$2,Inputs!$D$2:$AG$2,0)),Inputs!$B$4:$B$150,$B18)/1000)</f>
        <v>0</v>
      </c>
      <c r="Z18" s="11">
        <f>IF(Z$3=0,"",SUMIFS(INDEX(Inputs!$D$4:$AG$150,0,MATCH(Z$2,Inputs!$D$2:$AG$2,0)),Inputs!$B$4:$B$150,$B18)/1000)</f>
        <v>0</v>
      </c>
      <c r="AA18" s="11">
        <f>IF(AA$3=0,"",SUMIFS(INDEX(Inputs!$D$4:$AG$150,0,MATCH(AA$2,Inputs!$D$2:$AG$2,0)),Inputs!$B$4:$B$150,$B18)/1000)</f>
        <v>0</v>
      </c>
      <c r="AB18" s="12">
        <f>IF(AA18="","",AA18)</f>
        <v>0</v>
      </c>
      <c r="AC18" s="11">
        <f>IF(AC$3=0,"",SUMIFS(INDEX(Inputs!$D$4:$AG$150,0,MATCH(AC$2,Inputs!$D$2:$AG$2,0)),Inputs!$B$4:$B$150,$B18)/1000)</f>
        <v>0</v>
      </c>
      <c r="AD18" s="11">
        <f>IF(AD$3=0,"",SUMIFS(INDEX(Inputs!$D$4:$AG$150,0,MATCH(AD$2,Inputs!$D$2:$AG$2,0)),Inputs!$B$4:$B$150,$B18)/1000)</f>
        <v>0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1703.803</v>
      </c>
      <c r="E20" s="11">
        <f>IF(E$3=0,"",SUMIFS(INDEX(Inputs!$D$4:$AG$150,0,MATCH(E$2,Inputs!$D$2:$AG$2,0)),Inputs!$B$4:$B$150,$B20)/1000)</f>
        <v>1826.746</v>
      </c>
      <c r="F20" s="11">
        <f>IF(F$3=0,"",SUMIFS(INDEX(Inputs!$D$4:$AG$150,0,MATCH(F$2,Inputs!$D$2:$AG$2,0)),Inputs!$B$4:$B$150,$B20)/1000)</f>
        <v>1889.106</v>
      </c>
      <c r="G20" s="11">
        <f>IF(G$3=0,"",SUMIFS(INDEX(Inputs!$D$4:$AG$150,0,MATCH(G$2,Inputs!$D$2:$AG$2,0)),Inputs!$B$4:$B$150,$B20)/1000)</f>
        <v>2042.021</v>
      </c>
      <c r="H20" s="12">
        <f>IF(G20="","",G20)</f>
        <v>2042.021</v>
      </c>
      <c r="I20" s="11">
        <f>IF(I$3=0,"",SUMIFS(INDEX(Inputs!$D$4:$AG$150,0,MATCH(I$2,Inputs!$D$2:$AG$2,0)),Inputs!$B$4:$B$150,$B20)/1000)</f>
        <v>2089.069</v>
      </c>
      <c r="J20" s="11">
        <f>IF(J$3=0,"",SUMIFS(INDEX(Inputs!$D$4:$AG$150,0,MATCH(J$2,Inputs!$D$2:$AG$2,0)),Inputs!$B$4:$B$150,$B20)/1000)</f>
        <v>2021.329</v>
      </c>
      <c r="K20" s="11">
        <f>IF(K$3=0,"",SUMIFS(INDEX(Inputs!$D$4:$AG$150,0,MATCH(K$2,Inputs!$D$2:$AG$2,0)),Inputs!$B$4:$B$150,$B20)/1000)</f>
        <v>2703.17</v>
      </c>
      <c r="L20" s="11">
        <f>IF(L$3=0,"",SUMIFS(INDEX(Inputs!$D$4:$AG$150,0,MATCH(L$2,Inputs!$D$2:$AG$2,0)),Inputs!$B$4:$B$150,$B20)/1000)</f>
        <v>3208.021</v>
      </c>
      <c r="M20" s="12">
        <f>IF(L20="","",L20)</f>
        <v>3208.021</v>
      </c>
      <c r="N20" s="11">
        <f>IF(N$3=0,"",SUMIFS(INDEX(Inputs!$D$4:$AG$150,0,MATCH(N$2,Inputs!$D$2:$AG$2,0)),Inputs!$B$4:$B$150,$B20)/1000)</f>
        <v>2655.119</v>
      </c>
      <c r="O20" s="11">
        <f>IF(O$3=0,"",SUMIFS(INDEX(Inputs!$D$4:$AG$150,0,MATCH(O$2,Inputs!$D$2:$AG$2,0)),Inputs!$B$4:$B$150,$B20)/1000)</f>
        <v>2929.347</v>
      </c>
      <c r="P20" s="11">
        <f>IF(P$3=0,"",SUMIFS(INDEX(Inputs!$D$4:$AG$150,0,MATCH(P$2,Inputs!$D$2:$AG$2,0)),Inputs!$B$4:$B$150,$B20)/1000)</f>
        <v>2912.028</v>
      </c>
      <c r="Q20" s="11">
        <f>IF(Q$3=0,"",SUMIFS(INDEX(Inputs!$D$4:$AG$150,0,MATCH(Q$2,Inputs!$D$2:$AG$2,0)),Inputs!$B$4:$B$150,$B20)/1000)</f>
        <v>2780.247</v>
      </c>
      <c r="R20" s="12">
        <f>IF(Q20="","",Q20)</f>
        <v>2780.247</v>
      </c>
      <c r="S20" s="11">
        <f>IF(S$3=0,"",SUMIFS(INDEX(Inputs!$D$4:$AG$150,0,MATCH(S$2,Inputs!$D$2:$AG$2,0)),Inputs!$B$4:$B$150,$B20)/1000)</f>
        <v>2875.574</v>
      </c>
      <c r="T20" s="11">
        <f>IF(T$3=0,"",SUMIFS(INDEX(Inputs!$D$4:$AG$150,0,MATCH(T$2,Inputs!$D$2:$AG$2,0)),Inputs!$B$4:$B$150,$B20)/1000)</f>
        <v>2959.641</v>
      </c>
      <c r="U20" s="11">
        <f>IF(U$3=0,"",SUMIFS(INDEX(Inputs!$D$4:$AG$150,0,MATCH(U$2,Inputs!$D$2:$AG$2,0)),Inputs!$B$4:$B$150,$B20)/1000)</f>
        <v>2905.172</v>
      </c>
      <c r="V20" s="11">
        <f>IF(V$3=0,"",SUMIFS(INDEX(Inputs!$D$4:$AG$150,0,MATCH(V$2,Inputs!$D$2:$AG$2,0)),Inputs!$B$4:$B$150,$B20)/1000)</f>
        <v>3516.64</v>
      </c>
      <c r="W20" s="12">
        <f>IF(V20="","",V20)</f>
        <v>3516.64</v>
      </c>
      <c r="X20" s="11">
        <f>IF(X$3=0,"",SUMIFS(INDEX(Inputs!$D$4:$AG$150,0,MATCH(X$2,Inputs!$D$2:$AG$2,0)),Inputs!$B$4:$B$150,$B20)/1000)</f>
        <v>3326.642</v>
      </c>
      <c r="Y20" s="11">
        <f>IF(Y$3=0,"",SUMIFS(INDEX(Inputs!$D$4:$AG$150,0,MATCH(Y$2,Inputs!$D$2:$AG$2,0)),Inputs!$B$4:$B$150,$B20)/1000)</f>
        <v>3602.586</v>
      </c>
      <c r="Z20" s="11">
        <f>IF(Z$3=0,"",SUMIFS(INDEX(Inputs!$D$4:$AG$150,0,MATCH(Z$2,Inputs!$D$2:$AG$2,0)),Inputs!$B$4:$B$150,$B20)/1000)</f>
        <v>3638.543</v>
      </c>
      <c r="AA20" s="11">
        <f>IF(AA$3=0,"",SUMIFS(INDEX(Inputs!$D$4:$AG$150,0,MATCH(AA$2,Inputs!$D$2:$AG$2,0)),Inputs!$B$4:$B$150,$B20)/1000)</f>
        <v>3957.832</v>
      </c>
      <c r="AB20" s="12">
        <f>IF(AA20="","",AA20)</f>
        <v>3957.832</v>
      </c>
      <c r="AC20" s="11">
        <f>IF(AC$3=0,"",SUMIFS(INDEX(Inputs!$D$4:$AG$150,0,MATCH(AC$2,Inputs!$D$2:$AG$2,0)),Inputs!$B$4:$B$150,$B20)/1000)</f>
        <v>4782.532</v>
      </c>
      <c r="AD20" s="11">
        <f>IF(AD$3=0,"",SUMIFS(INDEX(Inputs!$D$4:$AG$150,0,MATCH(AD$2,Inputs!$D$2:$AG$2,0)),Inputs!$B$4:$B$150,$B20)/1000)</f>
        <v>4725.393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1015.419</v>
      </c>
      <c r="E22" s="11">
        <f>IF(E$3=0,"",SUMIFS(INDEX(Inputs!$D$4:$AG$150,0,MATCH(E$2,Inputs!$D$2:$AG$2,0)),Inputs!$B$4:$B$150,$B22)/1000)</f>
        <v>1107.437</v>
      </c>
      <c r="F22" s="11">
        <f>IF(F$3=0,"",SUMIFS(INDEX(Inputs!$D$4:$AG$150,0,MATCH(F$2,Inputs!$D$2:$AG$2,0)),Inputs!$B$4:$B$150,$B22)/1000)</f>
        <v>1220.114</v>
      </c>
      <c r="G22" s="11">
        <f>IF(G$3=0,"",SUMIFS(INDEX(Inputs!$D$4:$AG$150,0,MATCH(G$2,Inputs!$D$2:$AG$2,0)),Inputs!$B$4:$B$150,$B22)/1000)</f>
        <v>1323.453</v>
      </c>
      <c r="H22" s="12">
        <f>IF(G22="","",G22)</f>
        <v>1323.453</v>
      </c>
      <c r="I22" s="11">
        <f>IF(I$3=0,"",SUMIFS(INDEX(Inputs!$D$4:$AG$150,0,MATCH(I$2,Inputs!$D$2:$AG$2,0)),Inputs!$B$4:$B$150,$B22)/1000)</f>
        <v>1383.763</v>
      </c>
      <c r="J22" s="11">
        <f>IF(J$3=0,"",SUMIFS(INDEX(Inputs!$D$4:$AG$150,0,MATCH(J$2,Inputs!$D$2:$AG$2,0)),Inputs!$B$4:$B$150,$B22)/1000)</f>
        <v>1361.92</v>
      </c>
      <c r="K22" s="11">
        <f>IF(K$3=0,"",SUMIFS(INDEX(Inputs!$D$4:$AG$150,0,MATCH(K$2,Inputs!$D$2:$AG$2,0)),Inputs!$B$4:$B$150,$B22)/1000)</f>
        <v>1372.754</v>
      </c>
      <c r="L22" s="11">
        <f>IF(L$3=0,"",SUMIFS(INDEX(Inputs!$D$4:$AG$150,0,MATCH(L$2,Inputs!$D$2:$AG$2,0)),Inputs!$B$4:$B$150,$B22)/1000)</f>
        <v>1398.257</v>
      </c>
      <c r="M22" s="12">
        <f>IF(L22="","",L22)</f>
        <v>1398.257</v>
      </c>
      <c r="N22" s="11">
        <f>IF(N$3=0,"",SUMIFS(INDEX(Inputs!$D$4:$AG$150,0,MATCH(N$2,Inputs!$D$2:$AG$2,0)),Inputs!$B$4:$B$150,$B22)/1000)</f>
        <v>1413.094</v>
      </c>
      <c r="O22" s="11">
        <f>IF(O$3=0,"",SUMIFS(INDEX(Inputs!$D$4:$AG$150,0,MATCH(O$2,Inputs!$D$2:$AG$2,0)),Inputs!$B$4:$B$150,$B22)/1000)</f>
        <v>1471.968</v>
      </c>
      <c r="P22" s="11">
        <f>IF(P$3=0,"",SUMIFS(INDEX(Inputs!$D$4:$AG$150,0,MATCH(P$2,Inputs!$D$2:$AG$2,0)),Inputs!$B$4:$B$150,$B22)/1000)</f>
        <v>1498.391</v>
      </c>
      <c r="Q22" s="11">
        <f>IF(Q$3=0,"",SUMIFS(INDEX(Inputs!$D$4:$AG$150,0,MATCH(Q$2,Inputs!$D$2:$AG$2,0)),Inputs!$B$4:$B$150,$B22)/1000)</f>
        <v>1491.444</v>
      </c>
      <c r="R22" s="12">
        <f>IF(Q22="","",Q22)</f>
        <v>1491.444</v>
      </c>
      <c r="S22" s="11">
        <f>IF(S$3=0,"",SUMIFS(INDEX(Inputs!$D$4:$AG$150,0,MATCH(S$2,Inputs!$D$2:$AG$2,0)),Inputs!$B$4:$B$150,$B22)/1000)</f>
        <v>1501.168</v>
      </c>
      <c r="T22" s="11">
        <f>IF(T$3=0,"",SUMIFS(INDEX(Inputs!$D$4:$AG$150,0,MATCH(T$2,Inputs!$D$2:$AG$2,0)),Inputs!$B$4:$B$150,$B22)/1000)</f>
        <v>1510.958</v>
      </c>
      <c r="U22" s="11">
        <f>IF(U$3=0,"",SUMIFS(INDEX(Inputs!$D$4:$AG$150,0,MATCH(U$2,Inputs!$D$2:$AG$2,0)),Inputs!$B$4:$B$150,$B22)/1000)</f>
        <v>1568.212</v>
      </c>
      <c r="V22" s="11">
        <f>IF(V$3=0,"",SUMIFS(INDEX(Inputs!$D$4:$AG$150,0,MATCH(V$2,Inputs!$D$2:$AG$2,0)),Inputs!$B$4:$B$150,$B22)/1000)</f>
        <v>1593.756</v>
      </c>
      <c r="W22" s="12">
        <f>IF(V22="","",V22)</f>
        <v>1593.756</v>
      </c>
      <c r="X22" s="11">
        <f>IF(X$3=0,"",SUMIFS(INDEX(Inputs!$D$4:$AG$150,0,MATCH(X$2,Inputs!$D$2:$AG$2,0)),Inputs!$B$4:$B$150,$B22)/1000)</f>
        <v>1644.346</v>
      </c>
      <c r="Y22" s="11">
        <f>IF(Y$3=0,"",SUMIFS(INDEX(Inputs!$D$4:$AG$150,0,MATCH(Y$2,Inputs!$D$2:$AG$2,0)),Inputs!$B$4:$B$150,$B22)/1000)</f>
        <v>1743.566</v>
      </c>
      <c r="Z22" s="11">
        <f>IF(Z$3=0,"",SUMIFS(INDEX(Inputs!$D$4:$AG$150,0,MATCH(Z$2,Inputs!$D$2:$AG$2,0)),Inputs!$B$4:$B$150,$B22)/1000)</f>
        <v>1837.889</v>
      </c>
      <c r="AA22" s="11">
        <f>IF(AA$3=0,"",SUMIFS(INDEX(Inputs!$D$4:$AG$150,0,MATCH(AA$2,Inputs!$D$2:$AG$2,0)),Inputs!$B$4:$B$150,$B22)/1000)</f>
        <v>2004.35</v>
      </c>
      <c r="AB22" s="12">
        <f>IF(AA22="","",AA22)</f>
        <v>2004.35</v>
      </c>
      <c r="AC22" s="11">
        <f>IF(AC$3=0,"",SUMIFS(INDEX(Inputs!$D$4:$AG$150,0,MATCH(AC$2,Inputs!$D$2:$AG$2,0)),Inputs!$B$4:$B$150,$B22)/1000)</f>
        <v>2147.829</v>
      </c>
      <c r="AD22" s="11">
        <f>IF(AD$3=0,"",SUMIFS(INDEX(Inputs!$D$4:$AG$150,0,MATCH(AD$2,Inputs!$D$2:$AG$2,0)),Inputs!$B$4:$B$150,$B22)/1000)</f>
        <v>2398.848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0</v>
      </c>
      <c r="W23" s="12">
        <f>IF(V23="","",V23)</f>
        <v>0</v>
      </c>
      <c r="X23" s="11">
        <f>IF(X$3=0,"",SUMIFS(INDEX(Inputs!$D$4:$AG$150,0,MATCH(X$2,Inputs!$D$2:$AG$2,0)),Inputs!$B$4:$B$150,$B23)/1000)</f>
        <v>0</v>
      </c>
      <c r="Y23" s="11">
        <f>IF(Y$3=0,"",SUMIFS(INDEX(Inputs!$D$4:$AG$150,0,MATCH(Y$2,Inputs!$D$2:$AG$2,0)),Inputs!$B$4:$B$150,$B23)/1000)</f>
        <v>0</v>
      </c>
      <c r="Z23" s="11">
        <f>IF(Z$3=0,"",SUMIFS(INDEX(Inputs!$D$4:$AG$150,0,MATCH(Z$2,Inputs!$D$2:$AG$2,0)),Inputs!$B$4:$B$150,$B23)/1000)</f>
        <v>0</v>
      </c>
      <c r="AA23" s="11">
        <f>IF(AA$3=0,"",SUMIFS(INDEX(Inputs!$D$4:$AG$150,0,MATCH(AA$2,Inputs!$D$2:$AG$2,0)),Inputs!$B$4:$B$150,$B23)/1000)</f>
        <v>0</v>
      </c>
      <c r="AB23" s="12">
        <f>IF(AA23="","",AA23)</f>
        <v>0</v>
      </c>
      <c r="AC23" s="11">
        <f>IF(AC$3=0,"",SUMIFS(INDEX(Inputs!$D$4:$AG$150,0,MATCH(AC$2,Inputs!$D$2:$AG$2,0)),Inputs!$B$4:$B$150,$B23)/1000)</f>
        <v>0</v>
      </c>
      <c r="AD23" s="11">
        <f>IF(AD$3=0,"",SUMIFS(INDEX(Inputs!$D$4:$AG$150,0,MATCH(AD$2,Inputs!$D$2:$AG$2,0)),Inputs!$B$4:$B$150,$B23)/1000)</f>
        <v>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0</v>
      </c>
      <c r="E24" s="11">
        <f>IF(E$3=0,"",SUMIFS(INDEX(Inputs!$D$4:$AG$150,0,MATCH(E$2,Inputs!$D$2:$AG$2,0)),Inputs!$B$4:$B$150,$B24)/1000)</f>
        <v>0</v>
      </c>
      <c r="F24" s="11">
        <f>IF(F$3=0,"",SUMIFS(INDEX(Inputs!$D$4:$AG$150,0,MATCH(F$2,Inputs!$D$2:$AG$2,0)),Inputs!$B$4:$B$150,$B24)/1000)</f>
        <v>0</v>
      </c>
      <c r="G24" s="11">
        <f>IF(G$3=0,"",SUMIFS(INDEX(Inputs!$D$4:$AG$150,0,MATCH(G$2,Inputs!$D$2:$AG$2,0)),Inputs!$B$4:$B$150,$B24)/1000)</f>
        <v>0</v>
      </c>
      <c r="H24" s="12">
        <f>IF(G24="","",G24)</f>
        <v>0</v>
      </c>
      <c r="I24" s="11">
        <f>IF(I$3=0,"",SUMIFS(INDEX(Inputs!$D$4:$AG$150,0,MATCH(I$2,Inputs!$D$2:$AG$2,0)),Inputs!$B$4:$B$150,$B24)/1000)</f>
        <v>0</v>
      </c>
      <c r="J24" s="11">
        <f>IF(J$3=0,"",SUMIFS(INDEX(Inputs!$D$4:$AG$150,0,MATCH(J$2,Inputs!$D$2:$AG$2,0)),Inputs!$B$4:$B$150,$B24)/1000)</f>
        <v>0</v>
      </c>
      <c r="K24" s="11">
        <f>IF(K$3=0,"",SUMIFS(INDEX(Inputs!$D$4:$AG$150,0,MATCH(K$2,Inputs!$D$2:$AG$2,0)),Inputs!$B$4:$B$150,$B24)/1000)</f>
        <v>0</v>
      </c>
      <c r="L24" s="11">
        <f>IF(L$3=0,"",SUMIFS(INDEX(Inputs!$D$4:$AG$150,0,MATCH(L$2,Inputs!$D$2:$AG$2,0)),Inputs!$B$4:$B$150,$B24)/1000)</f>
        <v>0</v>
      </c>
      <c r="M24" s="12">
        <f>IF(L24="","",L24)</f>
        <v>0</v>
      </c>
      <c r="N24" s="11">
        <f>IF(N$3=0,"",SUMIFS(INDEX(Inputs!$D$4:$AG$150,0,MATCH(N$2,Inputs!$D$2:$AG$2,0)),Inputs!$B$4:$B$150,$B24)/1000)</f>
        <v>0</v>
      </c>
      <c r="O24" s="11">
        <f>IF(O$3=0,"",SUMIFS(INDEX(Inputs!$D$4:$AG$150,0,MATCH(O$2,Inputs!$D$2:$AG$2,0)),Inputs!$B$4:$B$150,$B24)/1000)</f>
        <v>0</v>
      </c>
      <c r="P24" s="11">
        <f>IF(P$3=0,"",SUMIFS(INDEX(Inputs!$D$4:$AG$150,0,MATCH(P$2,Inputs!$D$2:$AG$2,0)),Inputs!$B$4:$B$150,$B24)/1000)</f>
        <v>0</v>
      </c>
      <c r="Q24" s="11">
        <f>IF(Q$3=0,"",SUMIFS(INDEX(Inputs!$D$4:$AG$150,0,MATCH(Q$2,Inputs!$D$2:$AG$2,0)),Inputs!$B$4:$B$150,$B24)/1000)</f>
        <v>0</v>
      </c>
      <c r="R24" s="12">
        <f>IF(Q24="","",Q24)</f>
        <v>0</v>
      </c>
      <c r="S24" s="11">
        <f>IF(S$3=0,"",SUMIFS(INDEX(Inputs!$D$4:$AG$150,0,MATCH(S$2,Inputs!$D$2:$AG$2,0)),Inputs!$B$4:$B$150,$B24)/1000)</f>
        <v>0</v>
      </c>
      <c r="T24" s="11">
        <f>IF(T$3=0,"",SUMIFS(INDEX(Inputs!$D$4:$AG$150,0,MATCH(T$2,Inputs!$D$2:$AG$2,0)),Inputs!$B$4:$B$150,$B24)/1000)</f>
        <v>0</v>
      </c>
      <c r="U24" s="11">
        <f>IF(U$3=0,"",SUMIFS(INDEX(Inputs!$D$4:$AG$150,0,MATCH(U$2,Inputs!$D$2:$AG$2,0)),Inputs!$B$4:$B$150,$B24)/1000)</f>
        <v>0</v>
      </c>
      <c r="V24" s="11">
        <f>IF(V$3=0,"",SUMIFS(INDEX(Inputs!$D$4:$AG$150,0,MATCH(V$2,Inputs!$D$2:$AG$2,0)),Inputs!$B$4:$B$150,$B24)/1000)</f>
        <v>0</v>
      </c>
      <c r="W24" s="12">
        <f>IF(V24="","",V24)</f>
        <v>0</v>
      </c>
      <c r="X24" s="11">
        <f>IF(X$3=0,"",SUMIFS(INDEX(Inputs!$D$4:$AG$150,0,MATCH(X$2,Inputs!$D$2:$AG$2,0)),Inputs!$B$4:$B$150,$B24)/1000)</f>
        <v>0</v>
      </c>
      <c r="Y24" s="11">
        <f>IF(Y$3=0,"",SUMIFS(INDEX(Inputs!$D$4:$AG$150,0,MATCH(Y$2,Inputs!$D$2:$AG$2,0)),Inputs!$B$4:$B$150,$B24)/1000)</f>
        <v>0</v>
      </c>
      <c r="Z24" s="11">
        <f>IF(Z$3=0,"",SUMIFS(INDEX(Inputs!$D$4:$AG$150,0,MATCH(Z$2,Inputs!$D$2:$AG$2,0)),Inputs!$B$4:$B$150,$B24)/1000)</f>
        <v>0</v>
      </c>
      <c r="AA24" s="11">
        <f>IF(AA$3=0,"",SUMIFS(INDEX(Inputs!$D$4:$AG$150,0,MATCH(AA$2,Inputs!$D$2:$AG$2,0)),Inputs!$B$4:$B$150,$B24)/1000)</f>
        <v>0</v>
      </c>
      <c r="AB24" s="12">
        <f>IF(AA24="","",AA24)</f>
        <v>0</v>
      </c>
      <c r="AC24" s="11">
        <f>IF(AC$3=0,"",SUMIFS(INDEX(Inputs!$D$4:$AG$150,0,MATCH(AC$2,Inputs!$D$2:$AG$2,0)),Inputs!$B$4:$B$150,$B24)/1000)</f>
        <v>0</v>
      </c>
      <c r="AD24" s="11">
        <f>IF(AD$3=0,"",SUMIFS(INDEX(Inputs!$D$4:$AG$150,0,MATCH(AD$2,Inputs!$D$2:$AG$2,0)),Inputs!$B$4:$B$150,$B24)/1000)</f>
        <v>0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0</v>
      </c>
      <c r="E25" s="11">
        <f>IF(E$3=0,"",SUMIFS(INDEX(Inputs!$D$4:$AG$150,0,MATCH(E$2,Inputs!$D$2:$AG$2,0)),Inputs!$B$4:$B$150,$B25)/1000)</f>
        <v>0</v>
      </c>
      <c r="F25" s="11">
        <f>IF(F$3=0,"",SUMIFS(INDEX(Inputs!$D$4:$AG$150,0,MATCH(F$2,Inputs!$D$2:$AG$2,0)),Inputs!$B$4:$B$150,$B25)/1000)</f>
        <v>0</v>
      </c>
      <c r="G25" s="11">
        <f>IF(G$3=0,"",SUMIFS(INDEX(Inputs!$D$4:$AG$150,0,MATCH(G$2,Inputs!$D$2:$AG$2,0)),Inputs!$B$4:$B$150,$B25)/1000)</f>
        <v>0</v>
      </c>
      <c r="H25" s="12">
        <f>IF(G25="","",G25)</f>
        <v>0</v>
      </c>
      <c r="I25" s="11">
        <f>IF(I$3=0,"",SUMIFS(INDEX(Inputs!$D$4:$AG$150,0,MATCH(I$2,Inputs!$D$2:$AG$2,0)),Inputs!$B$4:$B$150,$B25)/1000)</f>
        <v>0</v>
      </c>
      <c r="J25" s="11">
        <f>IF(J$3=0,"",SUMIFS(INDEX(Inputs!$D$4:$AG$150,0,MATCH(J$2,Inputs!$D$2:$AG$2,0)),Inputs!$B$4:$B$150,$B25)/1000)</f>
        <v>0</v>
      </c>
      <c r="K25" s="11">
        <f>IF(K$3=0,"",SUMIFS(INDEX(Inputs!$D$4:$AG$150,0,MATCH(K$2,Inputs!$D$2:$AG$2,0)),Inputs!$B$4:$B$150,$B25)/1000)</f>
        <v>0</v>
      </c>
      <c r="L25" s="11">
        <f>IF(L$3=0,"",SUMIFS(INDEX(Inputs!$D$4:$AG$150,0,MATCH(L$2,Inputs!$D$2:$AG$2,0)),Inputs!$B$4:$B$150,$B25)/1000)</f>
        <v>0</v>
      </c>
      <c r="M25" s="12">
        <f>IF(L25="","",L25)</f>
        <v>0</v>
      </c>
      <c r="N25" s="11">
        <f>IF(N$3=0,"",SUMIFS(INDEX(Inputs!$D$4:$AG$150,0,MATCH(N$2,Inputs!$D$2:$AG$2,0)),Inputs!$B$4:$B$150,$B25)/1000)</f>
        <v>0</v>
      </c>
      <c r="O25" s="11">
        <f>IF(O$3=0,"",SUMIFS(INDEX(Inputs!$D$4:$AG$150,0,MATCH(O$2,Inputs!$D$2:$AG$2,0)),Inputs!$B$4:$B$150,$B25)/1000)</f>
        <v>0</v>
      </c>
      <c r="P25" s="11">
        <f>IF(P$3=0,"",SUMIFS(INDEX(Inputs!$D$4:$AG$150,0,MATCH(P$2,Inputs!$D$2:$AG$2,0)),Inputs!$B$4:$B$150,$B25)/1000)</f>
        <v>0</v>
      </c>
      <c r="Q25" s="11">
        <f>IF(Q$3=0,"",SUMIFS(INDEX(Inputs!$D$4:$AG$150,0,MATCH(Q$2,Inputs!$D$2:$AG$2,0)),Inputs!$B$4:$B$150,$B25)/1000)</f>
        <v>0</v>
      </c>
      <c r="R25" s="12">
        <f>IF(Q25="","",Q25)</f>
        <v>0</v>
      </c>
      <c r="S25" s="11">
        <f>IF(S$3=0,"",SUMIFS(INDEX(Inputs!$D$4:$AG$150,0,MATCH(S$2,Inputs!$D$2:$AG$2,0)),Inputs!$B$4:$B$150,$B25)/1000)</f>
        <v>0</v>
      </c>
      <c r="T25" s="11">
        <f>IF(T$3=0,"",SUMIFS(INDEX(Inputs!$D$4:$AG$150,0,MATCH(T$2,Inputs!$D$2:$AG$2,0)),Inputs!$B$4:$B$150,$B25)/1000)</f>
        <v>0</v>
      </c>
      <c r="U25" s="11">
        <f>IF(U$3=0,"",SUMIFS(INDEX(Inputs!$D$4:$AG$150,0,MATCH(U$2,Inputs!$D$2:$AG$2,0)),Inputs!$B$4:$B$150,$B25)/1000)</f>
        <v>0</v>
      </c>
      <c r="V25" s="11">
        <f>IF(V$3=0,"",SUMIFS(INDEX(Inputs!$D$4:$AG$150,0,MATCH(V$2,Inputs!$D$2:$AG$2,0)),Inputs!$B$4:$B$150,$B25)/1000)</f>
        <v>0</v>
      </c>
      <c r="W25" s="12">
        <f>IF(V25="","",V25)</f>
        <v>0</v>
      </c>
      <c r="X25" s="11">
        <f>IF(X$3=0,"",SUMIFS(INDEX(Inputs!$D$4:$AG$150,0,MATCH(X$2,Inputs!$D$2:$AG$2,0)),Inputs!$B$4:$B$150,$B25)/1000)</f>
        <v>0</v>
      </c>
      <c r="Y25" s="11">
        <f>IF(Y$3=0,"",SUMIFS(INDEX(Inputs!$D$4:$AG$150,0,MATCH(Y$2,Inputs!$D$2:$AG$2,0)),Inputs!$B$4:$B$150,$B25)/1000)</f>
        <v>0</v>
      </c>
      <c r="Z25" s="11">
        <f>IF(Z$3=0,"",SUMIFS(INDEX(Inputs!$D$4:$AG$150,0,MATCH(Z$2,Inputs!$D$2:$AG$2,0)),Inputs!$B$4:$B$150,$B25)/1000)</f>
        <v>0</v>
      </c>
      <c r="AA25" s="11">
        <f>IF(AA$3=0,"",SUMIFS(INDEX(Inputs!$D$4:$AG$150,0,MATCH(AA$2,Inputs!$D$2:$AG$2,0)),Inputs!$B$4:$B$150,$B25)/1000)</f>
        <v>0</v>
      </c>
      <c r="AB25" s="12">
        <f>IF(AA25="","",AA25)</f>
        <v>0</v>
      </c>
      <c r="AC25" s="11">
        <f>IF(AC$3=0,"",SUMIFS(INDEX(Inputs!$D$4:$AG$150,0,MATCH(AC$2,Inputs!$D$2:$AG$2,0)),Inputs!$B$4:$B$150,$B25)/1000)</f>
        <v>0</v>
      </c>
      <c r="AD25" s="11">
        <f>IF(AD$3=0,"",SUMIFS(INDEX(Inputs!$D$4:$AG$150,0,MATCH(AD$2,Inputs!$D$2:$AG$2,0)),Inputs!$B$4:$B$150,$B25)/1000)</f>
        <v>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29000.087</v>
      </c>
      <c r="E26" s="11">
        <f>IF(E$3=0,"",SUMIFS(INDEX(Inputs!$D$4:$AG$150,0,MATCH(E$2,Inputs!$D$2:$AG$2,0)),Inputs!$B$4:$B$150,$B26)/1000)</f>
        <v>30259.256</v>
      </c>
      <c r="F26" s="11">
        <f>IF(F$3=0,"",SUMIFS(INDEX(Inputs!$D$4:$AG$150,0,MATCH(F$2,Inputs!$D$2:$AG$2,0)),Inputs!$B$4:$B$150,$B26)/1000)</f>
        <v>32103.956</v>
      </c>
      <c r="G26" s="11">
        <f>IF(G$3=0,"",SUMIFS(INDEX(Inputs!$D$4:$AG$150,0,MATCH(G$2,Inputs!$D$2:$AG$2,0)),Inputs!$B$4:$B$150,$B26)/1000)</f>
        <v>35191.385</v>
      </c>
      <c r="H26" s="12">
        <f>IF(G26="","",G26)</f>
        <v>35191.385</v>
      </c>
      <c r="I26" s="11">
        <f>IF(I$3=0,"",SUMIFS(INDEX(Inputs!$D$4:$AG$150,0,MATCH(I$2,Inputs!$D$2:$AG$2,0)),Inputs!$B$4:$B$150,$B26)/1000)</f>
        <v>35849.126</v>
      </c>
      <c r="J26" s="11">
        <f>IF(J$3=0,"",SUMIFS(INDEX(Inputs!$D$4:$AG$150,0,MATCH(J$2,Inputs!$D$2:$AG$2,0)),Inputs!$B$4:$B$150,$B26)/1000)</f>
        <v>37148.237</v>
      </c>
      <c r="K26" s="11">
        <f>IF(K$3=0,"",SUMIFS(INDEX(Inputs!$D$4:$AG$150,0,MATCH(K$2,Inputs!$D$2:$AG$2,0)),Inputs!$B$4:$B$150,$B26)/1000)</f>
        <v>37372.53</v>
      </c>
      <c r="L26" s="11">
        <f>IF(L$3=0,"",SUMIFS(INDEX(Inputs!$D$4:$AG$150,0,MATCH(L$2,Inputs!$D$2:$AG$2,0)),Inputs!$B$4:$B$150,$B26)/1000)</f>
        <v>37930.038</v>
      </c>
      <c r="M26" s="12">
        <f>IF(L26="","",L26)</f>
        <v>37930.038</v>
      </c>
      <c r="N26" s="11">
        <f>IF(N$3=0,"",SUMIFS(INDEX(Inputs!$D$4:$AG$150,0,MATCH(N$2,Inputs!$D$2:$AG$2,0)),Inputs!$B$4:$B$150,$B26)/1000)</f>
        <v>37594.628</v>
      </c>
      <c r="O26" s="11">
        <f>IF(O$3=0,"",SUMIFS(INDEX(Inputs!$D$4:$AG$150,0,MATCH(O$2,Inputs!$D$2:$AG$2,0)),Inputs!$B$4:$B$150,$B26)/1000)</f>
        <v>37839.169</v>
      </c>
      <c r="P26" s="11">
        <f>IF(P$3=0,"",SUMIFS(INDEX(Inputs!$D$4:$AG$150,0,MATCH(P$2,Inputs!$D$2:$AG$2,0)),Inputs!$B$4:$B$150,$B26)/1000)</f>
        <v>37223.921</v>
      </c>
      <c r="Q26" s="11">
        <f>IF(Q$3=0,"",SUMIFS(INDEX(Inputs!$D$4:$AG$150,0,MATCH(Q$2,Inputs!$D$2:$AG$2,0)),Inputs!$B$4:$B$150,$B26)/1000)</f>
        <v>37322.415</v>
      </c>
      <c r="R26" s="12">
        <f>IF(Q26="","",Q26)</f>
        <v>37322.415</v>
      </c>
      <c r="S26" s="11">
        <f>IF(S$3=0,"",SUMIFS(INDEX(Inputs!$D$4:$AG$150,0,MATCH(S$2,Inputs!$D$2:$AG$2,0)),Inputs!$B$4:$B$150,$B26)/1000)</f>
        <v>37405.24</v>
      </c>
      <c r="T26" s="11">
        <f>IF(T$3=0,"",SUMIFS(INDEX(Inputs!$D$4:$AG$150,0,MATCH(T$2,Inputs!$D$2:$AG$2,0)),Inputs!$B$4:$B$150,$B26)/1000)</f>
        <v>37972.384</v>
      </c>
      <c r="U26" s="11">
        <f>IF(U$3=0,"",SUMIFS(INDEX(Inputs!$D$4:$AG$150,0,MATCH(U$2,Inputs!$D$2:$AG$2,0)),Inputs!$B$4:$B$150,$B26)/1000)</f>
        <v>38584.533</v>
      </c>
      <c r="V26" s="11">
        <f>IF(V$3=0,"",SUMIFS(INDEX(Inputs!$D$4:$AG$150,0,MATCH(V$2,Inputs!$D$2:$AG$2,0)),Inputs!$B$4:$B$150,$B26)/1000)</f>
        <v>38936.239</v>
      </c>
      <c r="W26" s="12">
        <f>IF(V26="","",V26)</f>
        <v>38936.239</v>
      </c>
      <c r="X26" s="11">
        <f>IF(X$3=0,"",SUMIFS(INDEX(Inputs!$D$4:$AG$150,0,MATCH(X$2,Inputs!$D$2:$AG$2,0)),Inputs!$B$4:$B$150,$B26)/1000)</f>
        <v>38745.666</v>
      </c>
      <c r="Y26" s="11">
        <f>IF(Y$3=0,"",SUMIFS(INDEX(Inputs!$D$4:$AG$150,0,MATCH(Y$2,Inputs!$D$2:$AG$2,0)),Inputs!$B$4:$B$150,$B26)/1000)</f>
        <v>39362.992</v>
      </c>
      <c r="Z26" s="11">
        <f>IF(Z$3=0,"",SUMIFS(INDEX(Inputs!$D$4:$AG$150,0,MATCH(Z$2,Inputs!$D$2:$AG$2,0)),Inputs!$B$4:$B$150,$B26)/1000)</f>
        <v>40134.011</v>
      </c>
      <c r="AA26" s="11">
        <f>IF(AA$3=0,"",SUMIFS(INDEX(Inputs!$D$4:$AG$150,0,MATCH(AA$2,Inputs!$D$2:$AG$2,0)),Inputs!$B$4:$B$150,$B26)/1000)</f>
        <v>40572.452</v>
      </c>
      <c r="AB26" s="12">
        <f>IF(AA26="","",AA26)</f>
        <v>40572.452</v>
      </c>
      <c r="AC26" s="11">
        <f>IF(AC$3=0,"",SUMIFS(INDEX(Inputs!$D$4:$AG$150,0,MATCH(AC$2,Inputs!$D$2:$AG$2,0)),Inputs!$B$4:$B$150,$B26)/1000)</f>
        <v>41797.103</v>
      </c>
      <c r="AD26" s="11">
        <f>IF(AD$3=0,"",SUMIFS(INDEX(Inputs!$D$4:$AG$150,0,MATCH(AD$2,Inputs!$D$2:$AG$2,0)),Inputs!$B$4:$B$150,$B26)/1000)</f>
        <v>42198.29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532.942</v>
      </c>
      <c r="E28" s="11">
        <f>IF(E$3=0,"",SUMIFS(INDEX(Inputs!$D$4:$AG$150,0,MATCH(E$2,Inputs!$D$2:$AG$2,0)),Inputs!$B$4:$B$150,$B28)/1000)</f>
        <v>622.931</v>
      </c>
      <c r="F28" s="11">
        <f>IF(F$3=0,"",SUMIFS(INDEX(Inputs!$D$4:$AG$150,0,MATCH(F$2,Inputs!$D$2:$AG$2,0)),Inputs!$B$4:$B$150,$B28)/1000)</f>
        <v>643.059</v>
      </c>
      <c r="G28" s="11">
        <f>IF(G$3=0,"",SUMIFS(INDEX(Inputs!$D$4:$AG$150,0,MATCH(G$2,Inputs!$D$2:$AG$2,0)),Inputs!$B$4:$B$150,$B28)/1000)</f>
        <v>837.483</v>
      </c>
      <c r="H28" s="12">
        <f>IF(G28="","",G28)</f>
        <v>837.483</v>
      </c>
      <c r="I28" s="11">
        <f>IF(I$3=0,"",SUMIFS(INDEX(Inputs!$D$4:$AG$150,0,MATCH(I$2,Inputs!$D$2:$AG$2,0)),Inputs!$B$4:$B$150,$B28)/1000)</f>
        <v>617.202</v>
      </c>
      <c r="J28" s="11">
        <f>IF(J$3=0,"",SUMIFS(INDEX(Inputs!$D$4:$AG$150,0,MATCH(J$2,Inputs!$D$2:$AG$2,0)),Inputs!$B$4:$B$150,$B28)/1000)</f>
        <v>504.278</v>
      </c>
      <c r="K28" s="11">
        <f>IF(K$3=0,"",SUMIFS(INDEX(Inputs!$D$4:$AG$150,0,MATCH(K$2,Inputs!$D$2:$AG$2,0)),Inputs!$B$4:$B$150,$B28)/1000)</f>
        <v>560.156</v>
      </c>
      <c r="L28" s="11">
        <f>IF(L$3=0,"",SUMIFS(INDEX(Inputs!$D$4:$AG$150,0,MATCH(L$2,Inputs!$D$2:$AG$2,0)),Inputs!$B$4:$B$150,$B28)/1000)</f>
        <v>671.513</v>
      </c>
      <c r="M28" s="12">
        <f>IF(L28="","",L28)</f>
        <v>671.513</v>
      </c>
      <c r="N28" s="11">
        <f>IF(N$3=0,"",SUMIFS(INDEX(Inputs!$D$4:$AG$150,0,MATCH(N$2,Inputs!$D$2:$AG$2,0)),Inputs!$B$4:$B$150,$B28)/1000)</f>
        <v>591.987</v>
      </c>
      <c r="O28" s="11">
        <f>IF(O$3=0,"",SUMIFS(INDEX(Inputs!$D$4:$AG$150,0,MATCH(O$2,Inputs!$D$2:$AG$2,0)),Inputs!$B$4:$B$150,$B28)/1000)</f>
        <v>615.374</v>
      </c>
      <c r="P28" s="11">
        <f>IF(P$3=0,"",SUMIFS(INDEX(Inputs!$D$4:$AG$150,0,MATCH(P$2,Inputs!$D$2:$AG$2,0)),Inputs!$B$4:$B$150,$B28)/1000)</f>
        <v>534.429</v>
      </c>
      <c r="Q28" s="11">
        <f>IF(Q$3=0,"",SUMIFS(INDEX(Inputs!$D$4:$AG$150,0,MATCH(Q$2,Inputs!$D$2:$AG$2,0)),Inputs!$B$4:$B$150,$B28)/1000)</f>
        <v>747.412</v>
      </c>
      <c r="R28" s="12">
        <f>IF(Q28="","",Q28)</f>
        <v>747.412</v>
      </c>
      <c r="S28" s="11">
        <f>IF(S$3=0,"",SUMIFS(INDEX(Inputs!$D$4:$AG$150,0,MATCH(S$2,Inputs!$D$2:$AG$2,0)),Inputs!$B$4:$B$150,$B28)/1000)</f>
        <v>607.348</v>
      </c>
      <c r="T28" s="11">
        <f>IF(T$3=0,"",SUMIFS(INDEX(Inputs!$D$4:$AG$150,0,MATCH(T$2,Inputs!$D$2:$AG$2,0)),Inputs!$B$4:$B$150,$B28)/1000)</f>
        <v>598.557</v>
      </c>
      <c r="U28" s="11">
        <f>IF(U$3=0,"",SUMIFS(INDEX(Inputs!$D$4:$AG$150,0,MATCH(U$2,Inputs!$D$2:$AG$2,0)),Inputs!$B$4:$B$150,$B28)/1000)</f>
        <v>641.953</v>
      </c>
      <c r="V28" s="11">
        <f>IF(V$3=0,"",SUMIFS(INDEX(Inputs!$D$4:$AG$150,0,MATCH(V$2,Inputs!$D$2:$AG$2,0)),Inputs!$B$4:$B$150,$B28)/1000)</f>
        <v>899.909</v>
      </c>
      <c r="W28" s="12">
        <f>IF(V28="","",V28)</f>
        <v>899.909</v>
      </c>
      <c r="X28" s="11">
        <f>IF(X$3=0,"",SUMIFS(INDEX(Inputs!$D$4:$AG$150,0,MATCH(X$2,Inputs!$D$2:$AG$2,0)),Inputs!$B$4:$B$150,$B28)/1000)</f>
        <v>614.489</v>
      </c>
      <c r="Y28" s="11">
        <f>IF(Y$3=0,"",SUMIFS(INDEX(Inputs!$D$4:$AG$150,0,MATCH(Y$2,Inputs!$D$2:$AG$2,0)),Inputs!$B$4:$B$150,$B28)/1000)</f>
        <v>632.718</v>
      </c>
      <c r="Z28" s="11">
        <f>IF(Z$3=0,"",SUMIFS(INDEX(Inputs!$D$4:$AG$150,0,MATCH(Z$2,Inputs!$D$2:$AG$2,0)),Inputs!$B$4:$B$150,$B28)/1000)</f>
        <v>793.233</v>
      </c>
      <c r="AA28" s="11">
        <f>IF(AA$3=0,"",SUMIFS(INDEX(Inputs!$D$4:$AG$150,0,MATCH(AA$2,Inputs!$D$2:$AG$2,0)),Inputs!$B$4:$B$150,$B28)/1000)</f>
        <v>900.612</v>
      </c>
      <c r="AB28" s="12">
        <f>IF(AA28="","",AA28)</f>
        <v>900.612</v>
      </c>
      <c r="AC28" s="11">
        <f>IF(AC$3=0,"",SUMIFS(INDEX(Inputs!$D$4:$AG$150,0,MATCH(AC$2,Inputs!$D$2:$AG$2,0)),Inputs!$B$4:$B$150,$B28)/1000)</f>
        <v>894.681</v>
      </c>
      <c r="AD28" s="11">
        <f>IF(AD$3=0,"",SUMIFS(INDEX(Inputs!$D$4:$AG$150,0,MATCH(AD$2,Inputs!$D$2:$AG$2,0)),Inputs!$B$4:$B$150,$B28)/1000)</f>
        <v>814.551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1291.812</v>
      </c>
      <c r="E29" s="11">
        <f>IF(E$3=0,"",SUMIFS(INDEX(Inputs!$D$4:$AG$150,0,MATCH(E$2,Inputs!$D$2:$AG$2,0)),Inputs!$B$4:$B$150,$B29)/1000)</f>
        <v>1125.591</v>
      </c>
      <c r="F29" s="11">
        <f>IF(F$3=0,"",SUMIFS(INDEX(Inputs!$D$4:$AG$150,0,MATCH(F$2,Inputs!$D$2:$AG$2,0)),Inputs!$B$4:$B$150,$B29)/1000)</f>
        <v>1413.12</v>
      </c>
      <c r="G29" s="11">
        <f>IF(G$3=0,"",SUMIFS(INDEX(Inputs!$D$4:$AG$150,0,MATCH(G$2,Inputs!$D$2:$AG$2,0)),Inputs!$B$4:$B$150,$B29)/1000)</f>
        <v>1449.351</v>
      </c>
      <c r="H29" s="12">
        <f>IF(G29="","",G29)</f>
        <v>1449.351</v>
      </c>
      <c r="I29" s="11">
        <f>IF(I$3=0,"",SUMIFS(INDEX(Inputs!$D$4:$AG$150,0,MATCH(I$2,Inputs!$D$2:$AG$2,0)),Inputs!$B$4:$B$150,$B29)/1000)</f>
        <v>1817.117</v>
      </c>
      <c r="J29" s="11">
        <f>IF(J$3=0,"",SUMIFS(INDEX(Inputs!$D$4:$AG$150,0,MATCH(J$2,Inputs!$D$2:$AG$2,0)),Inputs!$B$4:$B$150,$B29)/1000)</f>
        <v>1596.035</v>
      </c>
      <c r="K29" s="11">
        <f>IF(K$3=0,"",SUMIFS(INDEX(Inputs!$D$4:$AG$150,0,MATCH(K$2,Inputs!$D$2:$AG$2,0)),Inputs!$B$4:$B$150,$B29)/1000)</f>
        <v>1803.555</v>
      </c>
      <c r="L29" s="11">
        <f>IF(L$3=0,"",SUMIFS(INDEX(Inputs!$D$4:$AG$150,0,MATCH(L$2,Inputs!$D$2:$AG$2,0)),Inputs!$B$4:$B$150,$B29)/1000)</f>
        <v>1514.65</v>
      </c>
      <c r="M29" s="12">
        <f>IF(L29="","",L29)</f>
        <v>1514.65</v>
      </c>
      <c r="N29" s="11">
        <f>IF(N$3=0,"",SUMIFS(INDEX(Inputs!$D$4:$AG$150,0,MATCH(N$2,Inputs!$D$2:$AG$2,0)),Inputs!$B$4:$B$150,$B29)/1000)</f>
        <v>1718.069</v>
      </c>
      <c r="O29" s="11">
        <f>IF(O$3=0,"",SUMIFS(INDEX(Inputs!$D$4:$AG$150,0,MATCH(O$2,Inputs!$D$2:$AG$2,0)),Inputs!$B$4:$B$150,$B29)/1000)</f>
        <v>1908.714</v>
      </c>
      <c r="P29" s="11">
        <f>IF(P$3=0,"",SUMIFS(INDEX(Inputs!$D$4:$AG$150,0,MATCH(P$2,Inputs!$D$2:$AG$2,0)),Inputs!$B$4:$B$150,$B29)/1000)</f>
        <v>1838.908</v>
      </c>
      <c r="Q29" s="11">
        <f>IF(Q$3=0,"",SUMIFS(INDEX(Inputs!$D$4:$AG$150,0,MATCH(Q$2,Inputs!$D$2:$AG$2,0)),Inputs!$B$4:$B$150,$B29)/1000)</f>
        <v>1803.96</v>
      </c>
      <c r="R29" s="12">
        <f>IF(Q29="","",Q29)</f>
        <v>1803.96</v>
      </c>
      <c r="S29" s="11">
        <f>IF(S$3=0,"",SUMIFS(INDEX(Inputs!$D$4:$AG$150,0,MATCH(S$2,Inputs!$D$2:$AG$2,0)),Inputs!$B$4:$B$150,$B29)/1000)</f>
        <v>1977.428</v>
      </c>
      <c r="T29" s="11">
        <f>IF(T$3=0,"",SUMIFS(INDEX(Inputs!$D$4:$AG$150,0,MATCH(T$2,Inputs!$D$2:$AG$2,0)),Inputs!$B$4:$B$150,$B29)/1000)</f>
        <v>1876.244</v>
      </c>
      <c r="U29" s="11">
        <f>IF(U$3=0,"",SUMIFS(INDEX(Inputs!$D$4:$AG$150,0,MATCH(U$2,Inputs!$D$2:$AG$2,0)),Inputs!$B$4:$B$150,$B29)/1000)</f>
        <v>2241.758</v>
      </c>
      <c r="V29" s="11">
        <f>IF(V$3=0,"",SUMIFS(INDEX(Inputs!$D$4:$AG$150,0,MATCH(V$2,Inputs!$D$2:$AG$2,0)),Inputs!$B$4:$B$150,$B29)/1000)</f>
        <v>2156.544</v>
      </c>
      <c r="W29" s="12">
        <f>IF(V29="","",V29)</f>
        <v>2156.544</v>
      </c>
      <c r="X29" s="11">
        <f>IF(X$3=0,"",SUMIFS(INDEX(Inputs!$D$4:$AG$150,0,MATCH(X$2,Inputs!$D$2:$AG$2,0)),Inputs!$B$4:$B$150,$B29)/1000)</f>
        <v>2359.518</v>
      </c>
      <c r="Y29" s="11">
        <f>IF(Y$3=0,"",SUMIFS(INDEX(Inputs!$D$4:$AG$150,0,MATCH(Y$2,Inputs!$D$2:$AG$2,0)),Inputs!$B$4:$B$150,$B29)/1000)</f>
        <v>2489.486</v>
      </c>
      <c r="Z29" s="11">
        <f>IF(Z$3=0,"",SUMIFS(INDEX(Inputs!$D$4:$AG$150,0,MATCH(Z$2,Inputs!$D$2:$AG$2,0)),Inputs!$B$4:$B$150,$B29)/1000)</f>
        <v>3111.311</v>
      </c>
      <c r="AA29" s="11">
        <f>IF(AA$3=0,"",SUMIFS(INDEX(Inputs!$D$4:$AG$150,0,MATCH(AA$2,Inputs!$D$2:$AG$2,0)),Inputs!$B$4:$B$150,$B29)/1000)</f>
        <v>3220.869</v>
      </c>
      <c r="AB29" s="12">
        <f>IF(AA29="","",AA29)</f>
        <v>3220.869</v>
      </c>
      <c r="AC29" s="11">
        <f>IF(AC$3=0,"",SUMIFS(INDEX(Inputs!$D$4:$AG$150,0,MATCH(AC$2,Inputs!$D$2:$AG$2,0)),Inputs!$B$4:$B$150,$B29)/1000)</f>
        <v>4441.986</v>
      </c>
      <c r="AD29" s="11">
        <f>IF(AD$3=0,"",SUMIFS(INDEX(Inputs!$D$4:$AG$150,0,MATCH(AD$2,Inputs!$D$2:$AG$2,0)),Inputs!$B$4:$B$150,$B29)/1000)</f>
        <v>3172.611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5438.228</v>
      </c>
      <c r="E31" s="11">
        <f>IF(E$3=0,"",SUMIFS(INDEX(Inputs!$D$4:$AG$150,0,MATCH(E$2,Inputs!$D$2:$AG$2,0)),Inputs!$B$4:$B$150,$B31)/1000)</f>
        <v>5385.238</v>
      </c>
      <c r="F31" s="11">
        <f>IF(F$3=0,"",SUMIFS(INDEX(Inputs!$D$4:$AG$150,0,MATCH(F$2,Inputs!$D$2:$AG$2,0)),Inputs!$B$4:$B$150,$B31)/1000)</f>
        <v>5293.594</v>
      </c>
      <c r="G31" s="11">
        <f>IF(G$3=0,"",SUMIFS(INDEX(Inputs!$D$4:$AG$150,0,MATCH(G$2,Inputs!$D$2:$AG$2,0)),Inputs!$B$4:$B$150,$B31)/1000)</f>
        <v>5502.309</v>
      </c>
      <c r="H31" s="12">
        <f>IF(G31="","",G31)</f>
        <v>5502.309</v>
      </c>
      <c r="I31" s="11">
        <f>IF(I$3=0,"",SUMIFS(INDEX(Inputs!$D$4:$AG$150,0,MATCH(I$2,Inputs!$D$2:$AG$2,0)),Inputs!$B$4:$B$150,$B31)/1000)</f>
        <v>5305.337</v>
      </c>
      <c r="J31" s="11">
        <f>IF(J$3=0,"",SUMIFS(INDEX(Inputs!$D$4:$AG$150,0,MATCH(J$2,Inputs!$D$2:$AG$2,0)),Inputs!$B$4:$B$150,$B31)/1000)</f>
        <v>5399.709</v>
      </c>
      <c r="K31" s="11">
        <f>IF(K$3=0,"",SUMIFS(INDEX(Inputs!$D$4:$AG$150,0,MATCH(K$2,Inputs!$D$2:$AG$2,0)),Inputs!$B$4:$B$150,$B31)/1000)</f>
        <v>5402.213</v>
      </c>
      <c r="L31" s="11">
        <f>IF(L$3=0,"",SUMIFS(INDEX(Inputs!$D$4:$AG$150,0,MATCH(L$2,Inputs!$D$2:$AG$2,0)),Inputs!$B$4:$B$150,$B31)/1000)</f>
        <v>5744.811</v>
      </c>
      <c r="M31" s="12">
        <f>IF(L31="","",L31)</f>
        <v>5744.811</v>
      </c>
      <c r="N31" s="11">
        <f>IF(N$3=0,"",SUMIFS(INDEX(Inputs!$D$4:$AG$150,0,MATCH(N$2,Inputs!$D$2:$AG$2,0)),Inputs!$B$4:$B$150,$B31)/1000)</f>
        <v>5606.851</v>
      </c>
      <c r="O31" s="11">
        <f>IF(O$3=0,"",SUMIFS(INDEX(Inputs!$D$4:$AG$150,0,MATCH(O$2,Inputs!$D$2:$AG$2,0)),Inputs!$B$4:$B$150,$B31)/1000)</f>
        <v>5752.33</v>
      </c>
      <c r="P31" s="11">
        <f>IF(P$3=0,"",SUMIFS(INDEX(Inputs!$D$4:$AG$150,0,MATCH(P$2,Inputs!$D$2:$AG$2,0)),Inputs!$B$4:$B$150,$B31)/1000)</f>
        <v>5565.767</v>
      </c>
      <c r="Q31" s="11">
        <f>IF(Q$3=0,"",SUMIFS(INDEX(Inputs!$D$4:$AG$150,0,MATCH(Q$2,Inputs!$D$2:$AG$2,0)),Inputs!$B$4:$B$150,$B31)/1000)</f>
        <v>5909.439</v>
      </c>
      <c r="R31" s="12">
        <f>IF(Q31="","",Q31)</f>
        <v>5909.439</v>
      </c>
      <c r="S31" s="11">
        <f>IF(S$3=0,"",SUMIFS(INDEX(Inputs!$D$4:$AG$150,0,MATCH(S$2,Inputs!$D$2:$AG$2,0)),Inputs!$B$4:$B$150,$B31)/1000)</f>
        <v>5905.505</v>
      </c>
      <c r="T31" s="11">
        <f>IF(T$3=0,"",SUMIFS(INDEX(Inputs!$D$4:$AG$150,0,MATCH(T$2,Inputs!$D$2:$AG$2,0)),Inputs!$B$4:$B$150,$B31)/1000)</f>
        <v>5865.157</v>
      </c>
      <c r="U31" s="11">
        <f>IF(U$3=0,"",SUMIFS(INDEX(Inputs!$D$4:$AG$150,0,MATCH(U$2,Inputs!$D$2:$AG$2,0)),Inputs!$B$4:$B$150,$B31)/1000)</f>
        <v>6003.019</v>
      </c>
      <c r="V31" s="11">
        <f>IF(V$3=0,"",SUMIFS(INDEX(Inputs!$D$4:$AG$150,0,MATCH(V$2,Inputs!$D$2:$AG$2,0)),Inputs!$B$4:$B$150,$B31)/1000)</f>
        <v>5914.494</v>
      </c>
      <c r="W31" s="12">
        <f>IF(V31="","",V31)</f>
        <v>5914.494</v>
      </c>
      <c r="X31" s="11">
        <f>IF(X$3=0,"",SUMIFS(INDEX(Inputs!$D$4:$AG$150,0,MATCH(X$2,Inputs!$D$2:$AG$2,0)),Inputs!$B$4:$B$150,$B31)/1000)</f>
        <v>5738.631</v>
      </c>
      <c r="Y31" s="11">
        <f>IF(Y$3=0,"",SUMIFS(INDEX(Inputs!$D$4:$AG$150,0,MATCH(Y$2,Inputs!$D$2:$AG$2,0)),Inputs!$B$4:$B$150,$B31)/1000)</f>
        <v>5820.131</v>
      </c>
      <c r="Z31" s="11">
        <f>IF(Z$3=0,"",SUMIFS(INDEX(Inputs!$D$4:$AG$150,0,MATCH(Z$2,Inputs!$D$2:$AG$2,0)),Inputs!$B$4:$B$150,$B31)/1000)</f>
        <v>5827.315</v>
      </c>
      <c r="AA31" s="11">
        <f>IF(AA$3=0,"",SUMIFS(INDEX(Inputs!$D$4:$AG$150,0,MATCH(AA$2,Inputs!$D$2:$AG$2,0)),Inputs!$B$4:$B$150,$B31)/1000)</f>
        <v>5860.584</v>
      </c>
      <c r="AB31" s="12">
        <f>IF(AA31="","",AA31)</f>
        <v>5860.584</v>
      </c>
      <c r="AC31" s="11">
        <f>IF(AC$3=0,"",SUMIFS(INDEX(Inputs!$D$4:$AG$150,0,MATCH(AC$2,Inputs!$D$2:$AG$2,0)),Inputs!$B$4:$B$150,$B31)/1000)</f>
        <v>5795.726</v>
      </c>
      <c r="AD31" s="11">
        <f>IF(AD$3=0,"",SUMIFS(INDEX(Inputs!$D$4:$AG$150,0,MATCH(AD$2,Inputs!$D$2:$AG$2,0)),Inputs!$B$4:$B$150,$B31)/1000)</f>
        <v>5663.978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698.788</v>
      </c>
      <c r="E32" s="11">
        <f>IF(E$3=0,"",SUMIFS(INDEX(Inputs!$D$4:$AG$150,0,MATCH(E$2,Inputs!$D$2:$AG$2,0)),Inputs!$B$4:$B$150,$B32)/1000)</f>
        <v>699.128</v>
      </c>
      <c r="F32" s="11">
        <f>IF(F$3=0,"",SUMIFS(INDEX(Inputs!$D$4:$AG$150,0,MATCH(F$2,Inputs!$D$2:$AG$2,0)),Inputs!$B$4:$B$150,$B32)/1000)</f>
        <v>699.473</v>
      </c>
      <c r="G32" s="11">
        <f>IF(G$3=0,"",SUMIFS(INDEX(Inputs!$D$4:$AG$150,0,MATCH(G$2,Inputs!$D$2:$AG$2,0)),Inputs!$B$4:$B$150,$B32)/1000)</f>
        <v>699.823</v>
      </c>
      <c r="H32" s="12">
        <f>IF(G32="","",G32)</f>
        <v>699.823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399.163</v>
      </c>
      <c r="O32" s="11">
        <f>IF(O$3=0,"",SUMIFS(INDEX(Inputs!$D$4:$AG$150,0,MATCH(O$2,Inputs!$D$2:$AG$2,0)),Inputs!$B$4:$B$150,$B32)/1000)</f>
        <v>399.387</v>
      </c>
      <c r="P32" s="11">
        <f>IF(P$3=0,"",SUMIFS(INDEX(Inputs!$D$4:$AG$150,0,MATCH(P$2,Inputs!$D$2:$AG$2,0)),Inputs!$B$4:$B$150,$B32)/1000)</f>
        <v>399.614</v>
      </c>
      <c r="Q32" s="11">
        <f>IF(Q$3=0,"",SUMIFS(INDEX(Inputs!$D$4:$AG$150,0,MATCH(Q$2,Inputs!$D$2:$AG$2,0)),Inputs!$B$4:$B$150,$B32)/1000)</f>
        <v>399.844</v>
      </c>
      <c r="R32" s="12">
        <f>IF(Q32="","",Q32)</f>
        <v>399.844</v>
      </c>
      <c r="S32" s="11">
        <f>IF(S$3=0,"",SUMIFS(INDEX(Inputs!$D$4:$AG$150,0,MATCH(S$2,Inputs!$D$2:$AG$2,0)),Inputs!$B$4:$B$150,$B32)/1000)</f>
        <v>798.936</v>
      </c>
      <c r="T32" s="11">
        <f>IF(T$3=0,"",SUMIFS(INDEX(Inputs!$D$4:$AG$150,0,MATCH(T$2,Inputs!$D$2:$AG$2,0)),Inputs!$B$4:$B$150,$B32)/1000)</f>
        <v>1800.041</v>
      </c>
      <c r="U32" s="11">
        <f>IF(U$3=0,"",SUMIFS(INDEX(Inputs!$D$4:$AG$150,0,MATCH(U$2,Inputs!$D$2:$AG$2,0)),Inputs!$B$4:$B$150,$B32)/1000)</f>
        <v>1820.396</v>
      </c>
      <c r="V32" s="11">
        <f>IF(V$3=0,"",SUMIFS(INDEX(Inputs!$D$4:$AG$150,0,MATCH(V$2,Inputs!$D$2:$AG$2,0)),Inputs!$B$4:$B$150,$B32)/1000)</f>
        <v>1784.453</v>
      </c>
      <c r="W32" s="12">
        <f>IF(V32="","",V32)</f>
        <v>1784.453</v>
      </c>
      <c r="X32" s="11">
        <f>IF(X$3=0,"",SUMIFS(INDEX(Inputs!$D$4:$AG$150,0,MATCH(X$2,Inputs!$D$2:$AG$2,0)),Inputs!$B$4:$B$150,$B32)/1000)</f>
        <v>1005.881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998.865</v>
      </c>
      <c r="AB32" s="12">
        <f>IF(AA32="","",AA32)</f>
        <v>998.865</v>
      </c>
      <c r="AC32" s="11">
        <f>IF(AC$3=0,"",SUMIFS(INDEX(Inputs!$D$4:$AG$150,0,MATCH(AC$2,Inputs!$D$2:$AG$2,0)),Inputs!$B$4:$B$150,$B32)/1000)</f>
        <v>999.185</v>
      </c>
      <c r="AD32" s="11">
        <f>IF(AD$3=0,"",SUMIFS(INDEX(Inputs!$D$4:$AG$150,0,MATCH(AD$2,Inputs!$D$2:$AG$2,0)),Inputs!$B$4:$B$150,$B32)/1000)</f>
        <v>2483.758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14860.552</v>
      </c>
      <c r="E35" s="11">
        <f>IF(E$3=0,"",SUMIFS(INDEX(Inputs!$D$4:$AG$150,0,MATCH(E$2,Inputs!$D$2:$AG$2,0)),Inputs!$B$4:$B$150,$B35)/1000)</f>
        <v>14926.889</v>
      </c>
      <c r="F35" s="11">
        <f>IF(F$3=0,"",SUMIFS(INDEX(Inputs!$D$4:$AG$150,0,MATCH(F$2,Inputs!$D$2:$AG$2,0)),Inputs!$B$4:$B$150,$B35)/1000)</f>
        <v>14793.691</v>
      </c>
      <c r="G35" s="11">
        <f>IF(G$3=0,"",SUMIFS(INDEX(Inputs!$D$4:$AG$150,0,MATCH(G$2,Inputs!$D$2:$AG$2,0)),Inputs!$B$4:$B$150,$B35)/1000)</f>
        <v>14693.072</v>
      </c>
      <c r="H35" s="12">
        <f>IF(G35="","",G35)</f>
        <v>14693.072</v>
      </c>
      <c r="I35" s="11">
        <f>IF(I$3=0,"",SUMIFS(INDEX(Inputs!$D$4:$AG$150,0,MATCH(I$2,Inputs!$D$2:$AG$2,0)),Inputs!$B$4:$B$150,$B35)/1000)</f>
        <v>14534.561</v>
      </c>
      <c r="J35" s="11">
        <f>IF(J$3=0,"",SUMIFS(INDEX(Inputs!$D$4:$AG$150,0,MATCH(J$2,Inputs!$D$2:$AG$2,0)),Inputs!$B$4:$B$150,$B35)/1000)</f>
        <v>14233.303</v>
      </c>
      <c r="K35" s="11">
        <f>IF(K$3=0,"",SUMIFS(INDEX(Inputs!$D$4:$AG$150,0,MATCH(K$2,Inputs!$D$2:$AG$2,0)),Inputs!$B$4:$B$150,$B35)/1000)</f>
        <v>13888.117</v>
      </c>
      <c r="L35" s="11">
        <f>IF(L$3=0,"",SUMIFS(INDEX(Inputs!$D$4:$AG$150,0,MATCH(L$2,Inputs!$D$2:$AG$2,0)),Inputs!$B$4:$B$150,$B35)/1000)</f>
        <v>14353.076</v>
      </c>
      <c r="M35" s="12">
        <f>IF(L35="","",L35)</f>
        <v>14353.076</v>
      </c>
      <c r="N35" s="11">
        <f>IF(N$3=0,"",SUMIFS(INDEX(Inputs!$D$4:$AG$150,0,MATCH(N$2,Inputs!$D$2:$AG$2,0)),Inputs!$B$4:$B$150,$B35)/1000)</f>
        <v>14037.965</v>
      </c>
      <c r="O35" s="11">
        <f>IF(O$3=0,"",SUMIFS(INDEX(Inputs!$D$4:$AG$150,0,MATCH(O$2,Inputs!$D$2:$AG$2,0)),Inputs!$B$4:$B$150,$B35)/1000)</f>
        <v>14070.151</v>
      </c>
      <c r="P35" s="11">
        <f>IF(P$3=0,"",SUMIFS(INDEX(Inputs!$D$4:$AG$150,0,MATCH(P$2,Inputs!$D$2:$AG$2,0)),Inputs!$B$4:$B$150,$B35)/1000)</f>
        <v>13900.754</v>
      </c>
      <c r="Q35" s="11">
        <f>IF(Q$3=0,"",SUMIFS(INDEX(Inputs!$D$4:$AG$150,0,MATCH(Q$2,Inputs!$D$2:$AG$2,0)),Inputs!$B$4:$B$150,$B35)/1000)</f>
        <v>14143.417</v>
      </c>
      <c r="R35" s="12">
        <f>IF(Q35="","",Q35)</f>
        <v>14143.417</v>
      </c>
      <c r="S35" s="11">
        <f>IF(S$3=0,"",SUMIFS(INDEX(Inputs!$D$4:$AG$150,0,MATCH(S$2,Inputs!$D$2:$AG$2,0)),Inputs!$B$4:$B$150,$B35)/1000)</f>
        <v>13217.038</v>
      </c>
      <c r="T35" s="11">
        <f>IF(T$3=0,"",SUMIFS(INDEX(Inputs!$D$4:$AG$150,0,MATCH(T$2,Inputs!$D$2:$AG$2,0)),Inputs!$B$4:$B$150,$B35)/1000)</f>
        <v>12180.024</v>
      </c>
      <c r="U35" s="11">
        <f>IF(U$3=0,"",SUMIFS(INDEX(Inputs!$D$4:$AG$150,0,MATCH(U$2,Inputs!$D$2:$AG$2,0)),Inputs!$B$4:$B$150,$B35)/1000)</f>
        <v>14160.932</v>
      </c>
      <c r="V35" s="11">
        <f>IF(V$3=0,"",SUMIFS(INDEX(Inputs!$D$4:$AG$150,0,MATCH(V$2,Inputs!$D$2:$AG$2,0)),Inputs!$B$4:$B$150,$B35)/1000)</f>
        <v>13798.351</v>
      </c>
      <c r="W35" s="12">
        <f>IF(V35="","",V35)</f>
        <v>13798.351</v>
      </c>
      <c r="X35" s="11">
        <f>IF(X$3=0,"",SUMIFS(INDEX(Inputs!$D$4:$AG$150,0,MATCH(X$2,Inputs!$D$2:$AG$2,0)),Inputs!$B$4:$B$150,$B35)/1000)</f>
        <v>14011.037</v>
      </c>
      <c r="Y35" s="11">
        <f>IF(Y$3=0,"",SUMIFS(INDEX(Inputs!$D$4:$AG$150,0,MATCH(Y$2,Inputs!$D$2:$AG$2,0)),Inputs!$B$4:$B$150,$B35)/1000)</f>
        <v>14453.206</v>
      </c>
      <c r="Z35" s="11">
        <f>IF(Z$3=0,"",SUMIFS(INDEX(Inputs!$D$4:$AG$150,0,MATCH(Z$2,Inputs!$D$2:$AG$2,0)),Inputs!$B$4:$B$150,$B35)/1000)</f>
        <v>14463.02</v>
      </c>
      <c r="AA35" s="11">
        <f>IF(AA$3=0,"",SUMIFS(INDEX(Inputs!$D$4:$AG$150,0,MATCH(AA$2,Inputs!$D$2:$AG$2,0)),Inputs!$B$4:$B$150,$B35)/1000)</f>
        <v>13463.971</v>
      </c>
      <c r="AB35" s="12">
        <f>IF(AA35="","",AA35)</f>
        <v>13463.971</v>
      </c>
      <c r="AC35" s="11">
        <f>IF(AC$3=0,"",SUMIFS(INDEX(Inputs!$D$4:$AG$150,0,MATCH(AC$2,Inputs!$D$2:$AG$2,0)),Inputs!$B$4:$B$150,$B35)/1000)</f>
        <v>13361.331</v>
      </c>
      <c r="AD35" s="11">
        <f>IF(AD$3=0,"",SUMIFS(INDEX(Inputs!$D$4:$AG$150,0,MATCH(AD$2,Inputs!$D$2:$AG$2,0)),Inputs!$B$4:$B$150,$B35)/1000)</f>
        <v>11825.548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0</v>
      </c>
      <c r="AB36" s="12">
        <f>IF(AA36="","",AA36)</f>
        <v>0</v>
      </c>
      <c r="AC36" s="11">
        <f>IF(AC$3=0,"",SUMIFS(INDEX(Inputs!$D$4:$AG$150,0,MATCH(AC$2,Inputs!$D$2:$AG$2,0)),Inputs!$B$4:$B$150,$B36)/1000)</f>
        <v>0</v>
      </c>
      <c r="AD36" s="11">
        <f>IF(AD$3=0,"",SUMIFS(INDEX(Inputs!$D$4:$AG$150,0,MATCH(AD$2,Inputs!$D$2:$AG$2,0)),Inputs!$B$4:$B$150,$B36)/1000)</f>
        <v>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4416.612</v>
      </c>
      <c r="E39" s="11">
        <f>IF(E$3=0,"",SUMIFS(INDEX(Inputs!$D$4:$AG$150,0,MATCH(E$2,Inputs!$D$2:$AG$2,0)),Inputs!$B$4:$B$150,$B39)/1000)</f>
        <v>4347.321</v>
      </c>
      <c r="F39" s="11">
        <f>IF(F$3=0,"",SUMIFS(INDEX(Inputs!$D$4:$AG$150,0,MATCH(F$2,Inputs!$D$2:$AG$2,0)),Inputs!$B$4:$B$150,$B39)/1000)</f>
        <v>4582.303</v>
      </c>
      <c r="G39" s="11">
        <f>IF(G$3=0,"",SUMIFS(INDEX(Inputs!$D$4:$AG$150,0,MATCH(G$2,Inputs!$D$2:$AG$2,0)),Inputs!$B$4:$B$150,$B39)/1000)</f>
        <v>5553.377</v>
      </c>
      <c r="H39" s="12">
        <f>IF(G39="","",G39)</f>
        <v>5553.377</v>
      </c>
      <c r="I39" s="11">
        <f>IF(I$3=0,"",SUMIFS(INDEX(Inputs!$D$4:$AG$150,0,MATCH(I$2,Inputs!$D$2:$AG$2,0)),Inputs!$B$4:$B$150,$B39)/1000)</f>
        <v>5512.648</v>
      </c>
      <c r="J39" s="11">
        <f>IF(J$3=0,"",SUMIFS(INDEX(Inputs!$D$4:$AG$150,0,MATCH(J$2,Inputs!$D$2:$AG$2,0)),Inputs!$B$4:$B$150,$B39)/1000)</f>
        <v>5541.636</v>
      </c>
      <c r="K39" s="11">
        <f>IF(K$3=0,"",SUMIFS(INDEX(Inputs!$D$4:$AG$150,0,MATCH(K$2,Inputs!$D$2:$AG$2,0)),Inputs!$B$4:$B$150,$B39)/1000)</f>
        <v>5380.005</v>
      </c>
      <c r="L39" s="11">
        <f>IF(L$3=0,"",SUMIFS(INDEX(Inputs!$D$4:$AG$150,0,MATCH(L$2,Inputs!$D$2:$AG$2,0)),Inputs!$B$4:$B$150,$B39)/1000)</f>
        <v>5533.317</v>
      </c>
      <c r="M39" s="12">
        <f>IF(L39="","",L39)</f>
        <v>5533.317</v>
      </c>
      <c r="N39" s="11">
        <f>IF(N$3=0,"",SUMIFS(INDEX(Inputs!$D$4:$AG$150,0,MATCH(N$2,Inputs!$D$2:$AG$2,0)),Inputs!$B$4:$B$150,$B39)/1000)</f>
        <v>5308.114</v>
      </c>
      <c r="O39" s="11">
        <f>IF(O$3=0,"",SUMIFS(INDEX(Inputs!$D$4:$AG$150,0,MATCH(O$2,Inputs!$D$2:$AG$2,0)),Inputs!$B$4:$B$150,$B39)/1000)</f>
        <v>5239.302</v>
      </c>
      <c r="P39" s="11">
        <f>IF(P$3=0,"",SUMIFS(INDEX(Inputs!$D$4:$AG$150,0,MATCH(P$2,Inputs!$D$2:$AG$2,0)),Inputs!$B$4:$B$150,$B39)/1000)</f>
        <v>5154.687</v>
      </c>
      <c r="Q39" s="11">
        <f>IF(Q$3=0,"",SUMIFS(INDEX(Inputs!$D$4:$AG$150,0,MATCH(Q$2,Inputs!$D$2:$AG$2,0)),Inputs!$B$4:$B$150,$B39)/1000)</f>
        <v>5139.607</v>
      </c>
      <c r="R39" s="12">
        <f>IF(Q39="","",Q39)</f>
        <v>5139.607</v>
      </c>
      <c r="S39" s="11">
        <f>IF(S$3=0,"",SUMIFS(INDEX(Inputs!$D$4:$AG$150,0,MATCH(S$2,Inputs!$D$2:$AG$2,0)),Inputs!$B$4:$B$150,$B39)/1000)</f>
        <v>4956.056</v>
      </c>
      <c r="T39" s="11">
        <f>IF(T$3=0,"",SUMIFS(INDEX(Inputs!$D$4:$AG$150,0,MATCH(T$2,Inputs!$D$2:$AG$2,0)),Inputs!$B$4:$B$150,$B39)/1000)</f>
        <v>4666.179</v>
      </c>
      <c r="U39" s="11">
        <f>IF(U$3=0,"",SUMIFS(INDEX(Inputs!$D$4:$AG$150,0,MATCH(U$2,Inputs!$D$2:$AG$2,0)),Inputs!$B$4:$B$150,$B39)/1000)</f>
        <v>4693.05</v>
      </c>
      <c r="V39" s="11">
        <f>IF(V$3=0,"",SUMIFS(INDEX(Inputs!$D$4:$AG$150,0,MATCH(V$2,Inputs!$D$2:$AG$2,0)),Inputs!$B$4:$B$150,$B39)/1000)</f>
        <v>4333.056</v>
      </c>
      <c r="W39" s="12">
        <f>IF(V39="","",V39)</f>
        <v>4333.056</v>
      </c>
      <c r="X39" s="11">
        <f>IF(X$3=0,"",SUMIFS(INDEX(Inputs!$D$4:$AG$150,0,MATCH(X$2,Inputs!$D$2:$AG$2,0)),Inputs!$B$4:$B$150,$B39)/1000)</f>
        <v>4330.015</v>
      </c>
      <c r="Y39" s="11">
        <f>IF(Y$3=0,"",SUMIFS(INDEX(Inputs!$D$4:$AG$150,0,MATCH(Y$2,Inputs!$D$2:$AG$2,0)),Inputs!$B$4:$B$150,$B39)/1000)</f>
        <v>4752.224</v>
      </c>
      <c r="Z39" s="11">
        <f>IF(Z$3=0,"",SUMIFS(INDEX(Inputs!$D$4:$AG$150,0,MATCH(Z$2,Inputs!$D$2:$AG$2,0)),Inputs!$B$4:$B$150,$B39)/1000)</f>
        <v>4785.921</v>
      </c>
      <c r="AA39" s="11">
        <f>IF(AA$3=0,"",SUMIFS(INDEX(Inputs!$D$4:$AG$150,0,MATCH(AA$2,Inputs!$D$2:$AG$2,0)),Inputs!$B$4:$B$150,$B39)/1000)</f>
        <v>4536.604</v>
      </c>
      <c r="AB39" s="12">
        <f>IF(AA39="","",AA39)</f>
        <v>4536.604</v>
      </c>
      <c r="AC39" s="11">
        <f>IF(AC$3=0,"",SUMIFS(INDEX(Inputs!$D$4:$AG$150,0,MATCH(AC$2,Inputs!$D$2:$AG$2,0)),Inputs!$B$4:$B$150,$B39)/1000)</f>
        <v>4396.606</v>
      </c>
      <c r="AD39" s="11">
        <f>IF(AD$3=0,"",SUMIFS(INDEX(Inputs!$D$4:$AG$150,0,MATCH(AD$2,Inputs!$D$2:$AG$2,0)),Inputs!$B$4:$B$150,$B39)/1000)</f>
        <v>4337.943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0</v>
      </c>
      <c r="E41" s="11">
        <f>IF(E$3=0,"",SUMIFS(INDEX(Inputs!$D$4:$AG$150,0,MATCH(E$2,Inputs!$D$2:$AG$2,0)),Inputs!$B$4:$B$150,$B41)/1000)</f>
        <v>0</v>
      </c>
      <c r="F41" s="11">
        <f>IF(F$3=0,"",SUMIFS(INDEX(Inputs!$D$4:$AG$150,0,MATCH(F$2,Inputs!$D$2:$AG$2,0)),Inputs!$B$4:$B$150,$B41)/1000)</f>
        <v>0</v>
      </c>
      <c r="G41" s="11">
        <f>IF(G$3=0,"",SUMIFS(INDEX(Inputs!$D$4:$AG$150,0,MATCH(G$2,Inputs!$D$2:$AG$2,0)),Inputs!$B$4:$B$150,$B41)/1000)</f>
        <v>0</v>
      </c>
      <c r="H41" s="12">
        <f>IF(G41="","",G41)</f>
        <v>0</v>
      </c>
      <c r="I41" s="11">
        <f>IF(I$3=0,"",SUMIFS(INDEX(Inputs!$D$4:$AG$150,0,MATCH(I$2,Inputs!$D$2:$AG$2,0)),Inputs!$B$4:$B$150,$B41)/1000)</f>
        <v>0</v>
      </c>
      <c r="J41" s="11">
        <f>IF(J$3=0,"",SUMIFS(INDEX(Inputs!$D$4:$AG$150,0,MATCH(J$2,Inputs!$D$2:$AG$2,0)),Inputs!$B$4:$B$150,$B41)/1000)</f>
        <v>0</v>
      </c>
      <c r="K41" s="11">
        <f>IF(K$3=0,"",SUMIFS(INDEX(Inputs!$D$4:$AG$150,0,MATCH(K$2,Inputs!$D$2:$AG$2,0)),Inputs!$B$4:$B$150,$B41)/1000)</f>
        <v>0</v>
      </c>
      <c r="L41" s="11">
        <f>IF(L$3=0,"",SUMIFS(INDEX(Inputs!$D$4:$AG$150,0,MATCH(L$2,Inputs!$D$2:$AG$2,0)),Inputs!$B$4:$B$150,$B41)/1000)</f>
        <v>0</v>
      </c>
      <c r="M41" s="12">
        <f>IF(L41="","",L41)</f>
        <v>0</v>
      </c>
      <c r="N41" s="11">
        <f>IF(N$3=0,"",SUMIFS(INDEX(Inputs!$D$4:$AG$150,0,MATCH(N$2,Inputs!$D$2:$AG$2,0)),Inputs!$B$4:$B$150,$B41)/1000)</f>
        <v>0</v>
      </c>
      <c r="O41" s="11">
        <f>IF(O$3=0,"",SUMIFS(INDEX(Inputs!$D$4:$AG$150,0,MATCH(O$2,Inputs!$D$2:$AG$2,0)),Inputs!$B$4:$B$150,$B41)/1000)</f>
        <v>0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0</v>
      </c>
      <c r="Z41" s="11">
        <f>IF(Z$3=0,"",SUMIFS(INDEX(Inputs!$D$4:$AG$150,0,MATCH(Z$2,Inputs!$D$2:$AG$2,0)),Inputs!$B$4:$B$150,$B41)/1000)</f>
        <v>0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3600.084</v>
      </c>
      <c r="E43" s="11">
        <f>IF(E$3=0,"",SUMIFS(INDEX(Inputs!$D$4:$AG$150,0,MATCH(E$2,Inputs!$D$2:$AG$2,0)),Inputs!$B$4:$B$150,$B43)/1000)</f>
        <v>3721.246</v>
      </c>
      <c r="F43" s="11">
        <f>IF(F$3=0,"",SUMIFS(INDEX(Inputs!$D$4:$AG$150,0,MATCH(F$2,Inputs!$D$2:$AG$2,0)),Inputs!$B$4:$B$150,$B43)/1000)</f>
        <v>3852.531</v>
      </c>
      <c r="G43" s="11">
        <f>IF(G$3=0,"",SUMIFS(INDEX(Inputs!$D$4:$AG$150,0,MATCH(G$2,Inputs!$D$2:$AG$2,0)),Inputs!$B$4:$B$150,$B43)/1000)</f>
        <v>4024.561</v>
      </c>
      <c r="H43" s="12">
        <f>IF(G43="","",G43)</f>
        <v>4024.561</v>
      </c>
      <c r="I43" s="11">
        <f>IF(I$3=0,"",SUMIFS(INDEX(Inputs!$D$4:$AG$150,0,MATCH(I$2,Inputs!$D$2:$AG$2,0)),Inputs!$B$4:$B$150,$B43)/1000)</f>
        <v>4155.58</v>
      </c>
      <c r="J43" s="11">
        <f>IF(J$3=0,"",SUMIFS(INDEX(Inputs!$D$4:$AG$150,0,MATCH(J$2,Inputs!$D$2:$AG$2,0)),Inputs!$B$4:$B$150,$B43)/1000)</f>
        <v>4316.87</v>
      </c>
      <c r="K43" s="11">
        <f>IF(K$3=0,"",SUMIFS(INDEX(Inputs!$D$4:$AG$150,0,MATCH(K$2,Inputs!$D$2:$AG$2,0)),Inputs!$B$4:$B$150,$B43)/1000)</f>
        <v>4473.962</v>
      </c>
      <c r="L43" s="11">
        <f>IF(L$3=0,"",SUMIFS(INDEX(Inputs!$D$4:$AG$150,0,MATCH(L$2,Inputs!$D$2:$AG$2,0)),Inputs!$B$4:$B$150,$B43)/1000)</f>
        <v>4637.601</v>
      </c>
      <c r="M43" s="12">
        <f>IF(L43="","",L43)</f>
        <v>4637.601</v>
      </c>
      <c r="N43" s="11">
        <f>IF(N$3=0,"",SUMIFS(INDEX(Inputs!$D$4:$AG$150,0,MATCH(N$2,Inputs!$D$2:$AG$2,0)),Inputs!$B$4:$B$150,$B43)/1000)</f>
        <v>4762.395</v>
      </c>
      <c r="O43" s="11">
        <f>IF(O$3=0,"",SUMIFS(INDEX(Inputs!$D$4:$AG$150,0,MATCH(O$2,Inputs!$D$2:$AG$2,0)),Inputs!$B$4:$B$150,$B43)/1000)</f>
        <v>4874.208</v>
      </c>
      <c r="P43" s="11">
        <f>IF(P$3=0,"",SUMIFS(INDEX(Inputs!$D$4:$AG$150,0,MATCH(P$2,Inputs!$D$2:$AG$2,0)),Inputs!$B$4:$B$150,$B43)/1000)</f>
        <v>5011.427</v>
      </c>
      <c r="Q43" s="11">
        <f>IF(Q$3=0,"",SUMIFS(INDEX(Inputs!$D$4:$AG$150,0,MATCH(Q$2,Inputs!$D$2:$AG$2,0)),Inputs!$B$4:$B$150,$B43)/1000)</f>
        <v>5145.172</v>
      </c>
      <c r="R43" s="12">
        <f>IF(Q43="","",Q43)</f>
        <v>5145.172</v>
      </c>
      <c r="S43" s="11">
        <f>IF(S$3=0,"",SUMIFS(INDEX(Inputs!$D$4:$AG$150,0,MATCH(S$2,Inputs!$D$2:$AG$2,0)),Inputs!$B$4:$B$150,$B43)/1000)</f>
        <v>5489.85</v>
      </c>
      <c r="T43" s="11">
        <f>IF(T$3=0,"",SUMIFS(INDEX(Inputs!$D$4:$AG$150,0,MATCH(T$2,Inputs!$D$2:$AG$2,0)),Inputs!$B$4:$B$150,$B43)/1000)</f>
        <v>5680.061</v>
      </c>
      <c r="U43" s="11">
        <f>IF(U$3=0,"",SUMIFS(INDEX(Inputs!$D$4:$AG$150,0,MATCH(U$2,Inputs!$D$2:$AG$2,0)),Inputs!$B$4:$B$150,$B43)/1000)</f>
        <v>5887.903</v>
      </c>
      <c r="V43" s="11">
        <f>IF(V$3=0,"",SUMIFS(INDEX(Inputs!$D$4:$AG$150,0,MATCH(V$2,Inputs!$D$2:$AG$2,0)),Inputs!$B$4:$B$150,$B43)/1000)</f>
        <v>6252.126</v>
      </c>
      <c r="W43" s="12">
        <f>IF(V43="","",V43)</f>
        <v>6252.126</v>
      </c>
      <c r="X43" s="11">
        <f>IF(X$3=0,"",SUMIFS(INDEX(Inputs!$D$4:$AG$150,0,MATCH(X$2,Inputs!$D$2:$AG$2,0)),Inputs!$B$4:$B$150,$B43)/1000)</f>
        <v>6677.469</v>
      </c>
      <c r="Y43" s="11">
        <f>IF(Y$3=0,"",SUMIFS(INDEX(Inputs!$D$4:$AG$150,0,MATCH(Y$2,Inputs!$D$2:$AG$2,0)),Inputs!$B$4:$B$150,$B43)/1000)</f>
        <v>6932.828</v>
      </c>
      <c r="Z43" s="11">
        <f>IF(Z$3=0,"",SUMIFS(INDEX(Inputs!$D$4:$AG$150,0,MATCH(Z$2,Inputs!$D$2:$AG$2,0)),Inputs!$B$4:$B$150,$B43)/1000)</f>
        <v>7080.325</v>
      </c>
      <c r="AA43" s="11">
        <f>IF(AA$3=0,"",SUMIFS(INDEX(Inputs!$D$4:$AG$150,0,MATCH(AA$2,Inputs!$D$2:$AG$2,0)),Inputs!$B$4:$B$150,$B43)/1000)</f>
        <v>7286.41</v>
      </c>
      <c r="AB43" s="12">
        <f>IF(AA43="","",AA43)</f>
        <v>7286.41</v>
      </c>
      <c r="AC43" s="11">
        <f>IF(AC$3=0,"",SUMIFS(INDEX(Inputs!$D$4:$AG$150,0,MATCH(AC$2,Inputs!$D$2:$AG$2,0)),Inputs!$B$4:$B$150,$B43)/1000)</f>
        <v>7478.495</v>
      </c>
      <c r="AD43" s="11">
        <f>IF(AD$3=0,"",SUMIFS(INDEX(Inputs!$D$4:$AG$150,0,MATCH(AD$2,Inputs!$D$2:$AG$2,0)),Inputs!$B$4:$B$150,$B43)/1000)</f>
        <v>7670.503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-500.022</v>
      </c>
      <c r="F44" s="11">
        <f>IF(F$3=0,"",SUMIFS(INDEX(Inputs!$D$4:$AG$150,0,MATCH(F$2,Inputs!$D$2:$AG$2,0)),Inputs!$B$4:$B$150,$B44)/1000)</f>
        <v>-600.022</v>
      </c>
      <c r="G44" s="11">
        <f>IF(G$3=0,"",SUMIFS(INDEX(Inputs!$D$4:$AG$150,0,MATCH(G$2,Inputs!$D$2:$AG$2,0)),Inputs!$B$4:$B$150,$B44)/1000)</f>
        <v>-824.19</v>
      </c>
      <c r="H44" s="12">
        <f>IF(G44="","",G44)</f>
        <v>-824.19</v>
      </c>
      <c r="I44" s="11">
        <f>IF(I$3=0,"",SUMIFS(INDEX(Inputs!$D$4:$AG$150,0,MATCH(I$2,Inputs!$D$2:$AG$2,0)),Inputs!$B$4:$B$150,$B44)/1000)</f>
        <v>-824.19</v>
      </c>
      <c r="J44" s="11">
        <f>IF(J$3=0,"",SUMIFS(INDEX(Inputs!$D$4:$AG$150,0,MATCH(J$2,Inputs!$D$2:$AG$2,0)),Inputs!$B$4:$B$150,$B44)/1000)</f>
        <v>-824.19</v>
      </c>
      <c r="K44" s="11">
        <f>IF(K$3=0,"",SUMIFS(INDEX(Inputs!$D$4:$AG$150,0,MATCH(K$2,Inputs!$D$2:$AG$2,0)),Inputs!$B$4:$B$150,$B44)/1000)</f>
        <v>-824.19</v>
      </c>
      <c r="L44" s="11">
        <f>IF(L$3=0,"",SUMIFS(INDEX(Inputs!$D$4:$AG$150,0,MATCH(L$2,Inputs!$D$2:$AG$2,0)),Inputs!$B$4:$B$150,$B44)/1000)</f>
        <v>-824.19</v>
      </c>
      <c r="M44" s="12">
        <f>IF(L44="","",L44)</f>
        <v>-824.19</v>
      </c>
      <c r="N44" s="11">
        <f>IF(N$3=0,"",SUMIFS(INDEX(Inputs!$D$4:$AG$150,0,MATCH(N$2,Inputs!$D$2:$AG$2,0)),Inputs!$B$4:$B$150,$B44)/1000)</f>
        <v>-1228.92</v>
      </c>
      <c r="O44" s="11">
        <f>IF(O$3=0,"",SUMIFS(INDEX(Inputs!$D$4:$AG$150,0,MATCH(O$2,Inputs!$D$2:$AG$2,0)),Inputs!$B$4:$B$150,$B44)/1000)</f>
        <v>-1876.753</v>
      </c>
      <c r="P44" s="11">
        <f>IF(P$3=0,"",SUMIFS(INDEX(Inputs!$D$4:$AG$150,0,MATCH(P$2,Inputs!$D$2:$AG$2,0)),Inputs!$B$4:$B$150,$B44)/1000)</f>
        <v>-4399.677</v>
      </c>
      <c r="Q44" s="11">
        <f>IF(Q$3=0,"",SUMIFS(INDEX(Inputs!$D$4:$AG$150,0,MATCH(Q$2,Inputs!$D$2:$AG$2,0)),Inputs!$B$4:$B$150,$B44)/1000)</f>
        <v>-6922.2</v>
      </c>
      <c r="R44" s="12">
        <f>IF(Q44="","",Q44)</f>
        <v>-6922.2</v>
      </c>
      <c r="S44" s="11">
        <f>IF(S$3=0,"",SUMIFS(INDEX(Inputs!$D$4:$AG$150,0,MATCH(S$2,Inputs!$D$2:$AG$2,0)),Inputs!$B$4:$B$150,$B44)/1000)</f>
        <v>-8934.056</v>
      </c>
      <c r="T44" s="11">
        <f>IF(T$3=0,"",SUMIFS(INDEX(Inputs!$D$4:$AG$150,0,MATCH(T$2,Inputs!$D$2:$AG$2,0)),Inputs!$B$4:$B$150,$B44)/1000)</f>
        <v>-10547.055</v>
      </c>
      <c r="U44" s="11">
        <f>IF(U$3=0,"",SUMIFS(INDEX(Inputs!$D$4:$AG$150,0,MATCH(U$2,Inputs!$D$2:$AG$2,0)),Inputs!$B$4:$B$150,$B44)/1000)</f>
        <v>-12254.855</v>
      </c>
      <c r="V44" s="11">
        <f>IF(V$3=0,"",SUMIFS(INDEX(Inputs!$D$4:$AG$150,0,MATCH(V$2,Inputs!$D$2:$AG$2,0)),Inputs!$B$4:$B$150,$B44)/1000)</f>
        <v>-13171.638</v>
      </c>
      <c r="W44" s="12">
        <f>IF(V44="","",V44)</f>
        <v>-13171.638</v>
      </c>
      <c r="X44" s="11">
        <f>IF(X$3=0,"",SUMIFS(INDEX(Inputs!$D$4:$AG$150,0,MATCH(X$2,Inputs!$D$2:$AG$2,0)),Inputs!$B$4:$B$150,$B44)/1000)</f>
        <v>-16754.929</v>
      </c>
      <c r="Y44" s="11">
        <f>IF(Y$3=0,"",SUMIFS(INDEX(Inputs!$D$4:$AG$150,0,MATCH(Y$2,Inputs!$D$2:$AG$2,0)),Inputs!$B$4:$B$150,$B44)/1000)</f>
        <v>-18392.942</v>
      </c>
      <c r="Z44" s="11">
        <f>IF(Z$3=0,"",SUMIFS(INDEX(Inputs!$D$4:$AG$150,0,MATCH(Z$2,Inputs!$D$2:$AG$2,0)),Inputs!$B$4:$B$150,$B44)/1000)</f>
        <v>-20270.631</v>
      </c>
      <c r="AA44" s="11">
        <f>IF(AA$3=0,"",SUMIFS(INDEX(Inputs!$D$4:$AG$150,0,MATCH(AA$2,Inputs!$D$2:$AG$2,0)),Inputs!$B$4:$B$150,$B44)/1000)</f>
        <v>-22372.658</v>
      </c>
      <c r="AB44" s="12">
        <f>IF(AA44="","",AA44)</f>
        <v>-22372.658</v>
      </c>
      <c r="AC44" s="11">
        <f>IF(AC$3=0,"",SUMIFS(INDEX(Inputs!$D$4:$AG$150,0,MATCH(AC$2,Inputs!$D$2:$AG$2,0)),Inputs!$B$4:$B$150,$B44)/1000)</f>
        <v>-23681.974</v>
      </c>
      <c r="AD44" s="11">
        <f>IF(AD$3=0,"",SUMIFS(INDEX(Inputs!$D$4:$AG$150,0,MATCH(AD$2,Inputs!$D$2:$AG$2,0)),Inputs!$B$4:$B$150,$B44)/1000)</f>
        <v>-28387.657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4.137</v>
      </c>
      <c r="E45" s="11">
        <f>IF(E$3=0,"",SUMIFS(INDEX(Inputs!$D$4:$AG$150,0,MATCH(E$2,Inputs!$D$2:$AG$2,0)),Inputs!$B$4:$B$150,$B45)/1000)</f>
        <v>9.775</v>
      </c>
      <c r="F45" s="11">
        <f>IF(F$3=0,"",SUMIFS(INDEX(Inputs!$D$4:$AG$150,0,MATCH(F$2,Inputs!$D$2:$AG$2,0)),Inputs!$B$4:$B$150,$B45)/1000)</f>
        <v>-19.835</v>
      </c>
      <c r="G45" s="11">
        <f>IF(G$3=0,"",SUMIFS(INDEX(Inputs!$D$4:$AG$150,0,MATCH(G$2,Inputs!$D$2:$AG$2,0)),Inputs!$B$4:$B$150,$B45)/1000)</f>
        <v>-40.495</v>
      </c>
      <c r="H45" s="12">
        <f>IF(G45="","",G45)</f>
        <v>-40.495</v>
      </c>
      <c r="I45" s="11">
        <f>IF(I$3=0,"",SUMIFS(INDEX(Inputs!$D$4:$AG$150,0,MATCH(I$2,Inputs!$D$2:$AG$2,0)),Inputs!$B$4:$B$150,$B45)/1000)</f>
        <v>-74.17</v>
      </c>
      <c r="J45" s="11">
        <f>IF(J$3=0,"",SUMIFS(INDEX(Inputs!$D$4:$AG$150,0,MATCH(J$2,Inputs!$D$2:$AG$2,0)),Inputs!$B$4:$B$150,$B45)/1000)</f>
        <v>-144.476</v>
      </c>
      <c r="K45" s="11">
        <f>IF(K$3=0,"",SUMIFS(INDEX(Inputs!$D$4:$AG$150,0,MATCH(K$2,Inputs!$D$2:$AG$2,0)),Inputs!$B$4:$B$150,$B45)/1000)</f>
        <v>-247.643</v>
      </c>
      <c r="L45" s="11">
        <f>IF(L$3=0,"",SUMIFS(INDEX(Inputs!$D$4:$AG$150,0,MATCH(L$2,Inputs!$D$2:$AG$2,0)),Inputs!$B$4:$B$150,$B45)/1000)</f>
        <v>-217.306</v>
      </c>
      <c r="M45" s="12">
        <f>IF(L45="","",L45)</f>
        <v>-217.306</v>
      </c>
      <c r="N45" s="11">
        <f>IF(N$3=0,"",SUMIFS(INDEX(Inputs!$D$4:$AG$150,0,MATCH(N$2,Inputs!$D$2:$AG$2,0)),Inputs!$B$4:$B$150,$B45)/1000)</f>
        <v>-191.695</v>
      </c>
      <c r="O45" s="11">
        <f>IF(O$3=0,"",SUMIFS(INDEX(Inputs!$D$4:$AG$150,0,MATCH(O$2,Inputs!$D$2:$AG$2,0)),Inputs!$B$4:$B$150,$B45)/1000)</f>
        <v>-139.266</v>
      </c>
      <c r="P45" s="11">
        <f>IF(P$3=0,"",SUMIFS(INDEX(Inputs!$D$4:$AG$150,0,MATCH(P$2,Inputs!$D$2:$AG$2,0)),Inputs!$B$4:$B$150,$B45)/1000)</f>
        <v>-155.571</v>
      </c>
      <c r="Q45" s="11">
        <f>IF(Q$3=0,"",SUMIFS(INDEX(Inputs!$D$4:$AG$150,0,MATCH(Q$2,Inputs!$D$2:$AG$2,0)),Inputs!$B$4:$B$150,$B45)/1000)</f>
        <v>-223.945</v>
      </c>
      <c r="R45" s="12">
        <f>IF(Q45="","",Q45)</f>
        <v>-223.945</v>
      </c>
      <c r="S45" s="11">
        <f>IF(S$3=0,"",SUMIFS(INDEX(Inputs!$D$4:$AG$150,0,MATCH(S$2,Inputs!$D$2:$AG$2,0)),Inputs!$B$4:$B$150,$B45)/1000)</f>
        <v>-111.879</v>
      </c>
      <c r="T45" s="11">
        <f>IF(T$3=0,"",SUMIFS(INDEX(Inputs!$D$4:$AG$150,0,MATCH(T$2,Inputs!$D$2:$AG$2,0)),Inputs!$B$4:$B$150,$B45)/1000)</f>
        <v>-89.114</v>
      </c>
      <c r="U45" s="11">
        <f>IF(U$3=0,"",SUMIFS(INDEX(Inputs!$D$4:$AG$150,0,MATCH(U$2,Inputs!$D$2:$AG$2,0)),Inputs!$B$4:$B$150,$B45)/1000)</f>
        <v>-344.622</v>
      </c>
      <c r="V45" s="11">
        <f>IF(V$3=0,"",SUMIFS(INDEX(Inputs!$D$4:$AG$150,0,MATCH(V$2,Inputs!$D$2:$AG$2,0)),Inputs!$B$4:$B$150,$B45)/1000)</f>
        <v>362.162</v>
      </c>
      <c r="W45" s="12">
        <f>IF(V45="","",V45)</f>
        <v>362.162</v>
      </c>
      <c r="X45" s="11">
        <f>IF(X$3=0,"",SUMIFS(INDEX(Inputs!$D$4:$AG$150,0,MATCH(X$2,Inputs!$D$2:$AG$2,0)),Inputs!$B$4:$B$150,$B45)/1000)</f>
        <v>-85.735</v>
      </c>
      <c r="Y45" s="11">
        <f>IF(Y$3=0,"",SUMIFS(INDEX(Inputs!$D$4:$AG$150,0,MATCH(Y$2,Inputs!$D$2:$AG$2,0)),Inputs!$B$4:$B$150,$B45)/1000)</f>
        <v>-904.668</v>
      </c>
      <c r="Z45" s="11">
        <f>IF(Z$3=0,"",SUMIFS(INDEX(Inputs!$D$4:$AG$150,0,MATCH(Z$2,Inputs!$D$2:$AG$2,0)),Inputs!$B$4:$B$150,$B45)/1000)</f>
        <v>-719.256</v>
      </c>
      <c r="AA45" s="11">
        <f>IF(AA$3=0,"",SUMIFS(INDEX(Inputs!$D$4:$AG$150,0,MATCH(AA$2,Inputs!$D$2:$AG$2,0)),Inputs!$B$4:$B$150,$B45)/1000)</f>
        <v>-580.382</v>
      </c>
      <c r="AB45" s="12">
        <f>IF(AA45="","",AA45)</f>
        <v>-580.382</v>
      </c>
      <c r="AC45" s="11">
        <f>IF(AC$3=0,"",SUMIFS(INDEX(Inputs!$D$4:$AG$150,0,MATCH(AC$2,Inputs!$D$2:$AG$2,0)),Inputs!$B$4:$B$150,$B45)/1000)</f>
        <v>-235.031</v>
      </c>
      <c r="AD45" s="11">
        <f>IF(AD$3=0,"",SUMIFS(INDEX(Inputs!$D$4:$AG$150,0,MATCH(AD$2,Inputs!$D$2:$AG$2,0)),Inputs!$B$4:$B$150,$B45)/1000)</f>
        <v>-97.117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9279.859</v>
      </c>
      <c r="E47" s="11">
        <f>IF(E$3=0,"",SUMIFS(INDEX(Inputs!$D$4:$AG$150,0,MATCH(E$2,Inputs!$D$2:$AG$2,0)),Inputs!$B$4:$B$150,$B47)/1000)</f>
        <v>10632.872</v>
      </c>
      <c r="F47" s="11">
        <f>IF(F$3=0,"",SUMIFS(INDEX(Inputs!$D$4:$AG$150,0,MATCH(F$2,Inputs!$D$2:$AG$2,0)),Inputs!$B$4:$B$150,$B47)/1000)</f>
        <v>12081.943</v>
      </c>
      <c r="G47" s="11">
        <f>IF(G$3=0,"",SUMIFS(INDEX(Inputs!$D$4:$AG$150,0,MATCH(G$2,Inputs!$D$2:$AG$2,0)),Inputs!$B$4:$B$150,$B47)/1000)</f>
        <v>12689.372</v>
      </c>
      <c r="H47" s="12">
        <f>IF(G47="","",G47)</f>
        <v>12689.372</v>
      </c>
      <c r="I47" s="11">
        <f>IF(I$3=0,"",SUMIFS(INDEX(Inputs!$D$4:$AG$150,0,MATCH(I$2,Inputs!$D$2:$AG$2,0)),Inputs!$B$4:$B$150,$B47)/1000)</f>
        <v>14286.819</v>
      </c>
      <c r="J47" s="11">
        <f>IF(J$3=0,"",SUMIFS(INDEX(Inputs!$D$4:$AG$150,0,MATCH(J$2,Inputs!$D$2:$AG$2,0)),Inputs!$B$4:$B$150,$B47)/1000)</f>
        <v>15727.77</v>
      </c>
      <c r="K47" s="11">
        <f>IF(K$3=0,"",SUMIFS(INDEX(Inputs!$D$4:$AG$150,0,MATCH(K$2,Inputs!$D$2:$AG$2,0)),Inputs!$B$4:$B$150,$B47)/1000)</f>
        <v>17126.012</v>
      </c>
      <c r="L47" s="11">
        <f>IF(L$3=0,"",SUMIFS(INDEX(Inputs!$D$4:$AG$150,0,MATCH(L$2,Inputs!$D$2:$AG$2,0)),Inputs!$B$4:$B$150,$B47)/1000)</f>
        <v>17181.296</v>
      </c>
      <c r="M47" s="12">
        <f>IF(L47="","",L47)</f>
        <v>17181.296</v>
      </c>
      <c r="N47" s="11">
        <f>IF(N$3=0,"",SUMIFS(INDEX(Inputs!$D$4:$AG$150,0,MATCH(N$2,Inputs!$D$2:$AG$2,0)),Inputs!$B$4:$B$150,$B47)/1000)</f>
        <v>18486.416</v>
      </c>
      <c r="O47" s="11">
        <f>IF(O$3=0,"",SUMIFS(INDEX(Inputs!$D$4:$AG$150,0,MATCH(O$2,Inputs!$D$2:$AG$2,0)),Inputs!$B$4:$B$150,$B47)/1000)</f>
        <v>19974.026</v>
      </c>
      <c r="P47" s="11">
        <f>IF(P$3=0,"",SUMIFS(INDEX(Inputs!$D$4:$AG$150,0,MATCH(P$2,Inputs!$D$2:$AG$2,0)),Inputs!$B$4:$B$150,$B47)/1000)</f>
        <v>21651.448</v>
      </c>
      <c r="Q47" s="11">
        <f>IF(Q$3=0,"",SUMIFS(INDEX(Inputs!$D$4:$AG$150,0,MATCH(Q$2,Inputs!$D$2:$AG$2,0)),Inputs!$B$4:$B$150,$B47)/1000)</f>
        <v>22589.286</v>
      </c>
      <c r="R47" s="12">
        <f>IF(Q47="","",Q47)</f>
        <v>22589.286</v>
      </c>
      <c r="S47" s="11">
        <f>IF(S$3=0,"",SUMIFS(INDEX(Inputs!$D$4:$AG$150,0,MATCH(S$2,Inputs!$D$2:$AG$2,0)),Inputs!$B$4:$B$150,$B47)/1000)</f>
        <v>24921.495</v>
      </c>
      <c r="T47" s="11">
        <f>IF(T$3=0,"",SUMIFS(INDEX(Inputs!$D$4:$AG$150,0,MATCH(T$2,Inputs!$D$2:$AG$2,0)),Inputs!$B$4:$B$150,$B47)/1000)</f>
        <v>27068.801</v>
      </c>
      <c r="U47" s="11">
        <f>IF(U$3=0,"",SUMIFS(INDEX(Inputs!$D$4:$AG$150,0,MATCH(U$2,Inputs!$D$2:$AG$2,0)),Inputs!$B$4:$B$150,$B47)/1000)</f>
        <v>29432.31</v>
      </c>
      <c r="V47" s="11">
        <f>IF(V$3=0,"",SUMIFS(INDEX(Inputs!$D$4:$AG$150,0,MATCH(V$2,Inputs!$D$2:$AG$2,0)),Inputs!$B$4:$B$150,$B47)/1000)</f>
        <v>31300.917</v>
      </c>
      <c r="W47" s="12">
        <f>IF(V47="","",V47)</f>
        <v>31300.917</v>
      </c>
      <c r="X47" s="11">
        <f>IF(X$3=0,"",SUMIFS(INDEX(Inputs!$D$4:$AG$150,0,MATCH(X$2,Inputs!$D$2:$AG$2,0)),Inputs!$B$4:$B$150,$B47)/1000)</f>
        <v>34191.268</v>
      </c>
      <c r="Y47" s="11">
        <f>IF(Y$3=0,"",SUMIFS(INDEX(Inputs!$D$4:$AG$150,0,MATCH(Y$2,Inputs!$D$2:$AG$2,0)),Inputs!$B$4:$B$150,$B47)/1000)</f>
        <v>37316.681</v>
      </c>
      <c r="Z47" s="11">
        <f>IF(Z$3=0,"",SUMIFS(INDEX(Inputs!$D$4:$AG$150,0,MATCH(Z$2,Inputs!$D$2:$AG$2,0)),Inputs!$B$4:$B$150,$B47)/1000)</f>
        <v>39863.597</v>
      </c>
      <c r="AA47" s="11">
        <f>IF(AA$3=0,"",SUMIFS(INDEX(Inputs!$D$4:$AG$150,0,MATCH(AA$2,Inputs!$D$2:$AG$2,0)),Inputs!$B$4:$B$150,$B47)/1000)</f>
        <v>42282.118</v>
      </c>
      <c r="AB47" s="12">
        <f>IF(AA47="","",AA47)</f>
        <v>42282.118</v>
      </c>
      <c r="AC47" s="11">
        <f>IF(AC$3=0,"",SUMIFS(INDEX(Inputs!$D$4:$AG$150,0,MATCH(AC$2,Inputs!$D$2:$AG$2,0)),Inputs!$B$4:$B$150,$B47)/1000)</f>
        <v>47564.909</v>
      </c>
      <c r="AD47" s="11">
        <f>IF(AD$3=0,"",SUMIFS(INDEX(Inputs!$D$4:$AG$150,0,MATCH(AD$2,Inputs!$D$2:$AG$2,0)),Inputs!$B$4:$B$150,$B47)/1000)</f>
        <v>50966.323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1706.715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1353.013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1449.071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607.429</v>
      </c>
      <c r="H50" s="12">
        <f>IF(COUNT(D50:G50)=4,SUM(D50:G50),"")</f>
        <v>5116.228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1597.447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1440.951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1398.242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55.284</v>
      </c>
      <c r="M50" s="12">
        <f>IF(COUNT(I50:L50)=4,SUM(I50:L50),"")</f>
        <v>4491.924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1305.12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1487.61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1677.422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937.838</v>
      </c>
      <c r="R50" s="12">
        <f>IF(COUNT(N50:Q50)=4,SUM(N50:Q50),"")</f>
        <v>5407.99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2332.209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2147.306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2363.509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1868.607</v>
      </c>
      <c r="W50" s="12">
        <f>IF(COUNT(S50:V50)=4,SUM(S50:V50),"")</f>
        <v>8711.631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2890.351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3125.413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2546.916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2418.521</v>
      </c>
      <c r="AB50" s="12">
        <f>IF(COUNT(X50:AA50)=4,SUM(X50:AA50),"")</f>
        <v>10981.201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5282.791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3401.414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streaming EUA e Canadá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3170.972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3234.643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3257.697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3308.788</v>
      </c>
      <c r="H53" s="12">
        <f>IF(COUNT(D53:G53)=4,SUM(D53:G53),"")</f>
        <v>12972.1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3350.424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3537.863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3601.565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3594.791</v>
      </c>
      <c r="M53" s="12">
        <f>IF(COUNT(I53:L53)=4,SUM(I53:L53),"")</f>
        <v>14084.643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3608.645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3599.448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3735.133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3930.557</v>
      </c>
      <c r="R53" s="12">
        <f>IF(COUNT(N53:Q53)=4,SUM(N53:Q53),"")</f>
        <v>14873.783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4224.315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4295.56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4322.476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4517.018</v>
      </c>
      <c r="W53" s="12">
        <f>IF(COUNT(S53:V53)=4,SUM(S53:V53),"")</f>
        <v>17359.369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4617.098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4929.003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5071.781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5339.27</v>
      </c>
      <c r="AB53" s="12">
        <f>IF(COUNT(X53:AA53)=4,SUM(X53:AA53),"")</f>
        <v>19957.152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5245.298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5431.667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Assinantes pagos EUA e Canadá (milhões, fim do trimestre)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74.384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73.951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74.024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75.215</v>
      </c>
      <c r="H54" s="12">
        <f>IF(COUNT(D54:G54)=4,SUM(D54:G54),"")</f>
        <v>297.574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74.579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73.283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73.387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74.296</v>
      </c>
      <c r="M54" s="12">
        <f>IF(COUNT(I54:L54)=4,SUM(I54:L54),"")</f>
        <v>295.545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74.398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75.571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77.321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80.128</v>
      </c>
      <c r="R54" s="12">
        <f>IF(COUNT(N54:Q54)=4,SUM(N54:Q54),"")</f>
        <v>307.418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82.658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84.109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84.803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89.625</v>
      </c>
      <c r="W54" s="12">
        <f>IF(COUNT(S54:V54)=4,SUM(S54:V54),"")</f>
        <v>341.195</v>
      </c>
      <c r="X54" s="11" t="str">
        <f>IF(SUMPRODUCT((Inputs!$B$4:$B$150=$B54)*ISNUMBER(INDEX(Inputs!$D$4:$AG$150,0,MATCH(X$2,Inputs!$D$2:$AG$2,0))))=0,"",SUMIFS(INDEX(Inputs!$D$4:$AG$150,0,MATCH(X$2,Inputs!$D$2:$AG$2,0)),Inputs!$B$4:$B$150,$B54)/1000)</f>
        <v/>
      </c>
      <c r="Y54" s="11" t="str">
        <f>IF(SUMPRODUCT((Inputs!$B$4:$B$150=$B54)*ISNUMBER(INDEX(Inputs!$D$4:$AG$150,0,MATCH(Y$2,Inputs!$D$2:$AG$2,0))))=0,"",SUMIFS(INDEX(Inputs!$D$4:$AG$150,0,MATCH(Y$2,Inputs!$D$2:$AG$2,0)),Inputs!$B$4:$B$150,$B54)/1000)</f>
        <v/>
      </c>
      <c r="Z54" s="11" t="str">
        <f>IF(SUMPRODUCT((Inputs!$B$4:$B$150=$B54)*ISNUMBER(INDEX(Inputs!$D$4:$AG$150,0,MATCH(Z$2,Inputs!$D$2:$AG$2,0))))=0,"",SUMIFS(INDEX(Inputs!$D$4:$AG$150,0,MATCH(Z$2,Inputs!$D$2:$AG$2,0)),Inputs!$B$4:$B$150,$B54)/1000)</f>
        <v/>
      </c>
      <c r="AA54" s="11" t="str">
        <f>IF(SUMPRODUCT((Inputs!$B$4:$B$150=$B54)*ISNUMBER(INDEX(Inputs!$D$4:$AG$150,0,MATCH(AA$2,Inputs!$D$2:$AG$2,0))))=0,"",SUMIFS(INDEX(Inputs!$D$4:$AG$150,0,MATCH(AA$2,Inputs!$D$2:$AG$2,0)),Inputs!$B$4:$B$150,$B54)/1000)</f>
        <v/>
      </c>
      <c r="AB54" s="12" t="str">
        <f>IF(COUNT(X54:AA54)=4,SUM(X54:AA54),"")</f>
        <v/>
      </c>
      <c r="AC54" s="11" t="str">
        <f>IF(SUMPRODUCT((Inputs!$B$4:$B$150=$B54)*ISNUMBER(INDEX(Inputs!$D$4:$AG$150,0,MATCH(AC$2,Inputs!$D$2:$AG$2,0))))=0,"",SUMIFS(INDEX(Inputs!$D$4:$AG$150,0,MATCH(AC$2,Inputs!$D$2:$AG$2,0)),Inputs!$B$4:$B$150,$B54)/1000)</f>
        <v/>
      </c>
      <c r="AD54" s="11" t="str">
        <f>IF(SUMPRODUCT((Inputs!$B$4:$B$150=$B54)*ISNUMBER(INDEX(Inputs!$D$4:$AG$150,0,MATCH(AD$2,Inputs!$D$2:$AG$2,0))))=0,"",SUMIFS(INDEX(Inputs!$D$4:$AG$150,0,MATCH(AD$2,Inputs!$D$2:$AG$2,0)),Inputs!$B$4:$B$150,$B54)/1000)</f>
        <v/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streaming EMEA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2343.674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2400.48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2432.239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2523.426</v>
      </c>
      <c r="H55" s="12">
        <f>IF(COUNT(D55:G55)=4,SUM(D55:G55),"")</f>
        <v>9699.819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2561.831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2457.235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2375.814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2350.135</v>
      </c>
      <c r="M55" s="12">
        <f>IF(COUNT(I55:L55)=4,SUM(I55:L55),"")</f>
        <v>9745.015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2517.641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2562.17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2693.146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2783.53</v>
      </c>
      <c r="R55" s="12">
        <f>IF(COUNT(N55:Q55)=4,SUM(N55:Q55),"")</f>
        <v>10556.487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2958.193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3007.772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3133.466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3287.604</v>
      </c>
      <c r="W55" s="12">
        <f>IF(COUNT(S55:V55)=4,SUM(S55:V55),"")</f>
        <v>12387.035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3404.676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3538.175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3699.052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3872.743</v>
      </c>
      <c r="AB55" s="12">
        <f>IF(COUNT(X55:AA55)=4,SUM(X55:AA55),"")</f>
        <v>14514.646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3998.419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4033.515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Assinantes pagos EMEA (milhões, fim do trimestre)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68.508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68.696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70.5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74.036</v>
      </c>
      <c r="H56" s="12">
        <f>IF(COUNT(D56:G56)=4,SUM(D56:G56),"")</f>
        <v>281.74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73.733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72.966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73.534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76.729</v>
      </c>
      <c r="M56" s="12">
        <f>IF(COUNT(I56:L56)=4,SUM(I56:L56),"")</f>
        <v>296.962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77.373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79.807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83.76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88.813</v>
      </c>
      <c r="R56" s="12">
        <f>IF(COUNT(N56:Q56)=4,SUM(N56:Q56),"")</f>
        <v>329.753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91.729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93.964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96.131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101.133</v>
      </c>
      <c r="W56" s="12">
        <f>IF(COUNT(S56:V56)=4,SUM(S56:V56),"")</f>
        <v>382.957</v>
      </c>
      <c r="X56" s="11" t="str">
        <f>IF(SUMPRODUCT((Inputs!$B$4:$B$150=$B56)*ISNUMBER(INDEX(Inputs!$D$4:$AG$150,0,MATCH(X$2,Inputs!$D$2:$AG$2,0))))=0,"",SUMIFS(INDEX(Inputs!$D$4:$AG$150,0,MATCH(X$2,Inputs!$D$2:$AG$2,0)),Inputs!$B$4:$B$150,$B56)/1000)</f>
        <v/>
      </c>
      <c r="Y56" s="11" t="str">
        <f>IF(SUMPRODUCT((Inputs!$B$4:$B$150=$B56)*ISNUMBER(INDEX(Inputs!$D$4:$AG$150,0,MATCH(Y$2,Inputs!$D$2:$AG$2,0))))=0,"",SUMIFS(INDEX(Inputs!$D$4:$AG$150,0,MATCH(Y$2,Inputs!$D$2:$AG$2,0)),Inputs!$B$4:$B$150,$B56)/1000)</f>
        <v/>
      </c>
      <c r="Z56" s="11" t="str">
        <f>IF(SUMPRODUCT((Inputs!$B$4:$B$150=$B56)*ISNUMBER(INDEX(Inputs!$D$4:$AG$150,0,MATCH(Z$2,Inputs!$D$2:$AG$2,0))))=0,"",SUMIFS(INDEX(Inputs!$D$4:$AG$150,0,MATCH(Z$2,Inputs!$D$2:$AG$2,0)),Inputs!$B$4:$B$150,$B56)/1000)</f>
        <v/>
      </c>
      <c r="AA56" s="11" t="str">
        <f>IF(SUMPRODUCT((Inputs!$B$4:$B$150=$B56)*ISNUMBER(INDEX(Inputs!$D$4:$AG$150,0,MATCH(AA$2,Inputs!$D$2:$AG$2,0))))=0,"",SUMIFS(INDEX(Inputs!$D$4:$AG$150,0,MATCH(AA$2,Inputs!$D$2:$AG$2,0)),Inputs!$B$4:$B$150,$B56)/1000)</f>
        <v/>
      </c>
      <c r="AB56" s="12" t="str">
        <f>IF(COUNT(X56:AA56)=4,SUM(X56:AA56),"")</f>
        <v/>
      </c>
      <c r="AC56" s="11" t="str">
        <f>IF(SUMPRODUCT((Inputs!$B$4:$B$150=$B56)*ISNUMBER(INDEX(Inputs!$D$4:$AG$150,0,MATCH(AC$2,Inputs!$D$2:$AG$2,0))))=0,"",SUMIFS(INDEX(Inputs!$D$4:$AG$150,0,MATCH(AC$2,Inputs!$D$2:$AG$2,0)),Inputs!$B$4:$B$150,$B56)/1000)</f>
        <v/>
      </c>
      <c r="AD56" s="11" t="str">
        <f>IF(SUMPRODUCT((Inputs!$B$4:$B$150=$B56)*ISNUMBER(INDEX(Inputs!$D$4:$AG$150,0,MATCH(AD$2,Inputs!$D$2:$AG$2,0))))=0,"",SUMIFS(INDEX(Inputs!$D$4:$AG$150,0,MATCH(AD$2,Inputs!$D$2:$AG$2,0)),Inputs!$B$4:$B$150,$B56)/1000)</f>
        <v/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Receita streaming América Latina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836.647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860.882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915.297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964.15</v>
      </c>
      <c r="H57" s="12">
        <f>IF(COUNT(D57:G57)=4,SUM(D57:G57),"")</f>
        <v>3576.976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998.948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1030.234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1023.945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1016.846</v>
      </c>
      <c r="M57" s="12">
        <f>IF(COUNT(I57:L57)=4,SUM(I57:L57),"")</f>
        <v>4069.973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1070.192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1077.435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1142.811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1156.023</v>
      </c>
      <c r="R57" s="12">
        <f>IF(COUNT(N57:Q57)=4,SUM(N57:Q57),"")</f>
        <v>4446.461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1165.008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1204.145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1240.892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1229.771</v>
      </c>
      <c r="W57" s="12">
        <f>IF(COUNT(S57:V57)=4,SUM(S57:V57),"")</f>
        <v>4839.816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1261.934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1306.735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1370.913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1417.939</v>
      </c>
      <c r="AB57" s="12">
        <f>IF(COUNT(X57:AA57)=4,SUM(X57:AA57),"")</f>
        <v>5357.521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1497.058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1584.29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Assinantes pagos América Latina (milhões, fim do trimestre)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37.894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38.658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38.988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39.961</v>
      </c>
      <c r="H58" s="12">
        <f>IF(COUNT(D58:G58)=4,SUM(D58:G58),"")</f>
        <v>155.501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39.61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39.624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39.936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41.699</v>
      </c>
      <c r="M58" s="12">
        <f>IF(COUNT(I58:L58)=4,SUM(I58:L58),"")</f>
        <v>160.869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41.249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42.466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43.645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45.997</v>
      </c>
      <c r="R58" s="12">
        <f>IF(COUNT(N58:Q58)=4,SUM(N58:Q58),"")</f>
        <v>173.357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47.72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49.25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49.182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53.327</v>
      </c>
      <c r="W58" s="12">
        <f>IF(COUNT(S58:V58)=4,SUM(S58:V58),"")</f>
        <v>199.479</v>
      </c>
      <c r="X58" s="11" t="str">
        <f>IF(SUMPRODUCT((Inputs!$B$4:$B$150=$B58)*ISNUMBER(INDEX(Inputs!$D$4:$AG$150,0,MATCH(X$2,Inputs!$D$2:$AG$2,0))))=0,"",SUMIFS(INDEX(Inputs!$D$4:$AG$150,0,MATCH(X$2,Inputs!$D$2:$AG$2,0)),Inputs!$B$4:$B$150,$B58)/1000)</f>
        <v/>
      </c>
      <c r="Y58" s="11" t="str">
        <f>IF(SUMPRODUCT((Inputs!$B$4:$B$150=$B58)*ISNUMBER(INDEX(Inputs!$D$4:$AG$150,0,MATCH(Y$2,Inputs!$D$2:$AG$2,0))))=0,"",SUMIFS(INDEX(Inputs!$D$4:$AG$150,0,MATCH(Y$2,Inputs!$D$2:$AG$2,0)),Inputs!$B$4:$B$150,$B58)/1000)</f>
        <v/>
      </c>
      <c r="Z58" s="11" t="str">
        <f>IF(SUMPRODUCT((Inputs!$B$4:$B$150=$B58)*ISNUMBER(INDEX(Inputs!$D$4:$AG$150,0,MATCH(Z$2,Inputs!$D$2:$AG$2,0))))=0,"",SUMIFS(INDEX(Inputs!$D$4:$AG$150,0,MATCH(Z$2,Inputs!$D$2:$AG$2,0)),Inputs!$B$4:$B$150,$B58)/1000)</f>
        <v/>
      </c>
      <c r="AA58" s="11" t="str">
        <f>IF(SUMPRODUCT((Inputs!$B$4:$B$150=$B58)*ISNUMBER(INDEX(Inputs!$D$4:$AG$150,0,MATCH(AA$2,Inputs!$D$2:$AG$2,0))))=0,"",SUMIFS(INDEX(Inputs!$D$4:$AG$150,0,MATCH(AA$2,Inputs!$D$2:$AG$2,0)),Inputs!$B$4:$B$150,$B58)/1000)</f>
        <v/>
      </c>
      <c r="AB58" s="12" t="str">
        <f>IF(COUNT(X58:AA58)=4,SUM(X58:AA58),"")</f>
        <v/>
      </c>
      <c r="AC58" s="11" t="str">
        <f>IF(SUMPRODUCT((Inputs!$B$4:$B$150=$B58)*ISNUMBER(INDEX(Inputs!$D$4:$AG$150,0,MATCH(AC$2,Inputs!$D$2:$AG$2,0))))=0,"",SUMIFS(INDEX(Inputs!$D$4:$AG$150,0,MATCH(AC$2,Inputs!$D$2:$AG$2,0)),Inputs!$B$4:$B$150,$B58)/1000)</f>
        <v/>
      </c>
      <c r="AD58" s="11" t="str">
        <f>IF(SUMPRODUCT((Inputs!$B$4:$B$150=$B58)*ISNUMBER(INDEX(Inputs!$D$4:$AG$150,0,MATCH(AD$2,Inputs!$D$2:$AG$2,0))))=0,"",SUMIFS(INDEX(Inputs!$D$4:$AG$150,0,MATCH(AD$2,Inputs!$D$2:$AG$2,0)),Inputs!$B$4:$B$150,$B58)/1000)</f>
        <v/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Receita streaming Ásia-Pacífico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762.414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799.48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834.002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870.705</v>
      </c>
      <c r="H59" s="12">
        <f>IF(COUNT(D59:G59)=4,SUM(D59:G59),"")</f>
        <v>3266.601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916.754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907.719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889.037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856.711</v>
      </c>
      <c r="M59" s="12">
        <f>IF(COUNT(I59:L59)=4,SUM(I59:L59),"")</f>
        <v>3570.221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933.523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919.273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948.216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962.715</v>
      </c>
      <c r="R59" s="12">
        <f>IF(COUNT(N59:Q59)=4,SUM(N59:Q59),"")</f>
        <v>3763.727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1022.924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1051.833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1127.869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1212.12</v>
      </c>
      <c r="W59" s="12">
        <f>IF(COUNT(S59:V59)=4,SUM(S59:V59),"")</f>
        <v>4414.746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1259.093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1305.253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1368.561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1420.81</v>
      </c>
      <c r="AB59" s="12">
        <f>IF(COUNT(X59:AA59)=4,SUM(X59:AA59),"")</f>
        <v>5353.717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1508.982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1510.466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Assinantes pagos Ásia-Pacífico (milhões, fim do trimestre)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26.853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27.875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30.051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32.632</v>
      </c>
      <c r="H60" s="12">
        <f>IF(COUNT(D60:G60)=4,SUM(D60:G60),"")</f>
        <v>117.411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33.719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34.799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36.228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38.023</v>
      </c>
      <c r="M60" s="12">
        <f>IF(COUNT(I60:L60)=4,SUM(I60:L60),"")</f>
        <v>142.769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39.478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40.546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42.427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45.338</v>
      </c>
      <c r="R60" s="12">
        <f>IF(COUNT(N60:Q60)=4,SUM(N60:Q60),"")</f>
        <v>167.789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47.495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50.324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52.604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57.541</v>
      </c>
      <c r="W60" s="12">
        <f>IF(COUNT(S60:V60)=4,SUM(S60:V60),"")</f>
        <v>207.964</v>
      </c>
      <c r="X60" s="11" t="str">
        <f>IF(SUMPRODUCT((Inputs!$B$4:$B$150=$B60)*ISNUMBER(INDEX(Inputs!$D$4:$AG$150,0,MATCH(X$2,Inputs!$D$2:$AG$2,0))))=0,"",SUMIFS(INDEX(Inputs!$D$4:$AG$150,0,MATCH(X$2,Inputs!$D$2:$AG$2,0)),Inputs!$B$4:$B$150,$B60)/1000)</f>
        <v/>
      </c>
      <c r="Y60" s="11" t="str">
        <f>IF(SUMPRODUCT((Inputs!$B$4:$B$150=$B60)*ISNUMBER(INDEX(Inputs!$D$4:$AG$150,0,MATCH(Y$2,Inputs!$D$2:$AG$2,0))))=0,"",SUMIFS(INDEX(Inputs!$D$4:$AG$150,0,MATCH(Y$2,Inputs!$D$2:$AG$2,0)),Inputs!$B$4:$B$150,$B60)/1000)</f>
        <v/>
      </c>
      <c r="Z60" s="11" t="str">
        <f>IF(SUMPRODUCT((Inputs!$B$4:$B$150=$B60)*ISNUMBER(INDEX(Inputs!$D$4:$AG$150,0,MATCH(Z$2,Inputs!$D$2:$AG$2,0))))=0,"",SUMIFS(INDEX(Inputs!$D$4:$AG$150,0,MATCH(Z$2,Inputs!$D$2:$AG$2,0)),Inputs!$B$4:$B$150,$B60)/1000)</f>
        <v/>
      </c>
      <c r="AA60" s="11" t="str">
        <f>IF(SUMPRODUCT((Inputs!$B$4:$B$150=$B60)*ISNUMBER(INDEX(Inputs!$D$4:$AG$150,0,MATCH(AA$2,Inputs!$D$2:$AG$2,0))))=0,"",SUMIFS(INDEX(Inputs!$D$4:$AG$150,0,MATCH(AA$2,Inputs!$D$2:$AG$2,0)),Inputs!$B$4:$B$150,$B60)/1000)</f>
        <v/>
      </c>
      <c r="AB60" s="12" t="str">
        <f>IF(COUNT(X60:AA60)=4,SUM(X60:AA60),"")</f>
        <v/>
      </c>
      <c r="AC60" s="11" t="str">
        <f>IF(SUMPRODUCT((Inputs!$B$4:$B$150=$B60)*ISNUMBER(INDEX(Inputs!$D$4:$AG$150,0,MATCH(AC$2,Inputs!$D$2:$AG$2,0))))=0,"",SUMIFS(INDEX(Inputs!$D$4:$AG$150,0,MATCH(AC$2,Inputs!$D$2:$AG$2,0)),Inputs!$B$4:$B$150,$B60)/1000)</f>
        <v/>
      </c>
      <c r="AD60" s="11" t="str">
        <f>IF(SUMPRODUCT((Inputs!$B$4:$B$150=$B60)*ISNUMBER(INDEX(Inputs!$D$4:$AG$150,0,MATCH(AD$2,Inputs!$D$2:$AG$2,0))))=0,"",SUMIFS(INDEX(Inputs!$D$4:$AG$150,0,MATCH(AD$2,Inputs!$D$2:$AG$2,0)),Inputs!$B$4:$B$150,$B60)/1000)</f>
        <v/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Receita DVD (USD; até 3T23; 4T = receita total - regiões)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50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46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44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60</v>
      </c>
      <c r="H61" s="12">
        <f>IF(COUNT(D61:G61)=4,SUM(D61:G61),"")</f>
        <v>200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40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37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35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-12</v>
      </c>
      <c r="M61" s="12">
        <f>IF(COUNT(I61:L61)=4,SUM(I61:L61),"")</f>
        <v>100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32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29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22</v>
      </c>
      <c r="Q61" s="11" t="str">
        <f>IF(SUMPRODUCT((Inputs!$B$4:$B$150=$B61)*ISNUMBER(INDEX(Inputs!$D$4:$AG$150,0,MATCH(Q$2,Inputs!$D$2:$AG$2,0))))=0,"",SUMIFS(INDEX(Inputs!$D$4:$AG$150,0,MATCH(Q$2,Inputs!$D$2:$AG$2,0)),Inputs!$B$4:$B$150,$B61)/1000)</f>
        <v/>
      </c>
      <c r="R61" s="12" t="str">
        <f>IF(COUNT(N61:Q61)=4,SUM(N61:Q61),"")</f>
        <v/>
      </c>
      <c r="S61" s="11" t="str">
        <f>IF(SUMPRODUCT((Inputs!$B$4:$B$150=$B61)*ISNUMBER(INDEX(Inputs!$D$4:$AG$150,0,MATCH(S$2,Inputs!$D$2:$AG$2,0))))=0,"",SUMIFS(INDEX(Inputs!$D$4:$AG$150,0,MATCH(S$2,Inputs!$D$2:$AG$2,0)),Inputs!$B$4:$B$150,$B61)/1000)</f>
        <v/>
      </c>
      <c r="T61" s="11" t="str">
        <f>IF(SUMPRODUCT((Inputs!$B$4:$B$150=$B61)*ISNUMBER(INDEX(Inputs!$D$4:$AG$150,0,MATCH(T$2,Inputs!$D$2:$AG$2,0))))=0,"",SUMIFS(INDEX(Inputs!$D$4:$AG$150,0,MATCH(T$2,Inputs!$D$2:$AG$2,0)),Inputs!$B$4:$B$150,$B61)/1000)</f>
        <v/>
      </c>
      <c r="U61" s="11" t="str">
        <f>IF(SUMPRODUCT((Inputs!$B$4:$B$150=$B61)*ISNUMBER(INDEX(Inputs!$D$4:$AG$150,0,MATCH(U$2,Inputs!$D$2:$AG$2,0))))=0,"",SUMIFS(INDEX(Inputs!$D$4:$AG$150,0,MATCH(U$2,Inputs!$D$2:$AG$2,0)),Inputs!$B$4:$B$150,$B61)/1000)</f>
        <v/>
      </c>
      <c r="V61" s="11" t="str">
        <f>IF(SUMPRODUCT((Inputs!$B$4:$B$150=$B61)*ISNUMBER(INDEX(Inputs!$D$4:$AG$150,0,MATCH(V$2,Inputs!$D$2:$AG$2,0))))=0,"",SUMIFS(INDEX(Inputs!$D$4:$AG$150,0,MATCH(V$2,Inputs!$D$2:$AG$2,0)),Inputs!$B$4:$B$150,$B61)/1000)</f>
        <v/>
      </c>
      <c r="W61" s="12" t="str">
        <f>IF(COUNT(S61:V61)=4,SUM(S61:V61),"")</f>
        <v/>
      </c>
      <c r="X61" s="11" t="str">
        <f>IF(SUMPRODUCT((Inputs!$B$4:$B$150=$B61)*ISNUMBER(INDEX(Inputs!$D$4:$AG$150,0,MATCH(X$2,Inputs!$D$2:$AG$2,0))))=0,"",SUMIFS(INDEX(Inputs!$D$4:$AG$150,0,MATCH(X$2,Inputs!$D$2:$AG$2,0)),Inputs!$B$4:$B$150,$B61)/1000)</f>
        <v/>
      </c>
      <c r="Y61" s="11" t="str">
        <f>IF(SUMPRODUCT((Inputs!$B$4:$B$150=$B61)*ISNUMBER(INDEX(Inputs!$D$4:$AG$150,0,MATCH(Y$2,Inputs!$D$2:$AG$2,0))))=0,"",SUMIFS(INDEX(Inputs!$D$4:$AG$150,0,MATCH(Y$2,Inputs!$D$2:$AG$2,0)),Inputs!$B$4:$B$150,$B61)/1000)</f>
        <v/>
      </c>
      <c r="Z61" s="11" t="str">
        <f>IF(SUMPRODUCT((Inputs!$B$4:$B$150=$B61)*ISNUMBER(INDEX(Inputs!$D$4:$AG$150,0,MATCH(Z$2,Inputs!$D$2:$AG$2,0))))=0,"",SUMIFS(INDEX(Inputs!$D$4:$AG$150,0,MATCH(Z$2,Inputs!$D$2:$AG$2,0)),Inputs!$B$4:$B$150,$B61)/1000)</f>
        <v/>
      </c>
      <c r="AA61" s="11" t="str">
        <f>IF(SUMPRODUCT((Inputs!$B$4:$B$150=$B61)*ISNUMBER(INDEX(Inputs!$D$4:$AG$150,0,MATCH(AA$2,Inputs!$D$2:$AG$2,0))))=0,"",SUMIFS(INDEX(Inputs!$D$4:$AG$150,0,MATCH(AA$2,Inputs!$D$2:$AG$2,0)),Inputs!$B$4:$B$150,$B61)/1000)</f>
        <v/>
      </c>
      <c r="AB61" s="12" t="str">
        <f>IF(COUNT(X61:AA61)=4,SUM(X61:AA61),"")</f>
        <v/>
      </c>
      <c r="AC61" s="11" t="str">
        <f>IF(SUMPRODUCT((Inputs!$B$4:$B$150=$B61)*ISNUMBER(INDEX(Inputs!$D$4:$AG$150,0,MATCH(AC$2,Inputs!$D$2:$AG$2,0))))=0,"",SUMIFS(INDEX(Inputs!$D$4:$AG$150,0,MATCH(AC$2,Inputs!$D$2:$AG$2,0)),Inputs!$B$4:$B$150,$B61)/1000)</f>
        <v/>
      </c>
      <c r="AD61" s="11" t="str">
        <f>IF(SUMPRODUCT((Inputs!$B$4:$B$150=$B61)*ISNUMBER(INDEX(Inputs!$D$4:$AG$150,0,MATCH(AD$2,Inputs!$D$2:$AG$2,0))))=0,"",SUMIFS(INDEX(Inputs!$D$4:$AG$150,0,MATCH(AD$2,Inputs!$D$2:$AG$2,0)),Inputs!$B$4:$B$150,$B61)/1000)</f>
        <v/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6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3962.09658867766</v>
      </c>
      <c r="AK1" s="12">
        <f>IF(AK2="","",SUM(AK2,AK3))</f>
        <v>4148.1328874344</v>
      </c>
      <c r="AL1" s="12">
        <f>IF(AL2="","",SUM(AL2,AL3))</f>
        <v>16794.4344761121</v>
      </c>
      <c r="AM1" s="12">
        <f>IF(AM2="","",SUM(AM2,AM3))</f>
        <v>4216.63126985495</v>
      </c>
      <c r="AN1" s="12">
        <f>IF(AN2="","",SUM(AN2,AN3))</f>
        <v>4323.40227795861</v>
      </c>
      <c r="AO1" s="12">
        <f>IF(AO2="","",SUM(AO2,AO3))</f>
        <v>4574.45053827614</v>
      </c>
      <c r="AP1" s="12">
        <f>IF(AP2="","",SUM(AP2,AP3))</f>
        <v>4789.23930678284</v>
      </c>
      <c r="AQ1" s="12">
        <f>IF(AQ2="","",SUM(AQ2,AQ3))</f>
        <v>17903.7233928725</v>
      </c>
      <c r="AR1" s="12">
        <f>IF(AR2="","",SUM(AR2,AR3))</f>
        <v>4847.24116396659</v>
      </c>
      <c r="AS1" s="12">
        <f>IF(AS2="","",SUM(AS2,AS3))</f>
        <v>4969.9800976026</v>
      </c>
      <c r="AT1" s="12">
        <f>IF(AT2="","",SUM(AT2,AT3))</f>
        <v>5258.57338064658</v>
      </c>
      <c r="AU1" s="12">
        <f>IF(AU2="","",SUM(AU2,AU3))</f>
        <v>5505.4844557758</v>
      </c>
      <c r="AV1" s="12">
        <f>IF(AV2="","",SUM(AV2,AV3))</f>
        <v>20581.2790979916</v>
      </c>
      <c r="AW1" s="12">
        <f>IF(AW2="","",SUM(AW2,AW3))</f>
        <v>5547.92445940723</v>
      </c>
      <c r="AX1" s="12">
        <f>IF(AX2="","",SUM(AX2,AX3))</f>
        <v>5688.40567521775</v>
      </c>
      <c r="AY1" s="12">
        <f>IF(AY2="","",SUM(AY2,AY3))</f>
        <v>6018.71598569343</v>
      </c>
      <c r="AZ1" s="12">
        <f>IF(AZ2="","",SUM(AZ2,AZ3))</f>
        <v>6301.31879967988</v>
      </c>
      <c r="BA1" s="12">
        <f>IF(BA2="","",SUM(BA2,BA3))</f>
        <v>23556.3649199983</v>
      </c>
      <c r="BB1" s="12">
        <f>IF(BB2="","",SUM(BB2,BB3))</f>
        <v>6322.15401123977</v>
      </c>
      <c r="BC1" s="12">
        <f>IF(BC2="","",SUM(BC2,BC3))</f>
        <v>6482.23980342001</v>
      </c>
      <c r="BD1" s="12">
        <f>IF(BD2="","",SUM(BD2,BD3))</f>
        <v>6858.64591161543</v>
      </c>
      <c r="BE1" s="12">
        <f>IF(BE2="","",SUM(BE2,BE3))</f>
        <v>7180.68679863627</v>
      </c>
      <c r="BF1" s="12">
        <f>IF(BF2="","",SUM(BF2,BF3))</f>
        <v>26843.7265249115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IF(COUNT(I191,I267)&lt;2,"",ABS(I191-I267))</f>
        <v>0</v>
      </c>
      <c r="J2" s="12">
        <f>IF(COUNT(J191,J267)&lt;2,"",ABS(J191-J267))</f>
        <v>0</v>
      </c>
      <c r="K2" s="12">
        <f>IF(COUNT(K191,K267)&lt;2,"",ABS(K191-K267))</f>
        <v>0</v>
      </c>
      <c r="L2" s="12">
        <f>IF(COUNT(L191,L267)&lt;2,"",ABS(L191-L267))</f>
        <v>0</v>
      </c>
      <c r="M2" s="12">
        <f>IF(COUNT(M191,M267)&lt;2,"",ABS(M191-M267))</f>
        <v>0</v>
      </c>
      <c r="N2" s="12">
        <f>IF(COUNT(N191,N267)&lt;2,"",ABS(N191-N267))</f>
        <v>0</v>
      </c>
      <c r="O2" s="12">
        <f>IF(COUNT(O191,O267)&lt;2,"",ABS(O191-O267))</f>
        <v>0</v>
      </c>
      <c r="P2" s="12">
        <f>IF(COUNT(P191,P267)&lt;2,"",ABS(P191-P267))</f>
        <v>0</v>
      </c>
      <c r="Q2" s="12">
        <f>IF(COUNT(Q191,Q267)&lt;2,"",ABS(Q191-Q267))</f>
        <v>0</v>
      </c>
      <c r="R2" s="12">
        <f>IF(COUNT(R191,R267)&lt;2,"",ABS(R191-R267))</f>
        <v>0</v>
      </c>
      <c r="S2" s="12">
        <f>IF(COUNT(S191,S267)&lt;2,"",ABS(S191-S267))</f>
        <v>0</v>
      </c>
      <c r="T2" s="12">
        <f>IF(COUNT(T191,T267)&lt;2,"",ABS(T191-T267))</f>
        <v>0</v>
      </c>
      <c r="U2" s="12">
        <f>IF(COUNT(U191,U267)&lt;2,"",ABS(U191-U267))</f>
        <v>0</v>
      </c>
      <c r="V2" s="12">
        <f>IF(COUNT(V191,V267)&lt;2,"",ABS(V191-V267))</f>
        <v>0</v>
      </c>
      <c r="W2" s="12">
        <f>IF(COUNT(W191,W267)&lt;2,"",ABS(W191-W267))</f>
        <v>0</v>
      </c>
      <c r="X2" s="12">
        <f>IF(COUNT(X191,X267)&lt;2,"",ABS(X191-X267))</f>
        <v>0</v>
      </c>
      <c r="Y2" s="12">
        <f>IF(COUNT(Y191,Y267)&lt;2,"",ABS(Y191-Y267))</f>
        <v>0</v>
      </c>
      <c r="Z2" s="12">
        <f>IF(COUNT(Z191,Z267)&lt;2,"",ABS(Z191-Z267))</f>
        <v>0</v>
      </c>
      <c r="AA2" s="12">
        <f>IF(COUNT(AA191,AA267)&lt;2,"",ABS(AA191-AA267))</f>
        <v>0</v>
      </c>
      <c r="AB2" s="12">
        <f>IF(COUNT(AB191,AB267)&lt;2,"",ABS(AB191-AB267))</f>
        <v>0</v>
      </c>
      <c r="AC2" s="12">
        <f>IF(COUNT(AC191,AC267)&lt;2,"",ABS(AC191-AC267))</f>
        <v>0</v>
      </c>
      <c r="AD2" s="12">
        <f>IF(COUNT(AD191,AD267)&lt;2,"",ABS(AD191-AD267))</f>
        <v>0</v>
      </c>
      <c r="AE2" s="12">
        <f>IF(COUNT(AE191,AE267)&lt;2,"",ABS(AE191-AE267))</f>
        <v>0</v>
      </c>
      <c r="AF2" s="12">
        <f>IF(COUNT(AF191,AF267)&lt;2,"",ABS(AF191-AF267))</f>
        <v>0</v>
      </c>
      <c r="AG2" s="12">
        <f>IF(COUNT(AG191,AG267)&lt;2,"",ABS(AG191-AG267))</f>
        <v>0</v>
      </c>
      <c r="AH2" s="12">
        <f>IF(COUNT(AH191,AH267)&lt;2,"",ABS(AH191-AH267))</f>
        <v>0</v>
      </c>
      <c r="AI2" s="12">
        <f>IF(COUNT(AI191,AI267)&lt;2,"",ABS(AI191-AI267))</f>
        <v>0</v>
      </c>
      <c r="AJ2" s="12">
        <f>IF(COUNT(AJ191,AJ267)&lt;2,"",ABS(AJ191-AJ267))</f>
        <v>0</v>
      </c>
      <c r="AK2" s="12">
        <f>IF(COUNT(AK191,AK267)&lt;2,"",ABS(AK191-AK267))</f>
        <v>0</v>
      </c>
      <c r="AL2" s="12">
        <f>IF(COUNT(AL191,AL267)&lt;2,"",ABS(AL191-AL267))</f>
        <v>0</v>
      </c>
      <c r="AM2" s="12">
        <f>IF(COUNT(AM191,AM267)&lt;2,"",ABS(AM191-AM267))</f>
        <v>0</v>
      </c>
      <c r="AN2" s="12">
        <f>IF(COUNT(AN191,AN267)&lt;2,"",ABS(AN191-AN267))</f>
        <v>0</v>
      </c>
      <c r="AO2" s="12">
        <f>IF(COUNT(AO191,AO267)&lt;2,"",ABS(AO191-AO267))</f>
        <v>0</v>
      </c>
      <c r="AP2" s="12">
        <f>IF(COUNT(AP191,AP267)&lt;2,"",ABS(AP191-AP267))</f>
        <v>0</v>
      </c>
      <c r="AQ2" s="12">
        <f>IF(COUNT(AQ191,AQ267)&lt;2,"",ABS(AQ191-AQ267))</f>
        <v>0</v>
      </c>
      <c r="AR2" s="12">
        <f>IF(COUNT(AR191,AR267)&lt;2,"",ABS(AR191-AR267))</f>
        <v>0</v>
      </c>
      <c r="AS2" s="12">
        <f>IF(COUNT(AS191,AS267)&lt;2,"",ABS(AS191-AS267))</f>
        <v>0</v>
      </c>
      <c r="AT2" s="12">
        <f>IF(COUNT(AT191,AT267)&lt;2,"",ABS(AT191-AT267))</f>
        <v>0</v>
      </c>
      <c r="AU2" s="12">
        <f>IF(COUNT(AU191,AU267)&lt;2,"",ABS(AU191-AU267))</f>
        <v>0</v>
      </c>
      <c r="AV2" s="12">
        <f>IF(COUNT(AV191,AV267)&lt;2,"",ABS(AV191-AV267))</f>
        <v>0</v>
      </c>
      <c r="AW2" s="12">
        <f>IF(COUNT(AW191,AW267)&lt;2,"",ABS(AW191-AW267))</f>
        <v>0</v>
      </c>
      <c r="AX2" s="12">
        <f>IF(COUNT(AX191,AX267)&lt;2,"",ABS(AX191-AX267))</f>
        <v>0</v>
      </c>
      <c r="AY2" s="12">
        <f>IF(COUNT(AY191,AY267)&lt;2,"",ABS(AY191-AY267))</f>
        <v>0</v>
      </c>
      <c r="AZ2" s="12">
        <f>IF(COUNT(AZ191,AZ267)&lt;2,"",ABS(AZ191-AZ267))</f>
        <v>0</v>
      </c>
      <c r="BA2" s="12">
        <f>IF(COUNT(BA191,BA267)&lt;2,"",ABS(BA191-BA267))</f>
        <v>0</v>
      </c>
      <c r="BB2" s="12">
        <f>IF(COUNT(BB191,BB267)&lt;2,"",ABS(BB191-BB267))</f>
        <v>0</v>
      </c>
      <c r="BC2" s="12">
        <f>IF(COUNT(BC191,BC267)&lt;2,"",ABS(BC191-BC267))</f>
        <v>0</v>
      </c>
      <c r="BD2" s="12">
        <f>IF(COUNT(BD191,BD267)&lt;2,"",ABS(BD191-BD267))</f>
        <v>0</v>
      </c>
      <c r="BE2" s="12">
        <f>IF(COUNT(BE191,BE267)&lt;2,"",ABS(BE191-BE267))</f>
        <v>0</v>
      </c>
      <c r="BF2" s="12">
        <f>IF(COUNT(BF191,BF267)&lt;2,"",ABS(BF191-BF267))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IF(COUNT(I131,I4)&lt;2,"",ABS(I131-I4))</f>
        <v>0</v>
      </c>
      <c r="J3" s="12">
        <f>IF(COUNT(J131,J4)&lt;2,"",ABS(J131-J4))</f>
        <v>0</v>
      </c>
      <c r="K3" s="12">
        <f>IF(COUNT(K131,K4)&lt;2,"",ABS(K131-K4))</f>
        <v>0</v>
      </c>
      <c r="L3" s="12">
        <f>IF(COUNT(L131,L4)&lt;2,"",ABS(L131-L4))</f>
        <v>0</v>
      </c>
      <c r="M3" s="12">
        <f>IF(COUNT(M131,M4)&lt;2,"",ABS(M131-M4))</f>
        <v>0</v>
      </c>
      <c r="N3" s="12">
        <f>IF(COUNT(N131,N4)&lt;2,"",ABS(N131-N4))</f>
        <v>0</v>
      </c>
      <c r="O3" s="12">
        <f>IF(COUNT(O131,O4)&lt;2,"",ABS(O131-O4))</f>
        <v>0</v>
      </c>
      <c r="P3" s="12">
        <f>IF(COUNT(P131,P4)&lt;2,"",ABS(P131-P4))</f>
        <v>0</v>
      </c>
      <c r="Q3" s="12">
        <f>IF(COUNT(Q131,Q4)&lt;2,"",ABS(Q131-Q4))</f>
        <v>0</v>
      </c>
      <c r="R3" s="12">
        <f>IF(COUNT(R131,R4)&lt;2,"",ABS(R131-R4))</f>
        <v>0</v>
      </c>
      <c r="S3" s="12">
        <f>IF(COUNT(S131,S4)&lt;2,"",ABS(S131-S4))</f>
        <v>0</v>
      </c>
      <c r="T3" s="12">
        <f>IF(COUNT(T131,T4)&lt;2,"",ABS(T131-T4))</f>
        <v>0</v>
      </c>
      <c r="U3" s="12">
        <f>IF(COUNT(U131,U4)&lt;2,"",ABS(U131-U4))</f>
        <v>0</v>
      </c>
      <c r="V3" s="12">
        <f>IF(COUNT(V131,V4)&lt;2,"",ABS(V131-V4))</f>
        <v>0</v>
      </c>
      <c r="W3" s="12">
        <f>IF(COUNT(W131,W4)&lt;2,"",ABS(W131-W4))</f>
        <v>0</v>
      </c>
      <c r="X3" s="12">
        <f>IF(COUNT(X131,X4)&lt;2,"",ABS(X131-X4))</f>
        <v>0</v>
      </c>
      <c r="Y3" s="12">
        <f>IF(COUNT(Y131,Y4)&lt;2,"",ABS(Y131-Y4))</f>
        <v>0</v>
      </c>
      <c r="Z3" s="12">
        <f>IF(COUNT(Z131,Z4)&lt;2,"",ABS(Z131-Z4))</f>
        <v>0</v>
      </c>
      <c r="AA3" s="12">
        <f>IF(COUNT(AA131,AA4)&lt;2,"",ABS(AA131-AA4))</f>
        <v>0</v>
      </c>
      <c r="AB3" s="12">
        <f>IF(COUNT(AB131,AB4)&lt;2,"",ABS(AB131-AB4))</f>
        <v>0</v>
      </c>
      <c r="AC3" s="12">
        <f>IF(COUNT(AC131,AC4)&lt;2,"",ABS(AC131-AC4))</f>
        <v>0</v>
      </c>
      <c r="AD3" s="12">
        <f>IF(COUNT(AD131,AD4)&lt;2,"",ABS(AD131-AD4))</f>
        <v>0</v>
      </c>
      <c r="AE3" s="12">
        <f>IF(COUNT(AE131,AE4)&lt;2,"",ABS(AE131-AE4))</f>
        <v>0</v>
      </c>
      <c r="AF3" s="12">
        <f>IF(COUNT(AF131,AF4)&lt;2,"",ABS(AF131-AF4))</f>
        <v>0</v>
      </c>
      <c r="AG3" s="12">
        <f>IF(COUNT(AG131,AG4)&lt;2,"",ABS(AG131-AG4))</f>
        <v>0</v>
      </c>
      <c r="AH3" s="12">
        <f>IF(COUNT(AH131,AH4)&lt;2,"",ABS(AH131-AH4))</f>
        <v>0</v>
      </c>
      <c r="AI3" s="12">
        <f>IF(COUNT(AI131,AI4)&lt;2,"",ABS(AI131-AI4))</f>
        <v>0</v>
      </c>
      <c r="AJ3" s="12">
        <f>ABS(AJ131-AJ4)</f>
        <v>3962.09658867766</v>
      </c>
      <c r="AK3" s="12">
        <f>ABS(AK131-AK4)</f>
        <v>4148.1328874344</v>
      </c>
      <c r="AL3" s="12">
        <f>ABS(AL131-AL4)</f>
        <v>16794.4344761121</v>
      </c>
      <c r="AM3" s="12">
        <f>ABS(AM131-AM4)</f>
        <v>4216.63126985495</v>
      </c>
      <c r="AN3" s="12">
        <f>ABS(AN131-AN4)</f>
        <v>4323.40227795861</v>
      </c>
      <c r="AO3" s="12">
        <f>ABS(AO131-AO4)</f>
        <v>4574.45053827614</v>
      </c>
      <c r="AP3" s="12">
        <f>ABS(AP131-AP4)</f>
        <v>4789.23930678284</v>
      </c>
      <c r="AQ3" s="12">
        <f>ABS(AQ131-AQ4)</f>
        <v>17903.7233928725</v>
      </c>
      <c r="AR3" s="12">
        <f>ABS(AR131-AR4)</f>
        <v>4847.24116396659</v>
      </c>
      <c r="AS3" s="12">
        <f>ABS(AS131-AS4)</f>
        <v>4969.9800976026</v>
      </c>
      <c r="AT3" s="12">
        <f>ABS(AT131-AT4)</f>
        <v>5258.57338064658</v>
      </c>
      <c r="AU3" s="12">
        <f>ABS(AU131-AU4)</f>
        <v>5505.4844557758</v>
      </c>
      <c r="AV3" s="12">
        <f>ABS(AV131-AV4)</f>
        <v>20581.2790979916</v>
      </c>
      <c r="AW3" s="12">
        <f>ABS(AW131-AW4)</f>
        <v>5547.92445940723</v>
      </c>
      <c r="AX3" s="12">
        <f>ABS(AX131-AX4)</f>
        <v>5688.40567521775</v>
      </c>
      <c r="AY3" s="12">
        <f>ABS(AY131-AY4)</f>
        <v>6018.71598569343</v>
      </c>
      <c r="AZ3" s="12">
        <f>ABS(AZ131-AZ4)</f>
        <v>6301.31879967988</v>
      </c>
      <c r="BA3" s="12">
        <f>ABS(BA131-BA4)</f>
        <v>23556.3649199983</v>
      </c>
      <c r="BB3" s="12">
        <f>ABS(BB131-BB4)</f>
        <v>6322.15401123977</v>
      </c>
      <c r="BC3" s="12">
        <f>ABS(BC131-BC4)</f>
        <v>6482.23980342001</v>
      </c>
      <c r="BD3" s="12">
        <f>ABS(BD131-BD4)</f>
        <v>6858.64591161543</v>
      </c>
      <c r="BE3" s="12">
        <f>ABS(BE131-BE4)</f>
        <v>7180.68679863627</v>
      </c>
      <c r="BF3" s="12">
        <f>ABS(BF131-BF4)</f>
        <v>26843.7265249115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1706.715</v>
      </c>
      <c r="J4">
        <f>IF(ISNUMBER('Inputs (2)'!E50),'Inputs (2)'!E50,"")</f>
        <v>1353.013</v>
      </c>
      <c r="K4">
        <f>IF(ISNUMBER('Inputs (2)'!F50),'Inputs (2)'!F50,"")</f>
        <v>1449.071</v>
      </c>
      <c r="L4">
        <f>IF(ISNUMBER('Inputs (2)'!G50),'Inputs (2)'!G50,"")</f>
        <v>607.429</v>
      </c>
      <c r="M4" s="11">
        <f>IF(COUNT(I4:L4)=4,SUM(I4:L4),"")</f>
        <v>5116.228</v>
      </c>
      <c r="N4">
        <f>IF(ISNUMBER('Inputs (2)'!I50),'Inputs (2)'!I50,"")</f>
        <v>1597.447</v>
      </c>
      <c r="O4">
        <f>IF(ISNUMBER('Inputs (2)'!J50),'Inputs (2)'!J50,"")</f>
        <v>1440.951</v>
      </c>
      <c r="P4">
        <f>IF(ISNUMBER('Inputs (2)'!K50),'Inputs (2)'!K50,"")</f>
        <v>1398.242</v>
      </c>
      <c r="Q4">
        <f>IF(ISNUMBER('Inputs (2)'!L50),'Inputs (2)'!L50,"")</f>
        <v>55.284</v>
      </c>
      <c r="R4" s="11">
        <f>IF(COUNT(N4:Q4)=4,SUM(N4:Q4),"")</f>
        <v>4491.924</v>
      </c>
      <c r="S4">
        <f>IF(ISNUMBER('Inputs (2)'!N50),'Inputs (2)'!N50,"")</f>
        <v>1305.12</v>
      </c>
      <c r="T4">
        <f>IF(ISNUMBER('Inputs (2)'!O50),'Inputs (2)'!O50,"")</f>
        <v>1487.61</v>
      </c>
      <c r="U4">
        <f>IF(ISNUMBER('Inputs (2)'!P50),'Inputs (2)'!P50,"")</f>
        <v>1677.422</v>
      </c>
      <c r="V4">
        <f>IF(ISNUMBER('Inputs (2)'!Q50),'Inputs (2)'!Q50,"")</f>
        <v>937.838</v>
      </c>
      <c r="W4" s="11">
        <f>IF(COUNT(S4:V4)=4,SUM(S4:V4),"")</f>
        <v>5407.99</v>
      </c>
      <c r="X4">
        <f>IF(ISNUMBER('Inputs (2)'!S50),'Inputs (2)'!S50,"")</f>
        <v>2332.209</v>
      </c>
      <c r="Y4">
        <f>IF(ISNUMBER('Inputs (2)'!T50),'Inputs (2)'!T50,"")</f>
        <v>2147.306</v>
      </c>
      <c r="Z4">
        <f>IF(ISNUMBER('Inputs (2)'!U50),'Inputs (2)'!U50,"")</f>
        <v>2363.509</v>
      </c>
      <c r="AA4">
        <f>IF(ISNUMBER('Inputs (2)'!V50),'Inputs (2)'!V50,"")</f>
        <v>1868.607</v>
      </c>
      <c r="AB4" s="11">
        <f>IF(COUNT(X4:AA4)=4,SUM(X4:AA4),"")</f>
        <v>8711.631</v>
      </c>
      <c r="AC4">
        <f>IF(ISNUMBER('Inputs (2)'!X50),'Inputs (2)'!X50,"")</f>
        <v>2890.351</v>
      </c>
      <c r="AD4">
        <f>IF(ISNUMBER('Inputs (2)'!Y50),'Inputs (2)'!Y50,"")</f>
        <v>3125.413</v>
      </c>
      <c r="AE4">
        <f>IF(ISNUMBER('Inputs (2)'!Z50),'Inputs (2)'!Z50,"")</f>
        <v>2546.916</v>
      </c>
      <c r="AF4">
        <f>IF(ISNUMBER('Inputs (2)'!AA50),'Inputs (2)'!AA50,"")</f>
        <v>2418.521</v>
      </c>
      <c r="AG4" s="11">
        <f>IF(COUNT(AC4:AF4)=4,SUM(AC4:AF4),"")</f>
        <v>10981.201</v>
      </c>
      <c r="AH4" s="11">
        <f>IF(ISNUMBER('Inputs (2)'!AC50),'Inputs (2)'!AC50,"")</f>
        <v>5282.791</v>
      </c>
      <c r="AI4" s="11">
        <f>IF(ISNUMBER('Inputs (2)'!AD50),'Inputs (2)'!AD50,"")</f>
        <v>3401.414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7163.282</v>
      </c>
      <c r="J15" s="34">
        <f>'Inputs (2)'!E4</f>
        <v>7341.777</v>
      </c>
      <c r="K15" s="34">
        <f>'Inputs (2)'!F4</f>
        <v>7483.467</v>
      </c>
      <c r="L15" s="34">
        <f>'Inputs (2)'!G4</f>
        <v>7709.318</v>
      </c>
      <c r="M15" s="35">
        <f>'Inputs (2)'!H4</f>
        <v>29697.844</v>
      </c>
      <c r="N15" s="34">
        <f>'Inputs (2)'!I4</f>
        <v>7867.767</v>
      </c>
      <c r="O15" s="34">
        <f>'Inputs (2)'!J4</f>
        <v>7970.141</v>
      </c>
      <c r="P15" s="34">
        <f>'Inputs (2)'!K4</f>
        <v>7925.589</v>
      </c>
      <c r="Q15" s="34">
        <f>'Inputs (2)'!L4</f>
        <v>7852.053</v>
      </c>
      <c r="R15" s="35">
        <f>'Inputs (2)'!M4</f>
        <v>31615.55</v>
      </c>
      <c r="S15" s="34">
        <f>'Inputs (2)'!N4</f>
        <v>8161.503</v>
      </c>
      <c r="T15" s="34">
        <f>'Inputs (2)'!O4</f>
        <v>8187.301</v>
      </c>
      <c r="U15" s="34">
        <f>'Inputs (2)'!P4</f>
        <v>8541.668</v>
      </c>
      <c r="V15" s="34">
        <f>'Inputs (2)'!Q4</f>
        <v>8832.825</v>
      </c>
      <c r="W15" s="35">
        <f>'Inputs (2)'!R4</f>
        <v>33723.297</v>
      </c>
      <c r="X15" s="34">
        <f>'Inputs (2)'!S4</f>
        <v>9370.44</v>
      </c>
      <c r="Y15" s="34">
        <f>'Inputs (2)'!T4</f>
        <v>9559.31</v>
      </c>
      <c r="Z15" s="34">
        <f>'Inputs (2)'!U4</f>
        <v>9824.703</v>
      </c>
      <c r="AA15" s="34">
        <f>'Inputs (2)'!V4</f>
        <v>10246.513</v>
      </c>
      <c r="AB15" s="35">
        <f>'Inputs (2)'!W4</f>
        <v>39000.966</v>
      </c>
      <c r="AC15" s="34">
        <f>'Inputs (2)'!X4</f>
        <v>10542.801</v>
      </c>
      <c r="AD15" s="34">
        <f>'Inputs (2)'!Y4</f>
        <v>11079.166</v>
      </c>
      <c r="AE15" s="34">
        <f>'Inputs (2)'!Z4</f>
        <v>11510.307</v>
      </c>
      <c r="AF15" s="34">
        <f>'Inputs (2)'!AA4</f>
        <v>12050.762</v>
      </c>
      <c r="AG15" s="35">
        <f>'Inputs (2)'!AB4</f>
        <v>45183.036</v>
      </c>
      <c r="AH15" s="35">
        <f>'Inputs (2)'!AC4</f>
        <v>12249.757</v>
      </c>
      <c r="AI15" s="35">
        <f>'Inputs (2)'!AD4</f>
        <v>12559.938</v>
      </c>
      <c r="AJ15" s="35">
        <f>AE15*(1+AJ16)</f>
        <v>13289.2595809853</v>
      </c>
      <c r="AK15" s="35">
        <f>AF15*(1+AK16)</f>
        <v>13913.2435274466</v>
      </c>
      <c r="AL15" s="35">
        <f>SUM(AH15:AK15)</f>
        <v>52012.1981084319</v>
      </c>
      <c r="AM15" s="35">
        <f>AH15*(1+AM16)</f>
        <v>14142.993803466</v>
      </c>
      <c r="AN15" s="35">
        <f>AI15*(1+AN16)</f>
        <v>14501.1142103404</v>
      </c>
      <c r="AO15" s="35">
        <f>AJ15*(1+AO16)</f>
        <v>15343.1546361716</v>
      </c>
      <c r="AP15" s="35">
        <f>AK15*(1+AP16)</f>
        <v>16063.5771791057</v>
      </c>
      <c r="AQ15" s="35">
        <f>SUM(AM15:AP15)</f>
        <v>60050.8398290838</v>
      </c>
      <c r="AR15" s="35">
        <f>AM15*(1+AR16)</f>
        <v>16258.1210825776</v>
      </c>
      <c r="AS15" s="35">
        <f>AN15*(1+AS16)</f>
        <v>16669.7994738727</v>
      </c>
      <c r="AT15" s="35">
        <f>AO15*(1+AT16)</f>
        <v>17637.7695790589</v>
      </c>
      <c r="AU15" s="35">
        <f>AP15*(1+AU16)</f>
        <v>18465.9334810165</v>
      </c>
      <c r="AV15" s="35">
        <f>SUM(AR15:AU15)</f>
        <v>69031.6236165256</v>
      </c>
      <c r="AW15" s="35">
        <f>AR15*(1+AW16)</f>
        <v>18608.2814052159</v>
      </c>
      <c r="AX15" s="35">
        <f>AS15*(1+AX16)</f>
        <v>19079.4691466994</v>
      </c>
      <c r="AY15" s="35">
        <f>AT15*(1+AY16)</f>
        <v>20187.3622431805</v>
      </c>
      <c r="AZ15" s="35">
        <f>AU15*(1+AZ16)</f>
        <v>21135.239729084</v>
      </c>
      <c r="BA15" s="35">
        <f>SUM(AW15:AZ15)</f>
        <v>79010.3525241799</v>
      </c>
      <c r="BB15" s="35">
        <f>AW15*(1+BB16)</f>
        <v>21205.1230670207</v>
      </c>
      <c r="BC15" s="35">
        <f>AX15*(1+BC16)</f>
        <v>21742.0664756166</v>
      </c>
      <c r="BD15" s="35">
        <f>AY15*(1+BD16)</f>
        <v>23004.5693873255</v>
      </c>
      <c r="BE15" s="35">
        <f>AZ15*(1+BE16)</f>
        <v>24084.7260285191</v>
      </c>
      <c r="BF15" s="35">
        <f>SUM(BB15:BE15)</f>
        <v>90036.4849584818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0.0983466796365129</v>
      </c>
      <c r="O16" s="40">
        <f>IFERROR(O15/J15-1,"")</f>
        <v>0.0855874538275951</v>
      </c>
      <c r="P16" s="40">
        <f>IFERROR(P15/K15-1,"")</f>
        <v>0.0590798355895736</v>
      </c>
      <c r="Q16" s="40">
        <f>IFERROR(Q15/L15-1,"")</f>
        <v>0.0185146079069509</v>
      </c>
      <c r="R16" s="40">
        <f>IFERROR(R15/M15-1,"")</f>
        <v>0.0645739131769971</v>
      </c>
      <c r="S16" s="40">
        <f>IFERROR(S15/N15-1,"")</f>
        <v>0.0373341000057577</v>
      </c>
      <c r="T16" s="40">
        <f>IFERROR(T15/O15-1,"")</f>
        <v>0.0272466948828134</v>
      </c>
      <c r="U16" s="40">
        <f>IFERROR(U15/P15-1,"")</f>
        <v>0.0777328978325775</v>
      </c>
      <c r="V16" s="40">
        <f>IFERROR(V15/Q15-1,"")</f>
        <v>0.124906441665638</v>
      </c>
      <c r="W16" s="40">
        <f>IFERROR(W15/R15-1,"")</f>
        <v>0.0666680478435455</v>
      </c>
      <c r="X16" s="40">
        <f>IFERROR(X15/S15-1,"")</f>
        <v>0.148126760475368</v>
      </c>
      <c r="Y16" s="40">
        <f>IFERROR(Y15/T15-1,"")</f>
        <v>0.167577691353964</v>
      </c>
      <c r="Z16" s="40">
        <f>IFERROR(Z15/U15-1,"")</f>
        <v>0.150208952162505</v>
      </c>
      <c r="AA16" s="40">
        <f>IFERROR(AA15/V15-1,"")</f>
        <v>0.160049361331171</v>
      </c>
      <c r="AB16" s="40">
        <f>IFERROR(AB15/W15-1,"")</f>
        <v>0.156499199944774</v>
      </c>
      <c r="AC16" s="40">
        <f>IFERROR(AC15/X15-1,"")</f>
        <v>0.125112694814758</v>
      </c>
      <c r="AD16" s="40">
        <f>IFERROR(AD15/Y15-1,"")</f>
        <v>0.158992228518586</v>
      </c>
      <c r="AE16" s="40">
        <f>IFERROR(AE15/Z15-1,"")</f>
        <v>0.171567934420003</v>
      </c>
      <c r="AF16" s="41">
        <f>IFERROR(AF15/AA15-1,"")</f>
        <v>0.176084195667346</v>
      </c>
      <c r="AG16" s="40">
        <f>IFERROR(AG15/AB15-1,"")</f>
        <v>0.158510689196775</v>
      </c>
      <c r="AH16" s="41">
        <f>IFERROR(AH15/AC15-1,"")</f>
        <v>0.161907257853013</v>
      </c>
      <c r="AI16" s="41">
        <f>IFERROR(AI15/AD15-1,"")</f>
        <v>0.133653742528995</v>
      </c>
      <c r="AJ16" s="41">
        <f>Control!$B$18</f>
        <v>0.154553008967117</v>
      </c>
      <c r="AK16" s="41">
        <f>Control!$B$18</f>
        <v>0.154553008967117</v>
      </c>
      <c r="AL16" s="42">
        <f>IFERROR(AL15/AG15-1,"")</f>
        <v>0.151144383224533</v>
      </c>
      <c r="AM16" s="41">
        <f>Control!$C$18</f>
        <v>0.154553008967117</v>
      </c>
      <c r="AN16" s="41">
        <f>Control!$C$18</f>
        <v>0.154553008967117</v>
      </c>
      <c r="AO16" s="41">
        <f>Control!$C$18</f>
        <v>0.154553008967117</v>
      </c>
      <c r="AP16" s="41">
        <f>Control!$C$18</f>
        <v>0.154553008967117</v>
      </c>
      <c r="AQ16" s="42">
        <f>IFERROR(AQ15/AL15-1,"")</f>
        <v>0.154553008967117</v>
      </c>
      <c r="AR16" s="41">
        <f>Control!$D$18</f>
        <v>0.149553008967117</v>
      </c>
      <c r="AS16" s="41">
        <f>Control!$D$18</f>
        <v>0.149553008967117</v>
      </c>
      <c r="AT16" s="41">
        <f>Control!$D$18</f>
        <v>0.149553008967117</v>
      </c>
      <c r="AU16" s="41">
        <f>Control!$D$18</f>
        <v>0.149553008967117</v>
      </c>
      <c r="AV16" s="42">
        <f>IFERROR(AV15/AQ15-1,"")</f>
        <v>0.149553008967117</v>
      </c>
      <c r="AW16" s="41">
        <f>Control!$E$18</f>
        <v>0.144553008967117</v>
      </c>
      <c r="AX16" s="41">
        <f>Control!$E$18</f>
        <v>0.144553008967117</v>
      </c>
      <c r="AY16" s="41">
        <f>Control!$E$18</f>
        <v>0.144553008967117</v>
      </c>
      <c r="AZ16" s="41">
        <f>Control!$E$18</f>
        <v>0.144553008967117</v>
      </c>
      <c r="BA16" s="42">
        <f>IFERROR(BA15/AV15-1,"")</f>
        <v>0.144553008967117</v>
      </c>
      <c r="BB16" s="41">
        <f>Control!$F$18</f>
        <v>0.139553008967117</v>
      </c>
      <c r="BC16" s="41">
        <f>Control!$F$18</f>
        <v>0.139553008967117</v>
      </c>
      <c r="BD16" s="41">
        <f>Control!$F$18</f>
        <v>0.139553008967117</v>
      </c>
      <c r="BE16" s="41">
        <f>Control!$F$18</f>
        <v>0.139553008967117</v>
      </c>
      <c r="BF16" s="42">
        <f>IFERROR(BF15/BA15-1,"")</f>
        <v>0.139553008967117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IF(ISNUMBER(I25),I25,"")</f>
        <v>-0.4</v>
      </c>
      <c r="J17" s="40">
        <f>IF(ISNUMBER(J25),J25,"")</f>
        <v>0.3</v>
      </c>
      <c r="K17" s="40">
        <f>IF(ISNUMBER(K25),K25,"")</f>
        <v>0.2</v>
      </c>
      <c r="L17" s="40">
        <f>IF(ISNUMBER(L25),L25,"")</f>
        <v>-17.8</v>
      </c>
      <c r="M17" s="39">
        <f>IF(ISNUMBER(M25),M25,"")</f>
        <v>-17.7</v>
      </c>
      <c r="N17" s="40">
        <f>IF(ISNUMBER(N25),N25,"")</f>
        <v>-0.2</v>
      </c>
      <c r="O17" s="40">
        <f>IF(ISNUMBER(O25),O25,"")</f>
        <v>0.1</v>
      </c>
      <c r="P17" s="40">
        <f>IF(ISNUMBER(P25),P25,"")</f>
        <v>0.2</v>
      </c>
      <c r="Q17" s="40">
        <f>IF(ISNUMBER(Q25),Q25,"")</f>
        <v>45.6</v>
      </c>
      <c r="R17" s="40">
        <f>IF(ISNUMBER(R25),R25,"")</f>
        <v>45.7</v>
      </c>
      <c r="S17" s="40">
        <f>IF(ISNUMBER(S25),S25,"")</f>
        <v>-0.5</v>
      </c>
      <c r="T17" s="40">
        <f>IF(ISNUMBER(T25),T25,"")</f>
        <v>0</v>
      </c>
      <c r="U17" s="40">
        <f>IF(ISNUMBER(U25),U25,"")</f>
        <v>0.4</v>
      </c>
      <c r="V17" s="40">
        <f>IF(ISNUMBER(V25),V25,"")</f>
        <v>0</v>
      </c>
      <c r="W17" s="40">
        <f>IF(ISNUMBER(W25),W25,"")</f>
        <v>82.8</v>
      </c>
      <c r="X17" s="40">
        <f>IF(ISNUMBER(X25),X25,"")</f>
        <v>0</v>
      </c>
      <c r="Y17" s="40">
        <f>IF(ISNUMBER(Y25),Y25,"")</f>
        <v>0</v>
      </c>
      <c r="Z17" s="40">
        <f>IF(ISNUMBER(Z25),Z25,"")</f>
        <v>0</v>
      </c>
      <c r="AA17" s="40">
        <f>IF(ISNUMBER(AA25),AA25,"")</f>
        <v>0</v>
      </c>
      <c r="AB17" s="40">
        <f>IF(ISNUMBER(AB25),AB25,"")</f>
        <v>0</v>
      </c>
      <c r="AC17" s="40">
        <f>IF(ISNUMBER(AC25),AC25,"")</f>
        <v>0</v>
      </c>
      <c r="AD17" s="40">
        <f>IF(ISNUMBER(AD25),AD25,"")</f>
        <v>0</v>
      </c>
      <c r="AE17" s="40">
        <f>IF(ISNUMBER(AE25),AE25,"")</f>
        <v>0</v>
      </c>
      <c r="AF17" s="40">
        <f>IF(ISNUMBER(AF25),AF25,"")</f>
        <v>0</v>
      </c>
      <c r="AG17" s="40">
        <f>IF(ISNUMBER(AG25),AG25,"")</f>
        <v>0</v>
      </c>
      <c r="AH17" s="41">
        <f>IF(ISNUMBER(AH25),AH25,"")</f>
        <v>0</v>
      </c>
      <c r="AI17" s="41">
        <f>IF(ISNUMBER(AI25),AI25,"")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por região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EUA e Canadá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3170.972</v>
      </c>
      <c r="J19" s="269">
        <f>IFERROR(INDEX('Inputs (2)'!$D$53:$AL$53,MATCH(J$7&amp;"",'Inputs (2)'!$D$2:$AL$2,0)),"")</f>
        <v>3234.643</v>
      </c>
      <c r="K19" s="269">
        <f>IFERROR(INDEX('Inputs (2)'!$D$53:$AL$53,MATCH(K$7&amp;"",'Inputs (2)'!$D$2:$AL$2,0)),"")</f>
        <v>3257.697</v>
      </c>
      <c r="L19" s="269">
        <f>IFERROR(INDEX('Inputs (2)'!$D$53:$AL$53,MATCH(L$7&amp;"",'Inputs (2)'!$D$2:$AL$2,0)),"")</f>
        <v>3308.788</v>
      </c>
      <c r="M19" s="270">
        <f>IF(COUNT(I19:L19)=4,SUM(I19:L19),"")</f>
        <v>12972.1</v>
      </c>
      <c r="N19" s="269">
        <f>IFERROR(INDEX('Inputs (2)'!$D$53:$AL$53,MATCH(N$7&amp;"",'Inputs (2)'!$D$2:$AL$2,0)),"")</f>
        <v>3350.424</v>
      </c>
      <c r="O19" s="269">
        <f>IFERROR(INDEX('Inputs (2)'!$D$53:$AL$53,MATCH(O$7&amp;"",'Inputs (2)'!$D$2:$AL$2,0)),"")</f>
        <v>3537.863</v>
      </c>
      <c r="P19" s="269">
        <f>IFERROR(INDEX('Inputs (2)'!$D$53:$AL$53,MATCH(P$7&amp;"",'Inputs (2)'!$D$2:$AL$2,0)),"")</f>
        <v>3601.565</v>
      </c>
      <c r="Q19" s="269">
        <f>IFERROR(INDEX('Inputs (2)'!$D$53:$AL$53,MATCH(Q$7&amp;"",'Inputs (2)'!$D$2:$AL$2,0)),"")</f>
        <v>3594.791</v>
      </c>
      <c r="R19" s="270">
        <f>IF(COUNT(N19:Q19)=4,SUM(N19:Q19),"")</f>
        <v>14084.643</v>
      </c>
      <c r="S19" s="269">
        <f>IFERROR(INDEX('Inputs (2)'!$D$53:$AL$53,MATCH(S$7&amp;"",'Inputs (2)'!$D$2:$AL$2,0)),"")</f>
        <v>3608.645</v>
      </c>
      <c r="T19" s="269">
        <f>IFERROR(INDEX('Inputs (2)'!$D$53:$AL$53,MATCH(T$7&amp;"",'Inputs (2)'!$D$2:$AL$2,0)),"")</f>
        <v>3599.448</v>
      </c>
      <c r="U19" s="269">
        <f>IFERROR(INDEX('Inputs (2)'!$D$53:$AL$53,MATCH(U$7&amp;"",'Inputs (2)'!$D$2:$AL$2,0)),"")</f>
        <v>3735.133</v>
      </c>
      <c r="V19" s="269">
        <f>IFERROR(INDEX('Inputs (2)'!$D$53:$AL$53,MATCH(V$7&amp;"",'Inputs (2)'!$D$2:$AL$2,0)),"")</f>
        <v>3930.557</v>
      </c>
      <c r="W19" s="270">
        <f>IF(COUNT(S19:V19)=4,SUM(S19:V19),"")</f>
        <v>14873.783</v>
      </c>
      <c r="X19" s="269">
        <f>IFERROR(INDEX('Inputs (2)'!$D$53:$AL$53,MATCH(X$7&amp;"",'Inputs (2)'!$D$2:$AL$2,0)),"")</f>
        <v>4224.315</v>
      </c>
      <c r="Y19" s="269">
        <f>IFERROR(INDEX('Inputs (2)'!$D$53:$AL$53,MATCH(Y$7&amp;"",'Inputs (2)'!$D$2:$AL$2,0)),"")</f>
        <v>4295.56</v>
      </c>
      <c r="Z19" s="269">
        <f>IFERROR(INDEX('Inputs (2)'!$D$53:$AL$53,MATCH(Z$7&amp;"",'Inputs (2)'!$D$2:$AL$2,0)),"")</f>
        <v>4322.476</v>
      </c>
      <c r="AA19" s="269">
        <f>IFERROR(INDEX('Inputs (2)'!$D$53:$AL$53,MATCH(AA$7&amp;"",'Inputs (2)'!$D$2:$AL$2,0)),"")</f>
        <v>4517.018</v>
      </c>
      <c r="AB19" s="270">
        <f>IF(COUNT(X19:AA19)=4,SUM(X19:AA19),"")</f>
        <v>17359.369</v>
      </c>
      <c r="AC19" s="269">
        <f>IFERROR(INDEX('Inputs (2)'!$D$53:$AL$53,MATCH(AC$7&amp;"",'Inputs (2)'!$D$2:$AL$2,0)),"")</f>
        <v>4617.098</v>
      </c>
      <c r="AD19" s="269">
        <f>IFERROR(INDEX('Inputs (2)'!$D$53:$AL$53,MATCH(AD$7&amp;"",'Inputs (2)'!$D$2:$AL$2,0)),"")</f>
        <v>4929.003</v>
      </c>
      <c r="AE19" s="269">
        <f>IFERROR(INDEX('Inputs (2)'!$D$53:$AL$53,MATCH(AE$7&amp;"",'Inputs (2)'!$D$2:$AL$2,0)),"")</f>
        <v>5071.781</v>
      </c>
      <c r="AF19" s="269">
        <f>IFERROR(INDEX('Inputs (2)'!$D$53:$AL$53,MATCH(AF$7&amp;"",'Inputs (2)'!$D$2:$AL$2,0)),"")</f>
        <v>5339.27</v>
      </c>
      <c r="AG19" s="270">
        <f>IF(COUNT(AC19:AF19)=4,SUM(AC19:AF19),"")</f>
        <v>19957.152</v>
      </c>
      <c r="AH19" s="270">
        <f>IFERROR(INDEX('Inputs (2)'!$D$53:$AL$53,MATCH(AH$7&amp;"",'Inputs (2)'!$D$2:$AL$2,0)),"")</f>
        <v>5245.298</v>
      </c>
      <c r="AI19" s="270">
        <f>IFERROR(INDEX('Inputs (2)'!$D$53:$AL$53,MATCH(AI$7&amp;"",'Inputs (2)'!$D$2:$AL$2,0)),"")</f>
        <v>5431.667</v>
      </c>
    </row>
    <row r="20">
      <c r="C20" s="268" t="inlineStr">
        <is>
          <t xml:space="preserve">   EMEA</t>
        </is>
      </c>
      <c r="D20" s="269" t="str">
        <f>IFERROR(INDEX('Inputs (2)'!$D$55:$AL$55,MATCH(D$7&amp;"",'Inputs (2)'!$D$2:$AL$2,0)),"")</f>
        <v/>
      </c>
      <c r="E20" s="269" t="str">
        <f>IFERROR(INDEX('Inputs (2)'!$D$55:$AL$55,MATCH(E$7&amp;"",'Inputs (2)'!$D$2:$AL$2,0)),"")</f>
        <v/>
      </c>
      <c r="F20" s="269" t="str">
        <f>IFERROR(INDEX('Inputs (2)'!$D$55:$AL$55,MATCH(F$7&amp;"",'Inputs (2)'!$D$2:$AL$2,0)),"")</f>
        <v/>
      </c>
      <c r="G20" s="269" t="str">
        <f>IFERROR(INDEX('Inputs (2)'!$D$55:$AL$55,MATCH(G$7&amp;"",'Inputs (2)'!$D$2:$AL$2,0)),"")</f>
        <v/>
      </c>
      <c r="H20" s="270" t="str">
        <f>IF(COUNT(D20:G20)=4,SUM(D20:G20),"")</f>
        <v/>
      </c>
      <c r="I20" s="269">
        <f>IFERROR(INDEX('Inputs (2)'!$D$55:$AL$55,MATCH(I$7&amp;"",'Inputs (2)'!$D$2:$AL$2,0)),"")</f>
        <v>2343.674</v>
      </c>
      <c r="J20" s="269">
        <f>IFERROR(INDEX('Inputs (2)'!$D$55:$AL$55,MATCH(J$7&amp;"",'Inputs (2)'!$D$2:$AL$2,0)),"")</f>
        <v>2400.48</v>
      </c>
      <c r="K20" s="269">
        <f>IFERROR(INDEX('Inputs (2)'!$D$55:$AL$55,MATCH(K$7&amp;"",'Inputs (2)'!$D$2:$AL$2,0)),"")</f>
        <v>2432.239</v>
      </c>
      <c r="L20" s="269">
        <f>IFERROR(INDEX('Inputs (2)'!$D$55:$AL$55,MATCH(L$7&amp;"",'Inputs (2)'!$D$2:$AL$2,0)),"")</f>
        <v>2523.426</v>
      </c>
      <c r="M20" s="270">
        <f>IF(COUNT(I20:L20)=4,SUM(I20:L20),"")</f>
        <v>9699.819</v>
      </c>
      <c r="N20" s="269">
        <f>IFERROR(INDEX('Inputs (2)'!$D$55:$AL$55,MATCH(N$7&amp;"",'Inputs (2)'!$D$2:$AL$2,0)),"")</f>
        <v>2561.831</v>
      </c>
      <c r="O20" s="269">
        <f>IFERROR(INDEX('Inputs (2)'!$D$55:$AL$55,MATCH(O$7&amp;"",'Inputs (2)'!$D$2:$AL$2,0)),"")</f>
        <v>2457.235</v>
      </c>
      <c r="P20" s="269">
        <f>IFERROR(INDEX('Inputs (2)'!$D$55:$AL$55,MATCH(P$7&amp;"",'Inputs (2)'!$D$2:$AL$2,0)),"")</f>
        <v>2375.814</v>
      </c>
      <c r="Q20" s="269">
        <f>IFERROR(INDEX('Inputs (2)'!$D$55:$AL$55,MATCH(Q$7&amp;"",'Inputs (2)'!$D$2:$AL$2,0)),"")</f>
        <v>2350.135</v>
      </c>
      <c r="R20" s="270">
        <f>IF(COUNT(N20:Q20)=4,SUM(N20:Q20),"")</f>
        <v>9745.015</v>
      </c>
      <c r="S20" s="269">
        <f>IFERROR(INDEX('Inputs (2)'!$D$55:$AL$55,MATCH(S$7&amp;"",'Inputs (2)'!$D$2:$AL$2,0)),"")</f>
        <v>2517.641</v>
      </c>
      <c r="T20" s="269">
        <f>IFERROR(INDEX('Inputs (2)'!$D$55:$AL$55,MATCH(T$7&amp;"",'Inputs (2)'!$D$2:$AL$2,0)),"")</f>
        <v>2562.17</v>
      </c>
      <c r="U20" s="269">
        <f>IFERROR(INDEX('Inputs (2)'!$D$55:$AL$55,MATCH(U$7&amp;"",'Inputs (2)'!$D$2:$AL$2,0)),"")</f>
        <v>2693.146</v>
      </c>
      <c r="V20" s="269">
        <f>IFERROR(INDEX('Inputs (2)'!$D$55:$AL$55,MATCH(V$7&amp;"",'Inputs (2)'!$D$2:$AL$2,0)),"")</f>
        <v>2783.53</v>
      </c>
      <c r="W20" s="270">
        <f>IF(COUNT(S20:V20)=4,SUM(S20:V20),"")</f>
        <v>10556.487</v>
      </c>
      <c r="X20" s="269">
        <f>IFERROR(INDEX('Inputs (2)'!$D$55:$AL$55,MATCH(X$7&amp;"",'Inputs (2)'!$D$2:$AL$2,0)),"")</f>
        <v>2958.193</v>
      </c>
      <c r="Y20" s="269">
        <f>IFERROR(INDEX('Inputs (2)'!$D$55:$AL$55,MATCH(Y$7&amp;"",'Inputs (2)'!$D$2:$AL$2,0)),"")</f>
        <v>3007.772</v>
      </c>
      <c r="Z20" s="269">
        <f>IFERROR(INDEX('Inputs (2)'!$D$55:$AL$55,MATCH(Z$7&amp;"",'Inputs (2)'!$D$2:$AL$2,0)),"")</f>
        <v>3133.466</v>
      </c>
      <c r="AA20" s="269">
        <f>IFERROR(INDEX('Inputs (2)'!$D$55:$AL$55,MATCH(AA$7&amp;"",'Inputs (2)'!$D$2:$AL$2,0)),"")</f>
        <v>3287.604</v>
      </c>
      <c r="AB20" s="270">
        <f>IF(COUNT(X20:AA20)=4,SUM(X20:AA20),"")</f>
        <v>12387.035</v>
      </c>
      <c r="AC20" s="269">
        <f>IFERROR(INDEX('Inputs (2)'!$D$55:$AL$55,MATCH(AC$7&amp;"",'Inputs (2)'!$D$2:$AL$2,0)),"")</f>
        <v>3404.676</v>
      </c>
      <c r="AD20" s="269">
        <f>IFERROR(INDEX('Inputs (2)'!$D$55:$AL$55,MATCH(AD$7&amp;"",'Inputs (2)'!$D$2:$AL$2,0)),"")</f>
        <v>3538.175</v>
      </c>
      <c r="AE20" s="269">
        <f>IFERROR(INDEX('Inputs (2)'!$D$55:$AL$55,MATCH(AE$7&amp;"",'Inputs (2)'!$D$2:$AL$2,0)),"")</f>
        <v>3699.052</v>
      </c>
      <c r="AF20" s="269">
        <f>IFERROR(INDEX('Inputs (2)'!$D$55:$AL$55,MATCH(AF$7&amp;"",'Inputs (2)'!$D$2:$AL$2,0)),"")</f>
        <v>3872.743</v>
      </c>
      <c r="AG20" s="270">
        <f>IF(COUNT(AC20:AF20)=4,SUM(AC20:AF20),"")</f>
        <v>14514.646</v>
      </c>
      <c r="AH20" s="270">
        <f>IFERROR(INDEX('Inputs (2)'!$D$55:$AL$55,MATCH(AH$7&amp;"",'Inputs (2)'!$D$2:$AL$2,0)),"")</f>
        <v>3998.419</v>
      </c>
      <c r="AI20" s="270">
        <f>IFERROR(INDEX('Inputs (2)'!$D$55:$AL$55,MATCH(AI$7&amp;"",'Inputs (2)'!$D$2:$AL$2,0)),"")</f>
        <v>4033.515</v>
      </c>
    </row>
    <row r="21">
      <c r="C21" s="268" t="inlineStr">
        <is>
          <t xml:space="preserve">   América Latina</t>
        </is>
      </c>
      <c r="D21" s="269" t="str">
        <f>IFERROR(INDEX('Inputs (2)'!$D$57:$AL$57,MATCH(D$7&amp;"",'Inputs (2)'!$D$2:$AL$2,0)),"")</f>
        <v/>
      </c>
      <c r="E21" s="269" t="str">
        <f>IFERROR(INDEX('Inputs (2)'!$D$57:$AL$57,MATCH(E$7&amp;"",'Inputs (2)'!$D$2:$AL$2,0)),"")</f>
        <v/>
      </c>
      <c r="F21" s="269" t="str">
        <f>IFERROR(INDEX('Inputs (2)'!$D$57:$AL$57,MATCH(F$7&amp;"",'Inputs (2)'!$D$2:$AL$2,0)),"")</f>
        <v/>
      </c>
      <c r="G21" s="269" t="str">
        <f>IFERROR(INDEX('Inputs (2)'!$D$57:$AL$57,MATCH(G$7&amp;"",'Inputs (2)'!$D$2:$AL$2,0)),"")</f>
        <v/>
      </c>
      <c r="H21" s="270" t="str">
        <f>IF(COUNT(D21:G21)=4,SUM(D21:G21),"")</f>
        <v/>
      </c>
      <c r="I21" s="269">
        <f>IFERROR(INDEX('Inputs (2)'!$D$57:$AL$57,MATCH(I$7&amp;"",'Inputs (2)'!$D$2:$AL$2,0)),"")</f>
        <v>836.647</v>
      </c>
      <c r="J21" s="269">
        <f>IFERROR(INDEX('Inputs (2)'!$D$57:$AL$57,MATCH(J$7&amp;"",'Inputs (2)'!$D$2:$AL$2,0)),"")</f>
        <v>860.882</v>
      </c>
      <c r="K21" s="269">
        <f>IFERROR(INDEX('Inputs (2)'!$D$57:$AL$57,MATCH(K$7&amp;"",'Inputs (2)'!$D$2:$AL$2,0)),"")</f>
        <v>915.297</v>
      </c>
      <c r="L21" s="269">
        <f>IFERROR(INDEX('Inputs (2)'!$D$57:$AL$57,MATCH(L$7&amp;"",'Inputs (2)'!$D$2:$AL$2,0)),"")</f>
        <v>964.15</v>
      </c>
      <c r="M21" s="270">
        <f>IF(COUNT(I21:L21)=4,SUM(I21:L21),"")</f>
        <v>3576.976</v>
      </c>
      <c r="N21" s="269">
        <f>IFERROR(INDEX('Inputs (2)'!$D$57:$AL$57,MATCH(N$7&amp;"",'Inputs (2)'!$D$2:$AL$2,0)),"")</f>
        <v>998.948</v>
      </c>
      <c r="O21" s="269">
        <f>IFERROR(INDEX('Inputs (2)'!$D$57:$AL$57,MATCH(O$7&amp;"",'Inputs (2)'!$D$2:$AL$2,0)),"")</f>
        <v>1030.234</v>
      </c>
      <c r="P21" s="269">
        <f>IFERROR(INDEX('Inputs (2)'!$D$57:$AL$57,MATCH(P$7&amp;"",'Inputs (2)'!$D$2:$AL$2,0)),"")</f>
        <v>1023.945</v>
      </c>
      <c r="Q21" s="269">
        <f>IFERROR(INDEX('Inputs (2)'!$D$57:$AL$57,MATCH(Q$7&amp;"",'Inputs (2)'!$D$2:$AL$2,0)),"")</f>
        <v>1016.846</v>
      </c>
      <c r="R21" s="270">
        <f>IF(COUNT(N21:Q21)=4,SUM(N21:Q21),"")</f>
        <v>4069.973</v>
      </c>
      <c r="S21" s="269">
        <f>IFERROR(INDEX('Inputs (2)'!$D$57:$AL$57,MATCH(S$7&amp;"",'Inputs (2)'!$D$2:$AL$2,0)),"")</f>
        <v>1070.192</v>
      </c>
      <c r="T21" s="269">
        <f>IFERROR(INDEX('Inputs (2)'!$D$57:$AL$57,MATCH(T$7&amp;"",'Inputs (2)'!$D$2:$AL$2,0)),"")</f>
        <v>1077.435</v>
      </c>
      <c r="U21" s="269">
        <f>IFERROR(INDEX('Inputs (2)'!$D$57:$AL$57,MATCH(U$7&amp;"",'Inputs (2)'!$D$2:$AL$2,0)),"")</f>
        <v>1142.811</v>
      </c>
      <c r="V21" s="269">
        <f>IFERROR(INDEX('Inputs (2)'!$D$57:$AL$57,MATCH(V$7&amp;"",'Inputs (2)'!$D$2:$AL$2,0)),"")</f>
        <v>1156.023</v>
      </c>
      <c r="W21" s="270">
        <f>IF(COUNT(S21:V21)=4,SUM(S21:V21),"")</f>
        <v>4446.461</v>
      </c>
      <c r="X21" s="269">
        <f>IFERROR(INDEX('Inputs (2)'!$D$57:$AL$57,MATCH(X$7&amp;"",'Inputs (2)'!$D$2:$AL$2,0)),"")</f>
        <v>1165.008</v>
      </c>
      <c r="Y21" s="269">
        <f>IFERROR(INDEX('Inputs (2)'!$D$57:$AL$57,MATCH(Y$7&amp;"",'Inputs (2)'!$D$2:$AL$2,0)),"")</f>
        <v>1204.145</v>
      </c>
      <c r="Z21" s="269">
        <f>IFERROR(INDEX('Inputs (2)'!$D$57:$AL$57,MATCH(Z$7&amp;"",'Inputs (2)'!$D$2:$AL$2,0)),"")</f>
        <v>1240.892</v>
      </c>
      <c r="AA21" s="269">
        <f>IFERROR(INDEX('Inputs (2)'!$D$57:$AL$57,MATCH(AA$7&amp;"",'Inputs (2)'!$D$2:$AL$2,0)),"")</f>
        <v>1229.771</v>
      </c>
      <c r="AB21" s="270">
        <f>IF(COUNT(X21:AA21)=4,SUM(X21:AA21),"")</f>
        <v>4839.816</v>
      </c>
      <c r="AC21" s="269">
        <f>IFERROR(INDEX('Inputs (2)'!$D$57:$AL$57,MATCH(AC$7&amp;"",'Inputs (2)'!$D$2:$AL$2,0)),"")</f>
        <v>1261.934</v>
      </c>
      <c r="AD21" s="269">
        <f>IFERROR(INDEX('Inputs (2)'!$D$57:$AL$57,MATCH(AD$7&amp;"",'Inputs (2)'!$D$2:$AL$2,0)),"")</f>
        <v>1306.735</v>
      </c>
      <c r="AE21" s="269">
        <f>IFERROR(INDEX('Inputs (2)'!$D$57:$AL$57,MATCH(AE$7&amp;"",'Inputs (2)'!$D$2:$AL$2,0)),"")</f>
        <v>1370.913</v>
      </c>
      <c r="AF21" s="269">
        <f>IFERROR(INDEX('Inputs (2)'!$D$57:$AL$57,MATCH(AF$7&amp;"",'Inputs (2)'!$D$2:$AL$2,0)),"")</f>
        <v>1417.939</v>
      </c>
      <c r="AG21" s="270">
        <f>IF(COUNT(AC21:AF21)=4,SUM(AC21:AF21),"")</f>
        <v>5357.521</v>
      </c>
      <c r="AH21" s="270">
        <f>IFERROR(INDEX('Inputs (2)'!$D$57:$AL$57,MATCH(AH$7&amp;"",'Inputs (2)'!$D$2:$AL$2,0)),"")</f>
        <v>1497.058</v>
      </c>
      <c r="AI21" s="270">
        <f>IFERROR(INDEX('Inputs (2)'!$D$57:$AL$57,MATCH(AI$7&amp;"",'Inputs (2)'!$D$2:$AL$2,0)),"")</f>
        <v>1584.29</v>
      </c>
    </row>
    <row r="22">
      <c r="C22" s="268" t="inlineStr">
        <is>
          <t xml:space="preserve">   Ásia-Pacífico</t>
        </is>
      </c>
      <c r="D22" s="269" t="str">
        <f>IFERROR(INDEX('Inputs (2)'!$D$59:$AL$59,MATCH(D$7&amp;"",'Inputs (2)'!$D$2:$AL$2,0)),"")</f>
        <v/>
      </c>
      <c r="E22" s="269" t="str">
        <f>IFERROR(INDEX('Inputs (2)'!$D$59:$AL$59,MATCH(E$7&amp;"",'Inputs (2)'!$D$2:$AL$2,0)),"")</f>
        <v/>
      </c>
      <c r="F22" s="269" t="str">
        <f>IFERROR(INDEX('Inputs (2)'!$D$59:$AL$59,MATCH(F$7&amp;"",'Inputs (2)'!$D$2:$AL$2,0)),"")</f>
        <v/>
      </c>
      <c r="G22" s="269" t="str">
        <f>IFERROR(INDEX('Inputs (2)'!$D$59:$AL$59,MATCH(G$7&amp;"",'Inputs (2)'!$D$2:$AL$2,0)),"")</f>
        <v/>
      </c>
      <c r="H22" s="270" t="str">
        <f>IF(COUNT(D22:G22)=4,SUM(D22:G22),"")</f>
        <v/>
      </c>
      <c r="I22" s="269">
        <f>IFERROR(INDEX('Inputs (2)'!$D$59:$AL$59,MATCH(I$7&amp;"",'Inputs (2)'!$D$2:$AL$2,0)),"")</f>
        <v>762.414</v>
      </c>
      <c r="J22" s="269">
        <f>IFERROR(INDEX('Inputs (2)'!$D$59:$AL$59,MATCH(J$7&amp;"",'Inputs (2)'!$D$2:$AL$2,0)),"")</f>
        <v>799.48</v>
      </c>
      <c r="K22" s="269">
        <f>IFERROR(INDEX('Inputs (2)'!$D$59:$AL$59,MATCH(K$7&amp;"",'Inputs (2)'!$D$2:$AL$2,0)),"")</f>
        <v>834.002</v>
      </c>
      <c r="L22" s="269">
        <f>IFERROR(INDEX('Inputs (2)'!$D$59:$AL$59,MATCH(L$7&amp;"",'Inputs (2)'!$D$2:$AL$2,0)),"")</f>
        <v>870.705</v>
      </c>
      <c r="M22" s="270">
        <f>IF(COUNT(I22:L22)=4,SUM(I22:L22),"")</f>
        <v>3266.601</v>
      </c>
      <c r="N22" s="269">
        <f>IFERROR(INDEX('Inputs (2)'!$D$59:$AL$59,MATCH(N$7&amp;"",'Inputs (2)'!$D$2:$AL$2,0)),"")</f>
        <v>916.754</v>
      </c>
      <c r="O22" s="269">
        <f>IFERROR(INDEX('Inputs (2)'!$D$59:$AL$59,MATCH(O$7&amp;"",'Inputs (2)'!$D$2:$AL$2,0)),"")</f>
        <v>907.719</v>
      </c>
      <c r="P22" s="269">
        <f>IFERROR(INDEX('Inputs (2)'!$D$59:$AL$59,MATCH(P$7&amp;"",'Inputs (2)'!$D$2:$AL$2,0)),"")</f>
        <v>889.037</v>
      </c>
      <c r="Q22" s="269">
        <f>IFERROR(INDEX('Inputs (2)'!$D$59:$AL$59,MATCH(Q$7&amp;"",'Inputs (2)'!$D$2:$AL$2,0)),"")</f>
        <v>856.711</v>
      </c>
      <c r="R22" s="270">
        <f>IF(COUNT(N22:Q22)=4,SUM(N22:Q22),"")</f>
        <v>3570.221</v>
      </c>
      <c r="S22" s="269">
        <f>IFERROR(INDEX('Inputs (2)'!$D$59:$AL$59,MATCH(S$7&amp;"",'Inputs (2)'!$D$2:$AL$2,0)),"")</f>
        <v>933.523</v>
      </c>
      <c r="T22" s="269">
        <f>IFERROR(INDEX('Inputs (2)'!$D$59:$AL$59,MATCH(T$7&amp;"",'Inputs (2)'!$D$2:$AL$2,0)),"")</f>
        <v>919.273</v>
      </c>
      <c r="U22" s="269">
        <f>IFERROR(INDEX('Inputs (2)'!$D$59:$AL$59,MATCH(U$7&amp;"",'Inputs (2)'!$D$2:$AL$2,0)),"")</f>
        <v>948.216</v>
      </c>
      <c r="V22" s="269">
        <f>IFERROR(INDEX('Inputs (2)'!$D$59:$AL$59,MATCH(V$7&amp;"",'Inputs (2)'!$D$2:$AL$2,0)),"")</f>
        <v>962.715</v>
      </c>
      <c r="W22" s="270">
        <f>IF(COUNT(S22:V22)=4,SUM(S22:V22),"")</f>
        <v>3763.727</v>
      </c>
      <c r="X22" s="269">
        <f>IFERROR(INDEX('Inputs (2)'!$D$59:$AL$59,MATCH(X$7&amp;"",'Inputs (2)'!$D$2:$AL$2,0)),"")</f>
        <v>1022.924</v>
      </c>
      <c r="Y22" s="269">
        <f>IFERROR(INDEX('Inputs (2)'!$D$59:$AL$59,MATCH(Y$7&amp;"",'Inputs (2)'!$D$2:$AL$2,0)),"")</f>
        <v>1051.833</v>
      </c>
      <c r="Z22" s="269">
        <f>IFERROR(INDEX('Inputs (2)'!$D$59:$AL$59,MATCH(Z$7&amp;"",'Inputs (2)'!$D$2:$AL$2,0)),"")</f>
        <v>1127.869</v>
      </c>
      <c r="AA22" s="269">
        <f>IFERROR(INDEX('Inputs (2)'!$D$59:$AL$59,MATCH(AA$7&amp;"",'Inputs (2)'!$D$2:$AL$2,0)),"")</f>
        <v>1212.12</v>
      </c>
      <c r="AB22" s="270">
        <f>IF(COUNT(X22:AA22)=4,SUM(X22:AA22),"")</f>
        <v>4414.746</v>
      </c>
      <c r="AC22" s="269">
        <f>IFERROR(INDEX('Inputs (2)'!$D$59:$AL$59,MATCH(AC$7&amp;"",'Inputs (2)'!$D$2:$AL$2,0)),"")</f>
        <v>1259.093</v>
      </c>
      <c r="AD22" s="269">
        <f>IFERROR(INDEX('Inputs (2)'!$D$59:$AL$59,MATCH(AD$7&amp;"",'Inputs (2)'!$D$2:$AL$2,0)),"")</f>
        <v>1305.253</v>
      </c>
      <c r="AE22" s="269">
        <f>IFERROR(INDEX('Inputs (2)'!$D$59:$AL$59,MATCH(AE$7&amp;"",'Inputs (2)'!$D$2:$AL$2,0)),"")</f>
        <v>1368.561</v>
      </c>
      <c r="AF22" s="269">
        <f>IFERROR(INDEX('Inputs (2)'!$D$59:$AL$59,MATCH(AF$7&amp;"",'Inputs (2)'!$D$2:$AL$2,0)),"")</f>
        <v>1420.81</v>
      </c>
      <c r="AG22" s="270">
        <f>IF(COUNT(AC22:AF22)=4,SUM(AC22:AF22),"")</f>
        <v>5353.717</v>
      </c>
      <c r="AH22" s="270">
        <f>IFERROR(INDEX('Inputs (2)'!$D$59:$AL$59,MATCH(AH$7&amp;"",'Inputs (2)'!$D$2:$AL$2,0)),"")</f>
        <v>1508.982</v>
      </c>
      <c r="AI22" s="270">
        <f>IFERROR(INDEX('Inputs (2)'!$D$59:$AL$59,MATCH(AI$7&amp;"",'Inputs (2)'!$D$2:$AL$2,0)),"")</f>
        <v>1510.466</v>
      </c>
    </row>
    <row r="23">
      <c r="C23" s="268" t="inlineStr">
        <is>
          <t xml:space="preserve">   DVD</t>
        </is>
      </c>
      <c r="D23" s="269" t="str">
        <f>IFERROR(INDEX('Inputs (2)'!$D$61:$AL$61,MATCH(D$7&amp;"",'Inputs (2)'!$D$2:$AL$2,0)),"")</f>
        <v/>
      </c>
      <c r="E23" s="269" t="str">
        <f>IFERROR(INDEX('Inputs (2)'!$D$61:$AL$61,MATCH(E$7&amp;"",'Inputs (2)'!$D$2:$AL$2,0)),"")</f>
        <v/>
      </c>
      <c r="F23" s="269" t="str">
        <f>IFERROR(INDEX('Inputs (2)'!$D$61:$AL$61,MATCH(F$7&amp;"",'Inputs (2)'!$D$2:$AL$2,0)),"")</f>
        <v/>
      </c>
      <c r="G23" s="269" t="str">
        <f>IFERROR(INDEX('Inputs (2)'!$D$61:$AL$61,MATCH(G$7&amp;"",'Inputs (2)'!$D$2:$AL$2,0)),"")</f>
        <v/>
      </c>
      <c r="H23" s="270" t="str">
        <f>IF(COUNT(D23:G23)=4,SUM(D23:G23),"")</f>
        <v/>
      </c>
      <c r="I23" s="269">
        <f>IFERROR(INDEX('Inputs (2)'!$D$61:$AL$61,MATCH(I$7&amp;"",'Inputs (2)'!$D$2:$AL$2,0)),"")</f>
        <v>50</v>
      </c>
      <c r="J23" s="269">
        <f>IFERROR(INDEX('Inputs (2)'!$D$61:$AL$61,MATCH(J$7&amp;"",'Inputs (2)'!$D$2:$AL$2,0)),"")</f>
        <v>46</v>
      </c>
      <c r="K23" s="269">
        <f>IFERROR(INDEX('Inputs (2)'!$D$61:$AL$61,MATCH(K$7&amp;"",'Inputs (2)'!$D$2:$AL$2,0)),"")</f>
        <v>44</v>
      </c>
      <c r="L23" s="269">
        <f>IFERROR(INDEX('Inputs (2)'!$D$61:$AL$61,MATCH(L$7&amp;"",'Inputs (2)'!$D$2:$AL$2,0)),"")</f>
        <v>60</v>
      </c>
      <c r="M23" s="270">
        <f>IF(COUNT(I23:L23)=4,SUM(I23:L23),"")</f>
        <v>200</v>
      </c>
      <c r="N23" s="269">
        <f>IFERROR(INDEX('Inputs (2)'!$D$61:$AL$61,MATCH(N$7&amp;"",'Inputs (2)'!$D$2:$AL$2,0)),"")</f>
        <v>40</v>
      </c>
      <c r="O23" s="269">
        <f>IFERROR(INDEX('Inputs (2)'!$D$61:$AL$61,MATCH(O$7&amp;"",'Inputs (2)'!$D$2:$AL$2,0)),"")</f>
        <v>37</v>
      </c>
      <c r="P23" s="269">
        <f>IFERROR(INDEX('Inputs (2)'!$D$61:$AL$61,MATCH(P$7&amp;"",'Inputs (2)'!$D$2:$AL$2,0)),"")</f>
        <v>35</v>
      </c>
      <c r="Q23" s="269">
        <f>IFERROR(INDEX('Inputs (2)'!$D$61:$AL$61,MATCH(Q$7&amp;"",'Inputs (2)'!$D$2:$AL$2,0)),"")</f>
        <v>-12</v>
      </c>
      <c r="R23" s="270">
        <f>IF(COUNT(N23:Q23)=4,SUM(N23:Q23),"")</f>
        <v>100</v>
      </c>
      <c r="S23" s="269">
        <f>IFERROR(INDEX('Inputs (2)'!$D$61:$AL$61,MATCH(S$7&amp;"",'Inputs (2)'!$D$2:$AL$2,0)),"")</f>
        <v>32</v>
      </c>
      <c r="T23" s="269">
        <f>IFERROR(INDEX('Inputs (2)'!$D$61:$AL$61,MATCH(T$7&amp;"",'Inputs (2)'!$D$2:$AL$2,0)),"")</f>
        <v>29</v>
      </c>
      <c r="U23" s="269">
        <f>IFERROR(INDEX('Inputs (2)'!$D$61:$AL$61,MATCH(U$7&amp;"",'Inputs (2)'!$D$2:$AL$2,0)),"")</f>
        <v>22</v>
      </c>
      <c r="V23" s="269" t="str">
        <f>IFERROR(INDEX('Inputs (2)'!$D$61:$AL$61,MATCH(V$7&amp;"",'Inputs (2)'!$D$2:$AL$2,0)),"")</f>
        <v/>
      </c>
      <c r="W23" s="270" t="str">
        <f>IF(COUNT(S23:V23)=4,SUM(S23:V23),"")</f>
        <v/>
      </c>
      <c r="X23" s="269" t="str">
        <f>IFERROR(INDEX('Inputs (2)'!$D$61:$AL$61,MATCH(X$7&amp;"",'Inputs (2)'!$D$2:$AL$2,0)),"")</f>
        <v/>
      </c>
      <c r="Y23" s="269" t="str">
        <f>IFERROR(INDEX('Inputs (2)'!$D$61:$AL$61,MATCH(Y$7&amp;"",'Inputs (2)'!$D$2:$AL$2,0)),"")</f>
        <v/>
      </c>
      <c r="Z23" s="269" t="str">
        <f>IFERROR(INDEX('Inputs (2)'!$D$61:$AL$61,MATCH(Z$7&amp;"",'Inputs (2)'!$D$2:$AL$2,0)),"")</f>
        <v/>
      </c>
      <c r="AA23" s="269" t="str">
        <f>IFERROR(INDEX('Inputs (2)'!$D$61:$AL$61,MATCH(AA$7&amp;"",'Inputs (2)'!$D$2:$AL$2,0)),"")</f>
        <v/>
      </c>
      <c r="AB23" s="270" t="str">
        <f>IF(COUNT(X23:AA23)=4,SUM(X23:AA23),"")</f>
        <v/>
      </c>
      <c r="AC23" s="269" t="str">
        <f>IFERROR(INDEX('Inputs (2)'!$D$61:$AL$61,MATCH(AC$7&amp;"",'Inputs (2)'!$D$2:$AL$2,0)),"")</f>
        <v/>
      </c>
      <c r="AD23" s="269" t="str">
        <f>IFERROR(INDEX('Inputs (2)'!$D$61:$AL$61,MATCH(AD$7&amp;"",'Inputs (2)'!$D$2:$AL$2,0)),"")</f>
        <v/>
      </c>
      <c r="AE23" s="269" t="str">
        <f>IFERROR(INDEX('Inputs (2)'!$D$61:$AL$61,MATCH(AE$7&amp;"",'Inputs (2)'!$D$2:$AL$2,0)),"")</f>
        <v/>
      </c>
      <c r="AF23" s="269" t="str">
        <f>IFERROR(INDEX('Inputs (2)'!$D$61:$AL$61,MATCH(AF$7&amp;"",'Inputs (2)'!$D$2:$AL$2,0)),"")</f>
        <v/>
      </c>
      <c r="AG23" s="270" t="str">
        <f>IF(COUNT(AC23:AF23)=4,SUM(AC23:AF23),"")</f>
        <v/>
      </c>
      <c r="AH23" s="270" t="str">
        <f>IFERROR(INDEX('Inputs (2)'!$D$61:$AL$61,MATCH(AH$7&amp;"",'Inputs (2)'!$D$2:$AL$2,0)),"")</f>
        <v/>
      </c>
      <c r="AI23" s="270" t="str">
        <f>IFERROR(INDEX('Inputs (2)'!$D$61:$AL$61,MATCH(AI$7&amp;"",'Inputs (2)'!$D$2:$AL$2,0)),"")</f>
        <v/>
      </c>
    </row>
    <row r="24">
      <c r="C24" s="271" t="inlineStr">
        <is>
          <t>Receita (soma)</t>
        </is>
      </c>
      <c r="D24" s="269" t="str">
        <f>IF(COUNT(D19,D20,D21,D22,D23)=0,"",N(D19)+N(D20)+N(D21)+N(D22)+N(D23))</f>
        <v/>
      </c>
      <c r="E24" s="269" t="str">
        <f>IF(COUNT(E19,E20,E21,E22,E23)=0,"",N(E19)+N(E20)+N(E21)+N(E22)+N(E23))</f>
        <v/>
      </c>
      <c r="F24" s="269" t="str">
        <f>IF(COUNT(F19,F20,F21,F22,F23)=0,"",N(F19)+N(F20)+N(F21)+N(F22)+N(F23))</f>
        <v/>
      </c>
      <c r="G24" s="269" t="str">
        <f>IF(COUNT(G19,G20,G21,G22,G23)=0,"",N(G19)+N(G20)+N(G21)+N(G22)+N(G23))</f>
        <v/>
      </c>
      <c r="H24" s="270" t="str">
        <f>IF(COUNT(H19,H20,H21,H22,H23)=0,"",N(H19)+N(H20)+N(H21)+N(H22)+N(H23))</f>
        <v/>
      </c>
      <c r="I24" s="269">
        <f>IF(COUNT(I19,I20,I21,I22,I23)=0,"",N(I19)+N(I20)+N(I21)+N(I22)+N(I23))</f>
        <v>7163.707</v>
      </c>
      <c r="J24" s="269">
        <f>IF(COUNT(J19,J20,J21,J22,J23)=0,"",N(J19)+N(J20)+N(J21)+N(J22)+N(J23))</f>
        <v>7341.485</v>
      </c>
      <c r="K24" s="269">
        <f>IF(COUNT(K19,K20,K21,K22,K23)=0,"",N(K19)+N(K20)+N(K21)+N(K22)+N(K23))</f>
        <v>7483.235</v>
      </c>
      <c r="L24" s="269">
        <f>IF(COUNT(L19,L20,L21,L22,L23)=0,"",N(L19)+N(L20)+N(L21)+N(L22)+N(L23))</f>
        <v>7727.069</v>
      </c>
      <c r="M24" s="270">
        <f>IF(COUNT(M19,M20,M21,M22,M23)=0,"",N(M19)+N(M20)+N(M21)+N(M22)+N(M23))</f>
        <v>29715.496</v>
      </c>
      <c r="N24" s="269">
        <f>IF(COUNT(N19,N20,N21,N22,N23)=0,"",N(N19)+N(N20)+N(N21)+N(N22)+N(N23))</f>
        <v>7867.957</v>
      </c>
      <c r="O24" s="269">
        <f>IF(COUNT(O19,O20,O21,O22,O23)=0,"",N(O19)+N(O20)+N(O21)+N(O22)+N(O23))</f>
        <v>7970.051</v>
      </c>
      <c r="P24" s="269">
        <f>IF(COUNT(P19,P20,P21,P22,P23)=0,"",N(P19)+N(P20)+N(P21)+N(P22)+N(P23))</f>
        <v>7925.361</v>
      </c>
      <c r="Q24" s="269">
        <f>IF(COUNT(Q19,Q20,Q21,Q22,Q23)=0,"",N(Q19)+N(Q20)+N(Q21)+N(Q22)+N(Q23))</f>
        <v>7806.483</v>
      </c>
      <c r="R24" s="270">
        <f>IF(COUNT(R19,R20,R21,R22,R23)=0,"",N(R19)+N(R20)+N(R21)+N(R22)+N(R23))</f>
        <v>31569.852</v>
      </c>
      <c r="S24" s="269">
        <f>IF(COUNT(S19,S20,S21,S22,S23)=0,"",N(S19)+N(S20)+N(S21)+N(S22)+N(S23))</f>
        <v>8162.001</v>
      </c>
      <c r="T24" s="269">
        <f>IF(COUNT(T19,T20,T21,T22,T23)=0,"",N(T19)+N(T20)+N(T21)+N(T22)+N(T23))</f>
        <v>8187.326</v>
      </c>
      <c r="U24" s="269">
        <f>IF(COUNT(U19,U20,U21,U22,U23)=0,"",N(U19)+N(U20)+N(U21)+N(U22)+N(U23))</f>
        <v>8541.306</v>
      </c>
      <c r="V24" s="269">
        <f>IF(COUNT(V19,V20,V21,V22,V23)=0,"",N(V19)+N(V20)+N(V21)+N(V22)+N(V23))</f>
        <v>8832.825</v>
      </c>
      <c r="W24" s="270">
        <f>IF(COUNT(W19,W20,W21,W22,W23)=0,"",N(W19)+N(W20)+N(W21)+N(W22)+N(W23))</f>
        <v>33640.458</v>
      </c>
      <c r="X24" s="269">
        <f>IF(COUNT(X19,X20,X21,X22,X23)=0,"",N(X19)+N(X20)+N(X21)+N(X22)+N(X23))</f>
        <v>9370.44</v>
      </c>
      <c r="Y24" s="269">
        <f>IF(COUNT(Y19,Y20,Y21,Y22,Y23)=0,"",N(Y19)+N(Y20)+N(Y21)+N(Y22)+N(Y23))</f>
        <v>9559.31</v>
      </c>
      <c r="Z24" s="269">
        <f>IF(COUNT(Z19,Z20,Z21,Z22,Z23)=0,"",N(Z19)+N(Z20)+N(Z21)+N(Z22)+N(Z23))</f>
        <v>9824.703</v>
      </c>
      <c r="AA24" s="269">
        <f>IF(COUNT(AA19,AA20,AA21,AA22,AA23)=0,"",N(AA19)+N(AA20)+N(AA21)+N(AA22)+N(AA23))</f>
        <v>10246.513</v>
      </c>
      <c r="AB24" s="270">
        <f>IF(COUNT(AB19,AB20,AB21,AB22,AB23)=0,"",N(AB19)+N(AB20)+N(AB21)+N(AB22)+N(AB23))</f>
        <v>39000.966</v>
      </c>
      <c r="AC24" s="269">
        <f>IF(COUNT(AC19,AC20,AC21,AC22,AC23)=0,"",N(AC19)+N(AC20)+N(AC21)+N(AC22)+N(AC23))</f>
        <v>10542.801</v>
      </c>
      <c r="AD24" s="269">
        <f>IF(COUNT(AD19,AD20,AD21,AD22,AD23)=0,"",N(AD19)+N(AD20)+N(AD21)+N(AD22)+N(AD23))</f>
        <v>11079.166</v>
      </c>
      <c r="AE24" s="269">
        <f>IF(COUNT(AE19,AE20,AE21,AE22,AE23)=0,"",N(AE19)+N(AE20)+N(AE21)+N(AE22)+N(AE23))</f>
        <v>11510.307</v>
      </c>
      <c r="AF24" s="269">
        <f>IF(COUNT(AF19,AF20,AF21,AF22,AF23)=0,"",N(AF19)+N(AF20)+N(AF21)+N(AF22)+N(AF23))</f>
        <v>12050.762</v>
      </c>
      <c r="AG24" s="270">
        <f>IF(COUNT(AG19,AG20,AG21,AG22,AG23)=0,"",N(AG19)+N(AG20)+N(AG21)+N(AG22)+N(AG23))</f>
        <v>45183.036</v>
      </c>
      <c r="AH24" s="270">
        <f>IF(COUNT(AH19,AH20,AH21,AH22,AH23)=0,"",N(AH19)+N(AH20)+N(AH21)+N(AH22)+N(AH23))</f>
        <v>12249.757</v>
      </c>
      <c r="AI24" s="270">
        <f>IF(COUNT(AI19,AI20,AI21,AI22,AI23)=0,"",N(AI19)+N(AI20)+N(AI21)+N(AI22)+N(AI23))</f>
        <v>12559.938</v>
      </c>
    </row>
    <row r="25">
      <c r="C25" s="268" t="inlineStr">
        <is>
          <t>Check vs Net Revenues (linha 15)</t>
        </is>
      </c>
      <c r="D25" s="269" t="str">
        <f>IF(COUNT(D24)=0,"",ROUND(D15-D24,1))</f>
        <v/>
      </c>
      <c r="E25" s="269" t="str">
        <f>IF(COUNT(E24)=0,"",ROUND(E15-E24,1))</f>
        <v/>
      </c>
      <c r="F25" s="269" t="str">
        <f>IF(COUNT(F24)=0,"",ROUND(F15-F24,1))</f>
        <v/>
      </c>
      <c r="G25" s="269" t="str">
        <f>IF(COUNT(G24)=0,"",ROUND(G15-G24,1))</f>
        <v/>
      </c>
      <c r="H25" s="270" t="str">
        <f>IF(COUNT(H24)=0,"",ROUND(H15-H24,1))</f>
        <v/>
      </c>
      <c r="I25" s="269">
        <f>IF(COUNT(I24)=0,"",ROUND(I15-I24,1))</f>
        <v>-0.4</v>
      </c>
      <c r="J25" s="269">
        <f>IF(COUNT(J24)=0,"",ROUND(J15-J24,1))</f>
        <v>0.3</v>
      </c>
      <c r="K25" s="269">
        <f>IF(COUNT(K24)=0,"",ROUND(K15-K24,1))</f>
        <v>0.2</v>
      </c>
      <c r="L25" s="269">
        <f>IF(COUNT(L24)=0,"",ROUND(L15-L24,1))</f>
        <v>-17.8</v>
      </c>
      <c r="M25" s="270">
        <f>IF(COUNT(M24)=0,"",ROUND(M15-M24,1))</f>
        <v>-17.7</v>
      </c>
      <c r="N25" s="269">
        <f>IF(COUNT(N24)=0,"",ROUND(N15-N24,1))</f>
        <v>-0.2</v>
      </c>
      <c r="O25" s="269">
        <f>IF(COUNT(O24)=0,"",ROUND(O15-O24,1))</f>
        <v>0.1</v>
      </c>
      <c r="P25" s="269">
        <f>IF(COUNT(P24)=0,"",ROUND(P15-P24,1))</f>
        <v>0.2</v>
      </c>
      <c r="Q25" s="269">
        <f>IF(COUNT(Q24)=0,"",ROUND(Q15-Q24,1))</f>
        <v>45.6</v>
      </c>
      <c r="R25" s="270">
        <f>IF(COUNT(R24)=0,"",ROUND(R15-R24,1))</f>
        <v>45.7</v>
      </c>
      <c r="S25" s="269">
        <f>IF(COUNT(S24)=0,"",ROUND(S15-S24,1))</f>
        <v>-0.5</v>
      </c>
      <c r="T25" s="269">
        <f>IF(COUNT(T24)=0,"",ROUND(T15-T24,1))</f>
        <v>0</v>
      </c>
      <c r="U25" s="269">
        <f>IF(COUNT(U24)=0,"",ROUND(U15-U24,1))</f>
        <v>0.4</v>
      </c>
      <c r="V25" s="269">
        <f>IF(COUNT(V24)=0,"",ROUND(V15-V24,1))</f>
        <v>0</v>
      </c>
      <c r="W25" s="270">
        <f>IF(COUNT(W24)=0,"",ROUND(W15-W24,1))</f>
        <v>82.8</v>
      </c>
      <c r="X25" s="269">
        <f>IF(COUNT(X24)=0,"",ROUND(X15-X24,1))</f>
        <v>0</v>
      </c>
      <c r="Y25" s="269">
        <f>IF(COUNT(Y24)=0,"",ROUND(Y15-Y24,1))</f>
        <v>0</v>
      </c>
      <c r="Z25" s="269">
        <f>IF(COUNT(Z24)=0,"",ROUND(Z15-Z24,1))</f>
        <v>0</v>
      </c>
      <c r="AA25" s="269">
        <f>IF(COUNT(AA24)=0,"",ROUND(AA15-AA24,1))</f>
        <v>0</v>
      </c>
      <c r="AB25" s="270">
        <f>IF(COUNT(AB24)=0,"",ROUND(AB15-AB24,1))</f>
        <v>0</v>
      </c>
      <c r="AC25" s="269">
        <f>IF(COUNT(AC24)=0,"",ROUND(AC15-AC24,1))</f>
        <v>0</v>
      </c>
      <c r="AD25" s="269">
        <f>IF(COUNT(AD24)=0,"",ROUND(AD15-AD24,1))</f>
        <v>0</v>
      </c>
      <c r="AE25" s="269">
        <f>IF(COUNT(AE24)=0,"",ROUND(AE15-AE24,1))</f>
        <v>0</v>
      </c>
      <c r="AF25" s="269">
        <f>IF(COUNT(AF24)=0,"",ROUND(AF15-AF24,1))</f>
        <v>0</v>
      </c>
      <c r="AG25" s="270">
        <f>IF(COUNT(AG24)=0,"",ROUND(AG15-AG24,1))</f>
        <v>0</v>
      </c>
      <c r="AH25" s="270">
        <f>IF(COUNT(AH24)=0,"",ROUND(AH15-AH24,1))</f>
        <v>0</v>
      </c>
      <c r="AI25" s="270">
        <f>IF(COUNT(AI24)=0,"",ROUND(AI15-AI24,1))</f>
        <v>0</v>
      </c>
    </row>
    <row r="26">
      <c r="C26" s="268" t="inlineStr">
        <is>
          <t xml:space="preserve">   % YoY receita</t>
        </is>
      </c>
      <c r="D26" s="272" t="str">
        <f>""</f>
        <v/>
      </c>
      <c r="E26" s="272" t="str">
        <f>""</f>
        <v/>
      </c>
      <c r="F26" s="272" t="str">
        <f>""</f>
        <v/>
      </c>
      <c r="G26" s="272" t="str">
        <f>""</f>
        <v/>
      </c>
      <c r="H26" s="273" t="str">
        <f>""</f>
        <v/>
      </c>
      <c r="I26" s="272" t="str">
        <f>IFERROR(I24/D24-1,"")</f>
        <v/>
      </c>
      <c r="J26" s="272" t="str">
        <f>IFERROR(J24/E24-1,"")</f>
        <v/>
      </c>
      <c r="K26" s="272" t="str">
        <f>IFERROR(K24/F24-1,"")</f>
        <v/>
      </c>
      <c r="L26" s="272" t="str">
        <f>IFERROR(L24/G24-1,"")</f>
        <v/>
      </c>
      <c r="M26" s="273" t="str">
        <f>IFERROR(M24/H24-1,"")</f>
        <v/>
      </c>
      <c r="N26" s="272">
        <f>IFERROR(N24/I24-1,"")</f>
        <v>0.09830804079508</v>
      </c>
      <c r="O26" s="272">
        <f>IFERROR(O24/J24-1,"")</f>
        <v>0.0856183728496349</v>
      </c>
      <c r="P26" s="272">
        <f>IFERROR(P24/K24-1,"")</f>
        <v>0.0590822017483079</v>
      </c>
      <c r="Q26" s="272">
        <f>IFERROR(Q24/L24-1,"")</f>
        <v>0.0102773768423707</v>
      </c>
      <c r="R26" s="273">
        <f>IFERROR(R24/M24-1,"")</f>
        <v>0.0624036697889883</v>
      </c>
      <c r="S26" s="272">
        <f>IFERROR(S24/N24-1,"")</f>
        <v>0.0373723445616188</v>
      </c>
      <c r="T26" s="272">
        <f>IFERROR(T24/O24-1,"")</f>
        <v>0.0272614315767865</v>
      </c>
      <c r="U26" s="272">
        <f>IFERROR(U24/P24-1,"")</f>
        <v>0.0777182263369456</v>
      </c>
      <c r="V26" s="272">
        <f>IFERROR(V24/Q24-1,"")</f>
        <v>0.131473033374952</v>
      </c>
      <c r="W26" s="273">
        <f>IFERROR(W24/R24-1,"")</f>
        <v>0.065588080678997</v>
      </c>
      <c r="X26" s="272">
        <f>IFERROR(X24/S24-1,"")</f>
        <v>0.148056708152817</v>
      </c>
      <c r="Y26" s="272">
        <f>IFERROR(Y24/T24-1,"")</f>
        <v>0.167574126155475</v>
      </c>
      <c r="Z26" s="272">
        <f>IFERROR(Z24/U24-1,"")</f>
        <v>0.15025770063735</v>
      </c>
      <c r="AA26" s="272">
        <f>IFERROR(AA24/V24-1,"")</f>
        <v>0.160049361331171</v>
      </c>
      <c r="AB26" s="273">
        <f>IFERROR(AB24/W24-1,"")</f>
        <v>0.15934705764113</v>
      </c>
      <c r="AC26" s="272">
        <f>IFERROR(AC24/X24-1,"")</f>
        <v>0.125112694814758</v>
      </c>
      <c r="AD26" s="272">
        <f>IFERROR(AD24/Y24-1,"")</f>
        <v>0.158992228518585</v>
      </c>
      <c r="AE26" s="272">
        <f>IFERROR(AE24/Z24-1,"")</f>
        <v>0.171567934420003</v>
      </c>
      <c r="AF26" s="272">
        <f>IFERROR(AF24/AA24-1,"")</f>
        <v>0.176084195667346</v>
      </c>
      <c r="AG26" s="273">
        <f>IFERROR(AG24/AB24-1,"")</f>
        <v>0.158510689196775</v>
      </c>
      <c r="AH26" s="273">
        <f>IFERROR(AH24/AC24-1,"")</f>
        <v>0.161907257853013</v>
      </c>
      <c r="AI26" s="273">
        <f>IFERROR(AI24/AD24-1,"")</f>
        <v>0.133653742528995</v>
      </c>
    </row>
    <row r="27"/>
    <row r="28">
      <c r="C28" s="267" t="inlineStr">
        <is>
          <t>Assinantes pagos (milhões, fim do trimestre)</t>
        </is>
      </c>
      <c r="D28" s="267">
        <f>D7</f>
        <v>0</v>
      </c>
      <c r="E28" s="267">
        <f>E7</f>
        <v>0</v>
      </c>
      <c r="F28" s="267">
        <f>F7</f>
        <v>0</v>
      </c>
      <c r="G28" s="267">
        <f>G7</f>
        <v>0</v>
      </c>
      <c r="H28" s="267">
        <f>H7</f>
        <v>2020</v>
      </c>
      <c r="I28" s="267" t="str">
        <f>I7</f>
        <v>1Q21</v>
      </c>
      <c r="J28" s="267" t="str">
        <f>J7</f>
        <v>2Q21</v>
      </c>
      <c r="K28" s="267" t="str">
        <f>K7</f>
        <v>3Q21</v>
      </c>
      <c r="L28" s="267" t="str">
        <f>L7</f>
        <v>4Q21</v>
      </c>
      <c r="M28" s="267">
        <f>M7</f>
        <v>2021</v>
      </c>
      <c r="N28" s="267" t="str">
        <f>N7</f>
        <v>1Q22</v>
      </c>
      <c r="O28" s="267" t="str">
        <f>O7</f>
        <v>2Q22</v>
      </c>
      <c r="P28" s="267" t="str">
        <f>P7</f>
        <v>3Q22</v>
      </c>
      <c r="Q28" s="267" t="str">
        <f>Q7</f>
        <v>4Q22</v>
      </c>
      <c r="R28" s="267">
        <f>R7</f>
        <v>2022</v>
      </c>
      <c r="S28" s="267" t="str">
        <f>S7</f>
        <v>1Q23</v>
      </c>
      <c r="T28" s="267" t="str">
        <f>T7</f>
        <v>2Q23</v>
      </c>
      <c r="U28" s="267" t="str">
        <f>U7</f>
        <v>3Q23</v>
      </c>
      <c r="V28" s="267" t="str">
        <f>V7</f>
        <v>4Q23</v>
      </c>
      <c r="W28" s="267">
        <f>W7</f>
        <v>2023</v>
      </c>
      <c r="X28" s="267" t="str">
        <f>X7</f>
        <v>1Q24</v>
      </c>
      <c r="Y28" s="267" t="str">
        <f>Y7</f>
        <v>2Q24</v>
      </c>
      <c r="Z28" s="267" t="str">
        <f>Z7</f>
        <v>3Q24</v>
      </c>
      <c r="AA28" s="267" t="str">
        <f>AA7</f>
        <v>4Q24</v>
      </c>
      <c r="AB28" s="267">
        <f>AB7</f>
        <v>2024</v>
      </c>
      <c r="AC28" s="267" t="str">
        <f>AC7</f>
        <v>1Q25</v>
      </c>
      <c r="AD28" s="267" t="str">
        <f>AD7</f>
        <v>2Q25</v>
      </c>
      <c r="AE28" s="267" t="str">
        <f>AE7</f>
        <v>3Q25</v>
      </c>
      <c r="AF28" s="267" t="str">
        <f>AF7</f>
        <v>4Q25</v>
      </c>
      <c r="AG28" s="267">
        <f>AG7</f>
        <v>2025</v>
      </c>
      <c r="AH28" s="267" t="str">
        <f>AH7</f>
        <v>1Q26</v>
      </c>
      <c r="AI28" s="267" t="str">
        <f>AI7</f>
        <v>2Q26</v>
      </c>
    </row>
    <row r="29">
      <c r="C29" s="268" t="inlineStr">
        <is>
          <t xml:space="preserve">   EUA e Canadá</t>
        </is>
      </c>
      <c r="D29" s="274" t="str">
        <f>IFERROR(INDEX('Inputs (2)'!$D$54:$AL$54,MATCH(D$7&amp;"",'Inputs (2)'!$D$2:$AL$2,0)),"")</f>
        <v/>
      </c>
      <c r="E29" s="274" t="str">
        <f>IFERROR(INDEX('Inputs (2)'!$D$54:$AL$54,MATCH(E$7&amp;"",'Inputs (2)'!$D$2:$AL$2,0)),"")</f>
        <v/>
      </c>
      <c r="F29" s="274" t="str">
        <f>IFERROR(INDEX('Inputs (2)'!$D$54:$AL$54,MATCH(F$7&amp;"",'Inputs (2)'!$D$2:$AL$2,0)),"")</f>
        <v/>
      </c>
      <c r="G29" s="274" t="str">
        <f>IFERROR(INDEX('Inputs (2)'!$D$54:$AL$54,MATCH(G$7&amp;"",'Inputs (2)'!$D$2:$AL$2,0)),"")</f>
        <v/>
      </c>
      <c r="H29" s="275" t="str">
        <f>IF(COUNT(G29)=0,"",G29)</f>
        <v/>
      </c>
      <c r="I29" s="274">
        <f>IFERROR(INDEX('Inputs (2)'!$D$54:$AL$54,MATCH(I$7&amp;"",'Inputs (2)'!$D$2:$AL$2,0)),"")</f>
        <v>74.384</v>
      </c>
      <c r="J29" s="274">
        <f>IFERROR(INDEX('Inputs (2)'!$D$54:$AL$54,MATCH(J$7&amp;"",'Inputs (2)'!$D$2:$AL$2,0)),"")</f>
        <v>73.951</v>
      </c>
      <c r="K29" s="274">
        <f>IFERROR(INDEX('Inputs (2)'!$D$54:$AL$54,MATCH(K$7&amp;"",'Inputs (2)'!$D$2:$AL$2,0)),"")</f>
        <v>74.024</v>
      </c>
      <c r="L29" s="274">
        <f>IFERROR(INDEX('Inputs (2)'!$D$54:$AL$54,MATCH(L$7&amp;"",'Inputs (2)'!$D$2:$AL$2,0)),"")</f>
        <v>75.215</v>
      </c>
      <c r="M29" s="275">
        <f>IF(COUNT(L29)=0,"",L29)</f>
        <v>75.215</v>
      </c>
      <c r="N29" s="274">
        <f>IFERROR(INDEX('Inputs (2)'!$D$54:$AL$54,MATCH(N$7&amp;"",'Inputs (2)'!$D$2:$AL$2,0)),"")</f>
        <v>74.579</v>
      </c>
      <c r="O29" s="274">
        <f>IFERROR(INDEX('Inputs (2)'!$D$54:$AL$54,MATCH(O$7&amp;"",'Inputs (2)'!$D$2:$AL$2,0)),"")</f>
        <v>73.283</v>
      </c>
      <c r="P29" s="274">
        <f>IFERROR(INDEX('Inputs (2)'!$D$54:$AL$54,MATCH(P$7&amp;"",'Inputs (2)'!$D$2:$AL$2,0)),"")</f>
        <v>73.387</v>
      </c>
      <c r="Q29" s="274">
        <f>IFERROR(INDEX('Inputs (2)'!$D$54:$AL$54,MATCH(Q$7&amp;"",'Inputs (2)'!$D$2:$AL$2,0)),"")</f>
        <v>74.296</v>
      </c>
      <c r="R29" s="275">
        <f>IF(COUNT(Q29)=0,"",Q29)</f>
        <v>74.296</v>
      </c>
      <c r="S29" s="274">
        <f>IFERROR(INDEX('Inputs (2)'!$D$54:$AL$54,MATCH(S$7&amp;"",'Inputs (2)'!$D$2:$AL$2,0)),"")</f>
        <v>74.398</v>
      </c>
      <c r="T29" s="274">
        <f>IFERROR(INDEX('Inputs (2)'!$D$54:$AL$54,MATCH(T$7&amp;"",'Inputs (2)'!$D$2:$AL$2,0)),"")</f>
        <v>75.571</v>
      </c>
      <c r="U29" s="274">
        <f>IFERROR(INDEX('Inputs (2)'!$D$54:$AL$54,MATCH(U$7&amp;"",'Inputs (2)'!$D$2:$AL$2,0)),"")</f>
        <v>77.321</v>
      </c>
      <c r="V29" s="274">
        <f>IFERROR(INDEX('Inputs (2)'!$D$54:$AL$54,MATCH(V$7&amp;"",'Inputs (2)'!$D$2:$AL$2,0)),"")</f>
        <v>80.128</v>
      </c>
      <c r="W29" s="275">
        <f>IF(COUNT(V29)=0,"",V29)</f>
        <v>80.128</v>
      </c>
      <c r="X29" s="274">
        <f>IFERROR(INDEX('Inputs (2)'!$D$54:$AL$54,MATCH(X$7&amp;"",'Inputs (2)'!$D$2:$AL$2,0)),"")</f>
        <v>82.658</v>
      </c>
      <c r="Y29" s="274">
        <f>IFERROR(INDEX('Inputs (2)'!$D$54:$AL$54,MATCH(Y$7&amp;"",'Inputs (2)'!$D$2:$AL$2,0)),"")</f>
        <v>84.109</v>
      </c>
      <c r="Z29" s="274">
        <f>IFERROR(INDEX('Inputs (2)'!$D$54:$AL$54,MATCH(Z$7&amp;"",'Inputs (2)'!$D$2:$AL$2,0)),"")</f>
        <v>84.803</v>
      </c>
      <c r="AA29" s="274">
        <f>IFERROR(INDEX('Inputs (2)'!$D$54:$AL$54,MATCH(AA$7&amp;"",'Inputs (2)'!$D$2:$AL$2,0)),"")</f>
        <v>89.625</v>
      </c>
      <c r="AB29" s="275">
        <f>IF(COUNT(AA29)=0,"",AA29)</f>
        <v>89.625</v>
      </c>
      <c r="AC29" s="274" t="str">
        <f>IFERROR(INDEX('Inputs (2)'!$D$54:$AL$54,MATCH(AC$7&amp;"",'Inputs (2)'!$D$2:$AL$2,0)),"")</f>
        <v/>
      </c>
      <c r="AD29" s="274" t="str">
        <f>IFERROR(INDEX('Inputs (2)'!$D$54:$AL$54,MATCH(AD$7&amp;"",'Inputs (2)'!$D$2:$AL$2,0)),"")</f>
        <v/>
      </c>
      <c r="AE29" s="274" t="str">
        <f>IFERROR(INDEX('Inputs (2)'!$D$54:$AL$54,MATCH(AE$7&amp;"",'Inputs (2)'!$D$2:$AL$2,0)),"")</f>
        <v/>
      </c>
      <c r="AF29" s="274" t="str">
        <f>IFERROR(INDEX('Inputs (2)'!$D$54:$AL$54,MATCH(AF$7&amp;"",'Inputs (2)'!$D$2:$AL$2,0)),"")</f>
        <v/>
      </c>
      <c r="AG29" s="275" t="str">
        <f>IF(COUNT(AF29)=0,"",AF29)</f>
        <v/>
      </c>
      <c r="AH29" s="275" t="str">
        <f>IFERROR(INDEX('Inputs (2)'!$D$54:$AL$54,MATCH(AH$7&amp;"",'Inputs (2)'!$D$2:$AL$2,0)),"")</f>
        <v/>
      </c>
      <c r="AI29" s="275" t="str">
        <f>IFERROR(INDEX('Inputs (2)'!$D$54:$AL$54,MATCH(AI$7&amp;"",'Inputs (2)'!$D$2:$AL$2,0)),"")</f>
        <v/>
      </c>
    </row>
    <row r="30">
      <c r="C30" s="268" t="inlineStr">
        <is>
          <t xml:space="preserve">   EMEA</t>
        </is>
      </c>
      <c r="D30" s="274" t="str">
        <f>IFERROR(INDEX('Inputs (2)'!$D$56:$AL$56,MATCH(D$7&amp;"",'Inputs (2)'!$D$2:$AL$2,0)),"")</f>
        <v/>
      </c>
      <c r="E30" s="274" t="str">
        <f>IFERROR(INDEX('Inputs (2)'!$D$56:$AL$56,MATCH(E$7&amp;"",'Inputs (2)'!$D$2:$AL$2,0)),"")</f>
        <v/>
      </c>
      <c r="F30" s="274" t="str">
        <f>IFERROR(INDEX('Inputs (2)'!$D$56:$AL$56,MATCH(F$7&amp;"",'Inputs (2)'!$D$2:$AL$2,0)),"")</f>
        <v/>
      </c>
      <c r="G30" s="274" t="str">
        <f>IFERROR(INDEX('Inputs (2)'!$D$56:$AL$56,MATCH(G$7&amp;"",'Inputs (2)'!$D$2:$AL$2,0)),"")</f>
        <v/>
      </c>
      <c r="H30" s="275" t="str">
        <f>IF(COUNT(G30)=0,"",G30)</f>
        <v/>
      </c>
      <c r="I30" s="274">
        <f>IFERROR(INDEX('Inputs (2)'!$D$56:$AL$56,MATCH(I$7&amp;"",'Inputs (2)'!$D$2:$AL$2,0)),"")</f>
        <v>68.508</v>
      </c>
      <c r="J30" s="274">
        <f>IFERROR(INDEX('Inputs (2)'!$D$56:$AL$56,MATCH(J$7&amp;"",'Inputs (2)'!$D$2:$AL$2,0)),"")</f>
        <v>68.696</v>
      </c>
      <c r="K30" s="274">
        <f>IFERROR(INDEX('Inputs (2)'!$D$56:$AL$56,MATCH(K$7&amp;"",'Inputs (2)'!$D$2:$AL$2,0)),"")</f>
        <v>70.5</v>
      </c>
      <c r="L30" s="274">
        <f>IFERROR(INDEX('Inputs (2)'!$D$56:$AL$56,MATCH(L$7&amp;"",'Inputs (2)'!$D$2:$AL$2,0)),"")</f>
        <v>74.036</v>
      </c>
      <c r="M30" s="275">
        <f>IF(COUNT(L30)=0,"",L30)</f>
        <v>74.036</v>
      </c>
      <c r="N30" s="274">
        <f>IFERROR(INDEX('Inputs (2)'!$D$56:$AL$56,MATCH(N$7&amp;"",'Inputs (2)'!$D$2:$AL$2,0)),"")</f>
        <v>73.733</v>
      </c>
      <c r="O30" s="274">
        <f>IFERROR(INDEX('Inputs (2)'!$D$56:$AL$56,MATCH(O$7&amp;"",'Inputs (2)'!$D$2:$AL$2,0)),"")</f>
        <v>72.966</v>
      </c>
      <c r="P30" s="274">
        <f>IFERROR(INDEX('Inputs (2)'!$D$56:$AL$56,MATCH(P$7&amp;"",'Inputs (2)'!$D$2:$AL$2,0)),"")</f>
        <v>73.534</v>
      </c>
      <c r="Q30" s="274">
        <f>IFERROR(INDEX('Inputs (2)'!$D$56:$AL$56,MATCH(Q$7&amp;"",'Inputs (2)'!$D$2:$AL$2,0)),"")</f>
        <v>76.729</v>
      </c>
      <c r="R30" s="275">
        <f>IF(COUNT(Q30)=0,"",Q30)</f>
        <v>76.729</v>
      </c>
      <c r="S30" s="274">
        <f>IFERROR(INDEX('Inputs (2)'!$D$56:$AL$56,MATCH(S$7&amp;"",'Inputs (2)'!$D$2:$AL$2,0)),"")</f>
        <v>77.373</v>
      </c>
      <c r="T30" s="274">
        <f>IFERROR(INDEX('Inputs (2)'!$D$56:$AL$56,MATCH(T$7&amp;"",'Inputs (2)'!$D$2:$AL$2,0)),"")</f>
        <v>79.807</v>
      </c>
      <c r="U30" s="274">
        <f>IFERROR(INDEX('Inputs (2)'!$D$56:$AL$56,MATCH(U$7&amp;"",'Inputs (2)'!$D$2:$AL$2,0)),"")</f>
        <v>83.76</v>
      </c>
      <c r="V30" s="274">
        <f>IFERROR(INDEX('Inputs (2)'!$D$56:$AL$56,MATCH(V$7&amp;"",'Inputs (2)'!$D$2:$AL$2,0)),"")</f>
        <v>88.813</v>
      </c>
      <c r="W30" s="275">
        <f>IF(COUNT(V30)=0,"",V30)</f>
        <v>88.813</v>
      </c>
      <c r="X30" s="274">
        <f>IFERROR(INDEX('Inputs (2)'!$D$56:$AL$56,MATCH(X$7&amp;"",'Inputs (2)'!$D$2:$AL$2,0)),"")</f>
        <v>91.729</v>
      </c>
      <c r="Y30" s="274">
        <f>IFERROR(INDEX('Inputs (2)'!$D$56:$AL$56,MATCH(Y$7&amp;"",'Inputs (2)'!$D$2:$AL$2,0)),"")</f>
        <v>93.964</v>
      </c>
      <c r="Z30" s="274">
        <f>IFERROR(INDEX('Inputs (2)'!$D$56:$AL$56,MATCH(Z$7&amp;"",'Inputs (2)'!$D$2:$AL$2,0)),"")</f>
        <v>96.131</v>
      </c>
      <c r="AA30" s="274">
        <f>IFERROR(INDEX('Inputs (2)'!$D$56:$AL$56,MATCH(AA$7&amp;"",'Inputs (2)'!$D$2:$AL$2,0)),"")</f>
        <v>101.133</v>
      </c>
      <c r="AB30" s="275">
        <f>IF(COUNT(AA30)=0,"",AA30)</f>
        <v>101.133</v>
      </c>
      <c r="AC30" s="274" t="str">
        <f>IFERROR(INDEX('Inputs (2)'!$D$56:$AL$56,MATCH(AC$7&amp;"",'Inputs (2)'!$D$2:$AL$2,0)),"")</f>
        <v/>
      </c>
      <c r="AD30" s="274" t="str">
        <f>IFERROR(INDEX('Inputs (2)'!$D$56:$AL$56,MATCH(AD$7&amp;"",'Inputs (2)'!$D$2:$AL$2,0)),"")</f>
        <v/>
      </c>
      <c r="AE30" s="274" t="str">
        <f>IFERROR(INDEX('Inputs (2)'!$D$56:$AL$56,MATCH(AE$7&amp;"",'Inputs (2)'!$D$2:$AL$2,0)),"")</f>
        <v/>
      </c>
      <c r="AF30" s="274" t="str">
        <f>IFERROR(INDEX('Inputs (2)'!$D$56:$AL$56,MATCH(AF$7&amp;"",'Inputs (2)'!$D$2:$AL$2,0)),"")</f>
        <v/>
      </c>
      <c r="AG30" s="275" t="str">
        <f>IF(COUNT(AF30)=0,"",AF30)</f>
        <v/>
      </c>
      <c r="AH30" s="275" t="str">
        <f>IFERROR(INDEX('Inputs (2)'!$D$56:$AL$56,MATCH(AH$7&amp;"",'Inputs (2)'!$D$2:$AL$2,0)),"")</f>
        <v/>
      </c>
      <c r="AI30" s="275" t="str">
        <f>IFERROR(INDEX('Inputs (2)'!$D$56:$AL$56,MATCH(AI$7&amp;"",'Inputs (2)'!$D$2:$AL$2,0)),"")</f>
        <v/>
      </c>
    </row>
    <row r="31">
      <c r="C31" s="268" t="inlineStr">
        <is>
          <t xml:space="preserve">   América Latina</t>
        </is>
      </c>
      <c r="D31" s="274" t="str">
        <f>IFERROR(INDEX('Inputs (2)'!$D$58:$AL$58,MATCH(D$7&amp;"",'Inputs (2)'!$D$2:$AL$2,0)),"")</f>
        <v/>
      </c>
      <c r="E31" s="274" t="str">
        <f>IFERROR(INDEX('Inputs (2)'!$D$58:$AL$58,MATCH(E$7&amp;"",'Inputs (2)'!$D$2:$AL$2,0)),"")</f>
        <v/>
      </c>
      <c r="F31" s="274" t="str">
        <f>IFERROR(INDEX('Inputs (2)'!$D$58:$AL$58,MATCH(F$7&amp;"",'Inputs (2)'!$D$2:$AL$2,0)),"")</f>
        <v/>
      </c>
      <c r="G31" s="274" t="str">
        <f>IFERROR(INDEX('Inputs (2)'!$D$58:$AL$58,MATCH(G$7&amp;"",'Inputs (2)'!$D$2:$AL$2,0)),"")</f>
        <v/>
      </c>
      <c r="H31" s="275" t="str">
        <f>IF(COUNT(G31)=0,"",G31)</f>
        <v/>
      </c>
      <c r="I31" s="274">
        <f>IFERROR(INDEX('Inputs (2)'!$D$58:$AL$58,MATCH(I$7&amp;"",'Inputs (2)'!$D$2:$AL$2,0)),"")</f>
        <v>37.894</v>
      </c>
      <c r="J31" s="274">
        <f>IFERROR(INDEX('Inputs (2)'!$D$58:$AL$58,MATCH(J$7&amp;"",'Inputs (2)'!$D$2:$AL$2,0)),"")</f>
        <v>38.658</v>
      </c>
      <c r="K31" s="274">
        <f>IFERROR(INDEX('Inputs (2)'!$D$58:$AL$58,MATCH(K$7&amp;"",'Inputs (2)'!$D$2:$AL$2,0)),"")</f>
        <v>38.988</v>
      </c>
      <c r="L31" s="274">
        <f>IFERROR(INDEX('Inputs (2)'!$D$58:$AL$58,MATCH(L$7&amp;"",'Inputs (2)'!$D$2:$AL$2,0)),"")</f>
        <v>39.961</v>
      </c>
      <c r="M31" s="275">
        <f>IF(COUNT(L31)=0,"",L31)</f>
        <v>39.961</v>
      </c>
      <c r="N31" s="274">
        <f>IFERROR(INDEX('Inputs (2)'!$D$58:$AL$58,MATCH(N$7&amp;"",'Inputs (2)'!$D$2:$AL$2,0)),"")</f>
        <v>39.61</v>
      </c>
      <c r="O31" s="274">
        <f>IFERROR(INDEX('Inputs (2)'!$D$58:$AL$58,MATCH(O$7&amp;"",'Inputs (2)'!$D$2:$AL$2,0)),"")</f>
        <v>39.624</v>
      </c>
      <c r="P31" s="274">
        <f>IFERROR(INDEX('Inputs (2)'!$D$58:$AL$58,MATCH(P$7&amp;"",'Inputs (2)'!$D$2:$AL$2,0)),"")</f>
        <v>39.936</v>
      </c>
      <c r="Q31" s="274">
        <f>IFERROR(INDEX('Inputs (2)'!$D$58:$AL$58,MATCH(Q$7&amp;"",'Inputs (2)'!$D$2:$AL$2,0)),"")</f>
        <v>41.699</v>
      </c>
      <c r="R31" s="275">
        <f>IF(COUNT(Q31)=0,"",Q31)</f>
        <v>41.699</v>
      </c>
      <c r="S31" s="274">
        <f>IFERROR(INDEX('Inputs (2)'!$D$58:$AL$58,MATCH(S$7&amp;"",'Inputs (2)'!$D$2:$AL$2,0)),"")</f>
        <v>41.249</v>
      </c>
      <c r="T31" s="274">
        <f>IFERROR(INDEX('Inputs (2)'!$D$58:$AL$58,MATCH(T$7&amp;"",'Inputs (2)'!$D$2:$AL$2,0)),"")</f>
        <v>42.466</v>
      </c>
      <c r="U31" s="274">
        <f>IFERROR(INDEX('Inputs (2)'!$D$58:$AL$58,MATCH(U$7&amp;"",'Inputs (2)'!$D$2:$AL$2,0)),"")</f>
        <v>43.645</v>
      </c>
      <c r="V31" s="274">
        <f>IFERROR(INDEX('Inputs (2)'!$D$58:$AL$58,MATCH(V$7&amp;"",'Inputs (2)'!$D$2:$AL$2,0)),"")</f>
        <v>45.997</v>
      </c>
      <c r="W31" s="275">
        <f>IF(COUNT(V31)=0,"",V31)</f>
        <v>45.997</v>
      </c>
      <c r="X31" s="274">
        <f>IFERROR(INDEX('Inputs (2)'!$D$58:$AL$58,MATCH(X$7&amp;"",'Inputs (2)'!$D$2:$AL$2,0)),"")</f>
        <v>47.72</v>
      </c>
      <c r="Y31" s="274">
        <f>IFERROR(INDEX('Inputs (2)'!$D$58:$AL$58,MATCH(Y$7&amp;"",'Inputs (2)'!$D$2:$AL$2,0)),"")</f>
        <v>49.25</v>
      </c>
      <c r="Z31" s="274">
        <f>IFERROR(INDEX('Inputs (2)'!$D$58:$AL$58,MATCH(Z$7&amp;"",'Inputs (2)'!$D$2:$AL$2,0)),"")</f>
        <v>49.182</v>
      </c>
      <c r="AA31" s="274">
        <f>IFERROR(INDEX('Inputs (2)'!$D$58:$AL$58,MATCH(AA$7&amp;"",'Inputs (2)'!$D$2:$AL$2,0)),"")</f>
        <v>53.327</v>
      </c>
      <c r="AB31" s="275">
        <f>IF(COUNT(AA31)=0,"",AA31)</f>
        <v>53.327</v>
      </c>
      <c r="AC31" s="274" t="str">
        <f>IFERROR(INDEX('Inputs (2)'!$D$58:$AL$58,MATCH(AC$7&amp;"",'Inputs (2)'!$D$2:$AL$2,0)),"")</f>
        <v/>
      </c>
      <c r="AD31" s="274" t="str">
        <f>IFERROR(INDEX('Inputs (2)'!$D$58:$AL$58,MATCH(AD$7&amp;"",'Inputs (2)'!$D$2:$AL$2,0)),"")</f>
        <v/>
      </c>
      <c r="AE31" s="274" t="str">
        <f>IFERROR(INDEX('Inputs (2)'!$D$58:$AL$58,MATCH(AE$7&amp;"",'Inputs (2)'!$D$2:$AL$2,0)),"")</f>
        <v/>
      </c>
      <c r="AF31" s="274" t="str">
        <f>IFERROR(INDEX('Inputs (2)'!$D$58:$AL$58,MATCH(AF$7&amp;"",'Inputs (2)'!$D$2:$AL$2,0)),"")</f>
        <v/>
      </c>
      <c r="AG31" s="275" t="str">
        <f>IF(COUNT(AF31)=0,"",AF31)</f>
        <v/>
      </c>
      <c r="AH31" s="275" t="str">
        <f>IFERROR(INDEX('Inputs (2)'!$D$58:$AL$58,MATCH(AH$7&amp;"",'Inputs (2)'!$D$2:$AL$2,0)),"")</f>
        <v/>
      </c>
      <c r="AI31" s="275" t="str">
        <f>IFERROR(INDEX('Inputs (2)'!$D$58:$AL$58,MATCH(AI$7&amp;"",'Inputs (2)'!$D$2:$AL$2,0)),"")</f>
        <v/>
      </c>
    </row>
    <row r="32">
      <c r="C32" s="268" t="inlineStr">
        <is>
          <t xml:space="preserve">   Ásia-Pacífico</t>
        </is>
      </c>
      <c r="D32" s="274" t="str">
        <f>IFERROR(INDEX('Inputs (2)'!$D$60:$AL$60,MATCH(D$7&amp;"",'Inputs (2)'!$D$2:$AL$2,0)),"")</f>
        <v/>
      </c>
      <c r="E32" s="274" t="str">
        <f>IFERROR(INDEX('Inputs (2)'!$D$60:$AL$60,MATCH(E$7&amp;"",'Inputs (2)'!$D$2:$AL$2,0)),"")</f>
        <v/>
      </c>
      <c r="F32" s="274" t="str">
        <f>IFERROR(INDEX('Inputs (2)'!$D$60:$AL$60,MATCH(F$7&amp;"",'Inputs (2)'!$D$2:$AL$2,0)),"")</f>
        <v/>
      </c>
      <c r="G32" s="274" t="str">
        <f>IFERROR(INDEX('Inputs (2)'!$D$60:$AL$60,MATCH(G$7&amp;"",'Inputs (2)'!$D$2:$AL$2,0)),"")</f>
        <v/>
      </c>
      <c r="H32" s="275" t="str">
        <f>IF(COUNT(G32)=0,"",G32)</f>
        <v/>
      </c>
      <c r="I32" s="274">
        <f>IFERROR(INDEX('Inputs (2)'!$D$60:$AL$60,MATCH(I$7&amp;"",'Inputs (2)'!$D$2:$AL$2,0)),"")</f>
        <v>26.853</v>
      </c>
      <c r="J32" s="274">
        <f>IFERROR(INDEX('Inputs (2)'!$D$60:$AL$60,MATCH(J$7&amp;"",'Inputs (2)'!$D$2:$AL$2,0)),"")</f>
        <v>27.875</v>
      </c>
      <c r="K32" s="274">
        <f>IFERROR(INDEX('Inputs (2)'!$D$60:$AL$60,MATCH(K$7&amp;"",'Inputs (2)'!$D$2:$AL$2,0)),"")</f>
        <v>30.051</v>
      </c>
      <c r="L32" s="274">
        <f>IFERROR(INDEX('Inputs (2)'!$D$60:$AL$60,MATCH(L$7&amp;"",'Inputs (2)'!$D$2:$AL$2,0)),"")</f>
        <v>32.632</v>
      </c>
      <c r="M32" s="275">
        <f>IF(COUNT(L32)=0,"",L32)</f>
        <v>32.632</v>
      </c>
      <c r="N32" s="274">
        <f>IFERROR(INDEX('Inputs (2)'!$D$60:$AL$60,MATCH(N$7&amp;"",'Inputs (2)'!$D$2:$AL$2,0)),"")</f>
        <v>33.719</v>
      </c>
      <c r="O32" s="274">
        <f>IFERROR(INDEX('Inputs (2)'!$D$60:$AL$60,MATCH(O$7&amp;"",'Inputs (2)'!$D$2:$AL$2,0)),"")</f>
        <v>34.799</v>
      </c>
      <c r="P32" s="274">
        <f>IFERROR(INDEX('Inputs (2)'!$D$60:$AL$60,MATCH(P$7&amp;"",'Inputs (2)'!$D$2:$AL$2,0)),"")</f>
        <v>36.228</v>
      </c>
      <c r="Q32" s="274">
        <f>IFERROR(INDEX('Inputs (2)'!$D$60:$AL$60,MATCH(Q$7&amp;"",'Inputs (2)'!$D$2:$AL$2,0)),"")</f>
        <v>38.023</v>
      </c>
      <c r="R32" s="275">
        <f>IF(COUNT(Q32)=0,"",Q32)</f>
        <v>38.023</v>
      </c>
      <c r="S32" s="274">
        <f>IFERROR(INDEX('Inputs (2)'!$D$60:$AL$60,MATCH(S$7&amp;"",'Inputs (2)'!$D$2:$AL$2,0)),"")</f>
        <v>39.478</v>
      </c>
      <c r="T32" s="274">
        <f>IFERROR(INDEX('Inputs (2)'!$D$60:$AL$60,MATCH(T$7&amp;"",'Inputs (2)'!$D$2:$AL$2,0)),"")</f>
        <v>40.546</v>
      </c>
      <c r="U32" s="274">
        <f>IFERROR(INDEX('Inputs (2)'!$D$60:$AL$60,MATCH(U$7&amp;"",'Inputs (2)'!$D$2:$AL$2,0)),"")</f>
        <v>42.427</v>
      </c>
      <c r="V32" s="274">
        <f>IFERROR(INDEX('Inputs (2)'!$D$60:$AL$60,MATCH(V$7&amp;"",'Inputs (2)'!$D$2:$AL$2,0)),"")</f>
        <v>45.338</v>
      </c>
      <c r="W32" s="275">
        <f>IF(COUNT(V32)=0,"",V32)</f>
        <v>45.338</v>
      </c>
      <c r="X32" s="274">
        <f>IFERROR(INDEX('Inputs (2)'!$D$60:$AL$60,MATCH(X$7&amp;"",'Inputs (2)'!$D$2:$AL$2,0)),"")</f>
        <v>47.495</v>
      </c>
      <c r="Y32" s="274">
        <f>IFERROR(INDEX('Inputs (2)'!$D$60:$AL$60,MATCH(Y$7&amp;"",'Inputs (2)'!$D$2:$AL$2,0)),"")</f>
        <v>50.324</v>
      </c>
      <c r="Z32" s="274">
        <f>IFERROR(INDEX('Inputs (2)'!$D$60:$AL$60,MATCH(Z$7&amp;"",'Inputs (2)'!$D$2:$AL$2,0)),"")</f>
        <v>52.604</v>
      </c>
      <c r="AA32" s="274">
        <f>IFERROR(INDEX('Inputs (2)'!$D$60:$AL$60,MATCH(AA$7&amp;"",'Inputs (2)'!$D$2:$AL$2,0)),"")</f>
        <v>57.541</v>
      </c>
      <c r="AB32" s="275">
        <f>IF(COUNT(AA32)=0,"",AA32)</f>
        <v>57.541</v>
      </c>
      <c r="AC32" s="274" t="str">
        <f>IFERROR(INDEX('Inputs (2)'!$D$60:$AL$60,MATCH(AC$7&amp;"",'Inputs (2)'!$D$2:$AL$2,0)),"")</f>
        <v/>
      </c>
      <c r="AD32" s="274" t="str">
        <f>IFERROR(INDEX('Inputs (2)'!$D$60:$AL$60,MATCH(AD$7&amp;"",'Inputs (2)'!$D$2:$AL$2,0)),"")</f>
        <v/>
      </c>
      <c r="AE32" s="274" t="str">
        <f>IFERROR(INDEX('Inputs (2)'!$D$60:$AL$60,MATCH(AE$7&amp;"",'Inputs (2)'!$D$2:$AL$2,0)),"")</f>
        <v/>
      </c>
      <c r="AF32" s="274" t="str">
        <f>IFERROR(INDEX('Inputs (2)'!$D$60:$AL$60,MATCH(AF$7&amp;"",'Inputs (2)'!$D$2:$AL$2,0)),"")</f>
        <v/>
      </c>
      <c r="AG32" s="275" t="str">
        <f>IF(COUNT(AF32)=0,"",AF32)</f>
        <v/>
      </c>
      <c r="AH32" s="275" t="str">
        <f>IFERROR(INDEX('Inputs (2)'!$D$60:$AL$60,MATCH(AH$7&amp;"",'Inputs (2)'!$D$2:$AL$2,0)),"")</f>
        <v/>
      </c>
      <c r="AI32" s="275" t="str">
        <f>IFERROR(INDEX('Inputs (2)'!$D$60:$AL$60,MATCH(AI$7&amp;"",'Inputs (2)'!$D$2:$AL$2,0)),"")</f>
        <v/>
      </c>
    </row>
    <row r="33">
      <c r="C33" s="271" t="inlineStr">
        <is>
          <t>Total de assinantes pagos</t>
        </is>
      </c>
      <c r="D33" s="274" t="str">
        <f>IF(COUNT(D29,D30,D31,D32)=0,"",N(D29)+N(D30)+N(D31)+N(D32))</f>
        <v/>
      </c>
      <c r="E33" s="274" t="str">
        <f>IF(COUNT(E29,E30,E31,E32)=0,"",N(E29)+N(E30)+N(E31)+N(E32))</f>
        <v/>
      </c>
      <c r="F33" s="274" t="str">
        <f>IF(COUNT(F29,F30,F31,F32)=0,"",N(F29)+N(F30)+N(F31)+N(F32))</f>
        <v/>
      </c>
      <c r="G33" s="274" t="str">
        <f>IF(COUNT(G29,G30,G31,G32)=0,"",N(G29)+N(G30)+N(G31)+N(G32))</f>
        <v/>
      </c>
      <c r="H33" s="275" t="str">
        <f>IF(COUNT(H29,H30,H31,H32)=0,"",N(H29)+N(H30)+N(H31)+N(H32))</f>
        <v/>
      </c>
      <c r="I33" s="274">
        <f>IF(COUNT(I29,I30,I31,I32)=0,"",N(I29)+N(I30)+N(I31)+N(I32))</f>
        <v>207.639</v>
      </c>
      <c r="J33" s="274">
        <f>IF(COUNT(J29,J30,J31,J32)=0,"",N(J29)+N(J30)+N(J31)+N(J32))</f>
        <v>209.18</v>
      </c>
      <c r="K33" s="274">
        <f>IF(COUNT(K29,K30,K31,K32)=0,"",N(K29)+N(K30)+N(K31)+N(K32))</f>
        <v>213.563</v>
      </c>
      <c r="L33" s="274">
        <f>IF(COUNT(L29,L30,L31,L32)=0,"",N(L29)+N(L30)+N(L31)+N(L32))</f>
        <v>221.844</v>
      </c>
      <c r="M33" s="275">
        <f>IF(COUNT(M29,M30,M31,M32)=0,"",N(M29)+N(M30)+N(M31)+N(M32))</f>
        <v>221.844</v>
      </c>
      <c r="N33" s="274">
        <f>IF(COUNT(N29,N30,N31,N32)=0,"",N(N29)+N(N30)+N(N31)+N(N32))</f>
        <v>221.641</v>
      </c>
      <c r="O33" s="274">
        <f>IF(COUNT(O29,O30,O31,O32)=0,"",N(O29)+N(O30)+N(O31)+N(O32))</f>
        <v>220.672</v>
      </c>
      <c r="P33" s="274">
        <f>IF(COUNT(P29,P30,P31,P32)=0,"",N(P29)+N(P30)+N(P31)+N(P32))</f>
        <v>223.085</v>
      </c>
      <c r="Q33" s="274">
        <f>IF(COUNT(Q29,Q30,Q31,Q32)=0,"",N(Q29)+N(Q30)+N(Q31)+N(Q32))</f>
        <v>230.747</v>
      </c>
      <c r="R33" s="275">
        <f>IF(COUNT(R29,R30,R31,R32)=0,"",N(R29)+N(R30)+N(R31)+N(R32))</f>
        <v>230.747</v>
      </c>
      <c r="S33" s="274">
        <f>IF(COUNT(S29,S30,S31,S32)=0,"",N(S29)+N(S30)+N(S31)+N(S32))</f>
        <v>232.498</v>
      </c>
      <c r="T33" s="274">
        <f>IF(COUNT(T29,T30,T31,T32)=0,"",N(T29)+N(T30)+N(T31)+N(T32))</f>
        <v>238.39</v>
      </c>
      <c r="U33" s="274">
        <f>IF(COUNT(U29,U30,U31,U32)=0,"",N(U29)+N(U30)+N(U31)+N(U32))</f>
        <v>247.153</v>
      </c>
      <c r="V33" s="274">
        <f>IF(COUNT(V29,V30,V31,V32)=0,"",N(V29)+N(V30)+N(V31)+N(V32))</f>
        <v>260.276</v>
      </c>
      <c r="W33" s="275">
        <f>IF(COUNT(W29,W30,W31,W32)=0,"",N(W29)+N(W30)+N(W31)+N(W32))</f>
        <v>260.276</v>
      </c>
      <c r="X33" s="274">
        <f>IF(COUNT(X29,X30,X31,X32)=0,"",N(X29)+N(X30)+N(X31)+N(X32))</f>
        <v>269.602</v>
      </c>
      <c r="Y33" s="274">
        <f>IF(COUNT(Y29,Y30,Y31,Y32)=0,"",N(Y29)+N(Y30)+N(Y31)+N(Y32))</f>
        <v>277.647</v>
      </c>
      <c r="Z33" s="274">
        <f>IF(COUNT(Z29,Z30,Z31,Z32)=0,"",N(Z29)+N(Z30)+N(Z31)+N(Z32))</f>
        <v>282.72</v>
      </c>
      <c r="AA33" s="274">
        <f>IF(COUNT(AA29,AA30,AA31,AA32)=0,"",N(AA29)+N(AA30)+N(AA31)+N(AA32))</f>
        <v>301.626</v>
      </c>
      <c r="AB33" s="275">
        <f>IF(COUNT(AB29,AB30,AB31,AB32)=0,"",N(AB29)+N(AB30)+N(AB31)+N(AB32))</f>
        <v>301.626</v>
      </c>
      <c r="AC33" s="274" t="str">
        <f>IF(COUNT(AC29,AC30,AC31,AC32)=0,"",N(AC29)+N(AC30)+N(AC31)+N(AC32))</f>
        <v/>
      </c>
      <c r="AD33" s="274" t="str">
        <f>IF(COUNT(AD29,AD30,AD31,AD32)=0,"",N(AD29)+N(AD30)+N(AD31)+N(AD32))</f>
        <v/>
      </c>
      <c r="AE33" s="274" t="str">
        <f>IF(COUNT(AE29,AE30,AE31,AE32)=0,"",N(AE29)+N(AE30)+N(AE31)+N(AE32))</f>
        <v/>
      </c>
      <c r="AF33" s="274" t="str">
        <f>IF(COUNT(AF29,AF30,AF31,AF32)=0,"",N(AF29)+N(AF30)+N(AF31)+N(AF32))</f>
        <v/>
      </c>
      <c r="AG33" s="275" t="str">
        <f>IF(COUNT(AG29,AG30,AG31,AG32)=0,"",N(AG29)+N(AG30)+N(AG31)+N(AG32))</f>
        <v/>
      </c>
      <c r="AH33" s="275" t="str">
        <f>IF(COUNT(AH29,AH30,AH31,AH32)=0,"",N(AH29)+N(AH30)+N(AH31)+N(AH32))</f>
        <v/>
      </c>
      <c r="AI33" s="275" t="str">
        <f>IF(COUNT(AI29,AI30,AI31,AI32)=0,"",N(AI29)+N(AI30)+N(AI31)+N(AI32))</f>
        <v/>
      </c>
    </row>
    <row r="34"/>
    <row r="35">
      <c r="C35" s="267" t="inlineStr">
        <is>
          <t>Receita média por assinante - ARM (USD por mês)</t>
        </is>
      </c>
      <c r="D35" s="267">
        <f>D7</f>
        <v>0</v>
      </c>
      <c r="E35" s="267">
        <f>E7</f>
        <v>0</v>
      </c>
      <c r="F35" s="267">
        <f>F7</f>
        <v>0</v>
      </c>
      <c r="G35" s="267">
        <f>G7</f>
        <v>0</v>
      </c>
      <c r="H35" s="267">
        <f>H7</f>
        <v>2020</v>
      </c>
      <c r="I35" s="267" t="str">
        <f>I7</f>
        <v>1Q21</v>
      </c>
      <c r="J35" s="267" t="str">
        <f>J7</f>
        <v>2Q21</v>
      </c>
      <c r="K35" s="267" t="str">
        <f>K7</f>
        <v>3Q21</v>
      </c>
      <c r="L35" s="267" t="str">
        <f>L7</f>
        <v>4Q21</v>
      </c>
      <c r="M35" s="267">
        <f>M7</f>
        <v>2021</v>
      </c>
      <c r="N35" s="267" t="str">
        <f>N7</f>
        <v>1Q22</v>
      </c>
      <c r="O35" s="267" t="str">
        <f>O7</f>
        <v>2Q22</v>
      </c>
      <c r="P35" s="267" t="str">
        <f>P7</f>
        <v>3Q22</v>
      </c>
      <c r="Q35" s="267" t="str">
        <f>Q7</f>
        <v>4Q22</v>
      </c>
      <c r="R35" s="267">
        <f>R7</f>
        <v>2022</v>
      </c>
      <c r="S35" s="267" t="str">
        <f>S7</f>
        <v>1Q23</v>
      </c>
      <c r="T35" s="267" t="str">
        <f>T7</f>
        <v>2Q23</v>
      </c>
      <c r="U35" s="267" t="str">
        <f>U7</f>
        <v>3Q23</v>
      </c>
      <c r="V35" s="267" t="str">
        <f>V7</f>
        <v>4Q23</v>
      </c>
      <c r="W35" s="267">
        <f>W7</f>
        <v>2023</v>
      </c>
      <c r="X35" s="267" t="str">
        <f>X7</f>
        <v>1Q24</v>
      </c>
      <c r="Y35" s="267" t="str">
        <f>Y7</f>
        <v>2Q24</v>
      </c>
      <c r="Z35" s="267" t="str">
        <f>Z7</f>
        <v>3Q24</v>
      </c>
      <c r="AA35" s="267" t="str">
        <f>AA7</f>
        <v>4Q24</v>
      </c>
      <c r="AB35" s="267">
        <f>AB7</f>
        <v>2024</v>
      </c>
      <c r="AC35" s="267" t="str">
        <f>AC7</f>
        <v>1Q25</v>
      </c>
      <c r="AD35" s="267" t="str">
        <f>AD7</f>
        <v>2Q25</v>
      </c>
      <c r="AE35" s="267" t="str">
        <f>AE7</f>
        <v>3Q25</v>
      </c>
      <c r="AF35" s="267" t="str">
        <f>AF7</f>
        <v>4Q25</v>
      </c>
      <c r="AG35" s="267">
        <f>AG7</f>
        <v>2025</v>
      </c>
      <c r="AH35" s="267" t="str">
        <f>AH7</f>
        <v>1Q26</v>
      </c>
      <c r="AI35" s="267" t="str">
        <f>AI7</f>
        <v>2Q26</v>
      </c>
    </row>
    <row r="36">
      <c r="C36" s="268" t="inlineStr">
        <is>
          <t xml:space="preserve">   EUA e Canadá</t>
        </is>
      </c>
      <c r="D36" s="276" t="str">
        <f>""</f>
        <v/>
      </c>
      <c r="E36" s="276" t="str">
        <f>IF(COUNT(E29,D29)&lt;2,"",IFERROR(E19/AVERAGE(E29,D29)/3,""))</f>
        <v/>
      </c>
      <c r="F36" s="276" t="str">
        <f>IF(COUNT(F29,E29)&lt;2,"",IFERROR(F19/AVERAGE(F29,E29)/3,""))</f>
        <v/>
      </c>
      <c r="G36" s="276" t="str">
        <f>IF(COUNT(G29,F29)&lt;2,"",IFERROR(G19/AVERAGE(G29,F29)/3,""))</f>
        <v/>
      </c>
      <c r="H36" s="277" t="n"/>
      <c r="I36" s="276" t="str">
        <f>IF(COUNT(I29,G29)&lt;2,"",IFERROR(I19/AVERAGE(I29,G29)/3,""))</f>
        <v/>
      </c>
      <c r="J36" s="276">
        <f>IF(COUNT(J29,I29)&lt;2,"",IFERROR(J19/AVERAGE(J29,I29)/3,""))</f>
        <v>14.5375580049662</v>
      </c>
      <c r="K36" s="276">
        <f>IF(COUNT(K29,J29)&lt;2,"",IFERROR(K19/AVERAGE(K29,J29)/3,""))</f>
        <v>14.6767899983105</v>
      </c>
      <c r="L36" s="276">
        <f>IF(COUNT(L29,K29)&lt;2,"",IFERROR(L19/AVERAGE(L29,K29)/3,""))</f>
        <v>14.7807119229335</v>
      </c>
      <c r="M36" s="277" t="n"/>
      <c r="N36" s="276">
        <f>IF(COUNT(N29,L29)&lt;2,"",IFERROR(N19/AVERAGE(N29,L29)/3,""))</f>
        <v>14.9112514519941</v>
      </c>
      <c r="O36" s="276">
        <f>IF(COUNT(O29,N29)&lt;2,"",IFERROR(O19/AVERAGE(O29,N29)/3,""))</f>
        <v>15.9511932297232</v>
      </c>
      <c r="P36" s="276">
        <f>IF(COUNT(P29,O29)&lt;2,"",IFERROR(P19/AVERAGE(P29,O29)/3,""))</f>
        <v>16.3703779459558</v>
      </c>
      <c r="Q36" s="276">
        <f>IF(COUNT(Q29,P29)&lt;2,"",IFERROR(Q19/AVERAGE(Q29,P29)/3,""))</f>
        <v>16.2275098239698</v>
      </c>
      <c r="R36" s="277" t="n"/>
      <c r="S36" s="276">
        <f>IF(COUNT(S29,Q29)&lt;2,"",IFERROR(S19/AVERAGE(S29,Q29)/3,""))</f>
        <v>16.1792899063401</v>
      </c>
      <c r="T36" s="276">
        <f>IF(COUNT(T29,S29)&lt;2,"",IFERROR(T19/AVERAGE(T29,S29)/3,""))</f>
        <v>16.0008535097253</v>
      </c>
      <c r="U36" s="276">
        <f>IF(COUNT(U29,T29)&lt;2,"",IFERROR(U19/AVERAGE(U29,T29)/3,""))</f>
        <v>16.2865857380809</v>
      </c>
      <c r="V36" s="276">
        <f>IF(COUNT(V29,U29)&lt;2,"",IFERROR(V19/AVERAGE(V29,U29)/3,""))</f>
        <v>16.6426673610714</v>
      </c>
      <c r="W36" s="277" t="n"/>
      <c r="X36" s="276">
        <f>IF(COUNT(X29,V29)&lt;2,"",IFERROR(X19/AVERAGE(X29,V29)/3,""))</f>
        <v>17.3000749450198</v>
      </c>
      <c r="Y36" s="276">
        <f>IF(COUNT(Y29,X29)&lt;2,"",IFERROR(Y19/AVERAGE(Y29,X29)/3,""))</f>
        <v>17.1719025146862</v>
      </c>
      <c r="Z36" s="276">
        <f>IF(COUNT(Z29,Y29)&lt;2,"",IFERROR(Z19/AVERAGE(Z29,Y29)/3,""))</f>
        <v>17.0600707271637</v>
      </c>
      <c r="AA36" s="276">
        <f>IF(COUNT(AA29,Z29)&lt;2,"",IFERROR(AA19/AVERAGE(AA29,Z29)/3,""))</f>
        <v>17.2641166173627</v>
      </c>
      <c r="AB36" s="277" t="n"/>
      <c r="AC36" s="276" t="str">
        <f>IF(COUNT(AC29,AA29)&lt;2,"",IFERROR(AC19/AVERAGE(AC29,AA29)/3,""))</f>
        <v/>
      </c>
      <c r="AD36" s="276" t="str">
        <f>IF(COUNT(AD29,AC29)&lt;2,"",IFERROR(AD19/AVERAGE(AD29,AC29)/3,""))</f>
        <v/>
      </c>
      <c r="AE36" s="276" t="str">
        <f>IF(COUNT(AE29,AD29)&lt;2,"",IFERROR(AE19/AVERAGE(AE29,AD29)/3,""))</f>
        <v/>
      </c>
      <c r="AF36" s="276" t="str">
        <f>IF(COUNT(AF29,AE29)&lt;2,"",IFERROR(AF19/AVERAGE(AF29,AE29)/3,""))</f>
        <v/>
      </c>
      <c r="AG36" s="277" t="n"/>
      <c r="AH36" s="277" t="str">
        <f>IF(COUNT(AH29,AF29)&lt;2,"",IFERROR(AH19/AVERAGE(AH29,AF29)/3,""))</f>
        <v/>
      </c>
      <c r="AI36" s="277" t="str">
        <f>IF(COUNT(AI29,AH29)&lt;2,"",IFERROR(AI19/AVERAGE(AI29,AH29)/3,""))</f>
        <v/>
      </c>
    </row>
    <row r="37">
      <c r="C37" s="268" t="inlineStr">
        <is>
          <t xml:space="preserve">   EMEA</t>
        </is>
      </c>
      <c r="D37" s="276" t="str">
        <f>""</f>
        <v/>
      </c>
      <c r="E37" s="276" t="str">
        <f>IF(COUNT(E30,D30)&lt;2,"",IFERROR(E20/AVERAGE(E30,D30)/3,""))</f>
        <v/>
      </c>
      <c r="F37" s="276" t="str">
        <f>IF(COUNT(F30,E30)&lt;2,"",IFERROR(F20/AVERAGE(F30,E30)/3,""))</f>
        <v/>
      </c>
      <c r="G37" s="276" t="str">
        <f>IF(COUNT(G30,F30)&lt;2,"",IFERROR(G20/AVERAGE(G30,F30)/3,""))</f>
        <v/>
      </c>
      <c r="H37" s="277" t="n"/>
      <c r="I37" s="276" t="str">
        <f>IF(COUNT(I30,G30)&lt;2,"",IFERROR(I20/AVERAGE(I30,G30)/3,""))</f>
        <v/>
      </c>
      <c r="J37" s="276">
        <f>IF(COUNT(J30,I30)&lt;2,"",IFERROR(J20/AVERAGE(J30,I30)/3,""))</f>
        <v>11.6637998892161</v>
      </c>
      <c r="K37" s="276">
        <f>IF(COUNT(K30,J30)&lt;2,"",IFERROR(K20/AVERAGE(K30,J30)/3,""))</f>
        <v>11.6489889556213</v>
      </c>
      <c r="L37" s="276">
        <f>IF(COUNT(L30,K30)&lt;2,"",IFERROR(L20/AVERAGE(L30,K30)/3,""))</f>
        <v>11.6392040737256</v>
      </c>
      <c r="M37" s="277" t="n"/>
      <c r="N37" s="276">
        <f>IF(COUNT(N30,L30)&lt;2,"",IFERROR(N20/AVERAGE(N30,L30)/3,""))</f>
        <v>11.5578188478865</v>
      </c>
      <c r="O37" s="276">
        <f>IF(COUNT(O30,N30)&lt;2,"",IFERROR(O20/AVERAGE(O30,N30)/3,""))</f>
        <v>11.1667882307764</v>
      </c>
      <c r="P37" s="276">
        <f>IF(COUNT(P30,O30)&lt;2,"",IFERROR(P20/AVERAGE(P30,O30)/3,""))</f>
        <v>10.8114402730375</v>
      </c>
      <c r="Q37" s="276">
        <f>IF(COUNT(Q30,P30)&lt;2,"",IFERROR(Q20/AVERAGE(Q30,P30)/3,""))</f>
        <v>10.4267628535745</v>
      </c>
      <c r="R37" s="277" t="n"/>
      <c r="S37" s="276">
        <f>IF(COUNT(S30,Q30)&lt;2,"",IFERROR(S20/AVERAGE(S30,Q30)/3,""))</f>
        <v>10.8916648280576</v>
      </c>
      <c r="T37" s="276">
        <f>IF(COUNT(T30,S30)&lt;2,"",IFERROR(T20/AVERAGE(T30,S30)/3,""))</f>
        <v>10.8672435000212</v>
      </c>
      <c r="U37" s="276">
        <f>IF(COUNT(U30,T30)&lt;2,"",IFERROR(U20/AVERAGE(U30,T30)/3,""))</f>
        <v>10.9767292098447</v>
      </c>
      <c r="V37" s="276">
        <f>IF(COUNT(V30,U30)&lt;2,"",IFERROR(V20/AVERAGE(V30,U30)/3,""))</f>
        <v>10.753053297252</v>
      </c>
      <c r="W37" s="277" t="n"/>
      <c r="X37" s="276">
        <f>IF(COUNT(X30,V30)&lt;2,"",IFERROR(X20/AVERAGE(X30,V30)/3,""))</f>
        <v>10.9233788629054</v>
      </c>
      <c r="Y37" s="276">
        <f>IF(COUNT(Y30,X30)&lt;2,"",IFERROR(Y20/AVERAGE(Y30,X30)/3,""))</f>
        <v>10.7983679155021</v>
      </c>
      <c r="Z37" s="276">
        <f>IF(COUNT(Z30,Y30)&lt;2,"",IFERROR(Z20/AVERAGE(Z30,Y30)/3,""))</f>
        <v>10.9891229823685</v>
      </c>
      <c r="AA37" s="276">
        <f>IF(COUNT(AA30,Z30)&lt;2,"",IFERROR(AA20/AVERAGE(AA30,Z30)/3,""))</f>
        <v>11.1106740206018</v>
      </c>
      <c r="AB37" s="277" t="n"/>
      <c r="AC37" s="276" t="str">
        <f>IF(COUNT(AC30,AA30)&lt;2,"",IFERROR(AC20/AVERAGE(AC30,AA30)/3,""))</f>
        <v/>
      </c>
      <c r="AD37" s="276" t="str">
        <f>IF(COUNT(AD30,AC30)&lt;2,"",IFERROR(AD20/AVERAGE(AD30,AC30)/3,""))</f>
        <v/>
      </c>
      <c r="AE37" s="276" t="str">
        <f>IF(COUNT(AE30,AD30)&lt;2,"",IFERROR(AE20/AVERAGE(AE30,AD30)/3,""))</f>
        <v/>
      </c>
      <c r="AF37" s="276" t="str">
        <f>IF(COUNT(AF30,AE30)&lt;2,"",IFERROR(AF20/AVERAGE(AF30,AE30)/3,""))</f>
        <v/>
      </c>
      <c r="AG37" s="277" t="n"/>
      <c r="AH37" s="277" t="str">
        <f>IF(COUNT(AH30,AF30)&lt;2,"",IFERROR(AH20/AVERAGE(AH30,AF30)/3,""))</f>
        <v/>
      </c>
      <c r="AI37" s="277" t="str">
        <f>IF(COUNT(AI30,AH30)&lt;2,"",IFERROR(AI20/AVERAGE(AI30,AH30)/3,""))</f>
        <v/>
      </c>
    </row>
    <row r="38">
      <c r="C38" s="268" t="inlineStr">
        <is>
          <t xml:space="preserve">   América Latina</t>
        </is>
      </c>
      <c r="D38" s="276" t="str">
        <f>""</f>
        <v/>
      </c>
      <c r="E38" s="276" t="str">
        <f>IF(COUNT(E31,D31)&lt;2,"",IFERROR(E21/AVERAGE(E31,D31)/3,""))</f>
        <v/>
      </c>
      <c r="F38" s="276" t="str">
        <f>IF(COUNT(F31,E31)&lt;2,"",IFERROR(F21/AVERAGE(F31,E31)/3,""))</f>
        <v/>
      </c>
      <c r="G38" s="276" t="str">
        <f>IF(COUNT(G31,F31)&lt;2,"",IFERROR(G21/AVERAGE(G31,F31)/3,""))</f>
        <v/>
      </c>
      <c r="H38" s="277" t="n"/>
      <c r="I38" s="276" t="str">
        <f>IF(COUNT(I31,G31)&lt;2,"",IFERROR(I21/AVERAGE(I31,G31)/3,""))</f>
        <v/>
      </c>
      <c r="J38" s="276">
        <f>IF(COUNT(J31,I31)&lt;2,"",IFERROR(J21/AVERAGE(J31,I31)/3,""))</f>
        <v>7.49714355383704</v>
      </c>
      <c r="K38" s="276">
        <f>IF(COUNT(K31,J31)&lt;2,"",IFERROR(K21/AVERAGE(K31,J31)/3,""))</f>
        <v>7.85871777039384</v>
      </c>
      <c r="L38" s="276">
        <f>IF(COUNT(L31,K31)&lt;2,"",IFERROR(L21/AVERAGE(L31,K31)/3,""))</f>
        <v>8.14154285255883</v>
      </c>
      <c r="M38" s="277" t="n"/>
      <c r="N38" s="276">
        <f>IF(COUNT(N31,L31)&lt;2,"",IFERROR(N21/AVERAGE(N31,L31)/3,""))</f>
        <v>8.36944783065857</v>
      </c>
      <c r="O38" s="276">
        <f>IF(COUNT(O31,N31)&lt;2,"",IFERROR(O21/AVERAGE(O31,N31)/3,""))</f>
        <v>8.66828213477379</v>
      </c>
      <c r="P38" s="276">
        <f>IF(COUNT(P31,O31)&lt;2,"",IFERROR(P21/AVERAGE(P31,O31)/3,""))</f>
        <v>8.58006535947713</v>
      </c>
      <c r="Q38" s="276">
        <f>IF(COUNT(Q31,P31)&lt;2,"",IFERROR(Q21/AVERAGE(Q31,P31)/3,""))</f>
        <v>8.30400359323003</v>
      </c>
      <c r="R38" s="277" t="n"/>
      <c r="S38" s="276">
        <f>IF(COUNT(S31,Q31)&lt;2,"",IFERROR(S21/AVERAGE(S31,Q31)/3,""))</f>
        <v>8.60130845027407</v>
      </c>
      <c r="T38" s="276">
        <f>IF(COUNT(T31,S31)&lt;2,"",IFERROR(T21/AVERAGE(T31,S31)/3,""))</f>
        <v>8.58018276294571</v>
      </c>
      <c r="U38" s="276">
        <f>IF(COUNT(U31,T31)&lt;2,"",IFERROR(U21/AVERAGE(U31,T31)/3,""))</f>
        <v>8.8475804484909</v>
      </c>
      <c r="V38" s="276">
        <f>IF(COUNT(V31,U31)&lt;2,"",IFERROR(V21/AVERAGE(V31,U31)/3,""))</f>
        <v>8.59733160795163</v>
      </c>
      <c r="W38" s="277" t="n"/>
      <c r="X38" s="276">
        <f>IF(COUNT(X31,V31)&lt;2,"",IFERROR(X21/AVERAGE(X31,V31)/3,""))</f>
        <v>8.28741850464697</v>
      </c>
      <c r="Y38" s="276">
        <f>IF(COUNT(Y31,X31)&lt;2,"",IFERROR(Y21/AVERAGE(Y31,X31)/3,""))</f>
        <v>8.27847100477811</v>
      </c>
      <c r="Z38" s="276">
        <f>IF(COUNT(Z31,Y31)&lt;2,"",IFERROR(Z21/AVERAGE(Z31,Y31)/3,""))</f>
        <v>8.40439423493715</v>
      </c>
      <c r="AA38" s="276">
        <f>IF(COUNT(AA31,Z31)&lt;2,"",IFERROR(AA21/AVERAGE(AA31,Z31)/3,""))</f>
        <v>7.99780832252127</v>
      </c>
      <c r="AB38" s="277" t="n"/>
      <c r="AC38" s="276" t="str">
        <f>IF(COUNT(AC31,AA31)&lt;2,"",IFERROR(AC21/AVERAGE(AC31,AA31)/3,""))</f>
        <v/>
      </c>
      <c r="AD38" s="276" t="str">
        <f>IF(COUNT(AD31,AC31)&lt;2,"",IFERROR(AD21/AVERAGE(AD31,AC31)/3,""))</f>
        <v/>
      </c>
      <c r="AE38" s="276" t="str">
        <f>IF(COUNT(AE31,AD31)&lt;2,"",IFERROR(AE21/AVERAGE(AE31,AD31)/3,""))</f>
        <v/>
      </c>
      <c r="AF38" s="276" t="str">
        <f>IF(COUNT(AF31,AE31)&lt;2,"",IFERROR(AF21/AVERAGE(AF31,AE31)/3,""))</f>
        <v/>
      </c>
      <c r="AG38" s="277" t="n"/>
      <c r="AH38" s="277" t="str">
        <f>IF(COUNT(AH31,AF31)&lt;2,"",IFERROR(AH21/AVERAGE(AH31,AF31)/3,""))</f>
        <v/>
      </c>
      <c r="AI38" s="277" t="str">
        <f>IF(COUNT(AI31,AH31)&lt;2,"",IFERROR(AI21/AVERAGE(AI31,AH31)/3,""))</f>
        <v/>
      </c>
    </row>
    <row r="39">
      <c r="C39" s="268" t="inlineStr">
        <is>
          <t xml:space="preserve">   Ásia-Pacífico</t>
        </is>
      </c>
      <c r="D39" s="276" t="str">
        <f>""</f>
        <v/>
      </c>
      <c r="E39" s="276" t="str">
        <f>IF(COUNT(E32,D32)&lt;2,"",IFERROR(E22/AVERAGE(E32,D32)/3,""))</f>
        <v/>
      </c>
      <c r="F39" s="276" t="str">
        <f>IF(COUNT(F32,E32)&lt;2,"",IFERROR(F22/AVERAGE(F32,E32)/3,""))</f>
        <v/>
      </c>
      <c r="G39" s="276" t="str">
        <f>IF(COUNT(G32,F32)&lt;2,"",IFERROR(G22/AVERAGE(G32,F32)/3,""))</f>
        <v/>
      </c>
      <c r="H39" s="277" t="n"/>
      <c r="I39" s="276" t="str">
        <f>IF(COUNT(I32,G32)&lt;2,"",IFERROR(I22/AVERAGE(I32,G32)/3,""))</f>
        <v/>
      </c>
      <c r="J39" s="276">
        <f>IF(COUNT(J32,I32)&lt;2,"",IFERROR(J22/AVERAGE(J32,I32)/3,""))</f>
        <v>9.73882960580812</v>
      </c>
      <c r="K39" s="276">
        <f>IF(COUNT(K32,J32)&lt;2,"",IFERROR(K22/AVERAGE(K32,J32)/3,""))</f>
        <v>9.59847621678233</v>
      </c>
      <c r="L39" s="276">
        <f>IF(COUNT(L32,K32)&lt;2,"",IFERROR(L22/AVERAGE(L32,K32)/3,""))</f>
        <v>9.26040553260055</v>
      </c>
      <c r="M39" s="277" t="n"/>
      <c r="N39" s="276">
        <f>IF(COUNT(N32,L32)&lt;2,"",IFERROR(N22/AVERAGE(N32,L32)/3,""))</f>
        <v>9.21115481806353</v>
      </c>
      <c r="O39" s="276">
        <f>IF(COUNT(O32,N32)&lt;2,"",IFERROR(O22/AVERAGE(O32,N32)/3,""))</f>
        <v>8.83192737674772</v>
      </c>
      <c r="P39" s="276">
        <f>IF(COUNT(P32,O32)&lt;2,"",IFERROR(P22/AVERAGE(P32,O32)/3,""))</f>
        <v>8.34459196268086</v>
      </c>
      <c r="Q39" s="276">
        <f>IF(COUNT(Q32,P32)&lt;2,"",IFERROR(Q22/AVERAGE(Q32,P32)/3,""))</f>
        <v>7.69202659447909</v>
      </c>
      <c r="R39" s="277" t="n"/>
      <c r="S39" s="276">
        <f>IF(COUNT(S32,Q32)&lt;2,"",IFERROR(S22/AVERAGE(S32,Q32)/3,""))</f>
        <v>8.03020176083749</v>
      </c>
      <c r="T39" s="276">
        <f>IF(COUNT(T32,S32)&lt;2,"",IFERROR(T22/AVERAGE(T32,S32)/3,""))</f>
        <v>7.65831084008131</v>
      </c>
      <c r="U39" s="276">
        <f>IF(COUNT(U32,T32)&lt;2,"",IFERROR(U22/AVERAGE(U32,T32)/3,""))</f>
        <v>7.61867113398334</v>
      </c>
      <c r="V39" s="276">
        <f>IF(COUNT(V32,U32)&lt;2,"",IFERROR(V22/AVERAGE(V32,U32)/3,""))</f>
        <v>7.31282401868626</v>
      </c>
      <c r="W39" s="277" t="n"/>
      <c r="X39" s="276">
        <f>IF(COUNT(X32,V32)&lt;2,"",IFERROR(X22/AVERAGE(X32,V32)/3,""))</f>
        <v>7.34597969831131</v>
      </c>
      <c r="Y39" s="276">
        <f>IF(COUNT(Y32,X32)&lt;2,"",IFERROR(Y22/AVERAGE(Y32,X32)/3,""))</f>
        <v>7.16856643392388</v>
      </c>
      <c r="Z39" s="276">
        <f>IF(COUNT(Z32,Y32)&lt;2,"",IFERROR(Z22/AVERAGE(Z32,Y32)/3,""))</f>
        <v>7.30522954557231</v>
      </c>
      <c r="AA39" s="276">
        <f>IF(COUNT(AA32,Z32)&lt;2,"",IFERROR(AA22/AVERAGE(AA32,Z32)/3,""))</f>
        <v>7.33651096282174</v>
      </c>
      <c r="AB39" s="277" t="n"/>
      <c r="AC39" s="276" t="str">
        <f>IF(COUNT(AC32,AA32)&lt;2,"",IFERROR(AC22/AVERAGE(AC32,AA32)/3,""))</f>
        <v/>
      </c>
      <c r="AD39" s="276" t="str">
        <f>IF(COUNT(AD32,AC32)&lt;2,"",IFERROR(AD22/AVERAGE(AD32,AC32)/3,""))</f>
        <v/>
      </c>
      <c r="AE39" s="276" t="str">
        <f>IF(COUNT(AE32,AD32)&lt;2,"",IFERROR(AE22/AVERAGE(AE32,AD32)/3,""))</f>
        <v/>
      </c>
      <c r="AF39" s="276" t="str">
        <f>IF(COUNT(AF32,AE32)&lt;2,"",IFERROR(AF22/AVERAGE(AF32,AE32)/3,""))</f>
        <v/>
      </c>
      <c r="AG39" s="277" t="n"/>
      <c r="AH39" s="277" t="str">
        <f>IF(COUNT(AH32,AF32)&lt;2,"",IFERROR(AH22/AVERAGE(AH32,AF32)/3,""))</f>
        <v/>
      </c>
      <c r="AI39" s="277" t="str">
        <f>IF(COUNT(AI32,AH32)&lt;2,"",IFERROR(AI22/AVERAGE(AI32,AH32)/3,""))</f>
        <v/>
      </c>
    </row>
    <row r="40"/>
    <row r="41"/>
    <row r="42"/>
    <row r="43"/>
    <row r="44"/>
    <row r="45"/>
    <row r="46" hidden="1" outlineLevel="1" customFormat="1" s="43">
      <c r="A46" s="36" t="n"/>
      <c r="B46" s="37" t="n"/>
      <c r="C46" s="45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  <c r="BC46" s="39" t="n"/>
      <c r="BD46" s="39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</row>
    <row r="47" hidden="1" outlineLevel="1" customFormat="1" s="43">
      <c r="A47" s="36" t="n"/>
      <c r="B47" s="37" t="n"/>
      <c r="C47" s="45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  <c r="BC47" s="39" t="n"/>
      <c r="BD47" s="39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39" t="n"/>
      <c r="BQ47" s="39" t="n"/>
      <c r="BR47" s="39" t="n"/>
      <c r="BS47" s="39" t="n"/>
      <c r="BT47" s="39" t="n"/>
      <c r="BU47" s="39" t="n"/>
      <c r="BV47" s="39" t="n"/>
      <c r="BW47" s="39" t="n"/>
      <c r="BX47" s="39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39" t="n"/>
      <c r="CH47" s="39" t="n"/>
      <c r="CI47" s="39" t="n"/>
      <c r="CJ47" s="39" t="n"/>
      <c r="CK47" s="39" t="n"/>
      <c r="CL47" s="39" t="n"/>
      <c r="CM47" s="39" t="n"/>
      <c r="CN47" s="39" t="n"/>
      <c r="CO47" s="39" t="n"/>
      <c r="CP47" s="39" t="n"/>
      <c r="CQ47" s="39" t="n"/>
      <c r="CR47" s="39" t="n"/>
      <c r="CS47" s="39" t="n"/>
      <c r="CT47" s="39" t="n"/>
      <c r="CU47" s="39" t="n"/>
      <c r="CV47" s="39" t="n"/>
      <c r="CW47" s="39" t="n"/>
      <c r="CX47" s="39" t="n"/>
      <c r="CY47" s="39" t="n"/>
    </row>
    <row r="48" collapsed="1">
      <c r="C48" s="13" t="inlineStr">
        <is>
          <t>COGS (cash)</t>
        </is>
      </c>
      <c r="D48" s="46" t="n"/>
      <c r="E48" s="46" t="n"/>
      <c r="F48" s="46" t="n"/>
      <c r="G48" s="46" t="n"/>
      <c r="H48" s="12" t="n"/>
      <c r="I48" s="46">
        <f>'Inputs (2)'!D5</f>
        <v>-3868.511</v>
      </c>
      <c r="J48" s="46">
        <f>'Inputs (2)'!E5</f>
        <v>-4018.008</v>
      </c>
      <c r="K48" s="46">
        <f>'Inputs (2)'!F5</f>
        <v>-4206.589</v>
      </c>
      <c r="L48" s="46">
        <f>'Inputs (2)'!G5</f>
        <v>-5239.575</v>
      </c>
      <c r="M48" s="12">
        <f>'Inputs (2)'!H5</f>
        <v>-17332.683</v>
      </c>
      <c r="N48" s="46">
        <f>'Inputs (2)'!I5</f>
        <v>-4284.705</v>
      </c>
      <c r="O48" s="46">
        <f>'Inputs (2)'!J5</f>
        <v>-4690.755</v>
      </c>
      <c r="P48" s="46">
        <f>'Inputs (2)'!K5</f>
        <v>-4788.665</v>
      </c>
      <c r="Q48" s="46">
        <f>'Inputs (2)'!L5</f>
        <v>-5404.16</v>
      </c>
      <c r="R48" s="12">
        <f>'Inputs (2)'!M5</f>
        <v>-19168.285</v>
      </c>
      <c r="S48" s="46">
        <f>'Inputs (2)'!N5</f>
        <v>-4803.625</v>
      </c>
      <c r="T48" s="46">
        <f>'Inputs (2)'!O5</f>
        <v>-4673.47</v>
      </c>
      <c r="U48" s="46">
        <f>'Inputs (2)'!P5</f>
        <v>-4930.788</v>
      </c>
      <c r="V48" s="46">
        <f>'Inputs (2)'!Q5</f>
        <v>-5307.485</v>
      </c>
      <c r="W48" s="12">
        <f>'Inputs (2)'!R5</f>
        <v>-19715.368</v>
      </c>
      <c r="X48" s="46">
        <f>'Inputs (2)'!S5</f>
        <v>-4977.073</v>
      </c>
      <c r="Y48" s="46">
        <f>'Inputs (2)'!T5</f>
        <v>-5174.143</v>
      </c>
      <c r="Z48" s="46">
        <f>'Inputs (2)'!U5</f>
        <v>-5119.884</v>
      </c>
      <c r="AA48" s="46">
        <f>'Inputs (2)'!V5</f>
        <v>-5767.364</v>
      </c>
      <c r="AB48" s="12">
        <f>'Inputs (2)'!W5</f>
        <v>-21038.464</v>
      </c>
      <c r="AC48" s="46">
        <f>'Inputs (2)'!X5</f>
        <v>-5263.147</v>
      </c>
      <c r="AD48" s="46">
        <f>'Inputs (2)'!Y5</f>
        <v>-5325.311</v>
      </c>
      <c r="AE48" s="46">
        <f>'Inputs (2)'!Z5</f>
        <v>-6164.25</v>
      </c>
      <c r="AF48" s="46">
        <f>'Inputs (2)'!AA5</f>
        <v>-6522.621</v>
      </c>
      <c r="AG48" s="12">
        <f>'Inputs (2)'!AB5</f>
        <v>-23275.329</v>
      </c>
      <c r="AH48" s="12">
        <f>'Inputs (2)'!AC5</f>
        <v>-5888.238</v>
      </c>
      <c r="AI48" s="12">
        <f>'Inputs (2)'!AD5</f>
        <v>-6036.965</v>
      </c>
      <c r="AJ48" s="12">
        <f>-(1-AJ49)*AJ15</f>
        <v>-6684.53170464577</v>
      </c>
      <c r="AK48" s="12">
        <f>-(1-AK49)*AK15</f>
        <v>-6998.39723251</v>
      </c>
      <c r="AL48" s="12">
        <f>SUM(AH48:AK48)</f>
        <v>-25608.1319371558</v>
      </c>
      <c r="AM48" s="12">
        <f>-(1-AM49)*AM15</f>
        <v>-7113.962211495</v>
      </c>
      <c r="AN48" s="12">
        <f>-(1-AN49)*AN15</f>
        <v>-7294.09769603757</v>
      </c>
      <c r="AO48" s="12">
        <f>-(1-AO49)*AO15</f>
        <v>-7717.64619313486</v>
      </c>
      <c r="AP48" s="12">
        <f>-(1-AP49)*AP15</f>
        <v>-8080.02058274156</v>
      </c>
      <c r="AQ48" s="12">
        <f>SUM(AM48:AP48)</f>
        <v>-30205.726683409</v>
      </c>
      <c r="AR48" s="12">
        <f>-(1-AR49)*AR15</f>
        <v>-8177.87666590245</v>
      </c>
      <c r="AS48" s="12">
        <f>-(1-AS49)*AS15</f>
        <v>-8384.9519541801</v>
      </c>
      <c r="AT48" s="12">
        <f>-(1-AT49)*AT15</f>
        <v>-8871.84340346179</v>
      </c>
      <c r="AU48" s="12">
        <f>-(1-AU49)*AU15</f>
        <v>-9288.41197340679</v>
      </c>
      <c r="AV48" s="12">
        <f>SUM(AR48:AU48)</f>
        <v>-34723.0839969511</v>
      </c>
      <c r="AW48" s="12">
        <f>-(1-AW49)*AW15</f>
        <v>-9360.01334492061</v>
      </c>
      <c r="AX48" s="12">
        <f>-(1-AX49)*AX15</f>
        <v>-9597.02198920154</v>
      </c>
      <c r="AY48" s="12">
        <f>-(1-AY49)*AY15</f>
        <v>-10154.2950625173</v>
      </c>
      <c r="AZ48" s="12">
        <f>-(1-AZ49)*AZ15</f>
        <v>-10631.0798726889</v>
      </c>
      <c r="BA48" s="12">
        <f>SUM(AW48:AZ48)</f>
        <v>-39742.4102693284</v>
      </c>
      <c r="BB48" s="12">
        <f>-(1-BB49)*BB15</f>
        <v>-10666.2313711767</v>
      </c>
      <c r="BC48" s="12">
        <f>-(1-BC49)*BC15</f>
        <v>-10936.3152849182</v>
      </c>
      <c r="BD48" s="12">
        <f>-(1-BD49)*BD15</f>
        <v>-11571.3574924315</v>
      </c>
      <c r="BE48" s="12">
        <f>-(1-BE49)*BE15</f>
        <v>-12114.6790574924</v>
      </c>
      <c r="BF48" s="12">
        <f>SUM(BB48:BE48)</f>
        <v>-45288.5832060188</v>
      </c>
      <c r="BG48" s="12" t="n"/>
      <c r="BH48" s="12" t="n"/>
      <c r="BI48" s="12" t="n"/>
      <c r="BJ48" s="12" t="n"/>
      <c r="BK48" s="12" t="n"/>
      <c r="BL48" s="12" t="n"/>
      <c r="BM48" s="12" t="n"/>
      <c r="BN48" s="12" t="n"/>
      <c r="BO48" s="12" t="n"/>
      <c r="BP48" s="12" t="n"/>
      <c r="BQ48" s="12" t="n"/>
      <c r="BR48" s="12" t="n"/>
      <c r="BS48" s="12" t="n"/>
      <c r="BT48" s="12" t="n"/>
      <c r="BU48" s="12" t="n"/>
      <c r="BV48" s="12" t="n"/>
      <c r="BW48" s="12" t="n"/>
      <c r="BX48" s="12" t="n"/>
      <c r="BY48" s="12" t="n"/>
      <c r="BZ48" s="12" t="n"/>
      <c r="CA48" s="12" t="n"/>
      <c r="CB48" s="12" t="n"/>
      <c r="CC48" s="12" t="n"/>
      <c r="CD48" s="12" t="n"/>
      <c r="CE48" s="12" t="n"/>
      <c r="CF48" s="12" t="n"/>
      <c r="CG48" s="12" t="n"/>
      <c r="CH48" s="12" t="n"/>
      <c r="CI48" s="12" t="n"/>
      <c r="CJ48" s="12" t="n"/>
      <c r="CK48" s="12" t="n"/>
      <c r="CL48" s="12" t="n"/>
      <c r="CM48" s="12" t="n"/>
      <c r="CN48" s="12" t="n"/>
      <c r="CO48" s="12" t="n"/>
      <c r="CP48" s="12" t="n"/>
      <c r="CQ48" s="12" t="n"/>
      <c r="CR48" s="12" t="n"/>
      <c r="CS48" s="12" t="n"/>
      <c r="CT48" s="12" t="n"/>
      <c r="CU48" s="12" t="n"/>
      <c r="CV48" s="12" t="n"/>
      <c r="CW48" s="12" t="n"/>
      <c r="CX48" s="12" t="n"/>
      <c r="CY48" s="12" t="n"/>
    </row>
    <row r="49" hidden="1" outlineLevel="1" customFormat="1" s="3">
      <c r="C49" s="47" t="inlineStr">
        <is>
          <t>% Gross Margin</t>
        </is>
      </c>
      <c r="D49" s="48" t="n"/>
      <c r="E49" s="48" t="n"/>
      <c r="F49" s="48" t="n"/>
      <c r="G49" s="48" t="n"/>
      <c r="H49" s="48" t="n"/>
      <c r="I49" s="48">
        <f>IFERROR((I15+I48)/I$15,"")</f>
        <v>0.459952714412193</v>
      </c>
      <c r="J49" s="48">
        <f>IFERROR((J15+J48)/J$15,"")</f>
        <v>0.452719961393543</v>
      </c>
      <c r="K49" s="48">
        <f>IFERROR((K15+K48)/K$15,"")</f>
        <v>0.437882334484805</v>
      </c>
      <c r="L49" s="48">
        <f>IFERROR((L15+L48)/L$15,"")</f>
        <v>0.320358169166196</v>
      </c>
      <c r="M49" s="48">
        <f>IFERROR((M15+M48)/M$15,"")</f>
        <v>0.416365612264648</v>
      </c>
      <c r="N49" s="48">
        <f>IFERROR((N15+N48)/N$15,"")</f>
        <v>0.455410283502295</v>
      </c>
      <c r="O49" s="48">
        <f>IFERROR((O15+O48)/O$15,"")</f>
        <v>0.411458969170056</v>
      </c>
      <c r="P49" s="48">
        <f>IFERROR((P15+P48)/P$15,"")</f>
        <v>0.395796955910785</v>
      </c>
      <c r="Q49" s="48">
        <f>IFERROR((Q15+Q48)/Q$15,"")</f>
        <v>0.311751971108702</v>
      </c>
      <c r="R49" s="48">
        <f>IFERROR((R15+R48)/R$15,"")</f>
        <v>0.393707052384033</v>
      </c>
      <c r="S49" s="48">
        <f>IFERROR((S15+S48)/S$15,"")</f>
        <v>0.411428875294171</v>
      </c>
      <c r="T49" s="48">
        <f>IFERROR((T15+T48)/T$15,"")</f>
        <v>0.42918062985592</v>
      </c>
      <c r="U49" s="48">
        <f>IFERROR((U15+U48)/U$15,"")</f>
        <v>0.422737104743476</v>
      </c>
      <c r="V49" s="48">
        <f>IFERROR((V15+V48)/V$15,"")</f>
        <v>0.399118062454538</v>
      </c>
      <c r="W49" s="48">
        <f>IFERROR((W15+W48)/W$15,"")</f>
        <v>0.415378395534695</v>
      </c>
      <c r="X49" s="48">
        <f>IFERROR((X15+X48)/X$15,"")</f>
        <v>0.468853863852711</v>
      </c>
      <c r="Y49" s="48">
        <f>IFERROR((Y15+Y48)/Y$15,"")</f>
        <v>0.458732586347759</v>
      </c>
      <c r="Z49" s="48">
        <f>IFERROR((Z15+Z48)/Z$15,"")</f>
        <v>0.47887646069301</v>
      </c>
      <c r="AA49" s="48">
        <f>IFERROR((AA15+AA48)/AA$15,"")</f>
        <v>0.437138858848859</v>
      </c>
      <c r="AB49" s="48">
        <f>IFERROR((AB15+AB48)/AB$15,"")</f>
        <v>0.460565566504173</v>
      </c>
      <c r="AC49" s="48">
        <f>IFERROR((AC15+AC48)/AC$15,"")</f>
        <v>0.500782856472393</v>
      </c>
      <c r="AD49" s="48">
        <f>IFERROR((AD15+AD48)/AD$15,"")</f>
        <v>0.519340083901622</v>
      </c>
      <c r="AE49" s="48">
        <f>IFERROR((AE15+AE48)/AE$15,"")</f>
        <v>0.464458245987705</v>
      </c>
      <c r="AF49" s="41">
        <f>IFERROR((AF15+AF48)/AF$15,"")</f>
        <v>0.458737878982259</v>
      </c>
      <c r="AG49" s="48">
        <f>IFERROR((AG15+AG48)/AG$15,"")</f>
        <v>0.48486575802476</v>
      </c>
      <c r="AH49" s="49">
        <f>IFERROR((AH15+AH48)/AH$15,"")</f>
        <v>0.51931797504228</v>
      </c>
      <c r="AI49" s="49">
        <f>IFERROR((AI15+AI48)/AI$15,"")</f>
        <v>0.51934754773471</v>
      </c>
      <c r="AJ49" s="49">
        <f>Control!$B$19</f>
        <v>0.496997431353495</v>
      </c>
      <c r="AK49" s="49">
        <f>Control!$B$19</f>
        <v>0.496997431353495</v>
      </c>
      <c r="AL49" s="48">
        <f>IFERROR((AL15+AL48)/AL$15,"")</f>
        <v>0.507651418927354</v>
      </c>
      <c r="AM49" s="49">
        <f>Control!$C$19</f>
        <v>0.496997431353495</v>
      </c>
      <c r="AN49" s="49">
        <f>Control!$C$19</f>
        <v>0.496997431353495</v>
      </c>
      <c r="AO49" s="49">
        <f>Control!$C$19</f>
        <v>0.496997431353495</v>
      </c>
      <c r="AP49" s="49">
        <f>Control!$C$19</f>
        <v>0.496997431353495</v>
      </c>
      <c r="AQ49" s="48">
        <f>IFERROR((AQ15+AQ48)/AQ$15,"")</f>
        <v>0.496997431353495</v>
      </c>
      <c r="AR49" s="49">
        <f>Control!$D$19</f>
        <v>0.496997431353495</v>
      </c>
      <c r="AS49" s="49">
        <f>Control!$D$19</f>
        <v>0.496997431353495</v>
      </c>
      <c r="AT49" s="49">
        <f>Control!$D$19</f>
        <v>0.496997431353495</v>
      </c>
      <c r="AU49" s="49">
        <f>Control!$D$19</f>
        <v>0.496997431353495</v>
      </c>
      <c r="AV49" s="48">
        <f>IFERROR((AV15+AV48)/AV$15,"")</f>
        <v>0.496997431353495</v>
      </c>
      <c r="AW49" s="49">
        <f>Control!$E$19</f>
        <v>0.496997431353495</v>
      </c>
      <c r="AX49" s="49">
        <f>Control!$E$19</f>
        <v>0.496997431353495</v>
      </c>
      <c r="AY49" s="49">
        <f>Control!$E$19</f>
        <v>0.496997431353495</v>
      </c>
      <c r="AZ49" s="49">
        <f>Control!$E$19</f>
        <v>0.496997431353495</v>
      </c>
      <c r="BA49" s="48">
        <f>IFERROR((BA15+BA48)/BA$15,"")</f>
        <v>0.496997431353495</v>
      </c>
      <c r="BB49" s="49">
        <f>Control!$F$19</f>
        <v>0.496997431353495</v>
      </c>
      <c r="BC49" s="49">
        <f>Control!$F$19</f>
        <v>0.496997431353495</v>
      </c>
      <c r="BD49" s="49">
        <f>Control!$F$19</f>
        <v>0.496997431353495</v>
      </c>
      <c r="BE49" s="49">
        <f>Control!$F$19</f>
        <v>0.496997431353495</v>
      </c>
      <c r="BF49" s="48">
        <f>IFERROR((BF15+BF48)/BF$15,"")</f>
        <v>0.496997431353495</v>
      </c>
      <c r="BG49" s="49" t="n"/>
      <c r="BH49" s="49" t="n"/>
      <c r="BI49" s="49" t="n"/>
      <c r="BJ49" s="49" t="n"/>
      <c r="BK49" s="48" t="n"/>
      <c r="BL49" s="49" t="n"/>
      <c r="BM49" s="49" t="n"/>
      <c r="BN49" s="49" t="n"/>
      <c r="BO49" s="49" t="n"/>
      <c r="BP49" s="48" t="n"/>
      <c r="BQ49" s="49" t="n"/>
      <c r="BR49" s="49" t="n"/>
      <c r="BS49" s="49" t="n"/>
      <c r="BT49" s="49" t="n"/>
      <c r="BU49" s="48" t="n"/>
      <c r="BV49" s="49" t="n"/>
      <c r="BW49" s="49" t="n"/>
      <c r="BX49" s="49" t="n"/>
      <c r="BY49" s="49" t="n"/>
      <c r="BZ49" s="48" t="n"/>
      <c r="CA49" s="49" t="n"/>
      <c r="CB49" s="49" t="n"/>
      <c r="CC49" s="49" t="n"/>
      <c r="CD49" s="49" t="n"/>
      <c r="CE49" s="48" t="n"/>
      <c r="CF49" s="49" t="n"/>
      <c r="CG49" s="49" t="n"/>
      <c r="CH49" s="49" t="n"/>
      <c r="CI49" s="49" t="n"/>
      <c r="CJ49" s="48" t="n"/>
      <c r="CK49" s="49" t="n"/>
      <c r="CL49" s="49" t="n"/>
      <c r="CM49" s="49" t="n"/>
      <c r="CN49" s="49" t="n"/>
      <c r="CO49" s="48" t="n"/>
      <c r="CP49" s="49" t="n"/>
      <c r="CQ49" s="49" t="n"/>
      <c r="CR49" s="49" t="n"/>
      <c r="CS49" s="49" t="n"/>
      <c r="CT49" s="48" t="n"/>
      <c r="CU49" s="49" t="n"/>
      <c r="CV49" s="49" t="n"/>
      <c r="CW49" s="49" t="n"/>
      <c r="CX49" s="49" t="n"/>
      <c r="CY49" s="48" t="n"/>
    </row>
    <row r="50" hidden="1" outlineLevel="1"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</row>
    <row r="51" hidden="1" outlineLevel="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collapsed="1">
      <c r="C52" s="13" t="inlineStr">
        <is>
          <t>SG&amp;A and Other (cash)</t>
        </is>
      </c>
      <c r="D52" s="46" t="n"/>
      <c r="E52" s="46" t="n"/>
      <c r="F52" s="46" t="n"/>
      <c r="G52" s="46" t="n"/>
      <c r="H52" s="12" t="n"/>
      <c r="I52" s="46">
        <f>'Inputs (2)'!D6</f>
        <v>-1299.174</v>
      </c>
      <c r="J52" s="46">
        <f>'Inputs (2)'!E6</f>
        <v>-1437.705</v>
      </c>
      <c r="K52" s="46">
        <f>'Inputs (2)'!F6</f>
        <v>-1451.372</v>
      </c>
      <c r="L52" s="46">
        <f>'Inputs (2)'!G6</f>
        <v>-1773.989</v>
      </c>
      <c r="M52" s="12">
        <f>'Inputs (2)'!H6</f>
        <v>-5962.24</v>
      </c>
      <c r="N52" s="46">
        <f>'Inputs (2)'!I6</f>
        <v>-1536.834</v>
      </c>
      <c r="O52" s="46">
        <f>'Inputs (2)'!J6</f>
        <v>-1617.598</v>
      </c>
      <c r="P52" s="46">
        <f>'Inputs (2)'!K6</f>
        <v>-1518.718</v>
      </c>
      <c r="Q52" s="46">
        <f>'Inputs (2)'!L6</f>
        <v>-1804.602</v>
      </c>
      <c r="R52" s="12">
        <f>'Inputs (2)'!M6</f>
        <v>-6477.752</v>
      </c>
      <c r="S52" s="46">
        <f>'Inputs (2)'!N6</f>
        <v>-1553.226</v>
      </c>
      <c r="T52" s="46">
        <f>'Inputs (2)'!O6</f>
        <v>-1597.263</v>
      </c>
      <c r="U52" s="46">
        <f>'Inputs (2)'!P6</f>
        <v>-1603.826</v>
      </c>
      <c r="V52" s="46">
        <f>'Inputs (2)'!Q6</f>
        <v>-1942.664</v>
      </c>
      <c r="W52" s="12">
        <f>'Inputs (2)'!R6</f>
        <v>-6696.979</v>
      </c>
      <c r="X52" s="46">
        <f>'Inputs (2)'!S6</f>
        <v>-1673.599</v>
      </c>
      <c r="Y52" s="46">
        <f>'Inputs (2)'!T6</f>
        <v>-1701.103</v>
      </c>
      <c r="Z52" s="46">
        <f>'Inputs (2)'!U6</f>
        <v>-1714.428</v>
      </c>
      <c r="AA52" s="46">
        <f>'Inputs (2)'!V6</f>
        <v>-2126.844</v>
      </c>
      <c r="AB52" s="12">
        <f>'Inputs (2)'!W6</f>
        <v>-7215.974</v>
      </c>
      <c r="AC52" s="46">
        <f>'Inputs (2)'!X6</f>
        <v>-1852.588</v>
      </c>
      <c r="AD52" s="46">
        <f>'Inputs (2)'!Y6</f>
        <v>-1899.148</v>
      </c>
      <c r="AE52" s="46">
        <f>'Inputs (2)'!Z6</f>
        <v>-2010.484</v>
      </c>
      <c r="AF52" s="46">
        <f>'Inputs (2)'!AA6</f>
        <v>-2485.495</v>
      </c>
      <c r="AG52" s="12">
        <f>'Inputs (2)'!AB6</f>
        <v>-8247.715</v>
      </c>
      <c r="AH52" s="12">
        <f>'Inputs (2)'!AC6</f>
        <v>-2305.947</v>
      </c>
      <c r="AI52" s="12">
        <f>'Inputs (2)'!AD6</f>
        <v>-2229.833</v>
      </c>
      <c r="AJ52" s="12">
        <f>-AJ15*AJ53</f>
        <v>-2422.7133583703</v>
      </c>
      <c r="AK52" s="12">
        <f>-AK15*AK53</f>
        <v>-2536.4694508966</v>
      </c>
      <c r="AL52" s="12">
        <f>SUM(AH52:AK52)</f>
        <v>-9494.9628092669</v>
      </c>
      <c r="AM52" s="12">
        <f>-AM15*AM53</f>
        <v>-2578.35433239879</v>
      </c>
      <c r="AN52" s="12">
        <f>-AN15*AN53</f>
        <v>-2643.64187444373</v>
      </c>
      <c r="AO52" s="12">
        <f>-AO15*AO53</f>
        <v>-2797.15099777126</v>
      </c>
      <c r="AP52" s="12">
        <f>-AP15*AP53</f>
        <v>-2928.48843668584</v>
      </c>
      <c r="AQ52" s="12">
        <f>SUM(AM52:AP52)</f>
        <v>-10947.6356412996</v>
      </c>
      <c r="AR52" s="12">
        <f>-AR15*AR53</f>
        <v>-2963.95498099243</v>
      </c>
      <c r="AS52" s="12">
        <f>-AS15*AS53</f>
        <v>-3039.00647139826</v>
      </c>
      <c r="AT52" s="12">
        <f>-AT15*AT53</f>
        <v>-3215.47334602333</v>
      </c>
      <c r="AU52" s="12">
        <f>-AU15*AU53</f>
        <v>-3366.45269411761</v>
      </c>
      <c r="AV52" s="12">
        <f>SUM(AR52:AU52)</f>
        <v>-12584.8874925316</v>
      </c>
      <c r="AW52" s="12">
        <f>-AW15*AW53</f>
        <v>-3392.40359193796</v>
      </c>
      <c r="AX52" s="12">
        <f>-AX15*AX53</f>
        <v>-3478.30400110942</v>
      </c>
      <c r="AY52" s="12">
        <f>-AY15*AY53</f>
        <v>-3680.27969344456</v>
      </c>
      <c r="AZ52" s="12">
        <f>-AZ15*AZ53</f>
        <v>-3853.08356059777</v>
      </c>
      <c r="BA52" s="12">
        <f>SUM(AW52:AZ52)</f>
        <v>-14404.0708470897</v>
      </c>
      <c r="BB52" s="12">
        <f>-BB15*BB53</f>
        <v>-3865.82372082376</v>
      </c>
      <c r="BC52" s="12">
        <f>-BC15*BC53</f>
        <v>-3963.7117905666</v>
      </c>
      <c r="BD52" s="12">
        <f>-BD15*BD53</f>
        <v>-4193.87379850533</v>
      </c>
      <c r="BE52" s="12">
        <f>-BE15*BE53</f>
        <v>-4390.79296528092</v>
      </c>
      <c r="BF52" s="12">
        <f>SUM(BB52:BE52)</f>
        <v>-16414.2022751766</v>
      </c>
      <c r="BG52" s="12" t="n"/>
      <c r="BH52" s="12" t="n"/>
      <c r="BI52" s="12" t="n"/>
      <c r="BJ52" s="12" t="n"/>
      <c r="BK52" s="12" t="n"/>
      <c r="BL52" s="12" t="n"/>
      <c r="BM52" s="12" t="n"/>
      <c r="BN52" s="12" t="n"/>
      <c r="BO52" s="12" t="n"/>
      <c r="BP52" s="12" t="n"/>
      <c r="BQ52" s="12" t="n"/>
      <c r="BR52" s="12" t="n"/>
      <c r="BS52" s="12" t="n"/>
      <c r="BT52" s="12" t="n"/>
      <c r="BU52" s="12" t="n"/>
      <c r="BV52" s="12" t="n"/>
      <c r="BW52" s="12" t="n"/>
      <c r="BX52" s="12" t="n"/>
      <c r="BY52" s="12" t="n"/>
      <c r="BZ52" s="12" t="n"/>
      <c r="CA52" s="12" t="n"/>
      <c r="CB52" s="12" t="n"/>
      <c r="CC52" s="12" t="n"/>
      <c r="CD52" s="12" t="n"/>
      <c r="CE52" s="12" t="n"/>
      <c r="CF52" s="12" t="n"/>
      <c r="CG52" s="12" t="n"/>
      <c r="CH52" s="12" t="n"/>
      <c r="CI52" s="12" t="n"/>
      <c r="CJ52" s="12" t="n"/>
      <c r="CK52" s="12" t="n"/>
      <c r="CL52" s="12" t="n"/>
      <c r="CM52" s="12" t="n"/>
      <c r="CN52" s="12" t="n"/>
      <c r="CO52" s="12" t="n"/>
      <c r="CP52" s="12" t="n"/>
      <c r="CQ52" s="12" t="n"/>
      <c r="CR52" s="12" t="n"/>
      <c r="CS52" s="12" t="n"/>
      <c r="CT52" s="12" t="n"/>
      <c r="CU52" s="12" t="n"/>
      <c r="CV52" s="12" t="n"/>
      <c r="CW52" s="12" t="n"/>
      <c r="CX52" s="12" t="n"/>
      <c r="CY52" s="12" t="n"/>
    </row>
    <row r="53" hidden="1" outlineLevel="1">
      <c r="C53" s="38" t="inlineStr">
        <is>
          <t>% SG&amp;A and Other Margin</t>
        </is>
      </c>
      <c r="D53" s="51" t="n"/>
      <c r="E53" s="51" t="n"/>
      <c r="F53" s="51" t="n"/>
      <c r="G53" s="51" t="n"/>
      <c r="H53" s="51" t="n"/>
      <c r="I53" s="51">
        <f>IFERROR(-(I52/I$15),"")</f>
        <v>0.181365748270137</v>
      </c>
      <c r="J53" s="51">
        <f>IFERROR(-(J52/J$15),"")</f>
        <v>0.195825206894734</v>
      </c>
      <c r="K53" s="51">
        <f>IFERROR(-(K52/K$15),"")</f>
        <v>0.193943796371388</v>
      </c>
      <c r="L53" s="51">
        <f>IFERROR(-(L52/L$15),"")</f>
        <v>0.230109719173603</v>
      </c>
      <c r="M53" s="51">
        <f>IFERROR(-(M52/M$15),"")</f>
        <v>0.200763395484197</v>
      </c>
      <c r="N53" s="51">
        <f>IFERROR(-(N52/N$15),"")</f>
        <v>0.195332932457202</v>
      </c>
      <c r="O53" s="51">
        <f>IFERROR(-(O52/O$15),"")</f>
        <v>0.202957262613045</v>
      </c>
      <c r="P53" s="51">
        <f>IFERROR(-(P52/P$15),"")</f>
        <v>0.191622099001096</v>
      </c>
      <c r="Q53" s="51">
        <f>IFERROR(-(Q52/Q$15),"")</f>
        <v>0.229825499140161</v>
      </c>
      <c r="R53" s="51">
        <f>IFERROR(-(R52/R$15),"")</f>
        <v>0.204891327210819</v>
      </c>
      <c r="S53" s="51">
        <f>IFERROR(-(S52/S$15),"")</f>
        <v>0.190311269872718</v>
      </c>
      <c r="T53" s="51">
        <f>IFERROR(-(T52/T$15),"")</f>
        <v>0.195090298988641</v>
      </c>
      <c r="U53" s="51">
        <f>IFERROR(-(U52/U$15),"")</f>
        <v>0.187764965812298</v>
      </c>
      <c r="V53" s="51">
        <f>IFERROR(-(V52/V$15),"")</f>
        <v>0.219936883160257</v>
      </c>
      <c r="W53" s="51">
        <f>IFERROR(-(W52/W$15),"")</f>
        <v>0.198586128752476</v>
      </c>
      <c r="X53" s="51">
        <f>IFERROR(-(X52/X$15),"")</f>
        <v>0.178604099700761</v>
      </c>
      <c r="Y53" s="51">
        <f>IFERROR(-(Y52/Y$15),"")</f>
        <v>0.1779524882026</v>
      </c>
      <c r="Z53" s="51">
        <f>IFERROR(-(Z52/Z$15),"")</f>
        <v>0.174501763564761</v>
      </c>
      <c r="AA53" s="51">
        <f>IFERROR(-(AA52/AA$15),"")</f>
        <v>0.20756758909104</v>
      </c>
      <c r="AB53" s="51">
        <f>IFERROR(-(AB52/AB$15),"")</f>
        <v>0.185020391546199</v>
      </c>
      <c r="AC53" s="51">
        <f>IFERROR(-(AC52/AC$15),"")</f>
        <v>0.175720664745545</v>
      </c>
      <c r="AD53" s="51">
        <f>IFERROR(-(AD52/AD$15),"")</f>
        <v>0.171416151721167</v>
      </c>
      <c r="AE53" s="51">
        <f>IFERROR(-(AE52/AE$15),"")</f>
        <v>0.174668147426476</v>
      </c>
      <c r="AF53" s="41">
        <f>IFERROR(-(AF52/AF$15),"")</f>
        <v>0.206252102564137</v>
      </c>
      <c r="AG53" s="51">
        <f>IFERROR(-(AG52/AG$15),"")</f>
        <v>0.182540079865373</v>
      </c>
      <c r="AH53" s="52">
        <f>IFERROR(-(AH52/AH$15),"")</f>
        <v>0.188244305580919</v>
      </c>
      <c r="AI53" s="52">
        <f>IFERROR(-(AI52/AI$15),"")</f>
        <v>0.177535350891063</v>
      </c>
      <c r="AJ53" s="52">
        <f>Control!$B$20</f>
        <v>0.182306120488218</v>
      </c>
      <c r="AK53" s="52">
        <f>Control!$B$20</f>
        <v>0.182306120488218</v>
      </c>
      <c r="AL53" s="51">
        <f>IFERROR(-(AL52/AL$15),"")</f>
        <v>0.182552615628211</v>
      </c>
      <c r="AM53" s="52">
        <f>Control!$C$20</f>
        <v>0.182306120488218</v>
      </c>
      <c r="AN53" s="52">
        <f>Control!$C$20</f>
        <v>0.182306120488218</v>
      </c>
      <c r="AO53" s="52">
        <f>Control!$C$20</f>
        <v>0.182306120488218</v>
      </c>
      <c r="AP53" s="52">
        <f>Control!$C$20</f>
        <v>0.182306120488218</v>
      </c>
      <c r="AQ53" s="51">
        <f>IFERROR(-(AQ52/AQ$15),"")</f>
        <v>0.182306120488218</v>
      </c>
      <c r="AR53" s="52">
        <f>Control!$D$20</f>
        <v>0.182306120488218</v>
      </c>
      <c r="AS53" s="52">
        <f>Control!$D$20</f>
        <v>0.182306120488218</v>
      </c>
      <c r="AT53" s="52">
        <f>Control!$D$20</f>
        <v>0.182306120488218</v>
      </c>
      <c r="AU53" s="52">
        <f>Control!$D$20</f>
        <v>0.182306120488218</v>
      </c>
      <c r="AV53" s="51">
        <f>IFERROR(-(AV52/AV$15),"")</f>
        <v>0.182306120488218</v>
      </c>
      <c r="AW53" s="52">
        <f>Control!$E$20</f>
        <v>0.182306120488218</v>
      </c>
      <c r="AX53" s="52">
        <f>Control!$E$20</f>
        <v>0.182306120488218</v>
      </c>
      <c r="AY53" s="52">
        <f>Control!$E$20</f>
        <v>0.182306120488218</v>
      </c>
      <c r="AZ53" s="52">
        <f>Control!$E$20</f>
        <v>0.182306120488218</v>
      </c>
      <c r="BA53" s="51">
        <f>IFERROR(-(BA52/BA$15),"")</f>
        <v>0.182306120488218</v>
      </c>
      <c r="BB53" s="52">
        <f>Control!$F$20</f>
        <v>0.182306120488218</v>
      </c>
      <c r="BC53" s="52">
        <f>Control!$F$20</f>
        <v>0.182306120488218</v>
      </c>
      <c r="BD53" s="52">
        <f>Control!$F$20</f>
        <v>0.182306120488218</v>
      </c>
      <c r="BE53" s="52">
        <f>Control!$F$20</f>
        <v>0.182306120488218</v>
      </c>
      <c r="BF53" s="51">
        <f>IFERROR(-(BF52/BF$15),"")</f>
        <v>0.182306120488218</v>
      </c>
      <c r="BG53" s="52" t="n"/>
      <c r="BH53" s="52" t="n"/>
      <c r="BI53" s="52" t="n"/>
      <c r="BJ53" s="52" t="n"/>
      <c r="BK53" s="51" t="n"/>
      <c r="BL53" s="52" t="n"/>
      <c r="BM53" s="52" t="n"/>
      <c r="BN53" s="52" t="n"/>
      <c r="BO53" s="52" t="n"/>
      <c r="BP53" s="51" t="n"/>
      <c r="BQ53" s="52" t="n"/>
      <c r="BR53" s="52" t="n"/>
      <c r="BS53" s="52" t="n"/>
      <c r="BT53" s="52" t="n"/>
      <c r="BU53" s="51" t="n"/>
      <c r="BV53" s="52" t="n"/>
      <c r="BW53" s="52" t="n"/>
      <c r="BX53" s="52" t="n"/>
      <c r="BY53" s="52" t="n"/>
      <c r="BZ53" s="51" t="n"/>
      <c r="CA53" s="52" t="n"/>
      <c r="CB53" s="52" t="n"/>
      <c r="CC53" s="52" t="n"/>
      <c r="CD53" s="52" t="n"/>
      <c r="CE53" s="51" t="n"/>
      <c r="CF53" s="52" t="n"/>
      <c r="CG53" s="52" t="n"/>
      <c r="CH53" s="52" t="n"/>
      <c r="CI53" s="52" t="n"/>
      <c r="CJ53" s="51" t="n"/>
      <c r="CK53" s="52" t="n"/>
      <c r="CL53" s="52" t="n"/>
      <c r="CM53" s="52" t="n"/>
      <c r="CN53" s="52" t="n"/>
      <c r="CO53" s="51" t="n"/>
      <c r="CP53" s="52" t="n"/>
      <c r="CQ53" s="52" t="n"/>
      <c r="CR53" s="52" t="n"/>
      <c r="CS53" s="52" t="n"/>
      <c r="CT53" s="51" t="n"/>
      <c r="CU53" s="52" t="n"/>
      <c r="CV53" s="52" t="n"/>
      <c r="CW53" s="52" t="n"/>
      <c r="CX53" s="52" t="n"/>
      <c r="CY53" s="51" t="n"/>
    </row>
    <row r="54" hidden="1" outlineLevel="1"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inlineStr">
        <is>
          <t>Com Vendas</t>
        </is>
      </c>
      <c r="D55" s="11" t="n"/>
      <c r="E55" s="11" t="n"/>
      <c r="F55" s="11" t="n"/>
      <c r="G55" s="11" t="n"/>
      <c r="H55" s="50" t="n"/>
      <c r="I55" s="11" t="n"/>
      <c r="J55" s="11" t="n"/>
      <c r="K55" s="11" t="n"/>
      <c r="L55" s="11" t="n"/>
      <c r="M55" s="50" t="n"/>
      <c r="N55" s="11" t="n"/>
      <c r="O55" s="11" t="n"/>
      <c r="P55" s="11" t="n"/>
      <c r="Q55" s="11" t="n"/>
      <c r="R55" s="50" t="n"/>
      <c r="S55" s="11" t="n"/>
      <c r="T55" s="11" t="n"/>
      <c r="U55" s="11" t="n"/>
      <c r="V55" s="11" t="n"/>
      <c r="W55" s="50" t="n"/>
      <c r="X55" s="11" t="n"/>
      <c r="Y55" s="11" t="n"/>
      <c r="Z55" s="11" t="n"/>
      <c r="AA55" s="11" t="n"/>
      <c r="AB55" s="50" t="n"/>
      <c r="AC55" s="11" t="n"/>
      <c r="AD55" s="11" t="n"/>
      <c r="AE55" s="11" t="n"/>
      <c r="AF55" s="11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inlineStr">
        <is>
          <t>Gerais &amp; Administrativas</t>
        </is>
      </c>
      <c r="D56" s="11" t="n"/>
      <c r="E56" s="11" t="n"/>
      <c r="F56" s="11" t="n"/>
      <c r="G56" s="11" t="n"/>
      <c r="H56" s="50" t="n"/>
      <c r="I56" s="11" t="n"/>
      <c r="J56" s="11" t="n"/>
      <c r="K56" s="11" t="n"/>
      <c r="L56" s="11" t="n"/>
      <c r="M56" s="50" t="n"/>
      <c r="N56" s="11" t="n"/>
      <c r="O56" s="11" t="n"/>
      <c r="P56" s="11" t="n"/>
      <c r="Q56" s="11" t="n"/>
      <c r="R56" s="50" t="n"/>
      <c r="S56" s="11" t="n"/>
      <c r="T56" s="11" t="n"/>
      <c r="U56" s="11" t="n"/>
      <c r="V56" s="11" t="n"/>
      <c r="W56" s="50" t="n"/>
      <c r="X56" s="11" t="n"/>
      <c r="Y56" s="11" t="n"/>
      <c r="Z56" s="11" t="n"/>
      <c r="AA56" s="11" t="n"/>
      <c r="AB56" s="50" t="n"/>
      <c r="AC56" s="11" t="n"/>
      <c r="AD56" s="11" t="n"/>
      <c r="AE56" s="11" t="n"/>
      <c r="AF56" s="11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Outras Receitas (Despesas) Operacionais, Líquidas</t>
        </is>
      </c>
      <c r="D57" s="11" t="n"/>
      <c r="E57" s="11" t="n"/>
      <c r="F57" s="11" t="n"/>
      <c r="G57" s="11" t="n"/>
      <c r="H57" s="50" t="n"/>
      <c r="I57" s="11" t="n"/>
      <c r="J57" s="11" t="n"/>
      <c r="K57" s="11" t="n"/>
      <c r="L57" s="11" t="n"/>
      <c r="M57" s="50" t="n"/>
      <c r="N57" s="11" t="n"/>
      <c r="O57" s="11" t="n"/>
      <c r="P57" s="11" t="n"/>
      <c r="Q57" s="11" t="n"/>
      <c r="R57" s="50" t="n"/>
      <c r="S57" s="11" t="n"/>
      <c r="T57" s="11" t="n"/>
      <c r="U57" s="11" t="n"/>
      <c r="V57" s="11" t="n"/>
      <c r="W57" s="50" t="n"/>
      <c r="X57" s="11" t="n"/>
      <c r="Y57" s="11" t="n"/>
      <c r="Z57" s="11" t="n"/>
      <c r="AA57" s="11" t="n"/>
      <c r="AB57" s="50" t="n"/>
      <c r="AC57" s="11" t="n"/>
      <c r="AD57" s="11" t="n"/>
      <c r="AE57" s="11" t="n"/>
      <c r="AF57" s="11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inlineStr">
        <is>
          <t>Com Vendas (%)</t>
        </is>
      </c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inlineStr">
        <is>
          <t>Gerais &amp; Administrativas (%)</t>
        </is>
      </c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hidden="1" outlineLevel="1">
      <c r="C61" s="50" t="inlineStr">
        <is>
          <t>Outras Receitas (Despesas) Operacionais, Líquidas (%)</t>
        </is>
      </c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</row>
    <row r="62" hidden="1" outlineLevel="1"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collapsed="1" customFormat="1" s="32">
      <c r="A63" s="30" t="n"/>
      <c r="B63" s="3" t="n"/>
      <c r="C63" s="33" t="inlineStr">
        <is>
          <t>EBITDA</t>
        </is>
      </c>
      <c r="D63" s="35" t="n"/>
      <c r="E63" s="35" t="n"/>
      <c r="F63" s="35" t="n"/>
      <c r="G63" s="35" t="n"/>
      <c r="H63" s="35" t="n"/>
      <c r="I63" s="35">
        <f>SUM(I15,I48,I52)</f>
        <v>1995.597</v>
      </c>
      <c r="J63" s="35">
        <f>SUM(J15,J48,J52)</f>
        <v>1886.064</v>
      </c>
      <c r="K63" s="35">
        <f>SUM(K15,K48,K52)</f>
        <v>1825.506</v>
      </c>
      <c r="L63" s="35">
        <f>SUM(L15,L48,L52)</f>
        <v>695.754</v>
      </c>
      <c r="M63" s="35">
        <f>SUM(I63:L63)</f>
        <v>6402.921</v>
      </c>
      <c r="N63" s="35">
        <f>SUM(N15,N48,N52)</f>
        <v>2046.228</v>
      </c>
      <c r="O63" s="35">
        <f>SUM(O15,O48,O52)</f>
        <v>1661.788</v>
      </c>
      <c r="P63" s="35">
        <f>SUM(P15,P48,P52)</f>
        <v>1618.206</v>
      </c>
      <c r="Q63" s="35">
        <f>SUM(Q15,Q48,Q52)</f>
        <v>643.291</v>
      </c>
      <c r="R63" s="35">
        <f>SUM(N63:Q63)</f>
        <v>5969.513</v>
      </c>
      <c r="S63" s="35">
        <f>SUM(S15,S48,S52)</f>
        <v>1804.652</v>
      </c>
      <c r="T63" s="35">
        <f>SUM(T15,T48,T52)</f>
        <v>1916.568</v>
      </c>
      <c r="U63" s="35">
        <f>SUM(U15,U48,U52)</f>
        <v>2007.054</v>
      </c>
      <c r="V63" s="35">
        <f>SUM(V15,V48,V52)</f>
        <v>1582.676</v>
      </c>
      <c r="W63" s="35">
        <f>SUM(S63:V63)</f>
        <v>7310.95</v>
      </c>
      <c r="X63" s="35">
        <f>SUM(X15,X48,X52)</f>
        <v>2719.768</v>
      </c>
      <c r="Y63" s="35">
        <f>SUM(Y15,Y48,Y52)</f>
        <v>2684.064</v>
      </c>
      <c r="Z63" s="35">
        <f>SUM(Z15,Z48,Z52)</f>
        <v>2990.391</v>
      </c>
      <c r="AA63" s="35">
        <f>SUM(AA15,AA48,AA52)</f>
        <v>2352.305</v>
      </c>
      <c r="AB63" s="35">
        <f>SUM(X63:AA63)</f>
        <v>10746.528</v>
      </c>
      <c r="AC63" s="35">
        <f>SUM(AC15,AC48,AC52)</f>
        <v>3427.066</v>
      </c>
      <c r="AD63" s="35">
        <f>SUM(AD15,AD48,AD52)</f>
        <v>3854.707</v>
      </c>
      <c r="AE63" s="35">
        <f>SUM(AE15,AE48,AE52)</f>
        <v>3335.573</v>
      </c>
      <c r="AF63" s="35">
        <f>SUM(AF15,AF48,AF52)</f>
        <v>3042.646</v>
      </c>
      <c r="AG63" s="35">
        <f>SUM(AC63:AF63)</f>
        <v>13659.992</v>
      </c>
      <c r="AH63" s="35">
        <f>SUM(AH15,AH48,AH52)</f>
        <v>4055.572</v>
      </c>
      <c r="AI63" s="35">
        <f>SUM(AI15,AI48,AI52)</f>
        <v>4293.14</v>
      </c>
      <c r="AJ63" s="35">
        <f>SUM(AJ15,AJ48,AJ52)</f>
        <v>4182.01451796919</v>
      </c>
      <c r="AK63" s="35">
        <f>SUM(AK15,AK48,AK52)</f>
        <v>4378.37684404</v>
      </c>
      <c r="AL63" s="35">
        <f>SUM(AH63:AK63)</f>
        <v>16909.1033620092</v>
      </c>
      <c r="AM63" s="35">
        <f>SUM(AM15,AM48,AM52)</f>
        <v>4450.6772595722</v>
      </c>
      <c r="AN63" s="35">
        <f>SUM(AN15,AN48,AN52)</f>
        <v>4563.37463985912</v>
      </c>
      <c r="AO63" s="35">
        <f>SUM(AO15,AO48,AO52)</f>
        <v>4828.3574452655</v>
      </c>
      <c r="AP63" s="35">
        <f>SUM(AP15,AP48,AP52)</f>
        <v>5055.06815967832</v>
      </c>
      <c r="AQ63" s="35">
        <f>SUM(AM63:AP63)</f>
        <v>18897.4775043752</v>
      </c>
      <c r="AR63" s="35">
        <f>SUM(AR15,AR48,AR52)</f>
        <v>5116.28943568275</v>
      </c>
      <c r="AS63" s="35">
        <f>SUM(AS15,AS48,AS52)</f>
        <v>5245.84104829429</v>
      </c>
      <c r="AT63" s="35">
        <f>SUM(AT15,AT48,AT52)</f>
        <v>5550.45282957373</v>
      </c>
      <c r="AU63" s="35">
        <f>SUM(AU15,AU48,AU52)</f>
        <v>5811.06881349208</v>
      </c>
      <c r="AV63" s="35">
        <f>SUM(AR63:AU63)</f>
        <v>21723.6521270429</v>
      </c>
      <c r="AW63" s="35">
        <f>SUM(AW15,AW48,AW52)</f>
        <v>5855.86446835736</v>
      </c>
      <c r="AX63" s="35">
        <f>SUM(AX15,AX48,AX52)</f>
        <v>6004.14315638844</v>
      </c>
      <c r="AY63" s="35">
        <f>SUM(AY15,AY48,AY52)</f>
        <v>6352.78748721866</v>
      </c>
      <c r="AZ63" s="35">
        <f>SUM(AZ15,AZ48,AZ52)</f>
        <v>6651.07629579734</v>
      </c>
      <c r="BA63" s="35">
        <f>SUM(AW63:AZ63)</f>
        <v>24863.8714077618</v>
      </c>
      <c r="BB63" s="35">
        <f>SUM(BB15,BB48,BB52)</f>
        <v>6673.06797502025</v>
      </c>
      <c r="BC63" s="35">
        <f>SUM(BC15,BC48,BC52)</f>
        <v>6842.03940013177</v>
      </c>
      <c r="BD63" s="35">
        <f>SUM(BD15,BD48,BD52)</f>
        <v>7239.33809638867</v>
      </c>
      <c r="BE63" s="35">
        <f>SUM(BE15,BE48,BE52)</f>
        <v>7579.25400574572</v>
      </c>
      <c r="BF63" s="35">
        <f>SUM(BB63:BE63)</f>
        <v>28333.6994772864</v>
      </c>
      <c r="BG63" s="35" t="n"/>
      <c r="BH63" s="35" t="n"/>
      <c r="BI63" s="35" t="n"/>
      <c r="BJ63" s="35" t="n"/>
      <c r="BK63" s="35" t="n"/>
      <c r="BL63" s="35" t="n"/>
      <c r="BM63" s="35" t="n"/>
      <c r="BN63" s="35" t="n"/>
      <c r="BO63" s="35" t="n"/>
      <c r="BP63" s="35" t="n"/>
      <c r="BQ63" s="35" t="n"/>
      <c r="BR63" s="35" t="n"/>
      <c r="BS63" s="35" t="n"/>
      <c r="BT63" s="35" t="n"/>
      <c r="BU63" s="35" t="n"/>
      <c r="BV63" s="35" t="n"/>
      <c r="BW63" s="35" t="n"/>
      <c r="BX63" s="35" t="n"/>
      <c r="BY63" s="35" t="n"/>
      <c r="BZ63" s="35" t="n"/>
      <c r="CA63" s="35" t="n"/>
      <c r="CB63" s="35" t="n"/>
      <c r="CC63" s="35" t="n"/>
      <c r="CD63" s="35" t="n"/>
      <c r="CE63" s="35" t="n"/>
      <c r="CF63" s="35" t="n"/>
      <c r="CG63" s="35" t="n"/>
      <c r="CH63" s="35" t="n"/>
      <c r="CI63" s="35" t="n"/>
      <c r="CJ63" s="35" t="n"/>
      <c r="CK63" s="35" t="n"/>
      <c r="CL63" s="35" t="n"/>
      <c r="CM63" s="35" t="n"/>
      <c r="CN63" s="35" t="n"/>
      <c r="CO63" s="35" t="n"/>
      <c r="CP63" s="35" t="n"/>
      <c r="CQ63" s="35" t="n"/>
      <c r="CR63" s="35" t="n"/>
      <c r="CS63" s="35" t="n"/>
      <c r="CT63" s="35" t="n"/>
      <c r="CU63" s="35" t="n"/>
      <c r="CV63" s="35" t="n"/>
      <c r="CW63" s="35" t="n"/>
      <c r="CX63" s="35" t="n"/>
      <c r="CY63" s="35" t="n"/>
    </row>
    <row r="64" ht="13.5" customHeight="1">
      <c r="C64" s="13" t="inlineStr">
        <is>
          <t>D&amp;A</t>
        </is>
      </c>
      <c r="D64" s="46" t="n"/>
      <c r="E64" s="46" t="n"/>
      <c r="F64" s="46" t="n"/>
      <c r="G64" s="46" t="n"/>
      <c r="H64" s="12" t="n"/>
      <c r="I64" s="46">
        <f>'Inputs (2)'!D7</f>
        <v>-35.741</v>
      </c>
      <c r="J64" s="46">
        <f>'Inputs (2)'!E7</f>
        <v>-38.434</v>
      </c>
      <c r="K64" s="46">
        <f>'Inputs (2)'!F7</f>
        <v>-70.253</v>
      </c>
      <c r="L64" s="46">
        <f>'Inputs (2)'!G7</f>
        <v>-63.984</v>
      </c>
      <c r="M64" s="12">
        <f>'Inputs (2)'!H7</f>
        <v>-208.412</v>
      </c>
      <c r="N64" s="46">
        <f>'Inputs (2)'!I7</f>
        <v>-74.602</v>
      </c>
      <c r="O64" s="46">
        <f>'Inputs (2)'!J7</f>
        <v>-83.505</v>
      </c>
      <c r="P64" s="46">
        <f>'Inputs (2)'!K7</f>
        <v>-85.188</v>
      </c>
      <c r="Q64" s="46">
        <f>'Inputs (2)'!L7</f>
        <v>-93.387</v>
      </c>
      <c r="R64" s="12">
        <f>'Inputs (2)'!M7</f>
        <v>-336.682</v>
      </c>
      <c r="S64" s="46">
        <f>'Inputs (2)'!N7</f>
        <v>-90.335</v>
      </c>
      <c r="T64" s="46">
        <f>'Inputs (2)'!O7</f>
        <v>-89.385</v>
      </c>
      <c r="U64" s="46">
        <f>'Inputs (2)'!P7</f>
        <v>-90.66</v>
      </c>
      <c r="V64" s="46">
        <f>'Inputs (2)'!Q7</f>
        <v>-86.567</v>
      </c>
      <c r="W64" s="12">
        <f>'Inputs (2)'!R7</f>
        <v>-356.947</v>
      </c>
      <c r="X64" s="46">
        <f>'Inputs (2)'!S7</f>
        <v>-87.234</v>
      </c>
      <c r="Y64" s="46">
        <f>'Inputs (2)'!T7</f>
        <v>-81.227</v>
      </c>
      <c r="Z64" s="46">
        <f>'Inputs (2)'!U7</f>
        <v>-80.914</v>
      </c>
      <c r="AA64" s="46">
        <f>'Inputs (2)'!V7</f>
        <v>-79.539</v>
      </c>
      <c r="AB64" s="12">
        <f>'Inputs (2)'!W7</f>
        <v>-328.914</v>
      </c>
      <c r="AC64" s="46">
        <f>'Inputs (2)'!X7</f>
        <v>-80.067</v>
      </c>
      <c r="AD64" s="46">
        <f>'Inputs (2)'!Y7</f>
        <v>-80.013</v>
      </c>
      <c r="AE64" s="46">
        <f>'Inputs (2)'!Z7</f>
        <v>-87.326</v>
      </c>
      <c r="AF64" s="46">
        <f>'Inputs (2)'!AA7</f>
        <v>-85.983</v>
      </c>
      <c r="AG64" s="12">
        <f>'Inputs (2)'!AB7</f>
        <v>-333.389</v>
      </c>
      <c r="AH64" s="12">
        <f>'Inputs (2)'!AC7</f>
        <v>-98.575</v>
      </c>
      <c r="AI64" s="12">
        <f>'Inputs (2)'!AD7</f>
        <v>-100.53</v>
      </c>
      <c r="AJ64" s="12">
        <f>-AJ65*AJ15</f>
        <v>-100.97479901109</v>
      </c>
      <c r="AK64" s="12">
        <f>-AK65*AK15</f>
        <v>-105.715970119692</v>
      </c>
      <c r="AL64" s="12">
        <f>SUM(AH64:AK64)</f>
        <v>-405.795769130783</v>
      </c>
      <c r="AM64" s="12">
        <f>-AM65*AM15</f>
        <v>-107.461664663653</v>
      </c>
      <c r="AN64" s="12">
        <f>-AN65*AN15</f>
        <v>-110.182744486464</v>
      </c>
      <c r="AO64" s="12">
        <f>-AO65*AO15</f>
        <v>-116.580758028104</v>
      </c>
      <c r="AP64" s="12">
        <f>-AP65*AP15</f>
        <v>-122.054691397569</v>
      </c>
      <c r="AQ64" s="12">
        <f>SUM(AM64:AP64)</f>
        <v>-456.27985857579</v>
      </c>
      <c r="AR64" s="12">
        <f>-AR65*AR15</f>
        <v>-123.532879962718</v>
      </c>
      <c r="AS64" s="12">
        <f>-AS65*AS15</f>
        <v>-126.66090546067</v>
      </c>
      <c r="AT64" s="12">
        <f>-AT65*AT15</f>
        <v>-134.015761178875</v>
      </c>
      <c r="AU64" s="12">
        <f>-AU65*AU15</f>
        <v>-140.308337754628</v>
      </c>
      <c r="AV64" s="12">
        <f>SUM(AR64:AU64)</f>
        <v>-524.51788435689</v>
      </c>
      <c r="AW64" s="12">
        <f>-AW65*AW15</f>
        <v>-141.389929467702</v>
      </c>
      <c r="AX64" s="12">
        <f>-AX65*AX15</f>
        <v>-144.970120463509</v>
      </c>
      <c r="AY64" s="12">
        <f>-AY65*AY15</f>
        <v>-153.388142706299</v>
      </c>
      <c r="AZ64" s="12">
        <f>-AZ65*AZ15</f>
        <v>-160.590330160234</v>
      </c>
      <c r="BA64" s="12">
        <f>SUM(AW64:AZ64)</f>
        <v>-600.338522797744</v>
      </c>
      <c r="BB64" s="12">
        <f>-BB65*BB15</f>
        <v>-161.121319562568</v>
      </c>
      <c r="BC64" s="12">
        <f>-BC65*BC15</f>
        <v>-165.201136984517</v>
      </c>
      <c r="BD64" s="12">
        <f>-BD65*BD15</f>
        <v>-174.793919560841</v>
      </c>
      <c r="BE64" s="12">
        <f>-BE65*BE15</f>
        <v>-183.001193945117</v>
      </c>
      <c r="BF64" s="12">
        <f>SUM(BB64:BE64)</f>
        <v>-684.117570053043</v>
      </c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 customFormat="1" s="56">
      <c r="A65" s="53" t="n"/>
      <c r="B65" s="53" t="n"/>
      <c r="C65" s="54" t="inlineStr">
        <is>
          <t>% of Revenue</t>
        </is>
      </c>
      <c r="D65" s="53" t="n"/>
      <c r="E65" s="53" t="n"/>
      <c r="F65" s="53" t="n"/>
      <c r="G65" s="53" t="n"/>
      <c r="H65" s="53" t="n"/>
      <c r="I65" s="53">
        <f>IFERROR(-I64/I15,"")</f>
        <v>0.00498947270259638</v>
      </c>
      <c r="J65" s="53">
        <f>IFERROR(-J64/J15,"")</f>
        <v>0.00523497240518202</v>
      </c>
      <c r="K65" s="53">
        <f>IFERROR(-K64/K15,"")</f>
        <v>0.00938776104711894</v>
      </c>
      <c r="L65" s="53">
        <f>IFERROR(-L64/L15,"")</f>
        <v>0.00829956683587316</v>
      </c>
      <c r="M65" s="53" t="n"/>
      <c r="N65" s="53">
        <f>IFERROR(-N64/N15,"")</f>
        <v>0.00948197881304823</v>
      </c>
      <c r="O65" s="53">
        <f>IFERROR(-O64/O15,"")</f>
        <v>0.0104772299511389</v>
      </c>
      <c r="P65" s="53">
        <f>IFERROR(-P64/P15,"")</f>
        <v>0.0107484756022549</v>
      </c>
      <c r="Q65" s="53">
        <f>IFERROR(-Q64/Q15,"")</f>
        <v>0.0118933226762479</v>
      </c>
      <c r="R65" s="53" t="n"/>
      <c r="S65" s="53">
        <f>IFERROR(-S64/S15,"")</f>
        <v>0.0110684269796874</v>
      </c>
      <c r="T65" s="53">
        <f>IFERROR(-T64/T15,"")</f>
        <v>0.0109175172624043</v>
      </c>
      <c r="U65" s="53">
        <f>IFERROR(-U64/U15,"")</f>
        <v>0.0106138520017402</v>
      </c>
      <c r="V65" s="53">
        <f>IFERROR(-V64/V15,"")</f>
        <v>0.00980060173274122</v>
      </c>
      <c r="W65" s="53" t="n"/>
      <c r="X65" s="53">
        <f>IFERROR(-X64/X15,"")</f>
        <v>0.00930948813502888</v>
      </c>
      <c r="Y65" s="53">
        <f>IFERROR(-Y64/Y15,"")</f>
        <v>0.00849716140600106</v>
      </c>
      <c r="Z65" s="53">
        <f>IFERROR(-Z64/Z15,"")</f>
        <v>0.00823577058767069</v>
      </c>
      <c r="AA65" s="53">
        <f>IFERROR(-AA64/AA15,"")</f>
        <v>0.00776254321836121</v>
      </c>
      <c r="AB65" s="53" t="n"/>
      <c r="AC65" s="53">
        <f>IFERROR(-AC64/AC15,"")</f>
        <v>0.0075944713364124</v>
      </c>
      <c r="AD65" s="53">
        <f>IFERROR(-AD64/AD15,"")</f>
        <v>0.00722193349210582</v>
      </c>
      <c r="AE65" s="53">
        <f>IFERROR(-AE64/AE15,"")</f>
        <v>0.00758676549635036</v>
      </c>
      <c r="AF65" s="55">
        <f>IFERROR(-AF64/AF15,"")</f>
        <v>0.00713506747540114</v>
      </c>
      <c r="AG65" s="53" t="n"/>
      <c r="AH65" s="55">
        <f>IFERROR(-AH64/AH15,"")</f>
        <v>0.00804709840366629</v>
      </c>
      <c r="AI65" s="55">
        <f>IFERROR(-AI64/AI15,"")</f>
        <v>0.00800402040201154</v>
      </c>
      <c r="AJ65" s="55">
        <f>Control!$B$21</f>
        <v>0.00759822610099126</v>
      </c>
      <c r="AK65" s="55">
        <f>Control!$B$21</f>
        <v>0.00759822610099126</v>
      </c>
      <c r="AL65" s="53" t="n"/>
      <c r="AM65" s="55">
        <f>Control!$C$21</f>
        <v>0.00759822610099126</v>
      </c>
      <c r="AN65" s="55">
        <f>Control!$C$21</f>
        <v>0.00759822610099126</v>
      </c>
      <c r="AO65" s="55">
        <f>Control!$C$21</f>
        <v>0.00759822610099126</v>
      </c>
      <c r="AP65" s="55">
        <f>Control!$C$21</f>
        <v>0.00759822610099126</v>
      </c>
      <c r="AQ65" s="53" t="n"/>
      <c r="AR65" s="55">
        <f>Control!$D$21</f>
        <v>0.00759822610099126</v>
      </c>
      <c r="AS65" s="55">
        <f>Control!$D$21</f>
        <v>0.00759822610099126</v>
      </c>
      <c r="AT65" s="55">
        <f>Control!$D$21</f>
        <v>0.00759822610099126</v>
      </c>
      <c r="AU65" s="55">
        <f>Control!$D$21</f>
        <v>0.00759822610099126</v>
      </c>
      <c r="AV65" s="53" t="n"/>
      <c r="AW65" s="55">
        <f>Control!$E$21</f>
        <v>0.00759822610099126</v>
      </c>
      <c r="AX65" s="55">
        <f>Control!$E$21</f>
        <v>0.00759822610099126</v>
      </c>
      <c r="AY65" s="55">
        <f>Control!$E$21</f>
        <v>0.00759822610099126</v>
      </c>
      <c r="AZ65" s="55">
        <f>Control!$E$21</f>
        <v>0.00759822610099126</v>
      </c>
      <c r="BA65" s="53" t="n"/>
      <c r="BB65" s="55">
        <f>Control!$F$21</f>
        <v>0.00759822610099126</v>
      </c>
      <c r="BC65" s="55">
        <f>Control!$F$21</f>
        <v>0.00759822610099126</v>
      </c>
      <c r="BD65" s="55">
        <f>Control!$F$21</f>
        <v>0.00759822610099126</v>
      </c>
      <c r="BE65" s="55">
        <f>Control!$F$21</f>
        <v>0.00759822610099126</v>
      </c>
      <c r="BF65" s="53" t="n"/>
      <c r="BG65" s="55" t="n"/>
      <c r="BH65" s="55" t="n"/>
      <c r="BI65" s="55" t="n"/>
      <c r="BJ65" s="55" t="n"/>
      <c r="BK65" s="53" t="n"/>
      <c r="BL65" s="55" t="n"/>
      <c r="BM65" s="55" t="n"/>
      <c r="BN65" s="55" t="n"/>
      <c r="BO65" s="55" t="n"/>
      <c r="BP65" s="53" t="n"/>
      <c r="BQ65" s="55" t="n"/>
      <c r="BR65" s="55" t="n"/>
      <c r="BS65" s="55" t="n"/>
      <c r="BT65" s="55" t="n"/>
      <c r="BU65" s="53" t="n"/>
      <c r="BV65" s="55" t="n"/>
      <c r="BW65" s="55" t="n"/>
      <c r="BX65" s="55" t="n"/>
      <c r="BY65" s="55" t="n"/>
      <c r="BZ65" s="53" t="n"/>
      <c r="CA65" s="55" t="n"/>
      <c r="CB65" s="55" t="n"/>
      <c r="CC65" s="55" t="n"/>
      <c r="CD65" s="55" t="n"/>
      <c r="CE65" s="53" t="n"/>
      <c r="CF65" s="55" t="n"/>
      <c r="CG65" s="55" t="n"/>
      <c r="CH65" s="55" t="n"/>
      <c r="CI65" s="55" t="n"/>
      <c r="CJ65" s="53" t="n"/>
      <c r="CK65" s="55" t="n"/>
      <c r="CL65" s="55" t="n"/>
      <c r="CM65" s="55" t="n"/>
      <c r="CN65" s="55" t="n"/>
      <c r="CO65" s="53" t="n"/>
      <c r="CP65" s="55" t="n"/>
      <c r="CQ65" s="55" t="n"/>
      <c r="CR65" s="55" t="n"/>
      <c r="CS65" s="55" t="n"/>
      <c r="CT65" s="53" t="n"/>
      <c r="CU65" s="55" t="n"/>
      <c r="CV65" s="55" t="n"/>
      <c r="CW65" s="55" t="n"/>
      <c r="CX65" s="55" t="n"/>
      <c r="CY65" s="53" t="n"/>
    </row>
    <row r="66" hidden="1" outlineLevel="1">
      <c r="C66" s="50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collapsed="1" customFormat="1" s="32">
      <c r="A67" s="30" t="n"/>
      <c r="B67" s="3" t="n"/>
      <c r="C67" s="33" t="inlineStr">
        <is>
          <t>Operating Profit - EBIT</t>
        </is>
      </c>
      <c r="D67" s="35" t="n"/>
      <c r="E67" s="35" t="n"/>
      <c r="F67" s="35" t="n"/>
      <c r="G67" s="35" t="n"/>
      <c r="H67" s="35" t="n"/>
      <c r="I67" s="35">
        <f>SUM(I63,I64)</f>
        <v>1959.856</v>
      </c>
      <c r="J67" s="35">
        <f>SUM(J63,J64)</f>
        <v>1847.63</v>
      </c>
      <c r="K67" s="35">
        <f>SUM(K63,K64)</f>
        <v>1755.253</v>
      </c>
      <c r="L67" s="35">
        <f>SUM(L63,L64)</f>
        <v>631.77</v>
      </c>
      <c r="M67" s="35">
        <f>SUM(I67:L67)</f>
        <v>6194.509</v>
      </c>
      <c r="N67" s="35">
        <f>SUM(N63,N64)</f>
        <v>1971.626</v>
      </c>
      <c r="O67" s="35">
        <f>SUM(O63,O64)</f>
        <v>1578.283</v>
      </c>
      <c r="P67" s="35">
        <f>SUM(P63,P64)</f>
        <v>1533.018</v>
      </c>
      <c r="Q67" s="35">
        <f>SUM(Q63,Q64)</f>
        <v>549.904</v>
      </c>
      <c r="R67" s="35">
        <f>SUM(N67:Q67)</f>
        <v>5632.831</v>
      </c>
      <c r="S67" s="35">
        <f>SUM(S63,S64)</f>
        <v>1714.317</v>
      </c>
      <c r="T67" s="35">
        <f>SUM(T63,T64)</f>
        <v>1827.183</v>
      </c>
      <c r="U67" s="35">
        <f>SUM(U63,U64)</f>
        <v>1916.394</v>
      </c>
      <c r="V67" s="35">
        <f>SUM(V63,V64)</f>
        <v>1496.109</v>
      </c>
      <c r="W67" s="35">
        <f>SUM(S67:V67)</f>
        <v>6954.003</v>
      </c>
      <c r="X67" s="35">
        <f>SUM(X63,X64)</f>
        <v>2632.534</v>
      </c>
      <c r="Y67" s="35">
        <f>SUM(Y63,Y64)</f>
        <v>2602.837</v>
      </c>
      <c r="Z67" s="35">
        <f>SUM(Z63,Z64)</f>
        <v>2909.477</v>
      </c>
      <c r="AA67" s="35">
        <f>SUM(AA63,AA64)</f>
        <v>2272.766</v>
      </c>
      <c r="AB67" s="35">
        <f>SUM(X67:AA67)</f>
        <v>10417.614</v>
      </c>
      <c r="AC67" s="35">
        <f>SUM(AC63,AC64)</f>
        <v>3346.999</v>
      </c>
      <c r="AD67" s="35">
        <f>SUM(AD63,AD64)</f>
        <v>3774.694</v>
      </c>
      <c r="AE67" s="35">
        <f>SUM(AE63,AE64)</f>
        <v>3248.247</v>
      </c>
      <c r="AF67" s="35">
        <f>SUM(AF63,AF64)</f>
        <v>2956.663</v>
      </c>
      <c r="AG67" s="35">
        <f>SUM(AC67:AF67)</f>
        <v>13326.603</v>
      </c>
      <c r="AH67" s="35">
        <f>SUM(AH63,AH64)</f>
        <v>3956.997</v>
      </c>
      <c r="AI67" s="35">
        <f>SUM(AI63,AI64)</f>
        <v>4192.61</v>
      </c>
      <c r="AJ67" s="35">
        <f>SUM(AJ63,AJ64)</f>
        <v>4081.0397189581</v>
      </c>
      <c r="AK67" s="35">
        <f>SUM(AK63,AK64)</f>
        <v>4272.6608739203</v>
      </c>
      <c r="AL67" s="35">
        <f>SUM(AL63,AL64)</f>
        <v>16503.3075928784</v>
      </c>
      <c r="AM67" s="35">
        <f>SUM(AM63,AM64)</f>
        <v>4343.21559490855</v>
      </c>
      <c r="AN67" s="35">
        <f>SUM(AN63,AN64)</f>
        <v>4453.19189537266</v>
      </c>
      <c r="AO67" s="35">
        <f>SUM(AO63,AO64)</f>
        <v>4711.77668723739</v>
      </c>
      <c r="AP67" s="35">
        <f>SUM(AP63,AP64)</f>
        <v>4933.01346828076</v>
      </c>
      <c r="AQ67" s="35">
        <f>SUM(AQ63,AQ64)</f>
        <v>18441.1976457994</v>
      </c>
      <c r="AR67" s="35">
        <f>SUM(AR63,AR64)</f>
        <v>4992.75655572003</v>
      </c>
      <c r="AS67" s="35">
        <f>SUM(AS63,AS64)</f>
        <v>5119.18014283362</v>
      </c>
      <c r="AT67" s="35">
        <f>SUM(AT63,AT64)</f>
        <v>5416.43706839486</v>
      </c>
      <c r="AU67" s="35">
        <f>SUM(AU63,AU64)</f>
        <v>5670.76047573746</v>
      </c>
      <c r="AV67" s="35">
        <f>SUM(AV63,AV64)</f>
        <v>21199.134242686</v>
      </c>
      <c r="AW67" s="35">
        <f>SUM(AW63,AW64)</f>
        <v>5714.47453888966</v>
      </c>
      <c r="AX67" s="35">
        <f>SUM(AX63,AX64)</f>
        <v>5859.17303592493</v>
      </c>
      <c r="AY67" s="35">
        <f>SUM(AY63,AY64)</f>
        <v>6199.39934451236</v>
      </c>
      <c r="AZ67" s="35">
        <f>SUM(AZ63,AZ64)</f>
        <v>6490.4859656371</v>
      </c>
      <c r="BA67" s="35">
        <f>SUM(BA63,BA64)</f>
        <v>24263.5328849641</v>
      </c>
      <c r="BB67" s="35">
        <f>SUM(BB63,BB64)</f>
        <v>6511.94665545769</v>
      </c>
      <c r="BC67" s="35">
        <f>SUM(BC63,BC64)</f>
        <v>6676.83826314725</v>
      </c>
      <c r="BD67" s="35">
        <f>SUM(BD63,BD64)</f>
        <v>7064.54417682783</v>
      </c>
      <c r="BE67" s="35">
        <f>SUM(BE63,BE64)</f>
        <v>7396.2528118006</v>
      </c>
      <c r="BF67" s="35">
        <f>SUM(BF63,BF64)</f>
        <v>27649.5819072334</v>
      </c>
      <c r="BG67" s="35" t="n"/>
      <c r="BH67" s="35" t="n"/>
      <c r="BI67" s="35" t="n"/>
      <c r="BJ67" s="35" t="n"/>
      <c r="BK67" s="35" t="n"/>
      <c r="BL67" s="35" t="n"/>
      <c r="BM67" s="35" t="n"/>
      <c r="BN67" s="35" t="n"/>
      <c r="BO67" s="35" t="n"/>
      <c r="BP67" s="35" t="n"/>
      <c r="BQ67" s="35" t="n"/>
      <c r="BR67" s="35" t="n"/>
      <c r="BS67" s="35" t="n"/>
      <c r="BT67" s="35" t="n"/>
      <c r="BU67" s="35" t="n"/>
      <c r="BV67" s="35" t="n"/>
      <c r="BW67" s="35" t="n"/>
      <c r="BX67" s="35" t="n"/>
      <c r="BY67" s="35" t="n"/>
      <c r="BZ67" s="35" t="n"/>
      <c r="CA67" s="35" t="n"/>
      <c r="CB67" s="35" t="n"/>
      <c r="CC67" s="35" t="n"/>
      <c r="CD67" s="35" t="n"/>
      <c r="CE67" s="35" t="n"/>
      <c r="CF67" s="35" t="n"/>
      <c r="CG67" s="35" t="n"/>
      <c r="CH67" s="35" t="n"/>
      <c r="CI67" s="35" t="n"/>
      <c r="CJ67" s="35" t="n"/>
      <c r="CK67" s="35" t="n"/>
      <c r="CL67" s="35" t="n"/>
      <c r="CM67" s="35" t="n"/>
      <c r="CN67" s="35" t="n"/>
      <c r="CO67" s="35" t="n"/>
      <c r="CP67" s="35" t="n"/>
      <c r="CQ67" s="35" t="n"/>
      <c r="CR67" s="35" t="n"/>
      <c r="CS67" s="35" t="n"/>
      <c r="CT67" s="35" t="n"/>
      <c r="CU67" s="35" t="n"/>
      <c r="CV67" s="35" t="n"/>
      <c r="CW67" s="35" t="n"/>
      <c r="CX67" s="35" t="n"/>
      <c r="CY67" s="35" t="n"/>
    </row>
    <row r="68">
      <c r="C68" s="14" t="inlineStr">
        <is>
          <t>Interest Expense</t>
        </is>
      </c>
      <c r="D68" s="46" t="n"/>
      <c r="E68" s="46" t="n"/>
      <c r="F68" s="46" t="n"/>
      <c r="G68" s="46" t="n"/>
      <c r="H68" s="12" t="n"/>
      <c r="I68" s="46">
        <f>'Inputs (2)'!D8</f>
        <v>-194.44</v>
      </c>
      <c r="J68" s="46">
        <f>'Inputs (2)'!E8</f>
        <v>-191.322</v>
      </c>
      <c r="K68" s="46">
        <f>'Inputs (2)'!F8</f>
        <v>-190.429</v>
      </c>
      <c r="L68" s="46">
        <f>'Inputs (2)'!G8</f>
        <v>-189.429</v>
      </c>
      <c r="M68" s="12">
        <f>'Inputs (2)'!H8</f>
        <v>-765.62</v>
      </c>
      <c r="N68" s="46">
        <f>'Inputs (2)'!I8</f>
        <v>-187.579</v>
      </c>
      <c r="O68" s="46">
        <f>'Inputs (2)'!J8</f>
        <v>-175.455</v>
      </c>
      <c r="P68" s="46">
        <f>'Inputs (2)'!K8</f>
        <v>-172.575</v>
      </c>
      <c r="Q68" s="46">
        <f>'Inputs (2)'!L8</f>
        <v>-170.603</v>
      </c>
      <c r="R68" s="12">
        <f>'Inputs (2)'!M8</f>
        <v>-706.212</v>
      </c>
      <c r="S68" s="46">
        <f>'Inputs (2)'!N8</f>
        <v>-174.239</v>
      </c>
      <c r="T68" s="46">
        <f>'Inputs (2)'!O8</f>
        <v>-174.812</v>
      </c>
      <c r="U68" s="46">
        <f>'Inputs (2)'!P8</f>
        <v>-175.563</v>
      </c>
      <c r="V68" s="46">
        <f>'Inputs (2)'!Q8</f>
        <v>-175.212</v>
      </c>
      <c r="W68" s="12">
        <f>'Inputs (2)'!R8</f>
        <v>-699.826</v>
      </c>
      <c r="X68" s="46">
        <f>'Inputs (2)'!S8</f>
        <v>-173.314</v>
      </c>
      <c r="Y68" s="46">
        <f>'Inputs (2)'!T8</f>
        <v>-167.986</v>
      </c>
      <c r="Z68" s="46">
        <f>'Inputs (2)'!U8</f>
        <v>-184.83</v>
      </c>
      <c r="AA68" s="46">
        <f>'Inputs (2)'!V8</f>
        <v>-192.603</v>
      </c>
      <c r="AB68" s="12">
        <f>'Inputs (2)'!W8</f>
        <v>-718.733</v>
      </c>
      <c r="AC68" s="46">
        <f>'Inputs (2)'!X8</f>
        <v>-184.172</v>
      </c>
      <c r="AD68" s="46">
        <f>'Inputs (2)'!Y8</f>
        <v>-182.649</v>
      </c>
      <c r="AE68" s="46">
        <f>'Inputs (2)'!Z8</f>
        <v>-175.294</v>
      </c>
      <c r="AF68" s="46">
        <f>'Inputs (2)'!AA8</f>
        <v>-234.395</v>
      </c>
      <c r="AG68" s="12">
        <f>'Inputs (2)'!AB8</f>
        <v>-776.51</v>
      </c>
      <c r="AH68" s="12">
        <f>'Inputs (2)'!AC8</f>
        <v>-262.077</v>
      </c>
      <c r="AI68" s="12">
        <f>'Inputs (2)'!AD8</f>
        <v>-175.685</v>
      </c>
      <c r="AJ68" s="12" t="str">
        <f>IF(Control!$E$9="","",-AI86*Control!$E$9/4)</f>
        <v/>
      </c>
      <c r="AK68" s="12" t="str">
        <f>IF(Control!$E$9="","",-AJ86*Control!$E$9/4)</f>
        <v/>
      </c>
      <c r="AL68" s="12">
        <f>SUM(AH68:AK68)</f>
        <v>-437.762</v>
      </c>
      <c r="AM68" s="12" t="str">
        <f>IF(Control!$E$9="","",-AL86*Control!$E$9/4)</f>
        <v/>
      </c>
      <c r="AN68" s="12" t="str">
        <f>IF(Control!$E$9="","",-AM86*Control!$E$9/4)</f>
        <v/>
      </c>
      <c r="AO68" s="12" t="str">
        <f>IF(Control!$E$9="","",-AN86*Control!$E$9/4)</f>
        <v/>
      </c>
      <c r="AP68" s="12" t="str">
        <f>IF(Control!$E$9="","",-AO86*Control!$E$9/4)</f>
        <v/>
      </c>
      <c r="AQ68" s="12">
        <f>SUM(AM68:AP68)</f>
        <v>0</v>
      </c>
      <c r="AR68" s="12" t="str">
        <f>IF(Control!$E$9="","",-AQ86*Control!$E$9/4)</f>
        <v/>
      </c>
      <c r="AS68" s="12" t="str">
        <f>IF(Control!$E$9="","",-AR86*Control!$E$9/4)</f>
        <v/>
      </c>
      <c r="AT68" s="12" t="str">
        <f>IF(Control!$E$9="","",-AS86*Control!$E$9/4)</f>
        <v/>
      </c>
      <c r="AU68" s="12" t="str">
        <f>IF(Control!$E$9="","",-AT86*Control!$E$9/4)</f>
        <v/>
      </c>
      <c r="AV68" s="12">
        <f>SUM(AR68:AU68)</f>
        <v>0</v>
      </c>
      <c r="AW68" s="12" t="str">
        <f>IF(Control!$E$9="","",-AV86*Control!$E$9/4)</f>
        <v/>
      </c>
      <c r="AX68" s="12" t="str">
        <f>IF(Control!$E$9="","",-AW86*Control!$E$9/4)</f>
        <v/>
      </c>
      <c r="AY68" s="12" t="str">
        <f>IF(Control!$E$9="","",-AX86*Control!$E$9/4)</f>
        <v/>
      </c>
      <c r="AZ68" s="12" t="str">
        <f>IF(Control!$E$9="","",-AY86*Control!$E$9/4)</f>
        <v/>
      </c>
      <c r="BA68" s="12">
        <f>SUM(AW68:AZ68)</f>
        <v>0</v>
      </c>
      <c r="BB68" s="12" t="str">
        <f>IF(Control!$E$9="","",-BA86*Control!$E$9/4)</f>
        <v/>
      </c>
      <c r="BC68" s="12" t="str">
        <f>IF(Control!$E$9="","",-BB86*Control!$E$9/4)</f>
        <v/>
      </c>
      <c r="BD68" s="12" t="str">
        <f>IF(Control!$E$9="","",-BC86*Control!$E$9/4)</f>
        <v/>
      </c>
      <c r="BE68" s="12" t="str">
        <f>IF(Control!$E$9="","",-BD86*Control!$E$9/4)</f>
        <v/>
      </c>
      <c r="BF68" s="12">
        <f>SUM(BB68:BE68)</f>
        <v>0</v>
      </c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0" t="inlineStr">
        <is>
          <t>% of Debt</t>
        </is>
      </c>
      <c r="D69" s="53" t="n"/>
      <c r="E69" s="53" t="n"/>
      <c r="F69" s="53" t="n"/>
      <c r="G69" s="53" t="n"/>
      <c r="H69" s="12" t="n"/>
      <c r="I69" s="53">
        <f>IFERROR(-I68/SUM(I206+I211),"")</f>
        <v>0.0124966740234483</v>
      </c>
      <c r="J69" s="53">
        <f>IFERROR(-J68/SUM(J206+J211),"")</f>
        <v>0.0122438110748248</v>
      </c>
      <c r="K69" s="53">
        <f>IFERROR(-K68/SUM(K206+K211),"")</f>
        <v>0.012291162734739</v>
      </c>
      <c r="L69" s="53">
        <f>IFERROR(-L68/SUM(L206+L211),"")</f>
        <v>0.0123062620774065</v>
      </c>
      <c r="M69" s="12" t="n"/>
      <c r="N69" s="53">
        <f>IFERROR(-N68/SUM(N206+N211),"")</f>
        <v>0.0129057217483211</v>
      </c>
      <c r="O69" s="53">
        <f>IFERROR(-O68/SUM(O206+O211),"")</f>
        <v>0.0123270754511444</v>
      </c>
      <c r="P69" s="53">
        <f>IFERROR(-P68/SUM(P206+P211),"")</f>
        <v>0.0124260905924108</v>
      </c>
      <c r="Q69" s="53">
        <f>IFERROR(-Q68/SUM(Q206+Q211),"")</f>
        <v>0.0118861629381744</v>
      </c>
      <c r="R69" s="12" t="n"/>
      <c r="S69" s="53">
        <f>IFERROR(-S68/SUM(S206+S211),"")</f>
        <v>0.0120688131323626</v>
      </c>
      <c r="T69" s="53">
        <f>IFERROR(-T68/SUM(T206+T211),"")</f>
        <v>0.0120813808982706</v>
      </c>
      <c r="U69" s="53">
        <f>IFERROR(-U68/SUM(U206+U211),"")</f>
        <v>0.0122768169322636</v>
      </c>
      <c r="V69" s="53">
        <f>IFERROR(-V68/SUM(V206+V211),"")</f>
        <v>0.0120476418596902</v>
      </c>
      <c r="W69" s="12" t="n"/>
      <c r="X69" s="53">
        <f>IFERROR(-X68/SUM(X206+X211),"")</f>
        <v>0.012365462435932</v>
      </c>
      <c r="Y69" s="53">
        <f>IFERROR(-Y68/SUM(Y206+Y211),"")</f>
        <v>0.0120161100824639</v>
      </c>
      <c r="Z69" s="53">
        <f>IFERROR(-Z68/SUM(Z206+Z211),"")</f>
        <v>0.0115653717888776</v>
      </c>
      <c r="AA69" s="53">
        <f>IFERROR(-AA68/SUM(AA206+AA211),"")</f>
        <v>0.0123599706445644</v>
      </c>
      <c r="AB69" s="12" t="n"/>
      <c r="AC69" s="53">
        <f>IFERROR(-AC68/SUM(AC206+AC211),"")</f>
        <v>0.0122643008372291</v>
      </c>
      <c r="AD69" s="53">
        <f>IFERROR(-AD68/SUM(AD206+AD211),"")</f>
        <v>0.0126372653928824</v>
      </c>
      <c r="AE69" s="53">
        <f>IFERROR(-AE68/SUM(AE206+AE211),"")</f>
        <v>0.0121201519461357</v>
      </c>
      <c r="AF69" s="55">
        <f>IFERROR(-AF68/SUM(AF206+AF211),"")</f>
        <v>0.0162067107723547</v>
      </c>
      <c r="AG69" s="12" t="n"/>
      <c r="AH69" s="11">
        <f>IFERROR(-AH68/SUM(AH206+AH211),"")</f>
        <v>0.0182498316912846</v>
      </c>
      <c r="AI69" s="11">
        <f>IFERROR(-AI68/SUM(AI206+AI211),"")</f>
        <v>0.0122776744029375</v>
      </c>
      <c r="AJ69" s="11" t="str">
        <f>IFERROR(Control!$E$9,0)</f>
        <v/>
      </c>
      <c r="AK69" s="11" t="str">
        <f>IFERROR(Control!$E$9,0)</f>
        <v/>
      </c>
      <c r="AL69" s="12" t="n"/>
      <c r="AM69" s="11" t="str">
        <f>IFERROR(Control!$E$9,0)</f>
        <v/>
      </c>
      <c r="AN69" s="11" t="str">
        <f>IFERROR(Control!$E$9,0)</f>
        <v/>
      </c>
      <c r="AO69" s="11" t="str">
        <f>IFERROR(Control!$E$9,0)</f>
        <v/>
      </c>
      <c r="AP69" s="11" t="str">
        <f>IFERROR(Control!$E$9,0)</f>
        <v/>
      </c>
      <c r="AQ69" s="12" t="n"/>
      <c r="AR69" s="11" t="str">
        <f>IFERROR(Control!$E$9,0)</f>
        <v/>
      </c>
      <c r="AS69" s="11" t="str">
        <f>IFERROR(Control!$E$9,0)</f>
        <v/>
      </c>
      <c r="AT69" s="11" t="str">
        <f>IFERROR(Control!$E$9,0)</f>
        <v/>
      </c>
      <c r="AU69" s="11" t="str">
        <f>IFERROR(Control!$E$9,0)</f>
        <v/>
      </c>
      <c r="AV69" s="12" t="n"/>
      <c r="AW69" s="11" t="str">
        <f>IFERROR(Control!$E$9,0)</f>
        <v/>
      </c>
      <c r="AX69" s="11" t="str">
        <f>IFERROR(Control!$E$9,0)</f>
        <v/>
      </c>
      <c r="AY69" s="11" t="str">
        <f>IFERROR(Control!$E$9,0)</f>
        <v/>
      </c>
      <c r="AZ69" s="11" t="str">
        <f>IFERROR(Control!$E$9,0)</f>
        <v/>
      </c>
      <c r="BA69" s="12" t="n"/>
      <c r="BB69" s="11" t="str">
        <f>IFERROR(Control!$E$9,0)</f>
        <v/>
      </c>
      <c r="BC69" s="11" t="str">
        <f>IFERROR(Control!$E$9,0)</f>
        <v/>
      </c>
      <c r="BD69" s="11" t="str">
        <f>IFERROR(Control!$E$9,0)</f>
        <v/>
      </c>
      <c r="BE69" s="11" t="str">
        <f>IFERROR(Control!$E$9,0)</f>
        <v/>
      </c>
      <c r="BF69" s="12" t="n"/>
      <c r="BG69" s="11" t="n"/>
      <c r="BH69" s="11" t="n"/>
      <c r="BI69" s="11" t="n"/>
      <c r="BJ69" s="11" t="n"/>
      <c r="BK69" s="12" t="n"/>
      <c r="BL69" s="11" t="n"/>
      <c r="BM69" s="11" t="n"/>
      <c r="BN69" s="11" t="n"/>
      <c r="BO69" s="11" t="n"/>
      <c r="BP69" s="12" t="n"/>
      <c r="BQ69" s="11" t="n"/>
      <c r="BR69" s="11" t="n"/>
      <c r="BS69" s="11" t="n"/>
      <c r="BT69" s="11" t="n"/>
      <c r="BU69" s="12" t="n"/>
      <c r="BV69" s="11" t="n"/>
      <c r="BW69" s="11" t="n"/>
      <c r="BX69" s="11" t="n"/>
      <c r="BY69" s="11" t="n"/>
      <c r="BZ69" s="12" t="n"/>
      <c r="CA69" s="11" t="n"/>
      <c r="CB69" s="11" t="n"/>
      <c r="CC69" s="11" t="n"/>
      <c r="CD69" s="11" t="n"/>
      <c r="CE69" s="12" t="n"/>
      <c r="CF69" s="11" t="n"/>
      <c r="CG69" s="11" t="n"/>
      <c r="CH69" s="11" t="n"/>
      <c r="CI69" s="11" t="n"/>
      <c r="CJ69" s="12" t="n"/>
      <c r="CK69" s="11" t="n"/>
      <c r="CL69" s="11" t="n"/>
      <c r="CM69" s="11" t="n"/>
      <c r="CN69" s="11" t="n"/>
      <c r="CO69" s="12" t="n"/>
      <c r="CP69" s="11" t="n"/>
      <c r="CQ69" s="11" t="n"/>
      <c r="CR69" s="11" t="n"/>
      <c r="CS69" s="11" t="n"/>
      <c r="CT69" s="12" t="n"/>
      <c r="CU69" s="11" t="n"/>
      <c r="CV69" s="11" t="n"/>
      <c r="CW69" s="11" t="n"/>
      <c r="CX69" s="11" t="n"/>
      <c r="CY69" s="12" t="n"/>
    </row>
    <row r="70" hidden="1" outlineLevel="1">
      <c r="C70" s="50" t="inlineStr">
        <is>
          <t>%CDI</t>
        </is>
      </c>
      <c r="D70" s="11" t="n"/>
      <c r="E70" s="11" t="n"/>
      <c r="F70" s="11" t="n"/>
      <c r="G70" s="11" t="n"/>
      <c r="H70" s="12" t="n"/>
      <c r="I70" s="11" t="n"/>
      <c r="J70" s="11" t="n"/>
      <c r="K70" s="11" t="n"/>
      <c r="L70" s="11" t="n"/>
      <c r="M70" s="12" t="n"/>
      <c r="N70" s="11" t="n"/>
      <c r="O70" s="11" t="n"/>
      <c r="P70" s="11" t="n"/>
      <c r="Q70" s="11" t="n"/>
      <c r="R70" s="12" t="n"/>
      <c r="S70" s="11" t="n"/>
      <c r="T70" s="11" t="n"/>
      <c r="U70" s="11" t="n"/>
      <c r="V70" s="11" t="n"/>
      <c r="W70" s="12" t="n"/>
      <c r="X70" s="11" t="n"/>
      <c r="Y70" s="11" t="n"/>
      <c r="Z70" s="11" t="n"/>
      <c r="AA70" s="11" t="n"/>
      <c r="AB70" s="12" t="n"/>
      <c r="AC70" s="11" t="n"/>
      <c r="AD70" s="11" t="n"/>
      <c r="AE70" s="11" t="n"/>
      <c r="AF70" s="11" t="n"/>
      <c r="AG70" s="12" t="n"/>
      <c r="AH70" s="11" t="n"/>
      <c r="AI70" s="11" t="n"/>
      <c r="AJ70" s="11" t="n"/>
      <c r="AK70" s="11" t="n"/>
      <c r="AL70" s="12" t="n"/>
      <c r="AM70" s="11" t="n"/>
      <c r="AN70" s="11" t="n"/>
      <c r="AO70" s="11" t="n"/>
      <c r="AP70" s="11" t="n"/>
      <c r="AQ70" s="12" t="n"/>
      <c r="AR70" s="11" t="n"/>
      <c r="AS70" s="11" t="n"/>
      <c r="AT70" s="11" t="n"/>
      <c r="AU70" s="11" t="n"/>
      <c r="AV70" s="12" t="n"/>
      <c r="AW70" s="11" t="n"/>
      <c r="AX70" s="11" t="n"/>
      <c r="AY70" s="11" t="n"/>
      <c r="AZ70" s="11" t="n"/>
      <c r="BA70" s="12" t="n"/>
      <c r="BB70" s="11" t="n"/>
      <c r="BC70" s="11" t="n"/>
      <c r="BD70" s="11" t="n"/>
      <c r="BE70" s="11" t="n"/>
      <c r="BF70" s="12" t="n"/>
      <c r="BG70" s="11" t="n"/>
      <c r="BH70" s="11" t="n"/>
      <c r="BI70" s="11" t="n"/>
      <c r="BJ70" s="11" t="n"/>
      <c r="BK70" s="12" t="n"/>
      <c r="BL70" s="11" t="n"/>
      <c r="BM70" s="11" t="n"/>
      <c r="BN70" s="11" t="n"/>
      <c r="BO70" s="11" t="n"/>
      <c r="BP70" s="12" t="n"/>
      <c r="BQ70" s="11" t="n"/>
      <c r="BR70" s="11" t="n"/>
      <c r="BS70" s="11" t="n"/>
      <c r="BT70" s="11" t="n"/>
      <c r="BU70" s="12" t="n"/>
      <c r="BV70" s="11" t="n"/>
      <c r="BW70" s="11" t="n"/>
      <c r="BX70" s="11" t="n"/>
      <c r="BY70" s="11" t="n"/>
      <c r="BZ70" s="12" t="n"/>
      <c r="CA70" s="11" t="n"/>
      <c r="CB70" s="11" t="n"/>
      <c r="CC70" s="11" t="n"/>
      <c r="CD70" s="11" t="n"/>
      <c r="CE70" s="12" t="n"/>
      <c r="CF70" s="11" t="n"/>
      <c r="CG70" s="11" t="n"/>
      <c r="CH70" s="11" t="n"/>
      <c r="CI70" s="11" t="n"/>
      <c r="CJ70" s="12" t="n"/>
      <c r="CK70" s="11" t="n"/>
      <c r="CL70" s="11" t="n"/>
      <c r="CM70" s="11" t="n"/>
      <c r="CN70" s="11" t="n"/>
      <c r="CO70" s="12" t="n"/>
      <c r="CP70" s="11" t="n"/>
      <c r="CQ70" s="11" t="n"/>
      <c r="CR70" s="11" t="n"/>
      <c r="CS70" s="11" t="n"/>
      <c r="CT70" s="12" t="n"/>
      <c r="CU70" s="11" t="n"/>
      <c r="CV70" s="11" t="n"/>
      <c r="CW70" s="11" t="n"/>
      <c r="CX70" s="11" t="n"/>
      <c r="CY70" s="12" t="n"/>
    </row>
    <row r="71" hidden="1" outlineLevel="1">
      <c r="C71" s="57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RECEITA FINANCEIRA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DESPESA FINANCEIRA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OUTROS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Cash and equivalents (inc. investment securities)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Interest on cash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Average interest rate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% CDI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Current portion of long-term debt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Short term debt (Revolving credit facility)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Long term debt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Convertible debt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Total debt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Interest expense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Average interest rate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Stake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PRE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CDI+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Spread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PRE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CDI+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RECEITAS FINANCEIRAS - Rendimentos de aplicações financeiras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Variação cambial ativa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Atualização de contas a pagar por aquisição de empresas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Resultado positivo com instrumentos derivativos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Descontos obtidos de fornecedores por antecipação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RECEITAS FINANCEIRAS - Atualização monetária sobre Exclusão ICMS da base de PIS/COFINS (nota explicativa nº 7)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RECEITAS FINANCEIRAS - Outras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Encargos sobre empréstimos, financiamentos e debêntures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Variação cambial passiva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Resultado negativo com instrumentos derivativos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Juros sobre arrendamento - IFRS16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Despesas bancárias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Despesas com obtenção de empréstimos e financiamentos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DESPESAS FINANCEIRAS - Atualização de contas a pagar por aquisição de empresas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DESPESAS FINANCEIRAS - Outras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CHECK [EX IFRS-16]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collapsed="1">
      <c r="C117" s="14" t="inlineStr">
        <is>
          <t>Nonoperating Income / (Loss)</t>
        </is>
      </c>
      <c r="D117" s="46" t="n"/>
      <c r="E117" s="46" t="n"/>
      <c r="F117" s="46" t="n"/>
      <c r="G117" s="46" t="n"/>
      <c r="H117" s="12" t="n"/>
      <c r="I117" s="46">
        <f>'Inputs (2)'!D9</f>
        <v>269.086</v>
      </c>
      <c r="J117" s="46">
        <f>'Inputs (2)'!E9</f>
        <v>-62.519</v>
      </c>
      <c r="K117" s="46">
        <f>'Inputs (2)'!F9</f>
        <v>96.135</v>
      </c>
      <c r="L117" s="46">
        <f>'Inputs (2)'!G9</f>
        <v>108.512</v>
      </c>
      <c r="M117" s="12">
        <f>'Inputs (2)'!H9</f>
        <v>411.214</v>
      </c>
      <c r="N117" s="46">
        <f>'Inputs (2)'!I9</f>
        <v>195.645</v>
      </c>
      <c r="O117" s="46">
        <f>'Inputs (2)'!J9</f>
        <v>220.226</v>
      </c>
      <c r="P117" s="46">
        <f>'Inputs (2)'!K9</f>
        <v>261.404</v>
      </c>
      <c r="Q117" s="46">
        <f>'Inputs (2)'!L9</f>
        <v>-339.965</v>
      </c>
      <c r="R117" s="12">
        <f>'Inputs (2)'!M9</f>
        <v>337.31</v>
      </c>
      <c r="S117" s="46">
        <f>'Inputs (2)'!N9</f>
        <v>-71.204</v>
      </c>
      <c r="T117" s="46">
        <f>'Inputs (2)'!O9</f>
        <v>26.961</v>
      </c>
      <c r="U117" s="46">
        <f>'Inputs (2)'!P9</f>
        <v>168.218</v>
      </c>
      <c r="V117" s="46">
        <f>'Inputs (2)'!Q9</f>
        <v>-172.747</v>
      </c>
      <c r="W117" s="12">
        <f>'Inputs (2)'!R9</f>
        <v>-48.772</v>
      </c>
      <c r="X117" s="46">
        <f>'Inputs (2)'!S9</f>
        <v>155.359</v>
      </c>
      <c r="Y117" s="46">
        <f>'Inputs (2)'!T9</f>
        <v>79.005</v>
      </c>
      <c r="Z117" s="46">
        <f>'Inputs (2)'!U9</f>
        <v>-21.693</v>
      </c>
      <c r="AA117" s="46">
        <f>'Inputs (2)'!V9</f>
        <v>54.105</v>
      </c>
      <c r="AB117" s="12">
        <f>'Inputs (2)'!W9</f>
        <v>266.776</v>
      </c>
      <c r="AC117" s="46">
        <f>'Inputs (2)'!X9</f>
        <v>50.899</v>
      </c>
      <c r="AD117" s="46">
        <f>'Inputs (2)'!Y9</f>
        <v>39.63</v>
      </c>
      <c r="AE117" s="46">
        <f>'Inputs (2)'!Z9</f>
        <v>36.457</v>
      </c>
      <c r="AF117" s="46">
        <f>'Inputs (2)'!AA9</f>
        <v>45.473</v>
      </c>
      <c r="AG117" s="12">
        <f>'Inputs (2)'!AB9</f>
        <v>172.459</v>
      </c>
      <c r="AH117" s="12">
        <f>'Inputs (2)'!AC9</f>
        <v>2852.166</v>
      </c>
      <c r="AI117" s="12">
        <f>'Inputs (2)'!AD9</f>
        <v>51.661</v>
      </c>
      <c r="AJ117" s="12">
        <f>AJ15*Control!$B$23</f>
        <v>584.082984265192</v>
      </c>
      <c r="AK117" s="12">
        <f>AK15*Control!$B$23</f>
        <v>611.508018998066</v>
      </c>
      <c r="AL117" s="12">
        <f>SUM(AH117:AK117)</f>
        <v>4099.41800326326</v>
      </c>
      <c r="AM117" s="12">
        <f>AM15*Control!$C$23</f>
        <v>621.605889841464</v>
      </c>
      <c r="AN117" s="12">
        <f>AN15*Control!$C$23</f>
        <v>637.345821377813</v>
      </c>
      <c r="AO117" s="12">
        <f>AO15*Control!$C$23</f>
        <v>674.354766969871</v>
      </c>
      <c r="AP117" s="12">
        <f>AP15*Control!$C$23</f>
        <v>706.018423341738</v>
      </c>
      <c r="AQ117" s="12">
        <f>SUM(AM117:AP117)</f>
        <v>2639.32490153089</v>
      </c>
      <c r="AR117" s="12">
        <f>AR15*Control!$D$23</f>
        <v>714.568921058937</v>
      </c>
      <c r="AS117" s="12">
        <f>AS15*Control!$D$23</f>
        <v>732.662806717483</v>
      </c>
      <c r="AT117" s="12">
        <f>AT15*Control!$D$23</f>
        <v>775.206551481534</v>
      </c>
      <c r="AU117" s="12">
        <f>AU15*Control!$D$23</f>
        <v>811.605602938715</v>
      </c>
      <c r="AV117" s="12">
        <f>SUM(AR117:AU117)</f>
        <v>3034.04388219667</v>
      </c>
      <c r="AW117" s="12">
        <f>AW15*Control!$E$23</f>
        <v>817.862008712392</v>
      </c>
      <c r="AX117" s="12">
        <f>AX15*Control!$E$23</f>
        <v>838.571419986789</v>
      </c>
      <c r="AY117" s="12">
        <f>AY15*Control!$E$23</f>
        <v>887.264991069211</v>
      </c>
      <c r="AZ117" s="12">
        <f>AZ15*Control!$E$23</f>
        <v>928.925634938077</v>
      </c>
      <c r="BA117" s="12">
        <f>SUM(AW117:AZ117)</f>
        <v>3472.62405470647</v>
      </c>
      <c r="BB117" s="12">
        <f>BB15*Control!$F$23</f>
        <v>931.997112948096</v>
      </c>
      <c r="BC117" s="12">
        <f>BC15*Control!$F$23</f>
        <v>955.596584879773</v>
      </c>
      <c r="BD117" s="12">
        <f>BD15*Control!$F$23</f>
        <v>1011.0854903241</v>
      </c>
      <c r="BE117" s="12">
        <f>BE15*Control!$F$23</f>
        <v>1058.56000240038</v>
      </c>
      <c r="BF117" s="12">
        <f>SUM(BB117:BE117)</f>
        <v>3957.23919055235</v>
      </c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0" t="inlineStr">
        <is>
          <t>Resultado Não Recorrente</t>
        </is>
      </c>
      <c r="D119" s="11" t="n"/>
      <c r="E119" s="11" t="n"/>
      <c r="F119" s="11" t="n"/>
      <c r="G119" s="11" t="n"/>
      <c r="H119" s="12" t="n"/>
      <c r="I119" s="11" t="n"/>
      <c r="J119" s="11" t="n"/>
      <c r="K119" s="11" t="n"/>
      <c r="L119" s="11" t="n"/>
      <c r="M119" s="12" t="n"/>
      <c r="N119" s="11" t="n"/>
      <c r="O119" s="11" t="n"/>
      <c r="P119" s="11" t="n"/>
      <c r="Q119" s="11" t="n"/>
      <c r="R119" s="12" t="n"/>
      <c r="S119" s="11" t="n"/>
      <c r="T119" s="11" t="n"/>
      <c r="U119" s="11" t="n"/>
      <c r="V119" s="11" t="n"/>
      <c r="W119" s="12" t="n"/>
      <c r="X119" s="11" t="n"/>
      <c r="Y119" s="11" t="n"/>
      <c r="Z119" s="11" t="n"/>
      <c r="AA119" s="11" t="n"/>
      <c r="AB119" s="12" t="n"/>
      <c r="AC119" s="11" t="n"/>
      <c r="AD119" s="11" t="n"/>
      <c r="AE119" s="11" t="n"/>
      <c r="AF119" s="11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0" t="inlineStr">
        <is>
          <t>Plano de Opção de Compra de Ações</t>
        </is>
      </c>
      <c r="D120" s="11" t="n"/>
      <c r="E120" s="11" t="n"/>
      <c r="F120" s="11" t="n"/>
      <c r="G120" s="11" t="n"/>
      <c r="H120" s="12" t="n"/>
      <c r="I120" s="11" t="n"/>
      <c r="J120" s="11" t="n"/>
      <c r="K120" s="11" t="n"/>
      <c r="L120" s="11" t="n"/>
      <c r="M120" s="12" t="n"/>
      <c r="N120" s="11" t="n"/>
      <c r="O120" s="11" t="n"/>
      <c r="P120" s="11" t="n"/>
      <c r="Q120" s="11" t="n"/>
      <c r="R120" s="12" t="n"/>
      <c r="S120" s="11" t="n"/>
      <c r="T120" s="11" t="n"/>
      <c r="U120" s="11" t="n"/>
      <c r="V120" s="11" t="n"/>
      <c r="W120" s="12" t="n"/>
      <c r="X120" s="11" t="n"/>
      <c r="Y120" s="11" t="n"/>
      <c r="Z120" s="11" t="n"/>
      <c r="AA120" s="11" t="n"/>
      <c r="AB120" s="12" t="n"/>
      <c r="AC120" s="11" t="n"/>
      <c r="AD120" s="11" t="n"/>
      <c r="AE120" s="11" t="n"/>
      <c r="AF120" s="11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0" t="inlineStr">
        <is>
          <t>Baixa Imobilizado</t>
        </is>
      </c>
      <c r="D121" s="11" t="n"/>
      <c r="E121" s="11" t="n"/>
      <c r="F121" s="11" t="n"/>
      <c r="G121" s="11" t="n"/>
      <c r="H121" s="12" t="n"/>
      <c r="I121" s="11" t="n"/>
      <c r="J121" s="11" t="n"/>
      <c r="K121" s="11" t="n"/>
      <c r="L121" s="11" t="n"/>
      <c r="M121" s="12" t="n"/>
      <c r="N121" s="11" t="n"/>
      <c r="O121" s="11" t="n"/>
      <c r="P121" s="11" t="n"/>
      <c r="Q121" s="11" t="n"/>
      <c r="R121" s="12" t="n"/>
      <c r="S121" s="11" t="n"/>
      <c r="T121" s="11" t="n"/>
      <c r="U121" s="11" t="n"/>
      <c r="V121" s="11" t="n"/>
      <c r="W121" s="12" t="n"/>
      <c r="X121" s="11" t="n"/>
      <c r="Y121" s="11" t="n"/>
      <c r="Z121" s="11" t="n"/>
      <c r="AA121" s="11" t="n"/>
      <c r="AB121" s="12" t="n"/>
      <c r="AC121" s="11" t="n"/>
      <c r="AD121" s="11" t="n"/>
      <c r="AE121" s="11" t="n"/>
      <c r="AF121" s="11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collapsed="1" customFormat="1" s="32">
      <c r="A124" s="30" t="n"/>
      <c r="B124" s="3" t="n"/>
      <c r="C124" s="33" t="inlineStr">
        <is>
          <t>Pretax Income - EBT</t>
        </is>
      </c>
      <c r="D124" s="35" t="n"/>
      <c r="E124" s="35" t="n"/>
      <c r="F124" s="35" t="n"/>
      <c r="G124" s="35" t="n"/>
      <c r="H124" s="35" t="n"/>
      <c r="I124" s="35">
        <f>SUM(I67,I68,I117)</f>
        <v>2034.502</v>
      </c>
      <c r="J124" s="35">
        <f>SUM(J67,J68,J117)</f>
        <v>1593.789</v>
      </c>
      <c r="K124" s="35">
        <f>SUM(K67,K68,K117)</f>
        <v>1660.959</v>
      </c>
      <c r="L124" s="35">
        <f>SUM(L67,L68,L117)</f>
        <v>550.853</v>
      </c>
      <c r="M124" s="35">
        <f>SUM(I124:L124)</f>
        <v>5840.103</v>
      </c>
      <c r="N124" s="35">
        <f>SUM(N67,N68,N117)</f>
        <v>1979.692</v>
      </c>
      <c r="O124" s="35">
        <f>SUM(O67,O68,O117)</f>
        <v>1623.054</v>
      </c>
      <c r="P124" s="35">
        <f>SUM(P67,P68,P117)</f>
        <v>1621.847</v>
      </c>
      <c r="Q124" s="35">
        <f>SUM(Q67,Q68,Q117)</f>
        <v>39.336</v>
      </c>
      <c r="R124" s="35">
        <f>SUM(N124:Q124)</f>
        <v>5263.929</v>
      </c>
      <c r="S124" s="35">
        <f>SUM(S67,S68,S117)</f>
        <v>1468.874</v>
      </c>
      <c r="T124" s="35">
        <f>SUM(T67,T68,T117)</f>
        <v>1679.332</v>
      </c>
      <c r="U124" s="35">
        <f>SUM(U67,U68,U117)</f>
        <v>1909.049</v>
      </c>
      <c r="V124" s="35">
        <f>SUM(V67,V68,V117)</f>
        <v>1148.15</v>
      </c>
      <c r="W124" s="35">
        <f>SUM(S124:V124)</f>
        <v>6205.405</v>
      </c>
      <c r="X124" s="35">
        <f>SUM(X67,X68,X117)</f>
        <v>2614.579</v>
      </c>
      <c r="Y124" s="35">
        <f>SUM(Y67,Y68,Y117)</f>
        <v>2513.856</v>
      </c>
      <c r="Z124" s="35">
        <f>SUM(Z67,Z68,Z117)</f>
        <v>2702.954</v>
      </c>
      <c r="AA124" s="35">
        <f>SUM(AA67,AA68,AA117)</f>
        <v>2134.268</v>
      </c>
      <c r="AB124" s="35">
        <f>SUM(X124:AA124)</f>
        <v>9965.657</v>
      </c>
      <c r="AC124" s="35">
        <f>SUM(AC67,AC68,AC117)</f>
        <v>3213.726</v>
      </c>
      <c r="AD124" s="35">
        <f>SUM(AD67,AD68,AD117)</f>
        <v>3631.675</v>
      </c>
      <c r="AE124" s="35">
        <f>SUM(AE67,AE68,AE117)</f>
        <v>3109.41</v>
      </c>
      <c r="AF124" s="35">
        <f>SUM(AF67,AF68,AF117)</f>
        <v>2767.741</v>
      </c>
      <c r="AG124" s="35">
        <f>SUM(AC124:AF124)</f>
        <v>12722.552</v>
      </c>
      <c r="AH124" s="35">
        <f>SUM(AH67,AH68,AH117)</f>
        <v>6547.086</v>
      </c>
      <c r="AI124" s="35">
        <f>SUM(AI67,AI68,AI117)</f>
        <v>4068.586</v>
      </c>
      <c r="AJ124" s="35">
        <f>SUM(AJ67,AJ68,AJ117:AJ122)</f>
        <v>4665.1227032233</v>
      </c>
      <c r="AK124" s="35">
        <f>SUM(AK67,AK68,AK117:AK122)</f>
        <v>4884.16889291837</v>
      </c>
      <c r="AL124" s="35">
        <f>SUM(AH124:AK124)</f>
        <v>20164.9635961417</v>
      </c>
      <c r="AM124" s="35">
        <f>SUM(AM67,AM68,AM117:AM122)</f>
        <v>4964.82148475001</v>
      </c>
      <c r="AN124" s="35">
        <f>SUM(AN67,AN68,AN117:AN122)</f>
        <v>5090.53771675047</v>
      </c>
      <c r="AO124" s="35">
        <f>SUM(AO67,AO68,AO117:AO122)</f>
        <v>5386.13145420726</v>
      </c>
      <c r="AP124" s="35">
        <f>SUM(AP67,AP68,AP117:AP122)</f>
        <v>5639.03189162249</v>
      </c>
      <c r="AQ124" s="35">
        <f>SUM(AM124:AP124)</f>
        <v>21080.5225473302</v>
      </c>
      <c r="AR124" s="35">
        <f>SUM(AR67,AR68,AR117:AR122)</f>
        <v>5707.32547677897</v>
      </c>
      <c r="AS124" s="35">
        <f>SUM(AS67,AS68,AS117:AS122)</f>
        <v>5851.8429495511</v>
      </c>
      <c r="AT124" s="35">
        <f>SUM(AT67,AT68,AT117:AT122)</f>
        <v>6191.64361987639</v>
      </c>
      <c r="AU124" s="35">
        <f>SUM(AU67,AU68,AU117:AU122)</f>
        <v>6482.36607867617</v>
      </c>
      <c r="AV124" s="35">
        <f>SUM(AR124:AU124)</f>
        <v>24233.1781248826</v>
      </c>
      <c r="AW124" s="35">
        <f>SUM(AW67,AW68,AW117:AW122)</f>
        <v>6532.33654760205</v>
      </c>
      <c r="AX124" s="35">
        <f>SUM(AX67,AX68,AX117:AX122)</f>
        <v>6697.74445591172</v>
      </c>
      <c r="AY124" s="35">
        <f>SUM(AY67,AY68,AY117:AY122)</f>
        <v>7086.66433558157</v>
      </c>
      <c r="AZ124" s="35">
        <f>SUM(AZ67,AZ68,AZ117:AZ122)</f>
        <v>7419.41160057518</v>
      </c>
      <c r="BA124" s="35">
        <f>SUM(AW124:AZ124)</f>
        <v>27736.1569396705</v>
      </c>
      <c r="BB124" s="35">
        <f>SUM(BB67,BB68,BB117:BB122)</f>
        <v>7443.94376840578</v>
      </c>
      <c r="BC124" s="35">
        <f>SUM(BC67,BC68,BC117:BC122)</f>
        <v>7632.43484802703</v>
      </c>
      <c r="BD124" s="35">
        <f>SUM(BD67,BD68,BD117:BD122)</f>
        <v>8075.62966715193</v>
      </c>
      <c r="BE124" s="35">
        <f>SUM(BE67,BE68,BE117:BE122)</f>
        <v>8454.81281420098</v>
      </c>
      <c r="BF124" s="35">
        <f>SUM(BB124:BE124)</f>
        <v>31606.8210977857</v>
      </c>
      <c r="BG124" s="35" t="n"/>
      <c r="BH124" s="35" t="n"/>
      <c r="BI124" s="35" t="n"/>
      <c r="BJ124" s="35" t="n"/>
      <c r="BK124" s="35" t="n"/>
      <c r="BL124" s="35" t="n"/>
      <c r="BM124" s="35" t="n"/>
      <c r="BN124" s="35" t="n"/>
      <c r="BO124" s="35" t="n"/>
      <c r="BP124" s="35" t="n"/>
      <c r="BQ124" s="35" t="n"/>
      <c r="BR124" s="35" t="n"/>
      <c r="BS124" s="35" t="n"/>
      <c r="BT124" s="35" t="n"/>
      <c r="BU124" s="35" t="n"/>
      <c r="BV124" s="35" t="n"/>
      <c r="BW124" s="35" t="n"/>
      <c r="BX124" s="35" t="n"/>
      <c r="BY124" s="35" t="n"/>
      <c r="BZ124" s="35" t="n"/>
      <c r="CA124" s="35" t="n"/>
      <c r="CB124" s="35" t="n"/>
      <c r="CC124" s="35" t="n"/>
      <c r="CD124" s="35" t="n"/>
      <c r="CE124" s="35" t="n"/>
      <c r="CF124" s="35" t="n"/>
      <c r="CG124" s="35" t="n"/>
      <c r="CH124" s="35" t="n"/>
      <c r="CI124" s="35" t="n"/>
      <c r="CJ124" s="35" t="n"/>
      <c r="CK124" s="35" t="n"/>
      <c r="CL124" s="35" t="n"/>
      <c r="CM124" s="35" t="n"/>
      <c r="CN124" s="35" t="n"/>
      <c r="CO124" s="35" t="n"/>
      <c r="CP124" s="35" t="n"/>
      <c r="CQ124" s="35" t="n"/>
      <c r="CR124" s="35" t="n"/>
      <c r="CS124" s="35" t="n"/>
      <c r="CT124" s="35" t="n"/>
      <c r="CU124" s="35" t="n"/>
      <c r="CV124" s="35" t="n"/>
      <c r="CW124" s="35" t="n"/>
      <c r="CX124" s="35" t="n"/>
      <c r="CY124" s="35" t="n"/>
    </row>
    <row r="125">
      <c r="C125" s="14" t="inlineStr">
        <is>
          <t>Taxes</t>
        </is>
      </c>
      <c r="D125" s="46" t="n"/>
      <c r="E125" s="46" t="n"/>
      <c r="F125" s="46" t="n"/>
      <c r="G125" s="46" t="n"/>
      <c r="H125" s="12" t="n"/>
      <c r="I125" s="46">
        <f>'Inputs (2)'!D10</f>
        <v>-327.787</v>
      </c>
      <c r="J125" s="46">
        <f>'Inputs (2)'!E10</f>
        <v>-240.776</v>
      </c>
      <c r="K125" s="46">
        <f>'Inputs (2)'!F10</f>
        <v>-211.888</v>
      </c>
      <c r="L125" s="46">
        <f>'Inputs (2)'!G10</f>
        <v>56.576</v>
      </c>
      <c r="M125" s="12">
        <f>'Inputs (2)'!H10</f>
        <v>-723.875</v>
      </c>
      <c r="N125" s="46">
        <f>'Inputs (2)'!I10</f>
        <v>-382.245</v>
      </c>
      <c r="O125" s="46">
        <f>'Inputs (2)'!J10</f>
        <v>-182.103</v>
      </c>
      <c r="P125" s="46">
        <f>'Inputs (2)'!K10</f>
        <v>-223.605</v>
      </c>
      <c r="Q125" s="46">
        <f>'Inputs (2)'!L10</f>
        <v>15.948</v>
      </c>
      <c r="R125" s="12">
        <f>'Inputs (2)'!M10</f>
        <v>-772.005</v>
      </c>
      <c r="S125" s="46">
        <f>'Inputs (2)'!N10</f>
        <v>-163.754</v>
      </c>
      <c r="T125" s="46">
        <f>'Inputs (2)'!O10</f>
        <v>-191.722</v>
      </c>
      <c r="U125" s="46">
        <f>'Inputs (2)'!P10</f>
        <v>-231.627</v>
      </c>
      <c r="V125" s="46">
        <f>'Inputs (2)'!Q10</f>
        <v>-210.312</v>
      </c>
      <c r="W125" s="12">
        <f>'Inputs (2)'!R10</f>
        <v>-797.415</v>
      </c>
      <c r="X125" s="46">
        <f>'Inputs (2)'!S10</f>
        <v>-282.37</v>
      </c>
      <c r="Y125" s="46">
        <f>'Inputs (2)'!T10</f>
        <v>-366.55</v>
      </c>
      <c r="Z125" s="46">
        <f>'Inputs (2)'!U10</f>
        <v>-339.445</v>
      </c>
      <c r="AA125" s="46">
        <f>'Inputs (2)'!V10</f>
        <v>-265.661</v>
      </c>
      <c r="AB125" s="12">
        <f>'Inputs (2)'!W10</f>
        <v>-1254.026</v>
      </c>
      <c r="AC125" s="46">
        <f>'Inputs (2)'!X10</f>
        <v>-323.375</v>
      </c>
      <c r="AD125" s="46">
        <f>'Inputs (2)'!Y10</f>
        <v>-506.262</v>
      </c>
      <c r="AE125" s="46">
        <f>'Inputs (2)'!Z10</f>
        <v>-562.494</v>
      </c>
      <c r="AF125" s="46">
        <f>'Inputs (2)'!AA10</f>
        <v>-349.22</v>
      </c>
      <c r="AG125" s="12">
        <f>'Inputs (2)'!AB10</f>
        <v>-1741.351</v>
      </c>
      <c r="AH125" s="12">
        <f>'Inputs (2)'!AC10</f>
        <v>-1264.295</v>
      </c>
      <c r="AI125" s="12">
        <f>'Inputs (2)'!AD10</f>
        <v>-667.172</v>
      </c>
      <c r="AJ125" s="12">
        <f>-AJ124*AJ126</f>
        <v>-703.026114545635</v>
      </c>
      <c r="AK125" s="12">
        <f>-AK124*AK126</f>
        <v>-736.03600548397</v>
      </c>
      <c r="AL125" s="12">
        <f>SUM(AH125:AK125)</f>
        <v>-3370.52912002961</v>
      </c>
      <c r="AM125" s="12">
        <f>-AM124*AM126</f>
        <v>-748.190214895067</v>
      </c>
      <c r="AN125" s="12">
        <f>-AN124*AN126</f>
        <v>-767.135438791864</v>
      </c>
      <c r="AO125" s="12">
        <f>-AO124*AO126</f>
        <v>-811.680915931123</v>
      </c>
      <c r="AP125" s="12">
        <f>-AP124*AP126</f>
        <v>-849.792584839655</v>
      </c>
      <c r="AQ125" s="12">
        <f>SUM(AM125:AP125)</f>
        <v>-3176.79915445771</v>
      </c>
      <c r="AR125" s="12">
        <f>-AR124*AR126</f>
        <v>-860.084312812377</v>
      </c>
      <c r="AS125" s="12">
        <f>-AS124*AS126</f>
        <v>-881.862851948497</v>
      </c>
      <c r="AT125" s="12">
        <f>-AT124*AT126</f>
        <v>-933.070239229808</v>
      </c>
      <c r="AU125" s="12">
        <f>-AU124*AU126</f>
        <v>-976.881622900369</v>
      </c>
      <c r="AV125" s="12">
        <f>SUM(AR125:AU125)</f>
        <v>-3651.89902689105</v>
      </c>
      <c r="AW125" s="12">
        <f>-AW124*AW126</f>
        <v>-984.412088194821</v>
      </c>
      <c r="AX125" s="12">
        <f>-AX124*AX126</f>
        <v>-1009.33878069398</v>
      </c>
      <c r="AY125" s="12">
        <f>-AY124*AY126</f>
        <v>-1067.94834988814</v>
      </c>
      <c r="AZ125" s="12">
        <f>-AZ124*AZ126</f>
        <v>-1118.0928008953</v>
      </c>
      <c r="BA125" s="12">
        <f>SUM(AW125:AZ125)</f>
        <v>-4179.79201967224</v>
      </c>
      <c r="BB125" s="12">
        <f>-BB124*BB126</f>
        <v>-1121.78975716601</v>
      </c>
      <c r="BC125" s="12">
        <f>-BC124*BC126</f>
        <v>-1150.19504460702</v>
      </c>
      <c r="BD125" s="12">
        <f>-BD124*BD126</f>
        <v>-1216.9837555365</v>
      </c>
      <c r="BE125" s="12">
        <f>-BE124*BE126</f>
        <v>-1274.12601556471</v>
      </c>
      <c r="BF125" s="12">
        <f>SUM(BB125:BE125)</f>
        <v>-4763.09457287424</v>
      </c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inlineStr">
        <is>
          <t>% ETR</t>
        </is>
      </c>
      <c r="D126" s="53" t="n"/>
      <c r="E126" s="53" t="n"/>
      <c r="F126" s="53" t="n"/>
      <c r="G126" s="53" t="n"/>
      <c r="H126" s="53" t="n"/>
      <c r="I126" s="53">
        <f>IFERROR(-I125/I124,"")</f>
        <v>0.161114120310523</v>
      </c>
      <c r="J126" s="53">
        <f>IFERROR(-J125/J124,"")</f>
        <v>0.151071440447889</v>
      </c>
      <c r="K126" s="53">
        <f>IFERROR(-K125/K124,"")</f>
        <v>0.12756967510938</v>
      </c>
      <c r="L126" s="53">
        <f>IFERROR(-L125/L124,"")</f>
        <v>-0.102706166617954</v>
      </c>
      <c r="M126" s="53">
        <f>IFERROR(-M125/M124,"")</f>
        <v>0.123949012543101</v>
      </c>
      <c r="N126" s="53">
        <f>IFERROR(-N125/N124,"")</f>
        <v>0.193083065446544</v>
      </c>
      <c r="O126" s="53">
        <f>IFERROR(-O125/O124,"")</f>
        <v>0.112197745731196</v>
      </c>
      <c r="P126" s="53">
        <f>IFERROR(-P125/P124,"")</f>
        <v>0.137870588286071</v>
      </c>
      <c r="Q126" s="53">
        <f>IFERROR(-Q125/Q124,"")</f>
        <v>-0.405430140329469</v>
      </c>
      <c r="R126" s="53">
        <f>IFERROR(-R125/R124,"")</f>
        <v>0.146659462922087</v>
      </c>
      <c r="S126" s="53">
        <f>IFERROR(-S125/S124,"")</f>
        <v>0.111482673122405</v>
      </c>
      <c r="T126" s="53">
        <f>IFERROR(-T125/T124,"")</f>
        <v>0.114165632525314</v>
      </c>
      <c r="U126" s="53">
        <f>IFERROR(-U125/U124,"")</f>
        <v>0.121331092077783</v>
      </c>
      <c r="V126" s="53">
        <f>IFERROR(-V125/V124,"")</f>
        <v>0.183174672298916</v>
      </c>
      <c r="W126" s="53">
        <f>IFERROR(-W125/W124,"")</f>
        <v>0.128503296722776</v>
      </c>
      <c r="X126" s="53">
        <f>IFERROR(-X125/X124,"")</f>
        <v>0.107998266642546</v>
      </c>
      <c r="Y126" s="53">
        <f>IFERROR(-Y125/Y124,"")</f>
        <v>0.145811852389317</v>
      </c>
      <c r="Z126" s="53">
        <f>IFERROR(-Z125/Z124,"")</f>
        <v>0.125582973295143</v>
      </c>
      <c r="AA126" s="53">
        <f>IFERROR(-AA125/AA124,"")</f>
        <v>0.124474058553096</v>
      </c>
      <c r="AB126" s="53">
        <f>IFERROR(-AB125/AB124,"")</f>
        <v>0.125834754296681</v>
      </c>
      <c r="AC126" s="53">
        <f>IFERROR(-AC125/AC124,"")</f>
        <v>0.100623077387431</v>
      </c>
      <c r="AD126" s="53">
        <f>IFERROR(-AD125/AD124,"")</f>
        <v>0.139401791184509</v>
      </c>
      <c r="AE126" s="53">
        <f>IFERROR(-AE125/AE124,"")</f>
        <v>0.180900556697251</v>
      </c>
      <c r="AF126" s="41">
        <f>IFERROR(-AF125/AF124,"")</f>
        <v>0.126175100921654</v>
      </c>
      <c r="AG126" s="53">
        <f>IFERROR(-AG125/AG124,"")</f>
        <v>0.136871203198855</v>
      </c>
      <c r="AH126" s="41">
        <f>IFERROR(-AH125/AH124,"")</f>
        <v>0.193108048374498</v>
      </c>
      <c r="AI126" s="41">
        <f>IFERROR(-AI125/AI124,"")</f>
        <v>0.163981294729914</v>
      </c>
      <c r="AJ126" s="41">
        <f>Control!$B$22</f>
        <v>0.15069831154921</v>
      </c>
      <c r="AK126" s="41">
        <f>Control!$B$22</f>
        <v>0.15069831154921</v>
      </c>
      <c r="AL126" s="53">
        <f>IFERROR(-AL125/AL124,"")</f>
        <v>0.167147790967226</v>
      </c>
      <c r="AM126" s="41">
        <f>Control!$C$22</f>
        <v>0.15069831154921</v>
      </c>
      <c r="AN126" s="41">
        <f>Control!$C$22</f>
        <v>0.15069831154921</v>
      </c>
      <c r="AO126" s="41">
        <f>Control!$C$22</f>
        <v>0.15069831154921</v>
      </c>
      <c r="AP126" s="41">
        <f>Control!$C$22</f>
        <v>0.15069831154921</v>
      </c>
      <c r="AQ126" s="53">
        <f>IFERROR(-AQ125/AQ124,"")</f>
        <v>0.15069831154921</v>
      </c>
      <c r="AR126" s="41">
        <f>Control!$D$22</f>
        <v>0.15069831154921</v>
      </c>
      <c r="AS126" s="41">
        <f>Control!$D$22</f>
        <v>0.15069831154921</v>
      </c>
      <c r="AT126" s="41">
        <f>Control!$D$22</f>
        <v>0.15069831154921</v>
      </c>
      <c r="AU126" s="41">
        <f>Control!$D$22</f>
        <v>0.15069831154921</v>
      </c>
      <c r="AV126" s="53">
        <f>IFERROR(-AV125/AV124,"")</f>
        <v>0.15069831154921</v>
      </c>
      <c r="AW126" s="41">
        <f>Control!$E$22</f>
        <v>0.15069831154921</v>
      </c>
      <c r="AX126" s="41">
        <f>Control!$E$22</f>
        <v>0.15069831154921</v>
      </c>
      <c r="AY126" s="41">
        <f>Control!$E$22</f>
        <v>0.15069831154921</v>
      </c>
      <c r="AZ126" s="41">
        <f>Control!$E$22</f>
        <v>0.15069831154921</v>
      </c>
      <c r="BA126" s="53">
        <f>IFERROR(-BA125/BA124,"")</f>
        <v>0.150698311549209</v>
      </c>
      <c r="BB126" s="41">
        <f>Control!$F$22</f>
        <v>0.15069831154921</v>
      </c>
      <c r="BC126" s="41">
        <f>Control!$F$22</f>
        <v>0.15069831154921</v>
      </c>
      <c r="BD126" s="41">
        <f>Control!$F$22</f>
        <v>0.15069831154921</v>
      </c>
      <c r="BE126" s="41">
        <f>Control!$F$22</f>
        <v>0.15069831154921</v>
      </c>
      <c r="BF126" s="53">
        <f>IFERROR(-BF125/BF124,"")</f>
        <v>0.15069831154921</v>
      </c>
      <c r="BG126" s="41" t="n"/>
      <c r="BH126" s="41" t="n"/>
      <c r="BI126" s="41" t="n"/>
      <c r="BJ126" s="41" t="n"/>
      <c r="BK126" s="53" t="n"/>
      <c r="BL126" s="41" t="n"/>
      <c r="BM126" s="41" t="n"/>
      <c r="BN126" s="41" t="n"/>
      <c r="BO126" s="41" t="n"/>
      <c r="BP126" s="53" t="n"/>
      <c r="BQ126" s="41" t="n"/>
      <c r="BR126" s="41" t="n"/>
      <c r="BS126" s="41" t="n"/>
      <c r="BT126" s="41" t="n"/>
      <c r="BU126" s="53" t="n"/>
      <c r="BV126" s="41" t="n"/>
      <c r="BW126" s="41" t="n"/>
      <c r="BX126" s="41" t="n"/>
      <c r="BY126" s="41" t="n"/>
      <c r="BZ126" s="53" t="n"/>
      <c r="CA126" s="41" t="n"/>
      <c r="CB126" s="41" t="n"/>
      <c r="CC126" s="41" t="n"/>
      <c r="CD126" s="41" t="n"/>
      <c r="CE126" s="53" t="n"/>
      <c r="CF126" s="41" t="n"/>
      <c r="CG126" s="41" t="n"/>
      <c r="CH126" s="41" t="n"/>
      <c r="CI126" s="41" t="n"/>
      <c r="CJ126" s="53" t="n"/>
      <c r="CK126" s="41" t="n"/>
      <c r="CL126" s="41" t="n"/>
      <c r="CM126" s="41" t="n"/>
      <c r="CN126" s="41" t="n"/>
      <c r="CO126" s="53" t="n"/>
      <c r="CP126" s="41" t="n"/>
      <c r="CQ126" s="41" t="n"/>
      <c r="CR126" s="41" t="n"/>
      <c r="CS126" s="41" t="n"/>
      <c r="CT126" s="53" t="n"/>
      <c r="CU126" s="41" t="n"/>
      <c r="CV126" s="41" t="n"/>
      <c r="CW126" s="41" t="n"/>
      <c r="CX126" s="41" t="n"/>
      <c r="CY126" s="53" t="n"/>
    </row>
    <row r="127" hidden="1" outlineLevel="1">
      <c r="C127" s="57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ollapsed="1">
      <c r="C129" s="14" t="inlineStr">
        <is>
          <t>Equity in Income of Affiliates, after tax (enter as +)</t>
        </is>
      </c>
      <c r="D129" s="46" t="n"/>
      <c r="E129" s="46" t="n"/>
      <c r="F129" s="46" t="n"/>
      <c r="G129" s="46" t="n"/>
      <c r="H129" s="12" t="n"/>
      <c r="I129" s="46">
        <f>'Inputs (2)'!D11</f>
        <v>0</v>
      </c>
      <c r="J129" s="46">
        <f>'Inputs (2)'!E11</f>
        <v>0</v>
      </c>
      <c r="K129" s="46">
        <f>'Inputs (2)'!F11</f>
        <v>0</v>
      </c>
      <c r="L129" s="46">
        <f>'Inputs (2)'!G11</f>
        <v>0</v>
      </c>
      <c r="M129" s="12">
        <f>'Inputs (2)'!H11</f>
        <v>0</v>
      </c>
      <c r="N129" s="46">
        <f>'Inputs (2)'!I11</f>
        <v>0</v>
      </c>
      <c r="O129" s="46">
        <f>'Inputs (2)'!J11</f>
        <v>0</v>
      </c>
      <c r="P129" s="46">
        <f>'Inputs (2)'!K11</f>
        <v>0</v>
      </c>
      <c r="Q129" s="46">
        <f>'Inputs (2)'!L11</f>
        <v>0</v>
      </c>
      <c r="R129" s="12">
        <f>'Inputs (2)'!M11</f>
        <v>0</v>
      </c>
      <c r="S129" s="46">
        <f>'Inputs (2)'!N11</f>
        <v>0</v>
      </c>
      <c r="T129" s="46">
        <f>'Inputs (2)'!O11</f>
        <v>0</v>
      </c>
      <c r="U129" s="46">
        <f>'Inputs (2)'!P11</f>
        <v>0</v>
      </c>
      <c r="V129" s="46">
        <f>'Inputs (2)'!Q11</f>
        <v>0</v>
      </c>
      <c r="W129" s="12">
        <f>'Inputs (2)'!R11</f>
        <v>0</v>
      </c>
      <c r="X129" s="46">
        <f>'Inputs (2)'!S11</f>
        <v>0</v>
      </c>
      <c r="Y129" s="46">
        <f>'Inputs (2)'!T11</f>
        <v>0</v>
      </c>
      <c r="Z129" s="46">
        <f>'Inputs (2)'!U11</f>
        <v>0</v>
      </c>
      <c r="AA129" s="46">
        <f>'Inputs (2)'!V11</f>
        <v>0</v>
      </c>
      <c r="AB129" s="12">
        <f>'Inputs (2)'!W11</f>
        <v>0</v>
      </c>
      <c r="AC129" s="46">
        <f>'Inputs (2)'!X11</f>
        <v>0</v>
      </c>
      <c r="AD129" s="46">
        <f>'Inputs (2)'!Y11</f>
        <v>0</v>
      </c>
      <c r="AE129" s="46">
        <f>'Inputs (2)'!Z11</f>
        <v>0</v>
      </c>
      <c r="AF129" s="46">
        <f>'Inputs (2)'!AA11</f>
        <v>0</v>
      </c>
      <c r="AG129" s="12">
        <f>'Inputs (2)'!AB11</f>
        <v>0</v>
      </c>
      <c r="AH129" s="12">
        <f>'Inputs (2)'!AC11</f>
        <v>0</v>
      </c>
      <c r="AI129" s="12">
        <f>'Inputs (2)'!AD11</f>
        <v>0</v>
      </c>
      <c r="AJ129" s="12">
        <f>0</f>
        <v>0</v>
      </c>
      <c r="AK129" s="12">
        <f>0</f>
        <v>0</v>
      </c>
      <c r="AL129" s="12">
        <f>SUM(AH129:AK129)</f>
        <v>0</v>
      </c>
      <c r="AM129" s="12">
        <f>0</f>
        <v>0</v>
      </c>
      <c r="AN129" s="12">
        <f>0</f>
        <v>0</v>
      </c>
      <c r="AO129" s="12">
        <f>0</f>
        <v>0</v>
      </c>
      <c r="AP129" s="12">
        <f>0</f>
        <v>0</v>
      </c>
      <c r="AQ129" s="12">
        <f>SUM(AM129:AP129)</f>
        <v>0</v>
      </c>
      <c r="AR129" s="12">
        <f>0</f>
        <v>0</v>
      </c>
      <c r="AS129" s="12">
        <f>0</f>
        <v>0</v>
      </c>
      <c r="AT129" s="12">
        <f>0</f>
        <v>0</v>
      </c>
      <c r="AU129" s="12">
        <f>0</f>
        <v>0</v>
      </c>
      <c r="AV129" s="12">
        <f>SUM(AR129:AU129)</f>
        <v>0</v>
      </c>
      <c r="AW129" s="12">
        <f>0</f>
        <v>0</v>
      </c>
      <c r="AX129" s="12">
        <f>0</f>
        <v>0</v>
      </c>
      <c r="AY129" s="12">
        <f>0</f>
        <v>0</v>
      </c>
      <c r="AZ129" s="12">
        <f>0</f>
        <v>0</v>
      </c>
      <c r="BA129" s="12">
        <f>SUM(AW129:AZ129)</f>
        <v>0</v>
      </c>
      <c r="BB129" s="12">
        <f>0</f>
        <v>0</v>
      </c>
      <c r="BC129" s="12">
        <f>0</f>
        <v>0</v>
      </c>
      <c r="BD129" s="12">
        <f>0</f>
        <v>0</v>
      </c>
      <c r="BE129" s="12">
        <f>0</f>
        <v>0</v>
      </c>
      <c r="BF129" s="12">
        <f>SUM(BB129:BE129)</f>
        <v>0</v>
      </c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>
      <c r="C130" s="14" t="inlineStr">
        <is>
          <t>Minority Interest Expense, after tax (enter as - )</t>
        </is>
      </c>
      <c r="D130" s="46" t="n"/>
      <c r="E130" s="46" t="n"/>
      <c r="F130" s="46" t="n"/>
      <c r="G130" s="46" t="n"/>
      <c r="H130" s="12" t="n"/>
      <c r="I130" s="46">
        <f>'Inputs (2)'!D12</f>
        <v>0</v>
      </c>
      <c r="J130" s="46">
        <f>'Inputs (2)'!E12</f>
        <v>0</v>
      </c>
      <c r="K130" s="46">
        <f>'Inputs (2)'!F12</f>
        <v>0</v>
      </c>
      <c r="L130" s="46">
        <f>'Inputs (2)'!G12</f>
        <v>0</v>
      </c>
      <c r="M130" s="12">
        <f>'Inputs (2)'!H12</f>
        <v>0</v>
      </c>
      <c r="N130" s="46">
        <f>'Inputs (2)'!I12</f>
        <v>0</v>
      </c>
      <c r="O130" s="46">
        <f>'Inputs (2)'!J12</f>
        <v>0</v>
      </c>
      <c r="P130" s="46">
        <f>'Inputs (2)'!K12</f>
        <v>0</v>
      </c>
      <c r="Q130" s="46">
        <f>'Inputs (2)'!L12</f>
        <v>0</v>
      </c>
      <c r="R130" s="12">
        <f>'Inputs (2)'!M12</f>
        <v>0</v>
      </c>
      <c r="S130" s="46">
        <f>'Inputs (2)'!N12</f>
        <v>0</v>
      </c>
      <c r="T130" s="46">
        <f>'Inputs (2)'!O12</f>
        <v>0</v>
      </c>
      <c r="U130" s="46">
        <f>'Inputs (2)'!P12</f>
        <v>0</v>
      </c>
      <c r="V130" s="46">
        <f>'Inputs (2)'!Q12</f>
        <v>0</v>
      </c>
      <c r="W130" s="12">
        <f>'Inputs (2)'!R12</f>
        <v>0</v>
      </c>
      <c r="X130" s="46">
        <f>'Inputs (2)'!S12</f>
        <v>0</v>
      </c>
      <c r="Y130" s="46">
        <f>'Inputs (2)'!T12</f>
        <v>0</v>
      </c>
      <c r="Z130" s="46">
        <f>'Inputs (2)'!U12</f>
        <v>0</v>
      </c>
      <c r="AA130" s="46">
        <f>'Inputs (2)'!V12</f>
        <v>0</v>
      </c>
      <c r="AB130" s="12">
        <f>'Inputs (2)'!W12</f>
        <v>0</v>
      </c>
      <c r="AC130" s="46">
        <f>'Inputs (2)'!X12</f>
        <v>0</v>
      </c>
      <c r="AD130" s="46">
        <f>'Inputs (2)'!Y12</f>
        <v>0</v>
      </c>
      <c r="AE130" s="46">
        <f>'Inputs (2)'!Z12</f>
        <v>0</v>
      </c>
      <c r="AF130" s="46">
        <f>'Inputs (2)'!AA12</f>
        <v>0</v>
      </c>
      <c r="AG130" s="12">
        <f>'Inputs (2)'!AB12</f>
        <v>0</v>
      </c>
      <c r="AH130" s="12">
        <f>'Inputs (2)'!AC12</f>
        <v>0</v>
      </c>
      <c r="AI130" s="12">
        <f>'Inputs (2)'!AD12</f>
        <v>0</v>
      </c>
      <c r="AJ130" s="12">
        <f>0</f>
        <v>0</v>
      </c>
      <c r="AK130" s="12">
        <f>0</f>
        <v>0</v>
      </c>
      <c r="AL130" s="12">
        <f>SUM(AH130:AK130)</f>
        <v>0</v>
      </c>
      <c r="AM130" s="12">
        <f>0</f>
        <v>0</v>
      </c>
      <c r="AN130" s="12">
        <f>0</f>
        <v>0</v>
      </c>
      <c r="AO130" s="12">
        <f>0</f>
        <v>0</v>
      </c>
      <c r="AP130" s="12">
        <f>0</f>
        <v>0</v>
      </c>
      <c r="AQ130" s="12">
        <f>SUM(AM130:AP130)</f>
        <v>0</v>
      </c>
      <c r="AR130" s="12">
        <f>0</f>
        <v>0</v>
      </c>
      <c r="AS130" s="12">
        <f>0</f>
        <v>0</v>
      </c>
      <c r="AT130" s="12">
        <f>0</f>
        <v>0</v>
      </c>
      <c r="AU130" s="12">
        <f>0</f>
        <v>0</v>
      </c>
      <c r="AV130" s="12">
        <f>SUM(AR130:AU130)</f>
        <v>0</v>
      </c>
      <c r="AW130" s="12">
        <f>0</f>
        <v>0</v>
      </c>
      <c r="AX130" s="12">
        <f>0</f>
        <v>0</v>
      </c>
      <c r="AY130" s="12">
        <f>0</f>
        <v>0</v>
      </c>
      <c r="AZ130" s="12">
        <f>0</f>
        <v>0</v>
      </c>
      <c r="BA130" s="12">
        <f>SUM(AW130:AZ130)</f>
        <v>0</v>
      </c>
      <c r="BB130" s="12">
        <f>0</f>
        <v>0</v>
      </c>
      <c r="BC130" s="12">
        <f>0</f>
        <v>0</v>
      </c>
      <c r="BD130" s="12">
        <f>0</f>
        <v>0</v>
      </c>
      <c r="BE130" s="12">
        <f>0</f>
        <v>0</v>
      </c>
      <c r="BF130" s="12">
        <f>SUM(BB130:BE130)</f>
        <v>0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customFormat="1" s="32">
      <c r="A131" s="30" t="n"/>
      <c r="B131" s="3" t="n"/>
      <c r="C131" s="33" t="inlineStr">
        <is>
          <t>Net Income</t>
        </is>
      </c>
      <c r="D131" s="35" t="n"/>
      <c r="E131" s="35" t="n"/>
      <c r="F131" s="35" t="n"/>
      <c r="G131" s="35" t="n"/>
      <c r="H131" s="35" t="n"/>
      <c r="I131" s="35">
        <f>SUM(I124,I125,I129,I130)</f>
        <v>1706.715</v>
      </c>
      <c r="J131" s="35">
        <f>SUM(J124,J125,J129,J130)</f>
        <v>1353.013</v>
      </c>
      <c r="K131" s="35">
        <f>SUM(K124,K125,K129,K130)</f>
        <v>1449.071</v>
      </c>
      <c r="L131" s="35">
        <f>SUM(L124,L125,L129,L130)</f>
        <v>607.429</v>
      </c>
      <c r="M131" s="35">
        <f>SUM(I131:L131)</f>
        <v>5116.228</v>
      </c>
      <c r="N131" s="35">
        <f>SUM(N124,N125,N129,N130)</f>
        <v>1597.447</v>
      </c>
      <c r="O131" s="35">
        <f>SUM(O124,O125,O129,O130)</f>
        <v>1440.951</v>
      </c>
      <c r="P131" s="35">
        <f>SUM(P124,P125,P129,P130)</f>
        <v>1398.242</v>
      </c>
      <c r="Q131" s="35">
        <f>SUM(Q124,Q125,Q129,Q130)</f>
        <v>55.284</v>
      </c>
      <c r="R131" s="35">
        <f>SUM(N131:Q131)</f>
        <v>4491.924</v>
      </c>
      <c r="S131" s="35">
        <f>SUM(S124,S125,S129,S130)</f>
        <v>1305.12</v>
      </c>
      <c r="T131" s="35">
        <f>SUM(T124,T125,T129,T130)</f>
        <v>1487.61</v>
      </c>
      <c r="U131" s="35">
        <f>SUM(U124,U125,U129,U130)</f>
        <v>1677.422</v>
      </c>
      <c r="V131" s="35">
        <f>SUM(V124,V125,V129,V130)</f>
        <v>937.838000000001</v>
      </c>
      <c r="W131" s="35">
        <f>SUM(S131:V131)</f>
        <v>5407.99</v>
      </c>
      <c r="X131" s="35">
        <f>SUM(X124,X125,X129,X130)</f>
        <v>2332.209</v>
      </c>
      <c r="Y131" s="35">
        <f>SUM(Y124,Y125,Y129,Y130)</f>
        <v>2147.306</v>
      </c>
      <c r="Z131" s="35">
        <f>SUM(Z124,Z125,Z129,Z130)</f>
        <v>2363.509</v>
      </c>
      <c r="AA131" s="35">
        <f>SUM(AA124,AA125,AA129,AA130)</f>
        <v>1868.607</v>
      </c>
      <c r="AB131" s="35">
        <f>SUM(X131:AA131)</f>
        <v>8711.631</v>
      </c>
      <c r="AC131" s="35">
        <f>SUM(AC124,AC125,AC129,AC130)</f>
        <v>2890.351</v>
      </c>
      <c r="AD131" s="35">
        <f>SUM(AD124,AD125,AD129,AD130)</f>
        <v>3125.413</v>
      </c>
      <c r="AE131" s="35">
        <f>SUM(AE124,AE125,AE129,AE130)</f>
        <v>2546.916</v>
      </c>
      <c r="AF131" s="35">
        <f>SUM(AF124,AF125,AF129,AF130)</f>
        <v>2418.521</v>
      </c>
      <c r="AG131" s="35">
        <f>SUM(AC131:AF131)</f>
        <v>10981.201</v>
      </c>
      <c r="AH131" s="35">
        <f>SUM(AH124,AH125,AH129,AH130)</f>
        <v>5282.791</v>
      </c>
      <c r="AI131" s="35">
        <f>SUM(AI124,AI125,AI129,AI130)</f>
        <v>3401.414</v>
      </c>
      <c r="AJ131" s="35">
        <f>SUM(AJ124,AJ125,AJ129,AJ130)</f>
        <v>3962.09658867766</v>
      </c>
      <c r="AK131" s="35">
        <f>SUM(AK124,AK125,AK129,AK130)</f>
        <v>4148.1328874344</v>
      </c>
      <c r="AL131" s="35">
        <f>SUM(AH131:AK131)</f>
        <v>16794.4344761121</v>
      </c>
      <c r="AM131" s="35">
        <f>SUM(AM124,AM125,AM129,AM130)</f>
        <v>4216.63126985495</v>
      </c>
      <c r="AN131" s="35">
        <f>SUM(AN124,AN125,AN129,AN130)</f>
        <v>4323.40227795861</v>
      </c>
      <c r="AO131" s="35">
        <f>SUM(AO124,AO125,AO129,AO130)</f>
        <v>4574.45053827614</v>
      </c>
      <c r="AP131" s="35">
        <f>SUM(AP124,AP125,AP129,AP130)</f>
        <v>4789.23930678284</v>
      </c>
      <c r="AQ131" s="35">
        <f>SUM(AM131:AP131)</f>
        <v>17903.7233928725</v>
      </c>
      <c r="AR131" s="35">
        <f>SUM(AR124,AR125,AR129,AR130)</f>
        <v>4847.24116396659</v>
      </c>
      <c r="AS131" s="35">
        <f>SUM(AS124,AS125,AS129,AS130)</f>
        <v>4969.9800976026</v>
      </c>
      <c r="AT131" s="35">
        <f>SUM(AT124,AT125,AT129,AT130)</f>
        <v>5258.57338064658</v>
      </c>
      <c r="AU131" s="35">
        <f>SUM(AU124,AU125,AU129,AU130)</f>
        <v>5505.4844557758</v>
      </c>
      <c r="AV131" s="35">
        <f>SUM(AR131:AU131)</f>
        <v>20581.2790979916</v>
      </c>
      <c r="AW131" s="35">
        <f>SUM(AW124,AW125,AW129,AW130)</f>
        <v>5547.92445940723</v>
      </c>
      <c r="AX131" s="35">
        <f>SUM(AX124,AX125,AX129,AX130)</f>
        <v>5688.40567521775</v>
      </c>
      <c r="AY131" s="35">
        <f>SUM(AY124,AY125,AY129,AY130)</f>
        <v>6018.71598569343</v>
      </c>
      <c r="AZ131" s="35">
        <f>SUM(AZ124,AZ125,AZ129,AZ130)</f>
        <v>6301.31879967988</v>
      </c>
      <c r="BA131" s="35">
        <f>SUM(AW131:AZ131)</f>
        <v>23556.3649199983</v>
      </c>
      <c r="BB131" s="35">
        <f>SUM(BB124,BB125,BB129,BB130)</f>
        <v>6322.15401123977</v>
      </c>
      <c r="BC131" s="35">
        <f>SUM(BC124,BC125,BC129,BC130)</f>
        <v>6482.23980342001</v>
      </c>
      <c r="BD131" s="35">
        <f>SUM(BD124,BD125,BD129,BD130)</f>
        <v>6858.64591161543</v>
      </c>
      <c r="BE131" s="35">
        <f>SUM(BE124,BE125,BE129,BE130)</f>
        <v>7180.68679863627</v>
      </c>
      <c r="BF131" s="35">
        <f>SUM(BB131:BE131)</f>
        <v>26843.7265249115</v>
      </c>
      <c r="BG131" s="35" t="n"/>
      <c r="BH131" s="35" t="n"/>
      <c r="BI131" s="35" t="n"/>
      <c r="BJ131" s="35" t="n"/>
      <c r="BK131" s="35" t="n"/>
      <c r="BL131" s="35" t="n"/>
      <c r="BM131" s="35" t="n"/>
      <c r="BN131" s="35" t="n"/>
      <c r="BO131" s="35" t="n"/>
      <c r="BP131" s="35" t="n"/>
      <c r="BQ131" s="35" t="n"/>
      <c r="BR131" s="35" t="n"/>
      <c r="BS131" s="35" t="n"/>
      <c r="BT131" s="35" t="n"/>
      <c r="BU131" s="35" t="n"/>
      <c r="BV131" s="35" t="n"/>
      <c r="BW131" s="35" t="n"/>
      <c r="BX131" s="35" t="n"/>
      <c r="BY131" s="35" t="n"/>
      <c r="BZ131" s="35" t="n"/>
      <c r="CA131" s="35" t="n"/>
      <c r="CB131" s="35" t="n"/>
      <c r="CC131" s="35" t="n"/>
      <c r="CD131" s="35" t="n"/>
      <c r="CE131" s="35" t="n"/>
      <c r="CF131" s="35" t="n"/>
      <c r="CG131" s="35" t="n"/>
      <c r="CH131" s="35" t="n"/>
      <c r="CI131" s="35" t="n"/>
      <c r="CJ131" s="35" t="n"/>
      <c r="CK131" s="35" t="n"/>
      <c r="CL131" s="35" t="n"/>
      <c r="CM131" s="35" t="n"/>
      <c r="CN131" s="35" t="n"/>
      <c r="CO131" s="35" t="n"/>
      <c r="CP131" s="35" t="n"/>
      <c r="CQ131" s="35" t="n"/>
      <c r="CR131" s="35" t="n"/>
      <c r="CS131" s="35" t="n"/>
      <c r="CT131" s="35" t="n"/>
      <c r="CU131" s="35" t="n"/>
      <c r="CV131" s="35" t="n"/>
      <c r="CW131" s="35" t="n"/>
      <c r="CX131" s="35" t="n"/>
      <c r="CY131" s="35" t="n"/>
    </row>
    <row r="132">
      <c r="C132" s="13" t="inlineStr">
        <is>
          <t>Common Dividends</t>
        </is>
      </c>
      <c r="D132" s="46" t="n"/>
      <c r="E132" s="46" t="n"/>
      <c r="F132" s="46" t="n"/>
      <c r="G132" s="46" t="n"/>
      <c r="H132" s="12" t="n"/>
      <c r="I132" s="46">
        <f>'Inputs (2)'!D13</f>
        <v>0</v>
      </c>
      <c r="J132" s="46">
        <f>'Inputs (2)'!E13</f>
        <v>0</v>
      </c>
      <c r="K132" s="46">
        <f>'Inputs (2)'!F13</f>
        <v>0</v>
      </c>
      <c r="L132" s="46">
        <f>'Inputs (2)'!G13</f>
        <v>0</v>
      </c>
      <c r="M132" s="12">
        <f>'Inputs (2)'!H13</f>
        <v>0</v>
      </c>
      <c r="N132" s="46">
        <f>'Inputs (2)'!I13</f>
        <v>0</v>
      </c>
      <c r="O132" s="46">
        <f>'Inputs (2)'!J13</f>
        <v>0</v>
      </c>
      <c r="P132" s="46">
        <f>'Inputs (2)'!K13</f>
        <v>0</v>
      </c>
      <c r="Q132" s="46">
        <f>'Inputs (2)'!L13</f>
        <v>0</v>
      </c>
      <c r="R132" s="12">
        <f>'Inputs (2)'!M13</f>
        <v>0</v>
      </c>
      <c r="S132" s="46">
        <f>'Inputs (2)'!N13</f>
        <v>0</v>
      </c>
      <c r="T132" s="46">
        <f>'Inputs (2)'!O13</f>
        <v>0</v>
      </c>
      <c r="U132" s="46">
        <f>'Inputs (2)'!P13</f>
        <v>0</v>
      </c>
      <c r="V132" s="46">
        <f>'Inputs (2)'!Q13</f>
        <v>0</v>
      </c>
      <c r="W132" s="12">
        <f>'Inputs (2)'!R13</f>
        <v>0</v>
      </c>
      <c r="X132" s="46">
        <f>'Inputs (2)'!S13</f>
        <v>0</v>
      </c>
      <c r="Y132" s="46">
        <f>'Inputs (2)'!T13</f>
        <v>0</v>
      </c>
      <c r="Z132" s="46">
        <f>'Inputs (2)'!U13</f>
        <v>0</v>
      </c>
      <c r="AA132" s="46">
        <f>'Inputs (2)'!V13</f>
        <v>0</v>
      </c>
      <c r="AB132" s="12">
        <f>'Inputs (2)'!W13</f>
        <v>0</v>
      </c>
      <c r="AC132" s="46">
        <f>'Inputs (2)'!X13</f>
        <v>0</v>
      </c>
      <c r="AD132" s="46">
        <f>'Inputs (2)'!Y13</f>
        <v>0</v>
      </c>
      <c r="AE132" s="46">
        <f>'Inputs (2)'!Z13</f>
        <v>0</v>
      </c>
      <c r="AF132" s="46">
        <f>'Inputs (2)'!AA13</f>
        <v>0</v>
      </c>
      <c r="AG132" s="12">
        <f>'Inputs (2)'!AB13</f>
        <v>0</v>
      </c>
      <c r="AH132" s="12">
        <f>'Inputs (2)'!AC13</f>
        <v>0</v>
      </c>
      <c r="AI132" s="12">
        <f>'Inputs (2)'!AD13</f>
        <v>0</v>
      </c>
      <c r="AJ132" s="12">
        <f>-MAX(0,AJ131)*Control!$E$15</f>
        <v>0</v>
      </c>
      <c r="AK132" s="12">
        <f>-MAX(0,AK131)*Control!$E$15</f>
        <v>0</v>
      </c>
      <c r="AL132" s="12">
        <f>SUM(AH132:AK132)</f>
        <v>0</v>
      </c>
      <c r="AM132" s="12">
        <f>-MAX(0,AM131)*Control!$E$15</f>
        <v>0</v>
      </c>
      <c r="AN132" s="12">
        <f>-MAX(0,AN131)*Control!$E$15</f>
        <v>0</v>
      </c>
      <c r="AO132" s="12">
        <f>-MAX(0,AO131)*Control!$E$15</f>
        <v>0</v>
      </c>
      <c r="AP132" s="12">
        <f>-MAX(0,AP131)*Control!$E$15</f>
        <v>0</v>
      </c>
      <c r="AQ132" s="12">
        <f>SUM(AM132:AP132)</f>
        <v>0</v>
      </c>
      <c r="AR132" s="12">
        <f>-MAX(0,AR131)*Control!$E$15</f>
        <v>0</v>
      </c>
      <c r="AS132" s="12">
        <f>-MAX(0,AS131)*Control!$E$15</f>
        <v>0</v>
      </c>
      <c r="AT132" s="12">
        <f>-MAX(0,AT131)*Control!$E$15</f>
        <v>0</v>
      </c>
      <c r="AU132" s="12">
        <f>-MAX(0,AU131)*Control!$E$15</f>
        <v>0</v>
      </c>
      <c r="AV132" s="12">
        <f>SUM(AR132:AU132)</f>
        <v>0</v>
      </c>
      <c r="AW132" s="12">
        <f>-MAX(0,AW131)*Control!$E$15</f>
        <v>0</v>
      </c>
      <c r="AX132" s="12">
        <f>-MAX(0,AX131)*Control!$E$15</f>
        <v>0</v>
      </c>
      <c r="AY132" s="12">
        <f>-MAX(0,AY131)*Control!$E$15</f>
        <v>0</v>
      </c>
      <c r="AZ132" s="12">
        <f>-MAX(0,AZ131)*Control!$E$15</f>
        <v>0</v>
      </c>
      <c r="BA132" s="12">
        <f>SUM(AW132:AZ132)</f>
        <v>0</v>
      </c>
      <c r="BB132" s="12">
        <f>-MAX(0,BB131)*Control!$E$15</f>
        <v>0</v>
      </c>
      <c r="BC132" s="12">
        <f>-MAX(0,BC131)*Control!$E$15</f>
        <v>0</v>
      </c>
      <c r="BD132" s="12">
        <f>-MAX(0,BD131)*Control!$E$15</f>
        <v>0</v>
      </c>
      <c r="BE132" s="12">
        <f>-MAX(0,BE131)*Control!$E$15</f>
        <v>0</v>
      </c>
      <c r="BF132" s="12">
        <f>SUM(BB132:BE132)</f>
        <v>0</v>
      </c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0" t="inlineStr">
        <is>
          <t>% DVD Payout</t>
        </is>
      </c>
      <c r="D133" s="58" t="n"/>
      <c r="E133" s="58" t="n"/>
      <c r="F133" s="58" t="n"/>
      <c r="G133" s="58" t="n"/>
      <c r="H133" s="58" t="n"/>
      <c r="I133" s="58">
        <f>IF(I131=0,"",-I132/I131)</f>
        <v>0</v>
      </c>
      <c r="J133" s="58">
        <f>IF(J131=0,"",-J132/J131)</f>
        <v>0</v>
      </c>
      <c r="K133" s="58">
        <f>IF(K131=0,"",-K132/K131)</f>
        <v>0</v>
      </c>
      <c r="L133" s="58">
        <f>IF(L131=0,"",-L132/L131)</f>
        <v>0</v>
      </c>
      <c r="M133" s="58">
        <f>IF(M131=0,"",-M132/M131)</f>
        <v>0</v>
      </c>
      <c r="N133" s="58">
        <f>IF(N131=0,"",-N132/N131)</f>
        <v>0</v>
      </c>
      <c r="O133" s="58">
        <f>IF(O131=0,"",-O132/O131)</f>
        <v>0</v>
      </c>
      <c r="P133" s="58">
        <f>IF(P131=0,"",-P132/P131)</f>
        <v>0</v>
      </c>
      <c r="Q133" s="58">
        <f>IF(Q131=0,"",-Q132/Q131)</f>
        <v>0</v>
      </c>
      <c r="R133" s="58">
        <f>IF(R131=0,"",-R132/R131)</f>
        <v>0</v>
      </c>
      <c r="S133" s="58">
        <f>IF(S131=0,"",-S132/S131)</f>
        <v>0</v>
      </c>
      <c r="T133" s="58">
        <f>IF(T131=0,"",-T132/T131)</f>
        <v>0</v>
      </c>
      <c r="U133" s="58">
        <f>IF(U131=0,"",-U132/U131)</f>
        <v>0</v>
      </c>
      <c r="V133" s="58">
        <f>IF(V131=0,"",-V132/V131)</f>
        <v>0</v>
      </c>
      <c r="W133" s="58">
        <f>IF(W131=0,"",-W132/W131)</f>
        <v>0</v>
      </c>
      <c r="X133" s="58">
        <f>IF(X131=0,"",-X132/X131)</f>
        <v>0</v>
      </c>
      <c r="Y133" s="58">
        <f>IF(Y131=0,"",-Y132/Y131)</f>
        <v>0</v>
      </c>
      <c r="Z133" s="58">
        <f>IF(Z131=0,"",-Z132/Z131)</f>
        <v>0</v>
      </c>
      <c r="AA133" s="58">
        <f>IF(AA131=0,"",-AA132/AA131)</f>
        <v>0</v>
      </c>
      <c r="AB133" s="58">
        <f>IF(AB131=0,"",-AB132/AB131)</f>
        <v>0</v>
      </c>
      <c r="AC133" s="58">
        <f>IF(AC131=0,"",-AC132/AC131)</f>
        <v>0</v>
      </c>
      <c r="AD133" s="58">
        <f>IF(AD131=0,"",-AD132/AD131)</f>
        <v>0</v>
      </c>
      <c r="AE133" s="58">
        <f>IF(AE131=0,"",-AE132/AE131)</f>
        <v>0</v>
      </c>
      <c r="AF133" s="41">
        <f>IF(AF131=0,"",-AF132/AF131)</f>
        <v>0</v>
      </c>
      <c r="AG133" s="12">
        <f>IF(AG131=0,"",-AG132/AG131)</f>
        <v>0</v>
      </c>
      <c r="AH133" s="41">
        <f>IF(AH131=0,"",-AH132/AH131)</f>
        <v>0</v>
      </c>
      <c r="AI133" s="41">
        <f>IF(AI131=0,"",-AI132/AI131)</f>
        <v>0</v>
      </c>
      <c r="AJ133" s="41">
        <f>IF(AJ131=0,"",-AJ132/AJ131)</f>
        <v>0</v>
      </c>
      <c r="AK133" s="41">
        <f>IF(AK131=0,"",-AK132/AK131)</f>
        <v>0</v>
      </c>
      <c r="AL133" s="12">
        <f>IF(AL131=0,"",-AL132/AL131)</f>
        <v>0</v>
      </c>
      <c r="AM133" s="41">
        <f>IF(AM131=0,"",-AM132/AM131)</f>
        <v>0</v>
      </c>
      <c r="AN133" s="41">
        <f>IF(AN131=0,"",-AN132/AN131)</f>
        <v>0</v>
      </c>
      <c r="AO133" s="41">
        <f>IF(AO131=0,"",-AO132/AO131)</f>
        <v>0</v>
      </c>
      <c r="AP133" s="41">
        <f>IF(AP131=0,"",-AP132/AP131)</f>
        <v>0</v>
      </c>
      <c r="AQ133" s="12">
        <f>IF(AQ131=0,"",-AQ132/AQ131)</f>
        <v>0</v>
      </c>
      <c r="AR133" s="41">
        <f>IF(AR131=0,"",-AR132/AR131)</f>
        <v>0</v>
      </c>
      <c r="AS133" s="41">
        <f>IF(AS131=0,"",-AS132/AS131)</f>
        <v>0</v>
      </c>
      <c r="AT133" s="41">
        <f>IF(AT131=0,"",-AT132/AT131)</f>
        <v>0</v>
      </c>
      <c r="AU133" s="41">
        <f>IF(AU131=0,"",-AU132/AU131)</f>
        <v>0</v>
      </c>
      <c r="AV133" s="12">
        <f>IF(AV131=0,"",-AV132/AV131)</f>
        <v>0</v>
      </c>
      <c r="AW133" s="41">
        <f>IF(AW131=0,"",-AW132/AW131)</f>
        <v>0</v>
      </c>
      <c r="AX133" s="41">
        <f>IF(AX131=0,"",-AX132/AX131)</f>
        <v>0</v>
      </c>
      <c r="AY133" s="41">
        <f>IF(AY131=0,"",-AY132/AY131)</f>
        <v>0</v>
      </c>
      <c r="AZ133" s="41">
        <f>IF(AZ131=0,"",-AZ132/AZ131)</f>
        <v>0</v>
      </c>
      <c r="BA133" s="12">
        <f>IF(BA131=0,"",-BA132/BA131)</f>
        <v>0</v>
      </c>
      <c r="BB133" s="41">
        <f>IF(BB131=0,"",-BB132/BB131)</f>
        <v>0</v>
      </c>
      <c r="BC133" s="41">
        <f>IF(BC131=0,"",-BC132/BC131)</f>
        <v>0</v>
      </c>
      <c r="BD133" s="41">
        <f>IF(BD131=0,"",-BD132/BD131)</f>
        <v>0</v>
      </c>
      <c r="BE133" s="41">
        <f>IF(BE131=0,"",-BE132/BE131)</f>
        <v>0</v>
      </c>
      <c r="BF133" s="12">
        <f>IF(BF131=0,"",-BF132/BF131)</f>
        <v>0</v>
      </c>
      <c r="BG133" s="41" t="n"/>
      <c r="BH133" s="41" t="n"/>
      <c r="BI133" s="41" t="n"/>
      <c r="BJ133" s="41" t="n"/>
      <c r="BK133" s="12" t="n"/>
      <c r="BL133" s="41" t="n"/>
      <c r="BM133" s="41" t="n"/>
      <c r="BN133" s="41" t="n"/>
      <c r="BO133" s="41" t="n"/>
      <c r="BP133" s="12" t="n"/>
      <c r="BQ133" s="41" t="n"/>
      <c r="BR133" s="41" t="n"/>
      <c r="BS133" s="41" t="n"/>
      <c r="BT133" s="41" t="n"/>
      <c r="BU133" s="12" t="n"/>
      <c r="BV133" s="41" t="n"/>
      <c r="BW133" s="41" t="n"/>
      <c r="BX133" s="41" t="n"/>
      <c r="BY133" s="41" t="n"/>
      <c r="BZ133" s="12" t="n"/>
      <c r="CA133" s="41" t="n"/>
      <c r="CB133" s="41" t="n"/>
      <c r="CC133" s="41" t="n"/>
      <c r="CD133" s="41" t="n"/>
      <c r="CE133" s="12" t="n"/>
      <c r="CF133" s="41" t="n"/>
      <c r="CG133" s="41" t="n"/>
      <c r="CH133" s="41" t="n"/>
      <c r="CI133" s="41" t="n"/>
      <c r="CJ133" s="12" t="n"/>
      <c r="CK133" s="41" t="n"/>
      <c r="CL133" s="41" t="n"/>
      <c r="CM133" s="41" t="n"/>
      <c r="CN133" s="41" t="n"/>
      <c r="CO133" s="12" t="n"/>
      <c r="CP133" s="41" t="n"/>
      <c r="CQ133" s="41" t="n"/>
      <c r="CR133" s="41" t="n"/>
      <c r="CS133" s="41" t="n"/>
      <c r="CT133" s="12" t="n"/>
      <c r="CU133" s="41" t="n"/>
      <c r="CV133" s="41" t="n"/>
      <c r="CW133" s="41" t="n"/>
      <c r="CX133" s="41" t="n"/>
      <c r="CY133" s="12" t="n"/>
    </row>
    <row r="134" hidden="1" outlineLevel="1">
      <c r="C134" s="18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18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 ht="11.25" customHeight="1">
      <c r="C136" s="31" t="inlineStr">
        <is>
          <t>Balance Sheet</t>
        </is>
      </c>
      <c r="D136" s="31" t="n"/>
      <c r="E136" s="31" t="n"/>
      <c r="F136" s="31" t="n"/>
      <c r="G136" s="31" t="n"/>
      <c r="H136" s="31" t="n"/>
      <c r="I136" s="31" t="str">
        <f>I13</f>
        <v>1Q21</v>
      </c>
      <c r="J136" s="31" t="str">
        <f>J13</f>
        <v>2Q21</v>
      </c>
      <c r="K136" s="31" t="str">
        <f>K13</f>
        <v>3Q21</v>
      </c>
      <c r="L136" s="31" t="str">
        <f>L13</f>
        <v>4Q21</v>
      </c>
      <c r="M136" s="31">
        <f>M13</f>
        <v>2021</v>
      </c>
      <c r="N136" s="31" t="str">
        <f>N13</f>
        <v>1Q22</v>
      </c>
      <c r="O136" s="31" t="str">
        <f>O13</f>
        <v>2Q22</v>
      </c>
      <c r="P136" s="31" t="str">
        <f>P13</f>
        <v>3Q22</v>
      </c>
      <c r="Q136" s="31" t="str">
        <f>Q13</f>
        <v>4Q22</v>
      </c>
      <c r="R136" s="31">
        <f>R13</f>
        <v>2022</v>
      </c>
      <c r="S136" s="31" t="str">
        <f>S13</f>
        <v>1Q23</v>
      </c>
      <c r="T136" s="31" t="str">
        <f>T13</f>
        <v>2Q23</v>
      </c>
      <c r="U136" s="31" t="str">
        <f>U13</f>
        <v>3Q23</v>
      </c>
      <c r="V136" s="31" t="str">
        <f>V13</f>
        <v>4Q23</v>
      </c>
      <c r="W136" s="31">
        <f>W13</f>
        <v>2023</v>
      </c>
      <c r="X136" s="31" t="str">
        <f>X13</f>
        <v>1Q24</v>
      </c>
      <c r="Y136" s="31" t="str">
        <f>Y13</f>
        <v>2Q24</v>
      </c>
      <c r="Z136" s="31" t="str">
        <f>Z13</f>
        <v>3Q24</v>
      </c>
      <c r="AA136" s="31" t="str">
        <f>AA13</f>
        <v>4Q24</v>
      </c>
      <c r="AB136" s="31">
        <f>AB13</f>
        <v>2024</v>
      </c>
      <c r="AC136" s="31" t="str">
        <f>AC13</f>
        <v>1Q25</v>
      </c>
      <c r="AD136" s="31" t="str">
        <f>AD13</f>
        <v>2Q25</v>
      </c>
      <c r="AE136" s="31" t="str">
        <f>AE13</f>
        <v>3Q25</v>
      </c>
      <c r="AF136" s="31" t="str">
        <f>AF13</f>
        <v>4Q25</v>
      </c>
      <c r="AG136" s="31">
        <f>AG13</f>
        <v>2025</v>
      </c>
      <c r="AH136" s="31" t="str">
        <f>AH13</f>
        <v>1Q26</v>
      </c>
      <c r="AI136" s="31" t="str">
        <f>AI13</f>
        <v>2Q26</v>
      </c>
      <c r="AJ136" s="31" t="str">
        <f>AJ13</f>
        <v>3Q26</v>
      </c>
      <c r="AK136" s="31" t="str">
        <f>AK13</f>
        <v>4Q26</v>
      </c>
      <c r="AL136" s="31">
        <f>AL13</f>
        <v>2026</v>
      </c>
      <c r="AM136" s="31" t="str">
        <f>AM13</f>
        <v>1Q27</v>
      </c>
      <c r="AN136" s="31" t="str">
        <f>AN13</f>
        <v>2Q27</v>
      </c>
      <c r="AO136" s="31" t="str">
        <f>AO13</f>
        <v>3Q27</v>
      </c>
      <c r="AP136" s="31" t="str">
        <f>AP13</f>
        <v>4Q27</v>
      </c>
      <c r="AQ136" s="31">
        <f>AQ13</f>
        <v>2027</v>
      </c>
      <c r="AR136" s="31" t="str">
        <f>AR13</f>
        <v>1Q28</v>
      </c>
      <c r="AS136" s="31" t="str">
        <f>AS13</f>
        <v>2Q28</v>
      </c>
      <c r="AT136" s="31" t="str">
        <f>AT13</f>
        <v>3Q28</v>
      </c>
      <c r="AU136" s="31" t="str">
        <f>AU13</f>
        <v>4Q28</v>
      </c>
      <c r="AV136" s="31">
        <f>AV13</f>
        <v>2028</v>
      </c>
      <c r="AW136" s="31" t="str">
        <f>AW13</f>
        <v>1Q29</v>
      </c>
      <c r="AX136" s="31" t="str">
        <f>AX13</f>
        <v>2Q29</v>
      </c>
      <c r="AY136" s="31" t="str">
        <f>AY13</f>
        <v>3Q29</v>
      </c>
      <c r="AZ136" s="31" t="str">
        <f>AZ13</f>
        <v>4Q29</v>
      </c>
      <c r="BA136" s="31">
        <f>BA13</f>
        <v>2029</v>
      </c>
      <c r="BB136" s="31" t="str">
        <f>BB13</f>
        <v>1Q30</v>
      </c>
      <c r="BC136" s="31" t="str">
        <f>BC13</f>
        <v>2Q30</v>
      </c>
      <c r="BD136" s="31" t="str">
        <f>BD13</f>
        <v>3Q30</v>
      </c>
      <c r="BE136" s="31" t="str">
        <f>BE13</f>
        <v>4Q30</v>
      </c>
      <c r="BF136" s="31">
        <f>BF13</f>
        <v>2030</v>
      </c>
      <c r="BG136" s="31" t="n"/>
      <c r="BH136" s="31" t="n"/>
      <c r="BI136" s="31" t="n"/>
      <c r="BJ136" s="31" t="n"/>
      <c r="BK136" s="31" t="n"/>
      <c r="BL136" s="31" t="n"/>
      <c r="BM136" s="31" t="n"/>
      <c r="BN136" s="31" t="n"/>
      <c r="BO136" s="31" t="n"/>
      <c r="BP136" s="31" t="n"/>
      <c r="BQ136" s="31" t="n"/>
      <c r="BR136" s="31" t="n"/>
      <c r="BS136" s="31" t="n"/>
      <c r="BT136" s="31" t="n"/>
      <c r="BU136" s="31" t="n"/>
      <c r="BV136" s="31" t="n"/>
      <c r="BW136" s="31" t="n"/>
      <c r="BX136" s="31" t="n"/>
      <c r="BY136" s="31" t="n"/>
      <c r="BZ136" s="31" t="n"/>
      <c r="CA136" s="31" t="n"/>
      <c r="CB136" s="31" t="n"/>
      <c r="CC136" s="31" t="n"/>
      <c r="CD136" s="31" t="n"/>
      <c r="CE136" s="31" t="n"/>
      <c r="CF136" s="31" t="n"/>
      <c r="CG136" s="31" t="n"/>
      <c r="CH136" s="31" t="n"/>
      <c r="CI136" s="31" t="n"/>
      <c r="CJ136" s="31" t="n"/>
      <c r="CK136" s="31" t="n"/>
      <c r="CL136" s="31" t="n"/>
      <c r="CM136" s="31" t="n"/>
      <c r="CN136" s="31" t="n"/>
      <c r="CO136" s="31" t="n"/>
      <c r="CP136" s="31" t="n"/>
      <c r="CQ136" s="31" t="n"/>
      <c r="CR136" s="31" t="n"/>
      <c r="CS136" s="31" t="n"/>
      <c r="CT136" s="31" t="n"/>
      <c r="CU136" s="31" t="n"/>
      <c r="CV136" s="31" t="n"/>
      <c r="CW136" s="31" t="n"/>
      <c r="CX136" s="31" t="n"/>
      <c r="CY136" s="31" t="n"/>
    </row>
    <row r="137">
      <c r="C137" s="18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>
      <c r="C138" s="13" t="inlineStr">
        <is>
          <t>Cash and equivalents (inc. investment securities)</t>
        </is>
      </c>
      <c r="D138" s="46" t="n"/>
      <c r="E138" s="46" t="n"/>
      <c r="F138" s="46" t="n"/>
      <c r="G138" s="46" t="n"/>
      <c r="H138" s="12" t="n"/>
      <c r="I138" s="46">
        <f>'Inputs (2)'!D15</f>
        <v>8403.705</v>
      </c>
      <c r="J138" s="46">
        <f>'Inputs (2)'!E15</f>
        <v>7777.53</v>
      </c>
      <c r="K138" s="46">
        <f>'Inputs (2)'!F15</f>
        <v>7526.681</v>
      </c>
      <c r="L138" s="46">
        <f>'Inputs (2)'!G15</f>
        <v>6027.804</v>
      </c>
      <c r="M138" s="12">
        <f>'Inputs (2)'!H15</f>
        <v>6027.804</v>
      </c>
      <c r="N138" s="46">
        <f>'Inputs (2)'!I15</f>
        <v>6008.946</v>
      </c>
      <c r="O138" s="46">
        <f>'Inputs (2)'!J15</f>
        <v>5819.449</v>
      </c>
      <c r="P138" s="46">
        <f>'Inputs (2)'!K15</f>
        <v>6113.733</v>
      </c>
      <c r="Q138" s="46">
        <f>'Inputs (2)'!L15</f>
        <v>6058.452</v>
      </c>
      <c r="R138" s="12">
        <f>'Inputs (2)'!M15</f>
        <v>6058.452</v>
      </c>
      <c r="S138" s="46">
        <f>'Inputs (2)'!N15</f>
        <v>7827.504</v>
      </c>
      <c r="T138" s="46">
        <f>'Inputs (2)'!O15</f>
        <v>8576.989</v>
      </c>
      <c r="U138" s="46">
        <f>'Inputs (2)'!P15</f>
        <v>7867.446</v>
      </c>
      <c r="V138" s="46">
        <f>'Inputs (2)'!Q15</f>
        <v>7137.886</v>
      </c>
      <c r="W138" s="12">
        <f>'Inputs (2)'!R15</f>
        <v>7137.886</v>
      </c>
      <c r="X138" s="46">
        <f>'Inputs (2)'!S15</f>
        <v>7045.739</v>
      </c>
      <c r="Y138" s="46">
        <f>'Inputs (2)'!T15</f>
        <v>6655.912</v>
      </c>
      <c r="Z138" s="46">
        <f>'Inputs (2)'!U15</f>
        <v>9223.927</v>
      </c>
      <c r="AA138" s="46">
        <f>'Inputs (2)'!V15</f>
        <v>9583.739</v>
      </c>
      <c r="AB138" s="12">
        <f>'Inputs (2)'!W15</f>
        <v>9583.739</v>
      </c>
      <c r="AC138" s="46">
        <f>'Inputs (2)'!X15</f>
        <v>8370.99</v>
      </c>
      <c r="AD138" s="46">
        <f>'Inputs (2)'!Y15</f>
        <v>8390.52</v>
      </c>
      <c r="AE138" s="46">
        <f>'Inputs (2)'!Z15</f>
        <v>9324.392</v>
      </c>
      <c r="AF138" s="46">
        <f>'Inputs (2)'!AA15</f>
        <v>9062.359</v>
      </c>
      <c r="AG138" s="12">
        <f>'Inputs (2)'!AB15</f>
        <v>9062.359</v>
      </c>
      <c r="AH138" s="12">
        <f>'Inputs (2)'!AC15</f>
        <v>12288.45</v>
      </c>
      <c r="AI138" s="12">
        <f>'Inputs (2)'!AD15</f>
        <v>9127.91</v>
      </c>
      <c r="AJ138" s="12">
        <f>AJ267-SUM(AJ139,AJ143,AJ147,AJ148,AJ149,AJ155,AJ160,AJ170,AJ173,AJ174,AJ183)</f>
        <v>13482.4577994377</v>
      </c>
      <c r="AK138" s="12">
        <f>AK267-SUM(AK139,AK143,AK147,AK148,AK149,AK155,AK160,AK170,AK173,AK174,AK183)</f>
        <v>18077.3728962287</v>
      </c>
      <c r="AL138" s="12">
        <f>AK138</f>
        <v>18077.3728962287</v>
      </c>
      <c r="AM138" s="12">
        <f>AM267-SUM(AM139,AM143,AM147,AM148,AM149,AM155,AM160,AM170,AM173,AM174,AM183)</f>
        <v>22820.4053227655</v>
      </c>
      <c r="AN138" s="12">
        <f>AN267-SUM(AN139,AN143,AN147,AN148,AN149,AN155,AN160,AN170,AN173,AN174,AN183)</f>
        <v>27744.7985785561</v>
      </c>
      <c r="AO138" s="12">
        <f>AO267-SUM(AO139,AO143,AO147,AO148,AO149,AO155,AO160,AO170,AO173,AO174,AO183)</f>
        <v>33058.556076003</v>
      </c>
      <c r="AP138" s="12">
        <f>AP267-SUM(AP139,AP143,AP147,AP148,AP149,AP155,AP160,AP170,AP173,AP174,AP183)</f>
        <v>38715.9346179868</v>
      </c>
      <c r="AQ138" s="12">
        <f>AP138</f>
        <v>38715.9346179868</v>
      </c>
      <c r="AR138" s="12">
        <f>AR267-SUM(AR139,AR143,AR147,AR148,AR149,AR155,AR160,AR170,AR173,AR174,AR183)</f>
        <v>44524.2488963711</v>
      </c>
      <c r="AS138" s="12">
        <f>AS267-SUM(AS139,AS143,AS147,AS148,AS149,AS155,AS160,AS170,AS173,AS174,AS183)</f>
        <v>50621.4466777029</v>
      </c>
      <c r="AT138" s="12">
        <f>AT267-SUM(AT139,AT143,AT147,AT148,AT149,AT155,AT160,AT170,AT173,AT174,AT183)</f>
        <v>57213.420006254</v>
      </c>
      <c r="AU138" s="12">
        <f>AU267-SUM(AU139,AU143,AU147,AU148,AU149,AU155,AU160,AU170,AU173,AU174,AU183)</f>
        <v>64267.7090982308</v>
      </c>
      <c r="AV138" s="12">
        <f>AU138</f>
        <v>64267.7090982308</v>
      </c>
      <c r="AW138" s="12">
        <f>AW267-SUM(AW139,AW143,AW147,AW148,AW149,AW155,AW160,AW170,AW173,AW174,AW183)</f>
        <v>71534.6833657858</v>
      </c>
      <c r="AX138" s="12">
        <f>AX267-SUM(AX139,AX143,AX147,AX148,AX149,AX155,AX160,AX170,AX173,AX174,AX183)</f>
        <v>79192.0347990778</v>
      </c>
      <c r="AY138" s="12">
        <f>AY267-SUM(AY139,AY143,AY147,AY148,AY149,AY155,AY160,AY170,AY173,AY174,AY183)</f>
        <v>87522.0667642146</v>
      </c>
      <c r="AZ138" s="12">
        <f>AZ267-SUM(AZ139,AZ143,AZ147,AZ148,AZ149,AZ155,AZ160,AZ170,AZ173,AZ174,AZ183)</f>
        <v>96486.2433467197</v>
      </c>
      <c r="BA138" s="12">
        <f>AZ138</f>
        <v>96486.2433467197</v>
      </c>
      <c r="BB138" s="12">
        <f>BB267-SUM(BB139,BB143,BB147,BB148,BB149,BB155,BB160,BB170,BB173,BB174,BB183)</f>
        <v>105742.362767074</v>
      </c>
      <c r="BC138" s="12">
        <f>BC267-SUM(BC139,BC143,BC147,BC148,BC149,BC155,BC160,BC170,BC173,BC174,BC183)</f>
        <v>115575.481433801</v>
      </c>
      <c r="BD138" s="12">
        <f>BD267-SUM(BD139,BD143,BD147,BD148,BD149,BD155,BD160,BD170,BD173,BD174,BD183)</f>
        <v>126317.292447396</v>
      </c>
      <c r="BE138" s="12">
        <f>BE267-SUM(BE139,BE143,BE147,BE148,BE149,BE155,BE160,BE170,BE173,BE174,BE183)</f>
        <v>137941.92958938</v>
      </c>
      <c r="BF138" s="12">
        <f>BE138</f>
        <v>137941.92958938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>
      <c r="C139" s="14" t="inlineStr">
        <is>
          <t>Accounts receivable</t>
        </is>
      </c>
      <c r="D139" s="46" t="n"/>
      <c r="E139" s="46" t="n"/>
      <c r="F139" s="46" t="n"/>
      <c r="G139" s="46" t="n"/>
      <c r="H139" s="12" t="n"/>
      <c r="I139" s="46">
        <f>'Inputs (2)'!D16</f>
        <v>0</v>
      </c>
      <c r="J139" s="46">
        <f>'Inputs (2)'!E16</f>
        <v>0</v>
      </c>
      <c r="K139" s="46">
        <f>'Inputs (2)'!F16</f>
        <v>0</v>
      </c>
      <c r="L139" s="46">
        <f>'Inputs (2)'!G16</f>
        <v>0</v>
      </c>
      <c r="M139" s="12">
        <f>'Inputs (2)'!H16</f>
        <v>0</v>
      </c>
      <c r="N139" s="46">
        <f>'Inputs (2)'!I16</f>
        <v>0</v>
      </c>
      <c r="O139" s="46">
        <f>'Inputs (2)'!J16</f>
        <v>0</v>
      </c>
      <c r="P139" s="46">
        <f>'Inputs (2)'!K16</f>
        <v>0</v>
      </c>
      <c r="Q139" s="46">
        <f>'Inputs (2)'!L16</f>
        <v>0</v>
      </c>
      <c r="R139" s="12">
        <f>'Inputs (2)'!M16</f>
        <v>0</v>
      </c>
      <c r="S139" s="46">
        <f>'Inputs (2)'!N16</f>
        <v>0</v>
      </c>
      <c r="T139" s="46">
        <f>'Inputs (2)'!O16</f>
        <v>0</v>
      </c>
      <c r="U139" s="46">
        <f>'Inputs (2)'!P16</f>
        <v>0</v>
      </c>
      <c r="V139" s="46">
        <f>'Inputs (2)'!Q16</f>
        <v>0</v>
      </c>
      <c r="W139" s="12">
        <f>'Inputs (2)'!R16</f>
        <v>0</v>
      </c>
      <c r="X139" s="46">
        <f>'Inputs (2)'!S16</f>
        <v>0</v>
      </c>
      <c r="Y139" s="46">
        <f>'Inputs (2)'!T16</f>
        <v>0</v>
      </c>
      <c r="Z139" s="46">
        <f>'Inputs (2)'!U16</f>
        <v>0</v>
      </c>
      <c r="AA139" s="46">
        <f>'Inputs (2)'!V16</f>
        <v>0</v>
      </c>
      <c r="AB139" s="12">
        <f>'Inputs (2)'!W16</f>
        <v>0</v>
      </c>
      <c r="AC139" s="46">
        <f>'Inputs (2)'!X16</f>
        <v>0</v>
      </c>
      <c r="AD139" s="46">
        <f>'Inputs (2)'!Y16</f>
        <v>0</v>
      </c>
      <c r="AE139" s="46">
        <f>'Inputs (2)'!Z16</f>
        <v>0</v>
      </c>
      <c r="AF139" s="46">
        <f>'Inputs (2)'!AA16</f>
        <v>0</v>
      </c>
      <c r="AG139" s="12">
        <f>'Inputs (2)'!AB16</f>
        <v>0</v>
      </c>
      <c r="AH139" s="12">
        <f>'Inputs (2)'!AC16</f>
        <v>0</v>
      </c>
      <c r="AI139" s="12">
        <f>'Inputs (2)'!AD16</f>
        <v>0</v>
      </c>
      <c r="AJ139" s="12">
        <f>(AJ140/(AJ$5-AI$5))*AJ$15</f>
        <v>0</v>
      </c>
      <c r="AK139" s="12">
        <f>(AK140/(AK$5-AJ$5))*AK$15</f>
        <v>0</v>
      </c>
      <c r="AL139" s="12">
        <f>AK139</f>
        <v>0</v>
      </c>
      <c r="AM139" s="12">
        <f>(AM140/(AM$5-AL$5))*AM$15</f>
        <v>0</v>
      </c>
      <c r="AN139" s="12">
        <f>(AN140/(AN$5-AM$5))*AN$15</f>
        <v>0</v>
      </c>
      <c r="AO139" s="12">
        <f>(AO140/(AO$5-AN$5))*AO$15</f>
        <v>0</v>
      </c>
      <c r="AP139" s="12">
        <f>(AP140/(AP$5-AO$5))*AP$15</f>
        <v>0</v>
      </c>
      <c r="AQ139" s="12">
        <f>AP139</f>
        <v>0</v>
      </c>
      <c r="AR139" s="12">
        <f>(AR140/(AR$5-AQ$5))*AR$15</f>
        <v>0</v>
      </c>
      <c r="AS139" s="12">
        <f>(AS140/(AS$5-AR$5))*AS$15</f>
        <v>0</v>
      </c>
      <c r="AT139" s="12">
        <f>(AT140/(AT$5-AS$5))*AT$15</f>
        <v>0</v>
      </c>
      <c r="AU139" s="12">
        <f>(AU140/(AU$5-AT$5))*AU$15</f>
        <v>0</v>
      </c>
      <c r="AV139" s="12">
        <f>AU139</f>
        <v>0</v>
      </c>
      <c r="AW139" s="12">
        <f>(AW140/(AW$5-AV$5))*AW$15</f>
        <v>0</v>
      </c>
      <c r="AX139" s="12">
        <f>(AX140/(AX$5-AW$5))*AX$15</f>
        <v>0</v>
      </c>
      <c r="AY139" s="12">
        <f>(AY140/(AY$5-AX$5))*AY$15</f>
        <v>0</v>
      </c>
      <c r="AZ139" s="12">
        <f>(AZ140/(AZ$5-AY$5))*AZ$15</f>
        <v>0</v>
      </c>
      <c r="BA139" s="12">
        <f>AZ139</f>
        <v>0</v>
      </c>
      <c r="BB139" s="12">
        <f>(BB140/(BB$5-BA$5))*BB$15</f>
        <v>0</v>
      </c>
      <c r="BC139" s="12">
        <f>(BC140/(BC$5-BB$5))*BC$15</f>
        <v>0</v>
      </c>
      <c r="BD139" s="12">
        <f>(BD140/(BD$5-BC$5))*BD$15</f>
        <v>0</v>
      </c>
      <c r="BE139" s="12">
        <f>(BE140/(BE$5-BD$5))*BE$15</f>
        <v>0</v>
      </c>
      <c r="BF139" s="12">
        <f>BE139</f>
        <v>0</v>
      </c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inlineStr">
        <is>
          <t>DSO</t>
        </is>
      </c>
      <c r="D140" s="12" t="n"/>
      <c r="E140" s="12" t="n"/>
      <c r="F140" s="12" t="n"/>
      <c r="G140" s="12" t="n"/>
      <c r="H140" s="12" t="n"/>
      <c r="I140" s="12">
        <f>IFERROR((I139/I$15)*(I$5-H$5),"")</f>
        <v>0</v>
      </c>
      <c r="J140" s="12">
        <f>IFERROR((J139/J$15)*(J$5-I$5),"")</f>
        <v>0</v>
      </c>
      <c r="K140" s="12">
        <f>IFERROR((K139/K$15)*(K$5-J$5),"")</f>
        <v>0</v>
      </c>
      <c r="L140" s="12">
        <f>IFERROR((L139/L$15)*(L$5-K$5),"")</f>
        <v>0</v>
      </c>
      <c r="M140" s="12" t="n"/>
      <c r="N140" s="12">
        <f>IFERROR((N139/N$15)*(N$5-M$5),"")</f>
        <v>0</v>
      </c>
      <c r="O140" s="12">
        <f>IFERROR((O139/O$15)*(O$5-N$5),"")</f>
        <v>0</v>
      </c>
      <c r="P140" s="12">
        <f>IFERROR((P139/P$15)*(P$5-O$5),"")</f>
        <v>0</v>
      </c>
      <c r="Q140" s="12">
        <f>IFERROR((Q139/Q$15)*(Q$5-P$5),"")</f>
        <v>0</v>
      </c>
      <c r="R140" s="12" t="n"/>
      <c r="S140" s="12">
        <f>IFERROR((S139/S$15)*(S$5-R$5),"")</f>
        <v>0</v>
      </c>
      <c r="T140" s="12">
        <f>IFERROR((T139/T$15)*(T$5-S$5),"")</f>
        <v>0</v>
      </c>
      <c r="U140" s="12">
        <f>IFERROR((U139/U$15)*(U$5-T$5),"")</f>
        <v>0</v>
      </c>
      <c r="V140" s="12">
        <f>IFERROR((V139/V$15)*(V$5-U$5),"")</f>
        <v>0</v>
      </c>
      <c r="W140" s="12" t="n"/>
      <c r="X140" s="12">
        <f>IFERROR((X139/X$15)*(X$5-W$5),"")</f>
        <v>0</v>
      </c>
      <c r="Y140" s="12">
        <f>IFERROR((Y139/Y$15)*(Y$5-X$5),"")</f>
        <v>0</v>
      </c>
      <c r="Z140" s="12">
        <f>IFERROR((Z139/Z$15)*(Z$5-Y$5),"")</f>
        <v>0</v>
      </c>
      <c r="AA140" s="12">
        <f>IFERROR((AA139/AA$15)*(AA$5-Z$5),"")</f>
        <v>0</v>
      </c>
      <c r="AB140" s="12" t="n"/>
      <c r="AC140" s="12">
        <f>IFERROR((AC139/AC$15)*(AC$5-AB$5),"")</f>
        <v>0</v>
      </c>
      <c r="AD140" s="12">
        <f>IFERROR((AD139/AD$15)*(AD$5-AC$5),"")</f>
        <v>0</v>
      </c>
      <c r="AE140" s="12">
        <f>IFERROR((AE139/AE$15)*(AE$5-AD$5),"")</f>
        <v>0</v>
      </c>
      <c r="AF140" s="11">
        <f>IFERROR((AF139/AF$15)*(AF$5-AE$5),"")</f>
        <v>0</v>
      </c>
      <c r="AG140" s="12" t="n"/>
      <c r="AH140" s="11">
        <f>IFERROR((AH139/AH$15)*(AH$5-AG$5),"")</f>
        <v>0</v>
      </c>
      <c r="AI140" s="11">
        <f>IFERROR((AI139/AI$15)*(AI$5-AH$5),"")</f>
        <v>0</v>
      </c>
      <c r="AJ140" s="11">
        <f>Control!$B$25</f>
        <v>0</v>
      </c>
      <c r="AK140" s="11">
        <f>Control!$B$25</f>
        <v>0</v>
      </c>
      <c r="AL140" s="12" t="n"/>
      <c r="AM140" s="11">
        <f>Control!$C$25</f>
        <v>0</v>
      </c>
      <c r="AN140" s="11">
        <f>Control!$C$25</f>
        <v>0</v>
      </c>
      <c r="AO140" s="11">
        <f>Control!$C$25</f>
        <v>0</v>
      </c>
      <c r="AP140" s="11">
        <f>Control!$C$25</f>
        <v>0</v>
      </c>
      <c r="AQ140" s="12" t="n"/>
      <c r="AR140" s="11">
        <f>Control!$D$25</f>
        <v>0</v>
      </c>
      <c r="AS140" s="11">
        <f>Control!$D$25</f>
        <v>0</v>
      </c>
      <c r="AT140" s="11">
        <f>Control!$D$25</f>
        <v>0</v>
      </c>
      <c r="AU140" s="11">
        <f>Control!$D$25</f>
        <v>0</v>
      </c>
      <c r="AV140" s="12" t="n"/>
      <c r="AW140" s="11">
        <f>Control!$E$25</f>
        <v>0</v>
      </c>
      <c r="AX140" s="11">
        <f>Control!$E$25</f>
        <v>0</v>
      </c>
      <c r="AY140" s="11">
        <f>Control!$E$25</f>
        <v>0</v>
      </c>
      <c r="AZ140" s="11">
        <f>Control!$E$25</f>
        <v>0</v>
      </c>
      <c r="BA140" s="12" t="n"/>
      <c r="BB140" s="11">
        <f>Control!$F$25</f>
        <v>0</v>
      </c>
      <c r="BC140" s="11">
        <f>Control!$F$25</f>
        <v>0</v>
      </c>
      <c r="BD140" s="11">
        <f>Control!$F$25</f>
        <v>0</v>
      </c>
      <c r="BE140" s="11">
        <f>Control!$F$25</f>
        <v>0</v>
      </c>
      <c r="BF140" s="12" t="n"/>
      <c r="BG140" s="11" t="n"/>
      <c r="BH140" s="11" t="n"/>
      <c r="BI140" s="11" t="n"/>
      <c r="BJ140" s="11" t="n"/>
      <c r="BK140" s="12" t="n"/>
      <c r="BL140" s="11" t="n"/>
      <c r="BM140" s="11" t="n"/>
      <c r="BN140" s="11" t="n"/>
      <c r="BO140" s="11" t="n"/>
      <c r="BP140" s="12" t="n"/>
      <c r="BQ140" s="11" t="n"/>
      <c r="BR140" s="11" t="n"/>
      <c r="BS140" s="11" t="n"/>
      <c r="BT140" s="11" t="n"/>
      <c r="BU140" s="12" t="n"/>
      <c r="BV140" s="11" t="n"/>
      <c r="BW140" s="11" t="n"/>
      <c r="BX140" s="11" t="n"/>
      <c r="BY140" s="11" t="n"/>
      <c r="BZ140" s="12" t="n"/>
      <c r="CA140" s="11" t="n"/>
      <c r="CB140" s="11" t="n"/>
      <c r="CC140" s="11" t="n"/>
      <c r="CD140" s="11" t="n"/>
      <c r="CE140" s="12" t="n"/>
      <c r="CF140" s="11" t="n"/>
      <c r="CG140" s="11" t="n"/>
      <c r="CH140" s="11" t="n"/>
      <c r="CI140" s="11" t="n"/>
      <c r="CJ140" s="12" t="n"/>
      <c r="CK140" s="11" t="n"/>
      <c r="CL140" s="11" t="n"/>
      <c r="CM140" s="11" t="n"/>
      <c r="CN140" s="11" t="n"/>
      <c r="CO140" s="12" t="n"/>
      <c r="CP140" s="11" t="n"/>
      <c r="CQ140" s="11" t="n"/>
      <c r="CR140" s="11" t="n"/>
      <c r="CS140" s="11" t="n"/>
      <c r="CT140" s="12" t="n"/>
      <c r="CU140" s="11" t="n"/>
      <c r="CV140" s="11" t="n"/>
      <c r="CW140" s="11" t="n"/>
      <c r="CX140" s="11" t="n"/>
      <c r="CY140" s="12" t="n"/>
    </row>
    <row r="141" hidden="1" outlineLevel="1">
      <c r="C141" s="57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collapsed="1">
      <c r="C143" s="14" t="inlineStr">
        <is>
          <t>Inventories</t>
        </is>
      </c>
      <c r="D143" s="46" t="n"/>
      <c r="E143" s="46" t="n"/>
      <c r="F143" s="46" t="n"/>
      <c r="G143" s="46" t="n"/>
      <c r="H143" s="12" t="n"/>
      <c r="I143" s="46">
        <f>'Inputs (2)'!D17</f>
        <v>0</v>
      </c>
      <c r="J143" s="46">
        <f>'Inputs (2)'!E17</f>
        <v>0</v>
      </c>
      <c r="K143" s="46">
        <f>'Inputs (2)'!F17</f>
        <v>0</v>
      </c>
      <c r="L143" s="46">
        <f>'Inputs (2)'!G17</f>
        <v>0</v>
      </c>
      <c r="M143" s="12">
        <f>'Inputs (2)'!H17</f>
        <v>0</v>
      </c>
      <c r="N143" s="46">
        <f>'Inputs (2)'!I17</f>
        <v>0</v>
      </c>
      <c r="O143" s="46">
        <f>'Inputs (2)'!J17</f>
        <v>0</v>
      </c>
      <c r="P143" s="46">
        <f>'Inputs (2)'!K17</f>
        <v>0</v>
      </c>
      <c r="Q143" s="46">
        <f>'Inputs (2)'!L17</f>
        <v>0</v>
      </c>
      <c r="R143" s="12">
        <f>'Inputs (2)'!M17</f>
        <v>0</v>
      </c>
      <c r="S143" s="46">
        <f>'Inputs (2)'!N17</f>
        <v>0</v>
      </c>
      <c r="T143" s="46">
        <f>'Inputs (2)'!O17</f>
        <v>0</v>
      </c>
      <c r="U143" s="46">
        <f>'Inputs (2)'!P17</f>
        <v>0</v>
      </c>
      <c r="V143" s="46">
        <f>'Inputs (2)'!Q17</f>
        <v>0</v>
      </c>
      <c r="W143" s="12">
        <f>'Inputs (2)'!R17</f>
        <v>0</v>
      </c>
      <c r="X143" s="46">
        <f>'Inputs (2)'!S17</f>
        <v>0</v>
      </c>
      <c r="Y143" s="46">
        <f>'Inputs (2)'!T17</f>
        <v>0</v>
      </c>
      <c r="Z143" s="46">
        <f>'Inputs (2)'!U17</f>
        <v>0</v>
      </c>
      <c r="AA143" s="46">
        <f>'Inputs (2)'!V17</f>
        <v>0</v>
      </c>
      <c r="AB143" s="12">
        <f>'Inputs (2)'!W17</f>
        <v>0</v>
      </c>
      <c r="AC143" s="46">
        <f>'Inputs (2)'!X17</f>
        <v>0</v>
      </c>
      <c r="AD143" s="46">
        <f>'Inputs (2)'!Y17</f>
        <v>0</v>
      </c>
      <c r="AE143" s="46">
        <f>'Inputs (2)'!Z17</f>
        <v>0</v>
      </c>
      <c r="AF143" s="46">
        <f>'Inputs (2)'!AA17</f>
        <v>0</v>
      </c>
      <c r="AG143" s="12">
        <f>'Inputs (2)'!AB17</f>
        <v>0</v>
      </c>
      <c r="AH143" s="12">
        <f>'Inputs (2)'!AC17</f>
        <v>0</v>
      </c>
      <c r="AI143" s="12">
        <f>'Inputs (2)'!AD17</f>
        <v>0</v>
      </c>
      <c r="AJ143" s="12">
        <f>(AJ144/(AJ$5-AI$5))*-AJ$48</f>
        <v>0</v>
      </c>
      <c r="AK143" s="12">
        <f>(AK144/(AK$5-AJ$5))*-AK$48</f>
        <v>0</v>
      </c>
      <c r="AL143" s="12">
        <f>AK143</f>
        <v>0</v>
      </c>
      <c r="AM143" s="12">
        <f>(AM144/(AM$5-AL$5))*-AM$48</f>
        <v>0</v>
      </c>
      <c r="AN143" s="12">
        <f>(AN144/(AN$5-AM$5))*-AN$48</f>
        <v>0</v>
      </c>
      <c r="AO143" s="12">
        <f>(AO144/(AO$5-AN$5))*-AO$48</f>
        <v>0</v>
      </c>
      <c r="AP143" s="12">
        <f>(AP144/(AP$5-AO$5))*-AP$48</f>
        <v>0</v>
      </c>
      <c r="AQ143" s="12">
        <f>AP143</f>
        <v>0</v>
      </c>
      <c r="AR143" s="12">
        <f>(AR144/(AR$5-AQ$5))*-AR$48</f>
        <v>0</v>
      </c>
      <c r="AS143" s="12">
        <f>(AS144/(AS$5-AR$5))*-AS$48</f>
        <v>0</v>
      </c>
      <c r="AT143" s="12">
        <f>(AT144/(AT$5-AS$5))*-AT$48</f>
        <v>0</v>
      </c>
      <c r="AU143" s="12">
        <f>(AU144/(AU$5-AT$5))*-AU$48</f>
        <v>0</v>
      </c>
      <c r="AV143" s="12">
        <f>AU143</f>
        <v>0</v>
      </c>
      <c r="AW143" s="12">
        <f>(AW144/(AW$5-AV$5))*-AW$48</f>
        <v>0</v>
      </c>
      <c r="AX143" s="12">
        <f>(AX144/(AX$5-AW$5))*-AX$48</f>
        <v>0</v>
      </c>
      <c r="AY143" s="12">
        <f>(AY144/(AY$5-AX$5))*-AY$48</f>
        <v>0</v>
      </c>
      <c r="AZ143" s="12">
        <f>(AZ144/(AZ$5-AY$5))*-AZ$48</f>
        <v>0</v>
      </c>
      <c r="BA143" s="12">
        <f>AZ143</f>
        <v>0</v>
      </c>
      <c r="BB143" s="12">
        <f>(BB144/(BB$5-BA$5))*-BB$48</f>
        <v>0</v>
      </c>
      <c r="BC143" s="12">
        <f>(BC144/(BC$5-BB$5))*-BC$48</f>
        <v>0</v>
      </c>
      <c r="BD143" s="12">
        <f>(BD144/(BD$5-BC$5))*-BD$48</f>
        <v>0</v>
      </c>
      <c r="BE143" s="12">
        <f>(BE144/(BE$5-BD$5))*-BE$48</f>
        <v>0</v>
      </c>
      <c r="BF143" s="12">
        <f>BE143</f>
        <v>0</v>
      </c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inlineStr">
        <is>
          <t>DIO</t>
        </is>
      </c>
      <c r="D144" s="12" t="n"/>
      <c r="E144" s="12" t="n"/>
      <c r="F144" s="12" t="n"/>
      <c r="G144" s="12" t="n"/>
      <c r="H144" s="12" t="n"/>
      <c r="I144" s="12">
        <f>IFERROR(((I143/I$48)*(I$5-H$5))*-1,"")</f>
        <v>0</v>
      </c>
      <c r="J144" s="12">
        <f>IFERROR(((J143/J$48)*(J$5-I$5))*-1,"")</f>
        <v>0</v>
      </c>
      <c r="K144" s="12">
        <f>IFERROR(((K143/K$48)*(K$5-J$5))*-1,"")</f>
        <v>0</v>
      </c>
      <c r="L144" s="12">
        <f>IFERROR(((L143/L$48)*(L$5-K$5))*-1,"")</f>
        <v>0</v>
      </c>
      <c r="M144" s="12" t="n"/>
      <c r="N144" s="12">
        <f>IFERROR(((N143/N$48)*(N$5-M$5))*-1,"")</f>
        <v>0</v>
      </c>
      <c r="O144" s="12">
        <f>IFERROR(((O143/O$48)*(O$5-N$5))*-1,"")</f>
        <v>0</v>
      </c>
      <c r="P144" s="12">
        <f>IFERROR(((P143/P$48)*(P$5-O$5))*-1,"")</f>
        <v>0</v>
      </c>
      <c r="Q144" s="12">
        <f>IFERROR(((Q143/Q$48)*(Q$5-P$5))*-1,"")</f>
        <v>0</v>
      </c>
      <c r="R144" s="12" t="n"/>
      <c r="S144" s="12">
        <f>IFERROR(((S143/S$48)*(S$5-R$5))*-1,"")</f>
        <v>0</v>
      </c>
      <c r="T144" s="12">
        <f>IFERROR(((T143/T$48)*(T$5-S$5))*-1,"")</f>
        <v>0</v>
      </c>
      <c r="U144" s="12">
        <f>IFERROR(((U143/U$48)*(U$5-T$5))*-1,"")</f>
        <v>0</v>
      </c>
      <c r="V144" s="12">
        <f>IFERROR(((V143/V$48)*(V$5-U$5))*-1,"")</f>
        <v>0</v>
      </c>
      <c r="W144" s="12" t="n"/>
      <c r="X144" s="12">
        <f>IFERROR(((X143/X$48)*(X$5-W$5))*-1,"")</f>
        <v>0</v>
      </c>
      <c r="Y144" s="12">
        <f>IFERROR(((Y143/Y$48)*(Y$5-X$5))*-1,"")</f>
        <v>0</v>
      </c>
      <c r="Z144" s="12">
        <f>IFERROR(((Z143/Z$48)*(Z$5-Y$5))*-1,"")</f>
        <v>0</v>
      </c>
      <c r="AA144" s="12">
        <f>IFERROR(((AA143/AA$48)*(AA$5-Z$5))*-1,"")</f>
        <v>0</v>
      </c>
      <c r="AB144" s="12" t="n"/>
      <c r="AC144" s="12">
        <f>IFERROR(((AC143/AC$48)*(AC$5-AB$5))*-1,"")</f>
        <v>0</v>
      </c>
      <c r="AD144" s="12">
        <f>IFERROR(((AD143/AD$48)*(AD$5-AC$5))*-1,"")</f>
        <v>0</v>
      </c>
      <c r="AE144" s="12">
        <f>IFERROR(((AE143/AE$48)*(AE$5-AD$5))*-1,"")</f>
        <v>0</v>
      </c>
      <c r="AF144" s="11">
        <f>IFERROR(((AF143/AF$48)*(AF$5-AE$5))*-1,"")</f>
        <v>0</v>
      </c>
      <c r="AG144" s="12" t="n"/>
      <c r="AH144" s="11">
        <f>IFERROR(((AH143/AH$48)*(AH$5-AG$5))*-1,"")</f>
        <v>0</v>
      </c>
      <c r="AI144" s="11">
        <f>IFERROR(((AI143/AI$48)*(AI$5-AH$5))*-1,"")</f>
        <v>0</v>
      </c>
      <c r="AJ144" s="11">
        <f>Control!$B$26</f>
        <v>0</v>
      </c>
      <c r="AK144" s="11">
        <f>Control!$B$26</f>
        <v>0</v>
      </c>
      <c r="AL144" s="12" t="n"/>
      <c r="AM144" s="11">
        <f>Control!$C$26</f>
        <v>0</v>
      </c>
      <c r="AN144" s="11">
        <f>Control!$C$26</f>
        <v>0</v>
      </c>
      <c r="AO144" s="11">
        <f>Control!$C$26</f>
        <v>0</v>
      </c>
      <c r="AP144" s="11">
        <f>Control!$C$26</f>
        <v>0</v>
      </c>
      <c r="AQ144" s="12" t="n"/>
      <c r="AR144" s="11">
        <f>Control!$D$26</f>
        <v>0</v>
      </c>
      <c r="AS144" s="11">
        <f>Control!$D$26</f>
        <v>0</v>
      </c>
      <c r="AT144" s="11">
        <f>Control!$D$26</f>
        <v>0</v>
      </c>
      <c r="AU144" s="11">
        <f>Control!$D$26</f>
        <v>0</v>
      </c>
      <c r="AV144" s="12" t="n"/>
      <c r="AW144" s="11">
        <f>Control!$E$26</f>
        <v>0</v>
      </c>
      <c r="AX144" s="11">
        <f>Control!$E$26</f>
        <v>0</v>
      </c>
      <c r="AY144" s="11">
        <f>Control!$E$26</f>
        <v>0</v>
      </c>
      <c r="AZ144" s="11">
        <f>Control!$E$26</f>
        <v>0</v>
      </c>
      <c r="BA144" s="12" t="n"/>
      <c r="BB144" s="11">
        <f>Control!$F$26</f>
        <v>0</v>
      </c>
      <c r="BC144" s="11">
        <f>Control!$F$26</f>
        <v>0</v>
      </c>
      <c r="BD144" s="11">
        <f>Control!$F$26</f>
        <v>0</v>
      </c>
      <c r="BE144" s="11">
        <f>Control!$F$26</f>
        <v>0</v>
      </c>
      <c r="BF144" s="12" t="n"/>
      <c r="BG144" s="11" t="n"/>
      <c r="BH144" s="11" t="n"/>
      <c r="BI144" s="11" t="n"/>
      <c r="BJ144" s="11" t="n"/>
      <c r="BK144" s="12" t="n"/>
      <c r="BL144" s="11" t="n"/>
      <c r="BM144" s="11" t="n"/>
      <c r="BN144" s="11" t="n"/>
      <c r="BO144" s="11" t="n"/>
      <c r="BP144" s="12" t="n"/>
      <c r="BQ144" s="11" t="n"/>
      <c r="BR144" s="11" t="n"/>
      <c r="BS144" s="11" t="n"/>
      <c r="BT144" s="11" t="n"/>
      <c r="BU144" s="12" t="n"/>
      <c r="BV144" s="11" t="n"/>
      <c r="BW144" s="11" t="n"/>
      <c r="BX144" s="11" t="n"/>
      <c r="BY144" s="11" t="n"/>
      <c r="BZ144" s="12" t="n"/>
      <c r="CA144" s="11" t="n"/>
      <c r="CB144" s="11" t="n"/>
      <c r="CC144" s="11" t="n"/>
      <c r="CD144" s="11" t="n"/>
      <c r="CE144" s="12" t="n"/>
      <c r="CF144" s="11" t="n"/>
      <c r="CG144" s="11" t="n"/>
      <c r="CH144" s="11" t="n"/>
      <c r="CI144" s="11" t="n"/>
      <c r="CJ144" s="12" t="n"/>
      <c r="CK144" s="11" t="n"/>
      <c r="CL144" s="11" t="n"/>
      <c r="CM144" s="11" t="n"/>
      <c r="CN144" s="11" t="n"/>
      <c r="CO144" s="12" t="n"/>
      <c r="CP144" s="11" t="n"/>
      <c r="CQ144" s="11" t="n"/>
      <c r="CR144" s="11" t="n"/>
      <c r="CS144" s="11" t="n"/>
      <c r="CT144" s="12" t="n"/>
      <c r="CU144" s="11" t="n"/>
      <c r="CV144" s="11" t="n"/>
      <c r="CW144" s="11" t="n"/>
      <c r="CX144" s="11" t="n"/>
      <c r="CY144" s="12" t="n"/>
    </row>
    <row r="145" hidden="1" outlineLevel="1">
      <c r="C145" s="57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collapsed="1">
      <c r="C147" s="14" t="inlineStr">
        <is>
          <t>Deferred income taxes</t>
        </is>
      </c>
      <c r="D147" s="46" t="n"/>
      <c r="E147" s="46" t="n"/>
      <c r="F147" s="46" t="n"/>
      <c r="G147" s="46" t="n"/>
      <c r="H147" s="12" t="n"/>
      <c r="I147" s="46">
        <f>'Inputs (2)'!D18</f>
        <v>0</v>
      </c>
      <c r="J147" s="46">
        <f>'Inputs (2)'!E18</f>
        <v>0</v>
      </c>
      <c r="K147" s="46">
        <f>'Inputs (2)'!F18</f>
        <v>0</v>
      </c>
      <c r="L147" s="46">
        <f>'Inputs (2)'!G18</f>
        <v>0</v>
      </c>
      <c r="M147" s="12">
        <f>'Inputs (2)'!H18</f>
        <v>0</v>
      </c>
      <c r="N147" s="46">
        <f>'Inputs (2)'!I18</f>
        <v>0</v>
      </c>
      <c r="O147" s="46">
        <f>'Inputs (2)'!J18</f>
        <v>0</v>
      </c>
      <c r="P147" s="46">
        <f>'Inputs (2)'!K18</f>
        <v>0</v>
      </c>
      <c r="Q147" s="46">
        <f>'Inputs (2)'!L18</f>
        <v>0</v>
      </c>
      <c r="R147" s="12">
        <f>'Inputs (2)'!M18</f>
        <v>0</v>
      </c>
      <c r="S147" s="46">
        <f>'Inputs (2)'!N18</f>
        <v>0</v>
      </c>
      <c r="T147" s="46">
        <f>'Inputs (2)'!O18</f>
        <v>0</v>
      </c>
      <c r="U147" s="46">
        <f>'Inputs (2)'!P18</f>
        <v>0</v>
      </c>
      <c r="V147" s="46">
        <f>'Inputs (2)'!Q18</f>
        <v>0</v>
      </c>
      <c r="W147" s="12">
        <f>'Inputs (2)'!R18</f>
        <v>0</v>
      </c>
      <c r="X147" s="46">
        <f>'Inputs (2)'!S18</f>
        <v>0</v>
      </c>
      <c r="Y147" s="46">
        <f>'Inputs (2)'!T18</f>
        <v>0</v>
      </c>
      <c r="Z147" s="46">
        <f>'Inputs (2)'!U18</f>
        <v>0</v>
      </c>
      <c r="AA147" s="46">
        <f>'Inputs (2)'!V18</f>
        <v>0</v>
      </c>
      <c r="AB147" s="12">
        <f>'Inputs (2)'!W18</f>
        <v>0</v>
      </c>
      <c r="AC147" s="46">
        <f>'Inputs (2)'!X18</f>
        <v>0</v>
      </c>
      <c r="AD147" s="46">
        <f>'Inputs (2)'!Y18</f>
        <v>0</v>
      </c>
      <c r="AE147" s="46">
        <f>'Inputs (2)'!Z18</f>
        <v>0</v>
      </c>
      <c r="AF147" s="46">
        <f>'Inputs (2)'!AA18</f>
        <v>0</v>
      </c>
      <c r="AG147" s="12">
        <f>'Inputs (2)'!AB18</f>
        <v>0</v>
      </c>
      <c r="AH147" s="12">
        <f>'Inputs (2)'!AC18</f>
        <v>0</v>
      </c>
      <c r="AI147" s="12">
        <f>'Inputs (2)'!AD18</f>
        <v>0</v>
      </c>
      <c r="AJ147" s="12">
        <f>AI147</f>
        <v>0</v>
      </c>
      <c r="AK147" s="12">
        <f>AJ147</f>
        <v>0</v>
      </c>
      <c r="AL147" s="12">
        <f>AK147</f>
        <v>0</v>
      </c>
      <c r="AM147" s="12">
        <f>AL147</f>
        <v>0</v>
      </c>
      <c r="AN147" s="12">
        <f>AM147</f>
        <v>0</v>
      </c>
      <c r="AO147" s="12">
        <f>AN147</f>
        <v>0</v>
      </c>
      <c r="AP147" s="12">
        <f>AO147</f>
        <v>0</v>
      </c>
      <c r="AQ147" s="12">
        <f>AP147</f>
        <v>0</v>
      </c>
      <c r="AR147" s="12">
        <f>AQ147</f>
        <v>0</v>
      </c>
      <c r="AS147" s="12">
        <f>AR147</f>
        <v>0</v>
      </c>
      <c r="AT147" s="12">
        <f>AS147</f>
        <v>0</v>
      </c>
      <c r="AU147" s="12">
        <f>AT147</f>
        <v>0</v>
      </c>
      <c r="AV147" s="12">
        <f>AU147</f>
        <v>0</v>
      </c>
      <c r="AW147" s="12">
        <f>AV147</f>
        <v>0</v>
      </c>
      <c r="AX147" s="12">
        <f>AW147</f>
        <v>0</v>
      </c>
      <c r="AY147" s="12">
        <f>AX147</f>
        <v>0</v>
      </c>
      <c r="AZ147" s="12">
        <f>AY147</f>
        <v>0</v>
      </c>
      <c r="BA147" s="12">
        <f>AZ147</f>
        <v>0</v>
      </c>
      <c r="BB147" s="12">
        <f>BA147</f>
        <v>0</v>
      </c>
      <c r="BC147" s="12">
        <f>BB147</f>
        <v>0</v>
      </c>
      <c r="BD147" s="12">
        <f>BC147</f>
        <v>0</v>
      </c>
      <c r="BE147" s="12">
        <f>BD147</f>
        <v>0</v>
      </c>
      <c r="BF147" s="12">
        <f>BE147</f>
        <v>0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>
      <c r="C148" s="14" t="inlineStr">
        <is>
          <t>Prepaid expenses</t>
        </is>
      </c>
      <c r="D148" s="46" t="n"/>
      <c r="E148" s="46" t="n"/>
      <c r="F148" s="46" t="n"/>
      <c r="G148" s="46" t="n"/>
      <c r="H148" s="12" t="n"/>
      <c r="I148" s="46">
        <f>'Inputs (2)'!D19</f>
        <v>0</v>
      </c>
      <c r="J148" s="46">
        <f>'Inputs (2)'!E19</f>
        <v>0</v>
      </c>
      <c r="K148" s="46">
        <f>'Inputs (2)'!F19</f>
        <v>0</v>
      </c>
      <c r="L148" s="46">
        <f>'Inputs (2)'!G19</f>
        <v>0</v>
      </c>
      <c r="M148" s="12">
        <f>'Inputs (2)'!H19</f>
        <v>0</v>
      </c>
      <c r="N148" s="46">
        <f>'Inputs (2)'!I19</f>
        <v>0</v>
      </c>
      <c r="O148" s="46">
        <f>'Inputs (2)'!J19</f>
        <v>0</v>
      </c>
      <c r="P148" s="46">
        <f>'Inputs (2)'!K19</f>
        <v>0</v>
      </c>
      <c r="Q148" s="46">
        <f>'Inputs (2)'!L19</f>
        <v>0</v>
      </c>
      <c r="R148" s="12">
        <f>'Inputs (2)'!M19</f>
        <v>0</v>
      </c>
      <c r="S148" s="46">
        <f>'Inputs (2)'!N19</f>
        <v>0</v>
      </c>
      <c r="T148" s="46">
        <f>'Inputs (2)'!O19</f>
        <v>0</v>
      </c>
      <c r="U148" s="46">
        <f>'Inputs (2)'!P19</f>
        <v>0</v>
      </c>
      <c r="V148" s="46">
        <f>'Inputs (2)'!Q19</f>
        <v>0</v>
      </c>
      <c r="W148" s="12">
        <f>'Inputs (2)'!R19</f>
        <v>0</v>
      </c>
      <c r="X148" s="46">
        <f>'Inputs (2)'!S19</f>
        <v>0</v>
      </c>
      <c r="Y148" s="46">
        <f>'Inputs (2)'!T19</f>
        <v>0</v>
      </c>
      <c r="Z148" s="46">
        <f>'Inputs (2)'!U19</f>
        <v>0</v>
      </c>
      <c r="AA148" s="46">
        <f>'Inputs (2)'!V19</f>
        <v>0</v>
      </c>
      <c r="AB148" s="12">
        <f>'Inputs (2)'!W19</f>
        <v>0</v>
      </c>
      <c r="AC148" s="46">
        <f>'Inputs (2)'!X19</f>
        <v>0</v>
      </c>
      <c r="AD148" s="46">
        <f>'Inputs (2)'!Y19</f>
        <v>0</v>
      </c>
      <c r="AE148" s="46">
        <f>'Inputs (2)'!Z19</f>
        <v>0</v>
      </c>
      <c r="AF148" s="46">
        <f>'Inputs (2)'!AA19</f>
        <v>0</v>
      </c>
      <c r="AG148" s="12">
        <f>'Inputs (2)'!AB19</f>
        <v>0</v>
      </c>
      <c r="AH148" s="12">
        <f>'Inputs (2)'!AC19</f>
        <v>0</v>
      </c>
      <c r="AI148" s="12">
        <f>'Inputs (2)'!AD19</f>
        <v>0</v>
      </c>
      <c r="AJ148" s="12">
        <f>AI148</f>
        <v>0</v>
      </c>
      <c r="AK148" s="12">
        <f>AJ148</f>
        <v>0</v>
      </c>
      <c r="AL148" s="12">
        <f>AK148</f>
        <v>0</v>
      </c>
      <c r="AM148" s="12">
        <f>AL148</f>
        <v>0</v>
      </c>
      <c r="AN148" s="12">
        <f>AM148</f>
        <v>0</v>
      </c>
      <c r="AO148" s="12">
        <f>AN148</f>
        <v>0</v>
      </c>
      <c r="AP148" s="12">
        <f>AO148</f>
        <v>0</v>
      </c>
      <c r="AQ148" s="12">
        <f>AP148</f>
        <v>0</v>
      </c>
      <c r="AR148" s="12">
        <f>AQ148</f>
        <v>0</v>
      </c>
      <c r="AS148" s="12">
        <f>AR148</f>
        <v>0</v>
      </c>
      <c r="AT148" s="12">
        <f>AS148</f>
        <v>0</v>
      </c>
      <c r="AU148" s="12">
        <f>AT148</f>
        <v>0</v>
      </c>
      <c r="AV148" s="12">
        <f>AU148</f>
        <v>0</v>
      </c>
      <c r="AW148" s="12">
        <f>AV148</f>
        <v>0</v>
      </c>
      <c r="AX148" s="12">
        <f>AW148</f>
        <v>0</v>
      </c>
      <c r="AY148" s="12">
        <f>AX148</f>
        <v>0</v>
      </c>
      <c r="AZ148" s="12">
        <f>AY148</f>
        <v>0</v>
      </c>
      <c r="BA148" s="12">
        <f>AZ148</f>
        <v>0</v>
      </c>
      <c r="BB148" s="12">
        <f>BA148</f>
        <v>0</v>
      </c>
      <c r="BC148" s="12">
        <f>BB148</f>
        <v>0</v>
      </c>
      <c r="BD148" s="12">
        <f>BC148</f>
        <v>0</v>
      </c>
      <c r="BE148" s="12">
        <f>BD148</f>
        <v>0</v>
      </c>
      <c r="BF148" s="12">
        <f>BE148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>
      <c r="C149" s="14" t="inlineStr">
        <is>
          <t>Other current assets</t>
        </is>
      </c>
      <c r="D149" s="46" t="n"/>
      <c r="E149" s="46" t="n"/>
      <c r="F149" s="46" t="n"/>
      <c r="G149" s="46" t="n"/>
      <c r="H149" s="12" t="n"/>
      <c r="I149" s="46">
        <f>'Inputs (2)'!D20</f>
        <v>1703.803</v>
      </c>
      <c r="J149" s="46">
        <f>'Inputs (2)'!E20</f>
        <v>1826.746</v>
      </c>
      <c r="K149" s="46">
        <f>'Inputs (2)'!F20</f>
        <v>1889.106</v>
      </c>
      <c r="L149" s="46">
        <f>'Inputs (2)'!G20</f>
        <v>2042.021</v>
      </c>
      <c r="M149" s="12">
        <f>'Inputs (2)'!H20</f>
        <v>2042.021</v>
      </c>
      <c r="N149" s="46">
        <f>'Inputs (2)'!I20</f>
        <v>2089.069</v>
      </c>
      <c r="O149" s="46">
        <f>'Inputs (2)'!J20</f>
        <v>2021.329</v>
      </c>
      <c r="P149" s="46">
        <f>'Inputs (2)'!K20</f>
        <v>2703.17</v>
      </c>
      <c r="Q149" s="46">
        <f>'Inputs (2)'!L20</f>
        <v>3208.021</v>
      </c>
      <c r="R149" s="12">
        <f>'Inputs (2)'!M20</f>
        <v>3208.021</v>
      </c>
      <c r="S149" s="46">
        <f>'Inputs (2)'!N20</f>
        <v>2655.119</v>
      </c>
      <c r="T149" s="46">
        <f>'Inputs (2)'!O20</f>
        <v>2929.347</v>
      </c>
      <c r="U149" s="46">
        <f>'Inputs (2)'!P20</f>
        <v>2912.028</v>
      </c>
      <c r="V149" s="46">
        <f>'Inputs (2)'!Q20</f>
        <v>2780.247</v>
      </c>
      <c r="W149" s="12">
        <f>'Inputs (2)'!R20</f>
        <v>2780.247</v>
      </c>
      <c r="X149" s="46">
        <f>'Inputs (2)'!S20</f>
        <v>2875.574</v>
      </c>
      <c r="Y149" s="46">
        <f>'Inputs (2)'!T20</f>
        <v>2959.641</v>
      </c>
      <c r="Z149" s="46">
        <f>'Inputs (2)'!U20</f>
        <v>2905.172</v>
      </c>
      <c r="AA149" s="46">
        <f>'Inputs (2)'!V20</f>
        <v>3516.64</v>
      </c>
      <c r="AB149" s="12">
        <f>'Inputs (2)'!W20</f>
        <v>3516.64</v>
      </c>
      <c r="AC149" s="46">
        <f>'Inputs (2)'!X20</f>
        <v>3326.642</v>
      </c>
      <c r="AD149" s="46">
        <f>'Inputs (2)'!Y20</f>
        <v>3602.586</v>
      </c>
      <c r="AE149" s="46">
        <f>'Inputs (2)'!Z20</f>
        <v>3638.543</v>
      </c>
      <c r="AF149" s="46">
        <f>'Inputs (2)'!AA20</f>
        <v>3957.832</v>
      </c>
      <c r="AG149" s="12">
        <f>'Inputs (2)'!AB20</f>
        <v>3957.832</v>
      </c>
      <c r="AH149" s="12">
        <f>'Inputs (2)'!AC20</f>
        <v>4782.532</v>
      </c>
      <c r="AI149" s="12">
        <f>'Inputs (2)'!AD20</f>
        <v>4725.393</v>
      </c>
      <c r="AJ149" s="12">
        <f>AI149</f>
        <v>4725.393</v>
      </c>
      <c r="AK149" s="12">
        <f>AJ149</f>
        <v>4725.393</v>
      </c>
      <c r="AL149" s="12">
        <f>AK149</f>
        <v>4725.393</v>
      </c>
      <c r="AM149" s="12">
        <f>AL149</f>
        <v>4725.393</v>
      </c>
      <c r="AN149" s="12">
        <f>AM149</f>
        <v>4725.393</v>
      </c>
      <c r="AO149" s="12">
        <f>AN149</f>
        <v>4725.393</v>
      </c>
      <c r="AP149" s="12">
        <f>AO149</f>
        <v>4725.393</v>
      </c>
      <c r="AQ149" s="12">
        <f>AP149</f>
        <v>4725.393</v>
      </c>
      <c r="AR149" s="12">
        <f>AQ149</f>
        <v>4725.393</v>
      </c>
      <c r="AS149" s="12">
        <f>AR149</f>
        <v>4725.393</v>
      </c>
      <c r="AT149" s="12">
        <f>AS149</f>
        <v>4725.393</v>
      </c>
      <c r="AU149" s="12">
        <f>AT149</f>
        <v>4725.393</v>
      </c>
      <c r="AV149" s="12">
        <f>AU149</f>
        <v>4725.393</v>
      </c>
      <c r="AW149" s="12">
        <f>AV149</f>
        <v>4725.393</v>
      </c>
      <c r="AX149" s="12">
        <f>AW149</f>
        <v>4725.393</v>
      </c>
      <c r="AY149" s="12">
        <f>AX149</f>
        <v>4725.393</v>
      </c>
      <c r="AZ149" s="12">
        <f>AY149</f>
        <v>4725.393</v>
      </c>
      <c r="BA149" s="12">
        <f>AZ149</f>
        <v>4725.393</v>
      </c>
      <c r="BB149" s="12">
        <f>BA149</f>
        <v>4725.393</v>
      </c>
      <c r="BC149" s="12">
        <f>BB149</f>
        <v>4725.393</v>
      </c>
      <c r="BD149" s="12">
        <f>BC149</f>
        <v>4725.393</v>
      </c>
      <c r="BE149" s="12">
        <f>BD149</f>
        <v>4725.393</v>
      </c>
      <c r="BF149" s="12">
        <f>BE149</f>
        <v>4725.393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9" t="inlineStr">
        <is>
          <t>%(Var.)</t>
        </is>
      </c>
      <c r="D150" s="12" t="n"/>
      <c r="E150" s="40" t="n"/>
      <c r="F150" s="40" t="n"/>
      <c r="G150" s="40" t="n"/>
      <c r="H150" s="12" t="n"/>
      <c r="I150" s="40" t="str">
        <f>""</f>
        <v/>
      </c>
      <c r="J150" s="40">
        <f>IFERROR(IF(I149=0,"",J149/I149-1),"")</f>
        <v>0.0721579900962728</v>
      </c>
      <c r="K150" s="40">
        <f>IFERROR(IF(J149=0,"",K149/J149-1),"")</f>
        <v>0.0341372035302117</v>
      </c>
      <c r="L150" s="40">
        <f>IFERROR(IF(K149=0,"",L149/K149-1),"")</f>
        <v>0.0809456960064707</v>
      </c>
      <c r="M150" s="12">
        <f>IFERROR(IF(L149=0,"",M149/L149-1),"")</f>
        <v>0</v>
      </c>
      <c r="N150" s="40">
        <f>IFERROR(IF(M149=0,"",N149/M149-1),"")</f>
        <v>0.0230399197657614</v>
      </c>
      <c r="O150" s="40">
        <f>IFERROR(IF(N149=0,"",O149/N149-1),"")</f>
        <v>-0.0324259275303975</v>
      </c>
      <c r="P150" s="40">
        <f>IFERROR(IF(O149=0,"",P149/O149-1),"")</f>
        <v>0.337323117612224</v>
      </c>
      <c r="Q150" s="40">
        <f>IFERROR(IF(P149=0,"",Q149/P149-1),"")</f>
        <v>0.186762578750134</v>
      </c>
      <c r="R150" s="12">
        <f>IFERROR(IF(Q149=0,"",R149/Q149-1),"")</f>
        <v>0</v>
      </c>
      <c r="S150" s="40">
        <f>IFERROR(IF(R149=0,"",S149/R149-1),"")</f>
        <v>-0.172349869280781</v>
      </c>
      <c r="T150" s="40">
        <f>IFERROR(IF(S149=0,"",T149/S149-1),"")</f>
        <v>0.103282753051746</v>
      </c>
      <c r="U150" s="40">
        <f>IFERROR(IF(T149=0,"",U149/T149-1),"")</f>
        <v>-0.00591223914408245</v>
      </c>
      <c r="V150" s="40">
        <f>IFERROR(IF(U149=0,"",V149/U149-1),"")</f>
        <v>-0.0452540291508186</v>
      </c>
      <c r="W150" s="12">
        <f>IFERROR(IF(V149=0,"",W149/V149-1),"")</f>
        <v>0</v>
      </c>
      <c r="X150" s="40">
        <f>IFERROR(IF(W149=0,"",X149/W149-1),"")</f>
        <v>0.0342872413853879</v>
      </c>
      <c r="Y150" s="40">
        <f>IFERROR(IF(X149=0,"",Y149/X149-1),"")</f>
        <v>0.0292348588490508</v>
      </c>
      <c r="Z150" s="40">
        <f>IFERROR(IF(Y149=0,"",Z149/Y149-1),"")</f>
        <v>-0.0184039212863992</v>
      </c>
      <c r="AA150" s="40">
        <f>IFERROR(IF(Z149=0,"",AA149/Z149-1),"")</f>
        <v>0.210475662026207</v>
      </c>
      <c r="AB150" s="12">
        <f>IFERROR(IF(AA149=0,"",AB149/AA149-1),"")</f>
        <v>0</v>
      </c>
      <c r="AC150" s="40">
        <f>IFERROR(IF(AB149=0,"",AC149/AB149-1),"")</f>
        <v>-0.0540282769916739</v>
      </c>
      <c r="AD150" s="40">
        <f>IFERROR(IF(AC149=0,"",AD149/AC149-1),"")</f>
        <v>0.0829497132543868</v>
      </c>
      <c r="AE150" s="40">
        <f>IFERROR(IF(AD149=0,"",AE149/AD149-1),"")</f>
        <v>0.0099808859524797</v>
      </c>
      <c r="AF150" s="55">
        <f>IFERROR(IF(AE149=0,"",AF149/AE149-1),"")</f>
        <v>0.0877518831026594</v>
      </c>
      <c r="AG150" s="12">
        <f>IFERROR(IF(AF149=0,"",AG149/AF149-1),"")</f>
        <v>0</v>
      </c>
      <c r="AH150" s="12">
        <f>IFERROR(IF(AG149=0,"",AH149/AG149-1),"")</f>
        <v>0.208371653976217</v>
      </c>
      <c r="AI150" s="12">
        <f>IFERROR(IF(AH149=0,"",AI149/AH149-1),"")</f>
        <v>-0.0119474370479905</v>
      </c>
      <c r="AJ150" s="12">
        <f>IFERROR(IF(AI149=0,"",AJ149/AI149-1),"")</f>
        <v>0</v>
      </c>
      <c r="AK150" s="12">
        <f>IFERROR(IF(AJ149=0,"",AK149/AJ149-1),"")</f>
        <v>0</v>
      </c>
      <c r="AL150" s="12">
        <f>IFERROR(IF(AK149=0,"",AL149/AK149-1),"")</f>
        <v>0</v>
      </c>
      <c r="AM150" s="12">
        <f>IFERROR(IF(AL149=0,"",AM149/AL149-1),"")</f>
        <v>0</v>
      </c>
      <c r="AN150" s="12">
        <f>IFERROR(IF(AM149=0,"",AN149/AM149-1),"")</f>
        <v>0</v>
      </c>
      <c r="AO150" s="12">
        <f>IFERROR(IF(AN149=0,"",AO149/AN149-1),"")</f>
        <v>0</v>
      </c>
      <c r="AP150" s="12">
        <f>IFERROR(IF(AO149=0,"",AP149/AO149-1),"")</f>
        <v>0</v>
      </c>
      <c r="AQ150" s="12">
        <f>IFERROR(IF(AP149=0,"",AQ149/AP149-1),"")</f>
        <v>0</v>
      </c>
      <c r="AR150" s="12">
        <f>IFERROR(IF(AQ149=0,"",AR149/AQ149-1),"")</f>
        <v>0</v>
      </c>
      <c r="AS150" s="12">
        <f>IFERROR(IF(AR149=0,"",AS149/AR149-1),"")</f>
        <v>0</v>
      </c>
      <c r="AT150" s="12">
        <f>IFERROR(IF(AS149=0,"",AT149/AS149-1),"")</f>
        <v>0</v>
      </c>
      <c r="AU150" s="12">
        <f>IFERROR(IF(AT149=0,"",AU149/AT149-1),"")</f>
        <v>0</v>
      </c>
      <c r="AV150" s="12">
        <f>IFERROR(IF(AU149=0,"",AV149/AU149-1),"")</f>
        <v>0</v>
      </c>
      <c r="AW150" s="12">
        <f>IFERROR(IF(AV149=0,"",AW149/AV149-1),"")</f>
        <v>0</v>
      </c>
      <c r="AX150" s="12">
        <f>IFERROR(IF(AW149=0,"",AX149/AW149-1),"")</f>
        <v>0</v>
      </c>
      <c r="AY150" s="12">
        <f>IFERROR(IF(AX149=0,"",AY149/AX149-1),"")</f>
        <v>0</v>
      </c>
      <c r="AZ150" s="12">
        <f>IFERROR(IF(AY149=0,"",AZ149/AY149-1),"")</f>
        <v>0</v>
      </c>
      <c r="BA150" s="12">
        <f>IFERROR(IF(AZ149=0,"",BA149/AZ149-1),"")</f>
        <v>0</v>
      </c>
      <c r="BB150" s="12">
        <f>IFERROR(IF(BA149=0,"",BB149/BA149-1),"")</f>
        <v>0</v>
      </c>
      <c r="BC150" s="12">
        <f>IFERROR(IF(BB149=0,"",BC149/BB149-1),"")</f>
        <v>0</v>
      </c>
      <c r="BD150" s="12">
        <f>IFERROR(IF(BC149=0,"",BD149/BC149-1),"")</f>
        <v>0</v>
      </c>
      <c r="BE150" s="12">
        <f>IFERROR(IF(BD149=0,"",BE149/BD149-1),"")</f>
        <v>0</v>
      </c>
      <c r="BF150" s="12">
        <f>IFERROR(IF(BE149=0,"",BF149/BE149-1),"")</f>
        <v>0</v>
      </c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n"/>
      <c r="D151" s="12" t="n"/>
      <c r="E151" s="40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60" t="inlineStr">
        <is>
          <t xml:space="preserve">Impostos e Contribuições a Recuperar </t>
        </is>
      </c>
      <c r="D152" s="11" t="n"/>
      <c r="E152" s="11" t="n"/>
      <c r="F152" s="11" t="n"/>
      <c r="G152" s="11" t="n"/>
      <c r="H152" s="12" t="n"/>
      <c r="I152" s="11" t="n"/>
      <c r="J152" s="11" t="n"/>
      <c r="K152" s="11" t="n"/>
      <c r="L152" s="11" t="n"/>
      <c r="M152" s="12" t="n"/>
      <c r="N152" s="11" t="n"/>
      <c r="O152" s="11" t="n"/>
      <c r="P152" s="11" t="n"/>
      <c r="Q152" s="11" t="n"/>
      <c r="R152" s="12" t="n"/>
      <c r="S152" s="11" t="n"/>
      <c r="T152" s="11" t="n"/>
      <c r="U152" s="11" t="n"/>
      <c r="V152" s="11" t="n"/>
      <c r="W152" s="12" t="n"/>
      <c r="X152" s="11" t="n"/>
      <c r="Y152" s="11" t="n"/>
      <c r="Z152" s="11" t="n"/>
      <c r="AA152" s="11" t="n"/>
      <c r="AB152" s="12" t="n"/>
      <c r="AC152" s="11" t="n"/>
      <c r="AD152" s="11" t="n"/>
      <c r="AE152" s="11" t="n"/>
      <c r="AF152" s="11" t="n"/>
      <c r="AG152" s="12">
        <f>AF152</f>
        <v>0</v>
      </c>
      <c r="AH152" s="61">
        <f>IFERROR(AG152*AH15/AG15,"")</f>
        <v>0</v>
      </c>
      <c r="AI152" s="61">
        <f>IFERROR(AH152*AI15/AH15,"")</f>
        <v>0</v>
      </c>
      <c r="AJ152" s="61">
        <f>IFERROR(AI152*AJ15/AI15,"")</f>
        <v>0</v>
      </c>
      <c r="AK152" s="61">
        <f>IFERROR(AJ152*AK15/AJ15,"")</f>
        <v>0</v>
      </c>
      <c r="AL152" s="12">
        <f>IFERROR(AK152,"")</f>
        <v>0</v>
      </c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60" t="inlineStr">
        <is>
          <t>Outros Créditos</t>
        </is>
      </c>
      <c r="D153" s="11" t="n"/>
      <c r="E153" s="11" t="n"/>
      <c r="F153" s="11" t="n"/>
      <c r="G153" s="11" t="n"/>
      <c r="H153" s="12" t="n"/>
      <c r="I153" s="11" t="n"/>
      <c r="J153" s="11" t="n"/>
      <c r="K153" s="11" t="n"/>
      <c r="L153" s="11" t="n"/>
      <c r="M153" s="12" t="n"/>
      <c r="N153" s="11" t="n"/>
      <c r="O153" s="11" t="n"/>
      <c r="P153" s="11" t="n"/>
      <c r="Q153" s="11" t="n"/>
      <c r="R153" s="12" t="n"/>
      <c r="S153" s="11" t="n"/>
      <c r="T153" s="11" t="n"/>
      <c r="U153" s="11" t="n"/>
      <c r="V153" s="11" t="n"/>
      <c r="W153" s="12" t="n"/>
      <c r="X153" s="11" t="n"/>
      <c r="Y153" s="11" t="n"/>
      <c r="Z153" s="11" t="n"/>
      <c r="AA153" s="11" t="n"/>
      <c r="AB153" s="12" t="n"/>
      <c r="AC153" s="11" t="n"/>
      <c r="AD153" s="11" t="n"/>
      <c r="AE153" s="11" t="n"/>
      <c r="AF153" s="11" t="n"/>
      <c r="AG153" s="12">
        <f>AF153</f>
        <v>0</v>
      </c>
      <c r="AH153" s="12">
        <f>AG153</f>
        <v>0</v>
      </c>
      <c r="AI153" s="12">
        <f>AH153</f>
        <v>0</v>
      </c>
      <c r="AJ153" s="12">
        <f>AI153</f>
        <v>0</v>
      </c>
      <c r="AK153" s="12">
        <f>AJ153</f>
        <v>0</v>
      </c>
      <c r="AL153" s="12">
        <f>AK153</f>
        <v>0</v>
      </c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collapsed="1">
      <c r="C155" s="14" t="inlineStr">
        <is>
          <t>Equity in affiliates</t>
        </is>
      </c>
      <c r="D155" s="46" t="n"/>
      <c r="E155" s="46" t="n"/>
      <c r="F155" s="46" t="n"/>
      <c r="G155" s="46" t="n"/>
      <c r="H155" s="12" t="n"/>
      <c r="I155" s="46">
        <f>'Inputs (2)'!D21</f>
        <v>0</v>
      </c>
      <c r="J155" s="46">
        <f>'Inputs (2)'!E21</f>
        <v>0</v>
      </c>
      <c r="K155" s="46">
        <f>'Inputs (2)'!F21</f>
        <v>0</v>
      </c>
      <c r="L155" s="46">
        <f>'Inputs (2)'!G21</f>
        <v>0</v>
      </c>
      <c r="M155" s="12">
        <f>'Inputs (2)'!H21</f>
        <v>0</v>
      </c>
      <c r="N155" s="46">
        <f>'Inputs (2)'!I21</f>
        <v>0</v>
      </c>
      <c r="O155" s="46">
        <f>'Inputs (2)'!J21</f>
        <v>0</v>
      </c>
      <c r="P155" s="46">
        <f>'Inputs (2)'!K21</f>
        <v>0</v>
      </c>
      <c r="Q155" s="46">
        <f>'Inputs (2)'!L21</f>
        <v>0</v>
      </c>
      <c r="R155" s="12">
        <f>'Inputs (2)'!M21</f>
        <v>0</v>
      </c>
      <c r="S155" s="46">
        <f>'Inputs (2)'!N21</f>
        <v>0</v>
      </c>
      <c r="T155" s="46">
        <f>'Inputs (2)'!O21</f>
        <v>0</v>
      </c>
      <c r="U155" s="46">
        <f>'Inputs (2)'!P21</f>
        <v>0</v>
      </c>
      <c r="V155" s="46">
        <f>'Inputs (2)'!Q21</f>
        <v>0</v>
      </c>
      <c r="W155" s="12">
        <f>'Inputs (2)'!R21</f>
        <v>0</v>
      </c>
      <c r="X155" s="46">
        <f>'Inputs (2)'!S21</f>
        <v>0</v>
      </c>
      <c r="Y155" s="46">
        <f>'Inputs (2)'!T21</f>
        <v>0</v>
      </c>
      <c r="Z155" s="46">
        <f>'Inputs (2)'!U21</f>
        <v>0</v>
      </c>
      <c r="AA155" s="46">
        <f>'Inputs (2)'!V21</f>
        <v>0</v>
      </c>
      <c r="AB155" s="12">
        <f>'Inputs (2)'!W21</f>
        <v>0</v>
      </c>
      <c r="AC155" s="46">
        <f>'Inputs (2)'!X21</f>
        <v>0</v>
      </c>
      <c r="AD155" s="46">
        <f>'Inputs (2)'!Y21</f>
        <v>0</v>
      </c>
      <c r="AE155" s="46">
        <f>'Inputs (2)'!Z21</f>
        <v>0</v>
      </c>
      <c r="AF155" s="46">
        <f>'Inputs (2)'!AA21</f>
        <v>0</v>
      </c>
      <c r="AG155" s="12">
        <f>'Inputs (2)'!AB21</f>
        <v>0</v>
      </c>
      <c r="AH155" s="12">
        <f>'Inputs (2)'!AC21</f>
        <v>0</v>
      </c>
      <c r="AI155" s="12">
        <f>'Inputs (2)'!AD21</f>
        <v>0</v>
      </c>
      <c r="AJ155" s="12">
        <f>AI155+AJ129</f>
        <v>0</v>
      </c>
      <c r="AK155" s="12">
        <f>AJ155+AK129</f>
        <v>0</v>
      </c>
      <c r="AL155" s="12">
        <f>AK155</f>
        <v>0</v>
      </c>
      <c r="AM155" s="12">
        <f>AL155+AM129</f>
        <v>0</v>
      </c>
      <c r="AN155" s="12">
        <f>AM155+AN129</f>
        <v>0</v>
      </c>
      <c r="AO155" s="12">
        <f>AN155+AO129</f>
        <v>0</v>
      </c>
      <c r="AP155" s="12">
        <f>AO155+AP129</f>
        <v>0</v>
      </c>
      <c r="AQ155" s="12">
        <f>AP155</f>
        <v>0</v>
      </c>
      <c r="AR155" s="12">
        <f>AQ155+AR129</f>
        <v>0</v>
      </c>
      <c r="AS155" s="12">
        <f>AR155+AS129</f>
        <v>0</v>
      </c>
      <c r="AT155" s="12">
        <f>AS155+AT129</f>
        <v>0</v>
      </c>
      <c r="AU155" s="12">
        <f>AT155+AU129</f>
        <v>0</v>
      </c>
      <c r="AV155" s="12">
        <f>AU155</f>
        <v>0</v>
      </c>
      <c r="AW155" s="12">
        <f>AV155+AW129</f>
        <v>0</v>
      </c>
      <c r="AX155" s="12">
        <f>AW155+AX129</f>
        <v>0</v>
      </c>
      <c r="AY155" s="12">
        <f>AX155+AY129</f>
        <v>0</v>
      </c>
      <c r="AZ155" s="12">
        <f>AY155+AZ129</f>
        <v>0</v>
      </c>
      <c r="BA155" s="12">
        <f>AZ155</f>
        <v>0</v>
      </c>
      <c r="BB155" s="12">
        <f>BA155+BB129</f>
        <v>0</v>
      </c>
      <c r="BC155" s="12">
        <f>BB155+BC129</f>
        <v>0</v>
      </c>
      <c r="BD155" s="12">
        <f>BC155+BD129</f>
        <v>0</v>
      </c>
      <c r="BE155" s="12">
        <f>BD155+BE129</f>
        <v>0</v>
      </c>
      <c r="BF155" s="12">
        <f>BE155</f>
        <v>0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hidden="1" outlineLevel="1">
      <c r="C157" s="57" t="inlineStr">
        <is>
          <t>Equity in Income - % YoY</t>
        </is>
      </c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>
        <f>IF(I129=0,0,N129/I129-1)</f>
        <v>0</v>
      </c>
      <c r="O157" s="12">
        <f>IF(J129=0,0,O129/J129-1)</f>
        <v>0</v>
      </c>
      <c r="P157" s="12">
        <f>IF(K129=0,0,P129/K129-1)</f>
        <v>0</v>
      </c>
      <c r="Q157" s="12">
        <f>IF(L129=0,0,Q129/L129-1)</f>
        <v>0</v>
      </c>
      <c r="R157" s="12" t="n"/>
      <c r="S157" s="12">
        <f>IF(N129=0,0,S129/N129-1)</f>
        <v>0</v>
      </c>
      <c r="T157" s="12">
        <f>IF(O129=0,0,T129/O129-1)</f>
        <v>0</v>
      </c>
      <c r="U157" s="12">
        <f>IF(P129=0,0,U129/P129-1)</f>
        <v>0</v>
      </c>
      <c r="V157" s="12">
        <f>IF(Q129=0,0,V129/Q129-1)</f>
        <v>0</v>
      </c>
      <c r="W157" s="12" t="n"/>
      <c r="X157" s="12">
        <f>IF(S129=0,0,X129/S129-1)</f>
        <v>0</v>
      </c>
      <c r="Y157" s="12">
        <f>IF(T129=0,0,Y129/T129-1)</f>
        <v>0</v>
      </c>
      <c r="Z157" s="12">
        <f>IF(U129=0,0,Z129/U129-1)</f>
        <v>0</v>
      </c>
      <c r="AA157" s="12">
        <f>IF(V129=0,0,AA129/V129-1)</f>
        <v>0</v>
      </c>
      <c r="AB157" s="12" t="n"/>
      <c r="AC157" s="12">
        <f>IF(X129=0,0,AC129/X129-1)</f>
        <v>0</v>
      </c>
      <c r="AD157" s="12">
        <f>IF(Y129=0,0,AD129/Y129-1)</f>
        <v>0</v>
      </c>
      <c r="AE157" s="12">
        <f>IF(Z129=0,0,AE129/Z129-1)</f>
        <v>0</v>
      </c>
      <c r="AF157" s="12">
        <f>IF(AA129=0,0,AF129/AA129-1)</f>
        <v>0</v>
      </c>
      <c r="AG157" s="12" t="n"/>
      <c r="AH157" s="11">
        <f>IF(AC129=0,0,AH129/AC129-1)</f>
        <v>0</v>
      </c>
      <c r="AI157" s="11">
        <f>IF(AD129=0,0,AI129/AD129-1)</f>
        <v>0</v>
      </c>
      <c r="AJ157" s="11" t="n"/>
      <c r="AK157" s="11" t="n"/>
      <c r="AL157" s="12" t="n"/>
      <c r="AM157" s="11" t="n"/>
      <c r="AN157" s="11" t="n"/>
      <c r="AO157" s="11" t="n"/>
      <c r="AP157" s="11" t="n"/>
      <c r="AQ157" s="12" t="n"/>
      <c r="AR157" s="11" t="n"/>
      <c r="AS157" s="11" t="n"/>
      <c r="AT157" s="11" t="n"/>
      <c r="AU157" s="11" t="n"/>
      <c r="AV157" s="12" t="n"/>
      <c r="AW157" s="11" t="n"/>
      <c r="AX157" s="11" t="n"/>
      <c r="AY157" s="11" t="n"/>
      <c r="AZ157" s="11" t="n"/>
      <c r="BA157" s="12" t="n"/>
      <c r="BB157" s="11" t="n"/>
      <c r="BC157" s="11" t="n"/>
      <c r="BD157" s="11" t="n"/>
      <c r="BE157" s="11" t="n"/>
      <c r="BF157" s="12" t="n"/>
      <c r="BG157" s="11" t="n"/>
      <c r="BH157" s="11" t="n"/>
      <c r="BI157" s="11" t="n"/>
      <c r="BJ157" s="11" t="n"/>
      <c r="BK157" s="12" t="n"/>
      <c r="BL157" s="11" t="n"/>
      <c r="BM157" s="11" t="n"/>
      <c r="BN157" s="11" t="n"/>
      <c r="BO157" s="11" t="n"/>
      <c r="BP157" s="12" t="n"/>
      <c r="BQ157" s="11" t="n"/>
      <c r="BR157" s="11" t="n"/>
      <c r="BS157" s="11" t="n"/>
      <c r="BT157" s="11" t="n"/>
      <c r="BU157" s="12" t="n"/>
      <c r="BV157" s="11" t="n"/>
      <c r="BW157" s="11" t="n"/>
      <c r="BX157" s="11" t="n"/>
      <c r="BY157" s="11" t="n"/>
      <c r="BZ157" s="12" t="n"/>
      <c r="CA157" s="11" t="n"/>
      <c r="CB157" s="11" t="n"/>
      <c r="CC157" s="11" t="n"/>
      <c r="CD157" s="11" t="n"/>
      <c r="CE157" s="12" t="n"/>
      <c r="CF157" s="11" t="n"/>
      <c r="CG157" s="11" t="n"/>
      <c r="CH157" s="11" t="n"/>
      <c r="CI157" s="11" t="n"/>
      <c r="CJ157" s="12" t="n"/>
      <c r="CK157" s="11" t="n"/>
      <c r="CL157" s="11" t="n"/>
      <c r="CM157" s="11" t="n"/>
      <c r="CN157" s="11" t="n"/>
      <c r="CO157" s="12" t="n"/>
      <c r="CP157" s="11" t="n"/>
      <c r="CQ157" s="11" t="n"/>
      <c r="CR157" s="11" t="n"/>
      <c r="CS157" s="11" t="n"/>
      <c r="CT157" s="12" t="n"/>
      <c r="CU157" s="11" t="n"/>
      <c r="CV157" s="11" t="n"/>
      <c r="CW157" s="11" t="n"/>
      <c r="CX157" s="11" t="n"/>
      <c r="CY157" s="12" t="n"/>
    </row>
    <row r="158" hidden="1" outlineLevel="1">
      <c r="C158" s="57" t="inlineStr">
        <is>
          <t>Dividends (enter as -)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1" t="n"/>
      <c r="AI158" s="11" t="n"/>
      <c r="AJ158" s="11" t="n"/>
      <c r="AK158" s="11" t="n"/>
      <c r="AL158" s="12" t="n"/>
      <c r="AM158" s="11" t="n"/>
      <c r="AN158" s="11" t="n"/>
      <c r="AO158" s="11" t="n"/>
      <c r="AP158" s="11" t="n"/>
      <c r="AQ158" s="12" t="n"/>
      <c r="AR158" s="11" t="n"/>
      <c r="AS158" s="11" t="n"/>
      <c r="AT158" s="11" t="n"/>
      <c r="AU158" s="11" t="n"/>
      <c r="AV158" s="12" t="n"/>
      <c r="AW158" s="11" t="n"/>
      <c r="AX158" s="11" t="n"/>
      <c r="AY158" s="11" t="n"/>
      <c r="AZ158" s="11" t="n"/>
      <c r="BA158" s="12" t="n"/>
      <c r="BB158" s="11" t="n"/>
      <c r="BC158" s="11" t="n"/>
      <c r="BD158" s="11" t="n"/>
      <c r="BE158" s="11" t="n"/>
      <c r="BF158" s="12" t="n"/>
      <c r="BG158" s="11" t="n"/>
      <c r="BH158" s="11" t="n"/>
      <c r="BI158" s="11" t="n"/>
      <c r="BJ158" s="11" t="n"/>
      <c r="BK158" s="12" t="n"/>
      <c r="BL158" s="11" t="n"/>
      <c r="BM158" s="11" t="n"/>
      <c r="BN158" s="11" t="n"/>
      <c r="BO158" s="11" t="n"/>
      <c r="BP158" s="12" t="n"/>
      <c r="BQ158" s="11" t="n"/>
      <c r="BR158" s="11" t="n"/>
      <c r="BS158" s="11" t="n"/>
      <c r="BT158" s="11" t="n"/>
      <c r="BU158" s="12" t="n"/>
      <c r="BV158" s="11" t="n"/>
      <c r="BW158" s="11" t="n"/>
      <c r="BX158" s="11" t="n"/>
      <c r="BY158" s="11" t="n"/>
      <c r="BZ158" s="12" t="n"/>
      <c r="CA158" s="11" t="n"/>
      <c r="CB158" s="11" t="n"/>
      <c r="CC158" s="11" t="n"/>
      <c r="CD158" s="11" t="n"/>
      <c r="CE158" s="12" t="n"/>
      <c r="CF158" s="11" t="n"/>
      <c r="CG158" s="11" t="n"/>
      <c r="CH158" s="11" t="n"/>
      <c r="CI158" s="11" t="n"/>
      <c r="CJ158" s="12" t="n"/>
      <c r="CK158" s="11" t="n"/>
      <c r="CL158" s="11" t="n"/>
      <c r="CM158" s="11" t="n"/>
      <c r="CN158" s="11" t="n"/>
      <c r="CO158" s="12" t="n"/>
      <c r="CP158" s="11" t="n"/>
      <c r="CQ158" s="11" t="n"/>
      <c r="CR158" s="11" t="n"/>
      <c r="CS158" s="11" t="n"/>
      <c r="CT158" s="12" t="n"/>
      <c r="CU158" s="11" t="n"/>
      <c r="CV158" s="11" t="n"/>
      <c r="CW158" s="11" t="n"/>
      <c r="CX158" s="11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collapsed="1">
      <c r="C160" s="14" t="inlineStr">
        <is>
          <t>PP&amp;E</t>
        </is>
      </c>
      <c r="D160" s="46" t="n"/>
      <c r="E160" s="46" t="n"/>
      <c r="F160" s="46" t="n"/>
      <c r="G160" s="46" t="n"/>
      <c r="H160" s="12" t="n"/>
      <c r="I160" s="46">
        <f>'Inputs (2)'!D22</f>
        <v>1015.419</v>
      </c>
      <c r="J160" s="46">
        <f>'Inputs (2)'!E22</f>
        <v>1107.437</v>
      </c>
      <c r="K160" s="46">
        <f>'Inputs (2)'!F22</f>
        <v>1220.114</v>
      </c>
      <c r="L160" s="46">
        <f>'Inputs (2)'!G22</f>
        <v>1323.453</v>
      </c>
      <c r="M160" s="12">
        <f>'Inputs (2)'!H22</f>
        <v>1323.453</v>
      </c>
      <c r="N160" s="46">
        <f>'Inputs (2)'!I22</f>
        <v>1383.763</v>
      </c>
      <c r="O160" s="46">
        <f>'Inputs (2)'!J22</f>
        <v>1361.92</v>
      </c>
      <c r="P160" s="46">
        <f>'Inputs (2)'!K22</f>
        <v>1372.754</v>
      </c>
      <c r="Q160" s="46">
        <f>'Inputs (2)'!L22</f>
        <v>1398.257</v>
      </c>
      <c r="R160" s="12">
        <f>'Inputs (2)'!M22</f>
        <v>1398.257</v>
      </c>
      <c r="S160" s="46">
        <f>'Inputs (2)'!N22</f>
        <v>1413.094</v>
      </c>
      <c r="T160" s="46">
        <f>'Inputs (2)'!O22</f>
        <v>1471.968</v>
      </c>
      <c r="U160" s="46">
        <f>'Inputs (2)'!P22</f>
        <v>1498.391</v>
      </c>
      <c r="V160" s="46">
        <f>'Inputs (2)'!Q22</f>
        <v>1491.444</v>
      </c>
      <c r="W160" s="12">
        <f>'Inputs (2)'!R22</f>
        <v>1491.444</v>
      </c>
      <c r="X160" s="46">
        <f>'Inputs (2)'!S22</f>
        <v>1501.168</v>
      </c>
      <c r="Y160" s="46">
        <f>'Inputs (2)'!T22</f>
        <v>1510.958</v>
      </c>
      <c r="Z160" s="46">
        <f>'Inputs (2)'!U22</f>
        <v>1568.212</v>
      </c>
      <c r="AA160" s="46">
        <f>'Inputs (2)'!V22</f>
        <v>1593.756</v>
      </c>
      <c r="AB160" s="12">
        <f>'Inputs (2)'!W22</f>
        <v>1593.756</v>
      </c>
      <c r="AC160" s="46">
        <f>'Inputs (2)'!X22</f>
        <v>1644.346</v>
      </c>
      <c r="AD160" s="46">
        <f>'Inputs (2)'!Y22</f>
        <v>1743.566</v>
      </c>
      <c r="AE160" s="46">
        <f>'Inputs (2)'!Z22</f>
        <v>1837.889</v>
      </c>
      <c r="AF160" s="46">
        <f>'Inputs (2)'!AA22</f>
        <v>2004.35</v>
      </c>
      <c r="AG160" s="12">
        <f>'Inputs (2)'!AB22</f>
        <v>2004.35</v>
      </c>
      <c r="AH160" s="12">
        <f>'Inputs (2)'!AC22</f>
        <v>2147.829</v>
      </c>
      <c r="AI160" s="12">
        <f>'Inputs (2)'!AD22</f>
        <v>2398.848</v>
      </c>
      <c r="AJ160" s="12">
        <f>AJ165</f>
        <v>2551.83568126264</v>
      </c>
      <c r="AK160" s="12">
        <f>AK165</f>
        <v>2712.00674671101</v>
      </c>
      <c r="AL160" s="12">
        <f>AK160</f>
        <v>2712.00674671101</v>
      </c>
      <c r="AM160" s="12">
        <f>AM165</f>
        <v>2874.82272715886</v>
      </c>
      <c r="AN160" s="12">
        <f>AN165</f>
        <v>3041.76143621523</v>
      </c>
      <c r="AO160" s="12">
        <f>AO165</f>
        <v>3218.39382395191</v>
      </c>
      <c r="AP160" s="12">
        <f>AP165</f>
        <v>3403.3198095148</v>
      </c>
      <c r="AQ160" s="12">
        <f>AP160</f>
        <v>3403.3198095148</v>
      </c>
      <c r="AR160" s="12">
        <f>AR165</f>
        <v>3590.48540974655</v>
      </c>
      <c r="AS160" s="12">
        <f>AS165</f>
        <v>3782.39030505539</v>
      </c>
      <c r="AT160" s="12">
        <f>AT165</f>
        <v>3985.43859785913</v>
      </c>
      <c r="AU160" s="12">
        <f>AU165</f>
        <v>4198.02082099916</v>
      </c>
      <c r="AV160" s="12">
        <f>AU160</f>
        <v>4198.02082099916</v>
      </c>
      <c r="AW160" s="12">
        <f>AW165</f>
        <v>4412.24177191956</v>
      </c>
      <c r="AX160" s="12">
        <f>AX165</f>
        <v>4631.8870972808</v>
      </c>
      <c r="AY160" s="12">
        <f>AY165</f>
        <v>4864.28663177497</v>
      </c>
      <c r="AZ160" s="12">
        <f>AZ165</f>
        <v>5107.59825492281</v>
      </c>
      <c r="BA160" s="12">
        <f>AZ160</f>
        <v>5107.59825492281</v>
      </c>
      <c r="BB160" s="12">
        <f>BB165</f>
        <v>5351.71438412794</v>
      </c>
      <c r="BC160" s="12">
        <f>BC165</f>
        <v>5602.01187554891</v>
      </c>
      <c r="BD160" s="12">
        <f>BD165</f>
        <v>5866.84346436429</v>
      </c>
      <c r="BE160" s="12">
        <f>BE165</f>
        <v>6144.10995663908</v>
      </c>
      <c r="BF160" s="12">
        <f>BE160</f>
        <v>6144.10995663908</v>
      </c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inlineStr">
        <is>
          <t>Capital expenditures</t>
        </is>
      </c>
      <c r="D162" s="12" t="n"/>
      <c r="E162" s="12" t="n"/>
      <c r="F162" s="12" t="n"/>
      <c r="G162" s="12" t="n"/>
      <c r="H162" s="12" t="n"/>
      <c r="I162" s="12" t="n"/>
      <c r="J162" s="12">
        <f>J160-I160-J64</f>
        <v>130.452</v>
      </c>
      <c r="K162" s="12">
        <f>K160-J160-K64</f>
        <v>182.93</v>
      </c>
      <c r="L162" s="12">
        <f>L160-K160-L64</f>
        <v>167.323</v>
      </c>
      <c r="M162" s="12" t="n"/>
      <c r="N162" s="12">
        <f>N160-M160-N64</f>
        <v>134.912</v>
      </c>
      <c r="O162" s="12">
        <f>O160-N160-O64</f>
        <v>61.6620000000002</v>
      </c>
      <c r="P162" s="12">
        <f>P160-O160-P64</f>
        <v>96.0219999999998</v>
      </c>
      <c r="Q162" s="12">
        <f>Q160-P160-Q64</f>
        <v>118.89</v>
      </c>
      <c r="R162" s="12" t="n"/>
      <c r="S162" s="12">
        <f>S160-R160-S64</f>
        <v>105.172</v>
      </c>
      <c r="T162" s="12">
        <f>T160-S160-T64</f>
        <v>148.259</v>
      </c>
      <c r="U162" s="12">
        <f>U160-T160-U64</f>
        <v>117.083</v>
      </c>
      <c r="V162" s="12">
        <f>V160-U160-V64</f>
        <v>79.6199999999999</v>
      </c>
      <c r="W162" s="12" t="n"/>
      <c r="X162" s="12">
        <f>X160-W160-X64</f>
        <v>96.9579999999999</v>
      </c>
      <c r="Y162" s="12">
        <f>Y160-X160-Y64</f>
        <v>91.0170000000002</v>
      </c>
      <c r="Z162" s="12">
        <f>Z160-Y160-Z64</f>
        <v>138.168</v>
      </c>
      <c r="AA162" s="12">
        <f>AA160-Z160-AA64</f>
        <v>105.083</v>
      </c>
      <c r="AB162" s="12" t="n"/>
      <c r="AC162" s="12">
        <f>AC160-AB160-AC64</f>
        <v>130.657</v>
      </c>
      <c r="AD162" s="12">
        <f>AD160-AC160-AD64</f>
        <v>179.233</v>
      </c>
      <c r="AE162" s="12">
        <f>AE160-AD160-AE64</f>
        <v>181.649</v>
      </c>
      <c r="AF162" s="11">
        <f>AF160-AE160-AF64</f>
        <v>252.444</v>
      </c>
      <c r="AG162" s="12">
        <f>SUM(AC162:AF162)</f>
        <v>743.983</v>
      </c>
      <c r="AH162" s="11">
        <f>AH160-AG160-AH64</f>
        <v>242.054</v>
      </c>
      <c r="AI162" s="11">
        <f>AI160-AH160-AI64</f>
        <v>351.549</v>
      </c>
      <c r="AJ162" s="11">
        <f>AJ15*Control!$B$24</f>
        <v>253.962480273727</v>
      </c>
      <c r="AK162" s="11">
        <f>AK15*Control!$B$24</f>
        <v>265.887035568067</v>
      </c>
      <c r="AL162" s="12" t="n"/>
      <c r="AM162" s="11">
        <f>AM15*Control!$C$24</f>
        <v>270.277645111503</v>
      </c>
      <c r="AN162" s="11">
        <f>AN15*Control!$C$24</f>
        <v>277.121453542832</v>
      </c>
      <c r="AO162" s="11">
        <f>AO15*Control!$C$24</f>
        <v>293.213145764783</v>
      </c>
      <c r="AP162" s="11">
        <f>AP15*Control!$C$24</f>
        <v>306.980676960459</v>
      </c>
      <c r="AQ162" s="12" t="n"/>
      <c r="AR162" s="11">
        <f>AR15*Control!$D$24</f>
        <v>310.698480194474</v>
      </c>
      <c r="AS162" s="11">
        <f>AS15*Control!$D$24</f>
        <v>318.565800769503</v>
      </c>
      <c r="AT162" s="11">
        <f>AT15*Control!$D$24</f>
        <v>337.06405398262</v>
      </c>
      <c r="AU162" s="11">
        <f>AU15*Control!$D$24</f>
        <v>352.890560894658</v>
      </c>
      <c r="AV162" s="12" t="n"/>
      <c r="AW162" s="11">
        <f>AW15*Control!$E$24</f>
        <v>355.610880388096</v>
      </c>
      <c r="AX162" s="11">
        <f>AX15*Control!$E$24</f>
        <v>364.615445824754</v>
      </c>
      <c r="AY162" s="11">
        <f>AY15*Control!$E$24</f>
        <v>385.787677200462</v>
      </c>
      <c r="AZ162" s="11">
        <f>AZ15*Control!$E$24</f>
        <v>403.901953308074</v>
      </c>
      <c r="BA162" s="12" t="n"/>
      <c r="BB162" s="11">
        <f>BB15*Control!$F$24</f>
        <v>405.2374487677</v>
      </c>
      <c r="BC162" s="11">
        <f>BC15*Control!$F$24</f>
        <v>415.498628405485</v>
      </c>
      <c r="BD162" s="11">
        <f>BD15*Control!$F$24</f>
        <v>439.625508376222</v>
      </c>
      <c r="BE162" s="11">
        <f>BE15*Control!$F$24</f>
        <v>460.267686219912</v>
      </c>
      <c r="BF162" s="12" t="n"/>
      <c r="BG162" s="11" t="n"/>
      <c r="BH162" s="11" t="n"/>
      <c r="BI162" s="11" t="n"/>
      <c r="BJ162" s="11" t="n"/>
      <c r="BK162" s="12" t="n"/>
      <c r="BL162" s="11" t="n"/>
      <c r="BM162" s="11" t="n"/>
      <c r="BN162" s="11" t="n"/>
      <c r="BO162" s="11" t="n"/>
      <c r="BP162" s="12" t="n"/>
      <c r="BQ162" s="11" t="n"/>
      <c r="BR162" s="11" t="n"/>
      <c r="BS162" s="11" t="n"/>
      <c r="BT162" s="11" t="n"/>
      <c r="BU162" s="12" t="n"/>
      <c r="BV162" s="11" t="n"/>
      <c r="BW162" s="11" t="n"/>
      <c r="BX162" s="11" t="n"/>
      <c r="BY162" s="11" t="n"/>
      <c r="BZ162" s="12" t="n"/>
      <c r="CA162" s="11" t="n"/>
      <c r="CB162" s="11" t="n"/>
      <c r="CC162" s="11" t="n"/>
      <c r="CD162" s="11" t="n"/>
      <c r="CE162" s="12" t="n"/>
      <c r="CF162" s="11" t="n"/>
      <c r="CG162" s="11" t="n"/>
      <c r="CH162" s="11" t="n"/>
      <c r="CI162" s="11" t="n"/>
      <c r="CJ162" s="12" t="n"/>
      <c r="CK162" s="11" t="n"/>
      <c r="CL162" s="11" t="n"/>
      <c r="CM162" s="11" t="n"/>
      <c r="CN162" s="11" t="n"/>
      <c r="CO162" s="12" t="n"/>
      <c r="CP162" s="11" t="n"/>
      <c r="CQ162" s="11" t="n"/>
      <c r="CR162" s="11" t="n"/>
      <c r="CS162" s="11" t="n"/>
      <c r="CT162" s="12" t="n"/>
      <c r="CU162" s="11" t="n"/>
      <c r="CV162" s="11" t="n"/>
      <c r="CW162" s="11" t="n"/>
      <c r="CX162" s="11" t="n"/>
      <c r="CY162" s="12" t="n"/>
    </row>
    <row r="163" hidden="1" outlineLevel="1">
      <c r="C163" s="57" t="inlineStr">
        <is>
          <t>Recurring asset sales (enter as -)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>
        <f>SUM(I163:L163)</f>
        <v>0</v>
      </c>
      <c r="N163" s="12" t="n"/>
      <c r="O163" s="12" t="n"/>
      <c r="P163" s="12" t="n"/>
      <c r="Q163" s="12" t="n"/>
      <c r="R163" s="12">
        <f>SUM(N163:Q163)</f>
        <v>0</v>
      </c>
      <c r="S163" s="12" t="n"/>
      <c r="T163" s="12" t="n"/>
      <c r="U163" s="12" t="n"/>
      <c r="V163" s="12" t="n"/>
      <c r="W163" s="12">
        <f>SUM(S163:V163)</f>
        <v>0</v>
      </c>
      <c r="X163" s="12" t="n"/>
      <c r="Y163" s="12" t="n"/>
      <c r="Z163" s="12" t="n"/>
      <c r="AA163" s="12" t="n"/>
      <c r="AB163" s="12">
        <f>SUM(X163:AA163)</f>
        <v>0</v>
      </c>
      <c r="AC163" s="12" t="n"/>
      <c r="AD163" s="12" t="n"/>
      <c r="AE163" s="12" t="n"/>
      <c r="AF163" s="11" t="n"/>
      <c r="AG163" s="12">
        <f>SUM(AC163:AF163)</f>
        <v>0</v>
      </c>
      <c r="AH163" s="11" t="n"/>
      <c r="AI163" s="11" t="n"/>
      <c r="AJ163" s="11">
        <f>0</f>
        <v>0</v>
      </c>
      <c r="AK163" s="11">
        <f>0</f>
        <v>0</v>
      </c>
      <c r="AL163" s="12" t="n"/>
      <c r="AM163" s="11">
        <f>0</f>
        <v>0</v>
      </c>
      <c r="AN163" s="11">
        <f>0</f>
        <v>0</v>
      </c>
      <c r="AO163" s="11">
        <f>0</f>
        <v>0</v>
      </c>
      <c r="AP163" s="11">
        <f>0</f>
        <v>0</v>
      </c>
      <c r="AQ163" s="12" t="n"/>
      <c r="AR163" s="11">
        <f>0</f>
        <v>0</v>
      </c>
      <c r="AS163" s="11">
        <f>0</f>
        <v>0</v>
      </c>
      <c r="AT163" s="11">
        <f>0</f>
        <v>0</v>
      </c>
      <c r="AU163" s="11">
        <f>0</f>
        <v>0</v>
      </c>
      <c r="AV163" s="12" t="n"/>
      <c r="AW163" s="11">
        <f>0</f>
        <v>0</v>
      </c>
      <c r="AX163" s="11">
        <f>0</f>
        <v>0</v>
      </c>
      <c r="AY163" s="11">
        <f>0</f>
        <v>0</v>
      </c>
      <c r="AZ163" s="11">
        <f>0</f>
        <v>0</v>
      </c>
      <c r="BA163" s="12" t="n"/>
      <c r="BB163" s="11">
        <f>0</f>
        <v>0</v>
      </c>
      <c r="BC163" s="11">
        <f>0</f>
        <v>0</v>
      </c>
      <c r="BD163" s="11">
        <f>0</f>
        <v>0</v>
      </c>
      <c r="BE163" s="11">
        <f>0</f>
        <v>0</v>
      </c>
      <c r="BF163" s="12" t="n"/>
      <c r="BG163" s="11" t="n"/>
      <c r="BH163" s="11" t="n"/>
      <c r="BI163" s="11" t="n"/>
      <c r="BJ163" s="11" t="n"/>
      <c r="BK163" s="12" t="n"/>
      <c r="BL163" s="11" t="n"/>
      <c r="BM163" s="11" t="n"/>
      <c r="BN163" s="11" t="n"/>
      <c r="BO163" s="11" t="n"/>
      <c r="BP163" s="12" t="n"/>
      <c r="BQ163" s="11" t="n"/>
      <c r="BR163" s="11" t="n"/>
      <c r="BS163" s="11" t="n"/>
      <c r="BT163" s="11" t="n"/>
      <c r="BU163" s="12" t="n"/>
      <c r="BV163" s="11" t="n"/>
      <c r="BW163" s="11" t="n"/>
      <c r="BX163" s="11" t="n"/>
      <c r="BY163" s="11" t="n"/>
      <c r="BZ163" s="12" t="n"/>
      <c r="CA163" s="11" t="n"/>
      <c r="CB163" s="11" t="n"/>
      <c r="CC163" s="11" t="n"/>
      <c r="CD163" s="11" t="n"/>
      <c r="CE163" s="12" t="n"/>
      <c r="CF163" s="11" t="n"/>
      <c r="CG163" s="11" t="n"/>
      <c r="CH163" s="11" t="n"/>
      <c r="CI163" s="11" t="n"/>
      <c r="CJ163" s="12" t="n"/>
      <c r="CK163" s="11" t="n"/>
      <c r="CL163" s="11" t="n"/>
      <c r="CM163" s="11" t="n"/>
      <c r="CN163" s="11" t="n"/>
      <c r="CO163" s="12" t="n"/>
      <c r="CP163" s="11" t="n"/>
      <c r="CQ163" s="11" t="n"/>
      <c r="CR163" s="11" t="n"/>
      <c r="CS163" s="11" t="n"/>
      <c r="CT163" s="12" t="n"/>
      <c r="CU163" s="11" t="n"/>
      <c r="CV163" s="11" t="n"/>
      <c r="CW163" s="11" t="n"/>
      <c r="CX163" s="11" t="n"/>
      <c r="CY163" s="12" t="n"/>
    </row>
    <row r="164" hidden="1" outlineLevel="1">
      <c r="C164" s="57" t="inlineStr">
        <is>
          <t>Depreciation</t>
        </is>
      </c>
      <c r="D164" s="12" t="n"/>
      <c r="E164" s="12" t="n"/>
      <c r="F164" s="12" t="n"/>
      <c r="G164" s="12" t="n"/>
      <c r="H164" s="12" t="n"/>
      <c r="I164" s="12">
        <f>I64</f>
        <v>-35.741</v>
      </c>
      <c r="J164" s="12">
        <f>J64</f>
        <v>-38.434</v>
      </c>
      <c r="K164" s="12">
        <f>K64</f>
        <v>-70.253</v>
      </c>
      <c r="L164" s="12">
        <f>L64</f>
        <v>-63.984</v>
      </c>
      <c r="M164" s="12" t="n"/>
      <c r="N164" s="12">
        <f>N64</f>
        <v>-74.602</v>
      </c>
      <c r="O164" s="12">
        <f>O64</f>
        <v>-83.505</v>
      </c>
      <c r="P164" s="12">
        <f>P64</f>
        <v>-85.188</v>
      </c>
      <c r="Q164" s="12">
        <f>Q64</f>
        <v>-93.387</v>
      </c>
      <c r="R164" s="12" t="n"/>
      <c r="S164" s="12">
        <f>S64</f>
        <v>-90.335</v>
      </c>
      <c r="T164" s="12">
        <f>T64</f>
        <v>-89.385</v>
      </c>
      <c r="U164" s="12">
        <f>U64</f>
        <v>-90.66</v>
      </c>
      <c r="V164" s="12">
        <f>V64</f>
        <v>-86.567</v>
      </c>
      <c r="W164" s="12" t="n"/>
      <c r="X164" s="12">
        <f>X64</f>
        <v>-87.234</v>
      </c>
      <c r="Y164" s="12">
        <f>Y64</f>
        <v>-81.227</v>
      </c>
      <c r="Z164" s="12">
        <f>Z64</f>
        <v>-80.914</v>
      </c>
      <c r="AA164" s="12">
        <f>AA64</f>
        <v>-79.539</v>
      </c>
      <c r="AB164" s="12" t="n"/>
      <c r="AC164" s="12">
        <f>AC64</f>
        <v>-80.067</v>
      </c>
      <c r="AD164" s="12">
        <f>AD64</f>
        <v>-80.013</v>
      </c>
      <c r="AE164" s="12">
        <f>AE64</f>
        <v>-87.326</v>
      </c>
      <c r="AF164" s="12">
        <f>AF64</f>
        <v>-85.983</v>
      </c>
      <c r="AG164" s="12" t="n"/>
      <c r="AH164" s="12">
        <f>AH64</f>
        <v>-98.575</v>
      </c>
      <c r="AI164" s="12">
        <f>AI64</f>
        <v>-100.53</v>
      </c>
      <c r="AJ164" s="12">
        <f>AJ64</f>
        <v>-100.97479901109</v>
      </c>
      <c r="AK164" s="12">
        <f>AK64</f>
        <v>-105.715970119692</v>
      </c>
      <c r="AL164" s="12" t="n"/>
      <c r="AM164" s="12">
        <f>AM64</f>
        <v>-107.461664663653</v>
      </c>
      <c r="AN164" s="12">
        <f>AN64</f>
        <v>-110.182744486464</v>
      </c>
      <c r="AO164" s="12">
        <f>AO64</f>
        <v>-116.580758028104</v>
      </c>
      <c r="AP164" s="12">
        <f>AP64</f>
        <v>-122.054691397569</v>
      </c>
      <c r="AQ164" s="12" t="n"/>
      <c r="AR164" s="12">
        <f>AR64</f>
        <v>-123.532879962718</v>
      </c>
      <c r="AS164" s="12">
        <f>AS64</f>
        <v>-126.66090546067</v>
      </c>
      <c r="AT164" s="12">
        <f>AT64</f>
        <v>-134.015761178875</v>
      </c>
      <c r="AU164" s="12">
        <f>AU64</f>
        <v>-140.308337754628</v>
      </c>
      <c r="AV164" s="12" t="n"/>
      <c r="AW164" s="12">
        <f>AW64</f>
        <v>-141.389929467702</v>
      </c>
      <c r="AX164" s="12">
        <f>AX64</f>
        <v>-144.970120463509</v>
      </c>
      <c r="AY164" s="12">
        <f>AY64</f>
        <v>-153.388142706299</v>
      </c>
      <c r="AZ164" s="12">
        <f>AZ64</f>
        <v>-160.590330160234</v>
      </c>
      <c r="BA164" s="12" t="n"/>
      <c r="BB164" s="12">
        <f>BB64</f>
        <v>-161.121319562568</v>
      </c>
      <c r="BC164" s="12">
        <f>BC64</f>
        <v>-165.201136984517</v>
      </c>
      <c r="BD164" s="12">
        <f>BD64</f>
        <v>-174.793919560841</v>
      </c>
      <c r="BE164" s="12">
        <f>BE64</f>
        <v>-183.001193945117</v>
      </c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PP&amp;E</t>
        </is>
      </c>
      <c r="D165" s="12" t="n"/>
      <c r="E165" s="12" t="n"/>
      <c r="F165" s="12" t="n"/>
      <c r="G165" s="12" t="n"/>
      <c r="H165" s="12" t="n"/>
      <c r="I165" s="12">
        <f>I160</f>
        <v>1015.419</v>
      </c>
      <c r="J165" s="12">
        <f>J160</f>
        <v>1107.437</v>
      </c>
      <c r="K165" s="12">
        <f>K160</f>
        <v>1220.114</v>
      </c>
      <c r="L165" s="12">
        <f>L160</f>
        <v>1323.453</v>
      </c>
      <c r="M165" s="12" t="n"/>
      <c r="N165" s="12">
        <f>N160</f>
        <v>1383.763</v>
      </c>
      <c r="O165" s="12">
        <f>O160</f>
        <v>1361.92</v>
      </c>
      <c r="P165" s="12">
        <f>P160</f>
        <v>1372.754</v>
      </c>
      <c r="Q165" s="12">
        <f>Q160</f>
        <v>1398.257</v>
      </c>
      <c r="R165" s="12" t="n"/>
      <c r="S165" s="12">
        <f>S160</f>
        <v>1413.094</v>
      </c>
      <c r="T165" s="12">
        <f>T160</f>
        <v>1471.968</v>
      </c>
      <c r="U165" s="12">
        <f>U160</f>
        <v>1498.391</v>
      </c>
      <c r="V165" s="12">
        <f>V160</f>
        <v>1491.444</v>
      </c>
      <c r="W165" s="12" t="n"/>
      <c r="X165" s="12">
        <f>X160</f>
        <v>1501.168</v>
      </c>
      <c r="Y165" s="12">
        <f>Y160</f>
        <v>1510.958</v>
      </c>
      <c r="Z165" s="12">
        <f>Z160</f>
        <v>1568.212</v>
      </c>
      <c r="AA165" s="12">
        <f>Y165+SUM(AA162:AA164)</f>
        <v>1536.502</v>
      </c>
      <c r="AB165" s="12" t="n"/>
      <c r="AC165" s="12">
        <f>AC160</f>
        <v>1644.346</v>
      </c>
      <c r="AD165" s="12">
        <f>AD160</f>
        <v>1743.566</v>
      </c>
      <c r="AE165" s="12">
        <f>AE160</f>
        <v>1837.889</v>
      </c>
      <c r="AF165" s="12">
        <f>AF160</f>
        <v>2004.35</v>
      </c>
      <c r="AG165" s="12" t="n"/>
      <c r="AH165" s="12">
        <f>AH160</f>
        <v>2147.829</v>
      </c>
      <c r="AI165" s="12">
        <f>AI160</f>
        <v>2398.848</v>
      </c>
      <c r="AJ165" s="12">
        <f>AI165+SUM(AJ162:AJ164)</f>
        <v>2551.83568126264</v>
      </c>
      <c r="AK165" s="12">
        <f>AJ165+SUM(AK162:AK164)</f>
        <v>2712.00674671101</v>
      </c>
      <c r="AL165" s="12" t="n"/>
      <c r="AM165" s="12">
        <f>AK165+SUM(AM162:AM164)</f>
        <v>2874.82272715886</v>
      </c>
      <c r="AN165" s="12">
        <f>AM165+SUM(AN162:AN164)</f>
        <v>3041.76143621523</v>
      </c>
      <c r="AO165" s="12">
        <f>AN165+SUM(AO162:AO164)</f>
        <v>3218.39382395191</v>
      </c>
      <c r="AP165" s="12">
        <f>AO165+SUM(AP162:AP164)</f>
        <v>3403.3198095148</v>
      </c>
      <c r="AQ165" s="12" t="n"/>
      <c r="AR165" s="12">
        <f>AP165+SUM(AR162:AR164)</f>
        <v>3590.48540974655</v>
      </c>
      <c r="AS165" s="12">
        <f>AR165+SUM(AS162:AS164)</f>
        <v>3782.39030505539</v>
      </c>
      <c r="AT165" s="12">
        <f>AS165+SUM(AT162:AT164)</f>
        <v>3985.43859785913</v>
      </c>
      <c r="AU165" s="12">
        <f>AT165+SUM(AU162:AU164)</f>
        <v>4198.02082099916</v>
      </c>
      <c r="AV165" s="12" t="n"/>
      <c r="AW165" s="12">
        <f>AU165+SUM(AW162:AW164)</f>
        <v>4412.24177191956</v>
      </c>
      <c r="AX165" s="12">
        <f>AW165+SUM(AX162:AX164)</f>
        <v>4631.8870972808</v>
      </c>
      <c r="AY165" s="12">
        <f>AX165+SUM(AY162:AY164)</f>
        <v>4864.28663177497</v>
      </c>
      <c r="AZ165" s="12">
        <f>AY165+SUM(AZ162:AZ164)</f>
        <v>5107.59825492281</v>
      </c>
      <c r="BA165" s="12" t="n"/>
      <c r="BB165" s="12">
        <f>AZ165+SUM(BB162:BB164)</f>
        <v>5351.71438412794</v>
      </c>
      <c r="BC165" s="12">
        <f>BB165+SUM(BC162:BC164)</f>
        <v>5602.01187554891</v>
      </c>
      <c r="BD165" s="12">
        <f>BC165+SUM(BD162:BD164)</f>
        <v>5866.84346436429</v>
      </c>
      <c r="BE165" s="12">
        <f>BD165+SUM(BE162:BE164)</f>
        <v>6144.10995663908</v>
      </c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>
        <f>IF(AJ15=0,"",AJ162/AJ15)</f>
        <v>0.0191103559025294</v>
      </c>
      <c r="AK166" s="12">
        <f>IF(AK15=0,"",AK162/AK15)</f>
        <v>0.0191103559025294</v>
      </c>
      <c r="AL166" s="12" t="n"/>
      <c r="AM166" s="12">
        <f>IF(AM15=0,"",AM162/AM15)</f>
        <v>0.0191103559025294</v>
      </c>
      <c r="AN166" s="12">
        <f>IF(AN15=0,"",AN162/AN15)</f>
        <v>0.0191103559025294</v>
      </c>
      <c r="AO166" s="12">
        <f>IF(AO15=0,"",AO162/AO15)</f>
        <v>0.0191103559025294</v>
      </c>
      <c r="AP166" s="12">
        <f>IF(AP15=0,"",AP162/AP15)</f>
        <v>0.0191103559025294</v>
      </c>
      <c r="AQ166" s="12" t="n"/>
      <c r="AR166" s="12">
        <f>IF(AR15=0,"",AR162/AR15)</f>
        <v>0.0191103559025294</v>
      </c>
      <c r="AS166" s="12">
        <f>IF(AS15=0,"",AS162/AS15)</f>
        <v>0.0191103559025294</v>
      </c>
      <c r="AT166" s="12">
        <f>IF(AT15=0,"",AT162/AT15)</f>
        <v>0.0191103559025294</v>
      </c>
      <c r="AU166" s="12">
        <f>IF(AU15=0,"",AU162/AU15)</f>
        <v>0.0191103559025294</v>
      </c>
      <c r="AV166" s="12" t="n"/>
      <c r="AW166" s="12">
        <f>IF(AW15=0,"",AW162/AW15)</f>
        <v>0.0191103559025294</v>
      </c>
      <c r="AX166" s="12">
        <f>IF(AX15=0,"",AX162/AX15)</f>
        <v>0.0191103559025294</v>
      </c>
      <c r="AY166" s="12">
        <f>IF(AY15=0,"",AY162/AY15)</f>
        <v>0.0191103559025294</v>
      </c>
      <c r="AZ166" s="12">
        <f>IF(AZ15=0,"",AZ162/AZ15)</f>
        <v>0.0191103559025294</v>
      </c>
      <c r="BA166" s="12" t="n"/>
      <c r="BB166" s="12">
        <f>IF(BB15=0,"",BB162/BB15)</f>
        <v>0.0191103559025294</v>
      </c>
      <c r="BC166" s="12">
        <f>IF(BC15=0,"",BC162/BC15)</f>
        <v>0.0191103559025294</v>
      </c>
      <c r="BD166" s="12">
        <f>IF(BD15=0,"",BD162/BD15)</f>
        <v>0.0191103559025294</v>
      </c>
      <c r="BE166" s="12">
        <f>IF(BE15=0,"",BE162/BE15)</f>
        <v>0.0191103559025294</v>
      </c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inlineStr">
        <is>
          <t>Capital expenditures (% Net Revenues)</t>
        </is>
      </c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58">
        <f>IFERROR(AF162/AF15,"")</f>
        <v>0.0209483848407263</v>
      </c>
      <c r="AG167" s="58">
        <f>IFERROR(AG162/AG15,"")</f>
        <v>0.0164659807278112</v>
      </c>
      <c r="AH167" s="58">
        <f>IFERROR(AH162/AH15,"")</f>
        <v>0.0197599021760187</v>
      </c>
      <c r="AI167" s="58">
        <f>IFERROR(AI162/AI15,"")</f>
        <v>0.0279897082294514</v>
      </c>
      <c r="AJ167" s="58">
        <f>IFERROR(AJ162/AJ15,"")</f>
        <v>0.0191103559025294</v>
      </c>
      <c r="AK167" s="58">
        <f>IFERROR(AK162/AK15,"")</f>
        <v>0.0191103559025294</v>
      </c>
      <c r="AL167" s="58">
        <f>IFERROR(AL162/AL15,"")</f>
        <v>0</v>
      </c>
      <c r="AM167" s="58">
        <f>IFERROR(AM162/AM15,"")</f>
        <v>0.0191103559025294</v>
      </c>
      <c r="AN167" s="58">
        <f>IFERROR(AN162/AN15,"")</f>
        <v>0.0191103559025294</v>
      </c>
      <c r="AO167" s="58">
        <f>IFERROR(AO162/AO15,"")</f>
        <v>0.0191103559025294</v>
      </c>
      <c r="AP167" s="58">
        <f>IFERROR(AP162/AP15,"")</f>
        <v>0.0191103559025294</v>
      </c>
      <c r="AQ167" s="58">
        <f>IFERROR(AQ162/AQ15,"")</f>
        <v>0</v>
      </c>
      <c r="AR167" s="58">
        <f>IFERROR(AR162/AR15,"")</f>
        <v>0.0191103559025294</v>
      </c>
      <c r="AS167" s="58">
        <f>IFERROR(AS162/AS15,"")</f>
        <v>0.0191103559025294</v>
      </c>
      <c r="AT167" s="58">
        <f>IFERROR(AT162/AT15,"")</f>
        <v>0.0191103559025294</v>
      </c>
      <c r="AU167" s="58">
        <f>IFERROR(AU162/AU15,"")</f>
        <v>0.0191103559025294</v>
      </c>
      <c r="AV167" s="58">
        <f>IFERROR(AV162/AV15,"")</f>
        <v>0</v>
      </c>
      <c r="AW167" s="58">
        <f>IFERROR(AW162/AW15,"")</f>
        <v>0.0191103559025294</v>
      </c>
      <c r="AX167" s="58">
        <f>IFERROR(AX162/AX15,"")</f>
        <v>0.0191103559025294</v>
      </c>
      <c r="AY167" s="58">
        <f>IFERROR(AY162/AY15,"")</f>
        <v>0.0191103559025294</v>
      </c>
      <c r="AZ167" s="58">
        <f>IFERROR(AZ162/AZ15,"")</f>
        <v>0.0191103559025294</v>
      </c>
      <c r="BA167" s="58">
        <f>IFERROR(BA162/BA15,"")</f>
        <v>0</v>
      </c>
      <c r="BB167" s="58">
        <f>IFERROR(BB162/BB15,"")</f>
        <v>0.0191103559025294</v>
      </c>
      <c r="BC167" s="58">
        <f>IFERROR(BC162/BC15,"")</f>
        <v>0.0191103559025294</v>
      </c>
      <c r="BD167" s="58">
        <f>IFERROR(BD162/BD15,"")</f>
        <v>0.0191103559025294</v>
      </c>
      <c r="BE167" s="58">
        <f>IFERROR(BE162/BE15,"")</f>
        <v>0.0191103559025294</v>
      </c>
      <c r="BF167" s="58">
        <f>IFERROR(BF162/BF15,"")</f>
        <v>0</v>
      </c>
      <c r="BG167" s="58" t="n"/>
      <c r="BH167" s="58" t="n"/>
      <c r="BI167" s="58" t="n"/>
      <c r="BJ167" s="58" t="n"/>
      <c r="BK167" s="58" t="n"/>
      <c r="BL167" s="58" t="n"/>
      <c r="BM167" s="58" t="n"/>
      <c r="BN167" s="58" t="n"/>
      <c r="BO167" s="58" t="n"/>
      <c r="BP167" s="58" t="n"/>
      <c r="BQ167" s="58" t="n"/>
      <c r="BR167" s="58" t="n"/>
      <c r="BS167" s="58" t="n"/>
      <c r="BT167" s="58" t="n"/>
      <c r="BU167" s="58" t="n"/>
      <c r="BV167" s="58" t="n"/>
      <c r="BW167" s="58" t="n"/>
      <c r="BX167" s="58" t="n"/>
      <c r="BY167" s="58" t="n"/>
      <c r="BZ167" s="58" t="n"/>
      <c r="CA167" s="58" t="n"/>
      <c r="CB167" s="58" t="n"/>
      <c r="CC167" s="58" t="n"/>
      <c r="CD167" s="58" t="n"/>
      <c r="CE167" s="58" t="n"/>
      <c r="CF167" s="58" t="n"/>
      <c r="CG167" s="58" t="n"/>
      <c r="CH167" s="58" t="n"/>
      <c r="CI167" s="58" t="n"/>
      <c r="CJ167" s="58" t="n"/>
      <c r="CK167" s="58" t="n"/>
      <c r="CL167" s="58" t="n"/>
      <c r="CM167" s="58" t="n"/>
      <c r="CN167" s="58" t="n"/>
      <c r="CO167" s="58" t="n"/>
      <c r="CP167" s="58" t="n"/>
      <c r="CQ167" s="58" t="n"/>
      <c r="CR167" s="58" t="n"/>
      <c r="CS167" s="58" t="n"/>
      <c r="CT167" s="58" t="n"/>
      <c r="CU167" s="58" t="n"/>
      <c r="CV167" s="58" t="n"/>
      <c r="CW167" s="58" t="n"/>
      <c r="CX167" s="58" t="n"/>
      <c r="CY167" s="58" t="n"/>
    </row>
    <row r="168" hidden="1" outlineLevel="1">
      <c r="C168" s="57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collapsed="1">
      <c r="C170" s="14" t="inlineStr">
        <is>
          <t>Right-of-use-assets</t>
        </is>
      </c>
      <c r="D170" s="46" t="n"/>
      <c r="E170" s="46" t="n"/>
      <c r="F170" s="46" t="n"/>
      <c r="G170" s="46" t="n"/>
      <c r="H170" s="12" t="n"/>
      <c r="I170" s="46">
        <f>'Inputs (2)'!D23</f>
        <v>0</v>
      </c>
      <c r="J170" s="46">
        <f>'Inputs (2)'!E23</f>
        <v>0</v>
      </c>
      <c r="K170" s="46">
        <f>'Inputs (2)'!F23</f>
        <v>0</v>
      </c>
      <c r="L170" s="46">
        <f>'Inputs (2)'!G23</f>
        <v>0</v>
      </c>
      <c r="M170" s="12">
        <f>'Inputs (2)'!H23</f>
        <v>0</v>
      </c>
      <c r="N170" s="46">
        <f>'Inputs (2)'!I23</f>
        <v>0</v>
      </c>
      <c r="O170" s="46">
        <f>'Inputs (2)'!J23</f>
        <v>0</v>
      </c>
      <c r="P170" s="46">
        <f>'Inputs (2)'!K23</f>
        <v>0</v>
      </c>
      <c r="Q170" s="46">
        <f>'Inputs (2)'!L23</f>
        <v>0</v>
      </c>
      <c r="R170" s="12">
        <f>'Inputs (2)'!M23</f>
        <v>0</v>
      </c>
      <c r="S170" s="46">
        <f>'Inputs (2)'!N23</f>
        <v>0</v>
      </c>
      <c r="T170" s="46">
        <f>'Inputs (2)'!O23</f>
        <v>0</v>
      </c>
      <c r="U170" s="46">
        <f>'Inputs (2)'!P23</f>
        <v>0</v>
      </c>
      <c r="V170" s="46">
        <f>'Inputs (2)'!Q23</f>
        <v>0</v>
      </c>
      <c r="W170" s="12">
        <f>'Inputs (2)'!R23</f>
        <v>0</v>
      </c>
      <c r="X170" s="46">
        <f>'Inputs (2)'!S23</f>
        <v>0</v>
      </c>
      <c r="Y170" s="46">
        <f>'Inputs (2)'!T23</f>
        <v>0</v>
      </c>
      <c r="Z170" s="46">
        <f>'Inputs (2)'!U23</f>
        <v>0</v>
      </c>
      <c r="AA170" s="46">
        <f>'Inputs (2)'!V23</f>
        <v>0</v>
      </c>
      <c r="AB170" s="12">
        <f>'Inputs (2)'!W23</f>
        <v>0</v>
      </c>
      <c r="AC170" s="46">
        <f>'Inputs (2)'!X23</f>
        <v>0</v>
      </c>
      <c r="AD170" s="46">
        <f>'Inputs (2)'!Y23</f>
        <v>0</v>
      </c>
      <c r="AE170" s="46">
        <f>'Inputs (2)'!Z23</f>
        <v>0</v>
      </c>
      <c r="AF170" s="46">
        <f>'Inputs (2)'!AA23</f>
        <v>0</v>
      </c>
      <c r="AG170" s="12">
        <f>'Inputs (2)'!AB23</f>
        <v>0</v>
      </c>
      <c r="AH170" s="12">
        <f>'Inputs (2)'!AC23</f>
        <v>0</v>
      </c>
      <c r="AI170" s="12">
        <f>'Inputs (2)'!AD23</f>
        <v>0</v>
      </c>
      <c r="AJ170" s="12">
        <f>AI170</f>
        <v>0</v>
      </c>
      <c r="AK170" s="12">
        <f>AJ170</f>
        <v>0</v>
      </c>
      <c r="AL170" s="12">
        <f>AK170</f>
        <v>0</v>
      </c>
      <c r="AM170" s="12">
        <f>AL170</f>
        <v>0</v>
      </c>
      <c r="AN170" s="12">
        <f>AM170</f>
        <v>0</v>
      </c>
      <c r="AO170" s="12">
        <f>AN170</f>
        <v>0</v>
      </c>
      <c r="AP170" s="12">
        <f>AO170</f>
        <v>0</v>
      </c>
      <c r="AQ170" s="12">
        <f>AP170</f>
        <v>0</v>
      </c>
      <c r="AR170" s="12">
        <f>AQ170</f>
        <v>0</v>
      </c>
      <c r="AS170" s="12">
        <f>AR170</f>
        <v>0</v>
      </c>
      <c r="AT170" s="12">
        <f>AS170</f>
        <v>0</v>
      </c>
      <c r="AU170" s="12">
        <f>AT170</f>
        <v>0</v>
      </c>
      <c r="AV170" s="12">
        <f>AU170</f>
        <v>0</v>
      </c>
      <c r="AW170" s="12">
        <f>AV170</f>
        <v>0</v>
      </c>
      <c r="AX170" s="12">
        <f>AW170</f>
        <v>0</v>
      </c>
      <c r="AY170" s="12">
        <f>AX170</f>
        <v>0</v>
      </c>
      <c r="AZ170" s="12">
        <f>AY170</f>
        <v>0</v>
      </c>
      <c r="BA170" s="12">
        <f>AZ170</f>
        <v>0</v>
      </c>
      <c r="BB170" s="12">
        <f>BA170</f>
        <v>0</v>
      </c>
      <c r="BC170" s="12">
        <f>BB170</f>
        <v>0</v>
      </c>
      <c r="BD170" s="12">
        <f>BC170</f>
        <v>0</v>
      </c>
      <c r="BE170" s="12">
        <f>BD170</f>
        <v>0</v>
      </c>
      <c r="BF170" s="12">
        <f>BE170</f>
        <v>0</v>
      </c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9" t="inlineStr">
        <is>
          <t>%(Var.)</t>
        </is>
      </c>
      <c r="D171" s="12" t="n"/>
      <c r="E171" s="40" t="n"/>
      <c r="F171" s="40" t="n"/>
      <c r="G171" s="40" t="n"/>
      <c r="H171" s="12" t="n"/>
      <c r="I171" s="40" t="str">
        <f>""</f>
        <v/>
      </c>
      <c r="J171" s="40" t="str">
        <f>IFERROR(IF(I170=0,"",J170/I170-1),"")</f>
        <v/>
      </c>
      <c r="K171" s="40" t="str">
        <f>IFERROR(IF(J170=0,"",K170/J170-1),"")</f>
        <v/>
      </c>
      <c r="L171" s="40" t="str">
        <f>IFERROR(IF(K170=0,"",L170/K170-1),"")</f>
        <v/>
      </c>
      <c r="M171" s="12" t="str">
        <f>IFERROR(IF(L170=0,"",M170/L170-1),"")</f>
        <v/>
      </c>
      <c r="N171" s="40" t="str">
        <f>IFERROR(IF(M170=0,"",N170/M170-1),"")</f>
        <v/>
      </c>
      <c r="O171" s="40" t="str">
        <f>IFERROR(IF(N170=0,"",O170/N170-1),"")</f>
        <v/>
      </c>
      <c r="P171" s="40" t="str">
        <f>IFERROR(IF(O170=0,"",P170/O170-1),"")</f>
        <v/>
      </c>
      <c r="Q171" s="40" t="str">
        <f>IFERROR(IF(P170=0,"",Q170/P170-1),"")</f>
        <v/>
      </c>
      <c r="R171" s="12" t="str">
        <f>IFERROR(IF(Q170=0,"",R170/Q170-1),"")</f>
        <v/>
      </c>
      <c r="S171" s="40" t="str">
        <f>IFERROR(IF(R170=0,"",S170/R170-1),"")</f>
        <v/>
      </c>
      <c r="T171" s="40" t="str">
        <f>IFERROR(IF(S170=0,"",T170/S170-1),"")</f>
        <v/>
      </c>
      <c r="U171" s="40" t="str">
        <f>IFERROR(IF(T170=0,"",U170/T170-1),"")</f>
        <v/>
      </c>
      <c r="V171" s="40" t="str">
        <f>IFERROR(IF(U170=0,"",V170/U170-1),"")</f>
        <v/>
      </c>
      <c r="W171" s="12" t="str">
        <f>IFERROR(IF(V170=0,"",W170/V170-1),"")</f>
        <v/>
      </c>
      <c r="X171" s="40" t="str">
        <f>IFERROR(IF(W170=0,"",X170/W170-1),"")</f>
        <v/>
      </c>
      <c r="Y171" s="40" t="str">
        <f>IFERROR(IF(X170=0,"",Y170/X170-1),"")</f>
        <v/>
      </c>
      <c r="Z171" s="40" t="str">
        <f>IFERROR(IF(Y170=0,"",Z170/Y170-1),"")</f>
        <v/>
      </c>
      <c r="AA171" s="40" t="str">
        <f>IFERROR(IF(Z170=0,"",AA170/Z170-1),"")</f>
        <v/>
      </c>
      <c r="AB171" s="12" t="str">
        <f>IFERROR(IF(AA170=0,"",AB170/AA170-1),"")</f>
        <v/>
      </c>
      <c r="AC171" s="40" t="str">
        <f>IFERROR(IF(AB170=0,"",AC170/AB170-1),"")</f>
        <v/>
      </c>
      <c r="AD171" s="40" t="str">
        <f>IFERROR(IF(AC170=0,"",AD170/AC170-1),"")</f>
        <v/>
      </c>
      <c r="AE171" s="40" t="str">
        <f>IFERROR(IF(AD170=0,"",AE170/AD170-1),"")</f>
        <v/>
      </c>
      <c r="AF171" s="55" t="str">
        <f>IFERROR(IF(AE170=0,"",AF170/AE170-1),"")</f>
        <v/>
      </c>
      <c r="AG171" s="12" t="str">
        <f>IFERROR(IF(AF170=0,"",AG170/AF170-1),"")</f>
        <v/>
      </c>
      <c r="AH171" s="55" t="str">
        <f>IFERROR(IF(AG170=0,"",AH170/AG170-1),"")</f>
        <v/>
      </c>
      <c r="AI171" s="55" t="str">
        <f>IFERROR(IF(AH170=0,"",AI170/AH170-1),"")</f>
        <v/>
      </c>
      <c r="AJ171" s="55" t="str">
        <f>IFERROR(IF(AI170=0,"",AJ170/AI170-1),"")</f>
        <v/>
      </c>
      <c r="AK171" s="55" t="str">
        <f>IFERROR(IF(AJ170=0,"",AK170/AJ170-1),"")</f>
        <v/>
      </c>
      <c r="AL171" s="12" t="str">
        <f>IFERROR(IF(AK170=0,"",AL170/AK170-1),"")</f>
        <v/>
      </c>
      <c r="AM171" s="55" t="str">
        <f>IFERROR(IF(AL170=0,"",AM170/AL170-1),"")</f>
        <v/>
      </c>
      <c r="AN171" s="55" t="str">
        <f>IFERROR(IF(AM170=0,"",AN170/AM170-1),"")</f>
        <v/>
      </c>
      <c r="AO171" s="55" t="str">
        <f>IFERROR(IF(AN170=0,"",AO170/AN170-1),"")</f>
        <v/>
      </c>
      <c r="AP171" s="55" t="str">
        <f>IFERROR(IF(AO170=0,"",AP170/AO170-1),"")</f>
        <v/>
      </c>
      <c r="AQ171" s="12" t="str">
        <f>IFERROR(IF(AP170=0,"",AQ170/AP170-1),"")</f>
        <v/>
      </c>
      <c r="AR171" s="55" t="str">
        <f>IFERROR(IF(AQ170=0,"",AR170/AQ170-1),"")</f>
        <v/>
      </c>
      <c r="AS171" s="55" t="str">
        <f>IFERROR(IF(AR170=0,"",AS170/AR170-1),"")</f>
        <v/>
      </c>
      <c r="AT171" s="55" t="str">
        <f>IFERROR(IF(AS170=0,"",AT170/AS170-1),"")</f>
        <v/>
      </c>
      <c r="AU171" s="55" t="str">
        <f>IFERROR(IF(AT170=0,"",AU170/AT170-1),"")</f>
        <v/>
      </c>
      <c r="AV171" s="12" t="str">
        <f>IFERROR(IF(AU170=0,"",AV170/AU170-1),"")</f>
        <v/>
      </c>
      <c r="AW171" s="55" t="str">
        <f>IFERROR(IF(AV170=0,"",AW170/AV170-1),"")</f>
        <v/>
      </c>
      <c r="AX171" s="55" t="str">
        <f>IFERROR(IF(AW170=0,"",AX170/AW170-1),"")</f>
        <v/>
      </c>
      <c r="AY171" s="55" t="str">
        <f>IFERROR(IF(AX170=0,"",AY170/AX170-1),"")</f>
        <v/>
      </c>
      <c r="AZ171" s="55" t="str">
        <f>IFERROR(IF(AY170=0,"",AZ170/AY170-1),"")</f>
        <v/>
      </c>
      <c r="BA171" s="12" t="str">
        <f>IFERROR(IF(AZ170=0,"",BA170/AZ170-1),"")</f>
        <v/>
      </c>
      <c r="BB171" s="55" t="str">
        <f>IFERROR(IF(BA170=0,"",BB170/BA170-1),"")</f>
        <v/>
      </c>
      <c r="BC171" s="55" t="str">
        <f>IFERROR(IF(BB170=0,"",BC170/BB170-1),"")</f>
        <v/>
      </c>
      <c r="BD171" s="55" t="str">
        <f>IFERROR(IF(BC170=0,"",BD170/BC170-1),"")</f>
        <v/>
      </c>
      <c r="BE171" s="55" t="str">
        <f>IFERROR(IF(BD170=0,"",BE170/BD170-1),"")</f>
        <v/>
      </c>
      <c r="BF171" s="12" t="str">
        <f>IFERROR(IF(BE170=0,"",BF170/BE170-1),"")</f>
        <v/>
      </c>
      <c r="BG171" s="55" t="n"/>
      <c r="BH171" s="55" t="n"/>
      <c r="BI171" s="55" t="n"/>
      <c r="BJ171" s="55" t="n"/>
      <c r="BK171" s="12" t="n"/>
      <c r="BL171" s="55" t="n"/>
      <c r="BM171" s="55" t="n"/>
      <c r="BN171" s="55" t="n"/>
      <c r="BO171" s="55" t="n"/>
      <c r="BP171" s="12" t="n"/>
      <c r="BQ171" s="55" t="n"/>
      <c r="BR171" s="55" t="n"/>
      <c r="BS171" s="55" t="n"/>
      <c r="BT171" s="55" t="n"/>
      <c r="BU171" s="12" t="n"/>
      <c r="BV171" s="55" t="n"/>
      <c r="BW171" s="55" t="n"/>
      <c r="BX171" s="55" t="n"/>
      <c r="BY171" s="55" t="n"/>
      <c r="BZ171" s="12" t="n"/>
      <c r="CA171" s="55" t="n"/>
      <c r="CB171" s="55" t="n"/>
      <c r="CC171" s="55" t="n"/>
      <c r="CD171" s="55" t="n"/>
      <c r="CE171" s="12" t="n"/>
      <c r="CF171" s="55" t="n"/>
      <c r="CG171" s="55" t="n"/>
      <c r="CH171" s="55" t="n"/>
      <c r="CI171" s="55" t="n"/>
      <c r="CJ171" s="12" t="n"/>
      <c r="CK171" s="55" t="n"/>
      <c r="CL171" s="55" t="n"/>
      <c r="CM171" s="55" t="n"/>
      <c r="CN171" s="55" t="n"/>
      <c r="CO171" s="12" t="n"/>
      <c r="CP171" s="55" t="n"/>
      <c r="CQ171" s="55" t="n"/>
      <c r="CR171" s="55" t="n"/>
      <c r="CS171" s="55" t="n"/>
      <c r="CT171" s="12" t="n"/>
      <c r="CU171" s="55" t="n"/>
      <c r="CV171" s="55" t="n"/>
      <c r="CW171" s="55" t="n"/>
      <c r="CX171" s="55" t="n"/>
      <c r="CY171" s="12" t="n"/>
    </row>
    <row r="172" hidden="1" outlineLevel="1">
      <c r="C172" s="57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collapsed="1">
      <c r="C173" s="14" t="inlineStr">
        <is>
          <t>Goodwill</t>
        </is>
      </c>
      <c r="D173" s="46" t="n"/>
      <c r="E173" s="46" t="n"/>
      <c r="F173" s="46" t="n"/>
      <c r="G173" s="46" t="n"/>
      <c r="H173" s="12" t="n"/>
      <c r="I173" s="46">
        <f>'Inputs (2)'!D24</f>
        <v>0</v>
      </c>
      <c r="J173" s="46">
        <f>'Inputs (2)'!E24</f>
        <v>0</v>
      </c>
      <c r="K173" s="46">
        <f>'Inputs (2)'!F24</f>
        <v>0</v>
      </c>
      <c r="L173" s="46">
        <f>'Inputs (2)'!G24</f>
        <v>0</v>
      </c>
      <c r="M173" s="12">
        <f>'Inputs (2)'!H24</f>
        <v>0</v>
      </c>
      <c r="N173" s="46">
        <f>'Inputs (2)'!I24</f>
        <v>0</v>
      </c>
      <c r="O173" s="46">
        <f>'Inputs (2)'!J24</f>
        <v>0</v>
      </c>
      <c r="P173" s="46">
        <f>'Inputs (2)'!K24</f>
        <v>0</v>
      </c>
      <c r="Q173" s="46">
        <f>'Inputs (2)'!L24</f>
        <v>0</v>
      </c>
      <c r="R173" s="12">
        <f>'Inputs (2)'!M24</f>
        <v>0</v>
      </c>
      <c r="S173" s="46">
        <f>'Inputs (2)'!N24</f>
        <v>0</v>
      </c>
      <c r="T173" s="46">
        <f>'Inputs (2)'!O24</f>
        <v>0</v>
      </c>
      <c r="U173" s="46">
        <f>'Inputs (2)'!P24</f>
        <v>0</v>
      </c>
      <c r="V173" s="46">
        <f>'Inputs (2)'!Q24</f>
        <v>0</v>
      </c>
      <c r="W173" s="12">
        <f>'Inputs (2)'!R24</f>
        <v>0</v>
      </c>
      <c r="X173" s="46">
        <f>'Inputs (2)'!S24</f>
        <v>0</v>
      </c>
      <c r="Y173" s="46">
        <f>'Inputs (2)'!T24</f>
        <v>0</v>
      </c>
      <c r="Z173" s="46">
        <f>'Inputs (2)'!U24</f>
        <v>0</v>
      </c>
      <c r="AA173" s="46">
        <f>'Inputs (2)'!V24</f>
        <v>0</v>
      </c>
      <c r="AB173" s="12">
        <f>'Inputs (2)'!W24</f>
        <v>0</v>
      </c>
      <c r="AC173" s="46">
        <f>'Inputs (2)'!X24</f>
        <v>0</v>
      </c>
      <c r="AD173" s="46">
        <f>'Inputs (2)'!Y24</f>
        <v>0</v>
      </c>
      <c r="AE173" s="46">
        <f>'Inputs (2)'!Z24</f>
        <v>0</v>
      </c>
      <c r="AF173" s="46">
        <f>'Inputs (2)'!AA24</f>
        <v>0</v>
      </c>
      <c r="AG173" s="12">
        <f>'Inputs (2)'!AB24</f>
        <v>0</v>
      </c>
      <c r="AH173" s="12">
        <f>'Inputs (2)'!AC24</f>
        <v>0</v>
      </c>
      <c r="AI173" s="12">
        <f>'Inputs (2)'!AD24</f>
        <v>0</v>
      </c>
      <c r="AJ173" s="12">
        <f>AI173</f>
        <v>0</v>
      </c>
      <c r="AK173" s="12">
        <f>AJ173</f>
        <v>0</v>
      </c>
      <c r="AL173" s="12">
        <f>AK173</f>
        <v>0</v>
      </c>
      <c r="AM173" s="12">
        <f>AL173</f>
        <v>0</v>
      </c>
      <c r="AN173" s="12">
        <f>AM173</f>
        <v>0</v>
      </c>
      <c r="AO173" s="12">
        <f>AN173</f>
        <v>0</v>
      </c>
      <c r="AP173" s="12">
        <f>AO173</f>
        <v>0</v>
      </c>
      <c r="AQ173" s="12">
        <f>AP173</f>
        <v>0</v>
      </c>
      <c r="AR173" s="12">
        <f>AQ173</f>
        <v>0</v>
      </c>
      <c r="AS173" s="12">
        <f>AR173</f>
        <v>0</v>
      </c>
      <c r="AT173" s="12">
        <f>AS173</f>
        <v>0</v>
      </c>
      <c r="AU173" s="12">
        <f>AT173</f>
        <v>0</v>
      </c>
      <c r="AV173" s="12">
        <f>AU173</f>
        <v>0</v>
      </c>
      <c r="AW173" s="12">
        <f>AV173</f>
        <v>0</v>
      </c>
      <c r="AX173" s="12">
        <f>AW173</f>
        <v>0</v>
      </c>
      <c r="AY173" s="12">
        <f>AX173</f>
        <v>0</v>
      </c>
      <c r="AZ173" s="12">
        <f>AY173</f>
        <v>0</v>
      </c>
      <c r="BA173" s="12">
        <f>AZ173</f>
        <v>0</v>
      </c>
      <c r="BB173" s="12">
        <f>BA173</f>
        <v>0</v>
      </c>
      <c r="BC173" s="12">
        <f>BB173</f>
        <v>0</v>
      </c>
      <c r="BD173" s="12">
        <f>BC173</f>
        <v>0</v>
      </c>
      <c r="BE173" s="12">
        <f>BD173</f>
        <v>0</v>
      </c>
      <c r="BF173" s="12">
        <f>BE173</f>
        <v>0</v>
      </c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>
      <c r="C174" s="14" t="inlineStr">
        <is>
          <t>Intangibles</t>
        </is>
      </c>
      <c r="D174" s="46" t="n"/>
      <c r="E174" s="46" t="n"/>
      <c r="F174" s="46" t="n"/>
      <c r="G174" s="46" t="n"/>
      <c r="H174" s="12" t="n"/>
      <c r="I174" s="46">
        <f>'Inputs (2)'!D25</f>
        <v>0</v>
      </c>
      <c r="J174" s="46">
        <f>'Inputs (2)'!E25</f>
        <v>0</v>
      </c>
      <c r="K174" s="46">
        <f>'Inputs (2)'!F25</f>
        <v>0</v>
      </c>
      <c r="L174" s="46">
        <f>'Inputs (2)'!G25</f>
        <v>0</v>
      </c>
      <c r="M174" s="12">
        <f>'Inputs (2)'!H25</f>
        <v>0</v>
      </c>
      <c r="N174" s="46">
        <f>'Inputs (2)'!I25</f>
        <v>0</v>
      </c>
      <c r="O174" s="46">
        <f>'Inputs (2)'!J25</f>
        <v>0</v>
      </c>
      <c r="P174" s="46">
        <f>'Inputs (2)'!K25</f>
        <v>0</v>
      </c>
      <c r="Q174" s="46">
        <f>'Inputs (2)'!L25</f>
        <v>0</v>
      </c>
      <c r="R174" s="12">
        <f>'Inputs (2)'!M25</f>
        <v>0</v>
      </c>
      <c r="S174" s="46">
        <f>'Inputs (2)'!N25</f>
        <v>0</v>
      </c>
      <c r="T174" s="46">
        <f>'Inputs (2)'!O25</f>
        <v>0</v>
      </c>
      <c r="U174" s="46">
        <f>'Inputs (2)'!P25</f>
        <v>0</v>
      </c>
      <c r="V174" s="46">
        <f>'Inputs (2)'!Q25</f>
        <v>0</v>
      </c>
      <c r="W174" s="12">
        <f>'Inputs (2)'!R25</f>
        <v>0</v>
      </c>
      <c r="X174" s="46">
        <f>'Inputs (2)'!S25</f>
        <v>0</v>
      </c>
      <c r="Y174" s="46">
        <f>'Inputs (2)'!T25</f>
        <v>0</v>
      </c>
      <c r="Z174" s="46">
        <f>'Inputs (2)'!U25</f>
        <v>0</v>
      </c>
      <c r="AA174" s="46">
        <f>'Inputs (2)'!V25</f>
        <v>0</v>
      </c>
      <c r="AB174" s="12">
        <f>'Inputs (2)'!W25</f>
        <v>0</v>
      </c>
      <c r="AC174" s="46">
        <f>'Inputs (2)'!X25</f>
        <v>0</v>
      </c>
      <c r="AD174" s="46">
        <f>'Inputs (2)'!Y25</f>
        <v>0</v>
      </c>
      <c r="AE174" s="46">
        <f>'Inputs (2)'!Z25</f>
        <v>0</v>
      </c>
      <c r="AF174" s="46">
        <f>'Inputs (2)'!AA25</f>
        <v>0</v>
      </c>
      <c r="AG174" s="12">
        <f>'Inputs (2)'!AB25</f>
        <v>0</v>
      </c>
      <c r="AH174" s="12">
        <f>'Inputs (2)'!AC25</f>
        <v>0</v>
      </c>
      <c r="AI174" s="12">
        <f>'Inputs (2)'!AD25</f>
        <v>0</v>
      </c>
      <c r="AJ174" s="12">
        <f>AI174</f>
        <v>0</v>
      </c>
      <c r="AK174" s="12">
        <f>AJ174</f>
        <v>0</v>
      </c>
      <c r="AL174" s="12">
        <f>AK174</f>
        <v>0</v>
      </c>
      <c r="AM174" s="16">
        <f>AL174</f>
        <v>0</v>
      </c>
      <c r="AN174" s="12">
        <f>AM174</f>
        <v>0</v>
      </c>
      <c r="AO174" s="12">
        <f>AN174</f>
        <v>0</v>
      </c>
      <c r="AP174" s="12">
        <f>AO174</f>
        <v>0</v>
      </c>
      <c r="AQ174" s="12">
        <f>AP174</f>
        <v>0</v>
      </c>
      <c r="AR174" s="16">
        <f>AQ174</f>
        <v>0</v>
      </c>
      <c r="AS174" s="12">
        <f>AR174</f>
        <v>0</v>
      </c>
      <c r="AT174" s="12">
        <f>AS174</f>
        <v>0</v>
      </c>
      <c r="AU174" s="12">
        <f>AT174</f>
        <v>0</v>
      </c>
      <c r="AV174" s="12">
        <f>AU174</f>
        <v>0</v>
      </c>
      <c r="AW174" s="16">
        <f>AV174</f>
        <v>0</v>
      </c>
      <c r="AX174" s="12">
        <f>AW174</f>
        <v>0</v>
      </c>
      <c r="AY174" s="12">
        <f>AX174</f>
        <v>0</v>
      </c>
      <c r="AZ174" s="12">
        <f>AY174</f>
        <v>0</v>
      </c>
      <c r="BA174" s="12">
        <f>AZ174</f>
        <v>0</v>
      </c>
      <c r="BB174" s="16">
        <f>BA174</f>
        <v>0</v>
      </c>
      <c r="BC174" s="12">
        <f>BB174</f>
        <v>0</v>
      </c>
      <c r="BD174" s="12">
        <f>BC174</f>
        <v>0</v>
      </c>
      <c r="BE174" s="12">
        <f>BD174</f>
        <v>0</v>
      </c>
      <c r="BF174" s="12">
        <f>BE174</f>
        <v>0</v>
      </c>
      <c r="BH174" s="12" t="n"/>
      <c r="BI174" s="12" t="n"/>
      <c r="BJ174" s="12" t="n"/>
      <c r="BK174" s="12" t="n"/>
      <c r="BM174" s="12" t="n"/>
      <c r="BN174" s="12" t="n"/>
      <c r="BO174" s="12" t="n"/>
      <c r="BP174" s="12" t="n"/>
      <c r="BR174" s="12" t="n"/>
      <c r="BS174" s="12" t="n"/>
      <c r="BT174" s="12" t="n"/>
      <c r="BU174" s="12" t="n"/>
      <c r="BW174" s="12" t="n"/>
      <c r="BX174" s="12" t="n"/>
      <c r="BY174" s="12" t="n"/>
      <c r="BZ174" s="12" t="n"/>
      <c r="CB174" s="12" t="n"/>
      <c r="CC174" s="12" t="n"/>
      <c r="CD174" s="12" t="n"/>
      <c r="CE174" s="12" t="n"/>
      <c r="CG174" s="12" t="n"/>
      <c r="CH174" s="12" t="n"/>
      <c r="CI174" s="12" t="n"/>
      <c r="CJ174" s="12" t="n"/>
      <c r="CL174" s="12" t="n"/>
      <c r="CM174" s="12" t="n"/>
      <c r="CN174" s="12" t="n"/>
      <c r="CO174" s="12" t="n"/>
      <c r="CQ174" s="12" t="n"/>
      <c r="CR174" s="12" t="n"/>
      <c r="CS174" s="12" t="n"/>
      <c r="CT174" s="12" t="n"/>
      <c r="CV174" s="12" t="n"/>
      <c r="CW174" s="12" t="n"/>
      <c r="CX174" s="12" t="n"/>
      <c r="CY174" s="12" t="n"/>
    </row>
    <row r="175" hidden="1" outlineLevel="1">
      <c r="C175" s="57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7" t="inlineStr">
        <is>
          <t>Purchase of intangible assets</t>
        </is>
      </c>
      <c r="D176" s="12" t="n"/>
      <c r="E176" s="12" t="n"/>
      <c r="F176" s="12" t="n"/>
      <c r="G176" s="12" t="n"/>
      <c r="H176" s="12" t="n"/>
      <c r="I176" s="12" t="str">
        <f>IF(COUNT(H174)=0,"",I174-H174-I78)</f>
        <v/>
      </c>
      <c r="J176" s="12">
        <f>J174-I174-J78</f>
        <v>0</v>
      </c>
      <c r="K176" s="12">
        <f>K174-J174-K78</f>
        <v>0</v>
      </c>
      <c r="L176" s="12">
        <f>L174-K174-L78</f>
        <v>0</v>
      </c>
      <c r="M176" s="12" t="n"/>
      <c r="N176" s="12">
        <f>N174-M174-N78</f>
        <v>0</v>
      </c>
      <c r="O176" s="12">
        <f>O174-N174-O78</f>
        <v>0</v>
      </c>
      <c r="P176" s="12">
        <f>P174-O174-P78</f>
        <v>0</v>
      </c>
      <c r="Q176" s="12">
        <f>Q174-P174-Q78</f>
        <v>0</v>
      </c>
      <c r="R176" s="12" t="n"/>
      <c r="S176" s="12">
        <f>S174-R174-S78</f>
        <v>0</v>
      </c>
      <c r="T176" s="12">
        <f>T174-S174-T78</f>
        <v>0</v>
      </c>
      <c r="U176" s="12">
        <f>U174-T174-U78</f>
        <v>0</v>
      </c>
      <c r="V176" s="12">
        <f>V174-U174-V78</f>
        <v>0</v>
      </c>
      <c r="W176" s="12" t="n"/>
      <c r="X176" s="12">
        <f>X174-W174-X78</f>
        <v>0</v>
      </c>
      <c r="Y176" s="12">
        <f>Y174-X174-Y78</f>
        <v>0</v>
      </c>
      <c r="Z176" s="12">
        <f>Z174-Y174-Z78</f>
        <v>0</v>
      </c>
      <c r="AA176" s="12">
        <f>AA174-Z174-AA78</f>
        <v>0</v>
      </c>
      <c r="AB176" s="12" t="n"/>
      <c r="AC176" s="12">
        <f>AC174-AB174-AC78</f>
        <v>0</v>
      </c>
      <c r="AD176" s="12">
        <f>AD174-AC174-AD78</f>
        <v>0</v>
      </c>
      <c r="AE176" s="12">
        <f>AE174-AD174-AE78</f>
        <v>0</v>
      </c>
      <c r="AF176" s="12">
        <f>AF174-AE174-AF78</f>
        <v>0</v>
      </c>
      <c r="AG176" s="12" t="n"/>
      <c r="AH176" s="11">
        <f>AH174-AG174-AH78</f>
        <v>0</v>
      </c>
      <c r="AI176" s="11">
        <f>AI174-AH174-AI78</f>
        <v>0</v>
      </c>
      <c r="AJ176" s="11" t="n"/>
      <c r="AK176" s="11" t="n"/>
      <c r="AL176" s="12" t="n"/>
      <c r="AM176" s="11" t="n"/>
      <c r="AN176" s="11" t="n"/>
      <c r="AO176" s="11" t="n"/>
      <c r="AP176" s="11" t="n"/>
      <c r="AQ176" s="12" t="n"/>
      <c r="AR176" s="11" t="n"/>
      <c r="AS176" s="11" t="n"/>
      <c r="AT176" s="11" t="n"/>
      <c r="AU176" s="11" t="n"/>
      <c r="AV176" s="12" t="n"/>
      <c r="AW176" s="11" t="n"/>
      <c r="AX176" s="11" t="n"/>
      <c r="AY176" s="11" t="n"/>
      <c r="AZ176" s="11" t="n"/>
      <c r="BA176" s="12" t="n"/>
      <c r="BB176" s="11" t="n"/>
      <c r="BC176" s="11" t="n"/>
      <c r="BD176" s="11" t="n"/>
      <c r="BE176" s="11" t="n"/>
      <c r="BF176" s="12" t="n"/>
      <c r="BG176" s="11" t="n"/>
      <c r="BH176" s="11" t="n"/>
      <c r="BI176" s="11" t="n"/>
      <c r="BJ176" s="11" t="n"/>
      <c r="BK176" s="12" t="n"/>
      <c r="BL176" s="11" t="n"/>
      <c r="BM176" s="11" t="n"/>
      <c r="BN176" s="11" t="n"/>
      <c r="BO176" s="11" t="n"/>
      <c r="BP176" s="12" t="n"/>
      <c r="BQ176" s="11" t="n"/>
      <c r="BR176" s="11" t="n"/>
      <c r="BS176" s="11" t="n"/>
      <c r="BT176" s="11" t="n"/>
      <c r="BU176" s="12" t="n"/>
      <c r="BV176" s="11" t="n"/>
      <c r="BW176" s="11" t="n"/>
      <c r="BX176" s="11" t="n"/>
      <c r="BY176" s="11" t="n"/>
      <c r="BZ176" s="12" t="n"/>
      <c r="CA176" s="11" t="n"/>
      <c r="CB176" s="11" t="n"/>
      <c r="CC176" s="11" t="n"/>
      <c r="CD176" s="11" t="n"/>
      <c r="CE176" s="12" t="n"/>
      <c r="CF176" s="11" t="n"/>
      <c r="CG176" s="11" t="n"/>
      <c r="CH176" s="11" t="n"/>
      <c r="CI176" s="11" t="n"/>
      <c r="CJ176" s="12" t="n"/>
      <c r="CK176" s="11" t="n"/>
      <c r="CL176" s="11" t="n"/>
      <c r="CM176" s="11" t="n"/>
      <c r="CN176" s="11" t="n"/>
      <c r="CO176" s="12" t="n"/>
      <c r="CP176" s="11" t="n"/>
      <c r="CQ176" s="11" t="n"/>
      <c r="CR176" s="11" t="n"/>
      <c r="CS176" s="11" t="n"/>
      <c r="CT176" s="12" t="n"/>
      <c r="CU176" s="11" t="n"/>
      <c r="CV176" s="11" t="n"/>
      <c r="CW176" s="11" t="n"/>
      <c r="CX176" s="11" t="n"/>
      <c r="CY176" s="12" t="n"/>
    </row>
    <row r="177" hidden="1" outlineLevel="1">
      <c r="C177" s="57" t="inlineStr">
        <is>
          <t>Amortization (enter as -)</t>
        </is>
      </c>
      <c r="D177" s="12" t="n"/>
      <c r="E177" s="12" t="n"/>
      <c r="F177" s="12" t="n"/>
      <c r="G177" s="12" t="n"/>
      <c r="H177" s="12" t="n"/>
      <c r="I177" s="12">
        <f>I77</f>
        <v>0</v>
      </c>
      <c r="J177" s="12">
        <f>J77</f>
        <v>0</v>
      </c>
      <c r="K177" s="12">
        <f>K77</f>
        <v>0</v>
      </c>
      <c r="L177" s="12">
        <f>L77</f>
        <v>0</v>
      </c>
      <c r="M177" s="12" t="n"/>
      <c r="N177" s="12">
        <f>N77</f>
        <v>0</v>
      </c>
      <c r="O177" s="12">
        <f>O77</f>
        <v>0</v>
      </c>
      <c r="P177" s="12">
        <f>P77</f>
        <v>0</v>
      </c>
      <c r="Q177" s="12">
        <f>Q77</f>
        <v>0</v>
      </c>
      <c r="R177" s="12" t="n"/>
      <c r="S177" s="12">
        <f>S77</f>
        <v>0</v>
      </c>
      <c r="T177" s="12">
        <f>T77</f>
        <v>0</v>
      </c>
      <c r="U177" s="12">
        <f>U77</f>
        <v>0</v>
      </c>
      <c r="V177" s="12">
        <f>V77</f>
        <v>0</v>
      </c>
      <c r="W177" s="12" t="n"/>
      <c r="X177" s="12">
        <f>X77</f>
        <v>0</v>
      </c>
      <c r="Y177" s="12">
        <f>Y77</f>
        <v>0</v>
      </c>
      <c r="Z177" s="12">
        <f>Z77</f>
        <v>0</v>
      </c>
      <c r="AA177" s="12">
        <f>AA77</f>
        <v>0</v>
      </c>
      <c r="AB177" s="12" t="n"/>
      <c r="AC177" s="12">
        <f>AC77</f>
        <v>0</v>
      </c>
      <c r="AD177" s="12">
        <f>AD77</f>
        <v>0</v>
      </c>
      <c r="AE177" s="12">
        <f>AE77</f>
        <v>0</v>
      </c>
      <c r="AF177" s="12">
        <f>AF77</f>
        <v>0</v>
      </c>
      <c r="AG177" s="12" t="n"/>
      <c r="AH177" s="12">
        <f>AH77</f>
        <v>0</v>
      </c>
      <c r="AI177" s="11">
        <f>AI77</f>
        <v>0</v>
      </c>
      <c r="AJ177" s="11" t="n"/>
      <c r="AK177" s="11" t="n"/>
      <c r="AL177" s="12" t="n"/>
      <c r="AM177" s="11" t="n"/>
      <c r="AN177" s="11" t="n"/>
      <c r="AO177" s="11" t="n"/>
      <c r="AP177" s="11" t="n"/>
      <c r="AQ177" s="12" t="n"/>
      <c r="AR177" s="11" t="n"/>
      <c r="AS177" s="11" t="n"/>
      <c r="AT177" s="11" t="n"/>
      <c r="AU177" s="11" t="n"/>
      <c r="AV177" s="12" t="n"/>
      <c r="AW177" s="11" t="n"/>
      <c r="AX177" s="11" t="n"/>
      <c r="AY177" s="11" t="n"/>
      <c r="AZ177" s="11" t="n"/>
      <c r="BA177" s="12" t="n"/>
      <c r="BB177" s="11" t="n"/>
      <c r="BC177" s="11" t="n"/>
      <c r="BD177" s="11" t="n"/>
      <c r="BE177" s="11" t="n"/>
      <c r="BF177" s="12" t="n"/>
      <c r="BG177" s="11" t="n"/>
      <c r="BH177" s="11" t="n"/>
      <c r="BI177" s="11" t="n"/>
      <c r="BJ177" s="11" t="n"/>
      <c r="BK177" s="12" t="n"/>
      <c r="BL177" s="11" t="n"/>
      <c r="BM177" s="11" t="n"/>
      <c r="BN177" s="11" t="n"/>
      <c r="BO177" s="11" t="n"/>
      <c r="BP177" s="12" t="n"/>
      <c r="BQ177" s="11" t="n"/>
      <c r="BR177" s="11" t="n"/>
      <c r="BS177" s="11" t="n"/>
      <c r="BT177" s="11" t="n"/>
      <c r="BU177" s="12" t="n"/>
      <c r="BV177" s="11" t="n"/>
      <c r="BW177" s="11" t="n"/>
      <c r="BX177" s="11" t="n"/>
      <c r="BY177" s="11" t="n"/>
      <c r="BZ177" s="12" t="n"/>
      <c r="CA177" s="11" t="n"/>
      <c r="CB177" s="11" t="n"/>
      <c r="CC177" s="11" t="n"/>
      <c r="CD177" s="11" t="n"/>
      <c r="CE177" s="12" t="n"/>
      <c r="CF177" s="11" t="n"/>
      <c r="CG177" s="11" t="n"/>
      <c r="CH177" s="11" t="n"/>
      <c r="CI177" s="11" t="n"/>
      <c r="CJ177" s="12" t="n"/>
      <c r="CK177" s="11" t="n"/>
      <c r="CL177" s="11" t="n"/>
      <c r="CM177" s="11" t="n"/>
      <c r="CN177" s="11" t="n"/>
      <c r="CO177" s="12" t="n"/>
      <c r="CP177" s="11" t="n"/>
      <c r="CQ177" s="11" t="n"/>
      <c r="CR177" s="11" t="n"/>
      <c r="CS177" s="11" t="n"/>
      <c r="CT177" s="12" t="n"/>
      <c r="CU177" s="11" t="n"/>
      <c r="CV177" s="11" t="n"/>
      <c r="CW177" s="11" t="n"/>
      <c r="CX177" s="11" t="n"/>
      <c r="CY177" s="12" t="n"/>
    </row>
    <row r="178" hidden="1" outlineLevel="1">
      <c r="C178" s="57" t="inlineStr">
        <is>
          <t>Intangibles</t>
        </is>
      </c>
      <c r="D178" s="12" t="n"/>
      <c r="E178" s="12" t="n"/>
      <c r="F178" s="12" t="n"/>
      <c r="G178" s="12" t="n"/>
      <c r="H178" s="12" t="n"/>
      <c r="I178" s="12">
        <f>I174</f>
        <v>0</v>
      </c>
      <c r="J178" s="12">
        <f>J174</f>
        <v>0</v>
      </c>
      <c r="K178" s="12">
        <f>K174</f>
        <v>0</v>
      </c>
      <c r="L178" s="12">
        <f>L174</f>
        <v>0</v>
      </c>
      <c r="M178" s="12">
        <f>M174</f>
        <v>0</v>
      </c>
      <c r="N178" s="12">
        <f>N174</f>
        <v>0</v>
      </c>
      <c r="O178" s="12">
        <f>O174</f>
        <v>0</v>
      </c>
      <c r="P178" s="12">
        <f>P174</f>
        <v>0</v>
      </c>
      <c r="Q178" s="12">
        <f>Q174</f>
        <v>0</v>
      </c>
      <c r="R178" s="12">
        <f>R174</f>
        <v>0</v>
      </c>
      <c r="S178" s="12">
        <f>S174</f>
        <v>0</v>
      </c>
      <c r="T178" s="12">
        <f>T174</f>
        <v>0</v>
      </c>
      <c r="U178" s="12">
        <f>U174</f>
        <v>0</v>
      </c>
      <c r="V178" s="12">
        <f>V174</f>
        <v>0</v>
      </c>
      <c r="W178" s="12">
        <f>W174</f>
        <v>0</v>
      </c>
      <c r="X178" s="12">
        <f>X174</f>
        <v>0</v>
      </c>
      <c r="Y178" s="12">
        <f>Y174</f>
        <v>0</v>
      </c>
      <c r="Z178" s="12">
        <f>Z174</f>
        <v>0</v>
      </c>
      <c r="AA178" s="12">
        <f>AA174</f>
        <v>0</v>
      </c>
      <c r="AB178" s="12">
        <f>AB174</f>
        <v>0</v>
      </c>
      <c r="AC178" s="12">
        <f>AC174</f>
        <v>0</v>
      </c>
      <c r="AD178" s="12">
        <f>AD174</f>
        <v>0</v>
      </c>
      <c r="AE178" s="12">
        <f>AE174</f>
        <v>0</v>
      </c>
      <c r="AF178" s="12">
        <f>AF174</f>
        <v>0</v>
      </c>
      <c r="AG178" s="12">
        <f>AG174</f>
        <v>0</v>
      </c>
      <c r="AH178" s="12">
        <f>AH174</f>
        <v>0</v>
      </c>
      <c r="AI178" s="12">
        <f>AI174</f>
        <v>0</v>
      </c>
      <c r="AJ178" s="12">
        <f>AJ174</f>
        <v>0</v>
      </c>
      <c r="AK178" s="12">
        <f>AK174</f>
        <v>0</v>
      </c>
      <c r="AL178" s="12" t="n"/>
      <c r="AM178" s="12">
        <f>AM174</f>
        <v>0</v>
      </c>
      <c r="AN178" s="12">
        <f>AN174</f>
        <v>0</v>
      </c>
      <c r="AO178" s="12">
        <f>AO174</f>
        <v>0</v>
      </c>
      <c r="AP178" s="12">
        <f>AP174</f>
        <v>0</v>
      </c>
      <c r="AQ178" s="12" t="n"/>
      <c r="AR178" s="12">
        <f>AR174</f>
        <v>0</v>
      </c>
      <c r="AS178" s="12">
        <f>AS174</f>
        <v>0</v>
      </c>
      <c r="AT178" s="12">
        <f>AT174</f>
        <v>0</v>
      </c>
      <c r="AU178" s="12">
        <f>AU174</f>
        <v>0</v>
      </c>
      <c r="AV178" s="12" t="n"/>
      <c r="AW178" s="12">
        <f>AW174</f>
        <v>0</v>
      </c>
      <c r="AX178" s="12">
        <f>AX174</f>
        <v>0</v>
      </c>
      <c r="AY178" s="12">
        <f>AY174</f>
        <v>0</v>
      </c>
      <c r="AZ178" s="12">
        <f>AZ174</f>
        <v>0</v>
      </c>
      <c r="BA178" s="12" t="n"/>
      <c r="BB178" s="12">
        <f>BB174</f>
        <v>0</v>
      </c>
      <c r="BC178" s="12">
        <f>BC174</f>
        <v>0</v>
      </c>
      <c r="BD178" s="12">
        <f>BD174</f>
        <v>0</v>
      </c>
      <c r="BE178" s="12">
        <f>BE174</f>
        <v>0</v>
      </c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57" t="inlineStr">
        <is>
          <t>Definir % do D&amp;A No PPE and Intagibles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collapsed="1">
      <c r="C183" s="14" t="inlineStr">
        <is>
          <t>Other non-current assets</t>
        </is>
      </c>
      <c r="D183" s="46" t="n"/>
      <c r="E183" s="46" t="n"/>
      <c r="F183" s="46" t="n"/>
      <c r="G183" s="46" t="n"/>
      <c r="H183" s="12" t="n"/>
      <c r="I183" s="46">
        <f>'Inputs (2)'!D26</f>
        <v>29000.087</v>
      </c>
      <c r="J183" s="46">
        <f>'Inputs (2)'!E26</f>
        <v>30259.256</v>
      </c>
      <c r="K183" s="46">
        <f>'Inputs (2)'!F26</f>
        <v>32103.956</v>
      </c>
      <c r="L183" s="46">
        <f>'Inputs (2)'!G26</f>
        <v>35191.385</v>
      </c>
      <c r="M183" s="12">
        <f>'Inputs (2)'!H26</f>
        <v>35191.385</v>
      </c>
      <c r="N183" s="46">
        <f>'Inputs (2)'!I26</f>
        <v>35849.126</v>
      </c>
      <c r="O183" s="46">
        <f>'Inputs (2)'!J26</f>
        <v>37148.237</v>
      </c>
      <c r="P183" s="46">
        <f>'Inputs (2)'!K26</f>
        <v>37372.53</v>
      </c>
      <c r="Q183" s="46">
        <f>'Inputs (2)'!L26</f>
        <v>37930.038</v>
      </c>
      <c r="R183" s="12">
        <f>'Inputs (2)'!M26</f>
        <v>37930.038</v>
      </c>
      <c r="S183" s="46">
        <f>'Inputs (2)'!N26</f>
        <v>37594.628</v>
      </c>
      <c r="T183" s="46">
        <f>'Inputs (2)'!O26</f>
        <v>37839.169</v>
      </c>
      <c r="U183" s="46">
        <f>'Inputs (2)'!P26</f>
        <v>37223.921</v>
      </c>
      <c r="V183" s="46">
        <f>'Inputs (2)'!Q26</f>
        <v>37322.415</v>
      </c>
      <c r="W183" s="12">
        <f>'Inputs (2)'!R26</f>
        <v>37322.415</v>
      </c>
      <c r="X183" s="46">
        <f>'Inputs (2)'!S26</f>
        <v>37405.24</v>
      </c>
      <c r="Y183" s="46">
        <f>'Inputs (2)'!T26</f>
        <v>37972.384</v>
      </c>
      <c r="Z183" s="46">
        <f>'Inputs (2)'!U26</f>
        <v>38584.533</v>
      </c>
      <c r="AA183" s="46">
        <f>'Inputs (2)'!V26</f>
        <v>38936.239</v>
      </c>
      <c r="AB183" s="12">
        <f>'Inputs (2)'!W26</f>
        <v>38936.239</v>
      </c>
      <c r="AC183" s="46">
        <f>'Inputs (2)'!X26</f>
        <v>38745.666</v>
      </c>
      <c r="AD183" s="46">
        <f>'Inputs (2)'!Y26</f>
        <v>39362.992</v>
      </c>
      <c r="AE183" s="46">
        <f>'Inputs (2)'!Z26</f>
        <v>40134.011</v>
      </c>
      <c r="AF183" s="46">
        <f>'Inputs (2)'!AA26</f>
        <v>40572.452</v>
      </c>
      <c r="AG183" s="12">
        <f>'Inputs (2)'!AB26</f>
        <v>40572.452</v>
      </c>
      <c r="AH183" s="12">
        <f>'Inputs (2)'!AC26</f>
        <v>41797.103</v>
      </c>
      <c r="AI183" s="12">
        <f>'Inputs (2)'!AD26</f>
        <v>42198.29</v>
      </c>
      <c r="AJ183" s="12">
        <f>AI183</f>
        <v>42198.29</v>
      </c>
      <c r="AK183" s="12">
        <f>AJ183</f>
        <v>42198.29</v>
      </c>
      <c r="AL183" s="12">
        <f>AK183</f>
        <v>42198.29</v>
      </c>
      <c r="AM183" s="12">
        <f>AL183</f>
        <v>42198.29</v>
      </c>
      <c r="AN183" s="12">
        <f>AM183</f>
        <v>42198.29</v>
      </c>
      <c r="AO183" s="12">
        <f>AN183</f>
        <v>42198.29</v>
      </c>
      <c r="AP183" s="12">
        <f>AO183</f>
        <v>42198.29</v>
      </c>
      <c r="AQ183" s="12">
        <f>AP183</f>
        <v>42198.29</v>
      </c>
      <c r="AR183" s="12">
        <f>AQ183</f>
        <v>42198.29</v>
      </c>
      <c r="AS183" s="12">
        <f>AR183</f>
        <v>42198.29</v>
      </c>
      <c r="AT183" s="12">
        <f>AS183</f>
        <v>42198.29</v>
      </c>
      <c r="AU183" s="12">
        <f>AT183</f>
        <v>42198.29</v>
      </c>
      <c r="AV183" s="12">
        <f>AU183</f>
        <v>42198.29</v>
      </c>
      <c r="AW183" s="12">
        <f>AV183</f>
        <v>42198.29</v>
      </c>
      <c r="AX183" s="12">
        <f>AW183</f>
        <v>42198.29</v>
      </c>
      <c r="AY183" s="12">
        <f>AX183</f>
        <v>42198.29</v>
      </c>
      <c r="AZ183" s="12">
        <f>AY183</f>
        <v>42198.29</v>
      </c>
      <c r="BA183" s="12">
        <f>AZ183</f>
        <v>42198.29</v>
      </c>
      <c r="BB183" s="12">
        <f>BA183</f>
        <v>42198.29</v>
      </c>
      <c r="BC183" s="12">
        <f>BB183</f>
        <v>42198.29</v>
      </c>
      <c r="BD183" s="12">
        <f>BC183</f>
        <v>42198.29</v>
      </c>
      <c r="BE183" s="12">
        <f>BD183</f>
        <v>42198.29</v>
      </c>
      <c r="BF183" s="12">
        <f>BE183</f>
        <v>42198.29</v>
      </c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9" t="inlineStr">
        <is>
          <t>%(Var.)</t>
        </is>
      </c>
      <c r="D184" s="12" t="n"/>
      <c r="E184" s="40" t="n"/>
      <c r="F184" s="40" t="n"/>
      <c r="G184" s="40" t="n"/>
      <c r="H184" s="12" t="n"/>
      <c r="I184" s="40" t="str">
        <f>""</f>
        <v/>
      </c>
      <c r="J184" s="40">
        <f>IF(I183=0,"",J183/I183-1)</f>
        <v>0.043419490431184</v>
      </c>
      <c r="K184" s="40">
        <f>IF(J183=0,"",K183/J183-1)</f>
        <v>0.0609631644611486</v>
      </c>
      <c r="L184" s="40">
        <f>IF(K183=0,"",L183/K183-1)</f>
        <v>0.0961697368386627</v>
      </c>
      <c r="M184" s="12">
        <f>IF(L183=0,"",M183/L183-1)</f>
        <v>0</v>
      </c>
      <c r="N184" s="40">
        <f>IF(M183=0,"",N183/M183-1)</f>
        <v>0.018690398232408</v>
      </c>
      <c r="O184" s="40">
        <f>IF(N183=0,"",O183/N183-1)</f>
        <v>0.0362382893239854</v>
      </c>
      <c r="P184" s="40">
        <f>IF(O183=0,"",P183/O183-1)</f>
        <v>0.00603778316586046</v>
      </c>
      <c r="Q184" s="40">
        <f>IF(P183=0,"",Q183/P183-1)</f>
        <v>0.0149175878646697</v>
      </c>
      <c r="R184" s="12">
        <f>IF(Q183=0,"",R183/Q183-1)</f>
        <v>0</v>
      </c>
      <c r="S184" s="40">
        <f>IF(R183=0,"",S183/R183-1)</f>
        <v>-0.0088428595826876</v>
      </c>
      <c r="T184" s="40">
        <f>IF(S183=0,"",T183/S183-1)</f>
        <v>0.00650467933876087</v>
      </c>
      <c r="U184" s="40">
        <f>IF(T183=0,"",U183/T183-1)</f>
        <v>-0.0162595536915728</v>
      </c>
      <c r="V184" s="40">
        <f>IF(U183=0,"",V183/U183-1)</f>
        <v>0.00264598670301286</v>
      </c>
      <c r="W184" s="12">
        <f>IF(V183=0,"",W183/V183-1)</f>
        <v>0</v>
      </c>
      <c r="X184" s="40">
        <f>IF(W183=0,"",X183/W183-1)</f>
        <v>0.00221917579556408</v>
      </c>
      <c r="Y184" s="40">
        <f>IF(X183=0,"",Y183/X183-1)</f>
        <v>0.0151621537517204</v>
      </c>
      <c r="Z184" s="40">
        <f>IF(Y183=0,"",Z183/Y183-1)</f>
        <v>0.0161208998623843</v>
      </c>
      <c r="AA184" s="40">
        <f>IF(Z183=0,"",AA183/Z183-1)</f>
        <v>0.00911520686281198</v>
      </c>
      <c r="AB184" s="12">
        <f>IF(AA183=0,"",AB183/AA183-1)</f>
        <v>0</v>
      </c>
      <c r="AC184" s="40">
        <f>IF(AB183=0,"",AC183/AB183-1)</f>
        <v>-0.00489448916727686</v>
      </c>
      <c r="AD184" s="40">
        <f>IF(AC183=0,"",AD183/AC183-1)</f>
        <v>0.0159327755522385</v>
      </c>
      <c r="AE184" s="40">
        <f>IF(AD183=0,"",AE183/AD183-1)</f>
        <v>0.0195874083961911</v>
      </c>
      <c r="AF184" s="55">
        <f>IF(AE183=0,"",AF183/AE183-1)</f>
        <v>0.0109244251714586</v>
      </c>
      <c r="AG184" s="12">
        <f>IF(AF183=0,"",AG183/AF183-1)</f>
        <v>0</v>
      </c>
      <c r="AH184" s="55">
        <f>IF(AG183=0,"",AH183/AG183-1)</f>
        <v>0.0301842984495984</v>
      </c>
      <c r="AI184" s="55">
        <f>IF(AH183=0,"",AI183/AH183-1)</f>
        <v>0.0095984403512368</v>
      </c>
      <c r="AJ184" s="55">
        <f>IF(AI183=0,"",AJ183/AI183-1)</f>
        <v>0</v>
      </c>
      <c r="AK184" s="55">
        <f>IF(AJ183=0,"",AK183/AJ183-1)</f>
        <v>0</v>
      </c>
      <c r="AL184" s="12">
        <f>IF(AK183=0,"",AL183/AK183-1)</f>
        <v>0</v>
      </c>
      <c r="AM184" s="55">
        <f>IF(AL183=0,"",AM183/AL183-1)</f>
        <v>0</v>
      </c>
      <c r="AN184" s="55">
        <f>IF(AM183=0,"",AN183/AM183-1)</f>
        <v>0</v>
      </c>
      <c r="AO184" s="55">
        <f>IF(AN183=0,"",AO183/AN183-1)</f>
        <v>0</v>
      </c>
      <c r="AP184" s="55">
        <f>IF(AO183=0,"",AP183/AO183-1)</f>
        <v>0</v>
      </c>
      <c r="AQ184" s="12">
        <f>IF(AP183=0,"",AQ183/AP183-1)</f>
        <v>0</v>
      </c>
      <c r="AR184" s="55">
        <f>IF(AQ183=0,"",AR183/AQ183-1)</f>
        <v>0</v>
      </c>
      <c r="AS184" s="55">
        <f>IF(AR183=0,"",AS183/AR183-1)</f>
        <v>0</v>
      </c>
      <c r="AT184" s="55">
        <f>IF(AS183=0,"",AT183/AS183-1)</f>
        <v>0</v>
      </c>
      <c r="AU184" s="55">
        <f>IF(AT183=0,"",AU183/AT183-1)</f>
        <v>0</v>
      </c>
      <c r="AV184" s="12">
        <f>IF(AU183=0,"",AV183/AU183-1)</f>
        <v>0</v>
      </c>
      <c r="AW184" s="55">
        <f>IF(AV183=0,"",AW183/AV183-1)</f>
        <v>0</v>
      </c>
      <c r="AX184" s="55">
        <f>IF(AW183=0,"",AX183/AW183-1)</f>
        <v>0</v>
      </c>
      <c r="AY184" s="55">
        <f>IF(AX183=0,"",AY183/AX183-1)</f>
        <v>0</v>
      </c>
      <c r="AZ184" s="55">
        <f>IF(AY183=0,"",AZ183/AY183-1)</f>
        <v>0</v>
      </c>
      <c r="BA184" s="12">
        <f>IF(AZ183=0,"",BA183/AZ183-1)</f>
        <v>0</v>
      </c>
      <c r="BB184" s="55">
        <f>IF(BA183=0,"",BB183/BA183-1)</f>
        <v>0</v>
      </c>
      <c r="BC184" s="55">
        <f>IF(BB183=0,"",BC183/BB183-1)</f>
        <v>0</v>
      </c>
      <c r="BD184" s="55">
        <f>IF(BC183=0,"",BD183/BC183-1)</f>
        <v>0</v>
      </c>
      <c r="BE184" s="55">
        <f>IF(BD183=0,"",BE183/BD183-1)</f>
        <v>0</v>
      </c>
      <c r="BF184" s="12">
        <f>IF(BE183=0,"",BF183/BE183-1)</f>
        <v>0</v>
      </c>
      <c r="BG184" s="55" t="n"/>
      <c r="BH184" s="55" t="n"/>
      <c r="BI184" s="55" t="n"/>
      <c r="BJ184" s="55" t="n"/>
      <c r="BK184" s="12" t="n"/>
      <c r="BL184" s="55" t="n"/>
      <c r="BM184" s="55" t="n"/>
      <c r="BN184" s="55" t="n"/>
      <c r="BO184" s="55" t="n"/>
      <c r="BP184" s="12" t="n"/>
      <c r="BQ184" s="55" t="n"/>
      <c r="BR184" s="55" t="n"/>
      <c r="BS184" s="55" t="n"/>
      <c r="BT184" s="55" t="n"/>
      <c r="BU184" s="12" t="n"/>
      <c r="BV184" s="55" t="n"/>
      <c r="BW184" s="55" t="n"/>
      <c r="BX184" s="55" t="n"/>
      <c r="BY184" s="55" t="n"/>
      <c r="BZ184" s="12" t="n"/>
      <c r="CA184" s="55" t="n"/>
      <c r="CB184" s="55" t="n"/>
      <c r="CC184" s="55" t="n"/>
      <c r="CD184" s="55" t="n"/>
      <c r="CE184" s="12" t="n"/>
      <c r="CF184" s="55" t="n"/>
      <c r="CG184" s="55" t="n"/>
      <c r="CH184" s="55" t="n"/>
      <c r="CI184" s="55" t="n"/>
      <c r="CJ184" s="12" t="n"/>
      <c r="CK184" s="55" t="n"/>
      <c r="CL184" s="55" t="n"/>
      <c r="CM184" s="55" t="n"/>
      <c r="CN184" s="55" t="n"/>
      <c r="CO184" s="12" t="n"/>
      <c r="CP184" s="55" t="n"/>
      <c r="CQ184" s="55" t="n"/>
      <c r="CR184" s="55" t="n"/>
      <c r="CS184" s="55" t="n"/>
      <c r="CT184" s="12" t="n"/>
      <c r="CU184" s="55" t="n"/>
      <c r="CV184" s="55" t="n"/>
      <c r="CW184" s="55" t="n"/>
      <c r="CX184" s="55" t="n"/>
      <c r="CY184" s="12" t="n"/>
    </row>
    <row r="185" hidden="1" outlineLevel="1">
      <c r="C185" s="57" t="n"/>
      <c r="D185" s="12" t="n"/>
      <c r="E185" s="40" t="n"/>
      <c r="F185" s="40" t="n"/>
      <c r="G185" s="40" t="n"/>
      <c r="H185" s="12" t="n"/>
      <c r="I185" s="40" t="n"/>
      <c r="J185" s="40" t="n"/>
      <c r="K185" s="40" t="n"/>
      <c r="L185" s="40" t="n"/>
      <c r="M185" s="12" t="n"/>
      <c r="N185" s="40" t="n"/>
      <c r="O185" s="40" t="n"/>
      <c r="P185" s="40" t="n"/>
      <c r="Q185" s="40" t="n"/>
      <c r="R185" s="12" t="n"/>
      <c r="S185" s="40" t="n"/>
      <c r="T185" s="40" t="n"/>
      <c r="U185" s="40" t="n"/>
      <c r="V185" s="40" t="n"/>
      <c r="W185" s="12" t="n"/>
      <c r="X185" s="40" t="n"/>
      <c r="Y185" s="40" t="n"/>
      <c r="Z185" s="40" t="n"/>
      <c r="AA185" s="40" t="n"/>
      <c r="AB185" s="12" t="n"/>
      <c r="AC185" s="40" t="n"/>
      <c r="AD185" s="40" t="n"/>
      <c r="AE185" s="40" t="n"/>
      <c r="AF185" s="55" t="n"/>
      <c r="AG185" s="12" t="n"/>
      <c r="AH185" s="55" t="n"/>
      <c r="AI185" s="55" t="n"/>
      <c r="AJ185" s="55" t="n"/>
      <c r="AK185" s="55" t="n"/>
      <c r="AL185" s="12" t="n"/>
      <c r="AM185" s="55" t="n"/>
      <c r="AN185" s="55" t="n"/>
      <c r="AO185" s="55" t="n"/>
      <c r="AP185" s="55" t="n"/>
      <c r="AQ185" s="12" t="n"/>
      <c r="AR185" s="55" t="n"/>
      <c r="AS185" s="55" t="n"/>
      <c r="AT185" s="55" t="n"/>
      <c r="AU185" s="55" t="n"/>
      <c r="AV185" s="12" t="n"/>
      <c r="AW185" s="55" t="n"/>
      <c r="AX185" s="55" t="n"/>
      <c r="AY185" s="55" t="n"/>
      <c r="AZ185" s="55" t="n"/>
      <c r="BA185" s="12" t="n"/>
      <c r="BB185" s="55" t="n"/>
      <c r="BC185" s="55" t="n"/>
      <c r="BD185" s="55" t="n"/>
      <c r="BE185" s="55" t="n"/>
      <c r="BF185" s="12" t="n"/>
      <c r="BG185" s="55" t="n"/>
      <c r="BH185" s="55" t="n"/>
      <c r="BI185" s="55" t="n"/>
      <c r="BJ185" s="55" t="n"/>
      <c r="BK185" s="12" t="n"/>
      <c r="BL185" s="55" t="n"/>
      <c r="BM185" s="55" t="n"/>
      <c r="BN185" s="55" t="n"/>
      <c r="BO185" s="55" t="n"/>
      <c r="BP185" s="12" t="n"/>
      <c r="BQ185" s="55" t="n"/>
      <c r="BR185" s="55" t="n"/>
      <c r="BS185" s="55" t="n"/>
      <c r="BT185" s="55" t="n"/>
      <c r="BU185" s="12" t="n"/>
      <c r="BV185" s="55" t="n"/>
      <c r="BW185" s="55" t="n"/>
      <c r="BX185" s="55" t="n"/>
      <c r="BY185" s="55" t="n"/>
      <c r="BZ185" s="12" t="n"/>
      <c r="CA185" s="55" t="n"/>
      <c r="CB185" s="55" t="n"/>
      <c r="CC185" s="55" t="n"/>
      <c r="CD185" s="55" t="n"/>
      <c r="CE185" s="12" t="n"/>
      <c r="CF185" s="55" t="n"/>
      <c r="CG185" s="55" t="n"/>
      <c r="CH185" s="55" t="n"/>
      <c r="CI185" s="55" t="n"/>
      <c r="CJ185" s="12" t="n"/>
      <c r="CK185" s="55" t="n"/>
      <c r="CL185" s="55" t="n"/>
      <c r="CM185" s="55" t="n"/>
      <c r="CN185" s="55" t="n"/>
      <c r="CO185" s="12" t="n"/>
      <c r="CP185" s="55" t="n"/>
      <c r="CQ185" s="55" t="n"/>
      <c r="CR185" s="55" t="n"/>
      <c r="CS185" s="55" t="n"/>
      <c r="CT185" s="12" t="n"/>
      <c r="CU185" s="55" t="n"/>
      <c r="CV185" s="55" t="n"/>
      <c r="CW185" s="55" t="n"/>
      <c r="CX185" s="55" t="n"/>
      <c r="CY185" s="12" t="n"/>
    </row>
    <row r="186" hidden="1" outlineLevel="1">
      <c r="C186" s="60" t="inlineStr">
        <is>
          <t>Outros Créditos - LP</t>
        </is>
      </c>
      <c r="D186" s="11" t="n"/>
      <c r="E186" s="11" t="n"/>
      <c r="F186" s="11" t="n"/>
      <c r="G186" s="11" t="n"/>
      <c r="H186" s="12" t="n"/>
      <c r="I186" s="11" t="n"/>
      <c r="J186" s="11" t="n"/>
      <c r="K186" s="11" t="n"/>
      <c r="L186" s="11" t="n"/>
      <c r="M186" s="12" t="n"/>
      <c r="N186" s="11" t="n"/>
      <c r="O186" s="11" t="n"/>
      <c r="P186" s="11" t="n"/>
      <c r="Q186" s="11" t="n"/>
      <c r="R186" s="12" t="n"/>
      <c r="S186" s="11" t="n"/>
      <c r="T186" s="11" t="n"/>
      <c r="U186" s="11" t="n"/>
      <c r="V186" s="11" t="n"/>
      <c r="W186" s="12" t="n"/>
      <c r="X186" s="11" t="n"/>
      <c r="Y186" s="11" t="n"/>
      <c r="Z186" s="11" t="n"/>
      <c r="AA186" s="11" t="n"/>
      <c r="AB186" s="12" t="n"/>
      <c r="AC186" s="11" t="n"/>
      <c r="AD186" s="11" t="n"/>
      <c r="AE186" s="11" t="n"/>
      <c r="AF186" s="11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60" t="inlineStr">
        <is>
          <t xml:space="preserve">Impostos e Contribuições a Recuperar </t>
        </is>
      </c>
      <c r="D187" s="11" t="n"/>
      <c r="E187" s="11" t="n"/>
      <c r="F187" s="11" t="n"/>
      <c r="G187" s="11" t="n"/>
      <c r="H187" s="12" t="n"/>
      <c r="I187" s="11" t="n"/>
      <c r="J187" s="11" t="n"/>
      <c r="K187" s="11" t="n"/>
      <c r="L187" s="11" t="n"/>
      <c r="M187" s="12" t="n"/>
      <c r="N187" s="11" t="n"/>
      <c r="O187" s="11" t="n"/>
      <c r="P187" s="11" t="n"/>
      <c r="Q187" s="11" t="n"/>
      <c r="R187" s="12" t="n"/>
      <c r="S187" s="11" t="n"/>
      <c r="T187" s="11" t="n"/>
      <c r="U187" s="11" t="n"/>
      <c r="V187" s="11" t="n"/>
      <c r="W187" s="12" t="n"/>
      <c r="X187" s="11" t="n"/>
      <c r="Y187" s="11" t="n"/>
      <c r="Z187" s="11" t="n"/>
      <c r="AA187" s="11" t="n"/>
      <c r="AB187" s="12" t="n"/>
      <c r="AC187" s="11" t="n"/>
      <c r="AD187" s="11" t="n"/>
      <c r="AE187" s="11" t="n"/>
      <c r="AF187" s="11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60" t="inlineStr">
        <is>
          <t xml:space="preserve">Imposto de Renda e Contribuição Social Diferidos </t>
        </is>
      </c>
      <c r="D188" s="11" t="n"/>
      <c r="E188" s="11" t="n"/>
      <c r="F188" s="11" t="n"/>
      <c r="G188" s="11" t="n"/>
      <c r="H188" s="12" t="n"/>
      <c r="I188" s="11" t="n"/>
      <c r="J188" s="11" t="n"/>
      <c r="K188" s="11" t="n"/>
      <c r="L188" s="11" t="n"/>
      <c r="M188" s="12" t="n"/>
      <c r="N188" s="11" t="n"/>
      <c r="O188" s="11" t="n"/>
      <c r="P188" s="11" t="n"/>
      <c r="Q188" s="11" t="n"/>
      <c r="R188" s="12" t="n"/>
      <c r="S188" s="11" t="n"/>
      <c r="T188" s="11" t="n"/>
      <c r="U188" s="11" t="n"/>
      <c r="V188" s="11" t="n"/>
      <c r="W188" s="12" t="n"/>
      <c r="X188" s="11" t="n"/>
      <c r="Y188" s="11" t="n"/>
      <c r="Z188" s="11" t="n"/>
      <c r="AA188" s="11" t="n"/>
      <c r="AB188" s="12" t="n"/>
      <c r="AC188" s="11" t="n"/>
      <c r="AD188" s="11" t="n"/>
      <c r="AE188" s="11" t="n"/>
      <c r="AF188" s="11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60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collapsed="1" customFormat="1" s="32">
      <c r="A191" s="30" t="n"/>
      <c r="B191" s="3" t="n"/>
      <c r="C191" s="33" t="inlineStr">
        <is>
          <t>Total Assets</t>
        </is>
      </c>
      <c r="D191" s="35" t="n"/>
      <c r="E191" s="35" t="n"/>
      <c r="F191" s="35" t="n"/>
      <c r="G191" s="35" t="n"/>
      <c r="H191" s="35" t="n"/>
      <c r="I191" s="35">
        <f>SUM(I138,I139,I143,I147,I148,I149,I155,I160,I170,I173,I174,I183)</f>
        <v>40123.014</v>
      </c>
      <c r="J191" s="35">
        <f>SUM(J138,J139,J143,J147,J148,J149,J155,J160,J170,J173,J174,J183)</f>
        <v>40970.969</v>
      </c>
      <c r="K191" s="35">
        <f>SUM(K138,K139,K143,K147,K148,K149,K155,K160,K170,K173,K174,K183)</f>
        <v>42739.857</v>
      </c>
      <c r="L191" s="35">
        <f>SUM(L138,L139,L143,L147,L148,L149,L155,L160,L170,L173,L174,L183)</f>
        <v>44584.663</v>
      </c>
      <c r="M191" s="35">
        <f>SUM(M138,M139,M143,M147,M148,M149,M155,M160,M170,M173,M174,M183)</f>
        <v>44584.663</v>
      </c>
      <c r="N191" s="35">
        <f>SUM(N138,N139,N143,N147,N148,N149,N155,N160,N170,N173,N174,N183)</f>
        <v>45330.904</v>
      </c>
      <c r="O191" s="35">
        <f>SUM(O138,O139,O143,O147,O148,O149,O155,O160,O170,O173,O174,O183)</f>
        <v>46350.935</v>
      </c>
      <c r="P191" s="35">
        <f>SUM(P138,P139,P143,P147,P148,P149,P155,P160,P170,P173,P174,P183)</f>
        <v>47562.187</v>
      </c>
      <c r="Q191" s="35">
        <f>SUM(Q138,Q139,Q143,Q147,Q148,Q149,Q155,Q160,Q170,Q173,Q174,Q183)</f>
        <v>48594.768</v>
      </c>
      <c r="R191" s="35">
        <f>SUM(R138,R139,R143,R147,R148,R149,R155,R160,R170,R173,R174,R183)</f>
        <v>48594.768</v>
      </c>
      <c r="S191" s="35">
        <f>SUM(S138,S139,S143,S147,S148,S149,S155,S160,S170,S173,S174,S183)</f>
        <v>49490.345</v>
      </c>
      <c r="T191" s="35">
        <f>SUM(T138,T139,T143,T147,T148,T149,T155,T160,T170,T173,T174,T183)</f>
        <v>50817.473</v>
      </c>
      <c r="U191" s="35">
        <f>SUM(U138,U139,U143,U147,U148,U149,U155,U160,U170,U173,U174,U183)</f>
        <v>49501.786</v>
      </c>
      <c r="V191" s="35">
        <f>SUM(V138,V139,V143,V147,V148,V149,V155,V160,V170,V173,V174,V183)</f>
        <v>48731.992</v>
      </c>
      <c r="W191" s="35">
        <f>SUM(W138,W139,W143,W147,W148,W149,W155,W160,W170,W173,W174,W183)</f>
        <v>48731.992</v>
      </c>
      <c r="X191" s="35">
        <f>SUM(X138,X139,X143,X147,X148,X149,X155,X160,X170,X173,X174,X183)</f>
        <v>48827.721</v>
      </c>
      <c r="Y191" s="35">
        <f>SUM(Y138,Y139,Y143,Y147,Y148,Y149,Y155,Y160,Y170,Y173,Y174,Y183)</f>
        <v>49098.895</v>
      </c>
      <c r="Z191" s="35">
        <f>SUM(Z138,Z139,Z143,Z147,Z148,Z149,Z155,Z160,Z170,Z173,Z174,Z183)</f>
        <v>52281.844</v>
      </c>
      <c r="AA191" s="35">
        <f>SUM(AA138,AA139,AA143,AA147,AA148,AA149,AA155,AA160,AA170,AA173,AA174,AA183)</f>
        <v>53630.374</v>
      </c>
      <c r="AB191" s="35">
        <f>SUM(AB138,AB139,AB143,AB147,AB148,AB149,AB155,AB160,AB170,AB173,AB174,AB183)</f>
        <v>53630.374</v>
      </c>
      <c r="AC191" s="35">
        <f>SUM(AC138,AC139,AC143,AC147,AC148,AC149,AC155,AC160,AC170,AC173,AC174,AC183)</f>
        <v>52087.644</v>
      </c>
      <c r="AD191" s="35">
        <f>SUM(AD138,AD139,AD143,AD147,AD148,AD149,AD155,AD160,AD170,AD173,AD174,AD183)</f>
        <v>53099.664</v>
      </c>
      <c r="AE191" s="35">
        <f>SUM(AE138,AE139,AE143,AE147,AE148,AE149,AE155,AE160,AE170,AE173,AE174,AE183)</f>
        <v>54934.835</v>
      </c>
      <c r="AF191" s="35">
        <f>SUM(AF138,AF139,AF143,AF147,AF148,AF149,AF155,AF160,AF170,AF173,AF174,AF183)</f>
        <v>55596.993</v>
      </c>
      <c r="AG191" s="35">
        <f>SUM(AG138,AG139,AG143,AG147,AG148,AG149,AG155,AG160,AG170,AG173,AG174,AG183)</f>
        <v>55596.993</v>
      </c>
      <c r="AH191" s="35">
        <f>SUM(AH138,AH139,AH143,AH147,AH148,AH149,AH155,AH160,AH170,AH173,AH174,AH183)</f>
        <v>61015.914</v>
      </c>
      <c r="AI191" s="35">
        <f>SUM(AI138,AI139,AI143,AI147,AI148,AI149,AI155,AI160,AI170,AI173,AI174,AI183)</f>
        <v>58450.441</v>
      </c>
      <c r="AJ191" s="35">
        <f>SUM(AJ138,AJ139,AJ143,AJ147,AJ148,AJ149,AJ155,AJ160,AJ170,AJ173,AJ174,AJ183)</f>
        <v>62957.9764807003</v>
      </c>
      <c r="AK191" s="35">
        <f>SUM(AK138,AK139,AK143,AK147,AK148,AK149,AK155,AK160,AK170,AK173,AK174,AK183)</f>
        <v>67713.0626429397</v>
      </c>
      <c r="AL191" s="35">
        <f>SUM(AL138,AL139,AL143,AL147,AL148,AL149,AL155,AL160,AL170,AL173,AL174,AL183)</f>
        <v>67713.0626429397</v>
      </c>
      <c r="AM191" s="35">
        <f>SUM(AM138,AM139,AM143,AM147,AM148,AM149,AM155,AM160,AM170,AM173,AM174,AM183)</f>
        <v>72618.9110499244</v>
      </c>
      <c r="AN191" s="35">
        <f>SUM(AN138,AN139,AN143,AN147,AN148,AN149,AN155,AN160,AN170,AN173,AN174,AN183)</f>
        <v>77710.2430147714</v>
      </c>
      <c r="AO191" s="35">
        <f>SUM(AO138,AO139,AO143,AO147,AO148,AO149,AO155,AO160,AO170,AO173,AO174,AO183)</f>
        <v>83200.6328999549</v>
      </c>
      <c r="AP191" s="35">
        <f>SUM(AP138,AP139,AP143,AP147,AP148,AP149,AP155,AP160,AP170,AP173,AP174,AP183)</f>
        <v>89042.9374275016</v>
      </c>
      <c r="AQ191" s="35">
        <f>SUM(AQ138,AQ139,AQ143,AQ147,AQ148,AQ149,AQ155,AQ160,AQ170,AQ173,AQ174,AQ183)</f>
        <v>89042.9374275016</v>
      </c>
      <c r="AR191" s="35">
        <f>SUM(AR138,AR139,AR143,AR147,AR148,AR149,AR155,AR160,AR170,AR173,AR174,AR183)</f>
        <v>95038.4173061177</v>
      </c>
      <c r="AS191" s="35">
        <f>SUM(AS138,AS139,AS143,AS147,AS148,AS149,AS155,AS160,AS170,AS173,AS174,AS183)</f>
        <v>101327.519982758</v>
      </c>
      <c r="AT191" s="35">
        <f>SUM(AT138,AT139,AT143,AT147,AT148,AT149,AT155,AT160,AT170,AT173,AT174,AT183)</f>
        <v>108122.541604113</v>
      </c>
      <c r="AU191" s="35">
        <f>SUM(AU138,AU139,AU143,AU147,AU148,AU149,AU155,AU160,AU170,AU173,AU174,AU183)</f>
        <v>115389.41291923</v>
      </c>
      <c r="AV191" s="35">
        <f>SUM(AV138,AV139,AV143,AV147,AV148,AV149,AV155,AV160,AV170,AV173,AV174,AV183)</f>
        <v>115389.41291923</v>
      </c>
      <c r="AW191" s="35">
        <f>SUM(AW138,AW139,AW143,AW147,AW148,AW149,AW155,AW160,AW170,AW173,AW174,AW183)</f>
        <v>122870.608137705</v>
      </c>
      <c r="AX191" s="35">
        <f>SUM(AX138,AX139,AX143,AX147,AX148,AX149,AX155,AX160,AX170,AX173,AX174,AX183)</f>
        <v>130747.604896359</v>
      </c>
      <c r="AY191" s="35">
        <f>SUM(AY138,AY139,AY143,AY147,AY148,AY149,AY155,AY160,AY170,AY173,AY174,AY183)</f>
        <v>139310.03639599</v>
      </c>
      <c r="AZ191" s="35">
        <f>SUM(AZ138,AZ139,AZ143,AZ147,AZ148,AZ149,AZ155,AZ160,AZ170,AZ173,AZ174,AZ183)</f>
        <v>148517.524601643</v>
      </c>
      <c r="BA191" s="35">
        <f>SUM(BA138,BA139,BA143,BA147,BA148,BA149,BA155,BA160,BA170,BA173,BA174,BA183)</f>
        <v>148517.524601643</v>
      </c>
      <c r="BB191" s="35">
        <f>SUM(BB138,BB139,BB143,BB147,BB148,BB149,BB155,BB160,BB170,BB173,BB174,BB183)</f>
        <v>158017.760151202</v>
      </c>
      <c r="BC191" s="35">
        <f>SUM(BC138,BC139,BC143,BC147,BC148,BC149,BC155,BC160,BC170,BC173,BC174,BC183)</f>
        <v>168101.17630935</v>
      </c>
      <c r="BD191" s="35">
        <f>SUM(BD138,BD139,BD143,BD147,BD148,BD149,BD155,BD160,BD170,BD173,BD174,BD183)</f>
        <v>179107.818911761</v>
      </c>
      <c r="BE191" s="35">
        <f>SUM(BE138,BE139,BE143,BE147,BE148,BE149,BE155,BE160,BE170,BE173,BE174,BE183)</f>
        <v>191009.722546019</v>
      </c>
      <c r="BF191" s="35">
        <f>SUM(BF138,BF139,BF143,BF147,BF148,BF149,BF155,BF160,BF170,BF173,BF174,BF183)</f>
        <v>191009.722546019</v>
      </c>
      <c r="BG191" s="35" t="n"/>
      <c r="BH191" s="35" t="n"/>
      <c r="BI191" s="35" t="n"/>
      <c r="BJ191" s="35" t="n"/>
      <c r="BK191" s="35" t="n"/>
      <c r="BL191" s="35" t="n"/>
      <c r="BM191" s="35" t="n"/>
      <c r="BN191" s="35" t="n"/>
      <c r="BO191" s="35" t="n"/>
      <c r="BP191" s="35" t="n"/>
      <c r="BQ191" s="35" t="n"/>
      <c r="BR191" s="35" t="n"/>
      <c r="BS191" s="35" t="n"/>
      <c r="BT191" s="35" t="n"/>
      <c r="BU191" s="35" t="n"/>
      <c r="BV191" s="35" t="n"/>
      <c r="BW191" s="35" t="n"/>
      <c r="BX191" s="35" t="n"/>
      <c r="BY191" s="35" t="n"/>
      <c r="BZ191" s="35" t="n"/>
      <c r="CA191" s="35" t="n"/>
      <c r="CB191" s="35" t="n"/>
      <c r="CC191" s="35" t="n"/>
      <c r="CD191" s="35" t="n"/>
      <c r="CE191" s="35" t="n"/>
      <c r="CF191" s="35" t="n"/>
      <c r="CG191" s="35" t="n"/>
      <c r="CH191" s="35" t="n"/>
      <c r="CI191" s="35" t="n"/>
      <c r="CJ191" s="35" t="n"/>
      <c r="CK191" s="35" t="n"/>
      <c r="CL191" s="35" t="n"/>
      <c r="CM191" s="35" t="n"/>
      <c r="CN191" s="35" t="n"/>
      <c r="CO191" s="35" t="n"/>
      <c r="CP191" s="35" t="n"/>
      <c r="CQ191" s="35" t="n"/>
      <c r="CR191" s="35" t="n"/>
      <c r="CS191" s="35" t="n"/>
      <c r="CT191" s="35" t="n"/>
      <c r="CU191" s="35" t="n"/>
      <c r="CV191" s="35" t="n"/>
      <c r="CW191" s="35" t="n"/>
      <c r="CX191" s="35" t="n"/>
      <c r="CY191" s="35" t="n"/>
    </row>
    <row r="192">
      <c r="C192" s="14" t="inlineStr">
        <is>
          <t>Accounts payable</t>
        </is>
      </c>
      <c r="D192" s="46" t="n"/>
      <c r="E192" s="46" t="n"/>
      <c r="F192" s="46" t="n"/>
      <c r="G192" s="46" t="n"/>
      <c r="H192" s="12" t="n"/>
      <c r="I192" s="46">
        <f>'Inputs (2)'!D28</f>
        <v>532.942</v>
      </c>
      <c r="J192" s="46">
        <f>'Inputs (2)'!E28</f>
        <v>622.931</v>
      </c>
      <c r="K192" s="46">
        <f>'Inputs (2)'!F28</f>
        <v>643.059</v>
      </c>
      <c r="L192" s="46">
        <f>'Inputs (2)'!G28</f>
        <v>837.483</v>
      </c>
      <c r="M192" s="12">
        <f>'Inputs (2)'!H28</f>
        <v>837.483</v>
      </c>
      <c r="N192" s="46">
        <f>'Inputs (2)'!I28</f>
        <v>617.202</v>
      </c>
      <c r="O192" s="46">
        <f>'Inputs (2)'!J28</f>
        <v>504.278</v>
      </c>
      <c r="P192" s="46">
        <f>'Inputs (2)'!K28</f>
        <v>560.156</v>
      </c>
      <c r="Q192" s="46">
        <f>'Inputs (2)'!L28</f>
        <v>671.513</v>
      </c>
      <c r="R192" s="12">
        <f>'Inputs (2)'!M28</f>
        <v>671.513</v>
      </c>
      <c r="S192" s="46">
        <f>'Inputs (2)'!N28</f>
        <v>591.987</v>
      </c>
      <c r="T192" s="46">
        <f>'Inputs (2)'!O28</f>
        <v>615.374</v>
      </c>
      <c r="U192" s="46">
        <f>'Inputs (2)'!P28</f>
        <v>534.429</v>
      </c>
      <c r="V192" s="46">
        <f>'Inputs (2)'!Q28</f>
        <v>747.412</v>
      </c>
      <c r="W192" s="12">
        <f>'Inputs (2)'!R28</f>
        <v>747.412</v>
      </c>
      <c r="X192" s="46">
        <f>'Inputs (2)'!S28</f>
        <v>607.348</v>
      </c>
      <c r="Y192" s="46">
        <f>'Inputs (2)'!T28</f>
        <v>598.557</v>
      </c>
      <c r="Z192" s="46">
        <f>'Inputs (2)'!U28</f>
        <v>641.953</v>
      </c>
      <c r="AA192" s="46">
        <f>'Inputs (2)'!V28</f>
        <v>899.909</v>
      </c>
      <c r="AB192" s="12">
        <f>'Inputs (2)'!W28</f>
        <v>899.909</v>
      </c>
      <c r="AC192" s="46">
        <f>'Inputs (2)'!X28</f>
        <v>614.489</v>
      </c>
      <c r="AD192" s="46">
        <f>'Inputs (2)'!Y28</f>
        <v>632.718</v>
      </c>
      <c r="AE192" s="46">
        <f>'Inputs (2)'!Z28</f>
        <v>793.233</v>
      </c>
      <c r="AF192" s="46">
        <f>'Inputs (2)'!AA28</f>
        <v>900.612</v>
      </c>
      <c r="AG192" s="12">
        <f>'Inputs (2)'!AB28</f>
        <v>900.612</v>
      </c>
      <c r="AH192" s="12">
        <f>'Inputs (2)'!AC28</f>
        <v>894.681</v>
      </c>
      <c r="AI192" s="12">
        <f>'Inputs (2)'!AD28</f>
        <v>814.551</v>
      </c>
      <c r="AJ192" s="12">
        <f>(AJ193/(AJ$5-AI$5))*-AJ$48</f>
        <v>869.653315690465</v>
      </c>
      <c r="AK192" s="12">
        <f>(AK193/(AK$5-AJ$5))*-AK$48</f>
        <v>910.487020884557</v>
      </c>
      <c r="AL192" s="12">
        <f>AK192</f>
        <v>910.487020884557</v>
      </c>
      <c r="AM192" s="12">
        <f>(AM193/(AM$5-AL$5))*-AM$48</f>
        <v>946.089105484742</v>
      </c>
      <c r="AN192" s="12">
        <f>(AN193/(AN$5-AM$5))*-AN$48</f>
        <v>959.385566769035</v>
      </c>
      <c r="AO192" s="12">
        <f>(AO193/(AO$5-AN$5))*-AO$48</f>
        <v>1004.06085238866</v>
      </c>
      <c r="AP192" s="12">
        <f>(AP193/(AP$5-AO$5))*-AP$48</f>
        <v>1051.20552958777</v>
      </c>
      <c r="AQ192" s="12">
        <f>AP192</f>
        <v>1051.20552958777</v>
      </c>
      <c r="AR192" s="12">
        <f>(AR193/(AR$5-AQ$5))*-AR$48</f>
        <v>1075.62815402736</v>
      </c>
      <c r="AS192" s="12">
        <f>(AS193/(AS$5-AR$5))*-AS$48</f>
        <v>1102.86456503897</v>
      </c>
      <c r="AT192" s="12">
        <f>(AT193/(AT$5-AS$5))*-AT$48</f>
        <v>1154.22117404947</v>
      </c>
      <c r="AU192" s="12">
        <f>(AU193/(AU$5-AT$5))*-AU$48</f>
        <v>1208.41647958049</v>
      </c>
      <c r="AV192" s="12">
        <f>AU192</f>
        <v>1208.41647958049</v>
      </c>
      <c r="AW192" s="12">
        <f>(AW193/(AW$5-AV$5))*-AW$48</f>
        <v>1244.79247844644</v>
      </c>
      <c r="AX192" s="12">
        <f>(AX193/(AX$5-AW$5))*-AX$48</f>
        <v>1262.28695639856</v>
      </c>
      <c r="AY192" s="12">
        <f>(AY193/(AY$5-AX$5))*-AY$48</f>
        <v>1321.06731777188</v>
      </c>
      <c r="AZ192" s="12">
        <f>(AZ193/(AZ$5-AY$5))*-AZ$48</f>
        <v>1383.0967177893</v>
      </c>
      <c r="BA192" s="12">
        <f>AZ192</f>
        <v>1383.0967177893</v>
      </c>
      <c r="BB192" s="12">
        <f>(BB193/(BB$5-BA$5))*-BB$48</f>
        <v>1418.50701435328</v>
      </c>
      <c r="BC192" s="12">
        <f>(BC193/(BC$5-BB$5))*-BC$48</f>
        <v>1438.44289934392</v>
      </c>
      <c r="BD192" s="12">
        <f>(BD193/(BD$5-BC$5))*-BD$48</f>
        <v>1505.42623701506</v>
      </c>
      <c r="BE192" s="12">
        <f>(BE193/(BE$5-BD$5))*-BE$48</f>
        <v>1576.11202644934</v>
      </c>
      <c r="BF192" s="12">
        <f>BE192</f>
        <v>1576.11202644934</v>
      </c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inlineStr">
        <is>
          <t>DPO</t>
        </is>
      </c>
      <c r="D193" s="12" t="n"/>
      <c r="E193" s="12" t="n"/>
      <c r="F193" s="12" t="n"/>
      <c r="G193" s="12" t="n"/>
      <c r="H193" s="12" t="n"/>
      <c r="I193" s="12">
        <f>IFERROR(-(I192/I$48)*(I$5-H$5),"")</f>
        <v>12.3987704830101</v>
      </c>
      <c r="J193" s="12">
        <f>IFERROR(-(J192/J$48)*(J$5-I$5),"")</f>
        <v>14.108165289865</v>
      </c>
      <c r="K193" s="12">
        <f>IFERROR(-(K192/K$48)*(K$5-J$5),"")</f>
        <v>14.0639905633757</v>
      </c>
      <c r="L193" s="12">
        <f>IFERROR(-(L192/L$48)*(L$5-K$5),"")</f>
        <v>14.705092684044</v>
      </c>
      <c r="M193" s="12" t="n"/>
      <c r="N193" s="12">
        <f>IFERROR(-(N192/N$48)*(N$5-M$5),"")</f>
        <v>12.964295091494</v>
      </c>
      <c r="O193" s="12">
        <f>IFERROR(-(O192/O$48)*(O$5-N$5),"")</f>
        <v>9.78292364448793</v>
      </c>
      <c r="P193" s="12">
        <f>IFERROR(-(P192/P$48)*(P$5-O$5),"")</f>
        <v>10.7617367262066</v>
      </c>
      <c r="Q193" s="12">
        <f>IFERROR(-(Q192/Q$48)*(Q$5-P$5),"")</f>
        <v>11.431785143297</v>
      </c>
      <c r="R193" s="12" t="n"/>
      <c r="S193" s="12">
        <f>IFERROR(-(S192/S$48)*(S$5-R$5),"")</f>
        <v>11.0913799474355</v>
      </c>
      <c r="T193" s="12">
        <f>IFERROR(-(T192/T$48)*(T$5-S$5),"")</f>
        <v>11.9823244826649</v>
      </c>
      <c r="U193" s="12">
        <f>IFERROR(-(U192/U$48)*(U$5-T$5),"")</f>
        <v>9.9715234157299</v>
      </c>
      <c r="V193" s="12">
        <f>IFERROR(-(V192/V$48)*(V$5-U$5),"")</f>
        <v>12.9556473546322</v>
      </c>
      <c r="W193" s="12" t="n"/>
      <c r="X193" s="12">
        <f>IFERROR(-(X192/X$48)*(X$5-W$5),"")</f>
        <v>11.1046528752944</v>
      </c>
      <c r="Y193" s="12">
        <f>IFERROR(-(Y192/Y$48)*(Y$5-X$5),"")</f>
        <v>10.527093472291</v>
      </c>
      <c r="Z193" s="12">
        <f>IFERROR(-(Z192/Z$48)*(Z$5-Y$5),"")</f>
        <v>11.5353543166212</v>
      </c>
      <c r="AA193" s="12">
        <f>IFERROR(-(AA192/AA$48)*(AA$5-Z$5),"")</f>
        <v>14.3551938112455</v>
      </c>
      <c r="AB193" s="12" t="n"/>
      <c r="AC193" s="12">
        <f>IFERROR(-(AC192/AC$48)*(AC$5-AB$5),"")</f>
        <v>10.5077836511122</v>
      </c>
      <c r="AD193" s="12">
        <f>IFERROR(-(AD192/AD$48)*(AD$5-AC$5),"")</f>
        <v>10.8120141715667</v>
      </c>
      <c r="AE193" s="12">
        <f>IFERROR(-(AE192/AE$48)*(AE$5-AD$5),"")</f>
        <v>11.8388183477309</v>
      </c>
      <c r="AF193" s="11">
        <f>IFERROR(-(AF192/AF$48)*(AF$5-AE$5),"")</f>
        <v>12.7029155917537</v>
      </c>
      <c r="AG193" s="12" t="n"/>
      <c r="AH193" s="11">
        <f>IFERROR(-(AH192/AH$48)*(AH$5-AG$5),"")</f>
        <v>13.674938071457</v>
      </c>
      <c r="AI193" s="11">
        <f>IFERROR(-(AI192/AI$48)*(AI$5-AH$5),"")</f>
        <v>12.2783784567245</v>
      </c>
      <c r="AJ193" s="11">
        <f>Control!$B$27</f>
        <v>11.9691413817242</v>
      </c>
      <c r="AK193" s="11">
        <f>Control!$B$27</f>
        <v>11.9691413817242</v>
      </c>
      <c r="AL193" s="12" t="n"/>
      <c r="AM193" s="11">
        <f>Control!$C$27</f>
        <v>11.9691413817242</v>
      </c>
      <c r="AN193" s="11">
        <f>Control!$C$27</f>
        <v>11.9691413817242</v>
      </c>
      <c r="AO193" s="11">
        <f>Control!$C$27</f>
        <v>11.9691413817242</v>
      </c>
      <c r="AP193" s="11">
        <f>Control!$C$27</f>
        <v>11.9691413817242</v>
      </c>
      <c r="AQ193" s="12" t="n"/>
      <c r="AR193" s="11">
        <f>Control!$D$27</f>
        <v>11.9691413817242</v>
      </c>
      <c r="AS193" s="11">
        <f>Control!$D$27</f>
        <v>11.9691413817242</v>
      </c>
      <c r="AT193" s="11">
        <f>Control!$D$27</f>
        <v>11.9691413817242</v>
      </c>
      <c r="AU193" s="11">
        <f>Control!$D$27</f>
        <v>11.9691413817242</v>
      </c>
      <c r="AV193" s="12" t="n"/>
      <c r="AW193" s="11">
        <f>Control!$E$27</f>
        <v>11.9691413817242</v>
      </c>
      <c r="AX193" s="11">
        <f>Control!$E$27</f>
        <v>11.9691413817242</v>
      </c>
      <c r="AY193" s="11">
        <f>Control!$E$27</f>
        <v>11.9691413817242</v>
      </c>
      <c r="AZ193" s="11">
        <f>Control!$E$27</f>
        <v>11.9691413817242</v>
      </c>
      <c r="BA193" s="12" t="n"/>
      <c r="BB193" s="11">
        <f>Control!$F$27</f>
        <v>11.9691413817242</v>
      </c>
      <c r="BC193" s="11">
        <f>Control!$F$27</f>
        <v>11.9691413817242</v>
      </c>
      <c r="BD193" s="11">
        <f>Control!$F$27</f>
        <v>11.9691413817242</v>
      </c>
      <c r="BE193" s="11">
        <f>Control!$F$27</f>
        <v>11.9691413817242</v>
      </c>
      <c r="BF193" s="12" t="n"/>
      <c r="BG193" s="11" t="n"/>
      <c r="BH193" s="11" t="n"/>
      <c r="BI193" s="11" t="n"/>
      <c r="BJ193" s="11" t="n"/>
      <c r="BK193" s="12" t="n"/>
      <c r="BL193" s="11" t="n"/>
      <c r="BM193" s="11" t="n"/>
      <c r="BN193" s="11" t="n"/>
      <c r="BO193" s="11" t="n"/>
      <c r="BP193" s="12" t="n"/>
      <c r="BQ193" s="11" t="n"/>
      <c r="BR193" s="11" t="n"/>
      <c r="BS193" s="11" t="n"/>
      <c r="BT193" s="11" t="n"/>
      <c r="BU193" s="12" t="n"/>
      <c r="BV193" s="11" t="n"/>
      <c r="BW193" s="11" t="n"/>
      <c r="BX193" s="11" t="n"/>
      <c r="BY193" s="11" t="n"/>
      <c r="BZ193" s="12" t="n"/>
      <c r="CA193" s="11" t="n"/>
      <c r="CB193" s="11" t="n"/>
      <c r="CC193" s="11" t="n"/>
      <c r="CD193" s="11" t="n"/>
      <c r="CE193" s="12" t="n"/>
      <c r="CF193" s="11" t="n"/>
      <c r="CG193" s="11" t="n"/>
      <c r="CH193" s="11" t="n"/>
      <c r="CI193" s="11" t="n"/>
      <c r="CJ193" s="12" t="n"/>
      <c r="CK193" s="11" t="n"/>
      <c r="CL193" s="11" t="n"/>
      <c r="CM193" s="11" t="n"/>
      <c r="CN193" s="11" t="n"/>
      <c r="CO193" s="12" t="n"/>
      <c r="CP193" s="11" t="n"/>
      <c r="CQ193" s="11" t="n"/>
      <c r="CR193" s="11" t="n"/>
      <c r="CS193" s="11" t="n"/>
      <c r="CT193" s="12" t="n"/>
      <c r="CU193" s="11" t="n"/>
      <c r="CV193" s="11" t="n"/>
      <c r="CW193" s="11" t="n"/>
      <c r="CX193" s="11" t="n"/>
      <c r="CY193" s="12" t="n"/>
    </row>
    <row r="194" hidden="1" outlineLevel="1">
      <c r="C194" s="57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collapsed="1">
      <c r="C196" s="14" t="inlineStr">
        <is>
          <t>Accrued expenses</t>
        </is>
      </c>
      <c r="D196" s="46" t="n"/>
      <c r="E196" s="46" t="n"/>
      <c r="F196" s="46" t="n"/>
      <c r="G196" s="46" t="n"/>
      <c r="H196" s="12" t="n"/>
      <c r="I196" s="46">
        <f>'Inputs (2)'!D29</f>
        <v>1291.812</v>
      </c>
      <c r="J196" s="46">
        <f>'Inputs (2)'!E29</f>
        <v>1125.591</v>
      </c>
      <c r="K196" s="46">
        <f>'Inputs (2)'!F29</f>
        <v>1413.12</v>
      </c>
      <c r="L196" s="46">
        <f>'Inputs (2)'!G29</f>
        <v>1449.351</v>
      </c>
      <c r="M196" s="12">
        <f>'Inputs (2)'!H29</f>
        <v>1449.351</v>
      </c>
      <c r="N196" s="46">
        <f>'Inputs (2)'!I29</f>
        <v>1817.117</v>
      </c>
      <c r="O196" s="46">
        <f>'Inputs (2)'!J29</f>
        <v>1596.035</v>
      </c>
      <c r="P196" s="46">
        <f>'Inputs (2)'!K29</f>
        <v>1803.555</v>
      </c>
      <c r="Q196" s="46">
        <f>'Inputs (2)'!L29</f>
        <v>1514.65</v>
      </c>
      <c r="R196" s="12">
        <f>'Inputs (2)'!M29</f>
        <v>1514.65</v>
      </c>
      <c r="S196" s="46">
        <f>'Inputs (2)'!N29</f>
        <v>1718.069</v>
      </c>
      <c r="T196" s="46">
        <f>'Inputs (2)'!O29</f>
        <v>1908.714</v>
      </c>
      <c r="U196" s="46">
        <f>'Inputs (2)'!P29</f>
        <v>1838.908</v>
      </c>
      <c r="V196" s="46">
        <f>'Inputs (2)'!Q29</f>
        <v>1803.96</v>
      </c>
      <c r="W196" s="12">
        <f>'Inputs (2)'!R29</f>
        <v>1803.96</v>
      </c>
      <c r="X196" s="46">
        <f>'Inputs (2)'!S29</f>
        <v>1977.428</v>
      </c>
      <c r="Y196" s="46">
        <f>'Inputs (2)'!T29</f>
        <v>1876.244</v>
      </c>
      <c r="Z196" s="46">
        <f>'Inputs (2)'!U29</f>
        <v>2241.758</v>
      </c>
      <c r="AA196" s="46">
        <f>'Inputs (2)'!V29</f>
        <v>2156.544</v>
      </c>
      <c r="AB196" s="12">
        <f>'Inputs (2)'!W29</f>
        <v>2156.544</v>
      </c>
      <c r="AC196" s="46">
        <f>'Inputs (2)'!X29</f>
        <v>2359.518</v>
      </c>
      <c r="AD196" s="46">
        <f>'Inputs (2)'!Y29</f>
        <v>2489.486</v>
      </c>
      <c r="AE196" s="46">
        <f>'Inputs (2)'!Z29</f>
        <v>3111.311</v>
      </c>
      <c r="AF196" s="46">
        <f>'Inputs (2)'!AA29</f>
        <v>3220.869</v>
      </c>
      <c r="AG196" s="12">
        <f>'Inputs (2)'!AB29</f>
        <v>3220.869</v>
      </c>
      <c r="AH196" s="12">
        <f>'Inputs (2)'!AC29</f>
        <v>4441.986</v>
      </c>
      <c r="AI196" s="12">
        <f>'Inputs (2)'!AD29</f>
        <v>3172.611</v>
      </c>
      <c r="AJ196" s="12">
        <f>AI196*(1+AJ16)</f>
        <v>3662.94757633217</v>
      </c>
      <c r="AK196" s="12">
        <f>AJ196*(1+AK16)</f>
        <v>4229.06714594312</v>
      </c>
      <c r="AL196" s="12">
        <f>AK196</f>
        <v>4229.06714594312</v>
      </c>
      <c r="AM196" s="12">
        <f>AL196*(1+AM16)</f>
        <v>4882.6821984726</v>
      </c>
      <c r="AN196" s="12">
        <f>AM196*(1+AN16)</f>
        <v>5637.31542407672</v>
      </c>
      <c r="AO196" s="12">
        <f>AN196*(1+AO16)</f>
        <v>6508.57948536451</v>
      </c>
      <c r="AP196" s="12">
        <f>AO196*(1+AP16)</f>
        <v>7514.50002892924</v>
      </c>
      <c r="AQ196" s="12">
        <f>AP196</f>
        <v>7514.50002892924</v>
      </c>
      <c r="AR196" s="12">
        <f>AQ196*(1+AR16)</f>
        <v>8638.3161191391</v>
      </c>
      <c r="AS196" s="12">
        <f>AR196*(1+AS16)</f>
        <v>9930.20228716549</v>
      </c>
      <c r="AT196" s="12">
        <f>AS196*(1+AT16)</f>
        <v>11415.2939188632</v>
      </c>
      <c r="AU196" s="12">
        <f>AT196*(1+AU16)</f>
        <v>13122.4854726733</v>
      </c>
      <c r="AV196" s="12">
        <f>AU196</f>
        <v>13122.4854726733</v>
      </c>
      <c r="AW196" s="12">
        <f>AV196*(1+AW16)</f>
        <v>15019.3802328755</v>
      </c>
      <c r="AX196" s="12">
        <f>AW196*(1+AX16)</f>
        <v>17190.4768383588</v>
      </c>
      <c r="AY196" s="12">
        <f>AX196*(1+AY16)</f>
        <v>19675.4119909231</v>
      </c>
      <c r="AZ196" s="12">
        <f>AY196*(1+AZ16)</f>
        <v>22519.5519968788</v>
      </c>
      <c r="BA196" s="12">
        <f>AZ196</f>
        <v>22519.5519968788</v>
      </c>
      <c r="BB196" s="12">
        <f>BA196*(1+BB16)</f>
        <v>25662.2232386346</v>
      </c>
      <c r="BC196" s="12">
        <f>BB196*(1+BC16)</f>
        <v>29243.4637083719</v>
      </c>
      <c r="BD196" s="12">
        <f>BC196*(1+BD16)</f>
        <v>33324.4770614959</v>
      </c>
      <c r="BE196" s="12">
        <f>BD196*(1+BE16)</f>
        <v>37975.0081076833</v>
      </c>
      <c r="BF196" s="12">
        <f>BE196</f>
        <v>37975.0081076833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59" t="inlineStr">
        <is>
          <t>%(Var.)</t>
        </is>
      </c>
      <c r="D197" s="12" t="n"/>
      <c r="E197" s="40" t="n"/>
      <c r="F197" s="40" t="n"/>
      <c r="G197" s="40" t="n"/>
      <c r="H197" s="12" t="n"/>
      <c r="I197" s="40" t="str">
        <f>""</f>
        <v/>
      </c>
      <c r="J197" s="40">
        <f>IFERROR(IF(I196=0,"",J196/I196-1),"")</f>
        <v>-0.128672748046929</v>
      </c>
      <c r="K197" s="40">
        <f>IFERROR(IF(J196=0,"",K196/J196-1),"")</f>
        <v>0.255447138436608</v>
      </c>
      <c r="L197" s="40">
        <f>IFERROR(IF(K196=0,"",L196/K196-1),"")</f>
        <v>0.0256390115489131</v>
      </c>
      <c r="M197" s="12">
        <f>IF(L196=0,"",M196/L196-1)</f>
        <v>0</v>
      </c>
      <c r="N197" s="40">
        <f>IFERROR(IF(M196=0,"",N196/M196-1),"")</f>
        <v>0.253745297032948</v>
      </c>
      <c r="O197" s="40">
        <f>IFERROR(IF(N196=0,"",O196/N196-1),"")</f>
        <v>-0.121666353900162</v>
      </c>
      <c r="P197" s="40">
        <f>IFERROR(IF(O196=0,"",P196/O196-1),"")</f>
        <v>0.130022211292359</v>
      </c>
      <c r="Q197" s="40">
        <f>IFERROR(IF(P196=0,"",Q196/P196-1),"")</f>
        <v>-0.160186409618781</v>
      </c>
      <c r="R197" s="12">
        <f>IF(Q196=0,"",R196/Q196-1)</f>
        <v>0</v>
      </c>
      <c r="S197" s="40">
        <f>IFERROR(IF(R196=0,"",S196/R196-1),"")</f>
        <v>0.134300993628891</v>
      </c>
      <c r="T197" s="40">
        <f>IFERROR(IF(S196=0,"",T196/S196-1),"")</f>
        <v>0.110964693501832</v>
      </c>
      <c r="U197" s="40">
        <f>IFERROR(IF(T196=0,"",U196/T196-1),"")</f>
        <v>-0.0365722680296786</v>
      </c>
      <c r="V197" s="40">
        <f>IFERROR(IF(U196=0,"",V196/U196-1),"")</f>
        <v>-0.0190047571711036</v>
      </c>
      <c r="W197" s="12">
        <f>IF(V196=0,"",W196/V196-1)</f>
        <v>0</v>
      </c>
      <c r="X197" s="40">
        <f>IFERROR(IF(W196=0,"",X196/W196-1),"")</f>
        <v>0.0961595600789376</v>
      </c>
      <c r="Y197" s="40">
        <f>IFERROR(IF(X196=0,"",Y196/X196-1),"")</f>
        <v>-0.0511694989653227</v>
      </c>
      <c r="Z197" s="40">
        <f>IFERROR(IF(Y196=0,"",Z196/Y196-1),"")</f>
        <v>0.194811549030936</v>
      </c>
      <c r="AA197" s="40">
        <f>IFERROR(IF(Z196=0,"",AA196/Z196-1),"")</f>
        <v>-0.0380121315503279</v>
      </c>
      <c r="AB197" s="12">
        <f>IF(AA196=0,"",AB196/AA196-1)</f>
        <v>0</v>
      </c>
      <c r="AC197" s="40">
        <f>IFERROR(IF(AB196=0,"",AC196/AB196-1),"")</f>
        <v>0.0941200365028492</v>
      </c>
      <c r="AD197" s="40">
        <f>IFERROR(IF(AC196=0,"",AD196/AC196-1),"")</f>
        <v>0.0550824363280975</v>
      </c>
      <c r="AE197" s="40">
        <f>IFERROR(IF(AD196=0,"",AE196/AD196-1),"")</f>
        <v>0.249780476773117</v>
      </c>
      <c r="AF197" s="55">
        <f>IFERROR(IF(AE196=0,"",AF196/AE196-1),"")</f>
        <v>0.0352128090055928</v>
      </c>
      <c r="AG197" s="12">
        <f>IF(AF196=0,"",AG196/AF196-1)</f>
        <v>0</v>
      </c>
      <c r="AH197" s="55">
        <f>IFERROR(IF(AG196=0,"",AH196/AG196-1),"")</f>
        <v>0.379126564911519</v>
      </c>
      <c r="AI197" s="55">
        <f>IFERROR(IF(AH196=0,"",AI196/AH196-1),"")</f>
        <v>-0.285767447263454</v>
      </c>
      <c r="AJ197" s="55">
        <f>IFERROR(IF(AI196=0,"",AJ196/AI196-1),"")</f>
        <v>0.154553008967117</v>
      </c>
      <c r="AK197" s="55">
        <f>IF(AJ196=0,"",AK196/AJ196-1)</f>
        <v>0.154553008967117</v>
      </c>
      <c r="AL197" s="12">
        <f>IF(AK196=0,"",AL196/AK196-1)</f>
        <v>0</v>
      </c>
      <c r="AM197" s="55">
        <f>IF(AL196=0,"",AM196/AL196-1)</f>
        <v>0.154553008967117</v>
      </c>
      <c r="AN197" s="55">
        <f>IF(AM196=0,"",AN196/AM196-1)</f>
        <v>0.154553008967117</v>
      </c>
      <c r="AO197" s="55">
        <f>IF(AN196=0,"",AO196/AN196-1)</f>
        <v>0.154553008967117</v>
      </c>
      <c r="AP197" s="55">
        <f>IF(AO196=0,"",AP196/AO196-1)</f>
        <v>0.154553008967117</v>
      </c>
      <c r="AQ197" s="12">
        <f>IF(AP196=0,"",AQ196/AP196-1)</f>
        <v>0</v>
      </c>
      <c r="AR197" s="55">
        <f>IF(AQ196=0,"",AR196/AQ196-1)</f>
        <v>0.149553008967117</v>
      </c>
      <c r="AS197" s="55">
        <f>IF(AR196=0,"",AS196/AR196-1)</f>
        <v>0.149553008967117</v>
      </c>
      <c r="AT197" s="55">
        <f>IF(AS196=0,"",AT196/AS196-1)</f>
        <v>0.149553008967117</v>
      </c>
      <c r="AU197" s="55">
        <f>IF(AT196=0,"",AU196/AT196-1)</f>
        <v>0.149553008967117</v>
      </c>
      <c r="AV197" s="12">
        <f>IF(AU196=0,"",AV196/AU196-1)</f>
        <v>0</v>
      </c>
      <c r="AW197" s="55">
        <f>IF(AV196=0,"",AW196/AV196-1)</f>
        <v>0.144553008967117</v>
      </c>
      <c r="AX197" s="55">
        <f>IF(AW196=0,"",AX196/AW196-1)</f>
        <v>0.144553008967116</v>
      </c>
      <c r="AY197" s="55">
        <f>IF(AX196=0,"",AY196/AX196-1)</f>
        <v>0.144553008967117</v>
      </c>
      <c r="AZ197" s="55">
        <f>IF(AY196=0,"",AZ196/AY196-1)</f>
        <v>0.144553008967117</v>
      </c>
      <c r="BA197" s="12">
        <f>IF(AZ196=0,"",BA196/AZ196-1)</f>
        <v>0</v>
      </c>
      <c r="BB197" s="55">
        <f>IF(BA196=0,"",BB196/BA196-1)</f>
        <v>0.139553008967117</v>
      </c>
      <c r="BC197" s="55">
        <f>IF(BB196=0,"",BC196/BB196-1)</f>
        <v>0.139553008967117</v>
      </c>
      <c r="BD197" s="55">
        <f>IF(BC196=0,"",BD196/BC196-1)</f>
        <v>0.139553008967117</v>
      </c>
      <c r="BE197" s="55">
        <f>IF(BD196=0,"",BE196/BD196-1)</f>
        <v>0.139553008967117</v>
      </c>
      <c r="BF197" s="12">
        <f>IF(BE196=0,"",BF196/BE196-1)</f>
        <v>0</v>
      </c>
      <c r="BG197" s="55" t="n"/>
      <c r="BH197" s="55" t="n"/>
      <c r="BI197" s="55" t="n"/>
      <c r="BJ197" s="55" t="n"/>
      <c r="BK197" s="12" t="n"/>
      <c r="BL197" s="55" t="n"/>
      <c r="BM197" s="55" t="n"/>
      <c r="BN197" s="55" t="n"/>
      <c r="BO197" s="55" t="n"/>
      <c r="BP197" s="12" t="n"/>
      <c r="BQ197" s="55" t="n"/>
      <c r="BR197" s="55" t="n"/>
      <c r="BS197" s="55" t="n"/>
      <c r="BT197" s="55" t="n"/>
      <c r="BU197" s="12" t="n"/>
      <c r="BV197" s="55" t="n"/>
      <c r="BW197" s="55" t="n"/>
      <c r="BX197" s="55" t="n"/>
      <c r="BY197" s="55" t="n"/>
      <c r="BZ197" s="12" t="n"/>
      <c r="CA197" s="55" t="n"/>
      <c r="CB197" s="55" t="n"/>
      <c r="CC197" s="55" t="n"/>
      <c r="CD197" s="55" t="n"/>
      <c r="CE197" s="12" t="n"/>
      <c r="CF197" s="55" t="n"/>
      <c r="CG197" s="55" t="n"/>
      <c r="CH197" s="55" t="n"/>
      <c r="CI197" s="55" t="n"/>
      <c r="CJ197" s="12" t="n"/>
      <c r="CK197" s="55" t="n"/>
      <c r="CL197" s="55" t="n"/>
      <c r="CM197" s="55" t="n"/>
      <c r="CN197" s="55" t="n"/>
      <c r="CO197" s="12" t="n"/>
      <c r="CP197" s="55" t="n"/>
      <c r="CQ197" s="55" t="n"/>
      <c r="CR197" s="55" t="n"/>
      <c r="CS197" s="55" t="n"/>
      <c r="CT197" s="12" t="n"/>
      <c r="CU197" s="55" t="n"/>
      <c r="CV197" s="55" t="n"/>
      <c r="CW197" s="55" t="n"/>
      <c r="CX197" s="55" t="n"/>
      <c r="CY197" s="12" t="n"/>
    </row>
    <row r="198" collapsed="1">
      <c r="C198" s="14" t="inlineStr">
        <is>
          <t>Taxes payable</t>
        </is>
      </c>
      <c r="D198" s="46" t="n"/>
      <c r="E198" s="46" t="n"/>
      <c r="F198" s="46" t="n"/>
      <c r="G198" s="46" t="n"/>
      <c r="H198" s="12" t="n"/>
      <c r="I198" s="46">
        <f>'Inputs (2)'!D30</f>
        <v>0</v>
      </c>
      <c r="J198" s="46">
        <f>'Inputs (2)'!E30</f>
        <v>0</v>
      </c>
      <c r="K198" s="46">
        <f>'Inputs (2)'!F30</f>
        <v>0</v>
      </c>
      <c r="L198" s="46">
        <f>'Inputs (2)'!G30</f>
        <v>0</v>
      </c>
      <c r="M198" s="12">
        <f>'Inputs (2)'!H30</f>
        <v>0</v>
      </c>
      <c r="N198" s="46">
        <f>'Inputs (2)'!I30</f>
        <v>0</v>
      </c>
      <c r="O198" s="46">
        <f>'Inputs (2)'!J30</f>
        <v>0</v>
      </c>
      <c r="P198" s="46">
        <f>'Inputs (2)'!K30</f>
        <v>0</v>
      </c>
      <c r="Q198" s="46">
        <f>'Inputs (2)'!L30</f>
        <v>0</v>
      </c>
      <c r="R198" s="12">
        <f>'Inputs (2)'!M30</f>
        <v>0</v>
      </c>
      <c r="S198" s="46">
        <f>'Inputs (2)'!N30</f>
        <v>0</v>
      </c>
      <c r="T198" s="46">
        <f>'Inputs (2)'!O30</f>
        <v>0</v>
      </c>
      <c r="U198" s="46">
        <f>'Inputs (2)'!P30</f>
        <v>0</v>
      </c>
      <c r="V198" s="46">
        <f>'Inputs (2)'!Q30</f>
        <v>0</v>
      </c>
      <c r="W198" s="12">
        <f>'Inputs (2)'!R30</f>
        <v>0</v>
      </c>
      <c r="X198" s="46">
        <f>'Inputs (2)'!S30</f>
        <v>0</v>
      </c>
      <c r="Y198" s="46">
        <f>'Inputs (2)'!T30</f>
        <v>0</v>
      </c>
      <c r="Z198" s="46">
        <f>'Inputs (2)'!U30</f>
        <v>0</v>
      </c>
      <c r="AA198" s="46">
        <f>'Inputs (2)'!V30</f>
        <v>0</v>
      </c>
      <c r="AB198" s="12">
        <f>'Inputs (2)'!W30</f>
        <v>0</v>
      </c>
      <c r="AC198" s="46">
        <f>'Inputs (2)'!X30</f>
        <v>0</v>
      </c>
      <c r="AD198" s="46">
        <f>'Inputs (2)'!Y30</f>
        <v>0</v>
      </c>
      <c r="AE198" s="46">
        <f>'Inputs (2)'!Z30</f>
        <v>0</v>
      </c>
      <c r="AF198" s="46">
        <f>'Inputs (2)'!AA30</f>
        <v>0</v>
      </c>
      <c r="AG198" s="12">
        <f>'Inputs (2)'!AB30</f>
        <v>0</v>
      </c>
      <c r="AH198" s="12">
        <f>'Inputs (2)'!AC30</f>
        <v>0</v>
      </c>
      <c r="AI198" s="12">
        <f>'Inputs (2)'!AD30</f>
        <v>0</v>
      </c>
      <c r="AJ198" s="12">
        <f>AI198*(1+AJ16)</f>
        <v>0</v>
      </c>
      <c r="AK198" s="12">
        <f>AJ198*(1+AK16)</f>
        <v>0</v>
      </c>
      <c r="AL198" s="12">
        <f>AK198</f>
        <v>0</v>
      </c>
      <c r="AM198" s="12">
        <f>AL198*(1+AM16)</f>
        <v>0</v>
      </c>
      <c r="AN198" s="12">
        <f>AM198*(1+AN16)</f>
        <v>0</v>
      </c>
      <c r="AO198" s="12">
        <f>AN198*(1+AO16)</f>
        <v>0</v>
      </c>
      <c r="AP198" s="12">
        <f>AO198*(1+AP16)</f>
        <v>0</v>
      </c>
      <c r="AQ198" s="12">
        <f>AP198</f>
        <v>0</v>
      </c>
      <c r="AR198" s="12">
        <f>AQ198*(1+AR16)</f>
        <v>0</v>
      </c>
      <c r="AS198" s="12">
        <f>AR198*(1+AS16)</f>
        <v>0</v>
      </c>
      <c r="AT198" s="12">
        <f>AS198*(1+AT16)</f>
        <v>0</v>
      </c>
      <c r="AU198" s="12">
        <f>AT198*(1+AU16)</f>
        <v>0</v>
      </c>
      <c r="AV198" s="12">
        <f>AU198</f>
        <v>0</v>
      </c>
      <c r="AW198" s="12">
        <f>AV198*(1+AW16)</f>
        <v>0</v>
      </c>
      <c r="AX198" s="12">
        <f>AW198*(1+AX16)</f>
        <v>0</v>
      </c>
      <c r="AY198" s="12">
        <f>AX198*(1+AY16)</f>
        <v>0</v>
      </c>
      <c r="AZ198" s="12">
        <f>AY198*(1+AZ16)</f>
        <v>0</v>
      </c>
      <c r="BA198" s="12">
        <f>AZ198</f>
        <v>0</v>
      </c>
      <c r="BB198" s="12">
        <f>BA198*(1+BB16)</f>
        <v>0</v>
      </c>
      <c r="BC198" s="12">
        <f>BB198*(1+BC16)</f>
        <v>0</v>
      </c>
      <c r="BD198" s="12">
        <f>BC198*(1+BD16)</f>
        <v>0</v>
      </c>
      <c r="BE198" s="12">
        <f>BD198*(1+BE16)</f>
        <v>0</v>
      </c>
      <c r="BF198" s="12">
        <f>BE198</f>
        <v>0</v>
      </c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>
      <c r="C199" s="14" t="inlineStr">
        <is>
          <t>Other current liabilities (non-debt)</t>
        </is>
      </c>
      <c r="D199" s="46" t="n"/>
      <c r="E199" s="46" t="n"/>
      <c r="F199" s="46" t="n"/>
      <c r="G199" s="46" t="n"/>
      <c r="H199" s="12" t="n"/>
      <c r="I199" s="46">
        <f>'Inputs (2)'!D31</f>
        <v>5438.228</v>
      </c>
      <c r="J199" s="46">
        <f>'Inputs (2)'!E31</f>
        <v>5385.238</v>
      </c>
      <c r="K199" s="46">
        <f>'Inputs (2)'!F31</f>
        <v>5293.594</v>
      </c>
      <c r="L199" s="46">
        <f>'Inputs (2)'!G31</f>
        <v>5502.309</v>
      </c>
      <c r="M199" s="12">
        <f>'Inputs (2)'!H31</f>
        <v>5502.309</v>
      </c>
      <c r="N199" s="46">
        <f>'Inputs (2)'!I31</f>
        <v>5305.337</v>
      </c>
      <c r="O199" s="46">
        <f>'Inputs (2)'!J31</f>
        <v>5399.709</v>
      </c>
      <c r="P199" s="46">
        <f>'Inputs (2)'!K31</f>
        <v>5402.213</v>
      </c>
      <c r="Q199" s="46">
        <f>'Inputs (2)'!L31</f>
        <v>5744.811</v>
      </c>
      <c r="R199" s="12">
        <f>'Inputs (2)'!M31</f>
        <v>5744.811</v>
      </c>
      <c r="S199" s="46">
        <f>'Inputs (2)'!N31</f>
        <v>5606.851</v>
      </c>
      <c r="T199" s="46">
        <f>'Inputs (2)'!O31</f>
        <v>5752.33</v>
      </c>
      <c r="U199" s="46">
        <f>'Inputs (2)'!P31</f>
        <v>5565.767</v>
      </c>
      <c r="V199" s="46">
        <f>'Inputs (2)'!Q31</f>
        <v>5909.439</v>
      </c>
      <c r="W199" s="12">
        <f>'Inputs (2)'!R31</f>
        <v>5909.439</v>
      </c>
      <c r="X199" s="46">
        <f>'Inputs (2)'!S31</f>
        <v>5905.505</v>
      </c>
      <c r="Y199" s="46">
        <f>'Inputs (2)'!T31</f>
        <v>5865.157</v>
      </c>
      <c r="Z199" s="46">
        <f>'Inputs (2)'!U31</f>
        <v>6003.019</v>
      </c>
      <c r="AA199" s="46">
        <f>'Inputs (2)'!V31</f>
        <v>5914.494</v>
      </c>
      <c r="AB199" s="12">
        <f>'Inputs (2)'!W31</f>
        <v>5914.494</v>
      </c>
      <c r="AC199" s="46">
        <f>'Inputs (2)'!X31</f>
        <v>5738.631</v>
      </c>
      <c r="AD199" s="46">
        <f>'Inputs (2)'!Y31</f>
        <v>5820.131</v>
      </c>
      <c r="AE199" s="46">
        <f>'Inputs (2)'!Z31</f>
        <v>5827.315</v>
      </c>
      <c r="AF199" s="46">
        <f>'Inputs (2)'!AA31</f>
        <v>5860.584</v>
      </c>
      <c r="AG199" s="12">
        <f>'Inputs (2)'!AB31</f>
        <v>5860.584</v>
      </c>
      <c r="AH199" s="12">
        <f>'Inputs (2)'!AC31</f>
        <v>5795.726</v>
      </c>
      <c r="AI199" s="12">
        <f>'Inputs (2)'!AD31</f>
        <v>5663.978</v>
      </c>
      <c r="AJ199" s="12">
        <f>AI199</f>
        <v>5663.978</v>
      </c>
      <c r="AK199" s="12">
        <f>AJ199</f>
        <v>5663.978</v>
      </c>
      <c r="AL199" s="12">
        <f>AK199</f>
        <v>5663.978</v>
      </c>
      <c r="AM199" s="12">
        <f>AL199</f>
        <v>5663.978</v>
      </c>
      <c r="AN199" s="12">
        <f>AM199</f>
        <v>5663.978</v>
      </c>
      <c r="AO199" s="12">
        <f>AN199</f>
        <v>5663.978</v>
      </c>
      <c r="AP199" s="12">
        <f>AO199</f>
        <v>5663.978</v>
      </c>
      <c r="AQ199" s="12">
        <f>AP199</f>
        <v>5663.978</v>
      </c>
      <c r="AR199" s="12">
        <f>AQ199</f>
        <v>5663.978</v>
      </c>
      <c r="AS199" s="12">
        <f>AR199</f>
        <v>5663.978</v>
      </c>
      <c r="AT199" s="12">
        <f>AS199</f>
        <v>5663.978</v>
      </c>
      <c r="AU199" s="12">
        <f>AT199</f>
        <v>5663.978</v>
      </c>
      <c r="AV199" s="12">
        <f>AU199</f>
        <v>5663.978</v>
      </c>
      <c r="AW199" s="12">
        <f>AV199</f>
        <v>5663.978</v>
      </c>
      <c r="AX199" s="12">
        <f>AW199</f>
        <v>5663.978</v>
      </c>
      <c r="AY199" s="12">
        <f>AX199</f>
        <v>5663.978</v>
      </c>
      <c r="AZ199" s="12">
        <f>AY199</f>
        <v>5663.978</v>
      </c>
      <c r="BA199" s="12">
        <f>AZ199</f>
        <v>5663.978</v>
      </c>
      <c r="BB199" s="12">
        <f>BA199</f>
        <v>5663.978</v>
      </c>
      <c r="BC199" s="12">
        <f>BB199</f>
        <v>5663.978</v>
      </c>
      <c r="BD199" s="12">
        <f>BC199</f>
        <v>5663.978</v>
      </c>
      <c r="BE199" s="12">
        <f>BD199</f>
        <v>5663.978</v>
      </c>
      <c r="BF199" s="12">
        <f>BE199</f>
        <v>5663.978</v>
      </c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9" t="inlineStr">
        <is>
          <t>%(Var.)</t>
        </is>
      </c>
      <c r="D200" s="12" t="n"/>
      <c r="E200" s="40" t="n"/>
      <c r="F200" s="40" t="n"/>
      <c r="G200" s="40" t="n"/>
      <c r="H200" s="12" t="n"/>
      <c r="I200" s="40" t="str">
        <f>""</f>
        <v/>
      </c>
      <c r="J200" s="40">
        <f>IFERROR(IF(I199=0,"",J199/I199-1),"")</f>
        <v>-0.009743982782627</v>
      </c>
      <c r="K200" s="40">
        <f>IFERROR(IF(J199=0,"",K199/J199-1),"")</f>
        <v>-0.0170176322754909</v>
      </c>
      <c r="L200" s="40">
        <f>IFERROR(IF(K199=0,"",L199/K199-1),"")</f>
        <v>0.0394278442963325</v>
      </c>
      <c r="M200" s="12">
        <f>IF(L199=0,"",M199/L199-1)</f>
        <v>0</v>
      </c>
      <c r="N200" s="40">
        <f>IFERROR(IF(M199=0,"",N199/M199-1),"")</f>
        <v>-0.0357980622316921</v>
      </c>
      <c r="O200" s="40">
        <f>IFERROR(IF(N199=0,"",O199/N199-1),"")</f>
        <v>0.0177881254291667</v>
      </c>
      <c r="P200" s="40">
        <f>IFERROR(IF(O199=0,"",P199/O199-1),"")</f>
        <v>0.000463728693527621</v>
      </c>
      <c r="Q200" s="40">
        <f>IFERROR(IF(P199=0,"",Q199/P199-1),"")</f>
        <v>0.0634180844035583</v>
      </c>
      <c r="R200" s="12">
        <f>IF(Q199=0,"",R199/Q199-1)</f>
        <v>0</v>
      </c>
      <c r="S200" s="40">
        <f>IFERROR(IF(R199=0,"",S199/R199-1),"")</f>
        <v>-0.0240147151925451</v>
      </c>
      <c r="T200" s="40">
        <f>IFERROR(IF(S199=0,"",T199/S199-1),"")</f>
        <v>0.0259466499109751</v>
      </c>
      <c r="U200" s="40">
        <f>IFERROR(IF(T199=0,"",U199/T199-1),"")</f>
        <v>-0.0324325968781346</v>
      </c>
      <c r="V200" s="40">
        <f>IFERROR(IF(U199=0,"",V199/U199-1),"")</f>
        <v>0.061747464455483</v>
      </c>
      <c r="W200" s="12">
        <f>IF(V199=0,"",W199/V199-1)</f>
        <v>0</v>
      </c>
      <c r="X200" s="40">
        <f>IFERROR(IF(W199=0,"",X199/W199-1),"")</f>
        <v>-0.000665714630441294</v>
      </c>
      <c r="Y200" s="40">
        <f>IFERROR(IF(X199=0,"",Y199/X199-1),"")</f>
        <v>-0.00683226921321711</v>
      </c>
      <c r="Z200" s="40">
        <f>IFERROR(IF(Y199=0,"",Z199/Y199-1),"")</f>
        <v>0.0235052531415614</v>
      </c>
      <c r="AA200" s="40">
        <f>IFERROR(IF(Z199=0,"",AA199/Z199-1),"")</f>
        <v>-0.0147467465953383</v>
      </c>
      <c r="AB200" s="12">
        <f>IF(AA199=0,"",AB199/AA199-1)</f>
        <v>0</v>
      </c>
      <c r="AC200" s="40">
        <f>IFERROR(IF(AB199=0,"",AC199/AB199-1),"")</f>
        <v>-0.0297342426926123</v>
      </c>
      <c r="AD200" s="40">
        <f>IFERROR(IF(AC199=0,"",AD199/AC199-1),"")</f>
        <v>0.0142019934719622</v>
      </c>
      <c r="AE200" s="40">
        <f>IFERROR(IF(AD199=0,"",AE199/AD199-1),"")</f>
        <v>0.0012343364779932</v>
      </c>
      <c r="AF200" s="55">
        <f>IFERROR(IF(AE199=0,"",AF199/AE199-1),"")</f>
        <v>0.00570914735173922</v>
      </c>
      <c r="AG200" s="12">
        <f>IF(AF199=0,"",AG199/AF199-1)</f>
        <v>0</v>
      </c>
      <c r="AH200" s="55">
        <f>IFERROR(IF(AG199=0,"",AH199/AG199-1),"")</f>
        <v>-0.0110668151842889</v>
      </c>
      <c r="AI200" s="55">
        <f>IFERROR(IF(AH199=0,"",AI199/AH199-1),"")</f>
        <v>-0.0227319234898268</v>
      </c>
      <c r="AJ200" s="55">
        <f>IFERROR(IF(AI199=0,"",AJ199/AI199-1),"")</f>
        <v>0</v>
      </c>
      <c r="AK200" s="55">
        <f>IFERROR(IF(AJ199=0,"",AK199/AJ199-1),"")</f>
        <v>0</v>
      </c>
      <c r="AL200" s="12">
        <f>IFERROR(IF(AK199=0,"",AL199/AK199-1),"")</f>
        <v>0</v>
      </c>
      <c r="AM200" s="55">
        <f>IFERROR(IF(AL199=0,"",AM199/AL199-1),"")</f>
        <v>0</v>
      </c>
      <c r="AN200" s="55">
        <f>IFERROR(IF(AM199=0,"",AN199/AM199-1),"")</f>
        <v>0</v>
      </c>
      <c r="AO200" s="55">
        <f>IFERROR(IF(AN199=0,"",AO199/AN199-1),"")</f>
        <v>0</v>
      </c>
      <c r="AP200" s="55">
        <f>IFERROR(IF(AO199=0,"",AP199/AO199-1),"")</f>
        <v>0</v>
      </c>
      <c r="AQ200" s="12">
        <f>IFERROR(IF(AP199=0,"",AQ199/AP199-1),"")</f>
        <v>0</v>
      </c>
      <c r="AR200" s="55">
        <f>IFERROR(IF(AQ199=0,"",AR199/AQ199-1),"")</f>
        <v>0</v>
      </c>
      <c r="AS200" s="55">
        <f>IFERROR(IF(AR199=0,"",AS199/AR199-1),"")</f>
        <v>0</v>
      </c>
      <c r="AT200" s="55">
        <f>IFERROR(IF(AS199=0,"",AT199/AS199-1),"")</f>
        <v>0</v>
      </c>
      <c r="AU200" s="55">
        <f>IFERROR(IF(AT199=0,"",AU199/AT199-1),"")</f>
        <v>0</v>
      </c>
      <c r="AV200" s="12">
        <f>IFERROR(IF(AU199=0,"",AV199/AU199-1),"")</f>
        <v>0</v>
      </c>
      <c r="AW200" s="55">
        <f>IFERROR(IF(AV199=0,"",AW199/AV199-1),"")</f>
        <v>0</v>
      </c>
      <c r="AX200" s="55">
        <f>IFERROR(IF(AW199=0,"",AX199/AW199-1),"")</f>
        <v>0</v>
      </c>
      <c r="AY200" s="55">
        <f>IFERROR(IF(AX199=0,"",AY199/AX199-1),"")</f>
        <v>0</v>
      </c>
      <c r="AZ200" s="55">
        <f>IFERROR(IF(AY199=0,"",AZ199/AY199-1),"")</f>
        <v>0</v>
      </c>
      <c r="BA200" s="12">
        <f>IFERROR(IF(AZ199=0,"",BA199/AZ199-1),"")</f>
        <v>0</v>
      </c>
      <c r="BB200" s="55">
        <f>IFERROR(IF(BA199=0,"",BB199/BA199-1),"")</f>
        <v>0</v>
      </c>
      <c r="BC200" s="55">
        <f>IFERROR(IF(BB199=0,"",BC199/BB199-1),"")</f>
        <v>0</v>
      </c>
      <c r="BD200" s="55">
        <f>IFERROR(IF(BC199=0,"",BD199/BC199-1),"")</f>
        <v>0</v>
      </c>
      <c r="BE200" s="55">
        <f>IFERROR(IF(BD199=0,"",BE199/BD199-1),"")</f>
        <v>0</v>
      </c>
      <c r="BF200" s="12">
        <f>IFERROR(IF(BE199=0,"",BF199/BE199-1),"")</f>
        <v>0</v>
      </c>
      <c r="BG200" s="55" t="n"/>
      <c r="BH200" s="55" t="n"/>
      <c r="BI200" s="55" t="n"/>
      <c r="BJ200" s="55" t="n"/>
      <c r="BK200" s="12" t="n"/>
      <c r="BL200" s="55" t="n"/>
      <c r="BM200" s="55" t="n"/>
      <c r="BN200" s="55" t="n"/>
      <c r="BO200" s="55" t="n"/>
      <c r="BP200" s="12" t="n"/>
      <c r="BQ200" s="55" t="n"/>
      <c r="BR200" s="55" t="n"/>
      <c r="BS200" s="55" t="n"/>
      <c r="BT200" s="55" t="n"/>
      <c r="BU200" s="12" t="n"/>
      <c r="BV200" s="55" t="n"/>
      <c r="BW200" s="55" t="n"/>
      <c r="BX200" s="55" t="n"/>
      <c r="BY200" s="55" t="n"/>
      <c r="BZ200" s="12" t="n"/>
      <c r="CA200" s="55" t="n"/>
      <c r="CB200" s="55" t="n"/>
      <c r="CC200" s="55" t="n"/>
      <c r="CD200" s="55" t="n"/>
      <c r="CE200" s="12" t="n"/>
      <c r="CF200" s="55" t="n"/>
      <c r="CG200" s="55" t="n"/>
      <c r="CH200" s="55" t="n"/>
      <c r="CI200" s="55" t="n"/>
      <c r="CJ200" s="12" t="n"/>
      <c r="CK200" s="55" t="n"/>
      <c r="CL200" s="55" t="n"/>
      <c r="CM200" s="55" t="n"/>
      <c r="CN200" s="55" t="n"/>
      <c r="CO200" s="12" t="n"/>
      <c r="CP200" s="55" t="n"/>
      <c r="CQ200" s="55" t="n"/>
      <c r="CR200" s="55" t="n"/>
      <c r="CS200" s="55" t="n"/>
      <c r="CT200" s="12" t="n"/>
      <c r="CU200" s="55" t="n"/>
      <c r="CV200" s="55" t="n"/>
      <c r="CW200" s="55" t="n"/>
      <c r="CX200" s="55" t="n"/>
      <c r="CY200" s="12" t="n"/>
    </row>
    <row r="201" hidden="1" outlineLevel="1">
      <c r="C201" s="57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7" t="inlineStr">
        <is>
          <t xml:space="preserve">Dividendos a Pagar </t>
        </is>
      </c>
      <c r="D202" s="11" t="n"/>
      <c r="E202" s="11" t="n"/>
      <c r="F202" s="11" t="n"/>
      <c r="G202" s="11" t="n"/>
      <c r="H202" s="12" t="n"/>
      <c r="I202" s="11" t="n"/>
      <c r="J202" s="11" t="n"/>
      <c r="K202" s="11" t="n"/>
      <c r="L202" s="11" t="n"/>
      <c r="M202" s="12" t="n"/>
      <c r="N202" s="11" t="n"/>
      <c r="O202" s="11" t="n"/>
      <c r="P202" s="11" t="n"/>
      <c r="Q202" s="11" t="n"/>
      <c r="R202" s="12" t="n"/>
      <c r="S202" s="11" t="n"/>
      <c r="T202" s="11" t="n"/>
      <c r="U202" s="11" t="n"/>
      <c r="V202" s="11" t="n"/>
      <c r="W202" s="12" t="n"/>
      <c r="X202" s="11" t="n"/>
      <c r="Y202" s="11" t="n"/>
      <c r="Z202" s="11" t="n"/>
      <c r="AA202" s="11" t="n"/>
      <c r="AB202" s="12" t="n"/>
      <c r="AC202" s="11" t="n"/>
      <c r="AD202" s="11" t="n"/>
      <c r="AE202" s="11" t="n"/>
      <c r="AF202" s="11" t="n"/>
      <c r="AG202" s="12" t="n"/>
      <c r="AH202" s="11" t="n"/>
      <c r="AI202" s="11" t="n"/>
      <c r="AJ202" s="11" t="n"/>
      <c r="AK202" s="11" t="n"/>
      <c r="AL202" s="12" t="n"/>
      <c r="AM202" s="11" t="n"/>
      <c r="AN202" s="11" t="n"/>
      <c r="AO202" s="11" t="n"/>
      <c r="AP202" s="11" t="n"/>
      <c r="AQ202" s="12" t="n"/>
      <c r="AR202" s="11" t="n"/>
      <c r="AS202" s="11" t="n"/>
      <c r="AT202" s="11" t="n"/>
      <c r="AU202" s="11" t="n"/>
      <c r="AV202" s="12" t="n"/>
      <c r="AW202" s="11" t="n"/>
      <c r="AX202" s="11" t="n"/>
      <c r="AY202" s="11" t="n"/>
      <c r="AZ202" s="11" t="n"/>
      <c r="BA202" s="12" t="n"/>
      <c r="BB202" s="11" t="n"/>
      <c r="BC202" s="11" t="n"/>
      <c r="BD202" s="11" t="n"/>
      <c r="BE202" s="11" t="n"/>
      <c r="BF202" s="12" t="n"/>
      <c r="BG202" s="11" t="n"/>
      <c r="BH202" s="11" t="n"/>
      <c r="BI202" s="11" t="n"/>
      <c r="BJ202" s="11" t="n"/>
      <c r="BK202" s="12" t="n"/>
      <c r="BL202" s="11" t="n"/>
      <c r="BM202" s="11" t="n"/>
      <c r="BN202" s="11" t="n"/>
      <c r="BO202" s="11" t="n"/>
      <c r="BP202" s="12" t="n"/>
      <c r="BQ202" s="11" t="n"/>
      <c r="BR202" s="11" t="n"/>
      <c r="BS202" s="11" t="n"/>
      <c r="BT202" s="11" t="n"/>
      <c r="BU202" s="12" t="n"/>
      <c r="BV202" s="11" t="n"/>
      <c r="BW202" s="11" t="n"/>
      <c r="BX202" s="11" t="n"/>
      <c r="BY202" s="11" t="n"/>
      <c r="BZ202" s="12" t="n"/>
      <c r="CA202" s="11" t="n"/>
      <c r="CB202" s="11" t="n"/>
      <c r="CC202" s="11" t="n"/>
      <c r="CD202" s="11" t="n"/>
      <c r="CE202" s="12" t="n"/>
      <c r="CF202" s="11" t="n"/>
      <c r="CG202" s="11" t="n"/>
      <c r="CH202" s="11" t="n"/>
      <c r="CI202" s="11" t="n"/>
      <c r="CJ202" s="12" t="n"/>
      <c r="CK202" s="11" t="n"/>
      <c r="CL202" s="11" t="n"/>
      <c r="CM202" s="11" t="n"/>
      <c r="CN202" s="11" t="n"/>
      <c r="CO202" s="12" t="n"/>
      <c r="CP202" s="11" t="n"/>
      <c r="CQ202" s="11" t="n"/>
      <c r="CR202" s="11" t="n"/>
      <c r="CS202" s="11" t="n"/>
      <c r="CT202" s="12" t="n"/>
      <c r="CU202" s="11" t="n"/>
      <c r="CV202" s="11" t="n"/>
      <c r="CW202" s="11" t="n"/>
      <c r="CX202" s="11" t="n"/>
      <c r="CY202" s="12" t="n"/>
    </row>
    <row r="203" hidden="1" outlineLevel="1">
      <c r="C203" s="57" t="inlineStr">
        <is>
          <t>Contas a pagar pela aquisição de controladas</t>
        </is>
      </c>
      <c r="D203" s="11" t="n"/>
      <c r="E203" s="11" t="n"/>
      <c r="F203" s="11" t="n"/>
      <c r="G203" s="11" t="n"/>
      <c r="H203" s="12" t="n"/>
      <c r="I203" s="11" t="n"/>
      <c r="J203" s="11" t="n"/>
      <c r="K203" s="11" t="n"/>
      <c r="L203" s="11" t="n"/>
      <c r="M203" s="12" t="n"/>
      <c r="N203" s="11" t="n"/>
      <c r="O203" s="11" t="n"/>
      <c r="P203" s="11" t="n"/>
      <c r="Q203" s="11" t="n"/>
      <c r="R203" s="12" t="n"/>
      <c r="S203" s="11" t="n"/>
      <c r="T203" s="11" t="n"/>
      <c r="U203" s="11" t="n"/>
      <c r="V203" s="11" t="n"/>
      <c r="W203" s="12" t="n"/>
      <c r="X203" s="11" t="n"/>
      <c r="Y203" s="11" t="n"/>
      <c r="Z203" s="11" t="n"/>
      <c r="AA203" s="11" t="n"/>
      <c r="AB203" s="12" t="n"/>
      <c r="AC203" s="11" t="n"/>
      <c r="AD203" s="11" t="n"/>
      <c r="AE203" s="11" t="n"/>
      <c r="AF203" s="11" t="n"/>
      <c r="AG203" s="12" t="n"/>
      <c r="AH203" s="11" t="n"/>
      <c r="AI203" s="11" t="n"/>
      <c r="AJ203" s="11" t="n"/>
      <c r="AK203" s="11" t="n"/>
      <c r="AL203" s="12" t="n"/>
      <c r="AM203" s="11" t="n"/>
      <c r="AN203" s="11" t="n"/>
      <c r="AO203" s="11" t="n"/>
      <c r="AP203" s="11" t="n"/>
      <c r="AQ203" s="12" t="n"/>
      <c r="AR203" s="11" t="n"/>
      <c r="AS203" s="11" t="n"/>
      <c r="AT203" s="11" t="n"/>
      <c r="AU203" s="11" t="n"/>
      <c r="AV203" s="12" t="n"/>
      <c r="AW203" s="11" t="n"/>
      <c r="AX203" s="11" t="n"/>
      <c r="AY203" s="11" t="n"/>
      <c r="AZ203" s="11" t="n"/>
      <c r="BA203" s="12" t="n"/>
      <c r="BB203" s="11" t="n"/>
      <c r="BC203" s="11" t="n"/>
      <c r="BD203" s="11" t="n"/>
      <c r="BE203" s="11" t="n"/>
      <c r="BF203" s="12" t="n"/>
      <c r="BG203" s="11" t="n"/>
      <c r="BH203" s="11" t="n"/>
      <c r="BI203" s="11" t="n"/>
      <c r="BJ203" s="11" t="n"/>
      <c r="BK203" s="12" t="n"/>
      <c r="BL203" s="11" t="n"/>
      <c r="BM203" s="11" t="n"/>
      <c r="BN203" s="11" t="n"/>
      <c r="BO203" s="11" t="n"/>
      <c r="BP203" s="12" t="n"/>
      <c r="BQ203" s="11" t="n"/>
      <c r="BR203" s="11" t="n"/>
      <c r="BS203" s="11" t="n"/>
      <c r="BT203" s="11" t="n"/>
      <c r="BU203" s="12" t="n"/>
      <c r="BV203" s="11" t="n"/>
      <c r="BW203" s="11" t="n"/>
      <c r="BX203" s="11" t="n"/>
      <c r="BY203" s="11" t="n"/>
      <c r="BZ203" s="12" t="n"/>
      <c r="CA203" s="11" t="n"/>
      <c r="CB203" s="11" t="n"/>
      <c r="CC203" s="11" t="n"/>
      <c r="CD203" s="11" t="n"/>
      <c r="CE203" s="12" t="n"/>
      <c r="CF203" s="11" t="n"/>
      <c r="CG203" s="11" t="n"/>
      <c r="CH203" s="11" t="n"/>
      <c r="CI203" s="11" t="n"/>
      <c r="CJ203" s="12" t="n"/>
      <c r="CK203" s="11" t="n"/>
      <c r="CL203" s="11" t="n"/>
      <c r="CM203" s="11" t="n"/>
      <c r="CN203" s="11" t="n"/>
      <c r="CO203" s="12" t="n"/>
      <c r="CP203" s="11" t="n"/>
      <c r="CQ203" s="11" t="n"/>
      <c r="CR203" s="11" t="n"/>
      <c r="CS203" s="11" t="n"/>
      <c r="CT203" s="12" t="n"/>
      <c r="CU203" s="11" t="n"/>
      <c r="CV203" s="11" t="n"/>
      <c r="CW203" s="11" t="n"/>
      <c r="CX203" s="11" t="n"/>
      <c r="CY203" s="12" t="n"/>
    </row>
    <row r="204" hidden="1" outlineLevel="1">
      <c r="C204" s="57" t="inlineStr">
        <is>
          <t>Outros</t>
        </is>
      </c>
      <c r="D204" s="11" t="n"/>
      <c r="E204" s="11" t="n"/>
      <c r="F204" s="11" t="n"/>
      <c r="G204" s="11" t="n"/>
      <c r="H204" s="12" t="n"/>
      <c r="I204" s="11" t="n"/>
      <c r="J204" s="11" t="n"/>
      <c r="K204" s="11" t="n"/>
      <c r="L204" s="11" t="n"/>
      <c r="M204" s="12" t="n"/>
      <c r="N204" s="11" t="n"/>
      <c r="O204" s="11" t="n"/>
      <c r="P204" s="11" t="n"/>
      <c r="Q204" s="11" t="n"/>
      <c r="R204" s="12" t="n"/>
      <c r="S204" s="11" t="n"/>
      <c r="T204" s="11" t="n"/>
      <c r="U204" s="11" t="n"/>
      <c r="V204" s="11" t="n"/>
      <c r="W204" s="12" t="n"/>
      <c r="X204" s="11" t="n"/>
      <c r="Y204" s="11" t="n"/>
      <c r="Z204" s="11" t="n"/>
      <c r="AA204" s="11" t="n"/>
      <c r="AB204" s="12" t="n"/>
      <c r="AC204" s="11" t="n"/>
      <c r="AD204" s="11" t="n"/>
      <c r="AE204" s="11" t="n"/>
      <c r="AF204" s="11" t="n"/>
      <c r="AG204" s="12" t="n"/>
      <c r="AH204" s="11" t="n"/>
      <c r="AI204" s="11" t="n"/>
      <c r="AJ204" s="11" t="n"/>
      <c r="AK204" s="11" t="n"/>
      <c r="AL204" s="12" t="n"/>
      <c r="AM204" s="11" t="n"/>
      <c r="AN204" s="11" t="n"/>
      <c r="AO204" s="11" t="n"/>
      <c r="AP204" s="11" t="n"/>
      <c r="AQ204" s="12" t="n"/>
      <c r="AR204" s="11" t="n"/>
      <c r="AS204" s="11" t="n"/>
      <c r="AT204" s="11" t="n"/>
      <c r="AU204" s="11" t="n"/>
      <c r="AV204" s="12" t="n"/>
      <c r="AW204" s="11" t="n"/>
      <c r="AX204" s="11" t="n"/>
      <c r="AY204" s="11" t="n"/>
      <c r="AZ204" s="11" t="n"/>
      <c r="BA204" s="12" t="n"/>
      <c r="BB204" s="11" t="n"/>
      <c r="BC204" s="11" t="n"/>
      <c r="BD204" s="11" t="n"/>
      <c r="BE204" s="11" t="n"/>
      <c r="BF204" s="12" t="n"/>
      <c r="BG204" s="11" t="n"/>
      <c r="BH204" s="11" t="n"/>
      <c r="BI204" s="11" t="n"/>
      <c r="BJ204" s="11" t="n"/>
      <c r="BK204" s="12" t="n"/>
      <c r="BL204" s="11" t="n"/>
      <c r="BM204" s="11" t="n"/>
      <c r="BN204" s="11" t="n"/>
      <c r="BO204" s="11" t="n"/>
      <c r="BP204" s="12" t="n"/>
      <c r="BQ204" s="11" t="n"/>
      <c r="BR204" s="11" t="n"/>
      <c r="BS204" s="11" t="n"/>
      <c r="BT204" s="11" t="n"/>
      <c r="BU204" s="12" t="n"/>
      <c r="BV204" s="11" t="n"/>
      <c r="BW204" s="11" t="n"/>
      <c r="BX204" s="11" t="n"/>
      <c r="BY204" s="11" t="n"/>
      <c r="BZ204" s="12" t="n"/>
      <c r="CA204" s="11" t="n"/>
      <c r="CB204" s="11" t="n"/>
      <c r="CC204" s="11" t="n"/>
      <c r="CD204" s="11" t="n"/>
      <c r="CE204" s="12" t="n"/>
      <c r="CF204" s="11" t="n"/>
      <c r="CG204" s="11" t="n"/>
      <c r="CH204" s="11" t="n"/>
      <c r="CI204" s="11" t="n"/>
      <c r="CJ204" s="12" t="n"/>
      <c r="CK204" s="11" t="n"/>
      <c r="CL204" s="11" t="n"/>
      <c r="CM204" s="11" t="n"/>
      <c r="CN204" s="11" t="n"/>
      <c r="CO204" s="12" t="n"/>
      <c r="CP204" s="11" t="n"/>
      <c r="CQ204" s="11" t="n"/>
      <c r="CR204" s="11" t="n"/>
      <c r="CS204" s="11" t="n"/>
      <c r="CT204" s="12" t="n"/>
      <c r="CU204" s="11" t="n"/>
      <c r="CV204" s="11" t="n"/>
      <c r="CW204" s="11" t="n"/>
      <c r="CX204" s="11" t="n"/>
      <c r="CY204" s="12" t="n"/>
    </row>
    <row r="205" hidden="1" outlineLevel="1">
      <c r="C205" s="57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collapsed="1">
      <c r="C206" s="14" t="inlineStr">
        <is>
          <t>Current portion of long-term debt</t>
        </is>
      </c>
      <c r="D206" s="46" t="n"/>
      <c r="E206" s="46" t="n"/>
      <c r="F206" s="46" t="n"/>
      <c r="G206" s="46" t="n"/>
      <c r="H206" s="12" t="n"/>
      <c r="I206" s="46">
        <f>'Inputs (2)'!D32</f>
        <v>698.788</v>
      </c>
      <c r="J206" s="46">
        <f>'Inputs (2)'!E32</f>
        <v>699.128</v>
      </c>
      <c r="K206" s="46">
        <f>'Inputs (2)'!F32</f>
        <v>699.473</v>
      </c>
      <c r="L206" s="46">
        <f>'Inputs (2)'!G32</f>
        <v>699.823</v>
      </c>
      <c r="M206" s="12">
        <f>'Inputs (2)'!H32</f>
        <v>699.823</v>
      </c>
      <c r="N206" s="46">
        <f>'Inputs (2)'!I32</f>
        <v>0</v>
      </c>
      <c r="O206" s="46">
        <f>'Inputs (2)'!J32</f>
        <v>0</v>
      </c>
      <c r="P206" s="46">
        <f>'Inputs (2)'!K32</f>
        <v>0</v>
      </c>
      <c r="Q206" s="46">
        <f>'Inputs (2)'!L32</f>
        <v>0</v>
      </c>
      <c r="R206" s="12">
        <f>'Inputs (2)'!M32</f>
        <v>0</v>
      </c>
      <c r="S206" s="46">
        <f>'Inputs (2)'!N32</f>
        <v>399.163</v>
      </c>
      <c r="T206" s="46">
        <f>'Inputs (2)'!O32</f>
        <v>399.387</v>
      </c>
      <c r="U206" s="46">
        <f>'Inputs (2)'!P32</f>
        <v>399.614</v>
      </c>
      <c r="V206" s="46">
        <f>'Inputs (2)'!Q32</f>
        <v>399.844</v>
      </c>
      <c r="W206" s="12">
        <f>'Inputs (2)'!R32</f>
        <v>399.844</v>
      </c>
      <c r="X206" s="46">
        <f>'Inputs (2)'!S32</f>
        <v>798.936</v>
      </c>
      <c r="Y206" s="46">
        <f>'Inputs (2)'!T32</f>
        <v>1800.041</v>
      </c>
      <c r="Z206" s="46">
        <f>'Inputs (2)'!U32</f>
        <v>1820.396</v>
      </c>
      <c r="AA206" s="46">
        <f>'Inputs (2)'!V32</f>
        <v>1784.453</v>
      </c>
      <c r="AB206" s="12">
        <f>'Inputs (2)'!W32</f>
        <v>1784.453</v>
      </c>
      <c r="AC206" s="46">
        <f>'Inputs (2)'!X32</f>
        <v>1005.881</v>
      </c>
      <c r="AD206" s="46">
        <f>'Inputs (2)'!Y32</f>
        <v>0</v>
      </c>
      <c r="AE206" s="46">
        <f>'Inputs (2)'!Z32</f>
        <v>0</v>
      </c>
      <c r="AF206" s="46">
        <f>'Inputs (2)'!AA32</f>
        <v>998.865</v>
      </c>
      <c r="AG206" s="12">
        <f>'Inputs (2)'!AB32</f>
        <v>998.865</v>
      </c>
      <c r="AH206" s="12">
        <f>'Inputs (2)'!AC32</f>
        <v>999.185</v>
      </c>
      <c r="AI206" s="12">
        <f>'Inputs (2)'!AD32</f>
        <v>2483.758</v>
      </c>
      <c r="AJ206" s="12">
        <f>AI206</f>
        <v>2483.758</v>
      </c>
      <c r="AK206" s="12">
        <f>AJ206</f>
        <v>2483.758</v>
      </c>
      <c r="AL206" s="12">
        <f>AK206</f>
        <v>2483.758</v>
      </c>
      <c r="AM206" s="12">
        <f>AL206</f>
        <v>2483.758</v>
      </c>
      <c r="AN206" s="12">
        <f>AM206</f>
        <v>2483.758</v>
      </c>
      <c r="AO206" s="12">
        <f>AN206</f>
        <v>2483.758</v>
      </c>
      <c r="AP206" s="12">
        <f>AO206</f>
        <v>2483.758</v>
      </c>
      <c r="AQ206" s="12">
        <f>AP206</f>
        <v>2483.758</v>
      </c>
      <c r="AR206" s="12">
        <f>AQ206</f>
        <v>2483.758</v>
      </c>
      <c r="AS206" s="12">
        <f>AR206</f>
        <v>2483.758</v>
      </c>
      <c r="AT206" s="12">
        <f>AS206</f>
        <v>2483.758</v>
      </c>
      <c r="AU206" s="12">
        <f>AT206</f>
        <v>2483.758</v>
      </c>
      <c r="AV206" s="12">
        <f>AU206</f>
        <v>2483.758</v>
      </c>
      <c r="AW206" s="12">
        <f>AV206</f>
        <v>2483.758</v>
      </c>
      <c r="AX206" s="12">
        <f>AW206</f>
        <v>2483.758</v>
      </c>
      <c r="AY206" s="12">
        <f>AX206</f>
        <v>2483.758</v>
      </c>
      <c r="AZ206" s="12">
        <f>AY206</f>
        <v>2483.758</v>
      </c>
      <c r="BA206" s="12">
        <f>AZ206</f>
        <v>2483.758</v>
      </c>
      <c r="BB206" s="12">
        <f>BA206</f>
        <v>2483.758</v>
      </c>
      <c r="BC206" s="12">
        <f>BB206</f>
        <v>2483.758</v>
      </c>
      <c r="BD206" s="12">
        <f>BC206</f>
        <v>2483.758</v>
      </c>
      <c r="BE206" s="12">
        <f>BD206</f>
        <v>2483.758</v>
      </c>
      <c r="BF206" s="12">
        <f>BE206</f>
        <v>2483.758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>
      <c r="C207" s="14" t="inlineStr">
        <is>
          <t>Short term debt (Revolving credit facility)</t>
        </is>
      </c>
      <c r="D207" s="46" t="n"/>
      <c r="E207" s="46" t="n"/>
      <c r="F207" s="46" t="n"/>
      <c r="G207" s="46" t="n"/>
      <c r="H207" s="12" t="n"/>
      <c r="I207" s="46">
        <f>'Inputs (2)'!D33</f>
        <v>0</v>
      </c>
      <c r="J207" s="46">
        <f>'Inputs (2)'!E33</f>
        <v>0</v>
      </c>
      <c r="K207" s="46">
        <f>'Inputs (2)'!F33</f>
        <v>0</v>
      </c>
      <c r="L207" s="46">
        <f>'Inputs (2)'!G33</f>
        <v>0</v>
      </c>
      <c r="M207" s="12">
        <f>'Inputs (2)'!H33</f>
        <v>0</v>
      </c>
      <c r="N207" s="46">
        <f>'Inputs (2)'!I33</f>
        <v>0</v>
      </c>
      <c r="O207" s="46">
        <f>'Inputs (2)'!J33</f>
        <v>0</v>
      </c>
      <c r="P207" s="46">
        <f>'Inputs (2)'!K33</f>
        <v>0</v>
      </c>
      <c r="Q207" s="46">
        <f>'Inputs (2)'!L33</f>
        <v>0</v>
      </c>
      <c r="R207" s="12">
        <f>'Inputs (2)'!M33</f>
        <v>0</v>
      </c>
      <c r="S207" s="46">
        <f>'Inputs (2)'!N33</f>
        <v>0</v>
      </c>
      <c r="T207" s="46">
        <f>'Inputs (2)'!O33</f>
        <v>0</v>
      </c>
      <c r="U207" s="46">
        <f>'Inputs (2)'!P33</f>
        <v>0</v>
      </c>
      <c r="V207" s="46">
        <f>'Inputs (2)'!Q33</f>
        <v>0</v>
      </c>
      <c r="W207" s="12">
        <f>'Inputs (2)'!R33</f>
        <v>0</v>
      </c>
      <c r="X207" s="46">
        <f>'Inputs (2)'!S33</f>
        <v>0</v>
      </c>
      <c r="Y207" s="46">
        <f>'Inputs (2)'!T33</f>
        <v>0</v>
      </c>
      <c r="Z207" s="46">
        <f>'Inputs (2)'!U33</f>
        <v>0</v>
      </c>
      <c r="AA207" s="46">
        <f>'Inputs (2)'!V33</f>
        <v>0</v>
      </c>
      <c r="AB207" s="12">
        <f>'Inputs (2)'!W33</f>
        <v>0</v>
      </c>
      <c r="AC207" s="46">
        <f>'Inputs (2)'!X33</f>
        <v>0</v>
      </c>
      <c r="AD207" s="46">
        <f>'Inputs (2)'!Y33</f>
        <v>0</v>
      </c>
      <c r="AE207" s="46">
        <f>'Inputs (2)'!Z33</f>
        <v>0</v>
      </c>
      <c r="AF207" s="46">
        <f>'Inputs (2)'!AA33</f>
        <v>0</v>
      </c>
      <c r="AG207" s="12">
        <f>'Inputs (2)'!AB33</f>
        <v>0</v>
      </c>
      <c r="AH207" s="12">
        <f>'Inputs (2)'!AC33</f>
        <v>0</v>
      </c>
      <c r="AI207" s="12">
        <f>'Inputs (2)'!AD33</f>
        <v>0</v>
      </c>
      <c r="AJ207" s="12">
        <f>AI207</f>
        <v>0</v>
      </c>
      <c r="AK207" s="12">
        <f>AJ207</f>
        <v>0</v>
      </c>
      <c r="AL207" s="12">
        <f>AK207</f>
        <v>0</v>
      </c>
      <c r="AM207" s="12">
        <f>AL207</f>
        <v>0</v>
      </c>
      <c r="AN207" s="12">
        <f>AM207</f>
        <v>0</v>
      </c>
      <c r="AO207" s="12">
        <f>AN207</f>
        <v>0</v>
      </c>
      <c r="AP207" s="12">
        <f>AO207</f>
        <v>0</v>
      </c>
      <c r="AQ207" s="12">
        <f>AP207</f>
        <v>0</v>
      </c>
      <c r="AR207" s="12">
        <f>AQ207</f>
        <v>0</v>
      </c>
      <c r="AS207" s="12">
        <f>AR207</f>
        <v>0</v>
      </c>
      <c r="AT207" s="12">
        <f>AS207</f>
        <v>0</v>
      </c>
      <c r="AU207" s="12">
        <f>AT207</f>
        <v>0</v>
      </c>
      <c r="AV207" s="12">
        <f>AU207</f>
        <v>0</v>
      </c>
      <c r="AW207" s="12">
        <f>AV207</f>
        <v>0</v>
      </c>
      <c r="AX207" s="12">
        <f>AW207</f>
        <v>0</v>
      </c>
      <c r="AY207" s="12">
        <f>AX207</f>
        <v>0</v>
      </c>
      <c r="AZ207" s="12">
        <f>AY207</f>
        <v>0</v>
      </c>
      <c r="BA207" s="12">
        <f>AZ207</f>
        <v>0</v>
      </c>
      <c r="BB207" s="12">
        <f>BA207</f>
        <v>0</v>
      </c>
      <c r="BC207" s="12">
        <f>BB207</f>
        <v>0</v>
      </c>
      <c r="BD207" s="12">
        <f>BC207</f>
        <v>0</v>
      </c>
      <c r="BE207" s="12">
        <f>BD207</f>
        <v>0</v>
      </c>
      <c r="BF207" s="12">
        <f>BE207</f>
        <v>0</v>
      </c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>
      <c r="C208" s="14" t="inlineStr">
        <is>
          <t>Short term operating leases</t>
        </is>
      </c>
      <c r="D208" s="46" t="n"/>
      <c r="E208" s="46" t="n"/>
      <c r="F208" s="46" t="n"/>
      <c r="G208" s="46" t="n"/>
      <c r="H208" s="12" t="n"/>
      <c r="I208" s="46">
        <f>'Inputs (2)'!D34</f>
        <v>0</v>
      </c>
      <c r="J208" s="46">
        <f>'Inputs (2)'!E34</f>
        <v>0</v>
      </c>
      <c r="K208" s="46">
        <f>'Inputs (2)'!F34</f>
        <v>0</v>
      </c>
      <c r="L208" s="46">
        <f>'Inputs (2)'!G34</f>
        <v>0</v>
      </c>
      <c r="M208" s="12">
        <f>'Inputs (2)'!H34</f>
        <v>0</v>
      </c>
      <c r="N208" s="46">
        <f>'Inputs (2)'!I34</f>
        <v>0</v>
      </c>
      <c r="O208" s="46">
        <f>'Inputs (2)'!J34</f>
        <v>0</v>
      </c>
      <c r="P208" s="46">
        <f>'Inputs (2)'!K34</f>
        <v>0</v>
      </c>
      <c r="Q208" s="46">
        <f>'Inputs (2)'!L34</f>
        <v>0</v>
      </c>
      <c r="R208" s="12">
        <f>'Inputs (2)'!M34</f>
        <v>0</v>
      </c>
      <c r="S208" s="46">
        <f>'Inputs (2)'!N34</f>
        <v>0</v>
      </c>
      <c r="T208" s="46">
        <f>'Inputs (2)'!O34</f>
        <v>0</v>
      </c>
      <c r="U208" s="46">
        <f>'Inputs (2)'!P34</f>
        <v>0</v>
      </c>
      <c r="V208" s="46">
        <f>'Inputs (2)'!Q34</f>
        <v>0</v>
      </c>
      <c r="W208" s="12">
        <f>'Inputs (2)'!R34</f>
        <v>0</v>
      </c>
      <c r="X208" s="46">
        <f>'Inputs (2)'!S34</f>
        <v>0</v>
      </c>
      <c r="Y208" s="46">
        <f>'Inputs (2)'!T34</f>
        <v>0</v>
      </c>
      <c r="Z208" s="46">
        <f>'Inputs (2)'!U34</f>
        <v>0</v>
      </c>
      <c r="AA208" s="46">
        <f>'Inputs (2)'!V34</f>
        <v>0</v>
      </c>
      <c r="AB208" s="12">
        <f>'Inputs (2)'!W34</f>
        <v>0</v>
      </c>
      <c r="AC208" s="46">
        <f>'Inputs (2)'!X34</f>
        <v>0</v>
      </c>
      <c r="AD208" s="46">
        <f>'Inputs (2)'!Y34</f>
        <v>0</v>
      </c>
      <c r="AE208" s="46">
        <f>'Inputs (2)'!Z34</f>
        <v>0</v>
      </c>
      <c r="AF208" s="46">
        <f>'Inputs (2)'!AA34</f>
        <v>0</v>
      </c>
      <c r="AG208" s="12">
        <f>'Inputs (2)'!AB34</f>
        <v>0</v>
      </c>
      <c r="AH208" s="12">
        <f>'Inputs (2)'!AC34</f>
        <v>0</v>
      </c>
      <c r="AI208" s="12">
        <f>'Inputs (2)'!AD34</f>
        <v>0</v>
      </c>
      <c r="AJ208" s="12">
        <f>AI208</f>
        <v>0</v>
      </c>
      <c r="AK208" s="12">
        <f>AJ208</f>
        <v>0</v>
      </c>
      <c r="AL208" s="12">
        <f>AK208</f>
        <v>0</v>
      </c>
      <c r="AM208" s="12">
        <f>AL208</f>
        <v>0</v>
      </c>
      <c r="AN208" s="12">
        <f>AM208</f>
        <v>0</v>
      </c>
      <c r="AO208" s="12">
        <f>AN208</f>
        <v>0</v>
      </c>
      <c r="AP208" s="12">
        <f>AO208</f>
        <v>0</v>
      </c>
      <c r="AQ208" s="12">
        <f>AP208</f>
        <v>0</v>
      </c>
      <c r="AR208" s="12">
        <f>AQ208</f>
        <v>0</v>
      </c>
      <c r="AS208" s="12">
        <f>AR208</f>
        <v>0</v>
      </c>
      <c r="AT208" s="12">
        <f>AS208</f>
        <v>0</v>
      </c>
      <c r="AU208" s="12">
        <f>AT208</f>
        <v>0</v>
      </c>
      <c r="AV208" s="12">
        <f>AU208</f>
        <v>0</v>
      </c>
      <c r="AW208" s="12">
        <f>AV208</f>
        <v>0</v>
      </c>
      <c r="AX208" s="12">
        <f>AW208</f>
        <v>0</v>
      </c>
      <c r="AY208" s="12">
        <f>AX208</f>
        <v>0</v>
      </c>
      <c r="AZ208" s="12">
        <f>AY208</f>
        <v>0</v>
      </c>
      <c r="BA208" s="12">
        <f>AZ208</f>
        <v>0</v>
      </c>
      <c r="BB208" s="12">
        <f>BA208</f>
        <v>0</v>
      </c>
      <c r="BC208" s="12">
        <f>BB208</f>
        <v>0</v>
      </c>
      <c r="BD208" s="12">
        <f>BC208</f>
        <v>0</v>
      </c>
      <c r="BE208" s="12">
        <f>BD208</f>
        <v>0</v>
      </c>
      <c r="BF208" s="12">
        <f>BE208</f>
        <v>0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9" t="inlineStr">
        <is>
          <t>%(Var.)</t>
        </is>
      </c>
      <c r="D209" s="12" t="n"/>
      <c r="E209" s="40" t="n"/>
      <c r="F209" s="40" t="n"/>
      <c r="G209" s="40" t="n"/>
      <c r="H209" s="12" t="n"/>
      <c r="I209" s="40" t="str">
        <f>""</f>
        <v/>
      </c>
      <c r="J209" s="40" t="str">
        <f>IFERROR(IF(I208=0,"",J208/I208-1),"")</f>
        <v/>
      </c>
      <c r="K209" s="40" t="str">
        <f>IFERROR(IF(J208=0,"",K208/J208-1),"")</f>
        <v/>
      </c>
      <c r="L209" s="40" t="str">
        <f>IFERROR(IF(K208=0,"",L208/K208-1),"")</f>
        <v/>
      </c>
      <c r="M209" s="12" t="str">
        <f>IF(L208=0,"",M208/L208-1)</f>
        <v/>
      </c>
      <c r="N209" s="40" t="str">
        <f>IFERROR(IF(M208=0,"",N208/M208-1),"")</f>
        <v/>
      </c>
      <c r="O209" s="40" t="str">
        <f>IFERROR(IF(N208=0,"",O208/N208-1),"")</f>
        <v/>
      </c>
      <c r="P209" s="40" t="str">
        <f>IFERROR(IF(O208=0,"",P208/O208-1),"")</f>
        <v/>
      </c>
      <c r="Q209" s="40" t="str">
        <f>IFERROR(IF(P208=0,"",Q208/P208-1),"")</f>
        <v/>
      </c>
      <c r="R209" s="12" t="str">
        <f>IF(Q208=0,"",R208/Q208-1)</f>
        <v/>
      </c>
      <c r="S209" s="40" t="str">
        <f>IFERROR(IF(R208=0,"",S208/R208-1),"")</f>
        <v/>
      </c>
      <c r="T209" s="40" t="str">
        <f>IFERROR(IF(S208=0,"",T208/S208-1),"")</f>
        <v/>
      </c>
      <c r="U209" s="40" t="str">
        <f>IFERROR(IF(T208=0,"",U208/T208-1),"")</f>
        <v/>
      </c>
      <c r="V209" s="40" t="str">
        <f>IFERROR(IF(U208=0,"",V208/U208-1),"")</f>
        <v/>
      </c>
      <c r="W209" s="12" t="str">
        <f>IF(V208=0,"",W208/V208-1)</f>
        <v/>
      </c>
      <c r="X209" s="40" t="str">
        <f>IFERROR(IF(W208=0,"",X208/W208-1),"")</f>
        <v/>
      </c>
      <c r="Y209" s="40" t="str">
        <f>IFERROR(IF(X208=0,"",Y208/X208-1),"")</f>
        <v/>
      </c>
      <c r="Z209" s="40" t="str">
        <f>IFERROR(IF(Y208=0,"",Z208/Y208-1),"")</f>
        <v/>
      </c>
      <c r="AA209" s="40" t="str">
        <f>IFERROR(IF(Z208=0,"",AA208/Z208-1),"")</f>
        <v/>
      </c>
      <c r="AB209" s="12" t="str">
        <f>IF(AA208=0,"",AB208/AA208-1)</f>
        <v/>
      </c>
      <c r="AC209" s="40" t="str">
        <f>IFERROR(IF(AB208=0,"",AC208/AB208-1),"")</f>
        <v/>
      </c>
      <c r="AD209" s="40" t="str">
        <f>IFERROR(IF(AC208=0,"",AD208/AC208-1),"")</f>
        <v/>
      </c>
      <c r="AE209" s="40" t="str">
        <f>IFERROR(IF(AD208=0,"",AE208/AD208-1),"")</f>
        <v/>
      </c>
      <c r="AF209" s="11" t="str">
        <f>IFERROR(IF(AE208=0,"",AF208/AE208-1),"")</f>
        <v/>
      </c>
      <c r="AG209" s="12" t="str">
        <f>IF(AF208=0,"",AG208/AF208-1)</f>
        <v/>
      </c>
      <c r="AH209" s="11" t="str">
        <f>IFERROR(IF(AG208=0,"",AH208/AG208-1),"")</f>
        <v/>
      </c>
      <c r="AI209" s="11" t="str">
        <f>IFERROR(IF(AH208=0,"",AI208/AH208-1),"")</f>
        <v/>
      </c>
      <c r="AJ209" s="11" t="str">
        <f>IFERROR(IF(AI208=0,"",AJ208/AI208-1),"")</f>
        <v/>
      </c>
      <c r="AK209" s="11" t="str">
        <f>IFERROR(IF(AJ208=0,"",AK208/AJ208-1),"")</f>
        <v/>
      </c>
      <c r="AL209" s="12" t="str">
        <f>IFERROR(IF(AK208=0,"",AL208/AK208-1),"")</f>
        <v/>
      </c>
      <c r="AM209" s="11" t="str">
        <f>IFERROR(IF(AL208=0,"",AM208/AL208-1),"")</f>
        <v/>
      </c>
      <c r="AN209" s="11" t="str">
        <f>IFERROR(IF(AM208=0,"",AN208/AM208-1),"")</f>
        <v/>
      </c>
      <c r="AO209" s="11" t="str">
        <f>IFERROR(IF(AN208=0,"",AO208/AN208-1),"")</f>
        <v/>
      </c>
      <c r="AP209" s="11" t="str">
        <f>IFERROR(IF(AO208=0,"",AP208/AO208-1),"")</f>
        <v/>
      </c>
      <c r="AQ209" s="12" t="str">
        <f>IFERROR(IF(AP208=0,"",AQ208/AP208-1),"")</f>
        <v/>
      </c>
      <c r="AR209" s="11" t="str">
        <f>IFERROR(IF(AQ208=0,"",AR208/AQ208-1),"")</f>
        <v/>
      </c>
      <c r="AS209" s="11" t="str">
        <f>IFERROR(IF(AR208=0,"",AS208/AR208-1),"")</f>
        <v/>
      </c>
      <c r="AT209" s="11" t="str">
        <f>IFERROR(IF(AS208=0,"",AT208/AS208-1),"")</f>
        <v/>
      </c>
      <c r="AU209" s="11" t="str">
        <f>IFERROR(IF(AT208=0,"",AU208/AT208-1),"")</f>
        <v/>
      </c>
      <c r="AV209" s="12" t="str">
        <f>IFERROR(IF(AU208=0,"",AV208/AU208-1),"")</f>
        <v/>
      </c>
      <c r="AW209" s="11" t="str">
        <f>IFERROR(IF(AV208=0,"",AW208/AV208-1),"")</f>
        <v/>
      </c>
      <c r="AX209" s="11" t="str">
        <f>IFERROR(IF(AW208=0,"",AX208/AW208-1),"")</f>
        <v/>
      </c>
      <c r="AY209" s="11" t="str">
        <f>IFERROR(IF(AX208=0,"",AY208/AX208-1),"")</f>
        <v/>
      </c>
      <c r="AZ209" s="11" t="str">
        <f>IFERROR(IF(AY208=0,"",AZ208/AY208-1),"")</f>
        <v/>
      </c>
      <c r="BA209" s="12" t="str">
        <f>IFERROR(IF(AZ208=0,"",BA208/AZ208-1),"")</f>
        <v/>
      </c>
      <c r="BB209" s="11" t="str">
        <f>IFERROR(IF(BA208=0,"",BB208/BA208-1),"")</f>
        <v/>
      </c>
      <c r="BC209" s="11" t="str">
        <f>IFERROR(IF(BB208=0,"",BC208/BB208-1),"")</f>
        <v/>
      </c>
      <c r="BD209" s="11" t="str">
        <f>IFERROR(IF(BC208=0,"",BD208/BC208-1),"")</f>
        <v/>
      </c>
      <c r="BE209" s="11" t="str">
        <f>IFERROR(IF(BD208=0,"",BE208/BD208-1),"")</f>
        <v/>
      </c>
      <c r="BF209" s="12" t="str">
        <f>IFERROR(IF(BE208=0,"",BF208/BE208-1),"")</f>
        <v/>
      </c>
      <c r="BG209" s="11" t="n"/>
      <c r="BH209" s="11" t="n"/>
      <c r="BI209" s="11" t="n"/>
      <c r="BJ209" s="11" t="n"/>
      <c r="BK209" s="12" t="n"/>
      <c r="BL209" s="11" t="n"/>
      <c r="BM209" s="11" t="n"/>
      <c r="BN209" s="11" t="n"/>
      <c r="BO209" s="11" t="n"/>
      <c r="BP209" s="12" t="n"/>
      <c r="BQ209" s="11" t="n"/>
      <c r="BR209" s="11" t="n"/>
      <c r="BS209" s="11" t="n"/>
      <c r="BT209" s="11" t="n"/>
      <c r="BU209" s="12" t="n"/>
      <c r="BV209" s="11" t="n"/>
      <c r="BW209" s="11" t="n"/>
      <c r="BX209" s="11" t="n"/>
      <c r="BY209" s="11" t="n"/>
      <c r="BZ209" s="12" t="n"/>
      <c r="CA209" s="11" t="n"/>
      <c r="CB209" s="11" t="n"/>
      <c r="CC209" s="11" t="n"/>
      <c r="CD209" s="11" t="n"/>
      <c r="CE209" s="12" t="n"/>
      <c r="CF209" s="11" t="n"/>
      <c r="CG209" s="11" t="n"/>
      <c r="CH209" s="11" t="n"/>
      <c r="CI209" s="11" t="n"/>
      <c r="CJ209" s="12" t="n"/>
      <c r="CK209" s="11" t="n"/>
      <c r="CL209" s="11" t="n"/>
      <c r="CM209" s="11" t="n"/>
      <c r="CN209" s="11" t="n"/>
      <c r="CO209" s="12" t="n"/>
      <c r="CP209" s="11" t="n"/>
      <c r="CQ209" s="11" t="n"/>
      <c r="CR209" s="11" t="n"/>
      <c r="CS209" s="11" t="n"/>
      <c r="CT209" s="12" t="n"/>
      <c r="CU209" s="11" t="n"/>
      <c r="CV209" s="11" t="n"/>
      <c r="CW209" s="11" t="n"/>
      <c r="CX209" s="11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collapsed="1">
      <c r="C211" s="14" t="inlineStr">
        <is>
          <t>Long term debt</t>
        </is>
      </c>
      <c r="D211" s="46" t="n"/>
      <c r="E211" s="46" t="n"/>
      <c r="F211" s="46" t="n"/>
      <c r="G211" s="46" t="n"/>
      <c r="H211" s="12" t="n"/>
      <c r="I211" s="46">
        <f>'Inputs (2)'!D35</f>
        <v>14860.552</v>
      </c>
      <c r="J211" s="46">
        <f>'Inputs (2)'!E35</f>
        <v>14926.889</v>
      </c>
      <c r="K211" s="46">
        <f>'Inputs (2)'!F35</f>
        <v>14793.691</v>
      </c>
      <c r="L211" s="46">
        <f>'Inputs (2)'!G35</f>
        <v>14693.072</v>
      </c>
      <c r="M211" s="12">
        <f>'Inputs (2)'!H35</f>
        <v>14693.072</v>
      </c>
      <c r="N211" s="46">
        <f>'Inputs (2)'!I35</f>
        <v>14534.561</v>
      </c>
      <c r="O211" s="46">
        <f>'Inputs (2)'!J35</f>
        <v>14233.303</v>
      </c>
      <c r="P211" s="46">
        <f>'Inputs (2)'!K35</f>
        <v>13888.117</v>
      </c>
      <c r="Q211" s="46">
        <f>'Inputs (2)'!L35</f>
        <v>14353.076</v>
      </c>
      <c r="R211" s="12">
        <f>'Inputs (2)'!M35</f>
        <v>14353.076</v>
      </c>
      <c r="S211" s="46">
        <f>'Inputs (2)'!N35</f>
        <v>14037.965</v>
      </c>
      <c r="T211" s="46">
        <f>'Inputs (2)'!O35</f>
        <v>14070.151</v>
      </c>
      <c r="U211" s="46">
        <f>'Inputs (2)'!P35</f>
        <v>13900.754</v>
      </c>
      <c r="V211" s="46">
        <f>'Inputs (2)'!Q35</f>
        <v>14143.417</v>
      </c>
      <c r="W211" s="12">
        <f>'Inputs (2)'!R35</f>
        <v>14143.417</v>
      </c>
      <c r="X211" s="46">
        <f>'Inputs (2)'!S35</f>
        <v>13217.038</v>
      </c>
      <c r="Y211" s="46">
        <f>'Inputs (2)'!T35</f>
        <v>12180.024</v>
      </c>
      <c r="Z211" s="46">
        <f>'Inputs (2)'!U35</f>
        <v>14160.932</v>
      </c>
      <c r="AA211" s="46">
        <f>'Inputs (2)'!V35</f>
        <v>13798.351</v>
      </c>
      <c r="AB211" s="12">
        <f>'Inputs (2)'!W35</f>
        <v>13798.351</v>
      </c>
      <c r="AC211" s="46">
        <f>'Inputs (2)'!X35</f>
        <v>14011.037</v>
      </c>
      <c r="AD211" s="46">
        <f>'Inputs (2)'!Y35</f>
        <v>14453.206</v>
      </c>
      <c r="AE211" s="46">
        <f>'Inputs (2)'!Z35</f>
        <v>14463.02</v>
      </c>
      <c r="AF211" s="46">
        <f>'Inputs (2)'!AA35</f>
        <v>13463.971</v>
      </c>
      <c r="AG211" s="12">
        <f>'Inputs (2)'!AB35</f>
        <v>13463.971</v>
      </c>
      <c r="AH211" s="12">
        <f>'Inputs (2)'!AC35</f>
        <v>13361.331</v>
      </c>
      <c r="AI211" s="12">
        <f>'Inputs (2)'!AD35</f>
        <v>11825.548</v>
      </c>
      <c r="AJ211" s="12">
        <f>AJ217</f>
        <v>11825.548</v>
      </c>
      <c r="AK211" s="12">
        <f>AK217</f>
        <v>11825.548</v>
      </c>
      <c r="AL211" s="12">
        <f>AK211</f>
        <v>11825.548</v>
      </c>
      <c r="AM211" s="12">
        <f>AM217</f>
        <v>11825.548</v>
      </c>
      <c r="AN211" s="12">
        <f>AN217</f>
        <v>11825.548</v>
      </c>
      <c r="AO211" s="12">
        <f>AO217</f>
        <v>11825.548</v>
      </c>
      <c r="AP211" s="12">
        <f>AP217</f>
        <v>11825.548</v>
      </c>
      <c r="AQ211" s="12">
        <f>AP211</f>
        <v>11825.548</v>
      </c>
      <c r="AR211" s="12">
        <f>AR217</f>
        <v>11825.548</v>
      </c>
      <c r="AS211" s="12">
        <f>AS217</f>
        <v>11825.548</v>
      </c>
      <c r="AT211" s="12">
        <f>AT217</f>
        <v>11825.548</v>
      </c>
      <c r="AU211" s="12">
        <f>AU217</f>
        <v>11825.548</v>
      </c>
      <c r="AV211" s="12">
        <f>AU211</f>
        <v>11825.548</v>
      </c>
      <c r="AW211" s="12">
        <f>AW217</f>
        <v>11825.548</v>
      </c>
      <c r="AX211" s="12">
        <f>AX217</f>
        <v>11825.548</v>
      </c>
      <c r="AY211" s="12">
        <f>AY217</f>
        <v>11825.548</v>
      </c>
      <c r="AZ211" s="12">
        <f>AZ217</f>
        <v>11825.548</v>
      </c>
      <c r="BA211" s="12">
        <f>AZ211</f>
        <v>11825.548</v>
      </c>
      <c r="BB211" s="12">
        <f>BB217</f>
        <v>11825.548</v>
      </c>
      <c r="BC211" s="12">
        <f>BC217</f>
        <v>11825.548</v>
      </c>
      <c r="BD211" s="12">
        <f>BD217</f>
        <v>11825.548</v>
      </c>
      <c r="BE211" s="12">
        <f>BE217</f>
        <v>11825.548</v>
      </c>
      <c r="BF211" s="12">
        <f>BE211</f>
        <v>11825.548</v>
      </c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Current portion of LTD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>
        <f>AF206</f>
        <v>998.865</v>
      </c>
      <c r="AI213" s="62" t="n"/>
      <c r="AJ213" s="62" t="n"/>
      <c r="AK213" s="62" t="n"/>
      <c r="AL213" s="12" t="n"/>
      <c r="AM213" s="12">
        <f>AK206</f>
        <v>2483.758</v>
      </c>
      <c r="AN213" s="62" t="n"/>
      <c r="AO213" s="62" t="n"/>
      <c r="AP213" s="62" t="n"/>
      <c r="AQ213" s="12" t="n"/>
      <c r="AR213" s="12">
        <f>AP206</f>
        <v>2483.758</v>
      </c>
      <c r="AS213" s="62" t="n"/>
      <c r="AT213" s="62" t="n"/>
      <c r="AU213" s="62" t="n"/>
      <c r="AV213" s="12" t="n"/>
      <c r="AW213" s="12">
        <f>AU206</f>
        <v>2483.758</v>
      </c>
      <c r="AX213" s="62" t="n"/>
      <c r="AY213" s="62" t="n"/>
      <c r="AZ213" s="62" t="n"/>
      <c r="BA213" s="12" t="n"/>
      <c r="BB213" s="12">
        <f>AZ206</f>
        <v>2483.758</v>
      </c>
      <c r="BC213" s="62" t="n"/>
      <c r="BD213" s="62" t="n"/>
      <c r="BE213" s="62" t="n"/>
      <c r="BF213" s="12" t="n"/>
      <c r="BG213" s="12" t="n"/>
      <c r="BH213" s="62" t="n"/>
      <c r="BI213" s="62" t="n"/>
      <c r="BJ213" s="62" t="n"/>
      <c r="BK213" s="12" t="n"/>
      <c r="BL213" s="12" t="n"/>
      <c r="BM213" s="62" t="n"/>
      <c r="BN213" s="62" t="n"/>
      <c r="BO213" s="62" t="n"/>
      <c r="BP213" s="12" t="n"/>
      <c r="BQ213" s="12" t="n"/>
      <c r="BR213" s="62" t="n"/>
      <c r="BS213" s="62" t="n"/>
      <c r="BT213" s="62" t="n"/>
      <c r="BU213" s="12" t="n"/>
      <c r="BV213" s="12" t="n"/>
      <c r="BW213" s="62" t="n"/>
      <c r="BX213" s="62" t="n"/>
      <c r="BY213" s="62" t="n"/>
      <c r="BZ213" s="12" t="n"/>
      <c r="CA213" s="12" t="n"/>
      <c r="CB213" s="62" t="n"/>
      <c r="CC213" s="62" t="n"/>
      <c r="CD213" s="62" t="n"/>
      <c r="CE213" s="12" t="n"/>
      <c r="CF213" s="12" t="n"/>
      <c r="CG213" s="62" t="n"/>
      <c r="CH213" s="62" t="n"/>
      <c r="CI213" s="62" t="n"/>
      <c r="CJ213" s="12" t="n"/>
      <c r="CK213" s="12" t="n"/>
      <c r="CL213" s="62" t="n"/>
      <c r="CM213" s="62" t="n"/>
      <c r="CN213" s="62" t="n"/>
      <c r="CO213" s="12" t="n"/>
      <c r="CP213" s="12" t="n"/>
      <c r="CQ213" s="62" t="n"/>
      <c r="CR213" s="62" t="n"/>
      <c r="CS213" s="62" t="n"/>
      <c r="CT213" s="12" t="n"/>
      <c r="CU213" s="12" t="n"/>
      <c r="CV213" s="62" t="n"/>
      <c r="CW213" s="62" t="n"/>
      <c r="CX213" s="62" t="n"/>
      <c r="CY213" s="12" t="n"/>
    </row>
    <row r="214" hidden="1" outlineLevel="1">
      <c r="C214" s="57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inlineStr">
        <is>
          <t>Reclassification of LTD to CP of LTD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>
        <f>-AI213</f>
        <v>0</v>
      </c>
      <c r="AJ215" s="12">
        <f>-AJ213</f>
        <v>0</v>
      </c>
      <c r="AK215" s="12">
        <f>-AK213</f>
        <v>0</v>
      </c>
      <c r="AL215" s="12" t="n"/>
      <c r="AM215" s="12" t="n"/>
      <c r="AN215" s="12">
        <f>-AN213</f>
        <v>0</v>
      </c>
      <c r="AO215" s="12">
        <f>-AO213</f>
        <v>0</v>
      </c>
      <c r="AP215" s="12">
        <f>-AP213</f>
        <v>0</v>
      </c>
      <c r="AQ215" s="12" t="n"/>
      <c r="AR215" s="12" t="n"/>
      <c r="AS215" s="12">
        <f>-AS213</f>
        <v>0</v>
      </c>
      <c r="AT215" s="12">
        <f>-AT213</f>
        <v>0</v>
      </c>
      <c r="AU215" s="12">
        <f>-AU213</f>
        <v>0</v>
      </c>
      <c r="AV215" s="12" t="n"/>
      <c r="AW215" s="12" t="n"/>
      <c r="AX215" s="12">
        <f>-AX213</f>
        <v>0</v>
      </c>
      <c r="AY215" s="12">
        <f>-AY213</f>
        <v>0</v>
      </c>
      <c r="AZ215" s="12">
        <f>-AZ213</f>
        <v>0</v>
      </c>
      <c r="BA215" s="12" t="n"/>
      <c r="BB215" s="12" t="n"/>
      <c r="BC215" s="12">
        <f>-BC213</f>
        <v>0</v>
      </c>
      <c r="BD215" s="12">
        <f>-BD213</f>
        <v>0</v>
      </c>
      <c r="BE215" s="12">
        <f>-BE213</f>
        <v>0</v>
      </c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inlineStr">
        <is>
          <t>Discretionary (paydown)/borrowing of long term debt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62" t="n"/>
      <c r="AI216" s="62" t="n"/>
      <c r="AJ216" s="62" t="n"/>
      <c r="AK216" s="62" t="n"/>
      <c r="AL216" s="12" t="n"/>
      <c r="AM216" s="62" t="n"/>
      <c r="AN216" s="62" t="n"/>
      <c r="AO216" s="62" t="n"/>
      <c r="AP216" s="62" t="n"/>
      <c r="AQ216" s="12" t="n"/>
      <c r="AR216" s="62" t="n"/>
      <c r="AS216" s="62" t="n"/>
      <c r="AT216" s="62" t="n"/>
      <c r="AU216" s="62" t="n"/>
      <c r="AV216" s="12" t="n"/>
      <c r="AW216" s="62" t="n"/>
      <c r="AX216" s="62" t="n"/>
      <c r="AY216" s="62" t="n"/>
      <c r="AZ216" s="62" t="n"/>
      <c r="BA216" s="12" t="n"/>
      <c r="BB216" s="62" t="n"/>
      <c r="BC216" s="62" t="n"/>
      <c r="BD216" s="62" t="n"/>
      <c r="BE216" s="62" t="n"/>
      <c r="BF216" s="12" t="n"/>
      <c r="BG216" s="62" t="n"/>
      <c r="BH216" s="62" t="n"/>
      <c r="BI216" s="62" t="n"/>
      <c r="BJ216" s="62" t="n"/>
      <c r="BK216" s="12" t="n"/>
      <c r="BL216" s="62" t="n"/>
      <c r="BM216" s="62" t="n"/>
      <c r="BN216" s="62" t="n"/>
      <c r="BO216" s="62" t="n"/>
      <c r="BP216" s="12" t="n"/>
      <c r="BQ216" s="62" t="n"/>
      <c r="BR216" s="62" t="n"/>
      <c r="BS216" s="62" t="n"/>
      <c r="BT216" s="62" t="n"/>
      <c r="BU216" s="12" t="n"/>
      <c r="BV216" s="62" t="n"/>
      <c r="BW216" s="62" t="n"/>
      <c r="BX216" s="62" t="n"/>
      <c r="BY216" s="62" t="n"/>
      <c r="BZ216" s="12" t="n"/>
      <c r="CA216" s="62" t="n"/>
      <c r="CB216" s="62" t="n"/>
      <c r="CC216" s="62" t="n"/>
      <c r="CD216" s="62" t="n"/>
      <c r="CE216" s="12" t="n"/>
      <c r="CF216" s="62" t="n"/>
      <c r="CG216" s="62" t="n"/>
      <c r="CH216" s="62" t="n"/>
      <c r="CI216" s="62" t="n"/>
      <c r="CJ216" s="12" t="n"/>
      <c r="CK216" s="62" t="n"/>
      <c r="CL216" s="62" t="n"/>
      <c r="CM216" s="62" t="n"/>
      <c r="CN216" s="62" t="n"/>
      <c r="CO216" s="12" t="n"/>
      <c r="CP216" s="62" t="n"/>
      <c r="CQ216" s="62" t="n"/>
      <c r="CR216" s="62" t="n"/>
      <c r="CS216" s="62" t="n"/>
      <c r="CT216" s="12" t="n"/>
      <c r="CU216" s="62" t="n"/>
      <c r="CV216" s="62" t="n"/>
      <c r="CW216" s="62" t="n"/>
      <c r="CX216" s="62" t="n"/>
      <c r="CY216" s="12" t="n"/>
    </row>
    <row r="217" hidden="1" outlineLevel="1">
      <c r="C217" s="57" t="inlineStr">
        <is>
          <t>Long term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>
        <f>AH211</f>
        <v>13361.331</v>
      </c>
      <c r="AI217" s="12">
        <f>AI211</f>
        <v>11825.548</v>
      </c>
      <c r="AJ217" s="12">
        <f>AI217+SUM(AJ215:AJ216)</f>
        <v>11825.548</v>
      </c>
      <c r="AK217" s="12">
        <f>AJ217+SUM(AK215:AK216)</f>
        <v>11825.548</v>
      </c>
      <c r="AL217" s="12" t="n"/>
      <c r="AM217" s="12">
        <f>AK217+SUM(AM215:AM216)</f>
        <v>11825.548</v>
      </c>
      <c r="AN217" s="12">
        <f>AM217+SUM(AN215:AN216)</f>
        <v>11825.548</v>
      </c>
      <c r="AO217" s="12">
        <f>AN217+SUM(AO215:AO216)</f>
        <v>11825.548</v>
      </c>
      <c r="AP217" s="12">
        <f>AO217+SUM(AP215:AP216)</f>
        <v>11825.548</v>
      </c>
      <c r="AQ217" s="12" t="n"/>
      <c r="AR217" s="12">
        <f>AP217+SUM(AR215:AR216)</f>
        <v>11825.548</v>
      </c>
      <c r="AS217" s="12">
        <f>AR217+SUM(AS215:AS216)</f>
        <v>11825.548</v>
      </c>
      <c r="AT217" s="12">
        <f>AS217+SUM(AT215:AT216)</f>
        <v>11825.548</v>
      </c>
      <c r="AU217" s="12">
        <f>AT217+SUM(AU215:AU216)</f>
        <v>11825.548</v>
      </c>
      <c r="AV217" s="12" t="n"/>
      <c r="AW217" s="12">
        <f>AU217+SUM(AW215:AW216)</f>
        <v>11825.548</v>
      </c>
      <c r="AX217" s="12">
        <f>AW217+SUM(AX215:AX216)</f>
        <v>11825.548</v>
      </c>
      <c r="AY217" s="12">
        <f>AX217+SUM(AY215:AY216)</f>
        <v>11825.548</v>
      </c>
      <c r="AZ217" s="12">
        <f>AY217+SUM(AZ215:AZ216)</f>
        <v>11825.548</v>
      </c>
      <c r="BA217" s="12" t="n"/>
      <c r="BB217" s="12">
        <f>AZ217+SUM(BB215:BB216)</f>
        <v>11825.548</v>
      </c>
      <c r="BC217" s="12">
        <f>BB217+SUM(BC215:BC216)</f>
        <v>11825.548</v>
      </c>
      <c r="BD217" s="12">
        <f>BC217+SUM(BD215:BD216)</f>
        <v>11825.548</v>
      </c>
      <c r="BE217" s="12">
        <f>BD217+SUM(BE215:BE216)</f>
        <v>11825.548</v>
      </c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inlineStr">
        <is>
          <t>Discretionary (paydown)/borrowing of convertible debt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62" t="n"/>
      <c r="AI219" s="62" t="n"/>
      <c r="AJ219" s="62" t="n"/>
      <c r="AK219" s="62" t="n"/>
      <c r="AL219" s="12" t="n"/>
      <c r="AM219" s="62" t="n"/>
      <c r="AN219" s="62" t="n"/>
      <c r="AO219" s="62" t="n"/>
      <c r="AP219" s="62" t="n"/>
      <c r="AQ219" s="12" t="n"/>
      <c r="AR219" s="62" t="n"/>
      <c r="AS219" s="62" t="n"/>
      <c r="AT219" s="62" t="n"/>
      <c r="AU219" s="62" t="n"/>
      <c r="AV219" s="12" t="n"/>
      <c r="AW219" s="62" t="n"/>
      <c r="AX219" s="62" t="n"/>
      <c r="AY219" s="62" t="n"/>
      <c r="AZ219" s="62" t="n"/>
      <c r="BA219" s="12" t="n"/>
      <c r="BB219" s="62" t="n"/>
      <c r="BC219" s="62" t="n"/>
      <c r="BD219" s="62" t="n"/>
      <c r="BE219" s="62" t="n"/>
      <c r="BF219" s="12" t="n"/>
      <c r="BG219" s="62" t="n"/>
      <c r="BH219" s="62" t="n"/>
      <c r="BI219" s="62" t="n"/>
      <c r="BJ219" s="62" t="n"/>
      <c r="BK219" s="12" t="n"/>
      <c r="BL219" s="62" t="n"/>
      <c r="BM219" s="62" t="n"/>
      <c r="BN219" s="62" t="n"/>
      <c r="BO219" s="62" t="n"/>
      <c r="BP219" s="12" t="n"/>
      <c r="BQ219" s="62" t="n"/>
      <c r="BR219" s="62" t="n"/>
      <c r="BS219" s="62" t="n"/>
      <c r="BT219" s="62" t="n"/>
      <c r="BU219" s="12" t="n"/>
      <c r="BV219" s="62" t="n"/>
      <c r="BW219" s="62" t="n"/>
      <c r="BX219" s="62" t="n"/>
      <c r="BY219" s="62" t="n"/>
      <c r="BZ219" s="12" t="n"/>
      <c r="CA219" s="62" t="n"/>
      <c r="CB219" s="62" t="n"/>
      <c r="CC219" s="62" t="n"/>
      <c r="CD219" s="62" t="n"/>
      <c r="CE219" s="12" t="n"/>
      <c r="CF219" s="62" t="n"/>
      <c r="CG219" s="62" t="n"/>
      <c r="CH219" s="62" t="n"/>
      <c r="CI219" s="62" t="n"/>
      <c r="CJ219" s="12" t="n"/>
      <c r="CK219" s="62" t="n"/>
      <c r="CL219" s="62" t="n"/>
      <c r="CM219" s="62" t="n"/>
      <c r="CN219" s="62" t="n"/>
      <c r="CO219" s="12" t="n"/>
      <c r="CP219" s="62" t="n"/>
      <c r="CQ219" s="62" t="n"/>
      <c r="CR219" s="62" t="n"/>
      <c r="CS219" s="62" t="n"/>
      <c r="CT219" s="12" t="n"/>
      <c r="CU219" s="62" t="n"/>
      <c r="CV219" s="62" t="n"/>
      <c r="CW219" s="62" t="n"/>
      <c r="CX219" s="62" t="n"/>
      <c r="CY219" s="12" t="n"/>
    </row>
    <row r="220" hidden="1" outlineLevel="1">
      <c r="C220" s="57" t="inlineStr">
        <is>
          <t>Convertible debt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>
        <f>AH232</f>
        <v>0</v>
      </c>
      <c r="AI220" s="12">
        <f>AH220+SUM(AI219)</f>
        <v>0</v>
      </c>
      <c r="AJ220" s="12">
        <f>AI220+SUM(AJ219)</f>
        <v>0</v>
      </c>
      <c r="AK220" s="12">
        <f>AJ220+SUM(AK219)</f>
        <v>0</v>
      </c>
      <c r="AL220" s="12" t="n"/>
      <c r="AM220" s="12">
        <f>AM232</f>
        <v>0</v>
      </c>
      <c r="AN220" s="12">
        <f>AM220+SUM(AN219)</f>
        <v>0</v>
      </c>
      <c r="AO220" s="12">
        <f>AN220+SUM(AO219)</f>
        <v>0</v>
      </c>
      <c r="AP220" s="12">
        <f>AO220+SUM(AP219)</f>
        <v>0</v>
      </c>
      <c r="AQ220" s="12" t="n"/>
      <c r="AR220" s="12">
        <f>AR232</f>
        <v>0</v>
      </c>
      <c r="AS220" s="12">
        <f>AR220+SUM(AS219)</f>
        <v>0</v>
      </c>
      <c r="AT220" s="12">
        <f>AS220+SUM(AT219)</f>
        <v>0</v>
      </c>
      <c r="AU220" s="12">
        <f>AT220+SUM(AU219)</f>
        <v>0</v>
      </c>
      <c r="AV220" s="12" t="n"/>
      <c r="AW220" s="12">
        <f>AW232</f>
        <v>0</v>
      </c>
      <c r="AX220" s="12">
        <f>AW220+SUM(AX219)</f>
        <v>0</v>
      </c>
      <c r="AY220" s="12">
        <f>AX220+SUM(AY219)</f>
        <v>0</v>
      </c>
      <c r="AZ220" s="12">
        <f>AY220+SUM(AZ219)</f>
        <v>0</v>
      </c>
      <c r="BA220" s="12" t="n"/>
      <c r="BB220" s="12">
        <f>BB232</f>
        <v>0</v>
      </c>
      <c r="BC220" s="12">
        <f>BB220+SUM(BC219)</f>
        <v>0</v>
      </c>
      <c r="BD220" s="12">
        <f>BC220+SUM(BD219)</f>
        <v>0</v>
      </c>
      <c r="BE220" s="12">
        <f>BD220+SUM(BE219)</f>
        <v>0</v>
      </c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I221" s="12" t="n"/>
      <c r="AJ221" s="12" t="n"/>
      <c r="AK221" s="12" t="n"/>
      <c r="AL221" s="12" t="n"/>
      <c r="AN221" s="12" t="n"/>
      <c r="AO221" s="12" t="n"/>
      <c r="AP221" s="12" t="n"/>
      <c r="AQ221" s="12" t="n"/>
      <c r="AS221" s="12" t="n"/>
      <c r="AT221" s="12" t="n"/>
      <c r="AU221" s="12" t="n"/>
      <c r="AV221" s="12" t="n"/>
      <c r="AX221" s="12" t="n"/>
      <c r="AY221" s="12" t="n"/>
      <c r="AZ221" s="12" t="n"/>
      <c r="BA221" s="12" t="n"/>
      <c r="BC221" s="12" t="n"/>
      <c r="BD221" s="12" t="n"/>
      <c r="BE221" s="12" t="n"/>
      <c r="BF221" s="12" t="n"/>
      <c r="BH221" s="12" t="n"/>
      <c r="BI221" s="12" t="n"/>
      <c r="BJ221" s="12" t="n"/>
      <c r="BK221" s="12" t="n"/>
      <c r="BM221" s="12" t="n"/>
      <c r="BN221" s="12" t="n"/>
      <c r="BO221" s="12" t="n"/>
      <c r="BP221" s="12" t="n"/>
      <c r="BR221" s="12" t="n"/>
      <c r="BS221" s="12" t="n"/>
      <c r="BT221" s="12" t="n"/>
      <c r="BU221" s="12" t="n"/>
      <c r="BW221" s="12" t="n"/>
      <c r="BX221" s="12" t="n"/>
      <c r="BY221" s="12" t="n"/>
      <c r="BZ221" s="12" t="n"/>
      <c r="CB221" s="12" t="n"/>
      <c r="CC221" s="12" t="n"/>
      <c r="CD221" s="12" t="n"/>
      <c r="CE221" s="12" t="n"/>
      <c r="CG221" s="12" t="n"/>
      <c r="CH221" s="12" t="n"/>
      <c r="CI221" s="12" t="n"/>
      <c r="CJ221" s="12" t="n"/>
      <c r="CL221" s="12" t="n"/>
      <c r="CM221" s="12" t="n"/>
      <c r="CN221" s="12" t="n"/>
      <c r="CO221" s="12" t="n"/>
      <c r="CQ221" s="12" t="n"/>
      <c r="CR221" s="12" t="n"/>
      <c r="CS221" s="12" t="n"/>
      <c r="CT221" s="12" t="n"/>
      <c r="CV221" s="12" t="n"/>
      <c r="CW221" s="12" t="n"/>
      <c r="CX221" s="12" t="n"/>
      <c r="CY221" s="12" t="n"/>
    </row>
    <row r="222" hidden="1" outlineLevel="1">
      <c r="C222" s="57" t="inlineStr">
        <is>
          <t>Calculation of short term debt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inlineStr">
        <is>
          <t>Cash @ beginning of the period (end of last period)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63">
        <f>AG138</f>
        <v>9062.359</v>
      </c>
      <c r="AI223" s="12" t="n"/>
      <c r="AJ223" s="12" t="n"/>
      <c r="AK223" s="12" t="n"/>
      <c r="AL223" s="12" t="n"/>
      <c r="AM223" s="63">
        <f>AL138</f>
        <v>18077.3728962287</v>
      </c>
      <c r="AN223" s="12" t="n"/>
      <c r="AO223" s="12" t="n"/>
      <c r="AP223" s="12" t="n"/>
      <c r="AQ223" s="12" t="n"/>
      <c r="AR223" s="63">
        <f>AQ138</f>
        <v>38715.9346179868</v>
      </c>
      <c r="AS223" s="12" t="n"/>
      <c r="AT223" s="12" t="n"/>
      <c r="AU223" s="12" t="n"/>
      <c r="AV223" s="12" t="n"/>
      <c r="AW223" s="63">
        <f>AV138</f>
        <v>64267.7090982308</v>
      </c>
      <c r="AX223" s="12" t="n"/>
      <c r="AY223" s="12" t="n"/>
      <c r="AZ223" s="12" t="n"/>
      <c r="BA223" s="12" t="n"/>
      <c r="BB223" s="63">
        <f>BA138</f>
        <v>96486.2433467197</v>
      </c>
      <c r="BC223" s="12" t="n"/>
      <c r="BD223" s="12" t="n"/>
      <c r="BE223" s="12" t="n"/>
      <c r="BF223" s="12" t="n"/>
      <c r="BG223" s="63" t="n"/>
      <c r="BH223" s="12" t="n"/>
      <c r="BI223" s="12" t="n"/>
      <c r="BJ223" s="12" t="n"/>
      <c r="BK223" s="12" t="n"/>
      <c r="BL223" s="63" t="n"/>
      <c r="BM223" s="12" t="n"/>
      <c r="BN223" s="12" t="n"/>
      <c r="BO223" s="12" t="n"/>
      <c r="BP223" s="12" t="n"/>
      <c r="BQ223" s="63" t="n"/>
      <c r="BR223" s="12" t="n"/>
      <c r="BS223" s="12" t="n"/>
      <c r="BT223" s="12" t="n"/>
      <c r="BU223" s="12" t="n"/>
      <c r="BV223" s="63" t="n"/>
      <c r="BW223" s="12" t="n"/>
      <c r="BX223" s="12" t="n"/>
      <c r="BY223" s="12" t="n"/>
      <c r="BZ223" s="12" t="n"/>
      <c r="CA223" s="63" t="n"/>
      <c r="CB223" s="12" t="n"/>
      <c r="CC223" s="12" t="n"/>
      <c r="CD223" s="12" t="n"/>
      <c r="CE223" s="12" t="n"/>
      <c r="CF223" s="63" t="n"/>
      <c r="CG223" s="12" t="n"/>
      <c r="CH223" s="12" t="n"/>
      <c r="CI223" s="12" t="n"/>
      <c r="CJ223" s="12" t="n"/>
      <c r="CK223" s="63" t="n"/>
      <c r="CL223" s="12" t="n"/>
      <c r="CM223" s="12" t="n"/>
      <c r="CN223" s="12" t="n"/>
      <c r="CO223" s="12" t="n"/>
      <c r="CP223" s="63" t="n"/>
      <c r="CQ223" s="12" t="n"/>
      <c r="CR223" s="12" t="n"/>
      <c r="CS223" s="12" t="n"/>
      <c r="CT223" s="12" t="n"/>
      <c r="CU223" s="63" t="n"/>
      <c r="CV223" s="12" t="n"/>
      <c r="CW223" s="12" t="n"/>
      <c r="CX223" s="12" t="n"/>
      <c r="CY223" s="12" t="n"/>
    </row>
    <row r="224" hidden="1" outlineLevel="1">
      <c r="C224" s="57" t="inlineStr">
        <is>
          <t>Plus: Free cash flows prior to debt during period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inlineStr">
        <is>
          <t>% of sales</t>
        </is>
      </c>
      <c r="AH224" s="64">
        <f>(AH286+AH293)+SUM(AH296:AH302)</f>
        <v>-2136.52900000001</v>
      </c>
      <c r="AI224" s="64">
        <f>(AI286+AI293)+SUM(AI296:AI302)</f>
        <v>-4835.611</v>
      </c>
      <c r="AJ224" s="64">
        <f>(AJ286+AJ293)+SUM(AJ296:AJ302)</f>
        <v>0</v>
      </c>
      <c r="AK224" s="64">
        <f>(AK286+AK293)+SUM(AK296:AK302)</f>
        <v>0</v>
      </c>
      <c r="AL224" s="12" t="n"/>
      <c r="AM224" s="64">
        <f>(AM286+AM293)+SUM(AM296:AM302)</f>
        <v>0</v>
      </c>
      <c r="AN224" s="64">
        <f>(AN286+AN293)+SUM(AN296:AN302)</f>
        <v>0</v>
      </c>
      <c r="AO224" s="64">
        <f>(AO286+AO293)+SUM(AO296:AO302)</f>
        <v>0</v>
      </c>
      <c r="AP224" s="64">
        <f>(AP286+AP293)+SUM(AP296:AP302)</f>
        <v>0</v>
      </c>
      <c r="AQ224" s="12" t="n"/>
      <c r="AR224" s="64">
        <f>(AR286+AR293)+SUM(AR296:AR302)</f>
        <v>0</v>
      </c>
      <c r="AS224" s="64">
        <f>(AS286+AS293)+SUM(AS296:AS302)</f>
        <v>0</v>
      </c>
      <c r="AT224" s="64">
        <f>(AT286+AT293)+SUM(AT296:AT302)</f>
        <v>0</v>
      </c>
      <c r="AU224" s="64">
        <f>(AU286+AU293)+SUM(AU296:AU302)</f>
        <v>0</v>
      </c>
      <c r="AV224" s="12" t="n"/>
      <c r="AW224" s="64">
        <f>(AW286+AW293)+SUM(AW296:AW302)</f>
        <v>0</v>
      </c>
      <c r="AX224" s="64">
        <f>(AX286+AX293)+SUM(AX296:AX302)</f>
        <v>0</v>
      </c>
      <c r="AY224" s="64">
        <f>(AY286+AY293)+SUM(AY296:AY302)</f>
        <v>0</v>
      </c>
      <c r="AZ224" s="64">
        <f>(AZ286+AZ293)+SUM(AZ296:AZ302)</f>
        <v>0</v>
      </c>
      <c r="BA224" s="12" t="n"/>
      <c r="BB224" s="64">
        <f>(BB286+BB293)+SUM(BB296:BB302)</f>
        <v>0</v>
      </c>
      <c r="BC224" s="64">
        <f>(BC286+BC293)+SUM(BC296:BC302)</f>
        <v>0</v>
      </c>
      <c r="BD224" s="64">
        <f>(BD286+BD293)+SUM(BD296:BD302)</f>
        <v>0</v>
      </c>
      <c r="BE224" s="64">
        <f>(BE286+BE293)+SUM(BE296:BE302)</f>
        <v>0</v>
      </c>
      <c r="BF224" s="12" t="n"/>
      <c r="BG224" s="64" t="n"/>
      <c r="BH224" s="64" t="n"/>
      <c r="BI224" s="64" t="n"/>
      <c r="BJ224" s="64" t="n"/>
      <c r="BK224" s="12" t="n"/>
      <c r="BL224" s="64" t="n"/>
      <c r="BM224" s="64" t="n"/>
      <c r="BN224" s="64" t="n"/>
      <c r="BO224" s="64" t="n"/>
      <c r="BP224" s="12" t="n"/>
      <c r="BQ224" s="64" t="n"/>
      <c r="BR224" s="64" t="n"/>
      <c r="BS224" s="64" t="n"/>
      <c r="BT224" s="64" t="n"/>
      <c r="BU224" s="12" t="n"/>
      <c r="BV224" s="64" t="n"/>
      <c r="BW224" s="64" t="n"/>
      <c r="BX224" s="64" t="n"/>
      <c r="BY224" s="64" t="n"/>
      <c r="BZ224" s="12" t="n"/>
      <c r="CA224" s="64" t="n"/>
      <c r="CB224" s="64" t="n"/>
      <c r="CC224" s="64" t="n"/>
      <c r="CD224" s="64" t="n"/>
      <c r="CE224" s="12" t="n"/>
      <c r="CF224" s="64" t="n"/>
      <c r="CG224" s="64" t="n"/>
      <c r="CH224" s="64" t="n"/>
      <c r="CI224" s="64" t="n"/>
      <c r="CJ224" s="12" t="n"/>
      <c r="CK224" s="64" t="n"/>
      <c r="CL224" s="64" t="n"/>
      <c r="CM224" s="64" t="n"/>
      <c r="CN224" s="64" t="n"/>
      <c r="CO224" s="12" t="n"/>
      <c r="CP224" s="64" t="n"/>
      <c r="CQ224" s="64" t="n"/>
      <c r="CR224" s="64" t="n"/>
      <c r="CS224" s="64" t="n"/>
      <c r="CT224" s="12" t="n"/>
      <c r="CU224" s="64" t="n"/>
      <c r="CV224" s="64" t="n"/>
      <c r="CW224" s="64" t="n"/>
      <c r="CX224" s="64" t="n"/>
      <c r="CY224" s="12" t="n"/>
    </row>
    <row r="225" hidden="1" outlineLevel="1">
      <c r="C225" s="57" t="inlineStr">
        <is>
          <t>Less: Minimum cash balance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52" t="n"/>
      <c r="AH225" s="12">
        <f>($AG$225*AH15)</f>
        <v>0</v>
      </c>
      <c r="AI225" s="12">
        <f>($AG$225*AI15)</f>
        <v>0</v>
      </c>
      <c r="AJ225" s="12">
        <f>($AG$225*AJ15)</f>
        <v>0</v>
      </c>
      <c r="AK225" s="12">
        <f>($AG$225*AK15)</f>
        <v>0</v>
      </c>
      <c r="AL225" s="12" t="n"/>
      <c r="AM225" s="12">
        <f>($AG$225*AM15)</f>
        <v>0</v>
      </c>
      <c r="AN225" s="12">
        <f>($AG$225*AN15)</f>
        <v>0</v>
      </c>
      <c r="AO225" s="12">
        <f>($AG$225*AO15)</f>
        <v>0</v>
      </c>
      <c r="AP225" s="12">
        <f>($AG$225*AP15)</f>
        <v>0</v>
      </c>
      <c r="AQ225" s="12" t="n"/>
      <c r="AR225" s="12">
        <f>($AG$225*AR15)</f>
        <v>0</v>
      </c>
      <c r="AS225" s="12">
        <f>($AG$225*AS15)</f>
        <v>0</v>
      </c>
      <c r="AT225" s="12">
        <f>($AG$225*AT15)</f>
        <v>0</v>
      </c>
      <c r="AU225" s="12">
        <f>($AG$225*AU15)</f>
        <v>0</v>
      </c>
      <c r="AV225" s="12" t="n"/>
      <c r="AW225" s="12">
        <f>($AG$225*AW15)</f>
        <v>0</v>
      </c>
      <c r="AX225" s="12">
        <f>($AG$225*AX15)</f>
        <v>0</v>
      </c>
      <c r="AY225" s="12">
        <f>($AG$225*AY15)</f>
        <v>0</v>
      </c>
      <c r="AZ225" s="12">
        <f>($AG$225*AZ15)</f>
        <v>0</v>
      </c>
      <c r="BA225" s="12" t="n"/>
      <c r="BB225" s="12">
        <f>($AG$225*BB15)</f>
        <v>0</v>
      </c>
      <c r="BC225" s="12">
        <f>($AG$225*BC15)</f>
        <v>0</v>
      </c>
      <c r="BD225" s="12">
        <f>($AG$225*BD15)</f>
        <v>0</v>
      </c>
      <c r="BE225" s="12">
        <f>($AG$225*BE15)</f>
        <v>0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inlineStr">
        <is>
          <t>Total cash available / (debt required) for short term debt paydown</t>
        </is>
      </c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3">
        <f>AH223+AH224-AH225-AF213+AH215+AH219</f>
        <v>6925.83</v>
      </c>
      <c r="AI226" s="3">
        <f>AI223+AI224-AI225-AG213+AI215+AI219</f>
        <v>-4835.611</v>
      </c>
      <c r="AJ226" s="3">
        <f>AJ223+AJ224-AJ225-AH213+AJ215+AJ219</f>
        <v>-998.865</v>
      </c>
      <c r="AK226" s="3">
        <f>AK223+AK224-AK225-AI213+AK215+AK219</f>
        <v>0</v>
      </c>
      <c r="AL226" s="12" t="n"/>
      <c r="AM226" s="3">
        <f>AM223+AM224-AM225-AK213+AM215+AM219</f>
        <v>18077.3728962287</v>
      </c>
      <c r="AN226" s="3">
        <f>AN223+AN224-AN225-AL213+AN215+AN219</f>
        <v>0</v>
      </c>
      <c r="AO226" s="3">
        <f>AO223+AO224-AO225-AM213+AO215+AO219</f>
        <v>-2483.758</v>
      </c>
      <c r="AP226" s="3">
        <f>AP223+AP224-AP225-AN213+AP215+AP219</f>
        <v>0</v>
      </c>
      <c r="AQ226" s="12" t="n"/>
      <c r="AR226" s="3">
        <f>AR223+AR224-AR225-AP213+AR215+AR219</f>
        <v>38715.9346179868</v>
      </c>
      <c r="AS226" s="3">
        <f>AS223+AS224-AS225-AQ213+AS215+AS219</f>
        <v>0</v>
      </c>
      <c r="AT226" s="3">
        <f>AT223+AT224-AT225-AR213+AT215+AT219</f>
        <v>-2483.758</v>
      </c>
      <c r="AU226" s="3">
        <f>AU223+AU224-AU225-AS213+AU215+AU219</f>
        <v>0</v>
      </c>
      <c r="AV226" s="12" t="n"/>
      <c r="AW226" s="3">
        <f>AW223+AW224-AW225-AU213+AW215+AW219</f>
        <v>64267.7090982308</v>
      </c>
      <c r="AX226" s="3">
        <f>AX223+AX224-AX225-AV213+AX215+AX219</f>
        <v>0</v>
      </c>
      <c r="AY226" s="3">
        <f>AY223+AY224-AY225-AW213+AY215+AY219</f>
        <v>-2483.758</v>
      </c>
      <c r="AZ226" s="3">
        <f>AZ223+AZ224-AZ225-AX213+AZ215+AZ219</f>
        <v>0</v>
      </c>
      <c r="BA226" s="12" t="n"/>
      <c r="BB226" s="3">
        <f>BB223+BB224-BB225-AZ213+BB215+BB219</f>
        <v>96486.2433467197</v>
      </c>
      <c r="BC226" s="3">
        <f>BC223+BC224-BC225-BA213+BC215+BC219</f>
        <v>0</v>
      </c>
      <c r="BD226" s="3">
        <f>BD223+BD224-BD225-BB213+BD215+BD219</f>
        <v>-2483.758</v>
      </c>
      <c r="BE226" s="3">
        <f>BE223+BE224-BE225-BC213+BE215+BE219</f>
        <v>0</v>
      </c>
      <c r="BF226" s="12" t="n"/>
      <c r="BG226" s="3" t="n"/>
      <c r="BH226" s="3" t="n"/>
      <c r="BI226" s="3" t="n"/>
      <c r="BJ226" s="3" t="n"/>
      <c r="BK226" s="12" t="n"/>
      <c r="BL226" s="3" t="n"/>
      <c r="BM226" s="3" t="n"/>
      <c r="BN226" s="3" t="n"/>
      <c r="BO226" s="3" t="n"/>
      <c r="BP226" s="12" t="n"/>
      <c r="BQ226" s="3" t="n"/>
      <c r="BR226" s="3" t="n"/>
      <c r="BS226" s="3" t="n"/>
      <c r="BT226" s="3" t="n"/>
      <c r="BU226" s="12" t="n"/>
      <c r="BV226" s="3" t="n"/>
      <c r="BW226" s="3" t="n"/>
      <c r="BX226" s="3" t="n"/>
      <c r="BY226" s="3" t="n"/>
      <c r="BZ226" s="12" t="n"/>
      <c r="CA226" s="3" t="n"/>
      <c r="CB226" s="3" t="n"/>
      <c r="CC226" s="3" t="n"/>
      <c r="CD226" s="3" t="n"/>
      <c r="CE226" s="12" t="n"/>
      <c r="CF226" s="3" t="n"/>
      <c r="CG226" s="3" t="n"/>
      <c r="CH226" s="3" t="n"/>
      <c r="CI226" s="3" t="n"/>
      <c r="CJ226" s="12" t="n"/>
      <c r="CK226" s="3" t="n"/>
      <c r="CL226" s="3" t="n"/>
      <c r="CM226" s="3" t="n"/>
      <c r="CN226" s="3" t="n"/>
      <c r="CO226" s="12" t="n"/>
      <c r="CP226" s="3" t="n"/>
      <c r="CQ226" s="3" t="n"/>
      <c r="CR226" s="3" t="n"/>
      <c r="CS226" s="3" t="n"/>
      <c r="CT226" s="12" t="n"/>
      <c r="CU226" s="3" t="n"/>
      <c r="CV226" s="3" t="n"/>
      <c r="CW226" s="3" t="n"/>
      <c r="CX226" s="3" t="n"/>
      <c r="CY226" s="12" t="n"/>
    </row>
    <row r="227" hidden="1" outlineLevel="1">
      <c r="C227" s="57" t="inlineStr">
        <is>
          <t>Short term debt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>
        <f>AH207</f>
        <v>0</v>
      </c>
      <c r="AI227" s="12">
        <f>MAX(0,AH227-AI226)</f>
        <v>4835.611</v>
      </c>
      <c r="AJ227" s="12">
        <f>MAX(0,AI227-AJ226)</f>
        <v>5834.476</v>
      </c>
      <c r="AK227" s="12">
        <f>MAX(0,AJ227-AK226)</f>
        <v>5834.476</v>
      </c>
      <c r="AL227" s="12" t="n"/>
      <c r="AM227" s="12">
        <f>AM207</f>
        <v>0</v>
      </c>
      <c r="AN227" s="12">
        <f>MAX(0,AM227-AN226)</f>
        <v>0</v>
      </c>
      <c r="AO227" s="12">
        <f>MAX(0,AN227-AO226)</f>
        <v>2483.758</v>
      </c>
      <c r="AP227" s="12">
        <f>MAX(0,AO227-AP226)</f>
        <v>2483.758</v>
      </c>
      <c r="AQ227" s="12" t="n"/>
      <c r="AR227" s="12">
        <f>AR207</f>
        <v>0</v>
      </c>
      <c r="AS227" s="12">
        <f>MAX(0,AR227-AS226)</f>
        <v>0</v>
      </c>
      <c r="AT227" s="12">
        <f>MAX(0,AS227-AT226)</f>
        <v>2483.758</v>
      </c>
      <c r="AU227" s="12">
        <f>MAX(0,AT227-AU226)</f>
        <v>2483.758</v>
      </c>
      <c r="AV227" s="12" t="n"/>
      <c r="AW227" s="12">
        <f>AW207</f>
        <v>0</v>
      </c>
      <c r="AX227" s="12">
        <f>MAX(0,AW227-AX226)</f>
        <v>0</v>
      </c>
      <c r="AY227" s="12">
        <f>MAX(0,AX227-AY226)</f>
        <v>2483.758</v>
      </c>
      <c r="AZ227" s="12">
        <f>MAX(0,AY227-AZ226)</f>
        <v>2483.758</v>
      </c>
      <c r="BA227" s="12" t="n"/>
      <c r="BB227" s="12">
        <f>BB207</f>
        <v>0</v>
      </c>
      <c r="BC227" s="12">
        <f>MAX(0,BB227-BC226)</f>
        <v>0</v>
      </c>
      <c r="BD227" s="12">
        <f>MAX(0,BC227-BD226)</f>
        <v>2483.758</v>
      </c>
      <c r="BE227" s="12">
        <f>MAX(0,BD227-BE226)</f>
        <v>2483.758</v>
      </c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collapsed="1">
      <c r="C229" s="14" t="inlineStr">
        <is>
          <t>Long term operating leases</t>
        </is>
      </c>
      <c r="D229" s="46" t="n"/>
      <c r="E229" s="46" t="n"/>
      <c r="F229" s="46" t="n"/>
      <c r="G229" s="46" t="n"/>
      <c r="H229" s="12" t="n"/>
      <c r="I229" s="46">
        <f>'Inputs (2)'!D36</f>
        <v>0</v>
      </c>
      <c r="J229" s="46">
        <f>'Inputs (2)'!E36</f>
        <v>0</v>
      </c>
      <c r="K229" s="46">
        <f>'Inputs (2)'!F36</f>
        <v>0</v>
      </c>
      <c r="L229" s="46">
        <f>'Inputs (2)'!G36</f>
        <v>0</v>
      </c>
      <c r="M229" s="12">
        <f>'Inputs (2)'!H36</f>
        <v>0</v>
      </c>
      <c r="N229" s="46">
        <f>'Inputs (2)'!I36</f>
        <v>0</v>
      </c>
      <c r="O229" s="46">
        <f>'Inputs (2)'!J36</f>
        <v>0</v>
      </c>
      <c r="P229" s="46">
        <f>'Inputs (2)'!K36</f>
        <v>0</v>
      </c>
      <c r="Q229" s="46">
        <f>'Inputs (2)'!L36</f>
        <v>0</v>
      </c>
      <c r="R229" s="12">
        <f>'Inputs (2)'!M36</f>
        <v>0</v>
      </c>
      <c r="S229" s="46">
        <f>'Inputs (2)'!N36</f>
        <v>0</v>
      </c>
      <c r="T229" s="46">
        <f>'Inputs (2)'!O36</f>
        <v>0</v>
      </c>
      <c r="U229" s="46">
        <f>'Inputs (2)'!P36</f>
        <v>0</v>
      </c>
      <c r="V229" s="46">
        <f>'Inputs (2)'!Q36</f>
        <v>0</v>
      </c>
      <c r="W229" s="12">
        <f>'Inputs (2)'!R36</f>
        <v>0</v>
      </c>
      <c r="X229" s="46">
        <f>'Inputs (2)'!S36</f>
        <v>0</v>
      </c>
      <c r="Y229" s="46">
        <f>'Inputs (2)'!T36</f>
        <v>0</v>
      </c>
      <c r="Z229" s="46">
        <f>'Inputs (2)'!U36</f>
        <v>0</v>
      </c>
      <c r="AA229" s="46">
        <f>'Inputs (2)'!V36</f>
        <v>0</v>
      </c>
      <c r="AB229" s="12">
        <f>'Inputs (2)'!W36</f>
        <v>0</v>
      </c>
      <c r="AC229" s="46">
        <f>'Inputs (2)'!X36</f>
        <v>0</v>
      </c>
      <c r="AD229" s="46">
        <f>'Inputs (2)'!Y36</f>
        <v>0</v>
      </c>
      <c r="AE229" s="46">
        <f>'Inputs (2)'!Z36</f>
        <v>0</v>
      </c>
      <c r="AF229" s="46">
        <f>'Inputs (2)'!AA36</f>
        <v>0</v>
      </c>
      <c r="AG229" s="12">
        <f>'Inputs (2)'!AB36</f>
        <v>0</v>
      </c>
      <c r="AH229" s="12">
        <f>'Inputs (2)'!AC36</f>
        <v>0</v>
      </c>
      <c r="AI229" s="12">
        <f>'Inputs (2)'!AD36</f>
        <v>0</v>
      </c>
      <c r="AJ229" s="12">
        <f>AI229</f>
        <v>0</v>
      </c>
      <c r="AK229" s="12">
        <f>AJ229</f>
        <v>0</v>
      </c>
      <c r="AL229" s="12">
        <f>AK229</f>
        <v>0</v>
      </c>
      <c r="AM229" s="12">
        <f>AL229</f>
        <v>0</v>
      </c>
      <c r="AN229" s="12">
        <f>AM229</f>
        <v>0</v>
      </c>
      <c r="AO229" s="12">
        <f>AN229</f>
        <v>0</v>
      </c>
      <c r="AP229" s="12">
        <f>AO229</f>
        <v>0</v>
      </c>
      <c r="AQ229" s="12">
        <f>AP229</f>
        <v>0</v>
      </c>
      <c r="AR229" s="12">
        <f>AQ229</f>
        <v>0</v>
      </c>
      <c r="AS229" s="12">
        <f>AR229</f>
        <v>0</v>
      </c>
      <c r="AT229" s="12">
        <f>AS229</f>
        <v>0</v>
      </c>
      <c r="AU229" s="12">
        <f>AT229</f>
        <v>0</v>
      </c>
      <c r="AV229" s="12">
        <f>AU229</f>
        <v>0</v>
      </c>
      <c r="AW229" s="12">
        <f>AV229</f>
        <v>0</v>
      </c>
      <c r="AX229" s="12">
        <f>AW229</f>
        <v>0</v>
      </c>
      <c r="AY229" s="12">
        <f>AX229</f>
        <v>0</v>
      </c>
      <c r="AZ229" s="12">
        <f>AY229</f>
        <v>0</v>
      </c>
      <c r="BA229" s="12">
        <f>AZ229</f>
        <v>0</v>
      </c>
      <c r="BB229" s="12">
        <f>BA229</f>
        <v>0</v>
      </c>
      <c r="BC229" s="12">
        <f>BB229</f>
        <v>0</v>
      </c>
      <c r="BD229" s="12">
        <f>BC229</f>
        <v>0</v>
      </c>
      <c r="BE229" s="12">
        <f>BD229</f>
        <v>0</v>
      </c>
      <c r="BF229" s="12">
        <f>BE229</f>
        <v>0</v>
      </c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hidden="1" outlineLevel="1">
      <c r="C230" s="59" t="inlineStr">
        <is>
          <t>%(Var.)</t>
        </is>
      </c>
      <c r="D230" s="12" t="n"/>
      <c r="E230" s="40" t="n"/>
      <c r="F230" s="40" t="n"/>
      <c r="G230" s="40" t="n"/>
      <c r="H230" s="12" t="n"/>
      <c r="I230" s="40" t="str">
        <f>""</f>
        <v/>
      </c>
      <c r="J230" s="40" t="str">
        <f>IFERROR(IF(I229=0,"",J229/I229-1),"")</f>
        <v/>
      </c>
      <c r="K230" s="40" t="str">
        <f>IFERROR(IF(J229=0,"",K229/J229-1),"")</f>
        <v/>
      </c>
      <c r="L230" s="40" t="str">
        <f>IFERROR(IF(K229=0,"",L229/K229-1),"")</f>
        <v/>
      </c>
      <c r="M230" s="12" t="str">
        <f>IF(L229=0,"",M229/L229-1)</f>
        <v/>
      </c>
      <c r="N230" s="40" t="str">
        <f>IFERROR(IF(M229=0,"",N229/M229-1),"")</f>
        <v/>
      </c>
      <c r="O230" s="40" t="str">
        <f>IFERROR(IF(N229=0,"",O229/N229-1),"")</f>
        <v/>
      </c>
      <c r="P230" s="40" t="str">
        <f>IFERROR(IF(O229=0,"",P229/O229-1),"")</f>
        <v/>
      </c>
      <c r="Q230" s="40" t="str">
        <f>IFERROR(IF(P229=0,"",Q229/P229-1),"")</f>
        <v/>
      </c>
      <c r="R230" s="12" t="str">
        <f>IF(Q229=0,"",R229/Q229-1)</f>
        <v/>
      </c>
      <c r="S230" s="40" t="str">
        <f>IFERROR(IF(R229=0,"",S229/R229-1),"")</f>
        <v/>
      </c>
      <c r="T230" s="40" t="str">
        <f>IFERROR(IF(S229=0,"",T229/S229-1),"")</f>
        <v/>
      </c>
      <c r="U230" s="40" t="str">
        <f>IFERROR(IF(T229=0,"",U229/T229-1),"")</f>
        <v/>
      </c>
      <c r="V230" s="40" t="str">
        <f>IFERROR(IF(U229=0,"",V229/U229-1),"")</f>
        <v/>
      </c>
      <c r="W230" s="12" t="str">
        <f>IF(V229=0,"",W229/V229-1)</f>
        <v/>
      </c>
      <c r="X230" s="40" t="str">
        <f>IFERROR(IF(W229=0,"",X229/W229-1),"")</f>
        <v/>
      </c>
      <c r="Y230" s="40" t="str">
        <f>IFERROR(IF(X229=0,"",Y229/X229-1),"")</f>
        <v/>
      </c>
      <c r="Z230" s="40" t="str">
        <f>IFERROR(IF(Y229=0,"",Z229/Y229-1),"")</f>
        <v/>
      </c>
      <c r="AA230" s="40" t="str">
        <f>IFERROR(IF(Z229=0,"",AA229/Z229-1),"")</f>
        <v/>
      </c>
      <c r="AB230" s="12" t="str">
        <f>IF(AA229=0,"",AB229/AA229-1)</f>
        <v/>
      </c>
      <c r="AC230" s="40" t="str">
        <f>IFERROR(IF(AB229=0,"",AC229/AB229-1),"")</f>
        <v/>
      </c>
      <c r="AD230" s="40" t="str">
        <f>IFERROR(IF(AC229=0,"",AD229/AC229-1),"")</f>
        <v/>
      </c>
      <c r="AE230" s="40" t="str">
        <f>IFERROR(IF(AD229=0,"",AE229/AD229-1),"")</f>
        <v/>
      </c>
      <c r="AF230" s="41" t="str">
        <f>IFERROR(IF(AE229=0,"",AF229/AE229-1),"")</f>
        <v/>
      </c>
      <c r="AG230" s="12" t="str">
        <f>IF(AF229=0,"",AG229/AF229-1)</f>
        <v/>
      </c>
      <c r="AH230" s="11" t="str">
        <f>IFERROR(IF(AG229=0,"",AH229/AG229-1),"")</f>
        <v/>
      </c>
      <c r="AI230" s="11" t="str">
        <f>IFERROR(IF(AH229=0,"",AI229/AH229-1),"")</f>
        <v/>
      </c>
      <c r="AJ230" s="11" t="str">
        <f>IFERROR(IF(AI229=0,"",AJ229/AI229-1),"")</f>
        <v/>
      </c>
      <c r="AK230" s="11" t="str">
        <f>IFERROR(IF(AJ229=0,"",AK229/AJ229-1),"")</f>
        <v/>
      </c>
      <c r="AL230" s="12" t="str">
        <f>IFERROR(IF(AK229=0,"",AL229/AK229-1),"")</f>
        <v/>
      </c>
      <c r="AM230" s="11" t="str">
        <f>IFERROR(IF(AL229=0,"",AM229/AL229-1),"")</f>
        <v/>
      </c>
      <c r="AN230" s="11" t="str">
        <f>IFERROR(IF(AM229=0,"",AN229/AM229-1),"")</f>
        <v/>
      </c>
      <c r="AO230" s="11" t="str">
        <f>IFERROR(IF(AN229=0,"",AO229/AN229-1),"")</f>
        <v/>
      </c>
      <c r="AP230" s="11" t="str">
        <f>IFERROR(IF(AO229=0,"",AP229/AO229-1),"")</f>
        <v/>
      </c>
      <c r="AQ230" s="12" t="str">
        <f>IFERROR(IF(AP229=0,"",AQ229/AP229-1),"")</f>
        <v/>
      </c>
      <c r="AR230" s="11" t="str">
        <f>IFERROR(IF(AQ229=0,"",AR229/AQ229-1),"")</f>
        <v/>
      </c>
      <c r="AS230" s="11" t="str">
        <f>IFERROR(IF(AR229=0,"",AS229/AR229-1),"")</f>
        <v/>
      </c>
      <c r="AT230" s="11" t="str">
        <f>IFERROR(IF(AS229=0,"",AT229/AS229-1),"")</f>
        <v/>
      </c>
      <c r="AU230" s="11" t="str">
        <f>IFERROR(IF(AT229=0,"",AU229/AT229-1),"")</f>
        <v/>
      </c>
      <c r="AV230" s="12" t="str">
        <f>IFERROR(IF(AU229=0,"",AV229/AU229-1),"")</f>
        <v/>
      </c>
      <c r="AW230" s="11" t="str">
        <f>IFERROR(IF(AV229=0,"",AW229/AV229-1),"")</f>
        <v/>
      </c>
      <c r="AX230" s="11" t="str">
        <f>IFERROR(IF(AW229=0,"",AX229/AW229-1),"")</f>
        <v/>
      </c>
      <c r="AY230" s="11" t="str">
        <f>IFERROR(IF(AX229=0,"",AY229/AX229-1),"")</f>
        <v/>
      </c>
      <c r="AZ230" s="11" t="str">
        <f>IFERROR(IF(AY229=0,"",AZ229/AY229-1),"")</f>
        <v/>
      </c>
      <c r="BA230" s="12" t="str">
        <f>IFERROR(IF(AZ229=0,"",BA229/AZ229-1),"")</f>
        <v/>
      </c>
      <c r="BB230" s="11" t="str">
        <f>IFERROR(IF(BA229=0,"",BB229/BA229-1),"")</f>
        <v/>
      </c>
      <c r="BC230" s="11" t="str">
        <f>IFERROR(IF(BB229=0,"",BC229/BB229-1),"")</f>
        <v/>
      </c>
      <c r="BD230" s="11" t="str">
        <f>IFERROR(IF(BC229=0,"",BD229/BC229-1),"")</f>
        <v/>
      </c>
      <c r="BE230" s="11" t="str">
        <f>IFERROR(IF(BD229=0,"",BE229/BD229-1),"")</f>
        <v/>
      </c>
      <c r="BF230" s="12" t="str">
        <f>IFERROR(IF(BE229=0,"",BF229/BE229-1),"")</f>
        <v/>
      </c>
      <c r="BG230" s="11" t="n"/>
      <c r="BH230" s="11" t="n"/>
      <c r="BI230" s="11" t="n"/>
      <c r="BJ230" s="11" t="n"/>
      <c r="BK230" s="12" t="n"/>
      <c r="BL230" s="11" t="n"/>
      <c r="BM230" s="11" t="n"/>
      <c r="BN230" s="11" t="n"/>
      <c r="BO230" s="11" t="n"/>
      <c r="BP230" s="12" t="n"/>
      <c r="BQ230" s="11" t="n"/>
      <c r="BR230" s="11" t="n"/>
      <c r="BS230" s="11" t="n"/>
      <c r="BT230" s="11" t="n"/>
      <c r="BU230" s="12" t="n"/>
      <c r="BV230" s="11" t="n"/>
      <c r="BW230" s="11" t="n"/>
      <c r="BX230" s="11" t="n"/>
      <c r="BY230" s="11" t="n"/>
      <c r="BZ230" s="12" t="n"/>
      <c r="CA230" s="11" t="n"/>
      <c r="CB230" s="11" t="n"/>
      <c r="CC230" s="11" t="n"/>
      <c r="CD230" s="11" t="n"/>
      <c r="CE230" s="12" t="n"/>
      <c r="CF230" s="11" t="n"/>
      <c r="CG230" s="11" t="n"/>
      <c r="CH230" s="11" t="n"/>
      <c r="CI230" s="11" t="n"/>
      <c r="CJ230" s="12" t="n"/>
      <c r="CK230" s="11" t="n"/>
      <c r="CL230" s="11" t="n"/>
      <c r="CM230" s="11" t="n"/>
      <c r="CN230" s="11" t="n"/>
      <c r="CO230" s="12" t="n"/>
      <c r="CP230" s="11" t="n"/>
      <c r="CQ230" s="11" t="n"/>
      <c r="CR230" s="11" t="n"/>
      <c r="CS230" s="11" t="n"/>
      <c r="CT230" s="12" t="n"/>
      <c r="CU230" s="11" t="n"/>
      <c r="CV230" s="11" t="n"/>
      <c r="CW230" s="11" t="n"/>
      <c r="CX230" s="11" t="n"/>
      <c r="CY230" s="12" t="n"/>
    </row>
    <row r="231" hidden="1" outlineLevel="1">
      <c r="C231" s="57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collapsed="1">
      <c r="C232" s="14" t="inlineStr">
        <is>
          <t>Convertible debt</t>
        </is>
      </c>
      <c r="D232" s="46" t="n"/>
      <c r="E232" s="46" t="n"/>
      <c r="F232" s="46" t="n"/>
      <c r="G232" s="46" t="n"/>
      <c r="H232" s="12" t="n"/>
      <c r="I232" s="46">
        <f>'Inputs (2)'!D37</f>
        <v>0</v>
      </c>
      <c r="J232" s="46">
        <f>'Inputs (2)'!E37</f>
        <v>0</v>
      </c>
      <c r="K232" s="46">
        <f>'Inputs (2)'!F37</f>
        <v>0</v>
      </c>
      <c r="L232" s="46">
        <f>'Inputs (2)'!G37</f>
        <v>0</v>
      </c>
      <c r="M232" s="12">
        <f>'Inputs (2)'!H37</f>
        <v>0</v>
      </c>
      <c r="N232" s="46">
        <f>'Inputs (2)'!I37</f>
        <v>0</v>
      </c>
      <c r="O232" s="46">
        <f>'Inputs (2)'!J37</f>
        <v>0</v>
      </c>
      <c r="P232" s="46">
        <f>'Inputs (2)'!K37</f>
        <v>0</v>
      </c>
      <c r="Q232" s="46">
        <f>'Inputs (2)'!L37</f>
        <v>0</v>
      </c>
      <c r="R232" s="12">
        <f>'Inputs (2)'!M37</f>
        <v>0</v>
      </c>
      <c r="S232" s="46">
        <f>'Inputs (2)'!N37</f>
        <v>0</v>
      </c>
      <c r="T232" s="46">
        <f>'Inputs (2)'!O37</f>
        <v>0</v>
      </c>
      <c r="U232" s="46">
        <f>'Inputs (2)'!P37</f>
        <v>0</v>
      </c>
      <c r="V232" s="46">
        <f>'Inputs (2)'!Q37</f>
        <v>0</v>
      </c>
      <c r="W232" s="12">
        <f>'Inputs (2)'!R37</f>
        <v>0</v>
      </c>
      <c r="X232" s="46">
        <f>'Inputs (2)'!S37</f>
        <v>0</v>
      </c>
      <c r="Y232" s="46">
        <f>'Inputs (2)'!T37</f>
        <v>0</v>
      </c>
      <c r="Z232" s="46">
        <f>'Inputs (2)'!U37</f>
        <v>0</v>
      </c>
      <c r="AA232" s="46">
        <f>'Inputs (2)'!V37</f>
        <v>0</v>
      </c>
      <c r="AB232" s="12">
        <f>'Inputs (2)'!W37</f>
        <v>0</v>
      </c>
      <c r="AC232" s="46">
        <f>'Inputs (2)'!X37</f>
        <v>0</v>
      </c>
      <c r="AD232" s="46">
        <f>'Inputs (2)'!Y37</f>
        <v>0</v>
      </c>
      <c r="AE232" s="46">
        <f>'Inputs (2)'!Z37</f>
        <v>0</v>
      </c>
      <c r="AF232" s="46">
        <f>'Inputs (2)'!AA37</f>
        <v>0</v>
      </c>
      <c r="AG232" s="12">
        <f>'Inputs (2)'!AB37</f>
        <v>0</v>
      </c>
      <c r="AH232" s="12">
        <f>'Inputs (2)'!AC37</f>
        <v>0</v>
      </c>
      <c r="AI232" s="12">
        <f>'Inputs (2)'!AD37</f>
        <v>0</v>
      </c>
      <c r="AJ232" s="12">
        <f>AI232</f>
        <v>0</v>
      </c>
      <c r="AK232" s="12">
        <f>AJ232</f>
        <v>0</v>
      </c>
      <c r="AL232" s="12">
        <f>AK232</f>
        <v>0</v>
      </c>
      <c r="AM232" s="12">
        <f>AL232</f>
        <v>0</v>
      </c>
      <c r="AN232" s="12">
        <f>AM232</f>
        <v>0</v>
      </c>
      <c r="AO232" s="12">
        <f>AN232</f>
        <v>0</v>
      </c>
      <c r="AP232" s="12">
        <f>AO232</f>
        <v>0</v>
      </c>
      <c r="AQ232" s="12">
        <f>AP232</f>
        <v>0</v>
      </c>
      <c r="AR232" s="12">
        <f>AQ232</f>
        <v>0</v>
      </c>
      <c r="AS232" s="12">
        <f>AR232</f>
        <v>0</v>
      </c>
      <c r="AT232" s="12">
        <f>AS232</f>
        <v>0</v>
      </c>
      <c r="AU232" s="12">
        <f>AT232</f>
        <v>0</v>
      </c>
      <c r="AV232" s="12">
        <f>AU232</f>
        <v>0</v>
      </c>
      <c r="AW232" s="12">
        <f>AV232</f>
        <v>0</v>
      </c>
      <c r="AX232" s="12">
        <f>AW232</f>
        <v>0</v>
      </c>
      <c r="AY232" s="12">
        <f>AX232</f>
        <v>0</v>
      </c>
      <c r="AZ232" s="12">
        <f>AY232</f>
        <v>0</v>
      </c>
      <c r="BA232" s="12">
        <f>AZ232</f>
        <v>0</v>
      </c>
      <c r="BB232" s="12">
        <f>BA232</f>
        <v>0</v>
      </c>
      <c r="BC232" s="12">
        <f>BB232</f>
        <v>0</v>
      </c>
      <c r="BD232" s="12">
        <f>BC232</f>
        <v>0</v>
      </c>
      <c r="BE232" s="12">
        <f>BD232</f>
        <v>0</v>
      </c>
      <c r="BF232" s="12">
        <f>BE232</f>
        <v>0</v>
      </c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>
      <c r="C233" s="14" t="inlineStr">
        <is>
          <t>Deferred income taxes</t>
        </is>
      </c>
      <c r="D233" s="46" t="n"/>
      <c r="E233" s="46" t="n"/>
      <c r="F233" s="46" t="n"/>
      <c r="G233" s="46" t="n"/>
      <c r="H233" s="12" t="n"/>
      <c r="I233" s="46">
        <f>'Inputs (2)'!D38</f>
        <v>0</v>
      </c>
      <c r="J233" s="46">
        <f>'Inputs (2)'!E38</f>
        <v>0</v>
      </c>
      <c r="K233" s="46">
        <f>'Inputs (2)'!F38</f>
        <v>0</v>
      </c>
      <c r="L233" s="46">
        <f>'Inputs (2)'!G38</f>
        <v>0</v>
      </c>
      <c r="M233" s="12">
        <f>'Inputs (2)'!H38</f>
        <v>0</v>
      </c>
      <c r="N233" s="46">
        <f>'Inputs (2)'!I38</f>
        <v>0</v>
      </c>
      <c r="O233" s="46">
        <f>'Inputs (2)'!J38</f>
        <v>0</v>
      </c>
      <c r="P233" s="46">
        <f>'Inputs (2)'!K38</f>
        <v>0</v>
      </c>
      <c r="Q233" s="46">
        <f>'Inputs (2)'!L38</f>
        <v>0</v>
      </c>
      <c r="R233" s="12">
        <f>'Inputs (2)'!M38</f>
        <v>0</v>
      </c>
      <c r="S233" s="46">
        <f>'Inputs (2)'!N38</f>
        <v>0</v>
      </c>
      <c r="T233" s="46">
        <f>'Inputs (2)'!O38</f>
        <v>0</v>
      </c>
      <c r="U233" s="46">
        <f>'Inputs (2)'!P38</f>
        <v>0</v>
      </c>
      <c r="V233" s="46">
        <f>'Inputs (2)'!Q38</f>
        <v>0</v>
      </c>
      <c r="W233" s="12">
        <f>'Inputs (2)'!R38</f>
        <v>0</v>
      </c>
      <c r="X233" s="46">
        <f>'Inputs (2)'!S38</f>
        <v>0</v>
      </c>
      <c r="Y233" s="46">
        <f>'Inputs (2)'!T38</f>
        <v>0</v>
      </c>
      <c r="Z233" s="46">
        <f>'Inputs (2)'!U38</f>
        <v>0</v>
      </c>
      <c r="AA233" s="46">
        <f>'Inputs (2)'!V38</f>
        <v>0</v>
      </c>
      <c r="AB233" s="12">
        <f>'Inputs (2)'!W38</f>
        <v>0</v>
      </c>
      <c r="AC233" s="46">
        <f>'Inputs (2)'!X38</f>
        <v>0</v>
      </c>
      <c r="AD233" s="46">
        <f>'Inputs (2)'!Y38</f>
        <v>0</v>
      </c>
      <c r="AE233" s="46">
        <f>'Inputs (2)'!Z38</f>
        <v>0</v>
      </c>
      <c r="AF233" s="46">
        <f>'Inputs (2)'!AA38</f>
        <v>0</v>
      </c>
      <c r="AG233" s="12">
        <f>'Inputs (2)'!AB38</f>
        <v>0</v>
      </c>
      <c r="AH233" s="12">
        <f>'Inputs (2)'!AC38</f>
        <v>0</v>
      </c>
      <c r="AI233" s="12">
        <f>'Inputs (2)'!AD38</f>
        <v>0</v>
      </c>
      <c r="AJ233" s="12">
        <f>AI233</f>
        <v>0</v>
      </c>
      <c r="AK233" s="12">
        <f>AJ233</f>
        <v>0</v>
      </c>
      <c r="AL233" s="12">
        <f>AK233</f>
        <v>0</v>
      </c>
      <c r="AM233" s="12">
        <f>AL233</f>
        <v>0</v>
      </c>
      <c r="AN233" s="12">
        <f>AM233</f>
        <v>0</v>
      </c>
      <c r="AO233" s="12">
        <f>AN233</f>
        <v>0</v>
      </c>
      <c r="AP233" s="12">
        <f>AO233</f>
        <v>0</v>
      </c>
      <c r="AQ233" s="12">
        <f>AP233</f>
        <v>0</v>
      </c>
      <c r="AR233" s="12">
        <f>AQ233</f>
        <v>0</v>
      </c>
      <c r="AS233" s="12">
        <f>AR233</f>
        <v>0</v>
      </c>
      <c r="AT233" s="12">
        <f>AS233</f>
        <v>0</v>
      </c>
      <c r="AU233" s="12">
        <f>AT233</f>
        <v>0</v>
      </c>
      <c r="AV233" s="12">
        <f>AU233</f>
        <v>0</v>
      </c>
      <c r="AW233" s="12">
        <f>AV233</f>
        <v>0</v>
      </c>
      <c r="AX233" s="12">
        <f>AW233</f>
        <v>0</v>
      </c>
      <c r="AY233" s="12">
        <f>AX233</f>
        <v>0</v>
      </c>
      <c r="AZ233" s="12">
        <f>AY233</f>
        <v>0</v>
      </c>
      <c r="BA233" s="12">
        <f>AZ233</f>
        <v>0</v>
      </c>
      <c r="BB233" s="12">
        <f>BA233</f>
        <v>0</v>
      </c>
      <c r="BC233" s="12">
        <f>BB233</f>
        <v>0</v>
      </c>
      <c r="BD233" s="12">
        <f>BC233</f>
        <v>0</v>
      </c>
      <c r="BE233" s="12">
        <f>BD233</f>
        <v>0</v>
      </c>
      <c r="BF233" s="12">
        <f>BE233</f>
        <v>0</v>
      </c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>
      <c r="C234" s="14" t="inlineStr">
        <is>
          <t>Other non-current liabilities</t>
        </is>
      </c>
      <c r="D234" s="46" t="n"/>
      <c r="E234" s="46" t="n"/>
      <c r="F234" s="46" t="n"/>
      <c r="G234" s="46" t="n"/>
      <c r="H234" s="12" t="n"/>
      <c r="I234" s="46">
        <f>'Inputs (2)'!D39</f>
        <v>4416.612</v>
      </c>
      <c r="J234" s="46">
        <f>'Inputs (2)'!E39</f>
        <v>4347.321</v>
      </c>
      <c r="K234" s="46">
        <f>'Inputs (2)'!F39</f>
        <v>4582.303</v>
      </c>
      <c r="L234" s="46">
        <f>'Inputs (2)'!G39</f>
        <v>5553.377</v>
      </c>
      <c r="M234" s="12">
        <f>'Inputs (2)'!H39</f>
        <v>5553.377</v>
      </c>
      <c r="N234" s="46">
        <f>'Inputs (2)'!I39</f>
        <v>5512.648</v>
      </c>
      <c r="O234" s="46">
        <f>'Inputs (2)'!J39</f>
        <v>5541.636</v>
      </c>
      <c r="P234" s="46">
        <f>'Inputs (2)'!K39</f>
        <v>5380.005</v>
      </c>
      <c r="Q234" s="46">
        <f>'Inputs (2)'!L39</f>
        <v>5533.317</v>
      </c>
      <c r="R234" s="12">
        <f>'Inputs (2)'!M39</f>
        <v>5533.317</v>
      </c>
      <c r="S234" s="46">
        <f>'Inputs (2)'!N39</f>
        <v>5308.114</v>
      </c>
      <c r="T234" s="46">
        <f>'Inputs (2)'!O39</f>
        <v>5239.302</v>
      </c>
      <c r="U234" s="46">
        <f>'Inputs (2)'!P39</f>
        <v>5154.687</v>
      </c>
      <c r="V234" s="46">
        <f>'Inputs (2)'!Q39</f>
        <v>5139.607</v>
      </c>
      <c r="W234" s="12">
        <f>'Inputs (2)'!R39</f>
        <v>5139.607</v>
      </c>
      <c r="X234" s="46">
        <f>'Inputs (2)'!S39</f>
        <v>4956.056</v>
      </c>
      <c r="Y234" s="46">
        <f>'Inputs (2)'!T39</f>
        <v>4666.179</v>
      </c>
      <c r="Z234" s="46">
        <f>'Inputs (2)'!U39</f>
        <v>4693.05</v>
      </c>
      <c r="AA234" s="46">
        <f>'Inputs (2)'!V39</f>
        <v>4333.056</v>
      </c>
      <c r="AB234" s="12">
        <f>'Inputs (2)'!W39</f>
        <v>4333.056</v>
      </c>
      <c r="AC234" s="46">
        <f>'Inputs (2)'!X39</f>
        <v>4330.015</v>
      </c>
      <c r="AD234" s="46">
        <f>'Inputs (2)'!Y39</f>
        <v>4752.224</v>
      </c>
      <c r="AE234" s="46">
        <f>'Inputs (2)'!Z39</f>
        <v>4785.921</v>
      </c>
      <c r="AF234" s="46">
        <f>'Inputs (2)'!AA39</f>
        <v>4536.604</v>
      </c>
      <c r="AG234" s="12">
        <f>'Inputs (2)'!AB39</f>
        <v>4536.604</v>
      </c>
      <c r="AH234" s="12">
        <f>'Inputs (2)'!AC39</f>
        <v>4396.606</v>
      </c>
      <c r="AI234" s="12">
        <f>'Inputs (2)'!AD39</f>
        <v>4337.943</v>
      </c>
      <c r="AJ234" s="12">
        <f>AI234</f>
        <v>4337.943</v>
      </c>
      <c r="AK234" s="12">
        <f>AJ234</f>
        <v>4337.943</v>
      </c>
      <c r="AL234" s="12">
        <f>AK234</f>
        <v>4337.943</v>
      </c>
      <c r="AM234" s="12">
        <f>AL234</f>
        <v>4337.943</v>
      </c>
      <c r="AN234" s="12">
        <f>AM234</f>
        <v>4337.943</v>
      </c>
      <c r="AO234" s="12">
        <f>AN234</f>
        <v>4337.943</v>
      </c>
      <c r="AP234" s="12">
        <f>AO234</f>
        <v>4337.943</v>
      </c>
      <c r="AQ234" s="12">
        <f>AP234</f>
        <v>4337.943</v>
      </c>
      <c r="AR234" s="12">
        <f>AQ234</f>
        <v>4337.943</v>
      </c>
      <c r="AS234" s="12">
        <f>AR234</f>
        <v>4337.943</v>
      </c>
      <c r="AT234" s="12">
        <f>AS234</f>
        <v>4337.943</v>
      </c>
      <c r="AU234" s="12">
        <f>AT234</f>
        <v>4337.943</v>
      </c>
      <c r="AV234" s="12">
        <f>AU234</f>
        <v>4337.943</v>
      </c>
      <c r="AW234" s="12">
        <f>AV234</f>
        <v>4337.943</v>
      </c>
      <c r="AX234" s="12">
        <f>AW234</f>
        <v>4337.943</v>
      </c>
      <c r="AY234" s="12">
        <f>AX234</f>
        <v>4337.943</v>
      </c>
      <c r="AZ234" s="12">
        <f>AY234</f>
        <v>4337.943</v>
      </c>
      <c r="BA234" s="12">
        <f>AZ234</f>
        <v>4337.943</v>
      </c>
      <c r="BB234" s="12">
        <f>BA234</f>
        <v>4337.943</v>
      </c>
      <c r="BC234" s="12">
        <f>BB234</f>
        <v>4337.943</v>
      </c>
      <c r="BD234" s="12">
        <f>BC234</f>
        <v>4337.943</v>
      </c>
      <c r="BE234" s="12">
        <f>BD234</f>
        <v>4337.943</v>
      </c>
      <c r="BF234" s="12">
        <f>BE234</f>
        <v>4337.943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 ht="12" customHeight="1">
      <c r="C235" s="59" t="inlineStr">
        <is>
          <t>%(Var.)</t>
        </is>
      </c>
      <c r="D235" s="12" t="n"/>
      <c r="E235" s="40" t="n"/>
      <c r="F235" s="40" t="n"/>
      <c r="G235" s="40" t="n"/>
      <c r="H235" s="12" t="n"/>
      <c r="I235" s="40" t="str">
        <f>""</f>
        <v/>
      </c>
      <c r="J235" s="40">
        <f>IF(I234=0,"",J234/I234-1)</f>
        <v>-0.0156887224868293</v>
      </c>
      <c r="K235" s="40">
        <f>IF(J234=0,"",K234/J234-1)</f>
        <v>0.0540521392370152</v>
      </c>
      <c r="L235" s="40">
        <f>IF(K234=0,"",L234/K234-1)</f>
        <v>0.211918330149709</v>
      </c>
      <c r="M235" s="12">
        <f>IF(L234=0,"",M234/L234-1)</f>
        <v>0</v>
      </c>
      <c r="N235" s="40">
        <f>IF(M234=0,"",N234/M234-1)</f>
        <v>-0.00733409599240253</v>
      </c>
      <c r="O235" s="40">
        <f>IF(N234=0,"",O234/N234-1)</f>
        <v>0.00525845292498284</v>
      </c>
      <c r="P235" s="40">
        <f>IF(O234=0,"",P234/O234-1)</f>
        <v>-0.0291666576440603</v>
      </c>
      <c r="Q235" s="40">
        <f>IF(P234=0,"",Q234/P234-1)</f>
        <v>0.0284966277912382</v>
      </c>
      <c r="R235" s="12">
        <f>IF(Q234=0,"",R234/Q234-1)</f>
        <v>0</v>
      </c>
      <c r="S235" s="40">
        <f>IF(R234=0,"",S234/R234-1)</f>
        <v>-0.0406994574863505</v>
      </c>
      <c r="T235" s="40">
        <f>IF(S234=0,"",T234/S234-1)</f>
        <v>-0.01296354976551</v>
      </c>
      <c r="U235" s="40">
        <f>IF(T234=0,"",U234/T234-1)</f>
        <v>-0.016150052048918</v>
      </c>
      <c r="V235" s="40">
        <f>IF(U234=0,"",V234/U234-1)</f>
        <v>-0.00292549285727728</v>
      </c>
      <c r="W235" s="12">
        <f>IF(V234=0,"",W234/V234-1)</f>
        <v>0</v>
      </c>
      <c r="X235" s="40">
        <f>IF(W234=0,"",X234/W234-1)</f>
        <v>-0.0357130418726569</v>
      </c>
      <c r="Y235" s="40">
        <f>IF(X234=0,"",Y234/X234-1)</f>
        <v>-0.0584894520965864</v>
      </c>
      <c r="Z235" s="40">
        <f>IF(Y234=0,"",Z234/Y234-1)</f>
        <v>0.00575867320992196</v>
      </c>
      <c r="AA235" s="40">
        <f>IF(Z234=0,"",AA234/Z234-1)</f>
        <v>-0.0767078978489469</v>
      </c>
      <c r="AB235" s="12">
        <f>IF(AA234=0,"",AB234/AA234-1)</f>
        <v>0</v>
      </c>
      <c r="AC235" s="40">
        <f>IF(AB234=0,"",AC234/AB234-1)</f>
        <v>-0.000701814146874424</v>
      </c>
      <c r="AD235" s="40">
        <f>IF(AC234=0,"",AD234/AC234-1)</f>
        <v>0.0975075144081488</v>
      </c>
      <c r="AE235" s="40">
        <f>IF(AD234=0,"",AE234/AD234-1)</f>
        <v>0.00709078528284857</v>
      </c>
      <c r="AF235" s="41">
        <f>IF(AE234=0,"",AF234/AE234-1)</f>
        <v>-0.0520938394093843</v>
      </c>
      <c r="AG235" s="12">
        <f>IF(AF234=0,"",AG234/AF234-1)</f>
        <v>0</v>
      </c>
      <c r="AH235" s="41">
        <f>IF(AG234=0,"",AH234/AG234-1)</f>
        <v>-0.0308596474367171</v>
      </c>
      <c r="AI235" s="41">
        <f>IF(AH234=0,"",AI234/AH234-1)</f>
        <v>-0.0133427921446678</v>
      </c>
      <c r="AJ235" s="41">
        <f>IF(AI234=0,"",AJ234/AI234-1)</f>
        <v>0</v>
      </c>
      <c r="AK235" s="41">
        <f>IF(AJ234=0,"",AK234/AJ234-1)</f>
        <v>0</v>
      </c>
      <c r="AL235" s="12">
        <f>IF(AK234=0,"",AL234/AK234-1)</f>
        <v>0</v>
      </c>
      <c r="AM235" s="41">
        <f>IF(AL234=0,"",AM234/AL234-1)</f>
        <v>0</v>
      </c>
      <c r="AN235" s="41">
        <f>IF(AM234=0,"",AN234/AM234-1)</f>
        <v>0</v>
      </c>
      <c r="AO235" s="41">
        <f>IF(AN234=0,"",AO234/AN234-1)</f>
        <v>0</v>
      </c>
      <c r="AP235" s="41">
        <f>IF(AO234=0,"",AP234/AO234-1)</f>
        <v>0</v>
      </c>
      <c r="AQ235" s="12">
        <f>IF(AP234=0,"",AQ234/AP234-1)</f>
        <v>0</v>
      </c>
      <c r="AR235" s="41">
        <f>IF(AQ234=0,"",AR234/AQ234-1)</f>
        <v>0</v>
      </c>
      <c r="AS235" s="41">
        <f>IF(AR234=0,"",AS234/AR234-1)</f>
        <v>0</v>
      </c>
      <c r="AT235" s="41">
        <f>IF(AS234=0,"",AT234/AS234-1)</f>
        <v>0</v>
      </c>
      <c r="AU235" s="41">
        <f>IF(AT234=0,"",AU234/AT234-1)</f>
        <v>0</v>
      </c>
      <c r="AV235" s="12">
        <f>IF(AU234=0,"",AV234/AU234-1)</f>
        <v>0</v>
      </c>
      <c r="AW235" s="41">
        <f>IF(AV234=0,"",AW234/AV234-1)</f>
        <v>0</v>
      </c>
      <c r="AX235" s="41">
        <f>IF(AW234=0,"",AX234/AW234-1)</f>
        <v>0</v>
      </c>
      <c r="AY235" s="41">
        <f>IF(AX234=0,"",AY234/AX234-1)</f>
        <v>0</v>
      </c>
      <c r="AZ235" s="41">
        <f>IF(AY234=0,"",AZ234/AY234-1)</f>
        <v>0</v>
      </c>
      <c r="BA235" s="12">
        <f>IF(AZ234=0,"",BA234/AZ234-1)</f>
        <v>0</v>
      </c>
      <c r="BB235" s="41">
        <f>IF(BA234=0,"",BB234/BA234-1)</f>
        <v>0</v>
      </c>
      <c r="BC235" s="41">
        <f>IF(BB234=0,"",BC234/BB234-1)</f>
        <v>0</v>
      </c>
      <c r="BD235" s="41">
        <f>IF(BC234=0,"",BD234/BC234-1)</f>
        <v>0</v>
      </c>
      <c r="BE235" s="41">
        <f>IF(BD234=0,"",BE234/BD234-1)</f>
        <v>0</v>
      </c>
      <c r="BF235" s="12">
        <f>IF(BE234=0,"",BF234/BE234-1)</f>
        <v>0</v>
      </c>
      <c r="BG235" s="41" t="n"/>
      <c r="BH235" s="41" t="n"/>
      <c r="BI235" s="41" t="n"/>
      <c r="BJ235" s="41" t="n"/>
      <c r="BK235" s="12" t="n"/>
      <c r="BL235" s="41" t="n"/>
      <c r="BM235" s="41" t="n"/>
      <c r="BN235" s="41" t="n"/>
      <c r="BO235" s="41" t="n"/>
      <c r="BP235" s="12" t="n"/>
      <c r="BQ235" s="41" t="n"/>
      <c r="BR235" s="41" t="n"/>
      <c r="BS235" s="41" t="n"/>
      <c r="BT235" s="41" t="n"/>
      <c r="BU235" s="12" t="n"/>
      <c r="BV235" s="41" t="n"/>
      <c r="BW235" s="41" t="n"/>
      <c r="BX235" s="41" t="n"/>
      <c r="BY235" s="41" t="n"/>
      <c r="BZ235" s="12" t="n"/>
      <c r="CA235" s="41" t="n"/>
      <c r="CB235" s="41" t="n"/>
      <c r="CC235" s="41" t="n"/>
      <c r="CD235" s="41" t="n"/>
      <c r="CE235" s="12" t="n"/>
      <c r="CF235" s="41" t="n"/>
      <c r="CG235" s="41" t="n"/>
      <c r="CH235" s="41" t="n"/>
      <c r="CI235" s="41" t="n"/>
      <c r="CJ235" s="12" t="n"/>
      <c r="CK235" s="41" t="n"/>
      <c r="CL235" s="41" t="n"/>
      <c r="CM235" s="41" t="n"/>
      <c r="CN235" s="41" t="n"/>
      <c r="CO235" s="12" t="n"/>
      <c r="CP235" s="41" t="n"/>
      <c r="CQ235" s="41" t="n"/>
      <c r="CR235" s="41" t="n"/>
      <c r="CS235" s="41" t="n"/>
      <c r="CT235" s="12" t="n"/>
      <c r="CU235" s="41" t="n"/>
      <c r="CV235" s="41" t="n"/>
      <c r="CW235" s="41" t="n"/>
      <c r="CX235" s="41" t="n"/>
      <c r="CY235" s="12" t="n"/>
    </row>
    <row r="236" hidden="1" outlineLevel="1" ht="12" customHeight="1">
      <c r="C236" s="59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inlineStr">
        <is>
          <t>Contas a pagar pela aquisição de controladas</t>
        </is>
      </c>
      <c r="D237" s="11" t="n"/>
      <c r="E237" s="11" t="n"/>
      <c r="F237" s="11" t="n"/>
      <c r="G237" s="11" t="n"/>
      <c r="H237" s="12" t="n"/>
      <c r="I237" s="11" t="n"/>
      <c r="J237" s="11" t="n"/>
      <c r="K237" s="11" t="n"/>
      <c r="L237" s="11" t="n"/>
      <c r="M237" s="12" t="n"/>
      <c r="N237" s="11" t="n"/>
      <c r="O237" s="11" t="n"/>
      <c r="P237" s="11" t="n"/>
      <c r="Q237" s="11" t="n"/>
      <c r="R237" s="12" t="n"/>
      <c r="S237" s="11" t="n"/>
      <c r="T237" s="11" t="n"/>
      <c r="U237" s="11" t="n"/>
      <c r="V237" s="11" t="n"/>
      <c r="W237" s="12" t="n"/>
      <c r="X237" s="11" t="n"/>
      <c r="Y237" s="11" t="n"/>
      <c r="Z237" s="11" t="n"/>
      <c r="AA237" s="11" t="n"/>
      <c r="AB237" s="12" t="n"/>
      <c r="AC237" s="11" t="n"/>
      <c r="AD237" s="11" t="n"/>
      <c r="AE237" s="11" t="n"/>
      <c r="AF237" s="11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inlineStr">
        <is>
          <t xml:space="preserve">Outras Obrigações </t>
        </is>
      </c>
      <c r="D238" s="11" t="n"/>
      <c r="E238" s="11" t="n"/>
      <c r="F238" s="11" t="n"/>
      <c r="G238" s="11" t="n"/>
      <c r="H238" s="12" t="n"/>
      <c r="I238" s="11" t="n"/>
      <c r="J238" s="11" t="n"/>
      <c r="K238" s="11" t="n"/>
      <c r="L238" s="11" t="n"/>
      <c r="M238" s="12" t="n"/>
      <c r="N238" s="11" t="n"/>
      <c r="O238" s="11" t="n"/>
      <c r="P238" s="11" t="n"/>
      <c r="Q238" s="11" t="n"/>
      <c r="R238" s="12" t="n"/>
      <c r="S238" s="11" t="n"/>
      <c r="T238" s="11" t="n"/>
      <c r="U238" s="11" t="n"/>
      <c r="V238" s="11" t="n"/>
      <c r="W238" s="12" t="n"/>
      <c r="X238" s="11" t="n"/>
      <c r="Y238" s="11" t="n"/>
      <c r="Z238" s="11" t="n"/>
      <c r="AA238" s="11" t="n"/>
      <c r="AB238" s="12" t="n"/>
      <c r="AC238" s="11" t="n"/>
      <c r="AD238" s="11" t="n"/>
      <c r="AE238" s="11" t="n"/>
      <c r="AF238" s="11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hidden="1" outlineLevel="1">
      <c r="C239" s="57" t="inlineStr">
        <is>
          <t xml:space="preserve">Provisão de Risco Cíveis, Trabalhistas e Tributários </t>
        </is>
      </c>
      <c r="D239" s="11" t="n"/>
      <c r="E239" s="11" t="n"/>
      <c r="F239" s="11" t="n"/>
      <c r="G239" s="11" t="n"/>
      <c r="H239" s="12" t="n"/>
      <c r="I239" s="11" t="n"/>
      <c r="J239" s="11" t="n"/>
      <c r="K239" s="11" t="n"/>
      <c r="L239" s="11" t="n"/>
      <c r="M239" s="12" t="n"/>
      <c r="N239" s="11" t="n"/>
      <c r="O239" s="11" t="n"/>
      <c r="P239" s="11" t="n"/>
      <c r="Q239" s="11" t="n"/>
      <c r="R239" s="12" t="n"/>
      <c r="S239" s="11" t="n"/>
      <c r="T239" s="11" t="n"/>
      <c r="U239" s="11" t="n"/>
      <c r="V239" s="11" t="n"/>
      <c r="W239" s="12" t="n"/>
      <c r="X239" s="11" t="n"/>
      <c r="Y239" s="11" t="n"/>
      <c r="Z239" s="11" t="n"/>
      <c r="AA239" s="11" t="n"/>
      <c r="AB239" s="12" t="n"/>
      <c r="AC239" s="11" t="n"/>
      <c r="AD239" s="11" t="n"/>
      <c r="AE239" s="11" t="n"/>
      <c r="AF239" s="11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>
      <c r="C240" s="57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collapsed="1" customFormat="1" s="32">
      <c r="A241" s="30" t="n"/>
      <c r="B241" s="30" t="n"/>
      <c r="C241" s="65" t="inlineStr">
        <is>
          <t>Total Liabilities</t>
        </is>
      </c>
      <c r="D241" s="35" t="n"/>
      <c r="E241" s="35" t="n"/>
      <c r="F241" s="35" t="n"/>
      <c r="G241" s="35" t="n"/>
      <c r="H241" s="35" t="n"/>
      <c r="I241" s="35">
        <f>SUM(I192+I196+I198+I199+I206+I207+I208+I211+I229+I232+I233+I234)</f>
        <v>27238.934</v>
      </c>
      <c r="J241" s="35">
        <f>SUM(J192+J196+J198+J199+J206+J207+J208+J211+J229+J232+J233+J234)</f>
        <v>27107.098</v>
      </c>
      <c r="K241" s="35">
        <f>SUM(K192+K196+K198+K199+K206+K207+K208+K211+K229+K232+K233+K234)</f>
        <v>27425.24</v>
      </c>
      <c r="L241" s="35">
        <f>SUM(L192+L196+L198+L199+L206+L207+L208+L211+L229+L232+L233+L234)</f>
        <v>28735.415</v>
      </c>
      <c r="M241" s="35">
        <f>SUM(M192,M196,M198,M199,M206,M207,M211,M208,M229,M232,M233,M234)</f>
        <v>28735.415</v>
      </c>
      <c r="N241" s="35">
        <f>SUM(N192+N196+N198+N199+N206+N207+N208+N211+N229+N232+N233+N234)</f>
        <v>27786.865</v>
      </c>
      <c r="O241" s="35">
        <f>SUM(O192+O196+O198+O199+O206+O207+O208+O211+O229+O232+O233+O234)</f>
        <v>27274.961</v>
      </c>
      <c r="P241" s="35">
        <f>SUM(P192+P196+P198+P199+P206+P207+P208+P211+P229+P232+P233+P234)</f>
        <v>27034.046</v>
      </c>
      <c r="Q241" s="35">
        <f>SUM(Q192+Q196+Q198+Q199+Q206+Q207+Q208+Q211+Q229+Q232+Q233+Q234)</f>
        <v>27817.367</v>
      </c>
      <c r="R241" s="35">
        <f>SUM(R192,R196,R198,R199,R206,R207,R211,R208,R229,R232,R233,R234)</f>
        <v>27817.367</v>
      </c>
      <c r="S241" s="35">
        <f>SUM(S192+S196+S198+S199+S206+S207+S208+S211+S229+S232+S233+S234)</f>
        <v>27662.149</v>
      </c>
      <c r="T241" s="35">
        <f>SUM(T192+T196+T198+T199+T206+T207+T208+T211+T229+T232+T233+T234)</f>
        <v>27985.258</v>
      </c>
      <c r="U241" s="35">
        <f>SUM(U192+U196+U198+U199+U206+U207+U208+U211+U229+U232+U233+U234)</f>
        <v>27394.159</v>
      </c>
      <c r="V241" s="35">
        <f>SUM(V192+V196+V198+V199+V206+V207+V208+V211+V229+V232+V233+V234)</f>
        <v>28143.679</v>
      </c>
      <c r="W241" s="35">
        <f>SUM(W192,W196,W198,W199,W206,W207,W211,W208,W229,W232,W233,W234)</f>
        <v>28143.679</v>
      </c>
      <c r="X241" s="35">
        <f>SUM(X192+X196+X198+X199+X206+X207+X208+X211+X229+X232+X233+X234)</f>
        <v>27462.311</v>
      </c>
      <c r="Y241" s="35">
        <f>SUM(Y192+Y196+Y198+Y199+Y206+Y207+Y208+Y211+Y229+Y232+Y233+Y234)</f>
        <v>26986.202</v>
      </c>
      <c r="Z241" s="35">
        <f>SUM(Z192+Z196+Z198+Z199+Z206+Z207+Z208+Z211+Z229+Z232+Z233+Z234)</f>
        <v>29561.108</v>
      </c>
      <c r="AA241" s="35">
        <f>SUM(AA192+AA196+AA198+AA199+AA206+AA207+AA208+AA211+AA229+AA232+AA233+AA234)</f>
        <v>28886.807</v>
      </c>
      <c r="AB241" s="35">
        <f>SUM(AB192,AB196,AB198,AB199,AB206,AB207,AB211,AB208,AB229,AB232,AB233,AB234)</f>
        <v>28886.807</v>
      </c>
      <c r="AC241" s="35">
        <f>SUM(AC192+AC196+AC198+AC199+AC206+AC207+AC208+AC211+AC229+AC232+AC233+AC234)</f>
        <v>28059.571</v>
      </c>
      <c r="AD241" s="35">
        <f>SUM(AD192+AD196+AD198+AD199+AD206+AD207+AD208+AD211+AD229+AD232+AD233+AD234)</f>
        <v>28147.765</v>
      </c>
      <c r="AE241" s="35">
        <f>SUM(AE192+AE196+AE198+AE199+AE206+AE207+AE208+AE211+AE229+AE232+AE233+AE234)</f>
        <v>28980.8</v>
      </c>
      <c r="AF241" s="35">
        <f>SUM(AF192+AF196+AF198+AF199+AF206+AF207+AF208+AF211+AF229+AF232+AF233+AF234)</f>
        <v>28981.505</v>
      </c>
      <c r="AG241" s="35">
        <f>SUM(AG192,AG196,AG198,AG199,AG206,AG207,AG211,AG208,AG229,AG232,AG233,AG234)</f>
        <v>28981.505</v>
      </c>
      <c r="AH241" s="35">
        <f>SUM(AH192+AH196+AH198+AH199+AH206+AH207+AH208+AH211+AH229+AH232+AH233+AH234)</f>
        <v>29889.515</v>
      </c>
      <c r="AI241" s="35">
        <f>SUM(AI192+AI196+AI198+AI199+AI206+AI207+AI208+AI211+AI229+AI232+AI233+AI234)</f>
        <v>28298.389</v>
      </c>
      <c r="AJ241" s="35">
        <f>SUM(AJ192+AJ196+AJ198+AJ199+AJ206+AJ207+AJ208+AJ211+AJ229+AJ232+AJ233+AJ234)</f>
        <v>28843.8278920226</v>
      </c>
      <c r="AK241" s="35">
        <f>SUM(AK192+AK196+AK198+AK199+AK206+AK207+AK208+AK211+AK229+AK232+AK233+AK234)</f>
        <v>29450.7811668277</v>
      </c>
      <c r="AL241" s="35">
        <f>SUM(AL192,AL196,AL198,AL199,AL206,AL207,AL211,AL208,AL229,AL232,AL233,AL234)</f>
        <v>29450.7811668277</v>
      </c>
      <c r="AM241" s="35">
        <f>SUM(AM192+AM196+AM198+AM199+AM206+AM207+AM208+AM211+AM229+AM232+AM233+AM234)</f>
        <v>30139.9983039573</v>
      </c>
      <c r="AN241" s="35">
        <f>SUM(AN192+AN196+AN198+AN199+AN206+AN207+AN208+AN211+AN229+AN232+AN233+AN234)</f>
        <v>30907.9279908458</v>
      </c>
      <c r="AO241" s="35">
        <f>SUM(AO192+AO196+AO198+AO199+AO206+AO207+AO208+AO211+AO229+AO232+AO233+AO234)</f>
        <v>31823.8673377532</v>
      </c>
      <c r="AP241" s="35">
        <f>SUM(AP192+AP196+AP198+AP199+AP206+AP207+AP208+AP211+AP229+AP232+AP233+AP234)</f>
        <v>32876.932558517</v>
      </c>
      <c r="AQ241" s="35">
        <f>SUM(AQ192,AQ196,AQ198,AQ199,AQ206,AQ207,AQ211,AQ208,AQ229,AQ232,AQ233,AQ234)</f>
        <v>32876.932558517</v>
      </c>
      <c r="AR241" s="35">
        <f>SUM(AR192+AR196+AR198+AR199+AR206+AR207+AR208+AR211+AR229+AR232+AR233+AR234)</f>
        <v>34025.1712731665</v>
      </c>
      <c r="AS241" s="35">
        <f>SUM(AS192+AS196+AS198+AS199+AS206+AS207+AS208+AS211+AS229+AS232+AS233+AS234)</f>
        <v>35344.2938522045</v>
      </c>
      <c r="AT241" s="35">
        <f>SUM(AT192+AT196+AT198+AT199+AT206+AT207+AT208+AT211+AT229+AT232+AT233+AT234)</f>
        <v>36880.7420929127</v>
      </c>
      <c r="AU241" s="35">
        <f>SUM(AU192+AU196+AU198+AU199+AU206+AU207+AU208+AU211+AU229+AU232+AU233+AU234)</f>
        <v>38642.1289522538</v>
      </c>
      <c r="AV241" s="35">
        <f>SUM(AV192,AV196,AV198,AV199,AV206,AV207,AV211,AV208,AV229,AV232,AV233,AV234)</f>
        <v>38642.1289522538</v>
      </c>
      <c r="AW241" s="35">
        <f>SUM(AW192+AW196+AW198+AW199+AW206+AW207+AW208+AW211+AW229+AW232+AW233+AW234)</f>
        <v>40575.3997113219</v>
      </c>
      <c r="AX241" s="35">
        <f>SUM(AX192+AX196+AX198+AX199+AX206+AX207+AX208+AX211+AX229+AX232+AX233+AX234)</f>
        <v>42763.9907947574</v>
      </c>
      <c r="AY241" s="35">
        <f>SUM(AY192+AY196+AY198+AY199+AY206+AY207+AY208+AY211+AY229+AY232+AY233+AY234)</f>
        <v>45307.706308695</v>
      </c>
      <c r="AZ241" s="35">
        <f>SUM(AZ192+AZ196+AZ198+AZ199+AZ206+AZ207+AZ208+AZ211+AZ229+AZ232+AZ233+AZ234)</f>
        <v>48213.8757146681</v>
      </c>
      <c r="BA241" s="35">
        <f>SUM(BA192,BA196,BA198,BA199,BA206,BA207,BA211,BA208,BA229,BA232,BA233,BA234)</f>
        <v>48213.8757146681</v>
      </c>
      <c r="BB241" s="35">
        <f>SUM(BB192+BB196+BB198+BB199+BB206+BB207+BB208+BB211+BB229+BB232+BB233+BB234)</f>
        <v>51391.9572529879</v>
      </c>
      <c r="BC241" s="35">
        <f>SUM(BC192+BC196+BC198+BC199+BC206+BC207+BC208+BC211+BC229+BC232+BC233+BC234)</f>
        <v>54993.1336077159</v>
      </c>
      <c r="BD241" s="35">
        <f>SUM(BD192+BD196+BD198+BD199+BD206+BD207+BD208+BD211+BD229+BD232+BD233+BD234)</f>
        <v>59141.130298511</v>
      </c>
      <c r="BE241" s="35">
        <f>SUM(BE192+BE196+BE198+BE199+BE206+BE207+BE208+BE211+BE229+BE232+BE233+BE234)</f>
        <v>63862.3471341327</v>
      </c>
      <c r="BF241" s="35">
        <f>SUM(BF192,BF196,BF198,BF199,BF206,BF207,BF211,BF208,BF229,BF232,BF233,BF234)</f>
        <v>63862.3471341327</v>
      </c>
      <c r="BG241" s="35" t="n"/>
      <c r="BH241" s="35" t="n"/>
      <c r="BI241" s="35" t="n"/>
      <c r="BJ241" s="35" t="n"/>
      <c r="BK241" s="35" t="n"/>
      <c r="BL241" s="35" t="n"/>
      <c r="BM241" s="35" t="n"/>
      <c r="BN241" s="35" t="n"/>
      <c r="BO241" s="35" t="n"/>
      <c r="BP241" s="35" t="n"/>
      <c r="BQ241" s="35" t="n"/>
      <c r="BR241" s="35" t="n"/>
      <c r="BS241" s="35" t="n"/>
      <c r="BT241" s="35" t="n"/>
      <c r="BU241" s="35" t="n"/>
      <c r="BV241" s="35" t="n"/>
      <c r="BW241" s="35" t="n"/>
      <c r="BX241" s="35" t="n"/>
      <c r="BY241" s="35" t="n"/>
      <c r="BZ241" s="35" t="n"/>
      <c r="CA241" s="35" t="n"/>
      <c r="CB241" s="35" t="n"/>
      <c r="CC241" s="35" t="n"/>
      <c r="CD241" s="35" t="n"/>
      <c r="CE241" s="35" t="n"/>
      <c r="CF241" s="35" t="n"/>
      <c r="CG241" s="35" t="n"/>
      <c r="CH241" s="35" t="n"/>
      <c r="CI241" s="35" t="n"/>
      <c r="CJ241" s="35" t="n"/>
      <c r="CK241" s="35" t="n"/>
      <c r="CL241" s="35" t="n"/>
      <c r="CM241" s="35" t="n"/>
      <c r="CN241" s="35" t="n"/>
      <c r="CO241" s="35" t="n"/>
      <c r="CP241" s="35" t="n"/>
      <c r="CQ241" s="35" t="n"/>
      <c r="CR241" s="35" t="n"/>
      <c r="CS241" s="35" t="n"/>
      <c r="CT241" s="35" t="n"/>
      <c r="CU241" s="35" t="n"/>
      <c r="CV241" s="35" t="n"/>
      <c r="CW241" s="35" t="n"/>
      <c r="CX241" s="35" t="n"/>
      <c r="CY241" s="35" t="n"/>
    </row>
    <row r="242">
      <c r="C242" s="14" t="inlineStr">
        <is>
          <t>Minority interest</t>
        </is>
      </c>
      <c r="D242" s="46" t="n"/>
      <c r="E242" s="46" t="n"/>
      <c r="F242" s="46" t="n"/>
      <c r="G242" s="46" t="n"/>
      <c r="H242" s="12" t="n"/>
      <c r="I242" s="46">
        <f>'Inputs (2)'!D41</f>
        <v>0</v>
      </c>
      <c r="J242" s="46">
        <f>'Inputs (2)'!E41</f>
        <v>0</v>
      </c>
      <c r="K242" s="46">
        <f>'Inputs (2)'!F41</f>
        <v>0</v>
      </c>
      <c r="L242" s="46">
        <f>'Inputs (2)'!G41</f>
        <v>0</v>
      </c>
      <c r="M242" s="12">
        <f>'Inputs (2)'!H41</f>
        <v>0</v>
      </c>
      <c r="N242" s="46">
        <f>'Inputs (2)'!I41</f>
        <v>0</v>
      </c>
      <c r="O242" s="46">
        <f>'Inputs (2)'!J41</f>
        <v>0</v>
      </c>
      <c r="P242" s="46">
        <f>'Inputs (2)'!K41</f>
        <v>0</v>
      </c>
      <c r="Q242" s="46">
        <f>'Inputs (2)'!L41</f>
        <v>0</v>
      </c>
      <c r="R242" s="12">
        <f>'Inputs (2)'!M41</f>
        <v>0</v>
      </c>
      <c r="S242" s="46">
        <f>'Inputs (2)'!N41</f>
        <v>0</v>
      </c>
      <c r="T242" s="46">
        <f>'Inputs (2)'!O41</f>
        <v>0</v>
      </c>
      <c r="U242" s="46">
        <f>'Inputs (2)'!P41</f>
        <v>0</v>
      </c>
      <c r="V242" s="46">
        <f>'Inputs (2)'!Q41</f>
        <v>0</v>
      </c>
      <c r="W242" s="12">
        <f>'Inputs (2)'!R41</f>
        <v>0</v>
      </c>
      <c r="X242" s="46">
        <f>'Inputs (2)'!S41</f>
        <v>0</v>
      </c>
      <c r="Y242" s="46">
        <f>'Inputs (2)'!T41</f>
        <v>0</v>
      </c>
      <c r="Z242" s="46">
        <f>'Inputs (2)'!U41</f>
        <v>0</v>
      </c>
      <c r="AA242" s="46">
        <f>'Inputs (2)'!V41</f>
        <v>0</v>
      </c>
      <c r="AB242" s="12">
        <f>'Inputs (2)'!W41</f>
        <v>0</v>
      </c>
      <c r="AC242" s="46">
        <f>'Inputs (2)'!X41</f>
        <v>0</v>
      </c>
      <c r="AD242" s="46">
        <f>'Inputs (2)'!Y41</f>
        <v>0</v>
      </c>
      <c r="AE242" s="46">
        <f>'Inputs (2)'!Z41</f>
        <v>0</v>
      </c>
      <c r="AF242" s="46">
        <f>'Inputs (2)'!AA41</f>
        <v>0</v>
      </c>
      <c r="AG242" s="12">
        <f>'Inputs (2)'!AB41</f>
        <v>0</v>
      </c>
      <c r="AH242" s="12">
        <f>'Inputs (2)'!AC41</f>
        <v>0</v>
      </c>
      <c r="AI242" s="12">
        <f>'Inputs (2)'!AD41</f>
        <v>0</v>
      </c>
      <c r="AJ242" s="12">
        <f>AI242</f>
        <v>0</v>
      </c>
      <c r="AK242" s="12">
        <f>AJ242</f>
        <v>0</v>
      </c>
      <c r="AL242" s="12">
        <f>AK242</f>
        <v>0</v>
      </c>
      <c r="AM242" s="12">
        <f>AL242</f>
        <v>0</v>
      </c>
      <c r="AN242" s="12">
        <f>AM242</f>
        <v>0</v>
      </c>
      <c r="AO242" s="12">
        <f>AN242</f>
        <v>0</v>
      </c>
      <c r="AP242" s="12">
        <f>AO242</f>
        <v>0</v>
      </c>
      <c r="AQ242" s="12">
        <f>AP242</f>
        <v>0</v>
      </c>
      <c r="AR242" s="12">
        <f>AQ242</f>
        <v>0</v>
      </c>
      <c r="AS242" s="12">
        <f>AR242</f>
        <v>0</v>
      </c>
      <c r="AT242" s="12">
        <f>AS242</f>
        <v>0</v>
      </c>
      <c r="AU242" s="12">
        <f>AT242</f>
        <v>0</v>
      </c>
      <c r="AV242" s="12">
        <f>AU242</f>
        <v>0</v>
      </c>
      <c r="AW242" s="12">
        <f>AV242</f>
        <v>0</v>
      </c>
      <c r="AX242" s="12">
        <f>AW242</f>
        <v>0</v>
      </c>
      <c r="AY242" s="12">
        <f>AX242</f>
        <v>0</v>
      </c>
      <c r="AZ242" s="12">
        <f>AY242</f>
        <v>0</v>
      </c>
      <c r="BA242" s="12">
        <f>AZ242</f>
        <v>0</v>
      </c>
      <c r="BB242" s="12">
        <f>BA242</f>
        <v>0</v>
      </c>
      <c r="BC242" s="12">
        <f>BB242</f>
        <v>0</v>
      </c>
      <c r="BD242" s="12">
        <f>BC242</f>
        <v>0</v>
      </c>
      <c r="BE242" s="12">
        <f>BD242</f>
        <v>0</v>
      </c>
      <c r="BF242" s="12">
        <f>BE242</f>
        <v>0</v>
      </c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 customFormat="1" s="66">
      <c r="A243" s="37" t="n"/>
      <c r="B243" s="37" t="n"/>
      <c r="C243" s="59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  <c r="BL243" s="42" t="n"/>
      <c r="BM243" s="42" t="n"/>
      <c r="BN243" s="42" t="n"/>
      <c r="BO243" s="42" t="n"/>
      <c r="BP243" s="42" t="n"/>
      <c r="BQ243" s="42" t="n"/>
      <c r="BR243" s="42" t="n"/>
      <c r="BS243" s="42" t="n"/>
      <c r="BT243" s="42" t="n"/>
      <c r="BU243" s="42" t="n"/>
      <c r="BV243" s="42" t="n"/>
      <c r="BW243" s="42" t="n"/>
      <c r="BX243" s="42" t="n"/>
      <c r="BY243" s="42" t="n"/>
      <c r="BZ243" s="42" t="n"/>
      <c r="CA243" s="42" t="n"/>
      <c r="CB243" s="42" t="n"/>
      <c r="CC243" s="42" t="n"/>
      <c r="CD243" s="42" t="n"/>
      <c r="CE243" s="42" t="n"/>
      <c r="CF243" s="42" t="n"/>
      <c r="CG243" s="42" t="n"/>
      <c r="CH243" s="42" t="n"/>
      <c r="CI243" s="42" t="n"/>
      <c r="CJ243" s="42" t="n"/>
      <c r="CK243" s="42" t="n"/>
      <c r="CL243" s="42" t="n"/>
      <c r="CM243" s="42" t="n"/>
      <c r="CN243" s="42" t="n"/>
      <c r="CO243" s="42" t="n"/>
      <c r="CP243" s="42" t="n"/>
      <c r="CQ243" s="42" t="n"/>
      <c r="CR243" s="42" t="n"/>
      <c r="CS243" s="42" t="n"/>
      <c r="CT243" s="42" t="n"/>
      <c r="CU243" s="42" t="n"/>
      <c r="CV243" s="42" t="n"/>
      <c r="CW243" s="42" t="n"/>
      <c r="CX243" s="42" t="n"/>
      <c r="CY243" s="42" t="n"/>
    </row>
    <row r="244" hidden="1" outlineLevel="1" customFormat="1" s="66">
      <c r="A244" s="37" t="n"/>
      <c r="B244" s="37" t="n"/>
      <c r="C244" s="57" t="inlineStr">
        <is>
          <t>Minority Interest Expense - % YoY</t>
        </is>
      </c>
      <c r="D244" s="42" t="n"/>
      <c r="E244" s="58" t="n"/>
      <c r="F244" s="42" t="n"/>
      <c r="G244" s="42" t="n"/>
      <c r="H244" s="58" t="n"/>
      <c r="I244" s="42" t="n"/>
      <c r="J244" s="58">
        <f>IF(I129=0,0,J129/I129-1)</f>
        <v>0</v>
      </c>
      <c r="K244" s="42" t="n"/>
      <c r="L244" s="42" t="n"/>
      <c r="M244" s="58" t="n"/>
      <c r="N244" s="58">
        <f>IF(I129=0,0,N129/I129-1)</f>
        <v>0</v>
      </c>
      <c r="O244" s="58">
        <f>IF(J129=0,0,O129/J129-1)</f>
        <v>0</v>
      </c>
      <c r="P244" s="58">
        <f>IF(K129=0,0,P129/K129-1)</f>
        <v>0</v>
      </c>
      <c r="Q244" s="58">
        <f>IF(L129=0,0,Q129/L129-1)</f>
        <v>0</v>
      </c>
      <c r="R244" s="58" t="n"/>
      <c r="S244" s="58">
        <f>IF(N129=0,0,S129/N129-1)</f>
        <v>0</v>
      </c>
      <c r="T244" s="58">
        <f>IF(O129=0,0,T129/O129-1)</f>
        <v>0</v>
      </c>
      <c r="U244" s="58">
        <f>IF(P129=0,0,U129/P129-1)</f>
        <v>0</v>
      </c>
      <c r="V244" s="58">
        <f>IF(Q129=0,0,V129/Q129-1)</f>
        <v>0</v>
      </c>
      <c r="W244" s="58">
        <f>IF(R130=0,0,W130/R130-1)</f>
        <v>0</v>
      </c>
      <c r="X244" s="58">
        <f>IF(S129=0,0,X129/S129-1)</f>
        <v>0</v>
      </c>
      <c r="Y244" s="58">
        <f>IF(T129=0,0,Y129/T129-1)</f>
        <v>0</v>
      </c>
      <c r="Z244" s="58">
        <f>IF(U129=0,0,Z129/U129-1)</f>
        <v>0</v>
      </c>
      <c r="AA244" s="58">
        <f>IF(V129=0,0,AA129/V129-1)</f>
        <v>0</v>
      </c>
      <c r="AB244" s="58">
        <f>IF(W130=0,0,AB130/W130-1)</f>
        <v>0</v>
      </c>
      <c r="AC244" s="58">
        <f>IF(X129=0,0,AC129/X129-1)</f>
        <v>0</v>
      </c>
      <c r="AD244" s="58">
        <f>IF(Y129=0,0,AD129/Y129-1)</f>
        <v>0</v>
      </c>
      <c r="AE244" s="58">
        <f>IF(Z129=0,0,AE129/Z129-1)</f>
        <v>0</v>
      </c>
      <c r="AF244" s="58">
        <f>IF(AA129=0,0,AF129/AA129-1)</f>
        <v>0</v>
      </c>
      <c r="AG244" s="58">
        <f>IF(AB130=0,0,AG130/AB130-1)</f>
        <v>0</v>
      </c>
      <c r="AH244" s="62">
        <f>IF(AC129=0,0,AH129/AC129-1)</f>
        <v>0</v>
      </c>
      <c r="AI244" s="62">
        <f>IF(AD129=0,0,AI129/AD129-1)</f>
        <v>0</v>
      </c>
      <c r="AJ244" s="62" t="n"/>
      <c r="AK244" s="62" t="n"/>
      <c r="AL244" s="58">
        <f>IF(AG130=0,0,AL130/AG130-1)</f>
        <v>0</v>
      </c>
      <c r="AM244" s="62" t="n"/>
      <c r="AN244" s="62" t="n"/>
      <c r="AO244" s="62" t="n"/>
      <c r="AP244" s="62" t="n"/>
      <c r="AQ244" s="58">
        <f>IF(AL130=0,0,AQ130/AL130-1)</f>
        <v>0</v>
      </c>
      <c r="AR244" s="62" t="n"/>
      <c r="AS244" s="62" t="n"/>
      <c r="AT244" s="62" t="n"/>
      <c r="AU244" s="62" t="n"/>
      <c r="AV244" s="58">
        <f>IF(AQ130=0,0,AV130/AQ130-1)</f>
        <v>0</v>
      </c>
      <c r="AW244" s="62" t="n"/>
      <c r="AX244" s="62" t="n"/>
      <c r="AY244" s="62" t="n"/>
      <c r="AZ244" s="62" t="n"/>
      <c r="BA244" s="58">
        <f>IF(AV130=0,0,BA130/AV130-1)</f>
        <v>0</v>
      </c>
      <c r="BB244" s="62" t="n"/>
      <c r="BC244" s="62" t="n"/>
      <c r="BD244" s="62" t="n"/>
      <c r="BE244" s="62" t="n"/>
      <c r="BF244" s="58">
        <f>IF(BA130=0,0,BF130/BA130-1)</f>
        <v>0</v>
      </c>
      <c r="BG244" s="62" t="n"/>
      <c r="BH244" s="62" t="n"/>
      <c r="BI244" s="62" t="n"/>
      <c r="BJ244" s="62" t="n"/>
      <c r="BK244" s="58" t="n"/>
      <c r="BL244" s="62" t="n"/>
      <c r="BM244" s="62" t="n"/>
      <c r="BN244" s="62" t="n"/>
      <c r="BO244" s="62" t="n"/>
      <c r="BP244" s="58" t="n"/>
      <c r="BQ244" s="62" t="n"/>
      <c r="BR244" s="62" t="n"/>
      <c r="BS244" s="62" t="n"/>
      <c r="BT244" s="62" t="n"/>
      <c r="BU244" s="58" t="n"/>
      <c r="BV244" s="62" t="n"/>
      <c r="BW244" s="62" t="n"/>
      <c r="BX244" s="62" t="n"/>
      <c r="BY244" s="62" t="n"/>
      <c r="BZ244" s="58" t="n"/>
      <c r="CA244" s="62" t="n"/>
      <c r="CB244" s="62" t="n"/>
      <c r="CC244" s="62" t="n"/>
      <c r="CD244" s="62" t="n"/>
      <c r="CE244" s="58" t="n"/>
      <c r="CF244" s="62" t="n"/>
      <c r="CG244" s="62" t="n"/>
      <c r="CH244" s="62" t="n"/>
      <c r="CI244" s="62" t="n"/>
      <c r="CJ244" s="58" t="n"/>
      <c r="CK244" s="62" t="n"/>
      <c r="CL244" s="62" t="n"/>
      <c r="CM244" s="62" t="n"/>
      <c r="CN244" s="62" t="n"/>
      <c r="CO244" s="58" t="n"/>
      <c r="CP244" s="62" t="n"/>
      <c r="CQ244" s="62" t="n"/>
      <c r="CR244" s="62" t="n"/>
      <c r="CS244" s="62" t="n"/>
      <c r="CT244" s="58" t="n"/>
      <c r="CU244" s="62" t="n"/>
      <c r="CV244" s="62" t="n"/>
      <c r="CW244" s="62" t="n"/>
      <c r="CX244" s="62" t="n"/>
      <c r="CY244" s="58" t="n"/>
    </row>
    <row r="245" hidden="1" outlineLevel="1" customFormat="1" s="66">
      <c r="A245" s="37" t="n"/>
      <c r="B245" s="37" t="n"/>
      <c r="C245" s="57" t="inlineStr">
        <is>
          <t>Dividends (enter as -)</t>
        </is>
      </c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62" t="n"/>
      <c r="AI245" s="62" t="n"/>
      <c r="AJ245" s="62" t="n"/>
      <c r="AK245" s="62" t="n"/>
      <c r="AL245" s="42" t="n"/>
      <c r="AM245" s="62" t="n"/>
      <c r="AN245" s="62" t="n"/>
      <c r="AO245" s="62" t="n"/>
      <c r="AP245" s="62" t="n"/>
      <c r="AQ245" s="42" t="n"/>
      <c r="AR245" s="62" t="n"/>
      <c r="AS245" s="62" t="n"/>
      <c r="AT245" s="62" t="n"/>
      <c r="AU245" s="62" t="n"/>
      <c r="AV245" s="42" t="n"/>
      <c r="AW245" s="62" t="n"/>
      <c r="AX245" s="62" t="n"/>
      <c r="AY245" s="62" t="n"/>
      <c r="AZ245" s="62" t="n"/>
      <c r="BA245" s="42" t="n"/>
      <c r="BB245" s="62" t="n"/>
      <c r="BC245" s="62" t="n"/>
      <c r="BD245" s="62" t="n"/>
      <c r="BE245" s="62" t="n"/>
      <c r="BF245" s="42" t="n"/>
      <c r="BG245" s="62" t="n"/>
      <c r="BH245" s="62" t="n"/>
      <c r="BI245" s="62" t="n"/>
      <c r="BJ245" s="62" t="n"/>
      <c r="BK245" s="42" t="n"/>
      <c r="BL245" s="62" t="n"/>
      <c r="BM245" s="62" t="n"/>
      <c r="BN245" s="62" t="n"/>
      <c r="BO245" s="62" t="n"/>
      <c r="BP245" s="42" t="n"/>
      <c r="BQ245" s="62" t="n"/>
      <c r="BR245" s="62" t="n"/>
      <c r="BS245" s="62" t="n"/>
      <c r="BT245" s="62" t="n"/>
      <c r="BU245" s="42" t="n"/>
      <c r="BV245" s="62" t="n"/>
      <c r="BW245" s="62" t="n"/>
      <c r="BX245" s="62" t="n"/>
      <c r="BY245" s="62" t="n"/>
      <c r="BZ245" s="42" t="n"/>
      <c r="CA245" s="62" t="n"/>
      <c r="CB245" s="62" t="n"/>
      <c r="CC245" s="62" t="n"/>
      <c r="CD245" s="62" t="n"/>
      <c r="CE245" s="42" t="n"/>
      <c r="CF245" s="62" t="n"/>
      <c r="CG245" s="62" t="n"/>
      <c r="CH245" s="62" t="n"/>
      <c r="CI245" s="62" t="n"/>
      <c r="CJ245" s="42" t="n"/>
      <c r="CK245" s="62" t="n"/>
      <c r="CL245" s="62" t="n"/>
      <c r="CM245" s="62" t="n"/>
      <c r="CN245" s="62" t="n"/>
      <c r="CO245" s="42" t="n"/>
      <c r="CP245" s="62" t="n"/>
      <c r="CQ245" s="62" t="n"/>
      <c r="CR245" s="62" t="n"/>
      <c r="CS245" s="62" t="n"/>
      <c r="CT245" s="42" t="n"/>
      <c r="CU245" s="62" t="n"/>
      <c r="CV245" s="62" t="n"/>
      <c r="CW245" s="62" t="n"/>
      <c r="CX245" s="62" t="n"/>
      <c r="CY245" s="42" t="n"/>
    </row>
    <row r="246" hidden="1" outlineLevel="1" customFormat="1" s="66">
      <c r="A246" s="37" t="n"/>
      <c r="B246" s="37" t="n"/>
      <c r="C246" s="59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  <c r="AO246" s="42" t="n"/>
      <c r="AP246" s="42" t="n"/>
      <c r="AQ246" s="42" t="n"/>
      <c r="AR246" s="42" t="n"/>
      <c r="AS246" s="42" t="n"/>
      <c r="AT246" s="42" t="n"/>
      <c r="AU246" s="42" t="n"/>
      <c r="AV246" s="42" t="n"/>
      <c r="AW246" s="42" t="n"/>
      <c r="AX246" s="42" t="n"/>
      <c r="AY246" s="42" t="n"/>
      <c r="AZ246" s="42" t="n"/>
      <c r="BA246" s="42" t="n"/>
      <c r="BB246" s="42" t="n"/>
      <c r="BC246" s="42" t="n"/>
      <c r="BD246" s="42" t="n"/>
      <c r="BE246" s="42" t="n"/>
      <c r="BF246" s="42" t="n"/>
      <c r="BG246" s="42" t="n"/>
      <c r="BH246" s="42" t="n"/>
      <c r="BI246" s="42" t="n"/>
      <c r="BJ246" s="42" t="n"/>
      <c r="BK246" s="42" t="n"/>
      <c r="BL246" s="42" t="n"/>
      <c r="BM246" s="42" t="n"/>
      <c r="BN246" s="42" t="n"/>
      <c r="BO246" s="42" t="n"/>
      <c r="BP246" s="42" t="n"/>
      <c r="BQ246" s="42" t="n"/>
      <c r="BR246" s="42" t="n"/>
      <c r="BS246" s="42" t="n"/>
      <c r="BT246" s="42" t="n"/>
      <c r="BU246" s="42" t="n"/>
      <c r="BV246" s="42" t="n"/>
      <c r="BW246" s="42" t="n"/>
      <c r="BX246" s="42" t="n"/>
      <c r="BY246" s="42" t="n"/>
      <c r="BZ246" s="42" t="n"/>
      <c r="CA246" s="42" t="n"/>
      <c r="CB246" s="42" t="n"/>
      <c r="CC246" s="42" t="n"/>
      <c r="CD246" s="42" t="n"/>
      <c r="CE246" s="42" t="n"/>
      <c r="CF246" s="42" t="n"/>
      <c r="CG246" s="42" t="n"/>
      <c r="CH246" s="42" t="n"/>
      <c r="CI246" s="42" t="n"/>
      <c r="CJ246" s="42" t="n"/>
      <c r="CK246" s="42" t="n"/>
      <c r="CL246" s="42" t="n"/>
      <c r="CM246" s="42" t="n"/>
      <c r="CN246" s="42" t="n"/>
      <c r="CO246" s="42" t="n"/>
      <c r="CP246" s="42" t="n"/>
      <c r="CQ246" s="42" t="n"/>
      <c r="CR246" s="42" t="n"/>
      <c r="CS246" s="42" t="n"/>
      <c r="CT246" s="42" t="n"/>
      <c r="CU246" s="42" t="n"/>
      <c r="CV246" s="42" t="n"/>
      <c r="CW246" s="42" t="n"/>
      <c r="CX246" s="42" t="n"/>
      <c r="CY246" s="42" t="n"/>
    </row>
    <row r="247" collapsed="1">
      <c r="C247" s="14" t="inlineStr">
        <is>
          <t>Convertible Preferred Stock</t>
        </is>
      </c>
      <c r="D247" s="46" t="n"/>
      <c r="E247" s="46" t="n"/>
      <c r="F247" s="46" t="n"/>
      <c r="G247" s="46" t="n"/>
      <c r="H247" s="12" t="n"/>
      <c r="I247" s="46">
        <f>'Inputs (2)'!D42</f>
        <v>0</v>
      </c>
      <c r="J247" s="46">
        <f>'Inputs (2)'!E42</f>
        <v>0</v>
      </c>
      <c r="K247" s="46">
        <f>'Inputs (2)'!F42</f>
        <v>0</v>
      </c>
      <c r="L247" s="46">
        <f>'Inputs (2)'!G42</f>
        <v>0</v>
      </c>
      <c r="M247" s="12">
        <f>'Inputs (2)'!H42</f>
        <v>0</v>
      </c>
      <c r="N247" s="46">
        <f>'Inputs (2)'!I42</f>
        <v>0</v>
      </c>
      <c r="O247" s="46">
        <f>'Inputs (2)'!J42</f>
        <v>0</v>
      </c>
      <c r="P247" s="46">
        <f>'Inputs (2)'!K42</f>
        <v>0</v>
      </c>
      <c r="Q247" s="46">
        <f>'Inputs (2)'!L42</f>
        <v>0</v>
      </c>
      <c r="R247" s="12">
        <f>'Inputs (2)'!M42</f>
        <v>0</v>
      </c>
      <c r="S247" s="46">
        <f>'Inputs (2)'!N42</f>
        <v>0</v>
      </c>
      <c r="T247" s="46">
        <f>'Inputs (2)'!O42</f>
        <v>0</v>
      </c>
      <c r="U247" s="46">
        <f>'Inputs (2)'!P42</f>
        <v>0</v>
      </c>
      <c r="V247" s="46">
        <f>'Inputs (2)'!Q42</f>
        <v>0</v>
      </c>
      <c r="W247" s="12">
        <f>'Inputs (2)'!R42</f>
        <v>0</v>
      </c>
      <c r="X247" s="46">
        <f>'Inputs (2)'!S42</f>
        <v>0</v>
      </c>
      <c r="Y247" s="46">
        <f>'Inputs (2)'!T42</f>
        <v>0</v>
      </c>
      <c r="Z247" s="46">
        <f>'Inputs (2)'!U42</f>
        <v>0</v>
      </c>
      <c r="AA247" s="46">
        <f>'Inputs (2)'!V42</f>
        <v>0</v>
      </c>
      <c r="AB247" s="12">
        <f>'Inputs (2)'!W42</f>
        <v>0</v>
      </c>
      <c r="AC247" s="46">
        <f>'Inputs (2)'!X42</f>
        <v>0</v>
      </c>
      <c r="AD247" s="46">
        <f>'Inputs (2)'!Y42</f>
        <v>0</v>
      </c>
      <c r="AE247" s="46">
        <f>'Inputs (2)'!Z42</f>
        <v>0</v>
      </c>
      <c r="AF247" s="46">
        <f>'Inputs (2)'!AA42</f>
        <v>0</v>
      </c>
      <c r="AG247" s="12">
        <f>'Inputs (2)'!AB42</f>
        <v>0</v>
      </c>
      <c r="AH247" s="12">
        <f>'Inputs (2)'!AC42</f>
        <v>0</v>
      </c>
      <c r="AI247" s="12">
        <f>'Inputs (2)'!AD42</f>
        <v>0</v>
      </c>
      <c r="AJ247" s="12">
        <f>AI247</f>
        <v>0</v>
      </c>
      <c r="AK247" s="12">
        <f>AJ247</f>
        <v>0</v>
      </c>
      <c r="AL247" s="12">
        <f>AK247</f>
        <v>0</v>
      </c>
      <c r="AM247" s="12">
        <f>AL247</f>
        <v>0</v>
      </c>
      <c r="AN247" s="12">
        <f>AM247</f>
        <v>0</v>
      </c>
      <c r="AO247" s="12">
        <f>AN247</f>
        <v>0</v>
      </c>
      <c r="AP247" s="12">
        <f>AO247</f>
        <v>0</v>
      </c>
      <c r="AQ247" s="12">
        <f>AP247</f>
        <v>0</v>
      </c>
      <c r="AR247" s="12">
        <f>AQ247</f>
        <v>0</v>
      </c>
      <c r="AS247" s="12">
        <f>AR247</f>
        <v>0</v>
      </c>
      <c r="AT247" s="12">
        <f>AS247</f>
        <v>0</v>
      </c>
      <c r="AU247" s="12">
        <f>AT247</f>
        <v>0</v>
      </c>
      <c r="AV247" s="12">
        <f>AU247</f>
        <v>0</v>
      </c>
      <c r="AW247" s="12">
        <f>AV247</f>
        <v>0</v>
      </c>
      <c r="AX247" s="12">
        <f>AW247</f>
        <v>0</v>
      </c>
      <c r="AY247" s="12">
        <f>AX247</f>
        <v>0</v>
      </c>
      <c r="AZ247" s="12">
        <f>AY247</f>
        <v>0</v>
      </c>
      <c r="BA247" s="12">
        <f>AZ247</f>
        <v>0</v>
      </c>
      <c r="BB247" s="12">
        <f>BA247</f>
        <v>0</v>
      </c>
      <c r="BC247" s="12">
        <f>BB247</f>
        <v>0</v>
      </c>
      <c r="BD247" s="12">
        <f>BC247</f>
        <v>0</v>
      </c>
      <c r="BE247" s="12">
        <f>BD247</f>
        <v>0</v>
      </c>
      <c r="BF247" s="12">
        <f>BE247</f>
        <v>0</v>
      </c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>
      <c r="C248" s="13" t="inlineStr">
        <is>
          <t>Common Stock and APIC</t>
        </is>
      </c>
      <c r="D248" s="46" t="n"/>
      <c r="E248" s="46" t="n"/>
      <c r="F248" s="46" t="n"/>
      <c r="G248" s="46" t="n"/>
      <c r="H248" s="12" t="n"/>
      <c r="I248" s="46">
        <f>'Inputs (2)'!D43</f>
        <v>3600.084</v>
      </c>
      <c r="J248" s="46">
        <f>'Inputs (2)'!E43</f>
        <v>3721.246</v>
      </c>
      <c r="K248" s="46">
        <f>'Inputs (2)'!F43</f>
        <v>3852.531</v>
      </c>
      <c r="L248" s="46">
        <f>'Inputs (2)'!G43</f>
        <v>4024.561</v>
      </c>
      <c r="M248" s="12">
        <f>'Inputs (2)'!H43</f>
        <v>4024.561</v>
      </c>
      <c r="N248" s="46">
        <f>'Inputs (2)'!I43</f>
        <v>4155.58</v>
      </c>
      <c r="O248" s="46">
        <f>'Inputs (2)'!J43</f>
        <v>4316.87</v>
      </c>
      <c r="P248" s="46">
        <f>'Inputs (2)'!K43</f>
        <v>4473.962</v>
      </c>
      <c r="Q248" s="46">
        <f>'Inputs (2)'!L43</f>
        <v>4637.601</v>
      </c>
      <c r="R248" s="12">
        <f>'Inputs (2)'!M43</f>
        <v>4637.601</v>
      </c>
      <c r="S248" s="46">
        <f>'Inputs (2)'!N43</f>
        <v>4762.395</v>
      </c>
      <c r="T248" s="46">
        <f>'Inputs (2)'!O43</f>
        <v>4874.208</v>
      </c>
      <c r="U248" s="46">
        <f>'Inputs (2)'!P43</f>
        <v>5011.427</v>
      </c>
      <c r="V248" s="46">
        <f>'Inputs (2)'!Q43</f>
        <v>5145.172</v>
      </c>
      <c r="W248" s="12">
        <f>'Inputs (2)'!R43</f>
        <v>5145.172</v>
      </c>
      <c r="X248" s="46">
        <f>'Inputs (2)'!S43</f>
        <v>5489.85</v>
      </c>
      <c r="Y248" s="46">
        <f>'Inputs (2)'!T43</f>
        <v>5680.061</v>
      </c>
      <c r="Z248" s="46">
        <f>'Inputs (2)'!U43</f>
        <v>5887.903</v>
      </c>
      <c r="AA248" s="46">
        <f>'Inputs (2)'!V43</f>
        <v>6252.126</v>
      </c>
      <c r="AB248" s="12">
        <f>'Inputs (2)'!W43</f>
        <v>6252.126</v>
      </c>
      <c r="AC248" s="46">
        <f>'Inputs (2)'!X43</f>
        <v>6677.469</v>
      </c>
      <c r="AD248" s="46">
        <f>'Inputs (2)'!Y43</f>
        <v>6932.828</v>
      </c>
      <c r="AE248" s="46">
        <f>'Inputs (2)'!Z43</f>
        <v>7080.325</v>
      </c>
      <c r="AF248" s="46">
        <f>'Inputs (2)'!AA43</f>
        <v>7286.41</v>
      </c>
      <c r="AG248" s="12">
        <f>'Inputs (2)'!AB43</f>
        <v>7286.41</v>
      </c>
      <c r="AH248" s="12">
        <f>'Inputs (2)'!AC43</f>
        <v>7478.495</v>
      </c>
      <c r="AI248" s="12">
        <f>'Inputs (2)'!AD43</f>
        <v>7670.503</v>
      </c>
      <c r="AJ248" s="12">
        <f>AI248+AJ252</f>
        <v>7670.503</v>
      </c>
      <c r="AK248" s="12">
        <f>AJ248+AK252</f>
        <v>7670.503</v>
      </c>
      <c r="AL248" s="12">
        <f>AK248</f>
        <v>7670.503</v>
      </c>
      <c r="AM248" s="12">
        <f>AL248+AM252</f>
        <v>7670.503</v>
      </c>
      <c r="AN248" s="12">
        <f>AM248+AN252</f>
        <v>7670.503</v>
      </c>
      <c r="AO248" s="12">
        <f>AN248+AO252</f>
        <v>7670.503</v>
      </c>
      <c r="AP248" s="12">
        <f>AO248+AP252</f>
        <v>7670.503</v>
      </c>
      <c r="AQ248" s="12">
        <f>AP248</f>
        <v>7670.503</v>
      </c>
      <c r="AR248" s="12">
        <f>AQ248+AR252</f>
        <v>7670.503</v>
      </c>
      <c r="AS248" s="12">
        <f>AR248+AS252</f>
        <v>7670.503</v>
      </c>
      <c r="AT248" s="12">
        <f>AS248+AT252</f>
        <v>7670.503</v>
      </c>
      <c r="AU248" s="12">
        <f>AT248+AU252</f>
        <v>7670.503</v>
      </c>
      <c r="AV248" s="12">
        <f>AU248</f>
        <v>7670.503</v>
      </c>
      <c r="AW248" s="12">
        <f>AV248+AW252</f>
        <v>7670.503</v>
      </c>
      <c r="AX248" s="12">
        <f>AW248+AX252</f>
        <v>7670.503</v>
      </c>
      <c r="AY248" s="12">
        <f>AX248+AY252</f>
        <v>7670.503</v>
      </c>
      <c r="AZ248" s="12">
        <f>AY248+AZ252</f>
        <v>7670.503</v>
      </c>
      <c r="BA248" s="12">
        <f>AZ248</f>
        <v>7670.503</v>
      </c>
      <c r="BB248" s="12">
        <f>BA248+BB252</f>
        <v>7670.503</v>
      </c>
      <c r="BC248" s="12">
        <f>BB248+BC252</f>
        <v>7670.503</v>
      </c>
      <c r="BD248" s="12">
        <f>BC248+BD252</f>
        <v>7670.503</v>
      </c>
      <c r="BE248" s="12">
        <f>BD248+BE252</f>
        <v>7670.503</v>
      </c>
      <c r="BF248" s="12">
        <f>BE248</f>
        <v>7670.503</v>
      </c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hidden="1" outlineLevel="1" customFormat="1" s="66">
      <c r="A249" s="37" t="n"/>
      <c r="B249" s="37" t="n"/>
      <c r="C249" s="67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  <c r="AO249" s="42" t="n"/>
      <c r="AP249" s="42" t="n"/>
      <c r="AQ249" s="42" t="n"/>
      <c r="AR249" s="42" t="n"/>
      <c r="AS249" s="42" t="n"/>
      <c r="AT249" s="42" t="n"/>
      <c r="AU249" s="42" t="n"/>
      <c r="AV249" s="42" t="n"/>
      <c r="AW249" s="42" t="n"/>
      <c r="AX249" s="42" t="n"/>
      <c r="AY249" s="42" t="n"/>
      <c r="AZ249" s="42" t="n"/>
      <c r="BA249" s="42" t="n"/>
      <c r="BB249" s="42" t="n"/>
      <c r="BC249" s="42" t="n"/>
      <c r="BD249" s="42" t="n"/>
      <c r="BE249" s="42" t="n"/>
      <c r="BF249" s="42" t="n"/>
      <c r="BG249" s="42" t="n"/>
      <c r="BH249" s="42" t="n"/>
      <c r="BI249" s="42" t="n"/>
      <c r="BJ249" s="42" t="n"/>
      <c r="BK249" s="42" t="n"/>
      <c r="BL249" s="42" t="n"/>
      <c r="BM249" s="42" t="n"/>
      <c r="BN249" s="42" t="n"/>
      <c r="BO249" s="42" t="n"/>
      <c r="BP249" s="42" t="n"/>
      <c r="BQ249" s="42" t="n"/>
      <c r="BR249" s="42" t="n"/>
      <c r="BS249" s="42" t="n"/>
      <c r="BT249" s="42" t="n"/>
      <c r="BU249" s="42" t="n"/>
      <c r="BV249" s="42" t="n"/>
      <c r="BW249" s="42" t="n"/>
      <c r="BX249" s="42" t="n"/>
      <c r="BY249" s="42" t="n"/>
      <c r="BZ249" s="42" t="n"/>
      <c r="CA249" s="42" t="n"/>
      <c r="CB249" s="42" t="n"/>
      <c r="CC249" s="42" t="n"/>
      <c r="CD249" s="42" t="n"/>
      <c r="CE249" s="42" t="n"/>
      <c r="CF249" s="42" t="n"/>
      <c r="CG249" s="42" t="n"/>
      <c r="CH249" s="42" t="n"/>
      <c r="CI249" s="42" t="n"/>
      <c r="CJ249" s="42" t="n"/>
      <c r="CK249" s="42" t="n"/>
      <c r="CL249" s="42" t="n"/>
      <c r="CM249" s="42" t="n"/>
      <c r="CN249" s="42" t="n"/>
      <c r="CO249" s="42" t="n"/>
      <c r="CP249" s="42" t="n"/>
      <c r="CQ249" s="42" t="n"/>
      <c r="CR249" s="42" t="n"/>
      <c r="CS249" s="42" t="n"/>
      <c r="CT249" s="42" t="n"/>
      <c r="CU249" s="42" t="n"/>
      <c r="CV249" s="42" t="n"/>
      <c r="CW249" s="42" t="n"/>
      <c r="CX249" s="42" t="n"/>
      <c r="CY249" s="42" t="n"/>
    </row>
    <row r="250" hidden="1" outlineLevel="1" customFormat="1" s="66">
      <c r="A250" s="37" t="n"/>
      <c r="B250" s="37" t="n"/>
      <c r="C250" s="67" t="inlineStr">
        <is>
          <t>Diluted Shares outstanding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  <c r="AO250" s="42" t="n"/>
      <c r="AP250" s="42" t="n"/>
      <c r="AQ250" s="42" t="n"/>
      <c r="AR250" s="42" t="n"/>
      <c r="AS250" s="42" t="n"/>
      <c r="AT250" s="42" t="n"/>
      <c r="AU250" s="42" t="n"/>
      <c r="AV250" s="42" t="n"/>
      <c r="AW250" s="42" t="n"/>
      <c r="AX250" s="42" t="n"/>
      <c r="AY250" s="42" t="n"/>
      <c r="AZ250" s="42" t="n"/>
      <c r="BA250" s="42" t="n"/>
      <c r="BB250" s="42" t="n"/>
      <c r="BC250" s="42" t="n"/>
      <c r="BD250" s="42" t="n"/>
      <c r="BE250" s="42" t="n"/>
      <c r="BF250" s="42" t="n"/>
      <c r="BG250" s="42" t="n"/>
      <c r="BH250" s="42" t="n"/>
      <c r="BI250" s="42" t="n"/>
      <c r="BJ250" s="42" t="n"/>
      <c r="BK250" s="42" t="n"/>
      <c r="BL250" s="42" t="n"/>
      <c r="BM250" s="42" t="n"/>
      <c r="BN250" s="42" t="n"/>
      <c r="BO250" s="42" t="n"/>
      <c r="BP250" s="42" t="n"/>
      <c r="BQ250" s="42" t="n"/>
      <c r="BR250" s="42" t="n"/>
      <c r="BS250" s="42" t="n"/>
      <c r="BT250" s="42" t="n"/>
      <c r="BU250" s="42" t="n"/>
      <c r="BV250" s="42" t="n"/>
      <c r="BW250" s="42" t="n"/>
      <c r="BX250" s="42" t="n"/>
      <c r="BY250" s="42" t="n"/>
      <c r="BZ250" s="42" t="n"/>
      <c r="CA250" s="42" t="n"/>
      <c r="CB250" s="42" t="n"/>
      <c r="CC250" s="42" t="n"/>
      <c r="CD250" s="42" t="n"/>
      <c r="CE250" s="42" t="n"/>
      <c r="CF250" s="42" t="n"/>
      <c r="CG250" s="42" t="n"/>
      <c r="CH250" s="42" t="n"/>
      <c r="CI250" s="42" t="n"/>
      <c r="CJ250" s="42" t="n"/>
      <c r="CK250" s="42" t="n"/>
      <c r="CL250" s="42" t="n"/>
      <c r="CM250" s="42" t="n"/>
      <c r="CN250" s="42" t="n"/>
      <c r="CO250" s="42" t="n"/>
      <c r="CP250" s="42" t="n"/>
      <c r="CQ250" s="42" t="n"/>
      <c r="CR250" s="42" t="n"/>
      <c r="CS250" s="42" t="n"/>
      <c r="CT250" s="42" t="n"/>
      <c r="CU250" s="42" t="n"/>
      <c r="CV250" s="42" t="n"/>
      <c r="CW250" s="42" t="n"/>
      <c r="CX250" s="42" t="n"/>
      <c r="CY250" s="42" t="n"/>
    </row>
    <row r="251" hidden="1" outlineLevel="1" customFormat="1" s="66">
      <c r="A251" s="37" t="n"/>
      <c r="B251" s="37" t="n"/>
      <c r="C251" s="67" t="inlineStr">
        <is>
          <t>Treasury share $ repurchases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11" t="n"/>
      <c r="AI251" s="11" t="n"/>
      <c r="AJ251" s="11" t="n"/>
      <c r="AK251" s="11" t="n"/>
      <c r="AL251" s="42" t="n"/>
      <c r="AM251" s="11" t="n"/>
      <c r="AN251" s="11" t="n"/>
      <c r="AO251" s="11" t="n"/>
      <c r="AP251" s="11" t="n"/>
      <c r="AQ251" s="42" t="n"/>
      <c r="AR251" s="11" t="n"/>
      <c r="AS251" s="11" t="n"/>
      <c r="AT251" s="11" t="n"/>
      <c r="AU251" s="11" t="n"/>
      <c r="AV251" s="42" t="n"/>
      <c r="AW251" s="11" t="n"/>
      <c r="AX251" s="11" t="n"/>
      <c r="AY251" s="11" t="n"/>
      <c r="AZ251" s="11" t="n"/>
      <c r="BA251" s="42" t="n"/>
      <c r="BB251" s="11" t="n"/>
      <c r="BC251" s="11" t="n"/>
      <c r="BD251" s="11" t="n"/>
      <c r="BE251" s="11" t="n"/>
      <c r="BF251" s="42" t="n"/>
      <c r="BG251" s="11" t="n"/>
      <c r="BH251" s="11" t="n"/>
      <c r="BI251" s="11" t="n"/>
      <c r="BJ251" s="11" t="n"/>
      <c r="BK251" s="42" t="n"/>
      <c r="BL251" s="11" t="n"/>
      <c r="BM251" s="11" t="n"/>
      <c r="BN251" s="11" t="n"/>
      <c r="BO251" s="11" t="n"/>
      <c r="BP251" s="42" t="n"/>
      <c r="BQ251" s="11" t="n"/>
      <c r="BR251" s="11" t="n"/>
      <c r="BS251" s="11" t="n"/>
      <c r="BT251" s="11" t="n"/>
      <c r="BU251" s="42" t="n"/>
      <c r="BV251" s="11" t="n"/>
      <c r="BW251" s="11" t="n"/>
      <c r="BX251" s="11" t="n"/>
      <c r="BY251" s="11" t="n"/>
      <c r="BZ251" s="42" t="n"/>
      <c r="CA251" s="11" t="n"/>
      <c r="CB251" s="11" t="n"/>
      <c r="CC251" s="11" t="n"/>
      <c r="CD251" s="11" t="n"/>
      <c r="CE251" s="42" t="n"/>
      <c r="CF251" s="11" t="n"/>
      <c r="CG251" s="11" t="n"/>
      <c r="CH251" s="11" t="n"/>
      <c r="CI251" s="11" t="n"/>
      <c r="CJ251" s="42" t="n"/>
      <c r="CK251" s="11" t="n"/>
      <c r="CL251" s="11" t="n"/>
      <c r="CM251" s="11" t="n"/>
      <c r="CN251" s="11" t="n"/>
      <c r="CO251" s="42" t="n"/>
      <c r="CP251" s="11" t="n"/>
      <c r="CQ251" s="11" t="n"/>
      <c r="CR251" s="11" t="n"/>
      <c r="CS251" s="11" t="n"/>
      <c r="CT251" s="42" t="n"/>
      <c r="CU251" s="11" t="n"/>
      <c r="CV251" s="11" t="n"/>
      <c r="CW251" s="11" t="n"/>
      <c r="CX251" s="11" t="n"/>
      <c r="CY251" s="42" t="n"/>
    </row>
    <row r="252" hidden="1" outlineLevel="1" customFormat="1" s="66">
      <c r="A252" s="37" t="n"/>
      <c r="B252" s="37" t="n"/>
      <c r="C252" s="67" t="inlineStr">
        <is>
          <t>Value of shares issued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11" t="n"/>
      <c r="AI252" s="11" t="n"/>
      <c r="AJ252" s="11" t="n"/>
      <c r="AK252" s="11" t="n"/>
      <c r="AL252" s="42" t="n"/>
      <c r="AM252" s="11" t="n"/>
      <c r="AN252" s="11" t="n"/>
      <c r="AO252" s="11" t="n"/>
      <c r="AP252" s="11" t="n"/>
      <c r="AQ252" s="42" t="n"/>
      <c r="AR252" s="11" t="n"/>
      <c r="AS252" s="11" t="n"/>
      <c r="AT252" s="11" t="n"/>
      <c r="AU252" s="11" t="n"/>
      <c r="AV252" s="42" t="n"/>
      <c r="AW252" s="11" t="n"/>
      <c r="AX252" s="11" t="n"/>
      <c r="AY252" s="11" t="n"/>
      <c r="AZ252" s="11" t="n"/>
      <c r="BA252" s="42" t="n"/>
      <c r="BB252" s="11" t="n"/>
      <c r="BC252" s="11" t="n"/>
      <c r="BD252" s="11" t="n"/>
      <c r="BE252" s="11" t="n"/>
      <c r="BF252" s="42" t="n"/>
      <c r="BG252" s="11" t="n"/>
      <c r="BH252" s="11" t="n"/>
      <c r="BI252" s="11" t="n"/>
      <c r="BJ252" s="11" t="n"/>
      <c r="BK252" s="42" t="n"/>
      <c r="BL252" s="11" t="n"/>
      <c r="BM252" s="11" t="n"/>
      <c r="BN252" s="11" t="n"/>
      <c r="BO252" s="11" t="n"/>
      <c r="BP252" s="42" t="n"/>
      <c r="BQ252" s="11" t="n"/>
      <c r="BR252" s="11" t="n"/>
      <c r="BS252" s="11" t="n"/>
      <c r="BT252" s="11" t="n"/>
      <c r="BU252" s="42" t="n"/>
      <c r="BV252" s="11" t="n"/>
      <c r="BW252" s="11" t="n"/>
      <c r="BX252" s="11" t="n"/>
      <c r="BY252" s="11" t="n"/>
      <c r="BZ252" s="42" t="n"/>
      <c r="CA252" s="11" t="n"/>
      <c r="CB252" s="11" t="n"/>
      <c r="CC252" s="11" t="n"/>
      <c r="CD252" s="11" t="n"/>
      <c r="CE252" s="42" t="n"/>
      <c r="CF252" s="11" t="n"/>
      <c r="CG252" s="11" t="n"/>
      <c r="CH252" s="11" t="n"/>
      <c r="CI252" s="11" t="n"/>
      <c r="CJ252" s="42" t="n"/>
      <c r="CK252" s="11" t="n"/>
      <c r="CL252" s="11" t="n"/>
      <c r="CM252" s="11" t="n"/>
      <c r="CN252" s="11" t="n"/>
      <c r="CO252" s="42" t="n"/>
      <c r="CP252" s="11" t="n"/>
      <c r="CQ252" s="11" t="n"/>
      <c r="CR252" s="11" t="n"/>
      <c r="CS252" s="11" t="n"/>
      <c r="CT252" s="42" t="n"/>
      <c r="CU252" s="11" t="n"/>
      <c r="CV252" s="11" t="n"/>
      <c r="CW252" s="11" t="n"/>
      <c r="CX252" s="11" t="n"/>
      <c r="CY252" s="42" t="n"/>
    </row>
    <row r="253" hidden="1" outlineLevel="1" customFormat="1" s="66">
      <c r="A253" s="37" t="n"/>
      <c r="B253" s="37" t="n"/>
      <c r="C253" s="67" t="inlineStr">
        <is>
          <t>Expected average share price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68">
        <f>AF253*(1+AH254)</f>
        <v>0</v>
      </c>
      <c r="AI253" s="68">
        <f>AH253*(1+AI254)</f>
        <v>0</v>
      </c>
      <c r="AJ253" s="68">
        <f>AH253*(1+AJ254)</f>
        <v>0</v>
      </c>
      <c r="AK253" s="68">
        <f>AJ253*(1+AK254)</f>
        <v>0</v>
      </c>
      <c r="AL253" s="42" t="n"/>
      <c r="AM253" s="68">
        <f>AK253*(1+AM254)</f>
        <v>0</v>
      </c>
      <c r="AN253" s="68">
        <f>AM253*(1+AN254)</f>
        <v>0</v>
      </c>
      <c r="AO253" s="68">
        <f>AM253*(1+AO254)</f>
        <v>0</v>
      </c>
      <c r="AP253" s="68">
        <f>AO253*(1+AP254)</f>
        <v>0</v>
      </c>
      <c r="AQ253" s="42" t="n"/>
      <c r="AR253" s="68">
        <f>AP253*(1+AR254)</f>
        <v>0</v>
      </c>
      <c r="AS253" s="68">
        <f>AR253*(1+AS254)</f>
        <v>0</v>
      </c>
      <c r="AT253" s="68">
        <f>AR253*(1+AT254)</f>
        <v>0</v>
      </c>
      <c r="AU253" s="68">
        <f>AT253*(1+AU254)</f>
        <v>0</v>
      </c>
      <c r="AV253" s="42" t="n"/>
      <c r="AW253" s="68">
        <f>AU253*(1+AW254)</f>
        <v>0</v>
      </c>
      <c r="AX253" s="68">
        <f>AW253*(1+AX254)</f>
        <v>0</v>
      </c>
      <c r="AY253" s="68">
        <f>AW253*(1+AY254)</f>
        <v>0</v>
      </c>
      <c r="AZ253" s="68">
        <f>AY253*(1+AZ254)</f>
        <v>0</v>
      </c>
      <c r="BA253" s="42" t="n"/>
      <c r="BB253" s="68">
        <f>AZ253*(1+BB254)</f>
        <v>0</v>
      </c>
      <c r="BC253" s="68">
        <f>BB253*(1+BC254)</f>
        <v>0</v>
      </c>
      <c r="BD253" s="68">
        <f>BB253*(1+BD254)</f>
        <v>0</v>
      </c>
      <c r="BE253" s="68">
        <f>BD253*(1+BE254)</f>
        <v>0</v>
      </c>
      <c r="BF253" s="42" t="n"/>
      <c r="BG253" s="68" t="n"/>
      <c r="BH253" s="68" t="n"/>
      <c r="BI253" s="68" t="n"/>
      <c r="BJ253" s="68" t="n"/>
      <c r="BK253" s="42" t="n"/>
      <c r="BL253" s="68" t="n"/>
      <c r="BM253" s="68" t="n"/>
      <c r="BN253" s="68" t="n"/>
      <c r="BO253" s="68" t="n"/>
      <c r="BP253" s="42" t="n"/>
      <c r="BQ253" s="68" t="n"/>
      <c r="BR253" s="68" t="n"/>
      <c r="BS253" s="68" t="n"/>
      <c r="BT253" s="68" t="n"/>
      <c r="BU253" s="42" t="n"/>
      <c r="BV253" s="68" t="n"/>
      <c r="BW253" s="68" t="n"/>
      <c r="BX253" s="68" t="n"/>
      <c r="BY253" s="68" t="n"/>
      <c r="BZ253" s="42" t="n"/>
      <c r="CA253" s="68" t="n"/>
      <c r="CB253" s="68" t="n"/>
      <c r="CC253" s="68" t="n"/>
      <c r="CD253" s="68" t="n"/>
      <c r="CE253" s="42" t="n"/>
      <c r="CF253" s="68" t="n"/>
      <c r="CG253" s="68" t="n"/>
      <c r="CH253" s="68" t="n"/>
      <c r="CI253" s="68" t="n"/>
      <c r="CJ253" s="42" t="n"/>
      <c r="CK253" s="68" t="n"/>
      <c r="CL253" s="68" t="n"/>
      <c r="CM253" s="68" t="n"/>
      <c r="CN253" s="68" t="n"/>
      <c r="CO253" s="42" t="n"/>
      <c r="CP253" s="68" t="n"/>
      <c r="CQ253" s="68" t="n"/>
      <c r="CR253" s="68" t="n"/>
      <c r="CS253" s="68" t="n"/>
      <c r="CT253" s="42" t="n"/>
      <c r="CU253" s="68" t="n"/>
      <c r="CV253" s="68" t="n"/>
      <c r="CW253" s="68" t="n"/>
      <c r="CX253" s="68" t="n"/>
      <c r="CY253" s="42" t="n"/>
    </row>
    <row r="254" hidden="1" outlineLevel="1" customFormat="1" s="66">
      <c r="A254" s="37" t="n"/>
      <c r="B254" s="37" t="n"/>
      <c r="C254" s="67" t="inlineStr">
        <is>
          <t>Consensus EPS growth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58">
        <f>$AL$259</f>
        <v>0</v>
      </c>
      <c r="AI254" s="58">
        <f>$AL$259</f>
        <v>0</v>
      </c>
      <c r="AJ254" s="58">
        <f>$AL$259</f>
        <v>0</v>
      </c>
      <c r="AK254" s="58">
        <f>$AL$259</f>
        <v>0</v>
      </c>
      <c r="AL254" s="42" t="n"/>
      <c r="AM254" s="58">
        <f>$AL$259</f>
        <v>0</v>
      </c>
      <c r="AN254" s="58">
        <f>$AL$259</f>
        <v>0</v>
      </c>
      <c r="AO254" s="58">
        <f>$AL$259</f>
        <v>0</v>
      </c>
      <c r="AP254" s="58">
        <f>$AL$259</f>
        <v>0</v>
      </c>
      <c r="AQ254" s="42" t="n"/>
      <c r="AR254" s="58">
        <f>$AL$259</f>
        <v>0</v>
      </c>
      <c r="AS254" s="58">
        <f>$AL$259</f>
        <v>0</v>
      </c>
      <c r="AT254" s="58">
        <f>$AL$259</f>
        <v>0</v>
      </c>
      <c r="AU254" s="58">
        <f>$AL$259</f>
        <v>0</v>
      </c>
      <c r="AV254" s="42" t="n"/>
      <c r="AW254" s="58">
        <f>$AL$259</f>
        <v>0</v>
      </c>
      <c r="AX254" s="58">
        <f>$AL$259</f>
        <v>0</v>
      </c>
      <c r="AY254" s="58">
        <f>$AL$259</f>
        <v>0</v>
      </c>
      <c r="AZ254" s="58">
        <f>$AL$259</f>
        <v>0</v>
      </c>
      <c r="BA254" s="42" t="n"/>
      <c r="BB254" s="58">
        <f>$AL$259</f>
        <v>0</v>
      </c>
      <c r="BC254" s="58">
        <f>$AL$259</f>
        <v>0</v>
      </c>
      <c r="BD254" s="58">
        <f>$AL$259</f>
        <v>0</v>
      </c>
      <c r="BE254" s="58">
        <f>$AL$259</f>
        <v>0</v>
      </c>
      <c r="BF254" s="42" t="n"/>
      <c r="BG254" s="58" t="n"/>
      <c r="BH254" s="58" t="n"/>
      <c r="BI254" s="58" t="n"/>
      <c r="BJ254" s="58" t="n"/>
      <c r="BK254" s="42" t="n"/>
      <c r="BL254" s="58" t="n"/>
      <c r="BM254" s="58" t="n"/>
      <c r="BN254" s="58" t="n"/>
      <c r="BO254" s="58" t="n"/>
      <c r="BP254" s="42" t="n"/>
      <c r="BQ254" s="58" t="n"/>
      <c r="BR254" s="58" t="n"/>
      <c r="BS254" s="58" t="n"/>
      <c r="BT254" s="58" t="n"/>
      <c r="BU254" s="42" t="n"/>
      <c r="BV254" s="58" t="n"/>
      <c r="BW254" s="58" t="n"/>
      <c r="BX254" s="58" t="n"/>
      <c r="BY254" s="58" t="n"/>
      <c r="BZ254" s="42" t="n"/>
      <c r="CA254" s="58" t="n"/>
      <c r="CB254" s="58" t="n"/>
      <c r="CC254" s="58" t="n"/>
      <c r="CD254" s="58" t="n"/>
      <c r="CE254" s="42" t="n"/>
      <c r="CF254" s="58" t="n"/>
      <c r="CG254" s="58" t="n"/>
      <c r="CH254" s="58" t="n"/>
      <c r="CI254" s="58" t="n"/>
      <c r="CJ254" s="42" t="n"/>
      <c r="CK254" s="58" t="n"/>
      <c r="CL254" s="58" t="n"/>
      <c r="CM254" s="58" t="n"/>
      <c r="CN254" s="58" t="n"/>
      <c r="CO254" s="42" t="n"/>
      <c r="CP254" s="58" t="n"/>
      <c r="CQ254" s="58" t="n"/>
      <c r="CR254" s="58" t="n"/>
      <c r="CS254" s="58" t="n"/>
      <c r="CT254" s="42" t="n"/>
      <c r="CU254" s="58" t="n"/>
      <c r="CV254" s="58" t="n"/>
      <c r="CW254" s="58" t="n"/>
      <c r="CX254" s="58" t="n"/>
      <c r="CY254" s="42" t="n"/>
    </row>
    <row r="255" hidden="1" outlineLevel="1" customFormat="1" s="66">
      <c r="A255" s="37" t="n"/>
      <c r="B255" s="37" t="n"/>
      <c r="C255" s="67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12" t="n"/>
      <c r="AI255" s="12" t="n"/>
      <c r="AJ255" s="12" t="n"/>
      <c r="AK255" s="12" t="n"/>
      <c r="AL255" s="42" t="n"/>
      <c r="AM255" s="12" t="n"/>
      <c r="AN255" s="12" t="n"/>
      <c r="AO255" s="12" t="n"/>
      <c r="AP255" s="12" t="n"/>
      <c r="AQ255" s="42" t="n"/>
      <c r="AR255" s="12" t="n"/>
      <c r="AS255" s="12" t="n"/>
      <c r="AT255" s="12" t="n"/>
      <c r="AU255" s="12" t="n"/>
      <c r="AV255" s="42" t="n"/>
      <c r="AW255" s="12" t="n"/>
      <c r="AX255" s="12" t="n"/>
      <c r="AY255" s="12" t="n"/>
      <c r="AZ255" s="12" t="n"/>
      <c r="BA255" s="42" t="n"/>
      <c r="BB255" s="12" t="n"/>
      <c r="BC255" s="12" t="n"/>
      <c r="BD255" s="12" t="n"/>
      <c r="BE255" s="12" t="n"/>
      <c r="BF255" s="42" t="n"/>
      <c r="BG255" s="12" t="n"/>
      <c r="BH255" s="12" t="n"/>
      <c r="BI255" s="12" t="n"/>
      <c r="BJ255" s="12" t="n"/>
      <c r="BK255" s="42" t="n"/>
      <c r="BL255" s="12" t="n"/>
      <c r="BM255" s="12" t="n"/>
      <c r="BN255" s="12" t="n"/>
      <c r="BO255" s="12" t="n"/>
      <c r="BP255" s="42" t="n"/>
      <c r="BQ255" s="12" t="n"/>
      <c r="BR255" s="12" t="n"/>
      <c r="BS255" s="12" t="n"/>
      <c r="BT255" s="12" t="n"/>
      <c r="BU255" s="42" t="n"/>
      <c r="BV255" s="12" t="n"/>
      <c r="BW255" s="12" t="n"/>
      <c r="BX255" s="12" t="n"/>
      <c r="BY255" s="12" t="n"/>
      <c r="BZ255" s="42" t="n"/>
      <c r="CA255" s="12" t="n"/>
      <c r="CB255" s="12" t="n"/>
      <c r="CC255" s="12" t="n"/>
      <c r="CD255" s="12" t="n"/>
      <c r="CE255" s="42" t="n"/>
      <c r="CF255" s="12" t="n"/>
      <c r="CG255" s="12" t="n"/>
      <c r="CH255" s="12" t="n"/>
      <c r="CI255" s="12" t="n"/>
      <c r="CJ255" s="42" t="n"/>
      <c r="CK255" s="12" t="n"/>
      <c r="CL255" s="12" t="n"/>
      <c r="CM255" s="12" t="n"/>
      <c r="CN255" s="12" t="n"/>
      <c r="CO255" s="42" t="n"/>
      <c r="CP255" s="12" t="n"/>
      <c r="CQ255" s="12" t="n"/>
      <c r="CR255" s="12" t="n"/>
      <c r="CS255" s="12" t="n"/>
      <c r="CT255" s="42" t="n"/>
      <c r="CU255" s="12" t="n"/>
      <c r="CV255" s="12" t="n"/>
      <c r="CW255" s="12" t="n"/>
      <c r="CX255" s="12" t="n"/>
      <c r="CY255" s="42" t="n"/>
    </row>
    <row r="256" hidden="1" outlineLevel="1" customFormat="1" s="66">
      <c r="A256" s="37" t="n"/>
      <c r="B256" s="37" t="n"/>
      <c r="C256" s="67" t="inlineStr">
        <is>
          <t>Shares repurchased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69" t="str">
        <f>IFERROR(-AH251/AH253,"")</f>
        <v/>
      </c>
      <c r="AI256" s="69" t="str">
        <f>IFERROR(-AI251/AI253,"")</f>
        <v/>
      </c>
      <c r="AJ256" s="69" t="str">
        <f>IFERROR(-AJ251/AJ253,"")</f>
        <v/>
      </c>
      <c r="AK256" s="69" t="str">
        <f>IFERROR(-AK251/AK253,"")</f>
        <v/>
      </c>
      <c r="AL256" s="42" t="n"/>
      <c r="AM256" s="69" t="str">
        <f>IFERROR(-AM251/AM253,"")</f>
        <v/>
      </c>
      <c r="AN256" s="69" t="str">
        <f>IFERROR(-AN251/AN253,"")</f>
        <v/>
      </c>
      <c r="AO256" s="69" t="str">
        <f>IFERROR(-AO251/AO253,"")</f>
        <v/>
      </c>
      <c r="AP256" s="69" t="str">
        <f>IFERROR(-AP251/AP253,"")</f>
        <v/>
      </c>
      <c r="AQ256" s="42" t="n"/>
      <c r="AR256" s="69" t="str">
        <f>IFERROR(-AR251/AR253,"")</f>
        <v/>
      </c>
      <c r="AS256" s="69" t="str">
        <f>IFERROR(-AS251/AS253,"")</f>
        <v/>
      </c>
      <c r="AT256" s="69" t="str">
        <f>IFERROR(-AT251/AT253,"")</f>
        <v/>
      </c>
      <c r="AU256" s="69" t="str">
        <f>IFERROR(-AU251/AU253,"")</f>
        <v/>
      </c>
      <c r="AV256" s="42" t="n"/>
      <c r="AW256" s="69" t="str">
        <f>IFERROR(-AW251/AW253,"")</f>
        <v/>
      </c>
      <c r="AX256" s="69" t="str">
        <f>IFERROR(-AX251/AX253,"")</f>
        <v/>
      </c>
      <c r="AY256" s="69" t="str">
        <f>IFERROR(-AY251/AY253,"")</f>
        <v/>
      </c>
      <c r="AZ256" s="69" t="str">
        <f>IFERROR(-AZ251/AZ253,"")</f>
        <v/>
      </c>
      <c r="BA256" s="42" t="n"/>
      <c r="BB256" s="69" t="str">
        <f>IFERROR(-BB251/BB253,"")</f>
        <v/>
      </c>
      <c r="BC256" s="69" t="str">
        <f>IFERROR(-BC251/BC253,"")</f>
        <v/>
      </c>
      <c r="BD256" s="69" t="str">
        <f>IFERROR(-BD251/BD253,"")</f>
        <v/>
      </c>
      <c r="BE256" s="69" t="str">
        <f>IFERROR(-BE251/BE253,"")</f>
        <v/>
      </c>
      <c r="BF256" s="42" t="n"/>
      <c r="BG256" s="69" t="n"/>
      <c r="BH256" s="69" t="n"/>
      <c r="BI256" s="69" t="n"/>
      <c r="BJ256" s="69" t="n"/>
      <c r="BK256" s="42" t="n"/>
      <c r="BL256" s="69" t="n"/>
      <c r="BM256" s="69" t="n"/>
      <c r="BN256" s="69" t="n"/>
      <c r="BO256" s="69" t="n"/>
      <c r="BP256" s="42" t="n"/>
      <c r="BQ256" s="69" t="n"/>
      <c r="BR256" s="69" t="n"/>
      <c r="BS256" s="69" t="n"/>
      <c r="BT256" s="69" t="n"/>
      <c r="BU256" s="42" t="n"/>
      <c r="BV256" s="69" t="n"/>
      <c r="BW256" s="69" t="n"/>
      <c r="BX256" s="69" t="n"/>
      <c r="BY256" s="69" t="n"/>
      <c r="BZ256" s="42" t="n"/>
      <c r="CA256" s="69" t="n"/>
      <c r="CB256" s="69" t="n"/>
      <c r="CC256" s="69" t="n"/>
      <c r="CD256" s="69" t="n"/>
      <c r="CE256" s="42" t="n"/>
      <c r="CF256" s="69" t="n"/>
      <c r="CG256" s="69" t="n"/>
      <c r="CH256" s="69" t="n"/>
      <c r="CI256" s="69" t="n"/>
      <c r="CJ256" s="42" t="n"/>
      <c r="CK256" s="69" t="n"/>
      <c r="CL256" s="69" t="n"/>
      <c r="CM256" s="69" t="n"/>
      <c r="CN256" s="69" t="n"/>
      <c r="CO256" s="42" t="n"/>
      <c r="CP256" s="69" t="n"/>
      <c r="CQ256" s="69" t="n"/>
      <c r="CR256" s="69" t="n"/>
      <c r="CS256" s="69" t="n"/>
      <c r="CT256" s="42" t="n"/>
      <c r="CU256" s="69" t="n"/>
      <c r="CV256" s="69" t="n"/>
      <c r="CW256" s="69" t="n"/>
      <c r="CX256" s="69" t="n"/>
      <c r="CY256" s="42" t="n"/>
    </row>
    <row r="257" hidden="1" outlineLevel="1" customFormat="1" s="66">
      <c r="A257" s="37" t="n"/>
      <c r="B257" s="37" t="n"/>
      <c r="C257" s="67" t="inlineStr">
        <is>
          <t>Shares issued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9" t="n"/>
      <c r="AG257" s="42" t="n"/>
      <c r="AH257" s="69" t="str">
        <f>IFERROR(AH252/AH253,"")</f>
        <v/>
      </c>
      <c r="AI257" s="69" t="str">
        <f>IFERROR(AI252/AI253,"")</f>
        <v/>
      </c>
      <c r="AJ257" s="69" t="str">
        <f>IFERROR(AJ252/AJ253,"")</f>
        <v/>
      </c>
      <c r="AK257" s="69" t="str">
        <f>IFERROR(AK252/AK253,"")</f>
        <v/>
      </c>
      <c r="AL257" s="42" t="n"/>
      <c r="AM257" s="69" t="str">
        <f>IFERROR(AM252/AM253,"")</f>
        <v/>
      </c>
      <c r="AN257" s="69" t="str">
        <f>IFERROR(AN252/AN253,"")</f>
        <v/>
      </c>
      <c r="AO257" s="69" t="str">
        <f>IFERROR(AO252/AO253,"")</f>
        <v/>
      </c>
      <c r="AP257" s="69" t="str">
        <f>IFERROR(AP252/AP253,"")</f>
        <v/>
      </c>
      <c r="AQ257" s="42" t="n"/>
      <c r="AR257" s="69" t="str">
        <f>IFERROR(AR252/AR253,"")</f>
        <v/>
      </c>
      <c r="AS257" s="69" t="str">
        <f>IFERROR(AS252/AS253,"")</f>
        <v/>
      </c>
      <c r="AT257" s="69" t="str">
        <f>IFERROR(AT252/AT253,"")</f>
        <v/>
      </c>
      <c r="AU257" s="69" t="str">
        <f>IFERROR(AU252/AU253,"")</f>
        <v/>
      </c>
      <c r="AV257" s="42" t="n"/>
      <c r="AW257" s="69" t="str">
        <f>IFERROR(AW252/AW253,"")</f>
        <v/>
      </c>
      <c r="AX257" s="69" t="str">
        <f>IFERROR(AX252/AX253,"")</f>
        <v/>
      </c>
      <c r="AY257" s="69" t="str">
        <f>IFERROR(AY252/AY253,"")</f>
        <v/>
      </c>
      <c r="AZ257" s="69" t="str">
        <f>IFERROR(AZ252/AZ253,"")</f>
        <v/>
      </c>
      <c r="BA257" s="42" t="n"/>
      <c r="BB257" s="69" t="str">
        <f>IFERROR(BB252/BB253,"")</f>
        <v/>
      </c>
      <c r="BC257" s="69" t="str">
        <f>IFERROR(BC252/BC253,"")</f>
        <v/>
      </c>
      <c r="BD257" s="69" t="str">
        <f>IFERROR(BD252/BD253,"")</f>
        <v/>
      </c>
      <c r="BE257" s="69" t="str">
        <f>IFERROR(BE252/BE253,"")</f>
        <v/>
      </c>
      <c r="BF257" s="42" t="n"/>
      <c r="BG257" s="69" t="n"/>
      <c r="BH257" s="69" t="n"/>
      <c r="BI257" s="69" t="n"/>
      <c r="BJ257" s="69" t="n"/>
      <c r="BK257" s="42" t="n"/>
      <c r="BL257" s="69" t="n"/>
      <c r="BM257" s="69" t="n"/>
      <c r="BN257" s="69" t="n"/>
      <c r="BO257" s="69" t="n"/>
      <c r="BP257" s="42" t="n"/>
      <c r="BQ257" s="69" t="n"/>
      <c r="BR257" s="69" t="n"/>
      <c r="BS257" s="69" t="n"/>
      <c r="BT257" s="69" t="n"/>
      <c r="BU257" s="42" t="n"/>
      <c r="BV257" s="69" t="n"/>
      <c r="BW257" s="69" t="n"/>
      <c r="BX257" s="69" t="n"/>
      <c r="BY257" s="69" t="n"/>
      <c r="BZ257" s="42" t="n"/>
      <c r="CA257" s="69" t="n"/>
      <c r="CB257" s="69" t="n"/>
      <c r="CC257" s="69" t="n"/>
      <c r="CD257" s="69" t="n"/>
      <c r="CE257" s="42" t="n"/>
      <c r="CF257" s="69" t="n"/>
      <c r="CG257" s="69" t="n"/>
      <c r="CH257" s="69" t="n"/>
      <c r="CI257" s="69" t="n"/>
      <c r="CJ257" s="42" t="n"/>
      <c r="CK257" s="69" t="n"/>
      <c r="CL257" s="69" t="n"/>
      <c r="CM257" s="69" t="n"/>
      <c r="CN257" s="69" t="n"/>
      <c r="CO257" s="42" t="n"/>
      <c r="CP257" s="69" t="n"/>
      <c r="CQ257" s="69" t="n"/>
      <c r="CR257" s="69" t="n"/>
      <c r="CS257" s="69" t="n"/>
      <c r="CT257" s="42" t="n"/>
      <c r="CU257" s="69" t="n"/>
      <c r="CV257" s="69" t="n"/>
      <c r="CW257" s="69" t="n"/>
      <c r="CX257" s="69" t="n"/>
      <c r="CY257" s="42" t="n"/>
    </row>
    <row r="258" hidden="1" outlineLevel="1" customFormat="1" s="66">
      <c r="A258" s="37" t="n"/>
      <c r="B258" s="37" t="n"/>
      <c r="C258" s="67" t="inlineStr">
        <is>
          <t>End of period basic shares outstanding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3" t="str">
        <f>IFERROR(AG258+AH257-AH256,"")</f>
        <v/>
      </c>
      <c r="AI258" s="3" t="str">
        <f>IFERROR(AH258+AI257-AI256,"")</f>
        <v/>
      </c>
      <c r="AJ258" s="69" t="str">
        <f>IFERROR(AH258+AJ257-AJ256,"")</f>
        <v/>
      </c>
      <c r="AK258" s="69" t="str">
        <f>IFERROR(AJ258+AK257-AK256,"")</f>
        <v/>
      </c>
      <c r="AL258" s="42" t="n"/>
      <c r="AM258" s="3" t="str">
        <f>IFERROR(AK258+AM257-AM256,"")</f>
        <v/>
      </c>
      <c r="AN258" s="3" t="str">
        <f>IFERROR(AM258+AN257-AN256,"")</f>
        <v/>
      </c>
      <c r="AO258" s="69" t="str">
        <f>IFERROR(AM258+AO257-AO256,"")</f>
        <v/>
      </c>
      <c r="AP258" s="69" t="str">
        <f>IFERROR(AO258+AP257-AP256,"")</f>
        <v/>
      </c>
      <c r="AQ258" s="42" t="n"/>
      <c r="AR258" s="3" t="str">
        <f>IFERROR(AP258+AR257-AR256,"")</f>
        <v/>
      </c>
      <c r="AS258" s="3" t="str">
        <f>IFERROR(AR258+AS257-AS256,"")</f>
        <v/>
      </c>
      <c r="AT258" s="69" t="str">
        <f>IFERROR(AR258+AT257-AT256,"")</f>
        <v/>
      </c>
      <c r="AU258" s="69" t="str">
        <f>IFERROR(AT258+AU257-AU256,"")</f>
        <v/>
      </c>
      <c r="AV258" s="42" t="n"/>
      <c r="AW258" s="3" t="str">
        <f>IFERROR(AU258+AW257-AW256,"")</f>
        <v/>
      </c>
      <c r="AX258" s="3" t="str">
        <f>IFERROR(AW258+AX257-AX256,"")</f>
        <v/>
      </c>
      <c r="AY258" s="69" t="str">
        <f>IFERROR(AW258+AY257-AY256,"")</f>
        <v/>
      </c>
      <c r="AZ258" s="69" t="str">
        <f>IFERROR(AY258+AZ257-AZ256,"")</f>
        <v/>
      </c>
      <c r="BA258" s="42" t="n"/>
      <c r="BB258" s="3" t="str">
        <f>IFERROR(AZ258+BB257-BB256,"")</f>
        <v/>
      </c>
      <c r="BC258" s="3" t="str">
        <f>IFERROR(BB258+BC257-BC256,"")</f>
        <v/>
      </c>
      <c r="BD258" s="69" t="str">
        <f>IFERROR(BB258+BD257-BD256,"")</f>
        <v/>
      </c>
      <c r="BE258" s="69" t="str">
        <f>IFERROR(BD258+BE257-BE256,"")</f>
        <v/>
      </c>
      <c r="BF258" s="42" t="n"/>
      <c r="BG258" s="3" t="n"/>
      <c r="BH258" s="3" t="n"/>
      <c r="BI258" s="69" t="n"/>
      <c r="BJ258" s="69" t="n"/>
      <c r="BK258" s="42" t="n"/>
      <c r="BL258" s="3" t="n"/>
      <c r="BM258" s="3" t="n"/>
      <c r="BN258" s="69" t="n"/>
      <c r="BO258" s="69" t="n"/>
      <c r="BP258" s="42" t="n"/>
      <c r="BQ258" s="3" t="n"/>
      <c r="BR258" s="3" t="n"/>
      <c r="BS258" s="69" t="n"/>
      <c r="BT258" s="69" t="n"/>
      <c r="BU258" s="42" t="n"/>
      <c r="BV258" s="3" t="n"/>
      <c r="BW258" s="3" t="n"/>
      <c r="BX258" s="69" t="n"/>
      <c r="BY258" s="69" t="n"/>
      <c r="BZ258" s="42" t="n"/>
      <c r="CA258" s="3" t="n"/>
      <c r="CB258" s="3" t="n"/>
      <c r="CC258" s="69" t="n"/>
      <c r="CD258" s="69" t="n"/>
      <c r="CE258" s="42" t="n"/>
      <c r="CF258" s="3" t="n"/>
      <c r="CG258" s="3" t="n"/>
      <c r="CH258" s="69" t="n"/>
      <c r="CI258" s="69" t="n"/>
      <c r="CJ258" s="42" t="n"/>
      <c r="CK258" s="3" t="n"/>
      <c r="CL258" s="3" t="n"/>
      <c r="CM258" s="69" t="n"/>
      <c r="CN258" s="69" t="n"/>
      <c r="CO258" s="42" t="n"/>
      <c r="CP258" s="3" t="n"/>
      <c r="CQ258" s="3" t="n"/>
      <c r="CR258" s="69" t="n"/>
      <c r="CS258" s="69" t="n"/>
      <c r="CT258" s="42" t="n"/>
      <c r="CU258" s="3" t="n"/>
      <c r="CV258" s="3" t="n"/>
      <c r="CW258" s="69" t="n"/>
      <c r="CX258" s="69" t="n"/>
      <c r="CY258" s="42" t="n"/>
    </row>
    <row r="259" hidden="1" outlineLevel="1" customFormat="1" s="66">
      <c r="A259" s="37" t="n"/>
      <c r="B259" s="37" t="n"/>
      <c r="C259" s="67" t="inlineStr">
        <is>
          <t>Weighted average basic shares outstanding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69" t="str">
        <f>IFERROR(AVERAGE(AG258,AH258),"")</f>
        <v/>
      </c>
      <c r="AI259" s="69" t="str">
        <f>IFERROR(AVERAGE(AH258,AI258),"")</f>
        <v/>
      </c>
      <c r="AJ259" s="69" t="str">
        <f>IFERROR(AVERAGE(AH258,AJ258),"")</f>
        <v/>
      </c>
      <c r="AK259" s="69" t="str">
        <f>IFERROR(AVERAGE(AJ258,AK258),"")</f>
        <v/>
      </c>
      <c r="AL259" s="42" t="n"/>
      <c r="AM259" s="69" t="str">
        <f>IFERROR(AVERAGE(AL258,AM258),"")</f>
        <v/>
      </c>
      <c r="AN259" s="69" t="str">
        <f>IFERROR(AVERAGE(AM258,AN258),"")</f>
        <v/>
      </c>
      <c r="AO259" s="69" t="str">
        <f>IFERROR(AVERAGE(AM258,AO258),"")</f>
        <v/>
      </c>
      <c r="AP259" s="69" t="str">
        <f>IFERROR(AVERAGE(AO258,AP258),"")</f>
        <v/>
      </c>
      <c r="AQ259" s="42" t="n"/>
      <c r="AR259" s="69" t="str">
        <f>IFERROR(AVERAGE(AQ258,AR258),"")</f>
        <v/>
      </c>
      <c r="AS259" s="69" t="str">
        <f>IFERROR(AVERAGE(AR258,AS258),"")</f>
        <v/>
      </c>
      <c r="AT259" s="69" t="str">
        <f>IFERROR(AVERAGE(AR258,AT258),"")</f>
        <v/>
      </c>
      <c r="AU259" s="69" t="str">
        <f>IFERROR(AVERAGE(AT258,AU258),"")</f>
        <v/>
      </c>
      <c r="AV259" s="42" t="n"/>
      <c r="AW259" s="69" t="str">
        <f>IFERROR(AVERAGE(AV258,AW258),"")</f>
        <v/>
      </c>
      <c r="AX259" s="69" t="str">
        <f>IFERROR(AVERAGE(AW258,AX258),"")</f>
        <v/>
      </c>
      <c r="AY259" s="69" t="str">
        <f>IFERROR(AVERAGE(AW258,AY258),"")</f>
        <v/>
      </c>
      <c r="AZ259" s="69" t="str">
        <f>IFERROR(AVERAGE(AY258,AZ258),"")</f>
        <v/>
      </c>
      <c r="BA259" s="42" t="n"/>
      <c r="BB259" s="69" t="str">
        <f>IFERROR(AVERAGE(BA258,BB258),"")</f>
        <v/>
      </c>
      <c r="BC259" s="69" t="str">
        <f>IFERROR(AVERAGE(BB258,BC258),"")</f>
        <v/>
      </c>
      <c r="BD259" s="69" t="str">
        <f>IFERROR(AVERAGE(BB258,BD258),"")</f>
        <v/>
      </c>
      <c r="BE259" s="69" t="str">
        <f>IFERROR(AVERAGE(BD258,BE258),"")</f>
        <v/>
      </c>
      <c r="BF259" s="42" t="n"/>
      <c r="BG259" s="69" t="n"/>
      <c r="BH259" s="69" t="n"/>
      <c r="BI259" s="69" t="n"/>
      <c r="BJ259" s="69" t="n"/>
      <c r="BK259" s="42" t="n"/>
      <c r="BL259" s="69" t="n"/>
      <c r="BM259" s="69" t="n"/>
      <c r="BN259" s="69" t="n"/>
      <c r="BO259" s="69" t="n"/>
      <c r="BP259" s="42" t="n"/>
      <c r="BQ259" s="69" t="n"/>
      <c r="BR259" s="69" t="n"/>
      <c r="BS259" s="69" t="n"/>
      <c r="BT259" s="69" t="n"/>
      <c r="BU259" s="42" t="n"/>
      <c r="BV259" s="69" t="n"/>
      <c r="BW259" s="69" t="n"/>
      <c r="BX259" s="69" t="n"/>
      <c r="BY259" s="69" t="n"/>
      <c r="BZ259" s="42" t="n"/>
      <c r="CA259" s="69" t="n"/>
      <c r="CB259" s="69" t="n"/>
      <c r="CC259" s="69" t="n"/>
      <c r="CD259" s="69" t="n"/>
      <c r="CE259" s="42" t="n"/>
      <c r="CF259" s="69" t="n"/>
      <c r="CG259" s="69" t="n"/>
      <c r="CH259" s="69" t="n"/>
      <c r="CI259" s="69" t="n"/>
      <c r="CJ259" s="42" t="n"/>
      <c r="CK259" s="69" t="n"/>
      <c r="CL259" s="69" t="n"/>
      <c r="CM259" s="69" t="n"/>
      <c r="CN259" s="69" t="n"/>
      <c r="CO259" s="42" t="n"/>
      <c r="CP259" s="69" t="n"/>
      <c r="CQ259" s="69" t="n"/>
      <c r="CR259" s="69" t="n"/>
      <c r="CS259" s="69" t="n"/>
      <c r="CT259" s="42" t="n"/>
      <c r="CU259" s="69" t="n"/>
      <c r="CV259" s="69" t="n"/>
      <c r="CW259" s="69" t="n"/>
      <c r="CX259" s="69" t="n"/>
      <c r="CY259" s="42" t="n"/>
    </row>
    <row r="260" hidden="1" outlineLevel="1" customFormat="1" s="66">
      <c r="A260" s="37" t="n"/>
      <c r="B260" s="37" t="n"/>
      <c r="C260" s="67" t="n"/>
      <c r="D260" s="42" t="n"/>
      <c r="E260" s="42" t="n"/>
      <c r="F260" s="42" t="n"/>
      <c r="G260" s="42" t="n"/>
      <c r="H260" s="12" t="n"/>
      <c r="I260" s="42" t="n"/>
      <c r="J260" s="42" t="n"/>
      <c r="K260" s="42" t="n"/>
      <c r="L260" s="42" t="n"/>
      <c r="M260" s="12" t="n"/>
      <c r="N260" s="42" t="n"/>
      <c r="O260" s="42" t="n"/>
      <c r="P260" s="42" t="n"/>
      <c r="Q260" s="42" t="n"/>
      <c r="R260" s="12" t="n"/>
      <c r="S260" s="42" t="n"/>
      <c r="T260" s="42" t="n"/>
      <c r="U260" s="42" t="n"/>
      <c r="V260" s="42" t="n"/>
      <c r="W260" s="12" t="n"/>
      <c r="X260" s="42" t="n"/>
      <c r="Y260" s="42" t="n"/>
      <c r="Z260" s="42" t="n"/>
      <c r="AA260" s="42" t="n"/>
      <c r="AB260" s="12" t="n"/>
      <c r="AC260" s="42" t="n"/>
      <c r="AD260" s="42" t="n"/>
      <c r="AE260" s="42" t="n"/>
      <c r="AF260" s="42" t="n"/>
      <c r="AG260" s="12" t="n"/>
      <c r="AH260" s="42" t="n"/>
      <c r="AI260" s="42" t="n"/>
      <c r="AJ260" s="42" t="n"/>
      <c r="AK260" s="42" t="n"/>
      <c r="AL260" s="12" t="n"/>
      <c r="AM260" s="42" t="n"/>
      <c r="AN260" s="42" t="n"/>
      <c r="AO260" s="42" t="n"/>
      <c r="AP260" s="42" t="n"/>
      <c r="AQ260" s="12" t="n"/>
      <c r="AR260" s="42" t="n"/>
      <c r="AS260" s="42" t="n"/>
      <c r="AT260" s="42" t="n"/>
      <c r="AU260" s="42" t="n"/>
      <c r="AV260" s="12" t="n"/>
      <c r="AW260" s="42" t="n"/>
      <c r="AX260" s="42" t="n"/>
      <c r="AY260" s="42" t="n"/>
      <c r="AZ260" s="42" t="n"/>
      <c r="BA260" s="12" t="n"/>
      <c r="BB260" s="42" t="n"/>
      <c r="BC260" s="42" t="n"/>
      <c r="BD260" s="42" t="n"/>
      <c r="BE260" s="42" t="n"/>
      <c r="BF260" s="12" t="n"/>
      <c r="BG260" s="42" t="n"/>
      <c r="BH260" s="42" t="n"/>
      <c r="BI260" s="42" t="n"/>
      <c r="BJ260" s="42" t="n"/>
      <c r="BK260" s="12" t="n"/>
      <c r="BL260" s="42" t="n"/>
      <c r="BM260" s="42" t="n"/>
      <c r="BN260" s="42" t="n"/>
      <c r="BO260" s="42" t="n"/>
      <c r="BP260" s="12" t="n"/>
      <c r="BQ260" s="42" t="n"/>
      <c r="BR260" s="42" t="n"/>
      <c r="BS260" s="42" t="n"/>
      <c r="BT260" s="42" t="n"/>
      <c r="BU260" s="12" t="n"/>
      <c r="BV260" s="42" t="n"/>
      <c r="BW260" s="42" t="n"/>
      <c r="BX260" s="42" t="n"/>
      <c r="BY260" s="42" t="n"/>
      <c r="BZ260" s="12" t="n"/>
      <c r="CA260" s="42" t="n"/>
      <c r="CB260" s="42" t="n"/>
      <c r="CC260" s="42" t="n"/>
      <c r="CD260" s="42" t="n"/>
      <c r="CE260" s="12" t="n"/>
      <c r="CF260" s="42" t="n"/>
      <c r="CG260" s="42" t="n"/>
      <c r="CH260" s="42" t="n"/>
      <c r="CI260" s="42" t="n"/>
      <c r="CJ260" s="12" t="n"/>
      <c r="CK260" s="42" t="n"/>
      <c r="CL260" s="42" t="n"/>
      <c r="CM260" s="42" t="n"/>
      <c r="CN260" s="42" t="n"/>
      <c r="CO260" s="12" t="n"/>
      <c r="CP260" s="42" t="n"/>
      <c r="CQ260" s="42" t="n"/>
      <c r="CR260" s="42" t="n"/>
      <c r="CS260" s="42" t="n"/>
      <c r="CT260" s="12" t="n"/>
      <c r="CU260" s="42" t="n"/>
      <c r="CV260" s="42" t="n"/>
      <c r="CW260" s="42" t="n"/>
      <c r="CX260" s="42" t="n"/>
      <c r="CY260" s="12" t="n"/>
    </row>
    <row r="261" collapsed="1">
      <c r="C261" s="14" t="inlineStr">
        <is>
          <t>Treasury stock (contra account)</t>
        </is>
      </c>
      <c r="D261" s="46" t="n"/>
      <c r="E261" s="46" t="n"/>
      <c r="F261" s="46" t="n"/>
      <c r="G261" s="46" t="n"/>
      <c r="H261" s="12" t="n"/>
      <c r="I261" s="46">
        <f>'Inputs (2)'!D44</f>
        <v>0</v>
      </c>
      <c r="J261" s="46">
        <f>'Inputs (2)'!E44</f>
        <v>-500.022</v>
      </c>
      <c r="K261" s="46">
        <f>'Inputs (2)'!F44</f>
        <v>-600.022</v>
      </c>
      <c r="L261" s="46">
        <f>'Inputs (2)'!G44</f>
        <v>-824.19</v>
      </c>
      <c r="M261" s="12">
        <f>'Inputs (2)'!H44</f>
        <v>-824.19</v>
      </c>
      <c r="N261" s="46">
        <f>'Inputs (2)'!I44</f>
        <v>-824.19</v>
      </c>
      <c r="O261" s="46">
        <f>'Inputs (2)'!J44</f>
        <v>-824.19</v>
      </c>
      <c r="P261" s="46">
        <f>'Inputs (2)'!K44</f>
        <v>-824.19</v>
      </c>
      <c r="Q261" s="46">
        <f>'Inputs (2)'!L44</f>
        <v>-824.19</v>
      </c>
      <c r="R261" s="12">
        <f>'Inputs (2)'!M44</f>
        <v>-824.19</v>
      </c>
      <c r="S261" s="46">
        <f>'Inputs (2)'!N44</f>
        <v>-1228.92</v>
      </c>
      <c r="T261" s="46">
        <f>'Inputs (2)'!O44</f>
        <v>-1876.753</v>
      </c>
      <c r="U261" s="46">
        <f>'Inputs (2)'!P44</f>
        <v>-4399.677</v>
      </c>
      <c r="V261" s="46">
        <f>'Inputs (2)'!Q44</f>
        <v>-6922.2</v>
      </c>
      <c r="W261" s="12">
        <f>'Inputs (2)'!R44</f>
        <v>-6922.2</v>
      </c>
      <c r="X261" s="46">
        <f>'Inputs (2)'!S44</f>
        <v>-8934.056</v>
      </c>
      <c r="Y261" s="46">
        <f>'Inputs (2)'!T44</f>
        <v>-10547.055</v>
      </c>
      <c r="Z261" s="46">
        <f>'Inputs (2)'!U44</f>
        <v>-12254.855</v>
      </c>
      <c r="AA261" s="46">
        <f>'Inputs (2)'!V44</f>
        <v>-13171.638</v>
      </c>
      <c r="AB261" s="12">
        <f>'Inputs (2)'!W44</f>
        <v>-13171.638</v>
      </c>
      <c r="AC261" s="46">
        <f>'Inputs (2)'!X44</f>
        <v>-16754.929</v>
      </c>
      <c r="AD261" s="46">
        <f>'Inputs (2)'!Y44</f>
        <v>-18392.942</v>
      </c>
      <c r="AE261" s="46">
        <f>'Inputs (2)'!Z44</f>
        <v>-20270.631</v>
      </c>
      <c r="AF261" s="46">
        <f>'Inputs (2)'!AA44</f>
        <v>-22372.658</v>
      </c>
      <c r="AG261" s="12">
        <f>'Inputs (2)'!AB44</f>
        <v>-22372.658</v>
      </c>
      <c r="AH261" s="12">
        <f>'Inputs (2)'!AC44</f>
        <v>-23681.974</v>
      </c>
      <c r="AI261" s="12">
        <f>'Inputs (2)'!AD44</f>
        <v>-28387.657</v>
      </c>
      <c r="AJ261" s="12">
        <f>AI261</f>
        <v>-28387.657</v>
      </c>
      <c r="AK261" s="12">
        <f>AJ261</f>
        <v>-28387.657</v>
      </c>
      <c r="AL261" s="12">
        <f>AK261</f>
        <v>-28387.657</v>
      </c>
      <c r="AM261" s="12">
        <f>AL261</f>
        <v>-28387.657</v>
      </c>
      <c r="AN261" s="12">
        <f>AM261</f>
        <v>-28387.657</v>
      </c>
      <c r="AO261" s="12">
        <f>AN261</f>
        <v>-28387.657</v>
      </c>
      <c r="AP261" s="12">
        <f>AO261</f>
        <v>-28387.657</v>
      </c>
      <c r="AQ261" s="12">
        <f>AP261</f>
        <v>-28387.657</v>
      </c>
      <c r="AR261" s="12">
        <f>AQ261</f>
        <v>-28387.657</v>
      </c>
      <c r="AS261" s="12">
        <f>AR261</f>
        <v>-28387.657</v>
      </c>
      <c r="AT261" s="12">
        <f>AS261</f>
        <v>-28387.657</v>
      </c>
      <c r="AU261" s="12">
        <f>AT261</f>
        <v>-28387.657</v>
      </c>
      <c r="AV261" s="12">
        <f>AU261</f>
        <v>-28387.657</v>
      </c>
      <c r="AW261" s="12">
        <f>AV261</f>
        <v>-28387.657</v>
      </c>
      <c r="AX261" s="12">
        <f>AW261</f>
        <v>-28387.657</v>
      </c>
      <c r="AY261" s="12">
        <f>AX261</f>
        <v>-28387.657</v>
      </c>
      <c r="AZ261" s="12">
        <f>AY261</f>
        <v>-28387.657</v>
      </c>
      <c r="BA261" s="12">
        <f>AZ261</f>
        <v>-28387.657</v>
      </c>
      <c r="BB261" s="12">
        <f>BA261</f>
        <v>-28387.657</v>
      </c>
      <c r="BC261" s="12">
        <f>BB261</f>
        <v>-28387.657</v>
      </c>
      <c r="BD261" s="12">
        <f>BC261</f>
        <v>-28387.657</v>
      </c>
      <c r="BE261" s="12">
        <f>BD261</f>
        <v>-28387.657</v>
      </c>
      <c r="BF261" s="12">
        <f>BE261</f>
        <v>-28387.657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4" t="inlineStr">
        <is>
          <t>Comprehensive (accumulated) loss</t>
        </is>
      </c>
      <c r="D262" s="46" t="n"/>
      <c r="E262" s="46" t="n"/>
      <c r="F262" s="46" t="n"/>
      <c r="G262" s="46" t="n"/>
      <c r="H262" s="12" t="n"/>
      <c r="I262" s="46">
        <f>'Inputs (2)'!D45</f>
        <v>4.137</v>
      </c>
      <c r="J262" s="46">
        <f>'Inputs (2)'!E45</f>
        <v>9.775</v>
      </c>
      <c r="K262" s="46">
        <f>'Inputs (2)'!F45</f>
        <v>-19.835</v>
      </c>
      <c r="L262" s="46">
        <f>'Inputs (2)'!G45</f>
        <v>-40.495</v>
      </c>
      <c r="M262" s="12">
        <f>'Inputs (2)'!H45</f>
        <v>-40.495</v>
      </c>
      <c r="N262" s="46">
        <f>'Inputs (2)'!I45</f>
        <v>-74.17</v>
      </c>
      <c r="O262" s="46">
        <f>'Inputs (2)'!J45</f>
        <v>-144.476</v>
      </c>
      <c r="P262" s="46">
        <f>'Inputs (2)'!K45</f>
        <v>-247.643</v>
      </c>
      <c r="Q262" s="46">
        <f>'Inputs (2)'!L45</f>
        <v>-217.306</v>
      </c>
      <c r="R262" s="12">
        <f>'Inputs (2)'!M45</f>
        <v>-217.306</v>
      </c>
      <c r="S262" s="46">
        <f>'Inputs (2)'!N45</f>
        <v>-191.695</v>
      </c>
      <c r="T262" s="46">
        <f>'Inputs (2)'!O45</f>
        <v>-139.266</v>
      </c>
      <c r="U262" s="46">
        <f>'Inputs (2)'!P45</f>
        <v>-155.571</v>
      </c>
      <c r="V262" s="46">
        <f>'Inputs (2)'!Q45</f>
        <v>-223.945</v>
      </c>
      <c r="W262" s="12">
        <f>'Inputs (2)'!R45</f>
        <v>-223.945</v>
      </c>
      <c r="X262" s="46">
        <f>'Inputs (2)'!S45</f>
        <v>-111.879</v>
      </c>
      <c r="Y262" s="46">
        <f>'Inputs (2)'!T45</f>
        <v>-89.114</v>
      </c>
      <c r="Z262" s="46">
        <f>'Inputs (2)'!U45</f>
        <v>-344.622</v>
      </c>
      <c r="AA262" s="46">
        <f>'Inputs (2)'!V45</f>
        <v>362.162</v>
      </c>
      <c r="AB262" s="12">
        <f>'Inputs (2)'!W45</f>
        <v>362.162</v>
      </c>
      <c r="AC262" s="46">
        <f>'Inputs (2)'!X45</f>
        <v>-85.735</v>
      </c>
      <c r="AD262" s="46">
        <f>'Inputs (2)'!Y45</f>
        <v>-904.668</v>
      </c>
      <c r="AE262" s="46">
        <f>'Inputs (2)'!Z45</f>
        <v>-719.256</v>
      </c>
      <c r="AF262" s="46">
        <f>'Inputs (2)'!AA45</f>
        <v>-580.382</v>
      </c>
      <c r="AG262" s="12">
        <f>'Inputs (2)'!AB45</f>
        <v>-580.382</v>
      </c>
      <c r="AH262" s="12">
        <f>'Inputs (2)'!AC45</f>
        <v>-235.031</v>
      </c>
      <c r="AI262" s="12">
        <f>'Inputs (2)'!AD45</f>
        <v>-97.117</v>
      </c>
      <c r="AJ262" s="12">
        <f>AI262</f>
        <v>-97.117</v>
      </c>
      <c r="AK262" s="12">
        <f>AJ262</f>
        <v>-97.117</v>
      </c>
      <c r="AL262" s="12">
        <f>AK262</f>
        <v>-97.117</v>
      </c>
      <c r="AM262" s="12">
        <f>AL262</f>
        <v>-97.117</v>
      </c>
      <c r="AN262" s="12">
        <f>AM262</f>
        <v>-97.117</v>
      </c>
      <c r="AO262" s="12">
        <f>AN262</f>
        <v>-97.117</v>
      </c>
      <c r="AP262" s="12">
        <f>AO262</f>
        <v>-97.117</v>
      </c>
      <c r="AQ262" s="12">
        <f>AP262</f>
        <v>-97.117</v>
      </c>
      <c r="AR262" s="12">
        <f>AQ262</f>
        <v>-97.117</v>
      </c>
      <c r="AS262" s="12">
        <f>AR262</f>
        <v>-97.117</v>
      </c>
      <c r="AT262" s="12">
        <f>AS262</f>
        <v>-97.117</v>
      </c>
      <c r="AU262" s="12">
        <f>AT262</f>
        <v>-97.117</v>
      </c>
      <c r="AV262" s="12">
        <f>AU262</f>
        <v>-97.117</v>
      </c>
      <c r="AW262" s="12">
        <f>AV262</f>
        <v>-97.117</v>
      </c>
      <c r="AX262" s="12">
        <f>AW262</f>
        <v>-97.117</v>
      </c>
      <c r="AY262" s="12">
        <f>AX262</f>
        <v>-97.117</v>
      </c>
      <c r="AZ262" s="12">
        <f>AY262</f>
        <v>-97.117</v>
      </c>
      <c r="BA262" s="12">
        <f>AZ262</f>
        <v>-97.117</v>
      </c>
      <c r="BB262" s="12">
        <f>BA262</f>
        <v>-97.117</v>
      </c>
      <c r="BC262" s="12">
        <f>BB262</f>
        <v>-97.117</v>
      </c>
      <c r="BD262" s="12">
        <f>BC262</f>
        <v>-97.117</v>
      </c>
      <c r="BE262" s="12">
        <f>BD262</f>
        <v>-97.117</v>
      </c>
      <c r="BF262" s="12">
        <f>BE262</f>
        <v>-97.117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>
      <c r="C263" s="14" t="inlineStr">
        <is>
          <t>Other equity account</t>
        </is>
      </c>
      <c r="D263" s="46" t="n"/>
      <c r="E263" s="46" t="n"/>
      <c r="F263" s="46" t="n"/>
      <c r="G263" s="46" t="n"/>
      <c r="H263" s="12" t="n"/>
      <c r="I263" s="46">
        <f>'Inputs (2)'!D46</f>
        <v>0</v>
      </c>
      <c r="J263" s="46">
        <f>'Inputs (2)'!E46</f>
        <v>0</v>
      </c>
      <c r="K263" s="46">
        <f>'Inputs (2)'!F46</f>
        <v>0</v>
      </c>
      <c r="L263" s="46">
        <f>'Inputs (2)'!G46</f>
        <v>0</v>
      </c>
      <c r="M263" s="12">
        <f>'Inputs (2)'!H46</f>
        <v>0</v>
      </c>
      <c r="N263" s="46">
        <f>'Inputs (2)'!I46</f>
        <v>0</v>
      </c>
      <c r="O263" s="46">
        <f>'Inputs (2)'!J46</f>
        <v>0</v>
      </c>
      <c r="P263" s="46">
        <f>'Inputs (2)'!K46</f>
        <v>0</v>
      </c>
      <c r="Q263" s="46">
        <f>'Inputs (2)'!L46</f>
        <v>0</v>
      </c>
      <c r="R263" s="12">
        <f>'Inputs (2)'!M46</f>
        <v>0</v>
      </c>
      <c r="S263" s="46">
        <f>'Inputs (2)'!N46</f>
        <v>0</v>
      </c>
      <c r="T263" s="46">
        <f>'Inputs (2)'!O46</f>
        <v>0</v>
      </c>
      <c r="U263" s="46">
        <f>'Inputs (2)'!P46</f>
        <v>0</v>
      </c>
      <c r="V263" s="46">
        <f>'Inputs (2)'!Q46</f>
        <v>0</v>
      </c>
      <c r="W263" s="12">
        <f>'Inputs (2)'!R46</f>
        <v>0</v>
      </c>
      <c r="X263" s="46">
        <f>'Inputs (2)'!S46</f>
        <v>0</v>
      </c>
      <c r="Y263" s="46">
        <f>'Inputs (2)'!T46</f>
        <v>0</v>
      </c>
      <c r="Z263" s="46">
        <f>'Inputs (2)'!U46</f>
        <v>0</v>
      </c>
      <c r="AA263" s="46">
        <f>'Inputs (2)'!V46</f>
        <v>0</v>
      </c>
      <c r="AB263" s="12">
        <f>'Inputs (2)'!W46</f>
        <v>0</v>
      </c>
      <c r="AC263" s="46">
        <f>'Inputs (2)'!X46</f>
        <v>0</v>
      </c>
      <c r="AD263" s="46">
        <f>'Inputs (2)'!Y46</f>
        <v>0</v>
      </c>
      <c r="AE263" s="46">
        <f>'Inputs (2)'!Z46</f>
        <v>0</v>
      </c>
      <c r="AF263" s="46">
        <f>'Inputs (2)'!AA46</f>
        <v>0</v>
      </c>
      <c r="AG263" s="12">
        <f>'Inputs (2)'!AB46</f>
        <v>0</v>
      </c>
      <c r="AH263" s="12">
        <f>'Inputs (2)'!AC46</f>
        <v>0</v>
      </c>
      <c r="AI263" s="12">
        <f>'Inputs (2)'!AD46</f>
        <v>0</v>
      </c>
      <c r="AJ263" s="12">
        <f>AI263</f>
        <v>0</v>
      </c>
      <c r="AK263" s="12">
        <f>AJ263</f>
        <v>0</v>
      </c>
      <c r="AL263" s="12">
        <f>AK263</f>
        <v>0</v>
      </c>
      <c r="AM263" s="12">
        <f>AL263</f>
        <v>0</v>
      </c>
      <c r="AN263" s="12">
        <f>AM263</f>
        <v>0</v>
      </c>
      <c r="AO263" s="12">
        <f>AN263</f>
        <v>0</v>
      </c>
      <c r="AP263" s="12">
        <f>AO263</f>
        <v>0</v>
      </c>
      <c r="AQ263" s="12">
        <f>AP263</f>
        <v>0</v>
      </c>
      <c r="AR263" s="12">
        <f>AQ263</f>
        <v>0</v>
      </c>
      <c r="AS263" s="12">
        <f>AR263</f>
        <v>0</v>
      </c>
      <c r="AT263" s="12">
        <f>AS263</f>
        <v>0</v>
      </c>
      <c r="AU263" s="12">
        <f>AT263</f>
        <v>0</v>
      </c>
      <c r="AV263" s="12">
        <f>AU263</f>
        <v>0</v>
      </c>
      <c r="AW263" s="12">
        <f>AV263</f>
        <v>0</v>
      </c>
      <c r="AX263" s="12">
        <f>AW263</f>
        <v>0</v>
      </c>
      <c r="AY263" s="12">
        <f>AX263</f>
        <v>0</v>
      </c>
      <c r="AZ263" s="12">
        <f>AY263</f>
        <v>0</v>
      </c>
      <c r="BA263" s="12">
        <f>AZ263</f>
        <v>0</v>
      </c>
      <c r="BB263" s="12">
        <f>BA263</f>
        <v>0</v>
      </c>
      <c r="BC263" s="12">
        <f>BB263</f>
        <v>0</v>
      </c>
      <c r="BD263" s="12">
        <f>BC263</f>
        <v>0</v>
      </c>
      <c r="BE263" s="12">
        <f>BD263</f>
        <v>0</v>
      </c>
      <c r="BF263" s="12">
        <f>BE263</f>
        <v>0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>
      <c r="C264" s="15" t="inlineStr">
        <is>
          <t>Retained earnings</t>
        </is>
      </c>
      <c r="D264" s="46" t="n"/>
      <c r="E264" s="46" t="n"/>
      <c r="F264" s="46" t="n"/>
      <c r="G264" s="46" t="n"/>
      <c r="H264" s="12" t="n"/>
      <c r="I264" s="46">
        <f>'Inputs (2)'!D47</f>
        <v>9279.859</v>
      </c>
      <c r="J264" s="46">
        <f>'Inputs (2)'!E47</f>
        <v>10632.872</v>
      </c>
      <c r="K264" s="46">
        <f>'Inputs (2)'!F47</f>
        <v>12081.943</v>
      </c>
      <c r="L264" s="46">
        <f>'Inputs (2)'!G47</f>
        <v>12689.372</v>
      </c>
      <c r="M264" s="12">
        <f>'Inputs (2)'!H47</f>
        <v>12689.372</v>
      </c>
      <c r="N264" s="46">
        <f>'Inputs (2)'!I47</f>
        <v>14286.819</v>
      </c>
      <c r="O264" s="46">
        <f>'Inputs (2)'!J47</f>
        <v>15727.77</v>
      </c>
      <c r="P264" s="46">
        <f>'Inputs (2)'!K47</f>
        <v>17126.012</v>
      </c>
      <c r="Q264" s="46">
        <f>'Inputs (2)'!L47</f>
        <v>17181.296</v>
      </c>
      <c r="R264" s="12">
        <f>'Inputs (2)'!M47</f>
        <v>17181.296</v>
      </c>
      <c r="S264" s="46">
        <f>'Inputs (2)'!N47</f>
        <v>18486.416</v>
      </c>
      <c r="T264" s="46">
        <f>'Inputs (2)'!O47</f>
        <v>19974.026</v>
      </c>
      <c r="U264" s="46">
        <f>'Inputs (2)'!P47</f>
        <v>21651.448</v>
      </c>
      <c r="V264" s="46">
        <f>'Inputs (2)'!Q47</f>
        <v>22589.286</v>
      </c>
      <c r="W264" s="12">
        <f>'Inputs (2)'!R47</f>
        <v>22589.286</v>
      </c>
      <c r="X264" s="46">
        <f>'Inputs (2)'!S47</f>
        <v>24921.495</v>
      </c>
      <c r="Y264" s="46">
        <f>'Inputs (2)'!T47</f>
        <v>27068.801</v>
      </c>
      <c r="Z264" s="46">
        <f>'Inputs (2)'!U47</f>
        <v>29432.31</v>
      </c>
      <c r="AA264" s="46">
        <f>'Inputs (2)'!V47</f>
        <v>31300.917</v>
      </c>
      <c r="AB264" s="12">
        <f>'Inputs (2)'!W47</f>
        <v>31300.917</v>
      </c>
      <c r="AC264" s="46">
        <f>'Inputs (2)'!X47</f>
        <v>34191.268</v>
      </c>
      <c r="AD264" s="46">
        <f>'Inputs (2)'!Y47</f>
        <v>37316.681</v>
      </c>
      <c r="AE264" s="46">
        <f>'Inputs (2)'!Z47</f>
        <v>39863.597</v>
      </c>
      <c r="AF264" s="46">
        <f>'Inputs (2)'!AA47</f>
        <v>42282.118</v>
      </c>
      <c r="AG264" s="12">
        <f>'Inputs (2)'!AB47</f>
        <v>42282.118</v>
      </c>
      <c r="AH264" s="12">
        <f>'Inputs (2)'!AC47</f>
        <v>47564.909</v>
      </c>
      <c r="AI264" s="12">
        <f>'Inputs (2)'!AD47</f>
        <v>50966.323</v>
      </c>
      <c r="AJ264" s="12">
        <f>AI264+AJ131+AJ132</f>
        <v>54928.4195886777</v>
      </c>
      <c r="AK264" s="12">
        <f>AJ264+AK131+AK132</f>
        <v>59076.5524761121</v>
      </c>
      <c r="AL264" s="12">
        <f>AK264</f>
        <v>59076.5524761121</v>
      </c>
      <c r="AM264" s="12">
        <f>AL264+AM131+AM132</f>
        <v>63293.183745967</v>
      </c>
      <c r="AN264" s="12">
        <f>AM264+AN131+AN132</f>
        <v>67616.5860239256</v>
      </c>
      <c r="AO264" s="12">
        <f>AN264+AO131+AO132</f>
        <v>72191.0365622018</v>
      </c>
      <c r="AP264" s="12">
        <f>AO264+AP131+AP132</f>
        <v>76980.2758689846</v>
      </c>
      <c r="AQ264" s="12">
        <f>AP264</f>
        <v>76980.2758689846</v>
      </c>
      <c r="AR264" s="12">
        <f>AQ264+AR131+AR132</f>
        <v>81827.5170329512</v>
      </c>
      <c r="AS264" s="12">
        <f>AR264+AS131+AS132</f>
        <v>86797.4971305538</v>
      </c>
      <c r="AT264" s="12">
        <f>AS264+AT131+AT132</f>
        <v>92056.0705112004</v>
      </c>
      <c r="AU264" s="12">
        <f>AT264+AU131+AU132</f>
        <v>97561.5549669762</v>
      </c>
      <c r="AV264" s="12">
        <f>AU264</f>
        <v>97561.5549669762</v>
      </c>
      <c r="AW264" s="12">
        <f>AV264+AW131+AW132</f>
        <v>103109.479426383</v>
      </c>
      <c r="AX264" s="12">
        <f>AW264+AX131+AX132</f>
        <v>108797.885101601</v>
      </c>
      <c r="AY264" s="12">
        <f>AX264+AY131+AY132</f>
        <v>114816.601087295</v>
      </c>
      <c r="AZ264" s="12">
        <f>AY264+AZ131+AZ132</f>
        <v>121117.919886974</v>
      </c>
      <c r="BA264" s="12">
        <f>AZ264</f>
        <v>121117.919886974</v>
      </c>
      <c r="BB264" s="12">
        <f>BA264+BB131+BB132</f>
        <v>127440.073898214</v>
      </c>
      <c r="BC264" s="12">
        <f>BB264+BC131+BC132</f>
        <v>133922.313701634</v>
      </c>
      <c r="BD264" s="12">
        <f>BC264+BD131+BD132</f>
        <v>140780.95961325</v>
      </c>
      <c r="BE264" s="12">
        <f>BD264+BE131+BE132</f>
        <v>147961.646411886</v>
      </c>
      <c r="BF264" s="12">
        <f>BE264</f>
        <v>147961.646411886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customFormat="1" s="32">
      <c r="A265" s="30" t="inlineStr">
        <is>
          <t xml:space="preserve"> </t>
        </is>
      </c>
      <c r="B265" s="30" t="n"/>
      <c r="C265" s="65" t="inlineStr">
        <is>
          <t>Total Shareholders' Equity</t>
        </is>
      </c>
      <c r="D265" s="35" t="n"/>
      <c r="E265" s="35" t="n"/>
      <c r="F265" s="35" t="n"/>
      <c r="G265" s="35" t="n"/>
      <c r="H265" s="35" t="n"/>
      <c r="I265" s="35">
        <f>SUM(I242+I247+I248+I261+I262+I263+I264)</f>
        <v>12884.08</v>
      </c>
      <c r="J265" s="35">
        <f>SUM(J242+J247+J248+J261+J262+J263+J264)</f>
        <v>13863.871</v>
      </c>
      <c r="K265" s="35">
        <f>SUM(K242+K247+K248+K261+K262+K263+K264)</f>
        <v>15314.617</v>
      </c>
      <c r="L265" s="35">
        <f>SUM(L242+L247+L248+L261+L262+L263+L264)</f>
        <v>15849.248</v>
      </c>
      <c r="M265" s="35">
        <f>SUM(M242,M247,M248,M261,M262,M263,M264)</f>
        <v>15849.248</v>
      </c>
      <c r="N265" s="35">
        <f>SUM(N242+N247+N248+N261+N262+N263+N264)</f>
        <v>17544.039</v>
      </c>
      <c r="O265" s="35">
        <f>SUM(O242+O247+O248+O261+O262+O263+O264)</f>
        <v>19075.974</v>
      </c>
      <c r="P265" s="35">
        <f>SUM(P242+P247+P248+P261+P262+P263+P264)</f>
        <v>20528.141</v>
      </c>
      <c r="Q265" s="35">
        <f>SUM(Q242+Q247+Q248+Q261+Q262+Q263+Q264)</f>
        <v>20777.401</v>
      </c>
      <c r="R265" s="35">
        <f>SUM(R242,R247,R248,R261,R262,R263,R264)</f>
        <v>20777.401</v>
      </c>
      <c r="S265" s="35">
        <f>SUM(S242+S247+S248+S261+S262+S263+S264)</f>
        <v>21828.196</v>
      </c>
      <c r="T265" s="35">
        <f>SUM(T242+T247+T248+T261+T262+T263+T264)</f>
        <v>22832.215</v>
      </c>
      <c r="U265" s="35">
        <f>SUM(U242+U247+U248+U261+U262+U263+U264)</f>
        <v>22107.627</v>
      </c>
      <c r="V265" s="35">
        <f>SUM(V242+V247+V248+V261+V262+V263+V264)</f>
        <v>20588.313</v>
      </c>
      <c r="W265" s="35">
        <f>SUM(W242,W247,W248,W261,W262,W263,W264)</f>
        <v>20588.313</v>
      </c>
      <c r="X265" s="35">
        <f>SUM(X242+X247+X248+X261+X262+X263+X264)</f>
        <v>21365.41</v>
      </c>
      <c r="Y265" s="35">
        <f>SUM(Y242+Y247+Y248+Y261+Y262+Y263+Y264)</f>
        <v>22112.693</v>
      </c>
      <c r="Z265" s="35">
        <f>SUM(Z242+Z247+Z248+Z261+Z262+Z263+Z264)</f>
        <v>22720.736</v>
      </c>
      <c r="AA265" s="35">
        <f>SUM(AA242+AA247+AA248+AA261+AA262+AA263+AA264)</f>
        <v>24743.567</v>
      </c>
      <c r="AB265" s="35">
        <f>SUM(AB242,AB247,AB248,AB261,AB262,AB263,AB264)</f>
        <v>24743.567</v>
      </c>
      <c r="AC265" s="35">
        <f>SUM(AC242+AC247+AC248+AC261+AC262+AC263+AC264)</f>
        <v>24028.073</v>
      </c>
      <c r="AD265" s="35">
        <f>SUM(AD242+AD247+AD248+AD261+AD262+AD263+AD264)</f>
        <v>24951.899</v>
      </c>
      <c r="AE265" s="35">
        <f>SUM(AE242+AE247+AE248+AE261+AE262+AE263+AE264)</f>
        <v>25954.035</v>
      </c>
      <c r="AF265" s="35">
        <f>SUM(AF242+AF247+AF248+AF261+AF262+AF263+AF264)</f>
        <v>26615.488</v>
      </c>
      <c r="AG265" s="35">
        <f>SUM(AG242,AG247,AG248,AG261,AG262,AG263,AG264)</f>
        <v>26615.488</v>
      </c>
      <c r="AH265" s="35">
        <f>SUM(AH242+AH247+AH248+AH261+AH262+AH263+AH264)</f>
        <v>31126.399</v>
      </c>
      <c r="AI265" s="35">
        <f>SUM(AI242+AI247+AI248+AI261+AI262+AI263+AI264)</f>
        <v>30152.052</v>
      </c>
      <c r="AJ265" s="35">
        <f>SUM(AJ242+AJ247+AJ248+AJ261+AJ262+AJ263+AJ264)</f>
        <v>34114.1485886777</v>
      </c>
      <c r="AK265" s="35">
        <f>SUM(AK242+AK247+AK248+AK261+AK262+AK263+AK264)</f>
        <v>38262.2814761121</v>
      </c>
      <c r="AL265" s="35">
        <f>SUM(AL242,AL247,AL248,AL261,AL262,AL263,AL264)</f>
        <v>38262.2814761121</v>
      </c>
      <c r="AM265" s="35">
        <f>SUM(AM242+AM247+AM248+AM261+AM262+AM263+AM264)</f>
        <v>42478.912745967</v>
      </c>
      <c r="AN265" s="35">
        <f>SUM(AN242+AN247+AN248+AN261+AN262+AN263+AN264)</f>
        <v>46802.3150239256</v>
      </c>
      <c r="AO265" s="35">
        <f>SUM(AO242+AO247+AO248+AO261+AO262+AO263+AO264)</f>
        <v>51376.7655622018</v>
      </c>
      <c r="AP265" s="35">
        <f>SUM(AP242+AP247+AP248+AP261+AP262+AP263+AP264)</f>
        <v>56166.0048689846</v>
      </c>
      <c r="AQ265" s="35">
        <f>SUM(AQ242,AQ247,AQ248,AQ261,AQ262,AQ263,AQ264)</f>
        <v>56166.0048689846</v>
      </c>
      <c r="AR265" s="35">
        <f>SUM(AR242+AR247+AR248+AR261+AR262+AR263+AR264)</f>
        <v>61013.2460329512</v>
      </c>
      <c r="AS265" s="35">
        <f>SUM(AS242+AS247+AS248+AS261+AS262+AS263+AS264)</f>
        <v>65983.2261305538</v>
      </c>
      <c r="AT265" s="35">
        <f>SUM(AT242+AT247+AT248+AT261+AT262+AT263+AT264)</f>
        <v>71241.7995112004</v>
      </c>
      <c r="AU265" s="35">
        <f>SUM(AU242+AU247+AU248+AU261+AU262+AU263+AU264)</f>
        <v>76747.2839669762</v>
      </c>
      <c r="AV265" s="35">
        <f>SUM(AV242,AV247,AV248,AV261,AV262,AV263,AV264)</f>
        <v>76747.2839669762</v>
      </c>
      <c r="AW265" s="35">
        <f>SUM(AW242+AW247+AW248+AW261+AW262+AW263+AW264)</f>
        <v>82295.2084263834</v>
      </c>
      <c r="AX265" s="35">
        <f>SUM(AX242+AX247+AX248+AX261+AX262+AX263+AX264)</f>
        <v>87983.6141016012</v>
      </c>
      <c r="AY265" s="35">
        <f>SUM(AY242+AY247+AY248+AY261+AY262+AY263+AY264)</f>
        <v>94002.3300872946</v>
      </c>
      <c r="AZ265" s="35">
        <f>SUM(AZ242+AZ247+AZ248+AZ261+AZ262+AZ263+AZ264)</f>
        <v>100303.648886974</v>
      </c>
      <c r="BA265" s="35">
        <f>SUM(BA242,BA247,BA248,BA261,BA262,BA263,BA264)</f>
        <v>100303.648886974</v>
      </c>
      <c r="BB265" s="35">
        <f>SUM(BB242+BB247+BB248+BB261+BB262+BB263+BB264)</f>
        <v>106625.802898214</v>
      </c>
      <c r="BC265" s="35">
        <f>SUM(BC242+BC247+BC248+BC261+BC262+BC263+BC264)</f>
        <v>113108.042701634</v>
      </c>
      <c r="BD265" s="35">
        <f>SUM(BD242+BD247+BD248+BD261+BD262+BD263+BD264)</f>
        <v>119966.68861325</v>
      </c>
      <c r="BE265" s="35">
        <f>SUM(BE242+BE247+BE248+BE261+BE262+BE263+BE264)</f>
        <v>127147.375411886</v>
      </c>
      <c r="BF265" s="35">
        <f>SUM(BF242,BF247,BF248,BF261,BF262,BF263,BF264)</f>
        <v>127147.375411886</v>
      </c>
      <c r="BG265" s="35" t="n"/>
      <c r="BH265" s="35" t="n"/>
      <c r="BI265" s="35" t="n"/>
      <c r="BJ265" s="35" t="n"/>
      <c r="BK265" s="35" t="n"/>
      <c r="BL265" s="35" t="n"/>
      <c r="BM265" s="35" t="n"/>
      <c r="BN265" s="35" t="n"/>
      <c r="BO265" s="35" t="n"/>
      <c r="BP265" s="35" t="n"/>
      <c r="BQ265" s="35" t="n"/>
      <c r="BR265" s="35" t="n"/>
      <c r="BS265" s="35" t="n"/>
      <c r="BT265" s="35" t="n"/>
      <c r="BU265" s="35" t="n"/>
      <c r="BV265" s="35" t="n"/>
      <c r="BW265" s="35" t="n"/>
      <c r="BX265" s="35" t="n"/>
      <c r="BY265" s="35" t="n"/>
      <c r="BZ265" s="35" t="n"/>
      <c r="CA265" s="35" t="n"/>
      <c r="CB265" s="35" t="n"/>
      <c r="CC265" s="35" t="n"/>
      <c r="CD265" s="35" t="n"/>
      <c r="CE265" s="35" t="n"/>
      <c r="CF265" s="35" t="n"/>
      <c r="CG265" s="35" t="n"/>
      <c r="CH265" s="35" t="n"/>
      <c r="CI265" s="35" t="n"/>
      <c r="CJ265" s="35" t="n"/>
      <c r="CK265" s="35" t="n"/>
      <c r="CL265" s="35" t="n"/>
      <c r="CM265" s="35" t="n"/>
      <c r="CN265" s="35" t="n"/>
      <c r="CO265" s="35" t="n"/>
      <c r="CP265" s="35" t="n"/>
      <c r="CQ265" s="35" t="n"/>
      <c r="CR265" s="35" t="n"/>
      <c r="CS265" s="35" t="n"/>
      <c r="CT265" s="35" t="n"/>
      <c r="CU265" s="35" t="n"/>
      <c r="CV265" s="35" t="n"/>
      <c r="CW265" s="35" t="n"/>
      <c r="CX265" s="35" t="n"/>
      <c r="CY265" s="35" t="n"/>
    </row>
    <row r="266">
      <c r="C266" s="10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  <c r="AL266" s="12" t="n"/>
      <c r="AM266" s="12" t="n"/>
      <c r="AN266" s="12" t="n"/>
      <c r="AO266" s="12" t="n"/>
      <c r="AP266" s="12" t="n"/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customFormat="1" s="32">
      <c r="A267" s="30" t="n"/>
      <c r="B267" s="3" t="n"/>
      <c r="C267" s="33" t="inlineStr">
        <is>
          <t>Total Liabilities + Shareholders' Equity</t>
        </is>
      </c>
      <c r="D267" s="35" t="n"/>
      <c r="E267" s="35" t="n"/>
      <c r="F267" s="35" t="n"/>
      <c r="G267" s="35" t="n"/>
      <c r="H267" s="35" t="n"/>
      <c r="I267" s="35">
        <f>I265+I241</f>
        <v>40123.014</v>
      </c>
      <c r="J267" s="35">
        <f>J265+J241</f>
        <v>40970.969</v>
      </c>
      <c r="K267" s="35">
        <f>K265+K241</f>
        <v>42739.857</v>
      </c>
      <c r="L267" s="35">
        <f>L265+L241</f>
        <v>44584.663</v>
      </c>
      <c r="M267" s="35">
        <f>M265+M241</f>
        <v>44584.663</v>
      </c>
      <c r="N267" s="35">
        <f>N265+N241</f>
        <v>45330.904</v>
      </c>
      <c r="O267" s="35">
        <f>O265+O241</f>
        <v>46350.935</v>
      </c>
      <c r="P267" s="35">
        <f>P265+P241</f>
        <v>47562.187</v>
      </c>
      <c r="Q267" s="35">
        <f>Q265+Q241</f>
        <v>48594.768</v>
      </c>
      <c r="R267" s="35">
        <f>R265+R241</f>
        <v>48594.768</v>
      </c>
      <c r="S267" s="35">
        <f>S265+S241</f>
        <v>49490.345</v>
      </c>
      <c r="T267" s="35">
        <f>T265+T241</f>
        <v>50817.473</v>
      </c>
      <c r="U267" s="35">
        <f>U265+U241</f>
        <v>49501.786</v>
      </c>
      <c r="V267" s="35">
        <f>V265+V241</f>
        <v>48731.992</v>
      </c>
      <c r="W267" s="35">
        <f>W265+W241</f>
        <v>48731.992</v>
      </c>
      <c r="X267" s="35">
        <f>X265+X241</f>
        <v>48827.721</v>
      </c>
      <c r="Y267" s="35">
        <f>Y265+Y241</f>
        <v>49098.895</v>
      </c>
      <c r="Z267" s="35">
        <f>Z265+Z241</f>
        <v>52281.844</v>
      </c>
      <c r="AA267" s="35">
        <f>AA265+AA241</f>
        <v>53630.374</v>
      </c>
      <c r="AB267" s="35">
        <f>AB265+AB241</f>
        <v>53630.374</v>
      </c>
      <c r="AC267" s="35">
        <f>AC265+AC241</f>
        <v>52087.644</v>
      </c>
      <c r="AD267" s="35">
        <f>AD265+AD241</f>
        <v>53099.664</v>
      </c>
      <c r="AE267" s="35">
        <f>AE265+AE241</f>
        <v>54934.835</v>
      </c>
      <c r="AF267" s="35">
        <f>AF265+AF241</f>
        <v>55596.993</v>
      </c>
      <c r="AG267" s="35">
        <f>AG265+AG241</f>
        <v>55596.993</v>
      </c>
      <c r="AH267" s="35">
        <f>AH265+AH241</f>
        <v>61015.914</v>
      </c>
      <c r="AI267" s="35">
        <f>AI265+AI241</f>
        <v>58450.441</v>
      </c>
      <c r="AJ267" s="35">
        <f>AJ265+AJ241</f>
        <v>62957.9764807003</v>
      </c>
      <c r="AK267" s="35">
        <f>AK265+AK241</f>
        <v>67713.0626429397</v>
      </c>
      <c r="AL267" s="35">
        <f>AL265+AL241</f>
        <v>67713.0626429397</v>
      </c>
      <c r="AM267" s="35">
        <f>AM265+AM241</f>
        <v>72618.9110499244</v>
      </c>
      <c r="AN267" s="35">
        <f>AN265+AN241</f>
        <v>77710.2430147714</v>
      </c>
      <c r="AO267" s="35">
        <f>AO265+AO241</f>
        <v>83200.6328999549</v>
      </c>
      <c r="AP267" s="35">
        <f>AP265+AP241</f>
        <v>89042.9374275016</v>
      </c>
      <c r="AQ267" s="35">
        <f>AQ265+AQ241</f>
        <v>89042.9374275016</v>
      </c>
      <c r="AR267" s="35">
        <f>AR265+AR241</f>
        <v>95038.4173061177</v>
      </c>
      <c r="AS267" s="35">
        <f>AS265+AS241</f>
        <v>101327.519982758</v>
      </c>
      <c r="AT267" s="35">
        <f>AT265+AT241</f>
        <v>108122.541604113</v>
      </c>
      <c r="AU267" s="35">
        <f>AU265+AU241</f>
        <v>115389.41291923</v>
      </c>
      <c r="AV267" s="35">
        <f>AV265+AV241</f>
        <v>115389.41291923</v>
      </c>
      <c r="AW267" s="35">
        <f>AW265+AW241</f>
        <v>122870.608137705</v>
      </c>
      <c r="AX267" s="35">
        <f>AX265+AX241</f>
        <v>130747.604896359</v>
      </c>
      <c r="AY267" s="35">
        <f>AY265+AY241</f>
        <v>139310.03639599</v>
      </c>
      <c r="AZ267" s="35">
        <f>AZ265+AZ241</f>
        <v>148517.524601643</v>
      </c>
      <c r="BA267" s="35">
        <f>BA265+BA241</f>
        <v>148517.524601643</v>
      </c>
      <c r="BB267" s="35">
        <f>BB265+BB241</f>
        <v>158017.760151202</v>
      </c>
      <c r="BC267" s="35">
        <f>BC265+BC241</f>
        <v>168101.17630935</v>
      </c>
      <c r="BD267" s="35">
        <f>BD265+BD241</f>
        <v>179107.818911761</v>
      </c>
      <c r="BE267" s="35">
        <f>BE265+BE241</f>
        <v>191009.722546019</v>
      </c>
      <c r="BF267" s="35">
        <f>BF265+BF241</f>
        <v>191009.722546019</v>
      </c>
      <c r="BG267" s="35" t="n"/>
      <c r="BH267" s="35" t="n"/>
      <c r="BI267" s="35" t="n"/>
      <c r="BJ267" s="35" t="n"/>
      <c r="BK267" s="35" t="n"/>
      <c r="BL267" s="35" t="n"/>
      <c r="BM267" s="35" t="n"/>
      <c r="BN267" s="35" t="n"/>
      <c r="BO267" s="35" t="n"/>
      <c r="BP267" s="35" t="n"/>
      <c r="BQ267" s="35" t="n"/>
      <c r="BR267" s="35" t="n"/>
      <c r="BS267" s="35" t="n"/>
      <c r="BT267" s="35" t="n"/>
      <c r="BU267" s="35" t="n"/>
      <c r="BV267" s="35" t="n"/>
      <c r="BW267" s="35" t="n"/>
      <c r="BX267" s="35" t="n"/>
      <c r="BY267" s="35" t="n"/>
      <c r="BZ267" s="35" t="n"/>
      <c r="CA267" s="35" t="n"/>
      <c r="CB267" s="35" t="n"/>
      <c r="CC267" s="35" t="n"/>
      <c r="CD267" s="35" t="n"/>
      <c r="CE267" s="35" t="n"/>
      <c r="CF267" s="35" t="n"/>
      <c r="CG267" s="35" t="n"/>
      <c r="CH267" s="35" t="n"/>
      <c r="CI267" s="35" t="n"/>
      <c r="CJ267" s="35" t="n"/>
      <c r="CK267" s="35" t="n"/>
      <c r="CL267" s="35" t="n"/>
      <c r="CM267" s="35" t="n"/>
      <c r="CN267" s="35" t="n"/>
      <c r="CO267" s="35" t="n"/>
      <c r="CP267" s="35" t="n"/>
      <c r="CQ267" s="35" t="n"/>
      <c r="CR267" s="35" t="n"/>
      <c r="CS267" s="35" t="n"/>
      <c r="CT267" s="35" t="n"/>
      <c r="CU267" s="35" t="n"/>
      <c r="CV267" s="35" t="n"/>
      <c r="CW267" s="35" t="n"/>
      <c r="CX267" s="35" t="n"/>
      <c r="CY267" s="35" t="n"/>
    </row>
    <row r="268">
      <c r="C268" s="18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 customFormat="1" s="32">
      <c r="A269" s="30" t="n"/>
      <c r="B269" s="30" t="n"/>
      <c r="C269" s="31" t="inlineStr">
        <is>
          <t>Cash Flow Statement</t>
        </is>
      </c>
      <c r="D269" s="70" t="n"/>
      <c r="E269" s="70" t="n"/>
      <c r="F269" s="70" t="n"/>
      <c r="G269" s="70" t="n"/>
      <c r="H269" s="70" t="n"/>
      <c r="I269" s="70" t="str">
        <f>I136</f>
        <v>1Q21</v>
      </c>
      <c r="J269" s="70" t="str">
        <f>J136</f>
        <v>2Q21</v>
      </c>
      <c r="K269" s="70" t="str">
        <f>K136</f>
        <v>3Q21</v>
      </c>
      <c r="L269" s="70" t="str">
        <f>L136</f>
        <v>4Q21</v>
      </c>
      <c r="M269" s="70">
        <f>M136</f>
        <v>2021</v>
      </c>
      <c r="N269" s="70" t="str">
        <f>N136</f>
        <v>1Q22</v>
      </c>
      <c r="O269" s="70" t="str">
        <f>O136</f>
        <v>2Q22</v>
      </c>
      <c r="P269" s="70" t="str">
        <f>P136</f>
        <v>3Q22</v>
      </c>
      <c r="Q269" s="70" t="str">
        <f>Q136</f>
        <v>4Q22</v>
      </c>
      <c r="R269" s="70">
        <f>R136</f>
        <v>2022</v>
      </c>
      <c r="S269" s="70" t="str">
        <f>S136</f>
        <v>1Q23</v>
      </c>
      <c r="T269" s="70" t="str">
        <f>T136</f>
        <v>2Q23</v>
      </c>
      <c r="U269" s="70" t="str">
        <f>U136</f>
        <v>3Q23</v>
      </c>
      <c r="V269" s="70" t="str">
        <f>V136</f>
        <v>4Q23</v>
      </c>
      <c r="W269" s="70">
        <f>W136</f>
        <v>2023</v>
      </c>
      <c r="X269" s="70" t="str">
        <f>X136</f>
        <v>1Q24</v>
      </c>
      <c r="Y269" s="70" t="str">
        <f>Y136</f>
        <v>2Q24</v>
      </c>
      <c r="Z269" s="70" t="str">
        <f>Z136</f>
        <v>3Q24</v>
      </c>
      <c r="AA269" s="70" t="str">
        <f>AA136</f>
        <v>4Q24</v>
      </c>
      <c r="AB269" s="70">
        <f>AB136</f>
        <v>2024</v>
      </c>
      <c r="AC269" s="70" t="str">
        <f>AC136</f>
        <v>1Q25</v>
      </c>
      <c r="AD269" s="70" t="str">
        <f>AD136</f>
        <v>2Q25</v>
      </c>
      <c r="AE269" s="70" t="str">
        <f>AE136</f>
        <v>3Q25</v>
      </c>
      <c r="AF269" s="70" t="str">
        <f>AF136</f>
        <v>4Q25</v>
      </c>
      <c r="AG269" s="70">
        <f>AG136</f>
        <v>2025</v>
      </c>
      <c r="AH269" s="70" t="str">
        <f>AH136</f>
        <v>1Q26</v>
      </c>
      <c r="AI269" s="70" t="str">
        <f>AI136</f>
        <v>2Q26</v>
      </c>
      <c r="AJ269" s="70" t="str">
        <f>AJ136</f>
        <v>3Q26</v>
      </c>
      <c r="AK269" s="70" t="str">
        <f>AK136</f>
        <v>4Q26</v>
      </c>
      <c r="AL269" s="70">
        <f>AL136</f>
        <v>2026</v>
      </c>
      <c r="AM269" s="70" t="str">
        <f>AM136</f>
        <v>1Q27</v>
      </c>
      <c r="AN269" s="70" t="str">
        <f>AN136</f>
        <v>2Q27</v>
      </c>
      <c r="AO269" s="70" t="str">
        <f>AO136</f>
        <v>3Q27</v>
      </c>
      <c r="AP269" s="70" t="str">
        <f>AP136</f>
        <v>4Q27</v>
      </c>
      <c r="AQ269" s="70">
        <f>AQ136</f>
        <v>2027</v>
      </c>
      <c r="AR269" s="70" t="str">
        <f>AR136</f>
        <v>1Q28</v>
      </c>
      <c r="AS269" s="70" t="str">
        <f>AS136</f>
        <v>2Q28</v>
      </c>
      <c r="AT269" s="70" t="str">
        <f>AT136</f>
        <v>3Q28</v>
      </c>
      <c r="AU269" s="70" t="str">
        <f>AU136</f>
        <v>4Q28</v>
      </c>
      <c r="AV269" s="70">
        <f>AV136</f>
        <v>2028</v>
      </c>
      <c r="AW269" s="70" t="str">
        <f>AW136</f>
        <v>1Q29</v>
      </c>
      <c r="AX269" s="70" t="str">
        <f>AX136</f>
        <v>2Q29</v>
      </c>
      <c r="AY269" s="70" t="str">
        <f>AY136</f>
        <v>3Q29</v>
      </c>
      <c r="AZ269" s="70" t="str">
        <f>AZ136</f>
        <v>4Q29</v>
      </c>
      <c r="BA269" s="70">
        <f>BA136</f>
        <v>2029</v>
      </c>
      <c r="BB269" s="70" t="str">
        <f>BB136</f>
        <v>1Q30</v>
      </c>
      <c r="BC269" s="70" t="str">
        <f>BC136</f>
        <v>2Q30</v>
      </c>
      <c r="BD269" s="70" t="str">
        <f>BD136</f>
        <v>3Q30</v>
      </c>
      <c r="BE269" s="70" t="str">
        <f>BE136</f>
        <v>4Q30</v>
      </c>
      <c r="BF269" s="70">
        <f>BF136</f>
        <v>2030</v>
      </c>
      <c r="BG269" s="70" t="n"/>
      <c r="BH269" s="70" t="n"/>
      <c r="BI269" s="70" t="n"/>
      <c r="BJ269" s="70" t="n"/>
      <c r="BK269" s="70" t="n"/>
      <c r="BL269" s="70" t="n"/>
      <c r="BM269" s="70" t="n"/>
      <c r="BN269" s="70" t="n"/>
      <c r="BO269" s="70" t="n"/>
      <c r="BP269" s="70" t="n"/>
      <c r="BQ269" s="70" t="n"/>
      <c r="BR269" s="70" t="n"/>
      <c r="BS269" s="70" t="n"/>
      <c r="BT269" s="70" t="n"/>
      <c r="BU269" s="70" t="n"/>
      <c r="BV269" s="70" t="n"/>
      <c r="BW269" s="70" t="n"/>
      <c r="BX269" s="70" t="n"/>
      <c r="BY269" s="70" t="n"/>
      <c r="BZ269" s="70" t="n"/>
      <c r="CA269" s="70" t="n"/>
      <c r="CB269" s="70" t="n"/>
      <c r="CC269" s="70" t="n"/>
      <c r="CD269" s="70" t="n"/>
      <c r="CE269" s="70" t="n"/>
      <c r="CF269" s="70" t="n"/>
      <c r="CG269" s="70" t="n"/>
      <c r="CH269" s="70" t="n"/>
      <c r="CI269" s="70" t="n"/>
      <c r="CJ269" s="70" t="n"/>
      <c r="CK269" s="70" t="n"/>
      <c r="CL269" s="70" t="n"/>
      <c r="CM269" s="70" t="n"/>
      <c r="CN269" s="70" t="n"/>
      <c r="CO269" s="70" t="n"/>
      <c r="CP269" s="70" t="n"/>
      <c r="CQ269" s="70" t="n"/>
      <c r="CR269" s="70" t="n"/>
      <c r="CS269" s="70" t="n"/>
      <c r="CT269" s="70" t="n"/>
      <c r="CU269" s="70" t="n"/>
      <c r="CV269" s="70" t="n"/>
      <c r="CW269" s="70" t="n"/>
      <c r="CX269" s="70" t="n"/>
      <c r="CY269" s="70" t="n"/>
    </row>
    <row r="270">
      <c r="C270" s="18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  <c r="AY270" s="3" t="n"/>
      <c r="AZ270" s="3" t="n"/>
      <c r="BA270" s="3" t="n"/>
      <c r="BB270" s="3" t="n"/>
      <c r="BC270" s="3" t="n"/>
      <c r="BD270" s="3" t="n"/>
      <c r="BE270" s="3" t="n"/>
      <c r="BF270" s="3" t="n"/>
      <c r="BG270" s="3" t="n"/>
      <c r="BH270" s="3" t="n"/>
      <c r="BI270" s="3" t="n"/>
      <c r="BJ270" s="3" t="n"/>
      <c r="BK270" s="3" t="n"/>
      <c r="BL270" s="3" t="n"/>
      <c r="BM270" s="3" t="n"/>
      <c r="BN270" s="3" t="n"/>
      <c r="BO270" s="3" t="n"/>
      <c r="BP270" s="3" t="n"/>
      <c r="BQ270" s="3" t="n"/>
      <c r="BR270" s="3" t="n"/>
      <c r="BS270" s="3" t="n"/>
      <c r="BT270" s="3" t="n"/>
      <c r="BU270" s="3" t="n"/>
      <c r="BV270" s="3" t="n"/>
      <c r="BW270" s="3" t="n"/>
      <c r="BX270" s="3" t="n"/>
      <c r="BY270" s="3" t="n"/>
      <c r="BZ270" s="3" t="n"/>
      <c r="CA270" s="3" t="n"/>
      <c r="CB270" s="3" t="n"/>
      <c r="CC270" s="3" t="n"/>
      <c r="CD270" s="3" t="n"/>
      <c r="CE270" s="3" t="n"/>
      <c r="CF270" s="3" t="n"/>
      <c r="CG270" s="3" t="n"/>
      <c r="CH270" s="3" t="n"/>
      <c r="CI270" s="3" t="n"/>
      <c r="CJ270" s="3" t="n"/>
      <c r="CK270" s="3" t="n"/>
      <c r="CL270" s="3" t="n"/>
      <c r="CM270" s="3" t="n"/>
      <c r="CN270" s="3" t="n"/>
      <c r="CO270" s="3" t="n"/>
      <c r="CP270" s="3" t="n"/>
      <c r="CQ270" s="3" t="n"/>
      <c r="CR270" s="3" t="n"/>
      <c r="CS270" s="3" t="n"/>
      <c r="CT270" s="3" t="n"/>
      <c r="CU270" s="3" t="n"/>
      <c r="CV270" s="3" t="n"/>
      <c r="CW270" s="3" t="n"/>
      <c r="CX270" s="3" t="n"/>
      <c r="CY270" s="3" t="n"/>
    </row>
    <row r="271">
      <c r="C271" s="10" t="inlineStr">
        <is>
          <t>Net Income</t>
        </is>
      </c>
      <c r="D271" s="12" t="n"/>
      <c r="E271" s="12" t="n"/>
      <c r="F271" s="12" t="n"/>
      <c r="G271" s="12" t="n"/>
      <c r="H271" s="12" t="n"/>
      <c r="I271" s="12" t="n"/>
      <c r="J271" s="12">
        <f>J131</f>
        <v>1353.013</v>
      </c>
      <c r="K271" s="12">
        <f>K131</f>
        <v>1449.071</v>
      </c>
      <c r="L271" s="12">
        <f>L131</f>
        <v>607.429</v>
      </c>
      <c r="M271" s="12" t="n"/>
      <c r="N271" s="12">
        <f>N131</f>
        <v>1597.447</v>
      </c>
      <c r="O271" s="12">
        <f>O131</f>
        <v>1440.951</v>
      </c>
      <c r="P271" s="12">
        <f>P131</f>
        <v>1398.242</v>
      </c>
      <c r="Q271" s="12">
        <f>Q131</f>
        <v>55.284</v>
      </c>
      <c r="R271" s="12">
        <f>SUM(N271:Q271)</f>
        <v>4491.924</v>
      </c>
      <c r="S271" s="12">
        <f>S131</f>
        <v>1305.12</v>
      </c>
      <c r="T271" s="12">
        <f>T131</f>
        <v>1487.61</v>
      </c>
      <c r="U271" s="12">
        <f>U131</f>
        <v>1677.422</v>
      </c>
      <c r="V271" s="12">
        <f>V131</f>
        <v>937.838000000001</v>
      </c>
      <c r="W271" s="12">
        <f>SUM(S271:V271)</f>
        <v>5407.99</v>
      </c>
      <c r="X271" s="12">
        <f>X131</f>
        <v>2332.209</v>
      </c>
      <c r="Y271" s="12">
        <f>Y131</f>
        <v>2147.306</v>
      </c>
      <c r="Z271" s="12">
        <f>Z131</f>
        <v>2363.509</v>
      </c>
      <c r="AA271" s="12">
        <f>AA131</f>
        <v>1868.607</v>
      </c>
      <c r="AB271" s="12">
        <f>SUM(X271:AA271)</f>
        <v>8711.631</v>
      </c>
      <c r="AC271" s="12">
        <f>AC131</f>
        <v>2890.351</v>
      </c>
      <c r="AD271" s="12">
        <f>AD131</f>
        <v>3125.413</v>
      </c>
      <c r="AE271" s="12">
        <f>AE131</f>
        <v>2546.916</v>
      </c>
      <c r="AF271" s="12">
        <f>AF131</f>
        <v>2418.521</v>
      </c>
      <c r="AG271" s="12">
        <f>SUM(AC271:AF271)</f>
        <v>10981.201</v>
      </c>
      <c r="AH271" s="12">
        <f>AH131</f>
        <v>5282.791</v>
      </c>
      <c r="AI271" s="12">
        <f>AI131</f>
        <v>3401.414</v>
      </c>
      <c r="AJ271" s="12">
        <f>AJ131</f>
        <v>3962.09658867766</v>
      </c>
      <c r="AK271" s="12">
        <f>AK131</f>
        <v>4148.1328874344</v>
      </c>
      <c r="AL271" s="12">
        <f>SUM(AH271:AK271)</f>
        <v>16794.4344761121</v>
      </c>
      <c r="AM271" s="12">
        <f>AM131</f>
        <v>4216.63126985495</v>
      </c>
      <c r="AN271" s="12">
        <f>AN131</f>
        <v>4323.40227795861</v>
      </c>
      <c r="AO271" s="12">
        <f>AO131</f>
        <v>4574.45053827614</v>
      </c>
      <c r="AP271" s="12">
        <f>AP131</f>
        <v>4789.23930678284</v>
      </c>
      <c r="AQ271" s="12">
        <f>SUM(AM271:AP271)</f>
        <v>17903.7233928725</v>
      </c>
      <c r="AR271" s="12">
        <f>AR131</f>
        <v>4847.24116396659</v>
      </c>
      <c r="AS271" s="12">
        <f>AS131</f>
        <v>4969.9800976026</v>
      </c>
      <c r="AT271" s="12">
        <f>AT131</f>
        <v>5258.57338064658</v>
      </c>
      <c r="AU271" s="12">
        <f>AU131</f>
        <v>5505.4844557758</v>
      </c>
      <c r="AV271" s="12">
        <f>SUM(AR271:AU271)</f>
        <v>20581.2790979916</v>
      </c>
      <c r="AW271" s="12">
        <f>AW131</f>
        <v>5547.92445940723</v>
      </c>
      <c r="AX271" s="12">
        <f>AX131</f>
        <v>5688.40567521775</v>
      </c>
      <c r="AY271" s="12">
        <f>AY131</f>
        <v>6018.71598569343</v>
      </c>
      <c r="AZ271" s="12">
        <f>AZ131</f>
        <v>6301.31879967988</v>
      </c>
      <c r="BA271" s="12">
        <f>SUM(AW271:AZ271)</f>
        <v>23556.3649199983</v>
      </c>
      <c r="BB271" s="12">
        <f>BB131</f>
        <v>6322.15401123977</v>
      </c>
      <c r="BC271" s="12">
        <f>BC131</f>
        <v>6482.23980342001</v>
      </c>
      <c r="BD271" s="12">
        <f>BD131</f>
        <v>6858.64591161543</v>
      </c>
      <c r="BE271" s="12">
        <f>BE131</f>
        <v>7180.68679863627</v>
      </c>
      <c r="BF271" s="12">
        <f>SUM(BB271:BE271)</f>
        <v>26843.7265249115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>
      <c r="C272" s="10" t="inlineStr">
        <is>
          <t>Depreciation &amp; amortization</t>
        </is>
      </c>
      <c r="D272" s="12" t="n"/>
      <c r="E272" s="12" t="n"/>
      <c r="F272" s="12" t="n"/>
      <c r="G272" s="12" t="n"/>
      <c r="H272" s="12" t="n"/>
      <c r="I272" s="12" t="n"/>
      <c r="J272" s="12">
        <f>-J64</f>
        <v>38.434</v>
      </c>
      <c r="K272" s="12">
        <f>-K64</f>
        <v>70.253</v>
      </c>
      <c r="L272" s="12">
        <f>-L64</f>
        <v>63.984</v>
      </c>
      <c r="M272" s="12" t="n"/>
      <c r="N272" s="12">
        <f>-N64</f>
        <v>74.602</v>
      </c>
      <c r="O272" s="12">
        <f>-O64</f>
        <v>83.505</v>
      </c>
      <c r="P272" s="12">
        <f>-P64</f>
        <v>85.188</v>
      </c>
      <c r="Q272" s="12">
        <f>-Q64</f>
        <v>93.387</v>
      </c>
      <c r="R272" s="12">
        <f>SUM(N272:Q272)</f>
        <v>336.682</v>
      </c>
      <c r="S272" s="12">
        <f>-S64</f>
        <v>90.335</v>
      </c>
      <c r="T272" s="12">
        <f>-T64</f>
        <v>89.385</v>
      </c>
      <c r="U272" s="12">
        <f>-U64</f>
        <v>90.66</v>
      </c>
      <c r="V272" s="12">
        <f>-V64</f>
        <v>86.567</v>
      </c>
      <c r="W272" s="12">
        <f>SUM(S272:V272)</f>
        <v>356.947</v>
      </c>
      <c r="X272" s="12">
        <f>-X64</f>
        <v>87.234</v>
      </c>
      <c r="Y272" s="12">
        <f>-Y64</f>
        <v>81.227</v>
      </c>
      <c r="Z272" s="12">
        <f>-Z64</f>
        <v>80.914</v>
      </c>
      <c r="AA272" s="12">
        <f>-AA64</f>
        <v>79.539</v>
      </c>
      <c r="AB272" s="12">
        <f>SUM(X272:AA272)</f>
        <v>328.914</v>
      </c>
      <c r="AC272" s="12">
        <f>-AC64</f>
        <v>80.067</v>
      </c>
      <c r="AD272" s="12">
        <f>-AD64</f>
        <v>80.013</v>
      </c>
      <c r="AE272" s="12">
        <f>-AE64</f>
        <v>87.326</v>
      </c>
      <c r="AF272" s="12">
        <f>-AF64</f>
        <v>85.983</v>
      </c>
      <c r="AG272" s="12">
        <f>SUM(AC272:AF272)</f>
        <v>333.389</v>
      </c>
      <c r="AH272" s="12">
        <f>-AH64</f>
        <v>98.575</v>
      </c>
      <c r="AI272" s="12">
        <f>-AI64</f>
        <v>100.53</v>
      </c>
      <c r="AJ272" s="12">
        <f>-AJ64</f>
        <v>100.97479901109</v>
      </c>
      <c r="AK272" s="12">
        <f>-AK64</f>
        <v>105.715970119692</v>
      </c>
      <c r="AL272" s="12">
        <f>SUM(AH272:AK272)</f>
        <v>405.795769130783</v>
      </c>
      <c r="AM272" s="12">
        <f>-AM64</f>
        <v>107.461664663653</v>
      </c>
      <c r="AN272" s="12">
        <f>-AN64</f>
        <v>110.182744486464</v>
      </c>
      <c r="AO272" s="12">
        <f>-AO64</f>
        <v>116.580758028104</v>
      </c>
      <c r="AP272" s="12">
        <f>-AP64</f>
        <v>122.054691397569</v>
      </c>
      <c r="AQ272" s="12">
        <f>SUM(AM272:AP272)</f>
        <v>456.27985857579</v>
      </c>
      <c r="AR272" s="12">
        <f>-AR64</f>
        <v>123.532879962718</v>
      </c>
      <c r="AS272" s="12">
        <f>-AS64</f>
        <v>126.66090546067</v>
      </c>
      <c r="AT272" s="12">
        <f>-AT64</f>
        <v>134.015761178875</v>
      </c>
      <c r="AU272" s="12">
        <f>-AU64</f>
        <v>140.308337754628</v>
      </c>
      <c r="AV272" s="12">
        <f>SUM(AR272:AU272)</f>
        <v>524.51788435689</v>
      </c>
      <c r="AW272" s="12">
        <f>-AW64</f>
        <v>141.389929467702</v>
      </c>
      <c r="AX272" s="12">
        <f>-AX64</f>
        <v>144.970120463509</v>
      </c>
      <c r="AY272" s="12">
        <f>-AY64</f>
        <v>153.388142706299</v>
      </c>
      <c r="AZ272" s="12">
        <f>-AZ64</f>
        <v>160.590330160234</v>
      </c>
      <c r="BA272" s="12">
        <f>SUM(AW272:AZ272)</f>
        <v>600.338522797744</v>
      </c>
      <c r="BB272" s="12">
        <f>-BB64</f>
        <v>161.121319562568</v>
      </c>
      <c r="BC272" s="12">
        <f>-BC64</f>
        <v>165.201136984517</v>
      </c>
      <c r="BD272" s="12">
        <f>-BD64</f>
        <v>174.793919560841</v>
      </c>
      <c r="BE272" s="12">
        <f>-BE64</f>
        <v>183.001193945117</v>
      </c>
      <c r="BF272" s="12">
        <f>SUM(BB272:BE272)</f>
        <v>684.117570053043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>
      <c r="C273" s="10" t="inlineStr">
        <is>
          <t xml:space="preserve">Changes in working capital </t>
        </is>
      </c>
      <c r="D273" s="12" t="n"/>
      <c r="E273" s="12" t="n"/>
      <c r="F273" s="12" t="n"/>
      <c r="G273" s="12" t="n"/>
      <c r="H273" s="12" t="n"/>
      <c r="I273" s="12" t="n"/>
      <c r="J273" s="12">
        <f>SUM(J274:J283)</f>
        <v>-252.165</v>
      </c>
      <c r="K273" s="12">
        <f>SUM(K274:K283)</f>
        <v>153.653</v>
      </c>
      <c r="L273" s="12">
        <f>SUM(L274:L283)</f>
        <v>286.455</v>
      </c>
      <c r="M273" s="12" t="n"/>
      <c r="N273" s="12">
        <f>SUM(N274:N283)</f>
        <v>-96.5349999999999</v>
      </c>
      <c r="O273" s="12">
        <f>SUM(O274:O283)</f>
        <v>-171.894</v>
      </c>
      <c r="P273" s="12">
        <f>SUM(P274:P283)</f>
        <v>-415.939</v>
      </c>
      <c r="Q273" s="12">
        <f>SUM(Q274:Q283)</f>
        <v>-339.801</v>
      </c>
      <c r="R273" s="12">
        <f>SUM(N273:Q273)</f>
        <v>-1024.169</v>
      </c>
      <c r="S273" s="12">
        <f>SUM(S274:S283)</f>
        <v>538.835</v>
      </c>
      <c r="T273" s="12">
        <f>SUM(T274:T283)</f>
        <v>85.2830000000002</v>
      </c>
      <c r="U273" s="12">
        <f>SUM(U274:U283)</f>
        <v>-319.995</v>
      </c>
      <c r="V273" s="12">
        <f>SUM(V274:V283)</f>
        <v>653.488000000001</v>
      </c>
      <c r="W273" s="12">
        <f>SUM(S273:V273)</f>
        <v>957.611000000001</v>
      </c>
      <c r="X273" s="12">
        <f>SUM(X274:X283)</f>
        <v>-65.8570000000004</v>
      </c>
      <c r="Y273" s="12">
        <f>SUM(Y274:Y283)</f>
        <v>-234.39</v>
      </c>
      <c r="Z273" s="12">
        <f>SUM(Z274:Z283)</f>
        <v>601.241</v>
      </c>
      <c r="AA273" s="12">
        <f>SUM(AA274:AA283)</f>
        <v>-527.251</v>
      </c>
      <c r="AB273" s="12">
        <f>SUM(X273:AA273)</f>
        <v>-226.257000000001</v>
      </c>
      <c r="AC273" s="12">
        <f>SUM(AC274:AC283)</f>
        <v>-68.3109999999991</v>
      </c>
      <c r="AD273" s="12">
        <f>SUM(AD274:AD283)</f>
        <v>-46.2470000000002</v>
      </c>
      <c r="AE273" s="12">
        <f>SUM(AE274:AE283)</f>
        <v>753.566999999999</v>
      </c>
      <c r="AF273" s="12">
        <f>SUM(AF274:AF283)</f>
        <v>-69.0829999999995</v>
      </c>
      <c r="AG273" s="12">
        <f>SUM(AC273:AF273)</f>
        <v>569.926</v>
      </c>
      <c r="AH273" s="12">
        <f>SUM(AH274:AH283)</f>
        <v>325.627999999999</v>
      </c>
      <c r="AI273" s="12">
        <f>SUM(AI274:AI283)</f>
        <v>-1424.114</v>
      </c>
      <c r="AJ273" s="12">
        <f>SUM(AJ274:AJ283)</f>
        <v>545.438892022638</v>
      </c>
      <c r="AK273" s="12">
        <f>SUM(AK274:AK283)</f>
        <v>606.953274805036</v>
      </c>
      <c r="AL273" s="12">
        <f>SUM(AH273:AK273)</f>
        <v>53.9061668276737</v>
      </c>
      <c r="AM273" s="12">
        <f>SUM(AM274:AM283)</f>
        <v>689.217137129669</v>
      </c>
      <c r="AN273" s="12">
        <f>SUM(AN274:AN283)</f>
        <v>767.929686888409</v>
      </c>
      <c r="AO273" s="12">
        <f>SUM(AO274:AO283)</f>
        <v>915.939346907415</v>
      </c>
      <c r="AP273" s="12">
        <f>SUM(AP274:AP283)</f>
        <v>1053.06522076385</v>
      </c>
      <c r="AQ273" s="12">
        <f>SUM(AM273:AP273)</f>
        <v>3426.15139168934</v>
      </c>
      <c r="AR273" s="12">
        <f>SUM(AR274:AR283)</f>
        <v>1148.23871464944</v>
      </c>
      <c r="AS273" s="12">
        <f>SUM(AS274:AS283)</f>
        <v>1319.12257903801</v>
      </c>
      <c r="AT273" s="12">
        <f>SUM(AT274:AT283)</f>
        <v>1536.44824070824</v>
      </c>
      <c r="AU273" s="12">
        <f>SUM(AU274:AU283)</f>
        <v>1761.38685934105</v>
      </c>
      <c r="AV273" s="12">
        <f>SUM(AR273:AU273)</f>
        <v>5765.19639373674</v>
      </c>
      <c r="AW273" s="12">
        <f>SUM(AW274:AW283)</f>
        <v>1933.27075906814</v>
      </c>
      <c r="AX273" s="12">
        <f>SUM(AX274:AX283)</f>
        <v>2188.5910834355</v>
      </c>
      <c r="AY273" s="12">
        <f>SUM(AY274:AY283)</f>
        <v>2543.71551393761</v>
      </c>
      <c r="AZ273" s="12">
        <f>SUM(AZ274:AZ283)</f>
        <v>2906.16940597305</v>
      </c>
      <c r="BA273" s="12">
        <f>SUM(AW273:AZ273)</f>
        <v>9571.7467624143</v>
      </c>
      <c r="BB273" s="12">
        <f>SUM(BB274:BB283)</f>
        <v>3178.08153831984</v>
      </c>
      <c r="BC273" s="12">
        <f>SUM(BC274:BC283)</f>
        <v>3601.17635472797</v>
      </c>
      <c r="BD273" s="12">
        <f>SUM(BD274:BD283)</f>
        <v>4147.99669079512</v>
      </c>
      <c r="BE273" s="12">
        <f>SUM(BE274:BE283)</f>
        <v>4721.2168356217</v>
      </c>
      <c r="BF273" s="12">
        <f>SUM(BB273:BE273)</f>
        <v>15648.4714194646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Accounts receivable</t>
        </is>
      </c>
      <c r="D274" s="12" t="n"/>
      <c r="E274" s="12" t="n"/>
      <c r="F274" s="12" t="n"/>
      <c r="G274" s="12" t="n"/>
      <c r="H274" s="12" t="n"/>
      <c r="I274" s="12" t="n"/>
      <c r="J274" s="12">
        <f>(J139-I139)*-1</f>
        <v>0</v>
      </c>
      <c r="K274" s="12">
        <f>(K139-J139)*-1</f>
        <v>0</v>
      </c>
      <c r="L274" s="12">
        <f>(L139-K139)*-1</f>
        <v>0</v>
      </c>
      <c r="M274" s="12" t="n"/>
      <c r="N274" s="12">
        <f>(N139-M139)*-1</f>
        <v>0</v>
      </c>
      <c r="O274" s="12">
        <f>(O139-N139)*-1</f>
        <v>0</v>
      </c>
      <c r="P274" s="12">
        <f>(P139-O139)*-1</f>
        <v>0</v>
      </c>
      <c r="Q274" s="12">
        <f>(Q139-P139)*-1</f>
        <v>0</v>
      </c>
      <c r="R274" s="12">
        <f>SUM(N274:Q274)</f>
        <v>0</v>
      </c>
      <c r="S274" s="12">
        <f>(S139-R139)*-1</f>
        <v>0</v>
      </c>
      <c r="T274" s="12">
        <f>(T139-S139)*-1</f>
        <v>0</v>
      </c>
      <c r="U274" s="12">
        <f>(U139-T139)*-1</f>
        <v>0</v>
      </c>
      <c r="V274" s="12">
        <f>(V139-U139)*-1</f>
        <v>0</v>
      </c>
      <c r="W274" s="12">
        <f>SUM(S274:V274)</f>
        <v>0</v>
      </c>
      <c r="X274" s="12">
        <f>(X139-W139)*-1</f>
        <v>0</v>
      </c>
      <c r="Y274" s="12">
        <f>(Y139-X139)*-1</f>
        <v>0</v>
      </c>
      <c r="Z274" s="12">
        <f>(Z139-Y139)*-1</f>
        <v>0</v>
      </c>
      <c r="AA274" s="12">
        <f>(AA139-Z139)*-1</f>
        <v>0</v>
      </c>
      <c r="AB274" s="12">
        <f>SUM(X274:AA274)</f>
        <v>0</v>
      </c>
      <c r="AC274" s="12">
        <f>(AC139-AB139)*-1</f>
        <v>0</v>
      </c>
      <c r="AD274" s="12">
        <f>(AD139-AC139)*-1</f>
        <v>0</v>
      </c>
      <c r="AE274" s="12">
        <f>(AE139-AD139)*-1</f>
        <v>0</v>
      </c>
      <c r="AF274" s="12">
        <f>(AF139-AE139)*-1</f>
        <v>0</v>
      </c>
      <c r="AG274" s="12">
        <f>SUM(AC274:AF274)</f>
        <v>0</v>
      </c>
      <c r="AH274" s="12">
        <f>(AH139-AG139)*-1</f>
        <v>0</v>
      </c>
      <c r="AI274" s="12">
        <f>(AI139-AH139)*-1</f>
        <v>0</v>
      </c>
      <c r="AJ274" s="12">
        <f>(AJ139-AI139)*-1</f>
        <v>0</v>
      </c>
      <c r="AK274" s="12">
        <f>(AK139-AJ139)*-1</f>
        <v>0</v>
      </c>
      <c r="AL274" s="12">
        <f>SUM(AH274:AK274)</f>
        <v>0</v>
      </c>
      <c r="AM274" s="12">
        <f>(AM139-AL139)*-1</f>
        <v>0</v>
      </c>
      <c r="AN274" s="12">
        <f>(AN139-AM139)*-1</f>
        <v>0</v>
      </c>
      <c r="AO274" s="12">
        <f>(AO139-AN139)*-1</f>
        <v>0</v>
      </c>
      <c r="AP274" s="12">
        <f>(AP139-AO139)*-1</f>
        <v>0</v>
      </c>
      <c r="AQ274" s="12">
        <f>SUM(AM274:AP274)</f>
        <v>0</v>
      </c>
      <c r="AR274" s="12">
        <f>(AR139-AQ139)*-1</f>
        <v>0</v>
      </c>
      <c r="AS274" s="12">
        <f>(AS139-AR139)*-1</f>
        <v>0</v>
      </c>
      <c r="AT274" s="12">
        <f>(AT139-AS139)*-1</f>
        <v>0</v>
      </c>
      <c r="AU274" s="12">
        <f>(AU139-AT139)*-1</f>
        <v>0</v>
      </c>
      <c r="AV274" s="12">
        <f>SUM(AR274:AU274)</f>
        <v>0</v>
      </c>
      <c r="AW274" s="12">
        <f>(AW139-AV139)*-1</f>
        <v>0</v>
      </c>
      <c r="AX274" s="12">
        <f>(AX139-AW139)*-1</f>
        <v>0</v>
      </c>
      <c r="AY274" s="12">
        <f>(AY139-AX139)*-1</f>
        <v>0</v>
      </c>
      <c r="AZ274" s="12">
        <f>(AZ139-AY139)*-1</f>
        <v>0</v>
      </c>
      <c r="BA274" s="12">
        <f>SUM(AW274:AZ274)</f>
        <v>0</v>
      </c>
      <c r="BB274" s="12">
        <f>(BB139-BA139)*-1</f>
        <v>0</v>
      </c>
      <c r="BC274" s="12">
        <f>(BC139-BB139)*-1</f>
        <v>0</v>
      </c>
      <c r="BD274" s="12">
        <f>(BD139-BC139)*-1</f>
        <v>0</v>
      </c>
      <c r="BE274" s="12">
        <f>(BE139-BD139)*-1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Inventories</t>
        </is>
      </c>
      <c r="D275" s="12" t="n"/>
      <c r="E275" s="12" t="n"/>
      <c r="F275" s="12" t="n"/>
      <c r="G275" s="12" t="n"/>
      <c r="H275" s="12" t="n"/>
      <c r="I275" s="12" t="n"/>
      <c r="J275" s="12">
        <f>(J143-I143)*-1</f>
        <v>0</v>
      </c>
      <c r="K275" s="12">
        <f>(K143-J143)*-1</f>
        <v>0</v>
      </c>
      <c r="L275" s="12">
        <f>(L143-K143)*-1</f>
        <v>0</v>
      </c>
      <c r="M275" s="12" t="n"/>
      <c r="N275" s="12">
        <f>(N143-M143)*-1</f>
        <v>0</v>
      </c>
      <c r="O275" s="12">
        <f>(O143-N143)*-1</f>
        <v>0</v>
      </c>
      <c r="P275" s="12">
        <f>(P143-O143)*-1</f>
        <v>0</v>
      </c>
      <c r="Q275" s="12">
        <f>(Q143-P143)*-1</f>
        <v>0</v>
      </c>
      <c r="R275" s="12">
        <f>SUM(N275:Q275)</f>
        <v>0</v>
      </c>
      <c r="S275" s="12">
        <f>(S143-R143)*-1</f>
        <v>0</v>
      </c>
      <c r="T275" s="12">
        <f>(T143-S143)*-1</f>
        <v>0</v>
      </c>
      <c r="U275" s="12">
        <f>(U143-T143)*-1</f>
        <v>0</v>
      </c>
      <c r="V275" s="12">
        <f>(V143-U143)*-1</f>
        <v>0</v>
      </c>
      <c r="W275" s="12">
        <f>SUM(S275:V275)</f>
        <v>0</v>
      </c>
      <c r="X275" s="12">
        <f>(X143-W143)*-1</f>
        <v>0</v>
      </c>
      <c r="Y275" s="12">
        <f>(Y143-X143)*-1</f>
        <v>0</v>
      </c>
      <c r="Z275" s="12">
        <f>(Z143-Y143)*-1</f>
        <v>0</v>
      </c>
      <c r="AA275" s="12">
        <f>(AA143-Z143)*-1</f>
        <v>0</v>
      </c>
      <c r="AB275" s="12">
        <f>SUM(X275:AA275)</f>
        <v>0</v>
      </c>
      <c r="AC275" s="12">
        <f>(AC143-AB143)*-1</f>
        <v>0</v>
      </c>
      <c r="AD275" s="12">
        <f>(AD143-AC143)*-1</f>
        <v>0</v>
      </c>
      <c r="AE275" s="12">
        <f>(AE143-AD143)*-1</f>
        <v>0</v>
      </c>
      <c r="AF275" s="12">
        <f>(AF143-AE143)*-1</f>
        <v>0</v>
      </c>
      <c r="AG275" s="12">
        <f>SUM(AC275:AF275)</f>
        <v>0</v>
      </c>
      <c r="AH275" s="12">
        <f>(AH143-AG143)*-1</f>
        <v>0</v>
      </c>
      <c r="AI275" s="12">
        <f>(AI143-AH143)*-1</f>
        <v>0</v>
      </c>
      <c r="AJ275" s="12">
        <f>(AJ143-AI143)*-1</f>
        <v>0</v>
      </c>
      <c r="AK275" s="12">
        <f>(AK143-AJ143)*-1</f>
        <v>0</v>
      </c>
      <c r="AL275" s="12">
        <f>SUM(AH275:AK275)</f>
        <v>0</v>
      </c>
      <c r="AM275" s="12">
        <f>(AM143-AL143)*-1</f>
        <v>0</v>
      </c>
      <c r="AN275" s="12">
        <f>(AN143-AM143)*-1</f>
        <v>0</v>
      </c>
      <c r="AO275" s="12">
        <f>(AO143-AN143)*-1</f>
        <v>0</v>
      </c>
      <c r="AP275" s="12">
        <f>(AP143-AO143)*-1</f>
        <v>0</v>
      </c>
      <c r="AQ275" s="12">
        <f>SUM(AM275:AP275)</f>
        <v>0</v>
      </c>
      <c r="AR275" s="12">
        <f>(AR143-AQ143)*-1</f>
        <v>0</v>
      </c>
      <c r="AS275" s="12">
        <f>(AS143-AR143)*-1</f>
        <v>0</v>
      </c>
      <c r="AT275" s="12">
        <f>(AT143-AS143)*-1</f>
        <v>0</v>
      </c>
      <c r="AU275" s="12">
        <f>(AU143-AT143)*-1</f>
        <v>0</v>
      </c>
      <c r="AV275" s="12">
        <f>SUM(AR275:AU275)</f>
        <v>0</v>
      </c>
      <c r="AW275" s="12">
        <f>(AW143-AV143)*-1</f>
        <v>0</v>
      </c>
      <c r="AX275" s="12">
        <f>(AX143-AW143)*-1</f>
        <v>0</v>
      </c>
      <c r="AY275" s="12">
        <f>(AY143-AX143)*-1</f>
        <v>0</v>
      </c>
      <c r="AZ275" s="12">
        <f>(AZ143-AY143)*-1</f>
        <v>0</v>
      </c>
      <c r="BA275" s="12">
        <f>SUM(AW275:AZ275)</f>
        <v>0</v>
      </c>
      <c r="BB275" s="12">
        <f>(BB143-BA143)*-1</f>
        <v>0</v>
      </c>
      <c r="BC275" s="12">
        <f>(BC143-BB143)*-1</f>
        <v>0</v>
      </c>
      <c r="BD275" s="12">
        <f>(BD143-BC143)*-1</f>
        <v>0</v>
      </c>
      <c r="BE275" s="12">
        <f>(BE143-BD143)*-1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Deferred income taxes</t>
        </is>
      </c>
      <c r="D276" s="12" t="n"/>
      <c r="E276" s="12" t="n"/>
      <c r="F276" s="12" t="n"/>
      <c r="G276" s="12" t="n"/>
      <c r="H276" s="12" t="n"/>
      <c r="I276" s="12" t="n"/>
      <c r="J276" s="12">
        <f>(J147-I147)*-1</f>
        <v>0</v>
      </c>
      <c r="K276" s="12">
        <f>(K147-J147)*-1</f>
        <v>0</v>
      </c>
      <c r="L276" s="12">
        <f>(L147-K147)*-1</f>
        <v>0</v>
      </c>
      <c r="M276" s="12" t="n"/>
      <c r="N276" s="12">
        <f>(N147-M147)*-1</f>
        <v>0</v>
      </c>
      <c r="O276" s="12">
        <f>(O147-N147)*-1</f>
        <v>0</v>
      </c>
      <c r="P276" s="12">
        <f>(P147-O147)*-1</f>
        <v>0</v>
      </c>
      <c r="Q276" s="12">
        <f>(Q147-P147)*-1</f>
        <v>0</v>
      </c>
      <c r="R276" s="12">
        <f>SUM(N276:Q276)</f>
        <v>0</v>
      </c>
      <c r="S276" s="12">
        <f>(S147-R147)*-1</f>
        <v>0</v>
      </c>
      <c r="T276" s="12">
        <f>(T147-S147)*-1</f>
        <v>0</v>
      </c>
      <c r="U276" s="12">
        <f>(U147-T147)*-1</f>
        <v>0</v>
      </c>
      <c r="V276" s="12">
        <f>(V147-U147)*-1</f>
        <v>0</v>
      </c>
      <c r="W276" s="12">
        <f>SUM(S276:V276)</f>
        <v>0</v>
      </c>
      <c r="X276" s="12">
        <f>(X147-W147)*-1</f>
        <v>0</v>
      </c>
      <c r="Y276" s="12">
        <f>(Y147-X147)*-1</f>
        <v>0</v>
      </c>
      <c r="Z276" s="12">
        <f>(Z147-Y147)*-1</f>
        <v>0</v>
      </c>
      <c r="AA276" s="12">
        <f>(AA147-Z147)*-1</f>
        <v>0</v>
      </c>
      <c r="AB276" s="12">
        <f>SUM(X276:AA276)</f>
        <v>0</v>
      </c>
      <c r="AC276" s="12">
        <f>(AC147-AB147)*-1</f>
        <v>0</v>
      </c>
      <c r="AD276" s="12">
        <f>(AD147-AC147)*-1</f>
        <v>0</v>
      </c>
      <c r="AE276" s="12">
        <f>(AE147-AD147)*-1</f>
        <v>0</v>
      </c>
      <c r="AF276" s="12">
        <f>(AF147-AE147)*-1</f>
        <v>0</v>
      </c>
      <c r="AG276" s="12">
        <f>SUM(AC276:AF276)</f>
        <v>0</v>
      </c>
      <c r="AH276" s="12">
        <f>(AH147-AG147)*-1</f>
        <v>0</v>
      </c>
      <c r="AI276" s="12">
        <f>(AI147-AH147)*-1</f>
        <v>0</v>
      </c>
      <c r="AJ276" s="12">
        <f>(AJ147-AI147)*-1</f>
        <v>0</v>
      </c>
      <c r="AK276" s="12">
        <f>(AK147-AJ147)*-1</f>
        <v>0</v>
      </c>
      <c r="AL276" s="12">
        <f>SUM(AH276:AK276)</f>
        <v>0</v>
      </c>
      <c r="AM276" s="12">
        <f>(AM147-AL147)*-1</f>
        <v>0</v>
      </c>
      <c r="AN276" s="12">
        <f>(AN147-AM147)*-1</f>
        <v>0</v>
      </c>
      <c r="AO276" s="12">
        <f>(AO147-AN147)*-1</f>
        <v>0</v>
      </c>
      <c r="AP276" s="12">
        <f>(AP147-AO147)*-1</f>
        <v>0</v>
      </c>
      <c r="AQ276" s="12">
        <f>SUM(AM276:AP276)</f>
        <v>0</v>
      </c>
      <c r="AR276" s="12">
        <f>(AR147-AQ147)*-1</f>
        <v>0</v>
      </c>
      <c r="AS276" s="12">
        <f>(AS147-AR147)*-1</f>
        <v>0</v>
      </c>
      <c r="AT276" s="12">
        <f>(AT147-AS147)*-1</f>
        <v>0</v>
      </c>
      <c r="AU276" s="12">
        <f>(AU147-AT147)*-1</f>
        <v>0</v>
      </c>
      <c r="AV276" s="12">
        <f>SUM(AR276:AU276)</f>
        <v>0</v>
      </c>
      <c r="AW276" s="12">
        <f>(AW147-AV147)*-1</f>
        <v>0</v>
      </c>
      <c r="AX276" s="12">
        <f>(AX147-AW147)*-1</f>
        <v>0</v>
      </c>
      <c r="AY276" s="12">
        <f>(AY147-AX147)*-1</f>
        <v>0</v>
      </c>
      <c r="AZ276" s="12">
        <f>(AZ147-AY147)*-1</f>
        <v>0</v>
      </c>
      <c r="BA276" s="12">
        <f>SUM(AW276:AZ276)</f>
        <v>0</v>
      </c>
      <c r="BB276" s="12">
        <f>(BB147-BA147)*-1</f>
        <v>0</v>
      </c>
      <c r="BC276" s="12">
        <f>(BC147-BB147)*-1</f>
        <v>0</v>
      </c>
      <c r="BD276" s="12">
        <f>(BD147-BC147)*-1</f>
        <v>0</v>
      </c>
      <c r="BE276" s="12">
        <f>(BE147-BD147)*-1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Prepaid expenses</t>
        </is>
      </c>
      <c r="D277" s="12" t="n"/>
      <c r="E277" s="12" t="n"/>
      <c r="F277" s="12" t="n"/>
      <c r="G277" s="12" t="n"/>
      <c r="H277" s="12" t="n"/>
      <c r="I277" s="12" t="n"/>
      <c r="J277" s="12">
        <f>(J148-I148)*-1</f>
        <v>0</v>
      </c>
      <c r="K277" s="12">
        <f>(K148-J148)*-1</f>
        <v>0</v>
      </c>
      <c r="L277" s="12">
        <f>(L148-K148)*-1</f>
        <v>0</v>
      </c>
      <c r="M277" s="12" t="n"/>
      <c r="N277" s="12">
        <f>(N148-M148)*-1</f>
        <v>0</v>
      </c>
      <c r="O277" s="12">
        <f>(O148-N148)*-1</f>
        <v>0</v>
      </c>
      <c r="P277" s="12">
        <f>(P148-O148)*-1</f>
        <v>0</v>
      </c>
      <c r="Q277" s="12">
        <f>(Q148-P148)*-1</f>
        <v>0</v>
      </c>
      <c r="R277" s="12">
        <f>SUM(N277:Q277)</f>
        <v>0</v>
      </c>
      <c r="S277" s="12">
        <f>(S148-R148)*-1</f>
        <v>0</v>
      </c>
      <c r="T277" s="12">
        <f>(T148-S148)*-1</f>
        <v>0</v>
      </c>
      <c r="U277" s="12">
        <f>(U148-T148)*-1</f>
        <v>0</v>
      </c>
      <c r="V277" s="12">
        <f>(V148-U148)*-1</f>
        <v>0</v>
      </c>
      <c r="W277" s="12">
        <f>SUM(S277:V277)</f>
        <v>0</v>
      </c>
      <c r="X277" s="12">
        <f>(X148-W148)*-1</f>
        <v>0</v>
      </c>
      <c r="Y277" s="12">
        <f>(Y148-X148)*-1</f>
        <v>0</v>
      </c>
      <c r="Z277" s="12">
        <f>(Z148-Y148)*-1</f>
        <v>0</v>
      </c>
      <c r="AA277" s="12">
        <f>(AA148-Z148)*-1</f>
        <v>0</v>
      </c>
      <c r="AB277" s="12">
        <f>SUM(X277:AA277)</f>
        <v>0</v>
      </c>
      <c r="AC277" s="12">
        <f>(AC148-AB148)*-1</f>
        <v>0</v>
      </c>
      <c r="AD277" s="12">
        <f>(AD148-AC148)*-1</f>
        <v>0</v>
      </c>
      <c r="AE277" s="12">
        <f>(AE148-AD148)*-1</f>
        <v>0</v>
      </c>
      <c r="AF277" s="12">
        <f>(AF148-AE148)*-1</f>
        <v>0</v>
      </c>
      <c r="AG277" s="12">
        <f>SUM(AC277:AF277)</f>
        <v>0</v>
      </c>
      <c r="AH277" s="12">
        <f>(AH148-AG148)*-1</f>
        <v>0</v>
      </c>
      <c r="AI277" s="12">
        <f>(AI148-AH148)*-1</f>
        <v>0</v>
      </c>
      <c r="AJ277" s="12">
        <f>(AJ148-AI148)*-1</f>
        <v>0</v>
      </c>
      <c r="AK277" s="12">
        <f>(AK148-AJ148)*-1</f>
        <v>0</v>
      </c>
      <c r="AL277" s="12">
        <f>SUM(AH277:AK277)</f>
        <v>0</v>
      </c>
      <c r="AM277" s="12">
        <f>(AM148-AL148)*-1</f>
        <v>0</v>
      </c>
      <c r="AN277" s="12">
        <f>(AN148-AM148)*-1</f>
        <v>0</v>
      </c>
      <c r="AO277" s="12">
        <f>(AO148-AN148)*-1</f>
        <v>0</v>
      </c>
      <c r="AP277" s="12">
        <f>(AP148-AO148)*-1</f>
        <v>0</v>
      </c>
      <c r="AQ277" s="12">
        <f>SUM(AM277:AP277)</f>
        <v>0</v>
      </c>
      <c r="AR277" s="12">
        <f>(AR148-AQ148)*-1</f>
        <v>0</v>
      </c>
      <c r="AS277" s="12">
        <f>(AS148-AR148)*-1</f>
        <v>0</v>
      </c>
      <c r="AT277" s="12">
        <f>(AT148-AS148)*-1</f>
        <v>0</v>
      </c>
      <c r="AU277" s="12">
        <f>(AU148-AT148)*-1</f>
        <v>0</v>
      </c>
      <c r="AV277" s="12">
        <f>SUM(AR277:AU277)</f>
        <v>0</v>
      </c>
      <c r="AW277" s="12">
        <f>(AW148-AV148)*-1</f>
        <v>0</v>
      </c>
      <c r="AX277" s="12">
        <f>(AX148-AW148)*-1</f>
        <v>0</v>
      </c>
      <c r="AY277" s="12">
        <f>(AY148-AX148)*-1</f>
        <v>0</v>
      </c>
      <c r="AZ277" s="12">
        <f>(AZ148-AY148)*-1</f>
        <v>0</v>
      </c>
      <c r="BA277" s="12">
        <f>SUM(AW277:AZ277)</f>
        <v>0</v>
      </c>
      <c r="BB277" s="12">
        <f>(BB148-BA148)*-1</f>
        <v>0</v>
      </c>
      <c r="BC277" s="12">
        <f>(BC148-BB148)*-1</f>
        <v>0</v>
      </c>
      <c r="BD277" s="12">
        <f>(BD148-BC148)*-1</f>
        <v>0</v>
      </c>
      <c r="BE277" s="12">
        <f>(BE148-BD148)*-1</f>
        <v>0</v>
      </c>
      <c r="BF277" s="12">
        <f>SUM(BB277:BE277)</f>
        <v>0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Other current assets</t>
        </is>
      </c>
      <c r="D278" s="12" t="n"/>
      <c r="E278" s="12" t="n"/>
      <c r="F278" s="12" t="n"/>
      <c r="G278" s="12" t="n"/>
      <c r="H278" s="12" t="n"/>
      <c r="I278" s="12" t="n"/>
      <c r="J278" s="12">
        <f>(J149-I149)*-1</f>
        <v>-122.943</v>
      </c>
      <c r="K278" s="12">
        <f>(K149-J149)*-1</f>
        <v>-62.3599999999999</v>
      </c>
      <c r="L278" s="12">
        <f>(L149-K149)*-1</f>
        <v>-152.915</v>
      </c>
      <c r="M278" s="12" t="n"/>
      <c r="N278" s="12">
        <f>(N149-M149)*-1</f>
        <v>-47.048</v>
      </c>
      <c r="O278" s="12">
        <f>(O149-N149)*-1</f>
        <v>67.74</v>
      </c>
      <c r="P278" s="12">
        <f>(P149-O149)*-1</f>
        <v>-681.841</v>
      </c>
      <c r="Q278" s="12">
        <f>(Q149-P149)*-1</f>
        <v>-504.851</v>
      </c>
      <c r="R278" s="12">
        <f>SUM(N278:Q278)</f>
        <v>-1166</v>
      </c>
      <c r="S278" s="12">
        <f>(S149-R149)*-1</f>
        <v>552.902</v>
      </c>
      <c r="T278" s="12">
        <f>(T149-S149)*-1</f>
        <v>-274.228</v>
      </c>
      <c r="U278" s="12">
        <f>(U149-T149)*-1</f>
        <v>17.3190000000004</v>
      </c>
      <c r="V278" s="12">
        <f>(V149-U149)*-1</f>
        <v>131.781</v>
      </c>
      <c r="W278" s="12">
        <f>SUM(S278:V278)</f>
        <v>427.774</v>
      </c>
      <c r="X278" s="12">
        <f>(X149-W149)*-1</f>
        <v>-95.3270000000002</v>
      </c>
      <c r="Y278" s="12">
        <f>(Y149-X149)*-1</f>
        <v>-84.067</v>
      </c>
      <c r="Z278" s="12">
        <f>(Z149-Y149)*-1</f>
        <v>54.4690000000001</v>
      </c>
      <c r="AA278" s="12">
        <f>(AA149-Z149)*-1</f>
        <v>-611.468</v>
      </c>
      <c r="AB278" s="12">
        <f>SUM(X278:AA278)</f>
        <v>-736.393</v>
      </c>
      <c r="AC278" s="12">
        <f>(AC149-AB149)*-1</f>
        <v>189.998</v>
      </c>
      <c r="AD278" s="12">
        <f>(AD149-AC149)*-1</f>
        <v>-275.944</v>
      </c>
      <c r="AE278" s="12">
        <f>(AE149-AD149)*-1</f>
        <v>-35.9570000000003</v>
      </c>
      <c r="AF278" s="12">
        <f>(AF149-AE149)*-1</f>
        <v>-319.289</v>
      </c>
      <c r="AG278" s="12">
        <f>SUM(AC278:AF278)</f>
        <v>-441.192</v>
      </c>
      <c r="AH278" s="12">
        <f>(AH149-AG149)*-1</f>
        <v>-824.7</v>
      </c>
      <c r="AI278" s="12">
        <f>(AI149-AH149)*-1</f>
        <v>57.1390000000001</v>
      </c>
      <c r="AJ278" s="12">
        <f>(AJ149-AI149)*-1</f>
        <v>0</v>
      </c>
      <c r="AK278" s="12">
        <f>(AK149-AJ149)*-1</f>
        <v>0</v>
      </c>
      <c r="AL278" s="12">
        <f>SUM(AH278:AK278)</f>
        <v>-767.561</v>
      </c>
      <c r="AM278" s="12">
        <f>(AM149-AL149)*-1</f>
        <v>0</v>
      </c>
      <c r="AN278" s="12">
        <f>(AN149-AM149)*-1</f>
        <v>0</v>
      </c>
      <c r="AO278" s="12">
        <f>(AO149-AN149)*-1</f>
        <v>0</v>
      </c>
      <c r="AP278" s="12">
        <f>(AP149-AO149)*-1</f>
        <v>0</v>
      </c>
      <c r="AQ278" s="12">
        <f>SUM(AM278:AP278)</f>
        <v>0</v>
      </c>
      <c r="AR278" s="12">
        <f>(AR149-AQ149)*-1</f>
        <v>0</v>
      </c>
      <c r="AS278" s="12">
        <f>(AS149-AR149)*-1</f>
        <v>0</v>
      </c>
      <c r="AT278" s="12">
        <f>(AT149-AS149)*-1</f>
        <v>0</v>
      </c>
      <c r="AU278" s="12">
        <f>(AU149-AT149)*-1</f>
        <v>0</v>
      </c>
      <c r="AV278" s="12">
        <f>SUM(AR278:AU278)</f>
        <v>0</v>
      </c>
      <c r="AW278" s="12">
        <f>(AW149-AV149)*-1</f>
        <v>0</v>
      </c>
      <c r="AX278" s="12">
        <f>(AX149-AW149)*-1</f>
        <v>0</v>
      </c>
      <c r="AY278" s="12">
        <f>(AY149-AX149)*-1</f>
        <v>0</v>
      </c>
      <c r="AZ278" s="12">
        <f>(AZ149-AY149)*-1</f>
        <v>0</v>
      </c>
      <c r="BA278" s="12">
        <f>SUM(AW278:AZ278)</f>
        <v>0</v>
      </c>
      <c r="BB278" s="12">
        <f>(BB149-BA149)*-1</f>
        <v>0</v>
      </c>
      <c r="BC278" s="12">
        <f>(BC149-BB149)*-1</f>
        <v>0</v>
      </c>
      <c r="BD278" s="12">
        <f>(BD149-BC149)*-1</f>
        <v>0</v>
      </c>
      <c r="BE278" s="12">
        <f>(BE149-BD149)*-1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Accounts payable</t>
        </is>
      </c>
      <c r="D279" s="12" t="n"/>
      <c r="E279" s="12" t="n"/>
      <c r="F279" s="12" t="n"/>
      <c r="G279" s="12" t="n"/>
      <c r="H279" s="12" t="n"/>
      <c r="I279" s="12" t="n"/>
      <c r="J279" s="12">
        <f>J192-I192</f>
        <v>89.989</v>
      </c>
      <c r="K279" s="12">
        <f>K192-J192</f>
        <v>20.1279999999999</v>
      </c>
      <c r="L279" s="12">
        <f>L192-K192</f>
        <v>194.424</v>
      </c>
      <c r="M279" s="12" t="n"/>
      <c r="N279" s="12">
        <f>N192-M192</f>
        <v>-220.281</v>
      </c>
      <c r="O279" s="12">
        <f>O192-N192</f>
        <v>-112.924</v>
      </c>
      <c r="P279" s="12">
        <f>P192-O192</f>
        <v>55.8779999999999</v>
      </c>
      <c r="Q279" s="12">
        <f>Q192-P192</f>
        <v>111.357</v>
      </c>
      <c r="R279" s="12">
        <f>SUM(N279:Q279)</f>
        <v>-165.97</v>
      </c>
      <c r="S279" s="12">
        <f>S192-R192</f>
        <v>-79.5260000000001</v>
      </c>
      <c r="T279" s="12">
        <f>T192-S192</f>
        <v>23.3870000000001</v>
      </c>
      <c r="U279" s="12">
        <f>U192-T192</f>
        <v>-80.9450000000001</v>
      </c>
      <c r="V279" s="12">
        <f>V192-U192</f>
        <v>212.983</v>
      </c>
      <c r="W279" s="12">
        <f>SUM(S279:V279)</f>
        <v>75.899</v>
      </c>
      <c r="X279" s="12">
        <f>X192-W192</f>
        <v>-140.064</v>
      </c>
      <c r="Y279" s="12">
        <f>Y192-X192</f>
        <v>-8.79099999999994</v>
      </c>
      <c r="Z279" s="12">
        <f>Z192-Y192</f>
        <v>43.396</v>
      </c>
      <c r="AA279" s="12">
        <f>AA192-Z192</f>
        <v>257.956</v>
      </c>
      <c r="AB279" s="12">
        <f>SUM(X279:AA279)</f>
        <v>152.497</v>
      </c>
      <c r="AC279" s="12">
        <f>AC192-AB192</f>
        <v>-285.42</v>
      </c>
      <c r="AD279" s="12">
        <f>AD192-AC192</f>
        <v>18.2289999999999</v>
      </c>
      <c r="AE279" s="12">
        <f>AE192-AD192</f>
        <v>160.515</v>
      </c>
      <c r="AF279" s="12">
        <f>AF192-AE192</f>
        <v>107.379</v>
      </c>
      <c r="AG279" s="12">
        <f>SUM(AC279:AF279)</f>
        <v>0.702999999999975</v>
      </c>
      <c r="AH279" s="12">
        <f>AH192-AG192</f>
        <v>-5.93099999999993</v>
      </c>
      <c r="AI279" s="12">
        <f>AI192-AH192</f>
        <v>-80.13</v>
      </c>
      <c r="AJ279" s="12">
        <f>AJ192-AI192</f>
        <v>55.1023156904652</v>
      </c>
      <c r="AK279" s="12">
        <f>AK192-AJ192</f>
        <v>40.8337051940918</v>
      </c>
      <c r="AL279" s="12">
        <f>SUM(AH279:AK279)</f>
        <v>9.87502088455699</v>
      </c>
      <c r="AM279" s="12">
        <f>AM192-AL192</f>
        <v>35.6020846001851</v>
      </c>
      <c r="AN279" s="12">
        <f>AN192-AM192</f>
        <v>13.2964612842928</v>
      </c>
      <c r="AO279" s="12">
        <f>AO192-AN192</f>
        <v>44.6752856196214</v>
      </c>
      <c r="AP279" s="12">
        <f>AP192-AO192</f>
        <v>47.1446771991148</v>
      </c>
      <c r="AQ279" s="12">
        <f>SUM(AM279:AP279)</f>
        <v>140.718508703214</v>
      </c>
      <c r="AR279" s="12">
        <f>AR192-AQ192</f>
        <v>24.4226244395848</v>
      </c>
      <c r="AS279" s="12">
        <f>AS192-AR192</f>
        <v>27.2364110116109</v>
      </c>
      <c r="AT279" s="12">
        <f>AT192-AS192</f>
        <v>51.3566090105012</v>
      </c>
      <c r="AU279" s="12">
        <f>AU192-AT192</f>
        <v>54.1953055310257</v>
      </c>
      <c r="AV279" s="12">
        <f>SUM(AR279:AU279)</f>
        <v>157.210949992723</v>
      </c>
      <c r="AW279" s="12">
        <f>AW192-AV192</f>
        <v>36.3759988659476</v>
      </c>
      <c r="AX279" s="12">
        <f>AX192-AW192</f>
        <v>17.4944779521184</v>
      </c>
      <c r="AY279" s="12">
        <f>AY192-AX192</f>
        <v>58.7803613733167</v>
      </c>
      <c r="AZ279" s="12">
        <f>AZ192-AY192</f>
        <v>62.0294000174279</v>
      </c>
      <c r="BA279" s="12">
        <f>SUM(AW279:AZ279)</f>
        <v>174.680238208811</v>
      </c>
      <c r="BB279" s="12">
        <f>BB192-BA192</f>
        <v>35.4102965639725</v>
      </c>
      <c r="BC279" s="12">
        <f>BC192-BB192</f>
        <v>19.9358849906455</v>
      </c>
      <c r="BD279" s="12">
        <f>BD192-BC192</f>
        <v>66.9833376711376</v>
      </c>
      <c r="BE279" s="12">
        <f>BE192-BD192</f>
        <v>70.685789434285</v>
      </c>
      <c r="BF279" s="12">
        <f>SUM(BB279:BE279)</f>
        <v>193.015308660041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Accrued expenses</t>
        </is>
      </c>
      <c r="D280" s="12" t="n"/>
      <c r="E280" s="12" t="n"/>
      <c r="F280" s="12" t="n"/>
      <c r="G280" s="12" t="n"/>
      <c r="H280" s="12" t="n"/>
      <c r="I280" s="12" t="n"/>
      <c r="J280" s="12">
        <f>J196-I196</f>
        <v>-166.221</v>
      </c>
      <c r="K280" s="12">
        <f>K196-J196</f>
        <v>287.529</v>
      </c>
      <c r="L280" s="12">
        <f>L196-K196</f>
        <v>36.2310000000002</v>
      </c>
      <c r="M280" s="12" t="n"/>
      <c r="N280" s="12">
        <f>N196-M196</f>
        <v>367.766</v>
      </c>
      <c r="O280" s="12">
        <f>O196-N196</f>
        <v>-221.082</v>
      </c>
      <c r="P280" s="12">
        <f>P196-O196</f>
        <v>207.52</v>
      </c>
      <c r="Q280" s="12">
        <f>Q196-P196</f>
        <v>-288.905</v>
      </c>
      <c r="R280" s="12">
        <f>SUM(N280:Q280)</f>
        <v>65.299</v>
      </c>
      <c r="S280" s="12">
        <f>S196-R196</f>
        <v>203.419</v>
      </c>
      <c r="T280" s="12">
        <f>T196-S196</f>
        <v>190.645</v>
      </c>
      <c r="U280" s="12">
        <f>U196-T196</f>
        <v>-69.806</v>
      </c>
      <c r="V280" s="12">
        <f>V196-U196</f>
        <v>-34.9479999999999</v>
      </c>
      <c r="W280" s="12">
        <f>SUM(S280:V280)</f>
        <v>289.31</v>
      </c>
      <c r="X280" s="12">
        <f>X196-W196</f>
        <v>173.468</v>
      </c>
      <c r="Y280" s="12">
        <f>Y196-X196</f>
        <v>-101.184</v>
      </c>
      <c r="Z280" s="12">
        <f>Z196-Y196</f>
        <v>365.514</v>
      </c>
      <c r="AA280" s="12">
        <f>AA196-Z196</f>
        <v>-85.2139999999999</v>
      </c>
      <c r="AB280" s="12">
        <f>SUM(X280:AA280)</f>
        <v>352.584</v>
      </c>
      <c r="AC280" s="12">
        <f>AC196-AB196</f>
        <v>202.974</v>
      </c>
      <c r="AD280" s="12">
        <f>AD196-AC196</f>
        <v>129.968</v>
      </c>
      <c r="AE280" s="12">
        <f>AE196-AD196</f>
        <v>621.825</v>
      </c>
      <c r="AF280" s="12">
        <f>AF196-AE196</f>
        <v>109.558</v>
      </c>
      <c r="AG280" s="12">
        <f>SUM(AC280:AF280)</f>
        <v>1064.325</v>
      </c>
      <c r="AH280" s="12">
        <f>AH196-AG196</f>
        <v>1221.117</v>
      </c>
      <c r="AI280" s="12">
        <f>AI196-AH196</f>
        <v>-1269.375</v>
      </c>
      <c r="AJ280" s="12">
        <f>AJ196-AI196</f>
        <v>490.336576332173</v>
      </c>
      <c r="AK280" s="12">
        <f>AK196-AJ196</f>
        <v>566.119569610944</v>
      </c>
      <c r="AL280" s="12">
        <f>SUM(AH280:AK280)</f>
        <v>1008.19814594312</v>
      </c>
      <c r="AM280" s="12">
        <f>AM196-AL196</f>
        <v>653.615052529484</v>
      </c>
      <c r="AN280" s="12">
        <f>AN196-AM196</f>
        <v>754.633225604116</v>
      </c>
      <c r="AO280" s="12">
        <f>AO196-AN196</f>
        <v>871.264061287793</v>
      </c>
      <c r="AP280" s="12">
        <f>AP196-AO196</f>
        <v>1005.92054356473</v>
      </c>
      <c r="AQ280" s="12">
        <f>SUM(AM280:AP280)</f>
        <v>3285.43288298613</v>
      </c>
      <c r="AR280" s="12">
        <f>AR196-AQ196</f>
        <v>1123.81609020985</v>
      </c>
      <c r="AS280" s="12">
        <f>AS196-AR196</f>
        <v>1291.8861680264</v>
      </c>
      <c r="AT280" s="12">
        <f>AT196-AS196</f>
        <v>1485.09163169774</v>
      </c>
      <c r="AU280" s="12">
        <f>AU196-AT196</f>
        <v>1707.19155381003</v>
      </c>
      <c r="AV280" s="12">
        <f>SUM(AR280:AU280)</f>
        <v>5607.98544374402</v>
      </c>
      <c r="AW280" s="12">
        <f>AW196-AV196</f>
        <v>1896.89476020219</v>
      </c>
      <c r="AX280" s="12">
        <f>AX196-AW196</f>
        <v>2171.09660548338</v>
      </c>
      <c r="AY280" s="12">
        <f>AY196-AX196</f>
        <v>2484.93515256429</v>
      </c>
      <c r="AZ280" s="12">
        <f>AZ196-AY196</f>
        <v>2844.14000595562</v>
      </c>
      <c r="BA280" s="12">
        <f>SUM(AW280:AZ280)</f>
        <v>9397.06652420549</v>
      </c>
      <c r="BB280" s="12">
        <f>BB196-BA196</f>
        <v>3142.67124175587</v>
      </c>
      <c r="BC280" s="12">
        <f>BC196-BB196</f>
        <v>3581.24046973733</v>
      </c>
      <c r="BD280" s="12">
        <f>BD196-BC196</f>
        <v>4081.01335312398</v>
      </c>
      <c r="BE280" s="12">
        <f>BE196-BD196</f>
        <v>4650.53104618741</v>
      </c>
      <c r="BF280" s="12">
        <f>SUM(BB280:BE280)</f>
        <v>15455.4561108046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Taxes payable</t>
        </is>
      </c>
      <c r="D281" s="12" t="n"/>
      <c r="E281" s="12" t="n"/>
      <c r="F281" s="12" t="n"/>
      <c r="G281" s="12" t="n"/>
      <c r="H281" s="12" t="n"/>
      <c r="I281" s="12" t="n"/>
      <c r="J281" s="12">
        <f>J198-I198</f>
        <v>0</v>
      </c>
      <c r="K281" s="12">
        <f>K198-J198</f>
        <v>0</v>
      </c>
      <c r="L281" s="12">
        <f>L198-K198</f>
        <v>0</v>
      </c>
      <c r="M281" s="12" t="n"/>
      <c r="N281" s="12">
        <f>N198-M198</f>
        <v>0</v>
      </c>
      <c r="O281" s="12">
        <f>O198-N198</f>
        <v>0</v>
      </c>
      <c r="P281" s="12">
        <f>P198-O198</f>
        <v>0</v>
      </c>
      <c r="Q281" s="12">
        <f>Q198-P198</f>
        <v>0</v>
      </c>
      <c r="R281" s="12">
        <f>SUM(N281:Q281)</f>
        <v>0</v>
      </c>
      <c r="S281" s="12">
        <f>S198-R198</f>
        <v>0</v>
      </c>
      <c r="T281" s="12">
        <f>T198-S198</f>
        <v>0</v>
      </c>
      <c r="U281" s="12">
        <f>U198-T198</f>
        <v>0</v>
      </c>
      <c r="V281" s="12">
        <f>V198-U198</f>
        <v>0</v>
      </c>
      <c r="W281" s="12">
        <f>SUM(S281:V281)</f>
        <v>0</v>
      </c>
      <c r="X281" s="12">
        <f>X198-W198</f>
        <v>0</v>
      </c>
      <c r="Y281" s="12">
        <f>Y198-X198</f>
        <v>0</v>
      </c>
      <c r="Z281" s="12">
        <f>Z198-Y198</f>
        <v>0</v>
      </c>
      <c r="AA281" s="12">
        <f>AA198-Z198</f>
        <v>0</v>
      </c>
      <c r="AB281" s="12">
        <f>SUM(X281:AA281)</f>
        <v>0</v>
      </c>
      <c r="AC281" s="12">
        <f>AC198-AB198</f>
        <v>0</v>
      </c>
      <c r="AD281" s="12">
        <f>AD198-AC198</f>
        <v>0</v>
      </c>
      <c r="AE281" s="12">
        <f>AE198-AD198</f>
        <v>0</v>
      </c>
      <c r="AF281" s="12">
        <f>AF198-AE198</f>
        <v>0</v>
      </c>
      <c r="AG281" s="12">
        <f>SUM(AC281:AF281)</f>
        <v>0</v>
      </c>
      <c r="AH281" s="12">
        <f>AH198-AG198</f>
        <v>0</v>
      </c>
      <c r="AI281" s="12">
        <f>AI198-AH198</f>
        <v>0</v>
      </c>
      <c r="AJ281" s="12">
        <f>AJ198-AI198</f>
        <v>0</v>
      </c>
      <c r="AK281" s="12">
        <f>AK198-AJ198</f>
        <v>0</v>
      </c>
      <c r="AL281" s="12">
        <f>SUM(AH281:AK281)</f>
        <v>0</v>
      </c>
      <c r="AM281" s="12">
        <f>AM198-AL198</f>
        <v>0</v>
      </c>
      <c r="AN281" s="12">
        <f>AN198-AM198</f>
        <v>0</v>
      </c>
      <c r="AO281" s="12">
        <f>AO198-AN198</f>
        <v>0</v>
      </c>
      <c r="AP281" s="12">
        <f>AP198-AO198</f>
        <v>0</v>
      </c>
      <c r="AQ281" s="12">
        <f>SUM(AM281:AP281)</f>
        <v>0</v>
      </c>
      <c r="AR281" s="12">
        <f>AR198-AQ198</f>
        <v>0</v>
      </c>
      <c r="AS281" s="12">
        <f>AS198-AR198</f>
        <v>0</v>
      </c>
      <c r="AT281" s="12">
        <f>AT198-AS198</f>
        <v>0</v>
      </c>
      <c r="AU281" s="12">
        <f>AU198-AT198</f>
        <v>0</v>
      </c>
      <c r="AV281" s="12">
        <f>SUM(AR281:AU281)</f>
        <v>0</v>
      </c>
      <c r="AW281" s="12">
        <f>AW198-AV198</f>
        <v>0</v>
      </c>
      <c r="AX281" s="12">
        <f>AX198-AW198</f>
        <v>0</v>
      </c>
      <c r="AY281" s="12">
        <f>AY198-AX198</f>
        <v>0</v>
      </c>
      <c r="AZ281" s="12">
        <f>AZ198-AY198</f>
        <v>0</v>
      </c>
      <c r="BA281" s="12">
        <f>SUM(AW281:AZ281)</f>
        <v>0</v>
      </c>
      <c r="BB281" s="12">
        <f>BB198-BA198</f>
        <v>0</v>
      </c>
      <c r="BC281" s="12">
        <f>BC198-BB198</f>
        <v>0</v>
      </c>
      <c r="BD281" s="12">
        <f>BD198-BC198</f>
        <v>0</v>
      </c>
      <c r="BE281" s="12">
        <f>BE198-BD198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Other current liabilities (non-debt)</t>
        </is>
      </c>
      <c r="D282" s="12" t="n"/>
      <c r="E282" s="12" t="n"/>
      <c r="F282" s="12" t="n"/>
      <c r="G282" s="12" t="n"/>
      <c r="H282" s="12" t="n"/>
      <c r="I282" s="12" t="n"/>
      <c r="J282" s="12">
        <f>J199-I199</f>
        <v>-52.9899999999998</v>
      </c>
      <c r="K282" s="12">
        <f>K199-J199</f>
        <v>-91.6440000000002</v>
      </c>
      <c r="L282" s="12">
        <f>L199-K199</f>
        <v>208.715</v>
      </c>
      <c r="M282" s="12" t="n"/>
      <c r="N282" s="12">
        <f>N199-M199</f>
        <v>-196.972</v>
      </c>
      <c r="O282" s="12">
        <f>O199-N199</f>
        <v>94.3719999999994</v>
      </c>
      <c r="P282" s="12">
        <f>P199-O199</f>
        <v>2.50399999999991</v>
      </c>
      <c r="Q282" s="12">
        <f>Q199-P199</f>
        <v>342.598</v>
      </c>
      <c r="R282" s="12">
        <f>SUM(N282:Q282)</f>
        <v>242.502</v>
      </c>
      <c r="S282" s="12">
        <f>S199-R199</f>
        <v>-137.96</v>
      </c>
      <c r="T282" s="12">
        <f>T199-S199</f>
        <v>145.479</v>
      </c>
      <c r="U282" s="12">
        <f>U199-T199</f>
        <v>-186.563</v>
      </c>
      <c r="V282" s="12">
        <f>V199-U199</f>
        <v>343.672000000001</v>
      </c>
      <c r="W282" s="12">
        <f>SUM(S282:V282)</f>
        <v>164.628000000001</v>
      </c>
      <c r="X282" s="12">
        <f>X199-W199</f>
        <v>-3.9340000000002</v>
      </c>
      <c r="Y282" s="12">
        <f>Y199-X199</f>
        <v>-40.348</v>
      </c>
      <c r="Z282" s="12">
        <f>Z199-Y199</f>
        <v>137.862</v>
      </c>
      <c r="AA282" s="12">
        <f>AA199-Z199</f>
        <v>-88.5250000000006</v>
      </c>
      <c r="AB282" s="12">
        <f>SUM(X282:AA282)</f>
        <v>5.05499999999938</v>
      </c>
      <c r="AC282" s="12">
        <f>AC199-AB199</f>
        <v>-175.862999999999</v>
      </c>
      <c r="AD282" s="12">
        <f>AD199-AC199</f>
        <v>81.5</v>
      </c>
      <c r="AE282" s="12">
        <f>AE199-AD199</f>
        <v>7.18399999999929</v>
      </c>
      <c r="AF282" s="12">
        <f>AF199-AE199</f>
        <v>33.2690000000002</v>
      </c>
      <c r="AG282" s="12">
        <f>SUM(AC282:AF282)</f>
        <v>-53.9099999999999</v>
      </c>
      <c r="AH282" s="12">
        <f>AH199-AG199</f>
        <v>-64.8580000000002</v>
      </c>
      <c r="AI282" s="12">
        <f>AI199-AH199</f>
        <v>-131.748</v>
      </c>
      <c r="AJ282" s="12">
        <f>AJ199-AI199</f>
        <v>0</v>
      </c>
      <c r="AK282" s="12">
        <f>AK199-AJ199</f>
        <v>0</v>
      </c>
      <c r="AL282" s="12">
        <f>SUM(AH282:AK282)</f>
        <v>-196.606</v>
      </c>
      <c r="AM282" s="12">
        <f>AM199-AL199</f>
        <v>0</v>
      </c>
      <c r="AN282" s="12">
        <f>AN199-AM199</f>
        <v>0</v>
      </c>
      <c r="AO282" s="12">
        <f>AO199-AN199</f>
        <v>0</v>
      </c>
      <c r="AP282" s="12">
        <f>AP199-AO199</f>
        <v>0</v>
      </c>
      <c r="AQ282" s="12">
        <f>SUM(AM282:AP282)</f>
        <v>0</v>
      </c>
      <c r="AR282" s="12">
        <f>AR199-AQ199</f>
        <v>0</v>
      </c>
      <c r="AS282" s="12">
        <f>AS199-AR199</f>
        <v>0</v>
      </c>
      <c r="AT282" s="12">
        <f>AT199-AS199</f>
        <v>0</v>
      </c>
      <c r="AU282" s="12">
        <f>AU199-AT199</f>
        <v>0</v>
      </c>
      <c r="AV282" s="12">
        <f>SUM(AR282:AU282)</f>
        <v>0</v>
      </c>
      <c r="AW282" s="12">
        <f>AW199-AV199</f>
        <v>0</v>
      </c>
      <c r="AX282" s="12">
        <f>AX199-AW199</f>
        <v>0</v>
      </c>
      <c r="AY282" s="12">
        <f>AY199-AX199</f>
        <v>0</v>
      </c>
      <c r="AZ282" s="12">
        <f>AZ199-AY199</f>
        <v>0</v>
      </c>
      <c r="BA282" s="12">
        <f>SUM(AW282:AZ282)</f>
        <v>0</v>
      </c>
      <c r="BB282" s="12">
        <f>BB199-BA199</f>
        <v>0</v>
      </c>
      <c r="BC282" s="12">
        <f>BC199-BB199</f>
        <v>0</v>
      </c>
      <c r="BD282" s="12">
        <f>BD199-BC199</f>
        <v>0</v>
      </c>
      <c r="BE282" s="12">
        <f>BE199-BD199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Deferred income taxes</t>
        </is>
      </c>
      <c r="D283" s="12" t="n"/>
      <c r="E283" s="12" t="n"/>
      <c r="F283" s="12" t="n"/>
      <c r="G283" s="12" t="n"/>
      <c r="H283" s="12" t="n"/>
      <c r="I283" s="12" t="n"/>
      <c r="J283" s="12">
        <f>J233-I233</f>
        <v>0</v>
      </c>
      <c r="K283" s="12">
        <f>K233-J233</f>
        <v>0</v>
      </c>
      <c r="L283" s="12">
        <f>L233-K233</f>
        <v>0</v>
      </c>
      <c r="M283" s="12" t="n"/>
      <c r="N283" s="12">
        <f>N233-M233</f>
        <v>0</v>
      </c>
      <c r="O283" s="12">
        <f>O233-N233</f>
        <v>0</v>
      </c>
      <c r="P283" s="12">
        <f>P233-O233</f>
        <v>0</v>
      </c>
      <c r="Q283" s="12">
        <f>Q233-P233</f>
        <v>0</v>
      </c>
      <c r="R283" s="12">
        <f>SUM(N283:Q283)</f>
        <v>0</v>
      </c>
      <c r="S283" s="12">
        <f>S233-R233</f>
        <v>0</v>
      </c>
      <c r="T283" s="12">
        <f>T233-S233</f>
        <v>0</v>
      </c>
      <c r="U283" s="12">
        <f>U233-T233</f>
        <v>0</v>
      </c>
      <c r="V283" s="12">
        <f>V233-U233</f>
        <v>0</v>
      </c>
      <c r="W283" s="12">
        <f>SUM(S283:V283)</f>
        <v>0</v>
      </c>
      <c r="X283" s="12">
        <f>X233-W233</f>
        <v>0</v>
      </c>
      <c r="Y283" s="12">
        <f>Y233-X233</f>
        <v>0</v>
      </c>
      <c r="Z283" s="12">
        <f>Z233-Y233</f>
        <v>0</v>
      </c>
      <c r="AA283" s="12">
        <f>AA233-Z233</f>
        <v>0</v>
      </c>
      <c r="AB283" s="12">
        <f>SUM(X283:AA283)</f>
        <v>0</v>
      </c>
      <c r="AC283" s="12">
        <f>AC233-AB233</f>
        <v>0</v>
      </c>
      <c r="AD283" s="12">
        <f>AD233-AC233</f>
        <v>0</v>
      </c>
      <c r="AE283" s="12">
        <f>AE233-AD233</f>
        <v>0</v>
      </c>
      <c r="AF283" s="12">
        <f>AF233-AE233</f>
        <v>0</v>
      </c>
      <c r="AG283" s="12">
        <f>SUM(AC283:AF283)</f>
        <v>0</v>
      </c>
      <c r="AH283" s="12">
        <f>AH233-AG233</f>
        <v>0</v>
      </c>
      <c r="AI283" s="12">
        <f>AI233-AH233</f>
        <v>0</v>
      </c>
      <c r="AJ283" s="12">
        <f>AJ233-AI233</f>
        <v>0</v>
      </c>
      <c r="AK283" s="12">
        <f>AK233-AJ233</f>
        <v>0</v>
      </c>
      <c r="AL283" s="12">
        <f>SUM(AH283:AK283)</f>
        <v>0</v>
      </c>
      <c r="AM283" s="12">
        <f>AM233-AL233</f>
        <v>0</v>
      </c>
      <c r="AN283" s="12">
        <f>AN233-AM233</f>
        <v>0</v>
      </c>
      <c r="AO283" s="12">
        <f>AO233-AN233</f>
        <v>0</v>
      </c>
      <c r="AP283" s="12">
        <f>AP233-AO233</f>
        <v>0</v>
      </c>
      <c r="AQ283" s="12">
        <f>SUM(AM283:AP283)</f>
        <v>0</v>
      </c>
      <c r="AR283" s="12">
        <f>AR233-AQ233</f>
        <v>0</v>
      </c>
      <c r="AS283" s="12">
        <f>AS233-AR233</f>
        <v>0</v>
      </c>
      <c r="AT283" s="12">
        <f>AT233-AS233</f>
        <v>0</v>
      </c>
      <c r="AU283" s="12">
        <f>AU233-AT233</f>
        <v>0</v>
      </c>
      <c r="AV283" s="12">
        <f>SUM(AR283:AU283)</f>
        <v>0</v>
      </c>
      <c r="AW283" s="12">
        <f>AW233-AV233</f>
        <v>0</v>
      </c>
      <c r="AX283" s="12">
        <f>AX233-AW233</f>
        <v>0</v>
      </c>
      <c r="AY283" s="12">
        <f>AY233-AX233</f>
        <v>0</v>
      </c>
      <c r="AZ283" s="12">
        <f>AZ233-AY233</f>
        <v>0</v>
      </c>
      <c r="BA283" s="12">
        <f>SUM(AW283:AZ283)</f>
        <v>0</v>
      </c>
      <c r="BB283" s="12">
        <f>BB233-BA233</f>
        <v>0</v>
      </c>
      <c r="BC283" s="12">
        <f>BC233-BB233</f>
        <v>0</v>
      </c>
      <c r="BD283" s="12">
        <f>BD233-BC233</f>
        <v>0</v>
      </c>
      <c r="BE283" s="12">
        <f>BE233-BD233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collapsed="1">
      <c r="C284" s="10" t="inlineStr">
        <is>
          <t>Equity income in affiliates</t>
        </is>
      </c>
      <c r="D284" s="12" t="n"/>
      <c r="E284" s="12" t="n"/>
      <c r="F284" s="12" t="n"/>
      <c r="G284" s="12" t="n"/>
      <c r="H284" s="12" t="n"/>
      <c r="I284" s="12" t="n"/>
      <c r="J284" s="12">
        <f>(J155-I155)*-1</f>
        <v>0</v>
      </c>
      <c r="K284" s="12">
        <f>(K155-J155)*-1</f>
        <v>0</v>
      </c>
      <c r="L284" s="12">
        <f>(L155-K155)*-1</f>
        <v>0</v>
      </c>
      <c r="M284" s="12" t="n"/>
      <c r="N284" s="12">
        <f>(N155-M155)*-1</f>
        <v>0</v>
      </c>
      <c r="O284" s="12">
        <f>(O155-N155)*-1</f>
        <v>0</v>
      </c>
      <c r="P284" s="12">
        <f>(P155-O155)*-1</f>
        <v>0</v>
      </c>
      <c r="Q284" s="12">
        <f>(Q155-P155)*-1</f>
        <v>0</v>
      </c>
      <c r="R284" s="12">
        <f>SUM(N284:Q284)</f>
        <v>0</v>
      </c>
      <c r="S284" s="12">
        <f>(S155-R155)*-1</f>
        <v>0</v>
      </c>
      <c r="T284" s="12">
        <f>(T155-S155)*-1</f>
        <v>0</v>
      </c>
      <c r="U284" s="12">
        <f>(U155-T155)*-1</f>
        <v>0</v>
      </c>
      <c r="V284" s="12">
        <f>(V155-U155)*-1</f>
        <v>0</v>
      </c>
      <c r="W284" s="12">
        <f>SUM(S284:V284)</f>
        <v>0</v>
      </c>
      <c r="X284" s="12">
        <f>(X155-W155)*-1</f>
        <v>0</v>
      </c>
      <c r="Y284" s="12">
        <f>(Y155-X155)*-1</f>
        <v>0</v>
      </c>
      <c r="Z284" s="12">
        <f>(Z155-Y155)*-1</f>
        <v>0</v>
      </c>
      <c r="AA284" s="12">
        <f>(AA155-Z155)*-1</f>
        <v>0</v>
      </c>
      <c r="AB284" s="12">
        <f>SUM(X284:AA284)</f>
        <v>0</v>
      </c>
      <c r="AC284" s="12">
        <f>(AC155-AB155)*-1</f>
        <v>0</v>
      </c>
      <c r="AD284" s="12">
        <f>(AD155-AC155)*-1</f>
        <v>0</v>
      </c>
      <c r="AE284" s="12">
        <f>(AE155-AD155)*-1</f>
        <v>0</v>
      </c>
      <c r="AF284" s="12">
        <f>(AF155-AE155)*-1</f>
        <v>0</v>
      </c>
      <c r="AG284" s="12">
        <f>SUM(AC284:AF284)</f>
        <v>0</v>
      </c>
      <c r="AH284" s="12">
        <f>(AH155-AG155)*-1</f>
        <v>0</v>
      </c>
      <c r="AI284" s="12">
        <f>(AI155-AH155)*-1</f>
        <v>0</v>
      </c>
      <c r="AJ284" s="12">
        <f>(AJ155-AI155)*-1</f>
        <v>0</v>
      </c>
      <c r="AK284" s="12">
        <f>(AK155-AJ155)*-1</f>
        <v>0</v>
      </c>
      <c r="AL284" s="12">
        <f>SUM(AH284:AK284)</f>
        <v>0</v>
      </c>
      <c r="AM284" s="12">
        <f>(AM155-AL155)*-1</f>
        <v>0</v>
      </c>
      <c r="AN284" s="12">
        <f>(AN155-AM155)*-1</f>
        <v>0</v>
      </c>
      <c r="AO284" s="12">
        <f>(AO155-AN155)*-1</f>
        <v>0</v>
      </c>
      <c r="AP284" s="12">
        <f>(AP155-AO155)*-1</f>
        <v>0</v>
      </c>
      <c r="AQ284" s="12">
        <f>SUM(AM284:AP284)</f>
        <v>0</v>
      </c>
      <c r="AR284" s="12">
        <f>(AR155-AQ155)*-1</f>
        <v>0</v>
      </c>
      <c r="AS284" s="12">
        <f>(AS155-AR155)*-1</f>
        <v>0</v>
      </c>
      <c r="AT284" s="12">
        <f>(AT155-AS155)*-1</f>
        <v>0</v>
      </c>
      <c r="AU284" s="12">
        <f>(AU155-AT155)*-1</f>
        <v>0</v>
      </c>
      <c r="AV284" s="12">
        <f>SUM(AR284:AU284)</f>
        <v>0</v>
      </c>
      <c r="AW284" s="12">
        <f>(AW155-AV155)*-1</f>
        <v>0</v>
      </c>
      <c r="AX284" s="12">
        <f>(AX155-AW155)*-1</f>
        <v>0</v>
      </c>
      <c r="AY284" s="12">
        <f>(AY155-AX155)*-1</f>
        <v>0</v>
      </c>
      <c r="AZ284" s="12">
        <f>(AZ155-AY155)*-1</f>
        <v>0</v>
      </c>
      <c r="BA284" s="12">
        <f>SUM(AW284:AZ284)</f>
        <v>0</v>
      </c>
      <c r="BB284" s="12">
        <f>(BB155-BA155)*-1</f>
        <v>0</v>
      </c>
      <c r="BC284" s="12">
        <f>(BC155-BB155)*-1</f>
        <v>0</v>
      </c>
      <c r="BD284" s="12">
        <f>(BD155-BC155)*-1</f>
        <v>0</v>
      </c>
      <c r="BE284" s="12">
        <f>(BE155-BD155)*-1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0" t="inlineStr">
        <is>
          <t>Dividends received from affiliates</t>
        </is>
      </c>
      <c r="D285" s="12" t="n"/>
      <c r="E285" s="12" t="n"/>
      <c r="F285" s="12" t="n"/>
      <c r="G285" s="12" t="n"/>
      <c r="H285" s="12" t="n"/>
      <c r="I285" s="12" t="n"/>
      <c r="J285" s="12">
        <f>-J158</f>
        <v>0</v>
      </c>
      <c r="K285" s="12">
        <f>-K158</f>
        <v>0</v>
      </c>
      <c r="L285" s="12">
        <f>-L158</f>
        <v>0</v>
      </c>
      <c r="M285" s="12" t="n"/>
      <c r="N285" s="12">
        <f>-N158</f>
        <v>0</v>
      </c>
      <c r="O285" s="12">
        <f>-O158</f>
        <v>0</v>
      </c>
      <c r="P285" s="12">
        <f>-P158</f>
        <v>0</v>
      </c>
      <c r="Q285" s="12">
        <f>-Q158</f>
        <v>0</v>
      </c>
      <c r="R285" s="12">
        <f>SUM(N285:Q285)</f>
        <v>0</v>
      </c>
      <c r="S285" s="12">
        <f>-S158</f>
        <v>0</v>
      </c>
      <c r="T285" s="12">
        <f>-T158</f>
        <v>0</v>
      </c>
      <c r="U285" s="12">
        <f>-U158</f>
        <v>0</v>
      </c>
      <c r="V285" s="12">
        <f>-V158</f>
        <v>0</v>
      </c>
      <c r="W285" s="12">
        <f>SUM(S285:V285)</f>
        <v>0</v>
      </c>
      <c r="X285" s="12">
        <f>-X158</f>
        <v>0</v>
      </c>
      <c r="Y285" s="12">
        <f>-Y158</f>
        <v>0</v>
      </c>
      <c r="Z285" s="12">
        <f>-Z158</f>
        <v>0</v>
      </c>
      <c r="AA285" s="12">
        <f>-AA158</f>
        <v>0</v>
      </c>
      <c r="AB285" s="12">
        <f>SUM(X285:AA285)</f>
        <v>0</v>
      </c>
      <c r="AC285" s="12">
        <f>-AC158</f>
        <v>0</v>
      </c>
      <c r="AD285" s="12">
        <f>-AD158</f>
        <v>0</v>
      </c>
      <c r="AE285" s="12">
        <f>-AE158</f>
        <v>0</v>
      </c>
      <c r="AF285" s="12">
        <f>-AF158</f>
        <v>0</v>
      </c>
      <c r="AG285" s="12">
        <f>SUM(AC285:AF285)</f>
        <v>0</v>
      </c>
      <c r="AH285" s="12">
        <f>-AH158</f>
        <v>0</v>
      </c>
      <c r="AI285" s="12">
        <f>-AI158</f>
        <v>0</v>
      </c>
      <c r="AJ285" s="12">
        <f>-AJ158</f>
        <v>0</v>
      </c>
      <c r="AK285" s="12">
        <f>-AK158</f>
        <v>0</v>
      </c>
      <c r="AL285" s="12">
        <f>SUM(AH285:AK285)</f>
        <v>0</v>
      </c>
      <c r="AM285" s="12">
        <f>-AM158</f>
        <v>0</v>
      </c>
      <c r="AN285" s="12">
        <f>-AN158</f>
        <v>0</v>
      </c>
      <c r="AO285" s="12">
        <f>-AO158</f>
        <v>0</v>
      </c>
      <c r="AP285" s="12">
        <f>-AP158</f>
        <v>0</v>
      </c>
      <c r="AQ285" s="12">
        <f>SUM(AM285:AP285)</f>
        <v>0</v>
      </c>
      <c r="AR285" s="12">
        <f>-AR158</f>
        <v>0</v>
      </c>
      <c r="AS285" s="12">
        <f>-AS158</f>
        <v>0</v>
      </c>
      <c r="AT285" s="12">
        <f>-AT158</f>
        <v>0</v>
      </c>
      <c r="AU285" s="12">
        <f>-AU158</f>
        <v>0</v>
      </c>
      <c r="AV285" s="12">
        <f>SUM(AR285:AU285)</f>
        <v>0</v>
      </c>
      <c r="AW285" s="12">
        <f>-AW158</f>
        <v>0</v>
      </c>
      <c r="AX285" s="12">
        <f>-AX158</f>
        <v>0</v>
      </c>
      <c r="AY285" s="12">
        <f>-AY158</f>
        <v>0</v>
      </c>
      <c r="AZ285" s="12">
        <f>-AZ158</f>
        <v>0</v>
      </c>
      <c r="BA285" s="12">
        <f>SUM(AW285:AZ285)</f>
        <v>0</v>
      </c>
      <c r="BB285" s="12">
        <f>-BB158</f>
        <v>0</v>
      </c>
      <c r="BC285" s="12">
        <f>-BC158</f>
        <v>0</v>
      </c>
      <c r="BD285" s="12">
        <f>-BD158</f>
        <v>0</v>
      </c>
      <c r="BE285" s="12">
        <f>-BE158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71" t="inlineStr">
        <is>
          <t>Minority interest expense</t>
        </is>
      </c>
      <c r="D286" s="12" t="n"/>
      <c r="E286" s="12" t="n"/>
      <c r="F286" s="12" t="n"/>
      <c r="G286" s="12" t="n"/>
      <c r="H286" s="12" t="n"/>
      <c r="I286" s="12" t="n"/>
      <c r="J286" s="12">
        <f>-J130</f>
        <v>0</v>
      </c>
      <c r="K286" s="12">
        <f>-K130</f>
        <v>0</v>
      </c>
      <c r="L286" s="12">
        <f>-L130</f>
        <v>0</v>
      </c>
      <c r="M286" s="12" t="n"/>
      <c r="N286" s="12">
        <f>-N130</f>
        <v>0</v>
      </c>
      <c r="O286" s="12">
        <f>-O130</f>
        <v>0</v>
      </c>
      <c r="P286" s="12">
        <f>-P130</f>
        <v>0</v>
      </c>
      <c r="Q286" s="12">
        <f>-Q130</f>
        <v>0</v>
      </c>
      <c r="R286" s="12">
        <f>SUM(N286:Q286)</f>
        <v>0</v>
      </c>
      <c r="S286" s="12">
        <f>-S130</f>
        <v>0</v>
      </c>
      <c r="T286" s="12">
        <f>-T130</f>
        <v>0</v>
      </c>
      <c r="U286" s="12">
        <f>-U130</f>
        <v>0</v>
      </c>
      <c r="V286" s="12">
        <f>-V130</f>
        <v>0</v>
      </c>
      <c r="W286" s="12">
        <f>SUM(S286:V286)</f>
        <v>0</v>
      </c>
      <c r="X286" s="12">
        <f>-X130</f>
        <v>0</v>
      </c>
      <c r="Y286" s="12">
        <f>-Y130</f>
        <v>0</v>
      </c>
      <c r="Z286" s="12">
        <f>-Z130</f>
        <v>0</v>
      </c>
      <c r="AA286" s="12">
        <f>-AA130</f>
        <v>0</v>
      </c>
      <c r="AB286" s="12">
        <f>SUM(X286:AA286)</f>
        <v>0</v>
      </c>
      <c r="AC286" s="12">
        <f>-AC130</f>
        <v>0</v>
      </c>
      <c r="AD286" s="12">
        <f>-AD130</f>
        <v>0</v>
      </c>
      <c r="AE286" s="12">
        <f>-AE130</f>
        <v>0</v>
      </c>
      <c r="AF286" s="12">
        <f>-AF130</f>
        <v>0</v>
      </c>
      <c r="AG286" s="12">
        <f>SUM(AC286:AF286)</f>
        <v>0</v>
      </c>
      <c r="AH286" s="12">
        <f>-AH130</f>
        <v>0</v>
      </c>
      <c r="AI286" s="12">
        <f>-AI130</f>
        <v>0</v>
      </c>
      <c r="AJ286" s="12">
        <f>-AJ130</f>
        <v>0</v>
      </c>
      <c r="AK286" s="12">
        <f>-AK130</f>
        <v>0</v>
      </c>
      <c r="AL286" s="12">
        <f>SUM(AH286:AK286)</f>
        <v>0</v>
      </c>
      <c r="AM286" s="12">
        <f>-AM130</f>
        <v>0</v>
      </c>
      <c r="AN286" s="12">
        <f>-AN130</f>
        <v>0</v>
      </c>
      <c r="AO286" s="12">
        <f>-AO130</f>
        <v>0</v>
      </c>
      <c r="AP286" s="12">
        <f>-AP130</f>
        <v>0</v>
      </c>
      <c r="AQ286" s="12">
        <f>SUM(AM286:AP286)</f>
        <v>0</v>
      </c>
      <c r="AR286" s="12">
        <f>-AR130</f>
        <v>0</v>
      </c>
      <c r="AS286" s="12">
        <f>-AS130</f>
        <v>0</v>
      </c>
      <c r="AT286" s="12">
        <f>-AT130</f>
        <v>0</v>
      </c>
      <c r="AU286" s="12">
        <f>-AU130</f>
        <v>0</v>
      </c>
      <c r="AV286" s="12">
        <f>SUM(AR286:AU286)</f>
        <v>0</v>
      </c>
      <c r="AW286" s="12">
        <f>-AW130</f>
        <v>0</v>
      </c>
      <c r="AX286" s="12">
        <f>-AX130</f>
        <v>0</v>
      </c>
      <c r="AY286" s="12">
        <f>-AY130</f>
        <v>0</v>
      </c>
      <c r="AZ286" s="12">
        <f>-AZ130</f>
        <v>0</v>
      </c>
      <c r="BA286" s="12">
        <f>SUM(AW286:AZ286)</f>
        <v>0</v>
      </c>
      <c r="BB286" s="12">
        <f>-BB130</f>
        <v>0</v>
      </c>
      <c r="BC286" s="12">
        <f>-BC130</f>
        <v>0</v>
      </c>
      <c r="BD286" s="12">
        <f>-BD130</f>
        <v>0</v>
      </c>
      <c r="BE286" s="12">
        <f>-BE130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4" t="inlineStr">
        <is>
          <t>Cash from operations</t>
        </is>
      </c>
      <c r="D287" s="12" t="n"/>
      <c r="E287" s="12" t="n"/>
      <c r="F287" s="12" t="n"/>
      <c r="G287" s="12" t="n"/>
      <c r="H287" s="12" t="n"/>
      <c r="I287" s="12" t="n"/>
      <c r="J287" s="12">
        <f>SUM(J271,J272,J273,J284,J285,J286)</f>
        <v>1139.282</v>
      </c>
      <c r="K287" s="12">
        <f>SUM(K271,K272,K273,K284,K285,K286)</f>
        <v>1672.977</v>
      </c>
      <c r="L287" s="12">
        <f>SUM(L271,L272,L273,L284,L285,L286)</f>
        <v>957.868000000001</v>
      </c>
      <c r="M287" s="12" t="n"/>
      <c r="N287" s="12">
        <f>SUM(N271,N272,N273,N284,N285,N286)</f>
        <v>1575.514</v>
      </c>
      <c r="O287" s="12">
        <f>SUM(O271,O272,O273,O284,O285,O286)</f>
        <v>1352.562</v>
      </c>
      <c r="P287" s="12">
        <f>SUM(P271,P272,P273,P284,P285,P286)</f>
        <v>1067.491</v>
      </c>
      <c r="Q287" s="12">
        <f>SUM(Q271,Q272,Q273,Q284,Q285,Q286)</f>
        <v>-191.13</v>
      </c>
      <c r="R287" s="12">
        <f>SUM(R271,R272,R273,R284,R285,R286)</f>
        <v>3804.437</v>
      </c>
      <c r="S287" s="12">
        <f>SUM(S271,S272,S273,S284,S285,S286)</f>
        <v>1934.29</v>
      </c>
      <c r="T287" s="12">
        <f>SUM(T271,T272,T273,T284,T285,T286)</f>
        <v>1662.278</v>
      </c>
      <c r="U287" s="12">
        <f>SUM(U271,U272,U273,U284,U285,U286)</f>
        <v>1448.087</v>
      </c>
      <c r="V287" s="12">
        <f>SUM(V271,V272,V273,V284,V285,V286)</f>
        <v>1677.893</v>
      </c>
      <c r="W287" s="12">
        <f>SUM(W271,W272,W273,W284,W285,W286)</f>
        <v>6722.548</v>
      </c>
      <c r="X287" s="12">
        <f>SUM(X271,X272,X273,X284,X285,X286)</f>
        <v>2353.586</v>
      </c>
      <c r="Y287" s="12">
        <f>SUM(Y271,Y272,Y273,Y284,Y285,Y286)</f>
        <v>1994.143</v>
      </c>
      <c r="Z287" s="12">
        <f>SUM(Z271,Z272,Z273,Z284,Z285,Z286)</f>
        <v>3045.664</v>
      </c>
      <c r="AA287" s="12">
        <f>SUM(AA271,AA272,AA273,AA284,AA285,AA286)</f>
        <v>1420.895</v>
      </c>
      <c r="AB287" s="12">
        <f>SUM(AB271,AB272,AB273,AB284,AB285,AB286)</f>
        <v>8814.288</v>
      </c>
      <c r="AC287" s="12">
        <f>SUM(AC271,AC272,AC273,AC284,AC285,AC286)</f>
        <v>2902.107</v>
      </c>
      <c r="AD287" s="12">
        <f>SUM(AD271,AD272,AD273,AD284,AD285,AD286)</f>
        <v>3159.179</v>
      </c>
      <c r="AE287" s="12">
        <f>SUM(AE271,AE272,AE273,AE284,AE285,AE286)</f>
        <v>3387.809</v>
      </c>
      <c r="AF287" s="12">
        <f>SUM(AF271,AF272,AF273,AF284,AF285,AF286)</f>
        <v>2435.421</v>
      </c>
      <c r="AG287" s="12">
        <f>SUM(AG271,AG272,AG273,AG284,AG285,AG286)</f>
        <v>11884.516</v>
      </c>
      <c r="AH287" s="12">
        <f>SUM(AH271,AH272,AH273,AH284,AH285,AH286)</f>
        <v>5706.994</v>
      </c>
      <c r="AI287" s="12">
        <f>SUM(AI271,AI272,AI273,AI284,AI285,AI286)</f>
        <v>2077.83</v>
      </c>
      <c r="AJ287" s="12">
        <f>SUM(AJ271,AJ272,AJ273,AJ284,AJ285,AJ286)</f>
        <v>4608.51027971139</v>
      </c>
      <c r="AK287" s="12">
        <f>SUM(AK271,AK272,AK273,AK284,AK285,AK286)</f>
        <v>4860.80213235913</v>
      </c>
      <c r="AL287" s="12">
        <f>SUM(AL271,AL272,AL273,AL284,AL285,AL286)</f>
        <v>17254.1364120705</v>
      </c>
      <c r="AM287" s="12">
        <f>SUM(AM271,AM272,AM273,AM284,AM285,AM286)</f>
        <v>5013.31007164827</v>
      </c>
      <c r="AN287" s="12">
        <f>SUM(AN271,AN272,AN273,AN284,AN285,AN286)</f>
        <v>5201.51470933348</v>
      </c>
      <c r="AO287" s="12">
        <f>SUM(AO271,AO272,AO273,AO284,AO285,AO286)</f>
        <v>5606.97064321166</v>
      </c>
      <c r="AP287" s="12">
        <f>SUM(AP271,AP272,AP273,AP284,AP285,AP286)</f>
        <v>5964.35921894426</v>
      </c>
      <c r="AQ287" s="12">
        <f>SUM(AQ271,AQ272,AQ273,AQ284,AQ285,AQ286)</f>
        <v>21786.1546431377</v>
      </c>
      <c r="AR287" s="12">
        <f>SUM(AR271,AR272,AR273,AR284,AR285,AR286)</f>
        <v>6119.01275857875</v>
      </c>
      <c r="AS287" s="12">
        <f>SUM(AS271,AS272,AS273,AS284,AS285,AS286)</f>
        <v>6415.76358210128</v>
      </c>
      <c r="AT287" s="12">
        <f>SUM(AT271,AT272,AT273,AT284,AT285,AT286)</f>
        <v>6929.0373825337</v>
      </c>
      <c r="AU287" s="12">
        <f>SUM(AU271,AU272,AU273,AU284,AU285,AU286)</f>
        <v>7407.17965287148</v>
      </c>
      <c r="AV287" s="12">
        <f>SUM(AV271,AV272,AV273,AV284,AV285,AV286)</f>
        <v>26870.9933760852</v>
      </c>
      <c r="AW287" s="12">
        <f>SUM(AW271,AW272,AW273,AW284,AW285,AW286)</f>
        <v>7622.58514794307</v>
      </c>
      <c r="AX287" s="12">
        <f>SUM(AX271,AX272,AX273,AX284,AX285,AX286)</f>
        <v>8021.96687911675</v>
      </c>
      <c r="AY287" s="12">
        <f>SUM(AY271,AY272,AY273,AY284,AY285,AY286)</f>
        <v>8715.81964233734</v>
      </c>
      <c r="AZ287" s="12">
        <f>SUM(AZ271,AZ272,AZ273,AZ284,AZ285,AZ286)</f>
        <v>9368.07853581316</v>
      </c>
      <c r="BA287" s="12">
        <f>SUM(BA271,BA272,BA273,BA284,BA285,BA286)</f>
        <v>33728.4502052103</v>
      </c>
      <c r="BB287" s="12">
        <f>SUM(BB271,BB272,BB273,BB284,BB285,BB286)</f>
        <v>9661.35686912218</v>
      </c>
      <c r="BC287" s="12">
        <f>SUM(BC271,BC272,BC273,BC284,BC285,BC286)</f>
        <v>10248.6172951325</v>
      </c>
      <c r="BD287" s="12">
        <f>SUM(BD271,BD272,BD273,BD284,BD285,BD286)</f>
        <v>11181.4365219714</v>
      </c>
      <c r="BE287" s="12">
        <f>SUM(BE271,BE272,BE273,BE284,BE285,BE286)</f>
        <v>12084.9048282031</v>
      </c>
      <c r="BF287" s="12">
        <f>SUM(BF271,BF272,BF273,BF284,BF285,BF286)</f>
        <v>43176.3155144292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4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0" t="inlineStr">
        <is>
          <t>Purchase of fixed assets (capital expenditures)</t>
        </is>
      </c>
      <c r="D289" s="12" t="n"/>
      <c r="E289" s="12" t="n"/>
      <c r="F289" s="12" t="n"/>
      <c r="G289" s="12" t="n"/>
      <c r="H289" s="12" t="n"/>
      <c r="I289" s="12" t="n"/>
      <c r="J289" s="12">
        <f>-J162</f>
        <v>-130.452</v>
      </c>
      <c r="K289" s="12">
        <f>-K162</f>
        <v>-182.93</v>
      </c>
      <c r="L289" s="12">
        <f>-L162</f>
        <v>-167.323</v>
      </c>
      <c r="M289" s="12" t="n"/>
      <c r="N289" s="12">
        <f>-N162</f>
        <v>-134.912</v>
      </c>
      <c r="O289" s="12">
        <f>-O162</f>
        <v>-61.6620000000002</v>
      </c>
      <c r="P289" s="12">
        <f>-P162</f>
        <v>-96.0219999999998</v>
      </c>
      <c r="Q289" s="12">
        <f>-Q162</f>
        <v>-118.89</v>
      </c>
      <c r="R289" s="12">
        <f>SUM(N289:Q289)</f>
        <v>-411.486</v>
      </c>
      <c r="S289" s="12">
        <f>-S162</f>
        <v>-105.172</v>
      </c>
      <c r="T289" s="12">
        <f>-T162</f>
        <v>-148.259</v>
      </c>
      <c r="U289" s="12">
        <f>-U162</f>
        <v>-117.083</v>
      </c>
      <c r="V289" s="12">
        <f>-V162</f>
        <v>-79.6199999999999</v>
      </c>
      <c r="W289" s="12">
        <f>SUM(S289:V289)</f>
        <v>-450.134</v>
      </c>
      <c r="X289" s="12">
        <f>-X162</f>
        <v>-96.9579999999999</v>
      </c>
      <c r="Y289" s="12">
        <f>-Y162</f>
        <v>-91.0170000000002</v>
      </c>
      <c r="Z289" s="12">
        <f>-Z162</f>
        <v>-138.168</v>
      </c>
      <c r="AA289" s="12">
        <f>-AA162</f>
        <v>-105.083</v>
      </c>
      <c r="AB289" s="12">
        <f>SUM(X289:AA289)</f>
        <v>-431.226</v>
      </c>
      <c r="AC289" s="12">
        <f>-AC162</f>
        <v>-130.657</v>
      </c>
      <c r="AD289" s="12">
        <f>-AD162</f>
        <v>-179.233</v>
      </c>
      <c r="AE289" s="12">
        <f>-AE162</f>
        <v>-181.649</v>
      </c>
      <c r="AF289" s="12">
        <f>-AF162</f>
        <v>-252.444</v>
      </c>
      <c r="AG289" s="12">
        <f>SUM(AC289:AF289)</f>
        <v>-743.983</v>
      </c>
      <c r="AH289" s="12">
        <f>-AH162</f>
        <v>-242.054</v>
      </c>
      <c r="AI289" s="12">
        <f>-AI162</f>
        <v>-351.549</v>
      </c>
      <c r="AJ289" s="12">
        <f>-AJ162</f>
        <v>-253.962480273727</v>
      </c>
      <c r="AK289" s="12">
        <f>-AK162</f>
        <v>-265.887035568067</v>
      </c>
      <c r="AL289" s="12">
        <f>SUM(AH289:AK289)</f>
        <v>-1113.45251584179</v>
      </c>
      <c r="AM289" s="12">
        <f>-AM162</f>
        <v>-270.277645111503</v>
      </c>
      <c r="AN289" s="12">
        <f>-AN162</f>
        <v>-277.121453542832</v>
      </c>
      <c r="AO289" s="12">
        <f>-AO162</f>
        <v>-293.213145764783</v>
      </c>
      <c r="AP289" s="12">
        <f>-AP162</f>
        <v>-306.980676960459</v>
      </c>
      <c r="AQ289" s="12">
        <f>SUM(AM289:AP289)</f>
        <v>-1147.59292137958</v>
      </c>
      <c r="AR289" s="12">
        <f>-AR162</f>
        <v>-310.698480194474</v>
      </c>
      <c r="AS289" s="12">
        <f>-AS162</f>
        <v>-318.565800769503</v>
      </c>
      <c r="AT289" s="12">
        <f>-AT162</f>
        <v>-337.06405398262</v>
      </c>
      <c r="AU289" s="12">
        <f>-AU162</f>
        <v>-352.890560894658</v>
      </c>
      <c r="AV289" s="12">
        <f>SUM(AR289:AU289)</f>
        <v>-1319.21889584126</v>
      </c>
      <c r="AW289" s="12">
        <f>-AW162</f>
        <v>-355.610880388096</v>
      </c>
      <c r="AX289" s="12">
        <f>-AX162</f>
        <v>-364.615445824754</v>
      </c>
      <c r="AY289" s="12">
        <f>-AY162</f>
        <v>-385.787677200462</v>
      </c>
      <c r="AZ289" s="12">
        <f>-AZ162</f>
        <v>-403.901953308074</v>
      </c>
      <c r="BA289" s="12">
        <f>SUM(AW289:AZ289)</f>
        <v>-1509.91595672139</v>
      </c>
      <c r="BB289" s="12">
        <f>-BB162</f>
        <v>-405.2374487677</v>
      </c>
      <c r="BC289" s="12">
        <f>-BC162</f>
        <v>-415.498628405485</v>
      </c>
      <c r="BD289" s="12">
        <f>-BD162</f>
        <v>-439.625508376222</v>
      </c>
      <c r="BE289" s="12">
        <f>-BE162</f>
        <v>-460.267686219912</v>
      </c>
      <c r="BF289" s="12">
        <f>SUM(BB289:BE289)</f>
        <v>-1720.62927176932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0" t="inlineStr">
        <is>
          <t>Proceeds from sale of fixed assets</t>
        </is>
      </c>
      <c r="D290" s="12" t="n"/>
      <c r="E290" s="12" t="n"/>
      <c r="F290" s="12" t="n"/>
      <c r="G290" s="12" t="n"/>
      <c r="H290" s="12" t="n"/>
      <c r="I290" s="12" t="n"/>
      <c r="J290" s="12">
        <f>-J163</f>
        <v>0</v>
      </c>
      <c r="K290" s="12">
        <f>-K163</f>
        <v>0</v>
      </c>
      <c r="L290" s="12">
        <f>-L163</f>
        <v>0</v>
      </c>
      <c r="M290" s="12" t="n"/>
      <c r="N290" s="12">
        <f>-N163</f>
        <v>0</v>
      </c>
      <c r="O290" s="12">
        <f>-O163</f>
        <v>0</v>
      </c>
      <c r="P290" s="12">
        <f>-P163</f>
        <v>0</v>
      </c>
      <c r="Q290" s="12">
        <f>-Q163</f>
        <v>0</v>
      </c>
      <c r="R290" s="12">
        <f>SUM(N290:Q290)</f>
        <v>0</v>
      </c>
      <c r="S290" s="12">
        <f>-S163</f>
        <v>0</v>
      </c>
      <c r="T290" s="12">
        <f>-T163</f>
        <v>0</v>
      </c>
      <c r="U290" s="12">
        <f>-U163</f>
        <v>0</v>
      </c>
      <c r="V290" s="12">
        <f>-V163</f>
        <v>0</v>
      </c>
      <c r="W290" s="12">
        <f>SUM(S290:V290)</f>
        <v>0</v>
      </c>
      <c r="X290" s="12">
        <f>-X163</f>
        <v>0</v>
      </c>
      <c r="Y290" s="12">
        <f>-Y163</f>
        <v>0</v>
      </c>
      <c r="Z290" s="12">
        <f>-Z163</f>
        <v>0</v>
      </c>
      <c r="AA290" s="12">
        <f>-AA163</f>
        <v>0</v>
      </c>
      <c r="AB290" s="12">
        <f>SUM(X290:AA290)</f>
        <v>0</v>
      </c>
      <c r="AC290" s="12">
        <f>-AC163</f>
        <v>0</v>
      </c>
      <c r="AD290" s="12">
        <f>-AD163</f>
        <v>0</v>
      </c>
      <c r="AE290" s="12">
        <f>-AE163</f>
        <v>0</v>
      </c>
      <c r="AF290" s="12">
        <f>-AF163</f>
        <v>0</v>
      </c>
      <c r="AG290" s="12">
        <f>SUM(AC290:AF290)</f>
        <v>0</v>
      </c>
      <c r="AH290" s="12">
        <f>-AH163</f>
        <v>0</v>
      </c>
      <c r="AI290" s="12">
        <f>-AI163</f>
        <v>0</v>
      </c>
      <c r="AJ290" s="12">
        <f>-AJ163</f>
        <v>0</v>
      </c>
      <c r="AK290" s="12">
        <f>-AK163</f>
        <v>0</v>
      </c>
      <c r="AL290" s="12">
        <f>SUM(AH290:AK290)</f>
        <v>0</v>
      </c>
      <c r="AM290" s="12">
        <f>-AM163</f>
        <v>0</v>
      </c>
      <c r="AN290" s="12">
        <f>-AN163</f>
        <v>0</v>
      </c>
      <c r="AO290" s="12">
        <f>-AO163</f>
        <v>0</v>
      </c>
      <c r="AP290" s="12">
        <f>-AP163</f>
        <v>0</v>
      </c>
      <c r="AQ290" s="12">
        <f>SUM(AM290:AP290)</f>
        <v>0</v>
      </c>
      <c r="AR290" s="12">
        <f>-AR163</f>
        <v>0</v>
      </c>
      <c r="AS290" s="12">
        <f>-AS163</f>
        <v>0</v>
      </c>
      <c r="AT290" s="12">
        <f>-AT163</f>
        <v>0</v>
      </c>
      <c r="AU290" s="12">
        <f>-AU163</f>
        <v>0</v>
      </c>
      <c r="AV290" s="12">
        <f>SUM(AR290:AU290)</f>
        <v>0</v>
      </c>
      <c r="AW290" s="12">
        <f>-AW163</f>
        <v>0</v>
      </c>
      <c r="AX290" s="12">
        <f>-AX163</f>
        <v>0</v>
      </c>
      <c r="AY290" s="12">
        <f>-AY163</f>
        <v>0</v>
      </c>
      <c r="AZ290" s="12">
        <f>-AZ163</f>
        <v>0</v>
      </c>
      <c r="BA290" s="12">
        <f>SUM(AW290:AZ290)</f>
        <v>0</v>
      </c>
      <c r="BB290" s="12">
        <f>-BB163</f>
        <v>0</v>
      </c>
      <c r="BC290" s="12">
        <f>-BC163</f>
        <v>0</v>
      </c>
      <c r="BD290" s="12">
        <f>-BD163</f>
        <v>0</v>
      </c>
      <c r="BE290" s="12">
        <f>-BE163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0" t="inlineStr">
        <is>
          <t>Var.Right-of-use-assets</t>
        </is>
      </c>
      <c r="D291" s="12" t="n"/>
      <c r="E291" s="12" t="n"/>
      <c r="F291" s="12" t="n"/>
      <c r="G291" s="12" t="n"/>
      <c r="H291" s="12" t="n"/>
      <c r="I291" s="12" t="n"/>
      <c r="J291" s="12">
        <f>(J170-I170)*-1</f>
        <v>0</v>
      </c>
      <c r="K291" s="12">
        <f>(K170-J170)*-1</f>
        <v>0</v>
      </c>
      <c r="L291" s="12">
        <f>(L170-K170)*-1</f>
        <v>0</v>
      </c>
      <c r="M291" s="12" t="n"/>
      <c r="N291" s="12">
        <f>(N170-M170)*-1</f>
        <v>0</v>
      </c>
      <c r="O291" s="12">
        <f>(O170-N170)*-1</f>
        <v>0</v>
      </c>
      <c r="P291" s="12">
        <f>(P170-O170)*-1</f>
        <v>0</v>
      </c>
      <c r="Q291" s="12">
        <f>(Q170-P170)*-1</f>
        <v>0</v>
      </c>
      <c r="R291" s="12">
        <f>SUM(N291:Q291)</f>
        <v>0</v>
      </c>
      <c r="S291" s="12">
        <f>(S170-R170)*-1</f>
        <v>0</v>
      </c>
      <c r="T291" s="12">
        <f>(T170-S170)*-1</f>
        <v>0</v>
      </c>
      <c r="U291" s="12">
        <f>(U170-T170)*-1</f>
        <v>0</v>
      </c>
      <c r="V291" s="12">
        <f>(V170-U170)*-1</f>
        <v>0</v>
      </c>
      <c r="W291" s="12">
        <f>SUM(S291:V291)</f>
        <v>0</v>
      </c>
      <c r="X291" s="12">
        <f>(X170-W170)*-1</f>
        <v>0</v>
      </c>
      <c r="Y291" s="12">
        <f>(Y170-X170)*-1</f>
        <v>0</v>
      </c>
      <c r="Z291" s="12">
        <f>(Z170-Y170)*-1</f>
        <v>0</v>
      </c>
      <c r="AA291" s="12">
        <f>(AA170-Z170)*-1</f>
        <v>0</v>
      </c>
      <c r="AB291" s="12">
        <f>SUM(X291:AA291)</f>
        <v>0</v>
      </c>
      <c r="AC291" s="12">
        <f>(AC170-AB170)*-1</f>
        <v>0</v>
      </c>
      <c r="AD291" s="12">
        <f>(AD170-AC170)*-1</f>
        <v>0</v>
      </c>
      <c r="AE291" s="12">
        <f>(AE170-AD170)*-1</f>
        <v>0</v>
      </c>
      <c r="AF291" s="12">
        <f>(AF170-AE170)*-1</f>
        <v>0</v>
      </c>
      <c r="AG291" s="12">
        <f>SUM(AC291:AF291)</f>
        <v>0</v>
      </c>
      <c r="AH291" s="12">
        <f>(AH170-AG170)*-1</f>
        <v>0</v>
      </c>
      <c r="AI291" s="12">
        <f>(AI170-AH170)*-1</f>
        <v>0</v>
      </c>
      <c r="AJ291" s="12">
        <f>(AJ170-AI170)*-1</f>
        <v>0</v>
      </c>
      <c r="AK291" s="12">
        <f>(AK170-AJ170)*-1</f>
        <v>0</v>
      </c>
      <c r="AL291" s="12">
        <f>SUM(AH291:AK291)</f>
        <v>0</v>
      </c>
      <c r="AM291" s="12">
        <f>(AM170-AL170)*-1</f>
        <v>0</v>
      </c>
      <c r="AN291" s="12">
        <f>(AN170-AM170)*-1</f>
        <v>0</v>
      </c>
      <c r="AO291" s="12">
        <f>(AO170-AN170)*-1</f>
        <v>0</v>
      </c>
      <c r="AP291" s="12">
        <f>(AP170-AO170)*-1</f>
        <v>0</v>
      </c>
      <c r="AQ291" s="12">
        <f>SUM(AM291:AP291)</f>
        <v>0</v>
      </c>
      <c r="AR291" s="12">
        <f>(AR170-AQ170)*-1</f>
        <v>0</v>
      </c>
      <c r="AS291" s="12">
        <f>(AS170-AR170)*-1</f>
        <v>0</v>
      </c>
      <c r="AT291" s="12">
        <f>(AT170-AS170)*-1</f>
        <v>0</v>
      </c>
      <c r="AU291" s="12">
        <f>(AU170-AT170)*-1</f>
        <v>0</v>
      </c>
      <c r="AV291" s="12">
        <f>SUM(AR291:AU291)</f>
        <v>0</v>
      </c>
      <c r="AW291" s="12">
        <f>(AW170-AV170)*-1</f>
        <v>0</v>
      </c>
      <c r="AX291" s="12">
        <f>(AX170-AW170)*-1</f>
        <v>0</v>
      </c>
      <c r="AY291" s="12">
        <f>(AY170-AX170)*-1</f>
        <v>0</v>
      </c>
      <c r="AZ291" s="12">
        <f>(AZ170-AY170)*-1</f>
        <v>0</v>
      </c>
      <c r="BA291" s="12">
        <f>SUM(AW291:AZ291)</f>
        <v>0</v>
      </c>
      <c r="BB291" s="12">
        <f>(BB170-BA170)*-1</f>
        <v>0</v>
      </c>
      <c r="BC291" s="12">
        <f>(BC170-BB170)*-1</f>
        <v>0</v>
      </c>
      <c r="BD291" s="12">
        <f>(BD170-BC170)*-1</f>
        <v>0</v>
      </c>
      <c r="BE291" s="12">
        <f>(BE170-BD170)*-1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  <c r="CZ291" s="12" t="n"/>
      <c r="DA291" s="12" t="n"/>
      <c r="DB291" s="12" t="n"/>
      <c r="DC291" s="12" t="n"/>
    </row>
    <row r="292">
      <c r="C292" s="10" t="inlineStr">
        <is>
          <t>Purchases of intangible assets</t>
        </is>
      </c>
      <c r="D292" s="12" t="n"/>
      <c r="E292" s="12" t="n"/>
      <c r="F292" s="12" t="n"/>
      <c r="G292" s="12" t="n"/>
      <c r="H292" s="12" t="n"/>
      <c r="I292" s="12" t="n"/>
      <c r="J292" s="12">
        <f>((J174-I174)*-1)+((J173-I173)*-1)</f>
        <v>0</v>
      </c>
      <c r="K292" s="12">
        <f>((K174-J174)*-1)+((K173-J173)*-1)</f>
        <v>0</v>
      </c>
      <c r="L292" s="12">
        <f>((L174-K174)*-1)+((L173-K173)*-1)</f>
        <v>0</v>
      </c>
      <c r="M292" s="12" t="n"/>
      <c r="N292" s="12">
        <f>((N174-M174)*-1)+((N173-M173)*-1)</f>
        <v>0</v>
      </c>
      <c r="O292" s="12">
        <f>((O174-N174)*-1)+((O173-N173)*-1)</f>
        <v>0</v>
      </c>
      <c r="P292" s="12">
        <f>((P174-O174)*-1)+((P173-O173)*-1)</f>
        <v>0</v>
      </c>
      <c r="Q292" s="12">
        <f>((Q174-P174)*-1)+((Q173-P173)*-1)</f>
        <v>0</v>
      </c>
      <c r="R292" s="12">
        <f>SUM(N292:Q292)</f>
        <v>0</v>
      </c>
      <c r="S292" s="12">
        <f>((S174-R174)*-1)+((S173-R173)*-1)</f>
        <v>0</v>
      </c>
      <c r="T292" s="12">
        <f>((T174-S174)*-1)+((T173-S173)*-1)</f>
        <v>0</v>
      </c>
      <c r="U292" s="12">
        <f>((U174-T174)*-1)+((U173-T173)*-1)</f>
        <v>0</v>
      </c>
      <c r="V292" s="12">
        <f>((V174-U174)*-1)+((V173-U173)*-1)</f>
        <v>0</v>
      </c>
      <c r="W292" s="12">
        <f>SUM(S292:V292)</f>
        <v>0</v>
      </c>
      <c r="X292" s="12">
        <f>((X174-W174)*-1)+((X173-W173)*-1)</f>
        <v>0</v>
      </c>
      <c r="Y292" s="12">
        <f>((Y174-X174)*-1)+((Y173-X173)*-1)</f>
        <v>0</v>
      </c>
      <c r="Z292" s="12">
        <f>((Z174-Y174)*-1)+((Z173-Y173)*-1)</f>
        <v>0</v>
      </c>
      <c r="AA292" s="12">
        <f>((AA174-Z174)*-1)+((AA173-Z173)*-1)</f>
        <v>0</v>
      </c>
      <c r="AB292" s="12">
        <f>SUM(X292:AA292)</f>
        <v>0</v>
      </c>
      <c r="AC292" s="12">
        <f>((AC174-AB174)*-1)+((AC173-AB173)*-1)</f>
        <v>0</v>
      </c>
      <c r="AD292" s="12">
        <f>((AD174-AC174)*-1)+((AD173-AC173)*-1)</f>
        <v>0</v>
      </c>
      <c r="AE292" s="12">
        <f>((AE174-AD174)*-1)+((AE173-AD173)*-1)</f>
        <v>0</v>
      </c>
      <c r="AF292" s="12">
        <f>((AF174-AE174)*-1)+((AF173-AE173)*-1)</f>
        <v>0</v>
      </c>
      <c r="AG292" s="12">
        <f>SUM(AC292:AF292)</f>
        <v>0</v>
      </c>
      <c r="AH292" s="12">
        <f>((AH174-AG174)*-1)+((AH173-AG173)*-1)</f>
        <v>0</v>
      </c>
      <c r="AI292" s="12">
        <f>((AI174-AH174)*-1)+((AI173-AH173)*-1)</f>
        <v>0</v>
      </c>
      <c r="AJ292" s="12">
        <f>((AJ174-AI174)*-1)+((AJ173-AI173)*-1)</f>
        <v>0</v>
      </c>
      <c r="AK292" s="12">
        <f>((AK174-AJ174)*-1)+((AK173-AJ173)*-1)</f>
        <v>0</v>
      </c>
      <c r="AL292" s="12">
        <f>SUM(AH292:AK292)</f>
        <v>0</v>
      </c>
      <c r="AM292" s="12">
        <f>((AM174-AL174)*-1)+((AM173-AL173)*-1)</f>
        <v>0</v>
      </c>
      <c r="AN292" s="12">
        <f>((AN174-AM174)*-1)+((AN173-AM173)*-1)</f>
        <v>0</v>
      </c>
      <c r="AO292" s="12">
        <f>((AO174-AN174)*-1)+((AO173-AN173)*-1)</f>
        <v>0</v>
      </c>
      <c r="AP292" s="12">
        <f>((AP174-AO174)*-1)+((AP173-AO173)*-1)</f>
        <v>0</v>
      </c>
      <c r="AQ292" s="12">
        <f>SUM(AM292:AP292)</f>
        <v>0</v>
      </c>
      <c r="AR292" s="12">
        <f>((AR174-AQ174)*-1)+((AR173-AQ173)*-1)</f>
        <v>0</v>
      </c>
      <c r="AS292" s="12">
        <f>((AS174-AR174)*-1)+((AS173-AR173)*-1)</f>
        <v>0</v>
      </c>
      <c r="AT292" s="12">
        <f>((AT174-AS174)*-1)+((AT173-AS173)*-1)</f>
        <v>0</v>
      </c>
      <c r="AU292" s="12">
        <f>((AU174-AT174)*-1)+((AU173-AT173)*-1)</f>
        <v>0</v>
      </c>
      <c r="AV292" s="12">
        <f>SUM(AR292:AU292)</f>
        <v>0</v>
      </c>
      <c r="AW292" s="12">
        <f>((AW174-AV174)*-1)+((AW173-AV173)*-1)</f>
        <v>0</v>
      </c>
      <c r="AX292" s="12">
        <f>((AX174-AW174)*-1)+((AX173-AW173)*-1)</f>
        <v>0</v>
      </c>
      <c r="AY292" s="12">
        <f>((AY174-AX174)*-1)+((AY173-AX173)*-1)</f>
        <v>0</v>
      </c>
      <c r="AZ292" s="12">
        <f>((AZ174-AY174)*-1)+((AZ173-AY173)*-1)</f>
        <v>0</v>
      </c>
      <c r="BA292" s="12">
        <f>SUM(AW292:AZ292)</f>
        <v>0</v>
      </c>
      <c r="BB292" s="12">
        <f>((BB174-BA174)*-1)+((BB173-BA173)*-1)</f>
        <v>0</v>
      </c>
      <c r="BC292" s="12">
        <f>((BC174-BB174)*-1)+((BC173-BB173)*-1)</f>
        <v>0</v>
      </c>
      <c r="BD292" s="12">
        <f>((BD174-BC174)*-1)+((BD173-BC173)*-1)</f>
        <v>0</v>
      </c>
      <c r="BE292" s="12">
        <f>((BE174-BD174)*-1)+((BE173-BD173)*-1)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  <c r="CZ292" s="12" t="n"/>
      <c r="DA292" s="12" t="n"/>
      <c r="DB292" s="12" t="n"/>
      <c r="DC292" s="12" t="n"/>
    </row>
    <row r="293">
      <c r="C293" s="71" t="inlineStr">
        <is>
          <t>Purchases/Proceeds from other long-term assets</t>
        </is>
      </c>
      <c r="D293" s="12" t="n"/>
      <c r="E293" s="12" t="n"/>
      <c r="F293" s="12" t="n"/>
      <c r="G293" s="12" t="n"/>
      <c r="H293" s="12" t="n"/>
      <c r="I293" s="12" t="n"/>
      <c r="J293" s="12">
        <f>((J183-I183)*-1)+(J234-I234)</f>
        <v>-1328.46</v>
      </c>
      <c r="K293" s="12">
        <f>((K183-J183)*-1)+(K234-J234)</f>
        <v>-1609.718</v>
      </c>
      <c r="L293" s="12">
        <f>((L183-K183)*-1)+(L234-K234)</f>
        <v>-2116.355</v>
      </c>
      <c r="M293" s="12" t="n"/>
      <c r="N293" s="12">
        <f>((N183-M183)*-1)+(N234-M234)</f>
        <v>-698.469999999995</v>
      </c>
      <c r="O293" s="12">
        <f>((O183-N183)*-1)+(O234-N234)</f>
        <v>-1270.123</v>
      </c>
      <c r="P293" s="12">
        <f>((P183-O183)*-1)+(P234-O234)</f>
        <v>-385.923999999998</v>
      </c>
      <c r="Q293" s="12">
        <f>((Q183-P183)*-1)+(Q234-P234)</f>
        <v>-404.196000000002</v>
      </c>
      <c r="R293" s="12">
        <f>SUM(N293:Q293)</f>
        <v>-2758.713</v>
      </c>
      <c r="S293" s="12">
        <f>((S183-R183)*-1)+(S234-R234)</f>
        <v>110.207000000003</v>
      </c>
      <c r="T293" s="12">
        <f>((T183-S183)*-1)+(T234-S234)</f>
        <v>-313.353000000005</v>
      </c>
      <c r="U293" s="12">
        <f>((U183-T183)*-1)+(U234-T234)</f>
        <v>530.633</v>
      </c>
      <c r="V293" s="12">
        <f>((V183-U183)*-1)+(V234-U234)</f>
        <v>-113.573999999999</v>
      </c>
      <c r="W293" s="12">
        <f>SUM(S293:V293)</f>
        <v>213.913</v>
      </c>
      <c r="X293" s="12">
        <f>((X183-W183)*-1)+(X234-W234)</f>
        <v>-266.375999999998</v>
      </c>
      <c r="Y293" s="12">
        <f>((Y183-X183)*-1)+(Y234-X234)</f>
        <v>-857.021</v>
      </c>
      <c r="Z293" s="12">
        <f>((Z183-Y183)*-1)+(Z234-Y234)</f>
        <v>-585.278000000005</v>
      </c>
      <c r="AA293" s="12">
        <f>((AA183-Z183)*-1)+(AA234-Z234)</f>
        <v>-711.699999999999</v>
      </c>
      <c r="AB293" s="12">
        <f>SUM(X293:AA293)</f>
        <v>-2420.375</v>
      </c>
      <c r="AC293" s="12">
        <f>((AC183-AB183)*-1)+(AC234-AB234)</f>
        <v>187.532000000005</v>
      </c>
      <c r="AD293" s="12">
        <f>((AD183-AC183)*-1)+(AD234-AC234)</f>
        <v>-195.117000000001</v>
      </c>
      <c r="AE293" s="12">
        <f>((AE183-AD183)*-1)+(AE234-AD234)</f>
        <v>-737.322</v>
      </c>
      <c r="AF293" s="12">
        <f>((AF183-AE183)*-1)+(AF234-AE234)</f>
        <v>-687.757999999999</v>
      </c>
      <c r="AG293" s="12">
        <f>SUM(AC293:AF293)</f>
        <v>-1432.665</v>
      </c>
      <c r="AH293" s="12">
        <f>((AH183-AG183)*-1)+(AH234-AG234)</f>
        <v>-1364.64900000001</v>
      </c>
      <c r="AI293" s="12">
        <f>((AI183-AH183)*-1)+(AI234-AH234)</f>
        <v>-459.849999999998</v>
      </c>
      <c r="AJ293" s="12">
        <f>((AJ183-AI183)*-1)+(AJ234-AI234)</f>
        <v>0</v>
      </c>
      <c r="AK293" s="12">
        <f>((AK183-AJ183)*-1)+(AK234-AJ234)</f>
        <v>0</v>
      </c>
      <c r="AL293" s="12">
        <f>SUM(AH293:AK293)</f>
        <v>-1824.499</v>
      </c>
      <c r="AM293" s="12">
        <f>((AM183-AL183)*-1)+(AM234-AL234)</f>
        <v>0</v>
      </c>
      <c r="AN293" s="12">
        <f>((AN183-AM183)*-1)+(AN234-AM234)</f>
        <v>0</v>
      </c>
      <c r="AO293" s="12">
        <f>((AO183-AN183)*-1)+(AO234-AN234)</f>
        <v>0</v>
      </c>
      <c r="AP293" s="12">
        <f>((AP183-AO183)*-1)+(AP234-AO234)</f>
        <v>0</v>
      </c>
      <c r="AQ293" s="12">
        <f>SUM(AM293:AP293)</f>
        <v>0</v>
      </c>
      <c r="AR293" s="12">
        <f>((AR183-AQ183)*-1)+(AR234-AQ234)</f>
        <v>0</v>
      </c>
      <c r="AS293" s="12">
        <f>((AS183-AR183)*-1)+(AS234-AR234)</f>
        <v>0</v>
      </c>
      <c r="AT293" s="12">
        <f>((AT183-AS183)*-1)+(AT234-AS234)</f>
        <v>0</v>
      </c>
      <c r="AU293" s="12">
        <f>((AU183-AT183)*-1)+(AU234-AT234)</f>
        <v>0</v>
      </c>
      <c r="AV293" s="12">
        <f>SUM(AR293:AU293)</f>
        <v>0</v>
      </c>
      <c r="AW293" s="12">
        <f>((AW183-AV183)*-1)+(AW234-AV234)</f>
        <v>0</v>
      </c>
      <c r="AX293" s="12">
        <f>((AX183-AW183)*-1)+(AX234-AW234)</f>
        <v>0</v>
      </c>
      <c r="AY293" s="12">
        <f>((AY183-AX183)*-1)+(AY234-AX234)</f>
        <v>0</v>
      </c>
      <c r="AZ293" s="12">
        <f>((AZ183-AY183)*-1)+(AZ234-AY234)</f>
        <v>0</v>
      </c>
      <c r="BA293" s="12">
        <f>SUM(AW293:AZ293)</f>
        <v>0</v>
      </c>
      <c r="BB293" s="12">
        <f>((BB183-BA183)*-1)+(BB234-BA234)</f>
        <v>0</v>
      </c>
      <c r="BC293" s="12">
        <f>((BC183-BB183)*-1)+(BC234-BB234)</f>
        <v>0</v>
      </c>
      <c r="BD293" s="12">
        <f>((BD183-BC183)*-1)+(BD234-BC234)</f>
        <v>0</v>
      </c>
      <c r="BE293" s="12">
        <f>((BE183-BD183)*-1)+(BE234-BD234)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Cash from investing</t>
        </is>
      </c>
      <c r="D294" s="12" t="n"/>
      <c r="E294" s="12" t="n"/>
      <c r="F294" s="12" t="n"/>
      <c r="G294" s="12" t="n"/>
      <c r="H294" s="12" t="n"/>
      <c r="I294" s="12" t="n"/>
      <c r="J294" s="12">
        <f>SUM(J289,J290,J292,J293,J291)</f>
        <v>-1458.912</v>
      </c>
      <c r="K294" s="12">
        <f>SUM(K289,K290,K292,K293,K291)</f>
        <v>-1792.648</v>
      </c>
      <c r="L294" s="12">
        <f>SUM(L289,L290,L292,L293,L291)</f>
        <v>-2283.678</v>
      </c>
      <c r="M294" s="12" t="n"/>
      <c r="N294" s="12">
        <f>SUM(N289,N290,N292,N293,N291)</f>
        <v>-833.381999999995</v>
      </c>
      <c r="O294" s="12">
        <f>SUM(O289,O290,O292,O293,O291)</f>
        <v>-1331.785</v>
      </c>
      <c r="P294" s="12">
        <f>SUM(P289,P290,P292,P293,P291)</f>
        <v>-481.945999999998</v>
      </c>
      <c r="Q294" s="12">
        <f>SUM(Q289,Q290,Q292,Q293,Q291)</f>
        <v>-523.086000000002</v>
      </c>
      <c r="R294" s="12">
        <f>SUM(R289,R290,R292,R293)</f>
        <v>-3170.199</v>
      </c>
      <c r="S294" s="12">
        <f>SUM(S289,S290,S292,S293,S291)</f>
        <v>5.03500000000308</v>
      </c>
      <c r="T294" s="12">
        <f>SUM(T289,T290,T292,T293,T291)</f>
        <v>-461.612000000005</v>
      </c>
      <c r="U294" s="12">
        <f>SUM(U289,U290,U292,U293,U291)</f>
        <v>413.55</v>
      </c>
      <c r="V294" s="12">
        <f>SUM(V289,V290,V292,V293,V291)</f>
        <v>-193.193999999999</v>
      </c>
      <c r="W294" s="12">
        <f>SUM(W289,W290,W292,W293)</f>
        <v>-236.221</v>
      </c>
      <c r="X294" s="12">
        <f>SUM(X289,X290,X292,X293,X291)</f>
        <v>-363.333999999997</v>
      </c>
      <c r="Y294" s="12">
        <f>SUM(Y289,Y290,Y292,Y293,Y291)</f>
        <v>-948.038</v>
      </c>
      <c r="Z294" s="12">
        <f>SUM(Z289,Z290,Z292,Z293,Z291)</f>
        <v>-723.446000000005</v>
      </c>
      <c r="AA294" s="12">
        <f>SUM(AA289,AA290,AA292,AA293,AA291)</f>
        <v>-816.782999999999</v>
      </c>
      <c r="AB294" s="12">
        <f>SUM(AB289,AB290,AB292,AB293)</f>
        <v>-2851.601</v>
      </c>
      <c r="AC294" s="12">
        <f>SUM(AC289,AC290,AC292,AC293,AC291)</f>
        <v>56.8750000000048</v>
      </c>
      <c r="AD294" s="12">
        <f>SUM(AD289,AD290,AD292,AD293,AD291)</f>
        <v>-374.350000000001</v>
      </c>
      <c r="AE294" s="12">
        <f>SUM(AE289,AE290,AE292,AE293,AE291)</f>
        <v>-918.971</v>
      </c>
      <c r="AF294" s="12">
        <f>SUM(AF289,AF290,AF292,AF293,AF291)</f>
        <v>-940.201999999999</v>
      </c>
      <c r="AG294" s="12">
        <f>SUM(AG289,AG290,AG292,AG293)</f>
        <v>-2176.648</v>
      </c>
      <c r="AH294" s="12">
        <f>SUM(AH289,AH290,AH292,AH293,AH291)</f>
        <v>-1606.70300000001</v>
      </c>
      <c r="AI294" s="12">
        <f>SUM(AI289,AI290,AI292,AI293,AI291)</f>
        <v>-811.398999999997</v>
      </c>
      <c r="AJ294" s="12">
        <f>SUM(AJ289,AJ290,AJ292,AJ293,AJ291)</f>
        <v>-253.962480273727</v>
      </c>
      <c r="AK294" s="12">
        <f>SUM(AK289,AK290,AK292,AK293,AK291)</f>
        <v>-265.887035568067</v>
      </c>
      <c r="AL294" s="12">
        <f>SUM(AL289,AL290,AL292,AL293)</f>
        <v>-2937.9515158418</v>
      </c>
      <c r="AM294" s="12">
        <f>SUM(AM289,AM290,AM292,AM293,AM291)</f>
        <v>-270.277645111503</v>
      </c>
      <c r="AN294" s="12">
        <f>SUM(AN289,AN290,AN292,AN293,AN291)</f>
        <v>-277.121453542832</v>
      </c>
      <c r="AO294" s="12">
        <f>SUM(AO289,AO290,AO292,AO293,AO291)</f>
        <v>-293.213145764783</v>
      </c>
      <c r="AP294" s="12">
        <f>SUM(AP289,AP290,AP292,AP293,AP291)</f>
        <v>-306.980676960459</v>
      </c>
      <c r="AQ294" s="12">
        <f>SUM(AQ289,AQ290,AQ292,AQ293)</f>
        <v>-1147.59292137958</v>
      </c>
      <c r="AR294" s="12">
        <f>SUM(AR289,AR290,AR292,AR293,AR291)</f>
        <v>-310.698480194474</v>
      </c>
      <c r="AS294" s="12">
        <f>SUM(AS289,AS290,AS292,AS293,AS291)</f>
        <v>-318.565800769503</v>
      </c>
      <c r="AT294" s="12">
        <f>SUM(AT289,AT290,AT292,AT293,AT291)</f>
        <v>-337.06405398262</v>
      </c>
      <c r="AU294" s="12">
        <f>SUM(AU289,AU290,AU292,AU293,AU291)</f>
        <v>-352.890560894658</v>
      </c>
      <c r="AV294" s="12">
        <f>SUM(AV289,AV290,AV292,AV293)</f>
        <v>-1319.21889584126</v>
      </c>
      <c r="AW294" s="12">
        <f>SUM(AW289,AW290,AW292,AW293,AW291)</f>
        <v>-355.610880388096</v>
      </c>
      <c r="AX294" s="12">
        <f>SUM(AX289,AX290,AX292,AX293,AX291)</f>
        <v>-364.615445824754</v>
      </c>
      <c r="AY294" s="12">
        <f>SUM(AY289,AY290,AY292,AY293,AY291)</f>
        <v>-385.787677200462</v>
      </c>
      <c r="AZ294" s="12">
        <f>SUM(AZ289,AZ290,AZ292,AZ293,AZ291)</f>
        <v>-403.901953308074</v>
      </c>
      <c r="BA294" s="12">
        <f>SUM(BA289,BA290,BA292,BA293)</f>
        <v>-1509.91595672139</v>
      </c>
      <c r="BB294" s="12">
        <f>SUM(BB289,BB290,BB292,BB293,BB291)</f>
        <v>-405.2374487677</v>
      </c>
      <c r="BC294" s="12">
        <f>SUM(BC289,BC290,BC292,BC293,BC291)</f>
        <v>-415.498628405485</v>
      </c>
      <c r="BD294" s="12">
        <f>SUM(BD289,BD290,BD292,BD293,BD291)</f>
        <v>-439.625508376222</v>
      </c>
      <c r="BE294" s="12">
        <f>SUM(BE289,BE290,BE292,BE293,BE291)</f>
        <v>-460.267686219912</v>
      </c>
      <c r="BF294" s="12">
        <f>SUM(BF289,BF290,BF292,BF293)</f>
        <v>-1720.62927176932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  <c r="AL295" s="12" t="n"/>
      <c r="AM295" s="12" t="n"/>
      <c r="AN295" s="12" t="n"/>
      <c r="AO295" s="12" t="n"/>
      <c r="AP295" s="12" t="n"/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Convertible preferred stock</t>
        </is>
      </c>
      <c r="D296" s="12" t="n"/>
      <c r="E296" s="12" t="n"/>
      <c r="F296" s="12" t="n"/>
      <c r="G296" s="12" t="n"/>
      <c r="H296" s="12" t="n"/>
      <c r="I296" s="12" t="n"/>
      <c r="J296" s="12">
        <f>J247-I247</f>
        <v>0</v>
      </c>
      <c r="K296" s="12">
        <f>K247-J247</f>
        <v>0</v>
      </c>
      <c r="L296" s="12">
        <f>L247-K247</f>
        <v>0</v>
      </c>
      <c r="M296" s="12" t="n"/>
      <c r="N296" s="12">
        <f>N247-M247</f>
        <v>0</v>
      </c>
      <c r="O296" s="12">
        <f>O247-N247</f>
        <v>0</v>
      </c>
      <c r="P296" s="12">
        <f>P247-O247</f>
        <v>0</v>
      </c>
      <c r="Q296" s="12">
        <f>Q247-P247</f>
        <v>0</v>
      </c>
      <c r="R296" s="12">
        <f>SUM(N296:Q296)</f>
        <v>0</v>
      </c>
      <c r="S296" s="12">
        <f>S247-R247</f>
        <v>0</v>
      </c>
      <c r="T296" s="12">
        <f>T247-S247</f>
        <v>0</v>
      </c>
      <c r="U296" s="12">
        <f>U247-T247</f>
        <v>0</v>
      </c>
      <c r="V296" s="12">
        <f>V247-U247</f>
        <v>0</v>
      </c>
      <c r="W296" s="12">
        <f>SUM(S296:V296)</f>
        <v>0</v>
      </c>
      <c r="X296" s="12">
        <f>X247-W247</f>
        <v>0</v>
      </c>
      <c r="Y296" s="12">
        <f>Y247-X247</f>
        <v>0</v>
      </c>
      <c r="Z296" s="12">
        <f>Z247-Y247</f>
        <v>0</v>
      </c>
      <c r="AA296" s="12">
        <f>AA247-Z247</f>
        <v>0</v>
      </c>
      <c r="AB296" s="12">
        <f>SUM(X296:AA296)</f>
        <v>0</v>
      </c>
      <c r="AC296" s="12">
        <f>AC247-AB247</f>
        <v>0</v>
      </c>
      <c r="AD296" s="12">
        <f>AD247-AC247</f>
        <v>0</v>
      </c>
      <c r="AE296" s="12">
        <f>AE247-AD247</f>
        <v>0</v>
      </c>
      <c r="AF296" s="12">
        <f>AF247-AE247</f>
        <v>0</v>
      </c>
      <c r="AG296" s="12">
        <f>SUM(AC296:AF296)</f>
        <v>0</v>
      </c>
      <c r="AH296" s="12">
        <f>AH247-AG247</f>
        <v>0</v>
      </c>
      <c r="AI296" s="12">
        <f>AI247-AH247</f>
        <v>0</v>
      </c>
      <c r="AJ296" s="12">
        <f>AJ247-AI247</f>
        <v>0</v>
      </c>
      <c r="AK296" s="12">
        <f>AK247-AJ247</f>
        <v>0</v>
      </c>
      <c r="AL296" s="12">
        <f>SUM(AH296:AK296)</f>
        <v>0</v>
      </c>
      <c r="AM296" s="12">
        <f>AM247-AL247</f>
        <v>0</v>
      </c>
      <c r="AN296" s="12">
        <f>AN247-AM247</f>
        <v>0</v>
      </c>
      <c r="AO296" s="12">
        <f>AO247-AN247</f>
        <v>0</v>
      </c>
      <c r="AP296" s="12">
        <f>AP247-AO247</f>
        <v>0</v>
      </c>
      <c r="AQ296" s="12">
        <f>SUM(AM296:AP296)</f>
        <v>0</v>
      </c>
      <c r="AR296" s="12">
        <f>AR247-AQ247</f>
        <v>0</v>
      </c>
      <c r="AS296" s="12">
        <f>AS247-AR247</f>
        <v>0</v>
      </c>
      <c r="AT296" s="12">
        <f>AT247-AS247</f>
        <v>0</v>
      </c>
      <c r="AU296" s="12">
        <f>AU247-AT247</f>
        <v>0</v>
      </c>
      <c r="AV296" s="12">
        <f>SUM(AR296:AU296)</f>
        <v>0</v>
      </c>
      <c r="AW296" s="12">
        <f>AW247-AV247</f>
        <v>0</v>
      </c>
      <c r="AX296" s="12">
        <f>AX247-AW247</f>
        <v>0</v>
      </c>
      <c r="AY296" s="12">
        <f>AY247-AX247</f>
        <v>0</v>
      </c>
      <c r="AZ296" s="12">
        <f>AZ247-AY247</f>
        <v>0</v>
      </c>
      <c r="BA296" s="12">
        <f>SUM(AW296:AZ296)</f>
        <v>0</v>
      </c>
      <c r="BB296" s="12">
        <f>BB247-BA247</f>
        <v>0</v>
      </c>
      <c r="BC296" s="12">
        <f>BC247-BB247</f>
        <v>0</v>
      </c>
      <c r="BD296" s="12">
        <f>BD247-BC247</f>
        <v>0</v>
      </c>
      <c r="BE296" s="12">
        <f>BE247-BD247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Common stock and APIC</t>
        </is>
      </c>
      <c r="D297" s="12" t="n"/>
      <c r="E297" s="12" t="n"/>
      <c r="F297" s="12" t="n"/>
      <c r="G297" s="12" t="n"/>
      <c r="H297" s="12" t="n"/>
      <c r="I297" s="12" t="n"/>
      <c r="J297" s="12">
        <f>J248-I248</f>
        <v>121.162</v>
      </c>
      <c r="K297" s="12">
        <f>K248-J248</f>
        <v>131.285</v>
      </c>
      <c r="L297" s="12">
        <f>L248-K248</f>
        <v>172.03</v>
      </c>
      <c r="M297" s="12" t="n"/>
      <c r="N297" s="12">
        <f>N248-M248</f>
        <v>131.019</v>
      </c>
      <c r="O297" s="12">
        <f>O248-N248</f>
        <v>161.29</v>
      </c>
      <c r="P297" s="12">
        <f>P248-O248</f>
        <v>157.092000000001</v>
      </c>
      <c r="Q297" s="12">
        <f>Q248-P248</f>
        <v>163.638999999999</v>
      </c>
      <c r="R297" s="12">
        <f>SUM(N297:Q297)</f>
        <v>613.04</v>
      </c>
      <c r="S297" s="12">
        <f>S248-R248</f>
        <v>124.794000000001</v>
      </c>
      <c r="T297" s="12">
        <f>T248-S248</f>
        <v>111.812999999999</v>
      </c>
      <c r="U297" s="12">
        <f>U248-T248</f>
        <v>137.219</v>
      </c>
      <c r="V297" s="12">
        <f>V248-U248</f>
        <v>133.745</v>
      </c>
      <c r="W297" s="12">
        <f>SUM(S297:V297)</f>
        <v>507.571</v>
      </c>
      <c r="X297" s="12">
        <f>X248-W248</f>
        <v>344.678000000001</v>
      </c>
      <c r="Y297" s="12">
        <f>Y248-X248</f>
        <v>190.210999999999</v>
      </c>
      <c r="Z297" s="12">
        <f>Z248-Y248</f>
        <v>207.842000000001</v>
      </c>
      <c r="AA297" s="12">
        <f>AA248-Z248</f>
        <v>364.223</v>
      </c>
      <c r="AB297" s="12">
        <f>SUM(X297:AA297)</f>
        <v>1106.954</v>
      </c>
      <c r="AC297" s="12">
        <f>AC248-AB248</f>
        <v>425.343</v>
      </c>
      <c r="AD297" s="12">
        <f>AD248-AC248</f>
        <v>255.359</v>
      </c>
      <c r="AE297" s="12">
        <f>AE248-AD248</f>
        <v>147.496999999999</v>
      </c>
      <c r="AF297" s="12">
        <f>AF248-AE248</f>
        <v>206.085</v>
      </c>
      <c r="AG297" s="12">
        <f>SUM(AC297:AF297)</f>
        <v>1034.284</v>
      </c>
      <c r="AH297" s="12">
        <f>AH248-AG248</f>
        <v>192.085</v>
      </c>
      <c r="AI297" s="12">
        <f>AI248-AH248</f>
        <v>192.008</v>
      </c>
      <c r="AJ297" s="12">
        <f>AJ248-AI248</f>
        <v>0</v>
      </c>
      <c r="AK297" s="12">
        <f>AK248-AJ248</f>
        <v>0</v>
      </c>
      <c r="AL297" s="12">
        <f>SUM(AH297:AK297)</f>
        <v>384.093</v>
      </c>
      <c r="AM297" s="12">
        <f>AM248-AL248</f>
        <v>0</v>
      </c>
      <c r="AN297" s="12">
        <f>AN248-AM248</f>
        <v>0</v>
      </c>
      <c r="AO297" s="12">
        <f>AO248-AN248</f>
        <v>0</v>
      </c>
      <c r="AP297" s="12">
        <f>AP248-AO248</f>
        <v>0</v>
      </c>
      <c r="AQ297" s="12">
        <f>SUM(AM297:AP297)</f>
        <v>0</v>
      </c>
      <c r="AR297" s="12">
        <f>AR248-AQ248</f>
        <v>0</v>
      </c>
      <c r="AS297" s="12">
        <f>AS248-AR248</f>
        <v>0</v>
      </c>
      <c r="AT297" s="12">
        <f>AT248-AS248</f>
        <v>0</v>
      </c>
      <c r="AU297" s="12">
        <f>AU248-AT248</f>
        <v>0</v>
      </c>
      <c r="AV297" s="12">
        <f>SUM(AR297:AU297)</f>
        <v>0</v>
      </c>
      <c r="AW297" s="12">
        <f>AW248-AV248</f>
        <v>0</v>
      </c>
      <c r="AX297" s="12">
        <f>AX248-AW248</f>
        <v>0</v>
      </c>
      <c r="AY297" s="12">
        <f>AY248-AX248</f>
        <v>0</v>
      </c>
      <c r="AZ297" s="12">
        <f>AZ248-AY248</f>
        <v>0</v>
      </c>
      <c r="BA297" s="12">
        <f>SUM(AW297:AZ297)</f>
        <v>0</v>
      </c>
      <c r="BB297" s="12">
        <f>BB248-BA248</f>
        <v>0</v>
      </c>
      <c r="BC297" s="12">
        <f>BC248-BB248</f>
        <v>0</v>
      </c>
      <c r="BD297" s="12">
        <f>BD248-BC248</f>
        <v>0</v>
      </c>
      <c r="BE297" s="12">
        <f>BE248-BD248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Treasury stock repurchases</t>
        </is>
      </c>
      <c r="D298" s="12" t="n"/>
      <c r="E298" s="12" t="n"/>
      <c r="F298" s="12" t="n"/>
      <c r="G298" s="12" t="n"/>
      <c r="H298" s="12" t="n"/>
      <c r="I298" s="12" t="n"/>
      <c r="J298" s="12">
        <f>J261-I261</f>
        <v>-500.022</v>
      </c>
      <c r="K298" s="12">
        <f>K261-J261</f>
        <v>-100</v>
      </c>
      <c r="L298" s="12">
        <f>L261-K261</f>
        <v>-224.168</v>
      </c>
      <c r="M298" s="12" t="n"/>
      <c r="N298" s="12">
        <f>N261-M261</f>
        <v>0</v>
      </c>
      <c r="O298" s="12">
        <f>O261-N261</f>
        <v>0</v>
      </c>
      <c r="P298" s="12">
        <f>P261-O261</f>
        <v>0</v>
      </c>
      <c r="Q298" s="12">
        <f>Q261-P261</f>
        <v>0</v>
      </c>
      <c r="R298" s="12">
        <f>SUM(N298:Q298)</f>
        <v>0</v>
      </c>
      <c r="S298" s="12">
        <f>S261-R261</f>
        <v>-404.73</v>
      </c>
      <c r="T298" s="12">
        <f>T261-S261</f>
        <v>-647.833</v>
      </c>
      <c r="U298" s="12">
        <f>U261-T261</f>
        <v>-2522.924</v>
      </c>
      <c r="V298" s="12">
        <f>V261-U261</f>
        <v>-2522.523</v>
      </c>
      <c r="W298" s="12">
        <f>SUM(S298:V298)</f>
        <v>-6098.01</v>
      </c>
      <c r="X298" s="12">
        <f>X261-W261</f>
        <v>-2011.856</v>
      </c>
      <c r="Y298" s="12">
        <f>Y261-X261</f>
        <v>-1612.999</v>
      </c>
      <c r="Z298" s="12">
        <f>Z261-Y261</f>
        <v>-1707.8</v>
      </c>
      <c r="AA298" s="12">
        <f>AA261-Z261</f>
        <v>-916.783000000001</v>
      </c>
      <c r="AB298" s="12">
        <f>SUM(X298:AA298)</f>
        <v>-6249.438</v>
      </c>
      <c r="AC298" s="12">
        <f>AC261-AB261</f>
        <v>-3583.291</v>
      </c>
      <c r="AD298" s="12">
        <f>AD261-AC261</f>
        <v>-1638.013</v>
      </c>
      <c r="AE298" s="12">
        <f>AE261-AD261</f>
        <v>-1877.689</v>
      </c>
      <c r="AF298" s="12">
        <f>AF261-AE261</f>
        <v>-2102.027</v>
      </c>
      <c r="AG298" s="12">
        <f>SUM(AC298:AF298)</f>
        <v>-9201.02</v>
      </c>
      <c r="AH298" s="12">
        <f>AH261-AG261</f>
        <v>-1309.316</v>
      </c>
      <c r="AI298" s="12">
        <f>AI261-AH261</f>
        <v>-4705.683</v>
      </c>
      <c r="AJ298" s="12">
        <f>AJ261-AI261</f>
        <v>0</v>
      </c>
      <c r="AK298" s="12">
        <f>AK261-AJ261</f>
        <v>0</v>
      </c>
      <c r="AL298" s="12">
        <f>SUM(AH298:AK298)</f>
        <v>-6014.999</v>
      </c>
      <c r="AM298" s="12">
        <f>AM261-AL261</f>
        <v>0</v>
      </c>
      <c r="AN298" s="12">
        <f>AN261-AM261</f>
        <v>0</v>
      </c>
      <c r="AO298" s="12">
        <f>AO261-AN261</f>
        <v>0</v>
      </c>
      <c r="AP298" s="12">
        <f>AP261-AO261</f>
        <v>0</v>
      </c>
      <c r="AQ298" s="12">
        <f>SUM(AM298:AP298)</f>
        <v>0</v>
      </c>
      <c r="AR298" s="12">
        <f>AR261-AQ261</f>
        <v>0</v>
      </c>
      <c r="AS298" s="12">
        <f>AS261-AR261</f>
        <v>0</v>
      </c>
      <c r="AT298" s="12">
        <f>AT261-AS261</f>
        <v>0</v>
      </c>
      <c r="AU298" s="12">
        <f>AU261-AT261</f>
        <v>0</v>
      </c>
      <c r="AV298" s="12">
        <f>SUM(AR298:AU298)</f>
        <v>0</v>
      </c>
      <c r="AW298" s="12">
        <f>AW261-AV261</f>
        <v>0</v>
      </c>
      <c r="AX298" s="12">
        <f>AX261-AW261</f>
        <v>0</v>
      </c>
      <c r="AY298" s="12">
        <f>AY261-AX261</f>
        <v>0</v>
      </c>
      <c r="AZ298" s="12">
        <f>AZ261-AY261</f>
        <v>0</v>
      </c>
      <c r="BA298" s="12">
        <f>SUM(AW298:AZ298)</f>
        <v>0</v>
      </c>
      <c r="BB298" s="12">
        <f>BB261-BA261</f>
        <v>0</v>
      </c>
      <c r="BC298" s="12">
        <f>BC261-BB261</f>
        <v>0</v>
      </c>
      <c r="BD298" s="12">
        <f>BD261-BC261</f>
        <v>0</v>
      </c>
      <c r="BE298" s="12">
        <f>BE261-BD261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Comprehensive accumulated loss</t>
        </is>
      </c>
      <c r="D299" s="12" t="n"/>
      <c r="E299" s="12" t="n"/>
      <c r="F299" s="12" t="n"/>
      <c r="G299" s="12" t="n"/>
      <c r="H299" s="12" t="n"/>
      <c r="I299" s="12" t="n"/>
      <c r="J299" s="12">
        <f>J262-I262</f>
        <v>5.638</v>
      </c>
      <c r="K299" s="12">
        <f>K262-J262</f>
        <v>-29.61</v>
      </c>
      <c r="L299" s="12">
        <f>L262-K262</f>
        <v>-20.66</v>
      </c>
      <c r="M299" s="12" t="n"/>
      <c r="N299" s="12">
        <f>N262-M262</f>
        <v>-33.675</v>
      </c>
      <c r="O299" s="12">
        <f>O262-N262</f>
        <v>-70.306</v>
      </c>
      <c r="P299" s="12">
        <f>P262-O262</f>
        <v>-103.167</v>
      </c>
      <c r="Q299" s="12">
        <f>Q262-P262</f>
        <v>30.337</v>
      </c>
      <c r="R299" s="12">
        <f>SUM(N299:Q299)</f>
        <v>-176.811</v>
      </c>
      <c r="S299" s="12">
        <f>S262-R262</f>
        <v>25.611</v>
      </c>
      <c r="T299" s="12">
        <f>T262-S262</f>
        <v>52.429</v>
      </c>
      <c r="U299" s="12">
        <f>U262-T262</f>
        <v>-16.305</v>
      </c>
      <c r="V299" s="12">
        <f>V262-U262</f>
        <v>-68.374</v>
      </c>
      <c r="W299" s="12">
        <f>SUM(S299:V299)</f>
        <v>-6.63899999999998</v>
      </c>
      <c r="X299" s="12">
        <f>X262-W262</f>
        <v>112.066</v>
      </c>
      <c r="Y299" s="12">
        <f>Y262-X262</f>
        <v>22.765</v>
      </c>
      <c r="Z299" s="12">
        <f>Z262-Y262</f>
        <v>-255.508</v>
      </c>
      <c r="AA299" s="12">
        <f>AA262-Z262</f>
        <v>706.784</v>
      </c>
      <c r="AB299" s="12">
        <f>SUM(X299:AA299)</f>
        <v>586.107</v>
      </c>
      <c r="AC299" s="12">
        <f>AC262-AB262</f>
        <v>-447.897</v>
      </c>
      <c r="AD299" s="12">
        <f>AD262-AC262</f>
        <v>-818.933</v>
      </c>
      <c r="AE299" s="12">
        <f>AE262-AD262</f>
        <v>185.412</v>
      </c>
      <c r="AF299" s="12">
        <f>AF262-AE262</f>
        <v>138.874</v>
      </c>
      <c r="AG299" s="12">
        <f>SUM(AC299:AF299)</f>
        <v>-942.544</v>
      </c>
      <c r="AH299" s="12">
        <f>AH262-AG262</f>
        <v>345.351</v>
      </c>
      <c r="AI299" s="12">
        <f>AI262-AH262</f>
        <v>137.914</v>
      </c>
      <c r="AJ299" s="12">
        <f>AJ262-AI262</f>
        <v>0</v>
      </c>
      <c r="AK299" s="12">
        <f>AK262-AJ262</f>
        <v>0</v>
      </c>
      <c r="AL299" s="12">
        <f>SUM(AH299:AK299)</f>
        <v>483.265</v>
      </c>
      <c r="AM299" s="12">
        <f>AM262-AL262</f>
        <v>0</v>
      </c>
      <c r="AN299" s="12">
        <f>AN262-AM262</f>
        <v>0</v>
      </c>
      <c r="AO299" s="12">
        <f>AO262-AN262</f>
        <v>0</v>
      </c>
      <c r="AP299" s="12">
        <f>AP262-AO262</f>
        <v>0</v>
      </c>
      <c r="AQ299" s="12">
        <f>SUM(AM299:AP299)</f>
        <v>0</v>
      </c>
      <c r="AR299" s="12">
        <f>AR262-AQ262</f>
        <v>0</v>
      </c>
      <c r="AS299" s="12">
        <f>AS262-AR262</f>
        <v>0</v>
      </c>
      <c r="AT299" s="12">
        <f>AT262-AS262</f>
        <v>0</v>
      </c>
      <c r="AU299" s="12">
        <f>AU262-AT262</f>
        <v>0</v>
      </c>
      <c r="AV299" s="12">
        <f>SUM(AR299:AU299)</f>
        <v>0</v>
      </c>
      <c r="AW299" s="12">
        <f>AW262-AV262</f>
        <v>0</v>
      </c>
      <c r="AX299" s="12">
        <f>AX262-AW262</f>
        <v>0</v>
      </c>
      <c r="AY299" s="12">
        <f>AY262-AX262</f>
        <v>0</v>
      </c>
      <c r="AZ299" s="12">
        <f>AZ262-AY262</f>
        <v>0</v>
      </c>
      <c r="BA299" s="12">
        <f>SUM(AW299:AZ299)</f>
        <v>0</v>
      </c>
      <c r="BB299" s="12">
        <f>BB262-BA262</f>
        <v>0</v>
      </c>
      <c r="BC299" s="12">
        <f>BC262-BB262</f>
        <v>0</v>
      </c>
      <c r="BD299" s="12">
        <f>BD262-BC262</f>
        <v>0</v>
      </c>
      <c r="BE299" s="12">
        <f>BE262-BD262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Other equity account</t>
        </is>
      </c>
      <c r="D300" s="12" t="n"/>
      <c r="E300" s="12" t="n"/>
      <c r="F300" s="12" t="n"/>
      <c r="G300" s="12" t="n"/>
      <c r="H300" s="12" t="n"/>
      <c r="I300" s="12" t="n"/>
      <c r="J300" s="12">
        <f>J263-I263</f>
        <v>0</v>
      </c>
      <c r="K300" s="12">
        <f>K263-J263</f>
        <v>0</v>
      </c>
      <c r="L300" s="12">
        <f>L263-K263</f>
        <v>0</v>
      </c>
      <c r="M300" s="12" t="n"/>
      <c r="N300" s="12">
        <f>N263-M263</f>
        <v>0</v>
      </c>
      <c r="O300" s="12">
        <f>O263-N263</f>
        <v>0</v>
      </c>
      <c r="P300" s="12">
        <f>P263-O263</f>
        <v>0</v>
      </c>
      <c r="Q300" s="12">
        <f>Q263-P263</f>
        <v>0</v>
      </c>
      <c r="R300" s="12">
        <f>SUM(N300:Q300)</f>
        <v>0</v>
      </c>
      <c r="S300" s="12">
        <f>S263-R263</f>
        <v>0</v>
      </c>
      <c r="T300" s="12">
        <f>T263-S263</f>
        <v>0</v>
      </c>
      <c r="U300" s="12">
        <f>U263-T263</f>
        <v>0</v>
      </c>
      <c r="V300" s="12">
        <f>V263-U263</f>
        <v>0</v>
      </c>
      <c r="W300" s="12">
        <f>SUM(S300:V300)</f>
        <v>0</v>
      </c>
      <c r="X300" s="12">
        <f>X263-W263</f>
        <v>0</v>
      </c>
      <c r="Y300" s="12">
        <f>Y263-X263</f>
        <v>0</v>
      </c>
      <c r="Z300" s="12">
        <f>Z263-Y263</f>
        <v>0</v>
      </c>
      <c r="AA300" s="12">
        <f>AA263-Z263</f>
        <v>0</v>
      </c>
      <c r="AB300" s="12">
        <f>SUM(X300:AA300)</f>
        <v>0</v>
      </c>
      <c r="AC300" s="12">
        <f>AC263-AB263</f>
        <v>0</v>
      </c>
      <c r="AD300" s="12">
        <f>AD263-AC263</f>
        <v>0</v>
      </c>
      <c r="AE300" s="12">
        <f>AE263-AD263</f>
        <v>0</v>
      </c>
      <c r="AF300" s="12">
        <f>AF263-AE263</f>
        <v>0</v>
      </c>
      <c r="AG300" s="12">
        <f>SUM(AC300:AF300)</f>
        <v>0</v>
      </c>
      <c r="AH300" s="12">
        <f>AH263-AG263</f>
        <v>0</v>
      </c>
      <c r="AI300" s="12">
        <f>AI263-AH263</f>
        <v>0</v>
      </c>
      <c r="AJ300" s="12">
        <f>AJ263-AI263</f>
        <v>0</v>
      </c>
      <c r="AK300" s="12">
        <f>AK263-AJ263</f>
        <v>0</v>
      </c>
      <c r="AL300" s="12">
        <f>SUM(AH300:AK300)</f>
        <v>0</v>
      </c>
      <c r="AM300" s="12">
        <f>AM263-AL263</f>
        <v>0</v>
      </c>
      <c r="AN300" s="12">
        <f>AN263-AM263</f>
        <v>0</v>
      </c>
      <c r="AO300" s="12">
        <f>AO263-AN263</f>
        <v>0</v>
      </c>
      <c r="AP300" s="12">
        <f>AP263-AO263</f>
        <v>0</v>
      </c>
      <c r="AQ300" s="12">
        <f>SUM(AM300:AP300)</f>
        <v>0</v>
      </c>
      <c r="AR300" s="12">
        <f>AR263-AQ263</f>
        <v>0</v>
      </c>
      <c r="AS300" s="12">
        <f>AS263-AR263</f>
        <v>0</v>
      </c>
      <c r="AT300" s="12">
        <f>AT263-AS263</f>
        <v>0</v>
      </c>
      <c r="AU300" s="12">
        <f>AU263-AT263</f>
        <v>0</v>
      </c>
      <c r="AV300" s="12">
        <f>SUM(AR300:AU300)</f>
        <v>0</v>
      </c>
      <c r="AW300" s="12">
        <f>AW263-AV263</f>
        <v>0</v>
      </c>
      <c r="AX300" s="12">
        <f>AX263-AW263</f>
        <v>0</v>
      </c>
      <c r="AY300" s="12">
        <f>AY263-AX263</f>
        <v>0</v>
      </c>
      <c r="AZ300" s="12">
        <f>AZ263-AY263</f>
        <v>0</v>
      </c>
      <c r="BA300" s="12">
        <f>SUM(AW300:AZ300)</f>
        <v>0</v>
      </c>
      <c r="BB300" s="12">
        <f>BB263-BA263</f>
        <v>0</v>
      </c>
      <c r="BC300" s="12">
        <f>BC263-BB263</f>
        <v>0</v>
      </c>
      <c r="BD300" s="12">
        <f>BD263-BC263</f>
        <v>0</v>
      </c>
      <c r="BE300" s="12">
        <f>BE263-BD263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0" t="inlineStr">
        <is>
          <t>Common and preferred dividends</t>
        </is>
      </c>
      <c r="D301" s="12" t="n"/>
      <c r="E301" s="12" t="n"/>
      <c r="F301" s="12" t="n"/>
      <c r="G301" s="12" t="n"/>
      <c r="H301" s="12" t="n"/>
      <c r="I301" s="12" t="n"/>
      <c r="J301" s="12">
        <f>(J264-I264)-J271</f>
        <v>0</v>
      </c>
      <c r="K301" s="12">
        <f>(K264-J264)-K271</f>
        <v>0</v>
      </c>
      <c r="L301" s="12">
        <f>(L264-K264)-L271</f>
        <v>0</v>
      </c>
      <c r="M301" s="12" t="n"/>
      <c r="N301" s="12">
        <f>(N264-M264)-N271</f>
        <v>0</v>
      </c>
      <c r="O301" s="12">
        <f>(O264-N264)-O271</f>
        <v>0</v>
      </c>
      <c r="P301" s="12">
        <f>(P264-O264)-P271</f>
        <v>0</v>
      </c>
      <c r="Q301" s="12">
        <f>(Q264-P264)-Q271</f>
        <v>-3.62376795237651e-13</v>
      </c>
      <c r="R301" s="12">
        <f>SUM(N301:Q301)</f>
        <v>-3.62376795237651e-13</v>
      </c>
      <c r="S301" s="12">
        <f>(S264-R264)-S271</f>
        <v>0</v>
      </c>
      <c r="T301" s="12">
        <f>(T264-S264)-T271</f>
        <v>0</v>
      </c>
      <c r="U301" s="12">
        <f>(U264-T264)-U271</f>
        <v>0</v>
      </c>
      <c r="V301" s="12">
        <f>(V264-U264)-V271</f>
        <v>0</v>
      </c>
      <c r="W301" s="12">
        <f>SUM(S301:V301)</f>
        <v>0</v>
      </c>
      <c r="X301" s="12">
        <f>(X264-W264)-X271</f>
        <v>0</v>
      </c>
      <c r="Y301" s="12">
        <f>(Y264-X264)-Y271</f>
        <v>0</v>
      </c>
      <c r="Z301" s="12">
        <f>(Z264-Y264)-Z271</f>
        <v>0</v>
      </c>
      <c r="AA301" s="12">
        <f>(AA264-Z264)-AA271</f>
        <v>0</v>
      </c>
      <c r="AB301" s="12">
        <f>SUM(X301:AA301)</f>
        <v>0</v>
      </c>
      <c r="AC301" s="12">
        <f>(AC264-AB264)-AC271</f>
        <v>0</v>
      </c>
      <c r="AD301" s="12">
        <f>(AD264-AC264)-AD271</f>
        <v>0</v>
      </c>
      <c r="AE301" s="12">
        <f>(AE264-AD264)-AE271</f>
        <v>0</v>
      </c>
      <c r="AF301" s="12">
        <f>(AF264-AE264)-AF271</f>
        <v>0</v>
      </c>
      <c r="AG301" s="12">
        <f>SUM(AC301:AF301)</f>
        <v>0</v>
      </c>
      <c r="AH301" s="12">
        <f>(AH264-AG264)-AH271</f>
        <v>0</v>
      </c>
      <c r="AI301" s="12">
        <f>(AI264-AH264)-AI271</f>
        <v>0</v>
      </c>
      <c r="AJ301" s="12">
        <f>(AJ264-AI264)-AJ271</f>
        <v>0</v>
      </c>
      <c r="AK301" s="12">
        <f>(AK264-AJ264)-AK271</f>
        <v>0</v>
      </c>
      <c r="AL301" s="12">
        <f>SUM(AH301:AK301)</f>
        <v>0</v>
      </c>
      <c r="AM301" s="12">
        <f>(AM264-AL264)-AM271</f>
        <v>0</v>
      </c>
      <c r="AN301" s="12">
        <f>(AN264-AM264)-AN271</f>
        <v>0</v>
      </c>
      <c r="AO301" s="12">
        <f>(AO264-AN264)-AO271</f>
        <v>0</v>
      </c>
      <c r="AP301" s="12">
        <f>(AP264-AO264)-AP271</f>
        <v>0</v>
      </c>
      <c r="AQ301" s="12">
        <f>SUM(AM301:AP301)</f>
        <v>0</v>
      </c>
      <c r="AR301" s="12">
        <f>(AR264-AQ264)-AR271</f>
        <v>0</v>
      </c>
      <c r="AS301" s="12">
        <f>(AS264-AR264)-AS271</f>
        <v>0</v>
      </c>
      <c r="AT301" s="12">
        <f>(AT264-AS264)-AT271</f>
        <v>0</v>
      </c>
      <c r="AU301" s="12">
        <f>(AU264-AT264)-AU271</f>
        <v>0</v>
      </c>
      <c r="AV301" s="12">
        <f>SUM(AR301:AU301)</f>
        <v>0</v>
      </c>
      <c r="AW301" s="12">
        <f>(AW264-AV264)-AW271</f>
        <v>0</v>
      </c>
      <c r="AX301" s="12">
        <f>(AX264-AW264)-AX271</f>
        <v>0</v>
      </c>
      <c r="AY301" s="12">
        <f>(AY264-AX264)-AY271</f>
        <v>0</v>
      </c>
      <c r="AZ301" s="12">
        <f>(AZ264-AY264)-AZ271</f>
        <v>0</v>
      </c>
      <c r="BA301" s="12">
        <f>SUM(AW301:AZ301)</f>
        <v>0</v>
      </c>
      <c r="BB301" s="12">
        <f>(BB264-BA264)-BB271</f>
        <v>0</v>
      </c>
      <c r="BC301" s="12">
        <f>(BC264-BB264)-BC271</f>
        <v>0</v>
      </c>
      <c r="BD301" s="12">
        <f>(BD264-BC264)-BD271</f>
        <v>0</v>
      </c>
      <c r="BE301" s="12">
        <f>(BE264-BD264)-BE271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Dividends to minority interests</t>
        </is>
      </c>
      <c r="D302" s="12" t="n"/>
      <c r="E302" s="12" t="n"/>
      <c r="F302" s="12" t="n"/>
      <c r="G302" s="12" t="n"/>
      <c r="H302" s="12" t="n"/>
      <c r="I302" s="12" t="n"/>
      <c r="J302" s="12">
        <f>(J242-I242)+J130</f>
        <v>0</v>
      </c>
      <c r="K302" s="12">
        <f>(K242-J242)+K130</f>
        <v>0</v>
      </c>
      <c r="L302" s="12">
        <f>(L242-K242)+L130</f>
        <v>0</v>
      </c>
      <c r="M302" s="12" t="n"/>
      <c r="N302" s="12">
        <f>(N242-M242)+N130</f>
        <v>0</v>
      </c>
      <c r="O302" s="12">
        <f>(O242-N242)+O130</f>
        <v>0</v>
      </c>
      <c r="P302" s="12">
        <f>(P242-O242)+P130</f>
        <v>0</v>
      </c>
      <c r="Q302" s="12">
        <f>(Q242-P242)+Q130</f>
        <v>0</v>
      </c>
      <c r="R302" s="12">
        <f>SUM(N302:Q302)</f>
        <v>0</v>
      </c>
      <c r="S302" s="12">
        <f>(S242-R242)+S130</f>
        <v>0</v>
      </c>
      <c r="T302" s="12">
        <f>(T242-S242)+T130</f>
        <v>0</v>
      </c>
      <c r="U302" s="12">
        <f>(U242-T242)+U130</f>
        <v>0</v>
      </c>
      <c r="V302" s="12">
        <f>(V242-U242)+V130</f>
        <v>0</v>
      </c>
      <c r="W302" s="12">
        <f>SUM(S302:V302)</f>
        <v>0</v>
      </c>
      <c r="X302" s="12">
        <f>(X242-W242)+X130</f>
        <v>0</v>
      </c>
      <c r="Y302" s="12">
        <f>(Y242-X242)+Y130</f>
        <v>0</v>
      </c>
      <c r="Z302" s="12">
        <f>(Z242-Y242)+Z130</f>
        <v>0</v>
      </c>
      <c r="AA302" s="12">
        <f>(AA242-Z242)+AA130</f>
        <v>0</v>
      </c>
      <c r="AB302" s="12">
        <f>SUM(X302:AA302)</f>
        <v>0</v>
      </c>
      <c r="AC302" s="12">
        <f>(AC242-AB242)+AC130</f>
        <v>0</v>
      </c>
      <c r="AD302" s="12">
        <f>(AD242-AC242)+AD130</f>
        <v>0</v>
      </c>
      <c r="AE302" s="12">
        <f>(AE242-AD242)+AE130</f>
        <v>0</v>
      </c>
      <c r="AF302" s="12">
        <f>(AF242-AE242)+AF130</f>
        <v>0</v>
      </c>
      <c r="AG302" s="12">
        <f>SUM(AC302:AF302)</f>
        <v>0</v>
      </c>
      <c r="AH302" s="12">
        <f>(AH242-AG242)+AH130</f>
        <v>0</v>
      </c>
      <c r="AI302" s="12">
        <f>(AI242-AH242)+AI130</f>
        <v>0</v>
      </c>
      <c r="AJ302" s="12">
        <f>(AJ242-AI242)+AJ130</f>
        <v>0</v>
      </c>
      <c r="AK302" s="12">
        <f>(AK242-AJ242)+AK130</f>
        <v>0</v>
      </c>
      <c r="AL302" s="12">
        <f>SUM(AH302:AK302)</f>
        <v>0</v>
      </c>
      <c r="AM302" s="12">
        <f>(AM242-AL242)+AM130</f>
        <v>0</v>
      </c>
      <c r="AN302" s="12">
        <f>(AN242-AM242)+AN130</f>
        <v>0</v>
      </c>
      <c r="AO302" s="12">
        <f>(AO242-AN242)+AO130</f>
        <v>0</v>
      </c>
      <c r="AP302" s="12">
        <f>(AP242-AO242)+AP130</f>
        <v>0</v>
      </c>
      <c r="AQ302" s="12">
        <f>SUM(AM302:AP302)</f>
        <v>0</v>
      </c>
      <c r="AR302" s="12">
        <f>(AR242-AQ242)+AR130</f>
        <v>0</v>
      </c>
      <c r="AS302" s="12">
        <f>(AS242-AR242)+AS130</f>
        <v>0</v>
      </c>
      <c r="AT302" s="12">
        <f>(AT242-AS242)+AT130</f>
        <v>0</v>
      </c>
      <c r="AU302" s="12">
        <f>(AU242-AT242)+AU130</f>
        <v>0</v>
      </c>
      <c r="AV302" s="12">
        <f>SUM(AR302:AU302)</f>
        <v>0</v>
      </c>
      <c r="AW302" s="12">
        <f>(AW242-AV242)+AW130</f>
        <v>0</v>
      </c>
      <c r="AX302" s="12">
        <f>(AX242-AW242)+AX130</f>
        <v>0</v>
      </c>
      <c r="AY302" s="12">
        <f>(AY242-AX242)+AY130</f>
        <v>0</v>
      </c>
      <c r="AZ302" s="12">
        <f>(AZ242-AY242)+AZ130</f>
        <v>0</v>
      </c>
      <c r="BA302" s="12">
        <f>SUM(AW302:AZ302)</f>
        <v>0</v>
      </c>
      <c r="BB302" s="12">
        <f>(BB242-BA242)+BB130</f>
        <v>0</v>
      </c>
      <c r="BC302" s="12">
        <f>(BC242-BB242)+BC130</f>
        <v>0</v>
      </c>
      <c r="BD302" s="12">
        <f>(BD242-BC242)+BD130</f>
        <v>0</v>
      </c>
      <c r="BE302" s="12">
        <f>(BE242-BD242)+BE130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5" t="inlineStr">
        <is>
          <t>Increases / (decreases) in debt</t>
        </is>
      </c>
      <c r="D303" s="12" t="n"/>
      <c r="E303" s="12" t="n"/>
      <c r="F303" s="12" t="n"/>
      <c r="G303" s="12" t="n"/>
      <c r="H303" s="12" t="n"/>
      <c r="I303" s="12" t="n"/>
      <c r="J303" s="12">
        <f>SUM(J206:J208,J211,J232,J229)-SUM(I206:I208,I211,I232,I229)</f>
        <v>66.6769999999997</v>
      </c>
      <c r="K303" s="12">
        <f>SUM(K206:K208,K211,K232,K229)-SUM(J206:J208,J211,J232,J229)</f>
        <v>-132.852999999999</v>
      </c>
      <c r="L303" s="12">
        <f>SUM(L206:L208,L211,L232,L229)-SUM(K206:K208,K211,K232,K229)</f>
        <v>-100.269</v>
      </c>
      <c r="M303" s="12" t="n"/>
      <c r="N303" s="12">
        <f>SUM(N206:N208,N211,N232,N229)-SUM(M206:M208,M211,M232,M229)</f>
        <v>-858.334000000001</v>
      </c>
      <c r="O303" s="12">
        <f>SUM(O206:O208,O211,O232,O229)-SUM(N206:N208,N211,N232,N229)</f>
        <v>-301.258</v>
      </c>
      <c r="P303" s="12">
        <f>SUM(P206:P208,P211,P232,P229)-SUM(O206:O208,O211,O232,O229)</f>
        <v>-345.186</v>
      </c>
      <c r="Q303" s="12">
        <f>SUM(Q206:Q208,Q211,Q232,Q229)-SUM(P206:P208,P211,P232,P229)</f>
        <v>464.958999999999</v>
      </c>
      <c r="R303" s="12">
        <f>SUM(N303:Q303)</f>
        <v>-1039.819</v>
      </c>
      <c r="S303" s="12">
        <f>SUM(S206:S208,S211,S232,S229)-SUM(R206:R208,R211,R232,R229)</f>
        <v>84.0520000000015</v>
      </c>
      <c r="T303" s="12">
        <f>SUM(T206:T208,T211,T232,T229)-SUM(S206:S208,S211,S232,S229)</f>
        <v>32.4099999999999</v>
      </c>
      <c r="U303" s="12">
        <f>SUM(U206:U208,U211,U232,U229)-SUM(T206:T208,T211,T232,T229)</f>
        <v>-169.17</v>
      </c>
      <c r="V303" s="12">
        <f>SUM(V206:V208,V211,V232,V229)-SUM(U206:U208,U211,U232,U229)</f>
        <v>242.892999999998</v>
      </c>
      <c r="W303" s="12">
        <f>SUM(S303:V303)</f>
        <v>190.185</v>
      </c>
      <c r="X303" s="12">
        <f>SUM(X206:X208,X211,X232,X229)-SUM(W206:W208,W211,W232,W229)</f>
        <v>-527.286999999998</v>
      </c>
      <c r="Y303" s="12">
        <f>SUM(Y206:Y208,Y211,Y232,Y229)-SUM(X206:X208,X211,X232,X229)</f>
        <v>-35.9090000000015</v>
      </c>
      <c r="Z303" s="12">
        <f>SUM(Z206:Z208,Z211,Z232,Z229)-SUM(Y206:Y208,Y211,Y232,Y229)</f>
        <v>2001.263</v>
      </c>
      <c r="AA303" s="12">
        <f>SUM(AA206:AA208,AA211,AA232,AA229)-SUM(Z206:Z208,Z211,Z232,Z229)</f>
        <v>-398.524000000001</v>
      </c>
      <c r="AB303" s="12">
        <f>SUM(X303:AA303)</f>
        <v>1039.543</v>
      </c>
      <c r="AC303" s="12">
        <f>SUM(AC206:AC208,AC211,AC232,AC229)-SUM(AB206:AB208,AB211,AB232,AB229)</f>
        <v>-565.886</v>
      </c>
      <c r="AD303" s="12">
        <f>SUM(AD206:AD208,AD211,AD232,AD229)-SUM(AC206:AC208,AC211,AC232,AC229)</f>
        <v>-563.712</v>
      </c>
      <c r="AE303" s="12">
        <f>SUM(AE206:AE208,AE211,AE232,AE229)-SUM(AD206:AD208,AD211,AD232,AD229)</f>
        <v>9.81400000000031</v>
      </c>
      <c r="AF303" s="12">
        <f>SUM(AF206:AF208,AF211,AF232,AF229)-SUM(AE206:AE208,AE211,AE232,AE229)</f>
        <v>-0.184000000001106</v>
      </c>
      <c r="AG303" s="12">
        <f>SUM(AC303:AF303)</f>
        <v>-1119.968</v>
      </c>
      <c r="AH303" s="12">
        <f>SUM(AH206:AH208,AH211,AH232,AH229)-SUM(AG206:AG208,AG211,AG232,AG229)</f>
        <v>-102.32</v>
      </c>
      <c r="AI303" s="12">
        <f>SUM(AI206:AI208,AI211,AI232,AI229)-SUM(AH206:AH208,AH211,AH232,AH229)</f>
        <v>-51.2099999999991</v>
      </c>
      <c r="AJ303" s="12">
        <f>SUM(AJ206:AJ208,AJ211,AJ232,AJ229)-SUM(AI206:AI208,AI211,AI232,AI229)</f>
        <v>0</v>
      </c>
      <c r="AK303" s="12">
        <f>SUM(AK206:AK208,AK211,AK232,AK229)-SUM(AJ206:AJ208,AJ211,AJ232,AJ229)</f>
        <v>0</v>
      </c>
      <c r="AL303" s="12">
        <f>SUM(AH303:AK303)</f>
        <v>-153.529999999999</v>
      </c>
      <c r="AM303" s="12">
        <f>SUM(AM206:AM208,AM211,AM232,AM229)-SUM(AL206:AL208,AL211,AL232,AL229)</f>
        <v>0</v>
      </c>
      <c r="AN303" s="12">
        <f>SUM(AN206:AN208,AN211,AN232,AN229)-SUM(AM206:AM208,AM211,AM232,AM229)</f>
        <v>0</v>
      </c>
      <c r="AO303" s="12">
        <f>SUM(AO206:AO208,AO211,AO232,AO229)-SUM(AN206:AN208,AN211,AN232,AN229)</f>
        <v>0</v>
      </c>
      <c r="AP303" s="12">
        <f>SUM(AP206:AP208,AP211,AP232,AP229)-SUM(AO206:AO208,AO211,AO232,AO229)</f>
        <v>0</v>
      </c>
      <c r="AQ303" s="12">
        <f>SUM(AM303:AP303)</f>
        <v>0</v>
      </c>
      <c r="AR303" s="12">
        <f>SUM(AR206:AR208,AR211,AR232,AR229)-SUM(AQ206:AQ208,AQ211,AQ232,AQ229)</f>
        <v>0</v>
      </c>
      <c r="AS303" s="12">
        <f>SUM(AS206:AS208,AS211,AS232,AS229)-SUM(AR206:AR208,AR211,AR232,AR229)</f>
        <v>0</v>
      </c>
      <c r="AT303" s="12">
        <f>SUM(AT206:AT208,AT211,AT232,AT229)-SUM(AS206:AS208,AS211,AS232,AS229)</f>
        <v>0</v>
      </c>
      <c r="AU303" s="12">
        <f>SUM(AU206:AU208,AU211,AU232,AU229)-SUM(AT206:AT208,AT211,AT232,AT229)</f>
        <v>0</v>
      </c>
      <c r="AV303" s="12">
        <f>SUM(AR303:AU303)</f>
        <v>0</v>
      </c>
      <c r="AW303" s="12">
        <f>SUM(AW206:AW208,AW211,AW232,AW229)-SUM(AV206:AV208,AV211,AV232,AV229)</f>
        <v>0</v>
      </c>
      <c r="AX303" s="12">
        <f>SUM(AX206:AX208,AX211,AX232,AX229)-SUM(AW206:AW208,AW211,AW232,AW229)</f>
        <v>0</v>
      </c>
      <c r="AY303" s="12">
        <f>SUM(AY206:AY208,AY211,AY232,AY229)-SUM(AX206:AX208,AX211,AX232,AX229)</f>
        <v>0</v>
      </c>
      <c r="AZ303" s="12">
        <f>SUM(AZ206:AZ208,AZ211,AZ232,AZ229)-SUM(AY206:AY208,AY211,AY232,AY229)</f>
        <v>0</v>
      </c>
      <c r="BA303" s="12">
        <f>SUM(AW303:AZ303)</f>
        <v>0</v>
      </c>
      <c r="BB303" s="12">
        <f>SUM(BB206:BB208,BB211,BB232,BB229)-SUM(BA206:BA208,BA211,BA232,BA229)</f>
        <v>0</v>
      </c>
      <c r="BC303" s="12">
        <f>SUM(BC206:BC208,BC211,BC232,BC229)-SUM(BB206:BB208,BB211,BB232,BB229)</f>
        <v>0</v>
      </c>
      <c r="BD303" s="12">
        <f>SUM(BD206:BD208,BD211,BD232,BD229)-SUM(BC206:BC208,BC211,BC232,BC229)</f>
        <v>0</v>
      </c>
      <c r="BE303" s="12">
        <f>SUM(BE206:BE208,BE211,BE232,BE229)-SUM(BD206:BD208,BD211,BD232,BD229)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  <c r="CZ303" s="12" t="n"/>
      <c r="DA303" s="12" t="n"/>
      <c r="DB303" s="12" t="n"/>
      <c r="DC303" s="12" t="n"/>
    </row>
    <row r="304">
      <c r="C304" s="14" t="inlineStr">
        <is>
          <t>Cash from financing</t>
        </is>
      </c>
      <c r="D304" s="12" t="n"/>
      <c r="E304" s="12" t="n"/>
      <c r="F304" s="12" t="n"/>
      <c r="G304" s="12" t="n"/>
      <c r="H304" s="12" t="n"/>
      <c r="I304" s="12" t="n"/>
      <c r="J304" s="12">
        <f>SUM(J296,J297,J298,J299,J300,J301,J302,J303)</f>
        <v>-306.545</v>
      </c>
      <c r="K304" s="12">
        <f>SUM(K296,K297,K298,K299,K300,K301,K302,K303)</f>
        <v>-131.177999999999</v>
      </c>
      <c r="L304" s="12">
        <f>SUM(L296,L297,L298,L299,L300,L301,L302,L303)</f>
        <v>-173.067</v>
      </c>
      <c r="M304" s="12" t="n"/>
      <c r="N304" s="12">
        <f>SUM(N296,N297,N298,N299,N300,N301,N302,N303)</f>
        <v>-760.990000000001</v>
      </c>
      <c r="O304" s="12">
        <f>SUM(O296,O297,O298,O299,O300,O301,O302,O303)</f>
        <v>-210.274</v>
      </c>
      <c r="P304" s="12">
        <f>SUM(P296,P297,P298,P299,P300,P301,P302,P303)</f>
        <v>-291.260999999999</v>
      </c>
      <c r="Q304" s="12">
        <f>SUM(Q296,Q297,Q298,Q299,Q300,Q301,Q302,Q303)</f>
        <v>658.934999999998</v>
      </c>
      <c r="R304" s="12">
        <f>SUM(R296,R297,R298,R299,R300,R301,R302,R303)</f>
        <v>-603.590000000002</v>
      </c>
      <c r="S304" s="12">
        <f>SUM(S296,S297,S298,S299,S300,S301,S302,S303)</f>
        <v>-170.272999999998</v>
      </c>
      <c r="T304" s="12">
        <f>SUM(T296,T297,T298,T299,T300,T301,T302,T303)</f>
        <v>-451.181000000001</v>
      </c>
      <c r="U304" s="12">
        <f>SUM(U296,U297,U298,U299,U300,U301,U302,U303)</f>
        <v>-2571.18</v>
      </c>
      <c r="V304" s="12">
        <f>SUM(V296,V297,V298,V299,V300,V301,V302,V303)</f>
        <v>-2214.259</v>
      </c>
      <c r="W304" s="12">
        <f>SUM(W296,W297,W298,W299,W300,W301,W302,W303)</f>
        <v>-5406.893</v>
      </c>
      <c r="X304" s="12">
        <f>SUM(X296,X297,X298,X299,X300,X301,X302,X303)</f>
        <v>-2082.399</v>
      </c>
      <c r="Y304" s="12">
        <f>SUM(Y296,Y297,Y298,Y299,Y300,Y301,Y302,Y303)</f>
        <v>-1435.932</v>
      </c>
      <c r="Z304" s="12">
        <f>SUM(Z296,Z297,Z298,Z299,Z300,Z301,Z302,Z303)</f>
        <v>245.797000000004</v>
      </c>
      <c r="AA304" s="12">
        <f>SUM(AA296,AA297,AA298,AA299,AA300,AA301,AA302,AA303)</f>
        <v>-244.300000000003</v>
      </c>
      <c r="AB304" s="12">
        <f>SUM(AB296,AB297,AB298,AB299,AB300,AB301,AB302,AB303)</f>
        <v>-3516.834</v>
      </c>
      <c r="AC304" s="12">
        <f>SUM(AC296,AC297,AC298,AC299,AC300,AC301,AC302,AC303)</f>
        <v>-4171.731</v>
      </c>
      <c r="AD304" s="12">
        <f>SUM(AD296,AD297,AD298,AD299,AD300,AD301,AD302,AD303)</f>
        <v>-2765.299</v>
      </c>
      <c r="AE304" s="12">
        <f>SUM(AE296,AE297,AE298,AE299,AE300,AE301,AE302,AE303)</f>
        <v>-1534.966</v>
      </c>
      <c r="AF304" s="12">
        <f>SUM(AF296,AF297,AF298,AF299,AF300,AF301,AF302,AF303)</f>
        <v>-1757.252</v>
      </c>
      <c r="AG304" s="12">
        <f>SUM(AG296,AG297,AG298,AG299,AG300,AG301,AG302,AG303)</f>
        <v>-10229.248</v>
      </c>
      <c r="AH304" s="12">
        <f>SUM(AH296,AH297,AH298,AH299,AH300,AH301,AH302,AH303)</f>
        <v>-874.199999999999</v>
      </c>
      <c r="AI304" s="12">
        <f>SUM(AI296,AI297,AI298,AI299,AI300,AI301,AI302,AI303)</f>
        <v>-4426.971</v>
      </c>
      <c r="AJ304" s="12">
        <f>SUM(AJ296,AJ297,AJ298,AJ299,AJ300,AJ301,AJ302,AJ303)</f>
        <v>0</v>
      </c>
      <c r="AK304" s="12">
        <f>SUM(AK296,AK297,AK298,AK299,AK300,AK301,AK302,AK303)</f>
        <v>0</v>
      </c>
      <c r="AL304" s="12">
        <f>SUM(AL296,AL297,AL298,AL299,AL300,AL301,AL302,AL303)</f>
        <v>-5301.171</v>
      </c>
      <c r="AM304" s="12">
        <f>SUM(AM296,AM297,AM298,AM299,AM300,AM301,AM302,AM303)</f>
        <v>0</v>
      </c>
      <c r="AN304" s="12">
        <f>SUM(AN296,AN297,AN298,AN299,AN300,AN301,AN302,AN303)</f>
        <v>0</v>
      </c>
      <c r="AO304" s="12">
        <f>SUM(AO296,AO297,AO298,AO299,AO300,AO301,AO302,AO303)</f>
        <v>0</v>
      </c>
      <c r="AP304" s="12">
        <f>SUM(AP296,AP297,AP298,AP299,AP300,AP301,AP302,AP303)</f>
        <v>0</v>
      </c>
      <c r="AQ304" s="12">
        <f>SUM(AQ296,AQ297,AQ298,AQ299,AQ300,AQ301,AQ302,AQ303)</f>
        <v>0</v>
      </c>
      <c r="AR304" s="12">
        <f>SUM(AR296,AR297,AR298,AR299,AR300,AR301,AR302,AR303)</f>
        <v>0</v>
      </c>
      <c r="AS304" s="12">
        <f>SUM(AS296,AS297,AS298,AS299,AS300,AS301,AS302,AS303)</f>
        <v>0</v>
      </c>
      <c r="AT304" s="12">
        <f>SUM(AT296,AT297,AT298,AT299,AT300,AT301,AT302,AT303)</f>
        <v>0</v>
      </c>
      <c r="AU304" s="12">
        <f>SUM(AU296,AU297,AU298,AU299,AU300,AU301,AU302,AU303)</f>
        <v>0</v>
      </c>
      <c r="AV304" s="12">
        <f>SUM(AV296,AV297,AV298,AV299,AV300,AV301,AV302,AV303)</f>
        <v>0</v>
      </c>
      <c r="AW304" s="12">
        <f>SUM(AW296,AW297,AW298,AW299,AW300,AW301,AW302,AW303)</f>
        <v>0</v>
      </c>
      <c r="AX304" s="12">
        <f>SUM(AX296,AX297,AX298,AX299,AX300,AX301,AX302,AX303)</f>
        <v>0</v>
      </c>
      <c r="AY304" s="12">
        <f>SUM(AY296,AY297,AY298,AY299,AY300,AY301,AY302,AY303)</f>
        <v>0</v>
      </c>
      <c r="AZ304" s="12">
        <f>SUM(AZ296,AZ297,AZ298,AZ299,AZ300,AZ301,AZ302,AZ303)</f>
        <v>0</v>
      </c>
      <c r="BA304" s="12">
        <f>SUM(BA296,BA297,BA298,BA299,BA300,BA301,BA302,BA303)</f>
        <v>0</v>
      </c>
      <c r="BB304" s="12">
        <f>SUM(BB296,BB297,BB298,BB299,BB300,BB301,BB302,BB303)</f>
        <v>0</v>
      </c>
      <c r="BC304" s="12">
        <f>SUM(BC296,BC297,BC298,BC299,BC300,BC301,BC302,BC303)</f>
        <v>0</v>
      </c>
      <c r="BD304" s="12">
        <f>SUM(BD296,BD297,BD298,BD299,BD300,BD301,BD302,BD303)</f>
        <v>0</v>
      </c>
      <c r="BE304" s="12">
        <f>SUM(BE296,BE297,BE298,BE299,BE300,BE301,BE302,BE303)</f>
        <v>0</v>
      </c>
      <c r="BF304" s="12">
        <f>SUM(BF296,BF297,BF298,BF299,BF300,BF301,BF302,BF303)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Others / cash reconciliation plug</t>
        </is>
      </c>
      <c r="D306" s="12" t="n"/>
      <c r="E306" s="12" t="n"/>
      <c r="F306" s="12" t="n"/>
      <c r="G306" s="12" t="n"/>
      <c r="H306" s="12" t="n"/>
      <c r="I306" s="12" t="n"/>
      <c r="J306" s="12">
        <f>J138-I138-SUM(J287,J294,J304)</f>
        <v>0</v>
      </c>
      <c r="K306" s="12">
        <f>K138-J138-SUM(K287,K294,K304)</f>
        <v>-3.01270119962282e-12</v>
      </c>
      <c r="L306" s="12">
        <f>L138-K138-SUM(L287,L294,L304)</f>
        <v>0</v>
      </c>
      <c r="M306" s="12" t="n"/>
      <c r="N306" s="12">
        <f>N138-M138-SUM(N287,N294,N304)</f>
        <v>-4.43378667114303e-12</v>
      </c>
      <c r="O306" s="12">
        <f>O138-N138-SUM(O287,O294,O304)</f>
        <v>4.9453774408903e-12</v>
      </c>
      <c r="P306" s="12">
        <f>P138-O138-SUM(P287,P294,P304)</f>
        <v>-1.81898940354586e-12</v>
      </c>
      <c r="Q306" s="12">
        <f>Q138-P138-SUM(Q287,Q294,Q304)</f>
        <v>4.12114786740858e-12</v>
      </c>
      <c r="R306" s="12">
        <f>SUM(N306:Q306)</f>
        <v>2.81374923361e-12</v>
      </c>
      <c r="S306" s="12">
        <f>S138-R138-SUM(S287,S294,S304)</f>
        <v>0</v>
      </c>
      <c r="T306" s="12">
        <f>T138-S138-SUM(T287,T294,T304)</f>
        <v>4.66116034658626e-12</v>
      </c>
      <c r="U306" s="12">
        <f>U138-T138-SUM(U287,U294,U304)</f>
        <v>0</v>
      </c>
      <c r="V306" s="12">
        <f>V138-U138-SUM(V287,V294,V304)</f>
        <v>0</v>
      </c>
      <c r="W306" s="12">
        <f>SUM(S306:V306)</f>
        <v>4.66116034658626e-12</v>
      </c>
      <c r="X306" s="12">
        <f>X138-W138-SUM(X287,X294,X304)</f>
        <v>-4.71800376544707e-12</v>
      </c>
      <c r="Y306" s="12">
        <f>Y138-X138-SUM(Y287,Y294,Y304)</f>
        <v>2.8421709430404e-12</v>
      </c>
      <c r="Z306" s="12">
        <f>Z138-Y138-SUM(Z287,Z294,Z304)</f>
        <v>0</v>
      </c>
      <c r="AA306" s="12">
        <f>AA138-Z138-SUM(AA287,AA294,AA304)</f>
        <v>0</v>
      </c>
      <c r="AB306" s="12">
        <f>SUM(X306:AA306)</f>
        <v>-1.87583282240666e-12</v>
      </c>
      <c r="AC306" s="12">
        <f>AC138-AB138-SUM(AC287,AC294,AC304)</f>
        <v>-5.22959453519434e-12</v>
      </c>
      <c r="AD306" s="12">
        <f>AD138-AC138-SUM(AD287,AD294,AD304)</f>
        <v>7.95807864051312e-13</v>
      </c>
      <c r="AE306" s="12">
        <f>AE138-AD138-SUM(AE287,AE294,AE304)</f>
        <v>0</v>
      </c>
      <c r="AF306" s="12">
        <f>AF138-AE138-SUM(AF287,AF294,AF304)</f>
        <v>-2.50111042987555e-12</v>
      </c>
      <c r="AG306" s="12">
        <f>SUM(AC306:AF306)</f>
        <v>-6.93489710101858e-12</v>
      </c>
      <c r="AH306" s="12">
        <f>AH138-AG138-SUM(AH287,AH294,AH304)</f>
        <v>0</v>
      </c>
      <c r="AI306" s="12">
        <f>AI138-AH138-SUM(AI287,AI294,AI304)</f>
        <v>0</v>
      </c>
      <c r="AJ306" s="12">
        <f>AJ138-AI138-SUM(AJ287,AJ294,AJ304)</f>
        <v>0</v>
      </c>
      <c r="AK306" s="12">
        <f>AK138-AJ138-SUM(AK287,AK294,AK304)</f>
        <v>0</v>
      </c>
      <c r="AL306" s="12">
        <f>SUM(AH306:AK306)</f>
        <v>0</v>
      </c>
      <c r="AM306" s="12">
        <f>AM138-AL138-SUM(AM287,AM294,AM304)</f>
        <v>0</v>
      </c>
      <c r="AN306" s="12">
        <f>AN138-AM138-SUM(AN287,AN294,AN304)</f>
        <v>0</v>
      </c>
      <c r="AO306" s="12">
        <f>AO138-AN138-SUM(AO287,AO294,AO304)</f>
        <v>0</v>
      </c>
      <c r="AP306" s="12">
        <f>AP138-AO138-SUM(AP287,AP294,AP304)</f>
        <v>0</v>
      </c>
      <c r="AQ306" s="12">
        <f>SUM(AM306:AP306)</f>
        <v>0</v>
      </c>
      <c r="AR306" s="12">
        <f>AR138-AQ138-SUM(AR287,AR294,AR304)</f>
        <v>0</v>
      </c>
      <c r="AS306" s="12">
        <f>AS138-AR138-SUM(AS287,AS294,AS304)</f>
        <v>0</v>
      </c>
      <c r="AT306" s="12">
        <f>AT138-AS138-SUM(AT287,AT294,AT304)</f>
        <v>0</v>
      </c>
      <c r="AU306" s="12">
        <f>AU138-AT138-SUM(AU287,AU294,AU304)</f>
        <v>0</v>
      </c>
      <c r="AV306" s="12">
        <f>SUM(AR306:AU306)</f>
        <v>0</v>
      </c>
      <c r="AW306" s="12">
        <f>AW138-AV138-SUM(AW287,AW294,AW304)</f>
        <v>0</v>
      </c>
      <c r="AX306" s="12">
        <f>AX138-AW138-SUM(AX287,AX294,AX304)</f>
        <v>0</v>
      </c>
      <c r="AY306" s="12">
        <f>AY138-AX138-SUM(AY287,AY294,AY304)</f>
        <v>0</v>
      </c>
      <c r="AZ306" s="12">
        <f>AZ138-AY138-SUM(AZ287,AZ294,AZ304)</f>
        <v>0</v>
      </c>
      <c r="BA306" s="12">
        <f>SUM(AW306:AZ306)</f>
        <v>0</v>
      </c>
      <c r="BB306" s="12">
        <f>BB138-BA138-SUM(BB287,BB294,BB304)</f>
        <v>3.45607986673713e-11</v>
      </c>
      <c r="BC306" s="12">
        <f>BC138-BB138-SUM(BC287,BC294,BC304)</f>
        <v>0</v>
      </c>
      <c r="BD306" s="12">
        <f>BD138-BC138-SUM(BD287,BD294,BD304)</f>
        <v>0</v>
      </c>
      <c r="BE306" s="12">
        <f>BE138-BD138-SUM(BE287,BE294,BE304)</f>
        <v>0</v>
      </c>
      <c r="BF306" s="12">
        <f>SUM(BB306:BE306)</f>
        <v>3.45607986673713e-11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Total increase/decrease of cash</t>
        </is>
      </c>
      <c r="D308" s="12" t="n"/>
      <c r="E308" s="12" t="n"/>
      <c r="F308" s="12" t="n"/>
      <c r="G308" s="12" t="n"/>
      <c r="H308" s="12" t="n"/>
      <c r="I308" s="12" t="n"/>
      <c r="J308" s="12">
        <f>SUM(J287,J294,J304,J306)</f>
        <v>-626.175000000001</v>
      </c>
      <c r="K308" s="12">
        <f>SUM(K287,K294,K304,K306)</f>
        <v>-250.849</v>
      </c>
      <c r="L308" s="12">
        <f>SUM(L287,L294,L304,L306)</f>
        <v>-1498.877</v>
      </c>
      <c r="M308" s="12" t="n"/>
      <c r="N308" s="12">
        <f>SUM(N287,N294,N304,N306)</f>
        <v>-18.8580000000002</v>
      </c>
      <c r="O308" s="12">
        <f>SUM(O287,O294,O304,O306)</f>
        <v>-189.497</v>
      </c>
      <c r="P308" s="12">
        <f>SUM(P287,P294,P304,P306)</f>
        <v>294.284000000001</v>
      </c>
      <c r="Q308" s="12">
        <f>SUM(Q287,Q294,Q304,Q306)</f>
        <v>-55.281</v>
      </c>
      <c r="R308" s="12">
        <f>SUM(N308:Q308)</f>
        <v>30.6480000000001</v>
      </c>
      <c r="S308" s="12">
        <f>SUM(S287,S294,S304,S306)</f>
        <v>1769.05200000001</v>
      </c>
      <c r="T308" s="12">
        <f>SUM(T287,T294,T304,T306)</f>
        <v>749.485</v>
      </c>
      <c r="U308" s="12">
        <f>SUM(U287,U294,U304,U306)</f>
        <v>-709.543</v>
      </c>
      <c r="V308" s="12">
        <f>SUM(V287,V294,V304,V306)</f>
        <v>-729.559999999999</v>
      </c>
      <c r="W308" s="12">
        <f>SUM(S308:V308)</f>
        <v>1079.43400000001</v>
      </c>
      <c r="X308" s="12">
        <f>SUM(X287,X294,X304,X306)</f>
        <v>-92.1470000000008</v>
      </c>
      <c r="Y308" s="12">
        <f>SUM(Y287,Y294,Y304,Y306)</f>
        <v>-389.826999999999</v>
      </c>
      <c r="Z308" s="12">
        <f>SUM(Z287,Z294,Z304,Z306)</f>
        <v>2568.015</v>
      </c>
      <c r="AA308" s="12">
        <f>SUM(AA287,AA294,AA304,AA306)</f>
        <v>359.811999999999</v>
      </c>
      <c r="AB308" s="12">
        <f>SUM(X308:AA308)</f>
        <v>2445.853</v>
      </c>
      <c r="AC308" s="12">
        <f>SUM(AC287,AC294,AC304,AC306)</f>
        <v>-1212.749</v>
      </c>
      <c r="AD308" s="12">
        <f>SUM(AD287,AD294,AD304,AD306)</f>
        <v>19.5300000000007</v>
      </c>
      <c r="AE308" s="12">
        <f>SUM(AE287,AE294,AE304,AE306)</f>
        <v>933.871999999997</v>
      </c>
      <c r="AF308" s="12">
        <f>SUM(AF287,AF294,AF304,AF306)</f>
        <v>-262.032999999999</v>
      </c>
      <c r="AG308" s="12">
        <f>SUM(AC308:AF308)</f>
        <v>-521.380000000001</v>
      </c>
      <c r="AH308" s="12">
        <f>SUM(AH287,AH294,AH304,AH306)</f>
        <v>3226.09099999999</v>
      </c>
      <c r="AI308" s="12">
        <f>SUM(AI287,AI294,AI304,AI306)</f>
        <v>-3160.54</v>
      </c>
      <c r="AJ308" s="12">
        <f>SUM(AJ287,AJ294,AJ304,AJ306)</f>
        <v>4354.54779943766</v>
      </c>
      <c r="AK308" s="12">
        <f>SUM(AK287,AK294,AK304,AK306)</f>
        <v>4594.91509679106</v>
      </c>
      <c r="AL308" s="12">
        <f>SUM(AH308:AK308)</f>
        <v>9015.01389622872</v>
      </c>
      <c r="AM308" s="12">
        <f>SUM(AM287,AM294,AM304,AM306)</f>
        <v>4743.03242653677</v>
      </c>
      <c r="AN308" s="12">
        <f>SUM(AN287,AN294,AN304,AN306)</f>
        <v>4924.39325579065</v>
      </c>
      <c r="AO308" s="12">
        <f>SUM(AO287,AO294,AO304,AO306)</f>
        <v>5313.75749744688</v>
      </c>
      <c r="AP308" s="12">
        <f>SUM(AP287,AP294,AP304,AP306)</f>
        <v>5657.3785419838</v>
      </c>
      <c r="AQ308" s="12">
        <f>SUM(AM308:AP308)</f>
        <v>20638.5617217581</v>
      </c>
      <c r="AR308" s="12">
        <f>SUM(AR287,AR294,AR304,AR306)</f>
        <v>5808.31427838427</v>
      </c>
      <c r="AS308" s="12">
        <f>SUM(AS287,AS294,AS304,AS306)</f>
        <v>6097.19778133178</v>
      </c>
      <c r="AT308" s="12">
        <f>SUM(AT287,AT294,AT304,AT306)</f>
        <v>6591.97332855108</v>
      </c>
      <c r="AU308" s="12">
        <f>SUM(AU287,AU294,AU304,AU306)</f>
        <v>7054.28909197682</v>
      </c>
      <c r="AV308" s="12">
        <f>SUM(AR308:AU308)</f>
        <v>25551.774480244</v>
      </c>
      <c r="AW308" s="12">
        <f>SUM(AW287,AW294,AW304,AW306)</f>
        <v>7266.97426755498</v>
      </c>
      <c r="AX308" s="12">
        <f>SUM(AX287,AX294,AX304,AX306)</f>
        <v>7657.351433292</v>
      </c>
      <c r="AY308" s="12">
        <f>SUM(AY287,AY294,AY304,AY306)</f>
        <v>8330.03196513688</v>
      </c>
      <c r="AZ308" s="12">
        <f>SUM(AZ287,AZ294,AZ304,AZ306)</f>
        <v>8964.17658250509</v>
      </c>
      <c r="BA308" s="12">
        <f>SUM(AW308:AZ308)</f>
        <v>32218.5342484889</v>
      </c>
      <c r="BB308" s="12">
        <f>SUM(BB287,BB294,BB304,BB306)</f>
        <v>9256.11942035452</v>
      </c>
      <c r="BC308" s="12">
        <f>SUM(BC287,BC294,BC304,BC306)</f>
        <v>9833.11866672701</v>
      </c>
      <c r="BD308" s="12">
        <f>SUM(BD287,BD294,BD304,BD306)</f>
        <v>10741.8110135952</v>
      </c>
      <c r="BE308" s="12">
        <f>SUM(BE287,BE294,BE304,BE306)</f>
        <v>11624.6371419832</v>
      </c>
      <c r="BF308" s="12">
        <f>SUM(BB308:BE308)</f>
        <v>41455.6862426599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4" t="inlineStr">
        <is>
          <t>Check</t>
        </is>
      </c>
      <c r="E309" s="72" t="n"/>
      <c r="F309" s="72" t="n"/>
      <c r="G309" s="72" t="n"/>
      <c r="I309" s="72" t="str">
        <f>""</f>
        <v/>
      </c>
      <c r="J309" s="72">
        <f>J138-I138-J308</f>
        <v>0</v>
      </c>
      <c r="K309" s="72">
        <f>K138-J138-K308</f>
        <v>0</v>
      </c>
      <c r="L309" s="72">
        <f>L138-K138-L308</f>
        <v>0</v>
      </c>
      <c r="M309" s="4" t="str">
        <f>""</f>
        <v/>
      </c>
      <c r="N309" s="72">
        <f>N138-M138-N308</f>
        <v>0</v>
      </c>
      <c r="O309" s="72">
        <f>O138-N138-O308</f>
        <v>0</v>
      </c>
      <c r="P309" s="72">
        <f>P138-O138-P308</f>
        <v>0</v>
      </c>
      <c r="Q309" s="72">
        <f>Q138-P138-Q308</f>
        <v>0</v>
      </c>
      <c r="R309" s="4">
        <f>R138-M138-R308</f>
        <v>0</v>
      </c>
      <c r="S309" s="72">
        <f>S138-R138-S308</f>
        <v>0</v>
      </c>
      <c r="T309" s="72">
        <f>T138-S138-T308</f>
        <v>0</v>
      </c>
      <c r="U309" s="72">
        <f>U138-T138-U308</f>
        <v>0</v>
      </c>
      <c r="V309" s="72">
        <f>V138-U138-V308</f>
        <v>0</v>
      </c>
      <c r="W309" s="4">
        <f>W138-R138-W308</f>
        <v>-5.6843418860808e-12</v>
      </c>
      <c r="X309" s="72">
        <f>X138-W138-X308</f>
        <v>0</v>
      </c>
      <c r="Y309" s="72">
        <f>Y138-X138-Y308</f>
        <v>0</v>
      </c>
      <c r="Z309" s="72">
        <f>Z138-Y138-Z308</f>
        <v>0</v>
      </c>
      <c r="AA309" s="72">
        <f>AA138-Z138-AA308</f>
        <v>0</v>
      </c>
      <c r="AB309" s="4">
        <f>AB138-W138-AB308</f>
        <v>0</v>
      </c>
      <c r="AC309" s="72">
        <f>AC138-AB138-AC308</f>
        <v>0</v>
      </c>
      <c r="AD309" s="72">
        <f>AD138-AC138-AD308</f>
        <v>0</v>
      </c>
      <c r="AE309" s="72">
        <f>AE138-AD138-AE308</f>
        <v>0</v>
      </c>
      <c r="AF309" s="72">
        <f>AF138-AE138-AF308</f>
        <v>0</v>
      </c>
      <c r="AG309" s="4">
        <f>AG138-AB138-AG308</f>
        <v>2.04636307898909e-12</v>
      </c>
      <c r="AH309" s="72">
        <f>AH138-AG138-AH308</f>
        <v>0</v>
      </c>
      <c r="AI309" s="72">
        <f>AI138-AH138-AI308</f>
        <v>0</v>
      </c>
      <c r="AJ309" s="72">
        <f>AJ138-AI138-AJ308</f>
        <v>0</v>
      </c>
      <c r="AK309" s="72">
        <f>AK138-AJ138-AK308</f>
        <v>0</v>
      </c>
      <c r="AL309" s="4">
        <f>AL138-AG138-AL308</f>
        <v>0</v>
      </c>
      <c r="AM309" s="72">
        <f>AM138-AL138-AM308</f>
        <v>0</v>
      </c>
      <c r="AN309" s="72">
        <f>AN138-AM138-AN308</f>
        <v>0</v>
      </c>
      <c r="AO309" s="72">
        <f>AO138-AN138-AO308</f>
        <v>0</v>
      </c>
      <c r="AP309" s="72">
        <f>AP138-AO138-AP308</f>
        <v>0</v>
      </c>
      <c r="AQ309" s="4">
        <f>AQ138-AL138-AQ308</f>
        <v>0</v>
      </c>
      <c r="AR309" s="72">
        <f>AR138-AQ138-AR308</f>
        <v>0</v>
      </c>
      <c r="AS309" s="72">
        <f>AS138-AR138-AS308</f>
        <v>0</v>
      </c>
      <c r="AT309" s="72">
        <f>AT138-AS138-AT308</f>
        <v>0</v>
      </c>
      <c r="AU309" s="72">
        <f>AU138-AT138-AU308</f>
        <v>0</v>
      </c>
      <c r="AV309" s="4">
        <f>AV138-AQ138-AV308</f>
        <v>0</v>
      </c>
      <c r="AW309" s="72">
        <f>AW138-AV138-AW308</f>
        <v>0</v>
      </c>
      <c r="AX309" s="72">
        <f>AX138-AW138-AX308</f>
        <v>0</v>
      </c>
      <c r="AY309" s="72">
        <f>AY138-AX138-AY308</f>
        <v>0</v>
      </c>
      <c r="AZ309" s="72">
        <f>AZ138-AY138-AZ308</f>
        <v>0</v>
      </c>
      <c r="BA309" s="4">
        <f>BA138-AV138-BA308</f>
        <v>0</v>
      </c>
      <c r="BB309" s="72">
        <f>BB138-BA138-BB308</f>
        <v>0</v>
      </c>
      <c r="BC309" s="72">
        <f>BC138-BB138-BC308</f>
        <v>0</v>
      </c>
      <c r="BD309" s="72">
        <f>BD138-BC138-BD308</f>
        <v>0</v>
      </c>
      <c r="BE309" s="72">
        <f>BE138-BD138-BE308</f>
        <v>0</v>
      </c>
      <c r="BF309" s="4">
        <f>BF138-BA138-BF308</f>
        <v>0</v>
      </c>
      <c r="BG309" s="72" t="n"/>
      <c r="BH309" s="72" t="n"/>
      <c r="BI309" s="72" t="n"/>
      <c r="BJ309" s="72" t="n"/>
      <c r="BL309" s="72" t="n"/>
      <c r="BM309" s="72" t="n"/>
      <c r="BN309" s="72" t="n"/>
      <c r="BO309" s="72" t="n"/>
      <c r="BQ309" s="72" t="n"/>
      <c r="BR309" s="72" t="n"/>
      <c r="BS309" s="72" t="n"/>
      <c r="BT309" s="72" t="n"/>
      <c r="BV309" s="72" t="n"/>
      <c r="BW309" s="72" t="n"/>
      <c r="BX309" s="72" t="n"/>
      <c r="BY309" s="72" t="n"/>
      <c r="CA309" s="72" t="n"/>
      <c r="CB309" s="72" t="n"/>
      <c r="CC309" s="72" t="n"/>
      <c r="CD309" s="72" t="n"/>
      <c r="CF309" s="72" t="n"/>
      <c r="CG309" s="72" t="n"/>
      <c r="CH309" s="72" t="n"/>
      <c r="CI309" s="72" t="n"/>
      <c r="CK309" s="72" t="n"/>
      <c r="CL309" s="72" t="n"/>
      <c r="CM309" s="72" t="n"/>
      <c r="CN309" s="72" t="n"/>
      <c r="CP309" s="72" t="n"/>
      <c r="CQ309" s="72" t="n"/>
      <c r="CR309" s="72" t="n"/>
      <c r="CS309" s="72" t="n"/>
      <c r="CU309" s="72" t="n"/>
      <c r="CV309" s="72" t="n"/>
      <c r="CW309" s="72" t="n"/>
      <c r="CX309" s="72" t="n"/>
    </row>
    <row r="310"/>
    <row r="311">
      <c r="C311" s="73" t="inlineStr">
        <is>
          <t>Ratio Analysis</t>
        </is>
      </c>
      <c r="D311" s="73" t="n"/>
      <c r="E311" s="73" t="n"/>
      <c r="F311" s="73" t="n"/>
      <c r="G311" s="73" t="n"/>
      <c r="H311" s="73" t="n"/>
      <c r="I311" s="73" t="n"/>
      <c r="J311" s="73" t="n"/>
      <c r="K311" s="73" t="n"/>
      <c r="L311" s="73" t="n"/>
      <c r="M311" s="73" t="n"/>
      <c r="N311" s="73" t="n"/>
      <c r="O311" s="73" t="n"/>
      <c r="P311" s="73" t="n"/>
      <c r="Q311" s="73" t="n"/>
      <c r="R311" s="73" t="n"/>
      <c r="S311" s="73" t="n"/>
      <c r="T311" s="73" t="n"/>
      <c r="U311" s="73" t="n"/>
      <c r="V311" s="73" t="n"/>
      <c r="W311" s="73" t="n"/>
      <c r="X311" s="73" t="n"/>
      <c r="Y311" s="73" t="n"/>
      <c r="Z311" s="73" t="n"/>
      <c r="AA311" s="73" t="n"/>
      <c r="AB311" s="73" t="n"/>
      <c r="AC311" s="73" t="n"/>
      <c r="AD311" s="73" t="n"/>
      <c r="AE311" s="73" t="n"/>
      <c r="AF311" s="73" t="n"/>
      <c r="AG311" s="73" t="n"/>
      <c r="AH311" s="73" t="n"/>
      <c r="AI311" s="73" t="n"/>
      <c r="AJ311" s="73" t="n"/>
      <c r="AK311" s="73" t="n"/>
      <c r="AL311" s="73" t="n"/>
      <c r="AM311" s="73" t="n"/>
      <c r="AN311" s="73" t="n"/>
      <c r="AO311" s="73" t="n"/>
      <c r="AP311" s="73" t="n"/>
      <c r="AQ311" s="73" t="n"/>
      <c r="AR311" s="73" t="n"/>
      <c r="AS311" s="73" t="n"/>
      <c r="AT311" s="73" t="n"/>
      <c r="AU311" s="73" t="n"/>
      <c r="AV311" s="73" t="n"/>
      <c r="AW311" s="73" t="n"/>
      <c r="AX311" s="73" t="n"/>
      <c r="AY311" s="73" t="n"/>
      <c r="AZ311" s="73" t="n"/>
      <c r="BA311" s="73" t="n"/>
      <c r="BB311" s="73" t="n"/>
      <c r="BC311" s="73" t="n"/>
      <c r="BD311" s="73" t="n"/>
      <c r="BE311" s="73" t="n"/>
      <c r="BF311" s="73" t="n"/>
      <c r="BG311" s="73" t="n"/>
      <c r="BH311" s="73" t="n"/>
      <c r="BI311" s="73" t="n"/>
      <c r="BJ311" s="73" t="n"/>
      <c r="BK311" s="73" t="n"/>
      <c r="BL311" s="73" t="n"/>
      <c r="BM311" s="73" t="n"/>
      <c r="BN311" s="73" t="n"/>
      <c r="BO311" s="73" t="n"/>
      <c r="BP311" s="73" t="n"/>
      <c r="BQ311" s="73" t="n"/>
      <c r="BR311" s="73" t="n"/>
      <c r="BS311" s="73" t="n"/>
      <c r="BT311" s="73" t="n"/>
      <c r="BU311" s="73" t="n"/>
      <c r="BV311" s="73" t="n"/>
      <c r="BW311" s="73" t="n"/>
      <c r="BX311" s="73" t="n"/>
      <c r="BY311" s="73" t="n"/>
      <c r="BZ311" s="73" t="n"/>
      <c r="CA311" s="73" t="n"/>
      <c r="CB311" s="73" t="n"/>
      <c r="CC311" s="73" t="n"/>
      <c r="CD311" s="73" t="n"/>
      <c r="CE311" s="73" t="n"/>
      <c r="CF311" s="73" t="n"/>
      <c r="CG311" s="73" t="n"/>
      <c r="CH311" s="73" t="n"/>
      <c r="CI311" s="73" t="n"/>
      <c r="CJ311" s="73" t="n"/>
      <c r="CK311" s="73" t="n"/>
      <c r="CL311" s="73" t="n"/>
      <c r="CM311" s="73" t="n"/>
      <c r="CN311" s="73" t="n"/>
      <c r="CO311" s="73" t="n"/>
      <c r="CP311" s="73" t="n"/>
      <c r="CQ311" s="73" t="n"/>
      <c r="CR311" s="73" t="n"/>
      <c r="CS311" s="73" t="n"/>
      <c r="CT311" s="73" t="n"/>
      <c r="CU311" s="73" t="n"/>
      <c r="CV311" s="73" t="n"/>
      <c r="CW311" s="73" t="n"/>
      <c r="CX311" s="73" t="n"/>
      <c r="CY311" s="73" t="n"/>
    </row>
    <row r="312"/>
    <row r="313" customFormat="1" s="74">
      <c r="C313" s="74" t="inlineStr">
        <is>
          <t>YEAR</t>
        </is>
      </c>
      <c r="D313">
        <f>IFERROR(D269,"")</f>
        <v>0</v>
      </c>
      <c r="E313" s="75">
        <f>IFERROR(E269,"")</f>
        <v>0</v>
      </c>
      <c r="F313" s="75">
        <f>IFERROR(F269,"")</f>
        <v>0</v>
      </c>
      <c r="G313" s="75">
        <f>IFERROR(G269,"")</f>
        <v>0</v>
      </c>
      <c r="H313" s="75">
        <f>IFERROR(H269,"")</f>
        <v>0</v>
      </c>
      <c r="I313" s="75" t="str">
        <f>IFERROR(I269,"")</f>
        <v>1Q21</v>
      </c>
      <c r="J313" s="75" t="str">
        <f>IFERROR(J269,"")</f>
        <v>2Q21</v>
      </c>
      <c r="K313" s="75" t="str">
        <f>IFERROR(K269,"")</f>
        <v>3Q21</v>
      </c>
      <c r="L313" s="75" t="str">
        <f>IFERROR(L269,"")</f>
        <v>4Q21</v>
      </c>
      <c r="M313" s="75">
        <f>IFERROR(M269,"")</f>
        <v>2021</v>
      </c>
      <c r="N313" s="75" t="str">
        <f>IFERROR(N269,"")</f>
        <v>1Q22</v>
      </c>
      <c r="O313" s="75" t="str">
        <f>IFERROR(O269,"")</f>
        <v>2Q22</v>
      </c>
      <c r="P313" s="75" t="str">
        <f>IFERROR(P269,"")</f>
        <v>3Q22</v>
      </c>
      <c r="Q313" s="75" t="str">
        <f>IFERROR(Q269,"")</f>
        <v>4Q22</v>
      </c>
      <c r="R313" s="75">
        <f>IFERROR(R269,"")</f>
        <v>2022</v>
      </c>
      <c r="S313" s="75" t="str">
        <f>IFERROR(S269,"")</f>
        <v>1Q23</v>
      </c>
      <c r="T313" s="75" t="str">
        <f>IFERROR(T269,"")</f>
        <v>2Q23</v>
      </c>
      <c r="U313" s="75" t="str">
        <f>IFERROR(U269,"")</f>
        <v>3Q23</v>
      </c>
      <c r="V313" s="75" t="str">
        <f>IFERROR(V269,"")</f>
        <v>4Q23</v>
      </c>
      <c r="W313" s="75">
        <f>IFERROR(W269,"")</f>
        <v>2023</v>
      </c>
      <c r="X313" s="75" t="str">
        <f>IFERROR(X269,"")</f>
        <v>1Q24</v>
      </c>
      <c r="Y313" s="75" t="str">
        <f>IFERROR(Y269,"")</f>
        <v>2Q24</v>
      </c>
      <c r="Z313" s="75" t="str">
        <f>IFERROR(Z269,"")</f>
        <v>3Q24</v>
      </c>
      <c r="AA313" s="75" t="str">
        <f>IFERROR(AA269,"")</f>
        <v>4Q24</v>
      </c>
      <c r="AB313" s="75">
        <f>IFERROR(AB269,"")</f>
        <v>2024</v>
      </c>
      <c r="AC313" s="75" t="str">
        <f>IFERROR(AC269,"")</f>
        <v>1Q25</v>
      </c>
      <c r="AD313" s="75" t="str">
        <f>IFERROR(AD269,"")</f>
        <v>2Q25</v>
      </c>
      <c r="AE313" s="75" t="str">
        <f>IFERROR(AE269,"")</f>
        <v>3Q25</v>
      </c>
      <c r="AF313" s="75" t="str">
        <f>IFERROR(AF269,"")</f>
        <v>4Q25</v>
      </c>
      <c r="AG313" s="75">
        <f>IFERROR(AG269,"")</f>
        <v>2025</v>
      </c>
      <c r="AH313" s="75" t="str">
        <f>IFERROR(AH269,"")</f>
        <v>1Q26</v>
      </c>
      <c r="AI313" s="75" t="str">
        <f>IFERROR(AI269,"")</f>
        <v>2Q26</v>
      </c>
      <c r="AJ313" s="75" t="str">
        <f>IFERROR(AJ269,"")</f>
        <v>3Q26</v>
      </c>
      <c r="AK313" s="75" t="str">
        <f>IFERROR(AK269,"")</f>
        <v>4Q26</v>
      </c>
      <c r="AL313" s="75">
        <f>IFERROR(AL269,"")</f>
        <v>2026</v>
      </c>
      <c r="AM313" s="75" t="str">
        <f>IFERROR(AM269,"")</f>
        <v>1Q27</v>
      </c>
      <c r="AN313" s="75" t="str">
        <f>IFERROR(AN269,"")</f>
        <v>2Q27</v>
      </c>
      <c r="AO313" s="75" t="str">
        <f>IFERROR(AO269,"")</f>
        <v>3Q27</v>
      </c>
      <c r="AP313" s="75" t="str">
        <f>IFERROR(AP269,"")</f>
        <v>4Q27</v>
      </c>
      <c r="AQ313" s="75">
        <f>IFERROR(AQ269,"")</f>
        <v>2027</v>
      </c>
      <c r="AR313" s="75" t="str">
        <f>IFERROR(AR269,"")</f>
        <v>1Q28</v>
      </c>
      <c r="AS313" s="75" t="str">
        <f>IFERROR(AS269,"")</f>
        <v>2Q28</v>
      </c>
      <c r="AT313" s="75" t="str">
        <f>IFERROR(AT269,"")</f>
        <v>3Q28</v>
      </c>
      <c r="AU313" s="75" t="str">
        <f>IFERROR(AU269,"")</f>
        <v>4Q28</v>
      </c>
      <c r="AV313" s="75">
        <f>IFERROR(AV269,"")</f>
        <v>2028</v>
      </c>
      <c r="AW313" s="75" t="str">
        <f>IFERROR(AW269,"")</f>
        <v>1Q29</v>
      </c>
      <c r="AX313" s="75" t="str">
        <f>IFERROR(AX269,"")</f>
        <v>2Q29</v>
      </c>
      <c r="AY313" s="75" t="str">
        <f>IFERROR(AY269,"")</f>
        <v>3Q29</v>
      </c>
      <c r="AZ313" s="75" t="str">
        <f>IFERROR(AZ269,"")</f>
        <v>4Q29</v>
      </c>
      <c r="BA313" s="75">
        <f>IFERROR(BA269,"")</f>
        <v>2029</v>
      </c>
      <c r="BB313" s="75" t="str">
        <f>IFERROR(BB269,"")</f>
        <v>1Q30</v>
      </c>
      <c r="BC313" s="75" t="str">
        <f>IFERROR(BC269,"")</f>
        <v>2Q30</v>
      </c>
      <c r="BD313" s="75" t="str">
        <f>IFERROR(BD269,"")</f>
        <v>3Q30</v>
      </c>
      <c r="BE313" s="75" t="str">
        <f>IFERROR(BE269,"")</f>
        <v>4Q30</v>
      </c>
      <c r="BF313" s="75">
        <f>IFERROR(BF269,"")</f>
        <v>2030</v>
      </c>
      <c r="BG313" s="75" t="n"/>
      <c r="BH313" s="75" t="n"/>
      <c r="BI313" s="75" t="n"/>
      <c r="BJ313" s="75" t="n"/>
      <c r="BK313" s="75" t="n"/>
      <c r="BL313" s="75" t="n"/>
      <c r="BM313" s="75" t="n"/>
      <c r="BN313" s="75" t="n"/>
      <c r="BO313" s="75" t="n"/>
      <c r="BP313" s="75" t="n"/>
      <c r="BQ313" s="75" t="n"/>
      <c r="BR313" s="75" t="n"/>
      <c r="BS313" s="75" t="n"/>
      <c r="BT313" s="75" t="n"/>
      <c r="BU313" s="75" t="n"/>
      <c r="BV313" s="75" t="n"/>
      <c r="BW313" s="75" t="n"/>
      <c r="BX313" s="75" t="n"/>
      <c r="BY313" s="75" t="n"/>
      <c r="BZ313" s="75" t="n"/>
      <c r="CA313" s="75" t="n"/>
      <c r="CB313" s="75" t="n"/>
      <c r="CC313" s="75" t="n"/>
      <c r="CD313" s="75" t="n"/>
      <c r="CE313" s="75" t="n"/>
      <c r="CF313" s="75" t="n"/>
      <c r="CG313" s="75" t="n"/>
      <c r="CH313" s="75" t="n"/>
      <c r="CI313" s="75" t="n"/>
      <c r="CJ313" s="75" t="n"/>
      <c r="CK313" s="75" t="n"/>
      <c r="CL313" s="75" t="n"/>
      <c r="CM313" s="75" t="n"/>
      <c r="CN313" s="75" t="n"/>
      <c r="CO313" s="75" t="n"/>
      <c r="CP313" s="75" t="n"/>
      <c r="CQ313" s="75" t="n"/>
      <c r="CR313" s="75" t="n"/>
      <c r="CS313" s="75" t="n"/>
      <c r="CT313" s="75" t="n"/>
      <c r="CU313" s="75" t="n"/>
      <c r="CV313" s="75" t="n"/>
      <c r="CW313" s="75" t="n"/>
      <c r="CX313" s="75" t="n"/>
      <c r="CY313" s="75" t="n"/>
    </row>
    <row r="314" customFormat="1" s="77">
      <c r="A314" s="76" t="n"/>
      <c r="B314" s="76" t="n"/>
      <c r="C314" s="74" t="inlineStr">
        <is>
          <t>GROWTH &amp; MARGINS</t>
        </is>
      </c>
    </row>
    <row r="315" customFormat="1" s="77">
      <c r="A315" s="76" t="n"/>
      <c r="B315" s="76" t="n"/>
      <c r="C315" s="77" t="inlineStr">
        <is>
          <t>NET REVENUE GROWTH (YoY)</t>
        </is>
      </c>
      <c r="E315" s="78" t="str">
        <f>IFERROR(E15/D15-1,"")</f>
        <v/>
      </c>
      <c r="F315" s="78" t="str">
        <f>IFERROR(F15/E15-1,"")</f>
        <v/>
      </c>
      <c r="G315" s="78" t="str">
        <f>IFERROR(G15/F15-1,"")</f>
        <v/>
      </c>
      <c r="H315" s="257" t="str">
        <f>""</f>
        <v/>
      </c>
      <c r="I315" s="257" t="str">
        <f>""</f>
        <v/>
      </c>
      <c r="J315" s="257" t="str">
        <f>""</f>
        <v/>
      </c>
      <c r="K315" s="257" t="str">
        <f>""</f>
        <v/>
      </c>
      <c r="L315" s="257" t="str">
        <f>""</f>
        <v/>
      </c>
      <c r="M315" s="257" t="str">
        <f>IFERROR(IF(AND(ISNUMBER(M15),ISNUMBER(H15),H15&lt;&gt;0),M15/H15-1,""),"")</f>
        <v/>
      </c>
      <c r="N315" s="257">
        <f>IFERROR(IF(AND(ISNUMBER(N15),ISNUMBER(I15),I15&lt;&gt;0),N15/I15-1,""),"")</f>
        <v>0.0983466796365129</v>
      </c>
      <c r="O315" s="257">
        <f>IFERROR(IF(AND(ISNUMBER(O15),ISNUMBER(J15),J15&lt;&gt;0),O15/J15-1,""),"")</f>
        <v>0.0855874538275951</v>
      </c>
      <c r="P315" s="257">
        <f>IFERROR(IF(AND(ISNUMBER(P15),ISNUMBER(K15),K15&lt;&gt;0),P15/K15-1,""),"")</f>
        <v>0.0590798355895736</v>
      </c>
      <c r="Q315" s="257">
        <f>IFERROR(IF(AND(ISNUMBER(Q15),ISNUMBER(L15),L15&lt;&gt;0),Q15/L15-1,""),"")</f>
        <v>0.0185146079069509</v>
      </c>
      <c r="R315" s="257">
        <f>IFERROR(IF(AND(ISNUMBER(R15),ISNUMBER(M15),M15&lt;&gt;0),R15/M15-1,""),"")</f>
        <v>0.0645739131769971</v>
      </c>
      <c r="S315" s="257">
        <f>IFERROR(IF(AND(ISNUMBER(S15),ISNUMBER(N15),N15&lt;&gt;0),S15/N15-1,""),"")</f>
        <v>0.0373341000057577</v>
      </c>
      <c r="T315" s="257">
        <f>IFERROR(IF(AND(ISNUMBER(T15),ISNUMBER(O15),O15&lt;&gt;0),T15/O15-1,""),"")</f>
        <v>0.0272466948828134</v>
      </c>
      <c r="U315" s="257">
        <f>IFERROR(IF(AND(ISNUMBER(U15),ISNUMBER(P15),P15&lt;&gt;0),U15/P15-1,""),"")</f>
        <v>0.0777328978325775</v>
      </c>
      <c r="V315" s="257">
        <f>IFERROR(IF(AND(ISNUMBER(V15),ISNUMBER(Q15),Q15&lt;&gt;0),V15/Q15-1,""),"")</f>
        <v>0.124906441665638</v>
      </c>
      <c r="W315" s="257">
        <f>IFERROR(IF(AND(ISNUMBER(W15),ISNUMBER(R15),R15&lt;&gt;0),W15/R15-1,""),"")</f>
        <v>0.0666680478435455</v>
      </c>
      <c r="X315" s="257">
        <f>IFERROR(IF(AND(ISNUMBER(X15),ISNUMBER(S15),S15&lt;&gt;0),X15/S15-1,""),"")</f>
        <v>0.148126760475368</v>
      </c>
      <c r="Y315" s="257">
        <f>IFERROR(IF(AND(ISNUMBER(Y15),ISNUMBER(T15),T15&lt;&gt;0),Y15/T15-1,""),"")</f>
        <v>0.167577691353964</v>
      </c>
      <c r="Z315" s="257">
        <f>IFERROR(IF(AND(ISNUMBER(Z15),ISNUMBER(U15),U15&lt;&gt;0),Z15/U15-1,""),"")</f>
        <v>0.150208952162505</v>
      </c>
      <c r="AA315" s="257">
        <f>IFERROR(IF(AND(ISNUMBER(AA15),ISNUMBER(V15),V15&lt;&gt;0),AA15/V15-1,""),"")</f>
        <v>0.160049361331171</v>
      </c>
      <c r="AB315" s="257">
        <f>IFERROR(IF(AND(ISNUMBER(AB15),ISNUMBER(W15),W15&lt;&gt;0),AB15/W15-1,""),"")</f>
        <v>0.156499199944774</v>
      </c>
      <c r="AC315" s="257">
        <f>IFERROR(IF(AND(ISNUMBER(AC15),ISNUMBER(X15),X15&lt;&gt;0),AC15/X15-1,""),"")</f>
        <v>0.125112694814758</v>
      </c>
      <c r="AD315" s="257">
        <f>IFERROR(IF(AND(ISNUMBER(AD15),ISNUMBER(Y15),Y15&lt;&gt;0),AD15/Y15-1,""),"")</f>
        <v>0.158992228518586</v>
      </c>
      <c r="AE315" s="257">
        <f>IFERROR(IF(AND(ISNUMBER(AE15),ISNUMBER(Z15),Z15&lt;&gt;0),AE15/Z15-1,""),"")</f>
        <v>0.171567934420003</v>
      </c>
      <c r="AF315" s="257">
        <f>IFERROR(IF(AND(ISNUMBER(AF15),ISNUMBER(AA15),AA15&lt;&gt;0),AF15/AA15-1,""),"")</f>
        <v>0.176084195667346</v>
      </c>
      <c r="AG315" s="257">
        <f>IFERROR(IF(AND(ISNUMBER(AG15),ISNUMBER(AB15),AB15&lt;&gt;0),AG15/AB15-1,""),"")</f>
        <v>0.158510689196775</v>
      </c>
      <c r="AH315" s="257">
        <f>IFERROR(IF(AND(ISNUMBER(AH15),ISNUMBER(AC15),AC15&lt;&gt;0),AH15/AC15-1,""),"")</f>
        <v>0.161907257853013</v>
      </c>
      <c r="AI315" s="257">
        <f>IFERROR(IF(AND(ISNUMBER(AI15),ISNUMBER(AD15),AD15&lt;&gt;0),AI15/AD15-1,""),"")</f>
        <v>0.133653742528995</v>
      </c>
      <c r="AJ315" s="257">
        <f>IFERROR(IF(AND(ISNUMBER(AJ15),ISNUMBER(AE15),AE15&lt;&gt;0),AJ15/AE15-1,""),"")</f>
        <v>0.154553008967117</v>
      </c>
      <c r="AK315" s="257">
        <f>IFERROR(IF(AND(ISNUMBER(AK15),ISNUMBER(AF15),AF15&lt;&gt;0),AK15/AF15-1,""),"")</f>
        <v>0.154553008967117</v>
      </c>
      <c r="AL315" s="257">
        <f>IFERROR(IF(AND(ISNUMBER(AL15),ISNUMBER(AG15),AG15&lt;&gt;0),AL15/AG15-1,""),"")</f>
        <v>0.151144383224533</v>
      </c>
      <c r="AM315" s="257">
        <f>IFERROR(IF(AND(ISNUMBER(AM15),ISNUMBER(AH15),AH15&lt;&gt;0),AM15/AH15-1,""),"")</f>
        <v>0.154553008967117</v>
      </c>
      <c r="AN315" s="257">
        <f>IFERROR(IF(AND(ISNUMBER(AN15),ISNUMBER(AI15),AI15&lt;&gt;0),AN15/AI15-1,""),"")</f>
        <v>0.154553008967117</v>
      </c>
      <c r="AO315" s="257">
        <f>IFERROR(IF(AND(ISNUMBER(AO15),ISNUMBER(AJ15),AJ15&lt;&gt;0),AO15/AJ15-1,""),"")</f>
        <v>0.154553008967117</v>
      </c>
      <c r="AP315" s="257">
        <f>IFERROR(IF(AND(ISNUMBER(AP15),ISNUMBER(AK15),AK15&lt;&gt;0),AP15/AK15-1,""),"")</f>
        <v>0.154553008967117</v>
      </c>
      <c r="AQ315" s="257">
        <f>IFERROR(IF(AND(ISNUMBER(AQ15),ISNUMBER(AL15),AL15&lt;&gt;0),AQ15/AL15-1,""),"")</f>
        <v>0.154553008967117</v>
      </c>
      <c r="AR315" s="257">
        <f>IFERROR(IF(AND(ISNUMBER(AR15),ISNUMBER(AM15),AM15&lt;&gt;0),AR15/AM15-1,""),"")</f>
        <v>0.149553008967117</v>
      </c>
      <c r="AS315" s="257">
        <f>IFERROR(IF(AND(ISNUMBER(AS15),ISNUMBER(AN15),AN15&lt;&gt;0),AS15/AN15-1,""),"")</f>
        <v>0.149553008967117</v>
      </c>
      <c r="AT315" s="257">
        <f>IFERROR(IF(AND(ISNUMBER(AT15),ISNUMBER(AO15),AO15&lt;&gt;0),AT15/AO15-1,""),"")</f>
        <v>0.149553008967117</v>
      </c>
      <c r="AU315" s="257">
        <f>IFERROR(IF(AND(ISNUMBER(AU15),ISNUMBER(AP15),AP15&lt;&gt;0),AU15/AP15-1,""),"")</f>
        <v>0.149553008967117</v>
      </c>
      <c r="AV315" s="257">
        <f>IFERROR(IF(AND(ISNUMBER(AV15),ISNUMBER(AQ15),AQ15&lt;&gt;0),AV15/AQ15-1,""),"")</f>
        <v>0.149553008967117</v>
      </c>
      <c r="AW315" s="257">
        <f>IFERROR(IF(AND(ISNUMBER(AW15),ISNUMBER(AR15),AR15&lt;&gt;0),AW15/AR15-1,""),"")</f>
        <v>0.144553008967117</v>
      </c>
      <c r="AX315" s="257">
        <f>IFERROR(IF(AND(ISNUMBER(AX15),ISNUMBER(AS15),AS15&lt;&gt;0),AX15/AS15-1,""),"")</f>
        <v>0.144553008967117</v>
      </c>
      <c r="AY315" s="257">
        <f>IFERROR(IF(AND(ISNUMBER(AY15),ISNUMBER(AT15),AT15&lt;&gt;0),AY15/AT15-1,""),"")</f>
        <v>0.144553008967117</v>
      </c>
      <c r="AZ315" s="257">
        <f>IFERROR(IF(AND(ISNUMBER(AZ15),ISNUMBER(AU15),AU15&lt;&gt;0),AZ15/AU15-1,""),"")</f>
        <v>0.144553008967117</v>
      </c>
      <c r="BA315" s="257">
        <f>IFERROR(IF(AND(ISNUMBER(BA15),ISNUMBER(AV15),AV15&lt;&gt;0),BA15/AV15-1,""),"")</f>
        <v>0.144553008967117</v>
      </c>
      <c r="BB315" s="257">
        <f>IFERROR(IF(AND(ISNUMBER(BB15),ISNUMBER(AW15),AW15&lt;&gt;0),BB15/AW15-1,""),"")</f>
        <v>0.139553008967117</v>
      </c>
      <c r="BC315" s="257">
        <f>IFERROR(IF(AND(ISNUMBER(BC15),ISNUMBER(AX15),AX15&lt;&gt;0),BC15/AX15-1,""),"")</f>
        <v>0.139553008967117</v>
      </c>
      <c r="BD315" s="257">
        <f>IFERROR(IF(AND(ISNUMBER(BD15),ISNUMBER(AY15),AY15&lt;&gt;0),BD15/AY15-1,""),"")</f>
        <v>0.139553008967117</v>
      </c>
      <c r="BE315" s="257">
        <f>IFERROR(IF(AND(ISNUMBER(BE15),ISNUMBER(AZ15),AZ15&lt;&gt;0),BE15/AZ15-1,""),"")</f>
        <v>0.139553008967117</v>
      </c>
      <c r="BF315" s="257">
        <f>IFERROR(IF(AND(ISNUMBER(BF15),ISNUMBER(BA15),BA15&lt;&gt;0),BF15/BA15-1,""),"")</f>
        <v>0.139553008967117</v>
      </c>
      <c r="BG315" s="79" t="n"/>
      <c r="BH315" s="79" t="n"/>
      <c r="BI315" s="79" t="n"/>
      <c r="BJ315" s="79" t="n"/>
      <c r="BK315" s="78" t="n"/>
      <c r="BL315" s="79" t="n"/>
      <c r="BM315" s="79" t="n"/>
      <c r="BN315" s="79" t="n"/>
      <c r="BO315" s="79" t="n"/>
      <c r="BP315" s="78" t="n"/>
      <c r="BQ315" s="79" t="n"/>
      <c r="BR315" s="79" t="n"/>
      <c r="BS315" s="79" t="n"/>
      <c r="BT315" s="79" t="n"/>
      <c r="BU315" s="78" t="n"/>
      <c r="BV315" s="79" t="n"/>
      <c r="BW315" s="79" t="n"/>
      <c r="BX315" s="79" t="n"/>
      <c r="BY315" s="79" t="n"/>
      <c r="BZ315" s="78" t="n"/>
      <c r="CA315" s="79" t="n"/>
      <c r="CB315" s="79" t="n"/>
      <c r="CC315" s="79" t="n"/>
      <c r="CD315" s="79" t="n"/>
      <c r="CE315" s="78" t="n"/>
      <c r="CF315" s="79" t="n"/>
      <c r="CG315" s="79" t="n"/>
      <c r="CH315" s="79" t="n"/>
      <c r="CI315" s="79" t="n"/>
      <c r="CJ315" s="78" t="n"/>
      <c r="CK315" s="79" t="n"/>
      <c r="CL315" s="79" t="n"/>
      <c r="CM315" s="79" t="n"/>
      <c r="CN315" s="79" t="n"/>
      <c r="CO315" s="78" t="n"/>
      <c r="CP315" s="79" t="n"/>
      <c r="CQ315" s="79" t="n"/>
      <c r="CR315" s="79" t="n"/>
      <c r="CS315" s="79" t="n"/>
      <c r="CT315" s="78" t="n"/>
      <c r="CU315" s="79" t="n"/>
      <c r="CV315" s="79" t="n"/>
      <c r="CW315" s="79" t="n"/>
      <c r="CX315" s="79" t="n"/>
      <c r="CY315" s="78" t="n"/>
    </row>
    <row r="316" customFormat="1" s="77">
      <c r="A316" s="76" t="n"/>
      <c r="B316" s="76" t="n"/>
      <c r="C316" s="77" t="inlineStr">
        <is>
          <t>GROSS MARGIN</t>
        </is>
      </c>
      <c r="D316" s="79" t="str">
        <f>IFERROR(SUM(D15,D48)/D15,"")</f>
        <v/>
      </c>
      <c r="E316" s="79" t="str">
        <f>IFERROR(SUM(E15,E48)/E15,"")</f>
        <v/>
      </c>
      <c r="F316" s="79" t="str">
        <f>IFERROR(SUM(F15,F48)/F15,"")</f>
        <v/>
      </c>
      <c r="G316" s="79" t="str">
        <f>IFERROR(SUM(G15,G48)/G15,"")</f>
        <v/>
      </c>
      <c r="H316" s="258" t="str">
        <f>IFERROR(IF(N(H15)&lt;&gt;0,(H15+H48)/H15,""),"")</f>
        <v/>
      </c>
      <c r="I316" s="258">
        <f>IFERROR(IF(N(I15)&lt;&gt;0,(I15+I48)/I15,""),"")</f>
        <v>0.459952714412193</v>
      </c>
      <c r="J316" s="258">
        <f>IFERROR(IF(N(J15)&lt;&gt;0,(J15+J48)/J15,""),"")</f>
        <v>0.452719961393543</v>
      </c>
      <c r="K316" s="258">
        <f>IFERROR(IF(N(K15)&lt;&gt;0,(K15+K48)/K15,""),"")</f>
        <v>0.437882334484805</v>
      </c>
      <c r="L316" s="258">
        <f>IFERROR(IF(N(L15)&lt;&gt;0,(L15+L48)/L15,""),"")</f>
        <v>0.320358169166196</v>
      </c>
      <c r="M316" s="258">
        <f>IFERROR(IF(N(M15)&lt;&gt;0,(M15+M48)/M15,""),"")</f>
        <v>0.416365612264648</v>
      </c>
      <c r="N316" s="258">
        <f>IFERROR(IF(N(N15)&lt;&gt;0,(N15+N48)/N15,""),"")</f>
        <v>0.455410283502295</v>
      </c>
      <c r="O316" s="258">
        <f>IFERROR(IF(N(O15)&lt;&gt;0,(O15+O48)/O15,""),"")</f>
        <v>0.411458969170056</v>
      </c>
      <c r="P316" s="258">
        <f>IFERROR(IF(N(P15)&lt;&gt;0,(P15+P48)/P15,""),"")</f>
        <v>0.395796955910785</v>
      </c>
      <c r="Q316" s="258">
        <f>IFERROR(IF(N(Q15)&lt;&gt;0,(Q15+Q48)/Q15,""),"")</f>
        <v>0.311751971108702</v>
      </c>
      <c r="R316" s="258">
        <f>IFERROR(IF(N(R15)&lt;&gt;0,(R15+R48)/R15,""),"")</f>
        <v>0.393707052384033</v>
      </c>
      <c r="S316" s="258">
        <f>IFERROR(IF(N(S15)&lt;&gt;0,(S15+S48)/S15,""),"")</f>
        <v>0.411428875294171</v>
      </c>
      <c r="T316" s="258">
        <f>IFERROR(IF(N(T15)&lt;&gt;0,(T15+T48)/T15,""),"")</f>
        <v>0.42918062985592</v>
      </c>
      <c r="U316" s="258">
        <f>IFERROR(IF(N(U15)&lt;&gt;0,(U15+U48)/U15,""),"")</f>
        <v>0.422737104743476</v>
      </c>
      <c r="V316" s="258">
        <f>IFERROR(IF(N(V15)&lt;&gt;0,(V15+V48)/V15,""),"")</f>
        <v>0.399118062454538</v>
      </c>
      <c r="W316" s="258">
        <f>IFERROR(IF(N(W15)&lt;&gt;0,(W15+W48)/W15,""),"")</f>
        <v>0.415378395534695</v>
      </c>
      <c r="X316" s="258">
        <f>IFERROR(IF(N(X15)&lt;&gt;0,(X15+X48)/X15,""),"")</f>
        <v>0.468853863852711</v>
      </c>
      <c r="Y316" s="258">
        <f>IFERROR(IF(N(Y15)&lt;&gt;0,(Y15+Y48)/Y15,""),"")</f>
        <v>0.458732586347759</v>
      </c>
      <c r="Z316" s="258">
        <f>IFERROR(IF(N(Z15)&lt;&gt;0,(Z15+Z48)/Z15,""),"")</f>
        <v>0.47887646069301</v>
      </c>
      <c r="AA316" s="258">
        <f>IFERROR(IF(N(AA15)&lt;&gt;0,(AA15+AA48)/AA15,""),"")</f>
        <v>0.437138858848859</v>
      </c>
      <c r="AB316" s="258">
        <f>IFERROR(IF(N(AB15)&lt;&gt;0,(AB15+AB48)/AB15,""),"")</f>
        <v>0.460565566504173</v>
      </c>
      <c r="AC316" s="258">
        <f>IFERROR(IF(N(AC15)&lt;&gt;0,(AC15+AC48)/AC15,""),"")</f>
        <v>0.500782856472393</v>
      </c>
      <c r="AD316" s="258">
        <f>IFERROR(IF(N(AD15)&lt;&gt;0,(AD15+AD48)/AD15,""),"")</f>
        <v>0.519340083901622</v>
      </c>
      <c r="AE316" s="258">
        <f>IFERROR(IF(N(AE15)&lt;&gt;0,(AE15+AE48)/AE15,""),"")</f>
        <v>0.464458245987705</v>
      </c>
      <c r="AF316" s="258">
        <f>IFERROR(IF(N(AF15)&lt;&gt;0,(AF15+AF48)/AF15,""),"")</f>
        <v>0.458737878982259</v>
      </c>
      <c r="AG316" s="258">
        <f>IFERROR(IF(N(AG15)&lt;&gt;0,(AG15+AG48)/AG15,""),"")</f>
        <v>0.48486575802476</v>
      </c>
      <c r="AH316" s="258">
        <f>IFERROR(IF(N(AH15)&lt;&gt;0,(AH15+AH48)/AH15,""),"")</f>
        <v>0.51931797504228</v>
      </c>
      <c r="AI316" s="258">
        <f>IFERROR(IF(N(AI15)&lt;&gt;0,(AI15+AI48)/AI15,""),"")</f>
        <v>0.51934754773471</v>
      </c>
      <c r="AJ316" s="258">
        <f>IFERROR(IF(N(AJ15)&lt;&gt;0,(AJ15+AJ48)/AJ15,""),"")</f>
        <v>0.496997431353495</v>
      </c>
      <c r="AK316" s="258">
        <f>IFERROR(IF(N(AK15)&lt;&gt;0,(AK15+AK48)/AK15,""),"")</f>
        <v>0.496997431353495</v>
      </c>
      <c r="AL316" s="258">
        <f>IFERROR(IF(N(AL15)&lt;&gt;0,(AL15+AL48)/AL15,""),"")</f>
        <v>0.507651418927354</v>
      </c>
      <c r="AM316" s="258">
        <f>IFERROR(IF(N(AM15)&lt;&gt;0,(AM15+AM48)/AM15,""),"")</f>
        <v>0.496997431353495</v>
      </c>
      <c r="AN316" s="258">
        <f>IFERROR(IF(N(AN15)&lt;&gt;0,(AN15+AN48)/AN15,""),"")</f>
        <v>0.496997431353495</v>
      </c>
      <c r="AO316" s="258">
        <f>IFERROR(IF(N(AO15)&lt;&gt;0,(AO15+AO48)/AO15,""),"")</f>
        <v>0.496997431353495</v>
      </c>
      <c r="AP316" s="258">
        <f>IFERROR(IF(N(AP15)&lt;&gt;0,(AP15+AP48)/AP15,""),"")</f>
        <v>0.496997431353495</v>
      </c>
      <c r="AQ316" s="258">
        <f>IFERROR(IF(N(AQ15)&lt;&gt;0,(AQ15+AQ48)/AQ15,""),"")</f>
        <v>0.496997431353495</v>
      </c>
      <c r="AR316" s="258">
        <f>IFERROR(IF(N(AR15)&lt;&gt;0,(AR15+AR48)/AR15,""),"")</f>
        <v>0.496997431353495</v>
      </c>
      <c r="AS316" s="258">
        <f>IFERROR(IF(N(AS15)&lt;&gt;0,(AS15+AS48)/AS15,""),"")</f>
        <v>0.496997431353495</v>
      </c>
      <c r="AT316" s="258">
        <f>IFERROR(IF(N(AT15)&lt;&gt;0,(AT15+AT48)/AT15,""),"")</f>
        <v>0.496997431353495</v>
      </c>
      <c r="AU316" s="258">
        <f>IFERROR(IF(N(AU15)&lt;&gt;0,(AU15+AU48)/AU15,""),"")</f>
        <v>0.496997431353495</v>
      </c>
      <c r="AV316" s="258">
        <f>IFERROR(IF(N(AV15)&lt;&gt;0,(AV15+AV48)/AV15,""),"")</f>
        <v>0.496997431353495</v>
      </c>
      <c r="AW316" s="258">
        <f>IFERROR(IF(N(AW15)&lt;&gt;0,(AW15+AW48)/AW15,""),"")</f>
        <v>0.496997431353495</v>
      </c>
      <c r="AX316" s="258">
        <f>IFERROR(IF(N(AX15)&lt;&gt;0,(AX15+AX48)/AX15,""),"")</f>
        <v>0.496997431353495</v>
      </c>
      <c r="AY316" s="258">
        <f>IFERROR(IF(N(AY15)&lt;&gt;0,(AY15+AY48)/AY15,""),"")</f>
        <v>0.496997431353495</v>
      </c>
      <c r="AZ316" s="258">
        <f>IFERROR(IF(N(AZ15)&lt;&gt;0,(AZ15+AZ48)/AZ15,""),"")</f>
        <v>0.496997431353495</v>
      </c>
      <c r="BA316" s="258">
        <f>IFERROR(IF(N(BA15)&lt;&gt;0,(BA15+BA48)/BA15,""),"")</f>
        <v>0.496997431353495</v>
      </c>
      <c r="BB316" s="258">
        <f>IFERROR(IF(N(BB15)&lt;&gt;0,(BB15+BB48)/BB15,""),"")</f>
        <v>0.496997431353495</v>
      </c>
      <c r="BC316" s="258">
        <f>IFERROR(IF(N(BC15)&lt;&gt;0,(BC15+BC48)/BC15,""),"")</f>
        <v>0.496997431353495</v>
      </c>
      <c r="BD316" s="258">
        <f>IFERROR(IF(N(BD15)&lt;&gt;0,(BD15+BD48)/BD15,""),"")</f>
        <v>0.496997431353495</v>
      </c>
      <c r="BE316" s="258">
        <f>IFERROR(IF(N(BE15)&lt;&gt;0,(BE15+BE48)/BE15,""),"")</f>
        <v>0.496997431353495</v>
      </c>
      <c r="BF316" s="258">
        <f>IFERROR(IF(N(BF15)&lt;&gt;0,(BF15+BF48)/BF15,""),"")</f>
        <v>0.496997431353495</v>
      </c>
      <c r="BG316" s="80" t="n"/>
      <c r="BH316" s="80" t="n"/>
      <c r="BI316" s="80" t="n"/>
      <c r="BJ316" s="80" t="n"/>
      <c r="BL316" s="80" t="n"/>
      <c r="BM316" s="80" t="n"/>
      <c r="BN316" s="80" t="n"/>
      <c r="BO316" s="80" t="n"/>
      <c r="BQ316" s="80" t="n"/>
      <c r="BR316" s="80" t="n"/>
      <c r="BS316" s="80" t="n"/>
      <c r="BT316" s="80" t="n"/>
      <c r="BV316" s="80" t="n"/>
      <c r="BW316" s="80" t="n"/>
      <c r="BX316" s="80" t="n"/>
      <c r="BY316" s="80" t="n"/>
      <c r="CA316" s="80" t="n"/>
      <c r="CB316" s="80" t="n"/>
      <c r="CC316" s="80" t="n"/>
      <c r="CD316" s="80" t="n"/>
      <c r="CF316" s="80" t="n"/>
      <c r="CG316" s="80" t="n"/>
      <c r="CH316" s="80" t="n"/>
      <c r="CI316" s="80" t="n"/>
      <c r="CK316" s="80" t="n"/>
      <c r="CL316" s="80" t="n"/>
      <c r="CM316" s="80" t="n"/>
      <c r="CN316" s="80" t="n"/>
      <c r="CP316" s="80" t="n"/>
      <c r="CQ316" s="80" t="n"/>
      <c r="CR316" s="80" t="n"/>
      <c r="CS316" s="80" t="n"/>
      <c r="CU316" s="80" t="n"/>
      <c r="CV316" s="80" t="n"/>
      <c r="CW316" s="80" t="n"/>
      <c r="CX316" s="80" t="n"/>
    </row>
    <row r="317" customFormat="1" s="77">
      <c r="A317" s="76" t="n"/>
      <c r="B317" s="76" t="n"/>
      <c r="C317" s="77" t="inlineStr">
        <is>
          <t>EBIT MARGIN</t>
        </is>
      </c>
      <c r="D317" s="78" t="str">
        <f>IFERROR((D67/D15),"")</f>
        <v/>
      </c>
      <c r="E317" s="78" t="str">
        <f>IFERROR((E67/E15),"")</f>
        <v/>
      </c>
      <c r="F317" s="78" t="str">
        <f>IFERROR((F67/F15),"")</f>
        <v/>
      </c>
      <c r="G317" s="78" t="str">
        <f>IFERROR((G67/G15),"")</f>
        <v/>
      </c>
      <c r="H317" s="258" t="str">
        <f>IFERROR(IF(N(H15)&lt;&gt;0,H67/H15,""),"")</f>
        <v/>
      </c>
      <c r="I317" s="257">
        <f>IFERROR(IF(N(I15)&lt;&gt;0,I67/I15,""),"")</f>
        <v>0.27359749343946</v>
      </c>
      <c r="J317" s="257">
        <f>IFERROR(IF(N(J15)&lt;&gt;0,J67/J15,""),"")</f>
        <v>0.251659782093627</v>
      </c>
      <c r="K317" s="257">
        <f>IFERROR(IF(N(K15)&lt;&gt;0,K67/K15,""),"")</f>
        <v>0.234550777066298</v>
      </c>
      <c r="L317" s="257">
        <f>IFERROR(IF(N(L15)&lt;&gt;0,L67/L15,""),"")</f>
        <v>0.0819488831567203</v>
      </c>
      <c r="M317" s="258">
        <f>IFERROR(IF(N(M15)&lt;&gt;0,M67/M15,""),"")</f>
        <v>0.208584468286654</v>
      </c>
      <c r="N317" s="257">
        <f>IFERROR(IF(N(N15)&lt;&gt;0,N67/N15,""),"")</f>
        <v>0.250595372232045</v>
      </c>
      <c r="O317" s="257">
        <f>IFERROR(IF(N(O15)&lt;&gt;0,O67/O15,""),"")</f>
        <v>0.198024476605872</v>
      </c>
      <c r="P317" s="257">
        <f>IFERROR(IF(N(P15)&lt;&gt;0,P67/P15,""),"")</f>
        <v>0.193426381307433</v>
      </c>
      <c r="Q317" s="257">
        <f>IFERROR(IF(N(Q15)&lt;&gt;0,Q67/Q15,""),"")</f>
        <v>0.0700331492922934</v>
      </c>
      <c r="R317" s="258">
        <f>IFERROR(IF(N(R15)&lt;&gt;0,R67/R15,""),"")</f>
        <v>0.178166471878553</v>
      </c>
      <c r="S317" s="257">
        <f>IFERROR(IF(N(S15)&lt;&gt;0,S67/S15,""),"")</f>
        <v>0.210049178441765</v>
      </c>
      <c r="T317" s="257">
        <f>IFERROR(IF(N(T15)&lt;&gt;0,T67/T15,""),"")</f>
        <v>0.223172813604874</v>
      </c>
      <c r="U317" s="257">
        <f>IFERROR(IF(N(U15)&lt;&gt;0,U67/U15,""),"")</f>
        <v>0.224358286929438</v>
      </c>
      <c r="V317" s="257">
        <f>IFERROR(IF(N(V15)&lt;&gt;0,V67/V15,""),"")</f>
        <v>0.169380577561539</v>
      </c>
      <c r="W317" s="258">
        <f>IFERROR(IF(N(W15)&lt;&gt;0,W67/W15,""),"")</f>
        <v>0.20620768485359</v>
      </c>
      <c r="X317" s="257">
        <f>IFERROR(IF(N(X15)&lt;&gt;0,X67/X15,""),"")</f>
        <v>0.280940276016921</v>
      </c>
      <c r="Y317" s="257">
        <f>IFERROR(IF(N(Y15)&lt;&gt;0,Y67/Y15,""),"")</f>
        <v>0.272282936739158</v>
      </c>
      <c r="Z317" s="257">
        <f>IFERROR(IF(N(Z15)&lt;&gt;0,Z67/Z15,""),"")</f>
        <v>0.296138926540578</v>
      </c>
      <c r="AA317" s="257">
        <f>IFERROR(IF(N(AA15)&lt;&gt;0,AA67/AA15,""),"")</f>
        <v>0.221808726539458</v>
      </c>
      <c r="AB317" s="258">
        <f>IFERROR(IF(N(AB15)&lt;&gt;0,AB67/AB15,""),"")</f>
        <v>0.267111691541179</v>
      </c>
      <c r="AC317" s="257">
        <f>IFERROR(IF(N(AC15)&lt;&gt;0,AC67/AC15,""),"")</f>
        <v>0.317467720390435</v>
      </c>
      <c r="AD317" s="257">
        <f>IFERROR(IF(N(AD15)&lt;&gt;0,AD67/AD15,""),"")</f>
        <v>0.340701998688349</v>
      </c>
      <c r="AE317" s="257">
        <f>IFERROR(IF(N(AE15)&lt;&gt;0,AE67/AE15,""),"")</f>
        <v>0.282203333064878</v>
      </c>
      <c r="AF317" s="257">
        <f>IFERROR(IF(N(AF15)&lt;&gt;0,AF67/AF15,""),"")</f>
        <v>0.245350708942721</v>
      </c>
      <c r="AG317" s="258">
        <f>IFERROR(IF(N(AG15)&lt;&gt;0,AG67/AG15,""),"")</f>
        <v>0.294947046055073</v>
      </c>
      <c r="AH317" s="257">
        <f>IFERROR(IF(N(AH15)&lt;&gt;0,AH67/AH15,""),"")</f>
        <v>0.323026571057695</v>
      </c>
      <c r="AI317" s="257">
        <f>IFERROR(IF(N(AI15)&lt;&gt;0,AI67/AI15,""),"")</f>
        <v>0.333808176441635</v>
      </c>
      <c r="AJ317" s="257">
        <f>IFERROR(IF(N(AJ15)&lt;&gt;0,AJ67/AJ15,""),"")</f>
        <v>0.307093084764286</v>
      </c>
      <c r="AK317" s="257">
        <f>IFERROR(IF(N(AK15)&lt;&gt;0,AK67/AK15,""),"")</f>
        <v>0.307093084764286</v>
      </c>
      <c r="AL317" s="258">
        <f>IFERROR(IF(N(AL15)&lt;&gt;0,AL67/AL15,""),"")</f>
        <v>0.317296868678254</v>
      </c>
      <c r="AM317" s="257">
        <f>IFERROR(IF(N(AM15)&lt;&gt;0,AM67/AM15,""),"")</f>
        <v>0.307093084764286</v>
      </c>
      <c r="AN317" s="257">
        <f>IFERROR(IF(N(AN15)&lt;&gt;0,AN67/AN15,""),"")</f>
        <v>0.307093084764286</v>
      </c>
      <c r="AO317" s="257">
        <f>IFERROR(IF(N(AO15)&lt;&gt;0,AO67/AO15,""),"")</f>
        <v>0.307093084764286</v>
      </c>
      <c r="AP317" s="257">
        <f>IFERROR(IF(N(AP15)&lt;&gt;0,AP67/AP15,""),"")</f>
        <v>0.307093084764286</v>
      </c>
      <c r="AQ317" s="258">
        <f>IFERROR(IF(N(AQ15)&lt;&gt;0,AQ67/AQ15,""),"")</f>
        <v>0.307093084764286</v>
      </c>
      <c r="AR317" s="257">
        <f>IFERROR(IF(N(AR15)&lt;&gt;0,AR67/AR15,""),"")</f>
        <v>0.307093084764286</v>
      </c>
      <c r="AS317" s="257">
        <f>IFERROR(IF(N(AS15)&lt;&gt;0,AS67/AS15,""),"")</f>
        <v>0.307093084764286</v>
      </c>
      <c r="AT317" s="257">
        <f>IFERROR(IF(N(AT15)&lt;&gt;0,AT67/AT15,""),"")</f>
        <v>0.307093084764286</v>
      </c>
      <c r="AU317" s="257">
        <f>IFERROR(IF(N(AU15)&lt;&gt;0,AU67/AU15,""),"")</f>
        <v>0.307093084764286</v>
      </c>
      <c r="AV317" s="258">
        <f>IFERROR(IF(N(AV15)&lt;&gt;0,AV67/AV15,""),"")</f>
        <v>0.307093084764286</v>
      </c>
      <c r="AW317" s="257">
        <f>IFERROR(IF(N(AW15)&lt;&gt;0,AW67/AW15,""),"")</f>
        <v>0.307093084764286</v>
      </c>
      <c r="AX317" s="257">
        <f>IFERROR(IF(N(AX15)&lt;&gt;0,AX67/AX15,""),"")</f>
        <v>0.307093084764286</v>
      </c>
      <c r="AY317" s="257">
        <f>IFERROR(IF(N(AY15)&lt;&gt;0,AY67/AY15,""),"")</f>
        <v>0.307093084764286</v>
      </c>
      <c r="AZ317" s="257">
        <f>IFERROR(IF(N(AZ15)&lt;&gt;0,AZ67/AZ15,""),"")</f>
        <v>0.307093084764286</v>
      </c>
      <c r="BA317" s="258">
        <f>IFERROR(IF(N(BA15)&lt;&gt;0,BA67/BA15,""),"")</f>
        <v>0.307093084764286</v>
      </c>
      <c r="BB317" s="257">
        <f>IFERROR(IF(N(BB15)&lt;&gt;0,BB67/BB15,""),"")</f>
        <v>0.307093084764286</v>
      </c>
      <c r="BC317" s="257">
        <f>IFERROR(IF(N(BC15)&lt;&gt;0,BC67/BC15,""),"")</f>
        <v>0.307093084764286</v>
      </c>
      <c r="BD317" s="257">
        <f>IFERROR(IF(N(BD15)&lt;&gt;0,BD67/BD15,""),"")</f>
        <v>0.307093084764286</v>
      </c>
      <c r="BE317" s="257">
        <f>IFERROR(IF(N(BE15)&lt;&gt;0,BE67/BE15,""),"")</f>
        <v>0.307093084764286</v>
      </c>
      <c r="BF317" s="258">
        <f>IFERROR(IF(N(BF15)&lt;&gt;0,BF67/BF15,""),"")</f>
        <v>0.307093084764286</v>
      </c>
      <c r="BG317" s="81" t="n"/>
      <c r="BH317" s="81" t="n"/>
      <c r="BI317" s="81" t="n"/>
      <c r="BJ317" s="81" t="n"/>
      <c r="BL317" s="81" t="n"/>
      <c r="BM317" s="81" t="n"/>
      <c r="BN317" s="81" t="n"/>
      <c r="BO317" s="81" t="n"/>
      <c r="BQ317" s="81" t="n"/>
      <c r="BR317" s="81" t="n"/>
      <c r="BS317" s="81" t="n"/>
      <c r="BT317" s="81" t="n"/>
      <c r="BV317" s="81" t="n"/>
      <c r="BW317" s="81" t="n"/>
      <c r="BX317" s="81" t="n"/>
      <c r="BY317" s="81" t="n"/>
      <c r="CA317" s="81" t="n"/>
      <c r="CB317" s="81" t="n"/>
      <c r="CC317" s="81" t="n"/>
      <c r="CD317" s="81" t="n"/>
      <c r="CF317" s="81" t="n"/>
      <c r="CG317" s="81" t="n"/>
      <c r="CH317" s="81" t="n"/>
      <c r="CI317" s="81" t="n"/>
      <c r="CK317" s="81" t="n"/>
      <c r="CL317" s="81" t="n"/>
      <c r="CM317" s="81" t="n"/>
      <c r="CN317" s="81" t="n"/>
      <c r="CP317" s="81" t="n"/>
      <c r="CQ317" s="81" t="n"/>
      <c r="CR317" s="81" t="n"/>
      <c r="CS317" s="81" t="n"/>
      <c r="CU317" s="81" t="n"/>
      <c r="CV317" s="81" t="n"/>
      <c r="CW317" s="81" t="n"/>
      <c r="CX317" s="81" t="n"/>
    </row>
    <row r="318" customFormat="1" s="77">
      <c r="A318" s="76" t="n"/>
      <c r="B318" s="76" t="n"/>
      <c r="C318" s="77" t="inlineStr">
        <is>
          <t>EBITDA MARGIN</t>
        </is>
      </c>
      <c r="D318" s="78" t="str">
        <f>IFERROR(D63/D15,"")</f>
        <v/>
      </c>
      <c r="E318" s="78" t="str">
        <f>IFERROR(E63/E15,"")</f>
        <v/>
      </c>
      <c r="F318" s="78" t="str">
        <f>IFERROR(F63/F15,"")</f>
        <v/>
      </c>
      <c r="G318" s="78" t="str">
        <f>IFERROR(G63/G15,"")</f>
        <v/>
      </c>
      <c r="H318" s="258" t="str">
        <f>IFERROR(IF(N(H15)&lt;&gt;0,H63/H15,""),"")</f>
        <v/>
      </c>
      <c r="I318" s="257">
        <f>IFERROR(IF(N(I15)&lt;&gt;0,I63/I15,""),"")</f>
        <v>0.278586966142056</v>
      </c>
      <c r="J318" s="257">
        <f>IFERROR(IF(N(J15)&lt;&gt;0,J63/J15,""),"")</f>
        <v>0.256894754498809</v>
      </c>
      <c r="K318" s="257">
        <f>IFERROR(IF(N(K15)&lt;&gt;0,K63/K15,""),"")</f>
        <v>0.243938538113417</v>
      </c>
      <c r="L318" s="257">
        <f>IFERROR(IF(N(L15)&lt;&gt;0,L63/L15,""),"")</f>
        <v>0.0902484499925934</v>
      </c>
      <c r="M318" s="258">
        <f>IFERROR(IF(N(M15)&lt;&gt;0,M63/M15,""),"")</f>
        <v>0.215602216780451</v>
      </c>
      <c r="N318" s="257">
        <f>IFERROR(IF(N(N15)&lt;&gt;0,N63/N15,""),"")</f>
        <v>0.260077351045093</v>
      </c>
      <c r="O318" s="257">
        <f>IFERROR(IF(N(O15)&lt;&gt;0,O63/O15,""),"")</f>
        <v>0.208501706557011</v>
      </c>
      <c r="P318" s="257">
        <f>IFERROR(IF(N(P15)&lt;&gt;0,P63/P15,""),"")</f>
        <v>0.204174856909688</v>
      </c>
      <c r="Q318" s="257">
        <f>IFERROR(IF(N(Q15)&lt;&gt;0,Q63/Q15,""),"")</f>
        <v>0.0819264719685412</v>
      </c>
      <c r="R318" s="258">
        <f>IFERROR(IF(N(R15)&lt;&gt;0,R63/R15,""),"")</f>
        <v>0.188815725173214</v>
      </c>
      <c r="S318" s="257">
        <f>IFERROR(IF(N(S15)&lt;&gt;0,S63/S15,""),"")</f>
        <v>0.221117605421452</v>
      </c>
      <c r="T318" s="257">
        <f>IFERROR(IF(N(T15)&lt;&gt;0,T63/T15,""),"")</f>
        <v>0.234090330867279</v>
      </c>
      <c r="U318" s="257">
        <f>IFERROR(IF(N(U15)&lt;&gt;0,U63/U15,""),"")</f>
        <v>0.234972138931178</v>
      </c>
      <c r="V318" s="257">
        <f>IFERROR(IF(N(V15)&lt;&gt;0,V63/V15,""),"")</f>
        <v>0.17918117929428</v>
      </c>
      <c r="W318" s="258">
        <f>IFERROR(IF(N(W15)&lt;&gt;0,W63/W15,""),"")</f>
        <v>0.216792266782219</v>
      </c>
      <c r="X318" s="257">
        <f>IFERROR(IF(N(X15)&lt;&gt;0,X63/X15,""),"")</f>
        <v>0.29024976415195</v>
      </c>
      <c r="Y318" s="257">
        <f>IFERROR(IF(N(Y15)&lt;&gt;0,Y63/Y15,""),"")</f>
        <v>0.280780098145159</v>
      </c>
      <c r="Z318" s="257">
        <f>IFERROR(IF(N(Z15)&lt;&gt;0,Z63/Z15,""),"")</f>
        <v>0.304374697128249</v>
      </c>
      <c r="AA318" s="257">
        <f>IFERROR(IF(N(AA15)&lt;&gt;0,AA63/AA15,""),"")</f>
        <v>0.229571269757819</v>
      </c>
      <c r="AB318" s="258">
        <f>IFERROR(IF(N(AB15)&lt;&gt;0,AB63/AB15,""),"")</f>
        <v>0.275545174957974</v>
      </c>
      <c r="AC318" s="257">
        <f>IFERROR(IF(N(AC15)&lt;&gt;0,AC63/AC15,""),"")</f>
        <v>0.325062191726848</v>
      </c>
      <c r="AD318" s="257">
        <f>IFERROR(IF(N(AD15)&lt;&gt;0,AD63/AD15,""),"")</f>
        <v>0.347923932180455</v>
      </c>
      <c r="AE318" s="257">
        <f>IFERROR(IF(N(AE15)&lt;&gt;0,AE63/AE15,""),"")</f>
        <v>0.289790098561229</v>
      </c>
      <c r="AF318" s="257">
        <f>IFERROR(IF(N(AF15)&lt;&gt;0,AF63/AF15,""),"")</f>
        <v>0.252485776418122</v>
      </c>
      <c r="AG318" s="258">
        <f>IFERROR(IF(N(AG15)&lt;&gt;0,AG63/AG15,""),"")</f>
        <v>0.302325678159387</v>
      </c>
      <c r="AH318" s="257">
        <f>IFERROR(IF(N(AH15)&lt;&gt;0,AH63/AH15,""),"")</f>
        <v>0.331073669461362</v>
      </c>
      <c r="AI318" s="257">
        <f>IFERROR(IF(N(AI15)&lt;&gt;0,AI63/AI15,""),"")</f>
        <v>0.341812196843647</v>
      </c>
      <c r="AJ318" s="257">
        <f>IFERROR(IF(N(AJ15)&lt;&gt;0,AJ63/AJ15,""),"")</f>
        <v>0.314691310865277</v>
      </c>
      <c r="AK318" s="257">
        <f>IFERROR(IF(N(AK15)&lt;&gt;0,AK63/AK15,""),"")</f>
        <v>0.314691310865277</v>
      </c>
      <c r="AL318" s="258">
        <f>IFERROR(IF(N(AL15)&lt;&gt;0,AL63/AL15,""),"")</f>
        <v>0.325098803299144</v>
      </c>
      <c r="AM318" s="257">
        <f>IFERROR(IF(N(AM15)&lt;&gt;0,AM63/AM15,""),"")</f>
        <v>0.314691310865277</v>
      </c>
      <c r="AN318" s="257">
        <f>IFERROR(IF(N(AN15)&lt;&gt;0,AN63/AN15,""),"")</f>
        <v>0.314691310865277</v>
      </c>
      <c r="AO318" s="257">
        <f>IFERROR(IF(N(AO15)&lt;&gt;0,AO63/AO15,""),"")</f>
        <v>0.314691310865277</v>
      </c>
      <c r="AP318" s="257">
        <f>IFERROR(IF(N(AP15)&lt;&gt;0,AP63/AP15,""),"")</f>
        <v>0.314691310865277</v>
      </c>
      <c r="AQ318" s="258">
        <f>IFERROR(IF(N(AQ15)&lt;&gt;0,AQ63/AQ15,""),"")</f>
        <v>0.314691310865277</v>
      </c>
      <c r="AR318" s="257">
        <f>IFERROR(IF(N(AR15)&lt;&gt;0,AR63/AR15,""),"")</f>
        <v>0.314691310865277</v>
      </c>
      <c r="AS318" s="257">
        <f>IFERROR(IF(N(AS15)&lt;&gt;0,AS63/AS15,""),"")</f>
        <v>0.314691310865277</v>
      </c>
      <c r="AT318" s="257">
        <f>IFERROR(IF(N(AT15)&lt;&gt;0,AT63/AT15,""),"")</f>
        <v>0.314691310865277</v>
      </c>
      <c r="AU318" s="257">
        <f>IFERROR(IF(N(AU15)&lt;&gt;0,AU63/AU15,""),"")</f>
        <v>0.314691310865277</v>
      </c>
      <c r="AV318" s="258">
        <f>IFERROR(IF(N(AV15)&lt;&gt;0,AV63/AV15,""),"")</f>
        <v>0.314691310865277</v>
      </c>
      <c r="AW318" s="257">
        <f>IFERROR(IF(N(AW15)&lt;&gt;0,AW63/AW15,""),"")</f>
        <v>0.314691310865277</v>
      </c>
      <c r="AX318" s="257">
        <f>IFERROR(IF(N(AX15)&lt;&gt;0,AX63/AX15,""),"")</f>
        <v>0.314691310865277</v>
      </c>
      <c r="AY318" s="257">
        <f>IFERROR(IF(N(AY15)&lt;&gt;0,AY63/AY15,""),"")</f>
        <v>0.314691310865277</v>
      </c>
      <c r="AZ318" s="257">
        <f>IFERROR(IF(N(AZ15)&lt;&gt;0,AZ63/AZ15,""),"")</f>
        <v>0.314691310865277</v>
      </c>
      <c r="BA318" s="258">
        <f>IFERROR(IF(N(BA15)&lt;&gt;0,BA63/BA15,""),"")</f>
        <v>0.314691310865277</v>
      </c>
      <c r="BB318" s="257">
        <f>IFERROR(IF(N(BB15)&lt;&gt;0,BB63/BB15,""),"")</f>
        <v>0.314691310865277</v>
      </c>
      <c r="BC318" s="257">
        <f>IFERROR(IF(N(BC15)&lt;&gt;0,BC63/BC15,""),"")</f>
        <v>0.314691310865277</v>
      </c>
      <c r="BD318" s="257">
        <f>IFERROR(IF(N(BD15)&lt;&gt;0,BD63/BD15,""),"")</f>
        <v>0.314691310865277</v>
      </c>
      <c r="BE318" s="257">
        <f>IFERROR(IF(N(BE15)&lt;&gt;0,BE63/BE15,""),"")</f>
        <v>0.314691310865277</v>
      </c>
      <c r="BF318" s="258">
        <f>IFERROR(IF(N(BF15)&lt;&gt;0,BF63/BF15,""),"")</f>
        <v>0.314691310865277</v>
      </c>
      <c r="BG318" s="81" t="n"/>
      <c r="BH318" s="81" t="n"/>
      <c r="BI318" s="81" t="n"/>
      <c r="BJ318" s="81" t="n"/>
      <c r="BL318" s="81" t="n"/>
      <c r="BM318" s="81" t="n"/>
      <c r="BN318" s="81" t="n"/>
      <c r="BO318" s="81" t="n"/>
      <c r="BQ318" s="81" t="n"/>
      <c r="BR318" s="81" t="n"/>
      <c r="BS318" s="81" t="n"/>
      <c r="BT318" s="81" t="n"/>
      <c r="BV318" s="81" t="n"/>
      <c r="BW318" s="81" t="n"/>
      <c r="BX318" s="81" t="n"/>
      <c r="BY318" s="81" t="n"/>
      <c r="CA318" s="81" t="n"/>
      <c r="CB318" s="81" t="n"/>
      <c r="CC318" s="81" t="n"/>
      <c r="CD318" s="81" t="n"/>
      <c r="CF318" s="81" t="n"/>
      <c r="CG318" s="81" t="n"/>
      <c r="CH318" s="81" t="n"/>
      <c r="CI318" s="81" t="n"/>
      <c r="CK318" s="81" t="n"/>
      <c r="CL318" s="81" t="n"/>
      <c r="CM318" s="81" t="n"/>
      <c r="CN318" s="81" t="n"/>
      <c r="CP318" s="81" t="n"/>
      <c r="CQ318" s="81" t="n"/>
      <c r="CR318" s="81" t="n"/>
      <c r="CS318" s="81" t="n"/>
      <c r="CU318" s="81" t="n"/>
      <c r="CV318" s="81" t="n"/>
      <c r="CW318" s="81" t="n"/>
      <c r="CX318" s="81" t="n"/>
    </row>
    <row r="319" customFormat="1" s="77">
      <c r="A319" s="76" t="n"/>
      <c r="B319" s="76" t="n"/>
      <c r="C319" s="77" t="inlineStr">
        <is>
          <t>ETR</t>
        </is>
      </c>
      <c r="D319" s="78" t="str">
        <f>IFERROR(-D125/D124,"")</f>
        <v/>
      </c>
      <c r="E319" s="78" t="str">
        <f>IFERROR(-E125/E124,"")</f>
        <v/>
      </c>
      <c r="F319" s="78" t="str">
        <f>IFERROR(-F125/F124,"")</f>
        <v/>
      </c>
      <c r="G319" s="78" t="str">
        <f>IFERROR(-G125/G124,"")</f>
        <v/>
      </c>
      <c r="H319" s="258" t="str">
        <f>IFERROR(IF(N(H124)&lt;&gt;0,-H125/H124,""),"")</f>
        <v/>
      </c>
      <c r="I319" s="257">
        <f>IFERROR(IF(N(I124)&lt;&gt;0,-I125/I124,""),"")</f>
        <v>0.161114120310523</v>
      </c>
      <c r="J319" s="257">
        <f>IFERROR(IF(N(J124)&lt;&gt;0,-J125/J124,""),"")</f>
        <v>0.151071440447889</v>
      </c>
      <c r="K319" s="257">
        <f>IFERROR(IF(N(K124)&lt;&gt;0,-K125/K124,""),"")</f>
        <v>0.12756967510938</v>
      </c>
      <c r="L319" s="257">
        <f>IFERROR(IF(N(L124)&lt;&gt;0,-L125/L124,""),"")</f>
        <v>-0.102706166617954</v>
      </c>
      <c r="M319" s="258">
        <f>IFERROR(IF(N(M124)&lt;&gt;0,-M125/M124,""),"")</f>
        <v>0.123949012543101</v>
      </c>
      <c r="N319" s="257">
        <f>IFERROR(IF(N(N124)&lt;&gt;0,-N125/N124,""),"")</f>
        <v>0.193083065446544</v>
      </c>
      <c r="O319" s="257">
        <f>IFERROR(IF(N(O124)&lt;&gt;0,-O125/O124,""),"")</f>
        <v>0.112197745731196</v>
      </c>
      <c r="P319" s="257">
        <f>IFERROR(IF(N(P124)&lt;&gt;0,-P125/P124,""),"")</f>
        <v>0.137870588286071</v>
      </c>
      <c r="Q319" s="257">
        <f>IFERROR(IF(N(Q124)&lt;&gt;0,-Q125/Q124,""),"")</f>
        <v>-0.405430140329469</v>
      </c>
      <c r="R319" s="258">
        <f>IFERROR(IF(N(R124)&lt;&gt;0,-R125/R124,""),"")</f>
        <v>0.146659462922087</v>
      </c>
      <c r="S319" s="257">
        <f>IFERROR(IF(N(S124)&lt;&gt;0,-S125/S124,""),"")</f>
        <v>0.111482673122405</v>
      </c>
      <c r="T319" s="257">
        <f>IFERROR(IF(N(T124)&lt;&gt;0,-T125/T124,""),"")</f>
        <v>0.114165632525314</v>
      </c>
      <c r="U319" s="257">
        <f>IFERROR(IF(N(U124)&lt;&gt;0,-U125/U124,""),"")</f>
        <v>0.121331092077783</v>
      </c>
      <c r="V319" s="257">
        <f>IFERROR(IF(N(V124)&lt;&gt;0,-V125/V124,""),"")</f>
        <v>0.183174672298916</v>
      </c>
      <c r="W319" s="258">
        <f>IFERROR(IF(N(W124)&lt;&gt;0,-W125/W124,""),"")</f>
        <v>0.128503296722776</v>
      </c>
      <c r="X319" s="257">
        <f>IFERROR(IF(N(X124)&lt;&gt;0,-X125/X124,""),"")</f>
        <v>0.107998266642546</v>
      </c>
      <c r="Y319" s="257">
        <f>IFERROR(IF(N(Y124)&lt;&gt;0,-Y125/Y124,""),"")</f>
        <v>0.145811852389317</v>
      </c>
      <c r="Z319" s="257">
        <f>IFERROR(IF(N(Z124)&lt;&gt;0,-Z125/Z124,""),"")</f>
        <v>0.125582973295143</v>
      </c>
      <c r="AA319" s="257">
        <f>IFERROR(IF(N(AA124)&lt;&gt;0,-AA125/AA124,""),"")</f>
        <v>0.124474058553096</v>
      </c>
      <c r="AB319" s="258">
        <f>IFERROR(IF(N(AB124)&lt;&gt;0,-AB125/AB124,""),"")</f>
        <v>0.125834754296681</v>
      </c>
      <c r="AC319" s="257">
        <f>IFERROR(IF(N(AC124)&lt;&gt;0,-AC125/AC124,""),"")</f>
        <v>0.100623077387431</v>
      </c>
      <c r="AD319" s="257">
        <f>IFERROR(IF(N(AD124)&lt;&gt;0,-AD125/AD124,""),"")</f>
        <v>0.139401791184509</v>
      </c>
      <c r="AE319" s="257">
        <f>IFERROR(IF(N(AE124)&lt;&gt;0,-AE125/AE124,""),"")</f>
        <v>0.180900556697251</v>
      </c>
      <c r="AF319" s="257">
        <f>IFERROR(IF(N(AF124)&lt;&gt;0,-AF125/AF124,""),"")</f>
        <v>0.126175100921654</v>
      </c>
      <c r="AG319" s="258">
        <f>IFERROR(IF(N(AG124)&lt;&gt;0,-AG125/AG124,""),"")</f>
        <v>0.136871203198855</v>
      </c>
      <c r="AH319" s="257">
        <f>IFERROR(IF(N(AH124)&lt;&gt;0,-AH125/AH124,""),"")</f>
        <v>0.193108048374498</v>
      </c>
      <c r="AI319" s="257">
        <f>IFERROR(IF(N(AI124)&lt;&gt;0,-AI125/AI124,""),"")</f>
        <v>0.163981294729914</v>
      </c>
      <c r="AJ319" s="257">
        <f>IFERROR(IF(N(AJ124)&lt;&gt;0,-AJ125/AJ124,""),"")</f>
        <v>0.15069831154921</v>
      </c>
      <c r="AK319" s="257">
        <f>IFERROR(IF(N(AK124)&lt;&gt;0,-AK125/AK124,""),"")</f>
        <v>0.15069831154921</v>
      </c>
      <c r="AL319" s="258">
        <f>IFERROR(IF(N(AL124)&lt;&gt;0,-AL125/AL124,""),"")</f>
        <v>0.167147790967226</v>
      </c>
      <c r="AM319" s="257">
        <f>IFERROR(IF(N(AM124)&lt;&gt;0,-AM125/AM124,""),"")</f>
        <v>0.15069831154921</v>
      </c>
      <c r="AN319" s="257">
        <f>IFERROR(IF(N(AN124)&lt;&gt;0,-AN125/AN124,""),"")</f>
        <v>0.15069831154921</v>
      </c>
      <c r="AO319" s="257">
        <f>IFERROR(IF(N(AO124)&lt;&gt;0,-AO125/AO124,""),"")</f>
        <v>0.15069831154921</v>
      </c>
      <c r="AP319" s="257">
        <f>IFERROR(IF(N(AP124)&lt;&gt;0,-AP125/AP124,""),"")</f>
        <v>0.15069831154921</v>
      </c>
      <c r="AQ319" s="258">
        <f>IFERROR(IF(N(AQ124)&lt;&gt;0,-AQ125/AQ124,""),"")</f>
        <v>0.15069831154921</v>
      </c>
      <c r="AR319" s="257">
        <f>IFERROR(IF(N(AR124)&lt;&gt;0,-AR125/AR124,""),"")</f>
        <v>0.15069831154921</v>
      </c>
      <c r="AS319" s="257">
        <f>IFERROR(IF(N(AS124)&lt;&gt;0,-AS125/AS124,""),"")</f>
        <v>0.15069831154921</v>
      </c>
      <c r="AT319" s="257">
        <f>IFERROR(IF(N(AT124)&lt;&gt;0,-AT125/AT124,""),"")</f>
        <v>0.15069831154921</v>
      </c>
      <c r="AU319" s="257">
        <f>IFERROR(IF(N(AU124)&lt;&gt;0,-AU125/AU124,""),"")</f>
        <v>0.15069831154921</v>
      </c>
      <c r="AV319" s="258">
        <f>IFERROR(IF(N(AV124)&lt;&gt;0,-AV125/AV124,""),"")</f>
        <v>0.15069831154921</v>
      </c>
      <c r="AW319" s="257">
        <f>IFERROR(IF(N(AW124)&lt;&gt;0,-AW125/AW124,""),"")</f>
        <v>0.15069831154921</v>
      </c>
      <c r="AX319" s="257">
        <f>IFERROR(IF(N(AX124)&lt;&gt;0,-AX125/AX124,""),"")</f>
        <v>0.15069831154921</v>
      </c>
      <c r="AY319" s="257">
        <f>IFERROR(IF(N(AY124)&lt;&gt;0,-AY125/AY124,""),"")</f>
        <v>0.15069831154921</v>
      </c>
      <c r="AZ319" s="257">
        <f>IFERROR(IF(N(AZ124)&lt;&gt;0,-AZ125/AZ124,""),"")</f>
        <v>0.15069831154921</v>
      </c>
      <c r="BA319" s="258">
        <f>IFERROR(IF(N(BA124)&lt;&gt;0,-BA125/BA124,""),"")</f>
        <v>0.150698311549209</v>
      </c>
      <c r="BB319" s="257">
        <f>IFERROR(IF(N(BB124)&lt;&gt;0,-BB125/BB124,""),"")</f>
        <v>0.15069831154921</v>
      </c>
      <c r="BC319" s="257">
        <f>IFERROR(IF(N(BC124)&lt;&gt;0,-BC125/BC124,""),"")</f>
        <v>0.15069831154921</v>
      </c>
      <c r="BD319" s="257">
        <f>IFERROR(IF(N(BD124)&lt;&gt;0,-BD125/BD124,""),"")</f>
        <v>0.15069831154921</v>
      </c>
      <c r="BE319" s="257">
        <f>IFERROR(IF(N(BE124)&lt;&gt;0,-BE125/BE124,""),"")</f>
        <v>0.15069831154921</v>
      </c>
      <c r="BF319" s="258">
        <f>IFERROR(IF(N(BF124)&lt;&gt;0,-BF125/BF124,""),"")</f>
        <v>0.15069831154921</v>
      </c>
      <c r="BG319" s="81" t="n"/>
      <c r="BH319" s="81" t="n"/>
      <c r="BI319" s="81" t="n"/>
      <c r="BJ319" s="81" t="n"/>
      <c r="BL319" s="81" t="n"/>
      <c r="BM319" s="81" t="n"/>
      <c r="BN319" s="81" t="n"/>
      <c r="BO319" s="81" t="n"/>
      <c r="BQ319" s="81" t="n"/>
      <c r="BR319" s="81" t="n"/>
      <c r="BS319" s="81" t="n"/>
      <c r="BT319" s="81" t="n"/>
      <c r="BV319" s="81" t="n"/>
      <c r="BW319" s="81" t="n"/>
      <c r="BX319" s="81" t="n"/>
      <c r="BY319" s="81" t="n"/>
      <c r="CA319" s="81" t="n"/>
      <c r="CB319" s="81" t="n"/>
      <c r="CC319" s="81" t="n"/>
      <c r="CD319" s="81" t="n"/>
      <c r="CF319" s="81" t="n"/>
      <c r="CG319" s="81" t="n"/>
      <c r="CH319" s="81" t="n"/>
      <c r="CI319" s="81" t="n"/>
      <c r="CK319" s="81" t="n"/>
      <c r="CL319" s="81" t="n"/>
      <c r="CM319" s="81" t="n"/>
      <c r="CN319" s="81" t="n"/>
      <c r="CP319" s="81" t="n"/>
      <c r="CQ319" s="81" t="n"/>
      <c r="CR319" s="81" t="n"/>
      <c r="CS319" s="81" t="n"/>
      <c r="CU319" s="81" t="n"/>
      <c r="CV319" s="81" t="n"/>
      <c r="CW319" s="81" t="n"/>
      <c r="CX319" s="81" t="n"/>
    </row>
    <row r="320" customFormat="1" s="77">
      <c r="A320" s="76" t="n"/>
      <c r="B320" s="76" t="n"/>
    </row>
    <row r="321" customFormat="1" s="77">
      <c r="A321" s="76" t="n"/>
      <c r="B321" s="76" t="n"/>
      <c r="C321" s="74" t="inlineStr">
        <is>
          <t>CAPITAL STRUCTURE</t>
        </is>
      </c>
    </row>
    <row r="322" customFormat="1" s="77">
      <c r="A322" s="76" t="n"/>
      <c r="B322" s="76" t="n"/>
      <c r="C322" s="77" t="inlineStr">
        <is>
          <t>TOTAL DEBT / EQUITY (BOOK VALUE)</t>
        </is>
      </c>
      <c r="H322" s="262" t="str">
        <f>IFERROR(IF(N(H265)&lt;&gt;0,(N(H206)+N(H207)+N(H208)+N(H211)+N(H229)+N(H232))/H265,""),"")</f>
        <v/>
      </c>
      <c r="I322" s="262">
        <f>IFERROR(IF(N(I265)&lt;&gt;0,(N(I206)+N(I207)+N(I208)+N(I211)+N(I229)+N(I232))/I265,""),"")</f>
        <v>1.2076407473409</v>
      </c>
      <c r="J322" s="262">
        <f>IFERROR(IF(N(J265)&lt;&gt;0,(N(J206)+N(J207)+N(J208)+N(J211)+N(J229)+N(J232))/J265,""),"")</f>
        <v>1.12710346194075</v>
      </c>
      <c r="K322" s="262">
        <f>IFERROR(IF(N(K265)&lt;&gt;0,(N(K206)+N(K207)+N(K208)+N(K211)+N(K229)+N(K232))/K265,""),"")</f>
        <v>1.0116586004077</v>
      </c>
      <c r="L322" s="262">
        <f>IFERROR(IF(N(L265)&lt;&gt;0,(N(L206)+N(L207)+N(L208)+N(L211)+N(L229)+N(L232))/L265,""),"")</f>
        <v>0.971206646523545</v>
      </c>
      <c r="M322" s="262">
        <f>IFERROR(IF(N(M265)&lt;&gt;0,(N(M206)+N(M207)+N(M208)+N(M211)+N(M229)+N(M232))/M265,""),"")</f>
        <v>0.971206646523545</v>
      </c>
      <c r="N322" s="262">
        <f>IFERROR(IF(N(N265)&lt;&gt;0,(N(N206)+N(N207)+N(N208)+N(N211)+N(N229)+N(N232))/N265,""),"")</f>
        <v>0.828461507638007</v>
      </c>
      <c r="O322" s="262">
        <f>IFERROR(IF(N(O265)&lt;&gt;0,(N(O206)+N(O207)+N(O208)+N(O211)+N(O229)+N(O232))/O265,""),"")</f>
        <v>0.746137680833492</v>
      </c>
      <c r="P322" s="262">
        <f>IFERROR(IF(N(P265)&lt;&gt;0,(N(P206)+N(P207)+N(P208)+N(P211)+N(P229)+N(P232))/P265,""),"")</f>
        <v>0.676540413474362</v>
      </c>
      <c r="Q322" s="262">
        <f>IFERROR(IF(N(Q265)&lt;&gt;0,(N(Q206)+N(Q207)+N(Q208)+N(Q211)+N(Q229)+N(Q232))/Q265,""),"")</f>
        <v>0.690802280804996</v>
      </c>
      <c r="R322" s="262">
        <f>IFERROR(IF(N(R265)&lt;&gt;0,(N(R206)+N(R207)+N(R208)+N(R211)+N(R229)+N(R232))/R265,""),"")</f>
        <v>0.690802280804996</v>
      </c>
      <c r="S322" s="262">
        <f>IFERROR(IF(N(S265)&lt;&gt;0,(N(S206)+N(S207)+N(S208)+N(S211)+N(S229)+N(S232))/S265,""),"")</f>
        <v>0.661398129281962</v>
      </c>
      <c r="T322" s="262">
        <f>IFERROR(IF(N(T265)&lt;&gt;0,(N(T206)+N(T207)+N(T208)+N(T211)+N(T229)+N(T232))/T265,""),"")</f>
        <v>0.633733433221437</v>
      </c>
      <c r="U322" s="262">
        <f>IFERROR(IF(N(U265)&lt;&gt;0,(N(U206)+N(U207)+N(U208)+N(U211)+N(U229)+N(U232))/U265,""),"")</f>
        <v>0.646852237917711</v>
      </c>
      <c r="V322" s="262">
        <f>IFERROR(IF(N(V265)&lt;&gt;0,(N(V206)+N(V207)+N(V208)+N(V211)+N(V229)+N(V232))/V265,""),"")</f>
        <v>0.706384296760983</v>
      </c>
      <c r="W322" s="262">
        <f>IFERROR(IF(N(W265)&lt;&gt;0,(N(W206)+N(W207)+N(W208)+N(W211)+N(W229)+N(W232))/W265,""),"")</f>
        <v>0.706384296760983</v>
      </c>
      <c r="X322" s="262">
        <f>IFERROR(IF(N(X265)&lt;&gt;0,(N(X206)+N(X207)+N(X208)+N(X211)+N(X229)+N(X232))/X265,""),"")</f>
        <v>0.656012405097773</v>
      </c>
      <c r="Y322" s="262">
        <f>IFERROR(IF(N(Y265)&lt;&gt;0,(N(Y206)+N(Y207)+N(Y208)+N(Y211)+N(Y229)+N(Y232))/Y265,""),"")</f>
        <v>0.632219015567213</v>
      </c>
      <c r="Z322" s="262">
        <f>IFERROR(IF(N(Z265)&lt;&gt;0,(N(Z206)+N(Z207)+N(Z208)+N(Z211)+N(Z229)+N(Z232))/Z265,""),"")</f>
        <v>0.703380735553637</v>
      </c>
      <c r="AA322" s="262">
        <f>IFERROR(IF(N(AA265)&lt;&gt;0,(N(AA206)+N(AA207)+N(AA208)+N(AA211)+N(AA229)+N(AA232))/AA265,""),"")</f>
        <v>0.629771932235963</v>
      </c>
      <c r="AB322" s="262">
        <f>IFERROR(IF(N(AB265)&lt;&gt;0,(N(AB206)+N(AB207)+N(AB208)+N(AB211)+N(AB229)+N(AB232))/AB265,""),"")</f>
        <v>0.629771932235963</v>
      </c>
      <c r="AC322" s="262">
        <f>IFERROR(IF(N(AC265)&lt;&gt;0,(N(AC206)+N(AC207)+N(AC208)+N(AC211)+N(AC229)+N(AC232))/AC265,""),"")</f>
        <v>0.624973879511686</v>
      </c>
      <c r="AD322" s="262">
        <f>IFERROR(IF(N(AD265)&lt;&gt;0,(N(AD206)+N(AD207)+N(AD208)+N(AD211)+N(AD229)+N(AD232))/AD265,""),"")</f>
        <v>0.57924272617487</v>
      </c>
      <c r="AE322" s="262">
        <f>IFERROR(IF(N(AE265)&lt;&gt;0,(N(AE206)+N(AE207)+N(AE208)+N(AE211)+N(AE229)+N(AE232))/AE265,""),"")</f>
        <v>0.557255162829209</v>
      </c>
      <c r="AF322" s="262">
        <f>IFERROR(IF(N(AF265)&lt;&gt;0,(N(AF206)+N(AF207)+N(AF208)+N(AF211)+N(AF229)+N(AF232))/AF265,""),"")</f>
        <v>0.54339924182491</v>
      </c>
      <c r="AG322" s="262">
        <f>IFERROR(IF(N(AG265)&lt;&gt;0,(N(AG206)+N(AG207)+N(AG208)+N(AG211)+N(AG229)+N(AG232))/AG265,""),"")</f>
        <v>0.54339924182491</v>
      </c>
      <c r="AH322" s="262">
        <f>IFERROR(IF(N(AH265)&lt;&gt;0,(N(AH206)+N(AH207)+N(AH208)+N(AH211)+N(AH229)+N(AH232))/AH265,""),"")</f>
        <v>0.461361302989144</v>
      </c>
      <c r="AI322" s="262">
        <f>IFERROR(IF(N(AI265)&lt;&gt;0,(N(AI206)+N(AI207)+N(AI208)+N(AI211)+N(AI229)+N(AI232))/AI265,""),"")</f>
        <v>0.47457154823161</v>
      </c>
      <c r="AJ322" s="262">
        <f>IFERROR(IF(N(AJ265)&lt;&gt;0,(N(AJ206)+N(AJ207)+N(AJ208)+N(AJ211)+N(AJ229)+N(AJ232))/AJ265,""),"")</f>
        <v>0.419453704459422</v>
      </c>
      <c r="AK322" s="262">
        <f>IFERROR(IF(N(AK265)&lt;&gt;0,(N(AK206)+N(AK207)+N(AK208)+N(AK211)+N(AK229)+N(AK232))/AK265,""),"")</f>
        <v>0.373979424330292</v>
      </c>
      <c r="AL322" s="262">
        <f>IFERROR(IF(N(AL265)&lt;&gt;0,(N(AL206)+N(AL207)+N(AL208)+N(AL211)+N(AL229)+N(AL232))/AL265,""),"")</f>
        <v>0.373979424330292</v>
      </c>
      <c r="AM322" s="262">
        <f>IFERROR(IF(N(AM265)&lt;&gt;0,(N(AM206)+N(AM207)+N(AM208)+N(AM211)+N(AM229)+N(AM232))/AM265,""),"")</f>
        <v>0.336856691355843</v>
      </c>
      <c r="AN322" s="262">
        <f>IFERROR(IF(N(AN265)&lt;&gt;0,(N(AN206)+N(AN207)+N(AN208)+N(AN211)+N(AN229)+N(AN232))/AN265,""),"")</f>
        <v>0.305739277911467</v>
      </c>
      <c r="AO322" s="262">
        <f>IFERROR(IF(N(AO265)&lt;&gt;0,(N(AO206)+N(AO207)+N(AO208)+N(AO211)+N(AO229)+N(AO232))/AO265,""),"")</f>
        <v>0.27851706590357</v>
      </c>
      <c r="AP322" s="262">
        <f>IFERROR(IF(N(AP265)&lt;&gt;0,(N(AP206)+N(AP207)+N(AP208)+N(AP211)+N(AP229)+N(AP232))/AP265,""),"")</f>
        <v>0.254768093856391</v>
      </c>
      <c r="AQ322" s="262">
        <f>IFERROR(IF(N(AQ265)&lt;&gt;0,(N(AQ206)+N(AQ207)+N(AQ208)+N(AQ211)+N(AQ229)+N(AQ232))/AQ265,""),"")</f>
        <v>0.254768093856391</v>
      </c>
      <c r="AR322" s="262">
        <f>IFERROR(IF(N(AR265)&lt;&gt;0,(N(AR206)+N(AR207)+N(AR208)+N(AR211)+N(AR229)+N(AR232))/AR265,""),"")</f>
        <v>0.234527859610551</v>
      </c>
      <c r="AS322" s="262">
        <f>IFERROR(IF(N(AS265)&lt;&gt;0,(N(AS206)+N(AS207)+N(AS208)+N(AS211)+N(AS229)+N(AS232))/AS265,""),"")</f>
        <v>0.21686278224238</v>
      </c>
      <c r="AT322" s="262">
        <f>IFERROR(IF(N(AT265)&lt;&gt;0,(N(AT206)+N(AT207)+N(AT208)+N(AT211)+N(AT229)+N(AT232))/AT265,""),"")</f>
        <v>0.200855482289584</v>
      </c>
      <c r="AU322" s="262">
        <f>IFERROR(IF(N(AU265)&lt;&gt;0,(N(AU206)+N(AU207)+N(AU208)+N(AU211)+N(AU229)+N(AU232))/AU265,""),"")</f>
        <v>0.186447067053958</v>
      </c>
      <c r="AV322" s="262">
        <f>IFERROR(IF(N(AV265)&lt;&gt;0,(N(AV206)+N(AV207)+N(AV208)+N(AV211)+N(AV229)+N(AV232))/AV265,""),"")</f>
        <v>0.186447067053958</v>
      </c>
      <c r="AW322" s="262">
        <f>IFERROR(IF(N(AW265)&lt;&gt;0,(N(AW206)+N(AW207)+N(AW208)+N(AW211)+N(AW229)+N(AW232))/AW265,""),"")</f>
        <v>0.173877753925373</v>
      </c>
      <c r="AX322" s="262">
        <f>IFERROR(IF(N(AX265)&lt;&gt;0,(N(AX206)+N(AX207)+N(AX208)+N(AX211)+N(AX229)+N(AX232))/AX265,""),"")</f>
        <v>0.162636033380897</v>
      </c>
      <c r="AY322" s="262">
        <f>IFERROR(IF(N(AY265)&lt;&gt;0,(N(AY206)+N(AY207)+N(AY208)+N(AY211)+N(AY229)+N(AY232))/AY265,""),"")</f>
        <v>0.152222886248796</v>
      </c>
      <c r="AZ322" s="262">
        <f>IFERROR(IF(N(AZ265)&lt;&gt;0,(N(AZ206)+N(AZ207)+N(AZ208)+N(AZ211)+N(AZ229)+N(AZ232))/AZ265,""),"")</f>
        <v>0.142659874877774</v>
      </c>
      <c r="BA322" s="262">
        <f>IFERROR(IF(N(BA265)&lt;&gt;0,(N(BA206)+N(BA207)+N(BA208)+N(BA211)+N(BA229)+N(BA232))/BA265,""),"")</f>
        <v>0.142659874877774</v>
      </c>
      <c r="BB322" s="262">
        <f>IFERROR(IF(N(BB265)&lt;&gt;0,(N(BB206)+N(BB207)+N(BB208)+N(BB211)+N(BB229)+N(BB232))/BB265,""),"")</f>
        <v>0.134201155921515</v>
      </c>
      <c r="BC322" s="262">
        <f>IFERROR(IF(N(BC265)&lt;&gt;0,(N(BC206)+N(BC207)+N(BC208)+N(BC211)+N(BC229)+N(BC232))/BC265,""),"")</f>
        <v>0.126510066465797</v>
      </c>
      <c r="BD322" s="262">
        <f>IFERROR(IF(N(BD265)&lt;&gt;0,(N(BD206)+N(BD207)+N(BD208)+N(BD211)+N(BD229)+N(BD232))/BD265,""),"")</f>
        <v>0.119277327443208</v>
      </c>
      <c r="BE322" s="262">
        <f>IFERROR(IF(N(BE265)&lt;&gt;0,(N(BE206)+N(BE207)+N(BE208)+N(BE211)+N(BE229)+N(BE232))/BE265,""),"")</f>
        <v>0.112541104003491</v>
      </c>
      <c r="BF322" s="262">
        <f>IFERROR(IF(N(BF265)&lt;&gt;0,(N(BF206)+N(BF207)+N(BF208)+N(BF211)+N(BF229)+N(BF232))/BF265,""),"")</f>
        <v>0.112541104003491</v>
      </c>
    </row>
    <row r="323" customFormat="1" s="77">
      <c r="A323" s="76" t="n"/>
      <c r="B323" s="76" t="n"/>
      <c r="C323" s="77" t="inlineStr">
        <is>
          <t>NET DEBT / (NET DEBT + EQUITY) (BOOK VALUE)</t>
        </is>
      </c>
      <c r="H323" s="258" t="str">
        <f>IFERROR(IF(((N(H206)+N(H207)+N(H208)+N(H211)+N(H229)+N(H232))-N(H138)+N(H265))&lt;&gt;0,((N(H206)+N(H207)+N(H208)+N(H211)+N(H229)+N(H232))-N(H138))/((N(H206)+N(H207)+N(H208)+N(H211)+N(H229)+N(H232))-N(H138)+H265),""),"")</f>
        <v/>
      </c>
      <c r="I323" s="258">
        <f>IFERROR(IF(((N(I206)+N(I207)+N(I208)+N(I211)+N(I229)+N(I232))-N(I138)+N(I265))&lt;&gt;0,((N(I206)+N(I207)+N(I208)+N(I211)+N(I229)+N(I232))-N(I138))/((N(I206)+N(I207)+N(I208)+N(I211)+N(I229)+N(I232))-N(I138)+I265),""),"")</f>
        <v>0.357072692900074</v>
      </c>
      <c r="J323" s="258">
        <f>IFERROR(IF(((N(J206)+N(J207)+N(J208)+N(J211)+N(J229)+N(J232))-N(J138)+N(J265))&lt;&gt;0,((N(J206)+N(J207)+N(J208)+N(J211)+N(J229)+N(J232))-N(J138))/((N(J206)+N(J207)+N(J208)+N(J211)+N(J229)+N(J232))-N(J138)+J265),""),"")</f>
        <v>0.361475570732575</v>
      </c>
      <c r="K323" s="258">
        <f>IFERROR(IF(((N(K206)+N(K207)+N(K208)+N(K211)+N(K229)+N(K232))-N(K138)+N(K265))&lt;&gt;0,((N(K206)+N(K207)+N(K208)+N(K211)+N(K229)+N(K232))-N(K138))/((N(K206)+N(K207)+N(K208)+N(K211)+N(K229)+N(K232))-N(K138)+K265),""),"")</f>
        <v>0.342186709390879</v>
      </c>
      <c r="L323" s="258">
        <f>IFERROR(IF(((N(L206)+N(L207)+N(L208)+N(L211)+N(L229)+N(L232))-N(L138)+N(L265))&lt;&gt;0,((N(L206)+N(L207)+N(L208)+N(L211)+N(L229)+N(L232))-N(L138))/((N(L206)+N(L207)+N(L208)+N(L211)+N(L229)+N(L232))-N(L138)+L265),""),"")</f>
        <v>0.37141925473438</v>
      </c>
      <c r="M323" s="258">
        <f>IFERROR(IF(((N(M206)+N(M207)+N(M208)+N(M211)+N(M229)+N(M232))-N(M138)+N(M265))&lt;&gt;0,((N(M206)+N(M207)+N(M208)+N(M211)+N(M229)+N(M232))-N(M138))/((N(M206)+N(M207)+N(M208)+N(M211)+N(M229)+N(M232))-N(M138)+M265),""),"")</f>
        <v>0.37141925473438</v>
      </c>
      <c r="N323" s="258">
        <f>IFERROR(IF(((N(N206)+N(N207)+N(N208)+N(N211)+N(N229)+N(N232))-N(N138)+N(N265))&lt;&gt;0,((N(N206)+N(N207)+N(N208)+N(N211)+N(N229)+N(N232))-N(N138))/((N(N206)+N(N207)+N(N208)+N(N211)+N(N229)+N(N232))-N(N138)+N265),""),"")</f>
        <v>0.32703215010065</v>
      </c>
      <c r="O323" s="258">
        <f>IFERROR(IF(((N(O206)+N(O207)+N(O208)+N(O211)+N(O229)+N(O232))-N(O138)+N(O265))&lt;&gt;0,((N(O206)+N(O207)+N(O208)+N(O211)+N(O229)+N(O232))-N(O138))/((N(O206)+N(O207)+N(O208)+N(O211)+N(O229)+N(O232))-N(O138)+O265),""),"")</f>
        <v>0.306071540353035</v>
      </c>
      <c r="P323" s="258">
        <f>IFERROR(IF(((N(P206)+N(P207)+N(P208)+N(P211)+N(P229)+N(P232))-N(P138)+N(P265))&lt;&gt;0,((N(P206)+N(P207)+N(P208)+N(P211)+N(P229)+N(P232))-N(P138))/((N(P206)+N(P207)+N(P208)+N(P211)+N(P229)+N(P232))-N(P138)+P265),""),"")</f>
        <v>0.274688707102988</v>
      </c>
      <c r="Q323" s="258">
        <f>IFERROR(IF(((N(Q206)+N(Q207)+N(Q208)+N(Q211)+N(Q229)+N(Q232))-N(Q138)+N(Q265))&lt;&gt;0,((N(Q206)+N(Q207)+N(Q208)+N(Q211)+N(Q229)+N(Q232))-N(Q138))/((N(Q206)+N(Q207)+N(Q208)+N(Q211)+N(Q229)+N(Q232))-N(Q138)+Q265),""),"")</f>
        <v>0.285312908199549</v>
      </c>
      <c r="R323" s="258">
        <f>IFERROR(IF(((N(R206)+N(R207)+N(R208)+N(R211)+N(R229)+N(R232))-N(R138)+N(R265))&lt;&gt;0,((N(R206)+N(R207)+N(R208)+N(R211)+N(R229)+N(R232))-N(R138))/((N(R206)+N(R207)+N(R208)+N(R211)+N(R229)+N(R232))-N(R138)+R265),""),"")</f>
        <v>0.285312908199549</v>
      </c>
      <c r="S323" s="258">
        <f>IFERROR(IF(((N(S206)+N(S207)+N(S208)+N(S211)+N(S229)+N(S232))-N(S138)+N(S265))&lt;&gt;0,((N(S206)+N(S207)+N(S208)+N(S211)+N(S229)+N(S232))-N(S138))/((N(S206)+N(S207)+N(S208)+N(S211)+N(S229)+N(S232))-N(S138)+S265),""),"")</f>
        <v>0.232423723056127</v>
      </c>
      <c r="T323" s="258">
        <f>IFERROR(IF(((N(T206)+N(T207)+N(T208)+N(T211)+N(T229)+N(T232))-N(T138)+N(T265))&lt;&gt;0,((N(T206)+N(T207)+N(T208)+N(T211)+N(T229)+N(T232))-N(T138))/((N(T206)+N(T207)+N(T208)+N(T211)+N(T229)+N(T232))-N(T138)+T265),""),"")</f>
        <v>0.205138291127475</v>
      </c>
      <c r="U323" s="258">
        <f>IFERROR(IF(((N(U206)+N(U207)+N(U208)+N(U211)+N(U229)+N(U232))-N(U138)+N(U265))&lt;&gt;0,((N(U206)+N(U207)+N(U208)+N(U211)+N(U229)+N(U232))-N(U138))/((N(U206)+N(U207)+N(U208)+N(U211)+N(U229)+N(U232))-N(U138)+U265),""),"")</f>
        <v>0.2253958744802</v>
      </c>
      <c r="V323" s="258">
        <f>IFERROR(IF(((N(V206)+N(V207)+N(V208)+N(V211)+N(V229)+N(V232))-N(V138)+N(V265))&lt;&gt;0,((N(V206)+N(V207)+N(V208)+N(V211)+N(V229)+N(V232))-N(V138))/((N(V206)+N(V207)+N(V208)+N(V211)+N(V229)+N(V232))-N(V138)+V265),""),"")</f>
        <v>0.264537312839952</v>
      </c>
      <c r="W323" s="258">
        <f>IFERROR(IF(((N(W206)+N(W207)+N(W208)+N(W211)+N(W229)+N(W232))-N(W138)+N(W265))&lt;&gt;0,((N(W206)+N(W207)+N(W208)+N(W211)+N(W229)+N(W232))-N(W138))/((N(W206)+N(W207)+N(W208)+N(W211)+N(W229)+N(W232))-N(W138)+W265),""),"")</f>
        <v>0.264537312839952</v>
      </c>
      <c r="X323" s="258">
        <f>IFERROR(IF(((N(X206)+N(X207)+N(X208)+N(X211)+N(X229)+N(X232))-N(X138)+N(X265))&lt;&gt;0,((N(X206)+N(X207)+N(X208)+N(X211)+N(X229)+N(X232))-N(X138))/((N(X206)+N(X207)+N(X208)+N(X211)+N(X229)+N(X232))-N(X138)+X265),""),"")</f>
        <v>0.245988224372517</v>
      </c>
      <c r="Y323" s="258">
        <f>IFERROR(IF(((N(Y206)+N(Y207)+N(Y208)+N(Y211)+N(Y229)+N(Y232))-N(Y138)+N(Y265))&lt;&gt;0,((N(Y206)+N(Y207)+N(Y208)+N(Y211)+N(Y229)+N(Y232))-N(Y138))/((N(Y206)+N(Y207)+N(Y208)+N(Y211)+N(Y229)+N(Y232))-N(Y138)+Y265),""),"")</f>
        <v>0.248809026619224</v>
      </c>
      <c r="Z323" s="258">
        <f>IFERROR(IF(((N(Z206)+N(Z207)+N(Z208)+N(Z211)+N(Z229)+N(Z232))-N(Z138)+N(Z265))&lt;&gt;0,((N(Z206)+N(Z207)+N(Z208)+N(Z211)+N(Z229)+N(Z232))-N(Z138))/((N(Z206)+N(Z207)+N(Z208)+N(Z211)+N(Z229)+N(Z232))-N(Z138)+Z265),""),"")</f>
        <v>0.229234330514171</v>
      </c>
      <c r="AA323" s="258">
        <f>IFERROR(IF(((N(AA206)+N(AA207)+N(AA208)+N(AA211)+N(AA229)+N(AA232))-N(AA138)+N(AA265))&lt;&gt;0,((N(AA206)+N(AA207)+N(AA208)+N(AA211)+N(AA229)+N(AA232))-N(AA138))/((N(AA206)+N(AA207)+N(AA208)+N(AA211)+N(AA229)+N(AA232))-N(AA138)+AA265),""),"")</f>
        <v>0.195138301756336</v>
      </c>
      <c r="AB323" s="258">
        <f>IFERROR(IF(((N(AB206)+N(AB207)+N(AB208)+N(AB211)+N(AB229)+N(AB232))-N(AB138)+N(AB265))&lt;&gt;0,((N(AB206)+N(AB207)+N(AB208)+N(AB211)+N(AB229)+N(AB232))-N(AB138))/((N(AB206)+N(AB207)+N(AB208)+N(AB211)+N(AB229)+N(AB232))-N(AB138)+AB265),""),"")</f>
        <v>0.195138301756336</v>
      </c>
      <c r="AC323" s="258">
        <f>IFERROR(IF(((N(AC206)+N(AC207)+N(AC208)+N(AC211)+N(AC229)+N(AC232))-N(AC138)+N(AC265))&lt;&gt;0,((N(AC206)+N(AC207)+N(AC208)+N(AC211)+N(AC229)+N(AC232))-N(AC138))/((N(AC206)+N(AC207)+N(AC208)+N(AC211)+N(AC229)+N(AC232))-N(AC138)+AC265),""),"")</f>
        <v>0.216663225641807</v>
      </c>
      <c r="AD323" s="258">
        <f>IFERROR(IF(((N(AD206)+N(AD207)+N(AD208)+N(AD211)+N(AD229)+N(AD232))-N(AD138)+N(AD265))&lt;&gt;0,((N(AD206)+N(AD207)+N(AD208)+N(AD211)+N(AD229)+N(AD232))-N(AD138))/((N(AD206)+N(AD207)+N(AD208)+N(AD211)+N(AD229)+N(AD232))-N(AD138)+AD265),""),"")</f>
        <v>0.195478546625725</v>
      </c>
      <c r="AE323" s="258">
        <f>IFERROR(IF(((N(AE206)+N(AE207)+N(AE208)+N(AE211)+N(AE229)+N(AE232))-N(AE138)+N(AE265))&lt;&gt;0,((N(AE206)+N(AE207)+N(AE208)+N(AE211)+N(AE229)+N(AE232))-N(AE138))/((N(AE206)+N(AE207)+N(AE208)+N(AE211)+N(AE229)+N(AE232))-N(AE138)+AE265),""),"")</f>
        <v>0.165268185616652</v>
      </c>
      <c r="AF323" s="258">
        <f>IFERROR(IF(((N(AF206)+N(AF207)+N(AF208)+N(AF211)+N(AF229)+N(AF232))-N(AF138)+N(AF265))&lt;&gt;0,((N(AF206)+N(AF207)+N(AF208)+N(AF211)+N(AF229)+N(AF232))-N(AF138))/((N(AF206)+N(AF207)+N(AF208)+N(AF211)+N(AF229)+N(AF232))-N(AF138)+AF265),""),"")</f>
        <v>0.168680750369386</v>
      </c>
      <c r="AG323" s="258">
        <f>IFERROR(IF(((N(AG206)+N(AG207)+N(AG208)+N(AG211)+N(AG229)+N(AG232))-N(AG138)+N(AG265))&lt;&gt;0,((N(AG206)+N(AG207)+N(AG208)+N(AG211)+N(AG229)+N(AG232))-N(AG138))/((N(AG206)+N(AG207)+N(AG208)+N(AG211)+N(AG229)+N(AG232))-N(AG138)+AG265),""),"")</f>
        <v>0.168680750369386</v>
      </c>
      <c r="AH323" s="258">
        <f>IFERROR(IF(((N(AH206)+N(AH207)+N(AH208)+N(AH211)+N(AH229)+N(AH232))-N(AH138)+N(AH265))&lt;&gt;0,((N(AH206)+N(AH207)+N(AH208)+N(AH211)+N(AH229)+N(AH232))-N(AH138))/((N(AH206)+N(AH207)+N(AH208)+N(AH211)+N(AH229)+N(AH232))-N(AH138)+AH265),""),"")</f>
        <v>0.0624145122372375</v>
      </c>
      <c r="AI323" s="258">
        <f>IFERROR(IF(((N(AI206)+N(AI207)+N(AI208)+N(AI211)+N(AI229)+N(AI232))-N(AI138)+N(AI265))&lt;&gt;0,((N(AI206)+N(AI207)+N(AI208)+N(AI211)+N(AI229)+N(AI232))-N(AI138))/((N(AI206)+N(AI207)+N(AI208)+N(AI211)+N(AI229)+N(AI232))-N(AI138)+AI265),""),"")</f>
        <v>0.146642807121456</v>
      </c>
      <c r="AJ323" s="258">
        <f>IFERROR(IF(((N(AJ206)+N(AJ207)+N(AJ208)+N(AJ211)+N(AJ229)+N(AJ232))-N(AJ138)+N(AJ265))&lt;&gt;0,((N(AJ206)+N(AJ207)+N(AJ208)+N(AJ211)+N(AJ229)+N(AJ232))-N(AJ138))/((N(AJ206)+N(AJ207)+N(AJ208)+N(AJ211)+N(AJ229)+N(AJ232))-N(AJ138)+AJ265),""),"")</f>
        <v>0.0236641274303016</v>
      </c>
      <c r="AK323" s="258">
        <f>IFERROR(IF(((N(AK206)+N(AK207)+N(AK208)+N(AK211)+N(AK229)+N(AK232))-N(AK138)+N(AK265))&lt;&gt;0,((N(AK206)+N(AK207)+N(AK208)+N(AK211)+N(AK229)+N(AK232))-N(AK138))/((N(AK206)+N(AK207)+N(AK208)+N(AK211)+N(AK229)+N(AK232))-N(AK138)+AK265),""),"")</f>
        <v>-0.109237648751284</v>
      </c>
      <c r="AL323" s="258">
        <f>IFERROR(IF(((N(AL206)+N(AL207)+N(AL208)+N(AL211)+N(AL229)+N(AL232))-N(AL138)+N(AL265))&lt;&gt;0,((N(AL206)+N(AL207)+N(AL208)+N(AL211)+N(AL229)+N(AL232))-N(AL138))/((N(AL206)+N(AL207)+N(AL208)+N(AL211)+N(AL229)+N(AL232))-N(AL138)+AL265),""),"")</f>
        <v>-0.109237648751284</v>
      </c>
      <c r="AM323" s="258">
        <f>IFERROR(IF(((N(AM206)+N(AM207)+N(AM208)+N(AM211)+N(AM229)+N(AM232))-N(AM138)+N(AM265))&lt;&gt;0,((N(AM206)+N(AM207)+N(AM208)+N(AM211)+N(AM229)+N(AM232))-N(AM138))/((N(AM206)+N(AM207)+N(AM208)+N(AM211)+N(AM229)+N(AM232))-N(AM138)+AM265),""),"")</f>
        <v>-0.25056365026287</v>
      </c>
      <c r="AN323" s="258">
        <f>IFERROR(IF(((N(AN206)+N(AN207)+N(AN208)+N(AN211)+N(AN229)+N(AN232))-N(AN138)+N(AN265))&lt;&gt;0,((N(AN206)+N(AN207)+N(AN208)+N(AN211)+N(AN229)+N(AN232))-N(AN138))/((N(AN206)+N(AN207)+N(AN208)+N(AN211)+N(AN229)+N(AN232))-N(AN138)+AN265),""),"")</f>
        <v>-0.402660235344666</v>
      </c>
      <c r="AO323" s="258">
        <f>IFERROR(IF(((N(AO206)+N(AO207)+N(AO208)+N(AO211)+N(AO229)+N(AO232))-N(AO138)+N(AO265))&lt;&gt;0,((N(AO206)+N(AO207)+N(AO208)+N(AO211)+N(AO229)+N(AO232))-N(AO138))/((N(AO206)+N(AO207)+N(AO208)+N(AO211)+N(AO229)+N(AO232))-N(AO138)+AO265),""),"")</f>
        <v>-0.574645350607031</v>
      </c>
      <c r="AP323" s="258">
        <f>IFERROR(IF(((N(AP206)+N(AP207)+N(AP208)+N(AP211)+N(AP229)+N(AP232))-N(AP138)+N(AP265))&lt;&gt;0,((N(AP206)+N(AP207)+N(AP208)+N(AP211)+N(AP229)+N(AP232))-N(AP138))/((N(AP206)+N(AP207)+N(AP208)+N(AP211)+N(AP229)+N(AP232))-N(AP138)+AP265),""),"")</f>
        <v>-0.768485767009358</v>
      </c>
      <c r="AQ323" s="258">
        <f>IFERROR(IF(((N(AQ206)+N(AQ207)+N(AQ208)+N(AQ211)+N(AQ229)+N(AQ232))-N(AQ138)+N(AQ265))&lt;&gt;0,((N(AQ206)+N(AQ207)+N(AQ208)+N(AQ211)+N(AQ229)+N(AQ232))-N(AQ138))/((N(AQ206)+N(AQ207)+N(AQ208)+N(AQ211)+N(AQ229)+N(AQ232))-N(AQ138)+AQ265),""),"")</f>
        <v>-0.768485767009358</v>
      </c>
      <c r="AR323" s="258">
        <f>IFERROR(IF(((N(AR206)+N(AR207)+N(AR208)+N(AR211)+N(AR229)+N(AR232))-N(AR138)+N(AR265))&lt;&gt;0,((N(AR206)+N(AR207)+N(AR208)+N(AR211)+N(AR229)+N(AR232))-N(AR138))/((N(AR206)+N(AR207)+N(AR208)+N(AR211)+N(AR229)+N(AR232))-N(AR138)+AR265),""),"")</f>
        <v>-0.981058688927699</v>
      </c>
      <c r="AS323" s="258">
        <f>IFERROR(IF(((N(AS206)+N(AS207)+N(AS208)+N(AS211)+N(AS229)+N(AS232))-N(AS138)+N(AS265))&lt;&gt;0,((N(AS206)+N(AS207)+N(AS208)+N(AS211)+N(AS229)+N(AS232))-N(AS138))/((N(AS206)+N(AS207)+N(AS208)+N(AS211)+N(AS229)+N(AS232))-N(AS138)+AS265),""),"")</f>
        <v>-1.22382245622274</v>
      </c>
      <c r="AT323" s="258">
        <f>IFERROR(IF(((N(AT206)+N(AT207)+N(AT208)+N(AT211)+N(AT229)+N(AT232))-N(AT138)+N(AT265))&lt;&gt;0,((N(AT206)+N(AT207)+N(AT208)+N(AT211)+N(AT229)+N(AT232))-N(AT138))/((N(AT206)+N(AT207)+N(AT208)+N(AT211)+N(AT229)+N(AT232))-N(AT138)+AT265),""),"")</f>
        <v>-1.51403028305769</v>
      </c>
      <c r="AU323" s="258">
        <f>IFERROR(IF(((N(AU206)+N(AU207)+N(AU208)+N(AU211)+N(AU229)+N(AU232))-N(AU138)+N(AU265))&lt;&gt;0,((N(AU206)+N(AU207)+N(AU208)+N(AU211)+N(AU229)+N(AU232))-N(AU138))/((N(AU206)+N(AU207)+N(AU208)+N(AU211)+N(AU229)+N(AU232))-N(AU138)+AU265),""),"")</f>
        <v>-1.86489324966603</v>
      </c>
      <c r="AV323" s="258">
        <f>IFERROR(IF(((N(AV206)+N(AV207)+N(AV208)+N(AV211)+N(AV229)+N(AV232))-N(AV138)+N(AV265))&lt;&gt;0,((N(AV206)+N(AV207)+N(AV208)+N(AV211)+N(AV229)+N(AV232))-N(AV138))/((N(AV206)+N(AV207)+N(AV208)+N(AV211)+N(AV229)+N(AV232))-N(AV138)+AV265),""),"")</f>
        <v>-1.86489324966603</v>
      </c>
      <c r="AW323" s="258">
        <f>IFERROR(IF(((N(AW206)+N(AW207)+N(AW208)+N(AW211)+N(AW229)+N(AW232))-N(AW138)+N(AW265))&lt;&gt;0,((N(AW206)+N(AW207)+N(AW208)+N(AW211)+N(AW229)+N(AW232))-N(AW138))/((N(AW206)+N(AW207)+N(AW208)+N(AW211)+N(AW229)+N(AW232))-N(AW138)+AW265),""),"")</f>
        <v>-2.28263913017456</v>
      </c>
      <c r="AX323" s="258">
        <f>IFERROR(IF(((N(AX206)+N(AX207)+N(AX208)+N(AX211)+N(AX229)+N(AX232))-N(AX138)+N(AX265))&lt;&gt;0,((N(AX206)+N(AX207)+N(AX208)+N(AX211)+N(AX229)+N(AX232))-N(AX138))/((N(AX206)+N(AX207)+N(AX208)+N(AX211)+N(AX229)+N(AX232))-N(AX138)+AX265),""),"")</f>
        <v>-2.80866849687316</v>
      </c>
      <c r="AY323" s="258">
        <f>IFERROR(IF(((N(AY206)+N(AY207)+N(AY208)+N(AY211)+N(AY229)+N(AY232))-N(AY138)+N(AY265))&lt;&gt;0,((N(AY206)+N(AY207)+N(AY208)+N(AY211)+N(AY229)+N(AY232))-N(AY138))/((N(AY206)+N(AY207)+N(AY208)+N(AY211)+N(AY229)+N(AY232))-N(AY138)+AY265),""),"")</f>
        <v>-3.52161026649725</v>
      </c>
      <c r="AZ323" s="258">
        <f>IFERROR(IF(((N(AZ206)+N(AZ207)+N(AZ208)+N(AZ211)+N(AZ229)+N(AZ232))-N(AZ138)+N(AZ265))&lt;&gt;0,((N(AZ206)+N(AZ207)+N(AZ208)+N(AZ211)+N(AZ229)+N(AZ232))-N(AZ138))/((N(AZ206)+N(AZ207)+N(AZ208)+N(AZ211)+N(AZ229)+N(AZ232))-N(AZ138)+AZ265),""),"")</f>
        <v>-4.53347189666619</v>
      </c>
      <c r="BA323" s="258">
        <f>IFERROR(IF(((N(BA206)+N(BA207)+N(BA208)+N(BA211)+N(BA229)+N(BA232))-N(BA138)+N(BA265))&lt;&gt;0,((N(BA206)+N(BA207)+N(BA208)+N(BA211)+N(BA229)+N(BA232))-N(BA138))/((N(BA206)+N(BA207)+N(BA208)+N(BA211)+N(BA229)+N(BA232))-N(BA138)+BA265),""),"")</f>
        <v>-4.53347189666619</v>
      </c>
      <c r="BB323" s="258">
        <f>IFERROR(IF(((N(BB206)+N(BB207)+N(BB208)+N(BB211)+N(BB229)+N(BB232))-N(BB138)+N(BB265))&lt;&gt;0,((N(BB206)+N(BB207)+N(BB208)+N(BB211)+N(BB229)+N(BB232))-N(BB138))/((N(BB206)+N(BB207)+N(BB208)+N(BB211)+N(BB229)+N(BB232))-N(BB138)+BB265),""),"")</f>
        <v>-6.01820473914635</v>
      </c>
      <c r="BC323" s="258">
        <f>IFERROR(IF(((N(BC206)+N(BC207)+N(BC208)+N(BC211)+N(BC229)+N(BC232))-N(BC138)+N(BC265))&lt;&gt;0,((N(BC206)+N(BC207)+N(BC208)+N(BC211)+N(BC229)+N(BC232))-N(BC138))/((N(BC206)+N(BC207)+N(BC208)+N(BC211)+N(BC229)+N(BC232))-N(BC138)+BC265),""),"")</f>
        <v>-8.55153778905108</v>
      </c>
      <c r="BD323" s="258">
        <f>IFERROR(IF(((N(BD206)+N(BD207)+N(BD208)+N(BD211)+N(BD229)+N(BD232))-N(BD138)+N(BD265))&lt;&gt;0,((N(BD206)+N(BD207)+N(BD208)+N(BD211)+N(BD229)+N(BD232))-N(BD138))/((N(BD206)+N(BD207)+N(BD208)+N(BD211)+N(BD229)+N(BD232))-N(BD138)+BD265),""),"")</f>
        <v>-14.0736497123822</v>
      </c>
      <c r="BE323" s="258">
        <f>IFERROR(IF(((N(BE206)+N(BE207)+N(BE208)+N(BE211)+N(BE229)+N(BE232))-N(BE138)+N(BE265))&lt;&gt;0,((N(BE206)+N(BE207)+N(BE208)+N(BE211)+N(BE229)+N(BE232))-N(BE138))/((N(BE206)+N(BE207)+N(BE208)+N(BE211)+N(BE229)+N(BE232))-N(BE138)+BE265),""),"")</f>
        <v>-35.1753494507661</v>
      </c>
      <c r="BF323" s="258">
        <f>IFERROR(IF(((N(BF206)+N(BF207)+N(BF208)+N(BF211)+N(BF229)+N(BF232))-N(BF138)+N(BF265))&lt;&gt;0,((N(BF206)+N(BF207)+N(BF208)+N(BF211)+N(BF229)+N(BF232))-N(BF138))/((N(BF206)+N(BF207)+N(BF208)+N(BF211)+N(BF229)+N(BF232))-N(BF138)+BF265),""),"")</f>
        <v>-35.1753494507661</v>
      </c>
    </row>
    <row r="324" customFormat="1" s="77">
      <c r="A324" s="76" t="n"/>
      <c r="B324" s="76" t="n"/>
    </row>
    <row r="325" customFormat="1" s="77">
      <c r="A325" s="76" t="n"/>
      <c r="B325" s="76" t="n"/>
      <c r="C325" s="74" t="inlineStr">
        <is>
          <t>FINANCIAL RISK RATIOS</t>
        </is>
      </c>
    </row>
    <row r="326" customFormat="1" s="77">
      <c r="A326" s="76" t="n"/>
      <c r="B326" s="76" t="n"/>
      <c r="C326" s="77" t="inlineStr">
        <is>
          <t>EBITDA / TOTAL INTEREST (LTM)</t>
        </is>
      </c>
      <c r="D326" s="82" t="str">
        <f>IFERROR(D63/-D68,"")</f>
        <v/>
      </c>
      <c r="E326" s="82" t="str">
        <f>IFERROR(E63/-E68,"")</f>
        <v/>
      </c>
      <c r="F326" s="82" t="str">
        <f>IFERROR(F63/-F68,"")</f>
        <v/>
      </c>
      <c r="G326" s="82" t="str">
        <f>IFERROR(G63/-G68,"")</f>
        <v/>
      </c>
      <c r="H326" s="262" t="str">
        <f>IFERROR(IF(AND(COUNT(H63)=1,(H68)&lt;&gt;0),(H63)/-(H68),""),"")</f>
        <v/>
      </c>
      <c r="I326" s="262" t="str">
        <f>""</f>
        <v/>
      </c>
      <c r="J326" s="262" t="str">
        <f>""</f>
        <v/>
      </c>
      <c r="K326" s="262" t="str">
        <f>""</f>
        <v/>
      </c>
      <c r="L326" s="262">
        <f>IFERROR(IF(AND(COUNT(I63,J63,K63,L63)=4,(I68+J68+K68+L68)&lt;&gt;0),(I63+J63+K63+L63)/-(I68+J68+K68+L68),""),"")</f>
        <v>8.36305347300227</v>
      </c>
      <c r="M326" s="262">
        <f>IFERROR(IF(AND(COUNT(I63,J63,K63,L63)=4,(I68+J68+K68+L68)&lt;&gt;0),(I63+J63+K63+L63)/-(I68+J68+K68+L68),""),"")</f>
        <v>8.36305347300227</v>
      </c>
      <c r="N326" s="262">
        <f>IFERROR(IF(AND(COUNT(J63,K63,L63,N63)=4,(J68+K68+L68+N68)&lt;&gt;0),(J63+K63+L63+N63)/-(J68+K68+L68+N68),""),"")</f>
        <v>8.50540421925803</v>
      </c>
      <c r="O326" s="262">
        <f>IFERROR(IF(AND(COUNT(K63,L63,N63,O63)=4,(K68+L68+N68+O68)&lt;&gt;0),(K63+L63+N63+O63)/-(K68+L68+N68+O68),""),"")</f>
        <v>8.38517038815871</v>
      </c>
      <c r="P326" s="262">
        <f>IFERROR(IF(AND(COUNT(L63,N63,O63,P63)=4,(L68+N68+O68+P68)&lt;&gt;0),(L63+N63+O63+P63)/-(L68+N68+O68+P68),""),"")</f>
        <v>8.30573845784635</v>
      </c>
      <c r="Q326" s="262">
        <f>IFERROR(IF(AND(COUNT(N63,O63,P63,Q63)=4,(N68+O68+P68+Q68)&lt;&gt;0),(N63+O63+P63+Q63)/-(N68+O68+P68+Q68),""),"")</f>
        <v>8.45286259650077</v>
      </c>
      <c r="R326" s="262">
        <f>IFERROR(IF(AND(COUNT(N63,O63,P63,Q63)=4,(N68+O68+P68+Q68)&lt;&gt;0),(N63+O63+P63+Q63)/-(N68+O68+P68+Q68),""),"")</f>
        <v>8.45286259650077</v>
      </c>
      <c r="S326" s="262">
        <f>IFERROR(IF(AND(COUNT(O63,P63,Q63,S63)=4,(O68+P68+Q68+S68)&lt;&gt;0),(O63+P63+Q63+S63)/-(O68+P68+Q68+S68),""),"")</f>
        <v>8.26694829636643</v>
      </c>
      <c r="T326" s="262">
        <f>IFERROR(IF(AND(COUNT(P63,Q63,S63,T63)=4,(P68+Q68+S68+T68)&lt;&gt;0),(P63+Q63+S63+T63)/-(P68+Q68+S68+T68),""),"")</f>
        <v>8.64268471849634</v>
      </c>
      <c r="U326" s="262">
        <f>IFERROR(IF(AND(COUNT(Q63,S63,T63,U63)=4,(Q68+S68+T68+U68)&lt;&gt;0),(Q63+S63+T63+U63)/-(Q68+S68+T68+U68),""),"")</f>
        <v>9.16485787890687</v>
      </c>
      <c r="V326" s="262">
        <f>IFERROR(IF(AND(COUNT(S63,T63,U63,V63)=4,(S68+T68+U68+V68)&lt;&gt;0),(S63+T63+U63+V63)/-(S68+T68+U68+V68),""),"")</f>
        <v>10.4468110644646</v>
      </c>
      <c r="W326" s="262">
        <f>IFERROR(IF(AND(COUNT(S63,T63,U63,V63)=4,(S68+T68+U68+V68)&lt;&gt;0),(S63+T63+U63+V63)/-(S68+T68+U68+V68),""),"")</f>
        <v>10.4468110644646</v>
      </c>
      <c r="X326" s="262">
        <f>IFERROR(IF(AND(COUNT(T63,U63,V63,X63)=4,(T68+U68+V68+X68)&lt;&gt;0),(T63+U63+V63+X63)/-(T68+U68+V68+X68),""),"")</f>
        <v>11.7700017599059</v>
      </c>
      <c r="Y326" s="262">
        <f>IFERROR(IF(AND(COUNT(U63,V63,X63,Y63)=4,(U68+V68+X68+Y68)&lt;&gt;0),(U63+V63+X63+Y63)/-(U68+V68+X68+Y68),""),"")</f>
        <v>12.9950684535636</v>
      </c>
      <c r="Z326" s="262">
        <f>IFERROR(IF(AND(COUNT(V63,X63,Y63,Z63)=4,(V68+X68+Y68+Z68)&lt;&gt;0),(V63+X63+Y63+Z63)/-(V68+X68+Y68+Z68),""),"")</f>
        <v>14.225440655201</v>
      </c>
      <c r="AA326" s="262">
        <f>IFERROR(IF(AND(COUNT(X63,Y63,Z63,AA63)=4,(X68+Y68+Z68+AA68)&lt;&gt;0),(X63+Y63+Z63+AA63)/-(X68+Y68+Z68+AA68),""),"")</f>
        <v>14.9520447787982</v>
      </c>
      <c r="AB326" s="262">
        <f>IFERROR(IF(AND(COUNT(X63,Y63,Z63,AA63)=4,(X68+Y68+Z68+AA68)&lt;&gt;0),(X63+Y63+Z63+AA63)/-(X68+Y68+Z68+AA68),""),"")</f>
        <v>14.9520447787982</v>
      </c>
      <c r="AC326" s="262">
        <f>IFERROR(IF(AND(COUNT(Y63,Z63,AA63,AC63)=4,(Y68+Z68+AA68+AC68)&lt;&gt;0),(Y63+Z63+AA63+AC63)/-(Y68+Z68+AA68+AC68),""),"")</f>
        <v>15.6989683260895</v>
      </c>
      <c r="AD326" s="262">
        <f>IFERROR(IF(AND(COUNT(Z63,AA63,AC63,AD63)=4,(Z68+AA68+AC68+AD68)&lt;&gt;0),(Z63+AA63+AC63+AD63)/-(Z68+AA68+AC68+AD68),""),"")</f>
        <v>16.9625813230429</v>
      </c>
      <c r="AE326" s="262">
        <f>IFERROR(IF(AND(COUNT(AA63,AC63,AD63,AE63)=4,(AA68+AC68+AD68+AE68)&lt;&gt;0),(AA63+AC63+AD63+AE63)/-(AA68+AC68+AD68+AE68),""),"")</f>
        <v>17.6525564910619</v>
      </c>
      <c r="AF326" s="262">
        <f>IFERROR(IF(AND(COUNT(AB63,AD63,AE63,AF63)=4,(AB68+AD68+AE68+AF68)&lt;&gt;0),(AB63+AD63+AE63+AF63)/-(AB68+AD68+AE68+AF68),""),"")</f>
        <v>16.0017680201911</v>
      </c>
      <c r="AG326" s="262">
        <f>IFERROR(IF(AND(COUNT(AC63,AD63,AE63,AF63)=4,(AC68+AD68+AE68+AF68)&lt;&gt;0),(AC63+AD63+AE63+AF63)/-(AC68+AD68+AE68+AF68),""),"")</f>
        <v>17.5915210364322</v>
      </c>
      <c r="AH326" s="262">
        <f>IFERROR(IF(AND(COUNT(AD63,AF63,AG63,AH63)=4,(AD68+AF68+AG68+AH68)&lt;&gt;0),(AD63+AF63+AG63+AH63)/-(AD68+AF68+AG68+AH68),""),"")</f>
        <v>16.9087612176438</v>
      </c>
      <c r="AI326" s="262">
        <f>IFERROR(IF(AND(COUNT(AE63,AG63,AH63,AI63)=4,(AE68+AG68+AH68+AI68)&lt;&gt;0),(AE63+AG63+AH63+AI63)/-(AE68+AG68+AH68+AI68),""),"")</f>
        <v>18.2389875687805</v>
      </c>
      <c r="AJ326" s="262" t="str">
        <f>IFERROR(IF(AND(COUNT(AF63,AH63,AI63,AJ63)=4,(AF68+AH68+AI68+AJ68)&lt;&gt;0),(AF63+AH63+AI63+AJ63)/-(AF68+AH68+AI68+AJ68),""),"")</f>
        <v/>
      </c>
      <c r="AK326" s="262" t="str">
        <f>IFERROR(IF(AND(COUNT(AH63,AI63,AJ63,AK63)=4,(AH68+AI68+AJ68+AK68)&lt;&gt;0),(AH63+AI63+AJ63+AK63)/-(AH68+AI68+AJ68+AK68),""),"")</f>
        <v/>
      </c>
      <c r="AL326" s="262" t="str">
        <f>IFERROR(IF(AND(COUNT(AH63,AI63,AJ63,AK63)=4,(AH68+AI68+AJ68+AK68)&lt;&gt;0),(AH63+AI63+AJ63+AK63)/-(AH68+AI68+AJ68+AK68),""),"")</f>
        <v/>
      </c>
      <c r="AM326" s="262" t="str">
        <f>IFERROR(IF(AND(COUNT(AI63,AJ63,AK63,AM63)=4,(AI68+AJ68+AK68+AM68)&lt;&gt;0),(AI63+AJ63+AK63+AM63)/-(AI68+AJ68+AK68+AM68),""),"")</f>
        <v/>
      </c>
      <c r="AN326" s="262" t="str">
        <f>IFERROR(IF(AND(COUNT(AJ63,AK63,AM63,AN63)=4,(AJ68+AK68+AM68+AN68)&lt;&gt;0),(AJ63+AK63+AM63+AN63)/-(AJ68+AK68+AM68+AN68),""),"")</f>
        <v/>
      </c>
      <c r="AO326" s="262" t="str">
        <f>IFERROR(IF(AND(COUNT(AK63,AM63,AN63,AO63)=4,(AK68+AM68+AN68+AO68)&lt;&gt;0),(AK63+AM63+AN63+AO63)/-(AK68+AM68+AN68+AO68),""),"")</f>
        <v/>
      </c>
      <c r="AP326" s="262" t="str">
        <f>IFERROR(IF(AND(COUNT(AM63,AN63,AO63,AP63)=4,(AM68+AN68+AO68+AP68)&lt;&gt;0),(AM63+AN63+AO63+AP63)/-(AM68+AN68+AO68+AP68),""),"")</f>
        <v/>
      </c>
      <c r="AQ326" s="262" t="str">
        <f>IFERROR(IF(AND(COUNT(AM63,AN63,AO63,AP63)=4,(AM68+AN68+AO68+AP68)&lt;&gt;0),(AM63+AN63+AO63+AP63)/-(AM68+AN68+AO68+AP68),""),"")</f>
        <v/>
      </c>
      <c r="AR326" s="262" t="str">
        <f>IFERROR(IF(AND(COUNT(AN63,AO63,AP63,AR63)=4,(AN68+AO68+AP68+AR68)&lt;&gt;0),(AN63+AO63+AP63+AR63)/-(AN68+AO68+AP68+AR68),""),"")</f>
        <v/>
      </c>
      <c r="AS326" s="262" t="str">
        <f>IFERROR(IF(AND(COUNT(AO63,AP63,AR63,AS63)=4,(AO68+AP68+AR68+AS68)&lt;&gt;0),(AO63+AP63+AR63+AS63)/-(AO68+AP68+AR68+AS68),""),"")</f>
        <v/>
      </c>
      <c r="AT326" s="262" t="str">
        <f>IFERROR(IF(AND(COUNT(AP63,AR63,AS63,AT63)=4,(AP68+AR68+AS68+AT68)&lt;&gt;0),(AP63+AR63+AS63+AT63)/-(AP68+AR68+AS68+AT68),""),"")</f>
        <v/>
      </c>
      <c r="AU326" s="262" t="str">
        <f>IFERROR(IF(AND(COUNT(AR63,AS63,AT63,AU63)=4,(AR68+AS68+AT68+AU68)&lt;&gt;0),(AR63+AS63+AT63+AU63)/-(AR68+AS68+AT68+AU68),""),"")</f>
        <v/>
      </c>
      <c r="AV326" s="262" t="str">
        <f>IFERROR(IF(AND(COUNT(AR63,AS63,AT63,AU63)=4,(AR68+AS68+AT68+AU68)&lt;&gt;0),(AR63+AS63+AT63+AU63)/-(AR68+AS68+AT68+AU68),""),"")</f>
        <v/>
      </c>
      <c r="AW326" s="262" t="str">
        <f>IFERROR(IF(AND(COUNT(AS63,AT63,AU63,AW63)=4,(AS68+AT68+AU68+AW68)&lt;&gt;0),(AS63+AT63+AU63+AW63)/-(AS68+AT68+AU68+AW68),""),"")</f>
        <v/>
      </c>
      <c r="AX326" s="262" t="str">
        <f>IFERROR(IF(AND(COUNT(AT63,AU63,AW63,AX63)=4,(AT68+AU68+AW68+AX68)&lt;&gt;0),(AT63+AU63+AW63+AX63)/-(AT68+AU68+AW68+AX68),""),"")</f>
        <v/>
      </c>
      <c r="AY326" s="262" t="str">
        <f>IFERROR(IF(AND(COUNT(AU63,AW63,AX63,AY63)=4,(AU68+AW68+AX68+AY68)&lt;&gt;0),(AU63+AW63+AX63+AY63)/-(AU68+AW68+AX68+AY68),""),"")</f>
        <v/>
      </c>
      <c r="AZ326" s="262" t="str">
        <f>IFERROR(IF(AND(COUNT(AW63,AX63,AY63,AZ63)=4,(AW68+AX68+AY68+AZ68)&lt;&gt;0),(AW63+AX63+AY63+AZ63)/-(AW68+AX68+AY68+AZ68),""),"")</f>
        <v/>
      </c>
      <c r="BA326" s="262" t="str">
        <f>IFERROR(IF(AND(COUNT(AW63,AX63,AY63,AZ63)=4,(AW68+AX68+AY68+AZ68)&lt;&gt;0),(AW63+AX63+AY63+AZ63)/-(AW68+AX68+AY68+AZ68),""),"")</f>
        <v/>
      </c>
      <c r="BB326" s="262" t="str">
        <f>IFERROR(IF(AND(COUNT(AX63,AY63,AZ63,BB63)=4,(AX68+AY68+AZ68+BB68)&lt;&gt;0),(AX63+AY63+AZ63+BB63)/-(AX68+AY68+AZ68+BB68),""),"")</f>
        <v/>
      </c>
      <c r="BC326" s="262" t="str">
        <f>IFERROR(IF(AND(COUNT(AY63,AZ63,BB63,BC63)=4,(AY68+AZ68+BB68+BC68)&lt;&gt;0),(AY63+AZ63+BB63+BC63)/-(AY68+AZ68+BB68+BC68),""),"")</f>
        <v/>
      </c>
      <c r="BD326" s="262" t="str">
        <f>IFERROR(IF(AND(COUNT(AZ63,BB63,BC63,BD63)=4,(AZ68+BB68+BC68+BD68)&lt;&gt;0),(AZ63+BB63+BC63+BD63)/-(AZ68+BB68+BC68+BD68),""),"")</f>
        <v/>
      </c>
      <c r="BE326" s="262" t="str">
        <f>IFERROR(IF(AND(COUNT(BB63,BC63,BD63,BE63)=4,(BB68+BC68+BD68+BE68)&lt;&gt;0),(BB63+BC63+BD63+BE63)/-(BB68+BC68+BD68+BE68),""),"")</f>
        <v/>
      </c>
      <c r="BF326" s="262" t="str">
        <f>IFERROR(IF(AND(COUNT(BB63,BC63,BD63,BE63)=4,(BB68+BC68+BD68+BE68)&lt;&gt;0),(BB63+BC63+BD63+BE63)/-(BB68+BC68+BD68+BE68),""),"")</f>
        <v/>
      </c>
      <c r="BG326" s="82" t="n"/>
      <c r="BH326" s="82" t="n"/>
      <c r="BI326" s="82" t="n"/>
      <c r="BJ326" s="82" t="n"/>
      <c r="BL326" s="82" t="n"/>
      <c r="BM326" s="82" t="n"/>
      <c r="BN326" s="82" t="n"/>
      <c r="BO326" s="82" t="n"/>
      <c r="BQ326" s="82" t="n"/>
      <c r="BR326" s="82" t="n"/>
      <c r="BS326" s="82" t="n"/>
      <c r="BT326" s="82" t="n"/>
      <c r="BV326" s="82" t="n"/>
      <c r="BW326" s="82" t="n"/>
      <c r="BX326" s="82" t="n"/>
      <c r="BY326" s="82" t="n"/>
      <c r="CA326" s="82" t="n"/>
      <c r="CB326" s="82" t="n"/>
      <c r="CC326" s="82" t="n"/>
      <c r="CD326" s="82" t="n"/>
      <c r="CF326" s="82" t="n"/>
      <c r="CG326" s="82" t="n"/>
      <c r="CH326" s="82" t="n"/>
      <c r="CI326" s="82" t="n"/>
      <c r="CK326" s="82" t="n"/>
      <c r="CL326" s="82" t="n"/>
      <c r="CM326" s="82" t="n"/>
      <c r="CN326" s="82" t="n"/>
      <c r="CP326" s="82" t="n"/>
      <c r="CQ326" s="82" t="n"/>
      <c r="CR326" s="82" t="n"/>
      <c r="CS326" s="82" t="n"/>
      <c r="CU326" s="82" t="n"/>
      <c r="CV326" s="82" t="n"/>
      <c r="CW326" s="82" t="n"/>
      <c r="CX326" s="82" t="n"/>
    </row>
    <row r="327" customFormat="1" s="77">
      <c r="A327" s="76" t="n"/>
      <c r="B327" s="76" t="n"/>
      <c r="C327" s="77" t="inlineStr">
        <is>
          <t>(EBITDA - CAPEX) / TOTAL INTEREST (LTM)</t>
        </is>
      </c>
      <c r="D327" s="82" t="str">
        <f>IFERROR((D63-D162)/-D68,"")</f>
        <v/>
      </c>
      <c r="E327" s="82" t="str">
        <f>IFERROR((E63-E162)/-E68,"")</f>
        <v/>
      </c>
      <c r="F327" s="82" t="str">
        <f>IFERROR((F63-F162)/-F68,"")</f>
        <v/>
      </c>
      <c r="G327" s="82" t="str">
        <f>IFERROR((G63-G162)/-G68,"")</f>
        <v/>
      </c>
      <c r="H327" s="262" t="str">
        <f>IFERROR(IF(AND(COUNT(H63)=1,(H68)&lt;&gt;0),((H63)-(H162))/-(H68),""),"")</f>
        <v/>
      </c>
      <c r="I327" s="262" t="str">
        <f>""</f>
        <v/>
      </c>
      <c r="J327" s="262" t="str">
        <f>""</f>
        <v/>
      </c>
      <c r="K327" s="262" t="str">
        <f>""</f>
        <v/>
      </c>
      <c r="L327" s="262">
        <f>IFERROR(IF(AND(COUNT(I63,J63,K63,L63)=4,(I68+J68+K68+L68)&lt;&gt;0),((I63+J63+K63+L63)-(I162+J162+K162+L162))/-(I68+J68+K68+L68),""),"")</f>
        <v>7.73518978083122</v>
      </c>
      <c r="M327" s="262">
        <f>IFERROR(IF(AND(COUNT(I63,J63,K63,L63)=4,(I68+J68+K68+L68)&lt;&gt;0),((I63+J63+K63+L63)-(I162+J162+K162+L162))/-(I68+J68+K68+L68),""),"")</f>
        <v>7.73518978083122</v>
      </c>
      <c r="N327" s="262">
        <f>IFERROR(IF(AND(COUNT(J63,K63,L63,N63)=4,(J68+K68+L68+N68)&lt;&gt;0),((J63+K63+L63+N63)-(J162+K162+L162+N162))/-(J68+K68+L68+N68),""),"")</f>
        <v>7.69405700624309</v>
      </c>
      <c r="O327" s="262">
        <f>IFERROR(IF(AND(COUNT(K63,L63,N63,O63)=4,(K68+L68+N68+O68)&lt;&gt;0),((K63+L63+N63+O63)-(K162+L162+N162+O162))/-(K68+L68+N68+O68),""),"")</f>
        <v>7.64909165800682</v>
      </c>
      <c r="P327" s="262">
        <f>IFERROR(IF(AND(COUNT(L63,N63,O63,P63)=4,(L68+N68+O68+P68)&lt;&gt;0),((L63+N63+O63+P63)-(L162+N162+O162+P162))/-(L68+N68+O68+P68),""),"")</f>
        <v>7.67140067141308</v>
      </c>
      <c r="Q327" s="262">
        <f>IFERROR(IF(AND(COUNT(N63,O63,P63,Q63)=4,(N68+O68+P68+Q68)&lt;&gt;0),((N63+O63+P63+Q63)-(N162+O162+P162+Q162))/-(N68+O68+P68+Q68),""),"")</f>
        <v>7.87019620170714</v>
      </c>
      <c r="R327" s="262">
        <f>IFERROR(IF(AND(COUNT(N63,O63,P63,Q63)=4,(N68+O68+P68+Q68)&lt;&gt;0),((N63+O63+P63+Q63)-(N162+O162+P162+Q162))/-(N68+O68+P68+Q68),""),"")</f>
        <v>7.87019620170714</v>
      </c>
      <c r="S327" s="262">
        <f>IFERROR(IF(AND(COUNT(O63,P63,Q63,S63)=4,(O68+P68+Q68+S68)&lt;&gt;0),((O63+P63+Q63+S63)-(O162+P162+Q162+S162))/-(O68+P68+Q68+S68),""),"")</f>
        <v>7.71598650255747</v>
      </c>
      <c r="T327" s="262">
        <f>IFERROR(IF(AND(COUNT(P63,Q63,S63,T63)=4,(P68+Q68+S68+T68)&lt;&gt;0),((P63+Q63+S63+T63)-(P162+Q162+S162+T162))/-(P68+Q68+S68+T68),""),"")</f>
        <v>7.96611237032832</v>
      </c>
      <c r="U327" s="262">
        <f>IFERROR(IF(AND(COUNT(Q63,S63,T63,U63)=4,(Q68+S68+T68+U68)&lt;&gt;0),((Q63+S63+T63+U63)-(Q162+S162+T162+U162))/-(Q68+S68+T68+U68),""),"")</f>
        <v>8.46089925879258</v>
      </c>
      <c r="V327" s="262">
        <f>IFERROR(IF(AND(COUNT(S63,T63,U63,V63)=4,(S68+T68+U68+V68)&lt;&gt;0),((S63+T63+U63+V63)-(S162+T162+U162+V162))/-(S68+T68+U68+V68),""),"")</f>
        <v>9.80360260979158</v>
      </c>
      <c r="W327" s="262">
        <f>IFERROR(IF(AND(COUNT(S63,T63,U63,V63)=4,(S68+T68+U68+V68)&lt;&gt;0),((S63+T63+U63+V63)-(S162+T162+U162+V162))/-(S68+T68+U68+V68),""),"")</f>
        <v>9.80360260979158</v>
      </c>
      <c r="X327" s="262">
        <f>IFERROR(IF(AND(COUNT(T63,U63,V63,X63)=4,(T68+U68+V68+X68)&lt;&gt;0),((T63+U63+V63+X63)-(T162+U162+V162+X162))/-(T68+U68+V68+X68),""),"")</f>
        <v>11.1376947521895</v>
      </c>
      <c r="Y327" s="262">
        <f>IFERROR(IF(AND(COUNT(U63,V63,X63,Y63)=4,(U68+V68+X68+Y68)&lt;&gt;0),((U63+V63+X63+Y63)-(U162+V162+X162+Y162))/-(U68+V68+X68+Y68),""),"")</f>
        <v>12.4392356319763</v>
      </c>
      <c r="Z327" s="262">
        <f>IFERROR(IF(AND(COUNT(V63,X63,Y63,Z63)=4,(V68+X68+Y68+Z68)&lt;&gt;0),((V63+X63+Y63+Z63)-(V162+X162+Y162+Z162))/-(V68+X68+Y68+Z68),""),"")</f>
        <v>13.6468883939647</v>
      </c>
      <c r="AA327" s="262">
        <f>IFERROR(IF(AND(COUNT(X63,Y63,Z63,AA63)=4,(X68+Y68+Z68+AA68)&lt;&gt;0),((X63+Y63+Z63+AA63)-(X162+Y162+Z162+AA162))/-(X68+Y68+Z68+AA68),""),"")</f>
        <v>14.3520639792524</v>
      </c>
      <c r="AB327" s="262">
        <f>IFERROR(IF(AND(COUNT(X63,Y63,Z63,AA63)=4,(X68+Y68+Z68+AA68)&lt;&gt;0),((X63+Y63+Z63+AA63)-(X162+Y162+Z162+AA162))/-(X68+Y68+Z68+AA68),""),"")</f>
        <v>14.3520639792524</v>
      </c>
      <c r="AC327" s="262">
        <f>IFERROR(IF(AND(COUNT(Y63,Z63,AA63,AC63)=4,(Y68+Z68+AA68+AC68)&lt;&gt;0),((Y63+Z63+AA63+AC63)-(Y162+Z162+AA162+AC162))/-(Y68+Z68+AA68+AC68),""),"")</f>
        <v>15.0617277351283</v>
      </c>
      <c r="AD327" s="262">
        <f>IFERROR(IF(AND(COUNT(Z63,AA63,AC63,AD63)=4,(Z68+AA68+AC68+AD68)&lt;&gt;0),((Z63+AA63+AC63+AD63)-(Z162+AA162+AC162+AD162))/-(Z68+AA68+AC68+AD68),""),"")</f>
        <v>16.2193659691449</v>
      </c>
      <c r="AE327" s="262">
        <f>IFERROR(IF(AND(COUNT(AA63,AC63,AD63,AE63)=4,(AA68+AC68+AD68+AE68)&lt;&gt;0),((AA63+AC63+AD63+AE63)-(AA162+AC162+AD162+AE162))/-(AA68+AC68+AD68+AE68),""),"")</f>
        <v>16.8405143197798</v>
      </c>
      <c r="AF327" s="262">
        <f>IFERROR(IF(AND(COUNT(AB63,AD63,AE63,AF63)=4,(AB68+AD68+AE68+AF68)&lt;&gt;0),((AB63+AD63+AE63+AF63)-(AB162+AD162+AE162+AF162))/-(AB68+AD68+AE68+AF68),""),"")</f>
        <v>15.5339626915705</v>
      </c>
      <c r="AG327" s="262">
        <f>IFERROR(IF(AND(COUNT(AC63,AD63,AE63,AF63)=4,(AC68+AD68+AE68+AF68)&lt;&gt;0),((AC63+AD63+AE63+AF63)-(AC162+AD162+AE162+AF162))/-(AC68+AD68+AE68+AF68),""),"")</f>
        <v>16.6334097435964</v>
      </c>
      <c r="AH327" s="262">
        <f>IFERROR(IF(AND(COUNT(AD63,AF63,AG63,AH63)=4,(AD68+AF68+AG68+AH68)&lt;&gt;0),((AD63+AF63+AG63+AH63)-(AD162+AF162+AG162+AH162))/-(AD68+AF68+AG68+AH68),""),"")</f>
        <v>15.9348097148247</v>
      </c>
      <c r="AI327" s="262">
        <f>IFERROR(IF(AND(COUNT(AE63,AG63,AH63,AI63)=4,(AE68+AG68+AH68+AI68)&lt;&gt;0),((AE63+AG63+AH63+AI63)-(AE162+AG162+AH162+AI162))/-(AE68+AG68+AH68+AI68),""),"")</f>
        <v>17.1456713822877</v>
      </c>
      <c r="AJ327" s="262" t="str">
        <f>IFERROR(IF(AND(COUNT(AF63,AH63,AI63,AJ63)=4,(AF68+AH68+AI68+AJ68)&lt;&gt;0),((AF63+AH63+AI63+AJ63)-(AF162+AH162+AI162+AJ162))/-(AF68+AH68+AI68+AJ68),""),"")</f>
        <v/>
      </c>
      <c r="AK327" s="262" t="str">
        <f>IFERROR(IF(AND(COUNT(AH63,AI63,AJ63,AK63)=4,(AH68+AI68+AJ68+AK68)&lt;&gt;0),((AH63+AI63+AJ63+AK63)-(AH162+AI162+AJ162+AK162))/-(AH68+AI68+AJ68+AK68),""),"")</f>
        <v/>
      </c>
      <c r="AL327" s="262" t="str">
        <f>IFERROR(IF(AND(COUNT(AH63,AI63,AJ63,AK63)=4,(AH68+AI68+AJ68+AK68)&lt;&gt;0),((AH63+AI63+AJ63+AK63)-(AH162+AI162+AJ162+AK162))/-(AH68+AI68+AJ68+AK68),""),"")</f>
        <v/>
      </c>
      <c r="AM327" s="262" t="str">
        <f>IFERROR(IF(AND(COUNT(AI63,AJ63,AK63,AM63)=4,(AI68+AJ68+AK68+AM68)&lt;&gt;0),((AI63+AJ63+AK63+AM63)-(AI162+AJ162+AK162+AM162))/-(AI68+AJ68+AK68+AM68),""),"")</f>
        <v/>
      </c>
      <c r="AN327" s="262" t="str">
        <f>IFERROR(IF(AND(COUNT(AJ63,AK63,AM63,AN63)=4,(AJ68+AK68+AM68+AN68)&lt;&gt;0),((AJ63+AK63+AM63+AN63)-(AJ162+AK162+AM162+AN162))/-(AJ68+AK68+AM68+AN68),""),"")</f>
        <v/>
      </c>
      <c r="AO327" s="262" t="str">
        <f>IFERROR(IF(AND(COUNT(AK63,AM63,AN63,AO63)=4,(AK68+AM68+AN68+AO68)&lt;&gt;0),((AK63+AM63+AN63+AO63)-(AK162+AM162+AN162+AO162))/-(AK68+AM68+AN68+AO68),""),"")</f>
        <v/>
      </c>
      <c r="AP327" s="262" t="str">
        <f>IFERROR(IF(AND(COUNT(AM63,AN63,AO63,AP63)=4,(AM68+AN68+AO68+AP68)&lt;&gt;0),((AM63+AN63+AO63+AP63)-(AM162+AN162+AO162+AP162))/-(AM68+AN68+AO68+AP68),""),"")</f>
        <v/>
      </c>
      <c r="AQ327" s="262" t="str">
        <f>IFERROR(IF(AND(COUNT(AM63,AN63,AO63,AP63)=4,(AM68+AN68+AO68+AP68)&lt;&gt;0),((AM63+AN63+AO63+AP63)-(AM162+AN162+AO162+AP162))/-(AM68+AN68+AO68+AP68),""),"")</f>
        <v/>
      </c>
      <c r="AR327" s="262" t="str">
        <f>IFERROR(IF(AND(COUNT(AN63,AO63,AP63,AR63)=4,(AN68+AO68+AP68+AR68)&lt;&gt;0),((AN63+AO63+AP63+AR63)-(AN162+AO162+AP162+AR162))/-(AN68+AO68+AP68+AR68),""),"")</f>
        <v/>
      </c>
      <c r="AS327" s="262" t="str">
        <f>IFERROR(IF(AND(COUNT(AO63,AP63,AR63,AS63)=4,(AO68+AP68+AR68+AS68)&lt;&gt;0),((AO63+AP63+AR63+AS63)-(AO162+AP162+AR162+AS162))/-(AO68+AP68+AR68+AS68),""),"")</f>
        <v/>
      </c>
      <c r="AT327" s="262" t="str">
        <f>IFERROR(IF(AND(COUNT(AP63,AR63,AS63,AT63)=4,(AP68+AR68+AS68+AT68)&lt;&gt;0),((AP63+AR63+AS63+AT63)-(AP162+AR162+AS162+AT162))/-(AP68+AR68+AS68+AT68),""),"")</f>
        <v/>
      </c>
      <c r="AU327" s="262" t="str">
        <f>IFERROR(IF(AND(COUNT(AR63,AS63,AT63,AU63)=4,(AR68+AS68+AT68+AU68)&lt;&gt;0),((AR63+AS63+AT63+AU63)-(AR162+AS162+AT162+AU162))/-(AR68+AS68+AT68+AU68),""),"")</f>
        <v/>
      </c>
      <c r="AV327" s="262" t="str">
        <f>IFERROR(IF(AND(COUNT(AR63,AS63,AT63,AU63)=4,(AR68+AS68+AT68+AU68)&lt;&gt;0),((AR63+AS63+AT63+AU63)-(AR162+AS162+AT162+AU162))/-(AR68+AS68+AT68+AU68),""),"")</f>
        <v/>
      </c>
      <c r="AW327" s="262" t="str">
        <f>IFERROR(IF(AND(COUNT(AS63,AT63,AU63,AW63)=4,(AS68+AT68+AU68+AW68)&lt;&gt;0),((AS63+AT63+AU63+AW63)-(AS162+AT162+AU162+AW162))/-(AS68+AT68+AU68+AW68),""),"")</f>
        <v/>
      </c>
      <c r="AX327" s="262" t="str">
        <f>IFERROR(IF(AND(COUNT(AT63,AU63,AW63,AX63)=4,(AT68+AU68+AW68+AX68)&lt;&gt;0),((AT63+AU63+AW63+AX63)-(AT162+AU162+AW162+AX162))/-(AT68+AU68+AW68+AX68),""),"")</f>
        <v/>
      </c>
      <c r="AY327" s="262" t="str">
        <f>IFERROR(IF(AND(COUNT(AU63,AW63,AX63,AY63)=4,(AU68+AW68+AX68+AY68)&lt;&gt;0),((AU63+AW63+AX63+AY63)-(AU162+AW162+AX162+AY162))/-(AU68+AW68+AX68+AY68),""),"")</f>
        <v/>
      </c>
      <c r="AZ327" s="262" t="str">
        <f>IFERROR(IF(AND(COUNT(AW63,AX63,AY63,AZ63)=4,(AW68+AX68+AY68+AZ68)&lt;&gt;0),((AW63+AX63+AY63+AZ63)-(AW162+AX162+AY162+AZ162))/-(AW68+AX68+AY68+AZ68),""),"")</f>
        <v/>
      </c>
      <c r="BA327" s="262" t="str">
        <f>IFERROR(IF(AND(COUNT(AW63,AX63,AY63,AZ63)=4,(AW68+AX68+AY68+AZ68)&lt;&gt;0),((AW63+AX63+AY63+AZ63)-(AW162+AX162+AY162+AZ162))/-(AW68+AX68+AY68+AZ68),""),"")</f>
        <v/>
      </c>
      <c r="BB327" s="262" t="str">
        <f>IFERROR(IF(AND(COUNT(AX63,AY63,AZ63,BB63)=4,(AX68+AY68+AZ68+BB68)&lt;&gt;0),((AX63+AY63+AZ63+BB63)-(AX162+AY162+AZ162+BB162))/-(AX68+AY68+AZ68+BB68),""),"")</f>
        <v/>
      </c>
      <c r="BC327" s="262" t="str">
        <f>IFERROR(IF(AND(COUNT(AY63,AZ63,BB63,BC63)=4,(AY68+AZ68+BB68+BC68)&lt;&gt;0),((AY63+AZ63+BB63+BC63)-(AY162+AZ162+BB162+BC162))/-(AY68+AZ68+BB68+BC68),""),"")</f>
        <v/>
      </c>
      <c r="BD327" s="262" t="str">
        <f>IFERROR(IF(AND(COUNT(AZ63,BB63,BC63,BD63)=4,(AZ68+BB68+BC68+BD68)&lt;&gt;0),((AZ63+BB63+BC63+BD63)-(AZ162+BB162+BC162+BD162))/-(AZ68+BB68+BC68+BD68),""),"")</f>
        <v/>
      </c>
      <c r="BE327" s="262" t="str">
        <f>IFERROR(IF(AND(COUNT(BB63,BC63,BD63,BE63)=4,(BB68+BC68+BD68+BE68)&lt;&gt;0),((BB63+BC63+BD63+BE63)-(BB162+BC162+BD162+BE162))/-(BB68+BC68+BD68+BE68),""),"")</f>
        <v/>
      </c>
      <c r="BF327" s="262" t="str">
        <f>IFERROR(IF(AND(COUNT(BB63,BC63,BD63,BE63)=4,(BB68+BC68+BD68+BE68)&lt;&gt;0),((BB63+BC63+BD63+BE63)-(BB162+BC162+BD162+BE162))/-(BB68+BC68+BD68+BE68),""),"")</f>
        <v/>
      </c>
      <c r="BG327" s="82" t="n"/>
      <c r="BH327" s="82" t="n"/>
      <c r="BI327" s="82" t="n"/>
      <c r="BJ327" s="82" t="n"/>
      <c r="BL327" s="82" t="n"/>
      <c r="BM327" s="82" t="n"/>
      <c r="BN327" s="82" t="n"/>
      <c r="BO327" s="82" t="n"/>
      <c r="BQ327" s="82" t="n"/>
      <c r="BR327" s="82" t="n"/>
      <c r="BS327" s="82" t="n"/>
      <c r="BT327" s="82" t="n"/>
      <c r="BV327" s="82" t="n"/>
      <c r="BW327" s="82" t="n"/>
      <c r="BX327" s="82" t="n"/>
      <c r="BY327" s="82" t="n"/>
      <c r="CA327" s="82" t="n"/>
      <c r="CB327" s="82" t="n"/>
      <c r="CC327" s="82" t="n"/>
      <c r="CD327" s="82" t="n"/>
      <c r="CF327" s="82" t="n"/>
      <c r="CG327" s="82" t="n"/>
      <c r="CH327" s="82" t="n"/>
      <c r="CI327" s="82" t="n"/>
      <c r="CK327" s="82" t="n"/>
      <c r="CL327" s="82" t="n"/>
      <c r="CM327" s="82" t="n"/>
      <c r="CN327" s="82" t="n"/>
      <c r="CP327" s="82" t="n"/>
      <c r="CQ327" s="82" t="n"/>
      <c r="CR327" s="82" t="n"/>
      <c r="CS327" s="82" t="n"/>
      <c r="CU327" s="82" t="n"/>
      <c r="CV327" s="82" t="n"/>
      <c r="CW327" s="82" t="n"/>
      <c r="CX327" s="82" t="n"/>
    </row>
    <row r="328" customFormat="1" s="77">
      <c r="A328" s="76" t="n"/>
      <c r="B328" s="76" t="n"/>
      <c r="C328" s="77" t="inlineStr">
        <is>
          <t>TOTAL DEBT / EBITDA (LTM)</t>
        </is>
      </c>
      <c r="D328" s="82" t="str">
        <f>IFERROR(SUM(D206,D207,D208,D211,D229,D232)/D63,"")</f>
        <v/>
      </c>
      <c r="E328" s="82" t="str">
        <f>IFERROR(SUM(E206,E207,E208,E211,E229,E232)/E63,"")</f>
        <v/>
      </c>
      <c r="F328" s="82" t="str">
        <f>IFERROR(SUM(F206,F207,F208,F211,F229,F232)/F63,"")</f>
        <v/>
      </c>
      <c r="G328" s="82" t="str">
        <f>IFERROR(SUM(G206,G207,G208,G211,G229,G232)/G63,"")</f>
        <v/>
      </c>
      <c r="H328" s="262" t="str">
        <f>IFERROR(IF(AND(COUNT(H63)=1,(H63)&lt;&gt;0),(N(H206)+N(H207)+N(H208)+N(H211)+N(H229)+N(H232))/(H63),""),"")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IFERROR(IF(AND(COUNT(I63,J63,K63,L63)=4,(I63+J63+K63+L63)&lt;&gt;0),(N(L206)+N(L207)+N(L208)+N(L211)+N(L229)+N(L232))/(I63+J63+K63+L63),""),"")</f>
        <v>2.40404262367129</v>
      </c>
      <c r="M328" s="262">
        <f>IFERROR(IF(AND(COUNT(I63,J63,K63,L63)=4,(I63+J63+K63+L63)&lt;&gt;0),(N(M206)+N(M207)+N(M208)+N(M211)+N(M229)+N(M232))/(I63+J63+K63+L63),""),"")</f>
        <v>2.40404262367129</v>
      </c>
      <c r="N328" s="262">
        <f>IFERROR(IF(AND(COUNT(J63,K63,L63,N63)=4,(J63+K63+L63+N63)&lt;&gt;0),(N(N206)+N(N207)+N(N208)+N(N211)+N(N229)+N(N232))/(J63+K63+L63+N63),""),"")</f>
        <v>2.25218003976725</v>
      </c>
      <c r="O328" s="262">
        <f>IFERROR(IF(AND(COUNT(K63,L63,N63,O63)=4,(K63+L63+N63+O63)&lt;&gt;0),(N(O206)+N(O207)+N(O208)+N(O211)+N(O229)+N(O232))/(K63+L63+N63+O63),""),"")</f>
        <v>2.28490485892743</v>
      </c>
      <c r="P328" s="262">
        <f>IFERROR(IF(AND(COUNT(L63,N63,O63,P63)=4,(L63+N63+O63+P63)&lt;&gt;0),(N(P206)+N(P207)+N(P208)+N(P211)+N(P229)+N(P232))/(L63+N63+O63+P63),""),"")</f>
        <v>2.30623918129199</v>
      </c>
      <c r="Q328" s="262">
        <f>IFERROR(IF(AND(COUNT(N63,O63,P63,Q63)=4,(N63+O63+P63+Q63)&lt;&gt;0),(N(Q206)+N(Q207)+N(Q208)+N(Q211)+N(Q229)+N(Q232))/(N63+O63+P63+Q63),""),"")</f>
        <v>2.40439647254307</v>
      </c>
      <c r="R328" s="262">
        <f>IFERROR(IF(AND(COUNT(N63,O63,P63,Q63)=4,(N63+O63+P63+Q63)&lt;&gt;0),(N(R206)+N(R207)+N(R208)+N(R211)+N(R229)+N(R232))/(N63+O63+P63+Q63),""),"")</f>
        <v>2.40439647254307</v>
      </c>
      <c r="S328" s="262">
        <f>IFERROR(IF(AND(COUNT(O63,P63,Q63,S63)=4,(O63+P63+Q63+S63)&lt;&gt;0),(N(S206)+N(S207)+N(S208)+N(S211)+N(S229)+N(S232))/(O63+P63+Q63+S63),""),"")</f>
        <v>2.52047604573863</v>
      </c>
      <c r="T328" s="262">
        <f>IFERROR(IF(AND(COUNT(P63,Q63,S63,T63)=4,(P63+Q63+S63+T63)&lt;&gt;0),(N(T206)+N(T207)+N(T208)+N(T211)+N(T229)+N(T232))/(P63+Q63+S63+T63),""),"")</f>
        <v>2.41855631814107</v>
      </c>
      <c r="U328" s="262">
        <f>IFERROR(IF(AND(COUNT(Q63,S63,T63,U63)=4,(Q63+S63+T63+U63)&lt;&gt;0),(N(U206)+N(U207)+N(U208)+N(U211)+N(U229)+N(U232))/(Q63+S63+T63+U63),""),"")</f>
        <v>2.24440431824834</v>
      </c>
      <c r="V328" s="262">
        <f>IFERROR(IF(AND(COUNT(S63,T63,U63,V63)=4,(S63+T63+U63+V63)&lt;&gt;0),(N(V206)+N(V207)+N(V208)+N(V211)+N(V229)+N(V232))/(S63+T63+U63+V63),""),"")</f>
        <v>1.98924366874346</v>
      </c>
      <c r="W328" s="262">
        <f>IFERROR(IF(AND(COUNT(S63,T63,U63,V63)=4,(S63+T63+U63+V63)&lt;&gt;0),(N(W206)+N(W207)+N(W208)+N(W211)+N(W229)+N(W232))/(S63+T63+U63+V63),""),"")</f>
        <v>1.98924366874346</v>
      </c>
      <c r="X328" s="262">
        <f>IFERROR(IF(AND(COUNT(T63,U63,V63,X63)=4,(T63+U63+V63+X63)&lt;&gt;0),(N(X206)+N(X207)+N(X208)+N(X211)+N(X229)+N(X232))/(T63+U63+V63+X63),""),"")</f>
        <v>1.70384896012261</v>
      </c>
      <c r="Y328" s="262">
        <f>IFERROR(IF(AND(COUNT(U63,V63,X63,Y63)=4,(U63+V63+X63+Y63)&lt;&gt;0),(N(Y206)+N(Y207)+N(Y208)+N(Y211)+N(Y229)+N(Y232))/(U63+V63+X63+Y63),""),"")</f>
        <v>1.55445250724907</v>
      </c>
      <c r="Z328" s="262">
        <f>IFERROR(IF(AND(COUNT(V63,X63,Y63,Z63)=4,(V63+X63+Y63+Z63)&lt;&gt;0),(N(Z206)+N(Z207)+N(Z208)+N(Z211)+N(Z229)+N(Z232))/(V63+X63+Y63+Z63),""),"")</f>
        <v>1.60183319486345</v>
      </c>
      <c r="AA328" s="262">
        <f>IFERROR(IF(AND(COUNT(X63,Y63,Z63,AA63)=4,(X63+Y63+Z63+AA63)&lt;&gt;0),(N(AA206)+N(AA207)+N(AA208)+N(AA211)+N(AA229)+N(AA232))/(X63+Y63+Z63+AA63),""),"")</f>
        <v>1.45003148924006</v>
      </c>
      <c r="AB328" s="262">
        <f>IFERROR(IF(AND(COUNT(X63,Y63,Z63,AA63)=4,(X63+Y63+Z63+AA63)&lt;&gt;0),(N(AB206)+N(AB207)+N(AB208)+N(AB211)+N(AB229)+N(AB232))/(X63+Y63+Z63+AA63),""),"")</f>
        <v>1.45003148924006</v>
      </c>
      <c r="AC328" s="262">
        <f>IFERROR(IF(AND(COUNT(Y63,Z63,AA63,AC63)=4,(Y63+Z63+AA63+AC63)&lt;&gt;0),(N(AC206)+N(AC207)+N(AC208)+N(AC211)+N(AC229)+N(AC232))/(Y63+Z63+AA63+AC63),""),"")</f>
        <v>1.31108312628461</v>
      </c>
      <c r="AD328" s="262">
        <f>IFERROR(IF(AND(COUNT(Z63,AA63,AC63,AD63)=4,(Z63+AA63+AC63+AD63)&lt;&gt;0),(N(AD206)+N(AD207)+N(AD208)+N(AD211)+N(AD229)+N(AD232))/(Z63+AA63+AC63+AD63),""),"")</f>
        <v>1.1448565480259</v>
      </c>
      <c r="AE328" s="262">
        <f>IFERROR(IF(AND(COUNT(AA63,AC63,AD63,AE63)=4,(AA63+AC63+AD63+AE63)&lt;&gt;0),(N(AE206)+N(AE207)+N(AE208)+N(AE211)+N(AE229)+N(AE232))/(AA63+AC63+AD63+AE63),""),"")</f>
        <v>1.1151433450291</v>
      </c>
      <c r="AF328" s="262">
        <f>IFERROR(IF(AND(COUNT(AB63,AD63,AE63,AF63)=4,(AB63+AD63+AE63+AF63)&lt;&gt;0),(N(AF206)+N(AF207)+N(AF208)+N(AF211)+N(AF229)+N(AF232))/(AB63+AD63+AE63+AF63),""),"")</f>
        <v>0.689380953384202</v>
      </c>
      <c r="AG328" s="262">
        <f>IFERROR(IF(AND(COUNT(AC63,AD63,AE63,AF63)=4,(AC63+AD63+AE63+AF63)&lt;&gt;0),(N(AG206)+N(AG207)+N(AG208)+N(AG211)+N(AG229)+N(AG232))/(AC63+AD63+AE63+AF63),""),"")</f>
        <v>1.05877338727578</v>
      </c>
      <c r="AH328" s="262">
        <f>IFERROR(IF(AND(COUNT(AD63,AF63,AG63,AH63)=4,(AD63+AF63+AG63+AH63)&lt;&gt;0),(N(AH206)+N(AH207)+N(AH208)+N(AH211)+N(AH229)+N(AH232))/(AD63+AF63+AG63+AH63),""),"")</f>
        <v>0.583454451985516</v>
      </c>
      <c r="AI328" s="262">
        <f>IFERROR(IF(AND(COUNT(AE63,AG63,AH63,AI63)=4,(AE63+AG63+AH63+AI63)&lt;&gt;0),(N(AI206)+N(AI207)+N(AI208)+N(AI211)+N(AI229)+N(AI232))/(AE63+AG63+AH63+AI63),""),"")</f>
        <v>0.564597127785496</v>
      </c>
      <c r="AJ328" s="262">
        <f>IFERROR(IF(AND(COUNT(AF63,AH63,AI63,AJ63)=4,(AF63+AH63+AI63+AJ63)&lt;&gt;0),(N(AJ206)+N(AJ207)+N(AJ208)+N(AJ211)+N(AJ229)+N(AJ232))/(AF63+AH63+AI63+AJ63),""),"")</f>
        <v>0.918831549395569</v>
      </c>
      <c r="AK328" s="262">
        <f>IFERROR(IF(AND(COUNT(AH63,AI63,AJ63,AK63)=4,(AH63+AI63+AJ63+AK63)&lt;&gt;0),(N(AK206)+N(AK207)+N(AK208)+N(AK211)+N(AK229)+N(AK232))/(AH63+AI63+AJ63+AK63),""),"")</f>
        <v>0.846248656339145</v>
      </c>
      <c r="AL328" s="262">
        <f>IFERROR(IF(AND(COUNT(AH63,AI63,AJ63,AK63)=4,(AH63+AI63+AJ63+AK63)&lt;&gt;0),(N(AL206)+N(AL207)+N(AL208)+N(AL211)+N(AL229)+N(AL232))/(AH63+AI63+AJ63+AK63),""),"")</f>
        <v>0.846248656339145</v>
      </c>
      <c r="AM328" s="262">
        <f>IFERROR(IF(AND(COUNT(AI63,AJ63,AK63,AM63)=4,(AI63+AJ63+AK63+AM63)&lt;&gt;0),(N(AM206)+N(AM207)+N(AM208)+N(AM211)+N(AM229)+N(AM232))/(AI63+AJ63+AK63+AM63),""),"")</f>
        <v>0.826926345661008</v>
      </c>
      <c r="AN328" s="262">
        <f>IFERROR(IF(AND(COUNT(AJ63,AK63,AM63,AN63)=4,(AJ63+AK63+AM63+AN63)&lt;&gt;0),(N(AN206)+N(AN207)+N(AN208)+N(AN211)+N(AN229)+N(AN232))/(AJ63+AK63+AM63+AN63),""),"")</f>
        <v>0.8142110556296</v>
      </c>
      <c r="AO328" s="262">
        <f>IFERROR(IF(AND(COUNT(AK63,AM63,AN63,AO63)=4,(AK63+AM63+AN63+AO63)&lt;&gt;0),(N(AO206)+N(AO207)+N(AO208)+N(AO211)+N(AO229)+N(AO232))/(AK63+AM63+AN63+AO63),""),"")</f>
        <v>0.785328681857059</v>
      </c>
      <c r="AP328" s="262">
        <f>IFERROR(IF(AND(COUNT(AM63,AN63,AO63,AP63)=4,(AM63+AN63+AO63+AP63)&lt;&gt;0),(N(AP206)+N(AP207)+N(AP208)+N(AP211)+N(AP229)+N(AP232))/(AM63+AN63+AO63+AP63),""),"")</f>
        <v>0.757207198510336</v>
      </c>
      <c r="AQ328" s="262">
        <f>IFERROR(IF(AND(COUNT(AM63,AN63,AO63,AP63)=4,(AM63+AN63+AO63+AP63)&lt;&gt;0),(N(AQ206)+N(AQ207)+N(AQ208)+N(AQ211)+N(AQ229)+N(AQ232))/(AM63+AN63+AO63+AP63),""),"")</f>
        <v>0.757207198510336</v>
      </c>
      <c r="AR328" s="262">
        <f>IFERROR(IF(AND(COUNT(AN63,AO63,AP63,AR63)=4,(AN63+AO63+AP63+AR63)&lt;&gt;0),(N(AR206)+N(AR207)+N(AR208)+N(AR211)+N(AR229)+N(AR232))/(AN63+AO63+AP63+AR63),""),"")</f>
        <v>0.73144407318613</v>
      </c>
      <c r="AS328" s="262">
        <f>IFERROR(IF(AND(COUNT(AO63,AP63,AR63,AS63)=4,(AO63+AP63+AR63+AS63)&lt;&gt;0),(N(AS206)+N(AS207)+N(AS208)+N(AS211)+N(AS229)+N(AS232))/(AO63+AP63+AR63+AS63),""),"")</f>
        <v>0.706787501274445</v>
      </c>
      <c r="AT328" s="262">
        <f>IFERROR(IF(AND(COUNT(AP63,AR63,AS63,AT63)=4,(AP63+AR63+AS63+AT63)&lt;&gt;0),(N(AT206)+N(AT207)+N(AT208)+N(AT211)+N(AT229)+N(AT232))/(AP63+AR63+AS63+AT63),""),"")</f>
        <v>0.68244676893212</v>
      </c>
      <c r="AU328" s="262">
        <f>IFERROR(IF(AND(COUNT(AR63,AS63,AT63,AU63)=4,(AR63+AS63+AT63+AU63)&lt;&gt;0),(N(AU206)+N(AU207)+N(AU208)+N(AU211)+N(AU229)+N(AU232))/(AR63+AS63+AT63+AU63),""),"")</f>
        <v>0.658697069733821</v>
      </c>
      <c r="AV328" s="262">
        <f>IFERROR(IF(AND(COUNT(AR63,AS63,AT63,AU63)=4,(AR63+AS63+AT63+AU63)&lt;&gt;0),(N(AV206)+N(AV207)+N(AV208)+N(AV211)+N(AV229)+N(AV232))/(AR63+AS63+AT63+AU63),""),"")</f>
        <v>0.658697069733821</v>
      </c>
      <c r="AW328" s="262">
        <f>IFERROR(IF(AND(COUNT(AS63,AT63,AU63,AW63)=4,(AS63+AT63+AU63+AW63)&lt;&gt;0),(N(AW206)+N(AW207)+N(AW208)+N(AW211)+N(AW229)+N(AW232))/(AS63+AT63+AU63+AW63),""),"")</f>
        <v>0.637010252278461</v>
      </c>
      <c r="AX328" s="262">
        <f>IFERROR(IF(AND(COUNT(AT63,AU63,AW63,AX63)=4,(AT63+AU63+AW63+AX63)&lt;&gt;0),(N(AX206)+N(AX207)+N(AX208)+N(AX211)+N(AX229)+N(AX232))/(AT63+AU63+AW63+AX63),""),"")</f>
        <v>0.616208598278442</v>
      </c>
      <c r="AY328" s="262">
        <f>IFERROR(IF(AND(COUNT(AU63,AW63,AX63,AY63)=4,(AU63+AW63+AX63+AY63)&lt;&gt;0),(N(AY206)+N(AY207)+N(AY208)+N(AY211)+N(AY229)+N(AY232))/(AU63+AW63+AX63+AY63),""),"")</f>
        <v>0.595628831581807</v>
      </c>
      <c r="AZ328" s="262">
        <f>IFERROR(IF(AND(COUNT(AW63,AX63,AY63,AZ63)=4,(AW63+AX63+AY63+AZ63)&lt;&gt;0),(N(AZ206)+N(AZ207)+N(AZ208)+N(AZ211)+N(AZ229)+N(AZ232))/(AW63+AX63+AY63+AZ63),""),"")</f>
        <v>0.575505952606119</v>
      </c>
      <c r="BA328" s="262">
        <f>IFERROR(IF(AND(COUNT(AW63,AX63,AY63,AZ63)=4,(AW63+AX63+AY63+AZ63)&lt;&gt;0),(N(BA206)+N(BA207)+N(BA208)+N(BA211)+N(BA229)+N(BA232))/(AW63+AX63+AY63+AZ63),""),"")</f>
        <v>0.575505952606119</v>
      </c>
      <c r="BB328" s="262">
        <f>IFERROR(IF(AND(COUNT(AX63,AY63,AZ63,BB63)=4,(AX63+AY63+AZ63+BB63)&lt;&gt;0),(N(BB206)+N(BB207)+N(BB208)+N(BB211)+N(BB229)+N(BB232))/(AX63+AY63+AZ63+BB63),""),"")</f>
        <v>0.557192642741082</v>
      </c>
      <c r="BC328" s="262">
        <f>IFERROR(IF(AND(COUNT(AY63,AZ63,BB63,BC63)=4,(AY63+AZ63+BB63+BC63)&lt;&gt;0),(N(BC206)+N(BC207)+N(BC208)+N(BC211)+N(BC229)+N(BC232))/(AY63+AZ63+BB63+BC63),""),"")</f>
        <v>0.539587524517995</v>
      </c>
      <c r="BD328" s="262">
        <f>IFERROR(IF(AND(COUNT(AZ63,BB63,BC63,BD63)=4,(AZ63+BB63+BC63+BD63)&lt;&gt;0),(N(BD206)+N(BD207)+N(BD208)+N(BD211)+N(BD229)+N(BD232))/(AZ63+BB63+BC63+BD63),""),"")</f>
        <v>0.52213222289582</v>
      </c>
      <c r="BE328" s="262">
        <f>IFERROR(IF(AND(COUNT(BB63,BC63,BD63,BE63)=4,(BB63+BC63+BD63+BE63)&lt;&gt;0),(N(BE206)+N(BE207)+N(BE208)+N(BE211)+N(BE229)+N(BE232))/(BB63+BC63+BD63+BE63),""),"")</f>
        <v>0.505027803074956</v>
      </c>
      <c r="BF328" s="262">
        <f>IFERROR(IF(AND(COUNT(BB63,BC63,BD63,BE63)=4,(BB63+BC63+BD63+BE63)&lt;&gt;0),(N(BF206)+N(BF207)+N(BF208)+N(BF211)+N(BF229)+N(BF232))/(BB63+BC63+BD63+BE63),""),"")</f>
        <v>0.505027803074956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77" t="inlineStr">
        <is>
          <t>TOTAL DEBT / TOTAL CAPITALIZATION</t>
        </is>
      </c>
      <c r="D329" s="80" t="str">
        <f>IFERROR(SUM(D206+D207+D208+D211+D229+D232)/(SUM(D206+D207+D208+D211+D229+D232)+D265),"")</f>
        <v/>
      </c>
      <c r="E329" s="80" t="str">
        <f>IFERROR(SUM(E206+E207+E208+E211+E229+E232)/(SUM(E206+E207+E208+E211+E229+E232)+E265),"")</f>
        <v/>
      </c>
      <c r="F329" s="80" t="str">
        <f>IFERROR(SUM(F206+F207+F208+F211+F229+F232)/(SUM(F206+F207+F208+F211+F229+F232)+F265),"")</f>
        <v/>
      </c>
      <c r="G329" s="80" t="str">
        <f>IFERROR(SUM(G206+G207+G208+G211+G229+G232)/(SUM(G206+G207+G208+G211+G229+G232)+G265),"")</f>
        <v/>
      </c>
      <c r="H329" s="258" t="str">
        <f>IFERROR(IF(((N(H206)+N(H207)+N(H208)+N(H211)+N(H229)+N(H232))+N(H265))&lt;&gt;0,(N(H206)+N(H207)+N(H208)+N(H211)+N(H229)+N(H232))/((N(H206)+N(H207)+N(H208)+N(H211)+N(H229)+N(H232))+H265),""),"")</f>
        <v/>
      </c>
      <c r="I329" s="258">
        <f>IFERROR(IF(((N(I206)+N(I207)+N(I208)+N(I211)+N(I229)+N(I232))+N(I265))&lt;&gt;0,(N(I206)+N(I207)+N(I208)+N(I211)+N(I229)+N(I232))/((N(I206)+N(I207)+N(I208)+N(I211)+N(I229)+N(I232))+I265),""),"")</f>
        <v>0.547027748421252</v>
      </c>
      <c r="J329" s="258">
        <f>IFERROR(IF(((N(J206)+N(J207)+N(J208)+N(J211)+N(J229)+N(J232))+N(J265))&lt;&gt;0,(N(J206)+N(J207)+N(J208)+N(J211)+N(J229)+N(J232))/((N(J206)+N(J207)+N(J208)+N(J211)+N(J229)+N(J232))+J265),""),"")</f>
        <v>0.529877122625898</v>
      </c>
      <c r="K329" s="258">
        <f>IFERROR(IF(((N(K206)+N(K207)+N(K208)+N(K211)+N(K229)+N(K232))+N(K265))&lt;&gt;0,(N(K206)+N(K207)+N(K208)+N(K211)+N(K229)+N(K232))/((N(K206)+N(K207)+N(K208)+N(K211)+N(K229)+N(K232))+K265),""),"")</f>
        <v>0.502897758199463</v>
      </c>
      <c r="L329" s="258">
        <f>IFERROR(IF(((N(L206)+N(L207)+N(L208)+N(L211)+N(L229)+N(L232))+N(L265))&lt;&gt;0,(N(L206)+N(L207)+N(L208)+N(L211)+N(L229)+N(L232))/((N(L206)+N(L207)+N(L208)+N(L211)+N(L229)+N(L232))+L265),""),"")</f>
        <v>0.492696515728771</v>
      </c>
      <c r="M329" s="258">
        <f>IFERROR(IF(((N(M206)+N(M207)+N(M208)+N(M211)+N(M229)+N(M232))+N(M265))&lt;&gt;0,(N(M206)+N(M207)+N(M208)+N(M211)+N(M229)+N(M232))/((N(M206)+N(M207)+N(M208)+N(M211)+N(M229)+N(M232))+M265),""),"")</f>
        <v>0.492696515728771</v>
      </c>
      <c r="N329" s="258">
        <f>IFERROR(IF(((N(N206)+N(N207)+N(N208)+N(N211)+N(N229)+N(N232))+N(N265))&lt;&gt;0,(N(N206)+N(N207)+N(N208)+N(N211)+N(N229)+N(N232))/((N(N206)+N(N207)+N(N208)+N(N211)+N(N229)+N(N232))+N265),""),"")</f>
        <v>0.45309212372111</v>
      </c>
      <c r="O329" s="258">
        <f>IFERROR(IF(((N(O206)+N(O207)+N(O208)+N(O211)+N(O229)+N(O232))+N(O265))&lt;&gt;0,(N(O206)+N(O207)+N(O208)+N(O211)+N(O229)+N(O232))/((N(O206)+N(O207)+N(O208)+N(O211)+N(O229)+N(O232))+O265),""),"")</f>
        <v>0.427307473530572</v>
      </c>
      <c r="P329" s="258">
        <f>IFERROR(IF(((N(P206)+N(P207)+N(P208)+N(P211)+N(P229)+N(P232))+N(P265))&lt;&gt;0,(N(P206)+N(P207)+N(P208)+N(P211)+N(P229)+N(P232))/((N(P206)+N(P207)+N(P208)+N(P211)+N(P229)+N(P232))+P265),""),"")</f>
        <v>0.403533614839824</v>
      </c>
      <c r="Q329" s="258">
        <f>IFERROR(IF(((N(Q206)+N(Q207)+N(Q208)+N(Q211)+N(Q229)+N(Q232))+N(Q265))&lt;&gt;0,(N(Q206)+N(Q207)+N(Q208)+N(Q211)+N(Q229)+N(Q232))/((N(Q206)+N(Q207)+N(Q208)+N(Q211)+N(Q229)+N(Q232))+Q265),""),"")</f>
        <v>0.408564791192559</v>
      </c>
      <c r="R329" s="258">
        <f>IFERROR(IF(((N(R206)+N(R207)+N(R208)+N(R211)+N(R229)+N(R232))+N(R265))&lt;&gt;0,(N(R206)+N(R207)+N(R208)+N(R211)+N(R229)+N(R232))/((N(R206)+N(R207)+N(R208)+N(R211)+N(R229)+N(R232))+R265),""),"")</f>
        <v>0.408564791192559</v>
      </c>
      <c r="S329" s="258">
        <f>IFERROR(IF(((N(S206)+N(S207)+N(S208)+N(S211)+N(S229)+N(S232))+N(S265))&lt;&gt;0,(N(S206)+N(S207)+N(S208)+N(S211)+N(S229)+N(S232))/((N(S206)+N(S207)+N(S208)+N(S211)+N(S229)+N(S232))+S265),""),"")</f>
        <v>0.398097311911511</v>
      </c>
      <c r="T329" s="258">
        <f>IFERROR(IF(((N(T206)+N(T207)+N(T208)+N(T211)+N(T229)+N(T232))+N(T265))&lt;&gt;0,(N(T206)+N(T207)+N(T208)+N(T211)+N(T229)+N(T232))/((N(T206)+N(T207)+N(T208)+N(T211)+N(T229)+N(T232))+T265),""),"")</f>
        <v>0.387905040280547</v>
      </c>
      <c r="U329" s="258">
        <f>IFERROR(IF(((N(U206)+N(U207)+N(U208)+N(U211)+N(U229)+N(U232))+N(U265))&lt;&gt;0,(N(U206)+N(U207)+N(U208)+N(U211)+N(U229)+N(U232))/((N(U206)+N(U207)+N(U208)+N(U211)+N(U229)+N(U232))+U265),""),"")</f>
        <v>0.392780981210308</v>
      </c>
      <c r="V329" s="258">
        <f>IFERROR(IF(((N(V206)+N(V207)+N(V208)+N(V211)+N(V229)+N(V232))+N(V265))&lt;&gt;0,(N(V206)+N(V207)+N(V208)+N(V211)+N(V229)+N(V232))/((N(V206)+N(V207)+N(V208)+N(V211)+N(V229)+N(V232))+V265),""),"")</f>
        <v>0.413965539944211</v>
      </c>
      <c r="W329" s="258">
        <f>IFERROR(IF(((N(W206)+N(W207)+N(W208)+N(W211)+N(W229)+N(W232))+N(W265))&lt;&gt;0,(N(W206)+N(W207)+N(W208)+N(W211)+N(W229)+N(W232))/((N(W206)+N(W207)+N(W208)+N(W211)+N(W229)+N(W232))+W265),""),"")</f>
        <v>0.413965539944211</v>
      </c>
      <c r="X329" s="258">
        <f>IFERROR(IF(((N(X206)+N(X207)+N(X208)+N(X211)+N(X229)+N(X232))+N(X265))&lt;&gt;0,(N(X206)+N(X207)+N(X208)+N(X211)+N(X229)+N(X232))/((N(X206)+N(X207)+N(X208)+N(X211)+N(X229)+N(X232))+X265),""),"")</f>
        <v>0.396139789217968</v>
      </c>
      <c r="Y329" s="258">
        <f>IFERROR(IF(((N(Y206)+N(Y207)+N(Y208)+N(Y211)+N(Y229)+N(Y232))+N(Y265))&lt;&gt;0,(N(Y206)+N(Y207)+N(Y208)+N(Y211)+N(Y229)+N(Y232))/((N(Y206)+N(Y207)+N(Y208)+N(Y211)+N(Y229)+N(Y232))+Y265),""),"")</f>
        <v>0.387337121757223</v>
      </c>
      <c r="Z329" s="258">
        <f>IFERROR(IF(((N(Z206)+N(Z207)+N(Z208)+N(Z211)+N(Z229)+N(Z232))+N(Z265))&lt;&gt;0,(N(Z206)+N(Z207)+N(Z208)+N(Z211)+N(Z229)+N(Z232))/((N(Z206)+N(Z207)+N(Z208)+N(Z211)+N(Z229)+N(Z232))+Z265),""),"")</f>
        <v>0.412932188836234</v>
      </c>
      <c r="AA329" s="258">
        <f>IFERROR(IF(((N(AA206)+N(AA207)+N(AA208)+N(AA211)+N(AA229)+N(AA232))+N(AA265))&lt;&gt;0,(N(AA206)+N(AA207)+N(AA208)+N(AA211)+N(AA229)+N(AA232))/((N(AA206)+N(AA207)+N(AA208)+N(AA211)+N(AA229)+N(AA232))+AA265),""),"")</f>
        <v>0.386417215672593</v>
      </c>
      <c r="AB329" s="258">
        <f>IFERROR(IF(((N(AB206)+N(AB207)+N(AB208)+N(AB211)+N(AB229)+N(AB232))+N(AB265))&lt;&gt;0,(N(AB206)+N(AB207)+N(AB208)+N(AB211)+N(AB229)+N(AB232))/((N(AB206)+N(AB207)+N(AB208)+N(AB211)+N(AB229)+N(AB232))+AB265),""),"")</f>
        <v>0.386417215672593</v>
      </c>
      <c r="AC329" s="258">
        <f>IFERROR(IF(((N(AC206)+N(AC207)+N(AC208)+N(AC211)+N(AC229)+N(AC232))+N(AC265))&lt;&gt;0,(N(AC206)+N(AC207)+N(AC208)+N(AC211)+N(AC229)+N(AC232))/((N(AC206)+N(AC207)+N(AC208)+N(AC211)+N(AC229)+N(AC232))+AC265),""),"")</f>
        <v>0.384605492673823</v>
      </c>
      <c r="AD329" s="258">
        <f>IFERROR(IF(((N(AD206)+N(AD207)+N(AD208)+N(AD211)+N(AD229)+N(AD232))+N(AD265))&lt;&gt;0,(N(AD206)+N(AD207)+N(AD208)+N(AD211)+N(AD229)+N(AD232))/((N(AD206)+N(AD207)+N(AD208)+N(AD211)+N(AD229)+N(AD232))+AD265),""),"")</f>
        <v>0.366785115786394</v>
      </c>
      <c r="AE329" s="258">
        <f>IFERROR(IF(((N(AE206)+N(AE207)+N(AE208)+N(AE211)+N(AE229)+N(AE232))+N(AE265))&lt;&gt;0,(N(AE206)+N(AE207)+N(AE208)+N(AE211)+N(AE229)+N(AE232))/((N(AE206)+N(AE207)+N(AE208)+N(AE211)+N(AE229)+N(AE232))+AE265),""),"")</f>
        <v>0.357844479267478</v>
      </c>
      <c r="AF329" s="258">
        <f>IFERROR(IF(((N(AF206)+N(AF207)+N(AF208)+N(AF211)+N(AF229)+N(AF232))+N(AF265))&lt;&gt;0,(N(AF206)+N(AF207)+N(AF208)+N(AF211)+N(AF229)+N(AF232))/((N(AF206)+N(AF207)+N(AF208)+N(AF211)+N(AF229)+N(AF232))+AF265),""),"")</f>
        <v>0.352079505483232</v>
      </c>
      <c r="AG329" s="258">
        <f>IFERROR(IF(((N(AG206)+N(AG207)+N(AG208)+N(AG211)+N(AG229)+N(AG232))+N(AG265))&lt;&gt;0,(N(AG206)+N(AG207)+N(AG208)+N(AG211)+N(AG229)+N(AG232))/((N(AG206)+N(AG207)+N(AG208)+N(AG211)+N(AG229)+N(AG232))+AG265),""),"")</f>
        <v>0.352079505483232</v>
      </c>
      <c r="AH329" s="258">
        <f>IFERROR(IF(((N(AH206)+N(AH207)+N(AH208)+N(AH211)+N(AH229)+N(AH232))+N(AH265))&lt;&gt;0,(N(AH206)+N(AH207)+N(AH208)+N(AH211)+N(AH229)+N(AH232))/((N(AH206)+N(AH207)+N(AH208)+N(AH211)+N(AH229)+N(AH232))+AH265),""),"")</f>
        <v>0.315706527910279</v>
      </c>
      <c r="AI329" s="258">
        <f>IFERROR(IF(((N(AI206)+N(AI207)+N(AI208)+N(AI211)+N(AI229)+N(AI232))+N(AI265))&lt;&gt;0,(N(AI206)+N(AI207)+N(AI208)+N(AI211)+N(AI229)+N(AI232))/((N(AI206)+N(AI207)+N(AI208)+N(AI211)+N(AI229)+N(AI232))+AI265),""),"")</f>
        <v>0.321836908355341</v>
      </c>
      <c r="AJ329" s="258">
        <f>IFERROR(IF(((N(AJ206)+N(AJ207)+N(AJ208)+N(AJ211)+N(AJ229)+N(AJ232))+N(AJ265))&lt;&gt;0,(N(AJ206)+N(AJ207)+N(AJ208)+N(AJ211)+N(AJ229)+N(AJ232))/((N(AJ206)+N(AJ207)+N(AJ208)+N(AJ211)+N(AJ229)+N(AJ232))+AJ265),""),"")</f>
        <v>0.295503617442152</v>
      </c>
      <c r="AK329" s="258">
        <f>IFERROR(IF(((N(AK206)+N(AK207)+N(AK208)+N(AK211)+N(AK229)+N(AK232))+N(AK265))&lt;&gt;0,(N(AK206)+N(AK207)+N(AK208)+N(AK211)+N(AK229)+N(AK232))/((N(AK206)+N(AK207)+N(AK208)+N(AK211)+N(AK229)+N(AK232))+AK265),""),"")</f>
        <v>0.272187063145125</v>
      </c>
      <c r="AL329" s="258">
        <f>IFERROR(IF(((N(AL206)+N(AL207)+N(AL208)+N(AL211)+N(AL229)+N(AL232))+N(AL265))&lt;&gt;0,(N(AL206)+N(AL207)+N(AL208)+N(AL211)+N(AL229)+N(AL232))/((N(AL206)+N(AL207)+N(AL208)+N(AL211)+N(AL229)+N(AL232))+AL265),""),"")</f>
        <v>0.272187063145125</v>
      </c>
      <c r="AM329" s="258">
        <f>IFERROR(IF(((N(AM206)+N(AM207)+N(AM208)+N(AM211)+N(AM229)+N(AM232))+N(AM265))&lt;&gt;0,(N(AM206)+N(AM207)+N(AM208)+N(AM211)+N(AM229)+N(AM232))/((N(AM206)+N(AM207)+N(AM208)+N(AM211)+N(AM229)+N(AM232))+AM265),""),"")</f>
        <v>0.251976665512443</v>
      </c>
      <c r="AN329" s="258">
        <f>IFERROR(IF(((N(AN206)+N(AN207)+N(AN208)+N(AN211)+N(AN229)+N(AN232))+N(AN265))&lt;&gt;0,(N(AN206)+N(AN207)+N(AN208)+N(AN211)+N(AN229)+N(AN232))/((N(AN206)+N(AN207)+N(AN208)+N(AN211)+N(AN229)+N(AN232))+AN265),""),"")</f>
        <v>0.234150326243151</v>
      </c>
      <c r="AO329" s="258">
        <f>IFERROR(IF(((N(AO206)+N(AO207)+N(AO208)+N(AO211)+N(AO229)+N(AO232))+N(AO265))&lt;&gt;0,(N(AO206)+N(AO207)+N(AO208)+N(AO211)+N(AO229)+N(AO232))/((N(AO206)+N(AO207)+N(AO208)+N(AO211)+N(AO229)+N(AO232))+AO265),""),"")</f>
        <v>0.21784383903138</v>
      </c>
      <c r="AP329" s="258">
        <f>IFERROR(IF(((N(AP206)+N(AP207)+N(AP208)+N(AP211)+N(AP229)+N(AP232))+N(AP265))&lt;&gt;0,(N(AP206)+N(AP207)+N(AP208)+N(AP211)+N(AP229)+N(AP232))/((N(AP206)+N(AP207)+N(AP208)+N(AP211)+N(AP229)+N(AP232))+AP265),""),"")</f>
        <v>0.203039984124389</v>
      </c>
      <c r="AQ329" s="258">
        <f>IFERROR(IF(((N(AQ206)+N(AQ207)+N(AQ208)+N(AQ211)+N(AQ229)+N(AQ232))+N(AQ265))&lt;&gt;0,(N(AQ206)+N(AQ207)+N(AQ208)+N(AQ211)+N(AQ229)+N(AQ232))/((N(AQ206)+N(AQ207)+N(AQ208)+N(AQ211)+N(AQ229)+N(AQ232))+AQ265),""),"")</f>
        <v>0.203039984124389</v>
      </c>
      <c r="AR329" s="258">
        <f>IFERROR(IF(((N(AR206)+N(AR207)+N(AR208)+N(AR211)+N(AR229)+N(AR232))+N(AR265))&lt;&gt;0,(N(AR206)+N(AR207)+N(AR208)+N(AR211)+N(AR229)+N(AR232))/((N(AR206)+N(AR207)+N(AR208)+N(AR211)+N(AR229)+N(AR232))+AR265),""),"")</f>
        <v>0.189973727838379</v>
      </c>
      <c r="AS329" s="258">
        <f>IFERROR(IF(((N(AS206)+N(AS207)+N(AS208)+N(AS211)+N(AS229)+N(AS232))+N(AS265))&lt;&gt;0,(N(AS206)+N(AS207)+N(AS208)+N(AS211)+N(AS229)+N(AS232))/((N(AS206)+N(AS207)+N(AS208)+N(AS211)+N(AS229)+N(AS232))+AS265),""),"")</f>
        <v>0.178214656086987</v>
      </c>
      <c r="AT329" s="258">
        <f>IFERROR(IF(((N(AT206)+N(AT207)+N(AT208)+N(AT211)+N(AT229)+N(AT232))+N(AT265))&lt;&gt;0,(N(AT206)+N(AT207)+N(AT208)+N(AT211)+N(AT229)+N(AT232))/((N(AT206)+N(AT207)+N(AT208)+N(AT211)+N(AT229)+N(AT232))+AT265),""),"")</f>
        <v>0.16726032836743</v>
      </c>
      <c r="AU329" s="258">
        <f>IFERROR(IF(((N(AU206)+N(AU207)+N(AU208)+N(AU211)+N(AU229)+N(AU232))+N(AU265))&lt;&gt;0,(N(AU206)+N(AU207)+N(AU208)+N(AU211)+N(AU229)+N(AU232))/((N(AU206)+N(AU207)+N(AU208)+N(AU211)+N(AU229)+N(AU232))+AU265),""),"")</f>
        <v>0.157147395978584</v>
      </c>
      <c r="AV329" s="258">
        <f>IFERROR(IF(((N(AV206)+N(AV207)+N(AV208)+N(AV211)+N(AV229)+N(AV232))+N(AV265))&lt;&gt;0,(N(AV206)+N(AV207)+N(AV208)+N(AV211)+N(AV229)+N(AV232))/((N(AV206)+N(AV207)+N(AV208)+N(AV211)+N(AV229)+N(AV232))+AV265),""),"")</f>
        <v>0.157147395978584</v>
      </c>
      <c r="AW329" s="258">
        <f>IFERROR(IF(((N(AW206)+N(AW207)+N(AW208)+N(AW211)+N(AW229)+N(AW232))+N(AW265))&lt;&gt;0,(N(AW206)+N(AW207)+N(AW208)+N(AW211)+N(AW229)+N(AW232))/((N(AW206)+N(AW207)+N(AW208)+N(AW211)+N(AW229)+N(AW232))+AW265),""),"")</f>
        <v>0.148122539458591</v>
      </c>
      <c r="AX329" s="258">
        <f>IFERROR(IF(((N(AX206)+N(AX207)+N(AX208)+N(AX211)+N(AX229)+N(AX232))+N(AX265))&lt;&gt;0,(N(AX206)+N(AX207)+N(AX208)+N(AX211)+N(AX229)+N(AX232))/((N(AX206)+N(AX207)+N(AX208)+N(AX211)+N(AX229)+N(AX232))+AX265),""),"")</f>
        <v>0.139885595071364</v>
      </c>
      <c r="AY329" s="258">
        <f>IFERROR(IF(((N(AY206)+N(AY207)+N(AY208)+N(AY211)+N(AY229)+N(AY232))+N(AY265))&lt;&gt;0,(N(AY206)+N(AY207)+N(AY208)+N(AY211)+N(AY229)+N(AY232))/((N(AY206)+N(AY207)+N(AY208)+N(AY211)+N(AY229)+N(AY232))+AY265),""),"")</f>
        <v>0.132112361302227</v>
      </c>
      <c r="AZ329" s="258">
        <f>IFERROR(IF(((N(AZ206)+N(AZ207)+N(AZ208)+N(AZ211)+N(AZ229)+N(AZ232))+N(AZ265))&lt;&gt;0,(N(AZ206)+N(AZ207)+N(AZ208)+N(AZ211)+N(AZ229)+N(AZ232))/((N(AZ206)+N(AZ207)+N(AZ208)+N(AZ211)+N(AZ229)+N(AZ232))+AZ265),""),"")</f>
        <v>0.124848940629016</v>
      </c>
      <c r="BA329" s="258">
        <f>IFERROR(IF(((N(BA206)+N(BA207)+N(BA208)+N(BA211)+N(BA229)+N(BA232))+N(BA265))&lt;&gt;0,(N(BA206)+N(BA207)+N(BA208)+N(BA211)+N(BA229)+N(BA232))/((N(BA206)+N(BA207)+N(BA208)+N(BA211)+N(BA229)+N(BA232))+BA265),""),"")</f>
        <v>0.124848940629016</v>
      </c>
      <c r="BB329" s="258">
        <f>IFERROR(IF(((N(BB206)+N(BB207)+N(BB208)+N(BB211)+N(BB229)+N(BB232))+N(BB265))&lt;&gt;0,(N(BB206)+N(BB207)+N(BB208)+N(BB211)+N(BB229)+N(BB232))/((N(BB206)+N(BB207)+N(BB208)+N(BB211)+N(BB229)+N(BB232))+BB265),""),"")</f>
        <v>0.118322182287391</v>
      </c>
      <c r="BC329" s="258">
        <f>IFERROR(IF(((N(BC206)+N(BC207)+N(BC208)+N(BC211)+N(BC229)+N(BC232))+N(BC265))&lt;&gt;0,(N(BC206)+N(BC207)+N(BC208)+N(BC211)+N(BC229)+N(BC232))/((N(BC206)+N(BC207)+N(BC208)+N(BC211)+N(BC229)+N(BC232))+BC265),""),"")</f>
        <v>0.112302650665784</v>
      </c>
      <c r="BD329" s="258">
        <f>IFERROR(IF(((N(BD206)+N(BD207)+N(BD208)+N(BD211)+N(BD229)+N(BD232))+N(BD265))&lt;&gt;0,(N(BD206)+N(BD207)+N(BD208)+N(BD211)+N(BD229)+N(BD232))/((N(BD206)+N(BD207)+N(BD208)+N(BD211)+N(BD229)+N(BD232))+BD265),""),"")</f>
        <v>0.106566375033859</v>
      </c>
      <c r="BE329" s="258">
        <f>IFERROR(IF(((N(BE206)+N(BE207)+N(BE208)+N(BE211)+N(BE229)+N(BE232))+N(BE265))&lt;&gt;0,(N(BE206)+N(BE207)+N(BE208)+N(BE211)+N(BE229)+N(BE232))/((N(BE206)+N(BE207)+N(BE208)+N(BE211)+N(BE229)+N(BE232))+BE265),""),"")</f>
        <v>0.101156805441624</v>
      </c>
      <c r="BF329" s="258">
        <f>IFERROR(IF(((N(BF206)+N(BF207)+N(BF208)+N(BF211)+N(BF229)+N(BF232))+N(BF265))&lt;&gt;0,(N(BF206)+N(BF207)+N(BF208)+N(BF211)+N(BF229)+N(BF232))/((N(BF206)+N(BF207)+N(BF208)+N(BF211)+N(BF229)+N(BF232))+BF265),""),"")</f>
        <v>0.101156805441624</v>
      </c>
      <c r="BG329" s="80" t="n"/>
      <c r="BH329" s="80" t="n"/>
      <c r="BI329" s="80" t="n"/>
      <c r="BJ329" s="80" t="n"/>
      <c r="BL329" s="80" t="n"/>
      <c r="BM329" s="80" t="n"/>
      <c r="BN329" s="80" t="n"/>
      <c r="BO329" s="80" t="n"/>
      <c r="BQ329" s="80" t="n"/>
      <c r="BR329" s="80" t="n"/>
      <c r="BS329" s="80" t="n"/>
      <c r="BT329" s="80" t="n"/>
      <c r="BV329" s="80" t="n"/>
      <c r="BW329" s="80" t="n"/>
      <c r="BX329" s="80" t="n"/>
      <c r="BY329" s="80" t="n"/>
      <c r="CA329" s="80" t="n"/>
      <c r="CB329" s="80" t="n"/>
      <c r="CC329" s="80" t="n"/>
      <c r="CD329" s="80" t="n"/>
      <c r="CF329" s="80" t="n"/>
      <c r="CG329" s="80" t="n"/>
      <c r="CH329" s="80" t="n"/>
      <c r="CI329" s="80" t="n"/>
      <c r="CK329" s="80" t="n"/>
      <c r="CL329" s="80" t="n"/>
      <c r="CM329" s="80" t="n"/>
      <c r="CN329" s="80" t="n"/>
      <c r="CP329" s="80" t="n"/>
      <c r="CQ329" s="80" t="n"/>
      <c r="CR329" s="80" t="n"/>
      <c r="CS329" s="80" t="n"/>
      <c r="CU329" s="80" t="n"/>
      <c r="CV329" s="80" t="n"/>
      <c r="CW329" s="80" t="n"/>
      <c r="CX329" s="80" t="n"/>
    </row>
    <row r="330" customFormat="1" s="77">
      <c r="A330" s="76" t="n"/>
      <c r="B330" s="76" t="n"/>
      <c r="C330" s="77" t="inlineStr">
        <is>
          <t>NET DEBT / EBITDA (LTM)</t>
        </is>
      </c>
      <c r="D330" s="82" t="str">
        <f>IFERROR(SUM((D206+D207+D208+D211+D229)-D138)/(D63*4),"")</f>
        <v/>
      </c>
      <c r="E330" s="82" t="str">
        <f>IFERROR(SUM((E206+E207+E208+E211+E229)-E138)/(E63*4),"")</f>
        <v/>
      </c>
      <c r="F330" s="82" t="str">
        <f>IFERROR(SUM((F206+F207+F208+F211+F229)-F138)/(F63*4),"")</f>
        <v/>
      </c>
      <c r="G330" s="82" t="str">
        <f>IFERROR(SUM((G206+G207+G208+G211+G229)-G138)/(G63*4),"")</f>
        <v/>
      </c>
      <c r="H330" s="262" t="str">
        <f>IFERROR(IF(AND(COUNT(H63)=1,(H63)&lt;&gt;0),((N(H206)+N(H207)+N(H208)+N(H211)+N(H229)+N(H232))-N(H138))/(H63),""),"")</f>
        <v/>
      </c>
      <c r="I330" s="262" t="str">
        <f>""</f>
        <v/>
      </c>
      <c r="J330" s="262" t="str">
        <f>""</f>
        <v/>
      </c>
      <c r="K330" s="262" t="str">
        <f>""</f>
        <v/>
      </c>
      <c r="L330" s="262">
        <f>IFERROR(IF(AND(COUNT(I63,J63,K63,L63)=4,(I63+J63+K63+L63)&lt;&gt;0),((N(L206)+N(L207)+N(L208)+N(L211)+N(L229)+N(L232))-N(L138))/(I63+J63+K63+L63),""),"")</f>
        <v>1.46262791622761</v>
      </c>
      <c r="M330" s="262">
        <f>IFERROR(IF(AND(COUNT(I63,J63,K63,L63)=4,(I63+J63+K63+L63)&lt;&gt;0),((N(M206)+N(M207)+N(M208)+N(M211)+N(M229)+N(M232))-N(M138))/(I63+J63+K63+L63),""),"")</f>
        <v>1.46262791622761</v>
      </c>
      <c r="N330" s="262">
        <f>IFERROR(IF(AND(COUNT(J63,K63,L63,N63)=4,(J63+K63+L63+N63)&lt;&gt;0),((N(N206)+N(N207)+N(N208)+N(N211)+N(N229)+N(N232))-N(N138))/(J63+K63+L63+N63),""),"")</f>
        <v>1.32107326322001</v>
      </c>
      <c r="O330" s="262">
        <f>IFERROR(IF(AND(COUNT(K63,L63,N63,O63)=4,(K63+L63+N63+O63)&lt;&gt;0),((N(O206)+N(O207)+N(O208)+N(O211)+N(O229)+N(O232))-N(O138))/(K63+L63+N63+O63),""),"")</f>
        <v>1.35069532960171</v>
      </c>
      <c r="P330" s="262">
        <f>IFERROR(IF(AND(COUNT(L63,N63,O63,P63)=4,(L63+N63+O63+P63)&lt;&gt;0),((N(P206)+N(P207)+N(P208)+N(P211)+N(P229)+N(P232))-N(P138))/(L63+N63+O63+P63),""),"")</f>
        <v>1.29100215610291</v>
      </c>
      <c r="Q330" s="262">
        <f>IFERROR(IF(AND(COUNT(N63,O63,P63,Q63)=4,(N63+O63+P63+Q63)&lt;&gt;0),((N(Q206)+N(Q207)+N(Q208)+N(Q211)+N(Q229)+N(Q232))-N(Q138))/(N63+O63+P63+Q63),""),"")</f>
        <v>1.38949760223321</v>
      </c>
      <c r="R330" s="262">
        <f>IFERROR(IF(AND(COUNT(N63,O63,P63,Q63)=4,(N63+O63+P63+Q63)&lt;&gt;0),((N(R206)+N(R207)+N(R208)+N(R211)+N(R229)+N(R232))-N(R138))/(N63+O63+P63+Q63),""),"")</f>
        <v>1.38949760223321</v>
      </c>
      <c r="S330" s="262">
        <f>IFERROR(IF(AND(COUNT(O63,P63,Q63,S63)=4,(O63+P63+Q63+S63)&lt;&gt;0),((N(S206)+N(S207)+N(S208)+N(S211)+N(S229)+N(S232))-N(S138))/(O63+P63+Q63+S63),""),"")</f>
        <v>1.1539274960601</v>
      </c>
      <c r="T330" s="262">
        <f>IFERROR(IF(AND(COUNT(P63,Q63,S63,T63)=4,(P63+Q63+S63+T63)&lt;&gt;0),((N(T206)+N(T207)+N(T208)+N(T211)+N(T229)+N(T232))-N(T138))/(P63+Q63+S63+T63),""),"")</f>
        <v>0.984928586794261</v>
      </c>
      <c r="U330" s="262">
        <f>IFERROR(IF(AND(COUNT(Q63,S63,T63,U63)=4,(Q63+S63+T63+U63)&lt;&gt;0),((N(U206)+N(U207)+N(U208)+N(U211)+N(U229)+N(U232))-N(U138))/(Q63+S63+T63+U63),""),"")</f>
        <v>1.00962981622255</v>
      </c>
      <c r="V330" s="262">
        <f>IFERROR(IF(AND(COUNT(S63,T63,U63,V63)=4,(S63+T63+U63+V63)&lt;&gt;0),((N(V206)+N(V207)+N(V208)+N(V211)+N(V229)+N(V232))-N(V138))/(S63+T63+U63+V63),""),"")</f>
        <v>1.01291555816959</v>
      </c>
      <c r="W330" s="262">
        <f>IFERROR(IF(AND(COUNT(S63,T63,U63,V63)=4,(S63+T63+U63+V63)&lt;&gt;0),((N(W206)+N(W207)+N(W208)+N(W211)+N(W229)+N(W232))-N(W138))/(S63+T63+U63+V63),""),"")</f>
        <v>1.01291555816959</v>
      </c>
      <c r="X330" s="262">
        <f>IFERROR(IF(AND(COUNT(T63,U63,V63,X63)=4,(T63+U63+V63+X63)&lt;&gt;0),((N(X206)+N(X207)+N(X208)+N(X211)+N(X229)+N(X232))-N(X138))/(T63+U63+V63+X63),""),"")</f>
        <v>0.847335166044133</v>
      </c>
      <c r="Y330" s="262">
        <f>IFERROR(IF(AND(COUNT(U63,V63,X63,Y63)=4,(U63+V63+X63+Y63)&lt;&gt;0),((N(Y206)+N(Y207)+N(Y208)+N(Y211)+N(Y229)+N(Y232))-N(Y138))/(U63+V63+X63+Y63),""),"")</f>
        <v>0.814377329027142</v>
      </c>
      <c r="Z330" s="262">
        <f>IFERROR(IF(AND(COUNT(V63,X63,Y63,Z63)=4,(V63+X63+Y63+Z63)&lt;&gt;0),((N(Z206)+N(Z207)+N(Z208)+N(Z211)+N(Z229)+N(Z232))-N(Z138))/(V63+X63+Y63+Z63),""),"")</f>
        <v>0.677304741683764</v>
      </c>
      <c r="AA330" s="262">
        <f>IFERROR(IF(AND(COUNT(X63,Y63,Z63,AA63)=4,(X63+Y63+Z63+AA63)&lt;&gt;0),((N(AA206)+N(AA207)+N(AA208)+N(AA211)+N(AA229)+N(AA232))-N(AA138))/(X63+Y63+Z63+AA63),""),"")</f>
        <v>0.558232854369337</v>
      </c>
      <c r="AB330" s="262">
        <f>IFERROR(IF(AND(COUNT(X63,Y63,Z63,AA63)=4,(X63+Y63+Z63+AA63)&lt;&gt;0),((N(AB206)+N(AB207)+N(AB208)+N(AB211)+N(AB229)+N(AB232))-N(AB138))/(X63+Y63+Z63+AA63),""),"")</f>
        <v>0.558232854369337</v>
      </c>
      <c r="AC330" s="262">
        <f>IFERROR(IF(AND(COUNT(Y63,Z63,AA63,AC63)=4,(Y63+Z63+AA63+AC63)&lt;&gt;0),((N(AC206)+N(AC207)+N(AC208)+N(AC211)+N(AC229)+N(AC232))-N(AC138))/(Y63+Z63+AA63+AC63),""),"")</f>
        <v>0.58023650787082</v>
      </c>
      <c r="AD330" s="262">
        <f>IFERROR(IF(AND(COUNT(Z63,AA63,AC63,AD63)=4,(Z63+AA63+AC63+AD63)&lt;&gt;0),((N(AD206)+N(AD207)+N(AD208)+N(AD211)+N(AD229)+N(AD232))-N(AD138))/(Z63+AA63+AC63+AD63),""),"")</f>
        <v>0.480232950787871</v>
      </c>
      <c r="AE330" s="262">
        <f>IFERROR(IF(AND(COUNT(AA63,AC63,AD63,AE63)=4,(AA63+AC63+AD63+AE63)&lt;&gt;0),((N(AE206)+N(AE207)+N(AE208)+N(AE211)+N(AE229)+N(AE232))-N(AE138))/(AA63+AC63+AD63+AE63),""),"")</f>
        <v>0.396204030470828</v>
      </c>
      <c r="AF330" s="262">
        <f>IFERROR(IF(AND(COUNT(AB63,AD63,AE63,AF63)=4,(AB63+AD63+AE63+AF63)&lt;&gt;0),((N(AF206)+N(AF207)+N(AF208)+N(AF211)+N(AF229)+N(AF232))-N(AF138))/(AB63+AD63+AE63+AF63),""),"")</f>
        <v>0.257417423732763</v>
      </c>
      <c r="AG330" s="262">
        <f>IFERROR(IF(AND(COUNT(AC63,AD63,AE63,AF63)=4,(AC63+AD63+AE63+AF63)&lt;&gt;0),((N(AG206)+N(AG207)+N(AG208)+N(AG211)+N(AG229)+N(AG232))-N(AG138))/(AC63+AD63+AE63+AF63),""),"")</f>
        <v>0.395349938711531</v>
      </c>
      <c r="AH330" s="262">
        <f>IFERROR(IF(AND(COUNT(AD63,AF63,AG63,AH63)=4,(AD63+AF63+AG63+AH63)&lt;&gt;0),((N(AH206)+N(AH207)+N(AH208)+N(AH211)+N(AH229)+N(AH232))-N(AH138))/(AD63+AF63+AG63+AH63),""),"")</f>
        <v>0.084186120645513</v>
      </c>
      <c r="AI330" s="262">
        <f>IFERROR(IF(AND(COUNT(AE63,AG63,AH63,AI63)=4,(AE63+AG63+AH63+AI63)&lt;&gt;0),((N(AI206)+N(AI207)+N(AI208)+N(AI211)+N(AI229)+N(AI232))-N(AI138))/(AE63+AG63+AH63+AI63),""),"")</f>
        <v>0.204440473878975</v>
      </c>
      <c r="AJ330" s="262">
        <f>IFERROR(IF(AND(COUNT(AF63,AH63,AI63,AJ63)=4,(AF63+AH63+AI63+AJ63)&lt;&gt;0),((N(AJ206)+N(AJ207)+N(AJ208)+N(AJ211)+N(AJ229)+N(AJ232))-N(AJ138))/(AF63+AH63+AI63+AJ63),""),"")</f>
        <v>0.0530937149039672</v>
      </c>
      <c r="AK330" s="262">
        <f>IFERROR(IF(AND(COUNT(AH63,AI63,AJ63,AK63)=4,(AH63+AI63+AJ63+AK63)&lt;&gt;0),((N(AK206)+N(AK207)+N(AK208)+N(AK211)+N(AK229)+N(AK232))-N(AK138))/(AH63+AI63+AJ63+AK63),""),"")</f>
        <v>-0.222842501790763</v>
      </c>
      <c r="AL330" s="262">
        <f>IFERROR(IF(AND(COUNT(AH63,AI63,AJ63,AK63)=4,(AH63+AI63+AJ63+AK63)&lt;&gt;0),((N(AL206)+N(AL207)+N(AL208)+N(AL211)+N(AL229)+N(AL232))-N(AL138))/(AH63+AI63+AJ63+AK63),""),"")</f>
        <v>-0.222842501790763</v>
      </c>
      <c r="AM330" s="262">
        <f>IFERROR(IF(AND(COUNT(AI63,AJ63,AK63,AM63)=4,(AI63+AJ63+AK63+AM63)&lt;&gt;0),((N(AM206)+N(AM207)+N(AM208)+N(AM211)+N(AM229)+N(AM232))-N(AM138))/(AI63+AJ63+AK63+AM63),""),"")</f>
        <v>-0.491851404990036</v>
      </c>
      <c r="AN330" s="262">
        <f>IFERROR(IF(AND(COUNT(AJ63,AK63,AM63,AN63)=4,(AJ63+AK63+AM63+AN63)&lt;&gt;0),((N(AN206)+N(AN207)+N(AN208)+N(AN211)+N(AN229)+N(AN232))-N(AN138))/(AJ63+AK63+AM63+AN63),""),"")</f>
        <v>-0.764490366988438</v>
      </c>
      <c r="AO330" s="262">
        <f>IFERROR(IF(AND(COUNT(AK63,AM63,AN63,AO63)=4,(AK63+AM63+AN63+AO63)&lt;&gt;0),((N(AO206)+N(AO207)+N(AO208)+N(AO211)+N(AO229)+N(AO232))-N(AO138))/(AK63+AM63+AN63+AO63),""),"")</f>
        <v>-1.02900335264309</v>
      </c>
      <c r="AP330" s="262">
        <f>IFERROR(IF(AND(COUNT(AM63,AN63,AO63,AP63)=4,(AM63+AN63+AO63+AP63)&lt;&gt;0),((N(AP206)+N(AP207)+N(AP208)+N(AP211)+N(AP229)+N(AP232))-N(AP138))/(AM63+AN63+AO63+AP63),""),"")</f>
        <v>-1.29152838585659</v>
      </c>
      <c r="AQ330" s="262">
        <f>IFERROR(IF(AND(COUNT(AM63,AN63,AO63,AP63)=4,(AM63+AN63+AO63+AP63)&lt;&gt;0),((N(AQ206)+N(AQ207)+N(AQ208)+N(AQ211)+N(AQ229)+N(AQ232))-N(AQ138))/(AM63+AN63+AO63+AP63),""),"")</f>
        <v>-1.29152838585659</v>
      </c>
      <c r="AR330" s="262">
        <f>IFERROR(IF(AND(COUNT(AN63,AO63,AP63,AR63)=4,(AN63+AO63+AP63+AR63)&lt;&gt;0),((N(AR206)+N(AR207)+N(AR208)+N(AR211)+N(AR229)+N(AR232))-N(AR138))/(AN63+AO63+AP63+AR63),""),"")</f>
        <v>-1.54448726606364</v>
      </c>
      <c r="AS330" s="262">
        <f>IFERROR(IF(AND(COUNT(AO63,AP63,AR63,AS63)=4,(AO63+AP63+AR63+AS63)&lt;&gt;0),((N(AS206)+N(AS207)+N(AS208)+N(AS211)+N(AS229)+N(AS232))-N(AS138))/(AO63+AP63+AR63+AS63),""),"")</f>
        <v>-1.79358573892541</v>
      </c>
      <c r="AT330" s="262">
        <f>IFERROR(IF(AND(COUNT(AP63,AR63,AS63,AT63)=4,(AP63+AR63+AS63+AT63)&lt;&gt;0),((N(AT206)+N(AT207)+N(AT208)+N(AT211)+N(AT229)+N(AT232))-N(AT138))/(AP63+AR63+AS63+AT63),""),"")</f>
        <v>-2.04620503450435</v>
      </c>
      <c r="AU330" s="262">
        <f>IFERROR(IF(AND(COUNT(AR63,AS63,AT63,AU63)=4,(AR63+AS63+AT63+AU63)&lt;&gt;0),((N(AU206)+N(AU207)+N(AU208)+N(AU211)+N(AU229)+N(AU232))-N(AU138))/(AR63+AS63+AT63+AU63),""),"")</f>
        <v>-2.29972395092995</v>
      </c>
      <c r="AV330" s="262">
        <f>IFERROR(IF(AND(COUNT(AR63,AS63,AT63,AU63)=4,(AR63+AS63+AT63+AU63)&lt;&gt;0),((N(AV206)+N(AV207)+N(AV208)+N(AV211)+N(AV229)+N(AV232))-N(AV138))/(AR63+AS63+AT63+AU63),""),"")</f>
        <v>-2.29972395092995</v>
      </c>
      <c r="AW330" s="262">
        <f>IFERROR(IF(AND(COUNT(AS63,AT63,AU63,AW63)=4,(AS63+AT63+AU63+AW63)&lt;&gt;0),((N(AW206)+N(AW207)+N(AW208)+N(AW211)+N(AW229)+N(AW232))-N(AW138))/(AS63+AT63+AU63+AW63),""),"")</f>
        <v>-2.54751363011661</v>
      </c>
      <c r="AX330" s="262">
        <f>IFERROR(IF(AND(COUNT(AT63,AU63,AW63,AX63)=4,(AT63+AU63+AW63+AX63)&lt;&gt;0),((N(AX206)+N(AX207)+N(AX208)+N(AX211)+N(AX229)+N(AX232))-N(AX138))/(AT63+AU63+AW63+AX63),""),"")</f>
        <v>-2.79407648181959</v>
      </c>
      <c r="AY330" s="262">
        <f>IFERROR(IF(AND(COUNT(AU63,AW63,AX63,AY63)=4,(AU63+AW63+AX63+AY63)&lt;&gt;0),((N(AY206)+N(AY207)+N(AY208)+N(AY211)+N(AY229)+N(AY232))-N(AY138))/(AU63+AW63+AX63+AY63),""),"")</f>
        <v>-3.04750147567377</v>
      </c>
      <c r="AZ330" s="262">
        <f>IFERROR(IF(AND(COUNT(AW63,AX63,AY63,AZ63)=4,(AW63+AX63+AY63+AZ63)&lt;&gt;0),((N(AZ206)+N(AZ207)+N(AZ208)+N(AZ211)+N(AZ229)+N(AZ232))-N(AZ138))/(AW63+AX63+AY63+AZ63),""),"")</f>
        <v>-3.30507409723276</v>
      </c>
      <c r="BA330" s="262">
        <f>IFERROR(IF(AND(COUNT(AW63,AX63,AY63,AZ63)=4,(AW63+AX63+AY63+AZ63)&lt;&gt;0),((N(BA206)+N(BA207)+N(BA208)+N(BA211)+N(BA229)+N(BA232))-N(BA138))/(AW63+AX63+AY63+AZ63),""),"")</f>
        <v>-3.30507409723276</v>
      </c>
      <c r="BB330" s="262">
        <f>IFERROR(IF(AND(COUNT(AX63,AY63,AZ63,BB63)=4,(AX63+AY63+AZ63+BB63)&lt;&gt;0),((N(BB206)+N(BB207)+N(BB208)+N(BB211)+N(BB229)+N(BB232))-N(BB138))/(AX63+AY63+AZ63+BB63),""),"")</f>
        <v>-3.56032826008064</v>
      </c>
      <c r="BC330" s="262">
        <f>IFERROR(IF(AND(COUNT(AY63,AZ63,BB63,BC63)=4,(AY63+AZ63+BB63+BC63)&lt;&gt;0),((N(BC206)+N(BC207)+N(BC208)+N(BC211)+N(BC229)+N(BC232))-N(BC138))/(AY63+AZ63+BB63+BC63),""),"")</f>
        <v>-3.81863138014729</v>
      </c>
      <c r="BD330" s="262">
        <f>IFERROR(IF(AND(COUNT(AZ63,BB63,BC63,BD63)=4,(AZ63+BB63+BC63+BD63)&lt;&gt;0),((N(BD206)+N(BD207)+N(BD208)+N(BD211)+N(BD229)+N(BD232))-N(BD138))/(AZ63+BB63+BC63+BD63),""),"")</f>
        <v>-4.08705907511266</v>
      </c>
      <c r="BE330" s="262">
        <f>IFERROR(IF(AND(COUNT(BB63,BC63,BD63,BE63)=4,(BB63+BC63+BD63+BE63)&lt;&gt;0),((N(BE206)+N(BE207)+N(BE208)+N(BE211)+N(BE229)+N(BE232))-N(BE138))/(BB63+BC63+BD63+BE63),""),"")</f>
        <v>-4.36344797432785</v>
      </c>
      <c r="BF330" s="262">
        <f>IFERROR(IF(AND(COUNT(BB63,BC63,BD63,BE63)=4,(BB63+BC63+BD63+BE63)&lt;&gt;0),((N(BF206)+N(BF207)+N(BF208)+N(BF211)+N(BF229)+N(BF232))-N(BF138))/(BB63+BC63+BD63+BE63),""),"")</f>
        <v>-4.36344797432785</v>
      </c>
      <c r="BG330" s="82" t="n"/>
      <c r="BH330" s="82" t="n"/>
      <c r="BI330" s="82" t="n"/>
      <c r="BJ330" s="82" t="n"/>
      <c r="BL330" s="82" t="n"/>
      <c r="BM330" s="82" t="n"/>
      <c r="BN330" s="82" t="n"/>
      <c r="BO330" s="82" t="n"/>
      <c r="BQ330" s="82" t="n"/>
      <c r="BR330" s="82" t="n"/>
      <c r="BS330" s="82" t="n"/>
      <c r="BT330" s="82" t="n"/>
      <c r="BV330" s="82" t="n"/>
      <c r="BW330" s="82" t="n"/>
      <c r="BX330" s="82" t="n"/>
      <c r="BY330" s="82" t="n"/>
      <c r="CA330" s="82" t="n"/>
      <c r="CB330" s="82" t="n"/>
      <c r="CC330" s="82" t="n"/>
      <c r="CD330" s="82" t="n"/>
      <c r="CF330" s="82" t="n"/>
      <c r="CG330" s="82" t="n"/>
      <c r="CH330" s="82" t="n"/>
      <c r="CI330" s="82" t="n"/>
      <c r="CK330" s="82" t="n"/>
      <c r="CL330" s="82" t="n"/>
      <c r="CM330" s="82" t="n"/>
      <c r="CN330" s="82" t="n"/>
      <c r="CP330" s="82" t="n"/>
      <c r="CQ330" s="82" t="n"/>
      <c r="CR330" s="82" t="n"/>
      <c r="CS330" s="82" t="n"/>
      <c r="CU330" s="82" t="n"/>
      <c r="CV330" s="82" t="n"/>
      <c r="CW330" s="82" t="n"/>
      <c r="CX330" s="82" t="n"/>
    </row>
    <row r="331" customFormat="1" s="77">
      <c r="A331" s="76" t="n"/>
      <c r="B331" s="76" t="n"/>
      <c r="C331" s="83" t="inlineStr">
        <is>
          <t>NET DEBT (EX IFRS 16.) / EBITDA (LTM)</t>
        </is>
      </c>
      <c r="D331" s="82" t="str">
        <f>IFERROR(SUM((D206+D207+D211)-D138)/(D63*4),"")</f>
        <v/>
      </c>
      <c r="E331" s="82" t="str">
        <f>IFERROR(SUM((E206+E207+E211)-E138)/(E63*4),"")</f>
        <v/>
      </c>
      <c r="F331" s="82" t="str">
        <f>IFERROR(SUM((F206+F207+F211)-F138)/(F63*4),"")</f>
        <v/>
      </c>
      <c r="G331" s="82" t="str">
        <f>IFERROR(SUM((G206+G207+G211)-G138)/(G63*4),"")</f>
        <v/>
      </c>
      <c r="H331" s="262" t="str">
        <f>IFERROR(IF(AND(COUNT(H63)=1,(H63)&lt;&gt;0),((N(H206)+N(H207)+N(H211)+N(H232))-N(H138))/(H63),""),"")</f>
        <v/>
      </c>
      <c r="I331" s="262" t="str">
        <f>""</f>
        <v/>
      </c>
      <c r="J331" s="262" t="str">
        <f>""</f>
        <v/>
      </c>
      <c r="K331" s="262" t="str">
        <f>""</f>
        <v/>
      </c>
      <c r="L331" s="262">
        <f>IFERROR(IF(AND(COUNT(I63,J63,K63,L63)=4,(I63+J63+K63+L63)&lt;&gt;0),((N(L206)+N(L207)+N(L211)+N(L232))-N(L138))/(I63+J63+K63+L63),""),"")</f>
        <v>1.46262791622761</v>
      </c>
      <c r="M331" s="262">
        <f>IFERROR(IF(AND(COUNT(I63,J63,K63,L63)=4,(I63+J63+K63+L63)&lt;&gt;0),((N(M206)+N(M207)+N(M211)+N(M232))-N(M138))/(I63+J63+K63+L63),""),"")</f>
        <v>1.46262791622761</v>
      </c>
      <c r="N331" s="262">
        <f>IFERROR(IF(AND(COUNT(J63,K63,L63,N63)=4,(J63+K63+L63+N63)&lt;&gt;0),((N(N206)+N(N207)+N(N211)+N(N232))-N(N138))/(J63+K63+L63+N63),""),"")</f>
        <v>1.32107326322001</v>
      </c>
      <c r="O331" s="262">
        <f>IFERROR(IF(AND(COUNT(K63,L63,N63,O63)=4,(K63+L63+N63+O63)&lt;&gt;0),((N(O206)+N(O207)+N(O211)+N(O232))-N(O138))/(K63+L63+N63+O63),""),"")</f>
        <v>1.35069532960171</v>
      </c>
      <c r="P331" s="262">
        <f>IFERROR(IF(AND(COUNT(L63,N63,O63,P63)=4,(L63+N63+O63+P63)&lt;&gt;0),((N(P206)+N(P207)+N(P211)+N(P232))-N(P138))/(L63+N63+O63+P63),""),"")</f>
        <v>1.29100215610291</v>
      </c>
      <c r="Q331" s="262">
        <f>IFERROR(IF(AND(COUNT(N63,O63,P63,Q63)=4,(N63+O63+P63+Q63)&lt;&gt;0),((N(Q206)+N(Q207)+N(Q211)+N(Q232))-N(Q138))/(N63+O63+P63+Q63),""),"")</f>
        <v>1.38949760223321</v>
      </c>
      <c r="R331" s="262">
        <f>IFERROR(IF(AND(COUNT(N63,O63,P63,Q63)=4,(N63+O63+P63+Q63)&lt;&gt;0),((N(R206)+N(R207)+N(R211)+N(R232))-N(R138))/(N63+O63+P63+Q63),""),"")</f>
        <v>1.38949760223321</v>
      </c>
      <c r="S331" s="262">
        <f>IFERROR(IF(AND(COUNT(O63,P63,Q63,S63)=4,(O63+P63+Q63+S63)&lt;&gt;0),((N(S206)+N(S207)+N(S211)+N(S232))-N(S138))/(O63+P63+Q63+S63),""),"")</f>
        <v>1.1539274960601</v>
      </c>
      <c r="T331" s="262">
        <f>IFERROR(IF(AND(COUNT(P63,Q63,S63,T63)=4,(P63+Q63+S63+T63)&lt;&gt;0),((N(T206)+N(T207)+N(T211)+N(T232))-N(T138))/(P63+Q63+S63+T63),""),"")</f>
        <v>0.984928586794261</v>
      </c>
      <c r="U331" s="262">
        <f>IFERROR(IF(AND(COUNT(Q63,S63,T63,U63)=4,(Q63+S63+T63+U63)&lt;&gt;0),((N(U206)+N(U207)+N(U211)+N(U232))-N(U138))/(Q63+S63+T63+U63),""),"")</f>
        <v>1.00962981622255</v>
      </c>
      <c r="V331" s="262">
        <f>IFERROR(IF(AND(COUNT(S63,T63,U63,V63)=4,(S63+T63+U63+V63)&lt;&gt;0),((N(V206)+N(V207)+N(V211)+N(V232))-N(V138))/(S63+T63+U63+V63),""),"")</f>
        <v>1.01291555816959</v>
      </c>
      <c r="W331" s="262">
        <f>IFERROR(IF(AND(COUNT(S63,T63,U63,V63)=4,(S63+T63+U63+V63)&lt;&gt;0),((N(W206)+N(W207)+N(W211)+N(W232))-N(W138))/(S63+T63+U63+V63),""),"")</f>
        <v>1.01291555816959</v>
      </c>
      <c r="X331" s="262">
        <f>IFERROR(IF(AND(COUNT(T63,U63,V63,X63)=4,(T63+U63+V63+X63)&lt;&gt;0),((N(X206)+N(X207)+N(X211)+N(X232))-N(X138))/(T63+U63+V63+X63),""),"")</f>
        <v>0.847335166044133</v>
      </c>
      <c r="Y331" s="262">
        <f>IFERROR(IF(AND(COUNT(U63,V63,X63,Y63)=4,(U63+V63+X63+Y63)&lt;&gt;0),((N(Y206)+N(Y207)+N(Y211)+N(Y232))-N(Y138))/(U63+V63+X63+Y63),""),"")</f>
        <v>0.814377329027142</v>
      </c>
      <c r="Z331" s="262">
        <f>IFERROR(IF(AND(COUNT(V63,X63,Y63,Z63)=4,(V63+X63+Y63+Z63)&lt;&gt;0),((N(Z206)+N(Z207)+N(Z211)+N(Z232))-N(Z138))/(V63+X63+Y63+Z63),""),"")</f>
        <v>0.677304741683764</v>
      </c>
      <c r="AA331" s="262">
        <f>IFERROR(IF(AND(COUNT(X63,Y63,Z63,AA63)=4,(X63+Y63+Z63+AA63)&lt;&gt;0),((N(AA206)+N(AA207)+N(AA211)+N(AA232))-N(AA138))/(X63+Y63+Z63+AA63),""),"")</f>
        <v>0.558232854369337</v>
      </c>
      <c r="AB331" s="262">
        <f>IFERROR(IF(AND(COUNT(X63,Y63,Z63,AA63)=4,(X63+Y63+Z63+AA63)&lt;&gt;0),((N(AB206)+N(AB207)+N(AB211)+N(AB232))-N(AB138))/(X63+Y63+Z63+AA63),""),"")</f>
        <v>0.558232854369337</v>
      </c>
      <c r="AC331" s="262">
        <f>IFERROR(IF(AND(COUNT(Y63,Z63,AA63,AC63)=4,(Y63+Z63+AA63+AC63)&lt;&gt;0),((N(AC206)+N(AC207)+N(AC211)+N(AC232))-N(AC138))/(Y63+Z63+AA63+AC63),""),"")</f>
        <v>0.58023650787082</v>
      </c>
      <c r="AD331" s="262">
        <f>IFERROR(IF(AND(COUNT(Z63,AA63,AC63,AD63)=4,(Z63+AA63+AC63+AD63)&lt;&gt;0),((N(AD206)+N(AD207)+N(AD211)+N(AD232))-N(AD138))/(Z63+AA63+AC63+AD63),""),"")</f>
        <v>0.480232950787871</v>
      </c>
      <c r="AE331" s="262">
        <f>IFERROR(IF(AND(COUNT(AA63,AC63,AD63,AE63)=4,(AA63+AC63+AD63+AE63)&lt;&gt;0),((N(AE206)+N(AE207)+N(AE211)+N(AE232))-N(AE138))/(AA63+AC63+AD63+AE63),""),"")</f>
        <v>0.396204030470828</v>
      </c>
      <c r="AF331" s="262">
        <f>IFERROR(IF(AND(COUNT(AB63,AD63,AE63,AF63)=4,(AB63+AD63+AE63+AF63)&lt;&gt;0),((N(AF206)+N(AF207)+N(AF211)+N(AF232))-N(AF138))/(AB63+AD63+AE63+AF63),""),"")</f>
        <v>0.257417423732763</v>
      </c>
      <c r="AG331" s="262">
        <f>IFERROR(IF(AND(COUNT(AC63,AD63,AE63,AF63)=4,(AC63+AD63+AE63+AF63)&lt;&gt;0),((N(AG206)+N(AG207)+N(AG211)+N(AG232))-N(AG138))/(AC63+AD63+AE63+AF63),""),"")</f>
        <v>0.395349938711531</v>
      </c>
      <c r="AH331" s="262">
        <f>IFERROR(IF(AND(COUNT(AD63,AF63,AG63,AH63)=4,(AD63+AF63+AG63+AH63)&lt;&gt;0),((N(AH206)+N(AH207)+N(AH211)+N(AH232))-N(AH138))/(AD63+AF63+AG63+AH63),""),"")</f>
        <v>0.084186120645513</v>
      </c>
      <c r="AI331" s="262">
        <f>IFERROR(IF(AND(COUNT(AE63,AG63,AH63,AI63)=4,(AE63+AG63+AH63+AI63)&lt;&gt;0),((N(AI206)+N(AI207)+N(AI211)+N(AI232))-N(AI138))/(AE63+AG63+AH63+AI63),""),"")</f>
        <v>0.204440473878975</v>
      </c>
      <c r="AJ331" s="262">
        <f>IFERROR(IF(AND(COUNT(AF63,AH63,AI63,AJ63)=4,(AF63+AH63+AI63+AJ63)&lt;&gt;0),((N(AJ206)+N(AJ207)+N(AJ211)+N(AJ232))-N(AJ138))/(AF63+AH63+AI63+AJ63),""),"")</f>
        <v>0.0530937149039672</v>
      </c>
      <c r="AK331" s="262">
        <f>IFERROR(IF(AND(COUNT(AH63,AI63,AJ63,AK63)=4,(AH63+AI63+AJ63+AK63)&lt;&gt;0),((N(AK206)+N(AK207)+N(AK211)+N(AK232))-N(AK138))/(AH63+AI63+AJ63+AK63),""),"")</f>
        <v>-0.222842501790763</v>
      </c>
      <c r="AL331" s="262">
        <f>IFERROR(IF(AND(COUNT(AH63,AI63,AJ63,AK63)=4,(AH63+AI63+AJ63+AK63)&lt;&gt;0),((N(AL206)+N(AL207)+N(AL211)+N(AL232))-N(AL138))/(AH63+AI63+AJ63+AK63),""),"")</f>
        <v>-0.222842501790763</v>
      </c>
      <c r="AM331" s="262">
        <f>IFERROR(IF(AND(COUNT(AI63,AJ63,AK63,AM63)=4,(AI63+AJ63+AK63+AM63)&lt;&gt;0),((N(AM206)+N(AM207)+N(AM211)+N(AM232))-N(AM138))/(AI63+AJ63+AK63+AM63),""),"")</f>
        <v>-0.491851404990036</v>
      </c>
      <c r="AN331" s="262">
        <f>IFERROR(IF(AND(COUNT(AJ63,AK63,AM63,AN63)=4,(AJ63+AK63+AM63+AN63)&lt;&gt;0),((N(AN206)+N(AN207)+N(AN211)+N(AN232))-N(AN138))/(AJ63+AK63+AM63+AN63),""),"")</f>
        <v>-0.764490366988438</v>
      </c>
      <c r="AO331" s="262">
        <f>IFERROR(IF(AND(COUNT(AK63,AM63,AN63,AO63)=4,(AK63+AM63+AN63+AO63)&lt;&gt;0),((N(AO206)+N(AO207)+N(AO211)+N(AO232))-N(AO138))/(AK63+AM63+AN63+AO63),""),"")</f>
        <v>-1.02900335264309</v>
      </c>
      <c r="AP331" s="262">
        <f>IFERROR(IF(AND(COUNT(AM63,AN63,AO63,AP63)=4,(AM63+AN63+AO63+AP63)&lt;&gt;0),((N(AP206)+N(AP207)+N(AP211)+N(AP232))-N(AP138))/(AM63+AN63+AO63+AP63),""),"")</f>
        <v>-1.29152838585659</v>
      </c>
      <c r="AQ331" s="262">
        <f>IFERROR(IF(AND(COUNT(AM63,AN63,AO63,AP63)=4,(AM63+AN63+AO63+AP63)&lt;&gt;0),((N(AQ206)+N(AQ207)+N(AQ211)+N(AQ232))-N(AQ138))/(AM63+AN63+AO63+AP63),""),"")</f>
        <v>-1.29152838585659</v>
      </c>
      <c r="AR331" s="262">
        <f>IFERROR(IF(AND(COUNT(AN63,AO63,AP63,AR63)=4,(AN63+AO63+AP63+AR63)&lt;&gt;0),((N(AR206)+N(AR207)+N(AR211)+N(AR232))-N(AR138))/(AN63+AO63+AP63+AR63),""),"")</f>
        <v>-1.54448726606364</v>
      </c>
      <c r="AS331" s="262">
        <f>IFERROR(IF(AND(COUNT(AO63,AP63,AR63,AS63)=4,(AO63+AP63+AR63+AS63)&lt;&gt;0),((N(AS206)+N(AS207)+N(AS211)+N(AS232))-N(AS138))/(AO63+AP63+AR63+AS63),""),"")</f>
        <v>-1.79358573892541</v>
      </c>
      <c r="AT331" s="262">
        <f>IFERROR(IF(AND(COUNT(AP63,AR63,AS63,AT63)=4,(AP63+AR63+AS63+AT63)&lt;&gt;0),((N(AT206)+N(AT207)+N(AT211)+N(AT232))-N(AT138))/(AP63+AR63+AS63+AT63),""),"")</f>
        <v>-2.04620503450435</v>
      </c>
      <c r="AU331" s="262">
        <f>IFERROR(IF(AND(COUNT(AR63,AS63,AT63,AU63)=4,(AR63+AS63+AT63+AU63)&lt;&gt;0),((N(AU206)+N(AU207)+N(AU211)+N(AU232))-N(AU138))/(AR63+AS63+AT63+AU63),""),"")</f>
        <v>-2.29972395092995</v>
      </c>
      <c r="AV331" s="262">
        <f>IFERROR(IF(AND(COUNT(AR63,AS63,AT63,AU63)=4,(AR63+AS63+AT63+AU63)&lt;&gt;0),((N(AV206)+N(AV207)+N(AV211)+N(AV232))-N(AV138))/(AR63+AS63+AT63+AU63),""),"")</f>
        <v>-2.29972395092995</v>
      </c>
      <c r="AW331" s="262">
        <f>IFERROR(IF(AND(COUNT(AS63,AT63,AU63,AW63)=4,(AS63+AT63+AU63+AW63)&lt;&gt;0),((N(AW206)+N(AW207)+N(AW211)+N(AW232))-N(AW138))/(AS63+AT63+AU63+AW63),""),"")</f>
        <v>-2.54751363011661</v>
      </c>
      <c r="AX331" s="262">
        <f>IFERROR(IF(AND(COUNT(AT63,AU63,AW63,AX63)=4,(AT63+AU63+AW63+AX63)&lt;&gt;0),((N(AX206)+N(AX207)+N(AX211)+N(AX232))-N(AX138))/(AT63+AU63+AW63+AX63),""),"")</f>
        <v>-2.79407648181959</v>
      </c>
      <c r="AY331" s="262">
        <f>IFERROR(IF(AND(COUNT(AU63,AW63,AX63,AY63)=4,(AU63+AW63+AX63+AY63)&lt;&gt;0),((N(AY206)+N(AY207)+N(AY211)+N(AY232))-N(AY138))/(AU63+AW63+AX63+AY63),""),"")</f>
        <v>-3.04750147567377</v>
      </c>
      <c r="AZ331" s="262">
        <f>IFERROR(IF(AND(COUNT(AW63,AX63,AY63,AZ63)=4,(AW63+AX63+AY63+AZ63)&lt;&gt;0),((N(AZ206)+N(AZ207)+N(AZ211)+N(AZ232))-N(AZ138))/(AW63+AX63+AY63+AZ63),""),"")</f>
        <v>-3.30507409723276</v>
      </c>
      <c r="BA331" s="262">
        <f>IFERROR(IF(AND(COUNT(AW63,AX63,AY63,AZ63)=4,(AW63+AX63+AY63+AZ63)&lt;&gt;0),((N(BA206)+N(BA207)+N(BA211)+N(BA232))-N(BA138))/(AW63+AX63+AY63+AZ63),""),"")</f>
        <v>-3.30507409723276</v>
      </c>
      <c r="BB331" s="262">
        <f>IFERROR(IF(AND(COUNT(AX63,AY63,AZ63,BB63)=4,(AX63+AY63+AZ63+BB63)&lt;&gt;0),((N(BB206)+N(BB207)+N(BB211)+N(BB232))-N(BB138))/(AX63+AY63+AZ63+BB63),""),"")</f>
        <v>-3.56032826008064</v>
      </c>
      <c r="BC331" s="262">
        <f>IFERROR(IF(AND(COUNT(AY63,AZ63,BB63,BC63)=4,(AY63+AZ63+BB63+BC63)&lt;&gt;0),((N(BC206)+N(BC207)+N(BC211)+N(BC232))-N(BC138))/(AY63+AZ63+BB63+BC63),""),"")</f>
        <v>-3.81863138014729</v>
      </c>
      <c r="BD331" s="262">
        <f>IFERROR(IF(AND(COUNT(AZ63,BB63,BC63,BD63)=4,(AZ63+BB63+BC63+BD63)&lt;&gt;0),((N(BD206)+N(BD207)+N(BD211)+N(BD232))-N(BD138))/(AZ63+BB63+BC63+BD63),""),"")</f>
        <v>-4.08705907511266</v>
      </c>
      <c r="BE331" s="262">
        <f>IFERROR(IF(AND(COUNT(BB63,BC63,BD63,BE63)=4,(BB63+BC63+BD63+BE63)&lt;&gt;0),((N(BE206)+N(BE207)+N(BE211)+N(BE232))-N(BE138))/(BB63+BC63+BD63+BE63),""),"")</f>
        <v>-4.36344797432785</v>
      </c>
      <c r="BF331" s="262">
        <f>IFERROR(IF(AND(COUNT(BB63,BC63,BD63,BE63)=4,(BB63+BC63+BD63+BE63)&lt;&gt;0),((N(BF206)+N(BF207)+N(BF211)+N(BF232))-N(BF138))/(BB63+BC63+BD63+BE63),""),"")</f>
        <v>-4.36344797432785</v>
      </c>
      <c r="BG331" s="82" t="n"/>
      <c r="BH331" s="82" t="n"/>
      <c r="BI331" s="82" t="n"/>
      <c r="BJ331" s="82" t="n"/>
      <c r="BL331" s="82" t="n"/>
      <c r="BM331" s="82" t="n"/>
      <c r="BN331" s="82" t="n"/>
      <c r="BO331" s="82" t="n"/>
      <c r="BQ331" s="82" t="n"/>
      <c r="BR331" s="82" t="n"/>
      <c r="BS331" s="82" t="n"/>
      <c r="BT331" s="82" t="n"/>
      <c r="BV331" s="82" t="n"/>
      <c r="BW331" s="82" t="n"/>
      <c r="BX331" s="82" t="n"/>
      <c r="BY331" s="82" t="n"/>
      <c r="CA331" s="82" t="n"/>
      <c r="CB331" s="82" t="n"/>
      <c r="CC331" s="82" t="n"/>
      <c r="CD331" s="82" t="n"/>
      <c r="CF331" s="82" t="n"/>
      <c r="CG331" s="82" t="n"/>
      <c r="CH331" s="82" t="n"/>
      <c r="CI331" s="82" t="n"/>
      <c r="CK331" s="82" t="n"/>
      <c r="CL331" s="82" t="n"/>
      <c r="CM331" s="82" t="n"/>
      <c r="CN331" s="82" t="n"/>
      <c r="CP331" s="82" t="n"/>
      <c r="CQ331" s="82" t="n"/>
      <c r="CR331" s="82" t="n"/>
      <c r="CS331" s="82" t="n"/>
      <c r="CU331" s="82" t="n"/>
      <c r="CV331" s="82" t="n"/>
      <c r="CW331" s="82" t="n"/>
      <c r="CX331" s="82" t="n"/>
    </row>
    <row r="332" customFormat="1" s="77">
      <c r="A332" s="76" t="n"/>
      <c r="B332" s="76" t="n"/>
      <c r="C332" s="77" t="inlineStr">
        <is>
          <t>INTEREST COVERAGE (EBIT / INTEREST, LTM)</t>
        </is>
      </c>
      <c r="D332" s="82" t="str">
        <f>IFERROR(D67/-D68,"")</f>
        <v/>
      </c>
      <c r="E332" s="82" t="str">
        <f>IFERROR(E67/-E68,"")</f>
        <v/>
      </c>
      <c r="F332" s="82" t="str">
        <f>IFERROR(F67/-F68,"")</f>
        <v/>
      </c>
      <c r="G332" s="82" t="str">
        <f>IFERROR(G67/-G68,"")</f>
        <v/>
      </c>
      <c r="H332" s="262" t="str">
        <f>IFERROR(IF(AND(COUNT(H67)=1,(H68)&lt;&gt;0),(H67)/-(H68),""),"")</f>
        <v/>
      </c>
      <c r="I332" s="262" t="str">
        <f>""</f>
        <v/>
      </c>
      <c r="J332" s="262" t="str">
        <f>""</f>
        <v/>
      </c>
      <c r="K332" s="262" t="str">
        <f>""</f>
        <v/>
      </c>
      <c r="L332" s="262">
        <f>IFERROR(IF(AND(COUNT(I67,J67,K67,L67)=4,(I68+J68+K68+L68)&lt;&gt;0),(I67+J67+K67+L67)/-(I68+J68+K68+L68),""),"")</f>
        <v>8.09084010344557</v>
      </c>
      <c r="M332" s="262">
        <f>IFERROR(IF(AND(COUNT(I67,J67,K67,L67)=4,(I68+J68+K68+L68)&lt;&gt;0),(I67+J67+K67+L67)/-(I68+J68+K68+L68),""),"")</f>
        <v>8.09084010344557</v>
      </c>
      <c r="N332" s="262">
        <f>IFERROR(IF(AND(COUNT(J67,K67,L67,N67)=4,(J68+K68+L68+N68)&lt;&gt;0),(J67+K67+L67+N67)/-(J68+K68+L68+N68),""),"")</f>
        <v>8.1795128624504</v>
      </c>
      <c r="O332" s="262">
        <f>IFERROR(IF(AND(COUNT(K67,L67,N67,O67)=4,(K68+L68+N68+O68)&lt;&gt;0),(K67+L67+N67+O67)/-(K68+L68+N68+O68),""),"")</f>
        <v>7.99164885339995</v>
      </c>
      <c r="P332" s="262">
        <f>IFERROR(IF(AND(COUNT(L67,N67,O67,P67)=4,(L68+N68+O68+P68)&lt;&gt;0),(L67+N67+O67+P67)/-(L68+N68+O68+P68),""),"")</f>
        <v>7.88192756793437</v>
      </c>
      <c r="Q332" s="262">
        <f>IFERROR(IF(AND(COUNT(N67,O67,P67,Q67)=4,(N68+O68+P68+Q68)&lt;&gt;0),(N67+O67+P67+Q67)/-(N68+O68+P68+Q68),""),"")</f>
        <v>7.97611906906141</v>
      </c>
      <c r="R332" s="262">
        <f>IFERROR(IF(AND(COUNT(N67,O67,P67,Q67)=4,(N68+O68+P68+Q68)&lt;&gt;0),(N67+O67+P67+Q67)/-(N68+O68+P68+Q68),""),"")</f>
        <v>7.97611906906141</v>
      </c>
      <c r="S332" s="262">
        <f>IFERROR(IF(AND(COUNT(O67,P67,Q67,S67)=4,(O68+P68+Q68+S68)&lt;&gt;0),(O67+P67+Q67+S67)/-(O68+P68+Q68+S68),""),"")</f>
        <v>7.75831899687099</v>
      </c>
      <c r="T332" s="262">
        <f>IFERROR(IF(AND(COUNT(P67,Q67,S67,T67)=4,(P68+Q68+S68+T68)&lt;&gt;0),(P67+Q67+S67+T67)/-(P68+Q68+S68+T68),""),"")</f>
        <v>8.12508866285579</v>
      </c>
      <c r="U332" s="262">
        <f>IFERROR(IF(AND(COUNT(Q67,S67,T67,U67)=4,(Q68+S68+T68+U68)&lt;&gt;0),(Q67+S67+T67+U67)/-(Q68+S68+T68+U68),""),"")</f>
        <v>8.64161549559346</v>
      </c>
      <c r="V332" s="262">
        <f>IFERROR(IF(AND(COUNT(S67,T67,U67,V67)=4,(S68+T68+U68+V68)&lt;&gt;0),(S67+T67+U67+V67)/-(S68+T68+U68+V68),""),"")</f>
        <v>9.93675999462724</v>
      </c>
      <c r="W332" s="262">
        <f>IFERROR(IF(AND(COUNT(S67,T67,U67,V67)=4,(S68+T68+U68+V68)&lt;&gt;0),(S67+T67+U67+V67)/-(S68+T68+U68+V68),""),"")</f>
        <v>9.93675999462724</v>
      </c>
      <c r="X332" s="262">
        <f>IFERROR(IF(AND(COUNT(T67,U67,V67,X67)=4,(T68+U68+V68+X68)&lt;&gt;0),(T67+U67+V67+X67)/-(T68+U68+V68+X68),""),"")</f>
        <v>11.2637126002109</v>
      </c>
      <c r="Y332" s="262">
        <f>IFERROR(IF(AND(COUNT(U67,V67,X67,Y67)=4,(U68+V68+X68+Y68)&lt;&gt;0),(U67+V67+X67+Y67)/-(U68+V68+X68+Y68),""),"")</f>
        <v>12.495573456634</v>
      </c>
      <c r="Z332" s="262">
        <f>IFERROR(IF(AND(COUNT(V67,X67,Y67,Z67)=4,(V68+X68+Y68+Z68)&lt;&gt;0),(V67+X67+Y67+Z67)/-(V68+X68+Y68+Z68),""),"")</f>
        <v>13.7464418215364</v>
      </c>
      <c r="AA332" s="262">
        <f>IFERROR(IF(AND(COUNT(X67,Y67,Z67,AA67)=4,(X68+Y68+Z68+AA68)&lt;&gt;0),(X67+Y67+Z67+AA67)/-(X68+Y68+Z68+AA68),""),"")</f>
        <v>14.4944144765859</v>
      </c>
      <c r="AB332" s="262">
        <f>IFERROR(IF(AND(COUNT(X67,Y67,Z67,AA67)=4,(X68+Y68+Z68+AA68)&lt;&gt;0),(X67+Y67+Z67+AA67)/-(X68+Y68+Z68+AA68),""),"")</f>
        <v>14.4944144765859</v>
      </c>
      <c r="AC332" s="262">
        <f>IFERROR(IF(AND(COUNT(Y67,Z67,AA67,AC67)=4,(Y68+Z68+AA68+AC68)&lt;&gt;0),(Y67+Z67+AA67+AC67)/-(Y68+Z68+AA68+AC68),""),"")</f>
        <v>15.2579719322196</v>
      </c>
      <c r="AD332" s="262">
        <f>IFERROR(IF(AND(COUNT(Z67,AA67,AC67,AD67)=4,(Z68+AA68+AC68+AD68)&lt;&gt;0),(Z67+AA67+AC67+AD67)/-(Z68+AA68+AC68+AD68),""),"")</f>
        <v>16.5319044304767</v>
      </c>
      <c r="AE332" s="262">
        <f>IFERROR(IF(AND(COUNT(AA67,AC67,AD67,AE67)=4,(AA68+AC68+AD68+AE68)&lt;&gt;0),(AA67+AC67+AD67+AE67)/-(AA68+AC68+AD68+AE68),""),"")</f>
        <v>17.2075626294714</v>
      </c>
      <c r="AF332" s="262">
        <f>IFERROR(IF(AND(COUNT(AB67,AD67,AE67,AF67)=4,(AB68+AD68+AE68+AF68)&lt;&gt;0),(AB67+AD67+AE67+AF67)/-(AB68+AD68+AE68+AF68),""),"")</f>
        <v>15.5576761289053</v>
      </c>
      <c r="AG332" s="262">
        <f>IFERROR(IF(AND(COUNT(AC67,AD67,AE67,AF67)=4,(AC68+AD68+AE68+AF68)&lt;&gt;0),(AC67+AD67+AE67+AF67)/-(AC68+AD68+AE68+AF68),""),"")</f>
        <v>17.1621782076213</v>
      </c>
      <c r="AH332" s="262">
        <f>IFERROR(IF(AND(COUNT(AD67,AF67,AG67,AH67)=4,(AD68+AF68+AG68+AH68)&lt;&gt;0),(AD67+AF67+AG67+AH67)/-(AD68+AF68+AG68+AH68),""),"")</f>
        <v>16.4979702960434</v>
      </c>
      <c r="AI332" s="262">
        <f>IFERROR(IF(AND(COUNT(AE67,AG67,AH67,AI67)=4,(AE68+AG68+AH68+AI68)&lt;&gt;0),(AE67+AG67+AH67+AI67)/-(AE68+AG68+AH68+AI68),""),"")</f>
        <v>17.7929346285099</v>
      </c>
      <c r="AJ332" s="262" t="str">
        <f>IFERROR(IF(AND(COUNT(AF67,AH67,AI67,AJ67)=4,(AF68+AH68+AI68+AJ68)&lt;&gt;0),(AF67+AH67+AI67+AJ67)/-(AF68+AH68+AI68+AJ68),""),"")</f>
        <v/>
      </c>
      <c r="AK332" s="262" t="str">
        <f>IFERROR(IF(AND(COUNT(AH67,AI67,AJ67,AK67)=4,(AH68+AI68+AJ68+AK68)&lt;&gt;0),(AH67+AI67+AJ67+AK67)/-(AH68+AI68+AJ68+AK68),""),"")</f>
        <v/>
      </c>
      <c r="AL332" s="262" t="str">
        <f>IFERROR(IF(AND(COUNT(AH67,AI67,AJ67,AK67)=4,(AH68+AI68+AJ68+AK68)&lt;&gt;0),(AH67+AI67+AJ67+AK67)/-(AH68+AI68+AJ68+AK68),""),"")</f>
        <v/>
      </c>
      <c r="AM332" s="262" t="str">
        <f>IFERROR(IF(AND(COUNT(AI67,AJ67,AK67,AM67)=4,(AI68+AJ68+AK68+AM68)&lt;&gt;0),(AI67+AJ67+AK67+AM67)/-(AI68+AJ68+AK68+AM68),""),"")</f>
        <v/>
      </c>
      <c r="AN332" s="262" t="str">
        <f>IFERROR(IF(AND(COUNT(AJ67,AK67,AM67,AN67)=4,(AJ68+AK68+AM68+AN68)&lt;&gt;0),(AJ67+AK67+AM67+AN67)/-(AJ68+AK68+AM68+AN68),""),"")</f>
        <v/>
      </c>
      <c r="AO332" s="262" t="str">
        <f>IFERROR(IF(AND(COUNT(AK67,AM67,AN67,AO67)=4,(AK68+AM68+AN68+AO68)&lt;&gt;0),(AK67+AM67+AN67+AO67)/-(AK68+AM68+AN68+AO68),""),"")</f>
        <v/>
      </c>
      <c r="AP332" s="262" t="str">
        <f>IFERROR(IF(AND(COUNT(AM67,AN67,AO67,AP67)=4,(AM68+AN68+AO68+AP68)&lt;&gt;0),(AM67+AN67+AO67+AP67)/-(AM68+AN68+AO68+AP68),""),"")</f>
        <v/>
      </c>
      <c r="AQ332" s="262" t="str">
        <f>IFERROR(IF(AND(COUNT(AM67,AN67,AO67,AP67)=4,(AM68+AN68+AO68+AP68)&lt;&gt;0),(AM67+AN67+AO67+AP67)/-(AM68+AN68+AO68+AP68),""),"")</f>
        <v/>
      </c>
      <c r="AR332" s="262" t="str">
        <f>IFERROR(IF(AND(COUNT(AN67,AO67,AP67,AR67)=4,(AN68+AO68+AP68+AR68)&lt;&gt;0),(AN67+AO67+AP67+AR67)/-(AN68+AO68+AP68+AR68),""),"")</f>
        <v/>
      </c>
      <c r="AS332" s="262" t="str">
        <f>IFERROR(IF(AND(COUNT(AO67,AP67,AR67,AS67)=4,(AO68+AP68+AR68+AS68)&lt;&gt;0),(AO67+AP67+AR67+AS67)/-(AO68+AP68+AR68+AS68),""),"")</f>
        <v/>
      </c>
      <c r="AT332" s="262" t="str">
        <f>IFERROR(IF(AND(COUNT(AP67,AR67,AS67,AT67)=4,(AP68+AR68+AS68+AT68)&lt;&gt;0),(AP67+AR67+AS67+AT67)/-(AP68+AR68+AS68+AT68),""),"")</f>
        <v/>
      </c>
      <c r="AU332" s="262" t="str">
        <f>IFERROR(IF(AND(COUNT(AR67,AS67,AT67,AU67)=4,(AR68+AS68+AT68+AU68)&lt;&gt;0),(AR67+AS67+AT67+AU67)/-(AR68+AS68+AT68+AU68),""),"")</f>
        <v/>
      </c>
      <c r="AV332" s="262" t="str">
        <f>IFERROR(IF(AND(COUNT(AR67,AS67,AT67,AU67)=4,(AR68+AS68+AT68+AU68)&lt;&gt;0),(AR67+AS67+AT67+AU67)/-(AR68+AS68+AT68+AU68),""),"")</f>
        <v/>
      </c>
      <c r="AW332" s="262" t="str">
        <f>IFERROR(IF(AND(COUNT(AS67,AT67,AU67,AW67)=4,(AS68+AT68+AU68+AW68)&lt;&gt;0),(AS67+AT67+AU67+AW67)/-(AS68+AT68+AU68+AW68),""),"")</f>
        <v/>
      </c>
      <c r="AX332" s="262" t="str">
        <f>IFERROR(IF(AND(COUNT(AT67,AU67,AW67,AX67)=4,(AT68+AU68+AW68+AX68)&lt;&gt;0),(AT67+AU67+AW67+AX67)/-(AT68+AU68+AW68+AX68),""),"")</f>
        <v/>
      </c>
      <c r="AY332" s="262" t="str">
        <f>IFERROR(IF(AND(COUNT(AU67,AW67,AX67,AY67)=4,(AU68+AW68+AX68+AY68)&lt;&gt;0),(AU67+AW67+AX67+AY67)/-(AU68+AW68+AX68+AY68),""),"")</f>
        <v/>
      </c>
      <c r="AZ332" s="262" t="str">
        <f>IFERROR(IF(AND(COUNT(AW67,AX67,AY67,AZ67)=4,(AW68+AX68+AY68+AZ68)&lt;&gt;0),(AW67+AX67+AY67+AZ67)/-(AW68+AX68+AY68+AZ68),""),"")</f>
        <v/>
      </c>
      <c r="BA332" s="262" t="str">
        <f>IFERROR(IF(AND(COUNT(AW67,AX67,AY67,AZ67)=4,(AW68+AX68+AY68+AZ68)&lt;&gt;0),(AW67+AX67+AY67+AZ67)/-(AW68+AX68+AY68+AZ68),""),"")</f>
        <v/>
      </c>
      <c r="BB332" s="262" t="str">
        <f>IFERROR(IF(AND(COUNT(AX67,AY67,AZ67,BB67)=4,(AX68+AY68+AZ68+BB68)&lt;&gt;0),(AX67+AY67+AZ67+BB67)/-(AX68+AY68+AZ68+BB68),""),"")</f>
        <v/>
      </c>
      <c r="BC332" s="262" t="str">
        <f>IFERROR(IF(AND(COUNT(AY67,AZ67,BB67,BC67)=4,(AY68+AZ68+BB68+BC68)&lt;&gt;0),(AY67+AZ67+BB67+BC67)/-(AY68+AZ68+BB68+BC68),""),"")</f>
        <v/>
      </c>
      <c r="BD332" s="262" t="str">
        <f>IFERROR(IF(AND(COUNT(AZ67,BB67,BC67,BD67)=4,(AZ68+BB68+BC68+BD68)&lt;&gt;0),(AZ67+BB67+BC67+BD67)/-(AZ68+BB68+BC68+BD68),""),"")</f>
        <v/>
      </c>
      <c r="BE332" s="262" t="str">
        <f>IFERROR(IF(AND(COUNT(BB67,BC67,BD67,BE67)=4,(BB68+BC68+BD68+BE68)&lt;&gt;0),(BB67+BC67+BD67+BE67)/-(BB68+BC68+BD68+BE68),""),"")</f>
        <v/>
      </c>
      <c r="BF332" s="262" t="str">
        <f>IFERROR(IF(AND(COUNT(BB67,BC67,BD67,BE67)=4,(BB68+BC68+BD68+BE68)&lt;&gt;0),(BB67+BC67+BD67+BE67)/-(BB68+BC68+BD68+BE68),""),"")</f>
        <v/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</row>
    <row r="334" customFormat="1" s="77">
      <c r="A334" s="76" t="n"/>
      <c r="B334" s="76" t="n"/>
      <c r="C334" s="74" t="inlineStr">
        <is>
          <t>INTERNAL LIQUIDITY</t>
        </is>
      </c>
    </row>
    <row r="335" customFormat="1" s="77">
      <c r="A335" s="76" t="n"/>
      <c r="B335" s="76" t="n"/>
      <c r="C335" s="77" t="inlineStr">
        <is>
          <t>CURRENT RATIO</t>
        </is>
      </c>
      <c r="D335" s="82" t="str">
        <f>IFERROR(SUM(D138,D139,D143,D147,D148,D149)/SUM(D192,D196,D198,D199),"")</f>
        <v/>
      </c>
      <c r="E335" s="82" t="str">
        <f>IFERROR(SUM(E138,E139,E143,E147,E148,E149)/SUM(E192,E196,E198,E199),"")</f>
        <v/>
      </c>
      <c r="F335" s="82" t="str">
        <f>IFERROR(SUM(F138,F139,F143,F147,F148,F149)/SUM(F192,F196,F198,F199),"")</f>
        <v/>
      </c>
      <c r="G335" s="82" t="str">
        <f>IFERROR(SUM(G138,G139,G143,G147,G148,G149)/SUM(G192,G196,G198,G199),"")</f>
        <v/>
      </c>
      <c r="H335" s="262" t="str">
        <f>IFERROR(IF((N(H192)+N(H196)+N(H198)+N(H199)+N(H206)+N(H207)+N(H208))&lt;&gt;0,(N(H138)+(N(H139)+N(H143)+N(H147)+N(H148)+N(H149)))/(N(H192)+N(H196)+N(H198)+N(H199)+N(H206)+N(H207)+N(H208)),""),"")</f>
        <v/>
      </c>
      <c r="I335" s="262">
        <f>IFERROR(IF((N(I192)+N(I196)+N(I198)+N(I199)+N(I206)+N(I207)+N(I208))&lt;&gt;0,(N(I138)+(N(I139)+N(I143)+N(I147)+N(I148)+N(I149)))/(N(I192)+N(I196)+N(I198)+N(I199)+N(I206)+N(I207)+N(I208)),""),"")</f>
        <v>1.26950514772469</v>
      </c>
      <c r="J335" s="262">
        <f>IFERROR(IF((N(J192)+N(J196)+N(J198)+N(J199)+N(J206)+N(J207)+N(J208))&lt;&gt;0,(N(J138)+(N(J139)+N(J143)+N(J147)+N(J148)+N(J149)))/(N(J192)+N(J196)+N(J198)+N(J199)+N(J206)+N(J207)+N(J208)),""),"")</f>
        <v>1.22614749502355</v>
      </c>
      <c r="K335" s="262">
        <f>IFERROR(IF((N(K192)+N(K196)+N(K198)+N(K199)+N(K206)+N(K207)+N(K208))&lt;&gt;0,(N(K138)+(N(K139)+N(K143)+N(K147)+N(K148)+N(K149)))/(N(K192)+N(K196)+N(K198)+N(K199)+N(K206)+N(K207)+N(K208)),""),"")</f>
        <v>1.16977254763987</v>
      </c>
      <c r="L335" s="262">
        <f>IFERROR(IF((N(L192)+N(L196)+N(L198)+N(L199)+N(L206)+N(L207)+N(L208))&lt;&gt;0,(N(L138)+(N(L139)+N(L143)+N(L147)+N(L148)+N(L149)))/(N(L192)+N(L196)+N(L198)+N(L199)+N(L206)+N(L207)+N(L208)),""),"")</f>
        <v>0.950625199818211</v>
      </c>
      <c r="M335" s="262">
        <f>IFERROR(IF((N(M192)+N(M196)+N(M198)+N(M199)+N(M206)+N(M207)+N(M208))&lt;&gt;0,(N(M138)+(N(M139)+N(M143)+N(M147)+N(M148)+N(M149)))/(N(M192)+N(M196)+N(M198)+N(M199)+N(M206)+N(M207)+N(M208)),""),"")</f>
        <v>0.950625199818211</v>
      </c>
      <c r="N335" s="262">
        <f>IFERROR(IF((N(N192)+N(N196)+N(N198)+N(N199)+N(N206)+N(N207)+N(N208))&lt;&gt;0,(N(N138)+(N(N139)+N(N143)+N(N147)+N(N148)+N(N149)))/(N(N192)+N(N196)+N(N198)+N(N199)+N(N206)+N(N207)+N(N208)),""),"")</f>
        <v>1.04630167025511</v>
      </c>
      <c r="O335" s="262">
        <f>IFERROR(IF((N(O192)+N(O196)+N(O198)+N(O199)+N(O206)+N(O207)+N(O208))&lt;&gt;0,(N(O138)+(N(O139)+N(O143)+N(O147)+N(O148)+N(O149)))/(N(O192)+N(O196)+N(O198)+N(O199)+N(O206)+N(O207)+N(O208)),""),"")</f>
        <v>1.04543400006027</v>
      </c>
      <c r="P335" s="262">
        <f>IFERROR(IF((N(P192)+N(P196)+N(P198)+N(P199)+N(P206)+N(P207)+N(P208))&lt;&gt;0,(N(P138)+(N(P139)+N(P143)+N(P147)+N(P148)+N(P149)))/(N(P192)+N(P196)+N(P198)+N(P199)+N(P206)+N(P207)+N(P208)),""),"")</f>
        <v>1.13533212532082</v>
      </c>
      <c r="Q335" s="262">
        <f>IFERROR(IF((N(Q192)+N(Q196)+N(Q198)+N(Q199)+N(Q206)+N(Q207)+N(Q208))&lt;&gt;0,(N(Q138)+(N(Q139)+N(Q143)+N(Q147)+N(Q148)+N(Q149)))/(N(Q192)+N(Q196)+N(Q198)+N(Q199)+N(Q206)+N(Q207)+N(Q208)),""),"")</f>
        <v>1.16839028850681</v>
      </c>
      <c r="R335" s="262">
        <f>IFERROR(IF((N(R192)+N(R196)+N(R198)+N(R199)+N(R206)+N(R207)+N(R208))&lt;&gt;0,(N(R138)+(N(R139)+N(R143)+N(R147)+N(R148)+N(R149)))/(N(R192)+N(R196)+N(R198)+N(R199)+N(R206)+N(R207)+N(R208)),""),"")</f>
        <v>1.16839028850681</v>
      </c>
      <c r="S335" s="262">
        <f>IFERROR(IF((N(S192)+N(S196)+N(S198)+N(S199)+N(S206)+N(S207)+N(S208))&lt;&gt;0,(N(S138)+(N(S139)+N(S143)+N(S147)+N(S148)+N(S149)))/(N(S192)+N(S196)+N(S198)+N(S199)+N(S206)+N(S207)+N(S208)),""),"")</f>
        <v>1.26052606579791</v>
      </c>
      <c r="T335" s="262">
        <f>IFERROR(IF((N(T192)+N(T196)+N(T198)+N(T199)+N(T206)+N(T207)+N(T208))&lt;&gt;0,(N(T138)+(N(T139)+N(T143)+N(T147)+N(T148)+N(T149)))/(N(T192)+N(T196)+N(T198)+N(T199)+N(T206)+N(T207)+N(T208)),""),"")</f>
        <v>1.32625571920992</v>
      </c>
      <c r="U335" s="262">
        <f>IFERROR(IF((N(U192)+N(U196)+N(U198)+N(U199)+N(U206)+N(U207)+N(U208))&lt;&gt;0,(N(U138)+(N(U139)+N(U143)+N(U147)+N(U148)+N(U149)))/(N(U192)+N(U196)+N(U198)+N(U199)+N(U206)+N(U207)+N(U208)),""),"")</f>
        <v>1.29270158794194</v>
      </c>
      <c r="V335" s="262">
        <f>IFERROR(IF((N(V192)+N(V196)+N(V198)+N(V199)+N(V206)+N(V207)+N(V208))&lt;&gt;0,(N(V138)+(N(V139)+N(V143)+N(V147)+N(V148)+N(V149)))/(N(V192)+N(V196)+N(V198)+N(V199)+N(V206)+N(V207)+N(V208)),""),"")</f>
        <v>1.11934535313699</v>
      </c>
      <c r="W335" s="262">
        <f>IFERROR(IF((N(W192)+N(W196)+N(W198)+N(W199)+N(W206)+N(W207)+N(W208))&lt;&gt;0,(N(W138)+(N(W139)+N(W143)+N(W147)+N(W148)+N(W149)))/(N(W192)+N(W196)+N(W198)+N(W199)+N(W206)+N(W207)+N(W208)),""),"")</f>
        <v>1.11934535313699</v>
      </c>
      <c r="X335" s="262">
        <f>IFERROR(IF((N(X192)+N(X196)+N(X198)+N(X199)+N(X206)+N(X207)+N(X208))&lt;&gt;0,(N(X138)+(N(X139)+N(X143)+N(X147)+N(X148)+N(X149)))/(N(X192)+N(X196)+N(X198)+N(X199)+N(X206)+N(X207)+N(X208)),""),"")</f>
        <v>1.06804620884624</v>
      </c>
      <c r="Y335" s="262">
        <f>IFERROR(IF((N(Y192)+N(Y196)+N(Y198)+N(Y199)+N(Y206)+N(Y207)+N(Y208))&lt;&gt;0,(N(Y138)+(N(Y139)+N(Y143)+N(Y147)+N(Y148)+N(Y149)))/(N(Y192)+N(Y196)+N(Y198)+N(Y199)+N(Y206)+N(Y207)+N(Y208)),""),"")</f>
        <v>0.948279482078844</v>
      </c>
      <c r="Z335" s="262">
        <f>IFERROR(IF((N(Z192)+N(Z196)+N(Z198)+N(Z199)+N(Z206)+N(Z207)+N(Z208))&lt;&gt;0,(N(Z138)+(N(Z139)+N(Z143)+N(Z147)+N(Z148)+N(Z149)))/(N(Z192)+N(Z196)+N(Z198)+N(Z199)+N(Z206)+N(Z207)+N(Z208)),""),"")</f>
        <v>1.13280622643275</v>
      </c>
      <c r="AA335" s="262">
        <f>IFERROR(IF((N(AA192)+N(AA196)+N(AA198)+N(AA199)+N(AA206)+N(AA207)+N(AA208))&lt;&gt;0,(N(AA138)+(N(AA139)+N(AA143)+N(AA147)+N(AA148)+N(AA149)))/(N(AA192)+N(AA196)+N(AA198)+N(AA199)+N(AA206)+N(AA207)+N(AA208)),""),"")</f>
        <v>1.21802806032319</v>
      </c>
      <c r="AB335" s="262">
        <f>IFERROR(IF((N(AB192)+N(AB196)+N(AB198)+N(AB199)+N(AB206)+N(AB207)+N(AB208))&lt;&gt;0,(N(AB138)+(N(AB139)+N(AB143)+N(AB147)+N(AB148)+N(AB149)))/(N(AB192)+N(AB196)+N(AB198)+N(AB199)+N(AB206)+N(AB207)+N(AB208)),""),"")</f>
        <v>1.21802806032319</v>
      </c>
      <c r="AC335" s="262">
        <f>IFERROR(IF((N(AC192)+N(AC196)+N(AC198)+N(AC199)+N(AC206)+N(AC207)+N(AC208))&lt;&gt;0,(N(AC138)+(N(AC139)+N(AC143)+N(AC147)+N(AC148)+N(AC149)))/(N(AC192)+N(AC196)+N(AC198)+N(AC199)+N(AC206)+N(AC207)+N(AC208)),""),"")</f>
        <v>1.20364347695364</v>
      </c>
      <c r="AD335" s="262">
        <f>IFERROR(IF((N(AD192)+N(AD196)+N(AD198)+N(AD199)+N(AD206)+N(AD207)+N(AD208))&lt;&gt;0,(N(AD138)+(N(AD139)+N(AD143)+N(AD147)+N(AD148)+N(AD149)))/(N(AD192)+N(AD196)+N(AD198)+N(AD199)+N(AD206)+N(AD207)+N(AD208)),""),"")</f>
        <v>1.34116044634874</v>
      </c>
      <c r="AE335" s="262">
        <f>IFERROR(IF((N(AE192)+N(AE196)+N(AE198)+N(AE199)+N(AE206)+N(AE207)+N(AE208))&lt;&gt;0,(N(AE138)+(N(AE139)+N(AE143)+N(AE147)+N(AE148)+N(AE149)))/(N(AE192)+N(AE196)+N(AE198)+N(AE199)+N(AE206)+N(AE207)+N(AE208)),""),"")</f>
        <v>1.33201015345578</v>
      </c>
      <c r="AF335" s="262">
        <f>IFERROR(IF((N(AF192)+N(AF196)+N(AF198)+N(AF199)+N(AF206)+N(AF207)+N(AF208))&lt;&gt;0,(N(AF138)+(N(AF139)+N(AF143)+N(AF147)+N(AF148)+N(AF149)))/(N(AF192)+N(AF196)+N(AF198)+N(AF199)+N(AF206)+N(AF207)+N(AF208)),""),"")</f>
        <v>1.18570931605975</v>
      </c>
      <c r="AG335" s="262">
        <f>IFERROR(IF((N(AG192)+N(AG196)+N(AG198)+N(AG199)+N(AG206)+N(AG207)+N(AG208))&lt;&gt;0,(N(AG138)+(N(AG139)+N(AG143)+N(AG147)+N(AG148)+N(AG149)))/(N(AG192)+N(AG196)+N(AG198)+N(AG199)+N(AG206)+N(AG207)+N(AG208)),""),"")</f>
        <v>1.18570931605975</v>
      </c>
      <c r="AH335" s="262">
        <f>IFERROR(IF((N(AH192)+N(AH196)+N(AH198)+N(AH199)+N(AH206)+N(AH207)+N(AH208))&lt;&gt;0,(N(AH138)+(N(AH139)+N(AH143)+N(AH147)+N(AH148)+N(AH149)))/(N(AH192)+N(AH196)+N(AH198)+N(AH199)+N(AH206)+N(AH207)+N(AH208)),""),"")</f>
        <v>1.40715263917027</v>
      </c>
      <c r="AI335" s="262">
        <f>IFERROR(IF((N(AI192)+N(AI196)+N(AI198)+N(AI199)+N(AI206)+N(AI207)+N(AI208))&lt;&gt;0,(N(AI138)+(N(AI139)+N(AI143)+N(AI147)+N(AI148)+N(AI149)))/(N(AI192)+N(AI196)+N(AI198)+N(AI199)+N(AI206)+N(AI207)+N(AI208)),""),"")</f>
        <v>1.14160852443918</v>
      </c>
      <c r="AJ335" s="262">
        <f>IFERROR(IF((N(AJ192)+N(AJ196)+N(AJ198)+N(AJ199)+N(AJ206)+N(AJ207)+N(AJ208))&lt;&gt;0,(N(AJ138)+(N(AJ139)+N(AJ143)+N(AJ147)+N(AJ148)+N(AJ149)))/(N(AJ192)+N(AJ196)+N(AJ198)+N(AJ199)+N(AJ206)+N(AJ207)+N(AJ208)),""),"")</f>
        <v>1.43591222808066</v>
      </c>
      <c r="AK335" s="262">
        <f>IFERROR(IF((N(AK192)+N(AK196)+N(AK198)+N(AK199)+N(AK206)+N(AK207)+N(AK208))&lt;&gt;0,(N(AK138)+(N(AK139)+N(AK143)+N(AK147)+N(AK148)+N(AK149)))/(N(AK192)+N(AK196)+N(AK198)+N(AK199)+N(AK206)+N(AK207)+N(AK208)),""),"")</f>
        <v>1.71613365930375</v>
      </c>
      <c r="AL335" s="262">
        <f>IFERROR(IF((N(AL192)+N(AL196)+N(AL198)+N(AL199)+N(AL206)+N(AL207)+N(AL208))&lt;&gt;0,(N(AL138)+(N(AL139)+N(AL143)+N(AL147)+N(AL148)+N(AL149)))/(N(AL192)+N(AL196)+N(AL198)+N(AL199)+N(AL206)+N(AL207)+N(AL208)),""),"")</f>
        <v>1.71613365930375</v>
      </c>
      <c r="AM335" s="262">
        <f>IFERROR(IF((N(AM192)+N(AM196)+N(AM198)+N(AM199)+N(AM206)+N(AM207)+N(AM208))&lt;&gt;0,(N(AM138)+(N(AM139)+N(AM143)+N(AM147)+N(AM148)+N(AM149)))/(N(AM192)+N(AM196)+N(AM198)+N(AM199)+N(AM206)+N(AM207)+N(AM208)),""),"")</f>
        <v>1.97086423122078</v>
      </c>
      <c r="AN335" s="262">
        <f>IFERROR(IF((N(AN192)+N(AN196)+N(AN198)+N(AN199)+N(AN206)+N(AN207)+N(AN208))&lt;&gt;0,(N(AN138)+(N(AN139)+N(AN143)+N(AN147)+N(AN148)+N(AN149)))/(N(AN192)+N(AN196)+N(AN198)+N(AN199)+N(AN206)+N(AN207)+N(AN208)),""),"")</f>
        <v>2.20219948708219</v>
      </c>
      <c r="AO335" s="262">
        <f>IFERROR(IF((N(AO192)+N(AO196)+N(AO198)+N(AO199)+N(AO206)+N(AO207)+N(AO208))&lt;&gt;0,(N(AO138)+(N(AO139)+N(AO143)+N(AO147)+N(AO148)+N(AO149)))/(N(AO192)+N(AO196)+N(AO198)+N(AO199)+N(AO206)+N(AO207)+N(AO208)),""),"")</f>
        <v>2.41271015849827</v>
      </c>
      <c r="AP335" s="262">
        <f>IFERROR(IF((N(AP192)+N(AP196)+N(AP198)+N(AP199)+N(AP206)+N(AP207)+N(AP208))&lt;&gt;0,(N(AP138)+(N(AP139)+N(AP143)+N(AP147)+N(AP148)+N(AP149)))/(N(AP192)+N(AP196)+N(AP198)+N(AP199)+N(AP206)+N(AP207)+N(AP208)),""),"")</f>
        <v>2.59918506107137</v>
      </c>
      <c r="AQ335" s="262">
        <f>IFERROR(IF((N(AQ192)+N(AQ196)+N(AQ198)+N(AQ199)+N(AQ206)+N(AQ207)+N(AQ208))&lt;&gt;0,(N(AQ138)+(N(AQ139)+N(AQ143)+N(AQ147)+N(AQ148)+N(AQ149)))/(N(AQ192)+N(AQ196)+N(AQ198)+N(AQ199)+N(AQ206)+N(AQ207)+N(AQ208)),""),"")</f>
        <v>2.59918506107137</v>
      </c>
      <c r="AR335" s="262">
        <f>IFERROR(IF((N(AR192)+N(AR196)+N(AR198)+N(AR199)+N(AR206)+N(AR207)+N(AR208))&lt;&gt;0,(N(AR138)+(N(AR139)+N(AR143)+N(AR147)+N(AR148)+N(AR149)))/(N(AR192)+N(AR196)+N(AR198)+N(AR199)+N(AR206)+N(AR207)+N(AR208)),""),"")</f>
        <v>2.75727933448449</v>
      </c>
      <c r="AS335" s="262">
        <f>IFERROR(IF((N(AS192)+N(AS196)+N(AS198)+N(AS199)+N(AS206)+N(AS207)+N(AS208))&lt;&gt;0,(N(AS138)+(N(AS139)+N(AS143)+N(AS147)+N(AS148)+N(AS149)))/(N(AS192)+N(AS196)+N(AS198)+N(AS199)+N(AS206)+N(AS207)+N(AS208)),""),"")</f>
        <v>2.88553300423198</v>
      </c>
      <c r="AT335" s="262">
        <f>IFERROR(IF((N(AT192)+N(AT196)+N(AT198)+N(AT199)+N(AT206)+N(AT207)+N(AT208))&lt;&gt;0,(N(AT138)+(N(AT139)+N(AT143)+N(AT147)+N(AT148)+N(AT149)))/(N(AT192)+N(AT196)+N(AT198)+N(AT199)+N(AT206)+N(AT207)+N(AT208)),""),"")</f>
        <v>2.98972159619396</v>
      </c>
      <c r="AU335" s="262">
        <f>IFERROR(IF((N(AU192)+N(AU196)+N(AU198)+N(AU199)+N(AU206)+N(AU207)+N(AU208))&lt;&gt;0,(N(AU138)+(N(AU139)+N(AU143)+N(AU147)+N(AU148)+N(AU149)))/(N(AU192)+N(AU196)+N(AU198)+N(AU199)+N(AU206)+N(AU207)+N(AU208)),""),"")</f>
        <v>3.06927413683948</v>
      </c>
      <c r="AV335" s="262">
        <f>IFERROR(IF((N(AV192)+N(AV196)+N(AV198)+N(AV199)+N(AV206)+N(AV207)+N(AV208))&lt;&gt;0,(N(AV138)+(N(AV139)+N(AV143)+N(AV147)+N(AV148)+N(AV149)))/(N(AV192)+N(AV196)+N(AV198)+N(AV199)+N(AV206)+N(AV207)+N(AV208)),""),"")</f>
        <v>3.06927413683948</v>
      </c>
      <c r="AW335" s="262">
        <f>IFERROR(IF((N(AW192)+N(AW196)+N(AW198)+N(AW199)+N(AW206)+N(AW207)+N(AW208))&lt;&gt;0,(N(AW138)+(N(AW139)+N(AW143)+N(AW147)+N(AW148)+N(AW149)))/(N(AW192)+N(AW196)+N(AW198)+N(AW199)+N(AW206)+N(AW207)+N(AW208)),""),"")</f>
        <v>3.12388831482142</v>
      </c>
      <c r="AX335" s="262">
        <f>IFERROR(IF((N(AX192)+N(AX196)+N(AX198)+N(AX199)+N(AX206)+N(AX207)+N(AX208))&lt;&gt;0,(N(AX138)+(N(AX139)+N(AX143)+N(AX147)+N(AX148)+N(AX149)))/(N(AX192)+N(AX196)+N(AX198)+N(AX199)+N(AX206)+N(AX207)+N(AX208)),""),"")</f>
        <v>3.15473124364441</v>
      </c>
      <c r="AY335" s="262">
        <f>IFERROR(IF((N(AY192)+N(AY196)+N(AY198)+N(AY199)+N(AY206)+N(AY207)+N(AY208))&lt;&gt;0,(N(AY138)+(N(AY139)+N(AY143)+N(AY147)+N(AY148)+N(AY149)))/(N(AY192)+N(AY196)+N(AY198)+N(AY199)+N(AY206)+N(AY207)+N(AY208)),""),"")</f>
        <v>3.16520650108885</v>
      </c>
      <c r="AZ335" s="262">
        <f>IFERROR(IF((N(AZ192)+N(AZ196)+N(AZ198)+N(AZ199)+N(AZ206)+N(AZ207)+N(AZ208))&lt;&gt;0,(N(AZ138)+(N(AZ139)+N(AZ143)+N(AZ147)+N(AZ148)+N(AZ149)))/(N(AZ192)+N(AZ196)+N(AZ198)+N(AZ199)+N(AZ206)+N(AZ207)+N(AZ208)),""),"")</f>
        <v>3.15789146519666</v>
      </c>
      <c r="BA335" s="262">
        <f>IFERROR(IF((N(BA192)+N(BA196)+N(BA198)+N(BA199)+N(BA206)+N(BA207)+N(BA208))&lt;&gt;0,(N(BA138)+(N(BA139)+N(BA143)+N(BA147)+N(BA148)+N(BA149)))/(N(BA192)+N(BA196)+N(BA198)+N(BA199)+N(BA206)+N(BA207)+N(BA208)),""),"")</f>
        <v>3.15789146519666</v>
      </c>
      <c r="BB335" s="262">
        <f>IFERROR(IF((N(BB192)+N(BB196)+N(BB198)+N(BB199)+N(BB206)+N(BB207)+N(BB208))&lt;&gt;0,(N(BB138)+(N(BB139)+N(BB143)+N(BB147)+N(BB148)+N(BB149)))/(N(BB192)+N(BB196)+N(BB198)+N(BB199)+N(BB206)+N(BB207)+N(BB208)),""),"")</f>
        <v>3.13575263179971</v>
      </c>
      <c r="BC335" s="262">
        <f>IFERROR(IF((N(BC192)+N(BC196)+N(BC198)+N(BC199)+N(BC206)+N(BC207)+N(BC208))&lt;&gt;0,(N(BC138)+(N(BC139)+N(BC143)+N(BC147)+N(BC148)+N(BC149)))/(N(BC192)+N(BC196)+N(BC198)+N(BC199)+N(BC206)+N(BC207)+N(BC208)),""),"")</f>
        <v>3.09817104548617</v>
      </c>
      <c r="BD335" s="262">
        <f>IFERROR(IF((N(BD192)+N(BD196)+N(BD198)+N(BD199)+N(BD206)+N(BD207)+N(BD208))&lt;&gt;0,(N(BD138)+(N(BD139)+N(BD143)+N(BD147)+N(BD148)+N(BD149)))/(N(BD192)+N(BD196)+N(BD198)+N(BD199)+N(BD206)+N(BD207)+N(BD208)),""),"")</f>
        <v>3.04908988921447</v>
      </c>
      <c r="BE335" s="262">
        <f>IFERROR(IF((N(BE192)+N(BE196)+N(BE198)+N(BE199)+N(BE206)+N(BE207)+N(BE208))&lt;&gt;0,(N(BE138)+(N(BE139)+N(BE143)+N(BE147)+N(BE148)+N(BE149)))/(N(BE192)+N(BE196)+N(BE198)+N(BE199)+N(BE206)+N(BE207)+N(BE208)),""),"")</f>
        <v>2.99100092019374</v>
      </c>
      <c r="BF335" s="262">
        <f>IFERROR(IF((N(BF192)+N(BF196)+N(BF198)+N(BF199)+N(BF206)+N(BF207)+N(BF208))&lt;&gt;0,(N(BF138)+(N(BF139)+N(BF143)+N(BF147)+N(BF148)+N(BF149)))/(N(BF192)+N(BF196)+N(BF198)+N(BF199)+N(BF206)+N(BF207)+N(BF208)),""),"")</f>
        <v>2.99100092019374</v>
      </c>
      <c r="BG335" s="82" t="n"/>
      <c r="BH335" s="82" t="n"/>
      <c r="BI335" s="82" t="n"/>
      <c r="BJ335" s="82" t="n"/>
      <c r="BL335" s="82" t="n"/>
      <c r="BM335" s="82" t="n"/>
      <c r="BN335" s="82" t="n"/>
      <c r="BO335" s="82" t="n"/>
      <c r="BQ335" s="82" t="n"/>
      <c r="BR335" s="82" t="n"/>
      <c r="BS335" s="82" t="n"/>
      <c r="BT335" s="82" t="n"/>
      <c r="BV335" s="82" t="n"/>
      <c r="BW335" s="82" t="n"/>
      <c r="BX335" s="82" t="n"/>
      <c r="BY335" s="82" t="n"/>
      <c r="CA335" s="82" t="n"/>
      <c r="CB335" s="82" t="n"/>
      <c r="CC335" s="82" t="n"/>
      <c r="CD335" s="82" t="n"/>
      <c r="CF335" s="82" t="n"/>
      <c r="CG335" s="82" t="n"/>
      <c r="CH335" s="82" t="n"/>
      <c r="CI335" s="82" t="n"/>
      <c r="CK335" s="82" t="n"/>
      <c r="CL335" s="82" t="n"/>
      <c r="CM335" s="82" t="n"/>
      <c r="CN335" s="82" t="n"/>
      <c r="CP335" s="82" t="n"/>
      <c r="CQ335" s="82" t="n"/>
      <c r="CR335" s="82" t="n"/>
      <c r="CS335" s="82" t="n"/>
      <c r="CU335" s="82" t="n"/>
      <c r="CV335" s="82" t="n"/>
      <c r="CW335" s="82" t="n"/>
      <c r="CX335" s="82" t="n"/>
    </row>
    <row r="336" customFormat="1" s="77">
      <c r="A336" s="76" t="n"/>
      <c r="B336" s="76" t="n"/>
      <c r="C336" s="77" t="inlineStr">
        <is>
          <t>CASH RATIO</t>
        </is>
      </c>
      <c r="D336" s="82" t="str">
        <f>IFERROR(SUM(D138)/SUM(D192,D196,D198,D199),"")</f>
        <v/>
      </c>
      <c r="E336" s="82" t="str">
        <f>IFERROR(SUM(E138)/SUM(E192,E196,E198,E199),"")</f>
        <v/>
      </c>
      <c r="F336" s="82" t="str">
        <f>IFERROR(SUM(F138)/SUM(F192,F196,F198,F199),"")</f>
        <v/>
      </c>
      <c r="G336" s="82" t="str">
        <f>IFERROR(SUM(G138)/SUM(G192,G196,G198,G199),"")</f>
        <v/>
      </c>
      <c r="H336" s="262" t="str">
        <f>IFERROR(IF((N(H192)+N(H196)+N(H198)+N(H199)+N(H206)+N(H207)+N(H208))&lt;&gt;0,N(H138)/(N(H192)+N(H196)+N(H198)+N(H199)+N(H206)+N(H207)+N(H208)),""),"")</f>
        <v/>
      </c>
      <c r="I336" s="262">
        <f>IFERROR(IF((N(I192)+N(I196)+N(I198)+N(I199)+N(I206)+N(I207)+N(I208))&lt;&gt;0,N(I138)/(N(I192)+N(I196)+N(I198)+N(I199)+N(I206)+N(I207)+N(I208)),""),"")</f>
        <v>1.05550712969603</v>
      </c>
      <c r="J336" s="262">
        <f>IFERROR(IF((N(J192)+N(J196)+N(J198)+N(J199)+N(J206)+N(J207)+N(J208))&lt;&gt;0,N(J138)/(N(J192)+N(J196)+N(J198)+N(J199)+N(J206)+N(J207)+N(J208)),""),"")</f>
        <v>0.992932619488495</v>
      </c>
      <c r="K336" s="262">
        <f>IFERROR(IF((N(K192)+N(K196)+N(K198)+N(K199)+N(K206)+N(K207)+N(K208))&lt;&gt;0,N(K138)/(N(K192)+N(K196)+N(K198)+N(K199)+N(K206)+N(K207)+N(K208)),""),"")</f>
        <v>0.935079012369606</v>
      </c>
      <c r="L336" s="262">
        <f>IFERROR(IF((N(L192)+N(L196)+N(L198)+N(L199)+N(L206)+N(L207)+N(L208))&lt;&gt;0,N(L138)/(N(L192)+N(L196)+N(L198)+N(L199)+N(L206)+N(L207)+N(L208)),""),"")</f>
        <v>0.710075172877356</v>
      </c>
      <c r="M336" s="262">
        <f>IFERROR(IF((N(M192)+N(M196)+N(M198)+N(M199)+N(M206)+N(M207)+N(M208))&lt;&gt;0,N(M138)/(N(M192)+N(M196)+N(M198)+N(M199)+N(M206)+N(M207)+N(M208)),""),"")</f>
        <v>0.710075172877356</v>
      </c>
      <c r="N336" s="262">
        <f>IFERROR(IF((N(N192)+N(N196)+N(N198)+N(N199)+N(N206)+N(N207)+N(N208))&lt;&gt;0,N(N138)/(N(N192)+N(N196)+N(N198)+N(N199)+N(N206)+N(N207)+N(N208)),""),"")</f>
        <v>0.776384118363917</v>
      </c>
      <c r="O336" s="262">
        <f>IFERROR(IF((N(O192)+N(O196)+N(O198)+N(O199)+N(O206)+N(O207)+N(O208))&lt;&gt;0,N(O138)/(N(O192)+N(O196)+N(O198)+N(O199)+N(O206)+N(O207)+N(O208)),""),"")</f>
        <v>0.775924257288845</v>
      </c>
      <c r="P336" s="262">
        <f>IFERROR(IF((N(P192)+N(P196)+N(P198)+N(P199)+N(P206)+N(P207)+N(P208))&lt;&gt;0,N(P138)/(N(P192)+N(P196)+N(P198)+N(P199)+N(P206)+N(P207)+N(P208)),""),"")</f>
        <v>0.787251201531202</v>
      </c>
      <c r="Q336" s="262">
        <f>IFERROR(IF((N(Q192)+N(Q196)+N(Q198)+N(Q199)+N(Q206)+N(Q207)+N(Q208))&lt;&gt;0,N(Q138)/(N(Q192)+N(Q196)+N(Q198)+N(Q199)+N(Q206)+N(Q207)+N(Q208)),""),"")</f>
        <v>0.763897599462563</v>
      </c>
      <c r="R336" s="262">
        <f>IFERROR(IF((N(R192)+N(R196)+N(R198)+N(R199)+N(R206)+N(R207)+N(R208))&lt;&gt;0,N(R138)/(N(R192)+N(R196)+N(R198)+N(R199)+N(R206)+N(R207)+N(R208)),""),"")</f>
        <v>0.763897599462563</v>
      </c>
      <c r="S336" s="262">
        <f>IFERROR(IF((N(S192)+N(S196)+N(S198)+N(S199)+N(S206)+N(S207)+N(S208))&lt;&gt;0,N(S138)/(N(S192)+N(S196)+N(S198)+N(S199)+N(S206)+N(S207)+N(S208)),""),"")</f>
        <v>0.941250374275349</v>
      </c>
      <c r="T336" s="262">
        <f>IFERROR(IF((N(T192)+N(T196)+N(T198)+N(T199)+N(T206)+N(T207)+N(T208))&lt;&gt;0,N(T138)/(N(T192)+N(T196)+N(T198)+N(T199)+N(T206)+N(T207)+N(T208)),""),"")</f>
        <v>0.988610163552546</v>
      </c>
      <c r="U336" s="262">
        <f>IFERROR(IF((N(U192)+N(U196)+N(U198)+N(U199)+N(U206)+N(U207)+N(U208))&lt;&gt;0,N(U138)/(N(U192)+N(U196)+N(U198)+N(U199)+N(U206)+N(U207)+N(U208)),""),"")</f>
        <v>0.943483878457096</v>
      </c>
      <c r="V336" s="262">
        <f>IFERROR(IF((N(V192)+N(V196)+N(V198)+N(V199)+N(V206)+N(V207)+N(V208))&lt;&gt;0,N(V138)/(N(V192)+N(V196)+N(V198)+N(V199)+N(V206)+N(V207)+N(V208)),""),"")</f>
        <v>0.805570919982778</v>
      </c>
      <c r="W336" s="262">
        <f>IFERROR(IF((N(W192)+N(W196)+N(W198)+N(W199)+N(W206)+N(W207)+N(W208))&lt;&gt;0,N(W138)/(N(W192)+N(W196)+N(W198)+N(W199)+N(W206)+N(W207)+N(W208)),""),"")</f>
        <v>0.805570919982778</v>
      </c>
      <c r="X336" s="262">
        <f>IFERROR(IF((N(X192)+N(X196)+N(X198)+N(X199)+N(X206)+N(X207)+N(X208))&lt;&gt;0,N(X138)/(N(X192)+N(X196)+N(X198)+N(X199)+N(X206)+N(X207)+N(X208)),""),"")</f>
        <v>0.758485779802539</v>
      </c>
      <c r="Y336" s="262">
        <f>IFERROR(IF((N(Y192)+N(Y196)+N(Y198)+N(Y199)+N(Y206)+N(Y207)+N(Y208))&lt;&gt;0,N(Y138)/(N(Y192)+N(Y196)+N(Y198)+N(Y199)+N(Y206)+N(Y207)+N(Y208)),""),"")</f>
        <v>0.65640164264316</v>
      </c>
      <c r="Z336" s="262">
        <f>IFERROR(IF((N(Z192)+N(Z196)+N(Z198)+N(Z199)+N(Z206)+N(Z207)+N(Z208))&lt;&gt;0,N(Z138)/(N(Z192)+N(Z196)+N(Z198)+N(Z199)+N(Z206)+N(Z207)+N(Z208)),""),"")</f>
        <v>0.861475525738653</v>
      </c>
      <c r="AA336" s="262">
        <f>IFERROR(IF((N(AA192)+N(AA196)+N(AA198)+N(AA199)+N(AA206)+N(AA207)+N(AA208))&lt;&gt;0,N(AA138)/(N(AA192)+N(AA196)+N(AA198)+N(AA199)+N(AA206)+N(AA207)+N(AA208)),""),"")</f>
        <v>0.89106300091117</v>
      </c>
      <c r="AB336" s="262">
        <f>IFERROR(IF((N(AB192)+N(AB196)+N(AB198)+N(AB199)+N(AB206)+N(AB207)+N(AB208))&lt;&gt;0,N(AB138)/(N(AB192)+N(AB196)+N(AB198)+N(AB199)+N(AB206)+N(AB207)+N(AB208)),""),"")</f>
        <v>0.89106300091117</v>
      </c>
      <c r="AC336" s="262">
        <f>IFERROR(IF((N(AC192)+N(AC196)+N(AC198)+N(AC199)+N(AC206)+N(AC207)+N(AC208))&lt;&gt;0,N(AC138)/(N(AC192)+N(AC196)+N(AC198)+N(AC199)+N(AC206)+N(AC207)+N(AC208)),""),"")</f>
        <v>0.861344202753527</v>
      </c>
      <c r="AD336" s="262">
        <f>IFERROR(IF((N(AD192)+N(AD196)+N(AD198)+N(AD199)+N(AD206)+N(AD207)+N(AD208))&lt;&gt;0,N(AD138)/(N(AD192)+N(AD196)+N(AD198)+N(AD199)+N(AD206)+N(AD207)+N(AD208)),""),"")</f>
        <v>0.938291844356088</v>
      </c>
      <c r="AE336" s="262">
        <f>IFERROR(IF((N(AE192)+N(AE196)+N(AE198)+N(AE199)+N(AE206)+N(AE207)+N(AE208))&lt;&gt;0,N(AE138)/(N(AE192)+N(AE196)+N(AE198)+N(AE199)+N(AE206)+N(AE207)+N(AE208)),""),"")</f>
        <v>0.958130609989314</v>
      </c>
      <c r="AF336" s="262">
        <f>IFERROR(IF((N(AF192)+N(AF196)+N(AF198)+N(AF199)+N(AF206)+N(AF207)+N(AF208))&lt;&gt;0,N(AF138)/(N(AF192)+N(AF196)+N(AF198)+N(AF199)+N(AF206)+N(AF207)+N(AF208)),""),"")</f>
        <v>0.825281556298055</v>
      </c>
      <c r="AG336" s="262">
        <f>IFERROR(IF((N(AG192)+N(AG196)+N(AG198)+N(AG199)+N(AG206)+N(AG207)+N(AG208))&lt;&gt;0,N(AG138)/(N(AG192)+N(AG196)+N(AG198)+N(AG199)+N(AG206)+N(AG207)+N(AG208)),""),"")</f>
        <v>0.825281556298055</v>
      </c>
      <c r="AH336" s="262">
        <f>IFERROR(IF((N(AH192)+N(AH196)+N(AH198)+N(AH199)+N(AH206)+N(AH207)+N(AH208))&lt;&gt;0,N(AH138)/(N(AH192)+N(AH196)+N(AH198)+N(AH199)+N(AH206)+N(AH207)+N(AH208)),""),"")</f>
        <v>1.01293088170393</v>
      </c>
      <c r="AI336" s="262">
        <f>IFERROR(IF((N(AI192)+N(AI196)+N(AI198)+N(AI199)+N(AI206)+N(AI207)+N(AI208))&lt;&gt;0,N(AI138)/(N(AI192)+N(AI196)+N(AI198)+N(AI199)+N(AI206)+N(AI207)+N(AI208)),""),"")</f>
        <v>0.752203273566865</v>
      </c>
      <c r="AJ336" s="262">
        <f>IFERROR(IF((N(AJ192)+N(AJ196)+N(AJ198)+N(AJ199)+N(AJ206)+N(AJ207)+N(AJ208))&lt;&gt;0,N(AJ138)/(N(AJ192)+N(AJ196)+N(AJ198)+N(AJ199)+N(AJ206)+N(AJ207)+N(AJ208)),""),"")</f>
        <v>1.06325706597903</v>
      </c>
      <c r="AK336" s="262">
        <f>IFERROR(IF((N(AK192)+N(AK196)+N(AK198)+N(AK199)+N(AK206)+N(AK207)+N(AK208))&lt;&gt;0,N(AK138)/(N(AK192)+N(AK196)+N(AK198)+N(AK199)+N(AK206)+N(AK207)+N(AK208)),""),"")</f>
        <v>1.36050110062018</v>
      </c>
      <c r="AL336" s="262">
        <f>IFERROR(IF((N(AL192)+N(AL196)+N(AL198)+N(AL199)+N(AL206)+N(AL207)+N(AL208))&lt;&gt;0,N(AL138)/(N(AL192)+N(AL196)+N(AL198)+N(AL199)+N(AL206)+N(AL207)+N(AL208)),""),"")</f>
        <v>1.36050110062018</v>
      </c>
      <c r="AM336" s="262">
        <f>IFERROR(IF((N(AM192)+N(AM196)+N(AM198)+N(AM199)+N(AM206)+N(AM207)+N(AM208))&lt;&gt;0,N(AM138)/(N(AM192)+N(AM196)+N(AM198)+N(AM199)+N(AM206)+N(AM207)+N(AM208)),""),"")</f>
        <v>1.6327688188811</v>
      </c>
      <c r="AN336" s="262">
        <f>IFERROR(IF((N(AN192)+N(AN196)+N(AN198)+N(AN199)+N(AN206)+N(AN207)+N(AN208))&lt;&gt;0,N(AN138)/(N(AN192)+N(AN196)+N(AN198)+N(AN199)+N(AN206)+N(AN207)+N(AN208)),""),"")</f>
        <v>1.88171298746651</v>
      </c>
      <c r="AO336" s="262">
        <f>IFERROR(IF((N(AO192)+N(AO196)+N(AO198)+N(AO199)+N(AO206)+N(AO207)+N(AO208))&lt;&gt;0,N(AO138)/(N(AO192)+N(AO196)+N(AO198)+N(AO199)+N(AO206)+N(AO207)+N(AO208)),""),"")</f>
        <v>2.11096817618024</v>
      </c>
      <c r="AP336" s="262">
        <f>IFERROR(IF((N(AP192)+N(AP196)+N(AP198)+N(AP199)+N(AP206)+N(AP207)+N(AP208))&lt;&gt;0,N(AP138)/(N(AP192)+N(AP196)+N(AP198)+N(AP199)+N(AP206)+N(AP207)+N(AP208)),""),"")</f>
        <v>2.31645496126186</v>
      </c>
      <c r="AQ336" s="262">
        <f>IFERROR(IF((N(AQ192)+N(AQ196)+N(AQ198)+N(AQ199)+N(AQ206)+N(AQ207)+N(AQ208))&lt;&gt;0,N(AQ138)/(N(AQ192)+N(AQ196)+N(AQ198)+N(AQ199)+N(AQ206)+N(AQ207)+N(AQ208)),""),"")</f>
        <v>2.31645496126186</v>
      </c>
      <c r="AR336" s="262">
        <f>IFERROR(IF((N(AR192)+N(AR196)+N(AR198)+N(AR199)+N(AR206)+N(AR207)+N(AR208))&lt;&gt;0,N(AR138)/(N(AR192)+N(AR196)+N(AR198)+N(AR199)+N(AR206)+N(AR207)+N(AR208)),""),"")</f>
        <v>2.49272454861146</v>
      </c>
      <c r="AS336" s="262">
        <f>IFERROR(IF((N(AS192)+N(AS196)+N(AS198)+N(AS199)+N(AS206)+N(AS207)+N(AS208))&lt;&gt;0,N(AS138)/(N(AS192)+N(AS196)+N(AS198)+N(AS199)+N(AS206)+N(AS207)+N(AS208)),""),"")</f>
        <v>2.63917246153671</v>
      </c>
      <c r="AT336" s="262">
        <f>IFERROR(IF((N(AT192)+N(AT196)+N(AT198)+N(AT199)+N(AT206)+N(AT207)+N(AT208))&lt;&gt;0,N(AT138)/(N(AT192)+N(AT196)+N(AT198)+N(AT199)+N(AT206)+N(AT207)+N(AT208)),""),"")</f>
        <v>2.76163182797096</v>
      </c>
      <c r="AU336" s="262">
        <f>IFERROR(IF((N(AU192)+N(AU196)+N(AU198)+N(AU199)+N(AU206)+N(AU207)+N(AU208))&lt;&gt;0,N(AU138)/(N(AU192)+N(AU196)+N(AU198)+N(AU199)+N(AU206)+N(AU207)+N(AU208)),""),"")</f>
        <v>2.8590570849862</v>
      </c>
      <c r="AV336" s="262">
        <f>IFERROR(IF((N(AV192)+N(AV196)+N(AV198)+N(AV199)+N(AV206)+N(AV207)+N(AV208))&lt;&gt;0,N(AV138)/(N(AV192)+N(AV196)+N(AV198)+N(AV199)+N(AV206)+N(AV207)+N(AV208)),""),"")</f>
        <v>2.8590570849862</v>
      </c>
      <c r="AW336" s="262">
        <f>IFERROR(IF((N(AW192)+N(AW196)+N(AW198)+N(AW199)+N(AW206)+N(AW207)+N(AW208))&lt;&gt;0,N(AW138)/(N(AW192)+N(AW196)+N(AW198)+N(AW199)+N(AW206)+N(AW207)+N(AW208)),""),"")</f>
        <v>2.93031914102681</v>
      </c>
      <c r="AX336" s="262">
        <f>IFERROR(IF((N(AX192)+N(AX196)+N(AX198)+N(AX199)+N(AX206)+N(AX207)+N(AX208))&lt;&gt;0,N(AX138)/(N(AX192)+N(AX196)+N(AX198)+N(AX199)+N(AX206)+N(AX207)+N(AX208)),""),"")</f>
        <v>2.9770882280447</v>
      </c>
      <c r="AY336" s="262">
        <f>IFERROR(IF((N(AY192)+N(AY196)+N(AY198)+N(AY199)+N(AY206)+N(AY207)+N(AY208))&lt;&gt;0,N(AY138)/(N(AY192)+N(AY196)+N(AY198)+N(AY199)+N(AY206)+N(AY207)+N(AY208)),""),"")</f>
        <v>3.00306821910223</v>
      </c>
      <c r="AZ336" s="262">
        <f>IFERROR(IF((N(AZ192)+N(AZ196)+N(AZ198)+N(AZ199)+N(AZ206)+N(AZ207)+N(AZ208))&lt;&gt;0,N(AZ138)/(N(AZ192)+N(AZ196)+N(AZ198)+N(AZ199)+N(AZ206)+N(AZ207)+N(AZ208)),""),"")</f>
        <v>3.01045507583446</v>
      </c>
      <c r="BA336" s="262">
        <f>IFERROR(IF((N(BA192)+N(BA196)+N(BA198)+N(BA199)+N(BA206)+N(BA207)+N(BA208))&lt;&gt;0,N(BA138)/(N(BA192)+N(BA196)+N(BA198)+N(BA199)+N(BA206)+N(BA207)+N(BA208)),""),"")</f>
        <v>3.01045507583446</v>
      </c>
      <c r="BB336" s="262">
        <f>IFERROR(IF((N(BB192)+N(BB196)+N(BB198)+N(BB199)+N(BB206)+N(BB207)+N(BB208))&lt;&gt;0,N(BB138)/(N(BB192)+N(BB196)+N(BB198)+N(BB199)+N(BB206)+N(BB207)+N(BB208)),""),"")</f>
        <v>3.00161698802615</v>
      </c>
      <c r="BC336" s="262">
        <f>IFERROR(IF((N(BC192)+N(BC196)+N(BC198)+N(BC199)+N(BC206)+N(BC207)+N(BC208))&lt;&gt;0,N(BC138)/(N(BC192)+N(BC196)+N(BC198)+N(BC199)+N(BC206)+N(BC207)+N(BC208)),""),"")</f>
        <v>2.97647553961352</v>
      </c>
      <c r="BD336" s="262">
        <f>IFERROR(IF((N(BD192)+N(BD196)+N(BD198)+N(BD199)+N(BD206)+N(BD207)+N(BD208))&lt;&gt;0,N(BD138)/(N(BD192)+N(BD196)+N(BD198)+N(BD199)+N(BD206)+N(BD207)+N(BD208)),""),"")</f>
        <v>2.9391398529368</v>
      </c>
      <c r="BE336" s="262">
        <f>IFERROR(IF((N(BE192)+N(BE196)+N(BE198)+N(BE199)+N(BE206)+N(BE207)+N(BE208))&lt;&gt;0,N(BE138)/(N(BE192)+N(BE196)+N(BE198)+N(BE199)+N(BE206)+N(BE207)+N(BE208)),""),"")</f>
        <v>2.89193370175328</v>
      </c>
      <c r="BF336" s="262">
        <f>IFERROR(IF((N(BF192)+N(BF196)+N(BF198)+N(BF199)+N(BF206)+N(BF207)+N(BF208))&lt;&gt;0,N(BF138)/(N(BF192)+N(BF196)+N(BF198)+N(BF199)+N(BF206)+N(BF207)+N(BF208)),""),"")</f>
        <v>2.89193370175328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</row>
    <row r="338" customFormat="1" s="77">
      <c r="A338" s="76" t="n"/>
      <c r="B338" s="76" t="n"/>
      <c r="C338" s="74" t="inlineStr">
        <is>
          <t>OPERATING EFFICIENCY</t>
        </is>
      </c>
    </row>
    <row r="339" customFormat="1" s="84">
      <c r="A339" s="81" t="n"/>
      <c r="B339" s="81" t="n"/>
      <c r="C339" s="84" t="inlineStr">
        <is>
          <t>RETURN ON CAPITAL (ROIC) - LTM</t>
        </is>
      </c>
      <c r="D339" t="str">
        <f>IFERROR(D341/D344,"")</f>
        <v/>
      </c>
      <c r="E339" t="str">
        <f>IFERROR(E341/E344,"")</f>
        <v/>
      </c>
      <c r="F339" t="str">
        <f>IFERROR(F341/F344,"")</f>
        <v/>
      </c>
      <c r="G339" t="str">
        <f>IFERROR(G341/G344,"")</f>
        <v/>
      </c>
      <c r="H339" s="257" t="str">
        <f>IFERROR(IF(AND(COUNT(H341)=1,N(H344)&lt;&gt;0),(H341)/H344,""),"")</f>
        <v/>
      </c>
      <c r="I339" s="257" t="str">
        <f>""</f>
        <v/>
      </c>
      <c r="J339" s="257" t="str">
        <f>""</f>
        <v/>
      </c>
      <c r="K339" s="257" t="str">
        <f>""</f>
        <v/>
      </c>
      <c r="L339" s="257">
        <f>IFERROR(IF(AND(COUNT(I341,J341,K341,L341)=4,N(L344)&lt;&gt;0),(I341+J341+K341+L341)/L344,""),"")</f>
        <v>0.213200407282745</v>
      </c>
      <c r="M339" s="257">
        <f>IFERROR(IF(AND(COUNT(I341,J341,K341,L341)=4,N(M344)&lt;&gt;0),(I341+J341+K341+L341)/M344,""),"")</f>
        <v>0.213200407282745</v>
      </c>
      <c r="N339" s="257">
        <f>IFERROR(IF(AND(COUNT(J341,K341,L341,N341)=4,N(N344)&lt;&gt;0),(J341+K341+L341+N341)/N344,""),"")</f>
        <v>0.204166508214739</v>
      </c>
      <c r="O339" s="257">
        <f>IFERROR(IF(AND(COUNT(K341,L341,N341,O341)=4,N(O344)&lt;&gt;0),(K341+L341+N341+O341)/O344,""),"")</f>
        <v>0.187532914295981</v>
      </c>
      <c r="P339" s="257">
        <f>IFERROR(IF(AND(COUNT(L341,N341,O341,P341)=4,N(P344)&lt;&gt;0),(L341+N341+O341+P341)/P344,""),"")</f>
        <v>0.174739586654084</v>
      </c>
      <c r="Q339" s="257">
        <f>IFERROR(IF(AND(COUNT(N341,O341,P341,Q341)=4,N(Q344)&lt;&gt;0),(N341+O341+P341+Q341)/Q344,""),"")</f>
        <v>0.16729847748022</v>
      </c>
      <c r="R339" s="257">
        <f>IFERROR(IF(AND(COUNT(N341,O341,P341,Q341)=4,N(R344)&lt;&gt;0),(N341+O341+P341+Q341)/R344,""),"")</f>
        <v>0.16729847748022</v>
      </c>
      <c r="S339" s="257">
        <f>IFERROR(IF(AND(COUNT(O341,P341,Q341,S341)=4,N(S344)&lt;&gt;0),(O341+P341+Q341+S341)/S344,""),"")</f>
        <v>0.168647507791449</v>
      </c>
      <c r="T339" s="257">
        <f>IFERROR(IF(AND(COUNT(P341,Q341,S341,T341)=4,N(T344)&lt;&gt;0),(P341+Q341+S341+T341)/T344,""),"")</f>
        <v>0.174530442158313</v>
      </c>
      <c r="U339" s="257">
        <f>IFERROR(IF(AND(COUNT(Q341,S341,T341,U341)=4,N(U344)&lt;&gt;0),(Q341+S341+T341+U341)/U344,""),"")</f>
        <v>0.188348222679774</v>
      </c>
      <c r="V339" s="257">
        <f>IFERROR(IF(AND(COUNT(S341,T341,U341,V341)=4,N(V344)&lt;&gt;0),(S341+T341+U341+V341)/V344,""),"")</f>
        <v>0.216038608512624</v>
      </c>
      <c r="W339" s="257">
        <f>IFERROR(IF(AND(COUNT(S341,T341,U341,V341)=4,N(W344)&lt;&gt;0),(S341+T341+U341+V341)/W344,""),"")</f>
        <v>0.216038608512624</v>
      </c>
      <c r="X339" s="257">
        <f>IFERROR(IF(AND(COUNT(T341,U341,V341,X341)=4,N(X344)&lt;&gt;0),(T341+U341+V341+X341)/X344,""),"")</f>
        <v>0.242547573401564</v>
      </c>
      <c r="Y339" s="257">
        <f>IFERROR(IF(AND(COUNT(U341,V341,X341,Y341)=4,N(Y344)&lt;&gt;0),(U341+V341+X341+Y341)/Y344,""),"")</f>
        <v>0.254017463488283</v>
      </c>
      <c r="Z339" s="257">
        <f>IFERROR(IF(AND(COUNT(V341,X341,Y341,Z341)=4,N(Z344)&lt;&gt;0),(V341+X341+Y341+Z341)/Z344,""),"")</f>
        <v>0.282843293607486</v>
      </c>
      <c r="AA339" s="257">
        <f>IFERROR(IF(AND(COUNT(X341,Y341,Z341,AA341)=4,N(AA344)&lt;&gt;0),(X341+Y341+Z341+AA341)/AA344,""),"")</f>
        <v>0.296184764730933</v>
      </c>
      <c r="AB339" s="257">
        <f>IFERROR(IF(AND(COUNT(X341,Y341,Z341,AA341)=4,N(AB344)&lt;&gt;0),(X341+Y341+Z341+AA341)/AB344,""),"")</f>
        <v>0.296184764730933</v>
      </c>
      <c r="AC339" s="257">
        <f>IFERROR(IF(AND(COUNT(Y341,Z341,AA341,AC341)=4,N(AC344)&lt;&gt;0),(Y341+Z341+AA341+AC341)/AC344,""),"")</f>
        <v>0.318428886913532</v>
      </c>
      <c r="AD339" s="257">
        <f>IFERROR(IF(AND(COUNT(Z341,AA341,AC341,AD341)=4,N(AD344)&lt;&gt;0),(Z341+AA341+AC341+AD341)/AD344,""),"")</f>
        <v>0.347986935026814</v>
      </c>
      <c r="AE339" s="257">
        <f>IFERROR(IF(AND(COUNT(AA341,AC341,AD341,AE341)=4,N(AE344)&lt;&gt;0),(AA341+AC341+AD341+AE341)/AE344,""),"")</f>
        <v>0.350861277372166</v>
      </c>
      <c r="AF339" s="257">
        <f>IFERROR(IF(AND(COUNT(AB341,AD341,AE341,AF341)=4,N(AF344)&lt;&gt;0),(AB341+AD341+AE341+AF341)/AF344,""),"")</f>
        <v>0.549708686093717</v>
      </c>
      <c r="AG339" s="257">
        <f>IFERROR(IF(AND(COUNT(AC341,AD341,AE341,AF341)=4,N(AG344)&lt;&gt;0),(AC341+AD341+AE341+AF341)/AG344,""),"")</f>
        <v>0.359287986878654</v>
      </c>
      <c r="AH339" s="257">
        <f>IFERROR(IF(AND(COUNT(AD341,AF341,AG341,AH341)=4,N(AH344)&lt;&gt;0),(AD341+AF341+AG341+AH341)/AH344,""),"")</f>
        <v>0.618328121121053</v>
      </c>
      <c r="AI339" s="257">
        <f>IFERROR(IF(AND(COUNT(AE341,AG341,AH341,AI341)=4,N(AI344)&lt;&gt;0),(AE341+AG341+AH341+AI341)/AI344,""),"")</f>
        <v>0.590408882202921</v>
      </c>
      <c r="AJ339" s="257">
        <f>IFERROR(IF(AND(COUNT(AF341,AH341,AI341,AJ341)=4,N(AJ344)&lt;&gt;0),(AF341+AH341+AI341+AJ341)/AJ344,""),"")</f>
        <v>0.364832439218328</v>
      </c>
      <c r="AK339" s="257">
        <f>IFERROR(IF(AND(COUNT(AH341,AI341,AJ341,AK341)=4,N(AK344)&lt;&gt;0),(AH341+AI341+AJ341+AK341)/AK344,""),"")</f>
        <v>0.399857819699321</v>
      </c>
      <c r="AL339" s="257">
        <f>IFERROR(IF(AND(COUNT(AH341,AI341,AJ341,AK341)=4,N(AL344)&lt;&gt;0),(AH341+AI341+AJ341+AK341)/AL344,""),"")</f>
        <v>0.399857819699321</v>
      </c>
      <c r="AM339" s="257">
        <f>IFERROR(IF(AND(COUNT(AI341,AJ341,AK341,AM341)=4,N(AM344)&lt;&gt;0),(AI341+AJ341+AK341+AM341)/AM344,""),"")</f>
        <v>0.420651531562767</v>
      </c>
      <c r="AN339" s="257">
        <f>IFERROR(IF(AND(COUNT(AJ341,AK341,AM341,AN341)=4,N(AN344)&lt;&gt;0),(AJ341+AK341+AM341+AN341)/AN344,""),"")</f>
        <v>0.436529902599772</v>
      </c>
      <c r="AO339" s="257">
        <f>IFERROR(IF(AND(COUNT(AK341,AM341,AN341,AO341)=4,N(AO344)&lt;&gt;0),(AK341+AM341+AN341+AO341)/AO344,""),"")</f>
        <v>0.462839462313847</v>
      </c>
      <c r="AP339" s="257">
        <f>IFERROR(IF(AND(COUNT(AM341,AN341,AO341,AP341)=4,N(AP344)&lt;&gt;0),(AM341+AN341+AO341+AP341)/AP344,""),"")</f>
        <v>0.493150122781145</v>
      </c>
      <c r="AQ339" s="257">
        <f>IFERROR(IF(AND(COUNT(AM341,AN341,AO341,AP341)=4,N(AQ344)&lt;&gt;0),(AM341+AN341+AO341+AP341)/AQ344,""),"")</f>
        <v>0.493150122781145</v>
      </c>
      <c r="AR339" s="257">
        <f>IFERROR(IF(AND(COUNT(AN341,AO341,AP341,AR341)=4,N(AR344)&lt;&gt;0),(AN341+AO341+AP341+AR341)/AR344,""),"")</f>
        <v>0.526450969083087</v>
      </c>
      <c r="AS339" s="257">
        <f>IFERROR(IF(AND(COUNT(AO341,AP341,AR341,AS341)=4,N(AS344)&lt;&gt;0),(AO341+AP341+AR341+AS341)/AS344,""),"")</f>
        <v>0.565514244569439</v>
      </c>
      <c r="AT339" s="257">
        <f>IFERROR(IF(AND(COUNT(AP341,AR341,AS341,AT341)=4,N(AT344)&lt;&gt;0),(AP341+AR341+AS341+AT341)/AT344,""),"")</f>
        <v>0.613243121915948</v>
      </c>
      <c r="AU339" s="257">
        <f>IFERROR(IF(AND(COUNT(AR341,AS341,AT341,AU341)=4,N(AU344)&lt;&gt;0),(AR341+AS341+AT341+AU341)/AU344,""),"")</f>
        <v>0.672087072028976</v>
      </c>
      <c r="AV339" s="257">
        <f>IFERROR(IF(AND(COUNT(AR341,AS341,AT341,AU341)=4,N(AV344)&lt;&gt;0),(AR341+AS341+AT341+AU341)/AV344,""),"")</f>
        <v>0.672087072028976</v>
      </c>
      <c r="AW339" s="257">
        <f>IFERROR(IF(AND(COUNT(AS341,AT341,AU341,AW341)=4,N(AW344)&lt;&gt;0),(AS341+AT341+AU341+AW341)/AW344,""),"")</f>
        <v>0.742622348060433</v>
      </c>
      <c r="AX339" s="257">
        <f>IFERROR(IF(AND(COUNT(AT341,AU341,AW341,AX341)=4,N(AX344)&lt;&gt;0),(AT341+AU341+AW341+AX341)/AX344,""),"")</f>
        <v>0.833123656050582</v>
      </c>
      <c r="AY339" s="257">
        <f>IFERROR(IF(AND(COUNT(AU341,AW341,AX341,AY341)=4,N(AY344)&lt;&gt;0),(AU341+AW341+AX341+AY341)/AY344,""),"")</f>
        <v>0.957733414046191</v>
      </c>
      <c r="AZ339" s="257">
        <f>IFERROR(IF(AND(COUNT(AW341,AX341,AY341,AZ341)=4,N(AZ344)&lt;&gt;0),(AW341+AX341+AY341+AZ341)/AZ344,""),"")</f>
        <v>1.13683385986577</v>
      </c>
      <c r="BA339" s="257">
        <f>IFERROR(IF(AND(COUNT(AW341,AX341,AY341,AZ341)=4,N(BA344)&lt;&gt;0),(AW341+AX341+AY341+AZ341)/BA344,""),"")</f>
        <v>1.13683385986577</v>
      </c>
      <c r="BB339" s="257">
        <f>IFERROR(IF(AND(COUNT(AX341,AY341,AZ341,BB341)=4,N(BB344)&lt;&gt;0),(AX341+AY341+AZ341+BB341)/BB344,""),"")</f>
        <v>1.40095501355407</v>
      </c>
      <c r="BC339" s="257">
        <f>IFERROR(IF(AND(COUNT(AY341,AZ341,BB341,BC341)=4,N(BC344)&lt;&gt;0),(AY341+AZ341+BB341+BC341)/BC344,""),"")</f>
        <v>1.85602471494044</v>
      </c>
      <c r="BD339" s="257">
        <f>IFERROR(IF(AND(COUNT(AZ341,BB341,BC341,BD341)=4,N(BD344)&lt;&gt;0),(AZ341+BB341+BC341+BD341)/BD344,""),"")</f>
        <v>2.85392854433409</v>
      </c>
      <c r="BE339" s="257">
        <f>IFERROR(IF(AND(COUNT(BB341,BC341,BD341,BE341)=4,N(BE344)&lt;&gt;0),(BB341+BC341+BD341+BE341)/BE344,""),"")</f>
        <v>6.68122182863709</v>
      </c>
      <c r="BF339" s="257">
        <f>IFERROR(IF(AND(COUNT(BB341,BC341,BD341,BE341)=4,N(BF344)&lt;&gt;0),(BB341+BC341+BD341+BE341)/BF344,""),"")</f>
        <v>6.68122182863709</v>
      </c>
      <c r="BG339" s="81" t="n"/>
      <c r="BH339" s="81" t="n"/>
      <c r="BI339" s="81" t="n"/>
      <c r="BJ339" s="81" t="n"/>
      <c r="BL339" s="81" t="n"/>
      <c r="BM339" s="81" t="n"/>
      <c r="BN339" s="81" t="n"/>
      <c r="BO339" s="81" t="n"/>
      <c r="BQ339" s="81" t="n"/>
      <c r="BR339" s="81" t="n"/>
      <c r="BS339" s="81" t="n"/>
      <c r="BT339" s="81" t="n"/>
      <c r="BV339" s="81" t="n"/>
      <c r="BW339" s="81" t="n"/>
      <c r="BX339" s="81" t="n"/>
      <c r="BY339" s="81" t="n"/>
      <c r="CA339" s="81" t="n"/>
      <c r="CB339" s="81" t="n"/>
      <c r="CC339" s="81" t="n"/>
      <c r="CD339" s="81" t="n"/>
      <c r="CF339" s="81" t="n"/>
      <c r="CG339" s="81" t="n"/>
      <c r="CH339" s="81" t="n"/>
      <c r="CI339" s="81" t="n"/>
      <c r="CK339" s="81" t="n"/>
      <c r="CL339" s="81" t="n"/>
      <c r="CM339" s="81" t="n"/>
      <c r="CN339" s="81" t="n"/>
      <c r="CP339" s="81" t="n"/>
      <c r="CQ339" s="81" t="n"/>
      <c r="CR339" s="81" t="n"/>
      <c r="CS339" s="81" t="n"/>
      <c r="CU339" s="81" t="n"/>
      <c r="CV339" s="81" t="n"/>
      <c r="CW339" s="81" t="n"/>
      <c r="CX339" s="81" t="n"/>
    </row>
    <row r="340" customFormat="1" s="84">
      <c r="A340" s="81" t="n"/>
      <c r="B340" s="81" t="n"/>
      <c r="C340" s="84" t="inlineStr">
        <is>
          <t>RETURN ON CAPITAL (ROIC) - EX GOODWILL - LTM</t>
        </is>
      </c>
      <c r="D340" t="str">
        <f>IFERROR(D341/D345,"")</f>
        <v/>
      </c>
      <c r="E340" t="str">
        <f>IFERROR(E341/E345,"")</f>
        <v/>
      </c>
      <c r="F340" t="str">
        <f>IFERROR(F341/F345,"")</f>
        <v/>
      </c>
      <c r="G340" t="str">
        <f>IFERROR(G341/G345,"")</f>
        <v/>
      </c>
      <c r="H340" s="257" t="str">
        <f>IFERROR(IF(AND(COUNT(H341)=1,N(H345)&lt;&gt;0),(H341)/H345,""),"")</f>
        <v/>
      </c>
      <c r="I340" s="257" t="str">
        <f>""</f>
        <v/>
      </c>
      <c r="J340" s="257" t="str">
        <f>""</f>
        <v/>
      </c>
      <c r="K340" s="257" t="str">
        <f>""</f>
        <v/>
      </c>
      <c r="L340" s="257">
        <f>IFERROR(IF(AND(COUNT(I341,J341,K341,L341)=4,N(L345)&lt;&gt;0),(I341+J341+K341+L341)/L345,""),"")</f>
        <v>0.213200407282745</v>
      </c>
      <c r="M340" s="257">
        <f>IFERROR(IF(AND(COUNT(I341,J341,K341,L341)=4,N(M345)&lt;&gt;0),(I341+J341+K341+L341)/M345,""),"")</f>
        <v>0.213200407282745</v>
      </c>
      <c r="N340" s="257">
        <f>IFERROR(IF(AND(COUNT(J341,K341,L341,N341)=4,N(N345)&lt;&gt;0),(J341+K341+L341+N341)/N345,""),"")</f>
        <v>0.204166508214739</v>
      </c>
      <c r="O340" s="257">
        <f>IFERROR(IF(AND(COUNT(K341,L341,N341,O341)=4,N(O345)&lt;&gt;0),(K341+L341+N341+O341)/O345,""),"")</f>
        <v>0.187532914295981</v>
      </c>
      <c r="P340" s="257">
        <f>IFERROR(IF(AND(COUNT(L341,N341,O341,P341)=4,N(P345)&lt;&gt;0),(L341+N341+O341+P341)/P345,""),"")</f>
        <v>0.174739586654084</v>
      </c>
      <c r="Q340" s="257">
        <f>IFERROR(IF(AND(COUNT(N341,O341,P341,Q341)=4,N(Q345)&lt;&gt;0),(N341+O341+P341+Q341)/Q345,""),"")</f>
        <v>0.16729847748022</v>
      </c>
      <c r="R340" s="257">
        <f>IFERROR(IF(AND(COUNT(N341,O341,P341,Q341)=4,N(R345)&lt;&gt;0),(N341+O341+P341+Q341)/R345,""),"")</f>
        <v>0.16729847748022</v>
      </c>
      <c r="S340" s="257">
        <f>IFERROR(IF(AND(COUNT(O341,P341,Q341,S341)=4,N(S345)&lt;&gt;0),(O341+P341+Q341+S341)/S345,""),"")</f>
        <v>0.168647507791449</v>
      </c>
      <c r="T340" s="257">
        <f>IFERROR(IF(AND(COUNT(P341,Q341,S341,T341)=4,N(T345)&lt;&gt;0),(P341+Q341+S341+T341)/T345,""),"")</f>
        <v>0.174530442158313</v>
      </c>
      <c r="U340" s="257">
        <f>IFERROR(IF(AND(COUNT(Q341,S341,T341,U341)=4,N(U345)&lt;&gt;0),(Q341+S341+T341+U341)/U345,""),"")</f>
        <v>0.188348222679774</v>
      </c>
      <c r="V340" s="257">
        <f>IFERROR(IF(AND(COUNT(S341,T341,U341,V341)=4,N(V345)&lt;&gt;0),(S341+T341+U341+V341)/V345,""),"")</f>
        <v>0.216038608512624</v>
      </c>
      <c r="W340" s="257">
        <f>IFERROR(IF(AND(COUNT(S341,T341,U341,V341)=4,N(W345)&lt;&gt;0),(S341+T341+U341+V341)/W345,""),"")</f>
        <v>0.216038608512624</v>
      </c>
      <c r="X340" s="257">
        <f>IFERROR(IF(AND(COUNT(T341,U341,V341,X341)=4,N(X345)&lt;&gt;0),(T341+U341+V341+X341)/X345,""),"")</f>
        <v>0.242547573401564</v>
      </c>
      <c r="Y340" s="257">
        <f>IFERROR(IF(AND(COUNT(U341,V341,X341,Y341)=4,N(Y345)&lt;&gt;0),(U341+V341+X341+Y341)/Y345,""),"")</f>
        <v>0.254017463488283</v>
      </c>
      <c r="Z340" s="257">
        <f>IFERROR(IF(AND(COUNT(V341,X341,Y341,Z341)=4,N(Z345)&lt;&gt;0),(V341+X341+Y341+Z341)/Z345,""),"")</f>
        <v>0.282843293607486</v>
      </c>
      <c r="AA340" s="257">
        <f>IFERROR(IF(AND(COUNT(X341,Y341,Z341,AA341)=4,N(AA345)&lt;&gt;0),(X341+Y341+Z341+AA341)/AA345,""),"")</f>
        <v>0.296184764730933</v>
      </c>
      <c r="AB340" s="257">
        <f>IFERROR(IF(AND(COUNT(X341,Y341,Z341,AA341)=4,N(AB345)&lt;&gt;0),(X341+Y341+Z341+AA341)/AB345,""),"")</f>
        <v>0.296184764730933</v>
      </c>
      <c r="AC340" s="257">
        <f>IFERROR(IF(AND(COUNT(Y341,Z341,AA341,AC341)=4,N(AC345)&lt;&gt;0),(Y341+Z341+AA341+AC341)/AC345,""),"")</f>
        <v>0.318428886913532</v>
      </c>
      <c r="AD340" s="257">
        <f>IFERROR(IF(AND(COUNT(Z341,AA341,AC341,AD341)=4,N(AD345)&lt;&gt;0),(Z341+AA341+AC341+AD341)/AD345,""),"")</f>
        <v>0.347986935026814</v>
      </c>
      <c r="AE340" s="257">
        <f>IFERROR(IF(AND(COUNT(AA341,AC341,AD341,AE341)=4,N(AE345)&lt;&gt;0),(AA341+AC341+AD341+AE341)/AE345,""),"")</f>
        <v>0.350861277372166</v>
      </c>
      <c r="AF340" s="257">
        <f>IFERROR(IF(AND(COUNT(AB341,AD341,AE341,AF341)=4,N(AF345)&lt;&gt;0),(AB341+AD341+AE341+AF341)/AF345,""),"")</f>
        <v>0.549708686093717</v>
      </c>
      <c r="AG340" s="257">
        <f>IFERROR(IF(AND(COUNT(AC341,AD341,AE341,AF341)=4,N(AG345)&lt;&gt;0),(AC341+AD341+AE341+AF341)/AG345,""),"")</f>
        <v>0.359287986878654</v>
      </c>
      <c r="AH340" s="257">
        <f>IFERROR(IF(AND(COUNT(AD341,AF341,AG341,AH341)=4,N(AH345)&lt;&gt;0),(AD341+AF341+AG341+AH341)/AH345,""),"")</f>
        <v>0.618328121121053</v>
      </c>
      <c r="AI340" s="257">
        <f>IFERROR(IF(AND(COUNT(AE341,AG341,AH341,AI341)=4,N(AI345)&lt;&gt;0),(AE341+AG341+AH341+AI341)/AI345,""),"")</f>
        <v>0.590408882202921</v>
      </c>
      <c r="AJ340" s="257">
        <f>IFERROR(IF(AND(COUNT(AF341,AH341,AI341,AJ341)=4,N(AJ345)&lt;&gt;0),(AF341+AH341+AI341+AJ341)/AJ345,""),"")</f>
        <v>0.364832439218328</v>
      </c>
      <c r="AK340" s="257">
        <f>IFERROR(IF(AND(COUNT(AH341,AI341,AJ341,AK341)=4,N(AK345)&lt;&gt;0),(AH341+AI341+AJ341+AK341)/AK345,""),"")</f>
        <v>0.399857819699321</v>
      </c>
      <c r="AL340" s="257">
        <f>IFERROR(IF(AND(COUNT(AH341,AI341,AJ341,AK341)=4,N(AL345)&lt;&gt;0),(AH341+AI341+AJ341+AK341)/AL345,""),"")</f>
        <v>0.399857819699321</v>
      </c>
      <c r="AM340" s="257">
        <f>IFERROR(IF(AND(COUNT(AI341,AJ341,AK341,AM341)=4,N(AM345)&lt;&gt;0),(AI341+AJ341+AK341+AM341)/AM345,""),"")</f>
        <v>0.420651531562767</v>
      </c>
      <c r="AN340" s="257">
        <f>IFERROR(IF(AND(COUNT(AJ341,AK341,AM341,AN341)=4,N(AN345)&lt;&gt;0),(AJ341+AK341+AM341+AN341)/AN345,""),"")</f>
        <v>0.436529902599772</v>
      </c>
      <c r="AO340" s="257">
        <f>IFERROR(IF(AND(COUNT(AK341,AM341,AN341,AO341)=4,N(AO345)&lt;&gt;0),(AK341+AM341+AN341+AO341)/AO345,""),"")</f>
        <v>0.462839462313847</v>
      </c>
      <c r="AP340" s="257">
        <f>IFERROR(IF(AND(COUNT(AM341,AN341,AO341,AP341)=4,N(AP345)&lt;&gt;0),(AM341+AN341+AO341+AP341)/AP345,""),"")</f>
        <v>0.493150122781145</v>
      </c>
      <c r="AQ340" s="257">
        <f>IFERROR(IF(AND(COUNT(AM341,AN341,AO341,AP341)=4,N(AQ345)&lt;&gt;0),(AM341+AN341+AO341+AP341)/AQ345,""),"")</f>
        <v>0.493150122781145</v>
      </c>
      <c r="AR340" s="257">
        <f>IFERROR(IF(AND(COUNT(AN341,AO341,AP341,AR341)=4,N(AR345)&lt;&gt;0),(AN341+AO341+AP341+AR341)/AR345,""),"")</f>
        <v>0.526450969083087</v>
      </c>
      <c r="AS340" s="257">
        <f>IFERROR(IF(AND(COUNT(AO341,AP341,AR341,AS341)=4,N(AS345)&lt;&gt;0),(AO341+AP341+AR341+AS341)/AS345,""),"")</f>
        <v>0.565514244569439</v>
      </c>
      <c r="AT340" s="257">
        <f>IFERROR(IF(AND(COUNT(AP341,AR341,AS341,AT341)=4,N(AT345)&lt;&gt;0),(AP341+AR341+AS341+AT341)/AT345,""),"")</f>
        <v>0.613243121915948</v>
      </c>
      <c r="AU340" s="257">
        <f>IFERROR(IF(AND(COUNT(AR341,AS341,AT341,AU341)=4,N(AU345)&lt;&gt;0),(AR341+AS341+AT341+AU341)/AU345,""),"")</f>
        <v>0.672087072028976</v>
      </c>
      <c r="AV340" s="257">
        <f>IFERROR(IF(AND(COUNT(AR341,AS341,AT341,AU341)=4,N(AV345)&lt;&gt;0),(AR341+AS341+AT341+AU341)/AV345,""),"")</f>
        <v>0.672087072028976</v>
      </c>
      <c r="AW340" s="257">
        <f>IFERROR(IF(AND(COUNT(AS341,AT341,AU341,AW341)=4,N(AW345)&lt;&gt;0),(AS341+AT341+AU341+AW341)/AW345,""),"")</f>
        <v>0.742622348060433</v>
      </c>
      <c r="AX340" s="257">
        <f>IFERROR(IF(AND(COUNT(AT341,AU341,AW341,AX341)=4,N(AX345)&lt;&gt;0),(AT341+AU341+AW341+AX341)/AX345,""),"")</f>
        <v>0.833123656050582</v>
      </c>
      <c r="AY340" s="257">
        <f>IFERROR(IF(AND(COUNT(AU341,AW341,AX341,AY341)=4,N(AY345)&lt;&gt;0),(AU341+AW341+AX341+AY341)/AY345,""),"")</f>
        <v>0.957733414046191</v>
      </c>
      <c r="AZ340" s="257">
        <f>IFERROR(IF(AND(COUNT(AW341,AX341,AY341,AZ341)=4,N(AZ345)&lt;&gt;0),(AW341+AX341+AY341+AZ341)/AZ345,""),"")</f>
        <v>1.13683385986577</v>
      </c>
      <c r="BA340" s="257">
        <f>IFERROR(IF(AND(COUNT(AW341,AX341,AY341,AZ341)=4,N(BA345)&lt;&gt;0),(AW341+AX341+AY341+AZ341)/BA345,""),"")</f>
        <v>1.13683385986577</v>
      </c>
      <c r="BB340" s="257">
        <f>IFERROR(IF(AND(COUNT(AX341,AY341,AZ341,BB341)=4,N(BB345)&lt;&gt;0),(AX341+AY341+AZ341+BB341)/BB345,""),"")</f>
        <v>1.40095501355407</v>
      </c>
      <c r="BC340" s="257">
        <f>IFERROR(IF(AND(COUNT(AY341,AZ341,BB341,BC341)=4,N(BC345)&lt;&gt;0),(AY341+AZ341+BB341+BC341)/BC345,""),"")</f>
        <v>1.85602471494044</v>
      </c>
      <c r="BD340" s="257">
        <f>IFERROR(IF(AND(COUNT(AZ341,BB341,BC341,BD341)=4,N(BD345)&lt;&gt;0),(AZ341+BB341+BC341+BD341)/BD345,""),"")</f>
        <v>2.85392854433409</v>
      </c>
      <c r="BE340" s="257">
        <f>IFERROR(IF(AND(COUNT(BB341,BC341,BD341,BE341)=4,N(BE345)&lt;&gt;0),(BB341+BC341+BD341+BE341)/BE345,""),"")</f>
        <v>6.68122182863709</v>
      </c>
      <c r="BF340" s="257">
        <f>IFERROR(IF(AND(COUNT(BB341,BC341,BD341,BE341)=4,N(BF345)&lt;&gt;0),(BB341+BC341+BD341+BE341)/BF345,""),"")</f>
        <v>6.68122182863709</v>
      </c>
      <c r="BG340" s="81" t="n"/>
      <c r="BH340" s="81" t="n"/>
      <c r="BI340" s="81" t="n"/>
      <c r="BJ340" s="81" t="n"/>
      <c r="BL340" s="81" t="n"/>
      <c r="BM340" s="81" t="n"/>
      <c r="BN340" s="81" t="n"/>
      <c r="BO340" s="81" t="n"/>
      <c r="BQ340" s="81" t="n"/>
      <c r="BR340" s="81" t="n"/>
      <c r="BS340" s="81" t="n"/>
      <c r="BT340" s="81" t="n"/>
      <c r="BV340" s="81" t="n"/>
      <c r="BW340" s="81" t="n"/>
      <c r="BX340" s="81" t="n"/>
      <c r="BY340" s="81" t="n"/>
      <c r="CA340" s="81" t="n"/>
      <c r="CB340" s="81" t="n"/>
      <c r="CC340" s="81" t="n"/>
      <c r="CD340" s="81" t="n"/>
      <c r="CF340" s="81" t="n"/>
      <c r="CG340" s="81" t="n"/>
      <c r="CH340" s="81" t="n"/>
      <c r="CI340" s="81" t="n"/>
      <c r="CK340" s="81" t="n"/>
      <c r="CL340" s="81" t="n"/>
      <c r="CM340" s="81" t="n"/>
      <c r="CN340" s="81" t="n"/>
      <c r="CP340" s="81" t="n"/>
      <c r="CQ340" s="81" t="n"/>
      <c r="CR340" s="81" t="n"/>
      <c r="CS340" s="81" t="n"/>
      <c r="CU340" s="81" t="n"/>
      <c r="CV340" s="81" t="n"/>
      <c r="CW340" s="81" t="n"/>
      <c r="CX340" s="81" t="n"/>
    </row>
    <row r="341" customFormat="1" s="77">
      <c r="A341" s="76" t="n"/>
      <c r="B341" s="76" t="n"/>
      <c r="C341" s="77" t="inlineStr">
        <is>
          <t>NOPLAT</t>
        </is>
      </c>
      <c r="D341">
        <f>IFERROR(D342*(1-D343),"")</f>
        <v>0</v>
      </c>
      <c r="E341">
        <f>IFERROR(E342*(1-E343),"")</f>
        <v>0</v>
      </c>
      <c r="F341">
        <f>IFERROR(F342*(1-F343),"")</f>
        <v>0</v>
      </c>
      <c r="G341">
        <f>IFERROR(G342*(1-G343),"")</f>
        <v>0</v>
      </c>
      <c r="H341" s="263">
        <f>IFERROR(H342*(1-N(H343)),0)</f>
        <v>0</v>
      </c>
      <c r="I341" s="263">
        <f>IFERROR(I342*(1-N(I343)),0)</f>
        <v>1644.0955246247</v>
      </c>
      <c r="J341" s="263">
        <f>IFERROR(J342*(1-N(J343)),0)</f>
        <v>1568.50587448527</v>
      </c>
      <c r="K341" s="263">
        <f>IFERROR(K342*(1-N(K343)),0)</f>
        <v>1531.33594505524</v>
      </c>
      <c r="L341" s="263">
        <f>IFERROR(L342*(1-N(L343)),0)</f>
        <v>631.77</v>
      </c>
      <c r="M341" s="263">
        <f>IFERROR(M342*(1-N(M343)),0)</f>
        <v>5426.70572626065</v>
      </c>
      <c r="N341" s="263">
        <f>IFERROR(N342*(1-N(N343)),0)</f>
        <v>1590.93840800589</v>
      </c>
      <c r="O341" s="263">
        <f>IFERROR(O342*(1-N(O343)),0)</f>
        <v>1401.20320527413</v>
      </c>
      <c r="P341" s="263">
        <f>IFERROR(P342*(1-N(P343)),0)</f>
        <v>1321.65990648686</v>
      </c>
      <c r="Q341" s="263">
        <f>IFERROR(Q342*(1-N(Q343)),0)</f>
        <v>549.904</v>
      </c>
      <c r="R341" s="263">
        <f>IFERROR(R342*(1-N(R343)),0)</f>
        <v>4806.72303080912</v>
      </c>
      <c r="S341" s="263">
        <f>IFERROR(S342*(1-N(S343)),0)</f>
        <v>1523.20035826082</v>
      </c>
      <c r="T341" s="263">
        <f>IFERROR(T342*(1-N(T343)),0)</f>
        <v>1618.5814970655</v>
      </c>
      <c r="U341" s="263">
        <f>IFERROR(U342*(1-N(U343)),0)</f>
        <v>1683.87582312869</v>
      </c>
      <c r="V341" s="263">
        <f>IFERROR(V342*(1-N(V343)),0)</f>
        <v>1222.05972420154</v>
      </c>
      <c r="W341" s="263">
        <f>IFERROR(W342*(1-N(W343)),0)</f>
        <v>6060.39068907992</v>
      </c>
      <c r="X341" s="263">
        <f>IFERROR(X342*(1-N(X343)),0)</f>
        <v>2348.22489112243</v>
      </c>
      <c r="Y341" s="263">
        <f>IFERROR(Y342*(1-N(Y343)),0)</f>
        <v>2223.31251556255</v>
      </c>
      <c r="Z341" s="263">
        <f>IFERROR(Z342*(1-N(Z343)),0)</f>
        <v>2544.09622760617</v>
      </c>
      <c r="AA341" s="263">
        <f>IFERROR(AA342*(1-N(AA343)),0)</f>
        <v>1989.86559183851</v>
      </c>
      <c r="AB341" s="263">
        <f>IFERROR(AB342*(1-N(AB343)),0)</f>
        <v>9106.71610195233</v>
      </c>
      <c r="AC341" s="263">
        <f>IFERROR(AC342*(1-N(AC343)),0)</f>
        <v>3010.21366060735</v>
      </c>
      <c r="AD341" s="263">
        <f>IFERROR(AD342*(1-N(AD343)),0)</f>
        <v>3248.49489522658</v>
      </c>
      <c r="AE341" s="263">
        <f>IFERROR(AE342*(1-N(AE343)),0)</f>
        <v>2660.63730940982</v>
      </c>
      <c r="AF341" s="263">
        <f>IFERROR(AF342*(1-N(AF343)),0)</f>
        <v>2583.60574758368</v>
      </c>
      <c r="AG341" s="263">
        <f>IFERROR(AG342*(1-N(AG343)),0)</f>
        <v>11502.5748128365</v>
      </c>
      <c r="AH341" s="263">
        <f>IFERROR(AH342*(1-N(AH343)),0)</f>
        <v>3192.86903190626</v>
      </c>
      <c r="AI341" s="263">
        <f>IFERROR(AI342*(1-N(AI343)),0)</f>
        <v>3505.10038390242</v>
      </c>
      <c r="AJ341" s="263">
        <f>IFERROR(AJ342*(1-N(AJ343)),0)</f>
        <v>3466.03392394586</v>
      </c>
      <c r="AK341" s="263">
        <f>IFERROR(AK342*(1-N(AK343)),0)</f>
        <v>3628.77809439814</v>
      </c>
      <c r="AL341" s="263">
        <f>IFERROR(AL342*(1-N(AL343)),0)</f>
        <v>13744.8161850761</v>
      </c>
      <c r="AM341" s="263">
        <f>IFERROR(AM342*(1-N(AM343)),0)</f>
        <v>3688.70033806164</v>
      </c>
      <c r="AN341" s="263">
        <f>IFERROR(AN342*(1-N(AN343)),0)</f>
        <v>3782.10339573538</v>
      </c>
      <c r="AO341" s="263">
        <f>IFERROR(AO342*(1-N(AO343)),0)</f>
        <v>4001.71989607379</v>
      </c>
      <c r="AP341" s="263">
        <f>IFERROR(AP342*(1-N(AP343)),0)</f>
        <v>4189.61666776134</v>
      </c>
      <c r="AQ341" s="263">
        <f>IFERROR(AQ342*(1-N(AQ343)),0)</f>
        <v>15662.1402976321</v>
      </c>
      <c r="AR341" s="263">
        <f>IFERROR(AR342*(1-N(AR343)),0)</f>
        <v>4240.35657279677</v>
      </c>
      <c r="AS341" s="263">
        <f>IFERROR(AS342*(1-N(AS343)),0)</f>
        <v>4347.72833879235</v>
      </c>
      <c r="AT341" s="263">
        <f>IFERROR(AT342*(1-N(AT343)),0)</f>
        <v>4600.1891475752</v>
      </c>
      <c r="AU341" s="263">
        <f>IFERROR(AU342*(1-N(AU343)),0)</f>
        <v>4816.18644684383</v>
      </c>
      <c r="AV341" s="263">
        <f>IFERROR(AV342*(1-N(AV343)),0)</f>
        <v>18004.4605060082</v>
      </c>
      <c r="AW341" s="263">
        <f>IFERROR(AW342*(1-N(AW343)),0)</f>
        <v>4853.31287448804</v>
      </c>
      <c r="AX341" s="263">
        <f>IFERROR(AX342*(1-N(AX343)),0)</f>
        <v>4976.20555233639</v>
      </c>
      <c r="AY341" s="263">
        <f>IFERROR(AY342*(1-N(AY343)),0)</f>
        <v>5265.16033067507</v>
      </c>
      <c r="AZ341" s="263">
        <f>IFERROR(AZ342*(1-N(AZ343)),0)</f>
        <v>5512.38068948175</v>
      </c>
      <c r="BA341" s="263">
        <f>IFERROR(BA342*(1-N(BA343)),0)</f>
        <v>20607.0594469812</v>
      </c>
      <c r="BB341" s="263">
        <f>IFERROR(BB342*(1-N(BB343)),0)</f>
        <v>5530.60728958169</v>
      </c>
      <c r="BC341" s="263">
        <f>IFERROR(BC342*(1-N(BC343)),0)</f>
        <v>5670.6500104038</v>
      </c>
      <c r="BD341" s="263">
        <f>IFERROR(BD342*(1-N(BD343)),0)</f>
        <v>5999.92929751508</v>
      </c>
      <c r="BE341" s="263">
        <f>IFERROR(BE342*(1-N(BE343)),0)</f>
        <v>6281.65000127116</v>
      </c>
      <c r="BF341" s="263">
        <f>IFERROR(BF342*(1-N(BF343)),0)</f>
        <v>23482.8365987717</v>
      </c>
      <c r="BG341" s="85" t="n"/>
      <c r="BH341" s="76" t="n"/>
      <c r="BI341" s="76" t="n"/>
      <c r="BJ341" s="76" t="n"/>
      <c r="BL341" s="85" t="n"/>
      <c r="BM341" s="76" t="n"/>
      <c r="BN341" s="76" t="n"/>
      <c r="BO341" s="76" t="n"/>
      <c r="BQ341" s="85" t="n"/>
      <c r="BR341" s="76" t="n"/>
      <c r="BS341" s="76" t="n"/>
      <c r="BT341" s="76" t="n"/>
      <c r="BV341" s="85" t="n"/>
      <c r="BW341" s="76" t="n"/>
      <c r="BX341" s="76" t="n"/>
      <c r="BY341" s="76" t="n"/>
      <c r="CA341" s="85" t="n"/>
      <c r="CB341" s="76" t="n"/>
      <c r="CC341" s="76" t="n"/>
      <c r="CD341" s="76" t="n"/>
      <c r="CF341" s="85" t="n"/>
      <c r="CG341" s="76" t="n"/>
      <c r="CH341" s="76" t="n"/>
      <c r="CI341" s="76" t="n"/>
      <c r="CK341" s="85" t="n"/>
      <c r="CL341" s="76" t="n"/>
      <c r="CM341" s="76" t="n"/>
      <c r="CN341" s="76" t="n"/>
      <c r="CP341" s="85" t="n"/>
      <c r="CQ341" s="76" t="n"/>
      <c r="CR341" s="76" t="n"/>
      <c r="CS341" s="76" t="n"/>
      <c r="CU341" s="85" t="n"/>
      <c r="CV341" s="76" t="n"/>
      <c r="CW341" s="76" t="n"/>
      <c r="CX341" s="76" t="n"/>
    </row>
    <row r="342" customFormat="1" s="77">
      <c r="A342" s="76" t="n"/>
      <c r="B342" s="76" t="n"/>
      <c r="C342" s="77" t="inlineStr">
        <is>
          <t>EBIT</t>
        </is>
      </c>
      <c r="D342" s="86">
        <f>IFERROR(D124,"")</f>
        <v>0</v>
      </c>
      <c r="E342" s="86">
        <f>IFERROR(E124,"")</f>
        <v>0</v>
      </c>
      <c r="F342" s="86">
        <f>IFERROR(F124,"")</f>
        <v>0</v>
      </c>
      <c r="G342" s="86">
        <f>IFERROR(G124,"")</f>
        <v>0</v>
      </c>
      <c r="H342" s="263">
        <f>IFERROR(H67,0)</f>
        <v>0</v>
      </c>
      <c r="I342" s="263">
        <f>IFERROR(I67,0)</f>
        <v>1959.856</v>
      </c>
      <c r="J342" s="263">
        <f>IFERROR(J67,0)</f>
        <v>1847.63</v>
      </c>
      <c r="K342" s="263">
        <f>IFERROR(K67,0)</f>
        <v>1755.253</v>
      </c>
      <c r="L342" s="263">
        <f>IFERROR(L67,0)</f>
        <v>631.77</v>
      </c>
      <c r="M342" s="263">
        <f>IFERROR(M67,0)</f>
        <v>6194.509</v>
      </c>
      <c r="N342" s="263">
        <f>IFERROR(N67,0)</f>
        <v>1971.626</v>
      </c>
      <c r="O342" s="263">
        <f>IFERROR(O67,0)</f>
        <v>1578.283</v>
      </c>
      <c r="P342" s="263">
        <f>IFERROR(P67,0)</f>
        <v>1533.018</v>
      </c>
      <c r="Q342" s="263">
        <f>IFERROR(Q67,0)</f>
        <v>549.904</v>
      </c>
      <c r="R342" s="263">
        <f>IFERROR(R67,0)</f>
        <v>5632.831</v>
      </c>
      <c r="S342" s="263">
        <f>IFERROR(S67,0)</f>
        <v>1714.317</v>
      </c>
      <c r="T342" s="263">
        <f>IFERROR(T67,0)</f>
        <v>1827.183</v>
      </c>
      <c r="U342" s="263">
        <f>IFERROR(U67,0)</f>
        <v>1916.394</v>
      </c>
      <c r="V342" s="263">
        <f>IFERROR(V67,0)</f>
        <v>1496.109</v>
      </c>
      <c r="W342" s="263">
        <f>IFERROR(W67,0)</f>
        <v>6954.003</v>
      </c>
      <c r="X342" s="263">
        <f>IFERROR(X67,0)</f>
        <v>2632.534</v>
      </c>
      <c r="Y342" s="263">
        <f>IFERROR(Y67,0)</f>
        <v>2602.837</v>
      </c>
      <c r="Z342" s="263">
        <f>IFERROR(Z67,0)</f>
        <v>2909.477</v>
      </c>
      <c r="AA342" s="263">
        <f>IFERROR(AA67,0)</f>
        <v>2272.766</v>
      </c>
      <c r="AB342" s="263">
        <f>IFERROR(AB67,0)</f>
        <v>10417.614</v>
      </c>
      <c r="AC342" s="263">
        <f>IFERROR(AC67,0)</f>
        <v>3346.999</v>
      </c>
      <c r="AD342" s="263">
        <f>IFERROR(AD67,0)</f>
        <v>3774.694</v>
      </c>
      <c r="AE342" s="263">
        <f>IFERROR(AE67,0)</f>
        <v>3248.247</v>
      </c>
      <c r="AF342" s="263">
        <f>IFERROR(AF67,0)</f>
        <v>2956.663</v>
      </c>
      <c r="AG342" s="263">
        <f>IFERROR(AG67,0)</f>
        <v>13326.603</v>
      </c>
      <c r="AH342" s="263">
        <f>IFERROR(AH67,0)</f>
        <v>3956.997</v>
      </c>
      <c r="AI342" s="263">
        <f>IFERROR(AI67,0)</f>
        <v>4192.61</v>
      </c>
      <c r="AJ342" s="263">
        <f>IFERROR(AJ67,0)</f>
        <v>4081.0397189581</v>
      </c>
      <c r="AK342" s="263">
        <f>IFERROR(AK67,0)</f>
        <v>4272.6608739203</v>
      </c>
      <c r="AL342" s="263">
        <f>IFERROR(AL67,0)</f>
        <v>16503.3075928784</v>
      </c>
      <c r="AM342" s="263">
        <f>IFERROR(AM67,0)</f>
        <v>4343.21559490855</v>
      </c>
      <c r="AN342" s="263">
        <f>IFERROR(AN67,0)</f>
        <v>4453.19189537266</v>
      </c>
      <c r="AO342" s="263">
        <f>IFERROR(AO67,0)</f>
        <v>4711.77668723739</v>
      </c>
      <c r="AP342" s="263">
        <f>IFERROR(AP67,0)</f>
        <v>4933.01346828076</v>
      </c>
      <c r="AQ342" s="263">
        <f>IFERROR(AQ67,0)</f>
        <v>18441.1976457994</v>
      </c>
      <c r="AR342" s="263">
        <f>IFERROR(AR67,0)</f>
        <v>4992.75655572003</v>
      </c>
      <c r="AS342" s="263">
        <f>IFERROR(AS67,0)</f>
        <v>5119.18014283362</v>
      </c>
      <c r="AT342" s="263">
        <f>IFERROR(AT67,0)</f>
        <v>5416.43706839486</v>
      </c>
      <c r="AU342" s="263">
        <f>IFERROR(AU67,0)</f>
        <v>5670.76047573746</v>
      </c>
      <c r="AV342" s="263">
        <f>IFERROR(AV67,0)</f>
        <v>21199.134242686</v>
      </c>
      <c r="AW342" s="263">
        <f>IFERROR(AW67,0)</f>
        <v>5714.47453888966</v>
      </c>
      <c r="AX342" s="263">
        <f>IFERROR(AX67,0)</f>
        <v>5859.17303592493</v>
      </c>
      <c r="AY342" s="263">
        <f>IFERROR(AY67,0)</f>
        <v>6199.39934451236</v>
      </c>
      <c r="AZ342" s="263">
        <f>IFERROR(AZ67,0)</f>
        <v>6490.4859656371</v>
      </c>
      <c r="BA342" s="263">
        <f>IFERROR(BA67,0)</f>
        <v>24263.5328849641</v>
      </c>
      <c r="BB342" s="263">
        <f>IFERROR(BB67,0)</f>
        <v>6511.94665545769</v>
      </c>
      <c r="BC342" s="263">
        <f>IFERROR(BC67,0)</f>
        <v>6676.83826314725</v>
      </c>
      <c r="BD342" s="263">
        <f>IFERROR(BD67,0)</f>
        <v>7064.54417682783</v>
      </c>
      <c r="BE342" s="263">
        <f>IFERROR(BE67,0)</f>
        <v>7396.2528118006</v>
      </c>
      <c r="BF342" s="263">
        <f>IFERROR(BF67,0)</f>
        <v>27649.5819072334</v>
      </c>
      <c r="BG342" s="63" t="n"/>
      <c r="BH342" s="63" t="n"/>
      <c r="BI342" s="63" t="n"/>
      <c r="BJ342" s="63" t="n"/>
      <c r="BL342" s="63" t="n"/>
      <c r="BM342" s="63" t="n"/>
      <c r="BN342" s="63" t="n"/>
      <c r="BO342" s="63" t="n"/>
      <c r="BQ342" s="63" t="n"/>
      <c r="BR342" s="63" t="n"/>
      <c r="BS342" s="63" t="n"/>
      <c r="BT342" s="63" t="n"/>
      <c r="BV342" s="63" t="n"/>
      <c r="BW342" s="63" t="n"/>
      <c r="BX342" s="63" t="n"/>
      <c r="BY342" s="63" t="n"/>
      <c r="CA342" s="63" t="n"/>
      <c r="CB342" s="63" t="n"/>
      <c r="CC342" s="63" t="n"/>
      <c r="CD342" s="63" t="n"/>
      <c r="CF342" s="63" t="n"/>
      <c r="CG342" s="63" t="n"/>
      <c r="CH342" s="63" t="n"/>
      <c r="CI342" s="63" t="n"/>
      <c r="CK342" s="63" t="n"/>
      <c r="CL342" s="63" t="n"/>
      <c r="CM342" s="63" t="n"/>
      <c r="CN342" s="63" t="n"/>
      <c r="CP342" s="63" t="n"/>
      <c r="CQ342" s="63" t="n"/>
      <c r="CR342" s="63" t="n"/>
      <c r="CS342" s="63" t="n"/>
      <c r="CU342" s="63" t="n"/>
      <c r="CV342" s="63" t="n"/>
      <c r="CW342" s="63" t="n"/>
      <c r="CX342" s="63" t="n"/>
    </row>
    <row r="343" customFormat="1" s="77">
      <c r="A343" s="76" t="n"/>
      <c r="B343" s="76" t="n"/>
      <c r="C343" s="77" t="inlineStr">
        <is>
          <t>ETR (LIMITED TO 0%-100%)</t>
        </is>
      </c>
      <c r="D343" s="87">
        <f>IFERROR(D126,"")</f>
        <v>0</v>
      </c>
      <c r="E343" s="87">
        <f>IFERROR(E126,"")</f>
        <v>0</v>
      </c>
      <c r="F343" s="87">
        <f>IFERROR(F126,"")</f>
        <v>0</v>
      </c>
      <c r="G343" s="87">
        <f>IFERROR(G126,"")</f>
        <v>0</v>
      </c>
      <c r="H343" s="258" t="str">
        <f>IFERROR(IF(N(H124)&lt;&gt;0,MAX(0,MIN(1,-H125/H124)),""),"")</f>
        <v/>
      </c>
      <c r="I343" s="258">
        <f>IFERROR(IF(N(I124)&lt;&gt;0,MAX(0,MIN(1,-I125/I124)),""),"")</f>
        <v>0.161114120310523</v>
      </c>
      <c r="J343" s="258">
        <f>IFERROR(IF(N(J124)&lt;&gt;0,MAX(0,MIN(1,-J125/J124)),""),"")</f>
        <v>0.151071440447889</v>
      </c>
      <c r="K343" s="258">
        <f>IFERROR(IF(N(K124)&lt;&gt;0,MAX(0,MIN(1,-K125/K124)),""),"")</f>
        <v>0.12756967510938</v>
      </c>
      <c r="L343" s="258">
        <f>IFERROR(IF(N(L124)&lt;&gt;0,MAX(0,MIN(1,-L125/L124)),""),"")</f>
        <v>0</v>
      </c>
      <c r="M343" s="258">
        <f>IFERROR(IF(N(M124)&lt;&gt;0,MAX(0,MIN(1,-M125/M124)),""),"")</f>
        <v>0.123949012543101</v>
      </c>
      <c r="N343" s="258">
        <f>IFERROR(IF(N(N124)&lt;&gt;0,MAX(0,MIN(1,-N125/N124)),""),"")</f>
        <v>0.193083065446544</v>
      </c>
      <c r="O343" s="258">
        <f>IFERROR(IF(N(O124)&lt;&gt;0,MAX(0,MIN(1,-O125/O124)),""),"")</f>
        <v>0.112197745731196</v>
      </c>
      <c r="P343" s="258">
        <f>IFERROR(IF(N(P124)&lt;&gt;0,MAX(0,MIN(1,-P125/P124)),""),"")</f>
        <v>0.137870588286071</v>
      </c>
      <c r="Q343" s="258">
        <f>IFERROR(IF(N(Q124)&lt;&gt;0,MAX(0,MIN(1,-Q125/Q124)),""),"")</f>
        <v>0</v>
      </c>
      <c r="R343" s="258">
        <f>IFERROR(IF(N(R124)&lt;&gt;0,MAX(0,MIN(1,-R125/R124)),""),"")</f>
        <v>0.146659462922087</v>
      </c>
      <c r="S343" s="258">
        <f>IFERROR(IF(N(S124)&lt;&gt;0,MAX(0,MIN(1,-S125/S124)),""),"")</f>
        <v>0.111482673122405</v>
      </c>
      <c r="T343" s="258">
        <f>IFERROR(IF(N(T124)&lt;&gt;0,MAX(0,MIN(1,-T125/T124)),""),"")</f>
        <v>0.114165632525314</v>
      </c>
      <c r="U343" s="258">
        <f>IFERROR(IF(N(U124)&lt;&gt;0,MAX(0,MIN(1,-U125/U124)),""),"")</f>
        <v>0.121331092077783</v>
      </c>
      <c r="V343" s="258">
        <f>IFERROR(IF(N(V124)&lt;&gt;0,MAX(0,MIN(1,-V125/V124)),""),"")</f>
        <v>0.183174672298916</v>
      </c>
      <c r="W343" s="258">
        <f>IFERROR(IF(N(W124)&lt;&gt;0,MAX(0,MIN(1,-W125/W124)),""),"")</f>
        <v>0.128503296722776</v>
      </c>
      <c r="X343" s="258">
        <f>IFERROR(IF(N(X124)&lt;&gt;0,MAX(0,MIN(1,-X125/X124)),""),"")</f>
        <v>0.107998266642546</v>
      </c>
      <c r="Y343" s="258">
        <f>IFERROR(IF(N(Y124)&lt;&gt;0,MAX(0,MIN(1,-Y125/Y124)),""),"")</f>
        <v>0.145811852389317</v>
      </c>
      <c r="Z343" s="258">
        <f>IFERROR(IF(N(Z124)&lt;&gt;0,MAX(0,MIN(1,-Z125/Z124)),""),"")</f>
        <v>0.125582973295143</v>
      </c>
      <c r="AA343" s="258">
        <f>IFERROR(IF(N(AA124)&lt;&gt;0,MAX(0,MIN(1,-AA125/AA124)),""),"")</f>
        <v>0.124474058553096</v>
      </c>
      <c r="AB343" s="258">
        <f>IFERROR(IF(N(AB124)&lt;&gt;0,MAX(0,MIN(1,-AB125/AB124)),""),"")</f>
        <v>0.125834754296681</v>
      </c>
      <c r="AC343" s="258">
        <f>IFERROR(IF(N(AC124)&lt;&gt;0,MAX(0,MIN(1,-AC125/AC124)),""),"")</f>
        <v>0.100623077387431</v>
      </c>
      <c r="AD343" s="258">
        <f>IFERROR(IF(N(AD124)&lt;&gt;0,MAX(0,MIN(1,-AD125/AD124)),""),"")</f>
        <v>0.139401791184509</v>
      </c>
      <c r="AE343" s="258">
        <f>IFERROR(IF(N(AE124)&lt;&gt;0,MAX(0,MIN(1,-AE125/AE124)),""),"")</f>
        <v>0.180900556697251</v>
      </c>
      <c r="AF343" s="258">
        <f>IFERROR(IF(N(AF124)&lt;&gt;0,MAX(0,MIN(1,-AF125/AF124)),""),"")</f>
        <v>0.126175100921654</v>
      </c>
      <c r="AG343" s="258">
        <f>IFERROR(IF(N(AG124)&lt;&gt;0,MAX(0,MIN(1,-AG125/AG124)),""),"")</f>
        <v>0.136871203198855</v>
      </c>
      <c r="AH343" s="258">
        <f>IFERROR(IF(N(AH124)&lt;&gt;0,MAX(0,MIN(1,-AH125/AH124)),""),"")</f>
        <v>0.193108048374498</v>
      </c>
      <c r="AI343" s="258">
        <f>IFERROR(IF(N(AI124)&lt;&gt;0,MAX(0,MIN(1,-AI125/AI124)),""),"")</f>
        <v>0.163981294729914</v>
      </c>
      <c r="AJ343" s="258">
        <f>IFERROR(IF(N(AJ124)&lt;&gt;0,MAX(0,MIN(1,-AJ125/AJ124)),""),"")</f>
        <v>0.15069831154921</v>
      </c>
      <c r="AK343" s="258">
        <f>IFERROR(IF(N(AK124)&lt;&gt;0,MAX(0,MIN(1,-AK125/AK124)),""),"")</f>
        <v>0.15069831154921</v>
      </c>
      <c r="AL343" s="258">
        <f>IFERROR(IF(N(AL124)&lt;&gt;0,MAX(0,MIN(1,-AL125/AL124)),""),"")</f>
        <v>0.167147790967226</v>
      </c>
      <c r="AM343" s="258">
        <f>IFERROR(IF(N(AM124)&lt;&gt;0,MAX(0,MIN(1,-AM125/AM124)),""),"")</f>
        <v>0.15069831154921</v>
      </c>
      <c r="AN343" s="258">
        <f>IFERROR(IF(N(AN124)&lt;&gt;0,MAX(0,MIN(1,-AN125/AN124)),""),"")</f>
        <v>0.15069831154921</v>
      </c>
      <c r="AO343" s="258">
        <f>IFERROR(IF(N(AO124)&lt;&gt;0,MAX(0,MIN(1,-AO125/AO124)),""),"")</f>
        <v>0.15069831154921</v>
      </c>
      <c r="AP343" s="258">
        <f>IFERROR(IF(N(AP124)&lt;&gt;0,MAX(0,MIN(1,-AP125/AP124)),""),"")</f>
        <v>0.15069831154921</v>
      </c>
      <c r="AQ343" s="258">
        <f>IFERROR(IF(N(AQ124)&lt;&gt;0,MAX(0,MIN(1,-AQ125/AQ124)),""),"")</f>
        <v>0.15069831154921</v>
      </c>
      <c r="AR343" s="258">
        <f>IFERROR(IF(N(AR124)&lt;&gt;0,MAX(0,MIN(1,-AR125/AR124)),""),"")</f>
        <v>0.15069831154921</v>
      </c>
      <c r="AS343" s="258">
        <f>IFERROR(IF(N(AS124)&lt;&gt;0,MAX(0,MIN(1,-AS125/AS124)),""),"")</f>
        <v>0.15069831154921</v>
      </c>
      <c r="AT343" s="258">
        <f>IFERROR(IF(N(AT124)&lt;&gt;0,MAX(0,MIN(1,-AT125/AT124)),""),"")</f>
        <v>0.15069831154921</v>
      </c>
      <c r="AU343" s="258">
        <f>IFERROR(IF(N(AU124)&lt;&gt;0,MAX(0,MIN(1,-AU125/AU124)),""),"")</f>
        <v>0.15069831154921</v>
      </c>
      <c r="AV343" s="258">
        <f>IFERROR(IF(N(AV124)&lt;&gt;0,MAX(0,MIN(1,-AV125/AV124)),""),"")</f>
        <v>0.15069831154921</v>
      </c>
      <c r="AW343" s="258">
        <f>IFERROR(IF(N(AW124)&lt;&gt;0,MAX(0,MIN(1,-AW125/AW124)),""),"")</f>
        <v>0.15069831154921</v>
      </c>
      <c r="AX343" s="258">
        <f>IFERROR(IF(N(AX124)&lt;&gt;0,MAX(0,MIN(1,-AX125/AX124)),""),"")</f>
        <v>0.15069831154921</v>
      </c>
      <c r="AY343" s="258">
        <f>IFERROR(IF(N(AY124)&lt;&gt;0,MAX(0,MIN(1,-AY125/AY124)),""),"")</f>
        <v>0.15069831154921</v>
      </c>
      <c r="AZ343" s="258">
        <f>IFERROR(IF(N(AZ124)&lt;&gt;0,MAX(0,MIN(1,-AZ125/AZ124)),""),"")</f>
        <v>0.15069831154921</v>
      </c>
      <c r="BA343" s="258">
        <f>IFERROR(IF(N(BA124)&lt;&gt;0,MAX(0,MIN(1,-BA125/BA124)),""),"")</f>
        <v>0.150698311549209</v>
      </c>
      <c r="BB343" s="258">
        <f>IFERROR(IF(N(BB124)&lt;&gt;0,MAX(0,MIN(1,-BB125/BB124)),""),"")</f>
        <v>0.15069831154921</v>
      </c>
      <c r="BC343" s="258">
        <f>IFERROR(IF(N(BC124)&lt;&gt;0,MAX(0,MIN(1,-BC125/BC124)),""),"")</f>
        <v>0.15069831154921</v>
      </c>
      <c r="BD343" s="258">
        <f>IFERROR(IF(N(BD124)&lt;&gt;0,MAX(0,MIN(1,-BD125/BD124)),""),"")</f>
        <v>0.15069831154921</v>
      </c>
      <c r="BE343" s="258">
        <f>IFERROR(IF(N(BE124)&lt;&gt;0,MAX(0,MIN(1,-BE125/BE124)),""),"")</f>
        <v>0.15069831154921</v>
      </c>
      <c r="BF343" s="258">
        <f>IFERROR(IF(N(BF124)&lt;&gt;0,MAX(0,MIN(1,-BF125/BF124)),""),"")</f>
        <v>0.15069831154921</v>
      </c>
      <c r="BG343" s="88" t="n"/>
      <c r="BH343" s="88" t="n"/>
      <c r="BI343" s="88" t="n"/>
      <c r="BJ343" s="88" t="n"/>
      <c r="BL343" s="88" t="n"/>
      <c r="BM343" s="88" t="n"/>
      <c r="BN343" s="88" t="n"/>
      <c r="BO343" s="88" t="n"/>
      <c r="BQ343" s="88" t="n"/>
      <c r="BR343" s="88" t="n"/>
      <c r="BS343" s="88" t="n"/>
      <c r="BT343" s="88" t="n"/>
      <c r="BV343" s="88" t="n"/>
      <c r="BW343" s="88" t="n"/>
      <c r="BX343" s="88" t="n"/>
      <c r="BY343" s="88" t="n"/>
      <c r="CA343" s="88" t="n"/>
      <c r="CB343" s="88" t="n"/>
      <c r="CC343" s="88" t="n"/>
      <c r="CD343" s="88" t="n"/>
      <c r="CF343" s="88" t="n"/>
      <c r="CG343" s="88" t="n"/>
      <c r="CH343" s="88" t="n"/>
      <c r="CI343" s="88" t="n"/>
      <c r="CK343" s="88" t="n"/>
      <c r="CL343" s="88" t="n"/>
      <c r="CM343" s="88" t="n"/>
      <c r="CN343" s="88" t="n"/>
      <c r="CP343" s="88" t="n"/>
      <c r="CQ343" s="88" t="n"/>
      <c r="CR343" s="88" t="n"/>
      <c r="CS343" s="88" t="n"/>
      <c r="CU343" s="88" t="n"/>
      <c r="CV343" s="88" t="n"/>
      <c r="CW343" s="88" t="n"/>
      <c r="CX343" s="88" t="n"/>
    </row>
    <row r="344" customFormat="1" s="77">
      <c r="A344" s="76" t="n"/>
      <c r="B344" s="76" t="n"/>
      <c r="C344" s="77" t="inlineStr">
        <is>
          <t>INVESTED CAPITAL</t>
        </is>
      </c>
      <c r="D344" s="86">
        <f>IFERROR(D347-D348+D349,"")</f>
        <v>0</v>
      </c>
      <c r="E344" s="86">
        <f>IFERROR(E347-E348+E349,"")</f>
        <v>0</v>
      </c>
      <c r="F344" s="86">
        <f>IFERROR(F347-F348+F349,"")</f>
        <v>0</v>
      </c>
      <c r="G344" s="86">
        <f>IFERROR(G347-G348+G349,"")</f>
        <v>0</v>
      </c>
      <c r="H344" s="263">
        <f>IFERROR(H346+H349,0)</f>
        <v>0</v>
      </c>
      <c r="I344" s="263">
        <f>IFERROR(I346+I349,0)</f>
        <v>20039.715</v>
      </c>
      <c r="J344" s="263">
        <f>IFERROR(J346+J349,0)</f>
        <v>21712.358</v>
      </c>
      <c r="K344" s="263">
        <f>IFERROR(K346+K349,0)</f>
        <v>23281.1</v>
      </c>
      <c r="L344" s="263">
        <f>IFERROR(L346+L349,0)</f>
        <v>25214.339</v>
      </c>
      <c r="M344" s="263">
        <f>IFERROR(M346+M349,0)</f>
        <v>25214.339</v>
      </c>
      <c r="N344" s="263">
        <f>IFERROR(N346+N349,0)</f>
        <v>26069.654</v>
      </c>
      <c r="O344" s="263">
        <f>IFERROR(O346+O349,0)</f>
        <v>27489.828</v>
      </c>
      <c r="P344" s="263">
        <f>IFERROR(P346+P349,0)</f>
        <v>28302.525</v>
      </c>
      <c r="Q344" s="263">
        <f>IFERROR(Q346+Q349,0)</f>
        <v>29072.025</v>
      </c>
      <c r="R344" s="263">
        <f>IFERROR(R346+R349,0)</f>
        <v>29072.025</v>
      </c>
      <c r="S344" s="263">
        <f>IFERROR(S346+S349,0)</f>
        <v>28437.82</v>
      </c>
      <c r="T344" s="263">
        <f>IFERROR(T346+T349,0)</f>
        <v>28724.764</v>
      </c>
      <c r="U344" s="263">
        <f>IFERROR(U346+U349,0)</f>
        <v>28540.549</v>
      </c>
      <c r="V344" s="263">
        <f>IFERROR(V346+V349,0)</f>
        <v>27993.688</v>
      </c>
      <c r="W344" s="263">
        <f>IFERROR(W346+W349,0)</f>
        <v>27993.688</v>
      </c>
      <c r="X344" s="263">
        <f>IFERROR(X346+X349,0)</f>
        <v>28335.645</v>
      </c>
      <c r="Y344" s="263">
        <f>IFERROR(Y346+Y349,0)</f>
        <v>29436.846</v>
      </c>
      <c r="Z344" s="263">
        <f>IFERROR(Z346+Z349,0)</f>
        <v>29478.137</v>
      </c>
      <c r="AA344" s="263">
        <f>IFERROR(AA346+AA349,0)</f>
        <v>30742.632</v>
      </c>
      <c r="AB344" s="263">
        <f>IFERROR(AB346+AB349,0)</f>
        <v>30742.632</v>
      </c>
      <c r="AC344" s="263">
        <f>IFERROR(AC346+AC349,0)</f>
        <v>30674.001</v>
      </c>
      <c r="AD344" s="263">
        <f>IFERROR(AD346+AD349,0)</f>
        <v>31014.585</v>
      </c>
      <c r="AE344" s="263">
        <f>IFERROR(AE346+AE349,0)</f>
        <v>31092.663</v>
      </c>
      <c r="AF344" s="263">
        <f>IFERROR(AF346+AF349,0)</f>
        <v>32015.965</v>
      </c>
      <c r="AG344" s="263">
        <f>IFERROR(AG346+AG349,0)</f>
        <v>32015.965</v>
      </c>
      <c r="AH344" s="263">
        <f>IFERROR(AH346+AH349,0)</f>
        <v>33198.465</v>
      </c>
      <c r="AI344" s="263">
        <f>IFERROR(AI346+AI349,0)</f>
        <v>35333.448</v>
      </c>
      <c r="AJ344" s="263">
        <f>IFERROR(AJ346+AJ349,0)</f>
        <v>34940.99678924</v>
      </c>
      <c r="AK344" s="263">
        <f>IFERROR(AK346+AK349,0)</f>
        <v>34494.2145798833</v>
      </c>
      <c r="AL344" s="263">
        <f>IFERROR(AL346+AL349,0)</f>
        <v>34494.2145798833</v>
      </c>
      <c r="AM344" s="263">
        <f>IFERROR(AM346+AM349,0)</f>
        <v>33967.8134232015</v>
      </c>
      <c r="AN344" s="263">
        <f>IFERROR(AN346+AN349,0)</f>
        <v>33366.8224453695</v>
      </c>
      <c r="AO344" s="263">
        <f>IFERROR(AO346+AO349,0)</f>
        <v>32627.5154861987</v>
      </c>
      <c r="AP344" s="263">
        <f>IFERROR(AP346+AP349,0)</f>
        <v>31759.3762509978</v>
      </c>
      <c r="AQ344" s="263">
        <f>IFERROR(AQ346+AQ349,0)</f>
        <v>31759.3762509978</v>
      </c>
      <c r="AR344" s="263">
        <f>IFERROR(AR346+AR349,0)</f>
        <v>30798.3031365801</v>
      </c>
      <c r="AS344" s="263">
        <f>IFERROR(AS346+AS349,0)</f>
        <v>29671.0854528509</v>
      </c>
      <c r="AT344" s="263">
        <f>IFERROR(AT346+AT349,0)</f>
        <v>28337.6855049464</v>
      </c>
      <c r="AU344" s="263">
        <f>IFERROR(AU346+AU349,0)</f>
        <v>26788.8808687454</v>
      </c>
      <c r="AV344" s="263">
        <f>IFERROR(AV346+AV349,0)</f>
        <v>26788.8808687454</v>
      </c>
      <c r="AW344" s="263">
        <f>IFERROR(AW346+AW349,0)</f>
        <v>25069.8310605977</v>
      </c>
      <c r="AX344" s="263">
        <f>IFERROR(AX346+AX349,0)</f>
        <v>23100.8853025234</v>
      </c>
      <c r="AY344" s="263">
        <f>IFERROR(AY346+AY349,0)</f>
        <v>20789.56932308</v>
      </c>
      <c r="AZ344" s="263">
        <f>IFERROR(AZ346+AZ349,0)</f>
        <v>18126.7115402548</v>
      </c>
      <c r="BA344" s="263">
        <f>IFERROR(BA346+BA349,0)</f>
        <v>18126.7115402548</v>
      </c>
      <c r="BB344" s="263">
        <f>IFERROR(BB346+BB349,0)</f>
        <v>15192.74613114</v>
      </c>
      <c r="BC344" s="263">
        <f>IFERROR(BC346+BC349,0)</f>
        <v>11841.867267833</v>
      </c>
      <c r="BD344" s="263">
        <f>IFERROR(BD346+BD349,0)</f>
        <v>7958.70216585331</v>
      </c>
      <c r="BE344" s="263">
        <f>IFERROR(BE346+BE349,0)</f>
        <v>3514.7518225064</v>
      </c>
      <c r="BF344" s="263">
        <f>IFERROR(BF346+BF349,0)</f>
        <v>3514.7518225064</v>
      </c>
      <c r="BG344" s="63" t="n"/>
      <c r="BH344" s="63" t="n"/>
      <c r="BI344" s="63" t="n"/>
      <c r="BJ344" s="63" t="n"/>
      <c r="BL344" s="63" t="n"/>
      <c r="BM344" s="63" t="n"/>
      <c r="BN344" s="63" t="n"/>
      <c r="BO344" s="63" t="n"/>
      <c r="BQ344" s="63" t="n"/>
      <c r="BR344" s="63" t="n"/>
      <c r="BS344" s="63" t="n"/>
      <c r="BT344" s="63" t="n"/>
      <c r="BV344" s="63" t="n"/>
      <c r="BW344" s="63" t="n"/>
      <c r="BX344" s="63" t="n"/>
      <c r="BY344" s="63" t="n"/>
      <c r="CA344" s="63" t="n"/>
      <c r="CB344" s="63" t="n"/>
      <c r="CC344" s="63" t="n"/>
      <c r="CD344" s="63" t="n"/>
      <c r="CF344" s="63" t="n"/>
      <c r="CG344" s="63" t="n"/>
      <c r="CH344" s="63" t="n"/>
      <c r="CI344" s="63" t="n"/>
      <c r="CK344" s="63" t="n"/>
      <c r="CL344" s="63" t="n"/>
      <c r="CM344" s="63" t="n"/>
      <c r="CN344" s="63" t="n"/>
      <c r="CP344" s="63" t="n"/>
      <c r="CQ344" s="63" t="n"/>
      <c r="CR344" s="63" t="n"/>
      <c r="CS344" s="63" t="n"/>
      <c r="CU344" s="63" t="n"/>
      <c r="CV344" s="63" t="n"/>
      <c r="CW344" s="63" t="n"/>
      <c r="CX344" s="63" t="n"/>
    </row>
    <row r="345" customFormat="1" s="77">
      <c r="A345" s="76" t="n"/>
      <c r="B345" s="76" t="n"/>
      <c r="C345" s="77" t="inlineStr">
        <is>
          <t>INVESTED CAPITAL - EX GOODWILL</t>
        </is>
      </c>
      <c r="D345" s="89">
        <f>IFERROR(D344-D173,"")</f>
        <v>0</v>
      </c>
      <c r="E345" s="89">
        <f>IFERROR(E344-E173,"")</f>
        <v>0</v>
      </c>
      <c r="F345" s="89">
        <f>IFERROR(F344-F173,"")</f>
        <v>0</v>
      </c>
      <c r="G345" s="89">
        <f>IFERROR(G344-G173,"")</f>
        <v>0</v>
      </c>
      <c r="H345" s="263">
        <f>IFERROR(H344-N(H173),0)</f>
        <v>0</v>
      </c>
      <c r="I345" s="263">
        <f>IFERROR(I344-N(I173),0)</f>
        <v>20039.715</v>
      </c>
      <c r="J345" s="263">
        <f>IFERROR(J344-N(J173),0)</f>
        <v>21712.358</v>
      </c>
      <c r="K345" s="263">
        <f>IFERROR(K344-N(K173),0)</f>
        <v>23281.1</v>
      </c>
      <c r="L345" s="263">
        <f>IFERROR(L344-N(L173),0)</f>
        <v>25214.339</v>
      </c>
      <c r="M345" s="263">
        <f>IFERROR(M344-N(M173),0)</f>
        <v>25214.339</v>
      </c>
      <c r="N345" s="263">
        <f>IFERROR(N344-N(N173),0)</f>
        <v>26069.654</v>
      </c>
      <c r="O345" s="263">
        <f>IFERROR(O344-N(O173),0)</f>
        <v>27489.828</v>
      </c>
      <c r="P345" s="263">
        <f>IFERROR(P344-N(P173),0)</f>
        <v>28302.525</v>
      </c>
      <c r="Q345" s="263">
        <f>IFERROR(Q344-N(Q173),0)</f>
        <v>29072.025</v>
      </c>
      <c r="R345" s="263">
        <f>IFERROR(R344-N(R173),0)</f>
        <v>29072.025</v>
      </c>
      <c r="S345" s="263">
        <f>IFERROR(S344-N(S173),0)</f>
        <v>28437.82</v>
      </c>
      <c r="T345" s="263">
        <f>IFERROR(T344-N(T173),0)</f>
        <v>28724.764</v>
      </c>
      <c r="U345" s="263">
        <f>IFERROR(U344-N(U173),0)</f>
        <v>28540.549</v>
      </c>
      <c r="V345" s="263">
        <f>IFERROR(V344-N(V173),0)</f>
        <v>27993.688</v>
      </c>
      <c r="W345" s="263">
        <f>IFERROR(W344-N(W173),0)</f>
        <v>27993.688</v>
      </c>
      <c r="X345" s="263">
        <f>IFERROR(X344-N(X173),0)</f>
        <v>28335.645</v>
      </c>
      <c r="Y345" s="263">
        <f>IFERROR(Y344-N(Y173),0)</f>
        <v>29436.846</v>
      </c>
      <c r="Z345" s="263">
        <f>IFERROR(Z344-N(Z173),0)</f>
        <v>29478.137</v>
      </c>
      <c r="AA345" s="263">
        <f>IFERROR(AA344-N(AA173),0)</f>
        <v>30742.632</v>
      </c>
      <c r="AB345" s="263">
        <f>IFERROR(AB344-N(AB173),0)</f>
        <v>30742.632</v>
      </c>
      <c r="AC345" s="263">
        <f>IFERROR(AC344-N(AC173),0)</f>
        <v>30674.001</v>
      </c>
      <c r="AD345" s="263">
        <f>IFERROR(AD344-N(AD173),0)</f>
        <v>31014.585</v>
      </c>
      <c r="AE345" s="263">
        <f>IFERROR(AE344-N(AE173),0)</f>
        <v>31092.663</v>
      </c>
      <c r="AF345" s="263">
        <f>IFERROR(AF344-N(AF173),0)</f>
        <v>32015.965</v>
      </c>
      <c r="AG345" s="263">
        <f>IFERROR(AG344-N(AG173),0)</f>
        <v>32015.965</v>
      </c>
      <c r="AH345" s="263">
        <f>IFERROR(AH344-N(AH173),0)</f>
        <v>33198.465</v>
      </c>
      <c r="AI345" s="263">
        <f>IFERROR(AI344-N(AI173),0)</f>
        <v>35333.448</v>
      </c>
      <c r="AJ345" s="263">
        <f>IFERROR(AJ344-N(AJ173),0)</f>
        <v>34940.99678924</v>
      </c>
      <c r="AK345" s="263">
        <f>IFERROR(AK344-N(AK173),0)</f>
        <v>34494.2145798833</v>
      </c>
      <c r="AL345" s="263">
        <f>IFERROR(AL344-N(AL173),0)</f>
        <v>34494.2145798833</v>
      </c>
      <c r="AM345" s="263">
        <f>IFERROR(AM344-N(AM173),0)</f>
        <v>33967.8134232015</v>
      </c>
      <c r="AN345" s="263">
        <f>IFERROR(AN344-N(AN173),0)</f>
        <v>33366.8224453695</v>
      </c>
      <c r="AO345" s="263">
        <f>IFERROR(AO344-N(AO173),0)</f>
        <v>32627.5154861987</v>
      </c>
      <c r="AP345" s="263">
        <f>IFERROR(AP344-N(AP173),0)</f>
        <v>31759.3762509978</v>
      </c>
      <c r="AQ345" s="263">
        <f>IFERROR(AQ344-N(AQ173),0)</f>
        <v>31759.3762509978</v>
      </c>
      <c r="AR345" s="263">
        <f>IFERROR(AR344-N(AR173),0)</f>
        <v>30798.3031365801</v>
      </c>
      <c r="AS345" s="263">
        <f>IFERROR(AS344-N(AS173),0)</f>
        <v>29671.0854528509</v>
      </c>
      <c r="AT345" s="263">
        <f>IFERROR(AT344-N(AT173),0)</f>
        <v>28337.6855049464</v>
      </c>
      <c r="AU345" s="263">
        <f>IFERROR(AU344-N(AU173),0)</f>
        <v>26788.8808687454</v>
      </c>
      <c r="AV345" s="263">
        <f>IFERROR(AV344-N(AV173),0)</f>
        <v>26788.8808687454</v>
      </c>
      <c r="AW345" s="263">
        <f>IFERROR(AW344-N(AW173),0)</f>
        <v>25069.8310605977</v>
      </c>
      <c r="AX345" s="263">
        <f>IFERROR(AX344-N(AX173),0)</f>
        <v>23100.8853025234</v>
      </c>
      <c r="AY345" s="263">
        <f>IFERROR(AY344-N(AY173),0)</f>
        <v>20789.56932308</v>
      </c>
      <c r="AZ345" s="263">
        <f>IFERROR(AZ344-N(AZ173),0)</f>
        <v>18126.7115402548</v>
      </c>
      <c r="BA345" s="263">
        <f>IFERROR(BA344-N(BA173),0)</f>
        <v>18126.7115402548</v>
      </c>
      <c r="BB345" s="263">
        <f>IFERROR(BB344-N(BB173),0)</f>
        <v>15192.74613114</v>
      </c>
      <c r="BC345" s="263">
        <f>IFERROR(BC344-N(BC173),0)</f>
        <v>11841.867267833</v>
      </c>
      <c r="BD345" s="263">
        <f>IFERROR(BD344-N(BD173),0)</f>
        <v>7958.70216585331</v>
      </c>
      <c r="BE345" s="263">
        <f>IFERROR(BE344-N(BE173),0)</f>
        <v>3514.7518225064</v>
      </c>
      <c r="BF345" s="263">
        <f>IFERROR(BF344-N(BF173),0)</f>
        <v>3514.7518225064</v>
      </c>
      <c r="BG345" s="90" t="n"/>
      <c r="BH345" s="90" t="n"/>
      <c r="BI345" s="90" t="n"/>
      <c r="BJ345" s="90" t="n"/>
      <c r="BL345" s="90" t="n"/>
      <c r="BM345" s="90" t="n"/>
      <c r="BN345" s="90" t="n"/>
      <c r="BO345" s="90" t="n"/>
      <c r="BQ345" s="90" t="n"/>
      <c r="BR345" s="90" t="n"/>
      <c r="BS345" s="90" t="n"/>
      <c r="BT345" s="90" t="n"/>
      <c r="BV345" s="90" t="n"/>
      <c r="BW345" s="90" t="n"/>
      <c r="BX345" s="90" t="n"/>
      <c r="BY345" s="90" t="n"/>
      <c r="CA345" s="90" t="n"/>
      <c r="CB345" s="90" t="n"/>
      <c r="CC345" s="90" t="n"/>
      <c r="CD345" s="90" t="n"/>
      <c r="CF345" s="90" t="n"/>
      <c r="CG345" s="90" t="n"/>
      <c r="CH345" s="90" t="n"/>
      <c r="CI345" s="90" t="n"/>
      <c r="CK345" s="90" t="n"/>
      <c r="CL345" s="90" t="n"/>
      <c r="CM345" s="90" t="n"/>
      <c r="CN345" s="90" t="n"/>
      <c r="CP345" s="90" t="n"/>
      <c r="CQ345" s="90" t="n"/>
      <c r="CR345" s="90" t="n"/>
      <c r="CS345" s="90" t="n"/>
      <c r="CU345" s="90" t="n"/>
      <c r="CV345" s="90" t="n"/>
      <c r="CW345" s="90" t="n"/>
      <c r="CX345" s="90" t="n"/>
    </row>
    <row r="346" customFormat="1" s="77">
      <c r="A346" s="76" t="n"/>
      <c r="B346" s="76" t="n"/>
      <c r="C346" s="77" t="inlineStr">
        <is>
          <t>OPERATING WORKING CAPITAL</t>
        </is>
      </c>
      <c r="D346" s="91">
        <f>IFERROR(D347-D348,"")</f>
        <v>0</v>
      </c>
      <c r="E346" s="91">
        <f>IFERROR(E347-E348,"")</f>
        <v>0</v>
      </c>
      <c r="F346" s="91">
        <f>IFERROR(F347-F348,"")</f>
        <v>0</v>
      </c>
      <c r="G346" s="91">
        <f>IFERROR(G347-G348,"")</f>
        <v>0</v>
      </c>
      <c r="H346" s="263">
        <f>IFERROR(H347-H348,0)</f>
        <v>0</v>
      </c>
      <c r="I346" s="263">
        <f>IFERROR(I347-I348,0)</f>
        <v>-5559.179</v>
      </c>
      <c r="J346" s="263">
        <f>IFERROR(J347-J348,0)</f>
        <v>-5307.014</v>
      </c>
      <c r="K346" s="263">
        <f>IFERROR(K347-K348,0)</f>
        <v>-5460.667</v>
      </c>
      <c r="L346" s="263">
        <f>IFERROR(L347-L348,0)</f>
        <v>-5747.122</v>
      </c>
      <c r="M346" s="263">
        <f>IFERROR(M347-M348,0)</f>
        <v>-5747.122</v>
      </c>
      <c r="N346" s="263">
        <f>IFERROR(N347-N348,0)</f>
        <v>-5650.587</v>
      </c>
      <c r="O346" s="263">
        <f>IFERROR(O347-O348,0)</f>
        <v>-5478.693</v>
      </c>
      <c r="P346" s="263">
        <f>IFERROR(P347-P348,0)</f>
        <v>-5062.754</v>
      </c>
      <c r="Q346" s="263">
        <f>IFERROR(Q347-Q348,0)</f>
        <v>-4722.953</v>
      </c>
      <c r="R346" s="263">
        <f>IFERROR(R347-R348,0)</f>
        <v>-4722.953</v>
      </c>
      <c r="S346" s="263">
        <f>IFERROR(S347-S348,0)</f>
        <v>-5261.788</v>
      </c>
      <c r="T346" s="263">
        <f>IFERROR(T347-T348,0)</f>
        <v>-5347.071</v>
      </c>
      <c r="U346" s="263">
        <f>IFERROR(U347-U348,0)</f>
        <v>-5027.076</v>
      </c>
      <c r="V346" s="263">
        <f>IFERROR(V347-V348,0)</f>
        <v>-5680.564</v>
      </c>
      <c r="W346" s="263">
        <f>IFERROR(W347-W348,0)</f>
        <v>-5680.564</v>
      </c>
      <c r="X346" s="263">
        <f>IFERROR(X347-X348,0)</f>
        <v>-5614.707</v>
      </c>
      <c r="Y346" s="263">
        <f>IFERROR(Y347-Y348,0)</f>
        <v>-5380.317</v>
      </c>
      <c r="Z346" s="263">
        <f>IFERROR(Z347-Z348,0)</f>
        <v>-5981.558</v>
      </c>
      <c r="AA346" s="263">
        <f>IFERROR(AA347-AA348,0)</f>
        <v>-5454.307</v>
      </c>
      <c r="AB346" s="263">
        <f>IFERROR(AB347-AB348,0)</f>
        <v>-5454.307</v>
      </c>
      <c r="AC346" s="263">
        <f>IFERROR(AC347-AC348,0)</f>
        <v>-5385.996</v>
      </c>
      <c r="AD346" s="263">
        <f>IFERROR(AD347-AD348,0)</f>
        <v>-5339.749</v>
      </c>
      <c r="AE346" s="263">
        <f>IFERROR(AE347-AE348,0)</f>
        <v>-6093.316</v>
      </c>
      <c r="AF346" s="263">
        <f>IFERROR(AF347-AF348,0)</f>
        <v>-6024.233</v>
      </c>
      <c r="AG346" s="263">
        <f>IFERROR(AG347-AG348,0)</f>
        <v>-6024.233</v>
      </c>
      <c r="AH346" s="263">
        <f>IFERROR(AH347-AH348,0)</f>
        <v>-6349.861</v>
      </c>
      <c r="AI346" s="263">
        <f>IFERROR(AI347-AI348,0)</f>
        <v>-4925.747</v>
      </c>
      <c r="AJ346" s="263">
        <f>IFERROR(AJ347-AJ348,0)</f>
        <v>-5471.18589202264</v>
      </c>
      <c r="AK346" s="263">
        <f>IFERROR(AK347-AK348,0)</f>
        <v>-6078.13916682767</v>
      </c>
      <c r="AL346" s="263">
        <f>IFERROR(AL347-AL348,0)</f>
        <v>-6078.13916682767</v>
      </c>
      <c r="AM346" s="263">
        <f>IFERROR(AM347-AM348,0)</f>
        <v>-6767.35630395734</v>
      </c>
      <c r="AN346" s="263">
        <f>IFERROR(AN347-AN348,0)</f>
        <v>-7535.28599084575</v>
      </c>
      <c r="AO346" s="263">
        <f>IFERROR(AO347-AO348,0)</f>
        <v>-8451.22533775317</v>
      </c>
      <c r="AP346" s="263">
        <f>IFERROR(AP347-AP348,0)</f>
        <v>-9504.29055851701</v>
      </c>
      <c r="AQ346" s="263">
        <f>IFERROR(AQ347-AQ348,0)</f>
        <v>-9504.29055851701</v>
      </c>
      <c r="AR346" s="263">
        <f>IFERROR(AR347-AR348,0)</f>
        <v>-10652.5292731665</v>
      </c>
      <c r="AS346" s="263">
        <f>IFERROR(AS347-AS348,0)</f>
        <v>-11971.6518522045</v>
      </c>
      <c r="AT346" s="263">
        <f>IFERROR(AT347-AT348,0)</f>
        <v>-13508.1000929127</v>
      </c>
      <c r="AU346" s="263">
        <f>IFERROR(AU347-AU348,0)</f>
        <v>-15269.4869522538</v>
      </c>
      <c r="AV346" s="263">
        <f>IFERROR(AV347-AV348,0)</f>
        <v>-15269.4869522538</v>
      </c>
      <c r="AW346" s="263">
        <f>IFERROR(AW347-AW348,0)</f>
        <v>-17202.7577113219</v>
      </c>
      <c r="AX346" s="263">
        <f>IFERROR(AX347-AX348,0)</f>
        <v>-19391.3487947574</v>
      </c>
      <c r="AY346" s="263">
        <f>IFERROR(AY347-AY348,0)</f>
        <v>-21935.064308695</v>
      </c>
      <c r="AZ346" s="263">
        <f>IFERROR(AZ347-AZ348,0)</f>
        <v>-24841.2337146681</v>
      </c>
      <c r="BA346" s="263">
        <f>IFERROR(BA347-BA348,0)</f>
        <v>-24841.2337146681</v>
      </c>
      <c r="BB346" s="263">
        <f>IFERROR(BB347-BB348,0)</f>
        <v>-28019.3152529879</v>
      </c>
      <c r="BC346" s="263">
        <f>IFERROR(BC347-BC348,0)</f>
        <v>-31620.4916077159</v>
      </c>
      <c r="BD346" s="263">
        <f>IFERROR(BD347-BD348,0)</f>
        <v>-35768.488298511</v>
      </c>
      <c r="BE346" s="263">
        <f>IFERROR(BE347-BE348,0)</f>
        <v>-40489.7051341327</v>
      </c>
      <c r="BF346" s="263">
        <f>IFERROR(BF347-BF348,0)</f>
        <v>-40489.7051341327</v>
      </c>
      <c r="BG346" s="63" t="n"/>
      <c r="BH346" s="63" t="n"/>
      <c r="BI346" s="63" t="n"/>
      <c r="BJ346" s="63" t="n"/>
      <c r="BL346" s="63" t="n"/>
      <c r="BM346" s="63" t="n"/>
      <c r="BN346" s="63" t="n"/>
      <c r="BO346" s="63" t="n"/>
      <c r="BQ346" s="63" t="n"/>
      <c r="BR346" s="63" t="n"/>
      <c r="BS346" s="63" t="n"/>
      <c r="BT346" s="63" t="n"/>
      <c r="BV346" s="63" t="n"/>
      <c r="BW346" s="63" t="n"/>
      <c r="BX346" s="63" t="n"/>
      <c r="BY346" s="63" t="n"/>
      <c r="CA346" s="63" t="n"/>
      <c r="CB346" s="63" t="n"/>
      <c r="CC346" s="63" t="n"/>
      <c r="CD346" s="63" t="n"/>
      <c r="CF346" s="63" t="n"/>
      <c r="CG346" s="63" t="n"/>
      <c r="CH346" s="63" t="n"/>
      <c r="CI346" s="63" t="n"/>
      <c r="CK346" s="63" t="n"/>
      <c r="CL346" s="63" t="n"/>
      <c r="CM346" s="63" t="n"/>
      <c r="CN346" s="63" t="n"/>
      <c r="CP346" s="63" t="n"/>
      <c r="CQ346" s="63" t="n"/>
      <c r="CR346" s="63" t="n"/>
      <c r="CS346" s="63" t="n"/>
      <c r="CU346" s="63" t="n"/>
      <c r="CV346" s="63" t="n"/>
      <c r="CW346" s="63" t="n"/>
      <c r="CX346" s="63" t="n"/>
    </row>
    <row r="347" customFormat="1" s="77">
      <c r="A347" s="76" t="n"/>
      <c r="B347" s="76" t="n"/>
      <c r="C347" s="77" t="inlineStr">
        <is>
          <t>CURRENT ASSETS (OPERATING, EX CASH)</t>
        </is>
      </c>
      <c r="D347" s="89">
        <f>IFERROR(D139+D143+D147+D148+D149,"")</f>
        <v>0</v>
      </c>
      <c r="E347" s="89">
        <f>IFERROR(E139+E143+E147+E148+E149,"")</f>
        <v>0</v>
      </c>
      <c r="F347" s="89">
        <f>IFERROR(F139+F143+F147+F148+F149,"")</f>
        <v>0</v>
      </c>
      <c r="G347" s="89">
        <f>IFERROR(G139+G143+G147+G148+G149,"")</f>
        <v>0</v>
      </c>
      <c r="H347" s="263">
        <f>IFERROR((N(H139)+N(H143)+N(H147)+N(H148)+N(H149)),0)</f>
        <v>0</v>
      </c>
      <c r="I347" s="263">
        <f>IFERROR((N(I139)+N(I143)+N(I147)+N(I148)+N(I149)),0)</f>
        <v>1703.803</v>
      </c>
      <c r="J347" s="263">
        <f>IFERROR((N(J139)+N(J143)+N(J147)+N(J148)+N(J149)),0)</f>
        <v>1826.746</v>
      </c>
      <c r="K347" s="263">
        <f>IFERROR((N(K139)+N(K143)+N(K147)+N(K148)+N(K149)),0)</f>
        <v>1889.106</v>
      </c>
      <c r="L347" s="263">
        <f>IFERROR((N(L139)+N(L143)+N(L147)+N(L148)+N(L149)),0)</f>
        <v>2042.021</v>
      </c>
      <c r="M347" s="263">
        <f>IFERROR((N(M139)+N(M143)+N(M147)+N(M148)+N(M149)),0)</f>
        <v>2042.021</v>
      </c>
      <c r="N347" s="263">
        <f>IFERROR((N(N139)+N(N143)+N(N147)+N(N148)+N(N149)),0)</f>
        <v>2089.069</v>
      </c>
      <c r="O347" s="263">
        <f>IFERROR((N(O139)+N(O143)+N(O147)+N(O148)+N(O149)),0)</f>
        <v>2021.329</v>
      </c>
      <c r="P347" s="263">
        <f>IFERROR((N(P139)+N(P143)+N(P147)+N(P148)+N(P149)),0)</f>
        <v>2703.17</v>
      </c>
      <c r="Q347" s="263">
        <f>IFERROR((N(Q139)+N(Q143)+N(Q147)+N(Q148)+N(Q149)),0)</f>
        <v>3208.021</v>
      </c>
      <c r="R347" s="263">
        <f>IFERROR((N(R139)+N(R143)+N(R147)+N(R148)+N(R149)),0)</f>
        <v>3208.021</v>
      </c>
      <c r="S347" s="263">
        <f>IFERROR((N(S139)+N(S143)+N(S147)+N(S148)+N(S149)),0)</f>
        <v>2655.119</v>
      </c>
      <c r="T347" s="263">
        <f>IFERROR((N(T139)+N(T143)+N(T147)+N(T148)+N(T149)),0)</f>
        <v>2929.347</v>
      </c>
      <c r="U347" s="263">
        <f>IFERROR((N(U139)+N(U143)+N(U147)+N(U148)+N(U149)),0)</f>
        <v>2912.028</v>
      </c>
      <c r="V347" s="263">
        <f>IFERROR((N(V139)+N(V143)+N(V147)+N(V148)+N(V149)),0)</f>
        <v>2780.247</v>
      </c>
      <c r="W347" s="263">
        <f>IFERROR((N(W139)+N(W143)+N(W147)+N(W148)+N(W149)),0)</f>
        <v>2780.247</v>
      </c>
      <c r="X347" s="263">
        <f>IFERROR((N(X139)+N(X143)+N(X147)+N(X148)+N(X149)),0)</f>
        <v>2875.574</v>
      </c>
      <c r="Y347" s="263">
        <f>IFERROR((N(Y139)+N(Y143)+N(Y147)+N(Y148)+N(Y149)),0)</f>
        <v>2959.641</v>
      </c>
      <c r="Z347" s="263">
        <f>IFERROR((N(Z139)+N(Z143)+N(Z147)+N(Z148)+N(Z149)),0)</f>
        <v>2905.172</v>
      </c>
      <c r="AA347" s="263">
        <f>IFERROR((N(AA139)+N(AA143)+N(AA147)+N(AA148)+N(AA149)),0)</f>
        <v>3516.64</v>
      </c>
      <c r="AB347" s="263">
        <f>IFERROR((N(AB139)+N(AB143)+N(AB147)+N(AB148)+N(AB149)),0)</f>
        <v>3516.64</v>
      </c>
      <c r="AC347" s="263">
        <f>IFERROR((N(AC139)+N(AC143)+N(AC147)+N(AC148)+N(AC149)),0)</f>
        <v>3326.642</v>
      </c>
      <c r="AD347" s="263">
        <f>IFERROR((N(AD139)+N(AD143)+N(AD147)+N(AD148)+N(AD149)),0)</f>
        <v>3602.586</v>
      </c>
      <c r="AE347" s="263">
        <f>IFERROR((N(AE139)+N(AE143)+N(AE147)+N(AE148)+N(AE149)),0)</f>
        <v>3638.543</v>
      </c>
      <c r="AF347" s="263">
        <f>IFERROR((N(AF139)+N(AF143)+N(AF147)+N(AF148)+N(AF149)),0)</f>
        <v>3957.832</v>
      </c>
      <c r="AG347" s="263">
        <f>IFERROR((N(AG139)+N(AG143)+N(AG147)+N(AG148)+N(AG149)),0)</f>
        <v>3957.832</v>
      </c>
      <c r="AH347" s="263">
        <f>IFERROR((N(AH139)+N(AH143)+N(AH147)+N(AH148)+N(AH149)),0)</f>
        <v>4782.532</v>
      </c>
      <c r="AI347" s="263">
        <f>IFERROR((N(AI139)+N(AI143)+N(AI147)+N(AI148)+N(AI149)),0)</f>
        <v>4725.393</v>
      </c>
      <c r="AJ347" s="263">
        <f>IFERROR((N(AJ139)+N(AJ143)+N(AJ147)+N(AJ148)+N(AJ149)),0)</f>
        <v>4725.393</v>
      </c>
      <c r="AK347" s="263">
        <f>IFERROR((N(AK139)+N(AK143)+N(AK147)+N(AK148)+N(AK149)),0)</f>
        <v>4725.393</v>
      </c>
      <c r="AL347" s="263">
        <f>IFERROR((N(AL139)+N(AL143)+N(AL147)+N(AL148)+N(AL149)),0)</f>
        <v>4725.393</v>
      </c>
      <c r="AM347" s="263">
        <f>IFERROR((N(AM139)+N(AM143)+N(AM147)+N(AM148)+N(AM149)),0)</f>
        <v>4725.393</v>
      </c>
      <c r="AN347" s="263">
        <f>IFERROR((N(AN139)+N(AN143)+N(AN147)+N(AN148)+N(AN149)),0)</f>
        <v>4725.393</v>
      </c>
      <c r="AO347" s="263">
        <f>IFERROR((N(AO139)+N(AO143)+N(AO147)+N(AO148)+N(AO149)),0)</f>
        <v>4725.393</v>
      </c>
      <c r="AP347" s="263">
        <f>IFERROR((N(AP139)+N(AP143)+N(AP147)+N(AP148)+N(AP149)),0)</f>
        <v>4725.393</v>
      </c>
      <c r="AQ347" s="263">
        <f>IFERROR((N(AQ139)+N(AQ143)+N(AQ147)+N(AQ148)+N(AQ149)),0)</f>
        <v>4725.393</v>
      </c>
      <c r="AR347" s="263">
        <f>IFERROR((N(AR139)+N(AR143)+N(AR147)+N(AR148)+N(AR149)),0)</f>
        <v>4725.393</v>
      </c>
      <c r="AS347" s="263">
        <f>IFERROR((N(AS139)+N(AS143)+N(AS147)+N(AS148)+N(AS149)),0)</f>
        <v>4725.393</v>
      </c>
      <c r="AT347" s="263">
        <f>IFERROR((N(AT139)+N(AT143)+N(AT147)+N(AT148)+N(AT149)),0)</f>
        <v>4725.393</v>
      </c>
      <c r="AU347" s="263">
        <f>IFERROR((N(AU139)+N(AU143)+N(AU147)+N(AU148)+N(AU149)),0)</f>
        <v>4725.393</v>
      </c>
      <c r="AV347" s="263">
        <f>IFERROR((N(AV139)+N(AV143)+N(AV147)+N(AV148)+N(AV149)),0)</f>
        <v>4725.393</v>
      </c>
      <c r="AW347" s="263">
        <f>IFERROR((N(AW139)+N(AW143)+N(AW147)+N(AW148)+N(AW149)),0)</f>
        <v>4725.393</v>
      </c>
      <c r="AX347" s="263">
        <f>IFERROR((N(AX139)+N(AX143)+N(AX147)+N(AX148)+N(AX149)),0)</f>
        <v>4725.393</v>
      </c>
      <c r="AY347" s="263">
        <f>IFERROR((N(AY139)+N(AY143)+N(AY147)+N(AY148)+N(AY149)),0)</f>
        <v>4725.393</v>
      </c>
      <c r="AZ347" s="263">
        <f>IFERROR((N(AZ139)+N(AZ143)+N(AZ147)+N(AZ148)+N(AZ149)),0)</f>
        <v>4725.393</v>
      </c>
      <c r="BA347" s="263">
        <f>IFERROR((N(BA139)+N(BA143)+N(BA147)+N(BA148)+N(BA149)),0)</f>
        <v>4725.393</v>
      </c>
      <c r="BB347" s="263">
        <f>IFERROR((N(BB139)+N(BB143)+N(BB147)+N(BB148)+N(BB149)),0)</f>
        <v>4725.393</v>
      </c>
      <c r="BC347" s="263">
        <f>IFERROR((N(BC139)+N(BC143)+N(BC147)+N(BC148)+N(BC149)),0)</f>
        <v>4725.393</v>
      </c>
      <c r="BD347" s="263">
        <f>IFERROR((N(BD139)+N(BD143)+N(BD147)+N(BD148)+N(BD149)),0)</f>
        <v>4725.393</v>
      </c>
      <c r="BE347" s="263">
        <f>IFERROR((N(BE139)+N(BE143)+N(BE147)+N(BE148)+N(BE149)),0)</f>
        <v>4725.393</v>
      </c>
      <c r="BF347" s="263">
        <f>IFERROR((N(BF139)+N(BF143)+N(BF147)+N(BF148)+N(BF149)),0)</f>
        <v>4725.393</v>
      </c>
      <c r="BG347" s="90" t="n"/>
      <c r="BH347" s="90" t="n"/>
      <c r="BI347" s="90" t="n"/>
      <c r="BJ347" s="90" t="n"/>
      <c r="BL347" s="90" t="n"/>
      <c r="BM347" s="90" t="n"/>
      <c r="BN347" s="90" t="n"/>
      <c r="BO347" s="90" t="n"/>
      <c r="BQ347" s="90" t="n"/>
      <c r="BR347" s="90" t="n"/>
      <c r="BS347" s="90" t="n"/>
      <c r="BT347" s="90" t="n"/>
      <c r="BV347" s="90" t="n"/>
      <c r="BW347" s="90" t="n"/>
      <c r="BX347" s="90" t="n"/>
      <c r="BY347" s="90" t="n"/>
      <c r="CA347" s="90" t="n"/>
      <c r="CB347" s="90" t="n"/>
      <c r="CC347" s="90" t="n"/>
      <c r="CD347" s="90" t="n"/>
      <c r="CF347" s="90" t="n"/>
      <c r="CG347" s="90" t="n"/>
      <c r="CH347" s="90" t="n"/>
      <c r="CI347" s="90" t="n"/>
      <c r="CK347" s="90" t="n"/>
      <c r="CL347" s="90" t="n"/>
      <c r="CM347" s="90" t="n"/>
      <c r="CN347" s="90" t="n"/>
      <c r="CP347" s="90" t="n"/>
      <c r="CQ347" s="90" t="n"/>
      <c r="CR347" s="90" t="n"/>
      <c r="CS347" s="90" t="n"/>
      <c r="CU347" s="90" t="n"/>
      <c r="CV347" s="90" t="n"/>
      <c r="CW347" s="90" t="n"/>
      <c r="CX347" s="90" t="n"/>
    </row>
    <row r="348" customFormat="1" s="77">
      <c r="A348" s="76" t="n"/>
      <c r="B348" s="76" t="n"/>
      <c r="C348" s="77" t="inlineStr">
        <is>
          <t>CURRENT LIABILITIES (OPERATING, EX DEBT)</t>
        </is>
      </c>
      <c r="D348" s="89">
        <f>IFERROR(D192+D196+D198+D199,"")</f>
        <v>0</v>
      </c>
      <c r="E348" s="89">
        <f>IFERROR(E192+E196+E198+E199,"")</f>
        <v>0</v>
      </c>
      <c r="F348" s="89">
        <f>IFERROR(F192+F196+F198+F199,"")</f>
        <v>0</v>
      </c>
      <c r="G348" s="89">
        <f>IFERROR(G192+G196+G198+G199,"")</f>
        <v>0</v>
      </c>
      <c r="H348" s="263">
        <f>IFERROR((N(H192)+N(H196)+N(H198)+N(H199)),0)</f>
        <v>0</v>
      </c>
      <c r="I348" s="263">
        <f>IFERROR((N(I192)+N(I196)+N(I198)+N(I199)),0)</f>
        <v>7262.982</v>
      </c>
      <c r="J348" s="263">
        <f>IFERROR((N(J192)+N(J196)+N(J198)+N(J199)),0)</f>
        <v>7133.76</v>
      </c>
      <c r="K348" s="263">
        <f>IFERROR((N(K192)+N(K196)+N(K198)+N(K199)),0)</f>
        <v>7349.773</v>
      </c>
      <c r="L348" s="263">
        <f>IFERROR((N(L192)+N(L196)+N(L198)+N(L199)),0)</f>
        <v>7789.143</v>
      </c>
      <c r="M348" s="263">
        <f>IFERROR((N(M192)+N(M196)+N(M198)+N(M199)),0)</f>
        <v>7789.143</v>
      </c>
      <c r="N348" s="263">
        <f>IFERROR((N(N192)+N(N196)+N(N198)+N(N199)),0)</f>
        <v>7739.656</v>
      </c>
      <c r="O348" s="263">
        <f>IFERROR((N(O192)+N(O196)+N(O198)+N(O199)),0)</f>
        <v>7500.022</v>
      </c>
      <c r="P348" s="263">
        <f>IFERROR((N(P192)+N(P196)+N(P198)+N(P199)),0)</f>
        <v>7765.924</v>
      </c>
      <c r="Q348" s="263">
        <f>IFERROR((N(Q192)+N(Q196)+N(Q198)+N(Q199)),0)</f>
        <v>7930.974</v>
      </c>
      <c r="R348" s="263">
        <f>IFERROR((N(R192)+N(R196)+N(R198)+N(R199)),0)</f>
        <v>7930.974</v>
      </c>
      <c r="S348" s="263">
        <f>IFERROR((N(S192)+N(S196)+N(S198)+N(S199)),0)</f>
        <v>7916.907</v>
      </c>
      <c r="T348" s="263">
        <f>IFERROR((N(T192)+N(T196)+N(T198)+N(T199)),0)</f>
        <v>8276.418</v>
      </c>
      <c r="U348" s="263">
        <f>IFERROR((N(U192)+N(U196)+N(U198)+N(U199)),0)</f>
        <v>7939.104</v>
      </c>
      <c r="V348" s="263">
        <f>IFERROR((N(V192)+N(V196)+N(V198)+N(V199)),0)</f>
        <v>8460.811</v>
      </c>
      <c r="W348" s="263">
        <f>IFERROR((N(W192)+N(W196)+N(W198)+N(W199)),0)</f>
        <v>8460.811</v>
      </c>
      <c r="X348" s="263">
        <f>IFERROR((N(X192)+N(X196)+N(X198)+N(X199)),0)</f>
        <v>8490.281</v>
      </c>
      <c r="Y348" s="263">
        <f>IFERROR((N(Y192)+N(Y196)+N(Y198)+N(Y199)),0)</f>
        <v>8339.958</v>
      </c>
      <c r="Z348" s="263">
        <f>IFERROR((N(Z192)+N(Z196)+N(Z198)+N(Z199)),0)</f>
        <v>8886.73</v>
      </c>
      <c r="AA348" s="263">
        <f>IFERROR((N(AA192)+N(AA196)+N(AA198)+N(AA199)),0)</f>
        <v>8970.947</v>
      </c>
      <c r="AB348" s="263">
        <f>IFERROR((N(AB192)+N(AB196)+N(AB198)+N(AB199)),0)</f>
        <v>8970.947</v>
      </c>
      <c r="AC348" s="263">
        <f>IFERROR((N(AC192)+N(AC196)+N(AC198)+N(AC199)),0)</f>
        <v>8712.638</v>
      </c>
      <c r="AD348" s="263">
        <f>IFERROR((N(AD192)+N(AD196)+N(AD198)+N(AD199)),0)</f>
        <v>8942.335</v>
      </c>
      <c r="AE348" s="263">
        <f>IFERROR((N(AE192)+N(AE196)+N(AE198)+N(AE199)),0)</f>
        <v>9731.859</v>
      </c>
      <c r="AF348" s="263">
        <f>IFERROR((N(AF192)+N(AF196)+N(AF198)+N(AF199)),0)</f>
        <v>9982.065</v>
      </c>
      <c r="AG348" s="263">
        <f>IFERROR((N(AG192)+N(AG196)+N(AG198)+N(AG199)),0)</f>
        <v>9982.065</v>
      </c>
      <c r="AH348" s="263">
        <f>IFERROR((N(AH192)+N(AH196)+N(AH198)+N(AH199)),0)</f>
        <v>11132.393</v>
      </c>
      <c r="AI348" s="263">
        <f>IFERROR((N(AI192)+N(AI196)+N(AI198)+N(AI199)),0)</f>
        <v>9651.14</v>
      </c>
      <c r="AJ348" s="263">
        <f>IFERROR((N(AJ192)+N(AJ196)+N(AJ198)+N(AJ199)),0)</f>
        <v>10196.5788920226</v>
      </c>
      <c r="AK348" s="263">
        <f>IFERROR((N(AK192)+N(AK196)+N(AK198)+N(AK199)),0)</f>
        <v>10803.5321668277</v>
      </c>
      <c r="AL348" s="263">
        <f>IFERROR((N(AL192)+N(AL196)+N(AL198)+N(AL199)),0)</f>
        <v>10803.5321668277</v>
      </c>
      <c r="AM348" s="263">
        <f>IFERROR((N(AM192)+N(AM196)+N(AM198)+N(AM199)),0)</f>
        <v>11492.7493039573</v>
      </c>
      <c r="AN348" s="263">
        <f>IFERROR((N(AN192)+N(AN196)+N(AN198)+N(AN199)),0)</f>
        <v>12260.6789908458</v>
      </c>
      <c r="AO348" s="263">
        <f>IFERROR((N(AO192)+N(AO196)+N(AO198)+N(AO199)),0)</f>
        <v>13176.6183377532</v>
      </c>
      <c r="AP348" s="263">
        <f>IFERROR((N(AP192)+N(AP196)+N(AP198)+N(AP199)),0)</f>
        <v>14229.683558517</v>
      </c>
      <c r="AQ348" s="263">
        <f>IFERROR((N(AQ192)+N(AQ196)+N(AQ198)+N(AQ199)),0)</f>
        <v>14229.683558517</v>
      </c>
      <c r="AR348" s="263">
        <f>IFERROR((N(AR192)+N(AR196)+N(AR198)+N(AR199)),0)</f>
        <v>15377.9222731665</v>
      </c>
      <c r="AS348" s="263">
        <f>IFERROR((N(AS192)+N(AS196)+N(AS198)+N(AS199)),0)</f>
        <v>16697.0448522045</v>
      </c>
      <c r="AT348" s="263">
        <f>IFERROR((N(AT192)+N(AT196)+N(AT198)+N(AT199)),0)</f>
        <v>18233.4930929127</v>
      </c>
      <c r="AU348" s="263">
        <f>IFERROR((N(AU192)+N(AU196)+N(AU198)+N(AU199)),0)</f>
        <v>19994.8799522538</v>
      </c>
      <c r="AV348" s="263">
        <f>IFERROR((N(AV192)+N(AV196)+N(AV198)+N(AV199)),0)</f>
        <v>19994.8799522538</v>
      </c>
      <c r="AW348" s="263">
        <f>IFERROR((N(AW192)+N(AW196)+N(AW198)+N(AW199)),0)</f>
        <v>21928.1507113219</v>
      </c>
      <c r="AX348" s="263">
        <f>IFERROR((N(AX192)+N(AX196)+N(AX198)+N(AX199)),0)</f>
        <v>24116.7417947574</v>
      </c>
      <c r="AY348" s="263">
        <f>IFERROR((N(AY192)+N(AY196)+N(AY198)+N(AY199)),0)</f>
        <v>26660.457308695</v>
      </c>
      <c r="AZ348" s="263">
        <f>IFERROR((N(AZ192)+N(AZ196)+N(AZ198)+N(AZ199)),0)</f>
        <v>29566.6267146681</v>
      </c>
      <c r="BA348" s="263">
        <f>IFERROR((N(BA192)+N(BA196)+N(BA198)+N(BA199)),0)</f>
        <v>29566.6267146681</v>
      </c>
      <c r="BB348" s="263">
        <f>IFERROR((N(BB192)+N(BB196)+N(BB198)+N(BB199)),0)</f>
        <v>32744.7082529879</v>
      </c>
      <c r="BC348" s="263">
        <f>IFERROR((N(BC192)+N(BC196)+N(BC198)+N(BC199)),0)</f>
        <v>36345.8846077159</v>
      </c>
      <c r="BD348" s="263">
        <f>IFERROR((N(BD192)+N(BD196)+N(BD198)+N(BD199)),0)</f>
        <v>40493.881298511</v>
      </c>
      <c r="BE348" s="263">
        <f>IFERROR((N(BE192)+N(BE196)+N(BE198)+N(BE199)),0)</f>
        <v>45215.0981341327</v>
      </c>
      <c r="BF348" s="263">
        <f>IFERROR((N(BF192)+N(BF196)+N(BF198)+N(BF199)),0)</f>
        <v>45215.0981341327</v>
      </c>
      <c r="BG348" s="90" t="n"/>
      <c r="BH348" s="90" t="n"/>
      <c r="BI348" s="90" t="n"/>
      <c r="BJ348" s="90" t="n"/>
      <c r="BL348" s="90" t="n"/>
      <c r="BM348" s="90" t="n"/>
      <c r="BN348" s="90" t="n"/>
      <c r="BO348" s="90" t="n"/>
      <c r="BQ348" s="90" t="n"/>
      <c r="BR348" s="90" t="n"/>
      <c r="BS348" s="90" t="n"/>
      <c r="BT348" s="90" t="n"/>
      <c r="BV348" s="90" t="n"/>
      <c r="BW348" s="90" t="n"/>
      <c r="BX348" s="90" t="n"/>
      <c r="BY348" s="90" t="n"/>
      <c r="CA348" s="90" t="n"/>
      <c r="CB348" s="90" t="n"/>
      <c r="CC348" s="90" t="n"/>
      <c r="CD348" s="90" t="n"/>
      <c r="CF348" s="90" t="n"/>
      <c r="CG348" s="90" t="n"/>
      <c r="CH348" s="90" t="n"/>
      <c r="CI348" s="90" t="n"/>
      <c r="CK348" s="90" t="n"/>
      <c r="CL348" s="90" t="n"/>
      <c r="CM348" s="90" t="n"/>
      <c r="CN348" s="90" t="n"/>
      <c r="CP348" s="90" t="n"/>
      <c r="CQ348" s="90" t="n"/>
      <c r="CR348" s="90" t="n"/>
      <c r="CS348" s="90" t="n"/>
      <c r="CU348" s="90" t="n"/>
      <c r="CV348" s="90" t="n"/>
      <c r="CW348" s="90" t="n"/>
      <c r="CX348" s="90" t="n"/>
    </row>
    <row r="349" customFormat="1" s="77">
      <c r="A349" s="76" t="n"/>
      <c r="B349" s="76" t="n"/>
      <c r="C349" s="77" t="inlineStr">
        <is>
          <t>FIXED ASSETS</t>
        </is>
      </c>
      <c r="D349" s="89">
        <f>IFERROR(D160+D170+D173+D174+D183-D234,"")</f>
        <v>0</v>
      </c>
      <c r="E349" s="89">
        <f>IFERROR(E160+E170+E173+E174+E183-E234,"")</f>
        <v>0</v>
      </c>
      <c r="F349" s="89">
        <f>IFERROR(F160+F170+F173+F174+F183-F234,"")</f>
        <v>0</v>
      </c>
      <c r="G349" s="89">
        <f>IFERROR(G160+G170+G173+G174+G183-G234,"")</f>
        <v>0</v>
      </c>
      <c r="H349" s="263">
        <f>IFERROR((N(H160)+N(H170)+N(H173)+N(H174)+N(H183))-N(H234),0)</f>
        <v>0</v>
      </c>
      <c r="I349" s="263">
        <f>IFERROR((N(I160)+N(I170)+N(I173)+N(I174)+N(I183))-N(I234),0)</f>
        <v>25598.894</v>
      </c>
      <c r="J349" s="263">
        <f>IFERROR((N(J160)+N(J170)+N(J173)+N(J174)+N(J183))-N(J234),0)</f>
        <v>27019.372</v>
      </c>
      <c r="K349" s="263">
        <f>IFERROR((N(K160)+N(K170)+N(K173)+N(K174)+N(K183))-N(K234),0)</f>
        <v>28741.767</v>
      </c>
      <c r="L349" s="263">
        <f>IFERROR((N(L160)+N(L170)+N(L173)+N(L174)+N(L183))-N(L234),0)</f>
        <v>30961.461</v>
      </c>
      <c r="M349" s="263">
        <f>IFERROR((N(M160)+N(M170)+N(M173)+N(M174)+N(M183))-N(M234),0)</f>
        <v>30961.461</v>
      </c>
      <c r="N349" s="263">
        <f>IFERROR((N(N160)+N(N170)+N(N173)+N(N174)+N(N183))-N(N234),0)</f>
        <v>31720.241</v>
      </c>
      <c r="O349" s="263">
        <f>IFERROR((N(O160)+N(O170)+N(O173)+N(O174)+N(O183))-N(O234),0)</f>
        <v>32968.521</v>
      </c>
      <c r="P349" s="263">
        <f>IFERROR((N(P160)+N(P170)+N(P173)+N(P174)+N(P183))-N(P234),0)</f>
        <v>33365.279</v>
      </c>
      <c r="Q349" s="263">
        <f>IFERROR((N(Q160)+N(Q170)+N(Q173)+N(Q174)+N(Q183))-N(Q234),0)</f>
        <v>33794.978</v>
      </c>
      <c r="R349" s="263">
        <f>IFERROR((N(R160)+N(R170)+N(R173)+N(R174)+N(R183))-N(R234),0)</f>
        <v>33794.978</v>
      </c>
      <c r="S349" s="263">
        <f>IFERROR((N(S160)+N(S170)+N(S173)+N(S174)+N(S183))-N(S234),0)</f>
        <v>33699.608</v>
      </c>
      <c r="T349" s="263">
        <f>IFERROR((N(T160)+N(T170)+N(T173)+N(T174)+N(T183))-N(T234),0)</f>
        <v>34071.835</v>
      </c>
      <c r="U349" s="263">
        <f>IFERROR((N(U160)+N(U170)+N(U173)+N(U174)+N(U183))-N(U234),0)</f>
        <v>33567.625</v>
      </c>
      <c r="V349" s="263">
        <f>IFERROR((N(V160)+N(V170)+N(V173)+N(V174)+N(V183))-N(V234),0)</f>
        <v>33674.252</v>
      </c>
      <c r="W349" s="263">
        <f>IFERROR((N(W160)+N(W170)+N(W173)+N(W174)+N(W183))-N(W234),0)</f>
        <v>33674.252</v>
      </c>
      <c r="X349" s="263">
        <f>IFERROR((N(X160)+N(X170)+N(X173)+N(X174)+N(X183))-N(X234),0)</f>
        <v>33950.352</v>
      </c>
      <c r="Y349" s="263">
        <f>IFERROR((N(Y160)+N(Y170)+N(Y173)+N(Y174)+N(Y183))-N(Y234),0)</f>
        <v>34817.163</v>
      </c>
      <c r="Z349" s="263">
        <f>IFERROR((N(Z160)+N(Z170)+N(Z173)+N(Z174)+N(Z183))-N(Z234),0)</f>
        <v>35459.695</v>
      </c>
      <c r="AA349" s="263">
        <f>IFERROR((N(AA160)+N(AA170)+N(AA173)+N(AA174)+N(AA183))-N(AA234),0)</f>
        <v>36196.939</v>
      </c>
      <c r="AB349" s="263">
        <f>IFERROR((N(AB160)+N(AB170)+N(AB173)+N(AB174)+N(AB183))-N(AB234),0)</f>
        <v>36196.939</v>
      </c>
      <c r="AC349" s="263">
        <f>IFERROR((N(AC160)+N(AC170)+N(AC173)+N(AC174)+N(AC183))-N(AC234),0)</f>
        <v>36059.997</v>
      </c>
      <c r="AD349" s="263">
        <f>IFERROR((N(AD160)+N(AD170)+N(AD173)+N(AD174)+N(AD183))-N(AD234),0)</f>
        <v>36354.334</v>
      </c>
      <c r="AE349" s="263">
        <f>IFERROR((N(AE160)+N(AE170)+N(AE173)+N(AE174)+N(AE183))-N(AE234),0)</f>
        <v>37185.979</v>
      </c>
      <c r="AF349" s="263">
        <f>IFERROR((N(AF160)+N(AF170)+N(AF173)+N(AF174)+N(AF183))-N(AF234),0)</f>
        <v>38040.198</v>
      </c>
      <c r="AG349" s="263">
        <f>IFERROR((N(AG160)+N(AG170)+N(AG173)+N(AG174)+N(AG183))-N(AG234),0)</f>
        <v>38040.198</v>
      </c>
      <c r="AH349" s="263">
        <f>IFERROR((N(AH160)+N(AH170)+N(AH173)+N(AH174)+N(AH183))-N(AH234),0)</f>
        <v>39548.326</v>
      </c>
      <c r="AI349" s="263">
        <f>IFERROR((N(AI160)+N(AI170)+N(AI173)+N(AI174)+N(AI183))-N(AI234),0)</f>
        <v>40259.195</v>
      </c>
      <c r="AJ349" s="263">
        <f>IFERROR((N(AJ160)+N(AJ170)+N(AJ173)+N(AJ174)+N(AJ183))-N(AJ234),0)</f>
        <v>40412.1826812626</v>
      </c>
      <c r="AK349" s="263">
        <f>IFERROR((N(AK160)+N(AK170)+N(AK173)+N(AK174)+N(AK183))-N(AK234),0)</f>
        <v>40572.353746711</v>
      </c>
      <c r="AL349" s="263">
        <f>IFERROR((N(AL160)+N(AL170)+N(AL173)+N(AL174)+N(AL183))-N(AL234),0)</f>
        <v>40572.353746711</v>
      </c>
      <c r="AM349" s="263">
        <f>IFERROR((N(AM160)+N(AM170)+N(AM173)+N(AM174)+N(AM183))-N(AM234),0)</f>
        <v>40735.1697271589</v>
      </c>
      <c r="AN349" s="263">
        <f>IFERROR((N(AN160)+N(AN170)+N(AN173)+N(AN174)+N(AN183))-N(AN234),0)</f>
        <v>40902.1084362152</v>
      </c>
      <c r="AO349" s="263">
        <f>IFERROR((N(AO160)+N(AO170)+N(AO173)+N(AO174)+N(AO183))-N(AO234),0)</f>
        <v>41078.7408239519</v>
      </c>
      <c r="AP349" s="263">
        <f>IFERROR((N(AP160)+N(AP170)+N(AP173)+N(AP174)+N(AP183))-N(AP234),0)</f>
        <v>41263.6668095148</v>
      </c>
      <c r="AQ349" s="263">
        <f>IFERROR((N(AQ160)+N(AQ170)+N(AQ173)+N(AQ174)+N(AQ183))-N(AQ234),0)</f>
        <v>41263.6668095148</v>
      </c>
      <c r="AR349" s="263">
        <f>IFERROR((N(AR160)+N(AR170)+N(AR173)+N(AR174)+N(AR183))-N(AR234),0)</f>
        <v>41450.8324097466</v>
      </c>
      <c r="AS349" s="263">
        <f>IFERROR((N(AS160)+N(AS170)+N(AS173)+N(AS174)+N(AS183))-N(AS234),0)</f>
        <v>41642.7373050554</v>
      </c>
      <c r="AT349" s="263">
        <f>IFERROR((N(AT160)+N(AT170)+N(AT173)+N(AT174)+N(AT183))-N(AT234),0)</f>
        <v>41845.7855978591</v>
      </c>
      <c r="AU349" s="263">
        <f>IFERROR((N(AU160)+N(AU170)+N(AU173)+N(AU174)+N(AU183))-N(AU234),0)</f>
        <v>42058.3678209992</v>
      </c>
      <c r="AV349" s="263">
        <f>IFERROR((N(AV160)+N(AV170)+N(AV173)+N(AV174)+N(AV183))-N(AV234),0)</f>
        <v>42058.3678209992</v>
      </c>
      <c r="AW349" s="263">
        <f>IFERROR((N(AW160)+N(AW170)+N(AW173)+N(AW174)+N(AW183))-N(AW234),0)</f>
        <v>42272.5887719196</v>
      </c>
      <c r="AX349" s="263">
        <f>IFERROR((N(AX160)+N(AX170)+N(AX173)+N(AX174)+N(AX183))-N(AX234),0)</f>
        <v>42492.2340972808</v>
      </c>
      <c r="AY349" s="263">
        <f>IFERROR((N(AY160)+N(AY170)+N(AY173)+N(AY174)+N(AY183))-N(AY234),0)</f>
        <v>42724.633631775</v>
      </c>
      <c r="AZ349" s="263">
        <f>IFERROR((N(AZ160)+N(AZ170)+N(AZ173)+N(AZ174)+N(AZ183))-N(AZ234),0)</f>
        <v>42967.9452549228</v>
      </c>
      <c r="BA349" s="263">
        <f>IFERROR((N(BA160)+N(BA170)+N(BA173)+N(BA174)+N(BA183))-N(BA234),0)</f>
        <v>42967.9452549228</v>
      </c>
      <c r="BB349" s="263">
        <f>IFERROR((N(BB160)+N(BB170)+N(BB173)+N(BB174)+N(BB183))-N(BB234),0)</f>
        <v>43212.0613841279</v>
      </c>
      <c r="BC349" s="263">
        <f>IFERROR((N(BC160)+N(BC170)+N(BC173)+N(BC174)+N(BC183))-N(BC234),0)</f>
        <v>43462.3588755489</v>
      </c>
      <c r="BD349" s="263">
        <f>IFERROR((N(BD160)+N(BD170)+N(BD173)+N(BD174)+N(BD183))-N(BD234),0)</f>
        <v>43727.1904643643</v>
      </c>
      <c r="BE349" s="263">
        <f>IFERROR((N(BE160)+N(BE170)+N(BE173)+N(BE174)+N(BE183))-N(BE234),0)</f>
        <v>44004.4569566391</v>
      </c>
      <c r="BF349" s="263">
        <f>IFERROR((N(BF160)+N(BF170)+N(BF173)+N(BF174)+N(BF183))-N(BF234),0)</f>
        <v>44004.4569566391</v>
      </c>
      <c r="BG349" s="90" t="n"/>
      <c r="BH349" s="90" t="n"/>
      <c r="BI349" s="90" t="n"/>
      <c r="BJ349" s="90" t="n"/>
      <c r="BL349" s="90" t="n"/>
      <c r="BM349" s="90" t="n"/>
      <c r="BN349" s="90" t="n"/>
      <c r="BO349" s="90" t="n"/>
      <c r="BQ349" s="90" t="n"/>
      <c r="BR349" s="90" t="n"/>
      <c r="BS349" s="90" t="n"/>
      <c r="BT349" s="90" t="n"/>
      <c r="BV349" s="90" t="n"/>
      <c r="BW349" s="90" t="n"/>
      <c r="BX349" s="90" t="n"/>
      <c r="BY349" s="90" t="n"/>
      <c r="CA349" s="90" t="n"/>
      <c r="CB349" s="90" t="n"/>
      <c r="CC349" s="90" t="n"/>
      <c r="CD349" s="90" t="n"/>
      <c r="CF349" s="90" t="n"/>
      <c r="CG349" s="90" t="n"/>
      <c r="CH349" s="90" t="n"/>
      <c r="CI349" s="90" t="n"/>
      <c r="CK349" s="90" t="n"/>
      <c r="CL349" s="90" t="n"/>
      <c r="CM349" s="90" t="n"/>
      <c r="CN349" s="90" t="n"/>
      <c r="CP349" s="90" t="n"/>
      <c r="CQ349" s="90" t="n"/>
      <c r="CR349" s="90" t="n"/>
      <c r="CS349" s="90" t="n"/>
      <c r="CU349" s="90" t="n"/>
      <c r="CV349" s="90" t="n"/>
      <c r="CW349" s="90" t="n"/>
      <c r="CX349" s="90" t="n"/>
    </row>
    <row r="350" customFormat="1" s="77">
      <c r="A350" s="76" t="n"/>
      <c r="B350" s="76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</row>
    <row r="356" customFormat="1" s="77">
      <c r="A356" s="76" t="n"/>
      <c r="B356" s="76" t="n"/>
    </row>
    <row r="357" customFormat="1" s="77">
      <c r="A357" s="76" t="n"/>
      <c r="B357" s="76" t="n"/>
      <c r="C357" s="74" t="inlineStr">
        <is>
          <t>DUPONT ANALYSIS</t>
        </is>
      </c>
    </row>
    <row r="358" customFormat="1" s="77">
      <c r="A358" s="76" t="n"/>
      <c r="B358" s="76" t="n"/>
      <c r="C358" s="77" t="inlineStr">
        <is>
          <t>NET PROFIT MARGIN (LTM)</t>
        </is>
      </c>
      <c r="D358" s="84" t="str">
        <f>IFERROR(D131/D15,"")</f>
        <v/>
      </c>
      <c r="E358" s="84" t="str">
        <f>IFERROR(E131/E15,"")</f>
        <v/>
      </c>
      <c r="F358" s="84" t="str">
        <f>IFERROR(F131/F15,"")</f>
        <v/>
      </c>
      <c r="G358" s="84" t="str">
        <f>IFERROR(G131/G15,"")</f>
        <v/>
      </c>
      <c r="H358" s="258" t="str">
        <f>IFERROR(IF(AND(COUNT(H131)=1,(H15)&lt;&gt;0),(H131)/(H15),""),"")</f>
        <v/>
      </c>
      <c r="I358" s="257" t="str">
        <f>""</f>
        <v/>
      </c>
      <c r="J358" s="257" t="str">
        <f>""</f>
        <v/>
      </c>
      <c r="K358" s="257" t="str">
        <f>""</f>
        <v/>
      </c>
      <c r="L358" s="257">
        <f>IFERROR(IF(AND(COUNT(I131,J131,K131,L131)=4,(I15+J15+K15+L15)&lt;&gt;0),(I131+J131+K131+L131)/(I15+J15+K15+L15),""),"")</f>
        <v>0.172276074990494</v>
      </c>
      <c r="M358" s="258">
        <f>IFERROR(IF(AND(COUNT(I131,J131,K131,L131)=4,(I15+J15+K15+L15)&lt;&gt;0),(I131+J131+K131+L131)/(I15+J15+K15+L15),""),"")</f>
        <v>0.172276074990494</v>
      </c>
      <c r="N358" s="257">
        <f>IFERROR(IF(AND(COUNT(J131,K131,L131,N131)=4,(J15+K15+L15+N15)&lt;&gt;0),(J131+K131+L131+N131)/(J15+K15+L15+N15),""),"")</f>
        <v>0.16469001437357</v>
      </c>
      <c r="O358" s="257">
        <f>IFERROR(IF(AND(COUNT(K131,L131,N131,O131)=4,(K15+L15+N15+O15)&lt;&gt;0),(K131+L131+N131+O131)/(K15+L15+N15+O15),""),"")</f>
        <v>0.164188985402292</v>
      </c>
      <c r="P358" s="257">
        <f>IFERROR(IF(AND(COUNT(L131,N131,O131,P131)=4,(L15+N15+O15+P15)&lt;&gt;0),(L131+N131+O131+P131)/(L15+N15+O15+P15),""),"")</f>
        <v>0.160267487989238</v>
      </c>
      <c r="Q358" s="257">
        <f>IFERROR(IF(AND(COUNT(N131,O131,P131,Q131)=4,(N15+O15+P15+Q15)&lt;&gt;0),(N131+O131+P131+Q131)/(N15+O15+P15+Q15),""),"")</f>
        <v>0.142079577929215</v>
      </c>
      <c r="R358" s="258">
        <f>IFERROR(IF(AND(COUNT(N131,O131,P131,Q131)=4,(N15+O15+P15+Q15)&lt;&gt;0),(N131+O131+P131+Q131)/(N15+O15+P15+Q15),""),"")</f>
        <v>0.142079577929215</v>
      </c>
      <c r="S358" s="257">
        <f>IFERROR(IF(AND(COUNT(O131,P131,Q131,S131)=4,(O15+P15+Q15+S15)&lt;&gt;0),(O131+P131+Q131+S131)/(O15+P15+Q15+S15),""),"")</f>
        <v>0.131610497332971</v>
      </c>
      <c r="T358" s="257">
        <f>IFERROR(IF(AND(COUNT(P131,Q131,S131,T131)=4,(P15+Q15+S15+T15)&lt;&gt;0),(P131+Q131+S131+T131)/(P15+Q15+S15+T15),""),"")</f>
        <v>0.132173225759239</v>
      </c>
      <c r="U358" s="257">
        <f>IFERROR(IF(AND(COUNT(Q131,S131,T131,U131)=4,(Q15+S15+T15+U15)&lt;&gt;0),(Q131+S131+T131+U131)/(Q15+S15+T15+U15),""),"")</f>
        <v>0.138212798188289</v>
      </c>
      <c r="V358" s="257">
        <f>IFERROR(IF(AND(COUNT(S131,T131,U131,V131)=4,(S15+T15+U15+V15)&lt;&gt;0),(S131+T131+U131+V131)/(S15+T15+U15+V15),""),"")</f>
        <v>0.160363620437231</v>
      </c>
      <c r="W358" s="258">
        <f>IFERROR(IF(AND(COUNT(S131,T131,U131,V131)=4,(S15+T15+U15+V15)&lt;&gt;0),(S131+T131+U131+V131)/(S15+T15+U15+V15),""),"")</f>
        <v>0.160363620437231</v>
      </c>
      <c r="X358" s="257">
        <f>IFERROR(IF(AND(COUNT(T131,U131,V131,X131)=4,(T15+U15+V15+X15)&lt;&gt;0),(T131+U131+V131+X131)/(T15+U15+V15+X15),""),"")</f>
        <v>0.184216073898967</v>
      </c>
      <c r="Y358" s="257">
        <f>IFERROR(IF(AND(COUNT(U131,V131,X131,Y131)=4,(U15+V15+X15+Y15)&lt;&gt;0),(U131+V131+X131+Y131)/(U15+V15+X15+Y15),""),"")</f>
        <v>0.195425504396277</v>
      </c>
      <c r="Z358" s="257">
        <f>IFERROR(IF(AND(COUNT(V131,X131,Y131,Z131)=4,(V15+X15+Y15+Z15)&lt;&gt;0),(V131+X131+Y131+Z131)/(V15+X15+Y15+Z15),""),"")</f>
        <v>0.20700786047875</v>
      </c>
      <c r="AA358" s="257">
        <f>IFERROR(IF(AND(COUNT(X131,Y131,Z131,AA131)=4,(X15+Y15+Z15+AA15)&lt;&gt;0),(X131+Y131+Z131+AA131)/(X15+Y15+Z15+AA15),""),"")</f>
        <v>0.223369621152461</v>
      </c>
      <c r="AB358" s="258">
        <f>IFERROR(IF(AND(COUNT(X131,Y131,Z131,AA131)=4,(X15+Y15+Z15+AA15)&lt;&gt;0),(X131+Y131+Z131+AA131)/(X15+Y15+Z15+AA15),""),"")</f>
        <v>0.223369621152461</v>
      </c>
      <c r="AC358" s="257">
        <f>IFERROR(IF(AND(COUNT(Y131,Z131,AA131,AC131)=4,(Y15+Z15+AA15+AC15)&lt;&gt;0),(Y131+Z131+AA131+AC131)/(Y15+Z15+AA15+AC15),""),"")</f>
        <v>0.23074446883625</v>
      </c>
      <c r="AD358" s="257">
        <f>IFERROR(IF(AND(COUNT(Z131,AA131,AC131,AD131)=4,(Z15+AA15+AC15+AD15)&lt;&gt;0),(Z131+AA131+AC131+AD131)/(Z15+AA15+AC15+AD15),""),"")</f>
        <v>0.245792699492385</v>
      </c>
      <c r="AE358" s="257">
        <f>IFERROR(IF(AND(COUNT(AA131,AC131,AD131,AE131)=4,(AA15+AC15+AD15+AE15)&lt;&gt;0),(AA131+AC131+AD131+AE131)/(AA15+AC15+AD15+AE15),""),"")</f>
        <v>0.240469771549859</v>
      </c>
      <c r="AF358" s="257">
        <f>IFERROR(IF(AND(COUNT(AB131,AD131,AE131,AF131)=4,(AB15+AD15+AE15+AF15)&lt;&gt;0),(AB131+AD131+AE131+AF131)/(AB15+AD15+AE15+AF15),""),"")</f>
        <v>0.228166851868698</v>
      </c>
      <c r="AG358" s="258">
        <f>IFERROR(IF(AND(COUNT(AC131,AD131,AE131,AF131)=4,(AC15+AD15+AE15+AF15)&lt;&gt;0),(AC131+AD131+AE131+AF131)/(AC15+AD15+AE15+AF15),""),"")</f>
        <v>0.24303813935832</v>
      </c>
      <c r="AH358" s="257">
        <f>IFERROR(IF(AND(COUNT(AD131,AF131,AG131,AH131)=4,(AD15+AF15+AG15+AH15)&lt;&gt;0),(AD131+AF131+AG131+AH131)/(AD15+AF15+AG15+AH15),""),"")</f>
        <v>0.270695002965453</v>
      </c>
      <c r="AI358" s="257">
        <f>IFERROR(IF(AND(COUNT(AE131,AG131,AH131,AI131)=4,(AE15+AG15+AH15+AI15)&lt;&gt;0),(AE131+AG131+AH131+AI131)/(AE15+AG15+AH15+AI15),""),"")</f>
        <v>0.272533669235741</v>
      </c>
      <c r="AJ358" s="257">
        <f>IFERROR(IF(AND(COUNT(AF131,AH131,AI131,AJ131)=4,(AF15+AH15+AI15+AJ15)&lt;&gt;0),(AF131+AH131+AI131+AJ131)/(AF15+AH15+AI15+AJ15),""),"")</f>
        <v>0.300396963646842</v>
      </c>
      <c r="AK358" s="257">
        <f>IFERROR(IF(AND(COUNT(AH131,AI131,AJ131,AK131)=4,(AH15+AI15+AJ15+AK15)&lt;&gt;0),(AH131+AI131+AJ131+AK131)/(AH15+AI15+AJ15+AK15),""),"")</f>
        <v>0.322894149581989</v>
      </c>
      <c r="AL358" s="258">
        <f>IFERROR(IF(AND(COUNT(AH131,AI131,AJ131,AK131)=4,(AH15+AI15+AJ15+AK15)&lt;&gt;0),(AH131+AI131+AJ131+AK131)/(AH15+AI15+AJ15+AK15),""),"")</f>
        <v>0.322894149581989</v>
      </c>
      <c r="AM358" s="257">
        <f>IFERROR(IF(AND(COUNT(AI131,AJ131,AK131,AM131)=4,(AI15+AJ15+AK15+AM15)&lt;&gt;0),(AI131+AJ131+AK131+AM131)/(AI15+AJ15+AK15+AM15),""),"")</f>
        <v>0.291775305619425</v>
      </c>
      <c r="AN358" s="257">
        <f>IFERROR(IF(AND(COUNT(AJ131,AK131,AM131,AN131)=4,(AJ15+AK15+AM15+AN15)&lt;&gt;0),(AJ131+AK131+AM131+AN131)/(AJ15+AK15+AM15+AN15),""),"")</f>
        <v>0.298142764428108</v>
      </c>
      <c r="AO358" s="257">
        <f>IFERROR(IF(AND(COUNT(AK131,AM131,AN131,AO131)=4,(AK15+AM15+AN15+AO15)&lt;&gt;0),(AK131+AM131+AN131+AO131)/(AK15+AM15+AN15+AO15),""),"")</f>
        <v>0.298142764428108</v>
      </c>
      <c r="AP358" s="257">
        <f>IFERROR(IF(AND(COUNT(AM131,AN131,AO131,AP131)=4,(AM15+AN15+AO15+AP15)&lt;&gt;0),(AM131+AN131+AO131+AP131)/(AM15+AN15+AO15+AP15),""),"")</f>
        <v>0.298142764428108</v>
      </c>
      <c r="AQ358" s="258">
        <f>IFERROR(IF(AND(COUNT(AM131,AN131,AO131,AP131)=4,(AM15+AN15+AO15+AP15)&lt;&gt;0),(AM131+AN131+AO131+AP131)/(AM15+AN15+AO15+AP15),""),"")</f>
        <v>0.298142764428108</v>
      </c>
      <c r="AR358" s="257">
        <f>IFERROR(IF(AND(COUNT(AN131,AO131,AP131,AR131)=4,(AN15+AO15+AP15+AR15)&lt;&gt;0),(AN131+AO131+AP131+AR131)/(AN15+AO15+AP15+AR15),""),"")</f>
        <v>0.298142764428108</v>
      </c>
      <c r="AS358" s="257">
        <f>IFERROR(IF(AND(COUNT(AO131,AP131,AR131,AS131)=4,(AO15+AP15+AR15+AS15)&lt;&gt;0),(AO131+AP131+AR131+AS131)/(AO15+AP15+AR15+AS15),""),"")</f>
        <v>0.298142764428108</v>
      </c>
      <c r="AT358" s="257">
        <f>IFERROR(IF(AND(COUNT(AP131,AR131,AS131,AT131)=4,(AP15+AR15+AS15+AT15)&lt;&gt;0),(AP131+AR131+AS131+AT131)/(AP15+AR15+AS15+AT15),""),"")</f>
        <v>0.298142764428108</v>
      </c>
      <c r="AU358" s="257">
        <f>IFERROR(IF(AND(COUNT(AR131,AS131,AT131,AU131)=4,(AR15+AS15+AT15+AU15)&lt;&gt;0),(AR131+AS131+AT131+AU131)/(AR15+AS15+AT15+AU15),""),"")</f>
        <v>0.298142764428108</v>
      </c>
      <c r="AV358" s="258">
        <f>IFERROR(IF(AND(COUNT(AR131,AS131,AT131,AU131)=4,(AR15+AS15+AT15+AU15)&lt;&gt;0),(AR131+AS131+AT131+AU131)/(AR15+AS15+AT15+AU15),""),"")</f>
        <v>0.298142764428108</v>
      </c>
      <c r="AW358" s="257">
        <f>IFERROR(IF(AND(COUNT(AS131,AT131,AU131,AW131)=4,(AS15+AT15+AU15+AW15)&lt;&gt;0),(AS131+AT131+AU131+AW131)/(AS15+AT15+AU15+AW15),""),"")</f>
        <v>0.298142764428107</v>
      </c>
      <c r="AX358" s="257">
        <f>IFERROR(IF(AND(COUNT(AT131,AU131,AW131,AX131)=4,(AT15+AU15+AW15+AX15)&lt;&gt;0),(AT131+AU131+AW131+AX131)/(AT15+AU15+AW15+AX15),""),"")</f>
        <v>0.298142764428108</v>
      </c>
      <c r="AY358" s="257">
        <f>IFERROR(IF(AND(COUNT(AU131,AW131,AX131,AY131)=4,(AU15+AW15+AX15+AY15)&lt;&gt;0),(AU131+AW131+AX131+AY131)/(AU15+AW15+AX15+AY15),""),"")</f>
        <v>0.298142764428107</v>
      </c>
      <c r="AZ358" s="257">
        <f>IFERROR(IF(AND(COUNT(AW131,AX131,AY131,AZ131)=4,(AW15+AX15+AY15+AZ15)&lt;&gt;0),(AW131+AX131+AY131+AZ131)/(AW15+AX15+AY15+AZ15),""),"")</f>
        <v>0.298142764428108</v>
      </c>
      <c r="BA358" s="258">
        <f>IFERROR(IF(AND(COUNT(AW131,AX131,AY131,AZ131)=4,(AW15+AX15+AY15+AZ15)&lt;&gt;0),(AW131+AX131+AY131+AZ131)/(AW15+AX15+AY15+AZ15),""),"")</f>
        <v>0.298142764428108</v>
      </c>
      <c r="BB358" s="257">
        <f>IFERROR(IF(AND(COUNT(AX131,AY131,AZ131,BB131)=4,(AX15+AY15+AZ15+BB15)&lt;&gt;0),(AX131+AY131+AZ131+BB131)/(AX15+AY15+AZ15+BB15),""),"")</f>
        <v>0.298142764428108</v>
      </c>
      <c r="BC358" s="257">
        <f>IFERROR(IF(AND(COUNT(AY131,AZ131,BB131,BC131)=4,(AY15+AZ15+BB15+BC15)&lt;&gt;0),(AY131+AZ131+BB131+BC131)/(AY15+AZ15+BB15+BC15),""),"")</f>
        <v>0.298142764428108</v>
      </c>
      <c r="BD358" s="257">
        <f>IFERROR(IF(AND(COUNT(AZ131,BB131,BC131,BD131)=4,(AZ15+BB15+BC15+BD15)&lt;&gt;0),(AZ131+BB131+BC131+BD131)/(AZ15+BB15+BC15+BD15),""),"")</f>
        <v>0.298142764428108</v>
      </c>
      <c r="BE358" s="257">
        <f>IFERROR(IF(AND(COUNT(BB131,BC131,BD131,BE131)=4,(BB15+BC15+BD15+BE15)&lt;&gt;0),(BB131+BC131+BD131+BE131)/(BB15+BC15+BD15+BE15),""),"")</f>
        <v>0.298142764428108</v>
      </c>
      <c r="BF358" s="258">
        <f>IFERROR(IF(AND(COUNT(BB131,BC131,BD131,BE131)=4,(BB15+BC15+BD15+BE15)&lt;&gt;0),(BB131+BC131+BD131+BE131)/(BB15+BC15+BD15+BE15),""),"")</f>
        <v>0.298142764428108</v>
      </c>
      <c r="BG358" s="81" t="n"/>
      <c r="BH358" s="81" t="n"/>
      <c r="BI358" s="81" t="n"/>
      <c r="BJ358" s="81" t="n"/>
      <c r="BL358" s="81" t="n"/>
      <c r="BM358" s="81" t="n"/>
      <c r="BN358" s="81" t="n"/>
      <c r="BO358" s="81" t="n"/>
      <c r="BQ358" s="81" t="n"/>
      <c r="BR358" s="81" t="n"/>
      <c r="BS358" s="81" t="n"/>
      <c r="BT358" s="81" t="n"/>
      <c r="BV358" s="81" t="n"/>
      <c r="BW358" s="81" t="n"/>
      <c r="BX358" s="81" t="n"/>
      <c r="BY358" s="81" t="n"/>
      <c r="CA358" s="81" t="n"/>
      <c r="CB358" s="81" t="n"/>
      <c r="CC358" s="81" t="n"/>
      <c r="CD358" s="81" t="n"/>
      <c r="CF358" s="81" t="n"/>
      <c r="CG358" s="81" t="n"/>
      <c r="CH358" s="81" t="n"/>
      <c r="CI358" s="81" t="n"/>
      <c r="CK358" s="81" t="n"/>
      <c r="CL358" s="81" t="n"/>
      <c r="CM358" s="81" t="n"/>
      <c r="CN358" s="81" t="n"/>
      <c r="CP358" s="81" t="n"/>
      <c r="CQ358" s="81" t="n"/>
      <c r="CR358" s="81" t="n"/>
      <c r="CS358" s="81" t="n"/>
      <c r="CU358" s="81" t="n"/>
      <c r="CV358" s="81" t="n"/>
      <c r="CW358" s="81" t="n"/>
      <c r="CX358" s="81" t="n"/>
    </row>
    <row r="359" customFormat="1" s="77">
      <c r="A359" s="76" t="n"/>
      <c r="B359" s="76" t="n"/>
      <c r="C359" s="77" t="inlineStr">
        <is>
          <t>ASSET TURNOVER (LTM REVENUE / ASSETS)</t>
        </is>
      </c>
      <c r="D359" s="84" t="str">
        <f>IFERROR(D15/D191,"")</f>
        <v/>
      </c>
      <c r="E359" s="84" t="str">
        <f>IFERROR(E15/E191,"")</f>
        <v/>
      </c>
      <c r="F359" s="84" t="str">
        <f>IFERROR(F15/F191,"")</f>
        <v/>
      </c>
      <c r="G359" s="84" t="str">
        <f>IFERROR(G15/G191,"")</f>
        <v/>
      </c>
      <c r="H359" s="262" t="str">
        <f>IFERROR(IF(AND(COUNT(H15)=1,N(H191)&lt;&gt;0),(H15)/H191,""),"")</f>
        <v/>
      </c>
      <c r="I359" s="264" t="str">
        <f>""</f>
        <v/>
      </c>
      <c r="J359" s="264" t="str">
        <f>""</f>
        <v/>
      </c>
      <c r="K359" s="264" t="str">
        <f>""</f>
        <v/>
      </c>
      <c r="L359" s="264">
        <f>IFERROR(IF(AND(COUNT(I15,J15,K15,L15)=4,N(L191)&lt;&gt;0),(I15+J15+K15+L15)/L191,""),"")</f>
        <v>0.66609999945497</v>
      </c>
      <c r="M359" s="262">
        <f>IFERROR(IF(AND(COUNT(I15,J15,K15,L15)=4,N(M191)&lt;&gt;0),(I15+J15+K15+L15)/M191,""),"")</f>
        <v>0.66609999945497</v>
      </c>
      <c r="N359" s="264">
        <f>IFERROR(IF(AND(COUNT(J15,K15,L15,N15)=4,N(N191)&lt;&gt;0),(J15+K15+L15+N15)/N191,""),"")</f>
        <v>0.67067555061333</v>
      </c>
      <c r="O359" s="264">
        <f>IFERROR(IF(AND(COUNT(K15,L15,N15,O15)=4,N(O191)&lt;&gt;0),(K15+L15+N15+O15)/O191,""),"")</f>
        <v>0.669472859608981</v>
      </c>
      <c r="P359" s="264">
        <f>IFERROR(IF(AND(COUNT(L15,N15,O15,P15)=4,N(P191)&lt;&gt;0),(L15+N15+O15+P15)/P191,""),"")</f>
        <v>0.661719256097286</v>
      </c>
      <c r="Q359" s="264">
        <f>IFERROR(IF(AND(COUNT(N15,O15,P15,Q15)=4,N(Q191)&lt;&gt;0),(N15+O15+P15+Q15)/Q191,""),"")</f>
        <v>0.650595759609347</v>
      </c>
      <c r="R359" s="262">
        <f>IFERROR(IF(AND(COUNT(N15,O15,P15,Q15)=4,N(R191)&lt;&gt;0),(N15+O15+P15+Q15)/R191,""),"")</f>
        <v>0.650595759609347</v>
      </c>
      <c r="S359" s="264">
        <f>IFERROR(IF(AND(COUNT(O15,P15,Q15,S15)=4,N(S191)&lt;&gt;0),(O15+P15+Q15+S15)/S191,""),"")</f>
        <v>0.64475780073871</v>
      </c>
      <c r="T359" s="264">
        <f>IFERROR(IF(AND(COUNT(P15,Q15,S15,T15)=4,N(T191)&lt;&gt;0),(P15+Q15+S15+T15)/T191,""),"")</f>
        <v>0.632192907349014</v>
      </c>
      <c r="U359" s="264">
        <f>IFERROR(IF(AND(COUNT(Q15,S15,T15,U15)=4,N(U191)&lt;&gt;0),(Q15+S15+T15+U15)/U191,""),"")</f>
        <v>0.661441286179048</v>
      </c>
      <c r="V359" s="264">
        <f>IFERROR(IF(AND(COUNT(S15,T15,U15,V15)=4,N(V191)&lt;&gt;0),(S15+T15+U15+V15)/V191,""),"")</f>
        <v>0.692015565462623</v>
      </c>
      <c r="W359" s="262">
        <f>IFERROR(IF(AND(COUNT(S15,T15,U15,V15)=4,N(W191)&lt;&gt;0),(S15+T15+U15+V15)/W191,""),"")</f>
        <v>0.692015565462623</v>
      </c>
      <c r="X359" s="264">
        <f>IFERROR(IF(AND(COUNT(T15,U15,V15,X15)=4,N(X191)&lt;&gt;0),(T15+U15+V15+X15)/X191,""),"")</f>
        <v>0.715418071631891</v>
      </c>
      <c r="Y359" s="264">
        <f>IFERROR(IF(AND(COUNT(U15,V15,X15,Y15)=4,N(Y191)&lt;&gt;0),(U15+V15+X15+Y15)/Y191,""),"")</f>
        <v>0.739410591623294</v>
      </c>
      <c r="Z359" s="264">
        <f>IFERROR(IF(AND(COUNT(V15,X15,Y15,Z15)=4,N(Z191)&lt;&gt;0),(V15+X15+Y15+Z15)/Z191,""),"")</f>
        <v>0.718935583067805</v>
      </c>
      <c r="AA359" s="264">
        <f>IFERROR(IF(AND(COUNT(X15,Y15,Z15,AA15)=4,N(AA191)&lt;&gt;0),(X15+Y15+Z15+AA15)/AA191,""),"")</f>
        <v>0.727217863518908</v>
      </c>
      <c r="AB359" s="262">
        <f>IFERROR(IF(AND(COUNT(X15,Y15,Z15,AA15)=4,N(AB191)&lt;&gt;0),(X15+Y15+Z15+AA15)/AB191,""),"")</f>
        <v>0.727217863518908</v>
      </c>
      <c r="AC359" s="264">
        <f>IFERROR(IF(AND(COUNT(Y15,Z15,AA15,AC15)=4,N(AC191)&lt;&gt;0),(Y15+Z15+AA15+AC15)/AC191,""),"")</f>
        <v>0.771264044885578</v>
      </c>
      <c r="AD359" s="264">
        <f>IFERROR(IF(AND(COUNT(Z15,AA15,AC15,AD15)=4,N(AD191)&lt;&gt;0),(Z15+AA15+AC15+AD15)/AD191,""),"")</f>
        <v>0.78518732246592</v>
      </c>
      <c r="AE359" s="264">
        <f>IFERROR(IF(AND(COUNT(AA15,AC15,AD15,AE15)=4,N(AE191)&lt;&gt;0),(AA15+AC15+AD15+AE15)/AE191,""),"")</f>
        <v>0.789640798957529</v>
      </c>
      <c r="AF359" s="264">
        <f>IFERROR(IF(AND(COUNT(AB15,AD15,AE15,AF15)=4,N(AF191)&lt;&gt;0),(AB15+AD15+AE15+AF15)/AF191,""),"")</f>
        <v>1.32455366785754</v>
      </c>
      <c r="AG359" s="262">
        <f>IFERROR(IF(AND(COUNT(AC15,AD15,AE15,AF15)=4,N(AG191)&lt;&gt;0),(AC15+AD15+AE15+AF15)/AG191,""),"")</f>
        <v>0.812688484789097</v>
      </c>
      <c r="AH359" s="264">
        <f>IFERROR(IF(AND(COUNT(AD15,AF15,AG15,AH15)=4,N(AH191)&lt;&gt;0),(AD15+AF15+AG15+AH15)/AH191,""),"")</f>
        <v>1.32035588289311</v>
      </c>
      <c r="AI359" s="264">
        <f>IFERROR(IF(AND(COUNT(AE15,AG15,AH15,AI15)=4,N(AI191)&lt;&gt;0),(AE15+AG15+AH15+AI15)/AI191,""),"")</f>
        <v>1.39439560430348</v>
      </c>
      <c r="AJ359" s="264">
        <f>IFERROR(IF(AND(COUNT(AF15,AH15,AI15,AJ15)=4,N(AJ191)&lt;&gt;0),(AF15+AH15+AI15+AJ15)/AJ191,""),"")</f>
        <v>0.796558583746074</v>
      </c>
      <c r="AK359" s="264">
        <f>IFERROR(IF(AND(COUNT(AH15,AI15,AJ15,AK15)=4,N(AK191)&lt;&gt;0),(AH15+AI15+AJ15+AK15)/AK191,""),"")</f>
        <v>0.768126504374781</v>
      </c>
      <c r="AL359" s="262">
        <f>IFERROR(IF(AND(COUNT(AH15,AI15,AJ15,AK15)=4,N(AL191)&lt;&gt;0),(AH15+AI15+AJ15+AK15)/AL191,""),"")</f>
        <v>0.768126504374781</v>
      </c>
      <c r="AM359" s="264">
        <f>IFERROR(IF(AND(COUNT(AI15,AJ15,AK15,AM15)=4,N(AM191)&lt;&gt;0),(AI15+AJ15+AK15+AM15)/AM191,""),"")</f>
        <v>0.742305745604457</v>
      </c>
      <c r="AN359" s="264">
        <f>IFERROR(IF(AND(COUNT(AJ15,AK15,AM15,AN15)=4,N(AN191)&lt;&gt;0),(AJ15+AK15+AM15+AN15)/AN191,""),"")</f>
        <v>0.718651865644312</v>
      </c>
      <c r="AO359" s="264">
        <f>IFERROR(IF(AND(COUNT(AK15,AM15,AN15,AO15)=4,N(AO191)&lt;&gt;0),(AK15+AM15+AN15+AO15)/AO191,""),"")</f>
        <v>0.695914251602478</v>
      </c>
      <c r="AP359" s="264">
        <f>IFERROR(IF(AND(COUNT(AM15,AN15,AO15,AP15)=4,N(AP191)&lt;&gt;0),(AM15+AN15+AO15+AP15)/AP191,""),"")</f>
        <v>0.674403176310046</v>
      </c>
      <c r="AQ359" s="262">
        <f>IFERROR(IF(AND(COUNT(AM15,AN15,AO15,AP15)=4,N(AQ191)&lt;&gt;0),(AM15+AN15+AO15+AP15)/AQ191,""),"")</f>
        <v>0.674403176310046</v>
      </c>
      <c r="AR359" s="264">
        <f>IFERROR(IF(AND(COUNT(AN15,AO15,AP15,AR15)=4,N(AR191)&lt;&gt;0),(AN15+AO15+AP15+AR15)/AR191,""),"")</f>
        <v>0.65411408218173</v>
      </c>
      <c r="AS359" s="264">
        <f>IFERROR(IF(AND(COUNT(AO15,AP15,AR15,AS15)=4,N(AS191)&lt;&gt;0),(AO15+AP15+AR15+AS15)/AS191,""),"")</f>
        <v>0.634917862222175</v>
      </c>
      <c r="AT359" s="264">
        <f>IFERROR(IF(AND(COUNT(AP15,AR15,AS15,AT15)=4,N(AT191)&lt;&gt;0),(AP15+AR15+AS15+AT15)/AT191,""),"")</f>
        <v>0.616238448764695</v>
      </c>
      <c r="AU359" s="264">
        <f>IFERROR(IF(AND(COUNT(AR15,AS15,AT15,AU15)=4,N(AU191)&lt;&gt;0),(AR15+AS15+AT15+AU15)/AU191,""),"")</f>
        <v>0.598249196959224</v>
      </c>
      <c r="AV359" s="262">
        <f>IFERROR(IF(AND(COUNT(AR15,AS15,AT15,AU15)=4,N(AV191)&lt;&gt;0),(AR15+AS15+AT15+AU15)/AV191,""),"")</f>
        <v>0.598249196959224</v>
      </c>
      <c r="AW359" s="264">
        <f>IFERROR(IF(AND(COUNT(AS15,AT15,AU15,AW15)=4,N(AW191)&lt;&gt;0),(AS15+AT15+AU15+AW15)/AW191,""),"")</f>
        <v>0.580950847570999</v>
      </c>
      <c r="AX359" s="264">
        <f>IFERROR(IF(AND(COUNT(AT15,AU15,AW15,AX15)=4,N(AX191)&lt;&gt;0),(AT15+AU15+AW15+AX15)/AX191,""),"")</f>
        <v>0.564380920556701</v>
      </c>
      <c r="AY359" s="264">
        <f>IFERROR(IF(AND(COUNT(AU15,AW15,AX15,AY15)=4,N(AY191)&lt;&gt;0),(AU15+AW15+AX15+AY15)/AY191,""),"")</f>
        <v>0.547993872165193</v>
      </c>
      <c r="AZ359" s="264">
        <f>IFERROR(IF(AND(COUNT(AW15,AX15,AY15,AZ15)=4,N(AZ191)&lt;&gt;0),(AW15+AX15+AY15+AZ15)/AZ191,""),"")</f>
        <v>0.531993464987404</v>
      </c>
      <c r="BA359" s="262">
        <f>IFERROR(IF(AND(COUNT(AW15,AX15,AY15,AZ15)=4,N(BA191)&lt;&gt;0),(AW15+AX15+AY15+AZ15)/BA191,""),"")</f>
        <v>0.531993464987404</v>
      </c>
      <c r="BB359" s="264">
        <f>IFERROR(IF(AND(COUNT(AX15,AY15,AZ15,BB15)=4,N(BB191)&lt;&gt;0),(AX15+AY15+AZ15+BB15)/BB191,""),"")</f>
        <v>0.516443177702919</v>
      </c>
      <c r="BC359" s="264">
        <f>IFERROR(IF(AND(COUNT(AY15,AZ15,BB15,BC15)=4,N(BC191)&lt;&gt;0),(AY15+AZ15+BB15+BC15)/BC191,""),"")</f>
        <v>0.501303996587289</v>
      </c>
      <c r="BD359" s="264">
        <f>IFERROR(IF(AND(COUNT(AZ15,BB15,BC15,BD15)=4,N(BD191)&lt;&gt;0),(AZ15+BB15+BC15+BD15)/BD191,""),"")</f>
        <v>0.486226671667255</v>
      </c>
      <c r="BE359" s="264">
        <f>IFERROR(IF(AND(COUNT(BB15,BC15,BD15,BE15)=4,N(BE191)&lt;&gt;0),(BB15+BC15+BD15+BE15)/BE191,""),"")</f>
        <v>0.471371214817559</v>
      </c>
      <c r="BF359" s="262">
        <f>IFERROR(IF(AND(COUNT(BB15,BC15,BD15,BE15)=4,N(BF191)&lt;&gt;0),(BB15+BC15+BD15+BE15)/BF191,""),"")</f>
        <v>0.471371214817559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 customFormat="1" s="77">
      <c r="A360" s="76" t="n"/>
      <c r="B360" s="76" t="n"/>
      <c r="C360" s="77" t="inlineStr">
        <is>
          <t>EQUITY MULTIPLIER (ASSETS / EQUITY)</t>
        </is>
      </c>
      <c r="D360" s="84" t="str">
        <f>IFERROR(D191/D265,"")</f>
        <v/>
      </c>
      <c r="E360" s="84" t="str">
        <f>IFERROR(E191/E265,"")</f>
        <v/>
      </c>
      <c r="F360" s="84" t="str">
        <f>IFERROR(F191/F265,"")</f>
        <v/>
      </c>
      <c r="G360" s="84" t="str">
        <f>IFERROR(G191/G265,"")</f>
        <v/>
      </c>
      <c r="H360" s="262" t="str">
        <f>IFERROR(IF(N(H265)&lt;&gt;0,H191/H265,""),"")</f>
        <v/>
      </c>
      <c r="I360" s="264">
        <f>IFERROR(IF(N(I265)&lt;&gt;0,I191/I265,""),"")</f>
        <v>3.11415436725013</v>
      </c>
      <c r="J360" s="264">
        <f>IFERROR(IF(N(J265)&lt;&gt;0,J191/J265,""),"")</f>
        <v>2.95523299372881</v>
      </c>
      <c r="K360" s="264">
        <f>IFERROR(IF(N(K265)&lt;&gt;0,K191/K265,""),"")</f>
        <v>2.79078849964057</v>
      </c>
      <c r="L360" s="264">
        <f>IFERROR(IF(N(L265)&lt;&gt;0,L191/L265,""),"")</f>
        <v>2.81304595650216</v>
      </c>
      <c r="M360" s="262">
        <f>IFERROR(IF(N(M265)&lt;&gt;0,M191/M265,""),"")</f>
        <v>2.81304595650216</v>
      </c>
      <c r="N360" s="264">
        <f>IFERROR(IF(N(N265)&lt;&gt;0,N191/N265,""),"")</f>
        <v>2.58383511345363</v>
      </c>
      <c r="O360" s="264">
        <f>IFERROR(IF(N(O265)&lt;&gt;0,O191/O265,""),"")</f>
        <v>2.42980699176881</v>
      </c>
      <c r="P360" s="264">
        <f>IFERROR(IF(N(P265)&lt;&gt;0,P191/P265,""),"")</f>
        <v>2.31692616491674</v>
      </c>
      <c r="Q360" s="264">
        <f>IFERROR(IF(N(Q265)&lt;&gt;0,Q191/Q265,""),"")</f>
        <v>2.33882803725067</v>
      </c>
      <c r="R360" s="262">
        <f>IFERROR(IF(N(R265)&lt;&gt;0,R191/R265,""),"")</f>
        <v>2.33882803725067</v>
      </c>
      <c r="S360" s="264">
        <f>IFERROR(IF(N(S265)&lt;&gt;0,S191/S265,""),"")</f>
        <v>2.26726684147421</v>
      </c>
      <c r="T360" s="264">
        <f>IFERROR(IF(N(T265)&lt;&gt;0,T191/T265,""),"")</f>
        <v>2.22569176928301</v>
      </c>
      <c r="U360" s="264">
        <f>IFERROR(IF(N(U265)&lt;&gt;0,U191/U265,""),"")</f>
        <v>2.23912706687154</v>
      </c>
      <c r="V360" s="264">
        <f>IFERROR(IF(N(V265)&lt;&gt;0,V191/V265,""),"")</f>
        <v>2.36697353493703</v>
      </c>
      <c r="W360" s="262">
        <f>IFERROR(IF(N(W265)&lt;&gt;0,W191/W265,""),"")</f>
        <v>2.36697353493703</v>
      </c>
      <c r="X360" s="264">
        <f>IFERROR(IF(N(X265)&lt;&gt;0,X191/X265,""),"")</f>
        <v>2.28536316410497</v>
      </c>
      <c r="Y360" s="264">
        <f>IFERROR(IF(N(Y265)&lt;&gt;0,Y191/Y265,""),"")</f>
        <v>2.22039418717566</v>
      </c>
      <c r="Z360" s="264">
        <f>IFERROR(IF(N(Z265)&lt;&gt;0,Z191/Z265,""),"")</f>
        <v>2.30106295852388</v>
      </c>
      <c r="AA360" s="264">
        <f>IFERROR(IF(N(AA265)&lt;&gt;0,AA191/AA265,""),"")</f>
        <v>2.16744715909392</v>
      </c>
      <c r="AB360" s="262">
        <f>IFERROR(IF(N(AB265)&lt;&gt;0,AB191/AB265,""),"")</f>
        <v>2.16744715909392</v>
      </c>
      <c r="AC360" s="264">
        <f>IFERROR(IF(N(AC265)&lt;&gt;0,AC191/AC265,""),"")</f>
        <v>2.16778282636315</v>
      </c>
      <c r="AD360" s="264">
        <f>IFERROR(IF(N(AD265)&lt;&gt;0,AD191/AD265,""),"")</f>
        <v>2.1280810731079</v>
      </c>
      <c r="AE360" s="264">
        <f>IFERROR(IF(N(AE265)&lt;&gt;0,AE191/AE265,""),"")</f>
        <v>2.11662020953582</v>
      </c>
      <c r="AF360" s="264">
        <f>IFERROR(IF(N(AF265)&lt;&gt;0,AF191/AF265,""),"")</f>
        <v>2.08889624717758</v>
      </c>
      <c r="AG360" s="262">
        <f>IFERROR(IF(N(AG265)&lt;&gt;0,AG191/AG265,""),"")</f>
        <v>2.08889624717758</v>
      </c>
      <c r="AH360" s="264">
        <f>IFERROR(IF(N(AH265)&lt;&gt;0,AH191/AH265,""),"")</f>
        <v>1.96026254113108</v>
      </c>
      <c r="AI360" s="264">
        <f>IFERROR(IF(N(AI265)&lt;&gt;0,AI191/AI265,""),"")</f>
        <v>1.9385228242509</v>
      </c>
      <c r="AJ360" s="264">
        <f>IFERROR(IF(N(AJ265)&lt;&gt;0,AJ191/AJ265,""),"")</f>
        <v>1.8455092413356</v>
      </c>
      <c r="AK360" s="264">
        <f>IFERROR(IF(N(AK265)&lt;&gt;0,AK191/AK265,""),"")</f>
        <v>1.76970792202275</v>
      </c>
      <c r="AL360" s="262">
        <f>IFERROR(IF(N(AL265)&lt;&gt;0,AL191/AL265,""),"")</f>
        <v>1.76970792202275</v>
      </c>
      <c r="AM360" s="264">
        <f>IFERROR(IF(N(AM265)&lt;&gt;0,AM191/AM265,""),"")</f>
        <v>1.70952847791093</v>
      </c>
      <c r="AN360" s="264">
        <f>IFERROR(IF(N(AN265)&lt;&gt;0,AN191/AN265,""),"")</f>
        <v>1.66039314454948</v>
      </c>
      <c r="AO360" s="264">
        <f>IFERROR(IF(N(AO265)&lt;&gt;0,AO191/AO265,""),"")</f>
        <v>1.61942138609765</v>
      </c>
      <c r="AP360" s="264">
        <f>IFERROR(IF(N(AP265)&lt;&gt;0,AP191/AP265,""),"")</f>
        <v>1.58535287733581</v>
      </c>
      <c r="AQ360" s="262">
        <f>IFERROR(IF(N(AQ265)&lt;&gt;0,AQ191/AQ265,""),"")</f>
        <v>1.58535287733581</v>
      </c>
      <c r="AR360" s="264">
        <f>IFERROR(IF(N(AR265)&lt;&gt;0,AR191/AR265,""),"")</f>
        <v>1.55766859633711</v>
      </c>
      <c r="AS360" s="264">
        <f>IFERROR(IF(N(AS265)&lt;&gt;0,AS191/AS265,""),"")</f>
        <v>1.53565574047975</v>
      </c>
      <c r="AT360" s="264">
        <f>IFERROR(IF(N(AT265)&lt;&gt;0,AT191/AT265,""),"")</f>
        <v>1.51768403305302</v>
      </c>
      <c r="AU360" s="264">
        <f>IFERROR(IF(N(AU265)&lt;&gt;0,AU191/AU265,""),"")</f>
        <v>1.50349832534636</v>
      </c>
      <c r="AV360" s="262">
        <f>IFERROR(IF(N(AV265)&lt;&gt;0,AV191/AV265,""),"")</f>
        <v>1.50349832534636</v>
      </c>
      <c r="AW360" s="264">
        <f>IFERROR(IF(N(AW265)&lt;&gt;0,AW191/AW265,""),"")</f>
        <v>1.49304692809203</v>
      </c>
      <c r="AX360" s="264">
        <f>IFERROR(IF(N(AX265)&lt;&gt;0,AX191/AX265,""),"")</f>
        <v>1.48604494406623</v>
      </c>
      <c r="AY360" s="264">
        <f>IFERROR(IF(N(AY265)&lt;&gt;0,AY191/AY265,""),"")</f>
        <v>1.48198492810359</v>
      </c>
      <c r="AZ360" s="264">
        <f>IFERROR(IF(N(AZ265)&lt;&gt;0,AZ191/AZ265,""),"")</f>
        <v>1.48067918016619</v>
      </c>
      <c r="BA360" s="262">
        <f>IFERROR(IF(N(BA265)&lt;&gt;0,BA191/BA265,""),"")</f>
        <v>1.48067918016619</v>
      </c>
      <c r="BB360" s="264">
        <f>IFERROR(IF(N(BB265)&lt;&gt;0,BB191/BB265,""),"")</f>
        <v>1.48198424636527</v>
      </c>
      <c r="BC360" s="264">
        <f>IFERROR(IF(N(BC265)&lt;&gt;0,BC191/BC265,""),"")</f>
        <v>1.48620002869983</v>
      </c>
      <c r="BD360" s="264">
        <f>IFERROR(IF(N(BD265)&lt;&gt;0,BD191/BD265,""),"")</f>
        <v>1.49297960110553</v>
      </c>
      <c r="BE360" s="264">
        <f>IFERROR(IF(N(BE265)&lt;&gt;0,BE191/BE265,""),"")</f>
        <v>1.50227027437456</v>
      </c>
      <c r="BF360" s="262">
        <f>IFERROR(IF(N(BF265)&lt;&gt;0,BF191/BF265,""),"")</f>
        <v>1.50227027437456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 customFormat="1" s="77">
      <c r="A361" s="76" t="n"/>
      <c r="B361" s="76" t="n"/>
      <c r="C361" s="77" t="inlineStr">
        <is>
          <t>ROE - DUPONT</t>
        </is>
      </c>
      <c r="D361" s="84">
        <f>IFERROR(PRODUCT(D358:D360),"")</f>
        <v>0</v>
      </c>
      <c r="E361" s="84">
        <f>IFERROR(PRODUCT(E358:E360),"")</f>
        <v>0</v>
      </c>
      <c r="F361" s="84">
        <f>IFERROR(PRODUCT(F358:F360),"")</f>
        <v>0</v>
      </c>
      <c r="G361" s="84">
        <f>IFERROR(PRODUCT(G358:G360),"")</f>
        <v>0</v>
      </c>
      <c r="H361" s="258" t="str">
        <f>IFERROR(IF(COUNT(H358,H359,H360)=3,H358*H359*H360,""),"")</f>
        <v/>
      </c>
      <c r="I361" s="257" t="str">
        <f>IFERROR(IF(COUNT(I358,I359,I360)=3,I358*I359*I360,""),"")</f>
        <v/>
      </c>
      <c r="J361" s="257" t="str">
        <f>IFERROR(IF(COUNT(J358,J359,J360)=3,J358*J359*J360,""),"")</f>
        <v/>
      </c>
      <c r="K361" s="257" t="str">
        <f>IFERROR(IF(COUNT(K358,K359,K360)=3,K358*K359*K360,""),"")</f>
        <v/>
      </c>
      <c r="L361" s="257">
        <f>IFERROR(IF(COUNT(L358,L359,L360)=3,L358*L359*L360,""),"")</f>
        <v>0.322805725546095</v>
      </c>
      <c r="M361" s="258">
        <f>IFERROR(IF(COUNT(M358,M359,M360)=3,M358*M359*M360,""),"")</f>
        <v>0.322805725546095</v>
      </c>
      <c r="N361" s="257">
        <f>IFERROR(IF(COUNT(N358,N359,N360)=3,N358*N359*N360,""),"")</f>
        <v>0.285393802419158</v>
      </c>
      <c r="O361" s="257">
        <f>IFERROR(IF(COUNT(O358,O359,O360)=3,O358*O359*O360,""),"")</f>
        <v>0.267084553585573</v>
      </c>
      <c r="P361" s="257">
        <f>IFERROR(IF(COUNT(P358,P359,P360)=3,P358*P359*P360,""),"")</f>
        <v>0.2457148457817</v>
      </c>
      <c r="Q361" s="257">
        <f>IFERROR(IF(COUNT(Q358,Q359,Q360)=3,Q358*Q359*Q360,""),"")</f>
        <v>0.216192775987719</v>
      </c>
      <c r="R361" s="258">
        <f>IFERROR(IF(COUNT(R358,R359,R360)=3,R358*R359*R360,""),"")</f>
        <v>0.216192775987719</v>
      </c>
      <c r="S361" s="257">
        <f>IFERROR(IF(COUNT(S358,S359,S360)=3,S358*S359*S360,""),"")</f>
        <v>0.192393223883458</v>
      </c>
      <c r="T361" s="257">
        <f>IFERROR(IF(COUNT(T358,T359,T360)=3,T358*T359*T360,""),"")</f>
        <v>0.185976524835632</v>
      </c>
      <c r="U361" s="257">
        <f>IFERROR(IF(COUNT(U358,U359,U360)=3,U358*U359*U360,""),"")</f>
        <v>0.2047002149982</v>
      </c>
      <c r="V361" s="257">
        <f>IFERROR(IF(COUNT(V358,V359,V360)=3,V358*V359*V360,""),"")</f>
        <v>0.262672808597771</v>
      </c>
      <c r="W361" s="258">
        <f>IFERROR(IF(COUNT(W358,W359,W360)=3,W358*W359*W360,""),"")</f>
        <v>0.262672808597771</v>
      </c>
      <c r="X361" s="257">
        <f>IFERROR(IF(COUNT(X358,X359,X360)=3,X358*X359*X360,""),"")</f>
        <v>0.3011914585304</v>
      </c>
      <c r="Y361" s="257">
        <f>IFERROR(IF(COUNT(Y358,Y359,Y360)=3,Y358*Y359*Y360,""),"")</f>
        <v>0.320846266892956</v>
      </c>
      <c r="Z361" s="257">
        <f>IFERROR(IF(COUNT(Z358,Z359,Z360)=3,Z358*Z359*Z360,""),"")</f>
        <v>0.34245642394683</v>
      </c>
      <c r="AA361" s="257">
        <f>IFERROR(IF(COUNT(AA358,AA359,AA360)=3,AA358*AA359*AA360,""),"")</f>
        <v>0.352076602375074</v>
      </c>
      <c r="AB361" s="258">
        <f>IFERROR(IF(COUNT(AB358,AB359,AB360)=3,AB358*AB359*AB360,""),"")</f>
        <v>0.352076602375074</v>
      </c>
      <c r="AC361" s="257">
        <f>IFERROR(IF(COUNT(AC358,AC359,AC360)=3,AC358*AC359*AC360,""),"")</f>
        <v>0.385789280730086</v>
      </c>
      <c r="AD361" s="257">
        <f>IFERROR(IF(COUNT(AD358,AD359,AD360)=3,AD358*AD359*AD360,""),"")</f>
        <v>0.410705413644068</v>
      </c>
      <c r="AE361" s="257">
        <f>IFERROR(IF(COUNT(AE358,AE359,AE360)=3,AE358*AE359*AE360,""),"")</f>
        <v>0.40191388352524</v>
      </c>
      <c r="AF361" s="257">
        <f>IFERROR(IF(COUNT(AF358,AF359,AF360)=3,AF358*AF359*AF360,""),"")</f>
        <v>0.631304637360021</v>
      </c>
      <c r="AG361" s="258">
        <f>IFERROR(IF(COUNT(AG358,AG359,AG360)=3,AG358*AG359*AG360,""),"")</f>
        <v>0.41258687422902</v>
      </c>
      <c r="AH361" s="257">
        <f>IFERROR(IF(COUNT(AH358,AH359,AH360)=3,AH358*AH359*AH360,""),"")</f>
        <v>0.700624765492468</v>
      </c>
      <c r="AI361" s="257">
        <f>IFERROR(IF(COUNT(AI358,AI359,AI360)=3,AI358*AI359*AI360,""),"")</f>
        <v>0.736676959830131</v>
      </c>
      <c r="AJ361" s="257">
        <f>IFERROR(IF(COUNT(AJ358,AJ359,AJ360)=3,AJ358*AJ359*AJ360,""),"")</f>
        <v>0.441600427151731</v>
      </c>
      <c r="AK361" s="257">
        <f>IFERROR(IF(COUNT(AK358,AK359,AK360)=3,AK358*AK359*AK360,""),"")</f>
        <v>0.438929249072541</v>
      </c>
      <c r="AL361" s="258">
        <f>IFERROR(IF(COUNT(AL358,AL359,AL360)=3,AL358*AL359*AL360,""),"")</f>
        <v>0.438929249072541</v>
      </c>
      <c r="AM361" s="257">
        <f>IFERROR(IF(COUNT(AM358,AM359,AM360)=3,AM358*AM359*AM360,""),"")</f>
        <v>0.370260765383179</v>
      </c>
      <c r="AN361" s="257">
        <f>IFERROR(IF(COUNT(AN358,AN359,AN360)=3,AN358*AN359*AN360,""),"")</f>
        <v>0.355757252935328</v>
      </c>
      <c r="AO361" s="257">
        <f>IFERROR(IF(COUNT(AO358,AO359,AO360)=3,AO358*AO359*AO360,""),"")</f>
        <v>0.336000462166585</v>
      </c>
      <c r="AP361" s="257">
        <f>IFERROR(IF(COUNT(AP358,AP359,AP360)=3,AP358*AP359*AP360,""),"")</f>
        <v>0.318764409799764</v>
      </c>
      <c r="AQ361" s="258">
        <f>IFERROR(IF(COUNT(AQ358,AQ359,AQ360)=3,AQ358*AQ359*AQ360,""),"")</f>
        <v>0.318764409799764</v>
      </c>
      <c r="AR361" s="257">
        <f>IFERROR(IF(COUNT(AR358,AR359,AR360)=3,AR358*AR359*AR360,""),"")</f>
        <v>0.303775565013774</v>
      </c>
      <c r="AS361" s="257">
        <f>IFERROR(IF(COUNT(AS358,AS359,AS360)=3,AS358*AS359*AS360,""),"")</f>
        <v>0.290693744932644</v>
      </c>
      <c r="AT361" s="257">
        <f>IFERROR(IF(COUNT(AT358,AT359,AT360)=3,AT358*AT359*AT360,""),"")</f>
        <v>0.278839586946081</v>
      </c>
      <c r="AU361" s="257">
        <f>IFERROR(IF(COUNT(AU358,AU359,AU360)=3,AU358*AU359*AU360,""),"")</f>
        <v>0.268169478243003</v>
      </c>
      <c r="AV361" s="258">
        <f>IFERROR(IF(COUNT(AV358,AV359,AV360)=3,AV358*AV359*AV360,""),"")</f>
        <v>0.268169478243003</v>
      </c>
      <c r="AW361" s="257">
        <f>IFERROR(IF(COUNT(AW358,AW359,AW360)=3,AW358*AW359*AW360,""),"")</f>
        <v>0.25860512173646</v>
      </c>
      <c r="AX361" s="257">
        <f>IFERROR(IF(COUNT(AX358,AX359,AX360)=3,AX358*AX359*AX360,""),"")</f>
        <v>0.250050969100245</v>
      </c>
      <c r="AY361" s="257">
        <f>IFERROR(IF(COUNT(AY358,AY359,AY360)=3,AY358*AY359*AY360,""),"")</f>
        <v>0.242127302110041</v>
      </c>
      <c r="AZ361" s="257">
        <f>IFERROR(IF(COUNT(AZ358,AZ359,AZ360)=3,AZ358*AZ359*AZ360,""),"")</f>
        <v>0.234850528185095</v>
      </c>
      <c r="BA361" s="258">
        <f>IFERROR(IF(COUNT(BA358,BA359,BA360)=3,BA358*BA359*BA360,""),"")</f>
        <v>0.234850528185095</v>
      </c>
      <c r="BB361" s="257">
        <f>IFERROR(IF(COUNT(BB358,BB359,BB360)=3,BB358*BB359*BB360,""),"")</f>
        <v>0.22818674101856</v>
      </c>
      <c r="BC361" s="257">
        <f>IFERROR(IF(COUNT(BC358,BC359,BC360)=3,BC358*BC359*BC360,""),"")</f>
        <v>0.222127693132383</v>
      </c>
      <c r="BD361" s="257">
        <f>IFERROR(IF(COUNT(BD358,BD359,BD360)=3,BD358*BD359*BD360,""),"")</f>
        <v>0.216429734171119</v>
      </c>
      <c r="BE361" s="257">
        <f>IFERROR(IF(COUNT(BE358,BE359,BE360)=3,BE358*BE359*BE360,""),"")</f>
        <v>0.211122930677514</v>
      </c>
      <c r="BF361" s="258">
        <f>IFERROR(IF(COUNT(BF358,BF359,BF360)=3,BF358*BF359*BF360,""),"")</f>
        <v>0.211122930677514</v>
      </c>
      <c r="BG361" s="81" t="n"/>
      <c r="BH361" s="81" t="n"/>
      <c r="BI361" s="81" t="n"/>
      <c r="BJ361" s="81" t="n"/>
      <c r="BL361" s="81" t="n"/>
      <c r="BM361" s="81" t="n"/>
      <c r="BN361" s="81" t="n"/>
      <c r="BO361" s="81" t="n"/>
      <c r="BQ361" s="81" t="n"/>
      <c r="BR361" s="81" t="n"/>
      <c r="BS361" s="81" t="n"/>
      <c r="BT361" s="81" t="n"/>
      <c r="BV361" s="81" t="n"/>
      <c r="BW361" s="81" t="n"/>
      <c r="BX361" s="81" t="n"/>
      <c r="BY361" s="81" t="n"/>
      <c r="CA361" s="81" t="n"/>
      <c r="CB361" s="81" t="n"/>
      <c r="CC361" s="81" t="n"/>
      <c r="CD361" s="81" t="n"/>
      <c r="CF361" s="81" t="n"/>
      <c r="CG361" s="81" t="n"/>
      <c r="CH361" s="81" t="n"/>
      <c r="CI361" s="81" t="n"/>
      <c r="CK361" s="81" t="n"/>
      <c r="CL361" s="81" t="n"/>
      <c r="CM361" s="81" t="n"/>
      <c r="CN361" s="81" t="n"/>
      <c r="CP361" s="81" t="n"/>
      <c r="CQ361" s="81" t="n"/>
      <c r="CR361" s="81" t="n"/>
      <c r="CS361" s="81" t="n"/>
      <c r="CU361" s="81" t="n"/>
      <c r="CV361" s="81" t="n"/>
      <c r="CW361" s="81" t="n"/>
      <c r="CX361" s="81" t="n"/>
    </row>
    <row r="362" customFormat="1" s="77">
      <c r="A362" s="76" t="n"/>
      <c r="B362" s="76" t="n"/>
      <c r="C362" s="77" t="inlineStr">
        <is>
          <t>ROE (LTM)</t>
        </is>
      </c>
      <c r="D362" s="84" t="str">
        <f>IFERROR(D131/D265,"")</f>
        <v/>
      </c>
      <c r="E362" s="84" t="str">
        <f>IFERROR(E131/E265,"")</f>
        <v/>
      </c>
      <c r="F362" s="84" t="str">
        <f>IFERROR(F131/F265,"")</f>
        <v/>
      </c>
      <c r="G362" s="84" t="str">
        <f>IFERROR(G131/G265,"")</f>
        <v/>
      </c>
      <c r="H362" s="258" t="str">
        <f>IFERROR(IF(AND(COUNT(H131)=1,N(H265)&lt;&gt;0),(H131)/H265,""),"")</f>
        <v/>
      </c>
      <c r="I362" s="257" t="str">
        <f>""</f>
        <v/>
      </c>
      <c r="J362" s="257" t="str">
        <f>""</f>
        <v/>
      </c>
      <c r="K362" s="257" t="str">
        <f>""</f>
        <v/>
      </c>
      <c r="L362" s="257">
        <f>IFERROR(IF(AND(COUNT(I131,J131,K131,L131)=4,N(L265)&lt;&gt;0),(I131+J131+K131+L131)/L265,""),"")</f>
        <v>0.322805725546095</v>
      </c>
      <c r="M362" s="258">
        <f>IFERROR(IF(AND(COUNT(I131,J131,K131,L131)=4,N(M265)&lt;&gt;0),(I131+J131+K131+L131)/M265,""),"")</f>
        <v>0.322805725546095</v>
      </c>
      <c r="N362" s="257">
        <f>IFERROR(IF(AND(COUNT(J131,K131,L131,N131)=4,N(N265)&lt;&gt;0),(J131+K131+L131+N131)/N265,""),"")</f>
        <v>0.285393802419158</v>
      </c>
      <c r="O362" s="257">
        <f>IFERROR(IF(AND(COUNT(K131,L131,N131,O131)=4,N(O265)&lt;&gt;0),(K131+L131+N131+O131)/O265,""),"")</f>
        <v>0.267084553585573</v>
      </c>
      <c r="P362" s="257">
        <f>IFERROR(IF(AND(COUNT(L131,N131,O131,P131)=4,N(P265)&lt;&gt;0),(L131+N131+O131+P131)/P265,""),"")</f>
        <v>0.2457148457817</v>
      </c>
      <c r="Q362" s="257">
        <f>IFERROR(IF(AND(COUNT(N131,O131,P131,Q131)=4,N(Q265)&lt;&gt;0),(N131+O131+P131+Q131)/Q265,""),"")</f>
        <v>0.216192775987719</v>
      </c>
      <c r="R362" s="258">
        <f>IFERROR(IF(AND(COUNT(N131,O131,P131,Q131)=4,N(R265)&lt;&gt;0),(N131+O131+P131+Q131)/R265,""),"")</f>
        <v>0.216192775987719</v>
      </c>
      <c r="S362" s="257">
        <f>IFERROR(IF(AND(COUNT(O131,P131,Q131,S131)=4,N(S265)&lt;&gt;0),(O131+P131+Q131+S131)/S265,""),"")</f>
        <v>0.192393223883458</v>
      </c>
      <c r="T362" s="257">
        <f>IFERROR(IF(AND(COUNT(P131,Q131,S131,T131)=4,N(T265)&lt;&gt;0),(P131+Q131+S131+T131)/T265,""),"")</f>
        <v>0.185976524835632</v>
      </c>
      <c r="U362" s="257">
        <f>IFERROR(IF(AND(COUNT(Q131,S131,T131,U131)=4,N(U265)&lt;&gt;0),(Q131+S131+T131+U131)/U265,""),"")</f>
        <v>0.204700214998199</v>
      </c>
      <c r="V362" s="257">
        <f>IFERROR(IF(AND(COUNT(S131,T131,U131,V131)=4,N(V265)&lt;&gt;0),(S131+T131+U131+V131)/V265,""),"")</f>
        <v>0.262672808597771</v>
      </c>
      <c r="W362" s="258">
        <f>IFERROR(IF(AND(COUNT(S131,T131,U131,V131)=4,N(W265)&lt;&gt;0),(S131+T131+U131+V131)/W265,""),"")</f>
        <v>0.262672808597771</v>
      </c>
      <c r="X362" s="257">
        <f>IFERROR(IF(AND(COUNT(T131,U131,V131,X131)=4,N(X265)&lt;&gt;0),(T131+U131+V131+X131)/X265,""),"")</f>
        <v>0.3011914585304</v>
      </c>
      <c r="Y362" s="257">
        <f>IFERROR(IF(AND(COUNT(U131,V131,X131,Y131)=4,N(Y265)&lt;&gt;0),(U131+V131+X131+Y131)/Y265,""),"")</f>
        <v>0.320846266892956</v>
      </c>
      <c r="Z362" s="257">
        <f>IFERROR(IF(AND(COUNT(V131,X131,Y131,Z131)=4,N(Z265)&lt;&gt;0),(V131+X131+Y131+Z131)/Z265,""),"")</f>
        <v>0.34245642394683</v>
      </c>
      <c r="AA362" s="257">
        <f>IFERROR(IF(AND(COUNT(X131,Y131,Z131,AA131)=4,N(AA265)&lt;&gt;0),(X131+Y131+Z131+AA131)/AA265,""),"")</f>
        <v>0.352076602375074</v>
      </c>
      <c r="AB362" s="258">
        <f>IFERROR(IF(AND(COUNT(X131,Y131,Z131,AA131)=4,N(AB265)&lt;&gt;0),(X131+Y131+Z131+AA131)/AB265,""),"")</f>
        <v>0.352076602375074</v>
      </c>
      <c r="AC362" s="257">
        <f>IFERROR(IF(AND(COUNT(Y131,Z131,AA131,AC131)=4,N(AC265)&lt;&gt;0),(Y131+Z131+AA131+AC131)/AC265,""),"")</f>
        <v>0.385789280730086</v>
      </c>
      <c r="AD362" s="257">
        <f>IFERROR(IF(AND(COUNT(Z131,AA131,AC131,AD131)=4,N(AD265)&lt;&gt;0),(Z131+AA131+AC131+AD131)/AD265,""),"")</f>
        <v>0.410705413644068</v>
      </c>
      <c r="AE362" s="257">
        <f>IFERROR(IF(AND(COUNT(AA131,AC131,AD131,AE131)=4,N(AE265)&lt;&gt;0),(AA131+AC131+AD131+AE131)/AE265,""),"")</f>
        <v>0.40191388352524</v>
      </c>
      <c r="AF362" s="257">
        <f>IFERROR(IF(AND(COUNT(AB131,AD131,AE131,AF131)=4,N(AF265)&lt;&gt;0),(AB131+AD131+AE131+AF131)/AF265,""),"")</f>
        <v>0.631304637360021</v>
      </c>
      <c r="AG362" s="258">
        <f>IFERROR(IF(AND(COUNT(AC131,AD131,AE131,AF131)=4,N(AG265)&lt;&gt;0),(AC131+AD131+AE131+AF131)/AG265,""),"")</f>
        <v>0.41258687422902</v>
      </c>
      <c r="AH362" s="257">
        <f>IFERROR(IF(AND(COUNT(AD131,AF131,AG131,AH131)=4,N(AH265)&lt;&gt;0),(AD131+AF131+AG131+AH131)/AH265,""),"")</f>
        <v>0.700624765492468</v>
      </c>
      <c r="AI362" s="257">
        <f>IFERROR(IF(AND(COUNT(AE131,AG131,AH131,AI131)=4,N(AI265)&lt;&gt;0),(AE131+AG131+AH131+AI131)/AI265,""),"")</f>
        <v>0.736676959830131</v>
      </c>
      <c r="AJ362" s="257">
        <f>IFERROR(IF(AND(COUNT(AF131,AH131,AI131,AJ131)=4,N(AJ265)&lt;&gt;0),(AF131+AH131+AI131+AJ131)/AJ265,""),"")</f>
        <v>0.441600427151731</v>
      </c>
      <c r="AK362" s="257">
        <f>IFERROR(IF(AND(COUNT(AH131,AI131,AJ131,AK131)=4,N(AK265)&lt;&gt;0),(AH131+AI131+AJ131+AK131)/AK265,""),"")</f>
        <v>0.438929249072541</v>
      </c>
      <c r="AL362" s="258">
        <f>IFERROR(IF(AND(COUNT(AH131,AI131,AJ131,AK131)=4,N(AL265)&lt;&gt;0),(AH131+AI131+AJ131+AK131)/AL265,""),"")</f>
        <v>0.438929249072541</v>
      </c>
      <c r="AM362" s="257">
        <f>IFERROR(IF(AND(COUNT(AI131,AJ131,AK131,AM131)=4,N(AM265)&lt;&gt;0),(AI131+AJ131+AK131+AM131)/AM265,""),"")</f>
        <v>0.370260765383179</v>
      </c>
      <c r="AN362" s="257">
        <f>IFERROR(IF(AND(COUNT(AJ131,AK131,AM131,AN131)=4,N(AN265)&lt;&gt;0),(AJ131+AK131+AM131+AN131)/AN265,""),"")</f>
        <v>0.355757252935328</v>
      </c>
      <c r="AO362" s="257">
        <f>IFERROR(IF(AND(COUNT(AK131,AM131,AN131,AO131)=4,N(AO265)&lt;&gt;0),(AK131+AM131+AN131+AO131)/AO265,""),"")</f>
        <v>0.336000462166585</v>
      </c>
      <c r="AP362" s="257">
        <f>IFERROR(IF(AND(COUNT(AM131,AN131,AO131,AP131)=4,N(AP265)&lt;&gt;0),(AM131+AN131+AO131+AP131)/AP265,""),"")</f>
        <v>0.318764409799764</v>
      </c>
      <c r="AQ362" s="258">
        <f>IFERROR(IF(AND(COUNT(AM131,AN131,AO131,AP131)=4,N(AQ265)&lt;&gt;0),(AM131+AN131+AO131+AP131)/AQ265,""),"")</f>
        <v>0.318764409799764</v>
      </c>
      <c r="AR362" s="257">
        <f>IFERROR(IF(AND(COUNT(AN131,AO131,AP131,AR131)=4,N(AR265)&lt;&gt;0),(AN131+AO131+AP131+AR131)/AR265,""),"")</f>
        <v>0.303775565013774</v>
      </c>
      <c r="AS362" s="257">
        <f>IFERROR(IF(AND(COUNT(AO131,AP131,AR131,AS131)=4,N(AS265)&lt;&gt;0),(AO131+AP131+AR131+AS131)/AS265,""),"")</f>
        <v>0.290693744932644</v>
      </c>
      <c r="AT362" s="257">
        <f>IFERROR(IF(AND(COUNT(AP131,AR131,AS131,AT131)=4,N(AT265)&lt;&gt;0),(AP131+AR131+AS131+AT131)/AT265,""),"")</f>
        <v>0.278839586946081</v>
      </c>
      <c r="AU362" s="257">
        <f>IFERROR(IF(AND(COUNT(AR131,AS131,AT131,AU131)=4,N(AU265)&lt;&gt;0),(AR131+AS131+AT131+AU131)/AU265,""),"")</f>
        <v>0.268169478243003</v>
      </c>
      <c r="AV362" s="258">
        <f>IFERROR(IF(AND(COUNT(AR131,AS131,AT131,AU131)=4,N(AV265)&lt;&gt;0),(AR131+AS131+AT131+AU131)/AV265,""),"")</f>
        <v>0.268169478243003</v>
      </c>
      <c r="AW362" s="257">
        <f>IFERROR(IF(AND(COUNT(AS131,AT131,AU131,AW131)=4,N(AW265)&lt;&gt;0),(AS131+AT131+AU131+AW131)/AW265,""),"")</f>
        <v>0.25860512173646</v>
      </c>
      <c r="AX362" s="257">
        <f>IFERROR(IF(AND(COUNT(AT131,AU131,AW131,AX131)=4,N(AX265)&lt;&gt;0),(AT131+AU131+AW131+AX131)/AX265,""),"")</f>
        <v>0.250050969100245</v>
      </c>
      <c r="AY362" s="257">
        <f>IFERROR(IF(AND(COUNT(AU131,AW131,AX131,AY131)=4,N(AY265)&lt;&gt;0),(AU131+AW131+AX131+AY131)/AY265,""),"")</f>
        <v>0.242127302110041</v>
      </c>
      <c r="AZ362" s="257">
        <f>IFERROR(IF(AND(COUNT(AW131,AX131,AY131,AZ131)=4,N(AZ265)&lt;&gt;0),(AW131+AX131+AY131+AZ131)/AZ265,""),"")</f>
        <v>0.234850528185095</v>
      </c>
      <c r="BA362" s="258">
        <f>IFERROR(IF(AND(COUNT(AW131,AX131,AY131,AZ131)=4,N(BA265)&lt;&gt;0),(AW131+AX131+AY131+AZ131)/BA265,""),"")</f>
        <v>0.234850528185095</v>
      </c>
      <c r="BB362" s="257">
        <f>IFERROR(IF(AND(COUNT(AX131,AY131,AZ131,BB131)=4,N(BB265)&lt;&gt;0),(AX131+AY131+AZ131+BB131)/BB265,""),"")</f>
        <v>0.22818674101856</v>
      </c>
      <c r="BC362" s="257">
        <f>IFERROR(IF(AND(COUNT(AY131,AZ131,BB131,BC131)=4,N(BC265)&lt;&gt;0),(AY131+AZ131+BB131+BC131)/BC265,""),"")</f>
        <v>0.222127693132383</v>
      </c>
      <c r="BD362" s="257">
        <f>IFERROR(IF(AND(COUNT(AZ131,BB131,BC131,BD131)=4,N(BD265)&lt;&gt;0),(AZ131+BB131+BC131+BD131)/BD265,""),"")</f>
        <v>0.216429734171119</v>
      </c>
      <c r="BE362" s="257">
        <f>IFERROR(IF(AND(COUNT(BB131,BC131,BD131,BE131)=4,N(BE265)&lt;&gt;0),(BB131+BC131+BD131+BE131)/BE265,""),"")</f>
        <v>0.211122930677514</v>
      </c>
      <c r="BF362" s="258">
        <f>IFERROR(IF(AND(COUNT(BB131,BC131,BD131,BE131)=4,N(BF265)&lt;&gt;0),(BB131+BC131+BD131+BE131)/BF265,""),"")</f>
        <v>0.211122930677514</v>
      </c>
      <c r="BG362" s="81" t="n"/>
      <c r="BH362" s="81" t="n"/>
      <c r="BI362" s="81" t="n"/>
      <c r="BJ362" s="81" t="n"/>
      <c r="BL362" s="81" t="n"/>
      <c r="BM362" s="81" t="n"/>
      <c r="BN362" s="81" t="n"/>
      <c r="BO362" s="81" t="n"/>
      <c r="BQ362" s="81" t="n"/>
      <c r="BR362" s="81" t="n"/>
      <c r="BS362" s="81" t="n"/>
      <c r="BT362" s="81" t="n"/>
      <c r="BV362" s="81" t="n"/>
      <c r="BW362" s="81" t="n"/>
      <c r="BX362" s="81" t="n"/>
      <c r="BY362" s="81" t="n"/>
      <c r="CA362" s="81" t="n"/>
      <c r="CB362" s="81" t="n"/>
      <c r="CC362" s="81" t="n"/>
      <c r="CD362" s="81" t="n"/>
      <c r="CF362" s="81" t="n"/>
      <c r="CG362" s="81" t="n"/>
      <c r="CH362" s="81" t="n"/>
      <c r="CI362" s="81" t="n"/>
      <c r="CK362" s="81" t="n"/>
      <c r="CL362" s="81" t="n"/>
      <c r="CM362" s="81" t="n"/>
      <c r="CN362" s="81" t="n"/>
      <c r="CP362" s="81" t="n"/>
      <c r="CQ362" s="81" t="n"/>
      <c r="CR362" s="81" t="n"/>
      <c r="CS362" s="81" t="n"/>
      <c r="CU362" s="81" t="n"/>
      <c r="CV362" s="81" t="n"/>
      <c r="CW362" s="81" t="n"/>
      <c r="CX362" s="81" t="n"/>
    </row>
    <row r="363"/>
    <row r="364">
      <c r="C364" s="73" t="inlineStr">
        <is>
          <t>Scenario Analysis</t>
        </is>
      </c>
      <c r="D364" s="73" t="n"/>
      <c r="E364" s="73" t="n"/>
      <c r="F364" s="73" t="n"/>
      <c r="G364" s="73" t="n"/>
      <c r="H364" s="73" t="n"/>
      <c r="I364" s="73" t="n"/>
      <c r="J364" s="73" t="n"/>
      <c r="K364" s="73" t="n"/>
      <c r="L364" s="73" t="n"/>
      <c r="M364" s="73" t="n"/>
      <c r="N364" s="73" t="n"/>
      <c r="O364" s="73" t="n"/>
      <c r="P364" s="73" t="n"/>
      <c r="Q364" s="73" t="n"/>
      <c r="R364" s="73" t="n"/>
      <c r="S364" s="73" t="n"/>
      <c r="T364" s="73" t="n"/>
      <c r="U364" s="73" t="n"/>
      <c r="V364" s="73" t="n"/>
      <c r="W364" s="73" t="n"/>
      <c r="X364" s="73" t="n"/>
      <c r="Y364" s="73" t="n"/>
      <c r="Z364" s="73" t="n"/>
      <c r="AA364" s="73" t="n"/>
      <c r="AB364" s="73" t="n"/>
      <c r="AC364" s="73" t="n"/>
      <c r="AD364" s="73" t="n"/>
      <c r="AE364" s="73" t="n"/>
      <c r="AF364" s="73" t="n"/>
      <c r="AG364" s="73" t="n"/>
      <c r="AH364" s="73" t="n"/>
      <c r="AI364" s="73" t="n"/>
      <c r="AJ364" s="73" t="n"/>
      <c r="AK364" s="73" t="n"/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73" t="n"/>
      <c r="BR364" s="73" t="n"/>
      <c r="BS364" s="73" t="n"/>
      <c r="BT364" s="73" t="n"/>
      <c r="BU364" s="73" t="n"/>
      <c r="BV364" s="73" t="n"/>
      <c r="BW364" s="73" t="n"/>
      <c r="BX364" s="73" t="n"/>
      <c r="BY364" s="73" t="n"/>
      <c r="BZ364" s="73" t="n"/>
      <c r="CA364" s="73" t="n"/>
      <c r="CB364" s="73" t="n"/>
      <c r="CC364" s="73" t="n"/>
      <c r="CD364" s="73" t="n"/>
      <c r="CE364" s="73" t="n"/>
      <c r="CF364" s="73" t="n"/>
      <c r="CG364" s="73" t="n"/>
      <c r="CH364" s="73" t="n"/>
      <c r="CI364" s="73" t="n"/>
      <c r="CJ364" s="73" t="n"/>
      <c r="CK364" s="73" t="n"/>
      <c r="CL364" s="73" t="n"/>
      <c r="CM364" s="73" t="n"/>
      <c r="CN364" s="73" t="n"/>
      <c r="CO364" s="73" t="n"/>
      <c r="CP364" s="73" t="n"/>
      <c r="CQ364" s="73" t="n"/>
      <c r="CR364" s="73" t="n"/>
      <c r="CS364" s="73" t="n"/>
      <c r="CT364" s="73" t="n"/>
      <c r="CU364" s="73" t="n"/>
      <c r="CV364" s="73" t="n"/>
      <c r="CW364" s="73" t="n"/>
      <c r="CX364" s="73" t="n"/>
      <c r="CY364" s="73" t="n"/>
    </row>
    <row r="365"/>
    <row r="366"/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0"/>
    <row r="371"/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5"/>
    <row r="376"/>
    <row r="377">
      <c r="C377" s="4" t="inlineStr">
        <is>
          <t>% Gross Margin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1"/>
    <row r="382"/>
    <row r="383">
      <c r="C383" s="4" t="inlineStr">
        <is>
          <t>Capital expenditures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9:G309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9:L309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9:Q309">
    <cfRule type="cellIs" priority="22" operator="notEqual" dxfId="0">
      <formula>0</formula>
    </cfRule>
  </conditionalFormatting>
  <conditionalFormatting sqref="S309:V309">
    <cfRule type="cellIs" priority="21" operator="notEqual" dxfId="0">
      <formula>0</formula>
    </cfRule>
  </conditionalFormatting>
  <conditionalFormatting sqref="X309:AA309">
    <cfRule type="cellIs" priority="20" operator="notEqual" dxfId="0">
      <formula>0</formula>
    </cfRule>
  </conditionalFormatting>
  <conditionalFormatting sqref="AC309:AF309">
    <cfRule type="cellIs" priority="19" operator="notEqual" dxfId="0">
      <formula>0</formula>
    </cfRule>
  </conditionalFormatting>
  <conditionalFormatting sqref="AH309:AK309">
    <cfRule type="cellIs" priority="15" operator="notEqual" dxfId="0">
      <formula>0</formula>
    </cfRule>
  </conditionalFormatting>
  <conditionalFormatting sqref="AM309:AP309">
    <cfRule type="cellIs" priority="14" operator="notEqual" dxfId="0">
      <formula>0</formula>
    </cfRule>
  </conditionalFormatting>
  <conditionalFormatting sqref="AR309:AU309">
    <cfRule type="cellIs" priority="13" operator="notEqual" dxfId="0">
      <formula>0</formula>
    </cfRule>
  </conditionalFormatting>
  <conditionalFormatting sqref="AW309:AZ309">
    <cfRule type="cellIs" priority="12" operator="notEqual" dxfId="0">
      <formula>0</formula>
    </cfRule>
  </conditionalFormatting>
  <conditionalFormatting sqref="BB309:BE309">
    <cfRule type="cellIs" priority="11" operator="notEqual" dxfId="0">
      <formula>0</formula>
    </cfRule>
  </conditionalFormatting>
  <conditionalFormatting sqref="BG309:BJ309">
    <cfRule type="cellIs" priority="10" operator="notEqual" dxfId="0">
      <formula>0</formula>
    </cfRule>
  </conditionalFormatting>
  <conditionalFormatting sqref="BL309:BO309">
    <cfRule type="cellIs" priority="9" operator="notEqual" dxfId="0">
      <formula>0</formula>
    </cfRule>
  </conditionalFormatting>
  <conditionalFormatting sqref="BQ309:BT309">
    <cfRule type="cellIs" priority="8" operator="notEqual" dxfId="0">
      <formula>0</formula>
    </cfRule>
  </conditionalFormatting>
  <conditionalFormatting sqref="BV309:BY309">
    <cfRule type="cellIs" priority="7" operator="notEqual" dxfId="0">
      <formula>0</formula>
    </cfRule>
  </conditionalFormatting>
  <conditionalFormatting sqref="CA309:CD309">
    <cfRule type="cellIs" priority="6" operator="notEqual" dxfId="0">
      <formula>0</formula>
    </cfRule>
  </conditionalFormatting>
  <conditionalFormatting sqref="CF309:CI309">
    <cfRule type="cellIs" priority="5" operator="notEqual" dxfId="0">
      <formula>0</formula>
    </cfRule>
  </conditionalFormatting>
  <conditionalFormatting sqref="CK309:CN309">
    <cfRule type="cellIs" priority="4" operator="notEqual" dxfId="0">
      <formula>0</formula>
    </cfRule>
  </conditionalFormatting>
  <conditionalFormatting sqref="CP309:CS309">
    <cfRule type="cellIs" priority="3" operator="notEqual" dxfId="0">
      <formula>0</formula>
    </cfRule>
  </conditionalFormatting>
  <conditionalFormatting sqref="CU309:CX309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NFLX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33723.297</v>
      </c>
      <c r="E18" s="113">
        <f>IFERROR(Model!AB15,"")</f>
        <v>39000.966</v>
      </c>
      <c r="F18" s="113">
        <f>IFERROR(Model!AG15,"")</f>
        <v>45183.036</v>
      </c>
      <c r="G18" s="113">
        <f>IFERROR(Model!AL15,"")</f>
        <v>52012.1981084319</v>
      </c>
      <c r="H18" s="113">
        <f>IFERROR(Model!AQ15,"")</f>
        <v>60050.8398290838</v>
      </c>
      <c r="I18" s="113">
        <f>IFERROR(Model!AV15,"")</f>
        <v>69031.6236165256</v>
      </c>
      <c r="J18" s="113">
        <f>IFERROR(Model!BA15,"")</f>
        <v>79010.3525241799</v>
      </c>
      <c r="K18" s="113">
        <f>IFERROR(Model!BF15,"")</f>
        <v>90036.4849584818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0.156499199944774</v>
      </c>
      <c r="F19" s="117">
        <f>IFERROR(IF(E18=0,"",F18/E18-1),"")</f>
        <v>0.158510689196775</v>
      </c>
      <c r="G19" s="117">
        <f>IFERROR(IF(F18=0,"",G18/F18-1),"")</f>
        <v>0.151144383224533</v>
      </c>
      <c r="H19" s="117">
        <f>IFERROR(IF(G18=0,"",H18/G18-1),"")</f>
        <v>0.154553008967117</v>
      </c>
      <c r="I19" s="117">
        <f>IFERROR(IF(H18=0,"",I18/H18-1),"")</f>
        <v>0.149553008967117</v>
      </c>
      <c r="J19" s="117">
        <f>IFERROR(IF(I18=0,"",J18/I18-1),"")</f>
        <v>0.144553008967117</v>
      </c>
      <c r="K19" s="117">
        <f>IFERROR(IF(J18=0,"",K18/J18-1),"")</f>
        <v>0.139553008967117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IFERROR(Model!W63,"")</f>
        <v>7310.95</v>
      </c>
      <c r="E20" s="113">
        <f>IFERROR(Model!AB63,"")</f>
        <v>10746.528</v>
      </c>
      <c r="F20" s="113">
        <f>IFERROR(Model!AG63,"")</f>
        <v>13659.992</v>
      </c>
      <c r="G20" s="113">
        <f>IFERROR(Model!AL63,"")</f>
        <v>16909.1033620092</v>
      </c>
      <c r="H20" s="113">
        <f>IFERROR(Model!AQ63,"")</f>
        <v>18897.4775043752</v>
      </c>
      <c r="I20" s="113">
        <f>IFERROR(Model!AV63,"")</f>
        <v>21723.6521270429</v>
      </c>
      <c r="J20" s="113">
        <f>IFERROR(Model!BA63,"")</f>
        <v>24863.8714077618</v>
      </c>
      <c r="K20" s="113">
        <f>IFERROR(Model!BF63,"")</f>
        <v>28333.6994772864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0.216792266782219</v>
      </c>
      <c r="E21" s="122">
        <f>IFERROR(IF(E18=0,"",E20/E18),"")</f>
        <v>0.275545174957974</v>
      </c>
      <c r="F21" s="122">
        <f>IFERROR(IF(F18=0,"",F20/F18),"")</f>
        <v>0.302325678159387</v>
      </c>
      <c r="G21" s="122">
        <f>IFERROR(IF(G18=0,"",G20/G18),"")</f>
        <v>0.325098803299144</v>
      </c>
      <c r="H21" s="122">
        <f>IFERROR(IF(H18=0,"",H20/H18),"")</f>
        <v>0.314691310865277</v>
      </c>
      <c r="I21" s="122">
        <f>IFERROR(IF(I18=0,"",I20/I18),"")</f>
        <v>0.314691310865277</v>
      </c>
      <c r="J21" s="122">
        <f>IFERROR(IF(J18=0,"",J20/J18),"")</f>
        <v>0.314691310865277</v>
      </c>
      <c r="K21" s="122">
        <f>IFERROR(IF(K18=0,"",K20/K18),"")</f>
        <v>0.314691310865277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IFERROR(Model!W67,"")</f>
        <v>6954.003</v>
      </c>
      <c r="E22" s="113">
        <f>IFERROR(Model!AB67,"")</f>
        <v>10417.614</v>
      </c>
      <c r="F22" s="113">
        <f>IFERROR(Model!AG67,"")</f>
        <v>13326.603</v>
      </c>
      <c r="G22" s="113">
        <f>IFERROR(Model!AL67,"")</f>
        <v>16503.3075928784</v>
      </c>
      <c r="H22" s="113">
        <f>IFERROR(Model!AQ67,"")</f>
        <v>18441.1976457994</v>
      </c>
      <c r="I22" s="113">
        <f>IFERROR(Model!AV67,"")</f>
        <v>21199.134242686</v>
      </c>
      <c r="J22" s="113">
        <f>IFERROR(Model!BA67,"")</f>
        <v>24263.5328849641</v>
      </c>
      <c r="K22" s="113">
        <f>IFERROR(Model!BF67,"")</f>
        <v>27649.5819072334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0.20620768485359</v>
      </c>
      <c r="E23" s="122">
        <f>IFERROR(IF(E18=0,"",E22/E18),"")</f>
        <v>0.267111691541179</v>
      </c>
      <c r="F23" s="122">
        <f>IFERROR(IF(F18=0,"",F22/F18),"")</f>
        <v>0.294947046055073</v>
      </c>
      <c r="G23" s="122">
        <f>IFERROR(IF(G18=0,"",G22/G18),"")</f>
        <v>0.317296868678254</v>
      </c>
      <c r="H23" s="122">
        <f>IFERROR(IF(H18=0,"",H22/H18),"")</f>
        <v>0.307093084764286</v>
      </c>
      <c r="I23" s="122">
        <f>IFERROR(IF(I18=0,"",I22/I18),"")</f>
        <v>0.307093084764286</v>
      </c>
      <c r="J23" s="122">
        <f>IFERROR(IF(J18=0,"",J22/J18),"")</f>
        <v>0.307093084764286</v>
      </c>
      <c r="K23" s="122">
        <f>IFERROR(IF(K18=0,"",K22/K18),"")</f>
        <v>0.307093084764286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IFERROR(Model!W126,"")</f>
        <v>0.128503296722776</v>
      </c>
      <c r="E24" s="125">
        <f>IFERROR(Model!AB126,"")</f>
        <v>0.125834754296681</v>
      </c>
      <c r="F24" s="125">
        <f>IFERROR(Model!AG126,"")</f>
        <v>0.136871203198855</v>
      </c>
      <c r="G24" s="125">
        <f>IFERROR(Model!AL126,"")</f>
        <v>0.167147790967226</v>
      </c>
      <c r="H24" s="125">
        <f>IFERROR(Model!AQ126,"")</f>
        <v>0.15069831154921</v>
      </c>
      <c r="I24" s="125">
        <f>IFERROR(Model!AV126,"")</f>
        <v>0.15069831154921</v>
      </c>
      <c r="J24" s="125">
        <f>IFERROR(Model!BA126,"")</f>
        <v>0.150698311549209</v>
      </c>
      <c r="K24" s="125">
        <f>IFERROR(Model!BF126,"")</f>
        <v>0.15069831154921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6060.39068907992</v>
      </c>
      <c r="E25" s="127">
        <f>IFERROR(E22*(1-E24),"")</f>
        <v>9106.71610195233</v>
      </c>
      <c r="F25" s="127">
        <f>IFERROR(F22*(1-F24),"")</f>
        <v>11502.5748128365</v>
      </c>
      <c r="G25" s="127">
        <f>IFERROR(G22*(1-G24),"")</f>
        <v>13744.8161850761</v>
      </c>
      <c r="H25" s="127">
        <f>IFERROR(H22*(1-H24),"")</f>
        <v>15662.1402976321</v>
      </c>
      <c r="I25" s="127">
        <f>IFERROR(I22*(1-I24),"")</f>
        <v>18004.4605060082</v>
      </c>
      <c r="J25" s="127">
        <f>IFERROR(J22*(1-J24),"")</f>
        <v>20607.0594469812</v>
      </c>
      <c r="K25" s="127">
        <f>IFERROR(K22*(1-K24),"")</f>
        <v>23482.8365987717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IFERROR(-Model!W64,"")</f>
        <v>356.947</v>
      </c>
      <c r="E26" s="130">
        <f>IFERROR(-Model!AB64,"")</f>
        <v>328.914</v>
      </c>
      <c r="F26" s="130">
        <f>IFERROR(-Model!AG64,"")</f>
        <v>333.389</v>
      </c>
      <c r="G26" s="130">
        <f>IFERROR(-Model!AL64,"")</f>
        <v>405.795769130783</v>
      </c>
      <c r="H26" s="130">
        <f>IFERROR(-Model!AQ64,"")</f>
        <v>456.27985857579</v>
      </c>
      <c r="I26" s="130">
        <f>IFERROR(-Model!AV64,"")</f>
        <v>524.51788435689</v>
      </c>
      <c r="J26" s="130">
        <f>IFERROR(-Model!BA64,"")</f>
        <v>600.338522797744</v>
      </c>
      <c r="K26" s="130">
        <f>IFERROR(-Model!BF64,"")</f>
        <v>684.117570053043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IFERROR(Model!W273,"")</f>
        <v>957.611000000001</v>
      </c>
      <c r="E27" s="133">
        <f>IFERROR(Model!AB273,"")</f>
        <v>-226.257000000001</v>
      </c>
      <c r="F27" s="133">
        <f>IFERROR(Model!AG273,"")</f>
        <v>569.926</v>
      </c>
      <c r="G27" s="133">
        <f>IFERROR(Model!AL273,"")</f>
        <v>53.9061668276737</v>
      </c>
      <c r="H27" s="133">
        <f>IFERROR(Model!AQ273,"")</f>
        <v>3426.15139168934</v>
      </c>
      <c r="I27" s="133">
        <f>IFERROR(Model!AV273,"")</f>
        <v>5765.19639373674</v>
      </c>
      <c r="J27" s="133">
        <f>IFERROR(Model!BA273,"")</f>
        <v>9571.7467624143</v>
      </c>
      <c r="K27" s="133">
        <f>IFERROR(Model!BF273,"")</f>
        <v>15648.4714194646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IFERROR(Model!W274,"")</f>
        <v>0</v>
      </c>
      <c r="E28" s="136">
        <f>IFERROR(Model!AB274,"")</f>
        <v>0</v>
      </c>
      <c r="F28" s="136">
        <f>IFERROR(Model!AG274,"")</f>
        <v>0</v>
      </c>
      <c r="G28" s="136">
        <f>IFERROR(Model!AL274,"")</f>
        <v>0</v>
      </c>
      <c r="H28" s="136">
        <f>IFERROR(Model!AQ274,"")</f>
        <v>0</v>
      </c>
      <c r="I28" s="136">
        <f>IFERROR(Model!AV274,"")</f>
        <v>0</v>
      </c>
      <c r="J28" s="136">
        <f>IFERROR(Model!BA274,"")</f>
        <v>0</v>
      </c>
      <c r="K28" s="136">
        <f>IFERROR(Model!BF274,"")</f>
        <v>0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IFERROR(Model!W275,"")</f>
        <v>0</v>
      </c>
      <c r="E29" s="136">
        <f>IFERROR(Model!AB275,"")</f>
        <v>0</v>
      </c>
      <c r="F29" s="136">
        <f>IFERROR(Model!AG275,"")</f>
        <v>0</v>
      </c>
      <c r="G29" s="136">
        <f>IFERROR(Model!AL275,"")</f>
        <v>0</v>
      </c>
      <c r="H29" s="136">
        <f>IFERROR(Model!AQ275,"")</f>
        <v>0</v>
      </c>
      <c r="I29" s="136">
        <f>IFERROR(Model!AV275,"")</f>
        <v>0</v>
      </c>
      <c r="J29" s="136">
        <f>IFERROR(Model!BA275,"")</f>
        <v>0</v>
      </c>
      <c r="K29" s="136">
        <f>IFERROR(Model!BF275,"")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IFERROR(Model!W276,"")</f>
        <v>0</v>
      </c>
      <c r="E30" s="136">
        <f>IFERROR(Model!AB276,"")</f>
        <v>0</v>
      </c>
      <c r="F30" s="136">
        <f>IFERROR(Model!AG276,"")</f>
        <v>0</v>
      </c>
      <c r="G30" s="136">
        <f>IFERROR(Model!AL276,"")</f>
        <v>0</v>
      </c>
      <c r="H30" s="136">
        <f>IFERROR(Model!AQ276,"")</f>
        <v>0</v>
      </c>
      <c r="I30" s="136">
        <f>IFERROR(Model!AV276,"")</f>
        <v>0</v>
      </c>
      <c r="J30" s="136">
        <f>IFERROR(Model!BA276,"")</f>
        <v>0</v>
      </c>
      <c r="K30" s="136">
        <f>IFERROR(Model!BF276,"")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IFERROR(Model!W277,"")</f>
        <v>0</v>
      </c>
      <c r="E31" s="136">
        <f>IFERROR(Model!AB277,"")</f>
        <v>0</v>
      </c>
      <c r="F31" s="136">
        <f>IFERROR(Model!AG277,"")</f>
        <v>0</v>
      </c>
      <c r="G31" s="136">
        <f>IFERROR(Model!AL277,"")</f>
        <v>0</v>
      </c>
      <c r="H31" s="136">
        <f>IFERROR(Model!AQ277,"")</f>
        <v>0</v>
      </c>
      <c r="I31" s="136">
        <f>IFERROR(Model!AV277,"")</f>
        <v>0</v>
      </c>
      <c r="J31" s="136">
        <f>IFERROR(Model!BA277,"")</f>
        <v>0</v>
      </c>
      <c r="K31" s="136">
        <f>IFERROR(Model!BF277,"")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IFERROR(Model!W278,"")</f>
        <v>427.774</v>
      </c>
      <c r="E32" s="136">
        <f>IFERROR(Model!AB278,"")</f>
        <v>-736.393</v>
      </c>
      <c r="F32" s="136">
        <f>IFERROR(Model!AG278,"")</f>
        <v>-441.192</v>
      </c>
      <c r="G32" s="136">
        <f>IFERROR(Model!AL278,"")</f>
        <v>-767.561</v>
      </c>
      <c r="H32" s="136">
        <f>IFERROR(Model!AQ278,"")</f>
        <v>0</v>
      </c>
      <c r="I32" s="136">
        <f>IFERROR(Model!AV278,"")</f>
        <v>0</v>
      </c>
      <c r="J32" s="136">
        <f>IFERROR(Model!BA278,"")</f>
        <v>0</v>
      </c>
      <c r="K32" s="136">
        <f>IFERROR(Model!BF278,"")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IFERROR(Model!W279,"")</f>
        <v>75.899</v>
      </c>
      <c r="E33" s="136">
        <f>IFERROR(Model!AB279,"")</f>
        <v>152.497</v>
      </c>
      <c r="F33" s="136">
        <f>IFERROR(Model!AG279,"")</f>
        <v>0.702999999999975</v>
      </c>
      <c r="G33" s="136">
        <f>IFERROR(Model!AL279,"")</f>
        <v>9.87502088455699</v>
      </c>
      <c r="H33" s="136">
        <f>IFERROR(Model!AQ279,"")</f>
        <v>140.718508703214</v>
      </c>
      <c r="I33" s="136">
        <f>IFERROR(Model!AV279,"")</f>
        <v>157.210949992723</v>
      </c>
      <c r="J33" s="136">
        <f>IFERROR(Model!BA279,"")</f>
        <v>174.680238208811</v>
      </c>
      <c r="K33" s="136">
        <f>IFERROR(Model!BF279,"")</f>
        <v>193.015308660041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IFERROR(Model!W280,"")</f>
        <v>289.31</v>
      </c>
      <c r="E34" s="136">
        <f>IFERROR(Model!AB280,"")</f>
        <v>352.584</v>
      </c>
      <c r="F34" s="136">
        <f>IFERROR(Model!AG280,"")</f>
        <v>1064.325</v>
      </c>
      <c r="G34" s="136">
        <f>IFERROR(Model!AL280,"")</f>
        <v>1008.19814594312</v>
      </c>
      <c r="H34" s="136">
        <f>IFERROR(Model!AQ280,"")</f>
        <v>3285.43288298613</v>
      </c>
      <c r="I34" s="136">
        <f>IFERROR(Model!AV280,"")</f>
        <v>5607.98544374402</v>
      </c>
      <c r="J34" s="136">
        <f>IFERROR(Model!BA280,"")</f>
        <v>9397.06652420549</v>
      </c>
      <c r="K34" s="136">
        <f>IFERROR(Model!BF280,"")</f>
        <v>15455.4561108046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IFERROR(Model!W281,"")</f>
        <v>0</v>
      </c>
      <c r="E35" s="136">
        <f>IFERROR(Model!AB281,"")</f>
        <v>0</v>
      </c>
      <c r="F35" s="136">
        <f>IFERROR(Model!AG281,"")</f>
        <v>0</v>
      </c>
      <c r="G35" s="136">
        <f>IFERROR(Model!AL281,"")</f>
        <v>0</v>
      </c>
      <c r="H35" s="136">
        <f>IFERROR(Model!AQ281,"")</f>
        <v>0</v>
      </c>
      <c r="I35" s="136">
        <f>IFERROR(Model!AV281,"")</f>
        <v>0</v>
      </c>
      <c r="J35" s="136">
        <f>IFERROR(Model!BA281,"")</f>
        <v>0</v>
      </c>
      <c r="K35" s="136">
        <f>IFERROR(Model!BF281,"")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IFERROR(Model!W282,"")</f>
        <v>164.628000000001</v>
      </c>
      <c r="E36" s="136">
        <f>IFERROR(Model!AB282,"")</f>
        <v>5.05499999999938</v>
      </c>
      <c r="F36" s="136">
        <f>IFERROR(Model!AG282,"")</f>
        <v>-53.9099999999999</v>
      </c>
      <c r="G36" s="136">
        <f>IFERROR(Model!AL282,"")</f>
        <v>-196.606</v>
      </c>
      <c r="H36" s="136">
        <f>IFERROR(Model!AQ282,"")</f>
        <v>0</v>
      </c>
      <c r="I36" s="136">
        <f>IFERROR(Model!AV282,"")</f>
        <v>0</v>
      </c>
      <c r="J36" s="136">
        <f>IFERROR(Model!BA282,"")</f>
        <v>0</v>
      </c>
      <c r="K36" s="136">
        <f>IFERROR(Model!BF282,"")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IFERROR(Model!W283,"")</f>
        <v>0</v>
      </c>
      <c r="E37" s="136">
        <f>IFERROR(Model!AB283,"")</f>
        <v>0</v>
      </c>
      <c r="F37" s="136">
        <f>IFERROR(Model!AG283,"")</f>
        <v>0</v>
      </c>
      <c r="G37" s="136">
        <f>IFERROR(Model!AL283,"")</f>
        <v>0</v>
      </c>
      <c r="H37" s="136">
        <f>IFERROR(Model!AQ283,"")</f>
        <v>0</v>
      </c>
      <c r="I37" s="136">
        <f>IFERROR(Model!AV283,"")</f>
        <v>0</v>
      </c>
      <c r="J37" s="136">
        <f>IFERROR(Model!BA283,"")</f>
        <v>0</v>
      </c>
      <c r="K37" s="136">
        <f>IFERROR(Model!BF283,"")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IFERROR((Model!W183-Model!R183)*-1,"")</f>
        <v>607.623</v>
      </c>
      <c r="E38" s="136">
        <f>IFERROR((Model!AB183-Model!W183)*-1,"")</f>
        <v>-1613.824</v>
      </c>
      <c r="F38" s="136">
        <f>IFERROR((Model!AG183-Model!AB183)*-1,"")</f>
        <v>-1636.213</v>
      </c>
      <c r="G38" s="136">
        <f>IFERROR((Model!AL183-Model!AG183)*-1,"")</f>
        <v>-1625.838</v>
      </c>
      <c r="H38" s="136">
        <f>IFERROR((Model!AQ183-Model!AL183)*-1,"")</f>
        <v>0</v>
      </c>
      <c r="I38" s="136">
        <f>IFERROR((Model!AV183-Model!AQ183)*-1,"")</f>
        <v>0</v>
      </c>
      <c r="J38" s="136">
        <f>IFERROR((Model!BA183-Model!AV183)*-1,"")</f>
        <v>0</v>
      </c>
      <c r="K38" s="136">
        <f>IFERROR((Model!BF183-Model!BA183)*-1,"")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IFERROR(Model!W234-Model!R234,"")</f>
        <v>-393.71</v>
      </c>
      <c r="E39" s="136">
        <f>IFERROR(Model!AB234-Model!W234,"")</f>
        <v>-806.551</v>
      </c>
      <c r="F39" s="136">
        <f>IFERROR(Model!AG234-Model!AB234,"")</f>
        <v>203.548000000001</v>
      </c>
      <c r="G39" s="136">
        <f>IFERROR(Model!AL234-Model!AG234,"")</f>
        <v>-198.661</v>
      </c>
      <c r="H39" s="136">
        <f>IFERROR(Model!AQ234-Model!AL234,"")</f>
        <v>0</v>
      </c>
      <c r="I39" s="136">
        <f>IFERROR(Model!AV234-Model!AQ234,"")</f>
        <v>0</v>
      </c>
      <c r="J39" s="136">
        <f>IFERROR(Model!BA234-Model!AV234,"")</f>
        <v>0</v>
      </c>
      <c r="K39" s="136">
        <f>IFERROR(Model!BF234-Model!BA234,"")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IFERROR(Model!W289,"")</f>
        <v>-450.134</v>
      </c>
      <c r="E40" s="136">
        <f>IFERROR(Model!AB289,"")</f>
        <v>-431.226</v>
      </c>
      <c r="F40" s="136">
        <f>IFERROR(Model!AG289,"")</f>
        <v>-743.983</v>
      </c>
      <c r="G40" s="136">
        <f>IFERROR(Model!AL289,"")</f>
        <v>-1113.45251584179</v>
      </c>
      <c r="H40" s="136">
        <f>IFERROR(Model!AQ289,"")</f>
        <v>-1147.59292137958</v>
      </c>
      <c r="I40" s="136">
        <f>IFERROR(Model!AV289,"")</f>
        <v>-1319.21889584126</v>
      </c>
      <c r="J40" s="136">
        <f>IFERROR(Model!BA289,"")</f>
        <v>-1509.91595672139</v>
      </c>
      <c r="K40" s="136">
        <f>IFERROR(Model!BF289,"")</f>
        <v>-1720.62927176932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864.424000000001</v>
      </c>
      <c r="E44" s="133">
        <f>IFERROR(SUM(E27,E40:E42,E26),"")</f>
        <v>-328.569000000001</v>
      </c>
      <c r="F44" s="133">
        <f>IFERROR(SUM(F27,F40:F42,F26),"")</f>
        <v>159.332000000001</v>
      </c>
      <c r="G44" s="133">
        <f>IFERROR(SUM(G27,G40:G42,G26),"")</f>
        <v>-653.750579883338</v>
      </c>
      <c r="H44" s="133">
        <f>IFERROR(SUM(H27,H40:H42,H26),"")</f>
        <v>2734.83832888555</v>
      </c>
      <c r="I44" s="133">
        <f>IFERROR(SUM(I27,I40:I42,I26),"")</f>
        <v>4970.49538225238</v>
      </c>
      <c r="J44" s="133">
        <f>IFERROR(SUM(J27,J40:J42,J26),"")</f>
        <v>8662.16932849065</v>
      </c>
      <c r="K44" s="133">
        <f>IFERROR(SUM(K27,K40:K42,K26),"")</f>
        <v>14611.9597177484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IFERROR(Model!W344,"")</f>
        <v>27993.688</v>
      </c>
      <c r="E46" s="136">
        <f>IFERROR(Model!AB344,"")</f>
        <v>30742.632</v>
      </c>
      <c r="F46" s="136">
        <f>IFERROR(Model!AG344,"")</f>
        <v>32015.965</v>
      </c>
      <c r="G46" s="136">
        <f>IFERROR(Model!AL344,"")</f>
        <v>34494.2145798833</v>
      </c>
      <c r="H46" s="136">
        <f>IFERROR(Model!AQ344,"")</f>
        <v>31759.3762509978</v>
      </c>
      <c r="I46" s="136">
        <f>IFERROR(Model!AV344,"")</f>
        <v>26788.8808687454</v>
      </c>
      <c r="J46" s="136">
        <f>IFERROR(Model!BA344,"")</f>
        <v>18126.7115402548</v>
      </c>
      <c r="K46" s="136">
        <f>IFERROR(Model!BF344,"")</f>
        <v>3514.7518225064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IFERROR(Model!W345,"")</f>
        <v>27993.688</v>
      </c>
      <c r="E47" s="136">
        <f>IFERROR(Model!AB345,"")</f>
        <v>30742.632</v>
      </c>
      <c r="F47" s="136">
        <f>IFERROR(Model!AG345,"")</f>
        <v>32015.965</v>
      </c>
      <c r="G47" s="136">
        <f>IFERROR(Model!AL345,"")</f>
        <v>34494.2145798833</v>
      </c>
      <c r="H47" s="136">
        <f>IFERROR(Model!AQ345,"")</f>
        <v>31759.3762509978</v>
      </c>
      <c r="I47" s="136">
        <f>IFERROR(Model!AV345,"")</f>
        <v>26788.8808687454</v>
      </c>
      <c r="J47" s="136">
        <f>IFERROR(Model!BA345,"")</f>
        <v>18126.7115402548</v>
      </c>
      <c r="K47" s="136">
        <f>IFERROR(Model!BF345,"")</f>
        <v>3514.7518225064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0.830099382038476</v>
      </c>
      <c r="E48" s="122">
        <f>IFERROR(IF(E18=0,"",E46/E18),"")</f>
        <v>0.788253090961901</v>
      </c>
      <c r="F48" s="122">
        <f>IFERROR(IF(F18=0,"",F46/F18),"")</f>
        <v>0.708583748112898</v>
      </c>
      <c r="G48" s="122">
        <f>IFERROR(IF(G18=0,"",G46/G18),"")</f>
        <v>0.663194708825263</v>
      </c>
      <c r="H48" s="122">
        <f>IFERROR(IF(H18=0,"",H46/H18),"")</f>
        <v>0.528874805771095</v>
      </c>
      <c r="I48" s="122">
        <f>IFERROR(IF(I18=0,"",I46/I18),"")</f>
        <v>0.388066794105251</v>
      </c>
      <c r="J48" s="122">
        <f>IFERROR(IF(J18=0,"",J46/J18),"")</f>
        <v>0.229421980299447</v>
      </c>
      <c r="K48" s="122">
        <f>IFERROR(IF(K18=0,"",K46/K18),"")</f>
        <v>0.0390369728907914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0.216491327940782</v>
      </c>
      <c r="E50" s="150">
        <f>IFERROR(IF(E46=0,"",E25/E46),"")</f>
        <v>0.296224347412815</v>
      </c>
      <c r="F50" s="150">
        <f>IFERROR(IF(F46=0,"",F25/F46),"")</f>
        <v>0.359276217750629</v>
      </c>
      <c r="G50" s="150">
        <f>IFERROR(IF(G46=0,"",G25/G46),"")</f>
        <v>0.39846728944198</v>
      </c>
      <c r="H50" s="150">
        <f>IFERROR(IF(H46=0,"",H25/H46),"")</f>
        <v>0.493150122781145</v>
      </c>
      <c r="I50" s="150">
        <f>IFERROR(IF(I46=0,"",I25/I46),"")</f>
        <v>0.672087072028976</v>
      </c>
      <c r="J50" s="150">
        <f>IFERROR(IF(J46=0,"",J25/J46),"")</f>
        <v>1.13683385986577</v>
      </c>
      <c r="K50" s="150">
        <f>IFERROR(IF(K46=0,"",K25/K46),"")</f>
        <v>6.68122182863709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1.20467503245732</v>
      </c>
      <c r="E51" s="154">
        <f>IFERROR(IF(E46=0,"",E18/E46),"")</f>
        <v>1.26862807322418</v>
      </c>
      <c r="F51" s="154">
        <f>IFERROR(IF(F46=0,"",F18/F46),"")</f>
        <v>1.41126578567911</v>
      </c>
      <c r="G51" s="154">
        <f>IFERROR(IF(G46=0,"",G18/G46),"")</f>
        <v>1.50785280203959</v>
      </c>
      <c r="H51" s="154">
        <f>IFERROR(IF(H46=0,"",H18/H46),"")</f>
        <v>1.89080665043594</v>
      </c>
      <c r="I51" s="154">
        <f>IFERROR(IF(I46=0,"",I18/I46),"")</f>
        <v>2.57687597905834</v>
      </c>
      <c r="J51" s="154">
        <f>IFERROR(IF(J46=0,"",J18/J46),"")</f>
        <v>4.35878026462319</v>
      </c>
      <c r="K51" s="154">
        <f>IFERROR(IF(K46=0,"",K18/K46),"")</f>
        <v>25.6167403860327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6924.81468907993</v>
      </c>
      <c r="E53" s="155">
        <f>IFERROR(E25+E44,"")</f>
        <v>8778.14710195233</v>
      </c>
      <c r="F53" s="155">
        <f>IFERROR(F25+F44,"")</f>
        <v>11661.9068128365</v>
      </c>
      <c r="G53" s="156">
        <f>IFERROR(G25+G44,"")</f>
        <v>13091.0656051928</v>
      </c>
      <c r="H53" s="155">
        <f>IFERROR(H25+H44,"")</f>
        <v>18396.9786265177</v>
      </c>
      <c r="I53" s="155">
        <f>IFERROR(I25+I44,"")</f>
        <v>22974.9558882605</v>
      </c>
      <c r="J53" s="155">
        <f>IFERROR(J25+J44,"")</f>
        <v>29269.2287754719</v>
      </c>
      <c r="K53" s="155">
        <f>IFERROR(K25+K44,"")</f>
        <v>38094.7963165201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6.68122182863709</v>
      </c>
      <c r="E64" s="157" t="inlineStr">
        <is>
          <t>Current portion of long-term debt</t>
        </is>
      </c>
      <c r="H64" s="137">
        <f>IFERROR(INDEX(Model!$I$206:$BF$206,1,MATCH(Control!$B$7,Model!$I$5:$BF$5,0)),"")</f>
        <v>2483.758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IFERROR(INDEX(Model!$I$207:$BF$207,1,MATCH(Control!$B$7,Model!$I$5:$BF$5,0)),"")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IFERROR(INDEX(Model!$I$211:$BF$211,1,MATCH(Control!$B$7,Model!$I$5:$BF$5,0)),"")</f>
        <v>11825.548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IFERROR(INDEX(Model!$I$232:$BF$232,1,MATCH(Control!$B$7,Model!$I$5:$BF$5,0)),"")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IFERROR(INDEX(Model!$I$242:$BF$242,1,MATCH(Control!$B$7,Model!$I$5:$BF$5,0)),"")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IFERROR(INDEX(Model!$I$247:$BF$247,1,MATCH(Control!$B$7,Model!$I$5:$BF$5,0)),"")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IFERROR(INDEX(Model!$I$208:$BF$208,1,MATCH(Control!$B$7,Model!$I$5:$BF$5,0)),"")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IFERROR(INDEX(Model!$I$229:$BF$229,1,MATCH(Control!$B$7,Model!$I$5:$BF$5,0)),"")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IFERROR(-INDEX(Model!$I$138:$BF$138,1,MATCH(Control!$B$7,Model!$I$5:$BF$5,0)),"")</f>
        <v>-9127.91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28333.6994772864</v>
      </c>
      <c r="E73" s="157" t="inlineStr">
        <is>
          <t>Less: Equity investments</t>
        </is>
      </c>
      <c r="H73" s="137">
        <f>IFERROR(-INDEX(Model!$I$155:$BF$155,1,MATCH(Control!$B$7,Model!$I$5:$BF$5,0)),"")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5181.396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5181.396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5181.396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NFLX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Netflix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NFLX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8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IFERROR(-Model!AG68/AVERAGE(Model!AB86,Model!AG86),"")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0.154553008967117</v>
      </c>
      <c r="C18" s="247">
        <f>IF(B18="","",B18)</f>
        <v>0.154553008967117</v>
      </c>
      <c r="D18" s="247">
        <f>IF(C18="","",MAX(0,C18-0.5%))</f>
        <v>0.149553008967117</v>
      </c>
      <c r="E18" s="247">
        <f>IF(D18="","",MAX(0,D18-0.5%))</f>
        <v>0.144553008967117</v>
      </c>
      <c r="F18" s="247">
        <f>IF(E18="","",MAX(0,E18-0.5%))</f>
        <v>0.139553008967117</v>
      </c>
    </row>
    <row r="19" ht="15" customHeight="1">
      <c r="A19" t="inlineStr">
        <is>
          <t>Gross margin</t>
        </is>
      </c>
      <c r="B19" s="247">
        <f>IFERROR(AVERAGE(Model!AC49:AF49,Model!AH49:AI49),"")</f>
        <v>0.496997431353495</v>
      </c>
      <c r="C19" s="247">
        <f>IF(B19="","",B19)</f>
        <v>0.496997431353495</v>
      </c>
      <c r="D19" s="247">
        <f>IF(C19="","",C19)</f>
        <v>0.496997431353495</v>
      </c>
      <c r="E19" s="247">
        <f>IF(D19="","",D19)</f>
        <v>0.496997431353495</v>
      </c>
      <c r="F19" s="247">
        <f>IF(E19="","",E19)</f>
        <v>0.496997431353495</v>
      </c>
    </row>
    <row r="20" ht="15" customHeight="1">
      <c r="A20" t="inlineStr">
        <is>
          <t>SG&amp;A / Revenue</t>
        </is>
      </c>
      <c r="B20" s="247">
        <f>IFERROR(AVERAGE(Model!AC53:AF53,Model!AH53:AI53),"")</f>
        <v>0.182306120488218</v>
      </c>
      <c r="C20" s="247">
        <f>IF(B20="","",B20)</f>
        <v>0.182306120488218</v>
      </c>
      <c r="D20" s="247">
        <f>IF(C20="","",C20)</f>
        <v>0.182306120488218</v>
      </c>
      <c r="E20" s="247">
        <f>IF(D20="","",D20)</f>
        <v>0.182306120488218</v>
      </c>
      <c r="F20" s="247">
        <f>IF(E20="","",E20)</f>
        <v>0.182306120488218</v>
      </c>
    </row>
    <row r="21" ht="15" customHeight="1">
      <c r="A21" t="inlineStr">
        <is>
          <t>D&amp;A / Revenue</t>
        </is>
      </c>
      <c r="B21" s="247">
        <f>IFERROR(AVERAGE(Model!AC65:AF65,Model!AH65:AI65),"")</f>
        <v>0.00759822610099126</v>
      </c>
      <c r="C21" s="247">
        <f>IF(B21="","",B21)</f>
        <v>0.00759822610099126</v>
      </c>
      <c r="D21" s="247">
        <f>IF(C21="","",C21)</f>
        <v>0.00759822610099126</v>
      </c>
      <c r="E21" s="247">
        <f>IF(D21="","",D21)</f>
        <v>0.00759822610099126</v>
      </c>
      <c r="F21" s="247">
        <f>IF(E21="","",E21)</f>
        <v>0.00759822610099126</v>
      </c>
    </row>
    <row r="22" ht="15" customHeight="1">
      <c r="A22" t="inlineStr">
        <is>
          <t>Effective tax rate</t>
        </is>
      </c>
      <c r="B22" s="247">
        <f>IFERROR(AVERAGE(Model!AC126:AF126,Model!AH126:AI126),"")</f>
        <v>0.15069831154921</v>
      </c>
      <c r="C22" s="247">
        <f>IF(B22="","",B22)</f>
        <v>0.15069831154921</v>
      </c>
      <c r="D22" s="247">
        <f>IF(C22="","",C22)</f>
        <v>0.15069831154921</v>
      </c>
      <c r="E22" s="247">
        <f>IF(D22="","",D22)</f>
        <v>0.15069831154921</v>
      </c>
      <c r="F22" s="247">
        <f>IF(E22="","",E22)</f>
        <v>0.15069831154921</v>
      </c>
    </row>
    <row r="23" ht="15" customHeight="1">
      <c r="A23" t="inlineStr">
        <is>
          <t>Financial income / Revenue</t>
        </is>
      </c>
      <c r="B23" s="247">
        <f>IFERROR(AVERAGE(Model!AC117:AF117,Model!AH117:AI117)/AVERAGE(Model!AC15:AF15,Model!AH15:AI15),"")</f>
        <v>0.0439515069071958</v>
      </c>
      <c r="C23" s="247">
        <f>IF(B23="","",B23)</f>
        <v>0.0439515069071958</v>
      </c>
      <c r="D23" s="247">
        <f>IF(C23="","",C23)</f>
        <v>0.0439515069071958</v>
      </c>
      <c r="E23" s="247">
        <f>IF(D23="","",D23)</f>
        <v>0.0439515069071958</v>
      </c>
      <c r="F23" s="247">
        <f>IF(E23="","",E23)</f>
        <v>0.0439515069071958</v>
      </c>
    </row>
    <row r="24" ht="15" customHeight="1">
      <c r="A24" t="inlineStr">
        <is>
          <t>Capex / Revenue</t>
        </is>
      </c>
      <c r="B24" s="247">
        <f>IFERROR(-AVERAGE(Model!AC289:AF289,Model!AH289:AI289)/AVERAGE(Model!AC15:AF15,Model!AH15:AI15),"")</f>
        <v>0.0191103559025294</v>
      </c>
      <c r="C24" s="247">
        <f>IF(B24="","",B24)</f>
        <v>0.0191103559025294</v>
      </c>
      <c r="D24" s="247">
        <f>IF(C24="","",C24)</f>
        <v>0.0191103559025294</v>
      </c>
      <c r="E24" s="247">
        <f>IF(D24="","",D24)</f>
        <v>0.0191103559025294</v>
      </c>
      <c r="F24" s="247">
        <f>IF(E24="","",E24)</f>
        <v>0.0191103559025294</v>
      </c>
    </row>
    <row r="25" ht="15" customHeight="1">
      <c r="A25" t="inlineStr">
        <is>
          <t>DSO</t>
        </is>
      </c>
      <c r="B25" s="249">
        <f>IFERROR(AVERAGE(Model!AC140:AF140,Model!AH140:AI140),0)</f>
        <v>0</v>
      </c>
      <c r="C25" s="249">
        <f>IF(B25="","",B25)</f>
        <v>0</v>
      </c>
      <c r="D25" s="249">
        <f>IF(C25="","",C25)</f>
        <v>0</v>
      </c>
      <c r="E25" s="249">
        <f>IF(D25="","",D25)</f>
        <v>0</v>
      </c>
      <c r="F25" s="249">
        <f>IF(E25="","",E25)</f>
        <v>0</v>
      </c>
    </row>
    <row r="26" ht="15" customHeight="1">
      <c r="A26" t="inlineStr">
        <is>
          <t>DIO</t>
        </is>
      </c>
      <c r="B26" s="249">
        <f>IFERROR(AVERAGE(Model!AC144:AF144,Model!AH144:AI144),0)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IFERROR(AVERAGE(Model!AC193:AF193,Model!AH193:AI193),0)</f>
        <v>11.9691413817242</v>
      </c>
      <c r="C27" s="249">
        <f>IF(B27="","",B27)</f>
        <v>11.9691413817242</v>
      </c>
      <c r="D27" s="249">
        <f>IF(C27="","",C27)</f>
        <v>11.9691413817242</v>
      </c>
      <c r="E27" s="249">
        <f>IF(D27="","",D27)</f>
        <v>11.9691413817242</v>
      </c>
      <c r="F27" s="249">
        <f>IF(E27="","",E27)</f>
        <v>11.9691413817242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Netflix Inc. (NFLX, CIK 1065280) - fonte: SEC EDGAR XBRL (instâncias dos 10-Q/10-K). Moeda: USD. Brutos em USD unidades (fator 0,000001 -&gt; milhões). Colunas = trimestres-CALENDÁRIO (cada fechamento vai para o fim de trimestre mais próximo); ano fisca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2026-10-16T15:40:09Z</dcterms:modified>
  <cp:lastModifiedBy>Lucas Nascimento</cp:lastModifiedBy>
  <cp:revision>0</cp:revision>
</cp:coreProperties>
</file>